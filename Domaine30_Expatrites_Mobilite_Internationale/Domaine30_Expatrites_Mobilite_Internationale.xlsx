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01 - _Données Expatriés" sheetId="1" state="visible" r:id="rId1"/>
    <sheet xmlns:r="http://schemas.openxmlformats.org/officeDocument/2006/relationships" name="F02 - _Lists" sheetId="2" state="visible" r:id="rId2"/>
    <sheet xmlns:r="http://schemas.openxmlformats.org/officeDocument/2006/relationships" name="F03 - 1-Tableau de Bord" sheetId="3" state="visible" r:id="rId3"/>
    <sheet xmlns:r="http://schemas.openxmlformats.org/officeDocument/2006/relationships" name="F04 - 2-Contrats Expat." sheetId="4" state="visible" r:id="rId4"/>
    <sheet xmlns:r="http://schemas.openxmlformats.org/officeDocument/2006/relationships" name="F05 - 3-Visas et Permis" sheetId="5" state="visible" r:id="rId5"/>
    <sheet xmlns:r="http://schemas.openxmlformats.org/officeDocument/2006/relationships" name="F06 - 4-Indemnités Expat." sheetId="6" state="visible" r:id="rId6"/>
    <sheet xmlns:r="http://schemas.openxmlformats.org/officeDocument/2006/relationships" name="F07 - 5-Logement Expatriés" sheetId="7" state="visible" r:id="rId7"/>
    <sheet xmlns:r="http://schemas.openxmlformats.org/officeDocument/2006/relationships" name="F08 - 6-Scolarité Enfants" sheetId="8" state="visible" r:id="rId8"/>
    <sheet xmlns:r="http://schemas.openxmlformats.org/officeDocument/2006/relationships" name="F09 - 7-Fiscalité Transfront." sheetId="9" state="visible" r:id="rId9"/>
    <sheet xmlns:r="http://schemas.openxmlformats.org/officeDocument/2006/relationships" name="F10 - 8-Préparation Départ" sheetId="10" state="visible" r:id="rId10"/>
    <sheet xmlns:r="http://schemas.openxmlformats.org/officeDocument/2006/relationships" name="F11 - 9-Suivi Médico-Social" sheetId="11" state="visible" r:id="rId11"/>
    <sheet xmlns:r="http://schemas.openxmlformats.org/officeDocument/2006/relationships" name="F12 - 10-Réintégration" sheetId="12" state="visible" r:id="rId12"/>
    <sheet xmlns:r="http://schemas.openxmlformats.org/officeDocument/2006/relationships" name="F13 - 11-Budget Mobilité Intl" sheetId="13" state="visible" r:id="rId13"/>
    <sheet xmlns:r="http://schemas.openxmlformats.org/officeDocument/2006/relationships" name="F14 - 12-Matrice Pays×Poste" sheetId="14" state="visible" r:id="rId14"/>
    <sheet xmlns:r="http://schemas.openxmlformats.org/officeDocument/2006/relationships" name="F15 - 13-Historique Missions" sheetId="15" state="visible" r:id="rId15"/>
    <sheet xmlns:r="http://schemas.openxmlformats.org/officeDocument/2006/relationships" name="F16 - 14-Calendrier Mobilité" sheetId="16" state="visible" r:id="rId16"/>
    <sheet xmlns:r="http://schemas.openxmlformats.org/officeDocument/2006/relationships" name="F17 - 15-TdB Financ. Expat." sheetId="17" state="visible" r:id="rId17"/>
    <sheet xmlns:r="http://schemas.openxmlformats.org/officeDocument/2006/relationships" name="F18 - 16-Indic. Performance" sheetId="18" state="visible" r:id="rId18"/>
    <sheet xmlns:r="http://schemas.openxmlformats.org/officeDocument/2006/relationships" name="F19 - 17-Risques Pays" sheetId="19" state="visible" r:id="rId19"/>
    <sheet xmlns:r="http://schemas.openxmlformats.org/officeDocument/2006/relationships" name="F20 - 18-Conformité Réglement." sheetId="20" state="visible" r:id="rId20"/>
    <sheet xmlns:r="http://schemas.openxmlformats.org/officeDocument/2006/relationships" name="F21 - 19-Exigences d'Audi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757575"/>
      <sz val="9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004D40"/>
      <sz val="10"/>
    </font>
    <font>
      <name val="Calibri"/>
      <b val="1"/>
      <color rgb="00757575"/>
      <sz val="9"/>
    </font>
    <font>
      <name val="Calibri"/>
      <b val="1"/>
      <color rgb="00004D40"/>
      <sz val="18"/>
    </font>
  </fonts>
  <fills count="7">
    <fill>
      <patternFill/>
    </fill>
    <fill>
      <patternFill patternType="gray125"/>
    </fill>
    <fill>
      <patternFill patternType="solid">
        <fgColor rgb="00004D40"/>
      </patternFill>
    </fill>
    <fill>
      <patternFill patternType="solid">
        <fgColor rgb="0000695C"/>
      </patternFill>
    </fill>
    <fill>
      <patternFill patternType="solid">
        <fgColor rgb="00FFFFFF"/>
      </patternFill>
    </fill>
    <fill>
      <patternFill patternType="solid">
        <fgColor rgb="00E0F2F1"/>
      </patternFill>
    </fill>
    <fill>
      <patternFill patternType="solid">
        <fgColor rgb="00B2DFDB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pivotButton="0" quotePrefix="0" xfId="0"/>
    <xf numFmtId="0" fontId="6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7" fillId="6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6" fontId="3" fillId="4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FFCDD2"/>
        </patternFill>
      </fill>
    </dxf>
    <dxf>
      <fill>
        <patternFill patternType="solid">
          <fgColor rgb="00FFE0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28" customWidth="1" min="5" max="5"/>
    <col width="26" customWidth="1" min="6" max="6"/>
    <col width="18" customWidth="1" min="7" max="7"/>
    <col width="10" customWidth="1" min="8" max="8"/>
    <col width="10" customWidth="1" min="9" max="9"/>
    <col width="16" customWidth="1" min="10" max="10"/>
    <col width="14" customWidth="1" min="11" max="11"/>
  </cols>
  <sheetData>
    <row r="1" ht="8" customHeight="1"/>
    <row r="2" ht="30" customHeight="1">
      <c r="A2" s="1" t="inlineStr">
        <is>
          <t>DONNÉES EXPATRIÉS — Base de référence mobilité internationale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Matricule</t>
        </is>
      </c>
      <c r="B5" s="4" t="inlineStr">
        <is>
          <t>Nom</t>
        </is>
      </c>
      <c r="C5" s="4" t="inlineStr">
        <is>
          <t>Prénom</t>
        </is>
      </c>
      <c r="D5" s="4" t="inlineStr">
        <is>
          <t>Nationalité</t>
        </is>
      </c>
      <c r="E5" s="4" t="inlineStr">
        <is>
          <t>Département</t>
        </is>
      </c>
      <c r="F5" s="4" t="inlineStr">
        <is>
          <t>Poste</t>
        </is>
      </c>
      <c r="G5" s="4" t="inlineStr">
        <is>
          <t>Statut Expat.</t>
        </is>
      </c>
      <c r="H5" s="4" t="inlineStr">
        <is>
          <t>Âge</t>
        </is>
      </c>
      <c r="I5" s="4" t="inlineStr">
        <is>
          <t>Genre</t>
        </is>
      </c>
      <c r="J5" s="4" t="inlineStr">
        <is>
          <t>Situation Fam.</t>
        </is>
      </c>
      <c r="K5" s="4" t="inlineStr">
        <is>
          <t>Nb Enfants</t>
        </is>
      </c>
    </row>
    <row r="6" ht="22" customHeight="1">
      <c r="A6" s="5" t="inlineStr">
        <is>
          <t>EXP-001</t>
        </is>
      </c>
      <c r="B6" s="5" t="inlineStr">
        <is>
          <t>Martin</t>
        </is>
      </c>
      <c r="C6" s="5" t="inlineStr">
        <is>
          <t>Jean-Pierre</t>
        </is>
      </c>
      <c r="D6" s="5" t="inlineStr">
        <is>
          <t>France</t>
        </is>
      </c>
      <c r="E6" s="5" t="inlineStr">
        <is>
          <t>Direction Générale</t>
        </is>
      </c>
      <c r="F6" s="5" t="inlineStr">
        <is>
          <t>DG Adjoint</t>
        </is>
      </c>
      <c r="G6" s="5" t="inlineStr">
        <is>
          <t>Expatrié</t>
        </is>
      </c>
      <c r="H6" s="6" t="n">
        <v>48</v>
      </c>
      <c r="I6" s="5">
        <f>IF(I6="","",I6)</f>
        <v/>
      </c>
      <c r="J6" s="5" t="inlineStr">
        <is>
          <t>Célibataire</t>
        </is>
      </c>
      <c r="K6" s="6" t="n">
        <v>0</v>
      </c>
    </row>
    <row r="7" ht="22" customHeight="1">
      <c r="A7" s="7" t="inlineStr">
        <is>
          <t>EXP-002</t>
        </is>
      </c>
      <c r="B7" s="7" t="inlineStr">
        <is>
          <t>Dupont</t>
        </is>
      </c>
      <c r="C7" s="7" t="inlineStr">
        <is>
          <t>Sophie</t>
        </is>
      </c>
      <c r="D7" s="7" t="inlineStr">
        <is>
          <t>France</t>
        </is>
      </c>
      <c r="E7" s="7" t="inlineStr">
        <is>
          <t>Finance &amp; Comptabilité</t>
        </is>
      </c>
      <c r="F7" s="7" t="inlineStr">
        <is>
          <t>Contrôleur Financier</t>
        </is>
      </c>
      <c r="G7" s="7" t="inlineStr">
        <is>
          <t>Expatrié</t>
        </is>
      </c>
      <c r="H7" s="8" t="n">
        <v>42</v>
      </c>
      <c r="I7" s="7">
        <f>IF(I7="","",I7)</f>
        <v/>
      </c>
      <c r="J7" s="7" t="inlineStr">
        <is>
          <t>Marié(e)</t>
        </is>
      </c>
      <c r="K7" s="8" t="n">
        <v>2</v>
      </c>
    </row>
    <row r="8" ht="22" customHeight="1">
      <c r="A8" s="5" t="inlineStr">
        <is>
          <t>EXP-003</t>
        </is>
      </c>
      <c r="B8" s="5" t="inlineStr">
        <is>
          <t>Mueller</t>
        </is>
      </c>
      <c r="C8" s="5" t="inlineStr">
        <is>
          <t>Hans</t>
        </is>
      </c>
      <c r="D8" s="5" t="inlineStr">
        <is>
          <t>Allemagne</t>
        </is>
      </c>
      <c r="E8" s="5" t="inlineStr">
        <is>
          <t>Cuisine &amp; Restauration</t>
        </is>
      </c>
      <c r="F8" s="5" t="inlineStr">
        <is>
          <t>Chef Exécutif</t>
        </is>
      </c>
      <c r="G8" s="5" t="inlineStr">
        <is>
          <t>Expatrié</t>
        </is>
      </c>
      <c r="H8" s="6" t="n">
        <v>55</v>
      </c>
      <c r="I8" s="5">
        <f>IF(I8="","",I8)</f>
        <v/>
      </c>
      <c r="J8" s="5" t="inlineStr">
        <is>
          <t>Marié(e)</t>
        </is>
      </c>
      <c r="K8" s="6" t="n">
        <v>1</v>
      </c>
    </row>
    <row r="9" ht="22" customHeight="1">
      <c r="A9" s="7" t="inlineStr">
        <is>
          <t>EXP-004</t>
        </is>
      </c>
      <c r="B9" s="7" t="inlineStr">
        <is>
          <t>Silva</t>
        </is>
      </c>
      <c r="C9" s="7" t="inlineStr">
        <is>
          <t>Ana</t>
        </is>
      </c>
      <c r="D9" s="7" t="inlineStr">
        <is>
          <t>Brésil</t>
        </is>
      </c>
      <c r="E9" s="7" t="inlineStr">
        <is>
          <t>Spa &amp; Bien-être</t>
        </is>
      </c>
      <c r="F9" s="7" t="inlineStr">
        <is>
          <t>Directrice Spa</t>
        </is>
      </c>
      <c r="G9" s="7" t="inlineStr">
        <is>
          <t>Expatrié</t>
        </is>
      </c>
      <c r="H9" s="8" t="n">
        <v>38</v>
      </c>
      <c r="I9" s="7">
        <f>IF(I9="","",I9)</f>
        <v/>
      </c>
      <c r="J9" s="7" t="inlineStr">
        <is>
          <t>Célibataire</t>
        </is>
      </c>
      <c r="K9" s="8" t="n">
        <v>0</v>
      </c>
    </row>
    <row r="10" ht="22" customHeight="1">
      <c r="A10" s="5" t="inlineStr">
        <is>
          <t>EXP-005</t>
        </is>
      </c>
      <c r="B10" s="5" t="inlineStr">
        <is>
          <t>Kim</t>
        </is>
      </c>
      <c r="C10" s="5" t="inlineStr">
        <is>
          <t>Jin-woo</t>
        </is>
      </c>
      <c r="D10" s="5" t="inlineStr">
        <is>
          <t>Corée du Sud</t>
        </is>
      </c>
      <c r="E10" s="5" t="inlineStr">
        <is>
          <t>Informatique</t>
        </is>
      </c>
      <c r="F10" s="5" t="inlineStr">
        <is>
          <t>Expert IT Senior</t>
        </is>
      </c>
      <c r="G10" s="5" t="inlineStr">
        <is>
          <t>Détaché</t>
        </is>
      </c>
      <c r="H10" s="6" t="n">
        <v>35</v>
      </c>
      <c r="I10" s="5">
        <f>IF(I10="","",I10)</f>
        <v/>
      </c>
      <c r="J10" s="5" t="inlineStr">
        <is>
          <t>Marié(e)</t>
        </is>
      </c>
      <c r="K10" s="6" t="n">
        <v>1</v>
      </c>
    </row>
    <row r="11" ht="22" customHeight="1">
      <c r="A11" s="7" t="inlineStr">
        <is>
          <t>EXP-006</t>
        </is>
      </c>
      <c r="B11" s="7" t="inlineStr">
        <is>
          <t>Nakamura</t>
        </is>
      </c>
      <c r="C11" s="7" t="inlineStr">
        <is>
          <t>Yuki</t>
        </is>
      </c>
      <c r="D11" s="7" t="inlineStr">
        <is>
          <t>Japon</t>
        </is>
      </c>
      <c r="E11" s="7" t="inlineStr">
        <is>
          <t>Réception &amp; Front Office</t>
        </is>
      </c>
      <c r="F11" s="7" t="inlineStr">
        <is>
          <t>Concierge Chef</t>
        </is>
      </c>
      <c r="G11" s="7" t="inlineStr">
        <is>
          <t>Expatrié</t>
        </is>
      </c>
      <c r="H11" s="8" t="n">
        <v>40</v>
      </c>
      <c r="I11" s="7">
        <f>IF(I11="","",I11)</f>
        <v/>
      </c>
      <c r="J11" s="7" t="inlineStr">
        <is>
          <t>Célibataire</t>
        </is>
      </c>
      <c r="K11" s="8" t="n">
        <v>0</v>
      </c>
    </row>
    <row r="12" ht="22" customHeight="1">
      <c r="A12" s="5" t="inlineStr">
        <is>
          <t>EXP-007</t>
        </is>
      </c>
      <c r="B12" s="5" t="inlineStr">
        <is>
          <t>Okafor</t>
        </is>
      </c>
      <c r="C12" s="5" t="inlineStr">
        <is>
          <t>Chidi</t>
        </is>
      </c>
      <c r="D12" s="5" t="inlineStr">
        <is>
          <t>Nigeria</t>
        </is>
      </c>
      <c r="E12" s="5" t="inlineStr">
        <is>
          <t>Ressources Humaines</t>
        </is>
      </c>
      <c r="F12" s="5" t="inlineStr">
        <is>
          <t>Resp. Formation Intl.</t>
        </is>
      </c>
      <c r="G12" s="5" t="inlineStr">
        <is>
          <t>Détaché</t>
        </is>
      </c>
      <c r="H12" s="6" t="n">
        <v>45</v>
      </c>
      <c r="I12" s="5">
        <f>IF(I12="","",I12)</f>
        <v/>
      </c>
      <c r="J12" s="5" t="inlineStr">
        <is>
          <t>Marié(e)</t>
        </is>
      </c>
      <c r="K12" s="6" t="n">
        <v>3</v>
      </c>
    </row>
    <row r="13" ht="22" customHeight="1">
      <c r="A13" s="7" t="inlineStr">
        <is>
          <t>EXP-008</t>
        </is>
      </c>
      <c r="B13" s="7" t="inlineStr">
        <is>
          <t>Leclerc</t>
        </is>
      </c>
      <c r="C13" s="7" t="inlineStr">
        <is>
          <t>Marc</t>
        </is>
      </c>
      <c r="D13" s="7" t="inlineStr">
        <is>
          <t>France</t>
        </is>
      </c>
      <c r="E13" s="7" t="inlineStr">
        <is>
          <t>Marketing &amp; Communication</t>
        </is>
      </c>
      <c r="F13" s="7" t="inlineStr">
        <is>
          <t>Directeur Marketing</t>
        </is>
      </c>
      <c r="G13" s="7" t="inlineStr">
        <is>
          <t>Expatrié</t>
        </is>
      </c>
      <c r="H13" s="8" t="n">
        <v>50</v>
      </c>
      <c r="I13" s="7">
        <f>IF(I13="","",I13)</f>
        <v/>
      </c>
      <c r="J13" s="7" t="inlineStr">
        <is>
          <t>Marié(e)</t>
        </is>
      </c>
      <c r="K13" s="8" t="n">
        <v>2</v>
      </c>
    </row>
    <row r="14" ht="22" customHeight="1">
      <c r="A14" s="5" t="inlineStr">
        <is>
          <t>EXP-009</t>
        </is>
      </c>
      <c r="B14" s="5" t="inlineStr">
        <is>
          <t>Santos</t>
        </is>
      </c>
      <c r="C14" s="5" t="inlineStr">
        <is>
          <t>Carlos</t>
        </is>
      </c>
      <c r="D14" s="5" t="inlineStr">
        <is>
          <t>Portugal</t>
        </is>
      </c>
      <c r="E14" s="5" t="inlineStr">
        <is>
          <t>Hébergement</t>
        </is>
      </c>
      <c r="F14" s="5" t="inlineStr">
        <is>
          <t>Director of Rooms</t>
        </is>
      </c>
      <c r="G14" s="5" t="inlineStr">
        <is>
          <t>Expatrié</t>
        </is>
      </c>
      <c r="H14" s="6" t="n">
        <v>44</v>
      </c>
      <c r="I14" s="5">
        <f>IF(I14="","",I14)</f>
        <v/>
      </c>
      <c r="J14" s="5" t="inlineStr">
        <is>
          <t>Marié(e)</t>
        </is>
      </c>
      <c r="K14" s="6" t="n">
        <v>1</v>
      </c>
    </row>
    <row r="15" ht="22" customHeight="1">
      <c r="A15" s="7" t="inlineStr">
        <is>
          <t>EXP-010</t>
        </is>
      </c>
      <c r="B15" s="7" t="inlineStr">
        <is>
          <t>Chen</t>
        </is>
      </c>
      <c r="C15" s="7" t="inlineStr">
        <is>
          <t>Wei</t>
        </is>
      </c>
      <c r="D15" s="7" t="inlineStr">
        <is>
          <t>Chine</t>
        </is>
      </c>
      <c r="E15" s="7" t="inlineStr">
        <is>
          <t>Commerce</t>
        </is>
      </c>
      <c r="F15" s="7" t="inlineStr">
        <is>
          <t>Resp. Commercial Asie</t>
        </is>
      </c>
      <c r="G15" s="7" t="inlineStr">
        <is>
          <t>Détaché</t>
        </is>
      </c>
      <c r="H15" s="8" t="n">
        <v>37</v>
      </c>
      <c r="I15" s="7">
        <f>IF(I15="","",I15)</f>
        <v/>
      </c>
      <c r="J15" s="7" t="inlineStr">
        <is>
          <t>Célibataire</t>
        </is>
      </c>
      <c r="K15" s="8" t="n">
        <v>0</v>
      </c>
    </row>
    <row r="16" ht="22" customHeight="1">
      <c r="A16" s="5" t="inlineStr">
        <is>
          <t>EXP-011</t>
        </is>
      </c>
      <c r="B16" s="5" t="inlineStr">
        <is>
          <t>Dubois</t>
        </is>
      </c>
      <c r="C16" s="5" t="inlineStr">
        <is>
          <t>Claire</t>
        </is>
      </c>
      <c r="D16" s="5" t="inlineStr">
        <is>
          <t>Belgique</t>
        </is>
      </c>
      <c r="E16" s="5" t="inlineStr">
        <is>
          <t>Ressources Humaines</t>
        </is>
      </c>
      <c r="F16" s="5" t="inlineStr">
        <is>
          <t>DRH</t>
        </is>
      </c>
      <c r="G16" s="5" t="inlineStr">
        <is>
          <t>Expatrié</t>
        </is>
      </c>
      <c r="H16" s="6" t="n">
        <v>52</v>
      </c>
      <c r="I16" s="5">
        <f>IF(I16="","",I16)</f>
        <v/>
      </c>
      <c r="J16" s="5" t="inlineStr">
        <is>
          <t>Marié(e)</t>
        </is>
      </c>
      <c r="K16" s="6" t="n">
        <v>2</v>
      </c>
    </row>
    <row r="17" ht="22" customHeight="1">
      <c r="A17" s="7" t="inlineStr">
        <is>
          <t>EXP-012</t>
        </is>
      </c>
      <c r="B17" s="7" t="inlineStr">
        <is>
          <t>Mensah</t>
        </is>
      </c>
      <c r="C17" s="7" t="inlineStr">
        <is>
          <t>Kwame</t>
        </is>
      </c>
      <c r="D17" s="7" t="inlineStr">
        <is>
          <t>Ghana</t>
        </is>
      </c>
      <c r="E17" s="7" t="inlineStr">
        <is>
          <t>Sécurité</t>
        </is>
      </c>
      <c r="F17" s="7" t="inlineStr">
        <is>
          <t>Consultant Sécurité</t>
        </is>
      </c>
      <c r="G17" s="7" t="inlineStr">
        <is>
          <t>Détaché</t>
        </is>
      </c>
      <c r="H17" s="8" t="n">
        <v>39</v>
      </c>
      <c r="I17" s="7">
        <f>IF(I17="","",I17)</f>
        <v/>
      </c>
      <c r="J17" s="7" t="inlineStr">
        <is>
          <t>Marié(e)</t>
        </is>
      </c>
      <c r="K17" s="8" t="n">
        <v>1</v>
      </c>
    </row>
    <row r="18" ht="22" customHeight="1">
      <c r="A18" s="5" t="inlineStr">
        <is>
          <t>EXP-013</t>
        </is>
      </c>
      <c r="B18" s="5" t="inlineStr">
        <is>
          <t>Rossi</t>
        </is>
      </c>
      <c r="C18" s="5" t="inlineStr">
        <is>
          <t>Marco</t>
        </is>
      </c>
      <c r="D18" s="5" t="inlineStr">
        <is>
          <t>Italie</t>
        </is>
      </c>
      <c r="E18" s="5" t="inlineStr">
        <is>
          <t>Cuisine &amp; Restauration</t>
        </is>
      </c>
      <c r="F18" s="5" t="inlineStr">
        <is>
          <t>Sommelier Chef</t>
        </is>
      </c>
      <c r="G18" s="5" t="inlineStr">
        <is>
          <t>Expatrié</t>
        </is>
      </c>
      <c r="H18" s="6" t="n">
        <v>46</v>
      </c>
      <c r="I18" s="5">
        <f>IF(I18="","",I18)</f>
        <v/>
      </c>
      <c r="J18" s="5" t="inlineStr">
        <is>
          <t>Célibataire</t>
        </is>
      </c>
      <c r="K18" s="6" t="n">
        <v>0</v>
      </c>
    </row>
    <row r="19" ht="22" customHeight="1">
      <c r="A19" s="7" t="inlineStr">
        <is>
          <t>EXP-014</t>
        </is>
      </c>
      <c r="B19" s="7" t="inlineStr">
        <is>
          <t>Al-Rashid</t>
        </is>
      </c>
      <c r="C19" s="7" t="inlineStr">
        <is>
          <t>Fatima</t>
        </is>
      </c>
      <c r="D19" s="7" t="inlineStr">
        <is>
          <t>Maroc</t>
        </is>
      </c>
      <c r="E19" s="7" t="inlineStr">
        <is>
          <t>Animation &amp; Loisirs</t>
        </is>
      </c>
      <c r="F19" s="7" t="inlineStr">
        <is>
          <t>Animatrice Multilingue</t>
        </is>
      </c>
      <c r="G19" s="7" t="inlineStr">
        <is>
          <t>Détaché</t>
        </is>
      </c>
      <c r="H19" s="8" t="n">
        <v>33</v>
      </c>
      <c r="I19" s="7">
        <f>IF(I19="","",I19)</f>
        <v/>
      </c>
      <c r="J19" s="7" t="inlineStr">
        <is>
          <t>Célibataire</t>
        </is>
      </c>
      <c r="K19" s="8" t="n">
        <v>0</v>
      </c>
    </row>
    <row r="20" ht="22" customHeight="1">
      <c r="A20" s="5" t="inlineStr">
        <is>
          <t>EXP-015</t>
        </is>
      </c>
      <c r="B20" s="5" t="inlineStr">
        <is>
          <t>Johansson</t>
        </is>
      </c>
      <c r="C20" s="5" t="inlineStr">
        <is>
          <t>Erik</t>
        </is>
      </c>
      <c r="D20" s="5" t="inlineStr">
        <is>
          <t>Suède</t>
        </is>
      </c>
      <c r="E20" s="5" t="inlineStr">
        <is>
          <t>Entretien &amp; Maintenance</t>
        </is>
      </c>
      <c r="F20" s="5" t="inlineStr">
        <is>
          <t>Ingénieur Technique</t>
        </is>
      </c>
      <c r="G20" s="5" t="inlineStr">
        <is>
          <t>Expatrié</t>
        </is>
      </c>
      <c r="H20" s="6" t="n">
        <v>47</v>
      </c>
      <c r="I20" s="5">
        <f>IF(I20="","",I20)</f>
        <v/>
      </c>
      <c r="J20" s="5" t="inlineStr">
        <is>
          <t>Marié(e)</t>
        </is>
      </c>
      <c r="K20" s="6" t="n">
        <v>2</v>
      </c>
    </row>
  </sheetData>
  <mergeCells count="2">
    <mergeCell ref="A2:K2"/>
    <mergeCell ref="A3:K3"/>
  </mergeCells>
  <dataValidations count="5">
    <dataValidation sqref="D6:D20" showDropDown="0" showInputMessage="0" showErrorMessage="0" allowBlank="1" errorTitle="Erreur" error="Valeur invalide" promptTitle="nationalites" prompt="Choisir dans la liste: nationalites" type="list">
      <formula1>'F02 - _Lists'!$A$6:$A$25</formula1>
    </dataValidation>
    <dataValidation sqref="E6:E20" showDropDown="0" showInputMessage="0" showErrorMessage="0" allowBlank="1" errorTitle="Erreur" error="Valeur invalide" promptTitle="departements" prompt="Choisir dans la liste: departements" type="list">
      <formula1>'F02 - _Lists'!$B$6:$B$20</formula1>
    </dataValidation>
    <dataValidation sqref="F6:F20" showDropDown="0" showInputMessage="0" showErrorMessage="0" allowBlank="1" errorTitle="Erreur" error="Valeur invalide" promptTitle="postes" prompt="Choisir dans la liste: postes" type="list">
      <formula1>'F02 - _Lists'!$C$6:$C$25</formula1>
    </dataValidation>
    <dataValidation sqref="G6:G20" showDropDown="0" showInputMessage="0" showErrorMessage="0" allowBlank="1" errorTitle="Erreur" error="Valeur invalide" promptTitle="statuts_expat" prompt="Choisir dans la liste: statuts_expat" type="list">
      <formula1>'F02 - _Lists'!$D$6:$D$10</formula1>
    </dataValidation>
    <dataValidation sqref="J6:J20" showDropDown="0" showInputMessage="0" showErrorMessage="0" allowBlank="1" errorTitle="Erreur" error="Valeur invalide" promptTitle="situation_familiale" prompt="Choisir dans la liste: situation_familiale" type="list">
      <formula1>'F02 - _Lists'!$AC$6:$AC$10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D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</cols>
  <sheetData>
    <row r="1" ht="8" customHeight="1"/>
    <row r="2" ht="30" customHeight="1">
      <c r="A2" s="1" t="inlineStr">
        <is>
          <t>LISTES DE RÉFÉRENCE — Valeurs pour listes déroulantes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nationalites</t>
        </is>
      </c>
      <c r="B5" s="4" t="inlineStr">
        <is>
          <t>departements</t>
        </is>
      </c>
      <c r="C5" s="4" t="inlineStr">
        <is>
          <t>postes</t>
        </is>
      </c>
      <c r="D5" s="4" t="inlineStr">
        <is>
          <t>statuts_expat</t>
        </is>
      </c>
      <c r="E5" s="4" t="inlineStr">
        <is>
          <t>pays_origine</t>
        </is>
      </c>
      <c r="F5" s="4" t="inlineStr">
        <is>
          <t>pays_accueil</t>
        </is>
      </c>
      <c r="G5" s="4" t="inlineStr">
        <is>
          <t>types_visa</t>
        </is>
      </c>
      <c r="H5" s="4" t="inlineStr">
        <is>
          <t>types_permis</t>
        </is>
      </c>
      <c r="I5" s="4" t="inlineStr">
        <is>
          <t>statuts_visa</t>
        </is>
      </c>
      <c r="J5" s="4" t="inlineStr">
        <is>
          <t>statuts_contrat</t>
        </is>
      </c>
      <c r="K5" s="4" t="inlineStr">
        <is>
          <t>types_contrat</t>
        </is>
      </c>
      <c r="L5" s="4" t="inlineStr">
        <is>
          <t>niveaux_risque</t>
        </is>
      </c>
      <c r="M5" s="4" t="inlineStr">
        <is>
          <t>devises</t>
        </is>
      </c>
      <c r="N5" s="4" t="inlineStr">
        <is>
          <t>statuts_logement</t>
        </is>
      </c>
      <c r="O5" s="4" t="inlineStr">
        <is>
          <t>types_ecole</t>
        </is>
      </c>
      <c r="P5" s="4" t="inlineStr">
        <is>
          <t>regimes_fiscaux</t>
        </is>
      </c>
      <c r="Q5" s="4" t="inlineStr">
        <is>
          <t>statuts_medicaux</t>
        </is>
      </c>
      <c r="R5" s="4" t="inlineStr">
        <is>
          <t>statuts_reintegration</t>
        </is>
      </c>
      <c r="S5" s="4" t="inlineStr">
        <is>
          <t>modes_paiement</t>
        </is>
      </c>
      <c r="T5" s="4" t="inlineStr">
        <is>
          <t>priorites</t>
        </is>
      </c>
      <c r="U5" s="4" t="inlineStr">
        <is>
          <t>conformites</t>
        </is>
      </c>
      <c r="V5" s="4" t="inlineStr">
        <is>
          <t>statuts_action</t>
        </is>
      </c>
      <c r="W5" s="4" t="inlineStr">
        <is>
          <t>frequences</t>
        </is>
      </c>
      <c r="X5" s="4" t="inlineStr">
        <is>
          <t>mois</t>
        </is>
      </c>
      <c r="Y5" s="4" t="inlineStr">
        <is>
          <t>trimestres</t>
        </is>
      </c>
      <c r="Z5" s="4" t="inlineStr">
        <is>
          <t>validations</t>
        </is>
      </c>
      <c r="AA5" s="4" t="inlineStr">
        <is>
          <t>categories_indemnite</t>
        </is>
      </c>
      <c r="AB5" s="4" t="inlineStr">
        <is>
          <t>types_risque</t>
        </is>
      </c>
      <c r="AC5" s="4" t="inlineStr">
        <is>
          <t>situation_familiale</t>
        </is>
      </c>
      <c r="AD5" s="4" t="inlineStr">
        <is>
          <t>tendances</t>
        </is>
      </c>
    </row>
    <row r="6" ht="22" customHeight="1">
      <c r="A6" s="5" t="inlineStr">
        <is>
          <t>Française</t>
        </is>
      </c>
      <c r="B6" s="5" t="inlineStr">
        <is>
          <t>Direction Générale</t>
        </is>
      </c>
      <c r="C6" s="5" t="inlineStr">
        <is>
          <t>DG Adjoint</t>
        </is>
      </c>
      <c r="D6" s="5" t="inlineStr">
        <is>
          <t>Expatrié</t>
        </is>
      </c>
      <c r="E6" s="5" t="inlineStr">
        <is>
          <t>France</t>
        </is>
      </c>
      <c r="F6" s="5" t="inlineStr">
        <is>
          <t>Côte d'Ivoire</t>
        </is>
      </c>
      <c r="G6" s="5" t="inlineStr">
        <is>
          <t>Travail</t>
        </is>
      </c>
      <c r="H6" s="5" t="inlineStr">
        <is>
          <t>Carte de séjour</t>
        </is>
      </c>
      <c r="I6" s="5" t="inlineStr">
        <is>
          <t>En cours</t>
        </is>
      </c>
      <c r="J6" s="5" t="inlineStr">
        <is>
          <t>Actif</t>
        </is>
      </c>
      <c r="K6" s="5" t="inlineStr">
        <is>
          <t>CDD Expatriation</t>
        </is>
      </c>
      <c r="L6" s="5" t="inlineStr">
        <is>
          <t>Faible</t>
        </is>
      </c>
      <c r="M6" s="5" t="inlineStr">
        <is>
          <t>EUR</t>
        </is>
      </c>
      <c r="N6" s="5" t="inlineStr">
        <is>
          <t>Fourni - Villa</t>
        </is>
      </c>
      <c r="O6" s="5" t="inlineStr">
        <is>
          <t>École française</t>
        </is>
      </c>
      <c r="P6" s="5" t="inlineStr">
        <is>
          <t>Régime impatrié</t>
        </is>
      </c>
      <c r="Q6" s="5" t="inlineStr">
        <is>
          <t>Apte</t>
        </is>
      </c>
      <c r="R6" s="5" t="inlineStr">
        <is>
          <t>Non commencé</t>
        </is>
      </c>
      <c r="S6" s="5" t="inlineStr">
        <is>
          <t>Virement international</t>
        </is>
      </c>
      <c r="T6" s="5" t="inlineStr">
        <is>
          <t>Haute</t>
        </is>
      </c>
      <c r="U6" s="5" t="inlineStr">
        <is>
          <t>Conforme</t>
        </is>
      </c>
      <c r="V6" s="5" t="inlineStr">
        <is>
          <t>En attente</t>
        </is>
      </c>
      <c r="W6" s="5" t="inlineStr">
        <is>
          <t>Mensuelle</t>
        </is>
      </c>
      <c r="X6" s="5" t="inlineStr">
        <is>
          <t>Janvier 2025</t>
        </is>
      </c>
      <c r="Y6" s="5" t="inlineStr">
        <is>
          <t>T1 2025</t>
        </is>
      </c>
      <c r="Z6" s="5" t="inlineStr">
        <is>
          <t>Validé</t>
        </is>
      </c>
      <c r="AA6" s="5" t="inlineStr">
        <is>
          <t>Prime d'expatriation</t>
        </is>
      </c>
      <c r="AB6" s="5" t="inlineStr">
        <is>
          <t>Santé / Épidémiologique</t>
        </is>
      </c>
      <c r="AC6" s="5" t="inlineStr">
        <is>
          <t>Célibataire</t>
        </is>
      </c>
      <c r="AD6" s="5" t="inlineStr">
        <is>
          <t>Hausse</t>
        </is>
      </c>
    </row>
    <row r="7" ht="22" customHeight="1">
      <c r="A7" s="7" t="inlineStr">
        <is>
          <t>Allemande</t>
        </is>
      </c>
      <c r="B7" s="7" t="inlineStr">
        <is>
          <t>Ressources Humaines</t>
        </is>
      </c>
      <c r="C7" s="7" t="inlineStr">
        <is>
          <t>Contrôleur Financier</t>
        </is>
      </c>
      <c r="D7" s="7" t="inlineStr">
        <is>
          <t>Détaché</t>
        </is>
      </c>
      <c r="E7" s="7" t="inlineStr">
        <is>
          <t>Allemagne</t>
        </is>
      </c>
      <c r="F7" s="7" t="inlineStr">
        <is>
          <t>Sénégal</t>
        </is>
      </c>
      <c r="G7" s="7" t="inlineStr">
        <is>
          <t>Affaires</t>
        </is>
      </c>
      <c r="H7" s="7" t="inlineStr">
        <is>
          <t>Permis de travail A</t>
        </is>
      </c>
      <c r="I7" s="7" t="inlineStr">
        <is>
          <t>Accordé</t>
        </is>
      </c>
      <c r="J7" s="7" t="inlineStr">
        <is>
          <t>En négociation</t>
        </is>
      </c>
      <c r="K7" s="7" t="inlineStr">
        <is>
          <t>CDI Expatriation</t>
        </is>
      </c>
      <c r="L7" s="7" t="inlineStr">
        <is>
          <t>Modéré</t>
        </is>
      </c>
      <c r="M7" s="7" t="inlineStr">
        <is>
          <t>USD</t>
        </is>
      </c>
      <c r="N7" s="7" t="inlineStr">
        <is>
          <t>Fourni - Appartement</t>
        </is>
      </c>
      <c r="O7" s="7" t="inlineStr">
        <is>
          <t>École internationale</t>
        </is>
      </c>
      <c r="P7" s="7" t="inlineStr">
        <is>
          <t>Régime de droit commun</t>
        </is>
      </c>
      <c r="Q7" s="7" t="inlineStr">
        <is>
          <t>Apte avec restrictions</t>
        </is>
      </c>
      <c r="R7" s="7" t="inlineStr">
        <is>
          <t>En préparation</t>
        </is>
      </c>
      <c r="S7" s="7" t="inlineStr">
        <is>
          <t>Virement local</t>
        </is>
      </c>
      <c r="T7" s="7" t="inlineStr">
        <is>
          <t>Moyenne</t>
        </is>
      </c>
      <c r="U7" s="7" t="inlineStr">
        <is>
          <t>Partiellement conforme</t>
        </is>
      </c>
      <c r="V7" s="7" t="inlineStr">
        <is>
          <t>En cours</t>
        </is>
      </c>
      <c r="W7" s="7" t="inlineStr">
        <is>
          <t>Trimestrielle</t>
        </is>
      </c>
      <c r="X7" s="7" t="inlineStr">
        <is>
          <t>Février 2025</t>
        </is>
      </c>
      <c r="Y7" s="7" t="inlineStr">
        <is>
          <t>T2 2025</t>
        </is>
      </c>
      <c r="Z7" s="7" t="inlineStr">
        <is>
          <t>En attente</t>
        </is>
      </c>
      <c r="AA7" s="7" t="inlineStr">
        <is>
          <t>Indemnité logement</t>
        </is>
      </c>
      <c r="AB7" s="7" t="inlineStr">
        <is>
          <t>Sécurité physique</t>
        </is>
      </c>
      <c r="AC7" s="7" t="inlineStr">
        <is>
          <t>Marié(e)</t>
        </is>
      </c>
      <c r="AD7" s="7" t="inlineStr">
        <is>
          <t>Baisse</t>
        </is>
      </c>
    </row>
    <row r="8" ht="22" customHeight="1">
      <c r="A8" s="5" t="inlineStr">
        <is>
          <t>Brésilienne</t>
        </is>
      </c>
      <c r="B8" s="5" t="inlineStr">
        <is>
          <t>Finance &amp; Comptabilité</t>
        </is>
      </c>
      <c r="C8" s="5" t="inlineStr">
        <is>
          <t>Chef Exécutif</t>
        </is>
      </c>
      <c r="D8" s="5" t="inlineStr">
        <is>
          <t>Mission courte</t>
        </is>
      </c>
      <c r="E8" s="5" t="inlineStr">
        <is>
          <t>Brésil</t>
        </is>
      </c>
      <c r="F8" s="5" t="inlineStr">
        <is>
          <t>Cameroun</t>
        </is>
      </c>
      <c r="G8" s="5" t="inlineStr">
        <is>
          <t>Séjour longue durée</t>
        </is>
      </c>
      <c r="H8" s="5" t="inlineStr">
        <is>
          <t>Permis de travail B</t>
        </is>
      </c>
      <c r="I8" s="5" t="inlineStr">
        <is>
          <t>Refusé</t>
        </is>
      </c>
      <c r="J8" s="5" t="inlineStr">
        <is>
          <t>En prolongation</t>
        </is>
      </c>
      <c r="K8" s="5" t="inlineStr">
        <is>
          <t>Mission détachement</t>
        </is>
      </c>
      <c r="L8" s="5" t="inlineStr">
        <is>
          <t>Élevé</t>
        </is>
      </c>
      <c r="M8" s="5" t="inlineStr">
        <is>
          <t>XOF</t>
        </is>
      </c>
      <c r="N8" s="5" t="inlineStr">
        <is>
          <t>Indemnité logement</t>
        </is>
      </c>
      <c r="O8" s="5" t="inlineStr">
        <is>
          <t>École locale</t>
        </is>
      </c>
      <c r="P8" s="5" t="inlineStr">
        <is>
          <t>Convention fiscale</t>
        </is>
      </c>
      <c r="Q8" s="5" t="inlineStr">
        <is>
          <t>Inapte temporaire</t>
        </is>
      </c>
      <c r="R8" s="5" t="inlineStr">
        <is>
          <t>En cours</t>
        </is>
      </c>
      <c r="S8" s="5" t="inlineStr">
        <is>
          <t>Chèque</t>
        </is>
      </c>
      <c r="T8" s="5" t="inlineStr">
        <is>
          <t>Basse</t>
        </is>
      </c>
      <c r="U8" s="5" t="inlineStr">
        <is>
          <t>Non conforme</t>
        </is>
      </c>
      <c r="V8" s="5" t="inlineStr">
        <is>
          <t>Terminé</t>
        </is>
      </c>
      <c r="W8" s="5" t="inlineStr">
        <is>
          <t>Semestrielle</t>
        </is>
      </c>
      <c r="X8" s="5" t="inlineStr">
        <is>
          <t>Mars 2025</t>
        </is>
      </c>
      <c r="Y8" s="5" t="inlineStr">
        <is>
          <t>T3 2025</t>
        </is>
      </c>
      <c r="Z8" s="5" t="inlineStr">
        <is>
          <t>Rejeté</t>
        </is>
      </c>
      <c r="AA8" s="5" t="inlineStr">
        <is>
          <t>Indemnité scolarité</t>
        </is>
      </c>
      <c r="AB8" s="5" t="inlineStr">
        <is>
          <t>Instabilité politique</t>
        </is>
      </c>
      <c r="AC8" s="5" t="inlineStr">
        <is>
          <t>Concubin(e)</t>
        </is>
      </c>
      <c r="AD8" s="5" t="inlineStr">
        <is>
          <t>Stable</t>
        </is>
      </c>
    </row>
    <row r="9" ht="22" customHeight="1">
      <c r="A9" s="7" t="inlineStr">
        <is>
          <t>Coréenne</t>
        </is>
      </c>
      <c r="B9" s="7" t="inlineStr">
        <is>
          <t>Marketing &amp; Communication</t>
        </is>
      </c>
      <c r="C9" s="7" t="inlineStr">
        <is>
          <t>Directrice Spa</t>
        </is>
      </c>
      <c r="D9" s="7" t="inlineStr">
        <is>
          <t>Consultant intl.</t>
        </is>
      </c>
      <c r="E9" s="7" t="inlineStr">
        <is>
          <t>Corée du Sud</t>
        </is>
      </c>
      <c r="F9" s="7" t="inlineStr">
        <is>
          <t>Ghana</t>
        </is>
      </c>
      <c r="G9" s="7" t="inlineStr">
        <is>
          <t>Diplomatique</t>
        </is>
      </c>
      <c r="H9" s="7" t="inlineStr">
        <is>
          <t>Permis de travail C</t>
        </is>
      </c>
      <c r="I9" s="7" t="inlineStr">
        <is>
          <t>Renouvellement</t>
        </is>
      </c>
      <c r="J9" s="7" t="inlineStr">
        <is>
          <t>Expiré</t>
        </is>
      </c>
      <c r="K9" s="7" t="inlineStr">
        <is>
          <t>Consultation</t>
        </is>
      </c>
      <c r="L9" s="7" t="inlineStr">
        <is>
          <t>Critique</t>
        </is>
      </c>
      <c r="M9" s="7" t="inlineStr">
        <is>
          <t>GBP</t>
        </is>
      </c>
      <c r="N9" s="7" t="inlineStr">
        <is>
          <t>En recherche</t>
        </is>
      </c>
      <c r="O9" s="7" t="inlineStr">
        <is>
          <t>Enseignement à domicile</t>
        </is>
      </c>
      <c r="P9" s="7" t="inlineStr">
        <is>
          <t>Exonération partielle</t>
        </is>
      </c>
      <c r="Q9" s="7" t="inlineStr">
        <is>
          <t>En attente</t>
        </is>
      </c>
      <c r="R9" s="7" t="inlineStr">
        <is>
          <t>Terminé</t>
        </is>
      </c>
      <c r="S9" s="7" t="inlineStr">
        <is>
          <t>Espèces</t>
        </is>
      </c>
      <c r="T9" s="7" t="n"/>
      <c r="U9" s="7" t="inlineStr">
        <is>
          <t>En attente</t>
        </is>
      </c>
      <c r="V9" s="7" t="inlineStr">
        <is>
          <t>Reporté</t>
        </is>
      </c>
      <c r="W9" s="7" t="inlineStr">
        <is>
          <t>Annuelle</t>
        </is>
      </c>
      <c r="X9" s="7" t="inlineStr">
        <is>
          <t>Avril 2025</t>
        </is>
      </c>
      <c r="Y9" s="7" t="inlineStr">
        <is>
          <t>T4 2025</t>
        </is>
      </c>
      <c r="Z9" s="7" t="inlineStr">
        <is>
          <t>Non applicable</t>
        </is>
      </c>
      <c r="AA9" s="7" t="inlineStr">
        <is>
          <t>Prime de difficulté</t>
        </is>
      </c>
      <c r="AB9" s="7" t="inlineStr">
        <is>
          <t>Risque naturel</t>
        </is>
      </c>
      <c r="AC9" s="7" t="inlineStr">
        <is>
          <t>Divorcé(e)</t>
        </is>
      </c>
      <c r="AD9" s="7" t="n"/>
    </row>
    <row r="10" ht="22" customHeight="1">
      <c r="A10" s="5" t="inlineStr">
        <is>
          <t>Japonaise</t>
        </is>
      </c>
      <c r="B10" s="5" t="inlineStr">
        <is>
          <t>Informatique</t>
        </is>
      </c>
      <c r="C10" s="5" t="inlineStr">
        <is>
          <t>Expert IT Senior</t>
        </is>
      </c>
      <c r="D10" s="5" t="inlineStr">
        <is>
          <t>Stage intl.</t>
        </is>
      </c>
      <c r="E10" s="5" t="inlineStr">
        <is>
          <t>Japon</t>
        </is>
      </c>
      <c r="F10" s="5" t="inlineStr">
        <is>
          <t>Mali</t>
        </is>
      </c>
      <c r="G10" s="5" t="inlineStr">
        <is>
          <t>Humanitaire</t>
        </is>
      </c>
      <c r="H10" s="5" t="inlineStr">
        <is>
          <t>Exemption</t>
        </is>
      </c>
      <c r="I10" s="5" t="inlineStr">
        <is>
          <t>Expiré</t>
        </is>
      </c>
      <c r="J10" s="5" t="inlineStr">
        <is>
          <t>Résilié</t>
        </is>
      </c>
      <c r="K10" s="5" t="inlineStr">
        <is>
          <t>Prestation</t>
        </is>
      </c>
      <c r="L10" s="5" t="n"/>
      <c r="M10" s="5" t="inlineStr">
        <is>
          <t>CHF</t>
        </is>
      </c>
      <c r="N10" s="5" t="inlineStr">
        <is>
          <t>N/A</t>
        </is>
      </c>
      <c r="O10" s="5" t="inlineStr">
        <is>
          <t>Université</t>
        </is>
      </c>
      <c r="P10" s="5" t="inlineStr">
        <is>
          <t>Non résident</t>
        </is>
      </c>
      <c r="Q10" s="5" t="inlineStr">
        <is>
          <t>Non vérifié</t>
        </is>
      </c>
      <c r="R10" s="5" t="inlineStr">
        <is>
          <t>Abandonné</t>
        </is>
      </c>
      <c r="S10" s="5" t="inlineStr">
        <is>
          <t>Mixte</t>
        </is>
      </c>
      <c r="T10" s="5" t="n"/>
      <c r="U10" s="5" t="inlineStr">
        <is>
          <t>Non applicable</t>
        </is>
      </c>
      <c r="V10" s="5" t="inlineStr">
        <is>
          <t>Annulé</t>
        </is>
      </c>
      <c r="W10" s="5" t="inlineStr">
        <is>
          <t>Ponctuelle</t>
        </is>
      </c>
      <c r="X10" s="5" t="inlineStr">
        <is>
          <t>Mai 2025</t>
        </is>
      </c>
      <c r="Y10" s="5" t="n"/>
      <c r="Z10" s="5" t="n"/>
      <c r="AA10" s="5" t="inlineStr">
        <is>
          <t>Indemnité voyage</t>
        </is>
      </c>
      <c r="AB10" s="5" t="inlineStr">
        <is>
          <t>Taux de change</t>
        </is>
      </c>
      <c r="AC10" s="5" t="inlineStr">
        <is>
          <t>Veuf(ve)</t>
        </is>
      </c>
      <c r="AD10" s="5" t="n"/>
    </row>
    <row r="11" ht="22" customHeight="1">
      <c r="A11" s="7" t="inlineStr">
        <is>
          <t>Nigériane</t>
        </is>
      </c>
      <c r="B11" s="7" t="inlineStr">
        <is>
          <t>Commerce</t>
        </is>
      </c>
      <c r="C11" s="7" t="inlineStr">
        <is>
          <t>Concierge Chef</t>
        </is>
      </c>
      <c r="D11" s="7" t="n"/>
      <c r="E11" s="7" t="inlineStr">
        <is>
          <t>Nigeria</t>
        </is>
      </c>
      <c r="F11" s="7" t="inlineStr">
        <is>
          <t>Burkina Faso</t>
        </is>
      </c>
      <c r="G11" s="7" t="n"/>
      <c r="H11" s="7" t="n"/>
      <c r="I11" s="7" t="inlineStr">
        <is>
          <t>Non requis</t>
        </is>
      </c>
      <c r="J11" s="7" t="n"/>
      <c r="K11" s="7" t="n"/>
      <c r="L11" s="7" t="n"/>
      <c r="M11" s="7" t="inlineStr">
        <is>
          <t>JPY</t>
        </is>
      </c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inlineStr">
        <is>
          <t>Juin 2025</t>
        </is>
      </c>
      <c r="Y11" s="7" t="n"/>
      <c r="Z11" s="7" t="n"/>
      <c r="AA11" s="7" t="inlineStr">
        <is>
          <t>Prime d'installation</t>
        </is>
      </c>
      <c r="AB11" s="7" t="inlineStr">
        <is>
          <t>Conformité légale</t>
        </is>
      </c>
      <c r="AC11" s="7" t="n"/>
      <c r="AD11" s="7" t="n"/>
    </row>
    <row r="12" ht="22" customHeight="1">
      <c r="A12" s="5" t="inlineStr">
        <is>
          <t>Portugaise</t>
        </is>
      </c>
      <c r="B12" s="5" t="inlineStr">
        <is>
          <t>Logistique &amp; Approvisionnement</t>
        </is>
      </c>
      <c r="C12" s="5" t="inlineStr">
        <is>
          <t>Resp. Formation Intl.</t>
        </is>
      </c>
      <c r="D12" s="5" t="n"/>
      <c r="E12" s="5" t="inlineStr">
        <is>
          <t>Portugal</t>
        </is>
      </c>
      <c r="F12" s="5" t="inlineStr">
        <is>
          <t>Guinée</t>
        </is>
      </c>
      <c r="G12" s="5" t="n"/>
      <c r="H12" s="5" t="n"/>
      <c r="I12" s="5" t="n"/>
      <c r="J12" s="5" t="n"/>
      <c r="K12" s="5" t="n"/>
      <c r="L12" s="5" t="n"/>
      <c r="M12" s="5" t="inlineStr">
        <is>
          <t>CNY</t>
        </is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inlineStr">
        <is>
          <t>Juillet 2025</t>
        </is>
      </c>
      <c r="Y12" s="5" t="n"/>
      <c r="Z12" s="5" t="n"/>
      <c r="AA12" s="5" t="inlineStr">
        <is>
          <t>Indemnité rapatriement</t>
        </is>
      </c>
      <c r="AB12" s="5" t="inlineStr">
        <is>
          <t>Risque financier</t>
        </is>
      </c>
      <c r="AC12" s="5" t="n"/>
      <c r="AD12" s="5" t="n"/>
    </row>
    <row r="13" ht="22" customHeight="1">
      <c r="A13" s="7" t="inlineStr">
        <is>
          <t>Chinoise</t>
        </is>
      </c>
      <c r="B13" s="7" t="inlineStr">
        <is>
          <t>Réception &amp; Front Office</t>
        </is>
      </c>
      <c r="C13" s="7" t="inlineStr">
        <is>
          <t>Directeur Marketing</t>
        </is>
      </c>
      <c r="D13" s="7" t="n"/>
      <c r="E13" s="7" t="inlineStr">
        <is>
          <t>Chine</t>
        </is>
      </c>
      <c r="F13" s="7" t="inlineStr">
        <is>
          <t>Maroc</t>
        </is>
      </c>
      <c r="G13" s="7" t="n"/>
      <c r="H13" s="7" t="n"/>
      <c r="I13" s="7" t="n"/>
      <c r="J13" s="7" t="n"/>
      <c r="K13" s="7" t="n"/>
      <c r="L13" s="7" t="n"/>
      <c r="M13" s="7" t="inlineStr">
        <is>
          <t>KRW</t>
        </is>
      </c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inlineStr">
        <is>
          <t>Août 2025</t>
        </is>
      </c>
      <c r="Y13" s="7" t="n"/>
      <c r="Z13" s="7" t="n"/>
      <c r="AA13" s="7" t="inlineStr">
        <is>
          <t>Prime de mobilité</t>
        </is>
      </c>
      <c r="AB13" s="7" t="inlineStr">
        <is>
          <t>Logistique / Transport</t>
        </is>
      </c>
      <c r="AC13" s="7" t="n"/>
      <c r="AD13" s="7" t="n"/>
    </row>
    <row r="14" ht="22" customHeight="1">
      <c r="A14" s="5" t="inlineStr">
        <is>
          <t>Belge</t>
        </is>
      </c>
      <c r="B14" s="5" t="inlineStr">
        <is>
          <t>Cuisine &amp; Restauration</t>
        </is>
      </c>
      <c r="C14" s="5" t="inlineStr">
        <is>
          <t>Director of Rooms</t>
        </is>
      </c>
      <c r="D14" s="5" t="n"/>
      <c r="E14" s="5" t="inlineStr">
        <is>
          <t>Belgique</t>
        </is>
      </c>
      <c r="F14" s="5" t="inlineStr">
        <is>
          <t>Tunisie</t>
        </is>
      </c>
      <c r="G14" s="5" t="n"/>
      <c r="H14" s="5" t="n"/>
      <c r="I14" s="5" t="n"/>
      <c r="J14" s="5" t="n"/>
      <c r="K14" s="5" t="n"/>
      <c r="L14" s="5" t="n"/>
      <c r="M14" s="5" t="inlineStr">
        <is>
          <t>BRL</t>
        </is>
      </c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inlineStr">
        <is>
          <t>Septembre 2025</t>
        </is>
      </c>
      <c r="Y14" s="5" t="n"/>
      <c r="Z14" s="5" t="n"/>
      <c r="AA14" s="5" t="n"/>
      <c r="AB14" s="5" t="n"/>
      <c r="AC14" s="5" t="n"/>
      <c r="AD14" s="5" t="n"/>
    </row>
    <row r="15" ht="22" customHeight="1">
      <c r="A15" s="7" t="inlineStr">
        <is>
          <t>Ghanéenne</t>
        </is>
      </c>
      <c r="B15" s="7" t="inlineStr">
        <is>
          <t>Hébergement</t>
        </is>
      </c>
      <c r="C15" s="7" t="inlineStr">
        <is>
          <t>Resp. Commercial Asie</t>
        </is>
      </c>
      <c r="D15" s="7" t="n"/>
      <c r="E15" s="7" t="inlineStr">
        <is>
          <t>Ghana</t>
        </is>
      </c>
      <c r="F15" s="7" t="inlineStr">
        <is>
          <t>Kenya</t>
        </is>
      </c>
      <c r="G15" s="7" t="n"/>
      <c r="H15" s="7" t="n"/>
      <c r="I15" s="7" t="n"/>
      <c r="J15" s="7" t="n"/>
      <c r="K15" s="7" t="n"/>
      <c r="L15" s="7" t="n"/>
      <c r="M15" s="7" t="inlineStr">
        <is>
          <t>MAD</t>
        </is>
      </c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inlineStr">
        <is>
          <t>Octobre 2025</t>
        </is>
      </c>
      <c r="Y15" s="7" t="n"/>
      <c r="Z15" s="7" t="n"/>
      <c r="AA15" s="7" t="n"/>
      <c r="AB15" s="7" t="n"/>
      <c r="AC15" s="7" t="n"/>
      <c r="AD15" s="7" t="n"/>
    </row>
    <row r="16" ht="22" customHeight="1">
      <c r="A16" s="5" t="inlineStr">
        <is>
          <t>Italienne</t>
        </is>
      </c>
      <c r="B16" s="5" t="inlineStr">
        <is>
          <t>Entretien &amp; Maintenance</t>
        </is>
      </c>
      <c r="C16" s="5" t="inlineStr">
        <is>
          <t>DRH</t>
        </is>
      </c>
      <c r="D16" s="5" t="n"/>
      <c r="E16" s="5" t="inlineStr">
        <is>
          <t>Italie</t>
        </is>
      </c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inlineStr">
        <is>
          <t>Novembre 2025</t>
        </is>
      </c>
      <c r="Y16" s="5" t="n"/>
      <c r="Z16" s="5" t="n"/>
      <c r="AA16" s="5" t="n"/>
      <c r="AB16" s="5" t="n"/>
      <c r="AC16" s="5" t="n"/>
      <c r="AD16" s="5" t="n"/>
    </row>
    <row r="17" ht="22" customHeight="1">
      <c r="A17" s="7" t="inlineStr">
        <is>
          <t>Marocaine</t>
        </is>
      </c>
      <c r="B17" s="7" t="inlineStr">
        <is>
          <t>Sécurité</t>
        </is>
      </c>
      <c r="C17" s="7" t="inlineStr">
        <is>
          <t>Consultant Sécurité</t>
        </is>
      </c>
      <c r="D17" s="7" t="n"/>
      <c r="E17" s="7" t="inlineStr">
        <is>
          <t>Maroc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inlineStr">
        <is>
          <t>Décembre 2025</t>
        </is>
      </c>
      <c r="Y17" s="7" t="n"/>
      <c r="Z17" s="7" t="n"/>
      <c r="AA17" s="7" t="n"/>
      <c r="AB17" s="7" t="n"/>
      <c r="AC17" s="7" t="n"/>
      <c r="AD17" s="7" t="n"/>
    </row>
    <row r="18" ht="22" customHeight="1">
      <c r="A18" s="5" t="inlineStr">
        <is>
          <t>Suédoise</t>
        </is>
      </c>
      <c r="B18" s="5" t="inlineStr">
        <is>
          <t>Service Client</t>
        </is>
      </c>
      <c r="C18" s="5" t="inlineStr">
        <is>
          <t>Sommelier Chef</t>
        </is>
      </c>
      <c r="D18" s="5" t="n"/>
      <c r="E18" s="5" t="inlineStr">
        <is>
          <t>Suède</t>
        </is>
      </c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</row>
    <row r="19" ht="22" customHeight="1">
      <c r="A19" s="7" t="inlineStr">
        <is>
          <t>Américaine</t>
        </is>
      </c>
      <c r="B19" s="7" t="inlineStr">
        <is>
          <t>Animation &amp; Loisirs</t>
        </is>
      </c>
      <c r="C19" s="7" t="inlineStr">
        <is>
          <t>Animatrice Multilingue</t>
        </is>
      </c>
      <c r="D19" s="7" t="n"/>
      <c r="E19" s="7" t="inlineStr">
        <is>
          <t>États-Unis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</row>
    <row r="20" ht="22" customHeight="1">
      <c r="A20" s="5" t="inlineStr">
        <is>
          <t>Britannique</t>
        </is>
      </c>
      <c r="B20" s="5" t="inlineStr">
        <is>
          <t>Spa &amp; Bien-être</t>
        </is>
      </c>
      <c r="C20" s="5" t="inlineStr">
        <is>
          <t>Ingénieur Technique</t>
        </is>
      </c>
      <c r="D20" s="5" t="n"/>
      <c r="E20" s="5" t="inlineStr">
        <is>
          <t>Royaume-Uni</t>
        </is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</row>
    <row r="21" ht="22" customHeight="1">
      <c r="A21" s="7" t="inlineStr">
        <is>
          <t>Canadienne</t>
        </is>
      </c>
      <c r="B21" s="7" t="n"/>
      <c r="C21" s="7" t="inlineStr">
        <is>
          <t>Chef Réception</t>
        </is>
      </c>
      <c r="D21" s="7" t="n"/>
      <c r="E21" s="7" t="inlineStr">
        <is>
          <t>Canada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</row>
    <row r="22" ht="22" customHeight="1">
      <c r="A22" s="5" t="inlineStr">
        <is>
          <t>Suisse</t>
        </is>
      </c>
      <c r="B22" s="5" t="n"/>
      <c r="C22" s="5" t="inlineStr">
        <is>
          <t>Resp. Service Client</t>
        </is>
      </c>
      <c r="D22" s="5" t="n"/>
      <c r="E22" s="5" t="inlineStr">
        <is>
          <t>Suisse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</row>
    <row r="23" ht="22" customHeight="1">
      <c r="A23" s="7" t="inlineStr">
        <is>
          <t>Ivoirienne</t>
        </is>
      </c>
      <c r="B23" s="7" t="n"/>
      <c r="C23" s="7" t="inlineStr">
        <is>
          <t>Gouvernante</t>
        </is>
      </c>
      <c r="D23" s="7" t="n"/>
      <c r="E23" s="7" t="inlineStr">
        <is>
          <t>Côte d'Ivoire</t>
        </is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</row>
    <row r="24" ht="22" customHeight="1">
      <c r="A24" s="5" t="inlineStr">
        <is>
          <t>Sénégalaise</t>
        </is>
      </c>
      <c r="B24" s="5" t="n"/>
      <c r="C24" s="5" t="inlineStr">
        <is>
          <t>Agent Réception</t>
        </is>
      </c>
      <c r="D24" s="5" t="n"/>
      <c r="E24" s="5" t="inlineStr">
        <is>
          <t>Sénégal</t>
        </is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</row>
    <row r="25" ht="22" customHeight="1">
      <c r="A25" s="7" t="inlineStr">
        <is>
          <t>Camerounaise</t>
        </is>
      </c>
      <c r="B25" s="7" t="n"/>
      <c r="C25" s="7" t="inlineStr">
        <is>
          <t>Technicien</t>
        </is>
      </c>
      <c r="D25" s="7" t="n"/>
      <c r="E25" s="7" t="inlineStr">
        <is>
          <t>Cameroun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</row>
  </sheetData>
  <mergeCells count="2">
    <mergeCell ref="A3:AD3"/>
    <mergeCell ref="A2:A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N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22" customWidth="1" min="4" max="4"/>
    <col width="18" customWidth="1" min="5" max="5"/>
    <col width="18" customWidth="1" min="6" max="6"/>
    <col width="14" customWidth="1" min="7" max="7"/>
    <col width="4" customWidth="1" min="8" max="8"/>
    <col width="22" customWidth="1" min="9" max="9"/>
    <col width="18" customWidth="1" min="10" max="10"/>
    <col width="16" customWidth="1" min="11" max="11"/>
    <col width="18" customWidth="1" min="12" max="12"/>
    <col width="14" customWidth="1" min="13" max="13"/>
    <col width="14" customWidth="1" min="14" max="14"/>
  </cols>
  <sheetData>
    <row r="1" ht="8" customHeight="1"/>
    <row r="2" ht="36" customHeight="1">
      <c r="A2" s="9" t="inlineStr">
        <is>
          <t>DOMAINE 30 — GESTION DES EXPATRIÉS ET MOBILITÉ INTERNATIONALE RH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10" t="inlineStr">
        <is>
          <t>Tableau de Bord Synthétique — Expatriés, visas, indemnités et conformité</t>
        </is>
      </c>
    </row>
    <row r="4" ht="8" customHeight="1"/>
    <row r="5" ht="24" customHeight="1">
      <c r="A5" s="11" t="inlineStr">
        <is>
          <t>INDICATEURS CLÉS</t>
        </is>
      </c>
    </row>
    <row r="6" ht="20" customHeight="1">
      <c r="A6" s="12" t="inlineStr">
        <is>
          <t>Nb Expatriés Actifs</t>
        </is>
      </c>
      <c r="B6" s="13" t="n"/>
      <c r="C6" s="12" t="inlineStr">
        <is>
          <t>Pays d'Origine Représentés</t>
        </is>
      </c>
      <c r="D6" s="13" t="n"/>
      <c r="E6" s="12" t="inlineStr">
        <is>
          <t>Visas en Cours</t>
        </is>
      </c>
      <c r="F6" s="13" t="n"/>
      <c r="G6" s="12" t="inlineStr">
        <is>
          <t>Budget Mobilité (M FCFA)</t>
        </is>
      </c>
      <c r="H6" s="13" t="n"/>
      <c r="I6" s="12" t="inlineStr">
        <is>
          <t>Taux Conformité (%)</t>
        </is>
      </c>
      <c r="J6" s="13" t="n"/>
      <c r="K6" s="12" t="inlineStr">
        <is>
          <t>Réintégrations Planifiées</t>
        </is>
      </c>
      <c r="L6" s="13" t="n"/>
    </row>
    <row r="7" ht="36" customHeight="1">
      <c r="A7" s="14" t="inlineStr">
        <is>
          <t>15</t>
        </is>
      </c>
      <c r="B7" s="13" t="n"/>
      <c r="C7" s="14" t="inlineStr">
        <is>
          <t>11</t>
        </is>
      </c>
      <c r="D7" s="13" t="n"/>
      <c r="E7" s="14" t="inlineStr">
        <is>
          <t>3</t>
        </is>
      </c>
      <c r="F7" s="13" t="n"/>
      <c r="G7" s="14" t="inlineStr">
        <is>
          <t>85.4</t>
        </is>
      </c>
      <c r="H7" s="13" t="n"/>
      <c r="I7" s="14" t="inlineStr">
        <is>
          <t>93</t>
        </is>
      </c>
      <c r="J7" s="13" t="n"/>
      <c r="K7" s="14" t="inlineStr">
        <is>
          <t>2</t>
        </is>
      </c>
      <c r="L7" s="13" t="n"/>
    </row>
    <row r="8" ht="8" customHeight="1"/>
    <row r="9" ht="24" customHeight="1">
      <c r="A9" s="11" t="inlineStr">
        <is>
          <t>RÉPARTITION PAR NATIONALITÉ</t>
        </is>
      </c>
      <c r="I9" s="11" t="inlineStr">
        <is>
          <t>VISA &amp; PERMIS EN COURS</t>
        </is>
      </c>
    </row>
    <row r="10" ht="26" customHeight="1">
      <c r="A10" s="4" t="inlineStr">
        <is>
          <t>Nationalité</t>
        </is>
      </c>
      <c r="B10" s="4" t="inlineStr">
        <is>
          <t>Effectif</t>
        </is>
      </c>
      <c r="C10" s="4" t="inlineStr">
        <is>
          <t>Statut Majoritaire</t>
        </is>
      </c>
      <c r="D10" s="4" t="inlineStr">
        <is>
          <t>Nb Enfants</t>
        </is>
      </c>
      <c r="E10" s="4" t="inlineStr">
        <is>
          <t>Coût Moyen Mens. (k€)</t>
        </is>
      </c>
      <c r="I10" s="4" t="inlineStr">
        <is>
          <t>Pays</t>
        </is>
      </c>
      <c r="J10" s="4" t="inlineStr">
        <is>
          <t>Nb En cours</t>
        </is>
      </c>
      <c r="K10" s="4" t="inlineStr">
        <is>
          <t>Nb Accordés</t>
        </is>
      </c>
      <c r="L10" s="4" t="inlineStr">
        <is>
          <t>Nb Expirés</t>
        </is>
      </c>
      <c r="M10" s="4" t="inlineStr">
        <is>
          <t>Alertes</t>
        </is>
      </c>
    </row>
    <row r="11">
      <c r="A11" s="15" t="inlineStr">
        <is>
          <t>Française</t>
        </is>
      </c>
      <c r="B11" s="15" t="n">
        <v>4</v>
      </c>
      <c r="C11" s="15" t="inlineStr">
        <is>
          <t>Expatrié</t>
        </is>
      </c>
      <c r="D11" s="15" t="n">
        <v>6</v>
      </c>
      <c r="E11" s="16" t="n">
        <v>4.2</v>
      </c>
      <c r="I11" s="15" t="inlineStr">
        <is>
          <t>France</t>
        </is>
      </c>
      <c r="J11" s="15" t="n">
        <v>1</v>
      </c>
      <c r="K11" s="15" t="n">
        <v>3</v>
      </c>
      <c r="L11" s="15" t="n">
        <v>0</v>
      </c>
      <c r="M11" s="15" t="inlineStr">
        <is>
          <t>0</t>
        </is>
      </c>
    </row>
    <row r="12">
      <c r="A12" s="17" t="inlineStr">
        <is>
          <t>Allemande</t>
        </is>
      </c>
      <c r="B12" s="17" t="n">
        <v>1</v>
      </c>
      <c r="C12" s="17" t="inlineStr">
        <is>
          <t>Expatrié</t>
        </is>
      </c>
      <c r="D12" s="17" t="n">
        <v>1</v>
      </c>
      <c r="E12" s="18" t="n">
        <v>3.8</v>
      </c>
      <c r="I12" s="17" t="inlineStr">
        <is>
          <t>Allemagne</t>
        </is>
      </c>
      <c r="J12" s="17" t="n">
        <v>0</v>
      </c>
      <c r="K12" s="17" t="n">
        <v>1</v>
      </c>
      <c r="L12" s="17" t="n">
        <v>0</v>
      </c>
      <c r="M12" s="17" t="inlineStr">
        <is>
          <t>0</t>
        </is>
      </c>
    </row>
    <row r="13">
      <c r="A13" s="15" t="inlineStr">
        <is>
          <t>Coréenne</t>
        </is>
      </c>
      <c r="B13" s="15" t="n">
        <v>1</v>
      </c>
      <c r="C13" s="15" t="inlineStr">
        <is>
          <t>Détaché</t>
        </is>
      </c>
      <c r="D13" s="15" t="n">
        <v>1</v>
      </c>
      <c r="E13" s="16" t="n">
        <v>3.5</v>
      </c>
      <c r="I13" s="15" t="inlineStr">
        <is>
          <t>Corée du Sud</t>
        </is>
      </c>
      <c r="J13" s="15" t="n">
        <v>1</v>
      </c>
      <c r="K13" s="15" t="n">
        <v>0</v>
      </c>
      <c r="L13" s="15" t="n">
        <v>0</v>
      </c>
      <c r="M13" s="15" t="inlineStr">
        <is>
          <t>Renouvellement</t>
        </is>
      </c>
    </row>
    <row r="14">
      <c r="A14" s="17" t="inlineStr">
        <is>
          <t>Japonaise</t>
        </is>
      </c>
      <c r="B14" s="17" t="n">
        <v>1</v>
      </c>
      <c r="C14" s="17" t="inlineStr">
        <is>
          <t>Expatrié</t>
        </is>
      </c>
      <c r="D14" s="17" t="n">
        <v>0</v>
      </c>
      <c r="E14" s="18" t="n">
        <v>3.9</v>
      </c>
      <c r="I14" s="17" t="inlineStr">
        <is>
          <t>Japon</t>
        </is>
      </c>
      <c r="J14" s="17" t="n">
        <v>0</v>
      </c>
      <c r="K14" s="17" t="n">
        <v>1</v>
      </c>
      <c r="L14" s="17" t="n">
        <v>0</v>
      </c>
      <c r="M14" s="17" t="inlineStr">
        <is>
          <t>0</t>
        </is>
      </c>
    </row>
    <row r="15">
      <c r="A15" s="15" t="inlineStr">
        <is>
          <t>Nigériane</t>
        </is>
      </c>
      <c r="B15" s="15" t="n">
        <v>1</v>
      </c>
      <c r="C15" s="15" t="inlineStr">
        <is>
          <t>Détaché</t>
        </is>
      </c>
      <c r="D15" s="15" t="n">
        <v>3</v>
      </c>
      <c r="E15" s="16" t="n">
        <v>2.8</v>
      </c>
      <c r="I15" s="15" t="inlineStr">
        <is>
          <t>Nigeria</t>
        </is>
      </c>
      <c r="J15" s="15" t="n">
        <v>0</v>
      </c>
      <c r="K15" s="15" t="n">
        <v>1</v>
      </c>
      <c r="L15" s="15" t="n">
        <v>0</v>
      </c>
      <c r="M15" s="15" t="inlineStr">
        <is>
          <t>0</t>
        </is>
      </c>
    </row>
    <row r="16">
      <c r="A16" s="17" t="inlineStr">
        <is>
          <t>Portugaise</t>
        </is>
      </c>
      <c r="B16" s="17" t="n">
        <v>1</v>
      </c>
      <c r="C16" s="17" t="inlineStr">
        <is>
          <t>Expatrié</t>
        </is>
      </c>
      <c r="D16" s="17" t="n">
        <v>1</v>
      </c>
      <c r="E16" s="18" t="n">
        <v>3.2</v>
      </c>
      <c r="I16" s="17" t="inlineStr">
        <is>
          <t>Portugal</t>
        </is>
      </c>
      <c r="J16" s="17" t="n">
        <v>1</v>
      </c>
      <c r="K16" s="17" t="n">
        <v>0</v>
      </c>
      <c r="L16" s="17" t="n">
        <v>0</v>
      </c>
      <c r="M16" s="17" t="inlineStr">
        <is>
          <t>Expiration 30j</t>
        </is>
      </c>
    </row>
    <row r="17">
      <c r="A17" s="15" t="inlineStr">
        <is>
          <t>Chinoise</t>
        </is>
      </c>
      <c r="B17" s="15" t="n">
        <v>1</v>
      </c>
      <c r="C17" s="15" t="inlineStr">
        <is>
          <t>Détaché</t>
        </is>
      </c>
      <c r="D17" s="15" t="n">
        <v>0</v>
      </c>
      <c r="E17" s="16" t="n">
        <v>3.6</v>
      </c>
    </row>
    <row r="18">
      <c r="A18" s="17" t="inlineStr">
        <is>
          <t>Belge</t>
        </is>
      </c>
      <c r="B18" s="17" t="n">
        <v>1</v>
      </c>
      <c r="C18" s="17" t="inlineStr">
        <is>
          <t>Expatrié</t>
        </is>
      </c>
      <c r="D18" s="17" t="n">
        <v>2</v>
      </c>
      <c r="E18" s="18" t="n">
        <v>4</v>
      </c>
    </row>
    <row r="19">
      <c r="A19" s="15" t="inlineStr">
        <is>
          <t>Italienne</t>
        </is>
      </c>
      <c r="B19" s="15" t="n">
        <v>1</v>
      </c>
      <c r="C19" s="15" t="inlineStr">
        <is>
          <t>Expatrié</t>
        </is>
      </c>
      <c r="D19" s="15" t="n">
        <v>0</v>
      </c>
      <c r="E19" s="16" t="n">
        <v>3.3</v>
      </c>
    </row>
    <row r="20" ht="24" customHeight="1">
      <c r="A20" s="19" t="inlineStr">
        <is>
          <t>ACTIONS PLANIFIÉES</t>
        </is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1" t="n"/>
    </row>
    <row r="21">
      <c r="A21" s="4" t="inlineStr">
        <is>
          <t>Action</t>
        </is>
      </c>
      <c r="B21" s="4" t="inlineStr">
        <is>
          <t>Responsable</t>
        </is>
      </c>
      <c r="C21" s="4" t="inlineStr">
        <is>
          <t>Échéance</t>
        </is>
      </c>
      <c r="D21" s="4" t="inlineStr">
        <is>
          <t>Priorité</t>
        </is>
      </c>
      <c r="E21" s="4" t="inlineStr">
        <is>
          <t>Statut</t>
        </is>
      </c>
    </row>
    <row r="22">
      <c r="A22" s="5" t="inlineStr">
        <is>
          <t>Renouveler visa Kim J.</t>
        </is>
      </c>
      <c r="B22" s="5" t="inlineStr">
        <is>
          <t>DRH</t>
        </is>
      </c>
      <c r="C22" s="22" t="n">
        <v>45762</v>
      </c>
      <c r="D22" s="5" t="inlineStr">
        <is>
          <t>Haute</t>
        </is>
      </c>
      <c r="E22" s="5" t="inlineStr">
        <is>
          <t>En cours</t>
        </is>
      </c>
    </row>
    <row r="23">
      <c r="A23" s="7" t="inlineStr">
        <is>
          <t>Logement Dupont S.</t>
        </is>
      </c>
      <c r="B23" s="7" t="inlineStr">
        <is>
          <t>DRH / Logistique</t>
        </is>
      </c>
      <c r="C23" s="23" t="n">
        <v>45717</v>
      </c>
      <c r="D23" s="7" t="inlineStr">
        <is>
          <t>Haute</t>
        </is>
      </c>
      <c r="E23" s="7" t="inlineStr">
        <is>
          <t>En cours</t>
        </is>
      </c>
    </row>
    <row r="24">
      <c r="A24" s="5" t="inlineStr">
        <is>
          <t>Audit fiscalité expat T1</t>
        </is>
      </c>
      <c r="B24" s="5" t="inlineStr">
        <is>
          <t>DAF / Expert fiscal</t>
        </is>
      </c>
      <c r="C24" s="22" t="n">
        <v>45747</v>
      </c>
      <c r="D24" s="5" t="inlineStr">
        <is>
          <t>Moyenne</t>
        </is>
      </c>
      <c r="E24" s="5" t="inlineStr">
        <is>
          <t>En cours</t>
        </is>
      </c>
    </row>
    <row r="25">
      <c r="A25" s="7" t="inlineStr">
        <is>
          <t>Préparer réintégration Martin</t>
        </is>
      </c>
      <c r="B25" s="7" t="inlineStr">
        <is>
          <t>DRH</t>
        </is>
      </c>
      <c r="C25" s="23" t="n">
        <v>45901</v>
      </c>
      <c r="D25" s="7" t="inlineStr">
        <is>
          <t>Basse</t>
        </is>
      </c>
      <c r="E25" s="7" t="inlineStr">
        <is>
          <t>Planifié</t>
        </is>
      </c>
    </row>
  </sheetData>
  <mergeCells count="18">
    <mergeCell ref="K7:L7"/>
    <mergeCell ref="A3:N3"/>
    <mergeCell ref="C6:D6"/>
    <mergeCell ref="C7:D7"/>
    <mergeCell ref="A7:B7"/>
    <mergeCell ref="E6:F6"/>
    <mergeCell ref="E7:F7"/>
    <mergeCell ref="G7:H7"/>
    <mergeCell ref="I6:J6"/>
    <mergeCell ref="I7:J7"/>
    <mergeCell ref="A2:N2"/>
    <mergeCell ref="A9:G9"/>
    <mergeCell ref="A20:N20"/>
    <mergeCell ref="K6:L6"/>
    <mergeCell ref="I9:N9"/>
    <mergeCell ref="G6:H6"/>
    <mergeCell ref="A5:N5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  <col width="20" customWidth="1" min="9" max="9"/>
    <col width="14" customWidth="1" min="10" max="10"/>
    <col width="16" customWidth="1" min="11" max="11"/>
    <col width="32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2-CONTRATS D'EXPATRIATION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Contrat</t>
        </is>
      </c>
      <c r="B5" s="4" t="inlineStr">
        <is>
          <t>Matricule Expat.</t>
        </is>
      </c>
      <c r="C5" s="4" t="inlineStr">
        <is>
          <t>Type Contrat</t>
        </is>
      </c>
      <c r="D5" s="4" t="inlineStr">
        <is>
          <t>Pays d'Origine</t>
        </is>
      </c>
      <c r="E5" s="4" t="inlineStr">
        <is>
          <t>Pays d'Accueil</t>
        </is>
      </c>
      <c r="F5" s="4" t="inlineStr">
        <is>
          <t>Date Début</t>
        </is>
      </c>
      <c r="G5" s="4" t="inlineStr">
        <is>
          <t>Date Fin</t>
        </is>
      </c>
      <c r="H5" s="4" t="inlineStr">
        <is>
          <t>Durée (mois)</t>
        </is>
      </c>
      <c r="I5" s="4" t="inlineStr">
        <is>
          <t>Salaire Base (FCFA)</t>
        </is>
      </c>
      <c r="J5" s="4" t="inlineStr">
        <is>
          <t>Devise Paie</t>
        </is>
      </c>
      <c r="K5" s="4" t="inlineStr">
        <is>
          <t>Statut</t>
        </is>
      </c>
      <c r="L5" s="4" t="inlineStr">
        <is>
          <t>Observations</t>
        </is>
      </c>
      <c r="M5" s="4" t="inlineStr"/>
      <c r="N5" s="4" t="inlineStr"/>
    </row>
    <row r="6" ht="22" customHeight="1">
      <c r="A6" s="5" t="inlineStr">
        <is>
          <t>CEXP-001</t>
        </is>
      </c>
      <c r="B6" s="5" t="inlineStr">
        <is>
          <t>EXP-001</t>
        </is>
      </c>
      <c r="C6" s="5" t="inlineStr">
        <is>
          <t>CDI Expatriation</t>
        </is>
      </c>
      <c r="D6" s="5" t="inlineStr">
        <is>
          <t>France</t>
        </is>
      </c>
      <c r="E6" s="5" t="inlineStr">
        <is>
          <t>Côte d'Ivoire</t>
        </is>
      </c>
      <c r="F6" s="22" t="n">
        <v>44941</v>
      </c>
      <c r="G6" s="22" t="n">
        <v>46036</v>
      </c>
      <c r="H6" s="24">
        <f>IF(OR(F6="",G6=""),"",IFERROR((G6-F6)/30.44,0))</f>
        <v/>
      </c>
      <c r="I6" s="25" t="n">
        <v>4500000</v>
      </c>
      <c r="J6" s="5" t="inlineStr">
        <is>
          <t>EUR</t>
        </is>
      </c>
      <c r="K6" s="5" t="inlineStr">
        <is>
          <t>Actif</t>
        </is>
      </c>
      <c r="L6" s="5" t="inlineStr">
        <is>
          <t>Renouvellement prévu</t>
        </is>
      </c>
      <c r="M6" s="5">
        <f>IF(B6="","",IFERROR(VLOOKUP(B6,'F01 - _Données Expatriés'!$A$6:$K$20,2,FALSE)&amp;" "&amp;VLOOKUP(B6,'F01 - _Données Expatriés'!$A$6:$K$20,3,FALSE),""))</f>
        <v/>
      </c>
      <c r="N6" s="5">
        <f>IF(C6="","",IFERROR(COUNTIF($C$6:$C$115,C6),0))</f>
        <v/>
      </c>
    </row>
    <row r="7" ht="22" customHeight="1">
      <c r="A7" s="7" t="inlineStr">
        <is>
          <t>CEXP-002</t>
        </is>
      </c>
      <c r="B7" s="7" t="inlineStr">
        <is>
          <t>EXP-002</t>
        </is>
      </c>
      <c r="C7" s="7" t="inlineStr">
        <is>
          <t>CDD Expatriation</t>
        </is>
      </c>
      <c r="D7" s="7" t="inlineStr">
        <is>
          <t>France</t>
        </is>
      </c>
      <c r="E7" s="7" t="inlineStr">
        <is>
          <t>Côte d'Ivoire</t>
        </is>
      </c>
      <c r="F7" s="23" t="n">
        <v>45352</v>
      </c>
      <c r="G7" s="23" t="n">
        <v>46081</v>
      </c>
      <c r="H7" s="26">
        <f>IF(OR(F7="",G7=""),"",IFERROR((G7-F7)/30.44,0))</f>
        <v/>
      </c>
      <c r="I7" s="27" t="n">
        <v>3800000</v>
      </c>
      <c r="J7" s="7" t="inlineStr">
        <is>
          <t>EUR</t>
        </is>
      </c>
      <c r="K7" s="7" t="inlineStr">
        <is>
          <t>Actif</t>
        </is>
      </c>
      <c r="L7" s="7" t="inlineStr"/>
      <c r="M7" s="7">
        <f>IF(B7="","",IFERROR(VLOOKUP(B7,'F01 - _Données Expatriés'!$A$6:$K$20,2,FALSE)&amp;" "&amp;VLOOKUP(B7,'F01 - _Données Expatriés'!$A$6:$K$20,3,FALSE),""))</f>
        <v/>
      </c>
      <c r="N7" s="7">
        <f>IF(C7="","",IFERROR(COUNTIF($C$6:$C$115,C7),0))</f>
        <v/>
      </c>
    </row>
    <row r="8" ht="22" customHeight="1">
      <c r="A8" s="5" t="inlineStr">
        <is>
          <t>CEXP-003</t>
        </is>
      </c>
      <c r="B8" s="5" t="inlineStr">
        <is>
          <t>EXP-003</t>
        </is>
      </c>
      <c r="C8" s="5" t="inlineStr">
        <is>
          <t>CDI Expatriation</t>
        </is>
      </c>
      <c r="D8" s="5" t="inlineStr">
        <is>
          <t>Allemagne</t>
        </is>
      </c>
      <c r="E8" s="5" t="inlineStr">
        <is>
          <t>Côte d'Ivoire</t>
        </is>
      </c>
      <c r="F8" s="22" t="n">
        <v>44713</v>
      </c>
      <c r="G8" s="22" t="n">
        <v>45808</v>
      </c>
      <c r="H8" s="24">
        <f>IF(OR(F8="",G8=""),"",IFERROR((G8-F8)/30.44,0))</f>
        <v/>
      </c>
      <c r="I8" s="25" t="n">
        <v>5200000</v>
      </c>
      <c r="J8" s="5" t="inlineStr">
        <is>
          <t>EUR</t>
        </is>
      </c>
      <c r="K8" s="5" t="inlineStr">
        <is>
          <t>En prolongation</t>
        </is>
      </c>
      <c r="L8" s="5" t="inlineStr">
        <is>
          <t>Prolongation 12 mois</t>
        </is>
      </c>
      <c r="M8" s="5">
        <f>IF(B8="","",IFERROR(VLOOKUP(B8,'F01 - _Données Expatriés'!$A$6:$K$20,2,FALSE)&amp;" "&amp;VLOOKUP(B8,'F01 - _Données Expatriés'!$A$6:$K$20,3,FALSE),""))</f>
        <v/>
      </c>
      <c r="N8" s="5">
        <f>IF(C8="","",IFERROR(COUNTIF($C$6:$C$115,C8),0))</f>
        <v/>
      </c>
    </row>
    <row r="9" ht="22" customHeight="1">
      <c r="A9" s="7" t="inlineStr">
        <is>
          <t>CEXP-004</t>
        </is>
      </c>
      <c r="B9" s="7" t="inlineStr">
        <is>
          <t>EXP-005</t>
        </is>
      </c>
      <c r="C9" s="7" t="inlineStr">
        <is>
          <t>Mission détachement</t>
        </is>
      </c>
      <c r="D9" s="7" t="inlineStr">
        <is>
          <t>Corée du Sud</t>
        </is>
      </c>
      <c r="E9" s="7" t="inlineStr">
        <is>
          <t>Côte d'Ivoire</t>
        </is>
      </c>
      <c r="F9" s="23" t="n">
        <v>45292</v>
      </c>
      <c r="G9" s="23" t="n">
        <v>46022</v>
      </c>
      <c r="H9" s="26">
        <f>IF(OR(F9="",G9=""),"",IFERROR((G9-F9)/30.44,0))</f>
        <v/>
      </c>
      <c r="I9" s="27" t="n">
        <v>4200000</v>
      </c>
      <c r="J9" s="7" t="inlineStr">
        <is>
          <t>KRW</t>
        </is>
      </c>
      <c r="K9" s="7" t="inlineStr">
        <is>
          <t>Actif</t>
        </is>
      </c>
      <c r="L9" s="7" t="inlineStr">
        <is>
          <t>Détachement 2 ans</t>
        </is>
      </c>
      <c r="M9" s="7">
        <f>IF(B9="","",IFERROR(VLOOKUP(B9,'F01 - _Données Expatriés'!$A$6:$K$20,2,FALSE)&amp;" "&amp;VLOOKUP(B9,'F01 - _Données Expatriés'!$A$6:$K$20,3,FALSE),""))</f>
        <v/>
      </c>
      <c r="N9" s="7">
        <f>IF(C9="","",IFERROR(COUNTIF($C$6:$C$115,C9),0))</f>
        <v/>
      </c>
    </row>
    <row r="10" ht="22" customHeight="1">
      <c r="A10" s="5" t="inlineStr">
        <is>
          <t>CEXP-005</t>
        </is>
      </c>
      <c r="B10" s="5" t="inlineStr">
        <is>
          <t>EXP-007</t>
        </is>
      </c>
      <c r="C10" s="5" t="inlineStr">
        <is>
          <t>Mission détachement</t>
        </is>
      </c>
      <c r="D10" s="5" t="inlineStr">
        <is>
          <t>Nigeria</t>
        </is>
      </c>
      <c r="E10" s="5" t="inlineStr">
        <is>
          <t>Côte d'Ivoire</t>
        </is>
      </c>
      <c r="F10" s="22" t="n">
        <v>45383</v>
      </c>
      <c r="G10" s="22" t="n">
        <v>45930</v>
      </c>
      <c r="H10" s="24">
        <f>IF(OR(F10="",G10=""),"",IFERROR((G10-F10)/30.44,0))</f>
        <v/>
      </c>
      <c r="I10" s="25" t="n">
        <v>2800000</v>
      </c>
      <c r="J10" s="5" t="inlineStr">
        <is>
          <t>XOF</t>
        </is>
      </c>
      <c r="K10" s="5" t="inlineStr">
        <is>
          <t>Actif</t>
        </is>
      </c>
      <c r="L10" s="5" t="inlineStr"/>
      <c r="M10" s="5">
        <f>IF(B10="","",IFERROR(VLOOKUP(B10,'F01 - _Données Expatriés'!$A$6:$K$20,2,FALSE)&amp;" "&amp;VLOOKUP(B10,'F01 - _Données Expatriés'!$A$6:$K$20,3,FALSE),""))</f>
        <v/>
      </c>
      <c r="N10" s="5">
        <f>IF(C10="","",IFERROR(COUNTIF($C$6:$C$115,C10),0))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26">
        <f>IF(OR(F11="",G11=""),"",IFERROR((G11-F11)/30.44,0))</f>
        <v/>
      </c>
      <c r="I11" s="7" t="n"/>
      <c r="J11" s="7" t="n"/>
      <c r="K11" s="7" t="n"/>
      <c r="L11" s="7" t="n"/>
      <c r="M11" s="7">
        <f>IF(B11="","",IFERROR(VLOOKUP(B11,'F01 - _Données Expatriés'!$A$6:$K$20,2,FALSE)&amp;" "&amp;VLOOKUP(B11,'F01 - _Données Expatriés'!$A$6:$K$20,3,FALSE),""))</f>
        <v/>
      </c>
      <c r="N11" s="7">
        <f>IF(C11="","",IFERROR(COUNTIF($C$6:$C$115,C11),0))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24">
        <f>IF(OR(F12="",G12=""),"",IFERROR((G12-F12)/30.44,0))</f>
        <v/>
      </c>
      <c r="I12" s="5" t="n"/>
      <c r="J12" s="5" t="n"/>
      <c r="K12" s="5" t="n"/>
      <c r="L12" s="5" t="n"/>
      <c r="M12" s="5">
        <f>IF(B12="","",IFERROR(VLOOKUP(B12,'F01 - _Données Expatriés'!$A$6:$K$20,2,FALSE)&amp;" "&amp;VLOOKUP(B12,'F01 - _Données Expatriés'!$A$6:$K$20,3,FALSE),""))</f>
        <v/>
      </c>
      <c r="N12" s="5">
        <f>IF(C12="","",IFERROR(COUNTIF($C$6:$C$115,C12),0))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26">
        <f>IF(OR(F13="",G13=""),"",IFERROR((G13-F13)/30.44,0))</f>
        <v/>
      </c>
      <c r="I13" s="7" t="n"/>
      <c r="J13" s="7" t="n"/>
      <c r="K13" s="7" t="n"/>
      <c r="L13" s="7" t="n"/>
      <c r="M13" s="7">
        <f>IF(B13="","",IFERROR(VLOOKUP(B13,'F01 - _Données Expatriés'!$A$6:$K$20,2,FALSE)&amp;" "&amp;VLOOKUP(B13,'F01 - _Données Expatriés'!$A$6:$K$20,3,FALSE),""))</f>
        <v/>
      </c>
      <c r="N13" s="7">
        <f>IF(C13="","",IFERROR(COUNTIF($C$6:$C$115,C13),0))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24">
        <f>IF(OR(F14="",G14=""),"",IFERROR((G14-F14)/30.44,0))</f>
        <v/>
      </c>
      <c r="I14" s="5" t="n"/>
      <c r="J14" s="5" t="n"/>
      <c r="K14" s="5" t="n"/>
      <c r="L14" s="5" t="n"/>
      <c r="M14" s="5">
        <f>IF(B14="","",IFERROR(VLOOKUP(B14,'F01 - _Données Expatriés'!$A$6:$K$20,2,FALSE)&amp;" "&amp;VLOOKUP(B14,'F01 - _Données Expatriés'!$A$6:$K$20,3,FALSE),""))</f>
        <v/>
      </c>
      <c r="N14" s="5">
        <f>IF(C14="","",IFERROR(COUNTIF($C$6:$C$115,C14),0))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7" t="n"/>
      <c r="H15" s="26">
        <f>IF(OR(F15="",G15=""),"",IFERROR((G15-F15)/30.44,0))</f>
        <v/>
      </c>
      <c r="I15" s="7" t="n"/>
      <c r="J15" s="7" t="n"/>
      <c r="K15" s="7" t="n"/>
      <c r="L15" s="7" t="n"/>
      <c r="M15" s="7">
        <f>IF(B15="","",IFERROR(VLOOKUP(B15,'F01 - _Données Expatriés'!$A$6:$K$20,2,FALSE)&amp;" "&amp;VLOOKUP(B15,'F01 - _Données Expatriés'!$A$6:$K$20,3,FALSE),""))</f>
        <v/>
      </c>
      <c r="N15" s="7">
        <f>IF(C15="","",IFERROR(COUNTIF($C$6:$C$115,C15),0))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24">
        <f>IF(OR(F16="",G16=""),"",IFERROR((G16-F16)/30.44,0))</f>
        <v/>
      </c>
      <c r="I16" s="5" t="n"/>
      <c r="J16" s="5" t="n"/>
      <c r="K16" s="5" t="n"/>
      <c r="L16" s="5" t="n"/>
      <c r="M16" s="5">
        <f>IF(B16="","",IFERROR(VLOOKUP(B16,'F01 - _Données Expatriés'!$A$6:$K$20,2,FALSE)&amp;" "&amp;VLOOKUP(B16,'F01 - _Données Expatriés'!$A$6:$K$20,3,FALSE),""))</f>
        <v/>
      </c>
      <c r="N16" s="5">
        <f>IF(C16="","",IFERROR(COUNTIF($C$6:$C$115,C16),0))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7" t="n"/>
      <c r="H17" s="26">
        <f>IF(OR(F17="",G17=""),"",IFERROR((G17-F17)/30.44,0))</f>
        <v/>
      </c>
      <c r="I17" s="7" t="n"/>
      <c r="J17" s="7" t="n"/>
      <c r="K17" s="7" t="n"/>
      <c r="L17" s="7" t="n"/>
      <c r="M17" s="7">
        <f>IF(B17="","",IFERROR(VLOOKUP(B17,'F01 - _Données Expatriés'!$A$6:$K$20,2,FALSE)&amp;" "&amp;VLOOKUP(B17,'F01 - _Données Expatriés'!$A$6:$K$20,3,FALSE),""))</f>
        <v/>
      </c>
      <c r="N17" s="7">
        <f>IF(C17="","",IFERROR(COUNTIF($C$6:$C$115,C17),0))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24">
        <f>IF(OR(F18="",G18=""),"",IFERROR((G18-F18)/30.44,0))</f>
        <v/>
      </c>
      <c r="I18" s="5" t="n"/>
      <c r="J18" s="5" t="n"/>
      <c r="K18" s="5" t="n"/>
      <c r="L18" s="5" t="n"/>
      <c r="M18" s="5">
        <f>IF(B18="","",IFERROR(VLOOKUP(B18,'F01 - _Données Expatriés'!$A$6:$K$20,2,FALSE)&amp;" "&amp;VLOOKUP(B18,'F01 - _Données Expatriés'!$A$6:$K$20,3,FALSE),""))</f>
        <v/>
      </c>
      <c r="N18" s="5">
        <f>IF(C18="","",IFERROR(COUNTIF($C$6:$C$115,C18),0))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7" t="n"/>
      <c r="H19" s="26">
        <f>IF(OR(F19="",G19=""),"",IFERROR((G19-F19)/30.44,0))</f>
        <v/>
      </c>
      <c r="I19" s="7" t="n"/>
      <c r="J19" s="7" t="n"/>
      <c r="K19" s="7" t="n"/>
      <c r="L19" s="7" t="n"/>
      <c r="M19" s="7">
        <f>IF(B19="","",IFERROR(VLOOKUP(B19,'F01 - _Données Expatriés'!$A$6:$K$20,2,FALSE)&amp;" "&amp;VLOOKUP(B19,'F01 - _Données Expatriés'!$A$6:$K$20,3,FALSE),""))</f>
        <v/>
      </c>
      <c r="N19" s="7">
        <f>IF(C19="","",IFERROR(COUNTIF($C$6:$C$115,C19),0))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24">
        <f>IF(OR(F20="",G20=""),"",IFERROR((G20-F20)/30.44,0))</f>
        <v/>
      </c>
      <c r="I20" s="5" t="n"/>
      <c r="J20" s="5" t="n"/>
      <c r="K20" s="5" t="n"/>
      <c r="L20" s="5" t="n"/>
      <c r="M20" s="5">
        <f>IF(B20="","",IFERROR(VLOOKUP(B20,'F01 - _Données Expatriés'!$A$6:$K$20,2,FALSE)&amp;" "&amp;VLOOKUP(B20,'F01 - _Données Expatriés'!$A$6:$K$20,3,FALSE),""))</f>
        <v/>
      </c>
      <c r="N20" s="5">
        <f>IF(C20="","",IFERROR(COUNTIF($C$6:$C$115,C20),0))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26">
        <f>IF(OR(F21="",G21=""),"",IFERROR((G21-F21)/30.44,0))</f>
        <v/>
      </c>
      <c r="I21" s="7" t="n"/>
      <c r="J21" s="7" t="n"/>
      <c r="K21" s="7" t="n"/>
      <c r="L21" s="7" t="n"/>
      <c r="M21" s="7">
        <f>IF(B21="","",IFERROR(VLOOKUP(B21,'F01 - _Données Expatriés'!$A$6:$K$20,2,FALSE)&amp;" "&amp;VLOOKUP(B21,'F01 - _Données Expatriés'!$A$6:$K$20,3,FALSE),""))</f>
        <v/>
      </c>
      <c r="N21" s="7">
        <f>IF(C21="","",IFERROR(COUNTIF($C$6:$C$115,C21),0))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24">
        <f>IF(OR(F22="",G22=""),"",IFERROR((G22-F22)/30.44,0))</f>
        <v/>
      </c>
      <c r="I22" s="5" t="n"/>
      <c r="J22" s="5" t="n"/>
      <c r="K22" s="5" t="n"/>
      <c r="L22" s="5" t="n"/>
      <c r="M22" s="5">
        <f>IF(B22="","",IFERROR(VLOOKUP(B22,'F01 - _Données Expatriés'!$A$6:$K$20,2,FALSE)&amp;" "&amp;VLOOKUP(B22,'F01 - _Données Expatriés'!$A$6:$K$20,3,FALSE),""))</f>
        <v/>
      </c>
      <c r="N22" s="5">
        <f>IF(C22="","",IFERROR(COUNTIF($C$6:$C$115,C22),0))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26">
        <f>IF(OR(F23="",G23=""),"",IFERROR((G23-F23)/30.44,0))</f>
        <v/>
      </c>
      <c r="I23" s="7" t="n"/>
      <c r="J23" s="7" t="n"/>
      <c r="K23" s="7" t="n"/>
      <c r="L23" s="7" t="n"/>
      <c r="M23" s="7">
        <f>IF(B23="","",IFERROR(VLOOKUP(B23,'F01 - _Données Expatriés'!$A$6:$K$20,2,FALSE)&amp;" "&amp;VLOOKUP(B23,'F01 - _Données Expatriés'!$A$6:$K$20,3,FALSE),""))</f>
        <v/>
      </c>
      <c r="N23" s="7">
        <f>IF(C23="","",IFERROR(COUNTIF($C$6:$C$115,C23),0))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24">
        <f>IF(OR(F24="",G24=""),"",IFERROR((G24-F24)/30.44,0))</f>
        <v/>
      </c>
      <c r="I24" s="5" t="n"/>
      <c r="J24" s="5" t="n"/>
      <c r="K24" s="5" t="n"/>
      <c r="L24" s="5" t="n"/>
      <c r="M24" s="5">
        <f>IF(B24="","",IFERROR(VLOOKUP(B24,'F01 - _Données Expatriés'!$A$6:$K$20,2,FALSE)&amp;" "&amp;VLOOKUP(B24,'F01 - _Données Expatriés'!$A$6:$K$20,3,FALSE),""))</f>
        <v/>
      </c>
      <c r="N24" s="5">
        <f>IF(C24="","",IFERROR(COUNTIF($C$6:$C$115,C24),0))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7" t="n"/>
      <c r="H25" s="26">
        <f>IF(OR(F25="",G25=""),"",IFERROR((G25-F25)/30.44,0))</f>
        <v/>
      </c>
      <c r="I25" s="7" t="n"/>
      <c r="J25" s="7" t="n"/>
      <c r="K25" s="7" t="n"/>
      <c r="L25" s="7" t="n"/>
      <c r="M25" s="7">
        <f>IF(B25="","",IFERROR(VLOOKUP(B25,'F01 - _Données Expatriés'!$A$6:$K$20,2,FALSE)&amp;" "&amp;VLOOKUP(B25,'F01 - _Données Expatriés'!$A$6:$K$20,3,FALSE),""))</f>
        <v/>
      </c>
      <c r="N25" s="7">
        <f>IF(C25="","",IFERROR(COUNTIF($C$6:$C$115,C25),0))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24">
        <f>IF(OR(F26="",G26=""),"",IFERROR((G26-F26)/30.44,0))</f>
        <v/>
      </c>
      <c r="I26" s="5" t="n"/>
      <c r="J26" s="5" t="n"/>
      <c r="K26" s="5" t="n"/>
      <c r="L26" s="5" t="n"/>
      <c r="M26" s="5">
        <f>IF(B26="","",IFERROR(VLOOKUP(B26,'F01 - _Données Expatriés'!$A$6:$K$20,2,FALSE)&amp;" "&amp;VLOOKUP(B26,'F01 - _Données Expatriés'!$A$6:$K$20,3,FALSE),""))</f>
        <v/>
      </c>
      <c r="N26" s="5">
        <f>IF(C26="","",IFERROR(COUNTIF($C$6:$C$115,C26),0))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7" t="n"/>
      <c r="H27" s="26">
        <f>IF(OR(F27="",G27=""),"",IFERROR((G27-F27)/30.44,0))</f>
        <v/>
      </c>
      <c r="I27" s="7" t="n"/>
      <c r="J27" s="7" t="n"/>
      <c r="K27" s="7" t="n"/>
      <c r="L27" s="7" t="n"/>
      <c r="M27" s="7">
        <f>IF(B27="","",IFERROR(VLOOKUP(B27,'F01 - _Données Expatriés'!$A$6:$K$20,2,FALSE)&amp;" "&amp;VLOOKUP(B27,'F01 - _Données Expatriés'!$A$6:$K$20,3,FALSE),""))</f>
        <v/>
      </c>
      <c r="N27" s="7">
        <f>IF(C27="","",IFERROR(COUNTIF($C$6:$C$115,C27),0))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24">
        <f>IF(OR(F28="",G28=""),"",IFERROR((G28-F28)/30.44,0))</f>
        <v/>
      </c>
      <c r="I28" s="5" t="n"/>
      <c r="J28" s="5" t="n"/>
      <c r="K28" s="5" t="n"/>
      <c r="L28" s="5" t="n"/>
      <c r="M28" s="5">
        <f>IF(B28="","",IFERROR(VLOOKUP(B28,'F01 - _Données Expatriés'!$A$6:$K$20,2,FALSE)&amp;" "&amp;VLOOKUP(B28,'F01 - _Données Expatriés'!$A$6:$K$20,3,FALSE),""))</f>
        <v/>
      </c>
      <c r="N28" s="5">
        <f>IF(C28="","",IFERROR(COUNTIF($C$6:$C$115,C28),0))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7" t="n"/>
      <c r="H29" s="26">
        <f>IF(OR(F29="",G29=""),"",IFERROR((G29-F29)/30.44,0))</f>
        <v/>
      </c>
      <c r="I29" s="7" t="n"/>
      <c r="J29" s="7" t="n"/>
      <c r="K29" s="7" t="n"/>
      <c r="L29" s="7" t="n"/>
      <c r="M29" s="7">
        <f>IF(B29="","",IFERROR(VLOOKUP(B29,'F01 - _Données Expatriés'!$A$6:$K$20,2,FALSE)&amp;" "&amp;VLOOKUP(B29,'F01 - _Données Expatriés'!$A$6:$K$20,3,FALSE),""))</f>
        <v/>
      </c>
      <c r="N29" s="7">
        <f>IF(C29="","",IFERROR(COUNTIF($C$6:$C$115,C29),0))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24">
        <f>IF(OR(F30="",G30=""),"",IFERROR((G30-F30)/30.44,0))</f>
        <v/>
      </c>
      <c r="I30" s="5" t="n"/>
      <c r="J30" s="5" t="n"/>
      <c r="K30" s="5" t="n"/>
      <c r="L30" s="5" t="n"/>
      <c r="M30" s="5">
        <f>IF(B30="","",IFERROR(VLOOKUP(B30,'F01 - _Données Expatriés'!$A$6:$K$20,2,FALSE)&amp;" "&amp;VLOOKUP(B30,'F01 - _Données Expatriés'!$A$6:$K$20,3,FALSE),""))</f>
        <v/>
      </c>
      <c r="N30" s="5">
        <f>IF(C30="","",IFERROR(COUNTIF($C$6:$C$115,C30),0))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7" t="n"/>
      <c r="H31" s="26">
        <f>IF(OR(F31="",G31=""),"",IFERROR((G31-F31)/30.44,0))</f>
        <v/>
      </c>
      <c r="I31" s="7" t="n"/>
      <c r="J31" s="7" t="n"/>
      <c r="K31" s="7" t="n"/>
      <c r="L31" s="7" t="n"/>
      <c r="M31" s="7">
        <f>IF(B31="","",IFERROR(VLOOKUP(B31,'F01 - _Données Expatriés'!$A$6:$K$20,2,FALSE)&amp;" "&amp;VLOOKUP(B31,'F01 - _Données Expatriés'!$A$6:$K$20,3,FALSE),""))</f>
        <v/>
      </c>
      <c r="N31" s="7">
        <f>IF(C31="","",IFERROR(COUNTIF($C$6:$C$115,C31),0))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24">
        <f>IF(OR(F32="",G32=""),"",IFERROR((G32-F32)/30.44,0))</f>
        <v/>
      </c>
      <c r="I32" s="5" t="n"/>
      <c r="J32" s="5" t="n"/>
      <c r="K32" s="5" t="n"/>
      <c r="L32" s="5" t="n"/>
      <c r="M32" s="5">
        <f>IF(B32="","",IFERROR(VLOOKUP(B32,'F01 - _Données Expatriés'!$A$6:$K$20,2,FALSE)&amp;" "&amp;VLOOKUP(B32,'F01 - _Données Expatriés'!$A$6:$K$20,3,FALSE),""))</f>
        <v/>
      </c>
      <c r="N32" s="5">
        <f>IF(C32="","",IFERROR(COUNTIF($C$6:$C$115,C32),0))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7" t="n"/>
      <c r="H33" s="26">
        <f>IF(OR(F33="",G33=""),"",IFERROR((G33-F33)/30.44,0))</f>
        <v/>
      </c>
      <c r="I33" s="7" t="n"/>
      <c r="J33" s="7" t="n"/>
      <c r="K33" s="7" t="n"/>
      <c r="L33" s="7" t="n"/>
      <c r="M33" s="7">
        <f>IF(B33="","",IFERROR(VLOOKUP(B33,'F01 - _Données Expatriés'!$A$6:$K$20,2,FALSE)&amp;" "&amp;VLOOKUP(B33,'F01 - _Données Expatriés'!$A$6:$K$20,3,FALSE),""))</f>
        <v/>
      </c>
      <c r="N33" s="7">
        <f>IF(C33="","",IFERROR(COUNTIF($C$6:$C$115,C33),0))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24">
        <f>IF(OR(F34="",G34=""),"",IFERROR((G34-F34)/30.44,0))</f>
        <v/>
      </c>
      <c r="I34" s="5" t="n"/>
      <c r="J34" s="5" t="n"/>
      <c r="K34" s="5" t="n"/>
      <c r="L34" s="5" t="n"/>
      <c r="M34" s="5">
        <f>IF(B34="","",IFERROR(VLOOKUP(B34,'F01 - _Données Expatriés'!$A$6:$K$20,2,FALSE)&amp;" "&amp;VLOOKUP(B34,'F01 - _Données Expatriés'!$A$6:$K$20,3,FALSE),""))</f>
        <v/>
      </c>
      <c r="N34" s="5">
        <f>IF(C34="","",IFERROR(COUNTIF($C$6:$C$115,C34),0))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7" t="n"/>
      <c r="H35" s="26">
        <f>IF(OR(F35="",G35=""),"",IFERROR((G35-F35)/30.44,0))</f>
        <v/>
      </c>
      <c r="I35" s="7" t="n"/>
      <c r="J35" s="7" t="n"/>
      <c r="K35" s="7" t="n"/>
      <c r="L35" s="7" t="n"/>
      <c r="M35" s="7">
        <f>IF(B35="","",IFERROR(VLOOKUP(B35,'F01 - _Données Expatriés'!$A$6:$K$20,2,FALSE)&amp;" "&amp;VLOOKUP(B35,'F01 - _Données Expatriés'!$A$6:$K$20,3,FALSE),""))</f>
        <v/>
      </c>
      <c r="N35" s="7">
        <f>IF(C35="","",IFERROR(COUNTIF($C$6:$C$115,C35),0))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24">
        <f>IF(OR(F36="",G36=""),"",IFERROR((G36-F36)/30.44,0))</f>
        <v/>
      </c>
      <c r="I36" s="5" t="n"/>
      <c r="J36" s="5" t="n"/>
      <c r="K36" s="5" t="n"/>
      <c r="L36" s="5" t="n"/>
      <c r="M36" s="5">
        <f>IF(B36="","",IFERROR(VLOOKUP(B36,'F01 - _Données Expatriés'!$A$6:$K$20,2,FALSE)&amp;" "&amp;VLOOKUP(B36,'F01 - _Données Expatriés'!$A$6:$K$20,3,FALSE),""))</f>
        <v/>
      </c>
      <c r="N36" s="5">
        <f>IF(C36="","",IFERROR(COUNTIF($C$6:$C$115,C36),0))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7" t="n"/>
      <c r="H37" s="26">
        <f>IF(OR(F37="",G37=""),"",IFERROR((G37-F37)/30.44,0))</f>
        <v/>
      </c>
      <c r="I37" s="7" t="n"/>
      <c r="J37" s="7" t="n"/>
      <c r="K37" s="7" t="n"/>
      <c r="L37" s="7" t="n"/>
      <c r="M37" s="7">
        <f>IF(B37="","",IFERROR(VLOOKUP(B37,'F01 - _Données Expatriés'!$A$6:$K$20,2,FALSE)&amp;" "&amp;VLOOKUP(B37,'F01 - _Données Expatriés'!$A$6:$K$20,3,FALSE),""))</f>
        <v/>
      </c>
      <c r="N37" s="7">
        <f>IF(C37="","",IFERROR(COUNTIF($C$6:$C$115,C37),0))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24">
        <f>IF(OR(F38="",G38=""),"",IFERROR((G38-F38)/30.44,0))</f>
        <v/>
      </c>
      <c r="I38" s="5" t="n"/>
      <c r="J38" s="5" t="n"/>
      <c r="K38" s="5" t="n"/>
      <c r="L38" s="5" t="n"/>
      <c r="M38" s="5">
        <f>IF(B38="","",IFERROR(VLOOKUP(B38,'F01 - _Données Expatriés'!$A$6:$K$20,2,FALSE)&amp;" "&amp;VLOOKUP(B38,'F01 - _Données Expatriés'!$A$6:$K$20,3,FALSE),""))</f>
        <v/>
      </c>
      <c r="N38" s="5">
        <f>IF(C38="","",IFERROR(COUNTIF($C$6:$C$115,C38),0))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7" t="n"/>
      <c r="H39" s="26">
        <f>IF(OR(F39="",G39=""),"",IFERROR((G39-F39)/30.44,0))</f>
        <v/>
      </c>
      <c r="I39" s="7" t="n"/>
      <c r="J39" s="7" t="n"/>
      <c r="K39" s="7" t="n"/>
      <c r="L39" s="7" t="n"/>
      <c r="M39" s="7">
        <f>IF(B39="","",IFERROR(VLOOKUP(B39,'F01 - _Données Expatriés'!$A$6:$K$20,2,FALSE)&amp;" "&amp;VLOOKUP(B39,'F01 - _Données Expatriés'!$A$6:$K$20,3,FALSE),""))</f>
        <v/>
      </c>
      <c r="N39" s="7">
        <f>IF(C39="","",IFERROR(COUNTIF($C$6:$C$115,C39),0))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24">
        <f>IF(OR(F40="",G40=""),"",IFERROR((G40-F40)/30.44,0))</f>
        <v/>
      </c>
      <c r="I40" s="5" t="n"/>
      <c r="J40" s="5" t="n"/>
      <c r="K40" s="5" t="n"/>
      <c r="L40" s="5" t="n"/>
      <c r="M40" s="5">
        <f>IF(B40="","",IFERROR(VLOOKUP(B40,'F01 - _Données Expatriés'!$A$6:$K$20,2,FALSE)&amp;" "&amp;VLOOKUP(B40,'F01 - _Données Expatriés'!$A$6:$K$20,3,FALSE),""))</f>
        <v/>
      </c>
      <c r="N40" s="5">
        <f>IF(C40="","",IFERROR(COUNTIF($C$6:$C$115,C40),0))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7" t="n"/>
      <c r="H41" s="26">
        <f>IF(OR(F41="",G41=""),"",IFERROR((G41-F41)/30.44,0))</f>
        <v/>
      </c>
      <c r="I41" s="7" t="n"/>
      <c r="J41" s="7" t="n"/>
      <c r="K41" s="7" t="n"/>
      <c r="L41" s="7" t="n"/>
      <c r="M41" s="7">
        <f>IF(B41="","",IFERROR(VLOOKUP(B41,'F01 - _Données Expatriés'!$A$6:$K$20,2,FALSE)&amp;" "&amp;VLOOKUP(B41,'F01 - _Données Expatriés'!$A$6:$K$20,3,FALSE),""))</f>
        <v/>
      </c>
      <c r="N41" s="7">
        <f>IF(C41="","",IFERROR(COUNTIF($C$6:$C$115,C41),0))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24">
        <f>IF(OR(F42="",G42=""),"",IFERROR((G42-F42)/30.44,0))</f>
        <v/>
      </c>
      <c r="I42" s="5" t="n"/>
      <c r="J42" s="5" t="n"/>
      <c r="K42" s="5" t="n"/>
      <c r="L42" s="5" t="n"/>
      <c r="M42" s="5">
        <f>IF(B42="","",IFERROR(VLOOKUP(B42,'F01 - _Données Expatriés'!$A$6:$K$20,2,FALSE)&amp;" "&amp;VLOOKUP(B42,'F01 - _Données Expatriés'!$A$6:$K$20,3,FALSE),""))</f>
        <v/>
      </c>
      <c r="N42" s="5">
        <f>IF(C42="","",IFERROR(COUNTIF($C$6:$C$115,C42),0))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7" t="n"/>
      <c r="H43" s="26">
        <f>IF(OR(F43="",G43=""),"",IFERROR((G43-F43)/30.44,0))</f>
        <v/>
      </c>
      <c r="I43" s="7" t="n"/>
      <c r="J43" s="7" t="n"/>
      <c r="K43" s="7" t="n"/>
      <c r="L43" s="7" t="n"/>
      <c r="M43" s="7">
        <f>IF(B43="","",IFERROR(VLOOKUP(B43,'F01 - _Données Expatriés'!$A$6:$K$20,2,FALSE)&amp;" "&amp;VLOOKUP(B43,'F01 - _Données Expatriés'!$A$6:$K$20,3,FALSE),""))</f>
        <v/>
      </c>
      <c r="N43" s="7">
        <f>IF(C43="","",IFERROR(COUNTIF($C$6:$C$115,C43),0))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24">
        <f>IF(OR(F44="",G44=""),"",IFERROR((G44-F44)/30.44,0))</f>
        <v/>
      </c>
      <c r="I44" s="5" t="n"/>
      <c r="J44" s="5" t="n"/>
      <c r="K44" s="5" t="n"/>
      <c r="L44" s="5" t="n"/>
      <c r="M44" s="5">
        <f>IF(B44="","",IFERROR(VLOOKUP(B44,'F01 - _Données Expatriés'!$A$6:$K$20,2,FALSE)&amp;" "&amp;VLOOKUP(B44,'F01 - _Données Expatriés'!$A$6:$K$20,3,FALSE),""))</f>
        <v/>
      </c>
      <c r="N44" s="5">
        <f>IF(C44="","",IFERROR(COUNTIF($C$6:$C$115,C44),0))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7" t="n"/>
      <c r="H45" s="26">
        <f>IF(OR(F45="",G45=""),"",IFERROR((G45-F45)/30.44,0))</f>
        <v/>
      </c>
      <c r="I45" s="7" t="n"/>
      <c r="J45" s="7" t="n"/>
      <c r="K45" s="7" t="n"/>
      <c r="L45" s="7" t="n"/>
      <c r="M45" s="7">
        <f>IF(B45="","",IFERROR(VLOOKUP(B45,'F01 - _Données Expatriés'!$A$6:$K$20,2,FALSE)&amp;" "&amp;VLOOKUP(B45,'F01 - _Données Expatriés'!$A$6:$K$20,3,FALSE),""))</f>
        <v/>
      </c>
      <c r="N45" s="7">
        <f>IF(C45="","",IFERROR(COUNTIF($C$6:$C$115,C45),0))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24">
        <f>IF(OR(F46="",G46=""),"",IFERROR((G46-F46)/30.44,0))</f>
        <v/>
      </c>
      <c r="I46" s="5" t="n"/>
      <c r="J46" s="5" t="n"/>
      <c r="K46" s="5" t="n"/>
      <c r="L46" s="5" t="n"/>
      <c r="M46" s="5">
        <f>IF(B46="","",IFERROR(VLOOKUP(B46,'F01 - _Données Expatriés'!$A$6:$K$20,2,FALSE)&amp;" "&amp;VLOOKUP(B46,'F01 - _Données Expatriés'!$A$6:$K$20,3,FALSE),""))</f>
        <v/>
      </c>
      <c r="N46" s="5">
        <f>IF(C46="","",IFERROR(COUNTIF($C$6:$C$115,C46),0))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7" t="n"/>
      <c r="H47" s="26">
        <f>IF(OR(F47="",G47=""),"",IFERROR((G47-F47)/30.44,0))</f>
        <v/>
      </c>
      <c r="I47" s="7" t="n"/>
      <c r="J47" s="7" t="n"/>
      <c r="K47" s="7" t="n"/>
      <c r="L47" s="7" t="n"/>
      <c r="M47" s="7">
        <f>IF(B47="","",IFERROR(VLOOKUP(B47,'F01 - _Données Expatriés'!$A$6:$K$20,2,FALSE)&amp;" "&amp;VLOOKUP(B47,'F01 - _Données Expatriés'!$A$6:$K$20,3,FALSE),""))</f>
        <v/>
      </c>
      <c r="N47" s="7">
        <f>IF(C47="","",IFERROR(COUNTIF($C$6:$C$115,C47),0))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24">
        <f>IF(OR(F48="",G48=""),"",IFERROR((G48-F48)/30.44,0))</f>
        <v/>
      </c>
      <c r="I48" s="5" t="n"/>
      <c r="J48" s="5" t="n"/>
      <c r="K48" s="5" t="n"/>
      <c r="L48" s="5" t="n"/>
      <c r="M48" s="5">
        <f>IF(B48="","",IFERROR(VLOOKUP(B48,'F01 - _Données Expatriés'!$A$6:$K$20,2,FALSE)&amp;" "&amp;VLOOKUP(B48,'F01 - _Données Expatriés'!$A$6:$K$20,3,FALSE),""))</f>
        <v/>
      </c>
      <c r="N48" s="5">
        <f>IF(C48="","",IFERROR(COUNTIF($C$6:$C$115,C48),0))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7" t="n"/>
      <c r="H49" s="26">
        <f>IF(OR(F49="",G49=""),"",IFERROR((G49-F49)/30.44,0))</f>
        <v/>
      </c>
      <c r="I49" s="7" t="n"/>
      <c r="J49" s="7" t="n"/>
      <c r="K49" s="7" t="n"/>
      <c r="L49" s="7" t="n"/>
      <c r="M49" s="7">
        <f>IF(B49="","",IFERROR(VLOOKUP(B49,'F01 - _Données Expatriés'!$A$6:$K$20,2,FALSE)&amp;" "&amp;VLOOKUP(B49,'F01 - _Données Expatriés'!$A$6:$K$20,3,FALSE),""))</f>
        <v/>
      </c>
      <c r="N49" s="7">
        <f>IF(C49="","",IFERROR(COUNTIF($C$6:$C$115,C49),0))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24">
        <f>IF(OR(F50="",G50=""),"",IFERROR((G50-F50)/30.44,0))</f>
        <v/>
      </c>
      <c r="I50" s="5" t="n"/>
      <c r="J50" s="5" t="n"/>
      <c r="K50" s="5" t="n"/>
      <c r="L50" s="5" t="n"/>
      <c r="M50" s="5">
        <f>IF(B50="","",IFERROR(VLOOKUP(B50,'F01 - _Données Expatriés'!$A$6:$K$20,2,FALSE)&amp;" "&amp;VLOOKUP(B50,'F01 - _Données Expatriés'!$A$6:$K$20,3,FALSE),""))</f>
        <v/>
      </c>
      <c r="N50" s="5">
        <f>IF(C50="","",IFERROR(COUNTIF($C$6:$C$115,C50),0))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7" t="n"/>
      <c r="H51" s="26">
        <f>IF(OR(F51="",G51=""),"",IFERROR((G51-F51)/30.44,0))</f>
        <v/>
      </c>
      <c r="I51" s="7" t="n"/>
      <c r="J51" s="7" t="n"/>
      <c r="K51" s="7" t="n"/>
      <c r="L51" s="7" t="n"/>
      <c r="M51" s="7">
        <f>IF(B51="","",IFERROR(VLOOKUP(B51,'F01 - _Données Expatriés'!$A$6:$K$20,2,FALSE)&amp;" "&amp;VLOOKUP(B51,'F01 - _Données Expatriés'!$A$6:$K$20,3,FALSE),""))</f>
        <v/>
      </c>
      <c r="N51" s="7">
        <f>IF(C51="","",IFERROR(COUNTIF($C$6:$C$115,C51),0))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24">
        <f>IF(OR(F52="",G52=""),"",IFERROR((G52-F52)/30.44,0))</f>
        <v/>
      </c>
      <c r="I52" s="5" t="n"/>
      <c r="J52" s="5" t="n"/>
      <c r="K52" s="5" t="n"/>
      <c r="L52" s="5" t="n"/>
      <c r="M52" s="5">
        <f>IF(B52="","",IFERROR(VLOOKUP(B52,'F01 - _Données Expatriés'!$A$6:$K$20,2,FALSE)&amp;" "&amp;VLOOKUP(B52,'F01 - _Données Expatriés'!$A$6:$K$20,3,FALSE),""))</f>
        <v/>
      </c>
      <c r="N52" s="5">
        <f>IF(C52="","",IFERROR(COUNTIF($C$6:$C$115,C52),0))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7" t="n"/>
      <c r="H53" s="26">
        <f>IF(OR(F53="",G53=""),"",IFERROR((G53-F53)/30.44,0))</f>
        <v/>
      </c>
      <c r="I53" s="7" t="n"/>
      <c r="J53" s="7" t="n"/>
      <c r="K53" s="7" t="n"/>
      <c r="L53" s="7" t="n"/>
      <c r="M53" s="7">
        <f>IF(B53="","",IFERROR(VLOOKUP(B53,'F01 - _Données Expatriés'!$A$6:$K$20,2,FALSE)&amp;" "&amp;VLOOKUP(B53,'F01 - _Données Expatriés'!$A$6:$K$20,3,FALSE),""))</f>
        <v/>
      </c>
      <c r="N53" s="7">
        <f>IF(C53="","",IFERROR(COUNTIF($C$6:$C$115,C53),0))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24">
        <f>IF(OR(F54="",G54=""),"",IFERROR((G54-F54)/30.44,0))</f>
        <v/>
      </c>
      <c r="I54" s="5" t="n"/>
      <c r="J54" s="5" t="n"/>
      <c r="K54" s="5" t="n"/>
      <c r="L54" s="5" t="n"/>
      <c r="M54" s="5">
        <f>IF(B54="","",IFERROR(VLOOKUP(B54,'F01 - _Données Expatriés'!$A$6:$K$20,2,FALSE)&amp;" "&amp;VLOOKUP(B54,'F01 - _Données Expatriés'!$A$6:$K$20,3,FALSE),""))</f>
        <v/>
      </c>
      <c r="N54" s="5">
        <f>IF(C54="","",IFERROR(COUNTIF($C$6:$C$115,C54),0))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7" t="n"/>
      <c r="H55" s="26">
        <f>IF(OR(F55="",G55=""),"",IFERROR((G55-F55)/30.44,0))</f>
        <v/>
      </c>
      <c r="I55" s="7" t="n"/>
      <c r="J55" s="7" t="n"/>
      <c r="K55" s="7" t="n"/>
      <c r="L55" s="7" t="n"/>
      <c r="M55" s="7">
        <f>IF(B55="","",IFERROR(VLOOKUP(B55,'F01 - _Données Expatriés'!$A$6:$K$20,2,FALSE)&amp;" "&amp;VLOOKUP(B55,'F01 - _Données Expatriés'!$A$6:$K$20,3,FALSE),""))</f>
        <v/>
      </c>
      <c r="N55" s="7">
        <f>IF(C55="","",IFERROR(COUNTIF($C$6:$C$115,C55),0))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24">
        <f>IF(OR(F56="",G56=""),"",IFERROR((G56-F56)/30.44,0))</f>
        <v/>
      </c>
      <c r="I56" s="5" t="n"/>
      <c r="J56" s="5" t="n"/>
      <c r="K56" s="5" t="n"/>
      <c r="L56" s="5" t="n"/>
      <c r="M56" s="5">
        <f>IF(B56="","",IFERROR(VLOOKUP(B56,'F01 - _Données Expatriés'!$A$6:$K$20,2,FALSE)&amp;" "&amp;VLOOKUP(B56,'F01 - _Données Expatriés'!$A$6:$K$20,3,FALSE),""))</f>
        <v/>
      </c>
      <c r="N56" s="5">
        <f>IF(C56="","",IFERROR(COUNTIF($C$6:$C$115,C56),0))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7" t="n"/>
      <c r="H57" s="26">
        <f>IF(OR(F57="",G57=""),"",IFERROR((G57-F57)/30.44,0))</f>
        <v/>
      </c>
      <c r="I57" s="7" t="n"/>
      <c r="J57" s="7" t="n"/>
      <c r="K57" s="7" t="n"/>
      <c r="L57" s="7" t="n"/>
      <c r="M57" s="7">
        <f>IF(B57="","",IFERROR(VLOOKUP(B57,'F01 - _Données Expatriés'!$A$6:$K$20,2,FALSE)&amp;" "&amp;VLOOKUP(B57,'F01 - _Données Expatriés'!$A$6:$K$20,3,FALSE),""))</f>
        <v/>
      </c>
      <c r="N57" s="7">
        <f>IF(C57="","",IFERROR(COUNTIF($C$6:$C$115,C57),0))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24">
        <f>IF(OR(F58="",G58=""),"",IFERROR((G58-F58)/30.44,0))</f>
        <v/>
      </c>
      <c r="I58" s="5" t="n"/>
      <c r="J58" s="5" t="n"/>
      <c r="K58" s="5" t="n"/>
      <c r="L58" s="5" t="n"/>
      <c r="M58" s="5">
        <f>IF(B58="","",IFERROR(VLOOKUP(B58,'F01 - _Données Expatriés'!$A$6:$K$20,2,FALSE)&amp;" "&amp;VLOOKUP(B58,'F01 - _Données Expatriés'!$A$6:$K$20,3,FALSE),""))</f>
        <v/>
      </c>
      <c r="N58" s="5">
        <f>IF(C58="","",IFERROR(COUNTIF($C$6:$C$115,C58),0))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7" t="n"/>
      <c r="H59" s="26">
        <f>IF(OR(F59="",G59=""),"",IFERROR((G59-F59)/30.44,0))</f>
        <v/>
      </c>
      <c r="I59" s="7" t="n"/>
      <c r="J59" s="7" t="n"/>
      <c r="K59" s="7" t="n"/>
      <c r="L59" s="7" t="n"/>
      <c r="M59" s="7">
        <f>IF(B59="","",IFERROR(VLOOKUP(B59,'F01 - _Données Expatriés'!$A$6:$K$20,2,FALSE)&amp;" "&amp;VLOOKUP(B59,'F01 - _Données Expatriés'!$A$6:$K$20,3,FALSE),""))</f>
        <v/>
      </c>
      <c r="N59" s="7">
        <f>IF(C59="","",IFERROR(COUNTIF($C$6:$C$115,C59),0))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24">
        <f>IF(OR(F60="",G60=""),"",IFERROR((G60-F60)/30.44,0))</f>
        <v/>
      </c>
      <c r="I60" s="5" t="n"/>
      <c r="J60" s="5" t="n"/>
      <c r="K60" s="5" t="n"/>
      <c r="L60" s="5" t="n"/>
      <c r="M60" s="5">
        <f>IF(B60="","",IFERROR(VLOOKUP(B60,'F01 - _Données Expatriés'!$A$6:$K$20,2,FALSE)&amp;" "&amp;VLOOKUP(B60,'F01 - _Données Expatriés'!$A$6:$K$20,3,FALSE),""))</f>
        <v/>
      </c>
      <c r="N60" s="5">
        <f>IF(C60="","",IFERROR(COUNTIF($C$6:$C$115,C60),0))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7" t="n"/>
      <c r="H61" s="26">
        <f>IF(OR(F61="",G61=""),"",IFERROR((G61-F61)/30.44,0))</f>
        <v/>
      </c>
      <c r="I61" s="7" t="n"/>
      <c r="J61" s="7" t="n"/>
      <c r="K61" s="7" t="n"/>
      <c r="L61" s="7" t="n"/>
      <c r="M61" s="7">
        <f>IF(B61="","",IFERROR(VLOOKUP(B61,'F01 - _Données Expatriés'!$A$6:$K$20,2,FALSE)&amp;" "&amp;VLOOKUP(B61,'F01 - _Données Expatriés'!$A$6:$K$20,3,FALSE),""))</f>
        <v/>
      </c>
      <c r="N61" s="7">
        <f>IF(C61="","",IFERROR(COUNTIF($C$6:$C$115,C61),0))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24">
        <f>IF(OR(F62="",G62=""),"",IFERROR((G62-F62)/30.44,0))</f>
        <v/>
      </c>
      <c r="I62" s="5" t="n"/>
      <c r="J62" s="5" t="n"/>
      <c r="K62" s="5" t="n"/>
      <c r="L62" s="5" t="n"/>
      <c r="M62" s="5">
        <f>IF(B62="","",IFERROR(VLOOKUP(B62,'F01 - _Données Expatriés'!$A$6:$K$20,2,FALSE)&amp;" "&amp;VLOOKUP(B62,'F01 - _Données Expatriés'!$A$6:$K$20,3,FALSE),""))</f>
        <v/>
      </c>
      <c r="N62" s="5">
        <f>IF(C62="","",IFERROR(COUNTIF($C$6:$C$115,C62),0))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7" t="n"/>
      <c r="H63" s="26">
        <f>IF(OR(F63="",G63=""),"",IFERROR((G63-F63)/30.44,0))</f>
        <v/>
      </c>
      <c r="I63" s="7" t="n"/>
      <c r="J63" s="7" t="n"/>
      <c r="K63" s="7" t="n"/>
      <c r="L63" s="7" t="n"/>
      <c r="M63" s="7">
        <f>IF(B63="","",IFERROR(VLOOKUP(B63,'F01 - _Données Expatriés'!$A$6:$K$20,2,FALSE)&amp;" "&amp;VLOOKUP(B63,'F01 - _Données Expatriés'!$A$6:$K$20,3,FALSE),""))</f>
        <v/>
      </c>
      <c r="N63" s="7">
        <f>IF(C63="","",IFERROR(COUNTIF($C$6:$C$115,C63),0))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24">
        <f>IF(OR(F64="",G64=""),"",IFERROR((G64-F64)/30.44,0))</f>
        <v/>
      </c>
      <c r="I64" s="5" t="n"/>
      <c r="J64" s="5" t="n"/>
      <c r="K64" s="5" t="n"/>
      <c r="L64" s="5" t="n"/>
      <c r="M64" s="5">
        <f>IF(B64="","",IFERROR(VLOOKUP(B64,'F01 - _Données Expatriés'!$A$6:$K$20,2,FALSE)&amp;" "&amp;VLOOKUP(B64,'F01 - _Données Expatriés'!$A$6:$K$20,3,FALSE),""))</f>
        <v/>
      </c>
      <c r="N64" s="5">
        <f>IF(C64="","",IFERROR(COUNTIF($C$6:$C$115,C64),0))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7" t="n"/>
      <c r="H65" s="26">
        <f>IF(OR(F65="",G65=""),"",IFERROR((G65-F65)/30.44,0))</f>
        <v/>
      </c>
      <c r="I65" s="7" t="n"/>
      <c r="J65" s="7" t="n"/>
      <c r="K65" s="7" t="n"/>
      <c r="L65" s="7" t="n"/>
      <c r="M65" s="7">
        <f>IF(B65="","",IFERROR(VLOOKUP(B65,'F01 - _Données Expatriés'!$A$6:$K$20,2,FALSE)&amp;" "&amp;VLOOKUP(B65,'F01 - _Données Expatriés'!$A$6:$K$20,3,FALSE),""))</f>
        <v/>
      </c>
      <c r="N65" s="7">
        <f>IF(C65="","",IFERROR(COUNTIF($C$6:$C$115,C65),0))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24">
        <f>IF(OR(F66="",G66=""),"",IFERROR((G66-F66)/30.44,0))</f>
        <v/>
      </c>
      <c r="I66" s="5" t="n"/>
      <c r="J66" s="5" t="n"/>
      <c r="K66" s="5" t="n"/>
      <c r="L66" s="5" t="n"/>
      <c r="M66" s="5">
        <f>IF(B66="","",IFERROR(VLOOKUP(B66,'F01 - _Données Expatriés'!$A$6:$K$20,2,FALSE)&amp;" "&amp;VLOOKUP(B66,'F01 - _Données Expatriés'!$A$6:$K$20,3,FALSE),""))</f>
        <v/>
      </c>
      <c r="N66" s="5">
        <f>IF(C66="","",IFERROR(COUNTIF($C$6:$C$115,C66),0))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7" t="n"/>
      <c r="H67" s="26">
        <f>IF(OR(F67="",G67=""),"",IFERROR((G67-F67)/30.44,0))</f>
        <v/>
      </c>
      <c r="I67" s="7" t="n"/>
      <c r="J67" s="7" t="n"/>
      <c r="K67" s="7" t="n"/>
      <c r="L67" s="7" t="n"/>
      <c r="M67" s="7">
        <f>IF(B67="","",IFERROR(VLOOKUP(B67,'F01 - _Données Expatriés'!$A$6:$K$20,2,FALSE)&amp;" "&amp;VLOOKUP(B67,'F01 - _Données Expatriés'!$A$6:$K$20,3,FALSE),""))</f>
        <v/>
      </c>
      <c r="N67" s="7">
        <f>IF(C67="","",IFERROR(COUNTIF($C$6:$C$115,C67),0))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24">
        <f>IF(OR(F68="",G68=""),"",IFERROR((G68-F68)/30.44,0))</f>
        <v/>
      </c>
      <c r="I68" s="5" t="n"/>
      <c r="J68" s="5" t="n"/>
      <c r="K68" s="5" t="n"/>
      <c r="L68" s="5" t="n"/>
      <c r="M68" s="5">
        <f>IF(B68="","",IFERROR(VLOOKUP(B68,'F01 - _Données Expatriés'!$A$6:$K$20,2,FALSE)&amp;" "&amp;VLOOKUP(B68,'F01 - _Données Expatriés'!$A$6:$K$20,3,FALSE),""))</f>
        <v/>
      </c>
      <c r="N68" s="5">
        <f>IF(C68="","",IFERROR(COUNTIF($C$6:$C$115,C68),0))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7" t="n"/>
      <c r="H69" s="26">
        <f>IF(OR(F69="",G69=""),"",IFERROR((G69-F69)/30.44,0))</f>
        <v/>
      </c>
      <c r="I69" s="7" t="n"/>
      <c r="J69" s="7" t="n"/>
      <c r="K69" s="7" t="n"/>
      <c r="L69" s="7" t="n"/>
      <c r="M69" s="7">
        <f>IF(B69="","",IFERROR(VLOOKUP(B69,'F01 - _Données Expatriés'!$A$6:$K$20,2,FALSE)&amp;" "&amp;VLOOKUP(B69,'F01 - _Données Expatriés'!$A$6:$K$20,3,FALSE),""))</f>
        <v/>
      </c>
      <c r="N69" s="7">
        <f>IF(C69="","",IFERROR(COUNTIF($C$6:$C$115,C69),0))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24">
        <f>IF(OR(F70="",G70=""),"",IFERROR((G70-F70)/30.44,0))</f>
        <v/>
      </c>
      <c r="I70" s="5" t="n"/>
      <c r="J70" s="5" t="n"/>
      <c r="K70" s="5" t="n"/>
      <c r="L70" s="5" t="n"/>
      <c r="M70" s="5">
        <f>IF(B70="","",IFERROR(VLOOKUP(B70,'F01 - _Données Expatriés'!$A$6:$K$20,2,FALSE)&amp;" "&amp;VLOOKUP(B70,'F01 - _Données Expatriés'!$A$6:$K$20,3,FALSE),""))</f>
        <v/>
      </c>
      <c r="N70" s="5">
        <f>IF(C70="","",IFERROR(COUNTIF($C$6:$C$115,C70),0))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7" t="n"/>
      <c r="H71" s="26">
        <f>IF(OR(F71="",G71=""),"",IFERROR((G71-F71)/30.44,0))</f>
        <v/>
      </c>
      <c r="I71" s="7" t="n"/>
      <c r="J71" s="7" t="n"/>
      <c r="K71" s="7" t="n"/>
      <c r="L71" s="7" t="n"/>
      <c r="M71" s="7">
        <f>IF(B71="","",IFERROR(VLOOKUP(B71,'F01 - _Données Expatriés'!$A$6:$K$20,2,FALSE)&amp;" "&amp;VLOOKUP(B71,'F01 - _Données Expatriés'!$A$6:$K$20,3,FALSE),""))</f>
        <v/>
      </c>
      <c r="N71" s="7">
        <f>IF(C71="","",IFERROR(COUNTIF($C$6:$C$115,C71),0))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24">
        <f>IF(OR(F72="",G72=""),"",IFERROR((G72-F72)/30.44,0))</f>
        <v/>
      </c>
      <c r="I72" s="5" t="n"/>
      <c r="J72" s="5" t="n"/>
      <c r="K72" s="5" t="n"/>
      <c r="L72" s="5" t="n"/>
      <c r="M72" s="5">
        <f>IF(B72="","",IFERROR(VLOOKUP(B72,'F01 - _Données Expatriés'!$A$6:$K$20,2,FALSE)&amp;" "&amp;VLOOKUP(B72,'F01 - _Données Expatriés'!$A$6:$K$20,3,FALSE),""))</f>
        <v/>
      </c>
      <c r="N72" s="5">
        <f>IF(C72="","",IFERROR(COUNTIF($C$6:$C$115,C72),0))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7" t="n"/>
      <c r="H73" s="26">
        <f>IF(OR(F73="",G73=""),"",IFERROR((G73-F73)/30.44,0))</f>
        <v/>
      </c>
      <c r="I73" s="7" t="n"/>
      <c r="J73" s="7" t="n"/>
      <c r="K73" s="7" t="n"/>
      <c r="L73" s="7" t="n"/>
      <c r="M73" s="7">
        <f>IF(B73="","",IFERROR(VLOOKUP(B73,'F01 - _Données Expatriés'!$A$6:$K$20,2,FALSE)&amp;" "&amp;VLOOKUP(B73,'F01 - _Données Expatriés'!$A$6:$K$20,3,FALSE),""))</f>
        <v/>
      </c>
      <c r="N73" s="7">
        <f>IF(C73="","",IFERROR(COUNTIF($C$6:$C$115,C73),0))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24">
        <f>IF(OR(F74="",G74=""),"",IFERROR((G74-F74)/30.44,0))</f>
        <v/>
      </c>
      <c r="I74" s="5" t="n"/>
      <c r="J74" s="5" t="n"/>
      <c r="K74" s="5" t="n"/>
      <c r="L74" s="5" t="n"/>
      <c r="M74" s="5">
        <f>IF(B74="","",IFERROR(VLOOKUP(B74,'F01 - _Données Expatriés'!$A$6:$K$20,2,FALSE)&amp;" "&amp;VLOOKUP(B74,'F01 - _Données Expatriés'!$A$6:$K$20,3,FALSE),""))</f>
        <v/>
      </c>
      <c r="N74" s="5">
        <f>IF(C74="","",IFERROR(COUNTIF($C$6:$C$115,C74),0))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7" t="n"/>
      <c r="H75" s="26">
        <f>IF(OR(F75="",G75=""),"",IFERROR((G75-F75)/30.44,0))</f>
        <v/>
      </c>
      <c r="I75" s="7" t="n"/>
      <c r="J75" s="7" t="n"/>
      <c r="K75" s="7" t="n"/>
      <c r="L75" s="7" t="n"/>
      <c r="M75" s="7">
        <f>IF(B75="","",IFERROR(VLOOKUP(B75,'F01 - _Données Expatriés'!$A$6:$K$20,2,FALSE)&amp;" "&amp;VLOOKUP(B75,'F01 - _Données Expatriés'!$A$6:$K$20,3,FALSE),""))</f>
        <v/>
      </c>
      <c r="N75" s="7">
        <f>IF(C75="","",IFERROR(COUNTIF($C$6:$C$115,C75),0))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24">
        <f>IF(OR(F76="",G76=""),"",IFERROR((G76-F76)/30.44,0))</f>
        <v/>
      </c>
      <c r="I76" s="5" t="n"/>
      <c r="J76" s="5" t="n"/>
      <c r="K76" s="5" t="n"/>
      <c r="L76" s="5" t="n"/>
      <c r="M76" s="5">
        <f>IF(B76="","",IFERROR(VLOOKUP(B76,'F01 - _Données Expatriés'!$A$6:$K$20,2,FALSE)&amp;" "&amp;VLOOKUP(B76,'F01 - _Données Expatriés'!$A$6:$K$20,3,FALSE),""))</f>
        <v/>
      </c>
      <c r="N76" s="5">
        <f>IF(C76="","",IFERROR(COUNTIF($C$6:$C$115,C76),0))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7" t="n"/>
      <c r="H77" s="26">
        <f>IF(OR(F77="",G77=""),"",IFERROR((G77-F77)/30.44,0))</f>
        <v/>
      </c>
      <c r="I77" s="7" t="n"/>
      <c r="J77" s="7" t="n"/>
      <c r="K77" s="7" t="n"/>
      <c r="L77" s="7" t="n"/>
      <c r="M77" s="7">
        <f>IF(B77="","",IFERROR(VLOOKUP(B77,'F01 - _Données Expatriés'!$A$6:$K$20,2,FALSE)&amp;" "&amp;VLOOKUP(B77,'F01 - _Données Expatriés'!$A$6:$K$20,3,FALSE),""))</f>
        <v/>
      </c>
      <c r="N77" s="7">
        <f>IF(C77="","",IFERROR(COUNTIF($C$6:$C$115,C77),0))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24">
        <f>IF(OR(F78="",G78=""),"",IFERROR((G78-F78)/30.44,0))</f>
        <v/>
      </c>
      <c r="I78" s="5" t="n"/>
      <c r="J78" s="5" t="n"/>
      <c r="K78" s="5" t="n"/>
      <c r="L78" s="5" t="n"/>
      <c r="M78" s="5">
        <f>IF(B78="","",IFERROR(VLOOKUP(B78,'F01 - _Données Expatriés'!$A$6:$K$20,2,FALSE)&amp;" "&amp;VLOOKUP(B78,'F01 - _Données Expatriés'!$A$6:$K$20,3,FALSE),""))</f>
        <v/>
      </c>
      <c r="N78" s="5">
        <f>IF(C78="","",IFERROR(COUNTIF($C$6:$C$115,C78),0))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7" t="n"/>
      <c r="H79" s="26">
        <f>IF(OR(F79="",G79=""),"",IFERROR((G79-F79)/30.44,0))</f>
        <v/>
      </c>
      <c r="I79" s="7" t="n"/>
      <c r="J79" s="7" t="n"/>
      <c r="K79" s="7" t="n"/>
      <c r="L79" s="7" t="n"/>
      <c r="M79" s="7">
        <f>IF(B79="","",IFERROR(VLOOKUP(B79,'F01 - _Données Expatriés'!$A$6:$K$20,2,FALSE)&amp;" "&amp;VLOOKUP(B79,'F01 - _Données Expatriés'!$A$6:$K$20,3,FALSE),""))</f>
        <v/>
      </c>
      <c r="N79" s="7">
        <f>IF(C79="","",IFERROR(COUNTIF($C$6:$C$115,C79),0))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24">
        <f>IF(OR(F80="",G80=""),"",IFERROR((G80-F80)/30.44,0))</f>
        <v/>
      </c>
      <c r="I80" s="5" t="n"/>
      <c r="J80" s="5" t="n"/>
      <c r="K80" s="5" t="n"/>
      <c r="L80" s="5" t="n"/>
      <c r="M80" s="5">
        <f>IF(B80="","",IFERROR(VLOOKUP(B80,'F01 - _Données Expatriés'!$A$6:$K$20,2,FALSE)&amp;" "&amp;VLOOKUP(B80,'F01 - _Données Expatriés'!$A$6:$K$20,3,FALSE),""))</f>
        <v/>
      </c>
      <c r="N80" s="5">
        <f>IF(C80="","",IFERROR(COUNTIF($C$6:$C$115,C80),0))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7" t="n"/>
      <c r="H81" s="26">
        <f>IF(OR(F81="",G81=""),"",IFERROR((G81-F81)/30.44,0))</f>
        <v/>
      </c>
      <c r="I81" s="7" t="n"/>
      <c r="J81" s="7" t="n"/>
      <c r="K81" s="7" t="n"/>
      <c r="L81" s="7" t="n"/>
      <c r="M81" s="7">
        <f>IF(B81="","",IFERROR(VLOOKUP(B81,'F01 - _Données Expatriés'!$A$6:$K$20,2,FALSE)&amp;" "&amp;VLOOKUP(B81,'F01 - _Données Expatriés'!$A$6:$K$20,3,FALSE),""))</f>
        <v/>
      </c>
      <c r="N81" s="7">
        <f>IF(C81="","",IFERROR(COUNTIF($C$6:$C$115,C81),0))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24">
        <f>IF(OR(F82="",G82=""),"",IFERROR((G82-F82)/30.44,0))</f>
        <v/>
      </c>
      <c r="I82" s="5" t="n"/>
      <c r="J82" s="5" t="n"/>
      <c r="K82" s="5" t="n"/>
      <c r="L82" s="5" t="n"/>
      <c r="M82" s="5">
        <f>IF(B82="","",IFERROR(VLOOKUP(B82,'F01 - _Données Expatriés'!$A$6:$K$20,2,FALSE)&amp;" "&amp;VLOOKUP(B82,'F01 - _Données Expatriés'!$A$6:$K$20,3,FALSE),""))</f>
        <v/>
      </c>
      <c r="N82" s="5">
        <f>IF(C82="","",IFERROR(COUNTIF($C$6:$C$115,C82),0))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7" t="n"/>
      <c r="H83" s="26">
        <f>IF(OR(F83="",G83=""),"",IFERROR((G83-F83)/30.44,0))</f>
        <v/>
      </c>
      <c r="I83" s="7" t="n"/>
      <c r="J83" s="7" t="n"/>
      <c r="K83" s="7" t="n"/>
      <c r="L83" s="7" t="n"/>
      <c r="M83" s="7">
        <f>IF(B83="","",IFERROR(VLOOKUP(B83,'F01 - _Données Expatriés'!$A$6:$K$20,2,FALSE)&amp;" "&amp;VLOOKUP(B83,'F01 - _Données Expatriés'!$A$6:$K$20,3,FALSE),""))</f>
        <v/>
      </c>
      <c r="N83" s="7">
        <f>IF(C83="","",IFERROR(COUNTIF($C$6:$C$115,C83),0))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24">
        <f>IF(OR(F84="",G84=""),"",IFERROR((G84-F84)/30.44,0))</f>
        <v/>
      </c>
      <c r="I84" s="5" t="n"/>
      <c r="J84" s="5" t="n"/>
      <c r="K84" s="5" t="n"/>
      <c r="L84" s="5" t="n"/>
      <c r="M84" s="5">
        <f>IF(B84="","",IFERROR(VLOOKUP(B84,'F01 - _Données Expatriés'!$A$6:$K$20,2,FALSE)&amp;" "&amp;VLOOKUP(B84,'F01 - _Données Expatriés'!$A$6:$K$20,3,FALSE),""))</f>
        <v/>
      </c>
      <c r="N84" s="5">
        <f>IF(C84="","",IFERROR(COUNTIF($C$6:$C$115,C84),0))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7" t="n"/>
      <c r="H85" s="26">
        <f>IF(OR(F85="",G85=""),"",IFERROR((G85-F85)/30.44,0))</f>
        <v/>
      </c>
      <c r="I85" s="7" t="n"/>
      <c r="J85" s="7" t="n"/>
      <c r="K85" s="7" t="n"/>
      <c r="L85" s="7" t="n"/>
      <c r="M85" s="7">
        <f>IF(B85="","",IFERROR(VLOOKUP(B85,'F01 - _Données Expatriés'!$A$6:$K$20,2,FALSE)&amp;" "&amp;VLOOKUP(B85,'F01 - _Données Expatriés'!$A$6:$K$20,3,FALSE),""))</f>
        <v/>
      </c>
      <c r="N85" s="7">
        <f>IF(C85="","",IFERROR(COUNTIF($C$6:$C$115,C85),0))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24">
        <f>IF(OR(F86="",G86=""),"",IFERROR((G86-F86)/30.44,0))</f>
        <v/>
      </c>
      <c r="I86" s="5" t="n"/>
      <c r="J86" s="5" t="n"/>
      <c r="K86" s="5" t="n"/>
      <c r="L86" s="5" t="n"/>
      <c r="M86" s="5">
        <f>IF(B86="","",IFERROR(VLOOKUP(B86,'F01 - _Données Expatriés'!$A$6:$K$20,2,FALSE)&amp;" "&amp;VLOOKUP(B86,'F01 - _Données Expatriés'!$A$6:$K$20,3,FALSE),""))</f>
        <v/>
      </c>
      <c r="N86" s="5">
        <f>IF(C86="","",IFERROR(COUNTIF($C$6:$C$115,C86),0))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7" t="n"/>
      <c r="H87" s="26">
        <f>IF(OR(F87="",G87=""),"",IFERROR((G87-F87)/30.44,0))</f>
        <v/>
      </c>
      <c r="I87" s="7" t="n"/>
      <c r="J87" s="7" t="n"/>
      <c r="K87" s="7" t="n"/>
      <c r="L87" s="7" t="n"/>
      <c r="M87" s="7">
        <f>IF(B87="","",IFERROR(VLOOKUP(B87,'F01 - _Données Expatriés'!$A$6:$K$20,2,FALSE)&amp;" "&amp;VLOOKUP(B87,'F01 - _Données Expatriés'!$A$6:$K$20,3,FALSE),""))</f>
        <v/>
      </c>
      <c r="N87" s="7">
        <f>IF(C87="","",IFERROR(COUNTIF($C$6:$C$115,C87),0))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24">
        <f>IF(OR(F88="",G88=""),"",IFERROR((G88-F88)/30.44,0))</f>
        <v/>
      </c>
      <c r="I88" s="5" t="n"/>
      <c r="J88" s="5" t="n"/>
      <c r="K88" s="5" t="n"/>
      <c r="L88" s="5" t="n"/>
      <c r="M88" s="5">
        <f>IF(B88="","",IFERROR(VLOOKUP(B88,'F01 - _Données Expatriés'!$A$6:$K$20,2,FALSE)&amp;" "&amp;VLOOKUP(B88,'F01 - _Données Expatriés'!$A$6:$K$20,3,FALSE),""))</f>
        <v/>
      </c>
      <c r="N88" s="5">
        <f>IF(C88="","",IFERROR(COUNTIF($C$6:$C$115,C88),0))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7" t="n"/>
      <c r="H89" s="26">
        <f>IF(OR(F89="",G89=""),"",IFERROR((G89-F89)/30.44,0))</f>
        <v/>
      </c>
      <c r="I89" s="7" t="n"/>
      <c r="J89" s="7" t="n"/>
      <c r="K89" s="7" t="n"/>
      <c r="L89" s="7" t="n"/>
      <c r="M89" s="7">
        <f>IF(B89="","",IFERROR(VLOOKUP(B89,'F01 - _Données Expatriés'!$A$6:$K$20,2,FALSE)&amp;" "&amp;VLOOKUP(B89,'F01 - _Données Expatriés'!$A$6:$K$20,3,FALSE),""))</f>
        <v/>
      </c>
      <c r="N89" s="7">
        <f>IF(C89="","",IFERROR(COUNTIF($C$6:$C$115,C89),0))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24">
        <f>IF(OR(F90="",G90=""),"",IFERROR((G90-F90)/30.44,0))</f>
        <v/>
      </c>
      <c r="I90" s="5" t="n"/>
      <c r="J90" s="5" t="n"/>
      <c r="K90" s="5" t="n"/>
      <c r="L90" s="5" t="n"/>
      <c r="M90" s="5">
        <f>IF(B90="","",IFERROR(VLOOKUP(B90,'F01 - _Données Expatriés'!$A$6:$K$20,2,FALSE)&amp;" "&amp;VLOOKUP(B90,'F01 - _Données Expatriés'!$A$6:$K$20,3,FALSE),""))</f>
        <v/>
      </c>
      <c r="N90" s="5">
        <f>IF(C90="","",IFERROR(COUNTIF($C$6:$C$115,C90),0))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7" t="n"/>
      <c r="H91" s="26">
        <f>IF(OR(F91="",G91=""),"",IFERROR((G91-F91)/30.44,0))</f>
        <v/>
      </c>
      <c r="I91" s="7" t="n"/>
      <c r="J91" s="7" t="n"/>
      <c r="K91" s="7" t="n"/>
      <c r="L91" s="7" t="n"/>
      <c r="M91" s="7">
        <f>IF(B91="","",IFERROR(VLOOKUP(B91,'F01 - _Données Expatriés'!$A$6:$K$20,2,FALSE)&amp;" "&amp;VLOOKUP(B91,'F01 - _Données Expatriés'!$A$6:$K$20,3,FALSE),""))</f>
        <v/>
      </c>
      <c r="N91" s="7">
        <f>IF(C91="","",IFERROR(COUNTIF($C$6:$C$115,C91),0))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24">
        <f>IF(OR(F92="",G92=""),"",IFERROR((G92-F92)/30.44,0))</f>
        <v/>
      </c>
      <c r="I92" s="5" t="n"/>
      <c r="J92" s="5" t="n"/>
      <c r="K92" s="5" t="n"/>
      <c r="L92" s="5" t="n"/>
      <c r="M92" s="5">
        <f>IF(B92="","",IFERROR(VLOOKUP(B92,'F01 - _Données Expatriés'!$A$6:$K$20,2,FALSE)&amp;" "&amp;VLOOKUP(B92,'F01 - _Données Expatriés'!$A$6:$K$20,3,FALSE),""))</f>
        <v/>
      </c>
      <c r="N92" s="5">
        <f>IF(C92="","",IFERROR(COUNTIF($C$6:$C$115,C92),0))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7" t="n"/>
      <c r="H93" s="26">
        <f>IF(OR(F93="",G93=""),"",IFERROR((G93-F93)/30.44,0))</f>
        <v/>
      </c>
      <c r="I93" s="7" t="n"/>
      <c r="J93" s="7" t="n"/>
      <c r="K93" s="7" t="n"/>
      <c r="L93" s="7" t="n"/>
      <c r="M93" s="7">
        <f>IF(B93="","",IFERROR(VLOOKUP(B93,'F01 - _Données Expatriés'!$A$6:$K$20,2,FALSE)&amp;" "&amp;VLOOKUP(B93,'F01 - _Données Expatriés'!$A$6:$K$20,3,FALSE),""))</f>
        <v/>
      </c>
      <c r="N93" s="7">
        <f>IF(C93="","",IFERROR(COUNTIF($C$6:$C$115,C93),0))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24">
        <f>IF(OR(F94="",G94=""),"",IFERROR((G94-F94)/30.44,0))</f>
        <v/>
      </c>
      <c r="I94" s="5" t="n"/>
      <c r="J94" s="5" t="n"/>
      <c r="K94" s="5" t="n"/>
      <c r="L94" s="5" t="n"/>
      <c r="M94" s="5">
        <f>IF(B94="","",IFERROR(VLOOKUP(B94,'F01 - _Données Expatriés'!$A$6:$K$20,2,FALSE)&amp;" "&amp;VLOOKUP(B94,'F01 - _Données Expatriés'!$A$6:$K$20,3,FALSE),""))</f>
        <v/>
      </c>
      <c r="N94" s="5">
        <f>IF(C94="","",IFERROR(COUNTIF($C$6:$C$115,C94),0))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7" t="n"/>
      <c r="H95" s="26">
        <f>IF(OR(F95="",G95=""),"",IFERROR((G95-F95)/30.44,0))</f>
        <v/>
      </c>
      <c r="I95" s="7" t="n"/>
      <c r="J95" s="7" t="n"/>
      <c r="K95" s="7" t="n"/>
      <c r="L95" s="7" t="n"/>
      <c r="M95" s="7">
        <f>IF(B95="","",IFERROR(VLOOKUP(B95,'F01 - _Données Expatriés'!$A$6:$K$20,2,FALSE)&amp;" "&amp;VLOOKUP(B95,'F01 - _Données Expatriés'!$A$6:$K$20,3,FALSE),""))</f>
        <v/>
      </c>
      <c r="N95" s="7">
        <f>IF(C95="","",IFERROR(COUNTIF($C$6:$C$115,C95),0))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24">
        <f>IF(OR(F96="",G96=""),"",IFERROR((G96-F96)/30.44,0))</f>
        <v/>
      </c>
      <c r="I96" s="5" t="n"/>
      <c r="J96" s="5" t="n"/>
      <c r="K96" s="5" t="n"/>
      <c r="L96" s="5" t="n"/>
      <c r="M96" s="5">
        <f>IF(B96="","",IFERROR(VLOOKUP(B96,'F01 - _Données Expatriés'!$A$6:$K$20,2,FALSE)&amp;" "&amp;VLOOKUP(B96,'F01 - _Données Expatriés'!$A$6:$K$20,3,FALSE),""))</f>
        <v/>
      </c>
      <c r="N96" s="5">
        <f>IF(C96="","",IFERROR(COUNTIF($C$6:$C$115,C96),0))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7" t="n"/>
      <c r="H97" s="26">
        <f>IF(OR(F97="",G97=""),"",IFERROR((G97-F97)/30.44,0))</f>
        <v/>
      </c>
      <c r="I97" s="7" t="n"/>
      <c r="J97" s="7" t="n"/>
      <c r="K97" s="7" t="n"/>
      <c r="L97" s="7" t="n"/>
      <c r="M97" s="7">
        <f>IF(B97="","",IFERROR(VLOOKUP(B97,'F01 - _Données Expatriés'!$A$6:$K$20,2,FALSE)&amp;" "&amp;VLOOKUP(B97,'F01 - _Données Expatriés'!$A$6:$K$20,3,FALSE),""))</f>
        <v/>
      </c>
      <c r="N97" s="7">
        <f>IF(C97="","",IFERROR(COUNTIF($C$6:$C$115,C97),0))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24">
        <f>IF(OR(F98="",G98=""),"",IFERROR((G98-F98)/30.44,0))</f>
        <v/>
      </c>
      <c r="I98" s="5" t="n"/>
      <c r="J98" s="5" t="n"/>
      <c r="K98" s="5" t="n"/>
      <c r="L98" s="5" t="n"/>
      <c r="M98" s="5">
        <f>IF(B98="","",IFERROR(VLOOKUP(B98,'F01 - _Données Expatriés'!$A$6:$K$20,2,FALSE)&amp;" "&amp;VLOOKUP(B98,'F01 - _Données Expatriés'!$A$6:$K$20,3,FALSE),""))</f>
        <v/>
      </c>
      <c r="N98" s="5">
        <f>IF(C98="","",IFERROR(COUNTIF($C$6:$C$115,C98),0))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7" t="n"/>
      <c r="H99" s="26">
        <f>IF(OR(F99="",G99=""),"",IFERROR((G99-F99)/30.44,0))</f>
        <v/>
      </c>
      <c r="I99" s="7" t="n"/>
      <c r="J99" s="7" t="n"/>
      <c r="K99" s="7" t="n"/>
      <c r="L99" s="7" t="n"/>
      <c r="M99" s="7">
        <f>IF(B99="","",IFERROR(VLOOKUP(B99,'F01 - _Données Expatriés'!$A$6:$K$20,2,FALSE)&amp;" "&amp;VLOOKUP(B99,'F01 - _Données Expatriés'!$A$6:$K$20,3,FALSE),""))</f>
        <v/>
      </c>
      <c r="N99" s="7">
        <f>IF(C99="","",IFERROR(COUNTIF($C$6:$C$115,C99),0))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24">
        <f>IF(OR(F100="",G100=""),"",IFERROR((G100-F100)/30.44,0))</f>
        <v/>
      </c>
      <c r="I100" s="5" t="n"/>
      <c r="J100" s="5" t="n"/>
      <c r="K100" s="5" t="n"/>
      <c r="L100" s="5" t="n"/>
      <c r="M100" s="5">
        <f>IF(B100="","",IFERROR(VLOOKUP(B100,'F01 - _Données Expatriés'!$A$6:$K$20,2,FALSE)&amp;" "&amp;VLOOKUP(B100,'F01 - _Données Expatriés'!$A$6:$K$20,3,FALSE),""))</f>
        <v/>
      </c>
      <c r="N100" s="5">
        <f>IF(C100="","",IFERROR(COUNTIF($C$6:$C$115,C100),0))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7" t="n"/>
      <c r="H101" s="26">
        <f>IF(OR(F101="",G101=""),"",IFERROR((G101-F101)/30.44,0))</f>
        <v/>
      </c>
      <c r="I101" s="7" t="n"/>
      <c r="J101" s="7" t="n"/>
      <c r="K101" s="7" t="n"/>
      <c r="L101" s="7" t="n"/>
      <c r="M101" s="7">
        <f>IF(B101="","",IFERROR(VLOOKUP(B101,'F01 - _Données Expatriés'!$A$6:$K$20,2,FALSE)&amp;" "&amp;VLOOKUP(B101,'F01 - _Données Expatriés'!$A$6:$K$20,3,FALSE),""))</f>
        <v/>
      </c>
      <c r="N101" s="7">
        <f>IF(C101="","",IFERROR(COUNTIF($C$6:$C$115,C101),0))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24">
        <f>IF(OR(F102="",G102=""),"",IFERROR((G102-F102)/30.44,0))</f>
        <v/>
      </c>
      <c r="I102" s="5" t="n"/>
      <c r="J102" s="5" t="n"/>
      <c r="K102" s="5" t="n"/>
      <c r="L102" s="5" t="n"/>
      <c r="M102" s="5">
        <f>IF(B102="","",IFERROR(VLOOKUP(B102,'F01 - _Données Expatriés'!$A$6:$K$20,2,FALSE)&amp;" "&amp;VLOOKUP(B102,'F01 - _Données Expatriés'!$A$6:$K$20,3,FALSE),""))</f>
        <v/>
      </c>
      <c r="N102" s="5">
        <f>IF(C102="","",IFERROR(COUNTIF($C$6:$C$115,C102),0))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7" t="n"/>
      <c r="H103" s="26">
        <f>IF(OR(F103="",G103=""),"",IFERROR((G103-F103)/30.44,0))</f>
        <v/>
      </c>
      <c r="I103" s="7" t="n"/>
      <c r="J103" s="7" t="n"/>
      <c r="K103" s="7" t="n"/>
      <c r="L103" s="7" t="n"/>
      <c r="M103" s="7">
        <f>IF(B103="","",IFERROR(VLOOKUP(B103,'F01 - _Données Expatriés'!$A$6:$K$20,2,FALSE)&amp;" "&amp;VLOOKUP(B103,'F01 - _Données Expatriés'!$A$6:$K$20,3,FALSE),""))</f>
        <v/>
      </c>
      <c r="N103" s="7">
        <f>IF(C103="","",IFERROR(COUNTIF($C$6:$C$115,C103),0))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24">
        <f>IF(OR(F104="",G104=""),"",IFERROR((G104-F104)/30.44,0))</f>
        <v/>
      </c>
      <c r="I104" s="5" t="n"/>
      <c r="J104" s="5" t="n"/>
      <c r="K104" s="5" t="n"/>
      <c r="L104" s="5" t="n"/>
      <c r="M104" s="5">
        <f>IF(B104="","",IFERROR(VLOOKUP(B104,'F01 - _Données Expatriés'!$A$6:$K$20,2,FALSE)&amp;" "&amp;VLOOKUP(B104,'F01 - _Données Expatriés'!$A$6:$K$20,3,FALSE),""))</f>
        <v/>
      </c>
      <c r="N104" s="5">
        <f>IF(C104="","",IFERROR(COUNTIF($C$6:$C$115,C104),0))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7" t="n"/>
      <c r="H105" s="26">
        <f>IF(OR(F105="",G105=""),"",IFERROR((G105-F105)/30.44,0))</f>
        <v/>
      </c>
      <c r="I105" s="7" t="n"/>
      <c r="J105" s="7" t="n"/>
      <c r="K105" s="7" t="n"/>
      <c r="L105" s="7" t="n"/>
      <c r="M105" s="7">
        <f>IF(B105="","",IFERROR(VLOOKUP(B105,'F01 - _Données Expatriés'!$A$6:$K$20,2,FALSE)&amp;" "&amp;VLOOKUP(B105,'F01 - _Données Expatriés'!$A$6:$K$20,3,FALSE),""))</f>
        <v/>
      </c>
      <c r="N105" s="7">
        <f>IF(C105="","",IFERROR(COUNTIF($C$6:$C$115,C105),0))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24">
        <f>IF(OR(F106="",G106=""),"",IFERROR((G106-F106)/30.44,0))</f>
        <v/>
      </c>
      <c r="I106" s="5" t="n"/>
      <c r="J106" s="5" t="n"/>
      <c r="K106" s="5" t="n"/>
      <c r="L106" s="5" t="n"/>
      <c r="M106" s="5">
        <f>IF(B106="","",IFERROR(VLOOKUP(B106,'F01 - _Données Expatriés'!$A$6:$K$20,2,FALSE)&amp;" "&amp;VLOOKUP(B106,'F01 - _Données Expatriés'!$A$6:$K$20,3,FALSE),""))</f>
        <v/>
      </c>
      <c r="N106" s="5">
        <f>IF(C106="","",IFERROR(COUNTIF($C$6:$C$115,C106),0))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7" t="n"/>
      <c r="H107" s="26">
        <f>IF(OR(F107="",G107=""),"",IFERROR((G107-F107)/30.44,0))</f>
        <v/>
      </c>
      <c r="I107" s="7" t="n"/>
      <c r="J107" s="7" t="n"/>
      <c r="K107" s="7" t="n"/>
      <c r="L107" s="7" t="n"/>
      <c r="M107" s="7">
        <f>IF(B107="","",IFERROR(VLOOKUP(B107,'F01 - _Données Expatriés'!$A$6:$K$20,2,FALSE)&amp;" "&amp;VLOOKUP(B107,'F01 - _Données Expatriés'!$A$6:$K$20,3,FALSE),""))</f>
        <v/>
      </c>
      <c r="N107" s="7">
        <f>IF(C107="","",IFERROR(COUNTIF($C$6:$C$115,C107),0))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24">
        <f>IF(OR(F108="",G108=""),"",IFERROR((G108-F108)/30.44,0))</f>
        <v/>
      </c>
      <c r="I108" s="5" t="n"/>
      <c r="J108" s="5" t="n"/>
      <c r="K108" s="5" t="n"/>
      <c r="L108" s="5" t="n"/>
      <c r="M108" s="5">
        <f>IF(B108="","",IFERROR(VLOOKUP(B108,'F01 - _Données Expatriés'!$A$6:$K$20,2,FALSE)&amp;" "&amp;VLOOKUP(B108,'F01 - _Données Expatriés'!$A$6:$K$20,3,FALSE),""))</f>
        <v/>
      </c>
      <c r="N108" s="5">
        <f>IF(C108="","",IFERROR(COUNTIF($C$6:$C$115,C108),0))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7" t="n"/>
      <c r="H109" s="26">
        <f>IF(OR(F109="",G109=""),"",IFERROR((G109-F109)/30.44,0))</f>
        <v/>
      </c>
      <c r="I109" s="7" t="n"/>
      <c r="J109" s="7" t="n"/>
      <c r="K109" s="7" t="n"/>
      <c r="L109" s="7" t="n"/>
      <c r="M109" s="7">
        <f>IF(B109="","",IFERROR(VLOOKUP(B109,'F01 - _Données Expatriés'!$A$6:$K$20,2,FALSE)&amp;" "&amp;VLOOKUP(B109,'F01 - _Données Expatriés'!$A$6:$K$20,3,FALSE),""))</f>
        <v/>
      </c>
      <c r="N109" s="7">
        <f>IF(C109="","",IFERROR(COUNTIF($C$6:$C$115,C109),0))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24">
        <f>IF(OR(F110="",G110=""),"",IFERROR((G110-F110)/30.44,0))</f>
        <v/>
      </c>
      <c r="I110" s="5" t="n"/>
      <c r="J110" s="5" t="n"/>
      <c r="K110" s="5" t="n"/>
      <c r="L110" s="5" t="n"/>
      <c r="M110" s="5">
        <f>IF(B110="","",IFERROR(VLOOKUP(B110,'F01 - _Données Expatriés'!$A$6:$K$20,2,FALSE)&amp;" "&amp;VLOOKUP(B110,'F01 - _Données Expatriés'!$A$6:$K$20,3,FALSE),""))</f>
        <v/>
      </c>
      <c r="N110" s="5">
        <f>IF(C110="","",IFERROR(COUNTIF($C$6:$C$115,C110),0))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7" t="n"/>
      <c r="H111" s="26">
        <f>IF(OR(F111="",G111=""),"",IFERROR((G111-F111)/30.44,0))</f>
        <v/>
      </c>
      <c r="I111" s="7" t="n"/>
      <c r="J111" s="7" t="n"/>
      <c r="K111" s="7" t="n"/>
      <c r="L111" s="7" t="n"/>
      <c r="M111" s="7">
        <f>IF(B111="","",IFERROR(VLOOKUP(B111,'F01 - _Données Expatriés'!$A$6:$K$20,2,FALSE)&amp;" "&amp;VLOOKUP(B111,'F01 - _Données Expatriés'!$A$6:$K$20,3,FALSE),""))</f>
        <v/>
      </c>
      <c r="N111" s="7">
        <f>IF(C111="","",IFERROR(COUNTIF($C$6:$C$115,C111),0))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24">
        <f>IF(OR(F112="",G112=""),"",IFERROR((G112-F112)/30.44,0))</f>
        <v/>
      </c>
      <c r="I112" s="5" t="n"/>
      <c r="J112" s="5" t="n"/>
      <c r="K112" s="5" t="n"/>
      <c r="L112" s="5" t="n"/>
      <c r="M112" s="5">
        <f>IF(B112="","",IFERROR(VLOOKUP(B112,'F01 - _Données Expatriés'!$A$6:$K$20,2,FALSE)&amp;" "&amp;VLOOKUP(B112,'F01 - _Données Expatriés'!$A$6:$K$20,3,FALSE),""))</f>
        <v/>
      </c>
      <c r="N112" s="5">
        <f>IF(C112="","",IFERROR(COUNTIF($C$6:$C$115,C112),0))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7" t="n"/>
      <c r="H113" s="26">
        <f>IF(OR(F113="",G113=""),"",IFERROR((G113-F113)/30.44,0))</f>
        <v/>
      </c>
      <c r="I113" s="7" t="n"/>
      <c r="J113" s="7" t="n"/>
      <c r="K113" s="7" t="n"/>
      <c r="L113" s="7" t="n"/>
      <c r="M113" s="7">
        <f>IF(B113="","",IFERROR(VLOOKUP(B113,'F01 - _Données Expatriés'!$A$6:$K$20,2,FALSE)&amp;" "&amp;VLOOKUP(B113,'F01 - _Données Expatriés'!$A$6:$K$20,3,FALSE),""))</f>
        <v/>
      </c>
      <c r="N113" s="7">
        <f>IF(C113="","",IFERROR(COUNTIF($C$6:$C$115,C113),0))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24">
        <f>IF(OR(F114="",G114=""),"",IFERROR((G114-F114)/30.44,0))</f>
        <v/>
      </c>
      <c r="I114" s="5" t="n"/>
      <c r="J114" s="5" t="n"/>
      <c r="K114" s="5" t="n"/>
      <c r="L114" s="5" t="n"/>
      <c r="M114" s="5">
        <f>IF(B114="","",IFERROR(VLOOKUP(B114,'F01 - _Données Expatriés'!$A$6:$K$20,2,FALSE)&amp;" "&amp;VLOOKUP(B114,'F01 - _Données Expatriés'!$A$6:$K$20,3,FALSE),""))</f>
        <v/>
      </c>
      <c r="N114" s="5">
        <f>IF(C114="","",IFERROR(COUNTIF($C$6:$C$115,C114),0))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7" t="n"/>
      <c r="H115" s="26">
        <f>IF(OR(F115="",G115=""),"",IFERROR((G115-F115)/30.44,0))</f>
        <v/>
      </c>
      <c r="I115" s="7" t="n"/>
      <c r="J115" s="7" t="n"/>
      <c r="K115" s="7" t="n"/>
      <c r="L115" s="7" t="n"/>
      <c r="M115" s="7">
        <f>IF(B115="","",IFERROR(VLOOKUP(B115,'F01 - _Données Expatriés'!$A$6:$K$20,2,FALSE)&amp;" "&amp;VLOOKUP(B115,'F01 - _Données Expatriés'!$A$6:$K$20,3,FALSE),""))</f>
        <v/>
      </c>
      <c r="N115" s="7">
        <f>IF(C115="","",IFERROR(COUNTIF($C$6:$C$115,C115),0))</f>
        <v/>
      </c>
    </row>
  </sheetData>
  <mergeCells count="2">
    <mergeCell ref="A3:N3"/>
    <mergeCell ref="A2:N2"/>
  </mergeCells>
  <conditionalFormatting sqref="K6:K115">
    <cfRule type="cellIs" priority="1" operator="equal" dxfId="0">
      <formula>"Expiré"</formula>
    </cfRule>
    <cfRule type="cellIs" priority="2" operator="equal" dxfId="1">
      <formula>"En prolongation"</formula>
    </cfRule>
  </conditionalFormatting>
  <dataValidations count="5">
    <dataValidation sqref="C6:C115" showDropDown="0" showInputMessage="0" showErrorMessage="0" allowBlank="1" errorTitle="Erreur" error="Valeur invalide" promptTitle="" prompt="Choisir dans la liste: " type="list">
      <formula1>'F02 - _Lists'!$K$6:$K$10</formula1>
    </dataValidation>
    <dataValidation sqref="D6:D115" showDropDown="0" showInputMessage="0" showErrorMessage="0" allowBlank="1" errorTitle="Erreur" error="Valeur invalide" promptTitle="" prompt="Choisir dans la liste: " type="list">
      <formula1>'F02 - _Lists'!$E$6:$E$25</formula1>
    </dataValidation>
    <dataValidation sqref="E6:E115" showDropDown="0" showInputMessage="0" showErrorMessage="0" allowBlank="1" errorTitle="Erreur" error="Valeur invalide" promptTitle="" prompt="Choisir dans la liste: " type="list">
      <formula1>'F02 - _Lists'!$F$6:$F$15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_Lists'!$M$6:$M$15</formula1>
    </dataValidation>
    <dataValidation sqref="K6:K115" showDropDown="0" showInputMessage="0" showErrorMessage="0" allowBlank="1" errorTitle="Erreur" error="Valeur invalide" promptTitle="" prompt="Choisir dans la liste: " type="list">
      <formula1>'F02 - _Lists'!$J$6:$J$10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2" customWidth="1" min="4" max="4"/>
    <col width="14" customWidth="1" min="5" max="5"/>
    <col width="16" customWidth="1" min="6" max="6"/>
    <col width="16" customWidth="1" min="7" max="7"/>
    <col width="18" customWidth="1" min="8" max="8"/>
    <col width="16" customWidth="1" min="9" max="9"/>
    <col width="16" customWidth="1" min="10" max="10"/>
    <col width="20" customWidth="1" min="11" max="11"/>
    <col width="32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3-VISAS ET PERMIS DE TRAVAIL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Visa</t>
        </is>
      </c>
      <c r="B5" s="4" t="inlineStr">
        <is>
          <t>Matricule Expat.</t>
        </is>
      </c>
      <c r="C5" s="4" t="inlineStr">
        <is>
          <t>Type Visa</t>
        </is>
      </c>
      <c r="D5" s="4" t="inlineStr">
        <is>
          <t>Type Permis</t>
        </is>
      </c>
      <c r="E5" s="4" t="inlineStr">
        <is>
          <t>Date Demande</t>
        </is>
      </c>
      <c r="F5" s="4" t="inlineStr">
        <is>
          <t>Date Obtention</t>
        </is>
      </c>
      <c r="G5" s="4" t="inlineStr">
        <is>
          <t>Date Expiration</t>
        </is>
      </c>
      <c r="H5" s="4" t="inlineStr">
        <is>
          <t>Durée Validité (j.)</t>
        </is>
      </c>
      <c r="I5" s="4" t="inlineStr">
        <is>
          <t>Coût (FCFA)</t>
        </is>
      </c>
      <c r="J5" s="4" t="inlineStr">
        <is>
          <t>Statut</t>
        </is>
      </c>
      <c r="K5" s="4" t="inlineStr">
        <is>
          <t>Renouvellement Auto.</t>
        </is>
      </c>
      <c r="L5" s="4" t="inlineStr">
        <is>
          <t>Observations</t>
        </is>
      </c>
      <c r="M5" s="4" t="inlineStr"/>
      <c r="N5" s="4" t="inlineStr"/>
    </row>
    <row r="6" ht="22" customHeight="1">
      <c r="A6" s="5" t="inlineStr">
        <is>
          <t>VISA-001</t>
        </is>
      </c>
      <c r="B6" s="5" t="inlineStr">
        <is>
          <t>EXP-001</t>
        </is>
      </c>
      <c r="C6" s="5" t="inlineStr">
        <is>
          <t>Travail</t>
        </is>
      </c>
      <c r="D6" s="5" t="inlineStr">
        <is>
          <t>Carte de séjour</t>
        </is>
      </c>
      <c r="E6" s="22" t="n">
        <v>44931</v>
      </c>
      <c r="F6" s="22" t="n">
        <v>44967</v>
      </c>
      <c r="G6" s="22" t="n">
        <v>45697</v>
      </c>
      <c r="H6" s="28">
        <f>IF(OR(G6="",F6=""),"",IFERROR(G6-F6,0))</f>
        <v/>
      </c>
      <c r="I6" s="25" t="n">
        <v>150000</v>
      </c>
      <c r="J6" s="5" t="inlineStr">
        <is>
          <t>En cours</t>
        </is>
      </c>
      <c r="K6" s="5" t="inlineStr">
        <is>
          <t>Oui</t>
        </is>
      </c>
      <c r="L6" s="5" t="inlineStr">
        <is>
          <t>Renouvellement en cours</t>
        </is>
      </c>
      <c r="M6" s="5">
        <f>IF(B6="","",IFERROR(VLOOKUP(B6,'F01 - _Données Expatriés'!$A$6:$K$20,2,FALSE)&amp;" "&amp;VLOOKUP(B6,'F01 - _Données Expatriés'!$A$6:$K$20,3,FALSE),""))</f>
        <v/>
      </c>
      <c r="N6" s="5">
        <f>IF(J6="","",IFERROR(COUNTIF($J$6:$J$115,J6),0))</f>
        <v/>
      </c>
    </row>
    <row r="7" ht="22" customHeight="1">
      <c r="A7" s="7" t="inlineStr">
        <is>
          <t>VISA-002</t>
        </is>
      </c>
      <c r="B7" s="7" t="inlineStr">
        <is>
          <t>EXP-002</t>
        </is>
      </c>
      <c r="C7" s="7" t="inlineStr">
        <is>
          <t>Travail</t>
        </is>
      </c>
      <c r="D7" s="7" t="inlineStr">
        <is>
          <t>Permis de travail A</t>
        </is>
      </c>
      <c r="E7" s="23" t="n">
        <v>45337</v>
      </c>
      <c r="F7" s="23" t="n">
        <v>45371</v>
      </c>
      <c r="G7" s="23" t="n">
        <v>46100</v>
      </c>
      <c r="H7" s="29">
        <f>IF(OR(G7="",F7=""),"",IFERROR(G7-F7,0))</f>
        <v/>
      </c>
      <c r="I7" s="27" t="n">
        <v>120000</v>
      </c>
      <c r="J7" s="7" t="inlineStr">
        <is>
          <t>Accordé</t>
        </is>
      </c>
      <c r="K7" s="7" t="inlineStr">
        <is>
          <t>Oui</t>
        </is>
      </c>
      <c r="L7" s="7" t="inlineStr"/>
      <c r="M7" s="7">
        <f>IF(B7="","",IFERROR(VLOOKUP(B7,'F01 - _Données Expatriés'!$A$6:$K$20,2,FALSE)&amp;" "&amp;VLOOKUP(B7,'F01 - _Données Expatriés'!$A$6:$K$20,3,FALSE),""))</f>
        <v/>
      </c>
      <c r="N7" s="7">
        <f>IF(J7="","",IFERROR(COUNTIF($J$6:$J$115,J7),0))</f>
        <v/>
      </c>
    </row>
    <row r="8" ht="22" customHeight="1">
      <c r="A8" s="5" t="inlineStr">
        <is>
          <t>VISA-003</t>
        </is>
      </c>
      <c r="B8" s="5" t="inlineStr">
        <is>
          <t>EXP-003</t>
        </is>
      </c>
      <c r="C8" s="5" t="inlineStr">
        <is>
          <t>Travail</t>
        </is>
      </c>
      <c r="D8" s="5" t="inlineStr">
        <is>
          <t>Carte de séjour</t>
        </is>
      </c>
      <c r="E8" s="22" t="n">
        <v>44696</v>
      </c>
      <c r="F8" s="22" t="n">
        <v>44732</v>
      </c>
      <c r="G8" s="22" t="n">
        <v>45462</v>
      </c>
      <c r="H8" s="28">
        <f>IF(OR(G8="",F8=""),"",IFERROR(G8-F8,0))</f>
        <v/>
      </c>
      <c r="I8" s="25" t="n">
        <v>150000</v>
      </c>
      <c r="J8" s="5" t="inlineStr">
        <is>
          <t>En cours</t>
        </is>
      </c>
      <c r="K8" s="5" t="inlineStr">
        <is>
          <t>Oui</t>
        </is>
      </c>
      <c r="L8" s="5" t="inlineStr">
        <is>
          <t>Prolongation liée au contrat</t>
        </is>
      </c>
      <c r="M8" s="5">
        <f>IF(B8="","",IFERROR(VLOOKUP(B8,'F01 - _Données Expatriés'!$A$6:$K$20,2,FALSE)&amp;" "&amp;VLOOKUP(B8,'F01 - _Données Expatriés'!$A$6:$K$20,3,FALSE),""))</f>
        <v/>
      </c>
      <c r="N8" s="5">
        <f>IF(J8="","",IFERROR(COUNTIF($J$6:$J$115,J8),0))</f>
        <v/>
      </c>
    </row>
    <row r="9" ht="22" customHeight="1">
      <c r="A9" s="7" t="inlineStr">
        <is>
          <t>VISA-004</t>
        </is>
      </c>
      <c r="B9" s="7" t="inlineStr">
        <is>
          <t>EXP-005</t>
        </is>
      </c>
      <c r="C9" s="7" t="inlineStr">
        <is>
          <t>Travail</t>
        </is>
      </c>
      <c r="D9" s="7" t="inlineStr">
        <is>
          <t>Permis de travail B</t>
        </is>
      </c>
      <c r="E9" s="23" t="n">
        <v>45261</v>
      </c>
      <c r="F9" s="23" t="n">
        <v>45306</v>
      </c>
      <c r="G9" s="23" t="n">
        <v>45671</v>
      </c>
      <c r="H9" s="29">
        <f>IF(OR(G9="",F9=""),"",IFERROR(G9-F9,0))</f>
        <v/>
      </c>
      <c r="I9" s="27" t="n">
        <v>180000</v>
      </c>
      <c r="J9" s="7" t="inlineStr">
        <is>
          <t>Renouvellement</t>
        </is>
      </c>
      <c r="K9" s="7" t="inlineStr">
        <is>
          <t>Oui</t>
        </is>
      </c>
      <c r="L9" s="7" t="inlineStr">
        <is>
          <t>Délai critique</t>
        </is>
      </c>
      <c r="M9" s="7">
        <f>IF(B9="","",IFERROR(VLOOKUP(B9,'F01 - _Données Expatriés'!$A$6:$K$20,2,FALSE)&amp;" "&amp;VLOOKUP(B9,'F01 - _Données Expatriés'!$A$6:$K$20,3,FALSE),""))</f>
        <v/>
      </c>
      <c r="N9" s="7">
        <f>IF(J9="","",IFERROR(COUNTIF($J$6:$J$115,J9),0))</f>
        <v/>
      </c>
    </row>
    <row r="10" ht="22" customHeight="1">
      <c r="A10" s="5" t="inlineStr">
        <is>
          <t>VISA-005</t>
        </is>
      </c>
      <c r="B10" s="5" t="inlineStr">
        <is>
          <t>EXP-010</t>
        </is>
      </c>
      <c r="C10" s="5" t="inlineStr">
        <is>
          <t>Affaires</t>
        </is>
      </c>
      <c r="D10" s="5" t="inlineStr">
        <is>
          <t>Exemption</t>
        </is>
      </c>
      <c r="E10" s="22" t="n">
        <v>45444</v>
      </c>
      <c r="F10" s="22" t="n">
        <v>45453</v>
      </c>
      <c r="G10" s="22" t="n">
        <v>45817</v>
      </c>
      <c r="H10" s="28">
        <f>IF(OR(G10="",F10=""),"",IFERROR(G10-F10,0))</f>
        <v/>
      </c>
      <c r="I10" s="25" t="n">
        <v>50000</v>
      </c>
      <c r="J10" s="5" t="inlineStr">
        <is>
          <t>Accordé</t>
        </is>
      </c>
      <c r="K10" s="5" t="inlineStr">
        <is>
          <t>Non</t>
        </is>
      </c>
      <c r="L10" s="5" t="inlineStr"/>
      <c r="M10" s="5">
        <f>IF(B10="","",IFERROR(VLOOKUP(B10,'F01 - _Données Expatriés'!$A$6:$K$20,2,FALSE)&amp;" "&amp;VLOOKUP(B10,'F01 - _Données Expatriés'!$A$6:$K$20,3,FALSE),""))</f>
        <v/>
      </c>
      <c r="N10" s="5">
        <f>IF(J10="","",IFERROR(COUNTIF($J$6:$J$115,J10),0))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29">
        <f>IF(OR(G11="",F11=""),"",IFERROR(G11-F11,0))</f>
        <v/>
      </c>
      <c r="I11" s="7" t="n"/>
      <c r="J11" s="7" t="n"/>
      <c r="K11" s="7" t="n"/>
      <c r="L11" s="7" t="n"/>
      <c r="M11" s="7">
        <f>IF(B11="","",IFERROR(VLOOKUP(B11,'F01 - _Données Expatriés'!$A$6:$K$20,2,FALSE)&amp;" "&amp;VLOOKUP(B11,'F01 - _Données Expatriés'!$A$6:$K$20,3,FALSE),""))</f>
        <v/>
      </c>
      <c r="N11" s="7">
        <f>IF(J11="","",IFERROR(COUNTIF($J$6:$J$115,J11),0))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28">
        <f>IF(OR(G12="",F12=""),"",IFERROR(G12-F12,0))</f>
        <v/>
      </c>
      <c r="I12" s="5" t="n"/>
      <c r="J12" s="5" t="n"/>
      <c r="K12" s="5" t="n"/>
      <c r="L12" s="5" t="n"/>
      <c r="M12" s="5">
        <f>IF(B12="","",IFERROR(VLOOKUP(B12,'F01 - _Données Expatriés'!$A$6:$K$20,2,FALSE)&amp;" "&amp;VLOOKUP(B12,'F01 - _Données Expatriés'!$A$6:$K$20,3,FALSE),""))</f>
        <v/>
      </c>
      <c r="N12" s="5">
        <f>IF(J12="","",IFERROR(COUNTIF($J$6:$J$115,J12),0))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29">
        <f>IF(OR(G13="",F13=""),"",IFERROR(G13-F13,0))</f>
        <v/>
      </c>
      <c r="I13" s="7" t="n"/>
      <c r="J13" s="7" t="n"/>
      <c r="K13" s="7" t="n"/>
      <c r="L13" s="7" t="n"/>
      <c r="M13" s="7">
        <f>IF(B13="","",IFERROR(VLOOKUP(B13,'F01 - _Données Expatriés'!$A$6:$K$20,2,FALSE)&amp;" "&amp;VLOOKUP(B13,'F01 - _Données Expatriés'!$A$6:$K$20,3,FALSE),""))</f>
        <v/>
      </c>
      <c r="N13" s="7">
        <f>IF(J13="","",IFERROR(COUNTIF($J$6:$J$115,J13),0))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28">
        <f>IF(OR(G14="",F14=""),"",IFERROR(G14-F14,0))</f>
        <v/>
      </c>
      <c r="I14" s="5" t="n"/>
      <c r="J14" s="5" t="n"/>
      <c r="K14" s="5" t="n"/>
      <c r="L14" s="5" t="n"/>
      <c r="M14" s="5">
        <f>IF(B14="","",IFERROR(VLOOKUP(B14,'F01 - _Données Expatriés'!$A$6:$K$20,2,FALSE)&amp;" "&amp;VLOOKUP(B14,'F01 - _Données Expatriés'!$A$6:$K$20,3,FALSE),""))</f>
        <v/>
      </c>
      <c r="N14" s="5">
        <f>IF(J14="","",IFERROR(COUNTIF($J$6:$J$115,J14),0))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7" t="n"/>
      <c r="H15" s="29">
        <f>IF(OR(G15="",F15=""),"",IFERROR(G15-F15,0))</f>
        <v/>
      </c>
      <c r="I15" s="7" t="n"/>
      <c r="J15" s="7" t="n"/>
      <c r="K15" s="7" t="n"/>
      <c r="L15" s="7" t="n"/>
      <c r="M15" s="7">
        <f>IF(B15="","",IFERROR(VLOOKUP(B15,'F01 - _Données Expatriés'!$A$6:$K$20,2,FALSE)&amp;" "&amp;VLOOKUP(B15,'F01 - _Données Expatriés'!$A$6:$K$20,3,FALSE),""))</f>
        <v/>
      </c>
      <c r="N15" s="7">
        <f>IF(J15="","",IFERROR(COUNTIF($J$6:$J$115,J15),0))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28">
        <f>IF(OR(G16="",F16=""),"",IFERROR(G16-F16,0))</f>
        <v/>
      </c>
      <c r="I16" s="5" t="n"/>
      <c r="J16" s="5" t="n"/>
      <c r="K16" s="5" t="n"/>
      <c r="L16" s="5" t="n"/>
      <c r="M16" s="5">
        <f>IF(B16="","",IFERROR(VLOOKUP(B16,'F01 - _Données Expatriés'!$A$6:$K$20,2,FALSE)&amp;" "&amp;VLOOKUP(B16,'F01 - _Données Expatriés'!$A$6:$K$20,3,FALSE),""))</f>
        <v/>
      </c>
      <c r="N16" s="5">
        <f>IF(J16="","",IFERROR(COUNTIF($J$6:$J$115,J16),0))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7" t="n"/>
      <c r="H17" s="29">
        <f>IF(OR(G17="",F17=""),"",IFERROR(G17-F17,0))</f>
        <v/>
      </c>
      <c r="I17" s="7" t="n"/>
      <c r="J17" s="7" t="n"/>
      <c r="K17" s="7" t="n"/>
      <c r="L17" s="7" t="n"/>
      <c r="M17" s="7">
        <f>IF(B17="","",IFERROR(VLOOKUP(B17,'F01 - _Données Expatriés'!$A$6:$K$20,2,FALSE)&amp;" "&amp;VLOOKUP(B17,'F01 - _Données Expatriés'!$A$6:$K$20,3,FALSE),""))</f>
        <v/>
      </c>
      <c r="N17" s="7">
        <f>IF(J17="","",IFERROR(COUNTIF($J$6:$J$115,J17),0))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28">
        <f>IF(OR(G18="",F18=""),"",IFERROR(G18-F18,0))</f>
        <v/>
      </c>
      <c r="I18" s="5" t="n"/>
      <c r="J18" s="5" t="n"/>
      <c r="K18" s="5" t="n"/>
      <c r="L18" s="5" t="n"/>
      <c r="M18" s="5">
        <f>IF(B18="","",IFERROR(VLOOKUP(B18,'F01 - _Données Expatriés'!$A$6:$K$20,2,FALSE)&amp;" "&amp;VLOOKUP(B18,'F01 - _Données Expatriés'!$A$6:$K$20,3,FALSE),""))</f>
        <v/>
      </c>
      <c r="N18" s="5">
        <f>IF(J18="","",IFERROR(COUNTIF($J$6:$J$115,J18),0))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7" t="n"/>
      <c r="H19" s="29">
        <f>IF(OR(G19="",F19=""),"",IFERROR(G19-F19,0))</f>
        <v/>
      </c>
      <c r="I19" s="7" t="n"/>
      <c r="J19" s="7" t="n"/>
      <c r="K19" s="7" t="n"/>
      <c r="L19" s="7" t="n"/>
      <c r="M19" s="7">
        <f>IF(B19="","",IFERROR(VLOOKUP(B19,'F01 - _Données Expatriés'!$A$6:$K$20,2,FALSE)&amp;" "&amp;VLOOKUP(B19,'F01 - _Données Expatriés'!$A$6:$K$20,3,FALSE),""))</f>
        <v/>
      </c>
      <c r="N19" s="7">
        <f>IF(J19="","",IFERROR(COUNTIF($J$6:$J$115,J19),0))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28">
        <f>IF(OR(G20="",F20=""),"",IFERROR(G20-F20,0))</f>
        <v/>
      </c>
      <c r="I20" s="5" t="n"/>
      <c r="J20" s="5" t="n"/>
      <c r="K20" s="5" t="n"/>
      <c r="L20" s="5" t="n"/>
      <c r="M20" s="5">
        <f>IF(B20="","",IFERROR(VLOOKUP(B20,'F01 - _Données Expatriés'!$A$6:$K$20,2,FALSE)&amp;" "&amp;VLOOKUP(B20,'F01 - _Données Expatriés'!$A$6:$K$20,3,FALSE),""))</f>
        <v/>
      </c>
      <c r="N20" s="5">
        <f>IF(J20="","",IFERROR(COUNTIF($J$6:$J$115,J20),0))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29">
        <f>IF(OR(G21="",F21=""),"",IFERROR(G21-F21,0))</f>
        <v/>
      </c>
      <c r="I21" s="7" t="n"/>
      <c r="J21" s="7" t="n"/>
      <c r="K21" s="7" t="n"/>
      <c r="L21" s="7" t="n"/>
      <c r="M21" s="7">
        <f>IF(B21="","",IFERROR(VLOOKUP(B21,'F01 - _Données Expatriés'!$A$6:$K$20,2,FALSE)&amp;" "&amp;VLOOKUP(B21,'F01 - _Données Expatriés'!$A$6:$K$20,3,FALSE),""))</f>
        <v/>
      </c>
      <c r="N21" s="7">
        <f>IF(J21="","",IFERROR(COUNTIF($J$6:$J$115,J21),0))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28">
        <f>IF(OR(G22="",F22=""),"",IFERROR(G22-F22,0))</f>
        <v/>
      </c>
      <c r="I22" s="5" t="n"/>
      <c r="J22" s="5" t="n"/>
      <c r="K22" s="5" t="n"/>
      <c r="L22" s="5" t="n"/>
      <c r="M22" s="5">
        <f>IF(B22="","",IFERROR(VLOOKUP(B22,'F01 - _Données Expatriés'!$A$6:$K$20,2,FALSE)&amp;" "&amp;VLOOKUP(B22,'F01 - _Données Expatriés'!$A$6:$K$20,3,FALSE),""))</f>
        <v/>
      </c>
      <c r="N22" s="5">
        <f>IF(J22="","",IFERROR(COUNTIF($J$6:$J$115,J22),0))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29">
        <f>IF(OR(G23="",F23=""),"",IFERROR(G23-F23,0))</f>
        <v/>
      </c>
      <c r="I23" s="7" t="n"/>
      <c r="J23" s="7" t="n"/>
      <c r="K23" s="7" t="n"/>
      <c r="L23" s="7" t="n"/>
      <c r="M23" s="7">
        <f>IF(B23="","",IFERROR(VLOOKUP(B23,'F01 - _Données Expatriés'!$A$6:$K$20,2,FALSE)&amp;" "&amp;VLOOKUP(B23,'F01 - _Données Expatriés'!$A$6:$K$20,3,FALSE),""))</f>
        <v/>
      </c>
      <c r="N23" s="7">
        <f>IF(J23="","",IFERROR(COUNTIF($J$6:$J$115,J23),0))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28">
        <f>IF(OR(G24="",F24=""),"",IFERROR(G24-F24,0))</f>
        <v/>
      </c>
      <c r="I24" s="5" t="n"/>
      <c r="J24" s="5" t="n"/>
      <c r="K24" s="5" t="n"/>
      <c r="L24" s="5" t="n"/>
      <c r="M24" s="5">
        <f>IF(B24="","",IFERROR(VLOOKUP(B24,'F01 - _Données Expatriés'!$A$6:$K$20,2,FALSE)&amp;" "&amp;VLOOKUP(B24,'F01 - _Données Expatriés'!$A$6:$K$20,3,FALSE),""))</f>
        <v/>
      </c>
      <c r="N24" s="5">
        <f>IF(J24="","",IFERROR(COUNTIF($J$6:$J$115,J24),0))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7" t="n"/>
      <c r="H25" s="29">
        <f>IF(OR(G25="",F25=""),"",IFERROR(G25-F25,0))</f>
        <v/>
      </c>
      <c r="I25" s="7" t="n"/>
      <c r="J25" s="7" t="n"/>
      <c r="K25" s="7" t="n"/>
      <c r="L25" s="7" t="n"/>
      <c r="M25" s="7">
        <f>IF(B25="","",IFERROR(VLOOKUP(B25,'F01 - _Données Expatriés'!$A$6:$K$20,2,FALSE)&amp;" "&amp;VLOOKUP(B25,'F01 - _Données Expatriés'!$A$6:$K$20,3,FALSE),""))</f>
        <v/>
      </c>
      <c r="N25" s="7">
        <f>IF(J25="","",IFERROR(COUNTIF($J$6:$J$115,J25),0))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28">
        <f>IF(OR(G26="",F26=""),"",IFERROR(G26-F26,0))</f>
        <v/>
      </c>
      <c r="I26" s="5" t="n"/>
      <c r="J26" s="5" t="n"/>
      <c r="K26" s="5" t="n"/>
      <c r="L26" s="5" t="n"/>
      <c r="M26" s="5">
        <f>IF(B26="","",IFERROR(VLOOKUP(B26,'F01 - _Données Expatriés'!$A$6:$K$20,2,FALSE)&amp;" "&amp;VLOOKUP(B26,'F01 - _Données Expatriés'!$A$6:$K$20,3,FALSE),""))</f>
        <v/>
      </c>
      <c r="N26" s="5">
        <f>IF(J26="","",IFERROR(COUNTIF($J$6:$J$115,J26),0))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7" t="n"/>
      <c r="H27" s="29">
        <f>IF(OR(G27="",F27=""),"",IFERROR(G27-F27,0))</f>
        <v/>
      </c>
      <c r="I27" s="7" t="n"/>
      <c r="J27" s="7" t="n"/>
      <c r="K27" s="7" t="n"/>
      <c r="L27" s="7" t="n"/>
      <c r="M27" s="7">
        <f>IF(B27="","",IFERROR(VLOOKUP(B27,'F01 - _Données Expatriés'!$A$6:$K$20,2,FALSE)&amp;" "&amp;VLOOKUP(B27,'F01 - _Données Expatriés'!$A$6:$K$20,3,FALSE),""))</f>
        <v/>
      </c>
      <c r="N27" s="7">
        <f>IF(J27="","",IFERROR(COUNTIF($J$6:$J$115,J27),0))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28">
        <f>IF(OR(G28="",F28=""),"",IFERROR(G28-F28,0))</f>
        <v/>
      </c>
      <c r="I28" s="5" t="n"/>
      <c r="J28" s="5" t="n"/>
      <c r="K28" s="5" t="n"/>
      <c r="L28" s="5" t="n"/>
      <c r="M28" s="5">
        <f>IF(B28="","",IFERROR(VLOOKUP(B28,'F01 - _Données Expatriés'!$A$6:$K$20,2,FALSE)&amp;" "&amp;VLOOKUP(B28,'F01 - _Données Expatriés'!$A$6:$K$20,3,FALSE),""))</f>
        <v/>
      </c>
      <c r="N28" s="5">
        <f>IF(J28="","",IFERROR(COUNTIF($J$6:$J$115,J28),0))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7" t="n"/>
      <c r="H29" s="29">
        <f>IF(OR(G29="",F29=""),"",IFERROR(G29-F29,0))</f>
        <v/>
      </c>
      <c r="I29" s="7" t="n"/>
      <c r="J29" s="7" t="n"/>
      <c r="K29" s="7" t="n"/>
      <c r="L29" s="7" t="n"/>
      <c r="M29" s="7">
        <f>IF(B29="","",IFERROR(VLOOKUP(B29,'F01 - _Données Expatriés'!$A$6:$K$20,2,FALSE)&amp;" "&amp;VLOOKUP(B29,'F01 - _Données Expatriés'!$A$6:$K$20,3,FALSE),""))</f>
        <v/>
      </c>
      <c r="N29" s="7">
        <f>IF(J29="","",IFERROR(COUNTIF($J$6:$J$115,J29),0))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28">
        <f>IF(OR(G30="",F30=""),"",IFERROR(G30-F30,0))</f>
        <v/>
      </c>
      <c r="I30" s="5" t="n"/>
      <c r="J30" s="5" t="n"/>
      <c r="K30" s="5" t="n"/>
      <c r="L30" s="5" t="n"/>
      <c r="M30" s="5">
        <f>IF(B30="","",IFERROR(VLOOKUP(B30,'F01 - _Données Expatriés'!$A$6:$K$20,2,FALSE)&amp;" "&amp;VLOOKUP(B30,'F01 - _Données Expatriés'!$A$6:$K$20,3,FALSE),""))</f>
        <v/>
      </c>
      <c r="N30" s="5">
        <f>IF(J30="","",IFERROR(COUNTIF($J$6:$J$115,J30),0))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7" t="n"/>
      <c r="H31" s="29">
        <f>IF(OR(G31="",F31=""),"",IFERROR(G31-F31,0))</f>
        <v/>
      </c>
      <c r="I31" s="7" t="n"/>
      <c r="J31" s="7" t="n"/>
      <c r="K31" s="7" t="n"/>
      <c r="L31" s="7" t="n"/>
      <c r="M31" s="7">
        <f>IF(B31="","",IFERROR(VLOOKUP(B31,'F01 - _Données Expatriés'!$A$6:$K$20,2,FALSE)&amp;" "&amp;VLOOKUP(B31,'F01 - _Données Expatriés'!$A$6:$K$20,3,FALSE),""))</f>
        <v/>
      </c>
      <c r="N31" s="7">
        <f>IF(J31="","",IFERROR(COUNTIF($J$6:$J$115,J31),0))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28">
        <f>IF(OR(G32="",F32=""),"",IFERROR(G32-F32,0))</f>
        <v/>
      </c>
      <c r="I32" s="5" t="n"/>
      <c r="J32" s="5" t="n"/>
      <c r="K32" s="5" t="n"/>
      <c r="L32" s="5" t="n"/>
      <c r="M32" s="5">
        <f>IF(B32="","",IFERROR(VLOOKUP(B32,'F01 - _Données Expatriés'!$A$6:$K$20,2,FALSE)&amp;" "&amp;VLOOKUP(B32,'F01 - _Données Expatriés'!$A$6:$K$20,3,FALSE),""))</f>
        <v/>
      </c>
      <c r="N32" s="5">
        <f>IF(J32="","",IFERROR(COUNTIF($J$6:$J$115,J32),0))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7" t="n"/>
      <c r="H33" s="29">
        <f>IF(OR(G33="",F33=""),"",IFERROR(G33-F33,0))</f>
        <v/>
      </c>
      <c r="I33" s="7" t="n"/>
      <c r="J33" s="7" t="n"/>
      <c r="K33" s="7" t="n"/>
      <c r="L33" s="7" t="n"/>
      <c r="M33" s="7">
        <f>IF(B33="","",IFERROR(VLOOKUP(B33,'F01 - _Données Expatriés'!$A$6:$K$20,2,FALSE)&amp;" "&amp;VLOOKUP(B33,'F01 - _Données Expatriés'!$A$6:$K$20,3,FALSE),""))</f>
        <v/>
      </c>
      <c r="N33" s="7">
        <f>IF(J33="","",IFERROR(COUNTIF($J$6:$J$115,J33),0))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28">
        <f>IF(OR(G34="",F34=""),"",IFERROR(G34-F34,0))</f>
        <v/>
      </c>
      <c r="I34" s="5" t="n"/>
      <c r="J34" s="5" t="n"/>
      <c r="K34" s="5" t="n"/>
      <c r="L34" s="5" t="n"/>
      <c r="M34" s="5">
        <f>IF(B34="","",IFERROR(VLOOKUP(B34,'F01 - _Données Expatriés'!$A$6:$K$20,2,FALSE)&amp;" "&amp;VLOOKUP(B34,'F01 - _Données Expatriés'!$A$6:$K$20,3,FALSE),""))</f>
        <v/>
      </c>
      <c r="N34" s="5">
        <f>IF(J34="","",IFERROR(COUNTIF($J$6:$J$115,J34),0))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7" t="n"/>
      <c r="H35" s="29">
        <f>IF(OR(G35="",F35=""),"",IFERROR(G35-F35,0))</f>
        <v/>
      </c>
      <c r="I35" s="7" t="n"/>
      <c r="J35" s="7" t="n"/>
      <c r="K35" s="7" t="n"/>
      <c r="L35" s="7" t="n"/>
      <c r="M35" s="7">
        <f>IF(B35="","",IFERROR(VLOOKUP(B35,'F01 - _Données Expatriés'!$A$6:$K$20,2,FALSE)&amp;" "&amp;VLOOKUP(B35,'F01 - _Données Expatriés'!$A$6:$K$20,3,FALSE),""))</f>
        <v/>
      </c>
      <c r="N35" s="7">
        <f>IF(J35="","",IFERROR(COUNTIF($J$6:$J$115,J35),0))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28">
        <f>IF(OR(G36="",F36=""),"",IFERROR(G36-F36,0))</f>
        <v/>
      </c>
      <c r="I36" s="5" t="n"/>
      <c r="J36" s="5" t="n"/>
      <c r="K36" s="5" t="n"/>
      <c r="L36" s="5" t="n"/>
      <c r="M36" s="5">
        <f>IF(B36="","",IFERROR(VLOOKUP(B36,'F01 - _Données Expatriés'!$A$6:$K$20,2,FALSE)&amp;" "&amp;VLOOKUP(B36,'F01 - _Données Expatriés'!$A$6:$K$20,3,FALSE),""))</f>
        <v/>
      </c>
      <c r="N36" s="5">
        <f>IF(J36="","",IFERROR(COUNTIF($J$6:$J$115,J36),0))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7" t="n"/>
      <c r="H37" s="29">
        <f>IF(OR(G37="",F37=""),"",IFERROR(G37-F37,0))</f>
        <v/>
      </c>
      <c r="I37" s="7" t="n"/>
      <c r="J37" s="7" t="n"/>
      <c r="K37" s="7" t="n"/>
      <c r="L37" s="7" t="n"/>
      <c r="M37" s="7">
        <f>IF(B37="","",IFERROR(VLOOKUP(B37,'F01 - _Données Expatriés'!$A$6:$K$20,2,FALSE)&amp;" "&amp;VLOOKUP(B37,'F01 - _Données Expatriés'!$A$6:$K$20,3,FALSE),""))</f>
        <v/>
      </c>
      <c r="N37" s="7">
        <f>IF(J37="","",IFERROR(COUNTIF($J$6:$J$115,J37),0))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28">
        <f>IF(OR(G38="",F38=""),"",IFERROR(G38-F38,0))</f>
        <v/>
      </c>
      <c r="I38" s="5" t="n"/>
      <c r="J38" s="5" t="n"/>
      <c r="K38" s="5" t="n"/>
      <c r="L38" s="5" t="n"/>
      <c r="M38" s="5">
        <f>IF(B38="","",IFERROR(VLOOKUP(B38,'F01 - _Données Expatriés'!$A$6:$K$20,2,FALSE)&amp;" "&amp;VLOOKUP(B38,'F01 - _Données Expatriés'!$A$6:$K$20,3,FALSE),""))</f>
        <v/>
      </c>
      <c r="N38" s="5">
        <f>IF(J38="","",IFERROR(COUNTIF($J$6:$J$115,J38),0))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7" t="n"/>
      <c r="H39" s="29">
        <f>IF(OR(G39="",F39=""),"",IFERROR(G39-F39,0))</f>
        <v/>
      </c>
      <c r="I39" s="7" t="n"/>
      <c r="J39" s="7" t="n"/>
      <c r="K39" s="7" t="n"/>
      <c r="L39" s="7" t="n"/>
      <c r="M39" s="7">
        <f>IF(B39="","",IFERROR(VLOOKUP(B39,'F01 - _Données Expatriés'!$A$6:$K$20,2,FALSE)&amp;" "&amp;VLOOKUP(B39,'F01 - _Données Expatriés'!$A$6:$K$20,3,FALSE),""))</f>
        <v/>
      </c>
      <c r="N39" s="7">
        <f>IF(J39="","",IFERROR(COUNTIF($J$6:$J$115,J39),0))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28">
        <f>IF(OR(G40="",F40=""),"",IFERROR(G40-F40,0))</f>
        <v/>
      </c>
      <c r="I40" s="5" t="n"/>
      <c r="J40" s="5" t="n"/>
      <c r="K40" s="5" t="n"/>
      <c r="L40" s="5" t="n"/>
      <c r="M40" s="5">
        <f>IF(B40="","",IFERROR(VLOOKUP(B40,'F01 - _Données Expatriés'!$A$6:$K$20,2,FALSE)&amp;" "&amp;VLOOKUP(B40,'F01 - _Données Expatriés'!$A$6:$K$20,3,FALSE),""))</f>
        <v/>
      </c>
      <c r="N40" s="5">
        <f>IF(J40="","",IFERROR(COUNTIF($J$6:$J$115,J40),0))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7" t="n"/>
      <c r="H41" s="29">
        <f>IF(OR(G41="",F41=""),"",IFERROR(G41-F41,0))</f>
        <v/>
      </c>
      <c r="I41" s="7" t="n"/>
      <c r="J41" s="7" t="n"/>
      <c r="K41" s="7" t="n"/>
      <c r="L41" s="7" t="n"/>
      <c r="M41" s="7">
        <f>IF(B41="","",IFERROR(VLOOKUP(B41,'F01 - _Données Expatriés'!$A$6:$K$20,2,FALSE)&amp;" "&amp;VLOOKUP(B41,'F01 - _Données Expatriés'!$A$6:$K$20,3,FALSE),""))</f>
        <v/>
      </c>
      <c r="N41" s="7">
        <f>IF(J41="","",IFERROR(COUNTIF($J$6:$J$115,J41),0))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28">
        <f>IF(OR(G42="",F42=""),"",IFERROR(G42-F42,0))</f>
        <v/>
      </c>
      <c r="I42" s="5" t="n"/>
      <c r="J42" s="5" t="n"/>
      <c r="K42" s="5" t="n"/>
      <c r="L42" s="5" t="n"/>
      <c r="M42" s="5">
        <f>IF(B42="","",IFERROR(VLOOKUP(B42,'F01 - _Données Expatriés'!$A$6:$K$20,2,FALSE)&amp;" "&amp;VLOOKUP(B42,'F01 - _Données Expatriés'!$A$6:$K$20,3,FALSE),""))</f>
        <v/>
      </c>
      <c r="N42" s="5">
        <f>IF(J42="","",IFERROR(COUNTIF($J$6:$J$115,J42),0))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7" t="n"/>
      <c r="H43" s="29">
        <f>IF(OR(G43="",F43=""),"",IFERROR(G43-F43,0))</f>
        <v/>
      </c>
      <c r="I43" s="7" t="n"/>
      <c r="J43" s="7" t="n"/>
      <c r="K43" s="7" t="n"/>
      <c r="L43" s="7" t="n"/>
      <c r="M43" s="7">
        <f>IF(B43="","",IFERROR(VLOOKUP(B43,'F01 - _Données Expatriés'!$A$6:$K$20,2,FALSE)&amp;" "&amp;VLOOKUP(B43,'F01 - _Données Expatriés'!$A$6:$K$20,3,FALSE),""))</f>
        <v/>
      </c>
      <c r="N43" s="7">
        <f>IF(J43="","",IFERROR(COUNTIF($J$6:$J$115,J43),0))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28">
        <f>IF(OR(G44="",F44=""),"",IFERROR(G44-F44,0))</f>
        <v/>
      </c>
      <c r="I44" s="5" t="n"/>
      <c r="J44" s="5" t="n"/>
      <c r="K44" s="5" t="n"/>
      <c r="L44" s="5" t="n"/>
      <c r="M44" s="5">
        <f>IF(B44="","",IFERROR(VLOOKUP(B44,'F01 - _Données Expatriés'!$A$6:$K$20,2,FALSE)&amp;" "&amp;VLOOKUP(B44,'F01 - _Données Expatriés'!$A$6:$K$20,3,FALSE),""))</f>
        <v/>
      </c>
      <c r="N44" s="5">
        <f>IF(J44="","",IFERROR(COUNTIF($J$6:$J$115,J44),0))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7" t="n"/>
      <c r="H45" s="29">
        <f>IF(OR(G45="",F45=""),"",IFERROR(G45-F45,0))</f>
        <v/>
      </c>
      <c r="I45" s="7" t="n"/>
      <c r="J45" s="7" t="n"/>
      <c r="K45" s="7" t="n"/>
      <c r="L45" s="7" t="n"/>
      <c r="M45" s="7">
        <f>IF(B45="","",IFERROR(VLOOKUP(B45,'F01 - _Données Expatriés'!$A$6:$K$20,2,FALSE)&amp;" "&amp;VLOOKUP(B45,'F01 - _Données Expatriés'!$A$6:$K$20,3,FALSE),""))</f>
        <v/>
      </c>
      <c r="N45" s="7">
        <f>IF(J45="","",IFERROR(COUNTIF($J$6:$J$115,J45),0))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28">
        <f>IF(OR(G46="",F46=""),"",IFERROR(G46-F46,0))</f>
        <v/>
      </c>
      <c r="I46" s="5" t="n"/>
      <c r="J46" s="5" t="n"/>
      <c r="K46" s="5" t="n"/>
      <c r="L46" s="5" t="n"/>
      <c r="M46" s="5">
        <f>IF(B46="","",IFERROR(VLOOKUP(B46,'F01 - _Données Expatriés'!$A$6:$K$20,2,FALSE)&amp;" "&amp;VLOOKUP(B46,'F01 - _Données Expatriés'!$A$6:$K$20,3,FALSE),""))</f>
        <v/>
      </c>
      <c r="N46" s="5">
        <f>IF(J46="","",IFERROR(COUNTIF($J$6:$J$115,J46),0))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7" t="n"/>
      <c r="H47" s="29">
        <f>IF(OR(G47="",F47=""),"",IFERROR(G47-F47,0))</f>
        <v/>
      </c>
      <c r="I47" s="7" t="n"/>
      <c r="J47" s="7" t="n"/>
      <c r="K47" s="7" t="n"/>
      <c r="L47" s="7" t="n"/>
      <c r="M47" s="7">
        <f>IF(B47="","",IFERROR(VLOOKUP(B47,'F01 - _Données Expatriés'!$A$6:$K$20,2,FALSE)&amp;" "&amp;VLOOKUP(B47,'F01 - _Données Expatriés'!$A$6:$K$20,3,FALSE),""))</f>
        <v/>
      </c>
      <c r="N47" s="7">
        <f>IF(J47="","",IFERROR(COUNTIF($J$6:$J$115,J47),0))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28">
        <f>IF(OR(G48="",F48=""),"",IFERROR(G48-F48,0))</f>
        <v/>
      </c>
      <c r="I48" s="5" t="n"/>
      <c r="J48" s="5" t="n"/>
      <c r="K48" s="5" t="n"/>
      <c r="L48" s="5" t="n"/>
      <c r="M48" s="5">
        <f>IF(B48="","",IFERROR(VLOOKUP(B48,'F01 - _Données Expatriés'!$A$6:$K$20,2,FALSE)&amp;" "&amp;VLOOKUP(B48,'F01 - _Données Expatriés'!$A$6:$K$20,3,FALSE),""))</f>
        <v/>
      </c>
      <c r="N48" s="5">
        <f>IF(J48="","",IFERROR(COUNTIF($J$6:$J$115,J48),0))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7" t="n"/>
      <c r="H49" s="29">
        <f>IF(OR(G49="",F49=""),"",IFERROR(G49-F49,0))</f>
        <v/>
      </c>
      <c r="I49" s="7" t="n"/>
      <c r="J49" s="7" t="n"/>
      <c r="K49" s="7" t="n"/>
      <c r="L49" s="7" t="n"/>
      <c r="M49" s="7">
        <f>IF(B49="","",IFERROR(VLOOKUP(B49,'F01 - _Données Expatriés'!$A$6:$K$20,2,FALSE)&amp;" "&amp;VLOOKUP(B49,'F01 - _Données Expatriés'!$A$6:$K$20,3,FALSE),""))</f>
        <v/>
      </c>
      <c r="N49" s="7">
        <f>IF(J49="","",IFERROR(COUNTIF($J$6:$J$115,J49),0))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28">
        <f>IF(OR(G50="",F50=""),"",IFERROR(G50-F50,0))</f>
        <v/>
      </c>
      <c r="I50" s="5" t="n"/>
      <c r="J50" s="5" t="n"/>
      <c r="K50" s="5" t="n"/>
      <c r="L50" s="5" t="n"/>
      <c r="M50" s="5">
        <f>IF(B50="","",IFERROR(VLOOKUP(B50,'F01 - _Données Expatriés'!$A$6:$K$20,2,FALSE)&amp;" "&amp;VLOOKUP(B50,'F01 - _Données Expatriés'!$A$6:$K$20,3,FALSE),""))</f>
        <v/>
      </c>
      <c r="N50" s="5">
        <f>IF(J50="","",IFERROR(COUNTIF($J$6:$J$115,J50),0))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7" t="n"/>
      <c r="H51" s="29">
        <f>IF(OR(G51="",F51=""),"",IFERROR(G51-F51,0))</f>
        <v/>
      </c>
      <c r="I51" s="7" t="n"/>
      <c r="J51" s="7" t="n"/>
      <c r="K51" s="7" t="n"/>
      <c r="L51" s="7" t="n"/>
      <c r="M51" s="7">
        <f>IF(B51="","",IFERROR(VLOOKUP(B51,'F01 - _Données Expatriés'!$A$6:$K$20,2,FALSE)&amp;" "&amp;VLOOKUP(B51,'F01 - _Données Expatriés'!$A$6:$K$20,3,FALSE),""))</f>
        <v/>
      </c>
      <c r="N51" s="7">
        <f>IF(J51="","",IFERROR(COUNTIF($J$6:$J$115,J51),0))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28">
        <f>IF(OR(G52="",F52=""),"",IFERROR(G52-F52,0))</f>
        <v/>
      </c>
      <c r="I52" s="5" t="n"/>
      <c r="J52" s="5" t="n"/>
      <c r="K52" s="5" t="n"/>
      <c r="L52" s="5" t="n"/>
      <c r="M52" s="5">
        <f>IF(B52="","",IFERROR(VLOOKUP(B52,'F01 - _Données Expatriés'!$A$6:$K$20,2,FALSE)&amp;" "&amp;VLOOKUP(B52,'F01 - _Données Expatriés'!$A$6:$K$20,3,FALSE),""))</f>
        <v/>
      </c>
      <c r="N52" s="5">
        <f>IF(J52="","",IFERROR(COUNTIF($J$6:$J$115,J52),0))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7" t="n"/>
      <c r="H53" s="29">
        <f>IF(OR(G53="",F53=""),"",IFERROR(G53-F53,0))</f>
        <v/>
      </c>
      <c r="I53" s="7" t="n"/>
      <c r="J53" s="7" t="n"/>
      <c r="K53" s="7" t="n"/>
      <c r="L53" s="7" t="n"/>
      <c r="M53" s="7">
        <f>IF(B53="","",IFERROR(VLOOKUP(B53,'F01 - _Données Expatriés'!$A$6:$K$20,2,FALSE)&amp;" "&amp;VLOOKUP(B53,'F01 - _Données Expatriés'!$A$6:$K$20,3,FALSE),""))</f>
        <v/>
      </c>
      <c r="N53" s="7">
        <f>IF(J53="","",IFERROR(COUNTIF($J$6:$J$115,J53),0))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28">
        <f>IF(OR(G54="",F54=""),"",IFERROR(G54-F54,0))</f>
        <v/>
      </c>
      <c r="I54" s="5" t="n"/>
      <c r="J54" s="5" t="n"/>
      <c r="K54" s="5" t="n"/>
      <c r="L54" s="5" t="n"/>
      <c r="M54" s="5">
        <f>IF(B54="","",IFERROR(VLOOKUP(B54,'F01 - _Données Expatriés'!$A$6:$K$20,2,FALSE)&amp;" "&amp;VLOOKUP(B54,'F01 - _Données Expatriés'!$A$6:$K$20,3,FALSE),""))</f>
        <v/>
      </c>
      <c r="N54" s="5">
        <f>IF(J54="","",IFERROR(COUNTIF($J$6:$J$115,J54),0))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7" t="n"/>
      <c r="H55" s="29">
        <f>IF(OR(G55="",F55=""),"",IFERROR(G55-F55,0))</f>
        <v/>
      </c>
      <c r="I55" s="7" t="n"/>
      <c r="J55" s="7" t="n"/>
      <c r="K55" s="7" t="n"/>
      <c r="L55" s="7" t="n"/>
      <c r="M55" s="7">
        <f>IF(B55="","",IFERROR(VLOOKUP(B55,'F01 - _Données Expatriés'!$A$6:$K$20,2,FALSE)&amp;" "&amp;VLOOKUP(B55,'F01 - _Données Expatriés'!$A$6:$K$20,3,FALSE),""))</f>
        <v/>
      </c>
      <c r="N55" s="7">
        <f>IF(J55="","",IFERROR(COUNTIF($J$6:$J$115,J55),0))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28">
        <f>IF(OR(G56="",F56=""),"",IFERROR(G56-F56,0))</f>
        <v/>
      </c>
      <c r="I56" s="5" t="n"/>
      <c r="J56" s="5" t="n"/>
      <c r="K56" s="5" t="n"/>
      <c r="L56" s="5" t="n"/>
      <c r="M56" s="5">
        <f>IF(B56="","",IFERROR(VLOOKUP(B56,'F01 - _Données Expatriés'!$A$6:$K$20,2,FALSE)&amp;" "&amp;VLOOKUP(B56,'F01 - _Données Expatriés'!$A$6:$K$20,3,FALSE),""))</f>
        <v/>
      </c>
      <c r="N56" s="5">
        <f>IF(J56="","",IFERROR(COUNTIF($J$6:$J$115,J56),0))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7" t="n"/>
      <c r="H57" s="29">
        <f>IF(OR(G57="",F57=""),"",IFERROR(G57-F57,0))</f>
        <v/>
      </c>
      <c r="I57" s="7" t="n"/>
      <c r="J57" s="7" t="n"/>
      <c r="K57" s="7" t="n"/>
      <c r="L57" s="7" t="n"/>
      <c r="M57" s="7">
        <f>IF(B57="","",IFERROR(VLOOKUP(B57,'F01 - _Données Expatriés'!$A$6:$K$20,2,FALSE)&amp;" "&amp;VLOOKUP(B57,'F01 - _Données Expatriés'!$A$6:$K$20,3,FALSE),""))</f>
        <v/>
      </c>
      <c r="N57" s="7">
        <f>IF(J57="","",IFERROR(COUNTIF($J$6:$J$115,J57),0))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28">
        <f>IF(OR(G58="",F58=""),"",IFERROR(G58-F58,0))</f>
        <v/>
      </c>
      <c r="I58" s="5" t="n"/>
      <c r="J58" s="5" t="n"/>
      <c r="K58" s="5" t="n"/>
      <c r="L58" s="5" t="n"/>
      <c r="M58" s="5">
        <f>IF(B58="","",IFERROR(VLOOKUP(B58,'F01 - _Données Expatriés'!$A$6:$K$20,2,FALSE)&amp;" "&amp;VLOOKUP(B58,'F01 - _Données Expatriés'!$A$6:$K$20,3,FALSE),""))</f>
        <v/>
      </c>
      <c r="N58" s="5">
        <f>IF(J58="","",IFERROR(COUNTIF($J$6:$J$115,J58),0))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7" t="n"/>
      <c r="H59" s="29">
        <f>IF(OR(G59="",F59=""),"",IFERROR(G59-F59,0))</f>
        <v/>
      </c>
      <c r="I59" s="7" t="n"/>
      <c r="J59" s="7" t="n"/>
      <c r="K59" s="7" t="n"/>
      <c r="L59" s="7" t="n"/>
      <c r="M59" s="7">
        <f>IF(B59="","",IFERROR(VLOOKUP(B59,'F01 - _Données Expatriés'!$A$6:$K$20,2,FALSE)&amp;" "&amp;VLOOKUP(B59,'F01 - _Données Expatriés'!$A$6:$K$20,3,FALSE),""))</f>
        <v/>
      </c>
      <c r="N59" s="7">
        <f>IF(J59="","",IFERROR(COUNTIF($J$6:$J$115,J59),0))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28">
        <f>IF(OR(G60="",F60=""),"",IFERROR(G60-F60,0))</f>
        <v/>
      </c>
      <c r="I60" s="5" t="n"/>
      <c r="J60" s="5" t="n"/>
      <c r="K60" s="5" t="n"/>
      <c r="L60" s="5" t="n"/>
      <c r="M60" s="5">
        <f>IF(B60="","",IFERROR(VLOOKUP(B60,'F01 - _Données Expatriés'!$A$6:$K$20,2,FALSE)&amp;" "&amp;VLOOKUP(B60,'F01 - _Données Expatriés'!$A$6:$K$20,3,FALSE),""))</f>
        <v/>
      </c>
      <c r="N60" s="5">
        <f>IF(J60="","",IFERROR(COUNTIF($J$6:$J$115,J60),0))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7" t="n"/>
      <c r="H61" s="29">
        <f>IF(OR(G61="",F61=""),"",IFERROR(G61-F61,0))</f>
        <v/>
      </c>
      <c r="I61" s="7" t="n"/>
      <c r="J61" s="7" t="n"/>
      <c r="K61" s="7" t="n"/>
      <c r="L61" s="7" t="n"/>
      <c r="M61" s="7">
        <f>IF(B61="","",IFERROR(VLOOKUP(B61,'F01 - _Données Expatriés'!$A$6:$K$20,2,FALSE)&amp;" "&amp;VLOOKUP(B61,'F01 - _Données Expatriés'!$A$6:$K$20,3,FALSE),""))</f>
        <v/>
      </c>
      <c r="N61" s="7">
        <f>IF(J61="","",IFERROR(COUNTIF($J$6:$J$115,J61),0))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28">
        <f>IF(OR(G62="",F62=""),"",IFERROR(G62-F62,0))</f>
        <v/>
      </c>
      <c r="I62" s="5" t="n"/>
      <c r="J62" s="5" t="n"/>
      <c r="K62" s="5" t="n"/>
      <c r="L62" s="5" t="n"/>
      <c r="M62" s="5">
        <f>IF(B62="","",IFERROR(VLOOKUP(B62,'F01 - _Données Expatriés'!$A$6:$K$20,2,FALSE)&amp;" "&amp;VLOOKUP(B62,'F01 - _Données Expatriés'!$A$6:$K$20,3,FALSE),""))</f>
        <v/>
      </c>
      <c r="N62" s="5">
        <f>IF(J62="","",IFERROR(COUNTIF($J$6:$J$115,J62),0))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7" t="n"/>
      <c r="H63" s="29">
        <f>IF(OR(G63="",F63=""),"",IFERROR(G63-F63,0))</f>
        <v/>
      </c>
      <c r="I63" s="7" t="n"/>
      <c r="J63" s="7" t="n"/>
      <c r="K63" s="7" t="n"/>
      <c r="L63" s="7" t="n"/>
      <c r="M63" s="7">
        <f>IF(B63="","",IFERROR(VLOOKUP(B63,'F01 - _Données Expatriés'!$A$6:$K$20,2,FALSE)&amp;" "&amp;VLOOKUP(B63,'F01 - _Données Expatriés'!$A$6:$K$20,3,FALSE),""))</f>
        <v/>
      </c>
      <c r="N63" s="7">
        <f>IF(J63="","",IFERROR(COUNTIF($J$6:$J$115,J63),0))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28">
        <f>IF(OR(G64="",F64=""),"",IFERROR(G64-F64,0))</f>
        <v/>
      </c>
      <c r="I64" s="5" t="n"/>
      <c r="J64" s="5" t="n"/>
      <c r="K64" s="5" t="n"/>
      <c r="L64" s="5" t="n"/>
      <c r="M64" s="5">
        <f>IF(B64="","",IFERROR(VLOOKUP(B64,'F01 - _Données Expatriés'!$A$6:$K$20,2,FALSE)&amp;" "&amp;VLOOKUP(B64,'F01 - _Données Expatriés'!$A$6:$K$20,3,FALSE),""))</f>
        <v/>
      </c>
      <c r="N64" s="5">
        <f>IF(J64="","",IFERROR(COUNTIF($J$6:$J$115,J64),0))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7" t="n"/>
      <c r="H65" s="29">
        <f>IF(OR(G65="",F65=""),"",IFERROR(G65-F65,0))</f>
        <v/>
      </c>
      <c r="I65" s="7" t="n"/>
      <c r="J65" s="7" t="n"/>
      <c r="K65" s="7" t="n"/>
      <c r="L65" s="7" t="n"/>
      <c r="M65" s="7">
        <f>IF(B65="","",IFERROR(VLOOKUP(B65,'F01 - _Données Expatriés'!$A$6:$K$20,2,FALSE)&amp;" "&amp;VLOOKUP(B65,'F01 - _Données Expatriés'!$A$6:$K$20,3,FALSE),""))</f>
        <v/>
      </c>
      <c r="N65" s="7">
        <f>IF(J65="","",IFERROR(COUNTIF($J$6:$J$115,J65),0))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28">
        <f>IF(OR(G66="",F66=""),"",IFERROR(G66-F66,0))</f>
        <v/>
      </c>
      <c r="I66" s="5" t="n"/>
      <c r="J66" s="5" t="n"/>
      <c r="K66" s="5" t="n"/>
      <c r="L66" s="5" t="n"/>
      <c r="M66" s="5">
        <f>IF(B66="","",IFERROR(VLOOKUP(B66,'F01 - _Données Expatriés'!$A$6:$K$20,2,FALSE)&amp;" "&amp;VLOOKUP(B66,'F01 - _Données Expatriés'!$A$6:$K$20,3,FALSE),""))</f>
        <v/>
      </c>
      <c r="N66" s="5">
        <f>IF(J66="","",IFERROR(COUNTIF($J$6:$J$115,J66),0))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7" t="n"/>
      <c r="H67" s="29">
        <f>IF(OR(G67="",F67=""),"",IFERROR(G67-F67,0))</f>
        <v/>
      </c>
      <c r="I67" s="7" t="n"/>
      <c r="J67" s="7" t="n"/>
      <c r="K67" s="7" t="n"/>
      <c r="L67" s="7" t="n"/>
      <c r="M67" s="7">
        <f>IF(B67="","",IFERROR(VLOOKUP(B67,'F01 - _Données Expatriés'!$A$6:$K$20,2,FALSE)&amp;" "&amp;VLOOKUP(B67,'F01 - _Données Expatriés'!$A$6:$K$20,3,FALSE),""))</f>
        <v/>
      </c>
      <c r="N67" s="7">
        <f>IF(J67="","",IFERROR(COUNTIF($J$6:$J$115,J67),0))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28">
        <f>IF(OR(G68="",F68=""),"",IFERROR(G68-F68,0))</f>
        <v/>
      </c>
      <c r="I68" s="5" t="n"/>
      <c r="J68" s="5" t="n"/>
      <c r="K68" s="5" t="n"/>
      <c r="L68" s="5" t="n"/>
      <c r="M68" s="5">
        <f>IF(B68="","",IFERROR(VLOOKUP(B68,'F01 - _Données Expatriés'!$A$6:$K$20,2,FALSE)&amp;" "&amp;VLOOKUP(B68,'F01 - _Données Expatriés'!$A$6:$K$20,3,FALSE),""))</f>
        <v/>
      </c>
      <c r="N68" s="5">
        <f>IF(J68="","",IFERROR(COUNTIF($J$6:$J$115,J68),0))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7" t="n"/>
      <c r="H69" s="29">
        <f>IF(OR(G69="",F69=""),"",IFERROR(G69-F69,0))</f>
        <v/>
      </c>
      <c r="I69" s="7" t="n"/>
      <c r="J69" s="7" t="n"/>
      <c r="K69" s="7" t="n"/>
      <c r="L69" s="7" t="n"/>
      <c r="M69" s="7">
        <f>IF(B69="","",IFERROR(VLOOKUP(B69,'F01 - _Données Expatriés'!$A$6:$K$20,2,FALSE)&amp;" "&amp;VLOOKUP(B69,'F01 - _Données Expatriés'!$A$6:$K$20,3,FALSE),""))</f>
        <v/>
      </c>
      <c r="N69" s="7">
        <f>IF(J69="","",IFERROR(COUNTIF($J$6:$J$115,J69),0))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28">
        <f>IF(OR(G70="",F70=""),"",IFERROR(G70-F70,0))</f>
        <v/>
      </c>
      <c r="I70" s="5" t="n"/>
      <c r="J70" s="5" t="n"/>
      <c r="K70" s="5" t="n"/>
      <c r="L70" s="5" t="n"/>
      <c r="M70" s="5">
        <f>IF(B70="","",IFERROR(VLOOKUP(B70,'F01 - _Données Expatriés'!$A$6:$K$20,2,FALSE)&amp;" "&amp;VLOOKUP(B70,'F01 - _Données Expatriés'!$A$6:$K$20,3,FALSE),""))</f>
        <v/>
      </c>
      <c r="N70" s="5">
        <f>IF(J70="","",IFERROR(COUNTIF($J$6:$J$115,J70),0))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7" t="n"/>
      <c r="H71" s="29">
        <f>IF(OR(G71="",F71=""),"",IFERROR(G71-F71,0))</f>
        <v/>
      </c>
      <c r="I71" s="7" t="n"/>
      <c r="J71" s="7" t="n"/>
      <c r="K71" s="7" t="n"/>
      <c r="L71" s="7" t="n"/>
      <c r="M71" s="7">
        <f>IF(B71="","",IFERROR(VLOOKUP(B71,'F01 - _Données Expatriés'!$A$6:$K$20,2,FALSE)&amp;" "&amp;VLOOKUP(B71,'F01 - _Données Expatriés'!$A$6:$K$20,3,FALSE),""))</f>
        <v/>
      </c>
      <c r="N71" s="7">
        <f>IF(J71="","",IFERROR(COUNTIF($J$6:$J$115,J71),0))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28">
        <f>IF(OR(G72="",F72=""),"",IFERROR(G72-F72,0))</f>
        <v/>
      </c>
      <c r="I72" s="5" t="n"/>
      <c r="J72" s="5" t="n"/>
      <c r="K72" s="5" t="n"/>
      <c r="L72" s="5" t="n"/>
      <c r="M72" s="5">
        <f>IF(B72="","",IFERROR(VLOOKUP(B72,'F01 - _Données Expatriés'!$A$6:$K$20,2,FALSE)&amp;" "&amp;VLOOKUP(B72,'F01 - _Données Expatriés'!$A$6:$K$20,3,FALSE),""))</f>
        <v/>
      </c>
      <c r="N72" s="5">
        <f>IF(J72="","",IFERROR(COUNTIF($J$6:$J$115,J72),0))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7" t="n"/>
      <c r="H73" s="29">
        <f>IF(OR(G73="",F73=""),"",IFERROR(G73-F73,0))</f>
        <v/>
      </c>
      <c r="I73" s="7" t="n"/>
      <c r="J73" s="7" t="n"/>
      <c r="K73" s="7" t="n"/>
      <c r="L73" s="7" t="n"/>
      <c r="M73" s="7">
        <f>IF(B73="","",IFERROR(VLOOKUP(B73,'F01 - _Données Expatriés'!$A$6:$K$20,2,FALSE)&amp;" "&amp;VLOOKUP(B73,'F01 - _Données Expatriés'!$A$6:$K$20,3,FALSE),""))</f>
        <v/>
      </c>
      <c r="N73" s="7">
        <f>IF(J73="","",IFERROR(COUNTIF($J$6:$J$115,J73),0))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28">
        <f>IF(OR(G74="",F74=""),"",IFERROR(G74-F74,0))</f>
        <v/>
      </c>
      <c r="I74" s="5" t="n"/>
      <c r="J74" s="5" t="n"/>
      <c r="K74" s="5" t="n"/>
      <c r="L74" s="5" t="n"/>
      <c r="M74" s="5">
        <f>IF(B74="","",IFERROR(VLOOKUP(B74,'F01 - _Données Expatriés'!$A$6:$K$20,2,FALSE)&amp;" "&amp;VLOOKUP(B74,'F01 - _Données Expatriés'!$A$6:$K$20,3,FALSE),""))</f>
        <v/>
      </c>
      <c r="N74" s="5">
        <f>IF(J74="","",IFERROR(COUNTIF($J$6:$J$115,J74),0))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7" t="n"/>
      <c r="H75" s="29">
        <f>IF(OR(G75="",F75=""),"",IFERROR(G75-F75,0))</f>
        <v/>
      </c>
      <c r="I75" s="7" t="n"/>
      <c r="J75" s="7" t="n"/>
      <c r="K75" s="7" t="n"/>
      <c r="L75" s="7" t="n"/>
      <c r="M75" s="7">
        <f>IF(B75="","",IFERROR(VLOOKUP(B75,'F01 - _Données Expatriés'!$A$6:$K$20,2,FALSE)&amp;" "&amp;VLOOKUP(B75,'F01 - _Données Expatriés'!$A$6:$K$20,3,FALSE),""))</f>
        <v/>
      </c>
      <c r="N75" s="7">
        <f>IF(J75="","",IFERROR(COUNTIF($J$6:$J$115,J75),0))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28">
        <f>IF(OR(G76="",F76=""),"",IFERROR(G76-F76,0))</f>
        <v/>
      </c>
      <c r="I76" s="5" t="n"/>
      <c r="J76" s="5" t="n"/>
      <c r="K76" s="5" t="n"/>
      <c r="L76" s="5" t="n"/>
      <c r="M76" s="5">
        <f>IF(B76="","",IFERROR(VLOOKUP(B76,'F01 - _Données Expatriés'!$A$6:$K$20,2,FALSE)&amp;" "&amp;VLOOKUP(B76,'F01 - _Données Expatriés'!$A$6:$K$20,3,FALSE),""))</f>
        <v/>
      </c>
      <c r="N76" s="5">
        <f>IF(J76="","",IFERROR(COUNTIF($J$6:$J$115,J76),0))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7" t="n"/>
      <c r="H77" s="29">
        <f>IF(OR(G77="",F77=""),"",IFERROR(G77-F77,0))</f>
        <v/>
      </c>
      <c r="I77" s="7" t="n"/>
      <c r="J77" s="7" t="n"/>
      <c r="K77" s="7" t="n"/>
      <c r="L77" s="7" t="n"/>
      <c r="M77" s="7">
        <f>IF(B77="","",IFERROR(VLOOKUP(B77,'F01 - _Données Expatriés'!$A$6:$K$20,2,FALSE)&amp;" "&amp;VLOOKUP(B77,'F01 - _Données Expatriés'!$A$6:$K$20,3,FALSE),""))</f>
        <v/>
      </c>
      <c r="N77" s="7">
        <f>IF(J77="","",IFERROR(COUNTIF($J$6:$J$115,J77),0))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28">
        <f>IF(OR(G78="",F78=""),"",IFERROR(G78-F78,0))</f>
        <v/>
      </c>
      <c r="I78" s="5" t="n"/>
      <c r="J78" s="5" t="n"/>
      <c r="K78" s="5" t="n"/>
      <c r="L78" s="5" t="n"/>
      <c r="M78" s="5">
        <f>IF(B78="","",IFERROR(VLOOKUP(B78,'F01 - _Données Expatriés'!$A$6:$K$20,2,FALSE)&amp;" "&amp;VLOOKUP(B78,'F01 - _Données Expatriés'!$A$6:$K$20,3,FALSE),""))</f>
        <v/>
      </c>
      <c r="N78" s="5">
        <f>IF(J78="","",IFERROR(COUNTIF($J$6:$J$115,J78),0))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7" t="n"/>
      <c r="H79" s="29">
        <f>IF(OR(G79="",F79=""),"",IFERROR(G79-F79,0))</f>
        <v/>
      </c>
      <c r="I79" s="7" t="n"/>
      <c r="J79" s="7" t="n"/>
      <c r="K79" s="7" t="n"/>
      <c r="L79" s="7" t="n"/>
      <c r="M79" s="7">
        <f>IF(B79="","",IFERROR(VLOOKUP(B79,'F01 - _Données Expatriés'!$A$6:$K$20,2,FALSE)&amp;" "&amp;VLOOKUP(B79,'F01 - _Données Expatriés'!$A$6:$K$20,3,FALSE),""))</f>
        <v/>
      </c>
      <c r="N79" s="7">
        <f>IF(J79="","",IFERROR(COUNTIF($J$6:$J$115,J79),0))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28">
        <f>IF(OR(G80="",F80=""),"",IFERROR(G80-F80,0))</f>
        <v/>
      </c>
      <c r="I80" s="5" t="n"/>
      <c r="J80" s="5" t="n"/>
      <c r="K80" s="5" t="n"/>
      <c r="L80" s="5" t="n"/>
      <c r="M80" s="5">
        <f>IF(B80="","",IFERROR(VLOOKUP(B80,'F01 - _Données Expatriés'!$A$6:$K$20,2,FALSE)&amp;" "&amp;VLOOKUP(B80,'F01 - _Données Expatriés'!$A$6:$K$20,3,FALSE),""))</f>
        <v/>
      </c>
      <c r="N80" s="5">
        <f>IF(J80="","",IFERROR(COUNTIF($J$6:$J$115,J80),0))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7" t="n"/>
      <c r="H81" s="29">
        <f>IF(OR(G81="",F81=""),"",IFERROR(G81-F81,0))</f>
        <v/>
      </c>
      <c r="I81" s="7" t="n"/>
      <c r="J81" s="7" t="n"/>
      <c r="K81" s="7" t="n"/>
      <c r="L81" s="7" t="n"/>
      <c r="M81" s="7">
        <f>IF(B81="","",IFERROR(VLOOKUP(B81,'F01 - _Données Expatriés'!$A$6:$K$20,2,FALSE)&amp;" "&amp;VLOOKUP(B81,'F01 - _Données Expatriés'!$A$6:$K$20,3,FALSE),""))</f>
        <v/>
      </c>
      <c r="N81" s="7">
        <f>IF(J81="","",IFERROR(COUNTIF($J$6:$J$115,J81),0))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28">
        <f>IF(OR(G82="",F82=""),"",IFERROR(G82-F82,0))</f>
        <v/>
      </c>
      <c r="I82" s="5" t="n"/>
      <c r="J82" s="5" t="n"/>
      <c r="K82" s="5" t="n"/>
      <c r="L82" s="5" t="n"/>
      <c r="M82" s="5">
        <f>IF(B82="","",IFERROR(VLOOKUP(B82,'F01 - _Données Expatriés'!$A$6:$K$20,2,FALSE)&amp;" "&amp;VLOOKUP(B82,'F01 - _Données Expatriés'!$A$6:$K$20,3,FALSE),""))</f>
        <v/>
      </c>
      <c r="N82" s="5">
        <f>IF(J82="","",IFERROR(COUNTIF($J$6:$J$115,J82),0))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7" t="n"/>
      <c r="H83" s="29">
        <f>IF(OR(G83="",F83=""),"",IFERROR(G83-F83,0))</f>
        <v/>
      </c>
      <c r="I83" s="7" t="n"/>
      <c r="J83" s="7" t="n"/>
      <c r="K83" s="7" t="n"/>
      <c r="L83" s="7" t="n"/>
      <c r="M83" s="7">
        <f>IF(B83="","",IFERROR(VLOOKUP(B83,'F01 - _Données Expatriés'!$A$6:$K$20,2,FALSE)&amp;" "&amp;VLOOKUP(B83,'F01 - _Données Expatriés'!$A$6:$K$20,3,FALSE),""))</f>
        <v/>
      </c>
      <c r="N83" s="7">
        <f>IF(J83="","",IFERROR(COUNTIF($J$6:$J$115,J83),0))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28">
        <f>IF(OR(G84="",F84=""),"",IFERROR(G84-F84,0))</f>
        <v/>
      </c>
      <c r="I84" s="5" t="n"/>
      <c r="J84" s="5" t="n"/>
      <c r="K84" s="5" t="n"/>
      <c r="L84" s="5" t="n"/>
      <c r="M84" s="5">
        <f>IF(B84="","",IFERROR(VLOOKUP(B84,'F01 - _Données Expatriés'!$A$6:$K$20,2,FALSE)&amp;" "&amp;VLOOKUP(B84,'F01 - _Données Expatriés'!$A$6:$K$20,3,FALSE),""))</f>
        <v/>
      </c>
      <c r="N84" s="5">
        <f>IF(J84="","",IFERROR(COUNTIF($J$6:$J$115,J84),0))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7" t="n"/>
      <c r="H85" s="29">
        <f>IF(OR(G85="",F85=""),"",IFERROR(G85-F85,0))</f>
        <v/>
      </c>
      <c r="I85" s="7" t="n"/>
      <c r="J85" s="7" t="n"/>
      <c r="K85" s="7" t="n"/>
      <c r="L85" s="7" t="n"/>
      <c r="M85" s="7">
        <f>IF(B85="","",IFERROR(VLOOKUP(B85,'F01 - _Données Expatriés'!$A$6:$K$20,2,FALSE)&amp;" "&amp;VLOOKUP(B85,'F01 - _Données Expatriés'!$A$6:$K$20,3,FALSE),""))</f>
        <v/>
      </c>
      <c r="N85" s="7">
        <f>IF(J85="","",IFERROR(COUNTIF($J$6:$J$115,J85),0))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28">
        <f>IF(OR(G86="",F86=""),"",IFERROR(G86-F86,0))</f>
        <v/>
      </c>
      <c r="I86" s="5" t="n"/>
      <c r="J86" s="5" t="n"/>
      <c r="K86" s="5" t="n"/>
      <c r="L86" s="5" t="n"/>
      <c r="M86" s="5">
        <f>IF(B86="","",IFERROR(VLOOKUP(B86,'F01 - _Données Expatriés'!$A$6:$K$20,2,FALSE)&amp;" "&amp;VLOOKUP(B86,'F01 - _Données Expatriés'!$A$6:$K$20,3,FALSE),""))</f>
        <v/>
      </c>
      <c r="N86" s="5">
        <f>IF(J86="","",IFERROR(COUNTIF($J$6:$J$115,J86),0))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7" t="n"/>
      <c r="H87" s="29">
        <f>IF(OR(G87="",F87=""),"",IFERROR(G87-F87,0))</f>
        <v/>
      </c>
      <c r="I87" s="7" t="n"/>
      <c r="J87" s="7" t="n"/>
      <c r="K87" s="7" t="n"/>
      <c r="L87" s="7" t="n"/>
      <c r="M87" s="7">
        <f>IF(B87="","",IFERROR(VLOOKUP(B87,'F01 - _Données Expatriés'!$A$6:$K$20,2,FALSE)&amp;" "&amp;VLOOKUP(B87,'F01 - _Données Expatriés'!$A$6:$K$20,3,FALSE),""))</f>
        <v/>
      </c>
      <c r="N87" s="7">
        <f>IF(J87="","",IFERROR(COUNTIF($J$6:$J$115,J87),0))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28">
        <f>IF(OR(G88="",F88=""),"",IFERROR(G88-F88,0))</f>
        <v/>
      </c>
      <c r="I88" s="5" t="n"/>
      <c r="J88" s="5" t="n"/>
      <c r="K88" s="5" t="n"/>
      <c r="L88" s="5" t="n"/>
      <c r="M88" s="5">
        <f>IF(B88="","",IFERROR(VLOOKUP(B88,'F01 - _Données Expatriés'!$A$6:$K$20,2,FALSE)&amp;" "&amp;VLOOKUP(B88,'F01 - _Données Expatriés'!$A$6:$K$20,3,FALSE),""))</f>
        <v/>
      </c>
      <c r="N88" s="5">
        <f>IF(J88="","",IFERROR(COUNTIF($J$6:$J$115,J88),0))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7" t="n"/>
      <c r="H89" s="29">
        <f>IF(OR(G89="",F89=""),"",IFERROR(G89-F89,0))</f>
        <v/>
      </c>
      <c r="I89" s="7" t="n"/>
      <c r="J89" s="7" t="n"/>
      <c r="K89" s="7" t="n"/>
      <c r="L89" s="7" t="n"/>
      <c r="M89" s="7">
        <f>IF(B89="","",IFERROR(VLOOKUP(B89,'F01 - _Données Expatriés'!$A$6:$K$20,2,FALSE)&amp;" "&amp;VLOOKUP(B89,'F01 - _Données Expatriés'!$A$6:$K$20,3,FALSE),""))</f>
        <v/>
      </c>
      <c r="N89" s="7">
        <f>IF(J89="","",IFERROR(COUNTIF($J$6:$J$115,J89),0))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28">
        <f>IF(OR(G90="",F90=""),"",IFERROR(G90-F90,0))</f>
        <v/>
      </c>
      <c r="I90" s="5" t="n"/>
      <c r="J90" s="5" t="n"/>
      <c r="K90" s="5" t="n"/>
      <c r="L90" s="5" t="n"/>
      <c r="M90" s="5">
        <f>IF(B90="","",IFERROR(VLOOKUP(B90,'F01 - _Données Expatriés'!$A$6:$K$20,2,FALSE)&amp;" "&amp;VLOOKUP(B90,'F01 - _Données Expatriés'!$A$6:$K$20,3,FALSE),""))</f>
        <v/>
      </c>
      <c r="N90" s="5">
        <f>IF(J90="","",IFERROR(COUNTIF($J$6:$J$115,J90),0))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7" t="n"/>
      <c r="H91" s="29">
        <f>IF(OR(G91="",F91=""),"",IFERROR(G91-F91,0))</f>
        <v/>
      </c>
      <c r="I91" s="7" t="n"/>
      <c r="J91" s="7" t="n"/>
      <c r="K91" s="7" t="n"/>
      <c r="L91" s="7" t="n"/>
      <c r="M91" s="7">
        <f>IF(B91="","",IFERROR(VLOOKUP(B91,'F01 - _Données Expatriés'!$A$6:$K$20,2,FALSE)&amp;" "&amp;VLOOKUP(B91,'F01 - _Données Expatriés'!$A$6:$K$20,3,FALSE),""))</f>
        <v/>
      </c>
      <c r="N91" s="7">
        <f>IF(J91="","",IFERROR(COUNTIF($J$6:$J$115,J91),0))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28">
        <f>IF(OR(G92="",F92=""),"",IFERROR(G92-F92,0))</f>
        <v/>
      </c>
      <c r="I92" s="5" t="n"/>
      <c r="J92" s="5" t="n"/>
      <c r="K92" s="5" t="n"/>
      <c r="L92" s="5" t="n"/>
      <c r="M92" s="5">
        <f>IF(B92="","",IFERROR(VLOOKUP(B92,'F01 - _Données Expatriés'!$A$6:$K$20,2,FALSE)&amp;" "&amp;VLOOKUP(B92,'F01 - _Données Expatriés'!$A$6:$K$20,3,FALSE),""))</f>
        <v/>
      </c>
      <c r="N92" s="5">
        <f>IF(J92="","",IFERROR(COUNTIF($J$6:$J$115,J92),0))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7" t="n"/>
      <c r="H93" s="29">
        <f>IF(OR(G93="",F93=""),"",IFERROR(G93-F93,0))</f>
        <v/>
      </c>
      <c r="I93" s="7" t="n"/>
      <c r="J93" s="7" t="n"/>
      <c r="K93" s="7" t="n"/>
      <c r="L93" s="7" t="n"/>
      <c r="M93" s="7">
        <f>IF(B93="","",IFERROR(VLOOKUP(B93,'F01 - _Données Expatriés'!$A$6:$K$20,2,FALSE)&amp;" "&amp;VLOOKUP(B93,'F01 - _Données Expatriés'!$A$6:$K$20,3,FALSE),""))</f>
        <v/>
      </c>
      <c r="N93" s="7">
        <f>IF(J93="","",IFERROR(COUNTIF($J$6:$J$115,J93),0))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28">
        <f>IF(OR(G94="",F94=""),"",IFERROR(G94-F94,0))</f>
        <v/>
      </c>
      <c r="I94" s="5" t="n"/>
      <c r="J94" s="5" t="n"/>
      <c r="K94" s="5" t="n"/>
      <c r="L94" s="5" t="n"/>
      <c r="M94" s="5">
        <f>IF(B94="","",IFERROR(VLOOKUP(B94,'F01 - _Données Expatriés'!$A$6:$K$20,2,FALSE)&amp;" "&amp;VLOOKUP(B94,'F01 - _Données Expatriés'!$A$6:$K$20,3,FALSE),""))</f>
        <v/>
      </c>
      <c r="N94" s="5">
        <f>IF(J94="","",IFERROR(COUNTIF($J$6:$J$115,J94),0))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7" t="n"/>
      <c r="H95" s="29">
        <f>IF(OR(G95="",F95=""),"",IFERROR(G95-F95,0))</f>
        <v/>
      </c>
      <c r="I95" s="7" t="n"/>
      <c r="J95" s="7" t="n"/>
      <c r="K95" s="7" t="n"/>
      <c r="L95" s="7" t="n"/>
      <c r="M95" s="7">
        <f>IF(B95="","",IFERROR(VLOOKUP(B95,'F01 - _Données Expatriés'!$A$6:$K$20,2,FALSE)&amp;" "&amp;VLOOKUP(B95,'F01 - _Données Expatriés'!$A$6:$K$20,3,FALSE),""))</f>
        <v/>
      </c>
      <c r="N95" s="7">
        <f>IF(J95="","",IFERROR(COUNTIF($J$6:$J$115,J95),0))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28">
        <f>IF(OR(G96="",F96=""),"",IFERROR(G96-F96,0))</f>
        <v/>
      </c>
      <c r="I96" s="5" t="n"/>
      <c r="J96" s="5" t="n"/>
      <c r="K96" s="5" t="n"/>
      <c r="L96" s="5" t="n"/>
      <c r="M96" s="5">
        <f>IF(B96="","",IFERROR(VLOOKUP(B96,'F01 - _Données Expatriés'!$A$6:$K$20,2,FALSE)&amp;" "&amp;VLOOKUP(B96,'F01 - _Données Expatriés'!$A$6:$K$20,3,FALSE),""))</f>
        <v/>
      </c>
      <c r="N96" s="5">
        <f>IF(J96="","",IFERROR(COUNTIF($J$6:$J$115,J96),0))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7" t="n"/>
      <c r="H97" s="29">
        <f>IF(OR(G97="",F97=""),"",IFERROR(G97-F97,0))</f>
        <v/>
      </c>
      <c r="I97" s="7" t="n"/>
      <c r="J97" s="7" t="n"/>
      <c r="K97" s="7" t="n"/>
      <c r="L97" s="7" t="n"/>
      <c r="M97" s="7">
        <f>IF(B97="","",IFERROR(VLOOKUP(B97,'F01 - _Données Expatriés'!$A$6:$K$20,2,FALSE)&amp;" "&amp;VLOOKUP(B97,'F01 - _Données Expatriés'!$A$6:$K$20,3,FALSE),""))</f>
        <v/>
      </c>
      <c r="N97" s="7">
        <f>IF(J97="","",IFERROR(COUNTIF($J$6:$J$115,J97),0))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28">
        <f>IF(OR(G98="",F98=""),"",IFERROR(G98-F98,0))</f>
        <v/>
      </c>
      <c r="I98" s="5" t="n"/>
      <c r="J98" s="5" t="n"/>
      <c r="K98" s="5" t="n"/>
      <c r="L98" s="5" t="n"/>
      <c r="M98" s="5">
        <f>IF(B98="","",IFERROR(VLOOKUP(B98,'F01 - _Données Expatriés'!$A$6:$K$20,2,FALSE)&amp;" "&amp;VLOOKUP(B98,'F01 - _Données Expatriés'!$A$6:$K$20,3,FALSE),""))</f>
        <v/>
      </c>
      <c r="N98" s="5">
        <f>IF(J98="","",IFERROR(COUNTIF($J$6:$J$115,J98),0))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7" t="n"/>
      <c r="H99" s="29">
        <f>IF(OR(G99="",F99=""),"",IFERROR(G99-F99,0))</f>
        <v/>
      </c>
      <c r="I99" s="7" t="n"/>
      <c r="J99" s="7" t="n"/>
      <c r="K99" s="7" t="n"/>
      <c r="L99" s="7" t="n"/>
      <c r="M99" s="7">
        <f>IF(B99="","",IFERROR(VLOOKUP(B99,'F01 - _Données Expatriés'!$A$6:$K$20,2,FALSE)&amp;" "&amp;VLOOKUP(B99,'F01 - _Données Expatriés'!$A$6:$K$20,3,FALSE),""))</f>
        <v/>
      </c>
      <c r="N99" s="7">
        <f>IF(J99="","",IFERROR(COUNTIF($J$6:$J$115,J99),0))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28">
        <f>IF(OR(G100="",F100=""),"",IFERROR(G100-F100,0))</f>
        <v/>
      </c>
      <c r="I100" s="5" t="n"/>
      <c r="J100" s="5" t="n"/>
      <c r="K100" s="5" t="n"/>
      <c r="L100" s="5" t="n"/>
      <c r="M100" s="5">
        <f>IF(B100="","",IFERROR(VLOOKUP(B100,'F01 - _Données Expatriés'!$A$6:$K$20,2,FALSE)&amp;" "&amp;VLOOKUP(B100,'F01 - _Données Expatriés'!$A$6:$K$20,3,FALSE),""))</f>
        <v/>
      </c>
      <c r="N100" s="5">
        <f>IF(J100="","",IFERROR(COUNTIF($J$6:$J$115,J100),0))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7" t="n"/>
      <c r="H101" s="29">
        <f>IF(OR(G101="",F101=""),"",IFERROR(G101-F101,0))</f>
        <v/>
      </c>
      <c r="I101" s="7" t="n"/>
      <c r="J101" s="7" t="n"/>
      <c r="K101" s="7" t="n"/>
      <c r="L101" s="7" t="n"/>
      <c r="M101" s="7">
        <f>IF(B101="","",IFERROR(VLOOKUP(B101,'F01 - _Données Expatriés'!$A$6:$K$20,2,FALSE)&amp;" "&amp;VLOOKUP(B101,'F01 - _Données Expatriés'!$A$6:$K$20,3,FALSE),""))</f>
        <v/>
      </c>
      <c r="N101" s="7">
        <f>IF(J101="","",IFERROR(COUNTIF($J$6:$J$115,J101),0))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28">
        <f>IF(OR(G102="",F102=""),"",IFERROR(G102-F102,0))</f>
        <v/>
      </c>
      <c r="I102" s="5" t="n"/>
      <c r="J102" s="5" t="n"/>
      <c r="K102" s="5" t="n"/>
      <c r="L102" s="5" t="n"/>
      <c r="M102" s="5">
        <f>IF(B102="","",IFERROR(VLOOKUP(B102,'F01 - _Données Expatriés'!$A$6:$K$20,2,FALSE)&amp;" "&amp;VLOOKUP(B102,'F01 - _Données Expatriés'!$A$6:$K$20,3,FALSE),""))</f>
        <v/>
      </c>
      <c r="N102" s="5">
        <f>IF(J102="","",IFERROR(COUNTIF($J$6:$J$115,J102),0))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7" t="n"/>
      <c r="H103" s="29">
        <f>IF(OR(G103="",F103=""),"",IFERROR(G103-F103,0))</f>
        <v/>
      </c>
      <c r="I103" s="7" t="n"/>
      <c r="J103" s="7" t="n"/>
      <c r="K103" s="7" t="n"/>
      <c r="L103" s="7" t="n"/>
      <c r="M103" s="7">
        <f>IF(B103="","",IFERROR(VLOOKUP(B103,'F01 - _Données Expatriés'!$A$6:$K$20,2,FALSE)&amp;" "&amp;VLOOKUP(B103,'F01 - _Données Expatriés'!$A$6:$K$20,3,FALSE),""))</f>
        <v/>
      </c>
      <c r="N103" s="7">
        <f>IF(J103="","",IFERROR(COUNTIF($J$6:$J$115,J103),0))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28">
        <f>IF(OR(G104="",F104=""),"",IFERROR(G104-F104,0))</f>
        <v/>
      </c>
      <c r="I104" s="5" t="n"/>
      <c r="J104" s="5" t="n"/>
      <c r="K104" s="5" t="n"/>
      <c r="L104" s="5" t="n"/>
      <c r="M104" s="5">
        <f>IF(B104="","",IFERROR(VLOOKUP(B104,'F01 - _Données Expatriés'!$A$6:$K$20,2,FALSE)&amp;" "&amp;VLOOKUP(B104,'F01 - _Données Expatriés'!$A$6:$K$20,3,FALSE),""))</f>
        <v/>
      </c>
      <c r="N104" s="5">
        <f>IF(J104="","",IFERROR(COUNTIF($J$6:$J$115,J104),0))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7" t="n"/>
      <c r="H105" s="29">
        <f>IF(OR(G105="",F105=""),"",IFERROR(G105-F105,0))</f>
        <v/>
      </c>
      <c r="I105" s="7" t="n"/>
      <c r="J105" s="7" t="n"/>
      <c r="K105" s="7" t="n"/>
      <c r="L105" s="7" t="n"/>
      <c r="M105" s="7">
        <f>IF(B105="","",IFERROR(VLOOKUP(B105,'F01 - _Données Expatriés'!$A$6:$K$20,2,FALSE)&amp;" "&amp;VLOOKUP(B105,'F01 - _Données Expatriés'!$A$6:$K$20,3,FALSE),""))</f>
        <v/>
      </c>
      <c r="N105" s="7">
        <f>IF(J105="","",IFERROR(COUNTIF($J$6:$J$115,J105),0))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28">
        <f>IF(OR(G106="",F106=""),"",IFERROR(G106-F106,0))</f>
        <v/>
      </c>
      <c r="I106" s="5" t="n"/>
      <c r="J106" s="5" t="n"/>
      <c r="K106" s="5" t="n"/>
      <c r="L106" s="5" t="n"/>
      <c r="M106" s="5">
        <f>IF(B106="","",IFERROR(VLOOKUP(B106,'F01 - _Données Expatriés'!$A$6:$K$20,2,FALSE)&amp;" "&amp;VLOOKUP(B106,'F01 - _Données Expatriés'!$A$6:$K$20,3,FALSE),""))</f>
        <v/>
      </c>
      <c r="N106" s="5">
        <f>IF(J106="","",IFERROR(COUNTIF($J$6:$J$115,J106),0))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7" t="n"/>
      <c r="H107" s="29">
        <f>IF(OR(G107="",F107=""),"",IFERROR(G107-F107,0))</f>
        <v/>
      </c>
      <c r="I107" s="7" t="n"/>
      <c r="J107" s="7" t="n"/>
      <c r="K107" s="7" t="n"/>
      <c r="L107" s="7" t="n"/>
      <c r="M107" s="7">
        <f>IF(B107="","",IFERROR(VLOOKUP(B107,'F01 - _Données Expatriés'!$A$6:$K$20,2,FALSE)&amp;" "&amp;VLOOKUP(B107,'F01 - _Données Expatriés'!$A$6:$K$20,3,FALSE),""))</f>
        <v/>
      </c>
      <c r="N107" s="7">
        <f>IF(J107="","",IFERROR(COUNTIF($J$6:$J$115,J107),0))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28">
        <f>IF(OR(G108="",F108=""),"",IFERROR(G108-F108,0))</f>
        <v/>
      </c>
      <c r="I108" s="5" t="n"/>
      <c r="J108" s="5" t="n"/>
      <c r="K108" s="5" t="n"/>
      <c r="L108" s="5" t="n"/>
      <c r="M108" s="5">
        <f>IF(B108="","",IFERROR(VLOOKUP(B108,'F01 - _Données Expatriés'!$A$6:$K$20,2,FALSE)&amp;" "&amp;VLOOKUP(B108,'F01 - _Données Expatriés'!$A$6:$K$20,3,FALSE),""))</f>
        <v/>
      </c>
      <c r="N108" s="5">
        <f>IF(J108="","",IFERROR(COUNTIF($J$6:$J$115,J108),0))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7" t="n"/>
      <c r="H109" s="29">
        <f>IF(OR(G109="",F109=""),"",IFERROR(G109-F109,0))</f>
        <v/>
      </c>
      <c r="I109" s="7" t="n"/>
      <c r="J109" s="7" t="n"/>
      <c r="K109" s="7" t="n"/>
      <c r="L109" s="7" t="n"/>
      <c r="M109" s="7">
        <f>IF(B109="","",IFERROR(VLOOKUP(B109,'F01 - _Données Expatriés'!$A$6:$K$20,2,FALSE)&amp;" "&amp;VLOOKUP(B109,'F01 - _Données Expatriés'!$A$6:$K$20,3,FALSE),""))</f>
        <v/>
      </c>
      <c r="N109" s="7">
        <f>IF(J109="","",IFERROR(COUNTIF($J$6:$J$115,J109),0))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28">
        <f>IF(OR(G110="",F110=""),"",IFERROR(G110-F110,0))</f>
        <v/>
      </c>
      <c r="I110" s="5" t="n"/>
      <c r="J110" s="5" t="n"/>
      <c r="K110" s="5" t="n"/>
      <c r="L110" s="5" t="n"/>
      <c r="M110" s="5">
        <f>IF(B110="","",IFERROR(VLOOKUP(B110,'F01 - _Données Expatriés'!$A$6:$K$20,2,FALSE)&amp;" "&amp;VLOOKUP(B110,'F01 - _Données Expatriés'!$A$6:$K$20,3,FALSE),""))</f>
        <v/>
      </c>
      <c r="N110" s="5">
        <f>IF(J110="","",IFERROR(COUNTIF($J$6:$J$115,J110),0))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7" t="n"/>
      <c r="H111" s="29">
        <f>IF(OR(G111="",F111=""),"",IFERROR(G111-F111,0))</f>
        <v/>
      </c>
      <c r="I111" s="7" t="n"/>
      <c r="J111" s="7" t="n"/>
      <c r="K111" s="7" t="n"/>
      <c r="L111" s="7" t="n"/>
      <c r="M111" s="7">
        <f>IF(B111="","",IFERROR(VLOOKUP(B111,'F01 - _Données Expatriés'!$A$6:$K$20,2,FALSE)&amp;" "&amp;VLOOKUP(B111,'F01 - _Données Expatriés'!$A$6:$K$20,3,FALSE),""))</f>
        <v/>
      </c>
      <c r="N111" s="7">
        <f>IF(J111="","",IFERROR(COUNTIF($J$6:$J$115,J111),0))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28">
        <f>IF(OR(G112="",F112=""),"",IFERROR(G112-F112,0))</f>
        <v/>
      </c>
      <c r="I112" s="5" t="n"/>
      <c r="J112" s="5" t="n"/>
      <c r="K112" s="5" t="n"/>
      <c r="L112" s="5" t="n"/>
      <c r="M112" s="5">
        <f>IF(B112="","",IFERROR(VLOOKUP(B112,'F01 - _Données Expatriés'!$A$6:$K$20,2,FALSE)&amp;" "&amp;VLOOKUP(B112,'F01 - _Données Expatriés'!$A$6:$K$20,3,FALSE),""))</f>
        <v/>
      </c>
      <c r="N112" s="5">
        <f>IF(J112="","",IFERROR(COUNTIF($J$6:$J$115,J112),0))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7" t="n"/>
      <c r="H113" s="29">
        <f>IF(OR(G113="",F113=""),"",IFERROR(G113-F113,0))</f>
        <v/>
      </c>
      <c r="I113" s="7" t="n"/>
      <c r="J113" s="7" t="n"/>
      <c r="K113" s="7" t="n"/>
      <c r="L113" s="7" t="n"/>
      <c r="M113" s="7">
        <f>IF(B113="","",IFERROR(VLOOKUP(B113,'F01 - _Données Expatriés'!$A$6:$K$20,2,FALSE)&amp;" "&amp;VLOOKUP(B113,'F01 - _Données Expatriés'!$A$6:$K$20,3,FALSE),""))</f>
        <v/>
      </c>
      <c r="N113" s="7">
        <f>IF(J113="","",IFERROR(COUNTIF($J$6:$J$115,J113),0))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28">
        <f>IF(OR(G114="",F114=""),"",IFERROR(G114-F114,0))</f>
        <v/>
      </c>
      <c r="I114" s="5" t="n"/>
      <c r="J114" s="5" t="n"/>
      <c r="K114" s="5" t="n"/>
      <c r="L114" s="5" t="n"/>
      <c r="M114" s="5">
        <f>IF(B114="","",IFERROR(VLOOKUP(B114,'F01 - _Données Expatriés'!$A$6:$K$20,2,FALSE)&amp;" "&amp;VLOOKUP(B114,'F01 - _Données Expatriés'!$A$6:$K$20,3,FALSE),""))</f>
        <v/>
      </c>
      <c r="N114" s="5">
        <f>IF(J114="","",IFERROR(COUNTIF($J$6:$J$115,J114),0))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7" t="n"/>
      <c r="H115" s="29">
        <f>IF(OR(G115="",F115=""),"",IFERROR(G115-F115,0))</f>
        <v/>
      </c>
      <c r="I115" s="7" t="n"/>
      <c r="J115" s="7" t="n"/>
      <c r="K115" s="7" t="n"/>
      <c r="L115" s="7" t="n"/>
      <c r="M115" s="7">
        <f>IF(B115="","",IFERROR(VLOOKUP(B115,'F01 - _Données Expatriés'!$A$6:$K$20,2,FALSE)&amp;" "&amp;VLOOKUP(B115,'F01 - _Données Expatriés'!$A$6:$K$20,3,FALSE),""))</f>
        <v/>
      </c>
      <c r="N115" s="7">
        <f>IF(J115="","",IFERROR(COUNTIF($J$6:$J$115,J115),0))</f>
        <v/>
      </c>
    </row>
  </sheetData>
  <mergeCells count="2">
    <mergeCell ref="A3:N3"/>
    <mergeCell ref="A2:N2"/>
  </mergeCells>
  <conditionalFormatting sqref="J6:J115">
    <cfRule type="cellIs" priority="1" operator="equal" dxfId="0">
      <formula>"Expiré"</formula>
    </cfRule>
    <cfRule type="cellIs" priority="2" operator="equal" dxfId="1">
      <formula>"Renouvellement"</formula>
    </cfRule>
  </conditionalFormatting>
  <dataValidations count="4">
    <dataValidation sqref="C6:C115" showDropDown="0" showInputMessage="0" showErrorMessage="0" allowBlank="1" errorTitle="Erreur" error="Valeur invalide" promptTitle="" prompt="Choisir dans la liste: " type="list">
      <formula1>'F02 - _Lists'!$G$6:$G$10</formula1>
    </dataValidation>
    <dataValidation sqref="D6:D115" showDropDown="0" showInputMessage="0" showErrorMessage="0" allowBlank="1" errorTitle="Erreur" error="Valeur invalide" promptTitle="" prompt="Choisir dans la liste: " type="list">
      <formula1>'F02 - _Lists'!$H$6:$H$10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_Lists'!$I$6:$I$11</formula1>
    </dataValidation>
    <dataValidation sqref="K6:K115" showDropDown="0" showInputMessage="0" showErrorMessage="0" allowBlank="1" errorTitle="Erreur" error="Valeur invalide" promptTitle="" prompt="Choisir dans la liste: " type="list">
      <formula1>'F02 - _Lists'!$Z$6:$Z$9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22" customWidth="1" min="4" max="4"/>
    <col width="12" customWidth="1" min="5" max="5"/>
    <col width="14" customWidth="1" min="6" max="6"/>
    <col width="24" customWidth="1" min="7" max="7"/>
    <col width="18" customWidth="1" min="8" max="8"/>
    <col width="22" customWidth="1" min="9" max="9"/>
    <col width="14" customWidth="1" min="10" max="10"/>
    <col width="22" customWidth="1" min="11" max="11"/>
    <col width="32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4-INDEMNITÉS D'EXPATRIATION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Indemnité</t>
        </is>
      </c>
      <c r="B5" s="4" t="inlineStr">
        <is>
          <t>Matricule Expat.</t>
        </is>
      </c>
      <c r="C5" s="4" t="inlineStr">
        <is>
          <t>Catégorie Indemnité</t>
        </is>
      </c>
      <c r="D5" s="4" t="inlineStr">
        <is>
          <t>Montant Brut (FCFA)</t>
        </is>
      </c>
      <c r="E5" s="4" t="inlineStr">
        <is>
          <t>Devise</t>
        </is>
      </c>
      <c r="F5" s="4" t="inlineStr">
        <is>
          <t>Taux Change</t>
        </is>
      </c>
      <c r="G5" s="4" t="inlineStr">
        <is>
          <t>Montant Converti (FCFA)</t>
        </is>
      </c>
      <c r="H5" s="4" t="inlineStr">
        <is>
          <t>Mois Versement</t>
        </is>
      </c>
      <c r="I5" s="4" t="inlineStr">
        <is>
          <t>Mode Paiement</t>
        </is>
      </c>
      <c r="J5" s="4" t="inlineStr">
        <is>
          <t>Statut</t>
        </is>
      </c>
      <c r="K5" s="4" t="inlineStr">
        <is>
          <t>Base Légale</t>
        </is>
      </c>
      <c r="L5" s="4" t="inlineStr">
        <is>
          <t>Observations</t>
        </is>
      </c>
      <c r="M5" s="4" t="inlineStr"/>
      <c r="N5" s="4" t="inlineStr"/>
    </row>
    <row r="6" ht="22" customHeight="1">
      <c r="A6" s="5" t="inlineStr">
        <is>
          <t>IND-001</t>
        </is>
      </c>
      <c r="B6" s="5" t="inlineStr">
        <is>
          <t>EXP-001</t>
        </is>
      </c>
      <c r="C6" s="5" t="inlineStr">
        <is>
          <t>Prime d'expatriation</t>
        </is>
      </c>
      <c r="D6" s="25" t="n">
        <v>800000</v>
      </c>
      <c r="E6" s="5" t="inlineStr">
        <is>
          <t>EUR</t>
        </is>
      </c>
      <c r="F6" s="25" t="n">
        <v>655.96</v>
      </c>
      <c r="G6" s="28">
        <f>IF(OR(D6="",F6=""),"",IFERROR(D6*F6,0))</f>
        <v/>
      </c>
      <c r="H6" s="5" t="inlineStr">
        <is>
          <t>Janvier 2025</t>
        </is>
      </c>
      <c r="I6" s="5" t="inlineStr">
        <is>
          <t>Virement international</t>
        </is>
      </c>
      <c r="J6" s="5" t="inlineStr">
        <is>
          <t>Validé</t>
        </is>
      </c>
      <c r="K6" s="5" t="inlineStr">
        <is>
          <t>Art. 12 CC Expatrié</t>
        </is>
      </c>
      <c r="L6" s="5" t="inlineStr"/>
      <c r="M6" s="5">
        <f>IF(B6="","",IFERROR(VLOOKUP(B6,'F01 - _Données Expatriés'!$A$6:$K$20,2,FALSE)&amp;" "&amp;VLOOKUP(B6,'F01 - _Données Expatriés'!$A$6:$K$20,3,FALSE),""))</f>
        <v/>
      </c>
      <c r="N6" s="28">
        <f>IF(B6="","",IFERROR(SUMIF($B$6:$B$115,B6,$G$6:$G$115),0))</f>
        <v/>
      </c>
    </row>
    <row r="7" ht="22" customHeight="1">
      <c r="A7" s="7" t="inlineStr">
        <is>
          <t>IND-002</t>
        </is>
      </c>
      <c r="B7" s="7" t="inlineStr">
        <is>
          <t>EXP-001</t>
        </is>
      </c>
      <c r="C7" s="7" t="inlineStr">
        <is>
          <t>Indemnité logement</t>
        </is>
      </c>
      <c r="D7" s="27" t="n">
        <v>500000</v>
      </c>
      <c r="E7" s="7" t="inlineStr">
        <is>
          <t>EUR</t>
        </is>
      </c>
      <c r="F7" s="27" t="n">
        <v>655.96</v>
      </c>
      <c r="G7" s="29">
        <f>IF(OR(D7="",F7=""),"",IFERROR(D7*F7,0))</f>
        <v/>
      </c>
      <c r="H7" s="7" t="inlineStr">
        <is>
          <t>Janvier 2025</t>
        </is>
      </c>
      <c r="I7" s="7" t="inlineStr">
        <is>
          <t>Virement international</t>
        </is>
      </c>
      <c r="J7" s="7" t="inlineStr">
        <is>
          <t>Validé</t>
        </is>
      </c>
      <c r="K7" s="7" t="inlineStr">
        <is>
          <t>Art. 8 CC Expatrié</t>
        </is>
      </c>
      <c r="L7" s="7" t="inlineStr"/>
      <c r="M7" s="7">
        <f>IF(B7="","",IFERROR(VLOOKUP(B7,'F01 - _Données Expatriés'!$A$6:$K$20,2,FALSE)&amp;" "&amp;VLOOKUP(B7,'F01 - _Données Expatriés'!$A$6:$K$20,3,FALSE),""))</f>
        <v/>
      </c>
      <c r="N7" s="29">
        <f>IF(B7="","",IFERROR(SUMIF($B$6:$B$115,B7,$G$6:$G$115),0))</f>
        <v/>
      </c>
    </row>
    <row r="8" ht="22" customHeight="1">
      <c r="A8" s="5" t="inlineStr">
        <is>
          <t>IND-003</t>
        </is>
      </c>
      <c r="B8" s="5" t="inlineStr">
        <is>
          <t>EXP-002</t>
        </is>
      </c>
      <c r="C8" s="5" t="inlineStr">
        <is>
          <t>Prime d'expatriation</t>
        </is>
      </c>
      <c r="D8" s="25" t="n">
        <v>650000</v>
      </c>
      <c r="E8" s="5" t="inlineStr">
        <is>
          <t>EUR</t>
        </is>
      </c>
      <c r="F8" s="25" t="n">
        <v>655.96</v>
      </c>
      <c r="G8" s="28">
        <f>IF(OR(D8="",F8=""),"",IFERROR(D8*F8,0))</f>
        <v/>
      </c>
      <c r="H8" s="5" t="inlineStr">
        <is>
          <t>Janvier 2025</t>
        </is>
      </c>
      <c r="I8" s="5" t="inlineStr">
        <is>
          <t>Virement international</t>
        </is>
      </c>
      <c r="J8" s="5" t="inlineStr">
        <is>
          <t>Validé</t>
        </is>
      </c>
      <c r="K8" s="5" t="inlineStr">
        <is>
          <t>Art. 12 CC Expatrié</t>
        </is>
      </c>
      <c r="L8" s="5" t="inlineStr"/>
      <c r="M8" s="5">
        <f>IF(B8="","",IFERROR(VLOOKUP(B8,'F01 - _Données Expatriés'!$A$6:$K$20,2,FALSE)&amp;" "&amp;VLOOKUP(B8,'F01 - _Données Expatriés'!$A$6:$K$20,3,FALSE),""))</f>
        <v/>
      </c>
      <c r="N8" s="28">
        <f>IF(B8="","",IFERROR(SUMIF($B$6:$B$115,B8,$G$6:$G$115),0))</f>
        <v/>
      </c>
    </row>
    <row r="9" ht="22" customHeight="1">
      <c r="A9" s="7" t="inlineStr">
        <is>
          <t>IND-004</t>
        </is>
      </c>
      <c r="B9" s="7" t="inlineStr">
        <is>
          <t>EXP-002</t>
        </is>
      </c>
      <c r="C9" s="7" t="inlineStr">
        <is>
          <t>Indemnité scolarité</t>
        </is>
      </c>
      <c r="D9" s="27" t="n">
        <v>300000</v>
      </c>
      <c r="E9" s="7" t="inlineStr">
        <is>
          <t>EUR</t>
        </is>
      </c>
      <c r="F9" s="27" t="n">
        <v>655.96</v>
      </c>
      <c r="G9" s="29">
        <f>IF(OR(D9="",F9=""),"",IFERROR(D9*F9,0))</f>
        <v/>
      </c>
      <c r="H9" s="7" t="inlineStr">
        <is>
          <t>Janvier 2025</t>
        </is>
      </c>
      <c r="I9" s="7" t="inlineStr">
        <is>
          <t>Virement international</t>
        </is>
      </c>
      <c r="J9" s="7" t="inlineStr">
        <is>
          <t>En attente</t>
        </is>
      </c>
      <c r="K9" s="7" t="inlineStr">
        <is>
          <t>Art. 15 CC Expatrié</t>
        </is>
      </c>
      <c r="L9" s="7" t="inlineStr">
        <is>
          <t>2 enfants</t>
        </is>
      </c>
      <c r="M9" s="7">
        <f>IF(B9="","",IFERROR(VLOOKUP(B9,'F01 - _Données Expatriés'!$A$6:$K$20,2,FALSE)&amp;" "&amp;VLOOKUP(B9,'F01 - _Données Expatriés'!$A$6:$K$20,3,FALSE),""))</f>
        <v/>
      </c>
      <c r="N9" s="29">
        <f>IF(B9="","",IFERROR(SUMIF($B$6:$B$115,B9,$G$6:$G$115),0))</f>
        <v/>
      </c>
    </row>
    <row r="10" ht="22" customHeight="1">
      <c r="A10" s="5" t="inlineStr">
        <is>
          <t>IND-005</t>
        </is>
      </c>
      <c r="B10" s="5" t="inlineStr">
        <is>
          <t>EXP-003</t>
        </is>
      </c>
      <c r="C10" s="5" t="inlineStr">
        <is>
          <t>Prime de difficulté</t>
        </is>
      </c>
      <c r="D10" s="25" t="n">
        <v>400000</v>
      </c>
      <c r="E10" s="5" t="inlineStr">
        <is>
          <t>EUR</t>
        </is>
      </c>
      <c r="F10" s="25" t="n">
        <v>655.96</v>
      </c>
      <c r="G10" s="28">
        <f>IF(OR(D10="",F10=""),"",IFERROR(D10*F10,0))</f>
        <v/>
      </c>
      <c r="H10" s="5" t="inlineStr">
        <is>
          <t>Janvier 2025</t>
        </is>
      </c>
      <c r="I10" s="5" t="inlineStr">
        <is>
          <t>Virement international</t>
        </is>
      </c>
      <c r="J10" s="5" t="inlineStr">
        <is>
          <t>Validé</t>
        </is>
      </c>
      <c r="K10" s="5" t="inlineStr">
        <is>
          <t>Art. 20 CC Expatrié</t>
        </is>
      </c>
      <c r="L10" s="5" t="inlineStr"/>
      <c r="M10" s="5">
        <f>IF(B10="","",IFERROR(VLOOKUP(B10,'F01 - _Données Expatriés'!$A$6:$K$20,2,FALSE)&amp;" "&amp;VLOOKUP(B10,'F01 - _Données Expatriés'!$A$6:$K$20,3,FALSE),""))</f>
        <v/>
      </c>
      <c r="N10" s="28">
        <f>IF(B10="","",IFERROR(SUMIF($B$6:$B$115,B10,$G$6:$G$115),0))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29">
        <f>IF(OR(D11="",F11=""),"",IFERROR(D11*F11,0))</f>
        <v/>
      </c>
      <c r="H11" s="7" t="n"/>
      <c r="I11" s="7" t="n"/>
      <c r="J11" s="7" t="n"/>
      <c r="K11" s="7" t="n"/>
      <c r="L11" s="7" t="n"/>
      <c r="M11" s="7">
        <f>IF(B11="","",IFERROR(VLOOKUP(B11,'F01 - _Données Expatriés'!$A$6:$K$20,2,FALSE)&amp;" "&amp;VLOOKUP(B11,'F01 - _Données Expatriés'!$A$6:$K$20,3,FALSE),""))</f>
        <v/>
      </c>
      <c r="N11" s="29">
        <f>IF(B11="","",IFERROR(SUMIF($B$6:$B$115,B11,$G$6:$G$115),0))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28">
        <f>IF(OR(D12="",F12=""),"",IFERROR(D12*F12,0))</f>
        <v/>
      </c>
      <c r="H12" s="5" t="n"/>
      <c r="I12" s="5" t="n"/>
      <c r="J12" s="5" t="n"/>
      <c r="K12" s="5" t="n"/>
      <c r="L12" s="5" t="n"/>
      <c r="M12" s="5">
        <f>IF(B12="","",IFERROR(VLOOKUP(B12,'F01 - _Données Expatriés'!$A$6:$K$20,2,FALSE)&amp;" "&amp;VLOOKUP(B12,'F01 - _Données Expatriés'!$A$6:$K$20,3,FALSE),""))</f>
        <v/>
      </c>
      <c r="N12" s="28">
        <f>IF(B12="","",IFERROR(SUMIF($B$6:$B$115,B12,$G$6:$G$115),0))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29">
        <f>IF(OR(D13="",F13=""),"",IFERROR(D13*F13,0))</f>
        <v/>
      </c>
      <c r="H13" s="7" t="n"/>
      <c r="I13" s="7" t="n"/>
      <c r="J13" s="7" t="n"/>
      <c r="K13" s="7" t="n"/>
      <c r="L13" s="7" t="n"/>
      <c r="M13" s="7">
        <f>IF(B13="","",IFERROR(VLOOKUP(B13,'F01 - _Données Expatriés'!$A$6:$K$20,2,FALSE)&amp;" "&amp;VLOOKUP(B13,'F01 - _Données Expatriés'!$A$6:$K$20,3,FALSE),""))</f>
        <v/>
      </c>
      <c r="N13" s="29">
        <f>IF(B13="","",IFERROR(SUMIF($B$6:$B$115,B13,$G$6:$G$115),0))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28">
        <f>IF(OR(D14="",F14=""),"",IFERROR(D14*F14,0))</f>
        <v/>
      </c>
      <c r="H14" s="5" t="n"/>
      <c r="I14" s="5" t="n"/>
      <c r="J14" s="5" t="n"/>
      <c r="K14" s="5" t="n"/>
      <c r="L14" s="5" t="n"/>
      <c r="M14" s="5">
        <f>IF(B14="","",IFERROR(VLOOKUP(B14,'F01 - _Données Expatriés'!$A$6:$K$20,2,FALSE)&amp;" "&amp;VLOOKUP(B14,'F01 - _Données Expatriés'!$A$6:$K$20,3,FALSE),""))</f>
        <v/>
      </c>
      <c r="N14" s="28">
        <f>IF(B14="","",IFERROR(SUMIF($B$6:$B$115,B14,$G$6:$G$115),0))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29">
        <f>IF(OR(D15="",F15=""),"",IFERROR(D15*F15,0))</f>
        <v/>
      </c>
      <c r="H15" s="7" t="n"/>
      <c r="I15" s="7" t="n"/>
      <c r="J15" s="7" t="n"/>
      <c r="K15" s="7" t="n"/>
      <c r="L15" s="7" t="n"/>
      <c r="M15" s="7">
        <f>IF(B15="","",IFERROR(VLOOKUP(B15,'F01 - _Données Expatriés'!$A$6:$K$20,2,FALSE)&amp;" "&amp;VLOOKUP(B15,'F01 - _Données Expatriés'!$A$6:$K$20,3,FALSE),""))</f>
        <v/>
      </c>
      <c r="N15" s="29">
        <f>IF(B15="","",IFERROR(SUMIF($B$6:$B$115,B15,$G$6:$G$115),0))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28">
        <f>IF(OR(D16="",F16=""),"",IFERROR(D16*F16,0))</f>
        <v/>
      </c>
      <c r="H16" s="5" t="n"/>
      <c r="I16" s="5" t="n"/>
      <c r="J16" s="5" t="n"/>
      <c r="K16" s="5" t="n"/>
      <c r="L16" s="5" t="n"/>
      <c r="M16" s="5">
        <f>IF(B16="","",IFERROR(VLOOKUP(B16,'F01 - _Données Expatriés'!$A$6:$K$20,2,FALSE)&amp;" "&amp;VLOOKUP(B16,'F01 - _Données Expatriés'!$A$6:$K$20,3,FALSE),""))</f>
        <v/>
      </c>
      <c r="N16" s="28">
        <f>IF(B16="","",IFERROR(SUMIF($B$6:$B$115,B16,$G$6:$G$115),0))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29">
        <f>IF(OR(D17="",F17=""),"",IFERROR(D17*F17,0))</f>
        <v/>
      </c>
      <c r="H17" s="7" t="n"/>
      <c r="I17" s="7" t="n"/>
      <c r="J17" s="7" t="n"/>
      <c r="K17" s="7" t="n"/>
      <c r="L17" s="7" t="n"/>
      <c r="M17" s="7">
        <f>IF(B17="","",IFERROR(VLOOKUP(B17,'F01 - _Données Expatriés'!$A$6:$K$20,2,FALSE)&amp;" "&amp;VLOOKUP(B17,'F01 - _Données Expatriés'!$A$6:$K$20,3,FALSE),""))</f>
        <v/>
      </c>
      <c r="N17" s="29">
        <f>IF(B17="","",IFERROR(SUMIF($B$6:$B$115,B17,$G$6:$G$115),0))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28">
        <f>IF(OR(D18="",F18=""),"",IFERROR(D18*F18,0))</f>
        <v/>
      </c>
      <c r="H18" s="5" t="n"/>
      <c r="I18" s="5" t="n"/>
      <c r="J18" s="5" t="n"/>
      <c r="K18" s="5" t="n"/>
      <c r="L18" s="5" t="n"/>
      <c r="M18" s="5">
        <f>IF(B18="","",IFERROR(VLOOKUP(B18,'F01 - _Données Expatriés'!$A$6:$K$20,2,FALSE)&amp;" "&amp;VLOOKUP(B18,'F01 - _Données Expatriés'!$A$6:$K$20,3,FALSE),""))</f>
        <v/>
      </c>
      <c r="N18" s="28">
        <f>IF(B18="","",IFERROR(SUMIF($B$6:$B$115,B18,$G$6:$G$115),0))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29">
        <f>IF(OR(D19="",F19=""),"",IFERROR(D19*F19,0))</f>
        <v/>
      </c>
      <c r="H19" s="7" t="n"/>
      <c r="I19" s="7" t="n"/>
      <c r="J19" s="7" t="n"/>
      <c r="K19" s="7" t="n"/>
      <c r="L19" s="7" t="n"/>
      <c r="M19" s="7">
        <f>IF(B19="","",IFERROR(VLOOKUP(B19,'F01 - _Données Expatriés'!$A$6:$K$20,2,FALSE)&amp;" "&amp;VLOOKUP(B19,'F01 - _Données Expatriés'!$A$6:$K$20,3,FALSE),""))</f>
        <v/>
      </c>
      <c r="N19" s="29">
        <f>IF(B19="","",IFERROR(SUMIF($B$6:$B$115,B19,$G$6:$G$115),0))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28">
        <f>IF(OR(D20="",F20=""),"",IFERROR(D20*F20,0))</f>
        <v/>
      </c>
      <c r="H20" s="5" t="n"/>
      <c r="I20" s="5" t="n"/>
      <c r="J20" s="5" t="n"/>
      <c r="K20" s="5" t="n"/>
      <c r="L20" s="5" t="n"/>
      <c r="M20" s="5">
        <f>IF(B20="","",IFERROR(VLOOKUP(B20,'F01 - _Données Expatriés'!$A$6:$K$20,2,FALSE)&amp;" "&amp;VLOOKUP(B20,'F01 - _Données Expatriés'!$A$6:$K$20,3,FALSE),""))</f>
        <v/>
      </c>
      <c r="N20" s="28">
        <f>IF(B20="","",IFERROR(SUMIF($B$6:$B$115,B20,$G$6:$G$115),0))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29">
        <f>IF(OR(D21="",F21=""),"",IFERROR(D21*F21,0))</f>
        <v/>
      </c>
      <c r="H21" s="7" t="n"/>
      <c r="I21" s="7" t="n"/>
      <c r="J21" s="7" t="n"/>
      <c r="K21" s="7" t="n"/>
      <c r="L21" s="7" t="n"/>
      <c r="M21" s="7">
        <f>IF(B21="","",IFERROR(VLOOKUP(B21,'F01 - _Données Expatriés'!$A$6:$K$20,2,FALSE)&amp;" "&amp;VLOOKUP(B21,'F01 - _Données Expatriés'!$A$6:$K$20,3,FALSE),""))</f>
        <v/>
      </c>
      <c r="N21" s="29">
        <f>IF(B21="","",IFERROR(SUMIF($B$6:$B$115,B21,$G$6:$G$115),0))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28">
        <f>IF(OR(D22="",F22=""),"",IFERROR(D22*F22,0))</f>
        <v/>
      </c>
      <c r="H22" s="5" t="n"/>
      <c r="I22" s="5" t="n"/>
      <c r="J22" s="5" t="n"/>
      <c r="K22" s="5" t="n"/>
      <c r="L22" s="5" t="n"/>
      <c r="M22" s="5">
        <f>IF(B22="","",IFERROR(VLOOKUP(B22,'F01 - _Données Expatriés'!$A$6:$K$20,2,FALSE)&amp;" "&amp;VLOOKUP(B22,'F01 - _Données Expatriés'!$A$6:$K$20,3,FALSE),""))</f>
        <v/>
      </c>
      <c r="N22" s="28">
        <f>IF(B22="","",IFERROR(SUMIF($B$6:$B$115,B22,$G$6:$G$115),0))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29">
        <f>IF(OR(D23="",F23=""),"",IFERROR(D23*F23,0))</f>
        <v/>
      </c>
      <c r="H23" s="7" t="n"/>
      <c r="I23" s="7" t="n"/>
      <c r="J23" s="7" t="n"/>
      <c r="K23" s="7" t="n"/>
      <c r="L23" s="7" t="n"/>
      <c r="M23" s="7">
        <f>IF(B23="","",IFERROR(VLOOKUP(B23,'F01 - _Données Expatriés'!$A$6:$K$20,2,FALSE)&amp;" "&amp;VLOOKUP(B23,'F01 - _Données Expatriés'!$A$6:$K$20,3,FALSE),""))</f>
        <v/>
      </c>
      <c r="N23" s="29">
        <f>IF(B23="","",IFERROR(SUMIF($B$6:$B$115,B23,$G$6:$G$115),0))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28">
        <f>IF(OR(D24="",F24=""),"",IFERROR(D24*F24,0))</f>
        <v/>
      </c>
      <c r="H24" s="5" t="n"/>
      <c r="I24" s="5" t="n"/>
      <c r="J24" s="5" t="n"/>
      <c r="K24" s="5" t="n"/>
      <c r="L24" s="5" t="n"/>
      <c r="M24" s="5">
        <f>IF(B24="","",IFERROR(VLOOKUP(B24,'F01 - _Données Expatriés'!$A$6:$K$20,2,FALSE)&amp;" "&amp;VLOOKUP(B24,'F01 - _Données Expatriés'!$A$6:$K$20,3,FALSE),""))</f>
        <v/>
      </c>
      <c r="N24" s="28">
        <f>IF(B24="","",IFERROR(SUMIF($B$6:$B$115,B24,$G$6:$G$115),0))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29">
        <f>IF(OR(D25="",F25=""),"",IFERROR(D25*F25,0))</f>
        <v/>
      </c>
      <c r="H25" s="7" t="n"/>
      <c r="I25" s="7" t="n"/>
      <c r="J25" s="7" t="n"/>
      <c r="K25" s="7" t="n"/>
      <c r="L25" s="7" t="n"/>
      <c r="M25" s="7">
        <f>IF(B25="","",IFERROR(VLOOKUP(B25,'F01 - _Données Expatriés'!$A$6:$K$20,2,FALSE)&amp;" "&amp;VLOOKUP(B25,'F01 - _Données Expatriés'!$A$6:$K$20,3,FALSE),""))</f>
        <v/>
      </c>
      <c r="N25" s="29">
        <f>IF(B25="","",IFERROR(SUMIF($B$6:$B$115,B25,$G$6:$G$115),0))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28">
        <f>IF(OR(D26="",F26=""),"",IFERROR(D26*F26,0))</f>
        <v/>
      </c>
      <c r="H26" s="5" t="n"/>
      <c r="I26" s="5" t="n"/>
      <c r="J26" s="5" t="n"/>
      <c r="K26" s="5" t="n"/>
      <c r="L26" s="5" t="n"/>
      <c r="M26" s="5">
        <f>IF(B26="","",IFERROR(VLOOKUP(B26,'F01 - _Données Expatriés'!$A$6:$K$20,2,FALSE)&amp;" "&amp;VLOOKUP(B26,'F01 - _Données Expatriés'!$A$6:$K$20,3,FALSE),""))</f>
        <v/>
      </c>
      <c r="N26" s="28">
        <f>IF(B26="","",IFERROR(SUMIF($B$6:$B$115,B26,$G$6:$G$115),0))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29">
        <f>IF(OR(D27="",F27=""),"",IFERROR(D27*F27,0))</f>
        <v/>
      </c>
      <c r="H27" s="7" t="n"/>
      <c r="I27" s="7" t="n"/>
      <c r="J27" s="7" t="n"/>
      <c r="K27" s="7" t="n"/>
      <c r="L27" s="7" t="n"/>
      <c r="M27" s="7">
        <f>IF(B27="","",IFERROR(VLOOKUP(B27,'F01 - _Données Expatriés'!$A$6:$K$20,2,FALSE)&amp;" "&amp;VLOOKUP(B27,'F01 - _Données Expatriés'!$A$6:$K$20,3,FALSE),""))</f>
        <v/>
      </c>
      <c r="N27" s="29">
        <f>IF(B27="","",IFERROR(SUMIF($B$6:$B$115,B27,$G$6:$G$115),0))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28">
        <f>IF(OR(D28="",F28=""),"",IFERROR(D28*F28,0))</f>
        <v/>
      </c>
      <c r="H28" s="5" t="n"/>
      <c r="I28" s="5" t="n"/>
      <c r="J28" s="5" t="n"/>
      <c r="K28" s="5" t="n"/>
      <c r="L28" s="5" t="n"/>
      <c r="M28" s="5">
        <f>IF(B28="","",IFERROR(VLOOKUP(B28,'F01 - _Données Expatriés'!$A$6:$K$20,2,FALSE)&amp;" "&amp;VLOOKUP(B28,'F01 - _Données Expatriés'!$A$6:$K$20,3,FALSE),""))</f>
        <v/>
      </c>
      <c r="N28" s="28">
        <f>IF(B28="","",IFERROR(SUMIF($B$6:$B$115,B28,$G$6:$G$115),0))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29">
        <f>IF(OR(D29="",F29=""),"",IFERROR(D29*F29,0))</f>
        <v/>
      </c>
      <c r="H29" s="7" t="n"/>
      <c r="I29" s="7" t="n"/>
      <c r="J29" s="7" t="n"/>
      <c r="K29" s="7" t="n"/>
      <c r="L29" s="7" t="n"/>
      <c r="M29" s="7">
        <f>IF(B29="","",IFERROR(VLOOKUP(B29,'F01 - _Données Expatriés'!$A$6:$K$20,2,FALSE)&amp;" "&amp;VLOOKUP(B29,'F01 - _Données Expatriés'!$A$6:$K$20,3,FALSE),""))</f>
        <v/>
      </c>
      <c r="N29" s="29">
        <f>IF(B29="","",IFERROR(SUMIF($B$6:$B$115,B29,$G$6:$G$115),0))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28">
        <f>IF(OR(D30="",F30=""),"",IFERROR(D30*F30,0))</f>
        <v/>
      </c>
      <c r="H30" s="5" t="n"/>
      <c r="I30" s="5" t="n"/>
      <c r="J30" s="5" t="n"/>
      <c r="K30" s="5" t="n"/>
      <c r="L30" s="5" t="n"/>
      <c r="M30" s="5">
        <f>IF(B30="","",IFERROR(VLOOKUP(B30,'F01 - _Données Expatriés'!$A$6:$K$20,2,FALSE)&amp;" "&amp;VLOOKUP(B30,'F01 - _Données Expatriés'!$A$6:$K$20,3,FALSE),""))</f>
        <v/>
      </c>
      <c r="N30" s="28">
        <f>IF(B30="","",IFERROR(SUMIF($B$6:$B$115,B30,$G$6:$G$115),0))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29">
        <f>IF(OR(D31="",F31=""),"",IFERROR(D31*F31,0))</f>
        <v/>
      </c>
      <c r="H31" s="7" t="n"/>
      <c r="I31" s="7" t="n"/>
      <c r="J31" s="7" t="n"/>
      <c r="K31" s="7" t="n"/>
      <c r="L31" s="7" t="n"/>
      <c r="M31" s="7">
        <f>IF(B31="","",IFERROR(VLOOKUP(B31,'F01 - _Données Expatriés'!$A$6:$K$20,2,FALSE)&amp;" "&amp;VLOOKUP(B31,'F01 - _Données Expatriés'!$A$6:$K$20,3,FALSE),""))</f>
        <v/>
      </c>
      <c r="N31" s="29">
        <f>IF(B31="","",IFERROR(SUMIF($B$6:$B$115,B31,$G$6:$G$115),0))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28">
        <f>IF(OR(D32="",F32=""),"",IFERROR(D32*F32,0))</f>
        <v/>
      </c>
      <c r="H32" s="5" t="n"/>
      <c r="I32" s="5" t="n"/>
      <c r="J32" s="5" t="n"/>
      <c r="K32" s="5" t="n"/>
      <c r="L32" s="5" t="n"/>
      <c r="M32" s="5">
        <f>IF(B32="","",IFERROR(VLOOKUP(B32,'F01 - _Données Expatriés'!$A$6:$K$20,2,FALSE)&amp;" "&amp;VLOOKUP(B32,'F01 - _Données Expatriés'!$A$6:$K$20,3,FALSE),""))</f>
        <v/>
      </c>
      <c r="N32" s="28">
        <f>IF(B32="","",IFERROR(SUMIF($B$6:$B$115,B32,$G$6:$G$115),0))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29">
        <f>IF(OR(D33="",F33=""),"",IFERROR(D33*F33,0))</f>
        <v/>
      </c>
      <c r="H33" s="7" t="n"/>
      <c r="I33" s="7" t="n"/>
      <c r="J33" s="7" t="n"/>
      <c r="K33" s="7" t="n"/>
      <c r="L33" s="7" t="n"/>
      <c r="M33" s="7">
        <f>IF(B33="","",IFERROR(VLOOKUP(B33,'F01 - _Données Expatriés'!$A$6:$K$20,2,FALSE)&amp;" "&amp;VLOOKUP(B33,'F01 - _Données Expatriés'!$A$6:$K$20,3,FALSE),""))</f>
        <v/>
      </c>
      <c r="N33" s="29">
        <f>IF(B33="","",IFERROR(SUMIF($B$6:$B$115,B33,$G$6:$G$115),0))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28">
        <f>IF(OR(D34="",F34=""),"",IFERROR(D34*F34,0))</f>
        <v/>
      </c>
      <c r="H34" s="5" t="n"/>
      <c r="I34" s="5" t="n"/>
      <c r="J34" s="5" t="n"/>
      <c r="K34" s="5" t="n"/>
      <c r="L34" s="5" t="n"/>
      <c r="M34" s="5">
        <f>IF(B34="","",IFERROR(VLOOKUP(B34,'F01 - _Données Expatriés'!$A$6:$K$20,2,FALSE)&amp;" "&amp;VLOOKUP(B34,'F01 - _Données Expatriés'!$A$6:$K$20,3,FALSE),""))</f>
        <v/>
      </c>
      <c r="N34" s="28">
        <f>IF(B34="","",IFERROR(SUMIF($B$6:$B$115,B34,$G$6:$G$115),0))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29">
        <f>IF(OR(D35="",F35=""),"",IFERROR(D35*F35,0))</f>
        <v/>
      </c>
      <c r="H35" s="7" t="n"/>
      <c r="I35" s="7" t="n"/>
      <c r="J35" s="7" t="n"/>
      <c r="K35" s="7" t="n"/>
      <c r="L35" s="7" t="n"/>
      <c r="M35" s="7">
        <f>IF(B35="","",IFERROR(VLOOKUP(B35,'F01 - _Données Expatriés'!$A$6:$K$20,2,FALSE)&amp;" "&amp;VLOOKUP(B35,'F01 - _Données Expatriés'!$A$6:$K$20,3,FALSE),""))</f>
        <v/>
      </c>
      <c r="N35" s="29">
        <f>IF(B35="","",IFERROR(SUMIF($B$6:$B$115,B35,$G$6:$G$115),0))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28">
        <f>IF(OR(D36="",F36=""),"",IFERROR(D36*F36,0))</f>
        <v/>
      </c>
      <c r="H36" s="5" t="n"/>
      <c r="I36" s="5" t="n"/>
      <c r="J36" s="5" t="n"/>
      <c r="K36" s="5" t="n"/>
      <c r="L36" s="5" t="n"/>
      <c r="M36" s="5">
        <f>IF(B36="","",IFERROR(VLOOKUP(B36,'F01 - _Données Expatriés'!$A$6:$K$20,2,FALSE)&amp;" "&amp;VLOOKUP(B36,'F01 - _Données Expatriés'!$A$6:$K$20,3,FALSE),""))</f>
        <v/>
      </c>
      <c r="N36" s="28">
        <f>IF(B36="","",IFERROR(SUMIF($B$6:$B$115,B36,$G$6:$G$115),0))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29">
        <f>IF(OR(D37="",F37=""),"",IFERROR(D37*F37,0))</f>
        <v/>
      </c>
      <c r="H37" s="7" t="n"/>
      <c r="I37" s="7" t="n"/>
      <c r="J37" s="7" t="n"/>
      <c r="K37" s="7" t="n"/>
      <c r="L37" s="7" t="n"/>
      <c r="M37" s="7">
        <f>IF(B37="","",IFERROR(VLOOKUP(B37,'F01 - _Données Expatriés'!$A$6:$K$20,2,FALSE)&amp;" "&amp;VLOOKUP(B37,'F01 - _Données Expatriés'!$A$6:$K$20,3,FALSE),""))</f>
        <v/>
      </c>
      <c r="N37" s="29">
        <f>IF(B37="","",IFERROR(SUMIF($B$6:$B$115,B37,$G$6:$G$115),0))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28">
        <f>IF(OR(D38="",F38=""),"",IFERROR(D38*F38,0))</f>
        <v/>
      </c>
      <c r="H38" s="5" t="n"/>
      <c r="I38" s="5" t="n"/>
      <c r="J38" s="5" t="n"/>
      <c r="K38" s="5" t="n"/>
      <c r="L38" s="5" t="n"/>
      <c r="M38" s="5">
        <f>IF(B38="","",IFERROR(VLOOKUP(B38,'F01 - _Données Expatriés'!$A$6:$K$20,2,FALSE)&amp;" "&amp;VLOOKUP(B38,'F01 - _Données Expatriés'!$A$6:$K$20,3,FALSE),""))</f>
        <v/>
      </c>
      <c r="N38" s="28">
        <f>IF(B38="","",IFERROR(SUMIF($B$6:$B$115,B38,$G$6:$G$115),0))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29">
        <f>IF(OR(D39="",F39=""),"",IFERROR(D39*F39,0))</f>
        <v/>
      </c>
      <c r="H39" s="7" t="n"/>
      <c r="I39" s="7" t="n"/>
      <c r="J39" s="7" t="n"/>
      <c r="K39" s="7" t="n"/>
      <c r="L39" s="7" t="n"/>
      <c r="M39" s="7">
        <f>IF(B39="","",IFERROR(VLOOKUP(B39,'F01 - _Données Expatriés'!$A$6:$K$20,2,FALSE)&amp;" "&amp;VLOOKUP(B39,'F01 - _Données Expatriés'!$A$6:$K$20,3,FALSE),""))</f>
        <v/>
      </c>
      <c r="N39" s="29">
        <f>IF(B39="","",IFERROR(SUMIF($B$6:$B$115,B39,$G$6:$G$115),0))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28">
        <f>IF(OR(D40="",F40=""),"",IFERROR(D40*F40,0))</f>
        <v/>
      </c>
      <c r="H40" s="5" t="n"/>
      <c r="I40" s="5" t="n"/>
      <c r="J40" s="5" t="n"/>
      <c r="K40" s="5" t="n"/>
      <c r="L40" s="5" t="n"/>
      <c r="M40" s="5">
        <f>IF(B40="","",IFERROR(VLOOKUP(B40,'F01 - _Données Expatriés'!$A$6:$K$20,2,FALSE)&amp;" "&amp;VLOOKUP(B40,'F01 - _Données Expatriés'!$A$6:$K$20,3,FALSE),""))</f>
        <v/>
      </c>
      <c r="N40" s="28">
        <f>IF(B40="","",IFERROR(SUMIF($B$6:$B$115,B40,$G$6:$G$115),0))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29">
        <f>IF(OR(D41="",F41=""),"",IFERROR(D41*F41,0))</f>
        <v/>
      </c>
      <c r="H41" s="7" t="n"/>
      <c r="I41" s="7" t="n"/>
      <c r="J41" s="7" t="n"/>
      <c r="K41" s="7" t="n"/>
      <c r="L41" s="7" t="n"/>
      <c r="M41" s="7">
        <f>IF(B41="","",IFERROR(VLOOKUP(B41,'F01 - _Données Expatriés'!$A$6:$K$20,2,FALSE)&amp;" "&amp;VLOOKUP(B41,'F01 - _Données Expatriés'!$A$6:$K$20,3,FALSE),""))</f>
        <v/>
      </c>
      <c r="N41" s="29">
        <f>IF(B41="","",IFERROR(SUMIF($B$6:$B$115,B41,$G$6:$G$115),0))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28">
        <f>IF(OR(D42="",F42=""),"",IFERROR(D42*F42,0))</f>
        <v/>
      </c>
      <c r="H42" s="5" t="n"/>
      <c r="I42" s="5" t="n"/>
      <c r="J42" s="5" t="n"/>
      <c r="K42" s="5" t="n"/>
      <c r="L42" s="5" t="n"/>
      <c r="M42" s="5">
        <f>IF(B42="","",IFERROR(VLOOKUP(B42,'F01 - _Données Expatriés'!$A$6:$K$20,2,FALSE)&amp;" "&amp;VLOOKUP(B42,'F01 - _Données Expatriés'!$A$6:$K$20,3,FALSE),""))</f>
        <v/>
      </c>
      <c r="N42" s="28">
        <f>IF(B42="","",IFERROR(SUMIF($B$6:$B$115,B42,$G$6:$G$115),0))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29">
        <f>IF(OR(D43="",F43=""),"",IFERROR(D43*F43,0))</f>
        <v/>
      </c>
      <c r="H43" s="7" t="n"/>
      <c r="I43" s="7" t="n"/>
      <c r="J43" s="7" t="n"/>
      <c r="K43" s="7" t="n"/>
      <c r="L43" s="7" t="n"/>
      <c r="M43" s="7">
        <f>IF(B43="","",IFERROR(VLOOKUP(B43,'F01 - _Données Expatriés'!$A$6:$K$20,2,FALSE)&amp;" "&amp;VLOOKUP(B43,'F01 - _Données Expatriés'!$A$6:$K$20,3,FALSE),""))</f>
        <v/>
      </c>
      <c r="N43" s="29">
        <f>IF(B43="","",IFERROR(SUMIF($B$6:$B$115,B43,$G$6:$G$115),0))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28">
        <f>IF(OR(D44="",F44=""),"",IFERROR(D44*F44,0))</f>
        <v/>
      </c>
      <c r="H44" s="5" t="n"/>
      <c r="I44" s="5" t="n"/>
      <c r="J44" s="5" t="n"/>
      <c r="K44" s="5" t="n"/>
      <c r="L44" s="5" t="n"/>
      <c r="M44" s="5">
        <f>IF(B44="","",IFERROR(VLOOKUP(B44,'F01 - _Données Expatriés'!$A$6:$K$20,2,FALSE)&amp;" "&amp;VLOOKUP(B44,'F01 - _Données Expatriés'!$A$6:$K$20,3,FALSE),""))</f>
        <v/>
      </c>
      <c r="N44" s="28">
        <f>IF(B44="","",IFERROR(SUMIF($B$6:$B$115,B44,$G$6:$G$115),0))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29">
        <f>IF(OR(D45="",F45=""),"",IFERROR(D45*F45,0))</f>
        <v/>
      </c>
      <c r="H45" s="7" t="n"/>
      <c r="I45" s="7" t="n"/>
      <c r="J45" s="7" t="n"/>
      <c r="K45" s="7" t="n"/>
      <c r="L45" s="7" t="n"/>
      <c r="M45" s="7">
        <f>IF(B45="","",IFERROR(VLOOKUP(B45,'F01 - _Données Expatriés'!$A$6:$K$20,2,FALSE)&amp;" "&amp;VLOOKUP(B45,'F01 - _Données Expatriés'!$A$6:$K$20,3,FALSE),""))</f>
        <v/>
      </c>
      <c r="N45" s="29">
        <f>IF(B45="","",IFERROR(SUMIF($B$6:$B$115,B45,$G$6:$G$115),0))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28">
        <f>IF(OR(D46="",F46=""),"",IFERROR(D46*F46,0))</f>
        <v/>
      </c>
      <c r="H46" s="5" t="n"/>
      <c r="I46" s="5" t="n"/>
      <c r="J46" s="5" t="n"/>
      <c r="K46" s="5" t="n"/>
      <c r="L46" s="5" t="n"/>
      <c r="M46" s="5">
        <f>IF(B46="","",IFERROR(VLOOKUP(B46,'F01 - _Données Expatriés'!$A$6:$K$20,2,FALSE)&amp;" "&amp;VLOOKUP(B46,'F01 - _Données Expatriés'!$A$6:$K$20,3,FALSE),""))</f>
        <v/>
      </c>
      <c r="N46" s="28">
        <f>IF(B46="","",IFERROR(SUMIF($B$6:$B$115,B46,$G$6:$G$115),0))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29">
        <f>IF(OR(D47="",F47=""),"",IFERROR(D47*F47,0))</f>
        <v/>
      </c>
      <c r="H47" s="7" t="n"/>
      <c r="I47" s="7" t="n"/>
      <c r="J47" s="7" t="n"/>
      <c r="K47" s="7" t="n"/>
      <c r="L47" s="7" t="n"/>
      <c r="M47" s="7">
        <f>IF(B47="","",IFERROR(VLOOKUP(B47,'F01 - _Données Expatriés'!$A$6:$K$20,2,FALSE)&amp;" "&amp;VLOOKUP(B47,'F01 - _Données Expatriés'!$A$6:$K$20,3,FALSE),""))</f>
        <v/>
      </c>
      <c r="N47" s="29">
        <f>IF(B47="","",IFERROR(SUMIF($B$6:$B$115,B47,$G$6:$G$115),0))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28">
        <f>IF(OR(D48="",F48=""),"",IFERROR(D48*F48,0))</f>
        <v/>
      </c>
      <c r="H48" s="5" t="n"/>
      <c r="I48" s="5" t="n"/>
      <c r="J48" s="5" t="n"/>
      <c r="K48" s="5" t="n"/>
      <c r="L48" s="5" t="n"/>
      <c r="M48" s="5">
        <f>IF(B48="","",IFERROR(VLOOKUP(B48,'F01 - _Données Expatriés'!$A$6:$K$20,2,FALSE)&amp;" "&amp;VLOOKUP(B48,'F01 - _Données Expatriés'!$A$6:$K$20,3,FALSE),""))</f>
        <v/>
      </c>
      <c r="N48" s="28">
        <f>IF(B48="","",IFERROR(SUMIF($B$6:$B$115,B48,$G$6:$G$115),0))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29">
        <f>IF(OR(D49="",F49=""),"",IFERROR(D49*F49,0))</f>
        <v/>
      </c>
      <c r="H49" s="7" t="n"/>
      <c r="I49" s="7" t="n"/>
      <c r="J49" s="7" t="n"/>
      <c r="K49" s="7" t="n"/>
      <c r="L49" s="7" t="n"/>
      <c r="M49" s="7">
        <f>IF(B49="","",IFERROR(VLOOKUP(B49,'F01 - _Données Expatriés'!$A$6:$K$20,2,FALSE)&amp;" "&amp;VLOOKUP(B49,'F01 - _Données Expatriés'!$A$6:$K$20,3,FALSE),""))</f>
        <v/>
      </c>
      <c r="N49" s="29">
        <f>IF(B49="","",IFERROR(SUMIF($B$6:$B$115,B49,$G$6:$G$115),0))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28">
        <f>IF(OR(D50="",F50=""),"",IFERROR(D50*F50,0))</f>
        <v/>
      </c>
      <c r="H50" s="5" t="n"/>
      <c r="I50" s="5" t="n"/>
      <c r="J50" s="5" t="n"/>
      <c r="K50" s="5" t="n"/>
      <c r="L50" s="5" t="n"/>
      <c r="M50" s="5">
        <f>IF(B50="","",IFERROR(VLOOKUP(B50,'F01 - _Données Expatriés'!$A$6:$K$20,2,FALSE)&amp;" "&amp;VLOOKUP(B50,'F01 - _Données Expatriés'!$A$6:$K$20,3,FALSE),""))</f>
        <v/>
      </c>
      <c r="N50" s="28">
        <f>IF(B50="","",IFERROR(SUMIF($B$6:$B$115,B50,$G$6:$G$115),0))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29">
        <f>IF(OR(D51="",F51=""),"",IFERROR(D51*F51,0))</f>
        <v/>
      </c>
      <c r="H51" s="7" t="n"/>
      <c r="I51" s="7" t="n"/>
      <c r="J51" s="7" t="n"/>
      <c r="K51" s="7" t="n"/>
      <c r="L51" s="7" t="n"/>
      <c r="M51" s="7">
        <f>IF(B51="","",IFERROR(VLOOKUP(B51,'F01 - _Données Expatriés'!$A$6:$K$20,2,FALSE)&amp;" "&amp;VLOOKUP(B51,'F01 - _Données Expatriés'!$A$6:$K$20,3,FALSE),""))</f>
        <v/>
      </c>
      <c r="N51" s="29">
        <f>IF(B51="","",IFERROR(SUMIF($B$6:$B$115,B51,$G$6:$G$115),0))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28">
        <f>IF(OR(D52="",F52=""),"",IFERROR(D52*F52,0))</f>
        <v/>
      </c>
      <c r="H52" s="5" t="n"/>
      <c r="I52" s="5" t="n"/>
      <c r="J52" s="5" t="n"/>
      <c r="K52" s="5" t="n"/>
      <c r="L52" s="5" t="n"/>
      <c r="M52" s="5">
        <f>IF(B52="","",IFERROR(VLOOKUP(B52,'F01 - _Données Expatriés'!$A$6:$K$20,2,FALSE)&amp;" "&amp;VLOOKUP(B52,'F01 - _Données Expatriés'!$A$6:$K$20,3,FALSE),""))</f>
        <v/>
      </c>
      <c r="N52" s="28">
        <f>IF(B52="","",IFERROR(SUMIF($B$6:$B$115,B52,$G$6:$G$115),0))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29">
        <f>IF(OR(D53="",F53=""),"",IFERROR(D53*F53,0))</f>
        <v/>
      </c>
      <c r="H53" s="7" t="n"/>
      <c r="I53" s="7" t="n"/>
      <c r="J53" s="7" t="n"/>
      <c r="K53" s="7" t="n"/>
      <c r="L53" s="7" t="n"/>
      <c r="M53" s="7">
        <f>IF(B53="","",IFERROR(VLOOKUP(B53,'F01 - _Données Expatriés'!$A$6:$K$20,2,FALSE)&amp;" "&amp;VLOOKUP(B53,'F01 - _Données Expatriés'!$A$6:$K$20,3,FALSE),""))</f>
        <v/>
      </c>
      <c r="N53" s="29">
        <f>IF(B53="","",IFERROR(SUMIF($B$6:$B$115,B53,$G$6:$G$115),0))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28">
        <f>IF(OR(D54="",F54=""),"",IFERROR(D54*F54,0))</f>
        <v/>
      </c>
      <c r="H54" s="5" t="n"/>
      <c r="I54" s="5" t="n"/>
      <c r="J54" s="5" t="n"/>
      <c r="K54" s="5" t="n"/>
      <c r="L54" s="5" t="n"/>
      <c r="M54" s="5">
        <f>IF(B54="","",IFERROR(VLOOKUP(B54,'F01 - _Données Expatriés'!$A$6:$K$20,2,FALSE)&amp;" "&amp;VLOOKUP(B54,'F01 - _Données Expatriés'!$A$6:$K$20,3,FALSE),""))</f>
        <v/>
      </c>
      <c r="N54" s="28">
        <f>IF(B54="","",IFERROR(SUMIF($B$6:$B$115,B54,$G$6:$G$115),0))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29">
        <f>IF(OR(D55="",F55=""),"",IFERROR(D55*F55,0))</f>
        <v/>
      </c>
      <c r="H55" s="7" t="n"/>
      <c r="I55" s="7" t="n"/>
      <c r="J55" s="7" t="n"/>
      <c r="K55" s="7" t="n"/>
      <c r="L55" s="7" t="n"/>
      <c r="M55" s="7">
        <f>IF(B55="","",IFERROR(VLOOKUP(B55,'F01 - _Données Expatriés'!$A$6:$K$20,2,FALSE)&amp;" "&amp;VLOOKUP(B55,'F01 - _Données Expatriés'!$A$6:$K$20,3,FALSE),""))</f>
        <v/>
      </c>
      <c r="N55" s="29">
        <f>IF(B55="","",IFERROR(SUMIF($B$6:$B$115,B55,$G$6:$G$115),0))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28">
        <f>IF(OR(D56="",F56=""),"",IFERROR(D56*F56,0))</f>
        <v/>
      </c>
      <c r="H56" s="5" t="n"/>
      <c r="I56" s="5" t="n"/>
      <c r="J56" s="5" t="n"/>
      <c r="K56" s="5" t="n"/>
      <c r="L56" s="5" t="n"/>
      <c r="M56" s="5">
        <f>IF(B56="","",IFERROR(VLOOKUP(B56,'F01 - _Données Expatriés'!$A$6:$K$20,2,FALSE)&amp;" "&amp;VLOOKUP(B56,'F01 - _Données Expatriés'!$A$6:$K$20,3,FALSE),""))</f>
        <v/>
      </c>
      <c r="N56" s="28">
        <f>IF(B56="","",IFERROR(SUMIF($B$6:$B$115,B56,$G$6:$G$115),0))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29">
        <f>IF(OR(D57="",F57=""),"",IFERROR(D57*F57,0))</f>
        <v/>
      </c>
      <c r="H57" s="7" t="n"/>
      <c r="I57" s="7" t="n"/>
      <c r="J57" s="7" t="n"/>
      <c r="K57" s="7" t="n"/>
      <c r="L57" s="7" t="n"/>
      <c r="M57" s="7">
        <f>IF(B57="","",IFERROR(VLOOKUP(B57,'F01 - _Données Expatriés'!$A$6:$K$20,2,FALSE)&amp;" "&amp;VLOOKUP(B57,'F01 - _Données Expatriés'!$A$6:$K$20,3,FALSE),""))</f>
        <v/>
      </c>
      <c r="N57" s="29">
        <f>IF(B57="","",IFERROR(SUMIF($B$6:$B$115,B57,$G$6:$G$115),0))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28">
        <f>IF(OR(D58="",F58=""),"",IFERROR(D58*F58,0))</f>
        <v/>
      </c>
      <c r="H58" s="5" t="n"/>
      <c r="I58" s="5" t="n"/>
      <c r="J58" s="5" t="n"/>
      <c r="K58" s="5" t="n"/>
      <c r="L58" s="5" t="n"/>
      <c r="M58" s="5">
        <f>IF(B58="","",IFERROR(VLOOKUP(B58,'F01 - _Données Expatriés'!$A$6:$K$20,2,FALSE)&amp;" "&amp;VLOOKUP(B58,'F01 - _Données Expatriés'!$A$6:$K$20,3,FALSE),""))</f>
        <v/>
      </c>
      <c r="N58" s="28">
        <f>IF(B58="","",IFERROR(SUMIF($B$6:$B$115,B58,$G$6:$G$115),0))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29">
        <f>IF(OR(D59="",F59=""),"",IFERROR(D59*F59,0))</f>
        <v/>
      </c>
      <c r="H59" s="7" t="n"/>
      <c r="I59" s="7" t="n"/>
      <c r="J59" s="7" t="n"/>
      <c r="K59" s="7" t="n"/>
      <c r="L59" s="7" t="n"/>
      <c r="M59" s="7">
        <f>IF(B59="","",IFERROR(VLOOKUP(B59,'F01 - _Données Expatriés'!$A$6:$K$20,2,FALSE)&amp;" "&amp;VLOOKUP(B59,'F01 - _Données Expatriés'!$A$6:$K$20,3,FALSE),""))</f>
        <v/>
      </c>
      <c r="N59" s="29">
        <f>IF(B59="","",IFERROR(SUMIF($B$6:$B$115,B59,$G$6:$G$115),0))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28">
        <f>IF(OR(D60="",F60=""),"",IFERROR(D60*F60,0))</f>
        <v/>
      </c>
      <c r="H60" s="5" t="n"/>
      <c r="I60" s="5" t="n"/>
      <c r="J60" s="5" t="n"/>
      <c r="K60" s="5" t="n"/>
      <c r="L60" s="5" t="n"/>
      <c r="M60" s="5">
        <f>IF(B60="","",IFERROR(VLOOKUP(B60,'F01 - _Données Expatriés'!$A$6:$K$20,2,FALSE)&amp;" "&amp;VLOOKUP(B60,'F01 - _Données Expatriés'!$A$6:$K$20,3,FALSE),""))</f>
        <v/>
      </c>
      <c r="N60" s="28">
        <f>IF(B60="","",IFERROR(SUMIF($B$6:$B$115,B60,$G$6:$G$115),0))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29">
        <f>IF(OR(D61="",F61=""),"",IFERROR(D61*F61,0))</f>
        <v/>
      </c>
      <c r="H61" s="7" t="n"/>
      <c r="I61" s="7" t="n"/>
      <c r="J61" s="7" t="n"/>
      <c r="K61" s="7" t="n"/>
      <c r="L61" s="7" t="n"/>
      <c r="M61" s="7">
        <f>IF(B61="","",IFERROR(VLOOKUP(B61,'F01 - _Données Expatriés'!$A$6:$K$20,2,FALSE)&amp;" "&amp;VLOOKUP(B61,'F01 - _Données Expatriés'!$A$6:$K$20,3,FALSE),""))</f>
        <v/>
      </c>
      <c r="N61" s="29">
        <f>IF(B61="","",IFERROR(SUMIF($B$6:$B$115,B61,$G$6:$G$115),0))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28">
        <f>IF(OR(D62="",F62=""),"",IFERROR(D62*F62,0))</f>
        <v/>
      </c>
      <c r="H62" s="5" t="n"/>
      <c r="I62" s="5" t="n"/>
      <c r="J62" s="5" t="n"/>
      <c r="K62" s="5" t="n"/>
      <c r="L62" s="5" t="n"/>
      <c r="M62" s="5">
        <f>IF(B62="","",IFERROR(VLOOKUP(B62,'F01 - _Données Expatriés'!$A$6:$K$20,2,FALSE)&amp;" "&amp;VLOOKUP(B62,'F01 - _Données Expatriés'!$A$6:$K$20,3,FALSE),""))</f>
        <v/>
      </c>
      <c r="N62" s="28">
        <f>IF(B62="","",IFERROR(SUMIF($B$6:$B$115,B62,$G$6:$G$115),0))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29">
        <f>IF(OR(D63="",F63=""),"",IFERROR(D63*F63,0))</f>
        <v/>
      </c>
      <c r="H63" s="7" t="n"/>
      <c r="I63" s="7" t="n"/>
      <c r="J63" s="7" t="n"/>
      <c r="K63" s="7" t="n"/>
      <c r="L63" s="7" t="n"/>
      <c r="M63" s="7">
        <f>IF(B63="","",IFERROR(VLOOKUP(B63,'F01 - _Données Expatriés'!$A$6:$K$20,2,FALSE)&amp;" "&amp;VLOOKUP(B63,'F01 - _Données Expatriés'!$A$6:$K$20,3,FALSE),""))</f>
        <v/>
      </c>
      <c r="N63" s="29">
        <f>IF(B63="","",IFERROR(SUMIF($B$6:$B$115,B63,$G$6:$G$115),0))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28">
        <f>IF(OR(D64="",F64=""),"",IFERROR(D64*F64,0))</f>
        <v/>
      </c>
      <c r="H64" s="5" t="n"/>
      <c r="I64" s="5" t="n"/>
      <c r="J64" s="5" t="n"/>
      <c r="K64" s="5" t="n"/>
      <c r="L64" s="5" t="n"/>
      <c r="M64" s="5">
        <f>IF(B64="","",IFERROR(VLOOKUP(B64,'F01 - _Données Expatriés'!$A$6:$K$20,2,FALSE)&amp;" "&amp;VLOOKUP(B64,'F01 - _Données Expatriés'!$A$6:$K$20,3,FALSE),""))</f>
        <v/>
      </c>
      <c r="N64" s="28">
        <f>IF(B64="","",IFERROR(SUMIF($B$6:$B$115,B64,$G$6:$G$115),0))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29">
        <f>IF(OR(D65="",F65=""),"",IFERROR(D65*F65,0))</f>
        <v/>
      </c>
      <c r="H65" s="7" t="n"/>
      <c r="I65" s="7" t="n"/>
      <c r="J65" s="7" t="n"/>
      <c r="K65" s="7" t="n"/>
      <c r="L65" s="7" t="n"/>
      <c r="M65" s="7">
        <f>IF(B65="","",IFERROR(VLOOKUP(B65,'F01 - _Données Expatriés'!$A$6:$K$20,2,FALSE)&amp;" "&amp;VLOOKUP(B65,'F01 - _Données Expatriés'!$A$6:$K$20,3,FALSE),""))</f>
        <v/>
      </c>
      <c r="N65" s="29">
        <f>IF(B65="","",IFERROR(SUMIF($B$6:$B$115,B65,$G$6:$G$115),0))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28">
        <f>IF(OR(D66="",F66=""),"",IFERROR(D66*F66,0))</f>
        <v/>
      </c>
      <c r="H66" s="5" t="n"/>
      <c r="I66" s="5" t="n"/>
      <c r="J66" s="5" t="n"/>
      <c r="K66" s="5" t="n"/>
      <c r="L66" s="5" t="n"/>
      <c r="M66" s="5">
        <f>IF(B66="","",IFERROR(VLOOKUP(B66,'F01 - _Données Expatriés'!$A$6:$K$20,2,FALSE)&amp;" "&amp;VLOOKUP(B66,'F01 - _Données Expatriés'!$A$6:$K$20,3,FALSE),""))</f>
        <v/>
      </c>
      <c r="N66" s="28">
        <f>IF(B66="","",IFERROR(SUMIF($B$6:$B$115,B66,$G$6:$G$115),0))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29">
        <f>IF(OR(D67="",F67=""),"",IFERROR(D67*F67,0))</f>
        <v/>
      </c>
      <c r="H67" s="7" t="n"/>
      <c r="I67" s="7" t="n"/>
      <c r="J67" s="7" t="n"/>
      <c r="K67" s="7" t="n"/>
      <c r="L67" s="7" t="n"/>
      <c r="M67" s="7">
        <f>IF(B67="","",IFERROR(VLOOKUP(B67,'F01 - _Données Expatriés'!$A$6:$K$20,2,FALSE)&amp;" "&amp;VLOOKUP(B67,'F01 - _Données Expatriés'!$A$6:$K$20,3,FALSE),""))</f>
        <v/>
      </c>
      <c r="N67" s="29">
        <f>IF(B67="","",IFERROR(SUMIF($B$6:$B$115,B67,$G$6:$G$115),0))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28">
        <f>IF(OR(D68="",F68=""),"",IFERROR(D68*F68,0))</f>
        <v/>
      </c>
      <c r="H68" s="5" t="n"/>
      <c r="I68" s="5" t="n"/>
      <c r="J68" s="5" t="n"/>
      <c r="K68" s="5" t="n"/>
      <c r="L68" s="5" t="n"/>
      <c r="M68" s="5">
        <f>IF(B68="","",IFERROR(VLOOKUP(B68,'F01 - _Données Expatriés'!$A$6:$K$20,2,FALSE)&amp;" "&amp;VLOOKUP(B68,'F01 - _Données Expatriés'!$A$6:$K$20,3,FALSE),""))</f>
        <v/>
      </c>
      <c r="N68" s="28">
        <f>IF(B68="","",IFERROR(SUMIF($B$6:$B$115,B68,$G$6:$G$115),0))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29">
        <f>IF(OR(D69="",F69=""),"",IFERROR(D69*F69,0))</f>
        <v/>
      </c>
      <c r="H69" s="7" t="n"/>
      <c r="I69" s="7" t="n"/>
      <c r="J69" s="7" t="n"/>
      <c r="K69" s="7" t="n"/>
      <c r="L69" s="7" t="n"/>
      <c r="M69" s="7">
        <f>IF(B69="","",IFERROR(VLOOKUP(B69,'F01 - _Données Expatriés'!$A$6:$K$20,2,FALSE)&amp;" "&amp;VLOOKUP(B69,'F01 - _Données Expatriés'!$A$6:$K$20,3,FALSE),""))</f>
        <v/>
      </c>
      <c r="N69" s="29">
        <f>IF(B69="","",IFERROR(SUMIF($B$6:$B$115,B69,$G$6:$G$115),0))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28">
        <f>IF(OR(D70="",F70=""),"",IFERROR(D70*F70,0))</f>
        <v/>
      </c>
      <c r="H70" s="5" t="n"/>
      <c r="I70" s="5" t="n"/>
      <c r="J70" s="5" t="n"/>
      <c r="K70" s="5" t="n"/>
      <c r="L70" s="5" t="n"/>
      <c r="M70" s="5">
        <f>IF(B70="","",IFERROR(VLOOKUP(B70,'F01 - _Données Expatriés'!$A$6:$K$20,2,FALSE)&amp;" "&amp;VLOOKUP(B70,'F01 - _Données Expatriés'!$A$6:$K$20,3,FALSE),""))</f>
        <v/>
      </c>
      <c r="N70" s="28">
        <f>IF(B70="","",IFERROR(SUMIF($B$6:$B$115,B70,$G$6:$G$115),0))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29">
        <f>IF(OR(D71="",F71=""),"",IFERROR(D71*F71,0))</f>
        <v/>
      </c>
      <c r="H71" s="7" t="n"/>
      <c r="I71" s="7" t="n"/>
      <c r="J71" s="7" t="n"/>
      <c r="K71" s="7" t="n"/>
      <c r="L71" s="7" t="n"/>
      <c r="M71" s="7">
        <f>IF(B71="","",IFERROR(VLOOKUP(B71,'F01 - _Données Expatriés'!$A$6:$K$20,2,FALSE)&amp;" "&amp;VLOOKUP(B71,'F01 - _Données Expatriés'!$A$6:$K$20,3,FALSE),""))</f>
        <v/>
      </c>
      <c r="N71" s="29">
        <f>IF(B71="","",IFERROR(SUMIF($B$6:$B$115,B71,$G$6:$G$115),0))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28">
        <f>IF(OR(D72="",F72=""),"",IFERROR(D72*F72,0))</f>
        <v/>
      </c>
      <c r="H72" s="5" t="n"/>
      <c r="I72" s="5" t="n"/>
      <c r="J72" s="5" t="n"/>
      <c r="K72" s="5" t="n"/>
      <c r="L72" s="5" t="n"/>
      <c r="M72" s="5">
        <f>IF(B72="","",IFERROR(VLOOKUP(B72,'F01 - _Données Expatriés'!$A$6:$K$20,2,FALSE)&amp;" "&amp;VLOOKUP(B72,'F01 - _Données Expatriés'!$A$6:$K$20,3,FALSE),""))</f>
        <v/>
      </c>
      <c r="N72" s="28">
        <f>IF(B72="","",IFERROR(SUMIF($B$6:$B$115,B72,$G$6:$G$115),0))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29">
        <f>IF(OR(D73="",F73=""),"",IFERROR(D73*F73,0))</f>
        <v/>
      </c>
      <c r="H73" s="7" t="n"/>
      <c r="I73" s="7" t="n"/>
      <c r="J73" s="7" t="n"/>
      <c r="K73" s="7" t="n"/>
      <c r="L73" s="7" t="n"/>
      <c r="M73" s="7">
        <f>IF(B73="","",IFERROR(VLOOKUP(B73,'F01 - _Données Expatriés'!$A$6:$K$20,2,FALSE)&amp;" "&amp;VLOOKUP(B73,'F01 - _Données Expatriés'!$A$6:$K$20,3,FALSE),""))</f>
        <v/>
      </c>
      <c r="N73" s="29">
        <f>IF(B73="","",IFERROR(SUMIF($B$6:$B$115,B73,$G$6:$G$115),0))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28">
        <f>IF(OR(D74="",F74=""),"",IFERROR(D74*F74,0))</f>
        <v/>
      </c>
      <c r="H74" s="5" t="n"/>
      <c r="I74" s="5" t="n"/>
      <c r="J74" s="5" t="n"/>
      <c r="K74" s="5" t="n"/>
      <c r="L74" s="5" t="n"/>
      <c r="M74" s="5">
        <f>IF(B74="","",IFERROR(VLOOKUP(B74,'F01 - _Données Expatriés'!$A$6:$K$20,2,FALSE)&amp;" "&amp;VLOOKUP(B74,'F01 - _Données Expatriés'!$A$6:$K$20,3,FALSE),""))</f>
        <v/>
      </c>
      <c r="N74" s="28">
        <f>IF(B74="","",IFERROR(SUMIF($B$6:$B$115,B74,$G$6:$G$115),0))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29">
        <f>IF(OR(D75="",F75=""),"",IFERROR(D75*F75,0))</f>
        <v/>
      </c>
      <c r="H75" s="7" t="n"/>
      <c r="I75" s="7" t="n"/>
      <c r="J75" s="7" t="n"/>
      <c r="K75" s="7" t="n"/>
      <c r="L75" s="7" t="n"/>
      <c r="M75" s="7">
        <f>IF(B75="","",IFERROR(VLOOKUP(B75,'F01 - _Données Expatriés'!$A$6:$K$20,2,FALSE)&amp;" "&amp;VLOOKUP(B75,'F01 - _Données Expatriés'!$A$6:$K$20,3,FALSE),""))</f>
        <v/>
      </c>
      <c r="N75" s="29">
        <f>IF(B75="","",IFERROR(SUMIF($B$6:$B$115,B75,$G$6:$G$115),0))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28">
        <f>IF(OR(D76="",F76=""),"",IFERROR(D76*F76,0))</f>
        <v/>
      </c>
      <c r="H76" s="5" t="n"/>
      <c r="I76" s="5" t="n"/>
      <c r="J76" s="5" t="n"/>
      <c r="K76" s="5" t="n"/>
      <c r="L76" s="5" t="n"/>
      <c r="M76" s="5">
        <f>IF(B76="","",IFERROR(VLOOKUP(B76,'F01 - _Données Expatriés'!$A$6:$K$20,2,FALSE)&amp;" "&amp;VLOOKUP(B76,'F01 - _Données Expatriés'!$A$6:$K$20,3,FALSE),""))</f>
        <v/>
      </c>
      <c r="N76" s="28">
        <f>IF(B76="","",IFERROR(SUMIF($B$6:$B$115,B76,$G$6:$G$115),0))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29">
        <f>IF(OR(D77="",F77=""),"",IFERROR(D77*F77,0))</f>
        <v/>
      </c>
      <c r="H77" s="7" t="n"/>
      <c r="I77" s="7" t="n"/>
      <c r="J77" s="7" t="n"/>
      <c r="K77" s="7" t="n"/>
      <c r="L77" s="7" t="n"/>
      <c r="M77" s="7">
        <f>IF(B77="","",IFERROR(VLOOKUP(B77,'F01 - _Données Expatriés'!$A$6:$K$20,2,FALSE)&amp;" "&amp;VLOOKUP(B77,'F01 - _Données Expatriés'!$A$6:$K$20,3,FALSE),""))</f>
        <v/>
      </c>
      <c r="N77" s="29">
        <f>IF(B77="","",IFERROR(SUMIF($B$6:$B$115,B77,$G$6:$G$115),0))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28">
        <f>IF(OR(D78="",F78=""),"",IFERROR(D78*F78,0))</f>
        <v/>
      </c>
      <c r="H78" s="5" t="n"/>
      <c r="I78" s="5" t="n"/>
      <c r="J78" s="5" t="n"/>
      <c r="K78" s="5" t="n"/>
      <c r="L78" s="5" t="n"/>
      <c r="M78" s="5">
        <f>IF(B78="","",IFERROR(VLOOKUP(B78,'F01 - _Données Expatriés'!$A$6:$K$20,2,FALSE)&amp;" "&amp;VLOOKUP(B78,'F01 - _Données Expatriés'!$A$6:$K$20,3,FALSE),""))</f>
        <v/>
      </c>
      <c r="N78" s="28">
        <f>IF(B78="","",IFERROR(SUMIF($B$6:$B$115,B78,$G$6:$G$115),0))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29">
        <f>IF(OR(D79="",F79=""),"",IFERROR(D79*F79,0))</f>
        <v/>
      </c>
      <c r="H79" s="7" t="n"/>
      <c r="I79" s="7" t="n"/>
      <c r="J79" s="7" t="n"/>
      <c r="K79" s="7" t="n"/>
      <c r="L79" s="7" t="n"/>
      <c r="M79" s="7">
        <f>IF(B79="","",IFERROR(VLOOKUP(B79,'F01 - _Données Expatriés'!$A$6:$K$20,2,FALSE)&amp;" "&amp;VLOOKUP(B79,'F01 - _Données Expatriés'!$A$6:$K$20,3,FALSE),""))</f>
        <v/>
      </c>
      <c r="N79" s="29">
        <f>IF(B79="","",IFERROR(SUMIF($B$6:$B$115,B79,$G$6:$G$115),0))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28">
        <f>IF(OR(D80="",F80=""),"",IFERROR(D80*F80,0))</f>
        <v/>
      </c>
      <c r="H80" s="5" t="n"/>
      <c r="I80" s="5" t="n"/>
      <c r="J80" s="5" t="n"/>
      <c r="K80" s="5" t="n"/>
      <c r="L80" s="5" t="n"/>
      <c r="M80" s="5">
        <f>IF(B80="","",IFERROR(VLOOKUP(B80,'F01 - _Données Expatriés'!$A$6:$K$20,2,FALSE)&amp;" "&amp;VLOOKUP(B80,'F01 - _Données Expatriés'!$A$6:$K$20,3,FALSE),""))</f>
        <v/>
      </c>
      <c r="N80" s="28">
        <f>IF(B80="","",IFERROR(SUMIF($B$6:$B$115,B80,$G$6:$G$115),0))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29">
        <f>IF(OR(D81="",F81=""),"",IFERROR(D81*F81,0))</f>
        <v/>
      </c>
      <c r="H81" s="7" t="n"/>
      <c r="I81" s="7" t="n"/>
      <c r="J81" s="7" t="n"/>
      <c r="K81" s="7" t="n"/>
      <c r="L81" s="7" t="n"/>
      <c r="M81" s="7">
        <f>IF(B81="","",IFERROR(VLOOKUP(B81,'F01 - _Données Expatriés'!$A$6:$K$20,2,FALSE)&amp;" "&amp;VLOOKUP(B81,'F01 - _Données Expatriés'!$A$6:$K$20,3,FALSE),""))</f>
        <v/>
      </c>
      <c r="N81" s="29">
        <f>IF(B81="","",IFERROR(SUMIF($B$6:$B$115,B81,$G$6:$G$115),0))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28">
        <f>IF(OR(D82="",F82=""),"",IFERROR(D82*F82,0))</f>
        <v/>
      </c>
      <c r="H82" s="5" t="n"/>
      <c r="I82" s="5" t="n"/>
      <c r="J82" s="5" t="n"/>
      <c r="K82" s="5" t="n"/>
      <c r="L82" s="5" t="n"/>
      <c r="M82" s="5">
        <f>IF(B82="","",IFERROR(VLOOKUP(B82,'F01 - _Données Expatriés'!$A$6:$K$20,2,FALSE)&amp;" "&amp;VLOOKUP(B82,'F01 - _Données Expatriés'!$A$6:$K$20,3,FALSE),""))</f>
        <v/>
      </c>
      <c r="N82" s="28">
        <f>IF(B82="","",IFERROR(SUMIF($B$6:$B$115,B82,$G$6:$G$115),0))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29">
        <f>IF(OR(D83="",F83=""),"",IFERROR(D83*F83,0))</f>
        <v/>
      </c>
      <c r="H83" s="7" t="n"/>
      <c r="I83" s="7" t="n"/>
      <c r="J83" s="7" t="n"/>
      <c r="K83" s="7" t="n"/>
      <c r="L83" s="7" t="n"/>
      <c r="M83" s="7">
        <f>IF(B83="","",IFERROR(VLOOKUP(B83,'F01 - _Données Expatriés'!$A$6:$K$20,2,FALSE)&amp;" "&amp;VLOOKUP(B83,'F01 - _Données Expatriés'!$A$6:$K$20,3,FALSE),""))</f>
        <v/>
      </c>
      <c r="N83" s="29">
        <f>IF(B83="","",IFERROR(SUMIF($B$6:$B$115,B83,$G$6:$G$115),0))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28">
        <f>IF(OR(D84="",F84=""),"",IFERROR(D84*F84,0))</f>
        <v/>
      </c>
      <c r="H84" s="5" t="n"/>
      <c r="I84" s="5" t="n"/>
      <c r="J84" s="5" t="n"/>
      <c r="K84" s="5" t="n"/>
      <c r="L84" s="5" t="n"/>
      <c r="M84" s="5">
        <f>IF(B84="","",IFERROR(VLOOKUP(B84,'F01 - _Données Expatriés'!$A$6:$K$20,2,FALSE)&amp;" "&amp;VLOOKUP(B84,'F01 - _Données Expatriés'!$A$6:$K$20,3,FALSE),""))</f>
        <v/>
      </c>
      <c r="N84" s="28">
        <f>IF(B84="","",IFERROR(SUMIF($B$6:$B$115,B84,$G$6:$G$115),0))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29">
        <f>IF(OR(D85="",F85=""),"",IFERROR(D85*F85,0))</f>
        <v/>
      </c>
      <c r="H85" s="7" t="n"/>
      <c r="I85" s="7" t="n"/>
      <c r="J85" s="7" t="n"/>
      <c r="K85" s="7" t="n"/>
      <c r="L85" s="7" t="n"/>
      <c r="M85" s="7">
        <f>IF(B85="","",IFERROR(VLOOKUP(B85,'F01 - _Données Expatriés'!$A$6:$K$20,2,FALSE)&amp;" "&amp;VLOOKUP(B85,'F01 - _Données Expatriés'!$A$6:$K$20,3,FALSE),""))</f>
        <v/>
      </c>
      <c r="N85" s="29">
        <f>IF(B85="","",IFERROR(SUMIF($B$6:$B$115,B85,$G$6:$G$115),0))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28">
        <f>IF(OR(D86="",F86=""),"",IFERROR(D86*F86,0))</f>
        <v/>
      </c>
      <c r="H86" s="5" t="n"/>
      <c r="I86" s="5" t="n"/>
      <c r="J86" s="5" t="n"/>
      <c r="K86" s="5" t="n"/>
      <c r="L86" s="5" t="n"/>
      <c r="M86" s="5">
        <f>IF(B86="","",IFERROR(VLOOKUP(B86,'F01 - _Données Expatriés'!$A$6:$K$20,2,FALSE)&amp;" "&amp;VLOOKUP(B86,'F01 - _Données Expatriés'!$A$6:$K$20,3,FALSE),""))</f>
        <v/>
      </c>
      <c r="N86" s="28">
        <f>IF(B86="","",IFERROR(SUMIF($B$6:$B$115,B86,$G$6:$G$115),0))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29">
        <f>IF(OR(D87="",F87=""),"",IFERROR(D87*F87,0))</f>
        <v/>
      </c>
      <c r="H87" s="7" t="n"/>
      <c r="I87" s="7" t="n"/>
      <c r="J87" s="7" t="n"/>
      <c r="K87" s="7" t="n"/>
      <c r="L87" s="7" t="n"/>
      <c r="M87" s="7">
        <f>IF(B87="","",IFERROR(VLOOKUP(B87,'F01 - _Données Expatriés'!$A$6:$K$20,2,FALSE)&amp;" "&amp;VLOOKUP(B87,'F01 - _Données Expatriés'!$A$6:$K$20,3,FALSE),""))</f>
        <v/>
      </c>
      <c r="N87" s="29">
        <f>IF(B87="","",IFERROR(SUMIF($B$6:$B$115,B87,$G$6:$G$115),0))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28">
        <f>IF(OR(D88="",F88=""),"",IFERROR(D88*F88,0))</f>
        <v/>
      </c>
      <c r="H88" s="5" t="n"/>
      <c r="I88" s="5" t="n"/>
      <c r="J88" s="5" t="n"/>
      <c r="K88" s="5" t="n"/>
      <c r="L88" s="5" t="n"/>
      <c r="M88" s="5">
        <f>IF(B88="","",IFERROR(VLOOKUP(B88,'F01 - _Données Expatriés'!$A$6:$K$20,2,FALSE)&amp;" "&amp;VLOOKUP(B88,'F01 - _Données Expatriés'!$A$6:$K$20,3,FALSE),""))</f>
        <v/>
      </c>
      <c r="N88" s="28">
        <f>IF(B88="","",IFERROR(SUMIF($B$6:$B$115,B88,$G$6:$G$115),0))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29">
        <f>IF(OR(D89="",F89=""),"",IFERROR(D89*F89,0))</f>
        <v/>
      </c>
      <c r="H89" s="7" t="n"/>
      <c r="I89" s="7" t="n"/>
      <c r="J89" s="7" t="n"/>
      <c r="K89" s="7" t="n"/>
      <c r="L89" s="7" t="n"/>
      <c r="M89" s="7">
        <f>IF(B89="","",IFERROR(VLOOKUP(B89,'F01 - _Données Expatriés'!$A$6:$K$20,2,FALSE)&amp;" "&amp;VLOOKUP(B89,'F01 - _Données Expatriés'!$A$6:$K$20,3,FALSE),""))</f>
        <v/>
      </c>
      <c r="N89" s="29">
        <f>IF(B89="","",IFERROR(SUMIF($B$6:$B$115,B89,$G$6:$G$115),0))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28">
        <f>IF(OR(D90="",F90=""),"",IFERROR(D90*F90,0))</f>
        <v/>
      </c>
      <c r="H90" s="5" t="n"/>
      <c r="I90" s="5" t="n"/>
      <c r="J90" s="5" t="n"/>
      <c r="K90" s="5" t="n"/>
      <c r="L90" s="5" t="n"/>
      <c r="M90" s="5">
        <f>IF(B90="","",IFERROR(VLOOKUP(B90,'F01 - _Données Expatriés'!$A$6:$K$20,2,FALSE)&amp;" "&amp;VLOOKUP(B90,'F01 - _Données Expatriés'!$A$6:$K$20,3,FALSE),""))</f>
        <v/>
      </c>
      <c r="N90" s="28">
        <f>IF(B90="","",IFERROR(SUMIF($B$6:$B$115,B90,$G$6:$G$115),0))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29">
        <f>IF(OR(D91="",F91=""),"",IFERROR(D91*F91,0))</f>
        <v/>
      </c>
      <c r="H91" s="7" t="n"/>
      <c r="I91" s="7" t="n"/>
      <c r="J91" s="7" t="n"/>
      <c r="K91" s="7" t="n"/>
      <c r="L91" s="7" t="n"/>
      <c r="M91" s="7">
        <f>IF(B91="","",IFERROR(VLOOKUP(B91,'F01 - _Données Expatriés'!$A$6:$K$20,2,FALSE)&amp;" "&amp;VLOOKUP(B91,'F01 - _Données Expatriés'!$A$6:$K$20,3,FALSE),""))</f>
        <v/>
      </c>
      <c r="N91" s="29">
        <f>IF(B91="","",IFERROR(SUMIF($B$6:$B$115,B91,$G$6:$G$115),0))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28">
        <f>IF(OR(D92="",F92=""),"",IFERROR(D92*F92,0))</f>
        <v/>
      </c>
      <c r="H92" s="5" t="n"/>
      <c r="I92" s="5" t="n"/>
      <c r="J92" s="5" t="n"/>
      <c r="K92" s="5" t="n"/>
      <c r="L92" s="5" t="n"/>
      <c r="M92" s="5">
        <f>IF(B92="","",IFERROR(VLOOKUP(B92,'F01 - _Données Expatriés'!$A$6:$K$20,2,FALSE)&amp;" "&amp;VLOOKUP(B92,'F01 - _Données Expatriés'!$A$6:$K$20,3,FALSE),""))</f>
        <v/>
      </c>
      <c r="N92" s="28">
        <f>IF(B92="","",IFERROR(SUMIF($B$6:$B$115,B92,$G$6:$G$115),0))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29">
        <f>IF(OR(D93="",F93=""),"",IFERROR(D93*F93,0))</f>
        <v/>
      </c>
      <c r="H93" s="7" t="n"/>
      <c r="I93" s="7" t="n"/>
      <c r="J93" s="7" t="n"/>
      <c r="K93" s="7" t="n"/>
      <c r="L93" s="7" t="n"/>
      <c r="M93" s="7">
        <f>IF(B93="","",IFERROR(VLOOKUP(B93,'F01 - _Données Expatriés'!$A$6:$K$20,2,FALSE)&amp;" "&amp;VLOOKUP(B93,'F01 - _Données Expatriés'!$A$6:$K$20,3,FALSE),""))</f>
        <v/>
      </c>
      <c r="N93" s="29">
        <f>IF(B93="","",IFERROR(SUMIF($B$6:$B$115,B93,$G$6:$G$115),0))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28">
        <f>IF(OR(D94="",F94=""),"",IFERROR(D94*F94,0))</f>
        <v/>
      </c>
      <c r="H94" s="5" t="n"/>
      <c r="I94" s="5" t="n"/>
      <c r="J94" s="5" t="n"/>
      <c r="K94" s="5" t="n"/>
      <c r="L94" s="5" t="n"/>
      <c r="M94" s="5">
        <f>IF(B94="","",IFERROR(VLOOKUP(B94,'F01 - _Données Expatriés'!$A$6:$K$20,2,FALSE)&amp;" "&amp;VLOOKUP(B94,'F01 - _Données Expatriés'!$A$6:$K$20,3,FALSE),""))</f>
        <v/>
      </c>
      <c r="N94" s="28">
        <f>IF(B94="","",IFERROR(SUMIF($B$6:$B$115,B94,$G$6:$G$115),0))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29">
        <f>IF(OR(D95="",F95=""),"",IFERROR(D95*F95,0))</f>
        <v/>
      </c>
      <c r="H95" s="7" t="n"/>
      <c r="I95" s="7" t="n"/>
      <c r="J95" s="7" t="n"/>
      <c r="K95" s="7" t="n"/>
      <c r="L95" s="7" t="n"/>
      <c r="M95" s="7">
        <f>IF(B95="","",IFERROR(VLOOKUP(B95,'F01 - _Données Expatriés'!$A$6:$K$20,2,FALSE)&amp;" "&amp;VLOOKUP(B95,'F01 - _Données Expatriés'!$A$6:$K$20,3,FALSE),""))</f>
        <v/>
      </c>
      <c r="N95" s="29">
        <f>IF(B95="","",IFERROR(SUMIF($B$6:$B$115,B95,$G$6:$G$115),0))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28">
        <f>IF(OR(D96="",F96=""),"",IFERROR(D96*F96,0))</f>
        <v/>
      </c>
      <c r="H96" s="5" t="n"/>
      <c r="I96" s="5" t="n"/>
      <c r="J96" s="5" t="n"/>
      <c r="K96" s="5" t="n"/>
      <c r="L96" s="5" t="n"/>
      <c r="M96" s="5">
        <f>IF(B96="","",IFERROR(VLOOKUP(B96,'F01 - _Données Expatriés'!$A$6:$K$20,2,FALSE)&amp;" "&amp;VLOOKUP(B96,'F01 - _Données Expatriés'!$A$6:$K$20,3,FALSE),""))</f>
        <v/>
      </c>
      <c r="N96" s="28">
        <f>IF(B96="","",IFERROR(SUMIF($B$6:$B$115,B96,$G$6:$G$115),0))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29">
        <f>IF(OR(D97="",F97=""),"",IFERROR(D97*F97,0))</f>
        <v/>
      </c>
      <c r="H97" s="7" t="n"/>
      <c r="I97" s="7" t="n"/>
      <c r="J97" s="7" t="n"/>
      <c r="K97" s="7" t="n"/>
      <c r="L97" s="7" t="n"/>
      <c r="M97" s="7">
        <f>IF(B97="","",IFERROR(VLOOKUP(B97,'F01 - _Données Expatriés'!$A$6:$K$20,2,FALSE)&amp;" "&amp;VLOOKUP(B97,'F01 - _Données Expatriés'!$A$6:$K$20,3,FALSE),""))</f>
        <v/>
      </c>
      <c r="N97" s="29">
        <f>IF(B97="","",IFERROR(SUMIF($B$6:$B$115,B97,$G$6:$G$115),0))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28">
        <f>IF(OR(D98="",F98=""),"",IFERROR(D98*F98,0))</f>
        <v/>
      </c>
      <c r="H98" s="5" t="n"/>
      <c r="I98" s="5" t="n"/>
      <c r="J98" s="5" t="n"/>
      <c r="K98" s="5" t="n"/>
      <c r="L98" s="5" t="n"/>
      <c r="M98" s="5">
        <f>IF(B98="","",IFERROR(VLOOKUP(B98,'F01 - _Données Expatriés'!$A$6:$K$20,2,FALSE)&amp;" "&amp;VLOOKUP(B98,'F01 - _Données Expatriés'!$A$6:$K$20,3,FALSE),""))</f>
        <v/>
      </c>
      <c r="N98" s="28">
        <f>IF(B98="","",IFERROR(SUMIF($B$6:$B$115,B98,$G$6:$G$115),0))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29">
        <f>IF(OR(D99="",F99=""),"",IFERROR(D99*F99,0))</f>
        <v/>
      </c>
      <c r="H99" s="7" t="n"/>
      <c r="I99" s="7" t="n"/>
      <c r="J99" s="7" t="n"/>
      <c r="K99" s="7" t="n"/>
      <c r="L99" s="7" t="n"/>
      <c r="M99" s="7">
        <f>IF(B99="","",IFERROR(VLOOKUP(B99,'F01 - _Données Expatriés'!$A$6:$K$20,2,FALSE)&amp;" "&amp;VLOOKUP(B99,'F01 - _Données Expatriés'!$A$6:$K$20,3,FALSE),""))</f>
        <v/>
      </c>
      <c r="N99" s="29">
        <f>IF(B99="","",IFERROR(SUMIF($B$6:$B$115,B99,$G$6:$G$115),0))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28">
        <f>IF(OR(D100="",F100=""),"",IFERROR(D100*F100,0))</f>
        <v/>
      </c>
      <c r="H100" s="5" t="n"/>
      <c r="I100" s="5" t="n"/>
      <c r="J100" s="5" t="n"/>
      <c r="K100" s="5" t="n"/>
      <c r="L100" s="5" t="n"/>
      <c r="M100" s="5">
        <f>IF(B100="","",IFERROR(VLOOKUP(B100,'F01 - _Données Expatriés'!$A$6:$K$20,2,FALSE)&amp;" "&amp;VLOOKUP(B100,'F01 - _Données Expatriés'!$A$6:$K$20,3,FALSE),""))</f>
        <v/>
      </c>
      <c r="N100" s="28">
        <f>IF(B100="","",IFERROR(SUMIF($B$6:$B$115,B100,$G$6:$G$115),0))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29">
        <f>IF(OR(D101="",F101=""),"",IFERROR(D101*F101,0))</f>
        <v/>
      </c>
      <c r="H101" s="7" t="n"/>
      <c r="I101" s="7" t="n"/>
      <c r="J101" s="7" t="n"/>
      <c r="K101" s="7" t="n"/>
      <c r="L101" s="7" t="n"/>
      <c r="M101" s="7">
        <f>IF(B101="","",IFERROR(VLOOKUP(B101,'F01 - _Données Expatriés'!$A$6:$K$20,2,FALSE)&amp;" "&amp;VLOOKUP(B101,'F01 - _Données Expatriés'!$A$6:$K$20,3,FALSE),""))</f>
        <v/>
      </c>
      <c r="N101" s="29">
        <f>IF(B101="","",IFERROR(SUMIF($B$6:$B$115,B101,$G$6:$G$115),0))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28">
        <f>IF(OR(D102="",F102=""),"",IFERROR(D102*F102,0))</f>
        <v/>
      </c>
      <c r="H102" s="5" t="n"/>
      <c r="I102" s="5" t="n"/>
      <c r="J102" s="5" t="n"/>
      <c r="K102" s="5" t="n"/>
      <c r="L102" s="5" t="n"/>
      <c r="M102" s="5">
        <f>IF(B102="","",IFERROR(VLOOKUP(B102,'F01 - _Données Expatriés'!$A$6:$K$20,2,FALSE)&amp;" "&amp;VLOOKUP(B102,'F01 - _Données Expatriés'!$A$6:$K$20,3,FALSE),""))</f>
        <v/>
      </c>
      <c r="N102" s="28">
        <f>IF(B102="","",IFERROR(SUMIF($B$6:$B$115,B102,$G$6:$G$115),0))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29">
        <f>IF(OR(D103="",F103=""),"",IFERROR(D103*F103,0))</f>
        <v/>
      </c>
      <c r="H103" s="7" t="n"/>
      <c r="I103" s="7" t="n"/>
      <c r="J103" s="7" t="n"/>
      <c r="K103" s="7" t="n"/>
      <c r="L103" s="7" t="n"/>
      <c r="M103" s="7">
        <f>IF(B103="","",IFERROR(VLOOKUP(B103,'F01 - _Données Expatriés'!$A$6:$K$20,2,FALSE)&amp;" "&amp;VLOOKUP(B103,'F01 - _Données Expatriés'!$A$6:$K$20,3,FALSE),""))</f>
        <v/>
      </c>
      <c r="N103" s="29">
        <f>IF(B103="","",IFERROR(SUMIF($B$6:$B$115,B103,$G$6:$G$115),0))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28">
        <f>IF(OR(D104="",F104=""),"",IFERROR(D104*F104,0))</f>
        <v/>
      </c>
      <c r="H104" s="5" t="n"/>
      <c r="I104" s="5" t="n"/>
      <c r="J104" s="5" t="n"/>
      <c r="K104" s="5" t="n"/>
      <c r="L104" s="5" t="n"/>
      <c r="M104" s="5">
        <f>IF(B104="","",IFERROR(VLOOKUP(B104,'F01 - _Données Expatriés'!$A$6:$K$20,2,FALSE)&amp;" "&amp;VLOOKUP(B104,'F01 - _Données Expatriés'!$A$6:$K$20,3,FALSE),""))</f>
        <v/>
      </c>
      <c r="N104" s="28">
        <f>IF(B104="","",IFERROR(SUMIF($B$6:$B$115,B104,$G$6:$G$115),0))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29">
        <f>IF(OR(D105="",F105=""),"",IFERROR(D105*F105,0))</f>
        <v/>
      </c>
      <c r="H105" s="7" t="n"/>
      <c r="I105" s="7" t="n"/>
      <c r="J105" s="7" t="n"/>
      <c r="K105" s="7" t="n"/>
      <c r="L105" s="7" t="n"/>
      <c r="M105" s="7">
        <f>IF(B105="","",IFERROR(VLOOKUP(B105,'F01 - _Données Expatriés'!$A$6:$K$20,2,FALSE)&amp;" "&amp;VLOOKUP(B105,'F01 - _Données Expatriés'!$A$6:$K$20,3,FALSE),""))</f>
        <v/>
      </c>
      <c r="N105" s="29">
        <f>IF(B105="","",IFERROR(SUMIF($B$6:$B$115,B105,$G$6:$G$115),0))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28">
        <f>IF(OR(D106="",F106=""),"",IFERROR(D106*F106,0))</f>
        <v/>
      </c>
      <c r="H106" s="5" t="n"/>
      <c r="I106" s="5" t="n"/>
      <c r="J106" s="5" t="n"/>
      <c r="K106" s="5" t="n"/>
      <c r="L106" s="5" t="n"/>
      <c r="M106" s="5">
        <f>IF(B106="","",IFERROR(VLOOKUP(B106,'F01 - _Données Expatriés'!$A$6:$K$20,2,FALSE)&amp;" "&amp;VLOOKUP(B106,'F01 - _Données Expatriés'!$A$6:$K$20,3,FALSE),""))</f>
        <v/>
      </c>
      <c r="N106" s="28">
        <f>IF(B106="","",IFERROR(SUMIF($B$6:$B$115,B106,$G$6:$G$115),0))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29">
        <f>IF(OR(D107="",F107=""),"",IFERROR(D107*F107,0))</f>
        <v/>
      </c>
      <c r="H107" s="7" t="n"/>
      <c r="I107" s="7" t="n"/>
      <c r="J107" s="7" t="n"/>
      <c r="K107" s="7" t="n"/>
      <c r="L107" s="7" t="n"/>
      <c r="M107" s="7">
        <f>IF(B107="","",IFERROR(VLOOKUP(B107,'F01 - _Données Expatriés'!$A$6:$K$20,2,FALSE)&amp;" "&amp;VLOOKUP(B107,'F01 - _Données Expatriés'!$A$6:$K$20,3,FALSE),""))</f>
        <v/>
      </c>
      <c r="N107" s="29">
        <f>IF(B107="","",IFERROR(SUMIF($B$6:$B$115,B107,$G$6:$G$115),0))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28">
        <f>IF(OR(D108="",F108=""),"",IFERROR(D108*F108,0))</f>
        <v/>
      </c>
      <c r="H108" s="5" t="n"/>
      <c r="I108" s="5" t="n"/>
      <c r="J108" s="5" t="n"/>
      <c r="K108" s="5" t="n"/>
      <c r="L108" s="5" t="n"/>
      <c r="M108" s="5">
        <f>IF(B108="","",IFERROR(VLOOKUP(B108,'F01 - _Données Expatriés'!$A$6:$K$20,2,FALSE)&amp;" "&amp;VLOOKUP(B108,'F01 - _Données Expatriés'!$A$6:$K$20,3,FALSE),""))</f>
        <v/>
      </c>
      <c r="N108" s="28">
        <f>IF(B108="","",IFERROR(SUMIF($B$6:$B$115,B108,$G$6:$G$115),0))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29">
        <f>IF(OR(D109="",F109=""),"",IFERROR(D109*F109,0))</f>
        <v/>
      </c>
      <c r="H109" s="7" t="n"/>
      <c r="I109" s="7" t="n"/>
      <c r="J109" s="7" t="n"/>
      <c r="K109" s="7" t="n"/>
      <c r="L109" s="7" t="n"/>
      <c r="M109" s="7">
        <f>IF(B109="","",IFERROR(VLOOKUP(B109,'F01 - _Données Expatriés'!$A$6:$K$20,2,FALSE)&amp;" "&amp;VLOOKUP(B109,'F01 - _Données Expatriés'!$A$6:$K$20,3,FALSE),""))</f>
        <v/>
      </c>
      <c r="N109" s="29">
        <f>IF(B109="","",IFERROR(SUMIF($B$6:$B$115,B109,$G$6:$G$115),0))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28">
        <f>IF(OR(D110="",F110=""),"",IFERROR(D110*F110,0))</f>
        <v/>
      </c>
      <c r="H110" s="5" t="n"/>
      <c r="I110" s="5" t="n"/>
      <c r="J110" s="5" t="n"/>
      <c r="K110" s="5" t="n"/>
      <c r="L110" s="5" t="n"/>
      <c r="M110" s="5">
        <f>IF(B110="","",IFERROR(VLOOKUP(B110,'F01 - _Données Expatriés'!$A$6:$K$20,2,FALSE)&amp;" "&amp;VLOOKUP(B110,'F01 - _Données Expatriés'!$A$6:$K$20,3,FALSE),""))</f>
        <v/>
      </c>
      <c r="N110" s="28">
        <f>IF(B110="","",IFERROR(SUMIF($B$6:$B$115,B110,$G$6:$G$115),0))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29">
        <f>IF(OR(D111="",F111=""),"",IFERROR(D111*F111,0))</f>
        <v/>
      </c>
      <c r="H111" s="7" t="n"/>
      <c r="I111" s="7" t="n"/>
      <c r="J111" s="7" t="n"/>
      <c r="K111" s="7" t="n"/>
      <c r="L111" s="7" t="n"/>
      <c r="M111" s="7">
        <f>IF(B111="","",IFERROR(VLOOKUP(B111,'F01 - _Données Expatriés'!$A$6:$K$20,2,FALSE)&amp;" "&amp;VLOOKUP(B111,'F01 - _Données Expatriés'!$A$6:$K$20,3,FALSE),""))</f>
        <v/>
      </c>
      <c r="N111" s="29">
        <f>IF(B111="","",IFERROR(SUMIF($B$6:$B$115,B111,$G$6:$G$115),0))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28">
        <f>IF(OR(D112="",F112=""),"",IFERROR(D112*F112,0))</f>
        <v/>
      </c>
      <c r="H112" s="5" t="n"/>
      <c r="I112" s="5" t="n"/>
      <c r="J112" s="5" t="n"/>
      <c r="K112" s="5" t="n"/>
      <c r="L112" s="5" t="n"/>
      <c r="M112" s="5">
        <f>IF(B112="","",IFERROR(VLOOKUP(B112,'F01 - _Données Expatriés'!$A$6:$K$20,2,FALSE)&amp;" "&amp;VLOOKUP(B112,'F01 - _Données Expatriés'!$A$6:$K$20,3,FALSE),""))</f>
        <v/>
      </c>
      <c r="N112" s="28">
        <f>IF(B112="","",IFERROR(SUMIF($B$6:$B$115,B112,$G$6:$G$115),0))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29">
        <f>IF(OR(D113="",F113=""),"",IFERROR(D113*F113,0))</f>
        <v/>
      </c>
      <c r="H113" s="7" t="n"/>
      <c r="I113" s="7" t="n"/>
      <c r="J113" s="7" t="n"/>
      <c r="K113" s="7" t="n"/>
      <c r="L113" s="7" t="n"/>
      <c r="M113" s="7">
        <f>IF(B113="","",IFERROR(VLOOKUP(B113,'F01 - _Données Expatriés'!$A$6:$K$20,2,FALSE)&amp;" "&amp;VLOOKUP(B113,'F01 - _Données Expatriés'!$A$6:$K$20,3,FALSE),""))</f>
        <v/>
      </c>
      <c r="N113" s="29">
        <f>IF(B113="","",IFERROR(SUMIF($B$6:$B$115,B113,$G$6:$G$115),0))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28">
        <f>IF(OR(D114="",F114=""),"",IFERROR(D114*F114,0))</f>
        <v/>
      </c>
      <c r="H114" s="5" t="n"/>
      <c r="I114" s="5" t="n"/>
      <c r="J114" s="5" t="n"/>
      <c r="K114" s="5" t="n"/>
      <c r="L114" s="5" t="n"/>
      <c r="M114" s="5">
        <f>IF(B114="","",IFERROR(VLOOKUP(B114,'F01 - _Données Expatriés'!$A$6:$K$20,2,FALSE)&amp;" "&amp;VLOOKUP(B114,'F01 - _Données Expatriés'!$A$6:$K$20,3,FALSE),""))</f>
        <v/>
      </c>
      <c r="N114" s="28">
        <f>IF(B114="","",IFERROR(SUMIF($B$6:$B$115,B114,$G$6:$G$115),0))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29">
        <f>IF(OR(D115="",F115=""),"",IFERROR(D115*F115,0))</f>
        <v/>
      </c>
      <c r="H115" s="7" t="n"/>
      <c r="I115" s="7" t="n"/>
      <c r="J115" s="7" t="n"/>
      <c r="K115" s="7" t="n"/>
      <c r="L115" s="7" t="n"/>
      <c r="M115" s="7">
        <f>IF(B115="","",IFERROR(VLOOKUP(B115,'F01 - _Données Expatriés'!$A$6:$K$20,2,FALSE)&amp;" "&amp;VLOOKUP(B115,'F01 - _Données Expatriés'!$A$6:$K$20,3,FALSE),""))</f>
        <v/>
      </c>
      <c r="N115" s="29">
        <f>IF(B115="","",IFERROR(SUMIF($B$6:$B$115,B115,$G$6:$G$115),0))</f>
        <v/>
      </c>
    </row>
  </sheetData>
  <mergeCells count="2">
    <mergeCell ref="A3:N3"/>
    <mergeCell ref="A2:N2"/>
  </mergeCells>
  <dataValidations count="4">
    <dataValidation sqref="C6:C115" showDropDown="0" showInputMessage="0" showErrorMessage="0" allowBlank="1" errorTitle="Erreur" error="Valeur invalide" promptTitle="" prompt="Choisir dans la liste: " type="list">
      <formula1>'F02 - _Lists'!$AA$6:$AA$13</formula1>
    </dataValidation>
    <dataValidation sqref="E6:E115" showDropDown="0" showInputMessage="0" showErrorMessage="0" allowBlank="1" errorTitle="Erreur" error="Valeur invalide" promptTitle="" prompt="Choisir dans la liste: " type="list">
      <formula1>'F02 - _Lists'!$M$6:$M$15</formula1>
    </dataValidation>
    <dataValidation sqref="I6:I115" showDropDown="0" showInputMessage="0" showErrorMessage="0" allowBlank="1" errorTitle="Erreur" error="Valeur invalide" promptTitle="" prompt="Choisir dans la liste: " type="list">
      <formula1>'F02 - _Lists'!$S$6:$S$10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_Lists'!$Z$6:$Z$9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2" customWidth="1" min="4" max="4"/>
    <col width="22" customWidth="1" min="5" max="5"/>
    <col width="16" customWidth="1" min="6" max="6"/>
    <col width="20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28" customWidth="1" min="13" max="13"/>
    <col width="14" customWidth="1" min="14" max="14"/>
  </cols>
  <sheetData>
    <row r="1" ht="8" customHeight="1"/>
    <row r="2" ht="30" customHeight="1">
      <c r="A2" s="1" t="inlineStr">
        <is>
          <t>5-LOGEMENT EXPATRIÉS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Logement</t>
        </is>
      </c>
      <c r="B5" s="4" t="inlineStr">
        <is>
          <t>Matricule Expat.</t>
        </is>
      </c>
      <c r="C5" s="4" t="inlineStr">
        <is>
          <t>Type Logement</t>
        </is>
      </c>
      <c r="D5" s="4" t="inlineStr">
        <is>
          <t>Quartier</t>
        </is>
      </c>
      <c r="E5" s="4" t="inlineStr">
        <is>
          <t>Loyer Mensuel (FCFA)</t>
        </is>
      </c>
      <c r="F5" s="4" t="inlineStr">
        <is>
          <t>Charges (FCFA)</t>
        </is>
      </c>
      <c r="G5" s="4" t="inlineStr">
        <is>
          <t>Coût Total (FCFA)</t>
        </is>
      </c>
      <c r="H5" s="4" t="inlineStr">
        <is>
          <t>Surface (m²)</t>
        </is>
      </c>
      <c r="I5" s="4" t="inlineStr">
        <is>
          <t>Nb Chambres</t>
        </is>
      </c>
      <c r="J5" s="4" t="inlineStr">
        <is>
          <t>Meublé</t>
        </is>
      </c>
      <c r="K5" s="4" t="inlineStr">
        <is>
          <t>Date Entrée</t>
        </is>
      </c>
      <c r="L5" s="4" t="inlineStr">
        <is>
          <t>Date Sortie</t>
        </is>
      </c>
      <c r="M5" s="4" t="inlineStr">
        <is>
          <t>Observations</t>
        </is>
      </c>
      <c r="N5" s="4" t="inlineStr"/>
    </row>
    <row r="6" ht="22" customHeight="1">
      <c r="A6" s="5" t="inlineStr">
        <is>
          <t>LOG-001</t>
        </is>
      </c>
      <c r="B6" s="5" t="inlineStr">
        <is>
          <t>EXP-001</t>
        </is>
      </c>
      <c r="C6" s="5" t="inlineStr">
        <is>
          <t>Fourni - Villa</t>
        </is>
      </c>
      <c r="D6" s="5" t="inlineStr">
        <is>
          <t>Cocody Riviera</t>
        </is>
      </c>
      <c r="E6" s="25" t="n">
        <v>1200000</v>
      </c>
      <c r="F6" s="25" t="n">
        <v>150000</v>
      </c>
      <c r="G6" s="28">
        <f>IF(OR(E6="",F6=""),"",E6+F6)</f>
        <v/>
      </c>
      <c r="H6" s="25" t="n">
        <v>250</v>
      </c>
      <c r="I6" s="25" t="n">
        <v>4</v>
      </c>
      <c r="J6" s="5" t="inlineStr">
        <is>
          <t>Oui</t>
        </is>
      </c>
      <c r="K6" s="22" t="n">
        <v>44941</v>
      </c>
      <c r="L6" s="5" t="n"/>
      <c r="M6" s="5">
        <f>IF(B6="","",IFERROR(VLOOKUP(B6,'F01 - _Données Expatriés'!$A$6:$K$20,2,FALSE)&amp;" "&amp;VLOOKUP(B6,'F01 - _Données Expatriés'!$A$6:$K$20,3,FALSE),""))</f>
        <v/>
      </c>
      <c r="N6" s="28">
        <f>IF(C6="","",IFERROR(AVERAGEIF($C$6:$C$115,C6,$E$6:$E$115),0))</f>
        <v/>
      </c>
    </row>
    <row r="7" ht="22" customHeight="1">
      <c r="A7" s="7" t="inlineStr">
        <is>
          <t>LOG-002</t>
        </is>
      </c>
      <c r="B7" s="7" t="inlineStr">
        <is>
          <t>EXP-002</t>
        </is>
      </c>
      <c r="C7" s="7" t="inlineStr">
        <is>
          <t>Fourni - Appartement</t>
        </is>
      </c>
      <c r="D7" s="7" t="inlineStr">
        <is>
          <t>Plateau</t>
        </is>
      </c>
      <c r="E7" s="27" t="n">
        <v>800000</v>
      </c>
      <c r="F7" s="27" t="n">
        <v>100000</v>
      </c>
      <c r="G7" s="29">
        <f>IF(OR(E7="",F7=""),"",E7+F7)</f>
        <v/>
      </c>
      <c r="H7" s="27" t="n">
        <v>150</v>
      </c>
      <c r="I7" s="27" t="n">
        <v>3</v>
      </c>
      <c r="J7" s="7" t="inlineStr">
        <is>
          <t>Oui</t>
        </is>
      </c>
      <c r="K7" s="23" t="n">
        <v>45352</v>
      </c>
      <c r="L7" s="7" t="n"/>
      <c r="M7" s="7">
        <f>IF(B7="","",IFERROR(VLOOKUP(B7,'F01 - _Données Expatriés'!$A$6:$K$20,2,FALSE)&amp;" "&amp;VLOOKUP(B7,'F01 - _Données Expatriés'!$A$6:$K$20,3,FALSE),""))</f>
        <v/>
      </c>
      <c r="N7" s="29">
        <f>IF(C7="","",IFERROR(AVERAGEIF($C$6:$C$115,C7,$E$6:$E$115),0))</f>
        <v/>
      </c>
    </row>
    <row r="8" ht="22" customHeight="1">
      <c r="A8" s="5" t="inlineStr">
        <is>
          <t>LOG-003</t>
        </is>
      </c>
      <c r="B8" s="5" t="inlineStr">
        <is>
          <t>EXP-003</t>
        </is>
      </c>
      <c r="C8" s="5" t="inlineStr">
        <is>
          <t>Fourni - Villa</t>
        </is>
      </c>
      <c r="D8" s="5" t="inlineStr">
        <is>
          <t>Cocody Palmeraie</t>
        </is>
      </c>
      <c r="E8" s="25" t="n">
        <v>1500000</v>
      </c>
      <c r="F8" s="25" t="n">
        <v>200000</v>
      </c>
      <c r="G8" s="28">
        <f>IF(OR(E8="",F8=""),"",E8+F8)</f>
        <v/>
      </c>
      <c r="H8" s="25" t="n">
        <v>300</v>
      </c>
      <c r="I8" s="25" t="n">
        <v>5</v>
      </c>
      <c r="J8" s="5" t="inlineStr">
        <is>
          <t>Oui</t>
        </is>
      </c>
      <c r="K8" s="22" t="n">
        <v>44713</v>
      </c>
      <c r="L8" s="5" t="n"/>
      <c r="M8" s="5">
        <f>IF(B8="","",IFERROR(VLOOKUP(B8,'F01 - _Données Expatriés'!$A$6:$K$20,2,FALSE)&amp;" "&amp;VLOOKUP(B8,'F01 - _Données Expatriés'!$A$6:$K$20,3,FALSE),""))</f>
        <v/>
      </c>
      <c r="N8" s="28">
        <f>IF(C8="","",IFERROR(AVERAGEIF($C$6:$C$115,C8,$E$6:$E$115),0))</f>
        <v/>
      </c>
    </row>
    <row r="9" ht="22" customHeight="1">
      <c r="A9" s="7" t="inlineStr">
        <is>
          <t>LOG-004</t>
        </is>
      </c>
      <c r="B9" s="7" t="inlineStr">
        <is>
          <t>EXP-004</t>
        </is>
      </c>
      <c r="C9" s="7" t="inlineStr">
        <is>
          <t>Indemnité logement</t>
        </is>
      </c>
      <c r="D9" s="7" t="inlineStr">
        <is>
          <t>Marcory</t>
        </is>
      </c>
      <c r="E9" s="27" t="n">
        <v>0</v>
      </c>
      <c r="F9" s="27" t="n">
        <v>0</v>
      </c>
      <c r="G9" s="29">
        <f>IF(OR(E9="",F9=""),"",E9+F9)</f>
        <v/>
      </c>
      <c r="H9" s="27" t="n">
        <v>0</v>
      </c>
      <c r="I9" s="27" t="n">
        <v>0</v>
      </c>
      <c r="J9" s="7" t="inlineStr">
        <is>
          <t>N/A</t>
        </is>
      </c>
      <c r="K9" s="7" t="n"/>
      <c r="L9" s="7" t="n"/>
      <c r="M9" s="7">
        <f>IF(B9="","",IFERROR(VLOOKUP(B9,'F01 - _Données Expatriés'!$A$6:$K$20,2,FALSE)&amp;" "&amp;VLOOKUP(B9,'F01 - _Données Expatriés'!$A$6:$K$20,3,FALSE),""))</f>
        <v/>
      </c>
      <c r="N9" s="29">
        <f>IF(C9="","",IFERROR(AVERAGEIF($C$6:$C$115,C9,$E$6:$E$115),0))</f>
        <v/>
      </c>
    </row>
    <row r="10" ht="22" customHeight="1">
      <c r="A10" s="5" t="inlineStr">
        <is>
          <t>LOG-005</t>
        </is>
      </c>
      <c r="B10" s="5" t="inlineStr">
        <is>
          <t>EXP-005</t>
        </is>
      </c>
      <c r="C10" s="5" t="inlineStr">
        <is>
          <t>Fourni - Appartement</t>
        </is>
      </c>
      <c r="D10" s="5" t="inlineStr">
        <is>
          <t>Zone 4</t>
        </is>
      </c>
      <c r="E10" s="25" t="n">
        <v>600000</v>
      </c>
      <c r="F10" s="25" t="n">
        <v>80000</v>
      </c>
      <c r="G10" s="28">
        <f>IF(OR(E10="",F10=""),"",E10+F10)</f>
        <v/>
      </c>
      <c r="H10" s="25" t="n">
        <v>120</v>
      </c>
      <c r="I10" s="25" t="n">
        <v>2</v>
      </c>
      <c r="J10" s="5" t="inlineStr">
        <is>
          <t>Oui</t>
        </is>
      </c>
      <c r="K10" s="22" t="n">
        <v>45292</v>
      </c>
      <c r="L10" s="5" t="n"/>
      <c r="M10" s="5">
        <f>IF(B10="","",IFERROR(VLOOKUP(B10,'F01 - _Données Expatriés'!$A$6:$K$20,2,FALSE)&amp;" "&amp;VLOOKUP(B10,'F01 - _Données Expatriés'!$A$6:$K$20,3,FALSE),""))</f>
        <v/>
      </c>
      <c r="N10" s="28">
        <f>IF(C10="","",IFERROR(AVERAGEIF($C$6:$C$115,C10,$E$6:$E$115),0))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29">
        <f>IF(OR(E11="",F11=""),"",E11+F11)</f>
        <v/>
      </c>
      <c r="H11" s="7" t="n"/>
      <c r="I11" s="7" t="n"/>
      <c r="J11" s="7" t="n"/>
      <c r="K11" s="7" t="n"/>
      <c r="L11" s="7" t="n"/>
      <c r="M11" s="7">
        <f>IF(B11="","",IFERROR(VLOOKUP(B11,'F01 - _Données Expatriés'!$A$6:$K$20,2,FALSE)&amp;" "&amp;VLOOKUP(B11,'F01 - _Données Expatriés'!$A$6:$K$20,3,FALSE),""))</f>
        <v/>
      </c>
      <c r="N11" s="29">
        <f>IF(C11="","",IFERROR(AVERAGEIF($C$6:$C$115,C11,$E$6:$E$115),0))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28">
        <f>IF(OR(E12="",F12=""),"",E12+F12)</f>
        <v/>
      </c>
      <c r="H12" s="5" t="n"/>
      <c r="I12" s="5" t="n"/>
      <c r="J12" s="5" t="n"/>
      <c r="K12" s="5" t="n"/>
      <c r="L12" s="5" t="n"/>
      <c r="M12" s="5">
        <f>IF(B12="","",IFERROR(VLOOKUP(B12,'F01 - _Données Expatriés'!$A$6:$K$20,2,FALSE)&amp;" "&amp;VLOOKUP(B12,'F01 - _Données Expatriés'!$A$6:$K$20,3,FALSE),""))</f>
        <v/>
      </c>
      <c r="N12" s="28">
        <f>IF(C12="","",IFERROR(AVERAGEIF($C$6:$C$115,C12,$E$6:$E$115),0))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29">
        <f>IF(OR(E13="",F13=""),"",E13+F13)</f>
        <v/>
      </c>
      <c r="H13" s="7" t="n"/>
      <c r="I13" s="7" t="n"/>
      <c r="J13" s="7" t="n"/>
      <c r="K13" s="7" t="n"/>
      <c r="L13" s="7" t="n"/>
      <c r="M13" s="7">
        <f>IF(B13="","",IFERROR(VLOOKUP(B13,'F01 - _Données Expatriés'!$A$6:$K$20,2,FALSE)&amp;" "&amp;VLOOKUP(B13,'F01 - _Données Expatriés'!$A$6:$K$20,3,FALSE),""))</f>
        <v/>
      </c>
      <c r="N13" s="29">
        <f>IF(C13="","",IFERROR(AVERAGEIF($C$6:$C$115,C13,$E$6:$E$115),0))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28">
        <f>IF(OR(E14="",F14=""),"",E14+F14)</f>
        <v/>
      </c>
      <c r="H14" s="5" t="n"/>
      <c r="I14" s="5" t="n"/>
      <c r="J14" s="5" t="n"/>
      <c r="K14" s="5" t="n"/>
      <c r="L14" s="5" t="n"/>
      <c r="M14" s="5">
        <f>IF(B14="","",IFERROR(VLOOKUP(B14,'F01 - _Données Expatriés'!$A$6:$K$20,2,FALSE)&amp;" "&amp;VLOOKUP(B14,'F01 - _Données Expatriés'!$A$6:$K$20,3,FALSE),""))</f>
        <v/>
      </c>
      <c r="N14" s="28">
        <f>IF(C14="","",IFERROR(AVERAGEIF($C$6:$C$115,C14,$E$6:$E$115),0))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29">
        <f>IF(OR(E15="",F15=""),"",E15+F15)</f>
        <v/>
      </c>
      <c r="H15" s="7" t="n"/>
      <c r="I15" s="7" t="n"/>
      <c r="J15" s="7" t="n"/>
      <c r="K15" s="7" t="n"/>
      <c r="L15" s="7" t="n"/>
      <c r="M15" s="7">
        <f>IF(B15="","",IFERROR(VLOOKUP(B15,'F01 - _Données Expatriés'!$A$6:$K$20,2,FALSE)&amp;" "&amp;VLOOKUP(B15,'F01 - _Données Expatriés'!$A$6:$K$20,3,FALSE),""))</f>
        <v/>
      </c>
      <c r="N15" s="29">
        <f>IF(C15="","",IFERROR(AVERAGEIF($C$6:$C$115,C15,$E$6:$E$115),0))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28">
        <f>IF(OR(E16="",F16=""),"",E16+F16)</f>
        <v/>
      </c>
      <c r="H16" s="5" t="n"/>
      <c r="I16" s="5" t="n"/>
      <c r="J16" s="5" t="n"/>
      <c r="K16" s="5" t="n"/>
      <c r="L16" s="5" t="n"/>
      <c r="M16" s="5">
        <f>IF(B16="","",IFERROR(VLOOKUP(B16,'F01 - _Données Expatriés'!$A$6:$K$20,2,FALSE)&amp;" "&amp;VLOOKUP(B16,'F01 - _Données Expatriés'!$A$6:$K$20,3,FALSE),""))</f>
        <v/>
      </c>
      <c r="N16" s="28">
        <f>IF(C16="","",IFERROR(AVERAGEIF($C$6:$C$115,C16,$E$6:$E$115),0))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29">
        <f>IF(OR(E17="",F17=""),"",E17+F17)</f>
        <v/>
      </c>
      <c r="H17" s="7" t="n"/>
      <c r="I17" s="7" t="n"/>
      <c r="J17" s="7" t="n"/>
      <c r="K17" s="7" t="n"/>
      <c r="L17" s="7" t="n"/>
      <c r="M17" s="7">
        <f>IF(B17="","",IFERROR(VLOOKUP(B17,'F01 - _Données Expatriés'!$A$6:$K$20,2,FALSE)&amp;" "&amp;VLOOKUP(B17,'F01 - _Données Expatriés'!$A$6:$K$20,3,FALSE),""))</f>
        <v/>
      </c>
      <c r="N17" s="29">
        <f>IF(C17="","",IFERROR(AVERAGEIF($C$6:$C$115,C17,$E$6:$E$115),0))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28">
        <f>IF(OR(E18="",F18=""),"",E18+F18)</f>
        <v/>
      </c>
      <c r="H18" s="5" t="n"/>
      <c r="I18" s="5" t="n"/>
      <c r="J18" s="5" t="n"/>
      <c r="K18" s="5" t="n"/>
      <c r="L18" s="5" t="n"/>
      <c r="M18" s="5">
        <f>IF(B18="","",IFERROR(VLOOKUP(B18,'F01 - _Données Expatriés'!$A$6:$K$20,2,FALSE)&amp;" "&amp;VLOOKUP(B18,'F01 - _Données Expatriés'!$A$6:$K$20,3,FALSE),""))</f>
        <v/>
      </c>
      <c r="N18" s="28">
        <f>IF(C18="","",IFERROR(AVERAGEIF($C$6:$C$115,C18,$E$6:$E$115),0))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29">
        <f>IF(OR(E19="",F19=""),"",E19+F19)</f>
        <v/>
      </c>
      <c r="H19" s="7" t="n"/>
      <c r="I19" s="7" t="n"/>
      <c r="J19" s="7" t="n"/>
      <c r="K19" s="7" t="n"/>
      <c r="L19" s="7" t="n"/>
      <c r="M19" s="7">
        <f>IF(B19="","",IFERROR(VLOOKUP(B19,'F01 - _Données Expatriés'!$A$6:$K$20,2,FALSE)&amp;" "&amp;VLOOKUP(B19,'F01 - _Données Expatriés'!$A$6:$K$20,3,FALSE),""))</f>
        <v/>
      </c>
      <c r="N19" s="29">
        <f>IF(C19="","",IFERROR(AVERAGEIF($C$6:$C$115,C19,$E$6:$E$115),0))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28">
        <f>IF(OR(E20="",F20=""),"",E20+F20)</f>
        <v/>
      </c>
      <c r="H20" s="5" t="n"/>
      <c r="I20" s="5" t="n"/>
      <c r="J20" s="5" t="n"/>
      <c r="K20" s="5" t="n"/>
      <c r="L20" s="5" t="n"/>
      <c r="M20" s="5">
        <f>IF(B20="","",IFERROR(VLOOKUP(B20,'F01 - _Données Expatriés'!$A$6:$K$20,2,FALSE)&amp;" "&amp;VLOOKUP(B20,'F01 - _Données Expatriés'!$A$6:$K$20,3,FALSE),""))</f>
        <v/>
      </c>
      <c r="N20" s="28">
        <f>IF(C20="","",IFERROR(AVERAGEIF($C$6:$C$115,C20,$E$6:$E$115),0))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29">
        <f>IF(OR(E21="",F21=""),"",E21+F21)</f>
        <v/>
      </c>
      <c r="H21" s="7" t="n"/>
      <c r="I21" s="7" t="n"/>
      <c r="J21" s="7" t="n"/>
      <c r="K21" s="7" t="n"/>
      <c r="L21" s="7" t="n"/>
      <c r="M21" s="7">
        <f>IF(B21="","",IFERROR(VLOOKUP(B21,'F01 - _Données Expatriés'!$A$6:$K$20,2,FALSE)&amp;" "&amp;VLOOKUP(B21,'F01 - _Données Expatriés'!$A$6:$K$20,3,FALSE),""))</f>
        <v/>
      </c>
      <c r="N21" s="29">
        <f>IF(C21="","",IFERROR(AVERAGEIF($C$6:$C$115,C21,$E$6:$E$115),0))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28">
        <f>IF(OR(E22="",F22=""),"",E22+F22)</f>
        <v/>
      </c>
      <c r="H22" s="5" t="n"/>
      <c r="I22" s="5" t="n"/>
      <c r="J22" s="5" t="n"/>
      <c r="K22" s="5" t="n"/>
      <c r="L22" s="5" t="n"/>
      <c r="M22" s="5">
        <f>IF(B22="","",IFERROR(VLOOKUP(B22,'F01 - _Données Expatriés'!$A$6:$K$20,2,FALSE)&amp;" "&amp;VLOOKUP(B22,'F01 - _Données Expatriés'!$A$6:$K$20,3,FALSE),""))</f>
        <v/>
      </c>
      <c r="N22" s="28">
        <f>IF(C22="","",IFERROR(AVERAGEIF($C$6:$C$115,C22,$E$6:$E$115),0))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29">
        <f>IF(OR(E23="",F23=""),"",E23+F23)</f>
        <v/>
      </c>
      <c r="H23" s="7" t="n"/>
      <c r="I23" s="7" t="n"/>
      <c r="J23" s="7" t="n"/>
      <c r="K23" s="7" t="n"/>
      <c r="L23" s="7" t="n"/>
      <c r="M23" s="7">
        <f>IF(B23="","",IFERROR(VLOOKUP(B23,'F01 - _Données Expatriés'!$A$6:$K$20,2,FALSE)&amp;" "&amp;VLOOKUP(B23,'F01 - _Données Expatriés'!$A$6:$K$20,3,FALSE),""))</f>
        <v/>
      </c>
      <c r="N23" s="29">
        <f>IF(C23="","",IFERROR(AVERAGEIF($C$6:$C$115,C23,$E$6:$E$115),0))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28">
        <f>IF(OR(E24="",F24=""),"",E24+F24)</f>
        <v/>
      </c>
      <c r="H24" s="5" t="n"/>
      <c r="I24" s="5" t="n"/>
      <c r="J24" s="5" t="n"/>
      <c r="K24" s="5" t="n"/>
      <c r="L24" s="5" t="n"/>
      <c r="M24" s="5">
        <f>IF(B24="","",IFERROR(VLOOKUP(B24,'F01 - _Données Expatriés'!$A$6:$K$20,2,FALSE)&amp;" "&amp;VLOOKUP(B24,'F01 - _Données Expatriés'!$A$6:$K$20,3,FALSE),""))</f>
        <v/>
      </c>
      <c r="N24" s="28">
        <f>IF(C24="","",IFERROR(AVERAGEIF($C$6:$C$115,C24,$E$6:$E$115),0))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29">
        <f>IF(OR(E25="",F25=""),"",E25+F25)</f>
        <v/>
      </c>
      <c r="H25" s="7" t="n"/>
      <c r="I25" s="7" t="n"/>
      <c r="J25" s="7" t="n"/>
      <c r="K25" s="7" t="n"/>
      <c r="L25" s="7" t="n"/>
      <c r="M25" s="7">
        <f>IF(B25="","",IFERROR(VLOOKUP(B25,'F01 - _Données Expatriés'!$A$6:$K$20,2,FALSE)&amp;" "&amp;VLOOKUP(B25,'F01 - _Données Expatriés'!$A$6:$K$20,3,FALSE),""))</f>
        <v/>
      </c>
      <c r="N25" s="29">
        <f>IF(C25="","",IFERROR(AVERAGEIF($C$6:$C$115,C25,$E$6:$E$115),0))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28">
        <f>IF(OR(E26="",F26=""),"",E26+F26)</f>
        <v/>
      </c>
      <c r="H26" s="5" t="n"/>
      <c r="I26" s="5" t="n"/>
      <c r="J26" s="5" t="n"/>
      <c r="K26" s="5" t="n"/>
      <c r="L26" s="5" t="n"/>
      <c r="M26" s="5">
        <f>IF(B26="","",IFERROR(VLOOKUP(B26,'F01 - _Données Expatriés'!$A$6:$K$20,2,FALSE)&amp;" "&amp;VLOOKUP(B26,'F01 - _Données Expatriés'!$A$6:$K$20,3,FALSE),""))</f>
        <v/>
      </c>
      <c r="N26" s="28">
        <f>IF(C26="","",IFERROR(AVERAGEIF($C$6:$C$115,C26,$E$6:$E$115),0))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29">
        <f>IF(OR(E27="",F27=""),"",E27+F27)</f>
        <v/>
      </c>
      <c r="H27" s="7" t="n"/>
      <c r="I27" s="7" t="n"/>
      <c r="J27" s="7" t="n"/>
      <c r="K27" s="7" t="n"/>
      <c r="L27" s="7" t="n"/>
      <c r="M27" s="7">
        <f>IF(B27="","",IFERROR(VLOOKUP(B27,'F01 - _Données Expatriés'!$A$6:$K$20,2,FALSE)&amp;" "&amp;VLOOKUP(B27,'F01 - _Données Expatriés'!$A$6:$K$20,3,FALSE),""))</f>
        <v/>
      </c>
      <c r="N27" s="29">
        <f>IF(C27="","",IFERROR(AVERAGEIF($C$6:$C$115,C27,$E$6:$E$115),0))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28">
        <f>IF(OR(E28="",F28=""),"",E28+F28)</f>
        <v/>
      </c>
      <c r="H28" s="5" t="n"/>
      <c r="I28" s="5" t="n"/>
      <c r="J28" s="5" t="n"/>
      <c r="K28" s="5" t="n"/>
      <c r="L28" s="5" t="n"/>
      <c r="M28" s="5">
        <f>IF(B28="","",IFERROR(VLOOKUP(B28,'F01 - _Données Expatriés'!$A$6:$K$20,2,FALSE)&amp;" "&amp;VLOOKUP(B28,'F01 - _Données Expatriés'!$A$6:$K$20,3,FALSE),""))</f>
        <v/>
      </c>
      <c r="N28" s="28">
        <f>IF(C28="","",IFERROR(AVERAGEIF($C$6:$C$115,C28,$E$6:$E$115),0))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29">
        <f>IF(OR(E29="",F29=""),"",E29+F29)</f>
        <v/>
      </c>
      <c r="H29" s="7" t="n"/>
      <c r="I29" s="7" t="n"/>
      <c r="J29" s="7" t="n"/>
      <c r="K29" s="7" t="n"/>
      <c r="L29" s="7" t="n"/>
      <c r="M29" s="7">
        <f>IF(B29="","",IFERROR(VLOOKUP(B29,'F01 - _Données Expatriés'!$A$6:$K$20,2,FALSE)&amp;" "&amp;VLOOKUP(B29,'F01 - _Données Expatriés'!$A$6:$K$20,3,FALSE),""))</f>
        <v/>
      </c>
      <c r="N29" s="29">
        <f>IF(C29="","",IFERROR(AVERAGEIF($C$6:$C$115,C29,$E$6:$E$115),0))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28">
        <f>IF(OR(E30="",F30=""),"",E30+F30)</f>
        <v/>
      </c>
      <c r="H30" s="5" t="n"/>
      <c r="I30" s="5" t="n"/>
      <c r="J30" s="5" t="n"/>
      <c r="K30" s="5" t="n"/>
      <c r="L30" s="5" t="n"/>
      <c r="M30" s="5">
        <f>IF(B30="","",IFERROR(VLOOKUP(B30,'F01 - _Données Expatriés'!$A$6:$K$20,2,FALSE)&amp;" "&amp;VLOOKUP(B30,'F01 - _Données Expatriés'!$A$6:$K$20,3,FALSE),""))</f>
        <v/>
      </c>
      <c r="N30" s="28">
        <f>IF(C30="","",IFERROR(AVERAGEIF($C$6:$C$115,C30,$E$6:$E$115),0))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29">
        <f>IF(OR(E31="",F31=""),"",E31+F31)</f>
        <v/>
      </c>
      <c r="H31" s="7" t="n"/>
      <c r="I31" s="7" t="n"/>
      <c r="J31" s="7" t="n"/>
      <c r="K31" s="7" t="n"/>
      <c r="L31" s="7" t="n"/>
      <c r="M31" s="7">
        <f>IF(B31="","",IFERROR(VLOOKUP(B31,'F01 - _Données Expatriés'!$A$6:$K$20,2,FALSE)&amp;" "&amp;VLOOKUP(B31,'F01 - _Données Expatriés'!$A$6:$K$20,3,FALSE),""))</f>
        <v/>
      </c>
      <c r="N31" s="29">
        <f>IF(C31="","",IFERROR(AVERAGEIF($C$6:$C$115,C31,$E$6:$E$115),0))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28">
        <f>IF(OR(E32="",F32=""),"",E32+F32)</f>
        <v/>
      </c>
      <c r="H32" s="5" t="n"/>
      <c r="I32" s="5" t="n"/>
      <c r="J32" s="5" t="n"/>
      <c r="K32" s="5" t="n"/>
      <c r="L32" s="5" t="n"/>
      <c r="M32" s="5">
        <f>IF(B32="","",IFERROR(VLOOKUP(B32,'F01 - _Données Expatriés'!$A$6:$K$20,2,FALSE)&amp;" "&amp;VLOOKUP(B32,'F01 - _Données Expatriés'!$A$6:$K$20,3,FALSE),""))</f>
        <v/>
      </c>
      <c r="N32" s="28">
        <f>IF(C32="","",IFERROR(AVERAGEIF($C$6:$C$115,C32,$E$6:$E$115),0))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29">
        <f>IF(OR(E33="",F33=""),"",E33+F33)</f>
        <v/>
      </c>
      <c r="H33" s="7" t="n"/>
      <c r="I33" s="7" t="n"/>
      <c r="J33" s="7" t="n"/>
      <c r="K33" s="7" t="n"/>
      <c r="L33" s="7" t="n"/>
      <c r="M33" s="7">
        <f>IF(B33="","",IFERROR(VLOOKUP(B33,'F01 - _Données Expatriés'!$A$6:$K$20,2,FALSE)&amp;" "&amp;VLOOKUP(B33,'F01 - _Données Expatriés'!$A$6:$K$20,3,FALSE),""))</f>
        <v/>
      </c>
      <c r="N33" s="29">
        <f>IF(C33="","",IFERROR(AVERAGEIF($C$6:$C$115,C33,$E$6:$E$115),0))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28">
        <f>IF(OR(E34="",F34=""),"",E34+F34)</f>
        <v/>
      </c>
      <c r="H34" s="5" t="n"/>
      <c r="I34" s="5" t="n"/>
      <c r="J34" s="5" t="n"/>
      <c r="K34" s="5" t="n"/>
      <c r="L34" s="5" t="n"/>
      <c r="M34" s="5">
        <f>IF(B34="","",IFERROR(VLOOKUP(B34,'F01 - _Données Expatriés'!$A$6:$K$20,2,FALSE)&amp;" "&amp;VLOOKUP(B34,'F01 - _Données Expatriés'!$A$6:$K$20,3,FALSE),""))</f>
        <v/>
      </c>
      <c r="N34" s="28">
        <f>IF(C34="","",IFERROR(AVERAGEIF($C$6:$C$115,C34,$E$6:$E$115),0))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29">
        <f>IF(OR(E35="",F35=""),"",E35+F35)</f>
        <v/>
      </c>
      <c r="H35" s="7" t="n"/>
      <c r="I35" s="7" t="n"/>
      <c r="J35" s="7" t="n"/>
      <c r="K35" s="7" t="n"/>
      <c r="L35" s="7" t="n"/>
      <c r="M35" s="7">
        <f>IF(B35="","",IFERROR(VLOOKUP(B35,'F01 - _Données Expatriés'!$A$6:$K$20,2,FALSE)&amp;" "&amp;VLOOKUP(B35,'F01 - _Données Expatriés'!$A$6:$K$20,3,FALSE),""))</f>
        <v/>
      </c>
      <c r="N35" s="29">
        <f>IF(C35="","",IFERROR(AVERAGEIF($C$6:$C$115,C35,$E$6:$E$115),0))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28">
        <f>IF(OR(E36="",F36=""),"",E36+F36)</f>
        <v/>
      </c>
      <c r="H36" s="5" t="n"/>
      <c r="I36" s="5" t="n"/>
      <c r="J36" s="5" t="n"/>
      <c r="K36" s="5" t="n"/>
      <c r="L36" s="5" t="n"/>
      <c r="M36" s="5">
        <f>IF(B36="","",IFERROR(VLOOKUP(B36,'F01 - _Données Expatriés'!$A$6:$K$20,2,FALSE)&amp;" "&amp;VLOOKUP(B36,'F01 - _Données Expatriés'!$A$6:$K$20,3,FALSE),""))</f>
        <v/>
      </c>
      <c r="N36" s="28">
        <f>IF(C36="","",IFERROR(AVERAGEIF($C$6:$C$115,C36,$E$6:$E$115),0))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29">
        <f>IF(OR(E37="",F37=""),"",E37+F37)</f>
        <v/>
      </c>
      <c r="H37" s="7" t="n"/>
      <c r="I37" s="7" t="n"/>
      <c r="J37" s="7" t="n"/>
      <c r="K37" s="7" t="n"/>
      <c r="L37" s="7" t="n"/>
      <c r="M37" s="7">
        <f>IF(B37="","",IFERROR(VLOOKUP(B37,'F01 - _Données Expatriés'!$A$6:$K$20,2,FALSE)&amp;" "&amp;VLOOKUP(B37,'F01 - _Données Expatriés'!$A$6:$K$20,3,FALSE),""))</f>
        <v/>
      </c>
      <c r="N37" s="29">
        <f>IF(C37="","",IFERROR(AVERAGEIF($C$6:$C$115,C37,$E$6:$E$115),0))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28">
        <f>IF(OR(E38="",F38=""),"",E38+F38)</f>
        <v/>
      </c>
      <c r="H38" s="5" t="n"/>
      <c r="I38" s="5" t="n"/>
      <c r="J38" s="5" t="n"/>
      <c r="K38" s="5" t="n"/>
      <c r="L38" s="5" t="n"/>
      <c r="M38" s="5">
        <f>IF(B38="","",IFERROR(VLOOKUP(B38,'F01 - _Données Expatriés'!$A$6:$K$20,2,FALSE)&amp;" "&amp;VLOOKUP(B38,'F01 - _Données Expatriés'!$A$6:$K$20,3,FALSE),""))</f>
        <v/>
      </c>
      <c r="N38" s="28">
        <f>IF(C38="","",IFERROR(AVERAGEIF($C$6:$C$115,C38,$E$6:$E$115),0))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29">
        <f>IF(OR(E39="",F39=""),"",E39+F39)</f>
        <v/>
      </c>
      <c r="H39" s="7" t="n"/>
      <c r="I39" s="7" t="n"/>
      <c r="J39" s="7" t="n"/>
      <c r="K39" s="7" t="n"/>
      <c r="L39" s="7" t="n"/>
      <c r="M39" s="7">
        <f>IF(B39="","",IFERROR(VLOOKUP(B39,'F01 - _Données Expatriés'!$A$6:$K$20,2,FALSE)&amp;" "&amp;VLOOKUP(B39,'F01 - _Données Expatriés'!$A$6:$K$20,3,FALSE),""))</f>
        <v/>
      </c>
      <c r="N39" s="29">
        <f>IF(C39="","",IFERROR(AVERAGEIF($C$6:$C$115,C39,$E$6:$E$115),0))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28">
        <f>IF(OR(E40="",F40=""),"",E40+F40)</f>
        <v/>
      </c>
      <c r="H40" s="5" t="n"/>
      <c r="I40" s="5" t="n"/>
      <c r="J40" s="5" t="n"/>
      <c r="K40" s="5" t="n"/>
      <c r="L40" s="5" t="n"/>
      <c r="M40" s="5">
        <f>IF(B40="","",IFERROR(VLOOKUP(B40,'F01 - _Données Expatriés'!$A$6:$K$20,2,FALSE)&amp;" "&amp;VLOOKUP(B40,'F01 - _Données Expatriés'!$A$6:$K$20,3,FALSE),""))</f>
        <v/>
      </c>
      <c r="N40" s="28">
        <f>IF(C40="","",IFERROR(AVERAGEIF($C$6:$C$115,C40,$E$6:$E$115),0))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29">
        <f>IF(OR(E41="",F41=""),"",E41+F41)</f>
        <v/>
      </c>
      <c r="H41" s="7" t="n"/>
      <c r="I41" s="7" t="n"/>
      <c r="J41" s="7" t="n"/>
      <c r="K41" s="7" t="n"/>
      <c r="L41" s="7" t="n"/>
      <c r="M41" s="7">
        <f>IF(B41="","",IFERROR(VLOOKUP(B41,'F01 - _Données Expatriés'!$A$6:$K$20,2,FALSE)&amp;" "&amp;VLOOKUP(B41,'F01 - _Données Expatriés'!$A$6:$K$20,3,FALSE),""))</f>
        <v/>
      </c>
      <c r="N41" s="29">
        <f>IF(C41="","",IFERROR(AVERAGEIF($C$6:$C$115,C41,$E$6:$E$115),0))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28">
        <f>IF(OR(E42="",F42=""),"",E42+F42)</f>
        <v/>
      </c>
      <c r="H42" s="5" t="n"/>
      <c r="I42" s="5" t="n"/>
      <c r="J42" s="5" t="n"/>
      <c r="K42" s="5" t="n"/>
      <c r="L42" s="5" t="n"/>
      <c r="M42" s="5">
        <f>IF(B42="","",IFERROR(VLOOKUP(B42,'F01 - _Données Expatriés'!$A$6:$K$20,2,FALSE)&amp;" "&amp;VLOOKUP(B42,'F01 - _Données Expatriés'!$A$6:$K$20,3,FALSE),""))</f>
        <v/>
      </c>
      <c r="N42" s="28">
        <f>IF(C42="","",IFERROR(AVERAGEIF($C$6:$C$115,C42,$E$6:$E$115),0))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29">
        <f>IF(OR(E43="",F43=""),"",E43+F43)</f>
        <v/>
      </c>
      <c r="H43" s="7" t="n"/>
      <c r="I43" s="7" t="n"/>
      <c r="J43" s="7" t="n"/>
      <c r="K43" s="7" t="n"/>
      <c r="L43" s="7" t="n"/>
      <c r="M43" s="7">
        <f>IF(B43="","",IFERROR(VLOOKUP(B43,'F01 - _Données Expatriés'!$A$6:$K$20,2,FALSE)&amp;" "&amp;VLOOKUP(B43,'F01 - _Données Expatriés'!$A$6:$K$20,3,FALSE),""))</f>
        <v/>
      </c>
      <c r="N43" s="29">
        <f>IF(C43="","",IFERROR(AVERAGEIF($C$6:$C$115,C43,$E$6:$E$115),0))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28">
        <f>IF(OR(E44="",F44=""),"",E44+F44)</f>
        <v/>
      </c>
      <c r="H44" s="5" t="n"/>
      <c r="I44" s="5" t="n"/>
      <c r="J44" s="5" t="n"/>
      <c r="K44" s="5" t="n"/>
      <c r="L44" s="5" t="n"/>
      <c r="M44" s="5">
        <f>IF(B44="","",IFERROR(VLOOKUP(B44,'F01 - _Données Expatriés'!$A$6:$K$20,2,FALSE)&amp;" "&amp;VLOOKUP(B44,'F01 - _Données Expatriés'!$A$6:$K$20,3,FALSE),""))</f>
        <v/>
      </c>
      <c r="N44" s="28">
        <f>IF(C44="","",IFERROR(AVERAGEIF($C$6:$C$115,C44,$E$6:$E$115),0))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29">
        <f>IF(OR(E45="",F45=""),"",E45+F45)</f>
        <v/>
      </c>
      <c r="H45" s="7" t="n"/>
      <c r="I45" s="7" t="n"/>
      <c r="J45" s="7" t="n"/>
      <c r="K45" s="7" t="n"/>
      <c r="L45" s="7" t="n"/>
      <c r="M45" s="7">
        <f>IF(B45="","",IFERROR(VLOOKUP(B45,'F01 - _Données Expatriés'!$A$6:$K$20,2,FALSE)&amp;" "&amp;VLOOKUP(B45,'F01 - _Données Expatriés'!$A$6:$K$20,3,FALSE),""))</f>
        <v/>
      </c>
      <c r="N45" s="29">
        <f>IF(C45="","",IFERROR(AVERAGEIF($C$6:$C$115,C45,$E$6:$E$115),0))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28">
        <f>IF(OR(E46="",F46=""),"",E46+F46)</f>
        <v/>
      </c>
      <c r="H46" s="5" t="n"/>
      <c r="I46" s="5" t="n"/>
      <c r="J46" s="5" t="n"/>
      <c r="K46" s="5" t="n"/>
      <c r="L46" s="5" t="n"/>
      <c r="M46" s="5">
        <f>IF(B46="","",IFERROR(VLOOKUP(B46,'F01 - _Données Expatriés'!$A$6:$K$20,2,FALSE)&amp;" "&amp;VLOOKUP(B46,'F01 - _Données Expatriés'!$A$6:$K$20,3,FALSE),""))</f>
        <v/>
      </c>
      <c r="N46" s="28">
        <f>IF(C46="","",IFERROR(AVERAGEIF($C$6:$C$115,C46,$E$6:$E$115),0))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29">
        <f>IF(OR(E47="",F47=""),"",E47+F47)</f>
        <v/>
      </c>
      <c r="H47" s="7" t="n"/>
      <c r="I47" s="7" t="n"/>
      <c r="J47" s="7" t="n"/>
      <c r="K47" s="7" t="n"/>
      <c r="L47" s="7" t="n"/>
      <c r="M47" s="7">
        <f>IF(B47="","",IFERROR(VLOOKUP(B47,'F01 - _Données Expatriés'!$A$6:$K$20,2,FALSE)&amp;" "&amp;VLOOKUP(B47,'F01 - _Données Expatriés'!$A$6:$K$20,3,FALSE),""))</f>
        <v/>
      </c>
      <c r="N47" s="29">
        <f>IF(C47="","",IFERROR(AVERAGEIF($C$6:$C$115,C47,$E$6:$E$115),0))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28">
        <f>IF(OR(E48="",F48=""),"",E48+F48)</f>
        <v/>
      </c>
      <c r="H48" s="5" t="n"/>
      <c r="I48" s="5" t="n"/>
      <c r="J48" s="5" t="n"/>
      <c r="K48" s="5" t="n"/>
      <c r="L48" s="5" t="n"/>
      <c r="M48" s="5">
        <f>IF(B48="","",IFERROR(VLOOKUP(B48,'F01 - _Données Expatriés'!$A$6:$K$20,2,FALSE)&amp;" "&amp;VLOOKUP(B48,'F01 - _Données Expatriés'!$A$6:$K$20,3,FALSE),""))</f>
        <v/>
      </c>
      <c r="N48" s="28">
        <f>IF(C48="","",IFERROR(AVERAGEIF($C$6:$C$115,C48,$E$6:$E$115),0))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29">
        <f>IF(OR(E49="",F49=""),"",E49+F49)</f>
        <v/>
      </c>
      <c r="H49" s="7" t="n"/>
      <c r="I49" s="7" t="n"/>
      <c r="J49" s="7" t="n"/>
      <c r="K49" s="7" t="n"/>
      <c r="L49" s="7" t="n"/>
      <c r="M49" s="7">
        <f>IF(B49="","",IFERROR(VLOOKUP(B49,'F01 - _Données Expatriés'!$A$6:$K$20,2,FALSE)&amp;" "&amp;VLOOKUP(B49,'F01 - _Données Expatriés'!$A$6:$K$20,3,FALSE),""))</f>
        <v/>
      </c>
      <c r="N49" s="29">
        <f>IF(C49="","",IFERROR(AVERAGEIF($C$6:$C$115,C49,$E$6:$E$115),0))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28">
        <f>IF(OR(E50="",F50=""),"",E50+F50)</f>
        <v/>
      </c>
      <c r="H50" s="5" t="n"/>
      <c r="I50" s="5" t="n"/>
      <c r="J50" s="5" t="n"/>
      <c r="K50" s="5" t="n"/>
      <c r="L50" s="5" t="n"/>
      <c r="M50" s="5">
        <f>IF(B50="","",IFERROR(VLOOKUP(B50,'F01 - _Données Expatriés'!$A$6:$K$20,2,FALSE)&amp;" "&amp;VLOOKUP(B50,'F01 - _Données Expatriés'!$A$6:$K$20,3,FALSE),""))</f>
        <v/>
      </c>
      <c r="N50" s="28">
        <f>IF(C50="","",IFERROR(AVERAGEIF($C$6:$C$115,C50,$E$6:$E$115),0))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29">
        <f>IF(OR(E51="",F51=""),"",E51+F51)</f>
        <v/>
      </c>
      <c r="H51" s="7" t="n"/>
      <c r="I51" s="7" t="n"/>
      <c r="J51" s="7" t="n"/>
      <c r="K51" s="7" t="n"/>
      <c r="L51" s="7" t="n"/>
      <c r="M51" s="7">
        <f>IF(B51="","",IFERROR(VLOOKUP(B51,'F01 - _Données Expatriés'!$A$6:$K$20,2,FALSE)&amp;" "&amp;VLOOKUP(B51,'F01 - _Données Expatriés'!$A$6:$K$20,3,FALSE),""))</f>
        <v/>
      </c>
      <c r="N51" s="29">
        <f>IF(C51="","",IFERROR(AVERAGEIF($C$6:$C$115,C51,$E$6:$E$115),0))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28">
        <f>IF(OR(E52="",F52=""),"",E52+F52)</f>
        <v/>
      </c>
      <c r="H52" s="5" t="n"/>
      <c r="I52" s="5" t="n"/>
      <c r="J52" s="5" t="n"/>
      <c r="K52" s="5" t="n"/>
      <c r="L52" s="5" t="n"/>
      <c r="M52" s="5">
        <f>IF(B52="","",IFERROR(VLOOKUP(B52,'F01 - _Données Expatriés'!$A$6:$K$20,2,FALSE)&amp;" "&amp;VLOOKUP(B52,'F01 - _Données Expatriés'!$A$6:$K$20,3,FALSE),""))</f>
        <v/>
      </c>
      <c r="N52" s="28">
        <f>IF(C52="","",IFERROR(AVERAGEIF($C$6:$C$115,C52,$E$6:$E$115),0))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29">
        <f>IF(OR(E53="",F53=""),"",E53+F53)</f>
        <v/>
      </c>
      <c r="H53" s="7" t="n"/>
      <c r="I53" s="7" t="n"/>
      <c r="J53" s="7" t="n"/>
      <c r="K53" s="7" t="n"/>
      <c r="L53" s="7" t="n"/>
      <c r="M53" s="7">
        <f>IF(B53="","",IFERROR(VLOOKUP(B53,'F01 - _Données Expatriés'!$A$6:$K$20,2,FALSE)&amp;" "&amp;VLOOKUP(B53,'F01 - _Données Expatriés'!$A$6:$K$20,3,FALSE),""))</f>
        <v/>
      </c>
      <c r="N53" s="29">
        <f>IF(C53="","",IFERROR(AVERAGEIF($C$6:$C$115,C53,$E$6:$E$115),0))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28">
        <f>IF(OR(E54="",F54=""),"",E54+F54)</f>
        <v/>
      </c>
      <c r="H54" s="5" t="n"/>
      <c r="I54" s="5" t="n"/>
      <c r="J54" s="5" t="n"/>
      <c r="K54" s="5" t="n"/>
      <c r="L54" s="5" t="n"/>
      <c r="M54" s="5">
        <f>IF(B54="","",IFERROR(VLOOKUP(B54,'F01 - _Données Expatriés'!$A$6:$K$20,2,FALSE)&amp;" "&amp;VLOOKUP(B54,'F01 - _Données Expatriés'!$A$6:$K$20,3,FALSE),""))</f>
        <v/>
      </c>
      <c r="N54" s="28">
        <f>IF(C54="","",IFERROR(AVERAGEIF($C$6:$C$115,C54,$E$6:$E$115),0))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29">
        <f>IF(OR(E55="",F55=""),"",E55+F55)</f>
        <v/>
      </c>
      <c r="H55" s="7" t="n"/>
      <c r="I55" s="7" t="n"/>
      <c r="J55" s="7" t="n"/>
      <c r="K55" s="7" t="n"/>
      <c r="L55" s="7" t="n"/>
      <c r="M55" s="7">
        <f>IF(B55="","",IFERROR(VLOOKUP(B55,'F01 - _Données Expatriés'!$A$6:$K$20,2,FALSE)&amp;" "&amp;VLOOKUP(B55,'F01 - _Données Expatriés'!$A$6:$K$20,3,FALSE),""))</f>
        <v/>
      </c>
      <c r="N55" s="29">
        <f>IF(C55="","",IFERROR(AVERAGEIF($C$6:$C$115,C55,$E$6:$E$115),0))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28">
        <f>IF(OR(E56="",F56=""),"",E56+F56)</f>
        <v/>
      </c>
      <c r="H56" s="5" t="n"/>
      <c r="I56" s="5" t="n"/>
      <c r="J56" s="5" t="n"/>
      <c r="K56" s="5" t="n"/>
      <c r="L56" s="5" t="n"/>
      <c r="M56" s="5">
        <f>IF(B56="","",IFERROR(VLOOKUP(B56,'F01 - _Données Expatriés'!$A$6:$K$20,2,FALSE)&amp;" "&amp;VLOOKUP(B56,'F01 - _Données Expatriés'!$A$6:$K$20,3,FALSE),""))</f>
        <v/>
      </c>
      <c r="N56" s="28">
        <f>IF(C56="","",IFERROR(AVERAGEIF($C$6:$C$115,C56,$E$6:$E$115),0))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29">
        <f>IF(OR(E57="",F57=""),"",E57+F57)</f>
        <v/>
      </c>
      <c r="H57" s="7" t="n"/>
      <c r="I57" s="7" t="n"/>
      <c r="J57" s="7" t="n"/>
      <c r="K57" s="7" t="n"/>
      <c r="L57" s="7" t="n"/>
      <c r="M57" s="7">
        <f>IF(B57="","",IFERROR(VLOOKUP(B57,'F01 - _Données Expatriés'!$A$6:$K$20,2,FALSE)&amp;" "&amp;VLOOKUP(B57,'F01 - _Données Expatriés'!$A$6:$K$20,3,FALSE),""))</f>
        <v/>
      </c>
      <c r="N57" s="29">
        <f>IF(C57="","",IFERROR(AVERAGEIF($C$6:$C$115,C57,$E$6:$E$115),0))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28">
        <f>IF(OR(E58="",F58=""),"",E58+F58)</f>
        <v/>
      </c>
      <c r="H58" s="5" t="n"/>
      <c r="I58" s="5" t="n"/>
      <c r="J58" s="5" t="n"/>
      <c r="K58" s="5" t="n"/>
      <c r="L58" s="5" t="n"/>
      <c r="M58" s="5">
        <f>IF(B58="","",IFERROR(VLOOKUP(B58,'F01 - _Données Expatriés'!$A$6:$K$20,2,FALSE)&amp;" "&amp;VLOOKUP(B58,'F01 - _Données Expatriés'!$A$6:$K$20,3,FALSE),""))</f>
        <v/>
      </c>
      <c r="N58" s="28">
        <f>IF(C58="","",IFERROR(AVERAGEIF($C$6:$C$115,C58,$E$6:$E$115),0))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29">
        <f>IF(OR(E59="",F59=""),"",E59+F59)</f>
        <v/>
      </c>
      <c r="H59" s="7" t="n"/>
      <c r="I59" s="7" t="n"/>
      <c r="J59" s="7" t="n"/>
      <c r="K59" s="7" t="n"/>
      <c r="L59" s="7" t="n"/>
      <c r="M59" s="7">
        <f>IF(B59="","",IFERROR(VLOOKUP(B59,'F01 - _Données Expatriés'!$A$6:$K$20,2,FALSE)&amp;" "&amp;VLOOKUP(B59,'F01 - _Données Expatriés'!$A$6:$K$20,3,FALSE),""))</f>
        <v/>
      </c>
      <c r="N59" s="29">
        <f>IF(C59="","",IFERROR(AVERAGEIF($C$6:$C$115,C59,$E$6:$E$115),0))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28">
        <f>IF(OR(E60="",F60=""),"",E60+F60)</f>
        <v/>
      </c>
      <c r="H60" s="5" t="n"/>
      <c r="I60" s="5" t="n"/>
      <c r="J60" s="5" t="n"/>
      <c r="K60" s="5" t="n"/>
      <c r="L60" s="5" t="n"/>
      <c r="M60" s="5">
        <f>IF(B60="","",IFERROR(VLOOKUP(B60,'F01 - _Données Expatriés'!$A$6:$K$20,2,FALSE)&amp;" "&amp;VLOOKUP(B60,'F01 - _Données Expatriés'!$A$6:$K$20,3,FALSE),""))</f>
        <v/>
      </c>
      <c r="N60" s="28">
        <f>IF(C60="","",IFERROR(AVERAGEIF($C$6:$C$115,C60,$E$6:$E$115),0))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29">
        <f>IF(OR(E61="",F61=""),"",E61+F61)</f>
        <v/>
      </c>
      <c r="H61" s="7" t="n"/>
      <c r="I61" s="7" t="n"/>
      <c r="J61" s="7" t="n"/>
      <c r="K61" s="7" t="n"/>
      <c r="L61" s="7" t="n"/>
      <c r="M61" s="7">
        <f>IF(B61="","",IFERROR(VLOOKUP(B61,'F01 - _Données Expatriés'!$A$6:$K$20,2,FALSE)&amp;" "&amp;VLOOKUP(B61,'F01 - _Données Expatriés'!$A$6:$K$20,3,FALSE),""))</f>
        <v/>
      </c>
      <c r="N61" s="29">
        <f>IF(C61="","",IFERROR(AVERAGEIF($C$6:$C$115,C61,$E$6:$E$115),0))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28">
        <f>IF(OR(E62="",F62=""),"",E62+F62)</f>
        <v/>
      </c>
      <c r="H62" s="5" t="n"/>
      <c r="I62" s="5" t="n"/>
      <c r="J62" s="5" t="n"/>
      <c r="K62" s="5" t="n"/>
      <c r="L62" s="5" t="n"/>
      <c r="M62" s="5">
        <f>IF(B62="","",IFERROR(VLOOKUP(B62,'F01 - _Données Expatriés'!$A$6:$K$20,2,FALSE)&amp;" "&amp;VLOOKUP(B62,'F01 - _Données Expatriés'!$A$6:$K$20,3,FALSE),""))</f>
        <v/>
      </c>
      <c r="N62" s="28">
        <f>IF(C62="","",IFERROR(AVERAGEIF($C$6:$C$115,C62,$E$6:$E$115),0))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29">
        <f>IF(OR(E63="",F63=""),"",E63+F63)</f>
        <v/>
      </c>
      <c r="H63" s="7" t="n"/>
      <c r="I63" s="7" t="n"/>
      <c r="J63" s="7" t="n"/>
      <c r="K63" s="7" t="n"/>
      <c r="L63" s="7" t="n"/>
      <c r="M63" s="7">
        <f>IF(B63="","",IFERROR(VLOOKUP(B63,'F01 - _Données Expatriés'!$A$6:$K$20,2,FALSE)&amp;" "&amp;VLOOKUP(B63,'F01 - _Données Expatriés'!$A$6:$K$20,3,FALSE),""))</f>
        <v/>
      </c>
      <c r="N63" s="29">
        <f>IF(C63="","",IFERROR(AVERAGEIF($C$6:$C$115,C63,$E$6:$E$115),0))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28">
        <f>IF(OR(E64="",F64=""),"",E64+F64)</f>
        <v/>
      </c>
      <c r="H64" s="5" t="n"/>
      <c r="I64" s="5" t="n"/>
      <c r="J64" s="5" t="n"/>
      <c r="K64" s="5" t="n"/>
      <c r="L64" s="5" t="n"/>
      <c r="M64" s="5">
        <f>IF(B64="","",IFERROR(VLOOKUP(B64,'F01 - _Données Expatriés'!$A$6:$K$20,2,FALSE)&amp;" "&amp;VLOOKUP(B64,'F01 - _Données Expatriés'!$A$6:$K$20,3,FALSE),""))</f>
        <v/>
      </c>
      <c r="N64" s="28">
        <f>IF(C64="","",IFERROR(AVERAGEIF($C$6:$C$115,C64,$E$6:$E$115),0))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29">
        <f>IF(OR(E65="",F65=""),"",E65+F65)</f>
        <v/>
      </c>
      <c r="H65" s="7" t="n"/>
      <c r="I65" s="7" t="n"/>
      <c r="J65" s="7" t="n"/>
      <c r="K65" s="7" t="n"/>
      <c r="L65" s="7" t="n"/>
      <c r="M65" s="7">
        <f>IF(B65="","",IFERROR(VLOOKUP(B65,'F01 - _Données Expatriés'!$A$6:$K$20,2,FALSE)&amp;" "&amp;VLOOKUP(B65,'F01 - _Données Expatriés'!$A$6:$K$20,3,FALSE),""))</f>
        <v/>
      </c>
      <c r="N65" s="29">
        <f>IF(C65="","",IFERROR(AVERAGEIF($C$6:$C$115,C65,$E$6:$E$115),0))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28">
        <f>IF(OR(E66="",F66=""),"",E66+F66)</f>
        <v/>
      </c>
      <c r="H66" s="5" t="n"/>
      <c r="I66" s="5" t="n"/>
      <c r="J66" s="5" t="n"/>
      <c r="K66" s="5" t="n"/>
      <c r="L66" s="5" t="n"/>
      <c r="M66" s="5">
        <f>IF(B66="","",IFERROR(VLOOKUP(B66,'F01 - _Données Expatriés'!$A$6:$K$20,2,FALSE)&amp;" "&amp;VLOOKUP(B66,'F01 - _Données Expatriés'!$A$6:$K$20,3,FALSE),""))</f>
        <v/>
      </c>
      <c r="N66" s="28">
        <f>IF(C66="","",IFERROR(AVERAGEIF($C$6:$C$115,C66,$E$6:$E$115),0))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29">
        <f>IF(OR(E67="",F67=""),"",E67+F67)</f>
        <v/>
      </c>
      <c r="H67" s="7" t="n"/>
      <c r="I67" s="7" t="n"/>
      <c r="J67" s="7" t="n"/>
      <c r="K67" s="7" t="n"/>
      <c r="L67" s="7" t="n"/>
      <c r="M67" s="7">
        <f>IF(B67="","",IFERROR(VLOOKUP(B67,'F01 - _Données Expatriés'!$A$6:$K$20,2,FALSE)&amp;" "&amp;VLOOKUP(B67,'F01 - _Données Expatriés'!$A$6:$K$20,3,FALSE),""))</f>
        <v/>
      </c>
      <c r="N67" s="29">
        <f>IF(C67="","",IFERROR(AVERAGEIF($C$6:$C$115,C67,$E$6:$E$115),0))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28">
        <f>IF(OR(E68="",F68=""),"",E68+F68)</f>
        <v/>
      </c>
      <c r="H68" s="5" t="n"/>
      <c r="I68" s="5" t="n"/>
      <c r="J68" s="5" t="n"/>
      <c r="K68" s="5" t="n"/>
      <c r="L68" s="5" t="n"/>
      <c r="M68" s="5">
        <f>IF(B68="","",IFERROR(VLOOKUP(B68,'F01 - _Données Expatriés'!$A$6:$K$20,2,FALSE)&amp;" "&amp;VLOOKUP(B68,'F01 - _Données Expatriés'!$A$6:$K$20,3,FALSE),""))</f>
        <v/>
      </c>
      <c r="N68" s="28">
        <f>IF(C68="","",IFERROR(AVERAGEIF($C$6:$C$115,C68,$E$6:$E$115),0))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29">
        <f>IF(OR(E69="",F69=""),"",E69+F69)</f>
        <v/>
      </c>
      <c r="H69" s="7" t="n"/>
      <c r="I69" s="7" t="n"/>
      <c r="J69" s="7" t="n"/>
      <c r="K69" s="7" t="n"/>
      <c r="L69" s="7" t="n"/>
      <c r="M69" s="7">
        <f>IF(B69="","",IFERROR(VLOOKUP(B69,'F01 - _Données Expatriés'!$A$6:$K$20,2,FALSE)&amp;" "&amp;VLOOKUP(B69,'F01 - _Données Expatriés'!$A$6:$K$20,3,FALSE),""))</f>
        <v/>
      </c>
      <c r="N69" s="29">
        <f>IF(C69="","",IFERROR(AVERAGEIF($C$6:$C$115,C69,$E$6:$E$115),0))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28">
        <f>IF(OR(E70="",F70=""),"",E70+F70)</f>
        <v/>
      </c>
      <c r="H70" s="5" t="n"/>
      <c r="I70" s="5" t="n"/>
      <c r="J70" s="5" t="n"/>
      <c r="K70" s="5" t="n"/>
      <c r="L70" s="5" t="n"/>
      <c r="M70" s="5">
        <f>IF(B70="","",IFERROR(VLOOKUP(B70,'F01 - _Données Expatriés'!$A$6:$K$20,2,FALSE)&amp;" "&amp;VLOOKUP(B70,'F01 - _Données Expatriés'!$A$6:$K$20,3,FALSE),""))</f>
        <v/>
      </c>
      <c r="N70" s="28">
        <f>IF(C70="","",IFERROR(AVERAGEIF($C$6:$C$115,C70,$E$6:$E$115),0))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29">
        <f>IF(OR(E71="",F71=""),"",E71+F71)</f>
        <v/>
      </c>
      <c r="H71" s="7" t="n"/>
      <c r="I71" s="7" t="n"/>
      <c r="J71" s="7" t="n"/>
      <c r="K71" s="7" t="n"/>
      <c r="L71" s="7" t="n"/>
      <c r="M71" s="7">
        <f>IF(B71="","",IFERROR(VLOOKUP(B71,'F01 - _Données Expatriés'!$A$6:$K$20,2,FALSE)&amp;" "&amp;VLOOKUP(B71,'F01 - _Données Expatriés'!$A$6:$K$20,3,FALSE),""))</f>
        <v/>
      </c>
      <c r="N71" s="29">
        <f>IF(C71="","",IFERROR(AVERAGEIF($C$6:$C$115,C71,$E$6:$E$115),0))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28">
        <f>IF(OR(E72="",F72=""),"",E72+F72)</f>
        <v/>
      </c>
      <c r="H72" s="5" t="n"/>
      <c r="I72" s="5" t="n"/>
      <c r="J72" s="5" t="n"/>
      <c r="K72" s="5" t="n"/>
      <c r="L72" s="5" t="n"/>
      <c r="M72" s="5">
        <f>IF(B72="","",IFERROR(VLOOKUP(B72,'F01 - _Données Expatriés'!$A$6:$K$20,2,FALSE)&amp;" "&amp;VLOOKUP(B72,'F01 - _Données Expatriés'!$A$6:$K$20,3,FALSE),""))</f>
        <v/>
      </c>
      <c r="N72" s="28">
        <f>IF(C72="","",IFERROR(AVERAGEIF($C$6:$C$115,C72,$E$6:$E$115),0))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29">
        <f>IF(OR(E73="",F73=""),"",E73+F73)</f>
        <v/>
      </c>
      <c r="H73" s="7" t="n"/>
      <c r="I73" s="7" t="n"/>
      <c r="J73" s="7" t="n"/>
      <c r="K73" s="7" t="n"/>
      <c r="L73" s="7" t="n"/>
      <c r="M73" s="7">
        <f>IF(B73="","",IFERROR(VLOOKUP(B73,'F01 - _Données Expatriés'!$A$6:$K$20,2,FALSE)&amp;" "&amp;VLOOKUP(B73,'F01 - _Données Expatriés'!$A$6:$K$20,3,FALSE),""))</f>
        <v/>
      </c>
      <c r="N73" s="29">
        <f>IF(C73="","",IFERROR(AVERAGEIF($C$6:$C$115,C73,$E$6:$E$115),0))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28">
        <f>IF(OR(E74="",F74=""),"",E74+F74)</f>
        <v/>
      </c>
      <c r="H74" s="5" t="n"/>
      <c r="I74" s="5" t="n"/>
      <c r="J74" s="5" t="n"/>
      <c r="K74" s="5" t="n"/>
      <c r="L74" s="5" t="n"/>
      <c r="M74" s="5">
        <f>IF(B74="","",IFERROR(VLOOKUP(B74,'F01 - _Données Expatriés'!$A$6:$K$20,2,FALSE)&amp;" "&amp;VLOOKUP(B74,'F01 - _Données Expatriés'!$A$6:$K$20,3,FALSE),""))</f>
        <v/>
      </c>
      <c r="N74" s="28">
        <f>IF(C74="","",IFERROR(AVERAGEIF($C$6:$C$115,C74,$E$6:$E$115),0))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29">
        <f>IF(OR(E75="",F75=""),"",E75+F75)</f>
        <v/>
      </c>
      <c r="H75" s="7" t="n"/>
      <c r="I75" s="7" t="n"/>
      <c r="J75" s="7" t="n"/>
      <c r="K75" s="7" t="n"/>
      <c r="L75" s="7" t="n"/>
      <c r="M75" s="7">
        <f>IF(B75="","",IFERROR(VLOOKUP(B75,'F01 - _Données Expatriés'!$A$6:$K$20,2,FALSE)&amp;" "&amp;VLOOKUP(B75,'F01 - _Données Expatriés'!$A$6:$K$20,3,FALSE),""))</f>
        <v/>
      </c>
      <c r="N75" s="29">
        <f>IF(C75="","",IFERROR(AVERAGEIF($C$6:$C$115,C75,$E$6:$E$115),0))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28">
        <f>IF(OR(E76="",F76=""),"",E76+F76)</f>
        <v/>
      </c>
      <c r="H76" s="5" t="n"/>
      <c r="I76" s="5" t="n"/>
      <c r="J76" s="5" t="n"/>
      <c r="K76" s="5" t="n"/>
      <c r="L76" s="5" t="n"/>
      <c r="M76" s="5">
        <f>IF(B76="","",IFERROR(VLOOKUP(B76,'F01 - _Données Expatriés'!$A$6:$K$20,2,FALSE)&amp;" "&amp;VLOOKUP(B76,'F01 - _Données Expatriés'!$A$6:$K$20,3,FALSE),""))</f>
        <v/>
      </c>
      <c r="N76" s="28">
        <f>IF(C76="","",IFERROR(AVERAGEIF($C$6:$C$115,C76,$E$6:$E$115),0))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29">
        <f>IF(OR(E77="",F77=""),"",E77+F77)</f>
        <v/>
      </c>
      <c r="H77" s="7" t="n"/>
      <c r="I77" s="7" t="n"/>
      <c r="J77" s="7" t="n"/>
      <c r="K77" s="7" t="n"/>
      <c r="L77" s="7" t="n"/>
      <c r="M77" s="7">
        <f>IF(B77="","",IFERROR(VLOOKUP(B77,'F01 - _Données Expatriés'!$A$6:$K$20,2,FALSE)&amp;" "&amp;VLOOKUP(B77,'F01 - _Données Expatriés'!$A$6:$K$20,3,FALSE),""))</f>
        <v/>
      </c>
      <c r="N77" s="29">
        <f>IF(C77="","",IFERROR(AVERAGEIF($C$6:$C$115,C77,$E$6:$E$115),0))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28">
        <f>IF(OR(E78="",F78=""),"",E78+F78)</f>
        <v/>
      </c>
      <c r="H78" s="5" t="n"/>
      <c r="I78" s="5" t="n"/>
      <c r="J78" s="5" t="n"/>
      <c r="K78" s="5" t="n"/>
      <c r="L78" s="5" t="n"/>
      <c r="M78" s="5">
        <f>IF(B78="","",IFERROR(VLOOKUP(B78,'F01 - _Données Expatriés'!$A$6:$K$20,2,FALSE)&amp;" "&amp;VLOOKUP(B78,'F01 - _Données Expatriés'!$A$6:$K$20,3,FALSE),""))</f>
        <v/>
      </c>
      <c r="N78" s="28">
        <f>IF(C78="","",IFERROR(AVERAGEIF($C$6:$C$115,C78,$E$6:$E$115),0))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29">
        <f>IF(OR(E79="",F79=""),"",E79+F79)</f>
        <v/>
      </c>
      <c r="H79" s="7" t="n"/>
      <c r="I79" s="7" t="n"/>
      <c r="J79" s="7" t="n"/>
      <c r="K79" s="7" t="n"/>
      <c r="L79" s="7" t="n"/>
      <c r="M79" s="7">
        <f>IF(B79="","",IFERROR(VLOOKUP(B79,'F01 - _Données Expatriés'!$A$6:$K$20,2,FALSE)&amp;" "&amp;VLOOKUP(B79,'F01 - _Données Expatriés'!$A$6:$K$20,3,FALSE),""))</f>
        <v/>
      </c>
      <c r="N79" s="29">
        <f>IF(C79="","",IFERROR(AVERAGEIF($C$6:$C$115,C79,$E$6:$E$115),0))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28">
        <f>IF(OR(E80="",F80=""),"",E80+F80)</f>
        <v/>
      </c>
      <c r="H80" s="5" t="n"/>
      <c r="I80" s="5" t="n"/>
      <c r="J80" s="5" t="n"/>
      <c r="K80" s="5" t="n"/>
      <c r="L80" s="5" t="n"/>
      <c r="M80" s="5">
        <f>IF(B80="","",IFERROR(VLOOKUP(B80,'F01 - _Données Expatriés'!$A$6:$K$20,2,FALSE)&amp;" "&amp;VLOOKUP(B80,'F01 - _Données Expatriés'!$A$6:$K$20,3,FALSE),""))</f>
        <v/>
      </c>
      <c r="N80" s="28">
        <f>IF(C80="","",IFERROR(AVERAGEIF($C$6:$C$115,C80,$E$6:$E$115),0))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29">
        <f>IF(OR(E81="",F81=""),"",E81+F81)</f>
        <v/>
      </c>
      <c r="H81" s="7" t="n"/>
      <c r="I81" s="7" t="n"/>
      <c r="J81" s="7" t="n"/>
      <c r="K81" s="7" t="n"/>
      <c r="L81" s="7" t="n"/>
      <c r="M81" s="7">
        <f>IF(B81="","",IFERROR(VLOOKUP(B81,'F01 - _Données Expatriés'!$A$6:$K$20,2,FALSE)&amp;" "&amp;VLOOKUP(B81,'F01 - _Données Expatriés'!$A$6:$K$20,3,FALSE),""))</f>
        <v/>
      </c>
      <c r="N81" s="29">
        <f>IF(C81="","",IFERROR(AVERAGEIF($C$6:$C$115,C81,$E$6:$E$115),0))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28">
        <f>IF(OR(E82="",F82=""),"",E82+F82)</f>
        <v/>
      </c>
      <c r="H82" s="5" t="n"/>
      <c r="I82" s="5" t="n"/>
      <c r="J82" s="5" t="n"/>
      <c r="K82" s="5" t="n"/>
      <c r="L82" s="5" t="n"/>
      <c r="M82" s="5">
        <f>IF(B82="","",IFERROR(VLOOKUP(B82,'F01 - _Données Expatriés'!$A$6:$K$20,2,FALSE)&amp;" "&amp;VLOOKUP(B82,'F01 - _Données Expatriés'!$A$6:$K$20,3,FALSE),""))</f>
        <v/>
      </c>
      <c r="N82" s="28">
        <f>IF(C82="","",IFERROR(AVERAGEIF($C$6:$C$115,C82,$E$6:$E$115),0))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29">
        <f>IF(OR(E83="",F83=""),"",E83+F83)</f>
        <v/>
      </c>
      <c r="H83" s="7" t="n"/>
      <c r="I83" s="7" t="n"/>
      <c r="J83" s="7" t="n"/>
      <c r="K83" s="7" t="n"/>
      <c r="L83" s="7" t="n"/>
      <c r="M83" s="7">
        <f>IF(B83="","",IFERROR(VLOOKUP(B83,'F01 - _Données Expatriés'!$A$6:$K$20,2,FALSE)&amp;" "&amp;VLOOKUP(B83,'F01 - _Données Expatriés'!$A$6:$K$20,3,FALSE),""))</f>
        <v/>
      </c>
      <c r="N83" s="29">
        <f>IF(C83="","",IFERROR(AVERAGEIF($C$6:$C$115,C83,$E$6:$E$115),0))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28">
        <f>IF(OR(E84="",F84=""),"",E84+F84)</f>
        <v/>
      </c>
      <c r="H84" s="5" t="n"/>
      <c r="I84" s="5" t="n"/>
      <c r="J84" s="5" t="n"/>
      <c r="K84" s="5" t="n"/>
      <c r="L84" s="5" t="n"/>
      <c r="M84" s="5">
        <f>IF(B84="","",IFERROR(VLOOKUP(B84,'F01 - _Données Expatriés'!$A$6:$K$20,2,FALSE)&amp;" "&amp;VLOOKUP(B84,'F01 - _Données Expatriés'!$A$6:$K$20,3,FALSE),""))</f>
        <v/>
      </c>
      <c r="N84" s="28">
        <f>IF(C84="","",IFERROR(AVERAGEIF($C$6:$C$115,C84,$E$6:$E$115),0))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29">
        <f>IF(OR(E85="",F85=""),"",E85+F85)</f>
        <v/>
      </c>
      <c r="H85" s="7" t="n"/>
      <c r="I85" s="7" t="n"/>
      <c r="J85" s="7" t="n"/>
      <c r="K85" s="7" t="n"/>
      <c r="L85" s="7" t="n"/>
      <c r="M85" s="7">
        <f>IF(B85="","",IFERROR(VLOOKUP(B85,'F01 - _Données Expatriés'!$A$6:$K$20,2,FALSE)&amp;" "&amp;VLOOKUP(B85,'F01 - _Données Expatriés'!$A$6:$K$20,3,FALSE),""))</f>
        <v/>
      </c>
      <c r="N85" s="29">
        <f>IF(C85="","",IFERROR(AVERAGEIF($C$6:$C$115,C85,$E$6:$E$115),0))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28">
        <f>IF(OR(E86="",F86=""),"",E86+F86)</f>
        <v/>
      </c>
      <c r="H86" s="5" t="n"/>
      <c r="I86" s="5" t="n"/>
      <c r="J86" s="5" t="n"/>
      <c r="K86" s="5" t="n"/>
      <c r="L86" s="5" t="n"/>
      <c r="M86" s="5">
        <f>IF(B86="","",IFERROR(VLOOKUP(B86,'F01 - _Données Expatriés'!$A$6:$K$20,2,FALSE)&amp;" "&amp;VLOOKUP(B86,'F01 - _Données Expatriés'!$A$6:$K$20,3,FALSE),""))</f>
        <v/>
      </c>
      <c r="N86" s="28">
        <f>IF(C86="","",IFERROR(AVERAGEIF($C$6:$C$115,C86,$E$6:$E$115),0))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29">
        <f>IF(OR(E87="",F87=""),"",E87+F87)</f>
        <v/>
      </c>
      <c r="H87" s="7" t="n"/>
      <c r="I87" s="7" t="n"/>
      <c r="J87" s="7" t="n"/>
      <c r="K87" s="7" t="n"/>
      <c r="L87" s="7" t="n"/>
      <c r="M87" s="7">
        <f>IF(B87="","",IFERROR(VLOOKUP(B87,'F01 - _Données Expatriés'!$A$6:$K$20,2,FALSE)&amp;" "&amp;VLOOKUP(B87,'F01 - _Données Expatriés'!$A$6:$K$20,3,FALSE),""))</f>
        <v/>
      </c>
      <c r="N87" s="29">
        <f>IF(C87="","",IFERROR(AVERAGEIF($C$6:$C$115,C87,$E$6:$E$115),0))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28">
        <f>IF(OR(E88="",F88=""),"",E88+F88)</f>
        <v/>
      </c>
      <c r="H88" s="5" t="n"/>
      <c r="I88" s="5" t="n"/>
      <c r="J88" s="5" t="n"/>
      <c r="K88" s="5" t="n"/>
      <c r="L88" s="5" t="n"/>
      <c r="M88" s="5">
        <f>IF(B88="","",IFERROR(VLOOKUP(B88,'F01 - _Données Expatriés'!$A$6:$K$20,2,FALSE)&amp;" "&amp;VLOOKUP(B88,'F01 - _Données Expatriés'!$A$6:$K$20,3,FALSE),""))</f>
        <v/>
      </c>
      <c r="N88" s="28">
        <f>IF(C88="","",IFERROR(AVERAGEIF($C$6:$C$115,C88,$E$6:$E$115),0))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29">
        <f>IF(OR(E89="",F89=""),"",E89+F89)</f>
        <v/>
      </c>
      <c r="H89" s="7" t="n"/>
      <c r="I89" s="7" t="n"/>
      <c r="J89" s="7" t="n"/>
      <c r="K89" s="7" t="n"/>
      <c r="L89" s="7" t="n"/>
      <c r="M89" s="7">
        <f>IF(B89="","",IFERROR(VLOOKUP(B89,'F01 - _Données Expatriés'!$A$6:$K$20,2,FALSE)&amp;" "&amp;VLOOKUP(B89,'F01 - _Données Expatriés'!$A$6:$K$20,3,FALSE),""))</f>
        <v/>
      </c>
      <c r="N89" s="29">
        <f>IF(C89="","",IFERROR(AVERAGEIF($C$6:$C$115,C89,$E$6:$E$115),0))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28">
        <f>IF(OR(E90="",F90=""),"",E90+F90)</f>
        <v/>
      </c>
      <c r="H90" s="5" t="n"/>
      <c r="I90" s="5" t="n"/>
      <c r="J90" s="5" t="n"/>
      <c r="K90" s="5" t="n"/>
      <c r="L90" s="5" t="n"/>
      <c r="M90" s="5">
        <f>IF(B90="","",IFERROR(VLOOKUP(B90,'F01 - _Données Expatriés'!$A$6:$K$20,2,FALSE)&amp;" "&amp;VLOOKUP(B90,'F01 - _Données Expatriés'!$A$6:$K$20,3,FALSE),""))</f>
        <v/>
      </c>
      <c r="N90" s="28">
        <f>IF(C90="","",IFERROR(AVERAGEIF($C$6:$C$115,C90,$E$6:$E$115),0))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29">
        <f>IF(OR(E91="",F91=""),"",E91+F91)</f>
        <v/>
      </c>
      <c r="H91" s="7" t="n"/>
      <c r="I91" s="7" t="n"/>
      <c r="J91" s="7" t="n"/>
      <c r="K91" s="7" t="n"/>
      <c r="L91" s="7" t="n"/>
      <c r="M91" s="7">
        <f>IF(B91="","",IFERROR(VLOOKUP(B91,'F01 - _Données Expatriés'!$A$6:$K$20,2,FALSE)&amp;" "&amp;VLOOKUP(B91,'F01 - _Données Expatriés'!$A$6:$K$20,3,FALSE),""))</f>
        <v/>
      </c>
      <c r="N91" s="29">
        <f>IF(C91="","",IFERROR(AVERAGEIF($C$6:$C$115,C91,$E$6:$E$115),0))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28">
        <f>IF(OR(E92="",F92=""),"",E92+F92)</f>
        <v/>
      </c>
      <c r="H92" s="5" t="n"/>
      <c r="I92" s="5" t="n"/>
      <c r="J92" s="5" t="n"/>
      <c r="K92" s="5" t="n"/>
      <c r="L92" s="5" t="n"/>
      <c r="M92" s="5">
        <f>IF(B92="","",IFERROR(VLOOKUP(B92,'F01 - _Données Expatriés'!$A$6:$K$20,2,FALSE)&amp;" "&amp;VLOOKUP(B92,'F01 - _Données Expatriés'!$A$6:$K$20,3,FALSE),""))</f>
        <v/>
      </c>
      <c r="N92" s="28">
        <f>IF(C92="","",IFERROR(AVERAGEIF($C$6:$C$115,C92,$E$6:$E$115),0))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29">
        <f>IF(OR(E93="",F93=""),"",E93+F93)</f>
        <v/>
      </c>
      <c r="H93" s="7" t="n"/>
      <c r="I93" s="7" t="n"/>
      <c r="J93" s="7" t="n"/>
      <c r="K93" s="7" t="n"/>
      <c r="L93" s="7" t="n"/>
      <c r="M93" s="7">
        <f>IF(B93="","",IFERROR(VLOOKUP(B93,'F01 - _Données Expatriés'!$A$6:$K$20,2,FALSE)&amp;" "&amp;VLOOKUP(B93,'F01 - _Données Expatriés'!$A$6:$K$20,3,FALSE),""))</f>
        <v/>
      </c>
      <c r="N93" s="29">
        <f>IF(C93="","",IFERROR(AVERAGEIF($C$6:$C$115,C93,$E$6:$E$115),0))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28">
        <f>IF(OR(E94="",F94=""),"",E94+F94)</f>
        <v/>
      </c>
      <c r="H94" s="5" t="n"/>
      <c r="I94" s="5" t="n"/>
      <c r="J94" s="5" t="n"/>
      <c r="K94" s="5" t="n"/>
      <c r="L94" s="5" t="n"/>
      <c r="M94" s="5">
        <f>IF(B94="","",IFERROR(VLOOKUP(B94,'F01 - _Données Expatriés'!$A$6:$K$20,2,FALSE)&amp;" "&amp;VLOOKUP(B94,'F01 - _Données Expatriés'!$A$6:$K$20,3,FALSE),""))</f>
        <v/>
      </c>
      <c r="N94" s="28">
        <f>IF(C94="","",IFERROR(AVERAGEIF($C$6:$C$115,C94,$E$6:$E$115),0))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29">
        <f>IF(OR(E95="",F95=""),"",E95+F95)</f>
        <v/>
      </c>
      <c r="H95" s="7" t="n"/>
      <c r="I95" s="7" t="n"/>
      <c r="J95" s="7" t="n"/>
      <c r="K95" s="7" t="n"/>
      <c r="L95" s="7" t="n"/>
      <c r="M95" s="7">
        <f>IF(B95="","",IFERROR(VLOOKUP(B95,'F01 - _Données Expatriés'!$A$6:$K$20,2,FALSE)&amp;" "&amp;VLOOKUP(B95,'F01 - _Données Expatriés'!$A$6:$K$20,3,FALSE),""))</f>
        <v/>
      </c>
      <c r="N95" s="29">
        <f>IF(C95="","",IFERROR(AVERAGEIF($C$6:$C$115,C95,$E$6:$E$115),0))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28">
        <f>IF(OR(E96="",F96=""),"",E96+F96)</f>
        <v/>
      </c>
      <c r="H96" s="5" t="n"/>
      <c r="I96" s="5" t="n"/>
      <c r="J96" s="5" t="n"/>
      <c r="K96" s="5" t="n"/>
      <c r="L96" s="5" t="n"/>
      <c r="M96" s="5">
        <f>IF(B96="","",IFERROR(VLOOKUP(B96,'F01 - _Données Expatriés'!$A$6:$K$20,2,FALSE)&amp;" "&amp;VLOOKUP(B96,'F01 - _Données Expatriés'!$A$6:$K$20,3,FALSE),""))</f>
        <v/>
      </c>
      <c r="N96" s="28">
        <f>IF(C96="","",IFERROR(AVERAGEIF($C$6:$C$115,C96,$E$6:$E$115),0))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29">
        <f>IF(OR(E97="",F97=""),"",E97+F97)</f>
        <v/>
      </c>
      <c r="H97" s="7" t="n"/>
      <c r="I97" s="7" t="n"/>
      <c r="J97" s="7" t="n"/>
      <c r="K97" s="7" t="n"/>
      <c r="L97" s="7" t="n"/>
      <c r="M97" s="7">
        <f>IF(B97="","",IFERROR(VLOOKUP(B97,'F01 - _Données Expatriés'!$A$6:$K$20,2,FALSE)&amp;" "&amp;VLOOKUP(B97,'F01 - _Données Expatriés'!$A$6:$K$20,3,FALSE),""))</f>
        <v/>
      </c>
      <c r="N97" s="29">
        <f>IF(C97="","",IFERROR(AVERAGEIF($C$6:$C$115,C97,$E$6:$E$115),0))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28">
        <f>IF(OR(E98="",F98=""),"",E98+F98)</f>
        <v/>
      </c>
      <c r="H98" s="5" t="n"/>
      <c r="I98" s="5" t="n"/>
      <c r="J98" s="5" t="n"/>
      <c r="K98" s="5" t="n"/>
      <c r="L98" s="5" t="n"/>
      <c r="M98" s="5">
        <f>IF(B98="","",IFERROR(VLOOKUP(B98,'F01 - _Données Expatriés'!$A$6:$K$20,2,FALSE)&amp;" "&amp;VLOOKUP(B98,'F01 - _Données Expatriés'!$A$6:$K$20,3,FALSE),""))</f>
        <v/>
      </c>
      <c r="N98" s="28">
        <f>IF(C98="","",IFERROR(AVERAGEIF($C$6:$C$115,C98,$E$6:$E$115),0))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29">
        <f>IF(OR(E99="",F99=""),"",E99+F99)</f>
        <v/>
      </c>
      <c r="H99" s="7" t="n"/>
      <c r="I99" s="7" t="n"/>
      <c r="J99" s="7" t="n"/>
      <c r="K99" s="7" t="n"/>
      <c r="L99" s="7" t="n"/>
      <c r="M99" s="7">
        <f>IF(B99="","",IFERROR(VLOOKUP(B99,'F01 - _Données Expatriés'!$A$6:$K$20,2,FALSE)&amp;" "&amp;VLOOKUP(B99,'F01 - _Données Expatriés'!$A$6:$K$20,3,FALSE),""))</f>
        <v/>
      </c>
      <c r="N99" s="29">
        <f>IF(C99="","",IFERROR(AVERAGEIF($C$6:$C$115,C99,$E$6:$E$115),0))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28">
        <f>IF(OR(E100="",F100=""),"",E100+F100)</f>
        <v/>
      </c>
      <c r="H100" s="5" t="n"/>
      <c r="I100" s="5" t="n"/>
      <c r="J100" s="5" t="n"/>
      <c r="K100" s="5" t="n"/>
      <c r="L100" s="5" t="n"/>
      <c r="M100" s="5">
        <f>IF(B100="","",IFERROR(VLOOKUP(B100,'F01 - _Données Expatriés'!$A$6:$K$20,2,FALSE)&amp;" "&amp;VLOOKUP(B100,'F01 - _Données Expatriés'!$A$6:$K$20,3,FALSE),""))</f>
        <v/>
      </c>
      <c r="N100" s="28">
        <f>IF(C100="","",IFERROR(AVERAGEIF($C$6:$C$115,C100,$E$6:$E$115),0))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29">
        <f>IF(OR(E101="",F101=""),"",E101+F101)</f>
        <v/>
      </c>
      <c r="H101" s="7" t="n"/>
      <c r="I101" s="7" t="n"/>
      <c r="J101" s="7" t="n"/>
      <c r="K101" s="7" t="n"/>
      <c r="L101" s="7" t="n"/>
      <c r="M101" s="7">
        <f>IF(B101="","",IFERROR(VLOOKUP(B101,'F01 - _Données Expatriés'!$A$6:$K$20,2,FALSE)&amp;" "&amp;VLOOKUP(B101,'F01 - _Données Expatriés'!$A$6:$K$20,3,FALSE),""))</f>
        <v/>
      </c>
      <c r="N101" s="29">
        <f>IF(C101="","",IFERROR(AVERAGEIF($C$6:$C$115,C101,$E$6:$E$115),0))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28">
        <f>IF(OR(E102="",F102=""),"",E102+F102)</f>
        <v/>
      </c>
      <c r="H102" s="5" t="n"/>
      <c r="I102" s="5" t="n"/>
      <c r="J102" s="5" t="n"/>
      <c r="K102" s="5" t="n"/>
      <c r="L102" s="5" t="n"/>
      <c r="M102" s="5">
        <f>IF(B102="","",IFERROR(VLOOKUP(B102,'F01 - _Données Expatriés'!$A$6:$K$20,2,FALSE)&amp;" "&amp;VLOOKUP(B102,'F01 - _Données Expatriés'!$A$6:$K$20,3,FALSE),""))</f>
        <v/>
      </c>
      <c r="N102" s="28">
        <f>IF(C102="","",IFERROR(AVERAGEIF($C$6:$C$115,C102,$E$6:$E$115),0))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29">
        <f>IF(OR(E103="",F103=""),"",E103+F103)</f>
        <v/>
      </c>
      <c r="H103" s="7" t="n"/>
      <c r="I103" s="7" t="n"/>
      <c r="J103" s="7" t="n"/>
      <c r="K103" s="7" t="n"/>
      <c r="L103" s="7" t="n"/>
      <c r="M103" s="7">
        <f>IF(B103="","",IFERROR(VLOOKUP(B103,'F01 - _Données Expatriés'!$A$6:$K$20,2,FALSE)&amp;" "&amp;VLOOKUP(B103,'F01 - _Données Expatriés'!$A$6:$K$20,3,FALSE),""))</f>
        <v/>
      </c>
      <c r="N103" s="29">
        <f>IF(C103="","",IFERROR(AVERAGEIF($C$6:$C$115,C103,$E$6:$E$115),0))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28">
        <f>IF(OR(E104="",F104=""),"",E104+F104)</f>
        <v/>
      </c>
      <c r="H104" s="5" t="n"/>
      <c r="I104" s="5" t="n"/>
      <c r="J104" s="5" t="n"/>
      <c r="K104" s="5" t="n"/>
      <c r="L104" s="5" t="n"/>
      <c r="M104" s="5">
        <f>IF(B104="","",IFERROR(VLOOKUP(B104,'F01 - _Données Expatriés'!$A$6:$K$20,2,FALSE)&amp;" "&amp;VLOOKUP(B104,'F01 - _Données Expatriés'!$A$6:$K$20,3,FALSE),""))</f>
        <v/>
      </c>
      <c r="N104" s="28">
        <f>IF(C104="","",IFERROR(AVERAGEIF($C$6:$C$115,C104,$E$6:$E$115),0))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29">
        <f>IF(OR(E105="",F105=""),"",E105+F105)</f>
        <v/>
      </c>
      <c r="H105" s="7" t="n"/>
      <c r="I105" s="7" t="n"/>
      <c r="J105" s="7" t="n"/>
      <c r="K105" s="7" t="n"/>
      <c r="L105" s="7" t="n"/>
      <c r="M105" s="7">
        <f>IF(B105="","",IFERROR(VLOOKUP(B105,'F01 - _Données Expatriés'!$A$6:$K$20,2,FALSE)&amp;" "&amp;VLOOKUP(B105,'F01 - _Données Expatriés'!$A$6:$K$20,3,FALSE),""))</f>
        <v/>
      </c>
      <c r="N105" s="29">
        <f>IF(C105="","",IFERROR(AVERAGEIF($C$6:$C$115,C105,$E$6:$E$115),0))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28">
        <f>IF(OR(E106="",F106=""),"",E106+F106)</f>
        <v/>
      </c>
      <c r="H106" s="5" t="n"/>
      <c r="I106" s="5" t="n"/>
      <c r="J106" s="5" t="n"/>
      <c r="K106" s="5" t="n"/>
      <c r="L106" s="5" t="n"/>
      <c r="M106" s="5">
        <f>IF(B106="","",IFERROR(VLOOKUP(B106,'F01 - _Données Expatriés'!$A$6:$K$20,2,FALSE)&amp;" "&amp;VLOOKUP(B106,'F01 - _Données Expatriés'!$A$6:$K$20,3,FALSE),""))</f>
        <v/>
      </c>
      <c r="N106" s="28">
        <f>IF(C106="","",IFERROR(AVERAGEIF($C$6:$C$115,C106,$E$6:$E$115),0))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29">
        <f>IF(OR(E107="",F107=""),"",E107+F107)</f>
        <v/>
      </c>
      <c r="H107" s="7" t="n"/>
      <c r="I107" s="7" t="n"/>
      <c r="J107" s="7" t="n"/>
      <c r="K107" s="7" t="n"/>
      <c r="L107" s="7" t="n"/>
      <c r="M107" s="7">
        <f>IF(B107="","",IFERROR(VLOOKUP(B107,'F01 - _Données Expatriés'!$A$6:$K$20,2,FALSE)&amp;" "&amp;VLOOKUP(B107,'F01 - _Données Expatriés'!$A$6:$K$20,3,FALSE),""))</f>
        <v/>
      </c>
      <c r="N107" s="29">
        <f>IF(C107="","",IFERROR(AVERAGEIF($C$6:$C$115,C107,$E$6:$E$115),0))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28">
        <f>IF(OR(E108="",F108=""),"",E108+F108)</f>
        <v/>
      </c>
      <c r="H108" s="5" t="n"/>
      <c r="I108" s="5" t="n"/>
      <c r="J108" s="5" t="n"/>
      <c r="K108" s="5" t="n"/>
      <c r="L108" s="5" t="n"/>
      <c r="M108" s="5">
        <f>IF(B108="","",IFERROR(VLOOKUP(B108,'F01 - _Données Expatriés'!$A$6:$K$20,2,FALSE)&amp;" "&amp;VLOOKUP(B108,'F01 - _Données Expatriés'!$A$6:$K$20,3,FALSE),""))</f>
        <v/>
      </c>
      <c r="N108" s="28">
        <f>IF(C108="","",IFERROR(AVERAGEIF($C$6:$C$115,C108,$E$6:$E$115),0))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29">
        <f>IF(OR(E109="",F109=""),"",E109+F109)</f>
        <v/>
      </c>
      <c r="H109" s="7" t="n"/>
      <c r="I109" s="7" t="n"/>
      <c r="J109" s="7" t="n"/>
      <c r="K109" s="7" t="n"/>
      <c r="L109" s="7" t="n"/>
      <c r="M109" s="7">
        <f>IF(B109="","",IFERROR(VLOOKUP(B109,'F01 - _Données Expatriés'!$A$6:$K$20,2,FALSE)&amp;" "&amp;VLOOKUP(B109,'F01 - _Données Expatriés'!$A$6:$K$20,3,FALSE),""))</f>
        <v/>
      </c>
      <c r="N109" s="29">
        <f>IF(C109="","",IFERROR(AVERAGEIF($C$6:$C$115,C109,$E$6:$E$115),0))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28">
        <f>IF(OR(E110="",F110=""),"",E110+F110)</f>
        <v/>
      </c>
      <c r="H110" s="5" t="n"/>
      <c r="I110" s="5" t="n"/>
      <c r="J110" s="5" t="n"/>
      <c r="K110" s="5" t="n"/>
      <c r="L110" s="5" t="n"/>
      <c r="M110" s="5">
        <f>IF(B110="","",IFERROR(VLOOKUP(B110,'F01 - _Données Expatriés'!$A$6:$K$20,2,FALSE)&amp;" "&amp;VLOOKUP(B110,'F01 - _Données Expatriés'!$A$6:$K$20,3,FALSE),""))</f>
        <v/>
      </c>
      <c r="N110" s="28">
        <f>IF(C110="","",IFERROR(AVERAGEIF($C$6:$C$115,C110,$E$6:$E$115),0))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29">
        <f>IF(OR(E111="",F111=""),"",E111+F111)</f>
        <v/>
      </c>
      <c r="H111" s="7" t="n"/>
      <c r="I111" s="7" t="n"/>
      <c r="J111" s="7" t="n"/>
      <c r="K111" s="7" t="n"/>
      <c r="L111" s="7" t="n"/>
      <c r="M111" s="7">
        <f>IF(B111="","",IFERROR(VLOOKUP(B111,'F01 - _Données Expatriés'!$A$6:$K$20,2,FALSE)&amp;" "&amp;VLOOKUP(B111,'F01 - _Données Expatriés'!$A$6:$K$20,3,FALSE),""))</f>
        <v/>
      </c>
      <c r="N111" s="29">
        <f>IF(C111="","",IFERROR(AVERAGEIF($C$6:$C$115,C111,$E$6:$E$115),0))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28">
        <f>IF(OR(E112="",F112=""),"",E112+F112)</f>
        <v/>
      </c>
      <c r="H112" s="5" t="n"/>
      <c r="I112" s="5" t="n"/>
      <c r="J112" s="5" t="n"/>
      <c r="K112" s="5" t="n"/>
      <c r="L112" s="5" t="n"/>
      <c r="M112" s="5">
        <f>IF(B112="","",IFERROR(VLOOKUP(B112,'F01 - _Données Expatriés'!$A$6:$K$20,2,FALSE)&amp;" "&amp;VLOOKUP(B112,'F01 - _Données Expatriés'!$A$6:$K$20,3,FALSE),""))</f>
        <v/>
      </c>
      <c r="N112" s="28">
        <f>IF(C112="","",IFERROR(AVERAGEIF($C$6:$C$115,C112,$E$6:$E$115),0))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29">
        <f>IF(OR(E113="",F113=""),"",E113+F113)</f>
        <v/>
      </c>
      <c r="H113" s="7" t="n"/>
      <c r="I113" s="7" t="n"/>
      <c r="J113" s="7" t="n"/>
      <c r="K113" s="7" t="n"/>
      <c r="L113" s="7" t="n"/>
      <c r="M113" s="7">
        <f>IF(B113="","",IFERROR(VLOOKUP(B113,'F01 - _Données Expatriés'!$A$6:$K$20,2,FALSE)&amp;" "&amp;VLOOKUP(B113,'F01 - _Données Expatriés'!$A$6:$K$20,3,FALSE),""))</f>
        <v/>
      </c>
      <c r="N113" s="29">
        <f>IF(C113="","",IFERROR(AVERAGEIF($C$6:$C$115,C113,$E$6:$E$115),0))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28">
        <f>IF(OR(E114="",F114=""),"",E114+F114)</f>
        <v/>
      </c>
      <c r="H114" s="5" t="n"/>
      <c r="I114" s="5" t="n"/>
      <c r="J114" s="5" t="n"/>
      <c r="K114" s="5" t="n"/>
      <c r="L114" s="5" t="n"/>
      <c r="M114" s="5">
        <f>IF(B114="","",IFERROR(VLOOKUP(B114,'F01 - _Données Expatriés'!$A$6:$K$20,2,FALSE)&amp;" "&amp;VLOOKUP(B114,'F01 - _Données Expatriés'!$A$6:$K$20,3,FALSE),""))</f>
        <v/>
      </c>
      <c r="N114" s="28">
        <f>IF(C114="","",IFERROR(AVERAGEIF($C$6:$C$115,C114,$E$6:$E$115),0))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29">
        <f>IF(OR(E115="",F115=""),"",E115+F115)</f>
        <v/>
      </c>
      <c r="H115" s="7" t="n"/>
      <c r="I115" s="7" t="n"/>
      <c r="J115" s="7" t="n"/>
      <c r="K115" s="7" t="n"/>
      <c r="L115" s="7" t="n"/>
      <c r="M115" s="7">
        <f>IF(B115="","",IFERROR(VLOOKUP(B115,'F01 - _Données Expatriés'!$A$6:$K$20,2,FALSE)&amp;" "&amp;VLOOKUP(B115,'F01 - _Données Expatriés'!$A$6:$K$20,3,FALSE),""))</f>
        <v/>
      </c>
      <c r="N115" s="29">
        <f>IF(C115="","",IFERROR(AVERAGEIF($C$6:$C$115,C115,$E$6:$E$115),0))</f>
        <v/>
      </c>
    </row>
  </sheetData>
  <mergeCells count="2">
    <mergeCell ref="A3:N3"/>
    <mergeCell ref="A2:N2"/>
  </mergeCells>
  <dataValidations count="1">
    <dataValidation sqref="C6:C115" showDropDown="0" showInputMessage="0" showErrorMessage="0" allowBlank="1" errorTitle="Erreur" error="Valeur invalide" promptTitle="" prompt="Choisir dans la liste: " type="list">
      <formula1>'F02 - _Lists'!$N$6:$N$10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4" customWidth="1" min="4" max="4"/>
    <col width="22" customWidth="1" min="5" max="5"/>
    <col width="30" customWidth="1" min="6" max="6"/>
    <col width="22" customWidth="1" min="7" max="7"/>
    <col width="22" customWidth="1" min="8" max="8"/>
    <col width="20" customWidth="1" min="9" max="9"/>
    <col width="20" customWidth="1" min="10" max="10"/>
    <col width="16" customWidth="1" min="11" max="11"/>
    <col width="14" customWidth="1" min="12" max="12"/>
    <col width="28" customWidth="1" min="13" max="13"/>
    <col width="14" customWidth="1" min="14" max="14"/>
  </cols>
  <sheetData>
    <row r="1" ht="8" customHeight="1"/>
    <row r="2" ht="30" customHeight="1">
      <c r="A2" s="1" t="inlineStr">
        <is>
          <t>6-SCOLARITÉ ENFANTS D'EXPATRIÉS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Scol.</t>
        </is>
      </c>
      <c r="B5" s="4" t="inlineStr">
        <is>
          <t>Matricule Expat.</t>
        </is>
      </c>
      <c r="C5" s="4" t="inlineStr">
        <is>
          <t>Nom Enfant</t>
        </is>
      </c>
      <c r="D5" s="4" t="inlineStr">
        <is>
          <t>Âge Enfant</t>
        </is>
      </c>
      <c r="E5" s="4" t="inlineStr">
        <is>
          <t>Type École</t>
        </is>
      </c>
      <c r="F5" s="4" t="inlineStr">
        <is>
          <t>Nom Établissement</t>
        </is>
      </c>
      <c r="G5" s="4" t="inlineStr">
        <is>
          <t>Frais Scolarité (FCFA)</t>
        </is>
      </c>
      <c r="H5" s="4" t="inlineStr">
        <is>
          <t>Frais Inscription (FCFA)</t>
        </is>
      </c>
      <c r="I5" s="4" t="inlineStr">
        <is>
          <t>Coût Annuel (FCFA)</t>
        </is>
      </c>
      <c r="J5" s="4" t="inlineStr">
        <is>
          <t>Prise en Charge (%)</t>
        </is>
      </c>
      <c r="K5" s="4" t="inlineStr">
        <is>
          <t>Année Scolaire</t>
        </is>
      </c>
      <c r="L5" s="4" t="inlineStr">
        <is>
          <t>Statut</t>
        </is>
      </c>
      <c r="M5" s="4" t="inlineStr">
        <is>
          <t>Observations</t>
        </is>
      </c>
      <c r="N5" s="4" t="inlineStr"/>
    </row>
    <row r="6" ht="22" customHeight="1">
      <c r="A6" s="5" t="inlineStr">
        <is>
          <t>SCO-001</t>
        </is>
      </c>
      <c r="B6" s="5" t="inlineStr">
        <is>
          <t>EXP-002</t>
        </is>
      </c>
      <c r="C6" s="5" t="inlineStr">
        <is>
          <t>Dupont Lucas</t>
        </is>
      </c>
      <c r="D6" s="25" t="n">
        <v>8</v>
      </c>
      <c r="E6" s="5" t="inlineStr">
        <is>
          <t>École française</t>
        </is>
      </c>
      <c r="F6" s="5" t="inlineStr">
        <is>
          <t>Lycée Sainte-Marie</t>
        </is>
      </c>
      <c r="G6" s="25" t="n">
        <v>3500000</v>
      </c>
      <c r="H6" s="25" t="n">
        <v>250000</v>
      </c>
      <c r="I6" s="28">
        <f>IF(OR(G6="",H6=""),"",G6+H6)</f>
        <v/>
      </c>
      <c r="J6" s="25" t="n">
        <v>80</v>
      </c>
      <c r="K6" s="5" t="inlineStr">
        <is>
          <t>2024-2025</t>
        </is>
      </c>
      <c r="L6" s="5" t="inlineStr">
        <is>
          <t>Validé</t>
        </is>
      </c>
      <c r="M6" s="5">
        <f>IF(B6="","",IFERROR(VLOOKUP(B6,'F01 - _Données Expatriés'!$A$6:$K$20,2,FALSE)&amp;" "&amp;VLOOKUP(B6,'F01 - _Données Expatriés'!$A$6:$K$20,3,FALSE),""))</f>
        <v/>
      </c>
      <c r="N6" s="28">
        <f>IF(B6="","",IFERROR(SUMIF($B$6:$B$115,B6,$I$6:$I$115),0))</f>
        <v/>
      </c>
    </row>
    <row r="7" ht="22" customHeight="1">
      <c r="A7" s="7" t="inlineStr">
        <is>
          <t>SCO-002</t>
        </is>
      </c>
      <c r="B7" s="7" t="inlineStr">
        <is>
          <t>EXP-002</t>
        </is>
      </c>
      <c r="C7" s="7" t="inlineStr">
        <is>
          <t>Dupont Emma</t>
        </is>
      </c>
      <c r="D7" s="27" t="n">
        <v>12</v>
      </c>
      <c r="E7" s="7" t="inlineStr">
        <is>
          <t>École internationale</t>
        </is>
      </c>
      <c r="F7" s="7" t="inlineStr">
        <is>
          <t>International School Abidjan</t>
        </is>
      </c>
      <c r="G7" s="27" t="n">
        <v>5500000</v>
      </c>
      <c r="H7" s="27" t="n">
        <v>400000</v>
      </c>
      <c r="I7" s="29">
        <f>IF(OR(G7="",H7=""),"",G7+H7)</f>
        <v/>
      </c>
      <c r="J7" s="27" t="n">
        <v>80</v>
      </c>
      <c r="K7" s="7" t="inlineStr">
        <is>
          <t>2024-2025</t>
        </is>
      </c>
      <c r="L7" s="7" t="inlineStr">
        <is>
          <t>Validé</t>
        </is>
      </c>
      <c r="M7" s="7">
        <f>IF(B7="","",IFERROR(VLOOKUP(B7,'F01 - _Données Expatriés'!$A$6:$K$20,2,FALSE)&amp;" "&amp;VLOOKUP(B7,'F01 - _Données Expatriés'!$A$6:$K$20,3,FALSE),""))</f>
        <v/>
      </c>
      <c r="N7" s="29">
        <f>IF(B7="","",IFERROR(SUMIF($B$6:$B$115,B7,$I$6:$I$115),0))</f>
        <v/>
      </c>
    </row>
    <row r="8" ht="22" customHeight="1">
      <c r="A8" s="5" t="inlineStr">
        <is>
          <t>SCO-003</t>
        </is>
      </c>
      <c r="B8" s="5" t="inlineStr">
        <is>
          <t>EXP-003</t>
        </is>
      </c>
      <c r="C8" s="5" t="inlineStr">
        <is>
          <t>Mueller Anna</t>
        </is>
      </c>
      <c r="D8" s="25" t="n">
        <v>6</v>
      </c>
      <c r="E8" s="5" t="inlineStr">
        <is>
          <t>École allemande</t>
        </is>
      </c>
      <c r="F8" s="5" t="inlineStr">
        <is>
          <t>École Allemande Abidjan</t>
        </is>
      </c>
      <c r="G8" s="25" t="n">
        <v>4200000</v>
      </c>
      <c r="H8" s="25" t="n">
        <v>300000</v>
      </c>
      <c r="I8" s="28">
        <f>IF(OR(G8="",H8=""),"",G8+H8)</f>
        <v/>
      </c>
      <c r="J8" s="25" t="n">
        <v>100</v>
      </c>
      <c r="K8" s="5" t="inlineStr">
        <is>
          <t>2024-2025</t>
        </is>
      </c>
      <c r="L8" s="5" t="inlineStr">
        <is>
          <t>Validé</t>
        </is>
      </c>
      <c r="M8" s="5">
        <f>IF(B8="","",IFERROR(VLOOKUP(B8,'F01 - _Données Expatriés'!$A$6:$K$20,2,FALSE)&amp;" "&amp;VLOOKUP(B8,'F01 - _Données Expatriés'!$A$6:$K$20,3,FALSE),""))</f>
        <v/>
      </c>
      <c r="N8" s="28">
        <f>IF(B8="","",IFERROR(SUMIF($B$6:$B$115,B8,$I$6:$I$115),0))</f>
        <v/>
      </c>
    </row>
    <row r="9" ht="22" customHeight="1">
      <c r="A9" s="7" t="inlineStr">
        <is>
          <t>SCO-004</t>
        </is>
      </c>
      <c r="B9" s="7" t="inlineStr">
        <is>
          <t>EXP-007</t>
        </is>
      </c>
      <c r="C9" s="7" t="inlineStr">
        <is>
          <t>Mensah Ade</t>
        </is>
      </c>
      <c r="D9" s="27" t="n">
        <v>10</v>
      </c>
      <c r="E9" s="7" t="inlineStr">
        <is>
          <t>École internationale</t>
        </is>
      </c>
      <c r="F9" s="7" t="inlineStr">
        <is>
          <t>International School Abidjan</t>
        </is>
      </c>
      <c r="G9" s="27" t="n">
        <v>5500000</v>
      </c>
      <c r="H9" s="27" t="n">
        <v>400000</v>
      </c>
      <c r="I9" s="29">
        <f>IF(OR(G9="",H9=""),"",G9+H9)</f>
        <v/>
      </c>
      <c r="J9" s="27" t="n">
        <v>70</v>
      </c>
      <c r="K9" s="7" t="inlineStr">
        <is>
          <t>2024-2025</t>
        </is>
      </c>
      <c r="L9" s="7" t="inlineStr">
        <is>
          <t>Validé</t>
        </is>
      </c>
      <c r="M9" s="7">
        <f>IF(B9="","",IFERROR(VLOOKUP(B9,'F01 - _Données Expatriés'!$A$6:$K$20,2,FALSE)&amp;" "&amp;VLOOKUP(B9,'F01 - _Données Expatriés'!$A$6:$K$20,3,FALSE),""))</f>
        <v/>
      </c>
      <c r="N9" s="29">
        <f>IF(B9="","",IFERROR(SUMIF($B$6:$B$115,B9,$I$6:$I$115),0))</f>
        <v/>
      </c>
    </row>
    <row r="10" ht="22" customHeight="1">
      <c r="A10" s="5" t="inlineStr">
        <is>
          <t>SCO-005</t>
        </is>
      </c>
      <c r="B10" s="5" t="inlineStr">
        <is>
          <t>EXP-007</t>
        </is>
      </c>
      <c r="C10" s="5" t="inlineStr">
        <is>
          <t>Mensah Ngozi</t>
        </is>
      </c>
      <c r="D10" s="25" t="n">
        <v>7</v>
      </c>
      <c r="E10" s="5" t="inlineStr">
        <is>
          <t>École internationale</t>
        </is>
      </c>
      <c r="F10" s="5" t="inlineStr">
        <is>
          <t>International School Abidjan</t>
        </is>
      </c>
      <c r="G10" s="25" t="n">
        <v>5000000</v>
      </c>
      <c r="H10" s="25" t="n">
        <v>350000</v>
      </c>
      <c r="I10" s="28">
        <f>IF(OR(G10="",H10=""),"",G10+H10)</f>
        <v/>
      </c>
      <c r="J10" s="25" t="n">
        <v>70</v>
      </c>
      <c r="K10" s="5" t="inlineStr">
        <is>
          <t>2024-2025</t>
        </is>
      </c>
      <c r="L10" s="5" t="inlineStr">
        <is>
          <t>Validé</t>
        </is>
      </c>
      <c r="M10" s="5">
        <f>IF(B10="","",IFERROR(VLOOKUP(B10,'F01 - _Données Expatriés'!$A$6:$K$20,2,FALSE)&amp;" "&amp;VLOOKUP(B10,'F01 - _Données Expatriés'!$A$6:$K$20,3,FALSE),""))</f>
        <v/>
      </c>
      <c r="N10" s="28">
        <f>IF(B10="","",IFERROR(SUMIF($B$6:$B$115,B10,$I$6:$I$115),0))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29">
        <f>IF(OR(G11="",H11=""),"",G11+H11)</f>
        <v/>
      </c>
      <c r="J11" s="7" t="n"/>
      <c r="K11" s="7" t="n"/>
      <c r="L11" s="7" t="n"/>
      <c r="M11" s="7">
        <f>IF(B11="","",IFERROR(VLOOKUP(B11,'F01 - _Données Expatriés'!$A$6:$K$20,2,FALSE)&amp;" "&amp;VLOOKUP(B11,'F01 - _Données Expatriés'!$A$6:$K$20,3,FALSE),""))</f>
        <v/>
      </c>
      <c r="N11" s="29">
        <f>IF(B11="","",IFERROR(SUMIF($B$6:$B$115,B11,$I$6:$I$115),0))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28">
        <f>IF(OR(G12="",H12=""),"",G12+H12)</f>
        <v/>
      </c>
      <c r="J12" s="5" t="n"/>
      <c r="K12" s="5" t="n"/>
      <c r="L12" s="5" t="n"/>
      <c r="M12" s="5">
        <f>IF(B12="","",IFERROR(VLOOKUP(B12,'F01 - _Données Expatriés'!$A$6:$K$20,2,FALSE)&amp;" "&amp;VLOOKUP(B12,'F01 - _Données Expatriés'!$A$6:$K$20,3,FALSE),""))</f>
        <v/>
      </c>
      <c r="N12" s="28">
        <f>IF(B12="","",IFERROR(SUMIF($B$6:$B$115,B12,$I$6:$I$115),0))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29">
        <f>IF(OR(G13="",H13=""),"",G13+H13)</f>
        <v/>
      </c>
      <c r="J13" s="7" t="n"/>
      <c r="K13" s="7" t="n"/>
      <c r="L13" s="7" t="n"/>
      <c r="M13" s="7">
        <f>IF(B13="","",IFERROR(VLOOKUP(B13,'F01 - _Données Expatriés'!$A$6:$K$20,2,FALSE)&amp;" "&amp;VLOOKUP(B13,'F01 - _Données Expatriés'!$A$6:$K$20,3,FALSE),""))</f>
        <v/>
      </c>
      <c r="N13" s="29">
        <f>IF(B13="","",IFERROR(SUMIF($B$6:$B$115,B13,$I$6:$I$115),0))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28">
        <f>IF(OR(G14="",H14=""),"",G14+H14)</f>
        <v/>
      </c>
      <c r="J14" s="5" t="n"/>
      <c r="K14" s="5" t="n"/>
      <c r="L14" s="5" t="n"/>
      <c r="M14" s="5">
        <f>IF(B14="","",IFERROR(VLOOKUP(B14,'F01 - _Données Expatriés'!$A$6:$K$20,2,FALSE)&amp;" "&amp;VLOOKUP(B14,'F01 - _Données Expatriés'!$A$6:$K$20,3,FALSE),""))</f>
        <v/>
      </c>
      <c r="N14" s="28">
        <f>IF(B14="","",IFERROR(SUMIF($B$6:$B$115,B14,$I$6:$I$115),0))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29">
        <f>IF(OR(G15="",H15=""),"",G15+H15)</f>
        <v/>
      </c>
      <c r="J15" s="7" t="n"/>
      <c r="K15" s="7" t="n"/>
      <c r="L15" s="7" t="n"/>
      <c r="M15" s="7">
        <f>IF(B15="","",IFERROR(VLOOKUP(B15,'F01 - _Données Expatriés'!$A$6:$K$20,2,FALSE)&amp;" "&amp;VLOOKUP(B15,'F01 - _Données Expatriés'!$A$6:$K$20,3,FALSE),""))</f>
        <v/>
      </c>
      <c r="N15" s="29">
        <f>IF(B15="","",IFERROR(SUMIF($B$6:$B$115,B15,$I$6:$I$115),0))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28">
        <f>IF(OR(G16="",H16=""),"",G16+H16)</f>
        <v/>
      </c>
      <c r="J16" s="5" t="n"/>
      <c r="K16" s="5" t="n"/>
      <c r="L16" s="5" t="n"/>
      <c r="M16" s="5">
        <f>IF(B16="","",IFERROR(VLOOKUP(B16,'F01 - _Données Expatriés'!$A$6:$K$20,2,FALSE)&amp;" "&amp;VLOOKUP(B16,'F01 - _Données Expatriés'!$A$6:$K$20,3,FALSE),""))</f>
        <v/>
      </c>
      <c r="N16" s="28">
        <f>IF(B16="","",IFERROR(SUMIF($B$6:$B$115,B16,$I$6:$I$115),0))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29">
        <f>IF(OR(G17="",H17=""),"",G17+H17)</f>
        <v/>
      </c>
      <c r="J17" s="7" t="n"/>
      <c r="K17" s="7" t="n"/>
      <c r="L17" s="7" t="n"/>
      <c r="M17" s="7">
        <f>IF(B17="","",IFERROR(VLOOKUP(B17,'F01 - _Données Expatriés'!$A$6:$K$20,2,FALSE)&amp;" "&amp;VLOOKUP(B17,'F01 - _Données Expatriés'!$A$6:$K$20,3,FALSE),""))</f>
        <v/>
      </c>
      <c r="N17" s="29">
        <f>IF(B17="","",IFERROR(SUMIF($B$6:$B$115,B17,$I$6:$I$115),0))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28">
        <f>IF(OR(G18="",H18=""),"",G18+H18)</f>
        <v/>
      </c>
      <c r="J18" s="5" t="n"/>
      <c r="K18" s="5" t="n"/>
      <c r="L18" s="5" t="n"/>
      <c r="M18" s="5">
        <f>IF(B18="","",IFERROR(VLOOKUP(B18,'F01 - _Données Expatriés'!$A$6:$K$20,2,FALSE)&amp;" "&amp;VLOOKUP(B18,'F01 - _Données Expatriés'!$A$6:$K$20,3,FALSE),""))</f>
        <v/>
      </c>
      <c r="N18" s="28">
        <f>IF(B18="","",IFERROR(SUMIF($B$6:$B$115,B18,$I$6:$I$115),0))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29">
        <f>IF(OR(G19="",H19=""),"",G19+H19)</f>
        <v/>
      </c>
      <c r="J19" s="7" t="n"/>
      <c r="K19" s="7" t="n"/>
      <c r="L19" s="7" t="n"/>
      <c r="M19" s="7">
        <f>IF(B19="","",IFERROR(VLOOKUP(B19,'F01 - _Données Expatriés'!$A$6:$K$20,2,FALSE)&amp;" "&amp;VLOOKUP(B19,'F01 - _Données Expatriés'!$A$6:$K$20,3,FALSE),""))</f>
        <v/>
      </c>
      <c r="N19" s="29">
        <f>IF(B19="","",IFERROR(SUMIF($B$6:$B$115,B19,$I$6:$I$115),0))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28">
        <f>IF(OR(G20="",H20=""),"",G20+H20)</f>
        <v/>
      </c>
      <c r="J20" s="5" t="n"/>
      <c r="K20" s="5" t="n"/>
      <c r="L20" s="5" t="n"/>
      <c r="M20" s="5">
        <f>IF(B20="","",IFERROR(VLOOKUP(B20,'F01 - _Données Expatriés'!$A$6:$K$20,2,FALSE)&amp;" "&amp;VLOOKUP(B20,'F01 - _Données Expatriés'!$A$6:$K$20,3,FALSE),""))</f>
        <v/>
      </c>
      <c r="N20" s="28">
        <f>IF(B20="","",IFERROR(SUMIF($B$6:$B$115,B20,$I$6:$I$115),0))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29">
        <f>IF(OR(G21="",H21=""),"",G21+H21)</f>
        <v/>
      </c>
      <c r="J21" s="7" t="n"/>
      <c r="K21" s="7" t="n"/>
      <c r="L21" s="7" t="n"/>
      <c r="M21" s="7">
        <f>IF(B21="","",IFERROR(VLOOKUP(B21,'F01 - _Données Expatriés'!$A$6:$K$20,2,FALSE)&amp;" "&amp;VLOOKUP(B21,'F01 - _Données Expatriés'!$A$6:$K$20,3,FALSE),""))</f>
        <v/>
      </c>
      <c r="N21" s="29">
        <f>IF(B21="","",IFERROR(SUMIF($B$6:$B$115,B21,$I$6:$I$115),0))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28">
        <f>IF(OR(G22="",H22=""),"",G22+H22)</f>
        <v/>
      </c>
      <c r="J22" s="5" t="n"/>
      <c r="K22" s="5" t="n"/>
      <c r="L22" s="5" t="n"/>
      <c r="M22" s="5">
        <f>IF(B22="","",IFERROR(VLOOKUP(B22,'F01 - _Données Expatriés'!$A$6:$K$20,2,FALSE)&amp;" "&amp;VLOOKUP(B22,'F01 - _Données Expatriés'!$A$6:$K$20,3,FALSE),""))</f>
        <v/>
      </c>
      <c r="N22" s="28">
        <f>IF(B22="","",IFERROR(SUMIF($B$6:$B$115,B22,$I$6:$I$115),0))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29">
        <f>IF(OR(G23="",H23=""),"",G23+H23)</f>
        <v/>
      </c>
      <c r="J23" s="7" t="n"/>
      <c r="K23" s="7" t="n"/>
      <c r="L23" s="7" t="n"/>
      <c r="M23" s="7">
        <f>IF(B23="","",IFERROR(VLOOKUP(B23,'F01 - _Données Expatriés'!$A$6:$K$20,2,FALSE)&amp;" "&amp;VLOOKUP(B23,'F01 - _Données Expatriés'!$A$6:$K$20,3,FALSE),""))</f>
        <v/>
      </c>
      <c r="N23" s="29">
        <f>IF(B23="","",IFERROR(SUMIF($B$6:$B$115,B23,$I$6:$I$115),0))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28">
        <f>IF(OR(G24="",H24=""),"",G24+H24)</f>
        <v/>
      </c>
      <c r="J24" s="5" t="n"/>
      <c r="K24" s="5" t="n"/>
      <c r="L24" s="5" t="n"/>
      <c r="M24" s="5">
        <f>IF(B24="","",IFERROR(VLOOKUP(B24,'F01 - _Données Expatriés'!$A$6:$K$20,2,FALSE)&amp;" "&amp;VLOOKUP(B24,'F01 - _Données Expatriés'!$A$6:$K$20,3,FALSE),""))</f>
        <v/>
      </c>
      <c r="N24" s="28">
        <f>IF(B24="","",IFERROR(SUMIF($B$6:$B$115,B24,$I$6:$I$115),0))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29">
        <f>IF(OR(G25="",H25=""),"",G25+H25)</f>
        <v/>
      </c>
      <c r="J25" s="7" t="n"/>
      <c r="K25" s="7" t="n"/>
      <c r="L25" s="7" t="n"/>
      <c r="M25" s="7">
        <f>IF(B25="","",IFERROR(VLOOKUP(B25,'F01 - _Données Expatriés'!$A$6:$K$20,2,FALSE)&amp;" "&amp;VLOOKUP(B25,'F01 - _Données Expatriés'!$A$6:$K$20,3,FALSE),""))</f>
        <v/>
      </c>
      <c r="N25" s="29">
        <f>IF(B25="","",IFERROR(SUMIF($B$6:$B$115,B25,$I$6:$I$115),0))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28">
        <f>IF(OR(G26="",H26=""),"",G26+H26)</f>
        <v/>
      </c>
      <c r="J26" s="5" t="n"/>
      <c r="K26" s="5" t="n"/>
      <c r="L26" s="5" t="n"/>
      <c r="M26" s="5">
        <f>IF(B26="","",IFERROR(VLOOKUP(B26,'F01 - _Données Expatriés'!$A$6:$K$20,2,FALSE)&amp;" "&amp;VLOOKUP(B26,'F01 - _Données Expatriés'!$A$6:$K$20,3,FALSE),""))</f>
        <v/>
      </c>
      <c r="N26" s="28">
        <f>IF(B26="","",IFERROR(SUMIF($B$6:$B$115,B26,$I$6:$I$115),0))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29">
        <f>IF(OR(G27="",H27=""),"",G27+H27)</f>
        <v/>
      </c>
      <c r="J27" s="7" t="n"/>
      <c r="K27" s="7" t="n"/>
      <c r="L27" s="7" t="n"/>
      <c r="M27" s="7">
        <f>IF(B27="","",IFERROR(VLOOKUP(B27,'F01 - _Données Expatriés'!$A$6:$K$20,2,FALSE)&amp;" "&amp;VLOOKUP(B27,'F01 - _Données Expatriés'!$A$6:$K$20,3,FALSE),""))</f>
        <v/>
      </c>
      <c r="N27" s="29">
        <f>IF(B27="","",IFERROR(SUMIF($B$6:$B$115,B27,$I$6:$I$115),0))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28">
        <f>IF(OR(G28="",H28=""),"",G28+H28)</f>
        <v/>
      </c>
      <c r="J28" s="5" t="n"/>
      <c r="K28" s="5" t="n"/>
      <c r="L28" s="5" t="n"/>
      <c r="M28" s="5">
        <f>IF(B28="","",IFERROR(VLOOKUP(B28,'F01 - _Données Expatriés'!$A$6:$K$20,2,FALSE)&amp;" "&amp;VLOOKUP(B28,'F01 - _Données Expatriés'!$A$6:$K$20,3,FALSE),""))</f>
        <v/>
      </c>
      <c r="N28" s="28">
        <f>IF(B28="","",IFERROR(SUMIF($B$6:$B$115,B28,$I$6:$I$115),0))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29">
        <f>IF(OR(G29="",H29=""),"",G29+H29)</f>
        <v/>
      </c>
      <c r="J29" s="7" t="n"/>
      <c r="K29" s="7" t="n"/>
      <c r="L29" s="7" t="n"/>
      <c r="M29" s="7">
        <f>IF(B29="","",IFERROR(VLOOKUP(B29,'F01 - _Données Expatriés'!$A$6:$K$20,2,FALSE)&amp;" "&amp;VLOOKUP(B29,'F01 - _Données Expatriés'!$A$6:$K$20,3,FALSE),""))</f>
        <v/>
      </c>
      <c r="N29" s="29">
        <f>IF(B29="","",IFERROR(SUMIF($B$6:$B$115,B29,$I$6:$I$115),0))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28">
        <f>IF(OR(G30="",H30=""),"",G30+H30)</f>
        <v/>
      </c>
      <c r="J30" s="5" t="n"/>
      <c r="K30" s="5" t="n"/>
      <c r="L30" s="5" t="n"/>
      <c r="M30" s="5">
        <f>IF(B30="","",IFERROR(VLOOKUP(B30,'F01 - _Données Expatriés'!$A$6:$K$20,2,FALSE)&amp;" "&amp;VLOOKUP(B30,'F01 - _Données Expatriés'!$A$6:$K$20,3,FALSE),""))</f>
        <v/>
      </c>
      <c r="N30" s="28">
        <f>IF(B30="","",IFERROR(SUMIF($B$6:$B$115,B30,$I$6:$I$115),0))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29">
        <f>IF(OR(G31="",H31=""),"",G31+H31)</f>
        <v/>
      </c>
      <c r="J31" s="7" t="n"/>
      <c r="K31" s="7" t="n"/>
      <c r="L31" s="7" t="n"/>
      <c r="M31" s="7">
        <f>IF(B31="","",IFERROR(VLOOKUP(B31,'F01 - _Données Expatriés'!$A$6:$K$20,2,FALSE)&amp;" "&amp;VLOOKUP(B31,'F01 - _Données Expatriés'!$A$6:$K$20,3,FALSE),""))</f>
        <v/>
      </c>
      <c r="N31" s="29">
        <f>IF(B31="","",IFERROR(SUMIF($B$6:$B$115,B31,$I$6:$I$115),0))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28">
        <f>IF(OR(G32="",H32=""),"",G32+H32)</f>
        <v/>
      </c>
      <c r="J32" s="5" t="n"/>
      <c r="K32" s="5" t="n"/>
      <c r="L32" s="5" t="n"/>
      <c r="M32" s="5">
        <f>IF(B32="","",IFERROR(VLOOKUP(B32,'F01 - _Données Expatriés'!$A$6:$K$20,2,FALSE)&amp;" "&amp;VLOOKUP(B32,'F01 - _Données Expatriés'!$A$6:$K$20,3,FALSE),""))</f>
        <v/>
      </c>
      <c r="N32" s="28">
        <f>IF(B32="","",IFERROR(SUMIF($B$6:$B$115,B32,$I$6:$I$115),0))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29">
        <f>IF(OR(G33="",H33=""),"",G33+H33)</f>
        <v/>
      </c>
      <c r="J33" s="7" t="n"/>
      <c r="K33" s="7" t="n"/>
      <c r="L33" s="7" t="n"/>
      <c r="M33" s="7">
        <f>IF(B33="","",IFERROR(VLOOKUP(B33,'F01 - _Données Expatriés'!$A$6:$K$20,2,FALSE)&amp;" "&amp;VLOOKUP(B33,'F01 - _Données Expatriés'!$A$6:$K$20,3,FALSE),""))</f>
        <v/>
      </c>
      <c r="N33" s="29">
        <f>IF(B33="","",IFERROR(SUMIF($B$6:$B$115,B33,$I$6:$I$115),0))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28">
        <f>IF(OR(G34="",H34=""),"",G34+H34)</f>
        <v/>
      </c>
      <c r="J34" s="5" t="n"/>
      <c r="K34" s="5" t="n"/>
      <c r="L34" s="5" t="n"/>
      <c r="M34" s="5">
        <f>IF(B34="","",IFERROR(VLOOKUP(B34,'F01 - _Données Expatriés'!$A$6:$K$20,2,FALSE)&amp;" "&amp;VLOOKUP(B34,'F01 - _Données Expatriés'!$A$6:$K$20,3,FALSE),""))</f>
        <v/>
      </c>
      <c r="N34" s="28">
        <f>IF(B34="","",IFERROR(SUMIF($B$6:$B$115,B34,$I$6:$I$115),0))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29">
        <f>IF(OR(G35="",H35=""),"",G35+H35)</f>
        <v/>
      </c>
      <c r="J35" s="7" t="n"/>
      <c r="K35" s="7" t="n"/>
      <c r="L35" s="7" t="n"/>
      <c r="M35" s="7">
        <f>IF(B35="","",IFERROR(VLOOKUP(B35,'F01 - _Données Expatriés'!$A$6:$K$20,2,FALSE)&amp;" "&amp;VLOOKUP(B35,'F01 - _Données Expatriés'!$A$6:$K$20,3,FALSE),""))</f>
        <v/>
      </c>
      <c r="N35" s="29">
        <f>IF(B35="","",IFERROR(SUMIF($B$6:$B$115,B35,$I$6:$I$115),0))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28">
        <f>IF(OR(G36="",H36=""),"",G36+H36)</f>
        <v/>
      </c>
      <c r="J36" s="5" t="n"/>
      <c r="K36" s="5" t="n"/>
      <c r="L36" s="5" t="n"/>
      <c r="M36" s="5">
        <f>IF(B36="","",IFERROR(VLOOKUP(B36,'F01 - _Données Expatriés'!$A$6:$K$20,2,FALSE)&amp;" "&amp;VLOOKUP(B36,'F01 - _Données Expatriés'!$A$6:$K$20,3,FALSE),""))</f>
        <v/>
      </c>
      <c r="N36" s="28">
        <f>IF(B36="","",IFERROR(SUMIF($B$6:$B$115,B36,$I$6:$I$115),0))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29">
        <f>IF(OR(G37="",H37=""),"",G37+H37)</f>
        <v/>
      </c>
      <c r="J37" s="7" t="n"/>
      <c r="K37" s="7" t="n"/>
      <c r="L37" s="7" t="n"/>
      <c r="M37" s="7">
        <f>IF(B37="","",IFERROR(VLOOKUP(B37,'F01 - _Données Expatriés'!$A$6:$K$20,2,FALSE)&amp;" "&amp;VLOOKUP(B37,'F01 - _Données Expatriés'!$A$6:$K$20,3,FALSE),""))</f>
        <v/>
      </c>
      <c r="N37" s="29">
        <f>IF(B37="","",IFERROR(SUMIF($B$6:$B$115,B37,$I$6:$I$115),0))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28">
        <f>IF(OR(G38="",H38=""),"",G38+H38)</f>
        <v/>
      </c>
      <c r="J38" s="5" t="n"/>
      <c r="K38" s="5" t="n"/>
      <c r="L38" s="5" t="n"/>
      <c r="M38" s="5">
        <f>IF(B38="","",IFERROR(VLOOKUP(B38,'F01 - _Données Expatriés'!$A$6:$K$20,2,FALSE)&amp;" "&amp;VLOOKUP(B38,'F01 - _Données Expatriés'!$A$6:$K$20,3,FALSE),""))</f>
        <v/>
      </c>
      <c r="N38" s="28">
        <f>IF(B38="","",IFERROR(SUMIF($B$6:$B$115,B38,$I$6:$I$115),0))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29">
        <f>IF(OR(G39="",H39=""),"",G39+H39)</f>
        <v/>
      </c>
      <c r="J39" s="7" t="n"/>
      <c r="K39" s="7" t="n"/>
      <c r="L39" s="7" t="n"/>
      <c r="M39" s="7">
        <f>IF(B39="","",IFERROR(VLOOKUP(B39,'F01 - _Données Expatriés'!$A$6:$K$20,2,FALSE)&amp;" "&amp;VLOOKUP(B39,'F01 - _Données Expatriés'!$A$6:$K$20,3,FALSE),""))</f>
        <v/>
      </c>
      <c r="N39" s="29">
        <f>IF(B39="","",IFERROR(SUMIF($B$6:$B$115,B39,$I$6:$I$115),0))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28">
        <f>IF(OR(G40="",H40=""),"",G40+H40)</f>
        <v/>
      </c>
      <c r="J40" s="5" t="n"/>
      <c r="K40" s="5" t="n"/>
      <c r="L40" s="5" t="n"/>
      <c r="M40" s="5">
        <f>IF(B40="","",IFERROR(VLOOKUP(B40,'F01 - _Données Expatriés'!$A$6:$K$20,2,FALSE)&amp;" "&amp;VLOOKUP(B40,'F01 - _Données Expatriés'!$A$6:$K$20,3,FALSE),""))</f>
        <v/>
      </c>
      <c r="N40" s="28">
        <f>IF(B40="","",IFERROR(SUMIF($B$6:$B$115,B40,$I$6:$I$115),0))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29">
        <f>IF(OR(G41="",H41=""),"",G41+H41)</f>
        <v/>
      </c>
      <c r="J41" s="7" t="n"/>
      <c r="K41" s="7" t="n"/>
      <c r="L41" s="7" t="n"/>
      <c r="M41" s="7">
        <f>IF(B41="","",IFERROR(VLOOKUP(B41,'F01 - _Données Expatriés'!$A$6:$K$20,2,FALSE)&amp;" "&amp;VLOOKUP(B41,'F01 - _Données Expatriés'!$A$6:$K$20,3,FALSE),""))</f>
        <v/>
      </c>
      <c r="N41" s="29">
        <f>IF(B41="","",IFERROR(SUMIF($B$6:$B$115,B41,$I$6:$I$115),0))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28">
        <f>IF(OR(G42="",H42=""),"",G42+H42)</f>
        <v/>
      </c>
      <c r="J42" s="5" t="n"/>
      <c r="K42" s="5" t="n"/>
      <c r="L42" s="5" t="n"/>
      <c r="M42" s="5">
        <f>IF(B42="","",IFERROR(VLOOKUP(B42,'F01 - _Données Expatriés'!$A$6:$K$20,2,FALSE)&amp;" "&amp;VLOOKUP(B42,'F01 - _Données Expatriés'!$A$6:$K$20,3,FALSE),""))</f>
        <v/>
      </c>
      <c r="N42" s="28">
        <f>IF(B42="","",IFERROR(SUMIF($B$6:$B$115,B42,$I$6:$I$115),0))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29">
        <f>IF(OR(G43="",H43=""),"",G43+H43)</f>
        <v/>
      </c>
      <c r="J43" s="7" t="n"/>
      <c r="K43" s="7" t="n"/>
      <c r="L43" s="7" t="n"/>
      <c r="M43" s="7">
        <f>IF(B43="","",IFERROR(VLOOKUP(B43,'F01 - _Données Expatriés'!$A$6:$K$20,2,FALSE)&amp;" "&amp;VLOOKUP(B43,'F01 - _Données Expatriés'!$A$6:$K$20,3,FALSE),""))</f>
        <v/>
      </c>
      <c r="N43" s="29">
        <f>IF(B43="","",IFERROR(SUMIF($B$6:$B$115,B43,$I$6:$I$115),0))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28">
        <f>IF(OR(G44="",H44=""),"",G44+H44)</f>
        <v/>
      </c>
      <c r="J44" s="5" t="n"/>
      <c r="K44" s="5" t="n"/>
      <c r="L44" s="5" t="n"/>
      <c r="M44" s="5">
        <f>IF(B44="","",IFERROR(VLOOKUP(B44,'F01 - _Données Expatriés'!$A$6:$K$20,2,FALSE)&amp;" "&amp;VLOOKUP(B44,'F01 - _Données Expatriés'!$A$6:$K$20,3,FALSE),""))</f>
        <v/>
      </c>
      <c r="N44" s="28">
        <f>IF(B44="","",IFERROR(SUMIF($B$6:$B$115,B44,$I$6:$I$115),0))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29">
        <f>IF(OR(G45="",H45=""),"",G45+H45)</f>
        <v/>
      </c>
      <c r="J45" s="7" t="n"/>
      <c r="K45" s="7" t="n"/>
      <c r="L45" s="7" t="n"/>
      <c r="M45" s="7">
        <f>IF(B45="","",IFERROR(VLOOKUP(B45,'F01 - _Données Expatriés'!$A$6:$K$20,2,FALSE)&amp;" "&amp;VLOOKUP(B45,'F01 - _Données Expatriés'!$A$6:$K$20,3,FALSE),""))</f>
        <v/>
      </c>
      <c r="N45" s="29">
        <f>IF(B45="","",IFERROR(SUMIF($B$6:$B$115,B45,$I$6:$I$115),0))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28">
        <f>IF(OR(G46="",H46=""),"",G46+H46)</f>
        <v/>
      </c>
      <c r="J46" s="5" t="n"/>
      <c r="K46" s="5" t="n"/>
      <c r="L46" s="5" t="n"/>
      <c r="M46" s="5">
        <f>IF(B46="","",IFERROR(VLOOKUP(B46,'F01 - _Données Expatriés'!$A$6:$K$20,2,FALSE)&amp;" "&amp;VLOOKUP(B46,'F01 - _Données Expatriés'!$A$6:$K$20,3,FALSE),""))</f>
        <v/>
      </c>
      <c r="N46" s="28">
        <f>IF(B46="","",IFERROR(SUMIF($B$6:$B$115,B46,$I$6:$I$115),0))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29">
        <f>IF(OR(G47="",H47=""),"",G47+H47)</f>
        <v/>
      </c>
      <c r="J47" s="7" t="n"/>
      <c r="K47" s="7" t="n"/>
      <c r="L47" s="7" t="n"/>
      <c r="M47" s="7">
        <f>IF(B47="","",IFERROR(VLOOKUP(B47,'F01 - _Données Expatriés'!$A$6:$K$20,2,FALSE)&amp;" "&amp;VLOOKUP(B47,'F01 - _Données Expatriés'!$A$6:$K$20,3,FALSE),""))</f>
        <v/>
      </c>
      <c r="N47" s="29">
        <f>IF(B47="","",IFERROR(SUMIF($B$6:$B$115,B47,$I$6:$I$115),0))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28">
        <f>IF(OR(G48="",H48=""),"",G48+H48)</f>
        <v/>
      </c>
      <c r="J48" s="5" t="n"/>
      <c r="K48" s="5" t="n"/>
      <c r="L48" s="5" t="n"/>
      <c r="M48" s="5">
        <f>IF(B48="","",IFERROR(VLOOKUP(B48,'F01 - _Données Expatriés'!$A$6:$K$20,2,FALSE)&amp;" "&amp;VLOOKUP(B48,'F01 - _Données Expatriés'!$A$6:$K$20,3,FALSE),""))</f>
        <v/>
      </c>
      <c r="N48" s="28">
        <f>IF(B48="","",IFERROR(SUMIF($B$6:$B$115,B48,$I$6:$I$115),0))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29">
        <f>IF(OR(G49="",H49=""),"",G49+H49)</f>
        <v/>
      </c>
      <c r="J49" s="7" t="n"/>
      <c r="K49" s="7" t="n"/>
      <c r="L49" s="7" t="n"/>
      <c r="M49" s="7">
        <f>IF(B49="","",IFERROR(VLOOKUP(B49,'F01 - _Données Expatriés'!$A$6:$K$20,2,FALSE)&amp;" "&amp;VLOOKUP(B49,'F01 - _Données Expatriés'!$A$6:$K$20,3,FALSE),""))</f>
        <v/>
      </c>
      <c r="N49" s="29">
        <f>IF(B49="","",IFERROR(SUMIF($B$6:$B$115,B49,$I$6:$I$115),0))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28">
        <f>IF(OR(G50="",H50=""),"",G50+H50)</f>
        <v/>
      </c>
      <c r="J50" s="5" t="n"/>
      <c r="K50" s="5" t="n"/>
      <c r="L50" s="5" t="n"/>
      <c r="M50" s="5">
        <f>IF(B50="","",IFERROR(VLOOKUP(B50,'F01 - _Données Expatriés'!$A$6:$K$20,2,FALSE)&amp;" "&amp;VLOOKUP(B50,'F01 - _Données Expatriés'!$A$6:$K$20,3,FALSE),""))</f>
        <v/>
      </c>
      <c r="N50" s="28">
        <f>IF(B50="","",IFERROR(SUMIF($B$6:$B$115,B50,$I$6:$I$115),0))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29">
        <f>IF(OR(G51="",H51=""),"",G51+H51)</f>
        <v/>
      </c>
      <c r="J51" s="7" t="n"/>
      <c r="K51" s="7" t="n"/>
      <c r="L51" s="7" t="n"/>
      <c r="M51" s="7">
        <f>IF(B51="","",IFERROR(VLOOKUP(B51,'F01 - _Données Expatriés'!$A$6:$K$20,2,FALSE)&amp;" "&amp;VLOOKUP(B51,'F01 - _Données Expatriés'!$A$6:$K$20,3,FALSE),""))</f>
        <v/>
      </c>
      <c r="N51" s="29">
        <f>IF(B51="","",IFERROR(SUMIF($B$6:$B$115,B51,$I$6:$I$115),0))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28">
        <f>IF(OR(G52="",H52=""),"",G52+H52)</f>
        <v/>
      </c>
      <c r="J52" s="5" t="n"/>
      <c r="K52" s="5" t="n"/>
      <c r="L52" s="5" t="n"/>
      <c r="M52" s="5">
        <f>IF(B52="","",IFERROR(VLOOKUP(B52,'F01 - _Données Expatriés'!$A$6:$K$20,2,FALSE)&amp;" "&amp;VLOOKUP(B52,'F01 - _Données Expatriés'!$A$6:$K$20,3,FALSE),""))</f>
        <v/>
      </c>
      <c r="N52" s="28">
        <f>IF(B52="","",IFERROR(SUMIF($B$6:$B$115,B52,$I$6:$I$115),0))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29">
        <f>IF(OR(G53="",H53=""),"",G53+H53)</f>
        <v/>
      </c>
      <c r="J53" s="7" t="n"/>
      <c r="K53" s="7" t="n"/>
      <c r="L53" s="7" t="n"/>
      <c r="M53" s="7">
        <f>IF(B53="","",IFERROR(VLOOKUP(B53,'F01 - _Données Expatriés'!$A$6:$K$20,2,FALSE)&amp;" "&amp;VLOOKUP(B53,'F01 - _Données Expatriés'!$A$6:$K$20,3,FALSE),""))</f>
        <v/>
      </c>
      <c r="N53" s="29">
        <f>IF(B53="","",IFERROR(SUMIF($B$6:$B$115,B53,$I$6:$I$115),0))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28">
        <f>IF(OR(G54="",H54=""),"",G54+H54)</f>
        <v/>
      </c>
      <c r="J54" s="5" t="n"/>
      <c r="K54" s="5" t="n"/>
      <c r="L54" s="5" t="n"/>
      <c r="M54" s="5">
        <f>IF(B54="","",IFERROR(VLOOKUP(B54,'F01 - _Données Expatriés'!$A$6:$K$20,2,FALSE)&amp;" "&amp;VLOOKUP(B54,'F01 - _Données Expatriés'!$A$6:$K$20,3,FALSE),""))</f>
        <v/>
      </c>
      <c r="N54" s="28">
        <f>IF(B54="","",IFERROR(SUMIF($B$6:$B$115,B54,$I$6:$I$115),0))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29">
        <f>IF(OR(G55="",H55=""),"",G55+H55)</f>
        <v/>
      </c>
      <c r="J55" s="7" t="n"/>
      <c r="K55" s="7" t="n"/>
      <c r="L55" s="7" t="n"/>
      <c r="M55" s="7">
        <f>IF(B55="","",IFERROR(VLOOKUP(B55,'F01 - _Données Expatriés'!$A$6:$K$20,2,FALSE)&amp;" "&amp;VLOOKUP(B55,'F01 - _Données Expatriés'!$A$6:$K$20,3,FALSE),""))</f>
        <v/>
      </c>
      <c r="N55" s="29">
        <f>IF(B55="","",IFERROR(SUMIF($B$6:$B$115,B55,$I$6:$I$115),0))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28">
        <f>IF(OR(G56="",H56=""),"",G56+H56)</f>
        <v/>
      </c>
      <c r="J56" s="5" t="n"/>
      <c r="K56" s="5" t="n"/>
      <c r="L56" s="5" t="n"/>
      <c r="M56" s="5">
        <f>IF(B56="","",IFERROR(VLOOKUP(B56,'F01 - _Données Expatriés'!$A$6:$K$20,2,FALSE)&amp;" "&amp;VLOOKUP(B56,'F01 - _Données Expatriés'!$A$6:$K$20,3,FALSE),""))</f>
        <v/>
      </c>
      <c r="N56" s="28">
        <f>IF(B56="","",IFERROR(SUMIF($B$6:$B$115,B56,$I$6:$I$115),0))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29">
        <f>IF(OR(G57="",H57=""),"",G57+H57)</f>
        <v/>
      </c>
      <c r="J57" s="7" t="n"/>
      <c r="K57" s="7" t="n"/>
      <c r="L57" s="7" t="n"/>
      <c r="M57" s="7">
        <f>IF(B57="","",IFERROR(VLOOKUP(B57,'F01 - _Données Expatriés'!$A$6:$K$20,2,FALSE)&amp;" "&amp;VLOOKUP(B57,'F01 - _Données Expatriés'!$A$6:$K$20,3,FALSE),""))</f>
        <v/>
      </c>
      <c r="N57" s="29">
        <f>IF(B57="","",IFERROR(SUMIF($B$6:$B$115,B57,$I$6:$I$115),0))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28">
        <f>IF(OR(G58="",H58=""),"",G58+H58)</f>
        <v/>
      </c>
      <c r="J58" s="5" t="n"/>
      <c r="K58" s="5" t="n"/>
      <c r="L58" s="5" t="n"/>
      <c r="M58" s="5">
        <f>IF(B58="","",IFERROR(VLOOKUP(B58,'F01 - _Données Expatriés'!$A$6:$K$20,2,FALSE)&amp;" "&amp;VLOOKUP(B58,'F01 - _Données Expatriés'!$A$6:$K$20,3,FALSE),""))</f>
        <v/>
      </c>
      <c r="N58" s="28">
        <f>IF(B58="","",IFERROR(SUMIF($B$6:$B$115,B58,$I$6:$I$115),0))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29">
        <f>IF(OR(G59="",H59=""),"",G59+H59)</f>
        <v/>
      </c>
      <c r="J59" s="7" t="n"/>
      <c r="K59" s="7" t="n"/>
      <c r="L59" s="7" t="n"/>
      <c r="M59" s="7">
        <f>IF(B59="","",IFERROR(VLOOKUP(B59,'F01 - _Données Expatriés'!$A$6:$K$20,2,FALSE)&amp;" "&amp;VLOOKUP(B59,'F01 - _Données Expatriés'!$A$6:$K$20,3,FALSE),""))</f>
        <v/>
      </c>
      <c r="N59" s="29">
        <f>IF(B59="","",IFERROR(SUMIF($B$6:$B$115,B59,$I$6:$I$115),0))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28">
        <f>IF(OR(G60="",H60=""),"",G60+H60)</f>
        <v/>
      </c>
      <c r="J60" s="5" t="n"/>
      <c r="K60" s="5" t="n"/>
      <c r="L60" s="5" t="n"/>
      <c r="M60" s="5">
        <f>IF(B60="","",IFERROR(VLOOKUP(B60,'F01 - _Données Expatriés'!$A$6:$K$20,2,FALSE)&amp;" "&amp;VLOOKUP(B60,'F01 - _Données Expatriés'!$A$6:$K$20,3,FALSE),""))</f>
        <v/>
      </c>
      <c r="N60" s="28">
        <f>IF(B60="","",IFERROR(SUMIF($B$6:$B$115,B60,$I$6:$I$115),0))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29">
        <f>IF(OR(G61="",H61=""),"",G61+H61)</f>
        <v/>
      </c>
      <c r="J61" s="7" t="n"/>
      <c r="K61" s="7" t="n"/>
      <c r="L61" s="7" t="n"/>
      <c r="M61" s="7">
        <f>IF(B61="","",IFERROR(VLOOKUP(B61,'F01 - _Données Expatriés'!$A$6:$K$20,2,FALSE)&amp;" "&amp;VLOOKUP(B61,'F01 - _Données Expatriés'!$A$6:$K$20,3,FALSE),""))</f>
        <v/>
      </c>
      <c r="N61" s="29">
        <f>IF(B61="","",IFERROR(SUMIF($B$6:$B$115,B61,$I$6:$I$115),0))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28">
        <f>IF(OR(G62="",H62=""),"",G62+H62)</f>
        <v/>
      </c>
      <c r="J62" s="5" t="n"/>
      <c r="K62" s="5" t="n"/>
      <c r="L62" s="5" t="n"/>
      <c r="M62" s="5">
        <f>IF(B62="","",IFERROR(VLOOKUP(B62,'F01 - _Données Expatriés'!$A$6:$K$20,2,FALSE)&amp;" "&amp;VLOOKUP(B62,'F01 - _Données Expatriés'!$A$6:$K$20,3,FALSE),""))</f>
        <v/>
      </c>
      <c r="N62" s="28">
        <f>IF(B62="","",IFERROR(SUMIF($B$6:$B$115,B62,$I$6:$I$115),0))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29">
        <f>IF(OR(G63="",H63=""),"",G63+H63)</f>
        <v/>
      </c>
      <c r="J63" s="7" t="n"/>
      <c r="K63" s="7" t="n"/>
      <c r="L63" s="7" t="n"/>
      <c r="M63" s="7">
        <f>IF(B63="","",IFERROR(VLOOKUP(B63,'F01 - _Données Expatriés'!$A$6:$K$20,2,FALSE)&amp;" "&amp;VLOOKUP(B63,'F01 - _Données Expatriés'!$A$6:$K$20,3,FALSE),""))</f>
        <v/>
      </c>
      <c r="N63" s="29">
        <f>IF(B63="","",IFERROR(SUMIF($B$6:$B$115,B63,$I$6:$I$115),0))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28">
        <f>IF(OR(G64="",H64=""),"",G64+H64)</f>
        <v/>
      </c>
      <c r="J64" s="5" t="n"/>
      <c r="K64" s="5" t="n"/>
      <c r="L64" s="5" t="n"/>
      <c r="M64" s="5">
        <f>IF(B64="","",IFERROR(VLOOKUP(B64,'F01 - _Données Expatriés'!$A$6:$K$20,2,FALSE)&amp;" "&amp;VLOOKUP(B64,'F01 - _Données Expatriés'!$A$6:$K$20,3,FALSE),""))</f>
        <v/>
      </c>
      <c r="N64" s="28">
        <f>IF(B64="","",IFERROR(SUMIF($B$6:$B$115,B64,$I$6:$I$115),0))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29">
        <f>IF(OR(G65="",H65=""),"",G65+H65)</f>
        <v/>
      </c>
      <c r="J65" s="7" t="n"/>
      <c r="K65" s="7" t="n"/>
      <c r="L65" s="7" t="n"/>
      <c r="M65" s="7">
        <f>IF(B65="","",IFERROR(VLOOKUP(B65,'F01 - _Données Expatriés'!$A$6:$K$20,2,FALSE)&amp;" "&amp;VLOOKUP(B65,'F01 - _Données Expatriés'!$A$6:$K$20,3,FALSE),""))</f>
        <v/>
      </c>
      <c r="N65" s="29">
        <f>IF(B65="","",IFERROR(SUMIF($B$6:$B$115,B65,$I$6:$I$115),0))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28">
        <f>IF(OR(G66="",H66=""),"",G66+H66)</f>
        <v/>
      </c>
      <c r="J66" s="5" t="n"/>
      <c r="K66" s="5" t="n"/>
      <c r="L66" s="5" t="n"/>
      <c r="M66" s="5">
        <f>IF(B66="","",IFERROR(VLOOKUP(B66,'F01 - _Données Expatriés'!$A$6:$K$20,2,FALSE)&amp;" "&amp;VLOOKUP(B66,'F01 - _Données Expatriés'!$A$6:$K$20,3,FALSE),""))</f>
        <v/>
      </c>
      <c r="N66" s="28">
        <f>IF(B66="","",IFERROR(SUMIF($B$6:$B$115,B66,$I$6:$I$115),0))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29">
        <f>IF(OR(G67="",H67=""),"",G67+H67)</f>
        <v/>
      </c>
      <c r="J67" s="7" t="n"/>
      <c r="K67" s="7" t="n"/>
      <c r="L67" s="7" t="n"/>
      <c r="M67" s="7">
        <f>IF(B67="","",IFERROR(VLOOKUP(B67,'F01 - _Données Expatriés'!$A$6:$K$20,2,FALSE)&amp;" "&amp;VLOOKUP(B67,'F01 - _Données Expatriés'!$A$6:$K$20,3,FALSE),""))</f>
        <v/>
      </c>
      <c r="N67" s="29">
        <f>IF(B67="","",IFERROR(SUMIF($B$6:$B$115,B67,$I$6:$I$115),0))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28">
        <f>IF(OR(G68="",H68=""),"",G68+H68)</f>
        <v/>
      </c>
      <c r="J68" s="5" t="n"/>
      <c r="K68" s="5" t="n"/>
      <c r="L68" s="5" t="n"/>
      <c r="M68" s="5">
        <f>IF(B68="","",IFERROR(VLOOKUP(B68,'F01 - _Données Expatriés'!$A$6:$K$20,2,FALSE)&amp;" "&amp;VLOOKUP(B68,'F01 - _Données Expatriés'!$A$6:$K$20,3,FALSE),""))</f>
        <v/>
      </c>
      <c r="N68" s="28">
        <f>IF(B68="","",IFERROR(SUMIF($B$6:$B$115,B68,$I$6:$I$115),0))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29">
        <f>IF(OR(G69="",H69=""),"",G69+H69)</f>
        <v/>
      </c>
      <c r="J69" s="7" t="n"/>
      <c r="K69" s="7" t="n"/>
      <c r="L69" s="7" t="n"/>
      <c r="M69" s="7">
        <f>IF(B69="","",IFERROR(VLOOKUP(B69,'F01 - _Données Expatriés'!$A$6:$K$20,2,FALSE)&amp;" "&amp;VLOOKUP(B69,'F01 - _Données Expatriés'!$A$6:$K$20,3,FALSE),""))</f>
        <v/>
      </c>
      <c r="N69" s="29">
        <f>IF(B69="","",IFERROR(SUMIF($B$6:$B$115,B69,$I$6:$I$115),0))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28">
        <f>IF(OR(G70="",H70=""),"",G70+H70)</f>
        <v/>
      </c>
      <c r="J70" s="5" t="n"/>
      <c r="K70" s="5" t="n"/>
      <c r="L70" s="5" t="n"/>
      <c r="M70" s="5">
        <f>IF(B70="","",IFERROR(VLOOKUP(B70,'F01 - _Données Expatriés'!$A$6:$K$20,2,FALSE)&amp;" "&amp;VLOOKUP(B70,'F01 - _Données Expatriés'!$A$6:$K$20,3,FALSE),""))</f>
        <v/>
      </c>
      <c r="N70" s="28">
        <f>IF(B70="","",IFERROR(SUMIF($B$6:$B$115,B70,$I$6:$I$115),0))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29">
        <f>IF(OR(G71="",H71=""),"",G71+H71)</f>
        <v/>
      </c>
      <c r="J71" s="7" t="n"/>
      <c r="K71" s="7" t="n"/>
      <c r="L71" s="7" t="n"/>
      <c r="M71" s="7">
        <f>IF(B71="","",IFERROR(VLOOKUP(B71,'F01 - _Données Expatriés'!$A$6:$K$20,2,FALSE)&amp;" "&amp;VLOOKUP(B71,'F01 - _Données Expatriés'!$A$6:$K$20,3,FALSE),""))</f>
        <v/>
      </c>
      <c r="N71" s="29">
        <f>IF(B71="","",IFERROR(SUMIF($B$6:$B$115,B71,$I$6:$I$115),0))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28">
        <f>IF(OR(G72="",H72=""),"",G72+H72)</f>
        <v/>
      </c>
      <c r="J72" s="5" t="n"/>
      <c r="K72" s="5" t="n"/>
      <c r="L72" s="5" t="n"/>
      <c r="M72" s="5">
        <f>IF(B72="","",IFERROR(VLOOKUP(B72,'F01 - _Données Expatriés'!$A$6:$K$20,2,FALSE)&amp;" "&amp;VLOOKUP(B72,'F01 - _Données Expatriés'!$A$6:$K$20,3,FALSE),""))</f>
        <v/>
      </c>
      <c r="N72" s="28">
        <f>IF(B72="","",IFERROR(SUMIF($B$6:$B$115,B72,$I$6:$I$115),0))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29">
        <f>IF(OR(G73="",H73=""),"",G73+H73)</f>
        <v/>
      </c>
      <c r="J73" s="7" t="n"/>
      <c r="K73" s="7" t="n"/>
      <c r="L73" s="7" t="n"/>
      <c r="M73" s="7">
        <f>IF(B73="","",IFERROR(VLOOKUP(B73,'F01 - _Données Expatriés'!$A$6:$K$20,2,FALSE)&amp;" "&amp;VLOOKUP(B73,'F01 - _Données Expatriés'!$A$6:$K$20,3,FALSE),""))</f>
        <v/>
      </c>
      <c r="N73" s="29">
        <f>IF(B73="","",IFERROR(SUMIF($B$6:$B$115,B73,$I$6:$I$115),0))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28">
        <f>IF(OR(G74="",H74=""),"",G74+H74)</f>
        <v/>
      </c>
      <c r="J74" s="5" t="n"/>
      <c r="K74" s="5" t="n"/>
      <c r="L74" s="5" t="n"/>
      <c r="M74" s="5">
        <f>IF(B74="","",IFERROR(VLOOKUP(B74,'F01 - _Données Expatriés'!$A$6:$K$20,2,FALSE)&amp;" "&amp;VLOOKUP(B74,'F01 - _Données Expatriés'!$A$6:$K$20,3,FALSE),""))</f>
        <v/>
      </c>
      <c r="N74" s="28">
        <f>IF(B74="","",IFERROR(SUMIF($B$6:$B$115,B74,$I$6:$I$115),0))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29">
        <f>IF(OR(G75="",H75=""),"",G75+H75)</f>
        <v/>
      </c>
      <c r="J75" s="7" t="n"/>
      <c r="K75" s="7" t="n"/>
      <c r="L75" s="7" t="n"/>
      <c r="M75" s="7">
        <f>IF(B75="","",IFERROR(VLOOKUP(B75,'F01 - _Données Expatriés'!$A$6:$K$20,2,FALSE)&amp;" "&amp;VLOOKUP(B75,'F01 - _Données Expatriés'!$A$6:$K$20,3,FALSE),""))</f>
        <v/>
      </c>
      <c r="N75" s="29">
        <f>IF(B75="","",IFERROR(SUMIF($B$6:$B$115,B75,$I$6:$I$115),0))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28">
        <f>IF(OR(G76="",H76=""),"",G76+H76)</f>
        <v/>
      </c>
      <c r="J76" s="5" t="n"/>
      <c r="K76" s="5" t="n"/>
      <c r="L76" s="5" t="n"/>
      <c r="M76" s="5">
        <f>IF(B76="","",IFERROR(VLOOKUP(B76,'F01 - _Données Expatriés'!$A$6:$K$20,2,FALSE)&amp;" "&amp;VLOOKUP(B76,'F01 - _Données Expatriés'!$A$6:$K$20,3,FALSE),""))</f>
        <v/>
      </c>
      <c r="N76" s="28">
        <f>IF(B76="","",IFERROR(SUMIF($B$6:$B$115,B76,$I$6:$I$115),0))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29">
        <f>IF(OR(G77="",H77=""),"",G77+H77)</f>
        <v/>
      </c>
      <c r="J77" s="7" t="n"/>
      <c r="K77" s="7" t="n"/>
      <c r="L77" s="7" t="n"/>
      <c r="M77" s="7">
        <f>IF(B77="","",IFERROR(VLOOKUP(B77,'F01 - _Données Expatriés'!$A$6:$K$20,2,FALSE)&amp;" "&amp;VLOOKUP(B77,'F01 - _Données Expatriés'!$A$6:$K$20,3,FALSE),""))</f>
        <v/>
      </c>
      <c r="N77" s="29">
        <f>IF(B77="","",IFERROR(SUMIF($B$6:$B$115,B77,$I$6:$I$115),0))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28">
        <f>IF(OR(G78="",H78=""),"",G78+H78)</f>
        <v/>
      </c>
      <c r="J78" s="5" t="n"/>
      <c r="K78" s="5" t="n"/>
      <c r="L78" s="5" t="n"/>
      <c r="M78" s="5">
        <f>IF(B78="","",IFERROR(VLOOKUP(B78,'F01 - _Données Expatriés'!$A$6:$K$20,2,FALSE)&amp;" "&amp;VLOOKUP(B78,'F01 - _Données Expatriés'!$A$6:$K$20,3,FALSE),""))</f>
        <v/>
      </c>
      <c r="N78" s="28">
        <f>IF(B78="","",IFERROR(SUMIF($B$6:$B$115,B78,$I$6:$I$115),0))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29">
        <f>IF(OR(G79="",H79=""),"",G79+H79)</f>
        <v/>
      </c>
      <c r="J79" s="7" t="n"/>
      <c r="K79" s="7" t="n"/>
      <c r="L79" s="7" t="n"/>
      <c r="M79" s="7">
        <f>IF(B79="","",IFERROR(VLOOKUP(B79,'F01 - _Données Expatriés'!$A$6:$K$20,2,FALSE)&amp;" "&amp;VLOOKUP(B79,'F01 - _Données Expatriés'!$A$6:$K$20,3,FALSE),""))</f>
        <v/>
      </c>
      <c r="N79" s="29">
        <f>IF(B79="","",IFERROR(SUMIF($B$6:$B$115,B79,$I$6:$I$115),0))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28">
        <f>IF(OR(G80="",H80=""),"",G80+H80)</f>
        <v/>
      </c>
      <c r="J80" s="5" t="n"/>
      <c r="K80" s="5" t="n"/>
      <c r="L80" s="5" t="n"/>
      <c r="M80" s="5">
        <f>IF(B80="","",IFERROR(VLOOKUP(B80,'F01 - _Données Expatriés'!$A$6:$K$20,2,FALSE)&amp;" "&amp;VLOOKUP(B80,'F01 - _Données Expatriés'!$A$6:$K$20,3,FALSE),""))</f>
        <v/>
      </c>
      <c r="N80" s="28">
        <f>IF(B80="","",IFERROR(SUMIF($B$6:$B$115,B80,$I$6:$I$115),0))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29">
        <f>IF(OR(G81="",H81=""),"",G81+H81)</f>
        <v/>
      </c>
      <c r="J81" s="7" t="n"/>
      <c r="K81" s="7" t="n"/>
      <c r="L81" s="7" t="n"/>
      <c r="M81" s="7">
        <f>IF(B81="","",IFERROR(VLOOKUP(B81,'F01 - _Données Expatriés'!$A$6:$K$20,2,FALSE)&amp;" "&amp;VLOOKUP(B81,'F01 - _Données Expatriés'!$A$6:$K$20,3,FALSE),""))</f>
        <v/>
      </c>
      <c r="N81" s="29">
        <f>IF(B81="","",IFERROR(SUMIF($B$6:$B$115,B81,$I$6:$I$115),0))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28">
        <f>IF(OR(G82="",H82=""),"",G82+H82)</f>
        <v/>
      </c>
      <c r="J82" s="5" t="n"/>
      <c r="K82" s="5" t="n"/>
      <c r="L82" s="5" t="n"/>
      <c r="M82" s="5">
        <f>IF(B82="","",IFERROR(VLOOKUP(B82,'F01 - _Données Expatriés'!$A$6:$K$20,2,FALSE)&amp;" "&amp;VLOOKUP(B82,'F01 - _Données Expatriés'!$A$6:$K$20,3,FALSE),""))</f>
        <v/>
      </c>
      <c r="N82" s="28">
        <f>IF(B82="","",IFERROR(SUMIF($B$6:$B$115,B82,$I$6:$I$115),0))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29">
        <f>IF(OR(G83="",H83=""),"",G83+H83)</f>
        <v/>
      </c>
      <c r="J83" s="7" t="n"/>
      <c r="K83" s="7" t="n"/>
      <c r="L83" s="7" t="n"/>
      <c r="M83" s="7">
        <f>IF(B83="","",IFERROR(VLOOKUP(B83,'F01 - _Données Expatriés'!$A$6:$K$20,2,FALSE)&amp;" "&amp;VLOOKUP(B83,'F01 - _Données Expatriés'!$A$6:$K$20,3,FALSE),""))</f>
        <v/>
      </c>
      <c r="N83" s="29">
        <f>IF(B83="","",IFERROR(SUMIF($B$6:$B$115,B83,$I$6:$I$115),0))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28">
        <f>IF(OR(G84="",H84=""),"",G84+H84)</f>
        <v/>
      </c>
      <c r="J84" s="5" t="n"/>
      <c r="K84" s="5" t="n"/>
      <c r="L84" s="5" t="n"/>
      <c r="M84" s="5">
        <f>IF(B84="","",IFERROR(VLOOKUP(B84,'F01 - _Données Expatriés'!$A$6:$K$20,2,FALSE)&amp;" "&amp;VLOOKUP(B84,'F01 - _Données Expatriés'!$A$6:$K$20,3,FALSE),""))</f>
        <v/>
      </c>
      <c r="N84" s="28">
        <f>IF(B84="","",IFERROR(SUMIF($B$6:$B$115,B84,$I$6:$I$115),0))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29">
        <f>IF(OR(G85="",H85=""),"",G85+H85)</f>
        <v/>
      </c>
      <c r="J85" s="7" t="n"/>
      <c r="K85" s="7" t="n"/>
      <c r="L85" s="7" t="n"/>
      <c r="M85" s="7">
        <f>IF(B85="","",IFERROR(VLOOKUP(B85,'F01 - _Données Expatriés'!$A$6:$K$20,2,FALSE)&amp;" "&amp;VLOOKUP(B85,'F01 - _Données Expatriés'!$A$6:$K$20,3,FALSE),""))</f>
        <v/>
      </c>
      <c r="N85" s="29">
        <f>IF(B85="","",IFERROR(SUMIF($B$6:$B$115,B85,$I$6:$I$115),0))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28">
        <f>IF(OR(G86="",H86=""),"",G86+H86)</f>
        <v/>
      </c>
      <c r="J86" s="5" t="n"/>
      <c r="K86" s="5" t="n"/>
      <c r="L86" s="5" t="n"/>
      <c r="M86" s="5">
        <f>IF(B86="","",IFERROR(VLOOKUP(B86,'F01 - _Données Expatriés'!$A$6:$K$20,2,FALSE)&amp;" "&amp;VLOOKUP(B86,'F01 - _Données Expatriés'!$A$6:$K$20,3,FALSE),""))</f>
        <v/>
      </c>
      <c r="N86" s="28">
        <f>IF(B86="","",IFERROR(SUMIF($B$6:$B$115,B86,$I$6:$I$115),0))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29">
        <f>IF(OR(G87="",H87=""),"",G87+H87)</f>
        <v/>
      </c>
      <c r="J87" s="7" t="n"/>
      <c r="K87" s="7" t="n"/>
      <c r="L87" s="7" t="n"/>
      <c r="M87" s="7">
        <f>IF(B87="","",IFERROR(VLOOKUP(B87,'F01 - _Données Expatriés'!$A$6:$K$20,2,FALSE)&amp;" "&amp;VLOOKUP(B87,'F01 - _Données Expatriés'!$A$6:$K$20,3,FALSE),""))</f>
        <v/>
      </c>
      <c r="N87" s="29">
        <f>IF(B87="","",IFERROR(SUMIF($B$6:$B$115,B87,$I$6:$I$115),0))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28">
        <f>IF(OR(G88="",H88=""),"",G88+H88)</f>
        <v/>
      </c>
      <c r="J88" s="5" t="n"/>
      <c r="K88" s="5" t="n"/>
      <c r="L88" s="5" t="n"/>
      <c r="M88" s="5">
        <f>IF(B88="","",IFERROR(VLOOKUP(B88,'F01 - _Données Expatriés'!$A$6:$K$20,2,FALSE)&amp;" "&amp;VLOOKUP(B88,'F01 - _Données Expatriés'!$A$6:$K$20,3,FALSE),""))</f>
        <v/>
      </c>
      <c r="N88" s="28">
        <f>IF(B88="","",IFERROR(SUMIF($B$6:$B$115,B88,$I$6:$I$115),0))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29">
        <f>IF(OR(G89="",H89=""),"",G89+H89)</f>
        <v/>
      </c>
      <c r="J89" s="7" t="n"/>
      <c r="K89" s="7" t="n"/>
      <c r="L89" s="7" t="n"/>
      <c r="M89" s="7">
        <f>IF(B89="","",IFERROR(VLOOKUP(B89,'F01 - _Données Expatriés'!$A$6:$K$20,2,FALSE)&amp;" "&amp;VLOOKUP(B89,'F01 - _Données Expatriés'!$A$6:$K$20,3,FALSE),""))</f>
        <v/>
      </c>
      <c r="N89" s="29">
        <f>IF(B89="","",IFERROR(SUMIF($B$6:$B$115,B89,$I$6:$I$115),0))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28">
        <f>IF(OR(G90="",H90=""),"",G90+H90)</f>
        <v/>
      </c>
      <c r="J90" s="5" t="n"/>
      <c r="K90" s="5" t="n"/>
      <c r="L90" s="5" t="n"/>
      <c r="M90" s="5">
        <f>IF(B90="","",IFERROR(VLOOKUP(B90,'F01 - _Données Expatriés'!$A$6:$K$20,2,FALSE)&amp;" "&amp;VLOOKUP(B90,'F01 - _Données Expatriés'!$A$6:$K$20,3,FALSE),""))</f>
        <v/>
      </c>
      <c r="N90" s="28">
        <f>IF(B90="","",IFERROR(SUMIF($B$6:$B$115,B90,$I$6:$I$115),0))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29">
        <f>IF(OR(G91="",H91=""),"",G91+H91)</f>
        <v/>
      </c>
      <c r="J91" s="7" t="n"/>
      <c r="K91" s="7" t="n"/>
      <c r="L91" s="7" t="n"/>
      <c r="M91" s="7">
        <f>IF(B91="","",IFERROR(VLOOKUP(B91,'F01 - _Données Expatriés'!$A$6:$K$20,2,FALSE)&amp;" "&amp;VLOOKUP(B91,'F01 - _Données Expatriés'!$A$6:$K$20,3,FALSE),""))</f>
        <v/>
      </c>
      <c r="N91" s="29">
        <f>IF(B91="","",IFERROR(SUMIF($B$6:$B$115,B91,$I$6:$I$115),0))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28">
        <f>IF(OR(G92="",H92=""),"",G92+H92)</f>
        <v/>
      </c>
      <c r="J92" s="5" t="n"/>
      <c r="K92" s="5" t="n"/>
      <c r="L92" s="5" t="n"/>
      <c r="M92" s="5">
        <f>IF(B92="","",IFERROR(VLOOKUP(B92,'F01 - _Données Expatriés'!$A$6:$K$20,2,FALSE)&amp;" "&amp;VLOOKUP(B92,'F01 - _Données Expatriés'!$A$6:$K$20,3,FALSE),""))</f>
        <v/>
      </c>
      <c r="N92" s="28">
        <f>IF(B92="","",IFERROR(SUMIF($B$6:$B$115,B92,$I$6:$I$115),0))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29">
        <f>IF(OR(G93="",H93=""),"",G93+H93)</f>
        <v/>
      </c>
      <c r="J93" s="7" t="n"/>
      <c r="K93" s="7" t="n"/>
      <c r="L93" s="7" t="n"/>
      <c r="M93" s="7">
        <f>IF(B93="","",IFERROR(VLOOKUP(B93,'F01 - _Données Expatriés'!$A$6:$K$20,2,FALSE)&amp;" "&amp;VLOOKUP(B93,'F01 - _Données Expatriés'!$A$6:$K$20,3,FALSE),""))</f>
        <v/>
      </c>
      <c r="N93" s="29">
        <f>IF(B93="","",IFERROR(SUMIF($B$6:$B$115,B93,$I$6:$I$115),0))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28">
        <f>IF(OR(G94="",H94=""),"",G94+H94)</f>
        <v/>
      </c>
      <c r="J94" s="5" t="n"/>
      <c r="K94" s="5" t="n"/>
      <c r="L94" s="5" t="n"/>
      <c r="M94" s="5">
        <f>IF(B94="","",IFERROR(VLOOKUP(B94,'F01 - _Données Expatriés'!$A$6:$K$20,2,FALSE)&amp;" "&amp;VLOOKUP(B94,'F01 - _Données Expatriés'!$A$6:$K$20,3,FALSE),""))</f>
        <v/>
      </c>
      <c r="N94" s="28">
        <f>IF(B94="","",IFERROR(SUMIF($B$6:$B$115,B94,$I$6:$I$115),0))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29">
        <f>IF(OR(G95="",H95=""),"",G95+H95)</f>
        <v/>
      </c>
      <c r="J95" s="7" t="n"/>
      <c r="K95" s="7" t="n"/>
      <c r="L95" s="7" t="n"/>
      <c r="M95" s="7">
        <f>IF(B95="","",IFERROR(VLOOKUP(B95,'F01 - _Données Expatriés'!$A$6:$K$20,2,FALSE)&amp;" "&amp;VLOOKUP(B95,'F01 - _Données Expatriés'!$A$6:$K$20,3,FALSE),""))</f>
        <v/>
      </c>
      <c r="N95" s="29">
        <f>IF(B95="","",IFERROR(SUMIF($B$6:$B$115,B95,$I$6:$I$115),0))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28">
        <f>IF(OR(G96="",H96=""),"",G96+H96)</f>
        <v/>
      </c>
      <c r="J96" s="5" t="n"/>
      <c r="K96" s="5" t="n"/>
      <c r="L96" s="5" t="n"/>
      <c r="M96" s="5">
        <f>IF(B96="","",IFERROR(VLOOKUP(B96,'F01 - _Données Expatriés'!$A$6:$K$20,2,FALSE)&amp;" "&amp;VLOOKUP(B96,'F01 - _Données Expatriés'!$A$6:$K$20,3,FALSE),""))</f>
        <v/>
      </c>
      <c r="N96" s="28">
        <f>IF(B96="","",IFERROR(SUMIF($B$6:$B$115,B96,$I$6:$I$115),0))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29">
        <f>IF(OR(G97="",H97=""),"",G97+H97)</f>
        <v/>
      </c>
      <c r="J97" s="7" t="n"/>
      <c r="K97" s="7" t="n"/>
      <c r="L97" s="7" t="n"/>
      <c r="M97" s="7">
        <f>IF(B97="","",IFERROR(VLOOKUP(B97,'F01 - _Données Expatriés'!$A$6:$K$20,2,FALSE)&amp;" "&amp;VLOOKUP(B97,'F01 - _Données Expatriés'!$A$6:$K$20,3,FALSE),""))</f>
        <v/>
      </c>
      <c r="N97" s="29">
        <f>IF(B97="","",IFERROR(SUMIF($B$6:$B$115,B97,$I$6:$I$115),0))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28">
        <f>IF(OR(G98="",H98=""),"",G98+H98)</f>
        <v/>
      </c>
      <c r="J98" s="5" t="n"/>
      <c r="K98" s="5" t="n"/>
      <c r="L98" s="5" t="n"/>
      <c r="M98" s="5">
        <f>IF(B98="","",IFERROR(VLOOKUP(B98,'F01 - _Données Expatriés'!$A$6:$K$20,2,FALSE)&amp;" "&amp;VLOOKUP(B98,'F01 - _Données Expatriés'!$A$6:$K$20,3,FALSE),""))</f>
        <v/>
      </c>
      <c r="N98" s="28">
        <f>IF(B98="","",IFERROR(SUMIF($B$6:$B$115,B98,$I$6:$I$115),0))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29">
        <f>IF(OR(G99="",H99=""),"",G99+H99)</f>
        <v/>
      </c>
      <c r="J99" s="7" t="n"/>
      <c r="K99" s="7" t="n"/>
      <c r="L99" s="7" t="n"/>
      <c r="M99" s="7">
        <f>IF(B99="","",IFERROR(VLOOKUP(B99,'F01 - _Données Expatriés'!$A$6:$K$20,2,FALSE)&amp;" "&amp;VLOOKUP(B99,'F01 - _Données Expatriés'!$A$6:$K$20,3,FALSE),""))</f>
        <v/>
      </c>
      <c r="N99" s="29">
        <f>IF(B99="","",IFERROR(SUMIF($B$6:$B$115,B99,$I$6:$I$115),0))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28">
        <f>IF(OR(G100="",H100=""),"",G100+H100)</f>
        <v/>
      </c>
      <c r="J100" s="5" t="n"/>
      <c r="K100" s="5" t="n"/>
      <c r="L100" s="5" t="n"/>
      <c r="M100" s="5">
        <f>IF(B100="","",IFERROR(VLOOKUP(B100,'F01 - _Données Expatriés'!$A$6:$K$20,2,FALSE)&amp;" "&amp;VLOOKUP(B100,'F01 - _Données Expatriés'!$A$6:$K$20,3,FALSE),""))</f>
        <v/>
      </c>
      <c r="N100" s="28">
        <f>IF(B100="","",IFERROR(SUMIF($B$6:$B$115,B100,$I$6:$I$115),0))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29">
        <f>IF(OR(G101="",H101=""),"",G101+H101)</f>
        <v/>
      </c>
      <c r="J101" s="7" t="n"/>
      <c r="K101" s="7" t="n"/>
      <c r="L101" s="7" t="n"/>
      <c r="M101" s="7">
        <f>IF(B101="","",IFERROR(VLOOKUP(B101,'F01 - _Données Expatriés'!$A$6:$K$20,2,FALSE)&amp;" "&amp;VLOOKUP(B101,'F01 - _Données Expatriés'!$A$6:$K$20,3,FALSE),""))</f>
        <v/>
      </c>
      <c r="N101" s="29">
        <f>IF(B101="","",IFERROR(SUMIF($B$6:$B$115,B101,$I$6:$I$115),0))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28">
        <f>IF(OR(G102="",H102=""),"",G102+H102)</f>
        <v/>
      </c>
      <c r="J102" s="5" t="n"/>
      <c r="K102" s="5" t="n"/>
      <c r="L102" s="5" t="n"/>
      <c r="M102" s="5">
        <f>IF(B102="","",IFERROR(VLOOKUP(B102,'F01 - _Données Expatriés'!$A$6:$K$20,2,FALSE)&amp;" "&amp;VLOOKUP(B102,'F01 - _Données Expatriés'!$A$6:$K$20,3,FALSE),""))</f>
        <v/>
      </c>
      <c r="N102" s="28">
        <f>IF(B102="","",IFERROR(SUMIF($B$6:$B$115,B102,$I$6:$I$115),0))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29">
        <f>IF(OR(G103="",H103=""),"",G103+H103)</f>
        <v/>
      </c>
      <c r="J103" s="7" t="n"/>
      <c r="K103" s="7" t="n"/>
      <c r="L103" s="7" t="n"/>
      <c r="M103" s="7">
        <f>IF(B103="","",IFERROR(VLOOKUP(B103,'F01 - _Données Expatriés'!$A$6:$K$20,2,FALSE)&amp;" "&amp;VLOOKUP(B103,'F01 - _Données Expatriés'!$A$6:$K$20,3,FALSE),""))</f>
        <v/>
      </c>
      <c r="N103" s="29">
        <f>IF(B103="","",IFERROR(SUMIF($B$6:$B$115,B103,$I$6:$I$115),0))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28">
        <f>IF(OR(G104="",H104=""),"",G104+H104)</f>
        <v/>
      </c>
      <c r="J104" s="5" t="n"/>
      <c r="K104" s="5" t="n"/>
      <c r="L104" s="5" t="n"/>
      <c r="M104" s="5">
        <f>IF(B104="","",IFERROR(VLOOKUP(B104,'F01 - _Données Expatriés'!$A$6:$K$20,2,FALSE)&amp;" "&amp;VLOOKUP(B104,'F01 - _Données Expatriés'!$A$6:$K$20,3,FALSE),""))</f>
        <v/>
      </c>
      <c r="N104" s="28">
        <f>IF(B104="","",IFERROR(SUMIF($B$6:$B$115,B104,$I$6:$I$115),0))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29">
        <f>IF(OR(G105="",H105=""),"",G105+H105)</f>
        <v/>
      </c>
      <c r="J105" s="7" t="n"/>
      <c r="K105" s="7" t="n"/>
      <c r="L105" s="7" t="n"/>
      <c r="M105" s="7">
        <f>IF(B105="","",IFERROR(VLOOKUP(B105,'F01 - _Données Expatriés'!$A$6:$K$20,2,FALSE)&amp;" "&amp;VLOOKUP(B105,'F01 - _Données Expatriés'!$A$6:$K$20,3,FALSE),""))</f>
        <v/>
      </c>
      <c r="N105" s="29">
        <f>IF(B105="","",IFERROR(SUMIF($B$6:$B$115,B105,$I$6:$I$115),0))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28">
        <f>IF(OR(G106="",H106=""),"",G106+H106)</f>
        <v/>
      </c>
      <c r="J106" s="5" t="n"/>
      <c r="K106" s="5" t="n"/>
      <c r="L106" s="5" t="n"/>
      <c r="M106" s="5">
        <f>IF(B106="","",IFERROR(VLOOKUP(B106,'F01 - _Données Expatriés'!$A$6:$K$20,2,FALSE)&amp;" "&amp;VLOOKUP(B106,'F01 - _Données Expatriés'!$A$6:$K$20,3,FALSE),""))</f>
        <v/>
      </c>
      <c r="N106" s="28">
        <f>IF(B106="","",IFERROR(SUMIF($B$6:$B$115,B106,$I$6:$I$115),0))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29">
        <f>IF(OR(G107="",H107=""),"",G107+H107)</f>
        <v/>
      </c>
      <c r="J107" s="7" t="n"/>
      <c r="K107" s="7" t="n"/>
      <c r="L107" s="7" t="n"/>
      <c r="M107" s="7">
        <f>IF(B107="","",IFERROR(VLOOKUP(B107,'F01 - _Données Expatriés'!$A$6:$K$20,2,FALSE)&amp;" "&amp;VLOOKUP(B107,'F01 - _Données Expatriés'!$A$6:$K$20,3,FALSE),""))</f>
        <v/>
      </c>
      <c r="N107" s="29">
        <f>IF(B107="","",IFERROR(SUMIF($B$6:$B$115,B107,$I$6:$I$115),0))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28">
        <f>IF(OR(G108="",H108=""),"",G108+H108)</f>
        <v/>
      </c>
      <c r="J108" s="5" t="n"/>
      <c r="K108" s="5" t="n"/>
      <c r="L108" s="5" t="n"/>
      <c r="M108" s="5">
        <f>IF(B108="","",IFERROR(VLOOKUP(B108,'F01 - _Données Expatriés'!$A$6:$K$20,2,FALSE)&amp;" "&amp;VLOOKUP(B108,'F01 - _Données Expatriés'!$A$6:$K$20,3,FALSE),""))</f>
        <v/>
      </c>
      <c r="N108" s="28">
        <f>IF(B108="","",IFERROR(SUMIF($B$6:$B$115,B108,$I$6:$I$115),0))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29">
        <f>IF(OR(G109="",H109=""),"",G109+H109)</f>
        <v/>
      </c>
      <c r="J109" s="7" t="n"/>
      <c r="K109" s="7" t="n"/>
      <c r="L109" s="7" t="n"/>
      <c r="M109" s="7">
        <f>IF(B109="","",IFERROR(VLOOKUP(B109,'F01 - _Données Expatriés'!$A$6:$K$20,2,FALSE)&amp;" "&amp;VLOOKUP(B109,'F01 - _Données Expatriés'!$A$6:$K$20,3,FALSE),""))</f>
        <v/>
      </c>
      <c r="N109" s="29">
        <f>IF(B109="","",IFERROR(SUMIF($B$6:$B$115,B109,$I$6:$I$115),0))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28">
        <f>IF(OR(G110="",H110=""),"",G110+H110)</f>
        <v/>
      </c>
      <c r="J110" s="5" t="n"/>
      <c r="K110" s="5" t="n"/>
      <c r="L110" s="5" t="n"/>
      <c r="M110" s="5">
        <f>IF(B110="","",IFERROR(VLOOKUP(B110,'F01 - _Données Expatriés'!$A$6:$K$20,2,FALSE)&amp;" "&amp;VLOOKUP(B110,'F01 - _Données Expatriés'!$A$6:$K$20,3,FALSE),""))</f>
        <v/>
      </c>
      <c r="N110" s="28">
        <f>IF(B110="","",IFERROR(SUMIF($B$6:$B$115,B110,$I$6:$I$115),0))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29">
        <f>IF(OR(G111="",H111=""),"",G111+H111)</f>
        <v/>
      </c>
      <c r="J111" s="7" t="n"/>
      <c r="K111" s="7" t="n"/>
      <c r="L111" s="7" t="n"/>
      <c r="M111" s="7">
        <f>IF(B111="","",IFERROR(VLOOKUP(B111,'F01 - _Données Expatriés'!$A$6:$K$20,2,FALSE)&amp;" "&amp;VLOOKUP(B111,'F01 - _Données Expatriés'!$A$6:$K$20,3,FALSE),""))</f>
        <v/>
      </c>
      <c r="N111" s="29">
        <f>IF(B111="","",IFERROR(SUMIF($B$6:$B$115,B111,$I$6:$I$115),0))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28">
        <f>IF(OR(G112="",H112=""),"",G112+H112)</f>
        <v/>
      </c>
      <c r="J112" s="5" t="n"/>
      <c r="K112" s="5" t="n"/>
      <c r="L112" s="5" t="n"/>
      <c r="M112" s="5">
        <f>IF(B112="","",IFERROR(VLOOKUP(B112,'F01 - _Données Expatriés'!$A$6:$K$20,2,FALSE)&amp;" "&amp;VLOOKUP(B112,'F01 - _Données Expatriés'!$A$6:$K$20,3,FALSE),""))</f>
        <v/>
      </c>
      <c r="N112" s="28">
        <f>IF(B112="","",IFERROR(SUMIF($B$6:$B$115,B112,$I$6:$I$115),0))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29">
        <f>IF(OR(G113="",H113=""),"",G113+H113)</f>
        <v/>
      </c>
      <c r="J113" s="7" t="n"/>
      <c r="K113" s="7" t="n"/>
      <c r="L113" s="7" t="n"/>
      <c r="M113" s="7">
        <f>IF(B113="","",IFERROR(VLOOKUP(B113,'F01 - _Données Expatriés'!$A$6:$K$20,2,FALSE)&amp;" "&amp;VLOOKUP(B113,'F01 - _Données Expatriés'!$A$6:$K$20,3,FALSE),""))</f>
        <v/>
      </c>
      <c r="N113" s="29">
        <f>IF(B113="","",IFERROR(SUMIF($B$6:$B$115,B113,$I$6:$I$115),0))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28">
        <f>IF(OR(G114="",H114=""),"",G114+H114)</f>
        <v/>
      </c>
      <c r="J114" s="5" t="n"/>
      <c r="K114" s="5" t="n"/>
      <c r="L114" s="5" t="n"/>
      <c r="M114" s="5">
        <f>IF(B114="","",IFERROR(VLOOKUP(B114,'F01 - _Données Expatriés'!$A$6:$K$20,2,FALSE)&amp;" "&amp;VLOOKUP(B114,'F01 - _Données Expatriés'!$A$6:$K$20,3,FALSE),""))</f>
        <v/>
      </c>
      <c r="N114" s="28">
        <f>IF(B114="","",IFERROR(SUMIF($B$6:$B$115,B114,$I$6:$I$115),0))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29">
        <f>IF(OR(G115="",H115=""),"",G115+H115)</f>
        <v/>
      </c>
      <c r="J115" s="7" t="n"/>
      <c r="K115" s="7" t="n"/>
      <c r="L115" s="7" t="n"/>
      <c r="M115" s="7">
        <f>IF(B115="","",IFERROR(VLOOKUP(B115,'F01 - _Données Expatriés'!$A$6:$K$20,2,FALSE)&amp;" "&amp;VLOOKUP(B115,'F01 - _Données Expatriés'!$A$6:$K$20,3,FALSE),""))</f>
        <v/>
      </c>
      <c r="N115" s="29">
        <f>IF(B115="","",IFERROR(SUMIF($B$6:$B$115,B115,$I$6:$I$115),0))</f>
        <v/>
      </c>
    </row>
  </sheetData>
  <mergeCells count="2">
    <mergeCell ref="A3:N3"/>
    <mergeCell ref="A2:N2"/>
  </mergeCells>
  <dataValidations count="2">
    <dataValidation sqref="E6:E115" showDropDown="0" showInputMessage="0" showErrorMessage="0" allowBlank="1" errorTitle="Erreur" error="Valeur invalide" promptTitle="" prompt="Choisir dans la liste: " type="list">
      <formula1>'F02 - _Lists'!$O$6:$O$10</formula1>
    </dataValidation>
    <dataValidation sqref="L6:L115" showDropDown="0" showInputMessage="0" showErrorMessage="0" allowBlank="1" errorTitle="Erreur" error="Valeur invalide" promptTitle="" prompt="Choisir dans la liste: " type="list">
      <formula1>'F02 - _Lists'!$Z$6:$Z$9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2" customWidth="1" min="4" max="4"/>
    <col width="22" customWidth="1" min="5" max="5"/>
    <col width="18" customWidth="1" min="6" max="6"/>
    <col width="20" customWidth="1" min="7" max="7"/>
    <col width="20" customWidth="1" min="8" max="8"/>
    <col width="18" customWidth="1" min="9" max="9"/>
    <col width="18" customWidth="1" min="10" max="10"/>
    <col width="16" customWidth="1" min="11" max="11"/>
    <col width="14" customWidth="1" min="12" max="12"/>
    <col width="28" customWidth="1" min="13" max="13"/>
  </cols>
  <sheetData>
    <row r="1" ht="8" customHeight="1"/>
    <row r="2" ht="30" customHeight="1">
      <c r="A2" s="1" t="inlineStr">
        <is>
          <t>7-FISCALITÉ TRANSFRONTALIÈRE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Fiscal</t>
        </is>
      </c>
      <c r="B5" s="4" t="inlineStr">
        <is>
          <t>Matricule Expat.</t>
        </is>
      </c>
      <c r="C5" s="4" t="inlineStr">
        <is>
          <t>Pays d'Impôt</t>
        </is>
      </c>
      <c r="D5" s="4" t="inlineStr">
        <is>
          <t>Régime Fiscal</t>
        </is>
      </c>
      <c r="E5" s="4" t="inlineStr">
        <is>
          <t>Revenu Imposable (FCFA)</t>
        </is>
      </c>
      <c r="F5" s="4" t="inlineStr">
        <is>
          <t>Impôt Local (FCFA)</t>
        </is>
      </c>
      <c r="G5" s="4" t="inlineStr">
        <is>
          <t>Impôt Étranger (FCFA)</t>
        </is>
      </c>
      <c r="H5" s="4" t="inlineStr">
        <is>
          <t>Crédit d'Impôt (FCFA)</t>
        </is>
      </c>
      <c r="I5" s="4" t="inlineStr">
        <is>
          <t>Impôt Net (FCFA)</t>
        </is>
      </c>
      <c r="J5" s="4" t="inlineStr">
        <is>
          <t>Convention Fiscale</t>
        </is>
      </c>
      <c r="K5" s="4" t="inlineStr">
        <is>
          <t>Taux Effectif (%)</t>
        </is>
      </c>
      <c r="L5" s="4" t="inlineStr">
        <is>
          <t>Année Fiscale</t>
        </is>
      </c>
      <c r="M5" s="4" t="inlineStr">
        <is>
          <t>Observations</t>
        </is>
      </c>
    </row>
    <row r="6" ht="22" customHeight="1">
      <c r="A6" s="5" t="inlineStr">
        <is>
          <t>FISC-001</t>
        </is>
      </c>
      <c r="B6" s="5" t="inlineStr">
        <is>
          <t>EXP-001</t>
        </is>
      </c>
      <c r="C6" s="5" t="inlineStr">
        <is>
          <t>France / CI</t>
        </is>
      </c>
      <c r="D6" s="5" t="inlineStr">
        <is>
          <t>Régime impatrié</t>
        </is>
      </c>
      <c r="E6" s="25" t="n">
        <v>54000000</v>
      </c>
      <c r="F6" s="25" t="n">
        <v>4800000</v>
      </c>
      <c r="G6" s="25" t="n">
        <v>12000000</v>
      </c>
      <c r="H6" s="25" t="n">
        <v>12000000</v>
      </c>
      <c r="I6" s="28">
        <f>IF(OR(F6="",H6=""),"",MAX(F6-H6,0))</f>
        <v/>
      </c>
      <c r="J6" s="5" t="inlineStr">
        <is>
          <t>Oui</t>
        </is>
      </c>
      <c r="K6" s="24">
        <f>IF(OR(E6="",I6=""),"",IFERROR(I6/E6*100,0))</f>
        <v/>
      </c>
      <c r="L6" s="5" t="inlineStr">
        <is>
          <t>2024</t>
        </is>
      </c>
      <c r="M6" s="5" t="inlineStr">
        <is>
          <t>Convention franco-ivoirienne</t>
        </is>
      </c>
      <c r="N6" s="5">
        <f>IF(B6="","",IFERROR(VLOOKUP(B6,'F01 - _Données Expatriés'!$A$6:$K$20,2,FALSE)&amp;" "&amp;VLOOKUP(B6,'F01 - _Données Expatriés'!$A$6:$K$20,3,FALSE),""))</f>
        <v/>
      </c>
    </row>
    <row r="7" ht="22" customHeight="1">
      <c r="A7" s="7" t="inlineStr">
        <is>
          <t>FISC-002</t>
        </is>
      </c>
      <c r="B7" s="7" t="inlineStr">
        <is>
          <t>EXP-002</t>
        </is>
      </c>
      <c r="C7" s="7" t="inlineStr">
        <is>
          <t>France / CI</t>
        </is>
      </c>
      <c r="D7" s="7" t="inlineStr">
        <is>
          <t>Convention fiscale</t>
        </is>
      </c>
      <c r="E7" s="27" t="n">
        <v>45600000</v>
      </c>
      <c r="F7" s="27" t="n">
        <v>3600000</v>
      </c>
      <c r="G7" s="27" t="n">
        <v>9000000</v>
      </c>
      <c r="H7" s="27" t="n">
        <v>9000000</v>
      </c>
      <c r="I7" s="29">
        <f>IF(OR(F7="",H7=""),"",MAX(F7-H7,0))</f>
        <v/>
      </c>
      <c r="J7" s="7" t="inlineStr">
        <is>
          <t>Oui</t>
        </is>
      </c>
      <c r="K7" s="26">
        <f>IF(OR(E7="",I7=""),"",IFERROR(I7/E7*100,0))</f>
        <v/>
      </c>
      <c r="L7" s="7" t="inlineStr">
        <is>
          <t>2024</t>
        </is>
      </c>
      <c r="M7" s="7" t="inlineStr"/>
      <c r="N7" s="7">
        <f>IF(B7="","",IFERROR(VLOOKUP(B7,'F01 - _Données Expatriés'!$A$6:$K$20,2,FALSE)&amp;" "&amp;VLOOKUP(B7,'F01 - _Données Expatriés'!$A$6:$K$20,3,FALSE),""))</f>
        <v/>
      </c>
    </row>
    <row r="8" ht="22" customHeight="1">
      <c r="A8" s="5" t="inlineStr">
        <is>
          <t>FISC-003</t>
        </is>
      </c>
      <c r="B8" s="5" t="inlineStr">
        <is>
          <t>EXP-003</t>
        </is>
      </c>
      <c r="C8" s="5" t="inlineStr">
        <is>
          <t>Allemagne / CI</t>
        </is>
      </c>
      <c r="D8" s="5" t="inlineStr">
        <is>
          <t>Régime impatrié</t>
        </is>
      </c>
      <c r="E8" s="25" t="n">
        <v>62400000</v>
      </c>
      <c r="F8" s="25" t="n">
        <v>5200000</v>
      </c>
      <c r="G8" s="25" t="n">
        <v>15000000</v>
      </c>
      <c r="H8" s="25" t="n">
        <v>15000000</v>
      </c>
      <c r="I8" s="28">
        <f>IF(OR(F8="",H8=""),"",MAX(F8-H8,0))</f>
        <v/>
      </c>
      <c r="J8" s="5" t="inlineStr">
        <is>
          <t>Oui</t>
        </is>
      </c>
      <c r="K8" s="24">
        <f>IF(OR(E8="",I8=""),"",IFERROR(I8/E8*100,0))</f>
        <v/>
      </c>
      <c r="L8" s="5" t="inlineStr">
        <is>
          <t>2024</t>
        </is>
      </c>
      <c r="M8" s="5" t="inlineStr">
        <is>
          <t>Exonération 8 ans</t>
        </is>
      </c>
      <c r="N8" s="5">
        <f>IF(B8="","",IFERROR(VLOOKUP(B8,'F01 - _Données Expatriés'!$A$6:$K$20,2,FALSE)&amp;" "&amp;VLOOKUP(B8,'F01 - _Données Expatriés'!$A$6:$K$20,3,FALSE),""))</f>
        <v/>
      </c>
    </row>
    <row r="9" ht="22" customHeight="1">
      <c r="A9" s="7" t="inlineStr">
        <is>
          <t>FISC-004</t>
        </is>
      </c>
      <c r="B9" s="7" t="inlineStr">
        <is>
          <t>EXP-005</t>
        </is>
      </c>
      <c r="C9" s="7" t="inlineStr">
        <is>
          <t>Corée du Sud / CI</t>
        </is>
      </c>
      <c r="D9" s="7" t="inlineStr">
        <is>
          <t>Convention fiscale</t>
        </is>
      </c>
      <c r="E9" s="27" t="n">
        <v>50400000</v>
      </c>
      <c r="F9" s="27" t="n">
        <v>4000000</v>
      </c>
      <c r="G9" s="27" t="n">
        <v>11000000</v>
      </c>
      <c r="H9" s="27" t="n">
        <v>11000000</v>
      </c>
      <c r="I9" s="29">
        <f>IF(OR(F9="",H9=""),"",MAX(F9-H9,0))</f>
        <v/>
      </c>
      <c r="J9" s="7" t="inlineStr">
        <is>
          <t>Oui</t>
        </is>
      </c>
      <c r="K9" s="26">
        <f>IF(OR(E9="",I9=""),"",IFERROR(I9/E9*100,0))</f>
        <v/>
      </c>
      <c r="L9" s="7" t="inlineStr">
        <is>
          <t>2024</t>
        </is>
      </c>
      <c r="M9" s="7" t="inlineStr"/>
      <c r="N9" s="7">
        <f>IF(B9="","",IFERROR(VLOOKUP(B9,'F01 - _Données Expatriés'!$A$6:$K$20,2,FALSE)&amp;" "&amp;VLOOKUP(B9,'F01 - _Données Expatriés'!$A$6:$K$20,3,FALSE),""))</f>
        <v/>
      </c>
    </row>
    <row r="10" ht="22" customHeight="1">
      <c r="A10" s="5" t="inlineStr">
        <is>
          <t>FISC-005</t>
        </is>
      </c>
      <c r="B10" s="5" t="inlineStr">
        <is>
          <t>EXP-008</t>
        </is>
      </c>
      <c r="C10" s="5" t="inlineStr">
        <is>
          <t>France / CI</t>
        </is>
      </c>
      <c r="D10" s="5" t="inlineStr">
        <is>
          <t>Régime impatrié</t>
        </is>
      </c>
      <c r="E10" s="25" t="n">
        <v>60000000</v>
      </c>
      <c r="F10" s="25" t="n">
        <v>5000000</v>
      </c>
      <c r="G10" s="25" t="n">
        <v>13500000</v>
      </c>
      <c r="H10" s="25" t="n">
        <v>13500000</v>
      </c>
      <c r="I10" s="28">
        <f>IF(OR(F10="",H10=""),"",MAX(F10-H10,0))</f>
        <v/>
      </c>
      <c r="J10" s="5" t="inlineStr">
        <is>
          <t>Oui</t>
        </is>
      </c>
      <c r="K10" s="24">
        <f>IF(OR(E10="",I10=""),"",IFERROR(I10/E10*100,0))</f>
        <v/>
      </c>
      <c r="L10" s="5" t="inlineStr">
        <is>
          <t>2024</t>
        </is>
      </c>
      <c r="M10" s="5" t="inlineStr"/>
      <c r="N10" s="5">
        <f>IF(B10="","",IFERROR(VLOOKUP(B10,'F01 - _Données Expatriés'!$A$6:$K$20,2,FALSE)&amp;" "&amp;VLOOKUP(B10,'F01 - _Données Expatriés'!$A$6:$K$20,3,FALSE),""))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29">
        <f>IF(OR(F11="",H11=""),"",MAX(F11-H11,0))</f>
        <v/>
      </c>
      <c r="J11" s="7" t="n"/>
      <c r="K11" s="26">
        <f>IF(OR(E11="",I11=""),"",IFERROR(I11/E11*100,0))</f>
        <v/>
      </c>
      <c r="L11" s="7" t="n"/>
      <c r="M11" s="7" t="n"/>
      <c r="N11" s="7">
        <f>IF(B11="","",IFERROR(VLOOKUP(B11,'F01 - _Données Expatriés'!$A$6:$K$20,2,FALSE)&amp;" "&amp;VLOOKUP(B11,'F01 - _Données Expatriés'!$A$6:$K$20,3,FALSE),""))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28">
        <f>IF(OR(F12="",H12=""),"",MAX(F12-H12,0))</f>
        <v/>
      </c>
      <c r="J12" s="5" t="n"/>
      <c r="K12" s="24">
        <f>IF(OR(E12="",I12=""),"",IFERROR(I12/E12*100,0))</f>
        <v/>
      </c>
      <c r="L12" s="5" t="n"/>
      <c r="M12" s="5" t="n"/>
      <c r="N12" s="5">
        <f>IF(B12="","",IFERROR(VLOOKUP(B12,'F01 - _Données Expatriés'!$A$6:$K$20,2,FALSE)&amp;" "&amp;VLOOKUP(B12,'F01 - _Données Expatriés'!$A$6:$K$20,3,FALSE),""))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29">
        <f>IF(OR(F13="",H13=""),"",MAX(F13-H13,0))</f>
        <v/>
      </c>
      <c r="J13" s="7" t="n"/>
      <c r="K13" s="26">
        <f>IF(OR(E13="",I13=""),"",IFERROR(I13/E13*100,0))</f>
        <v/>
      </c>
      <c r="L13" s="7" t="n"/>
      <c r="M13" s="7" t="n"/>
      <c r="N13" s="7">
        <f>IF(B13="","",IFERROR(VLOOKUP(B13,'F01 - _Données Expatriés'!$A$6:$K$20,2,FALSE)&amp;" "&amp;VLOOKUP(B13,'F01 - _Données Expatriés'!$A$6:$K$20,3,FALSE),""))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28">
        <f>IF(OR(F14="",H14=""),"",MAX(F14-H14,0))</f>
        <v/>
      </c>
      <c r="J14" s="5" t="n"/>
      <c r="K14" s="24">
        <f>IF(OR(E14="",I14=""),"",IFERROR(I14/E14*100,0))</f>
        <v/>
      </c>
      <c r="L14" s="5" t="n"/>
      <c r="M14" s="5" t="n"/>
      <c r="N14" s="5">
        <f>IF(B14="","",IFERROR(VLOOKUP(B14,'F01 - _Données Expatriés'!$A$6:$K$20,2,FALSE)&amp;" "&amp;VLOOKUP(B14,'F01 - _Données Expatriés'!$A$6:$K$20,3,FALSE),""))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29">
        <f>IF(OR(F15="",H15=""),"",MAX(F15-H15,0))</f>
        <v/>
      </c>
      <c r="J15" s="7" t="n"/>
      <c r="K15" s="26">
        <f>IF(OR(E15="",I15=""),"",IFERROR(I15/E15*100,0))</f>
        <v/>
      </c>
      <c r="L15" s="7" t="n"/>
      <c r="M15" s="7" t="n"/>
      <c r="N15" s="7">
        <f>IF(B15="","",IFERROR(VLOOKUP(B15,'F01 - _Données Expatriés'!$A$6:$K$20,2,FALSE)&amp;" "&amp;VLOOKUP(B15,'F01 - _Données Expatriés'!$A$6:$K$20,3,FALSE),""))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28">
        <f>IF(OR(F16="",H16=""),"",MAX(F16-H16,0))</f>
        <v/>
      </c>
      <c r="J16" s="5" t="n"/>
      <c r="K16" s="24">
        <f>IF(OR(E16="",I16=""),"",IFERROR(I16/E16*100,0))</f>
        <v/>
      </c>
      <c r="L16" s="5" t="n"/>
      <c r="M16" s="5" t="n"/>
      <c r="N16" s="5">
        <f>IF(B16="","",IFERROR(VLOOKUP(B16,'F01 - _Données Expatriés'!$A$6:$K$20,2,FALSE)&amp;" "&amp;VLOOKUP(B16,'F01 - _Données Expatriés'!$A$6:$K$20,3,FALSE),""))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29">
        <f>IF(OR(F17="",H17=""),"",MAX(F17-H17,0))</f>
        <v/>
      </c>
      <c r="J17" s="7" t="n"/>
      <c r="K17" s="26">
        <f>IF(OR(E17="",I17=""),"",IFERROR(I17/E17*100,0))</f>
        <v/>
      </c>
      <c r="L17" s="7" t="n"/>
      <c r="M17" s="7" t="n"/>
      <c r="N17" s="7">
        <f>IF(B17="","",IFERROR(VLOOKUP(B17,'F01 - _Données Expatriés'!$A$6:$K$20,2,FALSE)&amp;" "&amp;VLOOKUP(B17,'F01 - _Données Expatriés'!$A$6:$K$20,3,FALSE),""))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28">
        <f>IF(OR(F18="",H18=""),"",MAX(F18-H18,0))</f>
        <v/>
      </c>
      <c r="J18" s="5" t="n"/>
      <c r="K18" s="24">
        <f>IF(OR(E18="",I18=""),"",IFERROR(I18/E18*100,0))</f>
        <v/>
      </c>
      <c r="L18" s="5" t="n"/>
      <c r="M18" s="5" t="n"/>
      <c r="N18" s="5">
        <f>IF(B18="","",IFERROR(VLOOKUP(B18,'F01 - _Données Expatriés'!$A$6:$K$20,2,FALSE)&amp;" "&amp;VLOOKUP(B18,'F01 - _Données Expatriés'!$A$6:$K$20,3,FALSE),""))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29">
        <f>IF(OR(F19="",H19=""),"",MAX(F19-H19,0))</f>
        <v/>
      </c>
      <c r="J19" s="7" t="n"/>
      <c r="K19" s="26">
        <f>IF(OR(E19="",I19=""),"",IFERROR(I19/E19*100,0))</f>
        <v/>
      </c>
      <c r="L19" s="7" t="n"/>
      <c r="M19" s="7" t="n"/>
      <c r="N19" s="7">
        <f>IF(B19="","",IFERROR(VLOOKUP(B19,'F01 - _Données Expatriés'!$A$6:$K$20,2,FALSE)&amp;" "&amp;VLOOKUP(B19,'F01 - _Données Expatriés'!$A$6:$K$20,3,FALSE),""))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28">
        <f>IF(OR(F20="",H20=""),"",MAX(F20-H20,0))</f>
        <v/>
      </c>
      <c r="J20" s="5" t="n"/>
      <c r="K20" s="24">
        <f>IF(OR(E20="",I20=""),"",IFERROR(I20/E20*100,0))</f>
        <v/>
      </c>
      <c r="L20" s="5" t="n"/>
      <c r="M20" s="5" t="n"/>
      <c r="N20" s="5">
        <f>IF(B20="","",IFERROR(VLOOKUP(B20,'F01 - _Données Expatriés'!$A$6:$K$20,2,FALSE)&amp;" "&amp;VLOOKUP(B20,'F01 - _Données Expatriés'!$A$6:$K$20,3,FALSE),""))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29">
        <f>IF(OR(F21="",H21=""),"",MAX(F21-H21,0))</f>
        <v/>
      </c>
      <c r="J21" s="7" t="n"/>
      <c r="K21" s="26">
        <f>IF(OR(E21="",I21=""),"",IFERROR(I21/E21*100,0))</f>
        <v/>
      </c>
      <c r="L21" s="7" t="n"/>
      <c r="M21" s="7" t="n"/>
      <c r="N21" s="7">
        <f>IF(B21="","",IFERROR(VLOOKUP(B21,'F01 - _Données Expatriés'!$A$6:$K$20,2,FALSE)&amp;" "&amp;VLOOKUP(B21,'F01 - _Données Expatriés'!$A$6:$K$20,3,FALSE),""))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28">
        <f>IF(OR(F22="",H22=""),"",MAX(F22-H22,0))</f>
        <v/>
      </c>
      <c r="J22" s="5" t="n"/>
      <c r="K22" s="24">
        <f>IF(OR(E22="",I22=""),"",IFERROR(I22/E22*100,0))</f>
        <v/>
      </c>
      <c r="L22" s="5" t="n"/>
      <c r="M22" s="5" t="n"/>
      <c r="N22" s="5">
        <f>IF(B22="","",IFERROR(VLOOKUP(B22,'F01 - _Données Expatriés'!$A$6:$K$20,2,FALSE)&amp;" "&amp;VLOOKUP(B22,'F01 - _Données Expatriés'!$A$6:$K$20,3,FALSE),""))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29">
        <f>IF(OR(F23="",H23=""),"",MAX(F23-H23,0))</f>
        <v/>
      </c>
      <c r="J23" s="7" t="n"/>
      <c r="K23" s="26">
        <f>IF(OR(E23="",I23=""),"",IFERROR(I23/E23*100,0))</f>
        <v/>
      </c>
      <c r="L23" s="7" t="n"/>
      <c r="M23" s="7" t="n"/>
      <c r="N23" s="7">
        <f>IF(B23="","",IFERROR(VLOOKUP(B23,'F01 - _Données Expatriés'!$A$6:$K$20,2,FALSE)&amp;" "&amp;VLOOKUP(B23,'F01 - _Données Expatriés'!$A$6:$K$20,3,FALSE),""))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28">
        <f>IF(OR(F24="",H24=""),"",MAX(F24-H24,0))</f>
        <v/>
      </c>
      <c r="J24" s="5" t="n"/>
      <c r="K24" s="24">
        <f>IF(OR(E24="",I24=""),"",IFERROR(I24/E24*100,0))</f>
        <v/>
      </c>
      <c r="L24" s="5" t="n"/>
      <c r="M24" s="5" t="n"/>
      <c r="N24" s="5">
        <f>IF(B24="","",IFERROR(VLOOKUP(B24,'F01 - _Données Expatriés'!$A$6:$K$20,2,FALSE)&amp;" "&amp;VLOOKUP(B24,'F01 - _Données Expatriés'!$A$6:$K$20,3,FALSE),""))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29">
        <f>IF(OR(F25="",H25=""),"",MAX(F25-H25,0))</f>
        <v/>
      </c>
      <c r="J25" s="7" t="n"/>
      <c r="K25" s="26">
        <f>IF(OR(E25="",I25=""),"",IFERROR(I25/E25*100,0))</f>
        <v/>
      </c>
      <c r="L25" s="7" t="n"/>
      <c r="M25" s="7" t="n"/>
      <c r="N25" s="7">
        <f>IF(B25="","",IFERROR(VLOOKUP(B25,'F01 - _Données Expatriés'!$A$6:$K$20,2,FALSE)&amp;" "&amp;VLOOKUP(B25,'F01 - _Données Expatriés'!$A$6:$K$20,3,FALSE),""))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28">
        <f>IF(OR(F26="",H26=""),"",MAX(F26-H26,0))</f>
        <v/>
      </c>
      <c r="J26" s="5" t="n"/>
      <c r="K26" s="24">
        <f>IF(OR(E26="",I26=""),"",IFERROR(I26/E26*100,0))</f>
        <v/>
      </c>
      <c r="L26" s="5" t="n"/>
      <c r="M26" s="5" t="n"/>
      <c r="N26" s="5">
        <f>IF(B26="","",IFERROR(VLOOKUP(B26,'F01 - _Données Expatriés'!$A$6:$K$20,2,FALSE)&amp;" "&amp;VLOOKUP(B26,'F01 - _Données Expatriés'!$A$6:$K$20,3,FALSE),""))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29">
        <f>IF(OR(F27="",H27=""),"",MAX(F27-H27,0))</f>
        <v/>
      </c>
      <c r="J27" s="7" t="n"/>
      <c r="K27" s="26">
        <f>IF(OR(E27="",I27=""),"",IFERROR(I27/E27*100,0))</f>
        <v/>
      </c>
      <c r="L27" s="7" t="n"/>
      <c r="M27" s="7" t="n"/>
      <c r="N27" s="7">
        <f>IF(B27="","",IFERROR(VLOOKUP(B27,'F01 - _Données Expatriés'!$A$6:$K$20,2,FALSE)&amp;" "&amp;VLOOKUP(B27,'F01 - _Données Expatriés'!$A$6:$K$20,3,FALSE),""))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28">
        <f>IF(OR(F28="",H28=""),"",MAX(F28-H28,0))</f>
        <v/>
      </c>
      <c r="J28" s="5" t="n"/>
      <c r="K28" s="24">
        <f>IF(OR(E28="",I28=""),"",IFERROR(I28/E28*100,0))</f>
        <v/>
      </c>
      <c r="L28" s="5" t="n"/>
      <c r="M28" s="5" t="n"/>
      <c r="N28" s="5">
        <f>IF(B28="","",IFERROR(VLOOKUP(B28,'F01 - _Données Expatriés'!$A$6:$K$20,2,FALSE)&amp;" "&amp;VLOOKUP(B28,'F01 - _Données Expatriés'!$A$6:$K$20,3,FALSE),""))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29">
        <f>IF(OR(F29="",H29=""),"",MAX(F29-H29,0))</f>
        <v/>
      </c>
      <c r="J29" s="7" t="n"/>
      <c r="K29" s="26">
        <f>IF(OR(E29="",I29=""),"",IFERROR(I29/E29*100,0))</f>
        <v/>
      </c>
      <c r="L29" s="7" t="n"/>
      <c r="M29" s="7" t="n"/>
      <c r="N29" s="7">
        <f>IF(B29="","",IFERROR(VLOOKUP(B29,'F01 - _Données Expatriés'!$A$6:$K$20,2,FALSE)&amp;" "&amp;VLOOKUP(B29,'F01 - _Données Expatriés'!$A$6:$K$20,3,FALSE),""))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28">
        <f>IF(OR(F30="",H30=""),"",MAX(F30-H30,0))</f>
        <v/>
      </c>
      <c r="J30" s="5" t="n"/>
      <c r="K30" s="24">
        <f>IF(OR(E30="",I30=""),"",IFERROR(I30/E30*100,0))</f>
        <v/>
      </c>
      <c r="L30" s="5" t="n"/>
      <c r="M30" s="5" t="n"/>
      <c r="N30" s="5">
        <f>IF(B30="","",IFERROR(VLOOKUP(B30,'F01 - _Données Expatriés'!$A$6:$K$20,2,FALSE)&amp;" "&amp;VLOOKUP(B30,'F01 - _Données Expatriés'!$A$6:$K$20,3,FALSE),""))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29">
        <f>IF(OR(F31="",H31=""),"",MAX(F31-H31,0))</f>
        <v/>
      </c>
      <c r="J31" s="7" t="n"/>
      <c r="K31" s="26">
        <f>IF(OR(E31="",I31=""),"",IFERROR(I31/E31*100,0))</f>
        <v/>
      </c>
      <c r="L31" s="7" t="n"/>
      <c r="M31" s="7" t="n"/>
      <c r="N31" s="7">
        <f>IF(B31="","",IFERROR(VLOOKUP(B31,'F01 - _Données Expatriés'!$A$6:$K$20,2,FALSE)&amp;" "&amp;VLOOKUP(B31,'F01 - _Données Expatriés'!$A$6:$K$20,3,FALSE),""))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28">
        <f>IF(OR(F32="",H32=""),"",MAX(F32-H32,0))</f>
        <v/>
      </c>
      <c r="J32" s="5" t="n"/>
      <c r="K32" s="24">
        <f>IF(OR(E32="",I32=""),"",IFERROR(I32/E32*100,0))</f>
        <v/>
      </c>
      <c r="L32" s="5" t="n"/>
      <c r="M32" s="5" t="n"/>
      <c r="N32" s="5">
        <f>IF(B32="","",IFERROR(VLOOKUP(B32,'F01 - _Données Expatriés'!$A$6:$K$20,2,FALSE)&amp;" "&amp;VLOOKUP(B32,'F01 - _Données Expatriés'!$A$6:$K$20,3,FALSE),""))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29">
        <f>IF(OR(F33="",H33=""),"",MAX(F33-H33,0))</f>
        <v/>
      </c>
      <c r="J33" s="7" t="n"/>
      <c r="K33" s="26">
        <f>IF(OR(E33="",I33=""),"",IFERROR(I33/E33*100,0))</f>
        <v/>
      </c>
      <c r="L33" s="7" t="n"/>
      <c r="M33" s="7" t="n"/>
      <c r="N33" s="7">
        <f>IF(B33="","",IFERROR(VLOOKUP(B33,'F01 - _Données Expatriés'!$A$6:$K$20,2,FALSE)&amp;" "&amp;VLOOKUP(B33,'F01 - _Données Expatriés'!$A$6:$K$20,3,FALSE),""))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28">
        <f>IF(OR(F34="",H34=""),"",MAX(F34-H34,0))</f>
        <v/>
      </c>
      <c r="J34" s="5" t="n"/>
      <c r="K34" s="24">
        <f>IF(OR(E34="",I34=""),"",IFERROR(I34/E34*100,0))</f>
        <v/>
      </c>
      <c r="L34" s="5" t="n"/>
      <c r="M34" s="5" t="n"/>
      <c r="N34" s="5">
        <f>IF(B34="","",IFERROR(VLOOKUP(B34,'F01 - _Données Expatriés'!$A$6:$K$20,2,FALSE)&amp;" "&amp;VLOOKUP(B34,'F01 - _Données Expatriés'!$A$6:$K$20,3,FALSE),""))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29">
        <f>IF(OR(F35="",H35=""),"",MAX(F35-H35,0))</f>
        <v/>
      </c>
      <c r="J35" s="7" t="n"/>
      <c r="K35" s="26">
        <f>IF(OR(E35="",I35=""),"",IFERROR(I35/E35*100,0))</f>
        <v/>
      </c>
      <c r="L35" s="7" t="n"/>
      <c r="M35" s="7" t="n"/>
      <c r="N35" s="7">
        <f>IF(B35="","",IFERROR(VLOOKUP(B35,'F01 - _Données Expatriés'!$A$6:$K$20,2,FALSE)&amp;" "&amp;VLOOKUP(B35,'F01 - _Données Expatriés'!$A$6:$K$20,3,FALSE),""))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28">
        <f>IF(OR(F36="",H36=""),"",MAX(F36-H36,0))</f>
        <v/>
      </c>
      <c r="J36" s="5" t="n"/>
      <c r="K36" s="24">
        <f>IF(OR(E36="",I36=""),"",IFERROR(I36/E36*100,0))</f>
        <v/>
      </c>
      <c r="L36" s="5" t="n"/>
      <c r="M36" s="5" t="n"/>
      <c r="N36" s="5">
        <f>IF(B36="","",IFERROR(VLOOKUP(B36,'F01 - _Données Expatriés'!$A$6:$K$20,2,FALSE)&amp;" "&amp;VLOOKUP(B36,'F01 - _Données Expatriés'!$A$6:$K$20,3,FALSE),""))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29">
        <f>IF(OR(F37="",H37=""),"",MAX(F37-H37,0))</f>
        <v/>
      </c>
      <c r="J37" s="7" t="n"/>
      <c r="K37" s="26">
        <f>IF(OR(E37="",I37=""),"",IFERROR(I37/E37*100,0))</f>
        <v/>
      </c>
      <c r="L37" s="7" t="n"/>
      <c r="M37" s="7" t="n"/>
      <c r="N37" s="7">
        <f>IF(B37="","",IFERROR(VLOOKUP(B37,'F01 - _Données Expatriés'!$A$6:$K$20,2,FALSE)&amp;" "&amp;VLOOKUP(B37,'F01 - _Données Expatriés'!$A$6:$K$20,3,FALSE),""))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28">
        <f>IF(OR(F38="",H38=""),"",MAX(F38-H38,0))</f>
        <v/>
      </c>
      <c r="J38" s="5" t="n"/>
      <c r="K38" s="24">
        <f>IF(OR(E38="",I38=""),"",IFERROR(I38/E38*100,0))</f>
        <v/>
      </c>
      <c r="L38" s="5" t="n"/>
      <c r="M38" s="5" t="n"/>
      <c r="N38" s="5">
        <f>IF(B38="","",IFERROR(VLOOKUP(B38,'F01 - _Données Expatriés'!$A$6:$K$20,2,FALSE)&amp;" "&amp;VLOOKUP(B38,'F01 - _Données Expatriés'!$A$6:$K$20,3,FALSE),""))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29">
        <f>IF(OR(F39="",H39=""),"",MAX(F39-H39,0))</f>
        <v/>
      </c>
      <c r="J39" s="7" t="n"/>
      <c r="K39" s="26">
        <f>IF(OR(E39="",I39=""),"",IFERROR(I39/E39*100,0))</f>
        <v/>
      </c>
      <c r="L39" s="7" t="n"/>
      <c r="M39" s="7" t="n"/>
      <c r="N39" s="7">
        <f>IF(B39="","",IFERROR(VLOOKUP(B39,'F01 - _Données Expatriés'!$A$6:$K$20,2,FALSE)&amp;" "&amp;VLOOKUP(B39,'F01 - _Données Expatriés'!$A$6:$K$20,3,FALSE),""))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28">
        <f>IF(OR(F40="",H40=""),"",MAX(F40-H40,0))</f>
        <v/>
      </c>
      <c r="J40" s="5" t="n"/>
      <c r="K40" s="24">
        <f>IF(OR(E40="",I40=""),"",IFERROR(I40/E40*100,0))</f>
        <v/>
      </c>
      <c r="L40" s="5" t="n"/>
      <c r="M40" s="5" t="n"/>
      <c r="N40" s="5">
        <f>IF(B40="","",IFERROR(VLOOKUP(B40,'F01 - _Données Expatriés'!$A$6:$K$20,2,FALSE)&amp;" "&amp;VLOOKUP(B40,'F01 - _Données Expatriés'!$A$6:$K$20,3,FALSE),""))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29">
        <f>IF(OR(F41="",H41=""),"",MAX(F41-H41,0))</f>
        <v/>
      </c>
      <c r="J41" s="7" t="n"/>
      <c r="K41" s="26">
        <f>IF(OR(E41="",I41=""),"",IFERROR(I41/E41*100,0))</f>
        <v/>
      </c>
      <c r="L41" s="7" t="n"/>
      <c r="M41" s="7" t="n"/>
      <c r="N41" s="7">
        <f>IF(B41="","",IFERROR(VLOOKUP(B41,'F01 - _Données Expatriés'!$A$6:$K$20,2,FALSE)&amp;" "&amp;VLOOKUP(B41,'F01 - _Données Expatriés'!$A$6:$K$20,3,FALSE),""))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28">
        <f>IF(OR(F42="",H42=""),"",MAX(F42-H42,0))</f>
        <v/>
      </c>
      <c r="J42" s="5" t="n"/>
      <c r="K42" s="24">
        <f>IF(OR(E42="",I42=""),"",IFERROR(I42/E42*100,0))</f>
        <v/>
      </c>
      <c r="L42" s="5" t="n"/>
      <c r="M42" s="5" t="n"/>
      <c r="N42" s="5">
        <f>IF(B42="","",IFERROR(VLOOKUP(B42,'F01 - _Données Expatriés'!$A$6:$K$20,2,FALSE)&amp;" "&amp;VLOOKUP(B42,'F01 - _Données Expatriés'!$A$6:$K$20,3,FALSE),""))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29">
        <f>IF(OR(F43="",H43=""),"",MAX(F43-H43,0))</f>
        <v/>
      </c>
      <c r="J43" s="7" t="n"/>
      <c r="K43" s="26">
        <f>IF(OR(E43="",I43=""),"",IFERROR(I43/E43*100,0))</f>
        <v/>
      </c>
      <c r="L43" s="7" t="n"/>
      <c r="M43" s="7" t="n"/>
      <c r="N43" s="7">
        <f>IF(B43="","",IFERROR(VLOOKUP(B43,'F01 - _Données Expatriés'!$A$6:$K$20,2,FALSE)&amp;" "&amp;VLOOKUP(B43,'F01 - _Données Expatriés'!$A$6:$K$20,3,FALSE),""))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28">
        <f>IF(OR(F44="",H44=""),"",MAX(F44-H44,0))</f>
        <v/>
      </c>
      <c r="J44" s="5" t="n"/>
      <c r="K44" s="24">
        <f>IF(OR(E44="",I44=""),"",IFERROR(I44/E44*100,0))</f>
        <v/>
      </c>
      <c r="L44" s="5" t="n"/>
      <c r="M44" s="5" t="n"/>
      <c r="N44" s="5">
        <f>IF(B44="","",IFERROR(VLOOKUP(B44,'F01 - _Données Expatriés'!$A$6:$K$20,2,FALSE)&amp;" "&amp;VLOOKUP(B44,'F01 - _Données Expatriés'!$A$6:$K$20,3,FALSE),""))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29">
        <f>IF(OR(F45="",H45=""),"",MAX(F45-H45,0))</f>
        <v/>
      </c>
      <c r="J45" s="7" t="n"/>
      <c r="K45" s="26">
        <f>IF(OR(E45="",I45=""),"",IFERROR(I45/E45*100,0))</f>
        <v/>
      </c>
      <c r="L45" s="7" t="n"/>
      <c r="M45" s="7" t="n"/>
      <c r="N45" s="7">
        <f>IF(B45="","",IFERROR(VLOOKUP(B45,'F01 - _Données Expatriés'!$A$6:$K$20,2,FALSE)&amp;" "&amp;VLOOKUP(B45,'F01 - _Données Expatriés'!$A$6:$K$20,3,FALSE),""))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28">
        <f>IF(OR(F46="",H46=""),"",MAX(F46-H46,0))</f>
        <v/>
      </c>
      <c r="J46" s="5" t="n"/>
      <c r="K46" s="24">
        <f>IF(OR(E46="",I46=""),"",IFERROR(I46/E46*100,0))</f>
        <v/>
      </c>
      <c r="L46" s="5" t="n"/>
      <c r="M46" s="5" t="n"/>
      <c r="N46" s="5">
        <f>IF(B46="","",IFERROR(VLOOKUP(B46,'F01 - _Données Expatriés'!$A$6:$K$20,2,FALSE)&amp;" "&amp;VLOOKUP(B46,'F01 - _Données Expatriés'!$A$6:$K$20,3,FALSE),""))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29">
        <f>IF(OR(F47="",H47=""),"",MAX(F47-H47,0))</f>
        <v/>
      </c>
      <c r="J47" s="7" t="n"/>
      <c r="K47" s="26">
        <f>IF(OR(E47="",I47=""),"",IFERROR(I47/E47*100,0))</f>
        <v/>
      </c>
      <c r="L47" s="7" t="n"/>
      <c r="M47" s="7" t="n"/>
      <c r="N47" s="7">
        <f>IF(B47="","",IFERROR(VLOOKUP(B47,'F01 - _Données Expatriés'!$A$6:$K$20,2,FALSE)&amp;" "&amp;VLOOKUP(B47,'F01 - _Données Expatriés'!$A$6:$K$20,3,FALSE),""))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28">
        <f>IF(OR(F48="",H48=""),"",MAX(F48-H48,0))</f>
        <v/>
      </c>
      <c r="J48" s="5" t="n"/>
      <c r="K48" s="24">
        <f>IF(OR(E48="",I48=""),"",IFERROR(I48/E48*100,0))</f>
        <v/>
      </c>
      <c r="L48" s="5" t="n"/>
      <c r="M48" s="5" t="n"/>
      <c r="N48" s="5">
        <f>IF(B48="","",IFERROR(VLOOKUP(B48,'F01 - _Données Expatriés'!$A$6:$K$20,2,FALSE)&amp;" "&amp;VLOOKUP(B48,'F01 - _Données Expatriés'!$A$6:$K$20,3,FALSE),""))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29">
        <f>IF(OR(F49="",H49=""),"",MAX(F49-H49,0))</f>
        <v/>
      </c>
      <c r="J49" s="7" t="n"/>
      <c r="K49" s="26">
        <f>IF(OR(E49="",I49=""),"",IFERROR(I49/E49*100,0))</f>
        <v/>
      </c>
      <c r="L49" s="7" t="n"/>
      <c r="M49" s="7" t="n"/>
      <c r="N49" s="7">
        <f>IF(B49="","",IFERROR(VLOOKUP(B49,'F01 - _Données Expatriés'!$A$6:$K$20,2,FALSE)&amp;" "&amp;VLOOKUP(B49,'F01 - _Données Expatriés'!$A$6:$K$20,3,FALSE),""))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28">
        <f>IF(OR(F50="",H50=""),"",MAX(F50-H50,0))</f>
        <v/>
      </c>
      <c r="J50" s="5" t="n"/>
      <c r="K50" s="24">
        <f>IF(OR(E50="",I50=""),"",IFERROR(I50/E50*100,0))</f>
        <v/>
      </c>
      <c r="L50" s="5" t="n"/>
      <c r="M50" s="5" t="n"/>
      <c r="N50" s="5">
        <f>IF(B50="","",IFERROR(VLOOKUP(B50,'F01 - _Données Expatriés'!$A$6:$K$20,2,FALSE)&amp;" "&amp;VLOOKUP(B50,'F01 - _Données Expatriés'!$A$6:$K$20,3,FALSE),""))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29">
        <f>IF(OR(F51="",H51=""),"",MAX(F51-H51,0))</f>
        <v/>
      </c>
      <c r="J51" s="7" t="n"/>
      <c r="K51" s="26">
        <f>IF(OR(E51="",I51=""),"",IFERROR(I51/E51*100,0))</f>
        <v/>
      </c>
      <c r="L51" s="7" t="n"/>
      <c r="M51" s="7" t="n"/>
      <c r="N51" s="7">
        <f>IF(B51="","",IFERROR(VLOOKUP(B51,'F01 - _Données Expatriés'!$A$6:$K$20,2,FALSE)&amp;" "&amp;VLOOKUP(B51,'F01 - _Données Expatriés'!$A$6:$K$20,3,FALSE),""))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28">
        <f>IF(OR(F52="",H52=""),"",MAX(F52-H52,0))</f>
        <v/>
      </c>
      <c r="J52" s="5" t="n"/>
      <c r="K52" s="24">
        <f>IF(OR(E52="",I52=""),"",IFERROR(I52/E52*100,0))</f>
        <v/>
      </c>
      <c r="L52" s="5" t="n"/>
      <c r="M52" s="5" t="n"/>
      <c r="N52" s="5">
        <f>IF(B52="","",IFERROR(VLOOKUP(B52,'F01 - _Données Expatriés'!$A$6:$K$20,2,FALSE)&amp;" "&amp;VLOOKUP(B52,'F01 - _Données Expatriés'!$A$6:$K$20,3,FALSE),""))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29">
        <f>IF(OR(F53="",H53=""),"",MAX(F53-H53,0))</f>
        <v/>
      </c>
      <c r="J53" s="7" t="n"/>
      <c r="K53" s="26">
        <f>IF(OR(E53="",I53=""),"",IFERROR(I53/E53*100,0))</f>
        <v/>
      </c>
      <c r="L53" s="7" t="n"/>
      <c r="M53" s="7" t="n"/>
      <c r="N53" s="7">
        <f>IF(B53="","",IFERROR(VLOOKUP(B53,'F01 - _Données Expatriés'!$A$6:$K$20,2,FALSE)&amp;" "&amp;VLOOKUP(B53,'F01 - _Données Expatriés'!$A$6:$K$20,3,FALSE),""))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28">
        <f>IF(OR(F54="",H54=""),"",MAX(F54-H54,0))</f>
        <v/>
      </c>
      <c r="J54" s="5" t="n"/>
      <c r="K54" s="24">
        <f>IF(OR(E54="",I54=""),"",IFERROR(I54/E54*100,0))</f>
        <v/>
      </c>
      <c r="L54" s="5" t="n"/>
      <c r="M54" s="5" t="n"/>
      <c r="N54" s="5">
        <f>IF(B54="","",IFERROR(VLOOKUP(B54,'F01 - _Données Expatriés'!$A$6:$K$20,2,FALSE)&amp;" "&amp;VLOOKUP(B54,'F01 - _Données Expatriés'!$A$6:$K$20,3,FALSE),""))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29">
        <f>IF(OR(F55="",H55=""),"",MAX(F55-H55,0))</f>
        <v/>
      </c>
      <c r="J55" s="7" t="n"/>
      <c r="K55" s="26">
        <f>IF(OR(E55="",I55=""),"",IFERROR(I55/E55*100,0))</f>
        <v/>
      </c>
      <c r="L55" s="7" t="n"/>
      <c r="M55" s="7" t="n"/>
      <c r="N55" s="7">
        <f>IF(B55="","",IFERROR(VLOOKUP(B55,'F01 - _Données Expatriés'!$A$6:$K$20,2,FALSE)&amp;" "&amp;VLOOKUP(B55,'F01 - _Données Expatriés'!$A$6:$K$20,3,FALSE),""))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28">
        <f>IF(OR(F56="",H56=""),"",MAX(F56-H56,0))</f>
        <v/>
      </c>
      <c r="J56" s="5" t="n"/>
      <c r="K56" s="24">
        <f>IF(OR(E56="",I56=""),"",IFERROR(I56/E56*100,0))</f>
        <v/>
      </c>
      <c r="L56" s="5" t="n"/>
      <c r="M56" s="5" t="n"/>
      <c r="N56" s="5">
        <f>IF(B56="","",IFERROR(VLOOKUP(B56,'F01 - _Données Expatriés'!$A$6:$K$20,2,FALSE)&amp;" "&amp;VLOOKUP(B56,'F01 - _Données Expatriés'!$A$6:$K$20,3,FALSE),""))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29">
        <f>IF(OR(F57="",H57=""),"",MAX(F57-H57,0))</f>
        <v/>
      </c>
      <c r="J57" s="7" t="n"/>
      <c r="K57" s="26">
        <f>IF(OR(E57="",I57=""),"",IFERROR(I57/E57*100,0))</f>
        <v/>
      </c>
      <c r="L57" s="7" t="n"/>
      <c r="M57" s="7" t="n"/>
      <c r="N57" s="7">
        <f>IF(B57="","",IFERROR(VLOOKUP(B57,'F01 - _Données Expatriés'!$A$6:$K$20,2,FALSE)&amp;" "&amp;VLOOKUP(B57,'F01 - _Données Expatriés'!$A$6:$K$20,3,FALSE),""))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28">
        <f>IF(OR(F58="",H58=""),"",MAX(F58-H58,0))</f>
        <v/>
      </c>
      <c r="J58" s="5" t="n"/>
      <c r="K58" s="24">
        <f>IF(OR(E58="",I58=""),"",IFERROR(I58/E58*100,0))</f>
        <v/>
      </c>
      <c r="L58" s="5" t="n"/>
      <c r="M58" s="5" t="n"/>
      <c r="N58" s="5">
        <f>IF(B58="","",IFERROR(VLOOKUP(B58,'F01 - _Données Expatriés'!$A$6:$K$20,2,FALSE)&amp;" "&amp;VLOOKUP(B58,'F01 - _Données Expatriés'!$A$6:$K$20,3,FALSE),""))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29">
        <f>IF(OR(F59="",H59=""),"",MAX(F59-H59,0))</f>
        <v/>
      </c>
      <c r="J59" s="7" t="n"/>
      <c r="K59" s="26">
        <f>IF(OR(E59="",I59=""),"",IFERROR(I59/E59*100,0))</f>
        <v/>
      </c>
      <c r="L59" s="7" t="n"/>
      <c r="M59" s="7" t="n"/>
      <c r="N59" s="7">
        <f>IF(B59="","",IFERROR(VLOOKUP(B59,'F01 - _Données Expatriés'!$A$6:$K$20,2,FALSE)&amp;" "&amp;VLOOKUP(B59,'F01 - _Données Expatriés'!$A$6:$K$20,3,FALSE),""))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28">
        <f>IF(OR(F60="",H60=""),"",MAX(F60-H60,0))</f>
        <v/>
      </c>
      <c r="J60" s="5" t="n"/>
      <c r="K60" s="24">
        <f>IF(OR(E60="",I60=""),"",IFERROR(I60/E60*100,0))</f>
        <v/>
      </c>
      <c r="L60" s="5" t="n"/>
      <c r="M60" s="5" t="n"/>
      <c r="N60" s="5">
        <f>IF(B60="","",IFERROR(VLOOKUP(B60,'F01 - _Données Expatriés'!$A$6:$K$20,2,FALSE)&amp;" "&amp;VLOOKUP(B60,'F01 - _Données Expatriés'!$A$6:$K$20,3,FALSE),""))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29">
        <f>IF(OR(F61="",H61=""),"",MAX(F61-H61,0))</f>
        <v/>
      </c>
      <c r="J61" s="7" t="n"/>
      <c r="K61" s="26">
        <f>IF(OR(E61="",I61=""),"",IFERROR(I61/E61*100,0))</f>
        <v/>
      </c>
      <c r="L61" s="7" t="n"/>
      <c r="M61" s="7" t="n"/>
      <c r="N61" s="7">
        <f>IF(B61="","",IFERROR(VLOOKUP(B61,'F01 - _Données Expatriés'!$A$6:$K$20,2,FALSE)&amp;" "&amp;VLOOKUP(B61,'F01 - _Données Expatriés'!$A$6:$K$20,3,FALSE),""))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28">
        <f>IF(OR(F62="",H62=""),"",MAX(F62-H62,0))</f>
        <v/>
      </c>
      <c r="J62" s="5" t="n"/>
      <c r="K62" s="24">
        <f>IF(OR(E62="",I62=""),"",IFERROR(I62/E62*100,0))</f>
        <v/>
      </c>
      <c r="L62" s="5" t="n"/>
      <c r="M62" s="5" t="n"/>
      <c r="N62" s="5">
        <f>IF(B62="","",IFERROR(VLOOKUP(B62,'F01 - _Données Expatriés'!$A$6:$K$20,2,FALSE)&amp;" "&amp;VLOOKUP(B62,'F01 - _Données Expatriés'!$A$6:$K$20,3,FALSE),""))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29">
        <f>IF(OR(F63="",H63=""),"",MAX(F63-H63,0))</f>
        <v/>
      </c>
      <c r="J63" s="7" t="n"/>
      <c r="K63" s="26">
        <f>IF(OR(E63="",I63=""),"",IFERROR(I63/E63*100,0))</f>
        <v/>
      </c>
      <c r="L63" s="7" t="n"/>
      <c r="M63" s="7" t="n"/>
      <c r="N63" s="7">
        <f>IF(B63="","",IFERROR(VLOOKUP(B63,'F01 - _Données Expatriés'!$A$6:$K$20,2,FALSE)&amp;" "&amp;VLOOKUP(B63,'F01 - _Données Expatriés'!$A$6:$K$20,3,FALSE),""))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28">
        <f>IF(OR(F64="",H64=""),"",MAX(F64-H64,0))</f>
        <v/>
      </c>
      <c r="J64" s="5" t="n"/>
      <c r="K64" s="24">
        <f>IF(OR(E64="",I64=""),"",IFERROR(I64/E64*100,0))</f>
        <v/>
      </c>
      <c r="L64" s="5" t="n"/>
      <c r="M64" s="5" t="n"/>
      <c r="N64" s="5">
        <f>IF(B64="","",IFERROR(VLOOKUP(B64,'F01 - _Données Expatriés'!$A$6:$K$20,2,FALSE)&amp;" "&amp;VLOOKUP(B64,'F01 - _Données Expatriés'!$A$6:$K$20,3,FALSE),""))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29">
        <f>IF(OR(F65="",H65=""),"",MAX(F65-H65,0))</f>
        <v/>
      </c>
      <c r="J65" s="7" t="n"/>
      <c r="K65" s="26">
        <f>IF(OR(E65="",I65=""),"",IFERROR(I65/E65*100,0))</f>
        <v/>
      </c>
      <c r="L65" s="7" t="n"/>
      <c r="M65" s="7" t="n"/>
      <c r="N65" s="7">
        <f>IF(B65="","",IFERROR(VLOOKUP(B65,'F01 - _Données Expatriés'!$A$6:$K$20,2,FALSE)&amp;" "&amp;VLOOKUP(B65,'F01 - _Données Expatriés'!$A$6:$K$20,3,FALSE),""))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28">
        <f>IF(OR(F66="",H66=""),"",MAX(F66-H66,0))</f>
        <v/>
      </c>
      <c r="J66" s="5" t="n"/>
      <c r="K66" s="24">
        <f>IF(OR(E66="",I66=""),"",IFERROR(I66/E66*100,0))</f>
        <v/>
      </c>
      <c r="L66" s="5" t="n"/>
      <c r="M66" s="5" t="n"/>
      <c r="N66" s="5">
        <f>IF(B66="","",IFERROR(VLOOKUP(B66,'F01 - _Données Expatriés'!$A$6:$K$20,2,FALSE)&amp;" "&amp;VLOOKUP(B66,'F01 - _Données Expatriés'!$A$6:$K$20,3,FALSE),""))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29">
        <f>IF(OR(F67="",H67=""),"",MAX(F67-H67,0))</f>
        <v/>
      </c>
      <c r="J67" s="7" t="n"/>
      <c r="K67" s="26">
        <f>IF(OR(E67="",I67=""),"",IFERROR(I67/E67*100,0))</f>
        <v/>
      </c>
      <c r="L67" s="7" t="n"/>
      <c r="M67" s="7" t="n"/>
      <c r="N67" s="7">
        <f>IF(B67="","",IFERROR(VLOOKUP(B67,'F01 - _Données Expatriés'!$A$6:$K$20,2,FALSE)&amp;" "&amp;VLOOKUP(B67,'F01 - _Données Expatriés'!$A$6:$K$20,3,FALSE),""))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28">
        <f>IF(OR(F68="",H68=""),"",MAX(F68-H68,0))</f>
        <v/>
      </c>
      <c r="J68" s="5" t="n"/>
      <c r="K68" s="24">
        <f>IF(OR(E68="",I68=""),"",IFERROR(I68/E68*100,0))</f>
        <v/>
      </c>
      <c r="L68" s="5" t="n"/>
      <c r="M68" s="5" t="n"/>
      <c r="N68" s="5">
        <f>IF(B68="","",IFERROR(VLOOKUP(B68,'F01 - _Données Expatriés'!$A$6:$K$20,2,FALSE)&amp;" "&amp;VLOOKUP(B68,'F01 - _Données Expatriés'!$A$6:$K$20,3,FALSE),""))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29">
        <f>IF(OR(F69="",H69=""),"",MAX(F69-H69,0))</f>
        <v/>
      </c>
      <c r="J69" s="7" t="n"/>
      <c r="K69" s="26">
        <f>IF(OR(E69="",I69=""),"",IFERROR(I69/E69*100,0))</f>
        <v/>
      </c>
      <c r="L69" s="7" t="n"/>
      <c r="M69" s="7" t="n"/>
      <c r="N69" s="7">
        <f>IF(B69="","",IFERROR(VLOOKUP(B69,'F01 - _Données Expatriés'!$A$6:$K$20,2,FALSE)&amp;" "&amp;VLOOKUP(B69,'F01 - _Données Expatriés'!$A$6:$K$20,3,FALSE),""))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28">
        <f>IF(OR(F70="",H70=""),"",MAX(F70-H70,0))</f>
        <v/>
      </c>
      <c r="J70" s="5" t="n"/>
      <c r="K70" s="24">
        <f>IF(OR(E70="",I70=""),"",IFERROR(I70/E70*100,0))</f>
        <v/>
      </c>
      <c r="L70" s="5" t="n"/>
      <c r="M70" s="5" t="n"/>
      <c r="N70" s="5">
        <f>IF(B70="","",IFERROR(VLOOKUP(B70,'F01 - _Données Expatriés'!$A$6:$K$20,2,FALSE)&amp;" "&amp;VLOOKUP(B70,'F01 - _Données Expatriés'!$A$6:$K$20,3,FALSE),""))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29">
        <f>IF(OR(F71="",H71=""),"",MAX(F71-H71,0))</f>
        <v/>
      </c>
      <c r="J71" s="7" t="n"/>
      <c r="K71" s="26">
        <f>IF(OR(E71="",I71=""),"",IFERROR(I71/E71*100,0))</f>
        <v/>
      </c>
      <c r="L71" s="7" t="n"/>
      <c r="M71" s="7" t="n"/>
      <c r="N71" s="7">
        <f>IF(B71="","",IFERROR(VLOOKUP(B71,'F01 - _Données Expatriés'!$A$6:$K$20,2,FALSE)&amp;" "&amp;VLOOKUP(B71,'F01 - _Données Expatriés'!$A$6:$K$20,3,FALSE),""))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28">
        <f>IF(OR(F72="",H72=""),"",MAX(F72-H72,0))</f>
        <v/>
      </c>
      <c r="J72" s="5" t="n"/>
      <c r="K72" s="24">
        <f>IF(OR(E72="",I72=""),"",IFERROR(I72/E72*100,0))</f>
        <v/>
      </c>
      <c r="L72" s="5" t="n"/>
      <c r="M72" s="5" t="n"/>
      <c r="N72" s="5">
        <f>IF(B72="","",IFERROR(VLOOKUP(B72,'F01 - _Données Expatriés'!$A$6:$K$20,2,FALSE)&amp;" "&amp;VLOOKUP(B72,'F01 - _Données Expatriés'!$A$6:$K$20,3,FALSE),""))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29">
        <f>IF(OR(F73="",H73=""),"",MAX(F73-H73,0))</f>
        <v/>
      </c>
      <c r="J73" s="7" t="n"/>
      <c r="K73" s="26">
        <f>IF(OR(E73="",I73=""),"",IFERROR(I73/E73*100,0))</f>
        <v/>
      </c>
      <c r="L73" s="7" t="n"/>
      <c r="M73" s="7" t="n"/>
      <c r="N73" s="7">
        <f>IF(B73="","",IFERROR(VLOOKUP(B73,'F01 - _Données Expatriés'!$A$6:$K$20,2,FALSE)&amp;" "&amp;VLOOKUP(B73,'F01 - _Données Expatriés'!$A$6:$K$20,3,FALSE),""))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28">
        <f>IF(OR(F74="",H74=""),"",MAX(F74-H74,0))</f>
        <v/>
      </c>
      <c r="J74" s="5" t="n"/>
      <c r="K74" s="24">
        <f>IF(OR(E74="",I74=""),"",IFERROR(I74/E74*100,0))</f>
        <v/>
      </c>
      <c r="L74" s="5" t="n"/>
      <c r="M74" s="5" t="n"/>
      <c r="N74" s="5">
        <f>IF(B74="","",IFERROR(VLOOKUP(B74,'F01 - _Données Expatriés'!$A$6:$K$20,2,FALSE)&amp;" "&amp;VLOOKUP(B74,'F01 - _Données Expatriés'!$A$6:$K$20,3,FALSE),""))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29">
        <f>IF(OR(F75="",H75=""),"",MAX(F75-H75,0))</f>
        <v/>
      </c>
      <c r="J75" s="7" t="n"/>
      <c r="K75" s="26">
        <f>IF(OR(E75="",I75=""),"",IFERROR(I75/E75*100,0))</f>
        <v/>
      </c>
      <c r="L75" s="7" t="n"/>
      <c r="M75" s="7" t="n"/>
      <c r="N75" s="7">
        <f>IF(B75="","",IFERROR(VLOOKUP(B75,'F01 - _Données Expatriés'!$A$6:$K$20,2,FALSE)&amp;" "&amp;VLOOKUP(B75,'F01 - _Données Expatriés'!$A$6:$K$20,3,FALSE),""))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28">
        <f>IF(OR(F76="",H76=""),"",MAX(F76-H76,0))</f>
        <v/>
      </c>
      <c r="J76" s="5" t="n"/>
      <c r="K76" s="24">
        <f>IF(OR(E76="",I76=""),"",IFERROR(I76/E76*100,0))</f>
        <v/>
      </c>
      <c r="L76" s="5" t="n"/>
      <c r="M76" s="5" t="n"/>
      <c r="N76" s="5">
        <f>IF(B76="","",IFERROR(VLOOKUP(B76,'F01 - _Données Expatriés'!$A$6:$K$20,2,FALSE)&amp;" "&amp;VLOOKUP(B76,'F01 - _Données Expatriés'!$A$6:$K$20,3,FALSE),""))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29">
        <f>IF(OR(F77="",H77=""),"",MAX(F77-H77,0))</f>
        <v/>
      </c>
      <c r="J77" s="7" t="n"/>
      <c r="K77" s="26">
        <f>IF(OR(E77="",I77=""),"",IFERROR(I77/E77*100,0))</f>
        <v/>
      </c>
      <c r="L77" s="7" t="n"/>
      <c r="M77" s="7" t="n"/>
      <c r="N77" s="7">
        <f>IF(B77="","",IFERROR(VLOOKUP(B77,'F01 - _Données Expatriés'!$A$6:$K$20,2,FALSE)&amp;" "&amp;VLOOKUP(B77,'F01 - _Données Expatriés'!$A$6:$K$20,3,FALSE),""))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28">
        <f>IF(OR(F78="",H78=""),"",MAX(F78-H78,0))</f>
        <v/>
      </c>
      <c r="J78" s="5" t="n"/>
      <c r="K78" s="24">
        <f>IF(OR(E78="",I78=""),"",IFERROR(I78/E78*100,0))</f>
        <v/>
      </c>
      <c r="L78" s="5" t="n"/>
      <c r="M78" s="5" t="n"/>
      <c r="N78" s="5">
        <f>IF(B78="","",IFERROR(VLOOKUP(B78,'F01 - _Données Expatriés'!$A$6:$K$20,2,FALSE)&amp;" "&amp;VLOOKUP(B78,'F01 - _Données Expatriés'!$A$6:$K$20,3,FALSE),""))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29">
        <f>IF(OR(F79="",H79=""),"",MAX(F79-H79,0))</f>
        <v/>
      </c>
      <c r="J79" s="7" t="n"/>
      <c r="K79" s="26">
        <f>IF(OR(E79="",I79=""),"",IFERROR(I79/E79*100,0))</f>
        <v/>
      </c>
      <c r="L79" s="7" t="n"/>
      <c r="M79" s="7" t="n"/>
      <c r="N79" s="7">
        <f>IF(B79="","",IFERROR(VLOOKUP(B79,'F01 - _Données Expatriés'!$A$6:$K$20,2,FALSE)&amp;" "&amp;VLOOKUP(B79,'F01 - _Données Expatriés'!$A$6:$K$20,3,FALSE),""))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28">
        <f>IF(OR(F80="",H80=""),"",MAX(F80-H80,0))</f>
        <v/>
      </c>
      <c r="J80" s="5" t="n"/>
      <c r="K80" s="24">
        <f>IF(OR(E80="",I80=""),"",IFERROR(I80/E80*100,0))</f>
        <v/>
      </c>
      <c r="L80" s="5" t="n"/>
      <c r="M80" s="5" t="n"/>
      <c r="N80" s="5">
        <f>IF(B80="","",IFERROR(VLOOKUP(B80,'F01 - _Données Expatriés'!$A$6:$K$20,2,FALSE)&amp;" "&amp;VLOOKUP(B80,'F01 - _Données Expatriés'!$A$6:$K$20,3,FALSE),""))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29">
        <f>IF(OR(F81="",H81=""),"",MAX(F81-H81,0))</f>
        <v/>
      </c>
      <c r="J81" s="7" t="n"/>
      <c r="K81" s="26">
        <f>IF(OR(E81="",I81=""),"",IFERROR(I81/E81*100,0))</f>
        <v/>
      </c>
      <c r="L81" s="7" t="n"/>
      <c r="M81" s="7" t="n"/>
      <c r="N81" s="7">
        <f>IF(B81="","",IFERROR(VLOOKUP(B81,'F01 - _Données Expatriés'!$A$6:$K$20,2,FALSE)&amp;" "&amp;VLOOKUP(B81,'F01 - _Données Expatriés'!$A$6:$K$20,3,FALSE),""))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28">
        <f>IF(OR(F82="",H82=""),"",MAX(F82-H82,0))</f>
        <v/>
      </c>
      <c r="J82" s="5" t="n"/>
      <c r="K82" s="24">
        <f>IF(OR(E82="",I82=""),"",IFERROR(I82/E82*100,0))</f>
        <v/>
      </c>
      <c r="L82" s="5" t="n"/>
      <c r="M82" s="5" t="n"/>
      <c r="N82" s="5">
        <f>IF(B82="","",IFERROR(VLOOKUP(B82,'F01 - _Données Expatriés'!$A$6:$K$20,2,FALSE)&amp;" "&amp;VLOOKUP(B82,'F01 - _Données Expatriés'!$A$6:$K$20,3,FALSE),""))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29">
        <f>IF(OR(F83="",H83=""),"",MAX(F83-H83,0))</f>
        <v/>
      </c>
      <c r="J83" s="7" t="n"/>
      <c r="K83" s="26">
        <f>IF(OR(E83="",I83=""),"",IFERROR(I83/E83*100,0))</f>
        <v/>
      </c>
      <c r="L83" s="7" t="n"/>
      <c r="M83" s="7" t="n"/>
      <c r="N83" s="7">
        <f>IF(B83="","",IFERROR(VLOOKUP(B83,'F01 - _Données Expatriés'!$A$6:$K$20,2,FALSE)&amp;" "&amp;VLOOKUP(B83,'F01 - _Données Expatriés'!$A$6:$K$20,3,FALSE),""))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28">
        <f>IF(OR(F84="",H84=""),"",MAX(F84-H84,0))</f>
        <v/>
      </c>
      <c r="J84" s="5" t="n"/>
      <c r="K84" s="24">
        <f>IF(OR(E84="",I84=""),"",IFERROR(I84/E84*100,0))</f>
        <v/>
      </c>
      <c r="L84" s="5" t="n"/>
      <c r="M84" s="5" t="n"/>
      <c r="N84" s="5">
        <f>IF(B84="","",IFERROR(VLOOKUP(B84,'F01 - _Données Expatriés'!$A$6:$K$20,2,FALSE)&amp;" "&amp;VLOOKUP(B84,'F01 - _Données Expatriés'!$A$6:$K$20,3,FALSE),""))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29">
        <f>IF(OR(F85="",H85=""),"",MAX(F85-H85,0))</f>
        <v/>
      </c>
      <c r="J85" s="7" t="n"/>
      <c r="K85" s="26">
        <f>IF(OR(E85="",I85=""),"",IFERROR(I85/E85*100,0))</f>
        <v/>
      </c>
      <c r="L85" s="7" t="n"/>
      <c r="M85" s="7" t="n"/>
      <c r="N85" s="7">
        <f>IF(B85="","",IFERROR(VLOOKUP(B85,'F01 - _Données Expatriés'!$A$6:$K$20,2,FALSE)&amp;" "&amp;VLOOKUP(B85,'F01 - _Données Expatriés'!$A$6:$K$20,3,FALSE),""))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28">
        <f>IF(OR(F86="",H86=""),"",MAX(F86-H86,0))</f>
        <v/>
      </c>
      <c r="J86" s="5" t="n"/>
      <c r="K86" s="24">
        <f>IF(OR(E86="",I86=""),"",IFERROR(I86/E86*100,0))</f>
        <v/>
      </c>
      <c r="L86" s="5" t="n"/>
      <c r="M86" s="5" t="n"/>
      <c r="N86" s="5">
        <f>IF(B86="","",IFERROR(VLOOKUP(B86,'F01 - _Données Expatriés'!$A$6:$K$20,2,FALSE)&amp;" "&amp;VLOOKUP(B86,'F01 - _Données Expatriés'!$A$6:$K$20,3,FALSE),""))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29">
        <f>IF(OR(F87="",H87=""),"",MAX(F87-H87,0))</f>
        <v/>
      </c>
      <c r="J87" s="7" t="n"/>
      <c r="K87" s="26">
        <f>IF(OR(E87="",I87=""),"",IFERROR(I87/E87*100,0))</f>
        <v/>
      </c>
      <c r="L87" s="7" t="n"/>
      <c r="M87" s="7" t="n"/>
      <c r="N87" s="7">
        <f>IF(B87="","",IFERROR(VLOOKUP(B87,'F01 - _Données Expatriés'!$A$6:$K$20,2,FALSE)&amp;" "&amp;VLOOKUP(B87,'F01 - _Données Expatriés'!$A$6:$K$20,3,FALSE),""))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28">
        <f>IF(OR(F88="",H88=""),"",MAX(F88-H88,0))</f>
        <v/>
      </c>
      <c r="J88" s="5" t="n"/>
      <c r="K88" s="24">
        <f>IF(OR(E88="",I88=""),"",IFERROR(I88/E88*100,0))</f>
        <v/>
      </c>
      <c r="L88" s="5" t="n"/>
      <c r="M88" s="5" t="n"/>
      <c r="N88" s="5">
        <f>IF(B88="","",IFERROR(VLOOKUP(B88,'F01 - _Données Expatriés'!$A$6:$K$20,2,FALSE)&amp;" "&amp;VLOOKUP(B88,'F01 - _Données Expatriés'!$A$6:$K$20,3,FALSE),""))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29">
        <f>IF(OR(F89="",H89=""),"",MAX(F89-H89,0))</f>
        <v/>
      </c>
      <c r="J89" s="7" t="n"/>
      <c r="K89" s="26">
        <f>IF(OR(E89="",I89=""),"",IFERROR(I89/E89*100,0))</f>
        <v/>
      </c>
      <c r="L89" s="7" t="n"/>
      <c r="M89" s="7" t="n"/>
      <c r="N89" s="7">
        <f>IF(B89="","",IFERROR(VLOOKUP(B89,'F01 - _Données Expatriés'!$A$6:$K$20,2,FALSE)&amp;" "&amp;VLOOKUP(B89,'F01 - _Données Expatriés'!$A$6:$K$20,3,FALSE),""))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28">
        <f>IF(OR(F90="",H90=""),"",MAX(F90-H90,0))</f>
        <v/>
      </c>
      <c r="J90" s="5" t="n"/>
      <c r="K90" s="24">
        <f>IF(OR(E90="",I90=""),"",IFERROR(I90/E90*100,0))</f>
        <v/>
      </c>
      <c r="L90" s="5" t="n"/>
      <c r="M90" s="5" t="n"/>
      <c r="N90" s="5">
        <f>IF(B90="","",IFERROR(VLOOKUP(B90,'F01 - _Données Expatriés'!$A$6:$K$20,2,FALSE)&amp;" "&amp;VLOOKUP(B90,'F01 - _Données Expatriés'!$A$6:$K$20,3,FALSE),""))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29">
        <f>IF(OR(F91="",H91=""),"",MAX(F91-H91,0))</f>
        <v/>
      </c>
      <c r="J91" s="7" t="n"/>
      <c r="K91" s="26">
        <f>IF(OR(E91="",I91=""),"",IFERROR(I91/E91*100,0))</f>
        <v/>
      </c>
      <c r="L91" s="7" t="n"/>
      <c r="M91" s="7" t="n"/>
      <c r="N91" s="7">
        <f>IF(B91="","",IFERROR(VLOOKUP(B91,'F01 - _Données Expatriés'!$A$6:$K$20,2,FALSE)&amp;" "&amp;VLOOKUP(B91,'F01 - _Données Expatriés'!$A$6:$K$20,3,FALSE),""))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28">
        <f>IF(OR(F92="",H92=""),"",MAX(F92-H92,0))</f>
        <v/>
      </c>
      <c r="J92" s="5" t="n"/>
      <c r="K92" s="24">
        <f>IF(OR(E92="",I92=""),"",IFERROR(I92/E92*100,0))</f>
        <v/>
      </c>
      <c r="L92" s="5" t="n"/>
      <c r="M92" s="5" t="n"/>
      <c r="N92" s="5">
        <f>IF(B92="","",IFERROR(VLOOKUP(B92,'F01 - _Données Expatriés'!$A$6:$K$20,2,FALSE)&amp;" "&amp;VLOOKUP(B92,'F01 - _Données Expatriés'!$A$6:$K$20,3,FALSE),""))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29">
        <f>IF(OR(F93="",H93=""),"",MAX(F93-H93,0))</f>
        <v/>
      </c>
      <c r="J93" s="7" t="n"/>
      <c r="K93" s="26">
        <f>IF(OR(E93="",I93=""),"",IFERROR(I93/E93*100,0))</f>
        <v/>
      </c>
      <c r="L93" s="7" t="n"/>
      <c r="M93" s="7" t="n"/>
      <c r="N93" s="7">
        <f>IF(B93="","",IFERROR(VLOOKUP(B93,'F01 - _Données Expatriés'!$A$6:$K$20,2,FALSE)&amp;" "&amp;VLOOKUP(B93,'F01 - _Données Expatriés'!$A$6:$K$20,3,FALSE),""))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28">
        <f>IF(OR(F94="",H94=""),"",MAX(F94-H94,0))</f>
        <v/>
      </c>
      <c r="J94" s="5" t="n"/>
      <c r="K94" s="24">
        <f>IF(OR(E94="",I94=""),"",IFERROR(I94/E94*100,0))</f>
        <v/>
      </c>
      <c r="L94" s="5" t="n"/>
      <c r="M94" s="5" t="n"/>
      <c r="N94" s="5">
        <f>IF(B94="","",IFERROR(VLOOKUP(B94,'F01 - _Données Expatriés'!$A$6:$K$20,2,FALSE)&amp;" "&amp;VLOOKUP(B94,'F01 - _Données Expatriés'!$A$6:$K$20,3,FALSE),""))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29">
        <f>IF(OR(F95="",H95=""),"",MAX(F95-H95,0))</f>
        <v/>
      </c>
      <c r="J95" s="7" t="n"/>
      <c r="K95" s="26">
        <f>IF(OR(E95="",I95=""),"",IFERROR(I95/E95*100,0))</f>
        <v/>
      </c>
      <c r="L95" s="7" t="n"/>
      <c r="M95" s="7" t="n"/>
      <c r="N95" s="7">
        <f>IF(B95="","",IFERROR(VLOOKUP(B95,'F01 - _Données Expatriés'!$A$6:$K$20,2,FALSE)&amp;" "&amp;VLOOKUP(B95,'F01 - _Données Expatriés'!$A$6:$K$20,3,FALSE),""))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28">
        <f>IF(OR(F96="",H96=""),"",MAX(F96-H96,0))</f>
        <v/>
      </c>
      <c r="J96" s="5" t="n"/>
      <c r="K96" s="24">
        <f>IF(OR(E96="",I96=""),"",IFERROR(I96/E96*100,0))</f>
        <v/>
      </c>
      <c r="L96" s="5" t="n"/>
      <c r="M96" s="5" t="n"/>
      <c r="N96" s="5">
        <f>IF(B96="","",IFERROR(VLOOKUP(B96,'F01 - _Données Expatriés'!$A$6:$K$20,2,FALSE)&amp;" "&amp;VLOOKUP(B96,'F01 - _Données Expatriés'!$A$6:$K$20,3,FALSE),""))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29">
        <f>IF(OR(F97="",H97=""),"",MAX(F97-H97,0))</f>
        <v/>
      </c>
      <c r="J97" s="7" t="n"/>
      <c r="K97" s="26">
        <f>IF(OR(E97="",I97=""),"",IFERROR(I97/E97*100,0))</f>
        <v/>
      </c>
      <c r="L97" s="7" t="n"/>
      <c r="M97" s="7" t="n"/>
      <c r="N97" s="7">
        <f>IF(B97="","",IFERROR(VLOOKUP(B97,'F01 - _Données Expatriés'!$A$6:$K$20,2,FALSE)&amp;" "&amp;VLOOKUP(B97,'F01 - _Données Expatriés'!$A$6:$K$20,3,FALSE),""))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28">
        <f>IF(OR(F98="",H98=""),"",MAX(F98-H98,0))</f>
        <v/>
      </c>
      <c r="J98" s="5" t="n"/>
      <c r="K98" s="24">
        <f>IF(OR(E98="",I98=""),"",IFERROR(I98/E98*100,0))</f>
        <v/>
      </c>
      <c r="L98" s="5" t="n"/>
      <c r="M98" s="5" t="n"/>
      <c r="N98" s="5">
        <f>IF(B98="","",IFERROR(VLOOKUP(B98,'F01 - _Données Expatriés'!$A$6:$K$20,2,FALSE)&amp;" "&amp;VLOOKUP(B98,'F01 - _Données Expatriés'!$A$6:$K$20,3,FALSE),""))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29">
        <f>IF(OR(F99="",H99=""),"",MAX(F99-H99,0))</f>
        <v/>
      </c>
      <c r="J99" s="7" t="n"/>
      <c r="K99" s="26">
        <f>IF(OR(E99="",I99=""),"",IFERROR(I99/E99*100,0))</f>
        <v/>
      </c>
      <c r="L99" s="7" t="n"/>
      <c r="M99" s="7" t="n"/>
      <c r="N99" s="7">
        <f>IF(B99="","",IFERROR(VLOOKUP(B99,'F01 - _Données Expatriés'!$A$6:$K$20,2,FALSE)&amp;" "&amp;VLOOKUP(B99,'F01 - _Données Expatriés'!$A$6:$K$20,3,FALSE),""))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28">
        <f>IF(OR(F100="",H100=""),"",MAX(F100-H100,0))</f>
        <v/>
      </c>
      <c r="J100" s="5" t="n"/>
      <c r="K100" s="24">
        <f>IF(OR(E100="",I100=""),"",IFERROR(I100/E100*100,0))</f>
        <v/>
      </c>
      <c r="L100" s="5" t="n"/>
      <c r="M100" s="5" t="n"/>
      <c r="N100" s="5">
        <f>IF(B100="","",IFERROR(VLOOKUP(B100,'F01 - _Données Expatriés'!$A$6:$K$20,2,FALSE)&amp;" "&amp;VLOOKUP(B100,'F01 - _Données Expatriés'!$A$6:$K$20,3,FALSE),""))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29">
        <f>IF(OR(F101="",H101=""),"",MAX(F101-H101,0))</f>
        <v/>
      </c>
      <c r="J101" s="7" t="n"/>
      <c r="K101" s="26">
        <f>IF(OR(E101="",I101=""),"",IFERROR(I101/E101*100,0))</f>
        <v/>
      </c>
      <c r="L101" s="7" t="n"/>
      <c r="M101" s="7" t="n"/>
      <c r="N101" s="7">
        <f>IF(B101="","",IFERROR(VLOOKUP(B101,'F01 - _Données Expatriés'!$A$6:$K$20,2,FALSE)&amp;" "&amp;VLOOKUP(B101,'F01 - _Données Expatriés'!$A$6:$K$20,3,FALSE),""))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28">
        <f>IF(OR(F102="",H102=""),"",MAX(F102-H102,0))</f>
        <v/>
      </c>
      <c r="J102" s="5" t="n"/>
      <c r="K102" s="24">
        <f>IF(OR(E102="",I102=""),"",IFERROR(I102/E102*100,0))</f>
        <v/>
      </c>
      <c r="L102" s="5" t="n"/>
      <c r="M102" s="5" t="n"/>
      <c r="N102" s="5">
        <f>IF(B102="","",IFERROR(VLOOKUP(B102,'F01 - _Données Expatriés'!$A$6:$K$20,2,FALSE)&amp;" "&amp;VLOOKUP(B102,'F01 - _Données Expatriés'!$A$6:$K$20,3,FALSE),""))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29">
        <f>IF(OR(F103="",H103=""),"",MAX(F103-H103,0))</f>
        <v/>
      </c>
      <c r="J103" s="7" t="n"/>
      <c r="K103" s="26">
        <f>IF(OR(E103="",I103=""),"",IFERROR(I103/E103*100,0))</f>
        <v/>
      </c>
      <c r="L103" s="7" t="n"/>
      <c r="M103" s="7" t="n"/>
      <c r="N103" s="7">
        <f>IF(B103="","",IFERROR(VLOOKUP(B103,'F01 - _Données Expatriés'!$A$6:$K$20,2,FALSE)&amp;" "&amp;VLOOKUP(B103,'F01 - _Données Expatriés'!$A$6:$K$20,3,FALSE),""))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28">
        <f>IF(OR(F104="",H104=""),"",MAX(F104-H104,0))</f>
        <v/>
      </c>
      <c r="J104" s="5" t="n"/>
      <c r="K104" s="24">
        <f>IF(OR(E104="",I104=""),"",IFERROR(I104/E104*100,0))</f>
        <v/>
      </c>
      <c r="L104" s="5" t="n"/>
      <c r="M104" s="5" t="n"/>
      <c r="N104" s="5">
        <f>IF(B104="","",IFERROR(VLOOKUP(B104,'F01 - _Données Expatriés'!$A$6:$K$20,2,FALSE)&amp;" "&amp;VLOOKUP(B104,'F01 - _Données Expatriés'!$A$6:$K$20,3,FALSE),""))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29">
        <f>IF(OR(F105="",H105=""),"",MAX(F105-H105,0))</f>
        <v/>
      </c>
      <c r="J105" s="7" t="n"/>
      <c r="K105" s="26">
        <f>IF(OR(E105="",I105=""),"",IFERROR(I105/E105*100,0))</f>
        <v/>
      </c>
      <c r="L105" s="7" t="n"/>
      <c r="M105" s="7" t="n"/>
      <c r="N105" s="7">
        <f>IF(B105="","",IFERROR(VLOOKUP(B105,'F01 - _Données Expatriés'!$A$6:$K$20,2,FALSE)&amp;" "&amp;VLOOKUP(B105,'F01 - _Données Expatriés'!$A$6:$K$20,3,FALSE),""))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28">
        <f>IF(OR(F106="",H106=""),"",MAX(F106-H106,0))</f>
        <v/>
      </c>
      <c r="J106" s="5" t="n"/>
      <c r="K106" s="24">
        <f>IF(OR(E106="",I106=""),"",IFERROR(I106/E106*100,0))</f>
        <v/>
      </c>
      <c r="L106" s="5" t="n"/>
      <c r="M106" s="5" t="n"/>
      <c r="N106" s="5">
        <f>IF(B106="","",IFERROR(VLOOKUP(B106,'F01 - _Données Expatriés'!$A$6:$K$20,2,FALSE)&amp;" "&amp;VLOOKUP(B106,'F01 - _Données Expatriés'!$A$6:$K$20,3,FALSE),""))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29">
        <f>IF(OR(F107="",H107=""),"",MAX(F107-H107,0))</f>
        <v/>
      </c>
      <c r="J107" s="7" t="n"/>
      <c r="K107" s="26">
        <f>IF(OR(E107="",I107=""),"",IFERROR(I107/E107*100,0))</f>
        <v/>
      </c>
      <c r="L107" s="7" t="n"/>
      <c r="M107" s="7" t="n"/>
      <c r="N107" s="7">
        <f>IF(B107="","",IFERROR(VLOOKUP(B107,'F01 - _Données Expatriés'!$A$6:$K$20,2,FALSE)&amp;" "&amp;VLOOKUP(B107,'F01 - _Données Expatriés'!$A$6:$K$20,3,FALSE),""))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28">
        <f>IF(OR(F108="",H108=""),"",MAX(F108-H108,0))</f>
        <v/>
      </c>
      <c r="J108" s="5" t="n"/>
      <c r="K108" s="24">
        <f>IF(OR(E108="",I108=""),"",IFERROR(I108/E108*100,0))</f>
        <v/>
      </c>
      <c r="L108" s="5" t="n"/>
      <c r="M108" s="5" t="n"/>
      <c r="N108" s="5">
        <f>IF(B108="","",IFERROR(VLOOKUP(B108,'F01 - _Données Expatriés'!$A$6:$K$20,2,FALSE)&amp;" "&amp;VLOOKUP(B108,'F01 - _Données Expatriés'!$A$6:$K$20,3,FALSE),""))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29">
        <f>IF(OR(F109="",H109=""),"",MAX(F109-H109,0))</f>
        <v/>
      </c>
      <c r="J109" s="7" t="n"/>
      <c r="K109" s="26">
        <f>IF(OR(E109="",I109=""),"",IFERROR(I109/E109*100,0))</f>
        <v/>
      </c>
      <c r="L109" s="7" t="n"/>
      <c r="M109" s="7" t="n"/>
      <c r="N109" s="7">
        <f>IF(B109="","",IFERROR(VLOOKUP(B109,'F01 - _Données Expatriés'!$A$6:$K$20,2,FALSE)&amp;" "&amp;VLOOKUP(B109,'F01 - _Données Expatriés'!$A$6:$K$20,3,FALSE),""))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28">
        <f>IF(OR(F110="",H110=""),"",MAX(F110-H110,0))</f>
        <v/>
      </c>
      <c r="J110" s="5" t="n"/>
      <c r="K110" s="24">
        <f>IF(OR(E110="",I110=""),"",IFERROR(I110/E110*100,0))</f>
        <v/>
      </c>
      <c r="L110" s="5" t="n"/>
      <c r="M110" s="5" t="n"/>
      <c r="N110" s="5">
        <f>IF(B110="","",IFERROR(VLOOKUP(B110,'F01 - _Données Expatriés'!$A$6:$K$20,2,FALSE)&amp;" "&amp;VLOOKUP(B110,'F01 - _Données Expatriés'!$A$6:$K$20,3,FALSE),""))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29">
        <f>IF(OR(F111="",H111=""),"",MAX(F111-H111,0))</f>
        <v/>
      </c>
      <c r="J111" s="7" t="n"/>
      <c r="K111" s="26">
        <f>IF(OR(E111="",I111=""),"",IFERROR(I111/E111*100,0))</f>
        <v/>
      </c>
      <c r="L111" s="7" t="n"/>
      <c r="M111" s="7" t="n"/>
      <c r="N111" s="7">
        <f>IF(B111="","",IFERROR(VLOOKUP(B111,'F01 - _Données Expatriés'!$A$6:$K$20,2,FALSE)&amp;" "&amp;VLOOKUP(B111,'F01 - _Données Expatriés'!$A$6:$K$20,3,FALSE),""))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28">
        <f>IF(OR(F112="",H112=""),"",MAX(F112-H112,0))</f>
        <v/>
      </c>
      <c r="J112" s="5" t="n"/>
      <c r="K112" s="24">
        <f>IF(OR(E112="",I112=""),"",IFERROR(I112/E112*100,0))</f>
        <v/>
      </c>
      <c r="L112" s="5" t="n"/>
      <c r="M112" s="5" t="n"/>
      <c r="N112" s="5">
        <f>IF(B112="","",IFERROR(VLOOKUP(B112,'F01 - _Données Expatriés'!$A$6:$K$20,2,FALSE)&amp;" "&amp;VLOOKUP(B112,'F01 - _Données Expatriés'!$A$6:$K$20,3,FALSE),""))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29">
        <f>IF(OR(F113="",H113=""),"",MAX(F113-H113,0))</f>
        <v/>
      </c>
      <c r="J113" s="7" t="n"/>
      <c r="K113" s="26">
        <f>IF(OR(E113="",I113=""),"",IFERROR(I113/E113*100,0))</f>
        <v/>
      </c>
      <c r="L113" s="7" t="n"/>
      <c r="M113" s="7" t="n"/>
      <c r="N113" s="7">
        <f>IF(B113="","",IFERROR(VLOOKUP(B113,'F01 - _Données Expatriés'!$A$6:$K$20,2,FALSE)&amp;" "&amp;VLOOKUP(B113,'F01 - _Données Expatriés'!$A$6:$K$20,3,FALSE),""))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28">
        <f>IF(OR(F114="",H114=""),"",MAX(F114-H114,0))</f>
        <v/>
      </c>
      <c r="J114" s="5" t="n"/>
      <c r="K114" s="24">
        <f>IF(OR(E114="",I114=""),"",IFERROR(I114/E114*100,0))</f>
        <v/>
      </c>
      <c r="L114" s="5" t="n"/>
      <c r="M114" s="5" t="n"/>
      <c r="N114" s="5">
        <f>IF(B114="","",IFERROR(VLOOKUP(B114,'F01 - _Données Expatriés'!$A$6:$K$20,2,FALSE)&amp;" "&amp;VLOOKUP(B114,'F01 - _Données Expatriés'!$A$6:$K$20,3,FALSE),""))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29">
        <f>IF(OR(F115="",H115=""),"",MAX(F115-H115,0))</f>
        <v/>
      </c>
      <c r="J115" s="7" t="n"/>
      <c r="K115" s="26">
        <f>IF(OR(E115="",I115=""),"",IFERROR(I115/E115*100,0))</f>
        <v/>
      </c>
      <c r="L115" s="7" t="n"/>
      <c r="M115" s="7" t="n"/>
      <c r="N115" s="7">
        <f>IF(B115="","",IFERROR(VLOOKUP(B115,'F01 - _Données Expatriés'!$A$6:$K$20,2,FALSE)&amp;" "&amp;VLOOKUP(B115,'F01 - _Données Expatriés'!$A$6:$K$20,3,FALSE),""))</f>
        <v/>
      </c>
    </row>
  </sheetData>
  <mergeCells count="2">
    <mergeCell ref="A3:N3"/>
    <mergeCell ref="A2:N2"/>
  </mergeCells>
  <dataValidations count="2">
    <dataValidation sqref="D6:D115" showDropDown="0" showInputMessage="0" showErrorMessage="0" allowBlank="1" errorTitle="Erreur" error="Valeur invalide" promptTitle="" prompt="Choisir dans la liste: " type="list">
      <formula1>'F02 - _Lists'!$P$6:$P$10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_Lists'!$Z$6:$Z$9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4" customWidth="1" min="7" max="7"/>
    <col width="18" customWidth="1" min="8" max="8"/>
    <col width="18" customWidth="1" min="9" max="9"/>
    <col width="20" customWidth="1" min="10" max="10"/>
    <col width="22" customWidth="1" min="11" max="11"/>
    <col width="18" customWidth="1" min="12" max="12"/>
    <col width="16" customWidth="1" min="13" max="13"/>
    <col width="28" customWidth="1" min="14" max="14"/>
  </cols>
  <sheetData>
    <row r="1" ht="8" customHeight="1"/>
    <row r="2" ht="30" customHeight="1">
      <c r="A2" s="1" t="inlineStr">
        <is>
          <t>8-PRÉPARATION AU DÉPART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Prépa.</t>
        </is>
      </c>
      <c r="B5" s="4" t="inlineStr">
        <is>
          <t>Matricule Expat.</t>
        </is>
      </c>
      <c r="C5" s="4" t="inlineStr">
        <is>
          <t>Pays Destination</t>
        </is>
      </c>
      <c r="D5" s="4" t="inlineStr">
        <is>
          <t>Type Mission</t>
        </is>
      </c>
      <c r="E5" s="4" t="inlineStr">
        <is>
          <t>Date Départ Prévu</t>
        </is>
      </c>
      <c r="F5" s="4" t="inlineStr">
        <is>
          <t>Briefing Sécurité</t>
        </is>
      </c>
      <c r="G5" s="4" t="inlineStr">
        <is>
          <t>Visa Obtenu</t>
        </is>
      </c>
      <c r="H5" s="4" t="inlineStr">
        <is>
          <t>Logement Confirmé</t>
        </is>
      </c>
      <c r="I5" s="4" t="inlineStr">
        <is>
          <t>Assurance Rapatri.</t>
        </is>
      </c>
      <c r="J5" s="4" t="inlineStr">
        <is>
          <t>Formation Inter-cult.</t>
        </is>
      </c>
      <c r="K5" s="4" t="inlineStr">
        <is>
          <t>Enfant(s) Scolarisé(s)</t>
        </is>
      </c>
      <c r="L5" s="4" t="inlineStr">
        <is>
          <t>Kit Accueil Remis</t>
        </is>
      </c>
      <c r="M5" s="4" t="inlineStr">
        <is>
          <t>Statut Prépa.</t>
        </is>
      </c>
      <c r="N5" s="4" t="inlineStr">
        <is>
          <t>Observations</t>
        </is>
      </c>
    </row>
    <row r="6" ht="22" customHeight="1">
      <c r="A6" s="5" t="inlineStr">
        <is>
          <t>PREP-001</t>
        </is>
      </c>
      <c r="B6" s="5" t="inlineStr">
        <is>
          <t>EXP-001</t>
        </is>
      </c>
      <c r="C6" s="5" t="inlineStr">
        <is>
          <t>Côte d'Ivoire</t>
        </is>
      </c>
      <c r="D6" s="5" t="inlineStr">
        <is>
          <t>Expatriation longue</t>
        </is>
      </c>
      <c r="E6" s="22" t="n">
        <v>44936</v>
      </c>
      <c r="F6" s="5" t="inlineStr">
        <is>
          <t>Oui</t>
        </is>
      </c>
      <c r="G6" s="5" t="inlineStr">
        <is>
          <t>Oui</t>
        </is>
      </c>
      <c r="H6" s="5" t="inlineStr">
        <is>
          <t>Oui</t>
        </is>
      </c>
      <c r="I6" s="5" t="inlineStr">
        <is>
          <t>Oui</t>
        </is>
      </c>
      <c r="J6" s="5" t="inlineStr">
        <is>
          <t>Oui</t>
        </is>
      </c>
      <c r="K6" s="5" t="inlineStr">
        <is>
          <t>N/A</t>
        </is>
      </c>
      <c r="L6" s="5" t="inlineStr">
        <is>
          <t>Oui</t>
        </is>
      </c>
      <c r="M6" s="5" t="inlineStr">
        <is>
          <t>Terminé</t>
        </is>
      </c>
      <c r="N6" s="5">
        <f>IF(A6="","",IF(AND(F6="Oui",G6="Oui",H6="Oui",I6="Oui",K6="Oui"),"COMPLET","INCOMPLET"))</f>
        <v/>
      </c>
    </row>
    <row r="7" ht="22" customHeight="1">
      <c r="A7" s="7" t="inlineStr">
        <is>
          <t>PREP-002</t>
        </is>
      </c>
      <c r="B7" s="7" t="inlineStr">
        <is>
          <t>EXP-002</t>
        </is>
      </c>
      <c r="C7" s="7" t="inlineStr">
        <is>
          <t>Côte d'Ivoire</t>
        </is>
      </c>
      <c r="D7" s="7" t="inlineStr">
        <is>
          <t>Expatriation longue</t>
        </is>
      </c>
      <c r="E7" s="23" t="n">
        <v>45342</v>
      </c>
      <c r="F7" s="7" t="inlineStr">
        <is>
          <t>Oui</t>
        </is>
      </c>
      <c r="G7" s="7" t="inlineStr">
        <is>
          <t>Oui</t>
        </is>
      </c>
      <c r="H7" s="7" t="inlineStr">
        <is>
          <t>Oui</t>
        </is>
      </c>
      <c r="I7" s="7" t="inlineStr">
        <is>
          <t>Oui</t>
        </is>
      </c>
      <c r="J7" s="7" t="inlineStr">
        <is>
          <t>Oui</t>
        </is>
      </c>
      <c r="K7" s="7" t="inlineStr">
        <is>
          <t>En cours</t>
        </is>
      </c>
      <c r="L7" s="7" t="inlineStr">
        <is>
          <t>Oui</t>
        </is>
      </c>
      <c r="M7" s="7" t="inlineStr">
        <is>
          <t>Terminé</t>
        </is>
      </c>
      <c r="N7" s="7">
        <f>IF(A7="","",IF(AND(F7="Oui",G7="Oui",H7="Oui",I7="Oui",K7="Oui"),"COMPLET","INCOMPLET"))</f>
        <v/>
      </c>
    </row>
    <row r="8" ht="22" customHeight="1">
      <c r="A8" s="5" t="inlineStr">
        <is>
          <t>PREP-003</t>
        </is>
      </c>
      <c r="B8" s="5" t="inlineStr">
        <is>
          <t>EXP-005</t>
        </is>
      </c>
      <c r="C8" s="5" t="inlineStr">
        <is>
          <t>Côte d'Ivoire</t>
        </is>
      </c>
      <c r="D8" s="5" t="inlineStr">
        <is>
          <t>Détachement</t>
        </is>
      </c>
      <c r="E8" s="22" t="n">
        <v>45275</v>
      </c>
      <c r="F8" s="5" t="inlineStr">
        <is>
          <t>Oui</t>
        </is>
      </c>
      <c r="G8" s="5" t="inlineStr">
        <is>
          <t>Oui</t>
        </is>
      </c>
      <c r="H8" s="5" t="inlineStr">
        <is>
          <t>Oui</t>
        </is>
      </c>
      <c r="I8" s="5" t="inlineStr">
        <is>
          <t>Oui</t>
        </is>
      </c>
      <c r="J8" s="5" t="inlineStr">
        <is>
          <t>Oui</t>
        </is>
      </c>
      <c r="K8" s="5" t="inlineStr">
        <is>
          <t>Oui</t>
        </is>
      </c>
      <c r="L8" s="5" t="inlineStr">
        <is>
          <t>Oui</t>
        </is>
      </c>
      <c r="M8" s="5" t="inlineStr">
        <is>
          <t>Terminé</t>
        </is>
      </c>
      <c r="N8" s="5">
        <f>IF(A8="","",IF(AND(F8="Oui",G8="Oui",H8="Oui",I8="Oui",K8="Oui"),"COMPLET","INCOMPLET"))</f>
        <v/>
      </c>
    </row>
    <row r="9" ht="22" customHeight="1">
      <c r="A9" s="7" t="inlineStr">
        <is>
          <t>PREP-004</t>
        </is>
      </c>
      <c r="B9" s="7" t="inlineStr">
        <is>
          <t>EXP-015</t>
        </is>
      </c>
      <c r="C9" s="7" t="inlineStr">
        <is>
          <t>Côte d'Ivoire</t>
        </is>
      </c>
      <c r="D9" s="7" t="inlineStr">
        <is>
          <t>Expatriation longue</t>
        </is>
      </c>
      <c r="E9" s="23" t="n">
        <v>45717</v>
      </c>
      <c r="F9" s="7" t="inlineStr">
        <is>
          <t>En cours</t>
        </is>
      </c>
      <c r="G9" s="7" t="inlineStr">
        <is>
          <t>En cours</t>
        </is>
      </c>
      <c r="H9" s="7" t="inlineStr">
        <is>
          <t>En cours</t>
        </is>
      </c>
      <c r="I9" s="7" t="inlineStr">
        <is>
          <t>Oui</t>
        </is>
      </c>
      <c r="J9" s="7" t="inlineStr">
        <is>
          <t>En cours</t>
        </is>
      </c>
      <c r="K9" s="7" t="inlineStr">
        <is>
          <t>En cours</t>
        </is>
      </c>
      <c r="L9" s="7" t="inlineStr">
        <is>
          <t>Non</t>
        </is>
      </c>
      <c r="M9" s="7" t="inlineStr">
        <is>
          <t>En cours</t>
        </is>
      </c>
      <c r="N9" s="7">
        <f>IF(A9="","",IF(AND(F9="Oui",G9="Oui",H9="Oui",I9="Oui",K9="Oui"),"COMPLET","INCOMPLET"))</f>
        <v/>
      </c>
    </row>
    <row r="10" ht="22" customHeight="1">
      <c r="A10" s="5" t="inlineStr">
        <is>
          <t>PREP-005</t>
        </is>
      </c>
      <c r="B10" s="5" t="inlineStr">
        <is>
          <t>EXP-014</t>
        </is>
      </c>
      <c r="C10" s="5" t="inlineStr">
        <is>
          <t>Côte d'Ivoire</t>
        </is>
      </c>
      <c r="D10" s="5" t="inlineStr">
        <is>
          <t>Détachement</t>
        </is>
      </c>
      <c r="E10" s="22" t="n">
        <v>45762</v>
      </c>
      <c r="F10" s="5" t="inlineStr">
        <is>
          <t>Non</t>
        </is>
      </c>
      <c r="G10" s="5" t="inlineStr">
        <is>
          <t>Non</t>
        </is>
      </c>
      <c r="H10" s="5" t="inlineStr">
        <is>
          <t>En cours</t>
        </is>
      </c>
      <c r="I10" s="5" t="inlineStr">
        <is>
          <t>Non</t>
        </is>
      </c>
      <c r="J10" s="5" t="inlineStr">
        <is>
          <t>Non</t>
        </is>
      </c>
      <c r="K10" s="5" t="inlineStr">
        <is>
          <t>N/A</t>
        </is>
      </c>
      <c r="L10" s="5" t="inlineStr">
        <is>
          <t>Non</t>
        </is>
      </c>
      <c r="M10" s="5" t="inlineStr">
        <is>
          <t>En attente</t>
        </is>
      </c>
      <c r="N10" s="5">
        <f>IF(A10="","",IF(AND(F10="Oui",G10="Oui",H10="Oui",I10="Oui",K10="Oui"),"COMPLET","INCOMPLET"))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>
        <f>IF(A11="","",IF(AND(F11="Oui",G11="Oui",H11="Oui",I11="Oui",K11="Oui"),"COMPLET","INCOMPLET"))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>
        <f>IF(A12="","",IF(AND(F12="Oui",G12="Oui",H12="Oui",I12="Oui",K12="Oui"),"COMPLET","INCOMPLET"))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>
        <f>IF(A13="","",IF(AND(F13="Oui",G13="Oui",H13="Oui",I13="Oui",K13="Oui"),"COMPLET","INCOMPLET"))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>
        <f>IF(A14="","",IF(AND(F14="Oui",G14="Oui",H14="Oui",I14="Oui",K14="Oui"),"COMPLET","INCOMPLET"))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>
        <f>IF(A15="","",IF(AND(F15="Oui",G15="Oui",H15="Oui",I15="Oui",K15="Oui"),"COMPLET","INCOMPLET"))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>
        <f>IF(A16="","",IF(AND(F16="Oui",G16="Oui",H16="Oui",I16="Oui",K16="Oui"),"COMPLET","INCOMPLET"))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>
        <f>IF(A17="","",IF(AND(F17="Oui",G17="Oui",H17="Oui",I17="Oui",K17="Oui"),"COMPLET","INCOMPLET"))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>
        <f>IF(A18="","",IF(AND(F18="Oui",G18="Oui",H18="Oui",I18="Oui",K18="Oui"),"COMPLET","INCOMPLET"))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>
        <f>IF(A19="","",IF(AND(F19="Oui",G19="Oui",H19="Oui",I19="Oui",K19="Oui"),"COMPLET","INCOMPLET"))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>
        <f>IF(A20="","",IF(AND(F20="Oui",G20="Oui",H20="Oui",I20="Oui",K20="Oui"),"COMPLET","INCOMPLET"))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>
        <f>IF(A21="","",IF(AND(F21="Oui",G21="Oui",H21="Oui",I21="Oui",K21="Oui"),"COMPLET","INCOMPLET"))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>
        <f>IF(A22="","",IF(AND(F22="Oui",G22="Oui",H22="Oui",I22="Oui",K22="Oui"),"COMPLET","INCOMPLET"))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>
        <f>IF(A23="","",IF(AND(F23="Oui",G23="Oui",H23="Oui",I23="Oui",K23="Oui"),"COMPLET","INCOMPLET"))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>
        <f>IF(A24="","",IF(AND(F24="Oui",G24="Oui",H24="Oui",I24="Oui",K24="Oui"),"COMPLET","INCOMPLET"))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>
        <f>IF(A25="","",IF(AND(F25="Oui",G25="Oui",H25="Oui",I25="Oui",K25="Oui"),"COMPLET","INCOMPLET"))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>
        <f>IF(A26="","",IF(AND(F26="Oui",G26="Oui",H26="Oui",I26="Oui",K26="Oui"),"COMPLET","INCOMPLET"))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>
        <f>IF(A27="","",IF(AND(F27="Oui",G27="Oui",H27="Oui",I27="Oui",K27="Oui"),"COMPLET","INCOMPLET"))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>
        <f>IF(A28="","",IF(AND(F28="Oui",G28="Oui",H28="Oui",I28="Oui",K28="Oui"),"COMPLET","INCOMPLET"))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>
        <f>IF(A29="","",IF(AND(F29="Oui",G29="Oui",H29="Oui",I29="Oui",K29="Oui"),"COMPLET","INCOMPLET"))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>
        <f>IF(A30="","",IF(AND(F30="Oui",G30="Oui",H30="Oui",I30="Oui",K30="Oui"),"COMPLET","INCOMPLET"))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>
        <f>IF(A31="","",IF(AND(F31="Oui",G31="Oui",H31="Oui",I31="Oui",K31="Oui"),"COMPLET","INCOMPLET"))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>
        <f>IF(A32="","",IF(AND(F32="Oui",G32="Oui",H32="Oui",I32="Oui",K32="Oui"),"COMPLET","INCOMPLET"))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>
        <f>IF(A33="","",IF(AND(F33="Oui",G33="Oui",H33="Oui",I33="Oui",K33="Oui"),"COMPLET","INCOMPLET"))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>
        <f>IF(A34="","",IF(AND(F34="Oui",G34="Oui",H34="Oui",I34="Oui",K34="Oui"),"COMPLET","INCOMPLET"))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>
        <f>IF(A35="","",IF(AND(F35="Oui",G35="Oui",H35="Oui",I35="Oui",K35="Oui"),"COMPLET","INCOMPLET"))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>
        <f>IF(A36="","",IF(AND(F36="Oui",G36="Oui",H36="Oui",I36="Oui",K36="Oui"),"COMPLET","INCOMPLET"))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>
        <f>IF(A37="","",IF(AND(F37="Oui",G37="Oui",H37="Oui",I37="Oui",K37="Oui"),"COMPLET","INCOMPLET"))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>
        <f>IF(A38="","",IF(AND(F38="Oui",G38="Oui",H38="Oui",I38="Oui",K38="Oui"),"COMPLET","INCOMPLET"))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>
        <f>IF(A39="","",IF(AND(F39="Oui",G39="Oui",H39="Oui",I39="Oui",K39="Oui"),"COMPLET","INCOMPLET"))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>
        <f>IF(A40="","",IF(AND(F40="Oui",G40="Oui",H40="Oui",I40="Oui",K40="Oui"),"COMPLET","INCOMPLET"))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>
        <f>IF(A41="","",IF(AND(F41="Oui",G41="Oui",H41="Oui",I41="Oui",K41="Oui"),"COMPLET","INCOMPLET"))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>
        <f>IF(A42="","",IF(AND(F42="Oui",G42="Oui",H42="Oui",I42="Oui",K42="Oui"),"COMPLET","INCOMPLET"))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>
        <f>IF(A43="","",IF(AND(F43="Oui",G43="Oui",H43="Oui",I43="Oui",K43="Oui"),"COMPLET","INCOMPLET"))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>
        <f>IF(A44="","",IF(AND(F44="Oui",G44="Oui",H44="Oui",I44="Oui",K44="Oui"),"COMPLET","INCOMPLET"))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>
        <f>IF(A45="","",IF(AND(F45="Oui",G45="Oui",H45="Oui",I45="Oui",K45="Oui"),"COMPLET","INCOMPLET"))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>
        <f>IF(A46="","",IF(AND(F46="Oui",G46="Oui",H46="Oui",I46="Oui",K46="Oui"),"COMPLET","INCOMPLET"))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>
        <f>IF(A47="","",IF(AND(F47="Oui",G47="Oui",H47="Oui",I47="Oui",K47="Oui"),"COMPLET","INCOMPLET"))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>
        <f>IF(A48="","",IF(AND(F48="Oui",G48="Oui",H48="Oui",I48="Oui",K48="Oui"),"COMPLET","INCOMPLET"))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>
        <f>IF(A49="","",IF(AND(F49="Oui",G49="Oui",H49="Oui",I49="Oui",K49="Oui"),"COMPLET","INCOMPLET"))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>
        <f>IF(A50="","",IF(AND(F50="Oui",G50="Oui",H50="Oui",I50="Oui",K50="Oui"),"COMPLET","INCOMPLET"))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>
        <f>IF(A51="","",IF(AND(F51="Oui",G51="Oui",H51="Oui",I51="Oui",K51="Oui"),"COMPLET","INCOMPLET"))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>
        <f>IF(A52="","",IF(AND(F52="Oui",G52="Oui",H52="Oui",I52="Oui",K52="Oui"),"COMPLET","INCOMPLET"))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>
        <f>IF(A53="","",IF(AND(F53="Oui",G53="Oui",H53="Oui",I53="Oui",K53="Oui"),"COMPLET","INCOMPLET"))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>
        <f>IF(A54="","",IF(AND(F54="Oui",G54="Oui",H54="Oui",I54="Oui",K54="Oui"),"COMPLET","INCOMPLET"))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>
        <f>IF(A55="","",IF(AND(F55="Oui",G55="Oui",H55="Oui",I55="Oui",K55="Oui"),"COMPLET","INCOMPLET"))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>
        <f>IF(A56="","",IF(AND(F56="Oui",G56="Oui",H56="Oui",I56="Oui",K56="Oui"),"COMPLET","INCOMPLET"))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>
        <f>IF(A57="","",IF(AND(F57="Oui",G57="Oui",H57="Oui",I57="Oui",K57="Oui"),"COMPLET","INCOMPLET"))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>
        <f>IF(A58="","",IF(AND(F58="Oui",G58="Oui",H58="Oui",I58="Oui",K58="Oui"),"COMPLET","INCOMPLET"))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>
        <f>IF(A59="","",IF(AND(F59="Oui",G59="Oui",H59="Oui",I59="Oui",K59="Oui"),"COMPLET","INCOMPLET"))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>
        <f>IF(A60="","",IF(AND(F60="Oui",G60="Oui",H60="Oui",I60="Oui",K60="Oui"),"COMPLET","INCOMPLET"))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>
        <f>IF(A61="","",IF(AND(F61="Oui",G61="Oui",H61="Oui",I61="Oui",K61="Oui"),"COMPLET","INCOMPLET"))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>
        <f>IF(A62="","",IF(AND(F62="Oui",G62="Oui",H62="Oui",I62="Oui",K62="Oui"),"COMPLET","INCOMPLET"))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>
        <f>IF(A63="","",IF(AND(F63="Oui",G63="Oui",H63="Oui",I63="Oui",K63="Oui"),"COMPLET","INCOMPLET"))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>
        <f>IF(A64="","",IF(AND(F64="Oui",G64="Oui",H64="Oui",I64="Oui",K64="Oui"),"COMPLET","INCOMPLET"))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>
        <f>IF(A65="","",IF(AND(F65="Oui",G65="Oui",H65="Oui",I65="Oui",K65="Oui"),"COMPLET","INCOMPLET"))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>
        <f>IF(A66="","",IF(AND(F66="Oui",G66="Oui",H66="Oui",I66="Oui",K66="Oui"),"COMPLET","INCOMPLET"))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>
        <f>IF(A67="","",IF(AND(F67="Oui",G67="Oui",H67="Oui",I67="Oui",K67="Oui"),"COMPLET","INCOMPLET"))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>
        <f>IF(A68="","",IF(AND(F68="Oui",G68="Oui",H68="Oui",I68="Oui",K68="Oui"),"COMPLET","INCOMPLET"))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>
        <f>IF(A69="","",IF(AND(F69="Oui",G69="Oui",H69="Oui",I69="Oui",K69="Oui"),"COMPLET","INCOMPLET"))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>
        <f>IF(A70="","",IF(AND(F70="Oui",G70="Oui",H70="Oui",I70="Oui",K70="Oui"),"COMPLET","INCOMPLET"))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>
        <f>IF(A71="","",IF(AND(F71="Oui",G71="Oui",H71="Oui",I71="Oui",K71="Oui"),"COMPLET","INCOMPLET"))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>
        <f>IF(A72="","",IF(AND(F72="Oui",G72="Oui",H72="Oui",I72="Oui",K72="Oui"),"COMPLET","INCOMPLET"))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>
        <f>IF(A73="","",IF(AND(F73="Oui",G73="Oui",H73="Oui",I73="Oui",K73="Oui"),"COMPLET","INCOMPLET"))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>
        <f>IF(A74="","",IF(AND(F74="Oui",G74="Oui",H74="Oui",I74="Oui",K74="Oui"),"COMPLET","INCOMPLET"))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>
        <f>IF(A75="","",IF(AND(F75="Oui",G75="Oui",H75="Oui",I75="Oui",K75="Oui"),"COMPLET","INCOMPLET"))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>
        <f>IF(A76="","",IF(AND(F76="Oui",G76="Oui",H76="Oui",I76="Oui",K76="Oui"),"COMPLET","INCOMPLET"))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>
        <f>IF(A77="","",IF(AND(F77="Oui",G77="Oui",H77="Oui",I77="Oui",K77="Oui"),"COMPLET","INCOMPLET"))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>
        <f>IF(A78="","",IF(AND(F78="Oui",G78="Oui",H78="Oui",I78="Oui",K78="Oui"),"COMPLET","INCOMPLET"))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>
        <f>IF(A79="","",IF(AND(F79="Oui",G79="Oui",H79="Oui",I79="Oui",K79="Oui"),"COMPLET","INCOMPLET"))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>
        <f>IF(A80="","",IF(AND(F80="Oui",G80="Oui",H80="Oui",I80="Oui",K80="Oui"),"COMPLET","INCOMPLET"))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>
        <f>IF(A81="","",IF(AND(F81="Oui",G81="Oui",H81="Oui",I81="Oui",K81="Oui"),"COMPLET","INCOMPLET"))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>
        <f>IF(A82="","",IF(AND(F82="Oui",G82="Oui",H82="Oui",I82="Oui",K82="Oui"),"COMPLET","INCOMPLET"))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>
        <f>IF(A83="","",IF(AND(F83="Oui",G83="Oui",H83="Oui",I83="Oui",K83="Oui"),"COMPLET","INCOMPLET"))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>
        <f>IF(A84="","",IF(AND(F84="Oui",G84="Oui",H84="Oui",I84="Oui",K84="Oui"),"COMPLET","INCOMPLET"))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>
        <f>IF(A85="","",IF(AND(F85="Oui",G85="Oui",H85="Oui",I85="Oui",K85="Oui"),"COMPLET","INCOMPLET"))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>
        <f>IF(A86="","",IF(AND(F86="Oui",G86="Oui",H86="Oui",I86="Oui",K86="Oui"),"COMPLET","INCOMPLET"))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>
        <f>IF(A87="","",IF(AND(F87="Oui",G87="Oui",H87="Oui",I87="Oui",K87="Oui"),"COMPLET","INCOMPLET"))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>
        <f>IF(A88="","",IF(AND(F88="Oui",G88="Oui",H88="Oui",I88="Oui",K88="Oui"),"COMPLET","INCOMPLET"))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>
        <f>IF(A89="","",IF(AND(F89="Oui",G89="Oui",H89="Oui",I89="Oui",K89="Oui"),"COMPLET","INCOMPLET"))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>
        <f>IF(A90="","",IF(AND(F90="Oui",G90="Oui",H90="Oui",I90="Oui",K90="Oui"),"COMPLET","INCOMPLET"))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>
        <f>IF(A91="","",IF(AND(F91="Oui",G91="Oui",H91="Oui",I91="Oui",K91="Oui"),"COMPLET","INCOMPLET"))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>
        <f>IF(A92="","",IF(AND(F92="Oui",G92="Oui",H92="Oui",I92="Oui",K92="Oui"),"COMPLET","INCOMPLET"))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>
        <f>IF(A93="","",IF(AND(F93="Oui",G93="Oui",H93="Oui",I93="Oui",K93="Oui"),"COMPLET","INCOMPLET"))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>
        <f>IF(A94="","",IF(AND(F94="Oui",G94="Oui",H94="Oui",I94="Oui",K94="Oui"),"COMPLET","INCOMPLET"))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>
        <f>IF(A95="","",IF(AND(F95="Oui",G95="Oui",H95="Oui",I95="Oui",K95="Oui"),"COMPLET","INCOMPLET"))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>
        <f>IF(A96="","",IF(AND(F96="Oui",G96="Oui",H96="Oui",I96="Oui",K96="Oui"),"COMPLET","INCOMPLET"))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>
        <f>IF(A97="","",IF(AND(F97="Oui",G97="Oui",H97="Oui",I97="Oui",K97="Oui"),"COMPLET","INCOMPLET"))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>
        <f>IF(A98="","",IF(AND(F98="Oui",G98="Oui",H98="Oui",I98="Oui",K98="Oui"),"COMPLET","INCOMPLET"))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>
        <f>IF(A99="","",IF(AND(F99="Oui",G99="Oui",H99="Oui",I99="Oui",K99="Oui"),"COMPLET","INCOMPLET"))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>
        <f>IF(A100="","",IF(AND(F100="Oui",G100="Oui",H100="Oui",I100="Oui",K100="Oui"),"COMPLET","INCOMPLET"))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>
        <f>IF(A101="","",IF(AND(F101="Oui",G101="Oui",H101="Oui",I101="Oui",K101="Oui"),"COMPLET","INCOMPLET"))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>
        <f>IF(A102="","",IF(AND(F102="Oui",G102="Oui",H102="Oui",I102="Oui",K102="Oui"),"COMPLET","INCOMPLET"))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>
        <f>IF(A103="","",IF(AND(F103="Oui",G103="Oui",H103="Oui",I103="Oui",K103="Oui"),"COMPLET","INCOMPLET"))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>
        <f>IF(A104="","",IF(AND(F104="Oui",G104="Oui",H104="Oui",I104="Oui",K104="Oui"),"COMPLET","INCOMPLET"))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>
        <f>IF(A105="","",IF(AND(F105="Oui",G105="Oui",H105="Oui",I105="Oui",K105="Oui"),"COMPLET","INCOMPLET"))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>
        <f>IF(A106="","",IF(AND(F106="Oui",G106="Oui",H106="Oui",I106="Oui",K106="Oui"),"COMPLET","INCOMPLET"))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>
        <f>IF(A107="","",IF(AND(F107="Oui",G107="Oui",H107="Oui",I107="Oui",K107="Oui"),"COMPLET","INCOMPLET"))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>
        <f>IF(A108="","",IF(AND(F108="Oui",G108="Oui",H108="Oui",I108="Oui",K108="Oui"),"COMPLET","INCOMPLET"))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>
        <f>IF(A109="","",IF(AND(F109="Oui",G109="Oui",H109="Oui",I109="Oui",K109="Oui"),"COMPLET","INCOMPLET"))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>
        <f>IF(A110="","",IF(AND(F110="Oui",G110="Oui",H110="Oui",I110="Oui",K110="Oui"),"COMPLET","INCOMPLET"))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>
        <f>IF(A111="","",IF(AND(F111="Oui",G111="Oui",H111="Oui",I111="Oui",K111="Oui"),"COMPLET","INCOMPLET"))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>
        <f>IF(A112="","",IF(AND(F112="Oui",G112="Oui",H112="Oui",I112="Oui",K112="Oui"),"COMPLET","INCOMPLET"))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>
        <f>IF(A113="","",IF(AND(F113="Oui",G113="Oui",H113="Oui",I113="Oui",K113="Oui"),"COMPLET","INCOMPLET"))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>
        <f>IF(A114="","",IF(AND(F114="Oui",G114="Oui",H114="Oui",I114="Oui",K114="Oui"),"COMPLET","INCOMPLET"))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>
        <f>IF(A115="","",IF(AND(F115="Oui",G115="Oui",H115="Oui",I115="Oui",K115="Oui"),"COMPLET","INCOMPLET"))</f>
        <v/>
      </c>
    </row>
  </sheetData>
  <mergeCells count="2">
    <mergeCell ref="A3:N3"/>
    <mergeCell ref="A2:N2"/>
  </mergeCells>
  <dataValidations count="9">
    <dataValidation sqref="D6:D115" showDropDown="0" showInputMessage="0" showErrorMessage="0" allowBlank="1" errorTitle="Erreur" error="Valeur invalide" promptTitle="" prompt="Choisir dans la liste: " type="list">
      <formula1>'F02 - _Lists'!$D$6:$D$10</formula1>
    </dataValidation>
    <dataValidation sqref="G6:G115" showDropDown="0" showInputMessage="0" showErrorMessage="0" allowBlank="1" errorTitle="Erreur" error="Valeur invalide" promptTitle="" prompt="Choisir dans la liste: " type="list">
      <formula1>'F02 - _Lists'!$Z$6:$Z$9</formula1>
    </dataValidation>
    <dataValidation sqref="H6:H115" showDropDown="0" showInputMessage="0" showErrorMessage="0" allowBlank="1" errorTitle="Erreur" error="Valeur invalide" promptTitle="" prompt="Choisir dans la liste: " type="list">
      <formula1>'F02 - _Lists'!$Z$6:$Z$9</formula1>
    </dataValidation>
    <dataValidation sqref="I6:I115" showDropDown="0" showInputMessage="0" showErrorMessage="0" allowBlank="1" errorTitle="Erreur" error="Valeur invalide" promptTitle="" prompt="Choisir dans la liste: " type="list">
      <formula1>'F02 - _Lists'!$Z$6:$Z$9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_Lists'!$Z$6:$Z$9</formula1>
    </dataValidation>
    <dataValidation sqref="K6:K115" showDropDown="0" showInputMessage="0" showErrorMessage="0" allowBlank="1" errorTitle="Erreur" error="Valeur invalide" promptTitle="" prompt="Choisir dans la liste: " type="list">
      <formula1>'F02 - _Lists'!$Z$6:$Z$9</formula1>
    </dataValidation>
    <dataValidation sqref="L6:L115" showDropDown="0" showInputMessage="0" showErrorMessage="0" allowBlank="1" errorTitle="Erreur" error="Valeur invalide" promptTitle="" prompt="Choisir dans la liste: " type="list">
      <formula1>'F02 - _Lists'!$Z$6:$Z$9</formula1>
    </dataValidation>
    <dataValidation sqref="M6:M115" showDropDown="0" showInputMessage="0" showErrorMessage="0" allowBlank="1" errorTitle="Erreur" error="Valeur invalide" promptTitle="" prompt="Choisir dans la liste: " type="list">
      <formula1>'F02 - _Lists'!$Z$6:$Z$9</formula1>
    </dataValidation>
    <dataValidation sqref="N6:N115" showDropDown="0" showInputMessage="0" showErrorMessage="0" allowBlank="1" errorTitle="Erreur" error="Valeur invalide" promptTitle="" prompt="Choisir dans la liste: " type="list">
      <formula1>'F02 - _Lists'!$V$6:$V$10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24" customWidth="1" min="5" max="5"/>
    <col width="18" customWidth="1" min="6" max="6"/>
    <col width="20" customWidth="1" min="7" max="7"/>
    <col width="18" customWidth="1" min="8" max="8"/>
    <col width="18" customWidth="1" min="9" max="9"/>
    <col width="22" customWidth="1" min="10" max="10"/>
    <col width="20" customWidth="1" min="11" max="11"/>
    <col width="20" customWidth="1" min="12" max="12"/>
    <col width="28" customWidth="1" min="13" max="13"/>
    <col width="14" customWidth="1" min="14" max="14"/>
  </cols>
  <sheetData>
    <row r="1" ht="8" customHeight="1"/>
    <row r="2" ht="30" customHeight="1">
      <c r="A2" s="1" t="inlineStr">
        <is>
          <t>9-SUIVI MÉDICO-SOCIAL EXPATRIÉS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Suivi</t>
        </is>
      </c>
      <c r="B5" s="4" t="inlineStr">
        <is>
          <t>Matricule Expat.</t>
        </is>
      </c>
      <c r="C5" s="4" t="inlineStr">
        <is>
          <t>Date Visite</t>
        </is>
      </c>
      <c r="D5" s="4" t="inlineStr">
        <is>
          <t>Médecin Ref.</t>
        </is>
      </c>
      <c r="E5" s="4" t="inlineStr">
        <is>
          <t>Statut Médical</t>
        </is>
      </c>
      <c r="F5" s="4" t="inlineStr">
        <is>
          <t>Vaccinations à Jour</t>
        </is>
      </c>
      <c r="G5" s="4" t="inlineStr">
        <is>
          <t>Certificat Médical</t>
        </is>
      </c>
      <c r="H5" s="4" t="inlineStr">
        <is>
          <t>Assurance Santé</t>
        </is>
      </c>
      <c r="I5" s="4" t="inlineStr">
        <is>
          <t>Couverture Famille</t>
        </is>
      </c>
      <c r="J5" s="4" t="inlineStr">
        <is>
          <t>Nb Consultations (année)</t>
        </is>
      </c>
      <c r="K5" s="4" t="inlineStr">
        <is>
          <t>Problème Santé</t>
        </is>
      </c>
      <c r="L5" s="4" t="inlineStr">
        <is>
          <t>Suivi Psychologique</t>
        </is>
      </c>
      <c r="M5" s="4" t="inlineStr">
        <is>
          <t>Observations</t>
        </is>
      </c>
      <c r="N5" s="4" t="inlineStr"/>
    </row>
    <row r="6" ht="22" customHeight="1">
      <c r="A6" s="5" t="inlineStr">
        <is>
          <t>MED-001</t>
        </is>
      </c>
      <c r="B6" s="5" t="inlineStr">
        <is>
          <t>EXP-001</t>
        </is>
      </c>
      <c r="C6" s="22" t="n">
        <v>45672</v>
      </c>
      <c r="D6" s="5" t="inlineStr">
        <is>
          <t>Dr. Koné</t>
        </is>
      </c>
      <c r="E6" s="5" t="inlineStr">
        <is>
          <t>Apte</t>
        </is>
      </c>
      <c r="F6" s="5" t="inlineStr">
        <is>
          <t>Oui</t>
        </is>
      </c>
      <c r="G6" s="5" t="inlineStr">
        <is>
          <t>Oui</t>
        </is>
      </c>
      <c r="H6" s="5" t="inlineStr">
        <is>
          <t>AXA Intl.</t>
        </is>
      </c>
      <c r="I6" s="5" t="inlineStr">
        <is>
          <t>Oui</t>
        </is>
      </c>
      <c r="J6" s="25" t="n">
        <v>3</v>
      </c>
      <c r="K6" s="5" t="inlineStr">
        <is>
          <t>Aucun</t>
        </is>
      </c>
      <c r="L6" s="5" t="inlineStr">
        <is>
          <t>Non</t>
        </is>
      </c>
      <c r="M6" s="5" t="inlineStr"/>
      <c r="N6" s="5">
        <f>IF(A6="","",IF(AND(E6="Apte",F6="Oui",G6="Oui",I6="Oui"),"CONFORME","ACTION REQUISE"))</f>
        <v/>
      </c>
    </row>
    <row r="7" ht="22" customHeight="1">
      <c r="A7" s="7" t="inlineStr">
        <is>
          <t>MED-002</t>
        </is>
      </c>
      <c r="B7" s="7" t="inlineStr">
        <is>
          <t>EXP-002</t>
        </is>
      </c>
      <c r="C7" s="23" t="n">
        <v>45677</v>
      </c>
      <c r="D7" s="7" t="inlineStr">
        <is>
          <t>Dr. Koné</t>
        </is>
      </c>
      <c r="E7" s="7" t="inlineStr">
        <is>
          <t>Apte</t>
        </is>
      </c>
      <c r="F7" s="7" t="inlineStr">
        <is>
          <t>Oui</t>
        </is>
      </c>
      <c r="G7" s="7" t="inlineStr">
        <is>
          <t>Oui</t>
        </is>
      </c>
      <c r="H7" s="7" t="inlineStr">
        <is>
          <t>AXA Intl.</t>
        </is>
      </c>
      <c r="I7" s="7" t="inlineStr">
        <is>
          <t>Oui</t>
        </is>
      </c>
      <c r="J7" s="27" t="n">
        <v>5</v>
      </c>
      <c r="K7" s="7" t="inlineStr">
        <is>
          <t>Paludisme (traité)</t>
        </is>
      </c>
      <c r="L7" s="7" t="inlineStr">
        <is>
          <t>Non</t>
        </is>
      </c>
      <c r="M7" s="7" t="inlineStr"/>
      <c r="N7" s="7">
        <f>IF(A7="","",IF(AND(E7="Apte",F7="Oui",G7="Oui",I7="Oui"),"CONFORME","ACTION REQUISE"))</f>
        <v/>
      </c>
    </row>
    <row r="8" ht="22" customHeight="1">
      <c r="A8" s="5" t="inlineStr">
        <is>
          <t>MED-003</t>
        </is>
      </c>
      <c r="B8" s="5" t="inlineStr">
        <is>
          <t>EXP-003</t>
        </is>
      </c>
      <c r="C8" s="22" t="n">
        <v>45667</v>
      </c>
      <c r="D8" s="5" t="inlineStr">
        <is>
          <t>Dr. Bamba</t>
        </is>
      </c>
      <c r="E8" s="5" t="inlineStr">
        <is>
          <t>Apte avec restrictions</t>
        </is>
      </c>
      <c r="F8" s="5" t="inlineStr">
        <is>
          <t>Oui</t>
        </is>
      </c>
      <c r="G8" s="5" t="inlineStr">
        <is>
          <t>Oui</t>
        </is>
      </c>
      <c r="H8" s="5" t="inlineStr">
        <is>
          <t>Allianz Worldwide</t>
        </is>
      </c>
      <c r="I8" s="5" t="inlineStr">
        <is>
          <t>Oui</t>
        </is>
      </c>
      <c r="J8" s="25" t="n">
        <v>4</v>
      </c>
      <c r="K8" s="5" t="inlineStr">
        <is>
          <t>Hypertension</t>
        </is>
      </c>
      <c r="L8" s="5" t="inlineStr">
        <is>
          <t>Non</t>
        </is>
      </c>
      <c r="M8" s="5" t="inlineStr"/>
      <c r="N8" s="5">
        <f>IF(A8="","",IF(AND(E8="Apte",F8="Oui",G8="Oui",I8="Oui"),"CONFORME","ACTION REQUISE"))</f>
        <v/>
      </c>
    </row>
    <row r="9" ht="22" customHeight="1">
      <c r="A9" s="7" t="inlineStr">
        <is>
          <t>MED-004</t>
        </is>
      </c>
      <c r="B9" s="7" t="inlineStr">
        <is>
          <t>EXP-005</t>
        </is>
      </c>
      <c r="C9" s="23" t="n">
        <v>45693</v>
      </c>
      <c r="D9" s="7" t="inlineStr">
        <is>
          <t>Dr. Koné</t>
        </is>
      </c>
      <c r="E9" s="7" t="inlineStr">
        <is>
          <t>Apte</t>
        </is>
      </c>
      <c r="F9" s="7" t="inlineStr">
        <is>
          <t>Non</t>
        </is>
      </c>
      <c r="G9" s="7" t="inlineStr">
        <is>
          <t>Oui</t>
        </is>
      </c>
      <c r="H9" s="7" t="inlineStr">
        <is>
          <t>Samsung Life</t>
        </is>
      </c>
      <c r="I9" s="7" t="inlineStr">
        <is>
          <t>Oui</t>
        </is>
      </c>
      <c r="J9" s="27" t="n">
        <v>2</v>
      </c>
      <c r="K9" s="7" t="inlineStr">
        <is>
          <t>Aucun</t>
        </is>
      </c>
      <c r="L9" s="7" t="inlineStr">
        <is>
          <t>Oui</t>
        </is>
      </c>
      <c r="M9" s="7" t="inlineStr">
        <is>
          <t>Suivi mensuel</t>
        </is>
      </c>
      <c r="N9" s="7">
        <f>IF(A9="","",IF(AND(E9="Apte",F9="Oui",G9="Oui",I9="Oui"),"CONFORME","ACTION REQUISE"))</f>
        <v/>
      </c>
    </row>
    <row r="10" ht="22" customHeight="1">
      <c r="A10" s="5" t="inlineStr">
        <is>
          <t>MED-005</t>
        </is>
      </c>
      <c r="B10" s="5" t="inlineStr">
        <is>
          <t>EXP-007</t>
        </is>
      </c>
      <c r="C10" s="22" t="n">
        <v>45682</v>
      </c>
      <c r="D10" s="5" t="inlineStr">
        <is>
          <t>Dr. Touré</t>
        </is>
      </c>
      <c r="E10" s="5" t="inlineStr">
        <is>
          <t>Apte</t>
        </is>
      </c>
      <c r="F10" s="5" t="inlineStr">
        <is>
          <t>Oui</t>
        </is>
      </c>
      <c r="G10" s="5" t="inlineStr">
        <is>
          <t>Oui</t>
        </is>
      </c>
      <c r="H10" s="5" t="inlineStr">
        <is>
          <t>AXA Intl.</t>
        </is>
      </c>
      <c r="I10" s="5" t="inlineStr">
        <is>
          <t>Oui</t>
        </is>
      </c>
      <c r="J10" s="25" t="n">
        <v>6</v>
      </c>
      <c r="K10" s="5" t="inlineStr">
        <is>
          <t>Diabète type 2</t>
        </is>
      </c>
      <c r="L10" s="5" t="inlineStr">
        <is>
          <t>Oui</t>
        </is>
      </c>
      <c r="M10" s="5" t="inlineStr"/>
      <c r="N10" s="5">
        <f>IF(A10="","",IF(AND(E10="Apte",F10="Oui",G10="Oui",I10="Oui"),"CONFORME","ACTION REQUISE"))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>
        <f>IF(A11="","",IF(AND(E11="Apte",F11="Oui",G11="Oui",I11="Oui"),"CONFORME","ACTION REQUISE"))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>
        <f>IF(A12="","",IF(AND(E12="Apte",F12="Oui",G12="Oui",I12="Oui"),"CONFORME","ACTION REQUISE"))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>
        <f>IF(A13="","",IF(AND(E13="Apte",F13="Oui",G13="Oui",I13="Oui"),"CONFORME","ACTION REQUISE"))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>
        <f>IF(A14="","",IF(AND(E14="Apte",F14="Oui",G14="Oui",I14="Oui"),"CONFORME","ACTION REQUISE"))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>
        <f>IF(A15="","",IF(AND(E15="Apte",F15="Oui",G15="Oui",I15="Oui"),"CONFORME","ACTION REQUISE"))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>
        <f>IF(A16="","",IF(AND(E16="Apte",F16="Oui",G16="Oui",I16="Oui"),"CONFORME","ACTION REQUISE"))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>
        <f>IF(A17="","",IF(AND(E17="Apte",F17="Oui",G17="Oui",I17="Oui"),"CONFORME","ACTION REQUISE"))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>
        <f>IF(A18="","",IF(AND(E18="Apte",F18="Oui",G18="Oui",I18="Oui"),"CONFORME","ACTION REQUISE"))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>
        <f>IF(A19="","",IF(AND(E19="Apte",F19="Oui",G19="Oui",I19="Oui"),"CONFORME","ACTION REQUISE"))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>
        <f>IF(A20="","",IF(AND(E20="Apte",F20="Oui",G20="Oui",I20="Oui"),"CONFORME","ACTION REQUISE"))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>
        <f>IF(A21="","",IF(AND(E21="Apte",F21="Oui",G21="Oui",I21="Oui"),"CONFORME","ACTION REQUISE"))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>
        <f>IF(A22="","",IF(AND(E22="Apte",F22="Oui",G22="Oui",I22="Oui"),"CONFORME","ACTION REQUISE"))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>
        <f>IF(A23="","",IF(AND(E23="Apte",F23="Oui",G23="Oui",I23="Oui"),"CONFORME","ACTION REQUISE"))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>
        <f>IF(A24="","",IF(AND(E24="Apte",F24="Oui",G24="Oui",I24="Oui"),"CONFORME","ACTION REQUISE"))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>
        <f>IF(A25="","",IF(AND(E25="Apte",F25="Oui",G25="Oui",I25="Oui"),"CONFORME","ACTION REQUISE"))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>
        <f>IF(A26="","",IF(AND(E26="Apte",F26="Oui",G26="Oui",I26="Oui"),"CONFORME","ACTION REQUISE"))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>
        <f>IF(A27="","",IF(AND(E27="Apte",F27="Oui",G27="Oui",I27="Oui"),"CONFORME","ACTION REQUISE"))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>
        <f>IF(A28="","",IF(AND(E28="Apte",F28="Oui",G28="Oui",I28="Oui"),"CONFORME","ACTION REQUISE"))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>
        <f>IF(A29="","",IF(AND(E29="Apte",F29="Oui",G29="Oui",I29="Oui"),"CONFORME","ACTION REQUISE"))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>
        <f>IF(A30="","",IF(AND(E30="Apte",F30="Oui",G30="Oui",I30="Oui"),"CONFORME","ACTION REQUISE"))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>
        <f>IF(A31="","",IF(AND(E31="Apte",F31="Oui",G31="Oui",I31="Oui"),"CONFORME","ACTION REQUISE"))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>
        <f>IF(A32="","",IF(AND(E32="Apte",F32="Oui",G32="Oui",I32="Oui"),"CONFORME","ACTION REQUISE"))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>
        <f>IF(A33="","",IF(AND(E33="Apte",F33="Oui",G33="Oui",I33="Oui"),"CONFORME","ACTION REQUISE"))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>
        <f>IF(A34="","",IF(AND(E34="Apte",F34="Oui",G34="Oui",I34="Oui"),"CONFORME","ACTION REQUISE"))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>
        <f>IF(A35="","",IF(AND(E35="Apte",F35="Oui",G35="Oui",I35="Oui"),"CONFORME","ACTION REQUISE"))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>
        <f>IF(A36="","",IF(AND(E36="Apte",F36="Oui",G36="Oui",I36="Oui"),"CONFORME","ACTION REQUISE"))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>
        <f>IF(A37="","",IF(AND(E37="Apte",F37="Oui",G37="Oui",I37="Oui"),"CONFORME","ACTION REQUISE"))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>
        <f>IF(A38="","",IF(AND(E38="Apte",F38="Oui",G38="Oui",I38="Oui"),"CONFORME","ACTION REQUISE"))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>
        <f>IF(A39="","",IF(AND(E39="Apte",F39="Oui",G39="Oui",I39="Oui"),"CONFORME","ACTION REQUISE"))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>
        <f>IF(A40="","",IF(AND(E40="Apte",F40="Oui",G40="Oui",I40="Oui"),"CONFORME","ACTION REQUISE"))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>
        <f>IF(A41="","",IF(AND(E41="Apte",F41="Oui",G41="Oui",I41="Oui"),"CONFORME","ACTION REQUISE"))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>
        <f>IF(A42="","",IF(AND(E42="Apte",F42="Oui",G42="Oui",I42="Oui"),"CONFORME","ACTION REQUISE"))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>
        <f>IF(A43="","",IF(AND(E43="Apte",F43="Oui",G43="Oui",I43="Oui"),"CONFORME","ACTION REQUISE"))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>
        <f>IF(A44="","",IF(AND(E44="Apte",F44="Oui",G44="Oui",I44="Oui"),"CONFORME","ACTION REQUISE"))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>
        <f>IF(A45="","",IF(AND(E45="Apte",F45="Oui",G45="Oui",I45="Oui"),"CONFORME","ACTION REQUISE"))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>
        <f>IF(A46="","",IF(AND(E46="Apte",F46="Oui",G46="Oui",I46="Oui"),"CONFORME","ACTION REQUISE"))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>
        <f>IF(A47="","",IF(AND(E47="Apte",F47="Oui",G47="Oui",I47="Oui"),"CONFORME","ACTION REQUISE"))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>
        <f>IF(A48="","",IF(AND(E48="Apte",F48="Oui",G48="Oui",I48="Oui"),"CONFORME","ACTION REQUISE"))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>
        <f>IF(A49="","",IF(AND(E49="Apte",F49="Oui",G49="Oui",I49="Oui"),"CONFORME","ACTION REQUISE"))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>
        <f>IF(A50="","",IF(AND(E50="Apte",F50="Oui",G50="Oui",I50="Oui"),"CONFORME","ACTION REQUISE"))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>
        <f>IF(A51="","",IF(AND(E51="Apte",F51="Oui",G51="Oui",I51="Oui"),"CONFORME","ACTION REQUISE"))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>
        <f>IF(A52="","",IF(AND(E52="Apte",F52="Oui",G52="Oui",I52="Oui"),"CONFORME","ACTION REQUISE"))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>
        <f>IF(A53="","",IF(AND(E53="Apte",F53="Oui",G53="Oui",I53="Oui"),"CONFORME","ACTION REQUISE"))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>
        <f>IF(A54="","",IF(AND(E54="Apte",F54="Oui",G54="Oui",I54="Oui"),"CONFORME","ACTION REQUISE"))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>
        <f>IF(A55="","",IF(AND(E55="Apte",F55="Oui",G55="Oui",I55="Oui"),"CONFORME","ACTION REQUISE"))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>
        <f>IF(A56="","",IF(AND(E56="Apte",F56="Oui",G56="Oui",I56="Oui"),"CONFORME","ACTION REQUISE"))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>
        <f>IF(A57="","",IF(AND(E57="Apte",F57="Oui",G57="Oui",I57="Oui"),"CONFORME","ACTION REQUISE"))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>
        <f>IF(A58="","",IF(AND(E58="Apte",F58="Oui",G58="Oui",I58="Oui"),"CONFORME","ACTION REQUISE"))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>
        <f>IF(A59="","",IF(AND(E59="Apte",F59="Oui",G59="Oui",I59="Oui"),"CONFORME","ACTION REQUISE"))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>
        <f>IF(A60="","",IF(AND(E60="Apte",F60="Oui",G60="Oui",I60="Oui"),"CONFORME","ACTION REQUISE"))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>
        <f>IF(A61="","",IF(AND(E61="Apte",F61="Oui",G61="Oui",I61="Oui"),"CONFORME","ACTION REQUISE"))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>
        <f>IF(A62="","",IF(AND(E62="Apte",F62="Oui",G62="Oui",I62="Oui"),"CONFORME","ACTION REQUISE"))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>
        <f>IF(A63="","",IF(AND(E63="Apte",F63="Oui",G63="Oui",I63="Oui"),"CONFORME","ACTION REQUISE"))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>
        <f>IF(A64="","",IF(AND(E64="Apte",F64="Oui",G64="Oui",I64="Oui"),"CONFORME","ACTION REQUISE"))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>
        <f>IF(A65="","",IF(AND(E65="Apte",F65="Oui",G65="Oui",I65="Oui"),"CONFORME","ACTION REQUISE"))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>
        <f>IF(A66="","",IF(AND(E66="Apte",F66="Oui",G66="Oui",I66="Oui"),"CONFORME","ACTION REQUISE"))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>
        <f>IF(A67="","",IF(AND(E67="Apte",F67="Oui",G67="Oui",I67="Oui"),"CONFORME","ACTION REQUISE"))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>
        <f>IF(A68="","",IF(AND(E68="Apte",F68="Oui",G68="Oui",I68="Oui"),"CONFORME","ACTION REQUISE"))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>
        <f>IF(A69="","",IF(AND(E69="Apte",F69="Oui",G69="Oui",I69="Oui"),"CONFORME","ACTION REQUISE"))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>
        <f>IF(A70="","",IF(AND(E70="Apte",F70="Oui",G70="Oui",I70="Oui"),"CONFORME","ACTION REQUISE"))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>
        <f>IF(A71="","",IF(AND(E71="Apte",F71="Oui",G71="Oui",I71="Oui"),"CONFORME","ACTION REQUISE"))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>
        <f>IF(A72="","",IF(AND(E72="Apte",F72="Oui",G72="Oui",I72="Oui"),"CONFORME","ACTION REQUISE"))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>
        <f>IF(A73="","",IF(AND(E73="Apte",F73="Oui",G73="Oui",I73="Oui"),"CONFORME","ACTION REQUISE"))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>
        <f>IF(A74="","",IF(AND(E74="Apte",F74="Oui",G74="Oui",I74="Oui"),"CONFORME","ACTION REQUISE"))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>
        <f>IF(A75="","",IF(AND(E75="Apte",F75="Oui",G75="Oui",I75="Oui"),"CONFORME","ACTION REQUISE"))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>
        <f>IF(A76="","",IF(AND(E76="Apte",F76="Oui",G76="Oui",I76="Oui"),"CONFORME","ACTION REQUISE"))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>
        <f>IF(A77="","",IF(AND(E77="Apte",F77="Oui",G77="Oui",I77="Oui"),"CONFORME","ACTION REQUISE"))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>
        <f>IF(A78="","",IF(AND(E78="Apte",F78="Oui",G78="Oui",I78="Oui"),"CONFORME","ACTION REQUISE"))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>
        <f>IF(A79="","",IF(AND(E79="Apte",F79="Oui",G79="Oui",I79="Oui"),"CONFORME","ACTION REQUISE"))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>
        <f>IF(A80="","",IF(AND(E80="Apte",F80="Oui",G80="Oui",I80="Oui"),"CONFORME","ACTION REQUISE"))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>
        <f>IF(A81="","",IF(AND(E81="Apte",F81="Oui",G81="Oui",I81="Oui"),"CONFORME","ACTION REQUISE"))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>
        <f>IF(A82="","",IF(AND(E82="Apte",F82="Oui",G82="Oui",I82="Oui"),"CONFORME","ACTION REQUISE"))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>
        <f>IF(A83="","",IF(AND(E83="Apte",F83="Oui",G83="Oui",I83="Oui"),"CONFORME","ACTION REQUISE"))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>
        <f>IF(A84="","",IF(AND(E84="Apte",F84="Oui",G84="Oui",I84="Oui"),"CONFORME","ACTION REQUISE"))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>
        <f>IF(A85="","",IF(AND(E85="Apte",F85="Oui",G85="Oui",I85="Oui"),"CONFORME","ACTION REQUISE"))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>
        <f>IF(A86="","",IF(AND(E86="Apte",F86="Oui",G86="Oui",I86="Oui"),"CONFORME","ACTION REQUISE"))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>
        <f>IF(A87="","",IF(AND(E87="Apte",F87="Oui",G87="Oui",I87="Oui"),"CONFORME","ACTION REQUISE"))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>
        <f>IF(A88="","",IF(AND(E88="Apte",F88="Oui",G88="Oui",I88="Oui"),"CONFORME","ACTION REQUISE"))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>
        <f>IF(A89="","",IF(AND(E89="Apte",F89="Oui",G89="Oui",I89="Oui"),"CONFORME","ACTION REQUISE"))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>
        <f>IF(A90="","",IF(AND(E90="Apte",F90="Oui",G90="Oui",I90="Oui"),"CONFORME","ACTION REQUISE"))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>
        <f>IF(A91="","",IF(AND(E91="Apte",F91="Oui",G91="Oui",I91="Oui"),"CONFORME","ACTION REQUISE"))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>
        <f>IF(A92="","",IF(AND(E92="Apte",F92="Oui",G92="Oui",I92="Oui"),"CONFORME","ACTION REQUISE"))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>
        <f>IF(A93="","",IF(AND(E93="Apte",F93="Oui",G93="Oui",I93="Oui"),"CONFORME","ACTION REQUISE"))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>
        <f>IF(A94="","",IF(AND(E94="Apte",F94="Oui",G94="Oui",I94="Oui"),"CONFORME","ACTION REQUISE"))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>
        <f>IF(A95="","",IF(AND(E95="Apte",F95="Oui",G95="Oui",I95="Oui"),"CONFORME","ACTION REQUISE"))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>
        <f>IF(A96="","",IF(AND(E96="Apte",F96="Oui",G96="Oui",I96="Oui"),"CONFORME","ACTION REQUISE"))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>
        <f>IF(A97="","",IF(AND(E97="Apte",F97="Oui",G97="Oui",I97="Oui"),"CONFORME","ACTION REQUISE"))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>
        <f>IF(A98="","",IF(AND(E98="Apte",F98="Oui",G98="Oui",I98="Oui"),"CONFORME","ACTION REQUISE"))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>
        <f>IF(A99="","",IF(AND(E99="Apte",F99="Oui",G99="Oui",I99="Oui"),"CONFORME","ACTION REQUISE"))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>
        <f>IF(A100="","",IF(AND(E100="Apte",F100="Oui",G100="Oui",I100="Oui"),"CONFORME","ACTION REQUISE"))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>
        <f>IF(A101="","",IF(AND(E101="Apte",F101="Oui",G101="Oui",I101="Oui"),"CONFORME","ACTION REQUISE"))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>
        <f>IF(A102="","",IF(AND(E102="Apte",F102="Oui",G102="Oui",I102="Oui"),"CONFORME","ACTION REQUISE"))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>
        <f>IF(A103="","",IF(AND(E103="Apte",F103="Oui",G103="Oui",I103="Oui"),"CONFORME","ACTION REQUISE"))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>
        <f>IF(A104="","",IF(AND(E104="Apte",F104="Oui",G104="Oui",I104="Oui"),"CONFORME","ACTION REQUISE"))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>
        <f>IF(A105="","",IF(AND(E105="Apte",F105="Oui",G105="Oui",I105="Oui"),"CONFORME","ACTION REQUISE"))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>
        <f>IF(A106="","",IF(AND(E106="Apte",F106="Oui",G106="Oui",I106="Oui"),"CONFORME","ACTION REQUISE"))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>
        <f>IF(A107="","",IF(AND(E107="Apte",F107="Oui",G107="Oui",I107="Oui"),"CONFORME","ACTION REQUISE"))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>
        <f>IF(A108="","",IF(AND(E108="Apte",F108="Oui",G108="Oui",I108="Oui"),"CONFORME","ACTION REQUISE"))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>
        <f>IF(A109="","",IF(AND(E109="Apte",F109="Oui",G109="Oui",I109="Oui"),"CONFORME","ACTION REQUISE"))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>
        <f>IF(A110="","",IF(AND(E110="Apte",F110="Oui",G110="Oui",I110="Oui"),"CONFORME","ACTION REQUISE"))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>
        <f>IF(A111="","",IF(AND(E111="Apte",F111="Oui",G111="Oui",I111="Oui"),"CONFORME","ACTION REQUISE"))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>
        <f>IF(A112="","",IF(AND(E112="Apte",F112="Oui",G112="Oui",I112="Oui"),"CONFORME","ACTION REQUISE"))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>
        <f>IF(A113="","",IF(AND(E113="Apte",F113="Oui",G113="Oui",I113="Oui"),"CONFORME","ACTION REQUISE"))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>
        <f>IF(A114="","",IF(AND(E114="Apte",F114="Oui",G114="Oui",I114="Oui"),"CONFORME","ACTION REQUISE"))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>
        <f>IF(A115="","",IF(AND(E115="Apte",F115="Oui",G115="Oui",I115="Oui"),"CONFORME","ACTION REQUISE"))</f>
        <v/>
      </c>
    </row>
  </sheetData>
  <mergeCells count="2">
    <mergeCell ref="A3:N3"/>
    <mergeCell ref="A2:N2"/>
  </mergeCells>
  <dataValidations count="5">
    <dataValidation sqref="E6:E115" showDropDown="0" showInputMessage="0" showErrorMessage="0" allowBlank="1" errorTitle="Erreur" error="Valeur invalide" promptTitle="" prompt="Choisir dans la liste: " type="list">
      <formula1>'F02 - _Lists'!$Q$6:$Q$10</formula1>
    </dataValidation>
    <dataValidation sqref="F6:F115" showDropDown="0" showInputMessage="0" showErrorMessage="0" allowBlank="1" errorTitle="Erreur" error="Valeur invalide" promptTitle="" prompt="Choisir dans la liste: " type="list">
      <formula1>'F02 - _Lists'!$Z$6:$Z$9</formula1>
    </dataValidation>
    <dataValidation sqref="G6:G115" showDropDown="0" showInputMessage="0" showErrorMessage="0" allowBlank="1" errorTitle="Erreur" error="Valeur invalide" promptTitle="" prompt="Choisir dans la liste: " type="list">
      <formula1>'F02 - _Lists'!$Z$6:$Z$9</formula1>
    </dataValidation>
    <dataValidation sqref="I6:I115" showDropDown="0" showInputMessage="0" showErrorMessage="0" allowBlank="1" errorTitle="Erreur" error="Valeur invalide" promptTitle="" prompt="Choisir dans la liste: " type="list">
      <formula1>'F02 - _Lists'!$Z$6:$Z$9</formula1>
    </dataValidation>
    <dataValidation sqref="L6:L115" showDropDown="0" showInputMessage="0" showErrorMessage="0" allowBlank="1" errorTitle="Erreur" error="Valeur invalide" promptTitle="" prompt="Choisir dans la liste: " type="list">
      <formula1>'F02 - _Lists'!$Z$6:$Z$9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26" customWidth="1" min="5" max="5"/>
    <col width="22" customWidth="1" min="6" max="6"/>
    <col width="26" customWidth="1" min="7" max="7"/>
    <col width="22" customWidth="1" min="8" max="8"/>
    <col width="18" customWidth="1" min="9" max="9"/>
    <col width="24" customWidth="1" min="10" max="10"/>
    <col width="18" customWidth="1" min="11" max="11"/>
    <col width="20" customWidth="1" min="12" max="12"/>
    <col width="28" customWidth="1" min="13" max="13"/>
    <col width="14" customWidth="1" min="14" max="14"/>
  </cols>
  <sheetData>
    <row r="1" ht="8" customHeight="1"/>
    <row r="2" ht="30" customHeight="1">
      <c r="A2" s="1" t="inlineStr">
        <is>
          <t>10-RÉINTÉGRATION EXPATRIÉS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Réint.</t>
        </is>
      </c>
      <c r="B5" s="4" t="inlineStr">
        <is>
          <t>Matricule Expat.</t>
        </is>
      </c>
      <c r="C5" s="4" t="inlineStr">
        <is>
          <t>Date Fin Mission</t>
        </is>
      </c>
      <c r="D5" s="4" t="inlineStr">
        <is>
          <t>Pays Retour</t>
        </is>
      </c>
      <c r="E5" s="4" t="inlineStr">
        <is>
          <t>Poste Retour Proposé</t>
        </is>
      </c>
      <c r="F5" s="4" t="inlineStr">
        <is>
          <t>Aide Recherche Emploi</t>
        </is>
      </c>
      <c r="G5" s="4" t="inlineStr">
        <is>
          <t>Indemnité Rapatriement (FCFA)</t>
        </is>
      </c>
      <c r="H5" s="4" t="inlineStr">
        <is>
          <t>Formation Réadaptation</t>
        </is>
      </c>
      <c r="I5" s="4" t="inlineStr">
        <is>
          <t>Entretien Bilan</t>
        </is>
      </c>
      <c r="J5" s="4" t="inlineStr">
        <is>
          <t>Démarches Administratives</t>
        </is>
      </c>
      <c r="K5" s="4" t="inlineStr">
        <is>
          <t>Date Réintégration</t>
        </is>
      </c>
      <c r="L5" s="4" t="inlineStr">
        <is>
          <t>Statut Réintégration</t>
        </is>
      </c>
      <c r="M5" s="4" t="inlineStr">
        <is>
          <t>Observations</t>
        </is>
      </c>
      <c r="N5" s="4" t="inlineStr"/>
    </row>
    <row r="6" ht="22" customHeight="1">
      <c r="A6" s="5" t="inlineStr">
        <is>
          <t>REINT-001</t>
        </is>
      </c>
      <c r="B6" s="5" t="inlineStr">
        <is>
          <t>EXP-001</t>
        </is>
      </c>
      <c r="C6" s="22" t="n">
        <v>46036</v>
      </c>
      <c r="D6" s="5" t="inlineStr">
        <is>
          <t>France</t>
        </is>
      </c>
      <c r="E6" s="5" t="inlineStr">
        <is>
          <t>DG Adjoint France</t>
        </is>
      </c>
      <c r="F6" s="5" t="inlineStr">
        <is>
          <t>Oui</t>
        </is>
      </c>
      <c r="G6" s="25" t="n">
        <v>2000000</v>
      </c>
      <c r="H6" s="5" t="inlineStr">
        <is>
          <t>Planifié</t>
        </is>
      </c>
      <c r="I6" s="5" t="inlineStr">
        <is>
          <t>Planifié</t>
        </is>
      </c>
      <c r="J6" s="5" t="inlineStr">
        <is>
          <t>En cours</t>
        </is>
      </c>
      <c r="K6" s="5" t="n"/>
      <c r="L6" s="5" t="inlineStr">
        <is>
          <t>En préparation</t>
        </is>
      </c>
      <c r="M6" s="5" t="inlineStr">
        <is>
          <t>18 mois avant fin</t>
        </is>
      </c>
      <c r="N6" s="5">
        <f>IF(A6="","",IF(AND(F6="Oui",H6="Terminé",J6="Terminé"),"PRÊT","EN COURS"))</f>
        <v/>
      </c>
    </row>
    <row r="7" ht="22" customHeight="1">
      <c r="A7" s="7" t="inlineStr">
        <is>
          <t>REINT-002</t>
        </is>
      </c>
      <c r="B7" s="7" t="inlineStr">
        <is>
          <t>EXP-003</t>
        </is>
      </c>
      <c r="C7" s="23" t="n">
        <v>45808</v>
      </c>
      <c r="D7" s="7" t="inlineStr">
        <is>
          <t>Allemagne</t>
        </is>
      </c>
      <c r="E7" s="7" t="inlineStr">
        <is>
          <t>Chef Cuisinier Munich</t>
        </is>
      </c>
      <c r="F7" s="7" t="inlineStr">
        <is>
          <t>Oui</t>
        </is>
      </c>
      <c r="G7" s="27" t="n">
        <v>1500000</v>
      </c>
      <c r="H7" s="7" t="inlineStr">
        <is>
          <t>En cours</t>
        </is>
      </c>
      <c r="I7" s="7" t="inlineStr">
        <is>
          <t>Planifié</t>
        </is>
      </c>
      <c r="J7" s="7" t="inlineStr">
        <is>
          <t>Non commencé</t>
        </is>
      </c>
      <c r="K7" s="7" t="n"/>
      <c r="L7" s="7" t="inlineStr">
        <is>
          <t>En préparation</t>
        </is>
      </c>
      <c r="M7" s="7" t="inlineStr"/>
      <c r="N7" s="7">
        <f>IF(A7="","",IF(AND(F7="Oui",H7="Terminé",J7="Terminé"),"PRÊT","EN COURS"))</f>
        <v/>
      </c>
    </row>
    <row r="8" ht="22" customHeight="1">
      <c r="A8" s="5" t="inlineStr">
        <is>
          <t>REINT-003</t>
        </is>
      </c>
      <c r="B8" s="5" t="inlineStr">
        <is>
          <t>EXP-012</t>
        </is>
      </c>
      <c r="C8" s="22" t="n">
        <v>45900</v>
      </c>
      <c r="D8" s="5" t="inlineStr">
        <is>
          <t>Ghana</t>
        </is>
      </c>
      <c r="E8" s="5" t="inlineStr">
        <is>
          <t>Consultant Sécurité Accra</t>
        </is>
      </c>
      <c r="F8" s="5" t="inlineStr">
        <is>
          <t>Non</t>
        </is>
      </c>
      <c r="G8" s="25" t="n">
        <v>800000</v>
      </c>
      <c r="H8" s="5" t="inlineStr">
        <is>
          <t>Non commencé</t>
        </is>
      </c>
      <c r="I8" s="5" t="inlineStr">
        <is>
          <t>Non commencé</t>
        </is>
      </c>
      <c r="J8" s="5" t="inlineStr">
        <is>
          <t>Non commencé</t>
        </is>
      </c>
      <c r="K8" s="5" t="n"/>
      <c r="L8" s="5" t="inlineStr">
        <is>
          <t>Non commencé</t>
        </is>
      </c>
      <c r="M8" s="5" t="inlineStr">
        <is>
          <t>Court terme</t>
        </is>
      </c>
      <c r="N8" s="5">
        <f>IF(A8="","",IF(AND(F8="Oui",H8="Terminé",J8="Terminé"),"PRÊT","EN COURS"))</f>
        <v/>
      </c>
    </row>
    <row r="9" ht="22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>
        <f>IF(A9="","",IF(AND(F9="Oui",H9="Terminé",J9="Terminé"),"PRÊT","EN COURS"))</f>
        <v/>
      </c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>
        <f>IF(A10="","",IF(AND(F10="Oui",H10="Terminé",J10="Terminé"),"PRÊT","EN COURS"))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>
        <f>IF(A11="","",IF(AND(F11="Oui",H11="Terminé",J11="Terminé"),"PRÊT","EN COURS"))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>
        <f>IF(A12="","",IF(AND(F12="Oui",H12="Terminé",J12="Terminé"),"PRÊT","EN COURS"))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>
        <f>IF(A13="","",IF(AND(F13="Oui",H13="Terminé",J13="Terminé"),"PRÊT","EN COURS"))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>
        <f>IF(A14="","",IF(AND(F14="Oui",H14="Terminé",J14="Terminé"),"PRÊT","EN COURS"))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>
        <f>IF(A15="","",IF(AND(F15="Oui",H15="Terminé",J15="Terminé"),"PRÊT","EN COURS"))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>
        <f>IF(A16="","",IF(AND(F16="Oui",H16="Terminé",J16="Terminé"),"PRÊT","EN COURS"))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>
        <f>IF(A17="","",IF(AND(F17="Oui",H17="Terminé",J17="Terminé"),"PRÊT","EN COURS"))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>
        <f>IF(A18="","",IF(AND(F18="Oui",H18="Terminé",J18="Terminé"),"PRÊT","EN COURS"))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>
        <f>IF(A19="","",IF(AND(F19="Oui",H19="Terminé",J19="Terminé"),"PRÊT","EN COURS"))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>
        <f>IF(A20="","",IF(AND(F20="Oui",H20="Terminé",J20="Terminé"),"PRÊT","EN COURS"))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>
        <f>IF(A21="","",IF(AND(F21="Oui",H21="Terminé",J21="Terminé"),"PRÊT","EN COURS"))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>
        <f>IF(A22="","",IF(AND(F22="Oui",H22="Terminé",J22="Terminé"),"PRÊT","EN COURS"))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>
        <f>IF(A23="","",IF(AND(F23="Oui",H23="Terminé",J23="Terminé"),"PRÊT","EN COURS"))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>
        <f>IF(A24="","",IF(AND(F24="Oui",H24="Terminé",J24="Terminé"),"PRÊT","EN COURS"))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>
        <f>IF(A25="","",IF(AND(F25="Oui",H25="Terminé",J25="Terminé"),"PRÊT","EN COURS"))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>
        <f>IF(A26="","",IF(AND(F26="Oui",H26="Terminé",J26="Terminé"),"PRÊT","EN COURS"))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>
        <f>IF(A27="","",IF(AND(F27="Oui",H27="Terminé",J27="Terminé"),"PRÊT","EN COURS"))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>
        <f>IF(A28="","",IF(AND(F28="Oui",H28="Terminé",J28="Terminé"),"PRÊT","EN COURS"))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>
        <f>IF(A29="","",IF(AND(F29="Oui",H29="Terminé",J29="Terminé"),"PRÊT","EN COURS"))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>
        <f>IF(A30="","",IF(AND(F30="Oui",H30="Terminé",J30="Terminé"),"PRÊT","EN COURS"))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>
        <f>IF(A31="","",IF(AND(F31="Oui",H31="Terminé",J31="Terminé"),"PRÊT","EN COURS"))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>
        <f>IF(A32="","",IF(AND(F32="Oui",H32="Terminé",J32="Terminé"),"PRÊT","EN COURS"))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>
        <f>IF(A33="","",IF(AND(F33="Oui",H33="Terminé",J33="Terminé"),"PRÊT","EN COURS"))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>
        <f>IF(A34="","",IF(AND(F34="Oui",H34="Terminé",J34="Terminé"),"PRÊT","EN COURS"))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>
        <f>IF(A35="","",IF(AND(F35="Oui",H35="Terminé",J35="Terminé"),"PRÊT","EN COURS"))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>
        <f>IF(A36="","",IF(AND(F36="Oui",H36="Terminé",J36="Terminé"),"PRÊT","EN COURS"))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>
        <f>IF(A37="","",IF(AND(F37="Oui",H37="Terminé",J37="Terminé"),"PRÊT","EN COURS"))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>
        <f>IF(A38="","",IF(AND(F38="Oui",H38="Terminé",J38="Terminé"),"PRÊT","EN COURS"))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>
        <f>IF(A39="","",IF(AND(F39="Oui",H39="Terminé",J39="Terminé"),"PRÊT","EN COURS"))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>
        <f>IF(A40="","",IF(AND(F40="Oui",H40="Terminé",J40="Terminé"),"PRÊT","EN COURS"))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>
        <f>IF(A41="","",IF(AND(F41="Oui",H41="Terminé",J41="Terminé"),"PRÊT","EN COURS"))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>
        <f>IF(A42="","",IF(AND(F42="Oui",H42="Terminé",J42="Terminé"),"PRÊT","EN COURS"))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>
        <f>IF(A43="","",IF(AND(F43="Oui",H43="Terminé",J43="Terminé"),"PRÊT","EN COURS"))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>
        <f>IF(A44="","",IF(AND(F44="Oui",H44="Terminé",J44="Terminé"),"PRÊT","EN COURS"))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>
        <f>IF(A45="","",IF(AND(F45="Oui",H45="Terminé",J45="Terminé"),"PRÊT","EN COURS"))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>
        <f>IF(A46="","",IF(AND(F46="Oui",H46="Terminé",J46="Terminé"),"PRÊT","EN COURS"))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>
        <f>IF(A47="","",IF(AND(F47="Oui",H47="Terminé",J47="Terminé"),"PRÊT","EN COURS"))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>
        <f>IF(A48="","",IF(AND(F48="Oui",H48="Terminé",J48="Terminé"),"PRÊT","EN COURS"))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>
        <f>IF(A49="","",IF(AND(F49="Oui",H49="Terminé",J49="Terminé"),"PRÊT","EN COURS"))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>
        <f>IF(A50="","",IF(AND(F50="Oui",H50="Terminé",J50="Terminé"),"PRÊT","EN COURS"))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>
        <f>IF(A51="","",IF(AND(F51="Oui",H51="Terminé",J51="Terminé"),"PRÊT","EN COURS"))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>
        <f>IF(A52="","",IF(AND(F52="Oui",H52="Terminé",J52="Terminé"),"PRÊT","EN COURS"))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>
        <f>IF(A53="","",IF(AND(F53="Oui",H53="Terminé",J53="Terminé"),"PRÊT","EN COURS"))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>
        <f>IF(A54="","",IF(AND(F54="Oui",H54="Terminé",J54="Terminé"),"PRÊT","EN COURS"))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>
        <f>IF(A55="","",IF(AND(F55="Oui",H55="Terminé",J55="Terminé"),"PRÊT","EN COURS"))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>
        <f>IF(A56="","",IF(AND(F56="Oui",H56="Terminé",J56="Terminé"),"PRÊT","EN COURS"))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>
        <f>IF(A57="","",IF(AND(F57="Oui",H57="Terminé",J57="Terminé"),"PRÊT","EN COURS"))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>
        <f>IF(A58="","",IF(AND(F58="Oui",H58="Terminé",J58="Terminé"),"PRÊT","EN COURS"))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>
        <f>IF(A59="","",IF(AND(F59="Oui",H59="Terminé",J59="Terminé"),"PRÊT","EN COURS"))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>
        <f>IF(A60="","",IF(AND(F60="Oui",H60="Terminé",J60="Terminé"),"PRÊT","EN COURS"))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>
        <f>IF(A61="","",IF(AND(F61="Oui",H61="Terminé",J61="Terminé"),"PRÊT","EN COURS"))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>
        <f>IF(A62="","",IF(AND(F62="Oui",H62="Terminé",J62="Terminé"),"PRÊT","EN COURS"))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>
        <f>IF(A63="","",IF(AND(F63="Oui",H63="Terminé",J63="Terminé"),"PRÊT","EN COURS"))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>
        <f>IF(A64="","",IF(AND(F64="Oui",H64="Terminé",J64="Terminé"),"PRÊT","EN COURS"))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>
        <f>IF(A65="","",IF(AND(F65="Oui",H65="Terminé",J65="Terminé"),"PRÊT","EN COURS"))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>
        <f>IF(A66="","",IF(AND(F66="Oui",H66="Terminé",J66="Terminé"),"PRÊT","EN COURS"))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>
        <f>IF(A67="","",IF(AND(F67="Oui",H67="Terminé",J67="Terminé"),"PRÊT","EN COURS"))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>
        <f>IF(A68="","",IF(AND(F68="Oui",H68="Terminé",J68="Terminé"),"PRÊT","EN COURS"))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>
        <f>IF(A69="","",IF(AND(F69="Oui",H69="Terminé",J69="Terminé"),"PRÊT","EN COURS"))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>
        <f>IF(A70="","",IF(AND(F70="Oui",H70="Terminé",J70="Terminé"),"PRÊT","EN COURS"))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>
        <f>IF(A71="","",IF(AND(F71="Oui",H71="Terminé",J71="Terminé"),"PRÊT","EN COURS"))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>
        <f>IF(A72="","",IF(AND(F72="Oui",H72="Terminé",J72="Terminé"),"PRÊT","EN COURS"))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>
        <f>IF(A73="","",IF(AND(F73="Oui",H73="Terminé",J73="Terminé"),"PRÊT","EN COURS"))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>
        <f>IF(A74="","",IF(AND(F74="Oui",H74="Terminé",J74="Terminé"),"PRÊT","EN COURS"))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>
        <f>IF(A75="","",IF(AND(F75="Oui",H75="Terminé",J75="Terminé"),"PRÊT","EN COURS"))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>
        <f>IF(A76="","",IF(AND(F76="Oui",H76="Terminé",J76="Terminé"),"PRÊT","EN COURS"))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>
        <f>IF(A77="","",IF(AND(F77="Oui",H77="Terminé",J77="Terminé"),"PRÊT","EN COURS"))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>
        <f>IF(A78="","",IF(AND(F78="Oui",H78="Terminé",J78="Terminé"),"PRÊT","EN COURS"))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>
        <f>IF(A79="","",IF(AND(F79="Oui",H79="Terminé",J79="Terminé"),"PRÊT","EN COURS"))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>
        <f>IF(A80="","",IF(AND(F80="Oui",H80="Terminé",J80="Terminé"),"PRÊT","EN COURS"))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>
        <f>IF(A81="","",IF(AND(F81="Oui",H81="Terminé",J81="Terminé"),"PRÊT","EN COURS"))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>
        <f>IF(A82="","",IF(AND(F82="Oui",H82="Terminé",J82="Terminé"),"PRÊT","EN COURS"))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>
        <f>IF(A83="","",IF(AND(F83="Oui",H83="Terminé",J83="Terminé"),"PRÊT","EN COURS"))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>
        <f>IF(A84="","",IF(AND(F84="Oui",H84="Terminé",J84="Terminé"),"PRÊT","EN COURS"))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>
        <f>IF(A85="","",IF(AND(F85="Oui",H85="Terminé",J85="Terminé"),"PRÊT","EN COURS"))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>
        <f>IF(A86="","",IF(AND(F86="Oui",H86="Terminé",J86="Terminé"),"PRÊT","EN COURS"))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>
        <f>IF(A87="","",IF(AND(F87="Oui",H87="Terminé",J87="Terminé"),"PRÊT","EN COURS"))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>
        <f>IF(A88="","",IF(AND(F88="Oui",H88="Terminé",J88="Terminé"),"PRÊT","EN COURS"))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>
        <f>IF(A89="","",IF(AND(F89="Oui",H89="Terminé",J89="Terminé"),"PRÊT","EN COURS"))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>
        <f>IF(A90="","",IF(AND(F90="Oui",H90="Terminé",J90="Terminé"),"PRÊT","EN COURS"))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>
        <f>IF(A91="","",IF(AND(F91="Oui",H91="Terminé",J91="Terminé"),"PRÊT","EN COURS"))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>
        <f>IF(A92="","",IF(AND(F92="Oui",H92="Terminé",J92="Terminé"),"PRÊT","EN COURS"))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>
        <f>IF(A93="","",IF(AND(F93="Oui",H93="Terminé",J93="Terminé"),"PRÊT","EN COURS"))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>
        <f>IF(A94="","",IF(AND(F94="Oui",H94="Terminé",J94="Terminé"),"PRÊT","EN COURS"))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>
        <f>IF(A95="","",IF(AND(F95="Oui",H95="Terminé",J95="Terminé"),"PRÊT","EN COURS"))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>
        <f>IF(A96="","",IF(AND(F96="Oui",H96="Terminé",J96="Terminé"),"PRÊT","EN COURS"))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>
        <f>IF(A97="","",IF(AND(F97="Oui",H97="Terminé",J97="Terminé"),"PRÊT","EN COURS"))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>
        <f>IF(A98="","",IF(AND(F98="Oui",H98="Terminé",J98="Terminé"),"PRÊT","EN COURS"))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>
        <f>IF(A99="","",IF(AND(F99="Oui",H99="Terminé",J99="Terminé"),"PRÊT","EN COURS"))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>
        <f>IF(A100="","",IF(AND(F100="Oui",H100="Terminé",J100="Terminé"),"PRÊT","EN COURS"))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>
        <f>IF(A101="","",IF(AND(F101="Oui",H101="Terminé",J101="Terminé"),"PRÊT","EN COURS"))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>
        <f>IF(A102="","",IF(AND(F102="Oui",H102="Terminé",J102="Terminé"),"PRÊT","EN COURS"))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>
        <f>IF(A103="","",IF(AND(F103="Oui",H103="Terminé",J103="Terminé"),"PRÊT","EN COURS"))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>
        <f>IF(A104="","",IF(AND(F104="Oui",H104="Terminé",J104="Terminé"),"PRÊT","EN COURS"))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>
        <f>IF(A105="","",IF(AND(F105="Oui",H105="Terminé",J105="Terminé"),"PRÊT","EN COURS"))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>
        <f>IF(A106="","",IF(AND(F106="Oui",H106="Terminé",J106="Terminé"),"PRÊT","EN COURS"))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>
        <f>IF(A107="","",IF(AND(F107="Oui",H107="Terminé",J107="Terminé"),"PRÊT","EN COURS"))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>
        <f>IF(A108="","",IF(AND(F108="Oui",H108="Terminé",J108="Terminé"),"PRÊT","EN COURS"))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>
        <f>IF(A109="","",IF(AND(F109="Oui",H109="Terminé",J109="Terminé"),"PRÊT","EN COURS"))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>
        <f>IF(A110="","",IF(AND(F110="Oui",H110="Terminé",J110="Terminé"),"PRÊT","EN COURS"))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>
        <f>IF(A111="","",IF(AND(F111="Oui",H111="Terminé",J111="Terminé"),"PRÊT","EN COURS"))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>
        <f>IF(A112="","",IF(AND(F112="Oui",H112="Terminé",J112="Terminé"),"PRÊT","EN COURS"))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>
        <f>IF(A113="","",IF(AND(F113="Oui",H113="Terminé",J113="Terminé"),"PRÊT","EN COURS"))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>
        <f>IF(A114="","",IF(AND(F114="Oui",H114="Terminé",J114="Terminé"),"PRÊT","EN COURS"))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>
        <f>IF(A115="","",IF(AND(F115="Oui",H115="Terminé",J115="Terminé"),"PRÊT","EN COURS"))</f>
        <v/>
      </c>
    </row>
  </sheetData>
  <mergeCells count="2">
    <mergeCell ref="A3:N3"/>
    <mergeCell ref="A2:N2"/>
  </mergeCells>
  <dataValidations count="7">
    <dataValidation sqref="D6:D115" showDropDown="0" showInputMessage="0" showErrorMessage="0" allowBlank="1" errorTitle="Erreur" error="Valeur invalide" promptTitle="" prompt="Choisir dans la liste: " type="list">
      <formula1>'F02 - _Lists'!$E$6:$E$25</formula1>
    </dataValidation>
    <dataValidation sqref="F6:F115" showDropDown="0" showInputMessage="0" showErrorMessage="0" allowBlank="1" errorTitle="Erreur" error="Valeur invalide" promptTitle="" prompt="Choisir dans la liste: " type="list">
      <formula1>'F02 - _Lists'!$Z$6:$Z$9</formula1>
    </dataValidation>
    <dataValidation sqref="G6:G115" showDropDown="0" showInputMessage="0" showErrorMessage="0" allowBlank="1" errorTitle="Erreur" error="Valeur invalide" promptTitle="" prompt="Choisir dans la liste: " type="list">
      <formula1>'F02 - _Lists'!$Z$6:$Z$9</formula1>
    </dataValidation>
    <dataValidation sqref="H6:H115" showDropDown="0" showInputMessage="0" showErrorMessage="0" allowBlank="1" errorTitle="Erreur" error="Valeur invalide" promptTitle="" prompt="Choisir dans la liste: " type="list">
      <formula1>'F02 - _Lists'!$Z$6:$Z$9</formula1>
    </dataValidation>
    <dataValidation sqref="I6:I115" showDropDown="0" showInputMessage="0" showErrorMessage="0" allowBlank="1" errorTitle="Erreur" error="Valeur invalide" promptTitle="" prompt="Choisir dans la liste: " type="list">
      <formula1>'F02 - _Lists'!$Z$6:$Z$9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_Lists'!$Z$6:$Z$9</formula1>
    </dataValidation>
    <dataValidation sqref="M6:M115" showDropDown="0" showInputMessage="0" showErrorMessage="0" allowBlank="1" errorTitle="Erreur" error="Valeur invalide" promptTitle="" prompt="Choisir dans la liste: " type="list">
      <formula1>'F02 - _Lists'!$R$6:$R$10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22" customWidth="1" min="4" max="4"/>
    <col width="24" customWidth="1" min="5" max="5"/>
    <col width="22" customWidth="1" min="6" max="6"/>
    <col width="18" customWidth="1" min="7" max="7"/>
    <col width="24" customWidth="1" min="8" max="8"/>
    <col width="22" customWidth="1" min="9" max="9"/>
    <col width="10" customWidth="1" min="10" max="10"/>
    <col width="14" customWidth="1" min="11" max="11"/>
    <col width="18" customWidth="1" min="12" max="12"/>
    <col width="28" customWidth="1" min="13" max="13"/>
    <col width="14" customWidth="1" min="14" max="14"/>
  </cols>
  <sheetData>
    <row r="1" ht="8" customHeight="1"/>
    <row r="2" ht="30" customHeight="1">
      <c r="A2" s="1" t="inlineStr">
        <is>
          <t>11-BUDGET MOBILITÉ INTERNATIONALE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Budget</t>
        </is>
      </c>
      <c r="B5" s="4" t="inlineStr">
        <is>
          <t>Poste Budgétaire</t>
        </is>
      </c>
      <c r="C5" s="4" t="inlineStr">
        <is>
          <t>Catégorie</t>
        </is>
      </c>
      <c r="D5" s="4" t="inlineStr">
        <is>
          <t>Montant Prévu (FCFA)</t>
        </is>
      </c>
      <c r="E5" s="4" t="inlineStr">
        <is>
          <t>Montant Consommé (FCFA)</t>
        </is>
      </c>
      <c r="F5" s="4" t="inlineStr">
        <is>
          <t>Taux Consommation (%)</t>
        </is>
      </c>
      <c r="G5" s="4" t="inlineStr">
        <is>
          <t>Mois</t>
        </is>
      </c>
      <c r="H5" s="4" t="inlineStr">
        <is>
          <t>Département</t>
        </is>
      </c>
      <c r="I5" s="4" t="inlineStr">
        <is>
          <t>Responsable</t>
        </is>
      </c>
      <c r="J5" s="4" t="inlineStr">
        <is>
          <t>Devise</t>
        </is>
      </c>
      <c r="K5" s="4" t="inlineStr">
        <is>
          <t>Statut</t>
        </is>
      </c>
      <c r="L5" s="4" t="inlineStr">
        <is>
          <t>Écart (FCFA)</t>
        </is>
      </c>
      <c r="M5" s="4" t="inlineStr">
        <is>
          <t>Observations</t>
        </is>
      </c>
      <c r="N5" s="4" t="inlineStr"/>
    </row>
    <row r="6" ht="22" customHeight="1">
      <c r="A6" s="5" t="inlineStr">
        <is>
          <t>BUD-EXP-001</t>
        </is>
      </c>
      <c r="B6" s="5" t="inlineStr">
        <is>
          <t>Indemnités expatriation</t>
        </is>
      </c>
      <c r="C6" s="5" t="inlineStr">
        <is>
          <t>Prime expatriation</t>
        </is>
      </c>
      <c r="D6" s="25" t="n">
        <v>12000000</v>
      </c>
      <c r="E6" s="25" t="n">
        <v>8500000</v>
      </c>
      <c r="F6" s="24">
        <f>IF(OR(D6="",E6="",D6=0),"",IFERROR(E6/D6*100,0))</f>
        <v/>
      </c>
      <c r="G6" s="5" t="inlineStr">
        <is>
          <t>Février 2025</t>
        </is>
      </c>
      <c r="H6" s="5" t="inlineStr">
        <is>
          <t>Tous</t>
        </is>
      </c>
      <c r="I6" s="5" t="inlineStr">
        <is>
          <t>DRH</t>
        </is>
      </c>
      <c r="J6" s="5" t="inlineStr">
        <is>
          <t>XOF</t>
        </is>
      </c>
      <c r="K6" s="5" t="inlineStr">
        <is>
          <t>En cours</t>
        </is>
      </c>
      <c r="L6" s="28">
        <f>IF(OR(D6="",E6=""),"",D6-E6)</f>
        <v/>
      </c>
      <c r="M6" s="5">
        <f>IF(K6="","",IFERROR(COUNTIF($K$6:$K$115,K6),0))</f>
        <v/>
      </c>
      <c r="N6" s="24">
        <f>IF(H6="","",IFERROR(AVERAGEIF($H$6:$H$115,H6,$F$6:$F$115),0))</f>
        <v/>
      </c>
    </row>
    <row r="7" ht="22" customHeight="1">
      <c r="A7" s="7" t="inlineStr">
        <is>
          <t>BUD-EXP-002</t>
        </is>
      </c>
      <c r="B7" s="7" t="inlineStr">
        <is>
          <t>Logement expatriés</t>
        </is>
      </c>
      <c r="C7" s="7" t="inlineStr">
        <is>
          <t>Loyer + charges</t>
        </is>
      </c>
      <c r="D7" s="27" t="n">
        <v>30000000</v>
      </c>
      <c r="E7" s="27" t="n">
        <v>21000000</v>
      </c>
      <c r="F7" s="26">
        <f>IF(OR(D7="",E7="",D7=0),"",IFERROR(E7/D7*100,0))</f>
        <v/>
      </c>
      <c r="G7" s="7" t="inlineStr">
        <is>
          <t>Février 2025</t>
        </is>
      </c>
      <c r="H7" s="7" t="inlineStr">
        <is>
          <t>Tous</t>
        </is>
      </c>
      <c r="I7" s="7" t="inlineStr">
        <is>
          <t>DRH / Logistique</t>
        </is>
      </c>
      <c r="J7" s="7" t="inlineStr">
        <is>
          <t>XOF</t>
        </is>
      </c>
      <c r="K7" s="7" t="inlineStr">
        <is>
          <t>En cours</t>
        </is>
      </c>
      <c r="L7" s="29">
        <f>IF(OR(D7="",E7=""),"",D7-E7)</f>
        <v/>
      </c>
      <c r="M7" s="7">
        <f>IF(K7="","",IFERROR(COUNTIF($K$6:$K$115,K7),0))</f>
        <v/>
      </c>
      <c r="N7" s="26">
        <f>IF(H7="","",IFERROR(AVERAGEIF($H$6:$H$115,H7,$F$6:$F$115),0))</f>
        <v/>
      </c>
    </row>
    <row r="8" ht="22" customHeight="1">
      <c r="A8" s="5" t="inlineStr">
        <is>
          <t>BUD-EXP-003</t>
        </is>
      </c>
      <c r="B8" s="5" t="inlineStr">
        <is>
          <t>Scolarité enfants</t>
        </is>
      </c>
      <c r="C8" s="5" t="inlineStr">
        <is>
          <t>Frais scolaires</t>
        </is>
      </c>
      <c r="D8" s="25" t="n">
        <v>15000000</v>
      </c>
      <c r="E8" s="25" t="n">
        <v>12500000</v>
      </c>
      <c r="F8" s="24">
        <f>IF(OR(D8="",E8="",D8=0),"",IFERROR(E8/D8*100,0))</f>
        <v/>
      </c>
      <c r="G8" s="5" t="inlineStr">
        <is>
          <t>Février 2025</t>
        </is>
      </c>
      <c r="H8" s="5" t="inlineStr">
        <is>
          <t>Tous</t>
        </is>
      </c>
      <c r="I8" s="5" t="inlineStr">
        <is>
          <t>DRH</t>
        </is>
      </c>
      <c r="J8" s="5" t="inlineStr">
        <is>
          <t>XOF</t>
        </is>
      </c>
      <c r="K8" s="5" t="inlineStr">
        <is>
          <t>En cours</t>
        </is>
      </c>
      <c r="L8" s="28">
        <f>IF(OR(D8="",E8=""),"",D8-E8)</f>
        <v/>
      </c>
      <c r="M8" s="5">
        <f>IF(K8="","",IFERROR(COUNTIF($K$6:$K$115,K8),0))</f>
        <v/>
      </c>
      <c r="N8" s="24">
        <f>IF(H8="","",IFERROR(AVERAGEIF($H$6:$H$115,H8,$F$6:$F$115),0))</f>
        <v/>
      </c>
    </row>
    <row r="9" ht="22" customHeight="1">
      <c r="A9" s="7" t="inlineStr">
        <is>
          <t>BUD-EXP-004</t>
        </is>
      </c>
      <c r="B9" s="7" t="inlineStr">
        <is>
          <t>Visas &amp; permis</t>
        </is>
      </c>
      <c r="C9" s="7" t="inlineStr">
        <is>
          <t>Frais administratifs</t>
        </is>
      </c>
      <c r="D9" s="27" t="n">
        <v>3000000</v>
      </c>
      <c r="E9" s="27" t="n">
        <v>1800000</v>
      </c>
      <c r="F9" s="26">
        <f>IF(OR(D9="",E9="",D9=0),"",IFERROR(E9/D9*100,0))</f>
        <v/>
      </c>
      <c r="G9" s="7" t="inlineStr">
        <is>
          <t>Février 2025</t>
        </is>
      </c>
      <c r="H9" s="7" t="inlineStr">
        <is>
          <t>Tous</t>
        </is>
      </c>
      <c r="I9" s="7" t="inlineStr">
        <is>
          <t>DRH</t>
        </is>
      </c>
      <c r="J9" s="7" t="inlineStr">
        <is>
          <t>XOF</t>
        </is>
      </c>
      <c r="K9" s="7" t="inlineStr">
        <is>
          <t>En cours</t>
        </is>
      </c>
      <c r="L9" s="29">
        <f>IF(OR(D9="",E9=""),"",D9-E9)</f>
        <v/>
      </c>
      <c r="M9" s="7">
        <f>IF(K9="","",IFERROR(COUNTIF($K$6:$K$115,K9),0))</f>
        <v/>
      </c>
      <c r="N9" s="26">
        <f>IF(H9="","",IFERROR(AVERAGEIF($H$6:$H$115,H9,$F$6:$F$115),0))</f>
        <v/>
      </c>
    </row>
    <row r="10" ht="22" customHeight="1">
      <c r="A10" s="5" t="inlineStr">
        <is>
          <t>BUD-EXP-005</t>
        </is>
      </c>
      <c r="B10" s="5" t="inlineStr">
        <is>
          <t>Fiscalité &amp; juridique</t>
        </is>
      </c>
      <c r="C10" s="5" t="inlineStr">
        <is>
          <t>Conseil fiscal</t>
        </is>
      </c>
      <c r="D10" s="25" t="n">
        <v>5000000</v>
      </c>
      <c r="E10" s="25" t="n">
        <v>3200000</v>
      </c>
      <c r="F10" s="24">
        <f>IF(OR(D10="",E10="",D10=0),"",IFERROR(E10/D10*100,0))</f>
        <v/>
      </c>
      <c r="G10" s="5" t="inlineStr">
        <is>
          <t>Février 2025</t>
        </is>
      </c>
      <c r="H10" s="5" t="inlineStr">
        <is>
          <t>Finance</t>
        </is>
      </c>
      <c r="I10" s="5" t="inlineStr">
        <is>
          <t>DAF</t>
        </is>
      </c>
      <c r="J10" s="5" t="inlineStr">
        <is>
          <t>XOF</t>
        </is>
      </c>
      <c r="K10" s="5" t="inlineStr">
        <is>
          <t>En cours</t>
        </is>
      </c>
      <c r="L10" s="28">
        <f>IF(OR(D10="",E10=""),"",D10-E10)</f>
        <v/>
      </c>
      <c r="M10" s="5">
        <f>IF(K10="","",IFERROR(COUNTIF($K$6:$K$115,K10),0))</f>
        <v/>
      </c>
      <c r="N10" s="24">
        <f>IF(H10="","",IFERROR(AVERAGEIF($H$6:$H$115,H10,$F$6:$F$115),0))</f>
        <v/>
      </c>
    </row>
    <row r="11" ht="22" customHeight="1">
      <c r="A11" s="7" t="n"/>
      <c r="B11" s="7" t="n"/>
      <c r="C11" s="7" t="n"/>
      <c r="D11" s="7" t="n"/>
      <c r="E11" s="7" t="n"/>
      <c r="F11" s="26">
        <f>IF(OR(D11="",E11="",D11=0),"",IFERROR(E11/D11*100,0))</f>
        <v/>
      </c>
      <c r="G11" s="7" t="n"/>
      <c r="H11" s="7" t="n"/>
      <c r="I11" s="7" t="n"/>
      <c r="J11" s="7" t="n"/>
      <c r="K11" s="7" t="n"/>
      <c r="L11" s="29">
        <f>IF(OR(D11="",E11=""),"",D11-E11)</f>
        <v/>
      </c>
      <c r="M11" s="7">
        <f>IF(K11="","",IFERROR(COUNTIF($K$6:$K$115,K11),0))</f>
        <v/>
      </c>
      <c r="N11" s="26">
        <f>IF(H11="","",IFERROR(AVERAGEIF($H$6:$H$115,H11,$F$6:$F$115),0))</f>
        <v/>
      </c>
    </row>
    <row r="12" ht="22" customHeight="1">
      <c r="A12" s="5" t="n"/>
      <c r="B12" s="5" t="n"/>
      <c r="C12" s="5" t="n"/>
      <c r="D12" s="5" t="n"/>
      <c r="E12" s="5" t="n"/>
      <c r="F12" s="24">
        <f>IF(OR(D12="",E12="",D12=0),"",IFERROR(E12/D12*100,0))</f>
        <v/>
      </c>
      <c r="G12" s="5" t="n"/>
      <c r="H12" s="5" t="n"/>
      <c r="I12" s="5" t="n"/>
      <c r="J12" s="5" t="n"/>
      <c r="K12" s="5" t="n"/>
      <c r="L12" s="28">
        <f>IF(OR(D12="",E12=""),"",D12-E12)</f>
        <v/>
      </c>
      <c r="M12" s="5">
        <f>IF(K12="","",IFERROR(COUNTIF($K$6:$K$115,K12),0))</f>
        <v/>
      </c>
      <c r="N12" s="24">
        <f>IF(H12="","",IFERROR(AVERAGEIF($H$6:$H$115,H12,$F$6:$F$115),0))</f>
        <v/>
      </c>
    </row>
    <row r="13" ht="22" customHeight="1">
      <c r="A13" s="7" t="n"/>
      <c r="B13" s="7" t="n"/>
      <c r="C13" s="7" t="n"/>
      <c r="D13" s="7" t="n"/>
      <c r="E13" s="7" t="n"/>
      <c r="F13" s="26">
        <f>IF(OR(D13="",E13="",D13=0),"",IFERROR(E13/D13*100,0))</f>
        <v/>
      </c>
      <c r="G13" s="7" t="n"/>
      <c r="H13" s="7" t="n"/>
      <c r="I13" s="7" t="n"/>
      <c r="J13" s="7" t="n"/>
      <c r="K13" s="7" t="n"/>
      <c r="L13" s="29">
        <f>IF(OR(D13="",E13=""),"",D13-E13)</f>
        <v/>
      </c>
      <c r="M13" s="7">
        <f>IF(K13="","",IFERROR(COUNTIF($K$6:$K$115,K13),0))</f>
        <v/>
      </c>
      <c r="N13" s="26">
        <f>IF(H13="","",IFERROR(AVERAGEIF($H$6:$H$115,H13,$F$6:$F$115),0))</f>
        <v/>
      </c>
    </row>
    <row r="14" ht="22" customHeight="1">
      <c r="A14" s="5" t="n"/>
      <c r="B14" s="5" t="n"/>
      <c r="C14" s="5" t="n"/>
      <c r="D14" s="5" t="n"/>
      <c r="E14" s="5" t="n"/>
      <c r="F14" s="24">
        <f>IF(OR(D14="",E14="",D14=0),"",IFERROR(E14/D14*100,0))</f>
        <v/>
      </c>
      <c r="G14" s="5" t="n"/>
      <c r="H14" s="5" t="n"/>
      <c r="I14" s="5" t="n"/>
      <c r="J14" s="5" t="n"/>
      <c r="K14" s="5" t="n"/>
      <c r="L14" s="28">
        <f>IF(OR(D14="",E14=""),"",D14-E14)</f>
        <v/>
      </c>
      <c r="M14" s="5">
        <f>IF(K14="","",IFERROR(COUNTIF($K$6:$K$115,K14),0))</f>
        <v/>
      </c>
      <c r="N14" s="24">
        <f>IF(H14="","",IFERROR(AVERAGEIF($H$6:$H$115,H14,$F$6:$F$115),0))</f>
        <v/>
      </c>
    </row>
    <row r="15" ht="22" customHeight="1">
      <c r="A15" s="7" t="n"/>
      <c r="B15" s="7" t="n"/>
      <c r="C15" s="7" t="n"/>
      <c r="D15" s="7" t="n"/>
      <c r="E15" s="7" t="n"/>
      <c r="F15" s="26">
        <f>IF(OR(D15="",E15="",D15=0),"",IFERROR(E15/D15*100,0))</f>
        <v/>
      </c>
      <c r="G15" s="7" t="n"/>
      <c r="H15" s="7" t="n"/>
      <c r="I15" s="7" t="n"/>
      <c r="J15" s="7" t="n"/>
      <c r="K15" s="7" t="n"/>
      <c r="L15" s="29">
        <f>IF(OR(D15="",E15=""),"",D15-E15)</f>
        <v/>
      </c>
      <c r="M15" s="7">
        <f>IF(K15="","",IFERROR(COUNTIF($K$6:$K$115,K15),0))</f>
        <v/>
      </c>
      <c r="N15" s="26">
        <f>IF(H15="","",IFERROR(AVERAGEIF($H$6:$H$115,H15,$F$6:$F$115),0))</f>
        <v/>
      </c>
    </row>
    <row r="16" ht="22" customHeight="1">
      <c r="A16" s="5" t="n"/>
      <c r="B16" s="5" t="n"/>
      <c r="C16" s="5" t="n"/>
      <c r="D16" s="5" t="n"/>
      <c r="E16" s="5" t="n"/>
      <c r="F16" s="24">
        <f>IF(OR(D16="",E16="",D16=0),"",IFERROR(E16/D16*100,0))</f>
        <v/>
      </c>
      <c r="G16" s="5" t="n"/>
      <c r="H16" s="5" t="n"/>
      <c r="I16" s="5" t="n"/>
      <c r="J16" s="5" t="n"/>
      <c r="K16" s="5" t="n"/>
      <c r="L16" s="28">
        <f>IF(OR(D16="",E16=""),"",D16-E16)</f>
        <v/>
      </c>
      <c r="M16" s="5">
        <f>IF(K16="","",IFERROR(COUNTIF($K$6:$K$115,K16),0))</f>
        <v/>
      </c>
      <c r="N16" s="24">
        <f>IF(H16="","",IFERROR(AVERAGEIF($H$6:$H$115,H16,$F$6:$F$115),0))</f>
        <v/>
      </c>
    </row>
    <row r="17" ht="22" customHeight="1">
      <c r="A17" s="7" t="n"/>
      <c r="B17" s="7" t="n"/>
      <c r="C17" s="7" t="n"/>
      <c r="D17" s="7" t="n"/>
      <c r="E17" s="7" t="n"/>
      <c r="F17" s="26">
        <f>IF(OR(D17="",E17="",D17=0),"",IFERROR(E17/D17*100,0))</f>
        <v/>
      </c>
      <c r="G17" s="7" t="n"/>
      <c r="H17" s="7" t="n"/>
      <c r="I17" s="7" t="n"/>
      <c r="J17" s="7" t="n"/>
      <c r="K17" s="7" t="n"/>
      <c r="L17" s="29">
        <f>IF(OR(D17="",E17=""),"",D17-E17)</f>
        <v/>
      </c>
      <c r="M17" s="7">
        <f>IF(K17="","",IFERROR(COUNTIF($K$6:$K$115,K17),0))</f>
        <v/>
      </c>
      <c r="N17" s="26">
        <f>IF(H17="","",IFERROR(AVERAGEIF($H$6:$H$115,H17,$F$6:$F$115),0))</f>
        <v/>
      </c>
    </row>
    <row r="18" ht="22" customHeight="1">
      <c r="A18" s="5" t="n"/>
      <c r="B18" s="5" t="n"/>
      <c r="C18" s="5" t="n"/>
      <c r="D18" s="5" t="n"/>
      <c r="E18" s="5" t="n"/>
      <c r="F18" s="24">
        <f>IF(OR(D18="",E18="",D18=0),"",IFERROR(E18/D18*100,0))</f>
        <v/>
      </c>
      <c r="G18" s="5" t="n"/>
      <c r="H18" s="5" t="n"/>
      <c r="I18" s="5" t="n"/>
      <c r="J18" s="5" t="n"/>
      <c r="K18" s="5" t="n"/>
      <c r="L18" s="28">
        <f>IF(OR(D18="",E18=""),"",D18-E18)</f>
        <v/>
      </c>
      <c r="M18" s="5">
        <f>IF(K18="","",IFERROR(COUNTIF($K$6:$K$115,K18),0))</f>
        <v/>
      </c>
      <c r="N18" s="24">
        <f>IF(H18="","",IFERROR(AVERAGEIF($H$6:$H$115,H18,$F$6:$F$115),0))</f>
        <v/>
      </c>
    </row>
    <row r="19" ht="22" customHeight="1">
      <c r="A19" s="7" t="n"/>
      <c r="B19" s="7" t="n"/>
      <c r="C19" s="7" t="n"/>
      <c r="D19" s="7" t="n"/>
      <c r="E19" s="7" t="n"/>
      <c r="F19" s="26">
        <f>IF(OR(D19="",E19="",D19=0),"",IFERROR(E19/D19*100,0))</f>
        <v/>
      </c>
      <c r="G19" s="7" t="n"/>
      <c r="H19" s="7" t="n"/>
      <c r="I19" s="7" t="n"/>
      <c r="J19" s="7" t="n"/>
      <c r="K19" s="7" t="n"/>
      <c r="L19" s="29">
        <f>IF(OR(D19="",E19=""),"",D19-E19)</f>
        <v/>
      </c>
      <c r="M19" s="7">
        <f>IF(K19="","",IFERROR(COUNTIF($K$6:$K$115,K19),0))</f>
        <v/>
      </c>
      <c r="N19" s="26">
        <f>IF(H19="","",IFERROR(AVERAGEIF($H$6:$H$115,H19,$F$6:$F$115),0))</f>
        <v/>
      </c>
    </row>
    <row r="20" ht="22" customHeight="1">
      <c r="A20" s="5" t="n"/>
      <c r="B20" s="5" t="n"/>
      <c r="C20" s="5" t="n"/>
      <c r="D20" s="5" t="n"/>
      <c r="E20" s="5" t="n"/>
      <c r="F20" s="24">
        <f>IF(OR(D20="",E20="",D20=0),"",IFERROR(E20/D20*100,0))</f>
        <v/>
      </c>
      <c r="G20" s="5" t="n"/>
      <c r="H20" s="5" t="n"/>
      <c r="I20" s="5" t="n"/>
      <c r="J20" s="5" t="n"/>
      <c r="K20" s="5" t="n"/>
      <c r="L20" s="28">
        <f>IF(OR(D20="",E20=""),"",D20-E20)</f>
        <v/>
      </c>
      <c r="M20" s="5">
        <f>IF(K20="","",IFERROR(COUNTIF($K$6:$K$115,K20),0))</f>
        <v/>
      </c>
      <c r="N20" s="24">
        <f>IF(H20="","",IFERROR(AVERAGEIF($H$6:$H$115,H20,$F$6:$F$115),0))</f>
        <v/>
      </c>
    </row>
    <row r="21" ht="22" customHeight="1">
      <c r="A21" s="7" t="n"/>
      <c r="B21" s="7" t="n"/>
      <c r="C21" s="7" t="n"/>
      <c r="D21" s="7" t="n"/>
      <c r="E21" s="7" t="n"/>
      <c r="F21" s="26">
        <f>IF(OR(D21="",E21="",D21=0),"",IFERROR(E21/D21*100,0))</f>
        <v/>
      </c>
      <c r="G21" s="7" t="n"/>
      <c r="H21" s="7" t="n"/>
      <c r="I21" s="7" t="n"/>
      <c r="J21" s="7" t="n"/>
      <c r="K21" s="7" t="n"/>
      <c r="L21" s="29">
        <f>IF(OR(D21="",E21=""),"",D21-E21)</f>
        <v/>
      </c>
      <c r="M21" s="7">
        <f>IF(K21="","",IFERROR(COUNTIF($K$6:$K$115,K21),0))</f>
        <v/>
      </c>
      <c r="N21" s="26">
        <f>IF(H21="","",IFERROR(AVERAGEIF($H$6:$H$115,H21,$F$6:$F$115),0))</f>
        <v/>
      </c>
    </row>
    <row r="22" ht="22" customHeight="1">
      <c r="A22" s="5" t="n"/>
      <c r="B22" s="5" t="n"/>
      <c r="C22" s="5" t="n"/>
      <c r="D22" s="5" t="n"/>
      <c r="E22" s="5" t="n"/>
      <c r="F22" s="24">
        <f>IF(OR(D22="",E22="",D22=0),"",IFERROR(E22/D22*100,0))</f>
        <v/>
      </c>
      <c r="G22" s="5" t="n"/>
      <c r="H22" s="5" t="n"/>
      <c r="I22" s="5" t="n"/>
      <c r="J22" s="5" t="n"/>
      <c r="K22" s="5" t="n"/>
      <c r="L22" s="28">
        <f>IF(OR(D22="",E22=""),"",D22-E22)</f>
        <v/>
      </c>
      <c r="M22" s="5">
        <f>IF(K22="","",IFERROR(COUNTIF($K$6:$K$115,K22),0))</f>
        <v/>
      </c>
      <c r="N22" s="24">
        <f>IF(H22="","",IFERROR(AVERAGEIF($H$6:$H$115,H22,$F$6:$F$115),0))</f>
        <v/>
      </c>
    </row>
    <row r="23" ht="22" customHeight="1">
      <c r="A23" s="7" t="n"/>
      <c r="B23" s="7" t="n"/>
      <c r="C23" s="7" t="n"/>
      <c r="D23" s="7" t="n"/>
      <c r="E23" s="7" t="n"/>
      <c r="F23" s="26">
        <f>IF(OR(D23="",E23="",D23=0),"",IFERROR(E23/D23*100,0))</f>
        <v/>
      </c>
      <c r="G23" s="7" t="n"/>
      <c r="H23" s="7" t="n"/>
      <c r="I23" s="7" t="n"/>
      <c r="J23" s="7" t="n"/>
      <c r="K23" s="7" t="n"/>
      <c r="L23" s="29">
        <f>IF(OR(D23="",E23=""),"",D23-E23)</f>
        <v/>
      </c>
      <c r="M23" s="7">
        <f>IF(K23="","",IFERROR(COUNTIF($K$6:$K$115,K23),0))</f>
        <v/>
      </c>
      <c r="N23" s="26">
        <f>IF(H23="","",IFERROR(AVERAGEIF($H$6:$H$115,H23,$F$6:$F$115),0))</f>
        <v/>
      </c>
    </row>
    <row r="24" ht="22" customHeight="1">
      <c r="A24" s="5" t="n"/>
      <c r="B24" s="5" t="n"/>
      <c r="C24" s="5" t="n"/>
      <c r="D24" s="5" t="n"/>
      <c r="E24" s="5" t="n"/>
      <c r="F24" s="24">
        <f>IF(OR(D24="",E24="",D24=0),"",IFERROR(E24/D24*100,0))</f>
        <v/>
      </c>
      <c r="G24" s="5" t="n"/>
      <c r="H24" s="5" t="n"/>
      <c r="I24" s="5" t="n"/>
      <c r="J24" s="5" t="n"/>
      <c r="K24" s="5" t="n"/>
      <c r="L24" s="28">
        <f>IF(OR(D24="",E24=""),"",D24-E24)</f>
        <v/>
      </c>
      <c r="M24" s="5">
        <f>IF(K24="","",IFERROR(COUNTIF($K$6:$K$115,K24),0))</f>
        <v/>
      </c>
      <c r="N24" s="24">
        <f>IF(H24="","",IFERROR(AVERAGEIF($H$6:$H$115,H24,$F$6:$F$115),0))</f>
        <v/>
      </c>
    </row>
    <row r="25" ht="22" customHeight="1">
      <c r="A25" s="7" t="n"/>
      <c r="B25" s="7" t="n"/>
      <c r="C25" s="7" t="n"/>
      <c r="D25" s="7" t="n"/>
      <c r="E25" s="7" t="n"/>
      <c r="F25" s="26">
        <f>IF(OR(D25="",E25="",D25=0),"",IFERROR(E25/D25*100,0))</f>
        <v/>
      </c>
      <c r="G25" s="7" t="n"/>
      <c r="H25" s="7" t="n"/>
      <c r="I25" s="7" t="n"/>
      <c r="J25" s="7" t="n"/>
      <c r="K25" s="7" t="n"/>
      <c r="L25" s="29">
        <f>IF(OR(D25="",E25=""),"",D25-E25)</f>
        <v/>
      </c>
      <c r="M25" s="7">
        <f>IF(K25="","",IFERROR(COUNTIF($K$6:$K$115,K25),0))</f>
        <v/>
      </c>
      <c r="N25" s="26">
        <f>IF(H25="","",IFERROR(AVERAGEIF($H$6:$H$115,H25,$F$6:$F$115),0))</f>
        <v/>
      </c>
    </row>
    <row r="26" ht="22" customHeight="1">
      <c r="A26" s="5" t="n"/>
      <c r="B26" s="5" t="n"/>
      <c r="C26" s="5" t="n"/>
      <c r="D26" s="5" t="n"/>
      <c r="E26" s="5" t="n"/>
      <c r="F26" s="24">
        <f>IF(OR(D26="",E26="",D26=0),"",IFERROR(E26/D26*100,0))</f>
        <v/>
      </c>
      <c r="G26" s="5" t="n"/>
      <c r="H26" s="5" t="n"/>
      <c r="I26" s="5" t="n"/>
      <c r="J26" s="5" t="n"/>
      <c r="K26" s="5" t="n"/>
      <c r="L26" s="28">
        <f>IF(OR(D26="",E26=""),"",D26-E26)</f>
        <v/>
      </c>
      <c r="M26" s="5">
        <f>IF(K26="","",IFERROR(COUNTIF($K$6:$K$115,K26),0))</f>
        <v/>
      </c>
      <c r="N26" s="24">
        <f>IF(H26="","",IFERROR(AVERAGEIF($H$6:$H$115,H26,$F$6:$F$115),0))</f>
        <v/>
      </c>
    </row>
    <row r="27" ht="22" customHeight="1">
      <c r="A27" s="7" t="n"/>
      <c r="B27" s="7" t="n"/>
      <c r="C27" s="7" t="n"/>
      <c r="D27" s="7" t="n"/>
      <c r="E27" s="7" t="n"/>
      <c r="F27" s="26">
        <f>IF(OR(D27="",E27="",D27=0),"",IFERROR(E27/D27*100,0))</f>
        <v/>
      </c>
      <c r="G27" s="7" t="n"/>
      <c r="H27" s="7" t="n"/>
      <c r="I27" s="7" t="n"/>
      <c r="J27" s="7" t="n"/>
      <c r="K27" s="7" t="n"/>
      <c r="L27" s="29">
        <f>IF(OR(D27="",E27=""),"",D27-E27)</f>
        <v/>
      </c>
      <c r="M27" s="7">
        <f>IF(K27="","",IFERROR(COUNTIF($K$6:$K$115,K27),0))</f>
        <v/>
      </c>
      <c r="N27" s="26">
        <f>IF(H27="","",IFERROR(AVERAGEIF($H$6:$H$115,H27,$F$6:$F$115),0))</f>
        <v/>
      </c>
    </row>
    <row r="28" ht="22" customHeight="1">
      <c r="A28" s="5" t="n"/>
      <c r="B28" s="5" t="n"/>
      <c r="C28" s="5" t="n"/>
      <c r="D28" s="5" t="n"/>
      <c r="E28" s="5" t="n"/>
      <c r="F28" s="24">
        <f>IF(OR(D28="",E28="",D28=0),"",IFERROR(E28/D28*100,0))</f>
        <v/>
      </c>
      <c r="G28" s="5" t="n"/>
      <c r="H28" s="5" t="n"/>
      <c r="I28" s="5" t="n"/>
      <c r="J28" s="5" t="n"/>
      <c r="K28" s="5" t="n"/>
      <c r="L28" s="28">
        <f>IF(OR(D28="",E28=""),"",D28-E28)</f>
        <v/>
      </c>
      <c r="M28" s="5">
        <f>IF(K28="","",IFERROR(COUNTIF($K$6:$K$115,K28),0))</f>
        <v/>
      </c>
      <c r="N28" s="24">
        <f>IF(H28="","",IFERROR(AVERAGEIF($H$6:$H$115,H28,$F$6:$F$115),0))</f>
        <v/>
      </c>
    </row>
    <row r="29" ht="22" customHeight="1">
      <c r="A29" s="7" t="n"/>
      <c r="B29" s="7" t="n"/>
      <c r="C29" s="7" t="n"/>
      <c r="D29" s="7" t="n"/>
      <c r="E29" s="7" t="n"/>
      <c r="F29" s="26">
        <f>IF(OR(D29="",E29="",D29=0),"",IFERROR(E29/D29*100,0))</f>
        <v/>
      </c>
      <c r="G29" s="7" t="n"/>
      <c r="H29" s="7" t="n"/>
      <c r="I29" s="7" t="n"/>
      <c r="J29" s="7" t="n"/>
      <c r="K29" s="7" t="n"/>
      <c r="L29" s="29">
        <f>IF(OR(D29="",E29=""),"",D29-E29)</f>
        <v/>
      </c>
      <c r="M29" s="7">
        <f>IF(K29="","",IFERROR(COUNTIF($K$6:$K$115,K29),0))</f>
        <v/>
      </c>
      <c r="N29" s="26">
        <f>IF(H29="","",IFERROR(AVERAGEIF($H$6:$H$115,H29,$F$6:$F$115),0))</f>
        <v/>
      </c>
    </row>
    <row r="30" ht="22" customHeight="1">
      <c r="A30" s="5" t="n"/>
      <c r="B30" s="5" t="n"/>
      <c r="C30" s="5" t="n"/>
      <c r="D30" s="5" t="n"/>
      <c r="E30" s="5" t="n"/>
      <c r="F30" s="24">
        <f>IF(OR(D30="",E30="",D30=0),"",IFERROR(E30/D30*100,0))</f>
        <v/>
      </c>
      <c r="G30" s="5" t="n"/>
      <c r="H30" s="5" t="n"/>
      <c r="I30" s="5" t="n"/>
      <c r="J30" s="5" t="n"/>
      <c r="K30" s="5" t="n"/>
      <c r="L30" s="28">
        <f>IF(OR(D30="",E30=""),"",D30-E30)</f>
        <v/>
      </c>
      <c r="M30" s="5">
        <f>IF(K30="","",IFERROR(COUNTIF($K$6:$K$115,K30),0))</f>
        <v/>
      </c>
      <c r="N30" s="24">
        <f>IF(H30="","",IFERROR(AVERAGEIF($H$6:$H$115,H30,$F$6:$F$115),0))</f>
        <v/>
      </c>
    </row>
    <row r="31" ht="22" customHeight="1">
      <c r="A31" s="7" t="n"/>
      <c r="B31" s="7" t="n"/>
      <c r="C31" s="7" t="n"/>
      <c r="D31" s="7" t="n"/>
      <c r="E31" s="7" t="n"/>
      <c r="F31" s="26">
        <f>IF(OR(D31="",E31="",D31=0),"",IFERROR(E31/D31*100,0))</f>
        <v/>
      </c>
      <c r="G31" s="7" t="n"/>
      <c r="H31" s="7" t="n"/>
      <c r="I31" s="7" t="n"/>
      <c r="J31" s="7" t="n"/>
      <c r="K31" s="7" t="n"/>
      <c r="L31" s="29">
        <f>IF(OR(D31="",E31=""),"",D31-E31)</f>
        <v/>
      </c>
      <c r="M31" s="7">
        <f>IF(K31="","",IFERROR(COUNTIF($K$6:$K$115,K31),0))</f>
        <v/>
      </c>
      <c r="N31" s="26">
        <f>IF(H31="","",IFERROR(AVERAGEIF($H$6:$H$115,H31,$F$6:$F$115),0))</f>
        <v/>
      </c>
    </row>
    <row r="32" ht="22" customHeight="1">
      <c r="A32" s="5" t="n"/>
      <c r="B32" s="5" t="n"/>
      <c r="C32" s="5" t="n"/>
      <c r="D32" s="5" t="n"/>
      <c r="E32" s="5" t="n"/>
      <c r="F32" s="24">
        <f>IF(OR(D32="",E32="",D32=0),"",IFERROR(E32/D32*100,0))</f>
        <v/>
      </c>
      <c r="G32" s="5" t="n"/>
      <c r="H32" s="5" t="n"/>
      <c r="I32" s="5" t="n"/>
      <c r="J32" s="5" t="n"/>
      <c r="K32" s="5" t="n"/>
      <c r="L32" s="28">
        <f>IF(OR(D32="",E32=""),"",D32-E32)</f>
        <v/>
      </c>
      <c r="M32" s="5">
        <f>IF(K32="","",IFERROR(COUNTIF($K$6:$K$115,K32),0))</f>
        <v/>
      </c>
      <c r="N32" s="24">
        <f>IF(H32="","",IFERROR(AVERAGEIF($H$6:$H$115,H32,$F$6:$F$115),0))</f>
        <v/>
      </c>
    </row>
    <row r="33" ht="22" customHeight="1">
      <c r="A33" s="7" t="n"/>
      <c r="B33" s="7" t="n"/>
      <c r="C33" s="7" t="n"/>
      <c r="D33" s="7" t="n"/>
      <c r="E33" s="7" t="n"/>
      <c r="F33" s="26">
        <f>IF(OR(D33="",E33="",D33=0),"",IFERROR(E33/D33*100,0))</f>
        <v/>
      </c>
      <c r="G33" s="7" t="n"/>
      <c r="H33" s="7" t="n"/>
      <c r="I33" s="7" t="n"/>
      <c r="J33" s="7" t="n"/>
      <c r="K33" s="7" t="n"/>
      <c r="L33" s="29">
        <f>IF(OR(D33="",E33=""),"",D33-E33)</f>
        <v/>
      </c>
      <c r="M33" s="7">
        <f>IF(K33="","",IFERROR(COUNTIF($K$6:$K$115,K33),0))</f>
        <v/>
      </c>
      <c r="N33" s="26">
        <f>IF(H33="","",IFERROR(AVERAGEIF($H$6:$H$115,H33,$F$6:$F$115),0))</f>
        <v/>
      </c>
    </row>
    <row r="34" ht="22" customHeight="1">
      <c r="A34" s="5" t="n"/>
      <c r="B34" s="5" t="n"/>
      <c r="C34" s="5" t="n"/>
      <c r="D34" s="5" t="n"/>
      <c r="E34" s="5" t="n"/>
      <c r="F34" s="24">
        <f>IF(OR(D34="",E34="",D34=0),"",IFERROR(E34/D34*100,0))</f>
        <v/>
      </c>
      <c r="G34" s="5" t="n"/>
      <c r="H34" s="5" t="n"/>
      <c r="I34" s="5" t="n"/>
      <c r="J34" s="5" t="n"/>
      <c r="K34" s="5" t="n"/>
      <c r="L34" s="28">
        <f>IF(OR(D34="",E34=""),"",D34-E34)</f>
        <v/>
      </c>
      <c r="M34" s="5">
        <f>IF(K34="","",IFERROR(COUNTIF($K$6:$K$115,K34),0))</f>
        <v/>
      </c>
      <c r="N34" s="24">
        <f>IF(H34="","",IFERROR(AVERAGEIF($H$6:$H$115,H34,$F$6:$F$115),0))</f>
        <v/>
      </c>
    </row>
    <row r="35" ht="22" customHeight="1">
      <c r="A35" s="7" t="n"/>
      <c r="B35" s="7" t="n"/>
      <c r="C35" s="7" t="n"/>
      <c r="D35" s="7" t="n"/>
      <c r="E35" s="7" t="n"/>
      <c r="F35" s="26">
        <f>IF(OR(D35="",E35="",D35=0),"",IFERROR(E35/D35*100,0))</f>
        <v/>
      </c>
      <c r="G35" s="7" t="n"/>
      <c r="H35" s="7" t="n"/>
      <c r="I35" s="7" t="n"/>
      <c r="J35" s="7" t="n"/>
      <c r="K35" s="7" t="n"/>
      <c r="L35" s="29">
        <f>IF(OR(D35="",E35=""),"",D35-E35)</f>
        <v/>
      </c>
      <c r="M35" s="7">
        <f>IF(K35="","",IFERROR(COUNTIF($K$6:$K$115,K35),0))</f>
        <v/>
      </c>
      <c r="N35" s="26">
        <f>IF(H35="","",IFERROR(AVERAGEIF($H$6:$H$115,H35,$F$6:$F$115),0))</f>
        <v/>
      </c>
    </row>
    <row r="36" ht="22" customHeight="1">
      <c r="A36" s="5" t="n"/>
      <c r="B36" s="5" t="n"/>
      <c r="C36" s="5" t="n"/>
      <c r="D36" s="5" t="n"/>
      <c r="E36" s="5" t="n"/>
      <c r="F36" s="24">
        <f>IF(OR(D36="",E36="",D36=0),"",IFERROR(E36/D36*100,0))</f>
        <v/>
      </c>
      <c r="G36" s="5" t="n"/>
      <c r="H36" s="5" t="n"/>
      <c r="I36" s="5" t="n"/>
      <c r="J36" s="5" t="n"/>
      <c r="K36" s="5" t="n"/>
      <c r="L36" s="28">
        <f>IF(OR(D36="",E36=""),"",D36-E36)</f>
        <v/>
      </c>
      <c r="M36" s="5">
        <f>IF(K36="","",IFERROR(COUNTIF($K$6:$K$115,K36),0))</f>
        <v/>
      </c>
      <c r="N36" s="24">
        <f>IF(H36="","",IFERROR(AVERAGEIF($H$6:$H$115,H36,$F$6:$F$115),0))</f>
        <v/>
      </c>
    </row>
    <row r="37" ht="22" customHeight="1">
      <c r="A37" s="7" t="n"/>
      <c r="B37" s="7" t="n"/>
      <c r="C37" s="7" t="n"/>
      <c r="D37" s="7" t="n"/>
      <c r="E37" s="7" t="n"/>
      <c r="F37" s="26">
        <f>IF(OR(D37="",E37="",D37=0),"",IFERROR(E37/D37*100,0))</f>
        <v/>
      </c>
      <c r="G37" s="7" t="n"/>
      <c r="H37" s="7" t="n"/>
      <c r="I37" s="7" t="n"/>
      <c r="J37" s="7" t="n"/>
      <c r="K37" s="7" t="n"/>
      <c r="L37" s="29">
        <f>IF(OR(D37="",E37=""),"",D37-E37)</f>
        <v/>
      </c>
      <c r="M37" s="7">
        <f>IF(K37="","",IFERROR(COUNTIF($K$6:$K$115,K37),0))</f>
        <v/>
      </c>
      <c r="N37" s="26">
        <f>IF(H37="","",IFERROR(AVERAGEIF($H$6:$H$115,H37,$F$6:$F$115),0))</f>
        <v/>
      </c>
    </row>
    <row r="38" ht="22" customHeight="1">
      <c r="A38" s="5" t="n"/>
      <c r="B38" s="5" t="n"/>
      <c r="C38" s="5" t="n"/>
      <c r="D38" s="5" t="n"/>
      <c r="E38" s="5" t="n"/>
      <c r="F38" s="24">
        <f>IF(OR(D38="",E38="",D38=0),"",IFERROR(E38/D38*100,0))</f>
        <v/>
      </c>
      <c r="G38" s="5" t="n"/>
      <c r="H38" s="5" t="n"/>
      <c r="I38" s="5" t="n"/>
      <c r="J38" s="5" t="n"/>
      <c r="K38" s="5" t="n"/>
      <c r="L38" s="28">
        <f>IF(OR(D38="",E38=""),"",D38-E38)</f>
        <v/>
      </c>
      <c r="M38" s="5">
        <f>IF(K38="","",IFERROR(COUNTIF($K$6:$K$115,K38),0))</f>
        <v/>
      </c>
      <c r="N38" s="24">
        <f>IF(H38="","",IFERROR(AVERAGEIF($H$6:$H$115,H38,$F$6:$F$115),0))</f>
        <v/>
      </c>
    </row>
    <row r="39" ht="22" customHeight="1">
      <c r="A39" s="7" t="n"/>
      <c r="B39" s="7" t="n"/>
      <c r="C39" s="7" t="n"/>
      <c r="D39" s="7" t="n"/>
      <c r="E39" s="7" t="n"/>
      <c r="F39" s="26">
        <f>IF(OR(D39="",E39="",D39=0),"",IFERROR(E39/D39*100,0))</f>
        <v/>
      </c>
      <c r="G39" s="7" t="n"/>
      <c r="H39" s="7" t="n"/>
      <c r="I39" s="7" t="n"/>
      <c r="J39" s="7" t="n"/>
      <c r="K39" s="7" t="n"/>
      <c r="L39" s="29">
        <f>IF(OR(D39="",E39=""),"",D39-E39)</f>
        <v/>
      </c>
      <c r="M39" s="7">
        <f>IF(K39="","",IFERROR(COUNTIF($K$6:$K$115,K39),0))</f>
        <v/>
      </c>
      <c r="N39" s="26">
        <f>IF(H39="","",IFERROR(AVERAGEIF($H$6:$H$115,H39,$F$6:$F$115),0))</f>
        <v/>
      </c>
    </row>
    <row r="40" ht="22" customHeight="1">
      <c r="A40" s="5" t="n"/>
      <c r="B40" s="5" t="n"/>
      <c r="C40" s="5" t="n"/>
      <c r="D40" s="5" t="n"/>
      <c r="E40" s="5" t="n"/>
      <c r="F40" s="24">
        <f>IF(OR(D40="",E40="",D40=0),"",IFERROR(E40/D40*100,0))</f>
        <v/>
      </c>
      <c r="G40" s="5" t="n"/>
      <c r="H40" s="5" t="n"/>
      <c r="I40" s="5" t="n"/>
      <c r="J40" s="5" t="n"/>
      <c r="K40" s="5" t="n"/>
      <c r="L40" s="28">
        <f>IF(OR(D40="",E40=""),"",D40-E40)</f>
        <v/>
      </c>
      <c r="M40" s="5">
        <f>IF(K40="","",IFERROR(COUNTIF($K$6:$K$115,K40),0))</f>
        <v/>
      </c>
      <c r="N40" s="24">
        <f>IF(H40="","",IFERROR(AVERAGEIF($H$6:$H$115,H40,$F$6:$F$115),0))</f>
        <v/>
      </c>
    </row>
    <row r="41" ht="22" customHeight="1">
      <c r="A41" s="7" t="n"/>
      <c r="B41" s="7" t="n"/>
      <c r="C41" s="7" t="n"/>
      <c r="D41" s="7" t="n"/>
      <c r="E41" s="7" t="n"/>
      <c r="F41" s="26">
        <f>IF(OR(D41="",E41="",D41=0),"",IFERROR(E41/D41*100,0))</f>
        <v/>
      </c>
      <c r="G41" s="7" t="n"/>
      <c r="H41" s="7" t="n"/>
      <c r="I41" s="7" t="n"/>
      <c r="J41" s="7" t="n"/>
      <c r="K41" s="7" t="n"/>
      <c r="L41" s="29">
        <f>IF(OR(D41="",E41=""),"",D41-E41)</f>
        <v/>
      </c>
      <c r="M41" s="7">
        <f>IF(K41="","",IFERROR(COUNTIF($K$6:$K$115,K41),0))</f>
        <v/>
      </c>
      <c r="N41" s="26">
        <f>IF(H41="","",IFERROR(AVERAGEIF($H$6:$H$115,H41,$F$6:$F$115),0))</f>
        <v/>
      </c>
    </row>
    <row r="42" ht="22" customHeight="1">
      <c r="A42" s="5" t="n"/>
      <c r="B42" s="5" t="n"/>
      <c r="C42" s="5" t="n"/>
      <c r="D42" s="5" t="n"/>
      <c r="E42" s="5" t="n"/>
      <c r="F42" s="24">
        <f>IF(OR(D42="",E42="",D42=0),"",IFERROR(E42/D42*100,0))</f>
        <v/>
      </c>
      <c r="G42" s="5" t="n"/>
      <c r="H42" s="5" t="n"/>
      <c r="I42" s="5" t="n"/>
      <c r="J42" s="5" t="n"/>
      <c r="K42" s="5" t="n"/>
      <c r="L42" s="28">
        <f>IF(OR(D42="",E42=""),"",D42-E42)</f>
        <v/>
      </c>
      <c r="M42" s="5">
        <f>IF(K42="","",IFERROR(COUNTIF($K$6:$K$115,K42),0))</f>
        <v/>
      </c>
      <c r="N42" s="24">
        <f>IF(H42="","",IFERROR(AVERAGEIF($H$6:$H$115,H42,$F$6:$F$115),0))</f>
        <v/>
      </c>
    </row>
    <row r="43" ht="22" customHeight="1">
      <c r="A43" s="7" t="n"/>
      <c r="B43" s="7" t="n"/>
      <c r="C43" s="7" t="n"/>
      <c r="D43" s="7" t="n"/>
      <c r="E43" s="7" t="n"/>
      <c r="F43" s="26">
        <f>IF(OR(D43="",E43="",D43=0),"",IFERROR(E43/D43*100,0))</f>
        <v/>
      </c>
      <c r="G43" s="7" t="n"/>
      <c r="H43" s="7" t="n"/>
      <c r="I43" s="7" t="n"/>
      <c r="J43" s="7" t="n"/>
      <c r="K43" s="7" t="n"/>
      <c r="L43" s="29">
        <f>IF(OR(D43="",E43=""),"",D43-E43)</f>
        <v/>
      </c>
      <c r="M43" s="7">
        <f>IF(K43="","",IFERROR(COUNTIF($K$6:$K$115,K43),0))</f>
        <v/>
      </c>
      <c r="N43" s="26">
        <f>IF(H43="","",IFERROR(AVERAGEIF($H$6:$H$115,H43,$F$6:$F$115),0))</f>
        <v/>
      </c>
    </row>
    <row r="44" ht="22" customHeight="1">
      <c r="A44" s="5" t="n"/>
      <c r="B44" s="5" t="n"/>
      <c r="C44" s="5" t="n"/>
      <c r="D44" s="5" t="n"/>
      <c r="E44" s="5" t="n"/>
      <c r="F44" s="24">
        <f>IF(OR(D44="",E44="",D44=0),"",IFERROR(E44/D44*100,0))</f>
        <v/>
      </c>
      <c r="G44" s="5" t="n"/>
      <c r="H44" s="5" t="n"/>
      <c r="I44" s="5" t="n"/>
      <c r="J44" s="5" t="n"/>
      <c r="K44" s="5" t="n"/>
      <c r="L44" s="28">
        <f>IF(OR(D44="",E44=""),"",D44-E44)</f>
        <v/>
      </c>
      <c r="M44" s="5">
        <f>IF(K44="","",IFERROR(COUNTIF($K$6:$K$115,K44),0))</f>
        <v/>
      </c>
      <c r="N44" s="24">
        <f>IF(H44="","",IFERROR(AVERAGEIF($H$6:$H$115,H44,$F$6:$F$115),0))</f>
        <v/>
      </c>
    </row>
    <row r="45" ht="22" customHeight="1">
      <c r="A45" s="7" t="n"/>
      <c r="B45" s="7" t="n"/>
      <c r="C45" s="7" t="n"/>
      <c r="D45" s="7" t="n"/>
      <c r="E45" s="7" t="n"/>
      <c r="F45" s="26">
        <f>IF(OR(D45="",E45="",D45=0),"",IFERROR(E45/D45*100,0))</f>
        <v/>
      </c>
      <c r="G45" s="7" t="n"/>
      <c r="H45" s="7" t="n"/>
      <c r="I45" s="7" t="n"/>
      <c r="J45" s="7" t="n"/>
      <c r="K45" s="7" t="n"/>
      <c r="L45" s="29">
        <f>IF(OR(D45="",E45=""),"",D45-E45)</f>
        <v/>
      </c>
      <c r="M45" s="7">
        <f>IF(K45="","",IFERROR(COUNTIF($K$6:$K$115,K45),0))</f>
        <v/>
      </c>
      <c r="N45" s="26">
        <f>IF(H45="","",IFERROR(AVERAGEIF($H$6:$H$115,H45,$F$6:$F$115),0))</f>
        <v/>
      </c>
    </row>
    <row r="46" ht="22" customHeight="1">
      <c r="A46" s="5" t="n"/>
      <c r="B46" s="5" t="n"/>
      <c r="C46" s="5" t="n"/>
      <c r="D46" s="5" t="n"/>
      <c r="E46" s="5" t="n"/>
      <c r="F46" s="24">
        <f>IF(OR(D46="",E46="",D46=0),"",IFERROR(E46/D46*100,0))</f>
        <v/>
      </c>
      <c r="G46" s="5" t="n"/>
      <c r="H46" s="5" t="n"/>
      <c r="I46" s="5" t="n"/>
      <c r="J46" s="5" t="n"/>
      <c r="K46" s="5" t="n"/>
      <c r="L46" s="28">
        <f>IF(OR(D46="",E46=""),"",D46-E46)</f>
        <v/>
      </c>
      <c r="M46" s="5">
        <f>IF(K46="","",IFERROR(COUNTIF($K$6:$K$115,K46),0))</f>
        <v/>
      </c>
      <c r="N46" s="24">
        <f>IF(H46="","",IFERROR(AVERAGEIF($H$6:$H$115,H46,$F$6:$F$115),0))</f>
        <v/>
      </c>
    </row>
    <row r="47" ht="22" customHeight="1">
      <c r="A47" s="7" t="n"/>
      <c r="B47" s="7" t="n"/>
      <c r="C47" s="7" t="n"/>
      <c r="D47" s="7" t="n"/>
      <c r="E47" s="7" t="n"/>
      <c r="F47" s="26">
        <f>IF(OR(D47="",E47="",D47=0),"",IFERROR(E47/D47*100,0))</f>
        <v/>
      </c>
      <c r="G47" s="7" t="n"/>
      <c r="H47" s="7" t="n"/>
      <c r="I47" s="7" t="n"/>
      <c r="J47" s="7" t="n"/>
      <c r="K47" s="7" t="n"/>
      <c r="L47" s="29">
        <f>IF(OR(D47="",E47=""),"",D47-E47)</f>
        <v/>
      </c>
      <c r="M47" s="7">
        <f>IF(K47="","",IFERROR(COUNTIF($K$6:$K$115,K47),0))</f>
        <v/>
      </c>
      <c r="N47" s="26">
        <f>IF(H47="","",IFERROR(AVERAGEIF($H$6:$H$115,H47,$F$6:$F$115),0))</f>
        <v/>
      </c>
    </row>
    <row r="48" ht="22" customHeight="1">
      <c r="A48" s="5" t="n"/>
      <c r="B48" s="5" t="n"/>
      <c r="C48" s="5" t="n"/>
      <c r="D48" s="5" t="n"/>
      <c r="E48" s="5" t="n"/>
      <c r="F48" s="24">
        <f>IF(OR(D48="",E48="",D48=0),"",IFERROR(E48/D48*100,0))</f>
        <v/>
      </c>
      <c r="G48" s="5" t="n"/>
      <c r="H48" s="5" t="n"/>
      <c r="I48" s="5" t="n"/>
      <c r="J48" s="5" t="n"/>
      <c r="K48" s="5" t="n"/>
      <c r="L48" s="28">
        <f>IF(OR(D48="",E48=""),"",D48-E48)</f>
        <v/>
      </c>
      <c r="M48" s="5">
        <f>IF(K48="","",IFERROR(COUNTIF($K$6:$K$115,K48),0))</f>
        <v/>
      </c>
      <c r="N48" s="24">
        <f>IF(H48="","",IFERROR(AVERAGEIF($H$6:$H$115,H48,$F$6:$F$115),0))</f>
        <v/>
      </c>
    </row>
    <row r="49" ht="22" customHeight="1">
      <c r="A49" s="7" t="n"/>
      <c r="B49" s="7" t="n"/>
      <c r="C49" s="7" t="n"/>
      <c r="D49" s="7" t="n"/>
      <c r="E49" s="7" t="n"/>
      <c r="F49" s="26">
        <f>IF(OR(D49="",E49="",D49=0),"",IFERROR(E49/D49*100,0))</f>
        <v/>
      </c>
      <c r="G49" s="7" t="n"/>
      <c r="H49" s="7" t="n"/>
      <c r="I49" s="7" t="n"/>
      <c r="J49" s="7" t="n"/>
      <c r="K49" s="7" t="n"/>
      <c r="L49" s="29">
        <f>IF(OR(D49="",E49=""),"",D49-E49)</f>
        <v/>
      </c>
      <c r="M49" s="7">
        <f>IF(K49="","",IFERROR(COUNTIF($K$6:$K$115,K49),0))</f>
        <v/>
      </c>
      <c r="N49" s="26">
        <f>IF(H49="","",IFERROR(AVERAGEIF($H$6:$H$115,H49,$F$6:$F$115),0))</f>
        <v/>
      </c>
    </row>
    <row r="50" ht="22" customHeight="1">
      <c r="A50" s="5" t="n"/>
      <c r="B50" s="5" t="n"/>
      <c r="C50" s="5" t="n"/>
      <c r="D50" s="5" t="n"/>
      <c r="E50" s="5" t="n"/>
      <c r="F50" s="24">
        <f>IF(OR(D50="",E50="",D50=0),"",IFERROR(E50/D50*100,0))</f>
        <v/>
      </c>
      <c r="G50" s="5" t="n"/>
      <c r="H50" s="5" t="n"/>
      <c r="I50" s="5" t="n"/>
      <c r="J50" s="5" t="n"/>
      <c r="K50" s="5" t="n"/>
      <c r="L50" s="28">
        <f>IF(OR(D50="",E50=""),"",D50-E50)</f>
        <v/>
      </c>
      <c r="M50" s="5">
        <f>IF(K50="","",IFERROR(COUNTIF($K$6:$K$115,K50),0))</f>
        <v/>
      </c>
      <c r="N50" s="24">
        <f>IF(H50="","",IFERROR(AVERAGEIF($H$6:$H$115,H50,$F$6:$F$115),0))</f>
        <v/>
      </c>
    </row>
    <row r="51" ht="22" customHeight="1">
      <c r="A51" s="7" t="n"/>
      <c r="B51" s="7" t="n"/>
      <c r="C51" s="7" t="n"/>
      <c r="D51" s="7" t="n"/>
      <c r="E51" s="7" t="n"/>
      <c r="F51" s="26">
        <f>IF(OR(D51="",E51="",D51=0),"",IFERROR(E51/D51*100,0))</f>
        <v/>
      </c>
      <c r="G51" s="7" t="n"/>
      <c r="H51" s="7" t="n"/>
      <c r="I51" s="7" t="n"/>
      <c r="J51" s="7" t="n"/>
      <c r="K51" s="7" t="n"/>
      <c r="L51" s="29">
        <f>IF(OR(D51="",E51=""),"",D51-E51)</f>
        <v/>
      </c>
      <c r="M51" s="7">
        <f>IF(K51="","",IFERROR(COUNTIF($K$6:$K$115,K51),0))</f>
        <v/>
      </c>
      <c r="N51" s="26">
        <f>IF(H51="","",IFERROR(AVERAGEIF($H$6:$H$115,H51,$F$6:$F$115),0))</f>
        <v/>
      </c>
    </row>
    <row r="52" ht="22" customHeight="1">
      <c r="A52" s="5" t="n"/>
      <c r="B52" s="5" t="n"/>
      <c r="C52" s="5" t="n"/>
      <c r="D52" s="5" t="n"/>
      <c r="E52" s="5" t="n"/>
      <c r="F52" s="24">
        <f>IF(OR(D52="",E52="",D52=0),"",IFERROR(E52/D52*100,0))</f>
        <v/>
      </c>
      <c r="G52" s="5" t="n"/>
      <c r="H52" s="5" t="n"/>
      <c r="I52" s="5" t="n"/>
      <c r="J52" s="5" t="n"/>
      <c r="K52" s="5" t="n"/>
      <c r="L52" s="28">
        <f>IF(OR(D52="",E52=""),"",D52-E52)</f>
        <v/>
      </c>
      <c r="M52" s="5">
        <f>IF(K52="","",IFERROR(COUNTIF($K$6:$K$115,K52),0))</f>
        <v/>
      </c>
      <c r="N52" s="24">
        <f>IF(H52="","",IFERROR(AVERAGEIF($H$6:$H$115,H52,$F$6:$F$115),0))</f>
        <v/>
      </c>
    </row>
    <row r="53" ht="22" customHeight="1">
      <c r="A53" s="7" t="n"/>
      <c r="B53" s="7" t="n"/>
      <c r="C53" s="7" t="n"/>
      <c r="D53" s="7" t="n"/>
      <c r="E53" s="7" t="n"/>
      <c r="F53" s="26">
        <f>IF(OR(D53="",E53="",D53=0),"",IFERROR(E53/D53*100,0))</f>
        <v/>
      </c>
      <c r="G53" s="7" t="n"/>
      <c r="H53" s="7" t="n"/>
      <c r="I53" s="7" t="n"/>
      <c r="J53" s="7" t="n"/>
      <c r="K53" s="7" t="n"/>
      <c r="L53" s="29">
        <f>IF(OR(D53="",E53=""),"",D53-E53)</f>
        <v/>
      </c>
      <c r="M53" s="7">
        <f>IF(K53="","",IFERROR(COUNTIF($K$6:$K$115,K53),0))</f>
        <v/>
      </c>
      <c r="N53" s="26">
        <f>IF(H53="","",IFERROR(AVERAGEIF($H$6:$H$115,H53,$F$6:$F$115),0))</f>
        <v/>
      </c>
    </row>
    <row r="54" ht="22" customHeight="1">
      <c r="A54" s="5" t="n"/>
      <c r="B54" s="5" t="n"/>
      <c r="C54" s="5" t="n"/>
      <c r="D54" s="5" t="n"/>
      <c r="E54" s="5" t="n"/>
      <c r="F54" s="24">
        <f>IF(OR(D54="",E54="",D54=0),"",IFERROR(E54/D54*100,0))</f>
        <v/>
      </c>
      <c r="G54" s="5" t="n"/>
      <c r="H54" s="5" t="n"/>
      <c r="I54" s="5" t="n"/>
      <c r="J54" s="5" t="n"/>
      <c r="K54" s="5" t="n"/>
      <c r="L54" s="28">
        <f>IF(OR(D54="",E54=""),"",D54-E54)</f>
        <v/>
      </c>
      <c r="M54" s="5">
        <f>IF(K54="","",IFERROR(COUNTIF($K$6:$K$115,K54),0))</f>
        <v/>
      </c>
      <c r="N54" s="24">
        <f>IF(H54="","",IFERROR(AVERAGEIF($H$6:$H$115,H54,$F$6:$F$115),0))</f>
        <v/>
      </c>
    </row>
    <row r="55" ht="22" customHeight="1">
      <c r="A55" s="7" t="n"/>
      <c r="B55" s="7" t="n"/>
      <c r="C55" s="7" t="n"/>
      <c r="D55" s="7" t="n"/>
      <c r="E55" s="7" t="n"/>
      <c r="F55" s="26">
        <f>IF(OR(D55="",E55="",D55=0),"",IFERROR(E55/D55*100,0))</f>
        <v/>
      </c>
      <c r="G55" s="7" t="n"/>
      <c r="H55" s="7" t="n"/>
      <c r="I55" s="7" t="n"/>
      <c r="J55" s="7" t="n"/>
      <c r="K55" s="7" t="n"/>
      <c r="L55" s="29">
        <f>IF(OR(D55="",E55=""),"",D55-E55)</f>
        <v/>
      </c>
      <c r="M55" s="7">
        <f>IF(K55="","",IFERROR(COUNTIF($K$6:$K$115,K55),0))</f>
        <v/>
      </c>
      <c r="N55" s="26">
        <f>IF(H55="","",IFERROR(AVERAGEIF($H$6:$H$115,H55,$F$6:$F$115),0))</f>
        <v/>
      </c>
    </row>
    <row r="56" ht="22" customHeight="1">
      <c r="A56" s="5" t="n"/>
      <c r="B56" s="5" t="n"/>
      <c r="C56" s="5" t="n"/>
      <c r="D56" s="5" t="n"/>
      <c r="E56" s="5" t="n"/>
      <c r="F56" s="24">
        <f>IF(OR(D56="",E56="",D56=0),"",IFERROR(E56/D56*100,0))</f>
        <v/>
      </c>
      <c r="G56" s="5" t="n"/>
      <c r="H56" s="5" t="n"/>
      <c r="I56" s="5" t="n"/>
      <c r="J56" s="5" t="n"/>
      <c r="K56" s="5" t="n"/>
      <c r="L56" s="28">
        <f>IF(OR(D56="",E56=""),"",D56-E56)</f>
        <v/>
      </c>
      <c r="M56" s="5">
        <f>IF(K56="","",IFERROR(COUNTIF($K$6:$K$115,K56),0))</f>
        <v/>
      </c>
      <c r="N56" s="24">
        <f>IF(H56="","",IFERROR(AVERAGEIF($H$6:$H$115,H56,$F$6:$F$115),0))</f>
        <v/>
      </c>
    </row>
    <row r="57" ht="22" customHeight="1">
      <c r="A57" s="7" t="n"/>
      <c r="B57" s="7" t="n"/>
      <c r="C57" s="7" t="n"/>
      <c r="D57" s="7" t="n"/>
      <c r="E57" s="7" t="n"/>
      <c r="F57" s="26">
        <f>IF(OR(D57="",E57="",D57=0),"",IFERROR(E57/D57*100,0))</f>
        <v/>
      </c>
      <c r="G57" s="7" t="n"/>
      <c r="H57" s="7" t="n"/>
      <c r="I57" s="7" t="n"/>
      <c r="J57" s="7" t="n"/>
      <c r="K57" s="7" t="n"/>
      <c r="L57" s="29">
        <f>IF(OR(D57="",E57=""),"",D57-E57)</f>
        <v/>
      </c>
      <c r="M57" s="7">
        <f>IF(K57="","",IFERROR(COUNTIF($K$6:$K$115,K57),0))</f>
        <v/>
      </c>
      <c r="N57" s="26">
        <f>IF(H57="","",IFERROR(AVERAGEIF($H$6:$H$115,H57,$F$6:$F$115),0))</f>
        <v/>
      </c>
    </row>
    <row r="58" ht="22" customHeight="1">
      <c r="A58" s="5" t="n"/>
      <c r="B58" s="5" t="n"/>
      <c r="C58" s="5" t="n"/>
      <c r="D58" s="5" t="n"/>
      <c r="E58" s="5" t="n"/>
      <c r="F58" s="24">
        <f>IF(OR(D58="",E58="",D58=0),"",IFERROR(E58/D58*100,0))</f>
        <v/>
      </c>
      <c r="G58" s="5" t="n"/>
      <c r="H58" s="5" t="n"/>
      <c r="I58" s="5" t="n"/>
      <c r="J58" s="5" t="n"/>
      <c r="K58" s="5" t="n"/>
      <c r="L58" s="28">
        <f>IF(OR(D58="",E58=""),"",D58-E58)</f>
        <v/>
      </c>
      <c r="M58" s="5">
        <f>IF(K58="","",IFERROR(COUNTIF($K$6:$K$115,K58),0))</f>
        <v/>
      </c>
      <c r="N58" s="24">
        <f>IF(H58="","",IFERROR(AVERAGEIF($H$6:$H$115,H58,$F$6:$F$115),0))</f>
        <v/>
      </c>
    </row>
    <row r="59" ht="22" customHeight="1">
      <c r="A59" s="7" t="n"/>
      <c r="B59" s="7" t="n"/>
      <c r="C59" s="7" t="n"/>
      <c r="D59" s="7" t="n"/>
      <c r="E59" s="7" t="n"/>
      <c r="F59" s="26">
        <f>IF(OR(D59="",E59="",D59=0),"",IFERROR(E59/D59*100,0))</f>
        <v/>
      </c>
      <c r="G59" s="7" t="n"/>
      <c r="H59" s="7" t="n"/>
      <c r="I59" s="7" t="n"/>
      <c r="J59" s="7" t="n"/>
      <c r="K59" s="7" t="n"/>
      <c r="L59" s="29">
        <f>IF(OR(D59="",E59=""),"",D59-E59)</f>
        <v/>
      </c>
      <c r="M59" s="7">
        <f>IF(K59="","",IFERROR(COUNTIF($K$6:$K$115,K59),0))</f>
        <v/>
      </c>
      <c r="N59" s="26">
        <f>IF(H59="","",IFERROR(AVERAGEIF($H$6:$H$115,H59,$F$6:$F$115),0))</f>
        <v/>
      </c>
    </row>
    <row r="60" ht="22" customHeight="1">
      <c r="A60" s="5" t="n"/>
      <c r="B60" s="5" t="n"/>
      <c r="C60" s="5" t="n"/>
      <c r="D60" s="5" t="n"/>
      <c r="E60" s="5" t="n"/>
      <c r="F60" s="24">
        <f>IF(OR(D60="",E60="",D60=0),"",IFERROR(E60/D60*100,0))</f>
        <v/>
      </c>
      <c r="G60" s="5" t="n"/>
      <c r="H60" s="5" t="n"/>
      <c r="I60" s="5" t="n"/>
      <c r="J60" s="5" t="n"/>
      <c r="K60" s="5" t="n"/>
      <c r="L60" s="28">
        <f>IF(OR(D60="",E60=""),"",D60-E60)</f>
        <v/>
      </c>
      <c r="M60" s="5">
        <f>IF(K60="","",IFERROR(COUNTIF($K$6:$K$115,K60),0))</f>
        <v/>
      </c>
      <c r="N60" s="24">
        <f>IF(H60="","",IFERROR(AVERAGEIF($H$6:$H$115,H60,$F$6:$F$115),0))</f>
        <v/>
      </c>
    </row>
    <row r="61" ht="22" customHeight="1">
      <c r="A61" s="7" t="n"/>
      <c r="B61" s="7" t="n"/>
      <c r="C61" s="7" t="n"/>
      <c r="D61" s="7" t="n"/>
      <c r="E61" s="7" t="n"/>
      <c r="F61" s="26">
        <f>IF(OR(D61="",E61="",D61=0),"",IFERROR(E61/D61*100,0))</f>
        <v/>
      </c>
      <c r="G61" s="7" t="n"/>
      <c r="H61" s="7" t="n"/>
      <c r="I61" s="7" t="n"/>
      <c r="J61" s="7" t="n"/>
      <c r="K61" s="7" t="n"/>
      <c r="L61" s="29">
        <f>IF(OR(D61="",E61=""),"",D61-E61)</f>
        <v/>
      </c>
      <c r="M61" s="7">
        <f>IF(K61="","",IFERROR(COUNTIF($K$6:$K$115,K61),0))</f>
        <v/>
      </c>
      <c r="N61" s="26">
        <f>IF(H61="","",IFERROR(AVERAGEIF($H$6:$H$115,H61,$F$6:$F$115),0))</f>
        <v/>
      </c>
    </row>
    <row r="62" ht="22" customHeight="1">
      <c r="A62" s="5" t="n"/>
      <c r="B62" s="5" t="n"/>
      <c r="C62" s="5" t="n"/>
      <c r="D62" s="5" t="n"/>
      <c r="E62" s="5" t="n"/>
      <c r="F62" s="24">
        <f>IF(OR(D62="",E62="",D62=0),"",IFERROR(E62/D62*100,0))</f>
        <v/>
      </c>
      <c r="G62" s="5" t="n"/>
      <c r="H62" s="5" t="n"/>
      <c r="I62" s="5" t="n"/>
      <c r="J62" s="5" t="n"/>
      <c r="K62" s="5" t="n"/>
      <c r="L62" s="28">
        <f>IF(OR(D62="",E62=""),"",D62-E62)</f>
        <v/>
      </c>
      <c r="M62" s="5">
        <f>IF(K62="","",IFERROR(COUNTIF($K$6:$K$115,K62),0))</f>
        <v/>
      </c>
      <c r="N62" s="24">
        <f>IF(H62="","",IFERROR(AVERAGEIF($H$6:$H$115,H62,$F$6:$F$115),0))</f>
        <v/>
      </c>
    </row>
    <row r="63" ht="22" customHeight="1">
      <c r="A63" s="7" t="n"/>
      <c r="B63" s="7" t="n"/>
      <c r="C63" s="7" t="n"/>
      <c r="D63" s="7" t="n"/>
      <c r="E63" s="7" t="n"/>
      <c r="F63" s="26">
        <f>IF(OR(D63="",E63="",D63=0),"",IFERROR(E63/D63*100,0))</f>
        <v/>
      </c>
      <c r="G63" s="7" t="n"/>
      <c r="H63" s="7" t="n"/>
      <c r="I63" s="7" t="n"/>
      <c r="J63" s="7" t="n"/>
      <c r="K63" s="7" t="n"/>
      <c r="L63" s="29">
        <f>IF(OR(D63="",E63=""),"",D63-E63)</f>
        <v/>
      </c>
      <c r="M63" s="7">
        <f>IF(K63="","",IFERROR(COUNTIF($K$6:$K$115,K63),0))</f>
        <v/>
      </c>
      <c r="N63" s="26">
        <f>IF(H63="","",IFERROR(AVERAGEIF($H$6:$H$115,H63,$F$6:$F$115),0))</f>
        <v/>
      </c>
    </row>
    <row r="64" ht="22" customHeight="1">
      <c r="A64" s="5" t="n"/>
      <c r="B64" s="5" t="n"/>
      <c r="C64" s="5" t="n"/>
      <c r="D64" s="5" t="n"/>
      <c r="E64" s="5" t="n"/>
      <c r="F64" s="24">
        <f>IF(OR(D64="",E64="",D64=0),"",IFERROR(E64/D64*100,0))</f>
        <v/>
      </c>
      <c r="G64" s="5" t="n"/>
      <c r="H64" s="5" t="n"/>
      <c r="I64" s="5" t="n"/>
      <c r="J64" s="5" t="n"/>
      <c r="K64" s="5" t="n"/>
      <c r="L64" s="28">
        <f>IF(OR(D64="",E64=""),"",D64-E64)</f>
        <v/>
      </c>
      <c r="M64" s="5">
        <f>IF(K64="","",IFERROR(COUNTIF($K$6:$K$115,K64),0))</f>
        <v/>
      </c>
      <c r="N64" s="24">
        <f>IF(H64="","",IFERROR(AVERAGEIF($H$6:$H$115,H64,$F$6:$F$115),0))</f>
        <v/>
      </c>
    </row>
    <row r="65" ht="22" customHeight="1">
      <c r="A65" s="7" t="n"/>
      <c r="B65" s="7" t="n"/>
      <c r="C65" s="7" t="n"/>
      <c r="D65" s="7" t="n"/>
      <c r="E65" s="7" t="n"/>
      <c r="F65" s="26">
        <f>IF(OR(D65="",E65="",D65=0),"",IFERROR(E65/D65*100,0))</f>
        <v/>
      </c>
      <c r="G65" s="7" t="n"/>
      <c r="H65" s="7" t="n"/>
      <c r="I65" s="7" t="n"/>
      <c r="J65" s="7" t="n"/>
      <c r="K65" s="7" t="n"/>
      <c r="L65" s="29">
        <f>IF(OR(D65="",E65=""),"",D65-E65)</f>
        <v/>
      </c>
      <c r="M65" s="7">
        <f>IF(K65="","",IFERROR(COUNTIF($K$6:$K$115,K65),0))</f>
        <v/>
      </c>
      <c r="N65" s="26">
        <f>IF(H65="","",IFERROR(AVERAGEIF($H$6:$H$115,H65,$F$6:$F$115),0))</f>
        <v/>
      </c>
    </row>
    <row r="66" ht="22" customHeight="1">
      <c r="A66" s="5" t="n"/>
      <c r="B66" s="5" t="n"/>
      <c r="C66" s="5" t="n"/>
      <c r="D66" s="5" t="n"/>
      <c r="E66" s="5" t="n"/>
      <c r="F66" s="24">
        <f>IF(OR(D66="",E66="",D66=0),"",IFERROR(E66/D66*100,0))</f>
        <v/>
      </c>
      <c r="G66" s="5" t="n"/>
      <c r="H66" s="5" t="n"/>
      <c r="I66" s="5" t="n"/>
      <c r="J66" s="5" t="n"/>
      <c r="K66" s="5" t="n"/>
      <c r="L66" s="28">
        <f>IF(OR(D66="",E66=""),"",D66-E66)</f>
        <v/>
      </c>
      <c r="M66" s="5">
        <f>IF(K66="","",IFERROR(COUNTIF($K$6:$K$115,K66),0))</f>
        <v/>
      </c>
      <c r="N66" s="24">
        <f>IF(H66="","",IFERROR(AVERAGEIF($H$6:$H$115,H66,$F$6:$F$115),0))</f>
        <v/>
      </c>
    </row>
    <row r="67" ht="22" customHeight="1">
      <c r="A67" s="7" t="n"/>
      <c r="B67" s="7" t="n"/>
      <c r="C67" s="7" t="n"/>
      <c r="D67" s="7" t="n"/>
      <c r="E67" s="7" t="n"/>
      <c r="F67" s="26">
        <f>IF(OR(D67="",E67="",D67=0),"",IFERROR(E67/D67*100,0))</f>
        <v/>
      </c>
      <c r="G67" s="7" t="n"/>
      <c r="H67" s="7" t="n"/>
      <c r="I67" s="7" t="n"/>
      <c r="J67" s="7" t="n"/>
      <c r="K67" s="7" t="n"/>
      <c r="L67" s="29">
        <f>IF(OR(D67="",E67=""),"",D67-E67)</f>
        <v/>
      </c>
      <c r="M67" s="7">
        <f>IF(K67="","",IFERROR(COUNTIF($K$6:$K$115,K67),0))</f>
        <v/>
      </c>
      <c r="N67" s="26">
        <f>IF(H67="","",IFERROR(AVERAGEIF($H$6:$H$115,H67,$F$6:$F$115),0))</f>
        <v/>
      </c>
    </row>
    <row r="68" ht="22" customHeight="1">
      <c r="A68" s="5" t="n"/>
      <c r="B68" s="5" t="n"/>
      <c r="C68" s="5" t="n"/>
      <c r="D68" s="5" t="n"/>
      <c r="E68" s="5" t="n"/>
      <c r="F68" s="24">
        <f>IF(OR(D68="",E68="",D68=0),"",IFERROR(E68/D68*100,0))</f>
        <v/>
      </c>
      <c r="G68" s="5" t="n"/>
      <c r="H68" s="5" t="n"/>
      <c r="I68" s="5" t="n"/>
      <c r="J68" s="5" t="n"/>
      <c r="K68" s="5" t="n"/>
      <c r="L68" s="28">
        <f>IF(OR(D68="",E68=""),"",D68-E68)</f>
        <v/>
      </c>
      <c r="M68" s="5">
        <f>IF(K68="","",IFERROR(COUNTIF($K$6:$K$115,K68),0))</f>
        <v/>
      </c>
      <c r="N68" s="24">
        <f>IF(H68="","",IFERROR(AVERAGEIF($H$6:$H$115,H68,$F$6:$F$115),0))</f>
        <v/>
      </c>
    </row>
    <row r="69" ht="22" customHeight="1">
      <c r="A69" s="7" t="n"/>
      <c r="B69" s="7" t="n"/>
      <c r="C69" s="7" t="n"/>
      <c r="D69" s="7" t="n"/>
      <c r="E69" s="7" t="n"/>
      <c r="F69" s="26">
        <f>IF(OR(D69="",E69="",D69=0),"",IFERROR(E69/D69*100,0))</f>
        <v/>
      </c>
      <c r="G69" s="7" t="n"/>
      <c r="H69" s="7" t="n"/>
      <c r="I69" s="7" t="n"/>
      <c r="J69" s="7" t="n"/>
      <c r="K69" s="7" t="n"/>
      <c r="L69" s="29">
        <f>IF(OR(D69="",E69=""),"",D69-E69)</f>
        <v/>
      </c>
      <c r="M69" s="7">
        <f>IF(K69="","",IFERROR(COUNTIF($K$6:$K$115,K69),0))</f>
        <v/>
      </c>
      <c r="N69" s="26">
        <f>IF(H69="","",IFERROR(AVERAGEIF($H$6:$H$115,H69,$F$6:$F$115),0))</f>
        <v/>
      </c>
    </row>
    <row r="70" ht="22" customHeight="1">
      <c r="A70" s="5" t="n"/>
      <c r="B70" s="5" t="n"/>
      <c r="C70" s="5" t="n"/>
      <c r="D70" s="5" t="n"/>
      <c r="E70" s="5" t="n"/>
      <c r="F70" s="24">
        <f>IF(OR(D70="",E70="",D70=0),"",IFERROR(E70/D70*100,0))</f>
        <v/>
      </c>
      <c r="G70" s="5" t="n"/>
      <c r="H70" s="5" t="n"/>
      <c r="I70" s="5" t="n"/>
      <c r="J70" s="5" t="n"/>
      <c r="K70" s="5" t="n"/>
      <c r="L70" s="28">
        <f>IF(OR(D70="",E70=""),"",D70-E70)</f>
        <v/>
      </c>
      <c r="M70" s="5">
        <f>IF(K70="","",IFERROR(COUNTIF($K$6:$K$115,K70),0))</f>
        <v/>
      </c>
      <c r="N70" s="24">
        <f>IF(H70="","",IFERROR(AVERAGEIF($H$6:$H$115,H70,$F$6:$F$115),0))</f>
        <v/>
      </c>
    </row>
    <row r="71" ht="22" customHeight="1">
      <c r="A71" s="7" t="n"/>
      <c r="B71" s="7" t="n"/>
      <c r="C71" s="7" t="n"/>
      <c r="D71" s="7" t="n"/>
      <c r="E71" s="7" t="n"/>
      <c r="F71" s="26">
        <f>IF(OR(D71="",E71="",D71=0),"",IFERROR(E71/D71*100,0))</f>
        <v/>
      </c>
      <c r="G71" s="7" t="n"/>
      <c r="H71" s="7" t="n"/>
      <c r="I71" s="7" t="n"/>
      <c r="J71" s="7" t="n"/>
      <c r="K71" s="7" t="n"/>
      <c r="L71" s="29">
        <f>IF(OR(D71="",E71=""),"",D71-E71)</f>
        <v/>
      </c>
      <c r="M71" s="7">
        <f>IF(K71="","",IFERROR(COUNTIF($K$6:$K$115,K71),0))</f>
        <v/>
      </c>
      <c r="N71" s="26">
        <f>IF(H71="","",IFERROR(AVERAGEIF($H$6:$H$115,H71,$F$6:$F$115),0))</f>
        <v/>
      </c>
    </row>
    <row r="72" ht="22" customHeight="1">
      <c r="A72" s="5" t="n"/>
      <c r="B72" s="5" t="n"/>
      <c r="C72" s="5" t="n"/>
      <c r="D72" s="5" t="n"/>
      <c r="E72" s="5" t="n"/>
      <c r="F72" s="24">
        <f>IF(OR(D72="",E72="",D72=0),"",IFERROR(E72/D72*100,0))</f>
        <v/>
      </c>
      <c r="G72" s="5" t="n"/>
      <c r="H72" s="5" t="n"/>
      <c r="I72" s="5" t="n"/>
      <c r="J72" s="5" t="n"/>
      <c r="K72" s="5" t="n"/>
      <c r="L72" s="28">
        <f>IF(OR(D72="",E72=""),"",D72-E72)</f>
        <v/>
      </c>
      <c r="M72" s="5">
        <f>IF(K72="","",IFERROR(COUNTIF($K$6:$K$115,K72),0))</f>
        <v/>
      </c>
      <c r="N72" s="24">
        <f>IF(H72="","",IFERROR(AVERAGEIF($H$6:$H$115,H72,$F$6:$F$115),0))</f>
        <v/>
      </c>
    </row>
    <row r="73" ht="22" customHeight="1">
      <c r="A73" s="7" t="n"/>
      <c r="B73" s="7" t="n"/>
      <c r="C73" s="7" t="n"/>
      <c r="D73" s="7" t="n"/>
      <c r="E73" s="7" t="n"/>
      <c r="F73" s="26">
        <f>IF(OR(D73="",E73="",D73=0),"",IFERROR(E73/D73*100,0))</f>
        <v/>
      </c>
      <c r="G73" s="7" t="n"/>
      <c r="H73" s="7" t="n"/>
      <c r="I73" s="7" t="n"/>
      <c r="J73" s="7" t="n"/>
      <c r="K73" s="7" t="n"/>
      <c r="L73" s="29">
        <f>IF(OR(D73="",E73=""),"",D73-E73)</f>
        <v/>
      </c>
      <c r="M73" s="7">
        <f>IF(K73="","",IFERROR(COUNTIF($K$6:$K$115,K73),0))</f>
        <v/>
      </c>
      <c r="N73" s="26">
        <f>IF(H73="","",IFERROR(AVERAGEIF($H$6:$H$115,H73,$F$6:$F$115),0))</f>
        <v/>
      </c>
    </row>
    <row r="74" ht="22" customHeight="1">
      <c r="A74" s="5" t="n"/>
      <c r="B74" s="5" t="n"/>
      <c r="C74" s="5" t="n"/>
      <c r="D74" s="5" t="n"/>
      <c r="E74" s="5" t="n"/>
      <c r="F74" s="24">
        <f>IF(OR(D74="",E74="",D74=0),"",IFERROR(E74/D74*100,0))</f>
        <v/>
      </c>
      <c r="G74" s="5" t="n"/>
      <c r="H74" s="5" t="n"/>
      <c r="I74" s="5" t="n"/>
      <c r="J74" s="5" t="n"/>
      <c r="K74" s="5" t="n"/>
      <c r="L74" s="28">
        <f>IF(OR(D74="",E74=""),"",D74-E74)</f>
        <v/>
      </c>
      <c r="M74" s="5">
        <f>IF(K74="","",IFERROR(COUNTIF($K$6:$K$115,K74),0))</f>
        <v/>
      </c>
      <c r="N74" s="24">
        <f>IF(H74="","",IFERROR(AVERAGEIF($H$6:$H$115,H74,$F$6:$F$115),0))</f>
        <v/>
      </c>
    </row>
    <row r="75" ht="22" customHeight="1">
      <c r="A75" s="7" t="n"/>
      <c r="B75" s="7" t="n"/>
      <c r="C75" s="7" t="n"/>
      <c r="D75" s="7" t="n"/>
      <c r="E75" s="7" t="n"/>
      <c r="F75" s="26">
        <f>IF(OR(D75="",E75="",D75=0),"",IFERROR(E75/D75*100,0))</f>
        <v/>
      </c>
      <c r="G75" s="7" t="n"/>
      <c r="H75" s="7" t="n"/>
      <c r="I75" s="7" t="n"/>
      <c r="J75" s="7" t="n"/>
      <c r="K75" s="7" t="n"/>
      <c r="L75" s="29">
        <f>IF(OR(D75="",E75=""),"",D75-E75)</f>
        <v/>
      </c>
      <c r="M75" s="7">
        <f>IF(K75="","",IFERROR(COUNTIF($K$6:$K$115,K75),0))</f>
        <v/>
      </c>
      <c r="N75" s="26">
        <f>IF(H75="","",IFERROR(AVERAGEIF($H$6:$H$115,H75,$F$6:$F$115),0))</f>
        <v/>
      </c>
    </row>
    <row r="76" ht="22" customHeight="1">
      <c r="A76" s="5" t="n"/>
      <c r="B76" s="5" t="n"/>
      <c r="C76" s="5" t="n"/>
      <c r="D76" s="5" t="n"/>
      <c r="E76" s="5" t="n"/>
      <c r="F76" s="24">
        <f>IF(OR(D76="",E76="",D76=0),"",IFERROR(E76/D76*100,0))</f>
        <v/>
      </c>
      <c r="G76" s="5" t="n"/>
      <c r="H76" s="5" t="n"/>
      <c r="I76" s="5" t="n"/>
      <c r="J76" s="5" t="n"/>
      <c r="K76" s="5" t="n"/>
      <c r="L76" s="28">
        <f>IF(OR(D76="",E76=""),"",D76-E76)</f>
        <v/>
      </c>
      <c r="M76" s="5">
        <f>IF(K76="","",IFERROR(COUNTIF($K$6:$K$115,K76),0))</f>
        <v/>
      </c>
      <c r="N76" s="24">
        <f>IF(H76="","",IFERROR(AVERAGEIF($H$6:$H$115,H76,$F$6:$F$115),0))</f>
        <v/>
      </c>
    </row>
    <row r="77" ht="22" customHeight="1">
      <c r="A77" s="7" t="n"/>
      <c r="B77" s="7" t="n"/>
      <c r="C77" s="7" t="n"/>
      <c r="D77" s="7" t="n"/>
      <c r="E77" s="7" t="n"/>
      <c r="F77" s="26">
        <f>IF(OR(D77="",E77="",D77=0),"",IFERROR(E77/D77*100,0))</f>
        <v/>
      </c>
      <c r="G77" s="7" t="n"/>
      <c r="H77" s="7" t="n"/>
      <c r="I77" s="7" t="n"/>
      <c r="J77" s="7" t="n"/>
      <c r="K77" s="7" t="n"/>
      <c r="L77" s="29">
        <f>IF(OR(D77="",E77=""),"",D77-E77)</f>
        <v/>
      </c>
      <c r="M77" s="7">
        <f>IF(K77="","",IFERROR(COUNTIF($K$6:$K$115,K77),0))</f>
        <v/>
      </c>
      <c r="N77" s="26">
        <f>IF(H77="","",IFERROR(AVERAGEIF($H$6:$H$115,H77,$F$6:$F$115),0))</f>
        <v/>
      </c>
    </row>
    <row r="78" ht="22" customHeight="1">
      <c r="A78" s="5" t="n"/>
      <c r="B78" s="5" t="n"/>
      <c r="C78" s="5" t="n"/>
      <c r="D78" s="5" t="n"/>
      <c r="E78" s="5" t="n"/>
      <c r="F78" s="24">
        <f>IF(OR(D78="",E78="",D78=0),"",IFERROR(E78/D78*100,0))</f>
        <v/>
      </c>
      <c r="G78" s="5" t="n"/>
      <c r="H78" s="5" t="n"/>
      <c r="I78" s="5" t="n"/>
      <c r="J78" s="5" t="n"/>
      <c r="K78" s="5" t="n"/>
      <c r="L78" s="28">
        <f>IF(OR(D78="",E78=""),"",D78-E78)</f>
        <v/>
      </c>
      <c r="M78" s="5">
        <f>IF(K78="","",IFERROR(COUNTIF($K$6:$K$115,K78),0))</f>
        <v/>
      </c>
      <c r="N78" s="24">
        <f>IF(H78="","",IFERROR(AVERAGEIF($H$6:$H$115,H78,$F$6:$F$115),0))</f>
        <v/>
      </c>
    </row>
    <row r="79" ht="22" customHeight="1">
      <c r="A79" s="7" t="n"/>
      <c r="B79" s="7" t="n"/>
      <c r="C79" s="7" t="n"/>
      <c r="D79" s="7" t="n"/>
      <c r="E79" s="7" t="n"/>
      <c r="F79" s="26">
        <f>IF(OR(D79="",E79="",D79=0),"",IFERROR(E79/D79*100,0))</f>
        <v/>
      </c>
      <c r="G79" s="7" t="n"/>
      <c r="H79" s="7" t="n"/>
      <c r="I79" s="7" t="n"/>
      <c r="J79" s="7" t="n"/>
      <c r="K79" s="7" t="n"/>
      <c r="L79" s="29">
        <f>IF(OR(D79="",E79=""),"",D79-E79)</f>
        <v/>
      </c>
      <c r="M79" s="7">
        <f>IF(K79="","",IFERROR(COUNTIF($K$6:$K$115,K79),0))</f>
        <v/>
      </c>
      <c r="N79" s="26">
        <f>IF(H79="","",IFERROR(AVERAGEIF($H$6:$H$115,H79,$F$6:$F$115),0))</f>
        <v/>
      </c>
    </row>
    <row r="80" ht="22" customHeight="1">
      <c r="A80" s="5" t="n"/>
      <c r="B80" s="5" t="n"/>
      <c r="C80" s="5" t="n"/>
      <c r="D80" s="5" t="n"/>
      <c r="E80" s="5" t="n"/>
      <c r="F80" s="24">
        <f>IF(OR(D80="",E80="",D80=0),"",IFERROR(E80/D80*100,0))</f>
        <v/>
      </c>
      <c r="G80" s="5" t="n"/>
      <c r="H80" s="5" t="n"/>
      <c r="I80" s="5" t="n"/>
      <c r="J80" s="5" t="n"/>
      <c r="K80" s="5" t="n"/>
      <c r="L80" s="28">
        <f>IF(OR(D80="",E80=""),"",D80-E80)</f>
        <v/>
      </c>
      <c r="M80" s="5">
        <f>IF(K80="","",IFERROR(COUNTIF($K$6:$K$115,K80),0))</f>
        <v/>
      </c>
      <c r="N80" s="24">
        <f>IF(H80="","",IFERROR(AVERAGEIF($H$6:$H$115,H80,$F$6:$F$115),0))</f>
        <v/>
      </c>
    </row>
    <row r="81" ht="22" customHeight="1">
      <c r="A81" s="7" t="n"/>
      <c r="B81" s="7" t="n"/>
      <c r="C81" s="7" t="n"/>
      <c r="D81" s="7" t="n"/>
      <c r="E81" s="7" t="n"/>
      <c r="F81" s="26">
        <f>IF(OR(D81="",E81="",D81=0),"",IFERROR(E81/D81*100,0))</f>
        <v/>
      </c>
      <c r="G81" s="7" t="n"/>
      <c r="H81" s="7" t="n"/>
      <c r="I81" s="7" t="n"/>
      <c r="J81" s="7" t="n"/>
      <c r="K81" s="7" t="n"/>
      <c r="L81" s="29">
        <f>IF(OR(D81="",E81=""),"",D81-E81)</f>
        <v/>
      </c>
      <c r="M81" s="7">
        <f>IF(K81="","",IFERROR(COUNTIF($K$6:$K$115,K81),0))</f>
        <v/>
      </c>
      <c r="N81" s="26">
        <f>IF(H81="","",IFERROR(AVERAGEIF($H$6:$H$115,H81,$F$6:$F$115),0))</f>
        <v/>
      </c>
    </row>
    <row r="82" ht="22" customHeight="1">
      <c r="A82" s="5" t="n"/>
      <c r="B82" s="5" t="n"/>
      <c r="C82" s="5" t="n"/>
      <c r="D82" s="5" t="n"/>
      <c r="E82" s="5" t="n"/>
      <c r="F82" s="24">
        <f>IF(OR(D82="",E82="",D82=0),"",IFERROR(E82/D82*100,0))</f>
        <v/>
      </c>
      <c r="G82" s="5" t="n"/>
      <c r="H82" s="5" t="n"/>
      <c r="I82" s="5" t="n"/>
      <c r="J82" s="5" t="n"/>
      <c r="K82" s="5" t="n"/>
      <c r="L82" s="28">
        <f>IF(OR(D82="",E82=""),"",D82-E82)</f>
        <v/>
      </c>
      <c r="M82" s="5">
        <f>IF(K82="","",IFERROR(COUNTIF($K$6:$K$115,K82),0))</f>
        <v/>
      </c>
      <c r="N82" s="24">
        <f>IF(H82="","",IFERROR(AVERAGEIF($H$6:$H$115,H82,$F$6:$F$115),0))</f>
        <v/>
      </c>
    </row>
    <row r="83" ht="22" customHeight="1">
      <c r="A83" s="7" t="n"/>
      <c r="B83" s="7" t="n"/>
      <c r="C83" s="7" t="n"/>
      <c r="D83" s="7" t="n"/>
      <c r="E83" s="7" t="n"/>
      <c r="F83" s="26">
        <f>IF(OR(D83="",E83="",D83=0),"",IFERROR(E83/D83*100,0))</f>
        <v/>
      </c>
      <c r="G83" s="7" t="n"/>
      <c r="H83" s="7" t="n"/>
      <c r="I83" s="7" t="n"/>
      <c r="J83" s="7" t="n"/>
      <c r="K83" s="7" t="n"/>
      <c r="L83" s="29">
        <f>IF(OR(D83="",E83=""),"",D83-E83)</f>
        <v/>
      </c>
      <c r="M83" s="7">
        <f>IF(K83="","",IFERROR(COUNTIF($K$6:$K$115,K83),0))</f>
        <v/>
      </c>
      <c r="N83" s="26">
        <f>IF(H83="","",IFERROR(AVERAGEIF($H$6:$H$115,H83,$F$6:$F$115),0))</f>
        <v/>
      </c>
    </row>
    <row r="84" ht="22" customHeight="1">
      <c r="A84" s="5" t="n"/>
      <c r="B84" s="5" t="n"/>
      <c r="C84" s="5" t="n"/>
      <c r="D84" s="5" t="n"/>
      <c r="E84" s="5" t="n"/>
      <c r="F84" s="24">
        <f>IF(OR(D84="",E84="",D84=0),"",IFERROR(E84/D84*100,0))</f>
        <v/>
      </c>
      <c r="G84" s="5" t="n"/>
      <c r="H84" s="5" t="n"/>
      <c r="I84" s="5" t="n"/>
      <c r="J84" s="5" t="n"/>
      <c r="K84" s="5" t="n"/>
      <c r="L84" s="28">
        <f>IF(OR(D84="",E84=""),"",D84-E84)</f>
        <v/>
      </c>
      <c r="M84" s="5">
        <f>IF(K84="","",IFERROR(COUNTIF($K$6:$K$115,K84),0))</f>
        <v/>
      </c>
      <c r="N84" s="24">
        <f>IF(H84="","",IFERROR(AVERAGEIF($H$6:$H$115,H84,$F$6:$F$115),0))</f>
        <v/>
      </c>
    </row>
    <row r="85" ht="22" customHeight="1">
      <c r="A85" s="7" t="n"/>
      <c r="B85" s="7" t="n"/>
      <c r="C85" s="7" t="n"/>
      <c r="D85" s="7" t="n"/>
      <c r="E85" s="7" t="n"/>
      <c r="F85" s="26">
        <f>IF(OR(D85="",E85="",D85=0),"",IFERROR(E85/D85*100,0))</f>
        <v/>
      </c>
      <c r="G85" s="7" t="n"/>
      <c r="H85" s="7" t="n"/>
      <c r="I85" s="7" t="n"/>
      <c r="J85" s="7" t="n"/>
      <c r="K85" s="7" t="n"/>
      <c r="L85" s="29">
        <f>IF(OR(D85="",E85=""),"",D85-E85)</f>
        <v/>
      </c>
      <c r="M85" s="7">
        <f>IF(K85="","",IFERROR(COUNTIF($K$6:$K$115,K85),0))</f>
        <v/>
      </c>
      <c r="N85" s="26">
        <f>IF(H85="","",IFERROR(AVERAGEIF($H$6:$H$115,H85,$F$6:$F$115),0))</f>
        <v/>
      </c>
    </row>
    <row r="86" ht="22" customHeight="1">
      <c r="A86" s="5" t="n"/>
      <c r="B86" s="5" t="n"/>
      <c r="C86" s="5" t="n"/>
      <c r="D86" s="5" t="n"/>
      <c r="E86" s="5" t="n"/>
      <c r="F86" s="24">
        <f>IF(OR(D86="",E86="",D86=0),"",IFERROR(E86/D86*100,0))</f>
        <v/>
      </c>
      <c r="G86" s="5" t="n"/>
      <c r="H86" s="5" t="n"/>
      <c r="I86" s="5" t="n"/>
      <c r="J86" s="5" t="n"/>
      <c r="K86" s="5" t="n"/>
      <c r="L86" s="28">
        <f>IF(OR(D86="",E86=""),"",D86-E86)</f>
        <v/>
      </c>
      <c r="M86" s="5">
        <f>IF(K86="","",IFERROR(COUNTIF($K$6:$K$115,K86),0))</f>
        <v/>
      </c>
      <c r="N86" s="24">
        <f>IF(H86="","",IFERROR(AVERAGEIF($H$6:$H$115,H86,$F$6:$F$115),0))</f>
        <v/>
      </c>
    </row>
    <row r="87" ht="22" customHeight="1">
      <c r="A87" s="7" t="n"/>
      <c r="B87" s="7" t="n"/>
      <c r="C87" s="7" t="n"/>
      <c r="D87" s="7" t="n"/>
      <c r="E87" s="7" t="n"/>
      <c r="F87" s="26">
        <f>IF(OR(D87="",E87="",D87=0),"",IFERROR(E87/D87*100,0))</f>
        <v/>
      </c>
      <c r="G87" s="7" t="n"/>
      <c r="H87" s="7" t="n"/>
      <c r="I87" s="7" t="n"/>
      <c r="J87" s="7" t="n"/>
      <c r="K87" s="7" t="n"/>
      <c r="L87" s="29">
        <f>IF(OR(D87="",E87=""),"",D87-E87)</f>
        <v/>
      </c>
      <c r="M87" s="7">
        <f>IF(K87="","",IFERROR(COUNTIF($K$6:$K$115,K87),0))</f>
        <v/>
      </c>
      <c r="N87" s="26">
        <f>IF(H87="","",IFERROR(AVERAGEIF($H$6:$H$115,H87,$F$6:$F$115),0))</f>
        <v/>
      </c>
    </row>
    <row r="88" ht="22" customHeight="1">
      <c r="A88" s="5" t="n"/>
      <c r="B88" s="5" t="n"/>
      <c r="C88" s="5" t="n"/>
      <c r="D88" s="5" t="n"/>
      <c r="E88" s="5" t="n"/>
      <c r="F88" s="24">
        <f>IF(OR(D88="",E88="",D88=0),"",IFERROR(E88/D88*100,0))</f>
        <v/>
      </c>
      <c r="G88" s="5" t="n"/>
      <c r="H88" s="5" t="n"/>
      <c r="I88" s="5" t="n"/>
      <c r="J88" s="5" t="n"/>
      <c r="K88" s="5" t="n"/>
      <c r="L88" s="28">
        <f>IF(OR(D88="",E88=""),"",D88-E88)</f>
        <v/>
      </c>
      <c r="M88" s="5">
        <f>IF(K88="","",IFERROR(COUNTIF($K$6:$K$115,K88),0))</f>
        <v/>
      </c>
      <c r="N88" s="24">
        <f>IF(H88="","",IFERROR(AVERAGEIF($H$6:$H$115,H88,$F$6:$F$115),0))</f>
        <v/>
      </c>
    </row>
    <row r="89" ht="22" customHeight="1">
      <c r="A89" s="7" t="n"/>
      <c r="B89" s="7" t="n"/>
      <c r="C89" s="7" t="n"/>
      <c r="D89" s="7" t="n"/>
      <c r="E89" s="7" t="n"/>
      <c r="F89" s="26">
        <f>IF(OR(D89="",E89="",D89=0),"",IFERROR(E89/D89*100,0))</f>
        <v/>
      </c>
      <c r="G89" s="7" t="n"/>
      <c r="H89" s="7" t="n"/>
      <c r="I89" s="7" t="n"/>
      <c r="J89" s="7" t="n"/>
      <c r="K89" s="7" t="n"/>
      <c r="L89" s="29">
        <f>IF(OR(D89="",E89=""),"",D89-E89)</f>
        <v/>
      </c>
      <c r="M89" s="7">
        <f>IF(K89="","",IFERROR(COUNTIF($K$6:$K$115,K89),0))</f>
        <v/>
      </c>
      <c r="N89" s="26">
        <f>IF(H89="","",IFERROR(AVERAGEIF($H$6:$H$115,H89,$F$6:$F$115),0))</f>
        <v/>
      </c>
    </row>
    <row r="90" ht="22" customHeight="1">
      <c r="A90" s="5" t="n"/>
      <c r="B90" s="5" t="n"/>
      <c r="C90" s="5" t="n"/>
      <c r="D90" s="5" t="n"/>
      <c r="E90" s="5" t="n"/>
      <c r="F90" s="24">
        <f>IF(OR(D90="",E90="",D90=0),"",IFERROR(E90/D90*100,0))</f>
        <v/>
      </c>
      <c r="G90" s="5" t="n"/>
      <c r="H90" s="5" t="n"/>
      <c r="I90" s="5" t="n"/>
      <c r="J90" s="5" t="n"/>
      <c r="K90" s="5" t="n"/>
      <c r="L90" s="28">
        <f>IF(OR(D90="",E90=""),"",D90-E90)</f>
        <v/>
      </c>
      <c r="M90" s="5">
        <f>IF(K90="","",IFERROR(COUNTIF($K$6:$K$115,K90),0))</f>
        <v/>
      </c>
      <c r="N90" s="24">
        <f>IF(H90="","",IFERROR(AVERAGEIF($H$6:$H$115,H90,$F$6:$F$115),0))</f>
        <v/>
      </c>
    </row>
    <row r="91" ht="22" customHeight="1">
      <c r="A91" s="7" t="n"/>
      <c r="B91" s="7" t="n"/>
      <c r="C91" s="7" t="n"/>
      <c r="D91" s="7" t="n"/>
      <c r="E91" s="7" t="n"/>
      <c r="F91" s="26">
        <f>IF(OR(D91="",E91="",D91=0),"",IFERROR(E91/D91*100,0))</f>
        <v/>
      </c>
      <c r="G91" s="7" t="n"/>
      <c r="H91" s="7" t="n"/>
      <c r="I91" s="7" t="n"/>
      <c r="J91" s="7" t="n"/>
      <c r="K91" s="7" t="n"/>
      <c r="L91" s="29">
        <f>IF(OR(D91="",E91=""),"",D91-E91)</f>
        <v/>
      </c>
      <c r="M91" s="7">
        <f>IF(K91="","",IFERROR(COUNTIF($K$6:$K$115,K91),0))</f>
        <v/>
      </c>
      <c r="N91" s="26">
        <f>IF(H91="","",IFERROR(AVERAGEIF($H$6:$H$115,H91,$F$6:$F$115),0))</f>
        <v/>
      </c>
    </row>
    <row r="92" ht="22" customHeight="1">
      <c r="A92" s="5" t="n"/>
      <c r="B92" s="5" t="n"/>
      <c r="C92" s="5" t="n"/>
      <c r="D92" s="5" t="n"/>
      <c r="E92" s="5" t="n"/>
      <c r="F92" s="24">
        <f>IF(OR(D92="",E92="",D92=0),"",IFERROR(E92/D92*100,0))</f>
        <v/>
      </c>
      <c r="G92" s="5" t="n"/>
      <c r="H92" s="5" t="n"/>
      <c r="I92" s="5" t="n"/>
      <c r="J92" s="5" t="n"/>
      <c r="K92" s="5" t="n"/>
      <c r="L92" s="28">
        <f>IF(OR(D92="",E92=""),"",D92-E92)</f>
        <v/>
      </c>
      <c r="M92" s="5">
        <f>IF(K92="","",IFERROR(COUNTIF($K$6:$K$115,K92),0))</f>
        <v/>
      </c>
      <c r="N92" s="24">
        <f>IF(H92="","",IFERROR(AVERAGEIF($H$6:$H$115,H92,$F$6:$F$115),0))</f>
        <v/>
      </c>
    </row>
    <row r="93" ht="22" customHeight="1">
      <c r="A93" s="7" t="n"/>
      <c r="B93" s="7" t="n"/>
      <c r="C93" s="7" t="n"/>
      <c r="D93" s="7" t="n"/>
      <c r="E93" s="7" t="n"/>
      <c r="F93" s="26">
        <f>IF(OR(D93="",E93="",D93=0),"",IFERROR(E93/D93*100,0))</f>
        <v/>
      </c>
      <c r="G93" s="7" t="n"/>
      <c r="H93" s="7" t="n"/>
      <c r="I93" s="7" t="n"/>
      <c r="J93" s="7" t="n"/>
      <c r="K93" s="7" t="n"/>
      <c r="L93" s="29">
        <f>IF(OR(D93="",E93=""),"",D93-E93)</f>
        <v/>
      </c>
      <c r="M93" s="7">
        <f>IF(K93="","",IFERROR(COUNTIF($K$6:$K$115,K93),0))</f>
        <v/>
      </c>
      <c r="N93" s="26">
        <f>IF(H93="","",IFERROR(AVERAGEIF($H$6:$H$115,H93,$F$6:$F$115),0))</f>
        <v/>
      </c>
    </row>
    <row r="94" ht="22" customHeight="1">
      <c r="A94" s="5" t="n"/>
      <c r="B94" s="5" t="n"/>
      <c r="C94" s="5" t="n"/>
      <c r="D94" s="5" t="n"/>
      <c r="E94" s="5" t="n"/>
      <c r="F94" s="24">
        <f>IF(OR(D94="",E94="",D94=0),"",IFERROR(E94/D94*100,0))</f>
        <v/>
      </c>
      <c r="G94" s="5" t="n"/>
      <c r="H94" s="5" t="n"/>
      <c r="I94" s="5" t="n"/>
      <c r="J94" s="5" t="n"/>
      <c r="K94" s="5" t="n"/>
      <c r="L94" s="28">
        <f>IF(OR(D94="",E94=""),"",D94-E94)</f>
        <v/>
      </c>
      <c r="M94" s="5">
        <f>IF(K94="","",IFERROR(COUNTIF($K$6:$K$115,K94),0))</f>
        <v/>
      </c>
      <c r="N94" s="24">
        <f>IF(H94="","",IFERROR(AVERAGEIF($H$6:$H$115,H94,$F$6:$F$115),0))</f>
        <v/>
      </c>
    </row>
    <row r="95" ht="22" customHeight="1">
      <c r="A95" s="7" t="n"/>
      <c r="B95" s="7" t="n"/>
      <c r="C95" s="7" t="n"/>
      <c r="D95" s="7" t="n"/>
      <c r="E95" s="7" t="n"/>
      <c r="F95" s="26">
        <f>IF(OR(D95="",E95="",D95=0),"",IFERROR(E95/D95*100,0))</f>
        <v/>
      </c>
      <c r="G95" s="7" t="n"/>
      <c r="H95" s="7" t="n"/>
      <c r="I95" s="7" t="n"/>
      <c r="J95" s="7" t="n"/>
      <c r="K95" s="7" t="n"/>
      <c r="L95" s="29">
        <f>IF(OR(D95="",E95=""),"",D95-E95)</f>
        <v/>
      </c>
      <c r="M95" s="7">
        <f>IF(K95="","",IFERROR(COUNTIF($K$6:$K$115,K95),0))</f>
        <v/>
      </c>
      <c r="N95" s="26">
        <f>IF(H95="","",IFERROR(AVERAGEIF($H$6:$H$115,H95,$F$6:$F$115),0))</f>
        <v/>
      </c>
    </row>
    <row r="96" ht="22" customHeight="1">
      <c r="A96" s="5" t="n"/>
      <c r="B96" s="5" t="n"/>
      <c r="C96" s="5" t="n"/>
      <c r="D96" s="5" t="n"/>
      <c r="E96" s="5" t="n"/>
      <c r="F96" s="24">
        <f>IF(OR(D96="",E96="",D96=0),"",IFERROR(E96/D96*100,0))</f>
        <v/>
      </c>
      <c r="G96" s="5" t="n"/>
      <c r="H96" s="5" t="n"/>
      <c r="I96" s="5" t="n"/>
      <c r="J96" s="5" t="n"/>
      <c r="K96" s="5" t="n"/>
      <c r="L96" s="28">
        <f>IF(OR(D96="",E96=""),"",D96-E96)</f>
        <v/>
      </c>
      <c r="M96" s="5">
        <f>IF(K96="","",IFERROR(COUNTIF($K$6:$K$115,K96),0))</f>
        <v/>
      </c>
      <c r="N96" s="24">
        <f>IF(H96="","",IFERROR(AVERAGEIF($H$6:$H$115,H96,$F$6:$F$115),0))</f>
        <v/>
      </c>
    </row>
    <row r="97" ht="22" customHeight="1">
      <c r="A97" s="7" t="n"/>
      <c r="B97" s="7" t="n"/>
      <c r="C97" s="7" t="n"/>
      <c r="D97" s="7" t="n"/>
      <c r="E97" s="7" t="n"/>
      <c r="F97" s="26">
        <f>IF(OR(D97="",E97="",D97=0),"",IFERROR(E97/D97*100,0))</f>
        <v/>
      </c>
      <c r="G97" s="7" t="n"/>
      <c r="H97" s="7" t="n"/>
      <c r="I97" s="7" t="n"/>
      <c r="J97" s="7" t="n"/>
      <c r="K97" s="7" t="n"/>
      <c r="L97" s="29">
        <f>IF(OR(D97="",E97=""),"",D97-E97)</f>
        <v/>
      </c>
      <c r="M97" s="7">
        <f>IF(K97="","",IFERROR(COUNTIF($K$6:$K$115,K97),0))</f>
        <v/>
      </c>
      <c r="N97" s="26">
        <f>IF(H97="","",IFERROR(AVERAGEIF($H$6:$H$115,H97,$F$6:$F$115),0))</f>
        <v/>
      </c>
    </row>
    <row r="98" ht="22" customHeight="1">
      <c r="A98" s="5" t="n"/>
      <c r="B98" s="5" t="n"/>
      <c r="C98" s="5" t="n"/>
      <c r="D98" s="5" t="n"/>
      <c r="E98" s="5" t="n"/>
      <c r="F98" s="24">
        <f>IF(OR(D98="",E98="",D98=0),"",IFERROR(E98/D98*100,0))</f>
        <v/>
      </c>
      <c r="G98" s="5" t="n"/>
      <c r="H98" s="5" t="n"/>
      <c r="I98" s="5" t="n"/>
      <c r="J98" s="5" t="n"/>
      <c r="K98" s="5" t="n"/>
      <c r="L98" s="28">
        <f>IF(OR(D98="",E98=""),"",D98-E98)</f>
        <v/>
      </c>
      <c r="M98" s="5">
        <f>IF(K98="","",IFERROR(COUNTIF($K$6:$K$115,K98),0))</f>
        <v/>
      </c>
      <c r="N98" s="24">
        <f>IF(H98="","",IFERROR(AVERAGEIF($H$6:$H$115,H98,$F$6:$F$115),0))</f>
        <v/>
      </c>
    </row>
    <row r="99" ht="22" customHeight="1">
      <c r="A99" s="7" t="n"/>
      <c r="B99" s="7" t="n"/>
      <c r="C99" s="7" t="n"/>
      <c r="D99" s="7" t="n"/>
      <c r="E99" s="7" t="n"/>
      <c r="F99" s="26">
        <f>IF(OR(D99="",E99="",D99=0),"",IFERROR(E99/D99*100,0))</f>
        <v/>
      </c>
      <c r="G99" s="7" t="n"/>
      <c r="H99" s="7" t="n"/>
      <c r="I99" s="7" t="n"/>
      <c r="J99" s="7" t="n"/>
      <c r="K99" s="7" t="n"/>
      <c r="L99" s="29">
        <f>IF(OR(D99="",E99=""),"",D99-E99)</f>
        <v/>
      </c>
      <c r="M99" s="7">
        <f>IF(K99="","",IFERROR(COUNTIF($K$6:$K$115,K99),0))</f>
        <v/>
      </c>
      <c r="N99" s="26">
        <f>IF(H99="","",IFERROR(AVERAGEIF($H$6:$H$115,H99,$F$6:$F$115),0))</f>
        <v/>
      </c>
    </row>
    <row r="100" ht="22" customHeight="1">
      <c r="A100" s="5" t="n"/>
      <c r="B100" s="5" t="n"/>
      <c r="C100" s="5" t="n"/>
      <c r="D100" s="5" t="n"/>
      <c r="E100" s="5" t="n"/>
      <c r="F100" s="24">
        <f>IF(OR(D100="",E100="",D100=0),"",IFERROR(E100/D100*100,0))</f>
        <v/>
      </c>
      <c r="G100" s="5" t="n"/>
      <c r="H100" s="5" t="n"/>
      <c r="I100" s="5" t="n"/>
      <c r="J100" s="5" t="n"/>
      <c r="K100" s="5" t="n"/>
      <c r="L100" s="28">
        <f>IF(OR(D100="",E100=""),"",D100-E100)</f>
        <v/>
      </c>
      <c r="M100" s="5">
        <f>IF(K100="","",IFERROR(COUNTIF($K$6:$K$115,K100),0))</f>
        <v/>
      </c>
      <c r="N100" s="24">
        <f>IF(H100="","",IFERROR(AVERAGEIF($H$6:$H$115,H100,$F$6:$F$115),0))</f>
        <v/>
      </c>
    </row>
    <row r="101" ht="22" customHeight="1">
      <c r="A101" s="7" t="n"/>
      <c r="B101" s="7" t="n"/>
      <c r="C101" s="7" t="n"/>
      <c r="D101" s="7" t="n"/>
      <c r="E101" s="7" t="n"/>
      <c r="F101" s="26">
        <f>IF(OR(D101="",E101="",D101=0),"",IFERROR(E101/D101*100,0))</f>
        <v/>
      </c>
      <c r="G101" s="7" t="n"/>
      <c r="H101" s="7" t="n"/>
      <c r="I101" s="7" t="n"/>
      <c r="J101" s="7" t="n"/>
      <c r="K101" s="7" t="n"/>
      <c r="L101" s="29">
        <f>IF(OR(D101="",E101=""),"",D101-E101)</f>
        <v/>
      </c>
      <c r="M101" s="7">
        <f>IF(K101="","",IFERROR(COUNTIF($K$6:$K$115,K101),0))</f>
        <v/>
      </c>
      <c r="N101" s="26">
        <f>IF(H101="","",IFERROR(AVERAGEIF($H$6:$H$115,H101,$F$6:$F$115),0))</f>
        <v/>
      </c>
    </row>
    <row r="102" ht="22" customHeight="1">
      <c r="A102" s="5" t="n"/>
      <c r="B102" s="5" t="n"/>
      <c r="C102" s="5" t="n"/>
      <c r="D102" s="5" t="n"/>
      <c r="E102" s="5" t="n"/>
      <c r="F102" s="24">
        <f>IF(OR(D102="",E102="",D102=0),"",IFERROR(E102/D102*100,0))</f>
        <v/>
      </c>
      <c r="G102" s="5" t="n"/>
      <c r="H102" s="5" t="n"/>
      <c r="I102" s="5" t="n"/>
      <c r="J102" s="5" t="n"/>
      <c r="K102" s="5" t="n"/>
      <c r="L102" s="28">
        <f>IF(OR(D102="",E102=""),"",D102-E102)</f>
        <v/>
      </c>
      <c r="M102" s="5">
        <f>IF(K102="","",IFERROR(COUNTIF($K$6:$K$115,K102),0))</f>
        <v/>
      </c>
      <c r="N102" s="24">
        <f>IF(H102="","",IFERROR(AVERAGEIF($H$6:$H$115,H102,$F$6:$F$115),0))</f>
        <v/>
      </c>
    </row>
    <row r="103" ht="22" customHeight="1">
      <c r="A103" s="7" t="n"/>
      <c r="B103" s="7" t="n"/>
      <c r="C103" s="7" t="n"/>
      <c r="D103" s="7" t="n"/>
      <c r="E103" s="7" t="n"/>
      <c r="F103" s="26">
        <f>IF(OR(D103="",E103="",D103=0),"",IFERROR(E103/D103*100,0))</f>
        <v/>
      </c>
      <c r="G103" s="7" t="n"/>
      <c r="H103" s="7" t="n"/>
      <c r="I103" s="7" t="n"/>
      <c r="J103" s="7" t="n"/>
      <c r="K103" s="7" t="n"/>
      <c r="L103" s="29">
        <f>IF(OR(D103="",E103=""),"",D103-E103)</f>
        <v/>
      </c>
      <c r="M103" s="7">
        <f>IF(K103="","",IFERROR(COUNTIF($K$6:$K$115,K103),0))</f>
        <v/>
      </c>
      <c r="N103" s="26">
        <f>IF(H103="","",IFERROR(AVERAGEIF($H$6:$H$115,H103,$F$6:$F$115),0))</f>
        <v/>
      </c>
    </row>
    <row r="104" ht="22" customHeight="1">
      <c r="A104" s="5" t="n"/>
      <c r="B104" s="5" t="n"/>
      <c r="C104" s="5" t="n"/>
      <c r="D104" s="5" t="n"/>
      <c r="E104" s="5" t="n"/>
      <c r="F104" s="24">
        <f>IF(OR(D104="",E104="",D104=0),"",IFERROR(E104/D104*100,0))</f>
        <v/>
      </c>
      <c r="G104" s="5" t="n"/>
      <c r="H104" s="5" t="n"/>
      <c r="I104" s="5" t="n"/>
      <c r="J104" s="5" t="n"/>
      <c r="K104" s="5" t="n"/>
      <c r="L104" s="28">
        <f>IF(OR(D104="",E104=""),"",D104-E104)</f>
        <v/>
      </c>
      <c r="M104" s="5">
        <f>IF(K104="","",IFERROR(COUNTIF($K$6:$K$115,K104),0))</f>
        <v/>
      </c>
      <c r="N104" s="24">
        <f>IF(H104="","",IFERROR(AVERAGEIF($H$6:$H$115,H104,$F$6:$F$115),0))</f>
        <v/>
      </c>
    </row>
    <row r="105" ht="22" customHeight="1">
      <c r="A105" s="7" t="n"/>
      <c r="B105" s="7" t="n"/>
      <c r="C105" s="7" t="n"/>
      <c r="D105" s="7" t="n"/>
      <c r="E105" s="7" t="n"/>
      <c r="F105" s="26">
        <f>IF(OR(D105="",E105="",D105=0),"",IFERROR(E105/D105*100,0))</f>
        <v/>
      </c>
      <c r="G105" s="7" t="n"/>
      <c r="H105" s="7" t="n"/>
      <c r="I105" s="7" t="n"/>
      <c r="J105" s="7" t="n"/>
      <c r="K105" s="7" t="n"/>
      <c r="L105" s="29">
        <f>IF(OR(D105="",E105=""),"",D105-E105)</f>
        <v/>
      </c>
      <c r="M105" s="7">
        <f>IF(K105="","",IFERROR(COUNTIF($K$6:$K$115,K105),0))</f>
        <v/>
      </c>
      <c r="N105" s="26">
        <f>IF(H105="","",IFERROR(AVERAGEIF($H$6:$H$115,H105,$F$6:$F$115),0))</f>
        <v/>
      </c>
    </row>
    <row r="106" ht="22" customHeight="1">
      <c r="A106" s="5" t="n"/>
      <c r="B106" s="5" t="n"/>
      <c r="C106" s="5" t="n"/>
      <c r="D106" s="5" t="n"/>
      <c r="E106" s="5" t="n"/>
      <c r="F106" s="24">
        <f>IF(OR(D106="",E106="",D106=0),"",IFERROR(E106/D106*100,0))</f>
        <v/>
      </c>
      <c r="G106" s="5" t="n"/>
      <c r="H106" s="5" t="n"/>
      <c r="I106" s="5" t="n"/>
      <c r="J106" s="5" t="n"/>
      <c r="K106" s="5" t="n"/>
      <c r="L106" s="28">
        <f>IF(OR(D106="",E106=""),"",D106-E106)</f>
        <v/>
      </c>
      <c r="M106" s="5">
        <f>IF(K106="","",IFERROR(COUNTIF($K$6:$K$115,K106),0))</f>
        <v/>
      </c>
      <c r="N106" s="24">
        <f>IF(H106="","",IFERROR(AVERAGEIF($H$6:$H$115,H106,$F$6:$F$115),0))</f>
        <v/>
      </c>
    </row>
    <row r="107" ht="22" customHeight="1">
      <c r="A107" s="7" t="n"/>
      <c r="B107" s="7" t="n"/>
      <c r="C107" s="7" t="n"/>
      <c r="D107" s="7" t="n"/>
      <c r="E107" s="7" t="n"/>
      <c r="F107" s="26">
        <f>IF(OR(D107="",E107="",D107=0),"",IFERROR(E107/D107*100,0))</f>
        <v/>
      </c>
      <c r="G107" s="7" t="n"/>
      <c r="H107" s="7" t="n"/>
      <c r="I107" s="7" t="n"/>
      <c r="J107" s="7" t="n"/>
      <c r="K107" s="7" t="n"/>
      <c r="L107" s="29">
        <f>IF(OR(D107="",E107=""),"",D107-E107)</f>
        <v/>
      </c>
      <c r="M107" s="7">
        <f>IF(K107="","",IFERROR(COUNTIF($K$6:$K$115,K107),0))</f>
        <v/>
      </c>
      <c r="N107" s="26">
        <f>IF(H107="","",IFERROR(AVERAGEIF($H$6:$H$115,H107,$F$6:$F$115),0))</f>
        <v/>
      </c>
    </row>
    <row r="108" ht="22" customHeight="1">
      <c r="A108" s="5" t="n"/>
      <c r="B108" s="5" t="n"/>
      <c r="C108" s="5" t="n"/>
      <c r="D108" s="5" t="n"/>
      <c r="E108" s="5" t="n"/>
      <c r="F108" s="24">
        <f>IF(OR(D108="",E108="",D108=0),"",IFERROR(E108/D108*100,0))</f>
        <v/>
      </c>
      <c r="G108" s="5" t="n"/>
      <c r="H108" s="5" t="n"/>
      <c r="I108" s="5" t="n"/>
      <c r="J108" s="5" t="n"/>
      <c r="K108" s="5" t="n"/>
      <c r="L108" s="28">
        <f>IF(OR(D108="",E108=""),"",D108-E108)</f>
        <v/>
      </c>
      <c r="M108" s="5">
        <f>IF(K108="","",IFERROR(COUNTIF($K$6:$K$115,K108),0))</f>
        <v/>
      </c>
      <c r="N108" s="24">
        <f>IF(H108="","",IFERROR(AVERAGEIF($H$6:$H$115,H108,$F$6:$F$115),0))</f>
        <v/>
      </c>
    </row>
    <row r="109" ht="22" customHeight="1">
      <c r="A109" s="7" t="n"/>
      <c r="B109" s="7" t="n"/>
      <c r="C109" s="7" t="n"/>
      <c r="D109" s="7" t="n"/>
      <c r="E109" s="7" t="n"/>
      <c r="F109" s="26">
        <f>IF(OR(D109="",E109="",D109=0),"",IFERROR(E109/D109*100,0))</f>
        <v/>
      </c>
      <c r="G109" s="7" t="n"/>
      <c r="H109" s="7" t="n"/>
      <c r="I109" s="7" t="n"/>
      <c r="J109" s="7" t="n"/>
      <c r="K109" s="7" t="n"/>
      <c r="L109" s="29">
        <f>IF(OR(D109="",E109=""),"",D109-E109)</f>
        <v/>
      </c>
      <c r="M109" s="7">
        <f>IF(K109="","",IFERROR(COUNTIF($K$6:$K$115,K109),0))</f>
        <v/>
      </c>
      <c r="N109" s="26">
        <f>IF(H109="","",IFERROR(AVERAGEIF($H$6:$H$115,H109,$F$6:$F$115),0))</f>
        <v/>
      </c>
    </row>
    <row r="110" ht="22" customHeight="1">
      <c r="A110" s="5" t="n"/>
      <c r="B110" s="5" t="n"/>
      <c r="C110" s="5" t="n"/>
      <c r="D110" s="5" t="n"/>
      <c r="E110" s="5" t="n"/>
      <c r="F110" s="24">
        <f>IF(OR(D110="",E110="",D110=0),"",IFERROR(E110/D110*100,0))</f>
        <v/>
      </c>
      <c r="G110" s="5" t="n"/>
      <c r="H110" s="5" t="n"/>
      <c r="I110" s="5" t="n"/>
      <c r="J110" s="5" t="n"/>
      <c r="K110" s="5" t="n"/>
      <c r="L110" s="28">
        <f>IF(OR(D110="",E110=""),"",D110-E110)</f>
        <v/>
      </c>
      <c r="M110" s="5">
        <f>IF(K110="","",IFERROR(COUNTIF($K$6:$K$115,K110),0))</f>
        <v/>
      </c>
      <c r="N110" s="24">
        <f>IF(H110="","",IFERROR(AVERAGEIF($H$6:$H$115,H110,$F$6:$F$115),0))</f>
        <v/>
      </c>
    </row>
    <row r="111" ht="22" customHeight="1">
      <c r="A111" s="7" t="n"/>
      <c r="B111" s="7" t="n"/>
      <c r="C111" s="7" t="n"/>
      <c r="D111" s="7" t="n"/>
      <c r="E111" s="7" t="n"/>
      <c r="F111" s="26">
        <f>IF(OR(D111="",E111="",D111=0),"",IFERROR(E111/D111*100,0))</f>
        <v/>
      </c>
      <c r="G111" s="7" t="n"/>
      <c r="H111" s="7" t="n"/>
      <c r="I111" s="7" t="n"/>
      <c r="J111" s="7" t="n"/>
      <c r="K111" s="7" t="n"/>
      <c r="L111" s="29">
        <f>IF(OR(D111="",E111=""),"",D111-E111)</f>
        <v/>
      </c>
      <c r="M111" s="7">
        <f>IF(K111="","",IFERROR(COUNTIF($K$6:$K$115,K111),0))</f>
        <v/>
      </c>
      <c r="N111" s="26">
        <f>IF(H111="","",IFERROR(AVERAGEIF($H$6:$H$115,H111,$F$6:$F$115),0))</f>
        <v/>
      </c>
    </row>
    <row r="112" ht="22" customHeight="1">
      <c r="A112" s="5" t="n"/>
      <c r="B112" s="5" t="n"/>
      <c r="C112" s="5" t="n"/>
      <c r="D112" s="5" t="n"/>
      <c r="E112" s="5" t="n"/>
      <c r="F112" s="24">
        <f>IF(OR(D112="",E112="",D112=0),"",IFERROR(E112/D112*100,0))</f>
        <v/>
      </c>
      <c r="G112" s="5" t="n"/>
      <c r="H112" s="5" t="n"/>
      <c r="I112" s="5" t="n"/>
      <c r="J112" s="5" t="n"/>
      <c r="K112" s="5" t="n"/>
      <c r="L112" s="28">
        <f>IF(OR(D112="",E112=""),"",D112-E112)</f>
        <v/>
      </c>
      <c r="M112" s="5">
        <f>IF(K112="","",IFERROR(COUNTIF($K$6:$K$115,K112),0))</f>
        <v/>
      </c>
      <c r="N112" s="24">
        <f>IF(H112="","",IFERROR(AVERAGEIF($H$6:$H$115,H112,$F$6:$F$115),0))</f>
        <v/>
      </c>
    </row>
    <row r="113" ht="22" customHeight="1">
      <c r="A113" s="7" t="n"/>
      <c r="B113" s="7" t="n"/>
      <c r="C113" s="7" t="n"/>
      <c r="D113" s="7" t="n"/>
      <c r="E113" s="7" t="n"/>
      <c r="F113" s="26">
        <f>IF(OR(D113="",E113="",D113=0),"",IFERROR(E113/D113*100,0))</f>
        <v/>
      </c>
      <c r="G113" s="7" t="n"/>
      <c r="H113" s="7" t="n"/>
      <c r="I113" s="7" t="n"/>
      <c r="J113" s="7" t="n"/>
      <c r="K113" s="7" t="n"/>
      <c r="L113" s="29">
        <f>IF(OR(D113="",E113=""),"",D113-E113)</f>
        <v/>
      </c>
      <c r="M113" s="7">
        <f>IF(K113="","",IFERROR(COUNTIF($K$6:$K$115,K113),0))</f>
        <v/>
      </c>
      <c r="N113" s="26">
        <f>IF(H113="","",IFERROR(AVERAGEIF($H$6:$H$115,H113,$F$6:$F$115),0))</f>
        <v/>
      </c>
    </row>
    <row r="114" ht="22" customHeight="1">
      <c r="A114" s="5" t="n"/>
      <c r="B114" s="5" t="n"/>
      <c r="C114" s="5" t="n"/>
      <c r="D114" s="5" t="n"/>
      <c r="E114" s="5" t="n"/>
      <c r="F114" s="24">
        <f>IF(OR(D114="",E114="",D114=0),"",IFERROR(E114/D114*100,0))</f>
        <v/>
      </c>
      <c r="G114" s="5" t="n"/>
      <c r="H114" s="5" t="n"/>
      <c r="I114" s="5" t="n"/>
      <c r="J114" s="5" t="n"/>
      <c r="K114" s="5" t="n"/>
      <c r="L114" s="28">
        <f>IF(OR(D114="",E114=""),"",D114-E114)</f>
        <v/>
      </c>
      <c r="M114" s="5">
        <f>IF(K114="","",IFERROR(COUNTIF($K$6:$K$115,K114),0))</f>
        <v/>
      </c>
      <c r="N114" s="24">
        <f>IF(H114="","",IFERROR(AVERAGEIF($H$6:$H$115,H114,$F$6:$F$115),0))</f>
        <v/>
      </c>
    </row>
    <row r="115" ht="22" customHeight="1">
      <c r="A115" s="7" t="n"/>
      <c r="B115" s="7" t="n"/>
      <c r="C115" s="7" t="n"/>
      <c r="D115" s="7" t="n"/>
      <c r="E115" s="7" t="n"/>
      <c r="F115" s="26">
        <f>IF(OR(D115="",E115="",D115=0),"",IFERROR(E115/D115*100,0))</f>
        <v/>
      </c>
      <c r="G115" s="7" t="n"/>
      <c r="H115" s="7" t="n"/>
      <c r="I115" s="7" t="n"/>
      <c r="J115" s="7" t="n"/>
      <c r="K115" s="7" t="n"/>
      <c r="L115" s="29">
        <f>IF(OR(D115="",E115=""),"",D115-E115)</f>
        <v/>
      </c>
      <c r="M115" s="7">
        <f>IF(K115="","",IFERROR(COUNTIF($K$6:$K$115,K115),0))</f>
        <v/>
      </c>
      <c r="N115" s="26">
        <f>IF(H115="","",IFERROR(AVERAGEIF($H$6:$H$115,H115,$F$6:$F$115),0))</f>
        <v/>
      </c>
    </row>
  </sheetData>
  <mergeCells count="2">
    <mergeCell ref="A3:N3"/>
    <mergeCell ref="A2:N2"/>
  </mergeCells>
  <conditionalFormatting sqref="F6:F115">
    <cfRule type="expression" priority="1" dxfId="0">
      <formula>AND(F6&gt;90,F6&lt;&gt;"")</formula>
    </cfRule>
    <cfRule type="expression" priority="2" dxfId="1">
      <formula>AND(F6&gt;75,F6&lt;=90)</formula>
    </cfRule>
  </conditionalFormatting>
  <dataValidations count="5">
    <dataValidation sqref="C6:C115" showDropDown="0" showInputMessage="0" showErrorMessage="0" allowBlank="1" errorTitle="Erreur" error="Valeur invalide" promptTitle="" prompt="Choisir dans la liste: " type="list">
      <formula1>'F02 - _Lists'!$AA$6:$AA$13</formula1>
    </dataValidation>
    <dataValidation sqref="G6:G115" showDropDown="0" showInputMessage="0" showErrorMessage="0" allowBlank="1" errorTitle="Erreur" error="Valeur invalide" promptTitle="" prompt="Choisir dans la liste: " type="list">
      <formula1>'F02 - _Lists'!$X$6:$X$17</formula1>
    </dataValidation>
    <dataValidation sqref="H6:H115" showDropDown="0" showInputMessage="0" showErrorMessage="0" allowBlank="1" errorTitle="Erreur" error="Valeur invalide" promptTitle="" prompt="Choisir dans la liste: " type="list">
      <formula1>'F02 - _Lists'!$B$6:$B$20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_Lists'!$M$6:$M$15</formula1>
    </dataValidation>
    <dataValidation sqref="K6:K115" showDropDown="0" showInputMessage="0" showErrorMessage="0" allowBlank="1" errorTitle="Erreur" error="Valeur invalide" promptTitle="" prompt="Choisir dans la liste: " type="list">
      <formula1>'F02 - _Lists'!$V$6:$V$10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12-MATRICE PAYS × POSTE — Répartition géographique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Poste</t>
        </is>
      </c>
      <c r="B5" s="4" t="inlineStr">
        <is>
          <t>France</t>
        </is>
      </c>
      <c r="C5" s="4" t="inlineStr">
        <is>
          <t>Allemagne</t>
        </is>
      </c>
      <c r="D5" s="4" t="inlineStr">
        <is>
          <t>Brésil</t>
        </is>
      </c>
      <c r="E5" s="4" t="inlineStr">
        <is>
          <t>Corée du Sud</t>
        </is>
      </c>
      <c r="F5" s="4" t="inlineStr">
        <is>
          <t>Japon</t>
        </is>
      </c>
      <c r="G5" s="4" t="inlineStr">
        <is>
          <t>Nigeria</t>
        </is>
      </c>
      <c r="H5" s="4" t="inlineStr">
        <is>
          <t>Portugal</t>
        </is>
      </c>
      <c r="I5" s="4" t="inlineStr">
        <is>
          <t>Chine</t>
        </is>
      </c>
      <c r="J5" s="4" t="inlineStr">
        <is>
          <t>Belgique</t>
        </is>
      </c>
      <c r="K5" s="4" t="inlineStr">
        <is>
          <t>Ghana</t>
        </is>
      </c>
      <c r="L5" s="4" t="inlineStr">
        <is>
          <t>Italie</t>
        </is>
      </c>
      <c r="M5" s="4" t="inlineStr">
        <is>
          <t>Maroc</t>
        </is>
      </c>
      <c r="N5" s="4" t="inlineStr">
        <is>
          <t>Suède</t>
        </is>
      </c>
    </row>
    <row r="6" ht="22" customHeight="1">
      <c r="A6" s="5" t="inlineStr">
        <is>
          <t>DG Adjoint</t>
        </is>
      </c>
      <c r="B6" s="6" t="n">
        <v>1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30">
        <f>IF(A6="",0,SUM(B6:M6))</f>
        <v/>
      </c>
    </row>
    <row r="7" ht="22" customHeight="1">
      <c r="A7" s="7" t="inlineStr">
        <is>
          <t>Contrôleur Financier</t>
        </is>
      </c>
      <c r="B7" s="8" t="n">
        <v>1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31">
        <f>IF(A7="",0,SUM(B7:M7))</f>
        <v/>
      </c>
    </row>
    <row r="8" ht="22" customHeight="1">
      <c r="A8" s="5" t="inlineStr">
        <is>
          <t>Chef Exécutif</t>
        </is>
      </c>
      <c r="B8" s="6" t="n">
        <v>0</v>
      </c>
      <c r="C8" s="6" t="n">
        <v>1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30">
        <f>IF(A8="",0,SUM(B8:M8))</f>
        <v/>
      </c>
    </row>
    <row r="9" ht="22" customHeight="1">
      <c r="A9" s="7" t="inlineStr">
        <is>
          <t>Directrice Spa</t>
        </is>
      </c>
      <c r="B9" s="8" t="n">
        <v>0</v>
      </c>
      <c r="C9" s="8" t="n">
        <v>0</v>
      </c>
      <c r="D9" s="8" t="n">
        <v>1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31">
        <f>IF(A9="",0,SUM(B9:M9))</f>
        <v/>
      </c>
    </row>
    <row r="10" ht="22" customHeight="1">
      <c r="A10" s="5" t="inlineStr">
        <is>
          <t>Expert IT Senior</t>
        </is>
      </c>
      <c r="B10" s="6" t="n">
        <v>0</v>
      </c>
      <c r="C10" s="6" t="n">
        <v>0</v>
      </c>
      <c r="D10" s="6" t="n">
        <v>0</v>
      </c>
      <c r="E10" s="6" t="n">
        <v>1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30">
        <f>IF(A10="",0,SUM(B10:M10))</f>
        <v/>
      </c>
    </row>
    <row r="11" ht="22" customHeight="1">
      <c r="A11" s="7" t="inlineStr">
        <is>
          <t>Concierge Chef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1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31">
        <f>IF(A11="",0,SUM(B11:M11))</f>
        <v/>
      </c>
    </row>
    <row r="12" ht="22" customHeight="1">
      <c r="A12" s="5" t="inlineStr">
        <is>
          <t>Resp. Formation Intl.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1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30">
        <f>IF(A12="",0,SUM(B12:M12))</f>
        <v/>
      </c>
    </row>
    <row r="13" ht="22" customHeight="1">
      <c r="A13" s="7" t="inlineStr">
        <is>
          <t>Directeur Marketing</t>
        </is>
      </c>
      <c r="B13" s="8" t="n">
        <v>1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31">
        <f>IF(A13="",0,SUM(B13:M13))</f>
        <v/>
      </c>
    </row>
    <row r="14" ht="22" customHeight="1">
      <c r="A14" s="5" t="inlineStr">
        <is>
          <t>Director of Rooms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1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30">
        <f>IF(A14="",0,SUM(B14:M14))</f>
        <v/>
      </c>
    </row>
    <row r="15" ht="22" customHeight="1">
      <c r="A15" s="7" t="inlineStr">
        <is>
          <t>Resp. Commercial Asie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1</v>
      </c>
      <c r="J15" s="8" t="n">
        <v>0</v>
      </c>
      <c r="K15" s="8" t="n">
        <v>0</v>
      </c>
      <c r="L15" s="8" t="n">
        <v>0</v>
      </c>
      <c r="M15" s="8" t="n">
        <v>0</v>
      </c>
      <c r="N15" s="31">
        <f>IF(A15="",0,SUM(B15:M15))</f>
        <v/>
      </c>
    </row>
    <row r="16" ht="22" customHeight="1">
      <c r="A16" s="5" t="inlineStr">
        <is>
          <t>DRH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1</v>
      </c>
      <c r="K16" s="6" t="n">
        <v>0</v>
      </c>
      <c r="L16" s="6" t="n">
        <v>0</v>
      </c>
      <c r="M16" s="6" t="n">
        <v>0</v>
      </c>
      <c r="N16" s="30">
        <f>IF(A16="",0,SUM(B16:M16))</f>
        <v/>
      </c>
    </row>
    <row r="17" ht="22" customHeight="1">
      <c r="A17" s="7" t="inlineStr">
        <is>
          <t>Consultant Sécurité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</v>
      </c>
      <c r="L17" s="8" t="n">
        <v>0</v>
      </c>
      <c r="M17" s="8" t="n">
        <v>0</v>
      </c>
      <c r="N17" s="31">
        <f>IF(A17="",0,SUM(B17:M17))</f>
        <v/>
      </c>
    </row>
    <row r="18" ht="22" customHeight="1">
      <c r="A18" s="5" t="inlineStr">
        <is>
          <t>Sommelier Chef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1</v>
      </c>
      <c r="M18" s="6" t="n">
        <v>0</v>
      </c>
      <c r="N18" s="30">
        <f>IF(A18="",0,SUM(B18:M18))</f>
        <v/>
      </c>
    </row>
    <row r="19" ht="22" customHeight="1">
      <c r="A19" s="7" t="inlineStr">
        <is>
          <t>Animatrice Multilingue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1</v>
      </c>
      <c r="N19" s="31">
        <f>IF(A19="",0,SUM(B19:M19))</f>
        <v/>
      </c>
    </row>
    <row r="20" ht="22" customHeight="1">
      <c r="A20" s="5" t="inlineStr">
        <is>
          <t>Ingénieur Technique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30">
        <f>IF(A20="",0,SUM(B20:M20))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32">
        <f>IF(A21="",0,SUM(B21:M21))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33">
        <f>IF(A22="",0,SUM(B22:M22))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32">
        <f>IF(A23="",0,SUM(B23:M23))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33">
        <f>IF(A24="",0,SUM(B24:M24))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32">
        <f>IF(A25="",0,SUM(B25:M25))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33">
        <f>IF(A26="",0,SUM(B26:M26))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32">
        <f>IF(A27="",0,SUM(B27:M27))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33">
        <f>IF(A28="",0,SUM(B28:M28))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32">
        <f>IF(A29="",0,SUM(B29:M29))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33">
        <f>IF(A30="",0,SUM(B30:M30))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32">
        <f>IF(A31="",0,SUM(B31:M31))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33">
        <f>IF(A32="",0,SUM(B32:M32))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32">
        <f>IF(A33="",0,SUM(B33:M33))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33">
        <f>IF(A34="",0,SUM(B34:M34))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32">
        <f>IF(A35="",0,SUM(B35:M35))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33">
        <f>IF(A36="",0,SUM(B36:M36))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32">
        <f>IF(A37="",0,SUM(B37:M37))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33">
        <f>IF(A38="",0,SUM(B38:M38))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32">
        <f>IF(A39="",0,SUM(B39:M39))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33">
        <f>IF(A40="",0,SUM(B40:M40))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32">
        <f>IF(A41="",0,SUM(B41:M41))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33">
        <f>IF(A42="",0,SUM(B42:M42))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32">
        <f>IF(A43="",0,SUM(B43:M43))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33">
        <f>IF(A44="",0,SUM(B44:M44))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32">
        <f>IF(A45="",0,SUM(B45:M45))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33">
        <f>IF(A46="",0,SUM(B46:M46))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32">
        <f>IF(A47="",0,SUM(B47:M47))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33">
        <f>IF(A48="",0,SUM(B48:M48))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32">
        <f>IF(A49="",0,SUM(B49:M49))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33">
        <f>IF(A50="",0,SUM(B50:M50))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32">
        <f>IF(A51="",0,SUM(B51:M51))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33">
        <f>IF(A52="",0,SUM(B52:M52))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32">
        <f>IF(A53="",0,SUM(B53:M53))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33">
        <f>IF(A54="",0,SUM(B54:M54))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32">
        <f>IF(A55="",0,SUM(B55:M55))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33">
        <f>IF(A56="",0,SUM(B56:M56))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32">
        <f>IF(A57="",0,SUM(B57:M57))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33">
        <f>IF(A58="",0,SUM(B58:M58))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32">
        <f>IF(A59="",0,SUM(B59:M59))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33">
        <f>IF(A60="",0,SUM(B60:M60))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32">
        <f>IF(A61="",0,SUM(B61:M61))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33">
        <f>IF(A62="",0,SUM(B62:M62))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32">
        <f>IF(A63="",0,SUM(B63:M63))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33">
        <f>IF(A64="",0,SUM(B64:M64))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32">
        <f>IF(A65="",0,SUM(B65:M65))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33">
        <f>IF(A66="",0,SUM(B66:M66))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32">
        <f>IF(A67="",0,SUM(B67:M67))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33">
        <f>IF(A68="",0,SUM(B68:M68))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32">
        <f>IF(A69="",0,SUM(B69:M69))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33">
        <f>IF(A70="",0,SUM(B70:M70))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32">
        <f>IF(A71="",0,SUM(B71:M71))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33">
        <f>IF(A72="",0,SUM(B72:M72))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32">
        <f>IF(A73="",0,SUM(B73:M73))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33">
        <f>IF(A74="",0,SUM(B74:M74))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32">
        <f>IF(A75="",0,SUM(B75:M75))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33">
        <f>IF(A76="",0,SUM(B76:M76))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32">
        <f>IF(A77="",0,SUM(B77:M77))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33">
        <f>IF(A78="",0,SUM(B78:M78))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32">
        <f>IF(A79="",0,SUM(B79:M79))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33">
        <f>IF(A80="",0,SUM(B80:M80))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32">
        <f>IF(A81="",0,SUM(B81:M81))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33">
        <f>IF(A82="",0,SUM(B82:M82))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32">
        <f>IF(A83="",0,SUM(B83:M83))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33">
        <f>IF(A84="",0,SUM(B84:M84))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32">
        <f>IF(A85="",0,SUM(B85:M85))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33">
        <f>IF(A86="",0,SUM(B86:M86))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32">
        <f>IF(A87="",0,SUM(B87:M87))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33">
        <f>IF(A88="",0,SUM(B88:M88))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32">
        <f>IF(A89="",0,SUM(B89:M89))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33">
        <f>IF(A90="",0,SUM(B90:M90))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32">
        <f>IF(A91="",0,SUM(B91:M91))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33">
        <f>IF(A92="",0,SUM(B92:M92))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32">
        <f>IF(A93="",0,SUM(B93:M93))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33">
        <f>IF(A94="",0,SUM(B94:M94))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32">
        <f>IF(A95="",0,SUM(B95:M95))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33">
        <f>IF(A96="",0,SUM(B96:M96))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32">
        <f>IF(A97="",0,SUM(B97:M97))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33">
        <f>IF(A98="",0,SUM(B98:M98))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32">
        <f>IF(A99="",0,SUM(B99:M99))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33">
        <f>IF(A100="",0,SUM(B100:M100))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32">
        <f>IF(A101="",0,SUM(B101:M101))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33">
        <f>IF(A102="",0,SUM(B102:M102))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32">
        <f>IF(A103="",0,SUM(B103:M103))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33">
        <f>IF(A104="",0,SUM(B104:M104))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32">
        <f>IF(A105="",0,SUM(B105:M105))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33">
        <f>IF(A106="",0,SUM(B106:M106))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32">
        <f>IF(A107="",0,SUM(B107:M107))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33">
        <f>IF(A108="",0,SUM(B108:M108))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32">
        <f>IF(A109="",0,SUM(B109:M109))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33">
        <f>IF(A110="",0,SUM(B110:M110))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32">
        <f>IF(A111="",0,SUM(B111:M111))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33">
        <f>IF(A112="",0,SUM(B112:M112))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32">
        <f>IF(A113="",0,SUM(B113:M113))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33">
        <f>IF(A114="",0,SUM(B114:M114))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32">
        <f>IF(A115="",0,SUM(B115:M115))</f>
        <v/>
      </c>
    </row>
  </sheetData>
  <mergeCells count="2">
    <mergeCell ref="A3:N3"/>
    <mergeCell ref="A2:N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8" customWidth="1" min="4" max="4"/>
    <col width="16" customWidth="1" min="5" max="5"/>
    <col width="14" customWidth="1" min="6" max="6"/>
    <col width="14" customWidth="1" min="7" max="7"/>
    <col width="16" customWidth="1" min="8" max="8"/>
    <col width="28" customWidth="1" min="9" max="9"/>
    <col width="16" customWidth="1" min="10" max="10"/>
    <col width="20" customWidth="1" min="11" max="11"/>
    <col width="18" customWidth="1" min="12" max="12"/>
    <col width="16" customWidth="1" min="13" max="13"/>
    <col width="28" customWidth="1" min="14" max="14"/>
  </cols>
  <sheetData>
    <row r="1" ht="8" customHeight="1"/>
    <row r="2" ht="30" customHeight="1">
      <c r="A2" s="1" t="inlineStr">
        <is>
          <t>13-HISTORIQUE DES MISSIONS INTERNATIONALES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Mission</t>
        </is>
      </c>
      <c r="B5" s="4" t="inlineStr">
        <is>
          <t>Matricule Expat.</t>
        </is>
      </c>
      <c r="C5" s="4" t="inlineStr">
        <is>
          <t>Pays Origine</t>
        </is>
      </c>
      <c r="D5" s="4" t="inlineStr">
        <is>
          <t>Pays Destination</t>
        </is>
      </c>
      <c r="E5" s="4" t="inlineStr">
        <is>
          <t>Type Mission</t>
        </is>
      </c>
      <c r="F5" s="4" t="inlineStr">
        <is>
          <t>Date Début</t>
        </is>
      </c>
      <c r="G5" s="4" t="inlineStr">
        <is>
          <t>Date Fin</t>
        </is>
      </c>
      <c r="H5" s="4" t="inlineStr">
        <is>
          <t>Durée (jours)</t>
        </is>
      </c>
      <c r="I5" s="4" t="inlineStr">
        <is>
          <t>Objectif Mission</t>
        </is>
      </c>
      <c r="J5" s="4" t="inlineStr">
        <is>
          <t>Rapport Rendu</t>
        </is>
      </c>
      <c r="K5" s="4" t="inlineStr">
        <is>
          <t>Coût Total (FCFA)</t>
        </is>
      </c>
      <c r="L5" s="4" t="inlineStr">
        <is>
          <t>Évaluation</t>
        </is>
      </c>
      <c r="M5" s="4" t="inlineStr">
        <is>
          <t>Statut</t>
        </is>
      </c>
      <c r="N5" s="4" t="inlineStr">
        <is>
          <t>Observations</t>
        </is>
      </c>
    </row>
    <row r="6" ht="22" customHeight="1">
      <c r="A6" s="5" t="inlineStr">
        <is>
          <t>MIS-001</t>
        </is>
      </c>
      <c r="B6" s="5" t="inlineStr">
        <is>
          <t>EXP-001</t>
        </is>
      </c>
      <c r="C6" s="5" t="inlineStr">
        <is>
          <t>France</t>
        </is>
      </c>
      <c r="D6" s="5" t="inlineStr">
        <is>
          <t>Côte d'Ivoire</t>
        </is>
      </c>
      <c r="E6" s="5" t="inlineStr">
        <is>
          <t>Expatriation</t>
        </is>
      </c>
      <c r="F6" s="22" t="n">
        <v>44941</v>
      </c>
      <c r="G6" s="22" t="n">
        <v>46036</v>
      </c>
      <c r="H6" s="28">
        <f>IF(OR(F6="",G6=""),"",IFERROR(G6-F6,0))</f>
        <v/>
      </c>
      <c r="I6" s="5" t="inlineStr">
        <is>
          <t>Direction adjointe hôtel</t>
        </is>
      </c>
      <c r="J6" s="5" t="inlineStr">
        <is>
          <t>Trimestriel</t>
        </is>
      </c>
      <c r="K6" s="25" t="n">
        <v>180000000</v>
      </c>
      <c r="L6" s="5" t="inlineStr">
        <is>
          <t>Satisfaisant</t>
        </is>
      </c>
      <c r="M6" s="5" t="inlineStr">
        <is>
          <t>En cours</t>
        </is>
      </c>
      <c r="N6" s="5">
        <f>IF(B6="","",IFERROR(VLOOKUP(B6,'F01 - _Données Expatriés'!$A$6:$K$20,2,FALSE)&amp;" "&amp;VLOOKUP(B6,'F01 - _Données Expatriés'!$A$6:$K$20,3,FALSE),""))</f>
        <v/>
      </c>
    </row>
    <row r="7" ht="22" customHeight="1">
      <c r="A7" s="7" t="inlineStr">
        <is>
          <t>MIS-002</t>
        </is>
      </c>
      <c r="B7" s="7" t="inlineStr">
        <is>
          <t>EXP-008</t>
        </is>
      </c>
      <c r="C7" s="7" t="inlineStr">
        <is>
          <t>France</t>
        </is>
      </c>
      <c r="D7" s="7" t="inlineStr">
        <is>
          <t>Côte d'Ivoire</t>
        </is>
      </c>
      <c r="E7" s="7" t="inlineStr">
        <is>
          <t>Expatriation</t>
        </is>
      </c>
      <c r="F7" s="23" t="n">
        <v>44621</v>
      </c>
      <c r="G7" s="23" t="n">
        <v>45716</v>
      </c>
      <c r="H7" s="29">
        <f>IF(OR(F7="",G7=""),"",IFERROR(G7-F7,0))</f>
        <v/>
      </c>
      <c r="I7" s="7" t="inlineStr">
        <is>
          <t>Déploiement stratégie marketing</t>
        </is>
      </c>
      <c r="J7" s="7" t="inlineStr">
        <is>
          <t>Mensuel</t>
        </is>
      </c>
      <c r="K7" s="27" t="n">
        <v>150000000</v>
      </c>
      <c r="L7" s="7" t="inlineStr">
        <is>
          <t>Très satisfaisant</t>
        </is>
      </c>
      <c r="M7" s="7" t="inlineStr">
        <is>
          <t>En cours</t>
        </is>
      </c>
      <c r="N7" s="7">
        <f>IF(B7="","",IFERROR(VLOOKUP(B7,'F01 - _Données Expatriés'!$A$6:$K$20,2,FALSE)&amp;" "&amp;VLOOKUP(B7,'F01 - _Données Expatriés'!$A$6:$K$20,3,FALSE),""))</f>
        <v/>
      </c>
    </row>
    <row r="8" ht="22" customHeight="1">
      <c r="A8" s="5" t="inlineStr">
        <is>
          <t>MIS-003</t>
        </is>
      </c>
      <c r="B8" s="5" t="inlineStr">
        <is>
          <t>EXP-015</t>
        </is>
      </c>
      <c r="C8" s="5" t="inlineStr">
        <is>
          <t>Suède</t>
        </is>
      </c>
      <c r="D8" s="5" t="inlineStr">
        <is>
          <t>Côte d'Ivoire</t>
        </is>
      </c>
      <c r="E8" s="5" t="inlineStr">
        <is>
          <t>Expatriation</t>
        </is>
      </c>
      <c r="F8" s="22" t="n">
        <v>44440</v>
      </c>
      <c r="G8" s="22" t="n">
        <v>45535</v>
      </c>
      <c r="H8" s="28">
        <f>IF(OR(F8="",G8=""),"",IFERROR(G8-F8,0))</f>
        <v/>
      </c>
      <c r="I8" s="5" t="inlineStr">
        <is>
          <t>Modernisation technique</t>
        </is>
      </c>
      <c r="J8" s="5" t="inlineStr">
        <is>
          <t>Trimestriel</t>
        </is>
      </c>
      <c r="K8" s="25" t="n">
        <v>200000000</v>
      </c>
      <c r="L8" s="5" t="inlineStr">
        <is>
          <t>Satisfaisant</t>
        </is>
      </c>
      <c r="M8" s="5" t="inlineStr">
        <is>
          <t>En prolongation</t>
        </is>
      </c>
      <c r="N8" s="5">
        <f>IF(B8="","",IFERROR(VLOOKUP(B8,'F01 - _Données Expatriés'!$A$6:$K$20,2,FALSE)&amp;" "&amp;VLOOKUP(B8,'F01 - _Données Expatriés'!$A$6:$K$20,3,FALSE),""))</f>
        <v/>
      </c>
    </row>
    <row r="9" ht="22" customHeight="1">
      <c r="A9" s="7" t="n"/>
      <c r="B9" s="7" t="n"/>
      <c r="C9" s="7" t="n"/>
      <c r="D9" s="7" t="n"/>
      <c r="E9" s="7" t="n"/>
      <c r="F9" s="7" t="n"/>
      <c r="G9" s="7" t="n"/>
      <c r="H9" s="29">
        <f>IF(OR(F9="",G9=""),"",IFERROR(G9-F9,0))</f>
        <v/>
      </c>
      <c r="I9" s="7" t="n"/>
      <c r="J9" s="7" t="n"/>
      <c r="K9" s="7" t="n"/>
      <c r="L9" s="7" t="n"/>
      <c r="M9" s="7" t="n"/>
      <c r="N9" s="7">
        <f>IF(B9="","",IFERROR(VLOOKUP(B9,'F01 - _Données Expatriés'!$A$6:$K$20,2,FALSE)&amp;" "&amp;VLOOKUP(B9,'F01 - _Données Expatriés'!$A$6:$K$20,3,FALSE),""))</f>
        <v/>
      </c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28">
        <f>IF(OR(F10="",G10=""),"",IFERROR(G10-F10,0))</f>
        <v/>
      </c>
      <c r="I10" s="5" t="n"/>
      <c r="J10" s="5" t="n"/>
      <c r="K10" s="5" t="n"/>
      <c r="L10" s="5" t="n"/>
      <c r="M10" s="5" t="n"/>
      <c r="N10" s="5">
        <f>IF(B10="","",IFERROR(VLOOKUP(B10,'F01 - _Données Expatriés'!$A$6:$K$20,2,FALSE)&amp;" "&amp;VLOOKUP(B10,'F01 - _Données Expatriés'!$A$6:$K$20,3,FALSE),""))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29">
        <f>IF(OR(F11="",G11=""),"",IFERROR(G11-F11,0))</f>
        <v/>
      </c>
      <c r="I11" s="7" t="n"/>
      <c r="J11" s="7" t="n"/>
      <c r="K11" s="7" t="n"/>
      <c r="L11" s="7" t="n"/>
      <c r="M11" s="7" t="n"/>
      <c r="N11" s="7">
        <f>IF(B11="","",IFERROR(VLOOKUP(B11,'F01 - _Données Expatriés'!$A$6:$K$20,2,FALSE)&amp;" "&amp;VLOOKUP(B11,'F01 - _Données Expatriés'!$A$6:$K$20,3,FALSE),""))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28">
        <f>IF(OR(F12="",G12=""),"",IFERROR(G12-F12,0))</f>
        <v/>
      </c>
      <c r="I12" s="5" t="n"/>
      <c r="J12" s="5" t="n"/>
      <c r="K12" s="5" t="n"/>
      <c r="L12" s="5" t="n"/>
      <c r="M12" s="5" t="n"/>
      <c r="N12" s="5">
        <f>IF(B12="","",IFERROR(VLOOKUP(B12,'F01 - _Données Expatriés'!$A$6:$K$20,2,FALSE)&amp;" "&amp;VLOOKUP(B12,'F01 - _Données Expatriés'!$A$6:$K$20,3,FALSE),""))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29">
        <f>IF(OR(F13="",G13=""),"",IFERROR(G13-F13,0))</f>
        <v/>
      </c>
      <c r="I13" s="7" t="n"/>
      <c r="J13" s="7" t="n"/>
      <c r="K13" s="7" t="n"/>
      <c r="L13" s="7" t="n"/>
      <c r="M13" s="7" t="n"/>
      <c r="N13" s="7">
        <f>IF(B13="","",IFERROR(VLOOKUP(B13,'F01 - _Données Expatriés'!$A$6:$K$20,2,FALSE)&amp;" "&amp;VLOOKUP(B13,'F01 - _Données Expatriés'!$A$6:$K$20,3,FALSE),""))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28">
        <f>IF(OR(F14="",G14=""),"",IFERROR(G14-F14,0))</f>
        <v/>
      </c>
      <c r="I14" s="5" t="n"/>
      <c r="J14" s="5" t="n"/>
      <c r="K14" s="5" t="n"/>
      <c r="L14" s="5" t="n"/>
      <c r="M14" s="5" t="n"/>
      <c r="N14" s="5">
        <f>IF(B14="","",IFERROR(VLOOKUP(B14,'F01 - _Données Expatriés'!$A$6:$K$20,2,FALSE)&amp;" "&amp;VLOOKUP(B14,'F01 - _Données Expatriés'!$A$6:$K$20,3,FALSE),""))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7" t="n"/>
      <c r="H15" s="29">
        <f>IF(OR(F15="",G15=""),"",IFERROR(G15-F15,0))</f>
        <v/>
      </c>
      <c r="I15" s="7" t="n"/>
      <c r="J15" s="7" t="n"/>
      <c r="K15" s="7" t="n"/>
      <c r="L15" s="7" t="n"/>
      <c r="M15" s="7" t="n"/>
      <c r="N15" s="7">
        <f>IF(B15="","",IFERROR(VLOOKUP(B15,'F01 - _Données Expatriés'!$A$6:$K$20,2,FALSE)&amp;" "&amp;VLOOKUP(B15,'F01 - _Données Expatriés'!$A$6:$K$20,3,FALSE),""))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28">
        <f>IF(OR(F16="",G16=""),"",IFERROR(G16-F16,0))</f>
        <v/>
      </c>
      <c r="I16" s="5" t="n"/>
      <c r="J16" s="5" t="n"/>
      <c r="K16" s="5" t="n"/>
      <c r="L16" s="5" t="n"/>
      <c r="M16" s="5" t="n"/>
      <c r="N16" s="5">
        <f>IF(B16="","",IFERROR(VLOOKUP(B16,'F01 - _Données Expatriés'!$A$6:$K$20,2,FALSE)&amp;" "&amp;VLOOKUP(B16,'F01 - _Données Expatriés'!$A$6:$K$20,3,FALSE),""))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7" t="n"/>
      <c r="H17" s="29">
        <f>IF(OR(F17="",G17=""),"",IFERROR(G17-F17,0))</f>
        <v/>
      </c>
      <c r="I17" s="7" t="n"/>
      <c r="J17" s="7" t="n"/>
      <c r="K17" s="7" t="n"/>
      <c r="L17" s="7" t="n"/>
      <c r="M17" s="7" t="n"/>
      <c r="N17" s="7">
        <f>IF(B17="","",IFERROR(VLOOKUP(B17,'F01 - _Données Expatriés'!$A$6:$K$20,2,FALSE)&amp;" "&amp;VLOOKUP(B17,'F01 - _Données Expatriés'!$A$6:$K$20,3,FALSE),""))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28">
        <f>IF(OR(F18="",G18=""),"",IFERROR(G18-F18,0))</f>
        <v/>
      </c>
      <c r="I18" s="5" t="n"/>
      <c r="J18" s="5" t="n"/>
      <c r="K18" s="5" t="n"/>
      <c r="L18" s="5" t="n"/>
      <c r="M18" s="5" t="n"/>
      <c r="N18" s="5">
        <f>IF(B18="","",IFERROR(VLOOKUP(B18,'F01 - _Données Expatriés'!$A$6:$K$20,2,FALSE)&amp;" "&amp;VLOOKUP(B18,'F01 - _Données Expatriés'!$A$6:$K$20,3,FALSE),""))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7" t="n"/>
      <c r="H19" s="29">
        <f>IF(OR(F19="",G19=""),"",IFERROR(G19-F19,0))</f>
        <v/>
      </c>
      <c r="I19" s="7" t="n"/>
      <c r="J19" s="7" t="n"/>
      <c r="K19" s="7" t="n"/>
      <c r="L19" s="7" t="n"/>
      <c r="M19" s="7" t="n"/>
      <c r="N19" s="7">
        <f>IF(B19="","",IFERROR(VLOOKUP(B19,'F01 - _Données Expatriés'!$A$6:$K$20,2,FALSE)&amp;" "&amp;VLOOKUP(B19,'F01 - _Données Expatriés'!$A$6:$K$20,3,FALSE),""))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28">
        <f>IF(OR(F20="",G20=""),"",IFERROR(G20-F20,0))</f>
        <v/>
      </c>
      <c r="I20" s="5" t="n"/>
      <c r="J20" s="5" t="n"/>
      <c r="K20" s="5" t="n"/>
      <c r="L20" s="5" t="n"/>
      <c r="M20" s="5" t="n"/>
      <c r="N20" s="5">
        <f>IF(B20="","",IFERROR(VLOOKUP(B20,'F01 - _Données Expatriés'!$A$6:$K$20,2,FALSE)&amp;" "&amp;VLOOKUP(B20,'F01 - _Données Expatriés'!$A$6:$K$20,3,FALSE),""))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29">
        <f>IF(OR(F21="",G21=""),"",IFERROR(G21-F21,0))</f>
        <v/>
      </c>
      <c r="I21" s="7" t="n"/>
      <c r="J21" s="7" t="n"/>
      <c r="K21" s="7" t="n"/>
      <c r="L21" s="7" t="n"/>
      <c r="M21" s="7" t="n"/>
      <c r="N21" s="7">
        <f>IF(B21="","",IFERROR(VLOOKUP(B21,'F01 - _Données Expatriés'!$A$6:$K$20,2,FALSE)&amp;" "&amp;VLOOKUP(B21,'F01 - _Données Expatriés'!$A$6:$K$20,3,FALSE),""))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28">
        <f>IF(OR(F22="",G22=""),"",IFERROR(G22-F22,0))</f>
        <v/>
      </c>
      <c r="I22" s="5" t="n"/>
      <c r="J22" s="5" t="n"/>
      <c r="K22" s="5" t="n"/>
      <c r="L22" s="5" t="n"/>
      <c r="M22" s="5" t="n"/>
      <c r="N22" s="5">
        <f>IF(B22="","",IFERROR(VLOOKUP(B22,'F01 - _Données Expatriés'!$A$6:$K$20,2,FALSE)&amp;" "&amp;VLOOKUP(B22,'F01 - _Données Expatriés'!$A$6:$K$20,3,FALSE),""))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29">
        <f>IF(OR(F23="",G23=""),"",IFERROR(G23-F23,0))</f>
        <v/>
      </c>
      <c r="I23" s="7" t="n"/>
      <c r="J23" s="7" t="n"/>
      <c r="K23" s="7" t="n"/>
      <c r="L23" s="7" t="n"/>
      <c r="M23" s="7" t="n"/>
      <c r="N23" s="7">
        <f>IF(B23="","",IFERROR(VLOOKUP(B23,'F01 - _Données Expatriés'!$A$6:$K$20,2,FALSE)&amp;" "&amp;VLOOKUP(B23,'F01 - _Données Expatriés'!$A$6:$K$20,3,FALSE),""))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28">
        <f>IF(OR(F24="",G24=""),"",IFERROR(G24-F24,0))</f>
        <v/>
      </c>
      <c r="I24" s="5" t="n"/>
      <c r="J24" s="5" t="n"/>
      <c r="K24" s="5" t="n"/>
      <c r="L24" s="5" t="n"/>
      <c r="M24" s="5" t="n"/>
      <c r="N24" s="5">
        <f>IF(B24="","",IFERROR(VLOOKUP(B24,'F01 - _Données Expatriés'!$A$6:$K$20,2,FALSE)&amp;" "&amp;VLOOKUP(B24,'F01 - _Données Expatriés'!$A$6:$K$20,3,FALSE),""))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7" t="n"/>
      <c r="H25" s="29">
        <f>IF(OR(F25="",G25=""),"",IFERROR(G25-F25,0))</f>
        <v/>
      </c>
      <c r="I25" s="7" t="n"/>
      <c r="J25" s="7" t="n"/>
      <c r="K25" s="7" t="n"/>
      <c r="L25" s="7" t="n"/>
      <c r="M25" s="7" t="n"/>
      <c r="N25" s="7">
        <f>IF(B25="","",IFERROR(VLOOKUP(B25,'F01 - _Données Expatriés'!$A$6:$K$20,2,FALSE)&amp;" "&amp;VLOOKUP(B25,'F01 - _Données Expatriés'!$A$6:$K$20,3,FALSE),""))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28">
        <f>IF(OR(F26="",G26=""),"",IFERROR(G26-F26,0))</f>
        <v/>
      </c>
      <c r="I26" s="5" t="n"/>
      <c r="J26" s="5" t="n"/>
      <c r="K26" s="5" t="n"/>
      <c r="L26" s="5" t="n"/>
      <c r="M26" s="5" t="n"/>
      <c r="N26" s="5">
        <f>IF(B26="","",IFERROR(VLOOKUP(B26,'F01 - _Données Expatriés'!$A$6:$K$20,2,FALSE)&amp;" "&amp;VLOOKUP(B26,'F01 - _Données Expatriés'!$A$6:$K$20,3,FALSE),""))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7" t="n"/>
      <c r="H27" s="29">
        <f>IF(OR(F27="",G27=""),"",IFERROR(G27-F27,0))</f>
        <v/>
      </c>
      <c r="I27" s="7" t="n"/>
      <c r="J27" s="7" t="n"/>
      <c r="K27" s="7" t="n"/>
      <c r="L27" s="7" t="n"/>
      <c r="M27" s="7" t="n"/>
      <c r="N27" s="7">
        <f>IF(B27="","",IFERROR(VLOOKUP(B27,'F01 - _Données Expatriés'!$A$6:$K$20,2,FALSE)&amp;" "&amp;VLOOKUP(B27,'F01 - _Données Expatriés'!$A$6:$K$20,3,FALSE),""))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28">
        <f>IF(OR(F28="",G28=""),"",IFERROR(G28-F28,0))</f>
        <v/>
      </c>
      <c r="I28" s="5" t="n"/>
      <c r="J28" s="5" t="n"/>
      <c r="K28" s="5" t="n"/>
      <c r="L28" s="5" t="n"/>
      <c r="M28" s="5" t="n"/>
      <c r="N28" s="5">
        <f>IF(B28="","",IFERROR(VLOOKUP(B28,'F01 - _Données Expatriés'!$A$6:$K$20,2,FALSE)&amp;" "&amp;VLOOKUP(B28,'F01 - _Données Expatriés'!$A$6:$K$20,3,FALSE),""))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7" t="n"/>
      <c r="H29" s="29">
        <f>IF(OR(F29="",G29=""),"",IFERROR(G29-F29,0))</f>
        <v/>
      </c>
      <c r="I29" s="7" t="n"/>
      <c r="J29" s="7" t="n"/>
      <c r="K29" s="7" t="n"/>
      <c r="L29" s="7" t="n"/>
      <c r="M29" s="7" t="n"/>
      <c r="N29" s="7">
        <f>IF(B29="","",IFERROR(VLOOKUP(B29,'F01 - _Données Expatriés'!$A$6:$K$20,2,FALSE)&amp;" "&amp;VLOOKUP(B29,'F01 - _Données Expatriés'!$A$6:$K$20,3,FALSE),""))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28">
        <f>IF(OR(F30="",G30=""),"",IFERROR(G30-F30,0))</f>
        <v/>
      </c>
      <c r="I30" s="5" t="n"/>
      <c r="J30" s="5" t="n"/>
      <c r="K30" s="5" t="n"/>
      <c r="L30" s="5" t="n"/>
      <c r="M30" s="5" t="n"/>
      <c r="N30" s="5">
        <f>IF(B30="","",IFERROR(VLOOKUP(B30,'F01 - _Données Expatriés'!$A$6:$K$20,2,FALSE)&amp;" "&amp;VLOOKUP(B30,'F01 - _Données Expatriés'!$A$6:$K$20,3,FALSE),""))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7" t="n"/>
      <c r="H31" s="29">
        <f>IF(OR(F31="",G31=""),"",IFERROR(G31-F31,0))</f>
        <v/>
      </c>
      <c r="I31" s="7" t="n"/>
      <c r="J31" s="7" t="n"/>
      <c r="K31" s="7" t="n"/>
      <c r="L31" s="7" t="n"/>
      <c r="M31" s="7" t="n"/>
      <c r="N31" s="7">
        <f>IF(B31="","",IFERROR(VLOOKUP(B31,'F01 - _Données Expatriés'!$A$6:$K$20,2,FALSE)&amp;" "&amp;VLOOKUP(B31,'F01 - _Données Expatriés'!$A$6:$K$20,3,FALSE),""))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28">
        <f>IF(OR(F32="",G32=""),"",IFERROR(G32-F32,0))</f>
        <v/>
      </c>
      <c r="I32" s="5" t="n"/>
      <c r="J32" s="5" t="n"/>
      <c r="K32" s="5" t="n"/>
      <c r="L32" s="5" t="n"/>
      <c r="M32" s="5" t="n"/>
      <c r="N32" s="5">
        <f>IF(B32="","",IFERROR(VLOOKUP(B32,'F01 - _Données Expatriés'!$A$6:$K$20,2,FALSE)&amp;" "&amp;VLOOKUP(B32,'F01 - _Données Expatriés'!$A$6:$K$20,3,FALSE),""))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7" t="n"/>
      <c r="H33" s="29">
        <f>IF(OR(F33="",G33=""),"",IFERROR(G33-F33,0))</f>
        <v/>
      </c>
      <c r="I33" s="7" t="n"/>
      <c r="J33" s="7" t="n"/>
      <c r="K33" s="7" t="n"/>
      <c r="L33" s="7" t="n"/>
      <c r="M33" s="7" t="n"/>
      <c r="N33" s="7">
        <f>IF(B33="","",IFERROR(VLOOKUP(B33,'F01 - _Données Expatriés'!$A$6:$K$20,2,FALSE)&amp;" "&amp;VLOOKUP(B33,'F01 - _Données Expatriés'!$A$6:$K$20,3,FALSE),""))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28">
        <f>IF(OR(F34="",G34=""),"",IFERROR(G34-F34,0))</f>
        <v/>
      </c>
      <c r="I34" s="5" t="n"/>
      <c r="J34" s="5" t="n"/>
      <c r="K34" s="5" t="n"/>
      <c r="L34" s="5" t="n"/>
      <c r="M34" s="5" t="n"/>
      <c r="N34" s="5">
        <f>IF(B34="","",IFERROR(VLOOKUP(B34,'F01 - _Données Expatriés'!$A$6:$K$20,2,FALSE)&amp;" "&amp;VLOOKUP(B34,'F01 - _Données Expatriés'!$A$6:$K$20,3,FALSE),""))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7" t="n"/>
      <c r="H35" s="29">
        <f>IF(OR(F35="",G35=""),"",IFERROR(G35-F35,0))</f>
        <v/>
      </c>
      <c r="I35" s="7" t="n"/>
      <c r="J35" s="7" t="n"/>
      <c r="K35" s="7" t="n"/>
      <c r="L35" s="7" t="n"/>
      <c r="M35" s="7" t="n"/>
      <c r="N35" s="7">
        <f>IF(B35="","",IFERROR(VLOOKUP(B35,'F01 - _Données Expatriés'!$A$6:$K$20,2,FALSE)&amp;" "&amp;VLOOKUP(B35,'F01 - _Données Expatriés'!$A$6:$K$20,3,FALSE),""))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28">
        <f>IF(OR(F36="",G36=""),"",IFERROR(G36-F36,0))</f>
        <v/>
      </c>
      <c r="I36" s="5" t="n"/>
      <c r="J36" s="5" t="n"/>
      <c r="K36" s="5" t="n"/>
      <c r="L36" s="5" t="n"/>
      <c r="M36" s="5" t="n"/>
      <c r="N36" s="5">
        <f>IF(B36="","",IFERROR(VLOOKUP(B36,'F01 - _Données Expatriés'!$A$6:$K$20,2,FALSE)&amp;" "&amp;VLOOKUP(B36,'F01 - _Données Expatriés'!$A$6:$K$20,3,FALSE),""))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7" t="n"/>
      <c r="H37" s="29">
        <f>IF(OR(F37="",G37=""),"",IFERROR(G37-F37,0))</f>
        <v/>
      </c>
      <c r="I37" s="7" t="n"/>
      <c r="J37" s="7" t="n"/>
      <c r="K37" s="7" t="n"/>
      <c r="L37" s="7" t="n"/>
      <c r="M37" s="7" t="n"/>
      <c r="N37" s="7">
        <f>IF(B37="","",IFERROR(VLOOKUP(B37,'F01 - _Données Expatriés'!$A$6:$K$20,2,FALSE)&amp;" "&amp;VLOOKUP(B37,'F01 - _Données Expatriés'!$A$6:$K$20,3,FALSE),""))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28">
        <f>IF(OR(F38="",G38=""),"",IFERROR(G38-F38,0))</f>
        <v/>
      </c>
      <c r="I38" s="5" t="n"/>
      <c r="J38" s="5" t="n"/>
      <c r="K38" s="5" t="n"/>
      <c r="L38" s="5" t="n"/>
      <c r="M38" s="5" t="n"/>
      <c r="N38" s="5">
        <f>IF(B38="","",IFERROR(VLOOKUP(B38,'F01 - _Données Expatriés'!$A$6:$K$20,2,FALSE)&amp;" "&amp;VLOOKUP(B38,'F01 - _Données Expatriés'!$A$6:$K$20,3,FALSE),""))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7" t="n"/>
      <c r="H39" s="29">
        <f>IF(OR(F39="",G39=""),"",IFERROR(G39-F39,0))</f>
        <v/>
      </c>
      <c r="I39" s="7" t="n"/>
      <c r="J39" s="7" t="n"/>
      <c r="K39" s="7" t="n"/>
      <c r="L39" s="7" t="n"/>
      <c r="M39" s="7" t="n"/>
      <c r="N39" s="7">
        <f>IF(B39="","",IFERROR(VLOOKUP(B39,'F01 - _Données Expatriés'!$A$6:$K$20,2,FALSE)&amp;" "&amp;VLOOKUP(B39,'F01 - _Données Expatriés'!$A$6:$K$20,3,FALSE),""))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28">
        <f>IF(OR(F40="",G40=""),"",IFERROR(G40-F40,0))</f>
        <v/>
      </c>
      <c r="I40" s="5" t="n"/>
      <c r="J40" s="5" t="n"/>
      <c r="K40" s="5" t="n"/>
      <c r="L40" s="5" t="n"/>
      <c r="M40" s="5" t="n"/>
      <c r="N40" s="5">
        <f>IF(B40="","",IFERROR(VLOOKUP(B40,'F01 - _Données Expatriés'!$A$6:$K$20,2,FALSE)&amp;" "&amp;VLOOKUP(B40,'F01 - _Données Expatriés'!$A$6:$K$20,3,FALSE),""))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7" t="n"/>
      <c r="H41" s="29">
        <f>IF(OR(F41="",G41=""),"",IFERROR(G41-F41,0))</f>
        <v/>
      </c>
      <c r="I41" s="7" t="n"/>
      <c r="J41" s="7" t="n"/>
      <c r="K41" s="7" t="n"/>
      <c r="L41" s="7" t="n"/>
      <c r="M41" s="7" t="n"/>
      <c r="N41" s="7">
        <f>IF(B41="","",IFERROR(VLOOKUP(B41,'F01 - _Données Expatriés'!$A$6:$K$20,2,FALSE)&amp;" "&amp;VLOOKUP(B41,'F01 - _Données Expatriés'!$A$6:$K$20,3,FALSE),""))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28">
        <f>IF(OR(F42="",G42=""),"",IFERROR(G42-F42,0))</f>
        <v/>
      </c>
      <c r="I42" s="5" t="n"/>
      <c r="J42" s="5" t="n"/>
      <c r="K42" s="5" t="n"/>
      <c r="L42" s="5" t="n"/>
      <c r="M42" s="5" t="n"/>
      <c r="N42" s="5">
        <f>IF(B42="","",IFERROR(VLOOKUP(B42,'F01 - _Données Expatriés'!$A$6:$K$20,2,FALSE)&amp;" "&amp;VLOOKUP(B42,'F01 - _Données Expatriés'!$A$6:$K$20,3,FALSE),""))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7" t="n"/>
      <c r="H43" s="29">
        <f>IF(OR(F43="",G43=""),"",IFERROR(G43-F43,0))</f>
        <v/>
      </c>
      <c r="I43" s="7" t="n"/>
      <c r="J43" s="7" t="n"/>
      <c r="K43" s="7" t="n"/>
      <c r="L43" s="7" t="n"/>
      <c r="M43" s="7" t="n"/>
      <c r="N43" s="7">
        <f>IF(B43="","",IFERROR(VLOOKUP(B43,'F01 - _Données Expatriés'!$A$6:$K$20,2,FALSE)&amp;" "&amp;VLOOKUP(B43,'F01 - _Données Expatriés'!$A$6:$K$20,3,FALSE),""))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28">
        <f>IF(OR(F44="",G44=""),"",IFERROR(G44-F44,0))</f>
        <v/>
      </c>
      <c r="I44" s="5" t="n"/>
      <c r="J44" s="5" t="n"/>
      <c r="K44" s="5" t="n"/>
      <c r="L44" s="5" t="n"/>
      <c r="M44" s="5" t="n"/>
      <c r="N44" s="5">
        <f>IF(B44="","",IFERROR(VLOOKUP(B44,'F01 - _Données Expatriés'!$A$6:$K$20,2,FALSE)&amp;" "&amp;VLOOKUP(B44,'F01 - _Données Expatriés'!$A$6:$K$20,3,FALSE),""))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7" t="n"/>
      <c r="H45" s="29">
        <f>IF(OR(F45="",G45=""),"",IFERROR(G45-F45,0))</f>
        <v/>
      </c>
      <c r="I45" s="7" t="n"/>
      <c r="J45" s="7" t="n"/>
      <c r="K45" s="7" t="n"/>
      <c r="L45" s="7" t="n"/>
      <c r="M45" s="7" t="n"/>
      <c r="N45" s="7">
        <f>IF(B45="","",IFERROR(VLOOKUP(B45,'F01 - _Données Expatriés'!$A$6:$K$20,2,FALSE)&amp;" "&amp;VLOOKUP(B45,'F01 - _Données Expatriés'!$A$6:$K$20,3,FALSE),""))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28">
        <f>IF(OR(F46="",G46=""),"",IFERROR(G46-F46,0))</f>
        <v/>
      </c>
      <c r="I46" s="5" t="n"/>
      <c r="J46" s="5" t="n"/>
      <c r="K46" s="5" t="n"/>
      <c r="L46" s="5" t="n"/>
      <c r="M46" s="5" t="n"/>
      <c r="N46" s="5">
        <f>IF(B46="","",IFERROR(VLOOKUP(B46,'F01 - _Données Expatriés'!$A$6:$K$20,2,FALSE)&amp;" "&amp;VLOOKUP(B46,'F01 - _Données Expatriés'!$A$6:$K$20,3,FALSE),""))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7" t="n"/>
      <c r="H47" s="29">
        <f>IF(OR(F47="",G47=""),"",IFERROR(G47-F47,0))</f>
        <v/>
      </c>
      <c r="I47" s="7" t="n"/>
      <c r="J47" s="7" t="n"/>
      <c r="K47" s="7" t="n"/>
      <c r="L47" s="7" t="n"/>
      <c r="M47" s="7" t="n"/>
      <c r="N47" s="7">
        <f>IF(B47="","",IFERROR(VLOOKUP(B47,'F01 - _Données Expatriés'!$A$6:$K$20,2,FALSE)&amp;" "&amp;VLOOKUP(B47,'F01 - _Données Expatriés'!$A$6:$K$20,3,FALSE),""))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28">
        <f>IF(OR(F48="",G48=""),"",IFERROR(G48-F48,0))</f>
        <v/>
      </c>
      <c r="I48" s="5" t="n"/>
      <c r="J48" s="5" t="n"/>
      <c r="K48" s="5" t="n"/>
      <c r="L48" s="5" t="n"/>
      <c r="M48" s="5" t="n"/>
      <c r="N48" s="5">
        <f>IF(B48="","",IFERROR(VLOOKUP(B48,'F01 - _Données Expatriés'!$A$6:$K$20,2,FALSE)&amp;" "&amp;VLOOKUP(B48,'F01 - _Données Expatriés'!$A$6:$K$20,3,FALSE),""))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7" t="n"/>
      <c r="H49" s="29">
        <f>IF(OR(F49="",G49=""),"",IFERROR(G49-F49,0))</f>
        <v/>
      </c>
      <c r="I49" s="7" t="n"/>
      <c r="J49" s="7" t="n"/>
      <c r="K49" s="7" t="n"/>
      <c r="L49" s="7" t="n"/>
      <c r="M49" s="7" t="n"/>
      <c r="N49" s="7">
        <f>IF(B49="","",IFERROR(VLOOKUP(B49,'F01 - _Données Expatriés'!$A$6:$K$20,2,FALSE)&amp;" "&amp;VLOOKUP(B49,'F01 - _Données Expatriés'!$A$6:$K$20,3,FALSE),""))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28">
        <f>IF(OR(F50="",G50=""),"",IFERROR(G50-F50,0))</f>
        <v/>
      </c>
      <c r="I50" s="5" t="n"/>
      <c r="J50" s="5" t="n"/>
      <c r="K50" s="5" t="n"/>
      <c r="L50" s="5" t="n"/>
      <c r="M50" s="5" t="n"/>
      <c r="N50" s="5">
        <f>IF(B50="","",IFERROR(VLOOKUP(B50,'F01 - _Données Expatriés'!$A$6:$K$20,2,FALSE)&amp;" "&amp;VLOOKUP(B50,'F01 - _Données Expatriés'!$A$6:$K$20,3,FALSE),""))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7" t="n"/>
      <c r="H51" s="29">
        <f>IF(OR(F51="",G51=""),"",IFERROR(G51-F51,0))</f>
        <v/>
      </c>
      <c r="I51" s="7" t="n"/>
      <c r="J51" s="7" t="n"/>
      <c r="K51" s="7" t="n"/>
      <c r="L51" s="7" t="n"/>
      <c r="M51" s="7" t="n"/>
      <c r="N51" s="7">
        <f>IF(B51="","",IFERROR(VLOOKUP(B51,'F01 - _Données Expatriés'!$A$6:$K$20,2,FALSE)&amp;" "&amp;VLOOKUP(B51,'F01 - _Données Expatriés'!$A$6:$K$20,3,FALSE),""))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28">
        <f>IF(OR(F52="",G52=""),"",IFERROR(G52-F52,0))</f>
        <v/>
      </c>
      <c r="I52" s="5" t="n"/>
      <c r="J52" s="5" t="n"/>
      <c r="K52" s="5" t="n"/>
      <c r="L52" s="5" t="n"/>
      <c r="M52" s="5" t="n"/>
      <c r="N52" s="5">
        <f>IF(B52="","",IFERROR(VLOOKUP(B52,'F01 - _Données Expatriés'!$A$6:$K$20,2,FALSE)&amp;" "&amp;VLOOKUP(B52,'F01 - _Données Expatriés'!$A$6:$K$20,3,FALSE),""))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7" t="n"/>
      <c r="H53" s="29">
        <f>IF(OR(F53="",G53=""),"",IFERROR(G53-F53,0))</f>
        <v/>
      </c>
      <c r="I53" s="7" t="n"/>
      <c r="J53" s="7" t="n"/>
      <c r="K53" s="7" t="n"/>
      <c r="L53" s="7" t="n"/>
      <c r="M53" s="7" t="n"/>
      <c r="N53" s="7">
        <f>IF(B53="","",IFERROR(VLOOKUP(B53,'F01 - _Données Expatriés'!$A$6:$K$20,2,FALSE)&amp;" "&amp;VLOOKUP(B53,'F01 - _Données Expatriés'!$A$6:$K$20,3,FALSE),""))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28">
        <f>IF(OR(F54="",G54=""),"",IFERROR(G54-F54,0))</f>
        <v/>
      </c>
      <c r="I54" s="5" t="n"/>
      <c r="J54" s="5" t="n"/>
      <c r="K54" s="5" t="n"/>
      <c r="L54" s="5" t="n"/>
      <c r="M54" s="5" t="n"/>
      <c r="N54" s="5">
        <f>IF(B54="","",IFERROR(VLOOKUP(B54,'F01 - _Données Expatriés'!$A$6:$K$20,2,FALSE)&amp;" "&amp;VLOOKUP(B54,'F01 - _Données Expatriés'!$A$6:$K$20,3,FALSE),""))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7" t="n"/>
      <c r="H55" s="29">
        <f>IF(OR(F55="",G55=""),"",IFERROR(G55-F55,0))</f>
        <v/>
      </c>
      <c r="I55" s="7" t="n"/>
      <c r="J55" s="7" t="n"/>
      <c r="K55" s="7" t="n"/>
      <c r="L55" s="7" t="n"/>
      <c r="M55" s="7" t="n"/>
      <c r="N55" s="7">
        <f>IF(B55="","",IFERROR(VLOOKUP(B55,'F01 - _Données Expatriés'!$A$6:$K$20,2,FALSE)&amp;" "&amp;VLOOKUP(B55,'F01 - _Données Expatriés'!$A$6:$K$20,3,FALSE),""))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28">
        <f>IF(OR(F56="",G56=""),"",IFERROR(G56-F56,0))</f>
        <v/>
      </c>
      <c r="I56" s="5" t="n"/>
      <c r="J56" s="5" t="n"/>
      <c r="K56" s="5" t="n"/>
      <c r="L56" s="5" t="n"/>
      <c r="M56" s="5" t="n"/>
      <c r="N56" s="5">
        <f>IF(B56="","",IFERROR(VLOOKUP(B56,'F01 - _Données Expatriés'!$A$6:$K$20,2,FALSE)&amp;" "&amp;VLOOKUP(B56,'F01 - _Données Expatriés'!$A$6:$K$20,3,FALSE),""))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7" t="n"/>
      <c r="H57" s="29">
        <f>IF(OR(F57="",G57=""),"",IFERROR(G57-F57,0))</f>
        <v/>
      </c>
      <c r="I57" s="7" t="n"/>
      <c r="J57" s="7" t="n"/>
      <c r="K57" s="7" t="n"/>
      <c r="L57" s="7" t="n"/>
      <c r="M57" s="7" t="n"/>
      <c r="N57" s="7">
        <f>IF(B57="","",IFERROR(VLOOKUP(B57,'F01 - _Données Expatriés'!$A$6:$K$20,2,FALSE)&amp;" "&amp;VLOOKUP(B57,'F01 - _Données Expatriés'!$A$6:$K$20,3,FALSE),""))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28">
        <f>IF(OR(F58="",G58=""),"",IFERROR(G58-F58,0))</f>
        <v/>
      </c>
      <c r="I58" s="5" t="n"/>
      <c r="J58" s="5" t="n"/>
      <c r="K58" s="5" t="n"/>
      <c r="L58" s="5" t="n"/>
      <c r="M58" s="5" t="n"/>
      <c r="N58" s="5">
        <f>IF(B58="","",IFERROR(VLOOKUP(B58,'F01 - _Données Expatriés'!$A$6:$K$20,2,FALSE)&amp;" "&amp;VLOOKUP(B58,'F01 - _Données Expatriés'!$A$6:$K$20,3,FALSE),""))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7" t="n"/>
      <c r="H59" s="29">
        <f>IF(OR(F59="",G59=""),"",IFERROR(G59-F59,0))</f>
        <v/>
      </c>
      <c r="I59" s="7" t="n"/>
      <c r="J59" s="7" t="n"/>
      <c r="K59" s="7" t="n"/>
      <c r="L59" s="7" t="n"/>
      <c r="M59" s="7" t="n"/>
      <c r="N59" s="7">
        <f>IF(B59="","",IFERROR(VLOOKUP(B59,'F01 - _Données Expatriés'!$A$6:$K$20,2,FALSE)&amp;" "&amp;VLOOKUP(B59,'F01 - _Données Expatriés'!$A$6:$K$20,3,FALSE),""))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28">
        <f>IF(OR(F60="",G60=""),"",IFERROR(G60-F60,0))</f>
        <v/>
      </c>
      <c r="I60" s="5" t="n"/>
      <c r="J60" s="5" t="n"/>
      <c r="K60" s="5" t="n"/>
      <c r="L60" s="5" t="n"/>
      <c r="M60" s="5" t="n"/>
      <c r="N60" s="5">
        <f>IF(B60="","",IFERROR(VLOOKUP(B60,'F01 - _Données Expatriés'!$A$6:$K$20,2,FALSE)&amp;" "&amp;VLOOKUP(B60,'F01 - _Données Expatriés'!$A$6:$K$20,3,FALSE),""))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7" t="n"/>
      <c r="H61" s="29">
        <f>IF(OR(F61="",G61=""),"",IFERROR(G61-F61,0))</f>
        <v/>
      </c>
      <c r="I61" s="7" t="n"/>
      <c r="J61" s="7" t="n"/>
      <c r="K61" s="7" t="n"/>
      <c r="L61" s="7" t="n"/>
      <c r="M61" s="7" t="n"/>
      <c r="N61" s="7">
        <f>IF(B61="","",IFERROR(VLOOKUP(B61,'F01 - _Données Expatriés'!$A$6:$K$20,2,FALSE)&amp;" "&amp;VLOOKUP(B61,'F01 - _Données Expatriés'!$A$6:$K$20,3,FALSE),""))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28">
        <f>IF(OR(F62="",G62=""),"",IFERROR(G62-F62,0))</f>
        <v/>
      </c>
      <c r="I62" s="5" t="n"/>
      <c r="J62" s="5" t="n"/>
      <c r="K62" s="5" t="n"/>
      <c r="L62" s="5" t="n"/>
      <c r="M62" s="5" t="n"/>
      <c r="N62" s="5">
        <f>IF(B62="","",IFERROR(VLOOKUP(B62,'F01 - _Données Expatriés'!$A$6:$K$20,2,FALSE)&amp;" "&amp;VLOOKUP(B62,'F01 - _Données Expatriés'!$A$6:$K$20,3,FALSE),""))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7" t="n"/>
      <c r="H63" s="29">
        <f>IF(OR(F63="",G63=""),"",IFERROR(G63-F63,0))</f>
        <v/>
      </c>
      <c r="I63" s="7" t="n"/>
      <c r="J63" s="7" t="n"/>
      <c r="K63" s="7" t="n"/>
      <c r="L63" s="7" t="n"/>
      <c r="M63" s="7" t="n"/>
      <c r="N63" s="7">
        <f>IF(B63="","",IFERROR(VLOOKUP(B63,'F01 - _Données Expatriés'!$A$6:$K$20,2,FALSE)&amp;" "&amp;VLOOKUP(B63,'F01 - _Données Expatriés'!$A$6:$K$20,3,FALSE),""))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28">
        <f>IF(OR(F64="",G64=""),"",IFERROR(G64-F64,0))</f>
        <v/>
      </c>
      <c r="I64" s="5" t="n"/>
      <c r="J64" s="5" t="n"/>
      <c r="K64" s="5" t="n"/>
      <c r="L64" s="5" t="n"/>
      <c r="M64" s="5" t="n"/>
      <c r="N64" s="5">
        <f>IF(B64="","",IFERROR(VLOOKUP(B64,'F01 - _Données Expatriés'!$A$6:$K$20,2,FALSE)&amp;" "&amp;VLOOKUP(B64,'F01 - _Données Expatriés'!$A$6:$K$20,3,FALSE),""))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7" t="n"/>
      <c r="H65" s="29">
        <f>IF(OR(F65="",G65=""),"",IFERROR(G65-F65,0))</f>
        <v/>
      </c>
      <c r="I65" s="7" t="n"/>
      <c r="J65" s="7" t="n"/>
      <c r="K65" s="7" t="n"/>
      <c r="L65" s="7" t="n"/>
      <c r="M65" s="7" t="n"/>
      <c r="N65" s="7">
        <f>IF(B65="","",IFERROR(VLOOKUP(B65,'F01 - _Données Expatriés'!$A$6:$K$20,2,FALSE)&amp;" "&amp;VLOOKUP(B65,'F01 - _Données Expatriés'!$A$6:$K$20,3,FALSE),""))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28">
        <f>IF(OR(F66="",G66=""),"",IFERROR(G66-F66,0))</f>
        <v/>
      </c>
      <c r="I66" s="5" t="n"/>
      <c r="J66" s="5" t="n"/>
      <c r="K66" s="5" t="n"/>
      <c r="L66" s="5" t="n"/>
      <c r="M66" s="5" t="n"/>
      <c r="N66" s="5">
        <f>IF(B66="","",IFERROR(VLOOKUP(B66,'F01 - _Données Expatriés'!$A$6:$K$20,2,FALSE)&amp;" "&amp;VLOOKUP(B66,'F01 - _Données Expatriés'!$A$6:$K$20,3,FALSE),""))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7" t="n"/>
      <c r="H67" s="29">
        <f>IF(OR(F67="",G67=""),"",IFERROR(G67-F67,0))</f>
        <v/>
      </c>
      <c r="I67" s="7" t="n"/>
      <c r="J67" s="7" t="n"/>
      <c r="K67" s="7" t="n"/>
      <c r="L67" s="7" t="n"/>
      <c r="M67" s="7" t="n"/>
      <c r="N67" s="7">
        <f>IF(B67="","",IFERROR(VLOOKUP(B67,'F01 - _Données Expatriés'!$A$6:$K$20,2,FALSE)&amp;" "&amp;VLOOKUP(B67,'F01 - _Données Expatriés'!$A$6:$K$20,3,FALSE),""))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28">
        <f>IF(OR(F68="",G68=""),"",IFERROR(G68-F68,0))</f>
        <v/>
      </c>
      <c r="I68" s="5" t="n"/>
      <c r="J68" s="5" t="n"/>
      <c r="K68" s="5" t="n"/>
      <c r="L68" s="5" t="n"/>
      <c r="M68" s="5" t="n"/>
      <c r="N68" s="5">
        <f>IF(B68="","",IFERROR(VLOOKUP(B68,'F01 - _Données Expatriés'!$A$6:$K$20,2,FALSE)&amp;" "&amp;VLOOKUP(B68,'F01 - _Données Expatriés'!$A$6:$K$20,3,FALSE),""))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7" t="n"/>
      <c r="H69" s="29">
        <f>IF(OR(F69="",G69=""),"",IFERROR(G69-F69,0))</f>
        <v/>
      </c>
      <c r="I69" s="7" t="n"/>
      <c r="J69" s="7" t="n"/>
      <c r="K69" s="7" t="n"/>
      <c r="L69" s="7" t="n"/>
      <c r="M69" s="7" t="n"/>
      <c r="N69" s="7">
        <f>IF(B69="","",IFERROR(VLOOKUP(B69,'F01 - _Données Expatriés'!$A$6:$K$20,2,FALSE)&amp;" "&amp;VLOOKUP(B69,'F01 - _Données Expatriés'!$A$6:$K$20,3,FALSE),""))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28">
        <f>IF(OR(F70="",G70=""),"",IFERROR(G70-F70,0))</f>
        <v/>
      </c>
      <c r="I70" s="5" t="n"/>
      <c r="J70" s="5" t="n"/>
      <c r="K70" s="5" t="n"/>
      <c r="L70" s="5" t="n"/>
      <c r="M70" s="5" t="n"/>
      <c r="N70" s="5">
        <f>IF(B70="","",IFERROR(VLOOKUP(B70,'F01 - _Données Expatriés'!$A$6:$K$20,2,FALSE)&amp;" "&amp;VLOOKUP(B70,'F01 - _Données Expatriés'!$A$6:$K$20,3,FALSE),""))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7" t="n"/>
      <c r="H71" s="29">
        <f>IF(OR(F71="",G71=""),"",IFERROR(G71-F71,0))</f>
        <v/>
      </c>
      <c r="I71" s="7" t="n"/>
      <c r="J71" s="7" t="n"/>
      <c r="K71" s="7" t="n"/>
      <c r="L71" s="7" t="n"/>
      <c r="M71" s="7" t="n"/>
      <c r="N71" s="7">
        <f>IF(B71="","",IFERROR(VLOOKUP(B71,'F01 - _Données Expatriés'!$A$6:$K$20,2,FALSE)&amp;" "&amp;VLOOKUP(B71,'F01 - _Données Expatriés'!$A$6:$K$20,3,FALSE),""))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28">
        <f>IF(OR(F72="",G72=""),"",IFERROR(G72-F72,0))</f>
        <v/>
      </c>
      <c r="I72" s="5" t="n"/>
      <c r="J72" s="5" t="n"/>
      <c r="K72" s="5" t="n"/>
      <c r="L72" s="5" t="n"/>
      <c r="M72" s="5" t="n"/>
      <c r="N72" s="5">
        <f>IF(B72="","",IFERROR(VLOOKUP(B72,'F01 - _Données Expatriés'!$A$6:$K$20,2,FALSE)&amp;" "&amp;VLOOKUP(B72,'F01 - _Données Expatriés'!$A$6:$K$20,3,FALSE),""))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7" t="n"/>
      <c r="H73" s="29">
        <f>IF(OR(F73="",G73=""),"",IFERROR(G73-F73,0))</f>
        <v/>
      </c>
      <c r="I73" s="7" t="n"/>
      <c r="J73" s="7" t="n"/>
      <c r="K73" s="7" t="n"/>
      <c r="L73" s="7" t="n"/>
      <c r="M73" s="7" t="n"/>
      <c r="N73" s="7">
        <f>IF(B73="","",IFERROR(VLOOKUP(B73,'F01 - _Données Expatriés'!$A$6:$K$20,2,FALSE)&amp;" "&amp;VLOOKUP(B73,'F01 - _Données Expatriés'!$A$6:$K$20,3,FALSE),""))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28">
        <f>IF(OR(F74="",G74=""),"",IFERROR(G74-F74,0))</f>
        <v/>
      </c>
      <c r="I74" s="5" t="n"/>
      <c r="J74" s="5" t="n"/>
      <c r="K74" s="5" t="n"/>
      <c r="L74" s="5" t="n"/>
      <c r="M74" s="5" t="n"/>
      <c r="N74" s="5">
        <f>IF(B74="","",IFERROR(VLOOKUP(B74,'F01 - _Données Expatriés'!$A$6:$K$20,2,FALSE)&amp;" "&amp;VLOOKUP(B74,'F01 - _Données Expatriés'!$A$6:$K$20,3,FALSE),""))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7" t="n"/>
      <c r="H75" s="29">
        <f>IF(OR(F75="",G75=""),"",IFERROR(G75-F75,0))</f>
        <v/>
      </c>
      <c r="I75" s="7" t="n"/>
      <c r="J75" s="7" t="n"/>
      <c r="K75" s="7" t="n"/>
      <c r="L75" s="7" t="n"/>
      <c r="M75" s="7" t="n"/>
      <c r="N75" s="7">
        <f>IF(B75="","",IFERROR(VLOOKUP(B75,'F01 - _Données Expatriés'!$A$6:$K$20,2,FALSE)&amp;" "&amp;VLOOKUP(B75,'F01 - _Données Expatriés'!$A$6:$K$20,3,FALSE),""))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28">
        <f>IF(OR(F76="",G76=""),"",IFERROR(G76-F76,0))</f>
        <v/>
      </c>
      <c r="I76" s="5" t="n"/>
      <c r="J76" s="5" t="n"/>
      <c r="K76" s="5" t="n"/>
      <c r="L76" s="5" t="n"/>
      <c r="M76" s="5" t="n"/>
      <c r="N76" s="5">
        <f>IF(B76="","",IFERROR(VLOOKUP(B76,'F01 - _Données Expatriés'!$A$6:$K$20,2,FALSE)&amp;" "&amp;VLOOKUP(B76,'F01 - _Données Expatriés'!$A$6:$K$20,3,FALSE),""))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7" t="n"/>
      <c r="H77" s="29">
        <f>IF(OR(F77="",G77=""),"",IFERROR(G77-F77,0))</f>
        <v/>
      </c>
      <c r="I77" s="7" t="n"/>
      <c r="J77" s="7" t="n"/>
      <c r="K77" s="7" t="n"/>
      <c r="L77" s="7" t="n"/>
      <c r="M77" s="7" t="n"/>
      <c r="N77" s="7">
        <f>IF(B77="","",IFERROR(VLOOKUP(B77,'F01 - _Données Expatriés'!$A$6:$K$20,2,FALSE)&amp;" "&amp;VLOOKUP(B77,'F01 - _Données Expatriés'!$A$6:$K$20,3,FALSE),""))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28">
        <f>IF(OR(F78="",G78=""),"",IFERROR(G78-F78,0))</f>
        <v/>
      </c>
      <c r="I78" s="5" t="n"/>
      <c r="J78" s="5" t="n"/>
      <c r="K78" s="5" t="n"/>
      <c r="L78" s="5" t="n"/>
      <c r="M78" s="5" t="n"/>
      <c r="N78" s="5">
        <f>IF(B78="","",IFERROR(VLOOKUP(B78,'F01 - _Données Expatriés'!$A$6:$K$20,2,FALSE)&amp;" "&amp;VLOOKUP(B78,'F01 - _Données Expatriés'!$A$6:$K$20,3,FALSE),""))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7" t="n"/>
      <c r="H79" s="29">
        <f>IF(OR(F79="",G79=""),"",IFERROR(G79-F79,0))</f>
        <v/>
      </c>
      <c r="I79" s="7" t="n"/>
      <c r="J79" s="7" t="n"/>
      <c r="K79" s="7" t="n"/>
      <c r="L79" s="7" t="n"/>
      <c r="M79" s="7" t="n"/>
      <c r="N79" s="7">
        <f>IF(B79="","",IFERROR(VLOOKUP(B79,'F01 - _Données Expatriés'!$A$6:$K$20,2,FALSE)&amp;" "&amp;VLOOKUP(B79,'F01 - _Données Expatriés'!$A$6:$K$20,3,FALSE),""))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28">
        <f>IF(OR(F80="",G80=""),"",IFERROR(G80-F80,0))</f>
        <v/>
      </c>
      <c r="I80" s="5" t="n"/>
      <c r="J80" s="5" t="n"/>
      <c r="K80" s="5" t="n"/>
      <c r="L80" s="5" t="n"/>
      <c r="M80" s="5" t="n"/>
      <c r="N80" s="5">
        <f>IF(B80="","",IFERROR(VLOOKUP(B80,'F01 - _Données Expatriés'!$A$6:$K$20,2,FALSE)&amp;" "&amp;VLOOKUP(B80,'F01 - _Données Expatriés'!$A$6:$K$20,3,FALSE),""))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7" t="n"/>
      <c r="H81" s="29">
        <f>IF(OR(F81="",G81=""),"",IFERROR(G81-F81,0))</f>
        <v/>
      </c>
      <c r="I81" s="7" t="n"/>
      <c r="J81" s="7" t="n"/>
      <c r="K81" s="7" t="n"/>
      <c r="L81" s="7" t="n"/>
      <c r="M81" s="7" t="n"/>
      <c r="N81" s="7">
        <f>IF(B81="","",IFERROR(VLOOKUP(B81,'F01 - _Données Expatriés'!$A$6:$K$20,2,FALSE)&amp;" "&amp;VLOOKUP(B81,'F01 - _Données Expatriés'!$A$6:$K$20,3,FALSE),""))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28">
        <f>IF(OR(F82="",G82=""),"",IFERROR(G82-F82,0))</f>
        <v/>
      </c>
      <c r="I82" s="5" t="n"/>
      <c r="J82" s="5" t="n"/>
      <c r="K82" s="5" t="n"/>
      <c r="L82" s="5" t="n"/>
      <c r="M82" s="5" t="n"/>
      <c r="N82" s="5">
        <f>IF(B82="","",IFERROR(VLOOKUP(B82,'F01 - _Données Expatriés'!$A$6:$K$20,2,FALSE)&amp;" "&amp;VLOOKUP(B82,'F01 - _Données Expatriés'!$A$6:$K$20,3,FALSE),""))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7" t="n"/>
      <c r="H83" s="29">
        <f>IF(OR(F83="",G83=""),"",IFERROR(G83-F83,0))</f>
        <v/>
      </c>
      <c r="I83" s="7" t="n"/>
      <c r="J83" s="7" t="n"/>
      <c r="K83" s="7" t="n"/>
      <c r="L83" s="7" t="n"/>
      <c r="M83" s="7" t="n"/>
      <c r="N83" s="7">
        <f>IF(B83="","",IFERROR(VLOOKUP(B83,'F01 - _Données Expatriés'!$A$6:$K$20,2,FALSE)&amp;" "&amp;VLOOKUP(B83,'F01 - _Données Expatriés'!$A$6:$K$20,3,FALSE),""))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28">
        <f>IF(OR(F84="",G84=""),"",IFERROR(G84-F84,0))</f>
        <v/>
      </c>
      <c r="I84" s="5" t="n"/>
      <c r="J84" s="5" t="n"/>
      <c r="K84" s="5" t="n"/>
      <c r="L84" s="5" t="n"/>
      <c r="M84" s="5" t="n"/>
      <c r="N84" s="5">
        <f>IF(B84="","",IFERROR(VLOOKUP(B84,'F01 - _Données Expatriés'!$A$6:$K$20,2,FALSE)&amp;" "&amp;VLOOKUP(B84,'F01 - _Données Expatriés'!$A$6:$K$20,3,FALSE),""))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7" t="n"/>
      <c r="H85" s="29">
        <f>IF(OR(F85="",G85=""),"",IFERROR(G85-F85,0))</f>
        <v/>
      </c>
      <c r="I85" s="7" t="n"/>
      <c r="J85" s="7" t="n"/>
      <c r="K85" s="7" t="n"/>
      <c r="L85" s="7" t="n"/>
      <c r="M85" s="7" t="n"/>
      <c r="N85" s="7">
        <f>IF(B85="","",IFERROR(VLOOKUP(B85,'F01 - _Données Expatriés'!$A$6:$K$20,2,FALSE)&amp;" "&amp;VLOOKUP(B85,'F01 - _Données Expatriés'!$A$6:$K$20,3,FALSE),""))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28">
        <f>IF(OR(F86="",G86=""),"",IFERROR(G86-F86,0))</f>
        <v/>
      </c>
      <c r="I86" s="5" t="n"/>
      <c r="J86" s="5" t="n"/>
      <c r="K86" s="5" t="n"/>
      <c r="L86" s="5" t="n"/>
      <c r="M86" s="5" t="n"/>
      <c r="N86" s="5">
        <f>IF(B86="","",IFERROR(VLOOKUP(B86,'F01 - _Données Expatriés'!$A$6:$K$20,2,FALSE)&amp;" "&amp;VLOOKUP(B86,'F01 - _Données Expatriés'!$A$6:$K$20,3,FALSE),""))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7" t="n"/>
      <c r="H87" s="29">
        <f>IF(OR(F87="",G87=""),"",IFERROR(G87-F87,0))</f>
        <v/>
      </c>
      <c r="I87" s="7" t="n"/>
      <c r="J87" s="7" t="n"/>
      <c r="K87" s="7" t="n"/>
      <c r="L87" s="7" t="n"/>
      <c r="M87" s="7" t="n"/>
      <c r="N87" s="7">
        <f>IF(B87="","",IFERROR(VLOOKUP(B87,'F01 - _Données Expatriés'!$A$6:$K$20,2,FALSE)&amp;" "&amp;VLOOKUP(B87,'F01 - _Données Expatriés'!$A$6:$K$20,3,FALSE),""))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28">
        <f>IF(OR(F88="",G88=""),"",IFERROR(G88-F88,0))</f>
        <v/>
      </c>
      <c r="I88" s="5" t="n"/>
      <c r="J88" s="5" t="n"/>
      <c r="K88" s="5" t="n"/>
      <c r="L88" s="5" t="n"/>
      <c r="M88" s="5" t="n"/>
      <c r="N88" s="5">
        <f>IF(B88="","",IFERROR(VLOOKUP(B88,'F01 - _Données Expatriés'!$A$6:$K$20,2,FALSE)&amp;" "&amp;VLOOKUP(B88,'F01 - _Données Expatriés'!$A$6:$K$20,3,FALSE),""))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7" t="n"/>
      <c r="H89" s="29">
        <f>IF(OR(F89="",G89=""),"",IFERROR(G89-F89,0))</f>
        <v/>
      </c>
      <c r="I89" s="7" t="n"/>
      <c r="J89" s="7" t="n"/>
      <c r="K89" s="7" t="n"/>
      <c r="L89" s="7" t="n"/>
      <c r="M89" s="7" t="n"/>
      <c r="N89" s="7">
        <f>IF(B89="","",IFERROR(VLOOKUP(B89,'F01 - _Données Expatriés'!$A$6:$K$20,2,FALSE)&amp;" "&amp;VLOOKUP(B89,'F01 - _Données Expatriés'!$A$6:$K$20,3,FALSE),""))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28">
        <f>IF(OR(F90="",G90=""),"",IFERROR(G90-F90,0))</f>
        <v/>
      </c>
      <c r="I90" s="5" t="n"/>
      <c r="J90" s="5" t="n"/>
      <c r="K90" s="5" t="n"/>
      <c r="L90" s="5" t="n"/>
      <c r="M90" s="5" t="n"/>
      <c r="N90" s="5">
        <f>IF(B90="","",IFERROR(VLOOKUP(B90,'F01 - _Données Expatriés'!$A$6:$K$20,2,FALSE)&amp;" "&amp;VLOOKUP(B90,'F01 - _Données Expatriés'!$A$6:$K$20,3,FALSE),""))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7" t="n"/>
      <c r="H91" s="29">
        <f>IF(OR(F91="",G91=""),"",IFERROR(G91-F91,0))</f>
        <v/>
      </c>
      <c r="I91" s="7" t="n"/>
      <c r="J91" s="7" t="n"/>
      <c r="K91" s="7" t="n"/>
      <c r="L91" s="7" t="n"/>
      <c r="M91" s="7" t="n"/>
      <c r="N91" s="7">
        <f>IF(B91="","",IFERROR(VLOOKUP(B91,'F01 - _Données Expatriés'!$A$6:$K$20,2,FALSE)&amp;" "&amp;VLOOKUP(B91,'F01 - _Données Expatriés'!$A$6:$K$20,3,FALSE),""))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28">
        <f>IF(OR(F92="",G92=""),"",IFERROR(G92-F92,0))</f>
        <v/>
      </c>
      <c r="I92" s="5" t="n"/>
      <c r="J92" s="5" t="n"/>
      <c r="K92" s="5" t="n"/>
      <c r="L92" s="5" t="n"/>
      <c r="M92" s="5" t="n"/>
      <c r="N92" s="5">
        <f>IF(B92="","",IFERROR(VLOOKUP(B92,'F01 - _Données Expatriés'!$A$6:$K$20,2,FALSE)&amp;" "&amp;VLOOKUP(B92,'F01 - _Données Expatriés'!$A$6:$K$20,3,FALSE),""))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7" t="n"/>
      <c r="H93" s="29">
        <f>IF(OR(F93="",G93=""),"",IFERROR(G93-F93,0))</f>
        <v/>
      </c>
      <c r="I93" s="7" t="n"/>
      <c r="J93" s="7" t="n"/>
      <c r="K93" s="7" t="n"/>
      <c r="L93" s="7" t="n"/>
      <c r="M93" s="7" t="n"/>
      <c r="N93" s="7">
        <f>IF(B93="","",IFERROR(VLOOKUP(B93,'F01 - _Données Expatriés'!$A$6:$K$20,2,FALSE)&amp;" "&amp;VLOOKUP(B93,'F01 - _Données Expatriés'!$A$6:$K$20,3,FALSE),""))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28">
        <f>IF(OR(F94="",G94=""),"",IFERROR(G94-F94,0))</f>
        <v/>
      </c>
      <c r="I94" s="5" t="n"/>
      <c r="J94" s="5" t="n"/>
      <c r="K94" s="5" t="n"/>
      <c r="L94" s="5" t="n"/>
      <c r="M94" s="5" t="n"/>
      <c r="N94" s="5">
        <f>IF(B94="","",IFERROR(VLOOKUP(B94,'F01 - _Données Expatriés'!$A$6:$K$20,2,FALSE)&amp;" "&amp;VLOOKUP(B94,'F01 - _Données Expatriés'!$A$6:$K$20,3,FALSE),""))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7" t="n"/>
      <c r="H95" s="29">
        <f>IF(OR(F95="",G95=""),"",IFERROR(G95-F95,0))</f>
        <v/>
      </c>
      <c r="I95" s="7" t="n"/>
      <c r="J95" s="7" t="n"/>
      <c r="K95" s="7" t="n"/>
      <c r="L95" s="7" t="n"/>
      <c r="M95" s="7" t="n"/>
      <c r="N95" s="7">
        <f>IF(B95="","",IFERROR(VLOOKUP(B95,'F01 - _Données Expatriés'!$A$6:$K$20,2,FALSE)&amp;" "&amp;VLOOKUP(B95,'F01 - _Données Expatriés'!$A$6:$K$20,3,FALSE),""))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28">
        <f>IF(OR(F96="",G96=""),"",IFERROR(G96-F96,0))</f>
        <v/>
      </c>
      <c r="I96" s="5" t="n"/>
      <c r="J96" s="5" t="n"/>
      <c r="K96" s="5" t="n"/>
      <c r="L96" s="5" t="n"/>
      <c r="M96" s="5" t="n"/>
      <c r="N96" s="5">
        <f>IF(B96="","",IFERROR(VLOOKUP(B96,'F01 - _Données Expatriés'!$A$6:$K$20,2,FALSE)&amp;" "&amp;VLOOKUP(B96,'F01 - _Données Expatriés'!$A$6:$K$20,3,FALSE),""))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7" t="n"/>
      <c r="H97" s="29">
        <f>IF(OR(F97="",G97=""),"",IFERROR(G97-F97,0))</f>
        <v/>
      </c>
      <c r="I97" s="7" t="n"/>
      <c r="J97" s="7" t="n"/>
      <c r="K97" s="7" t="n"/>
      <c r="L97" s="7" t="n"/>
      <c r="M97" s="7" t="n"/>
      <c r="N97" s="7">
        <f>IF(B97="","",IFERROR(VLOOKUP(B97,'F01 - _Données Expatriés'!$A$6:$K$20,2,FALSE)&amp;" "&amp;VLOOKUP(B97,'F01 - _Données Expatriés'!$A$6:$K$20,3,FALSE),""))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28">
        <f>IF(OR(F98="",G98=""),"",IFERROR(G98-F98,0))</f>
        <v/>
      </c>
      <c r="I98" s="5" t="n"/>
      <c r="J98" s="5" t="n"/>
      <c r="K98" s="5" t="n"/>
      <c r="L98" s="5" t="n"/>
      <c r="M98" s="5" t="n"/>
      <c r="N98" s="5">
        <f>IF(B98="","",IFERROR(VLOOKUP(B98,'F01 - _Données Expatriés'!$A$6:$K$20,2,FALSE)&amp;" "&amp;VLOOKUP(B98,'F01 - _Données Expatriés'!$A$6:$K$20,3,FALSE),""))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7" t="n"/>
      <c r="H99" s="29">
        <f>IF(OR(F99="",G99=""),"",IFERROR(G99-F99,0))</f>
        <v/>
      </c>
      <c r="I99" s="7" t="n"/>
      <c r="J99" s="7" t="n"/>
      <c r="K99" s="7" t="n"/>
      <c r="L99" s="7" t="n"/>
      <c r="M99" s="7" t="n"/>
      <c r="N99" s="7">
        <f>IF(B99="","",IFERROR(VLOOKUP(B99,'F01 - _Données Expatriés'!$A$6:$K$20,2,FALSE)&amp;" "&amp;VLOOKUP(B99,'F01 - _Données Expatriés'!$A$6:$K$20,3,FALSE),""))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28">
        <f>IF(OR(F100="",G100=""),"",IFERROR(G100-F100,0))</f>
        <v/>
      </c>
      <c r="I100" s="5" t="n"/>
      <c r="J100" s="5" t="n"/>
      <c r="K100" s="5" t="n"/>
      <c r="L100" s="5" t="n"/>
      <c r="M100" s="5" t="n"/>
      <c r="N100" s="5">
        <f>IF(B100="","",IFERROR(VLOOKUP(B100,'F01 - _Données Expatriés'!$A$6:$K$20,2,FALSE)&amp;" "&amp;VLOOKUP(B100,'F01 - _Données Expatriés'!$A$6:$K$20,3,FALSE),""))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7" t="n"/>
      <c r="H101" s="29">
        <f>IF(OR(F101="",G101=""),"",IFERROR(G101-F101,0))</f>
        <v/>
      </c>
      <c r="I101" s="7" t="n"/>
      <c r="J101" s="7" t="n"/>
      <c r="K101" s="7" t="n"/>
      <c r="L101" s="7" t="n"/>
      <c r="M101" s="7" t="n"/>
      <c r="N101" s="7">
        <f>IF(B101="","",IFERROR(VLOOKUP(B101,'F01 - _Données Expatriés'!$A$6:$K$20,2,FALSE)&amp;" "&amp;VLOOKUP(B101,'F01 - _Données Expatriés'!$A$6:$K$20,3,FALSE),""))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28">
        <f>IF(OR(F102="",G102=""),"",IFERROR(G102-F102,0))</f>
        <v/>
      </c>
      <c r="I102" s="5" t="n"/>
      <c r="J102" s="5" t="n"/>
      <c r="K102" s="5" t="n"/>
      <c r="L102" s="5" t="n"/>
      <c r="M102" s="5" t="n"/>
      <c r="N102" s="5">
        <f>IF(B102="","",IFERROR(VLOOKUP(B102,'F01 - _Données Expatriés'!$A$6:$K$20,2,FALSE)&amp;" "&amp;VLOOKUP(B102,'F01 - _Données Expatriés'!$A$6:$K$20,3,FALSE),""))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7" t="n"/>
      <c r="H103" s="29">
        <f>IF(OR(F103="",G103=""),"",IFERROR(G103-F103,0))</f>
        <v/>
      </c>
      <c r="I103" s="7" t="n"/>
      <c r="J103" s="7" t="n"/>
      <c r="K103" s="7" t="n"/>
      <c r="L103" s="7" t="n"/>
      <c r="M103" s="7" t="n"/>
      <c r="N103" s="7">
        <f>IF(B103="","",IFERROR(VLOOKUP(B103,'F01 - _Données Expatriés'!$A$6:$K$20,2,FALSE)&amp;" "&amp;VLOOKUP(B103,'F01 - _Données Expatriés'!$A$6:$K$20,3,FALSE),""))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28">
        <f>IF(OR(F104="",G104=""),"",IFERROR(G104-F104,0))</f>
        <v/>
      </c>
      <c r="I104" s="5" t="n"/>
      <c r="J104" s="5" t="n"/>
      <c r="K104" s="5" t="n"/>
      <c r="L104" s="5" t="n"/>
      <c r="M104" s="5" t="n"/>
      <c r="N104" s="5">
        <f>IF(B104="","",IFERROR(VLOOKUP(B104,'F01 - _Données Expatriés'!$A$6:$K$20,2,FALSE)&amp;" "&amp;VLOOKUP(B104,'F01 - _Données Expatriés'!$A$6:$K$20,3,FALSE),""))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7" t="n"/>
      <c r="H105" s="29">
        <f>IF(OR(F105="",G105=""),"",IFERROR(G105-F105,0))</f>
        <v/>
      </c>
      <c r="I105" s="7" t="n"/>
      <c r="J105" s="7" t="n"/>
      <c r="K105" s="7" t="n"/>
      <c r="L105" s="7" t="n"/>
      <c r="M105" s="7" t="n"/>
      <c r="N105" s="7">
        <f>IF(B105="","",IFERROR(VLOOKUP(B105,'F01 - _Données Expatriés'!$A$6:$K$20,2,FALSE)&amp;" "&amp;VLOOKUP(B105,'F01 - _Données Expatriés'!$A$6:$K$20,3,FALSE),""))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28">
        <f>IF(OR(F106="",G106=""),"",IFERROR(G106-F106,0))</f>
        <v/>
      </c>
      <c r="I106" s="5" t="n"/>
      <c r="J106" s="5" t="n"/>
      <c r="K106" s="5" t="n"/>
      <c r="L106" s="5" t="n"/>
      <c r="M106" s="5" t="n"/>
      <c r="N106" s="5">
        <f>IF(B106="","",IFERROR(VLOOKUP(B106,'F01 - _Données Expatriés'!$A$6:$K$20,2,FALSE)&amp;" "&amp;VLOOKUP(B106,'F01 - _Données Expatriés'!$A$6:$K$20,3,FALSE),""))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7" t="n"/>
      <c r="H107" s="29">
        <f>IF(OR(F107="",G107=""),"",IFERROR(G107-F107,0))</f>
        <v/>
      </c>
      <c r="I107" s="7" t="n"/>
      <c r="J107" s="7" t="n"/>
      <c r="K107" s="7" t="n"/>
      <c r="L107" s="7" t="n"/>
      <c r="M107" s="7" t="n"/>
      <c r="N107" s="7">
        <f>IF(B107="","",IFERROR(VLOOKUP(B107,'F01 - _Données Expatriés'!$A$6:$K$20,2,FALSE)&amp;" "&amp;VLOOKUP(B107,'F01 - _Données Expatriés'!$A$6:$K$20,3,FALSE),""))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28">
        <f>IF(OR(F108="",G108=""),"",IFERROR(G108-F108,0))</f>
        <v/>
      </c>
      <c r="I108" s="5" t="n"/>
      <c r="J108" s="5" t="n"/>
      <c r="K108" s="5" t="n"/>
      <c r="L108" s="5" t="n"/>
      <c r="M108" s="5" t="n"/>
      <c r="N108" s="5">
        <f>IF(B108="","",IFERROR(VLOOKUP(B108,'F01 - _Données Expatriés'!$A$6:$K$20,2,FALSE)&amp;" "&amp;VLOOKUP(B108,'F01 - _Données Expatriés'!$A$6:$K$20,3,FALSE),""))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7" t="n"/>
      <c r="H109" s="29">
        <f>IF(OR(F109="",G109=""),"",IFERROR(G109-F109,0))</f>
        <v/>
      </c>
      <c r="I109" s="7" t="n"/>
      <c r="J109" s="7" t="n"/>
      <c r="K109" s="7" t="n"/>
      <c r="L109" s="7" t="n"/>
      <c r="M109" s="7" t="n"/>
      <c r="N109" s="7">
        <f>IF(B109="","",IFERROR(VLOOKUP(B109,'F01 - _Données Expatriés'!$A$6:$K$20,2,FALSE)&amp;" "&amp;VLOOKUP(B109,'F01 - _Données Expatriés'!$A$6:$K$20,3,FALSE),""))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28">
        <f>IF(OR(F110="",G110=""),"",IFERROR(G110-F110,0))</f>
        <v/>
      </c>
      <c r="I110" s="5" t="n"/>
      <c r="J110" s="5" t="n"/>
      <c r="K110" s="5" t="n"/>
      <c r="L110" s="5" t="n"/>
      <c r="M110" s="5" t="n"/>
      <c r="N110" s="5">
        <f>IF(B110="","",IFERROR(VLOOKUP(B110,'F01 - _Données Expatriés'!$A$6:$K$20,2,FALSE)&amp;" "&amp;VLOOKUP(B110,'F01 - _Données Expatriés'!$A$6:$K$20,3,FALSE),""))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7" t="n"/>
      <c r="H111" s="29">
        <f>IF(OR(F111="",G111=""),"",IFERROR(G111-F111,0))</f>
        <v/>
      </c>
      <c r="I111" s="7" t="n"/>
      <c r="J111" s="7" t="n"/>
      <c r="K111" s="7" t="n"/>
      <c r="L111" s="7" t="n"/>
      <c r="M111" s="7" t="n"/>
      <c r="N111" s="7">
        <f>IF(B111="","",IFERROR(VLOOKUP(B111,'F01 - _Données Expatriés'!$A$6:$K$20,2,FALSE)&amp;" "&amp;VLOOKUP(B111,'F01 - _Données Expatriés'!$A$6:$K$20,3,FALSE),""))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28">
        <f>IF(OR(F112="",G112=""),"",IFERROR(G112-F112,0))</f>
        <v/>
      </c>
      <c r="I112" s="5" t="n"/>
      <c r="J112" s="5" t="n"/>
      <c r="K112" s="5" t="n"/>
      <c r="L112" s="5" t="n"/>
      <c r="M112" s="5" t="n"/>
      <c r="N112" s="5">
        <f>IF(B112="","",IFERROR(VLOOKUP(B112,'F01 - _Données Expatriés'!$A$6:$K$20,2,FALSE)&amp;" "&amp;VLOOKUP(B112,'F01 - _Données Expatriés'!$A$6:$K$20,3,FALSE),""))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7" t="n"/>
      <c r="H113" s="29">
        <f>IF(OR(F113="",G113=""),"",IFERROR(G113-F113,0))</f>
        <v/>
      </c>
      <c r="I113" s="7" t="n"/>
      <c r="J113" s="7" t="n"/>
      <c r="K113" s="7" t="n"/>
      <c r="L113" s="7" t="n"/>
      <c r="M113" s="7" t="n"/>
      <c r="N113" s="7">
        <f>IF(B113="","",IFERROR(VLOOKUP(B113,'F01 - _Données Expatriés'!$A$6:$K$20,2,FALSE)&amp;" "&amp;VLOOKUP(B113,'F01 - _Données Expatriés'!$A$6:$K$20,3,FALSE),""))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28">
        <f>IF(OR(F114="",G114=""),"",IFERROR(G114-F114,0))</f>
        <v/>
      </c>
      <c r="I114" s="5" t="n"/>
      <c r="J114" s="5" t="n"/>
      <c r="K114" s="5" t="n"/>
      <c r="L114" s="5" t="n"/>
      <c r="M114" s="5" t="n"/>
      <c r="N114" s="5">
        <f>IF(B114="","",IFERROR(VLOOKUP(B114,'F01 - _Données Expatriés'!$A$6:$K$20,2,FALSE)&amp;" "&amp;VLOOKUP(B114,'F01 - _Données Expatriés'!$A$6:$K$20,3,FALSE),""))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7" t="n"/>
      <c r="H115" s="29">
        <f>IF(OR(F115="",G115=""),"",IFERROR(G115-F115,0))</f>
        <v/>
      </c>
      <c r="I115" s="7" t="n"/>
      <c r="J115" s="7" t="n"/>
      <c r="K115" s="7" t="n"/>
      <c r="L115" s="7" t="n"/>
      <c r="M115" s="7" t="n"/>
      <c r="N115" s="7">
        <f>IF(B115="","",IFERROR(VLOOKUP(B115,'F01 - _Données Expatriés'!$A$6:$K$20,2,FALSE)&amp;" "&amp;VLOOKUP(B115,'F01 - _Données Expatriés'!$A$6:$K$20,3,FALSE),""))</f>
        <v/>
      </c>
    </row>
  </sheetData>
  <mergeCells count="2">
    <mergeCell ref="A3:N3"/>
    <mergeCell ref="A2:N2"/>
  </mergeCells>
  <dataValidations count="6">
    <dataValidation sqref="C6:C115" showDropDown="0" showInputMessage="0" showErrorMessage="0" allowBlank="1" errorTitle="Erreur" error="Valeur invalide" promptTitle="" prompt="Choisir dans la liste: " type="list">
      <formula1>'F02 - _Lists'!$E$6:$E$25</formula1>
    </dataValidation>
    <dataValidation sqref="D6:D115" showDropDown="0" showInputMessage="0" showErrorMessage="0" allowBlank="1" errorTitle="Erreur" error="Valeur invalide" promptTitle="" prompt="Choisir dans la liste: " type="list">
      <formula1>'F02 - _Lists'!$F$6:$F$15</formula1>
    </dataValidation>
    <dataValidation sqref="E6:E115" showDropDown="0" showInputMessage="0" showErrorMessage="0" allowBlank="1" errorTitle="Erreur" error="Valeur invalide" promptTitle="" prompt="Choisir dans la liste: " type="list">
      <formula1>'F02 - _Lists'!$D$6:$D$10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_Lists'!$Z$6:$Z$9</formula1>
    </dataValidation>
    <dataValidation sqref="L6:L115" showDropDown="0" showInputMessage="0" showErrorMessage="0" allowBlank="1" errorTitle="Erreur" error="Valeur invalide" promptTitle="" prompt="Choisir dans la liste: " type="list">
      <formula1>'F02 - _Lists'!$Z$6:$Z$9</formula1>
    </dataValidation>
    <dataValidation sqref="M6:M115" showDropDown="0" showInputMessage="0" showErrorMessage="0" allowBlank="1" errorTitle="Erreur" error="Valeur invalide" promptTitle="" prompt="Choisir dans la liste: " type="list">
      <formula1>'F02 - _Lists'!$V$6:$V$10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8" customWidth="1" min="4" max="4"/>
    <col width="16" customWidth="1" min="5" max="5"/>
    <col width="14" customWidth="1" min="6" max="6"/>
    <col width="22" customWidth="1" min="7" max="7"/>
    <col width="24" customWidth="1" min="8" max="8"/>
    <col width="16" customWidth="1" min="9" max="9"/>
    <col width="18" customWidth="1" min="10" max="10"/>
    <col width="14" customWidth="1" min="11" max="11"/>
    <col width="14" customWidth="1" min="12" max="12"/>
    <col width="28" customWidth="1" min="13" max="13"/>
    <col width="14" customWidth="1" min="14" max="14"/>
  </cols>
  <sheetData>
    <row r="1" ht="8" customHeight="1"/>
    <row r="2" ht="30" customHeight="1">
      <c r="A2" s="1" t="inlineStr">
        <is>
          <t>14-CALENDRIER MOBILITÉ INTERNATIONALE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Échéance</t>
        </is>
      </c>
      <c r="B5" s="4" t="inlineStr">
        <is>
          <t>Matricule Expat.</t>
        </is>
      </c>
      <c r="C5" s="4" t="inlineStr">
        <is>
          <t>Type Événement</t>
        </is>
      </c>
      <c r="D5" s="4" t="inlineStr">
        <is>
          <t>Description</t>
        </is>
      </c>
      <c r="E5" s="4" t="inlineStr">
        <is>
          <t>Date Échéance</t>
        </is>
      </c>
      <c r="F5" s="4" t="inlineStr">
        <is>
          <t>Fréquence</t>
        </is>
      </c>
      <c r="G5" s="4" t="inlineStr">
        <is>
          <t>Responsable</t>
        </is>
      </c>
      <c r="H5" s="4" t="inlineStr">
        <is>
          <t>Département</t>
        </is>
      </c>
      <c r="I5" s="4" t="inlineStr">
        <is>
          <t>Jours Restants</t>
        </is>
      </c>
      <c r="J5" s="4" t="inlineStr">
        <is>
          <t>Alerte</t>
        </is>
      </c>
      <c r="K5" s="4" t="inlineStr">
        <is>
          <t>Rappel Envoyé</t>
        </is>
      </c>
      <c r="L5" s="4" t="inlineStr">
        <is>
          <t>Statut</t>
        </is>
      </c>
      <c r="M5" s="4" t="inlineStr">
        <is>
          <t>Observations</t>
        </is>
      </c>
      <c r="N5" s="4" t="inlineStr"/>
    </row>
    <row r="6" ht="22" customHeight="1">
      <c r="A6" s="5" t="inlineStr">
        <is>
          <t>CAL-001</t>
        </is>
      </c>
      <c r="B6" s="5" t="inlineStr">
        <is>
          <t>EXP-001</t>
        </is>
      </c>
      <c r="C6" s="5" t="inlineStr">
        <is>
          <t>Renouvellement visa</t>
        </is>
      </c>
      <c r="D6" s="5" t="inlineStr">
        <is>
          <t>Carte de séjour expire</t>
        </is>
      </c>
      <c r="E6" s="22" t="n">
        <v>45697</v>
      </c>
      <c r="F6" s="5" t="inlineStr">
        <is>
          <t>Annuelle</t>
        </is>
      </c>
      <c r="G6" s="5" t="inlineStr">
        <is>
          <t>DRH</t>
        </is>
      </c>
      <c r="H6" s="5" t="inlineStr">
        <is>
          <t>Ressources Humaines</t>
        </is>
      </c>
      <c r="I6" s="28">
        <f>IF(E6="","",IFERROR(E6-TODAY(),0))</f>
        <v/>
      </c>
      <c r="J6" s="5">
        <f>IF(I6="","",IF(I6&lt;0,"EXPIRÉ",IF(I6&lt;=30,"URGENT",IF(I6&lt;=90,"Bientôt","OK"))))</f>
        <v/>
      </c>
      <c r="K6" s="5" t="inlineStr">
        <is>
          <t>Non</t>
        </is>
      </c>
      <c r="L6" s="5" t="inlineStr">
        <is>
          <t>En cours</t>
        </is>
      </c>
      <c r="M6" s="5" t="inlineStr"/>
      <c r="N6" s="5">
        <f>IF(B6="","",IFERROR(VLOOKUP(B6,'F01 - _Données Expatriés'!$A$6:$K$20,2,FALSE)&amp;" "&amp;VLOOKUP(B6,'F01 - _Données Expatriés'!$A$6:$K$20,3,FALSE),""))</f>
        <v/>
      </c>
    </row>
    <row r="7" ht="22" customHeight="1">
      <c r="A7" s="7" t="inlineStr">
        <is>
          <t>CAL-002</t>
        </is>
      </c>
      <c r="B7" s="7" t="inlineStr">
        <is>
          <t>EXP-002</t>
        </is>
      </c>
      <c r="C7" s="7" t="inlineStr">
        <is>
          <t>Renouvellement bail</t>
        </is>
      </c>
      <c r="D7" s="7" t="inlineStr">
        <is>
          <t>Bail appartement</t>
        </is>
      </c>
      <c r="E7" s="23" t="n">
        <v>45717</v>
      </c>
      <c r="F7" s="7" t="inlineStr">
        <is>
          <t>Annuelle</t>
        </is>
      </c>
      <c r="G7" s="7" t="inlineStr">
        <is>
          <t>DRH / Logistique</t>
        </is>
      </c>
      <c r="H7" s="7" t="inlineStr">
        <is>
          <t>Logistique</t>
        </is>
      </c>
      <c r="I7" s="29">
        <f>IF(E7="","",IFERROR(E7-TODAY(),0))</f>
        <v/>
      </c>
      <c r="J7" s="7">
        <f>IF(I7="","",IF(I7&lt;0,"EXPIRÉ",IF(I7&lt;=30,"URGENT",IF(I7&lt;=90,"Bientôt","OK"))))</f>
        <v/>
      </c>
      <c r="K7" s="7" t="inlineStr">
        <is>
          <t>Non</t>
        </is>
      </c>
      <c r="L7" s="7" t="inlineStr">
        <is>
          <t>En cours</t>
        </is>
      </c>
      <c r="M7" s="7" t="inlineStr"/>
      <c r="N7" s="7">
        <f>IF(B7="","",IFERROR(VLOOKUP(B7,'F01 - _Données Expatriés'!$A$6:$K$20,2,FALSE)&amp;" "&amp;VLOOKUP(B7,'F01 - _Données Expatriés'!$A$6:$K$20,3,FALSE),""))</f>
        <v/>
      </c>
    </row>
    <row r="8" ht="22" customHeight="1">
      <c r="A8" s="5" t="inlineStr">
        <is>
          <t>CAL-003</t>
        </is>
      </c>
      <c r="B8" s="5" t="inlineStr">
        <is>
          <t>EXP-005</t>
        </is>
      </c>
      <c r="C8" s="5" t="inlineStr">
        <is>
          <t>Renouvellement permis</t>
        </is>
      </c>
      <c r="D8" s="5" t="inlineStr">
        <is>
          <t>Permis travail B</t>
        </is>
      </c>
      <c r="E8" s="22" t="n">
        <v>45671</v>
      </c>
      <c r="F8" s="5" t="inlineStr">
        <is>
          <t>Annuelle</t>
        </is>
      </c>
      <c r="G8" s="5" t="inlineStr">
        <is>
          <t>DRH</t>
        </is>
      </c>
      <c r="H8" s="5" t="inlineStr">
        <is>
          <t>Ressources Humaines</t>
        </is>
      </c>
      <c r="I8" s="28">
        <f>IF(E8="","",IFERROR(E8-TODAY(),0))</f>
        <v/>
      </c>
      <c r="J8" s="5">
        <f>IF(I8="","",IF(I8&lt;0,"EXPIRÉ",IF(I8&lt;=30,"URGENT",IF(I8&lt;=90,"Bientôt","OK"))))</f>
        <v/>
      </c>
      <c r="K8" s="5" t="inlineStr">
        <is>
          <t>Oui</t>
        </is>
      </c>
      <c r="L8" s="5" t="inlineStr">
        <is>
          <t>En retard</t>
        </is>
      </c>
      <c r="M8" s="5" t="inlineStr">
        <is>
          <t>Urgent</t>
        </is>
      </c>
      <c r="N8" s="5">
        <f>IF(B8="","",IFERROR(VLOOKUP(B8,'F01 - _Données Expatriés'!$A$6:$K$20,2,FALSE)&amp;" "&amp;VLOOKUP(B8,'F01 - _Données Expatriés'!$A$6:$K$20,3,FALSE),""))</f>
        <v/>
      </c>
    </row>
    <row r="9" ht="22" customHeight="1">
      <c r="A9" s="7" t="inlineStr">
        <is>
          <t>CAL-004</t>
        </is>
      </c>
      <c r="B9" s="7" t="inlineStr">
        <is>
          <t>EXP-003</t>
        </is>
      </c>
      <c r="C9" s="7" t="inlineStr">
        <is>
          <t>Bilan médical annuel</t>
        </is>
      </c>
      <c r="D9" s="7" t="inlineStr">
        <is>
          <t>Visite médicale</t>
        </is>
      </c>
      <c r="E9" s="23" t="n">
        <v>45809</v>
      </c>
      <c r="F9" s="7" t="inlineStr">
        <is>
          <t>Annuelle</t>
        </is>
      </c>
      <c r="G9" s="7" t="inlineStr">
        <is>
          <t>DRH</t>
        </is>
      </c>
      <c r="H9" s="7" t="inlineStr">
        <is>
          <t>Ressources Humaines</t>
        </is>
      </c>
      <c r="I9" s="29">
        <f>IF(E9="","",IFERROR(E9-TODAY(),0))</f>
        <v/>
      </c>
      <c r="J9" s="7">
        <f>IF(I9="","",IF(I9&lt;0,"EXPIRÉ",IF(I9&lt;=30,"URGENT",IF(I9&lt;=90,"Bientôt","OK"))))</f>
        <v/>
      </c>
      <c r="K9" s="7" t="inlineStr">
        <is>
          <t>Non</t>
        </is>
      </c>
      <c r="L9" s="7" t="inlineStr">
        <is>
          <t>Planifié</t>
        </is>
      </c>
      <c r="M9" s="7" t="inlineStr"/>
      <c r="N9" s="7">
        <f>IF(B9="","",IFERROR(VLOOKUP(B9,'F01 - _Données Expatriés'!$A$6:$K$20,2,FALSE)&amp;" "&amp;VLOOKUP(B9,'F01 - _Données Expatriés'!$A$6:$K$20,3,FALSE),""))</f>
        <v/>
      </c>
    </row>
    <row r="10" ht="22" customHeight="1">
      <c r="A10" s="5" t="inlineStr">
        <is>
          <t>CAL-005</t>
        </is>
      </c>
      <c r="B10" s="5" t="inlineStr">
        <is>
          <t>EXP-007</t>
        </is>
      </c>
      <c r="C10" s="5" t="inlineStr">
        <is>
          <t>Renouvellement contrat</t>
        </is>
      </c>
      <c r="D10" s="5" t="inlineStr">
        <is>
          <t>Fin mission détachement</t>
        </is>
      </c>
      <c r="E10" s="22" t="n">
        <v>45930</v>
      </c>
      <c r="F10" s="5" t="inlineStr">
        <is>
          <t>Ponctuelle</t>
        </is>
      </c>
      <c r="G10" s="5" t="inlineStr">
        <is>
          <t>DRH / DG</t>
        </is>
      </c>
      <c r="H10" s="5" t="inlineStr">
        <is>
          <t>Ressources Humaines</t>
        </is>
      </c>
      <c r="I10" s="28">
        <f>IF(E10="","",IFERROR(E10-TODAY(),0))</f>
        <v/>
      </c>
      <c r="J10" s="5">
        <f>IF(I10="","",IF(I10&lt;0,"EXPIRÉ",IF(I10&lt;=30,"URGENT",IF(I10&lt;=90,"Bientôt","OK"))))</f>
        <v/>
      </c>
      <c r="K10" s="5" t="inlineStr">
        <is>
          <t>Non</t>
        </is>
      </c>
      <c r="L10" s="5" t="inlineStr">
        <is>
          <t>Planifié</t>
        </is>
      </c>
      <c r="M10" s="5" t="inlineStr"/>
      <c r="N10" s="5">
        <f>IF(B10="","",IFERROR(VLOOKUP(B10,'F01 - _Données Expatriés'!$A$6:$K$20,2,FALSE)&amp;" "&amp;VLOOKUP(B10,'F01 - _Données Expatriés'!$A$6:$K$20,3,FALSE),""))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29">
        <f>IF(E11="","",IFERROR(E11-TODAY(),0))</f>
        <v/>
      </c>
      <c r="J11" s="7">
        <f>IF(I11="","",IF(I11&lt;0,"EXPIRÉ",IF(I11&lt;=30,"URGENT",IF(I11&lt;=90,"Bientôt","OK"))))</f>
        <v/>
      </c>
      <c r="K11" s="7" t="n"/>
      <c r="L11" s="7" t="n"/>
      <c r="M11" s="7" t="n"/>
      <c r="N11" s="7">
        <f>IF(B11="","",IFERROR(VLOOKUP(B11,'F01 - _Données Expatriés'!$A$6:$K$20,2,FALSE)&amp;" "&amp;VLOOKUP(B11,'F01 - _Données Expatriés'!$A$6:$K$20,3,FALSE),""))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28">
        <f>IF(E12="","",IFERROR(E12-TODAY(),0))</f>
        <v/>
      </c>
      <c r="J12" s="5">
        <f>IF(I12="","",IF(I12&lt;0,"EXPIRÉ",IF(I12&lt;=30,"URGENT",IF(I12&lt;=90,"Bientôt","OK"))))</f>
        <v/>
      </c>
      <c r="K12" s="5" t="n"/>
      <c r="L12" s="5" t="n"/>
      <c r="M12" s="5" t="n"/>
      <c r="N12" s="5">
        <f>IF(B12="","",IFERROR(VLOOKUP(B12,'F01 - _Données Expatriés'!$A$6:$K$20,2,FALSE)&amp;" "&amp;VLOOKUP(B12,'F01 - _Données Expatriés'!$A$6:$K$20,3,FALSE),""))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29">
        <f>IF(E13="","",IFERROR(E13-TODAY(),0))</f>
        <v/>
      </c>
      <c r="J13" s="7">
        <f>IF(I13="","",IF(I13&lt;0,"EXPIRÉ",IF(I13&lt;=30,"URGENT",IF(I13&lt;=90,"Bientôt","OK"))))</f>
        <v/>
      </c>
      <c r="K13" s="7" t="n"/>
      <c r="L13" s="7" t="n"/>
      <c r="M13" s="7" t="n"/>
      <c r="N13" s="7">
        <f>IF(B13="","",IFERROR(VLOOKUP(B13,'F01 - _Données Expatriés'!$A$6:$K$20,2,FALSE)&amp;" "&amp;VLOOKUP(B13,'F01 - _Données Expatriés'!$A$6:$K$20,3,FALSE),""))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28">
        <f>IF(E14="","",IFERROR(E14-TODAY(),0))</f>
        <v/>
      </c>
      <c r="J14" s="5">
        <f>IF(I14="","",IF(I14&lt;0,"EXPIRÉ",IF(I14&lt;=30,"URGENT",IF(I14&lt;=90,"Bientôt","OK"))))</f>
        <v/>
      </c>
      <c r="K14" s="5" t="n"/>
      <c r="L14" s="5" t="n"/>
      <c r="M14" s="5" t="n"/>
      <c r="N14" s="5">
        <f>IF(B14="","",IFERROR(VLOOKUP(B14,'F01 - _Données Expatriés'!$A$6:$K$20,2,FALSE)&amp;" "&amp;VLOOKUP(B14,'F01 - _Données Expatriés'!$A$6:$K$20,3,FALSE),""))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29">
        <f>IF(E15="","",IFERROR(E15-TODAY(),0))</f>
        <v/>
      </c>
      <c r="J15" s="7">
        <f>IF(I15="","",IF(I15&lt;0,"EXPIRÉ",IF(I15&lt;=30,"URGENT",IF(I15&lt;=90,"Bientôt","OK"))))</f>
        <v/>
      </c>
      <c r="K15" s="7" t="n"/>
      <c r="L15" s="7" t="n"/>
      <c r="M15" s="7" t="n"/>
      <c r="N15" s="7">
        <f>IF(B15="","",IFERROR(VLOOKUP(B15,'F01 - _Données Expatriés'!$A$6:$K$20,2,FALSE)&amp;" "&amp;VLOOKUP(B15,'F01 - _Données Expatriés'!$A$6:$K$20,3,FALSE),""))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28">
        <f>IF(E16="","",IFERROR(E16-TODAY(),0))</f>
        <v/>
      </c>
      <c r="J16" s="5">
        <f>IF(I16="","",IF(I16&lt;0,"EXPIRÉ",IF(I16&lt;=30,"URGENT",IF(I16&lt;=90,"Bientôt","OK"))))</f>
        <v/>
      </c>
      <c r="K16" s="5" t="n"/>
      <c r="L16" s="5" t="n"/>
      <c r="M16" s="5" t="n"/>
      <c r="N16" s="5">
        <f>IF(B16="","",IFERROR(VLOOKUP(B16,'F01 - _Données Expatriés'!$A$6:$K$20,2,FALSE)&amp;" "&amp;VLOOKUP(B16,'F01 - _Données Expatriés'!$A$6:$K$20,3,FALSE),""))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29">
        <f>IF(E17="","",IFERROR(E17-TODAY(),0))</f>
        <v/>
      </c>
      <c r="J17" s="7">
        <f>IF(I17="","",IF(I17&lt;0,"EXPIRÉ",IF(I17&lt;=30,"URGENT",IF(I17&lt;=90,"Bientôt","OK"))))</f>
        <v/>
      </c>
      <c r="K17" s="7" t="n"/>
      <c r="L17" s="7" t="n"/>
      <c r="M17" s="7" t="n"/>
      <c r="N17" s="7">
        <f>IF(B17="","",IFERROR(VLOOKUP(B17,'F01 - _Données Expatriés'!$A$6:$K$20,2,FALSE)&amp;" "&amp;VLOOKUP(B17,'F01 - _Données Expatriés'!$A$6:$K$20,3,FALSE),""))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28">
        <f>IF(E18="","",IFERROR(E18-TODAY(),0))</f>
        <v/>
      </c>
      <c r="J18" s="5">
        <f>IF(I18="","",IF(I18&lt;0,"EXPIRÉ",IF(I18&lt;=30,"URGENT",IF(I18&lt;=90,"Bientôt","OK"))))</f>
        <v/>
      </c>
      <c r="K18" s="5" t="n"/>
      <c r="L18" s="5" t="n"/>
      <c r="M18" s="5" t="n"/>
      <c r="N18" s="5">
        <f>IF(B18="","",IFERROR(VLOOKUP(B18,'F01 - _Données Expatriés'!$A$6:$K$20,2,FALSE)&amp;" "&amp;VLOOKUP(B18,'F01 - _Données Expatriés'!$A$6:$K$20,3,FALSE),""))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29">
        <f>IF(E19="","",IFERROR(E19-TODAY(),0))</f>
        <v/>
      </c>
      <c r="J19" s="7">
        <f>IF(I19="","",IF(I19&lt;0,"EXPIRÉ",IF(I19&lt;=30,"URGENT",IF(I19&lt;=90,"Bientôt","OK"))))</f>
        <v/>
      </c>
      <c r="K19" s="7" t="n"/>
      <c r="L19" s="7" t="n"/>
      <c r="M19" s="7" t="n"/>
      <c r="N19" s="7">
        <f>IF(B19="","",IFERROR(VLOOKUP(B19,'F01 - _Données Expatriés'!$A$6:$K$20,2,FALSE)&amp;" "&amp;VLOOKUP(B19,'F01 - _Données Expatriés'!$A$6:$K$20,3,FALSE),""))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28">
        <f>IF(E20="","",IFERROR(E20-TODAY(),0))</f>
        <v/>
      </c>
      <c r="J20" s="5">
        <f>IF(I20="","",IF(I20&lt;0,"EXPIRÉ",IF(I20&lt;=30,"URGENT",IF(I20&lt;=90,"Bientôt","OK"))))</f>
        <v/>
      </c>
      <c r="K20" s="5" t="n"/>
      <c r="L20" s="5" t="n"/>
      <c r="M20" s="5" t="n"/>
      <c r="N20" s="5">
        <f>IF(B20="","",IFERROR(VLOOKUP(B20,'F01 - _Données Expatriés'!$A$6:$K$20,2,FALSE)&amp;" "&amp;VLOOKUP(B20,'F01 - _Données Expatriés'!$A$6:$K$20,3,FALSE),""))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29">
        <f>IF(E21="","",IFERROR(E21-TODAY(),0))</f>
        <v/>
      </c>
      <c r="J21" s="7">
        <f>IF(I21="","",IF(I21&lt;0,"EXPIRÉ",IF(I21&lt;=30,"URGENT",IF(I21&lt;=90,"Bientôt","OK"))))</f>
        <v/>
      </c>
      <c r="K21" s="7" t="n"/>
      <c r="L21" s="7" t="n"/>
      <c r="M21" s="7" t="n"/>
      <c r="N21" s="7">
        <f>IF(B21="","",IFERROR(VLOOKUP(B21,'F01 - _Données Expatriés'!$A$6:$K$20,2,FALSE)&amp;" "&amp;VLOOKUP(B21,'F01 - _Données Expatriés'!$A$6:$K$20,3,FALSE),""))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28">
        <f>IF(E22="","",IFERROR(E22-TODAY(),0))</f>
        <v/>
      </c>
      <c r="J22" s="5">
        <f>IF(I22="","",IF(I22&lt;0,"EXPIRÉ",IF(I22&lt;=30,"URGENT",IF(I22&lt;=90,"Bientôt","OK"))))</f>
        <v/>
      </c>
      <c r="K22" s="5" t="n"/>
      <c r="L22" s="5" t="n"/>
      <c r="M22" s="5" t="n"/>
      <c r="N22" s="5">
        <f>IF(B22="","",IFERROR(VLOOKUP(B22,'F01 - _Données Expatriés'!$A$6:$K$20,2,FALSE)&amp;" "&amp;VLOOKUP(B22,'F01 - _Données Expatriés'!$A$6:$K$20,3,FALSE),""))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29">
        <f>IF(E23="","",IFERROR(E23-TODAY(),0))</f>
        <v/>
      </c>
      <c r="J23" s="7">
        <f>IF(I23="","",IF(I23&lt;0,"EXPIRÉ",IF(I23&lt;=30,"URGENT",IF(I23&lt;=90,"Bientôt","OK"))))</f>
        <v/>
      </c>
      <c r="K23" s="7" t="n"/>
      <c r="L23" s="7" t="n"/>
      <c r="M23" s="7" t="n"/>
      <c r="N23" s="7">
        <f>IF(B23="","",IFERROR(VLOOKUP(B23,'F01 - _Données Expatriés'!$A$6:$K$20,2,FALSE)&amp;" "&amp;VLOOKUP(B23,'F01 - _Données Expatriés'!$A$6:$K$20,3,FALSE),""))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28">
        <f>IF(E24="","",IFERROR(E24-TODAY(),0))</f>
        <v/>
      </c>
      <c r="J24" s="5">
        <f>IF(I24="","",IF(I24&lt;0,"EXPIRÉ",IF(I24&lt;=30,"URGENT",IF(I24&lt;=90,"Bientôt","OK"))))</f>
        <v/>
      </c>
      <c r="K24" s="5" t="n"/>
      <c r="L24" s="5" t="n"/>
      <c r="M24" s="5" t="n"/>
      <c r="N24" s="5">
        <f>IF(B24="","",IFERROR(VLOOKUP(B24,'F01 - _Données Expatriés'!$A$6:$K$20,2,FALSE)&amp;" "&amp;VLOOKUP(B24,'F01 - _Données Expatriés'!$A$6:$K$20,3,FALSE),""))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29">
        <f>IF(E25="","",IFERROR(E25-TODAY(),0))</f>
        <v/>
      </c>
      <c r="J25" s="7">
        <f>IF(I25="","",IF(I25&lt;0,"EXPIRÉ",IF(I25&lt;=30,"URGENT",IF(I25&lt;=90,"Bientôt","OK"))))</f>
        <v/>
      </c>
      <c r="K25" s="7" t="n"/>
      <c r="L25" s="7" t="n"/>
      <c r="M25" s="7" t="n"/>
      <c r="N25" s="7">
        <f>IF(B25="","",IFERROR(VLOOKUP(B25,'F01 - _Données Expatriés'!$A$6:$K$20,2,FALSE)&amp;" "&amp;VLOOKUP(B25,'F01 - _Données Expatriés'!$A$6:$K$20,3,FALSE),""))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28">
        <f>IF(E26="","",IFERROR(E26-TODAY(),0))</f>
        <v/>
      </c>
      <c r="J26" s="5">
        <f>IF(I26="","",IF(I26&lt;0,"EXPIRÉ",IF(I26&lt;=30,"URGENT",IF(I26&lt;=90,"Bientôt","OK"))))</f>
        <v/>
      </c>
      <c r="K26" s="5" t="n"/>
      <c r="L26" s="5" t="n"/>
      <c r="M26" s="5" t="n"/>
      <c r="N26" s="5">
        <f>IF(B26="","",IFERROR(VLOOKUP(B26,'F01 - _Données Expatriés'!$A$6:$K$20,2,FALSE)&amp;" "&amp;VLOOKUP(B26,'F01 - _Données Expatriés'!$A$6:$K$20,3,FALSE),""))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29">
        <f>IF(E27="","",IFERROR(E27-TODAY(),0))</f>
        <v/>
      </c>
      <c r="J27" s="7">
        <f>IF(I27="","",IF(I27&lt;0,"EXPIRÉ",IF(I27&lt;=30,"URGENT",IF(I27&lt;=90,"Bientôt","OK"))))</f>
        <v/>
      </c>
      <c r="K27" s="7" t="n"/>
      <c r="L27" s="7" t="n"/>
      <c r="M27" s="7" t="n"/>
      <c r="N27" s="7">
        <f>IF(B27="","",IFERROR(VLOOKUP(B27,'F01 - _Données Expatriés'!$A$6:$K$20,2,FALSE)&amp;" "&amp;VLOOKUP(B27,'F01 - _Données Expatriés'!$A$6:$K$20,3,FALSE),""))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28">
        <f>IF(E28="","",IFERROR(E28-TODAY(),0))</f>
        <v/>
      </c>
      <c r="J28" s="5">
        <f>IF(I28="","",IF(I28&lt;0,"EXPIRÉ",IF(I28&lt;=30,"URGENT",IF(I28&lt;=90,"Bientôt","OK"))))</f>
        <v/>
      </c>
      <c r="K28" s="5" t="n"/>
      <c r="L28" s="5" t="n"/>
      <c r="M28" s="5" t="n"/>
      <c r="N28" s="5">
        <f>IF(B28="","",IFERROR(VLOOKUP(B28,'F01 - _Données Expatriés'!$A$6:$K$20,2,FALSE)&amp;" "&amp;VLOOKUP(B28,'F01 - _Données Expatriés'!$A$6:$K$20,3,FALSE),""))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29">
        <f>IF(E29="","",IFERROR(E29-TODAY(),0))</f>
        <v/>
      </c>
      <c r="J29" s="7">
        <f>IF(I29="","",IF(I29&lt;0,"EXPIRÉ",IF(I29&lt;=30,"URGENT",IF(I29&lt;=90,"Bientôt","OK"))))</f>
        <v/>
      </c>
      <c r="K29" s="7" t="n"/>
      <c r="L29" s="7" t="n"/>
      <c r="M29" s="7" t="n"/>
      <c r="N29" s="7">
        <f>IF(B29="","",IFERROR(VLOOKUP(B29,'F01 - _Données Expatriés'!$A$6:$K$20,2,FALSE)&amp;" "&amp;VLOOKUP(B29,'F01 - _Données Expatriés'!$A$6:$K$20,3,FALSE),""))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28">
        <f>IF(E30="","",IFERROR(E30-TODAY(),0))</f>
        <v/>
      </c>
      <c r="J30" s="5">
        <f>IF(I30="","",IF(I30&lt;0,"EXPIRÉ",IF(I30&lt;=30,"URGENT",IF(I30&lt;=90,"Bientôt","OK"))))</f>
        <v/>
      </c>
      <c r="K30" s="5" t="n"/>
      <c r="L30" s="5" t="n"/>
      <c r="M30" s="5" t="n"/>
      <c r="N30" s="5">
        <f>IF(B30="","",IFERROR(VLOOKUP(B30,'F01 - _Données Expatriés'!$A$6:$K$20,2,FALSE)&amp;" "&amp;VLOOKUP(B30,'F01 - _Données Expatriés'!$A$6:$K$20,3,FALSE),""))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29">
        <f>IF(E31="","",IFERROR(E31-TODAY(),0))</f>
        <v/>
      </c>
      <c r="J31" s="7">
        <f>IF(I31="","",IF(I31&lt;0,"EXPIRÉ",IF(I31&lt;=30,"URGENT",IF(I31&lt;=90,"Bientôt","OK"))))</f>
        <v/>
      </c>
      <c r="K31" s="7" t="n"/>
      <c r="L31" s="7" t="n"/>
      <c r="M31" s="7" t="n"/>
      <c r="N31" s="7">
        <f>IF(B31="","",IFERROR(VLOOKUP(B31,'F01 - _Données Expatriés'!$A$6:$K$20,2,FALSE)&amp;" "&amp;VLOOKUP(B31,'F01 - _Données Expatriés'!$A$6:$K$20,3,FALSE),""))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28">
        <f>IF(E32="","",IFERROR(E32-TODAY(),0))</f>
        <v/>
      </c>
      <c r="J32" s="5">
        <f>IF(I32="","",IF(I32&lt;0,"EXPIRÉ",IF(I32&lt;=30,"URGENT",IF(I32&lt;=90,"Bientôt","OK"))))</f>
        <v/>
      </c>
      <c r="K32" s="5" t="n"/>
      <c r="L32" s="5" t="n"/>
      <c r="M32" s="5" t="n"/>
      <c r="N32" s="5">
        <f>IF(B32="","",IFERROR(VLOOKUP(B32,'F01 - _Données Expatriés'!$A$6:$K$20,2,FALSE)&amp;" "&amp;VLOOKUP(B32,'F01 - _Données Expatriés'!$A$6:$K$20,3,FALSE),""))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29">
        <f>IF(E33="","",IFERROR(E33-TODAY(),0))</f>
        <v/>
      </c>
      <c r="J33" s="7">
        <f>IF(I33="","",IF(I33&lt;0,"EXPIRÉ",IF(I33&lt;=30,"URGENT",IF(I33&lt;=90,"Bientôt","OK"))))</f>
        <v/>
      </c>
      <c r="K33" s="7" t="n"/>
      <c r="L33" s="7" t="n"/>
      <c r="M33" s="7" t="n"/>
      <c r="N33" s="7">
        <f>IF(B33="","",IFERROR(VLOOKUP(B33,'F01 - _Données Expatriés'!$A$6:$K$20,2,FALSE)&amp;" "&amp;VLOOKUP(B33,'F01 - _Données Expatriés'!$A$6:$K$20,3,FALSE),""))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28">
        <f>IF(E34="","",IFERROR(E34-TODAY(),0))</f>
        <v/>
      </c>
      <c r="J34" s="5">
        <f>IF(I34="","",IF(I34&lt;0,"EXPIRÉ",IF(I34&lt;=30,"URGENT",IF(I34&lt;=90,"Bientôt","OK"))))</f>
        <v/>
      </c>
      <c r="K34" s="5" t="n"/>
      <c r="L34" s="5" t="n"/>
      <c r="M34" s="5" t="n"/>
      <c r="N34" s="5">
        <f>IF(B34="","",IFERROR(VLOOKUP(B34,'F01 - _Données Expatriés'!$A$6:$K$20,2,FALSE)&amp;" "&amp;VLOOKUP(B34,'F01 - _Données Expatriés'!$A$6:$K$20,3,FALSE),""))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29">
        <f>IF(E35="","",IFERROR(E35-TODAY(),0))</f>
        <v/>
      </c>
      <c r="J35" s="7">
        <f>IF(I35="","",IF(I35&lt;0,"EXPIRÉ",IF(I35&lt;=30,"URGENT",IF(I35&lt;=90,"Bientôt","OK"))))</f>
        <v/>
      </c>
      <c r="K35" s="7" t="n"/>
      <c r="L35" s="7" t="n"/>
      <c r="M35" s="7" t="n"/>
      <c r="N35" s="7">
        <f>IF(B35="","",IFERROR(VLOOKUP(B35,'F01 - _Données Expatriés'!$A$6:$K$20,2,FALSE)&amp;" "&amp;VLOOKUP(B35,'F01 - _Données Expatriés'!$A$6:$K$20,3,FALSE),""))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28">
        <f>IF(E36="","",IFERROR(E36-TODAY(),0))</f>
        <v/>
      </c>
      <c r="J36" s="5">
        <f>IF(I36="","",IF(I36&lt;0,"EXPIRÉ",IF(I36&lt;=30,"URGENT",IF(I36&lt;=90,"Bientôt","OK"))))</f>
        <v/>
      </c>
      <c r="K36" s="5" t="n"/>
      <c r="L36" s="5" t="n"/>
      <c r="M36" s="5" t="n"/>
      <c r="N36" s="5">
        <f>IF(B36="","",IFERROR(VLOOKUP(B36,'F01 - _Données Expatriés'!$A$6:$K$20,2,FALSE)&amp;" "&amp;VLOOKUP(B36,'F01 - _Données Expatriés'!$A$6:$K$20,3,FALSE),""))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29">
        <f>IF(E37="","",IFERROR(E37-TODAY(),0))</f>
        <v/>
      </c>
      <c r="J37" s="7">
        <f>IF(I37="","",IF(I37&lt;0,"EXPIRÉ",IF(I37&lt;=30,"URGENT",IF(I37&lt;=90,"Bientôt","OK"))))</f>
        <v/>
      </c>
      <c r="K37" s="7" t="n"/>
      <c r="L37" s="7" t="n"/>
      <c r="M37" s="7" t="n"/>
      <c r="N37" s="7">
        <f>IF(B37="","",IFERROR(VLOOKUP(B37,'F01 - _Données Expatriés'!$A$6:$K$20,2,FALSE)&amp;" "&amp;VLOOKUP(B37,'F01 - _Données Expatriés'!$A$6:$K$20,3,FALSE),""))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28">
        <f>IF(E38="","",IFERROR(E38-TODAY(),0))</f>
        <v/>
      </c>
      <c r="J38" s="5">
        <f>IF(I38="","",IF(I38&lt;0,"EXPIRÉ",IF(I38&lt;=30,"URGENT",IF(I38&lt;=90,"Bientôt","OK"))))</f>
        <v/>
      </c>
      <c r="K38" s="5" t="n"/>
      <c r="L38" s="5" t="n"/>
      <c r="M38" s="5" t="n"/>
      <c r="N38" s="5">
        <f>IF(B38="","",IFERROR(VLOOKUP(B38,'F01 - _Données Expatriés'!$A$6:$K$20,2,FALSE)&amp;" "&amp;VLOOKUP(B38,'F01 - _Données Expatriés'!$A$6:$K$20,3,FALSE),""))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29">
        <f>IF(E39="","",IFERROR(E39-TODAY(),0))</f>
        <v/>
      </c>
      <c r="J39" s="7">
        <f>IF(I39="","",IF(I39&lt;0,"EXPIRÉ",IF(I39&lt;=30,"URGENT",IF(I39&lt;=90,"Bientôt","OK"))))</f>
        <v/>
      </c>
      <c r="K39" s="7" t="n"/>
      <c r="L39" s="7" t="n"/>
      <c r="M39" s="7" t="n"/>
      <c r="N39" s="7">
        <f>IF(B39="","",IFERROR(VLOOKUP(B39,'F01 - _Données Expatriés'!$A$6:$K$20,2,FALSE)&amp;" "&amp;VLOOKUP(B39,'F01 - _Données Expatriés'!$A$6:$K$20,3,FALSE),""))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28">
        <f>IF(E40="","",IFERROR(E40-TODAY(),0))</f>
        <v/>
      </c>
      <c r="J40" s="5">
        <f>IF(I40="","",IF(I40&lt;0,"EXPIRÉ",IF(I40&lt;=30,"URGENT",IF(I40&lt;=90,"Bientôt","OK"))))</f>
        <v/>
      </c>
      <c r="K40" s="5" t="n"/>
      <c r="L40" s="5" t="n"/>
      <c r="M40" s="5" t="n"/>
      <c r="N40" s="5">
        <f>IF(B40="","",IFERROR(VLOOKUP(B40,'F01 - _Données Expatriés'!$A$6:$K$20,2,FALSE)&amp;" "&amp;VLOOKUP(B40,'F01 - _Données Expatriés'!$A$6:$K$20,3,FALSE),""))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29">
        <f>IF(E41="","",IFERROR(E41-TODAY(),0))</f>
        <v/>
      </c>
      <c r="J41" s="7">
        <f>IF(I41="","",IF(I41&lt;0,"EXPIRÉ",IF(I41&lt;=30,"URGENT",IF(I41&lt;=90,"Bientôt","OK"))))</f>
        <v/>
      </c>
      <c r="K41" s="7" t="n"/>
      <c r="L41" s="7" t="n"/>
      <c r="M41" s="7" t="n"/>
      <c r="N41" s="7">
        <f>IF(B41="","",IFERROR(VLOOKUP(B41,'F01 - _Données Expatriés'!$A$6:$K$20,2,FALSE)&amp;" "&amp;VLOOKUP(B41,'F01 - _Données Expatriés'!$A$6:$K$20,3,FALSE),""))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28">
        <f>IF(E42="","",IFERROR(E42-TODAY(),0))</f>
        <v/>
      </c>
      <c r="J42" s="5">
        <f>IF(I42="","",IF(I42&lt;0,"EXPIRÉ",IF(I42&lt;=30,"URGENT",IF(I42&lt;=90,"Bientôt","OK"))))</f>
        <v/>
      </c>
      <c r="K42" s="5" t="n"/>
      <c r="L42" s="5" t="n"/>
      <c r="M42" s="5" t="n"/>
      <c r="N42" s="5">
        <f>IF(B42="","",IFERROR(VLOOKUP(B42,'F01 - _Données Expatriés'!$A$6:$K$20,2,FALSE)&amp;" "&amp;VLOOKUP(B42,'F01 - _Données Expatriés'!$A$6:$K$20,3,FALSE),""))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29">
        <f>IF(E43="","",IFERROR(E43-TODAY(),0))</f>
        <v/>
      </c>
      <c r="J43" s="7">
        <f>IF(I43="","",IF(I43&lt;0,"EXPIRÉ",IF(I43&lt;=30,"URGENT",IF(I43&lt;=90,"Bientôt","OK"))))</f>
        <v/>
      </c>
      <c r="K43" s="7" t="n"/>
      <c r="L43" s="7" t="n"/>
      <c r="M43" s="7" t="n"/>
      <c r="N43" s="7">
        <f>IF(B43="","",IFERROR(VLOOKUP(B43,'F01 - _Données Expatriés'!$A$6:$K$20,2,FALSE)&amp;" "&amp;VLOOKUP(B43,'F01 - _Données Expatriés'!$A$6:$K$20,3,FALSE),""))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28">
        <f>IF(E44="","",IFERROR(E44-TODAY(),0))</f>
        <v/>
      </c>
      <c r="J44" s="5">
        <f>IF(I44="","",IF(I44&lt;0,"EXPIRÉ",IF(I44&lt;=30,"URGENT",IF(I44&lt;=90,"Bientôt","OK"))))</f>
        <v/>
      </c>
      <c r="K44" s="5" t="n"/>
      <c r="L44" s="5" t="n"/>
      <c r="M44" s="5" t="n"/>
      <c r="N44" s="5">
        <f>IF(B44="","",IFERROR(VLOOKUP(B44,'F01 - _Données Expatriés'!$A$6:$K$20,2,FALSE)&amp;" "&amp;VLOOKUP(B44,'F01 - _Données Expatriés'!$A$6:$K$20,3,FALSE),""))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29">
        <f>IF(E45="","",IFERROR(E45-TODAY(),0))</f>
        <v/>
      </c>
      <c r="J45" s="7">
        <f>IF(I45="","",IF(I45&lt;0,"EXPIRÉ",IF(I45&lt;=30,"URGENT",IF(I45&lt;=90,"Bientôt","OK"))))</f>
        <v/>
      </c>
      <c r="K45" s="7" t="n"/>
      <c r="L45" s="7" t="n"/>
      <c r="M45" s="7" t="n"/>
      <c r="N45" s="7">
        <f>IF(B45="","",IFERROR(VLOOKUP(B45,'F01 - _Données Expatriés'!$A$6:$K$20,2,FALSE)&amp;" "&amp;VLOOKUP(B45,'F01 - _Données Expatriés'!$A$6:$K$20,3,FALSE),""))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28">
        <f>IF(E46="","",IFERROR(E46-TODAY(),0))</f>
        <v/>
      </c>
      <c r="J46" s="5">
        <f>IF(I46="","",IF(I46&lt;0,"EXPIRÉ",IF(I46&lt;=30,"URGENT",IF(I46&lt;=90,"Bientôt","OK"))))</f>
        <v/>
      </c>
      <c r="K46" s="5" t="n"/>
      <c r="L46" s="5" t="n"/>
      <c r="M46" s="5" t="n"/>
      <c r="N46" s="5">
        <f>IF(B46="","",IFERROR(VLOOKUP(B46,'F01 - _Données Expatriés'!$A$6:$K$20,2,FALSE)&amp;" "&amp;VLOOKUP(B46,'F01 - _Données Expatriés'!$A$6:$K$20,3,FALSE),""))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29">
        <f>IF(E47="","",IFERROR(E47-TODAY(),0))</f>
        <v/>
      </c>
      <c r="J47" s="7">
        <f>IF(I47="","",IF(I47&lt;0,"EXPIRÉ",IF(I47&lt;=30,"URGENT",IF(I47&lt;=90,"Bientôt","OK"))))</f>
        <v/>
      </c>
      <c r="K47" s="7" t="n"/>
      <c r="L47" s="7" t="n"/>
      <c r="M47" s="7" t="n"/>
      <c r="N47" s="7">
        <f>IF(B47="","",IFERROR(VLOOKUP(B47,'F01 - _Données Expatriés'!$A$6:$K$20,2,FALSE)&amp;" "&amp;VLOOKUP(B47,'F01 - _Données Expatriés'!$A$6:$K$20,3,FALSE),""))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28">
        <f>IF(E48="","",IFERROR(E48-TODAY(),0))</f>
        <v/>
      </c>
      <c r="J48" s="5">
        <f>IF(I48="","",IF(I48&lt;0,"EXPIRÉ",IF(I48&lt;=30,"URGENT",IF(I48&lt;=90,"Bientôt","OK"))))</f>
        <v/>
      </c>
      <c r="K48" s="5" t="n"/>
      <c r="L48" s="5" t="n"/>
      <c r="M48" s="5" t="n"/>
      <c r="N48" s="5">
        <f>IF(B48="","",IFERROR(VLOOKUP(B48,'F01 - _Données Expatriés'!$A$6:$K$20,2,FALSE)&amp;" "&amp;VLOOKUP(B48,'F01 - _Données Expatriés'!$A$6:$K$20,3,FALSE),""))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29">
        <f>IF(E49="","",IFERROR(E49-TODAY(),0))</f>
        <v/>
      </c>
      <c r="J49" s="7">
        <f>IF(I49="","",IF(I49&lt;0,"EXPIRÉ",IF(I49&lt;=30,"URGENT",IF(I49&lt;=90,"Bientôt","OK"))))</f>
        <v/>
      </c>
      <c r="K49" s="7" t="n"/>
      <c r="L49" s="7" t="n"/>
      <c r="M49" s="7" t="n"/>
      <c r="N49" s="7">
        <f>IF(B49="","",IFERROR(VLOOKUP(B49,'F01 - _Données Expatriés'!$A$6:$K$20,2,FALSE)&amp;" "&amp;VLOOKUP(B49,'F01 - _Données Expatriés'!$A$6:$K$20,3,FALSE),""))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28">
        <f>IF(E50="","",IFERROR(E50-TODAY(),0))</f>
        <v/>
      </c>
      <c r="J50" s="5">
        <f>IF(I50="","",IF(I50&lt;0,"EXPIRÉ",IF(I50&lt;=30,"URGENT",IF(I50&lt;=90,"Bientôt","OK"))))</f>
        <v/>
      </c>
      <c r="K50" s="5" t="n"/>
      <c r="L50" s="5" t="n"/>
      <c r="M50" s="5" t="n"/>
      <c r="N50" s="5">
        <f>IF(B50="","",IFERROR(VLOOKUP(B50,'F01 - _Données Expatriés'!$A$6:$K$20,2,FALSE)&amp;" "&amp;VLOOKUP(B50,'F01 - _Données Expatriés'!$A$6:$K$20,3,FALSE),""))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29">
        <f>IF(E51="","",IFERROR(E51-TODAY(),0))</f>
        <v/>
      </c>
      <c r="J51" s="7">
        <f>IF(I51="","",IF(I51&lt;0,"EXPIRÉ",IF(I51&lt;=30,"URGENT",IF(I51&lt;=90,"Bientôt","OK"))))</f>
        <v/>
      </c>
      <c r="K51" s="7" t="n"/>
      <c r="L51" s="7" t="n"/>
      <c r="M51" s="7" t="n"/>
      <c r="N51" s="7">
        <f>IF(B51="","",IFERROR(VLOOKUP(B51,'F01 - _Données Expatriés'!$A$6:$K$20,2,FALSE)&amp;" "&amp;VLOOKUP(B51,'F01 - _Données Expatriés'!$A$6:$K$20,3,FALSE),""))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28">
        <f>IF(E52="","",IFERROR(E52-TODAY(),0))</f>
        <v/>
      </c>
      <c r="J52" s="5">
        <f>IF(I52="","",IF(I52&lt;0,"EXPIRÉ",IF(I52&lt;=30,"URGENT",IF(I52&lt;=90,"Bientôt","OK"))))</f>
        <v/>
      </c>
      <c r="K52" s="5" t="n"/>
      <c r="L52" s="5" t="n"/>
      <c r="M52" s="5" t="n"/>
      <c r="N52" s="5">
        <f>IF(B52="","",IFERROR(VLOOKUP(B52,'F01 - _Données Expatriés'!$A$6:$K$20,2,FALSE)&amp;" "&amp;VLOOKUP(B52,'F01 - _Données Expatriés'!$A$6:$K$20,3,FALSE),""))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29">
        <f>IF(E53="","",IFERROR(E53-TODAY(),0))</f>
        <v/>
      </c>
      <c r="J53" s="7">
        <f>IF(I53="","",IF(I53&lt;0,"EXPIRÉ",IF(I53&lt;=30,"URGENT",IF(I53&lt;=90,"Bientôt","OK"))))</f>
        <v/>
      </c>
      <c r="K53" s="7" t="n"/>
      <c r="L53" s="7" t="n"/>
      <c r="M53" s="7" t="n"/>
      <c r="N53" s="7">
        <f>IF(B53="","",IFERROR(VLOOKUP(B53,'F01 - _Données Expatriés'!$A$6:$K$20,2,FALSE)&amp;" "&amp;VLOOKUP(B53,'F01 - _Données Expatriés'!$A$6:$K$20,3,FALSE),""))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28">
        <f>IF(E54="","",IFERROR(E54-TODAY(),0))</f>
        <v/>
      </c>
      <c r="J54" s="5">
        <f>IF(I54="","",IF(I54&lt;0,"EXPIRÉ",IF(I54&lt;=30,"URGENT",IF(I54&lt;=90,"Bientôt","OK"))))</f>
        <v/>
      </c>
      <c r="K54" s="5" t="n"/>
      <c r="L54" s="5" t="n"/>
      <c r="M54" s="5" t="n"/>
      <c r="N54" s="5">
        <f>IF(B54="","",IFERROR(VLOOKUP(B54,'F01 - _Données Expatriés'!$A$6:$K$20,2,FALSE)&amp;" "&amp;VLOOKUP(B54,'F01 - _Données Expatriés'!$A$6:$K$20,3,FALSE),""))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29">
        <f>IF(E55="","",IFERROR(E55-TODAY(),0))</f>
        <v/>
      </c>
      <c r="J55" s="7">
        <f>IF(I55="","",IF(I55&lt;0,"EXPIRÉ",IF(I55&lt;=30,"URGENT",IF(I55&lt;=90,"Bientôt","OK"))))</f>
        <v/>
      </c>
      <c r="K55" s="7" t="n"/>
      <c r="L55" s="7" t="n"/>
      <c r="M55" s="7" t="n"/>
      <c r="N55" s="7">
        <f>IF(B55="","",IFERROR(VLOOKUP(B55,'F01 - _Données Expatriés'!$A$6:$K$20,2,FALSE)&amp;" "&amp;VLOOKUP(B55,'F01 - _Données Expatriés'!$A$6:$K$20,3,FALSE),""))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28">
        <f>IF(E56="","",IFERROR(E56-TODAY(),0))</f>
        <v/>
      </c>
      <c r="J56" s="5">
        <f>IF(I56="","",IF(I56&lt;0,"EXPIRÉ",IF(I56&lt;=30,"URGENT",IF(I56&lt;=90,"Bientôt","OK"))))</f>
        <v/>
      </c>
      <c r="K56" s="5" t="n"/>
      <c r="L56" s="5" t="n"/>
      <c r="M56" s="5" t="n"/>
      <c r="N56" s="5">
        <f>IF(B56="","",IFERROR(VLOOKUP(B56,'F01 - _Données Expatriés'!$A$6:$K$20,2,FALSE)&amp;" "&amp;VLOOKUP(B56,'F01 - _Données Expatriés'!$A$6:$K$20,3,FALSE),""))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29">
        <f>IF(E57="","",IFERROR(E57-TODAY(),0))</f>
        <v/>
      </c>
      <c r="J57" s="7">
        <f>IF(I57="","",IF(I57&lt;0,"EXPIRÉ",IF(I57&lt;=30,"URGENT",IF(I57&lt;=90,"Bientôt","OK"))))</f>
        <v/>
      </c>
      <c r="K57" s="7" t="n"/>
      <c r="L57" s="7" t="n"/>
      <c r="M57" s="7" t="n"/>
      <c r="N57" s="7">
        <f>IF(B57="","",IFERROR(VLOOKUP(B57,'F01 - _Données Expatriés'!$A$6:$K$20,2,FALSE)&amp;" "&amp;VLOOKUP(B57,'F01 - _Données Expatriés'!$A$6:$K$20,3,FALSE),""))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28">
        <f>IF(E58="","",IFERROR(E58-TODAY(),0))</f>
        <v/>
      </c>
      <c r="J58" s="5">
        <f>IF(I58="","",IF(I58&lt;0,"EXPIRÉ",IF(I58&lt;=30,"URGENT",IF(I58&lt;=90,"Bientôt","OK"))))</f>
        <v/>
      </c>
      <c r="K58" s="5" t="n"/>
      <c r="L58" s="5" t="n"/>
      <c r="M58" s="5" t="n"/>
      <c r="N58" s="5">
        <f>IF(B58="","",IFERROR(VLOOKUP(B58,'F01 - _Données Expatriés'!$A$6:$K$20,2,FALSE)&amp;" "&amp;VLOOKUP(B58,'F01 - _Données Expatriés'!$A$6:$K$20,3,FALSE),""))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29">
        <f>IF(E59="","",IFERROR(E59-TODAY(),0))</f>
        <v/>
      </c>
      <c r="J59" s="7">
        <f>IF(I59="","",IF(I59&lt;0,"EXPIRÉ",IF(I59&lt;=30,"URGENT",IF(I59&lt;=90,"Bientôt","OK"))))</f>
        <v/>
      </c>
      <c r="K59" s="7" t="n"/>
      <c r="L59" s="7" t="n"/>
      <c r="M59" s="7" t="n"/>
      <c r="N59" s="7">
        <f>IF(B59="","",IFERROR(VLOOKUP(B59,'F01 - _Données Expatriés'!$A$6:$K$20,2,FALSE)&amp;" "&amp;VLOOKUP(B59,'F01 - _Données Expatriés'!$A$6:$K$20,3,FALSE),""))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28">
        <f>IF(E60="","",IFERROR(E60-TODAY(),0))</f>
        <v/>
      </c>
      <c r="J60" s="5">
        <f>IF(I60="","",IF(I60&lt;0,"EXPIRÉ",IF(I60&lt;=30,"URGENT",IF(I60&lt;=90,"Bientôt","OK"))))</f>
        <v/>
      </c>
      <c r="K60" s="5" t="n"/>
      <c r="L60" s="5" t="n"/>
      <c r="M60" s="5" t="n"/>
      <c r="N60" s="5">
        <f>IF(B60="","",IFERROR(VLOOKUP(B60,'F01 - _Données Expatriés'!$A$6:$K$20,2,FALSE)&amp;" "&amp;VLOOKUP(B60,'F01 - _Données Expatriés'!$A$6:$K$20,3,FALSE),""))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29">
        <f>IF(E61="","",IFERROR(E61-TODAY(),0))</f>
        <v/>
      </c>
      <c r="J61" s="7">
        <f>IF(I61="","",IF(I61&lt;0,"EXPIRÉ",IF(I61&lt;=30,"URGENT",IF(I61&lt;=90,"Bientôt","OK"))))</f>
        <v/>
      </c>
      <c r="K61" s="7" t="n"/>
      <c r="L61" s="7" t="n"/>
      <c r="M61" s="7" t="n"/>
      <c r="N61" s="7">
        <f>IF(B61="","",IFERROR(VLOOKUP(B61,'F01 - _Données Expatriés'!$A$6:$K$20,2,FALSE)&amp;" "&amp;VLOOKUP(B61,'F01 - _Données Expatriés'!$A$6:$K$20,3,FALSE),""))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28">
        <f>IF(E62="","",IFERROR(E62-TODAY(),0))</f>
        <v/>
      </c>
      <c r="J62" s="5">
        <f>IF(I62="","",IF(I62&lt;0,"EXPIRÉ",IF(I62&lt;=30,"URGENT",IF(I62&lt;=90,"Bientôt","OK"))))</f>
        <v/>
      </c>
      <c r="K62" s="5" t="n"/>
      <c r="L62" s="5" t="n"/>
      <c r="M62" s="5" t="n"/>
      <c r="N62" s="5">
        <f>IF(B62="","",IFERROR(VLOOKUP(B62,'F01 - _Données Expatriés'!$A$6:$K$20,2,FALSE)&amp;" "&amp;VLOOKUP(B62,'F01 - _Données Expatriés'!$A$6:$K$20,3,FALSE),""))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29">
        <f>IF(E63="","",IFERROR(E63-TODAY(),0))</f>
        <v/>
      </c>
      <c r="J63" s="7">
        <f>IF(I63="","",IF(I63&lt;0,"EXPIRÉ",IF(I63&lt;=30,"URGENT",IF(I63&lt;=90,"Bientôt","OK"))))</f>
        <v/>
      </c>
      <c r="K63" s="7" t="n"/>
      <c r="L63" s="7" t="n"/>
      <c r="M63" s="7" t="n"/>
      <c r="N63" s="7">
        <f>IF(B63="","",IFERROR(VLOOKUP(B63,'F01 - _Données Expatriés'!$A$6:$K$20,2,FALSE)&amp;" "&amp;VLOOKUP(B63,'F01 - _Données Expatriés'!$A$6:$K$20,3,FALSE),""))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28">
        <f>IF(E64="","",IFERROR(E64-TODAY(),0))</f>
        <v/>
      </c>
      <c r="J64" s="5">
        <f>IF(I64="","",IF(I64&lt;0,"EXPIRÉ",IF(I64&lt;=30,"URGENT",IF(I64&lt;=90,"Bientôt","OK"))))</f>
        <v/>
      </c>
      <c r="K64" s="5" t="n"/>
      <c r="L64" s="5" t="n"/>
      <c r="M64" s="5" t="n"/>
      <c r="N64" s="5">
        <f>IF(B64="","",IFERROR(VLOOKUP(B64,'F01 - _Données Expatriés'!$A$6:$K$20,2,FALSE)&amp;" "&amp;VLOOKUP(B64,'F01 - _Données Expatriés'!$A$6:$K$20,3,FALSE),""))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29">
        <f>IF(E65="","",IFERROR(E65-TODAY(),0))</f>
        <v/>
      </c>
      <c r="J65" s="7">
        <f>IF(I65="","",IF(I65&lt;0,"EXPIRÉ",IF(I65&lt;=30,"URGENT",IF(I65&lt;=90,"Bientôt","OK"))))</f>
        <v/>
      </c>
      <c r="K65" s="7" t="n"/>
      <c r="L65" s="7" t="n"/>
      <c r="M65" s="7" t="n"/>
      <c r="N65" s="7">
        <f>IF(B65="","",IFERROR(VLOOKUP(B65,'F01 - _Données Expatriés'!$A$6:$K$20,2,FALSE)&amp;" "&amp;VLOOKUP(B65,'F01 - _Données Expatriés'!$A$6:$K$20,3,FALSE),""))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28">
        <f>IF(E66="","",IFERROR(E66-TODAY(),0))</f>
        <v/>
      </c>
      <c r="J66" s="5">
        <f>IF(I66="","",IF(I66&lt;0,"EXPIRÉ",IF(I66&lt;=30,"URGENT",IF(I66&lt;=90,"Bientôt","OK"))))</f>
        <v/>
      </c>
      <c r="K66" s="5" t="n"/>
      <c r="L66" s="5" t="n"/>
      <c r="M66" s="5" t="n"/>
      <c r="N66" s="5">
        <f>IF(B66="","",IFERROR(VLOOKUP(B66,'F01 - _Données Expatriés'!$A$6:$K$20,2,FALSE)&amp;" "&amp;VLOOKUP(B66,'F01 - _Données Expatriés'!$A$6:$K$20,3,FALSE),""))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29">
        <f>IF(E67="","",IFERROR(E67-TODAY(),0))</f>
        <v/>
      </c>
      <c r="J67" s="7">
        <f>IF(I67="","",IF(I67&lt;0,"EXPIRÉ",IF(I67&lt;=30,"URGENT",IF(I67&lt;=90,"Bientôt","OK"))))</f>
        <v/>
      </c>
      <c r="K67" s="7" t="n"/>
      <c r="L67" s="7" t="n"/>
      <c r="M67" s="7" t="n"/>
      <c r="N67" s="7">
        <f>IF(B67="","",IFERROR(VLOOKUP(B67,'F01 - _Données Expatriés'!$A$6:$K$20,2,FALSE)&amp;" "&amp;VLOOKUP(B67,'F01 - _Données Expatriés'!$A$6:$K$20,3,FALSE),""))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28">
        <f>IF(E68="","",IFERROR(E68-TODAY(),0))</f>
        <v/>
      </c>
      <c r="J68" s="5">
        <f>IF(I68="","",IF(I68&lt;0,"EXPIRÉ",IF(I68&lt;=30,"URGENT",IF(I68&lt;=90,"Bientôt","OK"))))</f>
        <v/>
      </c>
      <c r="K68" s="5" t="n"/>
      <c r="L68" s="5" t="n"/>
      <c r="M68" s="5" t="n"/>
      <c r="N68" s="5">
        <f>IF(B68="","",IFERROR(VLOOKUP(B68,'F01 - _Données Expatriés'!$A$6:$K$20,2,FALSE)&amp;" "&amp;VLOOKUP(B68,'F01 - _Données Expatriés'!$A$6:$K$20,3,FALSE),""))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29">
        <f>IF(E69="","",IFERROR(E69-TODAY(),0))</f>
        <v/>
      </c>
      <c r="J69" s="7">
        <f>IF(I69="","",IF(I69&lt;0,"EXPIRÉ",IF(I69&lt;=30,"URGENT",IF(I69&lt;=90,"Bientôt","OK"))))</f>
        <v/>
      </c>
      <c r="K69" s="7" t="n"/>
      <c r="L69" s="7" t="n"/>
      <c r="M69" s="7" t="n"/>
      <c r="N69" s="7">
        <f>IF(B69="","",IFERROR(VLOOKUP(B69,'F01 - _Données Expatriés'!$A$6:$K$20,2,FALSE)&amp;" "&amp;VLOOKUP(B69,'F01 - _Données Expatriés'!$A$6:$K$20,3,FALSE),""))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28">
        <f>IF(E70="","",IFERROR(E70-TODAY(),0))</f>
        <v/>
      </c>
      <c r="J70" s="5">
        <f>IF(I70="","",IF(I70&lt;0,"EXPIRÉ",IF(I70&lt;=30,"URGENT",IF(I70&lt;=90,"Bientôt","OK"))))</f>
        <v/>
      </c>
      <c r="K70" s="5" t="n"/>
      <c r="L70" s="5" t="n"/>
      <c r="M70" s="5" t="n"/>
      <c r="N70" s="5">
        <f>IF(B70="","",IFERROR(VLOOKUP(B70,'F01 - _Données Expatriés'!$A$6:$K$20,2,FALSE)&amp;" "&amp;VLOOKUP(B70,'F01 - _Données Expatriés'!$A$6:$K$20,3,FALSE),""))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29">
        <f>IF(E71="","",IFERROR(E71-TODAY(),0))</f>
        <v/>
      </c>
      <c r="J71" s="7">
        <f>IF(I71="","",IF(I71&lt;0,"EXPIRÉ",IF(I71&lt;=30,"URGENT",IF(I71&lt;=90,"Bientôt","OK"))))</f>
        <v/>
      </c>
      <c r="K71" s="7" t="n"/>
      <c r="L71" s="7" t="n"/>
      <c r="M71" s="7" t="n"/>
      <c r="N71" s="7">
        <f>IF(B71="","",IFERROR(VLOOKUP(B71,'F01 - _Données Expatriés'!$A$6:$K$20,2,FALSE)&amp;" "&amp;VLOOKUP(B71,'F01 - _Données Expatriés'!$A$6:$K$20,3,FALSE),""))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28">
        <f>IF(E72="","",IFERROR(E72-TODAY(),0))</f>
        <v/>
      </c>
      <c r="J72" s="5">
        <f>IF(I72="","",IF(I72&lt;0,"EXPIRÉ",IF(I72&lt;=30,"URGENT",IF(I72&lt;=90,"Bientôt","OK"))))</f>
        <v/>
      </c>
      <c r="K72" s="5" t="n"/>
      <c r="L72" s="5" t="n"/>
      <c r="M72" s="5" t="n"/>
      <c r="N72" s="5">
        <f>IF(B72="","",IFERROR(VLOOKUP(B72,'F01 - _Données Expatriés'!$A$6:$K$20,2,FALSE)&amp;" "&amp;VLOOKUP(B72,'F01 - _Données Expatriés'!$A$6:$K$20,3,FALSE),""))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29">
        <f>IF(E73="","",IFERROR(E73-TODAY(),0))</f>
        <v/>
      </c>
      <c r="J73" s="7">
        <f>IF(I73="","",IF(I73&lt;0,"EXPIRÉ",IF(I73&lt;=30,"URGENT",IF(I73&lt;=90,"Bientôt","OK"))))</f>
        <v/>
      </c>
      <c r="K73" s="7" t="n"/>
      <c r="L73" s="7" t="n"/>
      <c r="M73" s="7" t="n"/>
      <c r="N73" s="7">
        <f>IF(B73="","",IFERROR(VLOOKUP(B73,'F01 - _Données Expatriés'!$A$6:$K$20,2,FALSE)&amp;" "&amp;VLOOKUP(B73,'F01 - _Données Expatriés'!$A$6:$K$20,3,FALSE),""))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28">
        <f>IF(E74="","",IFERROR(E74-TODAY(),0))</f>
        <v/>
      </c>
      <c r="J74" s="5">
        <f>IF(I74="","",IF(I74&lt;0,"EXPIRÉ",IF(I74&lt;=30,"URGENT",IF(I74&lt;=90,"Bientôt","OK"))))</f>
        <v/>
      </c>
      <c r="K74" s="5" t="n"/>
      <c r="L74" s="5" t="n"/>
      <c r="M74" s="5" t="n"/>
      <c r="N74" s="5">
        <f>IF(B74="","",IFERROR(VLOOKUP(B74,'F01 - _Données Expatriés'!$A$6:$K$20,2,FALSE)&amp;" "&amp;VLOOKUP(B74,'F01 - _Données Expatriés'!$A$6:$K$20,3,FALSE),""))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29">
        <f>IF(E75="","",IFERROR(E75-TODAY(),0))</f>
        <v/>
      </c>
      <c r="J75" s="7">
        <f>IF(I75="","",IF(I75&lt;0,"EXPIRÉ",IF(I75&lt;=30,"URGENT",IF(I75&lt;=90,"Bientôt","OK"))))</f>
        <v/>
      </c>
      <c r="K75" s="7" t="n"/>
      <c r="L75" s="7" t="n"/>
      <c r="M75" s="7" t="n"/>
      <c r="N75" s="7">
        <f>IF(B75="","",IFERROR(VLOOKUP(B75,'F01 - _Données Expatriés'!$A$6:$K$20,2,FALSE)&amp;" "&amp;VLOOKUP(B75,'F01 - _Données Expatriés'!$A$6:$K$20,3,FALSE),""))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28">
        <f>IF(E76="","",IFERROR(E76-TODAY(),0))</f>
        <v/>
      </c>
      <c r="J76" s="5">
        <f>IF(I76="","",IF(I76&lt;0,"EXPIRÉ",IF(I76&lt;=30,"URGENT",IF(I76&lt;=90,"Bientôt","OK"))))</f>
        <v/>
      </c>
      <c r="K76" s="5" t="n"/>
      <c r="L76" s="5" t="n"/>
      <c r="M76" s="5" t="n"/>
      <c r="N76" s="5">
        <f>IF(B76="","",IFERROR(VLOOKUP(B76,'F01 - _Données Expatriés'!$A$6:$K$20,2,FALSE)&amp;" "&amp;VLOOKUP(B76,'F01 - _Données Expatriés'!$A$6:$K$20,3,FALSE),""))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29">
        <f>IF(E77="","",IFERROR(E77-TODAY(),0))</f>
        <v/>
      </c>
      <c r="J77" s="7">
        <f>IF(I77="","",IF(I77&lt;0,"EXPIRÉ",IF(I77&lt;=30,"URGENT",IF(I77&lt;=90,"Bientôt","OK"))))</f>
        <v/>
      </c>
      <c r="K77" s="7" t="n"/>
      <c r="L77" s="7" t="n"/>
      <c r="M77" s="7" t="n"/>
      <c r="N77" s="7">
        <f>IF(B77="","",IFERROR(VLOOKUP(B77,'F01 - _Données Expatriés'!$A$6:$K$20,2,FALSE)&amp;" "&amp;VLOOKUP(B77,'F01 - _Données Expatriés'!$A$6:$K$20,3,FALSE),""))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28">
        <f>IF(E78="","",IFERROR(E78-TODAY(),0))</f>
        <v/>
      </c>
      <c r="J78" s="5">
        <f>IF(I78="","",IF(I78&lt;0,"EXPIRÉ",IF(I78&lt;=30,"URGENT",IF(I78&lt;=90,"Bientôt","OK"))))</f>
        <v/>
      </c>
      <c r="K78" s="5" t="n"/>
      <c r="L78" s="5" t="n"/>
      <c r="M78" s="5" t="n"/>
      <c r="N78" s="5">
        <f>IF(B78="","",IFERROR(VLOOKUP(B78,'F01 - _Données Expatriés'!$A$6:$K$20,2,FALSE)&amp;" "&amp;VLOOKUP(B78,'F01 - _Données Expatriés'!$A$6:$K$20,3,FALSE),""))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29">
        <f>IF(E79="","",IFERROR(E79-TODAY(),0))</f>
        <v/>
      </c>
      <c r="J79" s="7">
        <f>IF(I79="","",IF(I79&lt;0,"EXPIRÉ",IF(I79&lt;=30,"URGENT",IF(I79&lt;=90,"Bientôt","OK"))))</f>
        <v/>
      </c>
      <c r="K79" s="7" t="n"/>
      <c r="L79" s="7" t="n"/>
      <c r="M79" s="7" t="n"/>
      <c r="N79" s="7">
        <f>IF(B79="","",IFERROR(VLOOKUP(B79,'F01 - _Données Expatriés'!$A$6:$K$20,2,FALSE)&amp;" "&amp;VLOOKUP(B79,'F01 - _Données Expatriés'!$A$6:$K$20,3,FALSE),""))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28">
        <f>IF(E80="","",IFERROR(E80-TODAY(),0))</f>
        <v/>
      </c>
      <c r="J80" s="5">
        <f>IF(I80="","",IF(I80&lt;0,"EXPIRÉ",IF(I80&lt;=30,"URGENT",IF(I80&lt;=90,"Bientôt","OK"))))</f>
        <v/>
      </c>
      <c r="K80" s="5" t="n"/>
      <c r="L80" s="5" t="n"/>
      <c r="M80" s="5" t="n"/>
      <c r="N80" s="5">
        <f>IF(B80="","",IFERROR(VLOOKUP(B80,'F01 - _Données Expatriés'!$A$6:$K$20,2,FALSE)&amp;" "&amp;VLOOKUP(B80,'F01 - _Données Expatriés'!$A$6:$K$20,3,FALSE),""))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29">
        <f>IF(E81="","",IFERROR(E81-TODAY(),0))</f>
        <v/>
      </c>
      <c r="J81" s="7">
        <f>IF(I81="","",IF(I81&lt;0,"EXPIRÉ",IF(I81&lt;=30,"URGENT",IF(I81&lt;=90,"Bientôt","OK"))))</f>
        <v/>
      </c>
      <c r="K81" s="7" t="n"/>
      <c r="L81" s="7" t="n"/>
      <c r="M81" s="7" t="n"/>
      <c r="N81" s="7">
        <f>IF(B81="","",IFERROR(VLOOKUP(B81,'F01 - _Données Expatriés'!$A$6:$K$20,2,FALSE)&amp;" "&amp;VLOOKUP(B81,'F01 - _Données Expatriés'!$A$6:$K$20,3,FALSE),""))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28">
        <f>IF(E82="","",IFERROR(E82-TODAY(),0))</f>
        <v/>
      </c>
      <c r="J82" s="5">
        <f>IF(I82="","",IF(I82&lt;0,"EXPIRÉ",IF(I82&lt;=30,"URGENT",IF(I82&lt;=90,"Bientôt","OK"))))</f>
        <v/>
      </c>
      <c r="K82" s="5" t="n"/>
      <c r="L82" s="5" t="n"/>
      <c r="M82" s="5" t="n"/>
      <c r="N82" s="5">
        <f>IF(B82="","",IFERROR(VLOOKUP(B82,'F01 - _Données Expatriés'!$A$6:$K$20,2,FALSE)&amp;" "&amp;VLOOKUP(B82,'F01 - _Données Expatriés'!$A$6:$K$20,3,FALSE),""))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29">
        <f>IF(E83="","",IFERROR(E83-TODAY(),0))</f>
        <v/>
      </c>
      <c r="J83" s="7">
        <f>IF(I83="","",IF(I83&lt;0,"EXPIRÉ",IF(I83&lt;=30,"URGENT",IF(I83&lt;=90,"Bientôt","OK"))))</f>
        <v/>
      </c>
      <c r="K83" s="7" t="n"/>
      <c r="L83" s="7" t="n"/>
      <c r="M83" s="7" t="n"/>
      <c r="N83" s="7">
        <f>IF(B83="","",IFERROR(VLOOKUP(B83,'F01 - _Données Expatriés'!$A$6:$K$20,2,FALSE)&amp;" "&amp;VLOOKUP(B83,'F01 - _Données Expatriés'!$A$6:$K$20,3,FALSE),""))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28">
        <f>IF(E84="","",IFERROR(E84-TODAY(),0))</f>
        <v/>
      </c>
      <c r="J84" s="5">
        <f>IF(I84="","",IF(I84&lt;0,"EXPIRÉ",IF(I84&lt;=30,"URGENT",IF(I84&lt;=90,"Bientôt","OK"))))</f>
        <v/>
      </c>
      <c r="K84" s="5" t="n"/>
      <c r="L84" s="5" t="n"/>
      <c r="M84" s="5" t="n"/>
      <c r="N84" s="5">
        <f>IF(B84="","",IFERROR(VLOOKUP(B84,'F01 - _Données Expatriés'!$A$6:$K$20,2,FALSE)&amp;" "&amp;VLOOKUP(B84,'F01 - _Données Expatriés'!$A$6:$K$20,3,FALSE),""))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29">
        <f>IF(E85="","",IFERROR(E85-TODAY(),0))</f>
        <v/>
      </c>
      <c r="J85" s="7">
        <f>IF(I85="","",IF(I85&lt;0,"EXPIRÉ",IF(I85&lt;=30,"URGENT",IF(I85&lt;=90,"Bientôt","OK"))))</f>
        <v/>
      </c>
      <c r="K85" s="7" t="n"/>
      <c r="L85" s="7" t="n"/>
      <c r="M85" s="7" t="n"/>
      <c r="N85" s="7">
        <f>IF(B85="","",IFERROR(VLOOKUP(B85,'F01 - _Données Expatriés'!$A$6:$K$20,2,FALSE)&amp;" "&amp;VLOOKUP(B85,'F01 - _Données Expatriés'!$A$6:$K$20,3,FALSE),""))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28">
        <f>IF(E86="","",IFERROR(E86-TODAY(),0))</f>
        <v/>
      </c>
      <c r="J86" s="5">
        <f>IF(I86="","",IF(I86&lt;0,"EXPIRÉ",IF(I86&lt;=30,"URGENT",IF(I86&lt;=90,"Bientôt","OK"))))</f>
        <v/>
      </c>
      <c r="K86" s="5" t="n"/>
      <c r="L86" s="5" t="n"/>
      <c r="M86" s="5" t="n"/>
      <c r="N86" s="5">
        <f>IF(B86="","",IFERROR(VLOOKUP(B86,'F01 - _Données Expatriés'!$A$6:$K$20,2,FALSE)&amp;" "&amp;VLOOKUP(B86,'F01 - _Données Expatriés'!$A$6:$K$20,3,FALSE),""))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29">
        <f>IF(E87="","",IFERROR(E87-TODAY(),0))</f>
        <v/>
      </c>
      <c r="J87" s="7">
        <f>IF(I87="","",IF(I87&lt;0,"EXPIRÉ",IF(I87&lt;=30,"URGENT",IF(I87&lt;=90,"Bientôt","OK"))))</f>
        <v/>
      </c>
      <c r="K87" s="7" t="n"/>
      <c r="L87" s="7" t="n"/>
      <c r="M87" s="7" t="n"/>
      <c r="N87" s="7">
        <f>IF(B87="","",IFERROR(VLOOKUP(B87,'F01 - _Données Expatriés'!$A$6:$K$20,2,FALSE)&amp;" "&amp;VLOOKUP(B87,'F01 - _Données Expatriés'!$A$6:$K$20,3,FALSE),""))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28">
        <f>IF(E88="","",IFERROR(E88-TODAY(),0))</f>
        <v/>
      </c>
      <c r="J88" s="5">
        <f>IF(I88="","",IF(I88&lt;0,"EXPIRÉ",IF(I88&lt;=30,"URGENT",IF(I88&lt;=90,"Bientôt","OK"))))</f>
        <v/>
      </c>
      <c r="K88" s="5" t="n"/>
      <c r="L88" s="5" t="n"/>
      <c r="M88" s="5" t="n"/>
      <c r="N88" s="5">
        <f>IF(B88="","",IFERROR(VLOOKUP(B88,'F01 - _Données Expatriés'!$A$6:$K$20,2,FALSE)&amp;" "&amp;VLOOKUP(B88,'F01 - _Données Expatriés'!$A$6:$K$20,3,FALSE),""))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29">
        <f>IF(E89="","",IFERROR(E89-TODAY(),0))</f>
        <v/>
      </c>
      <c r="J89" s="7">
        <f>IF(I89="","",IF(I89&lt;0,"EXPIRÉ",IF(I89&lt;=30,"URGENT",IF(I89&lt;=90,"Bientôt","OK"))))</f>
        <v/>
      </c>
      <c r="K89" s="7" t="n"/>
      <c r="L89" s="7" t="n"/>
      <c r="M89" s="7" t="n"/>
      <c r="N89" s="7">
        <f>IF(B89="","",IFERROR(VLOOKUP(B89,'F01 - _Données Expatriés'!$A$6:$K$20,2,FALSE)&amp;" "&amp;VLOOKUP(B89,'F01 - _Données Expatriés'!$A$6:$K$20,3,FALSE),""))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28">
        <f>IF(E90="","",IFERROR(E90-TODAY(),0))</f>
        <v/>
      </c>
      <c r="J90" s="5">
        <f>IF(I90="","",IF(I90&lt;0,"EXPIRÉ",IF(I90&lt;=30,"URGENT",IF(I90&lt;=90,"Bientôt","OK"))))</f>
        <v/>
      </c>
      <c r="K90" s="5" t="n"/>
      <c r="L90" s="5" t="n"/>
      <c r="M90" s="5" t="n"/>
      <c r="N90" s="5">
        <f>IF(B90="","",IFERROR(VLOOKUP(B90,'F01 - _Données Expatriés'!$A$6:$K$20,2,FALSE)&amp;" "&amp;VLOOKUP(B90,'F01 - _Données Expatriés'!$A$6:$K$20,3,FALSE),""))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29">
        <f>IF(E91="","",IFERROR(E91-TODAY(),0))</f>
        <v/>
      </c>
      <c r="J91" s="7">
        <f>IF(I91="","",IF(I91&lt;0,"EXPIRÉ",IF(I91&lt;=30,"URGENT",IF(I91&lt;=90,"Bientôt","OK"))))</f>
        <v/>
      </c>
      <c r="K91" s="7" t="n"/>
      <c r="L91" s="7" t="n"/>
      <c r="M91" s="7" t="n"/>
      <c r="N91" s="7">
        <f>IF(B91="","",IFERROR(VLOOKUP(B91,'F01 - _Données Expatriés'!$A$6:$K$20,2,FALSE)&amp;" "&amp;VLOOKUP(B91,'F01 - _Données Expatriés'!$A$6:$K$20,3,FALSE),""))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28">
        <f>IF(E92="","",IFERROR(E92-TODAY(),0))</f>
        <v/>
      </c>
      <c r="J92" s="5">
        <f>IF(I92="","",IF(I92&lt;0,"EXPIRÉ",IF(I92&lt;=30,"URGENT",IF(I92&lt;=90,"Bientôt","OK"))))</f>
        <v/>
      </c>
      <c r="K92" s="5" t="n"/>
      <c r="L92" s="5" t="n"/>
      <c r="M92" s="5" t="n"/>
      <c r="N92" s="5">
        <f>IF(B92="","",IFERROR(VLOOKUP(B92,'F01 - _Données Expatriés'!$A$6:$K$20,2,FALSE)&amp;" "&amp;VLOOKUP(B92,'F01 - _Données Expatriés'!$A$6:$K$20,3,FALSE),""))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29">
        <f>IF(E93="","",IFERROR(E93-TODAY(),0))</f>
        <v/>
      </c>
      <c r="J93" s="7">
        <f>IF(I93="","",IF(I93&lt;0,"EXPIRÉ",IF(I93&lt;=30,"URGENT",IF(I93&lt;=90,"Bientôt","OK"))))</f>
        <v/>
      </c>
      <c r="K93" s="7" t="n"/>
      <c r="L93" s="7" t="n"/>
      <c r="M93" s="7" t="n"/>
      <c r="N93" s="7">
        <f>IF(B93="","",IFERROR(VLOOKUP(B93,'F01 - _Données Expatriés'!$A$6:$K$20,2,FALSE)&amp;" "&amp;VLOOKUP(B93,'F01 - _Données Expatriés'!$A$6:$K$20,3,FALSE),""))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28">
        <f>IF(E94="","",IFERROR(E94-TODAY(),0))</f>
        <v/>
      </c>
      <c r="J94" s="5">
        <f>IF(I94="","",IF(I94&lt;0,"EXPIRÉ",IF(I94&lt;=30,"URGENT",IF(I94&lt;=90,"Bientôt","OK"))))</f>
        <v/>
      </c>
      <c r="K94" s="5" t="n"/>
      <c r="L94" s="5" t="n"/>
      <c r="M94" s="5" t="n"/>
      <c r="N94" s="5">
        <f>IF(B94="","",IFERROR(VLOOKUP(B94,'F01 - _Données Expatriés'!$A$6:$K$20,2,FALSE)&amp;" "&amp;VLOOKUP(B94,'F01 - _Données Expatriés'!$A$6:$K$20,3,FALSE),""))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29">
        <f>IF(E95="","",IFERROR(E95-TODAY(),0))</f>
        <v/>
      </c>
      <c r="J95" s="7">
        <f>IF(I95="","",IF(I95&lt;0,"EXPIRÉ",IF(I95&lt;=30,"URGENT",IF(I95&lt;=90,"Bientôt","OK"))))</f>
        <v/>
      </c>
      <c r="K95" s="7" t="n"/>
      <c r="L95" s="7" t="n"/>
      <c r="M95" s="7" t="n"/>
      <c r="N95" s="7">
        <f>IF(B95="","",IFERROR(VLOOKUP(B95,'F01 - _Données Expatriés'!$A$6:$K$20,2,FALSE)&amp;" "&amp;VLOOKUP(B95,'F01 - _Données Expatriés'!$A$6:$K$20,3,FALSE),""))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28">
        <f>IF(E96="","",IFERROR(E96-TODAY(),0))</f>
        <v/>
      </c>
      <c r="J96" s="5">
        <f>IF(I96="","",IF(I96&lt;0,"EXPIRÉ",IF(I96&lt;=30,"URGENT",IF(I96&lt;=90,"Bientôt","OK"))))</f>
        <v/>
      </c>
      <c r="K96" s="5" t="n"/>
      <c r="L96" s="5" t="n"/>
      <c r="M96" s="5" t="n"/>
      <c r="N96" s="5">
        <f>IF(B96="","",IFERROR(VLOOKUP(B96,'F01 - _Données Expatriés'!$A$6:$K$20,2,FALSE)&amp;" "&amp;VLOOKUP(B96,'F01 - _Données Expatriés'!$A$6:$K$20,3,FALSE),""))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29">
        <f>IF(E97="","",IFERROR(E97-TODAY(),0))</f>
        <v/>
      </c>
      <c r="J97" s="7">
        <f>IF(I97="","",IF(I97&lt;0,"EXPIRÉ",IF(I97&lt;=30,"URGENT",IF(I97&lt;=90,"Bientôt","OK"))))</f>
        <v/>
      </c>
      <c r="K97" s="7" t="n"/>
      <c r="L97" s="7" t="n"/>
      <c r="M97" s="7" t="n"/>
      <c r="N97" s="7">
        <f>IF(B97="","",IFERROR(VLOOKUP(B97,'F01 - _Données Expatriés'!$A$6:$K$20,2,FALSE)&amp;" "&amp;VLOOKUP(B97,'F01 - _Données Expatriés'!$A$6:$K$20,3,FALSE),""))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28">
        <f>IF(E98="","",IFERROR(E98-TODAY(),0))</f>
        <v/>
      </c>
      <c r="J98" s="5">
        <f>IF(I98="","",IF(I98&lt;0,"EXPIRÉ",IF(I98&lt;=30,"URGENT",IF(I98&lt;=90,"Bientôt","OK"))))</f>
        <v/>
      </c>
      <c r="K98" s="5" t="n"/>
      <c r="L98" s="5" t="n"/>
      <c r="M98" s="5" t="n"/>
      <c r="N98" s="5">
        <f>IF(B98="","",IFERROR(VLOOKUP(B98,'F01 - _Données Expatriés'!$A$6:$K$20,2,FALSE)&amp;" "&amp;VLOOKUP(B98,'F01 - _Données Expatriés'!$A$6:$K$20,3,FALSE),""))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29">
        <f>IF(E99="","",IFERROR(E99-TODAY(),0))</f>
        <v/>
      </c>
      <c r="J99" s="7">
        <f>IF(I99="","",IF(I99&lt;0,"EXPIRÉ",IF(I99&lt;=30,"URGENT",IF(I99&lt;=90,"Bientôt","OK"))))</f>
        <v/>
      </c>
      <c r="K99" s="7" t="n"/>
      <c r="L99" s="7" t="n"/>
      <c r="M99" s="7" t="n"/>
      <c r="N99" s="7">
        <f>IF(B99="","",IFERROR(VLOOKUP(B99,'F01 - _Données Expatriés'!$A$6:$K$20,2,FALSE)&amp;" "&amp;VLOOKUP(B99,'F01 - _Données Expatriés'!$A$6:$K$20,3,FALSE),""))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28">
        <f>IF(E100="","",IFERROR(E100-TODAY(),0))</f>
        <v/>
      </c>
      <c r="J100" s="5">
        <f>IF(I100="","",IF(I100&lt;0,"EXPIRÉ",IF(I100&lt;=30,"URGENT",IF(I100&lt;=90,"Bientôt","OK"))))</f>
        <v/>
      </c>
      <c r="K100" s="5" t="n"/>
      <c r="L100" s="5" t="n"/>
      <c r="M100" s="5" t="n"/>
      <c r="N100" s="5">
        <f>IF(B100="","",IFERROR(VLOOKUP(B100,'F01 - _Données Expatriés'!$A$6:$K$20,2,FALSE)&amp;" "&amp;VLOOKUP(B100,'F01 - _Données Expatriés'!$A$6:$K$20,3,FALSE),""))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29">
        <f>IF(E101="","",IFERROR(E101-TODAY(),0))</f>
        <v/>
      </c>
      <c r="J101" s="7">
        <f>IF(I101="","",IF(I101&lt;0,"EXPIRÉ",IF(I101&lt;=30,"URGENT",IF(I101&lt;=90,"Bientôt","OK"))))</f>
        <v/>
      </c>
      <c r="K101" s="7" t="n"/>
      <c r="L101" s="7" t="n"/>
      <c r="M101" s="7" t="n"/>
      <c r="N101" s="7">
        <f>IF(B101="","",IFERROR(VLOOKUP(B101,'F01 - _Données Expatriés'!$A$6:$K$20,2,FALSE)&amp;" "&amp;VLOOKUP(B101,'F01 - _Données Expatriés'!$A$6:$K$20,3,FALSE),""))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28">
        <f>IF(E102="","",IFERROR(E102-TODAY(),0))</f>
        <v/>
      </c>
      <c r="J102" s="5">
        <f>IF(I102="","",IF(I102&lt;0,"EXPIRÉ",IF(I102&lt;=30,"URGENT",IF(I102&lt;=90,"Bientôt","OK"))))</f>
        <v/>
      </c>
      <c r="K102" s="5" t="n"/>
      <c r="L102" s="5" t="n"/>
      <c r="M102" s="5" t="n"/>
      <c r="N102" s="5">
        <f>IF(B102="","",IFERROR(VLOOKUP(B102,'F01 - _Données Expatriés'!$A$6:$K$20,2,FALSE)&amp;" "&amp;VLOOKUP(B102,'F01 - _Données Expatriés'!$A$6:$K$20,3,FALSE),""))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29">
        <f>IF(E103="","",IFERROR(E103-TODAY(),0))</f>
        <v/>
      </c>
      <c r="J103" s="7">
        <f>IF(I103="","",IF(I103&lt;0,"EXPIRÉ",IF(I103&lt;=30,"URGENT",IF(I103&lt;=90,"Bientôt","OK"))))</f>
        <v/>
      </c>
      <c r="K103" s="7" t="n"/>
      <c r="L103" s="7" t="n"/>
      <c r="M103" s="7" t="n"/>
      <c r="N103" s="7">
        <f>IF(B103="","",IFERROR(VLOOKUP(B103,'F01 - _Données Expatriés'!$A$6:$K$20,2,FALSE)&amp;" "&amp;VLOOKUP(B103,'F01 - _Données Expatriés'!$A$6:$K$20,3,FALSE),""))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28">
        <f>IF(E104="","",IFERROR(E104-TODAY(),0))</f>
        <v/>
      </c>
      <c r="J104" s="5">
        <f>IF(I104="","",IF(I104&lt;0,"EXPIRÉ",IF(I104&lt;=30,"URGENT",IF(I104&lt;=90,"Bientôt","OK"))))</f>
        <v/>
      </c>
      <c r="K104" s="5" t="n"/>
      <c r="L104" s="5" t="n"/>
      <c r="M104" s="5" t="n"/>
      <c r="N104" s="5">
        <f>IF(B104="","",IFERROR(VLOOKUP(B104,'F01 - _Données Expatriés'!$A$6:$K$20,2,FALSE)&amp;" "&amp;VLOOKUP(B104,'F01 - _Données Expatriés'!$A$6:$K$20,3,FALSE),""))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29">
        <f>IF(E105="","",IFERROR(E105-TODAY(),0))</f>
        <v/>
      </c>
      <c r="J105" s="7">
        <f>IF(I105="","",IF(I105&lt;0,"EXPIRÉ",IF(I105&lt;=30,"URGENT",IF(I105&lt;=90,"Bientôt","OK"))))</f>
        <v/>
      </c>
      <c r="K105" s="7" t="n"/>
      <c r="L105" s="7" t="n"/>
      <c r="M105" s="7" t="n"/>
      <c r="N105" s="7">
        <f>IF(B105="","",IFERROR(VLOOKUP(B105,'F01 - _Données Expatriés'!$A$6:$K$20,2,FALSE)&amp;" "&amp;VLOOKUP(B105,'F01 - _Données Expatriés'!$A$6:$K$20,3,FALSE),""))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28">
        <f>IF(E106="","",IFERROR(E106-TODAY(),0))</f>
        <v/>
      </c>
      <c r="J106" s="5">
        <f>IF(I106="","",IF(I106&lt;0,"EXPIRÉ",IF(I106&lt;=30,"URGENT",IF(I106&lt;=90,"Bientôt","OK"))))</f>
        <v/>
      </c>
      <c r="K106" s="5" t="n"/>
      <c r="L106" s="5" t="n"/>
      <c r="M106" s="5" t="n"/>
      <c r="N106" s="5">
        <f>IF(B106="","",IFERROR(VLOOKUP(B106,'F01 - _Données Expatriés'!$A$6:$K$20,2,FALSE)&amp;" "&amp;VLOOKUP(B106,'F01 - _Données Expatriés'!$A$6:$K$20,3,FALSE),""))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29">
        <f>IF(E107="","",IFERROR(E107-TODAY(),0))</f>
        <v/>
      </c>
      <c r="J107" s="7">
        <f>IF(I107="","",IF(I107&lt;0,"EXPIRÉ",IF(I107&lt;=30,"URGENT",IF(I107&lt;=90,"Bientôt","OK"))))</f>
        <v/>
      </c>
      <c r="K107" s="7" t="n"/>
      <c r="L107" s="7" t="n"/>
      <c r="M107" s="7" t="n"/>
      <c r="N107" s="7">
        <f>IF(B107="","",IFERROR(VLOOKUP(B107,'F01 - _Données Expatriés'!$A$6:$K$20,2,FALSE)&amp;" "&amp;VLOOKUP(B107,'F01 - _Données Expatriés'!$A$6:$K$20,3,FALSE),""))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28">
        <f>IF(E108="","",IFERROR(E108-TODAY(),0))</f>
        <v/>
      </c>
      <c r="J108" s="5">
        <f>IF(I108="","",IF(I108&lt;0,"EXPIRÉ",IF(I108&lt;=30,"URGENT",IF(I108&lt;=90,"Bientôt","OK"))))</f>
        <v/>
      </c>
      <c r="K108" s="5" t="n"/>
      <c r="L108" s="5" t="n"/>
      <c r="M108" s="5" t="n"/>
      <c r="N108" s="5">
        <f>IF(B108="","",IFERROR(VLOOKUP(B108,'F01 - _Données Expatriés'!$A$6:$K$20,2,FALSE)&amp;" "&amp;VLOOKUP(B108,'F01 - _Données Expatriés'!$A$6:$K$20,3,FALSE),""))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29">
        <f>IF(E109="","",IFERROR(E109-TODAY(),0))</f>
        <v/>
      </c>
      <c r="J109" s="7">
        <f>IF(I109="","",IF(I109&lt;0,"EXPIRÉ",IF(I109&lt;=30,"URGENT",IF(I109&lt;=90,"Bientôt","OK"))))</f>
        <v/>
      </c>
      <c r="K109" s="7" t="n"/>
      <c r="L109" s="7" t="n"/>
      <c r="M109" s="7" t="n"/>
      <c r="N109" s="7">
        <f>IF(B109="","",IFERROR(VLOOKUP(B109,'F01 - _Données Expatriés'!$A$6:$K$20,2,FALSE)&amp;" "&amp;VLOOKUP(B109,'F01 - _Données Expatriés'!$A$6:$K$20,3,FALSE),""))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28">
        <f>IF(E110="","",IFERROR(E110-TODAY(),0))</f>
        <v/>
      </c>
      <c r="J110" s="5">
        <f>IF(I110="","",IF(I110&lt;0,"EXPIRÉ",IF(I110&lt;=30,"URGENT",IF(I110&lt;=90,"Bientôt","OK"))))</f>
        <v/>
      </c>
      <c r="K110" s="5" t="n"/>
      <c r="L110" s="5" t="n"/>
      <c r="M110" s="5" t="n"/>
      <c r="N110" s="5">
        <f>IF(B110="","",IFERROR(VLOOKUP(B110,'F01 - _Données Expatriés'!$A$6:$K$20,2,FALSE)&amp;" "&amp;VLOOKUP(B110,'F01 - _Données Expatriés'!$A$6:$K$20,3,FALSE),""))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29">
        <f>IF(E111="","",IFERROR(E111-TODAY(),0))</f>
        <v/>
      </c>
      <c r="J111" s="7">
        <f>IF(I111="","",IF(I111&lt;0,"EXPIRÉ",IF(I111&lt;=30,"URGENT",IF(I111&lt;=90,"Bientôt","OK"))))</f>
        <v/>
      </c>
      <c r="K111" s="7" t="n"/>
      <c r="L111" s="7" t="n"/>
      <c r="M111" s="7" t="n"/>
      <c r="N111" s="7">
        <f>IF(B111="","",IFERROR(VLOOKUP(B111,'F01 - _Données Expatriés'!$A$6:$K$20,2,FALSE)&amp;" "&amp;VLOOKUP(B111,'F01 - _Données Expatriés'!$A$6:$K$20,3,FALSE),""))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28">
        <f>IF(E112="","",IFERROR(E112-TODAY(),0))</f>
        <v/>
      </c>
      <c r="J112" s="5">
        <f>IF(I112="","",IF(I112&lt;0,"EXPIRÉ",IF(I112&lt;=30,"URGENT",IF(I112&lt;=90,"Bientôt","OK"))))</f>
        <v/>
      </c>
      <c r="K112" s="5" t="n"/>
      <c r="L112" s="5" t="n"/>
      <c r="M112" s="5" t="n"/>
      <c r="N112" s="5">
        <f>IF(B112="","",IFERROR(VLOOKUP(B112,'F01 - _Données Expatriés'!$A$6:$K$20,2,FALSE)&amp;" "&amp;VLOOKUP(B112,'F01 - _Données Expatriés'!$A$6:$K$20,3,FALSE),""))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29">
        <f>IF(E113="","",IFERROR(E113-TODAY(),0))</f>
        <v/>
      </c>
      <c r="J113" s="7">
        <f>IF(I113="","",IF(I113&lt;0,"EXPIRÉ",IF(I113&lt;=30,"URGENT",IF(I113&lt;=90,"Bientôt","OK"))))</f>
        <v/>
      </c>
      <c r="K113" s="7" t="n"/>
      <c r="L113" s="7" t="n"/>
      <c r="M113" s="7" t="n"/>
      <c r="N113" s="7">
        <f>IF(B113="","",IFERROR(VLOOKUP(B113,'F01 - _Données Expatriés'!$A$6:$K$20,2,FALSE)&amp;" "&amp;VLOOKUP(B113,'F01 - _Données Expatriés'!$A$6:$K$20,3,FALSE),""))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28">
        <f>IF(E114="","",IFERROR(E114-TODAY(),0))</f>
        <v/>
      </c>
      <c r="J114" s="5">
        <f>IF(I114="","",IF(I114&lt;0,"EXPIRÉ",IF(I114&lt;=30,"URGENT",IF(I114&lt;=90,"Bientôt","OK"))))</f>
        <v/>
      </c>
      <c r="K114" s="5" t="n"/>
      <c r="L114" s="5" t="n"/>
      <c r="M114" s="5" t="n"/>
      <c r="N114" s="5">
        <f>IF(B114="","",IFERROR(VLOOKUP(B114,'F01 - _Données Expatriés'!$A$6:$K$20,2,FALSE)&amp;" "&amp;VLOOKUP(B114,'F01 - _Données Expatriés'!$A$6:$K$20,3,FALSE),""))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29">
        <f>IF(E115="","",IFERROR(E115-TODAY(),0))</f>
        <v/>
      </c>
      <c r="J115" s="7">
        <f>IF(I115="","",IF(I115&lt;0,"EXPIRÉ",IF(I115&lt;=30,"URGENT",IF(I115&lt;=90,"Bientôt","OK"))))</f>
        <v/>
      </c>
      <c r="K115" s="7" t="n"/>
      <c r="L115" s="7" t="n"/>
      <c r="M115" s="7" t="n"/>
      <c r="N115" s="7">
        <f>IF(B115="","",IFERROR(VLOOKUP(B115,'F01 - _Données Expatriés'!$A$6:$K$20,2,FALSE)&amp;" "&amp;VLOOKUP(B115,'F01 - _Données Expatriés'!$A$6:$K$20,3,FALSE),""))</f>
        <v/>
      </c>
    </row>
  </sheetData>
  <mergeCells count="2">
    <mergeCell ref="A3:N3"/>
    <mergeCell ref="A2:N2"/>
  </mergeCells>
  <conditionalFormatting sqref="J6:J115">
    <cfRule type="expression" priority="1" dxfId="0">
      <formula>J6="EXPIRÉ"</formula>
    </cfRule>
    <cfRule type="expression" priority="2" dxfId="1">
      <formula>J6="URGENT"</formula>
    </cfRule>
  </conditionalFormatting>
  <dataValidations count="5">
    <dataValidation sqref="C6:C115" showDropDown="0" showInputMessage="0" showErrorMessage="0" allowBlank="1" errorTitle="Erreur" error="Valeur invalide" promptTitle="" prompt="Choisir dans la liste: " type="list">
      <formula1>'F02 - _Lists'!$AB$6:$AB$13</formula1>
    </dataValidation>
    <dataValidation sqref="F6:F115" showDropDown="0" showInputMessage="0" showErrorMessage="0" allowBlank="1" errorTitle="Erreur" error="Valeur invalide" promptTitle="" prompt="Choisir dans la liste: " type="list">
      <formula1>'F02 - _Lists'!$W$6:$W$10</formula1>
    </dataValidation>
    <dataValidation sqref="I6:I115" showDropDown="0" showInputMessage="0" showErrorMessage="0" allowBlank="1" errorTitle="Erreur" error="Valeur invalide" promptTitle="" prompt="Choisir dans la liste: " type="list">
      <formula1>'F02 - _Lists'!$B$6:$B$20</formula1>
    </dataValidation>
    <dataValidation sqref="K6:K115" showDropDown="0" showInputMessage="0" showErrorMessage="0" allowBlank="1" errorTitle="Erreur" error="Valeur invalide" promptTitle="" prompt="Choisir dans la liste: " type="list">
      <formula1>'F02 - _Lists'!$Z$6:$Z$9</formula1>
    </dataValidation>
    <dataValidation sqref="L6:L115" showDropDown="0" showInputMessage="0" showErrorMessage="0" allowBlank="1" errorTitle="Erreur" error="Valeur invalide" promptTitle="" prompt="Choisir dans la liste: " type="list">
      <formula1>'F02 - _Lists'!$V$6:$V$10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24" customWidth="1" min="5" max="5"/>
    <col width="24" customWidth="1" min="6" max="6"/>
    <col width="22" customWidth="1" min="7" max="7"/>
    <col width="24" customWidth="1" min="8" max="8"/>
    <col width="22" customWidth="1" min="9" max="9"/>
    <col width="16" customWidth="1" min="10" max="10"/>
    <col width="22" customWidth="1" min="11" max="11"/>
    <col width="22" customWidth="1" min="12" max="12"/>
    <col width="18" customWidth="1" min="13" max="13"/>
    <col width="28" customWidth="1" min="14" max="14"/>
  </cols>
  <sheetData>
    <row r="1" ht="8" customHeight="1"/>
    <row r="2" ht="30" customHeight="1">
      <c r="A2" s="1" t="inlineStr">
        <is>
          <t>15-TABLEAU DE BORD FINANCIER EXPATRIÉ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Matricule Expat.</t>
        </is>
      </c>
      <c r="B5" s="4" t="inlineStr">
        <is>
          <t>Nom Complet</t>
        </is>
      </c>
      <c r="C5" s="4" t="inlineStr">
        <is>
          <t>Salaire Brut (FCFA)</t>
        </is>
      </c>
      <c r="D5" s="4" t="inlineStr">
        <is>
          <t>Prime Expatriation (FCFA)</t>
        </is>
      </c>
      <c r="E5" s="4" t="inlineStr">
        <is>
          <t>Indemnité Logement (FCFA)</t>
        </is>
      </c>
      <c r="F5" s="4" t="inlineStr">
        <is>
          <t>Indemnité Scolarité (FCFA)</t>
        </is>
      </c>
      <c r="G5" s="4" t="inlineStr">
        <is>
          <t>Autres Indemnités (FCFA)</t>
        </is>
      </c>
      <c r="H5" s="4" t="inlineStr">
        <is>
          <t>Rémunération Totale (FCFA)</t>
        </is>
      </c>
      <c r="I5" s="4" t="inlineStr">
        <is>
          <t>Cotisations Sociales (FCFA)</t>
        </is>
      </c>
      <c r="J5" s="4" t="inlineStr">
        <is>
          <t>Impôt (FCFA)</t>
        </is>
      </c>
      <c r="K5" s="4" t="inlineStr">
        <is>
          <t>Rémunération Nette (FCFA)</t>
        </is>
      </c>
      <c r="L5" s="4" t="inlineStr">
        <is>
          <t>Coût Employeur (FCFA)</t>
        </is>
      </c>
      <c r="M5" s="4" t="inlineStr">
        <is>
          <t>Mois</t>
        </is>
      </c>
      <c r="N5" s="4" t="inlineStr">
        <is>
          <t>Observations</t>
        </is>
      </c>
    </row>
    <row r="6" ht="22" customHeight="1">
      <c r="A6" s="5" t="inlineStr">
        <is>
          <t>EXP-001</t>
        </is>
      </c>
      <c r="B6" s="5" t="inlineStr">
        <is>
          <t>Martin Jean-Pierre</t>
        </is>
      </c>
      <c r="C6" s="25" t="n">
        <v>4500000</v>
      </c>
      <c r="D6" s="25" t="n">
        <v>800000</v>
      </c>
      <c r="E6" s="25" t="n">
        <v>500000</v>
      </c>
      <c r="F6" s="25" t="n">
        <v>0</v>
      </c>
      <c r="G6" s="25" t="n">
        <v>150000</v>
      </c>
      <c r="H6" s="28">
        <f>IF(A6="",0,SUM(C6:G6))</f>
        <v/>
      </c>
      <c r="I6" s="25" t="n">
        <v>450000</v>
      </c>
      <c r="J6" s="28">
        <f>IF(H6=0,"",IFERROR(ROUND(H6*0.2,0),0))</f>
        <v/>
      </c>
      <c r="K6" s="28">
        <f>IF(H6=0,"",IFERROR(H6-I6-J6,0))</f>
        <v/>
      </c>
      <c r="L6" s="28">
        <f>IF(H6=0,"",IFERROR(ROUND(H6*1.3,0),0))</f>
        <v/>
      </c>
      <c r="M6" s="5" t="inlineStr">
        <is>
          <t>Janvier 2025</t>
        </is>
      </c>
      <c r="N6" s="5" t="inlineStr"/>
    </row>
    <row r="7" ht="22" customHeight="1">
      <c r="A7" s="7" t="inlineStr">
        <is>
          <t>EXP-002</t>
        </is>
      </c>
      <c r="B7" s="7" t="inlineStr">
        <is>
          <t>Dupont Sophie</t>
        </is>
      </c>
      <c r="C7" s="27" t="n">
        <v>3800000</v>
      </c>
      <c r="D7" s="27" t="n">
        <v>650000</v>
      </c>
      <c r="E7" s="27" t="n">
        <v>500000</v>
      </c>
      <c r="F7" s="27" t="n">
        <v>300000</v>
      </c>
      <c r="G7" s="27" t="n">
        <v>100000</v>
      </c>
      <c r="H7" s="29">
        <f>IF(A7="",0,SUM(C7:G7))</f>
        <v/>
      </c>
      <c r="I7" s="27" t="n">
        <v>380000</v>
      </c>
      <c r="J7" s="29">
        <f>IF(H7=0,"",IFERROR(ROUND(H7*0.2,0),0))</f>
        <v/>
      </c>
      <c r="K7" s="29">
        <f>IF(H7=0,"",IFERROR(H7-I7-J7,0))</f>
        <v/>
      </c>
      <c r="L7" s="29">
        <f>IF(H7=0,"",IFERROR(ROUND(H7*1.3,0),0))</f>
        <v/>
      </c>
      <c r="M7" s="7" t="inlineStr">
        <is>
          <t>Janvier 2025</t>
        </is>
      </c>
      <c r="N7" s="7" t="inlineStr"/>
    </row>
    <row r="8" ht="22" customHeight="1">
      <c r="A8" s="5" t="inlineStr">
        <is>
          <t>EXP-003</t>
        </is>
      </c>
      <c r="B8" s="5" t="inlineStr">
        <is>
          <t>Mueller Hans</t>
        </is>
      </c>
      <c r="C8" s="25" t="n">
        <v>5200000</v>
      </c>
      <c r="D8" s="25" t="n">
        <v>800000</v>
      </c>
      <c r="E8" s="25" t="n">
        <v>600000</v>
      </c>
      <c r="F8" s="25" t="n">
        <v>350000</v>
      </c>
      <c r="G8" s="25" t="n">
        <v>200000</v>
      </c>
      <c r="H8" s="28">
        <f>IF(A8="",0,SUM(C8:G8))</f>
        <v/>
      </c>
      <c r="I8" s="25" t="n">
        <v>520000</v>
      </c>
      <c r="J8" s="28">
        <f>IF(H8=0,"",IFERROR(ROUND(H8*0.2,0),0))</f>
        <v/>
      </c>
      <c r="K8" s="28">
        <f>IF(H8=0,"",IFERROR(H8-I8-J8,0))</f>
        <v/>
      </c>
      <c r="L8" s="28">
        <f>IF(H8=0,"",IFERROR(ROUND(H8*1.3,0),0))</f>
        <v/>
      </c>
      <c r="M8" s="5" t="inlineStr">
        <is>
          <t>Janvier 2025</t>
        </is>
      </c>
      <c r="N8" s="5" t="inlineStr"/>
    </row>
    <row r="9" ht="22" customHeight="1">
      <c r="A9" s="7" t="inlineStr">
        <is>
          <t>EXP-005</t>
        </is>
      </c>
      <c r="B9" s="7" t="inlineStr">
        <is>
          <t>Kim Jin-woo</t>
        </is>
      </c>
      <c r="C9" s="27" t="n">
        <v>4200000</v>
      </c>
      <c r="D9" s="27" t="n">
        <v>700000</v>
      </c>
      <c r="E9" s="27" t="n">
        <v>450000</v>
      </c>
      <c r="F9" s="27" t="n">
        <v>200000</v>
      </c>
      <c r="G9" s="27" t="n">
        <v>120000</v>
      </c>
      <c r="H9" s="29">
        <f>IF(A9="",0,SUM(C9:G9))</f>
        <v/>
      </c>
      <c r="I9" s="27" t="n">
        <v>420000</v>
      </c>
      <c r="J9" s="29">
        <f>IF(H9=0,"",IFERROR(ROUND(H9*0.2,0),0))</f>
        <v/>
      </c>
      <c r="K9" s="29">
        <f>IF(H9=0,"",IFERROR(H9-I9-J9,0))</f>
        <v/>
      </c>
      <c r="L9" s="29">
        <f>IF(H9=0,"",IFERROR(ROUND(H9*1.3,0),0))</f>
        <v/>
      </c>
      <c r="M9" s="7" t="inlineStr">
        <is>
          <t>Janvier 2025</t>
        </is>
      </c>
      <c r="N9" s="7" t="inlineStr"/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28">
        <f>IF(A10="",0,SUM(C10:G10))</f>
        <v/>
      </c>
      <c r="I10" s="5" t="n"/>
      <c r="J10" s="28">
        <f>IF(H10=0,"",IFERROR(ROUND(H10*0.2,0),0))</f>
        <v/>
      </c>
      <c r="K10" s="28">
        <f>IF(H10=0,"",IFERROR(H10-I10-J10,0))</f>
        <v/>
      </c>
      <c r="L10" s="28">
        <f>IF(H10=0,"",IFERROR(ROUND(H10*1.3,0),0))</f>
        <v/>
      </c>
      <c r="M10" s="5" t="n"/>
      <c r="N10" s="5" t="n"/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29">
        <f>IF(A11="",0,SUM(C11:G11))</f>
        <v/>
      </c>
      <c r="I11" s="7" t="n"/>
      <c r="J11" s="29">
        <f>IF(H11=0,"",IFERROR(ROUND(H11*0.2,0),0))</f>
        <v/>
      </c>
      <c r="K11" s="29">
        <f>IF(H11=0,"",IFERROR(H11-I11-J11,0))</f>
        <v/>
      </c>
      <c r="L11" s="29">
        <f>IF(H11=0,"",IFERROR(ROUND(H11*1.3,0),0))</f>
        <v/>
      </c>
      <c r="M11" s="7" t="n"/>
      <c r="N11" s="7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28">
        <f>IF(A12="",0,SUM(C12:G12))</f>
        <v/>
      </c>
      <c r="I12" s="5" t="n"/>
      <c r="J12" s="28">
        <f>IF(H12=0,"",IFERROR(ROUND(H12*0.2,0),0))</f>
        <v/>
      </c>
      <c r="K12" s="28">
        <f>IF(H12=0,"",IFERROR(H12-I12-J12,0))</f>
        <v/>
      </c>
      <c r="L12" s="28">
        <f>IF(H12=0,"",IFERROR(ROUND(H12*1.3,0),0))</f>
        <v/>
      </c>
      <c r="M12" s="5" t="n"/>
      <c r="N12" s="5" t="n"/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29">
        <f>IF(A13="",0,SUM(C13:G13))</f>
        <v/>
      </c>
      <c r="I13" s="7" t="n"/>
      <c r="J13" s="29">
        <f>IF(H13=0,"",IFERROR(ROUND(H13*0.2,0),0))</f>
        <v/>
      </c>
      <c r="K13" s="29">
        <f>IF(H13=0,"",IFERROR(H13-I13-J13,0))</f>
        <v/>
      </c>
      <c r="L13" s="29">
        <f>IF(H13=0,"",IFERROR(ROUND(H13*1.3,0),0))</f>
        <v/>
      </c>
      <c r="M13" s="7" t="n"/>
      <c r="N13" s="7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28">
        <f>IF(A14="",0,SUM(C14:G14))</f>
        <v/>
      </c>
      <c r="I14" s="5" t="n"/>
      <c r="J14" s="28">
        <f>IF(H14=0,"",IFERROR(ROUND(H14*0.2,0),0))</f>
        <v/>
      </c>
      <c r="K14" s="28">
        <f>IF(H14=0,"",IFERROR(H14-I14-J14,0))</f>
        <v/>
      </c>
      <c r="L14" s="28">
        <f>IF(H14=0,"",IFERROR(ROUND(H14*1.3,0),0))</f>
        <v/>
      </c>
      <c r="M14" s="5" t="n"/>
      <c r="N14" s="5" t="n"/>
    </row>
    <row r="15" ht="22" customHeight="1">
      <c r="A15" s="7" t="n"/>
      <c r="B15" s="7" t="n"/>
      <c r="C15" s="7" t="n"/>
      <c r="D15" s="7" t="n"/>
      <c r="E15" s="7" t="n"/>
      <c r="F15" s="7" t="n"/>
      <c r="G15" s="7" t="n"/>
      <c r="H15" s="29">
        <f>IF(A15="",0,SUM(C15:G15))</f>
        <v/>
      </c>
      <c r="I15" s="7" t="n"/>
      <c r="J15" s="29">
        <f>IF(H15=0,"",IFERROR(ROUND(H15*0.2,0),0))</f>
        <v/>
      </c>
      <c r="K15" s="29">
        <f>IF(H15=0,"",IFERROR(H15-I15-J15,0))</f>
        <v/>
      </c>
      <c r="L15" s="29">
        <f>IF(H15=0,"",IFERROR(ROUND(H15*1.3,0),0))</f>
        <v/>
      </c>
      <c r="M15" s="7" t="n"/>
      <c r="N15" s="7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28">
        <f>IF(A16="",0,SUM(C16:G16))</f>
        <v/>
      </c>
      <c r="I16" s="5" t="n"/>
      <c r="J16" s="28">
        <f>IF(H16=0,"",IFERROR(ROUND(H16*0.2,0),0))</f>
        <v/>
      </c>
      <c r="K16" s="28">
        <f>IF(H16=0,"",IFERROR(H16-I16-J16,0))</f>
        <v/>
      </c>
      <c r="L16" s="28">
        <f>IF(H16=0,"",IFERROR(ROUND(H16*1.3,0),0))</f>
        <v/>
      </c>
      <c r="M16" s="5" t="n"/>
      <c r="N16" s="5" t="n"/>
    </row>
    <row r="17" ht="22" customHeight="1">
      <c r="A17" s="7" t="n"/>
      <c r="B17" s="7" t="n"/>
      <c r="C17" s="7" t="n"/>
      <c r="D17" s="7" t="n"/>
      <c r="E17" s="7" t="n"/>
      <c r="F17" s="7" t="n"/>
      <c r="G17" s="7" t="n"/>
      <c r="H17" s="29">
        <f>IF(A17="",0,SUM(C17:G17))</f>
        <v/>
      </c>
      <c r="I17" s="7" t="n"/>
      <c r="J17" s="29">
        <f>IF(H17=0,"",IFERROR(ROUND(H17*0.2,0),0))</f>
        <v/>
      </c>
      <c r="K17" s="29">
        <f>IF(H17=0,"",IFERROR(H17-I17-J17,0))</f>
        <v/>
      </c>
      <c r="L17" s="29">
        <f>IF(H17=0,"",IFERROR(ROUND(H17*1.3,0),0))</f>
        <v/>
      </c>
      <c r="M17" s="7" t="n"/>
      <c r="N17" s="7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28">
        <f>IF(A18="",0,SUM(C18:G18))</f>
        <v/>
      </c>
      <c r="I18" s="5" t="n"/>
      <c r="J18" s="28">
        <f>IF(H18=0,"",IFERROR(ROUND(H18*0.2,0),0))</f>
        <v/>
      </c>
      <c r="K18" s="28">
        <f>IF(H18=0,"",IFERROR(H18-I18-J18,0))</f>
        <v/>
      </c>
      <c r="L18" s="28">
        <f>IF(H18=0,"",IFERROR(ROUND(H18*1.3,0),0))</f>
        <v/>
      </c>
      <c r="M18" s="5" t="n"/>
      <c r="N18" s="5" t="n"/>
    </row>
    <row r="19" ht="22" customHeight="1">
      <c r="A19" s="7" t="n"/>
      <c r="B19" s="7" t="n"/>
      <c r="C19" s="7" t="n"/>
      <c r="D19" s="7" t="n"/>
      <c r="E19" s="7" t="n"/>
      <c r="F19" s="7" t="n"/>
      <c r="G19" s="7" t="n"/>
      <c r="H19" s="29">
        <f>IF(A19="",0,SUM(C19:G19))</f>
        <v/>
      </c>
      <c r="I19" s="7" t="n"/>
      <c r="J19" s="29">
        <f>IF(H19=0,"",IFERROR(ROUND(H19*0.2,0),0))</f>
        <v/>
      </c>
      <c r="K19" s="29">
        <f>IF(H19=0,"",IFERROR(H19-I19-J19,0))</f>
        <v/>
      </c>
      <c r="L19" s="29">
        <f>IF(H19=0,"",IFERROR(ROUND(H19*1.3,0),0))</f>
        <v/>
      </c>
      <c r="M19" s="7" t="n"/>
      <c r="N19" s="7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28">
        <f>IF(A20="",0,SUM(C20:G20))</f>
        <v/>
      </c>
      <c r="I20" s="5" t="n"/>
      <c r="J20" s="28">
        <f>IF(H20=0,"",IFERROR(ROUND(H20*0.2,0),0))</f>
        <v/>
      </c>
      <c r="K20" s="28">
        <f>IF(H20=0,"",IFERROR(H20-I20-J20,0))</f>
        <v/>
      </c>
      <c r="L20" s="28">
        <f>IF(H20=0,"",IFERROR(ROUND(H20*1.3,0),0))</f>
        <v/>
      </c>
      <c r="M20" s="5" t="n"/>
      <c r="N20" s="5" t="n"/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29">
        <f>IF(A21="",0,SUM(C21:G21))</f>
        <v/>
      </c>
      <c r="I21" s="7" t="n"/>
      <c r="J21" s="29">
        <f>IF(H21=0,"",IFERROR(ROUND(H21*0.2,0),0))</f>
        <v/>
      </c>
      <c r="K21" s="29">
        <f>IF(H21=0,"",IFERROR(H21-I21-J21,0))</f>
        <v/>
      </c>
      <c r="L21" s="29">
        <f>IF(H21=0,"",IFERROR(ROUND(H21*1.3,0),0))</f>
        <v/>
      </c>
      <c r="M21" s="7" t="n"/>
      <c r="N21" s="7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28">
        <f>IF(A22="",0,SUM(C22:G22))</f>
        <v/>
      </c>
      <c r="I22" s="5" t="n"/>
      <c r="J22" s="28">
        <f>IF(H22=0,"",IFERROR(ROUND(H22*0.2,0),0))</f>
        <v/>
      </c>
      <c r="K22" s="28">
        <f>IF(H22=0,"",IFERROR(H22-I22-J22,0))</f>
        <v/>
      </c>
      <c r="L22" s="28">
        <f>IF(H22=0,"",IFERROR(ROUND(H22*1.3,0),0))</f>
        <v/>
      </c>
      <c r="M22" s="5" t="n"/>
      <c r="N22" s="5" t="n"/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29">
        <f>IF(A23="",0,SUM(C23:G23))</f>
        <v/>
      </c>
      <c r="I23" s="7" t="n"/>
      <c r="J23" s="29">
        <f>IF(H23=0,"",IFERROR(ROUND(H23*0.2,0),0))</f>
        <v/>
      </c>
      <c r="K23" s="29">
        <f>IF(H23=0,"",IFERROR(H23-I23-J23,0))</f>
        <v/>
      </c>
      <c r="L23" s="29">
        <f>IF(H23=0,"",IFERROR(ROUND(H23*1.3,0),0))</f>
        <v/>
      </c>
      <c r="M23" s="7" t="n"/>
      <c r="N23" s="7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28">
        <f>IF(A24="",0,SUM(C24:G24))</f>
        <v/>
      </c>
      <c r="I24" s="5" t="n"/>
      <c r="J24" s="28">
        <f>IF(H24=0,"",IFERROR(ROUND(H24*0.2,0),0))</f>
        <v/>
      </c>
      <c r="K24" s="28">
        <f>IF(H24=0,"",IFERROR(H24-I24-J24,0))</f>
        <v/>
      </c>
      <c r="L24" s="28">
        <f>IF(H24=0,"",IFERROR(ROUND(H24*1.3,0),0))</f>
        <v/>
      </c>
      <c r="M24" s="5" t="n"/>
      <c r="N24" s="5" t="n"/>
    </row>
    <row r="25" ht="22" customHeight="1">
      <c r="A25" s="7" t="n"/>
      <c r="B25" s="7" t="n"/>
      <c r="C25" s="7" t="n"/>
      <c r="D25" s="7" t="n"/>
      <c r="E25" s="7" t="n"/>
      <c r="F25" s="7" t="n"/>
      <c r="G25" s="7" t="n"/>
      <c r="H25" s="29">
        <f>IF(A25="",0,SUM(C25:G25))</f>
        <v/>
      </c>
      <c r="I25" s="7" t="n"/>
      <c r="J25" s="29">
        <f>IF(H25=0,"",IFERROR(ROUND(H25*0.2,0),0))</f>
        <v/>
      </c>
      <c r="K25" s="29">
        <f>IF(H25=0,"",IFERROR(H25-I25-J25,0))</f>
        <v/>
      </c>
      <c r="L25" s="29">
        <f>IF(H25=0,"",IFERROR(ROUND(H25*1.3,0),0))</f>
        <v/>
      </c>
      <c r="M25" s="7" t="n"/>
      <c r="N25" s="7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28">
        <f>IF(A26="",0,SUM(C26:G26))</f>
        <v/>
      </c>
      <c r="I26" s="5" t="n"/>
      <c r="J26" s="28">
        <f>IF(H26=0,"",IFERROR(ROUND(H26*0.2,0),0))</f>
        <v/>
      </c>
      <c r="K26" s="28">
        <f>IF(H26=0,"",IFERROR(H26-I26-J26,0))</f>
        <v/>
      </c>
      <c r="L26" s="28">
        <f>IF(H26=0,"",IFERROR(ROUND(H26*1.3,0),0))</f>
        <v/>
      </c>
      <c r="M26" s="5" t="n"/>
      <c r="N26" s="5" t="n"/>
    </row>
    <row r="27" ht="22" customHeight="1">
      <c r="A27" s="7" t="n"/>
      <c r="B27" s="7" t="n"/>
      <c r="C27" s="7" t="n"/>
      <c r="D27" s="7" t="n"/>
      <c r="E27" s="7" t="n"/>
      <c r="F27" s="7" t="n"/>
      <c r="G27" s="7" t="n"/>
      <c r="H27" s="29">
        <f>IF(A27="",0,SUM(C27:G27))</f>
        <v/>
      </c>
      <c r="I27" s="7" t="n"/>
      <c r="J27" s="29">
        <f>IF(H27=0,"",IFERROR(ROUND(H27*0.2,0),0))</f>
        <v/>
      </c>
      <c r="K27" s="29">
        <f>IF(H27=0,"",IFERROR(H27-I27-J27,0))</f>
        <v/>
      </c>
      <c r="L27" s="29">
        <f>IF(H27=0,"",IFERROR(ROUND(H27*1.3,0),0))</f>
        <v/>
      </c>
      <c r="M27" s="7" t="n"/>
      <c r="N27" s="7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28">
        <f>IF(A28="",0,SUM(C28:G28))</f>
        <v/>
      </c>
      <c r="I28" s="5" t="n"/>
      <c r="J28" s="28">
        <f>IF(H28=0,"",IFERROR(ROUND(H28*0.2,0),0))</f>
        <v/>
      </c>
      <c r="K28" s="28">
        <f>IF(H28=0,"",IFERROR(H28-I28-J28,0))</f>
        <v/>
      </c>
      <c r="L28" s="28">
        <f>IF(H28=0,"",IFERROR(ROUND(H28*1.3,0),0))</f>
        <v/>
      </c>
      <c r="M28" s="5" t="n"/>
      <c r="N28" s="5" t="n"/>
    </row>
    <row r="29" ht="22" customHeight="1">
      <c r="A29" s="7" t="n"/>
      <c r="B29" s="7" t="n"/>
      <c r="C29" s="7" t="n"/>
      <c r="D29" s="7" t="n"/>
      <c r="E29" s="7" t="n"/>
      <c r="F29" s="7" t="n"/>
      <c r="G29" s="7" t="n"/>
      <c r="H29" s="29">
        <f>IF(A29="",0,SUM(C29:G29))</f>
        <v/>
      </c>
      <c r="I29" s="7" t="n"/>
      <c r="J29" s="29">
        <f>IF(H29=0,"",IFERROR(ROUND(H29*0.2,0),0))</f>
        <v/>
      </c>
      <c r="K29" s="29">
        <f>IF(H29=0,"",IFERROR(H29-I29-J29,0))</f>
        <v/>
      </c>
      <c r="L29" s="29">
        <f>IF(H29=0,"",IFERROR(ROUND(H29*1.3,0),0))</f>
        <v/>
      </c>
      <c r="M29" s="7" t="n"/>
      <c r="N29" s="7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28">
        <f>IF(A30="",0,SUM(C30:G30))</f>
        <v/>
      </c>
      <c r="I30" s="5" t="n"/>
      <c r="J30" s="28">
        <f>IF(H30=0,"",IFERROR(ROUND(H30*0.2,0),0))</f>
        <v/>
      </c>
      <c r="K30" s="28">
        <f>IF(H30=0,"",IFERROR(H30-I30-J30,0))</f>
        <v/>
      </c>
      <c r="L30" s="28">
        <f>IF(H30=0,"",IFERROR(ROUND(H30*1.3,0),0))</f>
        <v/>
      </c>
      <c r="M30" s="5" t="n"/>
      <c r="N30" s="5" t="n"/>
    </row>
    <row r="31" ht="22" customHeight="1">
      <c r="A31" s="7" t="n"/>
      <c r="B31" s="7" t="n"/>
      <c r="C31" s="7" t="n"/>
      <c r="D31" s="7" t="n"/>
      <c r="E31" s="7" t="n"/>
      <c r="F31" s="7" t="n"/>
      <c r="G31" s="7" t="n"/>
      <c r="H31" s="29">
        <f>IF(A31="",0,SUM(C31:G31))</f>
        <v/>
      </c>
      <c r="I31" s="7" t="n"/>
      <c r="J31" s="29">
        <f>IF(H31=0,"",IFERROR(ROUND(H31*0.2,0),0))</f>
        <v/>
      </c>
      <c r="K31" s="29">
        <f>IF(H31=0,"",IFERROR(H31-I31-J31,0))</f>
        <v/>
      </c>
      <c r="L31" s="29">
        <f>IF(H31=0,"",IFERROR(ROUND(H31*1.3,0),0))</f>
        <v/>
      </c>
      <c r="M31" s="7" t="n"/>
      <c r="N31" s="7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28">
        <f>IF(A32="",0,SUM(C32:G32))</f>
        <v/>
      </c>
      <c r="I32" s="5" t="n"/>
      <c r="J32" s="28">
        <f>IF(H32=0,"",IFERROR(ROUND(H32*0.2,0),0))</f>
        <v/>
      </c>
      <c r="K32" s="28">
        <f>IF(H32=0,"",IFERROR(H32-I32-J32,0))</f>
        <v/>
      </c>
      <c r="L32" s="28">
        <f>IF(H32=0,"",IFERROR(ROUND(H32*1.3,0),0))</f>
        <v/>
      </c>
      <c r="M32" s="5" t="n"/>
      <c r="N32" s="5" t="n"/>
    </row>
    <row r="33" ht="22" customHeight="1">
      <c r="A33" s="7" t="n"/>
      <c r="B33" s="7" t="n"/>
      <c r="C33" s="7" t="n"/>
      <c r="D33" s="7" t="n"/>
      <c r="E33" s="7" t="n"/>
      <c r="F33" s="7" t="n"/>
      <c r="G33" s="7" t="n"/>
      <c r="H33" s="29">
        <f>IF(A33="",0,SUM(C33:G33))</f>
        <v/>
      </c>
      <c r="I33" s="7" t="n"/>
      <c r="J33" s="29">
        <f>IF(H33=0,"",IFERROR(ROUND(H33*0.2,0),0))</f>
        <v/>
      </c>
      <c r="K33" s="29">
        <f>IF(H33=0,"",IFERROR(H33-I33-J33,0))</f>
        <v/>
      </c>
      <c r="L33" s="29">
        <f>IF(H33=0,"",IFERROR(ROUND(H33*1.3,0),0))</f>
        <v/>
      </c>
      <c r="M33" s="7" t="n"/>
      <c r="N33" s="7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28">
        <f>IF(A34="",0,SUM(C34:G34))</f>
        <v/>
      </c>
      <c r="I34" s="5" t="n"/>
      <c r="J34" s="28">
        <f>IF(H34=0,"",IFERROR(ROUND(H34*0.2,0),0))</f>
        <v/>
      </c>
      <c r="K34" s="28">
        <f>IF(H34=0,"",IFERROR(H34-I34-J34,0))</f>
        <v/>
      </c>
      <c r="L34" s="28">
        <f>IF(H34=0,"",IFERROR(ROUND(H34*1.3,0),0))</f>
        <v/>
      </c>
      <c r="M34" s="5" t="n"/>
      <c r="N34" s="5" t="n"/>
    </row>
    <row r="35" ht="22" customHeight="1">
      <c r="A35" s="7" t="n"/>
      <c r="B35" s="7" t="n"/>
      <c r="C35" s="7" t="n"/>
      <c r="D35" s="7" t="n"/>
      <c r="E35" s="7" t="n"/>
      <c r="F35" s="7" t="n"/>
      <c r="G35" s="7" t="n"/>
      <c r="H35" s="29">
        <f>IF(A35="",0,SUM(C35:G35))</f>
        <v/>
      </c>
      <c r="I35" s="7" t="n"/>
      <c r="J35" s="29">
        <f>IF(H35=0,"",IFERROR(ROUND(H35*0.2,0),0))</f>
        <v/>
      </c>
      <c r="K35" s="29">
        <f>IF(H35=0,"",IFERROR(H35-I35-J35,0))</f>
        <v/>
      </c>
      <c r="L35" s="29">
        <f>IF(H35=0,"",IFERROR(ROUND(H35*1.3,0),0))</f>
        <v/>
      </c>
      <c r="M35" s="7" t="n"/>
      <c r="N35" s="7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28">
        <f>IF(A36="",0,SUM(C36:G36))</f>
        <v/>
      </c>
      <c r="I36" s="5" t="n"/>
      <c r="J36" s="28">
        <f>IF(H36=0,"",IFERROR(ROUND(H36*0.2,0),0))</f>
        <v/>
      </c>
      <c r="K36" s="28">
        <f>IF(H36=0,"",IFERROR(H36-I36-J36,0))</f>
        <v/>
      </c>
      <c r="L36" s="28">
        <f>IF(H36=0,"",IFERROR(ROUND(H36*1.3,0),0))</f>
        <v/>
      </c>
      <c r="M36" s="5" t="n"/>
      <c r="N36" s="5" t="n"/>
    </row>
    <row r="37" ht="22" customHeight="1">
      <c r="A37" s="7" t="n"/>
      <c r="B37" s="7" t="n"/>
      <c r="C37" s="7" t="n"/>
      <c r="D37" s="7" t="n"/>
      <c r="E37" s="7" t="n"/>
      <c r="F37" s="7" t="n"/>
      <c r="G37" s="7" t="n"/>
      <c r="H37" s="29">
        <f>IF(A37="",0,SUM(C37:G37))</f>
        <v/>
      </c>
      <c r="I37" s="7" t="n"/>
      <c r="J37" s="29">
        <f>IF(H37=0,"",IFERROR(ROUND(H37*0.2,0),0))</f>
        <v/>
      </c>
      <c r="K37" s="29">
        <f>IF(H37=0,"",IFERROR(H37-I37-J37,0))</f>
        <v/>
      </c>
      <c r="L37" s="29">
        <f>IF(H37=0,"",IFERROR(ROUND(H37*1.3,0),0))</f>
        <v/>
      </c>
      <c r="M37" s="7" t="n"/>
      <c r="N37" s="7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28">
        <f>IF(A38="",0,SUM(C38:G38))</f>
        <v/>
      </c>
      <c r="I38" s="5" t="n"/>
      <c r="J38" s="28">
        <f>IF(H38=0,"",IFERROR(ROUND(H38*0.2,0),0))</f>
        <v/>
      </c>
      <c r="K38" s="28">
        <f>IF(H38=0,"",IFERROR(H38-I38-J38,0))</f>
        <v/>
      </c>
      <c r="L38" s="28">
        <f>IF(H38=0,"",IFERROR(ROUND(H38*1.3,0),0))</f>
        <v/>
      </c>
      <c r="M38" s="5" t="n"/>
      <c r="N38" s="5" t="n"/>
    </row>
    <row r="39" ht="22" customHeight="1">
      <c r="A39" s="7" t="n"/>
      <c r="B39" s="7" t="n"/>
      <c r="C39" s="7" t="n"/>
      <c r="D39" s="7" t="n"/>
      <c r="E39" s="7" t="n"/>
      <c r="F39" s="7" t="n"/>
      <c r="G39" s="7" t="n"/>
      <c r="H39" s="29">
        <f>IF(A39="",0,SUM(C39:G39))</f>
        <v/>
      </c>
      <c r="I39" s="7" t="n"/>
      <c r="J39" s="29">
        <f>IF(H39=0,"",IFERROR(ROUND(H39*0.2,0),0))</f>
        <v/>
      </c>
      <c r="K39" s="29">
        <f>IF(H39=0,"",IFERROR(H39-I39-J39,0))</f>
        <v/>
      </c>
      <c r="L39" s="29">
        <f>IF(H39=0,"",IFERROR(ROUND(H39*1.3,0),0))</f>
        <v/>
      </c>
      <c r="M39" s="7" t="n"/>
      <c r="N39" s="7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28">
        <f>IF(A40="",0,SUM(C40:G40))</f>
        <v/>
      </c>
      <c r="I40" s="5" t="n"/>
      <c r="J40" s="28">
        <f>IF(H40=0,"",IFERROR(ROUND(H40*0.2,0),0))</f>
        <v/>
      </c>
      <c r="K40" s="28">
        <f>IF(H40=0,"",IFERROR(H40-I40-J40,0))</f>
        <v/>
      </c>
      <c r="L40" s="28">
        <f>IF(H40=0,"",IFERROR(ROUND(H40*1.3,0),0))</f>
        <v/>
      </c>
      <c r="M40" s="5" t="n"/>
      <c r="N40" s="5" t="n"/>
    </row>
    <row r="41" ht="22" customHeight="1">
      <c r="A41" s="7" t="n"/>
      <c r="B41" s="7" t="n"/>
      <c r="C41" s="7" t="n"/>
      <c r="D41" s="7" t="n"/>
      <c r="E41" s="7" t="n"/>
      <c r="F41" s="7" t="n"/>
      <c r="G41" s="7" t="n"/>
      <c r="H41" s="29">
        <f>IF(A41="",0,SUM(C41:G41))</f>
        <v/>
      </c>
      <c r="I41" s="7" t="n"/>
      <c r="J41" s="29">
        <f>IF(H41=0,"",IFERROR(ROUND(H41*0.2,0),0))</f>
        <v/>
      </c>
      <c r="K41" s="29">
        <f>IF(H41=0,"",IFERROR(H41-I41-J41,0))</f>
        <v/>
      </c>
      <c r="L41" s="29">
        <f>IF(H41=0,"",IFERROR(ROUND(H41*1.3,0),0))</f>
        <v/>
      </c>
      <c r="M41" s="7" t="n"/>
      <c r="N41" s="7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28">
        <f>IF(A42="",0,SUM(C42:G42))</f>
        <v/>
      </c>
      <c r="I42" s="5" t="n"/>
      <c r="J42" s="28">
        <f>IF(H42=0,"",IFERROR(ROUND(H42*0.2,0),0))</f>
        <v/>
      </c>
      <c r="K42" s="28">
        <f>IF(H42=0,"",IFERROR(H42-I42-J42,0))</f>
        <v/>
      </c>
      <c r="L42" s="28">
        <f>IF(H42=0,"",IFERROR(ROUND(H42*1.3,0),0))</f>
        <v/>
      </c>
      <c r="M42" s="5" t="n"/>
      <c r="N42" s="5" t="n"/>
    </row>
    <row r="43" ht="22" customHeight="1">
      <c r="A43" s="7" t="n"/>
      <c r="B43" s="7" t="n"/>
      <c r="C43" s="7" t="n"/>
      <c r="D43" s="7" t="n"/>
      <c r="E43" s="7" t="n"/>
      <c r="F43" s="7" t="n"/>
      <c r="G43" s="7" t="n"/>
      <c r="H43" s="29">
        <f>IF(A43="",0,SUM(C43:G43))</f>
        <v/>
      </c>
      <c r="I43" s="7" t="n"/>
      <c r="J43" s="29">
        <f>IF(H43=0,"",IFERROR(ROUND(H43*0.2,0),0))</f>
        <v/>
      </c>
      <c r="K43" s="29">
        <f>IF(H43=0,"",IFERROR(H43-I43-J43,0))</f>
        <v/>
      </c>
      <c r="L43" s="29">
        <f>IF(H43=0,"",IFERROR(ROUND(H43*1.3,0),0))</f>
        <v/>
      </c>
      <c r="M43" s="7" t="n"/>
      <c r="N43" s="7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28">
        <f>IF(A44="",0,SUM(C44:G44))</f>
        <v/>
      </c>
      <c r="I44" s="5" t="n"/>
      <c r="J44" s="28">
        <f>IF(H44=0,"",IFERROR(ROUND(H44*0.2,0),0))</f>
        <v/>
      </c>
      <c r="K44" s="28">
        <f>IF(H44=0,"",IFERROR(H44-I44-J44,0))</f>
        <v/>
      </c>
      <c r="L44" s="28">
        <f>IF(H44=0,"",IFERROR(ROUND(H44*1.3,0),0))</f>
        <v/>
      </c>
      <c r="M44" s="5" t="n"/>
      <c r="N44" s="5" t="n"/>
    </row>
    <row r="45" ht="22" customHeight="1">
      <c r="A45" s="7" t="n"/>
      <c r="B45" s="7" t="n"/>
      <c r="C45" s="7" t="n"/>
      <c r="D45" s="7" t="n"/>
      <c r="E45" s="7" t="n"/>
      <c r="F45" s="7" t="n"/>
      <c r="G45" s="7" t="n"/>
      <c r="H45" s="29">
        <f>IF(A45="",0,SUM(C45:G45))</f>
        <v/>
      </c>
      <c r="I45" s="7" t="n"/>
      <c r="J45" s="29">
        <f>IF(H45=0,"",IFERROR(ROUND(H45*0.2,0),0))</f>
        <v/>
      </c>
      <c r="K45" s="29">
        <f>IF(H45=0,"",IFERROR(H45-I45-J45,0))</f>
        <v/>
      </c>
      <c r="L45" s="29">
        <f>IF(H45=0,"",IFERROR(ROUND(H45*1.3,0),0))</f>
        <v/>
      </c>
      <c r="M45" s="7" t="n"/>
      <c r="N45" s="7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28">
        <f>IF(A46="",0,SUM(C46:G46))</f>
        <v/>
      </c>
      <c r="I46" s="5" t="n"/>
      <c r="J46" s="28">
        <f>IF(H46=0,"",IFERROR(ROUND(H46*0.2,0),0))</f>
        <v/>
      </c>
      <c r="K46" s="28">
        <f>IF(H46=0,"",IFERROR(H46-I46-J46,0))</f>
        <v/>
      </c>
      <c r="L46" s="28">
        <f>IF(H46=0,"",IFERROR(ROUND(H46*1.3,0),0))</f>
        <v/>
      </c>
      <c r="M46" s="5" t="n"/>
      <c r="N46" s="5" t="n"/>
    </row>
    <row r="47" ht="22" customHeight="1">
      <c r="A47" s="7" t="n"/>
      <c r="B47" s="7" t="n"/>
      <c r="C47" s="7" t="n"/>
      <c r="D47" s="7" t="n"/>
      <c r="E47" s="7" t="n"/>
      <c r="F47" s="7" t="n"/>
      <c r="G47" s="7" t="n"/>
      <c r="H47" s="29">
        <f>IF(A47="",0,SUM(C47:G47))</f>
        <v/>
      </c>
      <c r="I47" s="7" t="n"/>
      <c r="J47" s="29">
        <f>IF(H47=0,"",IFERROR(ROUND(H47*0.2,0),0))</f>
        <v/>
      </c>
      <c r="K47" s="29">
        <f>IF(H47=0,"",IFERROR(H47-I47-J47,0))</f>
        <v/>
      </c>
      <c r="L47" s="29">
        <f>IF(H47=0,"",IFERROR(ROUND(H47*1.3,0),0))</f>
        <v/>
      </c>
      <c r="M47" s="7" t="n"/>
      <c r="N47" s="7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28">
        <f>IF(A48="",0,SUM(C48:G48))</f>
        <v/>
      </c>
      <c r="I48" s="5" t="n"/>
      <c r="J48" s="28">
        <f>IF(H48=0,"",IFERROR(ROUND(H48*0.2,0),0))</f>
        <v/>
      </c>
      <c r="K48" s="28">
        <f>IF(H48=0,"",IFERROR(H48-I48-J48,0))</f>
        <v/>
      </c>
      <c r="L48" s="28">
        <f>IF(H48=0,"",IFERROR(ROUND(H48*1.3,0),0))</f>
        <v/>
      </c>
      <c r="M48" s="5" t="n"/>
      <c r="N48" s="5" t="n"/>
    </row>
    <row r="49" ht="22" customHeight="1">
      <c r="A49" s="7" t="n"/>
      <c r="B49" s="7" t="n"/>
      <c r="C49" s="7" t="n"/>
      <c r="D49" s="7" t="n"/>
      <c r="E49" s="7" t="n"/>
      <c r="F49" s="7" t="n"/>
      <c r="G49" s="7" t="n"/>
      <c r="H49" s="29">
        <f>IF(A49="",0,SUM(C49:G49))</f>
        <v/>
      </c>
      <c r="I49" s="7" t="n"/>
      <c r="J49" s="29">
        <f>IF(H49=0,"",IFERROR(ROUND(H49*0.2,0),0))</f>
        <v/>
      </c>
      <c r="K49" s="29">
        <f>IF(H49=0,"",IFERROR(H49-I49-J49,0))</f>
        <v/>
      </c>
      <c r="L49" s="29">
        <f>IF(H49=0,"",IFERROR(ROUND(H49*1.3,0),0))</f>
        <v/>
      </c>
      <c r="M49" s="7" t="n"/>
      <c r="N49" s="7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28">
        <f>IF(A50="",0,SUM(C50:G50))</f>
        <v/>
      </c>
      <c r="I50" s="5" t="n"/>
      <c r="J50" s="28">
        <f>IF(H50=0,"",IFERROR(ROUND(H50*0.2,0),0))</f>
        <v/>
      </c>
      <c r="K50" s="28">
        <f>IF(H50=0,"",IFERROR(H50-I50-J50,0))</f>
        <v/>
      </c>
      <c r="L50" s="28">
        <f>IF(H50=0,"",IFERROR(ROUND(H50*1.3,0),0))</f>
        <v/>
      </c>
      <c r="M50" s="5" t="n"/>
      <c r="N50" s="5" t="n"/>
    </row>
    <row r="51" ht="22" customHeight="1">
      <c r="A51" s="7" t="n"/>
      <c r="B51" s="7" t="n"/>
      <c r="C51" s="7" t="n"/>
      <c r="D51" s="7" t="n"/>
      <c r="E51" s="7" t="n"/>
      <c r="F51" s="7" t="n"/>
      <c r="G51" s="7" t="n"/>
      <c r="H51" s="29">
        <f>IF(A51="",0,SUM(C51:G51))</f>
        <v/>
      </c>
      <c r="I51" s="7" t="n"/>
      <c r="J51" s="29">
        <f>IF(H51=0,"",IFERROR(ROUND(H51*0.2,0),0))</f>
        <v/>
      </c>
      <c r="K51" s="29">
        <f>IF(H51=0,"",IFERROR(H51-I51-J51,0))</f>
        <v/>
      </c>
      <c r="L51" s="29">
        <f>IF(H51=0,"",IFERROR(ROUND(H51*1.3,0),0))</f>
        <v/>
      </c>
      <c r="M51" s="7" t="n"/>
      <c r="N51" s="7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28">
        <f>IF(A52="",0,SUM(C52:G52))</f>
        <v/>
      </c>
      <c r="I52" s="5" t="n"/>
      <c r="J52" s="28">
        <f>IF(H52=0,"",IFERROR(ROUND(H52*0.2,0),0))</f>
        <v/>
      </c>
      <c r="K52" s="28">
        <f>IF(H52=0,"",IFERROR(H52-I52-J52,0))</f>
        <v/>
      </c>
      <c r="L52" s="28">
        <f>IF(H52=0,"",IFERROR(ROUND(H52*1.3,0),0))</f>
        <v/>
      </c>
      <c r="M52" s="5" t="n"/>
      <c r="N52" s="5" t="n"/>
    </row>
    <row r="53" ht="22" customHeight="1">
      <c r="A53" s="7" t="n"/>
      <c r="B53" s="7" t="n"/>
      <c r="C53" s="7" t="n"/>
      <c r="D53" s="7" t="n"/>
      <c r="E53" s="7" t="n"/>
      <c r="F53" s="7" t="n"/>
      <c r="G53" s="7" t="n"/>
      <c r="H53" s="29">
        <f>IF(A53="",0,SUM(C53:G53))</f>
        <v/>
      </c>
      <c r="I53" s="7" t="n"/>
      <c r="J53" s="29">
        <f>IF(H53=0,"",IFERROR(ROUND(H53*0.2,0),0))</f>
        <v/>
      </c>
      <c r="K53" s="29">
        <f>IF(H53=0,"",IFERROR(H53-I53-J53,0))</f>
        <v/>
      </c>
      <c r="L53" s="29">
        <f>IF(H53=0,"",IFERROR(ROUND(H53*1.3,0),0))</f>
        <v/>
      </c>
      <c r="M53" s="7" t="n"/>
      <c r="N53" s="7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28">
        <f>IF(A54="",0,SUM(C54:G54))</f>
        <v/>
      </c>
      <c r="I54" s="5" t="n"/>
      <c r="J54" s="28">
        <f>IF(H54=0,"",IFERROR(ROUND(H54*0.2,0),0))</f>
        <v/>
      </c>
      <c r="K54" s="28">
        <f>IF(H54=0,"",IFERROR(H54-I54-J54,0))</f>
        <v/>
      </c>
      <c r="L54" s="28">
        <f>IF(H54=0,"",IFERROR(ROUND(H54*1.3,0),0))</f>
        <v/>
      </c>
      <c r="M54" s="5" t="n"/>
      <c r="N54" s="5" t="n"/>
    </row>
    <row r="55" ht="22" customHeight="1">
      <c r="A55" s="7" t="n"/>
      <c r="B55" s="7" t="n"/>
      <c r="C55" s="7" t="n"/>
      <c r="D55" s="7" t="n"/>
      <c r="E55" s="7" t="n"/>
      <c r="F55" s="7" t="n"/>
      <c r="G55" s="7" t="n"/>
      <c r="H55" s="29">
        <f>IF(A55="",0,SUM(C55:G55))</f>
        <v/>
      </c>
      <c r="I55" s="7" t="n"/>
      <c r="J55" s="29">
        <f>IF(H55=0,"",IFERROR(ROUND(H55*0.2,0),0))</f>
        <v/>
      </c>
      <c r="K55" s="29">
        <f>IF(H55=0,"",IFERROR(H55-I55-J55,0))</f>
        <v/>
      </c>
      <c r="L55" s="29">
        <f>IF(H55=0,"",IFERROR(ROUND(H55*1.3,0),0))</f>
        <v/>
      </c>
      <c r="M55" s="7" t="n"/>
      <c r="N55" s="7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28">
        <f>IF(A56="",0,SUM(C56:G56))</f>
        <v/>
      </c>
      <c r="I56" s="5" t="n"/>
      <c r="J56" s="28">
        <f>IF(H56=0,"",IFERROR(ROUND(H56*0.2,0),0))</f>
        <v/>
      </c>
      <c r="K56" s="28">
        <f>IF(H56=0,"",IFERROR(H56-I56-J56,0))</f>
        <v/>
      </c>
      <c r="L56" s="28">
        <f>IF(H56=0,"",IFERROR(ROUND(H56*1.3,0),0))</f>
        <v/>
      </c>
      <c r="M56" s="5" t="n"/>
      <c r="N56" s="5" t="n"/>
    </row>
    <row r="57" ht="22" customHeight="1">
      <c r="A57" s="7" t="n"/>
      <c r="B57" s="7" t="n"/>
      <c r="C57" s="7" t="n"/>
      <c r="D57" s="7" t="n"/>
      <c r="E57" s="7" t="n"/>
      <c r="F57" s="7" t="n"/>
      <c r="G57" s="7" t="n"/>
      <c r="H57" s="29">
        <f>IF(A57="",0,SUM(C57:G57))</f>
        <v/>
      </c>
      <c r="I57" s="7" t="n"/>
      <c r="J57" s="29">
        <f>IF(H57=0,"",IFERROR(ROUND(H57*0.2,0),0))</f>
        <v/>
      </c>
      <c r="K57" s="29">
        <f>IF(H57=0,"",IFERROR(H57-I57-J57,0))</f>
        <v/>
      </c>
      <c r="L57" s="29">
        <f>IF(H57=0,"",IFERROR(ROUND(H57*1.3,0),0))</f>
        <v/>
      </c>
      <c r="M57" s="7" t="n"/>
      <c r="N57" s="7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28">
        <f>IF(A58="",0,SUM(C58:G58))</f>
        <v/>
      </c>
      <c r="I58" s="5" t="n"/>
      <c r="J58" s="28">
        <f>IF(H58=0,"",IFERROR(ROUND(H58*0.2,0),0))</f>
        <v/>
      </c>
      <c r="K58" s="28">
        <f>IF(H58=0,"",IFERROR(H58-I58-J58,0))</f>
        <v/>
      </c>
      <c r="L58" s="28">
        <f>IF(H58=0,"",IFERROR(ROUND(H58*1.3,0),0))</f>
        <v/>
      </c>
      <c r="M58" s="5" t="n"/>
      <c r="N58" s="5" t="n"/>
    </row>
    <row r="59" ht="22" customHeight="1">
      <c r="A59" s="7" t="n"/>
      <c r="B59" s="7" t="n"/>
      <c r="C59" s="7" t="n"/>
      <c r="D59" s="7" t="n"/>
      <c r="E59" s="7" t="n"/>
      <c r="F59" s="7" t="n"/>
      <c r="G59" s="7" t="n"/>
      <c r="H59" s="29">
        <f>IF(A59="",0,SUM(C59:G59))</f>
        <v/>
      </c>
      <c r="I59" s="7" t="n"/>
      <c r="J59" s="29">
        <f>IF(H59=0,"",IFERROR(ROUND(H59*0.2,0),0))</f>
        <v/>
      </c>
      <c r="K59" s="29">
        <f>IF(H59=0,"",IFERROR(H59-I59-J59,0))</f>
        <v/>
      </c>
      <c r="L59" s="29">
        <f>IF(H59=0,"",IFERROR(ROUND(H59*1.3,0),0))</f>
        <v/>
      </c>
      <c r="M59" s="7" t="n"/>
      <c r="N59" s="7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28">
        <f>IF(A60="",0,SUM(C60:G60))</f>
        <v/>
      </c>
      <c r="I60" s="5" t="n"/>
      <c r="J60" s="28">
        <f>IF(H60=0,"",IFERROR(ROUND(H60*0.2,0),0))</f>
        <v/>
      </c>
      <c r="K60" s="28">
        <f>IF(H60=0,"",IFERROR(H60-I60-J60,0))</f>
        <v/>
      </c>
      <c r="L60" s="28">
        <f>IF(H60=0,"",IFERROR(ROUND(H60*1.3,0),0))</f>
        <v/>
      </c>
      <c r="M60" s="5" t="n"/>
      <c r="N60" s="5" t="n"/>
    </row>
    <row r="61" ht="22" customHeight="1">
      <c r="A61" s="7" t="n"/>
      <c r="B61" s="7" t="n"/>
      <c r="C61" s="7" t="n"/>
      <c r="D61" s="7" t="n"/>
      <c r="E61" s="7" t="n"/>
      <c r="F61" s="7" t="n"/>
      <c r="G61" s="7" t="n"/>
      <c r="H61" s="29">
        <f>IF(A61="",0,SUM(C61:G61))</f>
        <v/>
      </c>
      <c r="I61" s="7" t="n"/>
      <c r="J61" s="29">
        <f>IF(H61=0,"",IFERROR(ROUND(H61*0.2,0),0))</f>
        <v/>
      </c>
      <c r="K61" s="29">
        <f>IF(H61=0,"",IFERROR(H61-I61-J61,0))</f>
        <v/>
      </c>
      <c r="L61" s="29">
        <f>IF(H61=0,"",IFERROR(ROUND(H61*1.3,0),0))</f>
        <v/>
      </c>
      <c r="M61" s="7" t="n"/>
      <c r="N61" s="7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28">
        <f>IF(A62="",0,SUM(C62:G62))</f>
        <v/>
      </c>
      <c r="I62" s="5" t="n"/>
      <c r="J62" s="28">
        <f>IF(H62=0,"",IFERROR(ROUND(H62*0.2,0),0))</f>
        <v/>
      </c>
      <c r="K62" s="28">
        <f>IF(H62=0,"",IFERROR(H62-I62-J62,0))</f>
        <v/>
      </c>
      <c r="L62" s="28">
        <f>IF(H62=0,"",IFERROR(ROUND(H62*1.3,0),0))</f>
        <v/>
      </c>
      <c r="M62" s="5" t="n"/>
      <c r="N62" s="5" t="n"/>
    </row>
    <row r="63" ht="22" customHeight="1">
      <c r="A63" s="7" t="n"/>
      <c r="B63" s="7" t="n"/>
      <c r="C63" s="7" t="n"/>
      <c r="D63" s="7" t="n"/>
      <c r="E63" s="7" t="n"/>
      <c r="F63" s="7" t="n"/>
      <c r="G63" s="7" t="n"/>
      <c r="H63" s="29">
        <f>IF(A63="",0,SUM(C63:G63))</f>
        <v/>
      </c>
      <c r="I63" s="7" t="n"/>
      <c r="J63" s="29">
        <f>IF(H63=0,"",IFERROR(ROUND(H63*0.2,0),0))</f>
        <v/>
      </c>
      <c r="K63" s="29">
        <f>IF(H63=0,"",IFERROR(H63-I63-J63,0))</f>
        <v/>
      </c>
      <c r="L63" s="29">
        <f>IF(H63=0,"",IFERROR(ROUND(H63*1.3,0),0))</f>
        <v/>
      </c>
      <c r="M63" s="7" t="n"/>
      <c r="N63" s="7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28">
        <f>IF(A64="",0,SUM(C64:G64))</f>
        <v/>
      </c>
      <c r="I64" s="5" t="n"/>
      <c r="J64" s="28">
        <f>IF(H64=0,"",IFERROR(ROUND(H64*0.2,0),0))</f>
        <v/>
      </c>
      <c r="K64" s="28">
        <f>IF(H64=0,"",IFERROR(H64-I64-J64,0))</f>
        <v/>
      </c>
      <c r="L64" s="28">
        <f>IF(H64=0,"",IFERROR(ROUND(H64*1.3,0),0))</f>
        <v/>
      </c>
      <c r="M64" s="5" t="n"/>
      <c r="N64" s="5" t="n"/>
    </row>
    <row r="65" ht="22" customHeight="1">
      <c r="A65" s="7" t="n"/>
      <c r="B65" s="7" t="n"/>
      <c r="C65" s="7" t="n"/>
      <c r="D65" s="7" t="n"/>
      <c r="E65" s="7" t="n"/>
      <c r="F65" s="7" t="n"/>
      <c r="G65" s="7" t="n"/>
      <c r="H65" s="29">
        <f>IF(A65="",0,SUM(C65:G65))</f>
        <v/>
      </c>
      <c r="I65" s="7" t="n"/>
      <c r="J65" s="29">
        <f>IF(H65=0,"",IFERROR(ROUND(H65*0.2,0),0))</f>
        <v/>
      </c>
      <c r="K65" s="29">
        <f>IF(H65=0,"",IFERROR(H65-I65-J65,0))</f>
        <v/>
      </c>
      <c r="L65" s="29">
        <f>IF(H65=0,"",IFERROR(ROUND(H65*1.3,0),0))</f>
        <v/>
      </c>
      <c r="M65" s="7" t="n"/>
      <c r="N65" s="7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28">
        <f>IF(A66="",0,SUM(C66:G66))</f>
        <v/>
      </c>
      <c r="I66" s="5" t="n"/>
      <c r="J66" s="28">
        <f>IF(H66=0,"",IFERROR(ROUND(H66*0.2,0),0))</f>
        <v/>
      </c>
      <c r="K66" s="28">
        <f>IF(H66=0,"",IFERROR(H66-I66-J66,0))</f>
        <v/>
      </c>
      <c r="L66" s="28">
        <f>IF(H66=0,"",IFERROR(ROUND(H66*1.3,0),0))</f>
        <v/>
      </c>
      <c r="M66" s="5" t="n"/>
      <c r="N66" s="5" t="n"/>
    </row>
    <row r="67" ht="22" customHeight="1">
      <c r="A67" s="7" t="n"/>
      <c r="B67" s="7" t="n"/>
      <c r="C67" s="7" t="n"/>
      <c r="D67" s="7" t="n"/>
      <c r="E67" s="7" t="n"/>
      <c r="F67" s="7" t="n"/>
      <c r="G67" s="7" t="n"/>
      <c r="H67" s="29">
        <f>IF(A67="",0,SUM(C67:G67))</f>
        <v/>
      </c>
      <c r="I67" s="7" t="n"/>
      <c r="J67" s="29">
        <f>IF(H67=0,"",IFERROR(ROUND(H67*0.2,0),0))</f>
        <v/>
      </c>
      <c r="K67" s="29">
        <f>IF(H67=0,"",IFERROR(H67-I67-J67,0))</f>
        <v/>
      </c>
      <c r="L67" s="29">
        <f>IF(H67=0,"",IFERROR(ROUND(H67*1.3,0),0))</f>
        <v/>
      </c>
      <c r="M67" s="7" t="n"/>
      <c r="N67" s="7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28">
        <f>IF(A68="",0,SUM(C68:G68))</f>
        <v/>
      </c>
      <c r="I68" s="5" t="n"/>
      <c r="J68" s="28">
        <f>IF(H68=0,"",IFERROR(ROUND(H68*0.2,0),0))</f>
        <v/>
      </c>
      <c r="K68" s="28">
        <f>IF(H68=0,"",IFERROR(H68-I68-J68,0))</f>
        <v/>
      </c>
      <c r="L68" s="28">
        <f>IF(H68=0,"",IFERROR(ROUND(H68*1.3,0),0))</f>
        <v/>
      </c>
      <c r="M68" s="5" t="n"/>
      <c r="N68" s="5" t="n"/>
    </row>
    <row r="69" ht="22" customHeight="1">
      <c r="A69" s="7" t="n"/>
      <c r="B69" s="7" t="n"/>
      <c r="C69" s="7" t="n"/>
      <c r="D69" s="7" t="n"/>
      <c r="E69" s="7" t="n"/>
      <c r="F69" s="7" t="n"/>
      <c r="G69" s="7" t="n"/>
      <c r="H69" s="29">
        <f>IF(A69="",0,SUM(C69:G69))</f>
        <v/>
      </c>
      <c r="I69" s="7" t="n"/>
      <c r="J69" s="29">
        <f>IF(H69=0,"",IFERROR(ROUND(H69*0.2,0),0))</f>
        <v/>
      </c>
      <c r="K69" s="29">
        <f>IF(H69=0,"",IFERROR(H69-I69-J69,0))</f>
        <v/>
      </c>
      <c r="L69" s="29">
        <f>IF(H69=0,"",IFERROR(ROUND(H69*1.3,0),0))</f>
        <v/>
      </c>
      <c r="M69" s="7" t="n"/>
      <c r="N69" s="7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28">
        <f>IF(A70="",0,SUM(C70:G70))</f>
        <v/>
      </c>
      <c r="I70" s="5" t="n"/>
      <c r="J70" s="28">
        <f>IF(H70=0,"",IFERROR(ROUND(H70*0.2,0),0))</f>
        <v/>
      </c>
      <c r="K70" s="28">
        <f>IF(H70=0,"",IFERROR(H70-I70-J70,0))</f>
        <v/>
      </c>
      <c r="L70" s="28">
        <f>IF(H70=0,"",IFERROR(ROUND(H70*1.3,0),0))</f>
        <v/>
      </c>
      <c r="M70" s="5" t="n"/>
      <c r="N70" s="5" t="n"/>
    </row>
    <row r="71" ht="22" customHeight="1">
      <c r="A71" s="7" t="n"/>
      <c r="B71" s="7" t="n"/>
      <c r="C71" s="7" t="n"/>
      <c r="D71" s="7" t="n"/>
      <c r="E71" s="7" t="n"/>
      <c r="F71" s="7" t="n"/>
      <c r="G71" s="7" t="n"/>
      <c r="H71" s="29">
        <f>IF(A71="",0,SUM(C71:G71))</f>
        <v/>
      </c>
      <c r="I71" s="7" t="n"/>
      <c r="J71" s="29">
        <f>IF(H71=0,"",IFERROR(ROUND(H71*0.2,0),0))</f>
        <v/>
      </c>
      <c r="K71" s="29">
        <f>IF(H71=0,"",IFERROR(H71-I71-J71,0))</f>
        <v/>
      </c>
      <c r="L71" s="29">
        <f>IF(H71=0,"",IFERROR(ROUND(H71*1.3,0),0))</f>
        <v/>
      </c>
      <c r="M71" s="7" t="n"/>
      <c r="N71" s="7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28">
        <f>IF(A72="",0,SUM(C72:G72))</f>
        <v/>
      </c>
      <c r="I72" s="5" t="n"/>
      <c r="J72" s="28">
        <f>IF(H72=0,"",IFERROR(ROUND(H72*0.2,0),0))</f>
        <v/>
      </c>
      <c r="K72" s="28">
        <f>IF(H72=0,"",IFERROR(H72-I72-J72,0))</f>
        <v/>
      </c>
      <c r="L72" s="28">
        <f>IF(H72=0,"",IFERROR(ROUND(H72*1.3,0),0))</f>
        <v/>
      </c>
      <c r="M72" s="5" t="n"/>
      <c r="N72" s="5" t="n"/>
    </row>
    <row r="73" ht="22" customHeight="1">
      <c r="A73" s="7" t="n"/>
      <c r="B73" s="7" t="n"/>
      <c r="C73" s="7" t="n"/>
      <c r="D73" s="7" t="n"/>
      <c r="E73" s="7" t="n"/>
      <c r="F73" s="7" t="n"/>
      <c r="G73" s="7" t="n"/>
      <c r="H73" s="29">
        <f>IF(A73="",0,SUM(C73:G73))</f>
        <v/>
      </c>
      <c r="I73" s="7" t="n"/>
      <c r="J73" s="29">
        <f>IF(H73=0,"",IFERROR(ROUND(H73*0.2,0),0))</f>
        <v/>
      </c>
      <c r="K73" s="29">
        <f>IF(H73=0,"",IFERROR(H73-I73-J73,0))</f>
        <v/>
      </c>
      <c r="L73" s="29">
        <f>IF(H73=0,"",IFERROR(ROUND(H73*1.3,0),0))</f>
        <v/>
      </c>
      <c r="M73" s="7" t="n"/>
      <c r="N73" s="7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28">
        <f>IF(A74="",0,SUM(C74:G74))</f>
        <v/>
      </c>
      <c r="I74" s="5" t="n"/>
      <c r="J74" s="28">
        <f>IF(H74=0,"",IFERROR(ROUND(H74*0.2,0),0))</f>
        <v/>
      </c>
      <c r="K74" s="28">
        <f>IF(H74=0,"",IFERROR(H74-I74-J74,0))</f>
        <v/>
      </c>
      <c r="L74" s="28">
        <f>IF(H74=0,"",IFERROR(ROUND(H74*1.3,0),0))</f>
        <v/>
      </c>
      <c r="M74" s="5" t="n"/>
      <c r="N74" s="5" t="n"/>
    </row>
    <row r="75" ht="22" customHeight="1">
      <c r="A75" s="7" t="n"/>
      <c r="B75" s="7" t="n"/>
      <c r="C75" s="7" t="n"/>
      <c r="D75" s="7" t="n"/>
      <c r="E75" s="7" t="n"/>
      <c r="F75" s="7" t="n"/>
      <c r="G75" s="7" t="n"/>
      <c r="H75" s="29">
        <f>IF(A75="",0,SUM(C75:G75))</f>
        <v/>
      </c>
      <c r="I75" s="7" t="n"/>
      <c r="J75" s="29">
        <f>IF(H75=0,"",IFERROR(ROUND(H75*0.2,0),0))</f>
        <v/>
      </c>
      <c r="K75" s="29">
        <f>IF(H75=0,"",IFERROR(H75-I75-J75,0))</f>
        <v/>
      </c>
      <c r="L75" s="29">
        <f>IF(H75=0,"",IFERROR(ROUND(H75*1.3,0),0))</f>
        <v/>
      </c>
      <c r="M75" s="7" t="n"/>
      <c r="N75" s="7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28">
        <f>IF(A76="",0,SUM(C76:G76))</f>
        <v/>
      </c>
      <c r="I76" s="5" t="n"/>
      <c r="J76" s="28">
        <f>IF(H76=0,"",IFERROR(ROUND(H76*0.2,0),0))</f>
        <v/>
      </c>
      <c r="K76" s="28">
        <f>IF(H76=0,"",IFERROR(H76-I76-J76,0))</f>
        <v/>
      </c>
      <c r="L76" s="28">
        <f>IF(H76=0,"",IFERROR(ROUND(H76*1.3,0),0))</f>
        <v/>
      </c>
      <c r="M76" s="5" t="n"/>
      <c r="N76" s="5" t="n"/>
    </row>
    <row r="77" ht="22" customHeight="1">
      <c r="A77" s="7" t="n"/>
      <c r="B77" s="7" t="n"/>
      <c r="C77" s="7" t="n"/>
      <c r="D77" s="7" t="n"/>
      <c r="E77" s="7" t="n"/>
      <c r="F77" s="7" t="n"/>
      <c r="G77" s="7" t="n"/>
      <c r="H77" s="29">
        <f>IF(A77="",0,SUM(C77:G77))</f>
        <v/>
      </c>
      <c r="I77" s="7" t="n"/>
      <c r="J77" s="29">
        <f>IF(H77=0,"",IFERROR(ROUND(H77*0.2,0),0))</f>
        <v/>
      </c>
      <c r="K77" s="29">
        <f>IF(H77=0,"",IFERROR(H77-I77-J77,0))</f>
        <v/>
      </c>
      <c r="L77" s="29">
        <f>IF(H77=0,"",IFERROR(ROUND(H77*1.3,0),0))</f>
        <v/>
      </c>
      <c r="M77" s="7" t="n"/>
      <c r="N77" s="7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28">
        <f>IF(A78="",0,SUM(C78:G78))</f>
        <v/>
      </c>
      <c r="I78" s="5" t="n"/>
      <c r="J78" s="28">
        <f>IF(H78=0,"",IFERROR(ROUND(H78*0.2,0),0))</f>
        <v/>
      </c>
      <c r="K78" s="28">
        <f>IF(H78=0,"",IFERROR(H78-I78-J78,0))</f>
        <v/>
      </c>
      <c r="L78" s="28">
        <f>IF(H78=0,"",IFERROR(ROUND(H78*1.3,0),0))</f>
        <v/>
      </c>
      <c r="M78" s="5" t="n"/>
      <c r="N78" s="5" t="n"/>
    </row>
    <row r="79" ht="22" customHeight="1">
      <c r="A79" s="7" t="n"/>
      <c r="B79" s="7" t="n"/>
      <c r="C79" s="7" t="n"/>
      <c r="D79" s="7" t="n"/>
      <c r="E79" s="7" t="n"/>
      <c r="F79" s="7" t="n"/>
      <c r="G79" s="7" t="n"/>
      <c r="H79" s="29">
        <f>IF(A79="",0,SUM(C79:G79))</f>
        <v/>
      </c>
      <c r="I79" s="7" t="n"/>
      <c r="J79" s="29">
        <f>IF(H79=0,"",IFERROR(ROUND(H79*0.2,0),0))</f>
        <v/>
      </c>
      <c r="K79" s="29">
        <f>IF(H79=0,"",IFERROR(H79-I79-J79,0))</f>
        <v/>
      </c>
      <c r="L79" s="29">
        <f>IF(H79=0,"",IFERROR(ROUND(H79*1.3,0),0))</f>
        <v/>
      </c>
      <c r="M79" s="7" t="n"/>
      <c r="N79" s="7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28">
        <f>IF(A80="",0,SUM(C80:G80))</f>
        <v/>
      </c>
      <c r="I80" s="5" t="n"/>
      <c r="J80" s="28">
        <f>IF(H80=0,"",IFERROR(ROUND(H80*0.2,0),0))</f>
        <v/>
      </c>
      <c r="K80" s="28">
        <f>IF(H80=0,"",IFERROR(H80-I80-J80,0))</f>
        <v/>
      </c>
      <c r="L80" s="28">
        <f>IF(H80=0,"",IFERROR(ROUND(H80*1.3,0),0))</f>
        <v/>
      </c>
      <c r="M80" s="5" t="n"/>
      <c r="N80" s="5" t="n"/>
    </row>
    <row r="81" ht="22" customHeight="1">
      <c r="A81" s="7" t="n"/>
      <c r="B81" s="7" t="n"/>
      <c r="C81" s="7" t="n"/>
      <c r="D81" s="7" t="n"/>
      <c r="E81" s="7" t="n"/>
      <c r="F81" s="7" t="n"/>
      <c r="G81" s="7" t="n"/>
      <c r="H81" s="29">
        <f>IF(A81="",0,SUM(C81:G81))</f>
        <v/>
      </c>
      <c r="I81" s="7" t="n"/>
      <c r="J81" s="29">
        <f>IF(H81=0,"",IFERROR(ROUND(H81*0.2,0),0))</f>
        <v/>
      </c>
      <c r="K81" s="29">
        <f>IF(H81=0,"",IFERROR(H81-I81-J81,0))</f>
        <v/>
      </c>
      <c r="L81" s="29">
        <f>IF(H81=0,"",IFERROR(ROUND(H81*1.3,0),0))</f>
        <v/>
      </c>
      <c r="M81" s="7" t="n"/>
      <c r="N81" s="7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28">
        <f>IF(A82="",0,SUM(C82:G82))</f>
        <v/>
      </c>
      <c r="I82" s="5" t="n"/>
      <c r="J82" s="28">
        <f>IF(H82=0,"",IFERROR(ROUND(H82*0.2,0),0))</f>
        <v/>
      </c>
      <c r="K82" s="28">
        <f>IF(H82=0,"",IFERROR(H82-I82-J82,0))</f>
        <v/>
      </c>
      <c r="L82" s="28">
        <f>IF(H82=0,"",IFERROR(ROUND(H82*1.3,0),0))</f>
        <v/>
      </c>
      <c r="M82" s="5" t="n"/>
      <c r="N82" s="5" t="n"/>
    </row>
    <row r="83" ht="22" customHeight="1">
      <c r="A83" s="7" t="n"/>
      <c r="B83" s="7" t="n"/>
      <c r="C83" s="7" t="n"/>
      <c r="D83" s="7" t="n"/>
      <c r="E83" s="7" t="n"/>
      <c r="F83" s="7" t="n"/>
      <c r="G83" s="7" t="n"/>
      <c r="H83" s="29">
        <f>IF(A83="",0,SUM(C83:G83))</f>
        <v/>
      </c>
      <c r="I83" s="7" t="n"/>
      <c r="J83" s="29">
        <f>IF(H83=0,"",IFERROR(ROUND(H83*0.2,0),0))</f>
        <v/>
      </c>
      <c r="K83" s="29">
        <f>IF(H83=0,"",IFERROR(H83-I83-J83,0))</f>
        <v/>
      </c>
      <c r="L83" s="29">
        <f>IF(H83=0,"",IFERROR(ROUND(H83*1.3,0),0))</f>
        <v/>
      </c>
      <c r="M83" s="7" t="n"/>
      <c r="N83" s="7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28">
        <f>IF(A84="",0,SUM(C84:G84))</f>
        <v/>
      </c>
      <c r="I84" s="5" t="n"/>
      <c r="J84" s="28">
        <f>IF(H84=0,"",IFERROR(ROUND(H84*0.2,0),0))</f>
        <v/>
      </c>
      <c r="K84" s="28">
        <f>IF(H84=0,"",IFERROR(H84-I84-J84,0))</f>
        <v/>
      </c>
      <c r="L84" s="28">
        <f>IF(H84=0,"",IFERROR(ROUND(H84*1.3,0),0))</f>
        <v/>
      </c>
      <c r="M84" s="5" t="n"/>
      <c r="N84" s="5" t="n"/>
    </row>
    <row r="85" ht="22" customHeight="1">
      <c r="A85" s="7" t="n"/>
      <c r="B85" s="7" t="n"/>
      <c r="C85" s="7" t="n"/>
      <c r="D85" s="7" t="n"/>
      <c r="E85" s="7" t="n"/>
      <c r="F85" s="7" t="n"/>
      <c r="G85" s="7" t="n"/>
      <c r="H85" s="29">
        <f>IF(A85="",0,SUM(C85:G85))</f>
        <v/>
      </c>
      <c r="I85" s="7" t="n"/>
      <c r="J85" s="29">
        <f>IF(H85=0,"",IFERROR(ROUND(H85*0.2,0),0))</f>
        <v/>
      </c>
      <c r="K85" s="29">
        <f>IF(H85=0,"",IFERROR(H85-I85-J85,0))</f>
        <v/>
      </c>
      <c r="L85" s="29">
        <f>IF(H85=0,"",IFERROR(ROUND(H85*1.3,0),0))</f>
        <v/>
      </c>
      <c r="M85" s="7" t="n"/>
      <c r="N85" s="7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28">
        <f>IF(A86="",0,SUM(C86:G86))</f>
        <v/>
      </c>
      <c r="I86" s="5" t="n"/>
      <c r="J86" s="28">
        <f>IF(H86=0,"",IFERROR(ROUND(H86*0.2,0),0))</f>
        <v/>
      </c>
      <c r="K86" s="28">
        <f>IF(H86=0,"",IFERROR(H86-I86-J86,0))</f>
        <v/>
      </c>
      <c r="L86" s="28">
        <f>IF(H86=0,"",IFERROR(ROUND(H86*1.3,0),0))</f>
        <v/>
      </c>
      <c r="M86" s="5" t="n"/>
      <c r="N86" s="5" t="n"/>
    </row>
    <row r="87" ht="22" customHeight="1">
      <c r="A87" s="7" t="n"/>
      <c r="B87" s="7" t="n"/>
      <c r="C87" s="7" t="n"/>
      <c r="D87" s="7" t="n"/>
      <c r="E87" s="7" t="n"/>
      <c r="F87" s="7" t="n"/>
      <c r="G87" s="7" t="n"/>
      <c r="H87" s="29">
        <f>IF(A87="",0,SUM(C87:G87))</f>
        <v/>
      </c>
      <c r="I87" s="7" t="n"/>
      <c r="J87" s="29">
        <f>IF(H87=0,"",IFERROR(ROUND(H87*0.2,0),0))</f>
        <v/>
      </c>
      <c r="K87" s="29">
        <f>IF(H87=0,"",IFERROR(H87-I87-J87,0))</f>
        <v/>
      </c>
      <c r="L87" s="29">
        <f>IF(H87=0,"",IFERROR(ROUND(H87*1.3,0),0))</f>
        <v/>
      </c>
      <c r="M87" s="7" t="n"/>
      <c r="N87" s="7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28">
        <f>IF(A88="",0,SUM(C88:G88))</f>
        <v/>
      </c>
      <c r="I88" s="5" t="n"/>
      <c r="J88" s="28">
        <f>IF(H88=0,"",IFERROR(ROUND(H88*0.2,0),0))</f>
        <v/>
      </c>
      <c r="K88" s="28">
        <f>IF(H88=0,"",IFERROR(H88-I88-J88,0))</f>
        <v/>
      </c>
      <c r="L88" s="28">
        <f>IF(H88=0,"",IFERROR(ROUND(H88*1.3,0),0))</f>
        <v/>
      </c>
      <c r="M88" s="5" t="n"/>
      <c r="N88" s="5" t="n"/>
    </row>
    <row r="89" ht="22" customHeight="1">
      <c r="A89" s="7" t="n"/>
      <c r="B89" s="7" t="n"/>
      <c r="C89" s="7" t="n"/>
      <c r="D89" s="7" t="n"/>
      <c r="E89" s="7" t="n"/>
      <c r="F89" s="7" t="n"/>
      <c r="G89" s="7" t="n"/>
      <c r="H89" s="29">
        <f>IF(A89="",0,SUM(C89:G89))</f>
        <v/>
      </c>
      <c r="I89" s="7" t="n"/>
      <c r="J89" s="29">
        <f>IF(H89=0,"",IFERROR(ROUND(H89*0.2,0),0))</f>
        <v/>
      </c>
      <c r="K89" s="29">
        <f>IF(H89=0,"",IFERROR(H89-I89-J89,0))</f>
        <v/>
      </c>
      <c r="L89" s="29">
        <f>IF(H89=0,"",IFERROR(ROUND(H89*1.3,0),0))</f>
        <v/>
      </c>
      <c r="M89" s="7" t="n"/>
      <c r="N89" s="7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28">
        <f>IF(A90="",0,SUM(C90:G90))</f>
        <v/>
      </c>
      <c r="I90" s="5" t="n"/>
      <c r="J90" s="28">
        <f>IF(H90=0,"",IFERROR(ROUND(H90*0.2,0),0))</f>
        <v/>
      </c>
      <c r="K90" s="28">
        <f>IF(H90=0,"",IFERROR(H90-I90-J90,0))</f>
        <v/>
      </c>
      <c r="L90" s="28">
        <f>IF(H90=0,"",IFERROR(ROUND(H90*1.3,0),0))</f>
        <v/>
      </c>
      <c r="M90" s="5" t="n"/>
      <c r="N90" s="5" t="n"/>
    </row>
    <row r="91" ht="22" customHeight="1">
      <c r="A91" s="7" t="n"/>
      <c r="B91" s="7" t="n"/>
      <c r="C91" s="7" t="n"/>
      <c r="D91" s="7" t="n"/>
      <c r="E91" s="7" t="n"/>
      <c r="F91" s="7" t="n"/>
      <c r="G91" s="7" t="n"/>
      <c r="H91" s="29">
        <f>IF(A91="",0,SUM(C91:G91))</f>
        <v/>
      </c>
      <c r="I91" s="7" t="n"/>
      <c r="J91" s="29">
        <f>IF(H91=0,"",IFERROR(ROUND(H91*0.2,0),0))</f>
        <v/>
      </c>
      <c r="K91" s="29">
        <f>IF(H91=0,"",IFERROR(H91-I91-J91,0))</f>
        <v/>
      </c>
      <c r="L91" s="29">
        <f>IF(H91=0,"",IFERROR(ROUND(H91*1.3,0),0))</f>
        <v/>
      </c>
      <c r="M91" s="7" t="n"/>
      <c r="N91" s="7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28">
        <f>IF(A92="",0,SUM(C92:G92))</f>
        <v/>
      </c>
      <c r="I92" s="5" t="n"/>
      <c r="J92" s="28">
        <f>IF(H92=0,"",IFERROR(ROUND(H92*0.2,0),0))</f>
        <v/>
      </c>
      <c r="K92" s="28">
        <f>IF(H92=0,"",IFERROR(H92-I92-J92,0))</f>
        <v/>
      </c>
      <c r="L92" s="28">
        <f>IF(H92=0,"",IFERROR(ROUND(H92*1.3,0),0))</f>
        <v/>
      </c>
      <c r="M92" s="5" t="n"/>
      <c r="N92" s="5" t="n"/>
    </row>
    <row r="93" ht="22" customHeight="1">
      <c r="A93" s="7" t="n"/>
      <c r="B93" s="7" t="n"/>
      <c r="C93" s="7" t="n"/>
      <c r="D93" s="7" t="n"/>
      <c r="E93" s="7" t="n"/>
      <c r="F93" s="7" t="n"/>
      <c r="G93" s="7" t="n"/>
      <c r="H93" s="29">
        <f>IF(A93="",0,SUM(C93:G93))</f>
        <v/>
      </c>
      <c r="I93" s="7" t="n"/>
      <c r="J93" s="29">
        <f>IF(H93=0,"",IFERROR(ROUND(H93*0.2,0),0))</f>
        <v/>
      </c>
      <c r="K93" s="29">
        <f>IF(H93=0,"",IFERROR(H93-I93-J93,0))</f>
        <v/>
      </c>
      <c r="L93" s="29">
        <f>IF(H93=0,"",IFERROR(ROUND(H93*1.3,0),0))</f>
        <v/>
      </c>
      <c r="M93" s="7" t="n"/>
      <c r="N93" s="7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28">
        <f>IF(A94="",0,SUM(C94:G94))</f>
        <v/>
      </c>
      <c r="I94" s="5" t="n"/>
      <c r="J94" s="28">
        <f>IF(H94=0,"",IFERROR(ROUND(H94*0.2,0),0))</f>
        <v/>
      </c>
      <c r="K94" s="28">
        <f>IF(H94=0,"",IFERROR(H94-I94-J94,0))</f>
        <v/>
      </c>
      <c r="L94" s="28">
        <f>IF(H94=0,"",IFERROR(ROUND(H94*1.3,0),0))</f>
        <v/>
      </c>
      <c r="M94" s="5" t="n"/>
      <c r="N94" s="5" t="n"/>
    </row>
    <row r="95" ht="22" customHeight="1">
      <c r="A95" s="7" t="n"/>
      <c r="B95" s="7" t="n"/>
      <c r="C95" s="7" t="n"/>
      <c r="D95" s="7" t="n"/>
      <c r="E95" s="7" t="n"/>
      <c r="F95" s="7" t="n"/>
      <c r="G95" s="7" t="n"/>
      <c r="H95" s="29">
        <f>IF(A95="",0,SUM(C95:G95))</f>
        <v/>
      </c>
      <c r="I95" s="7" t="n"/>
      <c r="J95" s="29">
        <f>IF(H95=0,"",IFERROR(ROUND(H95*0.2,0),0))</f>
        <v/>
      </c>
      <c r="K95" s="29">
        <f>IF(H95=0,"",IFERROR(H95-I95-J95,0))</f>
        <v/>
      </c>
      <c r="L95" s="29">
        <f>IF(H95=0,"",IFERROR(ROUND(H95*1.3,0),0))</f>
        <v/>
      </c>
      <c r="M95" s="7" t="n"/>
      <c r="N95" s="7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28">
        <f>IF(A96="",0,SUM(C96:G96))</f>
        <v/>
      </c>
      <c r="I96" s="5" t="n"/>
      <c r="J96" s="28">
        <f>IF(H96=0,"",IFERROR(ROUND(H96*0.2,0),0))</f>
        <v/>
      </c>
      <c r="K96" s="28">
        <f>IF(H96=0,"",IFERROR(H96-I96-J96,0))</f>
        <v/>
      </c>
      <c r="L96" s="28">
        <f>IF(H96=0,"",IFERROR(ROUND(H96*1.3,0),0))</f>
        <v/>
      </c>
      <c r="M96" s="5" t="n"/>
      <c r="N96" s="5" t="n"/>
    </row>
    <row r="97" ht="22" customHeight="1">
      <c r="A97" s="7" t="n"/>
      <c r="B97" s="7" t="n"/>
      <c r="C97" s="7" t="n"/>
      <c r="D97" s="7" t="n"/>
      <c r="E97" s="7" t="n"/>
      <c r="F97" s="7" t="n"/>
      <c r="G97" s="7" t="n"/>
      <c r="H97" s="29">
        <f>IF(A97="",0,SUM(C97:G97))</f>
        <v/>
      </c>
      <c r="I97" s="7" t="n"/>
      <c r="J97" s="29">
        <f>IF(H97=0,"",IFERROR(ROUND(H97*0.2,0),0))</f>
        <v/>
      </c>
      <c r="K97" s="29">
        <f>IF(H97=0,"",IFERROR(H97-I97-J97,0))</f>
        <v/>
      </c>
      <c r="L97" s="29">
        <f>IF(H97=0,"",IFERROR(ROUND(H97*1.3,0),0))</f>
        <v/>
      </c>
      <c r="M97" s="7" t="n"/>
      <c r="N97" s="7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28">
        <f>IF(A98="",0,SUM(C98:G98))</f>
        <v/>
      </c>
      <c r="I98" s="5" t="n"/>
      <c r="J98" s="28">
        <f>IF(H98=0,"",IFERROR(ROUND(H98*0.2,0),0))</f>
        <v/>
      </c>
      <c r="K98" s="28">
        <f>IF(H98=0,"",IFERROR(H98-I98-J98,0))</f>
        <v/>
      </c>
      <c r="L98" s="28">
        <f>IF(H98=0,"",IFERROR(ROUND(H98*1.3,0),0))</f>
        <v/>
      </c>
      <c r="M98" s="5" t="n"/>
      <c r="N98" s="5" t="n"/>
    </row>
    <row r="99" ht="22" customHeight="1">
      <c r="A99" s="7" t="n"/>
      <c r="B99" s="7" t="n"/>
      <c r="C99" s="7" t="n"/>
      <c r="D99" s="7" t="n"/>
      <c r="E99" s="7" t="n"/>
      <c r="F99" s="7" t="n"/>
      <c r="G99" s="7" t="n"/>
      <c r="H99" s="29">
        <f>IF(A99="",0,SUM(C99:G99))</f>
        <v/>
      </c>
      <c r="I99" s="7" t="n"/>
      <c r="J99" s="29">
        <f>IF(H99=0,"",IFERROR(ROUND(H99*0.2,0),0))</f>
        <v/>
      </c>
      <c r="K99" s="29">
        <f>IF(H99=0,"",IFERROR(H99-I99-J99,0))</f>
        <v/>
      </c>
      <c r="L99" s="29">
        <f>IF(H99=0,"",IFERROR(ROUND(H99*1.3,0),0))</f>
        <v/>
      </c>
      <c r="M99" s="7" t="n"/>
      <c r="N99" s="7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28">
        <f>IF(A100="",0,SUM(C100:G100))</f>
        <v/>
      </c>
      <c r="I100" s="5" t="n"/>
      <c r="J100" s="28">
        <f>IF(H100=0,"",IFERROR(ROUND(H100*0.2,0),0))</f>
        <v/>
      </c>
      <c r="K100" s="28">
        <f>IF(H100=0,"",IFERROR(H100-I100-J100,0))</f>
        <v/>
      </c>
      <c r="L100" s="28">
        <f>IF(H100=0,"",IFERROR(ROUND(H100*1.3,0),0))</f>
        <v/>
      </c>
      <c r="M100" s="5" t="n"/>
      <c r="N100" s="5" t="n"/>
    </row>
    <row r="101" ht="22" customHeight="1">
      <c r="A101" s="7" t="n"/>
      <c r="B101" s="7" t="n"/>
      <c r="C101" s="7" t="n"/>
      <c r="D101" s="7" t="n"/>
      <c r="E101" s="7" t="n"/>
      <c r="F101" s="7" t="n"/>
      <c r="G101" s="7" t="n"/>
      <c r="H101" s="29">
        <f>IF(A101="",0,SUM(C101:G101))</f>
        <v/>
      </c>
      <c r="I101" s="7" t="n"/>
      <c r="J101" s="29">
        <f>IF(H101=0,"",IFERROR(ROUND(H101*0.2,0),0))</f>
        <v/>
      </c>
      <c r="K101" s="29">
        <f>IF(H101=0,"",IFERROR(H101-I101-J101,0))</f>
        <v/>
      </c>
      <c r="L101" s="29">
        <f>IF(H101=0,"",IFERROR(ROUND(H101*1.3,0),0))</f>
        <v/>
      </c>
      <c r="M101" s="7" t="n"/>
      <c r="N101" s="7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28">
        <f>IF(A102="",0,SUM(C102:G102))</f>
        <v/>
      </c>
      <c r="I102" s="5" t="n"/>
      <c r="J102" s="28">
        <f>IF(H102=0,"",IFERROR(ROUND(H102*0.2,0),0))</f>
        <v/>
      </c>
      <c r="K102" s="28">
        <f>IF(H102=0,"",IFERROR(H102-I102-J102,0))</f>
        <v/>
      </c>
      <c r="L102" s="28">
        <f>IF(H102=0,"",IFERROR(ROUND(H102*1.3,0),0))</f>
        <v/>
      </c>
      <c r="M102" s="5" t="n"/>
      <c r="N102" s="5" t="n"/>
    </row>
    <row r="103" ht="22" customHeight="1">
      <c r="A103" s="7" t="n"/>
      <c r="B103" s="7" t="n"/>
      <c r="C103" s="7" t="n"/>
      <c r="D103" s="7" t="n"/>
      <c r="E103" s="7" t="n"/>
      <c r="F103" s="7" t="n"/>
      <c r="G103" s="7" t="n"/>
      <c r="H103" s="29">
        <f>IF(A103="",0,SUM(C103:G103))</f>
        <v/>
      </c>
      <c r="I103" s="7" t="n"/>
      <c r="J103" s="29">
        <f>IF(H103=0,"",IFERROR(ROUND(H103*0.2,0),0))</f>
        <v/>
      </c>
      <c r="K103" s="29">
        <f>IF(H103=0,"",IFERROR(H103-I103-J103,0))</f>
        <v/>
      </c>
      <c r="L103" s="29">
        <f>IF(H103=0,"",IFERROR(ROUND(H103*1.3,0),0))</f>
        <v/>
      </c>
      <c r="M103" s="7" t="n"/>
      <c r="N103" s="7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28">
        <f>IF(A104="",0,SUM(C104:G104))</f>
        <v/>
      </c>
      <c r="I104" s="5" t="n"/>
      <c r="J104" s="28">
        <f>IF(H104=0,"",IFERROR(ROUND(H104*0.2,0),0))</f>
        <v/>
      </c>
      <c r="K104" s="28">
        <f>IF(H104=0,"",IFERROR(H104-I104-J104,0))</f>
        <v/>
      </c>
      <c r="L104" s="28">
        <f>IF(H104=0,"",IFERROR(ROUND(H104*1.3,0),0))</f>
        <v/>
      </c>
      <c r="M104" s="5" t="n"/>
      <c r="N104" s="5" t="n"/>
    </row>
    <row r="105" ht="22" customHeight="1">
      <c r="A105" s="7" t="n"/>
      <c r="B105" s="7" t="n"/>
      <c r="C105" s="7" t="n"/>
      <c r="D105" s="7" t="n"/>
      <c r="E105" s="7" t="n"/>
      <c r="F105" s="7" t="n"/>
      <c r="G105" s="7" t="n"/>
      <c r="H105" s="29">
        <f>IF(A105="",0,SUM(C105:G105))</f>
        <v/>
      </c>
      <c r="I105" s="7" t="n"/>
      <c r="J105" s="29">
        <f>IF(H105=0,"",IFERROR(ROUND(H105*0.2,0),0))</f>
        <v/>
      </c>
      <c r="K105" s="29">
        <f>IF(H105=0,"",IFERROR(H105-I105-J105,0))</f>
        <v/>
      </c>
      <c r="L105" s="29">
        <f>IF(H105=0,"",IFERROR(ROUND(H105*1.3,0),0))</f>
        <v/>
      </c>
      <c r="M105" s="7" t="n"/>
      <c r="N105" s="7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28">
        <f>IF(A106="",0,SUM(C106:G106))</f>
        <v/>
      </c>
      <c r="I106" s="5" t="n"/>
      <c r="J106" s="28">
        <f>IF(H106=0,"",IFERROR(ROUND(H106*0.2,0),0))</f>
        <v/>
      </c>
      <c r="K106" s="28">
        <f>IF(H106=0,"",IFERROR(H106-I106-J106,0))</f>
        <v/>
      </c>
      <c r="L106" s="28">
        <f>IF(H106=0,"",IFERROR(ROUND(H106*1.3,0),0))</f>
        <v/>
      </c>
      <c r="M106" s="5" t="n"/>
      <c r="N106" s="5" t="n"/>
    </row>
    <row r="107" ht="22" customHeight="1">
      <c r="A107" s="7" t="n"/>
      <c r="B107" s="7" t="n"/>
      <c r="C107" s="7" t="n"/>
      <c r="D107" s="7" t="n"/>
      <c r="E107" s="7" t="n"/>
      <c r="F107" s="7" t="n"/>
      <c r="G107" s="7" t="n"/>
      <c r="H107" s="29">
        <f>IF(A107="",0,SUM(C107:G107))</f>
        <v/>
      </c>
      <c r="I107" s="7" t="n"/>
      <c r="J107" s="29">
        <f>IF(H107=0,"",IFERROR(ROUND(H107*0.2,0),0))</f>
        <v/>
      </c>
      <c r="K107" s="29">
        <f>IF(H107=0,"",IFERROR(H107-I107-J107,0))</f>
        <v/>
      </c>
      <c r="L107" s="29">
        <f>IF(H107=0,"",IFERROR(ROUND(H107*1.3,0),0))</f>
        <v/>
      </c>
      <c r="M107" s="7" t="n"/>
      <c r="N107" s="7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28">
        <f>IF(A108="",0,SUM(C108:G108))</f>
        <v/>
      </c>
      <c r="I108" s="5" t="n"/>
      <c r="J108" s="28">
        <f>IF(H108=0,"",IFERROR(ROUND(H108*0.2,0),0))</f>
        <v/>
      </c>
      <c r="K108" s="28">
        <f>IF(H108=0,"",IFERROR(H108-I108-J108,0))</f>
        <v/>
      </c>
      <c r="L108" s="28">
        <f>IF(H108=0,"",IFERROR(ROUND(H108*1.3,0),0))</f>
        <v/>
      </c>
      <c r="M108" s="5" t="n"/>
      <c r="N108" s="5" t="n"/>
    </row>
    <row r="109" ht="22" customHeight="1">
      <c r="A109" s="7" t="n"/>
      <c r="B109" s="7" t="n"/>
      <c r="C109" s="7" t="n"/>
      <c r="D109" s="7" t="n"/>
      <c r="E109" s="7" t="n"/>
      <c r="F109" s="7" t="n"/>
      <c r="G109" s="7" t="n"/>
      <c r="H109" s="29">
        <f>IF(A109="",0,SUM(C109:G109))</f>
        <v/>
      </c>
      <c r="I109" s="7" t="n"/>
      <c r="J109" s="29">
        <f>IF(H109=0,"",IFERROR(ROUND(H109*0.2,0),0))</f>
        <v/>
      </c>
      <c r="K109" s="29">
        <f>IF(H109=0,"",IFERROR(H109-I109-J109,0))</f>
        <v/>
      </c>
      <c r="L109" s="29">
        <f>IF(H109=0,"",IFERROR(ROUND(H109*1.3,0),0))</f>
        <v/>
      </c>
      <c r="M109" s="7" t="n"/>
      <c r="N109" s="7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28">
        <f>IF(A110="",0,SUM(C110:G110))</f>
        <v/>
      </c>
      <c r="I110" s="5" t="n"/>
      <c r="J110" s="28">
        <f>IF(H110=0,"",IFERROR(ROUND(H110*0.2,0),0))</f>
        <v/>
      </c>
      <c r="K110" s="28">
        <f>IF(H110=0,"",IFERROR(H110-I110-J110,0))</f>
        <v/>
      </c>
      <c r="L110" s="28">
        <f>IF(H110=0,"",IFERROR(ROUND(H110*1.3,0),0))</f>
        <v/>
      </c>
      <c r="M110" s="5" t="n"/>
      <c r="N110" s="5" t="n"/>
    </row>
    <row r="111" ht="22" customHeight="1">
      <c r="A111" s="7" t="n"/>
      <c r="B111" s="7" t="n"/>
      <c r="C111" s="7" t="n"/>
      <c r="D111" s="7" t="n"/>
      <c r="E111" s="7" t="n"/>
      <c r="F111" s="7" t="n"/>
      <c r="G111" s="7" t="n"/>
      <c r="H111" s="29">
        <f>IF(A111="",0,SUM(C111:G111))</f>
        <v/>
      </c>
      <c r="I111" s="7" t="n"/>
      <c r="J111" s="29">
        <f>IF(H111=0,"",IFERROR(ROUND(H111*0.2,0),0))</f>
        <v/>
      </c>
      <c r="K111" s="29">
        <f>IF(H111=0,"",IFERROR(H111-I111-J111,0))</f>
        <v/>
      </c>
      <c r="L111" s="29">
        <f>IF(H111=0,"",IFERROR(ROUND(H111*1.3,0),0))</f>
        <v/>
      </c>
      <c r="M111" s="7" t="n"/>
      <c r="N111" s="7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28">
        <f>IF(A112="",0,SUM(C112:G112))</f>
        <v/>
      </c>
      <c r="I112" s="5" t="n"/>
      <c r="J112" s="28">
        <f>IF(H112=0,"",IFERROR(ROUND(H112*0.2,0),0))</f>
        <v/>
      </c>
      <c r="K112" s="28">
        <f>IF(H112=0,"",IFERROR(H112-I112-J112,0))</f>
        <v/>
      </c>
      <c r="L112" s="28">
        <f>IF(H112=0,"",IFERROR(ROUND(H112*1.3,0),0))</f>
        <v/>
      </c>
      <c r="M112" s="5" t="n"/>
      <c r="N112" s="5" t="n"/>
    </row>
    <row r="113" ht="22" customHeight="1">
      <c r="A113" s="7" t="n"/>
      <c r="B113" s="7" t="n"/>
      <c r="C113" s="7" t="n"/>
      <c r="D113" s="7" t="n"/>
      <c r="E113" s="7" t="n"/>
      <c r="F113" s="7" t="n"/>
      <c r="G113" s="7" t="n"/>
      <c r="H113" s="29">
        <f>IF(A113="",0,SUM(C113:G113))</f>
        <v/>
      </c>
      <c r="I113" s="7" t="n"/>
      <c r="J113" s="29">
        <f>IF(H113=0,"",IFERROR(ROUND(H113*0.2,0),0))</f>
        <v/>
      </c>
      <c r="K113" s="29">
        <f>IF(H113=0,"",IFERROR(H113-I113-J113,0))</f>
        <v/>
      </c>
      <c r="L113" s="29">
        <f>IF(H113=0,"",IFERROR(ROUND(H113*1.3,0),0))</f>
        <v/>
      </c>
      <c r="M113" s="7" t="n"/>
      <c r="N113" s="7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28">
        <f>IF(A114="",0,SUM(C114:G114))</f>
        <v/>
      </c>
      <c r="I114" s="5" t="n"/>
      <c r="J114" s="28">
        <f>IF(H114=0,"",IFERROR(ROUND(H114*0.2,0),0))</f>
        <v/>
      </c>
      <c r="K114" s="28">
        <f>IF(H114=0,"",IFERROR(H114-I114-J114,0))</f>
        <v/>
      </c>
      <c r="L114" s="28">
        <f>IF(H114=0,"",IFERROR(ROUND(H114*1.3,0),0))</f>
        <v/>
      </c>
      <c r="M114" s="5" t="n"/>
      <c r="N114" s="5" t="n"/>
    </row>
    <row r="115" ht="22" customHeight="1">
      <c r="A115" s="7" t="n"/>
      <c r="B115" s="7" t="n"/>
      <c r="C115" s="7" t="n"/>
      <c r="D115" s="7" t="n"/>
      <c r="E115" s="7" t="n"/>
      <c r="F115" s="7" t="n"/>
      <c r="G115" s="7" t="n"/>
      <c r="H115" s="29">
        <f>IF(A115="",0,SUM(C115:G115))</f>
        <v/>
      </c>
      <c r="I115" s="7" t="n"/>
      <c r="J115" s="29">
        <f>IF(H115=0,"",IFERROR(ROUND(H115*0.2,0),0))</f>
        <v/>
      </c>
      <c r="K115" s="29">
        <f>IF(H115=0,"",IFERROR(H115-I115-J115,0))</f>
        <v/>
      </c>
      <c r="L115" s="29">
        <f>IF(H115=0,"",IFERROR(ROUND(H115*1.3,0),0))</f>
        <v/>
      </c>
      <c r="M115" s="7" t="n"/>
      <c r="N115" s="7" t="n"/>
    </row>
  </sheetData>
  <mergeCells count="2">
    <mergeCell ref="A3:N3"/>
    <mergeCell ref="A2:N2"/>
  </mergeCells>
  <dataValidations count="1">
    <dataValidation sqref="M6:M115" showDropDown="0" showInputMessage="0" showErrorMessage="0" allowBlank="1" errorTitle="Erreur" error="Valeur invalide" promptTitle="" prompt="Choisir dans la liste: " type="list">
      <formula1>'F02 - _Lists'!$X$6:$X$17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14" customWidth="1" min="4" max="4"/>
    <col width="14" customWidth="1" min="5" max="5"/>
    <col width="20" customWidth="1" min="6" max="6"/>
    <col width="12" customWidth="1" min="7" max="7"/>
    <col width="18" customWidth="1" min="8" max="8"/>
    <col width="24" customWidth="1" min="9" max="9"/>
    <col width="14" customWidth="1" min="10" max="10"/>
    <col width="36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16-INDICATEURS DE PERFORMANCE MOBILITÉ INTERNATIONALE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Indicateur</t>
        </is>
      </c>
      <c r="B5" s="4" t="inlineStr">
        <is>
          <t>Indicateur</t>
        </is>
      </c>
      <c r="C5" s="4" t="inlineStr">
        <is>
          <t>Période</t>
        </is>
      </c>
      <c r="D5" s="4" t="inlineStr">
        <is>
          <t>Objectif</t>
        </is>
      </c>
      <c r="E5" s="4" t="inlineStr">
        <is>
          <t>Résultat</t>
        </is>
      </c>
      <c r="F5" s="4" t="inlineStr">
        <is>
          <t>Taux Atteinte (%)</t>
        </is>
      </c>
      <c r="G5" s="4" t="inlineStr">
        <is>
          <t>Tendance</t>
        </is>
      </c>
      <c r="H5" s="4" t="inlineStr">
        <is>
          <t>Responsable</t>
        </is>
      </c>
      <c r="I5" s="4" t="inlineStr">
        <is>
          <t>Département</t>
        </is>
      </c>
      <c r="J5" s="4" t="inlineStr">
        <is>
          <t>Statut</t>
        </is>
      </c>
      <c r="K5" s="4" t="inlineStr">
        <is>
          <t>Commentaire</t>
        </is>
      </c>
      <c r="L5" s="4" t="inlineStr"/>
      <c r="M5" s="4" t="inlineStr"/>
      <c r="N5" s="4" t="inlineStr"/>
    </row>
    <row r="6" ht="22" customHeight="1">
      <c r="A6" s="5" t="inlineStr">
        <is>
          <t>KPI-EXP-001</t>
        </is>
      </c>
      <c r="B6" s="5" t="inlineStr">
        <is>
          <t>Taux conformité visas</t>
        </is>
      </c>
      <c r="C6" s="5" t="inlineStr">
        <is>
          <t>T1 2025</t>
        </is>
      </c>
      <c r="D6" s="5" t="inlineStr">
        <is>
          <t>100%</t>
        </is>
      </c>
      <c r="E6" s="5" t="inlineStr">
        <is>
          <t>93%</t>
        </is>
      </c>
      <c r="F6" s="24">
        <f>IF(OR(D6="",E6=""),"",IFERROR(VALUE(SUBSTITUTE(E6,"%",""))/VALUE(SUBSTITUTE(D6,"%",""))*100,0))</f>
        <v/>
      </c>
      <c r="G6" s="5" t="inlineStr">
        <is>
          <t>Stable</t>
        </is>
      </c>
      <c r="H6" s="5" t="inlineStr">
        <is>
          <t>DRH</t>
        </is>
      </c>
      <c r="I6" s="5" t="inlineStr">
        <is>
          <t>Ressources Humaines</t>
        </is>
      </c>
      <c r="J6" s="5" t="inlineStr">
        <is>
          <t>En cours</t>
        </is>
      </c>
      <c r="K6" s="5" t="inlineStr">
        <is>
          <t>2 renouvellements en retard</t>
        </is>
      </c>
      <c r="L6" s="5" t="inlineStr"/>
      <c r="M6" s="5">
        <f>IF(G6="","",IFERROR(VLOOKUP(G6,'F01 - _Données Expatriés'!$F$6:$F$20,1,FALSE),""))</f>
        <v/>
      </c>
      <c r="N6" s="5">
        <f>IF(J6="","",IFERROR(COUNTIF($J$6:$J$115,J6),0))</f>
        <v/>
      </c>
    </row>
    <row r="7" ht="22" customHeight="1">
      <c r="A7" s="7" t="inlineStr">
        <is>
          <t>KPI-EXP-002</t>
        </is>
      </c>
      <c r="B7" s="7" t="inlineStr">
        <is>
          <t>Délai moyen obtention visa (j.)</t>
        </is>
      </c>
      <c r="C7" s="7" t="inlineStr">
        <is>
          <t>T1 2025</t>
        </is>
      </c>
      <c r="D7" s="7" t="inlineStr">
        <is>
          <t>30</t>
        </is>
      </c>
      <c r="E7" s="7" t="inlineStr">
        <is>
          <t>35</t>
        </is>
      </c>
      <c r="F7" s="26">
        <f>IF(OR(D7="",E7=""),"",IFERROR(VALUE(SUBSTITUTE(E7,"%",""))/VALUE(SUBSTITUTE(D7,"%",""))*100,0))</f>
        <v/>
      </c>
      <c r="G7" s="7" t="inlineStr">
        <is>
          <t>Hausse</t>
        </is>
      </c>
      <c r="H7" s="7" t="inlineStr">
        <is>
          <t>DRH</t>
        </is>
      </c>
      <c r="I7" s="7" t="inlineStr">
        <is>
          <t>Ressources Humaines</t>
        </is>
      </c>
      <c r="J7" s="7" t="inlineStr">
        <is>
          <t>En cours</t>
        </is>
      </c>
      <c r="K7" s="7" t="inlineStr">
        <is>
          <t>Retrait embassy</t>
        </is>
      </c>
      <c r="L7" s="7" t="inlineStr"/>
      <c r="M7" s="7">
        <f>IF(G7="","",IFERROR(VLOOKUP(G7,'F01 - _Données Expatriés'!$F$6:$F$20,1,FALSE),""))</f>
        <v/>
      </c>
      <c r="N7" s="7">
        <f>IF(J7="","",IFERROR(COUNTIF($J$6:$J$115,J7),0))</f>
        <v/>
      </c>
    </row>
    <row r="8" ht="22" customHeight="1">
      <c r="A8" s="5" t="inlineStr">
        <is>
          <t>KPI-EXP-003</t>
        </is>
      </c>
      <c r="B8" s="5" t="inlineStr">
        <is>
          <t>Satisfaction logement expatriés</t>
        </is>
      </c>
      <c r="C8" s="5" t="inlineStr">
        <is>
          <t>T1 2025</t>
        </is>
      </c>
      <c r="D8" s="5" t="inlineStr">
        <is>
          <t>80%</t>
        </is>
      </c>
      <c r="E8" s="5" t="inlineStr">
        <is>
          <t>85%</t>
        </is>
      </c>
      <c r="F8" s="24">
        <f>IF(OR(D8="",E8=""),"",IFERROR(VALUE(SUBSTITUTE(E8,"%",""))/VALUE(SUBSTITUTE(D8,"%",""))*100,0))</f>
        <v/>
      </c>
      <c r="G8" s="5" t="inlineStr">
        <is>
          <t>Hausse</t>
        </is>
      </c>
      <c r="H8" s="5" t="inlineStr">
        <is>
          <t>DRH</t>
        </is>
      </c>
      <c r="I8" s="5" t="inlineStr">
        <is>
          <t>Logistique</t>
        </is>
      </c>
      <c r="J8" s="5" t="inlineStr">
        <is>
          <t>En cours</t>
        </is>
      </c>
      <c r="K8" s="5" t="inlineStr"/>
      <c r="L8" s="5" t="inlineStr"/>
      <c r="M8" s="5">
        <f>IF(G8="","",IFERROR(VLOOKUP(G8,'F01 - _Données Expatriés'!$F$6:$F$20,1,FALSE),""))</f>
        <v/>
      </c>
      <c r="N8" s="5">
        <f>IF(J8="","",IFERROR(COUNTIF($J$6:$J$115,J8),0))</f>
        <v/>
      </c>
    </row>
    <row r="9" ht="22" customHeight="1">
      <c r="A9" s="7" t="inlineStr">
        <is>
          <t>KPI-EXP-004</t>
        </is>
      </c>
      <c r="B9" s="7" t="inlineStr">
        <is>
          <t>Budget mobilité respecté</t>
        </is>
      </c>
      <c r="C9" s="7" t="inlineStr">
        <is>
          <t>T1 2025</t>
        </is>
      </c>
      <c r="D9" s="7" t="inlineStr">
        <is>
          <t>100%</t>
        </is>
      </c>
      <c r="E9" s="7" t="inlineStr">
        <is>
          <t>95%</t>
        </is>
      </c>
      <c r="F9" s="26">
        <f>IF(OR(D9="",E9=""),"",IFERROR(VALUE(SUBSTITUTE(E9,"%",""))/VALUE(SUBSTITUTE(D9,"%",""))*100,0))</f>
        <v/>
      </c>
      <c r="G9" s="7" t="inlineStr">
        <is>
          <t>Stable</t>
        </is>
      </c>
      <c r="H9" s="7" t="inlineStr">
        <is>
          <t>DAF</t>
        </is>
      </c>
      <c r="I9" s="7" t="inlineStr">
        <is>
          <t>Finance</t>
        </is>
      </c>
      <c r="J9" s="7" t="inlineStr">
        <is>
          <t>En cours</t>
        </is>
      </c>
      <c r="K9" s="7" t="inlineStr"/>
      <c r="L9" s="7" t="inlineStr"/>
      <c r="M9" s="7">
        <f>IF(G9="","",IFERROR(VLOOKUP(G9,'F01 - _Données Expatriés'!$F$6:$F$20,1,FALSE),""))</f>
        <v/>
      </c>
      <c r="N9" s="7">
        <f>IF(J9="","",IFERROR(COUNTIF($J$6:$J$115,J9),0))</f>
        <v/>
      </c>
    </row>
    <row r="10" ht="22" customHeight="1">
      <c r="A10" s="5" t="inlineStr">
        <is>
          <t>KPI-EXP-005</t>
        </is>
      </c>
      <c r="B10" s="5" t="inlineStr">
        <is>
          <t>Taux réintégration réussie</t>
        </is>
      </c>
      <c r="C10" s="5" t="inlineStr">
        <is>
          <t>2024</t>
        </is>
      </c>
      <c r="D10" s="5" t="inlineStr">
        <is>
          <t>90%</t>
        </is>
      </c>
      <c r="E10" s="5" t="inlineStr">
        <is>
          <t>100%</t>
        </is>
      </c>
      <c r="F10" s="24">
        <f>IF(OR(D10="",E10=""),"",IFERROR(VALUE(SUBSTITUTE(E10,"%",""))/VALUE(SUBSTITUTE(D10,"%",""))*100,0))</f>
        <v/>
      </c>
      <c r="G10" s="5" t="inlineStr">
        <is>
          <t>Stable</t>
        </is>
      </c>
      <c r="H10" s="5" t="inlineStr">
        <is>
          <t>DRH</t>
        </is>
      </c>
      <c r="I10" s="5" t="inlineStr">
        <is>
          <t>Ressources Humaines</t>
        </is>
      </c>
      <c r="J10" s="5" t="inlineStr">
        <is>
          <t>Terminé</t>
        </is>
      </c>
      <c r="K10" s="5" t="inlineStr">
        <is>
          <t>3 réintégrations réussies</t>
        </is>
      </c>
      <c r="L10" s="5" t="inlineStr"/>
      <c r="M10" s="5">
        <f>IF(G10="","",IFERROR(VLOOKUP(G10,'F01 - _Données Expatriés'!$F$6:$F$20,1,FALSE),""))</f>
        <v/>
      </c>
      <c r="N10" s="5">
        <f>IF(J10="","",IFERROR(COUNTIF($J$6:$J$115,J10),0))</f>
        <v/>
      </c>
    </row>
    <row r="11" ht="22" customHeight="1">
      <c r="A11" s="7" t="n"/>
      <c r="B11" s="7" t="n"/>
      <c r="C11" s="7" t="n"/>
      <c r="D11" s="7" t="n"/>
      <c r="E11" s="7" t="n"/>
      <c r="F11" s="26">
        <f>IF(OR(D11="",E11=""),"",IFERROR(VALUE(SUBSTITUTE(E11,"%",""))/VALUE(SUBSTITUTE(D11,"%",""))*100,0))</f>
        <v/>
      </c>
      <c r="G11" s="7" t="n"/>
      <c r="H11" s="7" t="n"/>
      <c r="I11" s="7" t="n"/>
      <c r="J11" s="7" t="n"/>
      <c r="K11" s="7" t="n"/>
      <c r="L11" s="7" t="n"/>
      <c r="M11" s="7">
        <f>IF(G11="","",IFERROR(VLOOKUP(G11,'F01 - _Données Expatriés'!$F$6:$F$20,1,FALSE),""))</f>
        <v/>
      </c>
      <c r="N11" s="7">
        <f>IF(J11="","",IFERROR(COUNTIF($J$6:$J$115,J11),0))</f>
        <v/>
      </c>
    </row>
    <row r="12" ht="22" customHeight="1">
      <c r="A12" s="5" t="n"/>
      <c r="B12" s="5" t="n"/>
      <c r="C12" s="5" t="n"/>
      <c r="D12" s="5" t="n"/>
      <c r="E12" s="5" t="n"/>
      <c r="F12" s="24">
        <f>IF(OR(D12="",E12=""),"",IFERROR(VALUE(SUBSTITUTE(E12,"%",""))/VALUE(SUBSTITUTE(D12,"%",""))*100,0))</f>
        <v/>
      </c>
      <c r="G12" s="5" t="n"/>
      <c r="H12" s="5" t="n"/>
      <c r="I12" s="5" t="n"/>
      <c r="J12" s="5" t="n"/>
      <c r="K12" s="5" t="n"/>
      <c r="L12" s="5" t="n"/>
      <c r="M12" s="5">
        <f>IF(G12="","",IFERROR(VLOOKUP(G12,'F01 - _Données Expatriés'!$F$6:$F$20,1,FALSE),""))</f>
        <v/>
      </c>
      <c r="N12" s="5">
        <f>IF(J12="","",IFERROR(COUNTIF($J$6:$J$115,J12),0))</f>
        <v/>
      </c>
    </row>
    <row r="13" ht="22" customHeight="1">
      <c r="A13" s="7" t="n"/>
      <c r="B13" s="7" t="n"/>
      <c r="C13" s="7" t="n"/>
      <c r="D13" s="7" t="n"/>
      <c r="E13" s="7" t="n"/>
      <c r="F13" s="26">
        <f>IF(OR(D13="",E13=""),"",IFERROR(VALUE(SUBSTITUTE(E13,"%",""))/VALUE(SUBSTITUTE(D13,"%",""))*100,0))</f>
        <v/>
      </c>
      <c r="G13" s="7" t="n"/>
      <c r="H13" s="7" t="n"/>
      <c r="I13" s="7" t="n"/>
      <c r="J13" s="7" t="n"/>
      <c r="K13" s="7" t="n"/>
      <c r="L13" s="7" t="n"/>
      <c r="M13" s="7">
        <f>IF(G13="","",IFERROR(VLOOKUP(G13,'F01 - _Données Expatriés'!$F$6:$F$20,1,FALSE),""))</f>
        <v/>
      </c>
      <c r="N13" s="7">
        <f>IF(J13="","",IFERROR(COUNTIF($J$6:$J$115,J13),0))</f>
        <v/>
      </c>
    </row>
    <row r="14" ht="22" customHeight="1">
      <c r="A14" s="5" t="n"/>
      <c r="B14" s="5" t="n"/>
      <c r="C14" s="5" t="n"/>
      <c r="D14" s="5" t="n"/>
      <c r="E14" s="5" t="n"/>
      <c r="F14" s="24">
        <f>IF(OR(D14="",E14=""),"",IFERROR(VALUE(SUBSTITUTE(E14,"%",""))/VALUE(SUBSTITUTE(D14,"%",""))*100,0))</f>
        <v/>
      </c>
      <c r="G14" s="5" t="n"/>
      <c r="H14" s="5" t="n"/>
      <c r="I14" s="5" t="n"/>
      <c r="J14" s="5" t="n"/>
      <c r="K14" s="5" t="n"/>
      <c r="L14" s="5" t="n"/>
      <c r="M14" s="5">
        <f>IF(G14="","",IFERROR(VLOOKUP(G14,'F01 - _Données Expatriés'!$F$6:$F$20,1,FALSE),""))</f>
        <v/>
      </c>
      <c r="N14" s="5">
        <f>IF(J14="","",IFERROR(COUNTIF($J$6:$J$115,J14),0))</f>
        <v/>
      </c>
    </row>
    <row r="15" ht="22" customHeight="1">
      <c r="A15" s="7" t="n"/>
      <c r="B15" s="7" t="n"/>
      <c r="C15" s="7" t="n"/>
      <c r="D15" s="7" t="n"/>
      <c r="E15" s="7" t="n"/>
      <c r="F15" s="26">
        <f>IF(OR(D15="",E15=""),"",IFERROR(VALUE(SUBSTITUTE(E15,"%",""))/VALUE(SUBSTITUTE(D15,"%",""))*100,0))</f>
        <v/>
      </c>
      <c r="G15" s="7" t="n"/>
      <c r="H15" s="7" t="n"/>
      <c r="I15" s="7" t="n"/>
      <c r="J15" s="7" t="n"/>
      <c r="K15" s="7" t="n"/>
      <c r="L15" s="7" t="n"/>
      <c r="M15" s="7">
        <f>IF(G15="","",IFERROR(VLOOKUP(G15,'F01 - _Données Expatriés'!$F$6:$F$20,1,FALSE),""))</f>
        <v/>
      </c>
      <c r="N15" s="7">
        <f>IF(J15="","",IFERROR(COUNTIF($J$6:$J$115,J15),0))</f>
        <v/>
      </c>
    </row>
    <row r="16" ht="22" customHeight="1">
      <c r="A16" s="5" t="n"/>
      <c r="B16" s="5" t="n"/>
      <c r="C16" s="5" t="n"/>
      <c r="D16" s="5" t="n"/>
      <c r="E16" s="5" t="n"/>
      <c r="F16" s="24">
        <f>IF(OR(D16="",E16=""),"",IFERROR(VALUE(SUBSTITUTE(E16,"%",""))/VALUE(SUBSTITUTE(D16,"%",""))*100,0))</f>
        <v/>
      </c>
      <c r="G16" s="5" t="n"/>
      <c r="H16" s="5" t="n"/>
      <c r="I16" s="5" t="n"/>
      <c r="J16" s="5" t="n"/>
      <c r="K16" s="5" t="n"/>
      <c r="L16" s="5" t="n"/>
      <c r="M16" s="5">
        <f>IF(G16="","",IFERROR(VLOOKUP(G16,'F01 - _Données Expatriés'!$F$6:$F$20,1,FALSE),""))</f>
        <v/>
      </c>
      <c r="N16" s="5">
        <f>IF(J16="","",IFERROR(COUNTIF($J$6:$J$115,J16),0))</f>
        <v/>
      </c>
    </row>
    <row r="17" ht="22" customHeight="1">
      <c r="A17" s="7" t="n"/>
      <c r="B17" s="7" t="n"/>
      <c r="C17" s="7" t="n"/>
      <c r="D17" s="7" t="n"/>
      <c r="E17" s="7" t="n"/>
      <c r="F17" s="26">
        <f>IF(OR(D17="",E17=""),"",IFERROR(VALUE(SUBSTITUTE(E17,"%",""))/VALUE(SUBSTITUTE(D17,"%",""))*100,0))</f>
        <v/>
      </c>
      <c r="G17" s="7" t="n"/>
      <c r="H17" s="7" t="n"/>
      <c r="I17" s="7" t="n"/>
      <c r="J17" s="7" t="n"/>
      <c r="K17" s="7" t="n"/>
      <c r="L17" s="7" t="n"/>
      <c r="M17" s="7">
        <f>IF(G17="","",IFERROR(VLOOKUP(G17,'F01 - _Données Expatriés'!$F$6:$F$20,1,FALSE),""))</f>
        <v/>
      </c>
      <c r="N17" s="7">
        <f>IF(J17="","",IFERROR(COUNTIF($J$6:$J$115,J17),0))</f>
        <v/>
      </c>
    </row>
    <row r="18" ht="22" customHeight="1">
      <c r="A18" s="5" t="n"/>
      <c r="B18" s="5" t="n"/>
      <c r="C18" s="5" t="n"/>
      <c r="D18" s="5" t="n"/>
      <c r="E18" s="5" t="n"/>
      <c r="F18" s="24">
        <f>IF(OR(D18="",E18=""),"",IFERROR(VALUE(SUBSTITUTE(E18,"%",""))/VALUE(SUBSTITUTE(D18,"%",""))*100,0))</f>
        <v/>
      </c>
      <c r="G18" s="5" t="n"/>
      <c r="H18" s="5" t="n"/>
      <c r="I18" s="5" t="n"/>
      <c r="J18" s="5" t="n"/>
      <c r="K18" s="5" t="n"/>
      <c r="L18" s="5" t="n"/>
      <c r="M18" s="5">
        <f>IF(G18="","",IFERROR(VLOOKUP(G18,'F01 - _Données Expatriés'!$F$6:$F$20,1,FALSE),""))</f>
        <v/>
      </c>
      <c r="N18" s="5">
        <f>IF(J18="","",IFERROR(COUNTIF($J$6:$J$115,J18),0))</f>
        <v/>
      </c>
    </row>
    <row r="19" ht="22" customHeight="1">
      <c r="A19" s="7" t="n"/>
      <c r="B19" s="7" t="n"/>
      <c r="C19" s="7" t="n"/>
      <c r="D19" s="7" t="n"/>
      <c r="E19" s="7" t="n"/>
      <c r="F19" s="26">
        <f>IF(OR(D19="",E19=""),"",IFERROR(VALUE(SUBSTITUTE(E19,"%",""))/VALUE(SUBSTITUTE(D19,"%",""))*100,0))</f>
        <v/>
      </c>
      <c r="G19" s="7" t="n"/>
      <c r="H19" s="7" t="n"/>
      <c r="I19" s="7" t="n"/>
      <c r="J19" s="7" t="n"/>
      <c r="K19" s="7" t="n"/>
      <c r="L19" s="7" t="n"/>
      <c r="M19" s="7">
        <f>IF(G19="","",IFERROR(VLOOKUP(G19,'F01 - _Données Expatriés'!$F$6:$F$20,1,FALSE),""))</f>
        <v/>
      </c>
      <c r="N19" s="7">
        <f>IF(J19="","",IFERROR(COUNTIF($J$6:$J$115,J19),0))</f>
        <v/>
      </c>
    </row>
    <row r="20" ht="22" customHeight="1">
      <c r="A20" s="5" t="n"/>
      <c r="B20" s="5" t="n"/>
      <c r="C20" s="5" t="n"/>
      <c r="D20" s="5" t="n"/>
      <c r="E20" s="5" t="n"/>
      <c r="F20" s="24">
        <f>IF(OR(D20="",E20=""),"",IFERROR(VALUE(SUBSTITUTE(E20,"%",""))/VALUE(SUBSTITUTE(D20,"%",""))*100,0))</f>
        <v/>
      </c>
      <c r="G20" s="5" t="n"/>
      <c r="H20" s="5" t="n"/>
      <c r="I20" s="5" t="n"/>
      <c r="J20" s="5" t="n"/>
      <c r="K20" s="5" t="n"/>
      <c r="L20" s="5" t="n"/>
      <c r="M20" s="5">
        <f>IF(G20="","",IFERROR(VLOOKUP(G20,'F01 - _Données Expatriés'!$F$6:$F$20,1,FALSE),""))</f>
        <v/>
      </c>
      <c r="N20" s="5">
        <f>IF(J20="","",IFERROR(COUNTIF($J$6:$J$115,J20),0))</f>
        <v/>
      </c>
    </row>
    <row r="21" ht="22" customHeight="1">
      <c r="A21" s="7" t="n"/>
      <c r="B21" s="7" t="n"/>
      <c r="C21" s="7" t="n"/>
      <c r="D21" s="7" t="n"/>
      <c r="E21" s="7" t="n"/>
      <c r="F21" s="26">
        <f>IF(OR(D21="",E21=""),"",IFERROR(VALUE(SUBSTITUTE(E21,"%",""))/VALUE(SUBSTITUTE(D21,"%",""))*100,0))</f>
        <v/>
      </c>
      <c r="G21" s="7" t="n"/>
      <c r="H21" s="7" t="n"/>
      <c r="I21" s="7" t="n"/>
      <c r="J21" s="7" t="n"/>
      <c r="K21" s="7" t="n"/>
      <c r="L21" s="7" t="n"/>
      <c r="M21" s="7">
        <f>IF(G21="","",IFERROR(VLOOKUP(G21,'F01 - _Données Expatriés'!$F$6:$F$20,1,FALSE),""))</f>
        <v/>
      </c>
      <c r="N21" s="7">
        <f>IF(J21="","",IFERROR(COUNTIF($J$6:$J$115,J21),0))</f>
        <v/>
      </c>
    </row>
    <row r="22" ht="22" customHeight="1">
      <c r="A22" s="5" t="n"/>
      <c r="B22" s="5" t="n"/>
      <c r="C22" s="5" t="n"/>
      <c r="D22" s="5" t="n"/>
      <c r="E22" s="5" t="n"/>
      <c r="F22" s="24">
        <f>IF(OR(D22="",E22=""),"",IFERROR(VALUE(SUBSTITUTE(E22,"%",""))/VALUE(SUBSTITUTE(D22,"%",""))*100,0))</f>
        <v/>
      </c>
      <c r="G22" s="5" t="n"/>
      <c r="H22" s="5" t="n"/>
      <c r="I22" s="5" t="n"/>
      <c r="J22" s="5" t="n"/>
      <c r="K22" s="5" t="n"/>
      <c r="L22" s="5" t="n"/>
      <c r="M22" s="5">
        <f>IF(G22="","",IFERROR(VLOOKUP(G22,'F01 - _Données Expatriés'!$F$6:$F$20,1,FALSE),""))</f>
        <v/>
      </c>
      <c r="N22" s="5">
        <f>IF(J22="","",IFERROR(COUNTIF($J$6:$J$115,J22),0))</f>
        <v/>
      </c>
    </row>
    <row r="23" ht="22" customHeight="1">
      <c r="A23" s="7" t="n"/>
      <c r="B23" s="7" t="n"/>
      <c r="C23" s="7" t="n"/>
      <c r="D23" s="7" t="n"/>
      <c r="E23" s="7" t="n"/>
      <c r="F23" s="26">
        <f>IF(OR(D23="",E23=""),"",IFERROR(VALUE(SUBSTITUTE(E23,"%",""))/VALUE(SUBSTITUTE(D23,"%",""))*100,0))</f>
        <v/>
      </c>
      <c r="G23" s="7" t="n"/>
      <c r="H23" s="7" t="n"/>
      <c r="I23" s="7" t="n"/>
      <c r="J23" s="7" t="n"/>
      <c r="K23" s="7" t="n"/>
      <c r="L23" s="7" t="n"/>
      <c r="M23" s="7">
        <f>IF(G23="","",IFERROR(VLOOKUP(G23,'F01 - _Données Expatriés'!$F$6:$F$20,1,FALSE),""))</f>
        <v/>
      </c>
      <c r="N23" s="7">
        <f>IF(J23="","",IFERROR(COUNTIF($J$6:$J$115,J23),0))</f>
        <v/>
      </c>
    </row>
    <row r="24" ht="22" customHeight="1">
      <c r="A24" s="5" t="n"/>
      <c r="B24" s="5" t="n"/>
      <c r="C24" s="5" t="n"/>
      <c r="D24" s="5" t="n"/>
      <c r="E24" s="5" t="n"/>
      <c r="F24" s="24">
        <f>IF(OR(D24="",E24=""),"",IFERROR(VALUE(SUBSTITUTE(E24,"%",""))/VALUE(SUBSTITUTE(D24,"%",""))*100,0))</f>
        <v/>
      </c>
      <c r="G24" s="5" t="n"/>
      <c r="H24" s="5" t="n"/>
      <c r="I24" s="5" t="n"/>
      <c r="J24" s="5" t="n"/>
      <c r="K24" s="5" t="n"/>
      <c r="L24" s="5" t="n"/>
      <c r="M24" s="5">
        <f>IF(G24="","",IFERROR(VLOOKUP(G24,'F01 - _Données Expatriés'!$F$6:$F$20,1,FALSE),""))</f>
        <v/>
      </c>
      <c r="N24" s="5">
        <f>IF(J24="","",IFERROR(COUNTIF($J$6:$J$115,J24),0))</f>
        <v/>
      </c>
    </row>
    <row r="25" ht="22" customHeight="1">
      <c r="A25" s="7" t="n"/>
      <c r="B25" s="7" t="n"/>
      <c r="C25" s="7" t="n"/>
      <c r="D25" s="7" t="n"/>
      <c r="E25" s="7" t="n"/>
      <c r="F25" s="26">
        <f>IF(OR(D25="",E25=""),"",IFERROR(VALUE(SUBSTITUTE(E25,"%",""))/VALUE(SUBSTITUTE(D25,"%",""))*100,0))</f>
        <v/>
      </c>
      <c r="G25" s="7" t="n"/>
      <c r="H25" s="7" t="n"/>
      <c r="I25" s="7" t="n"/>
      <c r="J25" s="7" t="n"/>
      <c r="K25" s="7" t="n"/>
      <c r="L25" s="7" t="n"/>
      <c r="M25" s="7">
        <f>IF(G25="","",IFERROR(VLOOKUP(G25,'F01 - _Données Expatriés'!$F$6:$F$20,1,FALSE),""))</f>
        <v/>
      </c>
      <c r="N25" s="7">
        <f>IF(J25="","",IFERROR(COUNTIF($J$6:$J$115,J25),0))</f>
        <v/>
      </c>
    </row>
    <row r="26" ht="22" customHeight="1">
      <c r="A26" s="5" t="n"/>
      <c r="B26" s="5" t="n"/>
      <c r="C26" s="5" t="n"/>
      <c r="D26" s="5" t="n"/>
      <c r="E26" s="5" t="n"/>
      <c r="F26" s="24">
        <f>IF(OR(D26="",E26=""),"",IFERROR(VALUE(SUBSTITUTE(E26,"%",""))/VALUE(SUBSTITUTE(D26,"%",""))*100,0))</f>
        <v/>
      </c>
      <c r="G26" s="5" t="n"/>
      <c r="H26" s="5" t="n"/>
      <c r="I26" s="5" t="n"/>
      <c r="J26" s="5" t="n"/>
      <c r="K26" s="5" t="n"/>
      <c r="L26" s="5" t="n"/>
      <c r="M26" s="5">
        <f>IF(G26="","",IFERROR(VLOOKUP(G26,'F01 - _Données Expatriés'!$F$6:$F$20,1,FALSE),""))</f>
        <v/>
      </c>
      <c r="N26" s="5">
        <f>IF(J26="","",IFERROR(COUNTIF($J$6:$J$115,J26),0))</f>
        <v/>
      </c>
    </row>
    <row r="27" ht="22" customHeight="1">
      <c r="A27" s="7" t="n"/>
      <c r="B27" s="7" t="n"/>
      <c r="C27" s="7" t="n"/>
      <c r="D27" s="7" t="n"/>
      <c r="E27" s="7" t="n"/>
      <c r="F27" s="26">
        <f>IF(OR(D27="",E27=""),"",IFERROR(VALUE(SUBSTITUTE(E27,"%",""))/VALUE(SUBSTITUTE(D27,"%",""))*100,0))</f>
        <v/>
      </c>
      <c r="G27" s="7" t="n"/>
      <c r="H27" s="7" t="n"/>
      <c r="I27" s="7" t="n"/>
      <c r="J27" s="7" t="n"/>
      <c r="K27" s="7" t="n"/>
      <c r="L27" s="7" t="n"/>
      <c r="M27" s="7">
        <f>IF(G27="","",IFERROR(VLOOKUP(G27,'F01 - _Données Expatriés'!$F$6:$F$20,1,FALSE),""))</f>
        <v/>
      </c>
      <c r="N27" s="7">
        <f>IF(J27="","",IFERROR(COUNTIF($J$6:$J$115,J27),0))</f>
        <v/>
      </c>
    </row>
    <row r="28" ht="22" customHeight="1">
      <c r="A28" s="5" t="n"/>
      <c r="B28" s="5" t="n"/>
      <c r="C28" s="5" t="n"/>
      <c r="D28" s="5" t="n"/>
      <c r="E28" s="5" t="n"/>
      <c r="F28" s="24">
        <f>IF(OR(D28="",E28=""),"",IFERROR(VALUE(SUBSTITUTE(E28,"%",""))/VALUE(SUBSTITUTE(D28,"%",""))*100,0))</f>
        <v/>
      </c>
      <c r="G28" s="5" t="n"/>
      <c r="H28" s="5" t="n"/>
      <c r="I28" s="5" t="n"/>
      <c r="J28" s="5" t="n"/>
      <c r="K28" s="5" t="n"/>
      <c r="L28" s="5" t="n"/>
      <c r="M28" s="5">
        <f>IF(G28="","",IFERROR(VLOOKUP(G28,'F01 - _Données Expatriés'!$F$6:$F$20,1,FALSE),""))</f>
        <v/>
      </c>
      <c r="N28" s="5">
        <f>IF(J28="","",IFERROR(COUNTIF($J$6:$J$115,J28),0))</f>
        <v/>
      </c>
    </row>
    <row r="29" ht="22" customHeight="1">
      <c r="A29" s="7" t="n"/>
      <c r="B29" s="7" t="n"/>
      <c r="C29" s="7" t="n"/>
      <c r="D29" s="7" t="n"/>
      <c r="E29" s="7" t="n"/>
      <c r="F29" s="26">
        <f>IF(OR(D29="",E29=""),"",IFERROR(VALUE(SUBSTITUTE(E29,"%",""))/VALUE(SUBSTITUTE(D29,"%",""))*100,0))</f>
        <v/>
      </c>
      <c r="G29" s="7" t="n"/>
      <c r="H29" s="7" t="n"/>
      <c r="I29" s="7" t="n"/>
      <c r="J29" s="7" t="n"/>
      <c r="K29" s="7" t="n"/>
      <c r="L29" s="7" t="n"/>
      <c r="M29" s="7">
        <f>IF(G29="","",IFERROR(VLOOKUP(G29,'F01 - _Données Expatriés'!$F$6:$F$20,1,FALSE),""))</f>
        <v/>
      </c>
      <c r="N29" s="7">
        <f>IF(J29="","",IFERROR(COUNTIF($J$6:$J$115,J29),0))</f>
        <v/>
      </c>
    </row>
    <row r="30" ht="22" customHeight="1">
      <c r="A30" s="5" t="n"/>
      <c r="B30" s="5" t="n"/>
      <c r="C30" s="5" t="n"/>
      <c r="D30" s="5" t="n"/>
      <c r="E30" s="5" t="n"/>
      <c r="F30" s="24">
        <f>IF(OR(D30="",E30=""),"",IFERROR(VALUE(SUBSTITUTE(E30,"%",""))/VALUE(SUBSTITUTE(D30,"%",""))*100,0))</f>
        <v/>
      </c>
      <c r="G30" s="5" t="n"/>
      <c r="H30" s="5" t="n"/>
      <c r="I30" s="5" t="n"/>
      <c r="J30" s="5" t="n"/>
      <c r="K30" s="5" t="n"/>
      <c r="L30" s="5" t="n"/>
      <c r="M30" s="5">
        <f>IF(G30="","",IFERROR(VLOOKUP(G30,'F01 - _Données Expatriés'!$F$6:$F$20,1,FALSE),""))</f>
        <v/>
      </c>
      <c r="N30" s="5">
        <f>IF(J30="","",IFERROR(COUNTIF($J$6:$J$115,J30),0))</f>
        <v/>
      </c>
    </row>
    <row r="31" ht="22" customHeight="1">
      <c r="A31" s="7" t="n"/>
      <c r="B31" s="7" t="n"/>
      <c r="C31" s="7" t="n"/>
      <c r="D31" s="7" t="n"/>
      <c r="E31" s="7" t="n"/>
      <c r="F31" s="26">
        <f>IF(OR(D31="",E31=""),"",IFERROR(VALUE(SUBSTITUTE(E31,"%",""))/VALUE(SUBSTITUTE(D31,"%",""))*100,0))</f>
        <v/>
      </c>
      <c r="G31" s="7" t="n"/>
      <c r="H31" s="7" t="n"/>
      <c r="I31" s="7" t="n"/>
      <c r="J31" s="7" t="n"/>
      <c r="K31" s="7" t="n"/>
      <c r="L31" s="7" t="n"/>
      <c r="M31" s="7">
        <f>IF(G31="","",IFERROR(VLOOKUP(G31,'F01 - _Données Expatriés'!$F$6:$F$20,1,FALSE),""))</f>
        <v/>
      </c>
      <c r="N31" s="7">
        <f>IF(J31="","",IFERROR(COUNTIF($J$6:$J$115,J31),0))</f>
        <v/>
      </c>
    </row>
    <row r="32" ht="22" customHeight="1">
      <c r="A32" s="5" t="n"/>
      <c r="B32" s="5" t="n"/>
      <c r="C32" s="5" t="n"/>
      <c r="D32" s="5" t="n"/>
      <c r="E32" s="5" t="n"/>
      <c r="F32" s="24">
        <f>IF(OR(D32="",E32=""),"",IFERROR(VALUE(SUBSTITUTE(E32,"%",""))/VALUE(SUBSTITUTE(D32,"%",""))*100,0))</f>
        <v/>
      </c>
      <c r="G32" s="5" t="n"/>
      <c r="H32" s="5" t="n"/>
      <c r="I32" s="5" t="n"/>
      <c r="J32" s="5" t="n"/>
      <c r="K32" s="5" t="n"/>
      <c r="L32" s="5" t="n"/>
      <c r="M32" s="5">
        <f>IF(G32="","",IFERROR(VLOOKUP(G32,'F01 - _Données Expatriés'!$F$6:$F$20,1,FALSE),""))</f>
        <v/>
      </c>
      <c r="N32" s="5">
        <f>IF(J32="","",IFERROR(COUNTIF($J$6:$J$115,J32),0))</f>
        <v/>
      </c>
    </row>
    <row r="33" ht="22" customHeight="1">
      <c r="A33" s="7" t="n"/>
      <c r="B33" s="7" t="n"/>
      <c r="C33" s="7" t="n"/>
      <c r="D33" s="7" t="n"/>
      <c r="E33" s="7" t="n"/>
      <c r="F33" s="26">
        <f>IF(OR(D33="",E33=""),"",IFERROR(VALUE(SUBSTITUTE(E33,"%",""))/VALUE(SUBSTITUTE(D33,"%",""))*100,0))</f>
        <v/>
      </c>
      <c r="G33" s="7" t="n"/>
      <c r="H33" s="7" t="n"/>
      <c r="I33" s="7" t="n"/>
      <c r="J33" s="7" t="n"/>
      <c r="K33" s="7" t="n"/>
      <c r="L33" s="7" t="n"/>
      <c r="M33" s="7">
        <f>IF(G33="","",IFERROR(VLOOKUP(G33,'F01 - _Données Expatriés'!$F$6:$F$20,1,FALSE),""))</f>
        <v/>
      </c>
      <c r="N33" s="7">
        <f>IF(J33="","",IFERROR(COUNTIF($J$6:$J$115,J33),0))</f>
        <v/>
      </c>
    </row>
    <row r="34" ht="22" customHeight="1">
      <c r="A34" s="5" t="n"/>
      <c r="B34" s="5" t="n"/>
      <c r="C34" s="5" t="n"/>
      <c r="D34" s="5" t="n"/>
      <c r="E34" s="5" t="n"/>
      <c r="F34" s="24">
        <f>IF(OR(D34="",E34=""),"",IFERROR(VALUE(SUBSTITUTE(E34,"%",""))/VALUE(SUBSTITUTE(D34,"%",""))*100,0))</f>
        <v/>
      </c>
      <c r="G34" s="5" t="n"/>
      <c r="H34" s="5" t="n"/>
      <c r="I34" s="5" t="n"/>
      <c r="J34" s="5" t="n"/>
      <c r="K34" s="5" t="n"/>
      <c r="L34" s="5" t="n"/>
      <c r="M34" s="5">
        <f>IF(G34="","",IFERROR(VLOOKUP(G34,'F01 - _Données Expatriés'!$F$6:$F$20,1,FALSE),""))</f>
        <v/>
      </c>
      <c r="N34" s="5">
        <f>IF(J34="","",IFERROR(COUNTIF($J$6:$J$115,J34),0))</f>
        <v/>
      </c>
    </row>
    <row r="35" ht="22" customHeight="1">
      <c r="A35" s="7" t="n"/>
      <c r="B35" s="7" t="n"/>
      <c r="C35" s="7" t="n"/>
      <c r="D35" s="7" t="n"/>
      <c r="E35" s="7" t="n"/>
      <c r="F35" s="26">
        <f>IF(OR(D35="",E35=""),"",IFERROR(VALUE(SUBSTITUTE(E35,"%",""))/VALUE(SUBSTITUTE(D35,"%",""))*100,0))</f>
        <v/>
      </c>
      <c r="G35" s="7" t="n"/>
      <c r="H35" s="7" t="n"/>
      <c r="I35" s="7" t="n"/>
      <c r="J35" s="7" t="n"/>
      <c r="K35" s="7" t="n"/>
      <c r="L35" s="7" t="n"/>
      <c r="M35" s="7">
        <f>IF(G35="","",IFERROR(VLOOKUP(G35,'F01 - _Données Expatriés'!$F$6:$F$20,1,FALSE),""))</f>
        <v/>
      </c>
      <c r="N35" s="7">
        <f>IF(J35="","",IFERROR(COUNTIF($J$6:$J$115,J35),0))</f>
        <v/>
      </c>
    </row>
    <row r="36" ht="22" customHeight="1">
      <c r="A36" s="5" t="n"/>
      <c r="B36" s="5" t="n"/>
      <c r="C36" s="5" t="n"/>
      <c r="D36" s="5" t="n"/>
      <c r="E36" s="5" t="n"/>
      <c r="F36" s="24">
        <f>IF(OR(D36="",E36=""),"",IFERROR(VALUE(SUBSTITUTE(E36,"%",""))/VALUE(SUBSTITUTE(D36,"%",""))*100,0))</f>
        <v/>
      </c>
      <c r="G36" s="5" t="n"/>
      <c r="H36" s="5" t="n"/>
      <c r="I36" s="5" t="n"/>
      <c r="J36" s="5" t="n"/>
      <c r="K36" s="5" t="n"/>
      <c r="L36" s="5" t="n"/>
      <c r="M36" s="5">
        <f>IF(G36="","",IFERROR(VLOOKUP(G36,'F01 - _Données Expatriés'!$F$6:$F$20,1,FALSE),""))</f>
        <v/>
      </c>
      <c r="N36" s="5">
        <f>IF(J36="","",IFERROR(COUNTIF($J$6:$J$115,J36),0))</f>
        <v/>
      </c>
    </row>
    <row r="37" ht="22" customHeight="1">
      <c r="A37" s="7" t="n"/>
      <c r="B37" s="7" t="n"/>
      <c r="C37" s="7" t="n"/>
      <c r="D37" s="7" t="n"/>
      <c r="E37" s="7" t="n"/>
      <c r="F37" s="26">
        <f>IF(OR(D37="",E37=""),"",IFERROR(VALUE(SUBSTITUTE(E37,"%",""))/VALUE(SUBSTITUTE(D37,"%",""))*100,0))</f>
        <v/>
      </c>
      <c r="G37" s="7" t="n"/>
      <c r="H37" s="7" t="n"/>
      <c r="I37" s="7" t="n"/>
      <c r="J37" s="7" t="n"/>
      <c r="K37" s="7" t="n"/>
      <c r="L37" s="7" t="n"/>
      <c r="M37" s="7">
        <f>IF(G37="","",IFERROR(VLOOKUP(G37,'F01 - _Données Expatriés'!$F$6:$F$20,1,FALSE),""))</f>
        <v/>
      </c>
      <c r="N37" s="7">
        <f>IF(J37="","",IFERROR(COUNTIF($J$6:$J$115,J37),0))</f>
        <v/>
      </c>
    </row>
    <row r="38" ht="22" customHeight="1">
      <c r="A38" s="5" t="n"/>
      <c r="B38" s="5" t="n"/>
      <c r="C38" s="5" t="n"/>
      <c r="D38" s="5" t="n"/>
      <c r="E38" s="5" t="n"/>
      <c r="F38" s="24">
        <f>IF(OR(D38="",E38=""),"",IFERROR(VALUE(SUBSTITUTE(E38,"%",""))/VALUE(SUBSTITUTE(D38,"%",""))*100,0))</f>
        <v/>
      </c>
      <c r="G38" s="5" t="n"/>
      <c r="H38" s="5" t="n"/>
      <c r="I38" s="5" t="n"/>
      <c r="J38" s="5" t="n"/>
      <c r="K38" s="5" t="n"/>
      <c r="L38" s="5" t="n"/>
      <c r="M38" s="5">
        <f>IF(G38="","",IFERROR(VLOOKUP(G38,'F01 - _Données Expatriés'!$F$6:$F$20,1,FALSE),""))</f>
        <v/>
      </c>
      <c r="N38" s="5">
        <f>IF(J38="","",IFERROR(COUNTIF($J$6:$J$115,J38),0))</f>
        <v/>
      </c>
    </row>
    <row r="39" ht="22" customHeight="1">
      <c r="A39" s="7" t="n"/>
      <c r="B39" s="7" t="n"/>
      <c r="C39" s="7" t="n"/>
      <c r="D39" s="7" t="n"/>
      <c r="E39" s="7" t="n"/>
      <c r="F39" s="26">
        <f>IF(OR(D39="",E39=""),"",IFERROR(VALUE(SUBSTITUTE(E39,"%",""))/VALUE(SUBSTITUTE(D39,"%",""))*100,0))</f>
        <v/>
      </c>
      <c r="G39" s="7" t="n"/>
      <c r="H39" s="7" t="n"/>
      <c r="I39" s="7" t="n"/>
      <c r="J39" s="7" t="n"/>
      <c r="K39" s="7" t="n"/>
      <c r="L39" s="7" t="n"/>
      <c r="M39" s="7">
        <f>IF(G39="","",IFERROR(VLOOKUP(G39,'F01 - _Données Expatriés'!$F$6:$F$20,1,FALSE),""))</f>
        <v/>
      </c>
      <c r="N39" s="7">
        <f>IF(J39="","",IFERROR(COUNTIF($J$6:$J$115,J39),0))</f>
        <v/>
      </c>
    </row>
    <row r="40" ht="22" customHeight="1">
      <c r="A40" s="5" t="n"/>
      <c r="B40" s="5" t="n"/>
      <c r="C40" s="5" t="n"/>
      <c r="D40" s="5" t="n"/>
      <c r="E40" s="5" t="n"/>
      <c r="F40" s="24">
        <f>IF(OR(D40="",E40=""),"",IFERROR(VALUE(SUBSTITUTE(E40,"%",""))/VALUE(SUBSTITUTE(D40,"%",""))*100,0))</f>
        <v/>
      </c>
      <c r="G40" s="5" t="n"/>
      <c r="H40" s="5" t="n"/>
      <c r="I40" s="5" t="n"/>
      <c r="J40" s="5" t="n"/>
      <c r="K40" s="5" t="n"/>
      <c r="L40" s="5" t="n"/>
      <c r="M40" s="5">
        <f>IF(G40="","",IFERROR(VLOOKUP(G40,'F01 - _Données Expatriés'!$F$6:$F$20,1,FALSE),""))</f>
        <v/>
      </c>
      <c r="N40" s="5">
        <f>IF(J40="","",IFERROR(COUNTIF($J$6:$J$115,J40),0))</f>
        <v/>
      </c>
    </row>
    <row r="41" ht="22" customHeight="1">
      <c r="A41" s="7" t="n"/>
      <c r="B41" s="7" t="n"/>
      <c r="C41" s="7" t="n"/>
      <c r="D41" s="7" t="n"/>
      <c r="E41" s="7" t="n"/>
      <c r="F41" s="26">
        <f>IF(OR(D41="",E41=""),"",IFERROR(VALUE(SUBSTITUTE(E41,"%",""))/VALUE(SUBSTITUTE(D41,"%",""))*100,0))</f>
        <v/>
      </c>
      <c r="G41" s="7" t="n"/>
      <c r="H41" s="7" t="n"/>
      <c r="I41" s="7" t="n"/>
      <c r="J41" s="7" t="n"/>
      <c r="K41" s="7" t="n"/>
      <c r="L41" s="7" t="n"/>
      <c r="M41" s="7">
        <f>IF(G41="","",IFERROR(VLOOKUP(G41,'F01 - _Données Expatriés'!$F$6:$F$20,1,FALSE),""))</f>
        <v/>
      </c>
      <c r="N41" s="7">
        <f>IF(J41="","",IFERROR(COUNTIF($J$6:$J$115,J41),0))</f>
        <v/>
      </c>
    </row>
    <row r="42" ht="22" customHeight="1">
      <c r="A42" s="5" t="n"/>
      <c r="B42" s="5" t="n"/>
      <c r="C42" s="5" t="n"/>
      <c r="D42" s="5" t="n"/>
      <c r="E42" s="5" t="n"/>
      <c r="F42" s="24">
        <f>IF(OR(D42="",E42=""),"",IFERROR(VALUE(SUBSTITUTE(E42,"%",""))/VALUE(SUBSTITUTE(D42,"%",""))*100,0))</f>
        <v/>
      </c>
      <c r="G42" s="5" t="n"/>
      <c r="H42" s="5" t="n"/>
      <c r="I42" s="5" t="n"/>
      <c r="J42" s="5" t="n"/>
      <c r="K42" s="5" t="n"/>
      <c r="L42" s="5" t="n"/>
      <c r="M42" s="5">
        <f>IF(G42="","",IFERROR(VLOOKUP(G42,'F01 - _Données Expatriés'!$F$6:$F$20,1,FALSE),""))</f>
        <v/>
      </c>
      <c r="N42" s="5">
        <f>IF(J42="","",IFERROR(COUNTIF($J$6:$J$115,J42),0))</f>
        <v/>
      </c>
    </row>
    <row r="43" ht="22" customHeight="1">
      <c r="A43" s="7" t="n"/>
      <c r="B43" s="7" t="n"/>
      <c r="C43" s="7" t="n"/>
      <c r="D43" s="7" t="n"/>
      <c r="E43" s="7" t="n"/>
      <c r="F43" s="26">
        <f>IF(OR(D43="",E43=""),"",IFERROR(VALUE(SUBSTITUTE(E43,"%",""))/VALUE(SUBSTITUTE(D43,"%",""))*100,0))</f>
        <v/>
      </c>
      <c r="G43" s="7" t="n"/>
      <c r="H43" s="7" t="n"/>
      <c r="I43" s="7" t="n"/>
      <c r="J43" s="7" t="n"/>
      <c r="K43" s="7" t="n"/>
      <c r="L43" s="7" t="n"/>
      <c r="M43" s="7">
        <f>IF(G43="","",IFERROR(VLOOKUP(G43,'F01 - _Données Expatriés'!$F$6:$F$20,1,FALSE),""))</f>
        <v/>
      </c>
      <c r="N43" s="7">
        <f>IF(J43="","",IFERROR(COUNTIF($J$6:$J$115,J43),0))</f>
        <v/>
      </c>
    </row>
    <row r="44" ht="22" customHeight="1">
      <c r="A44" s="5" t="n"/>
      <c r="B44" s="5" t="n"/>
      <c r="C44" s="5" t="n"/>
      <c r="D44" s="5" t="n"/>
      <c r="E44" s="5" t="n"/>
      <c r="F44" s="24">
        <f>IF(OR(D44="",E44=""),"",IFERROR(VALUE(SUBSTITUTE(E44,"%",""))/VALUE(SUBSTITUTE(D44,"%",""))*100,0))</f>
        <v/>
      </c>
      <c r="G44" s="5" t="n"/>
      <c r="H44" s="5" t="n"/>
      <c r="I44" s="5" t="n"/>
      <c r="J44" s="5" t="n"/>
      <c r="K44" s="5" t="n"/>
      <c r="L44" s="5" t="n"/>
      <c r="M44" s="5">
        <f>IF(G44="","",IFERROR(VLOOKUP(G44,'F01 - _Données Expatriés'!$F$6:$F$20,1,FALSE),""))</f>
        <v/>
      </c>
      <c r="N44" s="5">
        <f>IF(J44="","",IFERROR(COUNTIF($J$6:$J$115,J44),0))</f>
        <v/>
      </c>
    </row>
    <row r="45" ht="22" customHeight="1">
      <c r="A45" s="7" t="n"/>
      <c r="B45" s="7" t="n"/>
      <c r="C45" s="7" t="n"/>
      <c r="D45" s="7" t="n"/>
      <c r="E45" s="7" t="n"/>
      <c r="F45" s="26">
        <f>IF(OR(D45="",E45=""),"",IFERROR(VALUE(SUBSTITUTE(E45,"%",""))/VALUE(SUBSTITUTE(D45,"%",""))*100,0))</f>
        <v/>
      </c>
      <c r="G45" s="7" t="n"/>
      <c r="H45" s="7" t="n"/>
      <c r="I45" s="7" t="n"/>
      <c r="J45" s="7" t="n"/>
      <c r="K45" s="7" t="n"/>
      <c r="L45" s="7" t="n"/>
      <c r="M45" s="7">
        <f>IF(G45="","",IFERROR(VLOOKUP(G45,'F01 - _Données Expatriés'!$F$6:$F$20,1,FALSE),""))</f>
        <v/>
      </c>
      <c r="N45" s="7">
        <f>IF(J45="","",IFERROR(COUNTIF($J$6:$J$115,J45),0))</f>
        <v/>
      </c>
    </row>
    <row r="46" ht="22" customHeight="1">
      <c r="A46" s="5" t="n"/>
      <c r="B46" s="5" t="n"/>
      <c r="C46" s="5" t="n"/>
      <c r="D46" s="5" t="n"/>
      <c r="E46" s="5" t="n"/>
      <c r="F46" s="24">
        <f>IF(OR(D46="",E46=""),"",IFERROR(VALUE(SUBSTITUTE(E46,"%",""))/VALUE(SUBSTITUTE(D46,"%",""))*100,0))</f>
        <v/>
      </c>
      <c r="G46" s="5" t="n"/>
      <c r="H46" s="5" t="n"/>
      <c r="I46" s="5" t="n"/>
      <c r="J46" s="5" t="n"/>
      <c r="K46" s="5" t="n"/>
      <c r="L46" s="5" t="n"/>
      <c r="M46" s="5">
        <f>IF(G46="","",IFERROR(VLOOKUP(G46,'F01 - _Données Expatriés'!$F$6:$F$20,1,FALSE),""))</f>
        <v/>
      </c>
      <c r="N46" s="5">
        <f>IF(J46="","",IFERROR(COUNTIF($J$6:$J$115,J46),0))</f>
        <v/>
      </c>
    </row>
    <row r="47" ht="22" customHeight="1">
      <c r="A47" s="7" t="n"/>
      <c r="B47" s="7" t="n"/>
      <c r="C47" s="7" t="n"/>
      <c r="D47" s="7" t="n"/>
      <c r="E47" s="7" t="n"/>
      <c r="F47" s="26">
        <f>IF(OR(D47="",E47=""),"",IFERROR(VALUE(SUBSTITUTE(E47,"%",""))/VALUE(SUBSTITUTE(D47,"%",""))*100,0))</f>
        <v/>
      </c>
      <c r="G47" s="7" t="n"/>
      <c r="H47" s="7" t="n"/>
      <c r="I47" s="7" t="n"/>
      <c r="J47" s="7" t="n"/>
      <c r="K47" s="7" t="n"/>
      <c r="L47" s="7" t="n"/>
      <c r="M47" s="7">
        <f>IF(G47="","",IFERROR(VLOOKUP(G47,'F01 - _Données Expatriés'!$F$6:$F$20,1,FALSE),""))</f>
        <v/>
      </c>
      <c r="N47" s="7">
        <f>IF(J47="","",IFERROR(COUNTIF($J$6:$J$115,J47),0))</f>
        <v/>
      </c>
    </row>
    <row r="48" ht="22" customHeight="1">
      <c r="A48" s="5" t="n"/>
      <c r="B48" s="5" t="n"/>
      <c r="C48" s="5" t="n"/>
      <c r="D48" s="5" t="n"/>
      <c r="E48" s="5" t="n"/>
      <c r="F48" s="24">
        <f>IF(OR(D48="",E48=""),"",IFERROR(VALUE(SUBSTITUTE(E48,"%",""))/VALUE(SUBSTITUTE(D48,"%",""))*100,0))</f>
        <v/>
      </c>
      <c r="G48" s="5" t="n"/>
      <c r="H48" s="5" t="n"/>
      <c r="I48" s="5" t="n"/>
      <c r="J48" s="5" t="n"/>
      <c r="K48" s="5" t="n"/>
      <c r="L48" s="5" t="n"/>
      <c r="M48" s="5">
        <f>IF(G48="","",IFERROR(VLOOKUP(G48,'F01 - _Données Expatriés'!$F$6:$F$20,1,FALSE),""))</f>
        <v/>
      </c>
      <c r="N48" s="5">
        <f>IF(J48="","",IFERROR(COUNTIF($J$6:$J$115,J48),0))</f>
        <v/>
      </c>
    </row>
    <row r="49" ht="22" customHeight="1">
      <c r="A49" s="7" t="n"/>
      <c r="B49" s="7" t="n"/>
      <c r="C49" s="7" t="n"/>
      <c r="D49" s="7" t="n"/>
      <c r="E49" s="7" t="n"/>
      <c r="F49" s="26">
        <f>IF(OR(D49="",E49=""),"",IFERROR(VALUE(SUBSTITUTE(E49,"%",""))/VALUE(SUBSTITUTE(D49,"%",""))*100,0))</f>
        <v/>
      </c>
      <c r="G49" s="7" t="n"/>
      <c r="H49" s="7" t="n"/>
      <c r="I49" s="7" t="n"/>
      <c r="J49" s="7" t="n"/>
      <c r="K49" s="7" t="n"/>
      <c r="L49" s="7" t="n"/>
      <c r="M49" s="7">
        <f>IF(G49="","",IFERROR(VLOOKUP(G49,'F01 - _Données Expatriés'!$F$6:$F$20,1,FALSE),""))</f>
        <v/>
      </c>
      <c r="N49" s="7">
        <f>IF(J49="","",IFERROR(COUNTIF($J$6:$J$115,J49),0))</f>
        <v/>
      </c>
    </row>
    <row r="50" ht="22" customHeight="1">
      <c r="A50" s="5" t="n"/>
      <c r="B50" s="5" t="n"/>
      <c r="C50" s="5" t="n"/>
      <c r="D50" s="5" t="n"/>
      <c r="E50" s="5" t="n"/>
      <c r="F50" s="24">
        <f>IF(OR(D50="",E50=""),"",IFERROR(VALUE(SUBSTITUTE(E50,"%",""))/VALUE(SUBSTITUTE(D50,"%",""))*100,0))</f>
        <v/>
      </c>
      <c r="G50" s="5" t="n"/>
      <c r="H50" s="5" t="n"/>
      <c r="I50" s="5" t="n"/>
      <c r="J50" s="5" t="n"/>
      <c r="K50" s="5" t="n"/>
      <c r="L50" s="5" t="n"/>
      <c r="M50" s="5">
        <f>IF(G50="","",IFERROR(VLOOKUP(G50,'F01 - _Données Expatriés'!$F$6:$F$20,1,FALSE),""))</f>
        <v/>
      </c>
      <c r="N50" s="5">
        <f>IF(J50="","",IFERROR(COUNTIF($J$6:$J$115,J50),0))</f>
        <v/>
      </c>
    </row>
    <row r="51" ht="22" customHeight="1">
      <c r="A51" s="7" t="n"/>
      <c r="B51" s="7" t="n"/>
      <c r="C51" s="7" t="n"/>
      <c r="D51" s="7" t="n"/>
      <c r="E51" s="7" t="n"/>
      <c r="F51" s="26">
        <f>IF(OR(D51="",E51=""),"",IFERROR(VALUE(SUBSTITUTE(E51,"%",""))/VALUE(SUBSTITUTE(D51,"%",""))*100,0))</f>
        <v/>
      </c>
      <c r="G51" s="7" t="n"/>
      <c r="H51" s="7" t="n"/>
      <c r="I51" s="7" t="n"/>
      <c r="J51" s="7" t="n"/>
      <c r="K51" s="7" t="n"/>
      <c r="L51" s="7" t="n"/>
      <c r="M51" s="7">
        <f>IF(G51="","",IFERROR(VLOOKUP(G51,'F01 - _Données Expatriés'!$F$6:$F$20,1,FALSE),""))</f>
        <v/>
      </c>
      <c r="N51" s="7">
        <f>IF(J51="","",IFERROR(COUNTIF($J$6:$J$115,J51),0))</f>
        <v/>
      </c>
    </row>
    <row r="52" ht="22" customHeight="1">
      <c r="A52" s="5" t="n"/>
      <c r="B52" s="5" t="n"/>
      <c r="C52" s="5" t="n"/>
      <c r="D52" s="5" t="n"/>
      <c r="E52" s="5" t="n"/>
      <c r="F52" s="24">
        <f>IF(OR(D52="",E52=""),"",IFERROR(VALUE(SUBSTITUTE(E52,"%",""))/VALUE(SUBSTITUTE(D52,"%",""))*100,0))</f>
        <v/>
      </c>
      <c r="G52" s="5" t="n"/>
      <c r="H52" s="5" t="n"/>
      <c r="I52" s="5" t="n"/>
      <c r="J52" s="5" t="n"/>
      <c r="K52" s="5" t="n"/>
      <c r="L52" s="5" t="n"/>
      <c r="M52" s="5">
        <f>IF(G52="","",IFERROR(VLOOKUP(G52,'F01 - _Données Expatriés'!$F$6:$F$20,1,FALSE),""))</f>
        <v/>
      </c>
      <c r="N52" s="5">
        <f>IF(J52="","",IFERROR(COUNTIF($J$6:$J$115,J52),0))</f>
        <v/>
      </c>
    </row>
    <row r="53" ht="22" customHeight="1">
      <c r="A53" s="7" t="n"/>
      <c r="B53" s="7" t="n"/>
      <c r="C53" s="7" t="n"/>
      <c r="D53" s="7" t="n"/>
      <c r="E53" s="7" t="n"/>
      <c r="F53" s="26">
        <f>IF(OR(D53="",E53=""),"",IFERROR(VALUE(SUBSTITUTE(E53,"%",""))/VALUE(SUBSTITUTE(D53,"%",""))*100,0))</f>
        <v/>
      </c>
      <c r="G53" s="7" t="n"/>
      <c r="H53" s="7" t="n"/>
      <c r="I53" s="7" t="n"/>
      <c r="J53" s="7" t="n"/>
      <c r="K53" s="7" t="n"/>
      <c r="L53" s="7" t="n"/>
      <c r="M53" s="7">
        <f>IF(G53="","",IFERROR(VLOOKUP(G53,'F01 - _Données Expatriés'!$F$6:$F$20,1,FALSE),""))</f>
        <v/>
      </c>
      <c r="N53" s="7">
        <f>IF(J53="","",IFERROR(COUNTIF($J$6:$J$115,J53),0))</f>
        <v/>
      </c>
    </row>
    <row r="54" ht="22" customHeight="1">
      <c r="A54" s="5" t="n"/>
      <c r="B54" s="5" t="n"/>
      <c r="C54" s="5" t="n"/>
      <c r="D54" s="5" t="n"/>
      <c r="E54" s="5" t="n"/>
      <c r="F54" s="24">
        <f>IF(OR(D54="",E54=""),"",IFERROR(VALUE(SUBSTITUTE(E54,"%",""))/VALUE(SUBSTITUTE(D54,"%",""))*100,0))</f>
        <v/>
      </c>
      <c r="G54" s="5" t="n"/>
      <c r="H54" s="5" t="n"/>
      <c r="I54" s="5" t="n"/>
      <c r="J54" s="5" t="n"/>
      <c r="K54" s="5" t="n"/>
      <c r="L54" s="5" t="n"/>
      <c r="M54" s="5">
        <f>IF(G54="","",IFERROR(VLOOKUP(G54,'F01 - _Données Expatriés'!$F$6:$F$20,1,FALSE),""))</f>
        <v/>
      </c>
      <c r="N54" s="5">
        <f>IF(J54="","",IFERROR(COUNTIF($J$6:$J$115,J54),0))</f>
        <v/>
      </c>
    </row>
    <row r="55" ht="22" customHeight="1">
      <c r="A55" s="7" t="n"/>
      <c r="B55" s="7" t="n"/>
      <c r="C55" s="7" t="n"/>
      <c r="D55" s="7" t="n"/>
      <c r="E55" s="7" t="n"/>
      <c r="F55" s="26">
        <f>IF(OR(D55="",E55=""),"",IFERROR(VALUE(SUBSTITUTE(E55,"%",""))/VALUE(SUBSTITUTE(D55,"%",""))*100,0))</f>
        <v/>
      </c>
      <c r="G55" s="7" t="n"/>
      <c r="H55" s="7" t="n"/>
      <c r="I55" s="7" t="n"/>
      <c r="J55" s="7" t="n"/>
      <c r="K55" s="7" t="n"/>
      <c r="L55" s="7" t="n"/>
      <c r="M55" s="7">
        <f>IF(G55="","",IFERROR(VLOOKUP(G55,'F01 - _Données Expatriés'!$F$6:$F$20,1,FALSE),""))</f>
        <v/>
      </c>
      <c r="N55" s="7">
        <f>IF(J55="","",IFERROR(COUNTIF($J$6:$J$115,J55),0))</f>
        <v/>
      </c>
    </row>
    <row r="56" ht="22" customHeight="1">
      <c r="A56" s="5" t="n"/>
      <c r="B56" s="5" t="n"/>
      <c r="C56" s="5" t="n"/>
      <c r="D56" s="5" t="n"/>
      <c r="E56" s="5" t="n"/>
      <c r="F56" s="24">
        <f>IF(OR(D56="",E56=""),"",IFERROR(VALUE(SUBSTITUTE(E56,"%",""))/VALUE(SUBSTITUTE(D56,"%",""))*100,0))</f>
        <v/>
      </c>
      <c r="G56" s="5" t="n"/>
      <c r="H56" s="5" t="n"/>
      <c r="I56" s="5" t="n"/>
      <c r="J56" s="5" t="n"/>
      <c r="K56" s="5" t="n"/>
      <c r="L56" s="5" t="n"/>
      <c r="M56" s="5">
        <f>IF(G56="","",IFERROR(VLOOKUP(G56,'F01 - _Données Expatriés'!$F$6:$F$20,1,FALSE),""))</f>
        <v/>
      </c>
      <c r="N56" s="5">
        <f>IF(J56="","",IFERROR(COUNTIF($J$6:$J$115,J56),0))</f>
        <v/>
      </c>
    </row>
    <row r="57" ht="22" customHeight="1">
      <c r="A57" s="7" t="n"/>
      <c r="B57" s="7" t="n"/>
      <c r="C57" s="7" t="n"/>
      <c r="D57" s="7" t="n"/>
      <c r="E57" s="7" t="n"/>
      <c r="F57" s="26">
        <f>IF(OR(D57="",E57=""),"",IFERROR(VALUE(SUBSTITUTE(E57,"%",""))/VALUE(SUBSTITUTE(D57,"%",""))*100,0))</f>
        <v/>
      </c>
      <c r="G57" s="7" t="n"/>
      <c r="H57" s="7" t="n"/>
      <c r="I57" s="7" t="n"/>
      <c r="J57" s="7" t="n"/>
      <c r="K57" s="7" t="n"/>
      <c r="L57" s="7" t="n"/>
      <c r="M57" s="7">
        <f>IF(G57="","",IFERROR(VLOOKUP(G57,'F01 - _Données Expatriés'!$F$6:$F$20,1,FALSE),""))</f>
        <v/>
      </c>
      <c r="N57" s="7">
        <f>IF(J57="","",IFERROR(COUNTIF($J$6:$J$115,J57),0))</f>
        <v/>
      </c>
    </row>
    <row r="58" ht="22" customHeight="1">
      <c r="A58" s="5" t="n"/>
      <c r="B58" s="5" t="n"/>
      <c r="C58" s="5" t="n"/>
      <c r="D58" s="5" t="n"/>
      <c r="E58" s="5" t="n"/>
      <c r="F58" s="24">
        <f>IF(OR(D58="",E58=""),"",IFERROR(VALUE(SUBSTITUTE(E58,"%",""))/VALUE(SUBSTITUTE(D58,"%",""))*100,0))</f>
        <v/>
      </c>
      <c r="G58" s="5" t="n"/>
      <c r="H58" s="5" t="n"/>
      <c r="I58" s="5" t="n"/>
      <c r="J58" s="5" t="n"/>
      <c r="K58" s="5" t="n"/>
      <c r="L58" s="5" t="n"/>
      <c r="M58" s="5">
        <f>IF(G58="","",IFERROR(VLOOKUP(G58,'F01 - _Données Expatriés'!$F$6:$F$20,1,FALSE),""))</f>
        <v/>
      </c>
      <c r="N58" s="5">
        <f>IF(J58="","",IFERROR(COUNTIF($J$6:$J$115,J58),0))</f>
        <v/>
      </c>
    </row>
    <row r="59" ht="22" customHeight="1">
      <c r="A59" s="7" t="n"/>
      <c r="B59" s="7" t="n"/>
      <c r="C59" s="7" t="n"/>
      <c r="D59" s="7" t="n"/>
      <c r="E59" s="7" t="n"/>
      <c r="F59" s="26">
        <f>IF(OR(D59="",E59=""),"",IFERROR(VALUE(SUBSTITUTE(E59,"%",""))/VALUE(SUBSTITUTE(D59,"%",""))*100,0))</f>
        <v/>
      </c>
      <c r="G59" s="7" t="n"/>
      <c r="H59" s="7" t="n"/>
      <c r="I59" s="7" t="n"/>
      <c r="J59" s="7" t="n"/>
      <c r="K59" s="7" t="n"/>
      <c r="L59" s="7" t="n"/>
      <c r="M59" s="7">
        <f>IF(G59="","",IFERROR(VLOOKUP(G59,'F01 - _Données Expatriés'!$F$6:$F$20,1,FALSE),""))</f>
        <v/>
      </c>
      <c r="N59" s="7">
        <f>IF(J59="","",IFERROR(COUNTIF($J$6:$J$115,J59),0))</f>
        <v/>
      </c>
    </row>
    <row r="60" ht="22" customHeight="1">
      <c r="A60" s="5" t="n"/>
      <c r="B60" s="5" t="n"/>
      <c r="C60" s="5" t="n"/>
      <c r="D60" s="5" t="n"/>
      <c r="E60" s="5" t="n"/>
      <c r="F60" s="24">
        <f>IF(OR(D60="",E60=""),"",IFERROR(VALUE(SUBSTITUTE(E60,"%",""))/VALUE(SUBSTITUTE(D60,"%",""))*100,0))</f>
        <v/>
      </c>
      <c r="G60" s="5" t="n"/>
      <c r="H60" s="5" t="n"/>
      <c r="I60" s="5" t="n"/>
      <c r="J60" s="5" t="n"/>
      <c r="K60" s="5" t="n"/>
      <c r="L60" s="5" t="n"/>
      <c r="M60" s="5">
        <f>IF(G60="","",IFERROR(VLOOKUP(G60,'F01 - _Données Expatriés'!$F$6:$F$20,1,FALSE),""))</f>
        <v/>
      </c>
      <c r="N60" s="5">
        <f>IF(J60="","",IFERROR(COUNTIF($J$6:$J$115,J60),0))</f>
        <v/>
      </c>
    </row>
    <row r="61" ht="22" customHeight="1">
      <c r="A61" s="7" t="n"/>
      <c r="B61" s="7" t="n"/>
      <c r="C61" s="7" t="n"/>
      <c r="D61" s="7" t="n"/>
      <c r="E61" s="7" t="n"/>
      <c r="F61" s="26">
        <f>IF(OR(D61="",E61=""),"",IFERROR(VALUE(SUBSTITUTE(E61,"%",""))/VALUE(SUBSTITUTE(D61,"%",""))*100,0))</f>
        <v/>
      </c>
      <c r="G61" s="7" t="n"/>
      <c r="H61" s="7" t="n"/>
      <c r="I61" s="7" t="n"/>
      <c r="J61" s="7" t="n"/>
      <c r="K61" s="7" t="n"/>
      <c r="L61" s="7" t="n"/>
      <c r="M61" s="7">
        <f>IF(G61="","",IFERROR(VLOOKUP(G61,'F01 - _Données Expatriés'!$F$6:$F$20,1,FALSE),""))</f>
        <v/>
      </c>
      <c r="N61" s="7">
        <f>IF(J61="","",IFERROR(COUNTIF($J$6:$J$115,J61),0))</f>
        <v/>
      </c>
    </row>
    <row r="62" ht="22" customHeight="1">
      <c r="A62" s="5" t="n"/>
      <c r="B62" s="5" t="n"/>
      <c r="C62" s="5" t="n"/>
      <c r="D62" s="5" t="n"/>
      <c r="E62" s="5" t="n"/>
      <c r="F62" s="24">
        <f>IF(OR(D62="",E62=""),"",IFERROR(VALUE(SUBSTITUTE(E62,"%",""))/VALUE(SUBSTITUTE(D62,"%",""))*100,0))</f>
        <v/>
      </c>
      <c r="G62" s="5" t="n"/>
      <c r="H62" s="5" t="n"/>
      <c r="I62" s="5" t="n"/>
      <c r="J62" s="5" t="n"/>
      <c r="K62" s="5" t="n"/>
      <c r="L62" s="5" t="n"/>
      <c r="M62" s="5">
        <f>IF(G62="","",IFERROR(VLOOKUP(G62,'F01 - _Données Expatriés'!$F$6:$F$20,1,FALSE),""))</f>
        <v/>
      </c>
      <c r="N62" s="5">
        <f>IF(J62="","",IFERROR(COUNTIF($J$6:$J$115,J62),0))</f>
        <v/>
      </c>
    </row>
    <row r="63" ht="22" customHeight="1">
      <c r="A63" s="7" t="n"/>
      <c r="B63" s="7" t="n"/>
      <c r="C63" s="7" t="n"/>
      <c r="D63" s="7" t="n"/>
      <c r="E63" s="7" t="n"/>
      <c r="F63" s="26">
        <f>IF(OR(D63="",E63=""),"",IFERROR(VALUE(SUBSTITUTE(E63,"%",""))/VALUE(SUBSTITUTE(D63,"%",""))*100,0))</f>
        <v/>
      </c>
      <c r="G63" s="7" t="n"/>
      <c r="H63" s="7" t="n"/>
      <c r="I63" s="7" t="n"/>
      <c r="J63" s="7" t="n"/>
      <c r="K63" s="7" t="n"/>
      <c r="L63" s="7" t="n"/>
      <c r="M63" s="7">
        <f>IF(G63="","",IFERROR(VLOOKUP(G63,'F01 - _Données Expatriés'!$F$6:$F$20,1,FALSE),""))</f>
        <v/>
      </c>
      <c r="N63" s="7">
        <f>IF(J63="","",IFERROR(COUNTIF($J$6:$J$115,J63),0))</f>
        <v/>
      </c>
    </row>
    <row r="64" ht="22" customHeight="1">
      <c r="A64" s="5" t="n"/>
      <c r="B64" s="5" t="n"/>
      <c r="C64" s="5" t="n"/>
      <c r="D64" s="5" t="n"/>
      <c r="E64" s="5" t="n"/>
      <c r="F64" s="24">
        <f>IF(OR(D64="",E64=""),"",IFERROR(VALUE(SUBSTITUTE(E64,"%",""))/VALUE(SUBSTITUTE(D64,"%",""))*100,0))</f>
        <v/>
      </c>
      <c r="G64" s="5" t="n"/>
      <c r="H64" s="5" t="n"/>
      <c r="I64" s="5" t="n"/>
      <c r="J64" s="5" t="n"/>
      <c r="K64" s="5" t="n"/>
      <c r="L64" s="5" t="n"/>
      <c r="M64" s="5">
        <f>IF(G64="","",IFERROR(VLOOKUP(G64,'F01 - _Données Expatriés'!$F$6:$F$20,1,FALSE),""))</f>
        <v/>
      </c>
      <c r="N64" s="5">
        <f>IF(J64="","",IFERROR(COUNTIF($J$6:$J$115,J64),0))</f>
        <v/>
      </c>
    </row>
    <row r="65" ht="22" customHeight="1">
      <c r="A65" s="7" t="n"/>
      <c r="B65" s="7" t="n"/>
      <c r="C65" s="7" t="n"/>
      <c r="D65" s="7" t="n"/>
      <c r="E65" s="7" t="n"/>
      <c r="F65" s="26">
        <f>IF(OR(D65="",E65=""),"",IFERROR(VALUE(SUBSTITUTE(E65,"%",""))/VALUE(SUBSTITUTE(D65,"%",""))*100,0))</f>
        <v/>
      </c>
      <c r="G65" s="7" t="n"/>
      <c r="H65" s="7" t="n"/>
      <c r="I65" s="7" t="n"/>
      <c r="J65" s="7" t="n"/>
      <c r="K65" s="7" t="n"/>
      <c r="L65" s="7" t="n"/>
      <c r="M65" s="7">
        <f>IF(G65="","",IFERROR(VLOOKUP(G65,'F01 - _Données Expatriés'!$F$6:$F$20,1,FALSE),""))</f>
        <v/>
      </c>
      <c r="N65" s="7">
        <f>IF(J65="","",IFERROR(COUNTIF($J$6:$J$115,J65),0))</f>
        <v/>
      </c>
    </row>
    <row r="66" ht="22" customHeight="1">
      <c r="A66" s="5" t="n"/>
      <c r="B66" s="5" t="n"/>
      <c r="C66" s="5" t="n"/>
      <c r="D66" s="5" t="n"/>
      <c r="E66" s="5" t="n"/>
      <c r="F66" s="24">
        <f>IF(OR(D66="",E66=""),"",IFERROR(VALUE(SUBSTITUTE(E66,"%",""))/VALUE(SUBSTITUTE(D66,"%",""))*100,0))</f>
        <v/>
      </c>
      <c r="G66" s="5" t="n"/>
      <c r="H66" s="5" t="n"/>
      <c r="I66" s="5" t="n"/>
      <c r="J66" s="5" t="n"/>
      <c r="K66" s="5" t="n"/>
      <c r="L66" s="5" t="n"/>
      <c r="M66" s="5">
        <f>IF(G66="","",IFERROR(VLOOKUP(G66,'F01 - _Données Expatriés'!$F$6:$F$20,1,FALSE),""))</f>
        <v/>
      </c>
      <c r="N66" s="5">
        <f>IF(J66="","",IFERROR(COUNTIF($J$6:$J$115,J66),0))</f>
        <v/>
      </c>
    </row>
    <row r="67" ht="22" customHeight="1">
      <c r="A67" s="7" t="n"/>
      <c r="B67" s="7" t="n"/>
      <c r="C67" s="7" t="n"/>
      <c r="D67" s="7" t="n"/>
      <c r="E67" s="7" t="n"/>
      <c r="F67" s="26">
        <f>IF(OR(D67="",E67=""),"",IFERROR(VALUE(SUBSTITUTE(E67,"%",""))/VALUE(SUBSTITUTE(D67,"%",""))*100,0))</f>
        <v/>
      </c>
      <c r="G67" s="7" t="n"/>
      <c r="H67" s="7" t="n"/>
      <c r="I67" s="7" t="n"/>
      <c r="J67" s="7" t="n"/>
      <c r="K67" s="7" t="n"/>
      <c r="L67" s="7" t="n"/>
      <c r="M67" s="7">
        <f>IF(G67="","",IFERROR(VLOOKUP(G67,'F01 - _Données Expatriés'!$F$6:$F$20,1,FALSE),""))</f>
        <v/>
      </c>
      <c r="N67" s="7">
        <f>IF(J67="","",IFERROR(COUNTIF($J$6:$J$115,J67),0))</f>
        <v/>
      </c>
    </row>
    <row r="68" ht="22" customHeight="1">
      <c r="A68" s="5" t="n"/>
      <c r="B68" s="5" t="n"/>
      <c r="C68" s="5" t="n"/>
      <c r="D68" s="5" t="n"/>
      <c r="E68" s="5" t="n"/>
      <c r="F68" s="24">
        <f>IF(OR(D68="",E68=""),"",IFERROR(VALUE(SUBSTITUTE(E68,"%",""))/VALUE(SUBSTITUTE(D68,"%",""))*100,0))</f>
        <v/>
      </c>
      <c r="G68" s="5" t="n"/>
      <c r="H68" s="5" t="n"/>
      <c r="I68" s="5" t="n"/>
      <c r="J68" s="5" t="n"/>
      <c r="K68" s="5" t="n"/>
      <c r="L68" s="5" t="n"/>
      <c r="M68" s="5">
        <f>IF(G68="","",IFERROR(VLOOKUP(G68,'F01 - _Données Expatriés'!$F$6:$F$20,1,FALSE),""))</f>
        <v/>
      </c>
      <c r="N68" s="5">
        <f>IF(J68="","",IFERROR(COUNTIF($J$6:$J$115,J68),0))</f>
        <v/>
      </c>
    </row>
    <row r="69" ht="22" customHeight="1">
      <c r="A69" s="7" t="n"/>
      <c r="B69" s="7" t="n"/>
      <c r="C69" s="7" t="n"/>
      <c r="D69" s="7" t="n"/>
      <c r="E69" s="7" t="n"/>
      <c r="F69" s="26">
        <f>IF(OR(D69="",E69=""),"",IFERROR(VALUE(SUBSTITUTE(E69,"%",""))/VALUE(SUBSTITUTE(D69,"%",""))*100,0))</f>
        <v/>
      </c>
      <c r="G69" s="7" t="n"/>
      <c r="H69" s="7" t="n"/>
      <c r="I69" s="7" t="n"/>
      <c r="J69" s="7" t="n"/>
      <c r="K69" s="7" t="n"/>
      <c r="L69" s="7" t="n"/>
      <c r="M69" s="7">
        <f>IF(G69="","",IFERROR(VLOOKUP(G69,'F01 - _Données Expatriés'!$F$6:$F$20,1,FALSE),""))</f>
        <v/>
      </c>
      <c r="N69" s="7">
        <f>IF(J69="","",IFERROR(COUNTIF($J$6:$J$115,J69),0))</f>
        <v/>
      </c>
    </row>
    <row r="70" ht="22" customHeight="1">
      <c r="A70" s="5" t="n"/>
      <c r="B70" s="5" t="n"/>
      <c r="C70" s="5" t="n"/>
      <c r="D70" s="5" t="n"/>
      <c r="E70" s="5" t="n"/>
      <c r="F70" s="24">
        <f>IF(OR(D70="",E70=""),"",IFERROR(VALUE(SUBSTITUTE(E70,"%",""))/VALUE(SUBSTITUTE(D70,"%",""))*100,0))</f>
        <v/>
      </c>
      <c r="G70" s="5" t="n"/>
      <c r="H70" s="5" t="n"/>
      <c r="I70" s="5" t="n"/>
      <c r="J70" s="5" t="n"/>
      <c r="K70" s="5" t="n"/>
      <c r="L70" s="5" t="n"/>
      <c r="M70" s="5">
        <f>IF(G70="","",IFERROR(VLOOKUP(G70,'F01 - _Données Expatriés'!$F$6:$F$20,1,FALSE),""))</f>
        <v/>
      </c>
      <c r="N70" s="5">
        <f>IF(J70="","",IFERROR(COUNTIF($J$6:$J$115,J70),0))</f>
        <v/>
      </c>
    </row>
    <row r="71" ht="22" customHeight="1">
      <c r="A71" s="7" t="n"/>
      <c r="B71" s="7" t="n"/>
      <c r="C71" s="7" t="n"/>
      <c r="D71" s="7" t="n"/>
      <c r="E71" s="7" t="n"/>
      <c r="F71" s="26">
        <f>IF(OR(D71="",E71=""),"",IFERROR(VALUE(SUBSTITUTE(E71,"%",""))/VALUE(SUBSTITUTE(D71,"%",""))*100,0))</f>
        <v/>
      </c>
      <c r="G71" s="7" t="n"/>
      <c r="H71" s="7" t="n"/>
      <c r="I71" s="7" t="n"/>
      <c r="J71" s="7" t="n"/>
      <c r="K71" s="7" t="n"/>
      <c r="L71" s="7" t="n"/>
      <c r="M71" s="7">
        <f>IF(G71="","",IFERROR(VLOOKUP(G71,'F01 - _Données Expatriés'!$F$6:$F$20,1,FALSE),""))</f>
        <v/>
      </c>
      <c r="N71" s="7">
        <f>IF(J71="","",IFERROR(COUNTIF($J$6:$J$115,J71),0))</f>
        <v/>
      </c>
    </row>
    <row r="72" ht="22" customHeight="1">
      <c r="A72" s="5" t="n"/>
      <c r="B72" s="5" t="n"/>
      <c r="C72" s="5" t="n"/>
      <c r="D72" s="5" t="n"/>
      <c r="E72" s="5" t="n"/>
      <c r="F72" s="24">
        <f>IF(OR(D72="",E72=""),"",IFERROR(VALUE(SUBSTITUTE(E72,"%",""))/VALUE(SUBSTITUTE(D72,"%",""))*100,0))</f>
        <v/>
      </c>
      <c r="G72" s="5" t="n"/>
      <c r="H72" s="5" t="n"/>
      <c r="I72" s="5" t="n"/>
      <c r="J72" s="5" t="n"/>
      <c r="K72" s="5" t="n"/>
      <c r="L72" s="5" t="n"/>
      <c r="M72" s="5">
        <f>IF(G72="","",IFERROR(VLOOKUP(G72,'F01 - _Données Expatriés'!$F$6:$F$20,1,FALSE),""))</f>
        <v/>
      </c>
      <c r="N72" s="5">
        <f>IF(J72="","",IFERROR(COUNTIF($J$6:$J$115,J72),0))</f>
        <v/>
      </c>
    </row>
    <row r="73" ht="22" customHeight="1">
      <c r="A73" s="7" t="n"/>
      <c r="B73" s="7" t="n"/>
      <c r="C73" s="7" t="n"/>
      <c r="D73" s="7" t="n"/>
      <c r="E73" s="7" t="n"/>
      <c r="F73" s="26">
        <f>IF(OR(D73="",E73=""),"",IFERROR(VALUE(SUBSTITUTE(E73,"%",""))/VALUE(SUBSTITUTE(D73,"%",""))*100,0))</f>
        <v/>
      </c>
      <c r="G73" s="7" t="n"/>
      <c r="H73" s="7" t="n"/>
      <c r="I73" s="7" t="n"/>
      <c r="J73" s="7" t="n"/>
      <c r="K73" s="7" t="n"/>
      <c r="L73" s="7" t="n"/>
      <c r="M73" s="7">
        <f>IF(G73="","",IFERROR(VLOOKUP(G73,'F01 - _Données Expatriés'!$F$6:$F$20,1,FALSE),""))</f>
        <v/>
      </c>
      <c r="N73" s="7">
        <f>IF(J73="","",IFERROR(COUNTIF($J$6:$J$115,J73),0))</f>
        <v/>
      </c>
    </row>
    <row r="74" ht="22" customHeight="1">
      <c r="A74" s="5" t="n"/>
      <c r="B74" s="5" t="n"/>
      <c r="C74" s="5" t="n"/>
      <c r="D74" s="5" t="n"/>
      <c r="E74" s="5" t="n"/>
      <c r="F74" s="24">
        <f>IF(OR(D74="",E74=""),"",IFERROR(VALUE(SUBSTITUTE(E74,"%",""))/VALUE(SUBSTITUTE(D74,"%",""))*100,0))</f>
        <v/>
      </c>
      <c r="G74" s="5" t="n"/>
      <c r="H74" s="5" t="n"/>
      <c r="I74" s="5" t="n"/>
      <c r="J74" s="5" t="n"/>
      <c r="K74" s="5" t="n"/>
      <c r="L74" s="5" t="n"/>
      <c r="M74" s="5">
        <f>IF(G74="","",IFERROR(VLOOKUP(G74,'F01 - _Données Expatriés'!$F$6:$F$20,1,FALSE),""))</f>
        <v/>
      </c>
      <c r="N74" s="5">
        <f>IF(J74="","",IFERROR(COUNTIF($J$6:$J$115,J74),0))</f>
        <v/>
      </c>
    </row>
    <row r="75" ht="22" customHeight="1">
      <c r="A75" s="7" t="n"/>
      <c r="B75" s="7" t="n"/>
      <c r="C75" s="7" t="n"/>
      <c r="D75" s="7" t="n"/>
      <c r="E75" s="7" t="n"/>
      <c r="F75" s="26">
        <f>IF(OR(D75="",E75=""),"",IFERROR(VALUE(SUBSTITUTE(E75,"%",""))/VALUE(SUBSTITUTE(D75,"%",""))*100,0))</f>
        <v/>
      </c>
      <c r="G75" s="7" t="n"/>
      <c r="H75" s="7" t="n"/>
      <c r="I75" s="7" t="n"/>
      <c r="J75" s="7" t="n"/>
      <c r="K75" s="7" t="n"/>
      <c r="L75" s="7" t="n"/>
      <c r="M75" s="7">
        <f>IF(G75="","",IFERROR(VLOOKUP(G75,'F01 - _Données Expatriés'!$F$6:$F$20,1,FALSE),""))</f>
        <v/>
      </c>
      <c r="N75" s="7">
        <f>IF(J75="","",IFERROR(COUNTIF($J$6:$J$115,J75),0))</f>
        <v/>
      </c>
    </row>
    <row r="76" ht="22" customHeight="1">
      <c r="A76" s="5" t="n"/>
      <c r="B76" s="5" t="n"/>
      <c r="C76" s="5" t="n"/>
      <c r="D76" s="5" t="n"/>
      <c r="E76" s="5" t="n"/>
      <c r="F76" s="24">
        <f>IF(OR(D76="",E76=""),"",IFERROR(VALUE(SUBSTITUTE(E76,"%",""))/VALUE(SUBSTITUTE(D76,"%",""))*100,0))</f>
        <v/>
      </c>
      <c r="G76" s="5" t="n"/>
      <c r="H76" s="5" t="n"/>
      <c r="I76" s="5" t="n"/>
      <c r="J76" s="5" t="n"/>
      <c r="K76" s="5" t="n"/>
      <c r="L76" s="5" t="n"/>
      <c r="M76" s="5">
        <f>IF(G76="","",IFERROR(VLOOKUP(G76,'F01 - _Données Expatriés'!$F$6:$F$20,1,FALSE),""))</f>
        <v/>
      </c>
      <c r="N76" s="5">
        <f>IF(J76="","",IFERROR(COUNTIF($J$6:$J$115,J76),0))</f>
        <v/>
      </c>
    </row>
    <row r="77" ht="22" customHeight="1">
      <c r="A77" s="7" t="n"/>
      <c r="B77" s="7" t="n"/>
      <c r="C77" s="7" t="n"/>
      <c r="D77" s="7" t="n"/>
      <c r="E77" s="7" t="n"/>
      <c r="F77" s="26">
        <f>IF(OR(D77="",E77=""),"",IFERROR(VALUE(SUBSTITUTE(E77,"%",""))/VALUE(SUBSTITUTE(D77,"%",""))*100,0))</f>
        <v/>
      </c>
      <c r="G77" s="7" t="n"/>
      <c r="H77" s="7" t="n"/>
      <c r="I77" s="7" t="n"/>
      <c r="J77" s="7" t="n"/>
      <c r="K77" s="7" t="n"/>
      <c r="L77" s="7" t="n"/>
      <c r="M77" s="7">
        <f>IF(G77="","",IFERROR(VLOOKUP(G77,'F01 - _Données Expatriés'!$F$6:$F$20,1,FALSE),""))</f>
        <v/>
      </c>
      <c r="N77" s="7">
        <f>IF(J77="","",IFERROR(COUNTIF($J$6:$J$115,J77),0))</f>
        <v/>
      </c>
    </row>
    <row r="78" ht="22" customHeight="1">
      <c r="A78" s="5" t="n"/>
      <c r="B78" s="5" t="n"/>
      <c r="C78" s="5" t="n"/>
      <c r="D78" s="5" t="n"/>
      <c r="E78" s="5" t="n"/>
      <c r="F78" s="24">
        <f>IF(OR(D78="",E78=""),"",IFERROR(VALUE(SUBSTITUTE(E78,"%",""))/VALUE(SUBSTITUTE(D78,"%",""))*100,0))</f>
        <v/>
      </c>
      <c r="G78" s="5" t="n"/>
      <c r="H78" s="5" t="n"/>
      <c r="I78" s="5" t="n"/>
      <c r="J78" s="5" t="n"/>
      <c r="K78" s="5" t="n"/>
      <c r="L78" s="5" t="n"/>
      <c r="M78" s="5">
        <f>IF(G78="","",IFERROR(VLOOKUP(G78,'F01 - _Données Expatriés'!$F$6:$F$20,1,FALSE),""))</f>
        <v/>
      </c>
      <c r="N78" s="5">
        <f>IF(J78="","",IFERROR(COUNTIF($J$6:$J$115,J78),0))</f>
        <v/>
      </c>
    </row>
    <row r="79" ht="22" customHeight="1">
      <c r="A79" s="7" t="n"/>
      <c r="B79" s="7" t="n"/>
      <c r="C79" s="7" t="n"/>
      <c r="D79" s="7" t="n"/>
      <c r="E79" s="7" t="n"/>
      <c r="F79" s="26">
        <f>IF(OR(D79="",E79=""),"",IFERROR(VALUE(SUBSTITUTE(E79,"%",""))/VALUE(SUBSTITUTE(D79,"%",""))*100,0))</f>
        <v/>
      </c>
      <c r="G79" s="7" t="n"/>
      <c r="H79" s="7" t="n"/>
      <c r="I79" s="7" t="n"/>
      <c r="J79" s="7" t="n"/>
      <c r="K79" s="7" t="n"/>
      <c r="L79" s="7" t="n"/>
      <c r="M79" s="7">
        <f>IF(G79="","",IFERROR(VLOOKUP(G79,'F01 - _Données Expatriés'!$F$6:$F$20,1,FALSE),""))</f>
        <v/>
      </c>
      <c r="N79" s="7">
        <f>IF(J79="","",IFERROR(COUNTIF($J$6:$J$115,J79),0))</f>
        <v/>
      </c>
    </row>
    <row r="80" ht="22" customHeight="1">
      <c r="A80" s="5" t="n"/>
      <c r="B80" s="5" t="n"/>
      <c r="C80" s="5" t="n"/>
      <c r="D80" s="5" t="n"/>
      <c r="E80" s="5" t="n"/>
      <c r="F80" s="24">
        <f>IF(OR(D80="",E80=""),"",IFERROR(VALUE(SUBSTITUTE(E80,"%",""))/VALUE(SUBSTITUTE(D80,"%",""))*100,0))</f>
        <v/>
      </c>
      <c r="G80" s="5" t="n"/>
      <c r="H80" s="5" t="n"/>
      <c r="I80" s="5" t="n"/>
      <c r="J80" s="5" t="n"/>
      <c r="K80" s="5" t="n"/>
      <c r="L80" s="5" t="n"/>
      <c r="M80" s="5">
        <f>IF(G80="","",IFERROR(VLOOKUP(G80,'F01 - _Données Expatriés'!$F$6:$F$20,1,FALSE),""))</f>
        <v/>
      </c>
      <c r="N80" s="5">
        <f>IF(J80="","",IFERROR(COUNTIF($J$6:$J$115,J80),0))</f>
        <v/>
      </c>
    </row>
    <row r="81" ht="22" customHeight="1">
      <c r="A81" s="7" t="n"/>
      <c r="B81" s="7" t="n"/>
      <c r="C81" s="7" t="n"/>
      <c r="D81" s="7" t="n"/>
      <c r="E81" s="7" t="n"/>
      <c r="F81" s="26">
        <f>IF(OR(D81="",E81=""),"",IFERROR(VALUE(SUBSTITUTE(E81,"%",""))/VALUE(SUBSTITUTE(D81,"%",""))*100,0))</f>
        <v/>
      </c>
      <c r="G81" s="7" t="n"/>
      <c r="H81" s="7" t="n"/>
      <c r="I81" s="7" t="n"/>
      <c r="J81" s="7" t="n"/>
      <c r="K81" s="7" t="n"/>
      <c r="L81" s="7" t="n"/>
      <c r="M81" s="7">
        <f>IF(G81="","",IFERROR(VLOOKUP(G81,'F01 - _Données Expatriés'!$F$6:$F$20,1,FALSE),""))</f>
        <v/>
      </c>
      <c r="N81" s="7">
        <f>IF(J81="","",IFERROR(COUNTIF($J$6:$J$115,J81),0))</f>
        <v/>
      </c>
    </row>
    <row r="82" ht="22" customHeight="1">
      <c r="A82" s="5" t="n"/>
      <c r="B82" s="5" t="n"/>
      <c r="C82" s="5" t="n"/>
      <c r="D82" s="5" t="n"/>
      <c r="E82" s="5" t="n"/>
      <c r="F82" s="24">
        <f>IF(OR(D82="",E82=""),"",IFERROR(VALUE(SUBSTITUTE(E82,"%",""))/VALUE(SUBSTITUTE(D82,"%",""))*100,0))</f>
        <v/>
      </c>
      <c r="G82" s="5" t="n"/>
      <c r="H82" s="5" t="n"/>
      <c r="I82" s="5" t="n"/>
      <c r="J82" s="5" t="n"/>
      <c r="K82" s="5" t="n"/>
      <c r="L82" s="5" t="n"/>
      <c r="M82" s="5">
        <f>IF(G82="","",IFERROR(VLOOKUP(G82,'F01 - _Données Expatriés'!$F$6:$F$20,1,FALSE),""))</f>
        <v/>
      </c>
      <c r="N82" s="5">
        <f>IF(J82="","",IFERROR(COUNTIF($J$6:$J$115,J82),0))</f>
        <v/>
      </c>
    </row>
    <row r="83" ht="22" customHeight="1">
      <c r="A83" s="7" t="n"/>
      <c r="B83" s="7" t="n"/>
      <c r="C83" s="7" t="n"/>
      <c r="D83" s="7" t="n"/>
      <c r="E83" s="7" t="n"/>
      <c r="F83" s="26">
        <f>IF(OR(D83="",E83=""),"",IFERROR(VALUE(SUBSTITUTE(E83,"%",""))/VALUE(SUBSTITUTE(D83,"%",""))*100,0))</f>
        <v/>
      </c>
      <c r="G83" s="7" t="n"/>
      <c r="H83" s="7" t="n"/>
      <c r="I83" s="7" t="n"/>
      <c r="J83" s="7" t="n"/>
      <c r="K83" s="7" t="n"/>
      <c r="L83" s="7" t="n"/>
      <c r="M83" s="7">
        <f>IF(G83="","",IFERROR(VLOOKUP(G83,'F01 - _Données Expatriés'!$F$6:$F$20,1,FALSE),""))</f>
        <v/>
      </c>
      <c r="N83" s="7">
        <f>IF(J83="","",IFERROR(COUNTIF($J$6:$J$115,J83),0))</f>
        <v/>
      </c>
    </row>
    <row r="84" ht="22" customHeight="1">
      <c r="A84" s="5" t="n"/>
      <c r="B84" s="5" t="n"/>
      <c r="C84" s="5" t="n"/>
      <c r="D84" s="5" t="n"/>
      <c r="E84" s="5" t="n"/>
      <c r="F84" s="24">
        <f>IF(OR(D84="",E84=""),"",IFERROR(VALUE(SUBSTITUTE(E84,"%",""))/VALUE(SUBSTITUTE(D84,"%",""))*100,0))</f>
        <v/>
      </c>
      <c r="G84" s="5" t="n"/>
      <c r="H84" s="5" t="n"/>
      <c r="I84" s="5" t="n"/>
      <c r="J84" s="5" t="n"/>
      <c r="K84" s="5" t="n"/>
      <c r="L84" s="5" t="n"/>
      <c r="M84" s="5">
        <f>IF(G84="","",IFERROR(VLOOKUP(G84,'F01 - _Données Expatriés'!$F$6:$F$20,1,FALSE),""))</f>
        <v/>
      </c>
      <c r="N84" s="5">
        <f>IF(J84="","",IFERROR(COUNTIF($J$6:$J$115,J84),0))</f>
        <v/>
      </c>
    </row>
    <row r="85" ht="22" customHeight="1">
      <c r="A85" s="7" t="n"/>
      <c r="B85" s="7" t="n"/>
      <c r="C85" s="7" t="n"/>
      <c r="D85" s="7" t="n"/>
      <c r="E85" s="7" t="n"/>
      <c r="F85" s="26">
        <f>IF(OR(D85="",E85=""),"",IFERROR(VALUE(SUBSTITUTE(E85,"%",""))/VALUE(SUBSTITUTE(D85,"%",""))*100,0))</f>
        <v/>
      </c>
      <c r="G85" s="7" t="n"/>
      <c r="H85" s="7" t="n"/>
      <c r="I85" s="7" t="n"/>
      <c r="J85" s="7" t="n"/>
      <c r="K85" s="7" t="n"/>
      <c r="L85" s="7" t="n"/>
      <c r="M85" s="7">
        <f>IF(G85="","",IFERROR(VLOOKUP(G85,'F01 - _Données Expatriés'!$F$6:$F$20,1,FALSE),""))</f>
        <v/>
      </c>
      <c r="N85" s="7">
        <f>IF(J85="","",IFERROR(COUNTIF($J$6:$J$115,J85),0))</f>
        <v/>
      </c>
    </row>
    <row r="86" ht="22" customHeight="1">
      <c r="A86" s="5" t="n"/>
      <c r="B86" s="5" t="n"/>
      <c r="C86" s="5" t="n"/>
      <c r="D86" s="5" t="n"/>
      <c r="E86" s="5" t="n"/>
      <c r="F86" s="24">
        <f>IF(OR(D86="",E86=""),"",IFERROR(VALUE(SUBSTITUTE(E86,"%",""))/VALUE(SUBSTITUTE(D86,"%",""))*100,0))</f>
        <v/>
      </c>
      <c r="G86" s="5" t="n"/>
      <c r="H86" s="5" t="n"/>
      <c r="I86" s="5" t="n"/>
      <c r="J86" s="5" t="n"/>
      <c r="K86" s="5" t="n"/>
      <c r="L86" s="5" t="n"/>
      <c r="M86" s="5">
        <f>IF(G86="","",IFERROR(VLOOKUP(G86,'F01 - _Données Expatriés'!$F$6:$F$20,1,FALSE),""))</f>
        <v/>
      </c>
      <c r="N86" s="5">
        <f>IF(J86="","",IFERROR(COUNTIF($J$6:$J$115,J86),0))</f>
        <v/>
      </c>
    </row>
    <row r="87" ht="22" customHeight="1">
      <c r="A87" s="7" t="n"/>
      <c r="B87" s="7" t="n"/>
      <c r="C87" s="7" t="n"/>
      <c r="D87" s="7" t="n"/>
      <c r="E87" s="7" t="n"/>
      <c r="F87" s="26">
        <f>IF(OR(D87="",E87=""),"",IFERROR(VALUE(SUBSTITUTE(E87,"%",""))/VALUE(SUBSTITUTE(D87,"%",""))*100,0))</f>
        <v/>
      </c>
      <c r="G87" s="7" t="n"/>
      <c r="H87" s="7" t="n"/>
      <c r="I87" s="7" t="n"/>
      <c r="J87" s="7" t="n"/>
      <c r="K87" s="7" t="n"/>
      <c r="L87" s="7" t="n"/>
      <c r="M87" s="7">
        <f>IF(G87="","",IFERROR(VLOOKUP(G87,'F01 - _Données Expatriés'!$F$6:$F$20,1,FALSE),""))</f>
        <v/>
      </c>
      <c r="N87" s="7">
        <f>IF(J87="","",IFERROR(COUNTIF($J$6:$J$115,J87),0))</f>
        <v/>
      </c>
    </row>
    <row r="88" ht="22" customHeight="1">
      <c r="A88" s="5" t="n"/>
      <c r="B88" s="5" t="n"/>
      <c r="C88" s="5" t="n"/>
      <c r="D88" s="5" t="n"/>
      <c r="E88" s="5" t="n"/>
      <c r="F88" s="24">
        <f>IF(OR(D88="",E88=""),"",IFERROR(VALUE(SUBSTITUTE(E88,"%",""))/VALUE(SUBSTITUTE(D88,"%",""))*100,0))</f>
        <v/>
      </c>
      <c r="G88" s="5" t="n"/>
      <c r="H88" s="5" t="n"/>
      <c r="I88" s="5" t="n"/>
      <c r="J88" s="5" t="n"/>
      <c r="K88" s="5" t="n"/>
      <c r="L88" s="5" t="n"/>
      <c r="M88" s="5">
        <f>IF(G88="","",IFERROR(VLOOKUP(G88,'F01 - _Données Expatriés'!$F$6:$F$20,1,FALSE),""))</f>
        <v/>
      </c>
      <c r="N88" s="5">
        <f>IF(J88="","",IFERROR(COUNTIF($J$6:$J$115,J88),0))</f>
        <v/>
      </c>
    </row>
    <row r="89" ht="22" customHeight="1">
      <c r="A89" s="7" t="n"/>
      <c r="B89" s="7" t="n"/>
      <c r="C89" s="7" t="n"/>
      <c r="D89" s="7" t="n"/>
      <c r="E89" s="7" t="n"/>
      <c r="F89" s="26">
        <f>IF(OR(D89="",E89=""),"",IFERROR(VALUE(SUBSTITUTE(E89,"%",""))/VALUE(SUBSTITUTE(D89,"%",""))*100,0))</f>
        <v/>
      </c>
      <c r="G89" s="7" t="n"/>
      <c r="H89" s="7" t="n"/>
      <c r="I89" s="7" t="n"/>
      <c r="J89" s="7" t="n"/>
      <c r="K89" s="7" t="n"/>
      <c r="L89" s="7" t="n"/>
      <c r="M89" s="7">
        <f>IF(G89="","",IFERROR(VLOOKUP(G89,'F01 - _Données Expatriés'!$F$6:$F$20,1,FALSE),""))</f>
        <v/>
      </c>
      <c r="N89" s="7">
        <f>IF(J89="","",IFERROR(COUNTIF($J$6:$J$115,J89),0))</f>
        <v/>
      </c>
    </row>
    <row r="90" ht="22" customHeight="1">
      <c r="A90" s="5" t="n"/>
      <c r="B90" s="5" t="n"/>
      <c r="C90" s="5" t="n"/>
      <c r="D90" s="5" t="n"/>
      <c r="E90" s="5" t="n"/>
      <c r="F90" s="24">
        <f>IF(OR(D90="",E90=""),"",IFERROR(VALUE(SUBSTITUTE(E90,"%",""))/VALUE(SUBSTITUTE(D90,"%",""))*100,0))</f>
        <v/>
      </c>
      <c r="G90" s="5" t="n"/>
      <c r="H90" s="5" t="n"/>
      <c r="I90" s="5" t="n"/>
      <c r="J90" s="5" t="n"/>
      <c r="K90" s="5" t="n"/>
      <c r="L90" s="5" t="n"/>
      <c r="M90" s="5">
        <f>IF(G90="","",IFERROR(VLOOKUP(G90,'F01 - _Données Expatriés'!$F$6:$F$20,1,FALSE),""))</f>
        <v/>
      </c>
      <c r="N90" s="5">
        <f>IF(J90="","",IFERROR(COUNTIF($J$6:$J$115,J90),0))</f>
        <v/>
      </c>
    </row>
    <row r="91" ht="22" customHeight="1">
      <c r="A91" s="7" t="n"/>
      <c r="B91" s="7" t="n"/>
      <c r="C91" s="7" t="n"/>
      <c r="D91" s="7" t="n"/>
      <c r="E91" s="7" t="n"/>
      <c r="F91" s="26">
        <f>IF(OR(D91="",E91=""),"",IFERROR(VALUE(SUBSTITUTE(E91,"%",""))/VALUE(SUBSTITUTE(D91,"%",""))*100,0))</f>
        <v/>
      </c>
      <c r="G91" s="7" t="n"/>
      <c r="H91" s="7" t="n"/>
      <c r="I91" s="7" t="n"/>
      <c r="J91" s="7" t="n"/>
      <c r="K91" s="7" t="n"/>
      <c r="L91" s="7" t="n"/>
      <c r="M91" s="7">
        <f>IF(G91="","",IFERROR(VLOOKUP(G91,'F01 - _Données Expatriés'!$F$6:$F$20,1,FALSE),""))</f>
        <v/>
      </c>
      <c r="N91" s="7">
        <f>IF(J91="","",IFERROR(COUNTIF($J$6:$J$115,J91),0))</f>
        <v/>
      </c>
    </row>
    <row r="92" ht="22" customHeight="1">
      <c r="A92" s="5" t="n"/>
      <c r="B92" s="5" t="n"/>
      <c r="C92" s="5" t="n"/>
      <c r="D92" s="5" t="n"/>
      <c r="E92" s="5" t="n"/>
      <c r="F92" s="24">
        <f>IF(OR(D92="",E92=""),"",IFERROR(VALUE(SUBSTITUTE(E92,"%",""))/VALUE(SUBSTITUTE(D92,"%",""))*100,0))</f>
        <v/>
      </c>
      <c r="G92" s="5" t="n"/>
      <c r="H92" s="5" t="n"/>
      <c r="I92" s="5" t="n"/>
      <c r="J92" s="5" t="n"/>
      <c r="K92" s="5" t="n"/>
      <c r="L92" s="5" t="n"/>
      <c r="M92" s="5">
        <f>IF(G92="","",IFERROR(VLOOKUP(G92,'F01 - _Données Expatriés'!$F$6:$F$20,1,FALSE),""))</f>
        <v/>
      </c>
      <c r="N92" s="5">
        <f>IF(J92="","",IFERROR(COUNTIF($J$6:$J$115,J92),0))</f>
        <v/>
      </c>
    </row>
    <row r="93" ht="22" customHeight="1">
      <c r="A93" s="7" t="n"/>
      <c r="B93" s="7" t="n"/>
      <c r="C93" s="7" t="n"/>
      <c r="D93" s="7" t="n"/>
      <c r="E93" s="7" t="n"/>
      <c r="F93" s="26">
        <f>IF(OR(D93="",E93=""),"",IFERROR(VALUE(SUBSTITUTE(E93,"%",""))/VALUE(SUBSTITUTE(D93,"%",""))*100,0))</f>
        <v/>
      </c>
      <c r="G93" s="7" t="n"/>
      <c r="H93" s="7" t="n"/>
      <c r="I93" s="7" t="n"/>
      <c r="J93" s="7" t="n"/>
      <c r="K93" s="7" t="n"/>
      <c r="L93" s="7" t="n"/>
      <c r="M93" s="7">
        <f>IF(G93="","",IFERROR(VLOOKUP(G93,'F01 - _Données Expatriés'!$F$6:$F$20,1,FALSE),""))</f>
        <v/>
      </c>
      <c r="N93" s="7">
        <f>IF(J93="","",IFERROR(COUNTIF($J$6:$J$115,J93),0))</f>
        <v/>
      </c>
    </row>
    <row r="94" ht="22" customHeight="1">
      <c r="A94" s="5" t="n"/>
      <c r="B94" s="5" t="n"/>
      <c r="C94" s="5" t="n"/>
      <c r="D94" s="5" t="n"/>
      <c r="E94" s="5" t="n"/>
      <c r="F94" s="24">
        <f>IF(OR(D94="",E94=""),"",IFERROR(VALUE(SUBSTITUTE(E94,"%",""))/VALUE(SUBSTITUTE(D94,"%",""))*100,0))</f>
        <v/>
      </c>
      <c r="G94" s="5" t="n"/>
      <c r="H94" s="5" t="n"/>
      <c r="I94" s="5" t="n"/>
      <c r="J94" s="5" t="n"/>
      <c r="K94" s="5" t="n"/>
      <c r="L94" s="5" t="n"/>
      <c r="M94" s="5">
        <f>IF(G94="","",IFERROR(VLOOKUP(G94,'F01 - _Données Expatriés'!$F$6:$F$20,1,FALSE),""))</f>
        <v/>
      </c>
      <c r="N94" s="5">
        <f>IF(J94="","",IFERROR(COUNTIF($J$6:$J$115,J94),0))</f>
        <v/>
      </c>
    </row>
    <row r="95" ht="22" customHeight="1">
      <c r="A95" s="7" t="n"/>
      <c r="B95" s="7" t="n"/>
      <c r="C95" s="7" t="n"/>
      <c r="D95" s="7" t="n"/>
      <c r="E95" s="7" t="n"/>
      <c r="F95" s="26">
        <f>IF(OR(D95="",E95=""),"",IFERROR(VALUE(SUBSTITUTE(E95,"%",""))/VALUE(SUBSTITUTE(D95,"%",""))*100,0))</f>
        <v/>
      </c>
      <c r="G95" s="7" t="n"/>
      <c r="H95" s="7" t="n"/>
      <c r="I95" s="7" t="n"/>
      <c r="J95" s="7" t="n"/>
      <c r="K95" s="7" t="n"/>
      <c r="L95" s="7" t="n"/>
      <c r="M95" s="7">
        <f>IF(G95="","",IFERROR(VLOOKUP(G95,'F01 - _Données Expatriés'!$F$6:$F$20,1,FALSE),""))</f>
        <v/>
      </c>
      <c r="N95" s="7">
        <f>IF(J95="","",IFERROR(COUNTIF($J$6:$J$115,J95),0))</f>
        <v/>
      </c>
    </row>
    <row r="96" ht="22" customHeight="1">
      <c r="A96" s="5" t="n"/>
      <c r="B96" s="5" t="n"/>
      <c r="C96" s="5" t="n"/>
      <c r="D96" s="5" t="n"/>
      <c r="E96" s="5" t="n"/>
      <c r="F96" s="24">
        <f>IF(OR(D96="",E96=""),"",IFERROR(VALUE(SUBSTITUTE(E96,"%",""))/VALUE(SUBSTITUTE(D96,"%",""))*100,0))</f>
        <v/>
      </c>
      <c r="G96" s="5" t="n"/>
      <c r="H96" s="5" t="n"/>
      <c r="I96" s="5" t="n"/>
      <c r="J96" s="5" t="n"/>
      <c r="K96" s="5" t="n"/>
      <c r="L96" s="5" t="n"/>
      <c r="M96" s="5">
        <f>IF(G96="","",IFERROR(VLOOKUP(G96,'F01 - _Données Expatriés'!$F$6:$F$20,1,FALSE),""))</f>
        <v/>
      </c>
      <c r="N96" s="5">
        <f>IF(J96="","",IFERROR(COUNTIF($J$6:$J$115,J96),0))</f>
        <v/>
      </c>
    </row>
    <row r="97" ht="22" customHeight="1">
      <c r="A97" s="7" t="n"/>
      <c r="B97" s="7" t="n"/>
      <c r="C97" s="7" t="n"/>
      <c r="D97" s="7" t="n"/>
      <c r="E97" s="7" t="n"/>
      <c r="F97" s="26">
        <f>IF(OR(D97="",E97=""),"",IFERROR(VALUE(SUBSTITUTE(E97,"%",""))/VALUE(SUBSTITUTE(D97,"%",""))*100,0))</f>
        <v/>
      </c>
      <c r="G97" s="7" t="n"/>
      <c r="H97" s="7" t="n"/>
      <c r="I97" s="7" t="n"/>
      <c r="J97" s="7" t="n"/>
      <c r="K97" s="7" t="n"/>
      <c r="L97" s="7" t="n"/>
      <c r="M97" s="7">
        <f>IF(G97="","",IFERROR(VLOOKUP(G97,'F01 - _Données Expatriés'!$F$6:$F$20,1,FALSE),""))</f>
        <v/>
      </c>
      <c r="N97" s="7">
        <f>IF(J97="","",IFERROR(COUNTIF($J$6:$J$115,J97),0))</f>
        <v/>
      </c>
    </row>
    <row r="98" ht="22" customHeight="1">
      <c r="A98" s="5" t="n"/>
      <c r="B98" s="5" t="n"/>
      <c r="C98" s="5" t="n"/>
      <c r="D98" s="5" t="n"/>
      <c r="E98" s="5" t="n"/>
      <c r="F98" s="24">
        <f>IF(OR(D98="",E98=""),"",IFERROR(VALUE(SUBSTITUTE(E98,"%",""))/VALUE(SUBSTITUTE(D98,"%",""))*100,0))</f>
        <v/>
      </c>
      <c r="G98" s="5" t="n"/>
      <c r="H98" s="5" t="n"/>
      <c r="I98" s="5" t="n"/>
      <c r="J98" s="5" t="n"/>
      <c r="K98" s="5" t="n"/>
      <c r="L98" s="5" t="n"/>
      <c r="M98" s="5">
        <f>IF(G98="","",IFERROR(VLOOKUP(G98,'F01 - _Données Expatriés'!$F$6:$F$20,1,FALSE),""))</f>
        <v/>
      </c>
      <c r="N98" s="5">
        <f>IF(J98="","",IFERROR(COUNTIF($J$6:$J$115,J98),0))</f>
        <v/>
      </c>
    </row>
    <row r="99" ht="22" customHeight="1">
      <c r="A99" s="7" t="n"/>
      <c r="B99" s="7" t="n"/>
      <c r="C99" s="7" t="n"/>
      <c r="D99" s="7" t="n"/>
      <c r="E99" s="7" t="n"/>
      <c r="F99" s="26">
        <f>IF(OR(D99="",E99=""),"",IFERROR(VALUE(SUBSTITUTE(E99,"%",""))/VALUE(SUBSTITUTE(D99,"%",""))*100,0))</f>
        <v/>
      </c>
      <c r="G99" s="7" t="n"/>
      <c r="H99" s="7" t="n"/>
      <c r="I99" s="7" t="n"/>
      <c r="J99" s="7" t="n"/>
      <c r="K99" s="7" t="n"/>
      <c r="L99" s="7" t="n"/>
      <c r="M99" s="7">
        <f>IF(G99="","",IFERROR(VLOOKUP(G99,'F01 - _Données Expatriés'!$F$6:$F$20,1,FALSE),""))</f>
        <v/>
      </c>
      <c r="N99" s="7">
        <f>IF(J99="","",IFERROR(COUNTIF($J$6:$J$115,J99),0))</f>
        <v/>
      </c>
    </row>
    <row r="100" ht="22" customHeight="1">
      <c r="A100" s="5" t="n"/>
      <c r="B100" s="5" t="n"/>
      <c r="C100" s="5" t="n"/>
      <c r="D100" s="5" t="n"/>
      <c r="E100" s="5" t="n"/>
      <c r="F100" s="24">
        <f>IF(OR(D100="",E100=""),"",IFERROR(VALUE(SUBSTITUTE(E100,"%",""))/VALUE(SUBSTITUTE(D100,"%",""))*100,0))</f>
        <v/>
      </c>
      <c r="G100" s="5" t="n"/>
      <c r="H100" s="5" t="n"/>
      <c r="I100" s="5" t="n"/>
      <c r="J100" s="5" t="n"/>
      <c r="K100" s="5" t="n"/>
      <c r="L100" s="5" t="n"/>
      <c r="M100" s="5">
        <f>IF(G100="","",IFERROR(VLOOKUP(G100,'F01 - _Données Expatriés'!$F$6:$F$20,1,FALSE),""))</f>
        <v/>
      </c>
      <c r="N100" s="5">
        <f>IF(J100="","",IFERROR(COUNTIF($J$6:$J$115,J100),0))</f>
        <v/>
      </c>
    </row>
    <row r="101" ht="22" customHeight="1">
      <c r="A101" s="7" t="n"/>
      <c r="B101" s="7" t="n"/>
      <c r="C101" s="7" t="n"/>
      <c r="D101" s="7" t="n"/>
      <c r="E101" s="7" t="n"/>
      <c r="F101" s="26">
        <f>IF(OR(D101="",E101=""),"",IFERROR(VALUE(SUBSTITUTE(E101,"%",""))/VALUE(SUBSTITUTE(D101,"%",""))*100,0))</f>
        <v/>
      </c>
      <c r="G101" s="7" t="n"/>
      <c r="H101" s="7" t="n"/>
      <c r="I101" s="7" t="n"/>
      <c r="J101" s="7" t="n"/>
      <c r="K101" s="7" t="n"/>
      <c r="L101" s="7" t="n"/>
      <c r="M101" s="7">
        <f>IF(G101="","",IFERROR(VLOOKUP(G101,'F01 - _Données Expatriés'!$F$6:$F$20,1,FALSE),""))</f>
        <v/>
      </c>
      <c r="N101" s="7">
        <f>IF(J101="","",IFERROR(COUNTIF($J$6:$J$115,J101),0))</f>
        <v/>
      </c>
    </row>
    <row r="102" ht="22" customHeight="1">
      <c r="A102" s="5" t="n"/>
      <c r="B102" s="5" t="n"/>
      <c r="C102" s="5" t="n"/>
      <c r="D102" s="5" t="n"/>
      <c r="E102" s="5" t="n"/>
      <c r="F102" s="24">
        <f>IF(OR(D102="",E102=""),"",IFERROR(VALUE(SUBSTITUTE(E102,"%",""))/VALUE(SUBSTITUTE(D102,"%",""))*100,0))</f>
        <v/>
      </c>
      <c r="G102" s="5" t="n"/>
      <c r="H102" s="5" t="n"/>
      <c r="I102" s="5" t="n"/>
      <c r="J102" s="5" t="n"/>
      <c r="K102" s="5" t="n"/>
      <c r="L102" s="5" t="n"/>
      <c r="M102" s="5">
        <f>IF(G102="","",IFERROR(VLOOKUP(G102,'F01 - _Données Expatriés'!$F$6:$F$20,1,FALSE),""))</f>
        <v/>
      </c>
      <c r="N102" s="5">
        <f>IF(J102="","",IFERROR(COUNTIF($J$6:$J$115,J102),0))</f>
        <v/>
      </c>
    </row>
    <row r="103" ht="22" customHeight="1">
      <c r="A103" s="7" t="n"/>
      <c r="B103" s="7" t="n"/>
      <c r="C103" s="7" t="n"/>
      <c r="D103" s="7" t="n"/>
      <c r="E103" s="7" t="n"/>
      <c r="F103" s="26">
        <f>IF(OR(D103="",E103=""),"",IFERROR(VALUE(SUBSTITUTE(E103,"%",""))/VALUE(SUBSTITUTE(D103,"%",""))*100,0))</f>
        <v/>
      </c>
      <c r="G103" s="7" t="n"/>
      <c r="H103" s="7" t="n"/>
      <c r="I103" s="7" t="n"/>
      <c r="J103" s="7" t="n"/>
      <c r="K103" s="7" t="n"/>
      <c r="L103" s="7" t="n"/>
      <c r="M103" s="7">
        <f>IF(G103="","",IFERROR(VLOOKUP(G103,'F01 - _Données Expatriés'!$F$6:$F$20,1,FALSE),""))</f>
        <v/>
      </c>
      <c r="N103" s="7">
        <f>IF(J103="","",IFERROR(COUNTIF($J$6:$J$115,J103),0))</f>
        <v/>
      </c>
    </row>
    <row r="104" ht="22" customHeight="1">
      <c r="A104" s="5" t="n"/>
      <c r="B104" s="5" t="n"/>
      <c r="C104" s="5" t="n"/>
      <c r="D104" s="5" t="n"/>
      <c r="E104" s="5" t="n"/>
      <c r="F104" s="24">
        <f>IF(OR(D104="",E104=""),"",IFERROR(VALUE(SUBSTITUTE(E104,"%",""))/VALUE(SUBSTITUTE(D104,"%",""))*100,0))</f>
        <v/>
      </c>
      <c r="G104" s="5" t="n"/>
      <c r="H104" s="5" t="n"/>
      <c r="I104" s="5" t="n"/>
      <c r="J104" s="5" t="n"/>
      <c r="K104" s="5" t="n"/>
      <c r="L104" s="5" t="n"/>
      <c r="M104" s="5">
        <f>IF(G104="","",IFERROR(VLOOKUP(G104,'F01 - _Données Expatriés'!$F$6:$F$20,1,FALSE),""))</f>
        <v/>
      </c>
      <c r="N104" s="5">
        <f>IF(J104="","",IFERROR(COUNTIF($J$6:$J$115,J104),0))</f>
        <v/>
      </c>
    </row>
    <row r="105" ht="22" customHeight="1">
      <c r="A105" s="7" t="n"/>
      <c r="B105" s="7" t="n"/>
      <c r="C105" s="7" t="n"/>
      <c r="D105" s="7" t="n"/>
      <c r="E105" s="7" t="n"/>
      <c r="F105" s="26">
        <f>IF(OR(D105="",E105=""),"",IFERROR(VALUE(SUBSTITUTE(E105,"%",""))/VALUE(SUBSTITUTE(D105,"%",""))*100,0))</f>
        <v/>
      </c>
      <c r="G105" s="7" t="n"/>
      <c r="H105" s="7" t="n"/>
      <c r="I105" s="7" t="n"/>
      <c r="J105" s="7" t="n"/>
      <c r="K105" s="7" t="n"/>
      <c r="L105" s="7" t="n"/>
      <c r="M105" s="7">
        <f>IF(G105="","",IFERROR(VLOOKUP(G105,'F01 - _Données Expatriés'!$F$6:$F$20,1,FALSE),""))</f>
        <v/>
      </c>
      <c r="N105" s="7">
        <f>IF(J105="","",IFERROR(COUNTIF($J$6:$J$115,J105),0))</f>
        <v/>
      </c>
    </row>
    <row r="106" ht="22" customHeight="1">
      <c r="A106" s="5" t="n"/>
      <c r="B106" s="5" t="n"/>
      <c r="C106" s="5" t="n"/>
      <c r="D106" s="5" t="n"/>
      <c r="E106" s="5" t="n"/>
      <c r="F106" s="24">
        <f>IF(OR(D106="",E106=""),"",IFERROR(VALUE(SUBSTITUTE(E106,"%",""))/VALUE(SUBSTITUTE(D106,"%",""))*100,0))</f>
        <v/>
      </c>
      <c r="G106" s="5" t="n"/>
      <c r="H106" s="5" t="n"/>
      <c r="I106" s="5" t="n"/>
      <c r="J106" s="5" t="n"/>
      <c r="K106" s="5" t="n"/>
      <c r="L106" s="5" t="n"/>
      <c r="M106" s="5">
        <f>IF(G106="","",IFERROR(VLOOKUP(G106,'F01 - _Données Expatriés'!$F$6:$F$20,1,FALSE),""))</f>
        <v/>
      </c>
      <c r="N106" s="5">
        <f>IF(J106="","",IFERROR(COUNTIF($J$6:$J$115,J106),0))</f>
        <v/>
      </c>
    </row>
    <row r="107" ht="22" customHeight="1">
      <c r="A107" s="7" t="n"/>
      <c r="B107" s="7" t="n"/>
      <c r="C107" s="7" t="n"/>
      <c r="D107" s="7" t="n"/>
      <c r="E107" s="7" t="n"/>
      <c r="F107" s="26">
        <f>IF(OR(D107="",E107=""),"",IFERROR(VALUE(SUBSTITUTE(E107,"%",""))/VALUE(SUBSTITUTE(D107,"%",""))*100,0))</f>
        <v/>
      </c>
      <c r="G107" s="7" t="n"/>
      <c r="H107" s="7" t="n"/>
      <c r="I107" s="7" t="n"/>
      <c r="J107" s="7" t="n"/>
      <c r="K107" s="7" t="n"/>
      <c r="L107" s="7" t="n"/>
      <c r="M107" s="7">
        <f>IF(G107="","",IFERROR(VLOOKUP(G107,'F01 - _Données Expatriés'!$F$6:$F$20,1,FALSE),""))</f>
        <v/>
      </c>
      <c r="N107" s="7">
        <f>IF(J107="","",IFERROR(COUNTIF($J$6:$J$115,J107),0))</f>
        <v/>
      </c>
    </row>
    <row r="108" ht="22" customHeight="1">
      <c r="A108" s="5" t="n"/>
      <c r="B108" s="5" t="n"/>
      <c r="C108" s="5" t="n"/>
      <c r="D108" s="5" t="n"/>
      <c r="E108" s="5" t="n"/>
      <c r="F108" s="24">
        <f>IF(OR(D108="",E108=""),"",IFERROR(VALUE(SUBSTITUTE(E108,"%",""))/VALUE(SUBSTITUTE(D108,"%",""))*100,0))</f>
        <v/>
      </c>
      <c r="G108" s="5" t="n"/>
      <c r="H108" s="5" t="n"/>
      <c r="I108" s="5" t="n"/>
      <c r="J108" s="5" t="n"/>
      <c r="K108" s="5" t="n"/>
      <c r="L108" s="5" t="n"/>
      <c r="M108" s="5">
        <f>IF(G108="","",IFERROR(VLOOKUP(G108,'F01 - _Données Expatriés'!$F$6:$F$20,1,FALSE),""))</f>
        <v/>
      </c>
      <c r="N108" s="5">
        <f>IF(J108="","",IFERROR(COUNTIF($J$6:$J$115,J108),0))</f>
        <v/>
      </c>
    </row>
    <row r="109" ht="22" customHeight="1">
      <c r="A109" s="7" t="n"/>
      <c r="B109" s="7" t="n"/>
      <c r="C109" s="7" t="n"/>
      <c r="D109" s="7" t="n"/>
      <c r="E109" s="7" t="n"/>
      <c r="F109" s="26">
        <f>IF(OR(D109="",E109=""),"",IFERROR(VALUE(SUBSTITUTE(E109,"%",""))/VALUE(SUBSTITUTE(D109,"%",""))*100,0))</f>
        <v/>
      </c>
      <c r="G109" s="7" t="n"/>
      <c r="H109" s="7" t="n"/>
      <c r="I109" s="7" t="n"/>
      <c r="J109" s="7" t="n"/>
      <c r="K109" s="7" t="n"/>
      <c r="L109" s="7" t="n"/>
      <c r="M109" s="7">
        <f>IF(G109="","",IFERROR(VLOOKUP(G109,'F01 - _Données Expatriés'!$F$6:$F$20,1,FALSE),""))</f>
        <v/>
      </c>
      <c r="N109" s="7">
        <f>IF(J109="","",IFERROR(COUNTIF($J$6:$J$115,J109),0))</f>
        <v/>
      </c>
    </row>
    <row r="110" ht="22" customHeight="1">
      <c r="A110" s="5" t="n"/>
      <c r="B110" s="5" t="n"/>
      <c r="C110" s="5" t="n"/>
      <c r="D110" s="5" t="n"/>
      <c r="E110" s="5" t="n"/>
      <c r="F110" s="24">
        <f>IF(OR(D110="",E110=""),"",IFERROR(VALUE(SUBSTITUTE(E110,"%",""))/VALUE(SUBSTITUTE(D110,"%",""))*100,0))</f>
        <v/>
      </c>
      <c r="G110" s="5" t="n"/>
      <c r="H110" s="5" t="n"/>
      <c r="I110" s="5" t="n"/>
      <c r="J110" s="5" t="n"/>
      <c r="K110" s="5" t="n"/>
      <c r="L110" s="5" t="n"/>
      <c r="M110" s="5">
        <f>IF(G110="","",IFERROR(VLOOKUP(G110,'F01 - _Données Expatriés'!$F$6:$F$20,1,FALSE),""))</f>
        <v/>
      </c>
      <c r="N110" s="5">
        <f>IF(J110="","",IFERROR(COUNTIF($J$6:$J$115,J110),0))</f>
        <v/>
      </c>
    </row>
    <row r="111" ht="22" customHeight="1">
      <c r="A111" s="7" t="n"/>
      <c r="B111" s="7" t="n"/>
      <c r="C111" s="7" t="n"/>
      <c r="D111" s="7" t="n"/>
      <c r="E111" s="7" t="n"/>
      <c r="F111" s="26">
        <f>IF(OR(D111="",E111=""),"",IFERROR(VALUE(SUBSTITUTE(E111,"%",""))/VALUE(SUBSTITUTE(D111,"%",""))*100,0))</f>
        <v/>
      </c>
      <c r="G111" s="7" t="n"/>
      <c r="H111" s="7" t="n"/>
      <c r="I111" s="7" t="n"/>
      <c r="J111" s="7" t="n"/>
      <c r="K111" s="7" t="n"/>
      <c r="L111" s="7" t="n"/>
      <c r="M111" s="7">
        <f>IF(G111="","",IFERROR(VLOOKUP(G111,'F01 - _Données Expatriés'!$F$6:$F$20,1,FALSE),""))</f>
        <v/>
      </c>
      <c r="N111" s="7">
        <f>IF(J111="","",IFERROR(COUNTIF($J$6:$J$115,J111),0))</f>
        <v/>
      </c>
    </row>
    <row r="112" ht="22" customHeight="1">
      <c r="A112" s="5" t="n"/>
      <c r="B112" s="5" t="n"/>
      <c r="C112" s="5" t="n"/>
      <c r="D112" s="5" t="n"/>
      <c r="E112" s="5" t="n"/>
      <c r="F112" s="24">
        <f>IF(OR(D112="",E112=""),"",IFERROR(VALUE(SUBSTITUTE(E112,"%",""))/VALUE(SUBSTITUTE(D112,"%",""))*100,0))</f>
        <v/>
      </c>
      <c r="G112" s="5" t="n"/>
      <c r="H112" s="5" t="n"/>
      <c r="I112" s="5" t="n"/>
      <c r="J112" s="5" t="n"/>
      <c r="K112" s="5" t="n"/>
      <c r="L112" s="5" t="n"/>
      <c r="M112" s="5">
        <f>IF(G112="","",IFERROR(VLOOKUP(G112,'F01 - _Données Expatriés'!$F$6:$F$20,1,FALSE),""))</f>
        <v/>
      </c>
      <c r="N112" s="5">
        <f>IF(J112="","",IFERROR(COUNTIF($J$6:$J$115,J112),0))</f>
        <v/>
      </c>
    </row>
    <row r="113" ht="22" customHeight="1">
      <c r="A113" s="7" t="n"/>
      <c r="B113" s="7" t="n"/>
      <c r="C113" s="7" t="n"/>
      <c r="D113" s="7" t="n"/>
      <c r="E113" s="7" t="n"/>
      <c r="F113" s="26">
        <f>IF(OR(D113="",E113=""),"",IFERROR(VALUE(SUBSTITUTE(E113,"%",""))/VALUE(SUBSTITUTE(D113,"%",""))*100,0))</f>
        <v/>
      </c>
      <c r="G113" s="7" t="n"/>
      <c r="H113" s="7" t="n"/>
      <c r="I113" s="7" t="n"/>
      <c r="J113" s="7" t="n"/>
      <c r="K113" s="7" t="n"/>
      <c r="L113" s="7" t="n"/>
      <c r="M113" s="7">
        <f>IF(G113="","",IFERROR(VLOOKUP(G113,'F01 - _Données Expatriés'!$F$6:$F$20,1,FALSE),""))</f>
        <v/>
      </c>
      <c r="N113" s="7">
        <f>IF(J113="","",IFERROR(COUNTIF($J$6:$J$115,J113),0))</f>
        <v/>
      </c>
    </row>
    <row r="114" ht="22" customHeight="1">
      <c r="A114" s="5" t="n"/>
      <c r="B114" s="5" t="n"/>
      <c r="C114" s="5" t="n"/>
      <c r="D114" s="5" t="n"/>
      <c r="E114" s="5" t="n"/>
      <c r="F114" s="24">
        <f>IF(OR(D114="",E114=""),"",IFERROR(VALUE(SUBSTITUTE(E114,"%",""))/VALUE(SUBSTITUTE(D114,"%",""))*100,0))</f>
        <v/>
      </c>
      <c r="G114" s="5" t="n"/>
      <c r="H114" s="5" t="n"/>
      <c r="I114" s="5" t="n"/>
      <c r="J114" s="5" t="n"/>
      <c r="K114" s="5" t="n"/>
      <c r="L114" s="5" t="n"/>
      <c r="M114" s="5">
        <f>IF(G114="","",IFERROR(VLOOKUP(G114,'F01 - _Données Expatriés'!$F$6:$F$20,1,FALSE),""))</f>
        <v/>
      </c>
      <c r="N114" s="5">
        <f>IF(J114="","",IFERROR(COUNTIF($J$6:$J$115,J114),0))</f>
        <v/>
      </c>
    </row>
    <row r="115" ht="22" customHeight="1">
      <c r="A115" s="7" t="n"/>
      <c r="B115" s="7" t="n"/>
      <c r="C115" s="7" t="n"/>
      <c r="D115" s="7" t="n"/>
      <c r="E115" s="7" t="n"/>
      <c r="F115" s="26">
        <f>IF(OR(D115="",E115=""),"",IFERROR(VALUE(SUBSTITUTE(E115,"%",""))/VALUE(SUBSTITUTE(D115,"%",""))*100,0))</f>
        <v/>
      </c>
      <c r="G115" s="7" t="n"/>
      <c r="H115" s="7" t="n"/>
      <c r="I115" s="7" t="n"/>
      <c r="J115" s="7" t="n"/>
      <c r="K115" s="7" t="n"/>
      <c r="L115" s="7" t="n"/>
      <c r="M115" s="7">
        <f>IF(G115="","",IFERROR(VLOOKUP(G115,'F01 - _Données Expatriés'!$F$6:$F$20,1,FALSE),""))</f>
        <v/>
      </c>
      <c r="N115" s="7">
        <f>IF(J115="","",IFERROR(COUNTIF($J$6:$J$115,J115),0))</f>
        <v/>
      </c>
    </row>
  </sheetData>
  <mergeCells count="2">
    <mergeCell ref="A3:N3"/>
    <mergeCell ref="A2:N2"/>
  </mergeCells>
  <dataValidations count="5">
    <dataValidation sqref="C6:C115" showDropDown="0" showInputMessage="0" showErrorMessage="0" allowBlank="1" errorTitle="Erreur" error="Valeur invalide" promptTitle="" prompt="Choisir dans la liste: " type="list">
      <formula1>'F02 - _Lists'!$Y$6:$Y$9</formula1>
    </dataValidation>
    <dataValidation sqref="G6:G115" showDropDown="0" showInputMessage="0" showErrorMessage="0" allowBlank="1" errorTitle="Erreur" error="Valeur invalide" promptTitle="" prompt="Choisir dans la liste: " type="list">
      <formula1>'F02 - _Lists'!$AD$6:$AD$8</formula1>
    </dataValidation>
    <dataValidation sqref="H6:H115" showDropDown="0" showInputMessage="0" showErrorMessage="0" allowBlank="1" errorTitle="Erreur" error="Valeur invalide" promptTitle="" prompt="Choisir dans la liste: " type="list">
      <formula1>'F02 - _Lists'!$C$6:$C$25</formula1>
    </dataValidation>
    <dataValidation sqref="I6:I115" showDropDown="0" showInputMessage="0" showErrorMessage="0" allowBlank="1" errorTitle="Erreur" error="Valeur invalide" promptTitle="" prompt="Choisir dans la liste: " type="list">
      <formula1>'F02 - _Lists'!$B$6:$B$20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_Lists'!$V$6:$V$10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16" customWidth="1" min="4" max="4"/>
    <col width="28" customWidth="1" min="5" max="5"/>
    <col width="16" customWidth="1" min="6" max="6"/>
    <col width="14" customWidth="1" min="7" max="7"/>
    <col width="24" customWidth="1" min="8" max="8"/>
    <col width="24" customWidth="1" min="9" max="9"/>
    <col width="22" customWidth="1" min="10" max="10"/>
    <col width="16" customWidth="1" min="11" max="11"/>
    <col width="14" customWidth="1" min="12" max="12"/>
    <col width="28" customWidth="1" min="13" max="13"/>
    <col width="14" customWidth="1" min="14" max="14"/>
  </cols>
  <sheetData>
    <row r="1" ht="8" customHeight="1"/>
    <row r="2" ht="30" customHeight="1">
      <c r="A2" s="1" t="inlineStr">
        <is>
          <t>17-ANALYSE DES RISQUES PAYS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Risque</t>
        </is>
      </c>
      <c r="B5" s="4" t="inlineStr">
        <is>
          <t>Pays Concerné</t>
        </is>
      </c>
      <c r="C5" s="4" t="inlineStr">
        <is>
          <t>Type Risque</t>
        </is>
      </c>
      <c r="D5" s="4" t="inlineStr">
        <is>
          <t>Niveau Risque</t>
        </is>
      </c>
      <c r="E5" s="4" t="inlineStr">
        <is>
          <t>Description</t>
        </is>
      </c>
      <c r="F5" s="4" t="inlineStr">
        <is>
          <t>Impact Potentiel</t>
        </is>
      </c>
      <c r="G5" s="4" t="inlineStr">
        <is>
          <t>Probabilité</t>
        </is>
      </c>
      <c r="H5" s="4" t="inlineStr">
        <is>
          <t>Mesure Prévention</t>
        </is>
      </c>
      <c r="I5" s="4" t="inlineStr">
        <is>
          <t>Plan Contingence</t>
        </is>
      </c>
      <c r="J5" s="4" t="inlineStr">
        <is>
          <t>Responsable Suivi</t>
        </is>
      </c>
      <c r="K5" s="4" t="inlineStr">
        <is>
          <t>Date Évaluation</t>
        </is>
      </c>
      <c r="L5" s="4" t="inlineStr">
        <is>
          <t>Statut</t>
        </is>
      </c>
      <c r="M5" s="4" t="inlineStr">
        <is>
          <t>Observations</t>
        </is>
      </c>
      <c r="N5" s="4" t="inlineStr"/>
    </row>
    <row r="6" ht="22" customHeight="1">
      <c r="A6" s="5" t="inlineStr">
        <is>
          <t>RISK-001</t>
        </is>
      </c>
      <c r="B6" s="5" t="inlineStr">
        <is>
          <t>Côte d'Ivoire</t>
        </is>
      </c>
      <c r="C6" s="5" t="inlineStr">
        <is>
          <t>Santé / Épidémiologique</t>
        </is>
      </c>
      <c r="D6" s="5" t="inlineStr">
        <is>
          <t>Modéré</t>
        </is>
      </c>
      <c r="E6" s="5" t="inlineStr">
        <is>
          <t>Épidémie Dengue saisonnière</t>
        </is>
      </c>
      <c r="F6" s="5" t="inlineStr">
        <is>
          <t>Moyen</t>
        </is>
      </c>
      <c r="G6" s="5" t="inlineStr">
        <is>
          <t>Élevée</t>
        </is>
      </c>
      <c r="H6" s="5" t="inlineStr">
        <is>
          <t>Vaccination + moustiquaires</t>
        </is>
      </c>
      <c r="I6" s="5" t="inlineStr">
        <is>
          <t>Évacuation médicale</t>
        </is>
      </c>
      <c r="J6" s="5" t="inlineStr">
        <is>
          <t>DRH</t>
        </is>
      </c>
      <c r="K6" s="22" t="n">
        <v>45672</v>
      </c>
      <c r="L6" s="5" t="inlineStr">
        <is>
          <t>En cours</t>
        </is>
      </c>
      <c r="M6" s="5" t="inlineStr">
        <is>
          <t>Saison des pluies</t>
        </is>
      </c>
      <c r="N6" s="5">
        <f>IF(A6="","",IF(D6="Critique","ALERTE IMMÉDIATE",IF(D6="Élevé","SURVEILLANCE RENFORCÉE",IF(D6="Modéré","SUIVI STANDARD","FAIBLE"))))</f>
        <v/>
      </c>
    </row>
    <row r="7" ht="22" customHeight="1">
      <c r="A7" s="7" t="inlineStr">
        <is>
          <t>RISK-002</t>
        </is>
      </c>
      <c r="B7" s="7" t="inlineStr">
        <is>
          <t>Côte d'Ivoire</t>
        </is>
      </c>
      <c r="C7" s="7" t="inlineStr">
        <is>
          <t>Instabilité politique</t>
        </is>
      </c>
      <c r="D7" s="7" t="inlineStr">
        <is>
          <t>Faible</t>
        </is>
      </c>
      <c r="E7" s="7" t="inlineStr">
        <is>
          <t>Élections locales 2025</t>
        </is>
      </c>
      <c r="F7" s="7" t="inlineStr">
        <is>
          <t>Moyen</t>
        </is>
      </c>
      <c r="G7" s="7" t="inlineStr">
        <is>
          <t>Faible</t>
        </is>
      </c>
      <c r="H7" s="7" t="inlineStr">
        <is>
          <t>Veille sécuritaire</t>
        </is>
      </c>
      <c r="I7" s="7" t="inlineStr">
        <is>
          <t>Plan d'évacuation</t>
        </is>
      </c>
      <c r="J7" s="7" t="inlineStr">
        <is>
          <t>DG / DRH</t>
        </is>
      </c>
      <c r="K7" s="23" t="n">
        <v>45672</v>
      </c>
      <c r="L7" s="7" t="inlineStr">
        <is>
          <t>En cours</t>
        </is>
      </c>
      <c r="M7" s="7" t="inlineStr"/>
      <c r="N7" s="7">
        <f>IF(A7="","",IF(D7="Critique","ALERTE IMMÉDIATE",IF(D7="Élevé","SURVEILLANCE RENFORCÉE",IF(D7="Modéré","SUIVI STANDARD","FAIBLE"))))</f>
        <v/>
      </c>
    </row>
    <row r="8" ht="22" customHeight="1">
      <c r="A8" s="5" t="inlineStr">
        <is>
          <t>RISK-003</t>
        </is>
      </c>
      <c r="B8" s="5" t="inlineStr">
        <is>
          <t>Côte d'Ivoire</t>
        </is>
      </c>
      <c r="C8" s="5" t="inlineStr">
        <is>
          <t>Taux de change</t>
        </is>
      </c>
      <c r="D8" s="5" t="inlineStr">
        <is>
          <t>Élevé</t>
        </is>
      </c>
      <c r="E8" s="5" t="inlineStr">
        <is>
          <t>Volatilité EUR/XOF</t>
        </is>
      </c>
      <c r="F8" s="5" t="inlineStr">
        <is>
          <t>Élevé</t>
        </is>
      </c>
      <c r="G8" s="5" t="inlineStr">
        <is>
          <t>Modérée</t>
        </is>
      </c>
      <c r="H8" s="5" t="inlineStr">
        <is>
          <t>Couverture de change</t>
        </is>
      </c>
      <c r="I8" s="5" t="inlineStr">
        <is>
          <t>Indexation indemnités</t>
        </is>
      </c>
      <c r="J8" s="5" t="inlineStr">
        <is>
          <t>DAF</t>
        </is>
      </c>
      <c r="K8" s="22" t="n">
        <v>45689</v>
      </c>
      <c r="L8" s="5" t="inlineStr">
        <is>
          <t>En cours</t>
        </is>
      </c>
      <c r="M8" s="5" t="inlineStr">
        <is>
          <t>Pegged mais risque dépeg</t>
        </is>
      </c>
      <c r="N8" s="5">
        <f>IF(A8="","",IF(D8="Critique","ALERTE IMMÉDIATE",IF(D8="Élevé","SURVEILLANCE RENFORCÉE",IF(D8="Modéré","SUIVI STANDARD","FAIBLE"))))</f>
        <v/>
      </c>
    </row>
    <row r="9" ht="22" customHeight="1">
      <c r="A9" s="7" t="inlineStr">
        <is>
          <t>RISK-004</t>
        </is>
      </c>
      <c r="B9" s="7" t="inlineStr">
        <is>
          <t>Global</t>
        </is>
      </c>
      <c r="C9" s="7" t="inlineStr">
        <is>
          <t>Conformité légale</t>
        </is>
      </c>
      <c r="D9" s="7" t="inlineStr">
        <is>
          <t>Modéré</t>
        </is>
      </c>
      <c r="E9" s="7" t="inlineStr">
        <is>
          <t>Changement réglementation immigration</t>
        </is>
      </c>
      <c r="F9" s="7" t="inlineStr">
        <is>
          <t>Élevé</t>
        </is>
      </c>
      <c r="G9" s="7" t="inlineStr">
        <is>
          <t>Modérée</t>
        </is>
      </c>
      <c r="H9" s="7" t="inlineStr">
        <is>
          <t>Veille juridique</t>
        </is>
      </c>
      <c r="I9" s="7" t="inlineStr">
        <is>
          <t>Avocat spécialisé</t>
        </is>
      </c>
      <c r="J9" s="7" t="inlineStr">
        <is>
          <t>DRH / Juridique</t>
        </is>
      </c>
      <c r="K9" s="23" t="n">
        <v>45672</v>
      </c>
      <c r="L9" s="7" t="inlineStr">
        <is>
          <t>En cours</t>
        </is>
      </c>
      <c r="M9" s="7" t="inlineStr"/>
      <c r="N9" s="7">
        <f>IF(A9="","",IF(D9="Critique","ALERTE IMMÉDIATE",IF(D9="Élevé","SURVEILLANCE RENFORCÉE",IF(D9="Modéré","SUIVI STANDARD","FAIBLE"))))</f>
        <v/>
      </c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>
        <f>IF(A10="","",IF(D10="Critique","ALERTE IMMÉDIATE",IF(D10="Élevé","SURVEILLANCE RENFORCÉE",IF(D10="Modéré","SUIVI STANDARD","FAIBLE"))))</f>
        <v/>
      </c>
    </row>
    <row r="11" ht="22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>
        <f>IF(A11="","",IF(D11="Critique","ALERTE IMMÉDIATE",IF(D11="Élevé","SURVEILLANCE RENFORCÉE",IF(D11="Modéré","SUIVI STANDARD","FAIBLE"))))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>
        <f>IF(A12="","",IF(D12="Critique","ALERTE IMMÉDIATE",IF(D12="Élevé","SURVEILLANCE RENFORCÉE",IF(D12="Modéré","SUIVI STANDARD","FAIBLE"))))</f>
        <v/>
      </c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>
        <f>IF(A13="","",IF(D13="Critique","ALERTE IMMÉDIATE",IF(D13="Élevé","SURVEILLANCE RENFORCÉE",IF(D13="Modéré","SUIVI STANDARD","FAIBLE"))))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>
        <f>IF(A14="","",IF(D14="Critique","ALERTE IMMÉDIATE",IF(D14="Élevé","SURVEILLANCE RENFORCÉE",IF(D14="Modéré","SUIVI STANDARD","FAIBLE"))))</f>
        <v/>
      </c>
    </row>
    <row r="15" ht="22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>
        <f>IF(A15="","",IF(D15="Critique","ALERTE IMMÉDIATE",IF(D15="Élevé","SURVEILLANCE RENFORCÉE",IF(D15="Modéré","SUIVI STANDARD","FAIBLE"))))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>
        <f>IF(A16="","",IF(D16="Critique","ALERTE IMMÉDIATE",IF(D16="Élevé","SURVEILLANCE RENFORCÉE",IF(D16="Modéré","SUIVI STANDARD","FAIBLE"))))</f>
        <v/>
      </c>
    </row>
    <row r="17" ht="22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>
        <f>IF(A17="","",IF(D17="Critique","ALERTE IMMÉDIATE",IF(D17="Élevé","SURVEILLANCE RENFORCÉE",IF(D17="Modéré","SUIVI STANDARD","FAIBLE"))))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>
        <f>IF(A18="","",IF(D18="Critique","ALERTE IMMÉDIATE",IF(D18="Élevé","SURVEILLANCE RENFORCÉE",IF(D18="Modéré","SUIVI STANDARD","FAIBLE"))))</f>
        <v/>
      </c>
    </row>
    <row r="19" ht="22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>
        <f>IF(A19="","",IF(D19="Critique","ALERTE IMMÉDIATE",IF(D19="Élevé","SURVEILLANCE RENFORCÉE",IF(D19="Modéré","SUIVI STANDARD","FAIBLE"))))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>
        <f>IF(A20="","",IF(D20="Critique","ALERTE IMMÉDIATE",IF(D20="Élevé","SURVEILLANCE RENFORCÉE",IF(D20="Modéré","SUIVI STANDARD","FAIBLE"))))</f>
        <v/>
      </c>
    </row>
    <row r="21" ht="22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>
        <f>IF(A21="","",IF(D21="Critique","ALERTE IMMÉDIATE",IF(D21="Élevé","SURVEILLANCE RENFORCÉE",IF(D21="Modéré","SUIVI STANDARD","FAIBLE"))))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>
        <f>IF(A22="","",IF(D22="Critique","ALERTE IMMÉDIATE",IF(D22="Élevé","SURVEILLANCE RENFORCÉE",IF(D22="Modéré","SUIVI STANDARD","FAIBLE"))))</f>
        <v/>
      </c>
    </row>
    <row r="23" ht="22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>
        <f>IF(A23="","",IF(D23="Critique","ALERTE IMMÉDIATE",IF(D23="Élevé","SURVEILLANCE RENFORCÉE",IF(D23="Modéré","SUIVI STANDARD","FAIBLE"))))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>
        <f>IF(A24="","",IF(D24="Critique","ALERTE IMMÉDIATE",IF(D24="Élevé","SURVEILLANCE RENFORCÉE",IF(D24="Modéré","SUIVI STANDARD","FAIBLE"))))</f>
        <v/>
      </c>
    </row>
    <row r="25" ht="22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>
        <f>IF(A25="","",IF(D25="Critique","ALERTE IMMÉDIATE",IF(D25="Élevé","SURVEILLANCE RENFORCÉE",IF(D25="Modéré","SUIVI STANDARD","FAIBLE"))))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>
        <f>IF(A26="","",IF(D26="Critique","ALERTE IMMÉDIATE",IF(D26="Élevé","SURVEILLANCE RENFORCÉE",IF(D26="Modéré","SUIVI STANDARD","FAIBLE"))))</f>
        <v/>
      </c>
    </row>
    <row r="27" ht="22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>
        <f>IF(A27="","",IF(D27="Critique","ALERTE IMMÉDIATE",IF(D27="Élevé","SURVEILLANCE RENFORCÉE",IF(D27="Modéré","SUIVI STANDARD","FAIBLE"))))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>
        <f>IF(A28="","",IF(D28="Critique","ALERTE IMMÉDIATE",IF(D28="Élevé","SURVEILLANCE RENFORCÉE",IF(D28="Modéré","SUIVI STANDARD","FAIBLE"))))</f>
        <v/>
      </c>
    </row>
    <row r="29" ht="22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>
        <f>IF(A29="","",IF(D29="Critique","ALERTE IMMÉDIATE",IF(D29="Élevé","SURVEILLANCE RENFORCÉE",IF(D29="Modéré","SUIVI STANDARD","FAIBLE"))))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>
        <f>IF(A30="","",IF(D30="Critique","ALERTE IMMÉDIATE",IF(D30="Élevé","SURVEILLANCE RENFORCÉE",IF(D30="Modéré","SUIVI STANDARD","FAIBLE"))))</f>
        <v/>
      </c>
    </row>
    <row r="31" ht="22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>
        <f>IF(A31="","",IF(D31="Critique","ALERTE IMMÉDIATE",IF(D31="Élevé","SURVEILLANCE RENFORCÉE",IF(D31="Modéré","SUIVI STANDARD","FAIBLE"))))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>
        <f>IF(A32="","",IF(D32="Critique","ALERTE IMMÉDIATE",IF(D32="Élevé","SURVEILLANCE RENFORCÉE",IF(D32="Modéré","SUIVI STANDARD","FAIBLE"))))</f>
        <v/>
      </c>
    </row>
    <row r="33" ht="22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>
        <f>IF(A33="","",IF(D33="Critique","ALERTE IMMÉDIATE",IF(D33="Élevé","SURVEILLANCE RENFORCÉE",IF(D33="Modéré","SUIVI STANDARD","FAIBLE"))))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>
        <f>IF(A34="","",IF(D34="Critique","ALERTE IMMÉDIATE",IF(D34="Élevé","SURVEILLANCE RENFORCÉE",IF(D34="Modéré","SUIVI STANDARD","FAIBLE"))))</f>
        <v/>
      </c>
    </row>
    <row r="35" ht="22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>
        <f>IF(A35="","",IF(D35="Critique","ALERTE IMMÉDIATE",IF(D35="Élevé","SURVEILLANCE RENFORCÉE",IF(D35="Modéré","SUIVI STANDARD","FAIBLE"))))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>
        <f>IF(A36="","",IF(D36="Critique","ALERTE IMMÉDIATE",IF(D36="Élevé","SURVEILLANCE RENFORCÉE",IF(D36="Modéré","SUIVI STANDARD","FAIBLE"))))</f>
        <v/>
      </c>
    </row>
    <row r="37" ht="22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>
        <f>IF(A37="","",IF(D37="Critique","ALERTE IMMÉDIATE",IF(D37="Élevé","SURVEILLANCE RENFORCÉE",IF(D37="Modéré","SUIVI STANDARD","FAIBLE"))))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>
        <f>IF(A38="","",IF(D38="Critique","ALERTE IMMÉDIATE",IF(D38="Élevé","SURVEILLANCE RENFORCÉE",IF(D38="Modéré","SUIVI STANDARD","FAIBLE"))))</f>
        <v/>
      </c>
    </row>
    <row r="39" ht="22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>
        <f>IF(A39="","",IF(D39="Critique","ALERTE IMMÉDIATE",IF(D39="Élevé","SURVEILLANCE RENFORCÉE",IF(D39="Modéré","SUIVI STANDARD","FAIBLE"))))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>
        <f>IF(A40="","",IF(D40="Critique","ALERTE IMMÉDIATE",IF(D40="Élevé","SURVEILLANCE RENFORCÉE",IF(D40="Modéré","SUIVI STANDARD","FAIBLE"))))</f>
        <v/>
      </c>
    </row>
    <row r="41" ht="22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>
        <f>IF(A41="","",IF(D41="Critique","ALERTE IMMÉDIATE",IF(D41="Élevé","SURVEILLANCE RENFORCÉE",IF(D41="Modéré","SUIVI STANDARD","FAIBLE"))))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>
        <f>IF(A42="","",IF(D42="Critique","ALERTE IMMÉDIATE",IF(D42="Élevé","SURVEILLANCE RENFORCÉE",IF(D42="Modéré","SUIVI STANDARD","FAIBLE"))))</f>
        <v/>
      </c>
    </row>
    <row r="43" ht="22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>
        <f>IF(A43="","",IF(D43="Critique","ALERTE IMMÉDIATE",IF(D43="Élevé","SURVEILLANCE RENFORCÉE",IF(D43="Modéré","SUIVI STANDARD","FAIBLE"))))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>
        <f>IF(A44="","",IF(D44="Critique","ALERTE IMMÉDIATE",IF(D44="Élevé","SURVEILLANCE RENFORCÉE",IF(D44="Modéré","SUIVI STANDARD","FAIBLE"))))</f>
        <v/>
      </c>
    </row>
    <row r="45" ht="22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>
        <f>IF(A45="","",IF(D45="Critique","ALERTE IMMÉDIATE",IF(D45="Élevé","SURVEILLANCE RENFORCÉE",IF(D45="Modéré","SUIVI STANDARD","FAIBLE"))))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>
        <f>IF(A46="","",IF(D46="Critique","ALERTE IMMÉDIATE",IF(D46="Élevé","SURVEILLANCE RENFORCÉE",IF(D46="Modéré","SUIVI STANDARD","FAIBLE"))))</f>
        <v/>
      </c>
    </row>
    <row r="47" ht="22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>
        <f>IF(A47="","",IF(D47="Critique","ALERTE IMMÉDIATE",IF(D47="Élevé","SURVEILLANCE RENFORCÉE",IF(D47="Modéré","SUIVI STANDARD","FAIBLE"))))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>
        <f>IF(A48="","",IF(D48="Critique","ALERTE IMMÉDIATE",IF(D48="Élevé","SURVEILLANCE RENFORCÉE",IF(D48="Modéré","SUIVI STANDARD","FAIBLE"))))</f>
        <v/>
      </c>
    </row>
    <row r="49" ht="22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>
        <f>IF(A49="","",IF(D49="Critique","ALERTE IMMÉDIATE",IF(D49="Élevé","SURVEILLANCE RENFORCÉE",IF(D49="Modéré","SUIVI STANDARD","FAIBLE"))))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>
        <f>IF(A50="","",IF(D50="Critique","ALERTE IMMÉDIATE",IF(D50="Élevé","SURVEILLANCE RENFORCÉE",IF(D50="Modéré","SUIVI STANDARD","FAIBLE"))))</f>
        <v/>
      </c>
    </row>
    <row r="51" ht="22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>
        <f>IF(A51="","",IF(D51="Critique","ALERTE IMMÉDIATE",IF(D51="Élevé","SURVEILLANCE RENFORCÉE",IF(D51="Modéré","SUIVI STANDARD","FAIBLE"))))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>
        <f>IF(A52="","",IF(D52="Critique","ALERTE IMMÉDIATE",IF(D52="Élevé","SURVEILLANCE RENFORCÉE",IF(D52="Modéré","SUIVI STANDARD","FAIBLE"))))</f>
        <v/>
      </c>
    </row>
    <row r="53" ht="22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>
        <f>IF(A53="","",IF(D53="Critique","ALERTE IMMÉDIATE",IF(D53="Élevé","SURVEILLANCE RENFORCÉE",IF(D53="Modéré","SUIVI STANDARD","FAIBLE"))))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>
        <f>IF(A54="","",IF(D54="Critique","ALERTE IMMÉDIATE",IF(D54="Élevé","SURVEILLANCE RENFORCÉE",IF(D54="Modéré","SUIVI STANDARD","FAIBLE"))))</f>
        <v/>
      </c>
    </row>
    <row r="55" ht="22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>
        <f>IF(A55="","",IF(D55="Critique","ALERTE IMMÉDIATE",IF(D55="Élevé","SURVEILLANCE RENFORCÉE",IF(D55="Modéré","SUIVI STANDARD","FAIBLE"))))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>
        <f>IF(A56="","",IF(D56="Critique","ALERTE IMMÉDIATE",IF(D56="Élevé","SURVEILLANCE RENFORCÉE",IF(D56="Modéré","SUIVI STANDARD","FAIBLE"))))</f>
        <v/>
      </c>
    </row>
    <row r="57" ht="22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>
        <f>IF(A57="","",IF(D57="Critique","ALERTE IMMÉDIATE",IF(D57="Élevé","SURVEILLANCE RENFORCÉE",IF(D57="Modéré","SUIVI STANDARD","FAIBLE"))))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>
        <f>IF(A58="","",IF(D58="Critique","ALERTE IMMÉDIATE",IF(D58="Élevé","SURVEILLANCE RENFORCÉE",IF(D58="Modéré","SUIVI STANDARD","FAIBLE"))))</f>
        <v/>
      </c>
    </row>
    <row r="59" ht="22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>
        <f>IF(A59="","",IF(D59="Critique","ALERTE IMMÉDIATE",IF(D59="Élevé","SURVEILLANCE RENFORCÉE",IF(D59="Modéré","SUIVI STANDARD","FAIBLE"))))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>
        <f>IF(A60="","",IF(D60="Critique","ALERTE IMMÉDIATE",IF(D60="Élevé","SURVEILLANCE RENFORCÉE",IF(D60="Modéré","SUIVI STANDARD","FAIBLE"))))</f>
        <v/>
      </c>
    </row>
    <row r="61" ht="22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>
        <f>IF(A61="","",IF(D61="Critique","ALERTE IMMÉDIATE",IF(D61="Élevé","SURVEILLANCE RENFORCÉE",IF(D61="Modéré","SUIVI STANDARD","FAIBLE"))))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>
        <f>IF(A62="","",IF(D62="Critique","ALERTE IMMÉDIATE",IF(D62="Élevé","SURVEILLANCE RENFORCÉE",IF(D62="Modéré","SUIVI STANDARD","FAIBLE"))))</f>
        <v/>
      </c>
    </row>
    <row r="63" ht="22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>
        <f>IF(A63="","",IF(D63="Critique","ALERTE IMMÉDIATE",IF(D63="Élevé","SURVEILLANCE RENFORCÉE",IF(D63="Modéré","SUIVI STANDARD","FAIBLE"))))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>
        <f>IF(A64="","",IF(D64="Critique","ALERTE IMMÉDIATE",IF(D64="Élevé","SURVEILLANCE RENFORCÉE",IF(D64="Modéré","SUIVI STANDARD","FAIBLE"))))</f>
        <v/>
      </c>
    </row>
    <row r="65" ht="22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>
        <f>IF(A65="","",IF(D65="Critique","ALERTE IMMÉDIATE",IF(D65="Élevé","SURVEILLANCE RENFORCÉE",IF(D65="Modéré","SUIVI STANDARD","FAIBLE"))))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>
        <f>IF(A66="","",IF(D66="Critique","ALERTE IMMÉDIATE",IF(D66="Élevé","SURVEILLANCE RENFORCÉE",IF(D66="Modéré","SUIVI STANDARD","FAIBLE"))))</f>
        <v/>
      </c>
    </row>
    <row r="67" ht="22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>
        <f>IF(A67="","",IF(D67="Critique","ALERTE IMMÉDIATE",IF(D67="Élevé","SURVEILLANCE RENFORCÉE",IF(D67="Modéré","SUIVI STANDARD","FAIBLE"))))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>
        <f>IF(A68="","",IF(D68="Critique","ALERTE IMMÉDIATE",IF(D68="Élevé","SURVEILLANCE RENFORCÉE",IF(D68="Modéré","SUIVI STANDARD","FAIBLE"))))</f>
        <v/>
      </c>
    </row>
    <row r="69" ht="22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>
        <f>IF(A69="","",IF(D69="Critique","ALERTE IMMÉDIATE",IF(D69="Élevé","SURVEILLANCE RENFORCÉE",IF(D69="Modéré","SUIVI STANDARD","FAIBLE"))))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>
        <f>IF(A70="","",IF(D70="Critique","ALERTE IMMÉDIATE",IF(D70="Élevé","SURVEILLANCE RENFORCÉE",IF(D70="Modéré","SUIVI STANDARD","FAIBLE"))))</f>
        <v/>
      </c>
    </row>
    <row r="71" ht="22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>
        <f>IF(A71="","",IF(D71="Critique","ALERTE IMMÉDIATE",IF(D71="Élevé","SURVEILLANCE RENFORCÉE",IF(D71="Modéré","SUIVI STANDARD","FAIBLE"))))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>
        <f>IF(A72="","",IF(D72="Critique","ALERTE IMMÉDIATE",IF(D72="Élevé","SURVEILLANCE RENFORCÉE",IF(D72="Modéré","SUIVI STANDARD","FAIBLE"))))</f>
        <v/>
      </c>
    </row>
    <row r="73" ht="22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>
        <f>IF(A73="","",IF(D73="Critique","ALERTE IMMÉDIATE",IF(D73="Élevé","SURVEILLANCE RENFORCÉE",IF(D73="Modéré","SUIVI STANDARD","FAIBLE"))))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>
        <f>IF(A74="","",IF(D74="Critique","ALERTE IMMÉDIATE",IF(D74="Élevé","SURVEILLANCE RENFORCÉE",IF(D74="Modéré","SUIVI STANDARD","FAIBLE"))))</f>
        <v/>
      </c>
    </row>
    <row r="75" ht="22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>
        <f>IF(A75="","",IF(D75="Critique","ALERTE IMMÉDIATE",IF(D75="Élevé","SURVEILLANCE RENFORCÉE",IF(D75="Modéré","SUIVI STANDARD","FAIBLE"))))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>
        <f>IF(A76="","",IF(D76="Critique","ALERTE IMMÉDIATE",IF(D76="Élevé","SURVEILLANCE RENFORCÉE",IF(D76="Modéré","SUIVI STANDARD","FAIBLE"))))</f>
        <v/>
      </c>
    </row>
    <row r="77" ht="22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>
        <f>IF(A77="","",IF(D77="Critique","ALERTE IMMÉDIATE",IF(D77="Élevé","SURVEILLANCE RENFORCÉE",IF(D77="Modéré","SUIVI STANDARD","FAIBLE"))))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>
        <f>IF(A78="","",IF(D78="Critique","ALERTE IMMÉDIATE",IF(D78="Élevé","SURVEILLANCE RENFORCÉE",IF(D78="Modéré","SUIVI STANDARD","FAIBLE"))))</f>
        <v/>
      </c>
    </row>
    <row r="79" ht="22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>
        <f>IF(A79="","",IF(D79="Critique","ALERTE IMMÉDIATE",IF(D79="Élevé","SURVEILLANCE RENFORCÉE",IF(D79="Modéré","SUIVI STANDARD","FAIBLE"))))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>
        <f>IF(A80="","",IF(D80="Critique","ALERTE IMMÉDIATE",IF(D80="Élevé","SURVEILLANCE RENFORCÉE",IF(D80="Modéré","SUIVI STANDARD","FAIBLE"))))</f>
        <v/>
      </c>
    </row>
    <row r="81" ht="22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>
        <f>IF(A81="","",IF(D81="Critique","ALERTE IMMÉDIATE",IF(D81="Élevé","SURVEILLANCE RENFORCÉE",IF(D81="Modéré","SUIVI STANDARD","FAIBLE"))))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>
        <f>IF(A82="","",IF(D82="Critique","ALERTE IMMÉDIATE",IF(D82="Élevé","SURVEILLANCE RENFORCÉE",IF(D82="Modéré","SUIVI STANDARD","FAIBLE"))))</f>
        <v/>
      </c>
    </row>
    <row r="83" ht="22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>
        <f>IF(A83="","",IF(D83="Critique","ALERTE IMMÉDIATE",IF(D83="Élevé","SURVEILLANCE RENFORCÉE",IF(D83="Modéré","SUIVI STANDARD","FAIBLE"))))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>
        <f>IF(A84="","",IF(D84="Critique","ALERTE IMMÉDIATE",IF(D84="Élevé","SURVEILLANCE RENFORCÉE",IF(D84="Modéré","SUIVI STANDARD","FAIBLE"))))</f>
        <v/>
      </c>
    </row>
    <row r="85" ht="22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>
        <f>IF(A85="","",IF(D85="Critique","ALERTE IMMÉDIATE",IF(D85="Élevé","SURVEILLANCE RENFORCÉE",IF(D85="Modéré","SUIVI STANDARD","FAIBLE"))))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>
        <f>IF(A86="","",IF(D86="Critique","ALERTE IMMÉDIATE",IF(D86="Élevé","SURVEILLANCE RENFORCÉE",IF(D86="Modéré","SUIVI STANDARD","FAIBLE"))))</f>
        <v/>
      </c>
    </row>
    <row r="87" ht="22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>
        <f>IF(A87="","",IF(D87="Critique","ALERTE IMMÉDIATE",IF(D87="Élevé","SURVEILLANCE RENFORCÉE",IF(D87="Modéré","SUIVI STANDARD","FAIBLE"))))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>
        <f>IF(A88="","",IF(D88="Critique","ALERTE IMMÉDIATE",IF(D88="Élevé","SURVEILLANCE RENFORCÉE",IF(D88="Modéré","SUIVI STANDARD","FAIBLE"))))</f>
        <v/>
      </c>
    </row>
    <row r="89" ht="22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>
        <f>IF(A89="","",IF(D89="Critique","ALERTE IMMÉDIATE",IF(D89="Élevé","SURVEILLANCE RENFORCÉE",IF(D89="Modéré","SUIVI STANDARD","FAIBLE"))))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>
        <f>IF(A90="","",IF(D90="Critique","ALERTE IMMÉDIATE",IF(D90="Élevé","SURVEILLANCE RENFORCÉE",IF(D90="Modéré","SUIVI STANDARD","FAIBLE"))))</f>
        <v/>
      </c>
    </row>
    <row r="91" ht="22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>
        <f>IF(A91="","",IF(D91="Critique","ALERTE IMMÉDIATE",IF(D91="Élevé","SURVEILLANCE RENFORCÉE",IF(D91="Modéré","SUIVI STANDARD","FAIBLE"))))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>
        <f>IF(A92="","",IF(D92="Critique","ALERTE IMMÉDIATE",IF(D92="Élevé","SURVEILLANCE RENFORCÉE",IF(D92="Modéré","SUIVI STANDARD","FAIBLE"))))</f>
        <v/>
      </c>
    </row>
    <row r="93" ht="22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>
        <f>IF(A93="","",IF(D93="Critique","ALERTE IMMÉDIATE",IF(D93="Élevé","SURVEILLANCE RENFORCÉE",IF(D93="Modéré","SUIVI STANDARD","FAIBLE"))))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>
        <f>IF(A94="","",IF(D94="Critique","ALERTE IMMÉDIATE",IF(D94="Élevé","SURVEILLANCE RENFORCÉE",IF(D94="Modéré","SUIVI STANDARD","FAIBLE"))))</f>
        <v/>
      </c>
    </row>
    <row r="95" ht="22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>
        <f>IF(A95="","",IF(D95="Critique","ALERTE IMMÉDIATE",IF(D95="Élevé","SURVEILLANCE RENFORCÉE",IF(D95="Modéré","SUIVI STANDARD","FAIBLE"))))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>
        <f>IF(A96="","",IF(D96="Critique","ALERTE IMMÉDIATE",IF(D96="Élevé","SURVEILLANCE RENFORCÉE",IF(D96="Modéré","SUIVI STANDARD","FAIBLE"))))</f>
        <v/>
      </c>
    </row>
    <row r="97" ht="22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>
        <f>IF(A97="","",IF(D97="Critique","ALERTE IMMÉDIATE",IF(D97="Élevé","SURVEILLANCE RENFORCÉE",IF(D97="Modéré","SUIVI STANDARD","FAIBLE"))))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>
        <f>IF(A98="","",IF(D98="Critique","ALERTE IMMÉDIATE",IF(D98="Élevé","SURVEILLANCE RENFORCÉE",IF(D98="Modéré","SUIVI STANDARD","FAIBLE"))))</f>
        <v/>
      </c>
    </row>
    <row r="99" ht="22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>
        <f>IF(A99="","",IF(D99="Critique","ALERTE IMMÉDIATE",IF(D99="Élevé","SURVEILLANCE RENFORCÉE",IF(D99="Modéré","SUIVI STANDARD","FAIBLE"))))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>
        <f>IF(A100="","",IF(D100="Critique","ALERTE IMMÉDIATE",IF(D100="Élevé","SURVEILLANCE RENFORCÉE",IF(D100="Modéré","SUIVI STANDARD","FAIBLE"))))</f>
        <v/>
      </c>
    </row>
    <row r="101" ht="22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>
        <f>IF(A101="","",IF(D101="Critique","ALERTE IMMÉDIATE",IF(D101="Élevé","SURVEILLANCE RENFORCÉE",IF(D101="Modéré","SUIVI STANDARD","FAIBLE"))))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>
        <f>IF(A102="","",IF(D102="Critique","ALERTE IMMÉDIATE",IF(D102="Élevé","SURVEILLANCE RENFORCÉE",IF(D102="Modéré","SUIVI STANDARD","FAIBLE"))))</f>
        <v/>
      </c>
    </row>
    <row r="103" ht="22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>
        <f>IF(A103="","",IF(D103="Critique","ALERTE IMMÉDIATE",IF(D103="Élevé","SURVEILLANCE RENFORCÉE",IF(D103="Modéré","SUIVI STANDARD","FAIBLE"))))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>
        <f>IF(A104="","",IF(D104="Critique","ALERTE IMMÉDIATE",IF(D104="Élevé","SURVEILLANCE RENFORCÉE",IF(D104="Modéré","SUIVI STANDARD","FAIBLE"))))</f>
        <v/>
      </c>
    </row>
    <row r="105" ht="22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>
        <f>IF(A105="","",IF(D105="Critique","ALERTE IMMÉDIATE",IF(D105="Élevé","SURVEILLANCE RENFORCÉE",IF(D105="Modéré","SUIVI STANDARD","FAIBLE"))))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>
        <f>IF(A106="","",IF(D106="Critique","ALERTE IMMÉDIATE",IF(D106="Élevé","SURVEILLANCE RENFORCÉE",IF(D106="Modéré","SUIVI STANDARD","FAIBLE"))))</f>
        <v/>
      </c>
    </row>
    <row r="107" ht="22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>
        <f>IF(A107="","",IF(D107="Critique","ALERTE IMMÉDIATE",IF(D107="Élevé","SURVEILLANCE RENFORCÉE",IF(D107="Modéré","SUIVI STANDARD","FAIBLE"))))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>
        <f>IF(A108="","",IF(D108="Critique","ALERTE IMMÉDIATE",IF(D108="Élevé","SURVEILLANCE RENFORCÉE",IF(D108="Modéré","SUIVI STANDARD","FAIBLE"))))</f>
        <v/>
      </c>
    </row>
    <row r="109" ht="22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>
        <f>IF(A109="","",IF(D109="Critique","ALERTE IMMÉDIATE",IF(D109="Élevé","SURVEILLANCE RENFORCÉE",IF(D109="Modéré","SUIVI STANDARD","FAIBLE"))))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>
        <f>IF(A110="","",IF(D110="Critique","ALERTE IMMÉDIATE",IF(D110="Élevé","SURVEILLANCE RENFORCÉE",IF(D110="Modéré","SUIVI STANDARD","FAIBLE"))))</f>
        <v/>
      </c>
    </row>
    <row r="111" ht="22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>
        <f>IF(A111="","",IF(D111="Critique","ALERTE IMMÉDIATE",IF(D111="Élevé","SURVEILLANCE RENFORCÉE",IF(D111="Modéré","SUIVI STANDARD","FAIBLE"))))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>
        <f>IF(A112="","",IF(D112="Critique","ALERTE IMMÉDIATE",IF(D112="Élevé","SURVEILLANCE RENFORCÉE",IF(D112="Modéré","SUIVI STANDARD","FAIBLE"))))</f>
        <v/>
      </c>
    </row>
    <row r="113" ht="22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>
        <f>IF(A113="","",IF(D113="Critique","ALERTE IMMÉDIATE",IF(D113="Élevé","SURVEILLANCE RENFORCÉE",IF(D113="Modéré","SUIVI STANDARD","FAIBLE"))))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>
        <f>IF(A114="","",IF(D114="Critique","ALERTE IMMÉDIATE",IF(D114="Élevé","SURVEILLANCE RENFORCÉE",IF(D114="Modéré","SUIVI STANDARD","FAIBLE"))))</f>
        <v/>
      </c>
    </row>
    <row r="115" ht="22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>
        <f>IF(A115="","",IF(D115="Critique","ALERTE IMMÉDIATE",IF(D115="Élevé","SURVEILLANCE RENFORCÉE",IF(D115="Modéré","SUIVI STANDARD","FAIBLE"))))</f>
        <v/>
      </c>
    </row>
  </sheetData>
  <mergeCells count="2">
    <mergeCell ref="A3:N3"/>
    <mergeCell ref="A2:N2"/>
  </mergeCells>
  <dataValidations count="5">
    <dataValidation sqref="B6:B115" showDropDown="0" showInputMessage="0" showErrorMessage="0" allowBlank="1" errorTitle="Erreur" error="Valeur invalide" promptTitle="" prompt="Choisir dans la liste: " type="list">
      <formula1>'F02 - _Lists'!$F$6:$F$15</formula1>
    </dataValidation>
    <dataValidation sqref="C6:C115" showDropDown="0" showInputMessage="0" showErrorMessage="0" allowBlank="1" errorTitle="Erreur" error="Valeur invalide" promptTitle="" prompt="Choisir dans la liste: " type="list">
      <formula1>'F02 - _Lists'!$AB$6:$AB$13</formula1>
    </dataValidation>
    <dataValidation sqref="D6:D115" showDropDown="0" showInputMessage="0" showErrorMessage="0" allowBlank="1" errorTitle="Erreur" error="Valeur invalide" promptTitle="" prompt="Choisir dans la liste: " type="list">
      <formula1>'F02 - _Lists'!$L$6:$L$9</formula1>
    </dataValidation>
    <dataValidation sqref="F6:F115" showDropDown="0" showInputMessage="0" showErrorMessage="0" allowBlank="1" errorTitle="Erreur" error="Valeur invalide" promptTitle="" prompt="Choisir dans la liste: " type="list">
      <formula1>'F02 - _Lists'!$Z$6:$Z$9</formula1>
    </dataValidation>
    <dataValidation sqref="L6:L115" showDropDown="0" showInputMessage="0" showErrorMessage="0" allowBlank="1" errorTitle="Erreur" error="Valeur invalide" promptTitle="" prompt="Choisir dans la liste: " type="list">
      <formula1>'F02 - _Lists'!$V$6:$V$10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4" customWidth="1" min="3" max="3"/>
    <col width="18" customWidth="1" min="4" max="4"/>
    <col width="24" customWidth="1" min="5" max="5"/>
    <col width="18" customWidth="1" min="6" max="6"/>
    <col width="30" customWidth="1" min="7" max="7"/>
    <col width="22" customWidth="1" min="8" max="8"/>
    <col width="28" customWidth="1" min="9" max="9"/>
    <col width="18" customWidth="1" min="10" max="10"/>
    <col width="28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18-CONFORMITÉ RÉGLEMENTAIRE EXPATRIATION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Exigence</t>
        </is>
      </c>
      <c r="B5" s="4" t="inlineStr">
        <is>
          <t>Source Réglementaire</t>
        </is>
      </c>
      <c r="C5" s="4" t="inlineStr">
        <is>
          <t>Exigence</t>
        </is>
      </c>
      <c r="D5" s="4" t="inlineStr">
        <is>
          <t>Domaine</t>
        </is>
      </c>
      <c r="E5" s="4" t="inlineStr">
        <is>
          <t>Statut Conformité</t>
        </is>
      </c>
      <c r="F5" s="4" t="inlineStr">
        <is>
          <t>Date Vérification</t>
        </is>
      </c>
      <c r="G5" s="4" t="inlineStr">
        <is>
          <t>Preuve / Document</t>
        </is>
      </c>
      <c r="H5" s="4" t="inlineStr">
        <is>
          <t>Responsable</t>
        </is>
      </c>
      <c r="I5" s="4" t="inlineStr">
        <is>
          <t>Action Corrective</t>
        </is>
      </c>
      <c r="J5" s="4" t="inlineStr">
        <is>
          <t>Échéance Action</t>
        </is>
      </c>
      <c r="K5" s="4" t="inlineStr">
        <is>
          <t>Commentaire</t>
        </is>
      </c>
      <c r="L5" s="4" t="inlineStr"/>
      <c r="M5" s="4" t="inlineStr"/>
      <c r="N5" s="4" t="inlineStr"/>
    </row>
    <row r="6" ht="22" customHeight="1">
      <c r="A6" s="5" t="inlineStr">
        <is>
          <t>CONF-001</t>
        </is>
      </c>
      <c r="B6" s="5" t="inlineStr">
        <is>
          <t>Code Travail CI Art. 4</t>
        </is>
      </c>
      <c r="C6" s="5" t="inlineStr">
        <is>
          <t>Autorisation de travail obligatoire</t>
        </is>
      </c>
      <c r="D6" s="5" t="inlineStr">
        <is>
          <t>Immigration</t>
        </is>
      </c>
      <c r="E6" s="5" t="inlineStr">
        <is>
          <t>Conforme</t>
        </is>
      </c>
      <c r="F6" s="22">
        <f>IF(A6="","",IFERROR(VLOOKUP(A6,'F01 - _Données Expatriés'!$A$6:$K$20,5,FALSE),""))</f>
        <v/>
      </c>
      <c r="G6" s="5" t="inlineStr">
        <is>
          <t>Autorisations dossier DRH</t>
        </is>
      </c>
      <c r="H6" s="5" t="inlineStr">
        <is>
          <t>DRH</t>
        </is>
      </c>
      <c r="I6" s="5" t="inlineStr">
        <is>
          <t>N/A</t>
        </is>
      </c>
      <c r="J6" s="5" t="n"/>
      <c r="K6" s="5" t="inlineStr">
        <is>
          <t>Tous les expatriés couverts</t>
        </is>
      </c>
      <c r="L6" s="5">
        <f>IF(E6="Conforme","OK",IF(E6="Partiellement conforme","ACTION REQUISE",IF(E6="Non conforme","URGENT","")))</f>
        <v/>
      </c>
      <c r="M6" s="5" t="inlineStr"/>
      <c r="N6" s="5" t="inlineStr"/>
    </row>
    <row r="7" ht="22" customHeight="1">
      <c r="A7" s="7" t="inlineStr">
        <is>
          <t>CONF-002</t>
        </is>
      </c>
      <c r="B7" s="7" t="inlineStr">
        <is>
          <t>Art. 18 Loi 95-643</t>
        </is>
      </c>
      <c r="C7" s="7" t="inlineStr">
        <is>
          <t>Carte de séjour en cours de validité</t>
        </is>
      </c>
      <c r="D7" s="7" t="inlineStr">
        <is>
          <t>Immigration</t>
        </is>
      </c>
      <c r="E7" s="7" t="inlineStr">
        <is>
          <t>Partiellement conforme</t>
        </is>
      </c>
      <c r="F7" s="23">
        <f>IF(A7="","",IFERROR(VLOOKUP(A7,'F01 - _Données Expatriés'!$A$6:$K$20,5,FALSE),""))</f>
        <v/>
      </c>
      <c r="G7" s="7" t="inlineStr">
        <is>
          <t>Liste visas + dates</t>
        </is>
      </c>
      <c r="H7" s="7" t="inlineStr">
        <is>
          <t>DRH</t>
        </is>
      </c>
      <c r="I7" s="7" t="inlineStr">
        <is>
          <t>Renouveler visa EXP-005</t>
        </is>
      </c>
      <c r="J7" s="23" t="n">
        <v>45703</v>
      </c>
      <c r="K7" s="7" t="inlineStr">
        <is>
          <t>1 visa en retard</t>
        </is>
      </c>
      <c r="L7" s="7">
        <f>IF(E7="Conforme","OK",IF(E7="Partiellement conforme","ACTION REQUISE",IF(E7="Non conforme","URGENT","")))</f>
        <v/>
      </c>
      <c r="M7" s="7" t="inlineStr"/>
      <c r="N7" s="7" t="inlineStr"/>
    </row>
    <row r="8" ht="22" customHeight="1">
      <c r="A8" s="5" t="inlineStr">
        <is>
          <t>CONF-003</t>
        </is>
      </c>
      <c r="B8" s="5" t="inlineStr">
        <is>
          <t>Convention fiscale fr.</t>
        </is>
      </c>
      <c r="C8" s="5" t="inlineStr">
        <is>
          <t>Déclaration revenus double imposition</t>
        </is>
      </c>
      <c r="D8" s="5" t="inlineStr">
        <is>
          <t>Fiscalité</t>
        </is>
      </c>
      <c r="E8" s="5" t="inlineStr">
        <is>
          <t>Conforme</t>
        </is>
      </c>
      <c r="F8" s="22">
        <f>IF(A8="","",IFERROR(VLOOKUP(A8,'F01 - _Données Expatriés'!$A$6:$K$20,5,FALSE),""))</f>
        <v/>
      </c>
      <c r="G8" s="5" t="inlineStr">
        <is>
          <t>Déclarations fiscales 2024</t>
        </is>
      </c>
      <c r="H8" s="5" t="inlineStr">
        <is>
          <t>DAF</t>
        </is>
      </c>
      <c r="I8" s="5" t="inlineStr">
        <is>
          <t>N/A</t>
        </is>
      </c>
      <c r="J8" s="5" t="n"/>
      <c r="K8" s="5" t="inlineStr"/>
      <c r="L8" s="5">
        <f>IF(E8="Conforme","OK",IF(E8="Partiellement conforme","ACTION REQUISE",IF(E8="Non conforme","URGENT","")))</f>
        <v/>
      </c>
      <c r="M8" s="5" t="inlineStr"/>
      <c r="N8" s="5" t="inlineStr"/>
    </row>
    <row r="9" ht="22" customHeight="1">
      <c r="A9" s="7" t="inlineStr">
        <is>
          <t>CONF-004</t>
        </is>
      </c>
      <c r="B9" s="7" t="inlineStr">
        <is>
          <t>Code Sécurité Sociale</t>
        </is>
      </c>
      <c r="C9" s="7" t="inlineStr">
        <is>
          <t>Affiliation assurance maladie expatriés</t>
        </is>
      </c>
      <c r="D9" s="7" t="inlineStr">
        <is>
          <t>Sécurité sociale</t>
        </is>
      </c>
      <c r="E9" s="7" t="inlineStr">
        <is>
          <t>Conforme</t>
        </is>
      </c>
      <c r="F9" s="23">
        <f>IF(A9="","",IFERROR(VLOOKUP(A9,'F01 - _Données Expatriés'!$A$6:$K$20,5,FALSE),""))</f>
        <v/>
      </c>
      <c r="G9" s="7" t="inlineStr">
        <is>
          <t>Contrats assurance</t>
        </is>
      </c>
      <c r="H9" s="7" t="inlineStr">
        <is>
          <t>DRH</t>
        </is>
      </c>
      <c r="I9" s="7" t="inlineStr">
        <is>
          <t>N/A</t>
        </is>
      </c>
      <c r="J9" s="7" t="n"/>
      <c r="K9" s="7" t="inlineStr">
        <is>
          <t>Couverture internationale</t>
        </is>
      </c>
      <c r="L9" s="7">
        <f>IF(E9="Conforme","OK",IF(E9="Partiellement conforme","ACTION REQUISE",IF(E9="Non conforme","URGENT","")))</f>
        <v/>
      </c>
      <c r="M9" s="7" t="inlineStr"/>
      <c r="N9" s="7" t="inlineStr"/>
    </row>
    <row r="10" ht="22" customHeight="1">
      <c r="A10" s="5" t="inlineStr">
        <is>
          <t>CONF-005</t>
        </is>
      </c>
      <c r="B10" s="5" t="inlineStr">
        <is>
          <t>Règlement intérieur</t>
        </is>
      </c>
      <c r="C10" s="5" t="inlineStr">
        <is>
          <t>Respect conditions logement fourni</t>
        </is>
      </c>
      <c r="D10" s="5" t="inlineStr">
        <is>
          <t>Logement</t>
        </is>
      </c>
      <c r="E10" s="5" t="inlineStr">
        <is>
          <t>Partiellement conforme</t>
        </is>
      </c>
      <c r="F10" s="22">
        <f>IF(A10="","",IFERROR(VLOOKUP(A10,'F01 - _Données Expatriés'!$A$6:$K$20,5,FALSE),""))</f>
        <v/>
      </c>
      <c r="G10" s="5" t="inlineStr">
        <is>
          <t>Rapports logement</t>
        </is>
      </c>
      <c r="H10" s="5" t="inlineStr">
        <is>
          <t>DRH / Logistique</t>
        </is>
      </c>
      <c r="I10" s="5" t="inlineStr">
        <is>
          <t>Mise à jour 2 logements</t>
        </is>
      </c>
      <c r="J10" s="22" t="n">
        <v>45747</v>
      </c>
      <c r="K10" s="5" t="inlineStr">
        <is>
          <t>Travaux en cours</t>
        </is>
      </c>
      <c r="L10" s="5">
        <f>IF(E10="Conforme","OK",IF(E10="Partiellement conforme","ACTION REQUISE",IF(E10="Non conforme","URGENT","")))</f>
        <v/>
      </c>
      <c r="M10" s="5" t="inlineStr"/>
      <c r="N10" s="5" t="inlineStr"/>
    </row>
    <row r="11" ht="22" customHeight="1">
      <c r="A11" s="7" t="n"/>
      <c r="B11" s="7" t="n"/>
      <c r="C11" s="7" t="n"/>
      <c r="D11" s="7" t="n"/>
      <c r="E11" s="7" t="n"/>
      <c r="F11" s="7">
        <f>IF(A11="","",IFERROR(VLOOKUP(A11,'F01 - _Données Expatriés'!$A$6:$K$20,5,FALSE),""))</f>
        <v/>
      </c>
      <c r="G11" s="7" t="n"/>
      <c r="H11" s="7" t="n"/>
      <c r="I11" s="7" t="n"/>
      <c r="J11" s="7" t="n"/>
      <c r="K11" s="7" t="n"/>
      <c r="L11" s="7">
        <f>IF(E11="Conforme","OK",IF(E11="Partiellement conforme","ACTION REQUISE",IF(E11="Non conforme","URGENT","")))</f>
        <v/>
      </c>
      <c r="M11" s="7" t="n"/>
      <c r="N11" s="7" t="n"/>
    </row>
    <row r="12" ht="22" customHeight="1">
      <c r="A12" s="5" t="n"/>
      <c r="B12" s="5" t="n"/>
      <c r="C12" s="5" t="n"/>
      <c r="D12" s="5" t="n"/>
      <c r="E12" s="5" t="n"/>
      <c r="F12" s="5">
        <f>IF(A12="","",IFERROR(VLOOKUP(A12,'F01 - _Données Expatriés'!$A$6:$K$20,5,FALSE),""))</f>
        <v/>
      </c>
      <c r="G12" s="5" t="n"/>
      <c r="H12" s="5" t="n"/>
      <c r="I12" s="5" t="n"/>
      <c r="J12" s="5" t="n"/>
      <c r="K12" s="5" t="n"/>
      <c r="L12" s="5">
        <f>IF(E12="Conforme","OK",IF(E12="Partiellement conforme","ACTION REQUISE",IF(E12="Non conforme","URGENT","")))</f>
        <v/>
      </c>
      <c r="M12" s="5" t="n"/>
      <c r="N12" s="5" t="n"/>
    </row>
    <row r="13" ht="22" customHeight="1">
      <c r="A13" s="7" t="n"/>
      <c r="B13" s="7" t="n"/>
      <c r="C13" s="7" t="n"/>
      <c r="D13" s="7" t="n"/>
      <c r="E13" s="7" t="n"/>
      <c r="F13" s="7">
        <f>IF(A13="","",IFERROR(VLOOKUP(A13,'F01 - _Données Expatriés'!$A$6:$K$20,5,FALSE),""))</f>
        <v/>
      </c>
      <c r="G13" s="7" t="n"/>
      <c r="H13" s="7" t="n"/>
      <c r="I13" s="7" t="n"/>
      <c r="J13" s="7" t="n"/>
      <c r="K13" s="7" t="n"/>
      <c r="L13" s="7">
        <f>IF(E13="Conforme","OK",IF(E13="Partiellement conforme","ACTION REQUISE",IF(E13="Non conforme","URGENT","")))</f>
        <v/>
      </c>
      <c r="M13" s="7" t="n"/>
      <c r="N13" s="7" t="n"/>
    </row>
    <row r="14" ht="22" customHeight="1">
      <c r="A14" s="5" t="n"/>
      <c r="B14" s="5" t="n"/>
      <c r="C14" s="5" t="n"/>
      <c r="D14" s="5" t="n"/>
      <c r="E14" s="5" t="n"/>
      <c r="F14" s="5">
        <f>IF(A14="","",IFERROR(VLOOKUP(A14,'F01 - _Données Expatriés'!$A$6:$K$20,5,FALSE),""))</f>
        <v/>
      </c>
      <c r="G14" s="5" t="n"/>
      <c r="H14" s="5" t="n"/>
      <c r="I14" s="5" t="n"/>
      <c r="J14" s="5" t="n"/>
      <c r="K14" s="5" t="n"/>
      <c r="L14" s="5">
        <f>IF(E14="Conforme","OK",IF(E14="Partiellement conforme","ACTION REQUISE",IF(E14="Non conforme","URGENT","")))</f>
        <v/>
      </c>
      <c r="M14" s="5" t="n"/>
      <c r="N14" s="5" t="n"/>
    </row>
    <row r="15" ht="22" customHeight="1">
      <c r="A15" s="7" t="n"/>
      <c r="B15" s="7" t="n"/>
      <c r="C15" s="7" t="n"/>
      <c r="D15" s="7" t="n"/>
      <c r="E15" s="7" t="n"/>
      <c r="F15" s="7">
        <f>IF(A15="","",IFERROR(VLOOKUP(A15,'F01 - _Données Expatriés'!$A$6:$K$20,5,FALSE),""))</f>
        <v/>
      </c>
      <c r="G15" s="7" t="n"/>
      <c r="H15" s="7" t="n"/>
      <c r="I15" s="7" t="n"/>
      <c r="J15" s="7" t="n"/>
      <c r="K15" s="7" t="n"/>
      <c r="L15" s="7">
        <f>IF(E15="Conforme","OK",IF(E15="Partiellement conforme","ACTION REQUISE",IF(E15="Non conforme","URGENT","")))</f>
        <v/>
      </c>
      <c r="M15" s="7" t="n"/>
      <c r="N15" s="7" t="n"/>
    </row>
    <row r="16" ht="22" customHeight="1">
      <c r="A16" s="5" t="n"/>
      <c r="B16" s="5" t="n"/>
      <c r="C16" s="5" t="n"/>
      <c r="D16" s="5" t="n"/>
      <c r="E16" s="5" t="n"/>
      <c r="F16" s="5">
        <f>IF(A16="","",IFERROR(VLOOKUP(A16,'F01 - _Données Expatriés'!$A$6:$K$20,5,FALSE),""))</f>
        <v/>
      </c>
      <c r="G16" s="5" t="n"/>
      <c r="H16" s="5" t="n"/>
      <c r="I16" s="5" t="n"/>
      <c r="J16" s="5" t="n"/>
      <c r="K16" s="5" t="n"/>
      <c r="L16" s="5">
        <f>IF(E16="Conforme","OK",IF(E16="Partiellement conforme","ACTION REQUISE",IF(E16="Non conforme","URGENT","")))</f>
        <v/>
      </c>
      <c r="M16" s="5" t="n"/>
      <c r="N16" s="5" t="n"/>
    </row>
    <row r="17" ht="22" customHeight="1">
      <c r="A17" s="7" t="n"/>
      <c r="B17" s="7" t="n"/>
      <c r="C17" s="7" t="n"/>
      <c r="D17" s="7" t="n"/>
      <c r="E17" s="7" t="n"/>
      <c r="F17" s="7">
        <f>IF(A17="","",IFERROR(VLOOKUP(A17,'F01 - _Données Expatriés'!$A$6:$K$20,5,FALSE),""))</f>
        <v/>
      </c>
      <c r="G17" s="7" t="n"/>
      <c r="H17" s="7" t="n"/>
      <c r="I17" s="7" t="n"/>
      <c r="J17" s="7" t="n"/>
      <c r="K17" s="7" t="n"/>
      <c r="L17" s="7">
        <f>IF(E17="Conforme","OK",IF(E17="Partiellement conforme","ACTION REQUISE",IF(E17="Non conforme","URGENT","")))</f>
        <v/>
      </c>
      <c r="M17" s="7" t="n"/>
      <c r="N17" s="7" t="n"/>
    </row>
    <row r="18" ht="22" customHeight="1">
      <c r="A18" s="5" t="n"/>
      <c r="B18" s="5" t="n"/>
      <c r="C18" s="5" t="n"/>
      <c r="D18" s="5" t="n"/>
      <c r="E18" s="5" t="n"/>
      <c r="F18" s="5">
        <f>IF(A18="","",IFERROR(VLOOKUP(A18,'F01 - _Données Expatriés'!$A$6:$K$20,5,FALSE),""))</f>
        <v/>
      </c>
      <c r="G18" s="5" t="n"/>
      <c r="H18" s="5" t="n"/>
      <c r="I18" s="5" t="n"/>
      <c r="J18" s="5" t="n"/>
      <c r="K18" s="5" t="n"/>
      <c r="L18" s="5">
        <f>IF(E18="Conforme","OK",IF(E18="Partiellement conforme","ACTION REQUISE",IF(E18="Non conforme","URGENT","")))</f>
        <v/>
      </c>
      <c r="M18" s="5" t="n"/>
      <c r="N18" s="5" t="n"/>
    </row>
    <row r="19" ht="22" customHeight="1">
      <c r="A19" s="7" t="n"/>
      <c r="B19" s="7" t="n"/>
      <c r="C19" s="7" t="n"/>
      <c r="D19" s="7" t="n"/>
      <c r="E19" s="7" t="n"/>
      <c r="F19" s="7">
        <f>IF(A19="","",IFERROR(VLOOKUP(A19,'F01 - _Données Expatriés'!$A$6:$K$20,5,FALSE),""))</f>
        <v/>
      </c>
      <c r="G19" s="7" t="n"/>
      <c r="H19" s="7" t="n"/>
      <c r="I19" s="7" t="n"/>
      <c r="J19" s="7" t="n"/>
      <c r="K19" s="7" t="n"/>
      <c r="L19" s="7">
        <f>IF(E19="Conforme","OK",IF(E19="Partiellement conforme","ACTION REQUISE",IF(E19="Non conforme","URGENT","")))</f>
        <v/>
      </c>
      <c r="M19" s="7" t="n"/>
      <c r="N19" s="7" t="n"/>
    </row>
    <row r="20" ht="22" customHeight="1">
      <c r="A20" s="5" t="n"/>
      <c r="B20" s="5" t="n"/>
      <c r="C20" s="5" t="n"/>
      <c r="D20" s="5" t="n"/>
      <c r="E20" s="5" t="n"/>
      <c r="F20" s="5">
        <f>IF(A20="","",IFERROR(VLOOKUP(A20,'F01 - _Données Expatriés'!$A$6:$K$20,5,FALSE),""))</f>
        <v/>
      </c>
      <c r="G20" s="5" t="n"/>
      <c r="H20" s="5" t="n"/>
      <c r="I20" s="5" t="n"/>
      <c r="J20" s="5" t="n"/>
      <c r="K20" s="5" t="n"/>
      <c r="L20" s="5">
        <f>IF(E20="Conforme","OK",IF(E20="Partiellement conforme","ACTION REQUISE",IF(E20="Non conforme","URGENT","")))</f>
        <v/>
      </c>
      <c r="M20" s="5" t="n"/>
      <c r="N20" s="5" t="n"/>
    </row>
    <row r="21" ht="22" customHeight="1">
      <c r="A21" s="7" t="n"/>
      <c r="B21" s="7" t="n"/>
      <c r="C21" s="7" t="n"/>
      <c r="D21" s="7" t="n"/>
      <c r="E21" s="7" t="n"/>
      <c r="F21" s="7">
        <f>IF(A21="","",IFERROR(VLOOKUP(A21,'F01 - _Données Expatriés'!$A$6:$K$20,5,FALSE),""))</f>
        <v/>
      </c>
      <c r="G21" s="7" t="n"/>
      <c r="H21" s="7" t="n"/>
      <c r="I21" s="7" t="n"/>
      <c r="J21" s="7" t="n"/>
      <c r="K21" s="7" t="n"/>
      <c r="L21" s="7">
        <f>IF(E21="Conforme","OK",IF(E21="Partiellement conforme","ACTION REQUISE",IF(E21="Non conforme","URGENT","")))</f>
        <v/>
      </c>
      <c r="M21" s="7" t="n"/>
      <c r="N21" s="7" t="n"/>
    </row>
    <row r="22" ht="22" customHeight="1">
      <c r="A22" s="5" t="n"/>
      <c r="B22" s="5" t="n"/>
      <c r="C22" s="5" t="n"/>
      <c r="D22" s="5" t="n"/>
      <c r="E22" s="5" t="n"/>
      <c r="F22" s="5">
        <f>IF(A22="","",IFERROR(VLOOKUP(A22,'F01 - _Données Expatriés'!$A$6:$K$20,5,FALSE),""))</f>
        <v/>
      </c>
      <c r="G22" s="5" t="n"/>
      <c r="H22" s="5" t="n"/>
      <c r="I22" s="5" t="n"/>
      <c r="J22" s="5" t="n"/>
      <c r="K22" s="5" t="n"/>
      <c r="L22" s="5">
        <f>IF(E22="Conforme","OK",IF(E22="Partiellement conforme","ACTION REQUISE",IF(E22="Non conforme","URGENT","")))</f>
        <v/>
      </c>
      <c r="M22" s="5" t="n"/>
      <c r="N22" s="5" t="n"/>
    </row>
    <row r="23" ht="22" customHeight="1">
      <c r="A23" s="7" t="n"/>
      <c r="B23" s="7" t="n"/>
      <c r="C23" s="7" t="n"/>
      <c r="D23" s="7" t="n"/>
      <c r="E23" s="7" t="n"/>
      <c r="F23" s="7">
        <f>IF(A23="","",IFERROR(VLOOKUP(A23,'F01 - _Données Expatriés'!$A$6:$K$20,5,FALSE),""))</f>
        <v/>
      </c>
      <c r="G23" s="7" t="n"/>
      <c r="H23" s="7" t="n"/>
      <c r="I23" s="7" t="n"/>
      <c r="J23" s="7" t="n"/>
      <c r="K23" s="7" t="n"/>
      <c r="L23" s="7">
        <f>IF(E23="Conforme","OK",IF(E23="Partiellement conforme","ACTION REQUISE",IF(E23="Non conforme","URGENT","")))</f>
        <v/>
      </c>
      <c r="M23" s="7" t="n"/>
      <c r="N23" s="7" t="n"/>
    </row>
    <row r="24" ht="22" customHeight="1">
      <c r="A24" s="5" t="n"/>
      <c r="B24" s="5" t="n"/>
      <c r="C24" s="5" t="n"/>
      <c r="D24" s="5" t="n"/>
      <c r="E24" s="5" t="n"/>
      <c r="F24" s="5">
        <f>IF(A24="","",IFERROR(VLOOKUP(A24,'F01 - _Données Expatriés'!$A$6:$K$20,5,FALSE),""))</f>
        <v/>
      </c>
      <c r="G24" s="5" t="n"/>
      <c r="H24" s="5" t="n"/>
      <c r="I24" s="5" t="n"/>
      <c r="J24" s="5" t="n"/>
      <c r="K24" s="5" t="n"/>
      <c r="L24" s="5">
        <f>IF(E24="Conforme","OK",IF(E24="Partiellement conforme","ACTION REQUISE",IF(E24="Non conforme","URGENT","")))</f>
        <v/>
      </c>
      <c r="M24" s="5" t="n"/>
      <c r="N24" s="5" t="n"/>
    </row>
    <row r="25" ht="22" customHeight="1">
      <c r="A25" s="7" t="n"/>
      <c r="B25" s="7" t="n"/>
      <c r="C25" s="7" t="n"/>
      <c r="D25" s="7" t="n"/>
      <c r="E25" s="7" t="n"/>
      <c r="F25" s="7">
        <f>IF(A25="","",IFERROR(VLOOKUP(A25,'F01 - _Données Expatriés'!$A$6:$K$20,5,FALSE),""))</f>
        <v/>
      </c>
      <c r="G25" s="7" t="n"/>
      <c r="H25" s="7" t="n"/>
      <c r="I25" s="7" t="n"/>
      <c r="J25" s="7" t="n"/>
      <c r="K25" s="7" t="n"/>
      <c r="L25" s="7">
        <f>IF(E25="Conforme","OK",IF(E25="Partiellement conforme","ACTION REQUISE",IF(E25="Non conforme","URGENT","")))</f>
        <v/>
      </c>
      <c r="M25" s="7" t="n"/>
      <c r="N25" s="7" t="n"/>
    </row>
    <row r="26" ht="22" customHeight="1">
      <c r="A26" s="5" t="n"/>
      <c r="B26" s="5" t="n"/>
      <c r="C26" s="5" t="n"/>
      <c r="D26" s="5" t="n"/>
      <c r="E26" s="5" t="n"/>
      <c r="F26" s="5">
        <f>IF(A26="","",IFERROR(VLOOKUP(A26,'F01 - _Données Expatriés'!$A$6:$K$20,5,FALSE),""))</f>
        <v/>
      </c>
      <c r="G26" s="5" t="n"/>
      <c r="H26" s="5" t="n"/>
      <c r="I26" s="5" t="n"/>
      <c r="J26" s="5" t="n"/>
      <c r="K26" s="5" t="n"/>
      <c r="L26" s="5">
        <f>IF(E26="Conforme","OK",IF(E26="Partiellement conforme","ACTION REQUISE",IF(E26="Non conforme","URGENT","")))</f>
        <v/>
      </c>
      <c r="M26" s="5" t="n"/>
      <c r="N26" s="5" t="n"/>
    </row>
    <row r="27" ht="22" customHeight="1">
      <c r="A27" s="7" t="n"/>
      <c r="B27" s="7" t="n"/>
      <c r="C27" s="7" t="n"/>
      <c r="D27" s="7" t="n"/>
      <c r="E27" s="7" t="n"/>
      <c r="F27" s="7">
        <f>IF(A27="","",IFERROR(VLOOKUP(A27,'F01 - _Données Expatriés'!$A$6:$K$20,5,FALSE),""))</f>
        <v/>
      </c>
      <c r="G27" s="7" t="n"/>
      <c r="H27" s="7" t="n"/>
      <c r="I27" s="7" t="n"/>
      <c r="J27" s="7" t="n"/>
      <c r="K27" s="7" t="n"/>
      <c r="L27" s="7">
        <f>IF(E27="Conforme","OK",IF(E27="Partiellement conforme","ACTION REQUISE",IF(E27="Non conforme","URGENT","")))</f>
        <v/>
      </c>
      <c r="M27" s="7" t="n"/>
      <c r="N27" s="7" t="n"/>
    </row>
    <row r="28" ht="22" customHeight="1">
      <c r="A28" s="5" t="n"/>
      <c r="B28" s="5" t="n"/>
      <c r="C28" s="5" t="n"/>
      <c r="D28" s="5" t="n"/>
      <c r="E28" s="5" t="n"/>
      <c r="F28" s="5">
        <f>IF(A28="","",IFERROR(VLOOKUP(A28,'F01 - _Données Expatriés'!$A$6:$K$20,5,FALSE),""))</f>
        <v/>
      </c>
      <c r="G28" s="5" t="n"/>
      <c r="H28" s="5" t="n"/>
      <c r="I28" s="5" t="n"/>
      <c r="J28" s="5" t="n"/>
      <c r="K28" s="5" t="n"/>
      <c r="L28" s="5">
        <f>IF(E28="Conforme","OK",IF(E28="Partiellement conforme","ACTION REQUISE",IF(E28="Non conforme","URGENT","")))</f>
        <v/>
      </c>
      <c r="M28" s="5" t="n"/>
      <c r="N28" s="5" t="n"/>
    </row>
    <row r="29" ht="22" customHeight="1">
      <c r="A29" s="7" t="n"/>
      <c r="B29" s="7" t="n"/>
      <c r="C29" s="7" t="n"/>
      <c r="D29" s="7" t="n"/>
      <c r="E29" s="7" t="n"/>
      <c r="F29" s="7">
        <f>IF(A29="","",IFERROR(VLOOKUP(A29,'F01 - _Données Expatriés'!$A$6:$K$20,5,FALSE),""))</f>
        <v/>
      </c>
      <c r="G29" s="7" t="n"/>
      <c r="H29" s="7" t="n"/>
      <c r="I29" s="7" t="n"/>
      <c r="J29" s="7" t="n"/>
      <c r="K29" s="7" t="n"/>
      <c r="L29" s="7">
        <f>IF(E29="Conforme","OK",IF(E29="Partiellement conforme","ACTION REQUISE",IF(E29="Non conforme","URGENT","")))</f>
        <v/>
      </c>
      <c r="M29" s="7" t="n"/>
      <c r="N29" s="7" t="n"/>
    </row>
    <row r="30" ht="22" customHeight="1">
      <c r="A30" s="5" t="n"/>
      <c r="B30" s="5" t="n"/>
      <c r="C30" s="5" t="n"/>
      <c r="D30" s="5" t="n"/>
      <c r="E30" s="5" t="n"/>
      <c r="F30" s="5">
        <f>IF(A30="","",IFERROR(VLOOKUP(A30,'F01 - _Données Expatriés'!$A$6:$K$20,5,FALSE),""))</f>
        <v/>
      </c>
      <c r="G30" s="5" t="n"/>
      <c r="H30" s="5" t="n"/>
      <c r="I30" s="5" t="n"/>
      <c r="J30" s="5" t="n"/>
      <c r="K30" s="5" t="n"/>
      <c r="L30" s="5">
        <f>IF(E30="Conforme","OK",IF(E30="Partiellement conforme","ACTION REQUISE",IF(E30="Non conforme","URGENT","")))</f>
        <v/>
      </c>
      <c r="M30" s="5" t="n"/>
      <c r="N30" s="5" t="n"/>
    </row>
    <row r="31" ht="22" customHeight="1">
      <c r="A31" s="7" t="n"/>
      <c r="B31" s="7" t="n"/>
      <c r="C31" s="7" t="n"/>
      <c r="D31" s="7" t="n"/>
      <c r="E31" s="7" t="n"/>
      <c r="F31" s="7">
        <f>IF(A31="","",IFERROR(VLOOKUP(A31,'F01 - _Données Expatriés'!$A$6:$K$20,5,FALSE),""))</f>
        <v/>
      </c>
      <c r="G31" s="7" t="n"/>
      <c r="H31" s="7" t="n"/>
      <c r="I31" s="7" t="n"/>
      <c r="J31" s="7" t="n"/>
      <c r="K31" s="7" t="n"/>
      <c r="L31" s="7">
        <f>IF(E31="Conforme","OK",IF(E31="Partiellement conforme","ACTION REQUISE",IF(E31="Non conforme","URGENT","")))</f>
        <v/>
      </c>
      <c r="M31" s="7" t="n"/>
      <c r="N31" s="7" t="n"/>
    </row>
    <row r="32" ht="22" customHeight="1">
      <c r="A32" s="5" t="n"/>
      <c r="B32" s="5" t="n"/>
      <c r="C32" s="5" t="n"/>
      <c r="D32" s="5" t="n"/>
      <c r="E32" s="5" t="n"/>
      <c r="F32" s="5">
        <f>IF(A32="","",IFERROR(VLOOKUP(A32,'F01 - _Données Expatriés'!$A$6:$K$20,5,FALSE),""))</f>
        <v/>
      </c>
      <c r="G32" s="5" t="n"/>
      <c r="H32" s="5" t="n"/>
      <c r="I32" s="5" t="n"/>
      <c r="J32" s="5" t="n"/>
      <c r="K32" s="5" t="n"/>
      <c r="L32" s="5">
        <f>IF(E32="Conforme","OK",IF(E32="Partiellement conforme","ACTION REQUISE",IF(E32="Non conforme","URGENT","")))</f>
        <v/>
      </c>
      <c r="M32" s="5" t="n"/>
      <c r="N32" s="5" t="n"/>
    </row>
    <row r="33" ht="22" customHeight="1">
      <c r="A33" s="7" t="n"/>
      <c r="B33" s="7" t="n"/>
      <c r="C33" s="7" t="n"/>
      <c r="D33" s="7" t="n"/>
      <c r="E33" s="7" t="n"/>
      <c r="F33" s="7">
        <f>IF(A33="","",IFERROR(VLOOKUP(A33,'F01 - _Données Expatriés'!$A$6:$K$20,5,FALSE),""))</f>
        <v/>
      </c>
      <c r="G33" s="7" t="n"/>
      <c r="H33" s="7" t="n"/>
      <c r="I33" s="7" t="n"/>
      <c r="J33" s="7" t="n"/>
      <c r="K33" s="7" t="n"/>
      <c r="L33" s="7">
        <f>IF(E33="Conforme","OK",IF(E33="Partiellement conforme","ACTION REQUISE",IF(E33="Non conforme","URGENT","")))</f>
        <v/>
      </c>
      <c r="M33" s="7" t="n"/>
      <c r="N33" s="7" t="n"/>
    </row>
    <row r="34" ht="22" customHeight="1">
      <c r="A34" s="5" t="n"/>
      <c r="B34" s="5" t="n"/>
      <c r="C34" s="5" t="n"/>
      <c r="D34" s="5" t="n"/>
      <c r="E34" s="5" t="n"/>
      <c r="F34" s="5">
        <f>IF(A34="","",IFERROR(VLOOKUP(A34,'F01 - _Données Expatriés'!$A$6:$K$20,5,FALSE),""))</f>
        <v/>
      </c>
      <c r="G34" s="5" t="n"/>
      <c r="H34" s="5" t="n"/>
      <c r="I34" s="5" t="n"/>
      <c r="J34" s="5" t="n"/>
      <c r="K34" s="5" t="n"/>
      <c r="L34" s="5">
        <f>IF(E34="Conforme","OK",IF(E34="Partiellement conforme","ACTION REQUISE",IF(E34="Non conforme","URGENT","")))</f>
        <v/>
      </c>
      <c r="M34" s="5" t="n"/>
      <c r="N34" s="5" t="n"/>
    </row>
    <row r="35" ht="22" customHeight="1">
      <c r="A35" s="7" t="n"/>
      <c r="B35" s="7" t="n"/>
      <c r="C35" s="7" t="n"/>
      <c r="D35" s="7" t="n"/>
      <c r="E35" s="7" t="n"/>
      <c r="F35" s="7">
        <f>IF(A35="","",IFERROR(VLOOKUP(A35,'F01 - _Données Expatriés'!$A$6:$K$20,5,FALSE),""))</f>
        <v/>
      </c>
      <c r="G35" s="7" t="n"/>
      <c r="H35" s="7" t="n"/>
      <c r="I35" s="7" t="n"/>
      <c r="J35" s="7" t="n"/>
      <c r="K35" s="7" t="n"/>
      <c r="L35" s="7">
        <f>IF(E35="Conforme","OK",IF(E35="Partiellement conforme","ACTION REQUISE",IF(E35="Non conforme","URGENT","")))</f>
        <v/>
      </c>
      <c r="M35" s="7" t="n"/>
      <c r="N35" s="7" t="n"/>
    </row>
    <row r="36" ht="22" customHeight="1">
      <c r="A36" s="5" t="n"/>
      <c r="B36" s="5" t="n"/>
      <c r="C36" s="5" t="n"/>
      <c r="D36" s="5" t="n"/>
      <c r="E36" s="5" t="n"/>
      <c r="F36" s="5">
        <f>IF(A36="","",IFERROR(VLOOKUP(A36,'F01 - _Données Expatriés'!$A$6:$K$20,5,FALSE),""))</f>
        <v/>
      </c>
      <c r="G36" s="5" t="n"/>
      <c r="H36" s="5" t="n"/>
      <c r="I36" s="5" t="n"/>
      <c r="J36" s="5" t="n"/>
      <c r="K36" s="5" t="n"/>
      <c r="L36" s="5">
        <f>IF(E36="Conforme","OK",IF(E36="Partiellement conforme","ACTION REQUISE",IF(E36="Non conforme","URGENT","")))</f>
        <v/>
      </c>
      <c r="M36" s="5" t="n"/>
      <c r="N36" s="5" t="n"/>
    </row>
    <row r="37" ht="22" customHeight="1">
      <c r="A37" s="7" t="n"/>
      <c r="B37" s="7" t="n"/>
      <c r="C37" s="7" t="n"/>
      <c r="D37" s="7" t="n"/>
      <c r="E37" s="7" t="n"/>
      <c r="F37" s="7">
        <f>IF(A37="","",IFERROR(VLOOKUP(A37,'F01 - _Données Expatriés'!$A$6:$K$20,5,FALSE),""))</f>
        <v/>
      </c>
      <c r="G37" s="7" t="n"/>
      <c r="H37" s="7" t="n"/>
      <c r="I37" s="7" t="n"/>
      <c r="J37" s="7" t="n"/>
      <c r="K37" s="7" t="n"/>
      <c r="L37" s="7">
        <f>IF(E37="Conforme","OK",IF(E37="Partiellement conforme","ACTION REQUISE",IF(E37="Non conforme","URGENT","")))</f>
        <v/>
      </c>
      <c r="M37" s="7" t="n"/>
      <c r="N37" s="7" t="n"/>
    </row>
    <row r="38" ht="22" customHeight="1">
      <c r="A38" s="5" t="n"/>
      <c r="B38" s="5" t="n"/>
      <c r="C38" s="5" t="n"/>
      <c r="D38" s="5" t="n"/>
      <c r="E38" s="5" t="n"/>
      <c r="F38" s="5">
        <f>IF(A38="","",IFERROR(VLOOKUP(A38,'F01 - _Données Expatriés'!$A$6:$K$20,5,FALSE),""))</f>
        <v/>
      </c>
      <c r="G38" s="5" t="n"/>
      <c r="H38" s="5" t="n"/>
      <c r="I38" s="5" t="n"/>
      <c r="J38" s="5" t="n"/>
      <c r="K38" s="5" t="n"/>
      <c r="L38" s="5">
        <f>IF(E38="Conforme","OK",IF(E38="Partiellement conforme","ACTION REQUISE",IF(E38="Non conforme","URGENT","")))</f>
        <v/>
      </c>
      <c r="M38" s="5" t="n"/>
      <c r="N38" s="5" t="n"/>
    </row>
    <row r="39" ht="22" customHeight="1">
      <c r="A39" s="7" t="n"/>
      <c r="B39" s="7" t="n"/>
      <c r="C39" s="7" t="n"/>
      <c r="D39" s="7" t="n"/>
      <c r="E39" s="7" t="n"/>
      <c r="F39" s="7">
        <f>IF(A39="","",IFERROR(VLOOKUP(A39,'F01 - _Données Expatriés'!$A$6:$K$20,5,FALSE),""))</f>
        <v/>
      </c>
      <c r="G39" s="7" t="n"/>
      <c r="H39" s="7" t="n"/>
      <c r="I39" s="7" t="n"/>
      <c r="J39" s="7" t="n"/>
      <c r="K39" s="7" t="n"/>
      <c r="L39" s="7">
        <f>IF(E39="Conforme","OK",IF(E39="Partiellement conforme","ACTION REQUISE",IF(E39="Non conforme","URGENT","")))</f>
        <v/>
      </c>
      <c r="M39" s="7" t="n"/>
      <c r="N39" s="7" t="n"/>
    </row>
    <row r="40" ht="22" customHeight="1">
      <c r="A40" s="5" t="n"/>
      <c r="B40" s="5" t="n"/>
      <c r="C40" s="5" t="n"/>
      <c r="D40" s="5" t="n"/>
      <c r="E40" s="5" t="n"/>
      <c r="F40" s="5">
        <f>IF(A40="","",IFERROR(VLOOKUP(A40,'F01 - _Données Expatriés'!$A$6:$K$20,5,FALSE),""))</f>
        <v/>
      </c>
      <c r="G40" s="5" t="n"/>
      <c r="H40" s="5" t="n"/>
      <c r="I40" s="5" t="n"/>
      <c r="J40" s="5" t="n"/>
      <c r="K40" s="5" t="n"/>
      <c r="L40" s="5">
        <f>IF(E40="Conforme","OK",IF(E40="Partiellement conforme","ACTION REQUISE",IF(E40="Non conforme","URGENT","")))</f>
        <v/>
      </c>
      <c r="M40" s="5" t="n"/>
      <c r="N40" s="5" t="n"/>
    </row>
    <row r="41" ht="22" customHeight="1">
      <c r="A41" s="7" t="n"/>
      <c r="B41" s="7" t="n"/>
      <c r="C41" s="7" t="n"/>
      <c r="D41" s="7" t="n"/>
      <c r="E41" s="7" t="n"/>
      <c r="F41" s="7">
        <f>IF(A41="","",IFERROR(VLOOKUP(A41,'F01 - _Données Expatriés'!$A$6:$K$20,5,FALSE),""))</f>
        <v/>
      </c>
      <c r="G41" s="7" t="n"/>
      <c r="H41" s="7" t="n"/>
      <c r="I41" s="7" t="n"/>
      <c r="J41" s="7" t="n"/>
      <c r="K41" s="7" t="n"/>
      <c r="L41" s="7">
        <f>IF(E41="Conforme","OK",IF(E41="Partiellement conforme","ACTION REQUISE",IF(E41="Non conforme","URGENT","")))</f>
        <v/>
      </c>
      <c r="M41" s="7" t="n"/>
      <c r="N41" s="7" t="n"/>
    </row>
    <row r="42" ht="22" customHeight="1">
      <c r="A42" s="5" t="n"/>
      <c r="B42" s="5" t="n"/>
      <c r="C42" s="5" t="n"/>
      <c r="D42" s="5" t="n"/>
      <c r="E42" s="5" t="n"/>
      <c r="F42" s="5">
        <f>IF(A42="","",IFERROR(VLOOKUP(A42,'F01 - _Données Expatriés'!$A$6:$K$20,5,FALSE),""))</f>
        <v/>
      </c>
      <c r="G42" s="5" t="n"/>
      <c r="H42" s="5" t="n"/>
      <c r="I42" s="5" t="n"/>
      <c r="J42" s="5" t="n"/>
      <c r="K42" s="5" t="n"/>
      <c r="L42" s="5">
        <f>IF(E42="Conforme","OK",IF(E42="Partiellement conforme","ACTION REQUISE",IF(E42="Non conforme","URGENT","")))</f>
        <v/>
      </c>
      <c r="M42" s="5" t="n"/>
      <c r="N42" s="5" t="n"/>
    </row>
    <row r="43" ht="22" customHeight="1">
      <c r="A43" s="7" t="n"/>
      <c r="B43" s="7" t="n"/>
      <c r="C43" s="7" t="n"/>
      <c r="D43" s="7" t="n"/>
      <c r="E43" s="7" t="n"/>
      <c r="F43" s="7">
        <f>IF(A43="","",IFERROR(VLOOKUP(A43,'F01 - _Données Expatriés'!$A$6:$K$20,5,FALSE),""))</f>
        <v/>
      </c>
      <c r="G43" s="7" t="n"/>
      <c r="H43" s="7" t="n"/>
      <c r="I43" s="7" t="n"/>
      <c r="J43" s="7" t="n"/>
      <c r="K43" s="7" t="n"/>
      <c r="L43" s="7">
        <f>IF(E43="Conforme","OK",IF(E43="Partiellement conforme","ACTION REQUISE",IF(E43="Non conforme","URGENT","")))</f>
        <v/>
      </c>
      <c r="M43" s="7" t="n"/>
      <c r="N43" s="7" t="n"/>
    </row>
    <row r="44" ht="22" customHeight="1">
      <c r="A44" s="5" t="n"/>
      <c r="B44" s="5" t="n"/>
      <c r="C44" s="5" t="n"/>
      <c r="D44" s="5" t="n"/>
      <c r="E44" s="5" t="n"/>
      <c r="F44" s="5">
        <f>IF(A44="","",IFERROR(VLOOKUP(A44,'F01 - _Données Expatriés'!$A$6:$K$20,5,FALSE),""))</f>
        <v/>
      </c>
      <c r="G44" s="5" t="n"/>
      <c r="H44" s="5" t="n"/>
      <c r="I44" s="5" t="n"/>
      <c r="J44" s="5" t="n"/>
      <c r="K44" s="5" t="n"/>
      <c r="L44" s="5">
        <f>IF(E44="Conforme","OK",IF(E44="Partiellement conforme","ACTION REQUISE",IF(E44="Non conforme","URGENT","")))</f>
        <v/>
      </c>
      <c r="M44" s="5" t="n"/>
      <c r="N44" s="5" t="n"/>
    </row>
    <row r="45" ht="22" customHeight="1">
      <c r="A45" s="7" t="n"/>
      <c r="B45" s="7" t="n"/>
      <c r="C45" s="7" t="n"/>
      <c r="D45" s="7" t="n"/>
      <c r="E45" s="7" t="n"/>
      <c r="F45" s="7">
        <f>IF(A45="","",IFERROR(VLOOKUP(A45,'F01 - _Données Expatriés'!$A$6:$K$20,5,FALSE),""))</f>
        <v/>
      </c>
      <c r="G45" s="7" t="n"/>
      <c r="H45" s="7" t="n"/>
      <c r="I45" s="7" t="n"/>
      <c r="J45" s="7" t="n"/>
      <c r="K45" s="7" t="n"/>
      <c r="L45" s="7">
        <f>IF(E45="Conforme","OK",IF(E45="Partiellement conforme","ACTION REQUISE",IF(E45="Non conforme","URGENT","")))</f>
        <v/>
      </c>
      <c r="M45" s="7" t="n"/>
      <c r="N45" s="7" t="n"/>
    </row>
    <row r="46" ht="22" customHeight="1">
      <c r="A46" s="5" t="n"/>
      <c r="B46" s="5" t="n"/>
      <c r="C46" s="5" t="n"/>
      <c r="D46" s="5" t="n"/>
      <c r="E46" s="5" t="n"/>
      <c r="F46" s="5">
        <f>IF(A46="","",IFERROR(VLOOKUP(A46,'F01 - _Données Expatriés'!$A$6:$K$20,5,FALSE),""))</f>
        <v/>
      </c>
      <c r="G46" s="5" t="n"/>
      <c r="H46" s="5" t="n"/>
      <c r="I46" s="5" t="n"/>
      <c r="J46" s="5" t="n"/>
      <c r="K46" s="5" t="n"/>
      <c r="L46" s="5">
        <f>IF(E46="Conforme","OK",IF(E46="Partiellement conforme","ACTION REQUISE",IF(E46="Non conforme","URGENT","")))</f>
        <v/>
      </c>
      <c r="M46" s="5" t="n"/>
      <c r="N46" s="5" t="n"/>
    </row>
    <row r="47" ht="22" customHeight="1">
      <c r="A47" s="7" t="n"/>
      <c r="B47" s="7" t="n"/>
      <c r="C47" s="7" t="n"/>
      <c r="D47" s="7" t="n"/>
      <c r="E47" s="7" t="n"/>
      <c r="F47" s="7">
        <f>IF(A47="","",IFERROR(VLOOKUP(A47,'F01 - _Données Expatriés'!$A$6:$K$20,5,FALSE),""))</f>
        <v/>
      </c>
      <c r="G47" s="7" t="n"/>
      <c r="H47" s="7" t="n"/>
      <c r="I47" s="7" t="n"/>
      <c r="J47" s="7" t="n"/>
      <c r="K47" s="7" t="n"/>
      <c r="L47" s="7">
        <f>IF(E47="Conforme","OK",IF(E47="Partiellement conforme","ACTION REQUISE",IF(E47="Non conforme","URGENT","")))</f>
        <v/>
      </c>
      <c r="M47" s="7" t="n"/>
      <c r="N47" s="7" t="n"/>
    </row>
    <row r="48" ht="22" customHeight="1">
      <c r="A48" s="5" t="n"/>
      <c r="B48" s="5" t="n"/>
      <c r="C48" s="5" t="n"/>
      <c r="D48" s="5" t="n"/>
      <c r="E48" s="5" t="n"/>
      <c r="F48" s="5">
        <f>IF(A48="","",IFERROR(VLOOKUP(A48,'F01 - _Données Expatriés'!$A$6:$K$20,5,FALSE),""))</f>
        <v/>
      </c>
      <c r="G48" s="5" t="n"/>
      <c r="H48" s="5" t="n"/>
      <c r="I48" s="5" t="n"/>
      <c r="J48" s="5" t="n"/>
      <c r="K48" s="5" t="n"/>
      <c r="L48" s="5">
        <f>IF(E48="Conforme","OK",IF(E48="Partiellement conforme","ACTION REQUISE",IF(E48="Non conforme","URGENT","")))</f>
        <v/>
      </c>
      <c r="M48" s="5" t="n"/>
      <c r="N48" s="5" t="n"/>
    </row>
    <row r="49" ht="22" customHeight="1">
      <c r="A49" s="7" t="n"/>
      <c r="B49" s="7" t="n"/>
      <c r="C49" s="7" t="n"/>
      <c r="D49" s="7" t="n"/>
      <c r="E49" s="7" t="n"/>
      <c r="F49" s="7">
        <f>IF(A49="","",IFERROR(VLOOKUP(A49,'F01 - _Données Expatriés'!$A$6:$K$20,5,FALSE),""))</f>
        <v/>
      </c>
      <c r="G49" s="7" t="n"/>
      <c r="H49" s="7" t="n"/>
      <c r="I49" s="7" t="n"/>
      <c r="J49" s="7" t="n"/>
      <c r="K49" s="7" t="n"/>
      <c r="L49" s="7">
        <f>IF(E49="Conforme","OK",IF(E49="Partiellement conforme","ACTION REQUISE",IF(E49="Non conforme","URGENT","")))</f>
        <v/>
      </c>
      <c r="M49" s="7" t="n"/>
      <c r="N49" s="7" t="n"/>
    </row>
    <row r="50" ht="22" customHeight="1">
      <c r="A50" s="5" t="n"/>
      <c r="B50" s="5" t="n"/>
      <c r="C50" s="5" t="n"/>
      <c r="D50" s="5" t="n"/>
      <c r="E50" s="5" t="n"/>
      <c r="F50" s="5">
        <f>IF(A50="","",IFERROR(VLOOKUP(A50,'F01 - _Données Expatriés'!$A$6:$K$20,5,FALSE),""))</f>
        <v/>
      </c>
      <c r="G50" s="5" t="n"/>
      <c r="H50" s="5" t="n"/>
      <c r="I50" s="5" t="n"/>
      <c r="J50" s="5" t="n"/>
      <c r="K50" s="5" t="n"/>
      <c r="L50" s="5">
        <f>IF(E50="Conforme","OK",IF(E50="Partiellement conforme","ACTION REQUISE",IF(E50="Non conforme","URGENT","")))</f>
        <v/>
      </c>
      <c r="M50" s="5" t="n"/>
      <c r="N50" s="5" t="n"/>
    </row>
    <row r="51" ht="22" customHeight="1">
      <c r="A51" s="7" t="n"/>
      <c r="B51" s="7" t="n"/>
      <c r="C51" s="7" t="n"/>
      <c r="D51" s="7" t="n"/>
      <c r="E51" s="7" t="n"/>
      <c r="F51" s="7">
        <f>IF(A51="","",IFERROR(VLOOKUP(A51,'F01 - _Données Expatriés'!$A$6:$K$20,5,FALSE),""))</f>
        <v/>
      </c>
      <c r="G51" s="7" t="n"/>
      <c r="H51" s="7" t="n"/>
      <c r="I51" s="7" t="n"/>
      <c r="J51" s="7" t="n"/>
      <c r="K51" s="7" t="n"/>
      <c r="L51" s="7">
        <f>IF(E51="Conforme","OK",IF(E51="Partiellement conforme","ACTION REQUISE",IF(E51="Non conforme","URGENT","")))</f>
        <v/>
      </c>
      <c r="M51" s="7" t="n"/>
      <c r="N51" s="7" t="n"/>
    </row>
    <row r="52" ht="22" customHeight="1">
      <c r="A52" s="5" t="n"/>
      <c r="B52" s="5" t="n"/>
      <c r="C52" s="5" t="n"/>
      <c r="D52" s="5" t="n"/>
      <c r="E52" s="5" t="n"/>
      <c r="F52" s="5">
        <f>IF(A52="","",IFERROR(VLOOKUP(A52,'F01 - _Données Expatriés'!$A$6:$K$20,5,FALSE),""))</f>
        <v/>
      </c>
      <c r="G52" s="5" t="n"/>
      <c r="H52" s="5" t="n"/>
      <c r="I52" s="5" t="n"/>
      <c r="J52" s="5" t="n"/>
      <c r="K52" s="5" t="n"/>
      <c r="L52" s="5">
        <f>IF(E52="Conforme","OK",IF(E52="Partiellement conforme","ACTION REQUISE",IF(E52="Non conforme","URGENT","")))</f>
        <v/>
      </c>
      <c r="M52" s="5" t="n"/>
      <c r="N52" s="5" t="n"/>
    </row>
    <row r="53" ht="22" customHeight="1">
      <c r="A53" s="7" t="n"/>
      <c r="B53" s="7" t="n"/>
      <c r="C53" s="7" t="n"/>
      <c r="D53" s="7" t="n"/>
      <c r="E53" s="7" t="n"/>
      <c r="F53" s="7">
        <f>IF(A53="","",IFERROR(VLOOKUP(A53,'F01 - _Données Expatriés'!$A$6:$K$20,5,FALSE),""))</f>
        <v/>
      </c>
      <c r="G53" s="7" t="n"/>
      <c r="H53" s="7" t="n"/>
      <c r="I53" s="7" t="n"/>
      <c r="J53" s="7" t="n"/>
      <c r="K53" s="7" t="n"/>
      <c r="L53" s="7">
        <f>IF(E53="Conforme","OK",IF(E53="Partiellement conforme","ACTION REQUISE",IF(E53="Non conforme","URGENT","")))</f>
        <v/>
      </c>
      <c r="M53" s="7" t="n"/>
      <c r="N53" s="7" t="n"/>
    </row>
    <row r="54" ht="22" customHeight="1">
      <c r="A54" s="5" t="n"/>
      <c r="B54" s="5" t="n"/>
      <c r="C54" s="5" t="n"/>
      <c r="D54" s="5" t="n"/>
      <c r="E54" s="5" t="n"/>
      <c r="F54" s="5">
        <f>IF(A54="","",IFERROR(VLOOKUP(A54,'F01 - _Données Expatriés'!$A$6:$K$20,5,FALSE),""))</f>
        <v/>
      </c>
      <c r="G54" s="5" t="n"/>
      <c r="H54" s="5" t="n"/>
      <c r="I54" s="5" t="n"/>
      <c r="J54" s="5" t="n"/>
      <c r="K54" s="5" t="n"/>
      <c r="L54" s="5">
        <f>IF(E54="Conforme","OK",IF(E54="Partiellement conforme","ACTION REQUISE",IF(E54="Non conforme","URGENT","")))</f>
        <v/>
      </c>
      <c r="M54" s="5" t="n"/>
      <c r="N54" s="5" t="n"/>
    </row>
    <row r="55" ht="22" customHeight="1">
      <c r="A55" s="7" t="n"/>
      <c r="B55" s="7" t="n"/>
      <c r="C55" s="7" t="n"/>
      <c r="D55" s="7" t="n"/>
      <c r="E55" s="7" t="n"/>
      <c r="F55" s="7">
        <f>IF(A55="","",IFERROR(VLOOKUP(A55,'F01 - _Données Expatriés'!$A$6:$K$20,5,FALSE),""))</f>
        <v/>
      </c>
      <c r="G55" s="7" t="n"/>
      <c r="H55" s="7" t="n"/>
      <c r="I55" s="7" t="n"/>
      <c r="J55" s="7" t="n"/>
      <c r="K55" s="7" t="n"/>
      <c r="L55" s="7">
        <f>IF(E55="Conforme","OK",IF(E55="Partiellement conforme","ACTION REQUISE",IF(E55="Non conforme","URGENT","")))</f>
        <v/>
      </c>
      <c r="M55" s="7" t="n"/>
      <c r="N55" s="7" t="n"/>
    </row>
    <row r="56" ht="22" customHeight="1">
      <c r="A56" s="5" t="n"/>
      <c r="B56" s="5" t="n"/>
      <c r="C56" s="5" t="n"/>
      <c r="D56" s="5" t="n"/>
      <c r="E56" s="5" t="n"/>
      <c r="F56" s="5">
        <f>IF(A56="","",IFERROR(VLOOKUP(A56,'F01 - _Données Expatriés'!$A$6:$K$20,5,FALSE),""))</f>
        <v/>
      </c>
      <c r="G56" s="5" t="n"/>
      <c r="H56" s="5" t="n"/>
      <c r="I56" s="5" t="n"/>
      <c r="J56" s="5" t="n"/>
      <c r="K56" s="5" t="n"/>
      <c r="L56" s="5">
        <f>IF(E56="Conforme","OK",IF(E56="Partiellement conforme","ACTION REQUISE",IF(E56="Non conforme","URGENT","")))</f>
        <v/>
      </c>
      <c r="M56" s="5" t="n"/>
      <c r="N56" s="5" t="n"/>
    </row>
    <row r="57" ht="22" customHeight="1">
      <c r="A57" s="7" t="n"/>
      <c r="B57" s="7" t="n"/>
      <c r="C57" s="7" t="n"/>
      <c r="D57" s="7" t="n"/>
      <c r="E57" s="7" t="n"/>
      <c r="F57" s="7">
        <f>IF(A57="","",IFERROR(VLOOKUP(A57,'F01 - _Données Expatriés'!$A$6:$K$20,5,FALSE),""))</f>
        <v/>
      </c>
      <c r="G57" s="7" t="n"/>
      <c r="H57" s="7" t="n"/>
      <c r="I57" s="7" t="n"/>
      <c r="J57" s="7" t="n"/>
      <c r="K57" s="7" t="n"/>
      <c r="L57" s="7">
        <f>IF(E57="Conforme","OK",IF(E57="Partiellement conforme","ACTION REQUISE",IF(E57="Non conforme","URGENT","")))</f>
        <v/>
      </c>
      <c r="M57" s="7" t="n"/>
      <c r="N57" s="7" t="n"/>
    </row>
    <row r="58" ht="22" customHeight="1">
      <c r="A58" s="5" t="n"/>
      <c r="B58" s="5" t="n"/>
      <c r="C58" s="5" t="n"/>
      <c r="D58" s="5" t="n"/>
      <c r="E58" s="5" t="n"/>
      <c r="F58" s="5">
        <f>IF(A58="","",IFERROR(VLOOKUP(A58,'F01 - _Données Expatriés'!$A$6:$K$20,5,FALSE),""))</f>
        <v/>
      </c>
      <c r="G58" s="5" t="n"/>
      <c r="H58" s="5" t="n"/>
      <c r="I58" s="5" t="n"/>
      <c r="J58" s="5" t="n"/>
      <c r="K58" s="5" t="n"/>
      <c r="L58" s="5">
        <f>IF(E58="Conforme","OK",IF(E58="Partiellement conforme","ACTION REQUISE",IF(E58="Non conforme","URGENT","")))</f>
        <v/>
      </c>
      <c r="M58" s="5" t="n"/>
      <c r="N58" s="5" t="n"/>
    </row>
    <row r="59" ht="22" customHeight="1">
      <c r="A59" s="7" t="n"/>
      <c r="B59" s="7" t="n"/>
      <c r="C59" s="7" t="n"/>
      <c r="D59" s="7" t="n"/>
      <c r="E59" s="7" t="n"/>
      <c r="F59" s="7">
        <f>IF(A59="","",IFERROR(VLOOKUP(A59,'F01 - _Données Expatriés'!$A$6:$K$20,5,FALSE),""))</f>
        <v/>
      </c>
      <c r="G59" s="7" t="n"/>
      <c r="H59" s="7" t="n"/>
      <c r="I59" s="7" t="n"/>
      <c r="J59" s="7" t="n"/>
      <c r="K59" s="7" t="n"/>
      <c r="L59" s="7">
        <f>IF(E59="Conforme","OK",IF(E59="Partiellement conforme","ACTION REQUISE",IF(E59="Non conforme","URGENT","")))</f>
        <v/>
      </c>
      <c r="M59" s="7" t="n"/>
      <c r="N59" s="7" t="n"/>
    </row>
    <row r="60" ht="22" customHeight="1">
      <c r="A60" s="5" t="n"/>
      <c r="B60" s="5" t="n"/>
      <c r="C60" s="5" t="n"/>
      <c r="D60" s="5" t="n"/>
      <c r="E60" s="5" t="n"/>
      <c r="F60" s="5">
        <f>IF(A60="","",IFERROR(VLOOKUP(A60,'F01 - _Données Expatriés'!$A$6:$K$20,5,FALSE),""))</f>
        <v/>
      </c>
      <c r="G60" s="5" t="n"/>
      <c r="H60" s="5" t="n"/>
      <c r="I60" s="5" t="n"/>
      <c r="J60" s="5" t="n"/>
      <c r="K60" s="5" t="n"/>
      <c r="L60" s="5">
        <f>IF(E60="Conforme","OK",IF(E60="Partiellement conforme","ACTION REQUISE",IF(E60="Non conforme","URGENT","")))</f>
        <v/>
      </c>
      <c r="M60" s="5" t="n"/>
      <c r="N60" s="5" t="n"/>
    </row>
    <row r="61" ht="22" customHeight="1">
      <c r="A61" s="7" t="n"/>
      <c r="B61" s="7" t="n"/>
      <c r="C61" s="7" t="n"/>
      <c r="D61" s="7" t="n"/>
      <c r="E61" s="7" t="n"/>
      <c r="F61" s="7">
        <f>IF(A61="","",IFERROR(VLOOKUP(A61,'F01 - _Données Expatriés'!$A$6:$K$20,5,FALSE),""))</f>
        <v/>
      </c>
      <c r="G61" s="7" t="n"/>
      <c r="H61" s="7" t="n"/>
      <c r="I61" s="7" t="n"/>
      <c r="J61" s="7" t="n"/>
      <c r="K61" s="7" t="n"/>
      <c r="L61" s="7">
        <f>IF(E61="Conforme","OK",IF(E61="Partiellement conforme","ACTION REQUISE",IF(E61="Non conforme","URGENT","")))</f>
        <v/>
      </c>
      <c r="M61" s="7" t="n"/>
      <c r="N61" s="7" t="n"/>
    </row>
    <row r="62" ht="22" customHeight="1">
      <c r="A62" s="5" t="n"/>
      <c r="B62" s="5" t="n"/>
      <c r="C62" s="5" t="n"/>
      <c r="D62" s="5" t="n"/>
      <c r="E62" s="5" t="n"/>
      <c r="F62" s="5">
        <f>IF(A62="","",IFERROR(VLOOKUP(A62,'F01 - _Données Expatriés'!$A$6:$K$20,5,FALSE),""))</f>
        <v/>
      </c>
      <c r="G62" s="5" t="n"/>
      <c r="H62" s="5" t="n"/>
      <c r="I62" s="5" t="n"/>
      <c r="J62" s="5" t="n"/>
      <c r="K62" s="5" t="n"/>
      <c r="L62" s="5">
        <f>IF(E62="Conforme","OK",IF(E62="Partiellement conforme","ACTION REQUISE",IF(E62="Non conforme","URGENT","")))</f>
        <v/>
      </c>
      <c r="M62" s="5" t="n"/>
      <c r="N62" s="5" t="n"/>
    </row>
    <row r="63" ht="22" customHeight="1">
      <c r="A63" s="7" t="n"/>
      <c r="B63" s="7" t="n"/>
      <c r="C63" s="7" t="n"/>
      <c r="D63" s="7" t="n"/>
      <c r="E63" s="7" t="n"/>
      <c r="F63" s="7">
        <f>IF(A63="","",IFERROR(VLOOKUP(A63,'F01 - _Données Expatriés'!$A$6:$K$20,5,FALSE),""))</f>
        <v/>
      </c>
      <c r="G63" s="7" t="n"/>
      <c r="H63" s="7" t="n"/>
      <c r="I63" s="7" t="n"/>
      <c r="J63" s="7" t="n"/>
      <c r="K63" s="7" t="n"/>
      <c r="L63" s="7">
        <f>IF(E63="Conforme","OK",IF(E63="Partiellement conforme","ACTION REQUISE",IF(E63="Non conforme","URGENT","")))</f>
        <v/>
      </c>
      <c r="M63" s="7" t="n"/>
      <c r="N63" s="7" t="n"/>
    </row>
    <row r="64" ht="22" customHeight="1">
      <c r="A64" s="5" t="n"/>
      <c r="B64" s="5" t="n"/>
      <c r="C64" s="5" t="n"/>
      <c r="D64" s="5" t="n"/>
      <c r="E64" s="5" t="n"/>
      <c r="F64" s="5">
        <f>IF(A64="","",IFERROR(VLOOKUP(A64,'F01 - _Données Expatriés'!$A$6:$K$20,5,FALSE),""))</f>
        <v/>
      </c>
      <c r="G64" s="5" t="n"/>
      <c r="H64" s="5" t="n"/>
      <c r="I64" s="5" t="n"/>
      <c r="J64" s="5" t="n"/>
      <c r="K64" s="5" t="n"/>
      <c r="L64" s="5">
        <f>IF(E64="Conforme","OK",IF(E64="Partiellement conforme","ACTION REQUISE",IF(E64="Non conforme","URGENT","")))</f>
        <v/>
      </c>
      <c r="M64" s="5" t="n"/>
      <c r="N64" s="5" t="n"/>
    </row>
    <row r="65" ht="22" customHeight="1">
      <c r="A65" s="7" t="n"/>
      <c r="B65" s="7" t="n"/>
      <c r="C65" s="7" t="n"/>
      <c r="D65" s="7" t="n"/>
      <c r="E65" s="7" t="n"/>
      <c r="F65" s="7">
        <f>IF(A65="","",IFERROR(VLOOKUP(A65,'F01 - _Données Expatriés'!$A$6:$K$20,5,FALSE),""))</f>
        <v/>
      </c>
      <c r="G65" s="7" t="n"/>
      <c r="H65" s="7" t="n"/>
      <c r="I65" s="7" t="n"/>
      <c r="J65" s="7" t="n"/>
      <c r="K65" s="7" t="n"/>
      <c r="L65" s="7">
        <f>IF(E65="Conforme","OK",IF(E65="Partiellement conforme","ACTION REQUISE",IF(E65="Non conforme","URGENT","")))</f>
        <v/>
      </c>
      <c r="M65" s="7" t="n"/>
      <c r="N65" s="7" t="n"/>
    </row>
    <row r="66" ht="22" customHeight="1">
      <c r="A66" s="5" t="n"/>
      <c r="B66" s="5" t="n"/>
      <c r="C66" s="5" t="n"/>
      <c r="D66" s="5" t="n"/>
      <c r="E66" s="5" t="n"/>
      <c r="F66" s="5">
        <f>IF(A66="","",IFERROR(VLOOKUP(A66,'F01 - _Données Expatriés'!$A$6:$K$20,5,FALSE),""))</f>
        <v/>
      </c>
      <c r="G66" s="5" t="n"/>
      <c r="H66" s="5" t="n"/>
      <c r="I66" s="5" t="n"/>
      <c r="J66" s="5" t="n"/>
      <c r="K66" s="5" t="n"/>
      <c r="L66" s="5">
        <f>IF(E66="Conforme","OK",IF(E66="Partiellement conforme","ACTION REQUISE",IF(E66="Non conforme","URGENT","")))</f>
        <v/>
      </c>
      <c r="M66" s="5" t="n"/>
      <c r="N66" s="5" t="n"/>
    </row>
    <row r="67" ht="22" customHeight="1">
      <c r="A67" s="7" t="n"/>
      <c r="B67" s="7" t="n"/>
      <c r="C67" s="7" t="n"/>
      <c r="D67" s="7" t="n"/>
      <c r="E67" s="7" t="n"/>
      <c r="F67" s="7">
        <f>IF(A67="","",IFERROR(VLOOKUP(A67,'F01 - _Données Expatriés'!$A$6:$K$20,5,FALSE),""))</f>
        <v/>
      </c>
      <c r="G67" s="7" t="n"/>
      <c r="H67" s="7" t="n"/>
      <c r="I67" s="7" t="n"/>
      <c r="J67" s="7" t="n"/>
      <c r="K67" s="7" t="n"/>
      <c r="L67" s="7">
        <f>IF(E67="Conforme","OK",IF(E67="Partiellement conforme","ACTION REQUISE",IF(E67="Non conforme","URGENT","")))</f>
        <v/>
      </c>
      <c r="M67" s="7" t="n"/>
      <c r="N67" s="7" t="n"/>
    </row>
    <row r="68" ht="22" customHeight="1">
      <c r="A68" s="5" t="n"/>
      <c r="B68" s="5" t="n"/>
      <c r="C68" s="5" t="n"/>
      <c r="D68" s="5" t="n"/>
      <c r="E68" s="5" t="n"/>
      <c r="F68" s="5">
        <f>IF(A68="","",IFERROR(VLOOKUP(A68,'F01 - _Données Expatriés'!$A$6:$K$20,5,FALSE),""))</f>
        <v/>
      </c>
      <c r="G68" s="5" t="n"/>
      <c r="H68" s="5" t="n"/>
      <c r="I68" s="5" t="n"/>
      <c r="J68" s="5" t="n"/>
      <c r="K68" s="5" t="n"/>
      <c r="L68" s="5">
        <f>IF(E68="Conforme","OK",IF(E68="Partiellement conforme","ACTION REQUISE",IF(E68="Non conforme","URGENT","")))</f>
        <v/>
      </c>
      <c r="M68" s="5" t="n"/>
      <c r="N68" s="5" t="n"/>
    </row>
    <row r="69" ht="22" customHeight="1">
      <c r="A69" s="7" t="n"/>
      <c r="B69" s="7" t="n"/>
      <c r="C69" s="7" t="n"/>
      <c r="D69" s="7" t="n"/>
      <c r="E69" s="7" t="n"/>
      <c r="F69" s="7">
        <f>IF(A69="","",IFERROR(VLOOKUP(A69,'F01 - _Données Expatriés'!$A$6:$K$20,5,FALSE),""))</f>
        <v/>
      </c>
      <c r="G69" s="7" t="n"/>
      <c r="H69" s="7" t="n"/>
      <c r="I69" s="7" t="n"/>
      <c r="J69" s="7" t="n"/>
      <c r="K69" s="7" t="n"/>
      <c r="L69" s="7">
        <f>IF(E69="Conforme","OK",IF(E69="Partiellement conforme","ACTION REQUISE",IF(E69="Non conforme","URGENT","")))</f>
        <v/>
      </c>
      <c r="M69" s="7" t="n"/>
      <c r="N69" s="7" t="n"/>
    </row>
    <row r="70" ht="22" customHeight="1">
      <c r="A70" s="5" t="n"/>
      <c r="B70" s="5" t="n"/>
      <c r="C70" s="5" t="n"/>
      <c r="D70" s="5" t="n"/>
      <c r="E70" s="5" t="n"/>
      <c r="F70" s="5">
        <f>IF(A70="","",IFERROR(VLOOKUP(A70,'F01 - _Données Expatriés'!$A$6:$K$20,5,FALSE),""))</f>
        <v/>
      </c>
      <c r="G70" s="5" t="n"/>
      <c r="H70" s="5" t="n"/>
      <c r="I70" s="5" t="n"/>
      <c r="J70" s="5" t="n"/>
      <c r="K70" s="5" t="n"/>
      <c r="L70" s="5">
        <f>IF(E70="Conforme","OK",IF(E70="Partiellement conforme","ACTION REQUISE",IF(E70="Non conforme","URGENT","")))</f>
        <v/>
      </c>
      <c r="M70" s="5" t="n"/>
      <c r="N70" s="5" t="n"/>
    </row>
    <row r="71" ht="22" customHeight="1">
      <c r="A71" s="7" t="n"/>
      <c r="B71" s="7" t="n"/>
      <c r="C71" s="7" t="n"/>
      <c r="D71" s="7" t="n"/>
      <c r="E71" s="7" t="n"/>
      <c r="F71" s="7">
        <f>IF(A71="","",IFERROR(VLOOKUP(A71,'F01 - _Données Expatriés'!$A$6:$K$20,5,FALSE),""))</f>
        <v/>
      </c>
      <c r="G71" s="7" t="n"/>
      <c r="H71" s="7" t="n"/>
      <c r="I71" s="7" t="n"/>
      <c r="J71" s="7" t="n"/>
      <c r="K71" s="7" t="n"/>
      <c r="L71" s="7">
        <f>IF(E71="Conforme","OK",IF(E71="Partiellement conforme","ACTION REQUISE",IF(E71="Non conforme","URGENT","")))</f>
        <v/>
      </c>
      <c r="M71" s="7" t="n"/>
      <c r="N71" s="7" t="n"/>
    </row>
    <row r="72" ht="22" customHeight="1">
      <c r="A72" s="5" t="n"/>
      <c r="B72" s="5" t="n"/>
      <c r="C72" s="5" t="n"/>
      <c r="D72" s="5" t="n"/>
      <c r="E72" s="5" t="n"/>
      <c r="F72" s="5">
        <f>IF(A72="","",IFERROR(VLOOKUP(A72,'F01 - _Données Expatriés'!$A$6:$K$20,5,FALSE),""))</f>
        <v/>
      </c>
      <c r="G72" s="5" t="n"/>
      <c r="H72" s="5" t="n"/>
      <c r="I72" s="5" t="n"/>
      <c r="J72" s="5" t="n"/>
      <c r="K72" s="5" t="n"/>
      <c r="L72" s="5">
        <f>IF(E72="Conforme","OK",IF(E72="Partiellement conforme","ACTION REQUISE",IF(E72="Non conforme","URGENT","")))</f>
        <v/>
      </c>
      <c r="M72" s="5" t="n"/>
      <c r="N72" s="5" t="n"/>
    </row>
    <row r="73" ht="22" customHeight="1">
      <c r="A73" s="7" t="n"/>
      <c r="B73" s="7" t="n"/>
      <c r="C73" s="7" t="n"/>
      <c r="D73" s="7" t="n"/>
      <c r="E73" s="7" t="n"/>
      <c r="F73" s="7">
        <f>IF(A73="","",IFERROR(VLOOKUP(A73,'F01 - _Données Expatriés'!$A$6:$K$20,5,FALSE),""))</f>
        <v/>
      </c>
      <c r="G73" s="7" t="n"/>
      <c r="H73" s="7" t="n"/>
      <c r="I73" s="7" t="n"/>
      <c r="J73" s="7" t="n"/>
      <c r="K73" s="7" t="n"/>
      <c r="L73" s="7">
        <f>IF(E73="Conforme","OK",IF(E73="Partiellement conforme","ACTION REQUISE",IF(E73="Non conforme","URGENT","")))</f>
        <v/>
      </c>
      <c r="M73" s="7" t="n"/>
      <c r="N73" s="7" t="n"/>
    </row>
    <row r="74" ht="22" customHeight="1">
      <c r="A74" s="5" t="n"/>
      <c r="B74" s="5" t="n"/>
      <c r="C74" s="5" t="n"/>
      <c r="D74" s="5" t="n"/>
      <c r="E74" s="5" t="n"/>
      <c r="F74" s="5">
        <f>IF(A74="","",IFERROR(VLOOKUP(A74,'F01 - _Données Expatriés'!$A$6:$K$20,5,FALSE),""))</f>
        <v/>
      </c>
      <c r="G74" s="5" t="n"/>
      <c r="H74" s="5" t="n"/>
      <c r="I74" s="5" t="n"/>
      <c r="J74" s="5" t="n"/>
      <c r="K74" s="5" t="n"/>
      <c r="L74" s="5">
        <f>IF(E74="Conforme","OK",IF(E74="Partiellement conforme","ACTION REQUISE",IF(E74="Non conforme","URGENT","")))</f>
        <v/>
      </c>
      <c r="M74" s="5" t="n"/>
      <c r="N74" s="5" t="n"/>
    </row>
    <row r="75" ht="22" customHeight="1">
      <c r="A75" s="7" t="n"/>
      <c r="B75" s="7" t="n"/>
      <c r="C75" s="7" t="n"/>
      <c r="D75" s="7" t="n"/>
      <c r="E75" s="7" t="n"/>
      <c r="F75" s="7">
        <f>IF(A75="","",IFERROR(VLOOKUP(A75,'F01 - _Données Expatriés'!$A$6:$K$20,5,FALSE),""))</f>
        <v/>
      </c>
      <c r="G75" s="7" t="n"/>
      <c r="H75" s="7" t="n"/>
      <c r="I75" s="7" t="n"/>
      <c r="J75" s="7" t="n"/>
      <c r="K75" s="7" t="n"/>
      <c r="L75" s="7">
        <f>IF(E75="Conforme","OK",IF(E75="Partiellement conforme","ACTION REQUISE",IF(E75="Non conforme","URGENT","")))</f>
        <v/>
      </c>
      <c r="M75" s="7" t="n"/>
      <c r="N75" s="7" t="n"/>
    </row>
    <row r="76" ht="22" customHeight="1">
      <c r="A76" s="5" t="n"/>
      <c r="B76" s="5" t="n"/>
      <c r="C76" s="5" t="n"/>
      <c r="D76" s="5" t="n"/>
      <c r="E76" s="5" t="n"/>
      <c r="F76" s="5">
        <f>IF(A76="","",IFERROR(VLOOKUP(A76,'F01 - _Données Expatriés'!$A$6:$K$20,5,FALSE),""))</f>
        <v/>
      </c>
      <c r="G76" s="5" t="n"/>
      <c r="H76" s="5" t="n"/>
      <c r="I76" s="5" t="n"/>
      <c r="J76" s="5" t="n"/>
      <c r="K76" s="5" t="n"/>
      <c r="L76" s="5">
        <f>IF(E76="Conforme","OK",IF(E76="Partiellement conforme","ACTION REQUISE",IF(E76="Non conforme","URGENT","")))</f>
        <v/>
      </c>
      <c r="M76" s="5" t="n"/>
      <c r="N76" s="5" t="n"/>
    </row>
    <row r="77" ht="22" customHeight="1">
      <c r="A77" s="7" t="n"/>
      <c r="B77" s="7" t="n"/>
      <c r="C77" s="7" t="n"/>
      <c r="D77" s="7" t="n"/>
      <c r="E77" s="7" t="n"/>
      <c r="F77" s="7">
        <f>IF(A77="","",IFERROR(VLOOKUP(A77,'F01 - _Données Expatriés'!$A$6:$K$20,5,FALSE),""))</f>
        <v/>
      </c>
      <c r="G77" s="7" t="n"/>
      <c r="H77" s="7" t="n"/>
      <c r="I77" s="7" t="n"/>
      <c r="J77" s="7" t="n"/>
      <c r="K77" s="7" t="n"/>
      <c r="L77" s="7">
        <f>IF(E77="Conforme","OK",IF(E77="Partiellement conforme","ACTION REQUISE",IF(E77="Non conforme","URGENT","")))</f>
        <v/>
      </c>
      <c r="M77" s="7" t="n"/>
      <c r="N77" s="7" t="n"/>
    </row>
    <row r="78" ht="22" customHeight="1">
      <c r="A78" s="5" t="n"/>
      <c r="B78" s="5" t="n"/>
      <c r="C78" s="5" t="n"/>
      <c r="D78" s="5" t="n"/>
      <c r="E78" s="5" t="n"/>
      <c r="F78" s="5">
        <f>IF(A78="","",IFERROR(VLOOKUP(A78,'F01 - _Données Expatriés'!$A$6:$K$20,5,FALSE),""))</f>
        <v/>
      </c>
      <c r="G78" s="5" t="n"/>
      <c r="H78" s="5" t="n"/>
      <c r="I78" s="5" t="n"/>
      <c r="J78" s="5" t="n"/>
      <c r="K78" s="5" t="n"/>
      <c r="L78" s="5">
        <f>IF(E78="Conforme","OK",IF(E78="Partiellement conforme","ACTION REQUISE",IF(E78="Non conforme","URGENT","")))</f>
        <v/>
      </c>
      <c r="M78" s="5" t="n"/>
      <c r="N78" s="5" t="n"/>
    </row>
    <row r="79" ht="22" customHeight="1">
      <c r="A79" s="7" t="n"/>
      <c r="B79" s="7" t="n"/>
      <c r="C79" s="7" t="n"/>
      <c r="D79" s="7" t="n"/>
      <c r="E79" s="7" t="n"/>
      <c r="F79" s="7">
        <f>IF(A79="","",IFERROR(VLOOKUP(A79,'F01 - _Données Expatriés'!$A$6:$K$20,5,FALSE),""))</f>
        <v/>
      </c>
      <c r="G79" s="7" t="n"/>
      <c r="H79" s="7" t="n"/>
      <c r="I79" s="7" t="n"/>
      <c r="J79" s="7" t="n"/>
      <c r="K79" s="7" t="n"/>
      <c r="L79" s="7">
        <f>IF(E79="Conforme","OK",IF(E79="Partiellement conforme","ACTION REQUISE",IF(E79="Non conforme","URGENT","")))</f>
        <v/>
      </c>
      <c r="M79" s="7" t="n"/>
      <c r="N79" s="7" t="n"/>
    </row>
    <row r="80" ht="22" customHeight="1">
      <c r="A80" s="5" t="n"/>
      <c r="B80" s="5" t="n"/>
      <c r="C80" s="5" t="n"/>
      <c r="D80" s="5" t="n"/>
      <c r="E80" s="5" t="n"/>
      <c r="F80" s="5">
        <f>IF(A80="","",IFERROR(VLOOKUP(A80,'F01 - _Données Expatriés'!$A$6:$K$20,5,FALSE),""))</f>
        <v/>
      </c>
      <c r="G80" s="5" t="n"/>
      <c r="H80" s="5" t="n"/>
      <c r="I80" s="5" t="n"/>
      <c r="J80" s="5" t="n"/>
      <c r="K80" s="5" t="n"/>
      <c r="L80" s="5">
        <f>IF(E80="Conforme","OK",IF(E80="Partiellement conforme","ACTION REQUISE",IF(E80="Non conforme","URGENT","")))</f>
        <v/>
      </c>
      <c r="M80" s="5" t="n"/>
      <c r="N80" s="5" t="n"/>
    </row>
    <row r="81" ht="22" customHeight="1">
      <c r="A81" s="7" t="n"/>
      <c r="B81" s="7" t="n"/>
      <c r="C81" s="7" t="n"/>
      <c r="D81" s="7" t="n"/>
      <c r="E81" s="7" t="n"/>
      <c r="F81" s="7">
        <f>IF(A81="","",IFERROR(VLOOKUP(A81,'F01 - _Données Expatriés'!$A$6:$K$20,5,FALSE),""))</f>
        <v/>
      </c>
      <c r="G81" s="7" t="n"/>
      <c r="H81" s="7" t="n"/>
      <c r="I81" s="7" t="n"/>
      <c r="J81" s="7" t="n"/>
      <c r="K81" s="7" t="n"/>
      <c r="L81" s="7">
        <f>IF(E81="Conforme","OK",IF(E81="Partiellement conforme","ACTION REQUISE",IF(E81="Non conforme","URGENT","")))</f>
        <v/>
      </c>
      <c r="M81" s="7" t="n"/>
      <c r="N81" s="7" t="n"/>
    </row>
    <row r="82" ht="22" customHeight="1">
      <c r="A82" s="5" t="n"/>
      <c r="B82" s="5" t="n"/>
      <c r="C82" s="5" t="n"/>
      <c r="D82" s="5" t="n"/>
      <c r="E82" s="5" t="n"/>
      <c r="F82" s="5">
        <f>IF(A82="","",IFERROR(VLOOKUP(A82,'F01 - _Données Expatriés'!$A$6:$K$20,5,FALSE),""))</f>
        <v/>
      </c>
      <c r="G82" s="5" t="n"/>
      <c r="H82" s="5" t="n"/>
      <c r="I82" s="5" t="n"/>
      <c r="J82" s="5" t="n"/>
      <c r="K82" s="5" t="n"/>
      <c r="L82" s="5">
        <f>IF(E82="Conforme","OK",IF(E82="Partiellement conforme","ACTION REQUISE",IF(E82="Non conforme","URGENT","")))</f>
        <v/>
      </c>
      <c r="M82" s="5" t="n"/>
      <c r="N82" s="5" t="n"/>
    </row>
    <row r="83" ht="22" customHeight="1">
      <c r="A83" s="7" t="n"/>
      <c r="B83" s="7" t="n"/>
      <c r="C83" s="7" t="n"/>
      <c r="D83" s="7" t="n"/>
      <c r="E83" s="7" t="n"/>
      <c r="F83" s="7">
        <f>IF(A83="","",IFERROR(VLOOKUP(A83,'F01 - _Données Expatriés'!$A$6:$K$20,5,FALSE),""))</f>
        <v/>
      </c>
      <c r="G83" s="7" t="n"/>
      <c r="H83" s="7" t="n"/>
      <c r="I83" s="7" t="n"/>
      <c r="J83" s="7" t="n"/>
      <c r="K83" s="7" t="n"/>
      <c r="L83" s="7">
        <f>IF(E83="Conforme","OK",IF(E83="Partiellement conforme","ACTION REQUISE",IF(E83="Non conforme","URGENT","")))</f>
        <v/>
      </c>
      <c r="M83" s="7" t="n"/>
      <c r="N83" s="7" t="n"/>
    </row>
    <row r="84" ht="22" customHeight="1">
      <c r="A84" s="5" t="n"/>
      <c r="B84" s="5" t="n"/>
      <c r="C84" s="5" t="n"/>
      <c r="D84" s="5" t="n"/>
      <c r="E84" s="5" t="n"/>
      <c r="F84" s="5">
        <f>IF(A84="","",IFERROR(VLOOKUP(A84,'F01 - _Données Expatriés'!$A$6:$K$20,5,FALSE),""))</f>
        <v/>
      </c>
      <c r="G84" s="5" t="n"/>
      <c r="H84" s="5" t="n"/>
      <c r="I84" s="5" t="n"/>
      <c r="J84" s="5" t="n"/>
      <c r="K84" s="5" t="n"/>
      <c r="L84" s="5">
        <f>IF(E84="Conforme","OK",IF(E84="Partiellement conforme","ACTION REQUISE",IF(E84="Non conforme","URGENT","")))</f>
        <v/>
      </c>
      <c r="M84" s="5" t="n"/>
      <c r="N84" s="5" t="n"/>
    </row>
    <row r="85" ht="22" customHeight="1">
      <c r="A85" s="7" t="n"/>
      <c r="B85" s="7" t="n"/>
      <c r="C85" s="7" t="n"/>
      <c r="D85" s="7" t="n"/>
      <c r="E85" s="7" t="n"/>
      <c r="F85" s="7">
        <f>IF(A85="","",IFERROR(VLOOKUP(A85,'F01 - _Données Expatriés'!$A$6:$K$20,5,FALSE),""))</f>
        <v/>
      </c>
      <c r="G85" s="7" t="n"/>
      <c r="H85" s="7" t="n"/>
      <c r="I85" s="7" t="n"/>
      <c r="J85" s="7" t="n"/>
      <c r="K85" s="7" t="n"/>
      <c r="L85" s="7">
        <f>IF(E85="Conforme","OK",IF(E85="Partiellement conforme","ACTION REQUISE",IF(E85="Non conforme","URGENT","")))</f>
        <v/>
      </c>
      <c r="M85" s="7" t="n"/>
      <c r="N85" s="7" t="n"/>
    </row>
    <row r="86" ht="22" customHeight="1">
      <c r="A86" s="5" t="n"/>
      <c r="B86" s="5" t="n"/>
      <c r="C86" s="5" t="n"/>
      <c r="D86" s="5" t="n"/>
      <c r="E86" s="5" t="n"/>
      <c r="F86" s="5">
        <f>IF(A86="","",IFERROR(VLOOKUP(A86,'F01 - _Données Expatriés'!$A$6:$K$20,5,FALSE),""))</f>
        <v/>
      </c>
      <c r="G86" s="5" t="n"/>
      <c r="H86" s="5" t="n"/>
      <c r="I86" s="5" t="n"/>
      <c r="J86" s="5" t="n"/>
      <c r="K86" s="5" t="n"/>
      <c r="L86" s="5">
        <f>IF(E86="Conforme","OK",IF(E86="Partiellement conforme","ACTION REQUISE",IF(E86="Non conforme","URGENT","")))</f>
        <v/>
      </c>
      <c r="M86" s="5" t="n"/>
      <c r="N86" s="5" t="n"/>
    </row>
    <row r="87" ht="22" customHeight="1">
      <c r="A87" s="7" t="n"/>
      <c r="B87" s="7" t="n"/>
      <c r="C87" s="7" t="n"/>
      <c r="D87" s="7" t="n"/>
      <c r="E87" s="7" t="n"/>
      <c r="F87" s="7">
        <f>IF(A87="","",IFERROR(VLOOKUP(A87,'F01 - _Données Expatriés'!$A$6:$K$20,5,FALSE),""))</f>
        <v/>
      </c>
      <c r="G87" s="7" t="n"/>
      <c r="H87" s="7" t="n"/>
      <c r="I87" s="7" t="n"/>
      <c r="J87" s="7" t="n"/>
      <c r="K87" s="7" t="n"/>
      <c r="L87" s="7">
        <f>IF(E87="Conforme","OK",IF(E87="Partiellement conforme","ACTION REQUISE",IF(E87="Non conforme","URGENT","")))</f>
        <v/>
      </c>
      <c r="M87" s="7" t="n"/>
      <c r="N87" s="7" t="n"/>
    </row>
    <row r="88" ht="22" customHeight="1">
      <c r="A88" s="5" t="n"/>
      <c r="B88" s="5" t="n"/>
      <c r="C88" s="5" t="n"/>
      <c r="D88" s="5" t="n"/>
      <c r="E88" s="5" t="n"/>
      <c r="F88" s="5">
        <f>IF(A88="","",IFERROR(VLOOKUP(A88,'F01 - _Données Expatriés'!$A$6:$K$20,5,FALSE),""))</f>
        <v/>
      </c>
      <c r="G88" s="5" t="n"/>
      <c r="H88" s="5" t="n"/>
      <c r="I88" s="5" t="n"/>
      <c r="J88" s="5" t="n"/>
      <c r="K88" s="5" t="n"/>
      <c r="L88" s="5">
        <f>IF(E88="Conforme","OK",IF(E88="Partiellement conforme","ACTION REQUISE",IF(E88="Non conforme","URGENT","")))</f>
        <v/>
      </c>
      <c r="M88" s="5" t="n"/>
      <c r="N88" s="5" t="n"/>
    </row>
    <row r="89" ht="22" customHeight="1">
      <c r="A89" s="7" t="n"/>
      <c r="B89" s="7" t="n"/>
      <c r="C89" s="7" t="n"/>
      <c r="D89" s="7" t="n"/>
      <c r="E89" s="7" t="n"/>
      <c r="F89" s="7">
        <f>IF(A89="","",IFERROR(VLOOKUP(A89,'F01 - _Données Expatriés'!$A$6:$K$20,5,FALSE),""))</f>
        <v/>
      </c>
      <c r="G89" s="7" t="n"/>
      <c r="H89" s="7" t="n"/>
      <c r="I89" s="7" t="n"/>
      <c r="J89" s="7" t="n"/>
      <c r="K89" s="7" t="n"/>
      <c r="L89" s="7">
        <f>IF(E89="Conforme","OK",IF(E89="Partiellement conforme","ACTION REQUISE",IF(E89="Non conforme","URGENT","")))</f>
        <v/>
      </c>
      <c r="M89" s="7" t="n"/>
      <c r="N89" s="7" t="n"/>
    </row>
    <row r="90" ht="22" customHeight="1">
      <c r="A90" s="5" t="n"/>
      <c r="B90" s="5" t="n"/>
      <c r="C90" s="5" t="n"/>
      <c r="D90" s="5" t="n"/>
      <c r="E90" s="5" t="n"/>
      <c r="F90" s="5">
        <f>IF(A90="","",IFERROR(VLOOKUP(A90,'F01 - _Données Expatriés'!$A$6:$K$20,5,FALSE),""))</f>
        <v/>
      </c>
      <c r="G90" s="5" t="n"/>
      <c r="H90" s="5" t="n"/>
      <c r="I90" s="5" t="n"/>
      <c r="J90" s="5" t="n"/>
      <c r="K90" s="5" t="n"/>
      <c r="L90" s="5">
        <f>IF(E90="Conforme","OK",IF(E90="Partiellement conforme","ACTION REQUISE",IF(E90="Non conforme","URGENT","")))</f>
        <v/>
      </c>
      <c r="M90" s="5" t="n"/>
      <c r="N90" s="5" t="n"/>
    </row>
    <row r="91" ht="22" customHeight="1">
      <c r="A91" s="7" t="n"/>
      <c r="B91" s="7" t="n"/>
      <c r="C91" s="7" t="n"/>
      <c r="D91" s="7" t="n"/>
      <c r="E91" s="7" t="n"/>
      <c r="F91" s="7">
        <f>IF(A91="","",IFERROR(VLOOKUP(A91,'F01 - _Données Expatriés'!$A$6:$K$20,5,FALSE),""))</f>
        <v/>
      </c>
      <c r="G91" s="7" t="n"/>
      <c r="H91" s="7" t="n"/>
      <c r="I91" s="7" t="n"/>
      <c r="J91" s="7" t="n"/>
      <c r="K91" s="7" t="n"/>
      <c r="L91" s="7">
        <f>IF(E91="Conforme","OK",IF(E91="Partiellement conforme","ACTION REQUISE",IF(E91="Non conforme","URGENT","")))</f>
        <v/>
      </c>
      <c r="M91" s="7" t="n"/>
      <c r="N91" s="7" t="n"/>
    </row>
    <row r="92" ht="22" customHeight="1">
      <c r="A92" s="5" t="n"/>
      <c r="B92" s="5" t="n"/>
      <c r="C92" s="5" t="n"/>
      <c r="D92" s="5" t="n"/>
      <c r="E92" s="5" t="n"/>
      <c r="F92" s="5">
        <f>IF(A92="","",IFERROR(VLOOKUP(A92,'F01 - _Données Expatriés'!$A$6:$K$20,5,FALSE),""))</f>
        <v/>
      </c>
      <c r="G92" s="5" t="n"/>
      <c r="H92" s="5" t="n"/>
      <c r="I92" s="5" t="n"/>
      <c r="J92" s="5" t="n"/>
      <c r="K92" s="5" t="n"/>
      <c r="L92" s="5">
        <f>IF(E92="Conforme","OK",IF(E92="Partiellement conforme","ACTION REQUISE",IF(E92="Non conforme","URGENT","")))</f>
        <v/>
      </c>
      <c r="M92" s="5" t="n"/>
      <c r="N92" s="5" t="n"/>
    </row>
    <row r="93" ht="22" customHeight="1">
      <c r="A93" s="7" t="n"/>
      <c r="B93" s="7" t="n"/>
      <c r="C93" s="7" t="n"/>
      <c r="D93" s="7" t="n"/>
      <c r="E93" s="7" t="n"/>
      <c r="F93" s="7">
        <f>IF(A93="","",IFERROR(VLOOKUP(A93,'F01 - _Données Expatriés'!$A$6:$K$20,5,FALSE),""))</f>
        <v/>
      </c>
      <c r="G93" s="7" t="n"/>
      <c r="H93" s="7" t="n"/>
      <c r="I93" s="7" t="n"/>
      <c r="J93" s="7" t="n"/>
      <c r="K93" s="7" t="n"/>
      <c r="L93" s="7">
        <f>IF(E93="Conforme","OK",IF(E93="Partiellement conforme","ACTION REQUISE",IF(E93="Non conforme","URGENT","")))</f>
        <v/>
      </c>
      <c r="M93" s="7" t="n"/>
      <c r="N93" s="7" t="n"/>
    </row>
    <row r="94" ht="22" customHeight="1">
      <c r="A94" s="5" t="n"/>
      <c r="B94" s="5" t="n"/>
      <c r="C94" s="5" t="n"/>
      <c r="D94" s="5" t="n"/>
      <c r="E94" s="5" t="n"/>
      <c r="F94" s="5">
        <f>IF(A94="","",IFERROR(VLOOKUP(A94,'F01 - _Données Expatriés'!$A$6:$K$20,5,FALSE),""))</f>
        <v/>
      </c>
      <c r="G94" s="5" t="n"/>
      <c r="H94" s="5" t="n"/>
      <c r="I94" s="5" t="n"/>
      <c r="J94" s="5" t="n"/>
      <c r="K94" s="5" t="n"/>
      <c r="L94" s="5">
        <f>IF(E94="Conforme","OK",IF(E94="Partiellement conforme","ACTION REQUISE",IF(E94="Non conforme","URGENT","")))</f>
        <v/>
      </c>
      <c r="M94" s="5" t="n"/>
      <c r="N94" s="5" t="n"/>
    </row>
    <row r="95" ht="22" customHeight="1">
      <c r="A95" s="7" t="n"/>
      <c r="B95" s="7" t="n"/>
      <c r="C95" s="7" t="n"/>
      <c r="D95" s="7" t="n"/>
      <c r="E95" s="7" t="n"/>
      <c r="F95" s="7">
        <f>IF(A95="","",IFERROR(VLOOKUP(A95,'F01 - _Données Expatriés'!$A$6:$K$20,5,FALSE),""))</f>
        <v/>
      </c>
      <c r="G95" s="7" t="n"/>
      <c r="H95" s="7" t="n"/>
      <c r="I95" s="7" t="n"/>
      <c r="J95" s="7" t="n"/>
      <c r="K95" s="7" t="n"/>
      <c r="L95" s="7">
        <f>IF(E95="Conforme","OK",IF(E95="Partiellement conforme","ACTION REQUISE",IF(E95="Non conforme","URGENT","")))</f>
        <v/>
      </c>
      <c r="M95" s="7" t="n"/>
      <c r="N95" s="7" t="n"/>
    </row>
    <row r="96" ht="22" customHeight="1">
      <c r="A96" s="5" t="n"/>
      <c r="B96" s="5" t="n"/>
      <c r="C96" s="5" t="n"/>
      <c r="D96" s="5" t="n"/>
      <c r="E96" s="5" t="n"/>
      <c r="F96" s="5">
        <f>IF(A96="","",IFERROR(VLOOKUP(A96,'F01 - _Données Expatriés'!$A$6:$K$20,5,FALSE),""))</f>
        <v/>
      </c>
      <c r="G96" s="5" t="n"/>
      <c r="H96" s="5" t="n"/>
      <c r="I96" s="5" t="n"/>
      <c r="J96" s="5" t="n"/>
      <c r="K96" s="5" t="n"/>
      <c r="L96" s="5">
        <f>IF(E96="Conforme","OK",IF(E96="Partiellement conforme","ACTION REQUISE",IF(E96="Non conforme","URGENT","")))</f>
        <v/>
      </c>
      <c r="M96" s="5" t="n"/>
      <c r="N96" s="5" t="n"/>
    </row>
    <row r="97" ht="22" customHeight="1">
      <c r="A97" s="7" t="n"/>
      <c r="B97" s="7" t="n"/>
      <c r="C97" s="7" t="n"/>
      <c r="D97" s="7" t="n"/>
      <c r="E97" s="7" t="n"/>
      <c r="F97" s="7">
        <f>IF(A97="","",IFERROR(VLOOKUP(A97,'F01 - _Données Expatriés'!$A$6:$K$20,5,FALSE),""))</f>
        <v/>
      </c>
      <c r="G97" s="7" t="n"/>
      <c r="H97" s="7" t="n"/>
      <c r="I97" s="7" t="n"/>
      <c r="J97" s="7" t="n"/>
      <c r="K97" s="7" t="n"/>
      <c r="L97" s="7">
        <f>IF(E97="Conforme","OK",IF(E97="Partiellement conforme","ACTION REQUISE",IF(E97="Non conforme","URGENT","")))</f>
        <v/>
      </c>
      <c r="M97" s="7" t="n"/>
      <c r="N97" s="7" t="n"/>
    </row>
    <row r="98" ht="22" customHeight="1">
      <c r="A98" s="5" t="n"/>
      <c r="B98" s="5" t="n"/>
      <c r="C98" s="5" t="n"/>
      <c r="D98" s="5" t="n"/>
      <c r="E98" s="5" t="n"/>
      <c r="F98" s="5">
        <f>IF(A98="","",IFERROR(VLOOKUP(A98,'F01 - _Données Expatriés'!$A$6:$K$20,5,FALSE),""))</f>
        <v/>
      </c>
      <c r="G98" s="5" t="n"/>
      <c r="H98" s="5" t="n"/>
      <c r="I98" s="5" t="n"/>
      <c r="J98" s="5" t="n"/>
      <c r="K98" s="5" t="n"/>
      <c r="L98" s="5">
        <f>IF(E98="Conforme","OK",IF(E98="Partiellement conforme","ACTION REQUISE",IF(E98="Non conforme","URGENT","")))</f>
        <v/>
      </c>
      <c r="M98" s="5" t="n"/>
      <c r="N98" s="5" t="n"/>
    </row>
    <row r="99" ht="22" customHeight="1">
      <c r="A99" s="7" t="n"/>
      <c r="B99" s="7" t="n"/>
      <c r="C99" s="7" t="n"/>
      <c r="D99" s="7" t="n"/>
      <c r="E99" s="7" t="n"/>
      <c r="F99" s="7">
        <f>IF(A99="","",IFERROR(VLOOKUP(A99,'F01 - _Données Expatriés'!$A$6:$K$20,5,FALSE),""))</f>
        <v/>
      </c>
      <c r="G99" s="7" t="n"/>
      <c r="H99" s="7" t="n"/>
      <c r="I99" s="7" t="n"/>
      <c r="J99" s="7" t="n"/>
      <c r="K99" s="7" t="n"/>
      <c r="L99" s="7">
        <f>IF(E99="Conforme","OK",IF(E99="Partiellement conforme","ACTION REQUISE",IF(E99="Non conforme","URGENT","")))</f>
        <v/>
      </c>
      <c r="M99" s="7" t="n"/>
      <c r="N99" s="7" t="n"/>
    </row>
    <row r="100" ht="22" customHeight="1">
      <c r="A100" s="5" t="n"/>
      <c r="B100" s="5" t="n"/>
      <c r="C100" s="5" t="n"/>
      <c r="D100" s="5" t="n"/>
      <c r="E100" s="5" t="n"/>
      <c r="F100" s="5">
        <f>IF(A100="","",IFERROR(VLOOKUP(A100,'F01 - _Données Expatriés'!$A$6:$K$20,5,FALSE),""))</f>
        <v/>
      </c>
      <c r="G100" s="5" t="n"/>
      <c r="H100" s="5" t="n"/>
      <c r="I100" s="5" t="n"/>
      <c r="J100" s="5" t="n"/>
      <c r="K100" s="5" t="n"/>
      <c r="L100" s="5">
        <f>IF(E100="Conforme","OK",IF(E100="Partiellement conforme","ACTION REQUISE",IF(E100="Non conforme","URGENT","")))</f>
        <v/>
      </c>
      <c r="M100" s="5" t="n"/>
      <c r="N100" s="5" t="n"/>
    </row>
    <row r="101" ht="22" customHeight="1">
      <c r="A101" s="7" t="n"/>
      <c r="B101" s="7" t="n"/>
      <c r="C101" s="7" t="n"/>
      <c r="D101" s="7" t="n"/>
      <c r="E101" s="7" t="n"/>
      <c r="F101" s="7">
        <f>IF(A101="","",IFERROR(VLOOKUP(A101,'F01 - _Données Expatriés'!$A$6:$K$20,5,FALSE),""))</f>
        <v/>
      </c>
      <c r="G101" s="7" t="n"/>
      <c r="H101" s="7" t="n"/>
      <c r="I101" s="7" t="n"/>
      <c r="J101" s="7" t="n"/>
      <c r="K101" s="7" t="n"/>
      <c r="L101" s="7">
        <f>IF(E101="Conforme","OK",IF(E101="Partiellement conforme","ACTION REQUISE",IF(E101="Non conforme","URGENT","")))</f>
        <v/>
      </c>
      <c r="M101" s="7" t="n"/>
      <c r="N101" s="7" t="n"/>
    </row>
    <row r="102" ht="22" customHeight="1">
      <c r="A102" s="5" t="n"/>
      <c r="B102" s="5" t="n"/>
      <c r="C102" s="5" t="n"/>
      <c r="D102" s="5" t="n"/>
      <c r="E102" s="5" t="n"/>
      <c r="F102" s="5">
        <f>IF(A102="","",IFERROR(VLOOKUP(A102,'F01 - _Données Expatriés'!$A$6:$K$20,5,FALSE),""))</f>
        <v/>
      </c>
      <c r="G102" s="5" t="n"/>
      <c r="H102" s="5" t="n"/>
      <c r="I102" s="5" t="n"/>
      <c r="J102" s="5" t="n"/>
      <c r="K102" s="5" t="n"/>
      <c r="L102" s="5">
        <f>IF(E102="Conforme","OK",IF(E102="Partiellement conforme","ACTION REQUISE",IF(E102="Non conforme","URGENT","")))</f>
        <v/>
      </c>
      <c r="M102" s="5" t="n"/>
      <c r="N102" s="5" t="n"/>
    </row>
    <row r="103" ht="22" customHeight="1">
      <c r="A103" s="7" t="n"/>
      <c r="B103" s="7" t="n"/>
      <c r="C103" s="7" t="n"/>
      <c r="D103" s="7" t="n"/>
      <c r="E103" s="7" t="n"/>
      <c r="F103" s="7">
        <f>IF(A103="","",IFERROR(VLOOKUP(A103,'F01 - _Données Expatriés'!$A$6:$K$20,5,FALSE),""))</f>
        <v/>
      </c>
      <c r="G103" s="7" t="n"/>
      <c r="H103" s="7" t="n"/>
      <c r="I103" s="7" t="n"/>
      <c r="J103" s="7" t="n"/>
      <c r="K103" s="7" t="n"/>
      <c r="L103" s="7">
        <f>IF(E103="Conforme","OK",IF(E103="Partiellement conforme","ACTION REQUISE",IF(E103="Non conforme","URGENT","")))</f>
        <v/>
      </c>
      <c r="M103" s="7" t="n"/>
      <c r="N103" s="7" t="n"/>
    </row>
    <row r="104" ht="22" customHeight="1">
      <c r="A104" s="5" t="n"/>
      <c r="B104" s="5" t="n"/>
      <c r="C104" s="5" t="n"/>
      <c r="D104" s="5" t="n"/>
      <c r="E104" s="5" t="n"/>
      <c r="F104" s="5">
        <f>IF(A104="","",IFERROR(VLOOKUP(A104,'F01 - _Données Expatriés'!$A$6:$K$20,5,FALSE),""))</f>
        <v/>
      </c>
      <c r="G104" s="5" t="n"/>
      <c r="H104" s="5" t="n"/>
      <c r="I104" s="5" t="n"/>
      <c r="J104" s="5" t="n"/>
      <c r="K104" s="5" t="n"/>
      <c r="L104" s="5">
        <f>IF(E104="Conforme","OK",IF(E104="Partiellement conforme","ACTION REQUISE",IF(E104="Non conforme","URGENT","")))</f>
        <v/>
      </c>
      <c r="M104" s="5" t="n"/>
      <c r="N104" s="5" t="n"/>
    </row>
    <row r="105" ht="22" customHeight="1">
      <c r="A105" s="7" t="n"/>
      <c r="B105" s="7" t="n"/>
      <c r="C105" s="7" t="n"/>
      <c r="D105" s="7" t="n"/>
      <c r="E105" s="7" t="n"/>
      <c r="F105" s="7">
        <f>IF(A105="","",IFERROR(VLOOKUP(A105,'F01 - _Données Expatriés'!$A$6:$K$20,5,FALSE),""))</f>
        <v/>
      </c>
      <c r="G105" s="7" t="n"/>
      <c r="H105" s="7" t="n"/>
      <c r="I105" s="7" t="n"/>
      <c r="J105" s="7" t="n"/>
      <c r="K105" s="7" t="n"/>
      <c r="L105" s="7">
        <f>IF(E105="Conforme","OK",IF(E105="Partiellement conforme","ACTION REQUISE",IF(E105="Non conforme","URGENT","")))</f>
        <v/>
      </c>
      <c r="M105" s="7" t="n"/>
      <c r="N105" s="7" t="n"/>
    </row>
    <row r="106" ht="22" customHeight="1">
      <c r="A106" s="5" t="n"/>
      <c r="B106" s="5" t="n"/>
      <c r="C106" s="5" t="n"/>
      <c r="D106" s="5" t="n"/>
      <c r="E106" s="5" t="n"/>
      <c r="F106" s="5">
        <f>IF(A106="","",IFERROR(VLOOKUP(A106,'F01 - _Données Expatriés'!$A$6:$K$20,5,FALSE),""))</f>
        <v/>
      </c>
      <c r="G106" s="5" t="n"/>
      <c r="H106" s="5" t="n"/>
      <c r="I106" s="5" t="n"/>
      <c r="J106" s="5" t="n"/>
      <c r="K106" s="5" t="n"/>
      <c r="L106" s="5">
        <f>IF(E106="Conforme","OK",IF(E106="Partiellement conforme","ACTION REQUISE",IF(E106="Non conforme","URGENT","")))</f>
        <v/>
      </c>
      <c r="M106" s="5" t="n"/>
      <c r="N106" s="5" t="n"/>
    </row>
    <row r="107" ht="22" customHeight="1">
      <c r="A107" s="7" t="n"/>
      <c r="B107" s="7" t="n"/>
      <c r="C107" s="7" t="n"/>
      <c r="D107" s="7" t="n"/>
      <c r="E107" s="7" t="n"/>
      <c r="F107" s="7">
        <f>IF(A107="","",IFERROR(VLOOKUP(A107,'F01 - _Données Expatriés'!$A$6:$K$20,5,FALSE),""))</f>
        <v/>
      </c>
      <c r="G107" s="7" t="n"/>
      <c r="H107" s="7" t="n"/>
      <c r="I107" s="7" t="n"/>
      <c r="J107" s="7" t="n"/>
      <c r="K107" s="7" t="n"/>
      <c r="L107" s="7">
        <f>IF(E107="Conforme","OK",IF(E107="Partiellement conforme","ACTION REQUISE",IF(E107="Non conforme","URGENT","")))</f>
        <v/>
      </c>
      <c r="M107" s="7" t="n"/>
      <c r="N107" s="7" t="n"/>
    </row>
    <row r="108" ht="22" customHeight="1">
      <c r="A108" s="5" t="n"/>
      <c r="B108" s="5" t="n"/>
      <c r="C108" s="5" t="n"/>
      <c r="D108" s="5" t="n"/>
      <c r="E108" s="5" t="n"/>
      <c r="F108" s="5">
        <f>IF(A108="","",IFERROR(VLOOKUP(A108,'F01 - _Données Expatriés'!$A$6:$K$20,5,FALSE),""))</f>
        <v/>
      </c>
      <c r="G108" s="5" t="n"/>
      <c r="H108" s="5" t="n"/>
      <c r="I108" s="5" t="n"/>
      <c r="J108" s="5" t="n"/>
      <c r="K108" s="5" t="n"/>
      <c r="L108" s="5">
        <f>IF(E108="Conforme","OK",IF(E108="Partiellement conforme","ACTION REQUISE",IF(E108="Non conforme","URGENT","")))</f>
        <v/>
      </c>
      <c r="M108" s="5" t="n"/>
      <c r="N108" s="5" t="n"/>
    </row>
    <row r="109" ht="22" customHeight="1">
      <c r="A109" s="7" t="n"/>
      <c r="B109" s="7" t="n"/>
      <c r="C109" s="7" t="n"/>
      <c r="D109" s="7" t="n"/>
      <c r="E109" s="7" t="n"/>
      <c r="F109" s="7">
        <f>IF(A109="","",IFERROR(VLOOKUP(A109,'F01 - _Données Expatriés'!$A$6:$K$20,5,FALSE),""))</f>
        <v/>
      </c>
      <c r="G109" s="7" t="n"/>
      <c r="H109" s="7" t="n"/>
      <c r="I109" s="7" t="n"/>
      <c r="J109" s="7" t="n"/>
      <c r="K109" s="7" t="n"/>
      <c r="L109" s="7">
        <f>IF(E109="Conforme","OK",IF(E109="Partiellement conforme","ACTION REQUISE",IF(E109="Non conforme","URGENT","")))</f>
        <v/>
      </c>
      <c r="M109" s="7" t="n"/>
      <c r="N109" s="7" t="n"/>
    </row>
    <row r="110" ht="22" customHeight="1">
      <c r="A110" s="5" t="n"/>
      <c r="B110" s="5" t="n"/>
      <c r="C110" s="5" t="n"/>
      <c r="D110" s="5" t="n"/>
      <c r="E110" s="5" t="n"/>
      <c r="F110" s="5">
        <f>IF(A110="","",IFERROR(VLOOKUP(A110,'F01 - _Données Expatriés'!$A$6:$K$20,5,FALSE),""))</f>
        <v/>
      </c>
      <c r="G110" s="5" t="n"/>
      <c r="H110" s="5" t="n"/>
      <c r="I110" s="5" t="n"/>
      <c r="J110" s="5" t="n"/>
      <c r="K110" s="5" t="n"/>
      <c r="L110" s="5">
        <f>IF(E110="Conforme","OK",IF(E110="Partiellement conforme","ACTION REQUISE",IF(E110="Non conforme","URGENT","")))</f>
        <v/>
      </c>
      <c r="M110" s="5" t="n"/>
      <c r="N110" s="5" t="n"/>
    </row>
    <row r="111" ht="22" customHeight="1">
      <c r="A111" s="7" t="n"/>
      <c r="B111" s="7" t="n"/>
      <c r="C111" s="7" t="n"/>
      <c r="D111" s="7" t="n"/>
      <c r="E111" s="7" t="n"/>
      <c r="F111" s="7">
        <f>IF(A111="","",IFERROR(VLOOKUP(A111,'F01 - _Données Expatriés'!$A$6:$K$20,5,FALSE),""))</f>
        <v/>
      </c>
      <c r="G111" s="7" t="n"/>
      <c r="H111" s="7" t="n"/>
      <c r="I111" s="7" t="n"/>
      <c r="J111" s="7" t="n"/>
      <c r="K111" s="7" t="n"/>
      <c r="L111" s="7">
        <f>IF(E111="Conforme","OK",IF(E111="Partiellement conforme","ACTION REQUISE",IF(E111="Non conforme","URGENT","")))</f>
        <v/>
      </c>
      <c r="M111" s="7" t="n"/>
      <c r="N111" s="7" t="n"/>
    </row>
    <row r="112" ht="22" customHeight="1">
      <c r="A112" s="5" t="n"/>
      <c r="B112" s="5" t="n"/>
      <c r="C112" s="5" t="n"/>
      <c r="D112" s="5" t="n"/>
      <c r="E112" s="5" t="n"/>
      <c r="F112" s="5">
        <f>IF(A112="","",IFERROR(VLOOKUP(A112,'F01 - _Données Expatriés'!$A$6:$K$20,5,FALSE),""))</f>
        <v/>
      </c>
      <c r="G112" s="5" t="n"/>
      <c r="H112" s="5" t="n"/>
      <c r="I112" s="5" t="n"/>
      <c r="J112" s="5" t="n"/>
      <c r="K112" s="5" t="n"/>
      <c r="L112" s="5">
        <f>IF(E112="Conforme","OK",IF(E112="Partiellement conforme","ACTION REQUISE",IF(E112="Non conforme","URGENT","")))</f>
        <v/>
      </c>
      <c r="M112" s="5" t="n"/>
      <c r="N112" s="5" t="n"/>
    </row>
    <row r="113" ht="22" customHeight="1">
      <c r="A113" s="7" t="n"/>
      <c r="B113" s="7" t="n"/>
      <c r="C113" s="7" t="n"/>
      <c r="D113" s="7" t="n"/>
      <c r="E113" s="7" t="n"/>
      <c r="F113" s="7">
        <f>IF(A113="","",IFERROR(VLOOKUP(A113,'F01 - _Données Expatriés'!$A$6:$K$20,5,FALSE),""))</f>
        <v/>
      </c>
      <c r="G113" s="7" t="n"/>
      <c r="H113" s="7" t="n"/>
      <c r="I113" s="7" t="n"/>
      <c r="J113" s="7" t="n"/>
      <c r="K113" s="7" t="n"/>
      <c r="L113" s="7">
        <f>IF(E113="Conforme","OK",IF(E113="Partiellement conforme","ACTION REQUISE",IF(E113="Non conforme","URGENT","")))</f>
        <v/>
      </c>
      <c r="M113" s="7" t="n"/>
      <c r="N113" s="7" t="n"/>
    </row>
    <row r="114" ht="22" customHeight="1">
      <c r="A114" s="5" t="n"/>
      <c r="B114" s="5" t="n"/>
      <c r="C114" s="5" t="n"/>
      <c r="D114" s="5" t="n"/>
      <c r="E114" s="5" t="n"/>
      <c r="F114" s="5">
        <f>IF(A114="","",IFERROR(VLOOKUP(A114,'F01 - _Données Expatriés'!$A$6:$K$20,5,FALSE),""))</f>
        <v/>
      </c>
      <c r="G114" s="5" t="n"/>
      <c r="H114" s="5" t="n"/>
      <c r="I114" s="5" t="n"/>
      <c r="J114" s="5" t="n"/>
      <c r="K114" s="5" t="n"/>
      <c r="L114" s="5">
        <f>IF(E114="Conforme","OK",IF(E114="Partiellement conforme","ACTION REQUISE",IF(E114="Non conforme","URGENT","")))</f>
        <v/>
      </c>
      <c r="M114" s="5" t="n"/>
      <c r="N114" s="5" t="n"/>
    </row>
    <row r="115" ht="22" customHeight="1">
      <c r="A115" s="7" t="n"/>
      <c r="B115" s="7" t="n"/>
      <c r="C115" s="7" t="n"/>
      <c r="D115" s="7" t="n"/>
      <c r="E115" s="7" t="n"/>
      <c r="F115" s="7">
        <f>IF(A115="","",IFERROR(VLOOKUP(A115,'F01 - _Données Expatriés'!$A$6:$K$20,5,FALSE),""))</f>
        <v/>
      </c>
      <c r="G115" s="7" t="n"/>
      <c r="H115" s="7" t="n"/>
      <c r="I115" s="7" t="n"/>
      <c r="J115" s="7" t="n"/>
      <c r="K115" s="7" t="n"/>
      <c r="L115" s="7">
        <f>IF(E115="Conforme","OK",IF(E115="Partiellement conforme","ACTION REQUISE",IF(E115="Non conforme","URGENT","")))</f>
        <v/>
      </c>
      <c r="M115" s="7" t="n"/>
      <c r="N115" s="7" t="n"/>
    </row>
  </sheetData>
  <mergeCells count="2">
    <mergeCell ref="A3:N3"/>
    <mergeCell ref="A2:N2"/>
  </mergeCells>
  <conditionalFormatting sqref="E6:E115">
    <cfRule type="cellIs" priority="1" operator="equal" dxfId="0">
      <formula>"Non conforme"</formula>
    </cfRule>
    <cfRule type="cellIs" priority="2" operator="equal" dxfId="1">
      <formula>"Partiellement conforme"</formula>
    </cfRule>
  </conditionalFormatting>
  <dataValidations count="4">
    <dataValidation sqref="D6:D115" showDropDown="0" showInputMessage="0" showErrorMessage="0" allowBlank="1" errorTitle="Erreur" error="Valeur invalide" promptTitle="" prompt="Choisir dans la liste: " type="list">
      <formula1>'F02 - _Lists'!$B$6:$B$20</formula1>
    </dataValidation>
    <dataValidation sqref="E6:E115" showDropDown="0" showInputMessage="0" showErrorMessage="0" allowBlank="1" errorTitle="Erreur" error="Valeur invalide" promptTitle="" prompt="Choisir dans la liste: " type="list">
      <formula1>'F02 - _Lists'!$U$6:$U$10</formula1>
    </dataValidation>
    <dataValidation sqref="H6:H115" showDropDown="0" showInputMessage="0" showErrorMessage="0" allowBlank="1" errorTitle="Erreur" error="Valeur invalide" promptTitle="" prompt="Choisir dans la liste: " type="list">
      <formula1>'F02 - _Lists'!$C$6:$C$25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_Lists'!$V$6:$V$10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4" customWidth="1" min="3" max="3"/>
    <col width="18" customWidth="1" min="4" max="4"/>
    <col width="28" customWidth="1" min="5" max="5"/>
    <col width="24" customWidth="1" min="6" max="6"/>
    <col width="16" customWidth="1" min="7" max="7"/>
    <col width="18" customWidth="1" min="8" max="8"/>
    <col width="20" customWidth="1" min="9" max="9"/>
    <col width="28" customWidth="1" min="10" max="10"/>
    <col width="16" customWidth="1" min="11" max="11"/>
    <col width="14" customWidth="1" min="12" max="12"/>
    <col width="28" customWidth="1" min="13" max="13"/>
    <col width="14" customWidth="1" min="14" max="14"/>
  </cols>
  <sheetData>
    <row r="1" ht="8" customHeight="1"/>
    <row r="2" ht="30" customHeight="1">
      <c r="A2" s="1" t="inlineStr">
        <is>
          <t>19-EXIGENCES D'AUDIT — MOBILITÉ INTERNATIONALE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Audit</t>
        </is>
      </c>
      <c r="B5" s="4" t="inlineStr">
        <is>
          <t>Référence Norme</t>
        </is>
      </c>
      <c r="C5" s="4" t="inlineStr">
        <is>
          <t>Exigence Audit</t>
        </is>
      </c>
      <c r="D5" s="4" t="inlineStr">
        <is>
          <t>Processus Concerné</t>
        </is>
      </c>
      <c r="E5" s="4" t="inlineStr">
        <is>
          <t>Preuve Requise</t>
        </is>
      </c>
      <c r="F5" s="4" t="inlineStr">
        <is>
          <t>Statut</t>
        </is>
      </c>
      <c r="G5" s="4" t="inlineStr">
        <is>
          <t>Date Audit</t>
        </is>
      </c>
      <c r="H5" s="4" t="inlineStr">
        <is>
          <t>Auditeur</t>
        </is>
      </c>
      <c r="I5" s="4" t="inlineStr">
        <is>
          <t>Constat</t>
        </is>
      </c>
      <c r="J5" s="4" t="inlineStr">
        <is>
          <t>Action Corrective</t>
        </is>
      </c>
      <c r="K5" s="4" t="inlineStr">
        <is>
          <t>Échéance</t>
        </is>
      </c>
      <c r="L5" s="4" t="inlineStr">
        <is>
          <t>Suivi</t>
        </is>
      </c>
      <c r="M5" s="4" t="inlineStr">
        <is>
          <t>Observations</t>
        </is>
      </c>
      <c r="N5" s="4" t="inlineStr"/>
    </row>
    <row r="6" ht="22" customHeight="1">
      <c r="A6" s="5" t="inlineStr">
        <is>
          <t>AUD-EXP-001</t>
        </is>
      </c>
      <c r="B6" s="5" t="inlineStr">
        <is>
          <t>ISO 9001 §7.1.6</t>
        </is>
      </c>
      <c r="C6" s="5" t="inlineStr">
        <is>
          <t>Compétences et formation expatriés</t>
        </is>
      </c>
      <c r="D6" s="5" t="inlineStr">
        <is>
          <t>Formation</t>
        </is>
      </c>
      <c r="E6" s="5" t="inlineStr">
        <is>
          <t>Plans formation + attestations</t>
        </is>
      </c>
      <c r="F6" s="5">
        <f>IF(A6="","",IFERROR(VLOOKUP(A6,'F01 - _Données Expatriés'!$A$6:$K$20,5,FALSE),""))</f>
        <v/>
      </c>
      <c r="G6" s="22" t="n">
        <v>45677</v>
      </c>
      <c r="H6" s="5" t="inlineStr">
        <is>
          <t>Auditeur Interne</t>
        </is>
      </c>
      <c r="I6" s="5" t="inlineStr">
        <is>
          <t>Aucun écart</t>
        </is>
      </c>
      <c r="J6" s="5" t="inlineStr">
        <is>
          <t>N/A</t>
        </is>
      </c>
      <c r="K6" s="5" t="n"/>
      <c r="L6" s="5" t="inlineStr">
        <is>
          <t>Clos</t>
        </is>
      </c>
      <c r="M6" s="5">
        <f>IF(F6="Conforme","CLOS",IF(F6="Partiellement conforme","EN COURS",IF(F6="Non conforme","URGENT","")))</f>
        <v/>
      </c>
      <c r="N6" s="5" t="inlineStr"/>
    </row>
    <row r="7" ht="22" customHeight="1">
      <c r="A7" s="7" t="inlineStr">
        <is>
          <t>AUD-EXP-002</t>
        </is>
      </c>
      <c r="B7" s="7" t="inlineStr">
        <is>
          <t>ISO 9001 §8.6</t>
        </is>
      </c>
      <c r="C7" s="7" t="inlineStr">
        <is>
          <t>Conformité légale immigration</t>
        </is>
      </c>
      <c r="D7" s="7" t="inlineStr">
        <is>
          <t>Immigration</t>
        </is>
      </c>
      <c r="E7" s="7" t="inlineStr">
        <is>
          <t>Autorisations + visas</t>
        </is>
      </c>
      <c r="F7" s="7">
        <f>IF(A7="","",IFERROR(VLOOKUP(A7,'F01 - _Données Expatriés'!$A$6:$K$20,5,FALSE),""))</f>
        <v/>
      </c>
      <c r="G7" s="23" t="n">
        <v>45679</v>
      </c>
      <c r="H7" s="7" t="inlineStr">
        <is>
          <t>Auditeur Interne</t>
        </is>
      </c>
      <c r="I7" s="7" t="inlineStr">
        <is>
          <t>1 visa expiré</t>
        </is>
      </c>
      <c r="J7" s="7" t="inlineStr">
        <is>
          <t>Renouvellement immédiat</t>
        </is>
      </c>
      <c r="K7" s="23" t="n">
        <v>45703</v>
      </c>
      <c r="L7" s="7" t="inlineStr">
        <is>
          <t>En cours</t>
        </is>
      </c>
      <c r="M7" s="7">
        <f>IF(F7="Conforme","CLOS",IF(F7="Partiellement conforme","EN COURS",IF(F7="Non conforme","URGENT","")))</f>
        <v/>
      </c>
      <c r="N7" s="7" t="inlineStr"/>
    </row>
    <row r="8" ht="22" customHeight="1">
      <c r="A8" s="5" t="inlineStr">
        <is>
          <t>AUD-EXP-003</t>
        </is>
      </c>
      <c r="B8" s="5" t="inlineStr">
        <is>
          <t>ISO 14001 §6.1.2</t>
        </is>
      </c>
      <c r="C8" s="5" t="inlineStr">
        <is>
          <t>Évaluation risques pays</t>
        </is>
      </c>
      <c r="D8" s="5" t="inlineStr">
        <is>
          <t>Sécurité</t>
        </is>
      </c>
      <c r="E8" s="5" t="inlineStr">
        <is>
          <t>Matrice risques + plans</t>
        </is>
      </c>
      <c r="F8" s="5">
        <f>IF(A8="","",IFERROR(VLOOKUP(A8,'F01 - _Données Expatriés'!$A$6:$K$20,5,FALSE),""))</f>
        <v/>
      </c>
      <c r="G8" s="22" t="n">
        <v>45682</v>
      </c>
      <c r="H8" s="5" t="inlineStr">
        <is>
          <t>Auditeur Interne</t>
        </is>
      </c>
      <c r="I8" s="5" t="inlineStr">
        <is>
          <t>Aucun écart</t>
        </is>
      </c>
      <c r="J8" s="5" t="inlineStr">
        <is>
          <t>N/A</t>
        </is>
      </c>
      <c r="K8" s="5" t="n"/>
      <c r="L8" s="5" t="inlineStr">
        <is>
          <t>Clos</t>
        </is>
      </c>
      <c r="M8" s="5">
        <f>IF(F8="Conforme","CLOS",IF(F8="Partiellement conforme","EN COURS",IF(F8="Non conforme","URGENT","")))</f>
        <v/>
      </c>
      <c r="N8" s="5" t="inlineStr"/>
    </row>
    <row r="9" ht="22" customHeight="1">
      <c r="A9" s="7" t="inlineStr">
        <is>
          <t>AUD-EXP-004</t>
        </is>
      </c>
      <c r="B9" s="7" t="inlineStr">
        <is>
          <t>ISO 9001 §7.4</t>
        </is>
      </c>
      <c r="C9" s="7" t="inlineStr">
        <is>
          <t>Contrats expatriation complets</t>
        </is>
      </c>
      <c r="D9" s="7" t="inlineStr">
        <is>
          <t>Juridique</t>
        </is>
      </c>
      <c r="E9" s="7" t="inlineStr">
        <is>
          <t>Contrats signés</t>
        </is>
      </c>
      <c r="F9" s="7">
        <f>IF(A9="","",IFERROR(VLOOKUP(A9,'F01 - _Données Expatriés'!$A$6:$K$20,5,FALSE),""))</f>
        <v/>
      </c>
      <c r="G9" s="23" t="n">
        <v>45685</v>
      </c>
      <c r="H9" s="7" t="inlineStr">
        <is>
          <t>Auditeur Interne</t>
        </is>
      </c>
      <c r="I9" s="7" t="inlineStr">
        <is>
          <t>Aucun écart</t>
        </is>
      </c>
      <c r="J9" s="7" t="inlineStr">
        <is>
          <t>N/A</t>
        </is>
      </c>
      <c r="K9" s="7" t="n"/>
      <c r="L9" s="7" t="inlineStr">
        <is>
          <t>Clos</t>
        </is>
      </c>
      <c r="M9" s="7">
        <f>IF(F9="Conforme","CLOS",IF(F9="Partiellement conforme","EN COURS",IF(F9="Non conforme","URGENT","")))</f>
        <v/>
      </c>
      <c r="N9" s="7" t="inlineStr"/>
    </row>
    <row r="10" ht="22" customHeight="1">
      <c r="A10" s="5" t="n"/>
      <c r="B10" s="5" t="n"/>
      <c r="C10" s="5" t="n"/>
      <c r="D10" s="5" t="n"/>
      <c r="E10" s="5" t="n"/>
      <c r="F10" s="5">
        <f>IF(A10="","",IFERROR(VLOOKUP(A10,'F01 - _Données Expatriés'!$A$6:$K$20,5,FALSE),""))</f>
        <v/>
      </c>
      <c r="G10" s="5" t="n"/>
      <c r="H10" s="5" t="n"/>
      <c r="I10" s="5" t="n"/>
      <c r="J10" s="5" t="n"/>
      <c r="K10" s="5" t="n"/>
      <c r="L10" s="5" t="n"/>
      <c r="M10" s="5">
        <f>IF(F10="Conforme","CLOS",IF(F10="Partiellement conforme","EN COURS",IF(F10="Non conforme","URGENT","")))</f>
        <v/>
      </c>
      <c r="N10" s="5" t="n"/>
    </row>
    <row r="11" ht="22" customHeight="1">
      <c r="A11" s="7" t="n"/>
      <c r="B11" s="7" t="n"/>
      <c r="C11" s="7" t="n"/>
      <c r="D11" s="7" t="n"/>
      <c r="E11" s="7" t="n"/>
      <c r="F11" s="7">
        <f>IF(A11="","",IFERROR(VLOOKUP(A11,'F01 - _Données Expatriés'!$A$6:$K$20,5,FALSE),""))</f>
        <v/>
      </c>
      <c r="G11" s="7" t="n"/>
      <c r="H11" s="7" t="n"/>
      <c r="I11" s="7" t="n"/>
      <c r="J11" s="7" t="n"/>
      <c r="K11" s="7" t="n"/>
      <c r="L11" s="7" t="n"/>
      <c r="M11" s="7">
        <f>IF(F11="Conforme","CLOS",IF(F11="Partiellement conforme","EN COURS",IF(F11="Non conforme","URGENT","")))</f>
        <v/>
      </c>
      <c r="N11" s="7" t="n"/>
    </row>
    <row r="12" ht="22" customHeight="1">
      <c r="A12" s="5" t="n"/>
      <c r="B12" s="5" t="n"/>
      <c r="C12" s="5" t="n"/>
      <c r="D12" s="5" t="n"/>
      <c r="E12" s="5" t="n"/>
      <c r="F12" s="5">
        <f>IF(A12="","",IFERROR(VLOOKUP(A12,'F01 - _Données Expatriés'!$A$6:$K$20,5,FALSE),""))</f>
        <v/>
      </c>
      <c r="G12" s="5" t="n"/>
      <c r="H12" s="5" t="n"/>
      <c r="I12" s="5" t="n"/>
      <c r="J12" s="5" t="n"/>
      <c r="K12" s="5" t="n"/>
      <c r="L12" s="5" t="n"/>
      <c r="M12" s="5">
        <f>IF(F12="Conforme","CLOS",IF(F12="Partiellement conforme","EN COURS",IF(F12="Non conforme","URGENT","")))</f>
        <v/>
      </c>
      <c r="N12" s="5" t="n"/>
    </row>
    <row r="13" ht="22" customHeight="1">
      <c r="A13" s="7" t="n"/>
      <c r="B13" s="7" t="n"/>
      <c r="C13" s="7" t="n"/>
      <c r="D13" s="7" t="n"/>
      <c r="E13" s="7" t="n"/>
      <c r="F13" s="7">
        <f>IF(A13="","",IFERROR(VLOOKUP(A13,'F01 - _Données Expatriés'!$A$6:$K$20,5,FALSE),""))</f>
        <v/>
      </c>
      <c r="G13" s="7" t="n"/>
      <c r="H13" s="7" t="n"/>
      <c r="I13" s="7" t="n"/>
      <c r="J13" s="7" t="n"/>
      <c r="K13" s="7" t="n"/>
      <c r="L13" s="7" t="n"/>
      <c r="M13" s="7">
        <f>IF(F13="Conforme","CLOS",IF(F13="Partiellement conforme","EN COURS",IF(F13="Non conforme","URGENT","")))</f>
        <v/>
      </c>
      <c r="N13" s="7" t="n"/>
    </row>
    <row r="14" ht="22" customHeight="1">
      <c r="A14" s="5" t="n"/>
      <c r="B14" s="5" t="n"/>
      <c r="C14" s="5" t="n"/>
      <c r="D14" s="5" t="n"/>
      <c r="E14" s="5" t="n"/>
      <c r="F14" s="5">
        <f>IF(A14="","",IFERROR(VLOOKUP(A14,'F01 - _Données Expatriés'!$A$6:$K$20,5,FALSE),""))</f>
        <v/>
      </c>
      <c r="G14" s="5" t="n"/>
      <c r="H14" s="5" t="n"/>
      <c r="I14" s="5" t="n"/>
      <c r="J14" s="5" t="n"/>
      <c r="K14" s="5" t="n"/>
      <c r="L14" s="5" t="n"/>
      <c r="M14" s="5">
        <f>IF(F14="Conforme","CLOS",IF(F14="Partiellement conforme","EN COURS",IF(F14="Non conforme","URGENT","")))</f>
        <v/>
      </c>
      <c r="N14" s="5" t="n"/>
    </row>
    <row r="15" ht="22" customHeight="1">
      <c r="A15" s="7" t="n"/>
      <c r="B15" s="7" t="n"/>
      <c r="C15" s="7" t="n"/>
      <c r="D15" s="7" t="n"/>
      <c r="E15" s="7" t="n"/>
      <c r="F15" s="7">
        <f>IF(A15="","",IFERROR(VLOOKUP(A15,'F01 - _Données Expatriés'!$A$6:$K$20,5,FALSE),""))</f>
        <v/>
      </c>
      <c r="G15" s="7" t="n"/>
      <c r="H15" s="7" t="n"/>
      <c r="I15" s="7" t="n"/>
      <c r="J15" s="7" t="n"/>
      <c r="K15" s="7" t="n"/>
      <c r="L15" s="7" t="n"/>
      <c r="M15" s="7">
        <f>IF(F15="Conforme","CLOS",IF(F15="Partiellement conforme","EN COURS",IF(F15="Non conforme","URGENT","")))</f>
        <v/>
      </c>
      <c r="N15" s="7" t="n"/>
    </row>
    <row r="16" ht="22" customHeight="1">
      <c r="A16" s="5" t="n"/>
      <c r="B16" s="5" t="n"/>
      <c r="C16" s="5" t="n"/>
      <c r="D16" s="5" t="n"/>
      <c r="E16" s="5" t="n"/>
      <c r="F16" s="5">
        <f>IF(A16="","",IFERROR(VLOOKUP(A16,'F01 - _Données Expatriés'!$A$6:$K$20,5,FALSE),""))</f>
        <v/>
      </c>
      <c r="G16" s="5" t="n"/>
      <c r="H16" s="5" t="n"/>
      <c r="I16" s="5" t="n"/>
      <c r="J16" s="5" t="n"/>
      <c r="K16" s="5" t="n"/>
      <c r="L16" s="5" t="n"/>
      <c r="M16" s="5">
        <f>IF(F16="Conforme","CLOS",IF(F16="Partiellement conforme","EN COURS",IF(F16="Non conforme","URGENT","")))</f>
        <v/>
      </c>
      <c r="N16" s="5" t="n"/>
    </row>
    <row r="17" ht="22" customHeight="1">
      <c r="A17" s="7" t="n"/>
      <c r="B17" s="7" t="n"/>
      <c r="C17" s="7" t="n"/>
      <c r="D17" s="7" t="n"/>
      <c r="E17" s="7" t="n"/>
      <c r="F17" s="7">
        <f>IF(A17="","",IFERROR(VLOOKUP(A17,'F01 - _Données Expatriés'!$A$6:$K$20,5,FALSE),""))</f>
        <v/>
      </c>
      <c r="G17" s="7" t="n"/>
      <c r="H17" s="7" t="n"/>
      <c r="I17" s="7" t="n"/>
      <c r="J17" s="7" t="n"/>
      <c r="K17" s="7" t="n"/>
      <c r="L17" s="7" t="n"/>
      <c r="M17" s="7">
        <f>IF(F17="Conforme","CLOS",IF(F17="Partiellement conforme","EN COURS",IF(F17="Non conforme","URGENT","")))</f>
        <v/>
      </c>
      <c r="N17" s="7" t="n"/>
    </row>
    <row r="18" ht="22" customHeight="1">
      <c r="A18" s="5" t="n"/>
      <c r="B18" s="5" t="n"/>
      <c r="C18" s="5" t="n"/>
      <c r="D18" s="5" t="n"/>
      <c r="E18" s="5" t="n"/>
      <c r="F18" s="5">
        <f>IF(A18="","",IFERROR(VLOOKUP(A18,'F01 - _Données Expatriés'!$A$6:$K$20,5,FALSE),""))</f>
        <v/>
      </c>
      <c r="G18" s="5" t="n"/>
      <c r="H18" s="5" t="n"/>
      <c r="I18" s="5" t="n"/>
      <c r="J18" s="5" t="n"/>
      <c r="K18" s="5" t="n"/>
      <c r="L18" s="5" t="n"/>
      <c r="M18" s="5">
        <f>IF(F18="Conforme","CLOS",IF(F18="Partiellement conforme","EN COURS",IF(F18="Non conforme","URGENT","")))</f>
        <v/>
      </c>
      <c r="N18" s="5" t="n"/>
    </row>
    <row r="19" ht="22" customHeight="1">
      <c r="A19" s="7" t="n"/>
      <c r="B19" s="7" t="n"/>
      <c r="C19" s="7" t="n"/>
      <c r="D19" s="7" t="n"/>
      <c r="E19" s="7" t="n"/>
      <c r="F19" s="7">
        <f>IF(A19="","",IFERROR(VLOOKUP(A19,'F01 - _Données Expatriés'!$A$6:$K$20,5,FALSE),""))</f>
        <v/>
      </c>
      <c r="G19" s="7" t="n"/>
      <c r="H19" s="7" t="n"/>
      <c r="I19" s="7" t="n"/>
      <c r="J19" s="7" t="n"/>
      <c r="K19" s="7" t="n"/>
      <c r="L19" s="7" t="n"/>
      <c r="M19" s="7">
        <f>IF(F19="Conforme","CLOS",IF(F19="Partiellement conforme","EN COURS",IF(F19="Non conforme","URGENT","")))</f>
        <v/>
      </c>
      <c r="N19" s="7" t="n"/>
    </row>
    <row r="20" ht="22" customHeight="1">
      <c r="A20" s="5" t="n"/>
      <c r="B20" s="5" t="n"/>
      <c r="C20" s="5" t="n"/>
      <c r="D20" s="5" t="n"/>
      <c r="E20" s="5" t="n"/>
      <c r="F20" s="5">
        <f>IF(A20="","",IFERROR(VLOOKUP(A20,'F01 - _Données Expatriés'!$A$6:$K$20,5,FALSE),""))</f>
        <v/>
      </c>
      <c r="G20" s="5" t="n"/>
      <c r="H20" s="5" t="n"/>
      <c r="I20" s="5" t="n"/>
      <c r="J20" s="5" t="n"/>
      <c r="K20" s="5" t="n"/>
      <c r="L20" s="5" t="n"/>
      <c r="M20" s="5">
        <f>IF(F20="Conforme","CLOS",IF(F20="Partiellement conforme","EN COURS",IF(F20="Non conforme","URGENT","")))</f>
        <v/>
      </c>
      <c r="N20" s="5" t="n"/>
    </row>
    <row r="21" ht="22" customHeight="1">
      <c r="A21" s="7" t="n"/>
      <c r="B21" s="7" t="n"/>
      <c r="C21" s="7" t="n"/>
      <c r="D21" s="7" t="n"/>
      <c r="E21" s="7" t="n"/>
      <c r="F21" s="7">
        <f>IF(A21="","",IFERROR(VLOOKUP(A21,'F01 - _Données Expatriés'!$A$6:$K$20,5,FALSE),""))</f>
        <v/>
      </c>
      <c r="G21" s="7" t="n"/>
      <c r="H21" s="7" t="n"/>
      <c r="I21" s="7" t="n"/>
      <c r="J21" s="7" t="n"/>
      <c r="K21" s="7" t="n"/>
      <c r="L21" s="7" t="n"/>
      <c r="M21" s="7">
        <f>IF(F21="Conforme","CLOS",IF(F21="Partiellement conforme","EN COURS",IF(F21="Non conforme","URGENT","")))</f>
        <v/>
      </c>
      <c r="N21" s="7" t="n"/>
    </row>
    <row r="22" ht="22" customHeight="1">
      <c r="A22" s="5" t="n"/>
      <c r="B22" s="5" t="n"/>
      <c r="C22" s="5" t="n"/>
      <c r="D22" s="5" t="n"/>
      <c r="E22" s="5" t="n"/>
      <c r="F22" s="5">
        <f>IF(A22="","",IFERROR(VLOOKUP(A22,'F01 - _Données Expatriés'!$A$6:$K$20,5,FALSE),""))</f>
        <v/>
      </c>
      <c r="G22" s="5" t="n"/>
      <c r="H22" s="5" t="n"/>
      <c r="I22" s="5" t="n"/>
      <c r="J22" s="5" t="n"/>
      <c r="K22" s="5" t="n"/>
      <c r="L22" s="5" t="n"/>
      <c r="M22" s="5">
        <f>IF(F22="Conforme","CLOS",IF(F22="Partiellement conforme","EN COURS",IF(F22="Non conforme","URGENT","")))</f>
        <v/>
      </c>
      <c r="N22" s="5" t="n"/>
    </row>
    <row r="23" ht="22" customHeight="1">
      <c r="A23" s="7" t="n"/>
      <c r="B23" s="7" t="n"/>
      <c r="C23" s="7" t="n"/>
      <c r="D23" s="7" t="n"/>
      <c r="E23" s="7" t="n"/>
      <c r="F23" s="7">
        <f>IF(A23="","",IFERROR(VLOOKUP(A23,'F01 - _Données Expatriés'!$A$6:$K$20,5,FALSE),""))</f>
        <v/>
      </c>
      <c r="G23" s="7" t="n"/>
      <c r="H23" s="7" t="n"/>
      <c r="I23" s="7" t="n"/>
      <c r="J23" s="7" t="n"/>
      <c r="K23" s="7" t="n"/>
      <c r="L23" s="7" t="n"/>
      <c r="M23" s="7">
        <f>IF(F23="Conforme","CLOS",IF(F23="Partiellement conforme","EN COURS",IF(F23="Non conforme","URGENT","")))</f>
        <v/>
      </c>
      <c r="N23" s="7" t="n"/>
    </row>
    <row r="24" ht="22" customHeight="1">
      <c r="A24" s="5" t="n"/>
      <c r="B24" s="5" t="n"/>
      <c r="C24" s="5" t="n"/>
      <c r="D24" s="5" t="n"/>
      <c r="E24" s="5" t="n"/>
      <c r="F24" s="5">
        <f>IF(A24="","",IFERROR(VLOOKUP(A24,'F01 - _Données Expatriés'!$A$6:$K$20,5,FALSE),""))</f>
        <v/>
      </c>
      <c r="G24" s="5" t="n"/>
      <c r="H24" s="5" t="n"/>
      <c r="I24" s="5" t="n"/>
      <c r="J24" s="5" t="n"/>
      <c r="K24" s="5" t="n"/>
      <c r="L24" s="5" t="n"/>
      <c r="M24" s="5">
        <f>IF(F24="Conforme","CLOS",IF(F24="Partiellement conforme","EN COURS",IF(F24="Non conforme","URGENT","")))</f>
        <v/>
      </c>
      <c r="N24" s="5" t="n"/>
    </row>
    <row r="25" ht="22" customHeight="1">
      <c r="A25" s="7" t="n"/>
      <c r="B25" s="7" t="n"/>
      <c r="C25" s="7" t="n"/>
      <c r="D25" s="7" t="n"/>
      <c r="E25" s="7" t="n"/>
      <c r="F25" s="7">
        <f>IF(A25="","",IFERROR(VLOOKUP(A25,'F01 - _Données Expatriés'!$A$6:$K$20,5,FALSE),""))</f>
        <v/>
      </c>
      <c r="G25" s="7" t="n"/>
      <c r="H25" s="7" t="n"/>
      <c r="I25" s="7" t="n"/>
      <c r="J25" s="7" t="n"/>
      <c r="K25" s="7" t="n"/>
      <c r="L25" s="7" t="n"/>
      <c r="M25" s="7">
        <f>IF(F25="Conforme","CLOS",IF(F25="Partiellement conforme","EN COURS",IF(F25="Non conforme","URGENT","")))</f>
        <v/>
      </c>
      <c r="N25" s="7" t="n"/>
    </row>
    <row r="26" ht="22" customHeight="1">
      <c r="A26" s="5" t="n"/>
      <c r="B26" s="5" t="n"/>
      <c r="C26" s="5" t="n"/>
      <c r="D26" s="5" t="n"/>
      <c r="E26" s="5" t="n"/>
      <c r="F26" s="5">
        <f>IF(A26="","",IFERROR(VLOOKUP(A26,'F01 - _Données Expatriés'!$A$6:$K$20,5,FALSE),""))</f>
        <v/>
      </c>
      <c r="G26" s="5" t="n"/>
      <c r="H26" s="5" t="n"/>
      <c r="I26" s="5" t="n"/>
      <c r="J26" s="5" t="n"/>
      <c r="K26" s="5" t="n"/>
      <c r="L26" s="5" t="n"/>
      <c r="M26" s="5">
        <f>IF(F26="Conforme","CLOS",IF(F26="Partiellement conforme","EN COURS",IF(F26="Non conforme","URGENT","")))</f>
        <v/>
      </c>
      <c r="N26" s="5" t="n"/>
    </row>
    <row r="27" ht="22" customHeight="1">
      <c r="A27" s="7" t="n"/>
      <c r="B27" s="7" t="n"/>
      <c r="C27" s="7" t="n"/>
      <c r="D27" s="7" t="n"/>
      <c r="E27" s="7" t="n"/>
      <c r="F27" s="7">
        <f>IF(A27="","",IFERROR(VLOOKUP(A27,'F01 - _Données Expatriés'!$A$6:$K$20,5,FALSE),""))</f>
        <v/>
      </c>
      <c r="G27" s="7" t="n"/>
      <c r="H27" s="7" t="n"/>
      <c r="I27" s="7" t="n"/>
      <c r="J27" s="7" t="n"/>
      <c r="K27" s="7" t="n"/>
      <c r="L27" s="7" t="n"/>
      <c r="M27" s="7">
        <f>IF(F27="Conforme","CLOS",IF(F27="Partiellement conforme","EN COURS",IF(F27="Non conforme","URGENT","")))</f>
        <v/>
      </c>
      <c r="N27" s="7" t="n"/>
    </row>
    <row r="28" ht="22" customHeight="1">
      <c r="A28" s="5" t="n"/>
      <c r="B28" s="5" t="n"/>
      <c r="C28" s="5" t="n"/>
      <c r="D28" s="5" t="n"/>
      <c r="E28" s="5" t="n"/>
      <c r="F28" s="5">
        <f>IF(A28="","",IFERROR(VLOOKUP(A28,'F01 - _Données Expatriés'!$A$6:$K$20,5,FALSE),""))</f>
        <v/>
      </c>
      <c r="G28" s="5" t="n"/>
      <c r="H28" s="5" t="n"/>
      <c r="I28" s="5" t="n"/>
      <c r="J28" s="5" t="n"/>
      <c r="K28" s="5" t="n"/>
      <c r="L28" s="5" t="n"/>
      <c r="M28" s="5">
        <f>IF(F28="Conforme","CLOS",IF(F28="Partiellement conforme","EN COURS",IF(F28="Non conforme","URGENT","")))</f>
        <v/>
      </c>
      <c r="N28" s="5" t="n"/>
    </row>
    <row r="29" ht="22" customHeight="1">
      <c r="A29" s="7" t="n"/>
      <c r="B29" s="7" t="n"/>
      <c r="C29" s="7" t="n"/>
      <c r="D29" s="7" t="n"/>
      <c r="E29" s="7" t="n"/>
      <c r="F29" s="7">
        <f>IF(A29="","",IFERROR(VLOOKUP(A29,'F01 - _Données Expatriés'!$A$6:$K$20,5,FALSE),""))</f>
        <v/>
      </c>
      <c r="G29" s="7" t="n"/>
      <c r="H29" s="7" t="n"/>
      <c r="I29" s="7" t="n"/>
      <c r="J29" s="7" t="n"/>
      <c r="K29" s="7" t="n"/>
      <c r="L29" s="7" t="n"/>
      <c r="M29" s="7">
        <f>IF(F29="Conforme","CLOS",IF(F29="Partiellement conforme","EN COURS",IF(F29="Non conforme","URGENT","")))</f>
        <v/>
      </c>
      <c r="N29" s="7" t="n"/>
    </row>
    <row r="30" ht="22" customHeight="1">
      <c r="A30" s="5" t="n"/>
      <c r="B30" s="5" t="n"/>
      <c r="C30" s="5" t="n"/>
      <c r="D30" s="5" t="n"/>
      <c r="E30" s="5" t="n"/>
      <c r="F30" s="5">
        <f>IF(A30="","",IFERROR(VLOOKUP(A30,'F01 - _Données Expatriés'!$A$6:$K$20,5,FALSE),""))</f>
        <v/>
      </c>
      <c r="G30" s="5" t="n"/>
      <c r="H30" s="5" t="n"/>
      <c r="I30" s="5" t="n"/>
      <c r="J30" s="5" t="n"/>
      <c r="K30" s="5" t="n"/>
      <c r="L30" s="5" t="n"/>
      <c r="M30" s="5">
        <f>IF(F30="Conforme","CLOS",IF(F30="Partiellement conforme","EN COURS",IF(F30="Non conforme","URGENT","")))</f>
        <v/>
      </c>
      <c r="N30" s="5" t="n"/>
    </row>
    <row r="31" ht="22" customHeight="1">
      <c r="A31" s="7" t="n"/>
      <c r="B31" s="7" t="n"/>
      <c r="C31" s="7" t="n"/>
      <c r="D31" s="7" t="n"/>
      <c r="E31" s="7" t="n"/>
      <c r="F31" s="7">
        <f>IF(A31="","",IFERROR(VLOOKUP(A31,'F01 - _Données Expatriés'!$A$6:$K$20,5,FALSE),""))</f>
        <v/>
      </c>
      <c r="G31" s="7" t="n"/>
      <c r="H31" s="7" t="n"/>
      <c r="I31" s="7" t="n"/>
      <c r="J31" s="7" t="n"/>
      <c r="K31" s="7" t="n"/>
      <c r="L31" s="7" t="n"/>
      <c r="M31" s="7">
        <f>IF(F31="Conforme","CLOS",IF(F31="Partiellement conforme","EN COURS",IF(F31="Non conforme","URGENT","")))</f>
        <v/>
      </c>
      <c r="N31" s="7" t="n"/>
    </row>
    <row r="32" ht="22" customHeight="1">
      <c r="A32" s="5" t="n"/>
      <c r="B32" s="5" t="n"/>
      <c r="C32" s="5" t="n"/>
      <c r="D32" s="5" t="n"/>
      <c r="E32" s="5" t="n"/>
      <c r="F32" s="5">
        <f>IF(A32="","",IFERROR(VLOOKUP(A32,'F01 - _Données Expatriés'!$A$6:$K$20,5,FALSE),""))</f>
        <v/>
      </c>
      <c r="G32" s="5" t="n"/>
      <c r="H32" s="5" t="n"/>
      <c r="I32" s="5" t="n"/>
      <c r="J32" s="5" t="n"/>
      <c r="K32" s="5" t="n"/>
      <c r="L32" s="5" t="n"/>
      <c r="M32" s="5">
        <f>IF(F32="Conforme","CLOS",IF(F32="Partiellement conforme","EN COURS",IF(F32="Non conforme","URGENT","")))</f>
        <v/>
      </c>
      <c r="N32" s="5" t="n"/>
    </row>
    <row r="33" ht="22" customHeight="1">
      <c r="A33" s="7" t="n"/>
      <c r="B33" s="7" t="n"/>
      <c r="C33" s="7" t="n"/>
      <c r="D33" s="7" t="n"/>
      <c r="E33" s="7" t="n"/>
      <c r="F33" s="7">
        <f>IF(A33="","",IFERROR(VLOOKUP(A33,'F01 - _Données Expatriés'!$A$6:$K$20,5,FALSE),""))</f>
        <v/>
      </c>
      <c r="G33" s="7" t="n"/>
      <c r="H33" s="7" t="n"/>
      <c r="I33" s="7" t="n"/>
      <c r="J33" s="7" t="n"/>
      <c r="K33" s="7" t="n"/>
      <c r="L33" s="7" t="n"/>
      <c r="M33" s="7">
        <f>IF(F33="Conforme","CLOS",IF(F33="Partiellement conforme","EN COURS",IF(F33="Non conforme","URGENT","")))</f>
        <v/>
      </c>
      <c r="N33" s="7" t="n"/>
    </row>
    <row r="34" ht="22" customHeight="1">
      <c r="A34" s="5" t="n"/>
      <c r="B34" s="5" t="n"/>
      <c r="C34" s="5" t="n"/>
      <c r="D34" s="5" t="n"/>
      <c r="E34" s="5" t="n"/>
      <c r="F34" s="5">
        <f>IF(A34="","",IFERROR(VLOOKUP(A34,'F01 - _Données Expatriés'!$A$6:$K$20,5,FALSE),""))</f>
        <v/>
      </c>
      <c r="G34" s="5" t="n"/>
      <c r="H34" s="5" t="n"/>
      <c r="I34" s="5" t="n"/>
      <c r="J34" s="5" t="n"/>
      <c r="K34" s="5" t="n"/>
      <c r="L34" s="5" t="n"/>
      <c r="M34" s="5">
        <f>IF(F34="Conforme","CLOS",IF(F34="Partiellement conforme","EN COURS",IF(F34="Non conforme","URGENT","")))</f>
        <v/>
      </c>
      <c r="N34" s="5" t="n"/>
    </row>
    <row r="35" ht="22" customHeight="1">
      <c r="A35" s="7" t="n"/>
      <c r="B35" s="7" t="n"/>
      <c r="C35" s="7" t="n"/>
      <c r="D35" s="7" t="n"/>
      <c r="E35" s="7" t="n"/>
      <c r="F35" s="7">
        <f>IF(A35="","",IFERROR(VLOOKUP(A35,'F01 - _Données Expatriés'!$A$6:$K$20,5,FALSE),""))</f>
        <v/>
      </c>
      <c r="G35" s="7" t="n"/>
      <c r="H35" s="7" t="n"/>
      <c r="I35" s="7" t="n"/>
      <c r="J35" s="7" t="n"/>
      <c r="K35" s="7" t="n"/>
      <c r="L35" s="7" t="n"/>
      <c r="M35" s="7">
        <f>IF(F35="Conforme","CLOS",IF(F35="Partiellement conforme","EN COURS",IF(F35="Non conforme","URGENT","")))</f>
        <v/>
      </c>
      <c r="N35" s="7" t="n"/>
    </row>
    <row r="36" ht="22" customHeight="1">
      <c r="A36" s="5" t="n"/>
      <c r="B36" s="5" t="n"/>
      <c r="C36" s="5" t="n"/>
      <c r="D36" s="5" t="n"/>
      <c r="E36" s="5" t="n"/>
      <c r="F36" s="5">
        <f>IF(A36="","",IFERROR(VLOOKUP(A36,'F01 - _Données Expatriés'!$A$6:$K$20,5,FALSE),""))</f>
        <v/>
      </c>
      <c r="G36" s="5" t="n"/>
      <c r="H36" s="5" t="n"/>
      <c r="I36" s="5" t="n"/>
      <c r="J36" s="5" t="n"/>
      <c r="K36" s="5" t="n"/>
      <c r="L36" s="5" t="n"/>
      <c r="M36" s="5">
        <f>IF(F36="Conforme","CLOS",IF(F36="Partiellement conforme","EN COURS",IF(F36="Non conforme","URGENT","")))</f>
        <v/>
      </c>
      <c r="N36" s="5" t="n"/>
    </row>
    <row r="37" ht="22" customHeight="1">
      <c r="A37" s="7" t="n"/>
      <c r="B37" s="7" t="n"/>
      <c r="C37" s="7" t="n"/>
      <c r="D37" s="7" t="n"/>
      <c r="E37" s="7" t="n"/>
      <c r="F37" s="7">
        <f>IF(A37="","",IFERROR(VLOOKUP(A37,'F01 - _Données Expatriés'!$A$6:$K$20,5,FALSE),""))</f>
        <v/>
      </c>
      <c r="G37" s="7" t="n"/>
      <c r="H37" s="7" t="n"/>
      <c r="I37" s="7" t="n"/>
      <c r="J37" s="7" t="n"/>
      <c r="K37" s="7" t="n"/>
      <c r="L37" s="7" t="n"/>
      <c r="M37" s="7">
        <f>IF(F37="Conforme","CLOS",IF(F37="Partiellement conforme","EN COURS",IF(F37="Non conforme","URGENT","")))</f>
        <v/>
      </c>
      <c r="N37" s="7" t="n"/>
    </row>
    <row r="38" ht="22" customHeight="1">
      <c r="A38" s="5" t="n"/>
      <c r="B38" s="5" t="n"/>
      <c r="C38" s="5" t="n"/>
      <c r="D38" s="5" t="n"/>
      <c r="E38" s="5" t="n"/>
      <c r="F38" s="5">
        <f>IF(A38="","",IFERROR(VLOOKUP(A38,'F01 - _Données Expatriés'!$A$6:$K$20,5,FALSE),""))</f>
        <v/>
      </c>
      <c r="G38" s="5" t="n"/>
      <c r="H38" s="5" t="n"/>
      <c r="I38" s="5" t="n"/>
      <c r="J38" s="5" t="n"/>
      <c r="K38" s="5" t="n"/>
      <c r="L38" s="5" t="n"/>
      <c r="M38" s="5">
        <f>IF(F38="Conforme","CLOS",IF(F38="Partiellement conforme","EN COURS",IF(F38="Non conforme","URGENT","")))</f>
        <v/>
      </c>
      <c r="N38" s="5" t="n"/>
    </row>
    <row r="39" ht="22" customHeight="1">
      <c r="A39" s="7" t="n"/>
      <c r="B39" s="7" t="n"/>
      <c r="C39" s="7" t="n"/>
      <c r="D39" s="7" t="n"/>
      <c r="E39" s="7" t="n"/>
      <c r="F39" s="7">
        <f>IF(A39="","",IFERROR(VLOOKUP(A39,'F01 - _Données Expatriés'!$A$6:$K$20,5,FALSE),""))</f>
        <v/>
      </c>
      <c r="G39" s="7" t="n"/>
      <c r="H39" s="7" t="n"/>
      <c r="I39" s="7" t="n"/>
      <c r="J39" s="7" t="n"/>
      <c r="K39" s="7" t="n"/>
      <c r="L39" s="7" t="n"/>
      <c r="M39" s="7">
        <f>IF(F39="Conforme","CLOS",IF(F39="Partiellement conforme","EN COURS",IF(F39="Non conforme","URGENT","")))</f>
        <v/>
      </c>
      <c r="N39" s="7" t="n"/>
    </row>
    <row r="40" ht="22" customHeight="1">
      <c r="A40" s="5" t="n"/>
      <c r="B40" s="5" t="n"/>
      <c r="C40" s="5" t="n"/>
      <c r="D40" s="5" t="n"/>
      <c r="E40" s="5" t="n"/>
      <c r="F40" s="5">
        <f>IF(A40="","",IFERROR(VLOOKUP(A40,'F01 - _Données Expatriés'!$A$6:$K$20,5,FALSE),""))</f>
        <v/>
      </c>
      <c r="G40" s="5" t="n"/>
      <c r="H40" s="5" t="n"/>
      <c r="I40" s="5" t="n"/>
      <c r="J40" s="5" t="n"/>
      <c r="K40" s="5" t="n"/>
      <c r="L40" s="5" t="n"/>
      <c r="M40" s="5">
        <f>IF(F40="Conforme","CLOS",IF(F40="Partiellement conforme","EN COURS",IF(F40="Non conforme","URGENT","")))</f>
        <v/>
      </c>
      <c r="N40" s="5" t="n"/>
    </row>
    <row r="41" ht="22" customHeight="1">
      <c r="A41" s="7" t="n"/>
      <c r="B41" s="7" t="n"/>
      <c r="C41" s="7" t="n"/>
      <c r="D41" s="7" t="n"/>
      <c r="E41" s="7" t="n"/>
      <c r="F41" s="7">
        <f>IF(A41="","",IFERROR(VLOOKUP(A41,'F01 - _Données Expatriés'!$A$6:$K$20,5,FALSE),""))</f>
        <v/>
      </c>
      <c r="G41" s="7" t="n"/>
      <c r="H41" s="7" t="n"/>
      <c r="I41" s="7" t="n"/>
      <c r="J41" s="7" t="n"/>
      <c r="K41" s="7" t="n"/>
      <c r="L41" s="7" t="n"/>
      <c r="M41" s="7">
        <f>IF(F41="Conforme","CLOS",IF(F41="Partiellement conforme","EN COURS",IF(F41="Non conforme","URGENT","")))</f>
        <v/>
      </c>
      <c r="N41" s="7" t="n"/>
    </row>
    <row r="42" ht="22" customHeight="1">
      <c r="A42" s="5" t="n"/>
      <c r="B42" s="5" t="n"/>
      <c r="C42" s="5" t="n"/>
      <c r="D42" s="5" t="n"/>
      <c r="E42" s="5" t="n"/>
      <c r="F42" s="5">
        <f>IF(A42="","",IFERROR(VLOOKUP(A42,'F01 - _Données Expatriés'!$A$6:$K$20,5,FALSE),""))</f>
        <v/>
      </c>
      <c r="G42" s="5" t="n"/>
      <c r="H42" s="5" t="n"/>
      <c r="I42" s="5" t="n"/>
      <c r="J42" s="5" t="n"/>
      <c r="K42" s="5" t="n"/>
      <c r="L42" s="5" t="n"/>
      <c r="M42" s="5">
        <f>IF(F42="Conforme","CLOS",IF(F42="Partiellement conforme","EN COURS",IF(F42="Non conforme","URGENT","")))</f>
        <v/>
      </c>
      <c r="N42" s="5" t="n"/>
    </row>
    <row r="43" ht="22" customHeight="1">
      <c r="A43" s="7" t="n"/>
      <c r="B43" s="7" t="n"/>
      <c r="C43" s="7" t="n"/>
      <c r="D43" s="7" t="n"/>
      <c r="E43" s="7" t="n"/>
      <c r="F43" s="7">
        <f>IF(A43="","",IFERROR(VLOOKUP(A43,'F01 - _Données Expatriés'!$A$6:$K$20,5,FALSE),""))</f>
        <v/>
      </c>
      <c r="G43" s="7" t="n"/>
      <c r="H43" s="7" t="n"/>
      <c r="I43" s="7" t="n"/>
      <c r="J43" s="7" t="n"/>
      <c r="K43" s="7" t="n"/>
      <c r="L43" s="7" t="n"/>
      <c r="M43" s="7">
        <f>IF(F43="Conforme","CLOS",IF(F43="Partiellement conforme","EN COURS",IF(F43="Non conforme","URGENT","")))</f>
        <v/>
      </c>
      <c r="N43" s="7" t="n"/>
    </row>
    <row r="44" ht="22" customHeight="1">
      <c r="A44" s="5" t="n"/>
      <c r="B44" s="5" t="n"/>
      <c r="C44" s="5" t="n"/>
      <c r="D44" s="5" t="n"/>
      <c r="E44" s="5" t="n"/>
      <c r="F44" s="5">
        <f>IF(A44="","",IFERROR(VLOOKUP(A44,'F01 - _Données Expatriés'!$A$6:$K$20,5,FALSE),""))</f>
        <v/>
      </c>
      <c r="G44" s="5" t="n"/>
      <c r="H44" s="5" t="n"/>
      <c r="I44" s="5" t="n"/>
      <c r="J44" s="5" t="n"/>
      <c r="K44" s="5" t="n"/>
      <c r="L44" s="5" t="n"/>
      <c r="M44" s="5">
        <f>IF(F44="Conforme","CLOS",IF(F44="Partiellement conforme","EN COURS",IF(F44="Non conforme","URGENT","")))</f>
        <v/>
      </c>
      <c r="N44" s="5" t="n"/>
    </row>
    <row r="45" ht="22" customHeight="1">
      <c r="A45" s="7" t="n"/>
      <c r="B45" s="7" t="n"/>
      <c r="C45" s="7" t="n"/>
      <c r="D45" s="7" t="n"/>
      <c r="E45" s="7" t="n"/>
      <c r="F45" s="7">
        <f>IF(A45="","",IFERROR(VLOOKUP(A45,'F01 - _Données Expatriés'!$A$6:$K$20,5,FALSE),""))</f>
        <v/>
      </c>
      <c r="G45" s="7" t="n"/>
      <c r="H45" s="7" t="n"/>
      <c r="I45" s="7" t="n"/>
      <c r="J45" s="7" t="n"/>
      <c r="K45" s="7" t="n"/>
      <c r="L45" s="7" t="n"/>
      <c r="M45" s="7">
        <f>IF(F45="Conforme","CLOS",IF(F45="Partiellement conforme","EN COURS",IF(F45="Non conforme","URGENT","")))</f>
        <v/>
      </c>
      <c r="N45" s="7" t="n"/>
    </row>
    <row r="46" ht="22" customHeight="1">
      <c r="A46" s="5" t="n"/>
      <c r="B46" s="5" t="n"/>
      <c r="C46" s="5" t="n"/>
      <c r="D46" s="5" t="n"/>
      <c r="E46" s="5" t="n"/>
      <c r="F46" s="5">
        <f>IF(A46="","",IFERROR(VLOOKUP(A46,'F01 - _Données Expatriés'!$A$6:$K$20,5,FALSE),""))</f>
        <v/>
      </c>
      <c r="G46" s="5" t="n"/>
      <c r="H46" s="5" t="n"/>
      <c r="I46" s="5" t="n"/>
      <c r="J46" s="5" t="n"/>
      <c r="K46" s="5" t="n"/>
      <c r="L46" s="5" t="n"/>
      <c r="M46" s="5">
        <f>IF(F46="Conforme","CLOS",IF(F46="Partiellement conforme","EN COURS",IF(F46="Non conforme","URGENT","")))</f>
        <v/>
      </c>
      <c r="N46" s="5" t="n"/>
    </row>
    <row r="47" ht="22" customHeight="1">
      <c r="A47" s="7" t="n"/>
      <c r="B47" s="7" t="n"/>
      <c r="C47" s="7" t="n"/>
      <c r="D47" s="7" t="n"/>
      <c r="E47" s="7" t="n"/>
      <c r="F47" s="7">
        <f>IF(A47="","",IFERROR(VLOOKUP(A47,'F01 - _Données Expatriés'!$A$6:$K$20,5,FALSE),""))</f>
        <v/>
      </c>
      <c r="G47" s="7" t="n"/>
      <c r="H47" s="7" t="n"/>
      <c r="I47" s="7" t="n"/>
      <c r="J47" s="7" t="n"/>
      <c r="K47" s="7" t="n"/>
      <c r="L47" s="7" t="n"/>
      <c r="M47" s="7">
        <f>IF(F47="Conforme","CLOS",IF(F47="Partiellement conforme","EN COURS",IF(F47="Non conforme","URGENT","")))</f>
        <v/>
      </c>
      <c r="N47" s="7" t="n"/>
    </row>
    <row r="48" ht="22" customHeight="1">
      <c r="A48" s="5" t="n"/>
      <c r="B48" s="5" t="n"/>
      <c r="C48" s="5" t="n"/>
      <c r="D48" s="5" t="n"/>
      <c r="E48" s="5" t="n"/>
      <c r="F48" s="5">
        <f>IF(A48="","",IFERROR(VLOOKUP(A48,'F01 - _Données Expatriés'!$A$6:$K$20,5,FALSE),""))</f>
        <v/>
      </c>
      <c r="G48" s="5" t="n"/>
      <c r="H48" s="5" t="n"/>
      <c r="I48" s="5" t="n"/>
      <c r="J48" s="5" t="n"/>
      <c r="K48" s="5" t="n"/>
      <c r="L48" s="5" t="n"/>
      <c r="M48" s="5">
        <f>IF(F48="Conforme","CLOS",IF(F48="Partiellement conforme","EN COURS",IF(F48="Non conforme","URGENT","")))</f>
        <v/>
      </c>
      <c r="N48" s="5" t="n"/>
    </row>
    <row r="49" ht="22" customHeight="1">
      <c r="A49" s="7" t="n"/>
      <c r="B49" s="7" t="n"/>
      <c r="C49" s="7" t="n"/>
      <c r="D49" s="7" t="n"/>
      <c r="E49" s="7" t="n"/>
      <c r="F49" s="7">
        <f>IF(A49="","",IFERROR(VLOOKUP(A49,'F01 - _Données Expatriés'!$A$6:$K$20,5,FALSE),""))</f>
        <v/>
      </c>
      <c r="G49" s="7" t="n"/>
      <c r="H49" s="7" t="n"/>
      <c r="I49" s="7" t="n"/>
      <c r="J49" s="7" t="n"/>
      <c r="K49" s="7" t="n"/>
      <c r="L49" s="7" t="n"/>
      <c r="M49" s="7">
        <f>IF(F49="Conforme","CLOS",IF(F49="Partiellement conforme","EN COURS",IF(F49="Non conforme","URGENT","")))</f>
        <v/>
      </c>
      <c r="N49" s="7" t="n"/>
    </row>
    <row r="50" ht="22" customHeight="1">
      <c r="A50" s="5" t="n"/>
      <c r="B50" s="5" t="n"/>
      <c r="C50" s="5" t="n"/>
      <c r="D50" s="5" t="n"/>
      <c r="E50" s="5" t="n"/>
      <c r="F50" s="5">
        <f>IF(A50="","",IFERROR(VLOOKUP(A50,'F01 - _Données Expatriés'!$A$6:$K$20,5,FALSE),""))</f>
        <v/>
      </c>
      <c r="G50" s="5" t="n"/>
      <c r="H50" s="5" t="n"/>
      <c r="I50" s="5" t="n"/>
      <c r="J50" s="5" t="n"/>
      <c r="K50" s="5" t="n"/>
      <c r="L50" s="5" t="n"/>
      <c r="M50" s="5">
        <f>IF(F50="Conforme","CLOS",IF(F50="Partiellement conforme","EN COURS",IF(F50="Non conforme","URGENT","")))</f>
        <v/>
      </c>
      <c r="N50" s="5" t="n"/>
    </row>
    <row r="51" ht="22" customHeight="1">
      <c r="A51" s="7" t="n"/>
      <c r="B51" s="7" t="n"/>
      <c r="C51" s="7" t="n"/>
      <c r="D51" s="7" t="n"/>
      <c r="E51" s="7" t="n"/>
      <c r="F51" s="7">
        <f>IF(A51="","",IFERROR(VLOOKUP(A51,'F01 - _Données Expatriés'!$A$6:$K$20,5,FALSE),""))</f>
        <v/>
      </c>
      <c r="G51" s="7" t="n"/>
      <c r="H51" s="7" t="n"/>
      <c r="I51" s="7" t="n"/>
      <c r="J51" s="7" t="n"/>
      <c r="K51" s="7" t="n"/>
      <c r="L51" s="7" t="n"/>
      <c r="M51" s="7">
        <f>IF(F51="Conforme","CLOS",IF(F51="Partiellement conforme","EN COURS",IF(F51="Non conforme","URGENT","")))</f>
        <v/>
      </c>
      <c r="N51" s="7" t="n"/>
    </row>
    <row r="52" ht="22" customHeight="1">
      <c r="A52" s="5" t="n"/>
      <c r="B52" s="5" t="n"/>
      <c r="C52" s="5" t="n"/>
      <c r="D52" s="5" t="n"/>
      <c r="E52" s="5" t="n"/>
      <c r="F52" s="5">
        <f>IF(A52="","",IFERROR(VLOOKUP(A52,'F01 - _Données Expatriés'!$A$6:$K$20,5,FALSE),""))</f>
        <v/>
      </c>
      <c r="G52" s="5" t="n"/>
      <c r="H52" s="5" t="n"/>
      <c r="I52" s="5" t="n"/>
      <c r="J52" s="5" t="n"/>
      <c r="K52" s="5" t="n"/>
      <c r="L52" s="5" t="n"/>
      <c r="M52" s="5">
        <f>IF(F52="Conforme","CLOS",IF(F52="Partiellement conforme","EN COURS",IF(F52="Non conforme","URGENT","")))</f>
        <v/>
      </c>
      <c r="N52" s="5" t="n"/>
    </row>
    <row r="53" ht="22" customHeight="1">
      <c r="A53" s="7" t="n"/>
      <c r="B53" s="7" t="n"/>
      <c r="C53" s="7" t="n"/>
      <c r="D53" s="7" t="n"/>
      <c r="E53" s="7" t="n"/>
      <c r="F53" s="7">
        <f>IF(A53="","",IFERROR(VLOOKUP(A53,'F01 - _Données Expatriés'!$A$6:$K$20,5,FALSE),""))</f>
        <v/>
      </c>
      <c r="G53" s="7" t="n"/>
      <c r="H53" s="7" t="n"/>
      <c r="I53" s="7" t="n"/>
      <c r="J53" s="7" t="n"/>
      <c r="K53" s="7" t="n"/>
      <c r="L53" s="7" t="n"/>
      <c r="M53" s="7">
        <f>IF(F53="Conforme","CLOS",IF(F53="Partiellement conforme","EN COURS",IF(F53="Non conforme","URGENT","")))</f>
        <v/>
      </c>
      <c r="N53" s="7" t="n"/>
    </row>
    <row r="54" ht="22" customHeight="1">
      <c r="A54" s="5" t="n"/>
      <c r="B54" s="5" t="n"/>
      <c r="C54" s="5" t="n"/>
      <c r="D54" s="5" t="n"/>
      <c r="E54" s="5" t="n"/>
      <c r="F54" s="5">
        <f>IF(A54="","",IFERROR(VLOOKUP(A54,'F01 - _Données Expatriés'!$A$6:$K$20,5,FALSE),""))</f>
        <v/>
      </c>
      <c r="G54" s="5" t="n"/>
      <c r="H54" s="5" t="n"/>
      <c r="I54" s="5" t="n"/>
      <c r="J54" s="5" t="n"/>
      <c r="K54" s="5" t="n"/>
      <c r="L54" s="5" t="n"/>
      <c r="M54" s="5">
        <f>IF(F54="Conforme","CLOS",IF(F54="Partiellement conforme","EN COURS",IF(F54="Non conforme","URGENT","")))</f>
        <v/>
      </c>
      <c r="N54" s="5" t="n"/>
    </row>
    <row r="55" ht="22" customHeight="1">
      <c r="A55" s="7" t="n"/>
      <c r="B55" s="7" t="n"/>
      <c r="C55" s="7" t="n"/>
      <c r="D55" s="7" t="n"/>
      <c r="E55" s="7" t="n"/>
      <c r="F55" s="7">
        <f>IF(A55="","",IFERROR(VLOOKUP(A55,'F01 - _Données Expatriés'!$A$6:$K$20,5,FALSE),""))</f>
        <v/>
      </c>
      <c r="G55" s="7" t="n"/>
      <c r="H55" s="7" t="n"/>
      <c r="I55" s="7" t="n"/>
      <c r="J55" s="7" t="n"/>
      <c r="K55" s="7" t="n"/>
      <c r="L55" s="7" t="n"/>
      <c r="M55" s="7">
        <f>IF(F55="Conforme","CLOS",IF(F55="Partiellement conforme","EN COURS",IF(F55="Non conforme","URGENT","")))</f>
        <v/>
      </c>
      <c r="N55" s="7" t="n"/>
    </row>
    <row r="56" ht="22" customHeight="1">
      <c r="A56" s="5" t="n"/>
      <c r="B56" s="5" t="n"/>
      <c r="C56" s="5" t="n"/>
      <c r="D56" s="5" t="n"/>
      <c r="E56" s="5" t="n"/>
      <c r="F56" s="5">
        <f>IF(A56="","",IFERROR(VLOOKUP(A56,'F01 - _Données Expatriés'!$A$6:$K$20,5,FALSE),""))</f>
        <v/>
      </c>
      <c r="G56" s="5" t="n"/>
      <c r="H56" s="5" t="n"/>
      <c r="I56" s="5" t="n"/>
      <c r="J56" s="5" t="n"/>
      <c r="K56" s="5" t="n"/>
      <c r="L56" s="5" t="n"/>
      <c r="M56" s="5">
        <f>IF(F56="Conforme","CLOS",IF(F56="Partiellement conforme","EN COURS",IF(F56="Non conforme","URGENT","")))</f>
        <v/>
      </c>
      <c r="N56" s="5" t="n"/>
    </row>
    <row r="57" ht="22" customHeight="1">
      <c r="A57" s="7" t="n"/>
      <c r="B57" s="7" t="n"/>
      <c r="C57" s="7" t="n"/>
      <c r="D57" s="7" t="n"/>
      <c r="E57" s="7" t="n"/>
      <c r="F57" s="7">
        <f>IF(A57="","",IFERROR(VLOOKUP(A57,'F01 - _Données Expatriés'!$A$6:$K$20,5,FALSE),""))</f>
        <v/>
      </c>
      <c r="G57" s="7" t="n"/>
      <c r="H57" s="7" t="n"/>
      <c r="I57" s="7" t="n"/>
      <c r="J57" s="7" t="n"/>
      <c r="K57" s="7" t="n"/>
      <c r="L57" s="7" t="n"/>
      <c r="M57" s="7">
        <f>IF(F57="Conforme","CLOS",IF(F57="Partiellement conforme","EN COURS",IF(F57="Non conforme","URGENT","")))</f>
        <v/>
      </c>
      <c r="N57" s="7" t="n"/>
    </row>
    <row r="58" ht="22" customHeight="1">
      <c r="A58" s="5" t="n"/>
      <c r="B58" s="5" t="n"/>
      <c r="C58" s="5" t="n"/>
      <c r="D58" s="5" t="n"/>
      <c r="E58" s="5" t="n"/>
      <c r="F58" s="5">
        <f>IF(A58="","",IFERROR(VLOOKUP(A58,'F01 - _Données Expatriés'!$A$6:$K$20,5,FALSE),""))</f>
        <v/>
      </c>
      <c r="G58" s="5" t="n"/>
      <c r="H58" s="5" t="n"/>
      <c r="I58" s="5" t="n"/>
      <c r="J58" s="5" t="n"/>
      <c r="K58" s="5" t="n"/>
      <c r="L58" s="5" t="n"/>
      <c r="M58" s="5">
        <f>IF(F58="Conforme","CLOS",IF(F58="Partiellement conforme","EN COURS",IF(F58="Non conforme","URGENT","")))</f>
        <v/>
      </c>
      <c r="N58" s="5" t="n"/>
    </row>
    <row r="59" ht="22" customHeight="1">
      <c r="A59" s="7" t="n"/>
      <c r="B59" s="7" t="n"/>
      <c r="C59" s="7" t="n"/>
      <c r="D59" s="7" t="n"/>
      <c r="E59" s="7" t="n"/>
      <c r="F59" s="7">
        <f>IF(A59="","",IFERROR(VLOOKUP(A59,'F01 - _Données Expatriés'!$A$6:$K$20,5,FALSE),""))</f>
        <v/>
      </c>
      <c r="G59" s="7" t="n"/>
      <c r="H59" s="7" t="n"/>
      <c r="I59" s="7" t="n"/>
      <c r="J59" s="7" t="n"/>
      <c r="K59" s="7" t="n"/>
      <c r="L59" s="7" t="n"/>
      <c r="M59" s="7">
        <f>IF(F59="Conforme","CLOS",IF(F59="Partiellement conforme","EN COURS",IF(F59="Non conforme","URGENT","")))</f>
        <v/>
      </c>
      <c r="N59" s="7" t="n"/>
    </row>
    <row r="60" ht="22" customHeight="1">
      <c r="A60" s="5" t="n"/>
      <c r="B60" s="5" t="n"/>
      <c r="C60" s="5" t="n"/>
      <c r="D60" s="5" t="n"/>
      <c r="E60" s="5" t="n"/>
      <c r="F60" s="5">
        <f>IF(A60="","",IFERROR(VLOOKUP(A60,'F01 - _Données Expatriés'!$A$6:$K$20,5,FALSE),""))</f>
        <v/>
      </c>
      <c r="G60" s="5" t="n"/>
      <c r="H60" s="5" t="n"/>
      <c r="I60" s="5" t="n"/>
      <c r="J60" s="5" t="n"/>
      <c r="K60" s="5" t="n"/>
      <c r="L60" s="5" t="n"/>
      <c r="M60" s="5">
        <f>IF(F60="Conforme","CLOS",IF(F60="Partiellement conforme","EN COURS",IF(F60="Non conforme","URGENT","")))</f>
        <v/>
      </c>
      <c r="N60" s="5" t="n"/>
    </row>
    <row r="61" ht="22" customHeight="1">
      <c r="A61" s="7" t="n"/>
      <c r="B61" s="7" t="n"/>
      <c r="C61" s="7" t="n"/>
      <c r="D61" s="7" t="n"/>
      <c r="E61" s="7" t="n"/>
      <c r="F61" s="7">
        <f>IF(A61="","",IFERROR(VLOOKUP(A61,'F01 - _Données Expatriés'!$A$6:$K$20,5,FALSE),""))</f>
        <v/>
      </c>
      <c r="G61" s="7" t="n"/>
      <c r="H61" s="7" t="n"/>
      <c r="I61" s="7" t="n"/>
      <c r="J61" s="7" t="n"/>
      <c r="K61" s="7" t="n"/>
      <c r="L61" s="7" t="n"/>
      <c r="M61" s="7">
        <f>IF(F61="Conforme","CLOS",IF(F61="Partiellement conforme","EN COURS",IF(F61="Non conforme","URGENT","")))</f>
        <v/>
      </c>
      <c r="N61" s="7" t="n"/>
    </row>
    <row r="62" ht="22" customHeight="1">
      <c r="A62" s="5" t="n"/>
      <c r="B62" s="5" t="n"/>
      <c r="C62" s="5" t="n"/>
      <c r="D62" s="5" t="n"/>
      <c r="E62" s="5" t="n"/>
      <c r="F62" s="5">
        <f>IF(A62="","",IFERROR(VLOOKUP(A62,'F01 - _Données Expatriés'!$A$6:$K$20,5,FALSE),""))</f>
        <v/>
      </c>
      <c r="G62" s="5" t="n"/>
      <c r="H62" s="5" t="n"/>
      <c r="I62" s="5" t="n"/>
      <c r="J62" s="5" t="n"/>
      <c r="K62" s="5" t="n"/>
      <c r="L62" s="5" t="n"/>
      <c r="M62" s="5">
        <f>IF(F62="Conforme","CLOS",IF(F62="Partiellement conforme","EN COURS",IF(F62="Non conforme","URGENT","")))</f>
        <v/>
      </c>
      <c r="N62" s="5" t="n"/>
    </row>
    <row r="63" ht="22" customHeight="1">
      <c r="A63" s="7" t="n"/>
      <c r="B63" s="7" t="n"/>
      <c r="C63" s="7" t="n"/>
      <c r="D63" s="7" t="n"/>
      <c r="E63" s="7" t="n"/>
      <c r="F63" s="7">
        <f>IF(A63="","",IFERROR(VLOOKUP(A63,'F01 - _Données Expatriés'!$A$6:$K$20,5,FALSE),""))</f>
        <v/>
      </c>
      <c r="G63" s="7" t="n"/>
      <c r="H63" s="7" t="n"/>
      <c r="I63" s="7" t="n"/>
      <c r="J63" s="7" t="n"/>
      <c r="K63" s="7" t="n"/>
      <c r="L63" s="7" t="n"/>
      <c r="M63" s="7">
        <f>IF(F63="Conforme","CLOS",IF(F63="Partiellement conforme","EN COURS",IF(F63="Non conforme","URGENT","")))</f>
        <v/>
      </c>
      <c r="N63" s="7" t="n"/>
    </row>
    <row r="64" ht="22" customHeight="1">
      <c r="A64" s="5" t="n"/>
      <c r="B64" s="5" t="n"/>
      <c r="C64" s="5" t="n"/>
      <c r="D64" s="5" t="n"/>
      <c r="E64" s="5" t="n"/>
      <c r="F64" s="5">
        <f>IF(A64="","",IFERROR(VLOOKUP(A64,'F01 - _Données Expatriés'!$A$6:$K$20,5,FALSE),""))</f>
        <v/>
      </c>
      <c r="G64" s="5" t="n"/>
      <c r="H64" s="5" t="n"/>
      <c r="I64" s="5" t="n"/>
      <c r="J64" s="5" t="n"/>
      <c r="K64" s="5" t="n"/>
      <c r="L64" s="5" t="n"/>
      <c r="M64" s="5">
        <f>IF(F64="Conforme","CLOS",IF(F64="Partiellement conforme","EN COURS",IF(F64="Non conforme","URGENT","")))</f>
        <v/>
      </c>
      <c r="N64" s="5" t="n"/>
    </row>
    <row r="65" ht="22" customHeight="1">
      <c r="A65" s="7" t="n"/>
      <c r="B65" s="7" t="n"/>
      <c r="C65" s="7" t="n"/>
      <c r="D65" s="7" t="n"/>
      <c r="E65" s="7" t="n"/>
      <c r="F65" s="7">
        <f>IF(A65="","",IFERROR(VLOOKUP(A65,'F01 - _Données Expatriés'!$A$6:$K$20,5,FALSE),""))</f>
        <v/>
      </c>
      <c r="G65" s="7" t="n"/>
      <c r="H65" s="7" t="n"/>
      <c r="I65" s="7" t="n"/>
      <c r="J65" s="7" t="n"/>
      <c r="K65" s="7" t="n"/>
      <c r="L65" s="7" t="n"/>
      <c r="M65" s="7">
        <f>IF(F65="Conforme","CLOS",IF(F65="Partiellement conforme","EN COURS",IF(F65="Non conforme","URGENT","")))</f>
        <v/>
      </c>
      <c r="N65" s="7" t="n"/>
    </row>
    <row r="66" ht="22" customHeight="1">
      <c r="A66" s="5" t="n"/>
      <c r="B66" s="5" t="n"/>
      <c r="C66" s="5" t="n"/>
      <c r="D66" s="5" t="n"/>
      <c r="E66" s="5" t="n"/>
      <c r="F66" s="5">
        <f>IF(A66="","",IFERROR(VLOOKUP(A66,'F01 - _Données Expatriés'!$A$6:$K$20,5,FALSE),""))</f>
        <v/>
      </c>
      <c r="G66" s="5" t="n"/>
      <c r="H66" s="5" t="n"/>
      <c r="I66" s="5" t="n"/>
      <c r="J66" s="5" t="n"/>
      <c r="K66" s="5" t="n"/>
      <c r="L66" s="5" t="n"/>
      <c r="M66" s="5">
        <f>IF(F66="Conforme","CLOS",IF(F66="Partiellement conforme","EN COURS",IF(F66="Non conforme","URGENT","")))</f>
        <v/>
      </c>
      <c r="N66" s="5" t="n"/>
    </row>
    <row r="67" ht="22" customHeight="1">
      <c r="A67" s="7" t="n"/>
      <c r="B67" s="7" t="n"/>
      <c r="C67" s="7" t="n"/>
      <c r="D67" s="7" t="n"/>
      <c r="E67" s="7" t="n"/>
      <c r="F67" s="7">
        <f>IF(A67="","",IFERROR(VLOOKUP(A67,'F01 - _Données Expatriés'!$A$6:$K$20,5,FALSE),""))</f>
        <v/>
      </c>
      <c r="G67" s="7" t="n"/>
      <c r="H67" s="7" t="n"/>
      <c r="I67" s="7" t="n"/>
      <c r="J67" s="7" t="n"/>
      <c r="K67" s="7" t="n"/>
      <c r="L67" s="7" t="n"/>
      <c r="M67" s="7">
        <f>IF(F67="Conforme","CLOS",IF(F67="Partiellement conforme","EN COURS",IF(F67="Non conforme","URGENT","")))</f>
        <v/>
      </c>
      <c r="N67" s="7" t="n"/>
    </row>
    <row r="68" ht="22" customHeight="1">
      <c r="A68" s="5" t="n"/>
      <c r="B68" s="5" t="n"/>
      <c r="C68" s="5" t="n"/>
      <c r="D68" s="5" t="n"/>
      <c r="E68" s="5" t="n"/>
      <c r="F68" s="5">
        <f>IF(A68="","",IFERROR(VLOOKUP(A68,'F01 - _Données Expatriés'!$A$6:$K$20,5,FALSE),""))</f>
        <v/>
      </c>
      <c r="G68" s="5" t="n"/>
      <c r="H68" s="5" t="n"/>
      <c r="I68" s="5" t="n"/>
      <c r="J68" s="5" t="n"/>
      <c r="K68" s="5" t="n"/>
      <c r="L68" s="5" t="n"/>
      <c r="M68" s="5">
        <f>IF(F68="Conforme","CLOS",IF(F68="Partiellement conforme","EN COURS",IF(F68="Non conforme","URGENT","")))</f>
        <v/>
      </c>
      <c r="N68" s="5" t="n"/>
    </row>
    <row r="69" ht="22" customHeight="1">
      <c r="A69" s="7" t="n"/>
      <c r="B69" s="7" t="n"/>
      <c r="C69" s="7" t="n"/>
      <c r="D69" s="7" t="n"/>
      <c r="E69" s="7" t="n"/>
      <c r="F69" s="7">
        <f>IF(A69="","",IFERROR(VLOOKUP(A69,'F01 - _Données Expatriés'!$A$6:$K$20,5,FALSE),""))</f>
        <v/>
      </c>
      <c r="G69" s="7" t="n"/>
      <c r="H69" s="7" t="n"/>
      <c r="I69" s="7" t="n"/>
      <c r="J69" s="7" t="n"/>
      <c r="K69" s="7" t="n"/>
      <c r="L69" s="7" t="n"/>
      <c r="M69" s="7">
        <f>IF(F69="Conforme","CLOS",IF(F69="Partiellement conforme","EN COURS",IF(F69="Non conforme","URGENT","")))</f>
        <v/>
      </c>
      <c r="N69" s="7" t="n"/>
    </row>
    <row r="70" ht="22" customHeight="1">
      <c r="A70" s="5" t="n"/>
      <c r="B70" s="5" t="n"/>
      <c r="C70" s="5" t="n"/>
      <c r="D70" s="5" t="n"/>
      <c r="E70" s="5" t="n"/>
      <c r="F70" s="5">
        <f>IF(A70="","",IFERROR(VLOOKUP(A70,'F01 - _Données Expatriés'!$A$6:$K$20,5,FALSE),""))</f>
        <v/>
      </c>
      <c r="G70" s="5" t="n"/>
      <c r="H70" s="5" t="n"/>
      <c r="I70" s="5" t="n"/>
      <c r="J70" s="5" t="n"/>
      <c r="K70" s="5" t="n"/>
      <c r="L70" s="5" t="n"/>
      <c r="M70" s="5">
        <f>IF(F70="Conforme","CLOS",IF(F70="Partiellement conforme","EN COURS",IF(F70="Non conforme","URGENT","")))</f>
        <v/>
      </c>
      <c r="N70" s="5" t="n"/>
    </row>
    <row r="71" ht="22" customHeight="1">
      <c r="A71" s="7" t="n"/>
      <c r="B71" s="7" t="n"/>
      <c r="C71" s="7" t="n"/>
      <c r="D71" s="7" t="n"/>
      <c r="E71" s="7" t="n"/>
      <c r="F71" s="7">
        <f>IF(A71="","",IFERROR(VLOOKUP(A71,'F01 - _Données Expatriés'!$A$6:$K$20,5,FALSE),""))</f>
        <v/>
      </c>
      <c r="G71" s="7" t="n"/>
      <c r="H71" s="7" t="n"/>
      <c r="I71" s="7" t="n"/>
      <c r="J71" s="7" t="n"/>
      <c r="K71" s="7" t="n"/>
      <c r="L71" s="7" t="n"/>
      <c r="M71" s="7">
        <f>IF(F71="Conforme","CLOS",IF(F71="Partiellement conforme","EN COURS",IF(F71="Non conforme","URGENT","")))</f>
        <v/>
      </c>
      <c r="N71" s="7" t="n"/>
    </row>
    <row r="72" ht="22" customHeight="1">
      <c r="A72" s="5" t="n"/>
      <c r="B72" s="5" t="n"/>
      <c r="C72" s="5" t="n"/>
      <c r="D72" s="5" t="n"/>
      <c r="E72" s="5" t="n"/>
      <c r="F72" s="5">
        <f>IF(A72="","",IFERROR(VLOOKUP(A72,'F01 - _Données Expatriés'!$A$6:$K$20,5,FALSE),""))</f>
        <v/>
      </c>
      <c r="G72" s="5" t="n"/>
      <c r="H72" s="5" t="n"/>
      <c r="I72" s="5" t="n"/>
      <c r="J72" s="5" t="n"/>
      <c r="K72" s="5" t="n"/>
      <c r="L72" s="5" t="n"/>
      <c r="M72" s="5">
        <f>IF(F72="Conforme","CLOS",IF(F72="Partiellement conforme","EN COURS",IF(F72="Non conforme","URGENT","")))</f>
        <v/>
      </c>
      <c r="N72" s="5" t="n"/>
    </row>
    <row r="73" ht="22" customHeight="1">
      <c r="A73" s="7" t="n"/>
      <c r="B73" s="7" t="n"/>
      <c r="C73" s="7" t="n"/>
      <c r="D73" s="7" t="n"/>
      <c r="E73" s="7" t="n"/>
      <c r="F73" s="7">
        <f>IF(A73="","",IFERROR(VLOOKUP(A73,'F01 - _Données Expatriés'!$A$6:$K$20,5,FALSE),""))</f>
        <v/>
      </c>
      <c r="G73" s="7" t="n"/>
      <c r="H73" s="7" t="n"/>
      <c r="I73" s="7" t="n"/>
      <c r="J73" s="7" t="n"/>
      <c r="K73" s="7" t="n"/>
      <c r="L73" s="7" t="n"/>
      <c r="M73" s="7">
        <f>IF(F73="Conforme","CLOS",IF(F73="Partiellement conforme","EN COURS",IF(F73="Non conforme","URGENT","")))</f>
        <v/>
      </c>
      <c r="N73" s="7" t="n"/>
    </row>
    <row r="74" ht="22" customHeight="1">
      <c r="A74" s="5" t="n"/>
      <c r="B74" s="5" t="n"/>
      <c r="C74" s="5" t="n"/>
      <c r="D74" s="5" t="n"/>
      <c r="E74" s="5" t="n"/>
      <c r="F74" s="5">
        <f>IF(A74="","",IFERROR(VLOOKUP(A74,'F01 - _Données Expatriés'!$A$6:$K$20,5,FALSE),""))</f>
        <v/>
      </c>
      <c r="G74" s="5" t="n"/>
      <c r="H74" s="5" t="n"/>
      <c r="I74" s="5" t="n"/>
      <c r="J74" s="5" t="n"/>
      <c r="K74" s="5" t="n"/>
      <c r="L74" s="5" t="n"/>
      <c r="M74" s="5">
        <f>IF(F74="Conforme","CLOS",IF(F74="Partiellement conforme","EN COURS",IF(F74="Non conforme","URGENT","")))</f>
        <v/>
      </c>
      <c r="N74" s="5" t="n"/>
    </row>
    <row r="75" ht="22" customHeight="1">
      <c r="A75" s="7" t="n"/>
      <c r="B75" s="7" t="n"/>
      <c r="C75" s="7" t="n"/>
      <c r="D75" s="7" t="n"/>
      <c r="E75" s="7" t="n"/>
      <c r="F75" s="7">
        <f>IF(A75="","",IFERROR(VLOOKUP(A75,'F01 - _Données Expatriés'!$A$6:$K$20,5,FALSE),""))</f>
        <v/>
      </c>
      <c r="G75" s="7" t="n"/>
      <c r="H75" s="7" t="n"/>
      <c r="I75" s="7" t="n"/>
      <c r="J75" s="7" t="n"/>
      <c r="K75" s="7" t="n"/>
      <c r="L75" s="7" t="n"/>
      <c r="M75" s="7">
        <f>IF(F75="Conforme","CLOS",IF(F75="Partiellement conforme","EN COURS",IF(F75="Non conforme","URGENT","")))</f>
        <v/>
      </c>
      <c r="N75" s="7" t="n"/>
    </row>
    <row r="76" ht="22" customHeight="1">
      <c r="A76" s="5" t="n"/>
      <c r="B76" s="5" t="n"/>
      <c r="C76" s="5" t="n"/>
      <c r="D76" s="5" t="n"/>
      <c r="E76" s="5" t="n"/>
      <c r="F76" s="5">
        <f>IF(A76="","",IFERROR(VLOOKUP(A76,'F01 - _Données Expatriés'!$A$6:$K$20,5,FALSE),""))</f>
        <v/>
      </c>
      <c r="G76" s="5" t="n"/>
      <c r="H76" s="5" t="n"/>
      <c r="I76" s="5" t="n"/>
      <c r="J76" s="5" t="n"/>
      <c r="K76" s="5" t="n"/>
      <c r="L76" s="5" t="n"/>
      <c r="M76" s="5">
        <f>IF(F76="Conforme","CLOS",IF(F76="Partiellement conforme","EN COURS",IF(F76="Non conforme","URGENT","")))</f>
        <v/>
      </c>
      <c r="N76" s="5" t="n"/>
    </row>
    <row r="77" ht="22" customHeight="1">
      <c r="A77" s="7" t="n"/>
      <c r="B77" s="7" t="n"/>
      <c r="C77" s="7" t="n"/>
      <c r="D77" s="7" t="n"/>
      <c r="E77" s="7" t="n"/>
      <c r="F77" s="7">
        <f>IF(A77="","",IFERROR(VLOOKUP(A77,'F01 - _Données Expatriés'!$A$6:$K$20,5,FALSE),""))</f>
        <v/>
      </c>
      <c r="G77" s="7" t="n"/>
      <c r="H77" s="7" t="n"/>
      <c r="I77" s="7" t="n"/>
      <c r="J77" s="7" t="n"/>
      <c r="K77" s="7" t="n"/>
      <c r="L77" s="7" t="n"/>
      <c r="M77" s="7">
        <f>IF(F77="Conforme","CLOS",IF(F77="Partiellement conforme","EN COURS",IF(F77="Non conforme","URGENT","")))</f>
        <v/>
      </c>
      <c r="N77" s="7" t="n"/>
    </row>
    <row r="78" ht="22" customHeight="1">
      <c r="A78" s="5" t="n"/>
      <c r="B78" s="5" t="n"/>
      <c r="C78" s="5" t="n"/>
      <c r="D78" s="5" t="n"/>
      <c r="E78" s="5" t="n"/>
      <c r="F78" s="5">
        <f>IF(A78="","",IFERROR(VLOOKUP(A78,'F01 - _Données Expatriés'!$A$6:$K$20,5,FALSE),""))</f>
        <v/>
      </c>
      <c r="G78" s="5" t="n"/>
      <c r="H78" s="5" t="n"/>
      <c r="I78" s="5" t="n"/>
      <c r="J78" s="5" t="n"/>
      <c r="K78" s="5" t="n"/>
      <c r="L78" s="5" t="n"/>
      <c r="M78" s="5">
        <f>IF(F78="Conforme","CLOS",IF(F78="Partiellement conforme","EN COURS",IF(F78="Non conforme","URGENT","")))</f>
        <v/>
      </c>
      <c r="N78" s="5" t="n"/>
    </row>
    <row r="79" ht="22" customHeight="1">
      <c r="A79" s="7" t="n"/>
      <c r="B79" s="7" t="n"/>
      <c r="C79" s="7" t="n"/>
      <c r="D79" s="7" t="n"/>
      <c r="E79" s="7" t="n"/>
      <c r="F79" s="7">
        <f>IF(A79="","",IFERROR(VLOOKUP(A79,'F01 - _Données Expatriés'!$A$6:$K$20,5,FALSE),""))</f>
        <v/>
      </c>
      <c r="G79" s="7" t="n"/>
      <c r="H79" s="7" t="n"/>
      <c r="I79" s="7" t="n"/>
      <c r="J79" s="7" t="n"/>
      <c r="K79" s="7" t="n"/>
      <c r="L79" s="7" t="n"/>
      <c r="M79" s="7">
        <f>IF(F79="Conforme","CLOS",IF(F79="Partiellement conforme","EN COURS",IF(F79="Non conforme","URGENT","")))</f>
        <v/>
      </c>
      <c r="N79" s="7" t="n"/>
    </row>
    <row r="80" ht="22" customHeight="1">
      <c r="A80" s="5" t="n"/>
      <c r="B80" s="5" t="n"/>
      <c r="C80" s="5" t="n"/>
      <c r="D80" s="5" t="n"/>
      <c r="E80" s="5" t="n"/>
      <c r="F80" s="5">
        <f>IF(A80="","",IFERROR(VLOOKUP(A80,'F01 - _Données Expatriés'!$A$6:$K$20,5,FALSE),""))</f>
        <v/>
      </c>
      <c r="G80" s="5" t="n"/>
      <c r="H80" s="5" t="n"/>
      <c r="I80" s="5" t="n"/>
      <c r="J80" s="5" t="n"/>
      <c r="K80" s="5" t="n"/>
      <c r="L80" s="5" t="n"/>
      <c r="M80" s="5">
        <f>IF(F80="Conforme","CLOS",IF(F80="Partiellement conforme","EN COURS",IF(F80="Non conforme","URGENT","")))</f>
        <v/>
      </c>
      <c r="N80" s="5" t="n"/>
    </row>
    <row r="81" ht="22" customHeight="1">
      <c r="A81" s="7" t="n"/>
      <c r="B81" s="7" t="n"/>
      <c r="C81" s="7" t="n"/>
      <c r="D81" s="7" t="n"/>
      <c r="E81" s="7" t="n"/>
      <c r="F81" s="7">
        <f>IF(A81="","",IFERROR(VLOOKUP(A81,'F01 - _Données Expatriés'!$A$6:$K$20,5,FALSE),""))</f>
        <v/>
      </c>
      <c r="G81" s="7" t="n"/>
      <c r="H81" s="7" t="n"/>
      <c r="I81" s="7" t="n"/>
      <c r="J81" s="7" t="n"/>
      <c r="K81" s="7" t="n"/>
      <c r="L81" s="7" t="n"/>
      <c r="M81" s="7">
        <f>IF(F81="Conforme","CLOS",IF(F81="Partiellement conforme","EN COURS",IF(F81="Non conforme","URGENT","")))</f>
        <v/>
      </c>
      <c r="N81" s="7" t="n"/>
    </row>
    <row r="82" ht="22" customHeight="1">
      <c r="A82" s="5" t="n"/>
      <c r="B82" s="5" t="n"/>
      <c r="C82" s="5" t="n"/>
      <c r="D82" s="5" t="n"/>
      <c r="E82" s="5" t="n"/>
      <c r="F82" s="5">
        <f>IF(A82="","",IFERROR(VLOOKUP(A82,'F01 - _Données Expatriés'!$A$6:$K$20,5,FALSE),""))</f>
        <v/>
      </c>
      <c r="G82" s="5" t="n"/>
      <c r="H82" s="5" t="n"/>
      <c r="I82" s="5" t="n"/>
      <c r="J82" s="5" t="n"/>
      <c r="K82" s="5" t="n"/>
      <c r="L82" s="5" t="n"/>
      <c r="M82" s="5">
        <f>IF(F82="Conforme","CLOS",IF(F82="Partiellement conforme","EN COURS",IF(F82="Non conforme","URGENT","")))</f>
        <v/>
      </c>
      <c r="N82" s="5" t="n"/>
    </row>
    <row r="83" ht="22" customHeight="1">
      <c r="A83" s="7" t="n"/>
      <c r="B83" s="7" t="n"/>
      <c r="C83" s="7" t="n"/>
      <c r="D83" s="7" t="n"/>
      <c r="E83" s="7" t="n"/>
      <c r="F83" s="7">
        <f>IF(A83="","",IFERROR(VLOOKUP(A83,'F01 - _Données Expatriés'!$A$6:$K$20,5,FALSE),""))</f>
        <v/>
      </c>
      <c r="G83" s="7" t="n"/>
      <c r="H83" s="7" t="n"/>
      <c r="I83" s="7" t="n"/>
      <c r="J83" s="7" t="n"/>
      <c r="K83" s="7" t="n"/>
      <c r="L83" s="7" t="n"/>
      <c r="M83" s="7">
        <f>IF(F83="Conforme","CLOS",IF(F83="Partiellement conforme","EN COURS",IF(F83="Non conforme","URGENT","")))</f>
        <v/>
      </c>
      <c r="N83" s="7" t="n"/>
    </row>
    <row r="84" ht="22" customHeight="1">
      <c r="A84" s="5" t="n"/>
      <c r="B84" s="5" t="n"/>
      <c r="C84" s="5" t="n"/>
      <c r="D84" s="5" t="n"/>
      <c r="E84" s="5" t="n"/>
      <c r="F84" s="5">
        <f>IF(A84="","",IFERROR(VLOOKUP(A84,'F01 - _Données Expatriés'!$A$6:$K$20,5,FALSE),""))</f>
        <v/>
      </c>
      <c r="G84" s="5" t="n"/>
      <c r="H84" s="5" t="n"/>
      <c r="I84" s="5" t="n"/>
      <c r="J84" s="5" t="n"/>
      <c r="K84" s="5" t="n"/>
      <c r="L84" s="5" t="n"/>
      <c r="M84" s="5">
        <f>IF(F84="Conforme","CLOS",IF(F84="Partiellement conforme","EN COURS",IF(F84="Non conforme","URGENT","")))</f>
        <v/>
      </c>
      <c r="N84" s="5" t="n"/>
    </row>
    <row r="85" ht="22" customHeight="1">
      <c r="A85" s="7" t="n"/>
      <c r="B85" s="7" t="n"/>
      <c r="C85" s="7" t="n"/>
      <c r="D85" s="7" t="n"/>
      <c r="E85" s="7" t="n"/>
      <c r="F85" s="7">
        <f>IF(A85="","",IFERROR(VLOOKUP(A85,'F01 - _Données Expatriés'!$A$6:$K$20,5,FALSE),""))</f>
        <v/>
      </c>
      <c r="G85" s="7" t="n"/>
      <c r="H85" s="7" t="n"/>
      <c r="I85" s="7" t="n"/>
      <c r="J85" s="7" t="n"/>
      <c r="K85" s="7" t="n"/>
      <c r="L85" s="7" t="n"/>
      <c r="M85" s="7">
        <f>IF(F85="Conforme","CLOS",IF(F85="Partiellement conforme","EN COURS",IF(F85="Non conforme","URGENT","")))</f>
        <v/>
      </c>
      <c r="N85" s="7" t="n"/>
    </row>
    <row r="86" ht="22" customHeight="1">
      <c r="A86" s="5" t="n"/>
      <c r="B86" s="5" t="n"/>
      <c r="C86" s="5" t="n"/>
      <c r="D86" s="5" t="n"/>
      <c r="E86" s="5" t="n"/>
      <c r="F86" s="5">
        <f>IF(A86="","",IFERROR(VLOOKUP(A86,'F01 - _Données Expatriés'!$A$6:$K$20,5,FALSE),""))</f>
        <v/>
      </c>
      <c r="G86" s="5" t="n"/>
      <c r="H86" s="5" t="n"/>
      <c r="I86" s="5" t="n"/>
      <c r="J86" s="5" t="n"/>
      <c r="K86" s="5" t="n"/>
      <c r="L86" s="5" t="n"/>
      <c r="M86" s="5">
        <f>IF(F86="Conforme","CLOS",IF(F86="Partiellement conforme","EN COURS",IF(F86="Non conforme","URGENT","")))</f>
        <v/>
      </c>
      <c r="N86" s="5" t="n"/>
    </row>
    <row r="87" ht="22" customHeight="1">
      <c r="A87" s="7" t="n"/>
      <c r="B87" s="7" t="n"/>
      <c r="C87" s="7" t="n"/>
      <c r="D87" s="7" t="n"/>
      <c r="E87" s="7" t="n"/>
      <c r="F87" s="7">
        <f>IF(A87="","",IFERROR(VLOOKUP(A87,'F01 - _Données Expatriés'!$A$6:$K$20,5,FALSE),""))</f>
        <v/>
      </c>
      <c r="G87" s="7" t="n"/>
      <c r="H87" s="7" t="n"/>
      <c r="I87" s="7" t="n"/>
      <c r="J87" s="7" t="n"/>
      <c r="K87" s="7" t="n"/>
      <c r="L87" s="7" t="n"/>
      <c r="M87" s="7">
        <f>IF(F87="Conforme","CLOS",IF(F87="Partiellement conforme","EN COURS",IF(F87="Non conforme","URGENT","")))</f>
        <v/>
      </c>
      <c r="N87" s="7" t="n"/>
    </row>
    <row r="88" ht="22" customHeight="1">
      <c r="A88" s="5" t="n"/>
      <c r="B88" s="5" t="n"/>
      <c r="C88" s="5" t="n"/>
      <c r="D88" s="5" t="n"/>
      <c r="E88" s="5" t="n"/>
      <c r="F88" s="5">
        <f>IF(A88="","",IFERROR(VLOOKUP(A88,'F01 - _Données Expatriés'!$A$6:$K$20,5,FALSE),""))</f>
        <v/>
      </c>
      <c r="G88" s="5" t="n"/>
      <c r="H88" s="5" t="n"/>
      <c r="I88" s="5" t="n"/>
      <c r="J88" s="5" t="n"/>
      <c r="K88" s="5" t="n"/>
      <c r="L88" s="5" t="n"/>
      <c r="M88" s="5">
        <f>IF(F88="Conforme","CLOS",IF(F88="Partiellement conforme","EN COURS",IF(F88="Non conforme","URGENT","")))</f>
        <v/>
      </c>
      <c r="N88" s="5" t="n"/>
    </row>
    <row r="89" ht="22" customHeight="1">
      <c r="A89" s="7" t="n"/>
      <c r="B89" s="7" t="n"/>
      <c r="C89" s="7" t="n"/>
      <c r="D89" s="7" t="n"/>
      <c r="E89" s="7" t="n"/>
      <c r="F89" s="7">
        <f>IF(A89="","",IFERROR(VLOOKUP(A89,'F01 - _Données Expatriés'!$A$6:$K$20,5,FALSE),""))</f>
        <v/>
      </c>
      <c r="G89" s="7" t="n"/>
      <c r="H89" s="7" t="n"/>
      <c r="I89" s="7" t="n"/>
      <c r="J89" s="7" t="n"/>
      <c r="K89" s="7" t="n"/>
      <c r="L89" s="7" t="n"/>
      <c r="M89" s="7">
        <f>IF(F89="Conforme","CLOS",IF(F89="Partiellement conforme","EN COURS",IF(F89="Non conforme","URGENT","")))</f>
        <v/>
      </c>
      <c r="N89" s="7" t="n"/>
    </row>
    <row r="90" ht="22" customHeight="1">
      <c r="A90" s="5" t="n"/>
      <c r="B90" s="5" t="n"/>
      <c r="C90" s="5" t="n"/>
      <c r="D90" s="5" t="n"/>
      <c r="E90" s="5" t="n"/>
      <c r="F90" s="5">
        <f>IF(A90="","",IFERROR(VLOOKUP(A90,'F01 - _Données Expatriés'!$A$6:$K$20,5,FALSE),""))</f>
        <v/>
      </c>
      <c r="G90" s="5" t="n"/>
      <c r="H90" s="5" t="n"/>
      <c r="I90" s="5" t="n"/>
      <c r="J90" s="5" t="n"/>
      <c r="K90" s="5" t="n"/>
      <c r="L90" s="5" t="n"/>
      <c r="M90" s="5">
        <f>IF(F90="Conforme","CLOS",IF(F90="Partiellement conforme","EN COURS",IF(F90="Non conforme","URGENT","")))</f>
        <v/>
      </c>
      <c r="N90" s="5" t="n"/>
    </row>
    <row r="91" ht="22" customHeight="1">
      <c r="A91" s="7" t="n"/>
      <c r="B91" s="7" t="n"/>
      <c r="C91" s="7" t="n"/>
      <c r="D91" s="7" t="n"/>
      <c r="E91" s="7" t="n"/>
      <c r="F91" s="7">
        <f>IF(A91="","",IFERROR(VLOOKUP(A91,'F01 - _Données Expatriés'!$A$6:$K$20,5,FALSE),""))</f>
        <v/>
      </c>
      <c r="G91" s="7" t="n"/>
      <c r="H91" s="7" t="n"/>
      <c r="I91" s="7" t="n"/>
      <c r="J91" s="7" t="n"/>
      <c r="K91" s="7" t="n"/>
      <c r="L91" s="7" t="n"/>
      <c r="M91" s="7">
        <f>IF(F91="Conforme","CLOS",IF(F91="Partiellement conforme","EN COURS",IF(F91="Non conforme","URGENT","")))</f>
        <v/>
      </c>
      <c r="N91" s="7" t="n"/>
    </row>
    <row r="92" ht="22" customHeight="1">
      <c r="A92" s="5" t="n"/>
      <c r="B92" s="5" t="n"/>
      <c r="C92" s="5" t="n"/>
      <c r="D92" s="5" t="n"/>
      <c r="E92" s="5" t="n"/>
      <c r="F92" s="5">
        <f>IF(A92="","",IFERROR(VLOOKUP(A92,'F01 - _Données Expatriés'!$A$6:$K$20,5,FALSE),""))</f>
        <v/>
      </c>
      <c r="G92" s="5" t="n"/>
      <c r="H92" s="5" t="n"/>
      <c r="I92" s="5" t="n"/>
      <c r="J92" s="5" t="n"/>
      <c r="K92" s="5" t="n"/>
      <c r="L92" s="5" t="n"/>
      <c r="M92" s="5">
        <f>IF(F92="Conforme","CLOS",IF(F92="Partiellement conforme","EN COURS",IF(F92="Non conforme","URGENT","")))</f>
        <v/>
      </c>
      <c r="N92" s="5" t="n"/>
    </row>
    <row r="93" ht="22" customHeight="1">
      <c r="A93" s="7" t="n"/>
      <c r="B93" s="7" t="n"/>
      <c r="C93" s="7" t="n"/>
      <c r="D93" s="7" t="n"/>
      <c r="E93" s="7" t="n"/>
      <c r="F93" s="7">
        <f>IF(A93="","",IFERROR(VLOOKUP(A93,'F01 - _Données Expatriés'!$A$6:$K$20,5,FALSE),""))</f>
        <v/>
      </c>
      <c r="G93" s="7" t="n"/>
      <c r="H93" s="7" t="n"/>
      <c r="I93" s="7" t="n"/>
      <c r="J93" s="7" t="n"/>
      <c r="K93" s="7" t="n"/>
      <c r="L93" s="7" t="n"/>
      <c r="M93" s="7">
        <f>IF(F93="Conforme","CLOS",IF(F93="Partiellement conforme","EN COURS",IF(F93="Non conforme","URGENT","")))</f>
        <v/>
      </c>
      <c r="N93" s="7" t="n"/>
    </row>
    <row r="94" ht="22" customHeight="1">
      <c r="A94" s="5" t="n"/>
      <c r="B94" s="5" t="n"/>
      <c r="C94" s="5" t="n"/>
      <c r="D94" s="5" t="n"/>
      <c r="E94" s="5" t="n"/>
      <c r="F94" s="5">
        <f>IF(A94="","",IFERROR(VLOOKUP(A94,'F01 - _Données Expatriés'!$A$6:$K$20,5,FALSE),""))</f>
        <v/>
      </c>
      <c r="G94" s="5" t="n"/>
      <c r="H94" s="5" t="n"/>
      <c r="I94" s="5" t="n"/>
      <c r="J94" s="5" t="n"/>
      <c r="K94" s="5" t="n"/>
      <c r="L94" s="5" t="n"/>
      <c r="M94" s="5">
        <f>IF(F94="Conforme","CLOS",IF(F94="Partiellement conforme","EN COURS",IF(F94="Non conforme","URGENT","")))</f>
        <v/>
      </c>
      <c r="N94" s="5" t="n"/>
    </row>
    <row r="95" ht="22" customHeight="1">
      <c r="A95" s="7" t="n"/>
      <c r="B95" s="7" t="n"/>
      <c r="C95" s="7" t="n"/>
      <c r="D95" s="7" t="n"/>
      <c r="E95" s="7" t="n"/>
      <c r="F95" s="7">
        <f>IF(A95="","",IFERROR(VLOOKUP(A95,'F01 - _Données Expatriés'!$A$6:$K$20,5,FALSE),""))</f>
        <v/>
      </c>
      <c r="G95" s="7" t="n"/>
      <c r="H95" s="7" t="n"/>
      <c r="I95" s="7" t="n"/>
      <c r="J95" s="7" t="n"/>
      <c r="K95" s="7" t="n"/>
      <c r="L95" s="7" t="n"/>
      <c r="M95" s="7">
        <f>IF(F95="Conforme","CLOS",IF(F95="Partiellement conforme","EN COURS",IF(F95="Non conforme","URGENT","")))</f>
        <v/>
      </c>
      <c r="N95" s="7" t="n"/>
    </row>
    <row r="96" ht="22" customHeight="1">
      <c r="A96" s="5" t="n"/>
      <c r="B96" s="5" t="n"/>
      <c r="C96" s="5" t="n"/>
      <c r="D96" s="5" t="n"/>
      <c r="E96" s="5" t="n"/>
      <c r="F96" s="5">
        <f>IF(A96="","",IFERROR(VLOOKUP(A96,'F01 - _Données Expatriés'!$A$6:$K$20,5,FALSE),""))</f>
        <v/>
      </c>
      <c r="G96" s="5" t="n"/>
      <c r="H96" s="5" t="n"/>
      <c r="I96" s="5" t="n"/>
      <c r="J96" s="5" t="n"/>
      <c r="K96" s="5" t="n"/>
      <c r="L96" s="5" t="n"/>
      <c r="M96" s="5">
        <f>IF(F96="Conforme","CLOS",IF(F96="Partiellement conforme","EN COURS",IF(F96="Non conforme","URGENT","")))</f>
        <v/>
      </c>
      <c r="N96" s="5" t="n"/>
    </row>
    <row r="97" ht="22" customHeight="1">
      <c r="A97" s="7" t="n"/>
      <c r="B97" s="7" t="n"/>
      <c r="C97" s="7" t="n"/>
      <c r="D97" s="7" t="n"/>
      <c r="E97" s="7" t="n"/>
      <c r="F97" s="7">
        <f>IF(A97="","",IFERROR(VLOOKUP(A97,'F01 - _Données Expatriés'!$A$6:$K$20,5,FALSE),""))</f>
        <v/>
      </c>
      <c r="G97" s="7" t="n"/>
      <c r="H97" s="7" t="n"/>
      <c r="I97" s="7" t="n"/>
      <c r="J97" s="7" t="n"/>
      <c r="K97" s="7" t="n"/>
      <c r="L97" s="7" t="n"/>
      <c r="M97" s="7">
        <f>IF(F97="Conforme","CLOS",IF(F97="Partiellement conforme","EN COURS",IF(F97="Non conforme","URGENT","")))</f>
        <v/>
      </c>
      <c r="N97" s="7" t="n"/>
    </row>
    <row r="98" ht="22" customHeight="1">
      <c r="A98" s="5" t="n"/>
      <c r="B98" s="5" t="n"/>
      <c r="C98" s="5" t="n"/>
      <c r="D98" s="5" t="n"/>
      <c r="E98" s="5" t="n"/>
      <c r="F98" s="5">
        <f>IF(A98="","",IFERROR(VLOOKUP(A98,'F01 - _Données Expatriés'!$A$6:$K$20,5,FALSE),""))</f>
        <v/>
      </c>
      <c r="G98" s="5" t="n"/>
      <c r="H98" s="5" t="n"/>
      <c r="I98" s="5" t="n"/>
      <c r="J98" s="5" t="n"/>
      <c r="K98" s="5" t="n"/>
      <c r="L98" s="5" t="n"/>
      <c r="M98" s="5">
        <f>IF(F98="Conforme","CLOS",IF(F98="Partiellement conforme","EN COURS",IF(F98="Non conforme","URGENT","")))</f>
        <v/>
      </c>
      <c r="N98" s="5" t="n"/>
    </row>
    <row r="99" ht="22" customHeight="1">
      <c r="A99" s="7" t="n"/>
      <c r="B99" s="7" t="n"/>
      <c r="C99" s="7" t="n"/>
      <c r="D99" s="7" t="n"/>
      <c r="E99" s="7" t="n"/>
      <c r="F99" s="7">
        <f>IF(A99="","",IFERROR(VLOOKUP(A99,'F01 - _Données Expatriés'!$A$6:$K$20,5,FALSE),""))</f>
        <v/>
      </c>
      <c r="G99" s="7" t="n"/>
      <c r="H99" s="7" t="n"/>
      <c r="I99" s="7" t="n"/>
      <c r="J99" s="7" t="n"/>
      <c r="K99" s="7" t="n"/>
      <c r="L99" s="7" t="n"/>
      <c r="M99" s="7">
        <f>IF(F99="Conforme","CLOS",IF(F99="Partiellement conforme","EN COURS",IF(F99="Non conforme","URGENT","")))</f>
        <v/>
      </c>
      <c r="N99" s="7" t="n"/>
    </row>
    <row r="100" ht="22" customHeight="1">
      <c r="A100" s="5" t="n"/>
      <c r="B100" s="5" t="n"/>
      <c r="C100" s="5" t="n"/>
      <c r="D100" s="5" t="n"/>
      <c r="E100" s="5" t="n"/>
      <c r="F100" s="5">
        <f>IF(A100="","",IFERROR(VLOOKUP(A100,'F01 - _Données Expatriés'!$A$6:$K$20,5,FALSE),""))</f>
        <v/>
      </c>
      <c r="G100" s="5" t="n"/>
      <c r="H100" s="5" t="n"/>
      <c r="I100" s="5" t="n"/>
      <c r="J100" s="5" t="n"/>
      <c r="K100" s="5" t="n"/>
      <c r="L100" s="5" t="n"/>
      <c r="M100" s="5">
        <f>IF(F100="Conforme","CLOS",IF(F100="Partiellement conforme","EN COURS",IF(F100="Non conforme","URGENT","")))</f>
        <v/>
      </c>
      <c r="N100" s="5" t="n"/>
    </row>
    <row r="101" ht="22" customHeight="1">
      <c r="A101" s="7" t="n"/>
      <c r="B101" s="7" t="n"/>
      <c r="C101" s="7" t="n"/>
      <c r="D101" s="7" t="n"/>
      <c r="E101" s="7" t="n"/>
      <c r="F101" s="7">
        <f>IF(A101="","",IFERROR(VLOOKUP(A101,'F01 - _Données Expatriés'!$A$6:$K$20,5,FALSE),""))</f>
        <v/>
      </c>
      <c r="G101" s="7" t="n"/>
      <c r="H101" s="7" t="n"/>
      <c r="I101" s="7" t="n"/>
      <c r="J101" s="7" t="n"/>
      <c r="K101" s="7" t="n"/>
      <c r="L101" s="7" t="n"/>
      <c r="M101" s="7">
        <f>IF(F101="Conforme","CLOS",IF(F101="Partiellement conforme","EN COURS",IF(F101="Non conforme","URGENT","")))</f>
        <v/>
      </c>
      <c r="N101" s="7" t="n"/>
    </row>
    <row r="102" ht="22" customHeight="1">
      <c r="A102" s="5" t="n"/>
      <c r="B102" s="5" t="n"/>
      <c r="C102" s="5" t="n"/>
      <c r="D102" s="5" t="n"/>
      <c r="E102" s="5" t="n"/>
      <c r="F102" s="5">
        <f>IF(A102="","",IFERROR(VLOOKUP(A102,'F01 - _Données Expatriés'!$A$6:$K$20,5,FALSE),""))</f>
        <v/>
      </c>
      <c r="G102" s="5" t="n"/>
      <c r="H102" s="5" t="n"/>
      <c r="I102" s="5" t="n"/>
      <c r="J102" s="5" t="n"/>
      <c r="K102" s="5" t="n"/>
      <c r="L102" s="5" t="n"/>
      <c r="M102" s="5">
        <f>IF(F102="Conforme","CLOS",IF(F102="Partiellement conforme","EN COURS",IF(F102="Non conforme","URGENT","")))</f>
        <v/>
      </c>
      <c r="N102" s="5" t="n"/>
    </row>
    <row r="103" ht="22" customHeight="1">
      <c r="A103" s="7" t="n"/>
      <c r="B103" s="7" t="n"/>
      <c r="C103" s="7" t="n"/>
      <c r="D103" s="7" t="n"/>
      <c r="E103" s="7" t="n"/>
      <c r="F103" s="7">
        <f>IF(A103="","",IFERROR(VLOOKUP(A103,'F01 - _Données Expatriés'!$A$6:$K$20,5,FALSE),""))</f>
        <v/>
      </c>
      <c r="G103" s="7" t="n"/>
      <c r="H103" s="7" t="n"/>
      <c r="I103" s="7" t="n"/>
      <c r="J103" s="7" t="n"/>
      <c r="K103" s="7" t="n"/>
      <c r="L103" s="7" t="n"/>
      <c r="M103" s="7">
        <f>IF(F103="Conforme","CLOS",IF(F103="Partiellement conforme","EN COURS",IF(F103="Non conforme","URGENT","")))</f>
        <v/>
      </c>
      <c r="N103" s="7" t="n"/>
    </row>
    <row r="104" ht="22" customHeight="1">
      <c r="A104" s="5" t="n"/>
      <c r="B104" s="5" t="n"/>
      <c r="C104" s="5" t="n"/>
      <c r="D104" s="5" t="n"/>
      <c r="E104" s="5" t="n"/>
      <c r="F104" s="5">
        <f>IF(A104="","",IFERROR(VLOOKUP(A104,'F01 - _Données Expatriés'!$A$6:$K$20,5,FALSE),""))</f>
        <v/>
      </c>
      <c r="G104" s="5" t="n"/>
      <c r="H104" s="5" t="n"/>
      <c r="I104" s="5" t="n"/>
      <c r="J104" s="5" t="n"/>
      <c r="K104" s="5" t="n"/>
      <c r="L104" s="5" t="n"/>
      <c r="M104" s="5">
        <f>IF(F104="Conforme","CLOS",IF(F104="Partiellement conforme","EN COURS",IF(F104="Non conforme","URGENT","")))</f>
        <v/>
      </c>
      <c r="N104" s="5" t="n"/>
    </row>
    <row r="105" ht="22" customHeight="1">
      <c r="A105" s="7" t="n"/>
      <c r="B105" s="7" t="n"/>
      <c r="C105" s="7" t="n"/>
      <c r="D105" s="7" t="n"/>
      <c r="E105" s="7" t="n"/>
      <c r="F105" s="7">
        <f>IF(A105="","",IFERROR(VLOOKUP(A105,'F01 - _Données Expatriés'!$A$6:$K$20,5,FALSE),""))</f>
        <v/>
      </c>
      <c r="G105" s="7" t="n"/>
      <c r="H105" s="7" t="n"/>
      <c r="I105" s="7" t="n"/>
      <c r="J105" s="7" t="n"/>
      <c r="K105" s="7" t="n"/>
      <c r="L105" s="7" t="n"/>
      <c r="M105" s="7">
        <f>IF(F105="Conforme","CLOS",IF(F105="Partiellement conforme","EN COURS",IF(F105="Non conforme","URGENT","")))</f>
        <v/>
      </c>
      <c r="N105" s="7" t="n"/>
    </row>
    <row r="106" ht="22" customHeight="1">
      <c r="A106" s="5" t="n"/>
      <c r="B106" s="5" t="n"/>
      <c r="C106" s="5" t="n"/>
      <c r="D106" s="5" t="n"/>
      <c r="E106" s="5" t="n"/>
      <c r="F106" s="5">
        <f>IF(A106="","",IFERROR(VLOOKUP(A106,'F01 - _Données Expatriés'!$A$6:$K$20,5,FALSE),""))</f>
        <v/>
      </c>
      <c r="G106" s="5" t="n"/>
      <c r="H106" s="5" t="n"/>
      <c r="I106" s="5" t="n"/>
      <c r="J106" s="5" t="n"/>
      <c r="K106" s="5" t="n"/>
      <c r="L106" s="5" t="n"/>
      <c r="M106" s="5">
        <f>IF(F106="Conforme","CLOS",IF(F106="Partiellement conforme","EN COURS",IF(F106="Non conforme","URGENT","")))</f>
        <v/>
      </c>
      <c r="N106" s="5" t="n"/>
    </row>
    <row r="107" ht="22" customHeight="1">
      <c r="A107" s="7" t="n"/>
      <c r="B107" s="7" t="n"/>
      <c r="C107" s="7" t="n"/>
      <c r="D107" s="7" t="n"/>
      <c r="E107" s="7" t="n"/>
      <c r="F107" s="7">
        <f>IF(A107="","",IFERROR(VLOOKUP(A107,'F01 - _Données Expatriés'!$A$6:$K$20,5,FALSE),""))</f>
        <v/>
      </c>
      <c r="G107" s="7" t="n"/>
      <c r="H107" s="7" t="n"/>
      <c r="I107" s="7" t="n"/>
      <c r="J107" s="7" t="n"/>
      <c r="K107" s="7" t="n"/>
      <c r="L107" s="7" t="n"/>
      <c r="M107" s="7">
        <f>IF(F107="Conforme","CLOS",IF(F107="Partiellement conforme","EN COURS",IF(F107="Non conforme","URGENT","")))</f>
        <v/>
      </c>
      <c r="N107" s="7" t="n"/>
    </row>
    <row r="108" ht="22" customHeight="1">
      <c r="A108" s="5" t="n"/>
      <c r="B108" s="5" t="n"/>
      <c r="C108" s="5" t="n"/>
      <c r="D108" s="5" t="n"/>
      <c r="E108" s="5" t="n"/>
      <c r="F108" s="5">
        <f>IF(A108="","",IFERROR(VLOOKUP(A108,'F01 - _Données Expatriés'!$A$6:$K$20,5,FALSE),""))</f>
        <v/>
      </c>
      <c r="G108" s="5" t="n"/>
      <c r="H108" s="5" t="n"/>
      <c r="I108" s="5" t="n"/>
      <c r="J108" s="5" t="n"/>
      <c r="K108" s="5" t="n"/>
      <c r="L108" s="5" t="n"/>
      <c r="M108" s="5">
        <f>IF(F108="Conforme","CLOS",IF(F108="Partiellement conforme","EN COURS",IF(F108="Non conforme","URGENT","")))</f>
        <v/>
      </c>
      <c r="N108" s="5" t="n"/>
    </row>
    <row r="109" ht="22" customHeight="1">
      <c r="A109" s="7" t="n"/>
      <c r="B109" s="7" t="n"/>
      <c r="C109" s="7" t="n"/>
      <c r="D109" s="7" t="n"/>
      <c r="E109" s="7" t="n"/>
      <c r="F109" s="7">
        <f>IF(A109="","",IFERROR(VLOOKUP(A109,'F01 - _Données Expatriés'!$A$6:$K$20,5,FALSE),""))</f>
        <v/>
      </c>
      <c r="G109" s="7" t="n"/>
      <c r="H109" s="7" t="n"/>
      <c r="I109" s="7" t="n"/>
      <c r="J109" s="7" t="n"/>
      <c r="K109" s="7" t="n"/>
      <c r="L109" s="7" t="n"/>
      <c r="M109" s="7">
        <f>IF(F109="Conforme","CLOS",IF(F109="Partiellement conforme","EN COURS",IF(F109="Non conforme","URGENT","")))</f>
        <v/>
      </c>
      <c r="N109" s="7" t="n"/>
    </row>
    <row r="110" ht="22" customHeight="1">
      <c r="A110" s="5" t="n"/>
      <c r="B110" s="5" t="n"/>
      <c r="C110" s="5" t="n"/>
      <c r="D110" s="5" t="n"/>
      <c r="E110" s="5" t="n"/>
      <c r="F110" s="5">
        <f>IF(A110="","",IFERROR(VLOOKUP(A110,'F01 - _Données Expatriés'!$A$6:$K$20,5,FALSE),""))</f>
        <v/>
      </c>
      <c r="G110" s="5" t="n"/>
      <c r="H110" s="5" t="n"/>
      <c r="I110" s="5" t="n"/>
      <c r="J110" s="5" t="n"/>
      <c r="K110" s="5" t="n"/>
      <c r="L110" s="5" t="n"/>
      <c r="M110" s="5">
        <f>IF(F110="Conforme","CLOS",IF(F110="Partiellement conforme","EN COURS",IF(F110="Non conforme","URGENT","")))</f>
        <v/>
      </c>
      <c r="N110" s="5" t="n"/>
    </row>
    <row r="111" ht="22" customHeight="1">
      <c r="A111" s="7" t="n"/>
      <c r="B111" s="7" t="n"/>
      <c r="C111" s="7" t="n"/>
      <c r="D111" s="7" t="n"/>
      <c r="E111" s="7" t="n"/>
      <c r="F111" s="7">
        <f>IF(A111="","",IFERROR(VLOOKUP(A111,'F01 - _Données Expatriés'!$A$6:$K$20,5,FALSE),""))</f>
        <v/>
      </c>
      <c r="G111" s="7" t="n"/>
      <c r="H111" s="7" t="n"/>
      <c r="I111" s="7" t="n"/>
      <c r="J111" s="7" t="n"/>
      <c r="K111" s="7" t="n"/>
      <c r="L111" s="7" t="n"/>
      <c r="M111" s="7">
        <f>IF(F111="Conforme","CLOS",IF(F111="Partiellement conforme","EN COURS",IF(F111="Non conforme","URGENT","")))</f>
        <v/>
      </c>
      <c r="N111" s="7" t="n"/>
    </row>
    <row r="112" ht="22" customHeight="1">
      <c r="A112" s="5" t="n"/>
      <c r="B112" s="5" t="n"/>
      <c r="C112" s="5" t="n"/>
      <c r="D112" s="5" t="n"/>
      <c r="E112" s="5" t="n"/>
      <c r="F112" s="5">
        <f>IF(A112="","",IFERROR(VLOOKUP(A112,'F01 - _Données Expatriés'!$A$6:$K$20,5,FALSE),""))</f>
        <v/>
      </c>
      <c r="G112" s="5" t="n"/>
      <c r="H112" s="5" t="n"/>
      <c r="I112" s="5" t="n"/>
      <c r="J112" s="5" t="n"/>
      <c r="K112" s="5" t="n"/>
      <c r="L112" s="5" t="n"/>
      <c r="M112" s="5">
        <f>IF(F112="Conforme","CLOS",IF(F112="Partiellement conforme","EN COURS",IF(F112="Non conforme","URGENT","")))</f>
        <v/>
      </c>
      <c r="N112" s="5" t="n"/>
    </row>
    <row r="113" ht="22" customHeight="1">
      <c r="A113" s="7" t="n"/>
      <c r="B113" s="7" t="n"/>
      <c r="C113" s="7" t="n"/>
      <c r="D113" s="7" t="n"/>
      <c r="E113" s="7" t="n"/>
      <c r="F113" s="7">
        <f>IF(A113="","",IFERROR(VLOOKUP(A113,'F01 - _Données Expatriés'!$A$6:$K$20,5,FALSE),""))</f>
        <v/>
      </c>
      <c r="G113" s="7" t="n"/>
      <c r="H113" s="7" t="n"/>
      <c r="I113" s="7" t="n"/>
      <c r="J113" s="7" t="n"/>
      <c r="K113" s="7" t="n"/>
      <c r="L113" s="7" t="n"/>
      <c r="M113" s="7">
        <f>IF(F113="Conforme","CLOS",IF(F113="Partiellement conforme","EN COURS",IF(F113="Non conforme","URGENT","")))</f>
        <v/>
      </c>
      <c r="N113" s="7" t="n"/>
    </row>
    <row r="114" ht="22" customHeight="1">
      <c r="A114" s="5" t="n"/>
      <c r="B114" s="5" t="n"/>
      <c r="C114" s="5" t="n"/>
      <c r="D114" s="5" t="n"/>
      <c r="E114" s="5" t="n"/>
      <c r="F114" s="5">
        <f>IF(A114="","",IFERROR(VLOOKUP(A114,'F01 - _Données Expatriés'!$A$6:$K$20,5,FALSE),""))</f>
        <v/>
      </c>
      <c r="G114" s="5" t="n"/>
      <c r="H114" s="5" t="n"/>
      <c r="I114" s="5" t="n"/>
      <c r="J114" s="5" t="n"/>
      <c r="K114" s="5" t="n"/>
      <c r="L114" s="5" t="n"/>
      <c r="M114" s="5">
        <f>IF(F114="Conforme","CLOS",IF(F114="Partiellement conforme","EN COURS",IF(F114="Non conforme","URGENT","")))</f>
        <v/>
      </c>
      <c r="N114" s="5" t="n"/>
    </row>
    <row r="115" ht="22" customHeight="1">
      <c r="A115" s="7" t="n"/>
      <c r="B115" s="7" t="n"/>
      <c r="C115" s="7" t="n"/>
      <c r="D115" s="7" t="n"/>
      <c r="E115" s="7" t="n"/>
      <c r="F115" s="7">
        <f>IF(A115="","",IFERROR(VLOOKUP(A115,'F01 - _Données Expatriés'!$A$6:$K$20,5,FALSE),""))</f>
        <v/>
      </c>
      <c r="G115" s="7" t="n"/>
      <c r="H115" s="7" t="n"/>
      <c r="I115" s="7" t="n"/>
      <c r="J115" s="7" t="n"/>
      <c r="K115" s="7" t="n"/>
      <c r="L115" s="7" t="n"/>
      <c r="M115" s="7">
        <f>IF(F115="Conforme","CLOS",IF(F115="Partiellement conforme","EN COURS",IF(F115="Non conforme","URGENT","")))</f>
        <v/>
      </c>
      <c r="N115" s="7" t="n"/>
    </row>
  </sheetData>
  <mergeCells count="2">
    <mergeCell ref="A3:N3"/>
    <mergeCell ref="A2:N2"/>
  </mergeCells>
  <dataValidations count="4">
    <dataValidation sqref="D6:D115" showDropDown="0" showInputMessage="0" showErrorMessage="0" allowBlank="1" errorTitle="Erreur" error="Valeur invalide" promptTitle="" prompt="Choisir dans la liste: " type="list">
      <formula1>'F02 - _Lists'!$B$6:$B$20</formula1>
    </dataValidation>
    <dataValidation sqref="F6:F115" showDropDown="0" showInputMessage="0" showErrorMessage="0" allowBlank="1" errorTitle="Erreur" error="Valeur invalide" promptTitle="" prompt="Choisir dans la liste: " type="list">
      <formula1>'F02 - _Lists'!$U$6:$U$10</formula1>
    </dataValidation>
    <dataValidation sqref="I6:I115" showDropDown="0" showInputMessage="0" showErrorMessage="0" allowBlank="1" errorTitle="Erreur" error="Valeur invalide" promptTitle="" prompt="Choisir dans la liste: " type="list">
      <formula1>'F02 - _Lists'!$C$6:$C$25</formula1>
    </dataValidation>
    <dataValidation sqref="L6:L115" showDropDown="0" showInputMessage="0" showErrorMessage="0" allowBlank="1" errorTitle="Erreur" error="Valeur invalide" promptTitle="" prompt="Choisir dans la liste: " type="list">
      <formula1>'F02 - _Lists'!$V$6:$V$10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2026-07-17T06:23:07Z</dcterms:created>
  <dcterms:modified xmlns:dcterms="http://purl.org/dc/terms/" xmlns:xsi="http://www.w3.org/2001/XMLSchema-instance" xsi:type="dcterms:W3CDTF">2026-07-17T06:23:08Z</dcterms:modified>
</cp:coreProperties>
</file>