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Communication Interne" sheetId="4" state="visible" r:id="rId4"/>
    <sheet xmlns:r="http://schemas.openxmlformats.org/officeDocument/2006/relationships" name="3-Marque Employeur" sheetId="5" state="visible" r:id="rId5"/>
    <sheet xmlns:r="http://schemas.openxmlformats.org/officeDocument/2006/relationships" name="4-Reseaux Sociaux RH" sheetId="6" state="visible" r:id="rId6"/>
    <sheet xmlns:r="http://schemas.openxmlformats.org/officeDocument/2006/relationships" name="5-Candidatures Spontanees" sheetId="7" state="visible" r:id="rId7"/>
    <sheet xmlns:r="http://schemas.openxmlformats.org/officeDocument/2006/relationships" name="6-Ambassadeurs Marque" sheetId="8" state="visible" r:id="rId8"/>
    <sheet xmlns:r="http://schemas.openxmlformats.org/officeDocument/2006/relationships" name="7-Enquete Climat Social" sheetId="9" state="visible" r:id="rId9"/>
    <sheet xmlns:r="http://schemas.openxmlformats.org/officeDocument/2006/relationships" name="8-Newsletter Interne" sheetId="10" state="visible" r:id="rId10"/>
    <sheet xmlns:r="http://schemas.openxmlformats.org/officeDocument/2006/relationships" name="9-Journal Interne" sheetId="11" state="visible" r:id="rId11"/>
    <sheet xmlns:r="http://schemas.openxmlformats.org/officeDocument/2006/relationships" name="10-Evenements RH" sheetId="12" state="visible" r:id="rId12"/>
    <sheet xmlns:r="http://schemas.openxmlformats.org/officeDocument/2006/relationships" name="11-Indic. Marque Employeur" sheetId="13" state="visible" r:id="rId13"/>
    <sheet xmlns:r="http://schemas.openxmlformats.org/officeDocument/2006/relationships" name="12-Suivi Camp. Communication" sheetId="14" state="visible" r:id="rId14"/>
    <sheet xmlns:r="http://schemas.openxmlformats.org/officeDocument/2006/relationships" name="13-Taux Engag. Reseaux Soc." sheetId="15" state="visible" r:id="rId15"/>
    <sheet xmlns:r="http://schemas.openxmlformats.org/officeDocument/2006/relationships" name="14-Analyse Cand. Spontanees" sheetId="16" state="visible" r:id="rId16"/>
    <sheet xmlns:r="http://schemas.openxmlformats.org/officeDocument/2006/relationships" name="15-Hist. Evenements RH" sheetId="17" state="visible" r:id="rId17"/>
    <sheet xmlns:r="http://schemas.openxmlformats.org/officeDocument/2006/relationships" name="16-Calendrier Communication" sheetId="18" state="visible" r:id="rId18"/>
    <sheet xmlns:r="http://schemas.openxmlformats.org/officeDocument/2006/relationships" name="17-Matrice Canaux Comm." sheetId="19" state="visible" r:id="rId19"/>
    <sheet xmlns:r="http://schemas.openxmlformats.org/officeDocument/2006/relationships" name="18-Suivi Ambassadeurs" sheetId="20" state="visible" r:id="rId20"/>
    <sheet xmlns:r="http://schemas.openxmlformats.org/officeDocument/2006/relationships" name="19-Analyse Result. Enque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%"/>
    <numFmt numFmtId="166" formatCode="0.0"/>
    <numFmt numFmtId="167" formatCode="+0.0;-0.0;0"/>
  </numFmts>
  <fonts count="11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4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164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Communications par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Bord'!$B$20:$B$27</f>
            </numRef>
          </cat>
          <val>
            <numRef>
              <f>'1-Tableau de Bord'!$C$20:$C$27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Evenements par Statut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Bord'!$H$30:$H$35</f>
            </numRef>
          </cat>
          <val>
            <numRef>
              <f>'1-Tableau de Bord'!$I$30:$I$35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28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1"/>
    <row r="2"/>
    <row r="3"/>
    <row r="4">
      <c r="B4" s="35" t="inlineStr">
        <is>
          <t>Matricule</t>
        </is>
      </c>
      <c r="C4" s="35" t="inlineStr">
        <is>
          <t>Civilité</t>
        </is>
      </c>
      <c r="D4" s="35" t="inlineStr">
        <is>
          <t>Nom</t>
        </is>
      </c>
      <c r="E4" s="35" t="inlineStr">
        <is>
          <t>Prénom</t>
        </is>
      </c>
      <c r="F4" s="35" t="inlineStr">
        <is>
          <t>Département</t>
        </is>
      </c>
      <c r="G4" s="35" t="inlineStr">
        <is>
          <t>Poste</t>
        </is>
      </c>
      <c r="H4" s="35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13 — COMMUNICATION RH &amp; MARQUE EMPLOYEUR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Communications internes</t>
        </is>
      </c>
      <c r="E5" s="3" t="inlineStr">
        <is>
          <t>Initiatives ME</t>
        </is>
      </c>
      <c r="H5" s="3" t="inlineStr">
        <is>
          <t>Posts reseaux sociaux</t>
        </is>
      </c>
      <c r="K5" s="3" t="inlineStr">
        <is>
          <t>Candidatures spontanees</t>
        </is>
      </c>
    </row>
    <row r="6">
      <c r="B6" s="4">
        <f>COUNTIF('2-Communication Interne'!B5:B104,"&lt;&gt;")</f>
        <v/>
      </c>
      <c r="E6" s="4">
        <f>COUNTIF('3-Marque Employeur'!B5:B104,"&lt;&gt;")</f>
        <v/>
      </c>
      <c r="H6" s="4">
        <f>COUNTIF('4-Reseaux Sociaux RH'!B5:B104,"&lt;&gt;")</f>
        <v/>
      </c>
      <c r="K6" s="4">
        <f>COUNTIF('5-Candidatures Spontanees'!B5:B104,"&lt;&gt;")</f>
        <v/>
      </c>
    </row>
    <row r="7"/>
    <row r="8"/>
    <row r="9">
      <c r="B9" s="3" t="inlineStr">
        <is>
          <t>Ambassadeurs marque</t>
        </is>
      </c>
      <c r="E9" s="3" t="inlineStr">
        <is>
          <t>Enquetes climat</t>
        </is>
      </c>
      <c r="H9" s="3" t="inlineStr">
        <is>
          <t>Newsletters</t>
        </is>
      </c>
      <c r="K9" s="3" t="inlineStr">
        <is>
          <t>Articles journal</t>
        </is>
      </c>
    </row>
    <row r="10">
      <c r="B10" s="4">
        <f>COUNTIF('6-Ambassadeurs Marque'!B5:B104,"&lt;&gt;")</f>
        <v/>
      </c>
      <c r="E10" s="4">
        <f>COUNTIF('7-Enquete Climat Social'!B5:B104,"&lt;&gt;")</f>
        <v/>
      </c>
      <c r="H10" s="4">
        <f>COUNTIF('8-Newsletter Interne'!B5:B104,"&lt;&gt;")</f>
        <v/>
      </c>
      <c r="K10" s="4">
        <f>COUNTIF('9-Journal Interne'!B5:B104,"&lt;&gt;")</f>
        <v/>
      </c>
    </row>
    <row r="11"/>
    <row r="12"/>
    <row r="13">
      <c r="B13" s="3" t="inlineStr">
        <is>
          <t>Evenements RH</t>
        </is>
      </c>
      <c r="E13" s="3" t="inlineStr">
        <is>
          <t>Indicateurs ME</t>
        </is>
      </c>
      <c r="H13" s="3" t="inlineStr">
        <is>
          <t>Campagnes com.</t>
        </is>
      </c>
      <c r="K13" s="3" t="inlineStr">
        <is>
          <t>Vues totales (RS)</t>
        </is>
      </c>
    </row>
    <row r="14">
      <c r="B14" s="4">
        <f>COUNTIF('10-Evenements RH'!B5:B104,"&lt;&gt;")</f>
        <v/>
      </c>
      <c r="E14" s="4">
        <f>COUNTIF('11-Indic. Marque Employeur'!B5:B104,"&lt;&gt;")</f>
        <v/>
      </c>
      <c r="H14" s="4">
        <f>COUNTIF('12-Suivi Camp. Communication'!B5:B104,"&lt;&gt;")</f>
        <v/>
      </c>
      <c r="K14" s="4">
        <f>IFERROR(SUM('4-Reseaux Sociaux RH'!H5:H104),0)</f>
        <v/>
      </c>
    </row>
    <row r="15"/>
    <row r="16"/>
    <row r="17"/>
    <row r="18">
      <c r="B18" s="5" t="inlineStr">
        <is>
          <t>COMMUNICATION PAR TYPE &amp; EVENEMENTS PAR STATUT</t>
        </is>
      </c>
    </row>
    <row r="19" ht="15" customHeight="1">
      <c r="B19" s="3" t="inlineStr">
        <is>
          <t>Type Communication</t>
        </is>
      </c>
      <c r="C19" s="3" t="inlineStr">
        <is>
          <t>Nombre</t>
        </is>
      </c>
    </row>
    <row r="20" ht="15" customHeight="1">
      <c r="B20" s="6" t="inlineStr">
        <is>
          <t>Annonce</t>
        </is>
      </c>
      <c r="C20" s="7">
        <f>COUNTIF('2-Communication Interne'!D5:D104,"Annonce")</f>
        <v/>
      </c>
    </row>
    <row r="21" ht="15" customHeight="1">
      <c r="B21" s="6" t="inlineStr">
        <is>
          <t>Information</t>
        </is>
      </c>
      <c r="C21" s="7">
        <f>COUNTIF('2-Communication Interne'!D5:D104,"Information")</f>
        <v/>
      </c>
    </row>
    <row r="22" ht="15" customHeight="1">
      <c r="B22" s="6" t="inlineStr">
        <is>
          <t>Consultation</t>
        </is>
      </c>
      <c r="C22" s="7">
        <f>COUNTIF('2-Communication Interne'!D5:D104,"Consultation")</f>
        <v/>
      </c>
    </row>
    <row r="23" ht="15" customHeight="1">
      <c r="B23" s="6" t="inlineStr">
        <is>
          <t>Evenement</t>
        </is>
      </c>
      <c r="C23" s="7">
        <f>COUNTIF('2-Communication Interne'!D5:D104,"Evenement")</f>
        <v/>
      </c>
    </row>
    <row r="24" ht="15" customHeight="1">
      <c r="B24" s="6" t="inlineStr">
        <is>
          <t>Formation</t>
        </is>
      </c>
      <c r="C24" s="7">
        <f>COUNTIF('2-Communication Interne'!D5:D104,"Formation")</f>
        <v/>
      </c>
    </row>
    <row r="25" ht="15" customHeight="1">
      <c r="B25" s="6" t="inlineStr">
        <is>
          <t>Sondage</t>
        </is>
      </c>
      <c r="C25" s="7">
        <f>COUNTIF('2-Communication Interne'!D5:D104,"Sondage")</f>
        <v/>
      </c>
    </row>
    <row r="26" ht="15" customHeight="1">
      <c r="B26" s="6" t="inlineStr">
        <is>
          <t>Alerte</t>
        </is>
      </c>
      <c r="C26" s="7">
        <f>COUNTIF('2-Communication Interne'!D5:D104,"Alerte")</f>
        <v/>
      </c>
    </row>
    <row r="27" ht="15" customHeight="1">
      <c r="B27" s="6" t="inlineStr">
        <is>
          <t>Felicitation</t>
        </is>
      </c>
      <c r="C27" s="7">
        <f>COUNTIF('2-Communication Interne'!D5:D104,"Felicitation")</f>
        <v/>
      </c>
    </row>
    <row r="28" ht="15" customHeight="1"/>
    <row r="29" ht="15" customHeight="1">
      <c r="H29" s="3" t="inlineStr">
        <is>
          <t>Statut Evenement</t>
        </is>
      </c>
      <c r="I29" s="3" t="inlineStr">
        <is>
          <t>Nombre</t>
        </is>
      </c>
    </row>
    <row r="30" ht="15" customHeight="1">
      <c r="H30" s="6" t="inlineStr">
        <is>
          <t>En preparation</t>
        </is>
      </c>
      <c r="I30" s="7">
        <f>COUNTIF('10-Evenements RH'!L5:L104,"En preparation")</f>
        <v/>
      </c>
    </row>
    <row r="31" ht="15" customHeight="1">
      <c r="H31" s="6" t="inlineStr">
        <is>
          <t>Planifie</t>
        </is>
      </c>
      <c r="I31" s="7">
        <f>COUNTIF('10-Evenements RH'!L5:L104,"Planifie")</f>
        <v/>
      </c>
    </row>
    <row r="32" ht="15" customHeight="1">
      <c r="H32" s="6" t="inlineStr">
        <is>
          <t>En cours</t>
        </is>
      </c>
      <c r="I32" s="7">
        <f>COUNTIF('10-Evenements RH'!L5:L104,"En cours")</f>
        <v/>
      </c>
    </row>
    <row r="33" ht="15" customHeight="1">
      <c r="H33" s="6" t="inlineStr">
        <is>
          <t>Termine</t>
        </is>
      </c>
      <c r="I33" s="7">
        <f>COUNTIF('10-Evenements RH'!L5:L104,"Termine")</f>
        <v/>
      </c>
    </row>
    <row r="34" ht="15" customHeight="1">
      <c r="H34" s="6" t="inlineStr">
        <is>
          <t>Annule</t>
        </is>
      </c>
      <c r="I34" s="7">
        <f>COUNTIF('10-Evenements RH'!L5:L104,"Annule")</f>
        <v/>
      </c>
    </row>
    <row r="35" ht="15" customHeight="1">
      <c r="H35" s="6" t="inlineStr">
        <is>
          <t>Reporte</t>
        </is>
      </c>
      <c r="I35" s="7">
        <f>COUNTIF('10-Evenements RH'!L5:L104,"Reporte")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C25">
    <cfRule type="cellIs" priority="18" operator="greaterThan" dxfId="4">
      <formula>0</formula>
    </cfRule>
  </conditionalFormatting>
  <conditionalFormatting sqref="C26">
    <cfRule type="cellIs" priority="19" operator="greaterThan" dxfId="4">
      <formula>0</formula>
    </cfRule>
  </conditionalFormatting>
  <conditionalFormatting sqref="C27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conditionalFormatting sqref="I32">
    <cfRule type="cellIs" priority="23" operator="greaterThan" dxfId="4">
      <formula>0</formula>
    </cfRule>
  </conditionalFormatting>
  <conditionalFormatting sqref="I33">
    <cfRule type="cellIs" priority="24" operator="greaterThan" dxfId="4">
      <formula>0</formula>
    </cfRule>
  </conditionalFormatting>
  <conditionalFormatting sqref="I34">
    <cfRule type="cellIs" priority="25" operator="greaterThan" dxfId="4">
      <formula>0</formula>
    </cfRule>
  </conditionalFormatting>
  <conditionalFormatting sqref="I35">
    <cfRule type="cellIs" priority="26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departement</t>
        </is>
      </c>
      <c r="C1" s="8" t="inlineStr">
        <is>
          <t>poste_hotel</t>
        </is>
      </c>
      <c r="D1" s="8" t="inlineStr">
        <is>
          <t>type_communication</t>
        </is>
      </c>
      <c r="E1" s="8" t="inlineStr">
        <is>
          <t>canal_communication</t>
        </is>
      </c>
      <c r="F1" s="8" t="inlineStr">
        <is>
          <t>statut_communication</t>
        </is>
      </c>
      <c r="G1" s="8" t="inlineStr">
        <is>
          <t>type_contenu_me</t>
        </is>
      </c>
      <c r="H1" s="8" t="inlineStr">
        <is>
          <t>plateforme_sociale</t>
        </is>
      </c>
      <c r="I1" s="8" t="inlineStr">
        <is>
          <t>statut_candidature</t>
        </is>
      </c>
      <c r="J1" s="8" t="inlineStr">
        <is>
          <t>source_candidat</t>
        </is>
      </c>
      <c r="K1" s="8" t="inlineStr">
        <is>
          <t>niveau_ambassadeur</t>
        </is>
      </c>
      <c r="L1" s="8" t="inlineStr">
        <is>
          <t>type_evenement_rh</t>
        </is>
      </c>
      <c r="M1" s="8" t="inlineStr">
        <is>
          <t>statut_evenement</t>
        </is>
      </c>
      <c r="N1" s="8" t="inlineStr">
        <is>
          <t>frequence_newsletter</t>
        </is>
      </c>
      <c r="O1" s="8" t="inlineStr">
        <is>
          <t>rubrique_journal</t>
        </is>
      </c>
      <c r="P1" s="8" t="inlineStr">
        <is>
          <t>statut_publication</t>
        </is>
      </c>
      <c r="Q1" s="8" t="inlineStr">
        <is>
          <t>type_enquete</t>
        </is>
      </c>
      <c r="R1" s="8" t="inlineStr">
        <is>
          <t>statut_enquete</t>
        </is>
      </c>
      <c r="S1" s="8" t="inlineStr">
        <is>
          <t>echelle_satisfaction</t>
        </is>
      </c>
      <c r="T1" s="8" t="inlineStr">
        <is>
          <t>statut_action</t>
        </is>
      </c>
    </row>
    <row r="2">
      <c r="B2" s="9" t="inlineStr">
        <is>
          <t>Direction Générale</t>
        </is>
      </c>
      <c r="C2" s="9" t="inlineStr">
        <is>
          <t>DG</t>
        </is>
      </c>
      <c r="D2" s="9" t="inlineStr">
        <is>
          <t>Annonce</t>
        </is>
      </c>
      <c r="E2" s="9" t="inlineStr">
        <is>
          <t>Email</t>
        </is>
      </c>
      <c r="F2" s="9" t="inlineStr">
        <is>
          <t>Brouillon</t>
        </is>
      </c>
      <c r="G2" s="9" t="inlineStr">
        <is>
          <t>Temoignage employe</t>
        </is>
      </c>
      <c r="H2" s="9" t="inlineStr">
        <is>
          <t>LinkedIn</t>
        </is>
      </c>
      <c r="I2" s="9" t="inlineStr">
        <is>
          <t>Recue</t>
        </is>
      </c>
      <c r="J2" s="9" t="inlineStr">
        <is>
          <t>LinkedIn</t>
        </is>
      </c>
      <c r="K2" s="9" t="inlineStr">
        <is>
          <t>Bronze</t>
        </is>
      </c>
      <c r="L2" s="9" t="inlineStr">
        <is>
          <t>Semaine d'integration</t>
        </is>
      </c>
      <c r="M2" s="9" t="inlineStr">
        <is>
          <t>En preparation</t>
        </is>
      </c>
      <c r="N2" s="9" t="inlineStr">
        <is>
          <t>Hebdomadaire</t>
        </is>
      </c>
      <c r="O2" s="9" t="inlineStr">
        <is>
          <t>Edito Direction</t>
        </is>
      </c>
      <c r="P2" s="9" t="inlineStr">
        <is>
          <t>Brouillon</t>
        </is>
      </c>
      <c r="Q2" s="9" t="inlineStr">
        <is>
          <t>Climat social</t>
        </is>
      </c>
      <c r="R2" s="9" t="inlineStr">
        <is>
          <t>En preparation</t>
        </is>
      </c>
      <c r="S2" s="9" t="inlineStr">
        <is>
          <t>Tres insatisfait</t>
        </is>
      </c>
      <c r="T2" s="9" t="inlineStr">
        <is>
          <t>Planifiee</t>
        </is>
      </c>
    </row>
    <row r="3">
      <c r="B3" s="9" t="inlineStr">
        <is>
          <t>Service Client</t>
        </is>
      </c>
      <c r="C3" s="9" t="inlineStr">
        <is>
          <t>DRH</t>
        </is>
      </c>
      <c r="D3" s="9" t="inlineStr">
        <is>
          <t>Information</t>
        </is>
      </c>
      <c r="E3" s="9" t="inlineStr">
        <is>
          <t>Affichage</t>
        </is>
      </c>
      <c r="F3" s="9" t="inlineStr">
        <is>
          <t>En cours de validation</t>
        </is>
      </c>
      <c r="G3" s="9" t="inlineStr">
        <is>
          <t>Video institutionnelle</t>
        </is>
      </c>
      <c r="H3" s="9" t="inlineStr">
        <is>
          <t>Facebook</t>
        </is>
      </c>
      <c r="I3" s="9" t="inlineStr">
        <is>
          <t>En cours d'analyse</t>
        </is>
      </c>
      <c r="J3" s="9" t="inlineStr">
        <is>
          <t>Site web hotel</t>
        </is>
      </c>
      <c r="K3" s="9" t="inlineStr">
        <is>
          <t>Argent</t>
        </is>
      </c>
      <c r="L3" s="9" t="inlineStr">
        <is>
          <t>Team building</t>
        </is>
      </c>
      <c r="M3" s="9" t="inlineStr">
        <is>
          <t>Planifie</t>
        </is>
      </c>
      <c r="N3" s="9" t="inlineStr">
        <is>
          <t>Bimensuelle</t>
        </is>
      </c>
      <c r="O3" s="9" t="inlineStr">
        <is>
          <t>Vie des equipes</t>
        </is>
      </c>
      <c r="P3" s="9" t="inlineStr">
        <is>
          <t>En cours de redaction</t>
        </is>
      </c>
      <c r="Q3" s="9" t="inlineStr">
        <is>
          <t>Satisfaction employes</t>
        </is>
      </c>
      <c r="R3" s="9" t="inlineStr">
        <is>
          <t>En cours</t>
        </is>
      </c>
      <c r="S3" s="9" t="inlineStr">
        <is>
          <t>Insatisfait</t>
        </is>
      </c>
      <c r="T3" s="9" t="inlineStr">
        <is>
          <t>En cours</t>
        </is>
      </c>
    </row>
    <row r="4">
      <c r="B4" s="9" t="inlineStr">
        <is>
          <t>Finance &amp; Comptabilité</t>
        </is>
      </c>
      <c r="C4" s="9" t="inlineStr">
        <is>
          <t>Assistante RH</t>
        </is>
      </c>
      <c r="D4" s="9" t="inlineStr">
        <is>
          <t>Consultation</t>
        </is>
      </c>
      <c r="E4" s="9" t="inlineStr">
        <is>
          <t>Intranet</t>
        </is>
      </c>
      <c r="F4" s="9" t="inlineStr">
        <is>
          <t>Valide</t>
        </is>
      </c>
      <c r="G4" s="9" t="inlineStr">
        <is>
          <t>Article blog</t>
        </is>
      </c>
      <c r="H4" s="9" t="inlineStr">
        <is>
          <t>Instagram</t>
        </is>
      </c>
      <c r="I4" s="9" t="inlineStr">
        <is>
          <t>Entretien planifie</t>
        </is>
      </c>
      <c r="J4" s="9" t="inlineStr">
        <is>
          <t>Bouche a oreille</t>
        </is>
      </c>
      <c r="K4" s="9" t="inlineStr">
        <is>
          <t>Or</t>
        </is>
      </c>
      <c r="L4" s="9" t="inlineStr">
        <is>
          <t>Celebration anniversaire</t>
        </is>
      </c>
      <c r="M4" s="9" t="inlineStr">
        <is>
          <t>En cours</t>
        </is>
      </c>
      <c r="N4" s="9" t="inlineStr">
        <is>
          <t>Mensuelle</t>
        </is>
      </c>
      <c r="O4" s="9" t="inlineStr">
        <is>
          <t>Formation</t>
        </is>
      </c>
      <c r="P4" s="9" t="inlineStr">
        <is>
          <t>En relecture</t>
        </is>
      </c>
      <c r="Q4" s="9" t="inlineStr">
        <is>
          <t>Engagement</t>
        </is>
      </c>
      <c r="R4" s="9" t="inlineStr">
        <is>
          <t>Cloturee</t>
        </is>
      </c>
      <c r="S4" s="9" t="inlineStr">
        <is>
          <t>Neutre</t>
        </is>
      </c>
      <c r="T4" s="9" t="inlineStr">
        <is>
          <t>Terminee</t>
        </is>
      </c>
    </row>
    <row r="5">
      <c r="B5" s="9" t="inlineStr">
        <is>
          <t>Marketing &amp; Communication</t>
        </is>
      </c>
      <c r="C5" s="9" t="inlineStr">
        <is>
          <t>DAF</t>
        </is>
      </c>
      <c r="D5" s="9" t="inlineStr">
        <is>
          <t>Sondage</t>
        </is>
      </c>
      <c r="E5" s="9" t="inlineStr">
        <is>
          <t>Reunion</t>
        </is>
      </c>
      <c r="F5" s="9" t="inlineStr">
        <is>
          <t>Diffusee</t>
        </is>
      </c>
      <c r="G5" s="9" t="inlineStr">
        <is>
          <t>Post LinkedIn</t>
        </is>
      </c>
      <c r="H5" s="9" t="inlineStr">
        <is>
          <t>Twitter / X</t>
        </is>
      </c>
      <c r="I5" s="9" t="inlineStr">
        <is>
          <t>Entretien realise</t>
        </is>
      </c>
      <c r="J5" s="9" t="inlineStr">
        <is>
          <t>Reseaux sociaux</t>
        </is>
      </c>
      <c r="K5" s="9" t="inlineStr">
        <is>
          <t>Platine</t>
        </is>
      </c>
      <c r="L5" s="9" t="inlineStr">
        <is>
          <t>Depart a la retraite</t>
        </is>
      </c>
      <c r="M5" s="9" t="inlineStr">
        <is>
          <t>Termine</t>
        </is>
      </c>
      <c r="N5" s="9" t="inlineStr">
        <is>
          <t>Trimestrielle</t>
        </is>
      </c>
      <c r="O5" s="9" t="inlineStr">
        <is>
          <t>Mobilite &amp; Carriere</t>
        </is>
      </c>
      <c r="P5" s="9" t="inlineStr">
        <is>
          <t>Valide</t>
        </is>
      </c>
      <c r="Q5" s="9" t="inlineStr">
        <is>
          <t>Bien-etre au travail</t>
        </is>
      </c>
      <c r="R5" s="9" t="inlineStr">
        <is>
          <t>En analyse</t>
        </is>
      </c>
      <c r="S5" s="9" t="inlineStr">
        <is>
          <t>Satisfait</t>
        </is>
      </c>
      <c r="T5" s="9" t="inlineStr">
        <is>
          <t>Reportee</t>
        </is>
      </c>
    </row>
    <row r="6">
      <c r="B6" s="9" t="inlineStr">
        <is>
          <t>Maintenance</t>
        </is>
      </c>
      <c r="C6" s="9" t="inlineStr">
        <is>
          <t>Comptable senior</t>
        </is>
      </c>
      <c r="D6" s="9" t="inlineStr">
        <is>
          <t>Formation</t>
        </is>
      </c>
      <c r="E6" s="9" t="inlineStr">
        <is>
          <t>Newsletter</t>
        </is>
      </c>
      <c r="F6" s="9" t="inlineStr">
        <is>
          <t>Archivée</t>
        </is>
      </c>
      <c r="G6" s="9" t="inlineStr">
        <is>
          <t>Post Instagram</t>
        </is>
      </c>
      <c r="H6" s="9" t="inlineStr">
        <is>
          <t>TikTok</t>
        </is>
      </c>
      <c r="I6" s="9" t="inlineStr">
        <is>
          <t>En attente decision</t>
        </is>
      </c>
      <c r="J6" s="9" t="inlineStr">
        <is>
          <t>Evenement carriere</t>
        </is>
      </c>
      <c r="L6" s="9" t="inlineStr">
        <is>
          <t>Gala employes</t>
        </is>
      </c>
      <c r="M6" s="9" t="inlineStr">
        <is>
          <t>Annule</t>
        </is>
      </c>
      <c r="N6" s="9" t="inlineStr">
        <is>
          <t>Ponctuelle</t>
        </is>
      </c>
      <c r="O6" s="9" t="inlineStr">
        <is>
          <t>Sante &amp; Securite</t>
        </is>
      </c>
      <c r="P6" s="9" t="inlineStr">
        <is>
          <t>Publie</t>
        </is>
      </c>
      <c r="Q6" s="9" t="inlineStr">
        <is>
          <t>Qualite de vie au travail</t>
        </is>
      </c>
      <c r="R6" s="9" t="inlineStr">
        <is>
          <t>Resultats publies</t>
        </is>
      </c>
      <c r="S6" s="9" t="inlineStr">
        <is>
          <t>Tres satisfait</t>
        </is>
      </c>
      <c r="T6" s="9" t="inlineStr">
        <is>
          <t>Annulee</t>
        </is>
      </c>
    </row>
    <row r="7">
      <c r="B7" s="9" t="inlineStr">
        <is>
          <t>Commercial</t>
        </is>
      </c>
      <c r="C7" s="9" t="inlineStr">
        <is>
          <t>Chef Comptable</t>
        </is>
      </c>
      <c r="D7" s="9" t="inlineStr">
        <is>
          <t>Evenement</t>
        </is>
      </c>
      <c r="E7" s="9" t="inlineStr">
        <is>
          <t>Reseaux sociaux</t>
        </is>
      </c>
      <c r="G7" s="9" t="inlineStr">
        <is>
          <t>Post Facebook</t>
        </is>
      </c>
      <c r="H7" s="9" t="inlineStr">
        <is>
          <t>YouTube</t>
        </is>
      </c>
      <c r="I7" s="9" t="inlineStr">
        <is>
          <t>Retenue</t>
        </is>
      </c>
      <c r="J7" s="9" t="inlineStr">
        <is>
          <t>Cabinet de recrutement</t>
        </is>
      </c>
      <c r="L7" s="9" t="inlineStr">
        <is>
          <t>Sport inter-services</t>
        </is>
      </c>
      <c r="M7" s="9" t="inlineStr">
        <is>
          <t>Reporte</t>
        </is>
      </c>
      <c r="O7" s="9" t="inlineStr">
        <is>
          <t>Culture &amp; Loisirs</t>
        </is>
      </c>
      <c r="P7" s="9" t="inlineStr">
        <is>
          <t>Archive</t>
        </is>
      </c>
      <c r="Q7" s="9" t="inlineStr">
        <is>
          <t>RSE &amp; developpement durable</t>
        </is>
      </c>
      <c r="R7" s="9" t="inlineStr">
        <is>
          <t>Archivee</t>
        </is>
      </c>
    </row>
    <row r="8">
      <c r="B8" s="9" t="inlineStr">
        <is>
          <t>Logistique &amp; Approvisionnement</t>
        </is>
      </c>
      <c r="C8" s="9" t="inlineStr">
        <is>
          <t>Chef Marketing</t>
        </is>
      </c>
      <c r="D8" s="9" t="inlineStr">
        <is>
          <t>Alerte</t>
        </is>
      </c>
      <c r="E8" s="9" t="inlineStr">
        <is>
          <t>Panneau d'affichage</t>
        </is>
      </c>
      <c r="G8" s="9" t="inlineStr">
        <is>
          <t>Story</t>
        </is>
      </c>
      <c r="H8" s="9" t="inlineStr">
        <is>
          <t>Site web carriere</t>
        </is>
      </c>
      <c r="I8" s="9" t="inlineStr">
        <is>
          <t>Non retenue</t>
        </is>
      </c>
      <c r="J8" s="9" t="inlineStr">
        <is>
          <t>Ecole / Universite</t>
        </is>
      </c>
      <c r="L8" s="9" t="inlineStr">
        <is>
          <t>Atelier bien-etre</t>
        </is>
      </c>
      <c r="O8" s="9" t="inlineStr">
        <is>
          <t>Felicitations</t>
        </is>
      </c>
      <c r="Q8" s="9" t="inlineStr">
        <is>
          <t>Communication interne</t>
        </is>
      </c>
    </row>
    <row r="9">
      <c r="B9" s="9" t="inlineStr">
        <is>
          <t>Cuisine &amp; Restauration</t>
        </is>
      </c>
      <c r="C9" s="9" t="inlineStr">
        <is>
          <t>Chef de service IT</t>
        </is>
      </c>
      <c r="D9" s="9" t="inlineStr">
        <is>
          <t>Rappel</t>
        </is>
      </c>
      <c r="E9" s="9" t="inlineStr">
        <is>
          <t>SMS / WhatsApp</t>
        </is>
      </c>
      <c r="G9" s="9" t="inlineStr">
        <is>
          <t>Carriere &amp; opportunites</t>
        </is>
      </c>
      <c r="H9" s="9" t="inlineStr">
        <is>
          <t>Glassdoor</t>
        </is>
      </c>
      <c r="I9" s="9" t="inlineStr">
        <is>
          <t>En attente poste</t>
        </is>
      </c>
      <c r="J9" s="9" t="inlineStr">
        <is>
          <t>Spontanée</t>
        </is>
      </c>
      <c r="L9" s="9" t="inlineStr">
        <is>
          <t>Forme ouverte</t>
        </is>
      </c>
      <c r="O9" s="9" t="inlineStr">
        <is>
          <t>Brèves RH</t>
        </is>
      </c>
      <c r="Q9" s="9" t="inlineStr">
        <is>
          <t>Conditions de travail</t>
        </is>
      </c>
    </row>
    <row r="10">
      <c r="B10" s="9" t="inlineStr">
        <is>
          <t>Réception &amp; Front Office</t>
        </is>
      </c>
      <c r="C10" s="9" t="inlineStr">
        <is>
          <t>Technicien IT</t>
        </is>
      </c>
      <c r="D10" s="9" t="inlineStr">
        <is>
          <t>Felicitation</t>
        </is>
      </c>
      <c r="E10" s="9" t="inlineStr">
        <is>
          <t>Note de service</t>
        </is>
      </c>
      <c r="G10" s="9" t="inlineStr">
        <is>
          <t>Culture d'entreprise</t>
        </is>
      </c>
      <c r="H10" s="9" t="inlineStr">
        <is>
          <t>Indeed</t>
        </is>
      </c>
      <c r="I10" s="9" t="inlineStr">
        <is>
          <t>Archivée</t>
        </is>
      </c>
      <c r="J10" s="9" t="inlineStr">
        <is>
          <t>Autre</t>
        </is>
      </c>
      <c r="L10" s="9" t="inlineStr">
        <is>
          <t>Portes ouvertes</t>
        </is>
      </c>
      <c r="O10" s="9" t="inlineStr">
        <is>
          <t>Temoignages</t>
        </is>
      </c>
      <c r="Q10" s="9" t="inlineStr">
        <is>
          <t>Formation</t>
        </is>
      </c>
    </row>
    <row r="11">
      <c r="B11" s="9" t="inlineStr">
        <is>
          <t>Sécurité</t>
        </is>
      </c>
      <c r="C11" s="9" t="inlineStr">
        <is>
          <t>Chef Commercial</t>
        </is>
      </c>
      <c r="D11" s="9" t="inlineStr">
        <is>
          <t>Remerciement</t>
        </is>
      </c>
      <c r="E11" s="9" t="inlineStr">
        <is>
          <t>Affichage digital</t>
        </is>
      </c>
      <c r="G11" s="9" t="inlineStr">
        <is>
          <t>Avantages sociaux</t>
        </is>
      </c>
      <c r="H11" s="9" t="inlineStr">
        <is>
          <t>Autre</t>
        </is>
      </c>
      <c r="L11" s="9" t="inlineStr">
        <is>
          <t>Conference interne</t>
        </is>
      </c>
      <c r="O11" s="9" t="inlineStr">
        <is>
          <t>Annonces</t>
        </is>
      </c>
      <c r="Q11" s="9" t="inlineStr">
        <is>
          <t>Autre</t>
        </is>
      </c>
    </row>
    <row r="12">
      <c r="B12" s="9" t="inlineStr">
        <is>
          <t>Étage &amp; Housekeeping</t>
        </is>
      </c>
      <c r="C12" s="9" t="inlineStr">
        <is>
          <t>Agent Commercial</t>
        </is>
      </c>
      <c r="D12" s="9" t="inlineStr">
        <is>
          <t>Orientation</t>
        </is>
      </c>
      <c r="G12" s="9" t="inlineStr">
        <is>
          <t>Formation &amp; developpement</t>
        </is>
      </c>
      <c r="L12" s="9" t="inlineStr">
        <is>
          <t>Brainstorming</t>
        </is>
      </c>
    </row>
    <row r="13">
      <c r="B13" s="9" t="n"/>
      <c r="C13" s="9" t="inlineStr">
        <is>
          <t>Chef Logistique</t>
        </is>
      </c>
      <c r="G13" s="9" t="inlineStr">
        <is>
          <t>Evenement equipe</t>
        </is>
      </c>
      <c r="L13" s="9" t="inlineStr">
        <is>
          <t>Autre</t>
        </is>
      </c>
    </row>
    <row r="14">
      <c r="B14" s="9" t="n"/>
      <c r="C14" s="9" t="inlineStr">
        <is>
          <t>Agent Logistique</t>
        </is>
      </c>
      <c r="G14" s="9" t="inlineStr">
        <is>
          <t>Behind the scenes</t>
        </is>
      </c>
    </row>
    <row r="15">
      <c r="C15" s="9" t="inlineStr">
        <is>
          <t>Chef Production</t>
        </is>
      </c>
      <c r="G15" s="9" t="inlineStr">
        <is>
          <t>Infographie</t>
        </is>
      </c>
    </row>
    <row r="16">
      <c r="C16" s="9" t="inlineStr">
        <is>
          <t>Responsable Service Client</t>
        </is>
      </c>
      <c r="G16" s="9" t="inlineStr">
        <is>
          <t>Autre</t>
        </is>
      </c>
    </row>
    <row r="17">
      <c r="C17" s="9" t="inlineStr">
        <is>
          <t>Conseiller Client</t>
        </is>
      </c>
    </row>
    <row r="18">
      <c r="C18" s="9" t="inlineStr">
        <is>
          <t>Chef Reception</t>
        </is>
      </c>
    </row>
    <row r="19">
      <c r="C19" s="9" t="inlineStr">
        <is>
          <t>Receptionniste</t>
        </is>
      </c>
    </row>
    <row r="20">
      <c r="C20" s="9" t="inlineStr">
        <is>
          <t>Chef Cuisine</t>
        </is>
      </c>
    </row>
    <row r="21">
      <c r="C21" s="9" t="inlineStr">
        <is>
          <t>Cuisinier</t>
        </is>
      </c>
    </row>
    <row r="22">
      <c r="C22" s="9" t="inlineStr">
        <is>
          <t>Plongeur</t>
        </is>
      </c>
    </row>
    <row r="23">
      <c r="C23" s="9" t="inlineStr">
        <is>
          <t>Chef Entretien</t>
        </is>
      </c>
    </row>
    <row r="24">
      <c r="C24" s="9" t="inlineStr">
        <is>
          <t>Technicien Maintenance</t>
        </is>
      </c>
    </row>
    <row r="25">
      <c r="C25" s="9" t="inlineStr">
        <is>
          <t>Agent Securite</t>
        </is>
      </c>
    </row>
    <row r="26">
      <c r="C26" s="9" t="inlineStr">
        <is>
          <t>Stagiaire RH</t>
        </is>
      </c>
    </row>
    <row r="27">
      <c r="C27" s="9" t="inlineStr">
        <is>
          <t>Stagiaire</t>
        </is>
      </c>
    </row>
    <row r="28">
      <c r="C28" s="9" t="inlineStr">
        <is>
          <t>Autre</t>
        </is>
      </c>
    </row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8" customWidth="1" min="4" max="4"/>
    <col width="22" customWidth="1" min="5" max="5"/>
    <col width="18" customWidth="1" min="6" max="6"/>
    <col width="24" customWidth="1" min="7" max="7"/>
    <col width="14" customWidth="1" min="8" max="8"/>
    <col width="34" customWidth="1" min="9" max="9"/>
    <col width="22" customWidth="1" min="10" max="10"/>
  </cols>
  <sheetData>
    <row r="1" ht="15" customHeight="1"/>
    <row r="2" ht="32" customHeight="1">
      <c r="B2" s="1" t="inlineStr">
        <is>
          <t>COMMUNICATION INTERNE (#137)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Titre Communication</t>
        </is>
      </c>
      <c r="D4" s="10" t="inlineStr">
        <is>
          <t>Type</t>
        </is>
      </c>
      <c r="E4" s="10" t="inlineStr">
        <is>
          <t>Canal</t>
        </is>
      </c>
      <c r="F4" s="10" t="inlineStr">
        <is>
          <t>Emetteur</t>
        </is>
      </c>
      <c r="G4" s="10" t="inlineStr">
        <is>
          <t>Cible / Destinataire</t>
        </is>
      </c>
      <c r="H4" s="10" t="inlineStr">
        <is>
          <t>Date Emission</t>
        </is>
      </c>
      <c r="I4" s="10" t="inlineStr">
        <is>
          <t>Contenu Resume</t>
        </is>
      </c>
      <c r="J4" s="10" t="inlineStr">
        <is>
          <t>Statut</t>
        </is>
      </c>
    </row>
    <row r="5" ht="22" customHeight="1">
      <c r="B5" s="11" t="inlineStr">
        <is>
          <t>COM-001</t>
        </is>
      </c>
      <c r="C5" s="11" t="inlineStr">
        <is>
          <t>Nouvelle politique conges 2025</t>
        </is>
      </c>
      <c r="D5" s="11" t="inlineStr">
        <is>
          <t>Information</t>
        </is>
      </c>
      <c r="E5" s="11" t="inlineStr">
        <is>
          <t>Email</t>
        </is>
      </c>
      <c r="F5" s="11" t="inlineStr">
        <is>
          <t>DRH</t>
        </is>
      </c>
      <c r="G5" s="11" t="inlineStr">
        <is>
          <t>Tous les employes</t>
        </is>
      </c>
      <c r="H5" s="27" t="n">
        <v>45672</v>
      </c>
      <c r="I5" s="11" t="inlineStr">
        <is>
          <t>Mise a jour des plafonds de conges annuels</t>
        </is>
      </c>
      <c r="J5" s="11" t="inlineStr">
        <is>
          <t>Diffusee</t>
        </is>
      </c>
    </row>
    <row r="6" ht="22" customHeight="1">
      <c r="B6" s="13" t="inlineStr">
        <is>
          <t>COM-002</t>
        </is>
      </c>
      <c r="C6" s="13" t="inlineStr">
        <is>
          <t>Semaine de l'integration Q1</t>
        </is>
      </c>
      <c r="D6" s="13" t="inlineStr">
        <is>
          <t>Evenement</t>
        </is>
      </c>
      <c r="E6" s="13" t="inlineStr">
        <is>
          <t>Affichage</t>
        </is>
      </c>
      <c r="F6" s="13" t="inlineStr">
        <is>
          <t>DRH</t>
        </is>
      </c>
      <c r="G6" s="13" t="inlineStr">
        <is>
          <t>Nouveaux employes</t>
        </is>
      </c>
      <c r="H6" s="28" t="n">
        <v>45689</v>
      </c>
      <c r="I6" s="13" t="inlineStr">
        <is>
          <t>Programme d'accueil et visite des services</t>
        </is>
      </c>
      <c r="J6" s="13" t="inlineStr">
        <is>
          <t>En cours de validation</t>
        </is>
      </c>
    </row>
    <row r="7" ht="22" customHeight="1">
      <c r="B7" s="11" t="inlineStr">
        <is>
          <t>COM-003</t>
        </is>
      </c>
      <c r="C7" s="11" t="inlineStr">
        <is>
          <t>Resultats enquete climat 2024</t>
        </is>
      </c>
      <c r="D7" s="11" t="inlineStr">
        <is>
          <t>Consultation</t>
        </is>
      </c>
      <c r="E7" s="11" t="inlineStr">
        <is>
          <t>Reunion</t>
        </is>
      </c>
      <c r="F7" s="11" t="inlineStr">
        <is>
          <t>Direction</t>
        </is>
      </c>
      <c r="G7" s="11" t="inlineStr">
        <is>
          <t>Cadres et managers</t>
        </is>
      </c>
      <c r="H7" s="27" t="n">
        <v>45682</v>
      </c>
      <c r="I7" s="11" t="inlineStr">
        <is>
          <t>Presentation des resultats et plan d'action</t>
        </is>
      </c>
      <c r="J7" s="11" t="inlineStr">
        <is>
          <t>Valide</t>
        </is>
      </c>
    </row>
    <row r="8" ht="22" customHeight="1">
      <c r="B8" s="15">
        <f>IF(C8="","COM-"&amp;TEXT(COUNTA($C$5:C8),"000"))</f>
        <v/>
      </c>
      <c r="C8" s="13" t="n"/>
      <c r="D8" s="13" t="n"/>
      <c r="E8" s="13" t="n"/>
      <c r="F8" s="13" t="n"/>
      <c r="G8" s="13" t="n"/>
      <c r="H8" s="28" t="n"/>
      <c r="I8" s="13" t="n"/>
      <c r="J8" s="13" t="n"/>
    </row>
    <row r="9" ht="22" customHeight="1">
      <c r="B9" s="16">
        <f>IF(C9="","COM-"&amp;TEXT(COUNTA($C$5:C9),"000"))</f>
        <v/>
      </c>
      <c r="C9" s="11" t="n"/>
      <c r="D9" s="11" t="n"/>
      <c r="E9" s="11" t="n"/>
      <c r="F9" s="11" t="n"/>
      <c r="G9" s="11" t="n"/>
      <c r="H9" s="27" t="n"/>
      <c r="I9" s="11" t="n"/>
      <c r="J9" s="11" t="n"/>
    </row>
    <row r="10" ht="22" customHeight="1">
      <c r="B10" s="15">
        <f>IF(C10="","COM-"&amp;TEXT(COUNTA($C$5:C10),"000"))</f>
        <v/>
      </c>
      <c r="C10" s="13" t="n"/>
      <c r="D10" s="13" t="n"/>
      <c r="E10" s="13" t="n"/>
      <c r="F10" s="13" t="n"/>
      <c r="G10" s="13" t="n"/>
      <c r="H10" s="28" t="n"/>
      <c r="I10" s="13" t="n"/>
      <c r="J10" s="13" t="n"/>
    </row>
    <row r="11" ht="22" customHeight="1">
      <c r="B11" s="16">
        <f>IF(C11="","COM-"&amp;TEXT(COUNTA($C$5:C11),"000"))</f>
        <v/>
      </c>
      <c r="C11" s="11" t="n"/>
      <c r="D11" s="11" t="n"/>
      <c r="E11" s="11" t="n"/>
      <c r="F11" s="11" t="n"/>
      <c r="G11" s="11" t="n"/>
      <c r="H11" s="27" t="n"/>
      <c r="I11" s="11" t="n"/>
      <c r="J11" s="11" t="n"/>
    </row>
    <row r="12" ht="22" customHeight="1">
      <c r="B12" s="15">
        <f>IF(C12="","COM-"&amp;TEXT(COUNTA($C$5:C12),"000"))</f>
        <v/>
      </c>
      <c r="C12" s="13" t="n"/>
      <c r="D12" s="13" t="n"/>
      <c r="E12" s="13" t="n"/>
      <c r="F12" s="13" t="n"/>
      <c r="G12" s="13" t="n"/>
      <c r="H12" s="28" t="n"/>
      <c r="I12" s="13" t="n"/>
      <c r="J12" s="13" t="n"/>
    </row>
    <row r="13" ht="22" customHeight="1">
      <c r="B13" s="16">
        <f>IF(C13="","COM-"&amp;TEXT(COUNTA($C$5:C13),"000"))</f>
        <v/>
      </c>
      <c r="C13" s="11" t="n"/>
      <c r="D13" s="11" t="n"/>
      <c r="E13" s="11" t="n"/>
      <c r="F13" s="11" t="n"/>
      <c r="G13" s="11" t="n"/>
      <c r="H13" s="27" t="n"/>
      <c r="I13" s="11" t="n"/>
      <c r="J13" s="11" t="n"/>
    </row>
    <row r="14" ht="22" customHeight="1">
      <c r="B14" s="15">
        <f>IF(C14="","COM-"&amp;TEXT(COUNTA($C$5:C14),"000"))</f>
        <v/>
      </c>
      <c r="C14" s="13" t="n"/>
      <c r="D14" s="13" t="n"/>
      <c r="E14" s="13" t="n"/>
      <c r="F14" s="13" t="n"/>
      <c r="G14" s="13" t="n"/>
      <c r="H14" s="28" t="n"/>
      <c r="I14" s="13" t="n"/>
      <c r="J14" s="13" t="n"/>
    </row>
    <row r="15" ht="22" customHeight="1">
      <c r="B15" s="16">
        <f>IF(C15="","COM-"&amp;TEXT(COUNTA($C$5:C15),"000"))</f>
        <v/>
      </c>
      <c r="C15" s="11" t="n"/>
      <c r="D15" s="11" t="n"/>
      <c r="E15" s="11" t="n"/>
      <c r="F15" s="11" t="n"/>
      <c r="G15" s="11" t="n"/>
      <c r="H15" s="27" t="n"/>
      <c r="I15" s="11" t="n"/>
      <c r="J15" s="11" t="n"/>
    </row>
    <row r="16" ht="22" customHeight="1">
      <c r="B16" s="15">
        <f>IF(C16="","COM-"&amp;TEXT(COUNTA($C$5:C16),"000"))</f>
        <v/>
      </c>
      <c r="C16" s="13" t="n"/>
      <c r="D16" s="13" t="n"/>
      <c r="E16" s="13" t="n"/>
      <c r="F16" s="13" t="n"/>
      <c r="G16" s="13" t="n"/>
      <c r="H16" s="28" t="n"/>
      <c r="I16" s="13" t="n"/>
      <c r="J16" s="13" t="n"/>
    </row>
    <row r="17" ht="22" customHeight="1">
      <c r="B17" s="16">
        <f>IF(C17="","COM-"&amp;TEXT(COUNTA($C$5:C17),"000"))</f>
        <v/>
      </c>
      <c r="C17" s="11" t="n"/>
      <c r="D17" s="11" t="n"/>
      <c r="E17" s="11" t="n"/>
      <c r="F17" s="11" t="n"/>
      <c r="G17" s="11" t="n"/>
      <c r="H17" s="27" t="n"/>
      <c r="I17" s="11" t="n"/>
      <c r="J17" s="11" t="n"/>
    </row>
    <row r="18" ht="22" customHeight="1">
      <c r="B18" s="15">
        <f>IF(C18="","COM-"&amp;TEXT(COUNTA($C$5:C18),"000"))</f>
        <v/>
      </c>
      <c r="C18" s="13" t="n"/>
      <c r="D18" s="13" t="n"/>
      <c r="E18" s="13" t="n"/>
      <c r="F18" s="13" t="n"/>
      <c r="G18" s="13" t="n"/>
      <c r="H18" s="28" t="n"/>
      <c r="I18" s="13" t="n"/>
      <c r="J18" s="13" t="n"/>
    </row>
    <row r="19" ht="22" customHeight="1">
      <c r="B19" s="16">
        <f>IF(C19="","COM-"&amp;TEXT(COUNTA($C$5:C19),"000"))</f>
        <v/>
      </c>
      <c r="C19" s="11" t="n"/>
      <c r="D19" s="11" t="n"/>
      <c r="E19" s="11" t="n"/>
      <c r="F19" s="11" t="n"/>
      <c r="G19" s="11" t="n"/>
      <c r="H19" s="27" t="n"/>
      <c r="I19" s="11" t="n"/>
      <c r="J19" s="11" t="n"/>
    </row>
    <row r="20" ht="22" customHeight="1">
      <c r="B20" s="15">
        <f>IF(C20="","COM-"&amp;TEXT(COUNTA($C$5:C20),"000"))</f>
        <v/>
      </c>
      <c r="C20" s="13" t="n"/>
      <c r="D20" s="13" t="n"/>
      <c r="E20" s="13" t="n"/>
      <c r="F20" s="13" t="n"/>
      <c r="G20" s="13" t="n"/>
      <c r="H20" s="28" t="n"/>
      <c r="I20" s="13" t="n"/>
      <c r="J20" s="13" t="n"/>
    </row>
    <row r="21" ht="22" customHeight="1">
      <c r="B21" s="16">
        <f>IF(C21="","COM-"&amp;TEXT(COUNTA($C$5:C21),"000"))</f>
        <v/>
      </c>
      <c r="C21" s="11" t="n"/>
      <c r="D21" s="11" t="n"/>
      <c r="E21" s="11" t="n"/>
      <c r="F21" s="11" t="n"/>
      <c r="G21" s="11" t="n"/>
      <c r="H21" s="27" t="n"/>
      <c r="I21" s="11" t="n"/>
      <c r="J21" s="11" t="n"/>
    </row>
    <row r="22" ht="22" customHeight="1">
      <c r="B22" s="15">
        <f>IF(C22="","COM-"&amp;TEXT(COUNTA($C$5:C22),"000"))</f>
        <v/>
      </c>
      <c r="C22" s="13" t="n"/>
      <c r="D22" s="13" t="n"/>
      <c r="E22" s="13" t="n"/>
      <c r="F22" s="13" t="n"/>
      <c r="G22" s="13" t="n"/>
      <c r="H22" s="28" t="n"/>
      <c r="I22" s="13" t="n"/>
      <c r="J22" s="13" t="n"/>
    </row>
    <row r="23" ht="22" customHeight="1">
      <c r="B23" s="16">
        <f>IF(C23="","COM-"&amp;TEXT(COUNTA($C$5:C23),"000"))</f>
        <v/>
      </c>
      <c r="C23" s="11" t="n"/>
      <c r="D23" s="11" t="n"/>
      <c r="E23" s="11" t="n"/>
      <c r="F23" s="11" t="n"/>
      <c r="G23" s="11" t="n"/>
      <c r="H23" s="27" t="n"/>
      <c r="I23" s="11" t="n"/>
      <c r="J23" s="11" t="n"/>
    </row>
    <row r="24" ht="22" customHeight="1">
      <c r="B24" s="15">
        <f>IF(C24="","COM-"&amp;TEXT(COUNTA($C$5:C24),"000"))</f>
        <v/>
      </c>
      <c r="C24" s="13" t="n"/>
      <c r="D24" s="13" t="n"/>
      <c r="E24" s="13" t="n"/>
      <c r="F24" s="13" t="n"/>
      <c r="G24" s="13" t="n"/>
      <c r="H24" s="28" t="n"/>
      <c r="I24" s="13" t="n"/>
      <c r="J24" s="13" t="n"/>
    </row>
    <row r="25" ht="22" customHeight="1">
      <c r="B25" s="16">
        <f>IF(C25="","COM-"&amp;TEXT(COUNTA($C$5:C25),"000"))</f>
        <v/>
      </c>
      <c r="C25" s="11" t="n"/>
      <c r="D25" s="11" t="n"/>
      <c r="E25" s="11" t="n"/>
      <c r="F25" s="11" t="n"/>
      <c r="G25" s="11" t="n"/>
      <c r="H25" s="27" t="n"/>
      <c r="I25" s="11" t="n"/>
      <c r="J25" s="11" t="n"/>
    </row>
    <row r="26" ht="22" customHeight="1">
      <c r="B26" s="15">
        <f>IF(C26="","COM-"&amp;TEXT(COUNTA($C$5:C26),"000"))</f>
        <v/>
      </c>
      <c r="C26" s="13" t="n"/>
      <c r="D26" s="13" t="n"/>
      <c r="E26" s="13" t="n"/>
      <c r="F26" s="13" t="n"/>
      <c r="G26" s="13" t="n"/>
      <c r="H26" s="28" t="n"/>
      <c r="I26" s="13" t="n"/>
      <c r="J26" s="13" t="n"/>
    </row>
    <row r="27" ht="22" customHeight="1">
      <c r="B27" s="16">
        <f>IF(C27="","COM-"&amp;TEXT(COUNTA($C$5:C27),"000"))</f>
        <v/>
      </c>
      <c r="C27" s="11" t="n"/>
      <c r="D27" s="11" t="n"/>
      <c r="E27" s="11" t="n"/>
      <c r="F27" s="11" t="n"/>
      <c r="G27" s="11" t="n"/>
      <c r="H27" s="27" t="n"/>
      <c r="I27" s="11" t="n"/>
      <c r="J27" s="11" t="n"/>
    </row>
    <row r="28" ht="22" customHeight="1">
      <c r="B28" s="15">
        <f>IF(C28="","COM-"&amp;TEXT(COUNTA($C$5:C28),"000"))</f>
        <v/>
      </c>
      <c r="C28" s="13" t="n"/>
      <c r="D28" s="13" t="n"/>
      <c r="E28" s="13" t="n"/>
      <c r="F28" s="13" t="n"/>
      <c r="G28" s="13" t="n"/>
      <c r="H28" s="28" t="n"/>
      <c r="I28" s="13" t="n"/>
      <c r="J28" s="13" t="n"/>
    </row>
    <row r="29" ht="22" customHeight="1">
      <c r="B29" s="16">
        <f>IF(C29="","COM-"&amp;TEXT(COUNTA($C$5:C29),"000"))</f>
        <v/>
      </c>
      <c r="C29" s="11" t="n"/>
      <c r="D29" s="11" t="n"/>
      <c r="E29" s="11" t="n"/>
      <c r="F29" s="11" t="n"/>
      <c r="G29" s="11" t="n"/>
      <c r="H29" s="27" t="n"/>
      <c r="I29" s="11" t="n"/>
      <c r="J29" s="11" t="n"/>
    </row>
    <row r="30" ht="22" customHeight="1">
      <c r="B30" s="15">
        <f>IF(C30="","COM-"&amp;TEXT(COUNTA($C$5:C30),"000"))</f>
        <v/>
      </c>
      <c r="C30" s="13" t="n"/>
      <c r="D30" s="13" t="n"/>
      <c r="E30" s="13" t="n"/>
      <c r="F30" s="13" t="n"/>
      <c r="G30" s="13" t="n"/>
      <c r="H30" s="28" t="n"/>
      <c r="I30" s="13" t="n"/>
      <c r="J30" s="13" t="n"/>
    </row>
    <row r="31" ht="22" customHeight="1">
      <c r="B31" s="16">
        <f>IF(C31="","COM-"&amp;TEXT(COUNTA($C$5:C31),"000"))</f>
        <v/>
      </c>
      <c r="C31" s="11" t="n"/>
      <c r="D31" s="11" t="n"/>
      <c r="E31" s="11" t="n"/>
      <c r="F31" s="11" t="n"/>
      <c r="G31" s="11" t="n"/>
      <c r="H31" s="27" t="n"/>
      <c r="I31" s="11" t="n"/>
      <c r="J31" s="11" t="n"/>
    </row>
    <row r="32" ht="22" customHeight="1">
      <c r="B32" s="15">
        <f>IF(C32="","COM-"&amp;TEXT(COUNTA($C$5:C32),"000"))</f>
        <v/>
      </c>
      <c r="C32" s="13" t="n"/>
      <c r="D32" s="13" t="n"/>
      <c r="E32" s="13" t="n"/>
      <c r="F32" s="13" t="n"/>
      <c r="G32" s="13" t="n"/>
      <c r="H32" s="28" t="n"/>
      <c r="I32" s="13" t="n"/>
      <c r="J32" s="13" t="n"/>
    </row>
    <row r="33" ht="22" customHeight="1">
      <c r="B33" s="16">
        <f>IF(C33="","COM-"&amp;TEXT(COUNTA($C$5:C33),"000"))</f>
        <v/>
      </c>
      <c r="C33" s="11" t="n"/>
      <c r="D33" s="11" t="n"/>
      <c r="E33" s="11" t="n"/>
      <c r="F33" s="11" t="n"/>
      <c r="G33" s="11" t="n"/>
      <c r="H33" s="27" t="n"/>
      <c r="I33" s="11" t="n"/>
      <c r="J33" s="11" t="n"/>
    </row>
    <row r="34" ht="22" customHeight="1">
      <c r="B34" s="15">
        <f>IF(C34="","COM-"&amp;TEXT(COUNTA($C$5:C34),"000"))</f>
        <v/>
      </c>
      <c r="C34" s="13" t="n"/>
      <c r="D34" s="13" t="n"/>
      <c r="E34" s="13" t="n"/>
      <c r="F34" s="13" t="n"/>
      <c r="G34" s="13" t="n"/>
      <c r="H34" s="28" t="n"/>
      <c r="I34" s="13" t="n"/>
      <c r="J34" s="13" t="n"/>
    </row>
    <row r="35" ht="22" customHeight="1">
      <c r="B35" s="16">
        <f>IF(C35="","COM-"&amp;TEXT(COUNTA($C$5:C35),"000"))</f>
        <v/>
      </c>
      <c r="C35" s="11" t="n"/>
      <c r="D35" s="11" t="n"/>
      <c r="E35" s="11" t="n"/>
      <c r="F35" s="11" t="n"/>
      <c r="G35" s="11" t="n"/>
      <c r="H35" s="27" t="n"/>
      <c r="I35" s="11" t="n"/>
      <c r="J35" s="11" t="n"/>
    </row>
    <row r="36" ht="22" customHeight="1">
      <c r="B36" s="15">
        <f>IF(C36="","COM-"&amp;TEXT(COUNTA($C$5:C36),"000"))</f>
        <v/>
      </c>
      <c r="C36" s="13" t="n"/>
      <c r="D36" s="13" t="n"/>
      <c r="E36" s="13" t="n"/>
      <c r="F36" s="13" t="n"/>
      <c r="G36" s="13" t="n"/>
      <c r="H36" s="28" t="n"/>
      <c r="I36" s="13" t="n"/>
      <c r="J36" s="13" t="n"/>
    </row>
    <row r="37" ht="22" customHeight="1">
      <c r="B37" s="16">
        <f>IF(C37="","COM-"&amp;TEXT(COUNTA($C$5:C37),"000"))</f>
        <v/>
      </c>
      <c r="C37" s="11" t="n"/>
      <c r="D37" s="11" t="n"/>
      <c r="E37" s="11" t="n"/>
      <c r="F37" s="11" t="n"/>
      <c r="G37" s="11" t="n"/>
      <c r="H37" s="27" t="n"/>
      <c r="I37" s="11" t="n"/>
      <c r="J37" s="11" t="n"/>
    </row>
    <row r="38" ht="22" customHeight="1">
      <c r="B38" s="15">
        <f>IF(C38="","COM-"&amp;TEXT(COUNTA($C$5:C38),"000"))</f>
        <v/>
      </c>
      <c r="C38" s="13" t="n"/>
      <c r="D38" s="13" t="n"/>
      <c r="E38" s="13" t="n"/>
      <c r="F38" s="13" t="n"/>
      <c r="G38" s="13" t="n"/>
      <c r="H38" s="28" t="n"/>
      <c r="I38" s="13" t="n"/>
      <c r="J38" s="13" t="n"/>
    </row>
    <row r="39" ht="22" customHeight="1">
      <c r="B39" s="16">
        <f>IF(C39="","COM-"&amp;TEXT(COUNTA($C$5:C39),"000"))</f>
        <v/>
      </c>
      <c r="C39" s="11" t="n"/>
      <c r="D39" s="11" t="n"/>
      <c r="E39" s="11" t="n"/>
      <c r="F39" s="11" t="n"/>
      <c r="G39" s="11" t="n"/>
      <c r="H39" s="27" t="n"/>
      <c r="I39" s="11" t="n"/>
      <c r="J39" s="11" t="n"/>
    </row>
    <row r="40" ht="22" customHeight="1">
      <c r="B40" s="15">
        <f>IF(C40="","COM-"&amp;TEXT(COUNTA($C$5:C40),"000"))</f>
        <v/>
      </c>
      <c r="C40" s="13" t="n"/>
      <c r="D40" s="13" t="n"/>
      <c r="E40" s="13" t="n"/>
      <c r="F40" s="13" t="n"/>
      <c r="G40" s="13" t="n"/>
      <c r="H40" s="28" t="n"/>
      <c r="I40" s="13" t="n"/>
      <c r="J40" s="13" t="n"/>
    </row>
    <row r="41" ht="22" customHeight="1">
      <c r="B41" s="16">
        <f>IF(C41="","COM-"&amp;TEXT(COUNTA($C$5:C41),"000"))</f>
        <v/>
      </c>
      <c r="C41" s="11" t="n"/>
      <c r="D41" s="11" t="n"/>
      <c r="E41" s="11" t="n"/>
      <c r="F41" s="11" t="n"/>
      <c r="G41" s="11" t="n"/>
      <c r="H41" s="27" t="n"/>
      <c r="I41" s="11" t="n"/>
      <c r="J41" s="11" t="n"/>
    </row>
    <row r="42" ht="22" customHeight="1">
      <c r="B42" s="15">
        <f>IF(C42="","COM-"&amp;TEXT(COUNTA($C$5:C42),"000"))</f>
        <v/>
      </c>
      <c r="C42" s="13" t="n"/>
      <c r="D42" s="13" t="n"/>
      <c r="E42" s="13" t="n"/>
      <c r="F42" s="13" t="n"/>
      <c r="G42" s="13" t="n"/>
      <c r="H42" s="28" t="n"/>
      <c r="I42" s="13" t="n"/>
      <c r="J42" s="13" t="n"/>
    </row>
    <row r="43" ht="22" customHeight="1">
      <c r="B43" s="16">
        <f>IF(C43="","COM-"&amp;TEXT(COUNTA($C$5:C43),"000"))</f>
        <v/>
      </c>
      <c r="C43" s="11" t="n"/>
      <c r="D43" s="11" t="n"/>
      <c r="E43" s="11" t="n"/>
      <c r="F43" s="11" t="n"/>
      <c r="G43" s="11" t="n"/>
      <c r="H43" s="27" t="n"/>
      <c r="I43" s="11" t="n"/>
      <c r="J43" s="11" t="n"/>
    </row>
    <row r="44" ht="22" customHeight="1">
      <c r="B44" s="15">
        <f>IF(C44="","COM-"&amp;TEXT(COUNTA($C$5:C44),"000"))</f>
        <v/>
      </c>
      <c r="C44" s="13" t="n"/>
      <c r="D44" s="13" t="n"/>
      <c r="E44" s="13" t="n"/>
      <c r="F44" s="13" t="n"/>
      <c r="G44" s="13" t="n"/>
      <c r="H44" s="28" t="n"/>
      <c r="I44" s="13" t="n"/>
      <c r="J44" s="13" t="n"/>
    </row>
    <row r="45" ht="22" customHeight="1">
      <c r="B45" s="16">
        <f>IF(C45="","COM-"&amp;TEXT(COUNTA($C$5:C45),"000"))</f>
        <v/>
      </c>
      <c r="C45" s="11" t="n"/>
      <c r="D45" s="11" t="n"/>
      <c r="E45" s="11" t="n"/>
      <c r="F45" s="11" t="n"/>
      <c r="G45" s="11" t="n"/>
      <c r="H45" s="27" t="n"/>
      <c r="I45" s="11" t="n"/>
      <c r="J45" s="11" t="n"/>
    </row>
    <row r="46" ht="22" customHeight="1">
      <c r="B46" s="15">
        <f>IF(C46="","COM-"&amp;TEXT(COUNTA($C$5:C46),"000"))</f>
        <v/>
      </c>
      <c r="C46" s="13" t="n"/>
      <c r="D46" s="13" t="n"/>
      <c r="E46" s="13" t="n"/>
      <c r="F46" s="13" t="n"/>
      <c r="G46" s="13" t="n"/>
      <c r="H46" s="28" t="n"/>
      <c r="I46" s="13" t="n"/>
      <c r="J46" s="13" t="n"/>
    </row>
    <row r="47" ht="22" customHeight="1">
      <c r="B47" s="16">
        <f>IF(C47="","COM-"&amp;TEXT(COUNTA($C$5:C47),"000"))</f>
        <v/>
      </c>
      <c r="C47" s="11" t="n"/>
      <c r="D47" s="11" t="n"/>
      <c r="E47" s="11" t="n"/>
      <c r="F47" s="11" t="n"/>
      <c r="G47" s="11" t="n"/>
      <c r="H47" s="27" t="n"/>
      <c r="I47" s="11" t="n"/>
      <c r="J47" s="11" t="n"/>
    </row>
    <row r="48" ht="22" customHeight="1">
      <c r="B48" s="15">
        <f>IF(C48="","COM-"&amp;TEXT(COUNTA($C$5:C48),"000"))</f>
        <v/>
      </c>
      <c r="C48" s="13" t="n"/>
      <c r="D48" s="13" t="n"/>
      <c r="E48" s="13" t="n"/>
      <c r="F48" s="13" t="n"/>
      <c r="G48" s="13" t="n"/>
      <c r="H48" s="28" t="n"/>
      <c r="I48" s="13" t="n"/>
      <c r="J48" s="13" t="n"/>
    </row>
    <row r="49" ht="22" customHeight="1">
      <c r="B49" s="16">
        <f>IF(C49="","COM-"&amp;TEXT(COUNTA($C$5:C49),"000"))</f>
        <v/>
      </c>
      <c r="C49" s="11" t="n"/>
      <c r="D49" s="11" t="n"/>
      <c r="E49" s="11" t="n"/>
      <c r="F49" s="11" t="n"/>
      <c r="G49" s="11" t="n"/>
      <c r="H49" s="27" t="n"/>
      <c r="I49" s="11" t="n"/>
      <c r="J49" s="11" t="n"/>
    </row>
    <row r="50" ht="22" customHeight="1">
      <c r="B50" s="15">
        <f>IF(C50="","COM-"&amp;TEXT(COUNTA($C$5:C50),"000"))</f>
        <v/>
      </c>
      <c r="C50" s="13" t="n"/>
      <c r="D50" s="13" t="n"/>
      <c r="E50" s="13" t="n"/>
      <c r="F50" s="13" t="n"/>
      <c r="G50" s="13" t="n"/>
      <c r="H50" s="28" t="n"/>
      <c r="I50" s="13" t="n"/>
      <c r="J50" s="13" t="n"/>
    </row>
    <row r="51" ht="22" customHeight="1">
      <c r="B51" s="16">
        <f>IF(C51="","COM-"&amp;TEXT(COUNTA($C$5:C51),"000"))</f>
        <v/>
      </c>
      <c r="C51" s="11" t="n"/>
      <c r="D51" s="11" t="n"/>
      <c r="E51" s="11" t="n"/>
      <c r="F51" s="11" t="n"/>
      <c r="G51" s="11" t="n"/>
      <c r="H51" s="27" t="n"/>
      <c r="I51" s="11" t="n"/>
      <c r="J51" s="11" t="n"/>
    </row>
    <row r="52" ht="22" customHeight="1">
      <c r="B52" s="15">
        <f>IF(C52="","COM-"&amp;TEXT(COUNTA($C$5:C52),"000"))</f>
        <v/>
      </c>
      <c r="C52" s="13" t="n"/>
      <c r="D52" s="13" t="n"/>
      <c r="E52" s="13" t="n"/>
      <c r="F52" s="13" t="n"/>
      <c r="G52" s="13" t="n"/>
      <c r="H52" s="28" t="n"/>
      <c r="I52" s="13" t="n"/>
      <c r="J52" s="13" t="n"/>
    </row>
    <row r="53" ht="22" customHeight="1">
      <c r="B53" s="16">
        <f>IF(C53="","COM-"&amp;TEXT(COUNTA($C$5:C53),"000"))</f>
        <v/>
      </c>
      <c r="C53" s="11" t="n"/>
      <c r="D53" s="11" t="n"/>
      <c r="E53" s="11" t="n"/>
      <c r="F53" s="11" t="n"/>
      <c r="G53" s="11" t="n"/>
      <c r="H53" s="27" t="n"/>
      <c r="I53" s="11" t="n"/>
      <c r="J53" s="11" t="n"/>
    </row>
    <row r="54" ht="22" customHeight="1">
      <c r="B54" s="15">
        <f>IF(C54="","COM-"&amp;TEXT(COUNTA($C$5:C54),"000"))</f>
        <v/>
      </c>
      <c r="C54" s="13" t="n"/>
      <c r="D54" s="13" t="n"/>
      <c r="E54" s="13" t="n"/>
      <c r="F54" s="13" t="n"/>
      <c r="G54" s="13" t="n"/>
      <c r="H54" s="28" t="n"/>
      <c r="I54" s="13" t="n"/>
      <c r="J54" s="13" t="n"/>
    </row>
    <row r="55" ht="22" customHeight="1">
      <c r="B55" s="16">
        <f>IF(C55="","COM-"&amp;TEXT(COUNTA($C$5:C55),"000"))</f>
        <v/>
      </c>
      <c r="C55" s="11" t="n"/>
      <c r="D55" s="11" t="n"/>
      <c r="E55" s="11" t="n"/>
      <c r="F55" s="11" t="n"/>
      <c r="G55" s="11" t="n"/>
      <c r="H55" s="27" t="n"/>
      <c r="I55" s="11" t="n"/>
      <c r="J55" s="11" t="n"/>
    </row>
    <row r="56" ht="22" customHeight="1">
      <c r="B56" s="15">
        <f>IF(C56="","COM-"&amp;TEXT(COUNTA($C$5:C56),"000"))</f>
        <v/>
      </c>
      <c r="C56" s="13" t="n"/>
      <c r="D56" s="13" t="n"/>
      <c r="E56" s="13" t="n"/>
      <c r="F56" s="13" t="n"/>
      <c r="G56" s="13" t="n"/>
      <c r="H56" s="28" t="n"/>
      <c r="I56" s="13" t="n"/>
      <c r="J56" s="13" t="n"/>
    </row>
    <row r="57" ht="22" customHeight="1">
      <c r="B57" s="16">
        <f>IF(C57="","COM-"&amp;TEXT(COUNTA($C$5:C57),"000"))</f>
        <v/>
      </c>
      <c r="C57" s="11" t="n"/>
      <c r="D57" s="11" t="n"/>
      <c r="E57" s="11" t="n"/>
      <c r="F57" s="11" t="n"/>
      <c r="G57" s="11" t="n"/>
      <c r="H57" s="27" t="n"/>
      <c r="I57" s="11" t="n"/>
      <c r="J57" s="11" t="n"/>
    </row>
    <row r="58" ht="22" customHeight="1">
      <c r="B58" s="15">
        <f>IF(C58="","COM-"&amp;TEXT(COUNTA($C$5:C58),"000"))</f>
        <v/>
      </c>
      <c r="C58" s="13" t="n"/>
      <c r="D58" s="13" t="n"/>
      <c r="E58" s="13" t="n"/>
      <c r="F58" s="13" t="n"/>
      <c r="G58" s="13" t="n"/>
      <c r="H58" s="28" t="n"/>
      <c r="I58" s="13" t="n"/>
      <c r="J58" s="13" t="n"/>
    </row>
    <row r="59" ht="22" customHeight="1">
      <c r="B59" s="16">
        <f>IF(C59="","COM-"&amp;TEXT(COUNTA($C$5:C59),"000"))</f>
        <v/>
      </c>
      <c r="C59" s="11" t="n"/>
      <c r="D59" s="11" t="n"/>
      <c r="E59" s="11" t="n"/>
      <c r="F59" s="11" t="n"/>
      <c r="G59" s="11" t="n"/>
      <c r="H59" s="27" t="n"/>
      <c r="I59" s="11" t="n"/>
      <c r="J59" s="11" t="n"/>
    </row>
    <row r="60" ht="22" customHeight="1">
      <c r="B60" s="15">
        <f>IF(C60="","COM-"&amp;TEXT(COUNTA($C$5:C60),"000"))</f>
        <v/>
      </c>
      <c r="C60" s="13" t="n"/>
      <c r="D60" s="13" t="n"/>
      <c r="E60" s="13" t="n"/>
      <c r="F60" s="13" t="n"/>
      <c r="G60" s="13" t="n"/>
      <c r="H60" s="28" t="n"/>
      <c r="I60" s="13" t="n"/>
      <c r="J60" s="13" t="n"/>
    </row>
    <row r="61" ht="22" customHeight="1">
      <c r="B61" s="16">
        <f>IF(C61="","COM-"&amp;TEXT(COUNTA($C$5:C61),"000"))</f>
        <v/>
      </c>
      <c r="C61" s="11" t="n"/>
      <c r="D61" s="11" t="n"/>
      <c r="E61" s="11" t="n"/>
      <c r="F61" s="11" t="n"/>
      <c r="G61" s="11" t="n"/>
      <c r="H61" s="27" t="n"/>
      <c r="I61" s="11" t="n"/>
      <c r="J61" s="11" t="n"/>
    </row>
    <row r="62" ht="22" customHeight="1">
      <c r="B62" s="15">
        <f>IF(C62="","COM-"&amp;TEXT(COUNTA($C$5:C62),"000"))</f>
        <v/>
      </c>
      <c r="C62" s="13" t="n"/>
      <c r="D62" s="13" t="n"/>
      <c r="E62" s="13" t="n"/>
      <c r="F62" s="13" t="n"/>
      <c r="G62" s="13" t="n"/>
      <c r="H62" s="28" t="n"/>
      <c r="I62" s="13" t="n"/>
      <c r="J62" s="13" t="n"/>
    </row>
    <row r="63" ht="22" customHeight="1">
      <c r="B63" s="16">
        <f>IF(C63="","COM-"&amp;TEXT(COUNTA($C$5:C63),"000"))</f>
        <v/>
      </c>
      <c r="C63" s="11" t="n"/>
      <c r="D63" s="11" t="n"/>
      <c r="E63" s="11" t="n"/>
      <c r="F63" s="11" t="n"/>
      <c r="G63" s="11" t="n"/>
      <c r="H63" s="27" t="n"/>
      <c r="I63" s="11" t="n"/>
      <c r="J63" s="11" t="n"/>
    </row>
    <row r="64" ht="22" customHeight="1">
      <c r="B64" s="15">
        <f>IF(C64="","COM-"&amp;TEXT(COUNTA($C$5:C64),"000"))</f>
        <v/>
      </c>
      <c r="C64" s="13" t="n"/>
      <c r="D64" s="13" t="n"/>
      <c r="E64" s="13" t="n"/>
      <c r="F64" s="13" t="n"/>
      <c r="G64" s="13" t="n"/>
      <c r="H64" s="28" t="n"/>
      <c r="I64" s="13" t="n"/>
      <c r="J64" s="13" t="n"/>
    </row>
    <row r="65" ht="22" customHeight="1">
      <c r="B65" s="16">
        <f>IF(C65="","COM-"&amp;TEXT(COUNTA($C$5:C65),"000"))</f>
        <v/>
      </c>
      <c r="C65" s="11" t="n"/>
      <c r="D65" s="11" t="n"/>
      <c r="E65" s="11" t="n"/>
      <c r="F65" s="11" t="n"/>
      <c r="G65" s="11" t="n"/>
      <c r="H65" s="27" t="n"/>
      <c r="I65" s="11" t="n"/>
      <c r="J65" s="11" t="n"/>
    </row>
    <row r="66" ht="22" customHeight="1">
      <c r="B66" s="15">
        <f>IF(C66="","COM-"&amp;TEXT(COUNTA($C$5:C66),"000"))</f>
        <v/>
      </c>
      <c r="C66" s="13" t="n"/>
      <c r="D66" s="13" t="n"/>
      <c r="E66" s="13" t="n"/>
      <c r="F66" s="13" t="n"/>
      <c r="G66" s="13" t="n"/>
      <c r="H66" s="28" t="n"/>
      <c r="I66" s="13" t="n"/>
      <c r="J66" s="13" t="n"/>
    </row>
    <row r="67" ht="22" customHeight="1">
      <c r="B67" s="16">
        <f>IF(C67="","COM-"&amp;TEXT(COUNTA($C$5:C67),"000"))</f>
        <v/>
      </c>
      <c r="C67" s="11" t="n"/>
      <c r="D67" s="11" t="n"/>
      <c r="E67" s="11" t="n"/>
      <c r="F67" s="11" t="n"/>
      <c r="G67" s="11" t="n"/>
      <c r="H67" s="27" t="n"/>
      <c r="I67" s="11" t="n"/>
      <c r="J67" s="11" t="n"/>
    </row>
    <row r="68" ht="22" customHeight="1">
      <c r="B68" s="15">
        <f>IF(C68="","COM-"&amp;TEXT(COUNTA($C$5:C68),"000"))</f>
        <v/>
      </c>
      <c r="C68" s="13" t="n"/>
      <c r="D68" s="13" t="n"/>
      <c r="E68" s="13" t="n"/>
      <c r="F68" s="13" t="n"/>
      <c r="G68" s="13" t="n"/>
      <c r="H68" s="28" t="n"/>
      <c r="I68" s="13" t="n"/>
      <c r="J68" s="13" t="n"/>
    </row>
    <row r="69" ht="22" customHeight="1">
      <c r="B69" s="16">
        <f>IF(C69="","COM-"&amp;TEXT(COUNTA($C$5:C69),"000"))</f>
        <v/>
      </c>
      <c r="C69" s="11" t="n"/>
      <c r="D69" s="11" t="n"/>
      <c r="E69" s="11" t="n"/>
      <c r="F69" s="11" t="n"/>
      <c r="G69" s="11" t="n"/>
      <c r="H69" s="27" t="n"/>
      <c r="I69" s="11" t="n"/>
      <c r="J69" s="11" t="n"/>
    </row>
    <row r="70" ht="22" customHeight="1">
      <c r="B70" s="15">
        <f>IF(C70="","COM-"&amp;TEXT(COUNTA($C$5:C70),"000"))</f>
        <v/>
      </c>
      <c r="C70" s="13" t="n"/>
      <c r="D70" s="13" t="n"/>
      <c r="E70" s="13" t="n"/>
      <c r="F70" s="13" t="n"/>
      <c r="G70" s="13" t="n"/>
      <c r="H70" s="28" t="n"/>
      <c r="I70" s="13" t="n"/>
      <c r="J70" s="13" t="n"/>
    </row>
    <row r="71" ht="22" customHeight="1">
      <c r="B71" s="16">
        <f>IF(C71="","COM-"&amp;TEXT(COUNTA($C$5:C71),"000"))</f>
        <v/>
      </c>
      <c r="C71" s="11" t="n"/>
      <c r="D71" s="11" t="n"/>
      <c r="E71" s="11" t="n"/>
      <c r="F71" s="11" t="n"/>
      <c r="G71" s="11" t="n"/>
      <c r="H71" s="27" t="n"/>
      <c r="I71" s="11" t="n"/>
      <c r="J71" s="11" t="n"/>
    </row>
    <row r="72" ht="22" customHeight="1">
      <c r="B72" s="15">
        <f>IF(C72="","COM-"&amp;TEXT(COUNTA($C$5:C72),"000"))</f>
        <v/>
      </c>
      <c r="C72" s="13" t="n"/>
      <c r="D72" s="13" t="n"/>
      <c r="E72" s="13" t="n"/>
      <c r="F72" s="13" t="n"/>
      <c r="G72" s="13" t="n"/>
      <c r="H72" s="28" t="n"/>
      <c r="I72" s="13" t="n"/>
      <c r="J72" s="13" t="n"/>
    </row>
    <row r="73" ht="22" customHeight="1">
      <c r="B73" s="16">
        <f>IF(C73="","COM-"&amp;TEXT(COUNTA($C$5:C73),"000"))</f>
        <v/>
      </c>
      <c r="C73" s="11" t="n"/>
      <c r="D73" s="11" t="n"/>
      <c r="E73" s="11" t="n"/>
      <c r="F73" s="11" t="n"/>
      <c r="G73" s="11" t="n"/>
      <c r="H73" s="27" t="n"/>
      <c r="I73" s="11" t="n"/>
      <c r="J73" s="11" t="n"/>
    </row>
    <row r="74" ht="22" customHeight="1">
      <c r="B74" s="15">
        <f>IF(C74="","COM-"&amp;TEXT(COUNTA($C$5:C74),"000"))</f>
        <v/>
      </c>
      <c r="C74" s="13" t="n"/>
      <c r="D74" s="13" t="n"/>
      <c r="E74" s="13" t="n"/>
      <c r="F74" s="13" t="n"/>
      <c r="G74" s="13" t="n"/>
      <c r="H74" s="28" t="n"/>
      <c r="I74" s="13" t="n"/>
      <c r="J74" s="13" t="n"/>
    </row>
    <row r="75" ht="22" customHeight="1">
      <c r="B75" s="16">
        <f>IF(C75="","COM-"&amp;TEXT(COUNTA($C$5:C75),"000"))</f>
        <v/>
      </c>
      <c r="C75" s="11" t="n"/>
      <c r="D75" s="11" t="n"/>
      <c r="E75" s="11" t="n"/>
      <c r="F75" s="11" t="n"/>
      <c r="G75" s="11" t="n"/>
      <c r="H75" s="27" t="n"/>
      <c r="I75" s="11" t="n"/>
      <c r="J75" s="11" t="n"/>
    </row>
    <row r="76" ht="22" customHeight="1">
      <c r="B76" s="15">
        <f>IF(C76="","COM-"&amp;TEXT(COUNTA($C$5:C76),"000"))</f>
        <v/>
      </c>
      <c r="C76" s="13" t="n"/>
      <c r="D76" s="13" t="n"/>
      <c r="E76" s="13" t="n"/>
      <c r="F76" s="13" t="n"/>
      <c r="G76" s="13" t="n"/>
      <c r="H76" s="28" t="n"/>
      <c r="I76" s="13" t="n"/>
      <c r="J76" s="13" t="n"/>
    </row>
    <row r="77" ht="22" customHeight="1">
      <c r="B77" s="16">
        <f>IF(C77="","COM-"&amp;TEXT(COUNTA($C$5:C77),"000"))</f>
        <v/>
      </c>
      <c r="C77" s="11" t="n"/>
      <c r="D77" s="11" t="n"/>
      <c r="E77" s="11" t="n"/>
      <c r="F77" s="11" t="n"/>
      <c r="G77" s="11" t="n"/>
      <c r="H77" s="27" t="n"/>
      <c r="I77" s="11" t="n"/>
      <c r="J77" s="11" t="n"/>
    </row>
    <row r="78" ht="22" customHeight="1">
      <c r="B78" s="15">
        <f>IF(C78="","COM-"&amp;TEXT(COUNTA($C$5:C78),"000"))</f>
        <v/>
      </c>
      <c r="C78" s="13" t="n"/>
      <c r="D78" s="13" t="n"/>
      <c r="E78" s="13" t="n"/>
      <c r="F78" s="13" t="n"/>
      <c r="G78" s="13" t="n"/>
      <c r="H78" s="28" t="n"/>
      <c r="I78" s="13" t="n"/>
      <c r="J78" s="13" t="n"/>
    </row>
    <row r="79" ht="22" customHeight="1">
      <c r="B79" s="16">
        <f>IF(C79="","COM-"&amp;TEXT(COUNTA($C$5:C79),"000"))</f>
        <v/>
      </c>
      <c r="C79" s="11" t="n"/>
      <c r="D79" s="11" t="n"/>
      <c r="E79" s="11" t="n"/>
      <c r="F79" s="11" t="n"/>
      <c r="G79" s="11" t="n"/>
      <c r="H79" s="27" t="n"/>
      <c r="I79" s="11" t="n"/>
      <c r="J79" s="11" t="n"/>
    </row>
    <row r="80" ht="22" customHeight="1">
      <c r="B80" s="15">
        <f>IF(C80="","COM-"&amp;TEXT(COUNTA($C$5:C80),"000"))</f>
        <v/>
      </c>
      <c r="C80" s="13" t="n"/>
      <c r="D80" s="13" t="n"/>
      <c r="E80" s="13" t="n"/>
      <c r="F80" s="13" t="n"/>
      <c r="G80" s="13" t="n"/>
      <c r="H80" s="28" t="n"/>
      <c r="I80" s="13" t="n"/>
      <c r="J80" s="13" t="n"/>
    </row>
    <row r="81" ht="22" customHeight="1">
      <c r="B81" s="16">
        <f>IF(C81="","COM-"&amp;TEXT(COUNTA($C$5:C81),"000"))</f>
        <v/>
      </c>
      <c r="C81" s="11" t="n"/>
      <c r="D81" s="11" t="n"/>
      <c r="E81" s="11" t="n"/>
      <c r="F81" s="11" t="n"/>
      <c r="G81" s="11" t="n"/>
      <c r="H81" s="27" t="n"/>
      <c r="I81" s="11" t="n"/>
      <c r="J81" s="11" t="n"/>
    </row>
    <row r="82" ht="22" customHeight="1">
      <c r="B82" s="15">
        <f>IF(C82="","COM-"&amp;TEXT(COUNTA($C$5:C82),"000"))</f>
        <v/>
      </c>
      <c r="C82" s="13" t="n"/>
      <c r="D82" s="13" t="n"/>
      <c r="E82" s="13" t="n"/>
      <c r="F82" s="13" t="n"/>
      <c r="G82" s="13" t="n"/>
      <c r="H82" s="28" t="n"/>
      <c r="I82" s="13" t="n"/>
      <c r="J82" s="13" t="n"/>
    </row>
    <row r="83" ht="22" customHeight="1">
      <c r="B83" s="16">
        <f>IF(C83="","COM-"&amp;TEXT(COUNTA($C$5:C83),"000"))</f>
        <v/>
      </c>
      <c r="C83" s="11" t="n"/>
      <c r="D83" s="11" t="n"/>
      <c r="E83" s="11" t="n"/>
      <c r="F83" s="11" t="n"/>
      <c r="G83" s="11" t="n"/>
      <c r="H83" s="27" t="n"/>
      <c r="I83" s="11" t="n"/>
      <c r="J83" s="11" t="n"/>
    </row>
    <row r="84" ht="22" customHeight="1">
      <c r="B84" s="15">
        <f>IF(C84="","COM-"&amp;TEXT(COUNTA($C$5:C84),"000"))</f>
        <v/>
      </c>
      <c r="C84" s="13" t="n"/>
      <c r="D84" s="13" t="n"/>
      <c r="E84" s="13" t="n"/>
      <c r="F84" s="13" t="n"/>
      <c r="G84" s="13" t="n"/>
      <c r="H84" s="28" t="n"/>
      <c r="I84" s="13" t="n"/>
      <c r="J84" s="13" t="n"/>
    </row>
    <row r="85" ht="22" customHeight="1">
      <c r="B85" s="16">
        <f>IF(C85="","COM-"&amp;TEXT(COUNTA($C$5:C85),"000"))</f>
        <v/>
      </c>
      <c r="C85" s="11" t="n"/>
      <c r="D85" s="11" t="n"/>
      <c r="E85" s="11" t="n"/>
      <c r="F85" s="11" t="n"/>
      <c r="G85" s="11" t="n"/>
      <c r="H85" s="27" t="n"/>
      <c r="I85" s="11" t="n"/>
      <c r="J85" s="11" t="n"/>
    </row>
    <row r="86" ht="22" customHeight="1">
      <c r="B86" s="15">
        <f>IF(C86="","COM-"&amp;TEXT(COUNTA($C$5:C86),"000"))</f>
        <v/>
      </c>
      <c r="C86" s="13" t="n"/>
      <c r="D86" s="13" t="n"/>
      <c r="E86" s="13" t="n"/>
      <c r="F86" s="13" t="n"/>
      <c r="G86" s="13" t="n"/>
      <c r="H86" s="28" t="n"/>
      <c r="I86" s="13" t="n"/>
      <c r="J86" s="13" t="n"/>
    </row>
    <row r="87" ht="22" customHeight="1">
      <c r="B87" s="16">
        <f>IF(C87="","COM-"&amp;TEXT(COUNTA($C$5:C87),"000"))</f>
        <v/>
      </c>
      <c r="C87" s="11" t="n"/>
      <c r="D87" s="11" t="n"/>
      <c r="E87" s="11" t="n"/>
      <c r="F87" s="11" t="n"/>
      <c r="G87" s="11" t="n"/>
      <c r="H87" s="27" t="n"/>
      <c r="I87" s="11" t="n"/>
      <c r="J87" s="11" t="n"/>
    </row>
    <row r="88" ht="22" customHeight="1">
      <c r="B88" s="15">
        <f>IF(C88="","COM-"&amp;TEXT(COUNTA($C$5:C88),"000"))</f>
        <v/>
      </c>
      <c r="C88" s="13" t="n"/>
      <c r="D88" s="13" t="n"/>
      <c r="E88" s="13" t="n"/>
      <c r="F88" s="13" t="n"/>
      <c r="G88" s="13" t="n"/>
      <c r="H88" s="28" t="n"/>
      <c r="I88" s="13" t="n"/>
      <c r="J88" s="13" t="n"/>
    </row>
    <row r="89" ht="22" customHeight="1">
      <c r="B89" s="16">
        <f>IF(C89="","COM-"&amp;TEXT(COUNTA($C$5:C89),"000"))</f>
        <v/>
      </c>
      <c r="C89" s="11" t="n"/>
      <c r="D89" s="11" t="n"/>
      <c r="E89" s="11" t="n"/>
      <c r="F89" s="11" t="n"/>
      <c r="G89" s="11" t="n"/>
      <c r="H89" s="27" t="n"/>
      <c r="I89" s="11" t="n"/>
      <c r="J89" s="11" t="n"/>
    </row>
    <row r="90" ht="22" customHeight="1">
      <c r="B90" s="15">
        <f>IF(C90="","COM-"&amp;TEXT(COUNTA($C$5:C90),"000"))</f>
        <v/>
      </c>
      <c r="C90" s="13" t="n"/>
      <c r="D90" s="13" t="n"/>
      <c r="E90" s="13" t="n"/>
      <c r="F90" s="13" t="n"/>
      <c r="G90" s="13" t="n"/>
      <c r="H90" s="28" t="n"/>
      <c r="I90" s="13" t="n"/>
      <c r="J90" s="13" t="n"/>
    </row>
    <row r="91" ht="22" customHeight="1">
      <c r="B91" s="16">
        <f>IF(C91="","COM-"&amp;TEXT(COUNTA($C$5:C91),"000"))</f>
        <v/>
      </c>
      <c r="C91" s="11" t="n"/>
      <c r="D91" s="11" t="n"/>
      <c r="E91" s="11" t="n"/>
      <c r="F91" s="11" t="n"/>
      <c r="G91" s="11" t="n"/>
      <c r="H91" s="27" t="n"/>
      <c r="I91" s="11" t="n"/>
      <c r="J91" s="11" t="n"/>
    </row>
    <row r="92" ht="22" customHeight="1">
      <c r="B92" s="15">
        <f>IF(C92="","COM-"&amp;TEXT(COUNTA($C$5:C92),"000"))</f>
        <v/>
      </c>
      <c r="C92" s="13" t="n"/>
      <c r="D92" s="13" t="n"/>
      <c r="E92" s="13" t="n"/>
      <c r="F92" s="13" t="n"/>
      <c r="G92" s="13" t="n"/>
      <c r="H92" s="28" t="n"/>
      <c r="I92" s="13" t="n"/>
      <c r="J92" s="13" t="n"/>
    </row>
    <row r="93" ht="22" customHeight="1">
      <c r="B93" s="16">
        <f>IF(C93="","COM-"&amp;TEXT(COUNTA($C$5:C93),"000"))</f>
        <v/>
      </c>
      <c r="C93" s="11" t="n"/>
      <c r="D93" s="11" t="n"/>
      <c r="E93" s="11" t="n"/>
      <c r="F93" s="11" t="n"/>
      <c r="G93" s="11" t="n"/>
      <c r="H93" s="27" t="n"/>
      <c r="I93" s="11" t="n"/>
      <c r="J93" s="11" t="n"/>
    </row>
    <row r="94" ht="22" customHeight="1">
      <c r="B94" s="15">
        <f>IF(C94="","COM-"&amp;TEXT(COUNTA($C$5:C94),"000"))</f>
        <v/>
      </c>
      <c r="C94" s="13" t="n"/>
      <c r="D94" s="13" t="n"/>
      <c r="E94" s="13" t="n"/>
      <c r="F94" s="13" t="n"/>
      <c r="G94" s="13" t="n"/>
      <c r="H94" s="28" t="n"/>
      <c r="I94" s="13" t="n"/>
      <c r="J94" s="13" t="n"/>
    </row>
    <row r="95" ht="22" customHeight="1">
      <c r="B95" s="16">
        <f>IF(C95="","COM-"&amp;TEXT(COUNTA($C$5:C95),"000"))</f>
        <v/>
      </c>
      <c r="C95" s="11" t="n"/>
      <c r="D95" s="11" t="n"/>
      <c r="E95" s="11" t="n"/>
      <c r="F95" s="11" t="n"/>
      <c r="G95" s="11" t="n"/>
      <c r="H95" s="27" t="n"/>
      <c r="I95" s="11" t="n"/>
      <c r="J95" s="11" t="n"/>
    </row>
    <row r="96" ht="22" customHeight="1">
      <c r="B96" s="15">
        <f>IF(C96="","COM-"&amp;TEXT(COUNTA($C$5:C96),"000"))</f>
        <v/>
      </c>
      <c r="C96" s="13" t="n"/>
      <c r="D96" s="13" t="n"/>
      <c r="E96" s="13" t="n"/>
      <c r="F96" s="13" t="n"/>
      <c r="G96" s="13" t="n"/>
      <c r="H96" s="28" t="n"/>
      <c r="I96" s="13" t="n"/>
      <c r="J96" s="13" t="n"/>
    </row>
    <row r="97" ht="22" customHeight="1">
      <c r="B97" s="16">
        <f>IF(C97="","COM-"&amp;TEXT(COUNTA($C$5:C97),"000"))</f>
        <v/>
      </c>
      <c r="C97" s="11" t="n"/>
      <c r="D97" s="11" t="n"/>
      <c r="E97" s="11" t="n"/>
      <c r="F97" s="11" t="n"/>
      <c r="G97" s="11" t="n"/>
      <c r="H97" s="27" t="n"/>
      <c r="I97" s="11" t="n"/>
      <c r="J97" s="11" t="n"/>
    </row>
    <row r="98" ht="22" customHeight="1">
      <c r="B98" s="15">
        <f>IF(C98="","COM-"&amp;TEXT(COUNTA($C$5:C98),"000"))</f>
        <v/>
      </c>
      <c r="C98" s="13" t="n"/>
      <c r="D98" s="13" t="n"/>
      <c r="E98" s="13" t="n"/>
      <c r="F98" s="13" t="n"/>
      <c r="G98" s="13" t="n"/>
      <c r="H98" s="28" t="n"/>
      <c r="I98" s="13" t="n"/>
      <c r="J98" s="13" t="n"/>
    </row>
    <row r="99" ht="22" customHeight="1">
      <c r="B99" s="16">
        <f>IF(C99="","COM-"&amp;TEXT(COUNTA($C$5:C99),"000"))</f>
        <v/>
      </c>
      <c r="C99" s="11" t="n"/>
      <c r="D99" s="11" t="n"/>
      <c r="E99" s="11" t="n"/>
      <c r="F99" s="11" t="n"/>
      <c r="G99" s="11" t="n"/>
      <c r="H99" s="27" t="n"/>
      <c r="I99" s="11" t="n"/>
      <c r="J99" s="11" t="n"/>
    </row>
    <row r="100" ht="22" customHeight="1">
      <c r="B100" s="15">
        <f>IF(C100="","COM-"&amp;TEXT(COUNTA($C$5:C100),"000"))</f>
        <v/>
      </c>
      <c r="C100" s="13" t="n"/>
      <c r="D100" s="13" t="n"/>
      <c r="E100" s="13" t="n"/>
      <c r="F100" s="13" t="n"/>
      <c r="G100" s="13" t="n"/>
      <c r="H100" s="28" t="n"/>
      <c r="I100" s="13" t="n"/>
      <c r="J100" s="13" t="n"/>
    </row>
    <row r="101" ht="22" customHeight="1">
      <c r="B101" s="16">
        <f>IF(C101="","COM-"&amp;TEXT(COUNTA($C$5:C101),"000"))</f>
        <v/>
      </c>
      <c r="C101" s="11" t="n"/>
      <c r="D101" s="11" t="n"/>
      <c r="E101" s="11" t="n"/>
      <c r="F101" s="11" t="n"/>
      <c r="G101" s="11" t="n"/>
      <c r="H101" s="27" t="n"/>
      <c r="I101" s="11" t="n"/>
      <c r="J101" s="11" t="n"/>
    </row>
    <row r="102" ht="22" customHeight="1">
      <c r="B102" s="15">
        <f>IF(C102="","COM-"&amp;TEXT(COUNTA($C$5:C102),"000"))</f>
        <v/>
      </c>
      <c r="C102" s="13" t="n"/>
      <c r="D102" s="13" t="n"/>
      <c r="E102" s="13" t="n"/>
      <c r="F102" s="13" t="n"/>
      <c r="G102" s="13" t="n"/>
      <c r="H102" s="28" t="n"/>
      <c r="I102" s="13" t="n"/>
      <c r="J102" s="13" t="n"/>
    </row>
    <row r="103" ht="22" customHeight="1">
      <c r="B103" s="16">
        <f>IF(C103="","COM-"&amp;TEXT(COUNTA($C$5:C103),"000"))</f>
        <v/>
      </c>
      <c r="C103" s="11" t="n"/>
      <c r="D103" s="11" t="n"/>
      <c r="E103" s="11" t="n"/>
      <c r="F103" s="11" t="n"/>
      <c r="G103" s="11" t="n"/>
      <c r="H103" s="27" t="n"/>
      <c r="I103" s="11" t="n"/>
      <c r="J103" s="11" t="n"/>
    </row>
    <row r="104" ht="22" customHeight="1">
      <c r="B104" s="15">
        <f>IF(C104="","COM-"&amp;TEXT(COUNTA($C$5:C104),"000"))</f>
        <v/>
      </c>
      <c r="C104" s="13" t="n"/>
      <c r="D104" s="13" t="n"/>
      <c r="E104" s="13" t="n"/>
      <c r="F104" s="13" t="n"/>
      <c r="G104" s="13" t="n"/>
      <c r="H104" s="28" t="n"/>
      <c r="I104" s="13" t="n"/>
      <c r="J104" s="13" t="n"/>
    </row>
    <row r="105" ht="22" customHeight="1">
      <c r="B105" s="16">
        <f>IF(C105="","COM-"&amp;TEXT(COUNTA($C$5:C105),"000"))</f>
        <v/>
      </c>
      <c r="C105" s="11" t="n"/>
      <c r="D105" s="11" t="n"/>
      <c r="E105" s="11" t="n"/>
      <c r="F105" s="11" t="n"/>
      <c r="G105" s="11" t="n"/>
      <c r="H105" s="27" t="n"/>
      <c r="I105" s="11" t="n"/>
      <c r="J105" s="11" t="n"/>
    </row>
    <row r="106" ht="22" customHeight="1">
      <c r="B106" s="15">
        <f>IF(C106="","COM-"&amp;TEXT(COUNTA($C$5:C106),"000"))</f>
        <v/>
      </c>
      <c r="C106" s="13" t="n"/>
      <c r="D106" s="13" t="n"/>
      <c r="E106" s="13" t="n"/>
      <c r="F106" s="13" t="n"/>
      <c r="G106" s="13" t="n"/>
      <c r="H106" s="28" t="n"/>
      <c r="I106" s="13" t="n"/>
      <c r="J106" s="13" t="n"/>
    </row>
    <row r="107" ht="22" customHeight="1">
      <c r="B107" s="16">
        <f>IF(C107="","COM-"&amp;TEXT(COUNTA($C$5:C107),"000"))</f>
        <v/>
      </c>
      <c r="C107" s="11" t="n"/>
      <c r="D107" s="11" t="n"/>
      <c r="E107" s="11" t="n"/>
      <c r="F107" s="11" t="n"/>
      <c r="G107" s="11" t="n"/>
      <c r="H107" s="27" t="n"/>
      <c r="I107" s="11" t="n"/>
      <c r="J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Communications suivies</t>
        </is>
      </c>
      <c r="D110" s="3" t="inlineStr">
        <is>
          <t>Diffusees</t>
        </is>
      </c>
      <c r="F110" s="3" t="inlineStr">
        <is>
          <t>En attente validation</t>
        </is>
      </c>
    </row>
    <row r="111">
      <c r="B111" s="4">
        <f>COUNTIF(B5:B104,"&lt;&gt;")</f>
        <v/>
      </c>
      <c r="D111" s="4">
        <f>COUNTIF(J5:J104,"Diffusee")</f>
        <v/>
      </c>
      <c r="F111" s="4">
        <f>COUNTIF(J5:J104,"En cours de validation")</f>
        <v/>
      </c>
    </row>
  </sheetData>
  <mergeCells count="3">
    <mergeCell ref="B109:J109"/>
    <mergeCell ref="B3:J3"/>
    <mergeCell ref="B2:J2"/>
  </mergeCells>
  <conditionalFormatting sqref="J5:J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8:B107">
    <cfRule type="expression" priority="230" dxfId="3">
      <formula>AND($C8="",$C7&lt;&gt;"")</formula>
    </cfRule>
  </conditionalFormatting>
  <conditionalFormatting sqref="C8:C107">
    <cfRule type="expression" priority="231" dxfId="3">
      <formula>AND($C8="",$C7&lt;&gt;"")</formula>
    </cfRule>
  </conditionalFormatting>
  <conditionalFormatting sqref="D8:D107">
    <cfRule type="expression" priority="232" dxfId="3">
      <formula>AND($C8="",$C7&lt;&gt;"")</formula>
    </cfRule>
  </conditionalFormatting>
  <conditionalFormatting sqref="E8:E107">
    <cfRule type="expression" priority="233" dxfId="3">
      <formula>AND($C8="",$C7&lt;&gt;"")</formula>
    </cfRule>
  </conditionalFormatting>
  <conditionalFormatting sqref="F8:F107">
    <cfRule type="expression" priority="234" dxfId="3">
      <formula>AND($C8="",$C7&lt;&gt;"")</formula>
    </cfRule>
  </conditionalFormatting>
  <conditionalFormatting sqref="G8:G107">
    <cfRule type="expression" priority="235" dxfId="3">
      <formula>AND($C8="",$C7&lt;&gt;"")</formula>
    </cfRule>
  </conditionalFormatting>
  <conditionalFormatting sqref="H8:H107">
    <cfRule type="expression" priority="236" dxfId="3">
      <formula>AND($C8="",$C7&lt;&gt;"")</formula>
    </cfRule>
  </conditionalFormatting>
  <conditionalFormatting sqref="I8:I107">
    <cfRule type="expression" priority="237" dxfId="3">
      <formula>AND($C8="",$C7&lt;&gt;"")</formula>
    </cfRule>
  </conditionalFormatting>
  <conditionalFormatting sqref="J8:J107">
    <cfRule type="expression" priority="238" dxfId="3">
      <formula>AND($C8="",$C7&lt;&gt;"")</formula>
    </cfRule>
  </conditionalFormatting>
  <dataValidations count="3">
    <dataValidation sqref="D5:D107" showDropDown="0" showInputMessage="0" showErrorMessage="0" allowBlank="1" errorTitle="Erreur" error="Valeur invalide" promptTitle="Liste" prompt="Choisir dans la liste" type="list">
      <formula1>'_Lists'!$D$2:$D$12</formula1>
    </dataValidation>
    <dataValidation sqref="E5:E107" showDropDown="0" showInputMessage="0" showErrorMessage="0" allowBlank="1" errorTitle="Erreur" error="Valeur invalide" promptTitle="Liste" prompt="Choisir dans la liste" type="list">
      <formula1>'_Lists'!$E$2:$E$11</formula1>
    </dataValidation>
    <dataValidation sqref="J5:J107" showDropDown="0" showInputMessage="0" showErrorMessage="0" allowBlank="1" errorTitle="Erreur" error="Valeur invalide" promptTitle="Liste" prompt="Choisir dans la liste" type="list">
      <formula1>'_Lists'!$F$2:$F$6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4" customWidth="1" min="4" max="4"/>
    <col width="28" customWidth="1" min="5" max="5"/>
    <col width="18" customWidth="1" min="6" max="6"/>
    <col width="14" customWidth="1" min="7" max="7"/>
    <col width="14" customWidth="1" min="8" max="8"/>
    <col width="22" customWidth="1" min="9" max="9"/>
    <col width="18" customWidth="1" min="10" max="10"/>
    <col width="22" customWidth="1" min="11" max="11"/>
  </cols>
  <sheetData>
    <row r="1" ht="15" customHeight="1"/>
    <row r="2" ht="32" customHeight="1">
      <c r="B2" s="1" t="inlineStr">
        <is>
          <t>MARQUE EMPLOYEUR (#138)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Initiative ME</t>
        </is>
      </c>
      <c r="D4" s="10" t="inlineStr">
        <is>
          <t>Type Contenu</t>
        </is>
      </c>
      <c r="E4" s="10" t="inlineStr">
        <is>
          <t>Objectif</t>
        </is>
      </c>
      <c r="F4" s="10" t="inlineStr">
        <is>
          <t>Responsable</t>
        </is>
      </c>
      <c r="G4" s="10" t="inlineStr">
        <is>
          <t>Date Lancement</t>
        </is>
      </c>
      <c r="H4" s="10" t="inlineStr">
        <is>
          <t>Date Fin</t>
        </is>
      </c>
      <c r="I4" s="10" t="inlineStr">
        <is>
          <t>Cible</t>
        </is>
      </c>
      <c r="J4" s="10" t="inlineStr">
        <is>
          <t>Budget (FCFA)</t>
        </is>
      </c>
      <c r="K4" s="10" t="inlineStr">
        <is>
          <t>Statut</t>
        </is>
      </c>
    </row>
    <row r="5" ht="22" customHeight="1">
      <c r="B5" s="11" t="inlineStr">
        <is>
          <t>ME-001</t>
        </is>
      </c>
      <c r="C5" s="11" t="inlineStr">
        <is>
          <t>Campagne talents 2025</t>
        </is>
      </c>
      <c r="D5" s="11" t="inlineStr">
        <is>
          <t>Video institutionnelle</t>
        </is>
      </c>
      <c r="E5" s="11" t="inlineStr">
        <is>
          <t>Attirer de nouveaux talents</t>
        </is>
      </c>
      <c r="F5" s="11" t="inlineStr">
        <is>
          <t>Chef Marketing</t>
        </is>
      </c>
      <c r="G5" s="27" t="n">
        <v>45667</v>
      </c>
      <c r="H5" s="27" t="n">
        <v>45838</v>
      </c>
      <c r="I5" s="11" t="inlineStr">
        <is>
          <t>Jeunes diplomes</t>
        </is>
      </c>
      <c r="J5" s="17" t="n">
        <v>1500000</v>
      </c>
      <c r="K5" s="11" t="inlineStr">
        <is>
          <t>En cours</t>
        </is>
      </c>
    </row>
    <row r="6" ht="22" customHeight="1">
      <c r="B6" s="13" t="inlineStr">
        <is>
          <t>ME-002</t>
        </is>
      </c>
      <c r="C6" s="13" t="inlineStr">
        <is>
          <t>Temoignages employes</t>
        </is>
      </c>
      <c r="D6" s="13" t="inlineStr">
        <is>
          <t>Temoignage employe</t>
        </is>
      </c>
      <c r="E6" s="13" t="inlineStr">
        <is>
          <t>Renforcer la credibilite ME</t>
        </is>
      </c>
      <c r="F6" s="13" t="inlineStr">
        <is>
          <t>DRH</t>
        </is>
      </c>
      <c r="G6" s="28" t="n">
        <v>45689</v>
      </c>
      <c r="H6" s="28" t="n">
        <v>46022</v>
      </c>
      <c r="I6" s="13" t="inlineStr">
        <is>
          <t>Candidats potentiels</t>
        </is>
      </c>
      <c r="J6" s="18" t="n">
        <v>500000</v>
      </c>
      <c r="K6" s="13" t="inlineStr">
        <is>
          <t>En cours</t>
        </is>
      </c>
    </row>
    <row r="7" ht="22" customHeight="1">
      <c r="B7" s="11" t="inlineStr">
        <is>
          <t>ME-003</t>
        </is>
      </c>
      <c r="C7" s="11" t="inlineStr">
        <is>
          <t>Classement meilleur employeur</t>
        </is>
      </c>
      <c r="D7" s="11" t="inlineStr">
        <is>
          <t>Article blog</t>
        </is>
      </c>
      <c r="E7" s="11" t="inlineStr">
        <is>
          <t>Ameliorer e-reputation</t>
        </is>
      </c>
      <c r="F7" s="11" t="inlineStr">
        <is>
          <t>Chef Marketing</t>
        </is>
      </c>
      <c r="G7" s="27" t="n">
        <v>45731</v>
      </c>
      <c r="H7" s="27" t="n">
        <v>45853</v>
      </c>
      <c r="I7" s="11" t="inlineStr">
        <is>
          <t>Public large</t>
        </is>
      </c>
      <c r="J7" s="17" t="n">
        <v>300000</v>
      </c>
      <c r="K7" s="11" t="inlineStr">
        <is>
          <t>En preparation</t>
        </is>
      </c>
    </row>
    <row r="8" ht="22" customHeight="1">
      <c r="B8" s="15">
        <f>IF(C8="","ME-"&amp;TEXT(COUNTA($C$5:C8),"000"))</f>
        <v/>
      </c>
      <c r="C8" s="13" t="n"/>
      <c r="D8" s="13" t="n"/>
      <c r="E8" s="13" t="n"/>
      <c r="F8" s="13" t="n"/>
      <c r="G8" s="28" t="n"/>
      <c r="H8" s="28" t="n"/>
      <c r="I8" s="13" t="n"/>
      <c r="J8" s="18" t="n"/>
      <c r="K8" s="13" t="n"/>
    </row>
    <row r="9" ht="22" customHeight="1">
      <c r="B9" s="16">
        <f>IF(C9="","ME-"&amp;TEXT(COUNTA($C$5:C9),"000"))</f>
        <v/>
      </c>
      <c r="C9" s="11" t="n"/>
      <c r="D9" s="11" t="n"/>
      <c r="E9" s="11" t="n"/>
      <c r="F9" s="11" t="n"/>
      <c r="G9" s="27" t="n"/>
      <c r="H9" s="27" t="n"/>
      <c r="I9" s="11" t="n"/>
      <c r="J9" s="17" t="n"/>
      <c r="K9" s="11" t="n"/>
    </row>
    <row r="10" ht="22" customHeight="1">
      <c r="B10" s="15">
        <f>IF(C10="","ME-"&amp;TEXT(COUNTA($C$5:C10),"000"))</f>
        <v/>
      </c>
      <c r="C10" s="13" t="n"/>
      <c r="D10" s="13" t="n"/>
      <c r="E10" s="13" t="n"/>
      <c r="F10" s="13" t="n"/>
      <c r="G10" s="28" t="n"/>
      <c r="H10" s="28" t="n"/>
      <c r="I10" s="13" t="n"/>
      <c r="J10" s="18" t="n"/>
      <c r="K10" s="13" t="n"/>
    </row>
    <row r="11" ht="22" customHeight="1">
      <c r="B11" s="16">
        <f>IF(C11="","ME-"&amp;TEXT(COUNTA($C$5:C11),"000"))</f>
        <v/>
      </c>
      <c r="C11" s="11" t="n"/>
      <c r="D11" s="11" t="n"/>
      <c r="E11" s="11" t="n"/>
      <c r="F11" s="11" t="n"/>
      <c r="G11" s="27" t="n"/>
      <c r="H11" s="27" t="n"/>
      <c r="I11" s="11" t="n"/>
      <c r="J11" s="17" t="n"/>
      <c r="K11" s="11" t="n"/>
    </row>
    <row r="12" ht="22" customHeight="1">
      <c r="B12" s="15">
        <f>IF(C12="","ME-"&amp;TEXT(COUNTA($C$5:C12),"000"))</f>
        <v/>
      </c>
      <c r="C12" s="13" t="n"/>
      <c r="D12" s="13" t="n"/>
      <c r="E12" s="13" t="n"/>
      <c r="F12" s="13" t="n"/>
      <c r="G12" s="28" t="n"/>
      <c r="H12" s="28" t="n"/>
      <c r="I12" s="13" t="n"/>
      <c r="J12" s="18" t="n"/>
      <c r="K12" s="13" t="n"/>
    </row>
    <row r="13" ht="22" customHeight="1">
      <c r="B13" s="16">
        <f>IF(C13="","ME-"&amp;TEXT(COUNTA($C$5:C13),"000"))</f>
        <v/>
      </c>
      <c r="C13" s="11" t="n"/>
      <c r="D13" s="11" t="n"/>
      <c r="E13" s="11" t="n"/>
      <c r="F13" s="11" t="n"/>
      <c r="G13" s="27" t="n"/>
      <c r="H13" s="27" t="n"/>
      <c r="I13" s="11" t="n"/>
      <c r="J13" s="17" t="n"/>
      <c r="K13" s="11" t="n"/>
    </row>
    <row r="14" ht="22" customHeight="1">
      <c r="B14" s="15">
        <f>IF(C14="","ME-"&amp;TEXT(COUNTA($C$5:C14),"000"))</f>
        <v/>
      </c>
      <c r="C14" s="13" t="n"/>
      <c r="D14" s="13" t="n"/>
      <c r="E14" s="13" t="n"/>
      <c r="F14" s="13" t="n"/>
      <c r="G14" s="28" t="n"/>
      <c r="H14" s="28" t="n"/>
      <c r="I14" s="13" t="n"/>
      <c r="J14" s="18" t="n"/>
      <c r="K14" s="13" t="n"/>
    </row>
    <row r="15" ht="22" customHeight="1">
      <c r="B15" s="16">
        <f>IF(C15="","ME-"&amp;TEXT(COUNTA($C$5:C15),"000"))</f>
        <v/>
      </c>
      <c r="C15" s="11" t="n"/>
      <c r="D15" s="11" t="n"/>
      <c r="E15" s="11" t="n"/>
      <c r="F15" s="11" t="n"/>
      <c r="G15" s="27" t="n"/>
      <c r="H15" s="27" t="n"/>
      <c r="I15" s="11" t="n"/>
      <c r="J15" s="17" t="n"/>
      <c r="K15" s="11" t="n"/>
    </row>
    <row r="16" ht="22" customHeight="1">
      <c r="B16" s="15">
        <f>IF(C16="","ME-"&amp;TEXT(COUNTA($C$5:C16),"000"))</f>
        <v/>
      </c>
      <c r="C16" s="13" t="n"/>
      <c r="D16" s="13" t="n"/>
      <c r="E16" s="13" t="n"/>
      <c r="F16" s="13" t="n"/>
      <c r="G16" s="28" t="n"/>
      <c r="H16" s="28" t="n"/>
      <c r="I16" s="13" t="n"/>
      <c r="J16" s="18" t="n"/>
      <c r="K16" s="13" t="n"/>
    </row>
    <row r="17" ht="22" customHeight="1">
      <c r="B17" s="16">
        <f>IF(C17="","ME-"&amp;TEXT(COUNTA($C$5:C17),"000"))</f>
        <v/>
      </c>
      <c r="C17" s="11" t="n"/>
      <c r="D17" s="11" t="n"/>
      <c r="E17" s="11" t="n"/>
      <c r="F17" s="11" t="n"/>
      <c r="G17" s="27" t="n"/>
      <c r="H17" s="27" t="n"/>
      <c r="I17" s="11" t="n"/>
      <c r="J17" s="17" t="n"/>
      <c r="K17" s="11" t="n"/>
    </row>
    <row r="18" ht="22" customHeight="1">
      <c r="B18" s="15">
        <f>IF(C18="","ME-"&amp;TEXT(COUNTA($C$5:C18),"000"))</f>
        <v/>
      </c>
      <c r="C18" s="13" t="n"/>
      <c r="D18" s="13" t="n"/>
      <c r="E18" s="13" t="n"/>
      <c r="F18" s="13" t="n"/>
      <c r="G18" s="28" t="n"/>
      <c r="H18" s="28" t="n"/>
      <c r="I18" s="13" t="n"/>
      <c r="J18" s="18" t="n"/>
      <c r="K18" s="13" t="n"/>
    </row>
    <row r="19" ht="22" customHeight="1">
      <c r="B19" s="16">
        <f>IF(C19="","ME-"&amp;TEXT(COUNTA($C$5:C19),"000"))</f>
        <v/>
      </c>
      <c r="C19" s="11" t="n"/>
      <c r="D19" s="11" t="n"/>
      <c r="E19" s="11" t="n"/>
      <c r="F19" s="11" t="n"/>
      <c r="G19" s="27" t="n"/>
      <c r="H19" s="27" t="n"/>
      <c r="I19" s="11" t="n"/>
      <c r="J19" s="17" t="n"/>
      <c r="K19" s="11" t="n"/>
    </row>
    <row r="20" ht="22" customHeight="1">
      <c r="B20" s="15">
        <f>IF(C20="","ME-"&amp;TEXT(COUNTA($C$5:C20),"000"))</f>
        <v/>
      </c>
      <c r="C20" s="13" t="n"/>
      <c r="D20" s="13" t="n"/>
      <c r="E20" s="13" t="n"/>
      <c r="F20" s="13" t="n"/>
      <c r="G20" s="28" t="n"/>
      <c r="H20" s="28" t="n"/>
      <c r="I20" s="13" t="n"/>
      <c r="J20" s="18" t="n"/>
      <c r="K20" s="13" t="n"/>
    </row>
    <row r="21" ht="22" customHeight="1">
      <c r="B21" s="16">
        <f>IF(C21="","ME-"&amp;TEXT(COUNTA($C$5:C21),"000"))</f>
        <v/>
      </c>
      <c r="C21" s="11" t="n"/>
      <c r="D21" s="11" t="n"/>
      <c r="E21" s="11" t="n"/>
      <c r="F21" s="11" t="n"/>
      <c r="G21" s="27" t="n"/>
      <c r="H21" s="27" t="n"/>
      <c r="I21" s="11" t="n"/>
      <c r="J21" s="17" t="n"/>
      <c r="K21" s="11" t="n"/>
    </row>
    <row r="22" ht="22" customHeight="1">
      <c r="B22" s="15">
        <f>IF(C22="","ME-"&amp;TEXT(COUNTA($C$5:C22),"000"))</f>
        <v/>
      </c>
      <c r="C22" s="13" t="n"/>
      <c r="D22" s="13" t="n"/>
      <c r="E22" s="13" t="n"/>
      <c r="F22" s="13" t="n"/>
      <c r="G22" s="28" t="n"/>
      <c r="H22" s="28" t="n"/>
      <c r="I22" s="13" t="n"/>
      <c r="J22" s="18" t="n"/>
      <c r="K22" s="13" t="n"/>
    </row>
    <row r="23" ht="22" customHeight="1">
      <c r="B23" s="16">
        <f>IF(C23="","ME-"&amp;TEXT(COUNTA($C$5:C23),"000"))</f>
        <v/>
      </c>
      <c r="C23" s="11" t="n"/>
      <c r="D23" s="11" t="n"/>
      <c r="E23" s="11" t="n"/>
      <c r="F23" s="11" t="n"/>
      <c r="G23" s="27" t="n"/>
      <c r="H23" s="27" t="n"/>
      <c r="I23" s="11" t="n"/>
      <c r="J23" s="17" t="n"/>
      <c r="K23" s="11" t="n"/>
    </row>
    <row r="24" ht="22" customHeight="1">
      <c r="B24" s="15">
        <f>IF(C24="","ME-"&amp;TEXT(COUNTA($C$5:C24),"000"))</f>
        <v/>
      </c>
      <c r="C24" s="13" t="n"/>
      <c r="D24" s="13" t="n"/>
      <c r="E24" s="13" t="n"/>
      <c r="F24" s="13" t="n"/>
      <c r="G24" s="28" t="n"/>
      <c r="H24" s="28" t="n"/>
      <c r="I24" s="13" t="n"/>
      <c r="J24" s="18" t="n"/>
      <c r="K24" s="13" t="n"/>
    </row>
    <row r="25" ht="22" customHeight="1">
      <c r="B25" s="16">
        <f>IF(C25="","ME-"&amp;TEXT(COUNTA($C$5:C25),"000"))</f>
        <v/>
      </c>
      <c r="C25" s="11" t="n"/>
      <c r="D25" s="11" t="n"/>
      <c r="E25" s="11" t="n"/>
      <c r="F25" s="11" t="n"/>
      <c r="G25" s="27" t="n"/>
      <c r="H25" s="27" t="n"/>
      <c r="I25" s="11" t="n"/>
      <c r="J25" s="17" t="n"/>
      <c r="K25" s="11" t="n"/>
    </row>
    <row r="26" ht="22" customHeight="1">
      <c r="B26" s="15">
        <f>IF(C26="","ME-"&amp;TEXT(COUNTA($C$5:C26),"000"))</f>
        <v/>
      </c>
      <c r="C26" s="13" t="n"/>
      <c r="D26" s="13" t="n"/>
      <c r="E26" s="13" t="n"/>
      <c r="F26" s="13" t="n"/>
      <c r="G26" s="28" t="n"/>
      <c r="H26" s="28" t="n"/>
      <c r="I26" s="13" t="n"/>
      <c r="J26" s="18" t="n"/>
      <c r="K26" s="13" t="n"/>
    </row>
    <row r="27" ht="22" customHeight="1">
      <c r="B27" s="16">
        <f>IF(C27="","ME-"&amp;TEXT(COUNTA($C$5:C27),"000"))</f>
        <v/>
      </c>
      <c r="C27" s="11" t="n"/>
      <c r="D27" s="11" t="n"/>
      <c r="E27" s="11" t="n"/>
      <c r="F27" s="11" t="n"/>
      <c r="G27" s="27" t="n"/>
      <c r="H27" s="27" t="n"/>
      <c r="I27" s="11" t="n"/>
      <c r="J27" s="17" t="n"/>
      <c r="K27" s="11" t="n"/>
    </row>
    <row r="28" ht="22" customHeight="1">
      <c r="B28" s="15">
        <f>IF(C28="","ME-"&amp;TEXT(COUNTA($C$5:C28),"000"))</f>
        <v/>
      </c>
      <c r="C28" s="13" t="n"/>
      <c r="D28" s="13" t="n"/>
      <c r="E28" s="13" t="n"/>
      <c r="F28" s="13" t="n"/>
      <c r="G28" s="28" t="n"/>
      <c r="H28" s="28" t="n"/>
      <c r="I28" s="13" t="n"/>
      <c r="J28" s="18" t="n"/>
      <c r="K28" s="13" t="n"/>
    </row>
    <row r="29" ht="22" customHeight="1">
      <c r="B29" s="16">
        <f>IF(C29="","ME-"&amp;TEXT(COUNTA($C$5:C29),"000"))</f>
        <v/>
      </c>
      <c r="C29" s="11" t="n"/>
      <c r="D29" s="11" t="n"/>
      <c r="E29" s="11" t="n"/>
      <c r="F29" s="11" t="n"/>
      <c r="G29" s="27" t="n"/>
      <c r="H29" s="27" t="n"/>
      <c r="I29" s="11" t="n"/>
      <c r="J29" s="17" t="n"/>
      <c r="K29" s="11" t="n"/>
    </row>
    <row r="30" ht="22" customHeight="1">
      <c r="B30" s="15">
        <f>IF(C30="","ME-"&amp;TEXT(COUNTA($C$5:C30),"000"))</f>
        <v/>
      </c>
      <c r="C30" s="13" t="n"/>
      <c r="D30" s="13" t="n"/>
      <c r="E30" s="13" t="n"/>
      <c r="F30" s="13" t="n"/>
      <c r="G30" s="28" t="n"/>
      <c r="H30" s="28" t="n"/>
      <c r="I30" s="13" t="n"/>
      <c r="J30" s="18" t="n"/>
      <c r="K30" s="13" t="n"/>
    </row>
    <row r="31" ht="22" customHeight="1">
      <c r="B31" s="16">
        <f>IF(C31="","ME-"&amp;TEXT(COUNTA($C$5:C31),"000"))</f>
        <v/>
      </c>
      <c r="C31" s="11" t="n"/>
      <c r="D31" s="11" t="n"/>
      <c r="E31" s="11" t="n"/>
      <c r="F31" s="11" t="n"/>
      <c r="G31" s="27" t="n"/>
      <c r="H31" s="27" t="n"/>
      <c r="I31" s="11" t="n"/>
      <c r="J31" s="17" t="n"/>
      <c r="K31" s="11" t="n"/>
    </row>
    <row r="32" ht="22" customHeight="1">
      <c r="B32" s="15">
        <f>IF(C32="","ME-"&amp;TEXT(COUNTA($C$5:C32),"000"))</f>
        <v/>
      </c>
      <c r="C32" s="13" t="n"/>
      <c r="D32" s="13" t="n"/>
      <c r="E32" s="13" t="n"/>
      <c r="F32" s="13" t="n"/>
      <c r="G32" s="28" t="n"/>
      <c r="H32" s="28" t="n"/>
      <c r="I32" s="13" t="n"/>
      <c r="J32" s="18" t="n"/>
      <c r="K32" s="13" t="n"/>
    </row>
    <row r="33" ht="22" customHeight="1">
      <c r="B33" s="16">
        <f>IF(C33="","ME-"&amp;TEXT(COUNTA($C$5:C33),"000"))</f>
        <v/>
      </c>
      <c r="C33" s="11" t="n"/>
      <c r="D33" s="11" t="n"/>
      <c r="E33" s="11" t="n"/>
      <c r="F33" s="11" t="n"/>
      <c r="G33" s="27" t="n"/>
      <c r="H33" s="27" t="n"/>
      <c r="I33" s="11" t="n"/>
      <c r="J33" s="17" t="n"/>
      <c r="K33" s="11" t="n"/>
    </row>
    <row r="34" ht="22" customHeight="1">
      <c r="B34" s="15">
        <f>IF(C34="","ME-"&amp;TEXT(COUNTA($C$5:C34),"000"))</f>
        <v/>
      </c>
      <c r="C34" s="13" t="n"/>
      <c r="D34" s="13" t="n"/>
      <c r="E34" s="13" t="n"/>
      <c r="F34" s="13" t="n"/>
      <c r="G34" s="28" t="n"/>
      <c r="H34" s="28" t="n"/>
      <c r="I34" s="13" t="n"/>
      <c r="J34" s="18" t="n"/>
      <c r="K34" s="13" t="n"/>
    </row>
    <row r="35" ht="22" customHeight="1">
      <c r="B35" s="16">
        <f>IF(C35="","ME-"&amp;TEXT(COUNTA($C$5:C35),"000"))</f>
        <v/>
      </c>
      <c r="C35" s="11" t="n"/>
      <c r="D35" s="11" t="n"/>
      <c r="E35" s="11" t="n"/>
      <c r="F35" s="11" t="n"/>
      <c r="G35" s="27" t="n"/>
      <c r="H35" s="27" t="n"/>
      <c r="I35" s="11" t="n"/>
      <c r="J35" s="17" t="n"/>
      <c r="K35" s="11" t="n"/>
    </row>
    <row r="36" ht="22" customHeight="1">
      <c r="B36" s="15">
        <f>IF(C36="","ME-"&amp;TEXT(COUNTA($C$5:C36),"000"))</f>
        <v/>
      </c>
      <c r="C36" s="13" t="n"/>
      <c r="D36" s="13" t="n"/>
      <c r="E36" s="13" t="n"/>
      <c r="F36" s="13" t="n"/>
      <c r="G36" s="28" t="n"/>
      <c r="H36" s="28" t="n"/>
      <c r="I36" s="13" t="n"/>
      <c r="J36" s="18" t="n"/>
      <c r="K36" s="13" t="n"/>
    </row>
    <row r="37" ht="22" customHeight="1">
      <c r="B37" s="16">
        <f>IF(C37="","ME-"&amp;TEXT(COUNTA($C$5:C37),"000"))</f>
        <v/>
      </c>
      <c r="C37" s="11" t="n"/>
      <c r="D37" s="11" t="n"/>
      <c r="E37" s="11" t="n"/>
      <c r="F37" s="11" t="n"/>
      <c r="G37" s="27" t="n"/>
      <c r="H37" s="27" t="n"/>
      <c r="I37" s="11" t="n"/>
      <c r="J37" s="17" t="n"/>
      <c r="K37" s="11" t="n"/>
    </row>
    <row r="38" ht="22" customHeight="1">
      <c r="B38" s="15">
        <f>IF(C38="","ME-"&amp;TEXT(COUNTA($C$5:C38),"000"))</f>
        <v/>
      </c>
      <c r="C38" s="13" t="n"/>
      <c r="D38" s="13" t="n"/>
      <c r="E38" s="13" t="n"/>
      <c r="F38" s="13" t="n"/>
      <c r="G38" s="28" t="n"/>
      <c r="H38" s="28" t="n"/>
      <c r="I38" s="13" t="n"/>
      <c r="J38" s="18" t="n"/>
      <c r="K38" s="13" t="n"/>
    </row>
    <row r="39" ht="22" customHeight="1">
      <c r="B39" s="16">
        <f>IF(C39="","ME-"&amp;TEXT(COUNTA($C$5:C39),"000"))</f>
        <v/>
      </c>
      <c r="C39" s="11" t="n"/>
      <c r="D39" s="11" t="n"/>
      <c r="E39" s="11" t="n"/>
      <c r="F39" s="11" t="n"/>
      <c r="G39" s="27" t="n"/>
      <c r="H39" s="27" t="n"/>
      <c r="I39" s="11" t="n"/>
      <c r="J39" s="17" t="n"/>
      <c r="K39" s="11" t="n"/>
    </row>
    <row r="40" ht="22" customHeight="1">
      <c r="B40" s="15">
        <f>IF(C40="","ME-"&amp;TEXT(COUNTA($C$5:C40),"000"))</f>
        <v/>
      </c>
      <c r="C40" s="13" t="n"/>
      <c r="D40" s="13" t="n"/>
      <c r="E40" s="13" t="n"/>
      <c r="F40" s="13" t="n"/>
      <c r="G40" s="28" t="n"/>
      <c r="H40" s="28" t="n"/>
      <c r="I40" s="13" t="n"/>
      <c r="J40" s="18" t="n"/>
      <c r="K40" s="13" t="n"/>
    </row>
    <row r="41" ht="22" customHeight="1">
      <c r="B41" s="16">
        <f>IF(C41="","ME-"&amp;TEXT(COUNTA($C$5:C41),"000"))</f>
        <v/>
      </c>
      <c r="C41" s="11" t="n"/>
      <c r="D41" s="11" t="n"/>
      <c r="E41" s="11" t="n"/>
      <c r="F41" s="11" t="n"/>
      <c r="G41" s="27" t="n"/>
      <c r="H41" s="27" t="n"/>
      <c r="I41" s="11" t="n"/>
      <c r="J41" s="17" t="n"/>
      <c r="K41" s="11" t="n"/>
    </row>
    <row r="42" ht="22" customHeight="1">
      <c r="B42" s="15">
        <f>IF(C42="","ME-"&amp;TEXT(COUNTA($C$5:C42),"000"))</f>
        <v/>
      </c>
      <c r="C42" s="13" t="n"/>
      <c r="D42" s="13" t="n"/>
      <c r="E42" s="13" t="n"/>
      <c r="F42" s="13" t="n"/>
      <c r="G42" s="28" t="n"/>
      <c r="H42" s="28" t="n"/>
      <c r="I42" s="13" t="n"/>
      <c r="J42" s="18" t="n"/>
      <c r="K42" s="13" t="n"/>
    </row>
    <row r="43" ht="22" customHeight="1">
      <c r="B43" s="16">
        <f>IF(C43="","ME-"&amp;TEXT(COUNTA($C$5:C43),"000"))</f>
        <v/>
      </c>
      <c r="C43" s="11" t="n"/>
      <c r="D43" s="11" t="n"/>
      <c r="E43" s="11" t="n"/>
      <c r="F43" s="11" t="n"/>
      <c r="G43" s="27" t="n"/>
      <c r="H43" s="27" t="n"/>
      <c r="I43" s="11" t="n"/>
      <c r="J43" s="17" t="n"/>
      <c r="K43" s="11" t="n"/>
    </row>
    <row r="44" ht="22" customHeight="1">
      <c r="B44" s="15">
        <f>IF(C44="","ME-"&amp;TEXT(COUNTA($C$5:C44),"000"))</f>
        <v/>
      </c>
      <c r="C44" s="13" t="n"/>
      <c r="D44" s="13" t="n"/>
      <c r="E44" s="13" t="n"/>
      <c r="F44" s="13" t="n"/>
      <c r="G44" s="28" t="n"/>
      <c r="H44" s="28" t="n"/>
      <c r="I44" s="13" t="n"/>
      <c r="J44" s="18" t="n"/>
      <c r="K44" s="13" t="n"/>
    </row>
    <row r="45" ht="22" customHeight="1">
      <c r="B45" s="16">
        <f>IF(C45="","ME-"&amp;TEXT(COUNTA($C$5:C45),"000"))</f>
        <v/>
      </c>
      <c r="C45" s="11" t="n"/>
      <c r="D45" s="11" t="n"/>
      <c r="E45" s="11" t="n"/>
      <c r="F45" s="11" t="n"/>
      <c r="G45" s="27" t="n"/>
      <c r="H45" s="27" t="n"/>
      <c r="I45" s="11" t="n"/>
      <c r="J45" s="17" t="n"/>
      <c r="K45" s="11" t="n"/>
    </row>
    <row r="46" ht="22" customHeight="1">
      <c r="B46" s="15">
        <f>IF(C46="","ME-"&amp;TEXT(COUNTA($C$5:C46),"000"))</f>
        <v/>
      </c>
      <c r="C46" s="13" t="n"/>
      <c r="D46" s="13" t="n"/>
      <c r="E46" s="13" t="n"/>
      <c r="F46" s="13" t="n"/>
      <c r="G46" s="28" t="n"/>
      <c r="H46" s="28" t="n"/>
      <c r="I46" s="13" t="n"/>
      <c r="J46" s="18" t="n"/>
      <c r="K46" s="13" t="n"/>
    </row>
    <row r="47" ht="22" customHeight="1">
      <c r="B47" s="16">
        <f>IF(C47="","ME-"&amp;TEXT(COUNTA($C$5:C47),"000"))</f>
        <v/>
      </c>
      <c r="C47" s="11" t="n"/>
      <c r="D47" s="11" t="n"/>
      <c r="E47" s="11" t="n"/>
      <c r="F47" s="11" t="n"/>
      <c r="G47" s="27" t="n"/>
      <c r="H47" s="27" t="n"/>
      <c r="I47" s="11" t="n"/>
      <c r="J47" s="17" t="n"/>
      <c r="K47" s="11" t="n"/>
    </row>
    <row r="48" ht="22" customHeight="1">
      <c r="B48" s="15">
        <f>IF(C48="","ME-"&amp;TEXT(COUNTA($C$5:C48),"000"))</f>
        <v/>
      </c>
      <c r="C48" s="13" t="n"/>
      <c r="D48" s="13" t="n"/>
      <c r="E48" s="13" t="n"/>
      <c r="F48" s="13" t="n"/>
      <c r="G48" s="28" t="n"/>
      <c r="H48" s="28" t="n"/>
      <c r="I48" s="13" t="n"/>
      <c r="J48" s="18" t="n"/>
      <c r="K48" s="13" t="n"/>
    </row>
    <row r="49" ht="22" customHeight="1">
      <c r="B49" s="16">
        <f>IF(C49="","ME-"&amp;TEXT(COUNTA($C$5:C49),"000"))</f>
        <v/>
      </c>
      <c r="C49" s="11" t="n"/>
      <c r="D49" s="11" t="n"/>
      <c r="E49" s="11" t="n"/>
      <c r="F49" s="11" t="n"/>
      <c r="G49" s="27" t="n"/>
      <c r="H49" s="27" t="n"/>
      <c r="I49" s="11" t="n"/>
      <c r="J49" s="17" t="n"/>
      <c r="K49" s="11" t="n"/>
    </row>
    <row r="50" ht="22" customHeight="1">
      <c r="B50" s="15">
        <f>IF(C50="","ME-"&amp;TEXT(COUNTA($C$5:C50),"000"))</f>
        <v/>
      </c>
      <c r="C50" s="13" t="n"/>
      <c r="D50" s="13" t="n"/>
      <c r="E50" s="13" t="n"/>
      <c r="F50" s="13" t="n"/>
      <c r="G50" s="28" t="n"/>
      <c r="H50" s="28" t="n"/>
      <c r="I50" s="13" t="n"/>
      <c r="J50" s="18" t="n"/>
      <c r="K50" s="13" t="n"/>
    </row>
    <row r="51" ht="22" customHeight="1">
      <c r="B51" s="16">
        <f>IF(C51="","ME-"&amp;TEXT(COUNTA($C$5:C51),"000"))</f>
        <v/>
      </c>
      <c r="C51" s="11" t="n"/>
      <c r="D51" s="11" t="n"/>
      <c r="E51" s="11" t="n"/>
      <c r="F51" s="11" t="n"/>
      <c r="G51" s="27" t="n"/>
      <c r="H51" s="27" t="n"/>
      <c r="I51" s="11" t="n"/>
      <c r="J51" s="17" t="n"/>
      <c r="K51" s="11" t="n"/>
    </row>
    <row r="52" ht="22" customHeight="1">
      <c r="B52" s="15">
        <f>IF(C52="","ME-"&amp;TEXT(COUNTA($C$5:C52),"000"))</f>
        <v/>
      </c>
      <c r="C52" s="13" t="n"/>
      <c r="D52" s="13" t="n"/>
      <c r="E52" s="13" t="n"/>
      <c r="F52" s="13" t="n"/>
      <c r="G52" s="28" t="n"/>
      <c r="H52" s="28" t="n"/>
      <c r="I52" s="13" t="n"/>
      <c r="J52" s="18" t="n"/>
      <c r="K52" s="13" t="n"/>
    </row>
    <row r="53" ht="22" customHeight="1">
      <c r="B53" s="16">
        <f>IF(C53="","ME-"&amp;TEXT(COUNTA($C$5:C53),"000"))</f>
        <v/>
      </c>
      <c r="C53" s="11" t="n"/>
      <c r="D53" s="11" t="n"/>
      <c r="E53" s="11" t="n"/>
      <c r="F53" s="11" t="n"/>
      <c r="G53" s="27" t="n"/>
      <c r="H53" s="27" t="n"/>
      <c r="I53" s="11" t="n"/>
      <c r="J53" s="17" t="n"/>
      <c r="K53" s="11" t="n"/>
    </row>
    <row r="54" ht="22" customHeight="1">
      <c r="B54" s="15">
        <f>IF(C54="","ME-"&amp;TEXT(COUNTA($C$5:C54),"000"))</f>
        <v/>
      </c>
      <c r="C54" s="13" t="n"/>
      <c r="D54" s="13" t="n"/>
      <c r="E54" s="13" t="n"/>
      <c r="F54" s="13" t="n"/>
      <c r="G54" s="28" t="n"/>
      <c r="H54" s="28" t="n"/>
      <c r="I54" s="13" t="n"/>
      <c r="J54" s="18" t="n"/>
      <c r="K54" s="13" t="n"/>
    </row>
    <row r="55" ht="22" customHeight="1">
      <c r="B55" s="16">
        <f>IF(C55="","ME-"&amp;TEXT(COUNTA($C$5:C55),"000"))</f>
        <v/>
      </c>
      <c r="C55" s="11" t="n"/>
      <c r="D55" s="11" t="n"/>
      <c r="E55" s="11" t="n"/>
      <c r="F55" s="11" t="n"/>
      <c r="G55" s="27" t="n"/>
      <c r="H55" s="27" t="n"/>
      <c r="I55" s="11" t="n"/>
      <c r="J55" s="17" t="n"/>
      <c r="K55" s="11" t="n"/>
    </row>
    <row r="56" ht="22" customHeight="1">
      <c r="B56" s="15">
        <f>IF(C56="","ME-"&amp;TEXT(COUNTA($C$5:C56),"000"))</f>
        <v/>
      </c>
      <c r="C56" s="13" t="n"/>
      <c r="D56" s="13" t="n"/>
      <c r="E56" s="13" t="n"/>
      <c r="F56" s="13" t="n"/>
      <c r="G56" s="28" t="n"/>
      <c r="H56" s="28" t="n"/>
      <c r="I56" s="13" t="n"/>
      <c r="J56" s="18" t="n"/>
      <c r="K56" s="13" t="n"/>
    </row>
    <row r="57" ht="22" customHeight="1">
      <c r="B57" s="16">
        <f>IF(C57="","ME-"&amp;TEXT(COUNTA($C$5:C57),"000"))</f>
        <v/>
      </c>
      <c r="C57" s="11" t="n"/>
      <c r="D57" s="11" t="n"/>
      <c r="E57" s="11" t="n"/>
      <c r="F57" s="11" t="n"/>
      <c r="G57" s="27" t="n"/>
      <c r="H57" s="27" t="n"/>
      <c r="I57" s="11" t="n"/>
      <c r="J57" s="17" t="n"/>
      <c r="K57" s="11" t="n"/>
    </row>
    <row r="58" ht="22" customHeight="1">
      <c r="B58" s="15">
        <f>IF(C58="","ME-"&amp;TEXT(COUNTA($C$5:C58),"000"))</f>
        <v/>
      </c>
      <c r="C58" s="13" t="n"/>
      <c r="D58" s="13" t="n"/>
      <c r="E58" s="13" t="n"/>
      <c r="F58" s="13" t="n"/>
      <c r="G58" s="28" t="n"/>
      <c r="H58" s="28" t="n"/>
      <c r="I58" s="13" t="n"/>
      <c r="J58" s="18" t="n"/>
      <c r="K58" s="13" t="n"/>
    </row>
    <row r="59" ht="22" customHeight="1">
      <c r="B59" s="16">
        <f>IF(C59="","ME-"&amp;TEXT(COUNTA($C$5:C59),"000"))</f>
        <v/>
      </c>
      <c r="C59" s="11" t="n"/>
      <c r="D59" s="11" t="n"/>
      <c r="E59" s="11" t="n"/>
      <c r="F59" s="11" t="n"/>
      <c r="G59" s="27" t="n"/>
      <c r="H59" s="27" t="n"/>
      <c r="I59" s="11" t="n"/>
      <c r="J59" s="17" t="n"/>
      <c r="K59" s="11" t="n"/>
    </row>
    <row r="60" ht="22" customHeight="1">
      <c r="B60" s="15">
        <f>IF(C60="","ME-"&amp;TEXT(COUNTA($C$5:C60),"000"))</f>
        <v/>
      </c>
      <c r="C60" s="13" t="n"/>
      <c r="D60" s="13" t="n"/>
      <c r="E60" s="13" t="n"/>
      <c r="F60" s="13" t="n"/>
      <c r="G60" s="28" t="n"/>
      <c r="H60" s="28" t="n"/>
      <c r="I60" s="13" t="n"/>
      <c r="J60" s="18" t="n"/>
      <c r="K60" s="13" t="n"/>
    </row>
    <row r="61" ht="22" customHeight="1">
      <c r="B61" s="16">
        <f>IF(C61="","ME-"&amp;TEXT(COUNTA($C$5:C61),"000"))</f>
        <v/>
      </c>
      <c r="C61" s="11" t="n"/>
      <c r="D61" s="11" t="n"/>
      <c r="E61" s="11" t="n"/>
      <c r="F61" s="11" t="n"/>
      <c r="G61" s="27" t="n"/>
      <c r="H61" s="27" t="n"/>
      <c r="I61" s="11" t="n"/>
      <c r="J61" s="17" t="n"/>
      <c r="K61" s="11" t="n"/>
    </row>
    <row r="62" ht="22" customHeight="1">
      <c r="B62" s="15">
        <f>IF(C62="","ME-"&amp;TEXT(COUNTA($C$5:C62),"000"))</f>
        <v/>
      </c>
      <c r="C62" s="13" t="n"/>
      <c r="D62" s="13" t="n"/>
      <c r="E62" s="13" t="n"/>
      <c r="F62" s="13" t="n"/>
      <c r="G62" s="28" t="n"/>
      <c r="H62" s="28" t="n"/>
      <c r="I62" s="13" t="n"/>
      <c r="J62" s="18" t="n"/>
      <c r="K62" s="13" t="n"/>
    </row>
    <row r="63" ht="22" customHeight="1">
      <c r="B63" s="16">
        <f>IF(C63="","ME-"&amp;TEXT(COUNTA($C$5:C63),"000"))</f>
        <v/>
      </c>
      <c r="C63" s="11" t="n"/>
      <c r="D63" s="11" t="n"/>
      <c r="E63" s="11" t="n"/>
      <c r="F63" s="11" t="n"/>
      <c r="G63" s="27" t="n"/>
      <c r="H63" s="27" t="n"/>
      <c r="I63" s="11" t="n"/>
      <c r="J63" s="17" t="n"/>
      <c r="K63" s="11" t="n"/>
    </row>
    <row r="64" ht="22" customHeight="1">
      <c r="B64" s="15">
        <f>IF(C64="","ME-"&amp;TEXT(COUNTA($C$5:C64),"000"))</f>
        <v/>
      </c>
      <c r="C64" s="13" t="n"/>
      <c r="D64" s="13" t="n"/>
      <c r="E64" s="13" t="n"/>
      <c r="F64" s="13" t="n"/>
      <c r="G64" s="28" t="n"/>
      <c r="H64" s="28" t="n"/>
      <c r="I64" s="13" t="n"/>
      <c r="J64" s="18" t="n"/>
      <c r="K64" s="13" t="n"/>
    </row>
    <row r="65" ht="22" customHeight="1">
      <c r="B65" s="16">
        <f>IF(C65="","ME-"&amp;TEXT(COUNTA($C$5:C65),"000"))</f>
        <v/>
      </c>
      <c r="C65" s="11" t="n"/>
      <c r="D65" s="11" t="n"/>
      <c r="E65" s="11" t="n"/>
      <c r="F65" s="11" t="n"/>
      <c r="G65" s="27" t="n"/>
      <c r="H65" s="27" t="n"/>
      <c r="I65" s="11" t="n"/>
      <c r="J65" s="17" t="n"/>
      <c r="K65" s="11" t="n"/>
    </row>
    <row r="66" ht="22" customHeight="1">
      <c r="B66" s="15">
        <f>IF(C66="","ME-"&amp;TEXT(COUNTA($C$5:C66),"000"))</f>
        <v/>
      </c>
      <c r="C66" s="13" t="n"/>
      <c r="D66" s="13" t="n"/>
      <c r="E66" s="13" t="n"/>
      <c r="F66" s="13" t="n"/>
      <c r="G66" s="28" t="n"/>
      <c r="H66" s="28" t="n"/>
      <c r="I66" s="13" t="n"/>
      <c r="J66" s="18" t="n"/>
      <c r="K66" s="13" t="n"/>
    </row>
    <row r="67" ht="22" customHeight="1">
      <c r="B67" s="16">
        <f>IF(C67="","ME-"&amp;TEXT(COUNTA($C$5:C67),"000"))</f>
        <v/>
      </c>
      <c r="C67" s="11" t="n"/>
      <c r="D67" s="11" t="n"/>
      <c r="E67" s="11" t="n"/>
      <c r="F67" s="11" t="n"/>
      <c r="G67" s="27" t="n"/>
      <c r="H67" s="27" t="n"/>
      <c r="I67" s="11" t="n"/>
      <c r="J67" s="17" t="n"/>
      <c r="K67" s="11" t="n"/>
    </row>
    <row r="68" ht="22" customHeight="1">
      <c r="B68" s="15">
        <f>IF(C68="","ME-"&amp;TEXT(COUNTA($C$5:C68),"000"))</f>
        <v/>
      </c>
      <c r="C68" s="13" t="n"/>
      <c r="D68" s="13" t="n"/>
      <c r="E68" s="13" t="n"/>
      <c r="F68" s="13" t="n"/>
      <c r="G68" s="28" t="n"/>
      <c r="H68" s="28" t="n"/>
      <c r="I68" s="13" t="n"/>
      <c r="J68" s="18" t="n"/>
      <c r="K68" s="13" t="n"/>
    </row>
    <row r="69" ht="22" customHeight="1">
      <c r="B69" s="16">
        <f>IF(C69="","ME-"&amp;TEXT(COUNTA($C$5:C69),"000"))</f>
        <v/>
      </c>
      <c r="C69" s="11" t="n"/>
      <c r="D69" s="11" t="n"/>
      <c r="E69" s="11" t="n"/>
      <c r="F69" s="11" t="n"/>
      <c r="G69" s="27" t="n"/>
      <c r="H69" s="27" t="n"/>
      <c r="I69" s="11" t="n"/>
      <c r="J69" s="17" t="n"/>
      <c r="K69" s="11" t="n"/>
    </row>
    <row r="70" ht="22" customHeight="1">
      <c r="B70" s="15">
        <f>IF(C70="","ME-"&amp;TEXT(COUNTA($C$5:C70),"000"))</f>
        <v/>
      </c>
      <c r="C70" s="13" t="n"/>
      <c r="D70" s="13" t="n"/>
      <c r="E70" s="13" t="n"/>
      <c r="F70" s="13" t="n"/>
      <c r="G70" s="28" t="n"/>
      <c r="H70" s="28" t="n"/>
      <c r="I70" s="13" t="n"/>
      <c r="J70" s="18" t="n"/>
      <c r="K70" s="13" t="n"/>
    </row>
    <row r="71" ht="22" customHeight="1">
      <c r="B71" s="16">
        <f>IF(C71="","ME-"&amp;TEXT(COUNTA($C$5:C71),"000"))</f>
        <v/>
      </c>
      <c r="C71" s="11" t="n"/>
      <c r="D71" s="11" t="n"/>
      <c r="E71" s="11" t="n"/>
      <c r="F71" s="11" t="n"/>
      <c r="G71" s="27" t="n"/>
      <c r="H71" s="27" t="n"/>
      <c r="I71" s="11" t="n"/>
      <c r="J71" s="17" t="n"/>
      <c r="K71" s="11" t="n"/>
    </row>
    <row r="72" ht="22" customHeight="1">
      <c r="B72" s="15">
        <f>IF(C72="","ME-"&amp;TEXT(COUNTA($C$5:C72),"000"))</f>
        <v/>
      </c>
      <c r="C72" s="13" t="n"/>
      <c r="D72" s="13" t="n"/>
      <c r="E72" s="13" t="n"/>
      <c r="F72" s="13" t="n"/>
      <c r="G72" s="28" t="n"/>
      <c r="H72" s="28" t="n"/>
      <c r="I72" s="13" t="n"/>
      <c r="J72" s="18" t="n"/>
      <c r="K72" s="13" t="n"/>
    </row>
    <row r="73" ht="22" customHeight="1">
      <c r="B73" s="16">
        <f>IF(C73="","ME-"&amp;TEXT(COUNTA($C$5:C73),"000"))</f>
        <v/>
      </c>
      <c r="C73" s="11" t="n"/>
      <c r="D73" s="11" t="n"/>
      <c r="E73" s="11" t="n"/>
      <c r="F73" s="11" t="n"/>
      <c r="G73" s="27" t="n"/>
      <c r="H73" s="27" t="n"/>
      <c r="I73" s="11" t="n"/>
      <c r="J73" s="17" t="n"/>
      <c r="K73" s="11" t="n"/>
    </row>
    <row r="74" ht="22" customHeight="1">
      <c r="B74" s="15">
        <f>IF(C74="","ME-"&amp;TEXT(COUNTA($C$5:C74),"000"))</f>
        <v/>
      </c>
      <c r="C74" s="13" t="n"/>
      <c r="D74" s="13" t="n"/>
      <c r="E74" s="13" t="n"/>
      <c r="F74" s="13" t="n"/>
      <c r="G74" s="28" t="n"/>
      <c r="H74" s="28" t="n"/>
      <c r="I74" s="13" t="n"/>
      <c r="J74" s="18" t="n"/>
      <c r="K74" s="13" t="n"/>
    </row>
    <row r="75" ht="22" customHeight="1">
      <c r="B75" s="16">
        <f>IF(C75="","ME-"&amp;TEXT(COUNTA($C$5:C75),"000"))</f>
        <v/>
      </c>
      <c r="C75" s="11" t="n"/>
      <c r="D75" s="11" t="n"/>
      <c r="E75" s="11" t="n"/>
      <c r="F75" s="11" t="n"/>
      <c r="G75" s="27" t="n"/>
      <c r="H75" s="27" t="n"/>
      <c r="I75" s="11" t="n"/>
      <c r="J75" s="17" t="n"/>
      <c r="K75" s="11" t="n"/>
    </row>
    <row r="76" ht="22" customHeight="1">
      <c r="B76" s="15">
        <f>IF(C76="","ME-"&amp;TEXT(COUNTA($C$5:C76),"000"))</f>
        <v/>
      </c>
      <c r="C76" s="13" t="n"/>
      <c r="D76" s="13" t="n"/>
      <c r="E76" s="13" t="n"/>
      <c r="F76" s="13" t="n"/>
      <c r="G76" s="28" t="n"/>
      <c r="H76" s="28" t="n"/>
      <c r="I76" s="13" t="n"/>
      <c r="J76" s="18" t="n"/>
      <c r="K76" s="13" t="n"/>
    </row>
    <row r="77" ht="22" customHeight="1">
      <c r="B77" s="16">
        <f>IF(C77="","ME-"&amp;TEXT(COUNTA($C$5:C77),"000"))</f>
        <v/>
      </c>
      <c r="C77" s="11" t="n"/>
      <c r="D77" s="11" t="n"/>
      <c r="E77" s="11" t="n"/>
      <c r="F77" s="11" t="n"/>
      <c r="G77" s="27" t="n"/>
      <c r="H77" s="27" t="n"/>
      <c r="I77" s="11" t="n"/>
      <c r="J77" s="17" t="n"/>
      <c r="K77" s="11" t="n"/>
    </row>
    <row r="78" ht="22" customHeight="1">
      <c r="B78" s="15">
        <f>IF(C78="","ME-"&amp;TEXT(COUNTA($C$5:C78),"000"))</f>
        <v/>
      </c>
      <c r="C78" s="13" t="n"/>
      <c r="D78" s="13" t="n"/>
      <c r="E78" s="13" t="n"/>
      <c r="F78" s="13" t="n"/>
      <c r="G78" s="28" t="n"/>
      <c r="H78" s="28" t="n"/>
      <c r="I78" s="13" t="n"/>
      <c r="J78" s="18" t="n"/>
      <c r="K78" s="13" t="n"/>
    </row>
    <row r="79" ht="22" customHeight="1">
      <c r="B79" s="16">
        <f>IF(C79="","ME-"&amp;TEXT(COUNTA($C$5:C79),"000"))</f>
        <v/>
      </c>
      <c r="C79" s="11" t="n"/>
      <c r="D79" s="11" t="n"/>
      <c r="E79" s="11" t="n"/>
      <c r="F79" s="11" t="n"/>
      <c r="G79" s="27" t="n"/>
      <c r="H79" s="27" t="n"/>
      <c r="I79" s="11" t="n"/>
      <c r="J79" s="17" t="n"/>
      <c r="K79" s="11" t="n"/>
    </row>
    <row r="80" ht="22" customHeight="1">
      <c r="B80" s="15">
        <f>IF(C80="","ME-"&amp;TEXT(COUNTA($C$5:C80),"000"))</f>
        <v/>
      </c>
      <c r="C80" s="13" t="n"/>
      <c r="D80" s="13" t="n"/>
      <c r="E80" s="13" t="n"/>
      <c r="F80" s="13" t="n"/>
      <c r="G80" s="28" t="n"/>
      <c r="H80" s="28" t="n"/>
      <c r="I80" s="13" t="n"/>
      <c r="J80" s="18" t="n"/>
      <c r="K80" s="13" t="n"/>
    </row>
    <row r="81" ht="22" customHeight="1">
      <c r="B81" s="16">
        <f>IF(C81="","ME-"&amp;TEXT(COUNTA($C$5:C81),"000"))</f>
        <v/>
      </c>
      <c r="C81" s="11" t="n"/>
      <c r="D81" s="11" t="n"/>
      <c r="E81" s="11" t="n"/>
      <c r="F81" s="11" t="n"/>
      <c r="G81" s="27" t="n"/>
      <c r="H81" s="27" t="n"/>
      <c r="I81" s="11" t="n"/>
      <c r="J81" s="17" t="n"/>
      <c r="K81" s="11" t="n"/>
    </row>
    <row r="82" ht="22" customHeight="1">
      <c r="B82" s="15">
        <f>IF(C82="","ME-"&amp;TEXT(COUNTA($C$5:C82),"000"))</f>
        <v/>
      </c>
      <c r="C82" s="13" t="n"/>
      <c r="D82" s="13" t="n"/>
      <c r="E82" s="13" t="n"/>
      <c r="F82" s="13" t="n"/>
      <c r="G82" s="28" t="n"/>
      <c r="H82" s="28" t="n"/>
      <c r="I82" s="13" t="n"/>
      <c r="J82" s="18" t="n"/>
      <c r="K82" s="13" t="n"/>
    </row>
    <row r="83" ht="22" customHeight="1">
      <c r="B83" s="16">
        <f>IF(C83="","ME-"&amp;TEXT(COUNTA($C$5:C83),"000"))</f>
        <v/>
      </c>
      <c r="C83" s="11" t="n"/>
      <c r="D83" s="11" t="n"/>
      <c r="E83" s="11" t="n"/>
      <c r="F83" s="11" t="n"/>
      <c r="G83" s="27" t="n"/>
      <c r="H83" s="27" t="n"/>
      <c r="I83" s="11" t="n"/>
      <c r="J83" s="17" t="n"/>
      <c r="K83" s="11" t="n"/>
    </row>
    <row r="84" ht="22" customHeight="1">
      <c r="B84" s="15">
        <f>IF(C84="","ME-"&amp;TEXT(COUNTA($C$5:C84),"000"))</f>
        <v/>
      </c>
      <c r="C84" s="13" t="n"/>
      <c r="D84" s="13" t="n"/>
      <c r="E84" s="13" t="n"/>
      <c r="F84" s="13" t="n"/>
      <c r="G84" s="28" t="n"/>
      <c r="H84" s="28" t="n"/>
      <c r="I84" s="13" t="n"/>
      <c r="J84" s="18" t="n"/>
      <c r="K84" s="13" t="n"/>
    </row>
    <row r="85" ht="22" customHeight="1">
      <c r="B85" s="16">
        <f>IF(C85="","ME-"&amp;TEXT(COUNTA($C$5:C85),"000"))</f>
        <v/>
      </c>
      <c r="C85" s="11" t="n"/>
      <c r="D85" s="11" t="n"/>
      <c r="E85" s="11" t="n"/>
      <c r="F85" s="11" t="n"/>
      <c r="G85" s="27" t="n"/>
      <c r="H85" s="27" t="n"/>
      <c r="I85" s="11" t="n"/>
      <c r="J85" s="17" t="n"/>
      <c r="K85" s="11" t="n"/>
    </row>
    <row r="86" ht="22" customHeight="1">
      <c r="B86" s="15">
        <f>IF(C86="","ME-"&amp;TEXT(COUNTA($C$5:C86),"000"))</f>
        <v/>
      </c>
      <c r="C86" s="13" t="n"/>
      <c r="D86" s="13" t="n"/>
      <c r="E86" s="13" t="n"/>
      <c r="F86" s="13" t="n"/>
      <c r="G86" s="28" t="n"/>
      <c r="H86" s="28" t="n"/>
      <c r="I86" s="13" t="n"/>
      <c r="J86" s="18" t="n"/>
      <c r="K86" s="13" t="n"/>
    </row>
    <row r="87" ht="22" customHeight="1">
      <c r="B87" s="16">
        <f>IF(C87="","ME-"&amp;TEXT(COUNTA($C$5:C87),"000"))</f>
        <v/>
      </c>
      <c r="C87" s="11" t="n"/>
      <c r="D87" s="11" t="n"/>
      <c r="E87" s="11" t="n"/>
      <c r="F87" s="11" t="n"/>
      <c r="G87" s="27" t="n"/>
      <c r="H87" s="27" t="n"/>
      <c r="I87" s="11" t="n"/>
      <c r="J87" s="17" t="n"/>
      <c r="K87" s="11" t="n"/>
    </row>
    <row r="88" ht="22" customHeight="1">
      <c r="B88" s="15">
        <f>IF(C88="","ME-"&amp;TEXT(COUNTA($C$5:C88),"000"))</f>
        <v/>
      </c>
      <c r="C88" s="13" t="n"/>
      <c r="D88" s="13" t="n"/>
      <c r="E88" s="13" t="n"/>
      <c r="F88" s="13" t="n"/>
      <c r="G88" s="28" t="n"/>
      <c r="H88" s="28" t="n"/>
      <c r="I88" s="13" t="n"/>
      <c r="J88" s="18" t="n"/>
      <c r="K88" s="13" t="n"/>
    </row>
    <row r="89" ht="22" customHeight="1">
      <c r="B89" s="16">
        <f>IF(C89="","ME-"&amp;TEXT(COUNTA($C$5:C89),"000"))</f>
        <v/>
      </c>
      <c r="C89" s="11" t="n"/>
      <c r="D89" s="11" t="n"/>
      <c r="E89" s="11" t="n"/>
      <c r="F89" s="11" t="n"/>
      <c r="G89" s="27" t="n"/>
      <c r="H89" s="27" t="n"/>
      <c r="I89" s="11" t="n"/>
      <c r="J89" s="17" t="n"/>
      <c r="K89" s="11" t="n"/>
    </row>
    <row r="90" ht="22" customHeight="1">
      <c r="B90" s="15">
        <f>IF(C90="","ME-"&amp;TEXT(COUNTA($C$5:C90),"000"))</f>
        <v/>
      </c>
      <c r="C90" s="13" t="n"/>
      <c r="D90" s="13" t="n"/>
      <c r="E90" s="13" t="n"/>
      <c r="F90" s="13" t="n"/>
      <c r="G90" s="28" t="n"/>
      <c r="H90" s="28" t="n"/>
      <c r="I90" s="13" t="n"/>
      <c r="J90" s="18" t="n"/>
      <c r="K90" s="13" t="n"/>
    </row>
    <row r="91" ht="22" customHeight="1">
      <c r="B91" s="16">
        <f>IF(C91="","ME-"&amp;TEXT(COUNTA($C$5:C91),"000"))</f>
        <v/>
      </c>
      <c r="C91" s="11" t="n"/>
      <c r="D91" s="11" t="n"/>
      <c r="E91" s="11" t="n"/>
      <c r="F91" s="11" t="n"/>
      <c r="G91" s="27" t="n"/>
      <c r="H91" s="27" t="n"/>
      <c r="I91" s="11" t="n"/>
      <c r="J91" s="17" t="n"/>
      <c r="K91" s="11" t="n"/>
    </row>
    <row r="92" ht="22" customHeight="1">
      <c r="B92" s="15">
        <f>IF(C92="","ME-"&amp;TEXT(COUNTA($C$5:C92),"000"))</f>
        <v/>
      </c>
      <c r="C92" s="13" t="n"/>
      <c r="D92" s="13" t="n"/>
      <c r="E92" s="13" t="n"/>
      <c r="F92" s="13" t="n"/>
      <c r="G92" s="28" t="n"/>
      <c r="H92" s="28" t="n"/>
      <c r="I92" s="13" t="n"/>
      <c r="J92" s="18" t="n"/>
      <c r="K92" s="13" t="n"/>
    </row>
    <row r="93" ht="22" customHeight="1">
      <c r="B93" s="16">
        <f>IF(C93="","ME-"&amp;TEXT(COUNTA($C$5:C93),"000"))</f>
        <v/>
      </c>
      <c r="C93" s="11" t="n"/>
      <c r="D93" s="11" t="n"/>
      <c r="E93" s="11" t="n"/>
      <c r="F93" s="11" t="n"/>
      <c r="G93" s="27" t="n"/>
      <c r="H93" s="27" t="n"/>
      <c r="I93" s="11" t="n"/>
      <c r="J93" s="17" t="n"/>
      <c r="K93" s="11" t="n"/>
    </row>
    <row r="94" ht="22" customHeight="1">
      <c r="B94" s="15">
        <f>IF(C94="","ME-"&amp;TEXT(COUNTA($C$5:C94),"000"))</f>
        <v/>
      </c>
      <c r="C94" s="13" t="n"/>
      <c r="D94" s="13" t="n"/>
      <c r="E94" s="13" t="n"/>
      <c r="F94" s="13" t="n"/>
      <c r="G94" s="28" t="n"/>
      <c r="H94" s="28" t="n"/>
      <c r="I94" s="13" t="n"/>
      <c r="J94" s="18" t="n"/>
      <c r="K94" s="13" t="n"/>
    </row>
    <row r="95" ht="22" customHeight="1">
      <c r="B95" s="16">
        <f>IF(C95="","ME-"&amp;TEXT(COUNTA($C$5:C95),"000"))</f>
        <v/>
      </c>
      <c r="C95" s="11" t="n"/>
      <c r="D95" s="11" t="n"/>
      <c r="E95" s="11" t="n"/>
      <c r="F95" s="11" t="n"/>
      <c r="G95" s="27" t="n"/>
      <c r="H95" s="27" t="n"/>
      <c r="I95" s="11" t="n"/>
      <c r="J95" s="17" t="n"/>
      <c r="K95" s="11" t="n"/>
    </row>
    <row r="96" ht="22" customHeight="1">
      <c r="B96" s="15">
        <f>IF(C96="","ME-"&amp;TEXT(COUNTA($C$5:C96),"000"))</f>
        <v/>
      </c>
      <c r="C96" s="13" t="n"/>
      <c r="D96" s="13" t="n"/>
      <c r="E96" s="13" t="n"/>
      <c r="F96" s="13" t="n"/>
      <c r="G96" s="28" t="n"/>
      <c r="H96" s="28" t="n"/>
      <c r="I96" s="13" t="n"/>
      <c r="J96" s="18" t="n"/>
      <c r="K96" s="13" t="n"/>
    </row>
    <row r="97" ht="22" customHeight="1">
      <c r="B97" s="16">
        <f>IF(C97="","ME-"&amp;TEXT(COUNTA($C$5:C97),"000"))</f>
        <v/>
      </c>
      <c r="C97" s="11" t="n"/>
      <c r="D97" s="11" t="n"/>
      <c r="E97" s="11" t="n"/>
      <c r="F97" s="11" t="n"/>
      <c r="G97" s="27" t="n"/>
      <c r="H97" s="27" t="n"/>
      <c r="I97" s="11" t="n"/>
      <c r="J97" s="17" t="n"/>
      <c r="K97" s="11" t="n"/>
    </row>
    <row r="98" ht="22" customHeight="1">
      <c r="B98" s="15">
        <f>IF(C98="","ME-"&amp;TEXT(COUNTA($C$5:C98),"000"))</f>
        <v/>
      </c>
      <c r="C98" s="13" t="n"/>
      <c r="D98" s="13" t="n"/>
      <c r="E98" s="13" t="n"/>
      <c r="F98" s="13" t="n"/>
      <c r="G98" s="28" t="n"/>
      <c r="H98" s="28" t="n"/>
      <c r="I98" s="13" t="n"/>
      <c r="J98" s="18" t="n"/>
      <c r="K98" s="13" t="n"/>
    </row>
    <row r="99" ht="22" customHeight="1">
      <c r="B99" s="16">
        <f>IF(C99="","ME-"&amp;TEXT(COUNTA($C$5:C99),"000"))</f>
        <v/>
      </c>
      <c r="C99" s="11" t="n"/>
      <c r="D99" s="11" t="n"/>
      <c r="E99" s="11" t="n"/>
      <c r="F99" s="11" t="n"/>
      <c r="G99" s="27" t="n"/>
      <c r="H99" s="27" t="n"/>
      <c r="I99" s="11" t="n"/>
      <c r="J99" s="17" t="n"/>
      <c r="K99" s="11" t="n"/>
    </row>
    <row r="100" ht="22" customHeight="1">
      <c r="B100" s="15">
        <f>IF(C100="","ME-"&amp;TEXT(COUNTA($C$5:C100),"000"))</f>
        <v/>
      </c>
      <c r="C100" s="13" t="n"/>
      <c r="D100" s="13" t="n"/>
      <c r="E100" s="13" t="n"/>
      <c r="F100" s="13" t="n"/>
      <c r="G100" s="28" t="n"/>
      <c r="H100" s="28" t="n"/>
      <c r="I100" s="13" t="n"/>
      <c r="J100" s="18" t="n"/>
      <c r="K100" s="13" t="n"/>
    </row>
    <row r="101" ht="22" customHeight="1">
      <c r="B101" s="16">
        <f>IF(C101="","ME-"&amp;TEXT(COUNTA($C$5:C101),"000"))</f>
        <v/>
      </c>
      <c r="C101" s="11" t="n"/>
      <c r="D101" s="11" t="n"/>
      <c r="E101" s="11" t="n"/>
      <c r="F101" s="11" t="n"/>
      <c r="G101" s="27" t="n"/>
      <c r="H101" s="27" t="n"/>
      <c r="I101" s="11" t="n"/>
      <c r="J101" s="17" t="n"/>
      <c r="K101" s="11" t="n"/>
    </row>
    <row r="102" ht="22" customHeight="1">
      <c r="B102" s="15">
        <f>IF(C102="","ME-"&amp;TEXT(COUNTA($C$5:C102),"000"))</f>
        <v/>
      </c>
      <c r="C102" s="13" t="n"/>
      <c r="D102" s="13" t="n"/>
      <c r="E102" s="13" t="n"/>
      <c r="F102" s="13" t="n"/>
      <c r="G102" s="28" t="n"/>
      <c r="H102" s="28" t="n"/>
      <c r="I102" s="13" t="n"/>
      <c r="J102" s="18" t="n"/>
      <c r="K102" s="13" t="n"/>
    </row>
    <row r="103" ht="22" customHeight="1">
      <c r="B103" s="16">
        <f>IF(C103="","ME-"&amp;TEXT(COUNTA($C$5:C103),"000"))</f>
        <v/>
      </c>
      <c r="C103" s="11" t="n"/>
      <c r="D103" s="11" t="n"/>
      <c r="E103" s="11" t="n"/>
      <c r="F103" s="11" t="n"/>
      <c r="G103" s="27" t="n"/>
      <c r="H103" s="27" t="n"/>
      <c r="I103" s="11" t="n"/>
      <c r="J103" s="17" t="n"/>
      <c r="K103" s="11" t="n"/>
    </row>
    <row r="104" ht="22" customHeight="1">
      <c r="B104" s="15">
        <f>IF(C104="","ME-"&amp;TEXT(COUNTA($C$5:C104),"000"))</f>
        <v/>
      </c>
      <c r="C104" s="13" t="n"/>
      <c r="D104" s="13" t="n"/>
      <c r="E104" s="13" t="n"/>
      <c r="F104" s="13" t="n"/>
      <c r="G104" s="28" t="n"/>
      <c r="H104" s="28" t="n"/>
      <c r="I104" s="13" t="n"/>
      <c r="J104" s="18" t="n"/>
      <c r="K104" s="13" t="n"/>
    </row>
    <row r="105" ht="22" customHeight="1">
      <c r="B105" s="16">
        <f>IF(C105="","ME-"&amp;TEXT(COUNTA($C$5:C105),"000"))</f>
        <v/>
      </c>
      <c r="C105" s="11" t="n"/>
      <c r="D105" s="11" t="n"/>
      <c r="E105" s="11" t="n"/>
      <c r="F105" s="11" t="n"/>
      <c r="G105" s="27" t="n"/>
      <c r="H105" s="27" t="n"/>
      <c r="I105" s="11" t="n"/>
      <c r="J105" s="17" t="n"/>
      <c r="K105" s="11" t="n"/>
    </row>
    <row r="106" ht="22" customHeight="1">
      <c r="B106" s="15">
        <f>IF(C106="","ME-"&amp;TEXT(COUNTA($C$5:C106),"000"))</f>
        <v/>
      </c>
      <c r="C106" s="13" t="n"/>
      <c r="D106" s="13" t="n"/>
      <c r="E106" s="13" t="n"/>
      <c r="F106" s="13" t="n"/>
      <c r="G106" s="28" t="n"/>
      <c r="H106" s="28" t="n"/>
      <c r="I106" s="13" t="n"/>
      <c r="J106" s="18" t="n"/>
      <c r="K106" s="13" t="n"/>
    </row>
    <row r="107" ht="22" customHeight="1">
      <c r="B107" s="16">
        <f>IF(C107="","ME-"&amp;TEXT(COUNTA($C$5:C107),"000"))</f>
        <v/>
      </c>
      <c r="C107" s="11" t="n"/>
      <c r="D107" s="11" t="n"/>
      <c r="E107" s="11" t="n"/>
      <c r="F107" s="11" t="n"/>
      <c r="G107" s="27" t="n"/>
      <c r="H107" s="27" t="n"/>
      <c r="I107" s="11" t="n"/>
      <c r="J107" s="17" t="n"/>
      <c r="K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Initiatives ME</t>
        </is>
      </c>
      <c r="D110" s="3" t="inlineStr">
        <is>
          <t>Budget total (FCFA)</t>
        </is>
      </c>
      <c r="F110" s="3" t="inlineStr">
        <is>
          <t>En cours</t>
        </is>
      </c>
    </row>
    <row r="111">
      <c r="B111" s="4">
        <f>COUNTIF(B5:B104,"&lt;&gt;")</f>
        <v/>
      </c>
      <c r="D111" s="4">
        <f>SUM(J5:J104)</f>
        <v/>
      </c>
      <c r="F111" s="4">
        <f>COUNTIF(K5:K104,"En cours")</f>
        <v/>
      </c>
    </row>
  </sheetData>
  <mergeCells count="3">
    <mergeCell ref="B109:K109"/>
    <mergeCell ref="B3:K3"/>
    <mergeCell ref="B2:K2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8:B107">
    <cfRule type="expression" priority="230" dxfId="3">
      <formula>AND($C8="",$C7&lt;&gt;"")</formula>
    </cfRule>
  </conditionalFormatting>
  <conditionalFormatting sqref="C8:C107">
    <cfRule type="expression" priority="231" dxfId="3">
      <formula>AND($C8="",$C7&lt;&gt;"")</formula>
    </cfRule>
  </conditionalFormatting>
  <conditionalFormatting sqref="D8:D107">
    <cfRule type="expression" priority="232" dxfId="3">
      <formula>AND($C8="",$C7&lt;&gt;"")</formula>
    </cfRule>
  </conditionalFormatting>
  <conditionalFormatting sqref="E8:E107">
    <cfRule type="expression" priority="233" dxfId="3">
      <formula>AND($C8="",$C7&lt;&gt;"")</formula>
    </cfRule>
  </conditionalFormatting>
  <conditionalFormatting sqref="F8:F107">
    <cfRule type="expression" priority="234" dxfId="3">
      <formula>AND($C8="",$C7&lt;&gt;"")</formula>
    </cfRule>
  </conditionalFormatting>
  <conditionalFormatting sqref="G8:G107">
    <cfRule type="expression" priority="235" dxfId="3">
      <formula>AND($C8="",$C7&lt;&gt;"")</formula>
    </cfRule>
  </conditionalFormatting>
  <conditionalFormatting sqref="H8:H107">
    <cfRule type="expression" priority="236" dxfId="3">
      <formula>AND($C8="",$C7&lt;&gt;"")</formula>
    </cfRule>
  </conditionalFormatting>
  <conditionalFormatting sqref="I8:I107">
    <cfRule type="expression" priority="237" dxfId="3">
      <formula>AND($C8="",$C7&lt;&gt;"")</formula>
    </cfRule>
  </conditionalFormatting>
  <conditionalFormatting sqref="J8:J107">
    <cfRule type="expression" priority="238" dxfId="3">
      <formula>AND($C8="",$C7&lt;&gt;"")</formula>
    </cfRule>
  </conditionalFormatting>
  <conditionalFormatting sqref="K8:K107">
    <cfRule type="expression" priority="239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'_Lists'!$G$2:$G$16</formula1>
    </dataValidation>
    <dataValidation sqref="K5:K107" showDropDown="0" showInputMessage="0" showErrorMessage="0" allowBlank="1" errorTitle="Erreur" error="Valeur invalide" promptTitle="Liste" prompt="Choisir dans la liste" type="list">
      <formula1>'_Lists'!$F$2:$F$6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32" customWidth="1" min="5" max="5"/>
    <col width="14" customWidth="1" min="6" max="6"/>
    <col width="18" customWidth="1" min="7" max="7"/>
    <col width="12" customWidth="1" min="8" max="8"/>
    <col width="18" customWidth="1" min="9" max="9"/>
    <col width="12" customWidth="1" min="10" max="10"/>
    <col width="14" customWidth="1" min="11" max="11"/>
    <col width="14" customWidth="1" min="12" max="12"/>
    <col width="18" customWidth="1" min="13" max="13"/>
  </cols>
  <sheetData>
    <row r="1" ht="15" customHeight="1"/>
    <row r="2" ht="32" customHeight="1">
      <c r="B2" s="1" t="inlineStr">
        <is>
          <t>RESEAUX SOCIAUX RH (#139)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Plateforme</t>
        </is>
      </c>
      <c r="D4" s="10" t="inlineStr">
        <is>
          <t>Type de Post</t>
        </is>
      </c>
      <c r="E4" s="10" t="inlineStr">
        <is>
          <t>Titre du Post</t>
        </is>
      </c>
      <c r="F4" s="10" t="inlineStr">
        <is>
          <t>Date Publication</t>
        </is>
      </c>
      <c r="G4" s="10" t="inlineStr">
        <is>
          <t>Auteur</t>
        </is>
      </c>
      <c r="H4" s="10" t="inlineStr">
        <is>
          <t>Vues</t>
        </is>
      </c>
      <c r="I4" s="10" t="inlineStr">
        <is>
          <t>Likes / Reactions</t>
        </is>
      </c>
      <c r="J4" s="10" t="inlineStr">
        <is>
          <t>Partages</t>
        </is>
      </c>
      <c r="K4" s="10" t="inlineStr">
        <is>
          <t>Commentaires</t>
        </is>
      </c>
      <c r="L4" s="10" t="inlineStr">
        <is>
          <t>Clics Lien</t>
        </is>
      </c>
    </row>
    <row r="5" ht="22" customHeight="1">
      <c r="B5" s="11" t="inlineStr">
        <is>
          <t>RS-001</t>
        </is>
      </c>
      <c r="C5" s="11" t="inlineStr">
        <is>
          <t>LinkedIn</t>
        </is>
      </c>
      <c r="D5" s="11" t="inlineStr">
        <is>
          <t>Post LinkedIn</t>
        </is>
      </c>
      <c r="E5" s="11" t="inlineStr">
        <is>
          <t>Nous recrutons un Chef Reception</t>
        </is>
      </c>
      <c r="F5" s="27" t="n">
        <v>45698</v>
      </c>
      <c r="G5" s="11" t="inlineStr">
        <is>
          <t>DRH</t>
        </is>
      </c>
      <c r="H5" s="17" t="n">
        <v>2500</v>
      </c>
      <c r="I5" s="17" t="n">
        <v>180</v>
      </c>
      <c r="J5" s="17" t="n">
        <v>45</v>
      </c>
      <c r="K5" s="17" t="n">
        <v>22</v>
      </c>
      <c r="L5" s="17" t="n">
        <v>35</v>
      </c>
    </row>
    <row r="6" ht="22" customHeight="1">
      <c r="B6" s="13" t="inlineStr">
        <is>
          <t>RS-002</t>
        </is>
      </c>
      <c r="C6" s="13" t="inlineStr">
        <is>
          <t>Facebook</t>
        </is>
      </c>
      <c r="D6" s="13" t="inlineStr">
        <is>
          <t>Post Facebook</t>
        </is>
      </c>
      <c r="E6" s="13" t="inlineStr">
        <is>
          <t>Decouvrez notre equipe Cuisine</t>
        </is>
      </c>
      <c r="F6" s="28" t="n">
        <v>45700</v>
      </c>
      <c r="G6" s="13" t="inlineStr">
        <is>
          <t>Chef Marketing</t>
        </is>
      </c>
      <c r="H6" s="18" t="n">
        <v>4500</v>
      </c>
      <c r="I6" s="18" t="n">
        <v>320</v>
      </c>
      <c r="J6" s="18" t="n">
        <v>80</v>
      </c>
      <c r="K6" s="18" t="n">
        <v>55</v>
      </c>
      <c r="L6" s="18" t="n">
        <v>20</v>
      </c>
    </row>
    <row r="7" ht="22" customHeight="1">
      <c r="B7" s="11" t="inlineStr">
        <is>
          <t>RS-003</t>
        </is>
      </c>
      <c r="C7" s="11" t="inlineStr">
        <is>
          <t>Instagram</t>
        </is>
      </c>
      <c r="D7" s="11" t="inlineStr">
        <is>
          <t>Story</t>
        </is>
      </c>
      <c r="E7" s="11" t="inlineStr">
        <is>
          <t>Journee type Receptionniste</t>
        </is>
      </c>
      <c r="F7" s="27" t="n">
        <v>45702</v>
      </c>
      <c r="G7" s="11" t="inlineStr">
        <is>
          <t>Chef Marketing</t>
        </is>
      </c>
      <c r="H7" s="17" t="n">
        <v>3200</v>
      </c>
      <c r="I7" s="17" t="n">
        <v>210</v>
      </c>
      <c r="J7" s="17" t="n">
        <v>40</v>
      </c>
      <c r="K7" s="17" t="n">
        <v>18</v>
      </c>
      <c r="L7" s="17" t="n">
        <v>15</v>
      </c>
    </row>
    <row r="8" ht="22" customHeight="1">
      <c r="B8" s="15">
        <f>IF(C8="","RS-"&amp;TEXT(COUNTA($C$5:C8),"000"))</f>
        <v/>
      </c>
      <c r="C8" s="13" t="n"/>
      <c r="D8" s="13" t="n"/>
      <c r="E8" s="13" t="n"/>
      <c r="F8" s="28" t="n"/>
      <c r="G8" s="13" t="n"/>
      <c r="H8" s="18" t="n"/>
      <c r="I8" s="18" t="n"/>
      <c r="J8" s="18" t="n"/>
      <c r="K8" s="18" t="n"/>
      <c r="L8" s="18" t="n"/>
      <c r="M8" s="6">
        <f>IF(H8="","",(I8+J8+K8)/H8)</f>
        <v/>
      </c>
    </row>
    <row r="9" ht="22" customHeight="1">
      <c r="B9" s="16">
        <f>IF(C9="","RS-"&amp;TEXT(COUNTA($C$5:C9),"000"))</f>
        <v/>
      </c>
      <c r="C9" s="11" t="n"/>
      <c r="D9" s="11" t="n"/>
      <c r="E9" s="11" t="n"/>
      <c r="F9" s="27" t="n"/>
      <c r="G9" s="11" t="n"/>
      <c r="H9" s="17" t="n"/>
      <c r="I9" s="17" t="n"/>
      <c r="J9" s="17" t="n"/>
      <c r="K9" s="17" t="n"/>
      <c r="L9" s="17" t="n"/>
      <c r="M9" s="6">
        <f>IF(H9="","",(I9+J9+K9)/H9)</f>
        <v/>
      </c>
    </row>
    <row r="10" ht="22" customHeight="1">
      <c r="B10" s="15">
        <f>IF(C10="","RS-"&amp;TEXT(COUNTA($C$5:C10),"000"))</f>
        <v/>
      </c>
      <c r="C10" s="13" t="n"/>
      <c r="D10" s="13" t="n"/>
      <c r="E10" s="13" t="n"/>
      <c r="F10" s="28" t="n"/>
      <c r="G10" s="13" t="n"/>
      <c r="H10" s="18" t="n"/>
      <c r="I10" s="18" t="n"/>
      <c r="J10" s="18" t="n"/>
      <c r="K10" s="18" t="n"/>
      <c r="L10" s="18" t="n"/>
      <c r="M10" s="6">
        <f>IF(H10="","",(I10+J10+K10)/H10)</f>
        <v/>
      </c>
    </row>
    <row r="11" ht="22" customHeight="1">
      <c r="B11" s="16">
        <f>IF(C11="","RS-"&amp;TEXT(COUNTA($C$5:C11),"000"))</f>
        <v/>
      </c>
      <c r="C11" s="11" t="n"/>
      <c r="D11" s="11" t="n"/>
      <c r="E11" s="11" t="n"/>
      <c r="F11" s="27" t="n"/>
      <c r="G11" s="11" t="n"/>
      <c r="H11" s="17" t="n"/>
      <c r="I11" s="17" t="n"/>
      <c r="J11" s="17" t="n"/>
      <c r="K11" s="17" t="n"/>
      <c r="L11" s="17" t="n"/>
      <c r="M11" s="6">
        <f>IF(H11="","",(I11+J11+K11)/H11)</f>
        <v/>
      </c>
    </row>
    <row r="12" ht="22" customHeight="1">
      <c r="B12" s="15">
        <f>IF(C12="","RS-"&amp;TEXT(COUNTA($C$5:C12),"000"))</f>
        <v/>
      </c>
      <c r="C12" s="13" t="n"/>
      <c r="D12" s="13" t="n"/>
      <c r="E12" s="13" t="n"/>
      <c r="F12" s="28" t="n"/>
      <c r="G12" s="13" t="n"/>
      <c r="H12" s="18" t="n"/>
      <c r="I12" s="18" t="n"/>
      <c r="J12" s="18" t="n"/>
      <c r="K12" s="18" t="n"/>
      <c r="L12" s="18" t="n"/>
      <c r="M12" s="6">
        <f>IF(H12="","",(I12+J12+K12)/H12)</f>
        <v/>
      </c>
    </row>
    <row r="13" ht="22" customHeight="1">
      <c r="B13" s="16">
        <f>IF(C13="","RS-"&amp;TEXT(COUNTA($C$5:C13),"000"))</f>
        <v/>
      </c>
      <c r="C13" s="11" t="n"/>
      <c r="D13" s="11" t="n"/>
      <c r="E13" s="11" t="n"/>
      <c r="F13" s="27" t="n"/>
      <c r="G13" s="11" t="n"/>
      <c r="H13" s="17" t="n"/>
      <c r="I13" s="17" t="n"/>
      <c r="J13" s="17" t="n"/>
      <c r="K13" s="17" t="n"/>
      <c r="L13" s="17" t="n"/>
      <c r="M13" s="6">
        <f>IF(H13="","",(I13+J13+K13)/H13)</f>
        <v/>
      </c>
    </row>
    <row r="14" ht="22" customHeight="1">
      <c r="B14" s="15">
        <f>IF(C14="","RS-"&amp;TEXT(COUNTA($C$5:C14),"000"))</f>
        <v/>
      </c>
      <c r="C14" s="13" t="n"/>
      <c r="D14" s="13" t="n"/>
      <c r="E14" s="13" t="n"/>
      <c r="F14" s="28" t="n"/>
      <c r="G14" s="13" t="n"/>
      <c r="H14" s="18" t="n"/>
      <c r="I14" s="18" t="n"/>
      <c r="J14" s="18" t="n"/>
      <c r="K14" s="18" t="n"/>
      <c r="L14" s="18" t="n"/>
      <c r="M14" s="6">
        <f>IF(H14="","",(I14+J14+K14)/H14)</f>
        <v/>
      </c>
    </row>
    <row r="15" ht="22" customHeight="1">
      <c r="B15" s="16">
        <f>IF(C15="","RS-"&amp;TEXT(COUNTA($C$5:C15),"000"))</f>
        <v/>
      </c>
      <c r="C15" s="11" t="n"/>
      <c r="D15" s="11" t="n"/>
      <c r="E15" s="11" t="n"/>
      <c r="F15" s="27" t="n"/>
      <c r="G15" s="11" t="n"/>
      <c r="H15" s="17" t="n"/>
      <c r="I15" s="17" t="n"/>
      <c r="J15" s="17" t="n"/>
      <c r="K15" s="17" t="n"/>
      <c r="L15" s="17" t="n"/>
      <c r="M15" s="6">
        <f>IF(H15="","",(I15+J15+K15)/H15)</f>
        <v/>
      </c>
    </row>
    <row r="16" ht="22" customHeight="1">
      <c r="B16" s="15">
        <f>IF(C16="","RS-"&amp;TEXT(COUNTA($C$5:C16),"000"))</f>
        <v/>
      </c>
      <c r="C16" s="13" t="n"/>
      <c r="D16" s="13" t="n"/>
      <c r="E16" s="13" t="n"/>
      <c r="F16" s="28" t="n"/>
      <c r="G16" s="13" t="n"/>
      <c r="H16" s="18" t="n"/>
      <c r="I16" s="18" t="n"/>
      <c r="J16" s="18" t="n"/>
      <c r="K16" s="18" t="n"/>
      <c r="L16" s="18" t="n"/>
      <c r="M16" s="6">
        <f>IF(H16="","",(I16+J16+K16)/H16)</f>
        <v/>
      </c>
    </row>
    <row r="17" ht="22" customHeight="1">
      <c r="B17" s="16">
        <f>IF(C17="","RS-"&amp;TEXT(COUNTA($C$5:C17),"000"))</f>
        <v/>
      </c>
      <c r="C17" s="11" t="n"/>
      <c r="D17" s="11" t="n"/>
      <c r="E17" s="11" t="n"/>
      <c r="F17" s="27" t="n"/>
      <c r="G17" s="11" t="n"/>
      <c r="H17" s="17" t="n"/>
      <c r="I17" s="17" t="n"/>
      <c r="J17" s="17" t="n"/>
      <c r="K17" s="17" t="n"/>
      <c r="L17" s="17" t="n"/>
      <c r="M17" s="6">
        <f>IF(H17="","",(I17+J17+K17)/H17)</f>
        <v/>
      </c>
    </row>
    <row r="18" ht="22" customHeight="1">
      <c r="B18" s="15">
        <f>IF(C18="","RS-"&amp;TEXT(COUNTA($C$5:C18),"000"))</f>
        <v/>
      </c>
      <c r="C18" s="13" t="n"/>
      <c r="D18" s="13" t="n"/>
      <c r="E18" s="13" t="n"/>
      <c r="F18" s="28" t="n"/>
      <c r="G18" s="13" t="n"/>
      <c r="H18" s="18" t="n"/>
      <c r="I18" s="18" t="n"/>
      <c r="J18" s="18" t="n"/>
      <c r="K18" s="18" t="n"/>
      <c r="L18" s="18" t="n"/>
      <c r="M18" s="6">
        <f>IF(H18="","",(I18+J18+K18)/H18)</f>
        <v/>
      </c>
    </row>
    <row r="19" ht="22" customHeight="1">
      <c r="B19" s="16">
        <f>IF(C19="","RS-"&amp;TEXT(COUNTA($C$5:C19),"000"))</f>
        <v/>
      </c>
      <c r="C19" s="11" t="n"/>
      <c r="D19" s="11" t="n"/>
      <c r="E19" s="11" t="n"/>
      <c r="F19" s="27" t="n"/>
      <c r="G19" s="11" t="n"/>
      <c r="H19" s="17" t="n"/>
      <c r="I19" s="17" t="n"/>
      <c r="J19" s="17" t="n"/>
      <c r="K19" s="17" t="n"/>
      <c r="L19" s="17" t="n"/>
      <c r="M19" s="6">
        <f>IF(H19="","",(I19+J19+K19)/H19)</f>
        <v/>
      </c>
    </row>
    <row r="20" ht="22" customHeight="1">
      <c r="B20" s="15">
        <f>IF(C20="","RS-"&amp;TEXT(COUNTA($C$5:C20),"000"))</f>
        <v/>
      </c>
      <c r="C20" s="13" t="n"/>
      <c r="D20" s="13" t="n"/>
      <c r="E20" s="13" t="n"/>
      <c r="F20" s="28" t="n"/>
      <c r="G20" s="13" t="n"/>
      <c r="H20" s="18" t="n"/>
      <c r="I20" s="18" t="n"/>
      <c r="J20" s="18" t="n"/>
      <c r="K20" s="18" t="n"/>
      <c r="L20" s="18" t="n"/>
      <c r="M20" s="6">
        <f>IF(H20="","",(I20+J20+K20)/H20)</f>
        <v/>
      </c>
    </row>
    <row r="21" ht="22" customHeight="1">
      <c r="B21" s="16">
        <f>IF(C21="","RS-"&amp;TEXT(COUNTA($C$5:C21),"000"))</f>
        <v/>
      </c>
      <c r="C21" s="11" t="n"/>
      <c r="D21" s="11" t="n"/>
      <c r="E21" s="11" t="n"/>
      <c r="F21" s="27" t="n"/>
      <c r="G21" s="11" t="n"/>
      <c r="H21" s="17" t="n"/>
      <c r="I21" s="17" t="n"/>
      <c r="J21" s="17" t="n"/>
      <c r="K21" s="17" t="n"/>
      <c r="L21" s="17" t="n"/>
      <c r="M21" s="6">
        <f>IF(H21="","",(I21+J21+K21)/H21)</f>
        <v/>
      </c>
    </row>
    <row r="22" ht="22" customHeight="1">
      <c r="B22" s="15">
        <f>IF(C22="","RS-"&amp;TEXT(COUNTA($C$5:C22),"000"))</f>
        <v/>
      </c>
      <c r="C22" s="13" t="n"/>
      <c r="D22" s="13" t="n"/>
      <c r="E22" s="13" t="n"/>
      <c r="F22" s="28" t="n"/>
      <c r="G22" s="13" t="n"/>
      <c r="H22" s="18" t="n"/>
      <c r="I22" s="18" t="n"/>
      <c r="J22" s="18" t="n"/>
      <c r="K22" s="18" t="n"/>
      <c r="L22" s="18" t="n"/>
      <c r="M22" s="6">
        <f>IF(H22="","",(I22+J22+K22)/H22)</f>
        <v/>
      </c>
    </row>
    <row r="23" ht="22" customHeight="1">
      <c r="B23" s="16">
        <f>IF(C23="","RS-"&amp;TEXT(COUNTA($C$5:C23),"000"))</f>
        <v/>
      </c>
      <c r="C23" s="11" t="n"/>
      <c r="D23" s="11" t="n"/>
      <c r="E23" s="11" t="n"/>
      <c r="F23" s="27" t="n"/>
      <c r="G23" s="11" t="n"/>
      <c r="H23" s="17" t="n"/>
      <c r="I23" s="17" t="n"/>
      <c r="J23" s="17" t="n"/>
      <c r="K23" s="17" t="n"/>
      <c r="L23" s="17" t="n"/>
      <c r="M23" s="6">
        <f>IF(H23="","",(I23+J23+K23)/H23)</f>
        <v/>
      </c>
    </row>
    <row r="24" ht="22" customHeight="1">
      <c r="B24" s="15">
        <f>IF(C24="","RS-"&amp;TEXT(COUNTA($C$5:C24),"000"))</f>
        <v/>
      </c>
      <c r="C24" s="13" t="n"/>
      <c r="D24" s="13" t="n"/>
      <c r="E24" s="13" t="n"/>
      <c r="F24" s="28" t="n"/>
      <c r="G24" s="13" t="n"/>
      <c r="H24" s="18" t="n"/>
      <c r="I24" s="18" t="n"/>
      <c r="J24" s="18" t="n"/>
      <c r="K24" s="18" t="n"/>
      <c r="L24" s="18" t="n"/>
      <c r="M24" s="6">
        <f>IF(H24="","",(I24+J24+K24)/H24)</f>
        <v/>
      </c>
    </row>
    <row r="25" ht="22" customHeight="1">
      <c r="B25" s="16">
        <f>IF(C25="","RS-"&amp;TEXT(COUNTA($C$5:C25),"000"))</f>
        <v/>
      </c>
      <c r="C25" s="11" t="n"/>
      <c r="D25" s="11" t="n"/>
      <c r="E25" s="11" t="n"/>
      <c r="F25" s="27" t="n"/>
      <c r="G25" s="11" t="n"/>
      <c r="H25" s="17" t="n"/>
      <c r="I25" s="17" t="n"/>
      <c r="J25" s="17" t="n"/>
      <c r="K25" s="17" t="n"/>
      <c r="L25" s="17" t="n"/>
      <c r="M25" s="6">
        <f>IF(H25="","",(I25+J25+K25)/H25)</f>
        <v/>
      </c>
    </row>
    <row r="26" ht="22" customHeight="1">
      <c r="B26" s="15">
        <f>IF(C26="","RS-"&amp;TEXT(COUNTA($C$5:C26),"000"))</f>
        <v/>
      </c>
      <c r="C26" s="13" t="n"/>
      <c r="D26" s="13" t="n"/>
      <c r="E26" s="13" t="n"/>
      <c r="F26" s="28" t="n"/>
      <c r="G26" s="13" t="n"/>
      <c r="H26" s="18" t="n"/>
      <c r="I26" s="18" t="n"/>
      <c r="J26" s="18" t="n"/>
      <c r="K26" s="18" t="n"/>
      <c r="L26" s="18" t="n"/>
      <c r="M26" s="6">
        <f>IF(H26="","",(I26+J26+K26)/H26)</f>
        <v/>
      </c>
    </row>
    <row r="27" ht="22" customHeight="1">
      <c r="B27" s="16">
        <f>IF(C27="","RS-"&amp;TEXT(COUNTA($C$5:C27),"000"))</f>
        <v/>
      </c>
      <c r="C27" s="11" t="n"/>
      <c r="D27" s="11" t="n"/>
      <c r="E27" s="11" t="n"/>
      <c r="F27" s="27" t="n"/>
      <c r="G27" s="11" t="n"/>
      <c r="H27" s="17" t="n"/>
      <c r="I27" s="17" t="n"/>
      <c r="J27" s="17" t="n"/>
      <c r="K27" s="17" t="n"/>
      <c r="L27" s="17" t="n"/>
      <c r="M27" s="6">
        <f>IF(H27="","",(I27+J27+K27)/H27)</f>
        <v/>
      </c>
    </row>
    <row r="28" ht="22" customHeight="1">
      <c r="B28" s="15">
        <f>IF(C28="","RS-"&amp;TEXT(COUNTA($C$5:C28),"000"))</f>
        <v/>
      </c>
      <c r="C28" s="13" t="n"/>
      <c r="D28" s="13" t="n"/>
      <c r="E28" s="13" t="n"/>
      <c r="F28" s="28" t="n"/>
      <c r="G28" s="13" t="n"/>
      <c r="H28" s="18" t="n"/>
      <c r="I28" s="18" t="n"/>
      <c r="J28" s="18" t="n"/>
      <c r="K28" s="18" t="n"/>
      <c r="L28" s="18" t="n"/>
      <c r="M28" s="6">
        <f>IF(H28="","",(I28+J28+K28)/H28)</f>
        <v/>
      </c>
    </row>
    <row r="29" ht="22" customHeight="1">
      <c r="B29" s="16">
        <f>IF(C29="","RS-"&amp;TEXT(COUNTA($C$5:C29),"000"))</f>
        <v/>
      </c>
      <c r="C29" s="11" t="n"/>
      <c r="D29" s="11" t="n"/>
      <c r="E29" s="11" t="n"/>
      <c r="F29" s="27" t="n"/>
      <c r="G29" s="11" t="n"/>
      <c r="H29" s="17" t="n"/>
      <c r="I29" s="17" t="n"/>
      <c r="J29" s="17" t="n"/>
      <c r="K29" s="17" t="n"/>
      <c r="L29" s="17" t="n"/>
      <c r="M29" s="6">
        <f>IF(H29="","",(I29+J29+K29)/H29)</f>
        <v/>
      </c>
    </row>
    <row r="30" ht="22" customHeight="1">
      <c r="B30" s="15">
        <f>IF(C30="","RS-"&amp;TEXT(COUNTA($C$5:C30),"000"))</f>
        <v/>
      </c>
      <c r="C30" s="13" t="n"/>
      <c r="D30" s="13" t="n"/>
      <c r="E30" s="13" t="n"/>
      <c r="F30" s="28" t="n"/>
      <c r="G30" s="13" t="n"/>
      <c r="H30" s="18" t="n"/>
      <c r="I30" s="18" t="n"/>
      <c r="J30" s="18" t="n"/>
      <c r="K30" s="18" t="n"/>
      <c r="L30" s="18" t="n"/>
      <c r="M30" s="6">
        <f>IF(H30="","",(I30+J30+K30)/H30)</f>
        <v/>
      </c>
    </row>
    <row r="31" ht="22" customHeight="1">
      <c r="B31" s="16">
        <f>IF(C31="","RS-"&amp;TEXT(COUNTA($C$5:C31),"000"))</f>
        <v/>
      </c>
      <c r="C31" s="11" t="n"/>
      <c r="D31" s="11" t="n"/>
      <c r="E31" s="11" t="n"/>
      <c r="F31" s="27" t="n"/>
      <c r="G31" s="11" t="n"/>
      <c r="H31" s="17" t="n"/>
      <c r="I31" s="17" t="n"/>
      <c r="J31" s="17" t="n"/>
      <c r="K31" s="17" t="n"/>
      <c r="L31" s="17" t="n"/>
      <c r="M31" s="6">
        <f>IF(H31="","",(I31+J31+K31)/H31)</f>
        <v/>
      </c>
    </row>
    <row r="32" ht="22" customHeight="1">
      <c r="B32" s="15">
        <f>IF(C32="","RS-"&amp;TEXT(COUNTA($C$5:C32),"000"))</f>
        <v/>
      </c>
      <c r="C32" s="13" t="n"/>
      <c r="D32" s="13" t="n"/>
      <c r="E32" s="13" t="n"/>
      <c r="F32" s="28" t="n"/>
      <c r="G32" s="13" t="n"/>
      <c r="H32" s="18" t="n"/>
      <c r="I32" s="18" t="n"/>
      <c r="J32" s="18" t="n"/>
      <c r="K32" s="18" t="n"/>
      <c r="L32" s="18" t="n"/>
      <c r="M32" s="6">
        <f>IF(H32="","",(I32+J32+K32)/H32)</f>
        <v/>
      </c>
    </row>
    <row r="33" ht="22" customHeight="1">
      <c r="B33" s="16">
        <f>IF(C33="","RS-"&amp;TEXT(COUNTA($C$5:C33),"000"))</f>
        <v/>
      </c>
      <c r="C33" s="11" t="n"/>
      <c r="D33" s="11" t="n"/>
      <c r="E33" s="11" t="n"/>
      <c r="F33" s="27" t="n"/>
      <c r="G33" s="11" t="n"/>
      <c r="H33" s="17" t="n"/>
      <c r="I33" s="17" t="n"/>
      <c r="J33" s="17" t="n"/>
      <c r="K33" s="17" t="n"/>
      <c r="L33" s="17" t="n"/>
      <c r="M33" s="6">
        <f>IF(H33="","",(I33+J33+K33)/H33)</f>
        <v/>
      </c>
    </row>
    <row r="34" ht="22" customHeight="1">
      <c r="B34" s="15">
        <f>IF(C34="","RS-"&amp;TEXT(COUNTA($C$5:C34),"000"))</f>
        <v/>
      </c>
      <c r="C34" s="13" t="n"/>
      <c r="D34" s="13" t="n"/>
      <c r="E34" s="13" t="n"/>
      <c r="F34" s="28" t="n"/>
      <c r="G34" s="13" t="n"/>
      <c r="H34" s="18" t="n"/>
      <c r="I34" s="18" t="n"/>
      <c r="J34" s="18" t="n"/>
      <c r="K34" s="18" t="n"/>
      <c r="L34" s="18" t="n"/>
      <c r="M34" s="6">
        <f>IF(H34="","",(I34+J34+K34)/H34)</f>
        <v/>
      </c>
    </row>
    <row r="35" ht="22" customHeight="1">
      <c r="B35" s="16">
        <f>IF(C35="","RS-"&amp;TEXT(COUNTA($C$5:C35),"000"))</f>
        <v/>
      </c>
      <c r="C35" s="11" t="n"/>
      <c r="D35" s="11" t="n"/>
      <c r="E35" s="11" t="n"/>
      <c r="F35" s="27" t="n"/>
      <c r="G35" s="11" t="n"/>
      <c r="H35" s="17" t="n"/>
      <c r="I35" s="17" t="n"/>
      <c r="J35" s="17" t="n"/>
      <c r="K35" s="17" t="n"/>
      <c r="L35" s="17" t="n"/>
      <c r="M35" s="6">
        <f>IF(H35="","",(I35+J35+K35)/H35)</f>
        <v/>
      </c>
    </row>
    <row r="36" ht="22" customHeight="1">
      <c r="B36" s="15">
        <f>IF(C36="","RS-"&amp;TEXT(COUNTA($C$5:C36),"000"))</f>
        <v/>
      </c>
      <c r="C36" s="13" t="n"/>
      <c r="D36" s="13" t="n"/>
      <c r="E36" s="13" t="n"/>
      <c r="F36" s="28" t="n"/>
      <c r="G36" s="13" t="n"/>
      <c r="H36" s="18" t="n"/>
      <c r="I36" s="18" t="n"/>
      <c r="J36" s="18" t="n"/>
      <c r="K36" s="18" t="n"/>
      <c r="L36" s="18" t="n"/>
      <c r="M36" s="6">
        <f>IF(H36="","",(I36+J36+K36)/H36)</f>
        <v/>
      </c>
    </row>
    <row r="37" ht="22" customHeight="1">
      <c r="B37" s="16">
        <f>IF(C37="","RS-"&amp;TEXT(COUNTA($C$5:C37),"000"))</f>
        <v/>
      </c>
      <c r="C37" s="11" t="n"/>
      <c r="D37" s="11" t="n"/>
      <c r="E37" s="11" t="n"/>
      <c r="F37" s="27" t="n"/>
      <c r="G37" s="11" t="n"/>
      <c r="H37" s="17" t="n"/>
      <c r="I37" s="17" t="n"/>
      <c r="J37" s="17" t="n"/>
      <c r="K37" s="17" t="n"/>
      <c r="L37" s="17" t="n"/>
      <c r="M37" s="6">
        <f>IF(H37="","",(I37+J37+K37)/H37)</f>
        <v/>
      </c>
    </row>
    <row r="38" ht="22" customHeight="1">
      <c r="B38" s="15">
        <f>IF(C38="","RS-"&amp;TEXT(COUNTA($C$5:C38),"000"))</f>
        <v/>
      </c>
      <c r="C38" s="13" t="n"/>
      <c r="D38" s="13" t="n"/>
      <c r="E38" s="13" t="n"/>
      <c r="F38" s="28" t="n"/>
      <c r="G38" s="13" t="n"/>
      <c r="H38" s="18" t="n"/>
      <c r="I38" s="18" t="n"/>
      <c r="J38" s="18" t="n"/>
      <c r="K38" s="18" t="n"/>
      <c r="L38" s="18" t="n"/>
      <c r="M38" s="6">
        <f>IF(H38="","",(I38+J38+K38)/H38)</f>
        <v/>
      </c>
    </row>
    <row r="39" ht="22" customHeight="1">
      <c r="B39" s="16">
        <f>IF(C39="","RS-"&amp;TEXT(COUNTA($C$5:C39),"000"))</f>
        <v/>
      </c>
      <c r="C39" s="11" t="n"/>
      <c r="D39" s="11" t="n"/>
      <c r="E39" s="11" t="n"/>
      <c r="F39" s="27" t="n"/>
      <c r="G39" s="11" t="n"/>
      <c r="H39" s="17" t="n"/>
      <c r="I39" s="17" t="n"/>
      <c r="J39" s="17" t="n"/>
      <c r="K39" s="17" t="n"/>
      <c r="L39" s="17" t="n"/>
      <c r="M39" s="6">
        <f>IF(H39="","",(I39+J39+K39)/H39)</f>
        <v/>
      </c>
    </row>
    <row r="40" ht="22" customHeight="1">
      <c r="B40" s="15">
        <f>IF(C40="","RS-"&amp;TEXT(COUNTA($C$5:C40),"000"))</f>
        <v/>
      </c>
      <c r="C40" s="13" t="n"/>
      <c r="D40" s="13" t="n"/>
      <c r="E40" s="13" t="n"/>
      <c r="F40" s="28" t="n"/>
      <c r="G40" s="13" t="n"/>
      <c r="H40" s="18" t="n"/>
      <c r="I40" s="18" t="n"/>
      <c r="J40" s="18" t="n"/>
      <c r="K40" s="18" t="n"/>
      <c r="L40" s="18" t="n"/>
      <c r="M40" s="6">
        <f>IF(H40="","",(I40+J40+K40)/H40)</f>
        <v/>
      </c>
    </row>
    <row r="41" ht="22" customHeight="1">
      <c r="B41" s="16">
        <f>IF(C41="","RS-"&amp;TEXT(COUNTA($C$5:C41),"000"))</f>
        <v/>
      </c>
      <c r="C41" s="11" t="n"/>
      <c r="D41" s="11" t="n"/>
      <c r="E41" s="11" t="n"/>
      <c r="F41" s="27" t="n"/>
      <c r="G41" s="11" t="n"/>
      <c r="H41" s="17" t="n"/>
      <c r="I41" s="17" t="n"/>
      <c r="J41" s="17" t="n"/>
      <c r="K41" s="17" t="n"/>
      <c r="L41" s="17" t="n"/>
      <c r="M41" s="6">
        <f>IF(H41="","",(I41+J41+K41)/H41)</f>
        <v/>
      </c>
    </row>
    <row r="42" ht="22" customHeight="1">
      <c r="B42" s="15">
        <f>IF(C42="","RS-"&amp;TEXT(COUNTA($C$5:C42),"000"))</f>
        <v/>
      </c>
      <c r="C42" s="13" t="n"/>
      <c r="D42" s="13" t="n"/>
      <c r="E42" s="13" t="n"/>
      <c r="F42" s="28" t="n"/>
      <c r="G42" s="13" t="n"/>
      <c r="H42" s="18" t="n"/>
      <c r="I42" s="18" t="n"/>
      <c r="J42" s="18" t="n"/>
      <c r="K42" s="18" t="n"/>
      <c r="L42" s="18" t="n"/>
      <c r="M42" s="6">
        <f>IF(H42="","",(I42+J42+K42)/H42)</f>
        <v/>
      </c>
    </row>
    <row r="43" ht="22" customHeight="1">
      <c r="B43" s="16">
        <f>IF(C43="","RS-"&amp;TEXT(COUNTA($C$5:C43),"000"))</f>
        <v/>
      </c>
      <c r="C43" s="11" t="n"/>
      <c r="D43" s="11" t="n"/>
      <c r="E43" s="11" t="n"/>
      <c r="F43" s="27" t="n"/>
      <c r="G43" s="11" t="n"/>
      <c r="H43" s="17" t="n"/>
      <c r="I43" s="17" t="n"/>
      <c r="J43" s="17" t="n"/>
      <c r="K43" s="17" t="n"/>
      <c r="L43" s="17" t="n"/>
      <c r="M43" s="6">
        <f>IF(H43="","",(I43+J43+K43)/H43)</f>
        <v/>
      </c>
    </row>
    <row r="44" ht="22" customHeight="1">
      <c r="B44" s="15">
        <f>IF(C44="","RS-"&amp;TEXT(COUNTA($C$5:C44),"000"))</f>
        <v/>
      </c>
      <c r="C44" s="13" t="n"/>
      <c r="D44" s="13" t="n"/>
      <c r="E44" s="13" t="n"/>
      <c r="F44" s="28" t="n"/>
      <c r="G44" s="13" t="n"/>
      <c r="H44" s="18" t="n"/>
      <c r="I44" s="18" t="n"/>
      <c r="J44" s="18" t="n"/>
      <c r="K44" s="18" t="n"/>
      <c r="L44" s="18" t="n"/>
      <c r="M44" s="6">
        <f>IF(H44="","",(I44+J44+K44)/H44)</f>
        <v/>
      </c>
    </row>
    <row r="45" ht="22" customHeight="1">
      <c r="B45" s="16">
        <f>IF(C45="","RS-"&amp;TEXT(COUNTA($C$5:C45),"000"))</f>
        <v/>
      </c>
      <c r="C45" s="11" t="n"/>
      <c r="D45" s="11" t="n"/>
      <c r="E45" s="11" t="n"/>
      <c r="F45" s="27" t="n"/>
      <c r="G45" s="11" t="n"/>
      <c r="H45" s="17" t="n"/>
      <c r="I45" s="17" t="n"/>
      <c r="J45" s="17" t="n"/>
      <c r="K45" s="17" t="n"/>
      <c r="L45" s="17" t="n"/>
      <c r="M45" s="6">
        <f>IF(H45="","",(I45+J45+K45)/H45)</f>
        <v/>
      </c>
    </row>
    <row r="46" ht="22" customHeight="1">
      <c r="B46" s="15">
        <f>IF(C46="","RS-"&amp;TEXT(COUNTA($C$5:C46),"000"))</f>
        <v/>
      </c>
      <c r="C46" s="13" t="n"/>
      <c r="D46" s="13" t="n"/>
      <c r="E46" s="13" t="n"/>
      <c r="F46" s="28" t="n"/>
      <c r="G46" s="13" t="n"/>
      <c r="H46" s="18" t="n"/>
      <c r="I46" s="18" t="n"/>
      <c r="J46" s="18" t="n"/>
      <c r="K46" s="18" t="n"/>
      <c r="L46" s="18" t="n"/>
      <c r="M46" s="6">
        <f>IF(H46="","",(I46+J46+K46)/H46)</f>
        <v/>
      </c>
    </row>
    <row r="47" ht="22" customHeight="1">
      <c r="B47" s="16">
        <f>IF(C47="","RS-"&amp;TEXT(COUNTA($C$5:C47),"000"))</f>
        <v/>
      </c>
      <c r="C47" s="11" t="n"/>
      <c r="D47" s="11" t="n"/>
      <c r="E47" s="11" t="n"/>
      <c r="F47" s="27" t="n"/>
      <c r="G47" s="11" t="n"/>
      <c r="H47" s="17" t="n"/>
      <c r="I47" s="17" t="n"/>
      <c r="J47" s="17" t="n"/>
      <c r="K47" s="17" t="n"/>
      <c r="L47" s="17" t="n"/>
      <c r="M47" s="6">
        <f>IF(H47="","",(I47+J47+K47)/H47)</f>
        <v/>
      </c>
    </row>
    <row r="48" ht="22" customHeight="1">
      <c r="B48" s="15">
        <f>IF(C48="","RS-"&amp;TEXT(COUNTA($C$5:C48),"000"))</f>
        <v/>
      </c>
      <c r="C48" s="13" t="n"/>
      <c r="D48" s="13" t="n"/>
      <c r="E48" s="13" t="n"/>
      <c r="F48" s="28" t="n"/>
      <c r="G48" s="13" t="n"/>
      <c r="H48" s="18" t="n"/>
      <c r="I48" s="18" t="n"/>
      <c r="J48" s="18" t="n"/>
      <c r="K48" s="18" t="n"/>
      <c r="L48" s="18" t="n"/>
      <c r="M48" s="6">
        <f>IF(H48="","",(I48+J48+K48)/H48)</f>
        <v/>
      </c>
    </row>
    <row r="49" ht="22" customHeight="1">
      <c r="B49" s="16">
        <f>IF(C49="","RS-"&amp;TEXT(COUNTA($C$5:C49),"000"))</f>
        <v/>
      </c>
      <c r="C49" s="11" t="n"/>
      <c r="D49" s="11" t="n"/>
      <c r="E49" s="11" t="n"/>
      <c r="F49" s="27" t="n"/>
      <c r="G49" s="11" t="n"/>
      <c r="H49" s="17" t="n"/>
      <c r="I49" s="17" t="n"/>
      <c r="J49" s="17" t="n"/>
      <c r="K49" s="17" t="n"/>
      <c r="L49" s="17" t="n"/>
      <c r="M49" s="6">
        <f>IF(H49="","",(I49+J49+K49)/H49)</f>
        <v/>
      </c>
    </row>
    <row r="50" ht="22" customHeight="1">
      <c r="B50" s="15">
        <f>IF(C50="","RS-"&amp;TEXT(COUNTA($C$5:C50),"000"))</f>
        <v/>
      </c>
      <c r="C50" s="13" t="n"/>
      <c r="D50" s="13" t="n"/>
      <c r="E50" s="13" t="n"/>
      <c r="F50" s="28" t="n"/>
      <c r="G50" s="13" t="n"/>
      <c r="H50" s="18" t="n"/>
      <c r="I50" s="18" t="n"/>
      <c r="J50" s="18" t="n"/>
      <c r="K50" s="18" t="n"/>
      <c r="L50" s="18" t="n"/>
      <c r="M50" s="6">
        <f>IF(H50="","",(I50+J50+K50)/H50)</f>
        <v/>
      </c>
    </row>
    <row r="51" ht="22" customHeight="1">
      <c r="B51" s="16">
        <f>IF(C51="","RS-"&amp;TEXT(COUNTA($C$5:C51),"000"))</f>
        <v/>
      </c>
      <c r="C51" s="11" t="n"/>
      <c r="D51" s="11" t="n"/>
      <c r="E51" s="11" t="n"/>
      <c r="F51" s="27" t="n"/>
      <c r="G51" s="11" t="n"/>
      <c r="H51" s="17" t="n"/>
      <c r="I51" s="17" t="n"/>
      <c r="J51" s="17" t="n"/>
      <c r="K51" s="17" t="n"/>
      <c r="L51" s="17" t="n"/>
      <c r="M51" s="6">
        <f>IF(H51="","",(I51+J51+K51)/H51)</f>
        <v/>
      </c>
    </row>
    <row r="52" ht="22" customHeight="1">
      <c r="B52" s="15">
        <f>IF(C52="","RS-"&amp;TEXT(COUNTA($C$5:C52),"000"))</f>
        <v/>
      </c>
      <c r="C52" s="13" t="n"/>
      <c r="D52" s="13" t="n"/>
      <c r="E52" s="13" t="n"/>
      <c r="F52" s="28" t="n"/>
      <c r="G52" s="13" t="n"/>
      <c r="H52" s="18" t="n"/>
      <c r="I52" s="18" t="n"/>
      <c r="J52" s="18" t="n"/>
      <c r="K52" s="18" t="n"/>
      <c r="L52" s="18" t="n"/>
      <c r="M52" s="6">
        <f>IF(H52="","",(I52+J52+K52)/H52)</f>
        <v/>
      </c>
    </row>
    <row r="53" ht="22" customHeight="1">
      <c r="B53" s="16">
        <f>IF(C53="","RS-"&amp;TEXT(COUNTA($C$5:C53),"000"))</f>
        <v/>
      </c>
      <c r="C53" s="11" t="n"/>
      <c r="D53" s="11" t="n"/>
      <c r="E53" s="11" t="n"/>
      <c r="F53" s="27" t="n"/>
      <c r="G53" s="11" t="n"/>
      <c r="H53" s="17" t="n"/>
      <c r="I53" s="17" t="n"/>
      <c r="J53" s="17" t="n"/>
      <c r="K53" s="17" t="n"/>
      <c r="L53" s="17" t="n"/>
      <c r="M53" s="6">
        <f>IF(H53="","",(I53+J53+K53)/H53)</f>
        <v/>
      </c>
    </row>
    <row r="54" ht="22" customHeight="1">
      <c r="B54" s="15">
        <f>IF(C54="","RS-"&amp;TEXT(COUNTA($C$5:C54),"000"))</f>
        <v/>
      </c>
      <c r="C54" s="13" t="n"/>
      <c r="D54" s="13" t="n"/>
      <c r="E54" s="13" t="n"/>
      <c r="F54" s="28" t="n"/>
      <c r="G54" s="13" t="n"/>
      <c r="H54" s="18" t="n"/>
      <c r="I54" s="18" t="n"/>
      <c r="J54" s="18" t="n"/>
      <c r="K54" s="18" t="n"/>
      <c r="L54" s="18" t="n"/>
      <c r="M54" s="6">
        <f>IF(H54="","",(I54+J54+K54)/H54)</f>
        <v/>
      </c>
    </row>
    <row r="55" ht="22" customHeight="1">
      <c r="B55" s="16">
        <f>IF(C55="","RS-"&amp;TEXT(COUNTA($C$5:C55),"000"))</f>
        <v/>
      </c>
      <c r="C55" s="11" t="n"/>
      <c r="D55" s="11" t="n"/>
      <c r="E55" s="11" t="n"/>
      <c r="F55" s="27" t="n"/>
      <c r="G55" s="11" t="n"/>
      <c r="H55" s="17" t="n"/>
      <c r="I55" s="17" t="n"/>
      <c r="J55" s="17" t="n"/>
      <c r="K55" s="17" t="n"/>
      <c r="L55" s="17" t="n"/>
      <c r="M55" s="6">
        <f>IF(H55="","",(I55+J55+K55)/H55)</f>
        <v/>
      </c>
    </row>
    <row r="56" ht="22" customHeight="1">
      <c r="B56" s="15">
        <f>IF(C56="","RS-"&amp;TEXT(COUNTA($C$5:C56),"000"))</f>
        <v/>
      </c>
      <c r="C56" s="13" t="n"/>
      <c r="D56" s="13" t="n"/>
      <c r="E56" s="13" t="n"/>
      <c r="F56" s="28" t="n"/>
      <c r="G56" s="13" t="n"/>
      <c r="H56" s="18" t="n"/>
      <c r="I56" s="18" t="n"/>
      <c r="J56" s="18" t="n"/>
      <c r="K56" s="18" t="n"/>
      <c r="L56" s="18" t="n"/>
      <c r="M56" s="6">
        <f>IF(H56="","",(I56+J56+K56)/H56)</f>
        <v/>
      </c>
    </row>
    <row r="57" ht="22" customHeight="1">
      <c r="B57" s="16">
        <f>IF(C57="","RS-"&amp;TEXT(COUNTA($C$5:C57),"000"))</f>
        <v/>
      </c>
      <c r="C57" s="11" t="n"/>
      <c r="D57" s="11" t="n"/>
      <c r="E57" s="11" t="n"/>
      <c r="F57" s="27" t="n"/>
      <c r="G57" s="11" t="n"/>
      <c r="H57" s="17" t="n"/>
      <c r="I57" s="17" t="n"/>
      <c r="J57" s="17" t="n"/>
      <c r="K57" s="17" t="n"/>
      <c r="L57" s="17" t="n"/>
      <c r="M57" s="6">
        <f>IF(H57="","",(I57+J57+K57)/H57)</f>
        <v/>
      </c>
    </row>
    <row r="58" ht="22" customHeight="1">
      <c r="B58" s="15">
        <f>IF(C58="","RS-"&amp;TEXT(COUNTA($C$5:C58),"000"))</f>
        <v/>
      </c>
      <c r="C58" s="13" t="n"/>
      <c r="D58" s="13" t="n"/>
      <c r="E58" s="13" t="n"/>
      <c r="F58" s="28" t="n"/>
      <c r="G58" s="13" t="n"/>
      <c r="H58" s="18" t="n"/>
      <c r="I58" s="18" t="n"/>
      <c r="J58" s="18" t="n"/>
      <c r="K58" s="18" t="n"/>
      <c r="L58" s="18" t="n"/>
      <c r="M58" s="6">
        <f>IF(H58="","",(I58+J58+K58)/H58)</f>
        <v/>
      </c>
    </row>
    <row r="59" ht="22" customHeight="1">
      <c r="B59" s="16">
        <f>IF(C59="","RS-"&amp;TEXT(COUNTA($C$5:C59),"000"))</f>
        <v/>
      </c>
      <c r="C59" s="11" t="n"/>
      <c r="D59" s="11" t="n"/>
      <c r="E59" s="11" t="n"/>
      <c r="F59" s="27" t="n"/>
      <c r="G59" s="11" t="n"/>
      <c r="H59" s="17" t="n"/>
      <c r="I59" s="17" t="n"/>
      <c r="J59" s="17" t="n"/>
      <c r="K59" s="17" t="n"/>
      <c r="L59" s="17" t="n"/>
      <c r="M59" s="6">
        <f>IF(H59="","",(I59+J59+K59)/H59)</f>
        <v/>
      </c>
    </row>
    <row r="60" ht="22" customHeight="1">
      <c r="B60" s="15">
        <f>IF(C60="","RS-"&amp;TEXT(COUNTA($C$5:C60),"000"))</f>
        <v/>
      </c>
      <c r="C60" s="13" t="n"/>
      <c r="D60" s="13" t="n"/>
      <c r="E60" s="13" t="n"/>
      <c r="F60" s="28" t="n"/>
      <c r="G60" s="13" t="n"/>
      <c r="H60" s="18" t="n"/>
      <c r="I60" s="18" t="n"/>
      <c r="J60" s="18" t="n"/>
      <c r="K60" s="18" t="n"/>
      <c r="L60" s="18" t="n"/>
      <c r="M60" s="6">
        <f>IF(H60="","",(I60+J60+K60)/H60)</f>
        <v/>
      </c>
    </row>
    <row r="61" ht="22" customHeight="1">
      <c r="B61" s="16">
        <f>IF(C61="","RS-"&amp;TEXT(COUNTA($C$5:C61),"000"))</f>
        <v/>
      </c>
      <c r="C61" s="11" t="n"/>
      <c r="D61" s="11" t="n"/>
      <c r="E61" s="11" t="n"/>
      <c r="F61" s="27" t="n"/>
      <c r="G61" s="11" t="n"/>
      <c r="H61" s="17" t="n"/>
      <c r="I61" s="17" t="n"/>
      <c r="J61" s="17" t="n"/>
      <c r="K61" s="17" t="n"/>
      <c r="L61" s="17" t="n"/>
      <c r="M61" s="6">
        <f>IF(H61="","",(I61+J61+K61)/H61)</f>
        <v/>
      </c>
    </row>
    <row r="62" ht="22" customHeight="1">
      <c r="B62" s="15">
        <f>IF(C62="","RS-"&amp;TEXT(COUNTA($C$5:C62),"000"))</f>
        <v/>
      </c>
      <c r="C62" s="13" t="n"/>
      <c r="D62" s="13" t="n"/>
      <c r="E62" s="13" t="n"/>
      <c r="F62" s="28" t="n"/>
      <c r="G62" s="13" t="n"/>
      <c r="H62" s="18" t="n"/>
      <c r="I62" s="18" t="n"/>
      <c r="J62" s="18" t="n"/>
      <c r="K62" s="18" t="n"/>
      <c r="L62" s="18" t="n"/>
      <c r="M62" s="6">
        <f>IF(H62="","",(I62+J62+K62)/H62)</f>
        <v/>
      </c>
    </row>
    <row r="63" ht="22" customHeight="1">
      <c r="B63" s="16">
        <f>IF(C63="","RS-"&amp;TEXT(COUNTA($C$5:C63),"000"))</f>
        <v/>
      </c>
      <c r="C63" s="11" t="n"/>
      <c r="D63" s="11" t="n"/>
      <c r="E63" s="11" t="n"/>
      <c r="F63" s="27" t="n"/>
      <c r="G63" s="11" t="n"/>
      <c r="H63" s="17" t="n"/>
      <c r="I63" s="17" t="n"/>
      <c r="J63" s="17" t="n"/>
      <c r="K63" s="17" t="n"/>
      <c r="L63" s="17" t="n"/>
      <c r="M63" s="6">
        <f>IF(H63="","",(I63+J63+K63)/H63)</f>
        <v/>
      </c>
    </row>
    <row r="64" ht="22" customHeight="1">
      <c r="B64" s="15">
        <f>IF(C64="","RS-"&amp;TEXT(COUNTA($C$5:C64),"000"))</f>
        <v/>
      </c>
      <c r="C64" s="13" t="n"/>
      <c r="D64" s="13" t="n"/>
      <c r="E64" s="13" t="n"/>
      <c r="F64" s="28" t="n"/>
      <c r="G64" s="13" t="n"/>
      <c r="H64" s="18" t="n"/>
      <c r="I64" s="18" t="n"/>
      <c r="J64" s="18" t="n"/>
      <c r="K64" s="18" t="n"/>
      <c r="L64" s="18" t="n"/>
      <c r="M64" s="6">
        <f>IF(H64="","",(I64+J64+K64)/H64)</f>
        <v/>
      </c>
    </row>
    <row r="65" ht="22" customHeight="1">
      <c r="B65" s="16">
        <f>IF(C65="","RS-"&amp;TEXT(COUNTA($C$5:C65),"000"))</f>
        <v/>
      </c>
      <c r="C65" s="11" t="n"/>
      <c r="D65" s="11" t="n"/>
      <c r="E65" s="11" t="n"/>
      <c r="F65" s="27" t="n"/>
      <c r="G65" s="11" t="n"/>
      <c r="H65" s="17" t="n"/>
      <c r="I65" s="17" t="n"/>
      <c r="J65" s="17" t="n"/>
      <c r="K65" s="17" t="n"/>
      <c r="L65" s="17" t="n"/>
      <c r="M65" s="6">
        <f>IF(H65="","",(I65+J65+K65)/H65)</f>
        <v/>
      </c>
    </row>
    <row r="66" ht="22" customHeight="1">
      <c r="B66" s="15">
        <f>IF(C66="","RS-"&amp;TEXT(COUNTA($C$5:C66),"000"))</f>
        <v/>
      </c>
      <c r="C66" s="13" t="n"/>
      <c r="D66" s="13" t="n"/>
      <c r="E66" s="13" t="n"/>
      <c r="F66" s="28" t="n"/>
      <c r="G66" s="13" t="n"/>
      <c r="H66" s="18" t="n"/>
      <c r="I66" s="18" t="n"/>
      <c r="J66" s="18" t="n"/>
      <c r="K66" s="18" t="n"/>
      <c r="L66" s="18" t="n"/>
      <c r="M66" s="6">
        <f>IF(H66="","",(I66+J66+K66)/H66)</f>
        <v/>
      </c>
    </row>
    <row r="67" ht="22" customHeight="1">
      <c r="B67" s="16">
        <f>IF(C67="","RS-"&amp;TEXT(COUNTA($C$5:C67),"000"))</f>
        <v/>
      </c>
      <c r="C67" s="11" t="n"/>
      <c r="D67" s="11" t="n"/>
      <c r="E67" s="11" t="n"/>
      <c r="F67" s="27" t="n"/>
      <c r="G67" s="11" t="n"/>
      <c r="H67" s="17" t="n"/>
      <c r="I67" s="17" t="n"/>
      <c r="J67" s="17" t="n"/>
      <c r="K67" s="17" t="n"/>
      <c r="L67" s="17" t="n"/>
      <c r="M67" s="6">
        <f>IF(H67="","",(I67+J67+K67)/H67)</f>
        <v/>
      </c>
    </row>
    <row r="68" ht="22" customHeight="1">
      <c r="B68" s="15">
        <f>IF(C68="","RS-"&amp;TEXT(COUNTA($C$5:C68),"000"))</f>
        <v/>
      </c>
      <c r="C68" s="13" t="n"/>
      <c r="D68" s="13" t="n"/>
      <c r="E68" s="13" t="n"/>
      <c r="F68" s="28" t="n"/>
      <c r="G68" s="13" t="n"/>
      <c r="H68" s="18" t="n"/>
      <c r="I68" s="18" t="n"/>
      <c r="J68" s="18" t="n"/>
      <c r="K68" s="18" t="n"/>
      <c r="L68" s="18" t="n"/>
      <c r="M68" s="6">
        <f>IF(H68="","",(I68+J68+K68)/H68)</f>
        <v/>
      </c>
    </row>
    <row r="69" ht="22" customHeight="1">
      <c r="B69" s="16">
        <f>IF(C69="","RS-"&amp;TEXT(COUNTA($C$5:C69),"000"))</f>
        <v/>
      </c>
      <c r="C69" s="11" t="n"/>
      <c r="D69" s="11" t="n"/>
      <c r="E69" s="11" t="n"/>
      <c r="F69" s="27" t="n"/>
      <c r="G69" s="11" t="n"/>
      <c r="H69" s="17" t="n"/>
      <c r="I69" s="17" t="n"/>
      <c r="J69" s="17" t="n"/>
      <c r="K69" s="17" t="n"/>
      <c r="L69" s="17" t="n"/>
      <c r="M69" s="6">
        <f>IF(H69="","",(I69+J69+K69)/H69)</f>
        <v/>
      </c>
    </row>
    <row r="70" ht="22" customHeight="1">
      <c r="B70" s="15">
        <f>IF(C70="","RS-"&amp;TEXT(COUNTA($C$5:C70),"000"))</f>
        <v/>
      </c>
      <c r="C70" s="13" t="n"/>
      <c r="D70" s="13" t="n"/>
      <c r="E70" s="13" t="n"/>
      <c r="F70" s="28" t="n"/>
      <c r="G70" s="13" t="n"/>
      <c r="H70" s="18" t="n"/>
      <c r="I70" s="18" t="n"/>
      <c r="J70" s="18" t="n"/>
      <c r="K70" s="18" t="n"/>
      <c r="L70" s="18" t="n"/>
      <c r="M70" s="6">
        <f>IF(H70="","",(I70+J70+K70)/H70)</f>
        <v/>
      </c>
    </row>
    <row r="71" ht="22" customHeight="1">
      <c r="B71" s="16">
        <f>IF(C71="","RS-"&amp;TEXT(COUNTA($C$5:C71),"000"))</f>
        <v/>
      </c>
      <c r="C71" s="11" t="n"/>
      <c r="D71" s="11" t="n"/>
      <c r="E71" s="11" t="n"/>
      <c r="F71" s="27" t="n"/>
      <c r="G71" s="11" t="n"/>
      <c r="H71" s="17" t="n"/>
      <c r="I71" s="17" t="n"/>
      <c r="J71" s="17" t="n"/>
      <c r="K71" s="17" t="n"/>
      <c r="L71" s="17" t="n"/>
      <c r="M71" s="6">
        <f>IF(H71="","",(I71+J71+K71)/H71)</f>
        <v/>
      </c>
    </row>
    <row r="72" ht="22" customHeight="1">
      <c r="B72" s="15">
        <f>IF(C72="","RS-"&amp;TEXT(COUNTA($C$5:C72),"000"))</f>
        <v/>
      </c>
      <c r="C72" s="13" t="n"/>
      <c r="D72" s="13" t="n"/>
      <c r="E72" s="13" t="n"/>
      <c r="F72" s="28" t="n"/>
      <c r="G72" s="13" t="n"/>
      <c r="H72" s="18" t="n"/>
      <c r="I72" s="18" t="n"/>
      <c r="J72" s="18" t="n"/>
      <c r="K72" s="18" t="n"/>
      <c r="L72" s="18" t="n"/>
      <c r="M72" s="6">
        <f>IF(H72="","",(I72+J72+K72)/H72)</f>
        <v/>
      </c>
    </row>
    <row r="73" ht="22" customHeight="1">
      <c r="B73" s="16">
        <f>IF(C73="","RS-"&amp;TEXT(COUNTA($C$5:C73),"000"))</f>
        <v/>
      </c>
      <c r="C73" s="11" t="n"/>
      <c r="D73" s="11" t="n"/>
      <c r="E73" s="11" t="n"/>
      <c r="F73" s="27" t="n"/>
      <c r="G73" s="11" t="n"/>
      <c r="H73" s="17" t="n"/>
      <c r="I73" s="17" t="n"/>
      <c r="J73" s="17" t="n"/>
      <c r="K73" s="17" t="n"/>
      <c r="L73" s="17" t="n"/>
      <c r="M73" s="6">
        <f>IF(H73="","",(I73+J73+K73)/H73)</f>
        <v/>
      </c>
    </row>
    <row r="74" ht="22" customHeight="1">
      <c r="B74" s="15">
        <f>IF(C74="","RS-"&amp;TEXT(COUNTA($C$5:C74),"000"))</f>
        <v/>
      </c>
      <c r="C74" s="13" t="n"/>
      <c r="D74" s="13" t="n"/>
      <c r="E74" s="13" t="n"/>
      <c r="F74" s="28" t="n"/>
      <c r="G74" s="13" t="n"/>
      <c r="H74" s="18" t="n"/>
      <c r="I74" s="18" t="n"/>
      <c r="J74" s="18" t="n"/>
      <c r="K74" s="18" t="n"/>
      <c r="L74" s="18" t="n"/>
      <c r="M74" s="6">
        <f>IF(H74="","",(I74+J74+K74)/H74)</f>
        <v/>
      </c>
    </row>
    <row r="75" ht="22" customHeight="1">
      <c r="B75" s="16">
        <f>IF(C75="","RS-"&amp;TEXT(COUNTA($C$5:C75),"000"))</f>
        <v/>
      </c>
      <c r="C75" s="11" t="n"/>
      <c r="D75" s="11" t="n"/>
      <c r="E75" s="11" t="n"/>
      <c r="F75" s="27" t="n"/>
      <c r="G75" s="11" t="n"/>
      <c r="H75" s="17" t="n"/>
      <c r="I75" s="17" t="n"/>
      <c r="J75" s="17" t="n"/>
      <c r="K75" s="17" t="n"/>
      <c r="L75" s="17" t="n"/>
      <c r="M75" s="6">
        <f>IF(H75="","",(I75+J75+K75)/H75)</f>
        <v/>
      </c>
    </row>
    <row r="76" ht="22" customHeight="1">
      <c r="B76" s="15">
        <f>IF(C76="","RS-"&amp;TEXT(COUNTA($C$5:C76),"000"))</f>
        <v/>
      </c>
      <c r="C76" s="13" t="n"/>
      <c r="D76" s="13" t="n"/>
      <c r="E76" s="13" t="n"/>
      <c r="F76" s="28" t="n"/>
      <c r="G76" s="13" t="n"/>
      <c r="H76" s="18" t="n"/>
      <c r="I76" s="18" t="n"/>
      <c r="J76" s="18" t="n"/>
      <c r="K76" s="18" t="n"/>
      <c r="L76" s="18" t="n"/>
      <c r="M76" s="6">
        <f>IF(H76="","",(I76+J76+K76)/H76)</f>
        <v/>
      </c>
    </row>
    <row r="77" ht="22" customHeight="1">
      <c r="B77" s="16">
        <f>IF(C77="","RS-"&amp;TEXT(COUNTA($C$5:C77),"000"))</f>
        <v/>
      </c>
      <c r="C77" s="11" t="n"/>
      <c r="D77" s="11" t="n"/>
      <c r="E77" s="11" t="n"/>
      <c r="F77" s="27" t="n"/>
      <c r="G77" s="11" t="n"/>
      <c r="H77" s="17" t="n"/>
      <c r="I77" s="17" t="n"/>
      <c r="J77" s="17" t="n"/>
      <c r="K77" s="17" t="n"/>
      <c r="L77" s="17" t="n"/>
      <c r="M77" s="6">
        <f>IF(H77="","",(I77+J77+K77)/H77)</f>
        <v/>
      </c>
    </row>
    <row r="78" ht="22" customHeight="1">
      <c r="B78" s="15">
        <f>IF(C78="","RS-"&amp;TEXT(COUNTA($C$5:C78),"000"))</f>
        <v/>
      </c>
      <c r="C78" s="13" t="n"/>
      <c r="D78" s="13" t="n"/>
      <c r="E78" s="13" t="n"/>
      <c r="F78" s="28" t="n"/>
      <c r="G78" s="13" t="n"/>
      <c r="H78" s="18" t="n"/>
      <c r="I78" s="18" t="n"/>
      <c r="J78" s="18" t="n"/>
      <c r="K78" s="18" t="n"/>
      <c r="L78" s="18" t="n"/>
      <c r="M78" s="6">
        <f>IF(H78="","",(I78+J78+K78)/H78)</f>
        <v/>
      </c>
    </row>
    <row r="79" ht="22" customHeight="1">
      <c r="B79" s="16">
        <f>IF(C79="","RS-"&amp;TEXT(COUNTA($C$5:C79),"000"))</f>
        <v/>
      </c>
      <c r="C79" s="11" t="n"/>
      <c r="D79" s="11" t="n"/>
      <c r="E79" s="11" t="n"/>
      <c r="F79" s="27" t="n"/>
      <c r="G79" s="11" t="n"/>
      <c r="H79" s="17" t="n"/>
      <c r="I79" s="17" t="n"/>
      <c r="J79" s="17" t="n"/>
      <c r="K79" s="17" t="n"/>
      <c r="L79" s="17" t="n"/>
      <c r="M79" s="6">
        <f>IF(H79="","",(I79+J79+K79)/H79)</f>
        <v/>
      </c>
    </row>
    <row r="80" ht="22" customHeight="1">
      <c r="B80" s="15">
        <f>IF(C80="","RS-"&amp;TEXT(COUNTA($C$5:C80),"000"))</f>
        <v/>
      </c>
      <c r="C80" s="13" t="n"/>
      <c r="D80" s="13" t="n"/>
      <c r="E80" s="13" t="n"/>
      <c r="F80" s="28" t="n"/>
      <c r="G80" s="13" t="n"/>
      <c r="H80" s="18" t="n"/>
      <c r="I80" s="18" t="n"/>
      <c r="J80" s="18" t="n"/>
      <c r="K80" s="18" t="n"/>
      <c r="L80" s="18" t="n"/>
      <c r="M80" s="6">
        <f>IF(H80="","",(I80+J80+K80)/H80)</f>
        <v/>
      </c>
    </row>
    <row r="81" ht="22" customHeight="1">
      <c r="B81" s="16">
        <f>IF(C81="","RS-"&amp;TEXT(COUNTA($C$5:C81),"000"))</f>
        <v/>
      </c>
      <c r="C81" s="11" t="n"/>
      <c r="D81" s="11" t="n"/>
      <c r="E81" s="11" t="n"/>
      <c r="F81" s="27" t="n"/>
      <c r="G81" s="11" t="n"/>
      <c r="H81" s="17" t="n"/>
      <c r="I81" s="17" t="n"/>
      <c r="J81" s="17" t="n"/>
      <c r="K81" s="17" t="n"/>
      <c r="L81" s="17" t="n"/>
      <c r="M81" s="6">
        <f>IF(H81="","",(I81+J81+K81)/H81)</f>
        <v/>
      </c>
    </row>
    <row r="82" ht="22" customHeight="1">
      <c r="B82" s="15">
        <f>IF(C82="","RS-"&amp;TEXT(COUNTA($C$5:C82),"000"))</f>
        <v/>
      </c>
      <c r="C82" s="13" t="n"/>
      <c r="D82" s="13" t="n"/>
      <c r="E82" s="13" t="n"/>
      <c r="F82" s="28" t="n"/>
      <c r="G82" s="13" t="n"/>
      <c r="H82" s="18" t="n"/>
      <c r="I82" s="18" t="n"/>
      <c r="J82" s="18" t="n"/>
      <c r="K82" s="18" t="n"/>
      <c r="L82" s="18" t="n"/>
      <c r="M82" s="6">
        <f>IF(H82="","",(I82+J82+K82)/H82)</f>
        <v/>
      </c>
    </row>
    <row r="83" ht="22" customHeight="1">
      <c r="B83" s="16">
        <f>IF(C83="","RS-"&amp;TEXT(COUNTA($C$5:C83),"000"))</f>
        <v/>
      </c>
      <c r="C83" s="11" t="n"/>
      <c r="D83" s="11" t="n"/>
      <c r="E83" s="11" t="n"/>
      <c r="F83" s="27" t="n"/>
      <c r="G83" s="11" t="n"/>
      <c r="H83" s="17" t="n"/>
      <c r="I83" s="17" t="n"/>
      <c r="J83" s="17" t="n"/>
      <c r="K83" s="17" t="n"/>
      <c r="L83" s="17" t="n"/>
      <c r="M83" s="6">
        <f>IF(H83="","",(I83+J83+K83)/H83)</f>
        <v/>
      </c>
    </row>
    <row r="84" ht="22" customHeight="1">
      <c r="B84" s="15">
        <f>IF(C84="","RS-"&amp;TEXT(COUNTA($C$5:C84),"000"))</f>
        <v/>
      </c>
      <c r="C84" s="13" t="n"/>
      <c r="D84" s="13" t="n"/>
      <c r="E84" s="13" t="n"/>
      <c r="F84" s="28" t="n"/>
      <c r="G84" s="13" t="n"/>
      <c r="H84" s="18" t="n"/>
      <c r="I84" s="18" t="n"/>
      <c r="J84" s="18" t="n"/>
      <c r="K84" s="18" t="n"/>
      <c r="L84" s="18" t="n"/>
      <c r="M84" s="6">
        <f>IF(H84="","",(I84+J84+K84)/H84)</f>
        <v/>
      </c>
    </row>
    <row r="85" ht="22" customHeight="1">
      <c r="B85" s="16">
        <f>IF(C85="","RS-"&amp;TEXT(COUNTA($C$5:C85),"000"))</f>
        <v/>
      </c>
      <c r="C85" s="11" t="n"/>
      <c r="D85" s="11" t="n"/>
      <c r="E85" s="11" t="n"/>
      <c r="F85" s="27" t="n"/>
      <c r="G85" s="11" t="n"/>
      <c r="H85" s="17" t="n"/>
      <c r="I85" s="17" t="n"/>
      <c r="J85" s="17" t="n"/>
      <c r="K85" s="17" t="n"/>
      <c r="L85" s="17" t="n"/>
      <c r="M85" s="6">
        <f>IF(H85="","",(I85+J85+K85)/H85)</f>
        <v/>
      </c>
    </row>
    <row r="86" ht="22" customHeight="1">
      <c r="B86" s="15">
        <f>IF(C86="","RS-"&amp;TEXT(COUNTA($C$5:C86),"000"))</f>
        <v/>
      </c>
      <c r="C86" s="13" t="n"/>
      <c r="D86" s="13" t="n"/>
      <c r="E86" s="13" t="n"/>
      <c r="F86" s="28" t="n"/>
      <c r="G86" s="13" t="n"/>
      <c r="H86" s="18" t="n"/>
      <c r="I86" s="18" t="n"/>
      <c r="J86" s="18" t="n"/>
      <c r="K86" s="18" t="n"/>
      <c r="L86" s="18" t="n"/>
      <c r="M86" s="6">
        <f>IF(H86="","",(I86+J86+K86)/H86)</f>
        <v/>
      </c>
    </row>
    <row r="87" ht="22" customHeight="1">
      <c r="B87" s="16">
        <f>IF(C87="","RS-"&amp;TEXT(COUNTA($C$5:C87),"000"))</f>
        <v/>
      </c>
      <c r="C87" s="11" t="n"/>
      <c r="D87" s="11" t="n"/>
      <c r="E87" s="11" t="n"/>
      <c r="F87" s="27" t="n"/>
      <c r="G87" s="11" t="n"/>
      <c r="H87" s="17" t="n"/>
      <c r="I87" s="17" t="n"/>
      <c r="J87" s="17" t="n"/>
      <c r="K87" s="17" t="n"/>
      <c r="L87" s="17" t="n"/>
      <c r="M87" s="6">
        <f>IF(H87="","",(I87+J87+K87)/H87)</f>
        <v/>
      </c>
    </row>
    <row r="88" ht="22" customHeight="1">
      <c r="B88" s="15">
        <f>IF(C88="","RS-"&amp;TEXT(COUNTA($C$5:C88),"000"))</f>
        <v/>
      </c>
      <c r="C88" s="13" t="n"/>
      <c r="D88" s="13" t="n"/>
      <c r="E88" s="13" t="n"/>
      <c r="F88" s="28" t="n"/>
      <c r="G88" s="13" t="n"/>
      <c r="H88" s="18" t="n"/>
      <c r="I88" s="18" t="n"/>
      <c r="J88" s="18" t="n"/>
      <c r="K88" s="18" t="n"/>
      <c r="L88" s="18" t="n"/>
      <c r="M88" s="6">
        <f>IF(H88="","",(I88+J88+K88)/H88)</f>
        <v/>
      </c>
    </row>
    <row r="89" ht="22" customHeight="1">
      <c r="B89" s="16">
        <f>IF(C89="","RS-"&amp;TEXT(COUNTA($C$5:C89),"000"))</f>
        <v/>
      </c>
      <c r="C89" s="11" t="n"/>
      <c r="D89" s="11" t="n"/>
      <c r="E89" s="11" t="n"/>
      <c r="F89" s="27" t="n"/>
      <c r="G89" s="11" t="n"/>
      <c r="H89" s="17" t="n"/>
      <c r="I89" s="17" t="n"/>
      <c r="J89" s="17" t="n"/>
      <c r="K89" s="17" t="n"/>
      <c r="L89" s="17" t="n"/>
      <c r="M89" s="6">
        <f>IF(H89="","",(I89+J89+K89)/H89)</f>
        <v/>
      </c>
    </row>
    <row r="90" ht="22" customHeight="1">
      <c r="B90" s="15">
        <f>IF(C90="","RS-"&amp;TEXT(COUNTA($C$5:C90),"000"))</f>
        <v/>
      </c>
      <c r="C90" s="13" t="n"/>
      <c r="D90" s="13" t="n"/>
      <c r="E90" s="13" t="n"/>
      <c r="F90" s="28" t="n"/>
      <c r="G90" s="13" t="n"/>
      <c r="H90" s="18" t="n"/>
      <c r="I90" s="18" t="n"/>
      <c r="J90" s="18" t="n"/>
      <c r="K90" s="18" t="n"/>
      <c r="L90" s="18" t="n"/>
      <c r="M90" s="6">
        <f>IF(H90="","",(I90+J90+K90)/H90)</f>
        <v/>
      </c>
    </row>
    <row r="91" ht="22" customHeight="1">
      <c r="B91" s="16">
        <f>IF(C91="","RS-"&amp;TEXT(COUNTA($C$5:C91),"000"))</f>
        <v/>
      </c>
      <c r="C91" s="11" t="n"/>
      <c r="D91" s="11" t="n"/>
      <c r="E91" s="11" t="n"/>
      <c r="F91" s="27" t="n"/>
      <c r="G91" s="11" t="n"/>
      <c r="H91" s="17" t="n"/>
      <c r="I91" s="17" t="n"/>
      <c r="J91" s="17" t="n"/>
      <c r="K91" s="17" t="n"/>
      <c r="L91" s="17" t="n"/>
      <c r="M91" s="6">
        <f>IF(H91="","",(I91+J91+K91)/H91)</f>
        <v/>
      </c>
    </row>
    <row r="92" ht="22" customHeight="1">
      <c r="B92" s="15">
        <f>IF(C92="","RS-"&amp;TEXT(COUNTA($C$5:C92),"000"))</f>
        <v/>
      </c>
      <c r="C92" s="13" t="n"/>
      <c r="D92" s="13" t="n"/>
      <c r="E92" s="13" t="n"/>
      <c r="F92" s="28" t="n"/>
      <c r="G92" s="13" t="n"/>
      <c r="H92" s="18" t="n"/>
      <c r="I92" s="18" t="n"/>
      <c r="J92" s="18" t="n"/>
      <c r="K92" s="18" t="n"/>
      <c r="L92" s="18" t="n"/>
      <c r="M92" s="6">
        <f>IF(H92="","",(I92+J92+K92)/H92)</f>
        <v/>
      </c>
    </row>
    <row r="93" ht="22" customHeight="1">
      <c r="B93" s="16">
        <f>IF(C93="","RS-"&amp;TEXT(COUNTA($C$5:C93),"000"))</f>
        <v/>
      </c>
      <c r="C93" s="11" t="n"/>
      <c r="D93" s="11" t="n"/>
      <c r="E93" s="11" t="n"/>
      <c r="F93" s="27" t="n"/>
      <c r="G93" s="11" t="n"/>
      <c r="H93" s="17" t="n"/>
      <c r="I93" s="17" t="n"/>
      <c r="J93" s="17" t="n"/>
      <c r="K93" s="17" t="n"/>
      <c r="L93" s="17" t="n"/>
      <c r="M93" s="6">
        <f>IF(H93="","",(I93+J93+K93)/H93)</f>
        <v/>
      </c>
    </row>
    <row r="94" ht="22" customHeight="1">
      <c r="B94" s="15">
        <f>IF(C94="","RS-"&amp;TEXT(COUNTA($C$5:C94),"000"))</f>
        <v/>
      </c>
      <c r="C94" s="13" t="n"/>
      <c r="D94" s="13" t="n"/>
      <c r="E94" s="13" t="n"/>
      <c r="F94" s="28" t="n"/>
      <c r="G94" s="13" t="n"/>
      <c r="H94" s="18" t="n"/>
      <c r="I94" s="18" t="n"/>
      <c r="J94" s="18" t="n"/>
      <c r="K94" s="18" t="n"/>
      <c r="L94" s="18" t="n"/>
      <c r="M94" s="6">
        <f>IF(H94="","",(I94+J94+K94)/H94)</f>
        <v/>
      </c>
    </row>
    <row r="95" ht="22" customHeight="1">
      <c r="B95" s="16">
        <f>IF(C95="","RS-"&amp;TEXT(COUNTA($C$5:C95),"000"))</f>
        <v/>
      </c>
      <c r="C95" s="11" t="n"/>
      <c r="D95" s="11" t="n"/>
      <c r="E95" s="11" t="n"/>
      <c r="F95" s="27" t="n"/>
      <c r="G95" s="11" t="n"/>
      <c r="H95" s="17" t="n"/>
      <c r="I95" s="17" t="n"/>
      <c r="J95" s="17" t="n"/>
      <c r="K95" s="17" t="n"/>
      <c r="L95" s="17" t="n"/>
      <c r="M95" s="6">
        <f>IF(H95="","",(I95+J95+K95)/H95)</f>
        <v/>
      </c>
    </row>
    <row r="96" ht="22" customHeight="1">
      <c r="B96" s="15">
        <f>IF(C96="","RS-"&amp;TEXT(COUNTA($C$5:C96),"000"))</f>
        <v/>
      </c>
      <c r="C96" s="13" t="n"/>
      <c r="D96" s="13" t="n"/>
      <c r="E96" s="13" t="n"/>
      <c r="F96" s="28" t="n"/>
      <c r="G96" s="13" t="n"/>
      <c r="H96" s="18" t="n"/>
      <c r="I96" s="18" t="n"/>
      <c r="J96" s="18" t="n"/>
      <c r="K96" s="18" t="n"/>
      <c r="L96" s="18" t="n"/>
      <c r="M96" s="6">
        <f>IF(H96="","",(I96+J96+K96)/H96)</f>
        <v/>
      </c>
    </row>
    <row r="97" ht="22" customHeight="1">
      <c r="B97" s="16">
        <f>IF(C97="","RS-"&amp;TEXT(COUNTA($C$5:C97),"000"))</f>
        <v/>
      </c>
      <c r="C97" s="11" t="n"/>
      <c r="D97" s="11" t="n"/>
      <c r="E97" s="11" t="n"/>
      <c r="F97" s="27" t="n"/>
      <c r="G97" s="11" t="n"/>
      <c r="H97" s="17" t="n"/>
      <c r="I97" s="17" t="n"/>
      <c r="J97" s="17" t="n"/>
      <c r="K97" s="17" t="n"/>
      <c r="L97" s="17" t="n"/>
      <c r="M97" s="6">
        <f>IF(H97="","",(I97+J97+K97)/H97)</f>
        <v/>
      </c>
    </row>
    <row r="98" ht="22" customHeight="1">
      <c r="B98" s="15">
        <f>IF(C98="","RS-"&amp;TEXT(COUNTA($C$5:C98),"000"))</f>
        <v/>
      </c>
      <c r="C98" s="13" t="n"/>
      <c r="D98" s="13" t="n"/>
      <c r="E98" s="13" t="n"/>
      <c r="F98" s="28" t="n"/>
      <c r="G98" s="13" t="n"/>
      <c r="H98" s="18" t="n"/>
      <c r="I98" s="18" t="n"/>
      <c r="J98" s="18" t="n"/>
      <c r="K98" s="18" t="n"/>
      <c r="L98" s="18" t="n"/>
      <c r="M98" s="6">
        <f>IF(H98="","",(I98+J98+K98)/H98)</f>
        <v/>
      </c>
    </row>
    <row r="99" ht="22" customHeight="1">
      <c r="B99" s="16">
        <f>IF(C99="","RS-"&amp;TEXT(COUNTA($C$5:C99),"000"))</f>
        <v/>
      </c>
      <c r="C99" s="11" t="n"/>
      <c r="D99" s="11" t="n"/>
      <c r="E99" s="11" t="n"/>
      <c r="F99" s="27" t="n"/>
      <c r="G99" s="11" t="n"/>
      <c r="H99" s="17" t="n"/>
      <c r="I99" s="17" t="n"/>
      <c r="J99" s="17" t="n"/>
      <c r="K99" s="17" t="n"/>
      <c r="L99" s="17" t="n"/>
      <c r="M99" s="6">
        <f>IF(H99="","",(I99+J99+K99)/H99)</f>
        <v/>
      </c>
    </row>
    <row r="100" ht="22" customHeight="1">
      <c r="B100" s="15">
        <f>IF(C100="","RS-"&amp;TEXT(COUNTA($C$5:C100),"000"))</f>
        <v/>
      </c>
      <c r="C100" s="13" t="n"/>
      <c r="D100" s="13" t="n"/>
      <c r="E100" s="13" t="n"/>
      <c r="F100" s="28" t="n"/>
      <c r="G100" s="13" t="n"/>
      <c r="H100" s="18" t="n"/>
      <c r="I100" s="18" t="n"/>
      <c r="J100" s="18" t="n"/>
      <c r="K100" s="18" t="n"/>
      <c r="L100" s="18" t="n"/>
      <c r="M100" s="6">
        <f>IF(H100="","",(I100+J100+K100)/H100)</f>
        <v/>
      </c>
    </row>
    <row r="101" ht="22" customHeight="1">
      <c r="B101" s="16">
        <f>IF(C101="","RS-"&amp;TEXT(COUNTA($C$5:C101),"000"))</f>
        <v/>
      </c>
      <c r="C101" s="11" t="n"/>
      <c r="D101" s="11" t="n"/>
      <c r="E101" s="11" t="n"/>
      <c r="F101" s="27" t="n"/>
      <c r="G101" s="11" t="n"/>
      <c r="H101" s="17" t="n"/>
      <c r="I101" s="17" t="n"/>
      <c r="J101" s="17" t="n"/>
      <c r="K101" s="17" t="n"/>
      <c r="L101" s="17" t="n"/>
      <c r="M101" s="6">
        <f>IF(H101="","",(I101+J101+K101)/H101)</f>
        <v/>
      </c>
    </row>
    <row r="102" ht="22" customHeight="1">
      <c r="B102" s="15">
        <f>IF(C102="","RS-"&amp;TEXT(COUNTA($C$5:C102),"000"))</f>
        <v/>
      </c>
      <c r="C102" s="13" t="n"/>
      <c r="D102" s="13" t="n"/>
      <c r="E102" s="13" t="n"/>
      <c r="F102" s="28" t="n"/>
      <c r="G102" s="13" t="n"/>
      <c r="H102" s="18" t="n"/>
      <c r="I102" s="18" t="n"/>
      <c r="J102" s="18" t="n"/>
      <c r="K102" s="18" t="n"/>
      <c r="L102" s="18" t="n"/>
      <c r="M102" s="6">
        <f>IF(H102="","",(I102+J102+K102)/H102)</f>
        <v/>
      </c>
    </row>
    <row r="103" ht="22" customHeight="1">
      <c r="B103" s="16">
        <f>IF(C103="","RS-"&amp;TEXT(COUNTA($C$5:C103),"000"))</f>
        <v/>
      </c>
      <c r="C103" s="11" t="n"/>
      <c r="D103" s="11" t="n"/>
      <c r="E103" s="11" t="n"/>
      <c r="F103" s="27" t="n"/>
      <c r="G103" s="11" t="n"/>
      <c r="H103" s="17" t="n"/>
      <c r="I103" s="17" t="n"/>
      <c r="J103" s="17" t="n"/>
      <c r="K103" s="17" t="n"/>
      <c r="L103" s="17" t="n"/>
      <c r="M103" s="6">
        <f>IF(H103="","",(I103+J103+K103)/H103)</f>
        <v/>
      </c>
    </row>
    <row r="104" ht="22" customHeight="1">
      <c r="B104" s="15">
        <f>IF(C104="","RS-"&amp;TEXT(COUNTA($C$5:C104),"000"))</f>
        <v/>
      </c>
      <c r="C104" s="13" t="n"/>
      <c r="D104" s="13" t="n"/>
      <c r="E104" s="13" t="n"/>
      <c r="F104" s="28" t="n"/>
      <c r="G104" s="13" t="n"/>
      <c r="H104" s="18" t="n"/>
      <c r="I104" s="18" t="n"/>
      <c r="J104" s="18" t="n"/>
      <c r="K104" s="18" t="n"/>
      <c r="L104" s="18" t="n"/>
      <c r="M104" s="6">
        <f>IF(H104="","",(I104+J104+K104)/H104)</f>
        <v/>
      </c>
    </row>
    <row r="105" ht="22" customHeight="1">
      <c r="B105" s="16">
        <f>IF(C105="","RS-"&amp;TEXT(COUNTA($C$5:C105),"000"))</f>
        <v/>
      </c>
      <c r="C105" s="11" t="n"/>
      <c r="D105" s="11" t="n"/>
      <c r="E105" s="11" t="n"/>
      <c r="F105" s="27" t="n"/>
      <c r="G105" s="11" t="n"/>
      <c r="H105" s="17" t="n"/>
      <c r="I105" s="17" t="n"/>
      <c r="J105" s="17" t="n"/>
      <c r="K105" s="17" t="n"/>
      <c r="L105" s="17" t="n"/>
      <c r="M105" s="6">
        <f>IF(H105="","",(I105+J105+K105)/H105)</f>
        <v/>
      </c>
    </row>
    <row r="106" ht="22" customHeight="1">
      <c r="B106" s="15">
        <f>IF(C106="","RS-"&amp;TEXT(COUNTA($C$5:C106),"000"))</f>
        <v/>
      </c>
      <c r="C106" s="13" t="n"/>
      <c r="D106" s="13" t="n"/>
      <c r="E106" s="13" t="n"/>
      <c r="F106" s="28" t="n"/>
      <c r="G106" s="13" t="n"/>
      <c r="H106" s="18" t="n"/>
      <c r="I106" s="18" t="n"/>
      <c r="J106" s="18" t="n"/>
      <c r="K106" s="18" t="n"/>
      <c r="L106" s="18" t="n"/>
      <c r="M106" s="6">
        <f>IF(H106="","",(I106+J106+K106)/H106)</f>
        <v/>
      </c>
    </row>
    <row r="107" ht="22" customHeight="1">
      <c r="B107" s="16">
        <f>IF(C107="","RS-"&amp;TEXT(COUNTA($C$5:C107),"000"))</f>
        <v/>
      </c>
      <c r="C107" s="11" t="n"/>
      <c r="D107" s="11" t="n"/>
      <c r="E107" s="11" t="n"/>
      <c r="F107" s="27" t="n"/>
      <c r="G107" s="11" t="n"/>
      <c r="H107" s="17" t="n"/>
      <c r="I107" s="17" t="n"/>
      <c r="J107" s="17" t="n"/>
      <c r="K107" s="17" t="n"/>
      <c r="L107" s="17" t="n"/>
      <c r="M107" s="6">
        <f>IF(H107="","",(I107+J107+K107)/H107)</f>
        <v/>
      </c>
    </row>
    <row r="108"/>
    <row r="109">
      <c r="B109" s="5" t="inlineStr">
        <is>
          <t>INDICATEURS (mis a jour automatiquement)</t>
        </is>
      </c>
    </row>
    <row r="110">
      <c r="B110" s="3" t="inlineStr">
        <is>
          <t>Publications</t>
        </is>
      </c>
      <c r="D110" s="3" t="inlineStr">
        <is>
          <t>Vues totales</t>
        </is>
      </c>
      <c r="F110" s="3" t="inlineStr">
        <is>
          <t>Engagement moyen</t>
        </is>
      </c>
    </row>
    <row r="111">
      <c r="B111" s="4">
        <f>COUNTIF(B5:B104,"&lt;&gt;")</f>
        <v/>
      </c>
      <c r="D111" s="4">
        <f>SUM(H5:H104)</f>
        <v/>
      </c>
      <c r="F111" s="4">
        <f>IFERROR(AVERAGE(M5:M104),0)</f>
        <v/>
      </c>
    </row>
  </sheetData>
  <mergeCells count="3">
    <mergeCell ref="B2:L2"/>
    <mergeCell ref="B109:L109"/>
    <mergeCell ref="B3:L3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dataValidations count="2">
    <dataValidation sqref="C5:C107" showDropDown="0" showInputMessage="0" showErrorMessage="0" allowBlank="1" errorTitle="Erreur" error="Valeur invalide" promptTitle="Liste" prompt="Choisir dans la liste" type="list">
      <formula1>'_Lists'!$H$2:$H$11</formula1>
    </dataValidation>
    <dataValidation sqref="D5:D107" showDropDown="0" showInputMessage="0" showErrorMessage="0" allowBlank="1" errorTitle="Erreur" error="Valeur invalide" promptTitle="Liste" prompt="Choisir dans la liste" type="list">
      <formula1>'_Lists'!$G$2:$G$16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6" customWidth="1" min="4" max="4"/>
    <col width="22" customWidth="1" min="5" max="5"/>
    <col width="26" customWidth="1" min="6" max="6"/>
    <col width="26" customWidth="1" min="7" max="7"/>
    <col width="16" customWidth="1" min="8" max="8"/>
    <col width="14" customWidth="1" min="9" max="9"/>
    <col width="18" customWidth="1" min="10" max="10"/>
    <col width="24" customWidth="1" min="11" max="11"/>
    <col width="32" customWidth="1" min="12" max="12"/>
  </cols>
  <sheetData>
    <row r="1" ht="15" customHeight="1"/>
    <row r="2" ht="32" customHeight="1">
      <c r="B2" s="1" t="inlineStr">
        <is>
          <t>CANDIDATURES SPONTANEES (#140)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Nom Candidat</t>
        </is>
      </c>
      <c r="D4" s="10" t="inlineStr">
        <is>
          <t>Prenom</t>
        </is>
      </c>
      <c r="E4" s="10" t="inlineStr">
        <is>
          <t>Poste Souhaite</t>
        </is>
      </c>
      <c r="F4" s="10" t="inlineStr">
        <is>
          <t>Departement</t>
        </is>
      </c>
      <c r="G4" s="10" t="inlineStr">
        <is>
          <t>Email</t>
        </is>
      </c>
      <c r="H4" s="10" t="inlineStr">
        <is>
          <t>Telephone</t>
        </is>
      </c>
      <c r="I4" s="10" t="inlineStr">
        <is>
          <t>Date Reception</t>
        </is>
      </c>
      <c r="J4" s="10" t="inlineStr">
        <is>
          <t>Source</t>
        </is>
      </c>
      <c r="K4" s="10" t="inlineStr">
        <is>
          <t>Statut</t>
        </is>
      </c>
      <c r="L4" s="10" t="inlineStr">
        <is>
          <t>Observations</t>
        </is>
      </c>
    </row>
    <row r="5" ht="22" customHeight="1">
      <c r="B5" s="11" t="inlineStr">
        <is>
          <t>CSP-001</t>
        </is>
      </c>
      <c r="C5" s="11" t="inlineStr">
        <is>
          <t>Nkoulou</t>
        </is>
      </c>
      <c r="D5" s="11" t="inlineStr">
        <is>
          <t>Patrice</t>
        </is>
      </c>
      <c r="E5" s="11" t="inlineStr">
        <is>
          <t>Chef Reception</t>
        </is>
      </c>
      <c r="F5" s="11" t="inlineStr">
        <is>
          <t>Réception &amp; Front Office</t>
        </is>
      </c>
      <c r="G5" s="11" t="inlineStr">
        <is>
          <t>p.nkoulou@email.com</t>
        </is>
      </c>
      <c r="H5" s="11" t="inlineStr">
        <is>
          <t>698123456</t>
        </is>
      </c>
      <c r="I5" s="27" t="n">
        <v>45693</v>
      </c>
      <c r="J5" s="11" t="inlineStr">
        <is>
          <t>Spontanée</t>
        </is>
      </c>
      <c r="K5" s="11" t="inlineStr">
        <is>
          <t>En cours d'analyse</t>
        </is>
      </c>
      <c r="L5" s="11" t="inlineStr">
        <is>
          <t>CV complet, 5 ans experience hotel</t>
        </is>
      </c>
    </row>
    <row r="6" ht="22" customHeight="1">
      <c r="B6" s="13" t="inlineStr">
        <is>
          <t>CSP-002</t>
        </is>
      </c>
      <c r="C6" s="13" t="inlineStr">
        <is>
          <t>Mbarga</t>
        </is>
      </c>
      <c r="D6" s="13" t="inlineStr">
        <is>
          <t>Sophie</t>
        </is>
      </c>
      <c r="E6" s="13" t="inlineStr">
        <is>
          <t>Assistante RH</t>
        </is>
      </c>
      <c r="F6" s="13" t="inlineStr">
        <is>
          <t>Service Client</t>
        </is>
      </c>
      <c r="G6" s="13" t="inlineStr">
        <is>
          <t>s.mbarga@email.com</t>
        </is>
      </c>
      <c r="H6" s="13" t="inlineStr">
        <is>
          <t>695789012</t>
        </is>
      </c>
      <c r="I6" s="28" t="n">
        <v>45696</v>
      </c>
      <c r="J6" s="13" t="inlineStr">
        <is>
          <t>Site web hotel</t>
        </is>
      </c>
      <c r="K6" s="13" t="inlineStr">
        <is>
          <t>En attente poste</t>
        </is>
      </c>
      <c r="L6" s="13" t="inlineStr">
        <is>
          <t>Bonne experience admin</t>
        </is>
      </c>
    </row>
    <row r="7" ht="22" customHeight="1">
      <c r="B7" s="11" t="inlineStr">
        <is>
          <t>CSP-003</t>
        </is>
      </c>
      <c r="C7" s="11" t="inlineStr">
        <is>
          <t>Nganou</t>
        </is>
      </c>
      <c r="D7" s="11" t="inlineStr">
        <is>
          <t>Jean</t>
        </is>
      </c>
      <c r="E7" s="11" t="inlineStr">
        <is>
          <t>Cuisinier</t>
        </is>
      </c>
      <c r="F7" s="11" t="inlineStr">
        <is>
          <t>Cuisine &amp; Restauration</t>
        </is>
      </c>
      <c r="G7" s="11" t="inlineStr">
        <is>
          <t>j.nganou@email.com</t>
        </is>
      </c>
      <c r="H7" s="11" t="inlineStr">
        <is>
          <t>693456789</t>
        </is>
      </c>
      <c r="I7" s="27" t="n">
        <v>45700</v>
      </c>
      <c r="J7" s="11" t="inlineStr">
        <is>
          <t>Bouche a oreille</t>
        </is>
      </c>
      <c r="K7" s="11" t="inlineStr">
        <is>
          <t>Entretien planifie</t>
        </is>
      </c>
      <c r="L7" s="11" t="inlineStr">
        <is>
          <t>Specialise cuisine camerounaise</t>
        </is>
      </c>
    </row>
    <row r="8" ht="22" customHeight="1">
      <c r="B8" s="15">
        <f>IF(C8="","CSP-"&amp;TEXT(COUNTA($C$5:C8),"000"))</f>
        <v/>
      </c>
      <c r="C8" s="13" t="n"/>
      <c r="D8" s="13" t="n"/>
      <c r="E8" s="13" t="n"/>
      <c r="F8" s="13" t="n"/>
      <c r="G8" s="13" t="n"/>
      <c r="H8" s="13" t="n"/>
      <c r="I8" s="28" t="n"/>
      <c r="J8" s="13" t="n"/>
      <c r="K8" s="13" t="n"/>
      <c r="L8" s="13" t="n"/>
    </row>
    <row r="9" ht="22" customHeight="1">
      <c r="B9" s="16">
        <f>IF(C9="","CSP-"&amp;TEXT(COUNTA($C$5:C9),"000"))</f>
        <v/>
      </c>
      <c r="C9" s="11" t="n"/>
      <c r="D9" s="11" t="n"/>
      <c r="E9" s="11" t="n"/>
      <c r="F9" s="11" t="n"/>
      <c r="G9" s="11" t="n"/>
      <c r="H9" s="11" t="n"/>
      <c r="I9" s="27" t="n"/>
      <c r="J9" s="11" t="n"/>
      <c r="K9" s="11" t="n"/>
      <c r="L9" s="11" t="n"/>
    </row>
    <row r="10" ht="22" customHeight="1">
      <c r="B10" s="15">
        <f>IF(C10="","CSP-"&amp;TEXT(COUNTA($C$5:C10),"000"))</f>
        <v/>
      </c>
      <c r="C10" s="13" t="n"/>
      <c r="D10" s="13" t="n"/>
      <c r="E10" s="13" t="n"/>
      <c r="F10" s="13" t="n"/>
      <c r="G10" s="13" t="n"/>
      <c r="H10" s="13" t="n"/>
      <c r="I10" s="28" t="n"/>
      <c r="J10" s="13" t="n"/>
      <c r="K10" s="13" t="n"/>
      <c r="L10" s="13" t="n"/>
    </row>
    <row r="11" ht="22" customHeight="1">
      <c r="B11" s="16">
        <f>IF(C11="","CSP-"&amp;TEXT(COUNTA($C$5:C11),"000"))</f>
        <v/>
      </c>
      <c r="C11" s="11" t="n"/>
      <c r="D11" s="11" t="n"/>
      <c r="E11" s="11" t="n"/>
      <c r="F11" s="11" t="n"/>
      <c r="G11" s="11" t="n"/>
      <c r="H11" s="11" t="n"/>
      <c r="I11" s="27" t="n"/>
      <c r="J11" s="11" t="n"/>
      <c r="K11" s="11" t="n"/>
      <c r="L11" s="11" t="n"/>
    </row>
    <row r="12" ht="22" customHeight="1">
      <c r="B12" s="15">
        <f>IF(C12="","CSP-"&amp;TEXT(COUNTA($C$5:C12),"000"))</f>
        <v/>
      </c>
      <c r="C12" s="13" t="n"/>
      <c r="D12" s="13" t="n"/>
      <c r="E12" s="13" t="n"/>
      <c r="F12" s="13" t="n"/>
      <c r="G12" s="13" t="n"/>
      <c r="H12" s="13" t="n"/>
      <c r="I12" s="28" t="n"/>
      <c r="J12" s="13" t="n"/>
      <c r="K12" s="13" t="n"/>
      <c r="L12" s="13" t="n"/>
    </row>
    <row r="13" ht="22" customHeight="1">
      <c r="B13" s="16">
        <f>IF(C13="","CSP-"&amp;TEXT(COUNTA($C$5:C13),"000"))</f>
        <v/>
      </c>
      <c r="C13" s="11" t="n"/>
      <c r="D13" s="11" t="n"/>
      <c r="E13" s="11" t="n"/>
      <c r="F13" s="11" t="n"/>
      <c r="G13" s="11" t="n"/>
      <c r="H13" s="11" t="n"/>
      <c r="I13" s="27" t="n"/>
      <c r="J13" s="11" t="n"/>
      <c r="K13" s="11" t="n"/>
      <c r="L13" s="11" t="n"/>
    </row>
    <row r="14" ht="22" customHeight="1">
      <c r="B14" s="15">
        <f>IF(C14="","CSP-"&amp;TEXT(COUNTA($C$5:C14),"000"))</f>
        <v/>
      </c>
      <c r="C14" s="13" t="n"/>
      <c r="D14" s="13" t="n"/>
      <c r="E14" s="13" t="n"/>
      <c r="F14" s="13" t="n"/>
      <c r="G14" s="13" t="n"/>
      <c r="H14" s="13" t="n"/>
      <c r="I14" s="28" t="n"/>
      <c r="J14" s="13" t="n"/>
      <c r="K14" s="13" t="n"/>
      <c r="L14" s="13" t="n"/>
    </row>
    <row r="15" ht="22" customHeight="1">
      <c r="B15" s="16">
        <f>IF(C15="","CSP-"&amp;TEXT(COUNTA($C$5:C15),"000"))</f>
        <v/>
      </c>
      <c r="C15" s="11" t="n"/>
      <c r="D15" s="11" t="n"/>
      <c r="E15" s="11" t="n"/>
      <c r="F15" s="11" t="n"/>
      <c r="G15" s="11" t="n"/>
      <c r="H15" s="11" t="n"/>
      <c r="I15" s="27" t="n"/>
      <c r="J15" s="11" t="n"/>
      <c r="K15" s="11" t="n"/>
      <c r="L15" s="11" t="n"/>
    </row>
    <row r="16" ht="22" customHeight="1">
      <c r="B16" s="15">
        <f>IF(C16="","CSP-"&amp;TEXT(COUNTA($C$5:C16),"000"))</f>
        <v/>
      </c>
      <c r="C16" s="13" t="n"/>
      <c r="D16" s="13" t="n"/>
      <c r="E16" s="13" t="n"/>
      <c r="F16" s="13" t="n"/>
      <c r="G16" s="13" t="n"/>
      <c r="H16" s="13" t="n"/>
      <c r="I16" s="28" t="n"/>
      <c r="J16" s="13" t="n"/>
      <c r="K16" s="13" t="n"/>
      <c r="L16" s="13" t="n"/>
    </row>
    <row r="17" ht="22" customHeight="1">
      <c r="B17" s="16">
        <f>IF(C17="","CSP-"&amp;TEXT(COUNTA($C$5:C17),"000"))</f>
        <v/>
      </c>
      <c r="C17" s="11" t="n"/>
      <c r="D17" s="11" t="n"/>
      <c r="E17" s="11" t="n"/>
      <c r="F17" s="11" t="n"/>
      <c r="G17" s="11" t="n"/>
      <c r="H17" s="11" t="n"/>
      <c r="I17" s="27" t="n"/>
      <c r="J17" s="11" t="n"/>
      <c r="K17" s="11" t="n"/>
      <c r="L17" s="11" t="n"/>
    </row>
    <row r="18" ht="22" customHeight="1">
      <c r="B18" s="15">
        <f>IF(C18="","CSP-"&amp;TEXT(COUNTA($C$5:C18),"000"))</f>
        <v/>
      </c>
      <c r="C18" s="13" t="n"/>
      <c r="D18" s="13" t="n"/>
      <c r="E18" s="13" t="n"/>
      <c r="F18" s="13" t="n"/>
      <c r="G18" s="13" t="n"/>
      <c r="H18" s="13" t="n"/>
      <c r="I18" s="28" t="n"/>
      <c r="J18" s="13" t="n"/>
      <c r="K18" s="13" t="n"/>
      <c r="L18" s="13" t="n"/>
    </row>
    <row r="19" ht="22" customHeight="1">
      <c r="B19" s="16">
        <f>IF(C19="","CSP-"&amp;TEXT(COUNTA($C$5:C19),"000"))</f>
        <v/>
      </c>
      <c r="C19" s="11" t="n"/>
      <c r="D19" s="11" t="n"/>
      <c r="E19" s="11" t="n"/>
      <c r="F19" s="11" t="n"/>
      <c r="G19" s="11" t="n"/>
      <c r="H19" s="11" t="n"/>
      <c r="I19" s="27" t="n"/>
      <c r="J19" s="11" t="n"/>
      <c r="K19" s="11" t="n"/>
      <c r="L19" s="11" t="n"/>
    </row>
    <row r="20" ht="22" customHeight="1">
      <c r="B20" s="15">
        <f>IF(C20="","CSP-"&amp;TEXT(COUNTA($C$5:C20),"000"))</f>
        <v/>
      </c>
      <c r="C20" s="13" t="n"/>
      <c r="D20" s="13" t="n"/>
      <c r="E20" s="13" t="n"/>
      <c r="F20" s="13" t="n"/>
      <c r="G20" s="13" t="n"/>
      <c r="H20" s="13" t="n"/>
      <c r="I20" s="28" t="n"/>
      <c r="J20" s="13" t="n"/>
      <c r="K20" s="13" t="n"/>
      <c r="L20" s="13" t="n"/>
    </row>
    <row r="21" ht="22" customHeight="1">
      <c r="B21" s="16">
        <f>IF(C21="","CSP-"&amp;TEXT(COUNTA($C$5:C21),"000"))</f>
        <v/>
      </c>
      <c r="C21" s="11" t="n"/>
      <c r="D21" s="11" t="n"/>
      <c r="E21" s="11" t="n"/>
      <c r="F21" s="11" t="n"/>
      <c r="G21" s="11" t="n"/>
      <c r="H21" s="11" t="n"/>
      <c r="I21" s="27" t="n"/>
      <c r="J21" s="11" t="n"/>
      <c r="K21" s="11" t="n"/>
      <c r="L21" s="11" t="n"/>
    </row>
    <row r="22" ht="22" customHeight="1">
      <c r="B22" s="15">
        <f>IF(C22="","CSP-"&amp;TEXT(COUNTA($C$5:C22),"000"))</f>
        <v/>
      </c>
      <c r="C22" s="13" t="n"/>
      <c r="D22" s="13" t="n"/>
      <c r="E22" s="13" t="n"/>
      <c r="F22" s="13" t="n"/>
      <c r="G22" s="13" t="n"/>
      <c r="H22" s="13" t="n"/>
      <c r="I22" s="28" t="n"/>
      <c r="J22" s="13" t="n"/>
      <c r="K22" s="13" t="n"/>
      <c r="L22" s="13" t="n"/>
    </row>
    <row r="23" ht="22" customHeight="1">
      <c r="B23" s="16">
        <f>IF(C23="","CSP-"&amp;TEXT(COUNTA($C$5:C23),"000"))</f>
        <v/>
      </c>
      <c r="C23" s="11" t="n"/>
      <c r="D23" s="11" t="n"/>
      <c r="E23" s="11" t="n"/>
      <c r="F23" s="11" t="n"/>
      <c r="G23" s="11" t="n"/>
      <c r="H23" s="11" t="n"/>
      <c r="I23" s="27" t="n"/>
      <c r="J23" s="11" t="n"/>
      <c r="K23" s="11" t="n"/>
      <c r="L23" s="11" t="n"/>
    </row>
    <row r="24" ht="22" customHeight="1">
      <c r="B24" s="15">
        <f>IF(C24="","CSP-"&amp;TEXT(COUNTA($C$5:C24),"000"))</f>
        <v/>
      </c>
      <c r="C24" s="13" t="n"/>
      <c r="D24" s="13" t="n"/>
      <c r="E24" s="13" t="n"/>
      <c r="F24" s="13" t="n"/>
      <c r="G24" s="13" t="n"/>
      <c r="H24" s="13" t="n"/>
      <c r="I24" s="28" t="n"/>
      <c r="J24" s="13" t="n"/>
      <c r="K24" s="13" t="n"/>
      <c r="L24" s="13" t="n"/>
    </row>
    <row r="25" ht="22" customHeight="1">
      <c r="B25" s="16">
        <f>IF(C25="","CSP-"&amp;TEXT(COUNTA($C$5:C25),"000"))</f>
        <v/>
      </c>
      <c r="C25" s="11" t="n"/>
      <c r="D25" s="11" t="n"/>
      <c r="E25" s="11" t="n"/>
      <c r="F25" s="11" t="n"/>
      <c r="G25" s="11" t="n"/>
      <c r="H25" s="11" t="n"/>
      <c r="I25" s="27" t="n"/>
      <c r="J25" s="11" t="n"/>
      <c r="K25" s="11" t="n"/>
      <c r="L25" s="11" t="n"/>
    </row>
    <row r="26" ht="22" customHeight="1">
      <c r="B26" s="15">
        <f>IF(C26="","CSP-"&amp;TEXT(COUNTA($C$5:C26),"000"))</f>
        <v/>
      </c>
      <c r="C26" s="13" t="n"/>
      <c r="D26" s="13" t="n"/>
      <c r="E26" s="13" t="n"/>
      <c r="F26" s="13" t="n"/>
      <c r="G26" s="13" t="n"/>
      <c r="H26" s="13" t="n"/>
      <c r="I26" s="28" t="n"/>
      <c r="J26" s="13" t="n"/>
      <c r="K26" s="13" t="n"/>
      <c r="L26" s="13" t="n"/>
    </row>
    <row r="27" ht="22" customHeight="1">
      <c r="B27" s="16">
        <f>IF(C27="","CSP-"&amp;TEXT(COUNTA($C$5:C27),"000"))</f>
        <v/>
      </c>
      <c r="C27" s="11" t="n"/>
      <c r="D27" s="11" t="n"/>
      <c r="E27" s="11" t="n"/>
      <c r="F27" s="11" t="n"/>
      <c r="G27" s="11" t="n"/>
      <c r="H27" s="11" t="n"/>
      <c r="I27" s="27" t="n"/>
      <c r="J27" s="11" t="n"/>
      <c r="K27" s="11" t="n"/>
      <c r="L27" s="11" t="n"/>
    </row>
    <row r="28" ht="22" customHeight="1">
      <c r="B28" s="15">
        <f>IF(C28="","CSP-"&amp;TEXT(COUNTA($C$5:C28),"000"))</f>
        <v/>
      </c>
      <c r="C28" s="13" t="n"/>
      <c r="D28" s="13" t="n"/>
      <c r="E28" s="13" t="n"/>
      <c r="F28" s="13" t="n"/>
      <c r="G28" s="13" t="n"/>
      <c r="H28" s="13" t="n"/>
      <c r="I28" s="28" t="n"/>
      <c r="J28" s="13" t="n"/>
      <c r="K28" s="13" t="n"/>
      <c r="L28" s="13" t="n"/>
    </row>
    <row r="29" ht="22" customHeight="1">
      <c r="B29" s="16">
        <f>IF(C29="","CSP-"&amp;TEXT(COUNTA($C$5:C29),"000"))</f>
        <v/>
      </c>
      <c r="C29" s="11" t="n"/>
      <c r="D29" s="11" t="n"/>
      <c r="E29" s="11" t="n"/>
      <c r="F29" s="11" t="n"/>
      <c r="G29" s="11" t="n"/>
      <c r="H29" s="11" t="n"/>
      <c r="I29" s="27" t="n"/>
      <c r="J29" s="11" t="n"/>
      <c r="K29" s="11" t="n"/>
      <c r="L29" s="11" t="n"/>
    </row>
    <row r="30" ht="22" customHeight="1">
      <c r="B30" s="15">
        <f>IF(C30="","CSP-"&amp;TEXT(COUNTA($C$5:C30),"000"))</f>
        <v/>
      </c>
      <c r="C30" s="13" t="n"/>
      <c r="D30" s="13" t="n"/>
      <c r="E30" s="13" t="n"/>
      <c r="F30" s="13" t="n"/>
      <c r="G30" s="13" t="n"/>
      <c r="H30" s="13" t="n"/>
      <c r="I30" s="28" t="n"/>
      <c r="J30" s="13" t="n"/>
      <c r="K30" s="13" t="n"/>
      <c r="L30" s="13" t="n"/>
    </row>
    <row r="31" ht="22" customHeight="1">
      <c r="B31" s="16">
        <f>IF(C31="","CSP-"&amp;TEXT(COUNTA($C$5:C31),"000"))</f>
        <v/>
      </c>
      <c r="C31" s="11" t="n"/>
      <c r="D31" s="11" t="n"/>
      <c r="E31" s="11" t="n"/>
      <c r="F31" s="11" t="n"/>
      <c r="G31" s="11" t="n"/>
      <c r="H31" s="11" t="n"/>
      <c r="I31" s="27" t="n"/>
      <c r="J31" s="11" t="n"/>
      <c r="K31" s="11" t="n"/>
      <c r="L31" s="11" t="n"/>
    </row>
    <row r="32" ht="22" customHeight="1">
      <c r="B32" s="15">
        <f>IF(C32="","CSP-"&amp;TEXT(COUNTA($C$5:C32),"000"))</f>
        <v/>
      </c>
      <c r="C32" s="13" t="n"/>
      <c r="D32" s="13" t="n"/>
      <c r="E32" s="13" t="n"/>
      <c r="F32" s="13" t="n"/>
      <c r="G32" s="13" t="n"/>
      <c r="H32" s="13" t="n"/>
      <c r="I32" s="28" t="n"/>
      <c r="J32" s="13" t="n"/>
      <c r="K32" s="13" t="n"/>
      <c r="L32" s="13" t="n"/>
    </row>
    <row r="33" ht="22" customHeight="1">
      <c r="B33" s="16">
        <f>IF(C33="","CSP-"&amp;TEXT(COUNTA($C$5:C33),"000"))</f>
        <v/>
      </c>
      <c r="C33" s="11" t="n"/>
      <c r="D33" s="11" t="n"/>
      <c r="E33" s="11" t="n"/>
      <c r="F33" s="11" t="n"/>
      <c r="G33" s="11" t="n"/>
      <c r="H33" s="11" t="n"/>
      <c r="I33" s="27" t="n"/>
      <c r="J33" s="11" t="n"/>
      <c r="K33" s="11" t="n"/>
      <c r="L33" s="11" t="n"/>
    </row>
    <row r="34" ht="22" customHeight="1">
      <c r="B34" s="15">
        <f>IF(C34="","CSP-"&amp;TEXT(COUNTA($C$5:C34),"000"))</f>
        <v/>
      </c>
      <c r="C34" s="13" t="n"/>
      <c r="D34" s="13" t="n"/>
      <c r="E34" s="13" t="n"/>
      <c r="F34" s="13" t="n"/>
      <c r="G34" s="13" t="n"/>
      <c r="H34" s="13" t="n"/>
      <c r="I34" s="28" t="n"/>
      <c r="J34" s="13" t="n"/>
      <c r="K34" s="13" t="n"/>
      <c r="L34" s="13" t="n"/>
    </row>
    <row r="35" ht="22" customHeight="1">
      <c r="B35" s="16">
        <f>IF(C35="","CSP-"&amp;TEXT(COUNTA($C$5:C35),"000"))</f>
        <v/>
      </c>
      <c r="C35" s="11" t="n"/>
      <c r="D35" s="11" t="n"/>
      <c r="E35" s="11" t="n"/>
      <c r="F35" s="11" t="n"/>
      <c r="G35" s="11" t="n"/>
      <c r="H35" s="11" t="n"/>
      <c r="I35" s="27" t="n"/>
      <c r="J35" s="11" t="n"/>
      <c r="K35" s="11" t="n"/>
      <c r="L35" s="11" t="n"/>
    </row>
    <row r="36" ht="22" customHeight="1">
      <c r="B36" s="15">
        <f>IF(C36="","CSP-"&amp;TEXT(COUNTA($C$5:C36),"000"))</f>
        <v/>
      </c>
      <c r="C36" s="13" t="n"/>
      <c r="D36" s="13" t="n"/>
      <c r="E36" s="13" t="n"/>
      <c r="F36" s="13" t="n"/>
      <c r="G36" s="13" t="n"/>
      <c r="H36" s="13" t="n"/>
      <c r="I36" s="28" t="n"/>
      <c r="J36" s="13" t="n"/>
      <c r="K36" s="13" t="n"/>
      <c r="L36" s="13" t="n"/>
    </row>
    <row r="37" ht="22" customHeight="1">
      <c r="B37" s="16">
        <f>IF(C37="","CSP-"&amp;TEXT(COUNTA($C$5:C37),"000"))</f>
        <v/>
      </c>
      <c r="C37" s="11" t="n"/>
      <c r="D37" s="11" t="n"/>
      <c r="E37" s="11" t="n"/>
      <c r="F37" s="11" t="n"/>
      <c r="G37" s="11" t="n"/>
      <c r="H37" s="11" t="n"/>
      <c r="I37" s="27" t="n"/>
      <c r="J37" s="11" t="n"/>
      <c r="K37" s="11" t="n"/>
      <c r="L37" s="11" t="n"/>
    </row>
    <row r="38" ht="22" customHeight="1">
      <c r="B38" s="15">
        <f>IF(C38="","CSP-"&amp;TEXT(COUNTA($C$5:C38),"000"))</f>
        <v/>
      </c>
      <c r="C38" s="13" t="n"/>
      <c r="D38" s="13" t="n"/>
      <c r="E38" s="13" t="n"/>
      <c r="F38" s="13" t="n"/>
      <c r="G38" s="13" t="n"/>
      <c r="H38" s="13" t="n"/>
      <c r="I38" s="28" t="n"/>
      <c r="J38" s="13" t="n"/>
      <c r="K38" s="13" t="n"/>
      <c r="L38" s="13" t="n"/>
    </row>
    <row r="39" ht="22" customHeight="1">
      <c r="B39" s="16">
        <f>IF(C39="","CSP-"&amp;TEXT(COUNTA($C$5:C39),"000"))</f>
        <v/>
      </c>
      <c r="C39" s="11" t="n"/>
      <c r="D39" s="11" t="n"/>
      <c r="E39" s="11" t="n"/>
      <c r="F39" s="11" t="n"/>
      <c r="G39" s="11" t="n"/>
      <c r="H39" s="11" t="n"/>
      <c r="I39" s="27" t="n"/>
      <c r="J39" s="11" t="n"/>
      <c r="K39" s="11" t="n"/>
      <c r="L39" s="11" t="n"/>
    </row>
    <row r="40" ht="22" customHeight="1">
      <c r="B40" s="15">
        <f>IF(C40="","CSP-"&amp;TEXT(COUNTA($C$5:C40),"000"))</f>
        <v/>
      </c>
      <c r="C40" s="13" t="n"/>
      <c r="D40" s="13" t="n"/>
      <c r="E40" s="13" t="n"/>
      <c r="F40" s="13" t="n"/>
      <c r="G40" s="13" t="n"/>
      <c r="H40" s="13" t="n"/>
      <c r="I40" s="28" t="n"/>
      <c r="J40" s="13" t="n"/>
      <c r="K40" s="13" t="n"/>
      <c r="L40" s="13" t="n"/>
    </row>
    <row r="41" ht="22" customHeight="1">
      <c r="B41" s="16">
        <f>IF(C41="","CSP-"&amp;TEXT(COUNTA($C$5:C41),"000"))</f>
        <v/>
      </c>
      <c r="C41" s="11" t="n"/>
      <c r="D41" s="11" t="n"/>
      <c r="E41" s="11" t="n"/>
      <c r="F41" s="11" t="n"/>
      <c r="G41" s="11" t="n"/>
      <c r="H41" s="11" t="n"/>
      <c r="I41" s="27" t="n"/>
      <c r="J41" s="11" t="n"/>
      <c r="K41" s="11" t="n"/>
      <c r="L41" s="11" t="n"/>
    </row>
    <row r="42" ht="22" customHeight="1">
      <c r="B42" s="15">
        <f>IF(C42="","CSP-"&amp;TEXT(COUNTA($C$5:C42),"000"))</f>
        <v/>
      </c>
      <c r="C42" s="13" t="n"/>
      <c r="D42" s="13" t="n"/>
      <c r="E42" s="13" t="n"/>
      <c r="F42" s="13" t="n"/>
      <c r="G42" s="13" t="n"/>
      <c r="H42" s="13" t="n"/>
      <c r="I42" s="28" t="n"/>
      <c r="J42" s="13" t="n"/>
      <c r="K42" s="13" t="n"/>
      <c r="L42" s="13" t="n"/>
    </row>
    <row r="43" ht="22" customHeight="1">
      <c r="B43" s="16">
        <f>IF(C43="","CSP-"&amp;TEXT(COUNTA($C$5:C43),"000"))</f>
        <v/>
      </c>
      <c r="C43" s="11" t="n"/>
      <c r="D43" s="11" t="n"/>
      <c r="E43" s="11" t="n"/>
      <c r="F43" s="11" t="n"/>
      <c r="G43" s="11" t="n"/>
      <c r="H43" s="11" t="n"/>
      <c r="I43" s="27" t="n"/>
      <c r="J43" s="11" t="n"/>
      <c r="K43" s="11" t="n"/>
      <c r="L43" s="11" t="n"/>
    </row>
    <row r="44" ht="22" customHeight="1">
      <c r="B44" s="15">
        <f>IF(C44="","CSP-"&amp;TEXT(COUNTA($C$5:C44),"000"))</f>
        <v/>
      </c>
      <c r="C44" s="13" t="n"/>
      <c r="D44" s="13" t="n"/>
      <c r="E44" s="13" t="n"/>
      <c r="F44" s="13" t="n"/>
      <c r="G44" s="13" t="n"/>
      <c r="H44" s="13" t="n"/>
      <c r="I44" s="28" t="n"/>
      <c r="J44" s="13" t="n"/>
      <c r="K44" s="13" t="n"/>
      <c r="L44" s="13" t="n"/>
    </row>
    <row r="45" ht="22" customHeight="1">
      <c r="B45" s="16">
        <f>IF(C45="","CSP-"&amp;TEXT(COUNTA($C$5:C45),"000"))</f>
        <v/>
      </c>
      <c r="C45" s="11" t="n"/>
      <c r="D45" s="11" t="n"/>
      <c r="E45" s="11" t="n"/>
      <c r="F45" s="11" t="n"/>
      <c r="G45" s="11" t="n"/>
      <c r="H45" s="11" t="n"/>
      <c r="I45" s="27" t="n"/>
      <c r="J45" s="11" t="n"/>
      <c r="K45" s="11" t="n"/>
      <c r="L45" s="11" t="n"/>
    </row>
    <row r="46" ht="22" customHeight="1">
      <c r="B46" s="15">
        <f>IF(C46="","CSP-"&amp;TEXT(COUNTA($C$5:C46),"000"))</f>
        <v/>
      </c>
      <c r="C46" s="13" t="n"/>
      <c r="D46" s="13" t="n"/>
      <c r="E46" s="13" t="n"/>
      <c r="F46" s="13" t="n"/>
      <c r="G46" s="13" t="n"/>
      <c r="H46" s="13" t="n"/>
      <c r="I46" s="28" t="n"/>
      <c r="J46" s="13" t="n"/>
      <c r="K46" s="13" t="n"/>
      <c r="L46" s="13" t="n"/>
    </row>
    <row r="47" ht="22" customHeight="1">
      <c r="B47" s="16">
        <f>IF(C47="","CSP-"&amp;TEXT(COUNTA($C$5:C47),"000"))</f>
        <v/>
      </c>
      <c r="C47" s="11" t="n"/>
      <c r="D47" s="11" t="n"/>
      <c r="E47" s="11" t="n"/>
      <c r="F47" s="11" t="n"/>
      <c r="G47" s="11" t="n"/>
      <c r="H47" s="11" t="n"/>
      <c r="I47" s="27" t="n"/>
      <c r="J47" s="11" t="n"/>
      <c r="K47" s="11" t="n"/>
      <c r="L47" s="11" t="n"/>
    </row>
    <row r="48" ht="22" customHeight="1">
      <c r="B48" s="15">
        <f>IF(C48="","CSP-"&amp;TEXT(COUNTA($C$5:C48),"000"))</f>
        <v/>
      </c>
      <c r="C48" s="13" t="n"/>
      <c r="D48" s="13" t="n"/>
      <c r="E48" s="13" t="n"/>
      <c r="F48" s="13" t="n"/>
      <c r="G48" s="13" t="n"/>
      <c r="H48" s="13" t="n"/>
      <c r="I48" s="28" t="n"/>
      <c r="J48" s="13" t="n"/>
      <c r="K48" s="13" t="n"/>
      <c r="L48" s="13" t="n"/>
    </row>
    <row r="49" ht="22" customHeight="1">
      <c r="B49" s="16">
        <f>IF(C49="","CSP-"&amp;TEXT(COUNTA($C$5:C49),"000"))</f>
        <v/>
      </c>
      <c r="C49" s="11" t="n"/>
      <c r="D49" s="11" t="n"/>
      <c r="E49" s="11" t="n"/>
      <c r="F49" s="11" t="n"/>
      <c r="G49" s="11" t="n"/>
      <c r="H49" s="11" t="n"/>
      <c r="I49" s="27" t="n"/>
      <c r="J49" s="11" t="n"/>
      <c r="K49" s="11" t="n"/>
      <c r="L49" s="11" t="n"/>
    </row>
    <row r="50" ht="22" customHeight="1">
      <c r="B50" s="15">
        <f>IF(C50="","CSP-"&amp;TEXT(COUNTA($C$5:C50),"000"))</f>
        <v/>
      </c>
      <c r="C50" s="13" t="n"/>
      <c r="D50" s="13" t="n"/>
      <c r="E50" s="13" t="n"/>
      <c r="F50" s="13" t="n"/>
      <c r="G50" s="13" t="n"/>
      <c r="H50" s="13" t="n"/>
      <c r="I50" s="28" t="n"/>
      <c r="J50" s="13" t="n"/>
      <c r="K50" s="13" t="n"/>
      <c r="L50" s="13" t="n"/>
    </row>
    <row r="51" ht="22" customHeight="1">
      <c r="B51" s="16">
        <f>IF(C51="","CSP-"&amp;TEXT(COUNTA($C$5:C51),"000"))</f>
        <v/>
      </c>
      <c r="C51" s="11" t="n"/>
      <c r="D51" s="11" t="n"/>
      <c r="E51" s="11" t="n"/>
      <c r="F51" s="11" t="n"/>
      <c r="G51" s="11" t="n"/>
      <c r="H51" s="11" t="n"/>
      <c r="I51" s="27" t="n"/>
      <c r="J51" s="11" t="n"/>
      <c r="K51" s="11" t="n"/>
      <c r="L51" s="11" t="n"/>
    </row>
    <row r="52" ht="22" customHeight="1">
      <c r="B52" s="15">
        <f>IF(C52="","CSP-"&amp;TEXT(COUNTA($C$5:C52),"000"))</f>
        <v/>
      </c>
      <c r="C52" s="13" t="n"/>
      <c r="D52" s="13" t="n"/>
      <c r="E52" s="13" t="n"/>
      <c r="F52" s="13" t="n"/>
      <c r="G52" s="13" t="n"/>
      <c r="H52" s="13" t="n"/>
      <c r="I52" s="28" t="n"/>
      <c r="J52" s="13" t="n"/>
      <c r="K52" s="13" t="n"/>
      <c r="L52" s="13" t="n"/>
    </row>
    <row r="53" ht="22" customHeight="1">
      <c r="B53" s="16">
        <f>IF(C53="","CSP-"&amp;TEXT(COUNTA($C$5:C53),"000"))</f>
        <v/>
      </c>
      <c r="C53" s="11" t="n"/>
      <c r="D53" s="11" t="n"/>
      <c r="E53" s="11" t="n"/>
      <c r="F53" s="11" t="n"/>
      <c r="G53" s="11" t="n"/>
      <c r="H53" s="11" t="n"/>
      <c r="I53" s="27" t="n"/>
      <c r="J53" s="11" t="n"/>
      <c r="K53" s="11" t="n"/>
      <c r="L53" s="11" t="n"/>
    </row>
    <row r="54" ht="22" customHeight="1">
      <c r="B54" s="15">
        <f>IF(C54="","CSP-"&amp;TEXT(COUNTA($C$5:C54),"000"))</f>
        <v/>
      </c>
      <c r="C54" s="13" t="n"/>
      <c r="D54" s="13" t="n"/>
      <c r="E54" s="13" t="n"/>
      <c r="F54" s="13" t="n"/>
      <c r="G54" s="13" t="n"/>
      <c r="H54" s="13" t="n"/>
      <c r="I54" s="28" t="n"/>
      <c r="J54" s="13" t="n"/>
      <c r="K54" s="13" t="n"/>
      <c r="L54" s="13" t="n"/>
    </row>
    <row r="55" ht="22" customHeight="1">
      <c r="B55" s="16">
        <f>IF(C55="","CSP-"&amp;TEXT(COUNTA($C$5:C55),"000"))</f>
        <v/>
      </c>
      <c r="C55" s="11" t="n"/>
      <c r="D55" s="11" t="n"/>
      <c r="E55" s="11" t="n"/>
      <c r="F55" s="11" t="n"/>
      <c r="G55" s="11" t="n"/>
      <c r="H55" s="11" t="n"/>
      <c r="I55" s="27" t="n"/>
      <c r="J55" s="11" t="n"/>
      <c r="K55" s="11" t="n"/>
      <c r="L55" s="11" t="n"/>
    </row>
    <row r="56" ht="22" customHeight="1">
      <c r="B56" s="15">
        <f>IF(C56="","CSP-"&amp;TEXT(COUNTA($C$5:C56),"000"))</f>
        <v/>
      </c>
      <c r="C56" s="13" t="n"/>
      <c r="D56" s="13" t="n"/>
      <c r="E56" s="13" t="n"/>
      <c r="F56" s="13" t="n"/>
      <c r="G56" s="13" t="n"/>
      <c r="H56" s="13" t="n"/>
      <c r="I56" s="28" t="n"/>
      <c r="J56" s="13" t="n"/>
      <c r="K56" s="13" t="n"/>
      <c r="L56" s="13" t="n"/>
    </row>
    <row r="57" ht="22" customHeight="1">
      <c r="B57" s="16">
        <f>IF(C57="","CSP-"&amp;TEXT(COUNTA($C$5:C57),"000"))</f>
        <v/>
      </c>
      <c r="C57" s="11" t="n"/>
      <c r="D57" s="11" t="n"/>
      <c r="E57" s="11" t="n"/>
      <c r="F57" s="11" t="n"/>
      <c r="G57" s="11" t="n"/>
      <c r="H57" s="11" t="n"/>
      <c r="I57" s="27" t="n"/>
      <c r="J57" s="11" t="n"/>
      <c r="K57" s="11" t="n"/>
      <c r="L57" s="11" t="n"/>
    </row>
    <row r="58" ht="22" customHeight="1">
      <c r="B58" s="15">
        <f>IF(C58="","CSP-"&amp;TEXT(COUNTA($C$5:C58),"000"))</f>
        <v/>
      </c>
      <c r="C58" s="13" t="n"/>
      <c r="D58" s="13" t="n"/>
      <c r="E58" s="13" t="n"/>
      <c r="F58" s="13" t="n"/>
      <c r="G58" s="13" t="n"/>
      <c r="H58" s="13" t="n"/>
      <c r="I58" s="28" t="n"/>
      <c r="J58" s="13" t="n"/>
      <c r="K58" s="13" t="n"/>
      <c r="L58" s="13" t="n"/>
    </row>
    <row r="59" ht="22" customHeight="1">
      <c r="B59" s="16">
        <f>IF(C59="","CSP-"&amp;TEXT(COUNTA($C$5:C59),"000"))</f>
        <v/>
      </c>
      <c r="C59" s="11" t="n"/>
      <c r="D59" s="11" t="n"/>
      <c r="E59" s="11" t="n"/>
      <c r="F59" s="11" t="n"/>
      <c r="G59" s="11" t="n"/>
      <c r="H59" s="11" t="n"/>
      <c r="I59" s="27" t="n"/>
      <c r="J59" s="11" t="n"/>
      <c r="K59" s="11" t="n"/>
      <c r="L59" s="11" t="n"/>
    </row>
    <row r="60" ht="22" customHeight="1">
      <c r="B60" s="15">
        <f>IF(C60="","CSP-"&amp;TEXT(COUNTA($C$5:C60),"000"))</f>
        <v/>
      </c>
      <c r="C60" s="13" t="n"/>
      <c r="D60" s="13" t="n"/>
      <c r="E60" s="13" t="n"/>
      <c r="F60" s="13" t="n"/>
      <c r="G60" s="13" t="n"/>
      <c r="H60" s="13" t="n"/>
      <c r="I60" s="28" t="n"/>
      <c r="J60" s="13" t="n"/>
      <c r="K60" s="13" t="n"/>
      <c r="L60" s="13" t="n"/>
    </row>
    <row r="61" ht="22" customHeight="1">
      <c r="B61" s="16">
        <f>IF(C61="","CSP-"&amp;TEXT(COUNTA($C$5:C61),"000"))</f>
        <v/>
      </c>
      <c r="C61" s="11" t="n"/>
      <c r="D61" s="11" t="n"/>
      <c r="E61" s="11" t="n"/>
      <c r="F61" s="11" t="n"/>
      <c r="G61" s="11" t="n"/>
      <c r="H61" s="11" t="n"/>
      <c r="I61" s="27" t="n"/>
      <c r="J61" s="11" t="n"/>
      <c r="K61" s="11" t="n"/>
      <c r="L61" s="11" t="n"/>
    </row>
    <row r="62" ht="22" customHeight="1">
      <c r="B62" s="15">
        <f>IF(C62="","CSP-"&amp;TEXT(COUNTA($C$5:C62),"000"))</f>
        <v/>
      </c>
      <c r="C62" s="13" t="n"/>
      <c r="D62" s="13" t="n"/>
      <c r="E62" s="13" t="n"/>
      <c r="F62" s="13" t="n"/>
      <c r="G62" s="13" t="n"/>
      <c r="H62" s="13" t="n"/>
      <c r="I62" s="28" t="n"/>
      <c r="J62" s="13" t="n"/>
      <c r="K62" s="13" t="n"/>
      <c r="L62" s="13" t="n"/>
    </row>
    <row r="63" ht="22" customHeight="1">
      <c r="B63" s="16">
        <f>IF(C63="","CSP-"&amp;TEXT(COUNTA($C$5:C63),"000"))</f>
        <v/>
      </c>
      <c r="C63" s="11" t="n"/>
      <c r="D63" s="11" t="n"/>
      <c r="E63" s="11" t="n"/>
      <c r="F63" s="11" t="n"/>
      <c r="G63" s="11" t="n"/>
      <c r="H63" s="11" t="n"/>
      <c r="I63" s="27" t="n"/>
      <c r="J63" s="11" t="n"/>
      <c r="K63" s="11" t="n"/>
      <c r="L63" s="11" t="n"/>
    </row>
    <row r="64" ht="22" customHeight="1">
      <c r="B64" s="15">
        <f>IF(C64="","CSP-"&amp;TEXT(COUNTA($C$5:C64),"000"))</f>
        <v/>
      </c>
      <c r="C64" s="13" t="n"/>
      <c r="D64" s="13" t="n"/>
      <c r="E64" s="13" t="n"/>
      <c r="F64" s="13" t="n"/>
      <c r="G64" s="13" t="n"/>
      <c r="H64" s="13" t="n"/>
      <c r="I64" s="28" t="n"/>
      <c r="J64" s="13" t="n"/>
      <c r="K64" s="13" t="n"/>
      <c r="L64" s="13" t="n"/>
    </row>
    <row r="65" ht="22" customHeight="1">
      <c r="B65" s="16">
        <f>IF(C65="","CSP-"&amp;TEXT(COUNTA($C$5:C65),"000"))</f>
        <v/>
      </c>
      <c r="C65" s="11" t="n"/>
      <c r="D65" s="11" t="n"/>
      <c r="E65" s="11" t="n"/>
      <c r="F65" s="11" t="n"/>
      <c r="G65" s="11" t="n"/>
      <c r="H65" s="11" t="n"/>
      <c r="I65" s="27" t="n"/>
      <c r="J65" s="11" t="n"/>
      <c r="K65" s="11" t="n"/>
      <c r="L65" s="11" t="n"/>
    </row>
    <row r="66" ht="22" customHeight="1">
      <c r="B66" s="15">
        <f>IF(C66="","CSP-"&amp;TEXT(COUNTA($C$5:C66),"000"))</f>
        <v/>
      </c>
      <c r="C66" s="13" t="n"/>
      <c r="D66" s="13" t="n"/>
      <c r="E66" s="13" t="n"/>
      <c r="F66" s="13" t="n"/>
      <c r="G66" s="13" t="n"/>
      <c r="H66" s="13" t="n"/>
      <c r="I66" s="28" t="n"/>
      <c r="J66" s="13" t="n"/>
      <c r="K66" s="13" t="n"/>
      <c r="L66" s="13" t="n"/>
    </row>
    <row r="67" ht="22" customHeight="1">
      <c r="B67" s="16">
        <f>IF(C67="","CSP-"&amp;TEXT(COUNTA($C$5:C67),"000"))</f>
        <v/>
      </c>
      <c r="C67" s="11" t="n"/>
      <c r="D67" s="11" t="n"/>
      <c r="E67" s="11" t="n"/>
      <c r="F67" s="11" t="n"/>
      <c r="G67" s="11" t="n"/>
      <c r="H67" s="11" t="n"/>
      <c r="I67" s="27" t="n"/>
      <c r="J67" s="11" t="n"/>
      <c r="K67" s="11" t="n"/>
      <c r="L67" s="11" t="n"/>
    </row>
    <row r="68" ht="22" customHeight="1">
      <c r="B68" s="15">
        <f>IF(C68="","CSP-"&amp;TEXT(COUNTA($C$5:C68),"000"))</f>
        <v/>
      </c>
      <c r="C68" s="13" t="n"/>
      <c r="D68" s="13" t="n"/>
      <c r="E68" s="13" t="n"/>
      <c r="F68" s="13" t="n"/>
      <c r="G68" s="13" t="n"/>
      <c r="H68" s="13" t="n"/>
      <c r="I68" s="28" t="n"/>
      <c r="J68" s="13" t="n"/>
      <c r="K68" s="13" t="n"/>
      <c r="L68" s="13" t="n"/>
    </row>
    <row r="69" ht="22" customHeight="1">
      <c r="B69" s="16">
        <f>IF(C69="","CSP-"&amp;TEXT(COUNTA($C$5:C69),"000"))</f>
        <v/>
      </c>
      <c r="C69" s="11" t="n"/>
      <c r="D69" s="11" t="n"/>
      <c r="E69" s="11" t="n"/>
      <c r="F69" s="11" t="n"/>
      <c r="G69" s="11" t="n"/>
      <c r="H69" s="11" t="n"/>
      <c r="I69" s="27" t="n"/>
      <c r="J69" s="11" t="n"/>
      <c r="K69" s="11" t="n"/>
      <c r="L69" s="11" t="n"/>
    </row>
    <row r="70" ht="22" customHeight="1">
      <c r="B70" s="15">
        <f>IF(C70="","CSP-"&amp;TEXT(COUNTA($C$5:C70),"000"))</f>
        <v/>
      </c>
      <c r="C70" s="13" t="n"/>
      <c r="D70" s="13" t="n"/>
      <c r="E70" s="13" t="n"/>
      <c r="F70" s="13" t="n"/>
      <c r="G70" s="13" t="n"/>
      <c r="H70" s="13" t="n"/>
      <c r="I70" s="28" t="n"/>
      <c r="J70" s="13" t="n"/>
      <c r="K70" s="13" t="n"/>
      <c r="L70" s="13" t="n"/>
    </row>
    <row r="71" ht="22" customHeight="1">
      <c r="B71" s="16">
        <f>IF(C71="","CSP-"&amp;TEXT(COUNTA($C$5:C71),"000"))</f>
        <v/>
      </c>
      <c r="C71" s="11" t="n"/>
      <c r="D71" s="11" t="n"/>
      <c r="E71" s="11" t="n"/>
      <c r="F71" s="11" t="n"/>
      <c r="G71" s="11" t="n"/>
      <c r="H71" s="11" t="n"/>
      <c r="I71" s="27" t="n"/>
      <c r="J71" s="11" t="n"/>
      <c r="K71" s="11" t="n"/>
      <c r="L71" s="11" t="n"/>
    </row>
    <row r="72" ht="22" customHeight="1">
      <c r="B72" s="15">
        <f>IF(C72="","CSP-"&amp;TEXT(COUNTA($C$5:C72),"000"))</f>
        <v/>
      </c>
      <c r="C72" s="13" t="n"/>
      <c r="D72" s="13" t="n"/>
      <c r="E72" s="13" t="n"/>
      <c r="F72" s="13" t="n"/>
      <c r="G72" s="13" t="n"/>
      <c r="H72" s="13" t="n"/>
      <c r="I72" s="28" t="n"/>
      <c r="J72" s="13" t="n"/>
      <c r="K72" s="13" t="n"/>
      <c r="L72" s="13" t="n"/>
    </row>
    <row r="73" ht="22" customHeight="1">
      <c r="B73" s="16">
        <f>IF(C73="","CSP-"&amp;TEXT(COUNTA($C$5:C73),"000"))</f>
        <v/>
      </c>
      <c r="C73" s="11" t="n"/>
      <c r="D73" s="11" t="n"/>
      <c r="E73" s="11" t="n"/>
      <c r="F73" s="11" t="n"/>
      <c r="G73" s="11" t="n"/>
      <c r="H73" s="11" t="n"/>
      <c r="I73" s="27" t="n"/>
      <c r="J73" s="11" t="n"/>
      <c r="K73" s="11" t="n"/>
      <c r="L73" s="11" t="n"/>
    </row>
    <row r="74" ht="22" customHeight="1">
      <c r="B74" s="15">
        <f>IF(C74="","CSP-"&amp;TEXT(COUNTA($C$5:C74),"000"))</f>
        <v/>
      </c>
      <c r="C74" s="13" t="n"/>
      <c r="D74" s="13" t="n"/>
      <c r="E74" s="13" t="n"/>
      <c r="F74" s="13" t="n"/>
      <c r="G74" s="13" t="n"/>
      <c r="H74" s="13" t="n"/>
      <c r="I74" s="28" t="n"/>
      <c r="J74" s="13" t="n"/>
      <c r="K74" s="13" t="n"/>
      <c r="L74" s="13" t="n"/>
    </row>
    <row r="75" ht="22" customHeight="1">
      <c r="B75" s="16">
        <f>IF(C75="","CSP-"&amp;TEXT(COUNTA($C$5:C75),"000"))</f>
        <v/>
      </c>
      <c r="C75" s="11" t="n"/>
      <c r="D75" s="11" t="n"/>
      <c r="E75" s="11" t="n"/>
      <c r="F75" s="11" t="n"/>
      <c r="G75" s="11" t="n"/>
      <c r="H75" s="11" t="n"/>
      <c r="I75" s="27" t="n"/>
      <c r="J75" s="11" t="n"/>
      <c r="K75" s="11" t="n"/>
      <c r="L75" s="11" t="n"/>
    </row>
    <row r="76" ht="22" customHeight="1">
      <c r="B76" s="15">
        <f>IF(C76="","CSP-"&amp;TEXT(COUNTA($C$5:C76),"000"))</f>
        <v/>
      </c>
      <c r="C76" s="13" t="n"/>
      <c r="D76" s="13" t="n"/>
      <c r="E76" s="13" t="n"/>
      <c r="F76" s="13" t="n"/>
      <c r="G76" s="13" t="n"/>
      <c r="H76" s="13" t="n"/>
      <c r="I76" s="28" t="n"/>
      <c r="J76" s="13" t="n"/>
      <c r="K76" s="13" t="n"/>
      <c r="L76" s="13" t="n"/>
    </row>
    <row r="77" ht="22" customHeight="1">
      <c r="B77" s="16">
        <f>IF(C77="","CSP-"&amp;TEXT(COUNTA($C$5:C77),"000"))</f>
        <v/>
      </c>
      <c r="C77" s="11" t="n"/>
      <c r="D77" s="11" t="n"/>
      <c r="E77" s="11" t="n"/>
      <c r="F77" s="11" t="n"/>
      <c r="G77" s="11" t="n"/>
      <c r="H77" s="11" t="n"/>
      <c r="I77" s="27" t="n"/>
      <c r="J77" s="11" t="n"/>
      <c r="K77" s="11" t="n"/>
      <c r="L77" s="11" t="n"/>
    </row>
    <row r="78" ht="22" customHeight="1">
      <c r="B78" s="15">
        <f>IF(C78="","CSP-"&amp;TEXT(COUNTA($C$5:C78),"000"))</f>
        <v/>
      </c>
      <c r="C78" s="13" t="n"/>
      <c r="D78" s="13" t="n"/>
      <c r="E78" s="13" t="n"/>
      <c r="F78" s="13" t="n"/>
      <c r="G78" s="13" t="n"/>
      <c r="H78" s="13" t="n"/>
      <c r="I78" s="28" t="n"/>
      <c r="J78" s="13" t="n"/>
      <c r="K78" s="13" t="n"/>
      <c r="L78" s="13" t="n"/>
    </row>
    <row r="79" ht="22" customHeight="1">
      <c r="B79" s="16">
        <f>IF(C79="","CSP-"&amp;TEXT(COUNTA($C$5:C79),"000"))</f>
        <v/>
      </c>
      <c r="C79" s="11" t="n"/>
      <c r="D79" s="11" t="n"/>
      <c r="E79" s="11" t="n"/>
      <c r="F79" s="11" t="n"/>
      <c r="G79" s="11" t="n"/>
      <c r="H79" s="11" t="n"/>
      <c r="I79" s="27" t="n"/>
      <c r="J79" s="11" t="n"/>
      <c r="K79" s="11" t="n"/>
      <c r="L79" s="11" t="n"/>
    </row>
    <row r="80" ht="22" customHeight="1">
      <c r="B80" s="15">
        <f>IF(C80="","CSP-"&amp;TEXT(COUNTA($C$5:C80),"000"))</f>
        <v/>
      </c>
      <c r="C80" s="13" t="n"/>
      <c r="D80" s="13" t="n"/>
      <c r="E80" s="13" t="n"/>
      <c r="F80" s="13" t="n"/>
      <c r="G80" s="13" t="n"/>
      <c r="H80" s="13" t="n"/>
      <c r="I80" s="28" t="n"/>
      <c r="J80" s="13" t="n"/>
      <c r="K80" s="13" t="n"/>
      <c r="L80" s="13" t="n"/>
    </row>
    <row r="81" ht="22" customHeight="1">
      <c r="B81" s="16">
        <f>IF(C81="","CSP-"&amp;TEXT(COUNTA($C$5:C81),"000"))</f>
        <v/>
      </c>
      <c r="C81" s="11" t="n"/>
      <c r="D81" s="11" t="n"/>
      <c r="E81" s="11" t="n"/>
      <c r="F81" s="11" t="n"/>
      <c r="G81" s="11" t="n"/>
      <c r="H81" s="11" t="n"/>
      <c r="I81" s="27" t="n"/>
      <c r="J81" s="11" t="n"/>
      <c r="K81" s="11" t="n"/>
      <c r="L81" s="11" t="n"/>
    </row>
    <row r="82" ht="22" customHeight="1">
      <c r="B82" s="15">
        <f>IF(C82="","CSP-"&amp;TEXT(COUNTA($C$5:C82),"000"))</f>
        <v/>
      </c>
      <c r="C82" s="13" t="n"/>
      <c r="D82" s="13" t="n"/>
      <c r="E82" s="13" t="n"/>
      <c r="F82" s="13" t="n"/>
      <c r="G82" s="13" t="n"/>
      <c r="H82" s="13" t="n"/>
      <c r="I82" s="28" t="n"/>
      <c r="J82" s="13" t="n"/>
      <c r="K82" s="13" t="n"/>
      <c r="L82" s="13" t="n"/>
    </row>
    <row r="83" ht="22" customHeight="1">
      <c r="B83" s="16">
        <f>IF(C83="","CSP-"&amp;TEXT(COUNTA($C$5:C83),"000"))</f>
        <v/>
      </c>
      <c r="C83" s="11" t="n"/>
      <c r="D83" s="11" t="n"/>
      <c r="E83" s="11" t="n"/>
      <c r="F83" s="11" t="n"/>
      <c r="G83" s="11" t="n"/>
      <c r="H83" s="11" t="n"/>
      <c r="I83" s="27" t="n"/>
      <c r="J83" s="11" t="n"/>
      <c r="K83" s="11" t="n"/>
      <c r="L83" s="11" t="n"/>
    </row>
    <row r="84" ht="22" customHeight="1">
      <c r="B84" s="15">
        <f>IF(C84="","CSP-"&amp;TEXT(COUNTA($C$5:C84),"000"))</f>
        <v/>
      </c>
      <c r="C84" s="13" t="n"/>
      <c r="D84" s="13" t="n"/>
      <c r="E84" s="13" t="n"/>
      <c r="F84" s="13" t="n"/>
      <c r="G84" s="13" t="n"/>
      <c r="H84" s="13" t="n"/>
      <c r="I84" s="28" t="n"/>
      <c r="J84" s="13" t="n"/>
      <c r="K84" s="13" t="n"/>
      <c r="L84" s="13" t="n"/>
    </row>
    <row r="85" ht="22" customHeight="1">
      <c r="B85" s="16">
        <f>IF(C85="","CSP-"&amp;TEXT(COUNTA($C$5:C85),"000"))</f>
        <v/>
      </c>
      <c r="C85" s="11" t="n"/>
      <c r="D85" s="11" t="n"/>
      <c r="E85" s="11" t="n"/>
      <c r="F85" s="11" t="n"/>
      <c r="G85" s="11" t="n"/>
      <c r="H85" s="11" t="n"/>
      <c r="I85" s="27" t="n"/>
      <c r="J85" s="11" t="n"/>
      <c r="K85" s="11" t="n"/>
      <c r="L85" s="11" t="n"/>
    </row>
    <row r="86" ht="22" customHeight="1">
      <c r="B86" s="15">
        <f>IF(C86="","CSP-"&amp;TEXT(COUNTA($C$5:C86),"000"))</f>
        <v/>
      </c>
      <c r="C86" s="13" t="n"/>
      <c r="D86" s="13" t="n"/>
      <c r="E86" s="13" t="n"/>
      <c r="F86" s="13" t="n"/>
      <c r="G86" s="13" t="n"/>
      <c r="H86" s="13" t="n"/>
      <c r="I86" s="28" t="n"/>
      <c r="J86" s="13" t="n"/>
      <c r="K86" s="13" t="n"/>
      <c r="L86" s="13" t="n"/>
    </row>
    <row r="87" ht="22" customHeight="1">
      <c r="B87" s="16">
        <f>IF(C87="","CSP-"&amp;TEXT(COUNTA($C$5:C87),"000"))</f>
        <v/>
      </c>
      <c r="C87" s="11" t="n"/>
      <c r="D87" s="11" t="n"/>
      <c r="E87" s="11" t="n"/>
      <c r="F87" s="11" t="n"/>
      <c r="G87" s="11" t="n"/>
      <c r="H87" s="11" t="n"/>
      <c r="I87" s="27" t="n"/>
      <c r="J87" s="11" t="n"/>
      <c r="K87" s="11" t="n"/>
      <c r="L87" s="11" t="n"/>
    </row>
    <row r="88" ht="22" customHeight="1">
      <c r="B88" s="15">
        <f>IF(C88="","CSP-"&amp;TEXT(COUNTA($C$5:C88),"000"))</f>
        <v/>
      </c>
      <c r="C88" s="13" t="n"/>
      <c r="D88" s="13" t="n"/>
      <c r="E88" s="13" t="n"/>
      <c r="F88" s="13" t="n"/>
      <c r="G88" s="13" t="n"/>
      <c r="H88" s="13" t="n"/>
      <c r="I88" s="28" t="n"/>
      <c r="J88" s="13" t="n"/>
      <c r="K88" s="13" t="n"/>
      <c r="L88" s="13" t="n"/>
    </row>
    <row r="89" ht="22" customHeight="1">
      <c r="B89" s="16">
        <f>IF(C89="","CSP-"&amp;TEXT(COUNTA($C$5:C89),"000"))</f>
        <v/>
      </c>
      <c r="C89" s="11" t="n"/>
      <c r="D89" s="11" t="n"/>
      <c r="E89" s="11" t="n"/>
      <c r="F89" s="11" t="n"/>
      <c r="G89" s="11" t="n"/>
      <c r="H89" s="11" t="n"/>
      <c r="I89" s="27" t="n"/>
      <c r="J89" s="11" t="n"/>
      <c r="K89" s="11" t="n"/>
      <c r="L89" s="11" t="n"/>
    </row>
    <row r="90" ht="22" customHeight="1">
      <c r="B90" s="15">
        <f>IF(C90="","CSP-"&amp;TEXT(COUNTA($C$5:C90),"000"))</f>
        <v/>
      </c>
      <c r="C90" s="13" t="n"/>
      <c r="D90" s="13" t="n"/>
      <c r="E90" s="13" t="n"/>
      <c r="F90" s="13" t="n"/>
      <c r="G90" s="13" t="n"/>
      <c r="H90" s="13" t="n"/>
      <c r="I90" s="28" t="n"/>
      <c r="J90" s="13" t="n"/>
      <c r="K90" s="13" t="n"/>
      <c r="L90" s="13" t="n"/>
    </row>
    <row r="91" ht="22" customHeight="1">
      <c r="B91" s="16">
        <f>IF(C91="","CSP-"&amp;TEXT(COUNTA($C$5:C91),"000"))</f>
        <v/>
      </c>
      <c r="C91" s="11" t="n"/>
      <c r="D91" s="11" t="n"/>
      <c r="E91" s="11" t="n"/>
      <c r="F91" s="11" t="n"/>
      <c r="G91" s="11" t="n"/>
      <c r="H91" s="11" t="n"/>
      <c r="I91" s="27" t="n"/>
      <c r="J91" s="11" t="n"/>
      <c r="K91" s="11" t="n"/>
      <c r="L91" s="11" t="n"/>
    </row>
    <row r="92" ht="22" customHeight="1">
      <c r="B92" s="15">
        <f>IF(C92="","CSP-"&amp;TEXT(COUNTA($C$5:C92),"000"))</f>
        <v/>
      </c>
      <c r="C92" s="13" t="n"/>
      <c r="D92" s="13" t="n"/>
      <c r="E92" s="13" t="n"/>
      <c r="F92" s="13" t="n"/>
      <c r="G92" s="13" t="n"/>
      <c r="H92" s="13" t="n"/>
      <c r="I92" s="28" t="n"/>
      <c r="J92" s="13" t="n"/>
      <c r="K92" s="13" t="n"/>
      <c r="L92" s="13" t="n"/>
    </row>
    <row r="93" ht="22" customHeight="1">
      <c r="B93" s="16">
        <f>IF(C93="","CSP-"&amp;TEXT(COUNTA($C$5:C93),"000"))</f>
        <v/>
      </c>
      <c r="C93" s="11" t="n"/>
      <c r="D93" s="11" t="n"/>
      <c r="E93" s="11" t="n"/>
      <c r="F93" s="11" t="n"/>
      <c r="G93" s="11" t="n"/>
      <c r="H93" s="11" t="n"/>
      <c r="I93" s="27" t="n"/>
      <c r="J93" s="11" t="n"/>
      <c r="K93" s="11" t="n"/>
      <c r="L93" s="11" t="n"/>
    </row>
    <row r="94" ht="22" customHeight="1">
      <c r="B94" s="15">
        <f>IF(C94="","CSP-"&amp;TEXT(COUNTA($C$5:C94),"000"))</f>
        <v/>
      </c>
      <c r="C94" s="13" t="n"/>
      <c r="D94" s="13" t="n"/>
      <c r="E94" s="13" t="n"/>
      <c r="F94" s="13" t="n"/>
      <c r="G94" s="13" t="n"/>
      <c r="H94" s="13" t="n"/>
      <c r="I94" s="28" t="n"/>
      <c r="J94" s="13" t="n"/>
      <c r="K94" s="13" t="n"/>
      <c r="L94" s="13" t="n"/>
    </row>
    <row r="95" ht="22" customHeight="1">
      <c r="B95" s="16">
        <f>IF(C95="","CSP-"&amp;TEXT(COUNTA($C$5:C95),"000"))</f>
        <v/>
      </c>
      <c r="C95" s="11" t="n"/>
      <c r="D95" s="11" t="n"/>
      <c r="E95" s="11" t="n"/>
      <c r="F95" s="11" t="n"/>
      <c r="G95" s="11" t="n"/>
      <c r="H95" s="11" t="n"/>
      <c r="I95" s="27" t="n"/>
      <c r="J95" s="11" t="n"/>
      <c r="K95" s="11" t="n"/>
      <c r="L95" s="11" t="n"/>
    </row>
    <row r="96" ht="22" customHeight="1">
      <c r="B96" s="15">
        <f>IF(C96="","CSP-"&amp;TEXT(COUNTA($C$5:C96),"000"))</f>
        <v/>
      </c>
      <c r="C96" s="13" t="n"/>
      <c r="D96" s="13" t="n"/>
      <c r="E96" s="13" t="n"/>
      <c r="F96" s="13" t="n"/>
      <c r="G96" s="13" t="n"/>
      <c r="H96" s="13" t="n"/>
      <c r="I96" s="28" t="n"/>
      <c r="J96" s="13" t="n"/>
      <c r="K96" s="13" t="n"/>
      <c r="L96" s="13" t="n"/>
    </row>
    <row r="97" ht="22" customHeight="1">
      <c r="B97" s="16">
        <f>IF(C97="","CSP-"&amp;TEXT(COUNTA($C$5:C97),"000"))</f>
        <v/>
      </c>
      <c r="C97" s="11" t="n"/>
      <c r="D97" s="11" t="n"/>
      <c r="E97" s="11" t="n"/>
      <c r="F97" s="11" t="n"/>
      <c r="G97" s="11" t="n"/>
      <c r="H97" s="11" t="n"/>
      <c r="I97" s="27" t="n"/>
      <c r="J97" s="11" t="n"/>
      <c r="K97" s="11" t="n"/>
      <c r="L97" s="11" t="n"/>
    </row>
    <row r="98" ht="22" customHeight="1">
      <c r="B98" s="15">
        <f>IF(C98="","CSP-"&amp;TEXT(COUNTA($C$5:C98),"000"))</f>
        <v/>
      </c>
      <c r="C98" s="13" t="n"/>
      <c r="D98" s="13" t="n"/>
      <c r="E98" s="13" t="n"/>
      <c r="F98" s="13" t="n"/>
      <c r="G98" s="13" t="n"/>
      <c r="H98" s="13" t="n"/>
      <c r="I98" s="28" t="n"/>
      <c r="J98" s="13" t="n"/>
      <c r="K98" s="13" t="n"/>
      <c r="L98" s="13" t="n"/>
    </row>
    <row r="99" ht="22" customHeight="1">
      <c r="B99" s="16">
        <f>IF(C99="","CSP-"&amp;TEXT(COUNTA($C$5:C99),"000"))</f>
        <v/>
      </c>
      <c r="C99" s="11" t="n"/>
      <c r="D99" s="11" t="n"/>
      <c r="E99" s="11" t="n"/>
      <c r="F99" s="11" t="n"/>
      <c r="G99" s="11" t="n"/>
      <c r="H99" s="11" t="n"/>
      <c r="I99" s="27" t="n"/>
      <c r="J99" s="11" t="n"/>
      <c r="K99" s="11" t="n"/>
      <c r="L99" s="11" t="n"/>
    </row>
    <row r="100" ht="22" customHeight="1">
      <c r="B100" s="15">
        <f>IF(C100="","CSP-"&amp;TEXT(COUNTA($C$5:C100),"000"))</f>
        <v/>
      </c>
      <c r="C100" s="13" t="n"/>
      <c r="D100" s="13" t="n"/>
      <c r="E100" s="13" t="n"/>
      <c r="F100" s="13" t="n"/>
      <c r="G100" s="13" t="n"/>
      <c r="H100" s="13" t="n"/>
      <c r="I100" s="28" t="n"/>
      <c r="J100" s="13" t="n"/>
      <c r="K100" s="13" t="n"/>
      <c r="L100" s="13" t="n"/>
    </row>
    <row r="101" ht="22" customHeight="1">
      <c r="B101" s="16">
        <f>IF(C101="","CSP-"&amp;TEXT(COUNTA($C$5:C101),"000"))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27" t="n"/>
      <c r="J101" s="11" t="n"/>
      <c r="K101" s="11" t="n"/>
      <c r="L101" s="11" t="n"/>
    </row>
    <row r="102" ht="22" customHeight="1">
      <c r="B102" s="15">
        <f>IF(C102="","CSP-"&amp;TEXT(COUNTA($C$5:C102),"000"))</f>
        <v/>
      </c>
      <c r="C102" s="13" t="n"/>
      <c r="D102" s="13" t="n"/>
      <c r="E102" s="13" t="n"/>
      <c r="F102" s="13" t="n"/>
      <c r="G102" s="13" t="n"/>
      <c r="H102" s="13" t="n"/>
      <c r="I102" s="28" t="n"/>
      <c r="J102" s="13" t="n"/>
      <c r="K102" s="13" t="n"/>
      <c r="L102" s="13" t="n"/>
    </row>
    <row r="103" ht="22" customHeight="1">
      <c r="B103" s="16">
        <f>IF(C103="","CSP-"&amp;TEXT(COUNTA($C$5:C103),"000"))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27" t="n"/>
      <c r="J103" s="11" t="n"/>
      <c r="K103" s="11" t="n"/>
      <c r="L103" s="11" t="n"/>
    </row>
    <row r="104" ht="22" customHeight="1">
      <c r="B104" s="15">
        <f>IF(C104="","CSP-"&amp;TEXT(COUNTA($C$5:C104),"000"))</f>
        <v/>
      </c>
      <c r="C104" s="13" t="n"/>
      <c r="D104" s="13" t="n"/>
      <c r="E104" s="13" t="n"/>
      <c r="F104" s="13" t="n"/>
      <c r="G104" s="13" t="n"/>
      <c r="H104" s="13" t="n"/>
      <c r="I104" s="28" t="n"/>
      <c r="J104" s="13" t="n"/>
      <c r="K104" s="13" t="n"/>
      <c r="L104" s="13" t="n"/>
    </row>
    <row r="105" ht="22" customHeight="1">
      <c r="B105" s="16">
        <f>IF(C105="","CSP-"&amp;TEXT(COUNTA($C$5:C105),"000"))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27" t="n"/>
      <c r="J105" s="11" t="n"/>
      <c r="K105" s="11" t="n"/>
      <c r="L105" s="11" t="n"/>
    </row>
    <row r="106" ht="22" customHeight="1">
      <c r="B106" s="15">
        <f>IF(C106="","CSP-"&amp;TEXT(COUNTA($C$5:C106),"000"))</f>
        <v/>
      </c>
      <c r="C106" s="13" t="n"/>
      <c r="D106" s="13" t="n"/>
      <c r="E106" s="13" t="n"/>
      <c r="F106" s="13" t="n"/>
      <c r="G106" s="13" t="n"/>
      <c r="H106" s="13" t="n"/>
      <c r="I106" s="28" t="n"/>
      <c r="J106" s="13" t="n"/>
      <c r="K106" s="13" t="n"/>
      <c r="L106" s="13" t="n"/>
    </row>
    <row r="107" ht="22" customHeight="1">
      <c r="B107" s="16">
        <f>IF(C107="","CSP-"&amp;TEXT(COUNTA($C$5:C107),"000"))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27" t="n"/>
      <c r="J107" s="11" t="n"/>
      <c r="K107" s="11" t="n"/>
      <c r="L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Candidatures recues</t>
        </is>
      </c>
      <c r="D110" s="3" t="inlineStr">
        <is>
          <t>En attente</t>
        </is>
      </c>
      <c r="F110" s="3" t="inlineStr">
        <is>
          <t>Retenues</t>
        </is>
      </c>
    </row>
    <row r="111">
      <c r="B111" s="4">
        <f>COUNTIF(B5:B104,"&lt;&gt;")</f>
        <v/>
      </c>
      <c r="D111" s="4">
        <f>COUNTIF(K5:K104,"En attente*")+COUNTIF(K5:K104,"En cours*")</f>
        <v/>
      </c>
      <c r="F111" s="4">
        <f>COUNTIF(K5:K104,"Retenue")</f>
        <v/>
      </c>
    </row>
  </sheetData>
  <mergeCells count="3">
    <mergeCell ref="B2:L2"/>
    <mergeCell ref="B109:L109"/>
    <mergeCell ref="B3:L3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8:B107">
    <cfRule type="expression" priority="230" dxfId="3">
      <formula>AND($C8="",$C7&lt;&gt;"")</formula>
    </cfRule>
  </conditionalFormatting>
  <conditionalFormatting sqref="C8:C107">
    <cfRule type="expression" priority="231" dxfId="3">
      <formula>AND($C8="",$C7&lt;&gt;"")</formula>
    </cfRule>
  </conditionalFormatting>
  <conditionalFormatting sqref="D8:D107">
    <cfRule type="expression" priority="232" dxfId="3">
      <formula>AND($C8="",$C7&lt;&gt;"")</formula>
    </cfRule>
  </conditionalFormatting>
  <conditionalFormatting sqref="E8:E107">
    <cfRule type="expression" priority="233" dxfId="3">
      <formula>AND($C8="",$C7&lt;&gt;"")</formula>
    </cfRule>
  </conditionalFormatting>
  <conditionalFormatting sqref="F8:F107">
    <cfRule type="expression" priority="234" dxfId="3">
      <formula>AND($C8="",$C7&lt;&gt;"")</formula>
    </cfRule>
  </conditionalFormatting>
  <conditionalFormatting sqref="G8:G107">
    <cfRule type="expression" priority="235" dxfId="3">
      <formula>AND($C8="",$C7&lt;&gt;"")</formula>
    </cfRule>
  </conditionalFormatting>
  <conditionalFormatting sqref="H8:H107">
    <cfRule type="expression" priority="236" dxfId="3">
      <formula>AND($C8="",$C7&lt;&gt;"")</formula>
    </cfRule>
  </conditionalFormatting>
  <conditionalFormatting sqref="I8:I107">
    <cfRule type="expression" priority="237" dxfId="3">
      <formula>AND($C8="",$C7&lt;&gt;"")</formula>
    </cfRule>
  </conditionalFormatting>
  <conditionalFormatting sqref="J8:J107">
    <cfRule type="expression" priority="238" dxfId="3">
      <formula>AND($C8="",$C7&lt;&gt;"")</formula>
    </cfRule>
  </conditionalFormatting>
  <conditionalFormatting sqref="K8:K107">
    <cfRule type="expression" priority="239" dxfId="3">
      <formula>AND($C8="",$C7&lt;&gt;"")</formula>
    </cfRule>
  </conditionalFormatting>
  <conditionalFormatting sqref="L8:L107">
    <cfRule type="expression" priority="240" dxfId="3">
      <formula>AND($C8="",$C7&lt;&gt;"")</formula>
    </cfRule>
  </conditionalFormatting>
  <dataValidations count="4">
    <dataValidation sqref="E5:E107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F5:F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J5:J107" showDropDown="0" showInputMessage="0" showErrorMessage="0" allowBlank="1" errorTitle="Erreur" error="Valeur invalide" promptTitle="Liste" prompt="Choisir dans la liste" type="list">
      <formula1>'_Lists'!$J$2:$J$10</formula1>
    </dataValidation>
    <dataValidation sqref="K5:K107" showDropDown="0" showInputMessage="0" showErrorMessage="0" allowBlank="1" errorTitle="Erreur" error="Valeur invalide" promptTitle="Liste" prompt="Choisir dans la liste" type="list">
      <formula1>'_Lists'!$I$2:$I$10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2" customWidth="1" min="4" max="4"/>
    <col width="26" customWidth="1" min="5" max="5"/>
    <col width="18" customWidth="1" min="6" max="6"/>
    <col width="22" customWidth="1" min="7" max="7"/>
    <col width="26" customWidth="1" min="8" max="8"/>
    <col width="18" customWidth="1" min="9" max="9"/>
    <col width="18" customWidth="1" min="10" max="10"/>
    <col width="14" customWidth="1" min="11" max="11"/>
    <col width="16" customWidth="1" min="12" max="12"/>
  </cols>
  <sheetData>
    <row r="1" ht="15" customHeight="1"/>
    <row r="2" ht="32" customHeight="1">
      <c r="B2" s="1" t="inlineStr">
        <is>
          <t>AMBASSADEURS MARQUE (#141)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Nom Employe</t>
        </is>
      </c>
      <c r="D4" s="10" t="inlineStr">
        <is>
          <t>Poste</t>
        </is>
      </c>
      <c r="E4" s="10" t="inlineStr">
        <is>
          <t>Departement</t>
        </is>
      </c>
      <c r="F4" s="10" t="inlineStr">
        <is>
          <t>Anciennete (ans)</t>
        </is>
      </c>
      <c r="G4" s="10" t="inlineStr">
        <is>
          <t>Niveau Ambassadeur</t>
        </is>
      </c>
      <c r="H4" s="10" t="inlineStr">
        <is>
          <t>Reseaux Sociaux Actifs</t>
        </is>
      </c>
      <c r="I4" s="10" t="inlineStr">
        <is>
          <t>Nb Posts Publies</t>
        </is>
      </c>
      <c r="J4" s="10" t="inlineStr">
        <is>
          <t>Nb Partages ME</t>
        </is>
      </c>
      <c r="K4" s="10" t="inlineStr">
        <is>
          <t>Score Impact</t>
        </is>
      </c>
      <c r="L4" s="10" t="inlineStr">
        <is>
          <t>Date Nomination</t>
        </is>
      </c>
    </row>
    <row r="5" ht="22" customHeight="1">
      <c r="B5" s="11" t="inlineStr">
        <is>
          <t>AMB-001</t>
        </is>
      </c>
      <c r="C5" s="11" t="inlineStr">
        <is>
          <t>Fotsing</t>
        </is>
      </c>
      <c r="D5" s="11" t="inlineStr">
        <is>
          <t>Chef Reception</t>
        </is>
      </c>
      <c r="E5" s="11" t="inlineStr">
        <is>
          <t>Réception &amp; Front Office</t>
        </is>
      </c>
      <c r="F5" s="19" t="n">
        <v>7</v>
      </c>
      <c r="G5" s="11" t="inlineStr">
        <is>
          <t>Or</t>
        </is>
      </c>
      <c r="H5" s="11" t="inlineStr">
        <is>
          <t>LinkedIn, Instagram</t>
        </is>
      </c>
      <c r="I5" s="17" t="n">
        <v>24</v>
      </c>
      <c r="J5" s="17" t="n">
        <v>18</v>
      </c>
      <c r="K5" s="17" t="n"/>
      <c r="L5" s="27" t="n">
        <v>45444</v>
      </c>
    </row>
    <row r="6" ht="22" customHeight="1">
      <c r="B6" s="13" t="inlineStr">
        <is>
          <t>AMB-002</t>
        </is>
      </c>
      <c r="C6" s="13" t="inlineStr">
        <is>
          <t>Tchinda</t>
        </is>
      </c>
      <c r="D6" s="13" t="inlineStr">
        <is>
          <t>Chef Cuisine</t>
        </is>
      </c>
      <c r="E6" s="13" t="inlineStr">
        <is>
          <t>Cuisine &amp; Restauration</t>
        </is>
      </c>
      <c r="F6" s="20" t="n">
        <v>10</v>
      </c>
      <c r="G6" s="13" t="inlineStr">
        <is>
          <t>Platine</t>
        </is>
      </c>
      <c r="H6" s="13" t="inlineStr">
        <is>
          <t>LinkedIn, Facebook</t>
        </is>
      </c>
      <c r="I6" s="18" t="n">
        <v>35</v>
      </c>
      <c r="J6" s="18" t="n">
        <v>30</v>
      </c>
      <c r="K6" s="18" t="n"/>
      <c r="L6" s="28" t="n">
        <v>45184</v>
      </c>
    </row>
    <row r="7" ht="22" customHeight="1">
      <c r="B7" s="11" t="inlineStr">
        <is>
          <t>AMB-003</t>
        </is>
      </c>
      <c r="C7" s="11" t="inlineStr">
        <is>
          <t>Kamga</t>
        </is>
      </c>
      <c r="D7" s="11" t="inlineStr">
        <is>
          <t>Responsable SAV</t>
        </is>
      </c>
      <c r="E7" s="11" t="inlineStr">
        <is>
          <t>Service Client</t>
        </is>
      </c>
      <c r="F7" s="19" t="n">
        <v>4</v>
      </c>
      <c r="G7" s="11" t="inlineStr">
        <is>
          <t>Argent</t>
        </is>
      </c>
      <c r="H7" s="11" t="inlineStr">
        <is>
          <t>LinkedIn</t>
        </is>
      </c>
      <c r="I7" s="17" t="n">
        <v>12</v>
      </c>
      <c r="J7" s="17" t="n">
        <v>8</v>
      </c>
      <c r="K7" s="17" t="n"/>
      <c r="L7" s="27" t="n">
        <v>45667</v>
      </c>
    </row>
    <row r="8" ht="22" customHeight="1">
      <c r="B8" s="15">
        <f>IF(C8="","AMB-"&amp;TEXT(COUNTA($C$5:C8),"000"))</f>
        <v/>
      </c>
      <c r="C8" s="13" t="n"/>
      <c r="D8" s="13" t="n"/>
      <c r="E8" s="13" t="n"/>
      <c r="F8" s="20" t="n"/>
      <c r="G8" s="13" t="n"/>
      <c r="H8" s="13" t="n"/>
      <c r="I8" s="18" t="n"/>
      <c r="J8" s="18" t="n"/>
      <c r="K8" s="18">
        <f>IF(I8="","",I8*3+J8*5)</f>
        <v/>
      </c>
      <c r="L8" s="28" t="n"/>
    </row>
    <row r="9" ht="22" customHeight="1">
      <c r="B9" s="16">
        <f>IF(C9="","AMB-"&amp;TEXT(COUNTA($C$5:C9),"000"))</f>
        <v/>
      </c>
      <c r="C9" s="11" t="n"/>
      <c r="D9" s="11" t="n"/>
      <c r="E9" s="11" t="n"/>
      <c r="F9" s="19" t="n"/>
      <c r="G9" s="11" t="n"/>
      <c r="H9" s="11" t="n"/>
      <c r="I9" s="17" t="n"/>
      <c r="J9" s="17" t="n"/>
      <c r="K9" s="17">
        <f>IF(I9="","",I9*3+J9*5)</f>
        <v/>
      </c>
      <c r="L9" s="27" t="n"/>
    </row>
    <row r="10" ht="22" customHeight="1">
      <c r="B10" s="15">
        <f>IF(C10="","AMB-"&amp;TEXT(COUNTA($C$5:C10),"000"))</f>
        <v/>
      </c>
      <c r="C10" s="13" t="n"/>
      <c r="D10" s="13" t="n"/>
      <c r="E10" s="13" t="n"/>
      <c r="F10" s="20" t="n"/>
      <c r="G10" s="13" t="n"/>
      <c r="H10" s="13" t="n"/>
      <c r="I10" s="18" t="n"/>
      <c r="J10" s="18" t="n"/>
      <c r="K10" s="18">
        <f>IF(I10="","",I10*3+J10*5)</f>
        <v/>
      </c>
      <c r="L10" s="28" t="n"/>
    </row>
    <row r="11" ht="22" customHeight="1">
      <c r="B11" s="16">
        <f>IF(C11="","AMB-"&amp;TEXT(COUNTA($C$5:C11),"000"))</f>
        <v/>
      </c>
      <c r="C11" s="11" t="n"/>
      <c r="D11" s="11" t="n"/>
      <c r="E11" s="11" t="n"/>
      <c r="F11" s="19" t="n"/>
      <c r="G11" s="11" t="n"/>
      <c r="H11" s="11" t="n"/>
      <c r="I11" s="17" t="n"/>
      <c r="J11" s="17" t="n"/>
      <c r="K11" s="17">
        <f>IF(I11="","",I11*3+J11*5)</f>
        <v/>
      </c>
      <c r="L11" s="27" t="n"/>
    </row>
    <row r="12" ht="22" customHeight="1">
      <c r="B12" s="15">
        <f>IF(C12="","AMB-"&amp;TEXT(COUNTA($C$5:C12),"000"))</f>
        <v/>
      </c>
      <c r="C12" s="13" t="n"/>
      <c r="D12" s="13" t="n"/>
      <c r="E12" s="13" t="n"/>
      <c r="F12" s="20" t="n"/>
      <c r="G12" s="13" t="n"/>
      <c r="H12" s="13" t="n"/>
      <c r="I12" s="18" t="n"/>
      <c r="J12" s="18" t="n"/>
      <c r="K12" s="18">
        <f>IF(I12="","",I12*3+J12*5)</f>
        <v/>
      </c>
      <c r="L12" s="28" t="n"/>
    </row>
    <row r="13" ht="22" customHeight="1">
      <c r="B13" s="16">
        <f>IF(C13="","AMB-"&amp;TEXT(COUNTA($C$5:C13),"000"))</f>
        <v/>
      </c>
      <c r="C13" s="11" t="n"/>
      <c r="D13" s="11" t="n"/>
      <c r="E13" s="11" t="n"/>
      <c r="F13" s="19" t="n"/>
      <c r="G13" s="11" t="n"/>
      <c r="H13" s="11" t="n"/>
      <c r="I13" s="17" t="n"/>
      <c r="J13" s="17" t="n"/>
      <c r="K13" s="17">
        <f>IF(I13="","",I13*3+J13*5)</f>
        <v/>
      </c>
      <c r="L13" s="27" t="n"/>
    </row>
    <row r="14" ht="22" customHeight="1">
      <c r="B14" s="15">
        <f>IF(C14="","AMB-"&amp;TEXT(COUNTA($C$5:C14),"000"))</f>
        <v/>
      </c>
      <c r="C14" s="13" t="n"/>
      <c r="D14" s="13" t="n"/>
      <c r="E14" s="13" t="n"/>
      <c r="F14" s="20" t="n"/>
      <c r="G14" s="13" t="n"/>
      <c r="H14" s="13" t="n"/>
      <c r="I14" s="18" t="n"/>
      <c r="J14" s="18" t="n"/>
      <c r="K14" s="18">
        <f>IF(I14="","",I14*3+J14*5)</f>
        <v/>
      </c>
      <c r="L14" s="28" t="n"/>
    </row>
    <row r="15" ht="22" customHeight="1">
      <c r="B15" s="16">
        <f>IF(C15="","AMB-"&amp;TEXT(COUNTA($C$5:C15),"000"))</f>
        <v/>
      </c>
      <c r="C15" s="11" t="n"/>
      <c r="D15" s="11" t="n"/>
      <c r="E15" s="11" t="n"/>
      <c r="F15" s="19" t="n"/>
      <c r="G15" s="11" t="n"/>
      <c r="H15" s="11" t="n"/>
      <c r="I15" s="17" t="n"/>
      <c r="J15" s="17" t="n"/>
      <c r="K15" s="17">
        <f>IF(I15="","",I15*3+J15*5)</f>
        <v/>
      </c>
      <c r="L15" s="27" t="n"/>
    </row>
    <row r="16" ht="22" customHeight="1">
      <c r="B16" s="15">
        <f>IF(C16="","AMB-"&amp;TEXT(COUNTA($C$5:C16),"000"))</f>
        <v/>
      </c>
      <c r="C16" s="13" t="n"/>
      <c r="D16" s="13" t="n"/>
      <c r="E16" s="13" t="n"/>
      <c r="F16" s="20" t="n"/>
      <c r="G16" s="13" t="n"/>
      <c r="H16" s="13" t="n"/>
      <c r="I16" s="18" t="n"/>
      <c r="J16" s="18" t="n"/>
      <c r="K16" s="18">
        <f>IF(I16="","",I16*3+J16*5)</f>
        <v/>
      </c>
      <c r="L16" s="28" t="n"/>
    </row>
    <row r="17" ht="22" customHeight="1">
      <c r="B17" s="16">
        <f>IF(C17="","AMB-"&amp;TEXT(COUNTA($C$5:C17),"000"))</f>
        <v/>
      </c>
      <c r="C17" s="11" t="n"/>
      <c r="D17" s="11" t="n"/>
      <c r="E17" s="11" t="n"/>
      <c r="F17" s="19" t="n"/>
      <c r="G17" s="11" t="n"/>
      <c r="H17" s="11" t="n"/>
      <c r="I17" s="17" t="n"/>
      <c r="J17" s="17" t="n"/>
      <c r="K17" s="17">
        <f>IF(I17="","",I17*3+J17*5)</f>
        <v/>
      </c>
      <c r="L17" s="27" t="n"/>
    </row>
    <row r="18" ht="22" customHeight="1">
      <c r="B18" s="15">
        <f>IF(C18="","AMB-"&amp;TEXT(COUNTA($C$5:C18),"000"))</f>
        <v/>
      </c>
      <c r="C18" s="13" t="n"/>
      <c r="D18" s="13" t="n"/>
      <c r="E18" s="13" t="n"/>
      <c r="F18" s="20" t="n"/>
      <c r="G18" s="13" t="n"/>
      <c r="H18" s="13" t="n"/>
      <c r="I18" s="18" t="n"/>
      <c r="J18" s="18" t="n"/>
      <c r="K18" s="18">
        <f>IF(I18="","",I18*3+J18*5)</f>
        <v/>
      </c>
      <c r="L18" s="28" t="n"/>
    </row>
    <row r="19" ht="22" customHeight="1">
      <c r="B19" s="16">
        <f>IF(C19="","AMB-"&amp;TEXT(COUNTA($C$5:C19),"000"))</f>
        <v/>
      </c>
      <c r="C19" s="11" t="n"/>
      <c r="D19" s="11" t="n"/>
      <c r="E19" s="11" t="n"/>
      <c r="F19" s="19" t="n"/>
      <c r="G19" s="11" t="n"/>
      <c r="H19" s="11" t="n"/>
      <c r="I19" s="17" t="n"/>
      <c r="J19" s="17" t="n"/>
      <c r="K19" s="17">
        <f>IF(I19="","",I19*3+J19*5)</f>
        <v/>
      </c>
      <c r="L19" s="27" t="n"/>
    </row>
    <row r="20" ht="22" customHeight="1">
      <c r="B20" s="15">
        <f>IF(C20="","AMB-"&amp;TEXT(COUNTA($C$5:C20),"000"))</f>
        <v/>
      </c>
      <c r="C20" s="13" t="n"/>
      <c r="D20" s="13" t="n"/>
      <c r="E20" s="13" t="n"/>
      <c r="F20" s="20" t="n"/>
      <c r="G20" s="13" t="n"/>
      <c r="H20" s="13" t="n"/>
      <c r="I20" s="18" t="n"/>
      <c r="J20" s="18" t="n"/>
      <c r="K20" s="18">
        <f>IF(I20="","",I20*3+J20*5)</f>
        <v/>
      </c>
      <c r="L20" s="28" t="n"/>
    </row>
    <row r="21" ht="22" customHeight="1">
      <c r="B21" s="16">
        <f>IF(C21="","AMB-"&amp;TEXT(COUNTA($C$5:C21),"000"))</f>
        <v/>
      </c>
      <c r="C21" s="11" t="n"/>
      <c r="D21" s="11" t="n"/>
      <c r="E21" s="11" t="n"/>
      <c r="F21" s="19" t="n"/>
      <c r="G21" s="11" t="n"/>
      <c r="H21" s="11" t="n"/>
      <c r="I21" s="17" t="n"/>
      <c r="J21" s="17" t="n"/>
      <c r="K21" s="17">
        <f>IF(I21="","",I21*3+J21*5)</f>
        <v/>
      </c>
      <c r="L21" s="27" t="n"/>
    </row>
    <row r="22" ht="22" customHeight="1">
      <c r="B22" s="15">
        <f>IF(C22="","AMB-"&amp;TEXT(COUNTA($C$5:C22),"000"))</f>
        <v/>
      </c>
      <c r="C22" s="13" t="n"/>
      <c r="D22" s="13" t="n"/>
      <c r="E22" s="13" t="n"/>
      <c r="F22" s="20" t="n"/>
      <c r="G22" s="13" t="n"/>
      <c r="H22" s="13" t="n"/>
      <c r="I22" s="18" t="n"/>
      <c r="J22" s="18" t="n"/>
      <c r="K22" s="18">
        <f>IF(I22="","",I22*3+J22*5)</f>
        <v/>
      </c>
      <c r="L22" s="28" t="n"/>
    </row>
    <row r="23" ht="22" customHeight="1">
      <c r="B23" s="16">
        <f>IF(C23="","AMB-"&amp;TEXT(COUNTA($C$5:C23),"000"))</f>
        <v/>
      </c>
      <c r="C23" s="11" t="n"/>
      <c r="D23" s="11" t="n"/>
      <c r="E23" s="11" t="n"/>
      <c r="F23" s="19" t="n"/>
      <c r="G23" s="11" t="n"/>
      <c r="H23" s="11" t="n"/>
      <c r="I23" s="17" t="n"/>
      <c r="J23" s="17" t="n"/>
      <c r="K23" s="17">
        <f>IF(I23="","",I23*3+J23*5)</f>
        <v/>
      </c>
      <c r="L23" s="27" t="n"/>
    </row>
    <row r="24" ht="22" customHeight="1">
      <c r="B24" s="15">
        <f>IF(C24="","AMB-"&amp;TEXT(COUNTA($C$5:C24),"000"))</f>
        <v/>
      </c>
      <c r="C24" s="13" t="n"/>
      <c r="D24" s="13" t="n"/>
      <c r="E24" s="13" t="n"/>
      <c r="F24" s="20" t="n"/>
      <c r="G24" s="13" t="n"/>
      <c r="H24" s="13" t="n"/>
      <c r="I24" s="18" t="n"/>
      <c r="J24" s="18" t="n"/>
      <c r="K24" s="18">
        <f>IF(I24="","",I24*3+J24*5)</f>
        <v/>
      </c>
      <c r="L24" s="28" t="n"/>
    </row>
    <row r="25" ht="22" customHeight="1">
      <c r="B25" s="16">
        <f>IF(C25="","AMB-"&amp;TEXT(COUNTA($C$5:C25),"000"))</f>
        <v/>
      </c>
      <c r="C25" s="11" t="n"/>
      <c r="D25" s="11" t="n"/>
      <c r="E25" s="11" t="n"/>
      <c r="F25" s="19" t="n"/>
      <c r="G25" s="11" t="n"/>
      <c r="H25" s="11" t="n"/>
      <c r="I25" s="17" t="n"/>
      <c r="J25" s="17" t="n"/>
      <c r="K25" s="17">
        <f>IF(I25="","",I25*3+J25*5)</f>
        <v/>
      </c>
      <c r="L25" s="27" t="n"/>
    </row>
    <row r="26" ht="22" customHeight="1">
      <c r="B26" s="15">
        <f>IF(C26="","AMB-"&amp;TEXT(COUNTA($C$5:C26),"000"))</f>
        <v/>
      </c>
      <c r="C26" s="13" t="n"/>
      <c r="D26" s="13" t="n"/>
      <c r="E26" s="13" t="n"/>
      <c r="F26" s="20" t="n"/>
      <c r="G26" s="13" t="n"/>
      <c r="H26" s="13" t="n"/>
      <c r="I26" s="18" t="n"/>
      <c r="J26" s="18" t="n"/>
      <c r="K26" s="18">
        <f>IF(I26="","",I26*3+J26*5)</f>
        <v/>
      </c>
      <c r="L26" s="28" t="n"/>
    </row>
    <row r="27" ht="22" customHeight="1">
      <c r="B27" s="16">
        <f>IF(C27="","AMB-"&amp;TEXT(COUNTA($C$5:C27),"000"))</f>
        <v/>
      </c>
      <c r="C27" s="11" t="n"/>
      <c r="D27" s="11" t="n"/>
      <c r="E27" s="11" t="n"/>
      <c r="F27" s="19" t="n"/>
      <c r="G27" s="11" t="n"/>
      <c r="H27" s="11" t="n"/>
      <c r="I27" s="17" t="n"/>
      <c r="J27" s="17" t="n"/>
      <c r="K27" s="17">
        <f>IF(I27="","",I27*3+J27*5)</f>
        <v/>
      </c>
      <c r="L27" s="27" t="n"/>
    </row>
    <row r="28" ht="22" customHeight="1">
      <c r="B28" s="15">
        <f>IF(C28="","AMB-"&amp;TEXT(COUNTA($C$5:C28),"000"))</f>
        <v/>
      </c>
      <c r="C28" s="13" t="n"/>
      <c r="D28" s="13" t="n"/>
      <c r="E28" s="13" t="n"/>
      <c r="F28" s="20" t="n"/>
      <c r="G28" s="13" t="n"/>
      <c r="H28" s="13" t="n"/>
      <c r="I28" s="18" t="n"/>
      <c r="J28" s="18" t="n"/>
      <c r="K28" s="18">
        <f>IF(I28="","",I28*3+J28*5)</f>
        <v/>
      </c>
      <c r="L28" s="28" t="n"/>
    </row>
    <row r="29" ht="22" customHeight="1">
      <c r="B29" s="16">
        <f>IF(C29="","AMB-"&amp;TEXT(COUNTA($C$5:C29),"000"))</f>
        <v/>
      </c>
      <c r="C29" s="11" t="n"/>
      <c r="D29" s="11" t="n"/>
      <c r="E29" s="11" t="n"/>
      <c r="F29" s="19" t="n"/>
      <c r="G29" s="11" t="n"/>
      <c r="H29" s="11" t="n"/>
      <c r="I29" s="17" t="n"/>
      <c r="J29" s="17" t="n"/>
      <c r="K29" s="17">
        <f>IF(I29="","",I29*3+J29*5)</f>
        <v/>
      </c>
      <c r="L29" s="27" t="n"/>
    </row>
    <row r="30" ht="22" customHeight="1">
      <c r="B30" s="15">
        <f>IF(C30="","AMB-"&amp;TEXT(COUNTA($C$5:C30),"000"))</f>
        <v/>
      </c>
      <c r="C30" s="13" t="n"/>
      <c r="D30" s="13" t="n"/>
      <c r="E30" s="13" t="n"/>
      <c r="F30" s="20" t="n"/>
      <c r="G30" s="13" t="n"/>
      <c r="H30" s="13" t="n"/>
      <c r="I30" s="18" t="n"/>
      <c r="J30" s="18" t="n"/>
      <c r="K30" s="18">
        <f>IF(I30="","",I30*3+J30*5)</f>
        <v/>
      </c>
      <c r="L30" s="28" t="n"/>
    </row>
    <row r="31" ht="22" customHeight="1">
      <c r="B31" s="16">
        <f>IF(C31="","AMB-"&amp;TEXT(COUNTA($C$5:C31),"000"))</f>
        <v/>
      </c>
      <c r="C31" s="11" t="n"/>
      <c r="D31" s="11" t="n"/>
      <c r="E31" s="11" t="n"/>
      <c r="F31" s="19" t="n"/>
      <c r="G31" s="11" t="n"/>
      <c r="H31" s="11" t="n"/>
      <c r="I31" s="17" t="n"/>
      <c r="J31" s="17" t="n"/>
      <c r="K31" s="17">
        <f>IF(I31="","",I31*3+J31*5)</f>
        <v/>
      </c>
      <c r="L31" s="27" t="n"/>
    </row>
    <row r="32" ht="22" customHeight="1">
      <c r="B32" s="15">
        <f>IF(C32="","AMB-"&amp;TEXT(COUNTA($C$5:C32),"000"))</f>
        <v/>
      </c>
      <c r="C32" s="13" t="n"/>
      <c r="D32" s="13" t="n"/>
      <c r="E32" s="13" t="n"/>
      <c r="F32" s="20" t="n"/>
      <c r="G32" s="13" t="n"/>
      <c r="H32" s="13" t="n"/>
      <c r="I32" s="18" t="n"/>
      <c r="J32" s="18" t="n"/>
      <c r="K32" s="18">
        <f>IF(I32="","",I32*3+J32*5)</f>
        <v/>
      </c>
      <c r="L32" s="28" t="n"/>
    </row>
    <row r="33" ht="22" customHeight="1">
      <c r="B33" s="16">
        <f>IF(C33="","AMB-"&amp;TEXT(COUNTA($C$5:C33),"000"))</f>
        <v/>
      </c>
      <c r="C33" s="11" t="n"/>
      <c r="D33" s="11" t="n"/>
      <c r="E33" s="11" t="n"/>
      <c r="F33" s="19" t="n"/>
      <c r="G33" s="11" t="n"/>
      <c r="H33" s="11" t="n"/>
      <c r="I33" s="17" t="n"/>
      <c r="J33" s="17" t="n"/>
      <c r="K33" s="17">
        <f>IF(I33="","",I33*3+J33*5)</f>
        <v/>
      </c>
      <c r="L33" s="27" t="n"/>
    </row>
    <row r="34" ht="22" customHeight="1">
      <c r="B34" s="15">
        <f>IF(C34="","AMB-"&amp;TEXT(COUNTA($C$5:C34),"000"))</f>
        <v/>
      </c>
      <c r="C34" s="13" t="n"/>
      <c r="D34" s="13" t="n"/>
      <c r="E34" s="13" t="n"/>
      <c r="F34" s="20" t="n"/>
      <c r="G34" s="13" t="n"/>
      <c r="H34" s="13" t="n"/>
      <c r="I34" s="18" t="n"/>
      <c r="J34" s="18" t="n"/>
      <c r="K34" s="18">
        <f>IF(I34="","",I34*3+J34*5)</f>
        <v/>
      </c>
      <c r="L34" s="28" t="n"/>
    </row>
    <row r="35" ht="22" customHeight="1">
      <c r="B35" s="16">
        <f>IF(C35="","AMB-"&amp;TEXT(COUNTA($C$5:C35),"000"))</f>
        <v/>
      </c>
      <c r="C35" s="11" t="n"/>
      <c r="D35" s="11" t="n"/>
      <c r="E35" s="11" t="n"/>
      <c r="F35" s="19" t="n"/>
      <c r="G35" s="11" t="n"/>
      <c r="H35" s="11" t="n"/>
      <c r="I35" s="17" t="n"/>
      <c r="J35" s="17" t="n"/>
      <c r="K35" s="17">
        <f>IF(I35="","",I35*3+J35*5)</f>
        <v/>
      </c>
      <c r="L35" s="27" t="n"/>
    </row>
    <row r="36" ht="22" customHeight="1">
      <c r="B36" s="15">
        <f>IF(C36="","AMB-"&amp;TEXT(COUNTA($C$5:C36),"000"))</f>
        <v/>
      </c>
      <c r="C36" s="13" t="n"/>
      <c r="D36" s="13" t="n"/>
      <c r="E36" s="13" t="n"/>
      <c r="F36" s="20" t="n"/>
      <c r="G36" s="13" t="n"/>
      <c r="H36" s="13" t="n"/>
      <c r="I36" s="18" t="n"/>
      <c r="J36" s="18" t="n"/>
      <c r="K36" s="18">
        <f>IF(I36="","",I36*3+J36*5)</f>
        <v/>
      </c>
      <c r="L36" s="28" t="n"/>
    </row>
    <row r="37" ht="22" customHeight="1">
      <c r="B37" s="16">
        <f>IF(C37="","AMB-"&amp;TEXT(COUNTA($C$5:C37),"000"))</f>
        <v/>
      </c>
      <c r="C37" s="11" t="n"/>
      <c r="D37" s="11" t="n"/>
      <c r="E37" s="11" t="n"/>
      <c r="F37" s="19" t="n"/>
      <c r="G37" s="11" t="n"/>
      <c r="H37" s="11" t="n"/>
      <c r="I37" s="17" t="n"/>
      <c r="J37" s="17" t="n"/>
      <c r="K37" s="17">
        <f>IF(I37="","",I37*3+J37*5)</f>
        <v/>
      </c>
      <c r="L37" s="27" t="n"/>
    </row>
    <row r="38" ht="22" customHeight="1">
      <c r="B38" s="15">
        <f>IF(C38="","AMB-"&amp;TEXT(COUNTA($C$5:C38),"000"))</f>
        <v/>
      </c>
      <c r="C38" s="13" t="n"/>
      <c r="D38" s="13" t="n"/>
      <c r="E38" s="13" t="n"/>
      <c r="F38" s="20" t="n"/>
      <c r="G38" s="13" t="n"/>
      <c r="H38" s="13" t="n"/>
      <c r="I38" s="18" t="n"/>
      <c r="J38" s="18" t="n"/>
      <c r="K38" s="18">
        <f>IF(I38="","",I38*3+J38*5)</f>
        <v/>
      </c>
      <c r="L38" s="28" t="n"/>
    </row>
    <row r="39" ht="22" customHeight="1">
      <c r="B39" s="16">
        <f>IF(C39="","AMB-"&amp;TEXT(COUNTA($C$5:C39),"000"))</f>
        <v/>
      </c>
      <c r="C39" s="11" t="n"/>
      <c r="D39" s="11" t="n"/>
      <c r="E39" s="11" t="n"/>
      <c r="F39" s="19" t="n"/>
      <c r="G39" s="11" t="n"/>
      <c r="H39" s="11" t="n"/>
      <c r="I39" s="17" t="n"/>
      <c r="J39" s="17" t="n"/>
      <c r="K39" s="17">
        <f>IF(I39="","",I39*3+J39*5)</f>
        <v/>
      </c>
      <c r="L39" s="27" t="n"/>
    </row>
    <row r="40" ht="22" customHeight="1">
      <c r="B40" s="15">
        <f>IF(C40="","AMB-"&amp;TEXT(COUNTA($C$5:C40),"000"))</f>
        <v/>
      </c>
      <c r="C40" s="13" t="n"/>
      <c r="D40" s="13" t="n"/>
      <c r="E40" s="13" t="n"/>
      <c r="F40" s="20" t="n"/>
      <c r="G40" s="13" t="n"/>
      <c r="H40" s="13" t="n"/>
      <c r="I40" s="18" t="n"/>
      <c r="J40" s="18" t="n"/>
      <c r="K40" s="18">
        <f>IF(I40="","",I40*3+J40*5)</f>
        <v/>
      </c>
      <c r="L40" s="28" t="n"/>
    </row>
    <row r="41" ht="22" customHeight="1">
      <c r="B41" s="16">
        <f>IF(C41="","AMB-"&amp;TEXT(COUNTA($C$5:C41),"000"))</f>
        <v/>
      </c>
      <c r="C41" s="11" t="n"/>
      <c r="D41" s="11" t="n"/>
      <c r="E41" s="11" t="n"/>
      <c r="F41" s="19" t="n"/>
      <c r="G41" s="11" t="n"/>
      <c r="H41" s="11" t="n"/>
      <c r="I41" s="17" t="n"/>
      <c r="J41" s="17" t="n"/>
      <c r="K41" s="17">
        <f>IF(I41="","",I41*3+J41*5)</f>
        <v/>
      </c>
      <c r="L41" s="27" t="n"/>
    </row>
    <row r="42" ht="22" customHeight="1">
      <c r="B42" s="15">
        <f>IF(C42="","AMB-"&amp;TEXT(COUNTA($C$5:C42),"000"))</f>
        <v/>
      </c>
      <c r="C42" s="13" t="n"/>
      <c r="D42" s="13" t="n"/>
      <c r="E42" s="13" t="n"/>
      <c r="F42" s="20" t="n"/>
      <c r="G42" s="13" t="n"/>
      <c r="H42" s="13" t="n"/>
      <c r="I42" s="18" t="n"/>
      <c r="J42" s="18" t="n"/>
      <c r="K42" s="18">
        <f>IF(I42="","",I42*3+J42*5)</f>
        <v/>
      </c>
      <c r="L42" s="28" t="n"/>
    </row>
    <row r="43" ht="22" customHeight="1">
      <c r="B43" s="16">
        <f>IF(C43="","AMB-"&amp;TEXT(COUNTA($C$5:C43),"000"))</f>
        <v/>
      </c>
      <c r="C43" s="11" t="n"/>
      <c r="D43" s="11" t="n"/>
      <c r="E43" s="11" t="n"/>
      <c r="F43" s="19" t="n"/>
      <c r="G43" s="11" t="n"/>
      <c r="H43" s="11" t="n"/>
      <c r="I43" s="17" t="n"/>
      <c r="J43" s="17" t="n"/>
      <c r="K43" s="17">
        <f>IF(I43="","",I43*3+J43*5)</f>
        <v/>
      </c>
      <c r="L43" s="27" t="n"/>
    </row>
    <row r="44" ht="22" customHeight="1">
      <c r="B44" s="15">
        <f>IF(C44="","AMB-"&amp;TEXT(COUNTA($C$5:C44),"000"))</f>
        <v/>
      </c>
      <c r="C44" s="13" t="n"/>
      <c r="D44" s="13" t="n"/>
      <c r="E44" s="13" t="n"/>
      <c r="F44" s="20" t="n"/>
      <c r="G44" s="13" t="n"/>
      <c r="H44" s="13" t="n"/>
      <c r="I44" s="18" t="n"/>
      <c r="J44" s="18" t="n"/>
      <c r="K44" s="18">
        <f>IF(I44="","",I44*3+J44*5)</f>
        <v/>
      </c>
      <c r="L44" s="28" t="n"/>
    </row>
    <row r="45" ht="22" customHeight="1">
      <c r="B45" s="16">
        <f>IF(C45="","AMB-"&amp;TEXT(COUNTA($C$5:C45),"000"))</f>
        <v/>
      </c>
      <c r="C45" s="11" t="n"/>
      <c r="D45" s="11" t="n"/>
      <c r="E45" s="11" t="n"/>
      <c r="F45" s="19" t="n"/>
      <c r="G45" s="11" t="n"/>
      <c r="H45" s="11" t="n"/>
      <c r="I45" s="17" t="n"/>
      <c r="J45" s="17" t="n"/>
      <c r="K45" s="17">
        <f>IF(I45="","",I45*3+J45*5)</f>
        <v/>
      </c>
      <c r="L45" s="27" t="n"/>
    </row>
    <row r="46" ht="22" customHeight="1">
      <c r="B46" s="15">
        <f>IF(C46="","AMB-"&amp;TEXT(COUNTA($C$5:C46),"000"))</f>
        <v/>
      </c>
      <c r="C46" s="13" t="n"/>
      <c r="D46" s="13" t="n"/>
      <c r="E46" s="13" t="n"/>
      <c r="F46" s="20" t="n"/>
      <c r="G46" s="13" t="n"/>
      <c r="H46" s="13" t="n"/>
      <c r="I46" s="18" t="n"/>
      <c r="J46" s="18" t="n"/>
      <c r="K46" s="18">
        <f>IF(I46="","",I46*3+J46*5)</f>
        <v/>
      </c>
      <c r="L46" s="28" t="n"/>
    </row>
    <row r="47" ht="22" customHeight="1">
      <c r="B47" s="16">
        <f>IF(C47="","AMB-"&amp;TEXT(COUNTA($C$5:C47),"000"))</f>
        <v/>
      </c>
      <c r="C47" s="11" t="n"/>
      <c r="D47" s="11" t="n"/>
      <c r="E47" s="11" t="n"/>
      <c r="F47" s="19" t="n"/>
      <c r="G47" s="11" t="n"/>
      <c r="H47" s="11" t="n"/>
      <c r="I47" s="17" t="n"/>
      <c r="J47" s="17" t="n"/>
      <c r="K47" s="17">
        <f>IF(I47="","",I47*3+J47*5)</f>
        <v/>
      </c>
      <c r="L47" s="27" t="n"/>
    </row>
    <row r="48" ht="22" customHeight="1">
      <c r="B48" s="15">
        <f>IF(C48="","AMB-"&amp;TEXT(COUNTA($C$5:C48),"000"))</f>
        <v/>
      </c>
      <c r="C48" s="13" t="n"/>
      <c r="D48" s="13" t="n"/>
      <c r="E48" s="13" t="n"/>
      <c r="F48" s="20" t="n"/>
      <c r="G48" s="13" t="n"/>
      <c r="H48" s="13" t="n"/>
      <c r="I48" s="18" t="n"/>
      <c r="J48" s="18" t="n"/>
      <c r="K48" s="18">
        <f>IF(I48="","",I48*3+J48*5)</f>
        <v/>
      </c>
      <c r="L48" s="28" t="n"/>
    </row>
    <row r="49" ht="22" customHeight="1">
      <c r="B49" s="16">
        <f>IF(C49="","AMB-"&amp;TEXT(COUNTA($C$5:C49),"000"))</f>
        <v/>
      </c>
      <c r="C49" s="11" t="n"/>
      <c r="D49" s="11" t="n"/>
      <c r="E49" s="11" t="n"/>
      <c r="F49" s="19" t="n"/>
      <c r="G49" s="11" t="n"/>
      <c r="H49" s="11" t="n"/>
      <c r="I49" s="17" t="n"/>
      <c r="J49" s="17" t="n"/>
      <c r="K49" s="17">
        <f>IF(I49="","",I49*3+J49*5)</f>
        <v/>
      </c>
      <c r="L49" s="27" t="n"/>
    </row>
    <row r="50" ht="22" customHeight="1">
      <c r="B50" s="15">
        <f>IF(C50="","AMB-"&amp;TEXT(COUNTA($C$5:C50),"000"))</f>
        <v/>
      </c>
      <c r="C50" s="13" t="n"/>
      <c r="D50" s="13" t="n"/>
      <c r="E50" s="13" t="n"/>
      <c r="F50" s="20" t="n"/>
      <c r="G50" s="13" t="n"/>
      <c r="H50" s="13" t="n"/>
      <c r="I50" s="18" t="n"/>
      <c r="J50" s="18" t="n"/>
      <c r="K50" s="18">
        <f>IF(I50="","",I50*3+J50*5)</f>
        <v/>
      </c>
      <c r="L50" s="28" t="n"/>
    </row>
    <row r="51" ht="22" customHeight="1">
      <c r="B51" s="16">
        <f>IF(C51="","AMB-"&amp;TEXT(COUNTA($C$5:C51),"000"))</f>
        <v/>
      </c>
      <c r="C51" s="11" t="n"/>
      <c r="D51" s="11" t="n"/>
      <c r="E51" s="11" t="n"/>
      <c r="F51" s="19" t="n"/>
      <c r="G51" s="11" t="n"/>
      <c r="H51" s="11" t="n"/>
      <c r="I51" s="17" t="n"/>
      <c r="J51" s="17" t="n"/>
      <c r="K51" s="17">
        <f>IF(I51="","",I51*3+J51*5)</f>
        <v/>
      </c>
      <c r="L51" s="27" t="n"/>
    </row>
    <row r="52" ht="22" customHeight="1">
      <c r="B52" s="15">
        <f>IF(C52="","AMB-"&amp;TEXT(COUNTA($C$5:C52),"000"))</f>
        <v/>
      </c>
      <c r="C52" s="13" t="n"/>
      <c r="D52" s="13" t="n"/>
      <c r="E52" s="13" t="n"/>
      <c r="F52" s="20" t="n"/>
      <c r="G52" s="13" t="n"/>
      <c r="H52" s="13" t="n"/>
      <c r="I52" s="18" t="n"/>
      <c r="J52" s="18" t="n"/>
      <c r="K52" s="18">
        <f>IF(I52="","",I52*3+J52*5)</f>
        <v/>
      </c>
      <c r="L52" s="28" t="n"/>
    </row>
    <row r="53" ht="22" customHeight="1">
      <c r="B53" s="16">
        <f>IF(C53="","AMB-"&amp;TEXT(COUNTA($C$5:C53),"000"))</f>
        <v/>
      </c>
      <c r="C53" s="11" t="n"/>
      <c r="D53" s="11" t="n"/>
      <c r="E53" s="11" t="n"/>
      <c r="F53" s="19" t="n"/>
      <c r="G53" s="11" t="n"/>
      <c r="H53" s="11" t="n"/>
      <c r="I53" s="17" t="n"/>
      <c r="J53" s="17" t="n"/>
      <c r="K53" s="17">
        <f>IF(I53="","",I53*3+J53*5)</f>
        <v/>
      </c>
      <c r="L53" s="27" t="n"/>
    </row>
    <row r="54" ht="22" customHeight="1">
      <c r="B54" s="15">
        <f>IF(C54="","AMB-"&amp;TEXT(COUNTA($C$5:C54),"000"))</f>
        <v/>
      </c>
      <c r="C54" s="13" t="n"/>
      <c r="D54" s="13" t="n"/>
      <c r="E54" s="13" t="n"/>
      <c r="F54" s="20" t="n"/>
      <c r="G54" s="13" t="n"/>
      <c r="H54" s="13" t="n"/>
      <c r="I54" s="18" t="n"/>
      <c r="J54" s="18" t="n"/>
      <c r="K54" s="18">
        <f>IF(I54="","",I54*3+J54*5)</f>
        <v/>
      </c>
      <c r="L54" s="28" t="n"/>
    </row>
    <row r="55" ht="22" customHeight="1">
      <c r="B55" s="16">
        <f>IF(C55="","AMB-"&amp;TEXT(COUNTA($C$5:C55),"000"))</f>
        <v/>
      </c>
      <c r="C55" s="11" t="n"/>
      <c r="D55" s="11" t="n"/>
      <c r="E55" s="11" t="n"/>
      <c r="F55" s="19" t="n"/>
      <c r="G55" s="11" t="n"/>
      <c r="H55" s="11" t="n"/>
      <c r="I55" s="17" t="n"/>
      <c r="J55" s="17" t="n"/>
      <c r="K55" s="17">
        <f>IF(I55="","",I55*3+J55*5)</f>
        <v/>
      </c>
      <c r="L55" s="27" t="n"/>
    </row>
    <row r="56" ht="22" customHeight="1">
      <c r="B56" s="15">
        <f>IF(C56="","AMB-"&amp;TEXT(COUNTA($C$5:C56),"000"))</f>
        <v/>
      </c>
      <c r="C56" s="13" t="n"/>
      <c r="D56" s="13" t="n"/>
      <c r="E56" s="13" t="n"/>
      <c r="F56" s="20" t="n"/>
      <c r="G56" s="13" t="n"/>
      <c r="H56" s="13" t="n"/>
      <c r="I56" s="18" t="n"/>
      <c r="J56" s="18" t="n"/>
      <c r="K56" s="18">
        <f>IF(I56="","",I56*3+J56*5)</f>
        <v/>
      </c>
      <c r="L56" s="28" t="n"/>
    </row>
    <row r="57" ht="22" customHeight="1">
      <c r="B57" s="16">
        <f>IF(C57="","AMB-"&amp;TEXT(COUNTA($C$5:C57),"000"))</f>
        <v/>
      </c>
      <c r="C57" s="11" t="n"/>
      <c r="D57" s="11" t="n"/>
      <c r="E57" s="11" t="n"/>
      <c r="F57" s="19" t="n"/>
      <c r="G57" s="11" t="n"/>
      <c r="H57" s="11" t="n"/>
      <c r="I57" s="17" t="n"/>
      <c r="J57" s="17" t="n"/>
      <c r="K57" s="17">
        <f>IF(I57="","",I57*3+J57*5)</f>
        <v/>
      </c>
      <c r="L57" s="27" t="n"/>
    </row>
    <row r="58" ht="22" customHeight="1">
      <c r="B58" s="15">
        <f>IF(C58="","AMB-"&amp;TEXT(COUNTA($C$5:C58),"000"))</f>
        <v/>
      </c>
      <c r="C58" s="13" t="n"/>
      <c r="D58" s="13" t="n"/>
      <c r="E58" s="13" t="n"/>
      <c r="F58" s="20" t="n"/>
      <c r="G58" s="13" t="n"/>
      <c r="H58" s="13" t="n"/>
      <c r="I58" s="18" t="n"/>
      <c r="J58" s="18" t="n"/>
      <c r="K58" s="18">
        <f>IF(I58="","",I58*3+J58*5)</f>
        <v/>
      </c>
      <c r="L58" s="28" t="n"/>
    </row>
    <row r="59" ht="22" customHeight="1">
      <c r="B59" s="16">
        <f>IF(C59="","AMB-"&amp;TEXT(COUNTA($C$5:C59),"000"))</f>
        <v/>
      </c>
      <c r="C59" s="11" t="n"/>
      <c r="D59" s="11" t="n"/>
      <c r="E59" s="11" t="n"/>
      <c r="F59" s="19" t="n"/>
      <c r="G59" s="11" t="n"/>
      <c r="H59" s="11" t="n"/>
      <c r="I59" s="17" t="n"/>
      <c r="J59" s="17" t="n"/>
      <c r="K59" s="17">
        <f>IF(I59="","",I59*3+J59*5)</f>
        <v/>
      </c>
      <c r="L59" s="27" t="n"/>
    </row>
    <row r="60" ht="22" customHeight="1">
      <c r="B60" s="15">
        <f>IF(C60="","AMB-"&amp;TEXT(COUNTA($C$5:C60),"000"))</f>
        <v/>
      </c>
      <c r="C60" s="13" t="n"/>
      <c r="D60" s="13" t="n"/>
      <c r="E60" s="13" t="n"/>
      <c r="F60" s="20" t="n"/>
      <c r="G60" s="13" t="n"/>
      <c r="H60" s="13" t="n"/>
      <c r="I60" s="18" t="n"/>
      <c r="J60" s="18" t="n"/>
      <c r="K60" s="18">
        <f>IF(I60="","",I60*3+J60*5)</f>
        <v/>
      </c>
      <c r="L60" s="28" t="n"/>
    </row>
    <row r="61" ht="22" customHeight="1">
      <c r="B61" s="16">
        <f>IF(C61="","AMB-"&amp;TEXT(COUNTA($C$5:C61),"000"))</f>
        <v/>
      </c>
      <c r="C61" s="11" t="n"/>
      <c r="D61" s="11" t="n"/>
      <c r="E61" s="11" t="n"/>
      <c r="F61" s="19" t="n"/>
      <c r="G61" s="11" t="n"/>
      <c r="H61" s="11" t="n"/>
      <c r="I61" s="17" t="n"/>
      <c r="J61" s="17" t="n"/>
      <c r="K61" s="17">
        <f>IF(I61="","",I61*3+J61*5)</f>
        <v/>
      </c>
      <c r="L61" s="27" t="n"/>
    </row>
    <row r="62" ht="22" customHeight="1">
      <c r="B62" s="15">
        <f>IF(C62="","AMB-"&amp;TEXT(COUNTA($C$5:C62),"000"))</f>
        <v/>
      </c>
      <c r="C62" s="13" t="n"/>
      <c r="D62" s="13" t="n"/>
      <c r="E62" s="13" t="n"/>
      <c r="F62" s="20" t="n"/>
      <c r="G62" s="13" t="n"/>
      <c r="H62" s="13" t="n"/>
      <c r="I62" s="18" t="n"/>
      <c r="J62" s="18" t="n"/>
      <c r="K62" s="18">
        <f>IF(I62="","",I62*3+J62*5)</f>
        <v/>
      </c>
      <c r="L62" s="28" t="n"/>
    </row>
    <row r="63" ht="22" customHeight="1">
      <c r="B63" s="16">
        <f>IF(C63="","AMB-"&amp;TEXT(COUNTA($C$5:C63),"000"))</f>
        <v/>
      </c>
      <c r="C63" s="11" t="n"/>
      <c r="D63" s="11" t="n"/>
      <c r="E63" s="11" t="n"/>
      <c r="F63" s="19" t="n"/>
      <c r="G63" s="11" t="n"/>
      <c r="H63" s="11" t="n"/>
      <c r="I63" s="17" t="n"/>
      <c r="J63" s="17" t="n"/>
      <c r="K63" s="17">
        <f>IF(I63="","",I63*3+J63*5)</f>
        <v/>
      </c>
      <c r="L63" s="27" t="n"/>
    </row>
    <row r="64" ht="22" customHeight="1">
      <c r="B64" s="15">
        <f>IF(C64="","AMB-"&amp;TEXT(COUNTA($C$5:C64),"000"))</f>
        <v/>
      </c>
      <c r="C64" s="13" t="n"/>
      <c r="D64" s="13" t="n"/>
      <c r="E64" s="13" t="n"/>
      <c r="F64" s="20" t="n"/>
      <c r="G64" s="13" t="n"/>
      <c r="H64" s="13" t="n"/>
      <c r="I64" s="18" t="n"/>
      <c r="J64" s="18" t="n"/>
      <c r="K64" s="18">
        <f>IF(I64="","",I64*3+J64*5)</f>
        <v/>
      </c>
      <c r="L64" s="28" t="n"/>
    </row>
    <row r="65" ht="22" customHeight="1">
      <c r="B65" s="16">
        <f>IF(C65="","AMB-"&amp;TEXT(COUNTA($C$5:C65),"000"))</f>
        <v/>
      </c>
      <c r="C65" s="11" t="n"/>
      <c r="D65" s="11" t="n"/>
      <c r="E65" s="11" t="n"/>
      <c r="F65" s="19" t="n"/>
      <c r="G65" s="11" t="n"/>
      <c r="H65" s="11" t="n"/>
      <c r="I65" s="17" t="n"/>
      <c r="J65" s="17" t="n"/>
      <c r="K65" s="17">
        <f>IF(I65="","",I65*3+J65*5)</f>
        <v/>
      </c>
      <c r="L65" s="27" t="n"/>
    </row>
    <row r="66" ht="22" customHeight="1">
      <c r="B66" s="15">
        <f>IF(C66="","AMB-"&amp;TEXT(COUNTA($C$5:C66),"000"))</f>
        <v/>
      </c>
      <c r="C66" s="13" t="n"/>
      <c r="D66" s="13" t="n"/>
      <c r="E66" s="13" t="n"/>
      <c r="F66" s="20" t="n"/>
      <c r="G66" s="13" t="n"/>
      <c r="H66" s="13" t="n"/>
      <c r="I66" s="18" t="n"/>
      <c r="J66" s="18" t="n"/>
      <c r="K66" s="18">
        <f>IF(I66="","",I66*3+J66*5)</f>
        <v/>
      </c>
      <c r="L66" s="28" t="n"/>
    </row>
    <row r="67" ht="22" customHeight="1">
      <c r="B67" s="16">
        <f>IF(C67="","AMB-"&amp;TEXT(COUNTA($C$5:C67),"000"))</f>
        <v/>
      </c>
      <c r="C67" s="11" t="n"/>
      <c r="D67" s="11" t="n"/>
      <c r="E67" s="11" t="n"/>
      <c r="F67" s="19" t="n"/>
      <c r="G67" s="11" t="n"/>
      <c r="H67" s="11" t="n"/>
      <c r="I67" s="17" t="n"/>
      <c r="J67" s="17" t="n"/>
      <c r="K67" s="17">
        <f>IF(I67="","",I67*3+J67*5)</f>
        <v/>
      </c>
      <c r="L67" s="27" t="n"/>
    </row>
    <row r="68" ht="22" customHeight="1">
      <c r="B68" s="15">
        <f>IF(C68="","AMB-"&amp;TEXT(COUNTA($C$5:C68),"000"))</f>
        <v/>
      </c>
      <c r="C68" s="13" t="n"/>
      <c r="D68" s="13" t="n"/>
      <c r="E68" s="13" t="n"/>
      <c r="F68" s="20" t="n"/>
      <c r="G68" s="13" t="n"/>
      <c r="H68" s="13" t="n"/>
      <c r="I68" s="18" t="n"/>
      <c r="J68" s="18" t="n"/>
      <c r="K68" s="18">
        <f>IF(I68="","",I68*3+J68*5)</f>
        <v/>
      </c>
      <c r="L68" s="28" t="n"/>
    </row>
    <row r="69" ht="22" customHeight="1">
      <c r="B69" s="16">
        <f>IF(C69="","AMB-"&amp;TEXT(COUNTA($C$5:C69),"000"))</f>
        <v/>
      </c>
      <c r="C69" s="11" t="n"/>
      <c r="D69" s="11" t="n"/>
      <c r="E69" s="11" t="n"/>
      <c r="F69" s="19" t="n"/>
      <c r="G69" s="11" t="n"/>
      <c r="H69" s="11" t="n"/>
      <c r="I69" s="17" t="n"/>
      <c r="J69" s="17" t="n"/>
      <c r="K69" s="17">
        <f>IF(I69="","",I69*3+J69*5)</f>
        <v/>
      </c>
      <c r="L69" s="27" t="n"/>
    </row>
    <row r="70" ht="22" customHeight="1">
      <c r="B70" s="15">
        <f>IF(C70="","AMB-"&amp;TEXT(COUNTA($C$5:C70),"000"))</f>
        <v/>
      </c>
      <c r="C70" s="13" t="n"/>
      <c r="D70" s="13" t="n"/>
      <c r="E70" s="13" t="n"/>
      <c r="F70" s="20" t="n"/>
      <c r="G70" s="13" t="n"/>
      <c r="H70" s="13" t="n"/>
      <c r="I70" s="18" t="n"/>
      <c r="J70" s="18" t="n"/>
      <c r="K70" s="18">
        <f>IF(I70="","",I70*3+J70*5)</f>
        <v/>
      </c>
      <c r="L70" s="28" t="n"/>
    </row>
    <row r="71" ht="22" customHeight="1">
      <c r="B71" s="16">
        <f>IF(C71="","AMB-"&amp;TEXT(COUNTA($C$5:C71),"000"))</f>
        <v/>
      </c>
      <c r="C71" s="11" t="n"/>
      <c r="D71" s="11" t="n"/>
      <c r="E71" s="11" t="n"/>
      <c r="F71" s="19" t="n"/>
      <c r="G71" s="11" t="n"/>
      <c r="H71" s="11" t="n"/>
      <c r="I71" s="17" t="n"/>
      <c r="J71" s="17" t="n"/>
      <c r="K71" s="17">
        <f>IF(I71="","",I71*3+J71*5)</f>
        <v/>
      </c>
      <c r="L71" s="27" t="n"/>
    </row>
    <row r="72" ht="22" customHeight="1">
      <c r="B72" s="15">
        <f>IF(C72="","AMB-"&amp;TEXT(COUNTA($C$5:C72),"000"))</f>
        <v/>
      </c>
      <c r="C72" s="13" t="n"/>
      <c r="D72" s="13" t="n"/>
      <c r="E72" s="13" t="n"/>
      <c r="F72" s="20" t="n"/>
      <c r="G72" s="13" t="n"/>
      <c r="H72" s="13" t="n"/>
      <c r="I72" s="18" t="n"/>
      <c r="J72" s="18" t="n"/>
      <c r="K72" s="18">
        <f>IF(I72="","",I72*3+J72*5)</f>
        <v/>
      </c>
      <c r="L72" s="28" t="n"/>
    </row>
    <row r="73" ht="22" customHeight="1">
      <c r="B73" s="16">
        <f>IF(C73="","AMB-"&amp;TEXT(COUNTA($C$5:C73),"000"))</f>
        <v/>
      </c>
      <c r="C73" s="11" t="n"/>
      <c r="D73" s="11" t="n"/>
      <c r="E73" s="11" t="n"/>
      <c r="F73" s="19" t="n"/>
      <c r="G73" s="11" t="n"/>
      <c r="H73" s="11" t="n"/>
      <c r="I73" s="17" t="n"/>
      <c r="J73" s="17" t="n"/>
      <c r="K73" s="17">
        <f>IF(I73="","",I73*3+J73*5)</f>
        <v/>
      </c>
      <c r="L73" s="27" t="n"/>
    </row>
    <row r="74" ht="22" customHeight="1">
      <c r="B74" s="15">
        <f>IF(C74="","AMB-"&amp;TEXT(COUNTA($C$5:C74),"000"))</f>
        <v/>
      </c>
      <c r="C74" s="13" t="n"/>
      <c r="D74" s="13" t="n"/>
      <c r="E74" s="13" t="n"/>
      <c r="F74" s="20" t="n"/>
      <c r="G74" s="13" t="n"/>
      <c r="H74" s="13" t="n"/>
      <c r="I74" s="18" t="n"/>
      <c r="J74" s="18" t="n"/>
      <c r="K74" s="18">
        <f>IF(I74="","",I74*3+J74*5)</f>
        <v/>
      </c>
      <c r="L74" s="28" t="n"/>
    </row>
    <row r="75" ht="22" customHeight="1">
      <c r="B75" s="16">
        <f>IF(C75="","AMB-"&amp;TEXT(COUNTA($C$5:C75),"000"))</f>
        <v/>
      </c>
      <c r="C75" s="11" t="n"/>
      <c r="D75" s="11" t="n"/>
      <c r="E75" s="11" t="n"/>
      <c r="F75" s="19" t="n"/>
      <c r="G75" s="11" t="n"/>
      <c r="H75" s="11" t="n"/>
      <c r="I75" s="17" t="n"/>
      <c r="J75" s="17" t="n"/>
      <c r="K75" s="17">
        <f>IF(I75="","",I75*3+J75*5)</f>
        <v/>
      </c>
      <c r="L75" s="27" t="n"/>
    </row>
    <row r="76" ht="22" customHeight="1">
      <c r="B76" s="15">
        <f>IF(C76="","AMB-"&amp;TEXT(COUNTA($C$5:C76),"000"))</f>
        <v/>
      </c>
      <c r="C76" s="13" t="n"/>
      <c r="D76" s="13" t="n"/>
      <c r="E76" s="13" t="n"/>
      <c r="F76" s="20" t="n"/>
      <c r="G76" s="13" t="n"/>
      <c r="H76" s="13" t="n"/>
      <c r="I76" s="18" t="n"/>
      <c r="J76" s="18" t="n"/>
      <c r="K76" s="18">
        <f>IF(I76="","",I76*3+J76*5)</f>
        <v/>
      </c>
      <c r="L76" s="28" t="n"/>
    </row>
    <row r="77" ht="22" customHeight="1">
      <c r="B77" s="16">
        <f>IF(C77="","AMB-"&amp;TEXT(COUNTA($C$5:C77),"000"))</f>
        <v/>
      </c>
      <c r="C77" s="11" t="n"/>
      <c r="D77" s="11" t="n"/>
      <c r="E77" s="11" t="n"/>
      <c r="F77" s="19" t="n"/>
      <c r="G77" s="11" t="n"/>
      <c r="H77" s="11" t="n"/>
      <c r="I77" s="17" t="n"/>
      <c r="J77" s="17" t="n"/>
      <c r="K77" s="17">
        <f>IF(I77="","",I77*3+J77*5)</f>
        <v/>
      </c>
      <c r="L77" s="27" t="n"/>
    </row>
    <row r="78" ht="22" customHeight="1">
      <c r="B78" s="15">
        <f>IF(C78="","AMB-"&amp;TEXT(COUNTA($C$5:C78),"000"))</f>
        <v/>
      </c>
      <c r="C78" s="13" t="n"/>
      <c r="D78" s="13" t="n"/>
      <c r="E78" s="13" t="n"/>
      <c r="F78" s="20" t="n"/>
      <c r="G78" s="13" t="n"/>
      <c r="H78" s="13" t="n"/>
      <c r="I78" s="18" t="n"/>
      <c r="J78" s="18" t="n"/>
      <c r="K78" s="18">
        <f>IF(I78="","",I78*3+J78*5)</f>
        <v/>
      </c>
      <c r="L78" s="28" t="n"/>
    </row>
    <row r="79" ht="22" customHeight="1">
      <c r="B79" s="16">
        <f>IF(C79="","AMB-"&amp;TEXT(COUNTA($C$5:C79),"000"))</f>
        <v/>
      </c>
      <c r="C79" s="11" t="n"/>
      <c r="D79" s="11" t="n"/>
      <c r="E79" s="11" t="n"/>
      <c r="F79" s="19" t="n"/>
      <c r="G79" s="11" t="n"/>
      <c r="H79" s="11" t="n"/>
      <c r="I79" s="17" t="n"/>
      <c r="J79" s="17" t="n"/>
      <c r="K79" s="17">
        <f>IF(I79="","",I79*3+J79*5)</f>
        <v/>
      </c>
      <c r="L79" s="27" t="n"/>
    </row>
    <row r="80" ht="22" customHeight="1">
      <c r="B80" s="15">
        <f>IF(C80="","AMB-"&amp;TEXT(COUNTA($C$5:C80),"000"))</f>
        <v/>
      </c>
      <c r="C80" s="13" t="n"/>
      <c r="D80" s="13" t="n"/>
      <c r="E80" s="13" t="n"/>
      <c r="F80" s="20" t="n"/>
      <c r="G80" s="13" t="n"/>
      <c r="H80" s="13" t="n"/>
      <c r="I80" s="18" t="n"/>
      <c r="J80" s="18" t="n"/>
      <c r="K80" s="18">
        <f>IF(I80="","",I80*3+J80*5)</f>
        <v/>
      </c>
      <c r="L80" s="28" t="n"/>
    </row>
    <row r="81" ht="22" customHeight="1">
      <c r="B81" s="16">
        <f>IF(C81="","AMB-"&amp;TEXT(COUNTA($C$5:C81),"000"))</f>
        <v/>
      </c>
      <c r="C81" s="11" t="n"/>
      <c r="D81" s="11" t="n"/>
      <c r="E81" s="11" t="n"/>
      <c r="F81" s="19" t="n"/>
      <c r="G81" s="11" t="n"/>
      <c r="H81" s="11" t="n"/>
      <c r="I81" s="17" t="n"/>
      <c r="J81" s="17" t="n"/>
      <c r="K81" s="17">
        <f>IF(I81="","",I81*3+J81*5)</f>
        <v/>
      </c>
      <c r="L81" s="27" t="n"/>
    </row>
    <row r="82" ht="22" customHeight="1">
      <c r="B82" s="15">
        <f>IF(C82="","AMB-"&amp;TEXT(COUNTA($C$5:C82),"000"))</f>
        <v/>
      </c>
      <c r="C82" s="13" t="n"/>
      <c r="D82" s="13" t="n"/>
      <c r="E82" s="13" t="n"/>
      <c r="F82" s="20" t="n"/>
      <c r="G82" s="13" t="n"/>
      <c r="H82" s="13" t="n"/>
      <c r="I82" s="18" t="n"/>
      <c r="J82" s="18" t="n"/>
      <c r="K82" s="18">
        <f>IF(I82="","",I82*3+J82*5)</f>
        <v/>
      </c>
      <c r="L82" s="28" t="n"/>
    </row>
    <row r="83" ht="22" customHeight="1">
      <c r="B83" s="16">
        <f>IF(C83="","AMB-"&amp;TEXT(COUNTA($C$5:C83),"000"))</f>
        <v/>
      </c>
      <c r="C83" s="11" t="n"/>
      <c r="D83" s="11" t="n"/>
      <c r="E83" s="11" t="n"/>
      <c r="F83" s="19" t="n"/>
      <c r="G83" s="11" t="n"/>
      <c r="H83" s="11" t="n"/>
      <c r="I83" s="17" t="n"/>
      <c r="J83" s="17" t="n"/>
      <c r="K83" s="17">
        <f>IF(I83="","",I83*3+J83*5)</f>
        <v/>
      </c>
      <c r="L83" s="27" t="n"/>
    </row>
    <row r="84" ht="22" customHeight="1">
      <c r="B84" s="15">
        <f>IF(C84="","AMB-"&amp;TEXT(COUNTA($C$5:C84),"000"))</f>
        <v/>
      </c>
      <c r="C84" s="13" t="n"/>
      <c r="D84" s="13" t="n"/>
      <c r="E84" s="13" t="n"/>
      <c r="F84" s="20" t="n"/>
      <c r="G84" s="13" t="n"/>
      <c r="H84" s="13" t="n"/>
      <c r="I84" s="18" t="n"/>
      <c r="J84" s="18" t="n"/>
      <c r="K84" s="18">
        <f>IF(I84="","",I84*3+J84*5)</f>
        <v/>
      </c>
      <c r="L84" s="28" t="n"/>
    </row>
    <row r="85" ht="22" customHeight="1">
      <c r="B85" s="16">
        <f>IF(C85="","AMB-"&amp;TEXT(COUNTA($C$5:C85),"000"))</f>
        <v/>
      </c>
      <c r="C85" s="11" t="n"/>
      <c r="D85" s="11" t="n"/>
      <c r="E85" s="11" t="n"/>
      <c r="F85" s="19" t="n"/>
      <c r="G85" s="11" t="n"/>
      <c r="H85" s="11" t="n"/>
      <c r="I85" s="17" t="n"/>
      <c r="J85" s="17" t="n"/>
      <c r="K85" s="17">
        <f>IF(I85="","",I85*3+J85*5)</f>
        <v/>
      </c>
      <c r="L85" s="27" t="n"/>
    </row>
    <row r="86" ht="22" customHeight="1">
      <c r="B86" s="15">
        <f>IF(C86="","AMB-"&amp;TEXT(COUNTA($C$5:C86),"000"))</f>
        <v/>
      </c>
      <c r="C86" s="13" t="n"/>
      <c r="D86" s="13" t="n"/>
      <c r="E86" s="13" t="n"/>
      <c r="F86" s="20" t="n"/>
      <c r="G86" s="13" t="n"/>
      <c r="H86" s="13" t="n"/>
      <c r="I86" s="18" t="n"/>
      <c r="J86" s="18" t="n"/>
      <c r="K86" s="18">
        <f>IF(I86="","",I86*3+J86*5)</f>
        <v/>
      </c>
      <c r="L86" s="28" t="n"/>
    </row>
    <row r="87" ht="22" customHeight="1">
      <c r="B87" s="16">
        <f>IF(C87="","AMB-"&amp;TEXT(COUNTA($C$5:C87),"000"))</f>
        <v/>
      </c>
      <c r="C87" s="11" t="n"/>
      <c r="D87" s="11" t="n"/>
      <c r="E87" s="11" t="n"/>
      <c r="F87" s="19" t="n"/>
      <c r="G87" s="11" t="n"/>
      <c r="H87" s="11" t="n"/>
      <c r="I87" s="17" t="n"/>
      <c r="J87" s="17" t="n"/>
      <c r="K87" s="17">
        <f>IF(I87="","",I87*3+J87*5)</f>
        <v/>
      </c>
      <c r="L87" s="27" t="n"/>
    </row>
    <row r="88" ht="22" customHeight="1">
      <c r="B88" s="15">
        <f>IF(C88="","AMB-"&amp;TEXT(COUNTA($C$5:C88),"000"))</f>
        <v/>
      </c>
      <c r="C88" s="13" t="n"/>
      <c r="D88" s="13" t="n"/>
      <c r="E88" s="13" t="n"/>
      <c r="F88" s="20" t="n"/>
      <c r="G88" s="13" t="n"/>
      <c r="H88" s="13" t="n"/>
      <c r="I88" s="18" t="n"/>
      <c r="J88" s="18" t="n"/>
      <c r="K88" s="18">
        <f>IF(I88="","",I88*3+J88*5)</f>
        <v/>
      </c>
      <c r="L88" s="28" t="n"/>
    </row>
    <row r="89" ht="22" customHeight="1">
      <c r="B89" s="16">
        <f>IF(C89="","AMB-"&amp;TEXT(COUNTA($C$5:C89),"000"))</f>
        <v/>
      </c>
      <c r="C89" s="11" t="n"/>
      <c r="D89" s="11" t="n"/>
      <c r="E89" s="11" t="n"/>
      <c r="F89" s="19" t="n"/>
      <c r="G89" s="11" t="n"/>
      <c r="H89" s="11" t="n"/>
      <c r="I89" s="17" t="n"/>
      <c r="J89" s="17" t="n"/>
      <c r="K89" s="17">
        <f>IF(I89="","",I89*3+J89*5)</f>
        <v/>
      </c>
      <c r="L89" s="27" t="n"/>
    </row>
    <row r="90" ht="22" customHeight="1">
      <c r="B90" s="15">
        <f>IF(C90="","AMB-"&amp;TEXT(COUNTA($C$5:C90),"000"))</f>
        <v/>
      </c>
      <c r="C90" s="13" t="n"/>
      <c r="D90" s="13" t="n"/>
      <c r="E90" s="13" t="n"/>
      <c r="F90" s="20" t="n"/>
      <c r="G90" s="13" t="n"/>
      <c r="H90" s="13" t="n"/>
      <c r="I90" s="18" t="n"/>
      <c r="J90" s="18" t="n"/>
      <c r="K90" s="18">
        <f>IF(I90="","",I90*3+J90*5)</f>
        <v/>
      </c>
      <c r="L90" s="28" t="n"/>
    </row>
    <row r="91" ht="22" customHeight="1">
      <c r="B91" s="16">
        <f>IF(C91="","AMB-"&amp;TEXT(COUNTA($C$5:C91),"000"))</f>
        <v/>
      </c>
      <c r="C91" s="11" t="n"/>
      <c r="D91" s="11" t="n"/>
      <c r="E91" s="11" t="n"/>
      <c r="F91" s="19" t="n"/>
      <c r="G91" s="11" t="n"/>
      <c r="H91" s="11" t="n"/>
      <c r="I91" s="17" t="n"/>
      <c r="J91" s="17" t="n"/>
      <c r="K91" s="17">
        <f>IF(I91="","",I91*3+J91*5)</f>
        <v/>
      </c>
      <c r="L91" s="27" t="n"/>
    </row>
    <row r="92" ht="22" customHeight="1">
      <c r="B92" s="15">
        <f>IF(C92="","AMB-"&amp;TEXT(COUNTA($C$5:C92),"000"))</f>
        <v/>
      </c>
      <c r="C92" s="13" t="n"/>
      <c r="D92" s="13" t="n"/>
      <c r="E92" s="13" t="n"/>
      <c r="F92" s="20" t="n"/>
      <c r="G92" s="13" t="n"/>
      <c r="H92" s="13" t="n"/>
      <c r="I92" s="18" t="n"/>
      <c r="J92" s="18" t="n"/>
      <c r="K92" s="18">
        <f>IF(I92="","",I92*3+J92*5)</f>
        <v/>
      </c>
      <c r="L92" s="28" t="n"/>
    </row>
    <row r="93" ht="22" customHeight="1">
      <c r="B93" s="16">
        <f>IF(C93="","AMB-"&amp;TEXT(COUNTA($C$5:C93),"000"))</f>
        <v/>
      </c>
      <c r="C93" s="11" t="n"/>
      <c r="D93" s="11" t="n"/>
      <c r="E93" s="11" t="n"/>
      <c r="F93" s="19" t="n"/>
      <c r="G93" s="11" t="n"/>
      <c r="H93" s="11" t="n"/>
      <c r="I93" s="17" t="n"/>
      <c r="J93" s="17" t="n"/>
      <c r="K93" s="17">
        <f>IF(I93="","",I93*3+J93*5)</f>
        <v/>
      </c>
      <c r="L93" s="27" t="n"/>
    </row>
    <row r="94" ht="22" customHeight="1">
      <c r="B94" s="15">
        <f>IF(C94="","AMB-"&amp;TEXT(COUNTA($C$5:C94),"000"))</f>
        <v/>
      </c>
      <c r="C94" s="13" t="n"/>
      <c r="D94" s="13" t="n"/>
      <c r="E94" s="13" t="n"/>
      <c r="F94" s="20" t="n"/>
      <c r="G94" s="13" t="n"/>
      <c r="H94" s="13" t="n"/>
      <c r="I94" s="18" t="n"/>
      <c r="J94" s="18" t="n"/>
      <c r="K94" s="18">
        <f>IF(I94="","",I94*3+J94*5)</f>
        <v/>
      </c>
      <c r="L94" s="28" t="n"/>
    </row>
    <row r="95" ht="22" customHeight="1">
      <c r="B95" s="16">
        <f>IF(C95="","AMB-"&amp;TEXT(COUNTA($C$5:C95),"000"))</f>
        <v/>
      </c>
      <c r="C95" s="11" t="n"/>
      <c r="D95" s="11" t="n"/>
      <c r="E95" s="11" t="n"/>
      <c r="F95" s="19" t="n"/>
      <c r="G95" s="11" t="n"/>
      <c r="H95" s="11" t="n"/>
      <c r="I95" s="17" t="n"/>
      <c r="J95" s="17" t="n"/>
      <c r="K95" s="17">
        <f>IF(I95="","",I95*3+J95*5)</f>
        <v/>
      </c>
      <c r="L95" s="27" t="n"/>
    </row>
    <row r="96" ht="22" customHeight="1">
      <c r="B96" s="15">
        <f>IF(C96="","AMB-"&amp;TEXT(COUNTA($C$5:C96),"000"))</f>
        <v/>
      </c>
      <c r="C96" s="13" t="n"/>
      <c r="D96" s="13" t="n"/>
      <c r="E96" s="13" t="n"/>
      <c r="F96" s="20" t="n"/>
      <c r="G96" s="13" t="n"/>
      <c r="H96" s="13" t="n"/>
      <c r="I96" s="18" t="n"/>
      <c r="J96" s="18" t="n"/>
      <c r="K96" s="18">
        <f>IF(I96="","",I96*3+J96*5)</f>
        <v/>
      </c>
      <c r="L96" s="28" t="n"/>
    </row>
    <row r="97" ht="22" customHeight="1">
      <c r="B97" s="16">
        <f>IF(C97="","AMB-"&amp;TEXT(COUNTA($C$5:C97),"000"))</f>
        <v/>
      </c>
      <c r="C97" s="11" t="n"/>
      <c r="D97" s="11" t="n"/>
      <c r="E97" s="11" t="n"/>
      <c r="F97" s="19" t="n"/>
      <c r="G97" s="11" t="n"/>
      <c r="H97" s="11" t="n"/>
      <c r="I97" s="17" t="n"/>
      <c r="J97" s="17" t="n"/>
      <c r="K97" s="17">
        <f>IF(I97="","",I97*3+J97*5)</f>
        <v/>
      </c>
      <c r="L97" s="27" t="n"/>
    </row>
    <row r="98" ht="22" customHeight="1">
      <c r="B98" s="15">
        <f>IF(C98="","AMB-"&amp;TEXT(COUNTA($C$5:C98),"000"))</f>
        <v/>
      </c>
      <c r="C98" s="13" t="n"/>
      <c r="D98" s="13" t="n"/>
      <c r="E98" s="13" t="n"/>
      <c r="F98" s="20" t="n"/>
      <c r="G98" s="13" t="n"/>
      <c r="H98" s="13" t="n"/>
      <c r="I98" s="18" t="n"/>
      <c r="J98" s="18" t="n"/>
      <c r="K98" s="18">
        <f>IF(I98="","",I98*3+J98*5)</f>
        <v/>
      </c>
      <c r="L98" s="28" t="n"/>
    </row>
    <row r="99" ht="22" customHeight="1">
      <c r="B99" s="16">
        <f>IF(C99="","AMB-"&amp;TEXT(COUNTA($C$5:C99),"000"))</f>
        <v/>
      </c>
      <c r="C99" s="11" t="n"/>
      <c r="D99" s="11" t="n"/>
      <c r="E99" s="11" t="n"/>
      <c r="F99" s="19" t="n"/>
      <c r="G99" s="11" t="n"/>
      <c r="H99" s="11" t="n"/>
      <c r="I99" s="17" t="n"/>
      <c r="J99" s="17" t="n"/>
      <c r="K99" s="17">
        <f>IF(I99="","",I99*3+J99*5)</f>
        <v/>
      </c>
      <c r="L99" s="27" t="n"/>
    </row>
    <row r="100" ht="22" customHeight="1">
      <c r="B100" s="15">
        <f>IF(C100="","AMB-"&amp;TEXT(COUNTA($C$5:C100),"000"))</f>
        <v/>
      </c>
      <c r="C100" s="13" t="n"/>
      <c r="D100" s="13" t="n"/>
      <c r="E100" s="13" t="n"/>
      <c r="F100" s="20" t="n"/>
      <c r="G100" s="13" t="n"/>
      <c r="H100" s="13" t="n"/>
      <c r="I100" s="18" t="n"/>
      <c r="J100" s="18" t="n"/>
      <c r="K100" s="18">
        <f>IF(I100="","",I100*3+J100*5)</f>
        <v/>
      </c>
      <c r="L100" s="28" t="n"/>
    </row>
    <row r="101" ht="22" customHeight="1">
      <c r="B101" s="16">
        <f>IF(C101="","AMB-"&amp;TEXT(COUNTA($C$5:C101),"000"))</f>
        <v/>
      </c>
      <c r="C101" s="11" t="n"/>
      <c r="D101" s="11" t="n"/>
      <c r="E101" s="11" t="n"/>
      <c r="F101" s="19" t="n"/>
      <c r="G101" s="11" t="n"/>
      <c r="H101" s="11" t="n"/>
      <c r="I101" s="17" t="n"/>
      <c r="J101" s="17" t="n"/>
      <c r="K101" s="17">
        <f>IF(I101="","",I101*3+J101*5)</f>
        <v/>
      </c>
      <c r="L101" s="27" t="n"/>
    </row>
    <row r="102" ht="22" customHeight="1">
      <c r="B102" s="15">
        <f>IF(C102="","AMB-"&amp;TEXT(COUNTA($C$5:C102),"000"))</f>
        <v/>
      </c>
      <c r="C102" s="13" t="n"/>
      <c r="D102" s="13" t="n"/>
      <c r="E102" s="13" t="n"/>
      <c r="F102" s="20" t="n"/>
      <c r="G102" s="13" t="n"/>
      <c r="H102" s="13" t="n"/>
      <c r="I102" s="18" t="n"/>
      <c r="J102" s="18" t="n"/>
      <c r="K102" s="18">
        <f>IF(I102="","",I102*3+J102*5)</f>
        <v/>
      </c>
      <c r="L102" s="28" t="n"/>
    </row>
    <row r="103" ht="22" customHeight="1">
      <c r="B103" s="16">
        <f>IF(C103="","AMB-"&amp;TEXT(COUNTA($C$5:C103),"000"))</f>
        <v/>
      </c>
      <c r="C103" s="11" t="n"/>
      <c r="D103" s="11" t="n"/>
      <c r="E103" s="11" t="n"/>
      <c r="F103" s="19" t="n"/>
      <c r="G103" s="11" t="n"/>
      <c r="H103" s="11" t="n"/>
      <c r="I103" s="17" t="n"/>
      <c r="J103" s="17" t="n"/>
      <c r="K103" s="17">
        <f>IF(I103="","",I103*3+J103*5)</f>
        <v/>
      </c>
      <c r="L103" s="27" t="n"/>
    </row>
    <row r="104" ht="22" customHeight="1">
      <c r="B104" s="15">
        <f>IF(C104="","AMB-"&amp;TEXT(COUNTA($C$5:C104),"000"))</f>
        <v/>
      </c>
      <c r="C104" s="13" t="n"/>
      <c r="D104" s="13" t="n"/>
      <c r="E104" s="13" t="n"/>
      <c r="F104" s="20" t="n"/>
      <c r="G104" s="13" t="n"/>
      <c r="H104" s="13" t="n"/>
      <c r="I104" s="18" t="n"/>
      <c r="J104" s="18" t="n"/>
      <c r="K104" s="18">
        <f>IF(I104="","",I104*3+J104*5)</f>
        <v/>
      </c>
      <c r="L104" s="28" t="n"/>
    </row>
    <row r="105" ht="22" customHeight="1">
      <c r="B105" s="16">
        <f>IF(C105="","AMB-"&amp;TEXT(COUNTA($C$5:C105),"000"))</f>
        <v/>
      </c>
      <c r="C105" s="11" t="n"/>
      <c r="D105" s="11" t="n"/>
      <c r="E105" s="11" t="n"/>
      <c r="F105" s="19" t="n"/>
      <c r="G105" s="11" t="n"/>
      <c r="H105" s="11" t="n"/>
      <c r="I105" s="17" t="n"/>
      <c r="J105" s="17" t="n"/>
      <c r="K105" s="17">
        <f>IF(I105="","",I105*3+J105*5)</f>
        <v/>
      </c>
      <c r="L105" s="27" t="n"/>
    </row>
    <row r="106" ht="22" customHeight="1">
      <c r="B106" s="15">
        <f>IF(C106="","AMB-"&amp;TEXT(COUNTA($C$5:C106),"000"))</f>
        <v/>
      </c>
      <c r="C106" s="13" t="n"/>
      <c r="D106" s="13" t="n"/>
      <c r="E106" s="13" t="n"/>
      <c r="F106" s="20" t="n"/>
      <c r="G106" s="13" t="n"/>
      <c r="H106" s="13" t="n"/>
      <c r="I106" s="18" t="n"/>
      <c r="J106" s="18" t="n"/>
      <c r="K106" s="18">
        <f>IF(I106="","",I106*3+J106*5)</f>
        <v/>
      </c>
      <c r="L106" s="28" t="n"/>
    </row>
    <row r="107" ht="22" customHeight="1">
      <c r="B107" s="16">
        <f>IF(C107="","AMB-"&amp;TEXT(COUNTA($C$5:C107),"000"))</f>
        <v/>
      </c>
      <c r="C107" s="11" t="n"/>
      <c r="D107" s="11" t="n"/>
      <c r="E107" s="11" t="n"/>
      <c r="F107" s="19" t="n"/>
      <c r="G107" s="11" t="n"/>
      <c r="H107" s="11" t="n"/>
      <c r="I107" s="17" t="n"/>
      <c r="J107" s="17" t="n"/>
      <c r="K107" s="17">
        <f>IF(I107="","",I107*3+J107*5)</f>
        <v/>
      </c>
      <c r="L107" s="27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Ambassadeurs</t>
        </is>
      </c>
      <c r="D110" s="3" t="inlineStr">
        <is>
          <t>Total posts</t>
        </is>
      </c>
      <c r="F110" s="3" t="inlineStr">
        <is>
          <t>Score moyen</t>
        </is>
      </c>
    </row>
    <row r="111">
      <c r="B111" s="4">
        <f>COUNTIF(B5:B104,"&lt;&gt;")</f>
        <v/>
      </c>
      <c r="D111" s="4">
        <f>SUM(I5:I104)</f>
        <v/>
      </c>
      <c r="F111" s="4">
        <f>IFERROR(AVERAGE(K5:K104),0)</f>
        <v/>
      </c>
    </row>
  </sheetData>
  <mergeCells count="3">
    <mergeCell ref="B2:L2"/>
    <mergeCell ref="B109:L109"/>
    <mergeCell ref="B3:L3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dataValidations count="3">
    <dataValidation sqref="D5:D107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G5:G107" showDropDown="0" showInputMessage="0" showErrorMessage="0" allowBlank="1" errorTitle="Erreur" error="Valeur invalide" promptTitle="Liste" prompt="Choisir dans la liste" type="list">
      <formula1>'_Lists'!$K$2:$K$5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16" customWidth="1" min="11" max="11"/>
    <col width="22" customWidth="1" min="12" max="12"/>
    <col width="28" customWidth="1" min="13" max="13"/>
  </cols>
  <sheetData>
    <row r="1" ht="15" customHeight="1"/>
    <row r="2" ht="32" customHeight="1">
      <c r="B2" s="1" t="inlineStr">
        <is>
          <t>ENQUETE CLIMAT SOCIAL (#142)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Titre Enquete</t>
        </is>
      </c>
      <c r="D4" s="10" t="inlineStr">
        <is>
          <t>Type Enquete</t>
        </is>
      </c>
      <c r="E4" s="10" t="inlineStr">
        <is>
          <t>Periode</t>
        </is>
      </c>
      <c r="F4" s="10" t="inlineStr">
        <is>
          <t>Date Lancement</t>
        </is>
      </c>
      <c r="G4" s="10" t="inlineStr">
        <is>
          <t>Date Cloture</t>
        </is>
      </c>
      <c r="H4" s="10" t="inlineStr">
        <is>
          <t>Nb Invites</t>
        </is>
      </c>
      <c r="I4" s="10" t="inlineStr">
        <is>
          <t>Nb Reponses</t>
        </is>
      </c>
      <c r="J4" s="10" t="inlineStr">
        <is>
          <t>Taux Participation (%)</t>
        </is>
      </c>
      <c r="K4" s="10" t="inlineStr">
        <is>
          <t>Score Global / 5</t>
        </is>
      </c>
      <c r="L4" s="10" t="inlineStr">
        <is>
          <t>Statut</t>
        </is>
      </c>
      <c r="M4" s="10" t="inlineStr">
        <is>
          <t>Plan Action Suivi</t>
        </is>
      </c>
    </row>
    <row r="5" ht="22" customHeight="1">
      <c r="B5" s="11" t="inlineStr">
        <is>
          <t>ENC-001</t>
        </is>
      </c>
      <c r="C5" s="11" t="inlineStr">
        <is>
          <t>Climat social 2024</t>
        </is>
      </c>
      <c r="D5" s="11" t="inlineStr">
        <is>
          <t>Climat social</t>
        </is>
      </c>
      <c r="E5" s="11" t="inlineStr">
        <is>
          <t>Annuelle 2024</t>
        </is>
      </c>
      <c r="F5" s="27" t="n">
        <v>45566</v>
      </c>
      <c r="G5" s="27" t="n">
        <v>45596</v>
      </c>
      <c r="H5" s="17" t="n">
        <v>150</v>
      </c>
      <c r="I5" s="17" t="n">
        <v>128</v>
      </c>
      <c r="J5" s="29" t="n"/>
      <c r="K5" s="30" t="n">
        <v>3.8</v>
      </c>
      <c r="L5" s="11" t="inlineStr">
        <is>
          <t>Resultats publies</t>
        </is>
      </c>
      <c r="M5" s="11" t="inlineStr">
        <is>
          <t>Plan action Q1 2025 en cours</t>
        </is>
      </c>
    </row>
    <row r="6" ht="22" customHeight="1">
      <c r="B6" s="13" t="inlineStr">
        <is>
          <t>ENC-002</t>
        </is>
      </c>
      <c r="C6" s="13" t="inlineStr">
        <is>
          <t>Satisfaction employes Q1</t>
        </is>
      </c>
      <c r="D6" s="13" t="inlineStr">
        <is>
          <t>Satisfaction employes</t>
        </is>
      </c>
      <c r="E6" s="13" t="inlineStr">
        <is>
          <t>T1 2025</t>
        </is>
      </c>
      <c r="F6" s="28" t="n">
        <v>45717</v>
      </c>
      <c r="G6" s="28" t="n">
        <v>45731</v>
      </c>
      <c r="H6" s="18" t="n">
        <v>160</v>
      </c>
      <c r="I6" s="18" t="n">
        <v>0</v>
      </c>
      <c r="J6" s="31" t="n"/>
      <c r="K6" s="32" t="n"/>
      <c r="L6" s="13" t="inlineStr">
        <is>
          <t>En preparation</t>
        </is>
      </c>
      <c r="M6" s="13" t="inlineStr"/>
    </row>
    <row r="7" ht="22" customHeight="1">
      <c r="B7" s="11" t="inlineStr">
        <is>
          <t>ENC-003</t>
        </is>
      </c>
      <c r="C7" s="11" t="inlineStr">
        <is>
          <t>Bien-etre au travail</t>
        </is>
      </c>
      <c r="D7" s="11" t="inlineStr">
        <is>
          <t>Bien-etre au travail</t>
        </is>
      </c>
      <c r="E7" s="11" t="inlineStr">
        <is>
          <t>T2 2025</t>
        </is>
      </c>
      <c r="F7" s="27" t="n">
        <v>45778</v>
      </c>
      <c r="G7" s="27" t="n">
        <v>45797</v>
      </c>
      <c r="H7" s="17" t="n">
        <v>160</v>
      </c>
      <c r="I7" s="17" t="n">
        <v>0</v>
      </c>
      <c r="J7" s="29" t="n"/>
      <c r="K7" s="30" t="n"/>
      <c r="L7" s="11" t="inlineStr">
        <is>
          <t>En preparation</t>
        </is>
      </c>
      <c r="M7" s="11" t="inlineStr">
        <is>
          <t>Prevu pour juin 2025</t>
        </is>
      </c>
    </row>
    <row r="8" ht="22" customHeight="1">
      <c r="B8" s="15">
        <f>IF(C8="","ENC-"&amp;TEXT(COUNTA($C$5:C8),"000"))</f>
        <v/>
      </c>
      <c r="C8" s="13" t="n"/>
      <c r="D8" s="13" t="n"/>
      <c r="E8" s="13" t="n"/>
      <c r="F8" s="28" t="n"/>
      <c r="G8" s="28" t="n"/>
      <c r="H8" s="18" t="n"/>
      <c r="I8" s="18" t="n"/>
      <c r="J8" s="31">
        <f>IF(OR(H8="",I8=""),"",I8/H8)</f>
        <v/>
      </c>
      <c r="K8" s="32" t="n"/>
      <c r="L8" s="13" t="n"/>
      <c r="M8" s="13" t="n"/>
    </row>
    <row r="9" ht="22" customHeight="1">
      <c r="B9" s="16">
        <f>IF(C9="","ENC-"&amp;TEXT(COUNTA($C$5:C9),"000"))</f>
        <v/>
      </c>
      <c r="C9" s="11" t="n"/>
      <c r="D9" s="11" t="n"/>
      <c r="E9" s="11" t="n"/>
      <c r="F9" s="27" t="n"/>
      <c r="G9" s="27" t="n"/>
      <c r="H9" s="17" t="n"/>
      <c r="I9" s="17" t="n"/>
      <c r="J9" s="29">
        <f>IF(OR(H9="",I9=""),"",I9/H9)</f>
        <v/>
      </c>
      <c r="K9" s="30" t="n"/>
      <c r="L9" s="11" t="n"/>
      <c r="M9" s="11" t="n"/>
    </row>
    <row r="10" ht="22" customHeight="1">
      <c r="B10" s="15">
        <f>IF(C10="","ENC-"&amp;TEXT(COUNTA($C$5:C10),"000"))</f>
        <v/>
      </c>
      <c r="C10" s="13" t="n"/>
      <c r="D10" s="13" t="n"/>
      <c r="E10" s="13" t="n"/>
      <c r="F10" s="28" t="n"/>
      <c r="G10" s="28" t="n"/>
      <c r="H10" s="18" t="n"/>
      <c r="I10" s="18" t="n"/>
      <c r="J10" s="31">
        <f>IF(OR(H10="",I10=""),"",I10/H10)</f>
        <v/>
      </c>
      <c r="K10" s="32" t="n"/>
      <c r="L10" s="13" t="n"/>
      <c r="M10" s="13" t="n"/>
    </row>
    <row r="11" ht="22" customHeight="1">
      <c r="B11" s="16">
        <f>IF(C11="","ENC-"&amp;TEXT(COUNTA($C$5:C11),"000"))</f>
        <v/>
      </c>
      <c r="C11" s="11" t="n"/>
      <c r="D11" s="11" t="n"/>
      <c r="E11" s="11" t="n"/>
      <c r="F11" s="27" t="n"/>
      <c r="G11" s="27" t="n"/>
      <c r="H11" s="17" t="n"/>
      <c r="I11" s="17" t="n"/>
      <c r="J11" s="29">
        <f>IF(OR(H11="",I11=""),"",I11/H11)</f>
        <v/>
      </c>
      <c r="K11" s="30" t="n"/>
      <c r="L11" s="11" t="n"/>
      <c r="M11" s="11" t="n"/>
    </row>
    <row r="12" ht="22" customHeight="1">
      <c r="B12" s="15">
        <f>IF(C12="","ENC-"&amp;TEXT(COUNTA($C$5:C12),"000"))</f>
        <v/>
      </c>
      <c r="C12" s="13" t="n"/>
      <c r="D12" s="13" t="n"/>
      <c r="E12" s="13" t="n"/>
      <c r="F12" s="28" t="n"/>
      <c r="G12" s="28" t="n"/>
      <c r="H12" s="18" t="n"/>
      <c r="I12" s="18" t="n"/>
      <c r="J12" s="31">
        <f>IF(OR(H12="",I12=""),"",I12/H12)</f>
        <v/>
      </c>
      <c r="K12" s="32" t="n"/>
      <c r="L12" s="13" t="n"/>
      <c r="M12" s="13" t="n"/>
    </row>
    <row r="13" ht="22" customHeight="1">
      <c r="B13" s="16">
        <f>IF(C13="","ENC-"&amp;TEXT(COUNTA($C$5:C13),"000"))</f>
        <v/>
      </c>
      <c r="C13" s="11" t="n"/>
      <c r="D13" s="11" t="n"/>
      <c r="E13" s="11" t="n"/>
      <c r="F13" s="27" t="n"/>
      <c r="G13" s="27" t="n"/>
      <c r="H13" s="17" t="n"/>
      <c r="I13" s="17" t="n"/>
      <c r="J13" s="29">
        <f>IF(OR(H13="",I13=""),"",I13/H13)</f>
        <v/>
      </c>
      <c r="K13" s="30" t="n"/>
      <c r="L13" s="11" t="n"/>
      <c r="M13" s="11" t="n"/>
    </row>
    <row r="14" ht="22" customHeight="1">
      <c r="B14" s="15">
        <f>IF(C14="","ENC-"&amp;TEXT(COUNTA($C$5:C14),"000"))</f>
        <v/>
      </c>
      <c r="C14" s="13" t="n"/>
      <c r="D14" s="13" t="n"/>
      <c r="E14" s="13" t="n"/>
      <c r="F14" s="28" t="n"/>
      <c r="G14" s="28" t="n"/>
      <c r="H14" s="18" t="n"/>
      <c r="I14" s="18" t="n"/>
      <c r="J14" s="31">
        <f>IF(OR(H14="",I14=""),"",I14/H14)</f>
        <v/>
      </c>
      <c r="K14" s="32" t="n"/>
      <c r="L14" s="13" t="n"/>
      <c r="M14" s="13" t="n"/>
    </row>
    <row r="15" ht="22" customHeight="1">
      <c r="B15" s="16">
        <f>IF(C15="","ENC-"&amp;TEXT(COUNTA($C$5:C15),"000"))</f>
        <v/>
      </c>
      <c r="C15" s="11" t="n"/>
      <c r="D15" s="11" t="n"/>
      <c r="E15" s="11" t="n"/>
      <c r="F15" s="27" t="n"/>
      <c r="G15" s="27" t="n"/>
      <c r="H15" s="17" t="n"/>
      <c r="I15" s="17" t="n"/>
      <c r="J15" s="29">
        <f>IF(OR(H15="",I15=""),"",I15/H15)</f>
        <v/>
      </c>
      <c r="K15" s="30" t="n"/>
      <c r="L15" s="11" t="n"/>
      <c r="M15" s="11" t="n"/>
    </row>
    <row r="16" ht="22" customHeight="1">
      <c r="B16" s="15">
        <f>IF(C16="","ENC-"&amp;TEXT(COUNTA($C$5:C16),"000"))</f>
        <v/>
      </c>
      <c r="C16" s="13" t="n"/>
      <c r="D16" s="13" t="n"/>
      <c r="E16" s="13" t="n"/>
      <c r="F16" s="28" t="n"/>
      <c r="G16" s="28" t="n"/>
      <c r="H16" s="18" t="n"/>
      <c r="I16" s="18" t="n"/>
      <c r="J16" s="31">
        <f>IF(OR(H16="",I16=""),"",I16/H16)</f>
        <v/>
      </c>
      <c r="K16" s="32" t="n"/>
      <c r="L16" s="13" t="n"/>
      <c r="M16" s="13" t="n"/>
    </row>
    <row r="17" ht="22" customHeight="1">
      <c r="B17" s="16">
        <f>IF(C17="","ENC-"&amp;TEXT(COUNTA($C$5:C17),"000"))</f>
        <v/>
      </c>
      <c r="C17" s="11" t="n"/>
      <c r="D17" s="11" t="n"/>
      <c r="E17" s="11" t="n"/>
      <c r="F17" s="27" t="n"/>
      <c r="G17" s="27" t="n"/>
      <c r="H17" s="17" t="n"/>
      <c r="I17" s="17" t="n"/>
      <c r="J17" s="29">
        <f>IF(OR(H17="",I17=""),"",I17/H17)</f>
        <v/>
      </c>
      <c r="K17" s="30" t="n"/>
      <c r="L17" s="11" t="n"/>
      <c r="M17" s="11" t="n"/>
    </row>
    <row r="18" ht="22" customHeight="1">
      <c r="B18" s="15">
        <f>IF(C18="","ENC-"&amp;TEXT(COUNTA($C$5:C18),"000"))</f>
        <v/>
      </c>
      <c r="C18" s="13" t="n"/>
      <c r="D18" s="13" t="n"/>
      <c r="E18" s="13" t="n"/>
      <c r="F18" s="28" t="n"/>
      <c r="G18" s="28" t="n"/>
      <c r="H18" s="18" t="n"/>
      <c r="I18" s="18" t="n"/>
      <c r="J18" s="31">
        <f>IF(OR(H18="",I18=""),"",I18/H18)</f>
        <v/>
      </c>
      <c r="K18" s="32" t="n"/>
      <c r="L18" s="13" t="n"/>
      <c r="M18" s="13" t="n"/>
    </row>
    <row r="19" ht="22" customHeight="1">
      <c r="B19" s="16">
        <f>IF(C19="","ENC-"&amp;TEXT(COUNTA($C$5:C19),"000"))</f>
        <v/>
      </c>
      <c r="C19" s="11" t="n"/>
      <c r="D19" s="11" t="n"/>
      <c r="E19" s="11" t="n"/>
      <c r="F19" s="27" t="n"/>
      <c r="G19" s="27" t="n"/>
      <c r="H19" s="17" t="n"/>
      <c r="I19" s="17" t="n"/>
      <c r="J19" s="29">
        <f>IF(OR(H19="",I19=""),"",I19/H19)</f>
        <v/>
      </c>
      <c r="K19" s="30" t="n"/>
      <c r="L19" s="11" t="n"/>
      <c r="M19" s="11" t="n"/>
    </row>
    <row r="20" ht="22" customHeight="1">
      <c r="B20" s="15">
        <f>IF(C20="","ENC-"&amp;TEXT(COUNTA($C$5:C20),"000"))</f>
        <v/>
      </c>
      <c r="C20" s="13" t="n"/>
      <c r="D20" s="13" t="n"/>
      <c r="E20" s="13" t="n"/>
      <c r="F20" s="28" t="n"/>
      <c r="G20" s="28" t="n"/>
      <c r="H20" s="18" t="n"/>
      <c r="I20" s="18" t="n"/>
      <c r="J20" s="31">
        <f>IF(OR(H20="",I20=""),"",I20/H20)</f>
        <v/>
      </c>
      <c r="K20" s="32" t="n"/>
      <c r="L20" s="13" t="n"/>
      <c r="M20" s="13" t="n"/>
    </row>
    <row r="21" ht="22" customHeight="1">
      <c r="B21" s="16">
        <f>IF(C21="","ENC-"&amp;TEXT(COUNTA($C$5:C21),"000"))</f>
        <v/>
      </c>
      <c r="C21" s="11" t="n"/>
      <c r="D21" s="11" t="n"/>
      <c r="E21" s="11" t="n"/>
      <c r="F21" s="27" t="n"/>
      <c r="G21" s="27" t="n"/>
      <c r="H21" s="17" t="n"/>
      <c r="I21" s="17" t="n"/>
      <c r="J21" s="29">
        <f>IF(OR(H21="",I21=""),"",I21/H21)</f>
        <v/>
      </c>
      <c r="K21" s="30" t="n"/>
      <c r="L21" s="11" t="n"/>
      <c r="M21" s="11" t="n"/>
    </row>
    <row r="22" ht="22" customHeight="1">
      <c r="B22" s="15">
        <f>IF(C22="","ENC-"&amp;TEXT(COUNTA($C$5:C22),"000"))</f>
        <v/>
      </c>
      <c r="C22" s="13" t="n"/>
      <c r="D22" s="13" t="n"/>
      <c r="E22" s="13" t="n"/>
      <c r="F22" s="28" t="n"/>
      <c r="G22" s="28" t="n"/>
      <c r="H22" s="18" t="n"/>
      <c r="I22" s="18" t="n"/>
      <c r="J22" s="31">
        <f>IF(OR(H22="",I22=""),"",I22/H22)</f>
        <v/>
      </c>
      <c r="K22" s="32" t="n"/>
      <c r="L22" s="13" t="n"/>
      <c r="M22" s="13" t="n"/>
    </row>
    <row r="23" ht="22" customHeight="1">
      <c r="B23" s="16">
        <f>IF(C23="","ENC-"&amp;TEXT(COUNTA($C$5:C23),"000"))</f>
        <v/>
      </c>
      <c r="C23" s="11" t="n"/>
      <c r="D23" s="11" t="n"/>
      <c r="E23" s="11" t="n"/>
      <c r="F23" s="27" t="n"/>
      <c r="G23" s="27" t="n"/>
      <c r="H23" s="17" t="n"/>
      <c r="I23" s="17" t="n"/>
      <c r="J23" s="29">
        <f>IF(OR(H23="",I23=""),"",I23/H23)</f>
        <v/>
      </c>
      <c r="K23" s="30" t="n"/>
      <c r="L23" s="11" t="n"/>
      <c r="M23" s="11" t="n"/>
    </row>
    <row r="24" ht="22" customHeight="1">
      <c r="B24" s="15">
        <f>IF(C24="","ENC-"&amp;TEXT(COUNTA($C$5:C24),"000"))</f>
        <v/>
      </c>
      <c r="C24" s="13" t="n"/>
      <c r="D24" s="13" t="n"/>
      <c r="E24" s="13" t="n"/>
      <c r="F24" s="28" t="n"/>
      <c r="G24" s="28" t="n"/>
      <c r="H24" s="18" t="n"/>
      <c r="I24" s="18" t="n"/>
      <c r="J24" s="31">
        <f>IF(OR(H24="",I24=""),"",I24/H24)</f>
        <v/>
      </c>
      <c r="K24" s="32" t="n"/>
      <c r="L24" s="13" t="n"/>
      <c r="M24" s="13" t="n"/>
    </row>
    <row r="25" ht="22" customHeight="1">
      <c r="B25" s="16">
        <f>IF(C25="","ENC-"&amp;TEXT(COUNTA($C$5:C25),"000"))</f>
        <v/>
      </c>
      <c r="C25" s="11" t="n"/>
      <c r="D25" s="11" t="n"/>
      <c r="E25" s="11" t="n"/>
      <c r="F25" s="27" t="n"/>
      <c r="G25" s="27" t="n"/>
      <c r="H25" s="17" t="n"/>
      <c r="I25" s="17" t="n"/>
      <c r="J25" s="29">
        <f>IF(OR(H25="",I25=""),"",I25/H25)</f>
        <v/>
      </c>
      <c r="K25" s="30" t="n"/>
      <c r="L25" s="11" t="n"/>
      <c r="M25" s="11" t="n"/>
    </row>
    <row r="26" ht="22" customHeight="1">
      <c r="B26" s="15">
        <f>IF(C26="","ENC-"&amp;TEXT(COUNTA($C$5:C26),"000"))</f>
        <v/>
      </c>
      <c r="C26" s="13" t="n"/>
      <c r="D26" s="13" t="n"/>
      <c r="E26" s="13" t="n"/>
      <c r="F26" s="28" t="n"/>
      <c r="G26" s="28" t="n"/>
      <c r="H26" s="18" t="n"/>
      <c r="I26" s="18" t="n"/>
      <c r="J26" s="31">
        <f>IF(OR(H26="",I26=""),"",I26/H26)</f>
        <v/>
      </c>
      <c r="K26" s="32" t="n"/>
      <c r="L26" s="13" t="n"/>
      <c r="M26" s="13" t="n"/>
    </row>
    <row r="27" ht="22" customHeight="1">
      <c r="B27" s="16">
        <f>IF(C27="","ENC-"&amp;TEXT(COUNTA($C$5:C27),"000"))</f>
        <v/>
      </c>
      <c r="C27" s="11" t="n"/>
      <c r="D27" s="11" t="n"/>
      <c r="E27" s="11" t="n"/>
      <c r="F27" s="27" t="n"/>
      <c r="G27" s="27" t="n"/>
      <c r="H27" s="17" t="n"/>
      <c r="I27" s="17" t="n"/>
      <c r="J27" s="29">
        <f>IF(OR(H27="",I27=""),"",I27/H27)</f>
        <v/>
      </c>
      <c r="K27" s="30" t="n"/>
      <c r="L27" s="11" t="n"/>
      <c r="M27" s="11" t="n"/>
    </row>
    <row r="28" ht="22" customHeight="1">
      <c r="B28" s="15">
        <f>IF(C28="","ENC-"&amp;TEXT(COUNTA($C$5:C28),"000"))</f>
        <v/>
      </c>
      <c r="C28" s="13" t="n"/>
      <c r="D28" s="13" t="n"/>
      <c r="E28" s="13" t="n"/>
      <c r="F28" s="28" t="n"/>
      <c r="G28" s="28" t="n"/>
      <c r="H28" s="18" t="n"/>
      <c r="I28" s="18" t="n"/>
      <c r="J28" s="31">
        <f>IF(OR(H28="",I28=""),"",I28/H28)</f>
        <v/>
      </c>
      <c r="K28" s="32" t="n"/>
      <c r="L28" s="13" t="n"/>
      <c r="M28" s="13" t="n"/>
    </row>
    <row r="29" ht="22" customHeight="1">
      <c r="B29" s="16">
        <f>IF(C29="","ENC-"&amp;TEXT(COUNTA($C$5:C29),"000"))</f>
        <v/>
      </c>
      <c r="C29" s="11" t="n"/>
      <c r="D29" s="11" t="n"/>
      <c r="E29" s="11" t="n"/>
      <c r="F29" s="27" t="n"/>
      <c r="G29" s="27" t="n"/>
      <c r="H29" s="17" t="n"/>
      <c r="I29" s="17" t="n"/>
      <c r="J29" s="29">
        <f>IF(OR(H29="",I29=""),"",I29/H29)</f>
        <v/>
      </c>
      <c r="K29" s="30" t="n"/>
      <c r="L29" s="11" t="n"/>
      <c r="M29" s="11" t="n"/>
    </row>
    <row r="30" ht="22" customHeight="1">
      <c r="B30" s="15">
        <f>IF(C30="","ENC-"&amp;TEXT(COUNTA($C$5:C30),"000"))</f>
        <v/>
      </c>
      <c r="C30" s="13" t="n"/>
      <c r="D30" s="13" t="n"/>
      <c r="E30" s="13" t="n"/>
      <c r="F30" s="28" t="n"/>
      <c r="G30" s="28" t="n"/>
      <c r="H30" s="18" t="n"/>
      <c r="I30" s="18" t="n"/>
      <c r="J30" s="31">
        <f>IF(OR(H30="",I30=""),"",I30/H30)</f>
        <v/>
      </c>
      <c r="K30" s="32" t="n"/>
      <c r="L30" s="13" t="n"/>
      <c r="M30" s="13" t="n"/>
    </row>
    <row r="31" ht="22" customHeight="1">
      <c r="B31" s="16">
        <f>IF(C31="","ENC-"&amp;TEXT(COUNTA($C$5:C31),"000"))</f>
        <v/>
      </c>
      <c r="C31" s="11" t="n"/>
      <c r="D31" s="11" t="n"/>
      <c r="E31" s="11" t="n"/>
      <c r="F31" s="27" t="n"/>
      <c r="G31" s="27" t="n"/>
      <c r="H31" s="17" t="n"/>
      <c r="I31" s="17" t="n"/>
      <c r="J31" s="29">
        <f>IF(OR(H31="",I31=""),"",I31/H31)</f>
        <v/>
      </c>
      <c r="K31" s="30" t="n"/>
      <c r="L31" s="11" t="n"/>
      <c r="M31" s="11" t="n"/>
    </row>
    <row r="32" ht="22" customHeight="1">
      <c r="B32" s="15">
        <f>IF(C32="","ENC-"&amp;TEXT(COUNTA($C$5:C32),"000"))</f>
        <v/>
      </c>
      <c r="C32" s="13" t="n"/>
      <c r="D32" s="13" t="n"/>
      <c r="E32" s="13" t="n"/>
      <c r="F32" s="28" t="n"/>
      <c r="G32" s="28" t="n"/>
      <c r="H32" s="18" t="n"/>
      <c r="I32" s="18" t="n"/>
      <c r="J32" s="31">
        <f>IF(OR(H32="",I32=""),"",I32/H32)</f>
        <v/>
      </c>
      <c r="K32" s="32" t="n"/>
      <c r="L32" s="13" t="n"/>
      <c r="M32" s="13" t="n"/>
    </row>
    <row r="33" ht="22" customHeight="1">
      <c r="B33" s="16">
        <f>IF(C33="","ENC-"&amp;TEXT(COUNTA($C$5:C33),"000"))</f>
        <v/>
      </c>
      <c r="C33" s="11" t="n"/>
      <c r="D33" s="11" t="n"/>
      <c r="E33" s="11" t="n"/>
      <c r="F33" s="27" t="n"/>
      <c r="G33" s="27" t="n"/>
      <c r="H33" s="17" t="n"/>
      <c r="I33" s="17" t="n"/>
      <c r="J33" s="29">
        <f>IF(OR(H33="",I33=""),"",I33/H33)</f>
        <v/>
      </c>
      <c r="K33" s="30" t="n"/>
      <c r="L33" s="11" t="n"/>
      <c r="M33" s="11" t="n"/>
    </row>
    <row r="34" ht="22" customHeight="1">
      <c r="B34" s="15">
        <f>IF(C34="","ENC-"&amp;TEXT(COUNTA($C$5:C34),"000"))</f>
        <v/>
      </c>
      <c r="C34" s="13" t="n"/>
      <c r="D34" s="13" t="n"/>
      <c r="E34" s="13" t="n"/>
      <c r="F34" s="28" t="n"/>
      <c r="G34" s="28" t="n"/>
      <c r="H34" s="18" t="n"/>
      <c r="I34" s="18" t="n"/>
      <c r="J34" s="31">
        <f>IF(OR(H34="",I34=""),"",I34/H34)</f>
        <v/>
      </c>
      <c r="K34" s="32" t="n"/>
      <c r="L34" s="13" t="n"/>
      <c r="M34" s="13" t="n"/>
    </row>
    <row r="35" ht="22" customHeight="1">
      <c r="B35" s="16">
        <f>IF(C35="","ENC-"&amp;TEXT(COUNTA($C$5:C35),"000"))</f>
        <v/>
      </c>
      <c r="C35" s="11" t="n"/>
      <c r="D35" s="11" t="n"/>
      <c r="E35" s="11" t="n"/>
      <c r="F35" s="27" t="n"/>
      <c r="G35" s="27" t="n"/>
      <c r="H35" s="17" t="n"/>
      <c r="I35" s="17" t="n"/>
      <c r="J35" s="29">
        <f>IF(OR(H35="",I35=""),"",I35/H35)</f>
        <v/>
      </c>
      <c r="K35" s="30" t="n"/>
      <c r="L35" s="11" t="n"/>
      <c r="M35" s="11" t="n"/>
    </row>
    <row r="36" ht="22" customHeight="1">
      <c r="B36" s="15">
        <f>IF(C36="","ENC-"&amp;TEXT(COUNTA($C$5:C36),"000"))</f>
        <v/>
      </c>
      <c r="C36" s="13" t="n"/>
      <c r="D36" s="13" t="n"/>
      <c r="E36" s="13" t="n"/>
      <c r="F36" s="28" t="n"/>
      <c r="G36" s="28" t="n"/>
      <c r="H36" s="18" t="n"/>
      <c r="I36" s="18" t="n"/>
      <c r="J36" s="31">
        <f>IF(OR(H36="",I36=""),"",I36/H36)</f>
        <v/>
      </c>
      <c r="K36" s="32" t="n"/>
      <c r="L36" s="13" t="n"/>
      <c r="M36" s="13" t="n"/>
    </row>
    <row r="37" ht="22" customHeight="1">
      <c r="B37" s="16">
        <f>IF(C37="","ENC-"&amp;TEXT(COUNTA($C$5:C37),"000"))</f>
        <v/>
      </c>
      <c r="C37" s="11" t="n"/>
      <c r="D37" s="11" t="n"/>
      <c r="E37" s="11" t="n"/>
      <c r="F37" s="27" t="n"/>
      <c r="G37" s="27" t="n"/>
      <c r="H37" s="17" t="n"/>
      <c r="I37" s="17" t="n"/>
      <c r="J37" s="29">
        <f>IF(OR(H37="",I37=""),"",I37/H37)</f>
        <v/>
      </c>
      <c r="K37" s="30" t="n"/>
      <c r="L37" s="11" t="n"/>
      <c r="M37" s="11" t="n"/>
    </row>
    <row r="38" ht="22" customHeight="1">
      <c r="B38" s="15">
        <f>IF(C38="","ENC-"&amp;TEXT(COUNTA($C$5:C38),"000"))</f>
        <v/>
      </c>
      <c r="C38" s="13" t="n"/>
      <c r="D38" s="13" t="n"/>
      <c r="E38" s="13" t="n"/>
      <c r="F38" s="28" t="n"/>
      <c r="G38" s="28" t="n"/>
      <c r="H38" s="18" t="n"/>
      <c r="I38" s="18" t="n"/>
      <c r="J38" s="31">
        <f>IF(OR(H38="",I38=""),"",I38/H38)</f>
        <v/>
      </c>
      <c r="K38" s="32" t="n"/>
      <c r="L38" s="13" t="n"/>
      <c r="M38" s="13" t="n"/>
    </row>
    <row r="39" ht="22" customHeight="1">
      <c r="B39" s="16">
        <f>IF(C39="","ENC-"&amp;TEXT(COUNTA($C$5:C39),"000"))</f>
        <v/>
      </c>
      <c r="C39" s="11" t="n"/>
      <c r="D39" s="11" t="n"/>
      <c r="E39" s="11" t="n"/>
      <c r="F39" s="27" t="n"/>
      <c r="G39" s="27" t="n"/>
      <c r="H39" s="17" t="n"/>
      <c r="I39" s="17" t="n"/>
      <c r="J39" s="29">
        <f>IF(OR(H39="",I39=""),"",I39/H39)</f>
        <v/>
      </c>
      <c r="K39" s="30" t="n"/>
      <c r="L39" s="11" t="n"/>
      <c r="M39" s="11" t="n"/>
    </row>
    <row r="40" ht="22" customHeight="1">
      <c r="B40" s="15">
        <f>IF(C40="","ENC-"&amp;TEXT(COUNTA($C$5:C40),"000"))</f>
        <v/>
      </c>
      <c r="C40" s="13" t="n"/>
      <c r="D40" s="13" t="n"/>
      <c r="E40" s="13" t="n"/>
      <c r="F40" s="28" t="n"/>
      <c r="G40" s="28" t="n"/>
      <c r="H40" s="18" t="n"/>
      <c r="I40" s="18" t="n"/>
      <c r="J40" s="31">
        <f>IF(OR(H40="",I40=""),"",I40/H40)</f>
        <v/>
      </c>
      <c r="K40" s="32" t="n"/>
      <c r="L40" s="13" t="n"/>
      <c r="M40" s="13" t="n"/>
    </row>
    <row r="41" ht="22" customHeight="1">
      <c r="B41" s="16">
        <f>IF(C41="","ENC-"&amp;TEXT(COUNTA($C$5:C41),"000"))</f>
        <v/>
      </c>
      <c r="C41" s="11" t="n"/>
      <c r="D41" s="11" t="n"/>
      <c r="E41" s="11" t="n"/>
      <c r="F41" s="27" t="n"/>
      <c r="G41" s="27" t="n"/>
      <c r="H41" s="17" t="n"/>
      <c r="I41" s="17" t="n"/>
      <c r="J41" s="29">
        <f>IF(OR(H41="",I41=""),"",I41/H41)</f>
        <v/>
      </c>
      <c r="K41" s="30" t="n"/>
      <c r="L41" s="11" t="n"/>
      <c r="M41" s="11" t="n"/>
    </row>
    <row r="42" ht="22" customHeight="1">
      <c r="B42" s="15">
        <f>IF(C42="","ENC-"&amp;TEXT(COUNTA($C$5:C42),"000"))</f>
        <v/>
      </c>
      <c r="C42" s="13" t="n"/>
      <c r="D42" s="13" t="n"/>
      <c r="E42" s="13" t="n"/>
      <c r="F42" s="28" t="n"/>
      <c r="G42" s="28" t="n"/>
      <c r="H42" s="18" t="n"/>
      <c r="I42" s="18" t="n"/>
      <c r="J42" s="31">
        <f>IF(OR(H42="",I42=""),"",I42/H42)</f>
        <v/>
      </c>
      <c r="K42" s="32" t="n"/>
      <c r="L42" s="13" t="n"/>
      <c r="M42" s="13" t="n"/>
    </row>
    <row r="43" ht="22" customHeight="1">
      <c r="B43" s="16">
        <f>IF(C43="","ENC-"&amp;TEXT(COUNTA($C$5:C43),"000"))</f>
        <v/>
      </c>
      <c r="C43" s="11" t="n"/>
      <c r="D43" s="11" t="n"/>
      <c r="E43" s="11" t="n"/>
      <c r="F43" s="27" t="n"/>
      <c r="G43" s="27" t="n"/>
      <c r="H43" s="17" t="n"/>
      <c r="I43" s="17" t="n"/>
      <c r="J43" s="29">
        <f>IF(OR(H43="",I43=""),"",I43/H43)</f>
        <v/>
      </c>
      <c r="K43" s="30" t="n"/>
      <c r="L43" s="11" t="n"/>
      <c r="M43" s="11" t="n"/>
    </row>
    <row r="44" ht="22" customHeight="1">
      <c r="B44" s="15">
        <f>IF(C44="","ENC-"&amp;TEXT(COUNTA($C$5:C44),"000"))</f>
        <v/>
      </c>
      <c r="C44" s="13" t="n"/>
      <c r="D44" s="13" t="n"/>
      <c r="E44" s="13" t="n"/>
      <c r="F44" s="28" t="n"/>
      <c r="G44" s="28" t="n"/>
      <c r="H44" s="18" t="n"/>
      <c r="I44" s="18" t="n"/>
      <c r="J44" s="31">
        <f>IF(OR(H44="",I44=""),"",I44/H44)</f>
        <v/>
      </c>
      <c r="K44" s="32" t="n"/>
      <c r="L44" s="13" t="n"/>
      <c r="M44" s="13" t="n"/>
    </row>
    <row r="45" ht="22" customHeight="1">
      <c r="B45" s="16">
        <f>IF(C45="","ENC-"&amp;TEXT(COUNTA($C$5:C45),"000"))</f>
        <v/>
      </c>
      <c r="C45" s="11" t="n"/>
      <c r="D45" s="11" t="n"/>
      <c r="E45" s="11" t="n"/>
      <c r="F45" s="27" t="n"/>
      <c r="G45" s="27" t="n"/>
      <c r="H45" s="17" t="n"/>
      <c r="I45" s="17" t="n"/>
      <c r="J45" s="29">
        <f>IF(OR(H45="",I45=""),"",I45/H45)</f>
        <v/>
      </c>
      <c r="K45" s="30" t="n"/>
      <c r="L45" s="11" t="n"/>
      <c r="M45" s="11" t="n"/>
    </row>
    <row r="46" ht="22" customHeight="1">
      <c r="B46" s="15">
        <f>IF(C46="","ENC-"&amp;TEXT(COUNTA($C$5:C46),"000"))</f>
        <v/>
      </c>
      <c r="C46" s="13" t="n"/>
      <c r="D46" s="13" t="n"/>
      <c r="E46" s="13" t="n"/>
      <c r="F46" s="28" t="n"/>
      <c r="G46" s="28" t="n"/>
      <c r="H46" s="18" t="n"/>
      <c r="I46" s="18" t="n"/>
      <c r="J46" s="31">
        <f>IF(OR(H46="",I46=""),"",I46/H46)</f>
        <v/>
      </c>
      <c r="K46" s="32" t="n"/>
      <c r="L46" s="13" t="n"/>
      <c r="M46" s="13" t="n"/>
    </row>
    <row r="47" ht="22" customHeight="1">
      <c r="B47" s="16">
        <f>IF(C47="","ENC-"&amp;TEXT(COUNTA($C$5:C47),"000"))</f>
        <v/>
      </c>
      <c r="C47" s="11" t="n"/>
      <c r="D47" s="11" t="n"/>
      <c r="E47" s="11" t="n"/>
      <c r="F47" s="27" t="n"/>
      <c r="G47" s="27" t="n"/>
      <c r="H47" s="17" t="n"/>
      <c r="I47" s="17" t="n"/>
      <c r="J47" s="29">
        <f>IF(OR(H47="",I47=""),"",I47/H47)</f>
        <v/>
      </c>
      <c r="K47" s="30" t="n"/>
      <c r="L47" s="11" t="n"/>
      <c r="M47" s="11" t="n"/>
    </row>
    <row r="48" ht="22" customHeight="1">
      <c r="B48" s="15">
        <f>IF(C48="","ENC-"&amp;TEXT(COUNTA($C$5:C48),"000"))</f>
        <v/>
      </c>
      <c r="C48" s="13" t="n"/>
      <c r="D48" s="13" t="n"/>
      <c r="E48" s="13" t="n"/>
      <c r="F48" s="28" t="n"/>
      <c r="G48" s="28" t="n"/>
      <c r="H48" s="18" t="n"/>
      <c r="I48" s="18" t="n"/>
      <c r="J48" s="31">
        <f>IF(OR(H48="",I48=""),"",I48/H48)</f>
        <v/>
      </c>
      <c r="K48" s="32" t="n"/>
      <c r="L48" s="13" t="n"/>
      <c r="M48" s="13" t="n"/>
    </row>
    <row r="49" ht="22" customHeight="1">
      <c r="B49" s="16">
        <f>IF(C49="","ENC-"&amp;TEXT(COUNTA($C$5:C49),"000"))</f>
        <v/>
      </c>
      <c r="C49" s="11" t="n"/>
      <c r="D49" s="11" t="n"/>
      <c r="E49" s="11" t="n"/>
      <c r="F49" s="27" t="n"/>
      <c r="G49" s="27" t="n"/>
      <c r="H49" s="17" t="n"/>
      <c r="I49" s="17" t="n"/>
      <c r="J49" s="29">
        <f>IF(OR(H49="",I49=""),"",I49/H49)</f>
        <v/>
      </c>
      <c r="K49" s="30" t="n"/>
      <c r="L49" s="11" t="n"/>
      <c r="M49" s="11" t="n"/>
    </row>
    <row r="50" ht="22" customHeight="1">
      <c r="B50" s="15">
        <f>IF(C50="","ENC-"&amp;TEXT(COUNTA($C$5:C50),"000"))</f>
        <v/>
      </c>
      <c r="C50" s="13" t="n"/>
      <c r="D50" s="13" t="n"/>
      <c r="E50" s="13" t="n"/>
      <c r="F50" s="28" t="n"/>
      <c r="G50" s="28" t="n"/>
      <c r="H50" s="18" t="n"/>
      <c r="I50" s="18" t="n"/>
      <c r="J50" s="31">
        <f>IF(OR(H50="",I50=""),"",I50/H50)</f>
        <v/>
      </c>
      <c r="K50" s="32" t="n"/>
      <c r="L50" s="13" t="n"/>
      <c r="M50" s="13" t="n"/>
    </row>
    <row r="51" ht="22" customHeight="1">
      <c r="B51" s="16">
        <f>IF(C51="","ENC-"&amp;TEXT(COUNTA($C$5:C51),"000"))</f>
        <v/>
      </c>
      <c r="C51" s="11" t="n"/>
      <c r="D51" s="11" t="n"/>
      <c r="E51" s="11" t="n"/>
      <c r="F51" s="27" t="n"/>
      <c r="G51" s="27" t="n"/>
      <c r="H51" s="17" t="n"/>
      <c r="I51" s="17" t="n"/>
      <c r="J51" s="29">
        <f>IF(OR(H51="",I51=""),"",I51/H51)</f>
        <v/>
      </c>
      <c r="K51" s="30" t="n"/>
      <c r="L51" s="11" t="n"/>
      <c r="M51" s="11" t="n"/>
    </row>
    <row r="52" ht="22" customHeight="1">
      <c r="B52" s="15">
        <f>IF(C52="","ENC-"&amp;TEXT(COUNTA($C$5:C52),"000"))</f>
        <v/>
      </c>
      <c r="C52" s="13" t="n"/>
      <c r="D52" s="13" t="n"/>
      <c r="E52" s="13" t="n"/>
      <c r="F52" s="28" t="n"/>
      <c r="G52" s="28" t="n"/>
      <c r="H52" s="18" t="n"/>
      <c r="I52" s="18" t="n"/>
      <c r="J52" s="31">
        <f>IF(OR(H52="",I52=""),"",I52/H52)</f>
        <v/>
      </c>
      <c r="K52" s="32" t="n"/>
      <c r="L52" s="13" t="n"/>
      <c r="M52" s="13" t="n"/>
    </row>
    <row r="53" ht="22" customHeight="1">
      <c r="B53" s="16">
        <f>IF(C53="","ENC-"&amp;TEXT(COUNTA($C$5:C53),"000"))</f>
        <v/>
      </c>
      <c r="C53" s="11" t="n"/>
      <c r="D53" s="11" t="n"/>
      <c r="E53" s="11" t="n"/>
      <c r="F53" s="27" t="n"/>
      <c r="G53" s="27" t="n"/>
      <c r="H53" s="17" t="n"/>
      <c r="I53" s="17" t="n"/>
      <c r="J53" s="29">
        <f>IF(OR(H53="",I53=""),"",I53/H53)</f>
        <v/>
      </c>
      <c r="K53" s="30" t="n"/>
      <c r="L53" s="11" t="n"/>
      <c r="M53" s="11" t="n"/>
    </row>
    <row r="54" ht="22" customHeight="1">
      <c r="B54" s="15">
        <f>IF(C54="","ENC-"&amp;TEXT(COUNTA($C$5:C54),"000"))</f>
        <v/>
      </c>
      <c r="C54" s="13" t="n"/>
      <c r="D54" s="13" t="n"/>
      <c r="E54" s="13" t="n"/>
      <c r="F54" s="28" t="n"/>
      <c r="G54" s="28" t="n"/>
      <c r="H54" s="18" t="n"/>
      <c r="I54" s="18" t="n"/>
      <c r="J54" s="31">
        <f>IF(OR(H54="",I54=""),"",I54/H54)</f>
        <v/>
      </c>
      <c r="K54" s="32" t="n"/>
      <c r="L54" s="13" t="n"/>
      <c r="M54" s="13" t="n"/>
    </row>
    <row r="55" ht="22" customHeight="1">
      <c r="B55" s="16">
        <f>IF(C55="","ENC-"&amp;TEXT(COUNTA($C$5:C55),"000"))</f>
        <v/>
      </c>
      <c r="C55" s="11" t="n"/>
      <c r="D55" s="11" t="n"/>
      <c r="E55" s="11" t="n"/>
      <c r="F55" s="27" t="n"/>
      <c r="G55" s="27" t="n"/>
      <c r="H55" s="17" t="n"/>
      <c r="I55" s="17" t="n"/>
      <c r="J55" s="29">
        <f>IF(OR(H55="",I55=""),"",I55/H55)</f>
        <v/>
      </c>
      <c r="K55" s="30" t="n"/>
      <c r="L55" s="11" t="n"/>
      <c r="M55" s="11" t="n"/>
    </row>
    <row r="56" ht="22" customHeight="1">
      <c r="B56" s="15">
        <f>IF(C56="","ENC-"&amp;TEXT(COUNTA($C$5:C56),"000"))</f>
        <v/>
      </c>
      <c r="C56" s="13" t="n"/>
      <c r="D56" s="13" t="n"/>
      <c r="E56" s="13" t="n"/>
      <c r="F56" s="28" t="n"/>
      <c r="G56" s="28" t="n"/>
      <c r="H56" s="18" t="n"/>
      <c r="I56" s="18" t="n"/>
      <c r="J56" s="31">
        <f>IF(OR(H56="",I56=""),"",I56/H56)</f>
        <v/>
      </c>
      <c r="K56" s="32" t="n"/>
      <c r="L56" s="13" t="n"/>
      <c r="M56" s="13" t="n"/>
    </row>
    <row r="57" ht="22" customHeight="1">
      <c r="B57" s="16">
        <f>IF(C57="","ENC-"&amp;TEXT(COUNTA($C$5:C57),"000"))</f>
        <v/>
      </c>
      <c r="C57" s="11" t="n"/>
      <c r="D57" s="11" t="n"/>
      <c r="E57" s="11" t="n"/>
      <c r="F57" s="27" t="n"/>
      <c r="G57" s="27" t="n"/>
      <c r="H57" s="17" t="n"/>
      <c r="I57" s="17" t="n"/>
      <c r="J57" s="29">
        <f>IF(OR(H57="",I57=""),"",I57/H57)</f>
        <v/>
      </c>
      <c r="K57" s="30" t="n"/>
      <c r="L57" s="11" t="n"/>
      <c r="M57" s="11" t="n"/>
    </row>
    <row r="58" ht="22" customHeight="1">
      <c r="B58" s="15">
        <f>IF(C58="","ENC-"&amp;TEXT(COUNTA($C$5:C58),"000"))</f>
        <v/>
      </c>
      <c r="C58" s="13" t="n"/>
      <c r="D58" s="13" t="n"/>
      <c r="E58" s="13" t="n"/>
      <c r="F58" s="28" t="n"/>
      <c r="G58" s="28" t="n"/>
      <c r="H58" s="18" t="n"/>
      <c r="I58" s="18" t="n"/>
      <c r="J58" s="31">
        <f>IF(OR(H58="",I58=""),"",I58/H58)</f>
        <v/>
      </c>
      <c r="K58" s="32" t="n"/>
      <c r="L58" s="13" t="n"/>
      <c r="M58" s="13" t="n"/>
    </row>
    <row r="59" ht="22" customHeight="1">
      <c r="B59" s="16">
        <f>IF(C59="","ENC-"&amp;TEXT(COUNTA($C$5:C59),"000"))</f>
        <v/>
      </c>
      <c r="C59" s="11" t="n"/>
      <c r="D59" s="11" t="n"/>
      <c r="E59" s="11" t="n"/>
      <c r="F59" s="27" t="n"/>
      <c r="G59" s="27" t="n"/>
      <c r="H59" s="17" t="n"/>
      <c r="I59" s="17" t="n"/>
      <c r="J59" s="29">
        <f>IF(OR(H59="",I59=""),"",I59/H59)</f>
        <v/>
      </c>
      <c r="K59" s="30" t="n"/>
      <c r="L59" s="11" t="n"/>
      <c r="M59" s="11" t="n"/>
    </row>
    <row r="60" ht="22" customHeight="1">
      <c r="B60" s="15">
        <f>IF(C60="","ENC-"&amp;TEXT(COUNTA($C$5:C60),"000"))</f>
        <v/>
      </c>
      <c r="C60" s="13" t="n"/>
      <c r="D60" s="13" t="n"/>
      <c r="E60" s="13" t="n"/>
      <c r="F60" s="28" t="n"/>
      <c r="G60" s="28" t="n"/>
      <c r="H60" s="18" t="n"/>
      <c r="I60" s="18" t="n"/>
      <c r="J60" s="31">
        <f>IF(OR(H60="",I60=""),"",I60/H60)</f>
        <v/>
      </c>
      <c r="K60" s="32" t="n"/>
      <c r="L60" s="13" t="n"/>
      <c r="M60" s="13" t="n"/>
    </row>
    <row r="61" ht="22" customHeight="1">
      <c r="B61" s="16">
        <f>IF(C61="","ENC-"&amp;TEXT(COUNTA($C$5:C61),"000"))</f>
        <v/>
      </c>
      <c r="C61" s="11" t="n"/>
      <c r="D61" s="11" t="n"/>
      <c r="E61" s="11" t="n"/>
      <c r="F61" s="27" t="n"/>
      <c r="G61" s="27" t="n"/>
      <c r="H61" s="17" t="n"/>
      <c r="I61" s="17" t="n"/>
      <c r="J61" s="29">
        <f>IF(OR(H61="",I61=""),"",I61/H61)</f>
        <v/>
      </c>
      <c r="K61" s="30" t="n"/>
      <c r="L61" s="11" t="n"/>
      <c r="M61" s="11" t="n"/>
    </row>
    <row r="62" ht="22" customHeight="1">
      <c r="B62" s="15">
        <f>IF(C62="","ENC-"&amp;TEXT(COUNTA($C$5:C62),"000"))</f>
        <v/>
      </c>
      <c r="C62" s="13" t="n"/>
      <c r="D62" s="13" t="n"/>
      <c r="E62" s="13" t="n"/>
      <c r="F62" s="28" t="n"/>
      <c r="G62" s="28" t="n"/>
      <c r="H62" s="18" t="n"/>
      <c r="I62" s="18" t="n"/>
      <c r="J62" s="31">
        <f>IF(OR(H62="",I62=""),"",I62/H62)</f>
        <v/>
      </c>
      <c r="K62" s="32" t="n"/>
      <c r="L62" s="13" t="n"/>
      <c r="M62" s="13" t="n"/>
    </row>
    <row r="63" ht="22" customHeight="1">
      <c r="B63" s="16">
        <f>IF(C63="","ENC-"&amp;TEXT(COUNTA($C$5:C63),"000"))</f>
        <v/>
      </c>
      <c r="C63" s="11" t="n"/>
      <c r="D63" s="11" t="n"/>
      <c r="E63" s="11" t="n"/>
      <c r="F63" s="27" t="n"/>
      <c r="G63" s="27" t="n"/>
      <c r="H63" s="17" t="n"/>
      <c r="I63" s="17" t="n"/>
      <c r="J63" s="29">
        <f>IF(OR(H63="",I63=""),"",I63/H63)</f>
        <v/>
      </c>
      <c r="K63" s="30" t="n"/>
      <c r="L63" s="11" t="n"/>
      <c r="M63" s="11" t="n"/>
    </row>
    <row r="64" ht="22" customHeight="1">
      <c r="B64" s="15">
        <f>IF(C64="","ENC-"&amp;TEXT(COUNTA($C$5:C64),"000"))</f>
        <v/>
      </c>
      <c r="C64" s="13" t="n"/>
      <c r="D64" s="13" t="n"/>
      <c r="E64" s="13" t="n"/>
      <c r="F64" s="28" t="n"/>
      <c r="G64" s="28" t="n"/>
      <c r="H64" s="18" t="n"/>
      <c r="I64" s="18" t="n"/>
      <c r="J64" s="31">
        <f>IF(OR(H64="",I64=""),"",I64/H64)</f>
        <v/>
      </c>
      <c r="K64" s="32" t="n"/>
      <c r="L64" s="13" t="n"/>
      <c r="M64" s="13" t="n"/>
    </row>
    <row r="65" ht="22" customHeight="1">
      <c r="B65" s="16">
        <f>IF(C65="","ENC-"&amp;TEXT(COUNTA($C$5:C65),"000"))</f>
        <v/>
      </c>
      <c r="C65" s="11" t="n"/>
      <c r="D65" s="11" t="n"/>
      <c r="E65" s="11" t="n"/>
      <c r="F65" s="27" t="n"/>
      <c r="G65" s="27" t="n"/>
      <c r="H65" s="17" t="n"/>
      <c r="I65" s="17" t="n"/>
      <c r="J65" s="29">
        <f>IF(OR(H65="",I65=""),"",I65/H65)</f>
        <v/>
      </c>
      <c r="K65" s="30" t="n"/>
      <c r="L65" s="11" t="n"/>
      <c r="M65" s="11" t="n"/>
    </row>
    <row r="66" ht="22" customHeight="1">
      <c r="B66" s="15">
        <f>IF(C66="","ENC-"&amp;TEXT(COUNTA($C$5:C66),"000"))</f>
        <v/>
      </c>
      <c r="C66" s="13" t="n"/>
      <c r="D66" s="13" t="n"/>
      <c r="E66" s="13" t="n"/>
      <c r="F66" s="28" t="n"/>
      <c r="G66" s="28" t="n"/>
      <c r="H66" s="18" t="n"/>
      <c r="I66" s="18" t="n"/>
      <c r="J66" s="31">
        <f>IF(OR(H66="",I66=""),"",I66/H66)</f>
        <v/>
      </c>
      <c r="K66" s="32" t="n"/>
      <c r="L66" s="13" t="n"/>
      <c r="M66" s="13" t="n"/>
    </row>
    <row r="67" ht="22" customHeight="1">
      <c r="B67" s="16">
        <f>IF(C67="","ENC-"&amp;TEXT(COUNTA($C$5:C67),"000"))</f>
        <v/>
      </c>
      <c r="C67" s="11" t="n"/>
      <c r="D67" s="11" t="n"/>
      <c r="E67" s="11" t="n"/>
      <c r="F67" s="27" t="n"/>
      <c r="G67" s="27" t="n"/>
      <c r="H67" s="17" t="n"/>
      <c r="I67" s="17" t="n"/>
      <c r="J67" s="29">
        <f>IF(OR(H67="",I67=""),"",I67/H67)</f>
        <v/>
      </c>
      <c r="K67" s="30" t="n"/>
      <c r="L67" s="11" t="n"/>
      <c r="M67" s="11" t="n"/>
    </row>
    <row r="68" ht="22" customHeight="1">
      <c r="B68" s="15">
        <f>IF(C68="","ENC-"&amp;TEXT(COUNTA($C$5:C68),"000"))</f>
        <v/>
      </c>
      <c r="C68" s="13" t="n"/>
      <c r="D68" s="13" t="n"/>
      <c r="E68" s="13" t="n"/>
      <c r="F68" s="28" t="n"/>
      <c r="G68" s="28" t="n"/>
      <c r="H68" s="18" t="n"/>
      <c r="I68" s="18" t="n"/>
      <c r="J68" s="31">
        <f>IF(OR(H68="",I68=""),"",I68/H68)</f>
        <v/>
      </c>
      <c r="K68" s="32" t="n"/>
      <c r="L68" s="13" t="n"/>
      <c r="M68" s="13" t="n"/>
    </row>
    <row r="69" ht="22" customHeight="1">
      <c r="B69" s="16">
        <f>IF(C69="","ENC-"&amp;TEXT(COUNTA($C$5:C69),"000"))</f>
        <v/>
      </c>
      <c r="C69" s="11" t="n"/>
      <c r="D69" s="11" t="n"/>
      <c r="E69" s="11" t="n"/>
      <c r="F69" s="27" t="n"/>
      <c r="G69" s="27" t="n"/>
      <c r="H69" s="17" t="n"/>
      <c r="I69" s="17" t="n"/>
      <c r="J69" s="29">
        <f>IF(OR(H69="",I69=""),"",I69/H69)</f>
        <v/>
      </c>
      <c r="K69" s="30" t="n"/>
      <c r="L69" s="11" t="n"/>
      <c r="M69" s="11" t="n"/>
    </row>
    <row r="70" ht="22" customHeight="1">
      <c r="B70" s="15">
        <f>IF(C70="","ENC-"&amp;TEXT(COUNTA($C$5:C70),"000"))</f>
        <v/>
      </c>
      <c r="C70" s="13" t="n"/>
      <c r="D70" s="13" t="n"/>
      <c r="E70" s="13" t="n"/>
      <c r="F70" s="28" t="n"/>
      <c r="G70" s="28" t="n"/>
      <c r="H70" s="18" t="n"/>
      <c r="I70" s="18" t="n"/>
      <c r="J70" s="31">
        <f>IF(OR(H70="",I70=""),"",I70/H70)</f>
        <v/>
      </c>
      <c r="K70" s="32" t="n"/>
      <c r="L70" s="13" t="n"/>
      <c r="M70" s="13" t="n"/>
    </row>
    <row r="71" ht="22" customHeight="1">
      <c r="B71" s="16">
        <f>IF(C71="","ENC-"&amp;TEXT(COUNTA($C$5:C71),"000"))</f>
        <v/>
      </c>
      <c r="C71" s="11" t="n"/>
      <c r="D71" s="11" t="n"/>
      <c r="E71" s="11" t="n"/>
      <c r="F71" s="27" t="n"/>
      <c r="G71" s="27" t="n"/>
      <c r="H71" s="17" t="n"/>
      <c r="I71" s="17" t="n"/>
      <c r="J71" s="29">
        <f>IF(OR(H71="",I71=""),"",I71/H71)</f>
        <v/>
      </c>
      <c r="K71" s="30" t="n"/>
      <c r="L71" s="11" t="n"/>
      <c r="M71" s="11" t="n"/>
    </row>
    <row r="72" ht="22" customHeight="1">
      <c r="B72" s="15">
        <f>IF(C72="","ENC-"&amp;TEXT(COUNTA($C$5:C72),"000"))</f>
        <v/>
      </c>
      <c r="C72" s="13" t="n"/>
      <c r="D72" s="13" t="n"/>
      <c r="E72" s="13" t="n"/>
      <c r="F72" s="28" t="n"/>
      <c r="G72" s="28" t="n"/>
      <c r="H72" s="18" t="n"/>
      <c r="I72" s="18" t="n"/>
      <c r="J72" s="31">
        <f>IF(OR(H72="",I72=""),"",I72/H72)</f>
        <v/>
      </c>
      <c r="K72" s="32" t="n"/>
      <c r="L72" s="13" t="n"/>
      <c r="M72" s="13" t="n"/>
    </row>
    <row r="73" ht="22" customHeight="1">
      <c r="B73" s="16">
        <f>IF(C73="","ENC-"&amp;TEXT(COUNTA($C$5:C73),"000"))</f>
        <v/>
      </c>
      <c r="C73" s="11" t="n"/>
      <c r="D73" s="11" t="n"/>
      <c r="E73" s="11" t="n"/>
      <c r="F73" s="27" t="n"/>
      <c r="G73" s="27" t="n"/>
      <c r="H73" s="17" t="n"/>
      <c r="I73" s="17" t="n"/>
      <c r="J73" s="29">
        <f>IF(OR(H73="",I73=""),"",I73/H73)</f>
        <v/>
      </c>
      <c r="K73" s="30" t="n"/>
      <c r="L73" s="11" t="n"/>
      <c r="M73" s="11" t="n"/>
    </row>
    <row r="74" ht="22" customHeight="1">
      <c r="B74" s="15">
        <f>IF(C74="","ENC-"&amp;TEXT(COUNTA($C$5:C74),"000"))</f>
        <v/>
      </c>
      <c r="C74" s="13" t="n"/>
      <c r="D74" s="13" t="n"/>
      <c r="E74" s="13" t="n"/>
      <c r="F74" s="28" t="n"/>
      <c r="G74" s="28" t="n"/>
      <c r="H74" s="18" t="n"/>
      <c r="I74" s="18" t="n"/>
      <c r="J74" s="31">
        <f>IF(OR(H74="",I74=""),"",I74/H74)</f>
        <v/>
      </c>
      <c r="K74" s="32" t="n"/>
      <c r="L74" s="13" t="n"/>
      <c r="M74" s="13" t="n"/>
    </row>
    <row r="75" ht="22" customHeight="1">
      <c r="B75" s="16">
        <f>IF(C75="","ENC-"&amp;TEXT(COUNTA($C$5:C75),"000"))</f>
        <v/>
      </c>
      <c r="C75" s="11" t="n"/>
      <c r="D75" s="11" t="n"/>
      <c r="E75" s="11" t="n"/>
      <c r="F75" s="27" t="n"/>
      <c r="G75" s="27" t="n"/>
      <c r="H75" s="17" t="n"/>
      <c r="I75" s="17" t="n"/>
      <c r="J75" s="29">
        <f>IF(OR(H75="",I75=""),"",I75/H75)</f>
        <v/>
      </c>
      <c r="K75" s="30" t="n"/>
      <c r="L75" s="11" t="n"/>
      <c r="M75" s="11" t="n"/>
    </row>
    <row r="76" ht="22" customHeight="1">
      <c r="B76" s="15">
        <f>IF(C76="","ENC-"&amp;TEXT(COUNTA($C$5:C76),"000"))</f>
        <v/>
      </c>
      <c r="C76" s="13" t="n"/>
      <c r="D76" s="13" t="n"/>
      <c r="E76" s="13" t="n"/>
      <c r="F76" s="28" t="n"/>
      <c r="G76" s="28" t="n"/>
      <c r="H76" s="18" t="n"/>
      <c r="I76" s="18" t="n"/>
      <c r="J76" s="31">
        <f>IF(OR(H76="",I76=""),"",I76/H76)</f>
        <v/>
      </c>
      <c r="K76" s="32" t="n"/>
      <c r="L76" s="13" t="n"/>
      <c r="M76" s="13" t="n"/>
    </row>
    <row r="77" ht="22" customHeight="1">
      <c r="B77" s="16">
        <f>IF(C77="","ENC-"&amp;TEXT(COUNTA($C$5:C77),"000"))</f>
        <v/>
      </c>
      <c r="C77" s="11" t="n"/>
      <c r="D77" s="11" t="n"/>
      <c r="E77" s="11" t="n"/>
      <c r="F77" s="27" t="n"/>
      <c r="G77" s="27" t="n"/>
      <c r="H77" s="17" t="n"/>
      <c r="I77" s="17" t="n"/>
      <c r="J77" s="29">
        <f>IF(OR(H77="",I77=""),"",I77/H77)</f>
        <v/>
      </c>
      <c r="K77" s="30" t="n"/>
      <c r="L77" s="11" t="n"/>
      <c r="M77" s="11" t="n"/>
    </row>
    <row r="78" ht="22" customHeight="1">
      <c r="B78" s="15">
        <f>IF(C78="","ENC-"&amp;TEXT(COUNTA($C$5:C78),"000"))</f>
        <v/>
      </c>
      <c r="C78" s="13" t="n"/>
      <c r="D78" s="13" t="n"/>
      <c r="E78" s="13" t="n"/>
      <c r="F78" s="28" t="n"/>
      <c r="G78" s="28" t="n"/>
      <c r="H78" s="18" t="n"/>
      <c r="I78" s="18" t="n"/>
      <c r="J78" s="31">
        <f>IF(OR(H78="",I78=""),"",I78/H78)</f>
        <v/>
      </c>
      <c r="K78" s="32" t="n"/>
      <c r="L78" s="13" t="n"/>
      <c r="M78" s="13" t="n"/>
    </row>
    <row r="79" ht="22" customHeight="1">
      <c r="B79" s="16">
        <f>IF(C79="","ENC-"&amp;TEXT(COUNTA($C$5:C79),"000"))</f>
        <v/>
      </c>
      <c r="C79" s="11" t="n"/>
      <c r="D79" s="11" t="n"/>
      <c r="E79" s="11" t="n"/>
      <c r="F79" s="27" t="n"/>
      <c r="G79" s="27" t="n"/>
      <c r="H79" s="17" t="n"/>
      <c r="I79" s="17" t="n"/>
      <c r="J79" s="29">
        <f>IF(OR(H79="",I79=""),"",I79/H79)</f>
        <v/>
      </c>
      <c r="K79" s="30" t="n"/>
      <c r="L79" s="11" t="n"/>
      <c r="M79" s="11" t="n"/>
    </row>
    <row r="80" ht="22" customHeight="1">
      <c r="B80" s="15">
        <f>IF(C80="","ENC-"&amp;TEXT(COUNTA($C$5:C80),"000"))</f>
        <v/>
      </c>
      <c r="C80" s="13" t="n"/>
      <c r="D80" s="13" t="n"/>
      <c r="E80" s="13" t="n"/>
      <c r="F80" s="28" t="n"/>
      <c r="G80" s="28" t="n"/>
      <c r="H80" s="18" t="n"/>
      <c r="I80" s="18" t="n"/>
      <c r="J80" s="31">
        <f>IF(OR(H80="",I80=""),"",I80/H80)</f>
        <v/>
      </c>
      <c r="K80" s="32" t="n"/>
      <c r="L80" s="13" t="n"/>
      <c r="M80" s="13" t="n"/>
    </row>
    <row r="81" ht="22" customHeight="1">
      <c r="B81" s="16">
        <f>IF(C81="","ENC-"&amp;TEXT(COUNTA($C$5:C81),"000"))</f>
        <v/>
      </c>
      <c r="C81" s="11" t="n"/>
      <c r="D81" s="11" t="n"/>
      <c r="E81" s="11" t="n"/>
      <c r="F81" s="27" t="n"/>
      <c r="G81" s="27" t="n"/>
      <c r="H81" s="17" t="n"/>
      <c r="I81" s="17" t="n"/>
      <c r="J81" s="29">
        <f>IF(OR(H81="",I81=""),"",I81/H81)</f>
        <v/>
      </c>
      <c r="K81" s="30" t="n"/>
      <c r="L81" s="11" t="n"/>
      <c r="M81" s="11" t="n"/>
    </row>
    <row r="82" ht="22" customHeight="1">
      <c r="B82" s="15">
        <f>IF(C82="","ENC-"&amp;TEXT(COUNTA($C$5:C82),"000"))</f>
        <v/>
      </c>
      <c r="C82" s="13" t="n"/>
      <c r="D82" s="13" t="n"/>
      <c r="E82" s="13" t="n"/>
      <c r="F82" s="28" t="n"/>
      <c r="G82" s="28" t="n"/>
      <c r="H82" s="18" t="n"/>
      <c r="I82" s="18" t="n"/>
      <c r="J82" s="31">
        <f>IF(OR(H82="",I82=""),"",I82/H82)</f>
        <v/>
      </c>
      <c r="K82" s="32" t="n"/>
      <c r="L82" s="13" t="n"/>
      <c r="M82" s="13" t="n"/>
    </row>
    <row r="83" ht="22" customHeight="1">
      <c r="B83" s="16">
        <f>IF(C83="","ENC-"&amp;TEXT(COUNTA($C$5:C83),"000"))</f>
        <v/>
      </c>
      <c r="C83" s="11" t="n"/>
      <c r="D83" s="11" t="n"/>
      <c r="E83" s="11" t="n"/>
      <c r="F83" s="27" t="n"/>
      <c r="G83" s="27" t="n"/>
      <c r="H83" s="17" t="n"/>
      <c r="I83" s="17" t="n"/>
      <c r="J83" s="29">
        <f>IF(OR(H83="",I83=""),"",I83/H83)</f>
        <v/>
      </c>
      <c r="K83" s="30" t="n"/>
      <c r="L83" s="11" t="n"/>
      <c r="M83" s="11" t="n"/>
    </row>
    <row r="84" ht="22" customHeight="1">
      <c r="B84" s="15">
        <f>IF(C84="","ENC-"&amp;TEXT(COUNTA($C$5:C84),"000"))</f>
        <v/>
      </c>
      <c r="C84" s="13" t="n"/>
      <c r="D84" s="13" t="n"/>
      <c r="E84" s="13" t="n"/>
      <c r="F84" s="28" t="n"/>
      <c r="G84" s="28" t="n"/>
      <c r="H84" s="18" t="n"/>
      <c r="I84" s="18" t="n"/>
      <c r="J84" s="31">
        <f>IF(OR(H84="",I84=""),"",I84/H84)</f>
        <v/>
      </c>
      <c r="K84" s="32" t="n"/>
      <c r="L84" s="13" t="n"/>
      <c r="M84" s="13" t="n"/>
    </row>
    <row r="85" ht="22" customHeight="1">
      <c r="B85" s="16">
        <f>IF(C85="","ENC-"&amp;TEXT(COUNTA($C$5:C85),"000"))</f>
        <v/>
      </c>
      <c r="C85" s="11" t="n"/>
      <c r="D85" s="11" t="n"/>
      <c r="E85" s="11" t="n"/>
      <c r="F85" s="27" t="n"/>
      <c r="G85" s="27" t="n"/>
      <c r="H85" s="17" t="n"/>
      <c r="I85" s="17" t="n"/>
      <c r="J85" s="29">
        <f>IF(OR(H85="",I85=""),"",I85/H85)</f>
        <v/>
      </c>
      <c r="K85" s="30" t="n"/>
      <c r="L85" s="11" t="n"/>
      <c r="M85" s="11" t="n"/>
    </row>
    <row r="86" ht="22" customHeight="1">
      <c r="B86" s="15">
        <f>IF(C86="","ENC-"&amp;TEXT(COUNTA($C$5:C86),"000"))</f>
        <v/>
      </c>
      <c r="C86" s="13" t="n"/>
      <c r="D86" s="13" t="n"/>
      <c r="E86" s="13" t="n"/>
      <c r="F86" s="28" t="n"/>
      <c r="G86" s="28" t="n"/>
      <c r="H86" s="18" t="n"/>
      <c r="I86" s="18" t="n"/>
      <c r="J86" s="31">
        <f>IF(OR(H86="",I86=""),"",I86/H86)</f>
        <v/>
      </c>
      <c r="K86" s="32" t="n"/>
      <c r="L86" s="13" t="n"/>
      <c r="M86" s="13" t="n"/>
    </row>
    <row r="87" ht="22" customHeight="1">
      <c r="B87" s="16">
        <f>IF(C87="","ENC-"&amp;TEXT(COUNTA($C$5:C87),"000"))</f>
        <v/>
      </c>
      <c r="C87" s="11" t="n"/>
      <c r="D87" s="11" t="n"/>
      <c r="E87" s="11" t="n"/>
      <c r="F87" s="27" t="n"/>
      <c r="G87" s="27" t="n"/>
      <c r="H87" s="17" t="n"/>
      <c r="I87" s="17" t="n"/>
      <c r="J87" s="29">
        <f>IF(OR(H87="",I87=""),"",I87/H87)</f>
        <v/>
      </c>
      <c r="K87" s="30" t="n"/>
      <c r="L87" s="11" t="n"/>
      <c r="M87" s="11" t="n"/>
    </row>
    <row r="88" ht="22" customHeight="1">
      <c r="B88" s="15">
        <f>IF(C88="","ENC-"&amp;TEXT(COUNTA($C$5:C88),"000"))</f>
        <v/>
      </c>
      <c r="C88" s="13" t="n"/>
      <c r="D88" s="13" t="n"/>
      <c r="E88" s="13" t="n"/>
      <c r="F88" s="28" t="n"/>
      <c r="G88" s="28" t="n"/>
      <c r="H88" s="18" t="n"/>
      <c r="I88" s="18" t="n"/>
      <c r="J88" s="31">
        <f>IF(OR(H88="",I88=""),"",I88/H88)</f>
        <v/>
      </c>
      <c r="K88" s="32" t="n"/>
      <c r="L88" s="13" t="n"/>
      <c r="M88" s="13" t="n"/>
    </row>
    <row r="89" ht="22" customHeight="1">
      <c r="B89" s="16">
        <f>IF(C89="","ENC-"&amp;TEXT(COUNTA($C$5:C89),"000"))</f>
        <v/>
      </c>
      <c r="C89" s="11" t="n"/>
      <c r="D89" s="11" t="n"/>
      <c r="E89" s="11" t="n"/>
      <c r="F89" s="27" t="n"/>
      <c r="G89" s="27" t="n"/>
      <c r="H89" s="17" t="n"/>
      <c r="I89" s="17" t="n"/>
      <c r="J89" s="29">
        <f>IF(OR(H89="",I89=""),"",I89/H89)</f>
        <v/>
      </c>
      <c r="K89" s="30" t="n"/>
      <c r="L89" s="11" t="n"/>
      <c r="M89" s="11" t="n"/>
    </row>
    <row r="90" ht="22" customHeight="1">
      <c r="B90" s="15">
        <f>IF(C90="","ENC-"&amp;TEXT(COUNTA($C$5:C90),"000"))</f>
        <v/>
      </c>
      <c r="C90" s="13" t="n"/>
      <c r="D90" s="13" t="n"/>
      <c r="E90" s="13" t="n"/>
      <c r="F90" s="28" t="n"/>
      <c r="G90" s="28" t="n"/>
      <c r="H90" s="18" t="n"/>
      <c r="I90" s="18" t="n"/>
      <c r="J90" s="31">
        <f>IF(OR(H90="",I90=""),"",I90/H90)</f>
        <v/>
      </c>
      <c r="K90" s="32" t="n"/>
      <c r="L90" s="13" t="n"/>
      <c r="M90" s="13" t="n"/>
    </row>
    <row r="91" ht="22" customHeight="1">
      <c r="B91" s="16">
        <f>IF(C91="","ENC-"&amp;TEXT(COUNTA($C$5:C91),"000"))</f>
        <v/>
      </c>
      <c r="C91" s="11" t="n"/>
      <c r="D91" s="11" t="n"/>
      <c r="E91" s="11" t="n"/>
      <c r="F91" s="27" t="n"/>
      <c r="G91" s="27" t="n"/>
      <c r="H91" s="17" t="n"/>
      <c r="I91" s="17" t="n"/>
      <c r="J91" s="29">
        <f>IF(OR(H91="",I91=""),"",I91/H91)</f>
        <v/>
      </c>
      <c r="K91" s="30" t="n"/>
      <c r="L91" s="11" t="n"/>
      <c r="M91" s="11" t="n"/>
    </row>
    <row r="92" ht="22" customHeight="1">
      <c r="B92" s="15">
        <f>IF(C92="","ENC-"&amp;TEXT(COUNTA($C$5:C92),"000"))</f>
        <v/>
      </c>
      <c r="C92" s="13" t="n"/>
      <c r="D92" s="13" t="n"/>
      <c r="E92" s="13" t="n"/>
      <c r="F92" s="28" t="n"/>
      <c r="G92" s="28" t="n"/>
      <c r="H92" s="18" t="n"/>
      <c r="I92" s="18" t="n"/>
      <c r="J92" s="31">
        <f>IF(OR(H92="",I92=""),"",I92/H92)</f>
        <v/>
      </c>
      <c r="K92" s="32" t="n"/>
      <c r="L92" s="13" t="n"/>
      <c r="M92" s="13" t="n"/>
    </row>
    <row r="93" ht="22" customHeight="1">
      <c r="B93" s="16">
        <f>IF(C93="","ENC-"&amp;TEXT(COUNTA($C$5:C93),"000"))</f>
        <v/>
      </c>
      <c r="C93" s="11" t="n"/>
      <c r="D93" s="11" t="n"/>
      <c r="E93" s="11" t="n"/>
      <c r="F93" s="27" t="n"/>
      <c r="G93" s="27" t="n"/>
      <c r="H93" s="17" t="n"/>
      <c r="I93" s="17" t="n"/>
      <c r="J93" s="29">
        <f>IF(OR(H93="",I93=""),"",I93/H93)</f>
        <v/>
      </c>
      <c r="K93" s="30" t="n"/>
      <c r="L93" s="11" t="n"/>
      <c r="M93" s="11" t="n"/>
    </row>
    <row r="94" ht="22" customHeight="1">
      <c r="B94" s="15">
        <f>IF(C94="","ENC-"&amp;TEXT(COUNTA($C$5:C94),"000"))</f>
        <v/>
      </c>
      <c r="C94" s="13" t="n"/>
      <c r="D94" s="13" t="n"/>
      <c r="E94" s="13" t="n"/>
      <c r="F94" s="28" t="n"/>
      <c r="G94" s="28" t="n"/>
      <c r="H94" s="18" t="n"/>
      <c r="I94" s="18" t="n"/>
      <c r="J94" s="31">
        <f>IF(OR(H94="",I94=""),"",I94/H94)</f>
        <v/>
      </c>
      <c r="K94" s="32" t="n"/>
      <c r="L94" s="13" t="n"/>
      <c r="M94" s="13" t="n"/>
    </row>
    <row r="95" ht="22" customHeight="1">
      <c r="B95" s="16">
        <f>IF(C95="","ENC-"&amp;TEXT(COUNTA($C$5:C95),"000"))</f>
        <v/>
      </c>
      <c r="C95" s="11" t="n"/>
      <c r="D95" s="11" t="n"/>
      <c r="E95" s="11" t="n"/>
      <c r="F95" s="27" t="n"/>
      <c r="G95" s="27" t="n"/>
      <c r="H95" s="17" t="n"/>
      <c r="I95" s="17" t="n"/>
      <c r="J95" s="29">
        <f>IF(OR(H95="",I95=""),"",I95/H95)</f>
        <v/>
      </c>
      <c r="K95" s="30" t="n"/>
      <c r="L95" s="11" t="n"/>
      <c r="M95" s="11" t="n"/>
    </row>
    <row r="96" ht="22" customHeight="1">
      <c r="B96" s="15">
        <f>IF(C96="","ENC-"&amp;TEXT(COUNTA($C$5:C96),"000"))</f>
        <v/>
      </c>
      <c r="C96" s="13" t="n"/>
      <c r="D96" s="13" t="n"/>
      <c r="E96" s="13" t="n"/>
      <c r="F96" s="28" t="n"/>
      <c r="G96" s="28" t="n"/>
      <c r="H96" s="18" t="n"/>
      <c r="I96" s="18" t="n"/>
      <c r="J96" s="31">
        <f>IF(OR(H96="",I96=""),"",I96/H96)</f>
        <v/>
      </c>
      <c r="K96" s="32" t="n"/>
      <c r="L96" s="13" t="n"/>
      <c r="M96" s="13" t="n"/>
    </row>
    <row r="97" ht="22" customHeight="1">
      <c r="B97" s="16">
        <f>IF(C97="","ENC-"&amp;TEXT(COUNTA($C$5:C97),"000"))</f>
        <v/>
      </c>
      <c r="C97" s="11" t="n"/>
      <c r="D97" s="11" t="n"/>
      <c r="E97" s="11" t="n"/>
      <c r="F97" s="27" t="n"/>
      <c r="G97" s="27" t="n"/>
      <c r="H97" s="17" t="n"/>
      <c r="I97" s="17" t="n"/>
      <c r="J97" s="29">
        <f>IF(OR(H97="",I97=""),"",I97/H97)</f>
        <v/>
      </c>
      <c r="K97" s="30" t="n"/>
      <c r="L97" s="11" t="n"/>
      <c r="M97" s="11" t="n"/>
    </row>
    <row r="98" ht="22" customHeight="1">
      <c r="B98" s="15">
        <f>IF(C98="","ENC-"&amp;TEXT(COUNTA($C$5:C98),"000"))</f>
        <v/>
      </c>
      <c r="C98" s="13" t="n"/>
      <c r="D98" s="13" t="n"/>
      <c r="E98" s="13" t="n"/>
      <c r="F98" s="28" t="n"/>
      <c r="G98" s="28" t="n"/>
      <c r="H98" s="18" t="n"/>
      <c r="I98" s="18" t="n"/>
      <c r="J98" s="31">
        <f>IF(OR(H98="",I98=""),"",I98/H98)</f>
        <v/>
      </c>
      <c r="K98" s="32" t="n"/>
      <c r="L98" s="13" t="n"/>
      <c r="M98" s="13" t="n"/>
    </row>
    <row r="99" ht="22" customHeight="1">
      <c r="B99" s="16">
        <f>IF(C99="","ENC-"&amp;TEXT(COUNTA($C$5:C99),"000"))</f>
        <v/>
      </c>
      <c r="C99" s="11" t="n"/>
      <c r="D99" s="11" t="n"/>
      <c r="E99" s="11" t="n"/>
      <c r="F99" s="27" t="n"/>
      <c r="G99" s="27" t="n"/>
      <c r="H99" s="17" t="n"/>
      <c r="I99" s="17" t="n"/>
      <c r="J99" s="29">
        <f>IF(OR(H99="",I99=""),"",I99/H99)</f>
        <v/>
      </c>
      <c r="K99" s="30" t="n"/>
      <c r="L99" s="11" t="n"/>
      <c r="M99" s="11" t="n"/>
    </row>
    <row r="100" ht="22" customHeight="1">
      <c r="B100" s="15">
        <f>IF(C100="","ENC-"&amp;TEXT(COUNTA($C$5:C100),"000"))</f>
        <v/>
      </c>
      <c r="C100" s="13" t="n"/>
      <c r="D100" s="13" t="n"/>
      <c r="E100" s="13" t="n"/>
      <c r="F100" s="28" t="n"/>
      <c r="G100" s="28" t="n"/>
      <c r="H100" s="18" t="n"/>
      <c r="I100" s="18" t="n"/>
      <c r="J100" s="31">
        <f>IF(OR(H100="",I100=""),"",I100/H100)</f>
        <v/>
      </c>
      <c r="K100" s="32" t="n"/>
      <c r="L100" s="13" t="n"/>
      <c r="M100" s="13" t="n"/>
    </row>
    <row r="101" ht="22" customHeight="1">
      <c r="B101" s="16">
        <f>IF(C101="","ENC-"&amp;TEXT(COUNTA($C$5:C101),"000"))</f>
        <v/>
      </c>
      <c r="C101" s="11" t="n"/>
      <c r="D101" s="11" t="n"/>
      <c r="E101" s="11" t="n"/>
      <c r="F101" s="27" t="n"/>
      <c r="G101" s="27" t="n"/>
      <c r="H101" s="17" t="n"/>
      <c r="I101" s="17" t="n"/>
      <c r="J101" s="29">
        <f>IF(OR(H101="",I101=""),"",I101/H101)</f>
        <v/>
      </c>
      <c r="K101" s="30" t="n"/>
      <c r="L101" s="11" t="n"/>
      <c r="M101" s="11" t="n"/>
    </row>
    <row r="102" ht="22" customHeight="1">
      <c r="B102" s="15">
        <f>IF(C102="","ENC-"&amp;TEXT(COUNTA($C$5:C102),"000"))</f>
        <v/>
      </c>
      <c r="C102" s="13" t="n"/>
      <c r="D102" s="13" t="n"/>
      <c r="E102" s="13" t="n"/>
      <c r="F102" s="28" t="n"/>
      <c r="G102" s="28" t="n"/>
      <c r="H102" s="18" t="n"/>
      <c r="I102" s="18" t="n"/>
      <c r="J102" s="31">
        <f>IF(OR(H102="",I102=""),"",I102/H102)</f>
        <v/>
      </c>
      <c r="K102" s="32" t="n"/>
      <c r="L102" s="13" t="n"/>
      <c r="M102" s="13" t="n"/>
    </row>
    <row r="103" ht="22" customHeight="1">
      <c r="B103" s="16">
        <f>IF(C103="","ENC-"&amp;TEXT(COUNTA($C$5:C103),"000"))</f>
        <v/>
      </c>
      <c r="C103" s="11" t="n"/>
      <c r="D103" s="11" t="n"/>
      <c r="E103" s="11" t="n"/>
      <c r="F103" s="27" t="n"/>
      <c r="G103" s="27" t="n"/>
      <c r="H103" s="17" t="n"/>
      <c r="I103" s="17" t="n"/>
      <c r="J103" s="29">
        <f>IF(OR(H103="",I103=""),"",I103/H103)</f>
        <v/>
      </c>
      <c r="K103" s="30" t="n"/>
      <c r="L103" s="11" t="n"/>
      <c r="M103" s="11" t="n"/>
    </row>
    <row r="104" ht="22" customHeight="1">
      <c r="B104" s="15">
        <f>IF(C104="","ENC-"&amp;TEXT(COUNTA($C$5:C104),"000"))</f>
        <v/>
      </c>
      <c r="C104" s="13" t="n"/>
      <c r="D104" s="13" t="n"/>
      <c r="E104" s="13" t="n"/>
      <c r="F104" s="28" t="n"/>
      <c r="G104" s="28" t="n"/>
      <c r="H104" s="18" t="n"/>
      <c r="I104" s="18" t="n"/>
      <c r="J104" s="31">
        <f>IF(OR(H104="",I104=""),"",I104/H104)</f>
        <v/>
      </c>
      <c r="K104" s="32" t="n"/>
      <c r="L104" s="13" t="n"/>
      <c r="M104" s="13" t="n"/>
    </row>
    <row r="105" ht="22" customHeight="1">
      <c r="B105" s="16">
        <f>IF(C105="","ENC-"&amp;TEXT(COUNTA($C$5:C105),"000"))</f>
        <v/>
      </c>
      <c r="C105" s="11" t="n"/>
      <c r="D105" s="11" t="n"/>
      <c r="E105" s="11" t="n"/>
      <c r="F105" s="27" t="n"/>
      <c r="G105" s="27" t="n"/>
      <c r="H105" s="17" t="n"/>
      <c r="I105" s="17" t="n"/>
      <c r="J105" s="29">
        <f>IF(OR(H105="",I105=""),"",I105/H105)</f>
        <v/>
      </c>
      <c r="K105" s="30" t="n"/>
      <c r="L105" s="11" t="n"/>
      <c r="M105" s="11" t="n"/>
    </row>
    <row r="106" ht="22" customHeight="1">
      <c r="B106" s="15">
        <f>IF(C106="","ENC-"&amp;TEXT(COUNTA($C$5:C106),"000"))</f>
        <v/>
      </c>
      <c r="C106" s="13" t="n"/>
      <c r="D106" s="13" t="n"/>
      <c r="E106" s="13" t="n"/>
      <c r="F106" s="28" t="n"/>
      <c r="G106" s="28" t="n"/>
      <c r="H106" s="18" t="n"/>
      <c r="I106" s="18" t="n"/>
      <c r="J106" s="31">
        <f>IF(OR(H106="",I106=""),"",I106/H106)</f>
        <v/>
      </c>
      <c r="K106" s="32" t="n"/>
      <c r="L106" s="13" t="n"/>
      <c r="M106" s="13" t="n"/>
    </row>
    <row r="107" ht="22" customHeight="1">
      <c r="B107" s="16">
        <f>IF(C107="","ENC-"&amp;TEXT(COUNTA($C$5:C107),"000"))</f>
        <v/>
      </c>
      <c r="C107" s="11" t="n"/>
      <c r="D107" s="11" t="n"/>
      <c r="E107" s="11" t="n"/>
      <c r="F107" s="27" t="n"/>
      <c r="G107" s="27" t="n"/>
      <c r="H107" s="17" t="n"/>
      <c r="I107" s="17" t="n"/>
      <c r="J107" s="29">
        <f>IF(OR(H107="",I107=""),"",I107/H107)</f>
        <v/>
      </c>
      <c r="K107" s="30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Enquetes</t>
        </is>
      </c>
      <c r="D110" s="3" t="inlineStr">
        <is>
          <t>Taux reponse moyen</t>
        </is>
      </c>
      <c r="F110" s="3" t="inlineStr">
        <is>
          <t>Score moyen / 5</t>
        </is>
      </c>
    </row>
    <row r="111">
      <c r="B111" s="4">
        <f>COUNTIF(B5:B104,"&lt;&gt;")</f>
        <v/>
      </c>
      <c r="D111" s="4">
        <f>IFERROR(AVERAGE(J5:J104),0)</f>
        <v/>
      </c>
      <c r="F111" s="4">
        <f>IFERROR(AVERAGE(K5:K104),0)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8:B107">
    <cfRule type="expression" priority="230" dxfId="3">
      <formula>AND($C8="",$C7&lt;&gt;"")</formula>
    </cfRule>
  </conditionalFormatting>
  <conditionalFormatting sqref="C8:C107">
    <cfRule type="expression" priority="231" dxfId="3">
      <formula>AND($C8="",$C7&lt;&gt;"")</formula>
    </cfRule>
  </conditionalFormatting>
  <conditionalFormatting sqref="D8:D107">
    <cfRule type="expression" priority="232" dxfId="3">
      <formula>AND($C8="",$C7&lt;&gt;"")</formula>
    </cfRule>
  </conditionalFormatting>
  <conditionalFormatting sqref="E8:E107">
    <cfRule type="expression" priority="233" dxfId="3">
      <formula>AND($C8="",$C7&lt;&gt;"")</formula>
    </cfRule>
  </conditionalFormatting>
  <conditionalFormatting sqref="F8:F107">
    <cfRule type="expression" priority="234" dxfId="3">
      <formula>AND($C8="",$C7&lt;&gt;"")</formula>
    </cfRule>
  </conditionalFormatting>
  <conditionalFormatting sqref="G8:G107">
    <cfRule type="expression" priority="235" dxfId="3">
      <formula>AND($C8="",$C7&lt;&gt;"")</formula>
    </cfRule>
  </conditionalFormatting>
  <conditionalFormatting sqref="H8:H107">
    <cfRule type="expression" priority="236" dxfId="3">
      <formula>AND($C8="",$C7&lt;&gt;"")</formula>
    </cfRule>
  </conditionalFormatting>
  <conditionalFormatting sqref="I8:I107">
    <cfRule type="expression" priority="237" dxfId="3">
      <formula>AND($C8="",$C7&lt;&gt;"")</formula>
    </cfRule>
  </conditionalFormatting>
  <conditionalFormatting sqref="J8:J107">
    <cfRule type="expression" priority="238" dxfId="3">
      <formula>AND($C8="",$C7&lt;&gt;"")</formula>
    </cfRule>
  </conditionalFormatting>
  <conditionalFormatting sqref="K8:K107">
    <cfRule type="expression" priority="239" dxfId="3">
      <formula>AND($C8="",$C7&lt;&gt;"")</formula>
    </cfRule>
  </conditionalFormatting>
  <conditionalFormatting sqref="L8:L107">
    <cfRule type="expression" priority="240" dxfId="3">
      <formula>AND($C8="",$C7&lt;&gt;"")</formula>
    </cfRule>
  </conditionalFormatting>
  <conditionalFormatting sqref="M8:M107">
    <cfRule type="expression" priority="241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'_Lists'!$Q$2:$Q$11</formula1>
    </dataValidation>
    <dataValidation sqref="L5:L107" showDropDown="0" showInputMessage="0" showErrorMessage="0" allowBlank="1" errorTitle="Erreur" error="Valeur invalide" promptTitle="Liste" prompt="Choisir dans la liste" type="list">
      <formula1>'_Lists'!$R$2:$R$7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  <col width="18" customWidth="1" min="9" max="9"/>
    <col width="14" customWidth="1" min="10" max="10"/>
    <col width="32" customWidth="1" min="11" max="11"/>
    <col width="22" customWidth="1" min="12" max="12"/>
  </cols>
  <sheetData>
    <row r="1" ht="15" customHeight="1"/>
    <row r="2" ht="32" customHeight="1">
      <c r="B2" s="1" t="inlineStr">
        <is>
          <t>NEWSLETTER INTERNE (#143)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Titre Newsletter</t>
        </is>
      </c>
      <c r="D4" s="10" t="inlineStr">
        <is>
          <t>Frequence</t>
        </is>
      </c>
      <c r="E4" s="10" t="inlineStr">
        <is>
          <t>Numero Edition</t>
        </is>
      </c>
      <c r="F4" s="10" t="inlineStr">
        <is>
          <t>Date Envoi</t>
        </is>
      </c>
      <c r="G4" s="10" t="inlineStr">
        <is>
          <t>Redacteur</t>
        </is>
      </c>
      <c r="H4" s="10" t="inlineStr">
        <is>
          <t>Nb Destinataires</t>
        </is>
      </c>
      <c r="I4" s="10" t="inlineStr">
        <is>
          <t>Taux Ouverture (%)</t>
        </is>
      </c>
      <c r="J4" s="10" t="inlineStr">
        <is>
          <t>Taux Clic (%)</t>
        </is>
      </c>
      <c r="K4" s="10" t="inlineStr">
        <is>
          <t>Rubriques</t>
        </is>
      </c>
      <c r="L4" s="10" t="inlineStr">
        <is>
          <t>Statut</t>
        </is>
      </c>
    </row>
    <row r="5" ht="22" customHeight="1">
      <c r="B5" s="11" t="inlineStr">
        <is>
          <t>NWS-001</t>
        </is>
      </c>
      <c r="C5" s="11" t="inlineStr">
        <is>
          <t>Actu RH - Janvier 2025</t>
        </is>
      </c>
      <c r="D5" s="11" t="inlineStr">
        <is>
          <t>Mensuelle</t>
        </is>
      </c>
      <c r="E5" s="11" t="inlineStr">
        <is>
          <t>Ed. 48</t>
        </is>
      </c>
      <c r="F5" s="27" t="n">
        <v>45687</v>
      </c>
      <c r="G5" s="11" t="inlineStr">
        <is>
          <t>DRH</t>
        </is>
      </c>
      <c r="H5" s="17" t="n">
        <v>155</v>
      </c>
      <c r="I5" s="29" t="n">
        <v>0.72</v>
      </c>
      <c r="J5" s="29" t="n">
        <v>0.35</v>
      </c>
      <c r="K5" s="11" t="inlineStr">
        <is>
          <t>Edito, Formations, Felicitations</t>
        </is>
      </c>
      <c r="L5" s="11" t="inlineStr">
        <is>
          <t>Publie</t>
        </is>
      </c>
    </row>
    <row r="6" ht="22" customHeight="1">
      <c r="B6" s="13" t="inlineStr">
        <is>
          <t>NWS-002</t>
        </is>
      </c>
      <c r="C6" s="13" t="inlineStr">
        <is>
          <t>Actu RH - Fevrier 2025</t>
        </is>
      </c>
      <c r="D6" s="13" t="inlineStr">
        <is>
          <t>Mensuelle</t>
        </is>
      </c>
      <c r="E6" s="13" t="inlineStr">
        <is>
          <t>Ed. 49</t>
        </is>
      </c>
      <c r="F6" s="28" t="n">
        <v>45716</v>
      </c>
      <c r="G6" s="13" t="inlineStr">
        <is>
          <t>DRH</t>
        </is>
      </c>
      <c r="H6" s="18" t="n">
        <v>158</v>
      </c>
      <c r="I6" s="31" t="n">
        <v>0.68</v>
      </c>
      <c r="J6" s="31" t="n">
        <v>0.3</v>
      </c>
      <c r="K6" s="13" t="inlineStr">
        <is>
          <t>Vie equipes, Sante, Brèves RH</t>
        </is>
      </c>
      <c r="L6" s="13" t="inlineStr">
        <is>
          <t>En cours de redaction</t>
        </is>
      </c>
    </row>
    <row r="7" ht="22" customHeight="1">
      <c r="B7" s="11" t="inlineStr">
        <is>
          <t>NWS-003</t>
        </is>
      </c>
      <c r="C7" s="11" t="inlineStr">
        <is>
          <t>Speciale Integration Q1</t>
        </is>
      </c>
      <c r="D7" s="11" t="inlineStr">
        <is>
          <t>Ponctuelle</t>
        </is>
      </c>
      <c r="E7" s="11" t="inlineStr">
        <is>
          <t>Ed. Spec.</t>
        </is>
      </c>
      <c r="F7" s="27" t="n">
        <v>45731</v>
      </c>
      <c r="G7" s="11" t="inlineStr">
        <is>
          <t>Assistante RH</t>
        </is>
      </c>
      <c r="H7" s="17" t="n">
        <v>160</v>
      </c>
      <c r="I7" s="29" t="n"/>
      <c r="J7" s="29" t="n"/>
      <c r="K7" s="11" t="inlineStr">
        <is>
          <t>Orientation, Temoignages, Planning</t>
        </is>
      </c>
      <c r="L7" s="11" t="inlineStr">
        <is>
          <t>En preparation</t>
        </is>
      </c>
    </row>
    <row r="8" ht="22" customHeight="1">
      <c r="B8" s="15">
        <f>IF(C8="","NWS-"&amp;TEXT(COUNTA($C$5:C8),"000"))</f>
        <v/>
      </c>
      <c r="C8" s="13" t="n"/>
      <c r="D8" s="13" t="n"/>
      <c r="E8" s="13" t="n"/>
      <c r="F8" s="28" t="n"/>
      <c r="G8" s="13" t="n"/>
      <c r="H8" s="18" t="n"/>
      <c r="I8" s="31" t="n"/>
      <c r="J8" s="31" t="n"/>
      <c r="K8" s="13" t="n"/>
      <c r="L8" s="13" t="n"/>
    </row>
    <row r="9" ht="22" customHeight="1">
      <c r="B9" s="16">
        <f>IF(C9="","NWS-"&amp;TEXT(COUNTA($C$5:C9),"000"))</f>
        <v/>
      </c>
      <c r="C9" s="11" t="n"/>
      <c r="D9" s="11" t="n"/>
      <c r="E9" s="11" t="n"/>
      <c r="F9" s="27" t="n"/>
      <c r="G9" s="11" t="n"/>
      <c r="H9" s="17" t="n"/>
      <c r="I9" s="29" t="n"/>
      <c r="J9" s="29" t="n"/>
      <c r="K9" s="11" t="n"/>
      <c r="L9" s="11" t="n"/>
    </row>
    <row r="10" ht="22" customHeight="1">
      <c r="B10" s="15">
        <f>IF(C10="","NWS-"&amp;TEXT(COUNTA($C$5:C10),"000"))</f>
        <v/>
      </c>
      <c r="C10" s="13" t="n"/>
      <c r="D10" s="13" t="n"/>
      <c r="E10" s="13" t="n"/>
      <c r="F10" s="28" t="n"/>
      <c r="G10" s="13" t="n"/>
      <c r="H10" s="18" t="n"/>
      <c r="I10" s="31" t="n"/>
      <c r="J10" s="31" t="n"/>
      <c r="K10" s="13" t="n"/>
      <c r="L10" s="13" t="n"/>
    </row>
    <row r="11" ht="22" customHeight="1">
      <c r="B11" s="16">
        <f>IF(C11="","NWS-"&amp;TEXT(COUNTA($C$5:C11),"000"))</f>
        <v/>
      </c>
      <c r="C11" s="11" t="n"/>
      <c r="D11" s="11" t="n"/>
      <c r="E11" s="11" t="n"/>
      <c r="F11" s="27" t="n"/>
      <c r="G11" s="11" t="n"/>
      <c r="H11" s="17" t="n"/>
      <c r="I11" s="29" t="n"/>
      <c r="J11" s="29" t="n"/>
      <c r="K11" s="11" t="n"/>
      <c r="L11" s="11" t="n"/>
    </row>
    <row r="12" ht="22" customHeight="1">
      <c r="B12" s="15">
        <f>IF(C12="","NWS-"&amp;TEXT(COUNTA($C$5:C12),"000"))</f>
        <v/>
      </c>
      <c r="C12" s="13" t="n"/>
      <c r="D12" s="13" t="n"/>
      <c r="E12" s="13" t="n"/>
      <c r="F12" s="28" t="n"/>
      <c r="G12" s="13" t="n"/>
      <c r="H12" s="18" t="n"/>
      <c r="I12" s="31" t="n"/>
      <c r="J12" s="31" t="n"/>
      <c r="K12" s="13" t="n"/>
      <c r="L12" s="13" t="n"/>
    </row>
    <row r="13" ht="22" customHeight="1">
      <c r="B13" s="16">
        <f>IF(C13="","NWS-"&amp;TEXT(COUNTA($C$5:C13),"000"))</f>
        <v/>
      </c>
      <c r="C13" s="11" t="n"/>
      <c r="D13" s="11" t="n"/>
      <c r="E13" s="11" t="n"/>
      <c r="F13" s="27" t="n"/>
      <c r="G13" s="11" t="n"/>
      <c r="H13" s="17" t="n"/>
      <c r="I13" s="29" t="n"/>
      <c r="J13" s="29" t="n"/>
      <c r="K13" s="11" t="n"/>
      <c r="L13" s="11" t="n"/>
    </row>
    <row r="14" ht="22" customHeight="1">
      <c r="B14" s="15">
        <f>IF(C14="","NWS-"&amp;TEXT(COUNTA($C$5:C14),"000"))</f>
        <v/>
      </c>
      <c r="C14" s="13" t="n"/>
      <c r="D14" s="13" t="n"/>
      <c r="E14" s="13" t="n"/>
      <c r="F14" s="28" t="n"/>
      <c r="G14" s="13" t="n"/>
      <c r="H14" s="18" t="n"/>
      <c r="I14" s="31" t="n"/>
      <c r="J14" s="31" t="n"/>
      <c r="K14" s="13" t="n"/>
      <c r="L14" s="13" t="n"/>
    </row>
    <row r="15" ht="22" customHeight="1">
      <c r="B15" s="16">
        <f>IF(C15="","NWS-"&amp;TEXT(COUNTA($C$5:C15),"000"))</f>
        <v/>
      </c>
      <c r="C15" s="11" t="n"/>
      <c r="D15" s="11" t="n"/>
      <c r="E15" s="11" t="n"/>
      <c r="F15" s="27" t="n"/>
      <c r="G15" s="11" t="n"/>
      <c r="H15" s="17" t="n"/>
      <c r="I15" s="29" t="n"/>
      <c r="J15" s="29" t="n"/>
      <c r="K15" s="11" t="n"/>
      <c r="L15" s="11" t="n"/>
    </row>
    <row r="16" ht="22" customHeight="1">
      <c r="B16" s="15">
        <f>IF(C16="","NWS-"&amp;TEXT(COUNTA($C$5:C16),"000"))</f>
        <v/>
      </c>
      <c r="C16" s="13" t="n"/>
      <c r="D16" s="13" t="n"/>
      <c r="E16" s="13" t="n"/>
      <c r="F16" s="28" t="n"/>
      <c r="G16" s="13" t="n"/>
      <c r="H16" s="18" t="n"/>
      <c r="I16" s="31" t="n"/>
      <c r="J16" s="31" t="n"/>
      <c r="K16" s="13" t="n"/>
      <c r="L16" s="13" t="n"/>
    </row>
    <row r="17" ht="22" customHeight="1">
      <c r="B17" s="16">
        <f>IF(C17="","NWS-"&amp;TEXT(COUNTA($C$5:C17),"000"))</f>
        <v/>
      </c>
      <c r="C17" s="11" t="n"/>
      <c r="D17" s="11" t="n"/>
      <c r="E17" s="11" t="n"/>
      <c r="F17" s="27" t="n"/>
      <c r="G17" s="11" t="n"/>
      <c r="H17" s="17" t="n"/>
      <c r="I17" s="29" t="n"/>
      <c r="J17" s="29" t="n"/>
      <c r="K17" s="11" t="n"/>
      <c r="L17" s="11" t="n"/>
    </row>
    <row r="18" ht="22" customHeight="1">
      <c r="B18" s="15">
        <f>IF(C18="","NWS-"&amp;TEXT(COUNTA($C$5:C18),"000"))</f>
        <v/>
      </c>
      <c r="C18" s="13" t="n"/>
      <c r="D18" s="13" t="n"/>
      <c r="E18" s="13" t="n"/>
      <c r="F18" s="28" t="n"/>
      <c r="G18" s="13" t="n"/>
      <c r="H18" s="18" t="n"/>
      <c r="I18" s="31" t="n"/>
      <c r="J18" s="31" t="n"/>
      <c r="K18" s="13" t="n"/>
      <c r="L18" s="13" t="n"/>
    </row>
    <row r="19" ht="22" customHeight="1">
      <c r="B19" s="16">
        <f>IF(C19="","NWS-"&amp;TEXT(COUNTA($C$5:C19),"000"))</f>
        <v/>
      </c>
      <c r="C19" s="11" t="n"/>
      <c r="D19" s="11" t="n"/>
      <c r="E19" s="11" t="n"/>
      <c r="F19" s="27" t="n"/>
      <c r="G19" s="11" t="n"/>
      <c r="H19" s="17" t="n"/>
      <c r="I19" s="29" t="n"/>
      <c r="J19" s="29" t="n"/>
      <c r="K19" s="11" t="n"/>
      <c r="L19" s="11" t="n"/>
    </row>
    <row r="20" ht="22" customHeight="1">
      <c r="B20" s="15">
        <f>IF(C20="","NWS-"&amp;TEXT(COUNTA($C$5:C20),"000"))</f>
        <v/>
      </c>
      <c r="C20" s="13" t="n"/>
      <c r="D20" s="13" t="n"/>
      <c r="E20" s="13" t="n"/>
      <c r="F20" s="28" t="n"/>
      <c r="G20" s="13" t="n"/>
      <c r="H20" s="18" t="n"/>
      <c r="I20" s="31" t="n"/>
      <c r="J20" s="31" t="n"/>
      <c r="K20" s="13" t="n"/>
      <c r="L20" s="13" t="n"/>
    </row>
    <row r="21" ht="22" customHeight="1">
      <c r="B21" s="16">
        <f>IF(C21="","NWS-"&amp;TEXT(COUNTA($C$5:C21),"000"))</f>
        <v/>
      </c>
      <c r="C21" s="11" t="n"/>
      <c r="D21" s="11" t="n"/>
      <c r="E21" s="11" t="n"/>
      <c r="F21" s="27" t="n"/>
      <c r="G21" s="11" t="n"/>
      <c r="H21" s="17" t="n"/>
      <c r="I21" s="29" t="n"/>
      <c r="J21" s="29" t="n"/>
      <c r="K21" s="11" t="n"/>
      <c r="L21" s="11" t="n"/>
    </row>
    <row r="22" ht="22" customHeight="1">
      <c r="B22" s="15">
        <f>IF(C22="","NWS-"&amp;TEXT(COUNTA($C$5:C22),"000"))</f>
        <v/>
      </c>
      <c r="C22" s="13" t="n"/>
      <c r="D22" s="13" t="n"/>
      <c r="E22" s="13" t="n"/>
      <c r="F22" s="28" t="n"/>
      <c r="G22" s="13" t="n"/>
      <c r="H22" s="18" t="n"/>
      <c r="I22" s="31" t="n"/>
      <c r="J22" s="31" t="n"/>
      <c r="K22" s="13" t="n"/>
      <c r="L22" s="13" t="n"/>
    </row>
    <row r="23" ht="22" customHeight="1">
      <c r="B23" s="16">
        <f>IF(C23="","NWS-"&amp;TEXT(COUNTA($C$5:C23),"000"))</f>
        <v/>
      </c>
      <c r="C23" s="11" t="n"/>
      <c r="D23" s="11" t="n"/>
      <c r="E23" s="11" t="n"/>
      <c r="F23" s="27" t="n"/>
      <c r="G23" s="11" t="n"/>
      <c r="H23" s="17" t="n"/>
      <c r="I23" s="29" t="n"/>
      <c r="J23" s="29" t="n"/>
      <c r="K23" s="11" t="n"/>
      <c r="L23" s="11" t="n"/>
    </row>
    <row r="24" ht="22" customHeight="1">
      <c r="B24" s="15">
        <f>IF(C24="","NWS-"&amp;TEXT(COUNTA($C$5:C24),"000"))</f>
        <v/>
      </c>
      <c r="C24" s="13" t="n"/>
      <c r="D24" s="13" t="n"/>
      <c r="E24" s="13" t="n"/>
      <c r="F24" s="28" t="n"/>
      <c r="G24" s="13" t="n"/>
      <c r="H24" s="18" t="n"/>
      <c r="I24" s="31" t="n"/>
      <c r="J24" s="31" t="n"/>
      <c r="K24" s="13" t="n"/>
      <c r="L24" s="13" t="n"/>
    </row>
    <row r="25" ht="22" customHeight="1">
      <c r="B25" s="16">
        <f>IF(C25="","NWS-"&amp;TEXT(COUNTA($C$5:C25),"000"))</f>
        <v/>
      </c>
      <c r="C25" s="11" t="n"/>
      <c r="D25" s="11" t="n"/>
      <c r="E25" s="11" t="n"/>
      <c r="F25" s="27" t="n"/>
      <c r="G25" s="11" t="n"/>
      <c r="H25" s="17" t="n"/>
      <c r="I25" s="29" t="n"/>
      <c r="J25" s="29" t="n"/>
      <c r="K25" s="11" t="n"/>
      <c r="L25" s="11" t="n"/>
    </row>
    <row r="26" ht="22" customHeight="1">
      <c r="B26" s="15">
        <f>IF(C26="","NWS-"&amp;TEXT(COUNTA($C$5:C26),"000"))</f>
        <v/>
      </c>
      <c r="C26" s="13" t="n"/>
      <c r="D26" s="13" t="n"/>
      <c r="E26" s="13" t="n"/>
      <c r="F26" s="28" t="n"/>
      <c r="G26" s="13" t="n"/>
      <c r="H26" s="18" t="n"/>
      <c r="I26" s="31" t="n"/>
      <c r="J26" s="31" t="n"/>
      <c r="K26" s="13" t="n"/>
      <c r="L26" s="13" t="n"/>
    </row>
    <row r="27" ht="22" customHeight="1">
      <c r="B27" s="16">
        <f>IF(C27="","NWS-"&amp;TEXT(COUNTA($C$5:C27),"000"))</f>
        <v/>
      </c>
      <c r="C27" s="11" t="n"/>
      <c r="D27" s="11" t="n"/>
      <c r="E27" s="11" t="n"/>
      <c r="F27" s="27" t="n"/>
      <c r="G27" s="11" t="n"/>
      <c r="H27" s="17" t="n"/>
      <c r="I27" s="29" t="n"/>
      <c r="J27" s="29" t="n"/>
      <c r="K27" s="11" t="n"/>
      <c r="L27" s="11" t="n"/>
    </row>
    <row r="28" ht="22" customHeight="1">
      <c r="B28" s="15">
        <f>IF(C28="","NWS-"&amp;TEXT(COUNTA($C$5:C28),"000"))</f>
        <v/>
      </c>
      <c r="C28" s="13" t="n"/>
      <c r="D28" s="13" t="n"/>
      <c r="E28" s="13" t="n"/>
      <c r="F28" s="28" t="n"/>
      <c r="G28" s="13" t="n"/>
      <c r="H28" s="18" t="n"/>
      <c r="I28" s="31" t="n"/>
      <c r="J28" s="31" t="n"/>
      <c r="K28" s="13" t="n"/>
      <c r="L28" s="13" t="n"/>
    </row>
    <row r="29" ht="22" customHeight="1">
      <c r="B29" s="16">
        <f>IF(C29="","NWS-"&amp;TEXT(COUNTA($C$5:C29),"000"))</f>
        <v/>
      </c>
      <c r="C29" s="11" t="n"/>
      <c r="D29" s="11" t="n"/>
      <c r="E29" s="11" t="n"/>
      <c r="F29" s="27" t="n"/>
      <c r="G29" s="11" t="n"/>
      <c r="H29" s="17" t="n"/>
      <c r="I29" s="29" t="n"/>
      <c r="J29" s="29" t="n"/>
      <c r="K29" s="11" t="n"/>
      <c r="L29" s="11" t="n"/>
    </row>
    <row r="30" ht="22" customHeight="1">
      <c r="B30" s="15">
        <f>IF(C30="","NWS-"&amp;TEXT(COUNTA($C$5:C30),"000"))</f>
        <v/>
      </c>
      <c r="C30" s="13" t="n"/>
      <c r="D30" s="13" t="n"/>
      <c r="E30" s="13" t="n"/>
      <c r="F30" s="28" t="n"/>
      <c r="G30" s="13" t="n"/>
      <c r="H30" s="18" t="n"/>
      <c r="I30" s="31" t="n"/>
      <c r="J30" s="31" t="n"/>
      <c r="K30" s="13" t="n"/>
      <c r="L30" s="13" t="n"/>
    </row>
    <row r="31" ht="22" customHeight="1">
      <c r="B31" s="16">
        <f>IF(C31="","NWS-"&amp;TEXT(COUNTA($C$5:C31),"000"))</f>
        <v/>
      </c>
      <c r="C31" s="11" t="n"/>
      <c r="D31" s="11" t="n"/>
      <c r="E31" s="11" t="n"/>
      <c r="F31" s="27" t="n"/>
      <c r="G31" s="11" t="n"/>
      <c r="H31" s="17" t="n"/>
      <c r="I31" s="29" t="n"/>
      <c r="J31" s="29" t="n"/>
      <c r="K31" s="11" t="n"/>
      <c r="L31" s="11" t="n"/>
    </row>
    <row r="32" ht="22" customHeight="1">
      <c r="B32" s="15">
        <f>IF(C32="","NWS-"&amp;TEXT(COUNTA($C$5:C32),"000"))</f>
        <v/>
      </c>
      <c r="C32" s="13" t="n"/>
      <c r="D32" s="13" t="n"/>
      <c r="E32" s="13" t="n"/>
      <c r="F32" s="28" t="n"/>
      <c r="G32" s="13" t="n"/>
      <c r="H32" s="18" t="n"/>
      <c r="I32" s="31" t="n"/>
      <c r="J32" s="31" t="n"/>
      <c r="K32" s="13" t="n"/>
      <c r="L32" s="13" t="n"/>
    </row>
    <row r="33" ht="22" customHeight="1">
      <c r="B33" s="16">
        <f>IF(C33="","NWS-"&amp;TEXT(COUNTA($C$5:C33),"000"))</f>
        <v/>
      </c>
      <c r="C33" s="11" t="n"/>
      <c r="D33" s="11" t="n"/>
      <c r="E33" s="11" t="n"/>
      <c r="F33" s="27" t="n"/>
      <c r="G33" s="11" t="n"/>
      <c r="H33" s="17" t="n"/>
      <c r="I33" s="29" t="n"/>
      <c r="J33" s="29" t="n"/>
      <c r="K33" s="11" t="n"/>
      <c r="L33" s="11" t="n"/>
    </row>
    <row r="34" ht="22" customHeight="1">
      <c r="B34" s="15">
        <f>IF(C34="","NWS-"&amp;TEXT(COUNTA($C$5:C34),"000"))</f>
        <v/>
      </c>
      <c r="C34" s="13" t="n"/>
      <c r="D34" s="13" t="n"/>
      <c r="E34" s="13" t="n"/>
      <c r="F34" s="28" t="n"/>
      <c r="G34" s="13" t="n"/>
      <c r="H34" s="18" t="n"/>
      <c r="I34" s="31" t="n"/>
      <c r="J34" s="31" t="n"/>
      <c r="K34" s="13" t="n"/>
      <c r="L34" s="13" t="n"/>
    </row>
    <row r="35" ht="22" customHeight="1">
      <c r="B35" s="16">
        <f>IF(C35="","NWS-"&amp;TEXT(COUNTA($C$5:C35),"000"))</f>
        <v/>
      </c>
      <c r="C35" s="11" t="n"/>
      <c r="D35" s="11" t="n"/>
      <c r="E35" s="11" t="n"/>
      <c r="F35" s="27" t="n"/>
      <c r="G35" s="11" t="n"/>
      <c r="H35" s="17" t="n"/>
      <c r="I35" s="29" t="n"/>
      <c r="J35" s="29" t="n"/>
      <c r="K35" s="11" t="n"/>
      <c r="L35" s="11" t="n"/>
    </row>
    <row r="36" ht="22" customHeight="1">
      <c r="B36" s="15">
        <f>IF(C36="","NWS-"&amp;TEXT(COUNTA($C$5:C36),"000"))</f>
        <v/>
      </c>
      <c r="C36" s="13" t="n"/>
      <c r="D36" s="13" t="n"/>
      <c r="E36" s="13" t="n"/>
      <c r="F36" s="28" t="n"/>
      <c r="G36" s="13" t="n"/>
      <c r="H36" s="18" t="n"/>
      <c r="I36" s="31" t="n"/>
      <c r="J36" s="31" t="n"/>
      <c r="K36" s="13" t="n"/>
      <c r="L36" s="13" t="n"/>
    </row>
    <row r="37" ht="22" customHeight="1">
      <c r="B37" s="16">
        <f>IF(C37="","NWS-"&amp;TEXT(COUNTA($C$5:C37),"000"))</f>
        <v/>
      </c>
      <c r="C37" s="11" t="n"/>
      <c r="D37" s="11" t="n"/>
      <c r="E37" s="11" t="n"/>
      <c r="F37" s="27" t="n"/>
      <c r="G37" s="11" t="n"/>
      <c r="H37" s="17" t="n"/>
      <c r="I37" s="29" t="n"/>
      <c r="J37" s="29" t="n"/>
      <c r="K37" s="11" t="n"/>
      <c r="L37" s="11" t="n"/>
    </row>
    <row r="38" ht="22" customHeight="1">
      <c r="B38" s="15">
        <f>IF(C38="","NWS-"&amp;TEXT(COUNTA($C$5:C38),"000"))</f>
        <v/>
      </c>
      <c r="C38" s="13" t="n"/>
      <c r="D38" s="13" t="n"/>
      <c r="E38" s="13" t="n"/>
      <c r="F38" s="28" t="n"/>
      <c r="G38" s="13" t="n"/>
      <c r="H38" s="18" t="n"/>
      <c r="I38" s="31" t="n"/>
      <c r="J38" s="31" t="n"/>
      <c r="K38" s="13" t="n"/>
      <c r="L38" s="13" t="n"/>
    </row>
    <row r="39" ht="22" customHeight="1">
      <c r="B39" s="16">
        <f>IF(C39="","NWS-"&amp;TEXT(COUNTA($C$5:C39),"000"))</f>
        <v/>
      </c>
      <c r="C39" s="11" t="n"/>
      <c r="D39" s="11" t="n"/>
      <c r="E39" s="11" t="n"/>
      <c r="F39" s="27" t="n"/>
      <c r="G39" s="11" t="n"/>
      <c r="H39" s="17" t="n"/>
      <c r="I39" s="29" t="n"/>
      <c r="J39" s="29" t="n"/>
      <c r="K39" s="11" t="n"/>
      <c r="L39" s="11" t="n"/>
    </row>
    <row r="40" ht="22" customHeight="1">
      <c r="B40" s="15">
        <f>IF(C40="","NWS-"&amp;TEXT(COUNTA($C$5:C40),"000"))</f>
        <v/>
      </c>
      <c r="C40" s="13" t="n"/>
      <c r="D40" s="13" t="n"/>
      <c r="E40" s="13" t="n"/>
      <c r="F40" s="28" t="n"/>
      <c r="G40" s="13" t="n"/>
      <c r="H40" s="18" t="n"/>
      <c r="I40" s="31" t="n"/>
      <c r="J40" s="31" t="n"/>
      <c r="K40" s="13" t="n"/>
      <c r="L40" s="13" t="n"/>
    </row>
    <row r="41" ht="22" customHeight="1">
      <c r="B41" s="16">
        <f>IF(C41="","NWS-"&amp;TEXT(COUNTA($C$5:C41),"000"))</f>
        <v/>
      </c>
      <c r="C41" s="11" t="n"/>
      <c r="D41" s="11" t="n"/>
      <c r="E41" s="11" t="n"/>
      <c r="F41" s="27" t="n"/>
      <c r="G41" s="11" t="n"/>
      <c r="H41" s="17" t="n"/>
      <c r="I41" s="29" t="n"/>
      <c r="J41" s="29" t="n"/>
      <c r="K41" s="11" t="n"/>
      <c r="L41" s="11" t="n"/>
    </row>
    <row r="42" ht="22" customHeight="1">
      <c r="B42" s="15">
        <f>IF(C42="","NWS-"&amp;TEXT(COUNTA($C$5:C42),"000"))</f>
        <v/>
      </c>
      <c r="C42" s="13" t="n"/>
      <c r="D42" s="13" t="n"/>
      <c r="E42" s="13" t="n"/>
      <c r="F42" s="28" t="n"/>
      <c r="G42" s="13" t="n"/>
      <c r="H42" s="18" t="n"/>
      <c r="I42" s="31" t="n"/>
      <c r="J42" s="31" t="n"/>
      <c r="K42" s="13" t="n"/>
      <c r="L42" s="13" t="n"/>
    </row>
    <row r="43" ht="22" customHeight="1">
      <c r="B43" s="16">
        <f>IF(C43="","NWS-"&amp;TEXT(COUNTA($C$5:C43),"000"))</f>
        <v/>
      </c>
      <c r="C43" s="11" t="n"/>
      <c r="D43" s="11" t="n"/>
      <c r="E43" s="11" t="n"/>
      <c r="F43" s="27" t="n"/>
      <c r="G43" s="11" t="n"/>
      <c r="H43" s="17" t="n"/>
      <c r="I43" s="29" t="n"/>
      <c r="J43" s="29" t="n"/>
      <c r="K43" s="11" t="n"/>
      <c r="L43" s="11" t="n"/>
    </row>
    <row r="44" ht="22" customHeight="1">
      <c r="B44" s="15">
        <f>IF(C44="","NWS-"&amp;TEXT(COUNTA($C$5:C44),"000"))</f>
        <v/>
      </c>
      <c r="C44" s="13" t="n"/>
      <c r="D44" s="13" t="n"/>
      <c r="E44" s="13" t="n"/>
      <c r="F44" s="28" t="n"/>
      <c r="G44" s="13" t="n"/>
      <c r="H44" s="18" t="n"/>
      <c r="I44" s="31" t="n"/>
      <c r="J44" s="31" t="n"/>
      <c r="K44" s="13" t="n"/>
      <c r="L44" s="13" t="n"/>
    </row>
    <row r="45" ht="22" customHeight="1">
      <c r="B45" s="16">
        <f>IF(C45="","NWS-"&amp;TEXT(COUNTA($C$5:C45),"000"))</f>
        <v/>
      </c>
      <c r="C45" s="11" t="n"/>
      <c r="D45" s="11" t="n"/>
      <c r="E45" s="11" t="n"/>
      <c r="F45" s="27" t="n"/>
      <c r="G45" s="11" t="n"/>
      <c r="H45" s="17" t="n"/>
      <c r="I45" s="29" t="n"/>
      <c r="J45" s="29" t="n"/>
      <c r="K45" s="11" t="n"/>
      <c r="L45" s="11" t="n"/>
    </row>
    <row r="46" ht="22" customHeight="1">
      <c r="B46" s="15">
        <f>IF(C46="","NWS-"&amp;TEXT(COUNTA($C$5:C46),"000"))</f>
        <v/>
      </c>
      <c r="C46" s="13" t="n"/>
      <c r="D46" s="13" t="n"/>
      <c r="E46" s="13" t="n"/>
      <c r="F46" s="28" t="n"/>
      <c r="G46" s="13" t="n"/>
      <c r="H46" s="18" t="n"/>
      <c r="I46" s="31" t="n"/>
      <c r="J46" s="31" t="n"/>
      <c r="K46" s="13" t="n"/>
      <c r="L46" s="13" t="n"/>
    </row>
    <row r="47" ht="22" customHeight="1">
      <c r="B47" s="16">
        <f>IF(C47="","NWS-"&amp;TEXT(COUNTA($C$5:C47),"000"))</f>
        <v/>
      </c>
      <c r="C47" s="11" t="n"/>
      <c r="D47" s="11" t="n"/>
      <c r="E47" s="11" t="n"/>
      <c r="F47" s="27" t="n"/>
      <c r="G47" s="11" t="n"/>
      <c r="H47" s="17" t="n"/>
      <c r="I47" s="29" t="n"/>
      <c r="J47" s="29" t="n"/>
      <c r="K47" s="11" t="n"/>
      <c r="L47" s="11" t="n"/>
    </row>
    <row r="48" ht="22" customHeight="1">
      <c r="B48" s="15">
        <f>IF(C48="","NWS-"&amp;TEXT(COUNTA($C$5:C48),"000"))</f>
        <v/>
      </c>
      <c r="C48" s="13" t="n"/>
      <c r="D48" s="13" t="n"/>
      <c r="E48" s="13" t="n"/>
      <c r="F48" s="28" t="n"/>
      <c r="G48" s="13" t="n"/>
      <c r="H48" s="18" t="n"/>
      <c r="I48" s="31" t="n"/>
      <c r="J48" s="31" t="n"/>
      <c r="K48" s="13" t="n"/>
      <c r="L48" s="13" t="n"/>
    </row>
    <row r="49" ht="22" customHeight="1">
      <c r="B49" s="16">
        <f>IF(C49="","NWS-"&amp;TEXT(COUNTA($C$5:C49),"000"))</f>
        <v/>
      </c>
      <c r="C49" s="11" t="n"/>
      <c r="D49" s="11" t="n"/>
      <c r="E49" s="11" t="n"/>
      <c r="F49" s="27" t="n"/>
      <c r="G49" s="11" t="n"/>
      <c r="H49" s="17" t="n"/>
      <c r="I49" s="29" t="n"/>
      <c r="J49" s="29" t="n"/>
      <c r="K49" s="11" t="n"/>
      <c r="L49" s="11" t="n"/>
    </row>
    <row r="50" ht="22" customHeight="1">
      <c r="B50" s="15">
        <f>IF(C50="","NWS-"&amp;TEXT(COUNTA($C$5:C50),"000"))</f>
        <v/>
      </c>
      <c r="C50" s="13" t="n"/>
      <c r="D50" s="13" t="n"/>
      <c r="E50" s="13" t="n"/>
      <c r="F50" s="28" t="n"/>
      <c r="G50" s="13" t="n"/>
      <c r="H50" s="18" t="n"/>
      <c r="I50" s="31" t="n"/>
      <c r="J50" s="31" t="n"/>
      <c r="K50" s="13" t="n"/>
      <c r="L50" s="13" t="n"/>
    </row>
    <row r="51" ht="22" customHeight="1">
      <c r="B51" s="16">
        <f>IF(C51="","NWS-"&amp;TEXT(COUNTA($C$5:C51),"000"))</f>
        <v/>
      </c>
      <c r="C51" s="11" t="n"/>
      <c r="D51" s="11" t="n"/>
      <c r="E51" s="11" t="n"/>
      <c r="F51" s="27" t="n"/>
      <c r="G51" s="11" t="n"/>
      <c r="H51" s="17" t="n"/>
      <c r="I51" s="29" t="n"/>
      <c r="J51" s="29" t="n"/>
      <c r="K51" s="11" t="n"/>
      <c r="L51" s="11" t="n"/>
    </row>
    <row r="52" ht="22" customHeight="1">
      <c r="B52" s="15">
        <f>IF(C52="","NWS-"&amp;TEXT(COUNTA($C$5:C52),"000"))</f>
        <v/>
      </c>
      <c r="C52" s="13" t="n"/>
      <c r="D52" s="13" t="n"/>
      <c r="E52" s="13" t="n"/>
      <c r="F52" s="28" t="n"/>
      <c r="G52" s="13" t="n"/>
      <c r="H52" s="18" t="n"/>
      <c r="I52" s="31" t="n"/>
      <c r="J52" s="31" t="n"/>
      <c r="K52" s="13" t="n"/>
      <c r="L52" s="13" t="n"/>
    </row>
    <row r="53" ht="22" customHeight="1">
      <c r="B53" s="16">
        <f>IF(C53="","NWS-"&amp;TEXT(COUNTA($C$5:C53),"000"))</f>
        <v/>
      </c>
      <c r="C53" s="11" t="n"/>
      <c r="D53" s="11" t="n"/>
      <c r="E53" s="11" t="n"/>
      <c r="F53" s="27" t="n"/>
      <c r="G53" s="11" t="n"/>
      <c r="H53" s="17" t="n"/>
      <c r="I53" s="29" t="n"/>
      <c r="J53" s="29" t="n"/>
      <c r="K53" s="11" t="n"/>
      <c r="L53" s="11" t="n"/>
    </row>
    <row r="54" ht="22" customHeight="1">
      <c r="B54" s="15">
        <f>IF(C54="","NWS-"&amp;TEXT(COUNTA($C$5:C54),"000"))</f>
        <v/>
      </c>
      <c r="C54" s="13" t="n"/>
      <c r="D54" s="13" t="n"/>
      <c r="E54" s="13" t="n"/>
      <c r="F54" s="28" t="n"/>
      <c r="G54" s="13" t="n"/>
      <c r="H54" s="18" t="n"/>
      <c r="I54" s="31" t="n"/>
      <c r="J54" s="31" t="n"/>
      <c r="K54" s="13" t="n"/>
      <c r="L54" s="13" t="n"/>
    </row>
    <row r="55" ht="22" customHeight="1">
      <c r="B55" s="16">
        <f>IF(C55="","NWS-"&amp;TEXT(COUNTA($C$5:C55),"000"))</f>
        <v/>
      </c>
      <c r="C55" s="11" t="n"/>
      <c r="D55" s="11" t="n"/>
      <c r="E55" s="11" t="n"/>
      <c r="F55" s="27" t="n"/>
      <c r="G55" s="11" t="n"/>
      <c r="H55" s="17" t="n"/>
      <c r="I55" s="29" t="n"/>
      <c r="J55" s="29" t="n"/>
      <c r="K55" s="11" t="n"/>
      <c r="L55" s="11" t="n"/>
    </row>
    <row r="56" ht="22" customHeight="1">
      <c r="B56" s="15">
        <f>IF(C56="","NWS-"&amp;TEXT(COUNTA($C$5:C56),"000"))</f>
        <v/>
      </c>
      <c r="C56" s="13" t="n"/>
      <c r="D56" s="13" t="n"/>
      <c r="E56" s="13" t="n"/>
      <c r="F56" s="28" t="n"/>
      <c r="G56" s="13" t="n"/>
      <c r="H56" s="18" t="n"/>
      <c r="I56" s="31" t="n"/>
      <c r="J56" s="31" t="n"/>
      <c r="K56" s="13" t="n"/>
      <c r="L56" s="13" t="n"/>
    </row>
    <row r="57" ht="22" customHeight="1">
      <c r="B57" s="16">
        <f>IF(C57="","NWS-"&amp;TEXT(COUNTA($C$5:C57),"000"))</f>
        <v/>
      </c>
      <c r="C57" s="11" t="n"/>
      <c r="D57" s="11" t="n"/>
      <c r="E57" s="11" t="n"/>
      <c r="F57" s="27" t="n"/>
      <c r="G57" s="11" t="n"/>
      <c r="H57" s="17" t="n"/>
      <c r="I57" s="29" t="n"/>
      <c r="J57" s="29" t="n"/>
      <c r="K57" s="11" t="n"/>
      <c r="L57" s="11" t="n"/>
    </row>
    <row r="58" ht="22" customHeight="1">
      <c r="B58" s="15">
        <f>IF(C58="","NWS-"&amp;TEXT(COUNTA($C$5:C58),"000"))</f>
        <v/>
      </c>
      <c r="C58" s="13" t="n"/>
      <c r="D58" s="13" t="n"/>
      <c r="E58" s="13" t="n"/>
      <c r="F58" s="28" t="n"/>
      <c r="G58" s="13" t="n"/>
      <c r="H58" s="18" t="n"/>
      <c r="I58" s="31" t="n"/>
      <c r="J58" s="31" t="n"/>
      <c r="K58" s="13" t="n"/>
      <c r="L58" s="13" t="n"/>
    </row>
    <row r="59" ht="22" customHeight="1">
      <c r="B59" s="16">
        <f>IF(C59="","NWS-"&amp;TEXT(COUNTA($C$5:C59),"000"))</f>
        <v/>
      </c>
      <c r="C59" s="11" t="n"/>
      <c r="D59" s="11" t="n"/>
      <c r="E59" s="11" t="n"/>
      <c r="F59" s="27" t="n"/>
      <c r="G59" s="11" t="n"/>
      <c r="H59" s="17" t="n"/>
      <c r="I59" s="29" t="n"/>
      <c r="J59" s="29" t="n"/>
      <c r="K59" s="11" t="n"/>
      <c r="L59" s="11" t="n"/>
    </row>
    <row r="60" ht="22" customHeight="1">
      <c r="B60" s="15">
        <f>IF(C60="","NWS-"&amp;TEXT(COUNTA($C$5:C60),"000"))</f>
        <v/>
      </c>
      <c r="C60" s="13" t="n"/>
      <c r="D60" s="13" t="n"/>
      <c r="E60" s="13" t="n"/>
      <c r="F60" s="28" t="n"/>
      <c r="G60" s="13" t="n"/>
      <c r="H60" s="18" t="n"/>
      <c r="I60" s="31" t="n"/>
      <c r="J60" s="31" t="n"/>
      <c r="K60" s="13" t="n"/>
      <c r="L60" s="13" t="n"/>
    </row>
    <row r="61" ht="22" customHeight="1">
      <c r="B61" s="16">
        <f>IF(C61="","NWS-"&amp;TEXT(COUNTA($C$5:C61),"000"))</f>
        <v/>
      </c>
      <c r="C61" s="11" t="n"/>
      <c r="D61" s="11" t="n"/>
      <c r="E61" s="11" t="n"/>
      <c r="F61" s="27" t="n"/>
      <c r="G61" s="11" t="n"/>
      <c r="H61" s="17" t="n"/>
      <c r="I61" s="29" t="n"/>
      <c r="J61" s="29" t="n"/>
      <c r="K61" s="11" t="n"/>
      <c r="L61" s="11" t="n"/>
    </row>
    <row r="62" ht="22" customHeight="1">
      <c r="B62" s="15">
        <f>IF(C62="","NWS-"&amp;TEXT(COUNTA($C$5:C62),"000"))</f>
        <v/>
      </c>
      <c r="C62" s="13" t="n"/>
      <c r="D62" s="13" t="n"/>
      <c r="E62" s="13" t="n"/>
      <c r="F62" s="28" t="n"/>
      <c r="G62" s="13" t="n"/>
      <c r="H62" s="18" t="n"/>
      <c r="I62" s="31" t="n"/>
      <c r="J62" s="31" t="n"/>
      <c r="K62" s="13" t="n"/>
      <c r="L62" s="13" t="n"/>
    </row>
    <row r="63" ht="22" customHeight="1">
      <c r="B63" s="16">
        <f>IF(C63="","NWS-"&amp;TEXT(COUNTA($C$5:C63),"000"))</f>
        <v/>
      </c>
      <c r="C63" s="11" t="n"/>
      <c r="D63" s="11" t="n"/>
      <c r="E63" s="11" t="n"/>
      <c r="F63" s="27" t="n"/>
      <c r="G63" s="11" t="n"/>
      <c r="H63" s="17" t="n"/>
      <c r="I63" s="29" t="n"/>
      <c r="J63" s="29" t="n"/>
      <c r="K63" s="11" t="n"/>
      <c r="L63" s="11" t="n"/>
    </row>
    <row r="64" ht="22" customHeight="1">
      <c r="B64" s="15">
        <f>IF(C64="","NWS-"&amp;TEXT(COUNTA($C$5:C64),"000"))</f>
        <v/>
      </c>
      <c r="C64" s="13" t="n"/>
      <c r="D64" s="13" t="n"/>
      <c r="E64" s="13" t="n"/>
      <c r="F64" s="28" t="n"/>
      <c r="G64" s="13" t="n"/>
      <c r="H64" s="18" t="n"/>
      <c r="I64" s="31" t="n"/>
      <c r="J64" s="31" t="n"/>
      <c r="K64" s="13" t="n"/>
      <c r="L64" s="13" t="n"/>
    </row>
    <row r="65" ht="22" customHeight="1">
      <c r="B65" s="16">
        <f>IF(C65="","NWS-"&amp;TEXT(COUNTA($C$5:C65),"000"))</f>
        <v/>
      </c>
      <c r="C65" s="11" t="n"/>
      <c r="D65" s="11" t="n"/>
      <c r="E65" s="11" t="n"/>
      <c r="F65" s="27" t="n"/>
      <c r="G65" s="11" t="n"/>
      <c r="H65" s="17" t="n"/>
      <c r="I65" s="29" t="n"/>
      <c r="J65" s="29" t="n"/>
      <c r="K65" s="11" t="n"/>
      <c r="L65" s="11" t="n"/>
    </row>
    <row r="66" ht="22" customHeight="1">
      <c r="B66" s="15">
        <f>IF(C66="","NWS-"&amp;TEXT(COUNTA($C$5:C66),"000"))</f>
        <v/>
      </c>
      <c r="C66" s="13" t="n"/>
      <c r="D66" s="13" t="n"/>
      <c r="E66" s="13" t="n"/>
      <c r="F66" s="28" t="n"/>
      <c r="G66" s="13" t="n"/>
      <c r="H66" s="18" t="n"/>
      <c r="I66" s="31" t="n"/>
      <c r="J66" s="31" t="n"/>
      <c r="K66" s="13" t="n"/>
      <c r="L66" s="13" t="n"/>
    </row>
    <row r="67" ht="22" customHeight="1">
      <c r="B67" s="16">
        <f>IF(C67="","NWS-"&amp;TEXT(COUNTA($C$5:C67),"000"))</f>
        <v/>
      </c>
      <c r="C67" s="11" t="n"/>
      <c r="D67" s="11" t="n"/>
      <c r="E67" s="11" t="n"/>
      <c r="F67" s="27" t="n"/>
      <c r="G67" s="11" t="n"/>
      <c r="H67" s="17" t="n"/>
      <c r="I67" s="29" t="n"/>
      <c r="J67" s="29" t="n"/>
      <c r="K67" s="11" t="n"/>
      <c r="L67" s="11" t="n"/>
    </row>
    <row r="68" ht="22" customHeight="1">
      <c r="B68" s="15">
        <f>IF(C68="","NWS-"&amp;TEXT(COUNTA($C$5:C68),"000"))</f>
        <v/>
      </c>
      <c r="C68" s="13" t="n"/>
      <c r="D68" s="13" t="n"/>
      <c r="E68" s="13" t="n"/>
      <c r="F68" s="28" t="n"/>
      <c r="G68" s="13" t="n"/>
      <c r="H68" s="18" t="n"/>
      <c r="I68" s="31" t="n"/>
      <c r="J68" s="31" t="n"/>
      <c r="K68" s="13" t="n"/>
      <c r="L68" s="13" t="n"/>
    </row>
    <row r="69" ht="22" customHeight="1">
      <c r="B69" s="16">
        <f>IF(C69="","NWS-"&amp;TEXT(COUNTA($C$5:C69),"000"))</f>
        <v/>
      </c>
      <c r="C69" s="11" t="n"/>
      <c r="D69" s="11" t="n"/>
      <c r="E69" s="11" t="n"/>
      <c r="F69" s="27" t="n"/>
      <c r="G69" s="11" t="n"/>
      <c r="H69" s="17" t="n"/>
      <c r="I69" s="29" t="n"/>
      <c r="J69" s="29" t="n"/>
      <c r="K69" s="11" t="n"/>
      <c r="L69" s="11" t="n"/>
    </row>
    <row r="70" ht="22" customHeight="1">
      <c r="B70" s="15">
        <f>IF(C70="","NWS-"&amp;TEXT(COUNTA($C$5:C70),"000"))</f>
        <v/>
      </c>
      <c r="C70" s="13" t="n"/>
      <c r="D70" s="13" t="n"/>
      <c r="E70" s="13" t="n"/>
      <c r="F70" s="28" t="n"/>
      <c r="G70" s="13" t="n"/>
      <c r="H70" s="18" t="n"/>
      <c r="I70" s="31" t="n"/>
      <c r="J70" s="31" t="n"/>
      <c r="K70" s="13" t="n"/>
      <c r="L70" s="13" t="n"/>
    </row>
    <row r="71" ht="22" customHeight="1">
      <c r="B71" s="16">
        <f>IF(C71="","NWS-"&amp;TEXT(COUNTA($C$5:C71),"000"))</f>
        <v/>
      </c>
      <c r="C71" s="11" t="n"/>
      <c r="D71" s="11" t="n"/>
      <c r="E71" s="11" t="n"/>
      <c r="F71" s="27" t="n"/>
      <c r="G71" s="11" t="n"/>
      <c r="H71" s="17" t="n"/>
      <c r="I71" s="29" t="n"/>
      <c r="J71" s="29" t="n"/>
      <c r="K71" s="11" t="n"/>
      <c r="L71" s="11" t="n"/>
    </row>
    <row r="72" ht="22" customHeight="1">
      <c r="B72" s="15">
        <f>IF(C72="","NWS-"&amp;TEXT(COUNTA($C$5:C72),"000"))</f>
        <v/>
      </c>
      <c r="C72" s="13" t="n"/>
      <c r="D72" s="13" t="n"/>
      <c r="E72" s="13" t="n"/>
      <c r="F72" s="28" t="n"/>
      <c r="G72" s="13" t="n"/>
      <c r="H72" s="18" t="n"/>
      <c r="I72" s="31" t="n"/>
      <c r="J72" s="31" t="n"/>
      <c r="K72" s="13" t="n"/>
      <c r="L72" s="13" t="n"/>
    </row>
    <row r="73" ht="22" customHeight="1">
      <c r="B73" s="16">
        <f>IF(C73="","NWS-"&amp;TEXT(COUNTA($C$5:C73),"000"))</f>
        <v/>
      </c>
      <c r="C73" s="11" t="n"/>
      <c r="D73" s="11" t="n"/>
      <c r="E73" s="11" t="n"/>
      <c r="F73" s="27" t="n"/>
      <c r="G73" s="11" t="n"/>
      <c r="H73" s="17" t="n"/>
      <c r="I73" s="29" t="n"/>
      <c r="J73" s="29" t="n"/>
      <c r="K73" s="11" t="n"/>
      <c r="L73" s="11" t="n"/>
    </row>
    <row r="74" ht="22" customHeight="1">
      <c r="B74" s="15">
        <f>IF(C74="","NWS-"&amp;TEXT(COUNTA($C$5:C74),"000"))</f>
        <v/>
      </c>
      <c r="C74" s="13" t="n"/>
      <c r="D74" s="13" t="n"/>
      <c r="E74" s="13" t="n"/>
      <c r="F74" s="28" t="n"/>
      <c r="G74" s="13" t="n"/>
      <c r="H74" s="18" t="n"/>
      <c r="I74" s="31" t="n"/>
      <c r="J74" s="31" t="n"/>
      <c r="K74" s="13" t="n"/>
      <c r="L74" s="13" t="n"/>
    </row>
    <row r="75" ht="22" customHeight="1">
      <c r="B75" s="16">
        <f>IF(C75="","NWS-"&amp;TEXT(COUNTA($C$5:C75),"000"))</f>
        <v/>
      </c>
      <c r="C75" s="11" t="n"/>
      <c r="D75" s="11" t="n"/>
      <c r="E75" s="11" t="n"/>
      <c r="F75" s="27" t="n"/>
      <c r="G75" s="11" t="n"/>
      <c r="H75" s="17" t="n"/>
      <c r="I75" s="29" t="n"/>
      <c r="J75" s="29" t="n"/>
      <c r="K75" s="11" t="n"/>
      <c r="L75" s="11" t="n"/>
    </row>
    <row r="76" ht="22" customHeight="1">
      <c r="B76" s="15">
        <f>IF(C76="","NWS-"&amp;TEXT(COUNTA($C$5:C76),"000"))</f>
        <v/>
      </c>
      <c r="C76" s="13" t="n"/>
      <c r="D76" s="13" t="n"/>
      <c r="E76" s="13" t="n"/>
      <c r="F76" s="28" t="n"/>
      <c r="G76" s="13" t="n"/>
      <c r="H76" s="18" t="n"/>
      <c r="I76" s="31" t="n"/>
      <c r="J76" s="31" t="n"/>
      <c r="K76" s="13" t="n"/>
      <c r="L76" s="13" t="n"/>
    </row>
    <row r="77" ht="22" customHeight="1">
      <c r="B77" s="16">
        <f>IF(C77="","NWS-"&amp;TEXT(COUNTA($C$5:C77),"000"))</f>
        <v/>
      </c>
      <c r="C77" s="11" t="n"/>
      <c r="D77" s="11" t="n"/>
      <c r="E77" s="11" t="n"/>
      <c r="F77" s="27" t="n"/>
      <c r="G77" s="11" t="n"/>
      <c r="H77" s="17" t="n"/>
      <c r="I77" s="29" t="n"/>
      <c r="J77" s="29" t="n"/>
      <c r="K77" s="11" t="n"/>
      <c r="L77" s="11" t="n"/>
    </row>
    <row r="78" ht="22" customHeight="1">
      <c r="B78" s="15">
        <f>IF(C78="","NWS-"&amp;TEXT(COUNTA($C$5:C78),"000"))</f>
        <v/>
      </c>
      <c r="C78" s="13" t="n"/>
      <c r="D78" s="13" t="n"/>
      <c r="E78" s="13" t="n"/>
      <c r="F78" s="28" t="n"/>
      <c r="G78" s="13" t="n"/>
      <c r="H78" s="18" t="n"/>
      <c r="I78" s="31" t="n"/>
      <c r="J78" s="31" t="n"/>
      <c r="K78" s="13" t="n"/>
      <c r="L78" s="13" t="n"/>
    </row>
    <row r="79" ht="22" customHeight="1">
      <c r="B79" s="16">
        <f>IF(C79="","NWS-"&amp;TEXT(COUNTA($C$5:C79),"000"))</f>
        <v/>
      </c>
      <c r="C79" s="11" t="n"/>
      <c r="D79" s="11" t="n"/>
      <c r="E79" s="11" t="n"/>
      <c r="F79" s="27" t="n"/>
      <c r="G79" s="11" t="n"/>
      <c r="H79" s="17" t="n"/>
      <c r="I79" s="29" t="n"/>
      <c r="J79" s="29" t="n"/>
      <c r="K79" s="11" t="n"/>
      <c r="L79" s="11" t="n"/>
    </row>
    <row r="80" ht="22" customHeight="1">
      <c r="B80" s="15">
        <f>IF(C80="","NWS-"&amp;TEXT(COUNTA($C$5:C80),"000"))</f>
        <v/>
      </c>
      <c r="C80" s="13" t="n"/>
      <c r="D80" s="13" t="n"/>
      <c r="E80" s="13" t="n"/>
      <c r="F80" s="28" t="n"/>
      <c r="G80" s="13" t="n"/>
      <c r="H80" s="18" t="n"/>
      <c r="I80" s="31" t="n"/>
      <c r="J80" s="31" t="n"/>
      <c r="K80" s="13" t="n"/>
      <c r="L80" s="13" t="n"/>
    </row>
    <row r="81" ht="22" customHeight="1">
      <c r="B81" s="16">
        <f>IF(C81="","NWS-"&amp;TEXT(COUNTA($C$5:C81),"000"))</f>
        <v/>
      </c>
      <c r="C81" s="11" t="n"/>
      <c r="D81" s="11" t="n"/>
      <c r="E81" s="11" t="n"/>
      <c r="F81" s="27" t="n"/>
      <c r="G81" s="11" t="n"/>
      <c r="H81" s="17" t="n"/>
      <c r="I81" s="29" t="n"/>
      <c r="J81" s="29" t="n"/>
      <c r="K81" s="11" t="n"/>
      <c r="L81" s="11" t="n"/>
    </row>
    <row r="82" ht="22" customHeight="1">
      <c r="B82" s="15">
        <f>IF(C82="","NWS-"&amp;TEXT(COUNTA($C$5:C82),"000"))</f>
        <v/>
      </c>
      <c r="C82" s="13" t="n"/>
      <c r="D82" s="13" t="n"/>
      <c r="E82" s="13" t="n"/>
      <c r="F82" s="28" t="n"/>
      <c r="G82" s="13" t="n"/>
      <c r="H82" s="18" t="n"/>
      <c r="I82" s="31" t="n"/>
      <c r="J82" s="31" t="n"/>
      <c r="K82" s="13" t="n"/>
      <c r="L82" s="13" t="n"/>
    </row>
    <row r="83" ht="22" customHeight="1">
      <c r="B83" s="16">
        <f>IF(C83="","NWS-"&amp;TEXT(COUNTA($C$5:C83),"000"))</f>
        <v/>
      </c>
      <c r="C83" s="11" t="n"/>
      <c r="D83" s="11" t="n"/>
      <c r="E83" s="11" t="n"/>
      <c r="F83" s="27" t="n"/>
      <c r="G83" s="11" t="n"/>
      <c r="H83" s="17" t="n"/>
      <c r="I83" s="29" t="n"/>
      <c r="J83" s="29" t="n"/>
      <c r="K83" s="11" t="n"/>
      <c r="L83" s="11" t="n"/>
    </row>
    <row r="84" ht="22" customHeight="1">
      <c r="B84" s="15">
        <f>IF(C84="","NWS-"&amp;TEXT(COUNTA($C$5:C84),"000"))</f>
        <v/>
      </c>
      <c r="C84" s="13" t="n"/>
      <c r="D84" s="13" t="n"/>
      <c r="E84" s="13" t="n"/>
      <c r="F84" s="28" t="n"/>
      <c r="G84" s="13" t="n"/>
      <c r="H84" s="18" t="n"/>
      <c r="I84" s="31" t="n"/>
      <c r="J84" s="31" t="n"/>
      <c r="K84" s="13" t="n"/>
      <c r="L84" s="13" t="n"/>
    </row>
    <row r="85" ht="22" customHeight="1">
      <c r="B85" s="16">
        <f>IF(C85="","NWS-"&amp;TEXT(COUNTA($C$5:C85),"000"))</f>
        <v/>
      </c>
      <c r="C85" s="11" t="n"/>
      <c r="D85" s="11" t="n"/>
      <c r="E85" s="11" t="n"/>
      <c r="F85" s="27" t="n"/>
      <c r="G85" s="11" t="n"/>
      <c r="H85" s="17" t="n"/>
      <c r="I85" s="29" t="n"/>
      <c r="J85" s="29" t="n"/>
      <c r="K85" s="11" t="n"/>
      <c r="L85" s="11" t="n"/>
    </row>
    <row r="86" ht="22" customHeight="1">
      <c r="B86" s="15">
        <f>IF(C86="","NWS-"&amp;TEXT(COUNTA($C$5:C86),"000"))</f>
        <v/>
      </c>
      <c r="C86" s="13" t="n"/>
      <c r="D86" s="13" t="n"/>
      <c r="E86" s="13" t="n"/>
      <c r="F86" s="28" t="n"/>
      <c r="G86" s="13" t="n"/>
      <c r="H86" s="18" t="n"/>
      <c r="I86" s="31" t="n"/>
      <c r="J86" s="31" t="n"/>
      <c r="K86" s="13" t="n"/>
      <c r="L86" s="13" t="n"/>
    </row>
    <row r="87" ht="22" customHeight="1">
      <c r="B87" s="16">
        <f>IF(C87="","NWS-"&amp;TEXT(COUNTA($C$5:C87),"000"))</f>
        <v/>
      </c>
      <c r="C87" s="11" t="n"/>
      <c r="D87" s="11" t="n"/>
      <c r="E87" s="11" t="n"/>
      <c r="F87" s="27" t="n"/>
      <c r="G87" s="11" t="n"/>
      <c r="H87" s="17" t="n"/>
      <c r="I87" s="29" t="n"/>
      <c r="J87" s="29" t="n"/>
      <c r="K87" s="11" t="n"/>
      <c r="L87" s="11" t="n"/>
    </row>
    <row r="88" ht="22" customHeight="1">
      <c r="B88" s="15">
        <f>IF(C88="","NWS-"&amp;TEXT(COUNTA($C$5:C88),"000"))</f>
        <v/>
      </c>
      <c r="C88" s="13" t="n"/>
      <c r="D88" s="13" t="n"/>
      <c r="E88" s="13" t="n"/>
      <c r="F88" s="28" t="n"/>
      <c r="G88" s="13" t="n"/>
      <c r="H88" s="18" t="n"/>
      <c r="I88" s="31" t="n"/>
      <c r="J88" s="31" t="n"/>
      <c r="K88" s="13" t="n"/>
      <c r="L88" s="13" t="n"/>
    </row>
    <row r="89" ht="22" customHeight="1">
      <c r="B89" s="16">
        <f>IF(C89="","NWS-"&amp;TEXT(COUNTA($C$5:C89),"000"))</f>
        <v/>
      </c>
      <c r="C89" s="11" t="n"/>
      <c r="D89" s="11" t="n"/>
      <c r="E89" s="11" t="n"/>
      <c r="F89" s="27" t="n"/>
      <c r="G89" s="11" t="n"/>
      <c r="H89" s="17" t="n"/>
      <c r="I89" s="29" t="n"/>
      <c r="J89" s="29" t="n"/>
      <c r="K89" s="11" t="n"/>
      <c r="L89" s="11" t="n"/>
    </row>
    <row r="90" ht="22" customHeight="1">
      <c r="B90" s="15">
        <f>IF(C90="","NWS-"&amp;TEXT(COUNTA($C$5:C90),"000"))</f>
        <v/>
      </c>
      <c r="C90" s="13" t="n"/>
      <c r="D90" s="13" t="n"/>
      <c r="E90" s="13" t="n"/>
      <c r="F90" s="28" t="n"/>
      <c r="G90" s="13" t="n"/>
      <c r="H90" s="18" t="n"/>
      <c r="I90" s="31" t="n"/>
      <c r="J90" s="31" t="n"/>
      <c r="K90" s="13" t="n"/>
      <c r="L90" s="13" t="n"/>
    </row>
    <row r="91" ht="22" customHeight="1">
      <c r="B91" s="16">
        <f>IF(C91="","NWS-"&amp;TEXT(COUNTA($C$5:C91),"000"))</f>
        <v/>
      </c>
      <c r="C91" s="11" t="n"/>
      <c r="D91" s="11" t="n"/>
      <c r="E91" s="11" t="n"/>
      <c r="F91" s="27" t="n"/>
      <c r="G91" s="11" t="n"/>
      <c r="H91" s="17" t="n"/>
      <c r="I91" s="29" t="n"/>
      <c r="J91" s="29" t="n"/>
      <c r="K91" s="11" t="n"/>
      <c r="L91" s="11" t="n"/>
    </row>
    <row r="92" ht="22" customHeight="1">
      <c r="B92" s="15">
        <f>IF(C92="","NWS-"&amp;TEXT(COUNTA($C$5:C92),"000"))</f>
        <v/>
      </c>
      <c r="C92" s="13" t="n"/>
      <c r="D92" s="13" t="n"/>
      <c r="E92" s="13" t="n"/>
      <c r="F92" s="28" t="n"/>
      <c r="G92" s="13" t="n"/>
      <c r="H92" s="18" t="n"/>
      <c r="I92" s="31" t="n"/>
      <c r="J92" s="31" t="n"/>
      <c r="K92" s="13" t="n"/>
      <c r="L92" s="13" t="n"/>
    </row>
    <row r="93" ht="22" customHeight="1">
      <c r="B93" s="16">
        <f>IF(C93="","NWS-"&amp;TEXT(COUNTA($C$5:C93),"000"))</f>
        <v/>
      </c>
      <c r="C93" s="11" t="n"/>
      <c r="D93" s="11" t="n"/>
      <c r="E93" s="11" t="n"/>
      <c r="F93" s="27" t="n"/>
      <c r="G93" s="11" t="n"/>
      <c r="H93" s="17" t="n"/>
      <c r="I93" s="29" t="n"/>
      <c r="J93" s="29" t="n"/>
      <c r="K93" s="11" t="n"/>
      <c r="L93" s="11" t="n"/>
    </row>
    <row r="94" ht="22" customHeight="1">
      <c r="B94" s="15">
        <f>IF(C94="","NWS-"&amp;TEXT(COUNTA($C$5:C94),"000"))</f>
        <v/>
      </c>
      <c r="C94" s="13" t="n"/>
      <c r="D94" s="13" t="n"/>
      <c r="E94" s="13" t="n"/>
      <c r="F94" s="28" t="n"/>
      <c r="G94" s="13" t="n"/>
      <c r="H94" s="18" t="n"/>
      <c r="I94" s="31" t="n"/>
      <c r="J94" s="31" t="n"/>
      <c r="K94" s="13" t="n"/>
      <c r="L94" s="13" t="n"/>
    </row>
    <row r="95" ht="22" customHeight="1">
      <c r="B95" s="16">
        <f>IF(C95="","NWS-"&amp;TEXT(COUNTA($C$5:C95),"000"))</f>
        <v/>
      </c>
      <c r="C95" s="11" t="n"/>
      <c r="D95" s="11" t="n"/>
      <c r="E95" s="11" t="n"/>
      <c r="F95" s="27" t="n"/>
      <c r="G95" s="11" t="n"/>
      <c r="H95" s="17" t="n"/>
      <c r="I95" s="29" t="n"/>
      <c r="J95" s="29" t="n"/>
      <c r="K95" s="11" t="n"/>
      <c r="L95" s="11" t="n"/>
    </row>
    <row r="96" ht="22" customHeight="1">
      <c r="B96" s="15">
        <f>IF(C96="","NWS-"&amp;TEXT(COUNTA($C$5:C96),"000"))</f>
        <v/>
      </c>
      <c r="C96" s="13" t="n"/>
      <c r="D96" s="13" t="n"/>
      <c r="E96" s="13" t="n"/>
      <c r="F96" s="28" t="n"/>
      <c r="G96" s="13" t="n"/>
      <c r="H96" s="18" t="n"/>
      <c r="I96" s="31" t="n"/>
      <c r="J96" s="31" t="n"/>
      <c r="K96" s="13" t="n"/>
      <c r="L96" s="13" t="n"/>
    </row>
    <row r="97" ht="22" customHeight="1">
      <c r="B97" s="16">
        <f>IF(C97="","NWS-"&amp;TEXT(COUNTA($C$5:C97),"000"))</f>
        <v/>
      </c>
      <c r="C97" s="11" t="n"/>
      <c r="D97" s="11" t="n"/>
      <c r="E97" s="11" t="n"/>
      <c r="F97" s="27" t="n"/>
      <c r="G97" s="11" t="n"/>
      <c r="H97" s="17" t="n"/>
      <c r="I97" s="29" t="n"/>
      <c r="J97" s="29" t="n"/>
      <c r="K97" s="11" t="n"/>
      <c r="L97" s="11" t="n"/>
    </row>
    <row r="98" ht="22" customHeight="1">
      <c r="B98" s="15">
        <f>IF(C98="","NWS-"&amp;TEXT(COUNTA($C$5:C98),"000"))</f>
        <v/>
      </c>
      <c r="C98" s="13" t="n"/>
      <c r="D98" s="13" t="n"/>
      <c r="E98" s="13" t="n"/>
      <c r="F98" s="28" t="n"/>
      <c r="G98" s="13" t="n"/>
      <c r="H98" s="18" t="n"/>
      <c r="I98" s="31" t="n"/>
      <c r="J98" s="31" t="n"/>
      <c r="K98" s="13" t="n"/>
      <c r="L98" s="13" t="n"/>
    </row>
    <row r="99" ht="22" customHeight="1">
      <c r="B99" s="16">
        <f>IF(C99="","NWS-"&amp;TEXT(COUNTA($C$5:C99),"000"))</f>
        <v/>
      </c>
      <c r="C99" s="11" t="n"/>
      <c r="D99" s="11" t="n"/>
      <c r="E99" s="11" t="n"/>
      <c r="F99" s="27" t="n"/>
      <c r="G99" s="11" t="n"/>
      <c r="H99" s="17" t="n"/>
      <c r="I99" s="29" t="n"/>
      <c r="J99" s="29" t="n"/>
      <c r="K99" s="11" t="n"/>
      <c r="L99" s="11" t="n"/>
    </row>
    <row r="100" ht="22" customHeight="1">
      <c r="B100" s="15">
        <f>IF(C100="","NWS-"&amp;TEXT(COUNTA($C$5:C100),"000"))</f>
        <v/>
      </c>
      <c r="C100" s="13" t="n"/>
      <c r="D100" s="13" t="n"/>
      <c r="E100" s="13" t="n"/>
      <c r="F100" s="28" t="n"/>
      <c r="G100" s="13" t="n"/>
      <c r="H100" s="18" t="n"/>
      <c r="I100" s="31" t="n"/>
      <c r="J100" s="31" t="n"/>
      <c r="K100" s="13" t="n"/>
      <c r="L100" s="13" t="n"/>
    </row>
    <row r="101" ht="22" customHeight="1">
      <c r="B101" s="16">
        <f>IF(C101="","NWS-"&amp;TEXT(COUNTA($C$5:C101),"000"))</f>
        <v/>
      </c>
      <c r="C101" s="11" t="n"/>
      <c r="D101" s="11" t="n"/>
      <c r="E101" s="11" t="n"/>
      <c r="F101" s="27" t="n"/>
      <c r="G101" s="11" t="n"/>
      <c r="H101" s="17" t="n"/>
      <c r="I101" s="29" t="n"/>
      <c r="J101" s="29" t="n"/>
      <c r="K101" s="11" t="n"/>
      <c r="L101" s="11" t="n"/>
    </row>
    <row r="102" ht="22" customHeight="1">
      <c r="B102" s="15">
        <f>IF(C102="","NWS-"&amp;TEXT(COUNTA($C$5:C102),"000"))</f>
        <v/>
      </c>
      <c r="C102" s="13" t="n"/>
      <c r="D102" s="13" t="n"/>
      <c r="E102" s="13" t="n"/>
      <c r="F102" s="28" t="n"/>
      <c r="G102" s="13" t="n"/>
      <c r="H102" s="18" t="n"/>
      <c r="I102" s="31" t="n"/>
      <c r="J102" s="31" t="n"/>
      <c r="K102" s="13" t="n"/>
      <c r="L102" s="13" t="n"/>
    </row>
    <row r="103" ht="22" customHeight="1">
      <c r="B103" s="16">
        <f>IF(C103="","NWS-"&amp;TEXT(COUNTA($C$5:C103),"000"))</f>
        <v/>
      </c>
      <c r="C103" s="11" t="n"/>
      <c r="D103" s="11" t="n"/>
      <c r="E103" s="11" t="n"/>
      <c r="F103" s="27" t="n"/>
      <c r="G103" s="11" t="n"/>
      <c r="H103" s="17" t="n"/>
      <c r="I103" s="29" t="n"/>
      <c r="J103" s="29" t="n"/>
      <c r="K103" s="11" t="n"/>
      <c r="L103" s="11" t="n"/>
    </row>
    <row r="104" ht="22" customHeight="1">
      <c r="B104" s="15">
        <f>IF(C104="","NWS-"&amp;TEXT(COUNTA($C$5:C104),"000"))</f>
        <v/>
      </c>
      <c r="C104" s="13" t="n"/>
      <c r="D104" s="13" t="n"/>
      <c r="E104" s="13" t="n"/>
      <c r="F104" s="28" t="n"/>
      <c r="G104" s="13" t="n"/>
      <c r="H104" s="18" t="n"/>
      <c r="I104" s="31" t="n"/>
      <c r="J104" s="31" t="n"/>
      <c r="K104" s="13" t="n"/>
      <c r="L104" s="13" t="n"/>
    </row>
    <row r="105" ht="22" customHeight="1">
      <c r="B105" s="16">
        <f>IF(C105="","NWS-"&amp;TEXT(COUNTA($C$5:C105),"000"))</f>
        <v/>
      </c>
      <c r="C105" s="11" t="n"/>
      <c r="D105" s="11" t="n"/>
      <c r="E105" s="11" t="n"/>
      <c r="F105" s="27" t="n"/>
      <c r="G105" s="11" t="n"/>
      <c r="H105" s="17" t="n"/>
      <c r="I105" s="29" t="n"/>
      <c r="J105" s="29" t="n"/>
      <c r="K105" s="11" t="n"/>
      <c r="L105" s="11" t="n"/>
    </row>
    <row r="106" ht="22" customHeight="1">
      <c r="B106" s="15">
        <f>IF(C106="","NWS-"&amp;TEXT(COUNTA($C$5:C106),"000"))</f>
        <v/>
      </c>
      <c r="C106" s="13" t="n"/>
      <c r="D106" s="13" t="n"/>
      <c r="E106" s="13" t="n"/>
      <c r="F106" s="28" t="n"/>
      <c r="G106" s="13" t="n"/>
      <c r="H106" s="18" t="n"/>
      <c r="I106" s="31" t="n"/>
      <c r="J106" s="31" t="n"/>
      <c r="K106" s="13" t="n"/>
      <c r="L106" s="13" t="n"/>
    </row>
    <row r="107" ht="22" customHeight="1">
      <c r="B107" s="16">
        <f>IF(C107="","NWS-"&amp;TEXT(COUNTA($C$5:C107),"000"))</f>
        <v/>
      </c>
      <c r="C107" s="11" t="n"/>
      <c r="D107" s="11" t="n"/>
      <c r="E107" s="11" t="n"/>
      <c r="F107" s="27" t="n"/>
      <c r="G107" s="11" t="n"/>
      <c r="H107" s="17" t="n"/>
      <c r="I107" s="29" t="n"/>
      <c r="J107" s="29" t="n"/>
      <c r="K107" s="11" t="n"/>
      <c r="L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Newsletters</t>
        </is>
      </c>
      <c r="D110" s="3" t="inlineStr">
        <is>
          <t>Taux ouverture moy.</t>
        </is>
      </c>
      <c r="F110" s="3" t="inlineStr">
        <is>
          <t>Taux clic moyen</t>
        </is>
      </c>
    </row>
    <row r="111">
      <c r="B111" s="4">
        <f>COUNTIF(B5:B104,"&lt;&gt;")</f>
        <v/>
      </c>
      <c r="D111" s="4">
        <f>IFERROR(AVERAGE(I5:I104),0)</f>
        <v/>
      </c>
      <c r="F111" s="4">
        <f>IFERROR(AVERAGE(J5:J104),0)</f>
        <v/>
      </c>
    </row>
  </sheetData>
  <mergeCells count="3">
    <mergeCell ref="B2:L2"/>
    <mergeCell ref="B109:L109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8:B107">
    <cfRule type="expression" priority="230" dxfId="3">
      <formula>AND($C8="",$C7&lt;&gt;"")</formula>
    </cfRule>
  </conditionalFormatting>
  <conditionalFormatting sqref="C8:C107">
    <cfRule type="expression" priority="231" dxfId="3">
      <formula>AND($C8="",$C7&lt;&gt;"")</formula>
    </cfRule>
  </conditionalFormatting>
  <conditionalFormatting sqref="D8:D107">
    <cfRule type="expression" priority="232" dxfId="3">
      <formula>AND($C8="",$C7&lt;&gt;"")</formula>
    </cfRule>
  </conditionalFormatting>
  <conditionalFormatting sqref="E8:E107">
    <cfRule type="expression" priority="233" dxfId="3">
      <formula>AND($C8="",$C7&lt;&gt;"")</formula>
    </cfRule>
  </conditionalFormatting>
  <conditionalFormatting sqref="F8:F107">
    <cfRule type="expression" priority="234" dxfId="3">
      <formula>AND($C8="",$C7&lt;&gt;"")</formula>
    </cfRule>
  </conditionalFormatting>
  <conditionalFormatting sqref="G8:G107">
    <cfRule type="expression" priority="235" dxfId="3">
      <formula>AND($C8="",$C7&lt;&gt;"")</formula>
    </cfRule>
  </conditionalFormatting>
  <conditionalFormatting sqref="H8:H107">
    <cfRule type="expression" priority="236" dxfId="3">
      <formula>AND($C8="",$C7&lt;&gt;"")</formula>
    </cfRule>
  </conditionalFormatting>
  <conditionalFormatting sqref="I8:I107">
    <cfRule type="expression" priority="237" dxfId="3">
      <formula>AND($C8="",$C7&lt;&gt;"")</formula>
    </cfRule>
  </conditionalFormatting>
  <conditionalFormatting sqref="J8:J107">
    <cfRule type="expression" priority="238" dxfId="3">
      <formula>AND($C8="",$C7&lt;&gt;"")</formula>
    </cfRule>
  </conditionalFormatting>
  <conditionalFormatting sqref="K8:K107">
    <cfRule type="expression" priority="239" dxfId="3">
      <formula>AND($C8="",$C7&lt;&gt;"")</formula>
    </cfRule>
  </conditionalFormatting>
  <conditionalFormatting sqref="L8:L107">
    <cfRule type="expression" priority="240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'_Lists'!$N$2:$N$6</formula1>
    </dataValidation>
    <dataValidation sqref="L5:L107" showDropDown="0" showInputMessage="0" showErrorMessage="0" allowBlank="1" errorTitle="Erreur" error="Valeur invalide" promptTitle="Liste" prompt="Choisir dans la liste" type="list">
      <formula1>'_Lists'!$P$2:$P$7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2" customWidth="1" min="4" max="4"/>
    <col width="20" customWidth="1" min="5" max="5"/>
    <col width="14" customWidth="1" min="6" max="6"/>
    <col width="14" customWidth="1" min="7" max="7"/>
    <col width="12" customWidth="1" min="8" max="8"/>
    <col width="22" customWidth="1" min="9" max="9"/>
    <col width="16" customWidth="1" min="10" max="10"/>
    <col width="30" customWidth="1" min="11" max="11"/>
  </cols>
  <sheetData>
    <row r="1" ht="15" customHeight="1"/>
    <row r="2" ht="32" customHeight="1">
      <c r="B2" s="1" t="inlineStr">
        <is>
          <t>JOURNAL INTERNE (#144)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Titre Article</t>
        </is>
      </c>
      <c r="D4" s="10" t="inlineStr">
        <is>
          <t>Rubrique</t>
        </is>
      </c>
      <c r="E4" s="10" t="inlineStr">
        <is>
          <t>Auteur</t>
        </is>
      </c>
      <c r="F4" s="10" t="inlineStr">
        <is>
          <t>Date Soumission</t>
        </is>
      </c>
      <c r="G4" s="10" t="inlineStr">
        <is>
          <t>Date Publication</t>
        </is>
      </c>
      <c r="H4" s="10" t="inlineStr">
        <is>
          <t>Nb Pages</t>
        </is>
      </c>
      <c r="I4" s="10" t="inlineStr">
        <is>
          <t>Nb Lectures Estimees</t>
        </is>
      </c>
      <c r="J4" s="10" t="inlineStr">
        <is>
          <t>Statut</t>
        </is>
      </c>
      <c r="K4" s="10" t="inlineStr">
        <is>
          <t>Commentaire Edition</t>
        </is>
      </c>
    </row>
    <row r="5" ht="22" customHeight="1">
      <c r="B5" s="11" t="inlineStr">
        <is>
          <t>JRN-001</t>
        </is>
      </c>
      <c r="C5" s="11" t="inlineStr">
        <is>
          <t>Nos nouveaux talents de l'annee</t>
        </is>
      </c>
      <c r="D5" s="11" t="inlineStr">
        <is>
          <t>Temoignages</t>
        </is>
      </c>
      <c r="E5" s="11" t="inlineStr">
        <is>
          <t>DRH</t>
        </is>
      </c>
      <c r="F5" s="27" t="n">
        <v>45667</v>
      </c>
      <c r="G5" s="27" t="n">
        <v>45677</v>
      </c>
      <c r="H5" s="19" t="n">
        <v>2</v>
      </c>
      <c r="I5" s="17" t="n">
        <v>120</v>
      </c>
      <c r="J5" s="11" t="inlineStr">
        <is>
          <t>Publie</t>
        </is>
      </c>
      <c r="K5" s="11" t="inlineStr">
        <is>
          <t>Excellente presentation</t>
        </is>
      </c>
    </row>
    <row r="6" ht="22" customHeight="1">
      <c r="B6" s="13" t="inlineStr">
        <is>
          <t>JRN-002</t>
        </is>
      </c>
      <c r="C6" s="13" t="inlineStr">
        <is>
          <t>Guide securite cuisine mise a jour</t>
        </is>
      </c>
      <c r="D6" s="13" t="inlineStr">
        <is>
          <t>Sante &amp; Securite</t>
        </is>
      </c>
      <c r="E6" s="13" t="inlineStr">
        <is>
          <t>Chef Entretien</t>
        </is>
      </c>
      <c r="F6" s="28" t="n">
        <v>45689</v>
      </c>
      <c r="G6" s="28" t="n">
        <v>45698</v>
      </c>
      <c r="H6" s="20" t="n">
        <v>1</v>
      </c>
      <c r="I6" s="18" t="n">
        <v>95</v>
      </c>
      <c r="J6" s="13" t="inlineStr">
        <is>
          <t>Publie</t>
        </is>
      </c>
      <c r="K6" s="13" t="inlineStr">
        <is>
          <t>A afficher en cuisine</t>
        </is>
      </c>
    </row>
    <row r="7" ht="22" customHeight="1">
      <c r="B7" s="11" t="inlineStr">
        <is>
          <t>JRN-003</t>
        </is>
      </c>
      <c r="C7" s="11" t="inlineStr">
        <is>
          <t>Resultats foot inter-services</t>
        </is>
      </c>
      <c r="D7" s="11" t="inlineStr">
        <is>
          <t>Culture &amp; Loisirs</t>
        </is>
      </c>
      <c r="E7" s="11" t="inlineStr">
        <is>
          <t>Chef Commercial</t>
        </is>
      </c>
      <c r="F7" s="27" t="n">
        <v>45703</v>
      </c>
      <c r="G7" s="27" t="n"/>
      <c r="H7" s="19" t="n">
        <v>1</v>
      </c>
      <c r="I7" s="17" t="n"/>
      <c r="J7" s="11" t="inlineStr">
        <is>
          <t>En relecture</t>
        </is>
      </c>
      <c r="K7" s="11" t="inlineStr">
        <is>
          <t>Photos a ajouter</t>
        </is>
      </c>
    </row>
    <row r="8" ht="22" customHeight="1">
      <c r="B8" s="15">
        <f>IF(C8="","JRN-"&amp;TEXT(COUNTA($C$5:C8),"000"))</f>
        <v/>
      </c>
      <c r="C8" s="13" t="n"/>
      <c r="D8" s="13" t="n"/>
      <c r="E8" s="13" t="n"/>
      <c r="F8" s="28" t="n"/>
      <c r="G8" s="28" t="n"/>
      <c r="H8" s="20" t="n"/>
      <c r="I8" s="18" t="n"/>
      <c r="J8" s="13" t="n"/>
      <c r="K8" s="13" t="n"/>
    </row>
    <row r="9" ht="22" customHeight="1">
      <c r="B9" s="16">
        <f>IF(C9="","JRN-"&amp;TEXT(COUNTA($C$5:C9),"000"))</f>
        <v/>
      </c>
      <c r="C9" s="11" t="n"/>
      <c r="D9" s="11" t="n"/>
      <c r="E9" s="11" t="n"/>
      <c r="F9" s="27" t="n"/>
      <c r="G9" s="27" t="n"/>
      <c r="H9" s="19" t="n"/>
      <c r="I9" s="17" t="n"/>
      <c r="J9" s="11" t="n"/>
      <c r="K9" s="11" t="n"/>
    </row>
    <row r="10" ht="22" customHeight="1">
      <c r="B10" s="15">
        <f>IF(C10="","JRN-"&amp;TEXT(COUNTA($C$5:C10),"000"))</f>
        <v/>
      </c>
      <c r="C10" s="13" t="n"/>
      <c r="D10" s="13" t="n"/>
      <c r="E10" s="13" t="n"/>
      <c r="F10" s="28" t="n"/>
      <c r="G10" s="28" t="n"/>
      <c r="H10" s="20" t="n"/>
      <c r="I10" s="18" t="n"/>
      <c r="J10" s="13" t="n"/>
      <c r="K10" s="13" t="n"/>
    </row>
    <row r="11" ht="22" customHeight="1">
      <c r="B11" s="16">
        <f>IF(C11="","JRN-"&amp;TEXT(COUNTA($C$5:C11),"000"))</f>
        <v/>
      </c>
      <c r="C11" s="11" t="n"/>
      <c r="D11" s="11" t="n"/>
      <c r="E11" s="11" t="n"/>
      <c r="F11" s="27" t="n"/>
      <c r="G11" s="27" t="n"/>
      <c r="H11" s="19" t="n"/>
      <c r="I11" s="17" t="n"/>
      <c r="J11" s="11" t="n"/>
      <c r="K11" s="11" t="n"/>
    </row>
    <row r="12" ht="22" customHeight="1">
      <c r="B12" s="15">
        <f>IF(C12="","JRN-"&amp;TEXT(COUNTA($C$5:C12),"000"))</f>
        <v/>
      </c>
      <c r="C12" s="13" t="n"/>
      <c r="D12" s="13" t="n"/>
      <c r="E12" s="13" t="n"/>
      <c r="F12" s="28" t="n"/>
      <c r="G12" s="28" t="n"/>
      <c r="H12" s="20" t="n"/>
      <c r="I12" s="18" t="n"/>
      <c r="J12" s="13" t="n"/>
      <c r="K12" s="13" t="n"/>
    </row>
    <row r="13" ht="22" customHeight="1">
      <c r="B13" s="16">
        <f>IF(C13="","JRN-"&amp;TEXT(COUNTA($C$5:C13),"000"))</f>
        <v/>
      </c>
      <c r="C13" s="11" t="n"/>
      <c r="D13" s="11" t="n"/>
      <c r="E13" s="11" t="n"/>
      <c r="F13" s="27" t="n"/>
      <c r="G13" s="27" t="n"/>
      <c r="H13" s="19" t="n"/>
      <c r="I13" s="17" t="n"/>
      <c r="J13" s="11" t="n"/>
      <c r="K13" s="11" t="n"/>
    </row>
    <row r="14" ht="22" customHeight="1">
      <c r="B14" s="15">
        <f>IF(C14="","JRN-"&amp;TEXT(COUNTA($C$5:C14),"000"))</f>
        <v/>
      </c>
      <c r="C14" s="13" t="n"/>
      <c r="D14" s="13" t="n"/>
      <c r="E14" s="13" t="n"/>
      <c r="F14" s="28" t="n"/>
      <c r="G14" s="28" t="n"/>
      <c r="H14" s="20" t="n"/>
      <c r="I14" s="18" t="n"/>
      <c r="J14" s="13" t="n"/>
      <c r="K14" s="13" t="n"/>
    </row>
    <row r="15" ht="22" customHeight="1">
      <c r="B15" s="16">
        <f>IF(C15="","JRN-"&amp;TEXT(COUNTA($C$5:C15),"000"))</f>
        <v/>
      </c>
      <c r="C15" s="11" t="n"/>
      <c r="D15" s="11" t="n"/>
      <c r="E15" s="11" t="n"/>
      <c r="F15" s="27" t="n"/>
      <c r="G15" s="27" t="n"/>
      <c r="H15" s="19" t="n"/>
      <c r="I15" s="17" t="n"/>
      <c r="J15" s="11" t="n"/>
      <c r="K15" s="11" t="n"/>
    </row>
    <row r="16" ht="22" customHeight="1">
      <c r="B16" s="15">
        <f>IF(C16="","JRN-"&amp;TEXT(COUNTA($C$5:C16),"000"))</f>
        <v/>
      </c>
      <c r="C16" s="13" t="n"/>
      <c r="D16" s="13" t="n"/>
      <c r="E16" s="13" t="n"/>
      <c r="F16" s="28" t="n"/>
      <c r="G16" s="28" t="n"/>
      <c r="H16" s="20" t="n"/>
      <c r="I16" s="18" t="n"/>
      <c r="J16" s="13" t="n"/>
      <c r="K16" s="13" t="n"/>
    </row>
    <row r="17" ht="22" customHeight="1">
      <c r="B17" s="16">
        <f>IF(C17="","JRN-"&amp;TEXT(COUNTA($C$5:C17),"000"))</f>
        <v/>
      </c>
      <c r="C17" s="11" t="n"/>
      <c r="D17" s="11" t="n"/>
      <c r="E17" s="11" t="n"/>
      <c r="F17" s="27" t="n"/>
      <c r="G17" s="27" t="n"/>
      <c r="H17" s="19" t="n"/>
      <c r="I17" s="17" t="n"/>
      <c r="J17" s="11" t="n"/>
      <c r="K17" s="11" t="n"/>
    </row>
    <row r="18" ht="22" customHeight="1">
      <c r="B18" s="15">
        <f>IF(C18="","JRN-"&amp;TEXT(COUNTA($C$5:C18),"000"))</f>
        <v/>
      </c>
      <c r="C18" s="13" t="n"/>
      <c r="D18" s="13" t="n"/>
      <c r="E18" s="13" t="n"/>
      <c r="F18" s="28" t="n"/>
      <c r="G18" s="28" t="n"/>
      <c r="H18" s="20" t="n"/>
      <c r="I18" s="18" t="n"/>
      <c r="J18" s="13" t="n"/>
      <c r="K18" s="13" t="n"/>
    </row>
    <row r="19" ht="22" customHeight="1">
      <c r="B19" s="16">
        <f>IF(C19="","JRN-"&amp;TEXT(COUNTA($C$5:C19),"000"))</f>
        <v/>
      </c>
      <c r="C19" s="11" t="n"/>
      <c r="D19" s="11" t="n"/>
      <c r="E19" s="11" t="n"/>
      <c r="F19" s="27" t="n"/>
      <c r="G19" s="27" t="n"/>
      <c r="H19" s="19" t="n"/>
      <c r="I19" s="17" t="n"/>
      <c r="J19" s="11" t="n"/>
      <c r="K19" s="11" t="n"/>
    </row>
    <row r="20" ht="22" customHeight="1">
      <c r="B20" s="15">
        <f>IF(C20="","JRN-"&amp;TEXT(COUNTA($C$5:C20),"000"))</f>
        <v/>
      </c>
      <c r="C20" s="13" t="n"/>
      <c r="D20" s="13" t="n"/>
      <c r="E20" s="13" t="n"/>
      <c r="F20" s="28" t="n"/>
      <c r="G20" s="28" t="n"/>
      <c r="H20" s="20" t="n"/>
      <c r="I20" s="18" t="n"/>
      <c r="J20" s="13" t="n"/>
      <c r="K20" s="13" t="n"/>
    </row>
    <row r="21" ht="22" customHeight="1">
      <c r="B21" s="16">
        <f>IF(C21="","JRN-"&amp;TEXT(COUNTA($C$5:C21),"000"))</f>
        <v/>
      </c>
      <c r="C21" s="11" t="n"/>
      <c r="D21" s="11" t="n"/>
      <c r="E21" s="11" t="n"/>
      <c r="F21" s="27" t="n"/>
      <c r="G21" s="27" t="n"/>
      <c r="H21" s="19" t="n"/>
      <c r="I21" s="17" t="n"/>
      <c r="J21" s="11" t="n"/>
      <c r="K21" s="11" t="n"/>
    </row>
    <row r="22" ht="22" customHeight="1">
      <c r="B22" s="15">
        <f>IF(C22="","JRN-"&amp;TEXT(COUNTA($C$5:C22),"000"))</f>
        <v/>
      </c>
      <c r="C22" s="13" t="n"/>
      <c r="D22" s="13" t="n"/>
      <c r="E22" s="13" t="n"/>
      <c r="F22" s="28" t="n"/>
      <c r="G22" s="28" t="n"/>
      <c r="H22" s="20" t="n"/>
      <c r="I22" s="18" t="n"/>
      <c r="J22" s="13" t="n"/>
      <c r="K22" s="13" t="n"/>
    </row>
    <row r="23" ht="22" customHeight="1">
      <c r="B23" s="16">
        <f>IF(C23="","JRN-"&amp;TEXT(COUNTA($C$5:C23),"000"))</f>
        <v/>
      </c>
      <c r="C23" s="11" t="n"/>
      <c r="D23" s="11" t="n"/>
      <c r="E23" s="11" t="n"/>
      <c r="F23" s="27" t="n"/>
      <c r="G23" s="27" t="n"/>
      <c r="H23" s="19" t="n"/>
      <c r="I23" s="17" t="n"/>
      <c r="J23" s="11" t="n"/>
      <c r="K23" s="11" t="n"/>
    </row>
    <row r="24" ht="22" customHeight="1">
      <c r="B24" s="15">
        <f>IF(C24="","JRN-"&amp;TEXT(COUNTA($C$5:C24),"000"))</f>
        <v/>
      </c>
      <c r="C24" s="13" t="n"/>
      <c r="D24" s="13" t="n"/>
      <c r="E24" s="13" t="n"/>
      <c r="F24" s="28" t="n"/>
      <c r="G24" s="28" t="n"/>
      <c r="H24" s="20" t="n"/>
      <c r="I24" s="18" t="n"/>
      <c r="J24" s="13" t="n"/>
      <c r="K24" s="13" t="n"/>
    </row>
    <row r="25" ht="22" customHeight="1">
      <c r="B25" s="16">
        <f>IF(C25="","JRN-"&amp;TEXT(COUNTA($C$5:C25),"000"))</f>
        <v/>
      </c>
      <c r="C25" s="11" t="n"/>
      <c r="D25" s="11" t="n"/>
      <c r="E25" s="11" t="n"/>
      <c r="F25" s="27" t="n"/>
      <c r="G25" s="27" t="n"/>
      <c r="H25" s="19" t="n"/>
      <c r="I25" s="17" t="n"/>
      <c r="J25" s="11" t="n"/>
      <c r="K25" s="11" t="n"/>
    </row>
    <row r="26" ht="22" customHeight="1">
      <c r="B26" s="15">
        <f>IF(C26="","JRN-"&amp;TEXT(COUNTA($C$5:C26),"000"))</f>
        <v/>
      </c>
      <c r="C26" s="13" t="n"/>
      <c r="D26" s="13" t="n"/>
      <c r="E26" s="13" t="n"/>
      <c r="F26" s="28" t="n"/>
      <c r="G26" s="28" t="n"/>
      <c r="H26" s="20" t="n"/>
      <c r="I26" s="18" t="n"/>
      <c r="J26" s="13" t="n"/>
      <c r="K26" s="13" t="n"/>
    </row>
    <row r="27" ht="22" customHeight="1">
      <c r="B27" s="16">
        <f>IF(C27="","JRN-"&amp;TEXT(COUNTA($C$5:C27),"000"))</f>
        <v/>
      </c>
      <c r="C27" s="11" t="n"/>
      <c r="D27" s="11" t="n"/>
      <c r="E27" s="11" t="n"/>
      <c r="F27" s="27" t="n"/>
      <c r="G27" s="27" t="n"/>
      <c r="H27" s="19" t="n"/>
      <c r="I27" s="17" t="n"/>
      <c r="J27" s="11" t="n"/>
      <c r="K27" s="11" t="n"/>
    </row>
    <row r="28" ht="22" customHeight="1">
      <c r="B28" s="15">
        <f>IF(C28="","JRN-"&amp;TEXT(COUNTA($C$5:C28),"000"))</f>
        <v/>
      </c>
      <c r="C28" s="13" t="n"/>
      <c r="D28" s="13" t="n"/>
      <c r="E28" s="13" t="n"/>
      <c r="F28" s="28" t="n"/>
      <c r="G28" s="28" t="n"/>
      <c r="H28" s="20" t="n"/>
      <c r="I28" s="18" t="n"/>
      <c r="J28" s="13" t="n"/>
      <c r="K28" s="13" t="n"/>
    </row>
    <row r="29" ht="22" customHeight="1">
      <c r="B29" s="16">
        <f>IF(C29="","JRN-"&amp;TEXT(COUNTA($C$5:C29),"000"))</f>
        <v/>
      </c>
      <c r="C29" s="11" t="n"/>
      <c r="D29" s="11" t="n"/>
      <c r="E29" s="11" t="n"/>
      <c r="F29" s="27" t="n"/>
      <c r="G29" s="27" t="n"/>
      <c r="H29" s="19" t="n"/>
      <c r="I29" s="17" t="n"/>
      <c r="J29" s="11" t="n"/>
      <c r="K29" s="11" t="n"/>
    </row>
    <row r="30" ht="22" customHeight="1">
      <c r="B30" s="15">
        <f>IF(C30="","JRN-"&amp;TEXT(COUNTA($C$5:C30),"000"))</f>
        <v/>
      </c>
      <c r="C30" s="13" t="n"/>
      <c r="D30" s="13" t="n"/>
      <c r="E30" s="13" t="n"/>
      <c r="F30" s="28" t="n"/>
      <c r="G30" s="28" t="n"/>
      <c r="H30" s="20" t="n"/>
      <c r="I30" s="18" t="n"/>
      <c r="J30" s="13" t="n"/>
      <c r="K30" s="13" t="n"/>
    </row>
    <row r="31" ht="22" customHeight="1">
      <c r="B31" s="16">
        <f>IF(C31="","JRN-"&amp;TEXT(COUNTA($C$5:C31),"000"))</f>
        <v/>
      </c>
      <c r="C31" s="11" t="n"/>
      <c r="D31" s="11" t="n"/>
      <c r="E31" s="11" t="n"/>
      <c r="F31" s="27" t="n"/>
      <c r="G31" s="27" t="n"/>
      <c r="H31" s="19" t="n"/>
      <c r="I31" s="17" t="n"/>
      <c r="J31" s="11" t="n"/>
      <c r="K31" s="11" t="n"/>
    </row>
    <row r="32" ht="22" customHeight="1">
      <c r="B32" s="15">
        <f>IF(C32="","JRN-"&amp;TEXT(COUNTA($C$5:C32),"000"))</f>
        <v/>
      </c>
      <c r="C32" s="13" t="n"/>
      <c r="D32" s="13" t="n"/>
      <c r="E32" s="13" t="n"/>
      <c r="F32" s="28" t="n"/>
      <c r="G32" s="28" t="n"/>
      <c r="H32" s="20" t="n"/>
      <c r="I32" s="18" t="n"/>
      <c r="J32" s="13" t="n"/>
      <c r="K32" s="13" t="n"/>
    </row>
    <row r="33" ht="22" customHeight="1">
      <c r="B33" s="16">
        <f>IF(C33="","JRN-"&amp;TEXT(COUNTA($C$5:C33),"000"))</f>
        <v/>
      </c>
      <c r="C33" s="11" t="n"/>
      <c r="D33" s="11" t="n"/>
      <c r="E33" s="11" t="n"/>
      <c r="F33" s="27" t="n"/>
      <c r="G33" s="27" t="n"/>
      <c r="H33" s="19" t="n"/>
      <c r="I33" s="17" t="n"/>
      <c r="J33" s="11" t="n"/>
      <c r="K33" s="11" t="n"/>
    </row>
    <row r="34" ht="22" customHeight="1">
      <c r="B34" s="15">
        <f>IF(C34="","JRN-"&amp;TEXT(COUNTA($C$5:C34),"000"))</f>
        <v/>
      </c>
      <c r="C34" s="13" t="n"/>
      <c r="D34" s="13" t="n"/>
      <c r="E34" s="13" t="n"/>
      <c r="F34" s="28" t="n"/>
      <c r="G34" s="28" t="n"/>
      <c r="H34" s="20" t="n"/>
      <c r="I34" s="18" t="n"/>
      <c r="J34" s="13" t="n"/>
      <c r="K34" s="13" t="n"/>
    </row>
    <row r="35" ht="22" customHeight="1">
      <c r="B35" s="16">
        <f>IF(C35="","JRN-"&amp;TEXT(COUNTA($C$5:C35),"000"))</f>
        <v/>
      </c>
      <c r="C35" s="11" t="n"/>
      <c r="D35" s="11" t="n"/>
      <c r="E35" s="11" t="n"/>
      <c r="F35" s="27" t="n"/>
      <c r="G35" s="27" t="n"/>
      <c r="H35" s="19" t="n"/>
      <c r="I35" s="17" t="n"/>
      <c r="J35" s="11" t="n"/>
      <c r="K35" s="11" t="n"/>
    </row>
    <row r="36" ht="22" customHeight="1">
      <c r="B36" s="15">
        <f>IF(C36="","JRN-"&amp;TEXT(COUNTA($C$5:C36),"000"))</f>
        <v/>
      </c>
      <c r="C36" s="13" t="n"/>
      <c r="D36" s="13" t="n"/>
      <c r="E36" s="13" t="n"/>
      <c r="F36" s="28" t="n"/>
      <c r="G36" s="28" t="n"/>
      <c r="H36" s="20" t="n"/>
      <c r="I36" s="18" t="n"/>
      <c r="J36" s="13" t="n"/>
      <c r="K36" s="13" t="n"/>
    </row>
    <row r="37" ht="22" customHeight="1">
      <c r="B37" s="16">
        <f>IF(C37="","JRN-"&amp;TEXT(COUNTA($C$5:C37),"000"))</f>
        <v/>
      </c>
      <c r="C37" s="11" t="n"/>
      <c r="D37" s="11" t="n"/>
      <c r="E37" s="11" t="n"/>
      <c r="F37" s="27" t="n"/>
      <c r="G37" s="27" t="n"/>
      <c r="H37" s="19" t="n"/>
      <c r="I37" s="17" t="n"/>
      <c r="J37" s="11" t="n"/>
      <c r="K37" s="11" t="n"/>
    </row>
    <row r="38" ht="22" customHeight="1">
      <c r="B38" s="15">
        <f>IF(C38="","JRN-"&amp;TEXT(COUNTA($C$5:C38),"000"))</f>
        <v/>
      </c>
      <c r="C38" s="13" t="n"/>
      <c r="D38" s="13" t="n"/>
      <c r="E38" s="13" t="n"/>
      <c r="F38" s="28" t="n"/>
      <c r="G38" s="28" t="n"/>
      <c r="H38" s="20" t="n"/>
      <c r="I38" s="18" t="n"/>
      <c r="J38" s="13" t="n"/>
      <c r="K38" s="13" t="n"/>
    </row>
    <row r="39" ht="22" customHeight="1">
      <c r="B39" s="16">
        <f>IF(C39="","JRN-"&amp;TEXT(COUNTA($C$5:C39),"000"))</f>
        <v/>
      </c>
      <c r="C39" s="11" t="n"/>
      <c r="D39" s="11" t="n"/>
      <c r="E39" s="11" t="n"/>
      <c r="F39" s="27" t="n"/>
      <c r="G39" s="27" t="n"/>
      <c r="H39" s="19" t="n"/>
      <c r="I39" s="17" t="n"/>
      <c r="J39" s="11" t="n"/>
      <c r="K39" s="11" t="n"/>
    </row>
    <row r="40" ht="22" customHeight="1">
      <c r="B40" s="15">
        <f>IF(C40="","JRN-"&amp;TEXT(COUNTA($C$5:C40),"000"))</f>
        <v/>
      </c>
      <c r="C40" s="13" t="n"/>
      <c r="D40" s="13" t="n"/>
      <c r="E40" s="13" t="n"/>
      <c r="F40" s="28" t="n"/>
      <c r="G40" s="28" t="n"/>
      <c r="H40" s="20" t="n"/>
      <c r="I40" s="18" t="n"/>
      <c r="J40" s="13" t="n"/>
      <c r="K40" s="13" t="n"/>
    </row>
    <row r="41" ht="22" customHeight="1">
      <c r="B41" s="16">
        <f>IF(C41="","JRN-"&amp;TEXT(COUNTA($C$5:C41),"000"))</f>
        <v/>
      </c>
      <c r="C41" s="11" t="n"/>
      <c r="D41" s="11" t="n"/>
      <c r="E41" s="11" t="n"/>
      <c r="F41" s="27" t="n"/>
      <c r="G41" s="27" t="n"/>
      <c r="H41" s="19" t="n"/>
      <c r="I41" s="17" t="n"/>
      <c r="J41" s="11" t="n"/>
      <c r="K41" s="11" t="n"/>
    </row>
    <row r="42" ht="22" customHeight="1">
      <c r="B42" s="15">
        <f>IF(C42="","JRN-"&amp;TEXT(COUNTA($C$5:C42),"000"))</f>
        <v/>
      </c>
      <c r="C42" s="13" t="n"/>
      <c r="D42" s="13" t="n"/>
      <c r="E42" s="13" t="n"/>
      <c r="F42" s="28" t="n"/>
      <c r="G42" s="28" t="n"/>
      <c r="H42" s="20" t="n"/>
      <c r="I42" s="18" t="n"/>
      <c r="J42" s="13" t="n"/>
      <c r="K42" s="13" t="n"/>
    </row>
    <row r="43" ht="22" customHeight="1">
      <c r="B43" s="16">
        <f>IF(C43="","JRN-"&amp;TEXT(COUNTA($C$5:C43),"000"))</f>
        <v/>
      </c>
      <c r="C43" s="11" t="n"/>
      <c r="D43" s="11" t="n"/>
      <c r="E43" s="11" t="n"/>
      <c r="F43" s="27" t="n"/>
      <c r="G43" s="27" t="n"/>
      <c r="H43" s="19" t="n"/>
      <c r="I43" s="17" t="n"/>
      <c r="J43" s="11" t="n"/>
      <c r="K43" s="11" t="n"/>
    </row>
    <row r="44" ht="22" customHeight="1">
      <c r="B44" s="15">
        <f>IF(C44="","JRN-"&amp;TEXT(COUNTA($C$5:C44),"000"))</f>
        <v/>
      </c>
      <c r="C44" s="13" t="n"/>
      <c r="D44" s="13" t="n"/>
      <c r="E44" s="13" t="n"/>
      <c r="F44" s="28" t="n"/>
      <c r="G44" s="28" t="n"/>
      <c r="H44" s="20" t="n"/>
      <c r="I44" s="18" t="n"/>
      <c r="J44" s="13" t="n"/>
      <c r="K44" s="13" t="n"/>
    </row>
    <row r="45" ht="22" customHeight="1">
      <c r="B45" s="16">
        <f>IF(C45="","JRN-"&amp;TEXT(COUNTA($C$5:C45),"000"))</f>
        <v/>
      </c>
      <c r="C45" s="11" t="n"/>
      <c r="D45" s="11" t="n"/>
      <c r="E45" s="11" t="n"/>
      <c r="F45" s="27" t="n"/>
      <c r="G45" s="27" t="n"/>
      <c r="H45" s="19" t="n"/>
      <c r="I45" s="17" t="n"/>
      <c r="J45" s="11" t="n"/>
      <c r="K45" s="11" t="n"/>
    </row>
    <row r="46" ht="22" customHeight="1">
      <c r="B46" s="15">
        <f>IF(C46="","JRN-"&amp;TEXT(COUNTA($C$5:C46),"000"))</f>
        <v/>
      </c>
      <c r="C46" s="13" t="n"/>
      <c r="D46" s="13" t="n"/>
      <c r="E46" s="13" t="n"/>
      <c r="F46" s="28" t="n"/>
      <c r="G46" s="28" t="n"/>
      <c r="H46" s="20" t="n"/>
      <c r="I46" s="18" t="n"/>
      <c r="J46" s="13" t="n"/>
      <c r="K46" s="13" t="n"/>
    </row>
    <row r="47" ht="22" customHeight="1">
      <c r="B47" s="16">
        <f>IF(C47="","JRN-"&amp;TEXT(COUNTA($C$5:C47),"000"))</f>
        <v/>
      </c>
      <c r="C47" s="11" t="n"/>
      <c r="D47" s="11" t="n"/>
      <c r="E47" s="11" t="n"/>
      <c r="F47" s="27" t="n"/>
      <c r="G47" s="27" t="n"/>
      <c r="H47" s="19" t="n"/>
      <c r="I47" s="17" t="n"/>
      <c r="J47" s="11" t="n"/>
      <c r="K47" s="11" t="n"/>
    </row>
    <row r="48" ht="22" customHeight="1">
      <c r="B48" s="15">
        <f>IF(C48="","JRN-"&amp;TEXT(COUNTA($C$5:C48),"000"))</f>
        <v/>
      </c>
      <c r="C48" s="13" t="n"/>
      <c r="D48" s="13" t="n"/>
      <c r="E48" s="13" t="n"/>
      <c r="F48" s="28" t="n"/>
      <c r="G48" s="28" t="n"/>
      <c r="H48" s="20" t="n"/>
      <c r="I48" s="18" t="n"/>
      <c r="J48" s="13" t="n"/>
      <c r="K48" s="13" t="n"/>
    </row>
    <row r="49" ht="22" customHeight="1">
      <c r="B49" s="16">
        <f>IF(C49="","JRN-"&amp;TEXT(COUNTA($C$5:C49),"000"))</f>
        <v/>
      </c>
      <c r="C49" s="11" t="n"/>
      <c r="D49" s="11" t="n"/>
      <c r="E49" s="11" t="n"/>
      <c r="F49" s="27" t="n"/>
      <c r="G49" s="27" t="n"/>
      <c r="H49" s="19" t="n"/>
      <c r="I49" s="17" t="n"/>
      <c r="J49" s="11" t="n"/>
      <c r="K49" s="11" t="n"/>
    </row>
    <row r="50" ht="22" customHeight="1">
      <c r="B50" s="15">
        <f>IF(C50="","JRN-"&amp;TEXT(COUNTA($C$5:C50),"000"))</f>
        <v/>
      </c>
      <c r="C50" s="13" t="n"/>
      <c r="D50" s="13" t="n"/>
      <c r="E50" s="13" t="n"/>
      <c r="F50" s="28" t="n"/>
      <c r="G50" s="28" t="n"/>
      <c r="H50" s="20" t="n"/>
      <c r="I50" s="18" t="n"/>
      <c r="J50" s="13" t="n"/>
      <c r="K50" s="13" t="n"/>
    </row>
    <row r="51" ht="22" customHeight="1">
      <c r="B51" s="16">
        <f>IF(C51="","JRN-"&amp;TEXT(COUNTA($C$5:C51),"000"))</f>
        <v/>
      </c>
      <c r="C51" s="11" t="n"/>
      <c r="D51" s="11" t="n"/>
      <c r="E51" s="11" t="n"/>
      <c r="F51" s="27" t="n"/>
      <c r="G51" s="27" t="n"/>
      <c r="H51" s="19" t="n"/>
      <c r="I51" s="17" t="n"/>
      <c r="J51" s="11" t="n"/>
      <c r="K51" s="11" t="n"/>
    </row>
    <row r="52" ht="22" customHeight="1">
      <c r="B52" s="15">
        <f>IF(C52="","JRN-"&amp;TEXT(COUNTA($C$5:C52),"000"))</f>
        <v/>
      </c>
      <c r="C52" s="13" t="n"/>
      <c r="D52" s="13" t="n"/>
      <c r="E52" s="13" t="n"/>
      <c r="F52" s="28" t="n"/>
      <c r="G52" s="28" t="n"/>
      <c r="H52" s="20" t="n"/>
      <c r="I52" s="18" t="n"/>
      <c r="J52" s="13" t="n"/>
      <c r="K52" s="13" t="n"/>
    </row>
    <row r="53" ht="22" customHeight="1">
      <c r="B53" s="16">
        <f>IF(C53="","JRN-"&amp;TEXT(COUNTA($C$5:C53),"000"))</f>
        <v/>
      </c>
      <c r="C53" s="11" t="n"/>
      <c r="D53" s="11" t="n"/>
      <c r="E53" s="11" t="n"/>
      <c r="F53" s="27" t="n"/>
      <c r="G53" s="27" t="n"/>
      <c r="H53" s="19" t="n"/>
      <c r="I53" s="17" t="n"/>
      <c r="J53" s="11" t="n"/>
      <c r="K53" s="11" t="n"/>
    </row>
    <row r="54" ht="22" customHeight="1">
      <c r="B54" s="15">
        <f>IF(C54="","JRN-"&amp;TEXT(COUNTA($C$5:C54),"000"))</f>
        <v/>
      </c>
      <c r="C54" s="13" t="n"/>
      <c r="D54" s="13" t="n"/>
      <c r="E54" s="13" t="n"/>
      <c r="F54" s="28" t="n"/>
      <c r="G54" s="28" t="n"/>
      <c r="H54" s="20" t="n"/>
      <c r="I54" s="18" t="n"/>
      <c r="J54" s="13" t="n"/>
      <c r="K54" s="13" t="n"/>
    </row>
    <row r="55" ht="22" customHeight="1">
      <c r="B55" s="16">
        <f>IF(C55="","JRN-"&amp;TEXT(COUNTA($C$5:C55),"000"))</f>
        <v/>
      </c>
      <c r="C55" s="11" t="n"/>
      <c r="D55" s="11" t="n"/>
      <c r="E55" s="11" t="n"/>
      <c r="F55" s="27" t="n"/>
      <c r="G55" s="27" t="n"/>
      <c r="H55" s="19" t="n"/>
      <c r="I55" s="17" t="n"/>
      <c r="J55" s="11" t="n"/>
      <c r="K55" s="11" t="n"/>
    </row>
    <row r="56" ht="22" customHeight="1">
      <c r="B56" s="15">
        <f>IF(C56="","JRN-"&amp;TEXT(COUNTA($C$5:C56),"000"))</f>
        <v/>
      </c>
      <c r="C56" s="13" t="n"/>
      <c r="D56" s="13" t="n"/>
      <c r="E56" s="13" t="n"/>
      <c r="F56" s="28" t="n"/>
      <c r="G56" s="28" t="n"/>
      <c r="H56" s="20" t="n"/>
      <c r="I56" s="18" t="n"/>
      <c r="J56" s="13" t="n"/>
      <c r="K56" s="13" t="n"/>
    </row>
    <row r="57" ht="22" customHeight="1">
      <c r="B57" s="16">
        <f>IF(C57="","JRN-"&amp;TEXT(COUNTA($C$5:C57),"000"))</f>
        <v/>
      </c>
      <c r="C57" s="11" t="n"/>
      <c r="D57" s="11" t="n"/>
      <c r="E57" s="11" t="n"/>
      <c r="F57" s="27" t="n"/>
      <c r="G57" s="27" t="n"/>
      <c r="H57" s="19" t="n"/>
      <c r="I57" s="17" t="n"/>
      <c r="J57" s="11" t="n"/>
      <c r="K57" s="11" t="n"/>
    </row>
    <row r="58" ht="22" customHeight="1">
      <c r="B58" s="15">
        <f>IF(C58="","JRN-"&amp;TEXT(COUNTA($C$5:C58),"000"))</f>
        <v/>
      </c>
      <c r="C58" s="13" t="n"/>
      <c r="D58" s="13" t="n"/>
      <c r="E58" s="13" t="n"/>
      <c r="F58" s="28" t="n"/>
      <c r="G58" s="28" t="n"/>
      <c r="H58" s="20" t="n"/>
      <c r="I58" s="18" t="n"/>
      <c r="J58" s="13" t="n"/>
      <c r="K58" s="13" t="n"/>
    </row>
    <row r="59" ht="22" customHeight="1">
      <c r="B59" s="16">
        <f>IF(C59="","JRN-"&amp;TEXT(COUNTA($C$5:C59),"000"))</f>
        <v/>
      </c>
      <c r="C59" s="11" t="n"/>
      <c r="D59" s="11" t="n"/>
      <c r="E59" s="11" t="n"/>
      <c r="F59" s="27" t="n"/>
      <c r="G59" s="27" t="n"/>
      <c r="H59" s="19" t="n"/>
      <c r="I59" s="17" t="n"/>
      <c r="J59" s="11" t="n"/>
      <c r="K59" s="11" t="n"/>
    </row>
    <row r="60" ht="22" customHeight="1">
      <c r="B60" s="15">
        <f>IF(C60="","JRN-"&amp;TEXT(COUNTA($C$5:C60),"000"))</f>
        <v/>
      </c>
      <c r="C60" s="13" t="n"/>
      <c r="D60" s="13" t="n"/>
      <c r="E60" s="13" t="n"/>
      <c r="F60" s="28" t="n"/>
      <c r="G60" s="28" t="n"/>
      <c r="H60" s="20" t="n"/>
      <c r="I60" s="18" t="n"/>
      <c r="J60" s="13" t="n"/>
      <c r="K60" s="13" t="n"/>
    </row>
    <row r="61" ht="22" customHeight="1">
      <c r="B61" s="16">
        <f>IF(C61="","JRN-"&amp;TEXT(COUNTA($C$5:C61),"000"))</f>
        <v/>
      </c>
      <c r="C61" s="11" t="n"/>
      <c r="D61" s="11" t="n"/>
      <c r="E61" s="11" t="n"/>
      <c r="F61" s="27" t="n"/>
      <c r="G61" s="27" t="n"/>
      <c r="H61" s="19" t="n"/>
      <c r="I61" s="17" t="n"/>
      <c r="J61" s="11" t="n"/>
      <c r="K61" s="11" t="n"/>
    </row>
    <row r="62" ht="22" customHeight="1">
      <c r="B62" s="15">
        <f>IF(C62="","JRN-"&amp;TEXT(COUNTA($C$5:C62),"000"))</f>
        <v/>
      </c>
      <c r="C62" s="13" t="n"/>
      <c r="D62" s="13" t="n"/>
      <c r="E62" s="13" t="n"/>
      <c r="F62" s="28" t="n"/>
      <c r="G62" s="28" t="n"/>
      <c r="H62" s="20" t="n"/>
      <c r="I62" s="18" t="n"/>
      <c r="J62" s="13" t="n"/>
      <c r="K62" s="13" t="n"/>
    </row>
    <row r="63" ht="22" customHeight="1">
      <c r="B63" s="16">
        <f>IF(C63="","JRN-"&amp;TEXT(COUNTA($C$5:C63),"000"))</f>
        <v/>
      </c>
      <c r="C63" s="11" t="n"/>
      <c r="D63" s="11" t="n"/>
      <c r="E63" s="11" t="n"/>
      <c r="F63" s="27" t="n"/>
      <c r="G63" s="27" t="n"/>
      <c r="H63" s="19" t="n"/>
      <c r="I63" s="17" t="n"/>
      <c r="J63" s="11" t="n"/>
      <c r="K63" s="11" t="n"/>
    </row>
    <row r="64" ht="22" customHeight="1">
      <c r="B64" s="15">
        <f>IF(C64="","JRN-"&amp;TEXT(COUNTA($C$5:C64),"000"))</f>
        <v/>
      </c>
      <c r="C64" s="13" t="n"/>
      <c r="D64" s="13" t="n"/>
      <c r="E64" s="13" t="n"/>
      <c r="F64" s="28" t="n"/>
      <c r="G64" s="28" t="n"/>
      <c r="H64" s="20" t="n"/>
      <c r="I64" s="18" t="n"/>
      <c r="J64" s="13" t="n"/>
      <c r="K64" s="13" t="n"/>
    </row>
    <row r="65" ht="22" customHeight="1">
      <c r="B65" s="16">
        <f>IF(C65="","JRN-"&amp;TEXT(COUNTA($C$5:C65),"000"))</f>
        <v/>
      </c>
      <c r="C65" s="11" t="n"/>
      <c r="D65" s="11" t="n"/>
      <c r="E65" s="11" t="n"/>
      <c r="F65" s="27" t="n"/>
      <c r="G65" s="27" t="n"/>
      <c r="H65" s="19" t="n"/>
      <c r="I65" s="17" t="n"/>
      <c r="J65" s="11" t="n"/>
      <c r="K65" s="11" t="n"/>
    </row>
    <row r="66" ht="22" customHeight="1">
      <c r="B66" s="15">
        <f>IF(C66="","JRN-"&amp;TEXT(COUNTA($C$5:C66),"000"))</f>
        <v/>
      </c>
      <c r="C66" s="13" t="n"/>
      <c r="D66" s="13" t="n"/>
      <c r="E66" s="13" t="n"/>
      <c r="F66" s="28" t="n"/>
      <c r="G66" s="28" t="n"/>
      <c r="H66" s="20" t="n"/>
      <c r="I66" s="18" t="n"/>
      <c r="J66" s="13" t="n"/>
      <c r="K66" s="13" t="n"/>
    </row>
    <row r="67" ht="22" customHeight="1">
      <c r="B67" s="16">
        <f>IF(C67="","JRN-"&amp;TEXT(COUNTA($C$5:C67),"000"))</f>
        <v/>
      </c>
      <c r="C67" s="11" t="n"/>
      <c r="D67" s="11" t="n"/>
      <c r="E67" s="11" t="n"/>
      <c r="F67" s="27" t="n"/>
      <c r="G67" s="27" t="n"/>
      <c r="H67" s="19" t="n"/>
      <c r="I67" s="17" t="n"/>
      <c r="J67" s="11" t="n"/>
      <c r="K67" s="11" t="n"/>
    </row>
    <row r="68" ht="22" customHeight="1">
      <c r="B68" s="15">
        <f>IF(C68="","JRN-"&amp;TEXT(COUNTA($C$5:C68),"000"))</f>
        <v/>
      </c>
      <c r="C68" s="13" t="n"/>
      <c r="D68" s="13" t="n"/>
      <c r="E68" s="13" t="n"/>
      <c r="F68" s="28" t="n"/>
      <c r="G68" s="28" t="n"/>
      <c r="H68" s="20" t="n"/>
      <c r="I68" s="18" t="n"/>
      <c r="J68" s="13" t="n"/>
      <c r="K68" s="13" t="n"/>
    </row>
    <row r="69" ht="22" customHeight="1">
      <c r="B69" s="16">
        <f>IF(C69="","JRN-"&amp;TEXT(COUNTA($C$5:C69),"000"))</f>
        <v/>
      </c>
      <c r="C69" s="11" t="n"/>
      <c r="D69" s="11" t="n"/>
      <c r="E69" s="11" t="n"/>
      <c r="F69" s="27" t="n"/>
      <c r="G69" s="27" t="n"/>
      <c r="H69" s="19" t="n"/>
      <c r="I69" s="17" t="n"/>
      <c r="J69" s="11" t="n"/>
      <c r="K69" s="11" t="n"/>
    </row>
    <row r="70" ht="22" customHeight="1">
      <c r="B70" s="15">
        <f>IF(C70="","JRN-"&amp;TEXT(COUNTA($C$5:C70),"000"))</f>
        <v/>
      </c>
      <c r="C70" s="13" t="n"/>
      <c r="D70" s="13" t="n"/>
      <c r="E70" s="13" t="n"/>
      <c r="F70" s="28" t="n"/>
      <c r="G70" s="28" t="n"/>
      <c r="H70" s="20" t="n"/>
      <c r="I70" s="18" t="n"/>
      <c r="J70" s="13" t="n"/>
      <c r="K70" s="13" t="n"/>
    </row>
    <row r="71" ht="22" customHeight="1">
      <c r="B71" s="16">
        <f>IF(C71="","JRN-"&amp;TEXT(COUNTA($C$5:C71),"000"))</f>
        <v/>
      </c>
      <c r="C71" s="11" t="n"/>
      <c r="D71" s="11" t="n"/>
      <c r="E71" s="11" t="n"/>
      <c r="F71" s="27" t="n"/>
      <c r="G71" s="27" t="n"/>
      <c r="H71" s="19" t="n"/>
      <c r="I71" s="17" t="n"/>
      <c r="J71" s="11" t="n"/>
      <c r="K71" s="11" t="n"/>
    </row>
    <row r="72" ht="22" customHeight="1">
      <c r="B72" s="15">
        <f>IF(C72="","JRN-"&amp;TEXT(COUNTA($C$5:C72),"000"))</f>
        <v/>
      </c>
      <c r="C72" s="13" t="n"/>
      <c r="D72" s="13" t="n"/>
      <c r="E72" s="13" t="n"/>
      <c r="F72" s="28" t="n"/>
      <c r="G72" s="28" t="n"/>
      <c r="H72" s="20" t="n"/>
      <c r="I72" s="18" t="n"/>
      <c r="J72" s="13" t="n"/>
      <c r="K72" s="13" t="n"/>
    </row>
    <row r="73" ht="22" customHeight="1">
      <c r="B73" s="16">
        <f>IF(C73="","JRN-"&amp;TEXT(COUNTA($C$5:C73),"000"))</f>
        <v/>
      </c>
      <c r="C73" s="11" t="n"/>
      <c r="D73" s="11" t="n"/>
      <c r="E73" s="11" t="n"/>
      <c r="F73" s="27" t="n"/>
      <c r="G73" s="27" t="n"/>
      <c r="H73" s="19" t="n"/>
      <c r="I73" s="17" t="n"/>
      <c r="J73" s="11" t="n"/>
      <c r="K73" s="11" t="n"/>
    </row>
    <row r="74" ht="22" customHeight="1">
      <c r="B74" s="15">
        <f>IF(C74="","JRN-"&amp;TEXT(COUNTA($C$5:C74),"000"))</f>
        <v/>
      </c>
      <c r="C74" s="13" t="n"/>
      <c r="D74" s="13" t="n"/>
      <c r="E74" s="13" t="n"/>
      <c r="F74" s="28" t="n"/>
      <c r="G74" s="28" t="n"/>
      <c r="H74" s="20" t="n"/>
      <c r="I74" s="18" t="n"/>
      <c r="J74" s="13" t="n"/>
      <c r="K74" s="13" t="n"/>
    </row>
    <row r="75" ht="22" customHeight="1">
      <c r="B75" s="16">
        <f>IF(C75="","JRN-"&amp;TEXT(COUNTA($C$5:C75),"000"))</f>
        <v/>
      </c>
      <c r="C75" s="11" t="n"/>
      <c r="D75" s="11" t="n"/>
      <c r="E75" s="11" t="n"/>
      <c r="F75" s="27" t="n"/>
      <c r="G75" s="27" t="n"/>
      <c r="H75" s="19" t="n"/>
      <c r="I75" s="17" t="n"/>
      <c r="J75" s="11" t="n"/>
      <c r="K75" s="11" t="n"/>
    </row>
    <row r="76" ht="22" customHeight="1">
      <c r="B76" s="15">
        <f>IF(C76="","JRN-"&amp;TEXT(COUNTA($C$5:C76),"000"))</f>
        <v/>
      </c>
      <c r="C76" s="13" t="n"/>
      <c r="D76" s="13" t="n"/>
      <c r="E76" s="13" t="n"/>
      <c r="F76" s="28" t="n"/>
      <c r="G76" s="28" t="n"/>
      <c r="H76" s="20" t="n"/>
      <c r="I76" s="18" t="n"/>
      <c r="J76" s="13" t="n"/>
      <c r="K76" s="13" t="n"/>
    </row>
    <row r="77" ht="22" customHeight="1">
      <c r="B77" s="16">
        <f>IF(C77="","JRN-"&amp;TEXT(COUNTA($C$5:C77),"000"))</f>
        <v/>
      </c>
      <c r="C77" s="11" t="n"/>
      <c r="D77" s="11" t="n"/>
      <c r="E77" s="11" t="n"/>
      <c r="F77" s="27" t="n"/>
      <c r="G77" s="27" t="n"/>
      <c r="H77" s="19" t="n"/>
      <c r="I77" s="17" t="n"/>
      <c r="J77" s="11" t="n"/>
      <c r="K77" s="11" t="n"/>
    </row>
    <row r="78" ht="22" customHeight="1">
      <c r="B78" s="15">
        <f>IF(C78="","JRN-"&amp;TEXT(COUNTA($C$5:C78),"000"))</f>
        <v/>
      </c>
      <c r="C78" s="13" t="n"/>
      <c r="D78" s="13" t="n"/>
      <c r="E78" s="13" t="n"/>
      <c r="F78" s="28" t="n"/>
      <c r="G78" s="28" t="n"/>
      <c r="H78" s="20" t="n"/>
      <c r="I78" s="18" t="n"/>
      <c r="J78" s="13" t="n"/>
      <c r="K78" s="13" t="n"/>
    </row>
    <row r="79" ht="22" customHeight="1">
      <c r="B79" s="16">
        <f>IF(C79="","JRN-"&amp;TEXT(COUNTA($C$5:C79),"000"))</f>
        <v/>
      </c>
      <c r="C79" s="11" t="n"/>
      <c r="D79" s="11" t="n"/>
      <c r="E79" s="11" t="n"/>
      <c r="F79" s="27" t="n"/>
      <c r="G79" s="27" t="n"/>
      <c r="H79" s="19" t="n"/>
      <c r="I79" s="17" t="n"/>
      <c r="J79" s="11" t="n"/>
      <c r="K79" s="11" t="n"/>
    </row>
    <row r="80" ht="22" customHeight="1">
      <c r="B80" s="15">
        <f>IF(C80="","JRN-"&amp;TEXT(COUNTA($C$5:C80),"000"))</f>
        <v/>
      </c>
      <c r="C80" s="13" t="n"/>
      <c r="D80" s="13" t="n"/>
      <c r="E80" s="13" t="n"/>
      <c r="F80" s="28" t="n"/>
      <c r="G80" s="28" t="n"/>
      <c r="H80" s="20" t="n"/>
      <c r="I80" s="18" t="n"/>
      <c r="J80" s="13" t="n"/>
      <c r="K80" s="13" t="n"/>
    </row>
    <row r="81" ht="22" customHeight="1">
      <c r="B81" s="16">
        <f>IF(C81="","JRN-"&amp;TEXT(COUNTA($C$5:C81),"000"))</f>
        <v/>
      </c>
      <c r="C81" s="11" t="n"/>
      <c r="D81" s="11" t="n"/>
      <c r="E81" s="11" t="n"/>
      <c r="F81" s="27" t="n"/>
      <c r="G81" s="27" t="n"/>
      <c r="H81" s="19" t="n"/>
      <c r="I81" s="17" t="n"/>
      <c r="J81" s="11" t="n"/>
      <c r="K81" s="11" t="n"/>
    </row>
    <row r="82" ht="22" customHeight="1">
      <c r="B82" s="15">
        <f>IF(C82="","JRN-"&amp;TEXT(COUNTA($C$5:C82),"000"))</f>
        <v/>
      </c>
      <c r="C82" s="13" t="n"/>
      <c r="D82" s="13" t="n"/>
      <c r="E82" s="13" t="n"/>
      <c r="F82" s="28" t="n"/>
      <c r="G82" s="28" t="n"/>
      <c r="H82" s="20" t="n"/>
      <c r="I82" s="18" t="n"/>
      <c r="J82" s="13" t="n"/>
      <c r="K82" s="13" t="n"/>
    </row>
    <row r="83" ht="22" customHeight="1">
      <c r="B83" s="16">
        <f>IF(C83="","JRN-"&amp;TEXT(COUNTA($C$5:C83),"000"))</f>
        <v/>
      </c>
      <c r="C83" s="11" t="n"/>
      <c r="D83" s="11" t="n"/>
      <c r="E83" s="11" t="n"/>
      <c r="F83" s="27" t="n"/>
      <c r="G83" s="27" t="n"/>
      <c r="H83" s="19" t="n"/>
      <c r="I83" s="17" t="n"/>
      <c r="J83" s="11" t="n"/>
      <c r="K83" s="11" t="n"/>
    </row>
    <row r="84" ht="22" customHeight="1">
      <c r="B84" s="15">
        <f>IF(C84="","JRN-"&amp;TEXT(COUNTA($C$5:C84),"000"))</f>
        <v/>
      </c>
      <c r="C84" s="13" t="n"/>
      <c r="D84" s="13" t="n"/>
      <c r="E84" s="13" t="n"/>
      <c r="F84" s="28" t="n"/>
      <c r="G84" s="28" t="n"/>
      <c r="H84" s="20" t="n"/>
      <c r="I84" s="18" t="n"/>
      <c r="J84" s="13" t="n"/>
      <c r="K84" s="13" t="n"/>
    </row>
    <row r="85" ht="22" customHeight="1">
      <c r="B85" s="16">
        <f>IF(C85="","JRN-"&amp;TEXT(COUNTA($C$5:C85),"000"))</f>
        <v/>
      </c>
      <c r="C85" s="11" t="n"/>
      <c r="D85" s="11" t="n"/>
      <c r="E85" s="11" t="n"/>
      <c r="F85" s="27" t="n"/>
      <c r="G85" s="27" t="n"/>
      <c r="H85" s="19" t="n"/>
      <c r="I85" s="17" t="n"/>
      <c r="J85" s="11" t="n"/>
      <c r="K85" s="11" t="n"/>
    </row>
    <row r="86" ht="22" customHeight="1">
      <c r="B86" s="15">
        <f>IF(C86="","JRN-"&amp;TEXT(COUNTA($C$5:C86),"000"))</f>
        <v/>
      </c>
      <c r="C86" s="13" t="n"/>
      <c r="D86" s="13" t="n"/>
      <c r="E86" s="13" t="n"/>
      <c r="F86" s="28" t="n"/>
      <c r="G86" s="28" t="n"/>
      <c r="H86" s="20" t="n"/>
      <c r="I86" s="18" t="n"/>
      <c r="J86" s="13" t="n"/>
      <c r="K86" s="13" t="n"/>
    </row>
    <row r="87" ht="22" customHeight="1">
      <c r="B87" s="16">
        <f>IF(C87="","JRN-"&amp;TEXT(COUNTA($C$5:C87),"000"))</f>
        <v/>
      </c>
      <c r="C87" s="11" t="n"/>
      <c r="D87" s="11" t="n"/>
      <c r="E87" s="11" t="n"/>
      <c r="F87" s="27" t="n"/>
      <c r="G87" s="27" t="n"/>
      <c r="H87" s="19" t="n"/>
      <c r="I87" s="17" t="n"/>
      <c r="J87" s="11" t="n"/>
      <c r="K87" s="11" t="n"/>
    </row>
    <row r="88" ht="22" customHeight="1">
      <c r="B88" s="15">
        <f>IF(C88="","JRN-"&amp;TEXT(COUNTA($C$5:C88),"000"))</f>
        <v/>
      </c>
      <c r="C88" s="13" t="n"/>
      <c r="D88" s="13" t="n"/>
      <c r="E88" s="13" t="n"/>
      <c r="F88" s="28" t="n"/>
      <c r="G88" s="28" t="n"/>
      <c r="H88" s="20" t="n"/>
      <c r="I88" s="18" t="n"/>
      <c r="J88" s="13" t="n"/>
      <c r="K88" s="13" t="n"/>
    </row>
    <row r="89" ht="22" customHeight="1">
      <c r="B89" s="16">
        <f>IF(C89="","JRN-"&amp;TEXT(COUNTA($C$5:C89),"000"))</f>
        <v/>
      </c>
      <c r="C89" s="11" t="n"/>
      <c r="D89" s="11" t="n"/>
      <c r="E89" s="11" t="n"/>
      <c r="F89" s="27" t="n"/>
      <c r="G89" s="27" t="n"/>
      <c r="H89" s="19" t="n"/>
      <c r="I89" s="17" t="n"/>
      <c r="J89" s="11" t="n"/>
      <c r="K89" s="11" t="n"/>
    </row>
    <row r="90" ht="22" customHeight="1">
      <c r="B90" s="15">
        <f>IF(C90="","JRN-"&amp;TEXT(COUNTA($C$5:C90),"000"))</f>
        <v/>
      </c>
      <c r="C90" s="13" t="n"/>
      <c r="D90" s="13" t="n"/>
      <c r="E90" s="13" t="n"/>
      <c r="F90" s="28" t="n"/>
      <c r="G90" s="28" t="n"/>
      <c r="H90" s="20" t="n"/>
      <c r="I90" s="18" t="n"/>
      <c r="J90" s="13" t="n"/>
      <c r="K90" s="13" t="n"/>
    </row>
    <row r="91" ht="22" customHeight="1">
      <c r="B91" s="16">
        <f>IF(C91="","JRN-"&amp;TEXT(COUNTA($C$5:C91),"000"))</f>
        <v/>
      </c>
      <c r="C91" s="11" t="n"/>
      <c r="D91" s="11" t="n"/>
      <c r="E91" s="11" t="n"/>
      <c r="F91" s="27" t="n"/>
      <c r="G91" s="27" t="n"/>
      <c r="H91" s="19" t="n"/>
      <c r="I91" s="17" t="n"/>
      <c r="J91" s="11" t="n"/>
      <c r="K91" s="11" t="n"/>
    </row>
    <row r="92" ht="22" customHeight="1">
      <c r="B92" s="15">
        <f>IF(C92="","JRN-"&amp;TEXT(COUNTA($C$5:C92),"000"))</f>
        <v/>
      </c>
      <c r="C92" s="13" t="n"/>
      <c r="D92" s="13" t="n"/>
      <c r="E92" s="13" t="n"/>
      <c r="F92" s="28" t="n"/>
      <c r="G92" s="28" t="n"/>
      <c r="H92" s="20" t="n"/>
      <c r="I92" s="18" t="n"/>
      <c r="J92" s="13" t="n"/>
      <c r="K92" s="13" t="n"/>
    </row>
    <row r="93" ht="22" customHeight="1">
      <c r="B93" s="16">
        <f>IF(C93="","JRN-"&amp;TEXT(COUNTA($C$5:C93),"000"))</f>
        <v/>
      </c>
      <c r="C93" s="11" t="n"/>
      <c r="D93" s="11" t="n"/>
      <c r="E93" s="11" t="n"/>
      <c r="F93" s="27" t="n"/>
      <c r="G93" s="27" t="n"/>
      <c r="H93" s="19" t="n"/>
      <c r="I93" s="17" t="n"/>
      <c r="J93" s="11" t="n"/>
      <c r="K93" s="11" t="n"/>
    </row>
    <row r="94" ht="22" customHeight="1">
      <c r="B94" s="15">
        <f>IF(C94="","JRN-"&amp;TEXT(COUNTA($C$5:C94),"000"))</f>
        <v/>
      </c>
      <c r="C94" s="13" t="n"/>
      <c r="D94" s="13" t="n"/>
      <c r="E94" s="13" t="n"/>
      <c r="F94" s="28" t="n"/>
      <c r="G94" s="28" t="n"/>
      <c r="H94" s="20" t="n"/>
      <c r="I94" s="18" t="n"/>
      <c r="J94" s="13" t="n"/>
      <c r="K94" s="13" t="n"/>
    </row>
    <row r="95" ht="22" customHeight="1">
      <c r="B95" s="16">
        <f>IF(C95="","JRN-"&amp;TEXT(COUNTA($C$5:C95),"000"))</f>
        <v/>
      </c>
      <c r="C95" s="11" t="n"/>
      <c r="D95" s="11" t="n"/>
      <c r="E95" s="11" t="n"/>
      <c r="F95" s="27" t="n"/>
      <c r="G95" s="27" t="n"/>
      <c r="H95" s="19" t="n"/>
      <c r="I95" s="17" t="n"/>
      <c r="J95" s="11" t="n"/>
      <c r="K95" s="11" t="n"/>
    </row>
    <row r="96" ht="22" customHeight="1">
      <c r="B96" s="15">
        <f>IF(C96="","JRN-"&amp;TEXT(COUNTA($C$5:C96),"000"))</f>
        <v/>
      </c>
      <c r="C96" s="13" t="n"/>
      <c r="D96" s="13" t="n"/>
      <c r="E96" s="13" t="n"/>
      <c r="F96" s="28" t="n"/>
      <c r="G96" s="28" t="n"/>
      <c r="H96" s="20" t="n"/>
      <c r="I96" s="18" t="n"/>
      <c r="J96" s="13" t="n"/>
      <c r="K96" s="13" t="n"/>
    </row>
    <row r="97" ht="22" customHeight="1">
      <c r="B97" s="16">
        <f>IF(C97="","JRN-"&amp;TEXT(COUNTA($C$5:C97),"000"))</f>
        <v/>
      </c>
      <c r="C97" s="11" t="n"/>
      <c r="D97" s="11" t="n"/>
      <c r="E97" s="11" t="n"/>
      <c r="F97" s="27" t="n"/>
      <c r="G97" s="27" t="n"/>
      <c r="H97" s="19" t="n"/>
      <c r="I97" s="17" t="n"/>
      <c r="J97" s="11" t="n"/>
      <c r="K97" s="11" t="n"/>
    </row>
    <row r="98" ht="22" customHeight="1">
      <c r="B98" s="15">
        <f>IF(C98="","JRN-"&amp;TEXT(COUNTA($C$5:C98),"000"))</f>
        <v/>
      </c>
      <c r="C98" s="13" t="n"/>
      <c r="D98" s="13" t="n"/>
      <c r="E98" s="13" t="n"/>
      <c r="F98" s="28" t="n"/>
      <c r="G98" s="28" t="n"/>
      <c r="H98" s="20" t="n"/>
      <c r="I98" s="18" t="n"/>
      <c r="J98" s="13" t="n"/>
      <c r="K98" s="13" t="n"/>
    </row>
    <row r="99" ht="22" customHeight="1">
      <c r="B99" s="16">
        <f>IF(C99="","JRN-"&amp;TEXT(COUNTA($C$5:C99),"000"))</f>
        <v/>
      </c>
      <c r="C99" s="11" t="n"/>
      <c r="D99" s="11" t="n"/>
      <c r="E99" s="11" t="n"/>
      <c r="F99" s="27" t="n"/>
      <c r="G99" s="27" t="n"/>
      <c r="H99" s="19" t="n"/>
      <c r="I99" s="17" t="n"/>
      <c r="J99" s="11" t="n"/>
      <c r="K99" s="11" t="n"/>
    </row>
    <row r="100" ht="22" customHeight="1">
      <c r="B100" s="15">
        <f>IF(C100="","JRN-"&amp;TEXT(COUNTA($C$5:C100),"000"))</f>
        <v/>
      </c>
      <c r="C100" s="13" t="n"/>
      <c r="D100" s="13" t="n"/>
      <c r="E100" s="13" t="n"/>
      <c r="F100" s="28" t="n"/>
      <c r="G100" s="28" t="n"/>
      <c r="H100" s="20" t="n"/>
      <c r="I100" s="18" t="n"/>
      <c r="J100" s="13" t="n"/>
      <c r="K100" s="13" t="n"/>
    </row>
    <row r="101" ht="22" customHeight="1">
      <c r="B101" s="16">
        <f>IF(C101="","JRN-"&amp;TEXT(COUNTA($C$5:C101),"000"))</f>
        <v/>
      </c>
      <c r="C101" s="11" t="n"/>
      <c r="D101" s="11" t="n"/>
      <c r="E101" s="11" t="n"/>
      <c r="F101" s="27" t="n"/>
      <c r="G101" s="27" t="n"/>
      <c r="H101" s="19" t="n"/>
      <c r="I101" s="17" t="n"/>
      <c r="J101" s="11" t="n"/>
      <c r="K101" s="11" t="n"/>
    </row>
    <row r="102" ht="22" customHeight="1">
      <c r="B102" s="15">
        <f>IF(C102="","JRN-"&amp;TEXT(COUNTA($C$5:C102),"000"))</f>
        <v/>
      </c>
      <c r="C102" s="13" t="n"/>
      <c r="D102" s="13" t="n"/>
      <c r="E102" s="13" t="n"/>
      <c r="F102" s="28" t="n"/>
      <c r="G102" s="28" t="n"/>
      <c r="H102" s="20" t="n"/>
      <c r="I102" s="18" t="n"/>
      <c r="J102" s="13" t="n"/>
      <c r="K102" s="13" t="n"/>
    </row>
    <row r="103" ht="22" customHeight="1">
      <c r="B103" s="16">
        <f>IF(C103="","JRN-"&amp;TEXT(COUNTA($C$5:C103),"000"))</f>
        <v/>
      </c>
      <c r="C103" s="11" t="n"/>
      <c r="D103" s="11" t="n"/>
      <c r="E103" s="11" t="n"/>
      <c r="F103" s="27" t="n"/>
      <c r="G103" s="27" t="n"/>
      <c r="H103" s="19" t="n"/>
      <c r="I103" s="17" t="n"/>
      <c r="J103" s="11" t="n"/>
      <c r="K103" s="11" t="n"/>
    </row>
    <row r="104" ht="22" customHeight="1">
      <c r="B104" s="15">
        <f>IF(C104="","JRN-"&amp;TEXT(COUNTA($C$5:C104),"000"))</f>
        <v/>
      </c>
      <c r="C104" s="13" t="n"/>
      <c r="D104" s="13" t="n"/>
      <c r="E104" s="13" t="n"/>
      <c r="F104" s="28" t="n"/>
      <c r="G104" s="28" t="n"/>
      <c r="H104" s="20" t="n"/>
      <c r="I104" s="18" t="n"/>
      <c r="J104" s="13" t="n"/>
      <c r="K104" s="13" t="n"/>
    </row>
    <row r="105" ht="22" customHeight="1">
      <c r="B105" s="16">
        <f>IF(C105="","JRN-"&amp;TEXT(COUNTA($C$5:C105),"000"))</f>
        <v/>
      </c>
      <c r="C105" s="11" t="n"/>
      <c r="D105" s="11" t="n"/>
      <c r="E105" s="11" t="n"/>
      <c r="F105" s="27" t="n"/>
      <c r="G105" s="27" t="n"/>
      <c r="H105" s="19" t="n"/>
      <c r="I105" s="17" t="n"/>
      <c r="J105" s="11" t="n"/>
      <c r="K105" s="11" t="n"/>
    </row>
    <row r="106" ht="22" customHeight="1">
      <c r="B106" s="15">
        <f>IF(C106="","JRN-"&amp;TEXT(COUNTA($C$5:C106),"000"))</f>
        <v/>
      </c>
      <c r="C106" s="13" t="n"/>
      <c r="D106" s="13" t="n"/>
      <c r="E106" s="13" t="n"/>
      <c r="F106" s="28" t="n"/>
      <c r="G106" s="28" t="n"/>
      <c r="H106" s="20" t="n"/>
      <c r="I106" s="18" t="n"/>
      <c r="J106" s="13" t="n"/>
      <c r="K106" s="13" t="n"/>
    </row>
    <row r="107" ht="22" customHeight="1">
      <c r="B107" s="16">
        <f>IF(C107="","JRN-"&amp;TEXT(COUNTA($C$5:C107),"000"))</f>
        <v/>
      </c>
      <c r="C107" s="11" t="n"/>
      <c r="D107" s="11" t="n"/>
      <c r="E107" s="11" t="n"/>
      <c r="F107" s="27" t="n"/>
      <c r="G107" s="27" t="n"/>
      <c r="H107" s="19" t="n"/>
      <c r="I107" s="17" t="n"/>
      <c r="J107" s="11" t="n"/>
      <c r="K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Articles</t>
        </is>
      </c>
      <c r="D110" s="3" t="inlineStr">
        <is>
          <t>Publies</t>
        </is>
      </c>
      <c r="F110" s="3" t="inlineStr">
        <is>
          <t>Lectures totales</t>
        </is>
      </c>
    </row>
    <row r="111">
      <c r="B111" s="4">
        <f>COUNTIF(B5:B104,"&lt;&gt;")</f>
        <v/>
      </c>
      <c r="D111" s="4">
        <f>COUNTIF(J5:J104,"Publie")</f>
        <v/>
      </c>
      <c r="F111" s="4">
        <f>SUM(I5:I104)</f>
        <v/>
      </c>
    </row>
  </sheetData>
  <mergeCells count="3">
    <mergeCell ref="B109:K109"/>
    <mergeCell ref="B3:K3"/>
    <mergeCell ref="B2:K2"/>
  </mergeCells>
  <conditionalFormatting sqref="J5:J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8:B107">
    <cfRule type="expression" priority="230" dxfId="3">
      <formula>AND($C8="",$C7&lt;&gt;"")</formula>
    </cfRule>
  </conditionalFormatting>
  <conditionalFormatting sqref="C8:C107">
    <cfRule type="expression" priority="231" dxfId="3">
      <formula>AND($C8="",$C7&lt;&gt;"")</formula>
    </cfRule>
  </conditionalFormatting>
  <conditionalFormatting sqref="D8:D107">
    <cfRule type="expression" priority="232" dxfId="3">
      <formula>AND($C8="",$C7&lt;&gt;"")</formula>
    </cfRule>
  </conditionalFormatting>
  <conditionalFormatting sqref="E8:E107">
    <cfRule type="expression" priority="233" dxfId="3">
      <formula>AND($C8="",$C7&lt;&gt;"")</formula>
    </cfRule>
  </conditionalFormatting>
  <conditionalFormatting sqref="F8:F107">
    <cfRule type="expression" priority="234" dxfId="3">
      <formula>AND($C8="",$C7&lt;&gt;"")</formula>
    </cfRule>
  </conditionalFormatting>
  <conditionalFormatting sqref="G8:G107">
    <cfRule type="expression" priority="235" dxfId="3">
      <formula>AND($C8="",$C7&lt;&gt;"")</formula>
    </cfRule>
  </conditionalFormatting>
  <conditionalFormatting sqref="H8:H107">
    <cfRule type="expression" priority="236" dxfId="3">
      <formula>AND($C8="",$C7&lt;&gt;"")</formula>
    </cfRule>
  </conditionalFormatting>
  <conditionalFormatting sqref="I8:I107">
    <cfRule type="expression" priority="237" dxfId="3">
      <formula>AND($C8="",$C7&lt;&gt;"")</formula>
    </cfRule>
  </conditionalFormatting>
  <conditionalFormatting sqref="J8:J107">
    <cfRule type="expression" priority="238" dxfId="3">
      <formula>AND($C8="",$C7&lt;&gt;"")</formula>
    </cfRule>
  </conditionalFormatting>
  <conditionalFormatting sqref="K8:K107">
    <cfRule type="expression" priority="239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'_Lists'!$O$2:$O$11</formula1>
    </dataValidation>
    <dataValidation sqref="J5:J107" showDropDown="0" showInputMessage="0" showErrorMessage="0" allowBlank="1" errorTitle="Erreur" error="Valeur invalide" promptTitle="Liste" prompt="Choisir dans la liste" type="list">
      <formula1>'_Lists'!$P$2:$P$7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6" customWidth="1" min="12" max="12"/>
    <col width="32" customWidth="1" min="13" max="13"/>
  </cols>
  <sheetData>
    <row r="1" ht="15" customHeight="1"/>
    <row r="2" ht="32" customHeight="1">
      <c r="B2" s="1" t="inlineStr">
        <is>
          <t>EVENEMENTS RH (#145)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Nom Evenement</t>
        </is>
      </c>
      <c r="D4" s="10" t="inlineStr">
        <is>
          <t>Type</t>
        </is>
      </c>
      <c r="E4" s="10" t="inlineStr">
        <is>
          <t>Date Debut</t>
        </is>
      </c>
      <c r="F4" s="10" t="inlineStr">
        <is>
          <t>Date Fin</t>
        </is>
      </c>
      <c r="G4" s="10" t="inlineStr">
        <is>
          <t>Lieu</t>
        </is>
      </c>
      <c r="H4" s="10" t="inlineStr">
        <is>
          <t>Organisateur</t>
        </is>
      </c>
      <c r="I4" s="10" t="inlineStr">
        <is>
          <t>Nb Participants</t>
        </is>
      </c>
      <c r="J4" s="10" t="inlineStr">
        <is>
          <t>Budget (FCFA)</t>
        </is>
      </c>
      <c r="K4" s="10" t="inlineStr">
        <is>
          <t>Cout Reel (FCFA)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EVT-001</t>
        </is>
      </c>
      <c r="C5" s="11" t="inlineStr">
        <is>
          <t>Team building annuel</t>
        </is>
      </c>
      <c r="D5" s="11" t="inlineStr">
        <is>
          <t>Team building</t>
        </is>
      </c>
      <c r="E5" s="27" t="n">
        <v>45731</v>
      </c>
      <c r="F5" s="27" t="n">
        <v>45732</v>
      </c>
      <c r="G5" s="11" t="inlineStr">
        <is>
          <t>Plage de Kribi</t>
        </is>
      </c>
      <c r="H5" s="11" t="inlineStr">
        <is>
          <t>DRH</t>
        </is>
      </c>
      <c r="I5" s="17" t="n">
        <v>80</v>
      </c>
      <c r="J5" s="17" t="n">
        <v>2000000</v>
      </c>
      <c r="K5" s="17" t="n"/>
      <c r="L5" s="11" t="inlineStr">
        <is>
          <t>En preparation</t>
        </is>
      </c>
      <c r="M5" s="11" t="inlineStr">
        <is>
          <t>Transport et restauration prevus</t>
        </is>
      </c>
    </row>
    <row r="6" ht="22" customHeight="1">
      <c r="B6" s="13" t="inlineStr">
        <is>
          <t>EVT-002</t>
        </is>
      </c>
      <c r="C6" s="13" t="inlineStr">
        <is>
          <t>Celebration 10 ans hotel</t>
        </is>
      </c>
      <c r="D6" s="13" t="inlineStr">
        <is>
          <t>Gala employes</t>
        </is>
      </c>
      <c r="E6" s="28" t="n">
        <v>45828</v>
      </c>
      <c r="F6" s="28" t="n">
        <v>45828</v>
      </c>
      <c r="G6" s="13" t="inlineStr">
        <is>
          <t>Salle principale</t>
        </is>
      </c>
      <c r="H6" s="13" t="inlineStr">
        <is>
          <t>Direction</t>
        </is>
      </c>
      <c r="I6" s="18" t="n">
        <v>150</v>
      </c>
      <c r="J6" s="18" t="n">
        <v>5000000</v>
      </c>
      <c r="K6" s="18" t="n"/>
      <c r="L6" s="13" t="inlineStr">
        <is>
          <t>Planifie</t>
        </is>
      </c>
      <c r="M6" s="13" t="inlineStr">
        <is>
          <t>Prestations en cours de negociation</t>
        </is>
      </c>
    </row>
    <row r="7" ht="22" customHeight="1">
      <c r="B7" s="11" t="inlineStr">
        <is>
          <t>EVT-003</t>
        </is>
      </c>
      <c r="C7" s="11" t="inlineStr">
        <is>
          <t>Semaine bien-etre</t>
        </is>
      </c>
      <c r="D7" s="11" t="inlineStr">
        <is>
          <t>Atelier bien-etre</t>
        </is>
      </c>
      <c r="E7" s="27" t="n">
        <v>45754</v>
      </c>
      <c r="F7" s="27" t="n">
        <v>45758</v>
      </c>
      <c r="G7" s="11" t="inlineStr">
        <is>
          <t>Salle formation</t>
        </is>
      </c>
      <c r="H7" s="11" t="inlineStr">
        <is>
          <t>DRH</t>
        </is>
      </c>
      <c r="I7" s="17" t="n">
        <v>40</v>
      </c>
      <c r="J7" s="17" t="n">
        <v>500000</v>
      </c>
      <c r="K7" s="17" t="n"/>
      <c r="L7" s="11" t="inlineStr">
        <is>
          <t>En preparation</t>
        </is>
      </c>
      <c r="M7" s="11" t="inlineStr">
        <is>
          <t>Intervenants externes confirmes</t>
        </is>
      </c>
    </row>
    <row r="8" ht="22" customHeight="1">
      <c r="B8" s="15">
        <f>IF(C8="","EVT-"&amp;TEXT(COUNTA($C$5:C8),"000"))</f>
        <v/>
      </c>
      <c r="C8" s="13" t="n"/>
      <c r="D8" s="13" t="n"/>
      <c r="E8" s="28" t="n"/>
      <c r="F8" s="28" t="n"/>
      <c r="G8" s="13" t="n"/>
      <c r="H8" s="13" t="n"/>
      <c r="I8" s="18" t="n"/>
      <c r="J8" s="18" t="n"/>
      <c r="K8" s="18" t="n"/>
      <c r="L8" s="13" t="n"/>
      <c r="M8" s="13" t="n"/>
    </row>
    <row r="9" ht="22" customHeight="1">
      <c r="B9" s="16">
        <f>IF(C9="","EVT-"&amp;TEXT(COUNTA($C$5:C9),"000"))</f>
        <v/>
      </c>
      <c r="C9" s="11" t="n"/>
      <c r="D9" s="11" t="n"/>
      <c r="E9" s="27" t="n"/>
      <c r="F9" s="27" t="n"/>
      <c r="G9" s="11" t="n"/>
      <c r="H9" s="11" t="n"/>
      <c r="I9" s="17" t="n"/>
      <c r="J9" s="17" t="n"/>
      <c r="K9" s="17" t="n"/>
      <c r="L9" s="11" t="n"/>
      <c r="M9" s="11" t="n"/>
    </row>
    <row r="10" ht="22" customHeight="1">
      <c r="B10" s="15">
        <f>IF(C10="","EVT-"&amp;TEXT(COUNTA($C$5:C10),"000"))</f>
        <v/>
      </c>
      <c r="C10" s="13" t="n"/>
      <c r="D10" s="13" t="n"/>
      <c r="E10" s="28" t="n"/>
      <c r="F10" s="28" t="n"/>
      <c r="G10" s="13" t="n"/>
      <c r="H10" s="13" t="n"/>
      <c r="I10" s="18" t="n"/>
      <c r="J10" s="18" t="n"/>
      <c r="K10" s="18" t="n"/>
      <c r="L10" s="13" t="n"/>
      <c r="M10" s="13" t="n"/>
    </row>
    <row r="11" ht="22" customHeight="1">
      <c r="B11" s="16">
        <f>IF(C11="","EVT-"&amp;TEXT(COUNTA($C$5:C11),"000"))</f>
        <v/>
      </c>
      <c r="C11" s="11" t="n"/>
      <c r="D11" s="11" t="n"/>
      <c r="E11" s="27" t="n"/>
      <c r="F11" s="27" t="n"/>
      <c r="G11" s="11" t="n"/>
      <c r="H11" s="11" t="n"/>
      <c r="I11" s="17" t="n"/>
      <c r="J11" s="17" t="n"/>
      <c r="K11" s="17" t="n"/>
      <c r="L11" s="11" t="n"/>
      <c r="M11" s="11" t="n"/>
    </row>
    <row r="12" ht="22" customHeight="1">
      <c r="B12" s="15">
        <f>IF(C12="","EVT-"&amp;TEXT(COUNTA($C$5:C12),"000"))</f>
        <v/>
      </c>
      <c r="C12" s="13" t="n"/>
      <c r="D12" s="13" t="n"/>
      <c r="E12" s="28" t="n"/>
      <c r="F12" s="28" t="n"/>
      <c r="G12" s="13" t="n"/>
      <c r="H12" s="13" t="n"/>
      <c r="I12" s="18" t="n"/>
      <c r="J12" s="18" t="n"/>
      <c r="K12" s="18" t="n"/>
      <c r="L12" s="13" t="n"/>
      <c r="M12" s="13" t="n"/>
    </row>
    <row r="13" ht="22" customHeight="1">
      <c r="B13" s="16">
        <f>IF(C13="","EVT-"&amp;TEXT(COUNTA($C$5:C13),"000"))</f>
        <v/>
      </c>
      <c r="C13" s="11" t="n"/>
      <c r="D13" s="11" t="n"/>
      <c r="E13" s="27" t="n"/>
      <c r="F13" s="27" t="n"/>
      <c r="G13" s="11" t="n"/>
      <c r="H13" s="11" t="n"/>
      <c r="I13" s="17" t="n"/>
      <c r="J13" s="17" t="n"/>
      <c r="K13" s="17" t="n"/>
      <c r="L13" s="11" t="n"/>
      <c r="M13" s="11" t="n"/>
    </row>
    <row r="14" ht="22" customHeight="1">
      <c r="B14" s="15">
        <f>IF(C14="","EVT-"&amp;TEXT(COUNTA($C$5:C14),"000"))</f>
        <v/>
      </c>
      <c r="C14" s="13" t="n"/>
      <c r="D14" s="13" t="n"/>
      <c r="E14" s="28" t="n"/>
      <c r="F14" s="28" t="n"/>
      <c r="G14" s="13" t="n"/>
      <c r="H14" s="13" t="n"/>
      <c r="I14" s="18" t="n"/>
      <c r="J14" s="18" t="n"/>
      <c r="K14" s="18" t="n"/>
      <c r="L14" s="13" t="n"/>
      <c r="M14" s="13" t="n"/>
    </row>
    <row r="15" ht="22" customHeight="1">
      <c r="B15" s="16">
        <f>IF(C15="","EVT-"&amp;TEXT(COUNTA($C$5:C15),"000"))</f>
        <v/>
      </c>
      <c r="C15" s="11" t="n"/>
      <c r="D15" s="11" t="n"/>
      <c r="E15" s="27" t="n"/>
      <c r="F15" s="27" t="n"/>
      <c r="G15" s="11" t="n"/>
      <c r="H15" s="11" t="n"/>
      <c r="I15" s="17" t="n"/>
      <c r="J15" s="17" t="n"/>
      <c r="K15" s="17" t="n"/>
      <c r="L15" s="11" t="n"/>
      <c r="M15" s="11" t="n"/>
    </row>
    <row r="16" ht="22" customHeight="1">
      <c r="B16" s="15">
        <f>IF(C16="","EVT-"&amp;TEXT(COUNTA($C$5:C16),"000"))</f>
        <v/>
      </c>
      <c r="C16" s="13" t="n"/>
      <c r="D16" s="13" t="n"/>
      <c r="E16" s="28" t="n"/>
      <c r="F16" s="28" t="n"/>
      <c r="G16" s="13" t="n"/>
      <c r="H16" s="13" t="n"/>
      <c r="I16" s="18" t="n"/>
      <c r="J16" s="18" t="n"/>
      <c r="K16" s="18" t="n"/>
      <c r="L16" s="13" t="n"/>
      <c r="M16" s="13" t="n"/>
    </row>
    <row r="17" ht="22" customHeight="1">
      <c r="B17" s="16">
        <f>IF(C17="","EVT-"&amp;TEXT(COUNTA($C$5:C17),"000"))</f>
        <v/>
      </c>
      <c r="C17" s="11" t="n"/>
      <c r="D17" s="11" t="n"/>
      <c r="E17" s="27" t="n"/>
      <c r="F17" s="27" t="n"/>
      <c r="G17" s="11" t="n"/>
      <c r="H17" s="11" t="n"/>
      <c r="I17" s="17" t="n"/>
      <c r="J17" s="17" t="n"/>
      <c r="K17" s="17" t="n"/>
      <c r="L17" s="11" t="n"/>
      <c r="M17" s="11" t="n"/>
    </row>
    <row r="18" ht="22" customHeight="1">
      <c r="B18" s="15">
        <f>IF(C18="","EVT-"&amp;TEXT(COUNTA($C$5:C18),"000"))</f>
        <v/>
      </c>
      <c r="C18" s="13" t="n"/>
      <c r="D18" s="13" t="n"/>
      <c r="E18" s="28" t="n"/>
      <c r="F18" s="28" t="n"/>
      <c r="G18" s="13" t="n"/>
      <c r="H18" s="13" t="n"/>
      <c r="I18" s="18" t="n"/>
      <c r="J18" s="18" t="n"/>
      <c r="K18" s="18" t="n"/>
      <c r="L18" s="13" t="n"/>
      <c r="M18" s="13" t="n"/>
    </row>
    <row r="19" ht="22" customHeight="1">
      <c r="B19" s="16">
        <f>IF(C19="","EVT-"&amp;TEXT(COUNTA($C$5:C19),"000"))</f>
        <v/>
      </c>
      <c r="C19" s="11" t="n"/>
      <c r="D19" s="11" t="n"/>
      <c r="E19" s="27" t="n"/>
      <c r="F19" s="27" t="n"/>
      <c r="G19" s="11" t="n"/>
      <c r="H19" s="11" t="n"/>
      <c r="I19" s="17" t="n"/>
      <c r="J19" s="17" t="n"/>
      <c r="K19" s="17" t="n"/>
      <c r="L19" s="11" t="n"/>
      <c r="M19" s="11" t="n"/>
    </row>
    <row r="20" ht="22" customHeight="1">
      <c r="B20" s="15">
        <f>IF(C20="","EVT-"&amp;TEXT(COUNTA($C$5:C20),"000"))</f>
        <v/>
      </c>
      <c r="C20" s="13" t="n"/>
      <c r="D20" s="13" t="n"/>
      <c r="E20" s="28" t="n"/>
      <c r="F20" s="28" t="n"/>
      <c r="G20" s="13" t="n"/>
      <c r="H20" s="13" t="n"/>
      <c r="I20" s="18" t="n"/>
      <c r="J20" s="18" t="n"/>
      <c r="K20" s="18" t="n"/>
      <c r="L20" s="13" t="n"/>
      <c r="M20" s="13" t="n"/>
    </row>
    <row r="21" ht="22" customHeight="1">
      <c r="B21" s="16">
        <f>IF(C21="","EVT-"&amp;TEXT(COUNTA($C$5:C21),"000"))</f>
        <v/>
      </c>
      <c r="C21" s="11" t="n"/>
      <c r="D21" s="11" t="n"/>
      <c r="E21" s="27" t="n"/>
      <c r="F21" s="27" t="n"/>
      <c r="G21" s="11" t="n"/>
      <c r="H21" s="11" t="n"/>
      <c r="I21" s="17" t="n"/>
      <c r="J21" s="17" t="n"/>
      <c r="K21" s="17" t="n"/>
      <c r="L21" s="11" t="n"/>
      <c r="M21" s="11" t="n"/>
    </row>
    <row r="22" ht="22" customHeight="1">
      <c r="B22" s="15">
        <f>IF(C22="","EVT-"&amp;TEXT(COUNTA($C$5:C22),"000"))</f>
        <v/>
      </c>
      <c r="C22" s="13" t="n"/>
      <c r="D22" s="13" t="n"/>
      <c r="E22" s="28" t="n"/>
      <c r="F22" s="28" t="n"/>
      <c r="G22" s="13" t="n"/>
      <c r="H22" s="13" t="n"/>
      <c r="I22" s="18" t="n"/>
      <c r="J22" s="18" t="n"/>
      <c r="K22" s="18" t="n"/>
      <c r="L22" s="13" t="n"/>
      <c r="M22" s="13" t="n"/>
    </row>
    <row r="23" ht="22" customHeight="1">
      <c r="B23" s="16">
        <f>IF(C23="","EVT-"&amp;TEXT(COUNTA($C$5:C23),"000"))</f>
        <v/>
      </c>
      <c r="C23" s="11" t="n"/>
      <c r="D23" s="11" t="n"/>
      <c r="E23" s="27" t="n"/>
      <c r="F23" s="27" t="n"/>
      <c r="G23" s="11" t="n"/>
      <c r="H23" s="11" t="n"/>
      <c r="I23" s="17" t="n"/>
      <c r="J23" s="17" t="n"/>
      <c r="K23" s="17" t="n"/>
      <c r="L23" s="11" t="n"/>
      <c r="M23" s="11" t="n"/>
    </row>
    <row r="24" ht="22" customHeight="1">
      <c r="B24" s="15">
        <f>IF(C24="","EVT-"&amp;TEXT(COUNTA($C$5:C24),"000"))</f>
        <v/>
      </c>
      <c r="C24" s="13" t="n"/>
      <c r="D24" s="13" t="n"/>
      <c r="E24" s="28" t="n"/>
      <c r="F24" s="28" t="n"/>
      <c r="G24" s="13" t="n"/>
      <c r="H24" s="13" t="n"/>
      <c r="I24" s="18" t="n"/>
      <c r="J24" s="18" t="n"/>
      <c r="K24" s="18" t="n"/>
      <c r="L24" s="13" t="n"/>
      <c r="M24" s="13" t="n"/>
    </row>
    <row r="25" ht="22" customHeight="1">
      <c r="B25" s="16">
        <f>IF(C25="","EVT-"&amp;TEXT(COUNTA($C$5:C25),"000"))</f>
        <v/>
      </c>
      <c r="C25" s="11" t="n"/>
      <c r="D25" s="11" t="n"/>
      <c r="E25" s="27" t="n"/>
      <c r="F25" s="27" t="n"/>
      <c r="G25" s="11" t="n"/>
      <c r="H25" s="11" t="n"/>
      <c r="I25" s="17" t="n"/>
      <c r="J25" s="17" t="n"/>
      <c r="K25" s="17" t="n"/>
      <c r="L25" s="11" t="n"/>
      <c r="M25" s="11" t="n"/>
    </row>
    <row r="26" ht="22" customHeight="1">
      <c r="B26" s="15">
        <f>IF(C26="","EVT-"&amp;TEXT(COUNTA($C$5:C26),"000"))</f>
        <v/>
      </c>
      <c r="C26" s="13" t="n"/>
      <c r="D26" s="13" t="n"/>
      <c r="E26" s="28" t="n"/>
      <c r="F26" s="28" t="n"/>
      <c r="G26" s="13" t="n"/>
      <c r="H26" s="13" t="n"/>
      <c r="I26" s="18" t="n"/>
      <c r="J26" s="18" t="n"/>
      <c r="K26" s="18" t="n"/>
      <c r="L26" s="13" t="n"/>
      <c r="M26" s="13" t="n"/>
    </row>
    <row r="27" ht="22" customHeight="1">
      <c r="B27" s="16">
        <f>IF(C27="","EVT-"&amp;TEXT(COUNTA($C$5:C27),"000"))</f>
        <v/>
      </c>
      <c r="C27" s="11" t="n"/>
      <c r="D27" s="11" t="n"/>
      <c r="E27" s="27" t="n"/>
      <c r="F27" s="27" t="n"/>
      <c r="G27" s="11" t="n"/>
      <c r="H27" s="11" t="n"/>
      <c r="I27" s="17" t="n"/>
      <c r="J27" s="17" t="n"/>
      <c r="K27" s="17" t="n"/>
      <c r="L27" s="11" t="n"/>
      <c r="M27" s="11" t="n"/>
    </row>
    <row r="28" ht="22" customHeight="1">
      <c r="B28" s="15">
        <f>IF(C28="","EVT-"&amp;TEXT(COUNTA($C$5:C28),"000"))</f>
        <v/>
      </c>
      <c r="C28" s="13" t="n"/>
      <c r="D28" s="13" t="n"/>
      <c r="E28" s="28" t="n"/>
      <c r="F28" s="28" t="n"/>
      <c r="G28" s="13" t="n"/>
      <c r="H28" s="13" t="n"/>
      <c r="I28" s="18" t="n"/>
      <c r="J28" s="18" t="n"/>
      <c r="K28" s="18" t="n"/>
      <c r="L28" s="13" t="n"/>
      <c r="M28" s="13" t="n"/>
    </row>
    <row r="29" ht="22" customHeight="1">
      <c r="B29" s="16">
        <f>IF(C29="","EVT-"&amp;TEXT(COUNTA($C$5:C29),"000"))</f>
        <v/>
      </c>
      <c r="C29" s="11" t="n"/>
      <c r="D29" s="11" t="n"/>
      <c r="E29" s="27" t="n"/>
      <c r="F29" s="27" t="n"/>
      <c r="G29" s="11" t="n"/>
      <c r="H29" s="11" t="n"/>
      <c r="I29" s="17" t="n"/>
      <c r="J29" s="17" t="n"/>
      <c r="K29" s="17" t="n"/>
      <c r="L29" s="11" t="n"/>
      <c r="M29" s="11" t="n"/>
    </row>
    <row r="30" ht="22" customHeight="1">
      <c r="B30" s="15">
        <f>IF(C30="","EVT-"&amp;TEXT(COUNTA($C$5:C30),"000"))</f>
        <v/>
      </c>
      <c r="C30" s="13" t="n"/>
      <c r="D30" s="13" t="n"/>
      <c r="E30" s="28" t="n"/>
      <c r="F30" s="28" t="n"/>
      <c r="G30" s="13" t="n"/>
      <c r="H30" s="13" t="n"/>
      <c r="I30" s="18" t="n"/>
      <c r="J30" s="18" t="n"/>
      <c r="K30" s="18" t="n"/>
      <c r="L30" s="13" t="n"/>
      <c r="M30" s="13" t="n"/>
    </row>
    <row r="31" ht="22" customHeight="1">
      <c r="B31" s="16">
        <f>IF(C31="","EVT-"&amp;TEXT(COUNTA($C$5:C31),"000"))</f>
        <v/>
      </c>
      <c r="C31" s="11" t="n"/>
      <c r="D31" s="11" t="n"/>
      <c r="E31" s="27" t="n"/>
      <c r="F31" s="27" t="n"/>
      <c r="G31" s="11" t="n"/>
      <c r="H31" s="11" t="n"/>
      <c r="I31" s="17" t="n"/>
      <c r="J31" s="17" t="n"/>
      <c r="K31" s="17" t="n"/>
      <c r="L31" s="11" t="n"/>
      <c r="M31" s="11" t="n"/>
    </row>
    <row r="32" ht="22" customHeight="1">
      <c r="B32" s="15">
        <f>IF(C32="","EVT-"&amp;TEXT(COUNTA($C$5:C32),"000"))</f>
        <v/>
      </c>
      <c r="C32" s="13" t="n"/>
      <c r="D32" s="13" t="n"/>
      <c r="E32" s="28" t="n"/>
      <c r="F32" s="28" t="n"/>
      <c r="G32" s="13" t="n"/>
      <c r="H32" s="13" t="n"/>
      <c r="I32" s="18" t="n"/>
      <c r="J32" s="18" t="n"/>
      <c r="K32" s="18" t="n"/>
      <c r="L32" s="13" t="n"/>
      <c r="M32" s="13" t="n"/>
    </row>
    <row r="33" ht="22" customHeight="1">
      <c r="B33" s="16">
        <f>IF(C33="","EVT-"&amp;TEXT(COUNTA($C$5:C33),"000"))</f>
        <v/>
      </c>
      <c r="C33" s="11" t="n"/>
      <c r="D33" s="11" t="n"/>
      <c r="E33" s="27" t="n"/>
      <c r="F33" s="27" t="n"/>
      <c r="G33" s="11" t="n"/>
      <c r="H33" s="11" t="n"/>
      <c r="I33" s="17" t="n"/>
      <c r="J33" s="17" t="n"/>
      <c r="K33" s="17" t="n"/>
      <c r="L33" s="11" t="n"/>
      <c r="M33" s="11" t="n"/>
    </row>
    <row r="34" ht="22" customHeight="1">
      <c r="B34" s="15">
        <f>IF(C34="","EVT-"&amp;TEXT(COUNTA($C$5:C34),"000"))</f>
        <v/>
      </c>
      <c r="C34" s="13" t="n"/>
      <c r="D34" s="13" t="n"/>
      <c r="E34" s="28" t="n"/>
      <c r="F34" s="28" t="n"/>
      <c r="G34" s="13" t="n"/>
      <c r="H34" s="13" t="n"/>
      <c r="I34" s="18" t="n"/>
      <c r="J34" s="18" t="n"/>
      <c r="K34" s="18" t="n"/>
      <c r="L34" s="13" t="n"/>
      <c r="M34" s="13" t="n"/>
    </row>
    <row r="35" ht="22" customHeight="1">
      <c r="B35" s="16">
        <f>IF(C35="","EVT-"&amp;TEXT(COUNTA($C$5:C35),"000"))</f>
        <v/>
      </c>
      <c r="C35" s="11" t="n"/>
      <c r="D35" s="11" t="n"/>
      <c r="E35" s="27" t="n"/>
      <c r="F35" s="27" t="n"/>
      <c r="G35" s="11" t="n"/>
      <c r="H35" s="11" t="n"/>
      <c r="I35" s="17" t="n"/>
      <c r="J35" s="17" t="n"/>
      <c r="K35" s="17" t="n"/>
      <c r="L35" s="11" t="n"/>
      <c r="M35" s="11" t="n"/>
    </row>
    <row r="36" ht="22" customHeight="1">
      <c r="B36" s="15">
        <f>IF(C36="","EVT-"&amp;TEXT(COUNTA($C$5:C36),"000"))</f>
        <v/>
      </c>
      <c r="C36" s="13" t="n"/>
      <c r="D36" s="13" t="n"/>
      <c r="E36" s="28" t="n"/>
      <c r="F36" s="28" t="n"/>
      <c r="G36" s="13" t="n"/>
      <c r="H36" s="13" t="n"/>
      <c r="I36" s="18" t="n"/>
      <c r="J36" s="18" t="n"/>
      <c r="K36" s="18" t="n"/>
      <c r="L36" s="13" t="n"/>
      <c r="M36" s="13" t="n"/>
    </row>
    <row r="37" ht="22" customHeight="1">
      <c r="B37" s="16">
        <f>IF(C37="","EVT-"&amp;TEXT(COUNTA($C$5:C37),"000"))</f>
        <v/>
      </c>
      <c r="C37" s="11" t="n"/>
      <c r="D37" s="11" t="n"/>
      <c r="E37" s="27" t="n"/>
      <c r="F37" s="27" t="n"/>
      <c r="G37" s="11" t="n"/>
      <c r="H37" s="11" t="n"/>
      <c r="I37" s="17" t="n"/>
      <c r="J37" s="17" t="n"/>
      <c r="K37" s="17" t="n"/>
      <c r="L37" s="11" t="n"/>
      <c r="M37" s="11" t="n"/>
    </row>
    <row r="38" ht="22" customHeight="1">
      <c r="B38" s="15">
        <f>IF(C38="","EVT-"&amp;TEXT(COUNTA($C$5:C38),"000"))</f>
        <v/>
      </c>
      <c r="C38" s="13" t="n"/>
      <c r="D38" s="13" t="n"/>
      <c r="E38" s="28" t="n"/>
      <c r="F38" s="28" t="n"/>
      <c r="G38" s="13" t="n"/>
      <c r="H38" s="13" t="n"/>
      <c r="I38" s="18" t="n"/>
      <c r="J38" s="18" t="n"/>
      <c r="K38" s="18" t="n"/>
      <c r="L38" s="13" t="n"/>
      <c r="M38" s="13" t="n"/>
    </row>
    <row r="39" ht="22" customHeight="1">
      <c r="B39" s="16">
        <f>IF(C39="","EVT-"&amp;TEXT(COUNTA($C$5:C39),"000"))</f>
        <v/>
      </c>
      <c r="C39" s="11" t="n"/>
      <c r="D39" s="11" t="n"/>
      <c r="E39" s="27" t="n"/>
      <c r="F39" s="27" t="n"/>
      <c r="G39" s="11" t="n"/>
      <c r="H39" s="11" t="n"/>
      <c r="I39" s="17" t="n"/>
      <c r="J39" s="17" t="n"/>
      <c r="K39" s="17" t="n"/>
      <c r="L39" s="11" t="n"/>
      <c r="M39" s="11" t="n"/>
    </row>
    <row r="40" ht="22" customHeight="1">
      <c r="B40" s="15">
        <f>IF(C40="","EVT-"&amp;TEXT(COUNTA($C$5:C40),"000"))</f>
        <v/>
      </c>
      <c r="C40" s="13" t="n"/>
      <c r="D40" s="13" t="n"/>
      <c r="E40" s="28" t="n"/>
      <c r="F40" s="28" t="n"/>
      <c r="G40" s="13" t="n"/>
      <c r="H40" s="13" t="n"/>
      <c r="I40" s="18" t="n"/>
      <c r="J40" s="18" t="n"/>
      <c r="K40" s="18" t="n"/>
      <c r="L40" s="13" t="n"/>
      <c r="M40" s="13" t="n"/>
    </row>
    <row r="41" ht="22" customHeight="1">
      <c r="B41" s="16">
        <f>IF(C41="","EVT-"&amp;TEXT(COUNTA($C$5:C41),"000"))</f>
        <v/>
      </c>
      <c r="C41" s="11" t="n"/>
      <c r="D41" s="11" t="n"/>
      <c r="E41" s="27" t="n"/>
      <c r="F41" s="27" t="n"/>
      <c r="G41" s="11" t="n"/>
      <c r="H41" s="11" t="n"/>
      <c r="I41" s="17" t="n"/>
      <c r="J41" s="17" t="n"/>
      <c r="K41" s="17" t="n"/>
      <c r="L41" s="11" t="n"/>
      <c r="M41" s="11" t="n"/>
    </row>
    <row r="42" ht="22" customHeight="1">
      <c r="B42" s="15">
        <f>IF(C42="","EVT-"&amp;TEXT(COUNTA($C$5:C42),"000"))</f>
        <v/>
      </c>
      <c r="C42" s="13" t="n"/>
      <c r="D42" s="13" t="n"/>
      <c r="E42" s="28" t="n"/>
      <c r="F42" s="28" t="n"/>
      <c r="G42" s="13" t="n"/>
      <c r="H42" s="13" t="n"/>
      <c r="I42" s="18" t="n"/>
      <c r="J42" s="18" t="n"/>
      <c r="K42" s="18" t="n"/>
      <c r="L42" s="13" t="n"/>
      <c r="M42" s="13" t="n"/>
    </row>
    <row r="43" ht="22" customHeight="1">
      <c r="B43" s="16">
        <f>IF(C43="","EVT-"&amp;TEXT(COUNTA($C$5:C43),"000"))</f>
        <v/>
      </c>
      <c r="C43" s="11" t="n"/>
      <c r="D43" s="11" t="n"/>
      <c r="E43" s="27" t="n"/>
      <c r="F43" s="27" t="n"/>
      <c r="G43" s="11" t="n"/>
      <c r="H43" s="11" t="n"/>
      <c r="I43" s="17" t="n"/>
      <c r="J43" s="17" t="n"/>
      <c r="K43" s="17" t="n"/>
      <c r="L43" s="11" t="n"/>
      <c r="M43" s="11" t="n"/>
    </row>
    <row r="44" ht="22" customHeight="1">
      <c r="B44" s="15">
        <f>IF(C44="","EVT-"&amp;TEXT(COUNTA($C$5:C44),"000"))</f>
        <v/>
      </c>
      <c r="C44" s="13" t="n"/>
      <c r="D44" s="13" t="n"/>
      <c r="E44" s="28" t="n"/>
      <c r="F44" s="28" t="n"/>
      <c r="G44" s="13" t="n"/>
      <c r="H44" s="13" t="n"/>
      <c r="I44" s="18" t="n"/>
      <c r="J44" s="18" t="n"/>
      <c r="K44" s="18" t="n"/>
      <c r="L44" s="13" t="n"/>
      <c r="M44" s="13" t="n"/>
    </row>
    <row r="45" ht="22" customHeight="1">
      <c r="B45" s="16">
        <f>IF(C45="","EVT-"&amp;TEXT(COUNTA($C$5:C45),"000"))</f>
        <v/>
      </c>
      <c r="C45" s="11" t="n"/>
      <c r="D45" s="11" t="n"/>
      <c r="E45" s="27" t="n"/>
      <c r="F45" s="27" t="n"/>
      <c r="G45" s="11" t="n"/>
      <c r="H45" s="11" t="n"/>
      <c r="I45" s="17" t="n"/>
      <c r="J45" s="17" t="n"/>
      <c r="K45" s="17" t="n"/>
      <c r="L45" s="11" t="n"/>
      <c r="M45" s="11" t="n"/>
    </row>
    <row r="46" ht="22" customHeight="1">
      <c r="B46" s="15">
        <f>IF(C46="","EVT-"&amp;TEXT(COUNTA($C$5:C46),"000"))</f>
        <v/>
      </c>
      <c r="C46" s="13" t="n"/>
      <c r="D46" s="13" t="n"/>
      <c r="E46" s="28" t="n"/>
      <c r="F46" s="28" t="n"/>
      <c r="G46" s="13" t="n"/>
      <c r="H46" s="13" t="n"/>
      <c r="I46" s="18" t="n"/>
      <c r="J46" s="18" t="n"/>
      <c r="K46" s="18" t="n"/>
      <c r="L46" s="13" t="n"/>
      <c r="M46" s="13" t="n"/>
    </row>
    <row r="47" ht="22" customHeight="1">
      <c r="B47" s="16">
        <f>IF(C47="","EVT-"&amp;TEXT(COUNTA($C$5:C47),"000"))</f>
        <v/>
      </c>
      <c r="C47" s="11" t="n"/>
      <c r="D47" s="11" t="n"/>
      <c r="E47" s="27" t="n"/>
      <c r="F47" s="27" t="n"/>
      <c r="G47" s="11" t="n"/>
      <c r="H47" s="11" t="n"/>
      <c r="I47" s="17" t="n"/>
      <c r="J47" s="17" t="n"/>
      <c r="K47" s="17" t="n"/>
      <c r="L47" s="11" t="n"/>
      <c r="M47" s="11" t="n"/>
    </row>
    <row r="48" ht="22" customHeight="1">
      <c r="B48" s="15">
        <f>IF(C48="","EVT-"&amp;TEXT(COUNTA($C$5:C48),"000"))</f>
        <v/>
      </c>
      <c r="C48" s="13" t="n"/>
      <c r="D48" s="13" t="n"/>
      <c r="E48" s="28" t="n"/>
      <c r="F48" s="28" t="n"/>
      <c r="G48" s="13" t="n"/>
      <c r="H48" s="13" t="n"/>
      <c r="I48" s="18" t="n"/>
      <c r="J48" s="18" t="n"/>
      <c r="K48" s="18" t="n"/>
      <c r="L48" s="13" t="n"/>
      <c r="M48" s="13" t="n"/>
    </row>
    <row r="49" ht="22" customHeight="1">
      <c r="B49" s="16">
        <f>IF(C49="","EVT-"&amp;TEXT(COUNTA($C$5:C49),"000"))</f>
        <v/>
      </c>
      <c r="C49" s="11" t="n"/>
      <c r="D49" s="11" t="n"/>
      <c r="E49" s="27" t="n"/>
      <c r="F49" s="27" t="n"/>
      <c r="G49" s="11" t="n"/>
      <c r="H49" s="11" t="n"/>
      <c r="I49" s="17" t="n"/>
      <c r="J49" s="17" t="n"/>
      <c r="K49" s="17" t="n"/>
      <c r="L49" s="11" t="n"/>
      <c r="M49" s="11" t="n"/>
    </row>
    <row r="50" ht="22" customHeight="1">
      <c r="B50" s="15">
        <f>IF(C50="","EVT-"&amp;TEXT(COUNTA($C$5:C50),"000"))</f>
        <v/>
      </c>
      <c r="C50" s="13" t="n"/>
      <c r="D50" s="13" t="n"/>
      <c r="E50" s="28" t="n"/>
      <c r="F50" s="28" t="n"/>
      <c r="G50" s="13" t="n"/>
      <c r="H50" s="13" t="n"/>
      <c r="I50" s="18" t="n"/>
      <c r="J50" s="18" t="n"/>
      <c r="K50" s="18" t="n"/>
      <c r="L50" s="13" t="n"/>
      <c r="M50" s="13" t="n"/>
    </row>
    <row r="51" ht="22" customHeight="1">
      <c r="B51" s="16">
        <f>IF(C51="","EVT-"&amp;TEXT(COUNTA($C$5:C51),"000"))</f>
        <v/>
      </c>
      <c r="C51" s="11" t="n"/>
      <c r="D51" s="11" t="n"/>
      <c r="E51" s="27" t="n"/>
      <c r="F51" s="27" t="n"/>
      <c r="G51" s="11" t="n"/>
      <c r="H51" s="11" t="n"/>
      <c r="I51" s="17" t="n"/>
      <c r="J51" s="17" t="n"/>
      <c r="K51" s="17" t="n"/>
      <c r="L51" s="11" t="n"/>
      <c r="M51" s="11" t="n"/>
    </row>
    <row r="52" ht="22" customHeight="1">
      <c r="B52" s="15">
        <f>IF(C52="","EVT-"&amp;TEXT(COUNTA($C$5:C52),"000"))</f>
        <v/>
      </c>
      <c r="C52" s="13" t="n"/>
      <c r="D52" s="13" t="n"/>
      <c r="E52" s="28" t="n"/>
      <c r="F52" s="28" t="n"/>
      <c r="G52" s="13" t="n"/>
      <c r="H52" s="13" t="n"/>
      <c r="I52" s="18" t="n"/>
      <c r="J52" s="18" t="n"/>
      <c r="K52" s="18" t="n"/>
      <c r="L52" s="13" t="n"/>
      <c r="M52" s="13" t="n"/>
    </row>
    <row r="53" ht="22" customHeight="1">
      <c r="B53" s="16">
        <f>IF(C53="","EVT-"&amp;TEXT(COUNTA($C$5:C53),"000"))</f>
        <v/>
      </c>
      <c r="C53" s="11" t="n"/>
      <c r="D53" s="11" t="n"/>
      <c r="E53" s="27" t="n"/>
      <c r="F53" s="27" t="n"/>
      <c r="G53" s="11" t="n"/>
      <c r="H53" s="11" t="n"/>
      <c r="I53" s="17" t="n"/>
      <c r="J53" s="17" t="n"/>
      <c r="K53" s="17" t="n"/>
      <c r="L53" s="11" t="n"/>
      <c r="M53" s="11" t="n"/>
    </row>
    <row r="54" ht="22" customHeight="1">
      <c r="B54" s="15">
        <f>IF(C54="","EVT-"&amp;TEXT(COUNTA($C$5:C54),"000"))</f>
        <v/>
      </c>
      <c r="C54" s="13" t="n"/>
      <c r="D54" s="13" t="n"/>
      <c r="E54" s="28" t="n"/>
      <c r="F54" s="28" t="n"/>
      <c r="G54" s="13" t="n"/>
      <c r="H54" s="13" t="n"/>
      <c r="I54" s="18" t="n"/>
      <c r="J54" s="18" t="n"/>
      <c r="K54" s="18" t="n"/>
      <c r="L54" s="13" t="n"/>
      <c r="M54" s="13" t="n"/>
    </row>
    <row r="55" ht="22" customHeight="1">
      <c r="B55" s="16">
        <f>IF(C55="","EVT-"&amp;TEXT(COUNTA($C$5:C55),"000"))</f>
        <v/>
      </c>
      <c r="C55" s="11" t="n"/>
      <c r="D55" s="11" t="n"/>
      <c r="E55" s="27" t="n"/>
      <c r="F55" s="27" t="n"/>
      <c r="G55" s="11" t="n"/>
      <c r="H55" s="11" t="n"/>
      <c r="I55" s="17" t="n"/>
      <c r="J55" s="17" t="n"/>
      <c r="K55" s="17" t="n"/>
      <c r="L55" s="11" t="n"/>
      <c r="M55" s="11" t="n"/>
    </row>
    <row r="56" ht="22" customHeight="1">
      <c r="B56" s="15">
        <f>IF(C56="","EVT-"&amp;TEXT(COUNTA($C$5:C56),"000"))</f>
        <v/>
      </c>
      <c r="C56" s="13" t="n"/>
      <c r="D56" s="13" t="n"/>
      <c r="E56" s="28" t="n"/>
      <c r="F56" s="28" t="n"/>
      <c r="G56" s="13" t="n"/>
      <c r="H56" s="13" t="n"/>
      <c r="I56" s="18" t="n"/>
      <c r="J56" s="18" t="n"/>
      <c r="K56" s="18" t="n"/>
      <c r="L56" s="13" t="n"/>
      <c r="M56" s="13" t="n"/>
    </row>
    <row r="57" ht="22" customHeight="1">
      <c r="B57" s="16">
        <f>IF(C57="","EVT-"&amp;TEXT(COUNTA($C$5:C57),"000"))</f>
        <v/>
      </c>
      <c r="C57" s="11" t="n"/>
      <c r="D57" s="11" t="n"/>
      <c r="E57" s="27" t="n"/>
      <c r="F57" s="27" t="n"/>
      <c r="G57" s="11" t="n"/>
      <c r="H57" s="11" t="n"/>
      <c r="I57" s="17" t="n"/>
      <c r="J57" s="17" t="n"/>
      <c r="K57" s="17" t="n"/>
      <c r="L57" s="11" t="n"/>
      <c r="M57" s="11" t="n"/>
    </row>
    <row r="58" ht="22" customHeight="1">
      <c r="B58" s="15">
        <f>IF(C58="","EVT-"&amp;TEXT(COUNTA($C$5:C58),"000"))</f>
        <v/>
      </c>
      <c r="C58" s="13" t="n"/>
      <c r="D58" s="13" t="n"/>
      <c r="E58" s="28" t="n"/>
      <c r="F58" s="28" t="n"/>
      <c r="G58" s="13" t="n"/>
      <c r="H58" s="13" t="n"/>
      <c r="I58" s="18" t="n"/>
      <c r="J58" s="18" t="n"/>
      <c r="K58" s="18" t="n"/>
      <c r="L58" s="13" t="n"/>
      <c r="M58" s="13" t="n"/>
    </row>
    <row r="59" ht="22" customHeight="1">
      <c r="B59" s="16">
        <f>IF(C59="","EVT-"&amp;TEXT(COUNTA($C$5:C59),"000"))</f>
        <v/>
      </c>
      <c r="C59" s="11" t="n"/>
      <c r="D59" s="11" t="n"/>
      <c r="E59" s="27" t="n"/>
      <c r="F59" s="27" t="n"/>
      <c r="G59" s="11" t="n"/>
      <c r="H59" s="11" t="n"/>
      <c r="I59" s="17" t="n"/>
      <c r="J59" s="17" t="n"/>
      <c r="K59" s="17" t="n"/>
      <c r="L59" s="11" t="n"/>
      <c r="M59" s="11" t="n"/>
    </row>
    <row r="60" ht="22" customHeight="1">
      <c r="B60" s="15">
        <f>IF(C60="","EVT-"&amp;TEXT(COUNTA($C$5:C60),"000"))</f>
        <v/>
      </c>
      <c r="C60" s="13" t="n"/>
      <c r="D60" s="13" t="n"/>
      <c r="E60" s="28" t="n"/>
      <c r="F60" s="28" t="n"/>
      <c r="G60" s="13" t="n"/>
      <c r="H60" s="13" t="n"/>
      <c r="I60" s="18" t="n"/>
      <c r="J60" s="18" t="n"/>
      <c r="K60" s="18" t="n"/>
      <c r="L60" s="13" t="n"/>
      <c r="M60" s="13" t="n"/>
    </row>
    <row r="61" ht="22" customHeight="1">
      <c r="B61" s="16">
        <f>IF(C61="","EVT-"&amp;TEXT(COUNTA($C$5:C61),"000"))</f>
        <v/>
      </c>
      <c r="C61" s="11" t="n"/>
      <c r="D61" s="11" t="n"/>
      <c r="E61" s="27" t="n"/>
      <c r="F61" s="27" t="n"/>
      <c r="G61" s="11" t="n"/>
      <c r="H61" s="11" t="n"/>
      <c r="I61" s="17" t="n"/>
      <c r="J61" s="17" t="n"/>
      <c r="K61" s="17" t="n"/>
      <c r="L61" s="11" t="n"/>
      <c r="M61" s="11" t="n"/>
    </row>
    <row r="62" ht="22" customHeight="1">
      <c r="B62" s="15">
        <f>IF(C62="","EVT-"&amp;TEXT(COUNTA($C$5:C62),"000"))</f>
        <v/>
      </c>
      <c r="C62" s="13" t="n"/>
      <c r="D62" s="13" t="n"/>
      <c r="E62" s="28" t="n"/>
      <c r="F62" s="28" t="n"/>
      <c r="G62" s="13" t="n"/>
      <c r="H62" s="13" t="n"/>
      <c r="I62" s="18" t="n"/>
      <c r="J62" s="18" t="n"/>
      <c r="K62" s="18" t="n"/>
      <c r="L62" s="13" t="n"/>
      <c r="M62" s="13" t="n"/>
    </row>
    <row r="63" ht="22" customHeight="1">
      <c r="B63" s="16">
        <f>IF(C63="","EVT-"&amp;TEXT(COUNTA($C$5:C63),"000"))</f>
        <v/>
      </c>
      <c r="C63" s="11" t="n"/>
      <c r="D63" s="11" t="n"/>
      <c r="E63" s="27" t="n"/>
      <c r="F63" s="27" t="n"/>
      <c r="G63" s="11" t="n"/>
      <c r="H63" s="11" t="n"/>
      <c r="I63" s="17" t="n"/>
      <c r="J63" s="17" t="n"/>
      <c r="K63" s="17" t="n"/>
      <c r="L63" s="11" t="n"/>
      <c r="M63" s="11" t="n"/>
    </row>
    <row r="64" ht="22" customHeight="1">
      <c r="B64" s="15">
        <f>IF(C64="","EVT-"&amp;TEXT(COUNTA($C$5:C64),"000"))</f>
        <v/>
      </c>
      <c r="C64" s="13" t="n"/>
      <c r="D64" s="13" t="n"/>
      <c r="E64" s="28" t="n"/>
      <c r="F64" s="28" t="n"/>
      <c r="G64" s="13" t="n"/>
      <c r="H64" s="13" t="n"/>
      <c r="I64" s="18" t="n"/>
      <c r="J64" s="18" t="n"/>
      <c r="K64" s="18" t="n"/>
      <c r="L64" s="13" t="n"/>
      <c r="M64" s="13" t="n"/>
    </row>
    <row r="65" ht="22" customHeight="1">
      <c r="B65" s="16">
        <f>IF(C65="","EVT-"&amp;TEXT(COUNTA($C$5:C65),"000"))</f>
        <v/>
      </c>
      <c r="C65" s="11" t="n"/>
      <c r="D65" s="11" t="n"/>
      <c r="E65" s="27" t="n"/>
      <c r="F65" s="27" t="n"/>
      <c r="G65" s="11" t="n"/>
      <c r="H65" s="11" t="n"/>
      <c r="I65" s="17" t="n"/>
      <c r="J65" s="17" t="n"/>
      <c r="K65" s="17" t="n"/>
      <c r="L65" s="11" t="n"/>
      <c r="M65" s="11" t="n"/>
    </row>
    <row r="66" ht="22" customHeight="1">
      <c r="B66" s="15">
        <f>IF(C66="","EVT-"&amp;TEXT(COUNTA($C$5:C66),"000"))</f>
        <v/>
      </c>
      <c r="C66" s="13" t="n"/>
      <c r="D66" s="13" t="n"/>
      <c r="E66" s="28" t="n"/>
      <c r="F66" s="28" t="n"/>
      <c r="G66" s="13" t="n"/>
      <c r="H66" s="13" t="n"/>
      <c r="I66" s="18" t="n"/>
      <c r="J66" s="18" t="n"/>
      <c r="K66" s="18" t="n"/>
      <c r="L66" s="13" t="n"/>
      <c r="M66" s="13" t="n"/>
    </row>
    <row r="67" ht="22" customHeight="1">
      <c r="B67" s="16">
        <f>IF(C67="","EVT-"&amp;TEXT(COUNTA($C$5:C67),"000"))</f>
        <v/>
      </c>
      <c r="C67" s="11" t="n"/>
      <c r="D67" s="11" t="n"/>
      <c r="E67" s="27" t="n"/>
      <c r="F67" s="27" t="n"/>
      <c r="G67" s="11" t="n"/>
      <c r="H67" s="11" t="n"/>
      <c r="I67" s="17" t="n"/>
      <c r="J67" s="17" t="n"/>
      <c r="K67" s="17" t="n"/>
      <c r="L67" s="11" t="n"/>
      <c r="M67" s="11" t="n"/>
    </row>
    <row r="68" ht="22" customHeight="1">
      <c r="B68" s="15">
        <f>IF(C68="","EVT-"&amp;TEXT(COUNTA($C$5:C68),"000"))</f>
        <v/>
      </c>
      <c r="C68" s="13" t="n"/>
      <c r="D68" s="13" t="n"/>
      <c r="E68" s="28" t="n"/>
      <c r="F68" s="28" t="n"/>
      <c r="G68" s="13" t="n"/>
      <c r="H68" s="13" t="n"/>
      <c r="I68" s="18" t="n"/>
      <c r="J68" s="18" t="n"/>
      <c r="K68" s="18" t="n"/>
      <c r="L68" s="13" t="n"/>
      <c r="M68" s="13" t="n"/>
    </row>
    <row r="69" ht="22" customHeight="1">
      <c r="B69" s="16">
        <f>IF(C69="","EVT-"&amp;TEXT(COUNTA($C$5:C69),"000"))</f>
        <v/>
      </c>
      <c r="C69" s="11" t="n"/>
      <c r="D69" s="11" t="n"/>
      <c r="E69" s="27" t="n"/>
      <c r="F69" s="27" t="n"/>
      <c r="G69" s="11" t="n"/>
      <c r="H69" s="11" t="n"/>
      <c r="I69" s="17" t="n"/>
      <c r="J69" s="17" t="n"/>
      <c r="K69" s="17" t="n"/>
      <c r="L69" s="11" t="n"/>
      <c r="M69" s="11" t="n"/>
    </row>
    <row r="70" ht="22" customHeight="1">
      <c r="B70" s="15">
        <f>IF(C70="","EVT-"&amp;TEXT(COUNTA($C$5:C70),"000"))</f>
        <v/>
      </c>
      <c r="C70" s="13" t="n"/>
      <c r="D70" s="13" t="n"/>
      <c r="E70" s="28" t="n"/>
      <c r="F70" s="28" t="n"/>
      <c r="G70" s="13" t="n"/>
      <c r="H70" s="13" t="n"/>
      <c r="I70" s="18" t="n"/>
      <c r="J70" s="18" t="n"/>
      <c r="K70" s="18" t="n"/>
      <c r="L70" s="13" t="n"/>
      <c r="M70" s="13" t="n"/>
    </row>
    <row r="71" ht="22" customHeight="1">
      <c r="B71" s="16">
        <f>IF(C71="","EVT-"&amp;TEXT(COUNTA($C$5:C71),"000"))</f>
        <v/>
      </c>
      <c r="C71" s="11" t="n"/>
      <c r="D71" s="11" t="n"/>
      <c r="E71" s="27" t="n"/>
      <c r="F71" s="27" t="n"/>
      <c r="G71" s="11" t="n"/>
      <c r="H71" s="11" t="n"/>
      <c r="I71" s="17" t="n"/>
      <c r="J71" s="17" t="n"/>
      <c r="K71" s="17" t="n"/>
      <c r="L71" s="11" t="n"/>
      <c r="M71" s="11" t="n"/>
    </row>
    <row r="72" ht="22" customHeight="1">
      <c r="B72" s="15">
        <f>IF(C72="","EVT-"&amp;TEXT(COUNTA($C$5:C72),"000"))</f>
        <v/>
      </c>
      <c r="C72" s="13" t="n"/>
      <c r="D72" s="13" t="n"/>
      <c r="E72" s="28" t="n"/>
      <c r="F72" s="28" t="n"/>
      <c r="G72" s="13" t="n"/>
      <c r="H72" s="13" t="n"/>
      <c r="I72" s="18" t="n"/>
      <c r="J72" s="18" t="n"/>
      <c r="K72" s="18" t="n"/>
      <c r="L72" s="13" t="n"/>
      <c r="M72" s="13" t="n"/>
    </row>
    <row r="73" ht="22" customHeight="1">
      <c r="B73" s="16">
        <f>IF(C73="","EVT-"&amp;TEXT(COUNTA($C$5:C73),"000"))</f>
        <v/>
      </c>
      <c r="C73" s="11" t="n"/>
      <c r="D73" s="11" t="n"/>
      <c r="E73" s="27" t="n"/>
      <c r="F73" s="27" t="n"/>
      <c r="G73" s="11" t="n"/>
      <c r="H73" s="11" t="n"/>
      <c r="I73" s="17" t="n"/>
      <c r="J73" s="17" t="n"/>
      <c r="K73" s="17" t="n"/>
      <c r="L73" s="11" t="n"/>
      <c r="M73" s="11" t="n"/>
    </row>
    <row r="74" ht="22" customHeight="1">
      <c r="B74" s="15">
        <f>IF(C74="","EVT-"&amp;TEXT(COUNTA($C$5:C74),"000"))</f>
        <v/>
      </c>
      <c r="C74" s="13" t="n"/>
      <c r="D74" s="13" t="n"/>
      <c r="E74" s="28" t="n"/>
      <c r="F74" s="28" t="n"/>
      <c r="G74" s="13" t="n"/>
      <c r="H74" s="13" t="n"/>
      <c r="I74" s="18" t="n"/>
      <c r="J74" s="18" t="n"/>
      <c r="K74" s="18" t="n"/>
      <c r="L74" s="13" t="n"/>
      <c r="M74" s="13" t="n"/>
    </row>
    <row r="75" ht="22" customHeight="1">
      <c r="B75" s="16">
        <f>IF(C75="","EVT-"&amp;TEXT(COUNTA($C$5:C75),"000"))</f>
        <v/>
      </c>
      <c r="C75" s="11" t="n"/>
      <c r="D75" s="11" t="n"/>
      <c r="E75" s="27" t="n"/>
      <c r="F75" s="27" t="n"/>
      <c r="G75" s="11" t="n"/>
      <c r="H75" s="11" t="n"/>
      <c r="I75" s="17" t="n"/>
      <c r="J75" s="17" t="n"/>
      <c r="K75" s="17" t="n"/>
      <c r="L75" s="11" t="n"/>
      <c r="M75" s="11" t="n"/>
    </row>
    <row r="76" ht="22" customHeight="1">
      <c r="B76" s="15">
        <f>IF(C76="","EVT-"&amp;TEXT(COUNTA($C$5:C76),"000"))</f>
        <v/>
      </c>
      <c r="C76" s="13" t="n"/>
      <c r="D76" s="13" t="n"/>
      <c r="E76" s="28" t="n"/>
      <c r="F76" s="28" t="n"/>
      <c r="G76" s="13" t="n"/>
      <c r="H76" s="13" t="n"/>
      <c r="I76" s="18" t="n"/>
      <c r="J76" s="18" t="n"/>
      <c r="K76" s="18" t="n"/>
      <c r="L76" s="13" t="n"/>
      <c r="M76" s="13" t="n"/>
    </row>
    <row r="77" ht="22" customHeight="1">
      <c r="B77" s="16">
        <f>IF(C77="","EVT-"&amp;TEXT(COUNTA($C$5:C77),"000"))</f>
        <v/>
      </c>
      <c r="C77" s="11" t="n"/>
      <c r="D77" s="11" t="n"/>
      <c r="E77" s="27" t="n"/>
      <c r="F77" s="27" t="n"/>
      <c r="G77" s="11" t="n"/>
      <c r="H77" s="11" t="n"/>
      <c r="I77" s="17" t="n"/>
      <c r="J77" s="17" t="n"/>
      <c r="K77" s="17" t="n"/>
      <c r="L77" s="11" t="n"/>
      <c r="M77" s="11" t="n"/>
    </row>
    <row r="78" ht="22" customHeight="1">
      <c r="B78" s="15">
        <f>IF(C78="","EVT-"&amp;TEXT(COUNTA($C$5:C78),"000"))</f>
        <v/>
      </c>
      <c r="C78" s="13" t="n"/>
      <c r="D78" s="13" t="n"/>
      <c r="E78" s="28" t="n"/>
      <c r="F78" s="28" t="n"/>
      <c r="G78" s="13" t="n"/>
      <c r="H78" s="13" t="n"/>
      <c r="I78" s="18" t="n"/>
      <c r="J78" s="18" t="n"/>
      <c r="K78" s="18" t="n"/>
      <c r="L78" s="13" t="n"/>
      <c r="M78" s="13" t="n"/>
    </row>
    <row r="79" ht="22" customHeight="1">
      <c r="B79" s="16">
        <f>IF(C79="","EVT-"&amp;TEXT(COUNTA($C$5:C79),"000"))</f>
        <v/>
      </c>
      <c r="C79" s="11" t="n"/>
      <c r="D79" s="11" t="n"/>
      <c r="E79" s="27" t="n"/>
      <c r="F79" s="27" t="n"/>
      <c r="G79" s="11" t="n"/>
      <c r="H79" s="11" t="n"/>
      <c r="I79" s="17" t="n"/>
      <c r="J79" s="17" t="n"/>
      <c r="K79" s="17" t="n"/>
      <c r="L79" s="11" t="n"/>
      <c r="M79" s="11" t="n"/>
    </row>
    <row r="80" ht="22" customHeight="1">
      <c r="B80" s="15">
        <f>IF(C80="","EVT-"&amp;TEXT(COUNTA($C$5:C80),"000"))</f>
        <v/>
      </c>
      <c r="C80" s="13" t="n"/>
      <c r="D80" s="13" t="n"/>
      <c r="E80" s="28" t="n"/>
      <c r="F80" s="28" t="n"/>
      <c r="G80" s="13" t="n"/>
      <c r="H80" s="13" t="n"/>
      <c r="I80" s="18" t="n"/>
      <c r="J80" s="18" t="n"/>
      <c r="K80" s="18" t="n"/>
      <c r="L80" s="13" t="n"/>
      <c r="M80" s="13" t="n"/>
    </row>
    <row r="81" ht="22" customHeight="1">
      <c r="B81" s="16">
        <f>IF(C81="","EVT-"&amp;TEXT(COUNTA($C$5:C81),"000"))</f>
        <v/>
      </c>
      <c r="C81" s="11" t="n"/>
      <c r="D81" s="11" t="n"/>
      <c r="E81" s="27" t="n"/>
      <c r="F81" s="27" t="n"/>
      <c r="G81" s="11" t="n"/>
      <c r="H81" s="11" t="n"/>
      <c r="I81" s="17" t="n"/>
      <c r="J81" s="17" t="n"/>
      <c r="K81" s="17" t="n"/>
      <c r="L81" s="11" t="n"/>
      <c r="M81" s="11" t="n"/>
    </row>
    <row r="82" ht="22" customHeight="1">
      <c r="B82" s="15">
        <f>IF(C82="","EVT-"&amp;TEXT(COUNTA($C$5:C82),"000"))</f>
        <v/>
      </c>
      <c r="C82" s="13" t="n"/>
      <c r="D82" s="13" t="n"/>
      <c r="E82" s="28" t="n"/>
      <c r="F82" s="28" t="n"/>
      <c r="G82" s="13" t="n"/>
      <c r="H82" s="13" t="n"/>
      <c r="I82" s="18" t="n"/>
      <c r="J82" s="18" t="n"/>
      <c r="K82" s="18" t="n"/>
      <c r="L82" s="13" t="n"/>
      <c r="M82" s="13" t="n"/>
    </row>
    <row r="83" ht="22" customHeight="1">
      <c r="B83" s="16">
        <f>IF(C83="","EVT-"&amp;TEXT(COUNTA($C$5:C83),"000"))</f>
        <v/>
      </c>
      <c r="C83" s="11" t="n"/>
      <c r="D83" s="11" t="n"/>
      <c r="E83" s="27" t="n"/>
      <c r="F83" s="27" t="n"/>
      <c r="G83" s="11" t="n"/>
      <c r="H83" s="11" t="n"/>
      <c r="I83" s="17" t="n"/>
      <c r="J83" s="17" t="n"/>
      <c r="K83" s="17" t="n"/>
      <c r="L83" s="11" t="n"/>
      <c r="M83" s="11" t="n"/>
    </row>
    <row r="84" ht="22" customHeight="1">
      <c r="B84" s="15">
        <f>IF(C84="","EVT-"&amp;TEXT(COUNTA($C$5:C84),"000"))</f>
        <v/>
      </c>
      <c r="C84" s="13" t="n"/>
      <c r="D84" s="13" t="n"/>
      <c r="E84" s="28" t="n"/>
      <c r="F84" s="28" t="n"/>
      <c r="G84" s="13" t="n"/>
      <c r="H84" s="13" t="n"/>
      <c r="I84" s="18" t="n"/>
      <c r="J84" s="18" t="n"/>
      <c r="K84" s="18" t="n"/>
      <c r="L84" s="13" t="n"/>
      <c r="M84" s="13" t="n"/>
    </row>
    <row r="85" ht="22" customHeight="1">
      <c r="B85" s="16">
        <f>IF(C85="","EVT-"&amp;TEXT(COUNTA($C$5:C85),"000"))</f>
        <v/>
      </c>
      <c r="C85" s="11" t="n"/>
      <c r="D85" s="11" t="n"/>
      <c r="E85" s="27" t="n"/>
      <c r="F85" s="27" t="n"/>
      <c r="G85" s="11" t="n"/>
      <c r="H85" s="11" t="n"/>
      <c r="I85" s="17" t="n"/>
      <c r="J85" s="17" t="n"/>
      <c r="K85" s="17" t="n"/>
      <c r="L85" s="11" t="n"/>
      <c r="M85" s="11" t="n"/>
    </row>
    <row r="86" ht="22" customHeight="1">
      <c r="B86" s="15">
        <f>IF(C86="","EVT-"&amp;TEXT(COUNTA($C$5:C86),"000"))</f>
        <v/>
      </c>
      <c r="C86" s="13" t="n"/>
      <c r="D86" s="13" t="n"/>
      <c r="E86" s="28" t="n"/>
      <c r="F86" s="28" t="n"/>
      <c r="G86" s="13" t="n"/>
      <c r="H86" s="13" t="n"/>
      <c r="I86" s="18" t="n"/>
      <c r="J86" s="18" t="n"/>
      <c r="K86" s="18" t="n"/>
      <c r="L86" s="13" t="n"/>
      <c r="M86" s="13" t="n"/>
    </row>
    <row r="87" ht="22" customHeight="1">
      <c r="B87" s="16">
        <f>IF(C87="","EVT-"&amp;TEXT(COUNTA($C$5:C87),"000"))</f>
        <v/>
      </c>
      <c r="C87" s="11" t="n"/>
      <c r="D87" s="11" t="n"/>
      <c r="E87" s="27" t="n"/>
      <c r="F87" s="27" t="n"/>
      <c r="G87" s="11" t="n"/>
      <c r="H87" s="11" t="n"/>
      <c r="I87" s="17" t="n"/>
      <c r="J87" s="17" t="n"/>
      <c r="K87" s="17" t="n"/>
      <c r="L87" s="11" t="n"/>
      <c r="M87" s="11" t="n"/>
    </row>
    <row r="88" ht="22" customHeight="1">
      <c r="B88" s="15">
        <f>IF(C88="","EVT-"&amp;TEXT(COUNTA($C$5:C88),"000"))</f>
        <v/>
      </c>
      <c r="C88" s="13" t="n"/>
      <c r="D88" s="13" t="n"/>
      <c r="E88" s="28" t="n"/>
      <c r="F88" s="28" t="n"/>
      <c r="G88" s="13" t="n"/>
      <c r="H88" s="13" t="n"/>
      <c r="I88" s="18" t="n"/>
      <c r="J88" s="18" t="n"/>
      <c r="K88" s="18" t="n"/>
      <c r="L88" s="13" t="n"/>
      <c r="M88" s="13" t="n"/>
    </row>
    <row r="89" ht="22" customHeight="1">
      <c r="B89" s="16">
        <f>IF(C89="","EVT-"&amp;TEXT(COUNTA($C$5:C89),"000"))</f>
        <v/>
      </c>
      <c r="C89" s="11" t="n"/>
      <c r="D89" s="11" t="n"/>
      <c r="E89" s="27" t="n"/>
      <c r="F89" s="27" t="n"/>
      <c r="G89" s="11" t="n"/>
      <c r="H89" s="11" t="n"/>
      <c r="I89" s="17" t="n"/>
      <c r="J89" s="17" t="n"/>
      <c r="K89" s="17" t="n"/>
      <c r="L89" s="11" t="n"/>
      <c r="M89" s="11" t="n"/>
    </row>
    <row r="90" ht="22" customHeight="1">
      <c r="B90" s="15">
        <f>IF(C90="","EVT-"&amp;TEXT(COUNTA($C$5:C90),"000"))</f>
        <v/>
      </c>
      <c r="C90" s="13" t="n"/>
      <c r="D90" s="13" t="n"/>
      <c r="E90" s="28" t="n"/>
      <c r="F90" s="28" t="n"/>
      <c r="G90" s="13" t="n"/>
      <c r="H90" s="13" t="n"/>
      <c r="I90" s="18" t="n"/>
      <c r="J90" s="18" t="n"/>
      <c r="K90" s="18" t="n"/>
      <c r="L90" s="13" t="n"/>
      <c r="M90" s="13" t="n"/>
    </row>
    <row r="91" ht="22" customHeight="1">
      <c r="B91" s="16">
        <f>IF(C91="","EVT-"&amp;TEXT(COUNTA($C$5:C91),"000"))</f>
        <v/>
      </c>
      <c r="C91" s="11" t="n"/>
      <c r="D91" s="11" t="n"/>
      <c r="E91" s="27" t="n"/>
      <c r="F91" s="27" t="n"/>
      <c r="G91" s="11" t="n"/>
      <c r="H91" s="11" t="n"/>
      <c r="I91" s="17" t="n"/>
      <c r="J91" s="17" t="n"/>
      <c r="K91" s="17" t="n"/>
      <c r="L91" s="11" t="n"/>
      <c r="M91" s="11" t="n"/>
    </row>
    <row r="92" ht="22" customHeight="1">
      <c r="B92" s="15">
        <f>IF(C92="","EVT-"&amp;TEXT(COUNTA($C$5:C92),"000"))</f>
        <v/>
      </c>
      <c r="C92" s="13" t="n"/>
      <c r="D92" s="13" t="n"/>
      <c r="E92" s="28" t="n"/>
      <c r="F92" s="28" t="n"/>
      <c r="G92" s="13" t="n"/>
      <c r="H92" s="13" t="n"/>
      <c r="I92" s="18" t="n"/>
      <c r="J92" s="18" t="n"/>
      <c r="K92" s="18" t="n"/>
      <c r="L92" s="13" t="n"/>
      <c r="M92" s="13" t="n"/>
    </row>
    <row r="93" ht="22" customHeight="1">
      <c r="B93" s="16">
        <f>IF(C93="","EVT-"&amp;TEXT(COUNTA($C$5:C93),"000"))</f>
        <v/>
      </c>
      <c r="C93" s="11" t="n"/>
      <c r="D93" s="11" t="n"/>
      <c r="E93" s="27" t="n"/>
      <c r="F93" s="27" t="n"/>
      <c r="G93" s="11" t="n"/>
      <c r="H93" s="11" t="n"/>
      <c r="I93" s="17" t="n"/>
      <c r="J93" s="17" t="n"/>
      <c r="K93" s="17" t="n"/>
      <c r="L93" s="11" t="n"/>
      <c r="M93" s="11" t="n"/>
    </row>
    <row r="94" ht="22" customHeight="1">
      <c r="B94" s="15">
        <f>IF(C94="","EVT-"&amp;TEXT(COUNTA($C$5:C94),"000"))</f>
        <v/>
      </c>
      <c r="C94" s="13" t="n"/>
      <c r="D94" s="13" t="n"/>
      <c r="E94" s="28" t="n"/>
      <c r="F94" s="28" t="n"/>
      <c r="G94" s="13" t="n"/>
      <c r="H94" s="13" t="n"/>
      <c r="I94" s="18" t="n"/>
      <c r="J94" s="18" t="n"/>
      <c r="K94" s="18" t="n"/>
      <c r="L94" s="13" t="n"/>
      <c r="M94" s="13" t="n"/>
    </row>
    <row r="95" ht="22" customHeight="1">
      <c r="B95" s="16">
        <f>IF(C95="","EVT-"&amp;TEXT(COUNTA($C$5:C95),"000"))</f>
        <v/>
      </c>
      <c r="C95" s="11" t="n"/>
      <c r="D95" s="11" t="n"/>
      <c r="E95" s="27" t="n"/>
      <c r="F95" s="27" t="n"/>
      <c r="G95" s="11" t="n"/>
      <c r="H95" s="11" t="n"/>
      <c r="I95" s="17" t="n"/>
      <c r="J95" s="17" t="n"/>
      <c r="K95" s="17" t="n"/>
      <c r="L95" s="11" t="n"/>
      <c r="M95" s="11" t="n"/>
    </row>
    <row r="96" ht="22" customHeight="1">
      <c r="B96" s="15">
        <f>IF(C96="","EVT-"&amp;TEXT(COUNTA($C$5:C96),"000"))</f>
        <v/>
      </c>
      <c r="C96" s="13" t="n"/>
      <c r="D96" s="13" t="n"/>
      <c r="E96" s="28" t="n"/>
      <c r="F96" s="28" t="n"/>
      <c r="G96" s="13" t="n"/>
      <c r="H96" s="13" t="n"/>
      <c r="I96" s="18" t="n"/>
      <c r="J96" s="18" t="n"/>
      <c r="K96" s="18" t="n"/>
      <c r="L96" s="13" t="n"/>
      <c r="M96" s="13" t="n"/>
    </row>
    <row r="97" ht="22" customHeight="1">
      <c r="B97" s="16">
        <f>IF(C97="","EVT-"&amp;TEXT(COUNTA($C$5:C97),"000"))</f>
        <v/>
      </c>
      <c r="C97" s="11" t="n"/>
      <c r="D97" s="11" t="n"/>
      <c r="E97" s="27" t="n"/>
      <c r="F97" s="27" t="n"/>
      <c r="G97" s="11" t="n"/>
      <c r="H97" s="11" t="n"/>
      <c r="I97" s="17" t="n"/>
      <c r="J97" s="17" t="n"/>
      <c r="K97" s="17" t="n"/>
      <c r="L97" s="11" t="n"/>
      <c r="M97" s="11" t="n"/>
    </row>
    <row r="98" ht="22" customHeight="1">
      <c r="B98" s="15">
        <f>IF(C98="","EVT-"&amp;TEXT(COUNTA($C$5:C98),"000"))</f>
        <v/>
      </c>
      <c r="C98" s="13" t="n"/>
      <c r="D98" s="13" t="n"/>
      <c r="E98" s="28" t="n"/>
      <c r="F98" s="28" t="n"/>
      <c r="G98" s="13" t="n"/>
      <c r="H98" s="13" t="n"/>
      <c r="I98" s="18" t="n"/>
      <c r="J98" s="18" t="n"/>
      <c r="K98" s="18" t="n"/>
      <c r="L98" s="13" t="n"/>
      <c r="M98" s="13" t="n"/>
    </row>
    <row r="99" ht="22" customHeight="1">
      <c r="B99" s="16">
        <f>IF(C99="","EVT-"&amp;TEXT(COUNTA($C$5:C99),"000"))</f>
        <v/>
      </c>
      <c r="C99" s="11" t="n"/>
      <c r="D99" s="11" t="n"/>
      <c r="E99" s="27" t="n"/>
      <c r="F99" s="27" t="n"/>
      <c r="G99" s="11" t="n"/>
      <c r="H99" s="11" t="n"/>
      <c r="I99" s="17" t="n"/>
      <c r="J99" s="17" t="n"/>
      <c r="K99" s="17" t="n"/>
      <c r="L99" s="11" t="n"/>
      <c r="M99" s="11" t="n"/>
    </row>
    <row r="100" ht="22" customHeight="1">
      <c r="B100" s="15">
        <f>IF(C100="","EVT-"&amp;TEXT(COUNTA($C$5:C100),"000"))</f>
        <v/>
      </c>
      <c r="C100" s="13" t="n"/>
      <c r="D100" s="13" t="n"/>
      <c r="E100" s="28" t="n"/>
      <c r="F100" s="28" t="n"/>
      <c r="G100" s="13" t="n"/>
      <c r="H100" s="13" t="n"/>
      <c r="I100" s="18" t="n"/>
      <c r="J100" s="18" t="n"/>
      <c r="K100" s="18" t="n"/>
      <c r="L100" s="13" t="n"/>
      <c r="M100" s="13" t="n"/>
    </row>
    <row r="101" ht="22" customHeight="1">
      <c r="B101" s="16">
        <f>IF(C101="","EVT-"&amp;TEXT(COUNTA($C$5:C101),"000"))</f>
        <v/>
      </c>
      <c r="C101" s="11" t="n"/>
      <c r="D101" s="11" t="n"/>
      <c r="E101" s="27" t="n"/>
      <c r="F101" s="27" t="n"/>
      <c r="G101" s="11" t="n"/>
      <c r="H101" s="11" t="n"/>
      <c r="I101" s="17" t="n"/>
      <c r="J101" s="17" t="n"/>
      <c r="K101" s="17" t="n"/>
      <c r="L101" s="11" t="n"/>
      <c r="M101" s="11" t="n"/>
    </row>
    <row r="102" ht="22" customHeight="1">
      <c r="B102" s="15">
        <f>IF(C102="","EVT-"&amp;TEXT(COUNTA($C$5:C102),"000"))</f>
        <v/>
      </c>
      <c r="C102" s="13" t="n"/>
      <c r="D102" s="13" t="n"/>
      <c r="E102" s="28" t="n"/>
      <c r="F102" s="28" t="n"/>
      <c r="G102" s="13" t="n"/>
      <c r="H102" s="13" t="n"/>
      <c r="I102" s="18" t="n"/>
      <c r="J102" s="18" t="n"/>
      <c r="K102" s="18" t="n"/>
      <c r="L102" s="13" t="n"/>
      <c r="M102" s="13" t="n"/>
    </row>
    <row r="103" ht="22" customHeight="1">
      <c r="B103" s="16">
        <f>IF(C103="","EVT-"&amp;TEXT(COUNTA($C$5:C103),"000"))</f>
        <v/>
      </c>
      <c r="C103" s="11" t="n"/>
      <c r="D103" s="11" t="n"/>
      <c r="E103" s="27" t="n"/>
      <c r="F103" s="27" t="n"/>
      <c r="G103" s="11" t="n"/>
      <c r="H103" s="11" t="n"/>
      <c r="I103" s="17" t="n"/>
      <c r="J103" s="17" t="n"/>
      <c r="K103" s="17" t="n"/>
      <c r="L103" s="11" t="n"/>
      <c r="M103" s="11" t="n"/>
    </row>
    <row r="104" ht="22" customHeight="1">
      <c r="B104" s="15">
        <f>IF(C104="","EVT-"&amp;TEXT(COUNTA($C$5:C104),"000"))</f>
        <v/>
      </c>
      <c r="C104" s="13" t="n"/>
      <c r="D104" s="13" t="n"/>
      <c r="E104" s="28" t="n"/>
      <c r="F104" s="28" t="n"/>
      <c r="G104" s="13" t="n"/>
      <c r="H104" s="13" t="n"/>
      <c r="I104" s="18" t="n"/>
      <c r="J104" s="18" t="n"/>
      <c r="K104" s="18" t="n"/>
      <c r="L104" s="13" t="n"/>
      <c r="M104" s="13" t="n"/>
    </row>
    <row r="105" ht="22" customHeight="1">
      <c r="B105" s="16">
        <f>IF(C105="","EVT-"&amp;TEXT(COUNTA($C$5:C105),"000"))</f>
        <v/>
      </c>
      <c r="C105" s="11" t="n"/>
      <c r="D105" s="11" t="n"/>
      <c r="E105" s="27" t="n"/>
      <c r="F105" s="27" t="n"/>
      <c r="G105" s="11" t="n"/>
      <c r="H105" s="11" t="n"/>
      <c r="I105" s="17" t="n"/>
      <c r="J105" s="17" t="n"/>
      <c r="K105" s="17" t="n"/>
      <c r="L105" s="11" t="n"/>
      <c r="M105" s="11" t="n"/>
    </row>
    <row r="106" ht="22" customHeight="1">
      <c r="B106" s="15">
        <f>IF(C106="","EVT-"&amp;TEXT(COUNTA($C$5:C106),"000"))</f>
        <v/>
      </c>
      <c r="C106" s="13" t="n"/>
      <c r="D106" s="13" t="n"/>
      <c r="E106" s="28" t="n"/>
      <c r="F106" s="28" t="n"/>
      <c r="G106" s="13" t="n"/>
      <c r="H106" s="13" t="n"/>
      <c r="I106" s="18" t="n"/>
      <c r="J106" s="18" t="n"/>
      <c r="K106" s="18" t="n"/>
      <c r="L106" s="13" t="n"/>
      <c r="M106" s="13" t="n"/>
    </row>
    <row r="107" ht="22" customHeight="1">
      <c r="B107" s="16">
        <f>IF(C107="","EVT-"&amp;TEXT(COUNTA($C$5:C107),"000"))</f>
        <v/>
      </c>
      <c r="C107" s="11" t="n"/>
      <c r="D107" s="11" t="n"/>
      <c r="E107" s="27" t="n"/>
      <c r="F107" s="27" t="n"/>
      <c r="G107" s="11" t="n"/>
      <c r="H107" s="11" t="n"/>
      <c r="I107" s="17" t="n"/>
      <c r="J107" s="17" t="n"/>
      <c r="K107" s="17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Evenements</t>
        </is>
      </c>
      <c r="D110" s="3" t="inlineStr">
        <is>
          <t>Budget total</t>
        </is>
      </c>
      <c r="F110" s="3" t="inlineStr">
        <is>
          <t>Participants totaux</t>
        </is>
      </c>
    </row>
    <row r="111">
      <c r="B111" s="4">
        <f>COUNTIF(B5:B104,"&lt;&gt;")</f>
        <v/>
      </c>
      <c r="D111" s="4">
        <f>SUM(J5:J104)</f>
        <v/>
      </c>
      <c r="F111" s="4">
        <f>SUM(I5:I104)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8:B107">
    <cfRule type="expression" priority="230" dxfId="3">
      <formula>AND($C8="",$C7&lt;&gt;"")</formula>
    </cfRule>
  </conditionalFormatting>
  <conditionalFormatting sqref="C8:C107">
    <cfRule type="expression" priority="231" dxfId="3">
      <formula>AND($C8="",$C7&lt;&gt;"")</formula>
    </cfRule>
  </conditionalFormatting>
  <conditionalFormatting sqref="D8:D107">
    <cfRule type="expression" priority="232" dxfId="3">
      <formula>AND($C8="",$C7&lt;&gt;"")</formula>
    </cfRule>
  </conditionalFormatting>
  <conditionalFormatting sqref="E8:E107">
    <cfRule type="expression" priority="233" dxfId="3">
      <formula>AND($C8="",$C7&lt;&gt;"")</formula>
    </cfRule>
  </conditionalFormatting>
  <conditionalFormatting sqref="F8:F107">
    <cfRule type="expression" priority="234" dxfId="3">
      <formula>AND($C8="",$C7&lt;&gt;"")</formula>
    </cfRule>
  </conditionalFormatting>
  <conditionalFormatting sqref="G8:G107">
    <cfRule type="expression" priority="235" dxfId="3">
      <formula>AND($C8="",$C7&lt;&gt;"")</formula>
    </cfRule>
  </conditionalFormatting>
  <conditionalFormatting sqref="H8:H107">
    <cfRule type="expression" priority="236" dxfId="3">
      <formula>AND($C8="",$C7&lt;&gt;"")</formula>
    </cfRule>
  </conditionalFormatting>
  <conditionalFormatting sqref="I8:I107">
    <cfRule type="expression" priority="237" dxfId="3">
      <formula>AND($C8="",$C7&lt;&gt;"")</formula>
    </cfRule>
  </conditionalFormatting>
  <conditionalFormatting sqref="J8:J107">
    <cfRule type="expression" priority="238" dxfId="3">
      <formula>AND($C8="",$C7&lt;&gt;"")</formula>
    </cfRule>
  </conditionalFormatting>
  <conditionalFormatting sqref="K8:K107">
    <cfRule type="expression" priority="239" dxfId="3">
      <formula>AND($C8="",$C7&lt;&gt;"")</formula>
    </cfRule>
  </conditionalFormatting>
  <conditionalFormatting sqref="L8:L107">
    <cfRule type="expression" priority="240" dxfId="3">
      <formula>AND($C8="",$C7&lt;&gt;"")</formula>
    </cfRule>
  </conditionalFormatting>
  <conditionalFormatting sqref="M8:M107">
    <cfRule type="expression" priority="241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'_Lists'!$L$2:$L$13</formula1>
    </dataValidation>
    <dataValidation sqref="L5:L107" showDropDown="0" showInputMessage="0" showErrorMessage="0" allowBlank="1" errorTitle="Erreur" error="Valeur invalide" promptTitle="Liste" prompt="Choisir dans la liste" type="list">
      <formula1>'_Lists'!$M$2:$M$7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34" customWidth="1" min="4" max="4"/>
    <col width="14" customWidth="1" min="5" max="5"/>
    <col width="16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15" customHeight="1"/>
    <row r="2" ht="32" customHeight="1">
      <c r="B2" s="1" t="inlineStr">
        <is>
          <t>INDICATEURS MARQUE EMPLOYEUR (#146)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Indicateur</t>
        </is>
      </c>
      <c r="D4" s="10" t="inlineStr">
        <is>
          <t>Description</t>
        </is>
      </c>
      <c r="E4" s="10" t="inlineStr">
        <is>
          <t>Valeur Cible</t>
        </is>
      </c>
      <c r="F4" s="10" t="inlineStr">
        <is>
          <t>Valeur Actuelle</t>
        </is>
      </c>
      <c r="G4" s="10" t="inlineStr">
        <is>
          <t>Ecart</t>
        </is>
      </c>
      <c r="H4" s="10" t="inlineStr">
        <is>
          <t>Tendance</t>
        </is>
      </c>
      <c r="I4" s="10" t="inlineStr">
        <is>
          <t>Frequence Mesure</t>
        </is>
      </c>
      <c r="J4" s="10" t="inlineStr">
        <is>
          <t>Responsable</t>
        </is>
      </c>
      <c r="K4" s="10" t="inlineStr">
        <is>
          <t>Date Mesure</t>
        </is>
      </c>
      <c r="L4" s="10" t="inlineStr">
        <is>
          <t>Statut</t>
        </is>
      </c>
    </row>
    <row r="5" ht="22" customHeight="1">
      <c r="B5" s="11" t="inlineStr">
        <is>
          <t>IME-001</t>
        </is>
      </c>
      <c r="C5" s="11" t="inlineStr">
        <is>
          <t>Taux recommandation employes (eNPS)</t>
        </is>
      </c>
      <c r="D5" s="11" t="inlineStr">
        <is>
          <t>Score eNPS obtenu via enquete</t>
        </is>
      </c>
      <c r="E5" s="29" t="n">
        <v>50</v>
      </c>
      <c r="F5" s="29" t="n">
        <v>42</v>
      </c>
      <c r="G5" s="29" t="n"/>
      <c r="H5" s="11" t="inlineStr">
        <is>
          <t>En hausse</t>
        </is>
      </c>
      <c r="I5" s="11" t="inlineStr">
        <is>
          <t>Trimestrielle</t>
        </is>
      </c>
      <c r="J5" s="11" t="inlineStr">
        <is>
          <t>DRH</t>
        </is>
      </c>
      <c r="K5" s="27" t="n">
        <v>45688</v>
      </c>
      <c r="L5" s="11" t="inlineStr">
        <is>
          <t>En cours</t>
        </is>
      </c>
    </row>
    <row r="6" ht="22" customHeight="1">
      <c r="B6" s="13" t="inlineStr">
        <is>
          <t>IME-002</t>
        </is>
      </c>
      <c r="C6" s="13" t="inlineStr">
        <is>
          <t>Nb candidatures spontanees / mois</t>
        </is>
      </c>
      <c r="D6" s="13" t="inlineStr">
        <is>
          <t>Volume de candidatures recues</t>
        </is>
      </c>
      <c r="E6" s="31" t="n">
        <v>15</v>
      </c>
      <c r="F6" s="31" t="n">
        <v>12</v>
      </c>
      <c r="G6" s="31" t="n"/>
      <c r="H6" s="13" t="inlineStr">
        <is>
          <t>Stable</t>
        </is>
      </c>
      <c r="I6" s="13" t="inlineStr">
        <is>
          <t>Mensuelle</t>
        </is>
      </c>
      <c r="J6" s="13" t="inlineStr">
        <is>
          <t>DRH</t>
        </is>
      </c>
      <c r="K6" s="28" t="n">
        <v>45716</v>
      </c>
      <c r="L6" s="13" t="inlineStr">
        <is>
          <t>En cours</t>
        </is>
      </c>
    </row>
    <row r="7" ht="22" customHeight="1">
      <c r="B7" s="11" t="inlineStr">
        <is>
          <t>IME-003</t>
        </is>
      </c>
      <c r="C7" s="11" t="inlineStr">
        <is>
          <t>Taux visites page carrieres</t>
        </is>
      </c>
      <c r="D7" s="11" t="inlineStr">
        <is>
          <t>% visiteurs vs total trafic site</t>
        </is>
      </c>
      <c r="E7" s="29" t="n">
        <v>0.15</v>
      </c>
      <c r="F7" s="29" t="n">
        <v>0.12</v>
      </c>
      <c r="G7" s="29" t="n"/>
      <c r="H7" s="11" t="inlineStr">
        <is>
          <t>En hausse</t>
        </is>
      </c>
      <c r="I7" s="11" t="inlineStr">
        <is>
          <t>Mensuelle</t>
        </is>
      </c>
      <c r="J7" s="11" t="inlineStr">
        <is>
          <t>Chef Marketing</t>
        </is>
      </c>
      <c r="K7" s="27" t="n">
        <v>45716</v>
      </c>
      <c r="L7" s="11" t="inlineStr">
        <is>
          <t>En cours</t>
        </is>
      </c>
    </row>
    <row r="8" ht="22" customHeight="1">
      <c r="B8" s="13" t="inlineStr">
        <is>
          <t>IME-004</t>
        </is>
      </c>
      <c r="C8" s="13" t="inlineStr">
        <is>
          <t>Taux retention 1ere annee</t>
        </is>
      </c>
      <c r="D8" s="13" t="inlineStr">
        <is>
          <t>% nouveaux embauches encore en poste a 1 an</t>
        </is>
      </c>
      <c r="E8" s="31" t="n">
        <v>0.85</v>
      </c>
      <c r="F8" s="31" t="n">
        <v>0.8</v>
      </c>
      <c r="G8" s="31" t="n"/>
      <c r="H8" s="13" t="inlineStr">
        <is>
          <t>En hausse</t>
        </is>
      </c>
      <c r="I8" s="13" t="inlineStr">
        <is>
          <t>Annuelle</t>
        </is>
      </c>
      <c r="J8" s="13" t="inlineStr">
        <is>
          <t>DRH</t>
        </is>
      </c>
      <c r="K8" s="28" t="n">
        <v>45672</v>
      </c>
      <c r="L8" s="13" t="inlineStr">
        <is>
          <t>En cours</t>
        </is>
      </c>
    </row>
    <row r="9" ht="22" customHeight="1">
      <c r="B9" s="16">
        <f>IF(C9="","IME-"&amp;TEXT(COUNTA($C$5:C9),"000"))</f>
        <v/>
      </c>
      <c r="C9" s="11" t="n"/>
      <c r="D9" s="11" t="n"/>
      <c r="E9" s="29" t="n"/>
      <c r="F9" s="29" t="n"/>
      <c r="G9" s="29">
        <f>IF(OR(E9="",F9=""),"",F9-E9)</f>
        <v/>
      </c>
      <c r="H9" s="11" t="n"/>
      <c r="I9" s="11" t="n"/>
      <c r="J9" s="11" t="n"/>
      <c r="K9" s="27" t="n"/>
      <c r="L9" s="11" t="n"/>
    </row>
    <row r="10" ht="22" customHeight="1">
      <c r="B10" s="15">
        <f>IF(C10="","IME-"&amp;TEXT(COUNTA($C$5:C10),"000"))</f>
        <v/>
      </c>
      <c r="C10" s="13" t="n"/>
      <c r="D10" s="13" t="n"/>
      <c r="E10" s="31" t="n"/>
      <c r="F10" s="31" t="n"/>
      <c r="G10" s="31">
        <f>IF(OR(E10="",F10=""),"",F10-E10)</f>
        <v/>
      </c>
      <c r="H10" s="13" t="n"/>
      <c r="I10" s="13" t="n"/>
      <c r="J10" s="13" t="n"/>
      <c r="K10" s="28" t="n"/>
      <c r="L10" s="13" t="n"/>
    </row>
    <row r="11" ht="22" customHeight="1">
      <c r="B11" s="16">
        <f>IF(C11="","IME-"&amp;TEXT(COUNTA($C$5:C11),"000"))</f>
        <v/>
      </c>
      <c r="C11" s="11" t="n"/>
      <c r="D11" s="11" t="n"/>
      <c r="E11" s="29" t="n"/>
      <c r="F11" s="29" t="n"/>
      <c r="G11" s="29">
        <f>IF(OR(E11="",F11=""),"",F11-E11)</f>
        <v/>
      </c>
      <c r="H11" s="11" t="n"/>
      <c r="I11" s="11" t="n"/>
      <c r="J11" s="11" t="n"/>
      <c r="K11" s="27" t="n"/>
      <c r="L11" s="11" t="n"/>
    </row>
    <row r="12" ht="22" customHeight="1">
      <c r="B12" s="15">
        <f>IF(C12="","IME-"&amp;TEXT(COUNTA($C$5:C12),"000"))</f>
        <v/>
      </c>
      <c r="C12" s="13" t="n"/>
      <c r="D12" s="13" t="n"/>
      <c r="E12" s="31" t="n"/>
      <c r="F12" s="31" t="n"/>
      <c r="G12" s="31">
        <f>IF(OR(E12="",F12=""),"",F12-E12)</f>
        <v/>
      </c>
      <c r="H12" s="13" t="n"/>
      <c r="I12" s="13" t="n"/>
      <c r="J12" s="13" t="n"/>
      <c r="K12" s="28" t="n"/>
      <c r="L12" s="13" t="n"/>
    </row>
    <row r="13" ht="22" customHeight="1">
      <c r="B13" s="16">
        <f>IF(C13="","IME-"&amp;TEXT(COUNTA($C$5:C13),"000"))</f>
        <v/>
      </c>
      <c r="C13" s="11" t="n"/>
      <c r="D13" s="11" t="n"/>
      <c r="E13" s="29" t="n"/>
      <c r="F13" s="29" t="n"/>
      <c r="G13" s="29">
        <f>IF(OR(E13="",F13=""),"",F13-E13)</f>
        <v/>
      </c>
      <c r="H13" s="11" t="n"/>
      <c r="I13" s="11" t="n"/>
      <c r="J13" s="11" t="n"/>
      <c r="K13" s="27" t="n"/>
      <c r="L13" s="11" t="n"/>
    </row>
    <row r="14" ht="22" customHeight="1">
      <c r="B14" s="15">
        <f>IF(C14="","IME-"&amp;TEXT(COUNTA($C$5:C14),"000"))</f>
        <v/>
      </c>
      <c r="C14" s="13" t="n"/>
      <c r="D14" s="13" t="n"/>
      <c r="E14" s="31" t="n"/>
      <c r="F14" s="31" t="n"/>
      <c r="G14" s="31">
        <f>IF(OR(E14="",F14=""),"",F14-E14)</f>
        <v/>
      </c>
      <c r="H14" s="13" t="n"/>
      <c r="I14" s="13" t="n"/>
      <c r="J14" s="13" t="n"/>
      <c r="K14" s="28" t="n"/>
      <c r="L14" s="13" t="n"/>
    </row>
    <row r="15" ht="22" customHeight="1">
      <c r="B15" s="16">
        <f>IF(C15="","IME-"&amp;TEXT(COUNTA($C$5:C15),"000"))</f>
        <v/>
      </c>
      <c r="C15" s="11" t="n"/>
      <c r="D15" s="11" t="n"/>
      <c r="E15" s="29" t="n"/>
      <c r="F15" s="29" t="n"/>
      <c r="G15" s="29">
        <f>IF(OR(E15="",F15=""),"",F15-E15)</f>
        <v/>
      </c>
      <c r="H15" s="11" t="n"/>
      <c r="I15" s="11" t="n"/>
      <c r="J15" s="11" t="n"/>
      <c r="K15" s="27" t="n"/>
      <c r="L15" s="11" t="n"/>
    </row>
    <row r="16" ht="22" customHeight="1">
      <c r="B16" s="15">
        <f>IF(C16="","IME-"&amp;TEXT(COUNTA($C$5:C16),"000"))</f>
        <v/>
      </c>
      <c r="C16" s="13" t="n"/>
      <c r="D16" s="13" t="n"/>
      <c r="E16" s="31" t="n"/>
      <c r="F16" s="31" t="n"/>
      <c r="G16" s="31">
        <f>IF(OR(E16="",F16=""),"",F16-E16)</f>
        <v/>
      </c>
      <c r="H16" s="13" t="n"/>
      <c r="I16" s="13" t="n"/>
      <c r="J16" s="13" t="n"/>
      <c r="K16" s="28" t="n"/>
      <c r="L16" s="13" t="n"/>
    </row>
    <row r="17" ht="22" customHeight="1">
      <c r="B17" s="16">
        <f>IF(C17="","IME-"&amp;TEXT(COUNTA($C$5:C17),"000"))</f>
        <v/>
      </c>
      <c r="C17" s="11" t="n"/>
      <c r="D17" s="11" t="n"/>
      <c r="E17" s="29" t="n"/>
      <c r="F17" s="29" t="n"/>
      <c r="G17" s="29">
        <f>IF(OR(E17="",F17=""),"",F17-E17)</f>
        <v/>
      </c>
      <c r="H17" s="11" t="n"/>
      <c r="I17" s="11" t="n"/>
      <c r="J17" s="11" t="n"/>
      <c r="K17" s="27" t="n"/>
      <c r="L17" s="11" t="n"/>
    </row>
    <row r="18" ht="22" customHeight="1">
      <c r="B18" s="15">
        <f>IF(C18="","IME-"&amp;TEXT(COUNTA($C$5:C18),"000"))</f>
        <v/>
      </c>
      <c r="C18" s="13" t="n"/>
      <c r="D18" s="13" t="n"/>
      <c r="E18" s="31" t="n"/>
      <c r="F18" s="31" t="n"/>
      <c r="G18" s="31">
        <f>IF(OR(E18="",F18=""),"",F18-E18)</f>
        <v/>
      </c>
      <c r="H18" s="13" t="n"/>
      <c r="I18" s="13" t="n"/>
      <c r="J18" s="13" t="n"/>
      <c r="K18" s="28" t="n"/>
      <c r="L18" s="13" t="n"/>
    </row>
    <row r="19" ht="22" customHeight="1">
      <c r="B19" s="16">
        <f>IF(C19="","IME-"&amp;TEXT(COUNTA($C$5:C19),"000"))</f>
        <v/>
      </c>
      <c r="C19" s="11" t="n"/>
      <c r="D19" s="11" t="n"/>
      <c r="E19" s="29" t="n"/>
      <c r="F19" s="29" t="n"/>
      <c r="G19" s="29">
        <f>IF(OR(E19="",F19=""),"",F19-E19)</f>
        <v/>
      </c>
      <c r="H19" s="11" t="n"/>
      <c r="I19" s="11" t="n"/>
      <c r="J19" s="11" t="n"/>
      <c r="K19" s="27" t="n"/>
      <c r="L19" s="11" t="n"/>
    </row>
    <row r="20" ht="22" customHeight="1">
      <c r="B20" s="15">
        <f>IF(C20="","IME-"&amp;TEXT(COUNTA($C$5:C20),"000"))</f>
        <v/>
      </c>
      <c r="C20" s="13" t="n"/>
      <c r="D20" s="13" t="n"/>
      <c r="E20" s="31" t="n"/>
      <c r="F20" s="31" t="n"/>
      <c r="G20" s="31">
        <f>IF(OR(E20="",F20=""),"",F20-E20)</f>
        <v/>
      </c>
      <c r="H20" s="13" t="n"/>
      <c r="I20" s="13" t="n"/>
      <c r="J20" s="13" t="n"/>
      <c r="K20" s="28" t="n"/>
      <c r="L20" s="13" t="n"/>
    </row>
    <row r="21" ht="22" customHeight="1">
      <c r="B21" s="16">
        <f>IF(C21="","IME-"&amp;TEXT(COUNTA($C$5:C21),"000"))</f>
        <v/>
      </c>
      <c r="C21" s="11" t="n"/>
      <c r="D21" s="11" t="n"/>
      <c r="E21" s="29" t="n"/>
      <c r="F21" s="29" t="n"/>
      <c r="G21" s="29">
        <f>IF(OR(E21="",F21=""),"",F21-E21)</f>
        <v/>
      </c>
      <c r="H21" s="11" t="n"/>
      <c r="I21" s="11" t="n"/>
      <c r="J21" s="11" t="n"/>
      <c r="K21" s="27" t="n"/>
      <c r="L21" s="11" t="n"/>
    </row>
    <row r="22" ht="22" customHeight="1">
      <c r="B22" s="15">
        <f>IF(C22="","IME-"&amp;TEXT(COUNTA($C$5:C22),"000"))</f>
        <v/>
      </c>
      <c r="C22" s="13" t="n"/>
      <c r="D22" s="13" t="n"/>
      <c r="E22" s="31" t="n"/>
      <c r="F22" s="31" t="n"/>
      <c r="G22" s="31">
        <f>IF(OR(E22="",F22=""),"",F22-E22)</f>
        <v/>
      </c>
      <c r="H22" s="13" t="n"/>
      <c r="I22" s="13" t="n"/>
      <c r="J22" s="13" t="n"/>
      <c r="K22" s="28" t="n"/>
      <c r="L22" s="13" t="n"/>
    </row>
    <row r="23" ht="22" customHeight="1">
      <c r="B23" s="16">
        <f>IF(C23="","IME-"&amp;TEXT(COUNTA($C$5:C23),"000"))</f>
        <v/>
      </c>
      <c r="C23" s="11" t="n"/>
      <c r="D23" s="11" t="n"/>
      <c r="E23" s="29" t="n"/>
      <c r="F23" s="29" t="n"/>
      <c r="G23" s="29">
        <f>IF(OR(E23="",F23=""),"",F23-E23)</f>
        <v/>
      </c>
      <c r="H23" s="11" t="n"/>
      <c r="I23" s="11" t="n"/>
      <c r="J23" s="11" t="n"/>
      <c r="K23" s="27" t="n"/>
      <c r="L23" s="11" t="n"/>
    </row>
    <row r="24" ht="22" customHeight="1">
      <c r="B24" s="15">
        <f>IF(C24="","IME-"&amp;TEXT(COUNTA($C$5:C24),"000"))</f>
        <v/>
      </c>
      <c r="C24" s="13" t="n"/>
      <c r="D24" s="13" t="n"/>
      <c r="E24" s="31" t="n"/>
      <c r="F24" s="31" t="n"/>
      <c r="G24" s="31">
        <f>IF(OR(E24="",F24=""),"",F24-E24)</f>
        <v/>
      </c>
      <c r="H24" s="13" t="n"/>
      <c r="I24" s="13" t="n"/>
      <c r="J24" s="13" t="n"/>
      <c r="K24" s="28" t="n"/>
      <c r="L24" s="13" t="n"/>
    </row>
    <row r="25" ht="22" customHeight="1">
      <c r="B25" s="16">
        <f>IF(C25="","IME-"&amp;TEXT(COUNTA($C$5:C25),"000"))</f>
        <v/>
      </c>
      <c r="C25" s="11" t="n"/>
      <c r="D25" s="11" t="n"/>
      <c r="E25" s="29" t="n"/>
      <c r="F25" s="29" t="n"/>
      <c r="G25" s="29">
        <f>IF(OR(E25="",F25=""),"",F25-E25)</f>
        <v/>
      </c>
      <c r="H25" s="11" t="n"/>
      <c r="I25" s="11" t="n"/>
      <c r="J25" s="11" t="n"/>
      <c r="K25" s="27" t="n"/>
      <c r="L25" s="11" t="n"/>
    </row>
    <row r="26" ht="22" customHeight="1">
      <c r="B26" s="15">
        <f>IF(C26="","IME-"&amp;TEXT(COUNTA($C$5:C26),"000"))</f>
        <v/>
      </c>
      <c r="C26" s="13" t="n"/>
      <c r="D26" s="13" t="n"/>
      <c r="E26" s="31" t="n"/>
      <c r="F26" s="31" t="n"/>
      <c r="G26" s="31">
        <f>IF(OR(E26="",F26=""),"",F26-E26)</f>
        <v/>
      </c>
      <c r="H26" s="13" t="n"/>
      <c r="I26" s="13" t="n"/>
      <c r="J26" s="13" t="n"/>
      <c r="K26" s="28" t="n"/>
      <c r="L26" s="13" t="n"/>
    </row>
    <row r="27" ht="22" customHeight="1">
      <c r="B27" s="16">
        <f>IF(C27="","IME-"&amp;TEXT(COUNTA($C$5:C27),"000"))</f>
        <v/>
      </c>
      <c r="C27" s="11" t="n"/>
      <c r="D27" s="11" t="n"/>
      <c r="E27" s="29" t="n"/>
      <c r="F27" s="29" t="n"/>
      <c r="G27" s="29">
        <f>IF(OR(E27="",F27=""),"",F27-E27)</f>
        <v/>
      </c>
      <c r="H27" s="11" t="n"/>
      <c r="I27" s="11" t="n"/>
      <c r="J27" s="11" t="n"/>
      <c r="K27" s="27" t="n"/>
      <c r="L27" s="11" t="n"/>
    </row>
    <row r="28" ht="22" customHeight="1">
      <c r="B28" s="15">
        <f>IF(C28="","IME-"&amp;TEXT(COUNTA($C$5:C28),"000"))</f>
        <v/>
      </c>
      <c r="C28" s="13" t="n"/>
      <c r="D28" s="13" t="n"/>
      <c r="E28" s="31" t="n"/>
      <c r="F28" s="31" t="n"/>
      <c r="G28" s="31">
        <f>IF(OR(E28="",F28=""),"",F28-E28)</f>
        <v/>
      </c>
      <c r="H28" s="13" t="n"/>
      <c r="I28" s="13" t="n"/>
      <c r="J28" s="13" t="n"/>
      <c r="K28" s="28" t="n"/>
      <c r="L28" s="13" t="n"/>
    </row>
    <row r="29" ht="22" customHeight="1">
      <c r="B29" s="16">
        <f>IF(C29="","IME-"&amp;TEXT(COUNTA($C$5:C29),"000"))</f>
        <v/>
      </c>
      <c r="C29" s="11" t="n"/>
      <c r="D29" s="11" t="n"/>
      <c r="E29" s="29" t="n"/>
      <c r="F29" s="29" t="n"/>
      <c r="G29" s="29">
        <f>IF(OR(E29="",F29=""),"",F29-E29)</f>
        <v/>
      </c>
      <c r="H29" s="11" t="n"/>
      <c r="I29" s="11" t="n"/>
      <c r="J29" s="11" t="n"/>
      <c r="K29" s="27" t="n"/>
      <c r="L29" s="11" t="n"/>
    </row>
    <row r="30" ht="22" customHeight="1">
      <c r="B30" s="15">
        <f>IF(C30="","IME-"&amp;TEXT(COUNTA($C$5:C30),"000"))</f>
        <v/>
      </c>
      <c r="C30" s="13" t="n"/>
      <c r="D30" s="13" t="n"/>
      <c r="E30" s="31" t="n"/>
      <c r="F30" s="31" t="n"/>
      <c r="G30" s="31">
        <f>IF(OR(E30="",F30=""),"",F30-E30)</f>
        <v/>
      </c>
      <c r="H30" s="13" t="n"/>
      <c r="I30" s="13" t="n"/>
      <c r="J30" s="13" t="n"/>
      <c r="K30" s="28" t="n"/>
      <c r="L30" s="13" t="n"/>
    </row>
    <row r="31" ht="22" customHeight="1">
      <c r="B31" s="16">
        <f>IF(C31="","IME-"&amp;TEXT(COUNTA($C$5:C31),"000"))</f>
        <v/>
      </c>
      <c r="C31" s="11" t="n"/>
      <c r="D31" s="11" t="n"/>
      <c r="E31" s="29" t="n"/>
      <c r="F31" s="29" t="n"/>
      <c r="G31" s="29">
        <f>IF(OR(E31="",F31=""),"",F31-E31)</f>
        <v/>
      </c>
      <c r="H31" s="11" t="n"/>
      <c r="I31" s="11" t="n"/>
      <c r="J31" s="11" t="n"/>
      <c r="K31" s="27" t="n"/>
      <c r="L31" s="11" t="n"/>
    </row>
    <row r="32" ht="22" customHeight="1">
      <c r="B32" s="15">
        <f>IF(C32="","IME-"&amp;TEXT(COUNTA($C$5:C32),"000"))</f>
        <v/>
      </c>
      <c r="C32" s="13" t="n"/>
      <c r="D32" s="13" t="n"/>
      <c r="E32" s="31" t="n"/>
      <c r="F32" s="31" t="n"/>
      <c r="G32" s="31">
        <f>IF(OR(E32="",F32=""),"",F32-E32)</f>
        <v/>
      </c>
      <c r="H32" s="13" t="n"/>
      <c r="I32" s="13" t="n"/>
      <c r="J32" s="13" t="n"/>
      <c r="K32" s="28" t="n"/>
      <c r="L32" s="13" t="n"/>
    </row>
    <row r="33" ht="22" customHeight="1">
      <c r="B33" s="16">
        <f>IF(C33="","IME-"&amp;TEXT(COUNTA($C$5:C33),"000"))</f>
        <v/>
      </c>
      <c r="C33" s="11" t="n"/>
      <c r="D33" s="11" t="n"/>
      <c r="E33" s="29" t="n"/>
      <c r="F33" s="29" t="n"/>
      <c r="G33" s="29">
        <f>IF(OR(E33="",F33=""),"",F33-E33)</f>
        <v/>
      </c>
      <c r="H33" s="11" t="n"/>
      <c r="I33" s="11" t="n"/>
      <c r="J33" s="11" t="n"/>
      <c r="K33" s="27" t="n"/>
      <c r="L33" s="11" t="n"/>
    </row>
    <row r="34" ht="22" customHeight="1">
      <c r="B34" s="15">
        <f>IF(C34="","IME-"&amp;TEXT(COUNTA($C$5:C34),"000"))</f>
        <v/>
      </c>
      <c r="C34" s="13" t="n"/>
      <c r="D34" s="13" t="n"/>
      <c r="E34" s="31" t="n"/>
      <c r="F34" s="31" t="n"/>
      <c r="G34" s="31">
        <f>IF(OR(E34="",F34=""),"",F34-E34)</f>
        <v/>
      </c>
      <c r="H34" s="13" t="n"/>
      <c r="I34" s="13" t="n"/>
      <c r="J34" s="13" t="n"/>
      <c r="K34" s="28" t="n"/>
      <c r="L34" s="13" t="n"/>
    </row>
    <row r="35" ht="22" customHeight="1">
      <c r="B35" s="16">
        <f>IF(C35="","IME-"&amp;TEXT(COUNTA($C$5:C35),"000"))</f>
        <v/>
      </c>
      <c r="C35" s="11" t="n"/>
      <c r="D35" s="11" t="n"/>
      <c r="E35" s="29" t="n"/>
      <c r="F35" s="29" t="n"/>
      <c r="G35" s="29">
        <f>IF(OR(E35="",F35=""),"",F35-E35)</f>
        <v/>
      </c>
      <c r="H35" s="11" t="n"/>
      <c r="I35" s="11" t="n"/>
      <c r="J35" s="11" t="n"/>
      <c r="K35" s="27" t="n"/>
      <c r="L35" s="11" t="n"/>
    </row>
    <row r="36" ht="22" customHeight="1">
      <c r="B36" s="15">
        <f>IF(C36="","IME-"&amp;TEXT(COUNTA($C$5:C36),"000"))</f>
        <v/>
      </c>
      <c r="C36" s="13" t="n"/>
      <c r="D36" s="13" t="n"/>
      <c r="E36" s="31" t="n"/>
      <c r="F36" s="31" t="n"/>
      <c r="G36" s="31">
        <f>IF(OR(E36="",F36=""),"",F36-E36)</f>
        <v/>
      </c>
      <c r="H36" s="13" t="n"/>
      <c r="I36" s="13" t="n"/>
      <c r="J36" s="13" t="n"/>
      <c r="K36" s="28" t="n"/>
      <c r="L36" s="13" t="n"/>
    </row>
    <row r="37" ht="22" customHeight="1">
      <c r="B37" s="16">
        <f>IF(C37="","IME-"&amp;TEXT(COUNTA($C$5:C37),"000"))</f>
        <v/>
      </c>
      <c r="C37" s="11" t="n"/>
      <c r="D37" s="11" t="n"/>
      <c r="E37" s="29" t="n"/>
      <c r="F37" s="29" t="n"/>
      <c r="G37" s="29">
        <f>IF(OR(E37="",F37=""),"",F37-E37)</f>
        <v/>
      </c>
      <c r="H37" s="11" t="n"/>
      <c r="I37" s="11" t="n"/>
      <c r="J37" s="11" t="n"/>
      <c r="K37" s="27" t="n"/>
      <c r="L37" s="11" t="n"/>
    </row>
    <row r="38" ht="22" customHeight="1">
      <c r="B38" s="15">
        <f>IF(C38="","IME-"&amp;TEXT(COUNTA($C$5:C38),"000"))</f>
        <v/>
      </c>
      <c r="C38" s="13" t="n"/>
      <c r="D38" s="13" t="n"/>
      <c r="E38" s="31" t="n"/>
      <c r="F38" s="31" t="n"/>
      <c r="G38" s="31">
        <f>IF(OR(E38="",F38=""),"",F38-E38)</f>
        <v/>
      </c>
      <c r="H38" s="13" t="n"/>
      <c r="I38" s="13" t="n"/>
      <c r="J38" s="13" t="n"/>
      <c r="K38" s="28" t="n"/>
      <c r="L38" s="13" t="n"/>
    </row>
    <row r="39" ht="22" customHeight="1">
      <c r="B39" s="16">
        <f>IF(C39="","IME-"&amp;TEXT(COUNTA($C$5:C39),"000"))</f>
        <v/>
      </c>
      <c r="C39" s="11" t="n"/>
      <c r="D39" s="11" t="n"/>
      <c r="E39" s="29" t="n"/>
      <c r="F39" s="29" t="n"/>
      <c r="G39" s="29">
        <f>IF(OR(E39="",F39=""),"",F39-E39)</f>
        <v/>
      </c>
      <c r="H39" s="11" t="n"/>
      <c r="I39" s="11" t="n"/>
      <c r="J39" s="11" t="n"/>
      <c r="K39" s="27" t="n"/>
      <c r="L39" s="11" t="n"/>
    </row>
    <row r="40" ht="22" customHeight="1">
      <c r="B40" s="15">
        <f>IF(C40="","IME-"&amp;TEXT(COUNTA($C$5:C40),"000"))</f>
        <v/>
      </c>
      <c r="C40" s="13" t="n"/>
      <c r="D40" s="13" t="n"/>
      <c r="E40" s="31" t="n"/>
      <c r="F40" s="31" t="n"/>
      <c r="G40" s="31">
        <f>IF(OR(E40="",F40=""),"",F40-E40)</f>
        <v/>
      </c>
      <c r="H40" s="13" t="n"/>
      <c r="I40" s="13" t="n"/>
      <c r="J40" s="13" t="n"/>
      <c r="K40" s="28" t="n"/>
      <c r="L40" s="13" t="n"/>
    </row>
    <row r="41" ht="22" customHeight="1">
      <c r="B41" s="16">
        <f>IF(C41="","IME-"&amp;TEXT(COUNTA($C$5:C41),"000"))</f>
        <v/>
      </c>
      <c r="C41" s="11" t="n"/>
      <c r="D41" s="11" t="n"/>
      <c r="E41" s="29" t="n"/>
      <c r="F41" s="29" t="n"/>
      <c r="G41" s="29">
        <f>IF(OR(E41="",F41=""),"",F41-E41)</f>
        <v/>
      </c>
      <c r="H41" s="11" t="n"/>
      <c r="I41" s="11" t="n"/>
      <c r="J41" s="11" t="n"/>
      <c r="K41" s="27" t="n"/>
      <c r="L41" s="11" t="n"/>
    </row>
    <row r="42" ht="22" customHeight="1">
      <c r="B42" s="15">
        <f>IF(C42="","IME-"&amp;TEXT(COUNTA($C$5:C42),"000"))</f>
        <v/>
      </c>
      <c r="C42" s="13" t="n"/>
      <c r="D42" s="13" t="n"/>
      <c r="E42" s="31" t="n"/>
      <c r="F42" s="31" t="n"/>
      <c r="G42" s="31">
        <f>IF(OR(E42="",F42=""),"",F42-E42)</f>
        <v/>
      </c>
      <c r="H42" s="13" t="n"/>
      <c r="I42" s="13" t="n"/>
      <c r="J42" s="13" t="n"/>
      <c r="K42" s="28" t="n"/>
      <c r="L42" s="13" t="n"/>
    </row>
    <row r="43" ht="22" customHeight="1">
      <c r="B43" s="16">
        <f>IF(C43="","IME-"&amp;TEXT(COUNTA($C$5:C43),"000"))</f>
        <v/>
      </c>
      <c r="C43" s="11" t="n"/>
      <c r="D43" s="11" t="n"/>
      <c r="E43" s="29" t="n"/>
      <c r="F43" s="29" t="n"/>
      <c r="G43" s="29">
        <f>IF(OR(E43="",F43=""),"",F43-E43)</f>
        <v/>
      </c>
      <c r="H43" s="11" t="n"/>
      <c r="I43" s="11" t="n"/>
      <c r="J43" s="11" t="n"/>
      <c r="K43" s="27" t="n"/>
      <c r="L43" s="11" t="n"/>
    </row>
    <row r="44" ht="22" customHeight="1">
      <c r="B44" s="15">
        <f>IF(C44="","IME-"&amp;TEXT(COUNTA($C$5:C44),"000"))</f>
        <v/>
      </c>
      <c r="C44" s="13" t="n"/>
      <c r="D44" s="13" t="n"/>
      <c r="E44" s="31" t="n"/>
      <c r="F44" s="31" t="n"/>
      <c r="G44" s="31">
        <f>IF(OR(E44="",F44=""),"",F44-E44)</f>
        <v/>
      </c>
      <c r="H44" s="13" t="n"/>
      <c r="I44" s="13" t="n"/>
      <c r="J44" s="13" t="n"/>
      <c r="K44" s="28" t="n"/>
      <c r="L44" s="13" t="n"/>
    </row>
    <row r="45" ht="22" customHeight="1">
      <c r="B45" s="16">
        <f>IF(C45="","IME-"&amp;TEXT(COUNTA($C$5:C45),"000"))</f>
        <v/>
      </c>
      <c r="C45" s="11" t="n"/>
      <c r="D45" s="11" t="n"/>
      <c r="E45" s="29" t="n"/>
      <c r="F45" s="29" t="n"/>
      <c r="G45" s="29">
        <f>IF(OR(E45="",F45=""),"",F45-E45)</f>
        <v/>
      </c>
      <c r="H45" s="11" t="n"/>
      <c r="I45" s="11" t="n"/>
      <c r="J45" s="11" t="n"/>
      <c r="K45" s="27" t="n"/>
      <c r="L45" s="11" t="n"/>
    </row>
    <row r="46" ht="22" customHeight="1">
      <c r="B46" s="15">
        <f>IF(C46="","IME-"&amp;TEXT(COUNTA($C$5:C46),"000"))</f>
        <v/>
      </c>
      <c r="C46" s="13" t="n"/>
      <c r="D46" s="13" t="n"/>
      <c r="E46" s="31" t="n"/>
      <c r="F46" s="31" t="n"/>
      <c r="G46" s="31">
        <f>IF(OR(E46="",F46=""),"",F46-E46)</f>
        <v/>
      </c>
      <c r="H46" s="13" t="n"/>
      <c r="I46" s="13" t="n"/>
      <c r="J46" s="13" t="n"/>
      <c r="K46" s="28" t="n"/>
      <c r="L46" s="13" t="n"/>
    </row>
    <row r="47" ht="22" customHeight="1">
      <c r="B47" s="16">
        <f>IF(C47="","IME-"&amp;TEXT(COUNTA($C$5:C47),"000"))</f>
        <v/>
      </c>
      <c r="C47" s="11" t="n"/>
      <c r="D47" s="11" t="n"/>
      <c r="E47" s="29" t="n"/>
      <c r="F47" s="29" t="n"/>
      <c r="G47" s="29">
        <f>IF(OR(E47="",F47=""),"",F47-E47)</f>
        <v/>
      </c>
      <c r="H47" s="11" t="n"/>
      <c r="I47" s="11" t="n"/>
      <c r="J47" s="11" t="n"/>
      <c r="K47" s="27" t="n"/>
      <c r="L47" s="11" t="n"/>
    </row>
    <row r="48" ht="22" customHeight="1">
      <c r="B48" s="15">
        <f>IF(C48="","IME-"&amp;TEXT(COUNTA($C$5:C48),"000"))</f>
        <v/>
      </c>
      <c r="C48" s="13" t="n"/>
      <c r="D48" s="13" t="n"/>
      <c r="E48" s="31" t="n"/>
      <c r="F48" s="31" t="n"/>
      <c r="G48" s="31">
        <f>IF(OR(E48="",F48=""),"",F48-E48)</f>
        <v/>
      </c>
      <c r="H48" s="13" t="n"/>
      <c r="I48" s="13" t="n"/>
      <c r="J48" s="13" t="n"/>
      <c r="K48" s="28" t="n"/>
      <c r="L48" s="13" t="n"/>
    </row>
    <row r="49" ht="22" customHeight="1">
      <c r="B49" s="16">
        <f>IF(C49="","IME-"&amp;TEXT(COUNTA($C$5:C49),"000"))</f>
        <v/>
      </c>
      <c r="C49" s="11" t="n"/>
      <c r="D49" s="11" t="n"/>
      <c r="E49" s="29" t="n"/>
      <c r="F49" s="29" t="n"/>
      <c r="G49" s="29">
        <f>IF(OR(E49="",F49=""),"",F49-E49)</f>
        <v/>
      </c>
      <c r="H49" s="11" t="n"/>
      <c r="I49" s="11" t="n"/>
      <c r="J49" s="11" t="n"/>
      <c r="K49" s="27" t="n"/>
      <c r="L49" s="11" t="n"/>
    </row>
    <row r="50" ht="22" customHeight="1">
      <c r="B50" s="15">
        <f>IF(C50="","IME-"&amp;TEXT(COUNTA($C$5:C50),"000"))</f>
        <v/>
      </c>
      <c r="C50" s="13" t="n"/>
      <c r="D50" s="13" t="n"/>
      <c r="E50" s="31" t="n"/>
      <c r="F50" s="31" t="n"/>
      <c r="G50" s="31">
        <f>IF(OR(E50="",F50=""),"",F50-E50)</f>
        <v/>
      </c>
      <c r="H50" s="13" t="n"/>
      <c r="I50" s="13" t="n"/>
      <c r="J50" s="13" t="n"/>
      <c r="K50" s="28" t="n"/>
      <c r="L50" s="13" t="n"/>
    </row>
    <row r="51" ht="22" customHeight="1">
      <c r="B51" s="16">
        <f>IF(C51="","IME-"&amp;TEXT(COUNTA($C$5:C51),"000"))</f>
        <v/>
      </c>
      <c r="C51" s="11" t="n"/>
      <c r="D51" s="11" t="n"/>
      <c r="E51" s="29" t="n"/>
      <c r="F51" s="29" t="n"/>
      <c r="G51" s="29">
        <f>IF(OR(E51="",F51=""),"",F51-E51)</f>
        <v/>
      </c>
      <c r="H51" s="11" t="n"/>
      <c r="I51" s="11" t="n"/>
      <c r="J51" s="11" t="n"/>
      <c r="K51" s="27" t="n"/>
      <c r="L51" s="11" t="n"/>
    </row>
    <row r="52" ht="22" customHeight="1">
      <c r="B52" s="15">
        <f>IF(C52="","IME-"&amp;TEXT(COUNTA($C$5:C52),"000"))</f>
        <v/>
      </c>
      <c r="C52" s="13" t="n"/>
      <c r="D52" s="13" t="n"/>
      <c r="E52" s="31" t="n"/>
      <c r="F52" s="31" t="n"/>
      <c r="G52" s="31">
        <f>IF(OR(E52="",F52=""),"",F52-E52)</f>
        <v/>
      </c>
      <c r="H52" s="13" t="n"/>
      <c r="I52" s="13" t="n"/>
      <c r="J52" s="13" t="n"/>
      <c r="K52" s="28" t="n"/>
      <c r="L52" s="13" t="n"/>
    </row>
    <row r="53" ht="22" customHeight="1">
      <c r="B53" s="16">
        <f>IF(C53="","IME-"&amp;TEXT(COUNTA($C$5:C53),"000"))</f>
        <v/>
      </c>
      <c r="C53" s="11" t="n"/>
      <c r="D53" s="11" t="n"/>
      <c r="E53" s="29" t="n"/>
      <c r="F53" s="29" t="n"/>
      <c r="G53" s="29">
        <f>IF(OR(E53="",F53=""),"",F53-E53)</f>
        <v/>
      </c>
      <c r="H53" s="11" t="n"/>
      <c r="I53" s="11" t="n"/>
      <c r="J53" s="11" t="n"/>
      <c r="K53" s="27" t="n"/>
      <c r="L53" s="11" t="n"/>
    </row>
    <row r="54" ht="22" customHeight="1">
      <c r="B54" s="15">
        <f>IF(C54="","IME-"&amp;TEXT(COUNTA($C$5:C54),"000"))</f>
        <v/>
      </c>
      <c r="C54" s="13" t="n"/>
      <c r="D54" s="13" t="n"/>
      <c r="E54" s="31" t="n"/>
      <c r="F54" s="31" t="n"/>
      <c r="G54" s="31">
        <f>IF(OR(E54="",F54=""),"",F54-E54)</f>
        <v/>
      </c>
      <c r="H54" s="13" t="n"/>
      <c r="I54" s="13" t="n"/>
      <c r="J54" s="13" t="n"/>
      <c r="K54" s="28" t="n"/>
      <c r="L54" s="13" t="n"/>
    </row>
    <row r="55" ht="22" customHeight="1">
      <c r="B55" s="16">
        <f>IF(C55="","IME-"&amp;TEXT(COUNTA($C$5:C55),"000"))</f>
        <v/>
      </c>
      <c r="C55" s="11" t="n"/>
      <c r="D55" s="11" t="n"/>
      <c r="E55" s="29" t="n"/>
      <c r="F55" s="29" t="n"/>
      <c r="G55" s="29">
        <f>IF(OR(E55="",F55=""),"",F55-E55)</f>
        <v/>
      </c>
      <c r="H55" s="11" t="n"/>
      <c r="I55" s="11" t="n"/>
      <c r="J55" s="11" t="n"/>
      <c r="K55" s="27" t="n"/>
      <c r="L55" s="11" t="n"/>
    </row>
    <row r="56" ht="22" customHeight="1">
      <c r="B56" s="15">
        <f>IF(C56="","IME-"&amp;TEXT(COUNTA($C$5:C56),"000"))</f>
        <v/>
      </c>
      <c r="C56" s="13" t="n"/>
      <c r="D56" s="13" t="n"/>
      <c r="E56" s="31" t="n"/>
      <c r="F56" s="31" t="n"/>
      <c r="G56" s="31">
        <f>IF(OR(E56="",F56=""),"",F56-E56)</f>
        <v/>
      </c>
      <c r="H56" s="13" t="n"/>
      <c r="I56" s="13" t="n"/>
      <c r="J56" s="13" t="n"/>
      <c r="K56" s="28" t="n"/>
      <c r="L56" s="13" t="n"/>
    </row>
    <row r="57" ht="22" customHeight="1">
      <c r="B57" s="16">
        <f>IF(C57="","IME-"&amp;TEXT(COUNTA($C$5:C57),"000"))</f>
        <v/>
      </c>
      <c r="C57" s="11" t="n"/>
      <c r="D57" s="11" t="n"/>
      <c r="E57" s="29" t="n"/>
      <c r="F57" s="29" t="n"/>
      <c r="G57" s="29">
        <f>IF(OR(E57="",F57=""),"",F57-E57)</f>
        <v/>
      </c>
      <c r="H57" s="11" t="n"/>
      <c r="I57" s="11" t="n"/>
      <c r="J57" s="11" t="n"/>
      <c r="K57" s="27" t="n"/>
      <c r="L57" s="11" t="n"/>
    </row>
    <row r="58" ht="22" customHeight="1">
      <c r="B58" s="15">
        <f>IF(C58="","IME-"&amp;TEXT(COUNTA($C$5:C58),"000"))</f>
        <v/>
      </c>
      <c r="C58" s="13" t="n"/>
      <c r="D58" s="13" t="n"/>
      <c r="E58" s="31" t="n"/>
      <c r="F58" s="31" t="n"/>
      <c r="G58" s="31">
        <f>IF(OR(E58="",F58=""),"",F58-E58)</f>
        <v/>
      </c>
      <c r="H58" s="13" t="n"/>
      <c r="I58" s="13" t="n"/>
      <c r="J58" s="13" t="n"/>
      <c r="K58" s="28" t="n"/>
      <c r="L58" s="13" t="n"/>
    </row>
    <row r="59" ht="22" customHeight="1">
      <c r="B59" s="16">
        <f>IF(C59="","IME-"&amp;TEXT(COUNTA($C$5:C59),"000"))</f>
        <v/>
      </c>
      <c r="C59" s="11" t="n"/>
      <c r="D59" s="11" t="n"/>
      <c r="E59" s="29" t="n"/>
      <c r="F59" s="29" t="n"/>
      <c r="G59" s="29">
        <f>IF(OR(E59="",F59=""),"",F59-E59)</f>
        <v/>
      </c>
      <c r="H59" s="11" t="n"/>
      <c r="I59" s="11" t="n"/>
      <c r="J59" s="11" t="n"/>
      <c r="K59" s="27" t="n"/>
      <c r="L59" s="11" t="n"/>
    </row>
    <row r="60" ht="22" customHeight="1">
      <c r="B60" s="15">
        <f>IF(C60="","IME-"&amp;TEXT(COUNTA($C$5:C60),"000"))</f>
        <v/>
      </c>
      <c r="C60" s="13" t="n"/>
      <c r="D60" s="13" t="n"/>
      <c r="E60" s="31" t="n"/>
      <c r="F60" s="31" t="n"/>
      <c r="G60" s="31">
        <f>IF(OR(E60="",F60=""),"",F60-E60)</f>
        <v/>
      </c>
      <c r="H60" s="13" t="n"/>
      <c r="I60" s="13" t="n"/>
      <c r="J60" s="13" t="n"/>
      <c r="K60" s="28" t="n"/>
      <c r="L60" s="13" t="n"/>
    </row>
    <row r="61" ht="22" customHeight="1">
      <c r="B61" s="16">
        <f>IF(C61="","IME-"&amp;TEXT(COUNTA($C$5:C61),"000"))</f>
        <v/>
      </c>
      <c r="C61" s="11" t="n"/>
      <c r="D61" s="11" t="n"/>
      <c r="E61" s="29" t="n"/>
      <c r="F61" s="29" t="n"/>
      <c r="G61" s="29">
        <f>IF(OR(E61="",F61=""),"",F61-E61)</f>
        <v/>
      </c>
      <c r="H61" s="11" t="n"/>
      <c r="I61" s="11" t="n"/>
      <c r="J61" s="11" t="n"/>
      <c r="K61" s="27" t="n"/>
      <c r="L61" s="11" t="n"/>
    </row>
    <row r="62" ht="22" customHeight="1">
      <c r="B62" s="15">
        <f>IF(C62="","IME-"&amp;TEXT(COUNTA($C$5:C62),"000"))</f>
        <v/>
      </c>
      <c r="C62" s="13" t="n"/>
      <c r="D62" s="13" t="n"/>
      <c r="E62" s="31" t="n"/>
      <c r="F62" s="31" t="n"/>
      <c r="G62" s="31">
        <f>IF(OR(E62="",F62=""),"",F62-E62)</f>
        <v/>
      </c>
      <c r="H62" s="13" t="n"/>
      <c r="I62" s="13" t="n"/>
      <c r="J62" s="13" t="n"/>
      <c r="K62" s="28" t="n"/>
      <c r="L62" s="13" t="n"/>
    </row>
    <row r="63" ht="22" customHeight="1">
      <c r="B63" s="16">
        <f>IF(C63="","IME-"&amp;TEXT(COUNTA($C$5:C63),"000"))</f>
        <v/>
      </c>
      <c r="C63" s="11" t="n"/>
      <c r="D63" s="11" t="n"/>
      <c r="E63" s="29" t="n"/>
      <c r="F63" s="29" t="n"/>
      <c r="G63" s="29">
        <f>IF(OR(E63="",F63=""),"",F63-E63)</f>
        <v/>
      </c>
      <c r="H63" s="11" t="n"/>
      <c r="I63" s="11" t="n"/>
      <c r="J63" s="11" t="n"/>
      <c r="K63" s="27" t="n"/>
      <c r="L63" s="11" t="n"/>
    </row>
    <row r="64" ht="22" customHeight="1">
      <c r="B64" s="15">
        <f>IF(C64="","IME-"&amp;TEXT(COUNTA($C$5:C64),"000"))</f>
        <v/>
      </c>
      <c r="C64" s="13" t="n"/>
      <c r="D64" s="13" t="n"/>
      <c r="E64" s="31" t="n"/>
      <c r="F64" s="31" t="n"/>
      <c r="G64" s="31">
        <f>IF(OR(E64="",F64=""),"",F64-E64)</f>
        <v/>
      </c>
      <c r="H64" s="13" t="n"/>
      <c r="I64" s="13" t="n"/>
      <c r="J64" s="13" t="n"/>
      <c r="K64" s="28" t="n"/>
      <c r="L64" s="13" t="n"/>
    </row>
    <row r="65" ht="22" customHeight="1">
      <c r="B65" s="16">
        <f>IF(C65="","IME-"&amp;TEXT(COUNTA($C$5:C65),"000"))</f>
        <v/>
      </c>
      <c r="C65" s="11" t="n"/>
      <c r="D65" s="11" t="n"/>
      <c r="E65" s="29" t="n"/>
      <c r="F65" s="29" t="n"/>
      <c r="G65" s="29">
        <f>IF(OR(E65="",F65=""),"",F65-E65)</f>
        <v/>
      </c>
      <c r="H65" s="11" t="n"/>
      <c r="I65" s="11" t="n"/>
      <c r="J65" s="11" t="n"/>
      <c r="K65" s="27" t="n"/>
      <c r="L65" s="11" t="n"/>
    </row>
    <row r="66" ht="22" customHeight="1">
      <c r="B66" s="15">
        <f>IF(C66="","IME-"&amp;TEXT(COUNTA($C$5:C66),"000"))</f>
        <v/>
      </c>
      <c r="C66" s="13" t="n"/>
      <c r="D66" s="13" t="n"/>
      <c r="E66" s="31" t="n"/>
      <c r="F66" s="31" t="n"/>
      <c r="G66" s="31">
        <f>IF(OR(E66="",F66=""),"",F66-E66)</f>
        <v/>
      </c>
      <c r="H66" s="13" t="n"/>
      <c r="I66" s="13" t="n"/>
      <c r="J66" s="13" t="n"/>
      <c r="K66" s="28" t="n"/>
      <c r="L66" s="13" t="n"/>
    </row>
    <row r="67" ht="22" customHeight="1">
      <c r="B67" s="16">
        <f>IF(C67="","IME-"&amp;TEXT(COUNTA($C$5:C67),"000"))</f>
        <v/>
      </c>
      <c r="C67" s="11" t="n"/>
      <c r="D67" s="11" t="n"/>
      <c r="E67" s="29" t="n"/>
      <c r="F67" s="29" t="n"/>
      <c r="G67" s="29">
        <f>IF(OR(E67="",F67=""),"",F67-E67)</f>
        <v/>
      </c>
      <c r="H67" s="11" t="n"/>
      <c r="I67" s="11" t="n"/>
      <c r="J67" s="11" t="n"/>
      <c r="K67" s="27" t="n"/>
      <c r="L67" s="11" t="n"/>
    </row>
    <row r="68" ht="22" customHeight="1">
      <c r="B68" s="15">
        <f>IF(C68="","IME-"&amp;TEXT(COUNTA($C$5:C68),"000"))</f>
        <v/>
      </c>
      <c r="C68" s="13" t="n"/>
      <c r="D68" s="13" t="n"/>
      <c r="E68" s="31" t="n"/>
      <c r="F68" s="31" t="n"/>
      <c r="G68" s="31">
        <f>IF(OR(E68="",F68=""),"",F68-E68)</f>
        <v/>
      </c>
      <c r="H68" s="13" t="n"/>
      <c r="I68" s="13" t="n"/>
      <c r="J68" s="13" t="n"/>
      <c r="K68" s="28" t="n"/>
      <c r="L68" s="13" t="n"/>
    </row>
    <row r="69" ht="22" customHeight="1">
      <c r="B69" s="16">
        <f>IF(C69="","IME-"&amp;TEXT(COUNTA($C$5:C69),"000"))</f>
        <v/>
      </c>
      <c r="C69" s="11" t="n"/>
      <c r="D69" s="11" t="n"/>
      <c r="E69" s="29" t="n"/>
      <c r="F69" s="29" t="n"/>
      <c r="G69" s="29">
        <f>IF(OR(E69="",F69=""),"",F69-E69)</f>
        <v/>
      </c>
      <c r="H69" s="11" t="n"/>
      <c r="I69" s="11" t="n"/>
      <c r="J69" s="11" t="n"/>
      <c r="K69" s="27" t="n"/>
      <c r="L69" s="11" t="n"/>
    </row>
    <row r="70" ht="22" customHeight="1">
      <c r="B70" s="15">
        <f>IF(C70="","IME-"&amp;TEXT(COUNTA($C$5:C70),"000"))</f>
        <v/>
      </c>
      <c r="C70" s="13" t="n"/>
      <c r="D70" s="13" t="n"/>
      <c r="E70" s="31" t="n"/>
      <c r="F70" s="31" t="n"/>
      <c r="G70" s="31">
        <f>IF(OR(E70="",F70=""),"",F70-E70)</f>
        <v/>
      </c>
      <c r="H70" s="13" t="n"/>
      <c r="I70" s="13" t="n"/>
      <c r="J70" s="13" t="n"/>
      <c r="K70" s="28" t="n"/>
      <c r="L70" s="13" t="n"/>
    </row>
    <row r="71" ht="22" customHeight="1">
      <c r="B71" s="16">
        <f>IF(C71="","IME-"&amp;TEXT(COUNTA($C$5:C71),"000"))</f>
        <v/>
      </c>
      <c r="C71" s="11" t="n"/>
      <c r="D71" s="11" t="n"/>
      <c r="E71" s="29" t="n"/>
      <c r="F71" s="29" t="n"/>
      <c r="G71" s="29">
        <f>IF(OR(E71="",F71=""),"",F71-E71)</f>
        <v/>
      </c>
      <c r="H71" s="11" t="n"/>
      <c r="I71" s="11" t="n"/>
      <c r="J71" s="11" t="n"/>
      <c r="K71" s="27" t="n"/>
      <c r="L71" s="11" t="n"/>
    </row>
    <row r="72" ht="22" customHeight="1">
      <c r="B72" s="15">
        <f>IF(C72="","IME-"&amp;TEXT(COUNTA($C$5:C72),"000"))</f>
        <v/>
      </c>
      <c r="C72" s="13" t="n"/>
      <c r="D72" s="13" t="n"/>
      <c r="E72" s="31" t="n"/>
      <c r="F72" s="31" t="n"/>
      <c r="G72" s="31">
        <f>IF(OR(E72="",F72=""),"",F72-E72)</f>
        <v/>
      </c>
      <c r="H72" s="13" t="n"/>
      <c r="I72" s="13" t="n"/>
      <c r="J72" s="13" t="n"/>
      <c r="K72" s="28" t="n"/>
      <c r="L72" s="13" t="n"/>
    </row>
    <row r="73" ht="22" customHeight="1">
      <c r="B73" s="16">
        <f>IF(C73="","IME-"&amp;TEXT(COUNTA($C$5:C73),"000"))</f>
        <v/>
      </c>
      <c r="C73" s="11" t="n"/>
      <c r="D73" s="11" t="n"/>
      <c r="E73" s="29" t="n"/>
      <c r="F73" s="29" t="n"/>
      <c r="G73" s="29">
        <f>IF(OR(E73="",F73=""),"",F73-E73)</f>
        <v/>
      </c>
      <c r="H73" s="11" t="n"/>
      <c r="I73" s="11" t="n"/>
      <c r="J73" s="11" t="n"/>
      <c r="K73" s="27" t="n"/>
      <c r="L73" s="11" t="n"/>
    </row>
    <row r="74" ht="22" customHeight="1">
      <c r="B74" s="15">
        <f>IF(C74="","IME-"&amp;TEXT(COUNTA($C$5:C74),"000"))</f>
        <v/>
      </c>
      <c r="C74" s="13" t="n"/>
      <c r="D74" s="13" t="n"/>
      <c r="E74" s="31" t="n"/>
      <c r="F74" s="31" t="n"/>
      <c r="G74" s="31">
        <f>IF(OR(E74="",F74=""),"",F74-E74)</f>
        <v/>
      </c>
      <c r="H74" s="13" t="n"/>
      <c r="I74" s="13" t="n"/>
      <c r="J74" s="13" t="n"/>
      <c r="K74" s="28" t="n"/>
      <c r="L74" s="13" t="n"/>
    </row>
    <row r="75" ht="22" customHeight="1">
      <c r="B75" s="16">
        <f>IF(C75="","IME-"&amp;TEXT(COUNTA($C$5:C75),"000"))</f>
        <v/>
      </c>
      <c r="C75" s="11" t="n"/>
      <c r="D75" s="11" t="n"/>
      <c r="E75" s="29" t="n"/>
      <c r="F75" s="29" t="n"/>
      <c r="G75" s="29">
        <f>IF(OR(E75="",F75=""),"",F75-E75)</f>
        <v/>
      </c>
      <c r="H75" s="11" t="n"/>
      <c r="I75" s="11" t="n"/>
      <c r="J75" s="11" t="n"/>
      <c r="K75" s="27" t="n"/>
      <c r="L75" s="11" t="n"/>
    </row>
    <row r="76" ht="22" customHeight="1">
      <c r="B76" s="15">
        <f>IF(C76="","IME-"&amp;TEXT(COUNTA($C$5:C76),"000"))</f>
        <v/>
      </c>
      <c r="C76" s="13" t="n"/>
      <c r="D76" s="13" t="n"/>
      <c r="E76" s="31" t="n"/>
      <c r="F76" s="31" t="n"/>
      <c r="G76" s="31">
        <f>IF(OR(E76="",F76=""),"",F76-E76)</f>
        <v/>
      </c>
      <c r="H76" s="13" t="n"/>
      <c r="I76" s="13" t="n"/>
      <c r="J76" s="13" t="n"/>
      <c r="K76" s="28" t="n"/>
      <c r="L76" s="13" t="n"/>
    </row>
    <row r="77" ht="22" customHeight="1">
      <c r="B77" s="16">
        <f>IF(C77="","IME-"&amp;TEXT(COUNTA($C$5:C77),"000"))</f>
        <v/>
      </c>
      <c r="C77" s="11" t="n"/>
      <c r="D77" s="11" t="n"/>
      <c r="E77" s="29" t="n"/>
      <c r="F77" s="29" t="n"/>
      <c r="G77" s="29">
        <f>IF(OR(E77="",F77=""),"",F77-E77)</f>
        <v/>
      </c>
      <c r="H77" s="11" t="n"/>
      <c r="I77" s="11" t="n"/>
      <c r="J77" s="11" t="n"/>
      <c r="K77" s="27" t="n"/>
      <c r="L77" s="11" t="n"/>
    </row>
    <row r="78" ht="22" customHeight="1">
      <c r="B78" s="15">
        <f>IF(C78="","IME-"&amp;TEXT(COUNTA($C$5:C78),"000"))</f>
        <v/>
      </c>
      <c r="C78" s="13" t="n"/>
      <c r="D78" s="13" t="n"/>
      <c r="E78" s="31" t="n"/>
      <c r="F78" s="31" t="n"/>
      <c r="G78" s="31">
        <f>IF(OR(E78="",F78=""),"",F78-E78)</f>
        <v/>
      </c>
      <c r="H78" s="13" t="n"/>
      <c r="I78" s="13" t="n"/>
      <c r="J78" s="13" t="n"/>
      <c r="K78" s="28" t="n"/>
      <c r="L78" s="13" t="n"/>
    </row>
    <row r="79" ht="22" customHeight="1">
      <c r="B79" s="16">
        <f>IF(C79="","IME-"&amp;TEXT(COUNTA($C$5:C79),"000"))</f>
        <v/>
      </c>
      <c r="C79" s="11" t="n"/>
      <c r="D79" s="11" t="n"/>
      <c r="E79" s="29" t="n"/>
      <c r="F79" s="29" t="n"/>
      <c r="G79" s="29">
        <f>IF(OR(E79="",F79=""),"",F79-E79)</f>
        <v/>
      </c>
      <c r="H79" s="11" t="n"/>
      <c r="I79" s="11" t="n"/>
      <c r="J79" s="11" t="n"/>
      <c r="K79" s="27" t="n"/>
      <c r="L79" s="11" t="n"/>
    </row>
    <row r="80" ht="22" customHeight="1">
      <c r="B80" s="15">
        <f>IF(C80="","IME-"&amp;TEXT(COUNTA($C$5:C80),"000"))</f>
        <v/>
      </c>
      <c r="C80" s="13" t="n"/>
      <c r="D80" s="13" t="n"/>
      <c r="E80" s="31" t="n"/>
      <c r="F80" s="31" t="n"/>
      <c r="G80" s="31">
        <f>IF(OR(E80="",F80=""),"",F80-E80)</f>
        <v/>
      </c>
      <c r="H80" s="13" t="n"/>
      <c r="I80" s="13" t="n"/>
      <c r="J80" s="13" t="n"/>
      <c r="K80" s="28" t="n"/>
      <c r="L80" s="13" t="n"/>
    </row>
    <row r="81" ht="22" customHeight="1">
      <c r="B81" s="16">
        <f>IF(C81="","IME-"&amp;TEXT(COUNTA($C$5:C81),"000"))</f>
        <v/>
      </c>
      <c r="C81" s="11" t="n"/>
      <c r="D81" s="11" t="n"/>
      <c r="E81" s="29" t="n"/>
      <c r="F81" s="29" t="n"/>
      <c r="G81" s="29">
        <f>IF(OR(E81="",F81=""),"",F81-E81)</f>
        <v/>
      </c>
      <c r="H81" s="11" t="n"/>
      <c r="I81" s="11" t="n"/>
      <c r="J81" s="11" t="n"/>
      <c r="K81" s="27" t="n"/>
      <c r="L81" s="11" t="n"/>
    </row>
    <row r="82" ht="22" customHeight="1">
      <c r="B82" s="15">
        <f>IF(C82="","IME-"&amp;TEXT(COUNTA($C$5:C82),"000"))</f>
        <v/>
      </c>
      <c r="C82" s="13" t="n"/>
      <c r="D82" s="13" t="n"/>
      <c r="E82" s="31" t="n"/>
      <c r="F82" s="31" t="n"/>
      <c r="G82" s="31">
        <f>IF(OR(E82="",F82=""),"",F82-E82)</f>
        <v/>
      </c>
      <c r="H82" s="13" t="n"/>
      <c r="I82" s="13" t="n"/>
      <c r="J82" s="13" t="n"/>
      <c r="K82" s="28" t="n"/>
      <c r="L82" s="13" t="n"/>
    </row>
    <row r="83" ht="22" customHeight="1">
      <c r="B83" s="16">
        <f>IF(C83="","IME-"&amp;TEXT(COUNTA($C$5:C83),"000"))</f>
        <v/>
      </c>
      <c r="C83" s="11" t="n"/>
      <c r="D83" s="11" t="n"/>
      <c r="E83" s="29" t="n"/>
      <c r="F83" s="29" t="n"/>
      <c r="G83" s="29">
        <f>IF(OR(E83="",F83=""),"",F83-E83)</f>
        <v/>
      </c>
      <c r="H83" s="11" t="n"/>
      <c r="I83" s="11" t="n"/>
      <c r="J83" s="11" t="n"/>
      <c r="K83" s="27" t="n"/>
      <c r="L83" s="11" t="n"/>
    </row>
    <row r="84" ht="22" customHeight="1">
      <c r="B84" s="15">
        <f>IF(C84="","IME-"&amp;TEXT(COUNTA($C$5:C84),"000"))</f>
        <v/>
      </c>
      <c r="C84" s="13" t="n"/>
      <c r="D84" s="13" t="n"/>
      <c r="E84" s="31" t="n"/>
      <c r="F84" s="31" t="n"/>
      <c r="G84" s="31">
        <f>IF(OR(E84="",F84=""),"",F84-E84)</f>
        <v/>
      </c>
      <c r="H84" s="13" t="n"/>
      <c r="I84" s="13" t="n"/>
      <c r="J84" s="13" t="n"/>
      <c r="K84" s="28" t="n"/>
      <c r="L84" s="13" t="n"/>
    </row>
    <row r="85" ht="22" customHeight="1">
      <c r="B85" s="16">
        <f>IF(C85="","IME-"&amp;TEXT(COUNTA($C$5:C85),"000"))</f>
        <v/>
      </c>
      <c r="C85" s="11" t="n"/>
      <c r="D85" s="11" t="n"/>
      <c r="E85" s="29" t="n"/>
      <c r="F85" s="29" t="n"/>
      <c r="G85" s="29">
        <f>IF(OR(E85="",F85=""),"",F85-E85)</f>
        <v/>
      </c>
      <c r="H85" s="11" t="n"/>
      <c r="I85" s="11" t="n"/>
      <c r="J85" s="11" t="n"/>
      <c r="K85" s="27" t="n"/>
      <c r="L85" s="11" t="n"/>
    </row>
    <row r="86" ht="22" customHeight="1">
      <c r="B86" s="15">
        <f>IF(C86="","IME-"&amp;TEXT(COUNTA($C$5:C86),"000"))</f>
        <v/>
      </c>
      <c r="C86" s="13" t="n"/>
      <c r="D86" s="13" t="n"/>
      <c r="E86" s="31" t="n"/>
      <c r="F86" s="31" t="n"/>
      <c r="G86" s="31">
        <f>IF(OR(E86="",F86=""),"",F86-E86)</f>
        <v/>
      </c>
      <c r="H86" s="13" t="n"/>
      <c r="I86" s="13" t="n"/>
      <c r="J86" s="13" t="n"/>
      <c r="K86" s="28" t="n"/>
      <c r="L86" s="13" t="n"/>
    </row>
    <row r="87" ht="22" customHeight="1">
      <c r="B87" s="16">
        <f>IF(C87="","IME-"&amp;TEXT(COUNTA($C$5:C87),"000"))</f>
        <v/>
      </c>
      <c r="C87" s="11" t="n"/>
      <c r="D87" s="11" t="n"/>
      <c r="E87" s="29" t="n"/>
      <c r="F87" s="29" t="n"/>
      <c r="G87" s="29">
        <f>IF(OR(E87="",F87=""),"",F87-E87)</f>
        <v/>
      </c>
      <c r="H87" s="11" t="n"/>
      <c r="I87" s="11" t="n"/>
      <c r="J87" s="11" t="n"/>
      <c r="K87" s="27" t="n"/>
      <c r="L87" s="11" t="n"/>
    </row>
    <row r="88" ht="22" customHeight="1">
      <c r="B88" s="15">
        <f>IF(C88="","IME-"&amp;TEXT(COUNTA($C$5:C88),"000"))</f>
        <v/>
      </c>
      <c r="C88" s="13" t="n"/>
      <c r="D88" s="13" t="n"/>
      <c r="E88" s="31" t="n"/>
      <c r="F88" s="31" t="n"/>
      <c r="G88" s="31">
        <f>IF(OR(E88="",F88=""),"",F88-E88)</f>
        <v/>
      </c>
      <c r="H88" s="13" t="n"/>
      <c r="I88" s="13" t="n"/>
      <c r="J88" s="13" t="n"/>
      <c r="K88" s="28" t="n"/>
      <c r="L88" s="13" t="n"/>
    </row>
    <row r="89" ht="22" customHeight="1">
      <c r="B89" s="16">
        <f>IF(C89="","IME-"&amp;TEXT(COUNTA($C$5:C89),"000"))</f>
        <v/>
      </c>
      <c r="C89" s="11" t="n"/>
      <c r="D89" s="11" t="n"/>
      <c r="E89" s="29" t="n"/>
      <c r="F89" s="29" t="n"/>
      <c r="G89" s="29">
        <f>IF(OR(E89="",F89=""),"",F89-E89)</f>
        <v/>
      </c>
      <c r="H89" s="11" t="n"/>
      <c r="I89" s="11" t="n"/>
      <c r="J89" s="11" t="n"/>
      <c r="K89" s="27" t="n"/>
      <c r="L89" s="11" t="n"/>
    </row>
    <row r="90" ht="22" customHeight="1">
      <c r="B90" s="15">
        <f>IF(C90="","IME-"&amp;TEXT(COUNTA($C$5:C90),"000"))</f>
        <v/>
      </c>
      <c r="C90" s="13" t="n"/>
      <c r="D90" s="13" t="n"/>
      <c r="E90" s="31" t="n"/>
      <c r="F90" s="31" t="n"/>
      <c r="G90" s="31">
        <f>IF(OR(E90="",F90=""),"",F90-E90)</f>
        <v/>
      </c>
      <c r="H90" s="13" t="n"/>
      <c r="I90" s="13" t="n"/>
      <c r="J90" s="13" t="n"/>
      <c r="K90" s="28" t="n"/>
      <c r="L90" s="13" t="n"/>
    </row>
    <row r="91" ht="22" customHeight="1">
      <c r="B91" s="16">
        <f>IF(C91="","IME-"&amp;TEXT(COUNTA($C$5:C91),"000"))</f>
        <v/>
      </c>
      <c r="C91" s="11" t="n"/>
      <c r="D91" s="11" t="n"/>
      <c r="E91" s="29" t="n"/>
      <c r="F91" s="29" t="n"/>
      <c r="G91" s="29">
        <f>IF(OR(E91="",F91=""),"",F91-E91)</f>
        <v/>
      </c>
      <c r="H91" s="11" t="n"/>
      <c r="I91" s="11" t="n"/>
      <c r="J91" s="11" t="n"/>
      <c r="K91" s="27" t="n"/>
      <c r="L91" s="11" t="n"/>
    </row>
    <row r="92" ht="22" customHeight="1">
      <c r="B92" s="15">
        <f>IF(C92="","IME-"&amp;TEXT(COUNTA($C$5:C92),"000"))</f>
        <v/>
      </c>
      <c r="C92" s="13" t="n"/>
      <c r="D92" s="13" t="n"/>
      <c r="E92" s="31" t="n"/>
      <c r="F92" s="31" t="n"/>
      <c r="G92" s="31">
        <f>IF(OR(E92="",F92=""),"",F92-E92)</f>
        <v/>
      </c>
      <c r="H92" s="13" t="n"/>
      <c r="I92" s="13" t="n"/>
      <c r="J92" s="13" t="n"/>
      <c r="K92" s="28" t="n"/>
      <c r="L92" s="13" t="n"/>
    </row>
    <row r="93" ht="22" customHeight="1">
      <c r="B93" s="16">
        <f>IF(C93="","IME-"&amp;TEXT(COUNTA($C$5:C93),"000"))</f>
        <v/>
      </c>
      <c r="C93" s="11" t="n"/>
      <c r="D93" s="11" t="n"/>
      <c r="E93" s="29" t="n"/>
      <c r="F93" s="29" t="n"/>
      <c r="G93" s="29">
        <f>IF(OR(E93="",F93=""),"",F93-E93)</f>
        <v/>
      </c>
      <c r="H93" s="11" t="n"/>
      <c r="I93" s="11" t="n"/>
      <c r="J93" s="11" t="n"/>
      <c r="K93" s="27" t="n"/>
      <c r="L93" s="11" t="n"/>
    </row>
    <row r="94" ht="22" customHeight="1">
      <c r="B94" s="15">
        <f>IF(C94="","IME-"&amp;TEXT(COUNTA($C$5:C94),"000"))</f>
        <v/>
      </c>
      <c r="C94" s="13" t="n"/>
      <c r="D94" s="13" t="n"/>
      <c r="E94" s="31" t="n"/>
      <c r="F94" s="31" t="n"/>
      <c r="G94" s="31">
        <f>IF(OR(E94="",F94=""),"",F94-E94)</f>
        <v/>
      </c>
      <c r="H94" s="13" t="n"/>
      <c r="I94" s="13" t="n"/>
      <c r="J94" s="13" t="n"/>
      <c r="K94" s="28" t="n"/>
      <c r="L94" s="13" t="n"/>
    </row>
    <row r="95" ht="22" customHeight="1">
      <c r="B95" s="16">
        <f>IF(C95="","IME-"&amp;TEXT(COUNTA($C$5:C95),"000"))</f>
        <v/>
      </c>
      <c r="C95" s="11" t="n"/>
      <c r="D95" s="11" t="n"/>
      <c r="E95" s="29" t="n"/>
      <c r="F95" s="29" t="n"/>
      <c r="G95" s="29">
        <f>IF(OR(E95="",F95=""),"",F95-E95)</f>
        <v/>
      </c>
      <c r="H95" s="11" t="n"/>
      <c r="I95" s="11" t="n"/>
      <c r="J95" s="11" t="n"/>
      <c r="K95" s="27" t="n"/>
      <c r="L95" s="11" t="n"/>
    </row>
    <row r="96" ht="22" customHeight="1">
      <c r="B96" s="15">
        <f>IF(C96="","IME-"&amp;TEXT(COUNTA($C$5:C96),"000"))</f>
        <v/>
      </c>
      <c r="C96" s="13" t="n"/>
      <c r="D96" s="13" t="n"/>
      <c r="E96" s="31" t="n"/>
      <c r="F96" s="31" t="n"/>
      <c r="G96" s="31">
        <f>IF(OR(E96="",F96=""),"",F96-E96)</f>
        <v/>
      </c>
      <c r="H96" s="13" t="n"/>
      <c r="I96" s="13" t="n"/>
      <c r="J96" s="13" t="n"/>
      <c r="K96" s="28" t="n"/>
      <c r="L96" s="13" t="n"/>
    </row>
    <row r="97" ht="22" customHeight="1">
      <c r="B97" s="16">
        <f>IF(C97="","IME-"&amp;TEXT(COUNTA($C$5:C97),"000"))</f>
        <v/>
      </c>
      <c r="C97" s="11" t="n"/>
      <c r="D97" s="11" t="n"/>
      <c r="E97" s="29" t="n"/>
      <c r="F97" s="29" t="n"/>
      <c r="G97" s="29">
        <f>IF(OR(E97="",F97=""),"",F97-E97)</f>
        <v/>
      </c>
      <c r="H97" s="11" t="n"/>
      <c r="I97" s="11" t="n"/>
      <c r="J97" s="11" t="n"/>
      <c r="K97" s="27" t="n"/>
      <c r="L97" s="11" t="n"/>
    </row>
    <row r="98" ht="22" customHeight="1">
      <c r="B98" s="15">
        <f>IF(C98="","IME-"&amp;TEXT(COUNTA($C$5:C98),"000"))</f>
        <v/>
      </c>
      <c r="C98" s="13" t="n"/>
      <c r="D98" s="13" t="n"/>
      <c r="E98" s="31" t="n"/>
      <c r="F98" s="31" t="n"/>
      <c r="G98" s="31">
        <f>IF(OR(E98="",F98=""),"",F98-E98)</f>
        <v/>
      </c>
      <c r="H98" s="13" t="n"/>
      <c r="I98" s="13" t="n"/>
      <c r="J98" s="13" t="n"/>
      <c r="K98" s="28" t="n"/>
      <c r="L98" s="13" t="n"/>
    </row>
    <row r="99" ht="22" customHeight="1">
      <c r="B99" s="16">
        <f>IF(C99="","IME-"&amp;TEXT(COUNTA($C$5:C99),"000"))</f>
        <v/>
      </c>
      <c r="C99" s="11" t="n"/>
      <c r="D99" s="11" t="n"/>
      <c r="E99" s="29" t="n"/>
      <c r="F99" s="29" t="n"/>
      <c r="G99" s="29">
        <f>IF(OR(E99="",F99=""),"",F99-E99)</f>
        <v/>
      </c>
      <c r="H99" s="11" t="n"/>
      <c r="I99" s="11" t="n"/>
      <c r="J99" s="11" t="n"/>
      <c r="K99" s="27" t="n"/>
      <c r="L99" s="11" t="n"/>
    </row>
    <row r="100" ht="22" customHeight="1">
      <c r="B100" s="15">
        <f>IF(C100="","IME-"&amp;TEXT(COUNTA($C$5:C100),"000"))</f>
        <v/>
      </c>
      <c r="C100" s="13" t="n"/>
      <c r="D100" s="13" t="n"/>
      <c r="E100" s="31" t="n"/>
      <c r="F100" s="31" t="n"/>
      <c r="G100" s="31">
        <f>IF(OR(E100="",F100=""),"",F100-E100)</f>
        <v/>
      </c>
      <c r="H100" s="13" t="n"/>
      <c r="I100" s="13" t="n"/>
      <c r="J100" s="13" t="n"/>
      <c r="K100" s="28" t="n"/>
      <c r="L100" s="13" t="n"/>
    </row>
    <row r="101" ht="22" customHeight="1">
      <c r="B101" s="16">
        <f>IF(C101="","IME-"&amp;TEXT(COUNTA($C$5:C101),"000"))</f>
        <v/>
      </c>
      <c r="C101" s="11" t="n"/>
      <c r="D101" s="11" t="n"/>
      <c r="E101" s="29" t="n"/>
      <c r="F101" s="29" t="n"/>
      <c r="G101" s="29">
        <f>IF(OR(E101="",F101=""),"",F101-E101)</f>
        <v/>
      </c>
      <c r="H101" s="11" t="n"/>
      <c r="I101" s="11" t="n"/>
      <c r="J101" s="11" t="n"/>
      <c r="K101" s="27" t="n"/>
      <c r="L101" s="11" t="n"/>
    </row>
    <row r="102" ht="22" customHeight="1">
      <c r="B102" s="15">
        <f>IF(C102="","IME-"&amp;TEXT(COUNTA($C$5:C102),"000"))</f>
        <v/>
      </c>
      <c r="C102" s="13" t="n"/>
      <c r="D102" s="13" t="n"/>
      <c r="E102" s="31" t="n"/>
      <c r="F102" s="31" t="n"/>
      <c r="G102" s="31">
        <f>IF(OR(E102="",F102=""),"",F102-E102)</f>
        <v/>
      </c>
      <c r="H102" s="13" t="n"/>
      <c r="I102" s="13" t="n"/>
      <c r="J102" s="13" t="n"/>
      <c r="K102" s="28" t="n"/>
      <c r="L102" s="13" t="n"/>
    </row>
    <row r="103" ht="22" customHeight="1">
      <c r="B103" s="16">
        <f>IF(C103="","IME-"&amp;TEXT(COUNTA($C$5:C103),"000"))</f>
        <v/>
      </c>
      <c r="C103" s="11" t="n"/>
      <c r="D103" s="11" t="n"/>
      <c r="E103" s="29" t="n"/>
      <c r="F103" s="29" t="n"/>
      <c r="G103" s="29">
        <f>IF(OR(E103="",F103=""),"",F103-E103)</f>
        <v/>
      </c>
      <c r="H103" s="11" t="n"/>
      <c r="I103" s="11" t="n"/>
      <c r="J103" s="11" t="n"/>
      <c r="K103" s="27" t="n"/>
      <c r="L103" s="11" t="n"/>
    </row>
    <row r="104" ht="22" customHeight="1">
      <c r="B104" s="15">
        <f>IF(C104="","IME-"&amp;TEXT(COUNTA($C$5:C104),"000"))</f>
        <v/>
      </c>
      <c r="C104" s="13" t="n"/>
      <c r="D104" s="13" t="n"/>
      <c r="E104" s="31" t="n"/>
      <c r="F104" s="31" t="n"/>
      <c r="G104" s="31">
        <f>IF(OR(E104="",F104=""),"",F104-E104)</f>
        <v/>
      </c>
      <c r="H104" s="13" t="n"/>
      <c r="I104" s="13" t="n"/>
      <c r="J104" s="13" t="n"/>
      <c r="K104" s="28" t="n"/>
      <c r="L104" s="13" t="n"/>
    </row>
    <row r="105" ht="22" customHeight="1">
      <c r="B105" s="16">
        <f>IF(C105="","IME-"&amp;TEXT(COUNTA($C$5:C105),"000"))</f>
        <v/>
      </c>
      <c r="C105" s="11" t="n"/>
      <c r="D105" s="11" t="n"/>
      <c r="E105" s="29" t="n"/>
      <c r="F105" s="29" t="n"/>
      <c r="G105" s="29">
        <f>IF(OR(E105="",F105=""),"",F105-E105)</f>
        <v/>
      </c>
      <c r="H105" s="11" t="n"/>
      <c r="I105" s="11" t="n"/>
      <c r="J105" s="11" t="n"/>
      <c r="K105" s="27" t="n"/>
      <c r="L105" s="11" t="n"/>
    </row>
    <row r="106" ht="22" customHeight="1">
      <c r="B106" s="15">
        <f>IF(C106="","IME-"&amp;TEXT(COUNTA($C$5:C106),"000"))</f>
        <v/>
      </c>
      <c r="C106" s="13" t="n"/>
      <c r="D106" s="13" t="n"/>
      <c r="E106" s="31" t="n"/>
      <c r="F106" s="31" t="n"/>
      <c r="G106" s="31">
        <f>IF(OR(E106="",F106=""),"",F106-E106)</f>
        <v/>
      </c>
      <c r="H106" s="13" t="n"/>
      <c r="I106" s="13" t="n"/>
      <c r="J106" s="13" t="n"/>
      <c r="K106" s="28" t="n"/>
      <c r="L106" s="13" t="n"/>
    </row>
    <row r="107" ht="22" customHeight="1">
      <c r="B107" s="16">
        <f>IF(C107="","IME-"&amp;TEXT(COUNTA($C$5:C107),"000"))</f>
        <v/>
      </c>
      <c r="C107" s="11" t="n"/>
      <c r="D107" s="11" t="n"/>
      <c r="E107" s="29" t="n"/>
      <c r="F107" s="29" t="n"/>
      <c r="G107" s="29">
        <f>IF(OR(E107="",F107=""),"",F107-E107)</f>
        <v/>
      </c>
      <c r="H107" s="11" t="n"/>
      <c r="I107" s="11" t="n"/>
      <c r="J107" s="11" t="n"/>
      <c r="K107" s="27" t="n"/>
      <c r="L107" s="11" t="n"/>
    </row>
    <row r="108" ht="22" customHeight="1">
      <c r="B108" s="15">
        <f>IF(C108="","IME-"&amp;TEXT(COUNTA($C$5:C108),"000"))</f>
        <v/>
      </c>
      <c r="C108" s="13" t="n"/>
      <c r="D108" s="13" t="n"/>
      <c r="E108" s="31" t="n"/>
      <c r="F108" s="31" t="n"/>
      <c r="G108" s="31">
        <f>IF(OR(E108="",F108=""),"",F108-E108)</f>
        <v/>
      </c>
      <c r="H108" s="13" t="n"/>
      <c r="I108" s="13" t="n"/>
      <c r="J108" s="13" t="n"/>
      <c r="K108" s="28" t="n"/>
      <c r="L108" s="13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Indicateurs suivis</t>
        </is>
      </c>
      <c r="D111" s="3" t="inlineStr">
        <is>
          <t>Objectifs atteints</t>
        </is>
      </c>
      <c r="F111" s="3" t="inlineStr">
        <is>
          <t>Sous objectif</t>
        </is>
      </c>
    </row>
    <row r="112">
      <c r="B112" s="4">
        <f>COUNTIF(B5:B104,"&lt;&gt;")</f>
        <v/>
      </c>
      <c r="D112" s="4">
        <f>COUNTIF(G5:G104,"&gt;="&amp;0)</f>
        <v/>
      </c>
      <c r="F112" s="4">
        <f>COUNTIF(G5:G104,"&lt;"&amp;0)</f>
        <v/>
      </c>
    </row>
  </sheetData>
  <mergeCells count="3">
    <mergeCell ref="B2:L2"/>
    <mergeCell ref="B110:L110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9:B108">
    <cfRule type="expression" priority="230" dxfId="3">
      <formula>AND($C9="",$C8&lt;&gt;"")</formula>
    </cfRule>
  </conditionalFormatting>
  <conditionalFormatting sqref="C9:C108">
    <cfRule type="expression" priority="231" dxfId="3">
      <formula>AND($C9="",$C8&lt;&gt;"")</formula>
    </cfRule>
  </conditionalFormatting>
  <conditionalFormatting sqref="D9:D108">
    <cfRule type="expression" priority="232" dxfId="3">
      <formula>AND($C9="",$C8&lt;&gt;"")</formula>
    </cfRule>
  </conditionalFormatting>
  <conditionalFormatting sqref="E9:E108">
    <cfRule type="expression" priority="233" dxfId="3">
      <formula>AND($C9="",$C8&lt;&gt;"")</formula>
    </cfRule>
  </conditionalFormatting>
  <conditionalFormatting sqref="F9:F108">
    <cfRule type="expression" priority="234" dxfId="3">
      <formula>AND($C9="",$C8&lt;&gt;"")</formula>
    </cfRule>
  </conditionalFormatting>
  <conditionalFormatting sqref="G9:G108">
    <cfRule type="expression" priority="235" dxfId="3">
      <formula>AND($C9="",$C8&lt;&gt;"")</formula>
    </cfRule>
  </conditionalFormatting>
  <conditionalFormatting sqref="H9:H108">
    <cfRule type="expression" priority="236" dxfId="3">
      <formula>AND($C9="",$C8&lt;&gt;"")</formula>
    </cfRule>
  </conditionalFormatting>
  <conditionalFormatting sqref="I9:I108">
    <cfRule type="expression" priority="237" dxfId="3">
      <formula>AND($C9="",$C8&lt;&gt;"")</formula>
    </cfRule>
  </conditionalFormatting>
  <conditionalFormatting sqref="J9:J108">
    <cfRule type="expression" priority="238" dxfId="3">
      <formula>AND($C9="",$C8&lt;&gt;"")</formula>
    </cfRule>
  </conditionalFormatting>
  <conditionalFormatting sqref="K9:K108">
    <cfRule type="expression" priority="239" dxfId="3">
      <formula>AND($C9="",$C8&lt;&gt;"")</formula>
    </cfRule>
  </conditionalFormatting>
  <conditionalFormatting sqref="L9:L108">
    <cfRule type="expression" priority="240" dxfId="3">
      <formula>AND($C9="",$C8&lt;&gt;"")</formula>
    </cfRule>
  </conditionalFormatting>
  <dataValidations count="2">
    <dataValidation sqref="H5:H108" showDropDown="0" showInputMessage="0" showErrorMessage="0" allowBlank="1" errorTitle="Erreur" error="Valeur invalide" promptTitle="Liste" prompt="Choisir dans la liste" type="list">
      <formula1>'_Lists'!$T$2:$T$6</formula1>
    </dataValidation>
    <dataValidation sqref="L5:L108" showDropDown="0" showInputMessage="0" showErrorMessage="0" allowBlank="1" errorTitle="Erreur" error="Valeur invalide" promptTitle="Liste" prompt="Choisir dans la liste" type="list">
      <formula1>'_Lists'!$F$2:$F$6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6" customWidth="1" min="4" max="4"/>
    <col width="18" customWidth="1" min="5" max="5"/>
    <col width="14" customWidth="1" min="6" max="6"/>
    <col width="14" customWidth="1" min="7" max="7"/>
    <col width="24" customWidth="1" min="8" max="8"/>
    <col width="22" customWidth="1" min="9" max="9"/>
    <col width="18" customWidth="1" min="10" max="10"/>
    <col width="22" customWidth="1" min="11" max="11"/>
    <col width="16" customWidth="1" min="12" max="12"/>
    <col width="16" customWidth="1" min="13" max="13"/>
  </cols>
  <sheetData>
    <row r="1" ht="15" customHeight="1"/>
    <row r="2" ht="32" customHeight="1">
      <c r="B2" s="1" t="inlineStr">
        <is>
          <t>SUIVI CAMPAGNES COMMUNICATION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Campagne</t>
        </is>
      </c>
      <c r="D4" s="10" t="inlineStr">
        <is>
          <t>Objectif</t>
        </is>
      </c>
      <c r="E4" s="10" t="inlineStr">
        <is>
          <t>Canal</t>
        </is>
      </c>
      <c r="F4" s="10" t="inlineStr">
        <is>
          <t>Date Lancement</t>
        </is>
      </c>
      <c r="G4" s="10" t="inlineStr">
        <is>
          <t>Date Fin</t>
        </is>
      </c>
      <c r="H4" s="10" t="inlineStr">
        <is>
          <t>Public Cible</t>
        </is>
      </c>
      <c r="I4" s="10" t="inlineStr">
        <is>
          <t>Portee (nb personnes)</t>
        </is>
      </c>
      <c r="J4" s="10" t="inlineStr">
        <is>
          <t>Nb Interactions</t>
        </is>
      </c>
      <c r="K4" s="10" t="inlineStr">
        <is>
          <t>Taux Conversion (%)</t>
        </is>
      </c>
      <c r="L4" s="10" t="inlineStr">
        <is>
          <t>Cout (FCFA)</t>
        </is>
      </c>
      <c r="M4" s="10" t="inlineStr">
        <is>
          <t>ROI Estime (%)</t>
        </is>
      </c>
    </row>
    <row r="5" ht="22" customHeight="1">
      <c r="B5" s="11" t="inlineStr">
        <is>
          <t>SCC-001</t>
        </is>
      </c>
      <c r="C5" s="11" t="inlineStr">
        <is>
          <t>Recrutement saison ete</t>
        </is>
      </c>
      <c r="D5" s="11" t="inlineStr">
        <is>
          <t>20 recrutements CDD</t>
        </is>
      </c>
      <c r="E5" s="11" t="inlineStr">
        <is>
          <t>Multi-canal</t>
        </is>
      </c>
      <c r="F5" s="27" t="n">
        <v>45717</v>
      </c>
      <c r="G5" s="27" t="n">
        <v>45777</v>
      </c>
      <c r="H5" s="11" t="inlineStr">
        <is>
          <t>Etudiants, jeunes actifs</t>
        </is>
      </c>
      <c r="I5" s="17" t="n">
        <v>5000</v>
      </c>
      <c r="J5" s="17" t="n">
        <v>320</v>
      </c>
      <c r="K5" s="29" t="n"/>
      <c r="L5" s="17" t="n">
        <v>800000</v>
      </c>
      <c r="M5" s="29" t="n"/>
    </row>
    <row r="6" ht="22" customHeight="1">
      <c r="B6" s="13" t="inlineStr">
        <is>
          <t>SCC-002</t>
        </is>
      </c>
      <c r="C6" s="13" t="inlineStr">
        <is>
          <t>Promotion offres CDI</t>
        </is>
      </c>
      <c r="D6" s="13" t="inlineStr">
        <is>
          <t>10 recrutements CDI</t>
        </is>
      </c>
      <c r="E6" s="13" t="inlineStr">
        <is>
          <t>LinkedIn</t>
        </is>
      </c>
      <c r="F6" s="28" t="n">
        <v>45703</v>
      </c>
      <c r="G6" s="28" t="n">
        <v>45747</v>
      </c>
      <c r="H6" s="13" t="inlineStr">
        <is>
          <t>Professionnels hotel</t>
        </is>
      </c>
      <c r="I6" s="18" t="n">
        <v>8000</v>
      </c>
      <c r="J6" s="18" t="n">
        <v>450</v>
      </c>
      <c r="K6" s="31" t="n"/>
      <c r="L6" s="18" t="n">
        <v>600000</v>
      </c>
      <c r="M6" s="31" t="n"/>
    </row>
    <row r="7" ht="22" customHeight="1">
      <c r="B7" s="11" t="inlineStr">
        <is>
          <t>SCC-003</t>
        </is>
      </c>
      <c r="C7" s="11" t="inlineStr">
        <is>
          <t>Image employeur</t>
        </is>
      </c>
      <c r="D7" s="11" t="inlineStr">
        <is>
          <t>Augmenter eNPS de 10 pts</t>
        </is>
      </c>
      <c r="E7" s="11" t="inlineStr">
        <is>
          <t>Reseaux sociaux</t>
        </is>
      </c>
      <c r="F7" s="27" t="n">
        <v>45658</v>
      </c>
      <c r="G7" s="27" t="n">
        <v>45838</v>
      </c>
      <c r="H7" s="11" t="inlineStr">
        <is>
          <t>Grand public</t>
        </is>
      </c>
      <c r="I7" s="17" t="n">
        <v>15000</v>
      </c>
      <c r="J7" s="17" t="n">
        <v>2800</v>
      </c>
      <c r="K7" s="29" t="n"/>
      <c r="L7" s="17" t="n">
        <v>1200000</v>
      </c>
      <c r="M7" s="29" t="n"/>
    </row>
    <row r="8" ht="22" customHeight="1">
      <c r="B8" s="15">
        <f>IF(C8="","SCC-"&amp;TEXT(COUNTA($C$5:C8),"000"))</f>
        <v/>
      </c>
      <c r="C8" s="13" t="n"/>
      <c r="D8" s="13" t="n"/>
      <c r="E8" s="13" t="n"/>
      <c r="F8" s="28" t="n"/>
      <c r="G8" s="28" t="n"/>
      <c r="H8" s="13" t="n"/>
      <c r="I8" s="18" t="n"/>
      <c r="J8" s="18" t="n"/>
      <c r="K8" s="31">
        <f>IF(I8="","",J8/I8)</f>
        <v/>
      </c>
      <c r="L8" s="18" t="n"/>
      <c r="M8" s="31">
        <f>IF(OR(J8="",L8=""),"",(J8*50000-L8)/L8)</f>
        <v/>
      </c>
    </row>
    <row r="9" ht="22" customHeight="1">
      <c r="B9" s="16">
        <f>IF(C9="","SCC-"&amp;TEXT(COUNTA($C$5:C9),"000"))</f>
        <v/>
      </c>
      <c r="C9" s="11" t="n"/>
      <c r="D9" s="11" t="n"/>
      <c r="E9" s="11" t="n"/>
      <c r="F9" s="27" t="n"/>
      <c r="G9" s="27" t="n"/>
      <c r="H9" s="11" t="n"/>
      <c r="I9" s="17" t="n"/>
      <c r="J9" s="17" t="n"/>
      <c r="K9" s="29">
        <f>IF(I9="","",J9/I9)</f>
        <v/>
      </c>
      <c r="L9" s="17" t="n"/>
      <c r="M9" s="29">
        <f>IF(OR(J9="",L9=""),"",(J9*50000-L9)/L9)</f>
        <v/>
      </c>
    </row>
    <row r="10" ht="22" customHeight="1">
      <c r="B10" s="15">
        <f>IF(C10="","SCC-"&amp;TEXT(COUNTA($C$5:C10),"000"))</f>
        <v/>
      </c>
      <c r="C10" s="13" t="n"/>
      <c r="D10" s="13" t="n"/>
      <c r="E10" s="13" t="n"/>
      <c r="F10" s="28" t="n"/>
      <c r="G10" s="28" t="n"/>
      <c r="H10" s="13" t="n"/>
      <c r="I10" s="18" t="n"/>
      <c r="J10" s="18" t="n"/>
      <c r="K10" s="31">
        <f>IF(I10="","",J10/I10)</f>
        <v/>
      </c>
      <c r="L10" s="18" t="n"/>
      <c r="M10" s="31">
        <f>IF(OR(J10="",L10=""),"",(J10*50000-L10)/L10)</f>
        <v/>
      </c>
    </row>
    <row r="11" ht="22" customHeight="1">
      <c r="B11" s="16">
        <f>IF(C11="","SCC-"&amp;TEXT(COUNTA($C$5:C11),"000"))</f>
        <v/>
      </c>
      <c r="C11" s="11" t="n"/>
      <c r="D11" s="11" t="n"/>
      <c r="E11" s="11" t="n"/>
      <c r="F11" s="27" t="n"/>
      <c r="G11" s="27" t="n"/>
      <c r="H11" s="11" t="n"/>
      <c r="I11" s="17" t="n"/>
      <c r="J11" s="17" t="n"/>
      <c r="K11" s="29">
        <f>IF(I11="","",J11/I11)</f>
        <v/>
      </c>
      <c r="L11" s="17" t="n"/>
      <c r="M11" s="29">
        <f>IF(OR(J11="",L11=""),"",(J11*50000-L11)/L11)</f>
        <v/>
      </c>
    </row>
    <row r="12" ht="22" customHeight="1">
      <c r="B12" s="15">
        <f>IF(C12="","SCC-"&amp;TEXT(COUNTA($C$5:C12),"000"))</f>
        <v/>
      </c>
      <c r="C12" s="13" t="n"/>
      <c r="D12" s="13" t="n"/>
      <c r="E12" s="13" t="n"/>
      <c r="F12" s="28" t="n"/>
      <c r="G12" s="28" t="n"/>
      <c r="H12" s="13" t="n"/>
      <c r="I12" s="18" t="n"/>
      <c r="J12" s="18" t="n"/>
      <c r="K12" s="31">
        <f>IF(I12="","",J12/I12)</f>
        <v/>
      </c>
      <c r="L12" s="18" t="n"/>
      <c r="M12" s="31">
        <f>IF(OR(J12="",L12=""),"",(J12*50000-L12)/L12)</f>
        <v/>
      </c>
    </row>
    <row r="13" ht="22" customHeight="1">
      <c r="B13" s="16">
        <f>IF(C13="","SCC-"&amp;TEXT(COUNTA($C$5:C13),"000"))</f>
        <v/>
      </c>
      <c r="C13" s="11" t="n"/>
      <c r="D13" s="11" t="n"/>
      <c r="E13" s="11" t="n"/>
      <c r="F13" s="27" t="n"/>
      <c r="G13" s="27" t="n"/>
      <c r="H13" s="11" t="n"/>
      <c r="I13" s="17" t="n"/>
      <c r="J13" s="17" t="n"/>
      <c r="K13" s="29">
        <f>IF(I13="","",J13/I13)</f>
        <v/>
      </c>
      <c r="L13" s="17" t="n"/>
      <c r="M13" s="29">
        <f>IF(OR(J13="",L13=""),"",(J13*50000-L13)/L13)</f>
        <v/>
      </c>
    </row>
    <row r="14" ht="22" customHeight="1">
      <c r="B14" s="15">
        <f>IF(C14="","SCC-"&amp;TEXT(COUNTA($C$5:C14),"000"))</f>
        <v/>
      </c>
      <c r="C14" s="13" t="n"/>
      <c r="D14" s="13" t="n"/>
      <c r="E14" s="13" t="n"/>
      <c r="F14" s="28" t="n"/>
      <c r="G14" s="28" t="n"/>
      <c r="H14" s="13" t="n"/>
      <c r="I14" s="18" t="n"/>
      <c r="J14" s="18" t="n"/>
      <c r="K14" s="31">
        <f>IF(I14="","",J14/I14)</f>
        <v/>
      </c>
      <c r="L14" s="18" t="n"/>
      <c r="M14" s="31">
        <f>IF(OR(J14="",L14=""),"",(J14*50000-L14)/L14)</f>
        <v/>
      </c>
    </row>
    <row r="15" ht="22" customHeight="1">
      <c r="B15" s="16">
        <f>IF(C15="","SCC-"&amp;TEXT(COUNTA($C$5:C15),"000"))</f>
        <v/>
      </c>
      <c r="C15" s="11" t="n"/>
      <c r="D15" s="11" t="n"/>
      <c r="E15" s="11" t="n"/>
      <c r="F15" s="27" t="n"/>
      <c r="G15" s="27" t="n"/>
      <c r="H15" s="11" t="n"/>
      <c r="I15" s="17" t="n"/>
      <c r="J15" s="17" t="n"/>
      <c r="K15" s="29">
        <f>IF(I15="","",J15/I15)</f>
        <v/>
      </c>
      <c r="L15" s="17" t="n"/>
      <c r="M15" s="29">
        <f>IF(OR(J15="",L15=""),"",(J15*50000-L15)/L15)</f>
        <v/>
      </c>
    </row>
    <row r="16" ht="22" customHeight="1">
      <c r="B16" s="15">
        <f>IF(C16="","SCC-"&amp;TEXT(COUNTA($C$5:C16),"000"))</f>
        <v/>
      </c>
      <c r="C16" s="13" t="n"/>
      <c r="D16" s="13" t="n"/>
      <c r="E16" s="13" t="n"/>
      <c r="F16" s="28" t="n"/>
      <c r="G16" s="28" t="n"/>
      <c r="H16" s="13" t="n"/>
      <c r="I16" s="18" t="n"/>
      <c r="J16" s="18" t="n"/>
      <c r="K16" s="31">
        <f>IF(I16="","",J16/I16)</f>
        <v/>
      </c>
      <c r="L16" s="18" t="n"/>
      <c r="M16" s="31">
        <f>IF(OR(J16="",L16=""),"",(J16*50000-L16)/L16)</f>
        <v/>
      </c>
    </row>
    <row r="17" ht="22" customHeight="1">
      <c r="B17" s="16">
        <f>IF(C17="","SCC-"&amp;TEXT(COUNTA($C$5:C17),"000"))</f>
        <v/>
      </c>
      <c r="C17" s="11" t="n"/>
      <c r="D17" s="11" t="n"/>
      <c r="E17" s="11" t="n"/>
      <c r="F17" s="27" t="n"/>
      <c r="G17" s="27" t="n"/>
      <c r="H17" s="11" t="n"/>
      <c r="I17" s="17" t="n"/>
      <c r="J17" s="17" t="n"/>
      <c r="K17" s="29">
        <f>IF(I17="","",J17/I17)</f>
        <v/>
      </c>
      <c r="L17" s="17" t="n"/>
      <c r="M17" s="29">
        <f>IF(OR(J17="",L17=""),"",(J17*50000-L17)/L17)</f>
        <v/>
      </c>
    </row>
    <row r="18" ht="22" customHeight="1">
      <c r="B18" s="15">
        <f>IF(C18="","SCC-"&amp;TEXT(COUNTA($C$5:C18),"000"))</f>
        <v/>
      </c>
      <c r="C18" s="13" t="n"/>
      <c r="D18" s="13" t="n"/>
      <c r="E18" s="13" t="n"/>
      <c r="F18" s="28" t="n"/>
      <c r="G18" s="28" t="n"/>
      <c r="H18" s="13" t="n"/>
      <c r="I18" s="18" t="n"/>
      <c r="J18" s="18" t="n"/>
      <c r="K18" s="31">
        <f>IF(I18="","",J18/I18)</f>
        <v/>
      </c>
      <c r="L18" s="18" t="n"/>
      <c r="M18" s="31">
        <f>IF(OR(J18="",L18=""),"",(J18*50000-L18)/L18)</f>
        <v/>
      </c>
    </row>
    <row r="19" ht="22" customHeight="1">
      <c r="B19" s="16">
        <f>IF(C19="","SCC-"&amp;TEXT(COUNTA($C$5:C19),"000"))</f>
        <v/>
      </c>
      <c r="C19" s="11" t="n"/>
      <c r="D19" s="11" t="n"/>
      <c r="E19" s="11" t="n"/>
      <c r="F19" s="27" t="n"/>
      <c r="G19" s="27" t="n"/>
      <c r="H19" s="11" t="n"/>
      <c r="I19" s="17" t="n"/>
      <c r="J19" s="17" t="n"/>
      <c r="K19" s="29">
        <f>IF(I19="","",J19/I19)</f>
        <v/>
      </c>
      <c r="L19" s="17" t="n"/>
      <c r="M19" s="29">
        <f>IF(OR(J19="",L19=""),"",(J19*50000-L19)/L19)</f>
        <v/>
      </c>
    </row>
    <row r="20" ht="22" customHeight="1">
      <c r="B20" s="15">
        <f>IF(C20="","SCC-"&amp;TEXT(COUNTA($C$5:C20),"000"))</f>
        <v/>
      </c>
      <c r="C20" s="13" t="n"/>
      <c r="D20" s="13" t="n"/>
      <c r="E20" s="13" t="n"/>
      <c r="F20" s="28" t="n"/>
      <c r="G20" s="28" t="n"/>
      <c r="H20" s="13" t="n"/>
      <c r="I20" s="18" t="n"/>
      <c r="J20" s="18" t="n"/>
      <c r="K20" s="31">
        <f>IF(I20="","",J20/I20)</f>
        <v/>
      </c>
      <c r="L20" s="18" t="n"/>
      <c r="M20" s="31">
        <f>IF(OR(J20="",L20=""),"",(J20*50000-L20)/L20)</f>
        <v/>
      </c>
    </row>
    <row r="21" ht="22" customHeight="1">
      <c r="B21" s="16">
        <f>IF(C21="","SCC-"&amp;TEXT(COUNTA($C$5:C21),"000"))</f>
        <v/>
      </c>
      <c r="C21" s="11" t="n"/>
      <c r="D21" s="11" t="n"/>
      <c r="E21" s="11" t="n"/>
      <c r="F21" s="27" t="n"/>
      <c r="G21" s="27" t="n"/>
      <c r="H21" s="11" t="n"/>
      <c r="I21" s="17" t="n"/>
      <c r="J21" s="17" t="n"/>
      <c r="K21" s="29">
        <f>IF(I21="","",J21/I21)</f>
        <v/>
      </c>
      <c r="L21" s="17" t="n"/>
      <c r="M21" s="29">
        <f>IF(OR(J21="",L21=""),"",(J21*50000-L21)/L21)</f>
        <v/>
      </c>
    </row>
    <row r="22" ht="22" customHeight="1">
      <c r="B22" s="15">
        <f>IF(C22="","SCC-"&amp;TEXT(COUNTA($C$5:C22),"000"))</f>
        <v/>
      </c>
      <c r="C22" s="13" t="n"/>
      <c r="D22" s="13" t="n"/>
      <c r="E22" s="13" t="n"/>
      <c r="F22" s="28" t="n"/>
      <c r="G22" s="28" t="n"/>
      <c r="H22" s="13" t="n"/>
      <c r="I22" s="18" t="n"/>
      <c r="J22" s="18" t="n"/>
      <c r="K22" s="31">
        <f>IF(I22="","",J22/I22)</f>
        <v/>
      </c>
      <c r="L22" s="18" t="n"/>
      <c r="M22" s="31">
        <f>IF(OR(J22="",L22=""),"",(J22*50000-L22)/L22)</f>
        <v/>
      </c>
    </row>
    <row r="23" ht="22" customHeight="1">
      <c r="B23" s="16">
        <f>IF(C23="","SCC-"&amp;TEXT(COUNTA($C$5:C23),"000"))</f>
        <v/>
      </c>
      <c r="C23" s="11" t="n"/>
      <c r="D23" s="11" t="n"/>
      <c r="E23" s="11" t="n"/>
      <c r="F23" s="27" t="n"/>
      <c r="G23" s="27" t="n"/>
      <c r="H23" s="11" t="n"/>
      <c r="I23" s="17" t="n"/>
      <c r="J23" s="17" t="n"/>
      <c r="K23" s="29">
        <f>IF(I23="","",J23/I23)</f>
        <v/>
      </c>
      <c r="L23" s="17" t="n"/>
      <c r="M23" s="29">
        <f>IF(OR(J23="",L23=""),"",(J23*50000-L23)/L23)</f>
        <v/>
      </c>
    </row>
    <row r="24" ht="22" customHeight="1">
      <c r="B24" s="15">
        <f>IF(C24="","SCC-"&amp;TEXT(COUNTA($C$5:C24),"000"))</f>
        <v/>
      </c>
      <c r="C24" s="13" t="n"/>
      <c r="D24" s="13" t="n"/>
      <c r="E24" s="13" t="n"/>
      <c r="F24" s="28" t="n"/>
      <c r="G24" s="28" t="n"/>
      <c r="H24" s="13" t="n"/>
      <c r="I24" s="18" t="n"/>
      <c r="J24" s="18" t="n"/>
      <c r="K24" s="31">
        <f>IF(I24="","",J24/I24)</f>
        <v/>
      </c>
      <c r="L24" s="18" t="n"/>
      <c r="M24" s="31">
        <f>IF(OR(J24="",L24=""),"",(J24*50000-L24)/L24)</f>
        <v/>
      </c>
    </row>
    <row r="25" ht="22" customHeight="1">
      <c r="B25" s="16">
        <f>IF(C25="","SCC-"&amp;TEXT(COUNTA($C$5:C25),"000"))</f>
        <v/>
      </c>
      <c r="C25" s="11" t="n"/>
      <c r="D25" s="11" t="n"/>
      <c r="E25" s="11" t="n"/>
      <c r="F25" s="27" t="n"/>
      <c r="G25" s="27" t="n"/>
      <c r="H25" s="11" t="n"/>
      <c r="I25" s="17" t="n"/>
      <c r="J25" s="17" t="n"/>
      <c r="K25" s="29">
        <f>IF(I25="","",J25/I25)</f>
        <v/>
      </c>
      <c r="L25" s="17" t="n"/>
      <c r="M25" s="29">
        <f>IF(OR(J25="",L25=""),"",(J25*50000-L25)/L25)</f>
        <v/>
      </c>
    </row>
    <row r="26" ht="22" customHeight="1">
      <c r="B26" s="15">
        <f>IF(C26="","SCC-"&amp;TEXT(COUNTA($C$5:C26),"000"))</f>
        <v/>
      </c>
      <c r="C26" s="13" t="n"/>
      <c r="D26" s="13" t="n"/>
      <c r="E26" s="13" t="n"/>
      <c r="F26" s="28" t="n"/>
      <c r="G26" s="28" t="n"/>
      <c r="H26" s="13" t="n"/>
      <c r="I26" s="18" t="n"/>
      <c r="J26" s="18" t="n"/>
      <c r="K26" s="31">
        <f>IF(I26="","",J26/I26)</f>
        <v/>
      </c>
      <c r="L26" s="18" t="n"/>
      <c r="M26" s="31">
        <f>IF(OR(J26="",L26=""),"",(J26*50000-L26)/L26)</f>
        <v/>
      </c>
    </row>
    <row r="27" ht="22" customHeight="1">
      <c r="B27" s="16">
        <f>IF(C27="","SCC-"&amp;TEXT(COUNTA($C$5:C27),"000"))</f>
        <v/>
      </c>
      <c r="C27" s="11" t="n"/>
      <c r="D27" s="11" t="n"/>
      <c r="E27" s="11" t="n"/>
      <c r="F27" s="27" t="n"/>
      <c r="G27" s="27" t="n"/>
      <c r="H27" s="11" t="n"/>
      <c r="I27" s="17" t="n"/>
      <c r="J27" s="17" t="n"/>
      <c r="K27" s="29">
        <f>IF(I27="","",J27/I27)</f>
        <v/>
      </c>
      <c r="L27" s="17" t="n"/>
      <c r="M27" s="29">
        <f>IF(OR(J27="",L27=""),"",(J27*50000-L27)/L27)</f>
        <v/>
      </c>
    </row>
    <row r="28" ht="22" customHeight="1">
      <c r="B28" s="15">
        <f>IF(C28="","SCC-"&amp;TEXT(COUNTA($C$5:C28),"000"))</f>
        <v/>
      </c>
      <c r="C28" s="13" t="n"/>
      <c r="D28" s="13" t="n"/>
      <c r="E28" s="13" t="n"/>
      <c r="F28" s="28" t="n"/>
      <c r="G28" s="28" t="n"/>
      <c r="H28" s="13" t="n"/>
      <c r="I28" s="18" t="n"/>
      <c r="J28" s="18" t="n"/>
      <c r="K28" s="31">
        <f>IF(I28="","",J28/I28)</f>
        <v/>
      </c>
      <c r="L28" s="18" t="n"/>
      <c r="M28" s="31">
        <f>IF(OR(J28="",L28=""),"",(J28*50000-L28)/L28)</f>
        <v/>
      </c>
    </row>
    <row r="29" ht="22" customHeight="1">
      <c r="B29" s="16">
        <f>IF(C29="","SCC-"&amp;TEXT(COUNTA($C$5:C29),"000"))</f>
        <v/>
      </c>
      <c r="C29" s="11" t="n"/>
      <c r="D29" s="11" t="n"/>
      <c r="E29" s="11" t="n"/>
      <c r="F29" s="27" t="n"/>
      <c r="G29" s="27" t="n"/>
      <c r="H29" s="11" t="n"/>
      <c r="I29" s="17" t="n"/>
      <c r="J29" s="17" t="n"/>
      <c r="K29" s="29">
        <f>IF(I29="","",J29/I29)</f>
        <v/>
      </c>
      <c r="L29" s="17" t="n"/>
      <c r="M29" s="29">
        <f>IF(OR(J29="",L29=""),"",(J29*50000-L29)/L29)</f>
        <v/>
      </c>
    </row>
    <row r="30" ht="22" customHeight="1">
      <c r="B30" s="15">
        <f>IF(C30="","SCC-"&amp;TEXT(COUNTA($C$5:C30),"000"))</f>
        <v/>
      </c>
      <c r="C30" s="13" t="n"/>
      <c r="D30" s="13" t="n"/>
      <c r="E30" s="13" t="n"/>
      <c r="F30" s="28" t="n"/>
      <c r="G30" s="28" t="n"/>
      <c r="H30" s="13" t="n"/>
      <c r="I30" s="18" t="n"/>
      <c r="J30" s="18" t="n"/>
      <c r="K30" s="31">
        <f>IF(I30="","",J30/I30)</f>
        <v/>
      </c>
      <c r="L30" s="18" t="n"/>
      <c r="M30" s="31">
        <f>IF(OR(J30="",L30=""),"",(J30*50000-L30)/L30)</f>
        <v/>
      </c>
    </row>
    <row r="31" ht="22" customHeight="1">
      <c r="B31" s="16">
        <f>IF(C31="","SCC-"&amp;TEXT(COUNTA($C$5:C31),"000"))</f>
        <v/>
      </c>
      <c r="C31" s="11" t="n"/>
      <c r="D31" s="11" t="n"/>
      <c r="E31" s="11" t="n"/>
      <c r="F31" s="27" t="n"/>
      <c r="G31" s="27" t="n"/>
      <c r="H31" s="11" t="n"/>
      <c r="I31" s="17" t="n"/>
      <c r="J31" s="17" t="n"/>
      <c r="K31" s="29">
        <f>IF(I31="","",J31/I31)</f>
        <v/>
      </c>
      <c r="L31" s="17" t="n"/>
      <c r="M31" s="29">
        <f>IF(OR(J31="",L31=""),"",(J31*50000-L31)/L31)</f>
        <v/>
      </c>
    </row>
    <row r="32" ht="22" customHeight="1">
      <c r="B32" s="15">
        <f>IF(C32="","SCC-"&amp;TEXT(COUNTA($C$5:C32),"000"))</f>
        <v/>
      </c>
      <c r="C32" s="13" t="n"/>
      <c r="D32" s="13" t="n"/>
      <c r="E32" s="13" t="n"/>
      <c r="F32" s="28" t="n"/>
      <c r="G32" s="28" t="n"/>
      <c r="H32" s="13" t="n"/>
      <c r="I32" s="18" t="n"/>
      <c r="J32" s="18" t="n"/>
      <c r="K32" s="31">
        <f>IF(I32="","",J32/I32)</f>
        <v/>
      </c>
      <c r="L32" s="18" t="n"/>
      <c r="M32" s="31">
        <f>IF(OR(J32="",L32=""),"",(J32*50000-L32)/L32)</f>
        <v/>
      </c>
    </row>
    <row r="33" ht="22" customHeight="1">
      <c r="B33" s="16">
        <f>IF(C33="","SCC-"&amp;TEXT(COUNTA($C$5:C33),"000"))</f>
        <v/>
      </c>
      <c r="C33" s="11" t="n"/>
      <c r="D33" s="11" t="n"/>
      <c r="E33" s="11" t="n"/>
      <c r="F33" s="27" t="n"/>
      <c r="G33" s="27" t="n"/>
      <c r="H33" s="11" t="n"/>
      <c r="I33" s="17" t="n"/>
      <c r="J33" s="17" t="n"/>
      <c r="K33" s="29">
        <f>IF(I33="","",J33/I33)</f>
        <v/>
      </c>
      <c r="L33" s="17" t="n"/>
      <c r="M33" s="29">
        <f>IF(OR(J33="",L33=""),"",(J33*50000-L33)/L33)</f>
        <v/>
      </c>
    </row>
    <row r="34" ht="22" customHeight="1">
      <c r="B34" s="15">
        <f>IF(C34="","SCC-"&amp;TEXT(COUNTA($C$5:C34),"000"))</f>
        <v/>
      </c>
      <c r="C34" s="13" t="n"/>
      <c r="D34" s="13" t="n"/>
      <c r="E34" s="13" t="n"/>
      <c r="F34" s="28" t="n"/>
      <c r="G34" s="28" t="n"/>
      <c r="H34" s="13" t="n"/>
      <c r="I34" s="18" t="n"/>
      <c r="J34" s="18" t="n"/>
      <c r="K34" s="31">
        <f>IF(I34="","",J34/I34)</f>
        <v/>
      </c>
      <c r="L34" s="18" t="n"/>
      <c r="M34" s="31">
        <f>IF(OR(J34="",L34=""),"",(J34*50000-L34)/L34)</f>
        <v/>
      </c>
    </row>
    <row r="35" ht="22" customHeight="1">
      <c r="B35" s="16">
        <f>IF(C35="","SCC-"&amp;TEXT(COUNTA($C$5:C35),"000"))</f>
        <v/>
      </c>
      <c r="C35" s="11" t="n"/>
      <c r="D35" s="11" t="n"/>
      <c r="E35" s="11" t="n"/>
      <c r="F35" s="27" t="n"/>
      <c r="G35" s="27" t="n"/>
      <c r="H35" s="11" t="n"/>
      <c r="I35" s="17" t="n"/>
      <c r="J35" s="17" t="n"/>
      <c r="K35" s="29">
        <f>IF(I35="","",J35/I35)</f>
        <v/>
      </c>
      <c r="L35" s="17" t="n"/>
      <c r="M35" s="29">
        <f>IF(OR(J35="",L35=""),"",(J35*50000-L35)/L35)</f>
        <v/>
      </c>
    </row>
    <row r="36" ht="22" customHeight="1">
      <c r="B36" s="15">
        <f>IF(C36="","SCC-"&amp;TEXT(COUNTA($C$5:C36),"000"))</f>
        <v/>
      </c>
      <c r="C36" s="13" t="n"/>
      <c r="D36" s="13" t="n"/>
      <c r="E36" s="13" t="n"/>
      <c r="F36" s="28" t="n"/>
      <c r="G36" s="28" t="n"/>
      <c r="H36" s="13" t="n"/>
      <c r="I36" s="18" t="n"/>
      <c r="J36" s="18" t="n"/>
      <c r="K36" s="31">
        <f>IF(I36="","",J36/I36)</f>
        <v/>
      </c>
      <c r="L36" s="18" t="n"/>
      <c r="M36" s="31">
        <f>IF(OR(J36="",L36=""),"",(J36*50000-L36)/L36)</f>
        <v/>
      </c>
    </row>
    <row r="37" ht="22" customHeight="1">
      <c r="B37" s="16">
        <f>IF(C37="","SCC-"&amp;TEXT(COUNTA($C$5:C37),"000"))</f>
        <v/>
      </c>
      <c r="C37" s="11" t="n"/>
      <c r="D37" s="11" t="n"/>
      <c r="E37" s="11" t="n"/>
      <c r="F37" s="27" t="n"/>
      <c r="G37" s="27" t="n"/>
      <c r="H37" s="11" t="n"/>
      <c r="I37" s="17" t="n"/>
      <c r="J37" s="17" t="n"/>
      <c r="K37" s="29">
        <f>IF(I37="","",J37/I37)</f>
        <v/>
      </c>
      <c r="L37" s="17" t="n"/>
      <c r="M37" s="29">
        <f>IF(OR(J37="",L37=""),"",(J37*50000-L37)/L37)</f>
        <v/>
      </c>
    </row>
    <row r="38" ht="22" customHeight="1">
      <c r="B38" s="15">
        <f>IF(C38="","SCC-"&amp;TEXT(COUNTA($C$5:C38),"000"))</f>
        <v/>
      </c>
      <c r="C38" s="13" t="n"/>
      <c r="D38" s="13" t="n"/>
      <c r="E38" s="13" t="n"/>
      <c r="F38" s="28" t="n"/>
      <c r="G38" s="28" t="n"/>
      <c r="H38" s="13" t="n"/>
      <c r="I38" s="18" t="n"/>
      <c r="J38" s="18" t="n"/>
      <c r="K38" s="31">
        <f>IF(I38="","",J38/I38)</f>
        <v/>
      </c>
      <c r="L38" s="18" t="n"/>
      <c r="M38" s="31">
        <f>IF(OR(J38="",L38=""),"",(J38*50000-L38)/L38)</f>
        <v/>
      </c>
    </row>
    <row r="39" ht="22" customHeight="1">
      <c r="B39" s="16">
        <f>IF(C39="","SCC-"&amp;TEXT(COUNTA($C$5:C39),"000"))</f>
        <v/>
      </c>
      <c r="C39" s="11" t="n"/>
      <c r="D39" s="11" t="n"/>
      <c r="E39" s="11" t="n"/>
      <c r="F39" s="27" t="n"/>
      <c r="G39" s="27" t="n"/>
      <c r="H39" s="11" t="n"/>
      <c r="I39" s="17" t="n"/>
      <c r="J39" s="17" t="n"/>
      <c r="K39" s="29">
        <f>IF(I39="","",J39/I39)</f>
        <v/>
      </c>
      <c r="L39" s="17" t="n"/>
      <c r="M39" s="29">
        <f>IF(OR(J39="",L39=""),"",(J39*50000-L39)/L39)</f>
        <v/>
      </c>
    </row>
    <row r="40" ht="22" customHeight="1">
      <c r="B40" s="15">
        <f>IF(C40="","SCC-"&amp;TEXT(COUNTA($C$5:C40),"000"))</f>
        <v/>
      </c>
      <c r="C40" s="13" t="n"/>
      <c r="D40" s="13" t="n"/>
      <c r="E40" s="13" t="n"/>
      <c r="F40" s="28" t="n"/>
      <c r="G40" s="28" t="n"/>
      <c r="H40" s="13" t="n"/>
      <c r="I40" s="18" t="n"/>
      <c r="J40" s="18" t="n"/>
      <c r="K40" s="31">
        <f>IF(I40="","",J40/I40)</f>
        <v/>
      </c>
      <c r="L40" s="18" t="n"/>
      <c r="M40" s="31">
        <f>IF(OR(J40="",L40=""),"",(J40*50000-L40)/L40)</f>
        <v/>
      </c>
    </row>
    <row r="41" ht="22" customHeight="1">
      <c r="B41" s="16">
        <f>IF(C41="","SCC-"&amp;TEXT(COUNTA($C$5:C41),"000"))</f>
        <v/>
      </c>
      <c r="C41" s="11" t="n"/>
      <c r="D41" s="11" t="n"/>
      <c r="E41" s="11" t="n"/>
      <c r="F41" s="27" t="n"/>
      <c r="G41" s="27" t="n"/>
      <c r="H41" s="11" t="n"/>
      <c r="I41" s="17" t="n"/>
      <c r="J41" s="17" t="n"/>
      <c r="K41" s="29">
        <f>IF(I41="","",J41/I41)</f>
        <v/>
      </c>
      <c r="L41" s="17" t="n"/>
      <c r="M41" s="29">
        <f>IF(OR(J41="",L41=""),"",(J41*50000-L41)/L41)</f>
        <v/>
      </c>
    </row>
    <row r="42" ht="22" customHeight="1">
      <c r="B42" s="15">
        <f>IF(C42="","SCC-"&amp;TEXT(COUNTA($C$5:C42),"000"))</f>
        <v/>
      </c>
      <c r="C42" s="13" t="n"/>
      <c r="D42" s="13" t="n"/>
      <c r="E42" s="13" t="n"/>
      <c r="F42" s="28" t="n"/>
      <c r="G42" s="28" t="n"/>
      <c r="H42" s="13" t="n"/>
      <c r="I42" s="18" t="n"/>
      <c r="J42" s="18" t="n"/>
      <c r="K42" s="31">
        <f>IF(I42="","",J42/I42)</f>
        <v/>
      </c>
      <c r="L42" s="18" t="n"/>
      <c r="M42" s="31">
        <f>IF(OR(J42="",L42=""),"",(J42*50000-L42)/L42)</f>
        <v/>
      </c>
    </row>
    <row r="43" ht="22" customHeight="1">
      <c r="B43" s="16">
        <f>IF(C43="","SCC-"&amp;TEXT(COUNTA($C$5:C43),"000"))</f>
        <v/>
      </c>
      <c r="C43" s="11" t="n"/>
      <c r="D43" s="11" t="n"/>
      <c r="E43" s="11" t="n"/>
      <c r="F43" s="27" t="n"/>
      <c r="G43" s="27" t="n"/>
      <c r="H43" s="11" t="n"/>
      <c r="I43" s="17" t="n"/>
      <c r="J43" s="17" t="n"/>
      <c r="K43" s="29">
        <f>IF(I43="","",J43/I43)</f>
        <v/>
      </c>
      <c r="L43" s="17" t="n"/>
      <c r="M43" s="29">
        <f>IF(OR(J43="",L43=""),"",(J43*50000-L43)/L43)</f>
        <v/>
      </c>
    </row>
    <row r="44" ht="22" customHeight="1">
      <c r="B44" s="15">
        <f>IF(C44="","SCC-"&amp;TEXT(COUNTA($C$5:C44),"000"))</f>
        <v/>
      </c>
      <c r="C44" s="13" t="n"/>
      <c r="D44" s="13" t="n"/>
      <c r="E44" s="13" t="n"/>
      <c r="F44" s="28" t="n"/>
      <c r="G44" s="28" t="n"/>
      <c r="H44" s="13" t="n"/>
      <c r="I44" s="18" t="n"/>
      <c r="J44" s="18" t="n"/>
      <c r="K44" s="31">
        <f>IF(I44="","",J44/I44)</f>
        <v/>
      </c>
      <c r="L44" s="18" t="n"/>
      <c r="M44" s="31">
        <f>IF(OR(J44="",L44=""),"",(J44*50000-L44)/L44)</f>
        <v/>
      </c>
    </row>
    <row r="45" ht="22" customHeight="1">
      <c r="B45" s="16">
        <f>IF(C45="","SCC-"&amp;TEXT(COUNTA($C$5:C45),"000"))</f>
        <v/>
      </c>
      <c r="C45" s="11" t="n"/>
      <c r="D45" s="11" t="n"/>
      <c r="E45" s="11" t="n"/>
      <c r="F45" s="27" t="n"/>
      <c r="G45" s="27" t="n"/>
      <c r="H45" s="11" t="n"/>
      <c r="I45" s="17" t="n"/>
      <c r="J45" s="17" t="n"/>
      <c r="K45" s="29">
        <f>IF(I45="","",J45/I45)</f>
        <v/>
      </c>
      <c r="L45" s="17" t="n"/>
      <c r="M45" s="29">
        <f>IF(OR(J45="",L45=""),"",(J45*50000-L45)/L45)</f>
        <v/>
      </c>
    </row>
    <row r="46" ht="22" customHeight="1">
      <c r="B46" s="15">
        <f>IF(C46="","SCC-"&amp;TEXT(COUNTA($C$5:C46),"000"))</f>
        <v/>
      </c>
      <c r="C46" s="13" t="n"/>
      <c r="D46" s="13" t="n"/>
      <c r="E46" s="13" t="n"/>
      <c r="F46" s="28" t="n"/>
      <c r="G46" s="28" t="n"/>
      <c r="H46" s="13" t="n"/>
      <c r="I46" s="18" t="n"/>
      <c r="J46" s="18" t="n"/>
      <c r="K46" s="31">
        <f>IF(I46="","",J46/I46)</f>
        <v/>
      </c>
      <c r="L46" s="18" t="n"/>
      <c r="M46" s="31">
        <f>IF(OR(J46="",L46=""),"",(J46*50000-L46)/L46)</f>
        <v/>
      </c>
    </row>
    <row r="47" ht="22" customHeight="1">
      <c r="B47" s="16">
        <f>IF(C47="","SCC-"&amp;TEXT(COUNTA($C$5:C47),"000"))</f>
        <v/>
      </c>
      <c r="C47" s="11" t="n"/>
      <c r="D47" s="11" t="n"/>
      <c r="E47" s="11" t="n"/>
      <c r="F47" s="27" t="n"/>
      <c r="G47" s="27" t="n"/>
      <c r="H47" s="11" t="n"/>
      <c r="I47" s="17" t="n"/>
      <c r="J47" s="17" t="n"/>
      <c r="K47" s="29">
        <f>IF(I47="","",J47/I47)</f>
        <v/>
      </c>
      <c r="L47" s="17" t="n"/>
      <c r="M47" s="29">
        <f>IF(OR(J47="",L47=""),"",(J47*50000-L47)/L47)</f>
        <v/>
      </c>
    </row>
    <row r="48" ht="22" customHeight="1">
      <c r="B48" s="15">
        <f>IF(C48="","SCC-"&amp;TEXT(COUNTA($C$5:C48),"000"))</f>
        <v/>
      </c>
      <c r="C48" s="13" t="n"/>
      <c r="D48" s="13" t="n"/>
      <c r="E48" s="13" t="n"/>
      <c r="F48" s="28" t="n"/>
      <c r="G48" s="28" t="n"/>
      <c r="H48" s="13" t="n"/>
      <c r="I48" s="18" t="n"/>
      <c r="J48" s="18" t="n"/>
      <c r="K48" s="31">
        <f>IF(I48="","",J48/I48)</f>
        <v/>
      </c>
      <c r="L48" s="18" t="n"/>
      <c r="M48" s="31">
        <f>IF(OR(J48="",L48=""),"",(J48*50000-L48)/L48)</f>
        <v/>
      </c>
    </row>
    <row r="49" ht="22" customHeight="1">
      <c r="B49" s="16">
        <f>IF(C49="","SCC-"&amp;TEXT(COUNTA($C$5:C49),"000"))</f>
        <v/>
      </c>
      <c r="C49" s="11" t="n"/>
      <c r="D49" s="11" t="n"/>
      <c r="E49" s="11" t="n"/>
      <c r="F49" s="27" t="n"/>
      <c r="G49" s="27" t="n"/>
      <c r="H49" s="11" t="n"/>
      <c r="I49" s="17" t="n"/>
      <c r="J49" s="17" t="n"/>
      <c r="K49" s="29">
        <f>IF(I49="","",J49/I49)</f>
        <v/>
      </c>
      <c r="L49" s="17" t="n"/>
      <c r="M49" s="29">
        <f>IF(OR(J49="",L49=""),"",(J49*50000-L49)/L49)</f>
        <v/>
      </c>
    </row>
    <row r="50" ht="22" customHeight="1">
      <c r="B50" s="15">
        <f>IF(C50="","SCC-"&amp;TEXT(COUNTA($C$5:C50),"000"))</f>
        <v/>
      </c>
      <c r="C50" s="13" t="n"/>
      <c r="D50" s="13" t="n"/>
      <c r="E50" s="13" t="n"/>
      <c r="F50" s="28" t="n"/>
      <c r="G50" s="28" t="n"/>
      <c r="H50" s="13" t="n"/>
      <c r="I50" s="18" t="n"/>
      <c r="J50" s="18" t="n"/>
      <c r="K50" s="31">
        <f>IF(I50="","",J50/I50)</f>
        <v/>
      </c>
      <c r="L50" s="18" t="n"/>
      <c r="M50" s="31">
        <f>IF(OR(J50="",L50=""),"",(J50*50000-L50)/L50)</f>
        <v/>
      </c>
    </row>
    <row r="51" ht="22" customHeight="1">
      <c r="B51" s="16">
        <f>IF(C51="","SCC-"&amp;TEXT(COUNTA($C$5:C51),"000"))</f>
        <v/>
      </c>
      <c r="C51" s="11" t="n"/>
      <c r="D51" s="11" t="n"/>
      <c r="E51" s="11" t="n"/>
      <c r="F51" s="27" t="n"/>
      <c r="G51" s="27" t="n"/>
      <c r="H51" s="11" t="n"/>
      <c r="I51" s="17" t="n"/>
      <c r="J51" s="17" t="n"/>
      <c r="K51" s="29">
        <f>IF(I51="","",J51/I51)</f>
        <v/>
      </c>
      <c r="L51" s="17" t="n"/>
      <c r="M51" s="29">
        <f>IF(OR(J51="",L51=""),"",(J51*50000-L51)/L51)</f>
        <v/>
      </c>
    </row>
    <row r="52" ht="22" customHeight="1">
      <c r="B52" s="15">
        <f>IF(C52="","SCC-"&amp;TEXT(COUNTA($C$5:C52),"000"))</f>
        <v/>
      </c>
      <c r="C52" s="13" t="n"/>
      <c r="D52" s="13" t="n"/>
      <c r="E52" s="13" t="n"/>
      <c r="F52" s="28" t="n"/>
      <c r="G52" s="28" t="n"/>
      <c r="H52" s="13" t="n"/>
      <c r="I52" s="18" t="n"/>
      <c r="J52" s="18" t="n"/>
      <c r="K52" s="31">
        <f>IF(I52="","",J52/I52)</f>
        <v/>
      </c>
      <c r="L52" s="18" t="n"/>
      <c r="M52" s="31">
        <f>IF(OR(J52="",L52=""),"",(J52*50000-L52)/L52)</f>
        <v/>
      </c>
    </row>
    <row r="53" ht="22" customHeight="1">
      <c r="B53" s="16">
        <f>IF(C53="","SCC-"&amp;TEXT(COUNTA($C$5:C53),"000"))</f>
        <v/>
      </c>
      <c r="C53" s="11" t="n"/>
      <c r="D53" s="11" t="n"/>
      <c r="E53" s="11" t="n"/>
      <c r="F53" s="27" t="n"/>
      <c r="G53" s="27" t="n"/>
      <c r="H53" s="11" t="n"/>
      <c r="I53" s="17" t="n"/>
      <c r="J53" s="17" t="n"/>
      <c r="K53" s="29">
        <f>IF(I53="","",J53/I53)</f>
        <v/>
      </c>
      <c r="L53" s="17" t="n"/>
      <c r="M53" s="29">
        <f>IF(OR(J53="",L53=""),"",(J53*50000-L53)/L53)</f>
        <v/>
      </c>
    </row>
    <row r="54" ht="22" customHeight="1">
      <c r="B54" s="15">
        <f>IF(C54="","SCC-"&amp;TEXT(COUNTA($C$5:C54),"000"))</f>
        <v/>
      </c>
      <c r="C54" s="13" t="n"/>
      <c r="D54" s="13" t="n"/>
      <c r="E54" s="13" t="n"/>
      <c r="F54" s="28" t="n"/>
      <c r="G54" s="28" t="n"/>
      <c r="H54" s="13" t="n"/>
      <c r="I54" s="18" t="n"/>
      <c r="J54" s="18" t="n"/>
      <c r="K54" s="31">
        <f>IF(I54="","",J54/I54)</f>
        <v/>
      </c>
      <c r="L54" s="18" t="n"/>
      <c r="M54" s="31">
        <f>IF(OR(J54="",L54=""),"",(J54*50000-L54)/L54)</f>
        <v/>
      </c>
    </row>
    <row r="55" ht="22" customHeight="1">
      <c r="B55" s="16">
        <f>IF(C55="","SCC-"&amp;TEXT(COUNTA($C$5:C55),"000"))</f>
        <v/>
      </c>
      <c r="C55" s="11" t="n"/>
      <c r="D55" s="11" t="n"/>
      <c r="E55" s="11" t="n"/>
      <c r="F55" s="27" t="n"/>
      <c r="G55" s="27" t="n"/>
      <c r="H55" s="11" t="n"/>
      <c r="I55" s="17" t="n"/>
      <c r="J55" s="17" t="n"/>
      <c r="K55" s="29">
        <f>IF(I55="","",J55/I55)</f>
        <v/>
      </c>
      <c r="L55" s="17" t="n"/>
      <c r="M55" s="29">
        <f>IF(OR(J55="",L55=""),"",(J55*50000-L55)/L55)</f>
        <v/>
      </c>
    </row>
    <row r="56" ht="22" customHeight="1">
      <c r="B56" s="15">
        <f>IF(C56="","SCC-"&amp;TEXT(COUNTA($C$5:C56),"000"))</f>
        <v/>
      </c>
      <c r="C56" s="13" t="n"/>
      <c r="D56" s="13" t="n"/>
      <c r="E56" s="13" t="n"/>
      <c r="F56" s="28" t="n"/>
      <c r="G56" s="28" t="n"/>
      <c r="H56" s="13" t="n"/>
      <c r="I56" s="18" t="n"/>
      <c r="J56" s="18" t="n"/>
      <c r="K56" s="31">
        <f>IF(I56="","",J56/I56)</f>
        <v/>
      </c>
      <c r="L56" s="18" t="n"/>
      <c r="M56" s="31">
        <f>IF(OR(J56="",L56=""),"",(J56*50000-L56)/L56)</f>
        <v/>
      </c>
    </row>
    <row r="57" ht="22" customHeight="1">
      <c r="B57" s="16">
        <f>IF(C57="","SCC-"&amp;TEXT(COUNTA($C$5:C57),"000"))</f>
        <v/>
      </c>
      <c r="C57" s="11" t="n"/>
      <c r="D57" s="11" t="n"/>
      <c r="E57" s="11" t="n"/>
      <c r="F57" s="27" t="n"/>
      <c r="G57" s="27" t="n"/>
      <c r="H57" s="11" t="n"/>
      <c r="I57" s="17" t="n"/>
      <c r="J57" s="17" t="n"/>
      <c r="K57" s="29">
        <f>IF(I57="","",J57/I57)</f>
        <v/>
      </c>
      <c r="L57" s="17" t="n"/>
      <c r="M57" s="29">
        <f>IF(OR(J57="",L57=""),"",(J57*50000-L57)/L57)</f>
        <v/>
      </c>
    </row>
    <row r="58" ht="22" customHeight="1">
      <c r="B58" s="15">
        <f>IF(C58="","SCC-"&amp;TEXT(COUNTA($C$5:C58),"000"))</f>
        <v/>
      </c>
      <c r="C58" s="13" t="n"/>
      <c r="D58" s="13" t="n"/>
      <c r="E58" s="13" t="n"/>
      <c r="F58" s="28" t="n"/>
      <c r="G58" s="28" t="n"/>
      <c r="H58" s="13" t="n"/>
      <c r="I58" s="18" t="n"/>
      <c r="J58" s="18" t="n"/>
      <c r="K58" s="31">
        <f>IF(I58="","",J58/I58)</f>
        <v/>
      </c>
      <c r="L58" s="18" t="n"/>
      <c r="M58" s="31">
        <f>IF(OR(J58="",L58=""),"",(J58*50000-L58)/L58)</f>
        <v/>
      </c>
    </row>
    <row r="59" ht="22" customHeight="1">
      <c r="B59" s="16">
        <f>IF(C59="","SCC-"&amp;TEXT(COUNTA($C$5:C59),"000"))</f>
        <v/>
      </c>
      <c r="C59" s="11" t="n"/>
      <c r="D59" s="11" t="n"/>
      <c r="E59" s="11" t="n"/>
      <c r="F59" s="27" t="n"/>
      <c r="G59" s="27" t="n"/>
      <c r="H59" s="11" t="n"/>
      <c r="I59" s="17" t="n"/>
      <c r="J59" s="17" t="n"/>
      <c r="K59" s="29">
        <f>IF(I59="","",J59/I59)</f>
        <v/>
      </c>
      <c r="L59" s="17" t="n"/>
      <c r="M59" s="29">
        <f>IF(OR(J59="",L59=""),"",(J59*50000-L59)/L59)</f>
        <v/>
      </c>
    </row>
    <row r="60" ht="22" customHeight="1">
      <c r="B60" s="15">
        <f>IF(C60="","SCC-"&amp;TEXT(COUNTA($C$5:C60),"000"))</f>
        <v/>
      </c>
      <c r="C60" s="13" t="n"/>
      <c r="D60" s="13" t="n"/>
      <c r="E60" s="13" t="n"/>
      <c r="F60" s="28" t="n"/>
      <c r="G60" s="28" t="n"/>
      <c r="H60" s="13" t="n"/>
      <c r="I60" s="18" t="n"/>
      <c r="J60" s="18" t="n"/>
      <c r="K60" s="31">
        <f>IF(I60="","",J60/I60)</f>
        <v/>
      </c>
      <c r="L60" s="18" t="n"/>
      <c r="M60" s="31">
        <f>IF(OR(J60="",L60=""),"",(J60*50000-L60)/L60)</f>
        <v/>
      </c>
    </row>
    <row r="61" ht="22" customHeight="1">
      <c r="B61" s="16">
        <f>IF(C61="","SCC-"&amp;TEXT(COUNTA($C$5:C61),"000"))</f>
        <v/>
      </c>
      <c r="C61" s="11" t="n"/>
      <c r="D61" s="11" t="n"/>
      <c r="E61" s="11" t="n"/>
      <c r="F61" s="27" t="n"/>
      <c r="G61" s="27" t="n"/>
      <c r="H61" s="11" t="n"/>
      <c r="I61" s="17" t="n"/>
      <c r="J61" s="17" t="n"/>
      <c r="K61" s="29">
        <f>IF(I61="","",J61/I61)</f>
        <v/>
      </c>
      <c r="L61" s="17" t="n"/>
      <c r="M61" s="29">
        <f>IF(OR(J61="",L61=""),"",(J61*50000-L61)/L61)</f>
        <v/>
      </c>
    </row>
    <row r="62" ht="22" customHeight="1">
      <c r="B62" s="15">
        <f>IF(C62="","SCC-"&amp;TEXT(COUNTA($C$5:C62),"000"))</f>
        <v/>
      </c>
      <c r="C62" s="13" t="n"/>
      <c r="D62" s="13" t="n"/>
      <c r="E62" s="13" t="n"/>
      <c r="F62" s="28" t="n"/>
      <c r="G62" s="28" t="n"/>
      <c r="H62" s="13" t="n"/>
      <c r="I62" s="18" t="n"/>
      <c r="J62" s="18" t="n"/>
      <c r="K62" s="31">
        <f>IF(I62="","",J62/I62)</f>
        <v/>
      </c>
      <c r="L62" s="18" t="n"/>
      <c r="M62" s="31">
        <f>IF(OR(J62="",L62=""),"",(J62*50000-L62)/L62)</f>
        <v/>
      </c>
    </row>
    <row r="63" ht="22" customHeight="1">
      <c r="B63" s="16">
        <f>IF(C63="","SCC-"&amp;TEXT(COUNTA($C$5:C63),"000"))</f>
        <v/>
      </c>
      <c r="C63" s="11" t="n"/>
      <c r="D63" s="11" t="n"/>
      <c r="E63" s="11" t="n"/>
      <c r="F63" s="27" t="n"/>
      <c r="G63" s="27" t="n"/>
      <c r="H63" s="11" t="n"/>
      <c r="I63" s="17" t="n"/>
      <c r="J63" s="17" t="n"/>
      <c r="K63" s="29">
        <f>IF(I63="","",J63/I63)</f>
        <v/>
      </c>
      <c r="L63" s="17" t="n"/>
      <c r="M63" s="29">
        <f>IF(OR(J63="",L63=""),"",(J63*50000-L63)/L63)</f>
        <v/>
      </c>
    </row>
    <row r="64" ht="22" customHeight="1">
      <c r="B64" s="15">
        <f>IF(C64="","SCC-"&amp;TEXT(COUNTA($C$5:C64),"000"))</f>
        <v/>
      </c>
      <c r="C64" s="13" t="n"/>
      <c r="D64" s="13" t="n"/>
      <c r="E64" s="13" t="n"/>
      <c r="F64" s="28" t="n"/>
      <c r="G64" s="28" t="n"/>
      <c r="H64" s="13" t="n"/>
      <c r="I64" s="18" t="n"/>
      <c r="J64" s="18" t="n"/>
      <c r="K64" s="31">
        <f>IF(I64="","",J64/I64)</f>
        <v/>
      </c>
      <c r="L64" s="18" t="n"/>
      <c r="M64" s="31">
        <f>IF(OR(J64="",L64=""),"",(J64*50000-L64)/L64)</f>
        <v/>
      </c>
    </row>
    <row r="65" ht="22" customHeight="1">
      <c r="B65" s="16">
        <f>IF(C65="","SCC-"&amp;TEXT(COUNTA($C$5:C65),"000"))</f>
        <v/>
      </c>
      <c r="C65" s="11" t="n"/>
      <c r="D65" s="11" t="n"/>
      <c r="E65" s="11" t="n"/>
      <c r="F65" s="27" t="n"/>
      <c r="G65" s="27" t="n"/>
      <c r="H65" s="11" t="n"/>
      <c r="I65" s="17" t="n"/>
      <c r="J65" s="17" t="n"/>
      <c r="K65" s="29">
        <f>IF(I65="","",J65/I65)</f>
        <v/>
      </c>
      <c r="L65" s="17" t="n"/>
      <c r="M65" s="29">
        <f>IF(OR(J65="",L65=""),"",(J65*50000-L65)/L65)</f>
        <v/>
      </c>
    </row>
    <row r="66" ht="22" customHeight="1">
      <c r="B66" s="15">
        <f>IF(C66="","SCC-"&amp;TEXT(COUNTA($C$5:C66),"000"))</f>
        <v/>
      </c>
      <c r="C66" s="13" t="n"/>
      <c r="D66" s="13" t="n"/>
      <c r="E66" s="13" t="n"/>
      <c r="F66" s="28" t="n"/>
      <c r="G66" s="28" t="n"/>
      <c r="H66" s="13" t="n"/>
      <c r="I66" s="18" t="n"/>
      <c r="J66" s="18" t="n"/>
      <c r="K66" s="31">
        <f>IF(I66="","",J66/I66)</f>
        <v/>
      </c>
      <c r="L66" s="18" t="n"/>
      <c r="M66" s="31">
        <f>IF(OR(J66="",L66=""),"",(J66*50000-L66)/L66)</f>
        <v/>
      </c>
    </row>
    <row r="67" ht="22" customHeight="1">
      <c r="B67" s="16">
        <f>IF(C67="","SCC-"&amp;TEXT(COUNTA($C$5:C67),"000"))</f>
        <v/>
      </c>
      <c r="C67" s="11" t="n"/>
      <c r="D67" s="11" t="n"/>
      <c r="E67" s="11" t="n"/>
      <c r="F67" s="27" t="n"/>
      <c r="G67" s="27" t="n"/>
      <c r="H67" s="11" t="n"/>
      <c r="I67" s="17" t="n"/>
      <c r="J67" s="17" t="n"/>
      <c r="K67" s="29">
        <f>IF(I67="","",J67/I67)</f>
        <v/>
      </c>
      <c r="L67" s="17" t="n"/>
      <c r="M67" s="29">
        <f>IF(OR(J67="",L67=""),"",(J67*50000-L67)/L67)</f>
        <v/>
      </c>
    </row>
    <row r="68" ht="22" customHeight="1">
      <c r="B68" s="15">
        <f>IF(C68="","SCC-"&amp;TEXT(COUNTA($C$5:C68),"000"))</f>
        <v/>
      </c>
      <c r="C68" s="13" t="n"/>
      <c r="D68" s="13" t="n"/>
      <c r="E68" s="13" t="n"/>
      <c r="F68" s="28" t="n"/>
      <c r="G68" s="28" t="n"/>
      <c r="H68" s="13" t="n"/>
      <c r="I68" s="18" t="n"/>
      <c r="J68" s="18" t="n"/>
      <c r="K68" s="31">
        <f>IF(I68="","",J68/I68)</f>
        <v/>
      </c>
      <c r="L68" s="18" t="n"/>
      <c r="M68" s="31">
        <f>IF(OR(J68="",L68=""),"",(J68*50000-L68)/L68)</f>
        <v/>
      </c>
    </row>
    <row r="69" ht="22" customHeight="1">
      <c r="B69" s="16">
        <f>IF(C69="","SCC-"&amp;TEXT(COUNTA($C$5:C69),"000"))</f>
        <v/>
      </c>
      <c r="C69" s="11" t="n"/>
      <c r="D69" s="11" t="n"/>
      <c r="E69" s="11" t="n"/>
      <c r="F69" s="27" t="n"/>
      <c r="G69" s="27" t="n"/>
      <c r="H69" s="11" t="n"/>
      <c r="I69" s="17" t="n"/>
      <c r="J69" s="17" t="n"/>
      <c r="K69" s="29">
        <f>IF(I69="","",J69/I69)</f>
        <v/>
      </c>
      <c r="L69" s="17" t="n"/>
      <c r="M69" s="29">
        <f>IF(OR(J69="",L69=""),"",(J69*50000-L69)/L69)</f>
        <v/>
      </c>
    </row>
    <row r="70" ht="22" customHeight="1">
      <c r="B70" s="15">
        <f>IF(C70="","SCC-"&amp;TEXT(COUNTA($C$5:C70),"000"))</f>
        <v/>
      </c>
      <c r="C70" s="13" t="n"/>
      <c r="D70" s="13" t="n"/>
      <c r="E70" s="13" t="n"/>
      <c r="F70" s="28" t="n"/>
      <c r="G70" s="28" t="n"/>
      <c r="H70" s="13" t="n"/>
      <c r="I70" s="18" t="n"/>
      <c r="J70" s="18" t="n"/>
      <c r="K70" s="31">
        <f>IF(I70="","",J70/I70)</f>
        <v/>
      </c>
      <c r="L70" s="18" t="n"/>
      <c r="M70" s="31">
        <f>IF(OR(J70="",L70=""),"",(J70*50000-L70)/L70)</f>
        <v/>
      </c>
    </row>
    <row r="71" ht="22" customHeight="1">
      <c r="B71" s="16">
        <f>IF(C71="","SCC-"&amp;TEXT(COUNTA($C$5:C71),"000"))</f>
        <v/>
      </c>
      <c r="C71" s="11" t="n"/>
      <c r="D71" s="11" t="n"/>
      <c r="E71" s="11" t="n"/>
      <c r="F71" s="27" t="n"/>
      <c r="G71" s="27" t="n"/>
      <c r="H71" s="11" t="n"/>
      <c r="I71" s="17" t="n"/>
      <c r="J71" s="17" t="n"/>
      <c r="K71" s="29">
        <f>IF(I71="","",J71/I71)</f>
        <v/>
      </c>
      <c r="L71" s="17" t="n"/>
      <c r="M71" s="29">
        <f>IF(OR(J71="",L71=""),"",(J71*50000-L71)/L71)</f>
        <v/>
      </c>
    </row>
    <row r="72" ht="22" customHeight="1">
      <c r="B72" s="15">
        <f>IF(C72="","SCC-"&amp;TEXT(COUNTA($C$5:C72),"000"))</f>
        <v/>
      </c>
      <c r="C72" s="13" t="n"/>
      <c r="D72" s="13" t="n"/>
      <c r="E72" s="13" t="n"/>
      <c r="F72" s="28" t="n"/>
      <c r="G72" s="28" t="n"/>
      <c r="H72" s="13" t="n"/>
      <c r="I72" s="18" t="n"/>
      <c r="J72" s="18" t="n"/>
      <c r="K72" s="31">
        <f>IF(I72="","",J72/I72)</f>
        <v/>
      </c>
      <c r="L72" s="18" t="n"/>
      <c r="M72" s="31">
        <f>IF(OR(J72="",L72=""),"",(J72*50000-L72)/L72)</f>
        <v/>
      </c>
    </row>
    <row r="73" ht="22" customHeight="1">
      <c r="B73" s="16">
        <f>IF(C73="","SCC-"&amp;TEXT(COUNTA($C$5:C73),"000"))</f>
        <v/>
      </c>
      <c r="C73" s="11" t="n"/>
      <c r="D73" s="11" t="n"/>
      <c r="E73" s="11" t="n"/>
      <c r="F73" s="27" t="n"/>
      <c r="G73" s="27" t="n"/>
      <c r="H73" s="11" t="n"/>
      <c r="I73" s="17" t="n"/>
      <c r="J73" s="17" t="n"/>
      <c r="K73" s="29">
        <f>IF(I73="","",J73/I73)</f>
        <v/>
      </c>
      <c r="L73" s="17" t="n"/>
      <c r="M73" s="29">
        <f>IF(OR(J73="",L73=""),"",(J73*50000-L73)/L73)</f>
        <v/>
      </c>
    </row>
    <row r="74" ht="22" customHeight="1">
      <c r="B74" s="15">
        <f>IF(C74="","SCC-"&amp;TEXT(COUNTA($C$5:C74),"000"))</f>
        <v/>
      </c>
      <c r="C74" s="13" t="n"/>
      <c r="D74" s="13" t="n"/>
      <c r="E74" s="13" t="n"/>
      <c r="F74" s="28" t="n"/>
      <c r="G74" s="28" t="n"/>
      <c r="H74" s="13" t="n"/>
      <c r="I74" s="18" t="n"/>
      <c r="J74" s="18" t="n"/>
      <c r="K74" s="31">
        <f>IF(I74="","",J74/I74)</f>
        <v/>
      </c>
      <c r="L74" s="18" t="n"/>
      <c r="M74" s="31">
        <f>IF(OR(J74="",L74=""),"",(J74*50000-L74)/L74)</f>
        <v/>
      </c>
    </row>
    <row r="75" ht="22" customHeight="1">
      <c r="B75" s="16">
        <f>IF(C75="","SCC-"&amp;TEXT(COUNTA($C$5:C75),"000"))</f>
        <v/>
      </c>
      <c r="C75" s="11" t="n"/>
      <c r="D75" s="11" t="n"/>
      <c r="E75" s="11" t="n"/>
      <c r="F75" s="27" t="n"/>
      <c r="G75" s="27" t="n"/>
      <c r="H75" s="11" t="n"/>
      <c r="I75" s="17" t="n"/>
      <c r="J75" s="17" t="n"/>
      <c r="K75" s="29">
        <f>IF(I75="","",J75/I75)</f>
        <v/>
      </c>
      <c r="L75" s="17" t="n"/>
      <c r="M75" s="29">
        <f>IF(OR(J75="",L75=""),"",(J75*50000-L75)/L75)</f>
        <v/>
      </c>
    </row>
    <row r="76" ht="22" customHeight="1">
      <c r="B76" s="15">
        <f>IF(C76="","SCC-"&amp;TEXT(COUNTA($C$5:C76),"000"))</f>
        <v/>
      </c>
      <c r="C76" s="13" t="n"/>
      <c r="D76" s="13" t="n"/>
      <c r="E76" s="13" t="n"/>
      <c r="F76" s="28" t="n"/>
      <c r="G76" s="28" t="n"/>
      <c r="H76" s="13" t="n"/>
      <c r="I76" s="18" t="n"/>
      <c r="J76" s="18" t="n"/>
      <c r="K76" s="31">
        <f>IF(I76="","",J76/I76)</f>
        <v/>
      </c>
      <c r="L76" s="18" t="n"/>
      <c r="M76" s="31">
        <f>IF(OR(J76="",L76=""),"",(J76*50000-L76)/L76)</f>
        <v/>
      </c>
    </row>
    <row r="77" ht="22" customHeight="1">
      <c r="B77" s="16">
        <f>IF(C77="","SCC-"&amp;TEXT(COUNTA($C$5:C77),"000"))</f>
        <v/>
      </c>
      <c r="C77" s="11" t="n"/>
      <c r="D77" s="11" t="n"/>
      <c r="E77" s="11" t="n"/>
      <c r="F77" s="27" t="n"/>
      <c r="G77" s="27" t="n"/>
      <c r="H77" s="11" t="n"/>
      <c r="I77" s="17" t="n"/>
      <c r="J77" s="17" t="n"/>
      <c r="K77" s="29">
        <f>IF(I77="","",J77/I77)</f>
        <v/>
      </c>
      <c r="L77" s="17" t="n"/>
      <c r="M77" s="29">
        <f>IF(OR(J77="",L77=""),"",(J77*50000-L77)/L77)</f>
        <v/>
      </c>
    </row>
    <row r="78" ht="22" customHeight="1">
      <c r="B78" s="15">
        <f>IF(C78="","SCC-"&amp;TEXT(COUNTA($C$5:C78),"000"))</f>
        <v/>
      </c>
      <c r="C78" s="13" t="n"/>
      <c r="D78" s="13" t="n"/>
      <c r="E78" s="13" t="n"/>
      <c r="F78" s="28" t="n"/>
      <c r="G78" s="28" t="n"/>
      <c r="H78" s="13" t="n"/>
      <c r="I78" s="18" t="n"/>
      <c r="J78" s="18" t="n"/>
      <c r="K78" s="31">
        <f>IF(I78="","",J78/I78)</f>
        <v/>
      </c>
      <c r="L78" s="18" t="n"/>
      <c r="M78" s="31">
        <f>IF(OR(J78="",L78=""),"",(J78*50000-L78)/L78)</f>
        <v/>
      </c>
    </row>
    <row r="79" ht="22" customHeight="1">
      <c r="B79" s="16">
        <f>IF(C79="","SCC-"&amp;TEXT(COUNTA($C$5:C79),"000"))</f>
        <v/>
      </c>
      <c r="C79" s="11" t="n"/>
      <c r="D79" s="11" t="n"/>
      <c r="E79" s="11" t="n"/>
      <c r="F79" s="27" t="n"/>
      <c r="G79" s="27" t="n"/>
      <c r="H79" s="11" t="n"/>
      <c r="I79" s="17" t="n"/>
      <c r="J79" s="17" t="n"/>
      <c r="K79" s="29">
        <f>IF(I79="","",J79/I79)</f>
        <v/>
      </c>
      <c r="L79" s="17" t="n"/>
      <c r="M79" s="29">
        <f>IF(OR(J79="",L79=""),"",(J79*50000-L79)/L79)</f>
        <v/>
      </c>
    </row>
    <row r="80" ht="22" customHeight="1">
      <c r="B80" s="15">
        <f>IF(C80="","SCC-"&amp;TEXT(COUNTA($C$5:C80),"000"))</f>
        <v/>
      </c>
      <c r="C80" s="13" t="n"/>
      <c r="D80" s="13" t="n"/>
      <c r="E80" s="13" t="n"/>
      <c r="F80" s="28" t="n"/>
      <c r="G80" s="28" t="n"/>
      <c r="H80" s="13" t="n"/>
      <c r="I80" s="18" t="n"/>
      <c r="J80" s="18" t="n"/>
      <c r="K80" s="31">
        <f>IF(I80="","",J80/I80)</f>
        <v/>
      </c>
      <c r="L80" s="18" t="n"/>
      <c r="M80" s="31">
        <f>IF(OR(J80="",L80=""),"",(J80*50000-L80)/L80)</f>
        <v/>
      </c>
    </row>
    <row r="81" ht="22" customHeight="1">
      <c r="B81" s="16">
        <f>IF(C81="","SCC-"&amp;TEXT(COUNTA($C$5:C81),"000"))</f>
        <v/>
      </c>
      <c r="C81" s="11" t="n"/>
      <c r="D81" s="11" t="n"/>
      <c r="E81" s="11" t="n"/>
      <c r="F81" s="27" t="n"/>
      <c r="G81" s="27" t="n"/>
      <c r="H81" s="11" t="n"/>
      <c r="I81" s="17" t="n"/>
      <c r="J81" s="17" t="n"/>
      <c r="K81" s="29">
        <f>IF(I81="","",J81/I81)</f>
        <v/>
      </c>
      <c r="L81" s="17" t="n"/>
      <c r="M81" s="29">
        <f>IF(OR(J81="",L81=""),"",(J81*50000-L81)/L81)</f>
        <v/>
      </c>
    </row>
    <row r="82" ht="22" customHeight="1">
      <c r="B82" s="15">
        <f>IF(C82="","SCC-"&amp;TEXT(COUNTA($C$5:C82),"000"))</f>
        <v/>
      </c>
      <c r="C82" s="13" t="n"/>
      <c r="D82" s="13" t="n"/>
      <c r="E82" s="13" t="n"/>
      <c r="F82" s="28" t="n"/>
      <c r="G82" s="28" t="n"/>
      <c r="H82" s="13" t="n"/>
      <c r="I82" s="18" t="n"/>
      <c r="J82" s="18" t="n"/>
      <c r="K82" s="31">
        <f>IF(I82="","",J82/I82)</f>
        <v/>
      </c>
      <c r="L82" s="18" t="n"/>
      <c r="M82" s="31">
        <f>IF(OR(J82="",L82=""),"",(J82*50000-L82)/L82)</f>
        <v/>
      </c>
    </row>
    <row r="83" ht="22" customHeight="1">
      <c r="B83" s="16">
        <f>IF(C83="","SCC-"&amp;TEXT(COUNTA($C$5:C83),"000"))</f>
        <v/>
      </c>
      <c r="C83" s="11" t="n"/>
      <c r="D83" s="11" t="n"/>
      <c r="E83" s="11" t="n"/>
      <c r="F83" s="27" t="n"/>
      <c r="G83" s="27" t="n"/>
      <c r="H83" s="11" t="n"/>
      <c r="I83" s="17" t="n"/>
      <c r="J83" s="17" t="n"/>
      <c r="K83" s="29">
        <f>IF(I83="","",J83/I83)</f>
        <v/>
      </c>
      <c r="L83" s="17" t="n"/>
      <c r="M83" s="29">
        <f>IF(OR(J83="",L83=""),"",(J83*50000-L83)/L83)</f>
        <v/>
      </c>
    </row>
    <row r="84" ht="22" customHeight="1">
      <c r="B84" s="15">
        <f>IF(C84="","SCC-"&amp;TEXT(COUNTA($C$5:C84),"000"))</f>
        <v/>
      </c>
      <c r="C84" s="13" t="n"/>
      <c r="D84" s="13" t="n"/>
      <c r="E84" s="13" t="n"/>
      <c r="F84" s="28" t="n"/>
      <c r="G84" s="28" t="n"/>
      <c r="H84" s="13" t="n"/>
      <c r="I84" s="18" t="n"/>
      <c r="J84" s="18" t="n"/>
      <c r="K84" s="31">
        <f>IF(I84="","",J84/I84)</f>
        <v/>
      </c>
      <c r="L84" s="18" t="n"/>
      <c r="M84" s="31">
        <f>IF(OR(J84="",L84=""),"",(J84*50000-L84)/L84)</f>
        <v/>
      </c>
    </row>
    <row r="85" ht="22" customHeight="1">
      <c r="B85" s="16">
        <f>IF(C85="","SCC-"&amp;TEXT(COUNTA($C$5:C85),"000"))</f>
        <v/>
      </c>
      <c r="C85" s="11" t="n"/>
      <c r="D85" s="11" t="n"/>
      <c r="E85" s="11" t="n"/>
      <c r="F85" s="27" t="n"/>
      <c r="G85" s="27" t="n"/>
      <c r="H85" s="11" t="n"/>
      <c r="I85" s="17" t="n"/>
      <c r="J85" s="17" t="n"/>
      <c r="K85" s="29">
        <f>IF(I85="","",J85/I85)</f>
        <v/>
      </c>
      <c r="L85" s="17" t="n"/>
      <c r="M85" s="29">
        <f>IF(OR(J85="",L85=""),"",(J85*50000-L85)/L85)</f>
        <v/>
      </c>
    </row>
    <row r="86" ht="22" customHeight="1">
      <c r="B86" s="15">
        <f>IF(C86="","SCC-"&amp;TEXT(COUNTA($C$5:C86),"000"))</f>
        <v/>
      </c>
      <c r="C86" s="13" t="n"/>
      <c r="D86" s="13" t="n"/>
      <c r="E86" s="13" t="n"/>
      <c r="F86" s="28" t="n"/>
      <c r="G86" s="28" t="n"/>
      <c r="H86" s="13" t="n"/>
      <c r="I86" s="18" t="n"/>
      <c r="J86" s="18" t="n"/>
      <c r="K86" s="31">
        <f>IF(I86="","",J86/I86)</f>
        <v/>
      </c>
      <c r="L86" s="18" t="n"/>
      <c r="M86" s="31">
        <f>IF(OR(J86="",L86=""),"",(J86*50000-L86)/L86)</f>
        <v/>
      </c>
    </row>
    <row r="87" ht="22" customHeight="1">
      <c r="B87" s="16">
        <f>IF(C87="","SCC-"&amp;TEXT(COUNTA($C$5:C87),"000"))</f>
        <v/>
      </c>
      <c r="C87" s="11" t="n"/>
      <c r="D87" s="11" t="n"/>
      <c r="E87" s="11" t="n"/>
      <c r="F87" s="27" t="n"/>
      <c r="G87" s="27" t="n"/>
      <c r="H87" s="11" t="n"/>
      <c r="I87" s="17" t="n"/>
      <c r="J87" s="17" t="n"/>
      <c r="K87" s="29">
        <f>IF(I87="","",J87/I87)</f>
        <v/>
      </c>
      <c r="L87" s="17" t="n"/>
      <c r="M87" s="29">
        <f>IF(OR(J87="",L87=""),"",(J87*50000-L87)/L87)</f>
        <v/>
      </c>
    </row>
    <row r="88" ht="22" customHeight="1">
      <c r="B88" s="15">
        <f>IF(C88="","SCC-"&amp;TEXT(COUNTA($C$5:C88),"000"))</f>
        <v/>
      </c>
      <c r="C88" s="13" t="n"/>
      <c r="D88" s="13" t="n"/>
      <c r="E88" s="13" t="n"/>
      <c r="F88" s="28" t="n"/>
      <c r="G88" s="28" t="n"/>
      <c r="H88" s="13" t="n"/>
      <c r="I88" s="18" t="n"/>
      <c r="J88" s="18" t="n"/>
      <c r="K88" s="31">
        <f>IF(I88="","",J88/I88)</f>
        <v/>
      </c>
      <c r="L88" s="18" t="n"/>
      <c r="M88" s="31">
        <f>IF(OR(J88="",L88=""),"",(J88*50000-L88)/L88)</f>
        <v/>
      </c>
    </row>
    <row r="89" ht="22" customHeight="1">
      <c r="B89" s="16">
        <f>IF(C89="","SCC-"&amp;TEXT(COUNTA($C$5:C89),"000"))</f>
        <v/>
      </c>
      <c r="C89" s="11" t="n"/>
      <c r="D89" s="11" t="n"/>
      <c r="E89" s="11" t="n"/>
      <c r="F89" s="27" t="n"/>
      <c r="G89" s="27" t="n"/>
      <c r="H89" s="11" t="n"/>
      <c r="I89" s="17" t="n"/>
      <c r="J89" s="17" t="n"/>
      <c r="K89" s="29">
        <f>IF(I89="","",J89/I89)</f>
        <v/>
      </c>
      <c r="L89" s="17" t="n"/>
      <c r="M89" s="29">
        <f>IF(OR(J89="",L89=""),"",(J89*50000-L89)/L89)</f>
        <v/>
      </c>
    </row>
    <row r="90" ht="22" customHeight="1">
      <c r="B90" s="15">
        <f>IF(C90="","SCC-"&amp;TEXT(COUNTA($C$5:C90),"000"))</f>
        <v/>
      </c>
      <c r="C90" s="13" t="n"/>
      <c r="D90" s="13" t="n"/>
      <c r="E90" s="13" t="n"/>
      <c r="F90" s="28" t="n"/>
      <c r="G90" s="28" t="n"/>
      <c r="H90" s="13" t="n"/>
      <c r="I90" s="18" t="n"/>
      <c r="J90" s="18" t="n"/>
      <c r="K90" s="31">
        <f>IF(I90="","",J90/I90)</f>
        <v/>
      </c>
      <c r="L90" s="18" t="n"/>
      <c r="M90" s="31">
        <f>IF(OR(J90="",L90=""),"",(J90*50000-L90)/L90)</f>
        <v/>
      </c>
    </row>
    <row r="91" ht="22" customHeight="1">
      <c r="B91" s="16">
        <f>IF(C91="","SCC-"&amp;TEXT(COUNTA($C$5:C91),"000"))</f>
        <v/>
      </c>
      <c r="C91" s="11" t="n"/>
      <c r="D91" s="11" t="n"/>
      <c r="E91" s="11" t="n"/>
      <c r="F91" s="27" t="n"/>
      <c r="G91" s="27" t="n"/>
      <c r="H91" s="11" t="n"/>
      <c r="I91" s="17" t="n"/>
      <c r="J91" s="17" t="n"/>
      <c r="K91" s="29">
        <f>IF(I91="","",J91/I91)</f>
        <v/>
      </c>
      <c r="L91" s="17" t="n"/>
      <c r="M91" s="29">
        <f>IF(OR(J91="",L91=""),"",(J91*50000-L91)/L91)</f>
        <v/>
      </c>
    </row>
    <row r="92" ht="22" customHeight="1">
      <c r="B92" s="15">
        <f>IF(C92="","SCC-"&amp;TEXT(COUNTA($C$5:C92),"000"))</f>
        <v/>
      </c>
      <c r="C92" s="13" t="n"/>
      <c r="D92" s="13" t="n"/>
      <c r="E92" s="13" t="n"/>
      <c r="F92" s="28" t="n"/>
      <c r="G92" s="28" t="n"/>
      <c r="H92" s="13" t="n"/>
      <c r="I92" s="18" t="n"/>
      <c r="J92" s="18" t="n"/>
      <c r="K92" s="31">
        <f>IF(I92="","",J92/I92)</f>
        <v/>
      </c>
      <c r="L92" s="18" t="n"/>
      <c r="M92" s="31">
        <f>IF(OR(J92="",L92=""),"",(J92*50000-L92)/L92)</f>
        <v/>
      </c>
    </row>
    <row r="93" ht="22" customHeight="1">
      <c r="B93" s="16">
        <f>IF(C93="","SCC-"&amp;TEXT(COUNTA($C$5:C93),"000"))</f>
        <v/>
      </c>
      <c r="C93" s="11" t="n"/>
      <c r="D93" s="11" t="n"/>
      <c r="E93" s="11" t="n"/>
      <c r="F93" s="27" t="n"/>
      <c r="G93" s="27" t="n"/>
      <c r="H93" s="11" t="n"/>
      <c r="I93" s="17" t="n"/>
      <c r="J93" s="17" t="n"/>
      <c r="K93" s="29">
        <f>IF(I93="","",J93/I93)</f>
        <v/>
      </c>
      <c r="L93" s="17" t="n"/>
      <c r="M93" s="29">
        <f>IF(OR(J93="",L93=""),"",(J93*50000-L93)/L93)</f>
        <v/>
      </c>
    </row>
    <row r="94" ht="22" customHeight="1">
      <c r="B94" s="15">
        <f>IF(C94="","SCC-"&amp;TEXT(COUNTA($C$5:C94),"000"))</f>
        <v/>
      </c>
      <c r="C94" s="13" t="n"/>
      <c r="D94" s="13" t="n"/>
      <c r="E94" s="13" t="n"/>
      <c r="F94" s="28" t="n"/>
      <c r="G94" s="28" t="n"/>
      <c r="H94" s="13" t="n"/>
      <c r="I94" s="18" t="n"/>
      <c r="J94" s="18" t="n"/>
      <c r="K94" s="31">
        <f>IF(I94="","",J94/I94)</f>
        <v/>
      </c>
      <c r="L94" s="18" t="n"/>
      <c r="M94" s="31">
        <f>IF(OR(J94="",L94=""),"",(J94*50000-L94)/L94)</f>
        <v/>
      </c>
    </row>
    <row r="95" ht="22" customHeight="1">
      <c r="B95" s="16">
        <f>IF(C95="","SCC-"&amp;TEXT(COUNTA($C$5:C95),"000"))</f>
        <v/>
      </c>
      <c r="C95" s="11" t="n"/>
      <c r="D95" s="11" t="n"/>
      <c r="E95" s="11" t="n"/>
      <c r="F95" s="27" t="n"/>
      <c r="G95" s="27" t="n"/>
      <c r="H95" s="11" t="n"/>
      <c r="I95" s="17" t="n"/>
      <c r="J95" s="17" t="n"/>
      <c r="K95" s="29">
        <f>IF(I95="","",J95/I95)</f>
        <v/>
      </c>
      <c r="L95" s="17" t="n"/>
      <c r="M95" s="29">
        <f>IF(OR(J95="",L95=""),"",(J95*50000-L95)/L95)</f>
        <v/>
      </c>
    </row>
    <row r="96" ht="22" customHeight="1">
      <c r="B96" s="15">
        <f>IF(C96="","SCC-"&amp;TEXT(COUNTA($C$5:C96),"000"))</f>
        <v/>
      </c>
      <c r="C96" s="13" t="n"/>
      <c r="D96" s="13" t="n"/>
      <c r="E96" s="13" t="n"/>
      <c r="F96" s="28" t="n"/>
      <c r="G96" s="28" t="n"/>
      <c r="H96" s="13" t="n"/>
      <c r="I96" s="18" t="n"/>
      <c r="J96" s="18" t="n"/>
      <c r="K96" s="31">
        <f>IF(I96="","",J96/I96)</f>
        <v/>
      </c>
      <c r="L96" s="18" t="n"/>
      <c r="M96" s="31">
        <f>IF(OR(J96="",L96=""),"",(J96*50000-L96)/L96)</f>
        <v/>
      </c>
    </row>
    <row r="97" ht="22" customHeight="1">
      <c r="B97" s="16">
        <f>IF(C97="","SCC-"&amp;TEXT(COUNTA($C$5:C97),"000"))</f>
        <v/>
      </c>
      <c r="C97" s="11" t="n"/>
      <c r="D97" s="11" t="n"/>
      <c r="E97" s="11" t="n"/>
      <c r="F97" s="27" t="n"/>
      <c r="G97" s="27" t="n"/>
      <c r="H97" s="11" t="n"/>
      <c r="I97" s="17" t="n"/>
      <c r="J97" s="17" t="n"/>
      <c r="K97" s="29">
        <f>IF(I97="","",J97/I97)</f>
        <v/>
      </c>
      <c r="L97" s="17" t="n"/>
      <c r="M97" s="29">
        <f>IF(OR(J97="",L97=""),"",(J97*50000-L97)/L97)</f>
        <v/>
      </c>
    </row>
    <row r="98" ht="22" customHeight="1">
      <c r="B98" s="15">
        <f>IF(C98="","SCC-"&amp;TEXT(COUNTA($C$5:C98),"000"))</f>
        <v/>
      </c>
      <c r="C98" s="13" t="n"/>
      <c r="D98" s="13" t="n"/>
      <c r="E98" s="13" t="n"/>
      <c r="F98" s="28" t="n"/>
      <c r="G98" s="28" t="n"/>
      <c r="H98" s="13" t="n"/>
      <c r="I98" s="18" t="n"/>
      <c r="J98" s="18" t="n"/>
      <c r="K98" s="31">
        <f>IF(I98="","",J98/I98)</f>
        <v/>
      </c>
      <c r="L98" s="18" t="n"/>
      <c r="M98" s="31">
        <f>IF(OR(J98="",L98=""),"",(J98*50000-L98)/L98)</f>
        <v/>
      </c>
    </row>
    <row r="99" ht="22" customHeight="1">
      <c r="B99" s="16">
        <f>IF(C99="","SCC-"&amp;TEXT(COUNTA($C$5:C99),"000"))</f>
        <v/>
      </c>
      <c r="C99" s="11" t="n"/>
      <c r="D99" s="11" t="n"/>
      <c r="E99" s="11" t="n"/>
      <c r="F99" s="27" t="n"/>
      <c r="G99" s="27" t="n"/>
      <c r="H99" s="11" t="n"/>
      <c r="I99" s="17" t="n"/>
      <c r="J99" s="17" t="n"/>
      <c r="K99" s="29">
        <f>IF(I99="","",J99/I99)</f>
        <v/>
      </c>
      <c r="L99" s="17" t="n"/>
      <c r="M99" s="29">
        <f>IF(OR(J99="",L99=""),"",(J99*50000-L99)/L99)</f>
        <v/>
      </c>
    </row>
    <row r="100" ht="22" customHeight="1">
      <c r="B100" s="15">
        <f>IF(C100="","SCC-"&amp;TEXT(COUNTA($C$5:C100),"000"))</f>
        <v/>
      </c>
      <c r="C100" s="13" t="n"/>
      <c r="D100" s="13" t="n"/>
      <c r="E100" s="13" t="n"/>
      <c r="F100" s="28" t="n"/>
      <c r="G100" s="28" t="n"/>
      <c r="H100" s="13" t="n"/>
      <c r="I100" s="18" t="n"/>
      <c r="J100" s="18" t="n"/>
      <c r="K100" s="31">
        <f>IF(I100="","",J100/I100)</f>
        <v/>
      </c>
      <c r="L100" s="18" t="n"/>
      <c r="M100" s="31">
        <f>IF(OR(J100="",L100=""),"",(J100*50000-L100)/L100)</f>
        <v/>
      </c>
    </row>
    <row r="101" ht="22" customHeight="1">
      <c r="B101" s="16">
        <f>IF(C101="","SCC-"&amp;TEXT(COUNTA($C$5:C101),"000"))</f>
        <v/>
      </c>
      <c r="C101" s="11" t="n"/>
      <c r="D101" s="11" t="n"/>
      <c r="E101" s="11" t="n"/>
      <c r="F101" s="27" t="n"/>
      <c r="G101" s="27" t="n"/>
      <c r="H101" s="11" t="n"/>
      <c r="I101" s="17" t="n"/>
      <c r="J101" s="17" t="n"/>
      <c r="K101" s="29">
        <f>IF(I101="","",J101/I101)</f>
        <v/>
      </c>
      <c r="L101" s="17" t="n"/>
      <c r="M101" s="29">
        <f>IF(OR(J101="",L101=""),"",(J101*50000-L101)/L101)</f>
        <v/>
      </c>
    </row>
    <row r="102" ht="22" customHeight="1">
      <c r="B102" s="15">
        <f>IF(C102="","SCC-"&amp;TEXT(COUNTA($C$5:C102),"000"))</f>
        <v/>
      </c>
      <c r="C102" s="13" t="n"/>
      <c r="D102" s="13" t="n"/>
      <c r="E102" s="13" t="n"/>
      <c r="F102" s="28" t="n"/>
      <c r="G102" s="28" t="n"/>
      <c r="H102" s="13" t="n"/>
      <c r="I102" s="18" t="n"/>
      <c r="J102" s="18" t="n"/>
      <c r="K102" s="31">
        <f>IF(I102="","",J102/I102)</f>
        <v/>
      </c>
      <c r="L102" s="18" t="n"/>
      <c r="M102" s="31">
        <f>IF(OR(J102="",L102=""),"",(J102*50000-L102)/L102)</f>
        <v/>
      </c>
    </row>
    <row r="103" ht="22" customHeight="1">
      <c r="B103" s="16">
        <f>IF(C103="","SCC-"&amp;TEXT(COUNTA($C$5:C103),"000"))</f>
        <v/>
      </c>
      <c r="C103" s="11" t="n"/>
      <c r="D103" s="11" t="n"/>
      <c r="E103" s="11" t="n"/>
      <c r="F103" s="27" t="n"/>
      <c r="G103" s="27" t="n"/>
      <c r="H103" s="11" t="n"/>
      <c r="I103" s="17" t="n"/>
      <c r="J103" s="17" t="n"/>
      <c r="K103" s="29">
        <f>IF(I103="","",J103/I103)</f>
        <v/>
      </c>
      <c r="L103" s="17" t="n"/>
      <c r="M103" s="29">
        <f>IF(OR(J103="",L103=""),"",(J103*50000-L103)/L103)</f>
        <v/>
      </c>
    </row>
    <row r="104" ht="22" customHeight="1">
      <c r="B104" s="15">
        <f>IF(C104="","SCC-"&amp;TEXT(COUNTA($C$5:C104),"000"))</f>
        <v/>
      </c>
      <c r="C104" s="13" t="n"/>
      <c r="D104" s="13" t="n"/>
      <c r="E104" s="13" t="n"/>
      <c r="F104" s="28" t="n"/>
      <c r="G104" s="28" t="n"/>
      <c r="H104" s="13" t="n"/>
      <c r="I104" s="18" t="n"/>
      <c r="J104" s="18" t="n"/>
      <c r="K104" s="31">
        <f>IF(I104="","",J104/I104)</f>
        <v/>
      </c>
      <c r="L104" s="18" t="n"/>
      <c r="M104" s="31">
        <f>IF(OR(J104="",L104=""),"",(J104*50000-L104)/L104)</f>
        <v/>
      </c>
    </row>
    <row r="105" ht="22" customHeight="1">
      <c r="B105" s="16">
        <f>IF(C105="","SCC-"&amp;TEXT(COUNTA($C$5:C105),"000"))</f>
        <v/>
      </c>
      <c r="C105" s="11" t="n"/>
      <c r="D105" s="11" t="n"/>
      <c r="E105" s="11" t="n"/>
      <c r="F105" s="27" t="n"/>
      <c r="G105" s="27" t="n"/>
      <c r="H105" s="11" t="n"/>
      <c r="I105" s="17" t="n"/>
      <c r="J105" s="17" t="n"/>
      <c r="K105" s="29">
        <f>IF(I105="","",J105/I105)</f>
        <v/>
      </c>
      <c r="L105" s="17" t="n"/>
      <c r="M105" s="29">
        <f>IF(OR(J105="",L105=""),"",(J105*50000-L105)/L105)</f>
        <v/>
      </c>
    </row>
    <row r="106" ht="22" customHeight="1">
      <c r="B106" s="15">
        <f>IF(C106="","SCC-"&amp;TEXT(COUNTA($C$5:C106),"000"))</f>
        <v/>
      </c>
      <c r="C106" s="13" t="n"/>
      <c r="D106" s="13" t="n"/>
      <c r="E106" s="13" t="n"/>
      <c r="F106" s="28" t="n"/>
      <c r="G106" s="28" t="n"/>
      <c r="H106" s="13" t="n"/>
      <c r="I106" s="18" t="n"/>
      <c r="J106" s="18" t="n"/>
      <c r="K106" s="31">
        <f>IF(I106="","",J106/I106)</f>
        <v/>
      </c>
      <c r="L106" s="18" t="n"/>
      <c r="M106" s="31">
        <f>IF(OR(J106="",L106=""),"",(J106*50000-L106)/L106)</f>
        <v/>
      </c>
    </row>
    <row r="107" ht="22" customHeight="1">
      <c r="B107" s="16">
        <f>IF(C107="","SCC-"&amp;TEXT(COUNTA($C$5:C107),"000"))</f>
        <v/>
      </c>
      <c r="C107" s="11" t="n"/>
      <c r="D107" s="11" t="n"/>
      <c r="E107" s="11" t="n"/>
      <c r="F107" s="27" t="n"/>
      <c r="G107" s="27" t="n"/>
      <c r="H107" s="11" t="n"/>
      <c r="I107" s="17" t="n"/>
      <c r="J107" s="17" t="n"/>
      <c r="K107" s="29">
        <f>IF(I107="","",J107/I107)</f>
        <v/>
      </c>
      <c r="L107" s="17" t="n"/>
      <c r="M107" s="29">
        <f>IF(OR(J107="",L107=""),"",(J107*50000-L107)/L107)</f>
        <v/>
      </c>
    </row>
    <row r="108"/>
    <row r="109">
      <c r="B109" s="5" t="inlineStr">
        <is>
          <t>INDICATEURS (mis a jour automatiquement)</t>
        </is>
      </c>
    </row>
    <row r="110">
      <c r="B110" s="3" t="inlineStr">
        <is>
          <t>Campagnes actives</t>
        </is>
      </c>
      <c r="D110" s="3" t="inlineStr">
        <is>
          <t>Portee totale</t>
        </is>
      </c>
      <c r="F110" s="3" t="inlineStr">
        <is>
          <t>Cout total (FCFA)</t>
        </is>
      </c>
    </row>
    <row r="111">
      <c r="B111" s="4">
        <f>COUNTIF(B5:B104,"&lt;&gt;")</f>
        <v/>
      </c>
      <c r="D111" s="4">
        <f>SUM(I5:I104)</f>
        <v/>
      </c>
      <c r="F111" s="4">
        <f>SUM(L5:L104)</f>
        <v/>
      </c>
    </row>
  </sheetData>
  <mergeCells count="3">
    <mergeCell ref="B3:M3"/>
    <mergeCell ref="B2:M2"/>
    <mergeCell ref="B109:M109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conditionalFormatting sqref="M8:M107">
    <cfRule type="expression" priority="12" dxfId="3">
      <formula>AND($C8="",$C7&lt;&gt;"")</formula>
    </cfRule>
  </conditionalFormatting>
  <dataValidations count="1">
    <dataValidation sqref="E5:E107" showDropDown="0" showInputMessage="0" showErrorMessage="0" allowBlank="1" errorTitle="Erreur" error="Valeur invalide" promptTitle="Liste" prompt="Choisir dans la liste" type="list">
      <formula1>'_Lists'!$E$2:$E$11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24" customWidth="1" min="10" max="10"/>
    <col width="20" customWidth="1" min="11" max="11"/>
    <col width="28" customWidth="1" min="12" max="12"/>
  </cols>
  <sheetData>
    <row r="1" ht="15" customHeight="1"/>
    <row r="2" ht="32" customHeight="1">
      <c r="B2" s="1" t="inlineStr">
        <is>
          <t>TAUX ENGAGEMENT RESEAUX SOCIAUX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Plateforme</t>
        </is>
      </c>
      <c r="D4" s="10" t="inlineStr">
        <is>
          <t>Abonnes / Followers</t>
        </is>
      </c>
      <c r="E4" s="10" t="inlineStr">
        <is>
          <t>Nb Posts Mois</t>
        </is>
      </c>
      <c r="F4" s="10" t="inlineStr">
        <is>
          <t>Vues Totales</t>
        </is>
      </c>
      <c r="G4" s="10" t="inlineStr">
        <is>
          <t>Likes Total</t>
        </is>
      </c>
      <c r="H4" s="10" t="inlineStr">
        <is>
          <t>Commentaires Total</t>
        </is>
      </c>
      <c r="I4" s="10" t="inlineStr">
        <is>
          <t>Partages Total</t>
        </is>
      </c>
      <c r="J4" s="10" t="inlineStr">
        <is>
          <t>Taux Engagement Moy. (%)</t>
        </is>
      </c>
      <c r="K4" s="10" t="inlineStr">
        <is>
          <t>Evolution Abonnes (%)</t>
        </is>
      </c>
      <c r="L4" s="10" t="inlineStr">
        <is>
          <t>Meilleur Post</t>
        </is>
      </c>
    </row>
    <row r="5" ht="22" customHeight="1">
      <c r="B5" s="11" t="inlineStr">
        <is>
          <t>ENG-001</t>
        </is>
      </c>
      <c r="C5" s="11" t="inlineStr">
        <is>
          <t>LinkedIn</t>
        </is>
      </c>
      <c r="D5" s="17" t="n">
        <v>4200</v>
      </c>
      <c r="E5" s="17" t="n">
        <v>12</v>
      </c>
      <c r="F5" s="17" t="n">
        <v>35000</v>
      </c>
      <c r="G5" s="17" t="n">
        <v>2100</v>
      </c>
      <c r="H5" s="17" t="n">
        <v>180</v>
      </c>
      <c r="I5" s="17" t="n">
        <v>95</v>
      </c>
      <c r="J5" s="29" t="n"/>
      <c r="K5" s="29" t="n">
        <v>0.05</v>
      </c>
      <c r="L5" s="11" t="inlineStr">
        <is>
          <t>Recrutement Chef Cuisin</t>
        </is>
      </c>
    </row>
    <row r="6" ht="22" customHeight="1">
      <c r="B6" s="13" t="inlineStr">
        <is>
          <t>ENG-002</t>
        </is>
      </c>
      <c r="C6" s="13" t="inlineStr">
        <is>
          <t>Facebook</t>
        </is>
      </c>
      <c r="D6" s="18" t="n">
        <v>8500</v>
      </c>
      <c r="E6" s="18" t="n">
        <v>8</v>
      </c>
      <c r="F6" s="18" t="n">
        <v>45000</v>
      </c>
      <c r="G6" s="18" t="n">
        <v>3200</v>
      </c>
      <c r="H6" s="18" t="n">
        <v>450</v>
      </c>
      <c r="I6" s="18" t="n">
        <v>280</v>
      </c>
      <c r="J6" s="31" t="n"/>
      <c r="K6" s="31" t="n">
        <v>0.03</v>
      </c>
      <c r="L6" s="13" t="inlineStr">
        <is>
          <t>Video equipe Cuisine</t>
        </is>
      </c>
    </row>
    <row r="7" ht="22" customHeight="1">
      <c r="B7" s="11" t="inlineStr">
        <is>
          <t>ENG-003</t>
        </is>
      </c>
      <c r="C7" s="11" t="inlineStr">
        <is>
          <t>Instagram</t>
        </is>
      </c>
      <c r="D7" s="17" t="n">
        <v>3100</v>
      </c>
      <c r="E7" s="17" t="n">
        <v>15</v>
      </c>
      <c r="F7" s="17" t="n">
        <v>28000</v>
      </c>
      <c r="G7" s="17" t="n">
        <v>1800</v>
      </c>
      <c r="H7" s="17" t="n">
        <v>120</v>
      </c>
      <c r="I7" s="17" t="n">
        <v>60</v>
      </c>
      <c r="J7" s="29" t="n"/>
      <c r="K7" s="29" t="n">
        <v>0.08</v>
      </c>
      <c r="L7" s="11" t="inlineStr">
        <is>
          <t>Story journee Reception</t>
        </is>
      </c>
    </row>
    <row r="8" ht="22" customHeight="1">
      <c r="B8" s="15">
        <f>IF(C8="","ENG-"&amp;TEXT(COUNTA($C$5:C8),"000"))</f>
        <v/>
      </c>
      <c r="C8" s="13" t="n"/>
      <c r="D8" s="18" t="n"/>
      <c r="E8" s="18" t="n"/>
      <c r="F8" s="18" t="n"/>
      <c r="G8" s="18" t="n"/>
      <c r="H8" s="18" t="n"/>
      <c r="I8" s="18" t="n"/>
      <c r="J8" s="31">
        <f>IF(F8="","",(G8+H8+I8)/F8)</f>
        <v/>
      </c>
      <c r="K8" s="31" t="n"/>
      <c r="L8" s="13" t="n"/>
    </row>
    <row r="9" ht="22" customHeight="1">
      <c r="B9" s="16">
        <f>IF(C9="","ENG-"&amp;TEXT(COUNTA($C$5:C9),"000"))</f>
        <v/>
      </c>
      <c r="C9" s="11" t="n"/>
      <c r="D9" s="17" t="n"/>
      <c r="E9" s="17" t="n"/>
      <c r="F9" s="17" t="n"/>
      <c r="G9" s="17" t="n"/>
      <c r="H9" s="17" t="n"/>
      <c r="I9" s="17" t="n"/>
      <c r="J9" s="29">
        <f>IF(F9="","",(G9+H9+I9)/F9)</f>
        <v/>
      </c>
      <c r="K9" s="29" t="n"/>
      <c r="L9" s="11" t="n"/>
    </row>
    <row r="10" ht="22" customHeight="1">
      <c r="B10" s="15">
        <f>IF(C10="","ENG-"&amp;TEXT(COUNTA($C$5:C10),"000"))</f>
        <v/>
      </c>
      <c r="C10" s="13" t="n"/>
      <c r="D10" s="18" t="n"/>
      <c r="E10" s="18" t="n"/>
      <c r="F10" s="18" t="n"/>
      <c r="G10" s="18" t="n"/>
      <c r="H10" s="18" t="n"/>
      <c r="I10" s="18" t="n"/>
      <c r="J10" s="31">
        <f>IF(F10="","",(G10+H10+I10)/F10)</f>
        <v/>
      </c>
      <c r="K10" s="31" t="n"/>
      <c r="L10" s="13" t="n"/>
    </row>
    <row r="11" ht="22" customHeight="1">
      <c r="B11" s="16">
        <f>IF(C11="","ENG-"&amp;TEXT(COUNTA($C$5:C11),"000"))</f>
        <v/>
      </c>
      <c r="C11" s="11" t="n"/>
      <c r="D11" s="17" t="n"/>
      <c r="E11" s="17" t="n"/>
      <c r="F11" s="17" t="n"/>
      <c r="G11" s="17" t="n"/>
      <c r="H11" s="17" t="n"/>
      <c r="I11" s="17" t="n"/>
      <c r="J11" s="29">
        <f>IF(F11="","",(G11+H11+I11)/F11)</f>
        <v/>
      </c>
      <c r="K11" s="29" t="n"/>
      <c r="L11" s="11" t="n"/>
    </row>
    <row r="12" ht="22" customHeight="1">
      <c r="B12" s="15">
        <f>IF(C12="","ENG-"&amp;TEXT(COUNTA($C$5:C12),"000"))</f>
        <v/>
      </c>
      <c r="C12" s="13" t="n"/>
      <c r="D12" s="18" t="n"/>
      <c r="E12" s="18" t="n"/>
      <c r="F12" s="18" t="n"/>
      <c r="G12" s="18" t="n"/>
      <c r="H12" s="18" t="n"/>
      <c r="I12" s="18" t="n"/>
      <c r="J12" s="31">
        <f>IF(F12="","",(G12+H12+I12)/F12)</f>
        <v/>
      </c>
      <c r="K12" s="31" t="n"/>
      <c r="L12" s="13" t="n"/>
    </row>
    <row r="13" ht="22" customHeight="1">
      <c r="B13" s="16">
        <f>IF(C13="","ENG-"&amp;TEXT(COUNTA($C$5:C13),"000"))</f>
        <v/>
      </c>
      <c r="C13" s="11" t="n"/>
      <c r="D13" s="17" t="n"/>
      <c r="E13" s="17" t="n"/>
      <c r="F13" s="17" t="n"/>
      <c r="G13" s="17" t="n"/>
      <c r="H13" s="17" t="n"/>
      <c r="I13" s="17" t="n"/>
      <c r="J13" s="29">
        <f>IF(F13="","",(G13+H13+I13)/F13)</f>
        <v/>
      </c>
      <c r="K13" s="29" t="n"/>
      <c r="L13" s="11" t="n"/>
    </row>
    <row r="14" ht="22" customHeight="1">
      <c r="B14" s="15">
        <f>IF(C14="","ENG-"&amp;TEXT(COUNTA($C$5:C14),"000"))</f>
        <v/>
      </c>
      <c r="C14" s="13" t="n"/>
      <c r="D14" s="18" t="n"/>
      <c r="E14" s="18" t="n"/>
      <c r="F14" s="18" t="n"/>
      <c r="G14" s="18" t="n"/>
      <c r="H14" s="18" t="n"/>
      <c r="I14" s="18" t="n"/>
      <c r="J14" s="31">
        <f>IF(F14="","",(G14+H14+I14)/F14)</f>
        <v/>
      </c>
      <c r="K14" s="31" t="n"/>
      <c r="L14" s="13" t="n"/>
    </row>
    <row r="15" ht="22" customHeight="1">
      <c r="B15" s="16">
        <f>IF(C15="","ENG-"&amp;TEXT(COUNTA($C$5:C15),"000"))</f>
        <v/>
      </c>
      <c r="C15" s="11" t="n"/>
      <c r="D15" s="17" t="n"/>
      <c r="E15" s="17" t="n"/>
      <c r="F15" s="17" t="n"/>
      <c r="G15" s="17" t="n"/>
      <c r="H15" s="17" t="n"/>
      <c r="I15" s="17" t="n"/>
      <c r="J15" s="29">
        <f>IF(F15="","",(G15+H15+I15)/F15)</f>
        <v/>
      </c>
      <c r="K15" s="29" t="n"/>
      <c r="L15" s="11" t="n"/>
    </row>
    <row r="16" ht="22" customHeight="1">
      <c r="B16" s="15">
        <f>IF(C16="","ENG-"&amp;TEXT(COUNTA($C$5:C16),"000"))</f>
        <v/>
      </c>
      <c r="C16" s="13" t="n"/>
      <c r="D16" s="18" t="n"/>
      <c r="E16" s="18" t="n"/>
      <c r="F16" s="18" t="n"/>
      <c r="G16" s="18" t="n"/>
      <c r="H16" s="18" t="n"/>
      <c r="I16" s="18" t="n"/>
      <c r="J16" s="31">
        <f>IF(F16="","",(G16+H16+I16)/F16)</f>
        <v/>
      </c>
      <c r="K16" s="31" t="n"/>
      <c r="L16" s="13" t="n"/>
    </row>
    <row r="17" ht="22" customHeight="1">
      <c r="B17" s="16">
        <f>IF(C17="","ENG-"&amp;TEXT(COUNTA($C$5:C17),"000"))</f>
        <v/>
      </c>
      <c r="C17" s="11" t="n"/>
      <c r="D17" s="17" t="n"/>
      <c r="E17" s="17" t="n"/>
      <c r="F17" s="17" t="n"/>
      <c r="G17" s="17" t="n"/>
      <c r="H17" s="17" t="n"/>
      <c r="I17" s="17" t="n"/>
      <c r="J17" s="29">
        <f>IF(F17="","",(G17+H17+I17)/F17)</f>
        <v/>
      </c>
      <c r="K17" s="29" t="n"/>
      <c r="L17" s="11" t="n"/>
    </row>
    <row r="18" ht="22" customHeight="1">
      <c r="B18" s="15">
        <f>IF(C18="","ENG-"&amp;TEXT(COUNTA($C$5:C18),"000"))</f>
        <v/>
      </c>
      <c r="C18" s="13" t="n"/>
      <c r="D18" s="18" t="n"/>
      <c r="E18" s="18" t="n"/>
      <c r="F18" s="18" t="n"/>
      <c r="G18" s="18" t="n"/>
      <c r="H18" s="18" t="n"/>
      <c r="I18" s="18" t="n"/>
      <c r="J18" s="31">
        <f>IF(F18="","",(G18+H18+I18)/F18)</f>
        <v/>
      </c>
      <c r="K18" s="31" t="n"/>
      <c r="L18" s="13" t="n"/>
    </row>
    <row r="19" ht="22" customHeight="1">
      <c r="B19" s="16">
        <f>IF(C19="","ENG-"&amp;TEXT(COUNTA($C$5:C19),"000"))</f>
        <v/>
      </c>
      <c r="C19" s="11" t="n"/>
      <c r="D19" s="17" t="n"/>
      <c r="E19" s="17" t="n"/>
      <c r="F19" s="17" t="n"/>
      <c r="G19" s="17" t="n"/>
      <c r="H19" s="17" t="n"/>
      <c r="I19" s="17" t="n"/>
      <c r="J19" s="29">
        <f>IF(F19="","",(G19+H19+I19)/F19)</f>
        <v/>
      </c>
      <c r="K19" s="29" t="n"/>
      <c r="L19" s="11" t="n"/>
    </row>
    <row r="20" ht="22" customHeight="1">
      <c r="B20" s="15">
        <f>IF(C20="","ENG-"&amp;TEXT(COUNTA($C$5:C20),"000"))</f>
        <v/>
      </c>
      <c r="C20" s="13" t="n"/>
      <c r="D20" s="18" t="n"/>
      <c r="E20" s="18" t="n"/>
      <c r="F20" s="18" t="n"/>
      <c r="G20" s="18" t="n"/>
      <c r="H20" s="18" t="n"/>
      <c r="I20" s="18" t="n"/>
      <c r="J20" s="31">
        <f>IF(F20="","",(G20+H20+I20)/F20)</f>
        <v/>
      </c>
      <c r="K20" s="31" t="n"/>
      <c r="L20" s="13" t="n"/>
    </row>
    <row r="21" ht="22" customHeight="1">
      <c r="B21" s="16">
        <f>IF(C21="","ENG-"&amp;TEXT(COUNTA($C$5:C21),"000"))</f>
        <v/>
      </c>
      <c r="C21" s="11" t="n"/>
      <c r="D21" s="17" t="n"/>
      <c r="E21" s="17" t="n"/>
      <c r="F21" s="17" t="n"/>
      <c r="G21" s="17" t="n"/>
      <c r="H21" s="17" t="n"/>
      <c r="I21" s="17" t="n"/>
      <c r="J21" s="29">
        <f>IF(F21="","",(G21+H21+I21)/F21)</f>
        <v/>
      </c>
      <c r="K21" s="29" t="n"/>
      <c r="L21" s="11" t="n"/>
    </row>
    <row r="22" ht="22" customHeight="1">
      <c r="B22" s="15">
        <f>IF(C22="","ENG-"&amp;TEXT(COUNTA($C$5:C22),"000"))</f>
        <v/>
      </c>
      <c r="C22" s="13" t="n"/>
      <c r="D22" s="18" t="n"/>
      <c r="E22" s="18" t="n"/>
      <c r="F22" s="18" t="n"/>
      <c r="G22" s="18" t="n"/>
      <c r="H22" s="18" t="n"/>
      <c r="I22" s="18" t="n"/>
      <c r="J22" s="31">
        <f>IF(F22="","",(G22+H22+I22)/F22)</f>
        <v/>
      </c>
      <c r="K22" s="31" t="n"/>
      <c r="L22" s="13" t="n"/>
    </row>
    <row r="23" ht="22" customHeight="1">
      <c r="B23" s="16">
        <f>IF(C23="","ENG-"&amp;TEXT(COUNTA($C$5:C23),"000"))</f>
        <v/>
      </c>
      <c r="C23" s="11" t="n"/>
      <c r="D23" s="17" t="n"/>
      <c r="E23" s="17" t="n"/>
      <c r="F23" s="17" t="n"/>
      <c r="G23" s="17" t="n"/>
      <c r="H23" s="17" t="n"/>
      <c r="I23" s="17" t="n"/>
      <c r="J23" s="29">
        <f>IF(F23="","",(G23+H23+I23)/F23)</f>
        <v/>
      </c>
      <c r="K23" s="29" t="n"/>
      <c r="L23" s="11" t="n"/>
    </row>
    <row r="24" ht="22" customHeight="1">
      <c r="B24" s="15">
        <f>IF(C24="","ENG-"&amp;TEXT(COUNTA($C$5:C24),"000"))</f>
        <v/>
      </c>
      <c r="C24" s="13" t="n"/>
      <c r="D24" s="18" t="n"/>
      <c r="E24" s="18" t="n"/>
      <c r="F24" s="18" t="n"/>
      <c r="G24" s="18" t="n"/>
      <c r="H24" s="18" t="n"/>
      <c r="I24" s="18" t="n"/>
      <c r="J24" s="31">
        <f>IF(F24="","",(G24+H24+I24)/F24)</f>
        <v/>
      </c>
      <c r="K24" s="31" t="n"/>
      <c r="L24" s="13" t="n"/>
    </row>
    <row r="25" ht="22" customHeight="1">
      <c r="B25" s="16">
        <f>IF(C25="","ENG-"&amp;TEXT(COUNTA($C$5:C25),"000"))</f>
        <v/>
      </c>
      <c r="C25" s="11" t="n"/>
      <c r="D25" s="17" t="n"/>
      <c r="E25" s="17" t="n"/>
      <c r="F25" s="17" t="n"/>
      <c r="G25" s="17" t="n"/>
      <c r="H25" s="17" t="n"/>
      <c r="I25" s="17" t="n"/>
      <c r="J25" s="29">
        <f>IF(F25="","",(G25+H25+I25)/F25)</f>
        <v/>
      </c>
      <c r="K25" s="29" t="n"/>
      <c r="L25" s="11" t="n"/>
    </row>
    <row r="26" ht="22" customHeight="1">
      <c r="B26" s="15">
        <f>IF(C26="","ENG-"&amp;TEXT(COUNTA($C$5:C26),"000"))</f>
        <v/>
      </c>
      <c r="C26" s="13" t="n"/>
      <c r="D26" s="18" t="n"/>
      <c r="E26" s="18" t="n"/>
      <c r="F26" s="18" t="n"/>
      <c r="G26" s="18" t="n"/>
      <c r="H26" s="18" t="n"/>
      <c r="I26" s="18" t="n"/>
      <c r="J26" s="31">
        <f>IF(F26="","",(G26+H26+I26)/F26)</f>
        <v/>
      </c>
      <c r="K26" s="31" t="n"/>
      <c r="L26" s="13" t="n"/>
    </row>
    <row r="27" ht="22" customHeight="1">
      <c r="B27" s="16">
        <f>IF(C27="","ENG-"&amp;TEXT(COUNTA($C$5:C27),"000"))</f>
        <v/>
      </c>
      <c r="C27" s="11" t="n"/>
      <c r="D27" s="17" t="n"/>
      <c r="E27" s="17" t="n"/>
      <c r="F27" s="17" t="n"/>
      <c r="G27" s="17" t="n"/>
      <c r="H27" s="17" t="n"/>
      <c r="I27" s="17" t="n"/>
      <c r="J27" s="29">
        <f>IF(F27="","",(G27+H27+I27)/F27)</f>
        <v/>
      </c>
      <c r="K27" s="29" t="n"/>
      <c r="L27" s="11" t="n"/>
    </row>
    <row r="28" ht="22" customHeight="1">
      <c r="B28" s="15">
        <f>IF(C28="","ENG-"&amp;TEXT(COUNTA($C$5:C28),"000"))</f>
        <v/>
      </c>
      <c r="C28" s="13" t="n"/>
      <c r="D28" s="18" t="n"/>
      <c r="E28" s="18" t="n"/>
      <c r="F28" s="18" t="n"/>
      <c r="G28" s="18" t="n"/>
      <c r="H28" s="18" t="n"/>
      <c r="I28" s="18" t="n"/>
      <c r="J28" s="31">
        <f>IF(F28="","",(G28+H28+I28)/F28)</f>
        <v/>
      </c>
      <c r="K28" s="31" t="n"/>
      <c r="L28" s="13" t="n"/>
    </row>
    <row r="29" ht="22" customHeight="1">
      <c r="B29" s="16">
        <f>IF(C29="","ENG-"&amp;TEXT(COUNTA($C$5:C29),"000"))</f>
        <v/>
      </c>
      <c r="C29" s="11" t="n"/>
      <c r="D29" s="17" t="n"/>
      <c r="E29" s="17" t="n"/>
      <c r="F29" s="17" t="n"/>
      <c r="G29" s="17" t="n"/>
      <c r="H29" s="17" t="n"/>
      <c r="I29" s="17" t="n"/>
      <c r="J29" s="29">
        <f>IF(F29="","",(G29+H29+I29)/F29)</f>
        <v/>
      </c>
      <c r="K29" s="29" t="n"/>
      <c r="L29" s="11" t="n"/>
    </row>
    <row r="30" ht="22" customHeight="1">
      <c r="B30" s="15">
        <f>IF(C30="","ENG-"&amp;TEXT(COUNTA($C$5:C30),"000"))</f>
        <v/>
      </c>
      <c r="C30" s="13" t="n"/>
      <c r="D30" s="18" t="n"/>
      <c r="E30" s="18" t="n"/>
      <c r="F30" s="18" t="n"/>
      <c r="G30" s="18" t="n"/>
      <c r="H30" s="18" t="n"/>
      <c r="I30" s="18" t="n"/>
      <c r="J30" s="31">
        <f>IF(F30="","",(G30+H30+I30)/F30)</f>
        <v/>
      </c>
      <c r="K30" s="31" t="n"/>
      <c r="L30" s="13" t="n"/>
    </row>
    <row r="31" ht="22" customHeight="1">
      <c r="B31" s="16">
        <f>IF(C31="","ENG-"&amp;TEXT(COUNTA($C$5:C31),"000"))</f>
        <v/>
      </c>
      <c r="C31" s="11" t="n"/>
      <c r="D31" s="17" t="n"/>
      <c r="E31" s="17" t="n"/>
      <c r="F31" s="17" t="n"/>
      <c r="G31" s="17" t="n"/>
      <c r="H31" s="17" t="n"/>
      <c r="I31" s="17" t="n"/>
      <c r="J31" s="29">
        <f>IF(F31="","",(G31+H31+I31)/F31)</f>
        <v/>
      </c>
      <c r="K31" s="29" t="n"/>
      <c r="L31" s="11" t="n"/>
    </row>
    <row r="32" ht="22" customHeight="1">
      <c r="B32" s="15">
        <f>IF(C32="","ENG-"&amp;TEXT(COUNTA($C$5:C32),"000"))</f>
        <v/>
      </c>
      <c r="C32" s="13" t="n"/>
      <c r="D32" s="18" t="n"/>
      <c r="E32" s="18" t="n"/>
      <c r="F32" s="18" t="n"/>
      <c r="G32" s="18" t="n"/>
      <c r="H32" s="18" t="n"/>
      <c r="I32" s="18" t="n"/>
      <c r="J32" s="31">
        <f>IF(F32="","",(G32+H32+I32)/F32)</f>
        <v/>
      </c>
      <c r="K32" s="31" t="n"/>
      <c r="L32" s="13" t="n"/>
    </row>
    <row r="33" ht="22" customHeight="1">
      <c r="B33" s="16">
        <f>IF(C33="","ENG-"&amp;TEXT(COUNTA($C$5:C33),"000"))</f>
        <v/>
      </c>
      <c r="C33" s="11" t="n"/>
      <c r="D33" s="17" t="n"/>
      <c r="E33" s="17" t="n"/>
      <c r="F33" s="17" t="n"/>
      <c r="G33" s="17" t="n"/>
      <c r="H33" s="17" t="n"/>
      <c r="I33" s="17" t="n"/>
      <c r="J33" s="29">
        <f>IF(F33="","",(G33+H33+I33)/F33)</f>
        <v/>
      </c>
      <c r="K33" s="29" t="n"/>
      <c r="L33" s="11" t="n"/>
    </row>
    <row r="34" ht="22" customHeight="1">
      <c r="B34" s="15">
        <f>IF(C34="","ENG-"&amp;TEXT(COUNTA($C$5:C34),"000"))</f>
        <v/>
      </c>
      <c r="C34" s="13" t="n"/>
      <c r="D34" s="18" t="n"/>
      <c r="E34" s="18" t="n"/>
      <c r="F34" s="18" t="n"/>
      <c r="G34" s="18" t="n"/>
      <c r="H34" s="18" t="n"/>
      <c r="I34" s="18" t="n"/>
      <c r="J34" s="31">
        <f>IF(F34="","",(G34+H34+I34)/F34)</f>
        <v/>
      </c>
      <c r="K34" s="31" t="n"/>
      <c r="L34" s="13" t="n"/>
    </row>
    <row r="35" ht="22" customHeight="1">
      <c r="B35" s="16">
        <f>IF(C35="","ENG-"&amp;TEXT(COUNTA($C$5:C35),"000"))</f>
        <v/>
      </c>
      <c r="C35" s="11" t="n"/>
      <c r="D35" s="17" t="n"/>
      <c r="E35" s="17" t="n"/>
      <c r="F35" s="17" t="n"/>
      <c r="G35" s="17" t="n"/>
      <c r="H35" s="17" t="n"/>
      <c r="I35" s="17" t="n"/>
      <c r="J35" s="29">
        <f>IF(F35="","",(G35+H35+I35)/F35)</f>
        <v/>
      </c>
      <c r="K35" s="29" t="n"/>
      <c r="L35" s="11" t="n"/>
    </row>
    <row r="36" ht="22" customHeight="1">
      <c r="B36" s="15">
        <f>IF(C36="","ENG-"&amp;TEXT(COUNTA($C$5:C36),"000"))</f>
        <v/>
      </c>
      <c r="C36" s="13" t="n"/>
      <c r="D36" s="18" t="n"/>
      <c r="E36" s="18" t="n"/>
      <c r="F36" s="18" t="n"/>
      <c r="G36" s="18" t="n"/>
      <c r="H36" s="18" t="n"/>
      <c r="I36" s="18" t="n"/>
      <c r="J36" s="31">
        <f>IF(F36="","",(G36+H36+I36)/F36)</f>
        <v/>
      </c>
      <c r="K36" s="31" t="n"/>
      <c r="L36" s="13" t="n"/>
    </row>
    <row r="37" ht="22" customHeight="1">
      <c r="B37" s="16">
        <f>IF(C37="","ENG-"&amp;TEXT(COUNTA($C$5:C37),"000"))</f>
        <v/>
      </c>
      <c r="C37" s="11" t="n"/>
      <c r="D37" s="17" t="n"/>
      <c r="E37" s="17" t="n"/>
      <c r="F37" s="17" t="n"/>
      <c r="G37" s="17" t="n"/>
      <c r="H37" s="17" t="n"/>
      <c r="I37" s="17" t="n"/>
      <c r="J37" s="29">
        <f>IF(F37="","",(G37+H37+I37)/F37)</f>
        <v/>
      </c>
      <c r="K37" s="29" t="n"/>
      <c r="L37" s="11" t="n"/>
    </row>
    <row r="38" ht="22" customHeight="1">
      <c r="B38" s="15">
        <f>IF(C38="","ENG-"&amp;TEXT(COUNTA($C$5:C38),"000"))</f>
        <v/>
      </c>
      <c r="C38" s="13" t="n"/>
      <c r="D38" s="18" t="n"/>
      <c r="E38" s="18" t="n"/>
      <c r="F38" s="18" t="n"/>
      <c r="G38" s="18" t="n"/>
      <c r="H38" s="18" t="n"/>
      <c r="I38" s="18" t="n"/>
      <c r="J38" s="31">
        <f>IF(F38="","",(G38+H38+I38)/F38)</f>
        <v/>
      </c>
      <c r="K38" s="31" t="n"/>
      <c r="L38" s="13" t="n"/>
    </row>
    <row r="39" ht="22" customHeight="1">
      <c r="B39" s="16">
        <f>IF(C39="","ENG-"&amp;TEXT(COUNTA($C$5:C39),"000"))</f>
        <v/>
      </c>
      <c r="C39" s="11" t="n"/>
      <c r="D39" s="17" t="n"/>
      <c r="E39" s="17" t="n"/>
      <c r="F39" s="17" t="n"/>
      <c r="G39" s="17" t="n"/>
      <c r="H39" s="17" t="n"/>
      <c r="I39" s="17" t="n"/>
      <c r="J39" s="29">
        <f>IF(F39="","",(G39+H39+I39)/F39)</f>
        <v/>
      </c>
      <c r="K39" s="29" t="n"/>
      <c r="L39" s="11" t="n"/>
    </row>
    <row r="40" ht="22" customHeight="1">
      <c r="B40" s="15">
        <f>IF(C40="","ENG-"&amp;TEXT(COUNTA($C$5:C40),"000"))</f>
        <v/>
      </c>
      <c r="C40" s="13" t="n"/>
      <c r="D40" s="18" t="n"/>
      <c r="E40" s="18" t="n"/>
      <c r="F40" s="18" t="n"/>
      <c r="G40" s="18" t="n"/>
      <c r="H40" s="18" t="n"/>
      <c r="I40" s="18" t="n"/>
      <c r="J40" s="31">
        <f>IF(F40="","",(G40+H40+I40)/F40)</f>
        <v/>
      </c>
      <c r="K40" s="31" t="n"/>
      <c r="L40" s="13" t="n"/>
    </row>
    <row r="41" ht="22" customHeight="1">
      <c r="B41" s="16">
        <f>IF(C41="","ENG-"&amp;TEXT(COUNTA($C$5:C41),"000"))</f>
        <v/>
      </c>
      <c r="C41" s="11" t="n"/>
      <c r="D41" s="17" t="n"/>
      <c r="E41" s="17" t="n"/>
      <c r="F41" s="17" t="n"/>
      <c r="G41" s="17" t="n"/>
      <c r="H41" s="17" t="n"/>
      <c r="I41" s="17" t="n"/>
      <c r="J41" s="29">
        <f>IF(F41="","",(G41+H41+I41)/F41)</f>
        <v/>
      </c>
      <c r="K41" s="29" t="n"/>
      <c r="L41" s="11" t="n"/>
    </row>
    <row r="42" ht="22" customHeight="1">
      <c r="B42" s="15">
        <f>IF(C42="","ENG-"&amp;TEXT(COUNTA($C$5:C42),"000"))</f>
        <v/>
      </c>
      <c r="C42" s="13" t="n"/>
      <c r="D42" s="18" t="n"/>
      <c r="E42" s="18" t="n"/>
      <c r="F42" s="18" t="n"/>
      <c r="G42" s="18" t="n"/>
      <c r="H42" s="18" t="n"/>
      <c r="I42" s="18" t="n"/>
      <c r="J42" s="31">
        <f>IF(F42="","",(G42+H42+I42)/F42)</f>
        <v/>
      </c>
      <c r="K42" s="31" t="n"/>
      <c r="L42" s="13" t="n"/>
    </row>
    <row r="43" ht="22" customHeight="1">
      <c r="B43" s="16">
        <f>IF(C43="","ENG-"&amp;TEXT(COUNTA($C$5:C43),"000"))</f>
        <v/>
      </c>
      <c r="C43" s="11" t="n"/>
      <c r="D43" s="17" t="n"/>
      <c r="E43" s="17" t="n"/>
      <c r="F43" s="17" t="n"/>
      <c r="G43" s="17" t="n"/>
      <c r="H43" s="17" t="n"/>
      <c r="I43" s="17" t="n"/>
      <c r="J43" s="29">
        <f>IF(F43="","",(G43+H43+I43)/F43)</f>
        <v/>
      </c>
      <c r="K43" s="29" t="n"/>
      <c r="L43" s="11" t="n"/>
    </row>
    <row r="44" ht="22" customHeight="1">
      <c r="B44" s="15">
        <f>IF(C44="","ENG-"&amp;TEXT(COUNTA($C$5:C44),"000"))</f>
        <v/>
      </c>
      <c r="C44" s="13" t="n"/>
      <c r="D44" s="18" t="n"/>
      <c r="E44" s="18" t="n"/>
      <c r="F44" s="18" t="n"/>
      <c r="G44" s="18" t="n"/>
      <c r="H44" s="18" t="n"/>
      <c r="I44" s="18" t="n"/>
      <c r="J44" s="31">
        <f>IF(F44="","",(G44+H44+I44)/F44)</f>
        <v/>
      </c>
      <c r="K44" s="31" t="n"/>
      <c r="L44" s="13" t="n"/>
    </row>
    <row r="45" ht="22" customHeight="1">
      <c r="B45" s="16">
        <f>IF(C45="","ENG-"&amp;TEXT(COUNTA($C$5:C45),"000"))</f>
        <v/>
      </c>
      <c r="C45" s="11" t="n"/>
      <c r="D45" s="17" t="n"/>
      <c r="E45" s="17" t="n"/>
      <c r="F45" s="17" t="n"/>
      <c r="G45" s="17" t="n"/>
      <c r="H45" s="17" t="n"/>
      <c r="I45" s="17" t="n"/>
      <c r="J45" s="29">
        <f>IF(F45="","",(G45+H45+I45)/F45)</f>
        <v/>
      </c>
      <c r="K45" s="29" t="n"/>
      <c r="L45" s="11" t="n"/>
    </row>
    <row r="46" ht="22" customHeight="1">
      <c r="B46" s="15">
        <f>IF(C46="","ENG-"&amp;TEXT(COUNTA($C$5:C46),"000"))</f>
        <v/>
      </c>
      <c r="C46" s="13" t="n"/>
      <c r="D46" s="18" t="n"/>
      <c r="E46" s="18" t="n"/>
      <c r="F46" s="18" t="n"/>
      <c r="G46" s="18" t="n"/>
      <c r="H46" s="18" t="n"/>
      <c r="I46" s="18" t="n"/>
      <c r="J46" s="31">
        <f>IF(F46="","",(G46+H46+I46)/F46)</f>
        <v/>
      </c>
      <c r="K46" s="31" t="n"/>
      <c r="L46" s="13" t="n"/>
    </row>
    <row r="47" ht="22" customHeight="1">
      <c r="B47" s="16">
        <f>IF(C47="","ENG-"&amp;TEXT(COUNTA($C$5:C47),"000"))</f>
        <v/>
      </c>
      <c r="C47" s="11" t="n"/>
      <c r="D47" s="17" t="n"/>
      <c r="E47" s="17" t="n"/>
      <c r="F47" s="17" t="n"/>
      <c r="G47" s="17" t="n"/>
      <c r="H47" s="17" t="n"/>
      <c r="I47" s="17" t="n"/>
      <c r="J47" s="29">
        <f>IF(F47="","",(G47+H47+I47)/F47)</f>
        <v/>
      </c>
      <c r="K47" s="29" t="n"/>
      <c r="L47" s="11" t="n"/>
    </row>
    <row r="48" ht="22" customHeight="1">
      <c r="B48" s="15">
        <f>IF(C48="","ENG-"&amp;TEXT(COUNTA($C$5:C48),"000"))</f>
        <v/>
      </c>
      <c r="C48" s="13" t="n"/>
      <c r="D48" s="18" t="n"/>
      <c r="E48" s="18" t="n"/>
      <c r="F48" s="18" t="n"/>
      <c r="G48" s="18" t="n"/>
      <c r="H48" s="18" t="n"/>
      <c r="I48" s="18" t="n"/>
      <c r="J48" s="31">
        <f>IF(F48="","",(G48+H48+I48)/F48)</f>
        <v/>
      </c>
      <c r="K48" s="31" t="n"/>
      <c r="L48" s="13" t="n"/>
    </row>
    <row r="49" ht="22" customHeight="1">
      <c r="B49" s="16">
        <f>IF(C49="","ENG-"&amp;TEXT(COUNTA($C$5:C49),"000"))</f>
        <v/>
      </c>
      <c r="C49" s="11" t="n"/>
      <c r="D49" s="17" t="n"/>
      <c r="E49" s="17" t="n"/>
      <c r="F49" s="17" t="n"/>
      <c r="G49" s="17" t="n"/>
      <c r="H49" s="17" t="n"/>
      <c r="I49" s="17" t="n"/>
      <c r="J49" s="29">
        <f>IF(F49="","",(G49+H49+I49)/F49)</f>
        <v/>
      </c>
      <c r="K49" s="29" t="n"/>
      <c r="L49" s="11" t="n"/>
    </row>
    <row r="50" ht="22" customHeight="1">
      <c r="B50" s="15">
        <f>IF(C50="","ENG-"&amp;TEXT(COUNTA($C$5:C50),"000"))</f>
        <v/>
      </c>
      <c r="C50" s="13" t="n"/>
      <c r="D50" s="18" t="n"/>
      <c r="E50" s="18" t="n"/>
      <c r="F50" s="18" t="n"/>
      <c r="G50" s="18" t="n"/>
      <c r="H50" s="18" t="n"/>
      <c r="I50" s="18" t="n"/>
      <c r="J50" s="31">
        <f>IF(F50="","",(G50+H50+I50)/F50)</f>
        <v/>
      </c>
      <c r="K50" s="31" t="n"/>
      <c r="L50" s="13" t="n"/>
    </row>
    <row r="51" ht="22" customHeight="1">
      <c r="B51" s="16">
        <f>IF(C51="","ENG-"&amp;TEXT(COUNTA($C$5:C51),"000"))</f>
        <v/>
      </c>
      <c r="C51" s="11" t="n"/>
      <c r="D51" s="17" t="n"/>
      <c r="E51" s="17" t="n"/>
      <c r="F51" s="17" t="n"/>
      <c r="G51" s="17" t="n"/>
      <c r="H51" s="17" t="n"/>
      <c r="I51" s="17" t="n"/>
      <c r="J51" s="29">
        <f>IF(F51="","",(G51+H51+I51)/F51)</f>
        <v/>
      </c>
      <c r="K51" s="29" t="n"/>
      <c r="L51" s="11" t="n"/>
    </row>
    <row r="52" ht="22" customHeight="1">
      <c r="B52" s="15">
        <f>IF(C52="","ENG-"&amp;TEXT(COUNTA($C$5:C52),"000"))</f>
        <v/>
      </c>
      <c r="C52" s="13" t="n"/>
      <c r="D52" s="18" t="n"/>
      <c r="E52" s="18" t="n"/>
      <c r="F52" s="18" t="n"/>
      <c r="G52" s="18" t="n"/>
      <c r="H52" s="18" t="n"/>
      <c r="I52" s="18" t="n"/>
      <c r="J52" s="31">
        <f>IF(F52="","",(G52+H52+I52)/F52)</f>
        <v/>
      </c>
      <c r="K52" s="31" t="n"/>
      <c r="L52" s="13" t="n"/>
    </row>
    <row r="53" ht="22" customHeight="1">
      <c r="B53" s="16">
        <f>IF(C53="","ENG-"&amp;TEXT(COUNTA($C$5:C53),"000"))</f>
        <v/>
      </c>
      <c r="C53" s="11" t="n"/>
      <c r="D53" s="17" t="n"/>
      <c r="E53" s="17" t="n"/>
      <c r="F53" s="17" t="n"/>
      <c r="G53" s="17" t="n"/>
      <c r="H53" s="17" t="n"/>
      <c r="I53" s="17" t="n"/>
      <c r="J53" s="29">
        <f>IF(F53="","",(G53+H53+I53)/F53)</f>
        <v/>
      </c>
      <c r="K53" s="29" t="n"/>
      <c r="L53" s="11" t="n"/>
    </row>
    <row r="54" ht="22" customHeight="1">
      <c r="B54" s="15">
        <f>IF(C54="","ENG-"&amp;TEXT(COUNTA($C$5:C54),"000"))</f>
        <v/>
      </c>
      <c r="C54" s="13" t="n"/>
      <c r="D54" s="18" t="n"/>
      <c r="E54" s="18" t="n"/>
      <c r="F54" s="18" t="n"/>
      <c r="G54" s="18" t="n"/>
      <c r="H54" s="18" t="n"/>
      <c r="I54" s="18" t="n"/>
      <c r="J54" s="31">
        <f>IF(F54="","",(G54+H54+I54)/F54)</f>
        <v/>
      </c>
      <c r="K54" s="31" t="n"/>
      <c r="L54" s="13" t="n"/>
    </row>
    <row r="55" ht="22" customHeight="1">
      <c r="B55" s="16">
        <f>IF(C55="","ENG-"&amp;TEXT(COUNTA($C$5:C55),"000"))</f>
        <v/>
      </c>
      <c r="C55" s="11" t="n"/>
      <c r="D55" s="17" t="n"/>
      <c r="E55" s="17" t="n"/>
      <c r="F55" s="17" t="n"/>
      <c r="G55" s="17" t="n"/>
      <c r="H55" s="17" t="n"/>
      <c r="I55" s="17" t="n"/>
      <c r="J55" s="29">
        <f>IF(F55="","",(G55+H55+I55)/F55)</f>
        <v/>
      </c>
      <c r="K55" s="29" t="n"/>
      <c r="L55" s="11" t="n"/>
    </row>
    <row r="56" ht="22" customHeight="1">
      <c r="B56" s="15">
        <f>IF(C56="","ENG-"&amp;TEXT(COUNTA($C$5:C56),"000"))</f>
        <v/>
      </c>
      <c r="C56" s="13" t="n"/>
      <c r="D56" s="18" t="n"/>
      <c r="E56" s="18" t="n"/>
      <c r="F56" s="18" t="n"/>
      <c r="G56" s="18" t="n"/>
      <c r="H56" s="18" t="n"/>
      <c r="I56" s="18" t="n"/>
      <c r="J56" s="31">
        <f>IF(F56="","",(G56+H56+I56)/F56)</f>
        <v/>
      </c>
      <c r="K56" s="31" t="n"/>
      <c r="L56" s="13" t="n"/>
    </row>
    <row r="57" ht="22" customHeight="1">
      <c r="B57" s="16">
        <f>IF(C57="","ENG-"&amp;TEXT(COUNTA($C$5:C57),"000"))</f>
        <v/>
      </c>
      <c r="C57" s="11" t="n"/>
      <c r="D57" s="17" t="n"/>
      <c r="E57" s="17" t="n"/>
      <c r="F57" s="17" t="n"/>
      <c r="G57" s="17" t="n"/>
      <c r="H57" s="17" t="n"/>
      <c r="I57" s="17" t="n"/>
      <c r="J57" s="29">
        <f>IF(F57="","",(G57+H57+I57)/F57)</f>
        <v/>
      </c>
      <c r="K57" s="29" t="n"/>
      <c r="L57" s="11" t="n"/>
    </row>
    <row r="58" ht="22" customHeight="1">
      <c r="B58" s="15">
        <f>IF(C58="","ENG-"&amp;TEXT(COUNTA($C$5:C58),"000"))</f>
        <v/>
      </c>
      <c r="C58" s="13" t="n"/>
      <c r="D58" s="18" t="n"/>
      <c r="E58" s="18" t="n"/>
      <c r="F58" s="18" t="n"/>
      <c r="G58" s="18" t="n"/>
      <c r="H58" s="18" t="n"/>
      <c r="I58" s="18" t="n"/>
      <c r="J58" s="31">
        <f>IF(F58="","",(G58+H58+I58)/F58)</f>
        <v/>
      </c>
      <c r="K58" s="31" t="n"/>
      <c r="L58" s="13" t="n"/>
    </row>
    <row r="59" ht="22" customHeight="1">
      <c r="B59" s="16">
        <f>IF(C59="","ENG-"&amp;TEXT(COUNTA($C$5:C59),"000"))</f>
        <v/>
      </c>
      <c r="C59" s="11" t="n"/>
      <c r="D59" s="17" t="n"/>
      <c r="E59" s="17" t="n"/>
      <c r="F59" s="17" t="n"/>
      <c r="G59" s="17" t="n"/>
      <c r="H59" s="17" t="n"/>
      <c r="I59" s="17" t="n"/>
      <c r="J59" s="29">
        <f>IF(F59="","",(G59+H59+I59)/F59)</f>
        <v/>
      </c>
      <c r="K59" s="29" t="n"/>
      <c r="L59" s="11" t="n"/>
    </row>
    <row r="60" ht="22" customHeight="1">
      <c r="B60" s="15">
        <f>IF(C60="","ENG-"&amp;TEXT(COUNTA($C$5:C60),"000"))</f>
        <v/>
      </c>
      <c r="C60" s="13" t="n"/>
      <c r="D60" s="18" t="n"/>
      <c r="E60" s="18" t="n"/>
      <c r="F60" s="18" t="n"/>
      <c r="G60" s="18" t="n"/>
      <c r="H60" s="18" t="n"/>
      <c r="I60" s="18" t="n"/>
      <c r="J60" s="31">
        <f>IF(F60="","",(G60+H60+I60)/F60)</f>
        <v/>
      </c>
      <c r="K60" s="31" t="n"/>
      <c r="L60" s="13" t="n"/>
    </row>
    <row r="61" ht="22" customHeight="1">
      <c r="B61" s="16">
        <f>IF(C61="","ENG-"&amp;TEXT(COUNTA($C$5:C61),"000"))</f>
        <v/>
      </c>
      <c r="C61" s="11" t="n"/>
      <c r="D61" s="17" t="n"/>
      <c r="E61" s="17" t="n"/>
      <c r="F61" s="17" t="n"/>
      <c r="G61" s="17" t="n"/>
      <c r="H61" s="17" t="n"/>
      <c r="I61" s="17" t="n"/>
      <c r="J61" s="29">
        <f>IF(F61="","",(G61+H61+I61)/F61)</f>
        <v/>
      </c>
      <c r="K61" s="29" t="n"/>
      <c r="L61" s="11" t="n"/>
    </row>
    <row r="62" ht="22" customHeight="1">
      <c r="B62" s="15">
        <f>IF(C62="","ENG-"&amp;TEXT(COUNTA($C$5:C62),"000"))</f>
        <v/>
      </c>
      <c r="C62" s="13" t="n"/>
      <c r="D62" s="18" t="n"/>
      <c r="E62" s="18" t="n"/>
      <c r="F62" s="18" t="n"/>
      <c r="G62" s="18" t="n"/>
      <c r="H62" s="18" t="n"/>
      <c r="I62" s="18" t="n"/>
      <c r="J62" s="31">
        <f>IF(F62="","",(G62+H62+I62)/F62)</f>
        <v/>
      </c>
      <c r="K62" s="31" t="n"/>
      <c r="L62" s="13" t="n"/>
    </row>
    <row r="63" ht="22" customHeight="1">
      <c r="B63" s="16">
        <f>IF(C63="","ENG-"&amp;TEXT(COUNTA($C$5:C63),"000"))</f>
        <v/>
      </c>
      <c r="C63" s="11" t="n"/>
      <c r="D63" s="17" t="n"/>
      <c r="E63" s="17" t="n"/>
      <c r="F63" s="17" t="n"/>
      <c r="G63" s="17" t="n"/>
      <c r="H63" s="17" t="n"/>
      <c r="I63" s="17" t="n"/>
      <c r="J63" s="29">
        <f>IF(F63="","",(G63+H63+I63)/F63)</f>
        <v/>
      </c>
      <c r="K63" s="29" t="n"/>
      <c r="L63" s="11" t="n"/>
    </row>
    <row r="64" ht="22" customHeight="1">
      <c r="B64" s="15">
        <f>IF(C64="","ENG-"&amp;TEXT(COUNTA($C$5:C64),"000"))</f>
        <v/>
      </c>
      <c r="C64" s="13" t="n"/>
      <c r="D64" s="18" t="n"/>
      <c r="E64" s="18" t="n"/>
      <c r="F64" s="18" t="n"/>
      <c r="G64" s="18" t="n"/>
      <c r="H64" s="18" t="n"/>
      <c r="I64" s="18" t="n"/>
      <c r="J64" s="31">
        <f>IF(F64="","",(G64+H64+I64)/F64)</f>
        <v/>
      </c>
      <c r="K64" s="31" t="n"/>
      <c r="L64" s="13" t="n"/>
    </row>
    <row r="65" ht="22" customHeight="1">
      <c r="B65" s="16">
        <f>IF(C65="","ENG-"&amp;TEXT(COUNTA($C$5:C65),"000"))</f>
        <v/>
      </c>
      <c r="C65" s="11" t="n"/>
      <c r="D65" s="17" t="n"/>
      <c r="E65" s="17" t="n"/>
      <c r="F65" s="17" t="n"/>
      <c r="G65" s="17" t="n"/>
      <c r="H65" s="17" t="n"/>
      <c r="I65" s="17" t="n"/>
      <c r="J65" s="29">
        <f>IF(F65="","",(G65+H65+I65)/F65)</f>
        <v/>
      </c>
      <c r="K65" s="29" t="n"/>
      <c r="L65" s="11" t="n"/>
    </row>
    <row r="66" ht="22" customHeight="1">
      <c r="B66" s="15">
        <f>IF(C66="","ENG-"&amp;TEXT(COUNTA($C$5:C66),"000"))</f>
        <v/>
      </c>
      <c r="C66" s="13" t="n"/>
      <c r="D66" s="18" t="n"/>
      <c r="E66" s="18" t="n"/>
      <c r="F66" s="18" t="n"/>
      <c r="G66" s="18" t="n"/>
      <c r="H66" s="18" t="n"/>
      <c r="I66" s="18" t="n"/>
      <c r="J66" s="31">
        <f>IF(F66="","",(G66+H66+I66)/F66)</f>
        <v/>
      </c>
      <c r="K66" s="31" t="n"/>
      <c r="L66" s="13" t="n"/>
    </row>
    <row r="67" ht="22" customHeight="1">
      <c r="B67" s="16">
        <f>IF(C67="","ENG-"&amp;TEXT(COUNTA($C$5:C67),"000"))</f>
        <v/>
      </c>
      <c r="C67" s="11" t="n"/>
      <c r="D67" s="17" t="n"/>
      <c r="E67" s="17" t="n"/>
      <c r="F67" s="17" t="n"/>
      <c r="G67" s="17" t="n"/>
      <c r="H67" s="17" t="n"/>
      <c r="I67" s="17" t="n"/>
      <c r="J67" s="29">
        <f>IF(F67="","",(G67+H67+I67)/F67)</f>
        <v/>
      </c>
      <c r="K67" s="29" t="n"/>
      <c r="L67" s="11" t="n"/>
    </row>
    <row r="68" ht="22" customHeight="1">
      <c r="B68" s="15">
        <f>IF(C68="","ENG-"&amp;TEXT(COUNTA($C$5:C68),"000"))</f>
        <v/>
      </c>
      <c r="C68" s="13" t="n"/>
      <c r="D68" s="18" t="n"/>
      <c r="E68" s="18" t="n"/>
      <c r="F68" s="18" t="n"/>
      <c r="G68" s="18" t="n"/>
      <c r="H68" s="18" t="n"/>
      <c r="I68" s="18" t="n"/>
      <c r="J68" s="31">
        <f>IF(F68="","",(G68+H68+I68)/F68)</f>
        <v/>
      </c>
      <c r="K68" s="31" t="n"/>
      <c r="L68" s="13" t="n"/>
    </row>
    <row r="69" ht="22" customHeight="1">
      <c r="B69" s="16">
        <f>IF(C69="","ENG-"&amp;TEXT(COUNTA($C$5:C69),"000"))</f>
        <v/>
      </c>
      <c r="C69" s="11" t="n"/>
      <c r="D69" s="17" t="n"/>
      <c r="E69" s="17" t="n"/>
      <c r="F69" s="17" t="n"/>
      <c r="G69" s="17" t="n"/>
      <c r="H69" s="17" t="n"/>
      <c r="I69" s="17" t="n"/>
      <c r="J69" s="29">
        <f>IF(F69="","",(G69+H69+I69)/F69)</f>
        <v/>
      </c>
      <c r="K69" s="29" t="n"/>
      <c r="L69" s="11" t="n"/>
    </row>
    <row r="70" ht="22" customHeight="1">
      <c r="B70" s="15">
        <f>IF(C70="","ENG-"&amp;TEXT(COUNTA($C$5:C70),"000"))</f>
        <v/>
      </c>
      <c r="C70" s="13" t="n"/>
      <c r="D70" s="18" t="n"/>
      <c r="E70" s="18" t="n"/>
      <c r="F70" s="18" t="n"/>
      <c r="G70" s="18" t="n"/>
      <c r="H70" s="18" t="n"/>
      <c r="I70" s="18" t="n"/>
      <c r="J70" s="31">
        <f>IF(F70="","",(G70+H70+I70)/F70)</f>
        <v/>
      </c>
      <c r="K70" s="31" t="n"/>
      <c r="L70" s="13" t="n"/>
    </row>
    <row r="71" ht="22" customHeight="1">
      <c r="B71" s="16">
        <f>IF(C71="","ENG-"&amp;TEXT(COUNTA($C$5:C71),"000"))</f>
        <v/>
      </c>
      <c r="C71" s="11" t="n"/>
      <c r="D71" s="17" t="n"/>
      <c r="E71" s="17" t="n"/>
      <c r="F71" s="17" t="n"/>
      <c r="G71" s="17" t="n"/>
      <c r="H71" s="17" t="n"/>
      <c r="I71" s="17" t="n"/>
      <c r="J71" s="29">
        <f>IF(F71="","",(G71+H71+I71)/F71)</f>
        <v/>
      </c>
      <c r="K71" s="29" t="n"/>
      <c r="L71" s="11" t="n"/>
    </row>
    <row r="72" ht="22" customHeight="1">
      <c r="B72" s="15">
        <f>IF(C72="","ENG-"&amp;TEXT(COUNTA($C$5:C72),"000"))</f>
        <v/>
      </c>
      <c r="C72" s="13" t="n"/>
      <c r="D72" s="18" t="n"/>
      <c r="E72" s="18" t="n"/>
      <c r="F72" s="18" t="n"/>
      <c r="G72" s="18" t="n"/>
      <c r="H72" s="18" t="n"/>
      <c r="I72" s="18" t="n"/>
      <c r="J72" s="31">
        <f>IF(F72="","",(G72+H72+I72)/F72)</f>
        <v/>
      </c>
      <c r="K72" s="31" t="n"/>
      <c r="L72" s="13" t="n"/>
    </row>
    <row r="73" ht="22" customHeight="1">
      <c r="B73" s="16">
        <f>IF(C73="","ENG-"&amp;TEXT(COUNTA($C$5:C73),"000"))</f>
        <v/>
      </c>
      <c r="C73" s="11" t="n"/>
      <c r="D73" s="17" t="n"/>
      <c r="E73" s="17" t="n"/>
      <c r="F73" s="17" t="n"/>
      <c r="G73" s="17" t="n"/>
      <c r="H73" s="17" t="n"/>
      <c r="I73" s="17" t="n"/>
      <c r="J73" s="29">
        <f>IF(F73="","",(G73+H73+I73)/F73)</f>
        <v/>
      </c>
      <c r="K73" s="29" t="n"/>
      <c r="L73" s="11" t="n"/>
    </row>
    <row r="74" ht="22" customHeight="1">
      <c r="B74" s="15">
        <f>IF(C74="","ENG-"&amp;TEXT(COUNTA($C$5:C74),"000"))</f>
        <v/>
      </c>
      <c r="C74" s="13" t="n"/>
      <c r="D74" s="18" t="n"/>
      <c r="E74" s="18" t="n"/>
      <c r="F74" s="18" t="n"/>
      <c r="G74" s="18" t="n"/>
      <c r="H74" s="18" t="n"/>
      <c r="I74" s="18" t="n"/>
      <c r="J74" s="31">
        <f>IF(F74="","",(G74+H74+I74)/F74)</f>
        <v/>
      </c>
      <c r="K74" s="31" t="n"/>
      <c r="L74" s="13" t="n"/>
    </row>
    <row r="75" ht="22" customHeight="1">
      <c r="B75" s="16">
        <f>IF(C75="","ENG-"&amp;TEXT(COUNTA($C$5:C75),"000"))</f>
        <v/>
      </c>
      <c r="C75" s="11" t="n"/>
      <c r="D75" s="17" t="n"/>
      <c r="E75" s="17" t="n"/>
      <c r="F75" s="17" t="n"/>
      <c r="G75" s="17" t="n"/>
      <c r="H75" s="17" t="n"/>
      <c r="I75" s="17" t="n"/>
      <c r="J75" s="29">
        <f>IF(F75="","",(G75+H75+I75)/F75)</f>
        <v/>
      </c>
      <c r="K75" s="29" t="n"/>
      <c r="L75" s="11" t="n"/>
    </row>
    <row r="76" ht="22" customHeight="1">
      <c r="B76" s="15">
        <f>IF(C76="","ENG-"&amp;TEXT(COUNTA($C$5:C76),"000"))</f>
        <v/>
      </c>
      <c r="C76" s="13" t="n"/>
      <c r="D76" s="18" t="n"/>
      <c r="E76" s="18" t="n"/>
      <c r="F76" s="18" t="n"/>
      <c r="G76" s="18" t="n"/>
      <c r="H76" s="18" t="n"/>
      <c r="I76" s="18" t="n"/>
      <c r="J76" s="31">
        <f>IF(F76="","",(G76+H76+I76)/F76)</f>
        <v/>
      </c>
      <c r="K76" s="31" t="n"/>
      <c r="L76" s="13" t="n"/>
    </row>
    <row r="77" ht="22" customHeight="1">
      <c r="B77" s="16">
        <f>IF(C77="","ENG-"&amp;TEXT(COUNTA($C$5:C77),"000"))</f>
        <v/>
      </c>
      <c r="C77" s="11" t="n"/>
      <c r="D77" s="17" t="n"/>
      <c r="E77" s="17" t="n"/>
      <c r="F77" s="17" t="n"/>
      <c r="G77" s="17" t="n"/>
      <c r="H77" s="17" t="n"/>
      <c r="I77" s="17" t="n"/>
      <c r="J77" s="29">
        <f>IF(F77="","",(G77+H77+I77)/F77)</f>
        <v/>
      </c>
      <c r="K77" s="29" t="n"/>
      <c r="L77" s="11" t="n"/>
    </row>
    <row r="78" ht="22" customHeight="1">
      <c r="B78" s="15">
        <f>IF(C78="","ENG-"&amp;TEXT(COUNTA($C$5:C78),"000"))</f>
        <v/>
      </c>
      <c r="C78" s="13" t="n"/>
      <c r="D78" s="18" t="n"/>
      <c r="E78" s="18" t="n"/>
      <c r="F78" s="18" t="n"/>
      <c r="G78" s="18" t="n"/>
      <c r="H78" s="18" t="n"/>
      <c r="I78" s="18" t="n"/>
      <c r="J78" s="31">
        <f>IF(F78="","",(G78+H78+I78)/F78)</f>
        <v/>
      </c>
      <c r="K78" s="31" t="n"/>
      <c r="L78" s="13" t="n"/>
    </row>
    <row r="79" ht="22" customHeight="1">
      <c r="B79" s="16">
        <f>IF(C79="","ENG-"&amp;TEXT(COUNTA($C$5:C79),"000"))</f>
        <v/>
      </c>
      <c r="C79" s="11" t="n"/>
      <c r="D79" s="17" t="n"/>
      <c r="E79" s="17" t="n"/>
      <c r="F79" s="17" t="n"/>
      <c r="G79" s="17" t="n"/>
      <c r="H79" s="17" t="n"/>
      <c r="I79" s="17" t="n"/>
      <c r="J79" s="29">
        <f>IF(F79="","",(G79+H79+I79)/F79)</f>
        <v/>
      </c>
      <c r="K79" s="29" t="n"/>
      <c r="L79" s="11" t="n"/>
    </row>
    <row r="80" ht="22" customHeight="1">
      <c r="B80" s="15">
        <f>IF(C80="","ENG-"&amp;TEXT(COUNTA($C$5:C80),"000"))</f>
        <v/>
      </c>
      <c r="C80" s="13" t="n"/>
      <c r="D80" s="18" t="n"/>
      <c r="E80" s="18" t="n"/>
      <c r="F80" s="18" t="n"/>
      <c r="G80" s="18" t="n"/>
      <c r="H80" s="18" t="n"/>
      <c r="I80" s="18" t="n"/>
      <c r="J80" s="31">
        <f>IF(F80="","",(G80+H80+I80)/F80)</f>
        <v/>
      </c>
      <c r="K80" s="31" t="n"/>
      <c r="L80" s="13" t="n"/>
    </row>
    <row r="81" ht="22" customHeight="1">
      <c r="B81" s="16">
        <f>IF(C81="","ENG-"&amp;TEXT(COUNTA($C$5:C81),"000"))</f>
        <v/>
      </c>
      <c r="C81" s="11" t="n"/>
      <c r="D81" s="17" t="n"/>
      <c r="E81" s="17" t="n"/>
      <c r="F81" s="17" t="n"/>
      <c r="G81" s="17" t="n"/>
      <c r="H81" s="17" t="n"/>
      <c r="I81" s="17" t="n"/>
      <c r="J81" s="29">
        <f>IF(F81="","",(G81+H81+I81)/F81)</f>
        <v/>
      </c>
      <c r="K81" s="29" t="n"/>
      <c r="L81" s="11" t="n"/>
    </row>
    <row r="82" ht="22" customHeight="1">
      <c r="B82" s="15">
        <f>IF(C82="","ENG-"&amp;TEXT(COUNTA($C$5:C82),"000"))</f>
        <v/>
      </c>
      <c r="C82" s="13" t="n"/>
      <c r="D82" s="18" t="n"/>
      <c r="E82" s="18" t="n"/>
      <c r="F82" s="18" t="n"/>
      <c r="G82" s="18" t="n"/>
      <c r="H82" s="18" t="n"/>
      <c r="I82" s="18" t="n"/>
      <c r="J82" s="31">
        <f>IF(F82="","",(G82+H82+I82)/F82)</f>
        <v/>
      </c>
      <c r="K82" s="31" t="n"/>
      <c r="L82" s="13" t="n"/>
    </row>
    <row r="83" ht="22" customHeight="1">
      <c r="B83" s="16">
        <f>IF(C83="","ENG-"&amp;TEXT(COUNTA($C$5:C83),"000"))</f>
        <v/>
      </c>
      <c r="C83" s="11" t="n"/>
      <c r="D83" s="17" t="n"/>
      <c r="E83" s="17" t="n"/>
      <c r="F83" s="17" t="n"/>
      <c r="G83" s="17" t="n"/>
      <c r="H83" s="17" t="n"/>
      <c r="I83" s="17" t="n"/>
      <c r="J83" s="29">
        <f>IF(F83="","",(G83+H83+I83)/F83)</f>
        <v/>
      </c>
      <c r="K83" s="29" t="n"/>
      <c r="L83" s="11" t="n"/>
    </row>
    <row r="84" ht="22" customHeight="1">
      <c r="B84" s="15">
        <f>IF(C84="","ENG-"&amp;TEXT(COUNTA($C$5:C84),"000"))</f>
        <v/>
      </c>
      <c r="C84" s="13" t="n"/>
      <c r="D84" s="18" t="n"/>
      <c r="E84" s="18" t="n"/>
      <c r="F84" s="18" t="n"/>
      <c r="G84" s="18" t="n"/>
      <c r="H84" s="18" t="n"/>
      <c r="I84" s="18" t="n"/>
      <c r="J84" s="31">
        <f>IF(F84="","",(G84+H84+I84)/F84)</f>
        <v/>
      </c>
      <c r="K84" s="31" t="n"/>
      <c r="L84" s="13" t="n"/>
    </row>
    <row r="85" ht="22" customHeight="1">
      <c r="B85" s="16">
        <f>IF(C85="","ENG-"&amp;TEXT(COUNTA($C$5:C85),"000"))</f>
        <v/>
      </c>
      <c r="C85" s="11" t="n"/>
      <c r="D85" s="17" t="n"/>
      <c r="E85" s="17" t="n"/>
      <c r="F85" s="17" t="n"/>
      <c r="G85" s="17" t="n"/>
      <c r="H85" s="17" t="n"/>
      <c r="I85" s="17" t="n"/>
      <c r="J85" s="29">
        <f>IF(F85="","",(G85+H85+I85)/F85)</f>
        <v/>
      </c>
      <c r="K85" s="29" t="n"/>
      <c r="L85" s="11" t="n"/>
    </row>
    <row r="86" ht="22" customHeight="1">
      <c r="B86" s="15">
        <f>IF(C86="","ENG-"&amp;TEXT(COUNTA($C$5:C86),"000"))</f>
        <v/>
      </c>
      <c r="C86" s="13" t="n"/>
      <c r="D86" s="18" t="n"/>
      <c r="E86" s="18" t="n"/>
      <c r="F86" s="18" t="n"/>
      <c r="G86" s="18" t="n"/>
      <c r="H86" s="18" t="n"/>
      <c r="I86" s="18" t="n"/>
      <c r="J86" s="31">
        <f>IF(F86="","",(G86+H86+I86)/F86)</f>
        <v/>
      </c>
      <c r="K86" s="31" t="n"/>
      <c r="L86" s="13" t="n"/>
    </row>
    <row r="87" ht="22" customHeight="1">
      <c r="B87" s="16">
        <f>IF(C87="","ENG-"&amp;TEXT(COUNTA($C$5:C87),"000"))</f>
        <v/>
      </c>
      <c r="C87" s="11" t="n"/>
      <c r="D87" s="17" t="n"/>
      <c r="E87" s="17" t="n"/>
      <c r="F87" s="17" t="n"/>
      <c r="G87" s="17" t="n"/>
      <c r="H87" s="17" t="n"/>
      <c r="I87" s="17" t="n"/>
      <c r="J87" s="29">
        <f>IF(F87="","",(G87+H87+I87)/F87)</f>
        <v/>
      </c>
      <c r="K87" s="29" t="n"/>
      <c r="L87" s="11" t="n"/>
    </row>
    <row r="88" ht="22" customHeight="1">
      <c r="B88" s="15">
        <f>IF(C88="","ENG-"&amp;TEXT(COUNTA($C$5:C88),"000"))</f>
        <v/>
      </c>
      <c r="C88" s="13" t="n"/>
      <c r="D88" s="18" t="n"/>
      <c r="E88" s="18" t="n"/>
      <c r="F88" s="18" t="n"/>
      <c r="G88" s="18" t="n"/>
      <c r="H88" s="18" t="n"/>
      <c r="I88" s="18" t="n"/>
      <c r="J88" s="31">
        <f>IF(F88="","",(G88+H88+I88)/F88)</f>
        <v/>
      </c>
      <c r="K88" s="31" t="n"/>
      <c r="L88" s="13" t="n"/>
    </row>
    <row r="89" ht="22" customHeight="1">
      <c r="B89" s="16">
        <f>IF(C89="","ENG-"&amp;TEXT(COUNTA($C$5:C89),"000"))</f>
        <v/>
      </c>
      <c r="C89" s="11" t="n"/>
      <c r="D89" s="17" t="n"/>
      <c r="E89" s="17" t="n"/>
      <c r="F89" s="17" t="n"/>
      <c r="G89" s="17" t="n"/>
      <c r="H89" s="17" t="n"/>
      <c r="I89" s="17" t="n"/>
      <c r="J89" s="29">
        <f>IF(F89="","",(G89+H89+I89)/F89)</f>
        <v/>
      </c>
      <c r="K89" s="29" t="n"/>
      <c r="L89" s="11" t="n"/>
    </row>
    <row r="90" ht="22" customHeight="1">
      <c r="B90" s="15">
        <f>IF(C90="","ENG-"&amp;TEXT(COUNTA($C$5:C90),"000"))</f>
        <v/>
      </c>
      <c r="C90" s="13" t="n"/>
      <c r="D90" s="18" t="n"/>
      <c r="E90" s="18" t="n"/>
      <c r="F90" s="18" t="n"/>
      <c r="G90" s="18" t="n"/>
      <c r="H90" s="18" t="n"/>
      <c r="I90" s="18" t="n"/>
      <c r="J90" s="31">
        <f>IF(F90="","",(G90+H90+I90)/F90)</f>
        <v/>
      </c>
      <c r="K90" s="31" t="n"/>
      <c r="L90" s="13" t="n"/>
    </row>
    <row r="91" ht="22" customHeight="1">
      <c r="B91" s="16">
        <f>IF(C91="","ENG-"&amp;TEXT(COUNTA($C$5:C91),"000"))</f>
        <v/>
      </c>
      <c r="C91" s="11" t="n"/>
      <c r="D91" s="17" t="n"/>
      <c r="E91" s="17" t="n"/>
      <c r="F91" s="17" t="n"/>
      <c r="G91" s="17" t="n"/>
      <c r="H91" s="17" t="n"/>
      <c r="I91" s="17" t="n"/>
      <c r="J91" s="29">
        <f>IF(F91="","",(G91+H91+I91)/F91)</f>
        <v/>
      </c>
      <c r="K91" s="29" t="n"/>
      <c r="L91" s="11" t="n"/>
    </row>
    <row r="92" ht="22" customHeight="1">
      <c r="B92" s="15">
        <f>IF(C92="","ENG-"&amp;TEXT(COUNTA($C$5:C92),"000"))</f>
        <v/>
      </c>
      <c r="C92" s="13" t="n"/>
      <c r="D92" s="18" t="n"/>
      <c r="E92" s="18" t="n"/>
      <c r="F92" s="18" t="n"/>
      <c r="G92" s="18" t="n"/>
      <c r="H92" s="18" t="n"/>
      <c r="I92" s="18" t="n"/>
      <c r="J92" s="31">
        <f>IF(F92="","",(G92+H92+I92)/F92)</f>
        <v/>
      </c>
      <c r="K92" s="31" t="n"/>
      <c r="L92" s="13" t="n"/>
    </row>
    <row r="93" ht="22" customHeight="1">
      <c r="B93" s="16">
        <f>IF(C93="","ENG-"&amp;TEXT(COUNTA($C$5:C93),"000"))</f>
        <v/>
      </c>
      <c r="C93" s="11" t="n"/>
      <c r="D93" s="17" t="n"/>
      <c r="E93" s="17" t="n"/>
      <c r="F93" s="17" t="n"/>
      <c r="G93" s="17" t="n"/>
      <c r="H93" s="17" t="n"/>
      <c r="I93" s="17" t="n"/>
      <c r="J93" s="29">
        <f>IF(F93="","",(G93+H93+I93)/F93)</f>
        <v/>
      </c>
      <c r="K93" s="29" t="n"/>
      <c r="L93" s="11" t="n"/>
    </row>
    <row r="94" ht="22" customHeight="1">
      <c r="B94" s="15">
        <f>IF(C94="","ENG-"&amp;TEXT(COUNTA($C$5:C94),"000"))</f>
        <v/>
      </c>
      <c r="C94" s="13" t="n"/>
      <c r="D94" s="18" t="n"/>
      <c r="E94" s="18" t="n"/>
      <c r="F94" s="18" t="n"/>
      <c r="G94" s="18" t="n"/>
      <c r="H94" s="18" t="n"/>
      <c r="I94" s="18" t="n"/>
      <c r="J94" s="31">
        <f>IF(F94="","",(G94+H94+I94)/F94)</f>
        <v/>
      </c>
      <c r="K94" s="31" t="n"/>
      <c r="L94" s="13" t="n"/>
    </row>
    <row r="95" ht="22" customHeight="1">
      <c r="B95" s="16">
        <f>IF(C95="","ENG-"&amp;TEXT(COUNTA($C$5:C95),"000"))</f>
        <v/>
      </c>
      <c r="C95" s="11" t="n"/>
      <c r="D95" s="17" t="n"/>
      <c r="E95" s="17" t="n"/>
      <c r="F95" s="17" t="n"/>
      <c r="G95" s="17" t="n"/>
      <c r="H95" s="17" t="n"/>
      <c r="I95" s="17" t="n"/>
      <c r="J95" s="29">
        <f>IF(F95="","",(G95+H95+I95)/F95)</f>
        <v/>
      </c>
      <c r="K95" s="29" t="n"/>
      <c r="L95" s="11" t="n"/>
    </row>
    <row r="96" ht="22" customHeight="1">
      <c r="B96" s="15">
        <f>IF(C96="","ENG-"&amp;TEXT(COUNTA($C$5:C96),"000"))</f>
        <v/>
      </c>
      <c r="C96" s="13" t="n"/>
      <c r="D96" s="18" t="n"/>
      <c r="E96" s="18" t="n"/>
      <c r="F96" s="18" t="n"/>
      <c r="G96" s="18" t="n"/>
      <c r="H96" s="18" t="n"/>
      <c r="I96" s="18" t="n"/>
      <c r="J96" s="31">
        <f>IF(F96="","",(G96+H96+I96)/F96)</f>
        <v/>
      </c>
      <c r="K96" s="31" t="n"/>
      <c r="L96" s="13" t="n"/>
    </row>
    <row r="97" ht="22" customHeight="1">
      <c r="B97" s="16">
        <f>IF(C97="","ENG-"&amp;TEXT(COUNTA($C$5:C97),"000"))</f>
        <v/>
      </c>
      <c r="C97" s="11" t="n"/>
      <c r="D97" s="17" t="n"/>
      <c r="E97" s="17" t="n"/>
      <c r="F97" s="17" t="n"/>
      <c r="G97" s="17" t="n"/>
      <c r="H97" s="17" t="n"/>
      <c r="I97" s="17" t="n"/>
      <c r="J97" s="29">
        <f>IF(F97="","",(G97+H97+I97)/F97)</f>
        <v/>
      </c>
      <c r="K97" s="29" t="n"/>
      <c r="L97" s="11" t="n"/>
    </row>
    <row r="98" ht="22" customHeight="1">
      <c r="B98" s="15">
        <f>IF(C98="","ENG-"&amp;TEXT(COUNTA($C$5:C98),"000"))</f>
        <v/>
      </c>
      <c r="C98" s="13" t="n"/>
      <c r="D98" s="18" t="n"/>
      <c r="E98" s="18" t="n"/>
      <c r="F98" s="18" t="n"/>
      <c r="G98" s="18" t="n"/>
      <c r="H98" s="18" t="n"/>
      <c r="I98" s="18" t="n"/>
      <c r="J98" s="31">
        <f>IF(F98="","",(G98+H98+I98)/F98)</f>
        <v/>
      </c>
      <c r="K98" s="31" t="n"/>
      <c r="L98" s="13" t="n"/>
    </row>
    <row r="99" ht="22" customHeight="1">
      <c r="B99" s="16">
        <f>IF(C99="","ENG-"&amp;TEXT(COUNTA($C$5:C99),"000"))</f>
        <v/>
      </c>
      <c r="C99" s="11" t="n"/>
      <c r="D99" s="17" t="n"/>
      <c r="E99" s="17" t="n"/>
      <c r="F99" s="17" t="n"/>
      <c r="G99" s="17" t="n"/>
      <c r="H99" s="17" t="n"/>
      <c r="I99" s="17" t="n"/>
      <c r="J99" s="29">
        <f>IF(F99="","",(G99+H99+I99)/F99)</f>
        <v/>
      </c>
      <c r="K99" s="29" t="n"/>
      <c r="L99" s="11" t="n"/>
    </row>
    <row r="100" ht="22" customHeight="1">
      <c r="B100" s="15">
        <f>IF(C100="","ENG-"&amp;TEXT(COUNTA($C$5:C100),"000"))</f>
        <v/>
      </c>
      <c r="C100" s="13" t="n"/>
      <c r="D100" s="18" t="n"/>
      <c r="E100" s="18" t="n"/>
      <c r="F100" s="18" t="n"/>
      <c r="G100" s="18" t="n"/>
      <c r="H100" s="18" t="n"/>
      <c r="I100" s="18" t="n"/>
      <c r="J100" s="31">
        <f>IF(F100="","",(G100+H100+I100)/F100)</f>
        <v/>
      </c>
      <c r="K100" s="31" t="n"/>
      <c r="L100" s="13" t="n"/>
    </row>
    <row r="101" ht="22" customHeight="1">
      <c r="B101" s="16">
        <f>IF(C101="","ENG-"&amp;TEXT(COUNTA($C$5:C101),"000"))</f>
        <v/>
      </c>
      <c r="C101" s="11" t="n"/>
      <c r="D101" s="17" t="n"/>
      <c r="E101" s="17" t="n"/>
      <c r="F101" s="17" t="n"/>
      <c r="G101" s="17" t="n"/>
      <c r="H101" s="17" t="n"/>
      <c r="I101" s="17" t="n"/>
      <c r="J101" s="29">
        <f>IF(F101="","",(G101+H101+I101)/F101)</f>
        <v/>
      </c>
      <c r="K101" s="29" t="n"/>
      <c r="L101" s="11" t="n"/>
    </row>
    <row r="102" ht="22" customHeight="1">
      <c r="B102" s="15">
        <f>IF(C102="","ENG-"&amp;TEXT(COUNTA($C$5:C102),"000"))</f>
        <v/>
      </c>
      <c r="C102" s="13" t="n"/>
      <c r="D102" s="18" t="n"/>
      <c r="E102" s="18" t="n"/>
      <c r="F102" s="18" t="n"/>
      <c r="G102" s="18" t="n"/>
      <c r="H102" s="18" t="n"/>
      <c r="I102" s="18" t="n"/>
      <c r="J102" s="31">
        <f>IF(F102="","",(G102+H102+I102)/F102)</f>
        <v/>
      </c>
      <c r="K102" s="31" t="n"/>
      <c r="L102" s="13" t="n"/>
    </row>
    <row r="103" ht="22" customHeight="1">
      <c r="B103" s="16">
        <f>IF(C103="","ENG-"&amp;TEXT(COUNTA($C$5:C103),"000"))</f>
        <v/>
      </c>
      <c r="C103" s="11" t="n"/>
      <c r="D103" s="17" t="n"/>
      <c r="E103" s="17" t="n"/>
      <c r="F103" s="17" t="n"/>
      <c r="G103" s="17" t="n"/>
      <c r="H103" s="17" t="n"/>
      <c r="I103" s="17" t="n"/>
      <c r="J103" s="29">
        <f>IF(F103="","",(G103+H103+I103)/F103)</f>
        <v/>
      </c>
      <c r="K103" s="29" t="n"/>
      <c r="L103" s="11" t="n"/>
    </row>
    <row r="104" ht="22" customHeight="1">
      <c r="B104" s="15">
        <f>IF(C104="","ENG-"&amp;TEXT(COUNTA($C$5:C104),"000"))</f>
        <v/>
      </c>
      <c r="C104" s="13" t="n"/>
      <c r="D104" s="18" t="n"/>
      <c r="E104" s="18" t="n"/>
      <c r="F104" s="18" t="n"/>
      <c r="G104" s="18" t="n"/>
      <c r="H104" s="18" t="n"/>
      <c r="I104" s="18" t="n"/>
      <c r="J104" s="31">
        <f>IF(F104="","",(G104+H104+I104)/F104)</f>
        <v/>
      </c>
      <c r="K104" s="31" t="n"/>
      <c r="L104" s="13" t="n"/>
    </row>
    <row r="105" ht="22" customHeight="1">
      <c r="B105" s="16">
        <f>IF(C105="","ENG-"&amp;TEXT(COUNTA($C$5:C105),"000"))</f>
        <v/>
      </c>
      <c r="C105" s="11" t="n"/>
      <c r="D105" s="17" t="n"/>
      <c r="E105" s="17" t="n"/>
      <c r="F105" s="17" t="n"/>
      <c r="G105" s="17" t="n"/>
      <c r="H105" s="17" t="n"/>
      <c r="I105" s="17" t="n"/>
      <c r="J105" s="29">
        <f>IF(F105="","",(G105+H105+I105)/F105)</f>
        <v/>
      </c>
      <c r="K105" s="29" t="n"/>
      <c r="L105" s="11" t="n"/>
    </row>
    <row r="106" ht="22" customHeight="1">
      <c r="B106" s="15">
        <f>IF(C106="","ENG-"&amp;TEXT(COUNTA($C$5:C106),"000"))</f>
        <v/>
      </c>
      <c r="C106" s="13" t="n"/>
      <c r="D106" s="18" t="n"/>
      <c r="E106" s="18" t="n"/>
      <c r="F106" s="18" t="n"/>
      <c r="G106" s="18" t="n"/>
      <c r="H106" s="18" t="n"/>
      <c r="I106" s="18" t="n"/>
      <c r="J106" s="31">
        <f>IF(F106="","",(G106+H106+I106)/F106)</f>
        <v/>
      </c>
      <c r="K106" s="31" t="n"/>
      <c r="L106" s="13" t="n"/>
    </row>
    <row r="107" ht="22" customHeight="1">
      <c r="B107" s="16">
        <f>IF(C107="","ENG-"&amp;TEXT(COUNTA($C$5:C107),"000"))</f>
        <v/>
      </c>
      <c r="C107" s="11" t="n"/>
      <c r="D107" s="17" t="n"/>
      <c r="E107" s="17" t="n"/>
      <c r="F107" s="17" t="n"/>
      <c r="G107" s="17" t="n"/>
      <c r="H107" s="17" t="n"/>
      <c r="I107" s="17" t="n"/>
      <c r="J107" s="29">
        <f>IF(F107="","",(G107+H107+I107)/F107)</f>
        <v/>
      </c>
      <c r="K107" s="29" t="n"/>
      <c r="L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Plateformes suivies</t>
        </is>
      </c>
      <c r="D110" s="3" t="inlineStr">
        <is>
          <t>Total abonnes</t>
        </is>
      </c>
      <c r="F110" s="3" t="inlineStr">
        <is>
          <t>Engagement moyen</t>
        </is>
      </c>
    </row>
    <row r="111">
      <c r="B111" s="4">
        <f>COUNTIF(B5:B104,"&lt;&gt;")</f>
        <v/>
      </c>
      <c r="D111" s="4">
        <f>SUM(D5:D104)</f>
        <v/>
      </c>
      <c r="F111" s="4">
        <f>IFERROR(AVERAGE(J5:J104),0)</f>
        <v/>
      </c>
    </row>
  </sheetData>
  <mergeCells count="3">
    <mergeCell ref="B2:L2"/>
    <mergeCell ref="B109:L109"/>
    <mergeCell ref="B3:L3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dataValidations count="1">
    <dataValidation sqref="C5:C107" showDropDown="0" showInputMessage="0" showErrorMessage="0" allowBlank="1" errorTitle="Erreur" error="Valeur invalide" promptTitle="Liste" prompt="Choisir dans la liste" type="list">
      <formula1>'_Lists'!$H$2:$H$11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4" customWidth="1" min="4" max="4"/>
    <col width="24" customWidth="1" min="5" max="5"/>
    <col width="18" customWidth="1" min="6" max="6"/>
    <col width="24" customWidth="1" min="7" max="7"/>
    <col width="24" customWidth="1" min="8" max="8"/>
    <col width="24" customWidth="1" min="9" max="9"/>
    <col width="22" customWidth="1" min="10" max="10"/>
  </cols>
  <sheetData>
    <row r="1" ht="15" customHeight="1"/>
    <row r="2" ht="32" customHeight="1">
      <c r="B2" s="1" t="inlineStr">
        <is>
          <t>ANALYSE CANDIDATURES SPONTANEES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Mois</t>
        </is>
      </c>
      <c r="D4" s="10" t="inlineStr">
        <is>
          <t>Nb Candidatures Recues</t>
        </is>
      </c>
      <c r="E4" s="10" t="inlineStr">
        <is>
          <t>Nb Entretiens Realises</t>
        </is>
      </c>
      <c r="F4" s="10" t="inlineStr">
        <is>
          <t>Nb Recrutements</t>
        </is>
      </c>
      <c r="G4" s="10" t="inlineStr">
        <is>
          <t>Taux Transformation (%)</t>
        </is>
      </c>
      <c r="H4" s="10" t="inlineStr">
        <is>
          <t>Duree Moy. Processus (j)</t>
        </is>
      </c>
      <c r="I4" s="10" t="inlineStr">
        <is>
          <t>Poste le Plus Demande</t>
        </is>
      </c>
      <c r="J4" s="10" t="inlineStr">
        <is>
          <t>Source Principale</t>
        </is>
      </c>
    </row>
    <row r="5" ht="22" customHeight="1">
      <c r="B5" s="11" t="inlineStr">
        <is>
          <t>ACS-001</t>
        </is>
      </c>
      <c r="C5" s="11" t="inlineStr">
        <is>
          <t>Janvier 2025</t>
        </is>
      </c>
      <c r="D5" s="17" t="n">
        <v>12</v>
      </c>
      <c r="E5" s="17" t="n">
        <v>5</v>
      </c>
      <c r="F5" s="17" t="n">
        <v>2</v>
      </c>
      <c r="G5" s="29" t="n"/>
      <c r="H5" s="19" t="n">
        <v>18</v>
      </c>
      <c r="I5" s="11" t="inlineStr">
        <is>
          <t>Receptionniste</t>
        </is>
      </c>
      <c r="J5" s="11" t="inlineStr">
        <is>
          <t>Site web hotel</t>
        </is>
      </c>
    </row>
    <row r="6" ht="22" customHeight="1">
      <c r="B6" s="13" t="inlineStr">
        <is>
          <t>ACS-002</t>
        </is>
      </c>
      <c r="C6" s="13" t="inlineStr">
        <is>
          <t>Fevrier 2025</t>
        </is>
      </c>
      <c r="D6" s="18" t="n">
        <v>15</v>
      </c>
      <c r="E6" s="18" t="n">
        <v>7</v>
      </c>
      <c r="F6" s="18" t="n">
        <v>3</v>
      </c>
      <c r="G6" s="31" t="n"/>
      <c r="H6" s="20" t="n">
        <v>15</v>
      </c>
      <c r="I6" s="13" t="inlineStr">
        <is>
          <t>Cuisinier</t>
        </is>
      </c>
      <c r="J6" s="13" t="inlineStr">
        <is>
          <t>LinkedIn</t>
        </is>
      </c>
    </row>
    <row r="7" ht="22" customHeight="1">
      <c r="B7" s="11" t="inlineStr">
        <is>
          <t>ACS-003</t>
        </is>
      </c>
      <c r="C7" s="11" t="inlineStr">
        <is>
          <t>Mars 2025</t>
        </is>
      </c>
      <c r="D7" s="17" t="n">
        <v>8</v>
      </c>
      <c r="E7" s="17" t="n">
        <v>4</v>
      </c>
      <c r="F7" s="17" t="n">
        <v>1</v>
      </c>
      <c r="G7" s="29" t="n"/>
      <c r="H7" s="19" t="n">
        <v>22</v>
      </c>
      <c r="I7" s="11" t="inlineStr">
        <is>
          <t>Technicien IT</t>
        </is>
      </c>
      <c r="J7" s="11" t="inlineStr">
        <is>
          <t>Bouche a oreille</t>
        </is>
      </c>
    </row>
    <row r="8" ht="22" customHeight="1">
      <c r="B8" s="15">
        <f>IF(C8="","ACS-"&amp;TEXT(COUNTA($C$5:C8),"000"))</f>
        <v/>
      </c>
      <c r="C8" s="13" t="n"/>
      <c r="D8" s="18" t="n"/>
      <c r="E8" s="18" t="n"/>
      <c r="F8" s="18" t="n"/>
      <c r="G8" s="31">
        <f>IF(D8="","",F8/D8)</f>
        <v/>
      </c>
      <c r="H8" s="20" t="n"/>
      <c r="I8" s="13" t="n"/>
      <c r="J8" s="13" t="n"/>
    </row>
    <row r="9" ht="22" customHeight="1">
      <c r="B9" s="16">
        <f>IF(C9="","ACS-"&amp;TEXT(COUNTA($C$5:C9),"000"))</f>
        <v/>
      </c>
      <c r="C9" s="11" t="n"/>
      <c r="D9" s="17" t="n"/>
      <c r="E9" s="17" t="n"/>
      <c r="F9" s="17" t="n"/>
      <c r="G9" s="29">
        <f>IF(D9="","",F9/D9)</f>
        <v/>
      </c>
      <c r="H9" s="19" t="n"/>
      <c r="I9" s="11" t="n"/>
      <c r="J9" s="11" t="n"/>
    </row>
    <row r="10" ht="22" customHeight="1">
      <c r="B10" s="15">
        <f>IF(C10="","ACS-"&amp;TEXT(COUNTA($C$5:C10),"000"))</f>
        <v/>
      </c>
      <c r="C10" s="13" t="n"/>
      <c r="D10" s="18" t="n"/>
      <c r="E10" s="18" t="n"/>
      <c r="F10" s="18" t="n"/>
      <c r="G10" s="31">
        <f>IF(D10="","",F10/D10)</f>
        <v/>
      </c>
      <c r="H10" s="20" t="n"/>
      <c r="I10" s="13" t="n"/>
      <c r="J10" s="13" t="n"/>
    </row>
    <row r="11" ht="22" customHeight="1">
      <c r="B11" s="16">
        <f>IF(C11="","ACS-"&amp;TEXT(COUNTA($C$5:C11),"000"))</f>
        <v/>
      </c>
      <c r="C11" s="11" t="n"/>
      <c r="D11" s="17" t="n"/>
      <c r="E11" s="17" t="n"/>
      <c r="F11" s="17" t="n"/>
      <c r="G11" s="29">
        <f>IF(D11="","",F11/D11)</f>
        <v/>
      </c>
      <c r="H11" s="19" t="n"/>
      <c r="I11" s="11" t="n"/>
      <c r="J11" s="11" t="n"/>
    </row>
    <row r="12" ht="22" customHeight="1">
      <c r="B12" s="15">
        <f>IF(C12="","ACS-"&amp;TEXT(COUNTA($C$5:C12),"000"))</f>
        <v/>
      </c>
      <c r="C12" s="13" t="n"/>
      <c r="D12" s="18" t="n"/>
      <c r="E12" s="18" t="n"/>
      <c r="F12" s="18" t="n"/>
      <c r="G12" s="31">
        <f>IF(D12="","",F12/D12)</f>
        <v/>
      </c>
      <c r="H12" s="20" t="n"/>
      <c r="I12" s="13" t="n"/>
      <c r="J12" s="13" t="n"/>
    </row>
    <row r="13" ht="22" customHeight="1">
      <c r="B13" s="16">
        <f>IF(C13="","ACS-"&amp;TEXT(COUNTA($C$5:C13),"000"))</f>
        <v/>
      </c>
      <c r="C13" s="11" t="n"/>
      <c r="D13" s="17" t="n"/>
      <c r="E13" s="17" t="n"/>
      <c r="F13" s="17" t="n"/>
      <c r="G13" s="29">
        <f>IF(D13="","",F13/D13)</f>
        <v/>
      </c>
      <c r="H13" s="19" t="n"/>
      <c r="I13" s="11" t="n"/>
      <c r="J13" s="11" t="n"/>
    </row>
    <row r="14" ht="22" customHeight="1">
      <c r="B14" s="15">
        <f>IF(C14="","ACS-"&amp;TEXT(COUNTA($C$5:C14),"000"))</f>
        <v/>
      </c>
      <c r="C14" s="13" t="n"/>
      <c r="D14" s="18" t="n"/>
      <c r="E14" s="18" t="n"/>
      <c r="F14" s="18" t="n"/>
      <c r="G14" s="31">
        <f>IF(D14="","",F14/D14)</f>
        <v/>
      </c>
      <c r="H14" s="20" t="n"/>
      <c r="I14" s="13" t="n"/>
      <c r="J14" s="13" t="n"/>
    </row>
    <row r="15" ht="22" customHeight="1">
      <c r="B15" s="16">
        <f>IF(C15="","ACS-"&amp;TEXT(COUNTA($C$5:C15),"000"))</f>
        <v/>
      </c>
      <c r="C15" s="11" t="n"/>
      <c r="D15" s="17" t="n"/>
      <c r="E15" s="17" t="n"/>
      <c r="F15" s="17" t="n"/>
      <c r="G15" s="29">
        <f>IF(D15="","",F15/D15)</f>
        <v/>
      </c>
      <c r="H15" s="19" t="n"/>
      <c r="I15" s="11" t="n"/>
      <c r="J15" s="11" t="n"/>
    </row>
    <row r="16" ht="22" customHeight="1">
      <c r="B16" s="15">
        <f>IF(C16="","ACS-"&amp;TEXT(COUNTA($C$5:C16),"000"))</f>
        <v/>
      </c>
      <c r="C16" s="13" t="n"/>
      <c r="D16" s="18" t="n"/>
      <c r="E16" s="18" t="n"/>
      <c r="F16" s="18" t="n"/>
      <c r="G16" s="31">
        <f>IF(D16="","",F16/D16)</f>
        <v/>
      </c>
      <c r="H16" s="20" t="n"/>
      <c r="I16" s="13" t="n"/>
      <c r="J16" s="13" t="n"/>
    </row>
    <row r="17" ht="22" customHeight="1">
      <c r="B17" s="16">
        <f>IF(C17="","ACS-"&amp;TEXT(COUNTA($C$5:C17),"000"))</f>
        <v/>
      </c>
      <c r="C17" s="11" t="n"/>
      <c r="D17" s="17" t="n"/>
      <c r="E17" s="17" t="n"/>
      <c r="F17" s="17" t="n"/>
      <c r="G17" s="29">
        <f>IF(D17="","",F17/D17)</f>
        <v/>
      </c>
      <c r="H17" s="19" t="n"/>
      <c r="I17" s="11" t="n"/>
      <c r="J17" s="11" t="n"/>
    </row>
    <row r="18" ht="22" customHeight="1">
      <c r="B18" s="15">
        <f>IF(C18="","ACS-"&amp;TEXT(COUNTA($C$5:C18),"000"))</f>
        <v/>
      </c>
      <c r="C18" s="13" t="n"/>
      <c r="D18" s="18" t="n"/>
      <c r="E18" s="18" t="n"/>
      <c r="F18" s="18" t="n"/>
      <c r="G18" s="31">
        <f>IF(D18="","",F18/D18)</f>
        <v/>
      </c>
      <c r="H18" s="20" t="n"/>
      <c r="I18" s="13" t="n"/>
      <c r="J18" s="13" t="n"/>
    </row>
    <row r="19" ht="22" customHeight="1">
      <c r="B19" s="16">
        <f>IF(C19="","ACS-"&amp;TEXT(COUNTA($C$5:C19),"000"))</f>
        <v/>
      </c>
      <c r="C19" s="11" t="n"/>
      <c r="D19" s="17" t="n"/>
      <c r="E19" s="17" t="n"/>
      <c r="F19" s="17" t="n"/>
      <c r="G19" s="29">
        <f>IF(D19="","",F19/D19)</f>
        <v/>
      </c>
      <c r="H19" s="19" t="n"/>
      <c r="I19" s="11" t="n"/>
      <c r="J19" s="11" t="n"/>
    </row>
    <row r="20" ht="22" customHeight="1">
      <c r="B20" s="15">
        <f>IF(C20="","ACS-"&amp;TEXT(COUNTA($C$5:C20),"000"))</f>
        <v/>
      </c>
      <c r="C20" s="13" t="n"/>
      <c r="D20" s="18" t="n"/>
      <c r="E20" s="18" t="n"/>
      <c r="F20" s="18" t="n"/>
      <c r="G20" s="31">
        <f>IF(D20="","",F20/D20)</f>
        <v/>
      </c>
      <c r="H20" s="20" t="n"/>
      <c r="I20" s="13" t="n"/>
      <c r="J20" s="13" t="n"/>
    </row>
    <row r="21" ht="22" customHeight="1">
      <c r="B21" s="16">
        <f>IF(C21="","ACS-"&amp;TEXT(COUNTA($C$5:C21),"000"))</f>
        <v/>
      </c>
      <c r="C21" s="11" t="n"/>
      <c r="D21" s="17" t="n"/>
      <c r="E21" s="17" t="n"/>
      <c r="F21" s="17" t="n"/>
      <c r="G21" s="29">
        <f>IF(D21="","",F21/D21)</f>
        <v/>
      </c>
      <c r="H21" s="19" t="n"/>
      <c r="I21" s="11" t="n"/>
      <c r="J21" s="11" t="n"/>
    </row>
    <row r="22" ht="22" customHeight="1">
      <c r="B22" s="15">
        <f>IF(C22="","ACS-"&amp;TEXT(COUNTA($C$5:C22),"000"))</f>
        <v/>
      </c>
      <c r="C22" s="13" t="n"/>
      <c r="D22" s="18" t="n"/>
      <c r="E22" s="18" t="n"/>
      <c r="F22" s="18" t="n"/>
      <c r="G22" s="31">
        <f>IF(D22="","",F22/D22)</f>
        <v/>
      </c>
      <c r="H22" s="20" t="n"/>
      <c r="I22" s="13" t="n"/>
      <c r="J22" s="13" t="n"/>
    </row>
    <row r="23" ht="22" customHeight="1">
      <c r="B23" s="16">
        <f>IF(C23="","ACS-"&amp;TEXT(COUNTA($C$5:C23),"000"))</f>
        <v/>
      </c>
      <c r="C23" s="11" t="n"/>
      <c r="D23" s="17" t="n"/>
      <c r="E23" s="17" t="n"/>
      <c r="F23" s="17" t="n"/>
      <c r="G23" s="29">
        <f>IF(D23="","",F23/D23)</f>
        <v/>
      </c>
      <c r="H23" s="19" t="n"/>
      <c r="I23" s="11" t="n"/>
      <c r="J23" s="11" t="n"/>
    </row>
    <row r="24" ht="22" customHeight="1">
      <c r="B24" s="15">
        <f>IF(C24="","ACS-"&amp;TEXT(COUNTA($C$5:C24),"000"))</f>
        <v/>
      </c>
      <c r="C24" s="13" t="n"/>
      <c r="D24" s="18" t="n"/>
      <c r="E24" s="18" t="n"/>
      <c r="F24" s="18" t="n"/>
      <c r="G24" s="31">
        <f>IF(D24="","",F24/D24)</f>
        <v/>
      </c>
      <c r="H24" s="20" t="n"/>
      <c r="I24" s="13" t="n"/>
      <c r="J24" s="13" t="n"/>
    </row>
    <row r="25" ht="22" customHeight="1">
      <c r="B25" s="16">
        <f>IF(C25="","ACS-"&amp;TEXT(COUNTA($C$5:C25),"000"))</f>
        <v/>
      </c>
      <c r="C25" s="11" t="n"/>
      <c r="D25" s="17" t="n"/>
      <c r="E25" s="17" t="n"/>
      <c r="F25" s="17" t="n"/>
      <c r="G25" s="29">
        <f>IF(D25="","",F25/D25)</f>
        <v/>
      </c>
      <c r="H25" s="19" t="n"/>
      <c r="I25" s="11" t="n"/>
      <c r="J25" s="11" t="n"/>
    </row>
    <row r="26" ht="22" customHeight="1">
      <c r="B26" s="15">
        <f>IF(C26="","ACS-"&amp;TEXT(COUNTA($C$5:C26),"000"))</f>
        <v/>
      </c>
      <c r="C26" s="13" t="n"/>
      <c r="D26" s="18" t="n"/>
      <c r="E26" s="18" t="n"/>
      <c r="F26" s="18" t="n"/>
      <c r="G26" s="31">
        <f>IF(D26="","",F26/D26)</f>
        <v/>
      </c>
      <c r="H26" s="20" t="n"/>
      <c r="I26" s="13" t="n"/>
      <c r="J26" s="13" t="n"/>
    </row>
    <row r="27" ht="22" customHeight="1">
      <c r="B27" s="16">
        <f>IF(C27="","ACS-"&amp;TEXT(COUNTA($C$5:C27),"000"))</f>
        <v/>
      </c>
      <c r="C27" s="11" t="n"/>
      <c r="D27" s="17" t="n"/>
      <c r="E27" s="17" t="n"/>
      <c r="F27" s="17" t="n"/>
      <c r="G27" s="29">
        <f>IF(D27="","",F27/D27)</f>
        <v/>
      </c>
      <c r="H27" s="19" t="n"/>
      <c r="I27" s="11" t="n"/>
      <c r="J27" s="11" t="n"/>
    </row>
    <row r="28" ht="22" customHeight="1">
      <c r="B28" s="15">
        <f>IF(C28="","ACS-"&amp;TEXT(COUNTA($C$5:C28),"000"))</f>
        <v/>
      </c>
      <c r="C28" s="13" t="n"/>
      <c r="D28" s="18" t="n"/>
      <c r="E28" s="18" t="n"/>
      <c r="F28" s="18" t="n"/>
      <c r="G28" s="31">
        <f>IF(D28="","",F28/D28)</f>
        <v/>
      </c>
      <c r="H28" s="20" t="n"/>
      <c r="I28" s="13" t="n"/>
      <c r="J28" s="13" t="n"/>
    </row>
    <row r="29" ht="22" customHeight="1">
      <c r="B29" s="16">
        <f>IF(C29="","ACS-"&amp;TEXT(COUNTA($C$5:C29),"000"))</f>
        <v/>
      </c>
      <c r="C29" s="11" t="n"/>
      <c r="D29" s="17" t="n"/>
      <c r="E29" s="17" t="n"/>
      <c r="F29" s="17" t="n"/>
      <c r="G29" s="29">
        <f>IF(D29="","",F29/D29)</f>
        <v/>
      </c>
      <c r="H29" s="19" t="n"/>
      <c r="I29" s="11" t="n"/>
      <c r="J29" s="11" t="n"/>
    </row>
    <row r="30" ht="22" customHeight="1">
      <c r="B30" s="15">
        <f>IF(C30="","ACS-"&amp;TEXT(COUNTA($C$5:C30),"000"))</f>
        <v/>
      </c>
      <c r="C30" s="13" t="n"/>
      <c r="D30" s="18" t="n"/>
      <c r="E30" s="18" t="n"/>
      <c r="F30" s="18" t="n"/>
      <c r="G30" s="31">
        <f>IF(D30="","",F30/D30)</f>
        <v/>
      </c>
      <c r="H30" s="20" t="n"/>
      <c r="I30" s="13" t="n"/>
      <c r="J30" s="13" t="n"/>
    </row>
    <row r="31" ht="22" customHeight="1">
      <c r="B31" s="16">
        <f>IF(C31="","ACS-"&amp;TEXT(COUNTA($C$5:C31),"000"))</f>
        <v/>
      </c>
      <c r="C31" s="11" t="n"/>
      <c r="D31" s="17" t="n"/>
      <c r="E31" s="17" t="n"/>
      <c r="F31" s="17" t="n"/>
      <c r="G31" s="29">
        <f>IF(D31="","",F31/D31)</f>
        <v/>
      </c>
      <c r="H31" s="19" t="n"/>
      <c r="I31" s="11" t="n"/>
      <c r="J31" s="11" t="n"/>
    </row>
    <row r="32" ht="22" customHeight="1">
      <c r="B32" s="15">
        <f>IF(C32="","ACS-"&amp;TEXT(COUNTA($C$5:C32),"000"))</f>
        <v/>
      </c>
      <c r="C32" s="13" t="n"/>
      <c r="D32" s="18" t="n"/>
      <c r="E32" s="18" t="n"/>
      <c r="F32" s="18" t="n"/>
      <c r="G32" s="31">
        <f>IF(D32="","",F32/D32)</f>
        <v/>
      </c>
      <c r="H32" s="20" t="n"/>
      <c r="I32" s="13" t="n"/>
      <c r="J32" s="13" t="n"/>
    </row>
    <row r="33" ht="22" customHeight="1">
      <c r="B33" s="16">
        <f>IF(C33="","ACS-"&amp;TEXT(COUNTA($C$5:C33),"000"))</f>
        <v/>
      </c>
      <c r="C33" s="11" t="n"/>
      <c r="D33" s="17" t="n"/>
      <c r="E33" s="17" t="n"/>
      <c r="F33" s="17" t="n"/>
      <c r="G33" s="29">
        <f>IF(D33="","",F33/D33)</f>
        <v/>
      </c>
      <c r="H33" s="19" t="n"/>
      <c r="I33" s="11" t="n"/>
      <c r="J33" s="11" t="n"/>
    </row>
    <row r="34" ht="22" customHeight="1">
      <c r="B34" s="15">
        <f>IF(C34="","ACS-"&amp;TEXT(COUNTA($C$5:C34),"000"))</f>
        <v/>
      </c>
      <c r="C34" s="13" t="n"/>
      <c r="D34" s="18" t="n"/>
      <c r="E34" s="18" t="n"/>
      <c r="F34" s="18" t="n"/>
      <c r="G34" s="31">
        <f>IF(D34="","",F34/D34)</f>
        <v/>
      </c>
      <c r="H34" s="20" t="n"/>
      <c r="I34" s="13" t="n"/>
      <c r="J34" s="13" t="n"/>
    </row>
    <row r="35" ht="22" customHeight="1">
      <c r="B35" s="16">
        <f>IF(C35="","ACS-"&amp;TEXT(COUNTA($C$5:C35),"000"))</f>
        <v/>
      </c>
      <c r="C35" s="11" t="n"/>
      <c r="D35" s="17" t="n"/>
      <c r="E35" s="17" t="n"/>
      <c r="F35" s="17" t="n"/>
      <c r="G35" s="29">
        <f>IF(D35="","",F35/D35)</f>
        <v/>
      </c>
      <c r="H35" s="19" t="n"/>
      <c r="I35" s="11" t="n"/>
      <c r="J35" s="11" t="n"/>
    </row>
    <row r="36" ht="22" customHeight="1">
      <c r="B36" s="15">
        <f>IF(C36="","ACS-"&amp;TEXT(COUNTA($C$5:C36),"000"))</f>
        <v/>
      </c>
      <c r="C36" s="13" t="n"/>
      <c r="D36" s="18" t="n"/>
      <c r="E36" s="18" t="n"/>
      <c r="F36" s="18" t="n"/>
      <c r="G36" s="31">
        <f>IF(D36="","",F36/D36)</f>
        <v/>
      </c>
      <c r="H36" s="20" t="n"/>
      <c r="I36" s="13" t="n"/>
      <c r="J36" s="13" t="n"/>
    </row>
    <row r="37" ht="22" customHeight="1">
      <c r="B37" s="16">
        <f>IF(C37="","ACS-"&amp;TEXT(COUNTA($C$5:C37),"000"))</f>
        <v/>
      </c>
      <c r="C37" s="11" t="n"/>
      <c r="D37" s="17" t="n"/>
      <c r="E37" s="17" t="n"/>
      <c r="F37" s="17" t="n"/>
      <c r="G37" s="29">
        <f>IF(D37="","",F37/D37)</f>
        <v/>
      </c>
      <c r="H37" s="19" t="n"/>
      <c r="I37" s="11" t="n"/>
      <c r="J37" s="11" t="n"/>
    </row>
    <row r="38" ht="22" customHeight="1">
      <c r="B38" s="15">
        <f>IF(C38="","ACS-"&amp;TEXT(COUNTA($C$5:C38),"000"))</f>
        <v/>
      </c>
      <c r="C38" s="13" t="n"/>
      <c r="D38" s="18" t="n"/>
      <c r="E38" s="18" t="n"/>
      <c r="F38" s="18" t="n"/>
      <c r="G38" s="31">
        <f>IF(D38="","",F38/D38)</f>
        <v/>
      </c>
      <c r="H38" s="20" t="n"/>
      <c r="I38" s="13" t="n"/>
      <c r="J38" s="13" t="n"/>
    </row>
    <row r="39" ht="22" customHeight="1">
      <c r="B39" s="16">
        <f>IF(C39="","ACS-"&amp;TEXT(COUNTA($C$5:C39),"000"))</f>
        <v/>
      </c>
      <c r="C39" s="11" t="n"/>
      <c r="D39" s="17" t="n"/>
      <c r="E39" s="17" t="n"/>
      <c r="F39" s="17" t="n"/>
      <c r="G39" s="29">
        <f>IF(D39="","",F39/D39)</f>
        <v/>
      </c>
      <c r="H39" s="19" t="n"/>
      <c r="I39" s="11" t="n"/>
      <c r="J39" s="11" t="n"/>
    </row>
    <row r="40" ht="22" customHeight="1">
      <c r="B40" s="15">
        <f>IF(C40="","ACS-"&amp;TEXT(COUNTA($C$5:C40),"000"))</f>
        <v/>
      </c>
      <c r="C40" s="13" t="n"/>
      <c r="D40" s="18" t="n"/>
      <c r="E40" s="18" t="n"/>
      <c r="F40" s="18" t="n"/>
      <c r="G40" s="31">
        <f>IF(D40="","",F40/D40)</f>
        <v/>
      </c>
      <c r="H40" s="20" t="n"/>
      <c r="I40" s="13" t="n"/>
      <c r="J40" s="13" t="n"/>
    </row>
    <row r="41" ht="22" customHeight="1">
      <c r="B41" s="16">
        <f>IF(C41="","ACS-"&amp;TEXT(COUNTA($C$5:C41),"000"))</f>
        <v/>
      </c>
      <c r="C41" s="11" t="n"/>
      <c r="D41" s="17" t="n"/>
      <c r="E41" s="17" t="n"/>
      <c r="F41" s="17" t="n"/>
      <c r="G41" s="29">
        <f>IF(D41="","",F41/D41)</f>
        <v/>
      </c>
      <c r="H41" s="19" t="n"/>
      <c r="I41" s="11" t="n"/>
      <c r="J41" s="11" t="n"/>
    </row>
    <row r="42" ht="22" customHeight="1">
      <c r="B42" s="15">
        <f>IF(C42="","ACS-"&amp;TEXT(COUNTA($C$5:C42),"000"))</f>
        <v/>
      </c>
      <c r="C42" s="13" t="n"/>
      <c r="D42" s="18" t="n"/>
      <c r="E42" s="18" t="n"/>
      <c r="F42" s="18" t="n"/>
      <c r="G42" s="31">
        <f>IF(D42="","",F42/D42)</f>
        <v/>
      </c>
      <c r="H42" s="20" t="n"/>
      <c r="I42" s="13" t="n"/>
      <c r="J42" s="13" t="n"/>
    </row>
    <row r="43" ht="22" customHeight="1">
      <c r="B43" s="16">
        <f>IF(C43="","ACS-"&amp;TEXT(COUNTA($C$5:C43),"000"))</f>
        <v/>
      </c>
      <c r="C43" s="11" t="n"/>
      <c r="D43" s="17" t="n"/>
      <c r="E43" s="17" t="n"/>
      <c r="F43" s="17" t="n"/>
      <c r="G43" s="29">
        <f>IF(D43="","",F43/D43)</f>
        <v/>
      </c>
      <c r="H43" s="19" t="n"/>
      <c r="I43" s="11" t="n"/>
      <c r="J43" s="11" t="n"/>
    </row>
    <row r="44" ht="22" customHeight="1">
      <c r="B44" s="15">
        <f>IF(C44="","ACS-"&amp;TEXT(COUNTA($C$5:C44),"000"))</f>
        <v/>
      </c>
      <c r="C44" s="13" t="n"/>
      <c r="D44" s="18" t="n"/>
      <c r="E44" s="18" t="n"/>
      <c r="F44" s="18" t="n"/>
      <c r="G44" s="31">
        <f>IF(D44="","",F44/D44)</f>
        <v/>
      </c>
      <c r="H44" s="20" t="n"/>
      <c r="I44" s="13" t="n"/>
      <c r="J44" s="13" t="n"/>
    </row>
    <row r="45" ht="22" customHeight="1">
      <c r="B45" s="16">
        <f>IF(C45="","ACS-"&amp;TEXT(COUNTA($C$5:C45),"000"))</f>
        <v/>
      </c>
      <c r="C45" s="11" t="n"/>
      <c r="D45" s="17" t="n"/>
      <c r="E45" s="17" t="n"/>
      <c r="F45" s="17" t="n"/>
      <c r="G45" s="29">
        <f>IF(D45="","",F45/D45)</f>
        <v/>
      </c>
      <c r="H45" s="19" t="n"/>
      <c r="I45" s="11" t="n"/>
      <c r="J45" s="11" t="n"/>
    </row>
    <row r="46" ht="22" customHeight="1">
      <c r="B46" s="15">
        <f>IF(C46="","ACS-"&amp;TEXT(COUNTA($C$5:C46),"000"))</f>
        <v/>
      </c>
      <c r="C46" s="13" t="n"/>
      <c r="D46" s="18" t="n"/>
      <c r="E46" s="18" t="n"/>
      <c r="F46" s="18" t="n"/>
      <c r="G46" s="31">
        <f>IF(D46="","",F46/D46)</f>
        <v/>
      </c>
      <c r="H46" s="20" t="n"/>
      <c r="I46" s="13" t="n"/>
      <c r="J46" s="13" t="n"/>
    </row>
    <row r="47" ht="22" customHeight="1">
      <c r="B47" s="16">
        <f>IF(C47="","ACS-"&amp;TEXT(COUNTA($C$5:C47),"000"))</f>
        <v/>
      </c>
      <c r="C47" s="11" t="n"/>
      <c r="D47" s="17" t="n"/>
      <c r="E47" s="17" t="n"/>
      <c r="F47" s="17" t="n"/>
      <c r="G47" s="29">
        <f>IF(D47="","",F47/D47)</f>
        <v/>
      </c>
      <c r="H47" s="19" t="n"/>
      <c r="I47" s="11" t="n"/>
      <c r="J47" s="11" t="n"/>
    </row>
    <row r="48" ht="22" customHeight="1">
      <c r="B48" s="15">
        <f>IF(C48="","ACS-"&amp;TEXT(COUNTA($C$5:C48),"000"))</f>
        <v/>
      </c>
      <c r="C48" s="13" t="n"/>
      <c r="D48" s="18" t="n"/>
      <c r="E48" s="18" t="n"/>
      <c r="F48" s="18" t="n"/>
      <c r="G48" s="31">
        <f>IF(D48="","",F48/D48)</f>
        <v/>
      </c>
      <c r="H48" s="20" t="n"/>
      <c r="I48" s="13" t="n"/>
      <c r="J48" s="13" t="n"/>
    </row>
    <row r="49" ht="22" customHeight="1">
      <c r="B49" s="16">
        <f>IF(C49="","ACS-"&amp;TEXT(COUNTA($C$5:C49),"000"))</f>
        <v/>
      </c>
      <c r="C49" s="11" t="n"/>
      <c r="D49" s="17" t="n"/>
      <c r="E49" s="17" t="n"/>
      <c r="F49" s="17" t="n"/>
      <c r="G49" s="29">
        <f>IF(D49="","",F49/D49)</f>
        <v/>
      </c>
      <c r="H49" s="19" t="n"/>
      <c r="I49" s="11" t="n"/>
      <c r="J49" s="11" t="n"/>
    </row>
    <row r="50" ht="22" customHeight="1">
      <c r="B50" s="15">
        <f>IF(C50="","ACS-"&amp;TEXT(COUNTA($C$5:C50),"000"))</f>
        <v/>
      </c>
      <c r="C50" s="13" t="n"/>
      <c r="D50" s="18" t="n"/>
      <c r="E50" s="18" t="n"/>
      <c r="F50" s="18" t="n"/>
      <c r="G50" s="31">
        <f>IF(D50="","",F50/D50)</f>
        <v/>
      </c>
      <c r="H50" s="20" t="n"/>
      <c r="I50" s="13" t="n"/>
      <c r="J50" s="13" t="n"/>
    </row>
    <row r="51" ht="22" customHeight="1">
      <c r="B51" s="16">
        <f>IF(C51="","ACS-"&amp;TEXT(COUNTA($C$5:C51),"000"))</f>
        <v/>
      </c>
      <c r="C51" s="11" t="n"/>
      <c r="D51" s="17" t="n"/>
      <c r="E51" s="17" t="n"/>
      <c r="F51" s="17" t="n"/>
      <c r="G51" s="29">
        <f>IF(D51="","",F51/D51)</f>
        <v/>
      </c>
      <c r="H51" s="19" t="n"/>
      <c r="I51" s="11" t="n"/>
      <c r="J51" s="11" t="n"/>
    </row>
    <row r="52" ht="22" customHeight="1">
      <c r="B52" s="15">
        <f>IF(C52="","ACS-"&amp;TEXT(COUNTA($C$5:C52),"000"))</f>
        <v/>
      </c>
      <c r="C52" s="13" t="n"/>
      <c r="D52" s="18" t="n"/>
      <c r="E52" s="18" t="n"/>
      <c r="F52" s="18" t="n"/>
      <c r="G52" s="31">
        <f>IF(D52="","",F52/D52)</f>
        <v/>
      </c>
      <c r="H52" s="20" t="n"/>
      <c r="I52" s="13" t="n"/>
      <c r="J52" s="13" t="n"/>
    </row>
    <row r="53" ht="22" customHeight="1">
      <c r="B53" s="16">
        <f>IF(C53="","ACS-"&amp;TEXT(COUNTA($C$5:C53),"000"))</f>
        <v/>
      </c>
      <c r="C53" s="11" t="n"/>
      <c r="D53" s="17" t="n"/>
      <c r="E53" s="17" t="n"/>
      <c r="F53" s="17" t="n"/>
      <c r="G53" s="29">
        <f>IF(D53="","",F53/D53)</f>
        <v/>
      </c>
      <c r="H53" s="19" t="n"/>
      <c r="I53" s="11" t="n"/>
      <c r="J53" s="11" t="n"/>
    </row>
    <row r="54" ht="22" customHeight="1">
      <c r="B54" s="15">
        <f>IF(C54="","ACS-"&amp;TEXT(COUNTA($C$5:C54),"000"))</f>
        <v/>
      </c>
      <c r="C54" s="13" t="n"/>
      <c r="D54" s="18" t="n"/>
      <c r="E54" s="18" t="n"/>
      <c r="F54" s="18" t="n"/>
      <c r="G54" s="31">
        <f>IF(D54="","",F54/D54)</f>
        <v/>
      </c>
      <c r="H54" s="20" t="n"/>
      <c r="I54" s="13" t="n"/>
      <c r="J54" s="13" t="n"/>
    </row>
    <row r="55" ht="22" customHeight="1">
      <c r="B55" s="16">
        <f>IF(C55="","ACS-"&amp;TEXT(COUNTA($C$5:C55),"000"))</f>
        <v/>
      </c>
      <c r="C55" s="11" t="n"/>
      <c r="D55" s="17" t="n"/>
      <c r="E55" s="17" t="n"/>
      <c r="F55" s="17" t="n"/>
      <c r="G55" s="29">
        <f>IF(D55="","",F55/D55)</f>
        <v/>
      </c>
      <c r="H55" s="19" t="n"/>
      <c r="I55" s="11" t="n"/>
      <c r="J55" s="11" t="n"/>
    </row>
    <row r="56" ht="22" customHeight="1">
      <c r="B56" s="15">
        <f>IF(C56="","ACS-"&amp;TEXT(COUNTA($C$5:C56),"000"))</f>
        <v/>
      </c>
      <c r="C56" s="13" t="n"/>
      <c r="D56" s="18" t="n"/>
      <c r="E56" s="18" t="n"/>
      <c r="F56" s="18" t="n"/>
      <c r="G56" s="31">
        <f>IF(D56="","",F56/D56)</f>
        <v/>
      </c>
      <c r="H56" s="20" t="n"/>
      <c r="I56" s="13" t="n"/>
      <c r="J56" s="13" t="n"/>
    </row>
    <row r="57" ht="22" customHeight="1">
      <c r="B57" s="16">
        <f>IF(C57="","ACS-"&amp;TEXT(COUNTA($C$5:C57),"000"))</f>
        <v/>
      </c>
      <c r="C57" s="11" t="n"/>
      <c r="D57" s="17" t="n"/>
      <c r="E57" s="17" t="n"/>
      <c r="F57" s="17" t="n"/>
      <c r="G57" s="29">
        <f>IF(D57="","",F57/D57)</f>
        <v/>
      </c>
      <c r="H57" s="19" t="n"/>
      <c r="I57" s="11" t="n"/>
      <c r="J57" s="11" t="n"/>
    </row>
    <row r="58" ht="22" customHeight="1">
      <c r="B58" s="15">
        <f>IF(C58="","ACS-"&amp;TEXT(COUNTA($C$5:C58),"000"))</f>
        <v/>
      </c>
      <c r="C58" s="13" t="n"/>
      <c r="D58" s="18" t="n"/>
      <c r="E58" s="18" t="n"/>
      <c r="F58" s="18" t="n"/>
      <c r="G58" s="31">
        <f>IF(D58="","",F58/D58)</f>
        <v/>
      </c>
      <c r="H58" s="20" t="n"/>
      <c r="I58" s="13" t="n"/>
      <c r="J58" s="13" t="n"/>
    </row>
    <row r="59" ht="22" customHeight="1">
      <c r="B59" s="16">
        <f>IF(C59="","ACS-"&amp;TEXT(COUNTA($C$5:C59),"000"))</f>
        <v/>
      </c>
      <c r="C59" s="11" t="n"/>
      <c r="D59" s="17" t="n"/>
      <c r="E59" s="17" t="n"/>
      <c r="F59" s="17" t="n"/>
      <c r="G59" s="29">
        <f>IF(D59="","",F59/D59)</f>
        <v/>
      </c>
      <c r="H59" s="19" t="n"/>
      <c r="I59" s="11" t="n"/>
      <c r="J59" s="11" t="n"/>
    </row>
    <row r="60" ht="22" customHeight="1">
      <c r="B60" s="15">
        <f>IF(C60="","ACS-"&amp;TEXT(COUNTA($C$5:C60),"000"))</f>
        <v/>
      </c>
      <c r="C60" s="13" t="n"/>
      <c r="D60" s="18" t="n"/>
      <c r="E60" s="18" t="n"/>
      <c r="F60" s="18" t="n"/>
      <c r="G60" s="31">
        <f>IF(D60="","",F60/D60)</f>
        <v/>
      </c>
      <c r="H60" s="20" t="n"/>
      <c r="I60" s="13" t="n"/>
      <c r="J60" s="13" t="n"/>
    </row>
    <row r="61" ht="22" customHeight="1">
      <c r="B61" s="16">
        <f>IF(C61="","ACS-"&amp;TEXT(COUNTA($C$5:C61),"000"))</f>
        <v/>
      </c>
      <c r="C61" s="11" t="n"/>
      <c r="D61" s="17" t="n"/>
      <c r="E61" s="17" t="n"/>
      <c r="F61" s="17" t="n"/>
      <c r="G61" s="29">
        <f>IF(D61="","",F61/D61)</f>
        <v/>
      </c>
      <c r="H61" s="19" t="n"/>
      <c r="I61" s="11" t="n"/>
      <c r="J61" s="11" t="n"/>
    </row>
    <row r="62" ht="22" customHeight="1">
      <c r="B62" s="15">
        <f>IF(C62="","ACS-"&amp;TEXT(COUNTA($C$5:C62),"000"))</f>
        <v/>
      </c>
      <c r="C62" s="13" t="n"/>
      <c r="D62" s="18" t="n"/>
      <c r="E62" s="18" t="n"/>
      <c r="F62" s="18" t="n"/>
      <c r="G62" s="31">
        <f>IF(D62="","",F62/D62)</f>
        <v/>
      </c>
      <c r="H62" s="20" t="n"/>
      <c r="I62" s="13" t="n"/>
      <c r="J62" s="13" t="n"/>
    </row>
    <row r="63" ht="22" customHeight="1">
      <c r="B63" s="16">
        <f>IF(C63="","ACS-"&amp;TEXT(COUNTA($C$5:C63),"000"))</f>
        <v/>
      </c>
      <c r="C63" s="11" t="n"/>
      <c r="D63" s="17" t="n"/>
      <c r="E63" s="17" t="n"/>
      <c r="F63" s="17" t="n"/>
      <c r="G63" s="29">
        <f>IF(D63="","",F63/D63)</f>
        <v/>
      </c>
      <c r="H63" s="19" t="n"/>
      <c r="I63" s="11" t="n"/>
      <c r="J63" s="11" t="n"/>
    </row>
    <row r="64" ht="22" customHeight="1">
      <c r="B64" s="15">
        <f>IF(C64="","ACS-"&amp;TEXT(COUNTA($C$5:C64),"000"))</f>
        <v/>
      </c>
      <c r="C64" s="13" t="n"/>
      <c r="D64" s="18" t="n"/>
      <c r="E64" s="18" t="n"/>
      <c r="F64" s="18" t="n"/>
      <c r="G64" s="31">
        <f>IF(D64="","",F64/D64)</f>
        <v/>
      </c>
      <c r="H64" s="20" t="n"/>
      <c r="I64" s="13" t="n"/>
      <c r="J64" s="13" t="n"/>
    </row>
    <row r="65" ht="22" customHeight="1">
      <c r="B65" s="16">
        <f>IF(C65="","ACS-"&amp;TEXT(COUNTA($C$5:C65),"000"))</f>
        <v/>
      </c>
      <c r="C65" s="11" t="n"/>
      <c r="D65" s="17" t="n"/>
      <c r="E65" s="17" t="n"/>
      <c r="F65" s="17" t="n"/>
      <c r="G65" s="29">
        <f>IF(D65="","",F65/D65)</f>
        <v/>
      </c>
      <c r="H65" s="19" t="n"/>
      <c r="I65" s="11" t="n"/>
      <c r="J65" s="11" t="n"/>
    </row>
    <row r="66" ht="22" customHeight="1">
      <c r="B66" s="15">
        <f>IF(C66="","ACS-"&amp;TEXT(COUNTA($C$5:C66),"000"))</f>
        <v/>
      </c>
      <c r="C66" s="13" t="n"/>
      <c r="D66" s="18" t="n"/>
      <c r="E66" s="18" t="n"/>
      <c r="F66" s="18" t="n"/>
      <c r="G66" s="31">
        <f>IF(D66="","",F66/D66)</f>
        <v/>
      </c>
      <c r="H66" s="20" t="n"/>
      <c r="I66" s="13" t="n"/>
      <c r="J66" s="13" t="n"/>
    </row>
    <row r="67" ht="22" customHeight="1">
      <c r="B67" s="16">
        <f>IF(C67="","ACS-"&amp;TEXT(COUNTA($C$5:C67),"000"))</f>
        <v/>
      </c>
      <c r="C67" s="11" t="n"/>
      <c r="D67" s="17" t="n"/>
      <c r="E67" s="17" t="n"/>
      <c r="F67" s="17" t="n"/>
      <c r="G67" s="29">
        <f>IF(D67="","",F67/D67)</f>
        <v/>
      </c>
      <c r="H67" s="19" t="n"/>
      <c r="I67" s="11" t="n"/>
      <c r="J67" s="11" t="n"/>
    </row>
    <row r="68" ht="22" customHeight="1">
      <c r="B68" s="15">
        <f>IF(C68="","ACS-"&amp;TEXT(COUNTA($C$5:C68),"000"))</f>
        <v/>
      </c>
      <c r="C68" s="13" t="n"/>
      <c r="D68" s="18" t="n"/>
      <c r="E68" s="18" t="n"/>
      <c r="F68" s="18" t="n"/>
      <c r="G68" s="31">
        <f>IF(D68="","",F68/D68)</f>
        <v/>
      </c>
      <c r="H68" s="20" t="n"/>
      <c r="I68" s="13" t="n"/>
      <c r="J68" s="13" t="n"/>
    </row>
    <row r="69" ht="22" customHeight="1">
      <c r="B69" s="16">
        <f>IF(C69="","ACS-"&amp;TEXT(COUNTA($C$5:C69),"000"))</f>
        <v/>
      </c>
      <c r="C69" s="11" t="n"/>
      <c r="D69" s="17" t="n"/>
      <c r="E69" s="17" t="n"/>
      <c r="F69" s="17" t="n"/>
      <c r="G69" s="29">
        <f>IF(D69="","",F69/D69)</f>
        <v/>
      </c>
      <c r="H69" s="19" t="n"/>
      <c r="I69" s="11" t="n"/>
      <c r="J69" s="11" t="n"/>
    </row>
    <row r="70" ht="22" customHeight="1">
      <c r="B70" s="15">
        <f>IF(C70="","ACS-"&amp;TEXT(COUNTA($C$5:C70),"000"))</f>
        <v/>
      </c>
      <c r="C70" s="13" t="n"/>
      <c r="D70" s="18" t="n"/>
      <c r="E70" s="18" t="n"/>
      <c r="F70" s="18" t="n"/>
      <c r="G70" s="31">
        <f>IF(D70="","",F70/D70)</f>
        <v/>
      </c>
      <c r="H70" s="20" t="n"/>
      <c r="I70" s="13" t="n"/>
      <c r="J70" s="13" t="n"/>
    </row>
    <row r="71" ht="22" customHeight="1">
      <c r="B71" s="16">
        <f>IF(C71="","ACS-"&amp;TEXT(COUNTA($C$5:C71),"000"))</f>
        <v/>
      </c>
      <c r="C71" s="11" t="n"/>
      <c r="D71" s="17" t="n"/>
      <c r="E71" s="17" t="n"/>
      <c r="F71" s="17" t="n"/>
      <c r="G71" s="29">
        <f>IF(D71="","",F71/D71)</f>
        <v/>
      </c>
      <c r="H71" s="19" t="n"/>
      <c r="I71" s="11" t="n"/>
      <c r="J71" s="11" t="n"/>
    </row>
    <row r="72" ht="22" customHeight="1">
      <c r="B72" s="15">
        <f>IF(C72="","ACS-"&amp;TEXT(COUNTA($C$5:C72),"000"))</f>
        <v/>
      </c>
      <c r="C72" s="13" t="n"/>
      <c r="D72" s="18" t="n"/>
      <c r="E72" s="18" t="n"/>
      <c r="F72" s="18" t="n"/>
      <c r="G72" s="31">
        <f>IF(D72="","",F72/D72)</f>
        <v/>
      </c>
      <c r="H72" s="20" t="n"/>
      <c r="I72" s="13" t="n"/>
      <c r="J72" s="13" t="n"/>
    </row>
    <row r="73" ht="22" customHeight="1">
      <c r="B73" s="16">
        <f>IF(C73="","ACS-"&amp;TEXT(COUNTA($C$5:C73),"000"))</f>
        <v/>
      </c>
      <c r="C73" s="11" t="n"/>
      <c r="D73" s="17" t="n"/>
      <c r="E73" s="17" t="n"/>
      <c r="F73" s="17" t="n"/>
      <c r="G73" s="29">
        <f>IF(D73="","",F73/D73)</f>
        <v/>
      </c>
      <c r="H73" s="19" t="n"/>
      <c r="I73" s="11" t="n"/>
      <c r="J73" s="11" t="n"/>
    </row>
    <row r="74" ht="22" customHeight="1">
      <c r="B74" s="15">
        <f>IF(C74="","ACS-"&amp;TEXT(COUNTA($C$5:C74),"000"))</f>
        <v/>
      </c>
      <c r="C74" s="13" t="n"/>
      <c r="D74" s="18" t="n"/>
      <c r="E74" s="18" t="n"/>
      <c r="F74" s="18" t="n"/>
      <c r="G74" s="31">
        <f>IF(D74="","",F74/D74)</f>
        <v/>
      </c>
      <c r="H74" s="20" t="n"/>
      <c r="I74" s="13" t="n"/>
      <c r="J74" s="13" t="n"/>
    </row>
    <row r="75" ht="22" customHeight="1">
      <c r="B75" s="16">
        <f>IF(C75="","ACS-"&amp;TEXT(COUNTA($C$5:C75),"000"))</f>
        <v/>
      </c>
      <c r="C75" s="11" t="n"/>
      <c r="D75" s="17" t="n"/>
      <c r="E75" s="17" t="n"/>
      <c r="F75" s="17" t="n"/>
      <c r="G75" s="29">
        <f>IF(D75="","",F75/D75)</f>
        <v/>
      </c>
      <c r="H75" s="19" t="n"/>
      <c r="I75" s="11" t="n"/>
      <c r="J75" s="11" t="n"/>
    </row>
    <row r="76" ht="22" customHeight="1">
      <c r="B76" s="15">
        <f>IF(C76="","ACS-"&amp;TEXT(COUNTA($C$5:C76),"000"))</f>
        <v/>
      </c>
      <c r="C76" s="13" t="n"/>
      <c r="D76" s="18" t="n"/>
      <c r="E76" s="18" t="n"/>
      <c r="F76" s="18" t="n"/>
      <c r="G76" s="31">
        <f>IF(D76="","",F76/D76)</f>
        <v/>
      </c>
      <c r="H76" s="20" t="n"/>
      <c r="I76" s="13" t="n"/>
      <c r="J76" s="13" t="n"/>
    </row>
    <row r="77" ht="22" customHeight="1">
      <c r="B77" s="16">
        <f>IF(C77="","ACS-"&amp;TEXT(COUNTA($C$5:C77),"000"))</f>
        <v/>
      </c>
      <c r="C77" s="11" t="n"/>
      <c r="D77" s="17" t="n"/>
      <c r="E77" s="17" t="n"/>
      <c r="F77" s="17" t="n"/>
      <c r="G77" s="29">
        <f>IF(D77="","",F77/D77)</f>
        <v/>
      </c>
      <c r="H77" s="19" t="n"/>
      <c r="I77" s="11" t="n"/>
      <c r="J77" s="11" t="n"/>
    </row>
    <row r="78" ht="22" customHeight="1">
      <c r="B78" s="15">
        <f>IF(C78="","ACS-"&amp;TEXT(COUNTA($C$5:C78),"000"))</f>
        <v/>
      </c>
      <c r="C78" s="13" t="n"/>
      <c r="D78" s="18" t="n"/>
      <c r="E78" s="18" t="n"/>
      <c r="F78" s="18" t="n"/>
      <c r="G78" s="31">
        <f>IF(D78="","",F78/D78)</f>
        <v/>
      </c>
      <c r="H78" s="20" t="n"/>
      <c r="I78" s="13" t="n"/>
      <c r="J78" s="13" t="n"/>
    </row>
    <row r="79" ht="22" customHeight="1">
      <c r="B79" s="16">
        <f>IF(C79="","ACS-"&amp;TEXT(COUNTA($C$5:C79),"000"))</f>
        <v/>
      </c>
      <c r="C79" s="11" t="n"/>
      <c r="D79" s="17" t="n"/>
      <c r="E79" s="17" t="n"/>
      <c r="F79" s="17" t="n"/>
      <c r="G79" s="29">
        <f>IF(D79="","",F79/D79)</f>
        <v/>
      </c>
      <c r="H79" s="19" t="n"/>
      <c r="I79" s="11" t="n"/>
      <c r="J79" s="11" t="n"/>
    </row>
    <row r="80" ht="22" customHeight="1">
      <c r="B80" s="15">
        <f>IF(C80="","ACS-"&amp;TEXT(COUNTA($C$5:C80),"000"))</f>
        <v/>
      </c>
      <c r="C80" s="13" t="n"/>
      <c r="D80" s="18" t="n"/>
      <c r="E80" s="18" t="n"/>
      <c r="F80" s="18" t="n"/>
      <c r="G80" s="31">
        <f>IF(D80="","",F80/D80)</f>
        <v/>
      </c>
      <c r="H80" s="20" t="n"/>
      <c r="I80" s="13" t="n"/>
      <c r="J80" s="13" t="n"/>
    </row>
    <row r="81" ht="22" customHeight="1">
      <c r="B81" s="16">
        <f>IF(C81="","ACS-"&amp;TEXT(COUNTA($C$5:C81),"000"))</f>
        <v/>
      </c>
      <c r="C81" s="11" t="n"/>
      <c r="D81" s="17" t="n"/>
      <c r="E81" s="17" t="n"/>
      <c r="F81" s="17" t="n"/>
      <c r="G81" s="29">
        <f>IF(D81="","",F81/D81)</f>
        <v/>
      </c>
      <c r="H81" s="19" t="n"/>
      <c r="I81" s="11" t="n"/>
      <c r="J81" s="11" t="n"/>
    </row>
    <row r="82" ht="22" customHeight="1">
      <c r="B82" s="15">
        <f>IF(C82="","ACS-"&amp;TEXT(COUNTA($C$5:C82),"000"))</f>
        <v/>
      </c>
      <c r="C82" s="13" t="n"/>
      <c r="D82" s="18" t="n"/>
      <c r="E82" s="18" t="n"/>
      <c r="F82" s="18" t="n"/>
      <c r="G82" s="31">
        <f>IF(D82="","",F82/D82)</f>
        <v/>
      </c>
      <c r="H82" s="20" t="n"/>
      <c r="I82" s="13" t="n"/>
      <c r="J82" s="13" t="n"/>
    </row>
    <row r="83" ht="22" customHeight="1">
      <c r="B83" s="16">
        <f>IF(C83="","ACS-"&amp;TEXT(COUNTA($C$5:C83),"000"))</f>
        <v/>
      </c>
      <c r="C83" s="11" t="n"/>
      <c r="D83" s="17" t="n"/>
      <c r="E83" s="17" t="n"/>
      <c r="F83" s="17" t="n"/>
      <c r="G83" s="29">
        <f>IF(D83="","",F83/D83)</f>
        <v/>
      </c>
      <c r="H83" s="19" t="n"/>
      <c r="I83" s="11" t="n"/>
      <c r="J83" s="11" t="n"/>
    </row>
    <row r="84" ht="22" customHeight="1">
      <c r="B84" s="15">
        <f>IF(C84="","ACS-"&amp;TEXT(COUNTA($C$5:C84),"000"))</f>
        <v/>
      </c>
      <c r="C84" s="13" t="n"/>
      <c r="D84" s="18" t="n"/>
      <c r="E84" s="18" t="n"/>
      <c r="F84" s="18" t="n"/>
      <c r="G84" s="31">
        <f>IF(D84="","",F84/D84)</f>
        <v/>
      </c>
      <c r="H84" s="20" t="n"/>
      <c r="I84" s="13" t="n"/>
      <c r="J84" s="13" t="n"/>
    </row>
    <row r="85" ht="22" customHeight="1">
      <c r="B85" s="16">
        <f>IF(C85="","ACS-"&amp;TEXT(COUNTA($C$5:C85),"000"))</f>
        <v/>
      </c>
      <c r="C85" s="11" t="n"/>
      <c r="D85" s="17" t="n"/>
      <c r="E85" s="17" t="n"/>
      <c r="F85" s="17" t="n"/>
      <c r="G85" s="29">
        <f>IF(D85="","",F85/D85)</f>
        <v/>
      </c>
      <c r="H85" s="19" t="n"/>
      <c r="I85" s="11" t="n"/>
      <c r="J85" s="11" t="n"/>
    </row>
    <row r="86" ht="22" customHeight="1">
      <c r="B86" s="15">
        <f>IF(C86="","ACS-"&amp;TEXT(COUNTA($C$5:C86),"000"))</f>
        <v/>
      </c>
      <c r="C86" s="13" t="n"/>
      <c r="D86" s="18" t="n"/>
      <c r="E86" s="18" t="n"/>
      <c r="F86" s="18" t="n"/>
      <c r="G86" s="31">
        <f>IF(D86="","",F86/D86)</f>
        <v/>
      </c>
      <c r="H86" s="20" t="n"/>
      <c r="I86" s="13" t="n"/>
      <c r="J86" s="13" t="n"/>
    </row>
    <row r="87" ht="22" customHeight="1">
      <c r="B87" s="16">
        <f>IF(C87="","ACS-"&amp;TEXT(COUNTA($C$5:C87),"000"))</f>
        <v/>
      </c>
      <c r="C87" s="11" t="n"/>
      <c r="D87" s="17" t="n"/>
      <c r="E87" s="17" t="n"/>
      <c r="F87" s="17" t="n"/>
      <c r="G87" s="29">
        <f>IF(D87="","",F87/D87)</f>
        <v/>
      </c>
      <c r="H87" s="19" t="n"/>
      <c r="I87" s="11" t="n"/>
      <c r="J87" s="11" t="n"/>
    </row>
    <row r="88" ht="22" customHeight="1">
      <c r="B88" s="15">
        <f>IF(C88="","ACS-"&amp;TEXT(COUNTA($C$5:C88),"000"))</f>
        <v/>
      </c>
      <c r="C88" s="13" t="n"/>
      <c r="D88" s="18" t="n"/>
      <c r="E88" s="18" t="n"/>
      <c r="F88" s="18" t="n"/>
      <c r="G88" s="31">
        <f>IF(D88="","",F88/D88)</f>
        <v/>
      </c>
      <c r="H88" s="20" t="n"/>
      <c r="I88" s="13" t="n"/>
      <c r="J88" s="13" t="n"/>
    </row>
    <row r="89" ht="22" customHeight="1">
      <c r="B89" s="16">
        <f>IF(C89="","ACS-"&amp;TEXT(COUNTA($C$5:C89),"000"))</f>
        <v/>
      </c>
      <c r="C89" s="11" t="n"/>
      <c r="D89" s="17" t="n"/>
      <c r="E89" s="17" t="n"/>
      <c r="F89" s="17" t="n"/>
      <c r="G89" s="29">
        <f>IF(D89="","",F89/D89)</f>
        <v/>
      </c>
      <c r="H89" s="19" t="n"/>
      <c r="I89" s="11" t="n"/>
      <c r="J89" s="11" t="n"/>
    </row>
    <row r="90" ht="22" customHeight="1">
      <c r="B90" s="15">
        <f>IF(C90="","ACS-"&amp;TEXT(COUNTA($C$5:C90),"000"))</f>
        <v/>
      </c>
      <c r="C90" s="13" t="n"/>
      <c r="D90" s="18" t="n"/>
      <c r="E90" s="18" t="n"/>
      <c r="F90" s="18" t="n"/>
      <c r="G90" s="31">
        <f>IF(D90="","",F90/D90)</f>
        <v/>
      </c>
      <c r="H90" s="20" t="n"/>
      <c r="I90" s="13" t="n"/>
      <c r="J90" s="13" t="n"/>
    </row>
    <row r="91" ht="22" customHeight="1">
      <c r="B91" s="16">
        <f>IF(C91="","ACS-"&amp;TEXT(COUNTA($C$5:C91),"000"))</f>
        <v/>
      </c>
      <c r="C91" s="11" t="n"/>
      <c r="D91" s="17" t="n"/>
      <c r="E91" s="17" t="n"/>
      <c r="F91" s="17" t="n"/>
      <c r="G91" s="29">
        <f>IF(D91="","",F91/D91)</f>
        <v/>
      </c>
      <c r="H91" s="19" t="n"/>
      <c r="I91" s="11" t="n"/>
      <c r="J91" s="11" t="n"/>
    </row>
    <row r="92" ht="22" customHeight="1">
      <c r="B92" s="15">
        <f>IF(C92="","ACS-"&amp;TEXT(COUNTA($C$5:C92),"000"))</f>
        <v/>
      </c>
      <c r="C92" s="13" t="n"/>
      <c r="D92" s="18" t="n"/>
      <c r="E92" s="18" t="n"/>
      <c r="F92" s="18" t="n"/>
      <c r="G92" s="31">
        <f>IF(D92="","",F92/D92)</f>
        <v/>
      </c>
      <c r="H92" s="20" t="n"/>
      <c r="I92" s="13" t="n"/>
      <c r="J92" s="13" t="n"/>
    </row>
    <row r="93" ht="22" customHeight="1">
      <c r="B93" s="16">
        <f>IF(C93="","ACS-"&amp;TEXT(COUNTA($C$5:C93),"000"))</f>
        <v/>
      </c>
      <c r="C93" s="11" t="n"/>
      <c r="D93" s="17" t="n"/>
      <c r="E93" s="17" t="n"/>
      <c r="F93" s="17" t="n"/>
      <c r="G93" s="29">
        <f>IF(D93="","",F93/D93)</f>
        <v/>
      </c>
      <c r="H93" s="19" t="n"/>
      <c r="I93" s="11" t="n"/>
      <c r="J93" s="11" t="n"/>
    </row>
    <row r="94" ht="22" customHeight="1">
      <c r="B94" s="15">
        <f>IF(C94="","ACS-"&amp;TEXT(COUNTA($C$5:C94),"000"))</f>
        <v/>
      </c>
      <c r="C94" s="13" t="n"/>
      <c r="D94" s="18" t="n"/>
      <c r="E94" s="18" t="n"/>
      <c r="F94" s="18" t="n"/>
      <c r="G94" s="31">
        <f>IF(D94="","",F94/D94)</f>
        <v/>
      </c>
      <c r="H94" s="20" t="n"/>
      <c r="I94" s="13" t="n"/>
      <c r="J94" s="13" t="n"/>
    </row>
    <row r="95" ht="22" customHeight="1">
      <c r="B95" s="16">
        <f>IF(C95="","ACS-"&amp;TEXT(COUNTA($C$5:C95),"000"))</f>
        <v/>
      </c>
      <c r="C95" s="11" t="n"/>
      <c r="D95" s="17" t="n"/>
      <c r="E95" s="17" t="n"/>
      <c r="F95" s="17" t="n"/>
      <c r="G95" s="29">
        <f>IF(D95="","",F95/D95)</f>
        <v/>
      </c>
      <c r="H95" s="19" t="n"/>
      <c r="I95" s="11" t="n"/>
      <c r="J95" s="11" t="n"/>
    </row>
    <row r="96" ht="22" customHeight="1">
      <c r="B96" s="15">
        <f>IF(C96="","ACS-"&amp;TEXT(COUNTA($C$5:C96),"000"))</f>
        <v/>
      </c>
      <c r="C96" s="13" t="n"/>
      <c r="D96" s="18" t="n"/>
      <c r="E96" s="18" t="n"/>
      <c r="F96" s="18" t="n"/>
      <c r="G96" s="31">
        <f>IF(D96="","",F96/D96)</f>
        <v/>
      </c>
      <c r="H96" s="20" t="n"/>
      <c r="I96" s="13" t="n"/>
      <c r="J96" s="13" t="n"/>
    </row>
    <row r="97" ht="22" customHeight="1">
      <c r="B97" s="16">
        <f>IF(C97="","ACS-"&amp;TEXT(COUNTA($C$5:C97),"000"))</f>
        <v/>
      </c>
      <c r="C97" s="11" t="n"/>
      <c r="D97" s="17" t="n"/>
      <c r="E97" s="17" t="n"/>
      <c r="F97" s="17" t="n"/>
      <c r="G97" s="29">
        <f>IF(D97="","",F97/D97)</f>
        <v/>
      </c>
      <c r="H97" s="19" t="n"/>
      <c r="I97" s="11" t="n"/>
      <c r="J97" s="11" t="n"/>
    </row>
    <row r="98" ht="22" customHeight="1">
      <c r="B98" s="15">
        <f>IF(C98="","ACS-"&amp;TEXT(COUNTA($C$5:C98),"000"))</f>
        <v/>
      </c>
      <c r="C98" s="13" t="n"/>
      <c r="D98" s="18" t="n"/>
      <c r="E98" s="18" t="n"/>
      <c r="F98" s="18" t="n"/>
      <c r="G98" s="31">
        <f>IF(D98="","",F98/D98)</f>
        <v/>
      </c>
      <c r="H98" s="20" t="n"/>
      <c r="I98" s="13" t="n"/>
      <c r="J98" s="13" t="n"/>
    </row>
    <row r="99" ht="22" customHeight="1">
      <c r="B99" s="16">
        <f>IF(C99="","ACS-"&amp;TEXT(COUNTA($C$5:C99),"000"))</f>
        <v/>
      </c>
      <c r="C99" s="11" t="n"/>
      <c r="D99" s="17" t="n"/>
      <c r="E99" s="17" t="n"/>
      <c r="F99" s="17" t="n"/>
      <c r="G99" s="29">
        <f>IF(D99="","",F99/D99)</f>
        <v/>
      </c>
      <c r="H99" s="19" t="n"/>
      <c r="I99" s="11" t="n"/>
      <c r="J99" s="11" t="n"/>
    </row>
    <row r="100" ht="22" customHeight="1">
      <c r="B100" s="15">
        <f>IF(C100="","ACS-"&amp;TEXT(COUNTA($C$5:C100),"000"))</f>
        <v/>
      </c>
      <c r="C100" s="13" t="n"/>
      <c r="D100" s="18" t="n"/>
      <c r="E100" s="18" t="n"/>
      <c r="F100" s="18" t="n"/>
      <c r="G100" s="31">
        <f>IF(D100="","",F100/D100)</f>
        <v/>
      </c>
      <c r="H100" s="20" t="n"/>
      <c r="I100" s="13" t="n"/>
      <c r="J100" s="13" t="n"/>
    </row>
    <row r="101" ht="22" customHeight="1">
      <c r="B101" s="16">
        <f>IF(C101="","ACS-"&amp;TEXT(COUNTA($C$5:C101),"000"))</f>
        <v/>
      </c>
      <c r="C101" s="11" t="n"/>
      <c r="D101" s="17" t="n"/>
      <c r="E101" s="17" t="n"/>
      <c r="F101" s="17" t="n"/>
      <c r="G101" s="29">
        <f>IF(D101="","",F101/D101)</f>
        <v/>
      </c>
      <c r="H101" s="19" t="n"/>
      <c r="I101" s="11" t="n"/>
      <c r="J101" s="11" t="n"/>
    </row>
    <row r="102" ht="22" customHeight="1">
      <c r="B102" s="15">
        <f>IF(C102="","ACS-"&amp;TEXT(COUNTA($C$5:C102),"000"))</f>
        <v/>
      </c>
      <c r="C102" s="13" t="n"/>
      <c r="D102" s="18" t="n"/>
      <c r="E102" s="18" t="n"/>
      <c r="F102" s="18" t="n"/>
      <c r="G102" s="31">
        <f>IF(D102="","",F102/D102)</f>
        <v/>
      </c>
      <c r="H102" s="20" t="n"/>
      <c r="I102" s="13" t="n"/>
      <c r="J102" s="13" t="n"/>
    </row>
    <row r="103" ht="22" customHeight="1">
      <c r="B103" s="16">
        <f>IF(C103="","ACS-"&amp;TEXT(COUNTA($C$5:C103),"000"))</f>
        <v/>
      </c>
      <c r="C103" s="11" t="n"/>
      <c r="D103" s="17" t="n"/>
      <c r="E103" s="17" t="n"/>
      <c r="F103" s="17" t="n"/>
      <c r="G103" s="29">
        <f>IF(D103="","",F103/D103)</f>
        <v/>
      </c>
      <c r="H103" s="19" t="n"/>
      <c r="I103" s="11" t="n"/>
      <c r="J103" s="11" t="n"/>
    </row>
    <row r="104" ht="22" customHeight="1">
      <c r="B104" s="15">
        <f>IF(C104="","ACS-"&amp;TEXT(COUNTA($C$5:C104),"000"))</f>
        <v/>
      </c>
      <c r="C104" s="13" t="n"/>
      <c r="D104" s="18" t="n"/>
      <c r="E104" s="18" t="n"/>
      <c r="F104" s="18" t="n"/>
      <c r="G104" s="31">
        <f>IF(D104="","",F104/D104)</f>
        <v/>
      </c>
      <c r="H104" s="20" t="n"/>
      <c r="I104" s="13" t="n"/>
      <c r="J104" s="13" t="n"/>
    </row>
    <row r="105" ht="22" customHeight="1">
      <c r="B105" s="16">
        <f>IF(C105="","ACS-"&amp;TEXT(COUNTA($C$5:C105),"000"))</f>
        <v/>
      </c>
      <c r="C105" s="11" t="n"/>
      <c r="D105" s="17" t="n"/>
      <c r="E105" s="17" t="n"/>
      <c r="F105" s="17" t="n"/>
      <c r="G105" s="29">
        <f>IF(D105="","",F105/D105)</f>
        <v/>
      </c>
      <c r="H105" s="19" t="n"/>
      <c r="I105" s="11" t="n"/>
      <c r="J105" s="11" t="n"/>
    </row>
    <row r="106" ht="22" customHeight="1">
      <c r="B106" s="15">
        <f>IF(C106="","ACS-"&amp;TEXT(COUNTA($C$5:C106),"000"))</f>
        <v/>
      </c>
      <c r="C106" s="13" t="n"/>
      <c r="D106" s="18" t="n"/>
      <c r="E106" s="18" t="n"/>
      <c r="F106" s="18" t="n"/>
      <c r="G106" s="31">
        <f>IF(D106="","",F106/D106)</f>
        <v/>
      </c>
      <c r="H106" s="20" t="n"/>
      <c r="I106" s="13" t="n"/>
      <c r="J106" s="13" t="n"/>
    </row>
    <row r="107" ht="22" customHeight="1">
      <c r="B107" s="16">
        <f>IF(C107="","ACS-"&amp;TEXT(COUNTA($C$5:C107),"000"))</f>
        <v/>
      </c>
      <c r="C107" s="11" t="n"/>
      <c r="D107" s="17" t="n"/>
      <c r="E107" s="17" t="n"/>
      <c r="F107" s="17" t="n"/>
      <c r="G107" s="29">
        <f>IF(D107="","",F107/D107)</f>
        <v/>
      </c>
      <c r="H107" s="19" t="n"/>
      <c r="I107" s="11" t="n"/>
      <c r="J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Total candidatures</t>
        </is>
      </c>
      <c r="D110" s="3" t="inlineStr">
        <is>
          <t>Total recrutements</t>
        </is>
      </c>
      <c r="F110" s="3" t="inlineStr">
        <is>
          <t>Taux transfo. moyen</t>
        </is>
      </c>
    </row>
    <row r="111">
      <c r="B111" s="4">
        <f>SUM(D5:D104)</f>
        <v/>
      </c>
      <c r="D111" s="4">
        <f>SUM(F5:F104)</f>
        <v/>
      </c>
      <c r="F111" s="4">
        <f>IFERROR(AVERAGE(G5:G104),0)</f>
        <v/>
      </c>
    </row>
  </sheetData>
  <mergeCells count="3">
    <mergeCell ref="B109:J109"/>
    <mergeCell ref="B3:J3"/>
    <mergeCell ref="B2:J2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dataValidations count="2">
    <dataValidation sqref="I5:I107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J5:J107" showDropDown="0" showInputMessage="0" showErrorMessage="0" allowBlank="1" errorTitle="Erreur" error="Valeur invalide" promptTitle="Liste" prompt="Choisir dans la liste" type="list">
      <formula1>'_Lists'!$J$2:$J$10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14" customWidth="1" min="5" max="5"/>
    <col width="22" customWidth="1" min="6" max="6"/>
    <col width="24" customWidth="1" min="7" max="7"/>
    <col width="22" customWidth="1" min="8" max="8"/>
    <col width="20" customWidth="1" min="9" max="9"/>
    <col width="18" customWidth="1" min="10" max="10"/>
    <col width="20" customWidth="1" min="11" max="11"/>
    <col width="22" customWidth="1" min="12" max="12"/>
    <col width="30" customWidth="1" min="13" max="13"/>
  </cols>
  <sheetData>
    <row r="1" ht="15" customHeight="1"/>
    <row r="2" ht="32" customHeight="1">
      <c r="B2" s="1" t="inlineStr">
        <is>
          <t>HISTORIQUE EVENEMENTS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Evenement</t>
        </is>
      </c>
      <c r="D4" s="10" t="inlineStr">
        <is>
          <t>Type</t>
        </is>
      </c>
      <c r="E4" s="10" t="inlineStr">
        <is>
          <t>Date</t>
        </is>
      </c>
      <c r="F4" s="10" t="inlineStr">
        <is>
          <t>Nb Participants Reels</t>
        </is>
      </c>
      <c r="G4" s="10" t="inlineStr">
        <is>
          <t>Nb Participants Prevus</t>
        </is>
      </c>
      <c r="H4" s="10" t="inlineStr">
        <is>
          <t>Taux Participation (%)</t>
        </is>
      </c>
      <c r="I4" s="10" t="inlineStr">
        <is>
          <t>Budget Prevu (FCFA)</t>
        </is>
      </c>
      <c r="J4" s="10" t="inlineStr">
        <is>
          <t>Cout Reel (FCFA)</t>
        </is>
      </c>
      <c r="K4" s="10" t="inlineStr">
        <is>
          <t>Ecart Budget (FCFA)</t>
        </is>
      </c>
      <c r="L4" s="10" t="inlineStr">
        <is>
          <t>Satisfaction Moy. / 5</t>
        </is>
      </c>
      <c r="M4" s="10" t="inlineStr">
        <is>
          <t>Observations</t>
        </is>
      </c>
    </row>
    <row r="5" ht="22" customHeight="1">
      <c r="B5" s="11" t="inlineStr">
        <is>
          <t>HEV-001</t>
        </is>
      </c>
      <c r="C5" s="11" t="inlineStr">
        <is>
          <t>Team building Q4 2024</t>
        </is>
      </c>
      <c r="D5" s="11" t="inlineStr">
        <is>
          <t>Team building</t>
        </is>
      </c>
      <c r="E5" s="27" t="n">
        <v>45611</v>
      </c>
      <c r="F5" s="17" t="n">
        <v>65</v>
      </c>
      <c r="G5" s="17" t="n">
        <v>70</v>
      </c>
      <c r="H5" s="29" t="n"/>
      <c r="I5" s="17" t="n">
        <v>1500000</v>
      </c>
      <c r="J5" s="17" t="n">
        <v>1350000</v>
      </c>
      <c r="K5" s="17" t="n"/>
      <c r="L5" s="30" t="n">
        <v>4.2</v>
      </c>
      <c r="M5" s="11" t="inlineStr">
        <is>
          <t>Tres bonne ambiance</t>
        </is>
      </c>
    </row>
    <row r="6" ht="22" customHeight="1">
      <c r="B6" s="13" t="inlineStr">
        <is>
          <t>HEV-002</t>
        </is>
      </c>
      <c r="C6" s="13" t="inlineStr">
        <is>
          <t>Gala fin d'annee 2024</t>
        </is>
      </c>
      <c r="D6" s="13" t="inlineStr">
        <is>
          <t>Gala employes</t>
        </is>
      </c>
      <c r="E6" s="28" t="n">
        <v>45646</v>
      </c>
      <c r="F6" s="18" t="n">
        <v>120</v>
      </c>
      <c r="G6" s="18" t="n">
        <v>130</v>
      </c>
      <c r="H6" s="31" t="n"/>
      <c r="I6" s="18" t="n">
        <v>3500000</v>
      </c>
      <c r="J6" s="18" t="n">
        <v>3200000</v>
      </c>
      <c r="K6" s="18" t="n"/>
      <c r="L6" s="32" t="n">
        <v>4.5</v>
      </c>
      <c r="M6" s="13" t="inlineStr">
        <is>
          <t>Animation musicale reussie</t>
        </is>
      </c>
    </row>
    <row r="7" ht="22" customHeight="1">
      <c r="B7" s="11" t="inlineStr">
        <is>
          <t>HEV-003</t>
        </is>
      </c>
      <c r="C7" s="11" t="inlineStr">
        <is>
          <t>Semaine integration Janv.</t>
        </is>
      </c>
      <c r="D7" s="11" t="inlineStr">
        <is>
          <t>Semaine d'integration</t>
        </is>
      </c>
      <c r="E7" s="27" t="n">
        <v>45663</v>
      </c>
      <c r="F7" s="17" t="n">
        <v>8</v>
      </c>
      <c r="G7" s="17" t="n">
        <v>8</v>
      </c>
      <c r="H7" s="29" t="n"/>
      <c r="I7" s="17" t="n">
        <v>200000</v>
      </c>
      <c r="J7" s="17" t="n">
        <v>180000</v>
      </c>
      <c r="K7" s="17" t="n"/>
      <c r="L7" s="30" t="n">
        <v>4</v>
      </c>
      <c r="M7" s="11" t="inlineStr">
        <is>
          <t>Nouveaux integrates</t>
        </is>
      </c>
    </row>
    <row r="8" ht="22" customHeight="1">
      <c r="B8" s="15">
        <f>IF(C8="","HEV-"&amp;TEXT(COUNTA($C$5:C8),"000"))</f>
        <v/>
      </c>
      <c r="C8" s="13" t="n"/>
      <c r="D8" s="13" t="n"/>
      <c r="E8" s="28" t="n"/>
      <c r="F8" s="18" t="n"/>
      <c r="G8" s="18" t="n"/>
      <c r="H8" s="31">
        <f>IF(G8="","",F8/G8)</f>
        <v/>
      </c>
      <c r="I8" s="18" t="n"/>
      <c r="J8" s="18" t="n"/>
      <c r="K8" s="18">
        <f>IF(I8="","",I8-J8)</f>
        <v/>
      </c>
      <c r="L8" s="32" t="n"/>
      <c r="M8" s="13" t="n"/>
    </row>
    <row r="9" ht="22" customHeight="1">
      <c r="B9" s="16">
        <f>IF(C9="","HEV-"&amp;TEXT(COUNTA($C$5:C9),"000"))</f>
        <v/>
      </c>
      <c r="C9" s="11" t="n"/>
      <c r="D9" s="11" t="n"/>
      <c r="E9" s="27" t="n"/>
      <c r="F9" s="17" t="n"/>
      <c r="G9" s="17" t="n"/>
      <c r="H9" s="29">
        <f>IF(G9="","",F9/G9)</f>
        <v/>
      </c>
      <c r="I9" s="17" t="n"/>
      <c r="J9" s="17" t="n"/>
      <c r="K9" s="17">
        <f>IF(I9="","",I9-J9)</f>
        <v/>
      </c>
      <c r="L9" s="30" t="n"/>
      <c r="M9" s="11" t="n"/>
    </row>
    <row r="10" ht="22" customHeight="1">
      <c r="B10" s="15">
        <f>IF(C10="","HEV-"&amp;TEXT(COUNTA($C$5:C10),"000"))</f>
        <v/>
      </c>
      <c r="C10" s="13" t="n"/>
      <c r="D10" s="13" t="n"/>
      <c r="E10" s="28" t="n"/>
      <c r="F10" s="18" t="n"/>
      <c r="G10" s="18" t="n"/>
      <c r="H10" s="31">
        <f>IF(G10="","",F10/G10)</f>
        <v/>
      </c>
      <c r="I10" s="18" t="n"/>
      <c r="J10" s="18" t="n"/>
      <c r="K10" s="18">
        <f>IF(I10="","",I10-J10)</f>
        <v/>
      </c>
      <c r="L10" s="32" t="n"/>
      <c r="M10" s="13" t="n"/>
    </row>
    <row r="11" ht="22" customHeight="1">
      <c r="B11" s="16">
        <f>IF(C11="","HEV-"&amp;TEXT(COUNTA($C$5:C11),"000"))</f>
        <v/>
      </c>
      <c r="C11" s="11" t="n"/>
      <c r="D11" s="11" t="n"/>
      <c r="E11" s="27" t="n"/>
      <c r="F11" s="17" t="n"/>
      <c r="G11" s="17" t="n"/>
      <c r="H11" s="29">
        <f>IF(G11="","",F11/G11)</f>
        <v/>
      </c>
      <c r="I11" s="17" t="n"/>
      <c r="J11" s="17" t="n"/>
      <c r="K11" s="17">
        <f>IF(I11="","",I11-J11)</f>
        <v/>
      </c>
      <c r="L11" s="30" t="n"/>
      <c r="M11" s="11" t="n"/>
    </row>
    <row r="12" ht="22" customHeight="1">
      <c r="B12" s="15">
        <f>IF(C12="","HEV-"&amp;TEXT(COUNTA($C$5:C12),"000"))</f>
        <v/>
      </c>
      <c r="C12" s="13" t="n"/>
      <c r="D12" s="13" t="n"/>
      <c r="E12" s="28" t="n"/>
      <c r="F12" s="18" t="n"/>
      <c r="G12" s="18" t="n"/>
      <c r="H12" s="31">
        <f>IF(G12="","",F12/G12)</f>
        <v/>
      </c>
      <c r="I12" s="18" t="n"/>
      <c r="J12" s="18" t="n"/>
      <c r="K12" s="18">
        <f>IF(I12="","",I12-J12)</f>
        <v/>
      </c>
      <c r="L12" s="32" t="n"/>
      <c r="M12" s="13" t="n"/>
    </row>
    <row r="13" ht="22" customHeight="1">
      <c r="B13" s="16">
        <f>IF(C13="","HEV-"&amp;TEXT(COUNTA($C$5:C13),"000"))</f>
        <v/>
      </c>
      <c r="C13" s="11" t="n"/>
      <c r="D13" s="11" t="n"/>
      <c r="E13" s="27" t="n"/>
      <c r="F13" s="17" t="n"/>
      <c r="G13" s="17" t="n"/>
      <c r="H13" s="29">
        <f>IF(G13="","",F13/G13)</f>
        <v/>
      </c>
      <c r="I13" s="17" t="n"/>
      <c r="J13" s="17" t="n"/>
      <c r="K13" s="17">
        <f>IF(I13="","",I13-J13)</f>
        <v/>
      </c>
      <c r="L13" s="30" t="n"/>
      <c r="M13" s="11" t="n"/>
    </row>
    <row r="14" ht="22" customHeight="1">
      <c r="B14" s="15">
        <f>IF(C14="","HEV-"&amp;TEXT(COUNTA($C$5:C14),"000"))</f>
        <v/>
      </c>
      <c r="C14" s="13" t="n"/>
      <c r="D14" s="13" t="n"/>
      <c r="E14" s="28" t="n"/>
      <c r="F14" s="18" t="n"/>
      <c r="G14" s="18" t="n"/>
      <c r="H14" s="31">
        <f>IF(G14="","",F14/G14)</f>
        <v/>
      </c>
      <c r="I14" s="18" t="n"/>
      <c r="J14" s="18" t="n"/>
      <c r="K14" s="18">
        <f>IF(I14="","",I14-J14)</f>
        <v/>
      </c>
      <c r="L14" s="32" t="n"/>
      <c r="M14" s="13" t="n"/>
    </row>
    <row r="15" ht="22" customHeight="1">
      <c r="B15" s="16">
        <f>IF(C15="","HEV-"&amp;TEXT(COUNTA($C$5:C15),"000"))</f>
        <v/>
      </c>
      <c r="C15" s="11" t="n"/>
      <c r="D15" s="11" t="n"/>
      <c r="E15" s="27" t="n"/>
      <c r="F15" s="17" t="n"/>
      <c r="G15" s="17" t="n"/>
      <c r="H15" s="29">
        <f>IF(G15="","",F15/G15)</f>
        <v/>
      </c>
      <c r="I15" s="17" t="n"/>
      <c r="J15" s="17" t="n"/>
      <c r="K15" s="17">
        <f>IF(I15="","",I15-J15)</f>
        <v/>
      </c>
      <c r="L15" s="30" t="n"/>
      <c r="M15" s="11" t="n"/>
    </row>
    <row r="16" ht="22" customHeight="1">
      <c r="B16" s="15">
        <f>IF(C16="","HEV-"&amp;TEXT(COUNTA($C$5:C16),"000"))</f>
        <v/>
      </c>
      <c r="C16" s="13" t="n"/>
      <c r="D16" s="13" t="n"/>
      <c r="E16" s="28" t="n"/>
      <c r="F16" s="18" t="n"/>
      <c r="G16" s="18" t="n"/>
      <c r="H16" s="31">
        <f>IF(G16="","",F16/G16)</f>
        <v/>
      </c>
      <c r="I16" s="18" t="n"/>
      <c r="J16" s="18" t="n"/>
      <c r="K16" s="18">
        <f>IF(I16="","",I16-J16)</f>
        <v/>
      </c>
      <c r="L16" s="32" t="n"/>
      <c r="M16" s="13" t="n"/>
    </row>
    <row r="17" ht="22" customHeight="1">
      <c r="B17" s="16">
        <f>IF(C17="","HEV-"&amp;TEXT(COUNTA($C$5:C17),"000"))</f>
        <v/>
      </c>
      <c r="C17" s="11" t="n"/>
      <c r="D17" s="11" t="n"/>
      <c r="E17" s="27" t="n"/>
      <c r="F17" s="17" t="n"/>
      <c r="G17" s="17" t="n"/>
      <c r="H17" s="29">
        <f>IF(G17="","",F17/G17)</f>
        <v/>
      </c>
      <c r="I17" s="17" t="n"/>
      <c r="J17" s="17" t="n"/>
      <c r="K17" s="17">
        <f>IF(I17="","",I17-J17)</f>
        <v/>
      </c>
      <c r="L17" s="30" t="n"/>
      <c r="M17" s="11" t="n"/>
    </row>
    <row r="18" ht="22" customHeight="1">
      <c r="B18" s="15">
        <f>IF(C18="","HEV-"&amp;TEXT(COUNTA($C$5:C18),"000"))</f>
        <v/>
      </c>
      <c r="C18" s="13" t="n"/>
      <c r="D18" s="13" t="n"/>
      <c r="E18" s="28" t="n"/>
      <c r="F18" s="18" t="n"/>
      <c r="G18" s="18" t="n"/>
      <c r="H18" s="31">
        <f>IF(G18="","",F18/G18)</f>
        <v/>
      </c>
      <c r="I18" s="18" t="n"/>
      <c r="J18" s="18" t="n"/>
      <c r="K18" s="18">
        <f>IF(I18="","",I18-J18)</f>
        <v/>
      </c>
      <c r="L18" s="32" t="n"/>
      <c r="M18" s="13" t="n"/>
    </row>
    <row r="19" ht="22" customHeight="1">
      <c r="B19" s="16">
        <f>IF(C19="","HEV-"&amp;TEXT(COUNTA($C$5:C19),"000"))</f>
        <v/>
      </c>
      <c r="C19" s="11" t="n"/>
      <c r="D19" s="11" t="n"/>
      <c r="E19" s="27" t="n"/>
      <c r="F19" s="17" t="n"/>
      <c r="G19" s="17" t="n"/>
      <c r="H19" s="29">
        <f>IF(G19="","",F19/G19)</f>
        <v/>
      </c>
      <c r="I19" s="17" t="n"/>
      <c r="J19" s="17" t="n"/>
      <c r="K19" s="17">
        <f>IF(I19="","",I19-J19)</f>
        <v/>
      </c>
      <c r="L19" s="30" t="n"/>
      <c r="M19" s="11" t="n"/>
    </row>
    <row r="20" ht="22" customHeight="1">
      <c r="B20" s="15">
        <f>IF(C20="","HEV-"&amp;TEXT(COUNTA($C$5:C20),"000"))</f>
        <v/>
      </c>
      <c r="C20" s="13" t="n"/>
      <c r="D20" s="13" t="n"/>
      <c r="E20" s="28" t="n"/>
      <c r="F20" s="18" t="n"/>
      <c r="G20" s="18" t="n"/>
      <c r="H20" s="31">
        <f>IF(G20="","",F20/G20)</f>
        <v/>
      </c>
      <c r="I20" s="18" t="n"/>
      <c r="J20" s="18" t="n"/>
      <c r="K20" s="18">
        <f>IF(I20="","",I20-J20)</f>
        <v/>
      </c>
      <c r="L20" s="32" t="n"/>
      <c r="M20" s="13" t="n"/>
    </row>
    <row r="21" ht="22" customHeight="1">
      <c r="B21" s="16">
        <f>IF(C21="","HEV-"&amp;TEXT(COUNTA($C$5:C21),"000"))</f>
        <v/>
      </c>
      <c r="C21" s="11" t="n"/>
      <c r="D21" s="11" t="n"/>
      <c r="E21" s="27" t="n"/>
      <c r="F21" s="17" t="n"/>
      <c r="G21" s="17" t="n"/>
      <c r="H21" s="29">
        <f>IF(G21="","",F21/G21)</f>
        <v/>
      </c>
      <c r="I21" s="17" t="n"/>
      <c r="J21" s="17" t="n"/>
      <c r="K21" s="17">
        <f>IF(I21="","",I21-J21)</f>
        <v/>
      </c>
      <c r="L21" s="30" t="n"/>
      <c r="M21" s="11" t="n"/>
    </row>
    <row r="22" ht="22" customHeight="1">
      <c r="B22" s="15">
        <f>IF(C22="","HEV-"&amp;TEXT(COUNTA($C$5:C22),"000"))</f>
        <v/>
      </c>
      <c r="C22" s="13" t="n"/>
      <c r="D22" s="13" t="n"/>
      <c r="E22" s="28" t="n"/>
      <c r="F22" s="18" t="n"/>
      <c r="G22" s="18" t="n"/>
      <c r="H22" s="31">
        <f>IF(G22="","",F22/G22)</f>
        <v/>
      </c>
      <c r="I22" s="18" t="n"/>
      <c r="J22" s="18" t="n"/>
      <c r="K22" s="18">
        <f>IF(I22="","",I22-J22)</f>
        <v/>
      </c>
      <c r="L22" s="32" t="n"/>
      <c r="M22" s="13" t="n"/>
    </row>
    <row r="23" ht="22" customHeight="1">
      <c r="B23" s="16">
        <f>IF(C23="","HEV-"&amp;TEXT(COUNTA($C$5:C23),"000"))</f>
        <v/>
      </c>
      <c r="C23" s="11" t="n"/>
      <c r="D23" s="11" t="n"/>
      <c r="E23" s="27" t="n"/>
      <c r="F23" s="17" t="n"/>
      <c r="G23" s="17" t="n"/>
      <c r="H23" s="29">
        <f>IF(G23="","",F23/G23)</f>
        <v/>
      </c>
      <c r="I23" s="17" t="n"/>
      <c r="J23" s="17" t="n"/>
      <c r="K23" s="17">
        <f>IF(I23="","",I23-J23)</f>
        <v/>
      </c>
      <c r="L23" s="30" t="n"/>
      <c r="M23" s="11" t="n"/>
    </row>
    <row r="24" ht="22" customHeight="1">
      <c r="B24" s="15">
        <f>IF(C24="","HEV-"&amp;TEXT(COUNTA($C$5:C24),"000"))</f>
        <v/>
      </c>
      <c r="C24" s="13" t="n"/>
      <c r="D24" s="13" t="n"/>
      <c r="E24" s="28" t="n"/>
      <c r="F24" s="18" t="n"/>
      <c r="G24" s="18" t="n"/>
      <c r="H24" s="31">
        <f>IF(G24="","",F24/G24)</f>
        <v/>
      </c>
      <c r="I24" s="18" t="n"/>
      <c r="J24" s="18" t="n"/>
      <c r="K24" s="18">
        <f>IF(I24="","",I24-J24)</f>
        <v/>
      </c>
      <c r="L24" s="32" t="n"/>
      <c r="M24" s="13" t="n"/>
    </row>
    <row r="25" ht="22" customHeight="1">
      <c r="B25" s="16">
        <f>IF(C25="","HEV-"&amp;TEXT(COUNTA($C$5:C25),"000"))</f>
        <v/>
      </c>
      <c r="C25" s="11" t="n"/>
      <c r="D25" s="11" t="n"/>
      <c r="E25" s="27" t="n"/>
      <c r="F25" s="17" t="n"/>
      <c r="G25" s="17" t="n"/>
      <c r="H25" s="29">
        <f>IF(G25="","",F25/G25)</f>
        <v/>
      </c>
      <c r="I25" s="17" t="n"/>
      <c r="J25" s="17" t="n"/>
      <c r="K25" s="17">
        <f>IF(I25="","",I25-J25)</f>
        <v/>
      </c>
      <c r="L25" s="30" t="n"/>
      <c r="M25" s="11" t="n"/>
    </row>
    <row r="26" ht="22" customHeight="1">
      <c r="B26" s="15">
        <f>IF(C26="","HEV-"&amp;TEXT(COUNTA($C$5:C26),"000"))</f>
        <v/>
      </c>
      <c r="C26" s="13" t="n"/>
      <c r="D26" s="13" t="n"/>
      <c r="E26" s="28" t="n"/>
      <c r="F26" s="18" t="n"/>
      <c r="G26" s="18" t="n"/>
      <c r="H26" s="31">
        <f>IF(G26="","",F26/G26)</f>
        <v/>
      </c>
      <c r="I26" s="18" t="n"/>
      <c r="J26" s="18" t="n"/>
      <c r="K26" s="18">
        <f>IF(I26="","",I26-J26)</f>
        <v/>
      </c>
      <c r="L26" s="32" t="n"/>
      <c r="M26" s="13" t="n"/>
    </row>
    <row r="27" ht="22" customHeight="1">
      <c r="B27" s="16">
        <f>IF(C27="","HEV-"&amp;TEXT(COUNTA($C$5:C27),"000"))</f>
        <v/>
      </c>
      <c r="C27" s="11" t="n"/>
      <c r="D27" s="11" t="n"/>
      <c r="E27" s="27" t="n"/>
      <c r="F27" s="17" t="n"/>
      <c r="G27" s="17" t="n"/>
      <c r="H27" s="29">
        <f>IF(G27="","",F27/G27)</f>
        <v/>
      </c>
      <c r="I27" s="17" t="n"/>
      <c r="J27" s="17" t="n"/>
      <c r="K27" s="17">
        <f>IF(I27="","",I27-J27)</f>
        <v/>
      </c>
      <c r="L27" s="30" t="n"/>
      <c r="M27" s="11" t="n"/>
    </row>
    <row r="28" ht="22" customHeight="1">
      <c r="B28" s="15">
        <f>IF(C28="","HEV-"&amp;TEXT(COUNTA($C$5:C28),"000"))</f>
        <v/>
      </c>
      <c r="C28" s="13" t="n"/>
      <c r="D28" s="13" t="n"/>
      <c r="E28" s="28" t="n"/>
      <c r="F28" s="18" t="n"/>
      <c r="G28" s="18" t="n"/>
      <c r="H28" s="31">
        <f>IF(G28="","",F28/G28)</f>
        <v/>
      </c>
      <c r="I28" s="18" t="n"/>
      <c r="J28" s="18" t="n"/>
      <c r="K28" s="18">
        <f>IF(I28="","",I28-J28)</f>
        <v/>
      </c>
      <c r="L28" s="32" t="n"/>
      <c r="M28" s="13" t="n"/>
    </row>
    <row r="29" ht="22" customHeight="1">
      <c r="B29" s="16">
        <f>IF(C29="","HEV-"&amp;TEXT(COUNTA($C$5:C29),"000"))</f>
        <v/>
      </c>
      <c r="C29" s="11" t="n"/>
      <c r="D29" s="11" t="n"/>
      <c r="E29" s="27" t="n"/>
      <c r="F29" s="17" t="n"/>
      <c r="G29" s="17" t="n"/>
      <c r="H29" s="29">
        <f>IF(G29="","",F29/G29)</f>
        <v/>
      </c>
      <c r="I29" s="17" t="n"/>
      <c r="J29" s="17" t="n"/>
      <c r="K29" s="17">
        <f>IF(I29="","",I29-J29)</f>
        <v/>
      </c>
      <c r="L29" s="30" t="n"/>
      <c r="M29" s="11" t="n"/>
    </row>
    <row r="30" ht="22" customHeight="1">
      <c r="B30" s="15">
        <f>IF(C30="","HEV-"&amp;TEXT(COUNTA($C$5:C30),"000"))</f>
        <v/>
      </c>
      <c r="C30" s="13" t="n"/>
      <c r="D30" s="13" t="n"/>
      <c r="E30" s="28" t="n"/>
      <c r="F30" s="18" t="n"/>
      <c r="G30" s="18" t="n"/>
      <c r="H30" s="31">
        <f>IF(G30="","",F30/G30)</f>
        <v/>
      </c>
      <c r="I30" s="18" t="n"/>
      <c r="J30" s="18" t="n"/>
      <c r="K30" s="18">
        <f>IF(I30="","",I30-J30)</f>
        <v/>
      </c>
      <c r="L30" s="32" t="n"/>
      <c r="M30" s="13" t="n"/>
    </row>
    <row r="31" ht="22" customHeight="1">
      <c r="B31" s="16">
        <f>IF(C31="","HEV-"&amp;TEXT(COUNTA($C$5:C31),"000"))</f>
        <v/>
      </c>
      <c r="C31" s="11" t="n"/>
      <c r="D31" s="11" t="n"/>
      <c r="E31" s="27" t="n"/>
      <c r="F31" s="17" t="n"/>
      <c r="G31" s="17" t="n"/>
      <c r="H31" s="29">
        <f>IF(G31="","",F31/G31)</f>
        <v/>
      </c>
      <c r="I31" s="17" t="n"/>
      <c r="J31" s="17" t="n"/>
      <c r="K31" s="17">
        <f>IF(I31="","",I31-J31)</f>
        <v/>
      </c>
      <c r="L31" s="30" t="n"/>
      <c r="M31" s="11" t="n"/>
    </row>
    <row r="32" ht="22" customHeight="1">
      <c r="B32" s="15">
        <f>IF(C32="","HEV-"&amp;TEXT(COUNTA($C$5:C32),"000"))</f>
        <v/>
      </c>
      <c r="C32" s="13" t="n"/>
      <c r="D32" s="13" t="n"/>
      <c r="E32" s="28" t="n"/>
      <c r="F32" s="18" t="n"/>
      <c r="G32" s="18" t="n"/>
      <c r="H32" s="31">
        <f>IF(G32="","",F32/G32)</f>
        <v/>
      </c>
      <c r="I32" s="18" t="n"/>
      <c r="J32" s="18" t="n"/>
      <c r="K32" s="18">
        <f>IF(I32="","",I32-J32)</f>
        <v/>
      </c>
      <c r="L32" s="32" t="n"/>
      <c r="M32" s="13" t="n"/>
    </row>
    <row r="33" ht="22" customHeight="1">
      <c r="B33" s="16">
        <f>IF(C33="","HEV-"&amp;TEXT(COUNTA($C$5:C33),"000"))</f>
        <v/>
      </c>
      <c r="C33" s="11" t="n"/>
      <c r="D33" s="11" t="n"/>
      <c r="E33" s="27" t="n"/>
      <c r="F33" s="17" t="n"/>
      <c r="G33" s="17" t="n"/>
      <c r="H33" s="29">
        <f>IF(G33="","",F33/G33)</f>
        <v/>
      </c>
      <c r="I33" s="17" t="n"/>
      <c r="J33" s="17" t="n"/>
      <c r="K33" s="17">
        <f>IF(I33="","",I33-J33)</f>
        <v/>
      </c>
      <c r="L33" s="30" t="n"/>
      <c r="M33" s="11" t="n"/>
    </row>
    <row r="34" ht="22" customHeight="1">
      <c r="B34" s="15">
        <f>IF(C34="","HEV-"&amp;TEXT(COUNTA($C$5:C34),"000"))</f>
        <v/>
      </c>
      <c r="C34" s="13" t="n"/>
      <c r="D34" s="13" t="n"/>
      <c r="E34" s="28" t="n"/>
      <c r="F34" s="18" t="n"/>
      <c r="G34" s="18" t="n"/>
      <c r="H34" s="31">
        <f>IF(G34="","",F34/G34)</f>
        <v/>
      </c>
      <c r="I34" s="18" t="n"/>
      <c r="J34" s="18" t="n"/>
      <c r="K34" s="18">
        <f>IF(I34="","",I34-J34)</f>
        <v/>
      </c>
      <c r="L34" s="32" t="n"/>
      <c r="M34" s="13" t="n"/>
    </row>
    <row r="35" ht="22" customHeight="1">
      <c r="B35" s="16">
        <f>IF(C35="","HEV-"&amp;TEXT(COUNTA($C$5:C35),"000"))</f>
        <v/>
      </c>
      <c r="C35" s="11" t="n"/>
      <c r="D35" s="11" t="n"/>
      <c r="E35" s="27" t="n"/>
      <c r="F35" s="17" t="n"/>
      <c r="G35" s="17" t="n"/>
      <c r="H35" s="29">
        <f>IF(G35="","",F35/G35)</f>
        <v/>
      </c>
      <c r="I35" s="17" t="n"/>
      <c r="J35" s="17" t="n"/>
      <c r="K35" s="17">
        <f>IF(I35="","",I35-J35)</f>
        <v/>
      </c>
      <c r="L35" s="30" t="n"/>
      <c r="M35" s="11" t="n"/>
    </row>
    <row r="36" ht="22" customHeight="1">
      <c r="B36" s="15">
        <f>IF(C36="","HEV-"&amp;TEXT(COUNTA($C$5:C36),"000"))</f>
        <v/>
      </c>
      <c r="C36" s="13" t="n"/>
      <c r="D36" s="13" t="n"/>
      <c r="E36" s="28" t="n"/>
      <c r="F36" s="18" t="n"/>
      <c r="G36" s="18" t="n"/>
      <c r="H36" s="31">
        <f>IF(G36="","",F36/G36)</f>
        <v/>
      </c>
      <c r="I36" s="18" t="n"/>
      <c r="J36" s="18" t="n"/>
      <c r="K36" s="18">
        <f>IF(I36="","",I36-J36)</f>
        <v/>
      </c>
      <c r="L36" s="32" t="n"/>
      <c r="M36" s="13" t="n"/>
    </row>
    <row r="37" ht="22" customHeight="1">
      <c r="B37" s="16">
        <f>IF(C37="","HEV-"&amp;TEXT(COUNTA($C$5:C37),"000"))</f>
        <v/>
      </c>
      <c r="C37" s="11" t="n"/>
      <c r="D37" s="11" t="n"/>
      <c r="E37" s="27" t="n"/>
      <c r="F37" s="17" t="n"/>
      <c r="G37" s="17" t="n"/>
      <c r="H37" s="29">
        <f>IF(G37="","",F37/G37)</f>
        <v/>
      </c>
      <c r="I37" s="17" t="n"/>
      <c r="J37" s="17" t="n"/>
      <c r="K37" s="17">
        <f>IF(I37="","",I37-J37)</f>
        <v/>
      </c>
      <c r="L37" s="30" t="n"/>
      <c r="M37" s="11" t="n"/>
    </row>
    <row r="38" ht="22" customHeight="1">
      <c r="B38" s="15">
        <f>IF(C38="","HEV-"&amp;TEXT(COUNTA($C$5:C38),"000"))</f>
        <v/>
      </c>
      <c r="C38" s="13" t="n"/>
      <c r="D38" s="13" t="n"/>
      <c r="E38" s="28" t="n"/>
      <c r="F38" s="18" t="n"/>
      <c r="G38" s="18" t="n"/>
      <c r="H38" s="31">
        <f>IF(G38="","",F38/G38)</f>
        <v/>
      </c>
      <c r="I38" s="18" t="n"/>
      <c r="J38" s="18" t="n"/>
      <c r="K38" s="18">
        <f>IF(I38="","",I38-J38)</f>
        <v/>
      </c>
      <c r="L38" s="32" t="n"/>
      <c r="M38" s="13" t="n"/>
    </row>
    <row r="39" ht="22" customHeight="1">
      <c r="B39" s="16">
        <f>IF(C39="","HEV-"&amp;TEXT(COUNTA($C$5:C39),"000"))</f>
        <v/>
      </c>
      <c r="C39" s="11" t="n"/>
      <c r="D39" s="11" t="n"/>
      <c r="E39" s="27" t="n"/>
      <c r="F39" s="17" t="n"/>
      <c r="G39" s="17" t="n"/>
      <c r="H39" s="29">
        <f>IF(G39="","",F39/G39)</f>
        <v/>
      </c>
      <c r="I39" s="17" t="n"/>
      <c r="J39" s="17" t="n"/>
      <c r="K39" s="17">
        <f>IF(I39="","",I39-J39)</f>
        <v/>
      </c>
      <c r="L39" s="30" t="n"/>
      <c r="M39" s="11" t="n"/>
    </row>
    <row r="40" ht="22" customHeight="1">
      <c r="B40" s="15">
        <f>IF(C40="","HEV-"&amp;TEXT(COUNTA($C$5:C40),"000"))</f>
        <v/>
      </c>
      <c r="C40" s="13" t="n"/>
      <c r="D40" s="13" t="n"/>
      <c r="E40" s="28" t="n"/>
      <c r="F40" s="18" t="n"/>
      <c r="G40" s="18" t="n"/>
      <c r="H40" s="31">
        <f>IF(G40="","",F40/G40)</f>
        <v/>
      </c>
      <c r="I40" s="18" t="n"/>
      <c r="J40" s="18" t="n"/>
      <c r="K40" s="18">
        <f>IF(I40="","",I40-J40)</f>
        <v/>
      </c>
      <c r="L40" s="32" t="n"/>
      <c r="M40" s="13" t="n"/>
    </row>
    <row r="41" ht="22" customHeight="1">
      <c r="B41" s="16">
        <f>IF(C41="","HEV-"&amp;TEXT(COUNTA($C$5:C41),"000"))</f>
        <v/>
      </c>
      <c r="C41" s="11" t="n"/>
      <c r="D41" s="11" t="n"/>
      <c r="E41" s="27" t="n"/>
      <c r="F41" s="17" t="n"/>
      <c r="G41" s="17" t="n"/>
      <c r="H41" s="29">
        <f>IF(G41="","",F41/G41)</f>
        <v/>
      </c>
      <c r="I41" s="17" t="n"/>
      <c r="J41" s="17" t="n"/>
      <c r="K41" s="17">
        <f>IF(I41="","",I41-J41)</f>
        <v/>
      </c>
      <c r="L41" s="30" t="n"/>
      <c r="M41" s="11" t="n"/>
    </row>
    <row r="42" ht="22" customHeight="1">
      <c r="B42" s="15">
        <f>IF(C42="","HEV-"&amp;TEXT(COUNTA($C$5:C42),"000"))</f>
        <v/>
      </c>
      <c r="C42" s="13" t="n"/>
      <c r="D42" s="13" t="n"/>
      <c r="E42" s="28" t="n"/>
      <c r="F42" s="18" t="n"/>
      <c r="G42" s="18" t="n"/>
      <c r="H42" s="31">
        <f>IF(G42="","",F42/G42)</f>
        <v/>
      </c>
      <c r="I42" s="18" t="n"/>
      <c r="J42" s="18" t="n"/>
      <c r="K42" s="18">
        <f>IF(I42="","",I42-J42)</f>
        <v/>
      </c>
      <c r="L42" s="32" t="n"/>
      <c r="M42" s="13" t="n"/>
    </row>
    <row r="43" ht="22" customHeight="1">
      <c r="B43" s="16">
        <f>IF(C43="","HEV-"&amp;TEXT(COUNTA($C$5:C43),"000"))</f>
        <v/>
      </c>
      <c r="C43" s="11" t="n"/>
      <c r="D43" s="11" t="n"/>
      <c r="E43" s="27" t="n"/>
      <c r="F43" s="17" t="n"/>
      <c r="G43" s="17" t="n"/>
      <c r="H43" s="29">
        <f>IF(G43="","",F43/G43)</f>
        <v/>
      </c>
      <c r="I43" s="17" t="n"/>
      <c r="J43" s="17" t="n"/>
      <c r="K43" s="17">
        <f>IF(I43="","",I43-J43)</f>
        <v/>
      </c>
      <c r="L43" s="30" t="n"/>
      <c r="M43" s="11" t="n"/>
    </row>
    <row r="44" ht="22" customHeight="1">
      <c r="B44" s="15">
        <f>IF(C44="","HEV-"&amp;TEXT(COUNTA($C$5:C44),"000"))</f>
        <v/>
      </c>
      <c r="C44" s="13" t="n"/>
      <c r="D44" s="13" t="n"/>
      <c r="E44" s="28" t="n"/>
      <c r="F44" s="18" t="n"/>
      <c r="G44" s="18" t="n"/>
      <c r="H44" s="31">
        <f>IF(G44="","",F44/G44)</f>
        <v/>
      </c>
      <c r="I44" s="18" t="n"/>
      <c r="J44" s="18" t="n"/>
      <c r="K44" s="18">
        <f>IF(I44="","",I44-J44)</f>
        <v/>
      </c>
      <c r="L44" s="32" t="n"/>
      <c r="M44" s="13" t="n"/>
    </row>
    <row r="45" ht="22" customHeight="1">
      <c r="B45" s="16">
        <f>IF(C45="","HEV-"&amp;TEXT(COUNTA($C$5:C45),"000"))</f>
        <v/>
      </c>
      <c r="C45" s="11" t="n"/>
      <c r="D45" s="11" t="n"/>
      <c r="E45" s="27" t="n"/>
      <c r="F45" s="17" t="n"/>
      <c r="G45" s="17" t="n"/>
      <c r="H45" s="29">
        <f>IF(G45="","",F45/G45)</f>
        <v/>
      </c>
      <c r="I45" s="17" t="n"/>
      <c r="J45" s="17" t="n"/>
      <c r="K45" s="17">
        <f>IF(I45="","",I45-J45)</f>
        <v/>
      </c>
      <c r="L45" s="30" t="n"/>
      <c r="M45" s="11" t="n"/>
    </row>
    <row r="46" ht="22" customHeight="1">
      <c r="B46" s="15">
        <f>IF(C46="","HEV-"&amp;TEXT(COUNTA($C$5:C46),"000"))</f>
        <v/>
      </c>
      <c r="C46" s="13" t="n"/>
      <c r="D46" s="13" t="n"/>
      <c r="E46" s="28" t="n"/>
      <c r="F46" s="18" t="n"/>
      <c r="G46" s="18" t="n"/>
      <c r="H46" s="31">
        <f>IF(G46="","",F46/G46)</f>
        <v/>
      </c>
      <c r="I46" s="18" t="n"/>
      <c r="J46" s="18" t="n"/>
      <c r="K46" s="18">
        <f>IF(I46="","",I46-J46)</f>
        <v/>
      </c>
      <c r="L46" s="32" t="n"/>
      <c r="M46" s="13" t="n"/>
    </row>
    <row r="47" ht="22" customHeight="1">
      <c r="B47" s="16">
        <f>IF(C47="","HEV-"&amp;TEXT(COUNTA($C$5:C47),"000"))</f>
        <v/>
      </c>
      <c r="C47" s="11" t="n"/>
      <c r="D47" s="11" t="n"/>
      <c r="E47" s="27" t="n"/>
      <c r="F47" s="17" t="n"/>
      <c r="G47" s="17" t="n"/>
      <c r="H47" s="29">
        <f>IF(G47="","",F47/G47)</f>
        <v/>
      </c>
      <c r="I47" s="17" t="n"/>
      <c r="J47" s="17" t="n"/>
      <c r="K47" s="17">
        <f>IF(I47="","",I47-J47)</f>
        <v/>
      </c>
      <c r="L47" s="30" t="n"/>
      <c r="M47" s="11" t="n"/>
    </row>
    <row r="48" ht="22" customHeight="1">
      <c r="B48" s="15">
        <f>IF(C48="","HEV-"&amp;TEXT(COUNTA($C$5:C48),"000"))</f>
        <v/>
      </c>
      <c r="C48" s="13" t="n"/>
      <c r="D48" s="13" t="n"/>
      <c r="E48" s="28" t="n"/>
      <c r="F48" s="18" t="n"/>
      <c r="G48" s="18" t="n"/>
      <c r="H48" s="31">
        <f>IF(G48="","",F48/G48)</f>
        <v/>
      </c>
      <c r="I48" s="18" t="n"/>
      <c r="J48" s="18" t="n"/>
      <c r="K48" s="18">
        <f>IF(I48="","",I48-J48)</f>
        <v/>
      </c>
      <c r="L48" s="32" t="n"/>
      <c r="M48" s="13" t="n"/>
    </row>
    <row r="49" ht="22" customHeight="1">
      <c r="B49" s="16">
        <f>IF(C49="","HEV-"&amp;TEXT(COUNTA($C$5:C49),"000"))</f>
        <v/>
      </c>
      <c r="C49" s="11" t="n"/>
      <c r="D49" s="11" t="n"/>
      <c r="E49" s="27" t="n"/>
      <c r="F49" s="17" t="n"/>
      <c r="G49" s="17" t="n"/>
      <c r="H49" s="29">
        <f>IF(G49="","",F49/G49)</f>
        <v/>
      </c>
      <c r="I49" s="17" t="n"/>
      <c r="J49" s="17" t="n"/>
      <c r="K49" s="17">
        <f>IF(I49="","",I49-J49)</f>
        <v/>
      </c>
      <c r="L49" s="30" t="n"/>
      <c r="M49" s="11" t="n"/>
    </row>
    <row r="50" ht="22" customHeight="1">
      <c r="B50" s="15">
        <f>IF(C50="","HEV-"&amp;TEXT(COUNTA($C$5:C50),"000"))</f>
        <v/>
      </c>
      <c r="C50" s="13" t="n"/>
      <c r="D50" s="13" t="n"/>
      <c r="E50" s="28" t="n"/>
      <c r="F50" s="18" t="n"/>
      <c r="G50" s="18" t="n"/>
      <c r="H50" s="31">
        <f>IF(G50="","",F50/G50)</f>
        <v/>
      </c>
      <c r="I50" s="18" t="n"/>
      <c r="J50" s="18" t="n"/>
      <c r="K50" s="18">
        <f>IF(I50="","",I50-J50)</f>
        <v/>
      </c>
      <c r="L50" s="32" t="n"/>
      <c r="M50" s="13" t="n"/>
    </row>
    <row r="51" ht="22" customHeight="1">
      <c r="B51" s="16">
        <f>IF(C51="","HEV-"&amp;TEXT(COUNTA($C$5:C51),"000"))</f>
        <v/>
      </c>
      <c r="C51" s="11" t="n"/>
      <c r="D51" s="11" t="n"/>
      <c r="E51" s="27" t="n"/>
      <c r="F51" s="17" t="n"/>
      <c r="G51" s="17" t="n"/>
      <c r="H51" s="29">
        <f>IF(G51="","",F51/G51)</f>
        <v/>
      </c>
      <c r="I51" s="17" t="n"/>
      <c r="J51" s="17" t="n"/>
      <c r="K51" s="17">
        <f>IF(I51="","",I51-J51)</f>
        <v/>
      </c>
      <c r="L51" s="30" t="n"/>
      <c r="M51" s="11" t="n"/>
    </row>
    <row r="52" ht="22" customHeight="1">
      <c r="B52" s="15">
        <f>IF(C52="","HEV-"&amp;TEXT(COUNTA($C$5:C52),"000"))</f>
        <v/>
      </c>
      <c r="C52" s="13" t="n"/>
      <c r="D52" s="13" t="n"/>
      <c r="E52" s="28" t="n"/>
      <c r="F52" s="18" t="n"/>
      <c r="G52" s="18" t="n"/>
      <c r="H52" s="31">
        <f>IF(G52="","",F52/G52)</f>
        <v/>
      </c>
      <c r="I52" s="18" t="n"/>
      <c r="J52" s="18" t="n"/>
      <c r="K52" s="18">
        <f>IF(I52="","",I52-J52)</f>
        <v/>
      </c>
      <c r="L52" s="32" t="n"/>
      <c r="M52" s="13" t="n"/>
    </row>
    <row r="53" ht="22" customHeight="1">
      <c r="B53" s="16">
        <f>IF(C53="","HEV-"&amp;TEXT(COUNTA($C$5:C53),"000"))</f>
        <v/>
      </c>
      <c r="C53" s="11" t="n"/>
      <c r="D53" s="11" t="n"/>
      <c r="E53" s="27" t="n"/>
      <c r="F53" s="17" t="n"/>
      <c r="G53" s="17" t="n"/>
      <c r="H53" s="29">
        <f>IF(G53="","",F53/G53)</f>
        <v/>
      </c>
      <c r="I53" s="17" t="n"/>
      <c r="J53" s="17" t="n"/>
      <c r="K53" s="17">
        <f>IF(I53="","",I53-J53)</f>
        <v/>
      </c>
      <c r="L53" s="30" t="n"/>
      <c r="M53" s="11" t="n"/>
    </row>
    <row r="54" ht="22" customHeight="1">
      <c r="B54" s="15">
        <f>IF(C54="","HEV-"&amp;TEXT(COUNTA($C$5:C54),"000"))</f>
        <v/>
      </c>
      <c r="C54" s="13" t="n"/>
      <c r="D54" s="13" t="n"/>
      <c r="E54" s="28" t="n"/>
      <c r="F54" s="18" t="n"/>
      <c r="G54" s="18" t="n"/>
      <c r="H54" s="31">
        <f>IF(G54="","",F54/G54)</f>
        <v/>
      </c>
      <c r="I54" s="18" t="n"/>
      <c r="J54" s="18" t="n"/>
      <c r="K54" s="18">
        <f>IF(I54="","",I54-J54)</f>
        <v/>
      </c>
      <c r="L54" s="32" t="n"/>
      <c r="M54" s="13" t="n"/>
    </row>
    <row r="55" ht="22" customHeight="1">
      <c r="B55" s="16">
        <f>IF(C55="","HEV-"&amp;TEXT(COUNTA($C$5:C55),"000"))</f>
        <v/>
      </c>
      <c r="C55" s="11" t="n"/>
      <c r="D55" s="11" t="n"/>
      <c r="E55" s="27" t="n"/>
      <c r="F55" s="17" t="n"/>
      <c r="G55" s="17" t="n"/>
      <c r="H55" s="29">
        <f>IF(G55="","",F55/G55)</f>
        <v/>
      </c>
      <c r="I55" s="17" t="n"/>
      <c r="J55" s="17" t="n"/>
      <c r="K55" s="17">
        <f>IF(I55="","",I55-J55)</f>
        <v/>
      </c>
      <c r="L55" s="30" t="n"/>
      <c r="M55" s="11" t="n"/>
    </row>
    <row r="56" ht="22" customHeight="1">
      <c r="B56" s="15">
        <f>IF(C56="","HEV-"&amp;TEXT(COUNTA($C$5:C56),"000"))</f>
        <v/>
      </c>
      <c r="C56" s="13" t="n"/>
      <c r="D56" s="13" t="n"/>
      <c r="E56" s="28" t="n"/>
      <c r="F56" s="18" t="n"/>
      <c r="G56" s="18" t="n"/>
      <c r="H56" s="31">
        <f>IF(G56="","",F56/G56)</f>
        <v/>
      </c>
      <c r="I56" s="18" t="n"/>
      <c r="J56" s="18" t="n"/>
      <c r="K56" s="18">
        <f>IF(I56="","",I56-J56)</f>
        <v/>
      </c>
      <c r="L56" s="32" t="n"/>
      <c r="M56" s="13" t="n"/>
    </row>
    <row r="57" ht="22" customHeight="1">
      <c r="B57" s="16">
        <f>IF(C57="","HEV-"&amp;TEXT(COUNTA($C$5:C57),"000"))</f>
        <v/>
      </c>
      <c r="C57" s="11" t="n"/>
      <c r="D57" s="11" t="n"/>
      <c r="E57" s="27" t="n"/>
      <c r="F57" s="17" t="n"/>
      <c r="G57" s="17" t="n"/>
      <c r="H57" s="29">
        <f>IF(G57="","",F57/G57)</f>
        <v/>
      </c>
      <c r="I57" s="17" t="n"/>
      <c r="J57" s="17" t="n"/>
      <c r="K57" s="17">
        <f>IF(I57="","",I57-J57)</f>
        <v/>
      </c>
      <c r="L57" s="30" t="n"/>
      <c r="M57" s="11" t="n"/>
    </row>
    <row r="58" ht="22" customHeight="1">
      <c r="B58" s="15">
        <f>IF(C58="","HEV-"&amp;TEXT(COUNTA($C$5:C58),"000"))</f>
        <v/>
      </c>
      <c r="C58" s="13" t="n"/>
      <c r="D58" s="13" t="n"/>
      <c r="E58" s="28" t="n"/>
      <c r="F58" s="18" t="n"/>
      <c r="G58" s="18" t="n"/>
      <c r="H58" s="31">
        <f>IF(G58="","",F58/G58)</f>
        <v/>
      </c>
      <c r="I58" s="18" t="n"/>
      <c r="J58" s="18" t="n"/>
      <c r="K58" s="18">
        <f>IF(I58="","",I58-J58)</f>
        <v/>
      </c>
      <c r="L58" s="32" t="n"/>
      <c r="M58" s="13" t="n"/>
    </row>
    <row r="59" ht="22" customHeight="1">
      <c r="B59" s="16">
        <f>IF(C59="","HEV-"&amp;TEXT(COUNTA($C$5:C59),"000"))</f>
        <v/>
      </c>
      <c r="C59" s="11" t="n"/>
      <c r="D59" s="11" t="n"/>
      <c r="E59" s="27" t="n"/>
      <c r="F59" s="17" t="n"/>
      <c r="G59" s="17" t="n"/>
      <c r="H59" s="29">
        <f>IF(G59="","",F59/G59)</f>
        <v/>
      </c>
      <c r="I59" s="17" t="n"/>
      <c r="J59" s="17" t="n"/>
      <c r="K59" s="17">
        <f>IF(I59="","",I59-J59)</f>
        <v/>
      </c>
      <c r="L59" s="30" t="n"/>
      <c r="M59" s="11" t="n"/>
    </row>
    <row r="60" ht="22" customHeight="1">
      <c r="B60" s="15">
        <f>IF(C60="","HEV-"&amp;TEXT(COUNTA($C$5:C60),"000"))</f>
        <v/>
      </c>
      <c r="C60" s="13" t="n"/>
      <c r="D60" s="13" t="n"/>
      <c r="E60" s="28" t="n"/>
      <c r="F60" s="18" t="n"/>
      <c r="G60" s="18" t="n"/>
      <c r="H60" s="31">
        <f>IF(G60="","",F60/G60)</f>
        <v/>
      </c>
      <c r="I60" s="18" t="n"/>
      <c r="J60" s="18" t="n"/>
      <c r="K60" s="18">
        <f>IF(I60="","",I60-J60)</f>
        <v/>
      </c>
      <c r="L60" s="32" t="n"/>
      <c r="M60" s="13" t="n"/>
    </row>
    <row r="61" ht="22" customHeight="1">
      <c r="B61" s="16">
        <f>IF(C61="","HEV-"&amp;TEXT(COUNTA($C$5:C61),"000"))</f>
        <v/>
      </c>
      <c r="C61" s="11" t="n"/>
      <c r="D61" s="11" t="n"/>
      <c r="E61" s="27" t="n"/>
      <c r="F61" s="17" t="n"/>
      <c r="G61" s="17" t="n"/>
      <c r="H61" s="29">
        <f>IF(G61="","",F61/G61)</f>
        <v/>
      </c>
      <c r="I61" s="17" t="n"/>
      <c r="J61" s="17" t="n"/>
      <c r="K61" s="17">
        <f>IF(I61="","",I61-J61)</f>
        <v/>
      </c>
      <c r="L61" s="30" t="n"/>
      <c r="M61" s="11" t="n"/>
    </row>
    <row r="62" ht="22" customHeight="1">
      <c r="B62" s="15">
        <f>IF(C62="","HEV-"&amp;TEXT(COUNTA($C$5:C62),"000"))</f>
        <v/>
      </c>
      <c r="C62" s="13" t="n"/>
      <c r="D62" s="13" t="n"/>
      <c r="E62" s="28" t="n"/>
      <c r="F62" s="18" t="n"/>
      <c r="G62" s="18" t="n"/>
      <c r="H62" s="31">
        <f>IF(G62="","",F62/G62)</f>
        <v/>
      </c>
      <c r="I62" s="18" t="n"/>
      <c r="J62" s="18" t="n"/>
      <c r="K62" s="18">
        <f>IF(I62="","",I62-J62)</f>
        <v/>
      </c>
      <c r="L62" s="32" t="n"/>
      <c r="M62" s="13" t="n"/>
    </row>
    <row r="63" ht="22" customHeight="1">
      <c r="B63" s="16">
        <f>IF(C63="","HEV-"&amp;TEXT(COUNTA($C$5:C63),"000"))</f>
        <v/>
      </c>
      <c r="C63" s="11" t="n"/>
      <c r="D63" s="11" t="n"/>
      <c r="E63" s="27" t="n"/>
      <c r="F63" s="17" t="n"/>
      <c r="G63" s="17" t="n"/>
      <c r="H63" s="29">
        <f>IF(G63="","",F63/G63)</f>
        <v/>
      </c>
      <c r="I63" s="17" t="n"/>
      <c r="J63" s="17" t="n"/>
      <c r="K63" s="17">
        <f>IF(I63="","",I63-J63)</f>
        <v/>
      </c>
      <c r="L63" s="30" t="n"/>
      <c r="M63" s="11" t="n"/>
    </row>
    <row r="64" ht="22" customHeight="1">
      <c r="B64" s="15">
        <f>IF(C64="","HEV-"&amp;TEXT(COUNTA($C$5:C64),"000"))</f>
        <v/>
      </c>
      <c r="C64" s="13" t="n"/>
      <c r="D64" s="13" t="n"/>
      <c r="E64" s="28" t="n"/>
      <c r="F64" s="18" t="n"/>
      <c r="G64" s="18" t="n"/>
      <c r="H64" s="31">
        <f>IF(G64="","",F64/G64)</f>
        <v/>
      </c>
      <c r="I64" s="18" t="n"/>
      <c r="J64" s="18" t="n"/>
      <c r="K64" s="18">
        <f>IF(I64="","",I64-J64)</f>
        <v/>
      </c>
      <c r="L64" s="32" t="n"/>
      <c r="M64" s="13" t="n"/>
    </row>
    <row r="65" ht="22" customHeight="1">
      <c r="B65" s="16">
        <f>IF(C65="","HEV-"&amp;TEXT(COUNTA($C$5:C65),"000"))</f>
        <v/>
      </c>
      <c r="C65" s="11" t="n"/>
      <c r="D65" s="11" t="n"/>
      <c r="E65" s="27" t="n"/>
      <c r="F65" s="17" t="n"/>
      <c r="G65" s="17" t="n"/>
      <c r="H65" s="29">
        <f>IF(G65="","",F65/G65)</f>
        <v/>
      </c>
      <c r="I65" s="17" t="n"/>
      <c r="J65" s="17" t="n"/>
      <c r="K65" s="17">
        <f>IF(I65="","",I65-J65)</f>
        <v/>
      </c>
      <c r="L65" s="30" t="n"/>
      <c r="M65" s="11" t="n"/>
    </row>
    <row r="66" ht="22" customHeight="1">
      <c r="B66" s="15">
        <f>IF(C66="","HEV-"&amp;TEXT(COUNTA($C$5:C66),"000"))</f>
        <v/>
      </c>
      <c r="C66" s="13" t="n"/>
      <c r="D66" s="13" t="n"/>
      <c r="E66" s="28" t="n"/>
      <c r="F66" s="18" t="n"/>
      <c r="G66" s="18" t="n"/>
      <c r="H66" s="31">
        <f>IF(G66="","",F66/G66)</f>
        <v/>
      </c>
      <c r="I66" s="18" t="n"/>
      <c r="J66" s="18" t="n"/>
      <c r="K66" s="18">
        <f>IF(I66="","",I66-J66)</f>
        <v/>
      </c>
      <c r="L66" s="32" t="n"/>
      <c r="M66" s="13" t="n"/>
    </row>
    <row r="67" ht="22" customHeight="1">
      <c r="B67" s="16">
        <f>IF(C67="","HEV-"&amp;TEXT(COUNTA($C$5:C67),"000"))</f>
        <v/>
      </c>
      <c r="C67" s="11" t="n"/>
      <c r="D67" s="11" t="n"/>
      <c r="E67" s="27" t="n"/>
      <c r="F67" s="17" t="n"/>
      <c r="G67" s="17" t="n"/>
      <c r="H67" s="29">
        <f>IF(G67="","",F67/G67)</f>
        <v/>
      </c>
      <c r="I67" s="17" t="n"/>
      <c r="J67" s="17" t="n"/>
      <c r="K67" s="17">
        <f>IF(I67="","",I67-J67)</f>
        <v/>
      </c>
      <c r="L67" s="30" t="n"/>
      <c r="M67" s="11" t="n"/>
    </row>
    <row r="68" ht="22" customHeight="1">
      <c r="B68" s="15">
        <f>IF(C68="","HEV-"&amp;TEXT(COUNTA($C$5:C68),"000"))</f>
        <v/>
      </c>
      <c r="C68" s="13" t="n"/>
      <c r="D68" s="13" t="n"/>
      <c r="E68" s="28" t="n"/>
      <c r="F68" s="18" t="n"/>
      <c r="G68" s="18" t="n"/>
      <c r="H68" s="31">
        <f>IF(G68="","",F68/G68)</f>
        <v/>
      </c>
      <c r="I68" s="18" t="n"/>
      <c r="J68" s="18" t="n"/>
      <c r="K68" s="18">
        <f>IF(I68="","",I68-J68)</f>
        <v/>
      </c>
      <c r="L68" s="32" t="n"/>
      <c r="M68" s="13" t="n"/>
    </row>
    <row r="69" ht="22" customHeight="1">
      <c r="B69" s="16">
        <f>IF(C69="","HEV-"&amp;TEXT(COUNTA($C$5:C69),"000"))</f>
        <v/>
      </c>
      <c r="C69" s="11" t="n"/>
      <c r="D69" s="11" t="n"/>
      <c r="E69" s="27" t="n"/>
      <c r="F69" s="17" t="n"/>
      <c r="G69" s="17" t="n"/>
      <c r="H69" s="29">
        <f>IF(G69="","",F69/G69)</f>
        <v/>
      </c>
      <c r="I69" s="17" t="n"/>
      <c r="J69" s="17" t="n"/>
      <c r="K69" s="17">
        <f>IF(I69="","",I69-J69)</f>
        <v/>
      </c>
      <c r="L69" s="30" t="n"/>
      <c r="M69" s="11" t="n"/>
    </row>
    <row r="70" ht="22" customHeight="1">
      <c r="B70" s="15">
        <f>IF(C70="","HEV-"&amp;TEXT(COUNTA($C$5:C70),"000"))</f>
        <v/>
      </c>
      <c r="C70" s="13" t="n"/>
      <c r="D70" s="13" t="n"/>
      <c r="E70" s="28" t="n"/>
      <c r="F70" s="18" t="n"/>
      <c r="G70" s="18" t="n"/>
      <c r="H70" s="31">
        <f>IF(G70="","",F70/G70)</f>
        <v/>
      </c>
      <c r="I70" s="18" t="n"/>
      <c r="J70" s="18" t="n"/>
      <c r="K70" s="18">
        <f>IF(I70="","",I70-J70)</f>
        <v/>
      </c>
      <c r="L70" s="32" t="n"/>
      <c r="M70" s="13" t="n"/>
    </row>
    <row r="71" ht="22" customHeight="1">
      <c r="B71" s="16">
        <f>IF(C71="","HEV-"&amp;TEXT(COUNTA($C$5:C71),"000"))</f>
        <v/>
      </c>
      <c r="C71" s="11" t="n"/>
      <c r="D71" s="11" t="n"/>
      <c r="E71" s="27" t="n"/>
      <c r="F71" s="17" t="n"/>
      <c r="G71" s="17" t="n"/>
      <c r="H71" s="29">
        <f>IF(G71="","",F71/G71)</f>
        <v/>
      </c>
      <c r="I71" s="17" t="n"/>
      <c r="J71" s="17" t="n"/>
      <c r="K71" s="17">
        <f>IF(I71="","",I71-J71)</f>
        <v/>
      </c>
      <c r="L71" s="30" t="n"/>
      <c r="M71" s="11" t="n"/>
    </row>
    <row r="72" ht="22" customHeight="1">
      <c r="B72" s="15">
        <f>IF(C72="","HEV-"&amp;TEXT(COUNTA($C$5:C72),"000"))</f>
        <v/>
      </c>
      <c r="C72" s="13" t="n"/>
      <c r="D72" s="13" t="n"/>
      <c r="E72" s="28" t="n"/>
      <c r="F72" s="18" t="n"/>
      <c r="G72" s="18" t="n"/>
      <c r="H72" s="31">
        <f>IF(G72="","",F72/G72)</f>
        <v/>
      </c>
      <c r="I72" s="18" t="n"/>
      <c r="J72" s="18" t="n"/>
      <c r="K72" s="18">
        <f>IF(I72="","",I72-J72)</f>
        <v/>
      </c>
      <c r="L72" s="32" t="n"/>
      <c r="M72" s="13" t="n"/>
    </row>
    <row r="73" ht="22" customHeight="1">
      <c r="B73" s="16">
        <f>IF(C73="","HEV-"&amp;TEXT(COUNTA($C$5:C73),"000"))</f>
        <v/>
      </c>
      <c r="C73" s="11" t="n"/>
      <c r="D73" s="11" t="n"/>
      <c r="E73" s="27" t="n"/>
      <c r="F73" s="17" t="n"/>
      <c r="G73" s="17" t="n"/>
      <c r="H73" s="29">
        <f>IF(G73="","",F73/G73)</f>
        <v/>
      </c>
      <c r="I73" s="17" t="n"/>
      <c r="J73" s="17" t="n"/>
      <c r="K73" s="17">
        <f>IF(I73="","",I73-J73)</f>
        <v/>
      </c>
      <c r="L73" s="30" t="n"/>
      <c r="M73" s="11" t="n"/>
    </row>
    <row r="74" ht="22" customHeight="1">
      <c r="B74" s="15">
        <f>IF(C74="","HEV-"&amp;TEXT(COUNTA($C$5:C74),"000"))</f>
        <v/>
      </c>
      <c r="C74" s="13" t="n"/>
      <c r="D74" s="13" t="n"/>
      <c r="E74" s="28" t="n"/>
      <c r="F74" s="18" t="n"/>
      <c r="G74" s="18" t="n"/>
      <c r="H74" s="31">
        <f>IF(G74="","",F74/G74)</f>
        <v/>
      </c>
      <c r="I74" s="18" t="n"/>
      <c r="J74" s="18" t="n"/>
      <c r="K74" s="18">
        <f>IF(I74="","",I74-J74)</f>
        <v/>
      </c>
      <c r="L74" s="32" t="n"/>
      <c r="M74" s="13" t="n"/>
    </row>
    <row r="75" ht="22" customHeight="1">
      <c r="B75" s="16">
        <f>IF(C75="","HEV-"&amp;TEXT(COUNTA($C$5:C75),"000"))</f>
        <v/>
      </c>
      <c r="C75" s="11" t="n"/>
      <c r="D75" s="11" t="n"/>
      <c r="E75" s="27" t="n"/>
      <c r="F75" s="17" t="n"/>
      <c r="G75" s="17" t="n"/>
      <c r="H75" s="29">
        <f>IF(G75="","",F75/G75)</f>
        <v/>
      </c>
      <c r="I75" s="17" t="n"/>
      <c r="J75" s="17" t="n"/>
      <c r="K75" s="17">
        <f>IF(I75="","",I75-J75)</f>
        <v/>
      </c>
      <c r="L75" s="30" t="n"/>
      <c r="M75" s="11" t="n"/>
    </row>
    <row r="76" ht="22" customHeight="1">
      <c r="B76" s="15">
        <f>IF(C76="","HEV-"&amp;TEXT(COUNTA($C$5:C76),"000"))</f>
        <v/>
      </c>
      <c r="C76" s="13" t="n"/>
      <c r="D76" s="13" t="n"/>
      <c r="E76" s="28" t="n"/>
      <c r="F76" s="18" t="n"/>
      <c r="G76" s="18" t="n"/>
      <c r="H76" s="31">
        <f>IF(G76="","",F76/G76)</f>
        <v/>
      </c>
      <c r="I76" s="18" t="n"/>
      <c r="J76" s="18" t="n"/>
      <c r="K76" s="18">
        <f>IF(I76="","",I76-J76)</f>
        <v/>
      </c>
      <c r="L76" s="32" t="n"/>
      <c r="M76" s="13" t="n"/>
    </row>
    <row r="77" ht="22" customHeight="1">
      <c r="B77" s="16">
        <f>IF(C77="","HEV-"&amp;TEXT(COUNTA($C$5:C77),"000"))</f>
        <v/>
      </c>
      <c r="C77" s="11" t="n"/>
      <c r="D77" s="11" t="n"/>
      <c r="E77" s="27" t="n"/>
      <c r="F77" s="17" t="n"/>
      <c r="G77" s="17" t="n"/>
      <c r="H77" s="29">
        <f>IF(G77="","",F77/G77)</f>
        <v/>
      </c>
      <c r="I77" s="17" t="n"/>
      <c r="J77" s="17" t="n"/>
      <c r="K77" s="17">
        <f>IF(I77="","",I77-J77)</f>
        <v/>
      </c>
      <c r="L77" s="30" t="n"/>
      <c r="M77" s="11" t="n"/>
    </row>
    <row r="78" ht="22" customHeight="1">
      <c r="B78" s="15">
        <f>IF(C78="","HEV-"&amp;TEXT(COUNTA($C$5:C78),"000"))</f>
        <v/>
      </c>
      <c r="C78" s="13" t="n"/>
      <c r="D78" s="13" t="n"/>
      <c r="E78" s="28" t="n"/>
      <c r="F78" s="18" t="n"/>
      <c r="G78" s="18" t="n"/>
      <c r="H78" s="31">
        <f>IF(G78="","",F78/G78)</f>
        <v/>
      </c>
      <c r="I78" s="18" t="n"/>
      <c r="J78" s="18" t="n"/>
      <c r="K78" s="18">
        <f>IF(I78="","",I78-J78)</f>
        <v/>
      </c>
      <c r="L78" s="32" t="n"/>
      <c r="M78" s="13" t="n"/>
    </row>
    <row r="79" ht="22" customHeight="1">
      <c r="B79" s="16">
        <f>IF(C79="","HEV-"&amp;TEXT(COUNTA($C$5:C79),"000"))</f>
        <v/>
      </c>
      <c r="C79" s="11" t="n"/>
      <c r="D79" s="11" t="n"/>
      <c r="E79" s="27" t="n"/>
      <c r="F79" s="17" t="n"/>
      <c r="G79" s="17" t="n"/>
      <c r="H79" s="29">
        <f>IF(G79="","",F79/G79)</f>
        <v/>
      </c>
      <c r="I79" s="17" t="n"/>
      <c r="J79" s="17" t="n"/>
      <c r="K79" s="17">
        <f>IF(I79="","",I79-J79)</f>
        <v/>
      </c>
      <c r="L79" s="30" t="n"/>
      <c r="M79" s="11" t="n"/>
    </row>
    <row r="80" ht="22" customHeight="1">
      <c r="B80" s="15">
        <f>IF(C80="","HEV-"&amp;TEXT(COUNTA($C$5:C80),"000"))</f>
        <v/>
      </c>
      <c r="C80" s="13" t="n"/>
      <c r="D80" s="13" t="n"/>
      <c r="E80" s="28" t="n"/>
      <c r="F80" s="18" t="n"/>
      <c r="G80" s="18" t="n"/>
      <c r="H80" s="31">
        <f>IF(G80="","",F80/G80)</f>
        <v/>
      </c>
      <c r="I80" s="18" t="n"/>
      <c r="J80" s="18" t="n"/>
      <c r="K80" s="18">
        <f>IF(I80="","",I80-J80)</f>
        <v/>
      </c>
      <c r="L80" s="32" t="n"/>
      <c r="M80" s="13" t="n"/>
    </row>
    <row r="81" ht="22" customHeight="1">
      <c r="B81" s="16">
        <f>IF(C81="","HEV-"&amp;TEXT(COUNTA($C$5:C81),"000"))</f>
        <v/>
      </c>
      <c r="C81" s="11" t="n"/>
      <c r="D81" s="11" t="n"/>
      <c r="E81" s="27" t="n"/>
      <c r="F81" s="17" t="n"/>
      <c r="G81" s="17" t="n"/>
      <c r="H81" s="29">
        <f>IF(G81="","",F81/G81)</f>
        <v/>
      </c>
      <c r="I81" s="17" t="n"/>
      <c r="J81" s="17" t="n"/>
      <c r="K81" s="17">
        <f>IF(I81="","",I81-J81)</f>
        <v/>
      </c>
      <c r="L81" s="30" t="n"/>
      <c r="M81" s="11" t="n"/>
    </row>
    <row r="82" ht="22" customHeight="1">
      <c r="B82" s="15">
        <f>IF(C82="","HEV-"&amp;TEXT(COUNTA($C$5:C82),"000"))</f>
        <v/>
      </c>
      <c r="C82" s="13" t="n"/>
      <c r="D82" s="13" t="n"/>
      <c r="E82" s="28" t="n"/>
      <c r="F82" s="18" t="n"/>
      <c r="G82" s="18" t="n"/>
      <c r="H82" s="31">
        <f>IF(G82="","",F82/G82)</f>
        <v/>
      </c>
      <c r="I82" s="18" t="n"/>
      <c r="J82" s="18" t="n"/>
      <c r="K82" s="18">
        <f>IF(I82="","",I82-J82)</f>
        <v/>
      </c>
      <c r="L82" s="32" t="n"/>
      <c r="M82" s="13" t="n"/>
    </row>
    <row r="83" ht="22" customHeight="1">
      <c r="B83" s="16">
        <f>IF(C83="","HEV-"&amp;TEXT(COUNTA($C$5:C83),"000"))</f>
        <v/>
      </c>
      <c r="C83" s="11" t="n"/>
      <c r="D83" s="11" t="n"/>
      <c r="E83" s="27" t="n"/>
      <c r="F83" s="17" t="n"/>
      <c r="G83" s="17" t="n"/>
      <c r="H83" s="29">
        <f>IF(G83="","",F83/G83)</f>
        <v/>
      </c>
      <c r="I83" s="17" t="n"/>
      <c r="J83" s="17" t="n"/>
      <c r="K83" s="17">
        <f>IF(I83="","",I83-J83)</f>
        <v/>
      </c>
      <c r="L83" s="30" t="n"/>
      <c r="M83" s="11" t="n"/>
    </row>
    <row r="84" ht="22" customHeight="1">
      <c r="B84" s="15">
        <f>IF(C84="","HEV-"&amp;TEXT(COUNTA($C$5:C84),"000"))</f>
        <v/>
      </c>
      <c r="C84" s="13" t="n"/>
      <c r="D84" s="13" t="n"/>
      <c r="E84" s="28" t="n"/>
      <c r="F84" s="18" t="n"/>
      <c r="G84" s="18" t="n"/>
      <c r="H84" s="31">
        <f>IF(G84="","",F84/G84)</f>
        <v/>
      </c>
      <c r="I84" s="18" t="n"/>
      <c r="J84" s="18" t="n"/>
      <c r="K84" s="18">
        <f>IF(I84="","",I84-J84)</f>
        <v/>
      </c>
      <c r="L84" s="32" t="n"/>
      <c r="M84" s="13" t="n"/>
    </row>
    <row r="85" ht="22" customHeight="1">
      <c r="B85" s="16">
        <f>IF(C85="","HEV-"&amp;TEXT(COUNTA($C$5:C85),"000"))</f>
        <v/>
      </c>
      <c r="C85" s="11" t="n"/>
      <c r="D85" s="11" t="n"/>
      <c r="E85" s="27" t="n"/>
      <c r="F85" s="17" t="n"/>
      <c r="G85" s="17" t="n"/>
      <c r="H85" s="29">
        <f>IF(G85="","",F85/G85)</f>
        <v/>
      </c>
      <c r="I85" s="17" t="n"/>
      <c r="J85" s="17" t="n"/>
      <c r="K85" s="17">
        <f>IF(I85="","",I85-J85)</f>
        <v/>
      </c>
      <c r="L85" s="30" t="n"/>
      <c r="M85" s="11" t="n"/>
    </row>
    <row r="86" ht="22" customHeight="1">
      <c r="B86" s="15">
        <f>IF(C86="","HEV-"&amp;TEXT(COUNTA($C$5:C86),"000"))</f>
        <v/>
      </c>
      <c r="C86" s="13" t="n"/>
      <c r="D86" s="13" t="n"/>
      <c r="E86" s="28" t="n"/>
      <c r="F86" s="18" t="n"/>
      <c r="G86" s="18" t="n"/>
      <c r="H86" s="31">
        <f>IF(G86="","",F86/G86)</f>
        <v/>
      </c>
      <c r="I86" s="18" t="n"/>
      <c r="J86" s="18" t="n"/>
      <c r="K86" s="18">
        <f>IF(I86="","",I86-J86)</f>
        <v/>
      </c>
      <c r="L86" s="32" t="n"/>
      <c r="M86" s="13" t="n"/>
    </row>
    <row r="87" ht="22" customHeight="1">
      <c r="B87" s="16">
        <f>IF(C87="","HEV-"&amp;TEXT(COUNTA($C$5:C87),"000"))</f>
        <v/>
      </c>
      <c r="C87" s="11" t="n"/>
      <c r="D87" s="11" t="n"/>
      <c r="E87" s="27" t="n"/>
      <c r="F87" s="17" t="n"/>
      <c r="G87" s="17" t="n"/>
      <c r="H87" s="29">
        <f>IF(G87="","",F87/G87)</f>
        <v/>
      </c>
      <c r="I87" s="17" t="n"/>
      <c r="J87" s="17" t="n"/>
      <c r="K87" s="17">
        <f>IF(I87="","",I87-J87)</f>
        <v/>
      </c>
      <c r="L87" s="30" t="n"/>
      <c r="M87" s="11" t="n"/>
    </row>
    <row r="88" ht="22" customHeight="1">
      <c r="B88" s="15">
        <f>IF(C88="","HEV-"&amp;TEXT(COUNTA($C$5:C88),"000"))</f>
        <v/>
      </c>
      <c r="C88" s="13" t="n"/>
      <c r="D88" s="13" t="n"/>
      <c r="E88" s="28" t="n"/>
      <c r="F88" s="18" t="n"/>
      <c r="G88" s="18" t="n"/>
      <c r="H88" s="31">
        <f>IF(G88="","",F88/G88)</f>
        <v/>
      </c>
      <c r="I88" s="18" t="n"/>
      <c r="J88" s="18" t="n"/>
      <c r="K88" s="18">
        <f>IF(I88="","",I88-J88)</f>
        <v/>
      </c>
      <c r="L88" s="32" t="n"/>
      <c r="M88" s="13" t="n"/>
    </row>
    <row r="89" ht="22" customHeight="1">
      <c r="B89" s="16">
        <f>IF(C89="","HEV-"&amp;TEXT(COUNTA($C$5:C89),"000"))</f>
        <v/>
      </c>
      <c r="C89" s="11" t="n"/>
      <c r="D89" s="11" t="n"/>
      <c r="E89" s="27" t="n"/>
      <c r="F89" s="17" t="n"/>
      <c r="G89" s="17" t="n"/>
      <c r="H89" s="29">
        <f>IF(G89="","",F89/G89)</f>
        <v/>
      </c>
      <c r="I89" s="17" t="n"/>
      <c r="J89" s="17" t="n"/>
      <c r="K89" s="17">
        <f>IF(I89="","",I89-J89)</f>
        <v/>
      </c>
      <c r="L89" s="30" t="n"/>
      <c r="M89" s="11" t="n"/>
    </row>
    <row r="90" ht="22" customHeight="1">
      <c r="B90" s="15">
        <f>IF(C90="","HEV-"&amp;TEXT(COUNTA($C$5:C90),"000"))</f>
        <v/>
      </c>
      <c r="C90" s="13" t="n"/>
      <c r="D90" s="13" t="n"/>
      <c r="E90" s="28" t="n"/>
      <c r="F90" s="18" t="n"/>
      <c r="G90" s="18" t="n"/>
      <c r="H90" s="31">
        <f>IF(G90="","",F90/G90)</f>
        <v/>
      </c>
      <c r="I90" s="18" t="n"/>
      <c r="J90" s="18" t="n"/>
      <c r="K90" s="18">
        <f>IF(I90="","",I90-J90)</f>
        <v/>
      </c>
      <c r="L90" s="32" t="n"/>
      <c r="M90" s="13" t="n"/>
    </row>
    <row r="91" ht="22" customHeight="1">
      <c r="B91" s="16">
        <f>IF(C91="","HEV-"&amp;TEXT(COUNTA($C$5:C91),"000"))</f>
        <v/>
      </c>
      <c r="C91" s="11" t="n"/>
      <c r="D91" s="11" t="n"/>
      <c r="E91" s="27" t="n"/>
      <c r="F91" s="17" t="n"/>
      <c r="G91" s="17" t="n"/>
      <c r="H91" s="29">
        <f>IF(G91="","",F91/G91)</f>
        <v/>
      </c>
      <c r="I91" s="17" t="n"/>
      <c r="J91" s="17" t="n"/>
      <c r="K91" s="17">
        <f>IF(I91="","",I91-J91)</f>
        <v/>
      </c>
      <c r="L91" s="30" t="n"/>
      <c r="M91" s="11" t="n"/>
    </row>
    <row r="92" ht="22" customHeight="1">
      <c r="B92" s="15">
        <f>IF(C92="","HEV-"&amp;TEXT(COUNTA($C$5:C92),"000"))</f>
        <v/>
      </c>
      <c r="C92" s="13" t="n"/>
      <c r="D92" s="13" t="n"/>
      <c r="E92" s="28" t="n"/>
      <c r="F92" s="18" t="n"/>
      <c r="G92" s="18" t="n"/>
      <c r="H92" s="31">
        <f>IF(G92="","",F92/G92)</f>
        <v/>
      </c>
      <c r="I92" s="18" t="n"/>
      <c r="J92" s="18" t="n"/>
      <c r="K92" s="18">
        <f>IF(I92="","",I92-J92)</f>
        <v/>
      </c>
      <c r="L92" s="32" t="n"/>
      <c r="M92" s="13" t="n"/>
    </row>
    <row r="93" ht="22" customHeight="1">
      <c r="B93" s="16">
        <f>IF(C93="","HEV-"&amp;TEXT(COUNTA($C$5:C93),"000"))</f>
        <v/>
      </c>
      <c r="C93" s="11" t="n"/>
      <c r="D93" s="11" t="n"/>
      <c r="E93" s="27" t="n"/>
      <c r="F93" s="17" t="n"/>
      <c r="G93" s="17" t="n"/>
      <c r="H93" s="29">
        <f>IF(G93="","",F93/G93)</f>
        <v/>
      </c>
      <c r="I93" s="17" t="n"/>
      <c r="J93" s="17" t="n"/>
      <c r="K93" s="17">
        <f>IF(I93="","",I93-J93)</f>
        <v/>
      </c>
      <c r="L93" s="30" t="n"/>
      <c r="M93" s="11" t="n"/>
    </row>
    <row r="94" ht="22" customHeight="1">
      <c r="B94" s="15">
        <f>IF(C94="","HEV-"&amp;TEXT(COUNTA($C$5:C94),"000"))</f>
        <v/>
      </c>
      <c r="C94" s="13" t="n"/>
      <c r="D94" s="13" t="n"/>
      <c r="E94" s="28" t="n"/>
      <c r="F94" s="18" t="n"/>
      <c r="G94" s="18" t="n"/>
      <c r="H94" s="31">
        <f>IF(G94="","",F94/G94)</f>
        <v/>
      </c>
      <c r="I94" s="18" t="n"/>
      <c r="J94" s="18" t="n"/>
      <c r="K94" s="18">
        <f>IF(I94="","",I94-J94)</f>
        <v/>
      </c>
      <c r="L94" s="32" t="n"/>
      <c r="M94" s="13" t="n"/>
    </row>
    <row r="95" ht="22" customHeight="1">
      <c r="B95" s="16">
        <f>IF(C95="","HEV-"&amp;TEXT(COUNTA($C$5:C95),"000"))</f>
        <v/>
      </c>
      <c r="C95" s="11" t="n"/>
      <c r="D95" s="11" t="n"/>
      <c r="E95" s="27" t="n"/>
      <c r="F95" s="17" t="n"/>
      <c r="G95" s="17" t="n"/>
      <c r="H95" s="29">
        <f>IF(G95="","",F95/G95)</f>
        <v/>
      </c>
      <c r="I95" s="17" t="n"/>
      <c r="J95" s="17" t="n"/>
      <c r="K95" s="17">
        <f>IF(I95="","",I95-J95)</f>
        <v/>
      </c>
      <c r="L95" s="30" t="n"/>
      <c r="M95" s="11" t="n"/>
    </row>
    <row r="96" ht="22" customHeight="1">
      <c r="B96" s="15">
        <f>IF(C96="","HEV-"&amp;TEXT(COUNTA($C$5:C96),"000"))</f>
        <v/>
      </c>
      <c r="C96" s="13" t="n"/>
      <c r="D96" s="13" t="n"/>
      <c r="E96" s="28" t="n"/>
      <c r="F96" s="18" t="n"/>
      <c r="G96" s="18" t="n"/>
      <c r="H96" s="31">
        <f>IF(G96="","",F96/G96)</f>
        <v/>
      </c>
      <c r="I96" s="18" t="n"/>
      <c r="J96" s="18" t="n"/>
      <c r="K96" s="18">
        <f>IF(I96="","",I96-J96)</f>
        <v/>
      </c>
      <c r="L96" s="32" t="n"/>
      <c r="M96" s="13" t="n"/>
    </row>
    <row r="97" ht="22" customHeight="1">
      <c r="B97" s="16">
        <f>IF(C97="","HEV-"&amp;TEXT(COUNTA($C$5:C97),"000"))</f>
        <v/>
      </c>
      <c r="C97" s="11" t="n"/>
      <c r="D97" s="11" t="n"/>
      <c r="E97" s="27" t="n"/>
      <c r="F97" s="17" t="n"/>
      <c r="G97" s="17" t="n"/>
      <c r="H97" s="29">
        <f>IF(G97="","",F97/G97)</f>
        <v/>
      </c>
      <c r="I97" s="17" t="n"/>
      <c r="J97" s="17" t="n"/>
      <c r="K97" s="17">
        <f>IF(I97="","",I97-J97)</f>
        <v/>
      </c>
      <c r="L97" s="30" t="n"/>
      <c r="M97" s="11" t="n"/>
    </row>
    <row r="98" ht="22" customHeight="1">
      <c r="B98" s="15">
        <f>IF(C98="","HEV-"&amp;TEXT(COUNTA($C$5:C98),"000"))</f>
        <v/>
      </c>
      <c r="C98" s="13" t="n"/>
      <c r="D98" s="13" t="n"/>
      <c r="E98" s="28" t="n"/>
      <c r="F98" s="18" t="n"/>
      <c r="G98" s="18" t="n"/>
      <c r="H98" s="31">
        <f>IF(G98="","",F98/G98)</f>
        <v/>
      </c>
      <c r="I98" s="18" t="n"/>
      <c r="J98" s="18" t="n"/>
      <c r="K98" s="18">
        <f>IF(I98="","",I98-J98)</f>
        <v/>
      </c>
      <c r="L98" s="32" t="n"/>
      <c r="M98" s="13" t="n"/>
    </row>
    <row r="99" ht="22" customHeight="1">
      <c r="B99" s="16">
        <f>IF(C99="","HEV-"&amp;TEXT(COUNTA($C$5:C99),"000"))</f>
        <v/>
      </c>
      <c r="C99" s="11" t="n"/>
      <c r="D99" s="11" t="n"/>
      <c r="E99" s="27" t="n"/>
      <c r="F99" s="17" t="n"/>
      <c r="G99" s="17" t="n"/>
      <c r="H99" s="29">
        <f>IF(G99="","",F99/G99)</f>
        <v/>
      </c>
      <c r="I99" s="17" t="n"/>
      <c r="J99" s="17" t="n"/>
      <c r="K99" s="17">
        <f>IF(I99="","",I99-J99)</f>
        <v/>
      </c>
      <c r="L99" s="30" t="n"/>
      <c r="M99" s="11" t="n"/>
    </row>
    <row r="100" ht="22" customHeight="1">
      <c r="B100" s="15">
        <f>IF(C100="","HEV-"&amp;TEXT(COUNTA($C$5:C100),"000"))</f>
        <v/>
      </c>
      <c r="C100" s="13" t="n"/>
      <c r="D100" s="13" t="n"/>
      <c r="E100" s="28" t="n"/>
      <c r="F100" s="18" t="n"/>
      <c r="G100" s="18" t="n"/>
      <c r="H100" s="31">
        <f>IF(G100="","",F100/G100)</f>
        <v/>
      </c>
      <c r="I100" s="18" t="n"/>
      <c r="J100" s="18" t="n"/>
      <c r="K100" s="18">
        <f>IF(I100="","",I100-J100)</f>
        <v/>
      </c>
      <c r="L100" s="32" t="n"/>
      <c r="M100" s="13" t="n"/>
    </row>
    <row r="101" ht="22" customHeight="1">
      <c r="B101" s="16">
        <f>IF(C101="","HEV-"&amp;TEXT(COUNTA($C$5:C101),"000"))</f>
        <v/>
      </c>
      <c r="C101" s="11" t="n"/>
      <c r="D101" s="11" t="n"/>
      <c r="E101" s="27" t="n"/>
      <c r="F101" s="17" t="n"/>
      <c r="G101" s="17" t="n"/>
      <c r="H101" s="29">
        <f>IF(G101="","",F101/G101)</f>
        <v/>
      </c>
      <c r="I101" s="17" t="n"/>
      <c r="J101" s="17" t="n"/>
      <c r="K101" s="17">
        <f>IF(I101="","",I101-J101)</f>
        <v/>
      </c>
      <c r="L101" s="30" t="n"/>
      <c r="M101" s="11" t="n"/>
    </row>
    <row r="102" ht="22" customHeight="1">
      <c r="B102" s="15">
        <f>IF(C102="","HEV-"&amp;TEXT(COUNTA($C$5:C102),"000"))</f>
        <v/>
      </c>
      <c r="C102" s="13" t="n"/>
      <c r="D102" s="13" t="n"/>
      <c r="E102" s="28" t="n"/>
      <c r="F102" s="18" t="n"/>
      <c r="G102" s="18" t="n"/>
      <c r="H102" s="31">
        <f>IF(G102="","",F102/G102)</f>
        <v/>
      </c>
      <c r="I102" s="18" t="n"/>
      <c r="J102" s="18" t="n"/>
      <c r="K102" s="18">
        <f>IF(I102="","",I102-J102)</f>
        <v/>
      </c>
      <c r="L102" s="32" t="n"/>
      <c r="M102" s="13" t="n"/>
    </row>
    <row r="103" ht="22" customHeight="1">
      <c r="B103" s="16">
        <f>IF(C103="","HEV-"&amp;TEXT(COUNTA($C$5:C103),"000"))</f>
        <v/>
      </c>
      <c r="C103" s="11" t="n"/>
      <c r="D103" s="11" t="n"/>
      <c r="E103" s="27" t="n"/>
      <c r="F103" s="17" t="n"/>
      <c r="G103" s="17" t="n"/>
      <c r="H103" s="29">
        <f>IF(G103="","",F103/G103)</f>
        <v/>
      </c>
      <c r="I103" s="17" t="n"/>
      <c r="J103" s="17" t="n"/>
      <c r="K103" s="17">
        <f>IF(I103="","",I103-J103)</f>
        <v/>
      </c>
      <c r="L103" s="30" t="n"/>
      <c r="M103" s="11" t="n"/>
    </row>
    <row r="104" ht="22" customHeight="1">
      <c r="B104" s="15">
        <f>IF(C104="","HEV-"&amp;TEXT(COUNTA($C$5:C104),"000"))</f>
        <v/>
      </c>
      <c r="C104" s="13" t="n"/>
      <c r="D104" s="13" t="n"/>
      <c r="E104" s="28" t="n"/>
      <c r="F104" s="18" t="n"/>
      <c r="G104" s="18" t="n"/>
      <c r="H104" s="31">
        <f>IF(G104="","",F104/G104)</f>
        <v/>
      </c>
      <c r="I104" s="18" t="n"/>
      <c r="J104" s="18" t="n"/>
      <c r="K104" s="18">
        <f>IF(I104="","",I104-J104)</f>
        <v/>
      </c>
      <c r="L104" s="32" t="n"/>
      <c r="M104" s="13" t="n"/>
    </row>
    <row r="105" ht="22" customHeight="1">
      <c r="B105" s="16">
        <f>IF(C105="","HEV-"&amp;TEXT(COUNTA($C$5:C105),"000"))</f>
        <v/>
      </c>
      <c r="C105" s="11" t="n"/>
      <c r="D105" s="11" t="n"/>
      <c r="E105" s="27" t="n"/>
      <c r="F105" s="17" t="n"/>
      <c r="G105" s="17" t="n"/>
      <c r="H105" s="29">
        <f>IF(G105="","",F105/G105)</f>
        <v/>
      </c>
      <c r="I105" s="17" t="n"/>
      <c r="J105" s="17" t="n"/>
      <c r="K105" s="17">
        <f>IF(I105="","",I105-J105)</f>
        <v/>
      </c>
      <c r="L105" s="30" t="n"/>
      <c r="M105" s="11" t="n"/>
    </row>
    <row r="106" ht="22" customHeight="1">
      <c r="B106" s="15">
        <f>IF(C106="","HEV-"&amp;TEXT(COUNTA($C$5:C106),"000"))</f>
        <v/>
      </c>
      <c r="C106" s="13" t="n"/>
      <c r="D106" s="13" t="n"/>
      <c r="E106" s="28" t="n"/>
      <c r="F106" s="18" t="n"/>
      <c r="G106" s="18" t="n"/>
      <c r="H106" s="31">
        <f>IF(G106="","",F106/G106)</f>
        <v/>
      </c>
      <c r="I106" s="18" t="n"/>
      <c r="J106" s="18" t="n"/>
      <c r="K106" s="18">
        <f>IF(I106="","",I106-J106)</f>
        <v/>
      </c>
      <c r="L106" s="32" t="n"/>
      <c r="M106" s="13" t="n"/>
    </row>
    <row r="107" ht="22" customHeight="1">
      <c r="B107" s="16">
        <f>IF(C107="","HEV-"&amp;TEXT(COUNTA($C$5:C107),"000"))</f>
        <v/>
      </c>
      <c r="C107" s="11" t="n"/>
      <c r="D107" s="11" t="n"/>
      <c r="E107" s="27" t="n"/>
      <c r="F107" s="17" t="n"/>
      <c r="G107" s="17" t="n"/>
      <c r="H107" s="29">
        <f>IF(G107="","",F107/G107)</f>
        <v/>
      </c>
      <c r="I107" s="17" t="n"/>
      <c r="J107" s="17" t="n"/>
      <c r="K107" s="17">
        <f>IF(I107="","",I107-J107)</f>
        <v/>
      </c>
      <c r="L107" s="30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Evenements realises</t>
        </is>
      </c>
      <c r="D110" s="3" t="inlineStr">
        <is>
          <t>Participants totaux</t>
        </is>
      </c>
      <c r="F110" s="3" t="inlineStr">
        <is>
          <t>Satisfaction moyenne</t>
        </is>
      </c>
    </row>
    <row r="111">
      <c r="B111" s="4">
        <f>COUNTIF(B5:B104,"&lt;&gt;")</f>
        <v/>
      </c>
      <c r="D111" s="4">
        <f>SUM(F5:F104)</f>
        <v/>
      </c>
      <c r="F111" s="4">
        <f>IFERROR(AVERAGE(L5:L104),0)</f>
        <v/>
      </c>
    </row>
  </sheetData>
  <mergeCells count="3">
    <mergeCell ref="B3:M3"/>
    <mergeCell ref="B2:M2"/>
    <mergeCell ref="B109:M109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conditionalFormatting sqref="M8:M107">
    <cfRule type="expression" priority="12" dxfId="3">
      <formula>AND($C8="",$C7&lt;&gt;"")</formula>
    </cfRule>
  </conditionalFormatting>
  <dataValidations count="1">
    <dataValidation sqref="D5:D107" showDropDown="0" showInputMessage="0" showErrorMessage="0" allowBlank="1" errorTitle="Erreur" error="Valeur invalide" promptTitle="Liste" prompt="Choisir dans la liste" type="list">
      <formula1>'_Lists'!$L$2:$L$13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8" customWidth="1" min="4" max="4"/>
    <col width="22" customWidth="1" min="5" max="5"/>
    <col width="14" customWidth="1" min="6" max="6"/>
    <col width="18" customWidth="1" min="7" max="7"/>
    <col width="24" customWidth="1" min="8" max="8"/>
    <col width="16" customWidth="1" min="9" max="9"/>
    <col width="16" customWidth="1" min="10" max="10"/>
  </cols>
  <sheetData>
    <row r="1" ht="15" customHeight="1"/>
    <row r="2" ht="32" customHeight="1">
      <c r="B2" s="1" t="inlineStr">
        <is>
          <t>CALENDRIER COMMUNICATION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Action Communication</t>
        </is>
      </c>
      <c r="D4" s="10" t="inlineStr">
        <is>
          <t>Type</t>
        </is>
      </c>
      <c r="E4" s="10" t="inlineStr">
        <is>
          <t>Canal</t>
        </is>
      </c>
      <c r="F4" s="10" t="inlineStr">
        <is>
          <t>Date Prevue</t>
        </is>
      </c>
      <c r="G4" s="10" t="inlineStr">
        <is>
          <t>Responsable</t>
        </is>
      </c>
      <c r="H4" s="10" t="inlineStr">
        <is>
          <t>Public Cible</t>
        </is>
      </c>
      <c r="I4" s="10" t="inlineStr">
        <is>
          <t>Statut</t>
        </is>
      </c>
      <c r="J4" s="10" t="inlineStr">
        <is>
          <t>Rappel</t>
        </is>
      </c>
    </row>
    <row r="5" ht="22" customHeight="1">
      <c r="B5" s="11" t="inlineStr">
        <is>
          <t>CAL-001</t>
        </is>
      </c>
      <c r="C5" s="11" t="inlineStr">
        <is>
          <t>Envoi newsletter mars</t>
        </is>
      </c>
      <c r="D5" s="11" t="inlineStr">
        <is>
          <t>Information</t>
        </is>
      </c>
      <c r="E5" s="11" t="inlineStr">
        <is>
          <t>Email</t>
        </is>
      </c>
      <c r="F5" s="27" t="n">
        <v>45744</v>
      </c>
      <c r="G5" s="11" t="inlineStr">
        <is>
          <t>DRH</t>
        </is>
      </c>
      <c r="H5" s="11" t="inlineStr">
        <is>
          <t>Tous les employes</t>
        </is>
      </c>
      <c r="I5" s="11" t="inlineStr">
        <is>
          <t>Planifie</t>
        </is>
      </c>
      <c r="J5" s="11" t="inlineStr">
        <is>
          <t>25/03/2025</t>
        </is>
      </c>
    </row>
    <row r="6" ht="22" customHeight="1">
      <c r="B6" s="13" t="inlineStr">
        <is>
          <t>CAL-002</t>
        </is>
      </c>
      <c r="C6" s="13" t="inlineStr">
        <is>
          <t>Post LinkedIn offres saison</t>
        </is>
      </c>
      <c r="D6" s="13" t="inlineStr">
        <is>
          <t>Recrutement</t>
        </is>
      </c>
      <c r="E6" s="13" t="inlineStr">
        <is>
          <t>LinkedIn</t>
        </is>
      </c>
      <c r="F6" s="28" t="n">
        <v>45717</v>
      </c>
      <c r="G6" s="13" t="inlineStr">
        <is>
          <t>Chef Marketing</t>
        </is>
      </c>
      <c r="H6" s="13" t="inlineStr">
        <is>
          <t>Jeunes diplomes</t>
        </is>
      </c>
      <c r="I6" s="13" t="inlineStr">
        <is>
          <t>En cours</t>
        </is>
      </c>
      <c r="J6" s="13" t="inlineStr">
        <is>
          <t>28/02/2025</t>
        </is>
      </c>
    </row>
    <row r="7" ht="22" customHeight="1">
      <c r="B7" s="11" t="inlineStr">
        <is>
          <t>CAL-003</t>
        </is>
      </c>
      <c r="C7" s="11" t="inlineStr">
        <is>
          <t>Affichage nouveau reglement</t>
        </is>
      </c>
      <c r="D7" s="11" t="inlineStr">
        <is>
          <t>Annonce</t>
        </is>
      </c>
      <c r="E7" s="11" t="inlineStr">
        <is>
          <t>Panneau d'affichage</t>
        </is>
      </c>
      <c r="F7" s="27" t="n">
        <v>45726</v>
      </c>
      <c r="G7" s="11" t="inlineStr">
        <is>
          <t>DRH</t>
        </is>
      </c>
      <c r="H7" s="11" t="inlineStr">
        <is>
          <t>Tous les employes</t>
        </is>
      </c>
      <c r="I7" s="11" t="inlineStr">
        <is>
          <t>Planifie</t>
        </is>
      </c>
      <c r="J7" s="11" t="inlineStr">
        <is>
          <t>07/03/2025</t>
        </is>
      </c>
    </row>
    <row r="8" ht="22" customHeight="1">
      <c r="B8" s="13" t="inlineStr">
        <is>
          <t>CAL-004</t>
        </is>
      </c>
      <c r="C8" s="13" t="inlineStr">
        <is>
          <t>Sondage satisfaction Q1</t>
        </is>
      </c>
      <c r="D8" s="13" t="inlineStr">
        <is>
          <t>Consultation</t>
        </is>
      </c>
      <c r="E8" s="13" t="inlineStr">
        <is>
          <t>Intranet</t>
        </is>
      </c>
      <c r="F8" s="28" t="n">
        <v>45731</v>
      </c>
      <c r="G8" s="13" t="inlineStr">
        <is>
          <t>DRH</t>
        </is>
      </c>
      <c r="H8" s="13" t="inlineStr">
        <is>
          <t>Tous les employes</t>
        </is>
      </c>
      <c r="I8" s="13" t="inlineStr">
        <is>
          <t>Planifie</t>
        </is>
      </c>
      <c r="J8" s="13" t="inlineStr">
        <is>
          <t>12/03/2025</t>
        </is>
      </c>
    </row>
    <row r="9" ht="22" customHeight="1">
      <c r="B9" s="16">
        <f>IF(C9="","CAL-"&amp;TEXT(COUNTA($C$5:C9),"000"))</f>
        <v/>
      </c>
      <c r="C9" s="11" t="n"/>
      <c r="D9" s="11" t="n"/>
      <c r="E9" s="11" t="n"/>
      <c r="F9" s="27" t="n"/>
      <c r="G9" s="11" t="n"/>
      <c r="H9" s="11" t="n"/>
      <c r="I9" s="11" t="n"/>
      <c r="J9" s="11" t="n"/>
    </row>
    <row r="10" ht="22" customHeight="1">
      <c r="B10" s="15">
        <f>IF(C10="","CAL-"&amp;TEXT(COUNTA($C$5:C10),"000"))</f>
        <v/>
      </c>
      <c r="C10" s="13" t="n"/>
      <c r="D10" s="13" t="n"/>
      <c r="E10" s="13" t="n"/>
      <c r="F10" s="28" t="n"/>
      <c r="G10" s="13" t="n"/>
      <c r="H10" s="13" t="n"/>
      <c r="I10" s="13" t="n"/>
      <c r="J10" s="13" t="n"/>
    </row>
    <row r="11" ht="22" customHeight="1">
      <c r="B11" s="16">
        <f>IF(C11="","CAL-"&amp;TEXT(COUNTA($C$5:C11),"000"))</f>
        <v/>
      </c>
      <c r="C11" s="11" t="n"/>
      <c r="D11" s="11" t="n"/>
      <c r="E11" s="11" t="n"/>
      <c r="F11" s="27" t="n"/>
      <c r="G11" s="11" t="n"/>
      <c r="H11" s="11" t="n"/>
      <c r="I11" s="11" t="n"/>
      <c r="J11" s="11" t="n"/>
    </row>
    <row r="12" ht="22" customHeight="1">
      <c r="B12" s="15">
        <f>IF(C12="","CAL-"&amp;TEXT(COUNTA($C$5:C12),"000"))</f>
        <v/>
      </c>
      <c r="C12" s="13" t="n"/>
      <c r="D12" s="13" t="n"/>
      <c r="E12" s="13" t="n"/>
      <c r="F12" s="28" t="n"/>
      <c r="G12" s="13" t="n"/>
      <c r="H12" s="13" t="n"/>
      <c r="I12" s="13" t="n"/>
      <c r="J12" s="13" t="n"/>
    </row>
    <row r="13" ht="22" customHeight="1">
      <c r="B13" s="16">
        <f>IF(C13="","CAL-"&amp;TEXT(COUNTA($C$5:C13),"000"))</f>
        <v/>
      </c>
      <c r="C13" s="11" t="n"/>
      <c r="D13" s="11" t="n"/>
      <c r="E13" s="11" t="n"/>
      <c r="F13" s="27" t="n"/>
      <c r="G13" s="11" t="n"/>
      <c r="H13" s="11" t="n"/>
      <c r="I13" s="11" t="n"/>
      <c r="J13" s="11" t="n"/>
    </row>
    <row r="14" ht="22" customHeight="1">
      <c r="B14" s="15">
        <f>IF(C14="","CAL-"&amp;TEXT(COUNTA($C$5:C14),"000"))</f>
        <v/>
      </c>
      <c r="C14" s="13" t="n"/>
      <c r="D14" s="13" t="n"/>
      <c r="E14" s="13" t="n"/>
      <c r="F14" s="28" t="n"/>
      <c r="G14" s="13" t="n"/>
      <c r="H14" s="13" t="n"/>
      <c r="I14" s="13" t="n"/>
      <c r="J14" s="13" t="n"/>
    </row>
    <row r="15" ht="22" customHeight="1">
      <c r="B15" s="16">
        <f>IF(C15="","CAL-"&amp;TEXT(COUNTA($C$5:C15),"000"))</f>
        <v/>
      </c>
      <c r="C15" s="11" t="n"/>
      <c r="D15" s="11" t="n"/>
      <c r="E15" s="11" t="n"/>
      <c r="F15" s="27" t="n"/>
      <c r="G15" s="11" t="n"/>
      <c r="H15" s="11" t="n"/>
      <c r="I15" s="11" t="n"/>
      <c r="J15" s="11" t="n"/>
    </row>
    <row r="16" ht="22" customHeight="1">
      <c r="B16" s="15">
        <f>IF(C16="","CAL-"&amp;TEXT(COUNTA($C$5:C16),"000"))</f>
        <v/>
      </c>
      <c r="C16" s="13" t="n"/>
      <c r="D16" s="13" t="n"/>
      <c r="E16" s="13" t="n"/>
      <c r="F16" s="28" t="n"/>
      <c r="G16" s="13" t="n"/>
      <c r="H16" s="13" t="n"/>
      <c r="I16" s="13" t="n"/>
      <c r="J16" s="13" t="n"/>
    </row>
    <row r="17" ht="22" customHeight="1">
      <c r="B17" s="16">
        <f>IF(C17="","CAL-"&amp;TEXT(COUNTA($C$5:C17),"000"))</f>
        <v/>
      </c>
      <c r="C17" s="11" t="n"/>
      <c r="D17" s="11" t="n"/>
      <c r="E17" s="11" t="n"/>
      <c r="F17" s="27" t="n"/>
      <c r="G17" s="11" t="n"/>
      <c r="H17" s="11" t="n"/>
      <c r="I17" s="11" t="n"/>
      <c r="J17" s="11" t="n"/>
    </row>
    <row r="18" ht="22" customHeight="1">
      <c r="B18" s="15">
        <f>IF(C18="","CAL-"&amp;TEXT(COUNTA($C$5:C18),"000"))</f>
        <v/>
      </c>
      <c r="C18" s="13" t="n"/>
      <c r="D18" s="13" t="n"/>
      <c r="E18" s="13" t="n"/>
      <c r="F18" s="28" t="n"/>
      <c r="G18" s="13" t="n"/>
      <c r="H18" s="13" t="n"/>
      <c r="I18" s="13" t="n"/>
      <c r="J18" s="13" t="n"/>
    </row>
    <row r="19" ht="22" customHeight="1">
      <c r="B19" s="16">
        <f>IF(C19="","CAL-"&amp;TEXT(COUNTA($C$5:C19),"000"))</f>
        <v/>
      </c>
      <c r="C19" s="11" t="n"/>
      <c r="D19" s="11" t="n"/>
      <c r="E19" s="11" t="n"/>
      <c r="F19" s="27" t="n"/>
      <c r="G19" s="11" t="n"/>
      <c r="H19" s="11" t="n"/>
      <c r="I19" s="11" t="n"/>
      <c r="J19" s="11" t="n"/>
    </row>
    <row r="20" ht="22" customHeight="1">
      <c r="B20" s="15">
        <f>IF(C20="","CAL-"&amp;TEXT(COUNTA($C$5:C20),"000"))</f>
        <v/>
      </c>
      <c r="C20" s="13" t="n"/>
      <c r="D20" s="13" t="n"/>
      <c r="E20" s="13" t="n"/>
      <c r="F20" s="28" t="n"/>
      <c r="G20" s="13" t="n"/>
      <c r="H20" s="13" t="n"/>
      <c r="I20" s="13" t="n"/>
      <c r="J20" s="13" t="n"/>
    </row>
    <row r="21" ht="22" customHeight="1">
      <c r="B21" s="16">
        <f>IF(C21="","CAL-"&amp;TEXT(COUNTA($C$5:C21),"000"))</f>
        <v/>
      </c>
      <c r="C21" s="11" t="n"/>
      <c r="D21" s="11" t="n"/>
      <c r="E21" s="11" t="n"/>
      <c r="F21" s="27" t="n"/>
      <c r="G21" s="11" t="n"/>
      <c r="H21" s="11" t="n"/>
      <c r="I21" s="11" t="n"/>
      <c r="J21" s="11" t="n"/>
    </row>
    <row r="22" ht="22" customHeight="1">
      <c r="B22" s="15">
        <f>IF(C22="","CAL-"&amp;TEXT(COUNTA($C$5:C22),"000"))</f>
        <v/>
      </c>
      <c r="C22" s="13" t="n"/>
      <c r="D22" s="13" t="n"/>
      <c r="E22" s="13" t="n"/>
      <c r="F22" s="28" t="n"/>
      <c r="G22" s="13" t="n"/>
      <c r="H22" s="13" t="n"/>
      <c r="I22" s="13" t="n"/>
      <c r="J22" s="13" t="n"/>
    </row>
    <row r="23" ht="22" customHeight="1">
      <c r="B23" s="16">
        <f>IF(C23="","CAL-"&amp;TEXT(COUNTA($C$5:C23),"000"))</f>
        <v/>
      </c>
      <c r="C23" s="11" t="n"/>
      <c r="D23" s="11" t="n"/>
      <c r="E23" s="11" t="n"/>
      <c r="F23" s="27" t="n"/>
      <c r="G23" s="11" t="n"/>
      <c r="H23" s="11" t="n"/>
      <c r="I23" s="11" t="n"/>
      <c r="J23" s="11" t="n"/>
    </row>
    <row r="24" ht="22" customHeight="1">
      <c r="B24" s="15">
        <f>IF(C24="","CAL-"&amp;TEXT(COUNTA($C$5:C24),"000"))</f>
        <v/>
      </c>
      <c r="C24" s="13" t="n"/>
      <c r="D24" s="13" t="n"/>
      <c r="E24" s="13" t="n"/>
      <c r="F24" s="28" t="n"/>
      <c r="G24" s="13" t="n"/>
      <c r="H24" s="13" t="n"/>
      <c r="I24" s="13" t="n"/>
      <c r="J24" s="13" t="n"/>
    </row>
    <row r="25" ht="22" customHeight="1">
      <c r="B25" s="16">
        <f>IF(C25="","CAL-"&amp;TEXT(COUNTA($C$5:C25),"000"))</f>
        <v/>
      </c>
      <c r="C25" s="11" t="n"/>
      <c r="D25" s="11" t="n"/>
      <c r="E25" s="11" t="n"/>
      <c r="F25" s="27" t="n"/>
      <c r="G25" s="11" t="n"/>
      <c r="H25" s="11" t="n"/>
      <c r="I25" s="11" t="n"/>
      <c r="J25" s="11" t="n"/>
    </row>
    <row r="26" ht="22" customHeight="1">
      <c r="B26" s="15">
        <f>IF(C26="","CAL-"&amp;TEXT(COUNTA($C$5:C26),"000"))</f>
        <v/>
      </c>
      <c r="C26" s="13" t="n"/>
      <c r="D26" s="13" t="n"/>
      <c r="E26" s="13" t="n"/>
      <c r="F26" s="28" t="n"/>
      <c r="G26" s="13" t="n"/>
      <c r="H26" s="13" t="n"/>
      <c r="I26" s="13" t="n"/>
      <c r="J26" s="13" t="n"/>
    </row>
    <row r="27" ht="22" customHeight="1">
      <c r="B27" s="16">
        <f>IF(C27="","CAL-"&amp;TEXT(COUNTA($C$5:C27),"000"))</f>
        <v/>
      </c>
      <c r="C27" s="11" t="n"/>
      <c r="D27" s="11" t="n"/>
      <c r="E27" s="11" t="n"/>
      <c r="F27" s="27" t="n"/>
      <c r="G27" s="11" t="n"/>
      <c r="H27" s="11" t="n"/>
      <c r="I27" s="11" t="n"/>
      <c r="J27" s="11" t="n"/>
    </row>
    <row r="28" ht="22" customHeight="1">
      <c r="B28" s="15">
        <f>IF(C28="","CAL-"&amp;TEXT(COUNTA($C$5:C28),"000"))</f>
        <v/>
      </c>
      <c r="C28" s="13" t="n"/>
      <c r="D28" s="13" t="n"/>
      <c r="E28" s="13" t="n"/>
      <c r="F28" s="28" t="n"/>
      <c r="G28" s="13" t="n"/>
      <c r="H28" s="13" t="n"/>
      <c r="I28" s="13" t="n"/>
      <c r="J28" s="13" t="n"/>
    </row>
    <row r="29" ht="22" customHeight="1">
      <c r="B29" s="16">
        <f>IF(C29="","CAL-"&amp;TEXT(COUNTA($C$5:C29),"000"))</f>
        <v/>
      </c>
      <c r="C29" s="11" t="n"/>
      <c r="D29" s="11" t="n"/>
      <c r="E29" s="11" t="n"/>
      <c r="F29" s="27" t="n"/>
      <c r="G29" s="11" t="n"/>
      <c r="H29" s="11" t="n"/>
      <c r="I29" s="11" t="n"/>
      <c r="J29" s="11" t="n"/>
    </row>
    <row r="30" ht="22" customHeight="1">
      <c r="B30" s="15">
        <f>IF(C30="","CAL-"&amp;TEXT(COUNTA($C$5:C30),"000"))</f>
        <v/>
      </c>
      <c r="C30" s="13" t="n"/>
      <c r="D30" s="13" t="n"/>
      <c r="E30" s="13" t="n"/>
      <c r="F30" s="28" t="n"/>
      <c r="G30" s="13" t="n"/>
      <c r="H30" s="13" t="n"/>
      <c r="I30" s="13" t="n"/>
      <c r="J30" s="13" t="n"/>
    </row>
    <row r="31" ht="22" customHeight="1">
      <c r="B31" s="16">
        <f>IF(C31="","CAL-"&amp;TEXT(COUNTA($C$5:C31),"000"))</f>
        <v/>
      </c>
      <c r="C31" s="11" t="n"/>
      <c r="D31" s="11" t="n"/>
      <c r="E31" s="11" t="n"/>
      <c r="F31" s="27" t="n"/>
      <c r="G31" s="11" t="n"/>
      <c r="H31" s="11" t="n"/>
      <c r="I31" s="11" t="n"/>
      <c r="J31" s="11" t="n"/>
    </row>
    <row r="32" ht="22" customHeight="1">
      <c r="B32" s="15">
        <f>IF(C32="","CAL-"&amp;TEXT(COUNTA($C$5:C32),"000"))</f>
        <v/>
      </c>
      <c r="C32" s="13" t="n"/>
      <c r="D32" s="13" t="n"/>
      <c r="E32" s="13" t="n"/>
      <c r="F32" s="28" t="n"/>
      <c r="G32" s="13" t="n"/>
      <c r="H32" s="13" t="n"/>
      <c r="I32" s="13" t="n"/>
      <c r="J32" s="13" t="n"/>
    </row>
    <row r="33" ht="22" customHeight="1">
      <c r="B33" s="16">
        <f>IF(C33="","CAL-"&amp;TEXT(COUNTA($C$5:C33),"000"))</f>
        <v/>
      </c>
      <c r="C33" s="11" t="n"/>
      <c r="D33" s="11" t="n"/>
      <c r="E33" s="11" t="n"/>
      <c r="F33" s="27" t="n"/>
      <c r="G33" s="11" t="n"/>
      <c r="H33" s="11" t="n"/>
      <c r="I33" s="11" t="n"/>
      <c r="J33" s="11" t="n"/>
    </row>
    <row r="34" ht="22" customHeight="1">
      <c r="B34" s="15">
        <f>IF(C34="","CAL-"&amp;TEXT(COUNTA($C$5:C34),"000"))</f>
        <v/>
      </c>
      <c r="C34" s="13" t="n"/>
      <c r="D34" s="13" t="n"/>
      <c r="E34" s="13" t="n"/>
      <c r="F34" s="28" t="n"/>
      <c r="G34" s="13" t="n"/>
      <c r="H34" s="13" t="n"/>
      <c r="I34" s="13" t="n"/>
      <c r="J34" s="13" t="n"/>
    </row>
    <row r="35" ht="22" customHeight="1">
      <c r="B35" s="16">
        <f>IF(C35="","CAL-"&amp;TEXT(COUNTA($C$5:C35),"000"))</f>
        <v/>
      </c>
      <c r="C35" s="11" t="n"/>
      <c r="D35" s="11" t="n"/>
      <c r="E35" s="11" t="n"/>
      <c r="F35" s="27" t="n"/>
      <c r="G35" s="11" t="n"/>
      <c r="H35" s="11" t="n"/>
      <c r="I35" s="11" t="n"/>
      <c r="J35" s="11" t="n"/>
    </row>
    <row r="36" ht="22" customHeight="1">
      <c r="B36" s="15">
        <f>IF(C36="","CAL-"&amp;TEXT(COUNTA($C$5:C36),"000"))</f>
        <v/>
      </c>
      <c r="C36" s="13" t="n"/>
      <c r="D36" s="13" t="n"/>
      <c r="E36" s="13" t="n"/>
      <c r="F36" s="28" t="n"/>
      <c r="G36" s="13" t="n"/>
      <c r="H36" s="13" t="n"/>
      <c r="I36" s="13" t="n"/>
      <c r="J36" s="13" t="n"/>
    </row>
    <row r="37" ht="22" customHeight="1">
      <c r="B37" s="16">
        <f>IF(C37="","CAL-"&amp;TEXT(COUNTA($C$5:C37),"000"))</f>
        <v/>
      </c>
      <c r="C37" s="11" t="n"/>
      <c r="D37" s="11" t="n"/>
      <c r="E37" s="11" t="n"/>
      <c r="F37" s="27" t="n"/>
      <c r="G37" s="11" t="n"/>
      <c r="H37" s="11" t="n"/>
      <c r="I37" s="11" t="n"/>
      <c r="J37" s="11" t="n"/>
    </row>
    <row r="38" ht="22" customHeight="1">
      <c r="B38" s="15">
        <f>IF(C38="","CAL-"&amp;TEXT(COUNTA($C$5:C38),"000"))</f>
        <v/>
      </c>
      <c r="C38" s="13" t="n"/>
      <c r="D38" s="13" t="n"/>
      <c r="E38" s="13" t="n"/>
      <c r="F38" s="28" t="n"/>
      <c r="G38" s="13" t="n"/>
      <c r="H38" s="13" t="n"/>
      <c r="I38" s="13" t="n"/>
      <c r="J38" s="13" t="n"/>
    </row>
    <row r="39" ht="22" customHeight="1">
      <c r="B39" s="16">
        <f>IF(C39="","CAL-"&amp;TEXT(COUNTA($C$5:C39),"000"))</f>
        <v/>
      </c>
      <c r="C39" s="11" t="n"/>
      <c r="D39" s="11" t="n"/>
      <c r="E39" s="11" t="n"/>
      <c r="F39" s="27" t="n"/>
      <c r="G39" s="11" t="n"/>
      <c r="H39" s="11" t="n"/>
      <c r="I39" s="11" t="n"/>
      <c r="J39" s="11" t="n"/>
    </row>
    <row r="40" ht="22" customHeight="1">
      <c r="B40" s="15">
        <f>IF(C40="","CAL-"&amp;TEXT(COUNTA($C$5:C40),"000"))</f>
        <v/>
      </c>
      <c r="C40" s="13" t="n"/>
      <c r="D40" s="13" t="n"/>
      <c r="E40" s="13" t="n"/>
      <c r="F40" s="28" t="n"/>
      <c r="G40" s="13" t="n"/>
      <c r="H40" s="13" t="n"/>
      <c r="I40" s="13" t="n"/>
      <c r="J40" s="13" t="n"/>
    </row>
    <row r="41" ht="22" customHeight="1">
      <c r="B41" s="16">
        <f>IF(C41="","CAL-"&amp;TEXT(COUNTA($C$5:C41),"000"))</f>
        <v/>
      </c>
      <c r="C41" s="11" t="n"/>
      <c r="D41" s="11" t="n"/>
      <c r="E41" s="11" t="n"/>
      <c r="F41" s="27" t="n"/>
      <c r="G41" s="11" t="n"/>
      <c r="H41" s="11" t="n"/>
      <c r="I41" s="11" t="n"/>
      <c r="J41" s="11" t="n"/>
    </row>
    <row r="42" ht="22" customHeight="1">
      <c r="B42" s="15">
        <f>IF(C42="","CAL-"&amp;TEXT(COUNTA($C$5:C42),"000"))</f>
        <v/>
      </c>
      <c r="C42" s="13" t="n"/>
      <c r="D42" s="13" t="n"/>
      <c r="E42" s="13" t="n"/>
      <c r="F42" s="28" t="n"/>
      <c r="G42" s="13" t="n"/>
      <c r="H42" s="13" t="n"/>
      <c r="I42" s="13" t="n"/>
      <c r="J42" s="13" t="n"/>
    </row>
    <row r="43" ht="22" customHeight="1">
      <c r="B43" s="16">
        <f>IF(C43="","CAL-"&amp;TEXT(COUNTA($C$5:C43),"000"))</f>
        <v/>
      </c>
      <c r="C43" s="11" t="n"/>
      <c r="D43" s="11" t="n"/>
      <c r="E43" s="11" t="n"/>
      <c r="F43" s="27" t="n"/>
      <c r="G43" s="11" t="n"/>
      <c r="H43" s="11" t="n"/>
      <c r="I43" s="11" t="n"/>
      <c r="J43" s="11" t="n"/>
    </row>
    <row r="44" ht="22" customHeight="1">
      <c r="B44" s="15">
        <f>IF(C44="","CAL-"&amp;TEXT(COUNTA($C$5:C44),"000"))</f>
        <v/>
      </c>
      <c r="C44" s="13" t="n"/>
      <c r="D44" s="13" t="n"/>
      <c r="E44" s="13" t="n"/>
      <c r="F44" s="28" t="n"/>
      <c r="G44" s="13" t="n"/>
      <c r="H44" s="13" t="n"/>
      <c r="I44" s="13" t="n"/>
      <c r="J44" s="13" t="n"/>
    </row>
    <row r="45" ht="22" customHeight="1">
      <c r="B45" s="16">
        <f>IF(C45="","CAL-"&amp;TEXT(COUNTA($C$5:C45),"000"))</f>
        <v/>
      </c>
      <c r="C45" s="11" t="n"/>
      <c r="D45" s="11" t="n"/>
      <c r="E45" s="11" t="n"/>
      <c r="F45" s="27" t="n"/>
      <c r="G45" s="11" t="n"/>
      <c r="H45" s="11" t="n"/>
      <c r="I45" s="11" t="n"/>
      <c r="J45" s="11" t="n"/>
    </row>
    <row r="46" ht="22" customHeight="1">
      <c r="B46" s="15">
        <f>IF(C46="","CAL-"&amp;TEXT(COUNTA($C$5:C46),"000"))</f>
        <v/>
      </c>
      <c r="C46" s="13" t="n"/>
      <c r="D46" s="13" t="n"/>
      <c r="E46" s="13" t="n"/>
      <c r="F46" s="28" t="n"/>
      <c r="G46" s="13" t="n"/>
      <c r="H46" s="13" t="n"/>
      <c r="I46" s="13" t="n"/>
      <c r="J46" s="13" t="n"/>
    </row>
    <row r="47" ht="22" customHeight="1">
      <c r="B47" s="16">
        <f>IF(C47="","CAL-"&amp;TEXT(COUNTA($C$5:C47),"000"))</f>
        <v/>
      </c>
      <c r="C47" s="11" t="n"/>
      <c r="D47" s="11" t="n"/>
      <c r="E47" s="11" t="n"/>
      <c r="F47" s="27" t="n"/>
      <c r="G47" s="11" t="n"/>
      <c r="H47" s="11" t="n"/>
      <c r="I47" s="11" t="n"/>
      <c r="J47" s="11" t="n"/>
    </row>
    <row r="48" ht="22" customHeight="1">
      <c r="B48" s="15">
        <f>IF(C48="","CAL-"&amp;TEXT(COUNTA($C$5:C48),"000"))</f>
        <v/>
      </c>
      <c r="C48" s="13" t="n"/>
      <c r="D48" s="13" t="n"/>
      <c r="E48" s="13" t="n"/>
      <c r="F48" s="28" t="n"/>
      <c r="G48" s="13" t="n"/>
      <c r="H48" s="13" t="n"/>
      <c r="I48" s="13" t="n"/>
      <c r="J48" s="13" t="n"/>
    </row>
    <row r="49" ht="22" customHeight="1">
      <c r="B49" s="16">
        <f>IF(C49="","CAL-"&amp;TEXT(COUNTA($C$5:C49),"000"))</f>
        <v/>
      </c>
      <c r="C49" s="11" t="n"/>
      <c r="D49" s="11" t="n"/>
      <c r="E49" s="11" t="n"/>
      <c r="F49" s="27" t="n"/>
      <c r="G49" s="11" t="n"/>
      <c r="H49" s="11" t="n"/>
      <c r="I49" s="11" t="n"/>
      <c r="J49" s="11" t="n"/>
    </row>
    <row r="50" ht="22" customHeight="1">
      <c r="B50" s="15">
        <f>IF(C50="","CAL-"&amp;TEXT(COUNTA($C$5:C50),"000"))</f>
        <v/>
      </c>
      <c r="C50" s="13" t="n"/>
      <c r="D50" s="13" t="n"/>
      <c r="E50" s="13" t="n"/>
      <c r="F50" s="28" t="n"/>
      <c r="G50" s="13" t="n"/>
      <c r="H50" s="13" t="n"/>
      <c r="I50" s="13" t="n"/>
      <c r="J50" s="13" t="n"/>
    </row>
    <row r="51" ht="22" customHeight="1">
      <c r="B51" s="16">
        <f>IF(C51="","CAL-"&amp;TEXT(COUNTA($C$5:C51),"000"))</f>
        <v/>
      </c>
      <c r="C51" s="11" t="n"/>
      <c r="D51" s="11" t="n"/>
      <c r="E51" s="11" t="n"/>
      <c r="F51" s="27" t="n"/>
      <c r="G51" s="11" t="n"/>
      <c r="H51" s="11" t="n"/>
      <c r="I51" s="11" t="n"/>
      <c r="J51" s="11" t="n"/>
    </row>
    <row r="52" ht="22" customHeight="1">
      <c r="B52" s="15">
        <f>IF(C52="","CAL-"&amp;TEXT(COUNTA($C$5:C52),"000"))</f>
        <v/>
      </c>
      <c r="C52" s="13" t="n"/>
      <c r="D52" s="13" t="n"/>
      <c r="E52" s="13" t="n"/>
      <c r="F52" s="28" t="n"/>
      <c r="G52" s="13" t="n"/>
      <c r="H52" s="13" t="n"/>
      <c r="I52" s="13" t="n"/>
      <c r="J52" s="13" t="n"/>
    </row>
    <row r="53" ht="22" customHeight="1">
      <c r="B53" s="16">
        <f>IF(C53="","CAL-"&amp;TEXT(COUNTA($C$5:C53),"000"))</f>
        <v/>
      </c>
      <c r="C53" s="11" t="n"/>
      <c r="D53" s="11" t="n"/>
      <c r="E53" s="11" t="n"/>
      <c r="F53" s="27" t="n"/>
      <c r="G53" s="11" t="n"/>
      <c r="H53" s="11" t="n"/>
      <c r="I53" s="11" t="n"/>
      <c r="J53" s="11" t="n"/>
    </row>
    <row r="54" ht="22" customHeight="1">
      <c r="B54" s="15">
        <f>IF(C54="","CAL-"&amp;TEXT(COUNTA($C$5:C54),"000"))</f>
        <v/>
      </c>
      <c r="C54" s="13" t="n"/>
      <c r="D54" s="13" t="n"/>
      <c r="E54" s="13" t="n"/>
      <c r="F54" s="28" t="n"/>
      <c r="G54" s="13" t="n"/>
      <c r="H54" s="13" t="n"/>
      <c r="I54" s="13" t="n"/>
      <c r="J54" s="13" t="n"/>
    </row>
    <row r="55" ht="22" customHeight="1">
      <c r="B55" s="16">
        <f>IF(C55="","CAL-"&amp;TEXT(COUNTA($C$5:C55),"000"))</f>
        <v/>
      </c>
      <c r="C55" s="11" t="n"/>
      <c r="D55" s="11" t="n"/>
      <c r="E55" s="11" t="n"/>
      <c r="F55" s="27" t="n"/>
      <c r="G55" s="11" t="n"/>
      <c r="H55" s="11" t="n"/>
      <c r="I55" s="11" t="n"/>
      <c r="J55" s="11" t="n"/>
    </row>
    <row r="56" ht="22" customHeight="1">
      <c r="B56" s="15">
        <f>IF(C56="","CAL-"&amp;TEXT(COUNTA($C$5:C56),"000"))</f>
        <v/>
      </c>
      <c r="C56" s="13" t="n"/>
      <c r="D56" s="13" t="n"/>
      <c r="E56" s="13" t="n"/>
      <c r="F56" s="28" t="n"/>
      <c r="G56" s="13" t="n"/>
      <c r="H56" s="13" t="n"/>
      <c r="I56" s="13" t="n"/>
      <c r="J56" s="13" t="n"/>
    </row>
    <row r="57" ht="22" customHeight="1">
      <c r="B57" s="16">
        <f>IF(C57="","CAL-"&amp;TEXT(COUNTA($C$5:C57),"000"))</f>
        <v/>
      </c>
      <c r="C57" s="11" t="n"/>
      <c r="D57" s="11" t="n"/>
      <c r="E57" s="11" t="n"/>
      <c r="F57" s="27" t="n"/>
      <c r="G57" s="11" t="n"/>
      <c r="H57" s="11" t="n"/>
      <c r="I57" s="11" t="n"/>
      <c r="J57" s="11" t="n"/>
    </row>
    <row r="58" ht="22" customHeight="1">
      <c r="B58" s="15">
        <f>IF(C58="","CAL-"&amp;TEXT(COUNTA($C$5:C58),"000"))</f>
        <v/>
      </c>
      <c r="C58" s="13" t="n"/>
      <c r="D58" s="13" t="n"/>
      <c r="E58" s="13" t="n"/>
      <c r="F58" s="28" t="n"/>
      <c r="G58" s="13" t="n"/>
      <c r="H58" s="13" t="n"/>
      <c r="I58" s="13" t="n"/>
      <c r="J58" s="13" t="n"/>
    </row>
    <row r="59" ht="22" customHeight="1">
      <c r="B59" s="16">
        <f>IF(C59="","CAL-"&amp;TEXT(COUNTA($C$5:C59),"000"))</f>
        <v/>
      </c>
      <c r="C59" s="11" t="n"/>
      <c r="D59" s="11" t="n"/>
      <c r="E59" s="11" t="n"/>
      <c r="F59" s="27" t="n"/>
      <c r="G59" s="11" t="n"/>
      <c r="H59" s="11" t="n"/>
      <c r="I59" s="11" t="n"/>
      <c r="J59" s="11" t="n"/>
    </row>
    <row r="60" ht="22" customHeight="1">
      <c r="B60" s="15">
        <f>IF(C60="","CAL-"&amp;TEXT(COUNTA($C$5:C60),"000"))</f>
        <v/>
      </c>
      <c r="C60" s="13" t="n"/>
      <c r="D60" s="13" t="n"/>
      <c r="E60" s="13" t="n"/>
      <c r="F60" s="28" t="n"/>
      <c r="G60" s="13" t="n"/>
      <c r="H60" s="13" t="n"/>
      <c r="I60" s="13" t="n"/>
      <c r="J60" s="13" t="n"/>
    </row>
    <row r="61" ht="22" customHeight="1">
      <c r="B61" s="16">
        <f>IF(C61="","CAL-"&amp;TEXT(COUNTA($C$5:C61),"000"))</f>
        <v/>
      </c>
      <c r="C61" s="11" t="n"/>
      <c r="D61" s="11" t="n"/>
      <c r="E61" s="11" t="n"/>
      <c r="F61" s="27" t="n"/>
      <c r="G61" s="11" t="n"/>
      <c r="H61" s="11" t="n"/>
      <c r="I61" s="11" t="n"/>
      <c r="J61" s="11" t="n"/>
    </row>
    <row r="62" ht="22" customHeight="1">
      <c r="B62" s="15">
        <f>IF(C62="","CAL-"&amp;TEXT(COUNTA($C$5:C62),"000"))</f>
        <v/>
      </c>
      <c r="C62" s="13" t="n"/>
      <c r="D62" s="13" t="n"/>
      <c r="E62" s="13" t="n"/>
      <c r="F62" s="28" t="n"/>
      <c r="G62" s="13" t="n"/>
      <c r="H62" s="13" t="n"/>
      <c r="I62" s="13" t="n"/>
      <c r="J62" s="13" t="n"/>
    </row>
    <row r="63" ht="22" customHeight="1">
      <c r="B63" s="16">
        <f>IF(C63="","CAL-"&amp;TEXT(COUNTA($C$5:C63),"000"))</f>
        <v/>
      </c>
      <c r="C63" s="11" t="n"/>
      <c r="D63" s="11" t="n"/>
      <c r="E63" s="11" t="n"/>
      <c r="F63" s="27" t="n"/>
      <c r="G63" s="11" t="n"/>
      <c r="H63" s="11" t="n"/>
      <c r="I63" s="11" t="n"/>
      <c r="J63" s="11" t="n"/>
    </row>
    <row r="64" ht="22" customHeight="1">
      <c r="B64" s="15">
        <f>IF(C64="","CAL-"&amp;TEXT(COUNTA($C$5:C64),"000"))</f>
        <v/>
      </c>
      <c r="C64" s="13" t="n"/>
      <c r="D64" s="13" t="n"/>
      <c r="E64" s="13" t="n"/>
      <c r="F64" s="28" t="n"/>
      <c r="G64" s="13" t="n"/>
      <c r="H64" s="13" t="n"/>
      <c r="I64" s="13" t="n"/>
      <c r="J64" s="13" t="n"/>
    </row>
    <row r="65" ht="22" customHeight="1">
      <c r="B65" s="16">
        <f>IF(C65="","CAL-"&amp;TEXT(COUNTA($C$5:C65),"000"))</f>
        <v/>
      </c>
      <c r="C65" s="11" t="n"/>
      <c r="D65" s="11" t="n"/>
      <c r="E65" s="11" t="n"/>
      <c r="F65" s="27" t="n"/>
      <c r="G65" s="11" t="n"/>
      <c r="H65" s="11" t="n"/>
      <c r="I65" s="11" t="n"/>
      <c r="J65" s="11" t="n"/>
    </row>
    <row r="66" ht="22" customHeight="1">
      <c r="B66" s="15">
        <f>IF(C66="","CAL-"&amp;TEXT(COUNTA($C$5:C66),"000"))</f>
        <v/>
      </c>
      <c r="C66" s="13" t="n"/>
      <c r="D66" s="13" t="n"/>
      <c r="E66" s="13" t="n"/>
      <c r="F66" s="28" t="n"/>
      <c r="G66" s="13" t="n"/>
      <c r="H66" s="13" t="n"/>
      <c r="I66" s="13" t="n"/>
      <c r="J66" s="13" t="n"/>
    </row>
    <row r="67" ht="22" customHeight="1">
      <c r="B67" s="16">
        <f>IF(C67="","CAL-"&amp;TEXT(COUNTA($C$5:C67),"000"))</f>
        <v/>
      </c>
      <c r="C67" s="11" t="n"/>
      <c r="D67" s="11" t="n"/>
      <c r="E67" s="11" t="n"/>
      <c r="F67" s="27" t="n"/>
      <c r="G67" s="11" t="n"/>
      <c r="H67" s="11" t="n"/>
      <c r="I67" s="11" t="n"/>
      <c r="J67" s="11" t="n"/>
    </row>
    <row r="68" ht="22" customHeight="1">
      <c r="B68" s="15">
        <f>IF(C68="","CAL-"&amp;TEXT(COUNTA($C$5:C68),"000"))</f>
        <v/>
      </c>
      <c r="C68" s="13" t="n"/>
      <c r="D68" s="13" t="n"/>
      <c r="E68" s="13" t="n"/>
      <c r="F68" s="28" t="n"/>
      <c r="G68" s="13" t="n"/>
      <c r="H68" s="13" t="n"/>
      <c r="I68" s="13" t="n"/>
      <c r="J68" s="13" t="n"/>
    </row>
    <row r="69" ht="22" customHeight="1">
      <c r="B69" s="16">
        <f>IF(C69="","CAL-"&amp;TEXT(COUNTA($C$5:C69),"000"))</f>
        <v/>
      </c>
      <c r="C69" s="11" t="n"/>
      <c r="D69" s="11" t="n"/>
      <c r="E69" s="11" t="n"/>
      <c r="F69" s="27" t="n"/>
      <c r="G69" s="11" t="n"/>
      <c r="H69" s="11" t="n"/>
      <c r="I69" s="11" t="n"/>
      <c r="J69" s="11" t="n"/>
    </row>
    <row r="70" ht="22" customHeight="1">
      <c r="B70" s="15">
        <f>IF(C70="","CAL-"&amp;TEXT(COUNTA($C$5:C70),"000"))</f>
        <v/>
      </c>
      <c r="C70" s="13" t="n"/>
      <c r="D70" s="13" t="n"/>
      <c r="E70" s="13" t="n"/>
      <c r="F70" s="28" t="n"/>
      <c r="G70" s="13" t="n"/>
      <c r="H70" s="13" t="n"/>
      <c r="I70" s="13" t="n"/>
      <c r="J70" s="13" t="n"/>
    </row>
    <row r="71" ht="22" customHeight="1">
      <c r="B71" s="16">
        <f>IF(C71="","CAL-"&amp;TEXT(COUNTA($C$5:C71),"000"))</f>
        <v/>
      </c>
      <c r="C71" s="11" t="n"/>
      <c r="D71" s="11" t="n"/>
      <c r="E71" s="11" t="n"/>
      <c r="F71" s="27" t="n"/>
      <c r="G71" s="11" t="n"/>
      <c r="H71" s="11" t="n"/>
      <c r="I71" s="11" t="n"/>
      <c r="J71" s="11" t="n"/>
    </row>
    <row r="72" ht="22" customHeight="1">
      <c r="B72" s="15">
        <f>IF(C72="","CAL-"&amp;TEXT(COUNTA($C$5:C72),"000"))</f>
        <v/>
      </c>
      <c r="C72" s="13" t="n"/>
      <c r="D72" s="13" t="n"/>
      <c r="E72" s="13" t="n"/>
      <c r="F72" s="28" t="n"/>
      <c r="G72" s="13" t="n"/>
      <c r="H72" s="13" t="n"/>
      <c r="I72" s="13" t="n"/>
      <c r="J72" s="13" t="n"/>
    </row>
    <row r="73" ht="22" customHeight="1">
      <c r="B73" s="16">
        <f>IF(C73="","CAL-"&amp;TEXT(COUNTA($C$5:C73),"000"))</f>
        <v/>
      </c>
      <c r="C73" s="11" t="n"/>
      <c r="D73" s="11" t="n"/>
      <c r="E73" s="11" t="n"/>
      <c r="F73" s="27" t="n"/>
      <c r="G73" s="11" t="n"/>
      <c r="H73" s="11" t="n"/>
      <c r="I73" s="11" t="n"/>
      <c r="J73" s="11" t="n"/>
    </row>
    <row r="74" ht="22" customHeight="1">
      <c r="B74" s="15">
        <f>IF(C74="","CAL-"&amp;TEXT(COUNTA($C$5:C74),"000"))</f>
        <v/>
      </c>
      <c r="C74" s="13" t="n"/>
      <c r="D74" s="13" t="n"/>
      <c r="E74" s="13" t="n"/>
      <c r="F74" s="28" t="n"/>
      <c r="G74" s="13" t="n"/>
      <c r="H74" s="13" t="n"/>
      <c r="I74" s="13" t="n"/>
      <c r="J74" s="13" t="n"/>
    </row>
    <row r="75" ht="22" customHeight="1">
      <c r="B75" s="16">
        <f>IF(C75="","CAL-"&amp;TEXT(COUNTA($C$5:C75),"000"))</f>
        <v/>
      </c>
      <c r="C75" s="11" t="n"/>
      <c r="D75" s="11" t="n"/>
      <c r="E75" s="11" t="n"/>
      <c r="F75" s="27" t="n"/>
      <c r="G75" s="11" t="n"/>
      <c r="H75" s="11" t="n"/>
      <c r="I75" s="11" t="n"/>
      <c r="J75" s="11" t="n"/>
    </row>
    <row r="76" ht="22" customHeight="1">
      <c r="B76" s="15">
        <f>IF(C76="","CAL-"&amp;TEXT(COUNTA($C$5:C76),"000"))</f>
        <v/>
      </c>
      <c r="C76" s="13" t="n"/>
      <c r="D76" s="13" t="n"/>
      <c r="E76" s="13" t="n"/>
      <c r="F76" s="28" t="n"/>
      <c r="G76" s="13" t="n"/>
      <c r="H76" s="13" t="n"/>
      <c r="I76" s="13" t="n"/>
      <c r="J76" s="13" t="n"/>
    </row>
    <row r="77" ht="22" customHeight="1">
      <c r="B77" s="16">
        <f>IF(C77="","CAL-"&amp;TEXT(COUNTA($C$5:C77),"000"))</f>
        <v/>
      </c>
      <c r="C77" s="11" t="n"/>
      <c r="D77" s="11" t="n"/>
      <c r="E77" s="11" t="n"/>
      <c r="F77" s="27" t="n"/>
      <c r="G77" s="11" t="n"/>
      <c r="H77" s="11" t="n"/>
      <c r="I77" s="11" t="n"/>
      <c r="J77" s="11" t="n"/>
    </row>
    <row r="78" ht="22" customHeight="1">
      <c r="B78" s="15">
        <f>IF(C78="","CAL-"&amp;TEXT(COUNTA($C$5:C78),"000"))</f>
        <v/>
      </c>
      <c r="C78" s="13" t="n"/>
      <c r="D78" s="13" t="n"/>
      <c r="E78" s="13" t="n"/>
      <c r="F78" s="28" t="n"/>
      <c r="G78" s="13" t="n"/>
      <c r="H78" s="13" t="n"/>
      <c r="I78" s="13" t="n"/>
      <c r="J78" s="13" t="n"/>
    </row>
    <row r="79" ht="22" customHeight="1">
      <c r="B79" s="16">
        <f>IF(C79="","CAL-"&amp;TEXT(COUNTA($C$5:C79),"000"))</f>
        <v/>
      </c>
      <c r="C79" s="11" t="n"/>
      <c r="D79" s="11" t="n"/>
      <c r="E79" s="11" t="n"/>
      <c r="F79" s="27" t="n"/>
      <c r="G79" s="11" t="n"/>
      <c r="H79" s="11" t="n"/>
      <c r="I79" s="11" t="n"/>
      <c r="J79" s="11" t="n"/>
    </row>
    <row r="80" ht="22" customHeight="1">
      <c r="B80" s="15">
        <f>IF(C80="","CAL-"&amp;TEXT(COUNTA($C$5:C80),"000"))</f>
        <v/>
      </c>
      <c r="C80" s="13" t="n"/>
      <c r="D80" s="13" t="n"/>
      <c r="E80" s="13" t="n"/>
      <c r="F80" s="28" t="n"/>
      <c r="G80" s="13" t="n"/>
      <c r="H80" s="13" t="n"/>
      <c r="I80" s="13" t="n"/>
      <c r="J80" s="13" t="n"/>
    </row>
    <row r="81" ht="22" customHeight="1">
      <c r="B81" s="16">
        <f>IF(C81="","CAL-"&amp;TEXT(COUNTA($C$5:C81),"000"))</f>
        <v/>
      </c>
      <c r="C81" s="11" t="n"/>
      <c r="D81" s="11" t="n"/>
      <c r="E81" s="11" t="n"/>
      <c r="F81" s="27" t="n"/>
      <c r="G81" s="11" t="n"/>
      <c r="H81" s="11" t="n"/>
      <c r="I81" s="11" t="n"/>
      <c r="J81" s="11" t="n"/>
    </row>
    <row r="82" ht="22" customHeight="1">
      <c r="B82" s="15">
        <f>IF(C82="","CAL-"&amp;TEXT(COUNTA($C$5:C82),"000"))</f>
        <v/>
      </c>
      <c r="C82" s="13" t="n"/>
      <c r="D82" s="13" t="n"/>
      <c r="E82" s="13" t="n"/>
      <c r="F82" s="28" t="n"/>
      <c r="G82" s="13" t="n"/>
      <c r="H82" s="13" t="n"/>
      <c r="I82" s="13" t="n"/>
      <c r="J82" s="13" t="n"/>
    </row>
    <row r="83" ht="22" customHeight="1">
      <c r="B83" s="16">
        <f>IF(C83="","CAL-"&amp;TEXT(COUNTA($C$5:C83),"000"))</f>
        <v/>
      </c>
      <c r="C83" s="11" t="n"/>
      <c r="D83" s="11" t="n"/>
      <c r="E83" s="11" t="n"/>
      <c r="F83" s="27" t="n"/>
      <c r="G83" s="11" t="n"/>
      <c r="H83" s="11" t="n"/>
      <c r="I83" s="11" t="n"/>
      <c r="J83" s="11" t="n"/>
    </row>
    <row r="84" ht="22" customHeight="1">
      <c r="B84" s="15">
        <f>IF(C84="","CAL-"&amp;TEXT(COUNTA($C$5:C84),"000"))</f>
        <v/>
      </c>
      <c r="C84" s="13" t="n"/>
      <c r="D84" s="13" t="n"/>
      <c r="E84" s="13" t="n"/>
      <c r="F84" s="28" t="n"/>
      <c r="G84" s="13" t="n"/>
      <c r="H84" s="13" t="n"/>
      <c r="I84" s="13" t="n"/>
      <c r="J84" s="13" t="n"/>
    </row>
    <row r="85" ht="22" customHeight="1">
      <c r="B85" s="16">
        <f>IF(C85="","CAL-"&amp;TEXT(COUNTA($C$5:C85),"000"))</f>
        <v/>
      </c>
      <c r="C85" s="11" t="n"/>
      <c r="D85" s="11" t="n"/>
      <c r="E85" s="11" t="n"/>
      <c r="F85" s="27" t="n"/>
      <c r="G85" s="11" t="n"/>
      <c r="H85" s="11" t="n"/>
      <c r="I85" s="11" t="n"/>
      <c r="J85" s="11" t="n"/>
    </row>
    <row r="86" ht="22" customHeight="1">
      <c r="B86" s="15">
        <f>IF(C86="","CAL-"&amp;TEXT(COUNTA($C$5:C86),"000"))</f>
        <v/>
      </c>
      <c r="C86" s="13" t="n"/>
      <c r="D86" s="13" t="n"/>
      <c r="E86" s="13" t="n"/>
      <c r="F86" s="28" t="n"/>
      <c r="G86" s="13" t="n"/>
      <c r="H86" s="13" t="n"/>
      <c r="I86" s="13" t="n"/>
      <c r="J86" s="13" t="n"/>
    </row>
    <row r="87" ht="22" customHeight="1">
      <c r="B87" s="16">
        <f>IF(C87="","CAL-"&amp;TEXT(COUNTA($C$5:C87),"000"))</f>
        <v/>
      </c>
      <c r="C87" s="11" t="n"/>
      <c r="D87" s="11" t="n"/>
      <c r="E87" s="11" t="n"/>
      <c r="F87" s="27" t="n"/>
      <c r="G87" s="11" t="n"/>
      <c r="H87" s="11" t="n"/>
      <c r="I87" s="11" t="n"/>
      <c r="J87" s="11" t="n"/>
    </row>
    <row r="88" ht="22" customHeight="1">
      <c r="B88" s="15">
        <f>IF(C88="","CAL-"&amp;TEXT(COUNTA($C$5:C88),"000"))</f>
        <v/>
      </c>
      <c r="C88" s="13" t="n"/>
      <c r="D88" s="13" t="n"/>
      <c r="E88" s="13" t="n"/>
      <c r="F88" s="28" t="n"/>
      <c r="G88" s="13" t="n"/>
      <c r="H88" s="13" t="n"/>
      <c r="I88" s="13" t="n"/>
      <c r="J88" s="13" t="n"/>
    </row>
    <row r="89" ht="22" customHeight="1">
      <c r="B89" s="16">
        <f>IF(C89="","CAL-"&amp;TEXT(COUNTA($C$5:C89),"000"))</f>
        <v/>
      </c>
      <c r="C89" s="11" t="n"/>
      <c r="D89" s="11" t="n"/>
      <c r="E89" s="11" t="n"/>
      <c r="F89" s="27" t="n"/>
      <c r="G89" s="11" t="n"/>
      <c r="H89" s="11" t="n"/>
      <c r="I89" s="11" t="n"/>
      <c r="J89" s="11" t="n"/>
    </row>
    <row r="90" ht="22" customHeight="1">
      <c r="B90" s="15">
        <f>IF(C90="","CAL-"&amp;TEXT(COUNTA($C$5:C90),"000"))</f>
        <v/>
      </c>
      <c r="C90" s="13" t="n"/>
      <c r="D90" s="13" t="n"/>
      <c r="E90" s="13" t="n"/>
      <c r="F90" s="28" t="n"/>
      <c r="G90" s="13" t="n"/>
      <c r="H90" s="13" t="n"/>
      <c r="I90" s="13" t="n"/>
      <c r="J90" s="13" t="n"/>
    </row>
    <row r="91" ht="22" customHeight="1">
      <c r="B91" s="16">
        <f>IF(C91="","CAL-"&amp;TEXT(COUNTA($C$5:C91),"000"))</f>
        <v/>
      </c>
      <c r="C91" s="11" t="n"/>
      <c r="D91" s="11" t="n"/>
      <c r="E91" s="11" t="n"/>
      <c r="F91" s="27" t="n"/>
      <c r="G91" s="11" t="n"/>
      <c r="H91" s="11" t="n"/>
      <c r="I91" s="11" t="n"/>
      <c r="J91" s="11" t="n"/>
    </row>
    <row r="92" ht="22" customHeight="1">
      <c r="B92" s="15">
        <f>IF(C92="","CAL-"&amp;TEXT(COUNTA($C$5:C92),"000"))</f>
        <v/>
      </c>
      <c r="C92" s="13" t="n"/>
      <c r="D92" s="13" t="n"/>
      <c r="E92" s="13" t="n"/>
      <c r="F92" s="28" t="n"/>
      <c r="G92" s="13" t="n"/>
      <c r="H92" s="13" t="n"/>
      <c r="I92" s="13" t="n"/>
      <c r="J92" s="13" t="n"/>
    </row>
    <row r="93" ht="22" customHeight="1">
      <c r="B93" s="16">
        <f>IF(C93="","CAL-"&amp;TEXT(COUNTA($C$5:C93),"000"))</f>
        <v/>
      </c>
      <c r="C93" s="11" t="n"/>
      <c r="D93" s="11" t="n"/>
      <c r="E93" s="11" t="n"/>
      <c r="F93" s="27" t="n"/>
      <c r="G93" s="11" t="n"/>
      <c r="H93" s="11" t="n"/>
      <c r="I93" s="11" t="n"/>
      <c r="J93" s="11" t="n"/>
    </row>
    <row r="94" ht="22" customHeight="1">
      <c r="B94" s="15">
        <f>IF(C94="","CAL-"&amp;TEXT(COUNTA($C$5:C94),"000"))</f>
        <v/>
      </c>
      <c r="C94" s="13" t="n"/>
      <c r="D94" s="13" t="n"/>
      <c r="E94" s="13" t="n"/>
      <c r="F94" s="28" t="n"/>
      <c r="G94" s="13" t="n"/>
      <c r="H94" s="13" t="n"/>
      <c r="I94" s="13" t="n"/>
      <c r="J94" s="13" t="n"/>
    </row>
    <row r="95" ht="22" customHeight="1">
      <c r="B95" s="16">
        <f>IF(C95="","CAL-"&amp;TEXT(COUNTA($C$5:C95),"000"))</f>
        <v/>
      </c>
      <c r="C95" s="11" t="n"/>
      <c r="D95" s="11" t="n"/>
      <c r="E95" s="11" t="n"/>
      <c r="F95" s="27" t="n"/>
      <c r="G95" s="11" t="n"/>
      <c r="H95" s="11" t="n"/>
      <c r="I95" s="11" t="n"/>
      <c r="J95" s="11" t="n"/>
    </row>
    <row r="96" ht="22" customHeight="1">
      <c r="B96" s="15">
        <f>IF(C96="","CAL-"&amp;TEXT(COUNTA($C$5:C96),"000"))</f>
        <v/>
      </c>
      <c r="C96" s="13" t="n"/>
      <c r="D96" s="13" t="n"/>
      <c r="E96" s="13" t="n"/>
      <c r="F96" s="28" t="n"/>
      <c r="G96" s="13" t="n"/>
      <c r="H96" s="13" t="n"/>
      <c r="I96" s="13" t="n"/>
      <c r="J96" s="13" t="n"/>
    </row>
    <row r="97" ht="22" customHeight="1">
      <c r="B97" s="16">
        <f>IF(C97="","CAL-"&amp;TEXT(COUNTA($C$5:C97),"000"))</f>
        <v/>
      </c>
      <c r="C97" s="11" t="n"/>
      <c r="D97" s="11" t="n"/>
      <c r="E97" s="11" t="n"/>
      <c r="F97" s="27" t="n"/>
      <c r="G97" s="11" t="n"/>
      <c r="H97" s="11" t="n"/>
      <c r="I97" s="11" t="n"/>
      <c r="J97" s="11" t="n"/>
    </row>
    <row r="98" ht="22" customHeight="1">
      <c r="B98" s="15">
        <f>IF(C98="","CAL-"&amp;TEXT(COUNTA($C$5:C98),"000"))</f>
        <v/>
      </c>
      <c r="C98" s="13" t="n"/>
      <c r="D98" s="13" t="n"/>
      <c r="E98" s="13" t="n"/>
      <c r="F98" s="28" t="n"/>
      <c r="G98" s="13" t="n"/>
      <c r="H98" s="13" t="n"/>
      <c r="I98" s="13" t="n"/>
      <c r="J98" s="13" t="n"/>
    </row>
    <row r="99" ht="22" customHeight="1">
      <c r="B99" s="16">
        <f>IF(C99="","CAL-"&amp;TEXT(COUNTA($C$5:C99),"000"))</f>
        <v/>
      </c>
      <c r="C99" s="11" t="n"/>
      <c r="D99" s="11" t="n"/>
      <c r="E99" s="11" t="n"/>
      <c r="F99" s="27" t="n"/>
      <c r="G99" s="11" t="n"/>
      <c r="H99" s="11" t="n"/>
      <c r="I99" s="11" t="n"/>
      <c r="J99" s="11" t="n"/>
    </row>
    <row r="100" ht="22" customHeight="1">
      <c r="B100" s="15">
        <f>IF(C100="","CAL-"&amp;TEXT(COUNTA($C$5:C100),"000"))</f>
        <v/>
      </c>
      <c r="C100" s="13" t="n"/>
      <c r="D100" s="13" t="n"/>
      <c r="E100" s="13" t="n"/>
      <c r="F100" s="28" t="n"/>
      <c r="G100" s="13" t="n"/>
      <c r="H100" s="13" t="n"/>
      <c r="I100" s="13" t="n"/>
      <c r="J100" s="13" t="n"/>
    </row>
    <row r="101" ht="22" customHeight="1">
      <c r="B101" s="16">
        <f>IF(C101="","CAL-"&amp;TEXT(COUNTA($C$5:C101),"000"))</f>
        <v/>
      </c>
      <c r="C101" s="11" t="n"/>
      <c r="D101" s="11" t="n"/>
      <c r="E101" s="11" t="n"/>
      <c r="F101" s="27" t="n"/>
      <c r="G101" s="11" t="n"/>
      <c r="H101" s="11" t="n"/>
      <c r="I101" s="11" t="n"/>
      <c r="J101" s="11" t="n"/>
    </row>
    <row r="102" ht="22" customHeight="1">
      <c r="B102" s="15">
        <f>IF(C102="","CAL-"&amp;TEXT(COUNTA($C$5:C102),"000"))</f>
        <v/>
      </c>
      <c r="C102" s="13" t="n"/>
      <c r="D102" s="13" t="n"/>
      <c r="E102" s="13" t="n"/>
      <c r="F102" s="28" t="n"/>
      <c r="G102" s="13" t="n"/>
      <c r="H102" s="13" t="n"/>
      <c r="I102" s="13" t="n"/>
      <c r="J102" s="13" t="n"/>
    </row>
    <row r="103" ht="22" customHeight="1">
      <c r="B103" s="16">
        <f>IF(C103="","CAL-"&amp;TEXT(COUNTA($C$5:C103),"000"))</f>
        <v/>
      </c>
      <c r="C103" s="11" t="n"/>
      <c r="D103" s="11" t="n"/>
      <c r="E103" s="11" t="n"/>
      <c r="F103" s="27" t="n"/>
      <c r="G103" s="11" t="n"/>
      <c r="H103" s="11" t="n"/>
      <c r="I103" s="11" t="n"/>
      <c r="J103" s="11" t="n"/>
    </row>
    <row r="104" ht="22" customHeight="1">
      <c r="B104" s="15">
        <f>IF(C104="","CAL-"&amp;TEXT(COUNTA($C$5:C104),"000"))</f>
        <v/>
      </c>
      <c r="C104" s="13" t="n"/>
      <c r="D104" s="13" t="n"/>
      <c r="E104" s="13" t="n"/>
      <c r="F104" s="28" t="n"/>
      <c r="G104" s="13" t="n"/>
      <c r="H104" s="13" t="n"/>
      <c r="I104" s="13" t="n"/>
      <c r="J104" s="13" t="n"/>
    </row>
    <row r="105" ht="22" customHeight="1">
      <c r="B105" s="16">
        <f>IF(C105="","CAL-"&amp;TEXT(COUNTA($C$5:C105),"000"))</f>
        <v/>
      </c>
      <c r="C105" s="11" t="n"/>
      <c r="D105" s="11" t="n"/>
      <c r="E105" s="11" t="n"/>
      <c r="F105" s="27" t="n"/>
      <c r="G105" s="11" t="n"/>
      <c r="H105" s="11" t="n"/>
      <c r="I105" s="11" t="n"/>
      <c r="J105" s="11" t="n"/>
    </row>
    <row r="106" ht="22" customHeight="1">
      <c r="B106" s="15">
        <f>IF(C106="","CAL-"&amp;TEXT(COUNTA($C$5:C106),"000"))</f>
        <v/>
      </c>
      <c r="C106" s="13" t="n"/>
      <c r="D106" s="13" t="n"/>
      <c r="E106" s="13" t="n"/>
      <c r="F106" s="28" t="n"/>
      <c r="G106" s="13" t="n"/>
      <c r="H106" s="13" t="n"/>
      <c r="I106" s="13" t="n"/>
      <c r="J106" s="13" t="n"/>
    </row>
    <row r="107" ht="22" customHeight="1">
      <c r="B107" s="16">
        <f>IF(C107="","CAL-"&amp;TEXT(COUNTA($C$5:C107),"000"))</f>
        <v/>
      </c>
      <c r="C107" s="11" t="n"/>
      <c r="D107" s="11" t="n"/>
      <c r="E107" s="11" t="n"/>
      <c r="F107" s="27" t="n"/>
      <c r="G107" s="11" t="n"/>
      <c r="H107" s="11" t="n"/>
      <c r="I107" s="11" t="n"/>
      <c r="J107" s="11" t="n"/>
    </row>
    <row r="108" ht="22" customHeight="1">
      <c r="B108" s="15">
        <f>IF(C108="","CAL-"&amp;TEXT(COUNTA($C$5:C108),"000"))</f>
        <v/>
      </c>
      <c r="C108" s="13" t="n"/>
      <c r="D108" s="13" t="n"/>
      <c r="E108" s="13" t="n"/>
      <c r="F108" s="28" t="n"/>
      <c r="G108" s="13" t="n"/>
      <c r="H108" s="13" t="n"/>
      <c r="I108" s="13" t="n"/>
      <c r="J108" s="13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Actions planifiees</t>
        </is>
      </c>
      <c r="D111" s="3" t="inlineStr">
        <is>
          <t>En cours</t>
        </is>
      </c>
      <c r="F111" s="3" t="inlineStr">
        <is>
          <t>Planifiees</t>
        </is>
      </c>
    </row>
    <row r="112">
      <c r="B112" s="4">
        <f>COUNTIF(B5:B104,"&lt;&gt;")</f>
        <v/>
      </c>
      <c r="D112" s="4">
        <f>COUNTIF(I5:I104,"En cours")</f>
        <v/>
      </c>
      <c r="F112" s="4">
        <f>COUNTIF(I5:I104,"Planifie")</f>
        <v/>
      </c>
    </row>
  </sheetData>
  <mergeCells count="3">
    <mergeCell ref="B110:J110"/>
    <mergeCell ref="B3:J3"/>
    <mergeCell ref="B2:J2"/>
  </mergeCells>
  <conditionalFormatting sqref="I5:I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9:B108">
    <cfRule type="expression" priority="230" dxfId="3">
      <formula>AND($C9="",$C8&lt;&gt;"")</formula>
    </cfRule>
  </conditionalFormatting>
  <conditionalFormatting sqref="C9:C108">
    <cfRule type="expression" priority="231" dxfId="3">
      <formula>AND($C9="",$C8&lt;&gt;"")</formula>
    </cfRule>
  </conditionalFormatting>
  <conditionalFormatting sqref="D9:D108">
    <cfRule type="expression" priority="232" dxfId="3">
      <formula>AND($C9="",$C8&lt;&gt;"")</formula>
    </cfRule>
  </conditionalFormatting>
  <conditionalFormatting sqref="E9:E108">
    <cfRule type="expression" priority="233" dxfId="3">
      <formula>AND($C9="",$C8&lt;&gt;"")</formula>
    </cfRule>
  </conditionalFormatting>
  <conditionalFormatting sqref="F9:F108">
    <cfRule type="expression" priority="234" dxfId="3">
      <formula>AND($C9="",$C8&lt;&gt;"")</formula>
    </cfRule>
  </conditionalFormatting>
  <conditionalFormatting sqref="G9:G108">
    <cfRule type="expression" priority="235" dxfId="3">
      <formula>AND($C9="",$C8&lt;&gt;"")</formula>
    </cfRule>
  </conditionalFormatting>
  <conditionalFormatting sqref="H9:H108">
    <cfRule type="expression" priority="236" dxfId="3">
      <formula>AND($C9="",$C8&lt;&gt;"")</formula>
    </cfRule>
  </conditionalFormatting>
  <conditionalFormatting sqref="I9:I108">
    <cfRule type="expression" priority="237" dxfId="3">
      <formula>AND($C9="",$C8&lt;&gt;"")</formula>
    </cfRule>
  </conditionalFormatting>
  <conditionalFormatting sqref="J9:J108">
    <cfRule type="expression" priority="238" dxfId="3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'_Lists'!$D$2:$D$12</formula1>
    </dataValidation>
    <dataValidation sqref="E5:E108" showDropDown="0" showInputMessage="0" showErrorMessage="0" allowBlank="1" errorTitle="Erreur" error="Valeur invalide" promptTitle="Liste" prompt="Choisir dans la liste" type="list">
      <formula1>'_Lists'!$E$2:$E$11</formula1>
    </dataValidation>
    <dataValidation sqref="I5:I108" showDropDown="0" showInputMessage="0" showErrorMessage="0" allowBlank="1" errorTitle="Erreur" error="Valeur invalide" promptTitle="Liste" prompt="Choisir dans la liste" type="list">
      <formula1>'_Lists'!$F$2:$F$6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8" customWidth="1" min="4" max="4"/>
    <col width="22" customWidth="1" min="5" max="5"/>
    <col width="16" customWidth="1" min="6" max="6"/>
    <col width="16" customWidth="1" min="7" max="7"/>
    <col width="22" customWidth="1" min="8" max="8"/>
    <col width="16" customWidth="1" min="9" max="9"/>
    <col width="20" customWidth="1" min="10" max="10"/>
    <col width="34" customWidth="1" min="11" max="11"/>
  </cols>
  <sheetData>
    <row r="1" ht="15" customHeight="1"/>
    <row r="2" ht="32" customHeight="1">
      <c r="B2" s="1" t="inlineStr">
        <is>
          <t>MATRICE CANAUX COMMUNICATION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Canal</t>
        </is>
      </c>
      <c r="D4" s="10" t="inlineStr">
        <is>
          <t>Type Communication</t>
        </is>
      </c>
      <c r="E4" s="10" t="inlineStr">
        <is>
          <t>Public Cible</t>
        </is>
      </c>
      <c r="F4" s="10" t="inlineStr">
        <is>
          <t>Frequence</t>
        </is>
      </c>
      <c r="G4" s="10" t="inlineStr">
        <is>
          <t>Portee Estimee</t>
        </is>
      </c>
      <c r="H4" s="10" t="inlineStr">
        <is>
          <t>Cout par Envoi (FCFA)</t>
        </is>
      </c>
      <c r="I4" s="10" t="inlineStr">
        <is>
          <t>Efficacite (%)</t>
        </is>
      </c>
      <c r="J4" s="10" t="inlineStr">
        <is>
          <t>Derniere Utilisation</t>
        </is>
      </c>
      <c r="K4" s="10" t="inlineStr">
        <is>
          <t>Observations</t>
        </is>
      </c>
    </row>
    <row r="5" ht="22" customHeight="1">
      <c r="B5" s="11" t="inlineStr">
        <is>
          <t>MCC-001</t>
        </is>
      </c>
      <c r="C5" s="11" t="inlineStr">
        <is>
          <t>Email</t>
        </is>
      </c>
      <c r="D5" s="11" t="inlineStr">
        <is>
          <t>Annonce, Information</t>
        </is>
      </c>
      <c r="E5" s="11" t="inlineStr">
        <is>
          <t>Tous employes</t>
        </is>
      </c>
      <c r="F5" s="11" t="inlineStr">
        <is>
          <t>Hebdomadaire</t>
        </is>
      </c>
      <c r="G5" s="17" t="n">
        <v>160</v>
      </c>
      <c r="H5" s="17" t="n">
        <v>0</v>
      </c>
      <c r="I5" s="29" t="n">
        <v>0.72</v>
      </c>
      <c r="J5" s="27" t="n">
        <v>45716</v>
      </c>
      <c r="K5" s="11" t="inlineStr">
        <is>
          <t>Canal principal, taux ouverture bon</t>
        </is>
      </c>
    </row>
    <row r="6" ht="22" customHeight="1">
      <c r="B6" s="13" t="inlineStr">
        <is>
          <t>MCC-002</t>
        </is>
      </c>
      <c r="C6" s="13" t="inlineStr">
        <is>
          <t>Affichage</t>
        </is>
      </c>
      <c r="D6" s="13" t="inlineStr">
        <is>
          <t>Annonce, Rappel</t>
        </is>
      </c>
      <c r="E6" s="13" t="inlineStr">
        <is>
          <t>Tous employes</t>
        </is>
      </c>
      <c r="F6" s="13" t="inlineStr">
        <is>
          <t>Ponctuelle</t>
        </is>
      </c>
      <c r="G6" s="18" t="n">
        <v>160</v>
      </c>
      <c r="H6" s="18" t="n">
        <v>5000</v>
      </c>
      <c r="I6" s="31" t="n">
        <v>0.6</v>
      </c>
      <c r="J6" s="28" t="n">
        <v>45703</v>
      </c>
      <c r="K6" s="13" t="inlineStr">
        <is>
          <t>Panneau hall principal</t>
        </is>
      </c>
    </row>
    <row r="7" ht="22" customHeight="1">
      <c r="B7" s="11" t="inlineStr">
        <is>
          <t>MCC-003</t>
        </is>
      </c>
      <c r="C7" s="11" t="inlineStr">
        <is>
          <t>LinkedIn</t>
        </is>
      </c>
      <c r="D7" s="11" t="inlineStr">
        <is>
          <t>Recrutement, ME</t>
        </is>
      </c>
      <c r="E7" s="11" t="inlineStr">
        <is>
          <t>Candidats</t>
        </is>
      </c>
      <c r="F7" s="11" t="inlineStr">
        <is>
          <t>Hebdomadaire</t>
        </is>
      </c>
      <c r="G7" s="17" t="n">
        <v>8000</v>
      </c>
      <c r="H7" s="17" t="n">
        <v>2000</v>
      </c>
      <c r="I7" s="29" t="n">
        <v>0.45</v>
      </c>
      <c r="J7" s="27" t="n">
        <v>45716</v>
      </c>
      <c r="K7" s="11" t="inlineStr">
        <is>
          <t>Meilleur canal recrutement</t>
        </is>
      </c>
    </row>
    <row r="8" ht="22" customHeight="1">
      <c r="B8" s="13" t="inlineStr">
        <is>
          <t>MCC-004</t>
        </is>
      </c>
      <c r="C8" s="13" t="inlineStr">
        <is>
          <t>WhatsApp</t>
        </is>
      </c>
      <c r="D8" s="13" t="inlineStr">
        <is>
          <t>Alerte, Rappel</t>
        </is>
      </c>
      <c r="E8" s="13" t="inlineStr">
        <is>
          <t>Tous employes</t>
        </is>
      </c>
      <c r="F8" s="13" t="inlineStr">
        <is>
          <t>Ponctuelle</t>
        </is>
      </c>
      <c r="G8" s="18" t="n">
        <v>150</v>
      </c>
      <c r="H8" s="18" t="n">
        <v>0</v>
      </c>
      <c r="I8" s="31" t="n">
        <v>0.85</v>
      </c>
      <c r="J8" s="28" t="n">
        <v>45708</v>
      </c>
      <c r="K8" s="13" t="inlineStr">
        <is>
          <t>Tres rapide, taux lecture eleve</t>
        </is>
      </c>
    </row>
    <row r="9" ht="22" customHeight="1">
      <c r="B9" s="16">
        <f>IF(C9="","MCC-"&amp;TEXT(COUNTA($C$5:C9),"000"))</f>
        <v/>
      </c>
      <c r="C9" s="11" t="n"/>
      <c r="D9" s="11" t="n"/>
      <c r="E9" s="11" t="n"/>
      <c r="F9" s="11" t="n"/>
      <c r="G9" s="17" t="n"/>
      <c r="H9" s="17" t="n"/>
      <c r="I9" s="29" t="n"/>
      <c r="J9" s="27" t="n"/>
      <c r="K9" s="11" t="n"/>
    </row>
    <row r="10" ht="22" customHeight="1">
      <c r="B10" s="15">
        <f>IF(C10="","MCC-"&amp;TEXT(COUNTA($C$5:C10),"000"))</f>
        <v/>
      </c>
      <c r="C10" s="13" t="n"/>
      <c r="D10" s="13" t="n"/>
      <c r="E10" s="13" t="n"/>
      <c r="F10" s="13" t="n"/>
      <c r="G10" s="18" t="n"/>
      <c r="H10" s="18" t="n"/>
      <c r="I10" s="31" t="n"/>
      <c r="J10" s="28" t="n"/>
      <c r="K10" s="13" t="n"/>
    </row>
    <row r="11" ht="22" customHeight="1">
      <c r="B11" s="16">
        <f>IF(C11="","MCC-"&amp;TEXT(COUNTA($C$5:C11),"000"))</f>
        <v/>
      </c>
      <c r="C11" s="11" t="n"/>
      <c r="D11" s="11" t="n"/>
      <c r="E11" s="11" t="n"/>
      <c r="F11" s="11" t="n"/>
      <c r="G11" s="17" t="n"/>
      <c r="H11" s="17" t="n"/>
      <c r="I11" s="29" t="n"/>
      <c r="J11" s="27" t="n"/>
      <c r="K11" s="11" t="n"/>
    </row>
    <row r="12" ht="22" customHeight="1">
      <c r="B12" s="15">
        <f>IF(C12="","MCC-"&amp;TEXT(COUNTA($C$5:C12),"000"))</f>
        <v/>
      </c>
      <c r="C12" s="13" t="n"/>
      <c r="D12" s="13" t="n"/>
      <c r="E12" s="13" t="n"/>
      <c r="F12" s="13" t="n"/>
      <c r="G12" s="18" t="n"/>
      <c r="H12" s="18" t="n"/>
      <c r="I12" s="31" t="n"/>
      <c r="J12" s="28" t="n"/>
      <c r="K12" s="13" t="n"/>
    </row>
    <row r="13" ht="22" customHeight="1">
      <c r="B13" s="16">
        <f>IF(C13="","MCC-"&amp;TEXT(COUNTA($C$5:C13),"000"))</f>
        <v/>
      </c>
      <c r="C13" s="11" t="n"/>
      <c r="D13" s="11" t="n"/>
      <c r="E13" s="11" t="n"/>
      <c r="F13" s="11" t="n"/>
      <c r="G13" s="17" t="n"/>
      <c r="H13" s="17" t="n"/>
      <c r="I13" s="29" t="n"/>
      <c r="J13" s="27" t="n"/>
      <c r="K13" s="11" t="n"/>
    </row>
    <row r="14" ht="22" customHeight="1">
      <c r="B14" s="15">
        <f>IF(C14="","MCC-"&amp;TEXT(COUNTA($C$5:C14),"000"))</f>
        <v/>
      </c>
      <c r="C14" s="13" t="n"/>
      <c r="D14" s="13" t="n"/>
      <c r="E14" s="13" t="n"/>
      <c r="F14" s="13" t="n"/>
      <c r="G14" s="18" t="n"/>
      <c r="H14" s="18" t="n"/>
      <c r="I14" s="31" t="n"/>
      <c r="J14" s="28" t="n"/>
      <c r="K14" s="13" t="n"/>
    </row>
    <row r="15" ht="22" customHeight="1">
      <c r="B15" s="16">
        <f>IF(C15="","MCC-"&amp;TEXT(COUNTA($C$5:C15),"000"))</f>
        <v/>
      </c>
      <c r="C15" s="11" t="n"/>
      <c r="D15" s="11" t="n"/>
      <c r="E15" s="11" t="n"/>
      <c r="F15" s="11" t="n"/>
      <c r="G15" s="17" t="n"/>
      <c r="H15" s="17" t="n"/>
      <c r="I15" s="29" t="n"/>
      <c r="J15" s="27" t="n"/>
      <c r="K15" s="11" t="n"/>
    </row>
    <row r="16" ht="22" customHeight="1">
      <c r="B16" s="15">
        <f>IF(C16="","MCC-"&amp;TEXT(COUNTA($C$5:C16),"000"))</f>
        <v/>
      </c>
      <c r="C16" s="13" t="n"/>
      <c r="D16" s="13" t="n"/>
      <c r="E16" s="13" t="n"/>
      <c r="F16" s="13" t="n"/>
      <c r="G16" s="18" t="n"/>
      <c r="H16" s="18" t="n"/>
      <c r="I16" s="31" t="n"/>
      <c r="J16" s="28" t="n"/>
      <c r="K16" s="13" t="n"/>
    </row>
    <row r="17" ht="22" customHeight="1">
      <c r="B17" s="16">
        <f>IF(C17="","MCC-"&amp;TEXT(COUNTA($C$5:C17),"000"))</f>
        <v/>
      </c>
      <c r="C17" s="11" t="n"/>
      <c r="D17" s="11" t="n"/>
      <c r="E17" s="11" t="n"/>
      <c r="F17" s="11" t="n"/>
      <c r="G17" s="17" t="n"/>
      <c r="H17" s="17" t="n"/>
      <c r="I17" s="29" t="n"/>
      <c r="J17" s="27" t="n"/>
      <c r="K17" s="11" t="n"/>
    </row>
    <row r="18" ht="22" customHeight="1">
      <c r="B18" s="15">
        <f>IF(C18="","MCC-"&amp;TEXT(COUNTA($C$5:C18),"000"))</f>
        <v/>
      </c>
      <c r="C18" s="13" t="n"/>
      <c r="D18" s="13" t="n"/>
      <c r="E18" s="13" t="n"/>
      <c r="F18" s="13" t="n"/>
      <c r="G18" s="18" t="n"/>
      <c r="H18" s="18" t="n"/>
      <c r="I18" s="31" t="n"/>
      <c r="J18" s="28" t="n"/>
      <c r="K18" s="13" t="n"/>
    </row>
    <row r="19" ht="22" customHeight="1">
      <c r="B19" s="16">
        <f>IF(C19="","MCC-"&amp;TEXT(COUNTA($C$5:C19),"000"))</f>
        <v/>
      </c>
      <c r="C19" s="11" t="n"/>
      <c r="D19" s="11" t="n"/>
      <c r="E19" s="11" t="n"/>
      <c r="F19" s="11" t="n"/>
      <c r="G19" s="17" t="n"/>
      <c r="H19" s="17" t="n"/>
      <c r="I19" s="29" t="n"/>
      <c r="J19" s="27" t="n"/>
      <c r="K19" s="11" t="n"/>
    </row>
    <row r="20" ht="22" customHeight="1">
      <c r="B20" s="15">
        <f>IF(C20="","MCC-"&amp;TEXT(COUNTA($C$5:C20),"000"))</f>
        <v/>
      </c>
      <c r="C20" s="13" t="n"/>
      <c r="D20" s="13" t="n"/>
      <c r="E20" s="13" t="n"/>
      <c r="F20" s="13" t="n"/>
      <c r="G20" s="18" t="n"/>
      <c r="H20" s="18" t="n"/>
      <c r="I20" s="31" t="n"/>
      <c r="J20" s="28" t="n"/>
      <c r="K20" s="13" t="n"/>
    </row>
    <row r="21" ht="22" customHeight="1">
      <c r="B21" s="16">
        <f>IF(C21="","MCC-"&amp;TEXT(COUNTA($C$5:C21),"000"))</f>
        <v/>
      </c>
      <c r="C21" s="11" t="n"/>
      <c r="D21" s="11" t="n"/>
      <c r="E21" s="11" t="n"/>
      <c r="F21" s="11" t="n"/>
      <c r="G21" s="17" t="n"/>
      <c r="H21" s="17" t="n"/>
      <c r="I21" s="29" t="n"/>
      <c r="J21" s="27" t="n"/>
      <c r="K21" s="11" t="n"/>
    </row>
    <row r="22" ht="22" customHeight="1">
      <c r="B22" s="15">
        <f>IF(C22="","MCC-"&amp;TEXT(COUNTA($C$5:C22),"000"))</f>
        <v/>
      </c>
      <c r="C22" s="13" t="n"/>
      <c r="D22" s="13" t="n"/>
      <c r="E22" s="13" t="n"/>
      <c r="F22" s="13" t="n"/>
      <c r="G22" s="18" t="n"/>
      <c r="H22" s="18" t="n"/>
      <c r="I22" s="31" t="n"/>
      <c r="J22" s="28" t="n"/>
      <c r="K22" s="13" t="n"/>
    </row>
    <row r="23" ht="22" customHeight="1">
      <c r="B23" s="16">
        <f>IF(C23="","MCC-"&amp;TEXT(COUNTA($C$5:C23),"000"))</f>
        <v/>
      </c>
      <c r="C23" s="11" t="n"/>
      <c r="D23" s="11" t="n"/>
      <c r="E23" s="11" t="n"/>
      <c r="F23" s="11" t="n"/>
      <c r="G23" s="17" t="n"/>
      <c r="H23" s="17" t="n"/>
      <c r="I23" s="29" t="n"/>
      <c r="J23" s="27" t="n"/>
      <c r="K23" s="11" t="n"/>
    </row>
    <row r="24" ht="22" customHeight="1">
      <c r="B24" s="15">
        <f>IF(C24="","MCC-"&amp;TEXT(COUNTA($C$5:C24),"000"))</f>
        <v/>
      </c>
      <c r="C24" s="13" t="n"/>
      <c r="D24" s="13" t="n"/>
      <c r="E24" s="13" t="n"/>
      <c r="F24" s="13" t="n"/>
      <c r="G24" s="18" t="n"/>
      <c r="H24" s="18" t="n"/>
      <c r="I24" s="31" t="n"/>
      <c r="J24" s="28" t="n"/>
      <c r="K24" s="13" t="n"/>
    </row>
    <row r="25" ht="22" customHeight="1">
      <c r="B25" s="16">
        <f>IF(C25="","MCC-"&amp;TEXT(COUNTA($C$5:C25),"000"))</f>
        <v/>
      </c>
      <c r="C25" s="11" t="n"/>
      <c r="D25" s="11" t="n"/>
      <c r="E25" s="11" t="n"/>
      <c r="F25" s="11" t="n"/>
      <c r="G25" s="17" t="n"/>
      <c r="H25" s="17" t="n"/>
      <c r="I25" s="29" t="n"/>
      <c r="J25" s="27" t="n"/>
      <c r="K25" s="11" t="n"/>
    </row>
    <row r="26" ht="22" customHeight="1">
      <c r="B26" s="15">
        <f>IF(C26="","MCC-"&amp;TEXT(COUNTA($C$5:C26),"000"))</f>
        <v/>
      </c>
      <c r="C26" s="13" t="n"/>
      <c r="D26" s="13" t="n"/>
      <c r="E26" s="13" t="n"/>
      <c r="F26" s="13" t="n"/>
      <c r="G26" s="18" t="n"/>
      <c r="H26" s="18" t="n"/>
      <c r="I26" s="31" t="n"/>
      <c r="J26" s="28" t="n"/>
      <c r="K26" s="13" t="n"/>
    </row>
    <row r="27" ht="22" customHeight="1">
      <c r="B27" s="16">
        <f>IF(C27="","MCC-"&amp;TEXT(COUNTA($C$5:C27),"000"))</f>
        <v/>
      </c>
      <c r="C27" s="11" t="n"/>
      <c r="D27" s="11" t="n"/>
      <c r="E27" s="11" t="n"/>
      <c r="F27" s="11" t="n"/>
      <c r="G27" s="17" t="n"/>
      <c r="H27" s="17" t="n"/>
      <c r="I27" s="29" t="n"/>
      <c r="J27" s="27" t="n"/>
      <c r="K27" s="11" t="n"/>
    </row>
    <row r="28" ht="22" customHeight="1">
      <c r="B28" s="15">
        <f>IF(C28="","MCC-"&amp;TEXT(COUNTA($C$5:C28),"000"))</f>
        <v/>
      </c>
      <c r="C28" s="13" t="n"/>
      <c r="D28" s="13" t="n"/>
      <c r="E28" s="13" t="n"/>
      <c r="F28" s="13" t="n"/>
      <c r="G28" s="18" t="n"/>
      <c r="H28" s="18" t="n"/>
      <c r="I28" s="31" t="n"/>
      <c r="J28" s="28" t="n"/>
      <c r="K28" s="13" t="n"/>
    </row>
    <row r="29" ht="22" customHeight="1">
      <c r="B29" s="16">
        <f>IF(C29="","MCC-"&amp;TEXT(COUNTA($C$5:C29),"000"))</f>
        <v/>
      </c>
      <c r="C29" s="11" t="n"/>
      <c r="D29" s="11" t="n"/>
      <c r="E29" s="11" t="n"/>
      <c r="F29" s="11" t="n"/>
      <c r="G29" s="17" t="n"/>
      <c r="H29" s="17" t="n"/>
      <c r="I29" s="29" t="n"/>
      <c r="J29" s="27" t="n"/>
      <c r="K29" s="11" t="n"/>
    </row>
    <row r="30" ht="22" customHeight="1">
      <c r="B30" s="15">
        <f>IF(C30="","MCC-"&amp;TEXT(COUNTA($C$5:C30),"000"))</f>
        <v/>
      </c>
      <c r="C30" s="13" t="n"/>
      <c r="D30" s="13" t="n"/>
      <c r="E30" s="13" t="n"/>
      <c r="F30" s="13" t="n"/>
      <c r="G30" s="18" t="n"/>
      <c r="H30" s="18" t="n"/>
      <c r="I30" s="31" t="n"/>
      <c r="J30" s="28" t="n"/>
      <c r="K30" s="13" t="n"/>
    </row>
    <row r="31" ht="22" customHeight="1">
      <c r="B31" s="16">
        <f>IF(C31="","MCC-"&amp;TEXT(COUNTA($C$5:C31),"000"))</f>
        <v/>
      </c>
      <c r="C31" s="11" t="n"/>
      <c r="D31" s="11" t="n"/>
      <c r="E31" s="11" t="n"/>
      <c r="F31" s="11" t="n"/>
      <c r="G31" s="17" t="n"/>
      <c r="H31" s="17" t="n"/>
      <c r="I31" s="29" t="n"/>
      <c r="J31" s="27" t="n"/>
      <c r="K31" s="11" t="n"/>
    </row>
    <row r="32" ht="22" customHeight="1">
      <c r="B32" s="15">
        <f>IF(C32="","MCC-"&amp;TEXT(COUNTA($C$5:C32),"000"))</f>
        <v/>
      </c>
      <c r="C32" s="13" t="n"/>
      <c r="D32" s="13" t="n"/>
      <c r="E32" s="13" t="n"/>
      <c r="F32" s="13" t="n"/>
      <c r="G32" s="18" t="n"/>
      <c r="H32" s="18" t="n"/>
      <c r="I32" s="31" t="n"/>
      <c r="J32" s="28" t="n"/>
      <c r="K32" s="13" t="n"/>
    </row>
    <row r="33" ht="22" customHeight="1">
      <c r="B33" s="16">
        <f>IF(C33="","MCC-"&amp;TEXT(COUNTA($C$5:C33),"000"))</f>
        <v/>
      </c>
      <c r="C33" s="11" t="n"/>
      <c r="D33" s="11" t="n"/>
      <c r="E33" s="11" t="n"/>
      <c r="F33" s="11" t="n"/>
      <c r="G33" s="17" t="n"/>
      <c r="H33" s="17" t="n"/>
      <c r="I33" s="29" t="n"/>
      <c r="J33" s="27" t="n"/>
      <c r="K33" s="11" t="n"/>
    </row>
    <row r="34" ht="22" customHeight="1">
      <c r="B34" s="15">
        <f>IF(C34="","MCC-"&amp;TEXT(COUNTA($C$5:C34),"000"))</f>
        <v/>
      </c>
      <c r="C34" s="13" t="n"/>
      <c r="D34" s="13" t="n"/>
      <c r="E34" s="13" t="n"/>
      <c r="F34" s="13" t="n"/>
      <c r="G34" s="18" t="n"/>
      <c r="H34" s="18" t="n"/>
      <c r="I34" s="31" t="n"/>
      <c r="J34" s="28" t="n"/>
      <c r="K34" s="13" t="n"/>
    </row>
    <row r="35" ht="22" customHeight="1">
      <c r="B35" s="16">
        <f>IF(C35="","MCC-"&amp;TEXT(COUNTA($C$5:C35),"000"))</f>
        <v/>
      </c>
      <c r="C35" s="11" t="n"/>
      <c r="D35" s="11" t="n"/>
      <c r="E35" s="11" t="n"/>
      <c r="F35" s="11" t="n"/>
      <c r="G35" s="17" t="n"/>
      <c r="H35" s="17" t="n"/>
      <c r="I35" s="29" t="n"/>
      <c r="J35" s="27" t="n"/>
      <c r="K35" s="11" t="n"/>
    </row>
    <row r="36" ht="22" customHeight="1">
      <c r="B36" s="15">
        <f>IF(C36="","MCC-"&amp;TEXT(COUNTA($C$5:C36),"000"))</f>
        <v/>
      </c>
      <c r="C36" s="13" t="n"/>
      <c r="D36" s="13" t="n"/>
      <c r="E36" s="13" t="n"/>
      <c r="F36" s="13" t="n"/>
      <c r="G36" s="18" t="n"/>
      <c r="H36" s="18" t="n"/>
      <c r="I36" s="31" t="n"/>
      <c r="J36" s="28" t="n"/>
      <c r="K36" s="13" t="n"/>
    </row>
    <row r="37" ht="22" customHeight="1">
      <c r="B37" s="16">
        <f>IF(C37="","MCC-"&amp;TEXT(COUNTA($C$5:C37),"000"))</f>
        <v/>
      </c>
      <c r="C37" s="11" t="n"/>
      <c r="D37" s="11" t="n"/>
      <c r="E37" s="11" t="n"/>
      <c r="F37" s="11" t="n"/>
      <c r="G37" s="17" t="n"/>
      <c r="H37" s="17" t="n"/>
      <c r="I37" s="29" t="n"/>
      <c r="J37" s="27" t="n"/>
      <c r="K37" s="11" t="n"/>
    </row>
    <row r="38" ht="22" customHeight="1">
      <c r="B38" s="15">
        <f>IF(C38="","MCC-"&amp;TEXT(COUNTA($C$5:C38),"000"))</f>
        <v/>
      </c>
      <c r="C38" s="13" t="n"/>
      <c r="D38" s="13" t="n"/>
      <c r="E38" s="13" t="n"/>
      <c r="F38" s="13" t="n"/>
      <c r="G38" s="18" t="n"/>
      <c r="H38" s="18" t="n"/>
      <c r="I38" s="31" t="n"/>
      <c r="J38" s="28" t="n"/>
      <c r="K38" s="13" t="n"/>
    </row>
    <row r="39" ht="22" customHeight="1">
      <c r="B39" s="16">
        <f>IF(C39="","MCC-"&amp;TEXT(COUNTA($C$5:C39),"000"))</f>
        <v/>
      </c>
      <c r="C39" s="11" t="n"/>
      <c r="D39" s="11" t="n"/>
      <c r="E39" s="11" t="n"/>
      <c r="F39" s="11" t="n"/>
      <c r="G39" s="17" t="n"/>
      <c r="H39" s="17" t="n"/>
      <c r="I39" s="29" t="n"/>
      <c r="J39" s="27" t="n"/>
      <c r="K39" s="11" t="n"/>
    </row>
    <row r="40" ht="22" customHeight="1">
      <c r="B40" s="15">
        <f>IF(C40="","MCC-"&amp;TEXT(COUNTA($C$5:C40),"000"))</f>
        <v/>
      </c>
      <c r="C40" s="13" t="n"/>
      <c r="D40" s="13" t="n"/>
      <c r="E40" s="13" t="n"/>
      <c r="F40" s="13" t="n"/>
      <c r="G40" s="18" t="n"/>
      <c r="H40" s="18" t="n"/>
      <c r="I40" s="31" t="n"/>
      <c r="J40" s="28" t="n"/>
      <c r="K40" s="13" t="n"/>
    </row>
    <row r="41" ht="22" customHeight="1">
      <c r="B41" s="16">
        <f>IF(C41="","MCC-"&amp;TEXT(COUNTA($C$5:C41),"000"))</f>
        <v/>
      </c>
      <c r="C41" s="11" t="n"/>
      <c r="D41" s="11" t="n"/>
      <c r="E41" s="11" t="n"/>
      <c r="F41" s="11" t="n"/>
      <c r="G41" s="17" t="n"/>
      <c r="H41" s="17" t="n"/>
      <c r="I41" s="29" t="n"/>
      <c r="J41" s="27" t="n"/>
      <c r="K41" s="11" t="n"/>
    </row>
    <row r="42" ht="22" customHeight="1">
      <c r="B42" s="15">
        <f>IF(C42="","MCC-"&amp;TEXT(COUNTA($C$5:C42),"000"))</f>
        <v/>
      </c>
      <c r="C42" s="13" t="n"/>
      <c r="D42" s="13" t="n"/>
      <c r="E42" s="13" t="n"/>
      <c r="F42" s="13" t="n"/>
      <c r="G42" s="18" t="n"/>
      <c r="H42" s="18" t="n"/>
      <c r="I42" s="31" t="n"/>
      <c r="J42" s="28" t="n"/>
      <c r="K42" s="13" t="n"/>
    </row>
    <row r="43" ht="22" customHeight="1">
      <c r="B43" s="16">
        <f>IF(C43="","MCC-"&amp;TEXT(COUNTA($C$5:C43),"000"))</f>
        <v/>
      </c>
      <c r="C43" s="11" t="n"/>
      <c r="D43" s="11" t="n"/>
      <c r="E43" s="11" t="n"/>
      <c r="F43" s="11" t="n"/>
      <c r="G43" s="17" t="n"/>
      <c r="H43" s="17" t="n"/>
      <c r="I43" s="29" t="n"/>
      <c r="J43" s="27" t="n"/>
      <c r="K43" s="11" t="n"/>
    </row>
    <row r="44" ht="22" customHeight="1">
      <c r="B44" s="15">
        <f>IF(C44="","MCC-"&amp;TEXT(COUNTA($C$5:C44),"000"))</f>
        <v/>
      </c>
      <c r="C44" s="13" t="n"/>
      <c r="D44" s="13" t="n"/>
      <c r="E44" s="13" t="n"/>
      <c r="F44" s="13" t="n"/>
      <c r="G44" s="18" t="n"/>
      <c r="H44" s="18" t="n"/>
      <c r="I44" s="31" t="n"/>
      <c r="J44" s="28" t="n"/>
      <c r="K44" s="13" t="n"/>
    </row>
    <row r="45" ht="22" customHeight="1">
      <c r="B45" s="16">
        <f>IF(C45="","MCC-"&amp;TEXT(COUNTA($C$5:C45),"000"))</f>
        <v/>
      </c>
      <c r="C45" s="11" t="n"/>
      <c r="D45" s="11" t="n"/>
      <c r="E45" s="11" t="n"/>
      <c r="F45" s="11" t="n"/>
      <c r="G45" s="17" t="n"/>
      <c r="H45" s="17" t="n"/>
      <c r="I45" s="29" t="n"/>
      <c r="J45" s="27" t="n"/>
      <c r="K45" s="11" t="n"/>
    </row>
    <row r="46" ht="22" customHeight="1">
      <c r="B46" s="15">
        <f>IF(C46="","MCC-"&amp;TEXT(COUNTA($C$5:C46),"000"))</f>
        <v/>
      </c>
      <c r="C46" s="13" t="n"/>
      <c r="D46" s="13" t="n"/>
      <c r="E46" s="13" t="n"/>
      <c r="F46" s="13" t="n"/>
      <c r="G46" s="18" t="n"/>
      <c r="H46" s="18" t="n"/>
      <c r="I46" s="31" t="n"/>
      <c r="J46" s="28" t="n"/>
      <c r="K46" s="13" t="n"/>
    </row>
    <row r="47" ht="22" customHeight="1">
      <c r="B47" s="16">
        <f>IF(C47="","MCC-"&amp;TEXT(COUNTA($C$5:C47),"000"))</f>
        <v/>
      </c>
      <c r="C47" s="11" t="n"/>
      <c r="D47" s="11" t="n"/>
      <c r="E47" s="11" t="n"/>
      <c r="F47" s="11" t="n"/>
      <c r="G47" s="17" t="n"/>
      <c r="H47" s="17" t="n"/>
      <c r="I47" s="29" t="n"/>
      <c r="J47" s="27" t="n"/>
      <c r="K47" s="11" t="n"/>
    </row>
    <row r="48" ht="22" customHeight="1">
      <c r="B48" s="15">
        <f>IF(C48="","MCC-"&amp;TEXT(COUNTA($C$5:C48),"000"))</f>
        <v/>
      </c>
      <c r="C48" s="13" t="n"/>
      <c r="D48" s="13" t="n"/>
      <c r="E48" s="13" t="n"/>
      <c r="F48" s="13" t="n"/>
      <c r="G48" s="18" t="n"/>
      <c r="H48" s="18" t="n"/>
      <c r="I48" s="31" t="n"/>
      <c r="J48" s="28" t="n"/>
      <c r="K48" s="13" t="n"/>
    </row>
    <row r="49" ht="22" customHeight="1">
      <c r="B49" s="16">
        <f>IF(C49="","MCC-"&amp;TEXT(COUNTA($C$5:C49),"000"))</f>
        <v/>
      </c>
      <c r="C49" s="11" t="n"/>
      <c r="D49" s="11" t="n"/>
      <c r="E49" s="11" t="n"/>
      <c r="F49" s="11" t="n"/>
      <c r="G49" s="17" t="n"/>
      <c r="H49" s="17" t="n"/>
      <c r="I49" s="29" t="n"/>
      <c r="J49" s="27" t="n"/>
      <c r="K49" s="11" t="n"/>
    </row>
    <row r="50" ht="22" customHeight="1">
      <c r="B50" s="15">
        <f>IF(C50="","MCC-"&amp;TEXT(COUNTA($C$5:C50),"000"))</f>
        <v/>
      </c>
      <c r="C50" s="13" t="n"/>
      <c r="D50" s="13" t="n"/>
      <c r="E50" s="13" t="n"/>
      <c r="F50" s="13" t="n"/>
      <c r="G50" s="18" t="n"/>
      <c r="H50" s="18" t="n"/>
      <c r="I50" s="31" t="n"/>
      <c r="J50" s="28" t="n"/>
      <c r="K50" s="13" t="n"/>
    </row>
    <row r="51" ht="22" customHeight="1">
      <c r="B51" s="16">
        <f>IF(C51="","MCC-"&amp;TEXT(COUNTA($C$5:C51),"000"))</f>
        <v/>
      </c>
      <c r="C51" s="11" t="n"/>
      <c r="D51" s="11" t="n"/>
      <c r="E51" s="11" t="n"/>
      <c r="F51" s="11" t="n"/>
      <c r="G51" s="17" t="n"/>
      <c r="H51" s="17" t="n"/>
      <c r="I51" s="29" t="n"/>
      <c r="J51" s="27" t="n"/>
      <c r="K51" s="11" t="n"/>
    </row>
    <row r="52" ht="22" customHeight="1">
      <c r="B52" s="15">
        <f>IF(C52="","MCC-"&amp;TEXT(COUNTA($C$5:C52),"000"))</f>
        <v/>
      </c>
      <c r="C52" s="13" t="n"/>
      <c r="D52" s="13" t="n"/>
      <c r="E52" s="13" t="n"/>
      <c r="F52" s="13" t="n"/>
      <c r="G52" s="18" t="n"/>
      <c r="H52" s="18" t="n"/>
      <c r="I52" s="31" t="n"/>
      <c r="J52" s="28" t="n"/>
      <c r="K52" s="13" t="n"/>
    </row>
    <row r="53" ht="22" customHeight="1">
      <c r="B53" s="16">
        <f>IF(C53="","MCC-"&amp;TEXT(COUNTA($C$5:C53),"000"))</f>
        <v/>
      </c>
      <c r="C53" s="11" t="n"/>
      <c r="D53" s="11" t="n"/>
      <c r="E53" s="11" t="n"/>
      <c r="F53" s="11" t="n"/>
      <c r="G53" s="17" t="n"/>
      <c r="H53" s="17" t="n"/>
      <c r="I53" s="29" t="n"/>
      <c r="J53" s="27" t="n"/>
      <c r="K53" s="11" t="n"/>
    </row>
    <row r="54" ht="22" customHeight="1">
      <c r="B54" s="15">
        <f>IF(C54="","MCC-"&amp;TEXT(COUNTA($C$5:C54),"000"))</f>
        <v/>
      </c>
      <c r="C54" s="13" t="n"/>
      <c r="D54" s="13" t="n"/>
      <c r="E54" s="13" t="n"/>
      <c r="F54" s="13" t="n"/>
      <c r="G54" s="18" t="n"/>
      <c r="H54" s="18" t="n"/>
      <c r="I54" s="31" t="n"/>
      <c r="J54" s="28" t="n"/>
      <c r="K54" s="13" t="n"/>
    </row>
    <row r="55" ht="22" customHeight="1">
      <c r="B55" s="16">
        <f>IF(C55="","MCC-"&amp;TEXT(COUNTA($C$5:C55),"000"))</f>
        <v/>
      </c>
      <c r="C55" s="11" t="n"/>
      <c r="D55" s="11" t="n"/>
      <c r="E55" s="11" t="n"/>
      <c r="F55" s="11" t="n"/>
      <c r="G55" s="17" t="n"/>
      <c r="H55" s="17" t="n"/>
      <c r="I55" s="29" t="n"/>
      <c r="J55" s="27" t="n"/>
      <c r="K55" s="11" t="n"/>
    </row>
    <row r="56" ht="22" customHeight="1">
      <c r="B56" s="15">
        <f>IF(C56="","MCC-"&amp;TEXT(COUNTA($C$5:C56),"000"))</f>
        <v/>
      </c>
      <c r="C56" s="13" t="n"/>
      <c r="D56" s="13" t="n"/>
      <c r="E56" s="13" t="n"/>
      <c r="F56" s="13" t="n"/>
      <c r="G56" s="18" t="n"/>
      <c r="H56" s="18" t="n"/>
      <c r="I56" s="31" t="n"/>
      <c r="J56" s="28" t="n"/>
      <c r="K56" s="13" t="n"/>
    </row>
    <row r="57" ht="22" customHeight="1">
      <c r="B57" s="16">
        <f>IF(C57="","MCC-"&amp;TEXT(COUNTA($C$5:C57),"000"))</f>
        <v/>
      </c>
      <c r="C57" s="11" t="n"/>
      <c r="D57" s="11" t="n"/>
      <c r="E57" s="11" t="n"/>
      <c r="F57" s="11" t="n"/>
      <c r="G57" s="17" t="n"/>
      <c r="H57" s="17" t="n"/>
      <c r="I57" s="29" t="n"/>
      <c r="J57" s="27" t="n"/>
      <c r="K57" s="11" t="n"/>
    </row>
    <row r="58" ht="22" customHeight="1">
      <c r="B58" s="15">
        <f>IF(C58="","MCC-"&amp;TEXT(COUNTA($C$5:C58),"000"))</f>
        <v/>
      </c>
      <c r="C58" s="13" t="n"/>
      <c r="D58" s="13" t="n"/>
      <c r="E58" s="13" t="n"/>
      <c r="F58" s="13" t="n"/>
      <c r="G58" s="18" t="n"/>
      <c r="H58" s="18" t="n"/>
      <c r="I58" s="31" t="n"/>
      <c r="J58" s="28" t="n"/>
      <c r="K58" s="13" t="n"/>
    </row>
    <row r="59" ht="22" customHeight="1">
      <c r="B59" s="16">
        <f>IF(C59="","MCC-"&amp;TEXT(COUNTA($C$5:C59),"000"))</f>
        <v/>
      </c>
      <c r="C59" s="11" t="n"/>
      <c r="D59" s="11" t="n"/>
      <c r="E59" s="11" t="n"/>
      <c r="F59" s="11" t="n"/>
      <c r="G59" s="17" t="n"/>
      <c r="H59" s="17" t="n"/>
      <c r="I59" s="29" t="n"/>
      <c r="J59" s="27" t="n"/>
      <c r="K59" s="11" t="n"/>
    </row>
    <row r="60" ht="22" customHeight="1">
      <c r="B60" s="15">
        <f>IF(C60="","MCC-"&amp;TEXT(COUNTA($C$5:C60),"000"))</f>
        <v/>
      </c>
      <c r="C60" s="13" t="n"/>
      <c r="D60" s="13" t="n"/>
      <c r="E60" s="13" t="n"/>
      <c r="F60" s="13" t="n"/>
      <c r="G60" s="18" t="n"/>
      <c r="H60" s="18" t="n"/>
      <c r="I60" s="31" t="n"/>
      <c r="J60" s="28" t="n"/>
      <c r="K60" s="13" t="n"/>
    </row>
    <row r="61" ht="22" customHeight="1">
      <c r="B61" s="16">
        <f>IF(C61="","MCC-"&amp;TEXT(COUNTA($C$5:C61),"000"))</f>
        <v/>
      </c>
      <c r="C61" s="11" t="n"/>
      <c r="D61" s="11" t="n"/>
      <c r="E61" s="11" t="n"/>
      <c r="F61" s="11" t="n"/>
      <c r="G61" s="17" t="n"/>
      <c r="H61" s="17" t="n"/>
      <c r="I61" s="29" t="n"/>
      <c r="J61" s="27" t="n"/>
      <c r="K61" s="11" t="n"/>
    </row>
    <row r="62" ht="22" customHeight="1">
      <c r="B62" s="15">
        <f>IF(C62="","MCC-"&amp;TEXT(COUNTA($C$5:C62),"000"))</f>
        <v/>
      </c>
      <c r="C62" s="13" t="n"/>
      <c r="D62" s="13" t="n"/>
      <c r="E62" s="13" t="n"/>
      <c r="F62" s="13" t="n"/>
      <c r="G62" s="18" t="n"/>
      <c r="H62" s="18" t="n"/>
      <c r="I62" s="31" t="n"/>
      <c r="J62" s="28" t="n"/>
      <c r="K62" s="13" t="n"/>
    </row>
    <row r="63" ht="22" customHeight="1">
      <c r="B63" s="16">
        <f>IF(C63="","MCC-"&amp;TEXT(COUNTA($C$5:C63),"000"))</f>
        <v/>
      </c>
      <c r="C63" s="11" t="n"/>
      <c r="D63" s="11" t="n"/>
      <c r="E63" s="11" t="n"/>
      <c r="F63" s="11" t="n"/>
      <c r="G63" s="17" t="n"/>
      <c r="H63" s="17" t="n"/>
      <c r="I63" s="29" t="n"/>
      <c r="J63" s="27" t="n"/>
      <c r="K63" s="11" t="n"/>
    </row>
    <row r="64" ht="22" customHeight="1">
      <c r="B64" s="15">
        <f>IF(C64="","MCC-"&amp;TEXT(COUNTA($C$5:C64),"000"))</f>
        <v/>
      </c>
      <c r="C64" s="13" t="n"/>
      <c r="D64" s="13" t="n"/>
      <c r="E64" s="13" t="n"/>
      <c r="F64" s="13" t="n"/>
      <c r="G64" s="18" t="n"/>
      <c r="H64" s="18" t="n"/>
      <c r="I64" s="31" t="n"/>
      <c r="J64" s="28" t="n"/>
      <c r="K64" s="13" t="n"/>
    </row>
    <row r="65" ht="22" customHeight="1">
      <c r="B65" s="16">
        <f>IF(C65="","MCC-"&amp;TEXT(COUNTA($C$5:C65),"000"))</f>
        <v/>
      </c>
      <c r="C65" s="11" t="n"/>
      <c r="D65" s="11" t="n"/>
      <c r="E65" s="11" t="n"/>
      <c r="F65" s="11" t="n"/>
      <c r="G65" s="17" t="n"/>
      <c r="H65" s="17" t="n"/>
      <c r="I65" s="29" t="n"/>
      <c r="J65" s="27" t="n"/>
      <c r="K65" s="11" t="n"/>
    </row>
    <row r="66" ht="22" customHeight="1">
      <c r="B66" s="15">
        <f>IF(C66="","MCC-"&amp;TEXT(COUNTA($C$5:C66),"000"))</f>
        <v/>
      </c>
      <c r="C66" s="13" t="n"/>
      <c r="D66" s="13" t="n"/>
      <c r="E66" s="13" t="n"/>
      <c r="F66" s="13" t="n"/>
      <c r="G66" s="18" t="n"/>
      <c r="H66" s="18" t="n"/>
      <c r="I66" s="31" t="n"/>
      <c r="J66" s="28" t="n"/>
      <c r="K66" s="13" t="n"/>
    </row>
    <row r="67" ht="22" customHeight="1">
      <c r="B67" s="16">
        <f>IF(C67="","MCC-"&amp;TEXT(COUNTA($C$5:C67),"000"))</f>
        <v/>
      </c>
      <c r="C67" s="11" t="n"/>
      <c r="D67" s="11" t="n"/>
      <c r="E67" s="11" t="n"/>
      <c r="F67" s="11" t="n"/>
      <c r="G67" s="17" t="n"/>
      <c r="H67" s="17" t="n"/>
      <c r="I67" s="29" t="n"/>
      <c r="J67" s="27" t="n"/>
      <c r="K67" s="11" t="n"/>
    </row>
    <row r="68" ht="22" customHeight="1">
      <c r="B68" s="15">
        <f>IF(C68="","MCC-"&amp;TEXT(COUNTA($C$5:C68),"000"))</f>
        <v/>
      </c>
      <c r="C68" s="13" t="n"/>
      <c r="D68" s="13" t="n"/>
      <c r="E68" s="13" t="n"/>
      <c r="F68" s="13" t="n"/>
      <c r="G68" s="18" t="n"/>
      <c r="H68" s="18" t="n"/>
      <c r="I68" s="31" t="n"/>
      <c r="J68" s="28" t="n"/>
      <c r="K68" s="13" t="n"/>
    </row>
    <row r="69" ht="22" customHeight="1">
      <c r="B69" s="16">
        <f>IF(C69="","MCC-"&amp;TEXT(COUNTA($C$5:C69),"000"))</f>
        <v/>
      </c>
      <c r="C69" s="11" t="n"/>
      <c r="D69" s="11" t="n"/>
      <c r="E69" s="11" t="n"/>
      <c r="F69" s="11" t="n"/>
      <c r="G69" s="17" t="n"/>
      <c r="H69" s="17" t="n"/>
      <c r="I69" s="29" t="n"/>
      <c r="J69" s="27" t="n"/>
      <c r="K69" s="11" t="n"/>
    </row>
    <row r="70" ht="22" customHeight="1">
      <c r="B70" s="15">
        <f>IF(C70="","MCC-"&amp;TEXT(COUNTA($C$5:C70),"000"))</f>
        <v/>
      </c>
      <c r="C70" s="13" t="n"/>
      <c r="D70" s="13" t="n"/>
      <c r="E70" s="13" t="n"/>
      <c r="F70" s="13" t="n"/>
      <c r="G70" s="18" t="n"/>
      <c r="H70" s="18" t="n"/>
      <c r="I70" s="31" t="n"/>
      <c r="J70" s="28" t="n"/>
      <c r="K70" s="13" t="n"/>
    </row>
    <row r="71" ht="22" customHeight="1">
      <c r="B71" s="16">
        <f>IF(C71="","MCC-"&amp;TEXT(COUNTA($C$5:C71),"000"))</f>
        <v/>
      </c>
      <c r="C71" s="11" t="n"/>
      <c r="D71" s="11" t="n"/>
      <c r="E71" s="11" t="n"/>
      <c r="F71" s="11" t="n"/>
      <c r="G71" s="17" t="n"/>
      <c r="H71" s="17" t="n"/>
      <c r="I71" s="29" t="n"/>
      <c r="J71" s="27" t="n"/>
      <c r="K71" s="11" t="n"/>
    </row>
    <row r="72" ht="22" customHeight="1">
      <c r="B72" s="15">
        <f>IF(C72="","MCC-"&amp;TEXT(COUNTA($C$5:C72),"000"))</f>
        <v/>
      </c>
      <c r="C72" s="13" t="n"/>
      <c r="D72" s="13" t="n"/>
      <c r="E72" s="13" t="n"/>
      <c r="F72" s="13" t="n"/>
      <c r="G72" s="18" t="n"/>
      <c r="H72" s="18" t="n"/>
      <c r="I72" s="31" t="n"/>
      <c r="J72" s="28" t="n"/>
      <c r="K72" s="13" t="n"/>
    </row>
    <row r="73" ht="22" customHeight="1">
      <c r="B73" s="16">
        <f>IF(C73="","MCC-"&amp;TEXT(COUNTA($C$5:C73),"000"))</f>
        <v/>
      </c>
      <c r="C73" s="11" t="n"/>
      <c r="D73" s="11" t="n"/>
      <c r="E73" s="11" t="n"/>
      <c r="F73" s="11" t="n"/>
      <c r="G73" s="17" t="n"/>
      <c r="H73" s="17" t="n"/>
      <c r="I73" s="29" t="n"/>
      <c r="J73" s="27" t="n"/>
      <c r="K73" s="11" t="n"/>
    </row>
    <row r="74" ht="22" customHeight="1">
      <c r="B74" s="15">
        <f>IF(C74="","MCC-"&amp;TEXT(COUNTA($C$5:C74),"000"))</f>
        <v/>
      </c>
      <c r="C74" s="13" t="n"/>
      <c r="D74" s="13" t="n"/>
      <c r="E74" s="13" t="n"/>
      <c r="F74" s="13" t="n"/>
      <c r="G74" s="18" t="n"/>
      <c r="H74" s="18" t="n"/>
      <c r="I74" s="31" t="n"/>
      <c r="J74" s="28" t="n"/>
      <c r="K74" s="13" t="n"/>
    </row>
    <row r="75" ht="22" customHeight="1">
      <c r="B75" s="16">
        <f>IF(C75="","MCC-"&amp;TEXT(COUNTA($C$5:C75),"000"))</f>
        <v/>
      </c>
      <c r="C75" s="11" t="n"/>
      <c r="D75" s="11" t="n"/>
      <c r="E75" s="11" t="n"/>
      <c r="F75" s="11" t="n"/>
      <c r="G75" s="17" t="n"/>
      <c r="H75" s="17" t="n"/>
      <c r="I75" s="29" t="n"/>
      <c r="J75" s="27" t="n"/>
      <c r="K75" s="11" t="n"/>
    </row>
    <row r="76" ht="22" customHeight="1">
      <c r="B76" s="15">
        <f>IF(C76="","MCC-"&amp;TEXT(COUNTA($C$5:C76),"000"))</f>
        <v/>
      </c>
      <c r="C76" s="13" t="n"/>
      <c r="D76" s="13" t="n"/>
      <c r="E76" s="13" t="n"/>
      <c r="F76" s="13" t="n"/>
      <c r="G76" s="18" t="n"/>
      <c r="H76" s="18" t="n"/>
      <c r="I76" s="31" t="n"/>
      <c r="J76" s="28" t="n"/>
      <c r="K76" s="13" t="n"/>
    </row>
    <row r="77" ht="22" customHeight="1">
      <c r="B77" s="16">
        <f>IF(C77="","MCC-"&amp;TEXT(COUNTA($C$5:C77),"000"))</f>
        <v/>
      </c>
      <c r="C77" s="11" t="n"/>
      <c r="D77" s="11" t="n"/>
      <c r="E77" s="11" t="n"/>
      <c r="F77" s="11" t="n"/>
      <c r="G77" s="17" t="n"/>
      <c r="H77" s="17" t="n"/>
      <c r="I77" s="29" t="n"/>
      <c r="J77" s="27" t="n"/>
      <c r="K77" s="11" t="n"/>
    </row>
    <row r="78" ht="22" customHeight="1">
      <c r="B78" s="15">
        <f>IF(C78="","MCC-"&amp;TEXT(COUNTA($C$5:C78),"000"))</f>
        <v/>
      </c>
      <c r="C78" s="13" t="n"/>
      <c r="D78" s="13" t="n"/>
      <c r="E78" s="13" t="n"/>
      <c r="F78" s="13" t="n"/>
      <c r="G78" s="18" t="n"/>
      <c r="H78" s="18" t="n"/>
      <c r="I78" s="31" t="n"/>
      <c r="J78" s="28" t="n"/>
      <c r="K78" s="13" t="n"/>
    </row>
    <row r="79" ht="22" customHeight="1">
      <c r="B79" s="16">
        <f>IF(C79="","MCC-"&amp;TEXT(COUNTA($C$5:C79),"000"))</f>
        <v/>
      </c>
      <c r="C79" s="11" t="n"/>
      <c r="D79" s="11" t="n"/>
      <c r="E79" s="11" t="n"/>
      <c r="F79" s="11" t="n"/>
      <c r="G79" s="17" t="n"/>
      <c r="H79" s="17" t="n"/>
      <c r="I79" s="29" t="n"/>
      <c r="J79" s="27" t="n"/>
      <c r="K79" s="11" t="n"/>
    </row>
    <row r="80" ht="22" customHeight="1">
      <c r="B80" s="15">
        <f>IF(C80="","MCC-"&amp;TEXT(COUNTA($C$5:C80),"000"))</f>
        <v/>
      </c>
      <c r="C80" s="13" t="n"/>
      <c r="D80" s="13" t="n"/>
      <c r="E80" s="13" t="n"/>
      <c r="F80" s="13" t="n"/>
      <c r="G80" s="18" t="n"/>
      <c r="H80" s="18" t="n"/>
      <c r="I80" s="31" t="n"/>
      <c r="J80" s="28" t="n"/>
      <c r="K80" s="13" t="n"/>
    </row>
    <row r="81" ht="22" customHeight="1">
      <c r="B81" s="16">
        <f>IF(C81="","MCC-"&amp;TEXT(COUNTA($C$5:C81),"000"))</f>
        <v/>
      </c>
      <c r="C81" s="11" t="n"/>
      <c r="D81" s="11" t="n"/>
      <c r="E81" s="11" t="n"/>
      <c r="F81" s="11" t="n"/>
      <c r="G81" s="17" t="n"/>
      <c r="H81" s="17" t="n"/>
      <c r="I81" s="29" t="n"/>
      <c r="J81" s="27" t="n"/>
      <c r="K81" s="11" t="n"/>
    </row>
    <row r="82" ht="22" customHeight="1">
      <c r="B82" s="15">
        <f>IF(C82="","MCC-"&amp;TEXT(COUNTA($C$5:C82),"000"))</f>
        <v/>
      </c>
      <c r="C82" s="13" t="n"/>
      <c r="D82" s="13" t="n"/>
      <c r="E82" s="13" t="n"/>
      <c r="F82" s="13" t="n"/>
      <c r="G82" s="18" t="n"/>
      <c r="H82" s="18" t="n"/>
      <c r="I82" s="31" t="n"/>
      <c r="J82" s="28" t="n"/>
      <c r="K82" s="13" t="n"/>
    </row>
    <row r="83" ht="22" customHeight="1">
      <c r="B83" s="16">
        <f>IF(C83="","MCC-"&amp;TEXT(COUNTA($C$5:C83),"000"))</f>
        <v/>
      </c>
      <c r="C83" s="11" t="n"/>
      <c r="D83" s="11" t="n"/>
      <c r="E83" s="11" t="n"/>
      <c r="F83" s="11" t="n"/>
      <c r="G83" s="17" t="n"/>
      <c r="H83" s="17" t="n"/>
      <c r="I83" s="29" t="n"/>
      <c r="J83" s="27" t="n"/>
      <c r="K83" s="11" t="n"/>
    </row>
    <row r="84" ht="22" customHeight="1">
      <c r="B84" s="15">
        <f>IF(C84="","MCC-"&amp;TEXT(COUNTA($C$5:C84),"000"))</f>
        <v/>
      </c>
      <c r="C84" s="13" t="n"/>
      <c r="D84" s="13" t="n"/>
      <c r="E84" s="13" t="n"/>
      <c r="F84" s="13" t="n"/>
      <c r="G84" s="18" t="n"/>
      <c r="H84" s="18" t="n"/>
      <c r="I84" s="31" t="n"/>
      <c r="J84" s="28" t="n"/>
      <c r="K84" s="13" t="n"/>
    </row>
    <row r="85" ht="22" customHeight="1">
      <c r="B85" s="16">
        <f>IF(C85="","MCC-"&amp;TEXT(COUNTA($C$5:C85),"000"))</f>
        <v/>
      </c>
      <c r="C85" s="11" t="n"/>
      <c r="D85" s="11" t="n"/>
      <c r="E85" s="11" t="n"/>
      <c r="F85" s="11" t="n"/>
      <c r="G85" s="17" t="n"/>
      <c r="H85" s="17" t="n"/>
      <c r="I85" s="29" t="n"/>
      <c r="J85" s="27" t="n"/>
      <c r="K85" s="11" t="n"/>
    </row>
    <row r="86" ht="22" customHeight="1">
      <c r="B86" s="15">
        <f>IF(C86="","MCC-"&amp;TEXT(COUNTA($C$5:C86),"000"))</f>
        <v/>
      </c>
      <c r="C86" s="13" t="n"/>
      <c r="D86" s="13" t="n"/>
      <c r="E86" s="13" t="n"/>
      <c r="F86" s="13" t="n"/>
      <c r="G86" s="18" t="n"/>
      <c r="H86" s="18" t="n"/>
      <c r="I86" s="31" t="n"/>
      <c r="J86" s="28" t="n"/>
      <c r="K86" s="13" t="n"/>
    </row>
    <row r="87" ht="22" customHeight="1">
      <c r="B87" s="16">
        <f>IF(C87="","MCC-"&amp;TEXT(COUNTA($C$5:C87),"000"))</f>
        <v/>
      </c>
      <c r="C87" s="11" t="n"/>
      <c r="D87" s="11" t="n"/>
      <c r="E87" s="11" t="n"/>
      <c r="F87" s="11" t="n"/>
      <c r="G87" s="17" t="n"/>
      <c r="H87" s="17" t="n"/>
      <c r="I87" s="29" t="n"/>
      <c r="J87" s="27" t="n"/>
      <c r="K87" s="11" t="n"/>
    </row>
    <row r="88" ht="22" customHeight="1">
      <c r="B88" s="15">
        <f>IF(C88="","MCC-"&amp;TEXT(COUNTA($C$5:C88),"000"))</f>
        <v/>
      </c>
      <c r="C88" s="13" t="n"/>
      <c r="D88" s="13" t="n"/>
      <c r="E88" s="13" t="n"/>
      <c r="F88" s="13" t="n"/>
      <c r="G88" s="18" t="n"/>
      <c r="H88" s="18" t="n"/>
      <c r="I88" s="31" t="n"/>
      <c r="J88" s="28" t="n"/>
      <c r="K88" s="13" t="n"/>
    </row>
    <row r="89" ht="22" customHeight="1">
      <c r="B89" s="16">
        <f>IF(C89="","MCC-"&amp;TEXT(COUNTA($C$5:C89),"000"))</f>
        <v/>
      </c>
      <c r="C89" s="11" t="n"/>
      <c r="D89" s="11" t="n"/>
      <c r="E89" s="11" t="n"/>
      <c r="F89" s="11" t="n"/>
      <c r="G89" s="17" t="n"/>
      <c r="H89" s="17" t="n"/>
      <c r="I89" s="29" t="n"/>
      <c r="J89" s="27" t="n"/>
      <c r="K89" s="11" t="n"/>
    </row>
    <row r="90" ht="22" customHeight="1">
      <c r="B90" s="15">
        <f>IF(C90="","MCC-"&amp;TEXT(COUNTA($C$5:C90),"000"))</f>
        <v/>
      </c>
      <c r="C90" s="13" t="n"/>
      <c r="D90" s="13" t="n"/>
      <c r="E90" s="13" t="n"/>
      <c r="F90" s="13" t="n"/>
      <c r="G90" s="18" t="n"/>
      <c r="H90" s="18" t="n"/>
      <c r="I90" s="31" t="n"/>
      <c r="J90" s="28" t="n"/>
      <c r="K90" s="13" t="n"/>
    </row>
    <row r="91" ht="22" customHeight="1">
      <c r="B91" s="16">
        <f>IF(C91="","MCC-"&amp;TEXT(COUNTA($C$5:C91),"000"))</f>
        <v/>
      </c>
      <c r="C91" s="11" t="n"/>
      <c r="D91" s="11" t="n"/>
      <c r="E91" s="11" t="n"/>
      <c r="F91" s="11" t="n"/>
      <c r="G91" s="17" t="n"/>
      <c r="H91" s="17" t="n"/>
      <c r="I91" s="29" t="n"/>
      <c r="J91" s="27" t="n"/>
      <c r="K91" s="11" t="n"/>
    </row>
    <row r="92" ht="22" customHeight="1">
      <c r="B92" s="15">
        <f>IF(C92="","MCC-"&amp;TEXT(COUNTA($C$5:C92),"000"))</f>
        <v/>
      </c>
      <c r="C92" s="13" t="n"/>
      <c r="D92" s="13" t="n"/>
      <c r="E92" s="13" t="n"/>
      <c r="F92" s="13" t="n"/>
      <c r="G92" s="18" t="n"/>
      <c r="H92" s="18" t="n"/>
      <c r="I92" s="31" t="n"/>
      <c r="J92" s="28" t="n"/>
      <c r="K92" s="13" t="n"/>
    </row>
    <row r="93" ht="22" customHeight="1">
      <c r="B93" s="16">
        <f>IF(C93="","MCC-"&amp;TEXT(COUNTA($C$5:C93),"000"))</f>
        <v/>
      </c>
      <c r="C93" s="11" t="n"/>
      <c r="D93" s="11" t="n"/>
      <c r="E93" s="11" t="n"/>
      <c r="F93" s="11" t="n"/>
      <c r="G93" s="17" t="n"/>
      <c r="H93" s="17" t="n"/>
      <c r="I93" s="29" t="n"/>
      <c r="J93" s="27" t="n"/>
      <c r="K93" s="11" t="n"/>
    </row>
    <row r="94" ht="22" customHeight="1">
      <c r="B94" s="15">
        <f>IF(C94="","MCC-"&amp;TEXT(COUNTA($C$5:C94),"000"))</f>
        <v/>
      </c>
      <c r="C94" s="13" t="n"/>
      <c r="D94" s="13" t="n"/>
      <c r="E94" s="13" t="n"/>
      <c r="F94" s="13" t="n"/>
      <c r="G94" s="18" t="n"/>
      <c r="H94" s="18" t="n"/>
      <c r="I94" s="31" t="n"/>
      <c r="J94" s="28" t="n"/>
      <c r="K94" s="13" t="n"/>
    </row>
    <row r="95" ht="22" customHeight="1">
      <c r="B95" s="16">
        <f>IF(C95="","MCC-"&amp;TEXT(COUNTA($C$5:C95),"000"))</f>
        <v/>
      </c>
      <c r="C95" s="11" t="n"/>
      <c r="D95" s="11" t="n"/>
      <c r="E95" s="11" t="n"/>
      <c r="F95" s="11" t="n"/>
      <c r="G95" s="17" t="n"/>
      <c r="H95" s="17" t="n"/>
      <c r="I95" s="29" t="n"/>
      <c r="J95" s="27" t="n"/>
      <c r="K95" s="11" t="n"/>
    </row>
    <row r="96" ht="22" customHeight="1">
      <c r="B96" s="15">
        <f>IF(C96="","MCC-"&amp;TEXT(COUNTA($C$5:C96),"000"))</f>
        <v/>
      </c>
      <c r="C96" s="13" t="n"/>
      <c r="D96" s="13" t="n"/>
      <c r="E96" s="13" t="n"/>
      <c r="F96" s="13" t="n"/>
      <c r="G96" s="18" t="n"/>
      <c r="H96" s="18" t="n"/>
      <c r="I96" s="31" t="n"/>
      <c r="J96" s="28" t="n"/>
      <c r="K96" s="13" t="n"/>
    </row>
    <row r="97" ht="22" customHeight="1">
      <c r="B97" s="16">
        <f>IF(C97="","MCC-"&amp;TEXT(COUNTA($C$5:C97),"000"))</f>
        <v/>
      </c>
      <c r="C97" s="11" t="n"/>
      <c r="D97" s="11" t="n"/>
      <c r="E97" s="11" t="n"/>
      <c r="F97" s="11" t="n"/>
      <c r="G97" s="17" t="n"/>
      <c r="H97" s="17" t="n"/>
      <c r="I97" s="29" t="n"/>
      <c r="J97" s="27" t="n"/>
      <c r="K97" s="11" t="n"/>
    </row>
    <row r="98" ht="22" customHeight="1">
      <c r="B98" s="15">
        <f>IF(C98="","MCC-"&amp;TEXT(COUNTA($C$5:C98),"000"))</f>
        <v/>
      </c>
      <c r="C98" s="13" t="n"/>
      <c r="D98" s="13" t="n"/>
      <c r="E98" s="13" t="n"/>
      <c r="F98" s="13" t="n"/>
      <c r="G98" s="18" t="n"/>
      <c r="H98" s="18" t="n"/>
      <c r="I98" s="31" t="n"/>
      <c r="J98" s="28" t="n"/>
      <c r="K98" s="13" t="n"/>
    </row>
    <row r="99" ht="22" customHeight="1">
      <c r="B99" s="16">
        <f>IF(C99="","MCC-"&amp;TEXT(COUNTA($C$5:C99),"000"))</f>
        <v/>
      </c>
      <c r="C99" s="11" t="n"/>
      <c r="D99" s="11" t="n"/>
      <c r="E99" s="11" t="n"/>
      <c r="F99" s="11" t="n"/>
      <c r="G99" s="17" t="n"/>
      <c r="H99" s="17" t="n"/>
      <c r="I99" s="29" t="n"/>
      <c r="J99" s="27" t="n"/>
      <c r="K99" s="11" t="n"/>
    </row>
    <row r="100" ht="22" customHeight="1">
      <c r="B100" s="15">
        <f>IF(C100="","MCC-"&amp;TEXT(COUNTA($C$5:C100),"000"))</f>
        <v/>
      </c>
      <c r="C100" s="13" t="n"/>
      <c r="D100" s="13" t="n"/>
      <c r="E100" s="13" t="n"/>
      <c r="F100" s="13" t="n"/>
      <c r="G100" s="18" t="n"/>
      <c r="H100" s="18" t="n"/>
      <c r="I100" s="31" t="n"/>
      <c r="J100" s="28" t="n"/>
      <c r="K100" s="13" t="n"/>
    </row>
    <row r="101" ht="22" customHeight="1">
      <c r="B101" s="16">
        <f>IF(C101="","MCC-"&amp;TEXT(COUNTA($C$5:C101),"000"))</f>
        <v/>
      </c>
      <c r="C101" s="11" t="n"/>
      <c r="D101" s="11" t="n"/>
      <c r="E101" s="11" t="n"/>
      <c r="F101" s="11" t="n"/>
      <c r="G101" s="17" t="n"/>
      <c r="H101" s="17" t="n"/>
      <c r="I101" s="29" t="n"/>
      <c r="J101" s="27" t="n"/>
      <c r="K101" s="11" t="n"/>
    </row>
    <row r="102" ht="22" customHeight="1">
      <c r="B102" s="15">
        <f>IF(C102="","MCC-"&amp;TEXT(COUNTA($C$5:C102),"000"))</f>
        <v/>
      </c>
      <c r="C102" s="13" t="n"/>
      <c r="D102" s="13" t="n"/>
      <c r="E102" s="13" t="n"/>
      <c r="F102" s="13" t="n"/>
      <c r="G102" s="18" t="n"/>
      <c r="H102" s="18" t="n"/>
      <c r="I102" s="31" t="n"/>
      <c r="J102" s="28" t="n"/>
      <c r="K102" s="13" t="n"/>
    </row>
    <row r="103" ht="22" customHeight="1">
      <c r="B103" s="16">
        <f>IF(C103="","MCC-"&amp;TEXT(COUNTA($C$5:C103),"000"))</f>
        <v/>
      </c>
      <c r="C103" s="11" t="n"/>
      <c r="D103" s="11" t="n"/>
      <c r="E103" s="11" t="n"/>
      <c r="F103" s="11" t="n"/>
      <c r="G103" s="17" t="n"/>
      <c r="H103" s="17" t="n"/>
      <c r="I103" s="29" t="n"/>
      <c r="J103" s="27" t="n"/>
      <c r="K103" s="11" t="n"/>
    </row>
    <row r="104" ht="22" customHeight="1">
      <c r="B104" s="15">
        <f>IF(C104="","MCC-"&amp;TEXT(COUNTA($C$5:C104),"000"))</f>
        <v/>
      </c>
      <c r="C104" s="13" t="n"/>
      <c r="D104" s="13" t="n"/>
      <c r="E104" s="13" t="n"/>
      <c r="F104" s="13" t="n"/>
      <c r="G104" s="18" t="n"/>
      <c r="H104" s="18" t="n"/>
      <c r="I104" s="31" t="n"/>
      <c r="J104" s="28" t="n"/>
      <c r="K104" s="13" t="n"/>
    </row>
    <row r="105" ht="22" customHeight="1">
      <c r="B105" s="16">
        <f>IF(C105="","MCC-"&amp;TEXT(COUNTA($C$5:C105),"000"))</f>
        <v/>
      </c>
      <c r="C105" s="11" t="n"/>
      <c r="D105" s="11" t="n"/>
      <c r="E105" s="11" t="n"/>
      <c r="F105" s="11" t="n"/>
      <c r="G105" s="17" t="n"/>
      <c r="H105" s="17" t="n"/>
      <c r="I105" s="29" t="n"/>
      <c r="J105" s="27" t="n"/>
      <c r="K105" s="11" t="n"/>
    </row>
    <row r="106" ht="22" customHeight="1">
      <c r="B106" s="15">
        <f>IF(C106="","MCC-"&amp;TEXT(COUNTA($C$5:C106),"000"))</f>
        <v/>
      </c>
      <c r="C106" s="13" t="n"/>
      <c r="D106" s="13" t="n"/>
      <c r="E106" s="13" t="n"/>
      <c r="F106" s="13" t="n"/>
      <c r="G106" s="18" t="n"/>
      <c r="H106" s="18" t="n"/>
      <c r="I106" s="31" t="n"/>
      <c r="J106" s="28" t="n"/>
      <c r="K106" s="13" t="n"/>
    </row>
    <row r="107" ht="22" customHeight="1">
      <c r="B107" s="16">
        <f>IF(C107="","MCC-"&amp;TEXT(COUNTA($C$5:C107),"000"))</f>
        <v/>
      </c>
      <c r="C107" s="11" t="n"/>
      <c r="D107" s="11" t="n"/>
      <c r="E107" s="11" t="n"/>
      <c r="F107" s="11" t="n"/>
      <c r="G107" s="17" t="n"/>
      <c r="H107" s="17" t="n"/>
      <c r="I107" s="29" t="n"/>
      <c r="J107" s="27" t="n"/>
      <c r="K107" s="11" t="n"/>
    </row>
    <row r="108" ht="22" customHeight="1">
      <c r="B108" s="15">
        <f>IF(C108="","MCC-"&amp;TEXT(COUNTA($C$5:C108),"000"))</f>
        <v/>
      </c>
      <c r="C108" s="13" t="n"/>
      <c r="D108" s="13" t="n"/>
      <c r="E108" s="13" t="n"/>
      <c r="F108" s="13" t="n"/>
      <c r="G108" s="18" t="n"/>
      <c r="H108" s="18" t="n"/>
      <c r="I108" s="31" t="n"/>
      <c r="J108" s="28" t="n"/>
      <c r="K108" s="13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Canaux actifs</t>
        </is>
      </c>
      <c r="D111" s="3" t="inlineStr">
        <is>
          <t>Portee cumulee</t>
        </is>
      </c>
      <c r="F111" s="3" t="inlineStr">
        <is>
          <t>Efficacite moyenne</t>
        </is>
      </c>
    </row>
    <row r="112">
      <c r="B112" s="4">
        <f>COUNTIF(B5:B104,"&lt;&gt;")</f>
        <v/>
      </c>
      <c r="D112" s="4">
        <f>SUM(G5:G104)</f>
        <v/>
      </c>
      <c r="F112" s="4">
        <f>IFERROR(AVERAGE(I5:I104),0)</f>
        <v/>
      </c>
    </row>
  </sheetData>
  <mergeCells count="3">
    <mergeCell ref="B110:K110"/>
    <mergeCell ref="B3:K3"/>
    <mergeCell ref="B2:K2"/>
  </mergeCells>
  <conditionalFormatting sqref="B9:B108">
    <cfRule type="expression" priority="1" dxfId="3">
      <formula>AND($C9="",$C8&lt;&gt;"")</formula>
    </cfRule>
  </conditionalFormatting>
  <conditionalFormatting sqref="C9:C108">
    <cfRule type="expression" priority="2" dxfId="3">
      <formula>AND($C9="",$C8&lt;&gt;"")</formula>
    </cfRule>
  </conditionalFormatting>
  <conditionalFormatting sqref="D9:D108">
    <cfRule type="expression" priority="3" dxfId="3">
      <formula>AND($C9="",$C8&lt;&gt;"")</formula>
    </cfRule>
  </conditionalFormatting>
  <conditionalFormatting sqref="E9:E108">
    <cfRule type="expression" priority="4" dxfId="3">
      <formula>AND($C9="",$C8&lt;&gt;"")</formula>
    </cfRule>
  </conditionalFormatting>
  <conditionalFormatting sqref="F9:F108">
    <cfRule type="expression" priority="5" dxfId="3">
      <formula>AND($C9="",$C8&lt;&gt;"")</formula>
    </cfRule>
  </conditionalFormatting>
  <conditionalFormatting sqref="G9:G108">
    <cfRule type="expression" priority="6" dxfId="3">
      <formula>AND($C9="",$C8&lt;&gt;"")</formula>
    </cfRule>
  </conditionalFormatting>
  <conditionalFormatting sqref="H9:H108">
    <cfRule type="expression" priority="7" dxfId="3">
      <formula>AND($C9="",$C8&lt;&gt;"")</formula>
    </cfRule>
  </conditionalFormatting>
  <conditionalFormatting sqref="I9:I108">
    <cfRule type="expression" priority="8" dxfId="3">
      <formula>AND($C9="",$C8&lt;&gt;"")</formula>
    </cfRule>
  </conditionalFormatting>
  <conditionalFormatting sqref="J9:J108">
    <cfRule type="expression" priority="9" dxfId="3">
      <formula>AND($C9="",$C8&lt;&gt;"")</formula>
    </cfRule>
  </conditionalFormatting>
  <conditionalFormatting sqref="K9:K108">
    <cfRule type="expression" priority="10" dxfId="3">
      <formula>AND($C9="",$C8&lt;&gt;"")</formula>
    </cfRule>
  </conditionalFormatting>
  <dataValidations count="1">
    <dataValidation sqref="C5:C108" showDropDown="0" showInputMessage="0" showErrorMessage="0" allowBlank="1" errorTitle="Erreur" error="Valeur invalide" promptTitle="Liste" prompt="Choisir dans la liste" type="list">
      <formula1>'_Lists'!$E$2:$E$11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6" customWidth="1" min="4" max="4"/>
    <col width="14" customWidth="1" min="5" max="5"/>
    <col width="16" customWidth="1" min="6" max="6"/>
    <col width="18" customWidth="1" min="7" max="7"/>
    <col width="16" customWidth="1" min="8" max="8"/>
    <col width="22" customWidth="1" min="9" max="9"/>
    <col width="20" customWidth="1" min="10" max="10"/>
    <col width="18" customWidth="1" min="11" max="11"/>
    <col width="16" customWidth="1" min="12" max="12"/>
  </cols>
  <sheetData>
    <row r="1" ht="15" customHeight="1"/>
    <row r="2" ht="32" customHeight="1">
      <c r="B2" s="1" t="inlineStr">
        <is>
          <t>SUIVI AMBASSADEURS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Ambassadeur</t>
        </is>
      </c>
      <c r="D4" s="10" t="inlineStr">
        <is>
          <t>Departement</t>
        </is>
      </c>
      <c r="E4" s="10" t="inlineStr">
        <is>
          <t>Niveau</t>
        </is>
      </c>
      <c r="F4" s="10" t="inlineStr">
        <is>
          <t>Posts Ce Mois</t>
        </is>
      </c>
      <c r="G4" s="10" t="inlineStr">
        <is>
          <t>Partages Ce Mois</t>
        </is>
      </c>
      <c r="H4" s="10" t="inlineStr">
        <is>
          <t>Reach Ce Mois</t>
        </is>
      </c>
      <c r="I4" s="10" t="inlineStr">
        <is>
          <t>Score Impact Mensuel</t>
        </is>
      </c>
      <c r="J4" s="10" t="inlineStr">
        <is>
          <t>Score Impact Cumul</t>
        </is>
      </c>
      <c r="K4" s="10" t="inlineStr">
        <is>
          <t>Evolution Niveau</t>
        </is>
      </c>
      <c r="L4" s="10" t="inlineStr">
        <is>
          <t>Date Evaluation</t>
        </is>
      </c>
    </row>
    <row r="5" ht="22" customHeight="1">
      <c r="B5" s="11" t="inlineStr">
        <is>
          <t>SUA-001</t>
        </is>
      </c>
      <c r="C5" s="11" t="inlineStr">
        <is>
          <t>Tchinda</t>
        </is>
      </c>
      <c r="D5" s="11" t="inlineStr">
        <is>
          <t>Cuisine &amp; Restauration</t>
        </is>
      </c>
      <c r="E5" s="11" t="inlineStr">
        <is>
          <t>Platine</t>
        </is>
      </c>
      <c r="F5" s="17" t="n">
        <v>4</v>
      </c>
      <c r="G5" s="17" t="n">
        <v>3</v>
      </c>
      <c r="H5" s="17" t="n">
        <v>2500</v>
      </c>
      <c r="I5" s="17" t="n"/>
      <c r="J5" s="17" t="n"/>
      <c r="K5" s="11" t="inlineStr">
        <is>
          <t>Maintien</t>
        </is>
      </c>
      <c r="L5" s="27" t="n">
        <v>45716</v>
      </c>
    </row>
    <row r="6" ht="22" customHeight="1">
      <c r="B6" s="13" t="inlineStr">
        <is>
          <t>SUA-002</t>
        </is>
      </c>
      <c r="C6" s="13" t="inlineStr">
        <is>
          <t>Fotsing</t>
        </is>
      </c>
      <c r="D6" s="13" t="inlineStr">
        <is>
          <t>Réception &amp; Front Office</t>
        </is>
      </c>
      <c r="E6" s="13" t="inlineStr">
        <is>
          <t>Or</t>
        </is>
      </c>
      <c r="F6" s="18" t="n">
        <v>3</v>
      </c>
      <c r="G6" s="18" t="n">
        <v>2</v>
      </c>
      <c r="H6" s="18" t="n">
        <v>1800</v>
      </c>
      <c r="I6" s="18" t="n"/>
      <c r="J6" s="18" t="n"/>
      <c r="K6" s="13" t="inlineStr">
        <is>
          <t>En hausse</t>
        </is>
      </c>
      <c r="L6" s="28" t="n">
        <v>45716</v>
      </c>
    </row>
    <row r="7" ht="22" customHeight="1">
      <c r="B7" s="11" t="inlineStr">
        <is>
          <t>SUA-003</t>
        </is>
      </c>
      <c r="C7" s="11" t="inlineStr">
        <is>
          <t>Kamga</t>
        </is>
      </c>
      <c r="D7" s="11" t="inlineStr">
        <is>
          <t>Service Client</t>
        </is>
      </c>
      <c r="E7" s="11" t="inlineStr">
        <is>
          <t>Argent</t>
        </is>
      </c>
      <c r="F7" s="17" t="n">
        <v>2</v>
      </c>
      <c r="G7" s="17" t="n">
        <v>1</v>
      </c>
      <c r="H7" s="17" t="n">
        <v>800</v>
      </c>
      <c r="I7" s="17" t="n"/>
      <c r="J7" s="17" t="n"/>
      <c r="K7" s="11" t="inlineStr">
        <is>
          <t>En hausse</t>
        </is>
      </c>
      <c r="L7" s="27" t="n">
        <v>45716</v>
      </c>
    </row>
    <row r="8" ht="22" customHeight="1">
      <c r="B8" s="15">
        <f>IF(C8="","SUA-"&amp;TEXT(COUNTA($C$5:C8),"000"))</f>
        <v/>
      </c>
      <c r="C8" s="13" t="n"/>
      <c r="D8" s="13" t="n"/>
      <c r="E8" s="13" t="n"/>
      <c r="F8" s="18" t="n"/>
      <c r="G8" s="18" t="n"/>
      <c r="H8" s="18" t="n"/>
      <c r="I8" s="18">
        <f>IF(F8="","",F8*3+G8*5)</f>
        <v/>
      </c>
      <c r="J8" s="18">
        <f>IF(I8="","",I8)</f>
        <v/>
      </c>
      <c r="K8" s="13" t="n"/>
      <c r="L8" s="28" t="n"/>
    </row>
    <row r="9" ht="22" customHeight="1">
      <c r="B9" s="16">
        <f>IF(C9="","SUA-"&amp;TEXT(COUNTA($C$5:C9),"000"))</f>
        <v/>
      </c>
      <c r="C9" s="11" t="n"/>
      <c r="D9" s="11" t="n"/>
      <c r="E9" s="11" t="n"/>
      <c r="F9" s="17" t="n"/>
      <c r="G9" s="17" t="n"/>
      <c r="H9" s="17" t="n"/>
      <c r="I9" s="17">
        <f>IF(F9="","",F9*3+G9*5)</f>
        <v/>
      </c>
      <c r="J9" s="17">
        <f>IF(I9="","",I9)</f>
        <v/>
      </c>
      <c r="K9" s="11" t="n"/>
      <c r="L9" s="27" t="n"/>
    </row>
    <row r="10" ht="22" customHeight="1">
      <c r="B10" s="15">
        <f>IF(C10="","SUA-"&amp;TEXT(COUNTA($C$5:C10),"000"))</f>
        <v/>
      </c>
      <c r="C10" s="13" t="n"/>
      <c r="D10" s="13" t="n"/>
      <c r="E10" s="13" t="n"/>
      <c r="F10" s="18" t="n"/>
      <c r="G10" s="18" t="n"/>
      <c r="H10" s="18" t="n"/>
      <c r="I10" s="18">
        <f>IF(F10="","",F10*3+G10*5)</f>
        <v/>
      </c>
      <c r="J10" s="18">
        <f>IF(I10="","",I10)</f>
        <v/>
      </c>
      <c r="K10" s="13" t="n"/>
      <c r="L10" s="28" t="n"/>
    </row>
    <row r="11" ht="22" customHeight="1">
      <c r="B11" s="16">
        <f>IF(C11="","SUA-"&amp;TEXT(COUNTA($C$5:C11),"000"))</f>
        <v/>
      </c>
      <c r="C11" s="11" t="n"/>
      <c r="D11" s="11" t="n"/>
      <c r="E11" s="11" t="n"/>
      <c r="F11" s="17" t="n"/>
      <c r="G11" s="17" t="n"/>
      <c r="H11" s="17" t="n"/>
      <c r="I11" s="17">
        <f>IF(F11="","",F11*3+G11*5)</f>
        <v/>
      </c>
      <c r="J11" s="17">
        <f>IF(I11="","",I11)</f>
        <v/>
      </c>
      <c r="K11" s="11" t="n"/>
      <c r="L11" s="27" t="n"/>
    </row>
    <row r="12" ht="22" customHeight="1">
      <c r="B12" s="15">
        <f>IF(C12="","SUA-"&amp;TEXT(COUNTA($C$5:C12),"000"))</f>
        <v/>
      </c>
      <c r="C12" s="13" t="n"/>
      <c r="D12" s="13" t="n"/>
      <c r="E12" s="13" t="n"/>
      <c r="F12" s="18" t="n"/>
      <c r="G12" s="18" t="n"/>
      <c r="H12" s="18" t="n"/>
      <c r="I12" s="18">
        <f>IF(F12="","",F12*3+G12*5)</f>
        <v/>
      </c>
      <c r="J12" s="18">
        <f>IF(I12="","",I12)</f>
        <v/>
      </c>
      <c r="K12" s="13" t="n"/>
      <c r="L12" s="28" t="n"/>
    </row>
    <row r="13" ht="22" customHeight="1">
      <c r="B13" s="16">
        <f>IF(C13="","SUA-"&amp;TEXT(COUNTA($C$5:C13),"000"))</f>
        <v/>
      </c>
      <c r="C13" s="11" t="n"/>
      <c r="D13" s="11" t="n"/>
      <c r="E13" s="11" t="n"/>
      <c r="F13" s="17" t="n"/>
      <c r="G13" s="17" t="n"/>
      <c r="H13" s="17" t="n"/>
      <c r="I13" s="17">
        <f>IF(F13="","",F13*3+G13*5)</f>
        <v/>
      </c>
      <c r="J13" s="17">
        <f>IF(I13="","",I13)</f>
        <v/>
      </c>
      <c r="K13" s="11" t="n"/>
      <c r="L13" s="27" t="n"/>
    </row>
    <row r="14" ht="22" customHeight="1">
      <c r="B14" s="15">
        <f>IF(C14="","SUA-"&amp;TEXT(COUNTA($C$5:C14),"000"))</f>
        <v/>
      </c>
      <c r="C14" s="13" t="n"/>
      <c r="D14" s="13" t="n"/>
      <c r="E14" s="13" t="n"/>
      <c r="F14" s="18" t="n"/>
      <c r="G14" s="18" t="n"/>
      <c r="H14" s="18" t="n"/>
      <c r="I14" s="18">
        <f>IF(F14="","",F14*3+G14*5)</f>
        <v/>
      </c>
      <c r="J14" s="18">
        <f>IF(I14="","",I14)</f>
        <v/>
      </c>
      <c r="K14" s="13" t="n"/>
      <c r="L14" s="28" t="n"/>
    </row>
    <row r="15" ht="22" customHeight="1">
      <c r="B15" s="16">
        <f>IF(C15="","SUA-"&amp;TEXT(COUNTA($C$5:C15),"000"))</f>
        <v/>
      </c>
      <c r="C15" s="11" t="n"/>
      <c r="D15" s="11" t="n"/>
      <c r="E15" s="11" t="n"/>
      <c r="F15" s="17" t="n"/>
      <c r="G15" s="17" t="n"/>
      <c r="H15" s="17" t="n"/>
      <c r="I15" s="17">
        <f>IF(F15="","",F15*3+G15*5)</f>
        <v/>
      </c>
      <c r="J15" s="17">
        <f>IF(I15="","",I15)</f>
        <v/>
      </c>
      <c r="K15" s="11" t="n"/>
      <c r="L15" s="27" t="n"/>
    </row>
    <row r="16" ht="22" customHeight="1">
      <c r="B16" s="15">
        <f>IF(C16="","SUA-"&amp;TEXT(COUNTA($C$5:C16),"000"))</f>
        <v/>
      </c>
      <c r="C16" s="13" t="n"/>
      <c r="D16" s="13" t="n"/>
      <c r="E16" s="13" t="n"/>
      <c r="F16" s="18" t="n"/>
      <c r="G16" s="18" t="n"/>
      <c r="H16" s="18" t="n"/>
      <c r="I16" s="18">
        <f>IF(F16="","",F16*3+G16*5)</f>
        <v/>
      </c>
      <c r="J16" s="18">
        <f>IF(I16="","",I16)</f>
        <v/>
      </c>
      <c r="K16" s="13" t="n"/>
      <c r="L16" s="28" t="n"/>
    </row>
    <row r="17" ht="22" customHeight="1">
      <c r="B17" s="16">
        <f>IF(C17="","SUA-"&amp;TEXT(COUNTA($C$5:C17),"000"))</f>
        <v/>
      </c>
      <c r="C17" s="11" t="n"/>
      <c r="D17" s="11" t="n"/>
      <c r="E17" s="11" t="n"/>
      <c r="F17" s="17" t="n"/>
      <c r="G17" s="17" t="n"/>
      <c r="H17" s="17" t="n"/>
      <c r="I17" s="17">
        <f>IF(F17="","",F17*3+G17*5)</f>
        <v/>
      </c>
      <c r="J17" s="17">
        <f>IF(I17="","",I17)</f>
        <v/>
      </c>
      <c r="K17" s="11" t="n"/>
      <c r="L17" s="27" t="n"/>
    </row>
    <row r="18" ht="22" customHeight="1">
      <c r="B18" s="15">
        <f>IF(C18="","SUA-"&amp;TEXT(COUNTA($C$5:C18),"000"))</f>
        <v/>
      </c>
      <c r="C18" s="13" t="n"/>
      <c r="D18" s="13" t="n"/>
      <c r="E18" s="13" t="n"/>
      <c r="F18" s="18" t="n"/>
      <c r="G18" s="18" t="n"/>
      <c r="H18" s="18" t="n"/>
      <c r="I18" s="18">
        <f>IF(F18="","",F18*3+G18*5)</f>
        <v/>
      </c>
      <c r="J18" s="18">
        <f>IF(I18="","",I18)</f>
        <v/>
      </c>
      <c r="K18" s="13" t="n"/>
      <c r="L18" s="28" t="n"/>
    </row>
    <row r="19" ht="22" customHeight="1">
      <c r="B19" s="16">
        <f>IF(C19="","SUA-"&amp;TEXT(COUNTA($C$5:C19),"000"))</f>
        <v/>
      </c>
      <c r="C19" s="11" t="n"/>
      <c r="D19" s="11" t="n"/>
      <c r="E19" s="11" t="n"/>
      <c r="F19" s="17" t="n"/>
      <c r="G19" s="17" t="n"/>
      <c r="H19" s="17" t="n"/>
      <c r="I19" s="17">
        <f>IF(F19="","",F19*3+G19*5)</f>
        <v/>
      </c>
      <c r="J19" s="17">
        <f>IF(I19="","",I19)</f>
        <v/>
      </c>
      <c r="K19" s="11" t="n"/>
      <c r="L19" s="27" t="n"/>
    </row>
    <row r="20" ht="22" customHeight="1">
      <c r="B20" s="15">
        <f>IF(C20="","SUA-"&amp;TEXT(COUNTA($C$5:C20),"000"))</f>
        <v/>
      </c>
      <c r="C20" s="13" t="n"/>
      <c r="D20" s="13" t="n"/>
      <c r="E20" s="13" t="n"/>
      <c r="F20" s="18" t="n"/>
      <c r="G20" s="18" t="n"/>
      <c r="H20" s="18" t="n"/>
      <c r="I20" s="18">
        <f>IF(F20="","",F20*3+G20*5)</f>
        <v/>
      </c>
      <c r="J20" s="18">
        <f>IF(I20="","",I20)</f>
        <v/>
      </c>
      <c r="K20" s="13" t="n"/>
      <c r="L20" s="28" t="n"/>
    </row>
    <row r="21" ht="22" customHeight="1">
      <c r="B21" s="16">
        <f>IF(C21="","SUA-"&amp;TEXT(COUNTA($C$5:C21),"000"))</f>
        <v/>
      </c>
      <c r="C21" s="11" t="n"/>
      <c r="D21" s="11" t="n"/>
      <c r="E21" s="11" t="n"/>
      <c r="F21" s="17" t="n"/>
      <c r="G21" s="17" t="n"/>
      <c r="H21" s="17" t="n"/>
      <c r="I21" s="17">
        <f>IF(F21="","",F21*3+G21*5)</f>
        <v/>
      </c>
      <c r="J21" s="17">
        <f>IF(I21="","",I21)</f>
        <v/>
      </c>
      <c r="K21" s="11" t="n"/>
      <c r="L21" s="27" t="n"/>
    </row>
    <row r="22" ht="22" customHeight="1">
      <c r="B22" s="15">
        <f>IF(C22="","SUA-"&amp;TEXT(COUNTA($C$5:C22),"000"))</f>
        <v/>
      </c>
      <c r="C22" s="13" t="n"/>
      <c r="D22" s="13" t="n"/>
      <c r="E22" s="13" t="n"/>
      <c r="F22" s="18" t="n"/>
      <c r="G22" s="18" t="n"/>
      <c r="H22" s="18" t="n"/>
      <c r="I22" s="18">
        <f>IF(F22="","",F22*3+G22*5)</f>
        <v/>
      </c>
      <c r="J22" s="18">
        <f>IF(I22="","",I22)</f>
        <v/>
      </c>
      <c r="K22" s="13" t="n"/>
      <c r="L22" s="28" t="n"/>
    </row>
    <row r="23" ht="22" customHeight="1">
      <c r="B23" s="16">
        <f>IF(C23="","SUA-"&amp;TEXT(COUNTA($C$5:C23),"000"))</f>
        <v/>
      </c>
      <c r="C23" s="11" t="n"/>
      <c r="D23" s="11" t="n"/>
      <c r="E23" s="11" t="n"/>
      <c r="F23" s="17" t="n"/>
      <c r="G23" s="17" t="n"/>
      <c r="H23" s="17" t="n"/>
      <c r="I23" s="17">
        <f>IF(F23="","",F23*3+G23*5)</f>
        <v/>
      </c>
      <c r="J23" s="17">
        <f>IF(I23="","",I23)</f>
        <v/>
      </c>
      <c r="K23" s="11" t="n"/>
      <c r="L23" s="27" t="n"/>
    </row>
    <row r="24" ht="22" customHeight="1">
      <c r="B24" s="15">
        <f>IF(C24="","SUA-"&amp;TEXT(COUNTA($C$5:C24),"000"))</f>
        <v/>
      </c>
      <c r="C24" s="13" t="n"/>
      <c r="D24" s="13" t="n"/>
      <c r="E24" s="13" t="n"/>
      <c r="F24" s="18" t="n"/>
      <c r="G24" s="18" t="n"/>
      <c r="H24" s="18" t="n"/>
      <c r="I24" s="18">
        <f>IF(F24="","",F24*3+G24*5)</f>
        <v/>
      </c>
      <c r="J24" s="18">
        <f>IF(I24="","",I24)</f>
        <v/>
      </c>
      <c r="K24" s="13" t="n"/>
      <c r="L24" s="28" t="n"/>
    </row>
    <row r="25" ht="22" customHeight="1">
      <c r="B25" s="16">
        <f>IF(C25="","SUA-"&amp;TEXT(COUNTA($C$5:C25),"000"))</f>
        <v/>
      </c>
      <c r="C25" s="11" t="n"/>
      <c r="D25" s="11" t="n"/>
      <c r="E25" s="11" t="n"/>
      <c r="F25" s="17" t="n"/>
      <c r="G25" s="17" t="n"/>
      <c r="H25" s="17" t="n"/>
      <c r="I25" s="17">
        <f>IF(F25="","",F25*3+G25*5)</f>
        <v/>
      </c>
      <c r="J25" s="17">
        <f>IF(I25="","",I25)</f>
        <v/>
      </c>
      <c r="K25" s="11" t="n"/>
      <c r="L25" s="27" t="n"/>
    </row>
    <row r="26" ht="22" customHeight="1">
      <c r="B26" s="15">
        <f>IF(C26="","SUA-"&amp;TEXT(COUNTA($C$5:C26),"000"))</f>
        <v/>
      </c>
      <c r="C26" s="13" t="n"/>
      <c r="D26" s="13" t="n"/>
      <c r="E26" s="13" t="n"/>
      <c r="F26" s="18" t="n"/>
      <c r="G26" s="18" t="n"/>
      <c r="H26" s="18" t="n"/>
      <c r="I26" s="18">
        <f>IF(F26="","",F26*3+G26*5)</f>
        <v/>
      </c>
      <c r="J26" s="18">
        <f>IF(I26="","",I26)</f>
        <v/>
      </c>
      <c r="K26" s="13" t="n"/>
      <c r="L26" s="28" t="n"/>
    </row>
    <row r="27" ht="22" customHeight="1">
      <c r="B27" s="16">
        <f>IF(C27="","SUA-"&amp;TEXT(COUNTA($C$5:C27),"000"))</f>
        <v/>
      </c>
      <c r="C27" s="11" t="n"/>
      <c r="D27" s="11" t="n"/>
      <c r="E27" s="11" t="n"/>
      <c r="F27" s="17" t="n"/>
      <c r="G27" s="17" t="n"/>
      <c r="H27" s="17" t="n"/>
      <c r="I27" s="17">
        <f>IF(F27="","",F27*3+G27*5)</f>
        <v/>
      </c>
      <c r="J27" s="17">
        <f>IF(I27="","",I27)</f>
        <v/>
      </c>
      <c r="K27" s="11" t="n"/>
      <c r="L27" s="27" t="n"/>
    </row>
    <row r="28" ht="22" customHeight="1">
      <c r="B28" s="15">
        <f>IF(C28="","SUA-"&amp;TEXT(COUNTA($C$5:C28),"000"))</f>
        <v/>
      </c>
      <c r="C28" s="13" t="n"/>
      <c r="D28" s="13" t="n"/>
      <c r="E28" s="13" t="n"/>
      <c r="F28" s="18" t="n"/>
      <c r="G28" s="18" t="n"/>
      <c r="H28" s="18" t="n"/>
      <c r="I28" s="18">
        <f>IF(F28="","",F28*3+G28*5)</f>
        <v/>
      </c>
      <c r="J28" s="18">
        <f>IF(I28="","",I28)</f>
        <v/>
      </c>
      <c r="K28" s="13" t="n"/>
      <c r="L28" s="28" t="n"/>
    </row>
    <row r="29" ht="22" customHeight="1">
      <c r="B29" s="16">
        <f>IF(C29="","SUA-"&amp;TEXT(COUNTA($C$5:C29),"000"))</f>
        <v/>
      </c>
      <c r="C29" s="11" t="n"/>
      <c r="D29" s="11" t="n"/>
      <c r="E29" s="11" t="n"/>
      <c r="F29" s="17" t="n"/>
      <c r="G29" s="17" t="n"/>
      <c r="H29" s="17" t="n"/>
      <c r="I29" s="17">
        <f>IF(F29="","",F29*3+G29*5)</f>
        <v/>
      </c>
      <c r="J29" s="17">
        <f>IF(I29="","",I29)</f>
        <v/>
      </c>
      <c r="K29" s="11" t="n"/>
      <c r="L29" s="27" t="n"/>
    </row>
    <row r="30" ht="22" customHeight="1">
      <c r="B30" s="15">
        <f>IF(C30="","SUA-"&amp;TEXT(COUNTA($C$5:C30),"000"))</f>
        <v/>
      </c>
      <c r="C30" s="13" t="n"/>
      <c r="D30" s="13" t="n"/>
      <c r="E30" s="13" t="n"/>
      <c r="F30" s="18" t="n"/>
      <c r="G30" s="18" t="n"/>
      <c r="H30" s="18" t="n"/>
      <c r="I30" s="18">
        <f>IF(F30="","",F30*3+G30*5)</f>
        <v/>
      </c>
      <c r="J30" s="18">
        <f>IF(I30="","",I30)</f>
        <v/>
      </c>
      <c r="K30" s="13" t="n"/>
      <c r="L30" s="28" t="n"/>
    </row>
    <row r="31" ht="22" customHeight="1">
      <c r="B31" s="16">
        <f>IF(C31="","SUA-"&amp;TEXT(COUNTA($C$5:C31),"000"))</f>
        <v/>
      </c>
      <c r="C31" s="11" t="n"/>
      <c r="D31" s="11" t="n"/>
      <c r="E31" s="11" t="n"/>
      <c r="F31" s="17" t="n"/>
      <c r="G31" s="17" t="n"/>
      <c r="H31" s="17" t="n"/>
      <c r="I31" s="17">
        <f>IF(F31="","",F31*3+G31*5)</f>
        <v/>
      </c>
      <c r="J31" s="17">
        <f>IF(I31="","",I31)</f>
        <v/>
      </c>
      <c r="K31" s="11" t="n"/>
      <c r="L31" s="27" t="n"/>
    </row>
    <row r="32" ht="22" customHeight="1">
      <c r="B32" s="15">
        <f>IF(C32="","SUA-"&amp;TEXT(COUNTA($C$5:C32),"000"))</f>
        <v/>
      </c>
      <c r="C32" s="13" t="n"/>
      <c r="D32" s="13" t="n"/>
      <c r="E32" s="13" t="n"/>
      <c r="F32" s="18" t="n"/>
      <c r="G32" s="18" t="n"/>
      <c r="H32" s="18" t="n"/>
      <c r="I32" s="18">
        <f>IF(F32="","",F32*3+G32*5)</f>
        <v/>
      </c>
      <c r="J32" s="18">
        <f>IF(I32="","",I32)</f>
        <v/>
      </c>
      <c r="K32" s="13" t="n"/>
      <c r="L32" s="28" t="n"/>
    </row>
    <row r="33" ht="22" customHeight="1">
      <c r="B33" s="16">
        <f>IF(C33="","SUA-"&amp;TEXT(COUNTA($C$5:C33),"000"))</f>
        <v/>
      </c>
      <c r="C33" s="11" t="n"/>
      <c r="D33" s="11" t="n"/>
      <c r="E33" s="11" t="n"/>
      <c r="F33" s="17" t="n"/>
      <c r="G33" s="17" t="n"/>
      <c r="H33" s="17" t="n"/>
      <c r="I33" s="17">
        <f>IF(F33="","",F33*3+G33*5)</f>
        <v/>
      </c>
      <c r="J33" s="17">
        <f>IF(I33="","",I33)</f>
        <v/>
      </c>
      <c r="K33" s="11" t="n"/>
      <c r="L33" s="27" t="n"/>
    </row>
    <row r="34" ht="22" customHeight="1">
      <c r="B34" s="15">
        <f>IF(C34="","SUA-"&amp;TEXT(COUNTA($C$5:C34),"000"))</f>
        <v/>
      </c>
      <c r="C34" s="13" t="n"/>
      <c r="D34" s="13" t="n"/>
      <c r="E34" s="13" t="n"/>
      <c r="F34" s="18" t="n"/>
      <c r="G34" s="18" t="n"/>
      <c r="H34" s="18" t="n"/>
      <c r="I34" s="18">
        <f>IF(F34="","",F34*3+G34*5)</f>
        <v/>
      </c>
      <c r="J34" s="18">
        <f>IF(I34="","",I34)</f>
        <v/>
      </c>
      <c r="K34" s="13" t="n"/>
      <c r="L34" s="28" t="n"/>
    </row>
    <row r="35" ht="22" customHeight="1">
      <c r="B35" s="16">
        <f>IF(C35="","SUA-"&amp;TEXT(COUNTA($C$5:C35),"000"))</f>
        <v/>
      </c>
      <c r="C35" s="11" t="n"/>
      <c r="D35" s="11" t="n"/>
      <c r="E35" s="11" t="n"/>
      <c r="F35" s="17" t="n"/>
      <c r="G35" s="17" t="n"/>
      <c r="H35" s="17" t="n"/>
      <c r="I35" s="17">
        <f>IF(F35="","",F35*3+G35*5)</f>
        <v/>
      </c>
      <c r="J35" s="17">
        <f>IF(I35="","",I35)</f>
        <v/>
      </c>
      <c r="K35" s="11" t="n"/>
      <c r="L35" s="27" t="n"/>
    </row>
    <row r="36" ht="22" customHeight="1">
      <c r="B36" s="15">
        <f>IF(C36="","SUA-"&amp;TEXT(COUNTA($C$5:C36),"000"))</f>
        <v/>
      </c>
      <c r="C36" s="13" t="n"/>
      <c r="D36" s="13" t="n"/>
      <c r="E36" s="13" t="n"/>
      <c r="F36" s="18" t="n"/>
      <c r="G36" s="18" t="n"/>
      <c r="H36" s="18" t="n"/>
      <c r="I36" s="18">
        <f>IF(F36="","",F36*3+G36*5)</f>
        <v/>
      </c>
      <c r="J36" s="18">
        <f>IF(I36="","",I36)</f>
        <v/>
      </c>
      <c r="K36" s="13" t="n"/>
      <c r="L36" s="28" t="n"/>
    </row>
    <row r="37" ht="22" customHeight="1">
      <c r="B37" s="16">
        <f>IF(C37="","SUA-"&amp;TEXT(COUNTA($C$5:C37),"000"))</f>
        <v/>
      </c>
      <c r="C37" s="11" t="n"/>
      <c r="D37" s="11" t="n"/>
      <c r="E37" s="11" t="n"/>
      <c r="F37" s="17" t="n"/>
      <c r="G37" s="17" t="n"/>
      <c r="H37" s="17" t="n"/>
      <c r="I37" s="17">
        <f>IF(F37="","",F37*3+G37*5)</f>
        <v/>
      </c>
      <c r="J37" s="17">
        <f>IF(I37="","",I37)</f>
        <v/>
      </c>
      <c r="K37" s="11" t="n"/>
      <c r="L37" s="27" t="n"/>
    </row>
    <row r="38" ht="22" customHeight="1">
      <c r="B38" s="15">
        <f>IF(C38="","SUA-"&amp;TEXT(COUNTA($C$5:C38),"000"))</f>
        <v/>
      </c>
      <c r="C38" s="13" t="n"/>
      <c r="D38" s="13" t="n"/>
      <c r="E38" s="13" t="n"/>
      <c r="F38" s="18" t="n"/>
      <c r="G38" s="18" t="n"/>
      <c r="H38" s="18" t="n"/>
      <c r="I38" s="18">
        <f>IF(F38="","",F38*3+G38*5)</f>
        <v/>
      </c>
      <c r="J38" s="18">
        <f>IF(I38="","",I38)</f>
        <v/>
      </c>
      <c r="K38" s="13" t="n"/>
      <c r="L38" s="28" t="n"/>
    </row>
    <row r="39" ht="22" customHeight="1">
      <c r="B39" s="16">
        <f>IF(C39="","SUA-"&amp;TEXT(COUNTA($C$5:C39),"000"))</f>
        <v/>
      </c>
      <c r="C39" s="11" t="n"/>
      <c r="D39" s="11" t="n"/>
      <c r="E39" s="11" t="n"/>
      <c r="F39" s="17" t="n"/>
      <c r="G39" s="17" t="n"/>
      <c r="H39" s="17" t="n"/>
      <c r="I39" s="17">
        <f>IF(F39="","",F39*3+G39*5)</f>
        <v/>
      </c>
      <c r="J39" s="17">
        <f>IF(I39="","",I39)</f>
        <v/>
      </c>
      <c r="K39" s="11" t="n"/>
      <c r="L39" s="27" t="n"/>
    </row>
    <row r="40" ht="22" customHeight="1">
      <c r="B40" s="15">
        <f>IF(C40="","SUA-"&amp;TEXT(COUNTA($C$5:C40),"000"))</f>
        <v/>
      </c>
      <c r="C40" s="13" t="n"/>
      <c r="D40" s="13" t="n"/>
      <c r="E40" s="13" t="n"/>
      <c r="F40" s="18" t="n"/>
      <c r="G40" s="18" t="n"/>
      <c r="H40" s="18" t="n"/>
      <c r="I40" s="18">
        <f>IF(F40="","",F40*3+G40*5)</f>
        <v/>
      </c>
      <c r="J40" s="18">
        <f>IF(I40="","",I40)</f>
        <v/>
      </c>
      <c r="K40" s="13" t="n"/>
      <c r="L40" s="28" t="n"/>
    </row>
    <row r="41" ht="22" customHeight="1">
      <c r="B41" s="16">
        <f>IF(C41="","SUA-"&amp;TEXT(COUNTA($C$5:C41),"000"))</f>
        <v/>
      </c>
      <c r="C41" s="11" t="n"/>
      <c r="D41" s="11" t="n"/>
      <c r="E41" s="11" t="n"/>
      <c r="F41" s="17" t="n"/>
      <c r="G41" s="17" t="n"/>
      <c r="H41" s="17" t="n"/>
      <c r="I41" s="17">
        <f>IF(F41="","",F41*3+G41*5)</f>
        <v/>
      </c>
      <c r="J41" s="17">
        <f>IF(I41="","",I41)</f>
        <v/>
      </c>
      <c r="K41" s="11" t="n"/>
      <c r="L41" s="27" t="n"/>
    </row>
    <row r="42" ht="22" customHeight="1">
      <c r="B42" s="15">
        <f>IF(C42="","SUA-"&amp;TEXT(COUNTA($C$5:C42),"000"))</f>
        <v/>
      </c>
      <c r="C42" s="13" t="n"/>
      <c r="D42" s="13" t="n"/>
      <c r="E42" s="13" t="n"/>
      <c r="F42" s="18" t="n"/>
      <c r="G42" s="18" t="n"/>
      <c r="H42" s="18" t="n"/>
      <c r="I42" s="18">
        <f>IF(F42="","",F42*3+G42*5)</f>
        <v/>
      </c>
      <c r="J42" s="18">
        <f>IF(I42="","",I42)</f>
        <v/>
      </c>
      <c r="K42" s="13" t="n"/>
      <c r="L42" s="28" t="n"/>
    </row>
    <row r="43" ht="22" customHeight="1">
      <c r="B43" s="16">
        <f>IF(C43="","SUA-"&amp;TEXT(COUNTA($C$5:C43),"000"))</f>
        <v/>
      </c>
      <c r="C43" s="11" t="n"/>
      <c r="D43" s="11" t="n"/>
      <c r="E43" s="11" t="n"/>
      <c r="F43" s="17" t="n"/>
      <c r="G43" s="17" t="n"/>
      <c r="H43" s="17" t="n"/>
      <c r="I43" s="17">
        <f>IF(F43="","",F43*3+G43*5)</f>
        <v/>
      </c>
      <c r="J43" s="17">
        <f>IF(I43="","",I43)</f>
        <v/>
      </c>
      <c r="K43" s="11" t="n"/>
      <c r="L43" s="27" t="n"/>
    </row>
    <row r="44" ht="22" customHeight="1">
      <c r="B44" s="15">
        <f>IF(C44="","SUA-"&amp;TEXT(COUNTA($C$5:C44),"000"))</f>
        <v/>
      </c>
      <c r="C44" s="13" t="n"/>
      <c r="D44" s="13" t="n"/>
      <c r="E44" s="13" t="n"/>
      <c r="F44" s="18" t="n"/>
      <c r="G44" s="18" t="n"/>
      <c r="H44" s="18" t="n"/>
      <c r="I44" s="18">
        <f>IF(F44="","",F44*3+G44*5)</f>
        <v/>
      </c>
      <c r="J44" s="18">
        <f>IF(I44="","",I44)</f>
        <v/>
      </c>
      <c r="K44" s="13" t="n"/>
      <c r="L44" s="28" t="n"/>
    </row>
    <row r="45" ht="22" customHeight="1">
      <c r="B45" s="16">
        <f>IF(C45="","SUA-"&amp;TEXT(COUNTA($C$5:C45),"000"))</f>
        <v/>
      </c>
      <c r="C45" s="11" t="n"/>
      <c r="D45" s="11" t="n"/>
      <c r="E45" s="11" t="n"/>
      <c r="F45" s="17" t="n"/>
      <c r="G45" s="17" t="n"/>
      <c r="H45" s="17" t="n"/>
      <c r="I45" s="17">
        <f>IF(F45="","",F45*3+G45*5)</f>
        <v/>
      </c>
      <c r="J45" s="17">
        <f>IF(I45="","",I45)</f>
        <v/>
      </c>
      <c r="K45" s="11" t="n"/>
      <c r="L45" s="27" t="n"/>
    </row>
    <row r="46" ht="22" customHeight="1">
      <c r="B46" s="15">
        <f>IF(C46="","SUA-"&amp;TEXT(COUNTA($C$5:C46),"000"))</f>
        <v/>
      </c>
      <c r="C46" s="13" t="n"/>
      <c r="D46" s="13" t="n"/>
      <c r="E46" s="13" t="n"/>
      <c r="F46" s="18" t="n"/>
      <c r="G46" s="18" t="n"/>
      <c r="H46" s="18" t="n"/>
      <c r="I46" s="18">
        <f>IF(F46="","",F46*3+G46*5)</f>
        <v/>
      </c>
      <c r="J46" s="18">
        <f>IF(I46="","",I46)</f>
        <v/>
      </c>
      <c r="K46" s="13" t="n"/>
      <c r="L46" s="28" t="n"/>
    </row>
    <row r="47" ht="22" customHeight="1">
      <c r="B47" s="16">
        <f>IF(C47="","SUA-"&amp;TEXT(COUNTA($C$5:C47),"000"))</f>
        <v/>
      </c>
      <c r="C47" s="11" t="n"/>
      <c r="D47" s="11" t="n"/>
      <c r="E47" s="11" t="n"/>
      <c r="F47" s="17" t="n"/>
      <c r="G47" s="17" t="n"/>
      <c r="H47" s="17" t="n"/>
      <c r="I47" s="17">
        <f>IF(F47="","",F47*3+G47*5)</f>
        <v/>
      </c>
      <c r="J47" s="17">
        <f>IF(I47="","",I47)</f>
        <v/>
      </c>
      <c r="K47" s="11" t="n"/>
      <c r="L47" s="27" t="n"/>
    </row>
    <row r="48" ht="22" customHeight="1">
      <c r="B48" s="15">
        <f>IF(C48="","SUA-"&amp;TEXT(COUNTA($C$5:C48),"000"))</f>
        <v/>
      </c>
      <c r="C48" s="13" t="n"/>
      <c r="D48" s="13" t="n"/>
      <c r="E48" s="13" t="n"/>
      <c r="F48" s="18" t="n"/>
      <c r="G48" s="18" t="n"/>
      <c r="H48" s="18" t="n"/>
      <c r="I48" s="18">
        <f>IF(F48="","",F48*3+G48*5)</f>
        <v/>
      </c>
      <c r="J48" s="18">
        <f>IF(I48="","",I48)</f>
        <v/>
      </c>
      <c r="K48" s="13" t="n"/>
      <c r="L48" s="28" t="n"/>
    </row>
    <row r="49" ht="22" customHeight="1">
      <c r="B49" s="16">
        <f>IF(C49="","SUA-"&amp;TEXT(COUNTA($C$5:C49),"000"))</f>
        <v/>
      </c>
      <c r="C49" s="11" t="n"/>
      <c r="D49" s="11" t="n"/>
      <c r="E49" s="11" t="n"/>
      <c r="F49" s="17" t="n"/>
      <c r="G49" s="17" t="n"/>
      <c r="H49" s="17" t="n"/>
      <c r="I49" s="17">
        <f>IF(F49="","",F49*3+G49*5)</f>
        <v/>
      </c>
      <c r="J49" s="17">
        <f>IF(I49="","",I49)</f>
        <v/>
      </c>
      <c r="K49" s="11" t="n"/>
      <c r="L49" s="27" t="n"/>
    </row>
    <row r="50" ht="22" customHeight="1">
      <c r="B50" s="15">
        <f>IF(C50="","SUA-"&amp;TEXT(COUNTA($C$5:C50),"000"))</f>
        <v/>
      </c>
      <c r="C50" s="13" t="n"/>
      <c r="D50" s="13" t="n"/>
      <c r="E50" s="13" t="n"/>
      <c r="F50" s="18" t="n"/>
      <c r="G50" s="18" t="n"/>
      <c r="H50" s="18" t="n"/>
      <c r="I50" s="18">
        <f>IF(F50="","",F50*3+G50*5)</f>
        <v/>
      </c>
      <c r="J50" s="18">
        <f>IF(I50="","",I50)</f>
        <v/>
      </c>
      <c r="K50" s="13" t="n"/>
      <c r="L50" s="28" t="n"/>
    </row>
    <row r="51" ht="22" customHeight="1">
      <c r="B51" s="16">
        <f>IF(C51="","SUA-"&amp;TEXT(COUNTA($C$5:C51),"000"))</f>
        <v/>
      </c>
      <c r="C51" s="11" t="n"/>
      <c r="D51" s="11" t="n"/>
      <c r="E51" s="11" t="n"/>
      <c r="F51" s="17" t="n"/>
      <c r="G51" s="17" t="n"/>
      <c r="H51" s="17" t="n"/>
      <c r="I51" s="17">
        <f>IF(F51="","",F51*3+G51*5)</f>
        <v/>
      </c>
      <c r="J51" s="17">
        <f>IF(I51="","",I51)</f>
        <v/>
      </c>
      <c r="K51" s="11" t="n"/>
      <c r="L51" s="27" t="n"/>
    </row>
    <row r="52" ht="22" customHeight="1">
      <c r="B52" s="15">
        <f>IF(C52="","SUA-"&amp;TEXT(COUNTA($C$5:C52),"000"))</f>
        <v/>
      </c>
      <c r="C52" s="13" t="n"/>
      <c r="D52" s="13" t="n"/>
      <c r="E52" s="13" t="n"/>
      <c r="F52" s="18" t="n"/>
      <c r="G52" s="18" t="n"/>
      <c r="H52" s="18" t="n"/>
      <c r="I52" s="18">
        <f>IF(F52="","",F52*3+G52*5)</f>
        <v/>
      </c>
      <c r="J52" s="18">
        <f>IF(I52="","",I52)</f>
        <v/>
      </c>
      <c r="K52" s="13" t="n"/>
      <c r="L52" s="28" t="n"/>
    </row>
    <row r="53" ht="22" customHeight="1">
      <c r="B53" s="16">
        <f>IF(C53="","SUA-"&amp;TEXT(COUNTA($C$5:C53),"000"))</f>
        <v/>
      </c>
      <c r="C53" s="11" t="n"/>
      <c r="D53" s="11" t="n"/>
      <c r="E53" s="11" t="n"/>
      <c r="F53" s="17" t="n"/>
      <c r="G53" s="17" t="n"/>
      <c r="H53" s="17" t="n"/>
      <c r="I53" s="17">
        <f>IF(F53="","",F53*3+G53*5)</f>
        <v/>
      </c>
      <c r="J53" s="17">
        <f>IF(I53="","",I53)</f>
        <v/>
      </c>
      <c r="K53" s="11" t="n"/>
      <c r="L53" s="27" t="n"/>
    </row>
    <row r="54" ht="22" customHeight="1">
      <c r="B54" s="15">
        <f>IF(C54="","SUA-"&amp;TEXT(COUNTA($C$5:C54),"000"))</f>
        <v/>
      </c>
      <c r="C54" s="13" t="n"/>
      <c r="D54" s="13" t="n"/>
      <c r="E54" s="13" t="n"/>
      <c r="F54" s="18" t="n"/>
      <c r="G54" s="18" t="n"/>
      <c r="H54" s="18" t="n"/>
      <c r="I54" s="18">
        <f>IF(F54="","",F54*3+G54*5)</f>
        <v/>
      </c>
      <c r="J54" s="18">
        <f>IF(I54="","",I54)</f>
        <v/>
      </c>
      <c r="K54" s="13" t="n"/>
      <c r="L54" s="28" t="n"/>
    </row>
    <row r="55" ht="22" customHeight="1">
      <c r="B55" s="16">
        <f>IF(C55="","SUA-"&amp;TEXT(COUNTA($C$5:C55),"000"))</f>
        <v/>
      </c>
      <c r="C55" s="11" t="n"/>
      <c r="D55" s="11" t="n"/>
      <c r="E55" s="11" t="n"/>
      <c r="F55" s="17" t="n"/>
      <c r="G55" s="17" t="n"/>
      <c r="H55" s="17" t="n"/>
      <c r="I55" s="17">
        <f>IF(F55="","",F55*3+G55*5)</f>
        <v/>
      </c>
      <c r="J55" s="17">
        <f>IF(I55="","",I55)</f>
        <v/>
      </c>
      <c r="K55" s="11" t="n"/>
      <c r="L55" s="27" t="n"/>
    </row>
    <row r="56" ht="22" customHeight="1">
      <c r="B56" s="15">
        <f>IF(C56="","SUA-"&amp;TEXT(COUNTA($C$5:C56),"000"))</f>
        <v/>
      </c>
      <c r="C56" s="13" t="n"/>
      <c r="D56" s="13" t="n"/>
      <c r="E56" s="13" t="n"/>
      <c r="F56" s="18" t="n"/>
      <c r="G56" s="18" t="n"/>
      <c r="H56" s="18" t="n"/>
      <c r="I56" s="18">
        <f>IF(F56="","",F56*3+G56*5)</f>
        <v/>
      </c>
      <c r="J56" s="18">
        <f>IF(I56="","",I56)</f>
        <v/>
      </c>
      <c r="K56" s="13" t="n"/>
      <c r="L56" s="28" t="n"/>
    </row>
    <row r="57" ht="22" customHeight="1">
      <c r="B57" s="16">
        <f>IF(C57="","SUA-"&amp;TEXT(COUNTA($C$5:C57),"000"))</f>
        <v/>
      </c>
      <c r="C57" s="11" t="n"/>
      <c r="D57" s="11" t="n"/>
      <c r="E57" s="11" t="n"/>
      <c r="F57" s="17" t="n"/>
      <c r="G57" s="17" t="n"/>
      <c r="H57" s="17" t="n"/>
      <c r="I57" s="17">
        <f>IF(F57="","",F57*3+G57*5)</f>
        <v/>
      </c>
      <c r="J57" s="17">
        <f>IF(I57="","",I57)</f>
        <v/>
      </c>
      <c r="K57" s="11" t="n"/>
      <c r="L57" s="27" t="n"/>
    </row>
    <row r="58" ht="22" customHeight="1">
      <c r="B58" s="15">
        <f>IF(C58="","SUA-"&amp;TEXT(COUNTA($C$5:C58),"000"))</f>
        <v/>
      </c>
      <c r="C58" s="13" t="n"/>
      <c r="D58" s="13" t="n"/>
      <c r="E58" s="13" t="n"/>
      <c r="F58" s="18" t="n"/>
      <c r="G58" s="18" t="n"/>
      <c r="H58" s="18" t="n"/>
      <c r="I58" s="18">
        <f>IF(F58="","",F58*3+G58*5)</f>
        <v/>
      </c>
      <c r="J58" s="18">
        <f>IF(I58="","",I58)</f>
        <v/>
      </c>
      <c r="K58" s="13" t="n"/>
      <c r="L58" s="28" t="n"/>
    </row>
    <row r="59" ht="22" customHeight="1">
      <c r="B59" s="16">
        <f>IF(C59="","SUA-"&amp;TEXT(COUNTA($C$5:C59),"000"))</f>
        <v/>
      </c>
      <c r="C59" s="11" t="n"/>
      <c r="D59" s="11" t="n"/>
      <c r="E59" s="11" t="n"/>
      <c r="F59" s="17" t="n"/>
      <c r="G59" s="17" t="n"/>
      <c r="H59" s="17" t="n"/>
      <c r="I59" s="17">
        <f>IF(F59="","",F59*3+G59*5)</f>
        <v/>
      </c>
      <c r="J59" s="17">
        <f>IF(I59="","",I59)</f>
        <v/>
      </c>
      <c r="K59" s="11" t="n"/>
      <c r="L59" s="27" t="n"/>
    </row>
    <row r="60" ht="22" customHeight="1">
      <c r="B60" s="15">
        <f>IF(C60="","SUA-"&amp;TEXT(COUNTA($C$5:C60),"000"))</f>
        <v/>
      </c>
      <c r="C60" s="13" t="n"/>
      <c r="D60" s="13" t="n"/>
      <c r="E60" s="13" t="n"/>
      <c r="F60" s="18" t="n"/>
      <c r="G60" s="18" t="n"/>
      <c r="H60" s="18" t="n"/>
      <c r="I60" s="18">
        <f>IF(F60="","",F60*3+G60*5)</f>
        <v/>
      </c>
      <c r="J60" s="18">
        <f>IF(I60="","",I60)</f>
        <v/>
      </c>
      <c r="K60" s="13" t="n"/>
      <c r="L60" s="28" t="n"/>
    </row>
    <row r="61" ht="22" customHeight="1">
      <c r="B61" s="16">
        <f>IF(C61="","SUA-"&amp;TEXT(COUNTA($C$5:C61),"000"))</f>
        <v/>
      </c>
      <c r="C61" s="11" t="n"/>
      <c r="D61" s="11" t="n"/>
      <c r="E61" s="11" t="n"/>
      <c r="F61" s="17" t="n"/>
      <c r="G61" s="17" t="n"/>
      <c r="H61" s="17" t="n"/>
      <c r="I61" s="17">
        <f>IF(F61="","",F61*3+G61*5)</f>
        <v/>
      </c>
      <c r="J61" s="17">
        <f>IF(I61="","",I61)</f>
        <v/>
      </c>
      <c r="K61" s="11" t="n"/>
      <c r="L61" s="27" t="n"/>
    </row>
    <row r="62" ht="22" customHeight="1">
      <c r="B62" s="15">
        <f>IF(C62="","SUA-"&amp;TEXT(COUNTA($C$5:C62),"000"))</f>
        <v/>
      </c>
      <c r="C62" s="13" t="n"/>
      <c r="D62" s="13" t="n"/>
      <c r="E62" s="13" t="n"/>
      <c r="F62" s="18" t="n"/>
      <c r="G62" s="18" t="n"/>
      <c r="H62" s="18" t="n"/>
      <c r="I62" s="18">
        <f>IF(F62="","",F62*3+G62*5)</f>
        <v/>
      </c>
      <c r="J62" s="18">
        <f>IF(I62="","",I62)</f>
        <v/>
      </c>
      <c r="K62" s="13" t="n"/>
      <c r="L62" s="28" t="n"/>
    </row>
    <row r="63" ht="22" customHeight="1">
      <c r="B63" s="16">
        <f>IF(C63="","SUA-"&amp;TEXT(COUNTA($C$5:C63),"000"))</f>
        <v/>
      </c>
      <c r="C63" s="11" t="n"/>
      <c r="D63" s="11" t="n"/>
      <c r="E63" s="11" t="n"/>
      <c r="F63" s="17" t="n"/>
      <c r="G63" s="17" t="n"/>
      <c r="H63" s="17" t="n"/>
      <c r="I63" s="17">
        <f>IF(F63="","",F63*3+G63*5)</f>
        <v/>
      </c>
      <c r="J63" s="17">
        <f>IF(I63="","",I63)</f>
        <v/>
      </c>
      <c r="K63" s="11" t="n"/>
      <c r="L63" s="27" t="n"/>
    </row>
    <row r="64" ht="22" customHeight="1">
      <c r="B64" s="15">
        <f>IF(C64="","SUA-"&amp;TEXT(COUNTA($C$5:C64),"000"))</f>
        <v/>
      </c>
      <c r="C64" s="13" t="n"/>
      <c r="D64" s="13" t="n"/>
      <c r="E64" s="13" t="n"/>
      <c r="F64" s="18" t="n"/>
      <c r="G64" s="18" t="n"/>
      <c r="H64" s="18" t="n"/>
      <c r="I64" s="18">
        <f>IF(F64="","",F64*3+G64*5)</f>
        <v/>
      </c>
      <c r="J64" s="18">
        <f>IF(I64="","",I64)</f>
        <v/>
      </c>
      <c r="K64" s="13" t="n"/>
      <c r="L64" s="28" t="n"/>
    </row>
    <row r="65" ht="22" customHeight="1">
      <c r="B65" s="16">
        <f>IF(C65="","SUA-"&amp;TEXT(COUNTA($C$5:C65),"000"))</f>
        <v/>
      </c>
      <c r="C65" s="11" t="n"/>
      <c r="D65" s="11" t="n"/>
      <c r="E65" s="11" t="n"/>
      <c r="F65" s="17" t="n"/>
      <c r="G65" s="17" t="n"/>
      <c r="H65" s="17" t="n"/>
      <c r="I65" s="17">
        <f>IF(F65="","",F65*3+G65*5)</f>
        <v/>
      </c>
      <c r="J65" s="17">
        <f>IF(I65="","",I65)</f>
        <v/>
      </c>
      <c r="K65" s="11" t="n"/>
      <c r="L65" s="27" t="n"/>
    </row>
    <row r="66" ht="22" customHeight="1">
      <c r="B66" s="15">
        <f>IF(C66="","SUA-"&amp;TEXT(COUNTA($C$5:C66),"000"))</f>
        <v/>
      </c>
      <c r="C66" s="13" t="n"/>
      <c r="D66" s="13" t="n"/>
      <c r="E66" s="13" t="n"/>
      <c r="F66" s="18" t="n"/>
      <c r="G66" s="18" t="n"/>
      <c r="H66" s="18" t="n"/>
      <c r="I66" s="18">
        <f>IF(F66="","",F66*3+G66*5)</f>
        <v/>
      </c>
      <c r="J66" s="18">
        <f>IF(I66="","",I66)</f>
        <v/>
      </c>
      <c r="K66" s="13" t="n"/>
      <c r="L66" s="28" t="n"/>
    </row>
    <row r="67" ht="22" customHeight="1">
      <c r="B67" s="16">
        <f>IF(C67="","SUA-"&amp;TEXT(COUNTA($C$5:C67),"000"))</f>
        <v/>
      </c>
      <c r="C67" s="11" t="n"/>
      <c r="D67" s="11" t="n"/>
      <c r="E67" s="11" t="n"/>
      <c r="F67" s="17" t="n"/>
      <c r="G67" s="17" t="n"/>
      <c r="H67" s="17" t="n"/>
      <c r="I67" s="17">
        <f>IF(F67="","",F67*3+G67*5)</f>
        <v/>
      </c>
      <c r="J67" s="17">
        <f>IF(I67="","",I67)</f>
        <v/>
      </c>
      <c r="K67" s="11" t="n"/>
      <c r="L67" s="27" t="n"/>
    </row>
    <row r="68" ht="22" customHeight="1">
      <c r="B68" s="15">
        <f>IF(C68="","SUA-"&amp;TEXT(COUNTA($C$5:C68),"000"))</f>
        <v/>
      </c>
      <c r="C68" s="13" t="n"/>
      <c r="D68" s="13" t="n"/>
      <c r="E68" s="13" t="n"/>
      <c r="F68" s="18" t="n"/>
      <c r="G68" s="18" t="n"/>
      <c r="H68" s="18" t="n"/>
      <c r="I68" s="18">
        <f>IF(F68="","",F68*3+G68*5)</f>
        <v/>
      </c>
      <c r="J68" s="18">
        <f>IF(I68="","",I68)</f>
        <v/>
      </c>
      <c r="K68" s="13" t="n"/>
      <c r="L68" s="28" t="n"/>
    </row>
    <row r="69" ht="22" customHeight="1">
      <c r="B69" s="16">
        <f>IF(C69="","SUA-"&amp;TEXT(COUNTA($C$5:C69),"000"))</f>
        <v/>
      </c>
      <c r="C69" s="11" t="n"/>
      <c r="D69" s="11" t="n"/>
      <c r="E69" s="11" t="n"/>
      <c r="F69" s="17" t="n"/>
      <c r="G69" s="17" t="n"/>
      <c r="H69" s="17" t="n"/>
      <c r="I69" s="17">
        <f>IF(F69="","",F69*3+G69*5)</f>
        <v/>
      </c>
      <c r="J69" s="17">
        <f>IF(I69="","",I69)</f>
        <v/>
      </c>
      <c r="K69" s="11" t="n"/>
      <c r="L69" s="27" t="n"/>
    </row>
    <row r="70" ht="22" customHeight="1">
      <c r="B70" s="15">
        <f>IF(C70="","SUA-"&amp;TEXT(COUNTA($C$5:C70),"000"))</f>
        <v/>
      </c>
      <c r="C70" s="13" t="n"/>
      <c r="D70" s="13" t="n"/>
      <c r="E70" s="13" t="n"/>
      <c r="F70" s="18" t="n"/>
      <c r="G70" s="18" t="n"/>
      <c r="H70" s="18" t="n"/>
      <c r="I70" s="18">
        <f>IF(F70="","",F70*3+G70*5)</f>
        <v/>
      </c>
      <c r="J70" s="18">
        <f>IF(I70="","",I70)</f>
        <v/>
      </c>
      <c r="K70" s="13" t="n"/>
      <c r="L70" s="28" t="n"/>
    </row>
    <row r="71" ht="22" customHeight="1">
      <c r="B71" s="16">
        <f>IF(C71="","SUA-"&amp;TEXT(COUNTA($C$5:C71),"000"))</f>
        <v/>
      </c>
      <c r="C71" s="11" t="n"/>
      <c r="D71" s="11" t="n"/>
      <c r="E71" s="11" t="n"/>
      <c r="F71" s="17" t="n"/>
      <c r="G71" s="17" t="n"/>
      <c r="H71" s="17" t="n"/>
      <c r="I71" s="17">
        <f>IF(F71="","",F71*3+G71*5)</f>
        <v/>
      </c>
      <c r="J71" s="17">
        <f>IF(I71="","",I71)</f>
        <v/>
      </c>
      <c r="K71" s="11" t="n"/>
      <c r="L71" s="27" t="n"/>
    </row>
    <row r="72" ht="22" customHeight="1">
      <c r="B72" s="15">
        <f>IF(C72="","SUA-"&amp;TEXT(COUNTA($C$5:C72),"000"))</f>
        <v/>
      </c>
      <c r="C72" s="13" t="n"/>
      <c r="D72" s="13" t="n"/>
      <c r="E72" s="13" t="n"/>
      <c r="F72" s="18" t="n"/>
      <c r="G72" s="18" t="n"/>
      <c r="H72" s="18" t="n"/>
      <c r="I72" s="18">
        <f>IF(F72="","",F72*3+G72*5)</f>
        <v/>
      </c>
      <c r="J72" s="18">
        <f>IF(I72="","",I72)</f>
        <v/>
      </c>
      <c r="K72" s="13" t="n"/>
      <c r="L72" s="28" t="n"/>
    </row>
    <row r="73" ht="22" customHeight="1">
      <c r="B73" s="16">
        <f>IF(C73="","SUA-"&amp;TEXT(COUNTA($C$5:C73),"000"))</f>
        <v/>
      </c>
      <c r="C73" s="11" t="n"/>
      <c r="D73" s="11" t="n"/>
      <c r="E73" s="11" t="n"/>
      <c r="F73" s="17" t="n"/>
      <c r="G73" s="17" t="n"/>
      <c r="H73" s="17" t="n"/>
      <c r="I73" s="17">
        <f>IF(F73="","",F73*3+G73*5)</f>
        <v/>
      </c>
      <c r="J73" s="17">
        <f>IF(I73="","",I73)</f>
        <v/>
      </c>
      <c r="K73" s="11" t="n"/>
      <c r="L73" s="27" t="n"/>
    </row>
    <row r="74" ht="22" customHeight="1">
      <c r="B74" s="15">
        <f>IF(C74="","SUA-"&amp;TEXT(COUNTA($C$5:C74),"000"))</f>
        <v/>
      </c>
      <c r="C74" s="13" t="n"/>
      <c r="D74" s="13" t="n"/>
      <c r="E74" s="13" t="n"/>
      <c r="F74" s="18" t="n"/>
      <c r="G74" s="18" t="n"/>
      <c r="H74" s="18" t="n"/>
      <c r="I74" s="18">
        <f>IF(F74="","",F74*3+G74*5)</f>
        <v/>
      </c>
      <c r="J74" s="18">
        <f>IF(I74="","",I74)</f>
        <v/>
      </c>
      <c r="K74" s="13" t="n"/>
      <c r="L74" s="28" t="n"/>
    </row>
    <row r="75" ht="22" customHeight="1">
      <c r="B75" s="16">
        <f>IF(C75="","SUA-"&amp;TEXT(COUNTA($C$5:C75),"000"))</f>
        <v/>
      </c>
      <c r="C75" s="11" t="n"/>
      <c r="D75" s="11" t="n"/>
      <c r="E75" s="11" t="n"/>
      <c r="F75" s="17" t="n"/>
      <c r="G75" s="17" t="n"/>
      <c r="H75" s="17" t="n"/>
      <c r="I75" s="17">
        <f>IF(F75="","",F75*3+G75*5)</f>
        <v/>
      </c>
      <c r="J75" s="17">
        <f>IF(I75="","",I75)</f>
        <v/>
      </c>
      <c r="K75" s="11" t="n"/>
      <c r="L75" s="27" t="n"/>
    </row>
    <row r="76" ht="22" customHeight="1">
      <c r="B76" s="15">
        <f>IF(C76="","SUA-"&amp;TEXT(COUNTA($C$5:C76),"000"))</f>
        <v/>
      </c>
      <c r="C76" s="13" t="n"/>
      <c r="D76" s="13" t="n"/>
      <c r="E76" s="13" t="n"/>
      <c r="F76" s="18" t="n"/>
      <c r="G76" s="18" t="n"/>
      <c r="H76" s="18" t="n"/>
      <c r="I76" s="18">
        <f>IF(F76="","",F76*3+G76*5)</f>
        <v/>
      </c>
      <c r="J76" s="18">
        <f>IF(I76="","",I76)</f>
        <v/>
      </c>
      <c r="K76" s="13" t="n"/>
      <c r="L76" s="28" t="n"/>
    </row>
    <row r="77" ht="22" customHeight="1">
      <c r="B77" s="16">
        <f>IF(C77="","SUA-"&amp;TEXT(COUNTA($C$5:C77),"000"))</f>
        <v/>
      </c>
      <c r="C77" s="11" t="n"/>
      <c r="D77" s="11" t="n"/>
      <c r="E77" s="11" t="n"/>
      <c r="F77" s="17" t="n"/>
      <c r="G77" s="17" t="n"/>
      <c r="H77" s="17" t="n"/>
      <c r="I77" s="17">
        <f>IF(F77="","",F77*3+G77*5)</f>
        <v/>
      </c>
      <c r="J77" s="17">
        <f>IF(I77="","",I77)</f>
        <v/>
      </c>
      <c r="K77" s="11" t="n"/>
      <c r="L77" s="27" t="n"/>
    </row>
    <row r="78" ht="22" customHeight="1">
      <c r="B78" s="15">
        <f>IF(C78="","SUA-"&amp;TEXT(COUNTA($C$5:C78),"000"))</f>
        <v/>
      </c>
      <c r="C78" s="13" t="n"/>
      <c r="D78" s="13" t="n"/>
      <c r="E78" s="13" t="n"/>
      <c r="F78" s="18" t="n"/>
      <c r="G78" s="18" t="n"/>
      <c r="H78" s="18" t="n"/>
      <c r="I78" s="18">
        <f>IF(F78="","",F78*3+G78*5)</f>
        <v/>
      </c>
      <c r="J78" s="18">
        <f>IF(I78="","",I78)</f>
        <v/>
      </c>
      <c r="K78" s="13" t="n"/>
      <c r="L78" s="28" t="n"/>
    </row>
    <row r="79" ht="22" customHeight="1">
      <c r="B79" s="16">
        <f>IF(C79="","SUA-"&amp;TEXT(COUNTA($C$5:C79),"000"))</f>
        <v/>
      </c>
      <c r="C79" s="11" t="n"/>
      <c r="D79" s="11" t="n"/>
      <c r="E79" s="11" t="n"/>
      <c r="F79" s="17" t="n"/>
      <c r="G79" s="17" t="n"/>
      <c r="H79" s="17" t="n"/>
      <c r="I79" s="17">
        <f>IF(F79="","",F79*3+G79*5)</f>
        <v/>
      </c>
      <c r="J79" s="17">
        <f>IF(I79="","",I79)</f>
        <v/>
      </c>
      <c r="K79" s="11" t="n"/>
      <c r="L79" s="27" t="n"/>
    </row>
    <row r="80" ht="22" customHeight="1">
      <c r="B80" s="15">
        <f>IF(C80="","SUA-"&amp;TEXT(COUNTA($C$5:C80),"000"))</f>
        <v/>
      </c>
      <c r="C80" s="13" t="n"/>
      <c r="D80" s="13" t="n"/>
      <c r="E80" s="13" t="n"/>
      <c r="F80" s="18" t="n"/>
      <c r="G80" s="18" t="n"/>
      <c r="H80" s="18" t="n"/>
      <c r="I80" s="18">
        <f>IF(F80="","",F80*3+G80*5)</f>
        <v/>
      </c>
      <c r="J80" s="18">
        <f>IF(I80="","",I80)</f>
        <v/>
      </c>
      <c r="K80" s="13" t="n"/>
      <c r="L80" s="28" t="n"/>
    </row>
    <row r="81" ht="22" customHeight="1">
      <c r="B81" s="16">
        <f>IF(C81="","SUA-"&amp;TEXT(COUNTA($C$5:C81),"000"))</f>
        <v/>
      </c>
      <c r="C81" s="11" t="n"/>
      <c r="D81" s="11" t="n"/>
      <c r="E81" s="11" t="n"/>
      <c r="F81" s="17" t="n"/>
      <c r="G81" s="17" t="n"/>
      <c r="H81" s="17" t="n"/>
      <c r="I81" s="17">
        <f>IF(F81="","",F81*3+G81*5)</f>
        <v/>
      </c>
      <c r="J81" s="17">
        <f>IF(I81="","",I81)</f>
        <v/>
      </c>
      <c r="K81" s="11" t="n"/>
      <c r="L81" s="27" t="n"/>
    </row>
    <row r="82" ht="22" customHeight="1">
      <c r="B82" s="15">
        <f>IF(C82="","SUA-"&amp;TEXT(COUNTA($C$5:C82),"000"))</f>
        <v/>
      </c>
      <c r="C82" s="13" t="n"/>
      <c r="D82" s="13" t="n"/>
      <c r="E82" s="13" t="n"/>
      <c r="F82" s="18" t="n"/>
      <c r="G82" s="18" t="n"/>
      <c r="H82" s="18" t="n"/>
      <c r="I82" s="18">
        <f>IF(F82="","",F82*3+G82*5)</f>
        <v/>
      </c>
      <c r="J82" s="18">
        <f>IF(I82="","",I82)</f>
        <v/>
      </c>
      <c r="K82" s="13" t="n"/>
      <c r="L82" s="28" t="n"/>
    </row>
    <row r="83" ht="22" customHeight="1">
      <c r="B83" s="16">
        <f>IF(C83="","SUA-"&amp;TEXT(COUNTA($C$5:C83),"000"))</f>
        <v/>
      </c>
      <c r="C83" s="11" t="n"/>
      <c r="D83" s="11" t="n"/>
      <c r="E83" s="11" t="n"/>
      <c r="F83" s="17" t="n"/>
      <c r="G83" s="17" t="n"/>
      <c r="H83" s="17" t="n"/>
      <c r="I83" s="17">
        <f>IF(F83="","",F83*3+G83*5)</f>
        <v/>
      </c>
      <c r="J83" s="17">
        <f>IF(I83="","",I83)</f>
        <v/>
      </c>
      <c r="K83" s="11" t="n"/>
      <c r="L83" s="27" t="n"/>
    </row>
    <row r="84" ht="22" customHeight="1">
      <c r="B84" s="15">
        <f>IF(C84="","SUA-"&amp;TEXT(COUNTA($C$5:C84),"000"))</f>
        <v/>
      </c>
      <c r="C84" s="13" t="n"/>
      <c r="D84" s="13" t="n"/>
      <c r="E84" s="13" t="n"/>
      <c r="F84" s="18" t="n"/>
      <c r="G84" s="18" t="n"/>
      <c r="H84" s="18" t="n"/>
      <c r="I84" s="18">
        <f>IF(F84="","",F84*3+G84*5)</f>
        <v/>
      </c>
      <c r="J84" s="18">
        <f>IF(I84="","",I84)</f>
        <v/>
      </c>
      <c r="K84" s="13" t="n"/>
      <c r="L84" s="28" t="n"/>
    </row>
    <row r="85" ht="22" customHeight="1">
      <c r="B85" s="16">
        <f>IF(C85="","SUA-"&amp;TEXT(COUNTA($C$5:C85),"000"))</f>
        <v/>
      </c>
      <c r="C85" s="11" t="n"/>
      <c r="D85" s="11" t="n"/>
      <c r="E85" s="11" t="n"/>
      <c r="F85" s="17" t="n"/>
      <c r="G85" s="17" t="n"/>
      <c r="H85" s="17" t="n"/>
      <c r="I85" s="17">
        <f>IF(F85="","",F85*3+G85*5)</f>
        <v/>
      </c>
      <c r="J85" s="17">
        <f>IF(I85="","",I85)</f>
        <v/>
      </c>
      <c r="K85" s="11" t="n"/>
      <c r="L85" s="27" t="n"/>
    </row>
    <row r="86" ht="22" customHeight="1">
      <c r="B86" s="15">
        <f>IF(C86="","SUA-"&amp;TEXT(COUNTA($C$5:C86),"000"))</f>
        <v/>
      </c>
      <c r="C86" s="13" t="n"/>
      <c r="D86" s="13" t="n"/>
      <c r="E86" s="13" t="n"/>
      <c r="F86" s="18" t="n"/>
      <c r="G86" s="18" t="n"/>
      <c r="H86" s="18" t="n"/>
      <c r="I86" s="18">
        <f>IF(F86="","",F86*3+G86*5)</f>
        <v/>
      </c>
      <c r="J86" s="18">
        <f>IF(I86="","",I86)</f>
        <v/>
      </c>
      <c r="K86" s="13" t="n"/>
      <c r="L86" s="28" t="n"/>
    </row>
    <row r="87" ht="22" customHeight="1">
      <c r="B87" s="16">
        <f>IF(C87="","SUA-"&amp;TEXT(COUNTA($C$5:C87),"000"))</f>
        <v/>
      </c>
      <c r="C87" s="11" t="n"/>
      <c r="D87" s="11" t="n"/>
      <c r="E87" s="11" t="n"/>
      <c r="F87" s="17" t="n"/>
      <c r="G87" s="17" t="n"/>
      <c r="H87" s="17" t="n"/>
      <c r="I87" s="17">
        <f>IF(F87="","",F87*3+G87*5)</f>
        <v/>
      </c>
      <c r="J87" s="17">
        <f>IF(I87="","",I87)</f>
        <v/>
      </c>
      <c r="K87" s="11" t="n"/>
      <c r="L87" s="27" t="n"/>
    </row>
    <row r="88" ht="22" customHeight="1">
      <c r="B88" s="15">
        <f>IF(C88="","SUA-"&amp;TEXT(COUNTA($C$5:C88),"000"))</f>
        <v/>
      </c>
      <c r="C88" s="13" t="n"/>
      <c r="D88" s="13" t="n"/>
      <c r="E88" s="13" t="n"/>
      <c r="F88" s="18" t="n"/>
      <c r="G88" s="18" t="n"/>
      <c r="H88" s="18" t="n"/>
      <c r="I88" s="18">
        <f>IF(F88="","",F88*3+G88*5)</f>
        <v/>
      </c>
      <c r="J88" s="18">
        <f>IF(I88="","",I88)</f>
        <v/>
      </c>
      <c r="K88" s="13" t="n"/>
      <c r="L88" s="28" t="n"/>
    </row>
    <row r="89" ht="22" customHeight="1">
      <c r="B89" s="16">
        <f>IF(C89="","SUA-"&amp;TEXT(COUNTA($C$5:C89),"000"))</f>
        <v/>
      </c>
      <c r="C89" s="11" t="n"/>
      <c r="D89" s="11" t="n"/>
      <c r="E89" s="11" t="n"/>
      <c r="F89" s="17" t="n"/>
      <c r="G89" s="17" t="n"/>
      <c r="H89" s="17" t="n"/>
      <c r="I89" s="17">
        <f>IF(F89="","",F89*3+G89*5)</f>
        <v/>
      </c>
      <c r="J89" s="17">
        <f>IF(I89="","",I89)</f>
        <v/>
      </c>
      <c r="K89" s="11" t="n"/>
      <c r="L89" s="27" t="n"/>
    </row>
    <row r="90" ht="22" customHeight="1">
      <c r="B90" s="15">
        <f>IF(C90="","SUA-"&amp;TEXT(COUNTA($C$5:C90),"000"))</f>
        <v/>
      </c>
      <c r="C90" s="13" t="n"/>
      <c r="D90" s="13" t="n"/>
      <c r="E90" s="13" t="n"/>
      <c r="F90" s="18" t="n"/>
      <c r="G90" s="18" t="n"/>
      <c r="H90" s="18" t="n"/>
      <c r="I90" s="18">
        <f>IF(F90="","",F90*3+G90*5)</f>
        <v/>
      </c>
      <c r="J90" s="18">
        <f>IF(I90="","",I90)</f>
        <v/>
      </c>
      <c r="K90" s="13" t="n"/>
      <c r="L90" s="28" t="n"/>
    </row>
    <row r="91" ht="22" customHeight="1">
      <c r="B91" s="16">
        <f>IF(C91="","SUA-"&amp;TEXT(COUNTA($C$5:C91),"000"))</f>
        <v/>
      </c>
      <c r="C91" s="11" t="n"/>
      <c r="D91" s="11" t="n"/>
      <c r="E91" s="11" t="n"/>
      <c r="F91" s="17" t="n"/>
      <c r="G91" s="17" t="n"/>
      <c r="H91" s="17" t="n"/>
      <c r="I91" s="17">
        <f>IF(F91="","",F91*3+G91*5)</f>
        <v/>
      </c>
      <c r="J91" s="17">
        <f>IF(I91="","",I91)</f>
        <v/>
      </c>
      <c r="K91" s="11" t="n"/>
      <c r="L91" s="27" t="n"/>
    </row>
    <row r="92" ht="22" customHeight="1">
      <c r="B92" s="15">
        <f>IF(C92="","SUA-"&amp;TEXT(COUNTA($C$5:C92),"000"))</f>
        <v/>
      </c>
      <c r="C92" s="13" t="n"/>
      <c r="D92" s="13" t="n"/>
      <c r="E92" s="13" t="n"/>
      <c r="F92" s="18" t="n"/>
      <c r="G92" s="18" t="n"/>
      <c r="H92" s="18" t="n"/>
      <c r="I92" s="18">
        <f>IF(F92="","",F92*3+G92*5)</f>
        <v/>
      </c>
      <c r="J92" s="18">
        <f>IF(I92="","",I92)</f>
        <v/>
      </c>
      <c r="K92" s="13" t="n"/>
      <c r="L92" s="28" t="n"/>
    </row>
    <row r="93" ht="22" customHeight="1">
      <c r="B93" s="16">
        <f>IF(C93="","SUA-"&amp;TEXT(COUNTA($C$5:C93),"000"))</f>
        <v/>
      </c>
      <c r="C93" s="11" t="n"/>
      <c r="D93" s="11" t="n"/>
      <c r="E93" s="11" t="n"/>
      <c r="F93" s="17" t="n"/>
      <c r="G93" s="17" t="n"/>
      <c r="H93" s="17" t="n"/>
      <c r="I93" s="17">
        <f>IF(F93="","",F93*3+G93*5)</f>
        <v/>
      </c>
      <c r="J93" s="17">
        <f>IF(I93="","",I93)</f>
        <v/>
      </c>
      <c r="K93" s="11" t="n"/>
      <c r="L93" s="27" t="n"/>
    </row>
    <row r="94" ht="22" customHeight="1">
      <c r="B94" s="15">
        <f>IF(C94="","SUA-"&amp;TEXT(COUNTA($C$5:C94),"000"))</f>
        <v/>
      </c>
      <c r="C94" s="13" t="n"/>
      <c r="D94" s="13" t="n"/>
      <c r="E94" s="13" t="n"/>
      <c r="F94" s="18" t="n"/>
      <c r="G94" s="18" t="n"/>
      <c r="H94" s="18" t="n"/>
      <c r="I94" s="18">
        <f>IF(F94="","",F94*3+G94*5)</f>
        <v/>
      </c>
      <c r="J94" s="18">
        <f>IF(I94="","",I94)</f>
        <v/>
      </c>
      <c r="K94" s="13" t="n"/>
      <c r="L94" s="28" t="n"/>
    </row>
    <row r="95" ht="22" customHeight="1">
      <c r="B95" s="16">
        <f>IF(C95="","SUA-"&amp;TEXT(COUNTA($C$5:C95),"000"))</f>
        <v/>
      </c>
      <c r="C95" s="11" t="n"/>
      <c r="D95" s="11" t="n"/>
      <c r="E95" s="11" t="n"/>
      <c r="F95" s="17" t="n"/>
      <c r="G95" s="17" t="n"/>
      <c r="H95" s="17" t="n"/>
      <c r="I95" s="17">
        <f>IF(F95="","",F95*3+G95*5)</f>
        <v/>
      </c>
      <c r="J95" s="17">
        <f>IF(I95="","",I95)</f>
        <v/>
      </c>
      <c r="K95" s="11" t="n"/>
      <c r="L95" s="27" t="n"/>
    </row>
    <row r="96" ht="22" customHeight="1">
      <c r="B96" s="15">
        <f>IF(C96="","SUA-"&amp;TEXT(COUNTA($C$5:C96),"000"))</f>
        <v/>
      </c>
      <c r="C96" s="13" t="n"/>
      <c r="D96" s="13" t="n"/>
      <c r="E96" s="13" t="n"/>
      <c r="F96" s="18" t="n"/>
      <c r="G96" s="18" t="n"/>
      <c r="H96" s="18" t="n"/>
      <c r="I96" s="18">
        <f>IF(F96="","",F96*3+G96*5)</f>
        <v/>
      </c>
      <c r="J96" s="18">
        <f>IF(I96="","",I96)</f>
        <v/>
      </c>
      <c r="K96" s="13" t="n"/>
      <c r="L96" s="28" t="n"/>
    </row>
    <row r="97" ht="22" customHeight="1">
      <c r="B97" s="16">
        <f>IF(C97="","SUA-"&amp;TEXT(COUNTA($C$5:C97),"000"))</f>
        <v/>
      </c>
      <c r="C97" s="11" t="n"/>
      <c r="D97" s="11" t="n"/>
      <c r="E97" s="11" t="n"/>
      <c r="F97" s="17" t="n"/>
      <c r="G97" s="17" t="n"/>
      <c r="H97" s="17" t="n"/>
      <c r="I97" s="17">
        <f>IF(F97="","",F97*3+G97*5)</f>
        <v/>
      </c>
      <c r="J97" s="17">
        <f>IF(I97="","",I97)</f>
        <v/>
      </c>
      <c r="K97" s="11" t="n"/>
      <c r="L97" s="27" t="n"/>
    </row>
    <row r="98" ht="22" customHeight="1">
      <c r="B98" s="15">
        <f>IF(C98="","SUA-"&amp;TEXT(COUNTA($C$5:C98),"000"))</f>
        <v/>
      </c>
      <c r="C98" s="13" t="n"/>
      <c r="D98" s="13" t="n"/>
      <c r="E98" s="13" t="n"/>
      <c r="F98" s="18" t="n"/>
      <c r="G98" s="18" t="n"/>
      <c r="H98" s="18" t="n"/>
      <c r="I98" s="18">
        <f>IF(F98="","",F98*3+G98*5)</f>
        <v/>
      </c>
      <c r="J98" s="18">
        <f>IF(I98="","",I98)</f>
        <v/>
      </c>
      <c r="K98" s="13" t="n"/>
      <c r="L98" s="28" t="n"/>
    </row>
    <row r="99" ht="22" customHeight="1">
      <c r="B99" s="16">
        <f>IF(C99="","SUA-"&amp;TEXT(COUNTA($C$5:C99),"000"))</f>
        <v/>
      </c>
      <c r="C99" s="11" t="n"/>
      <c r="D99" s="11" t="n"/>
      <c r="E99" s="11" t="n"/>
      <c r="F99" s="17" t="n"/>
      <c r="G99" s="17" t="n"/>
      <c r="H99" s="17" t="n"/>
      <c r="I99" s="17">
        <f>IF(F99="","",F99*3+G99*5)</f>
        <v/>
      </c>
      <c r="J99" s="17">
        <f>IF(I99="","",I99)</f>
        <v/>
      </c>
      <c r="K99" s="11" t="n"/>
      <c r="L99" s="27" t="n"/>
    </row>
    <row r="100" ht="22" customHeight="1">
      <c r="B100" s="15">
        <f>IF(C100="","SUA-"&amp;TEXT(COUNTA($C$5:C100),"000"))</f>
        <v/>
      </c>
      <c r="C100" s="13" t="n"/>
      <c r="D100" s="13" t="n"/>
      <c r="E100" s="13" t="n"/>
      <c r="F100" s="18" t="n"/>
      <c r="G100" s="18" t="n"/>
      <c r="H100" s="18" t="n"/>
      <c r="I100" s="18">
        <f>IF(F100="","",F100*3+G100*5)</f>
        <v/>
      </c>
      <c r="J100" s="18">
        <f>IF(I100="","",I100)</f>
        <v/>
      </c>
      <c r="K100" s="13" t="n"/>
      <c r="L100" s="28" t="n"/>
    </row>
    <row r="101" ht="22" customHeight="1">
      <c r="B101" s="16">
        <f>IF(C101="","SUA-"&amp;TEXT(COUNTA($C$5:C101),"000"))</f>
        <v/>
      </c>
      <c r="C101" s="11" t="n"/>
      <c r="D101" s="11" t="n"/>
      <c r="E101" s="11" t="n"/>
      <c r="F101" s="17" t="n"/>
      <c r="G101" s="17" t="n"/>
      <c r="H101" s="17" t="n"/>
      <c r="I101" s="17">
        <f>IF(F101="","",F101*3+G101*5)</f>
        <v/>
      </c>
      <c r="J101" s="17">
        <f>IF(I101="","",I101)</f>
        <v/>
      </c>
      <c r="K101" s="11" t="n"/>
      <c r="L101" s="27" t="n"/>
    </row>
    <row r="102" ht="22" customHeight="1">
      <c r="B102" s="15">
        <f>IF(C102="","SUA-"&amp;TEXT(COUNTA($C$5:C102),"000"))</f>
        <v/>
      </c>
      <c r="C102" s="13" t="n"/>
      <c r="D102" s="13" t="n"/>
      <c r="E102" s="13" t="n"/>
      <c r="F102" s="18" t="n"/>
      <c r="G102" s="18" t="n"/>
      <c r="H102" s="18" t="n"/>
      <c r="I102" s="18">
        <f>IF(F102="","",F102*3+G102*5)</f>
        <v/>
      </c>
      <c r="J102" s="18">
        <f>IF(I102="","",I102)</f>
        <v/>
      </c>
      <c r="K102" s="13" t="n"/>
      <c r="L102" s="28" t="n"/>
    </row>
    <row r="103" ht="22" customHeight="1">
      <c r="B103" s="16">
        <f>IF(C103="","SUA-"&amp;TEXT(COUNTA($C$5:C103),"000"))</f>
        <v/>
      </c>
      <c r="C103" s="11" t="n"/>
      <c r="D103" s="11" t="n"/>
      <c r="E103" s="11" t="n"/>
      <c r="F103" s="17" t="n"/>
      <c r="G103" s="17" t="n"/>
      <c r="H103" s="17" t="n"/>
      <c r="I103" s="17">
        <f>IF(F103="","",F103*3+G103*5)</f>
        <v/>
      </c>
      <c r="J103" s="17">
        <f>IF(I103="","",I103)</f>
        <v/>
      </c>
      <c r="K103" s="11" t="n"/>
      <c r="L103" s="27" t="n"/>
    </row>
    <row r="104" ht="22" customHeight="1">
      <c r="B104" s="15">
        <f>IF(C104="","SUA-"&amp;TEXT(COUNTA($C$5:C104),"000"))</f>
        <v/>
      </c>
      <c r="C104" s="13" t="n"/>
      <c r="D104" s="13" t="n"/>
      <c r="E104" s="13" t="n"/>
      <c r="F104" s="18" t="n"/>
      <c r="G104" s="18" t="n"/>
      <c r="H104" s="18" t="n"/>
      <c r="I104" s="18">
        <f>IF(F104="","",F104*3+G104*5)</f>
        <v/>
      </c>
      <c r="J104" s="18">
        <f>IF(I104="","",I104)</f>
        <v/>
      </c>
      <c r="K104" s="13" t="n"/>
      <c r="L104" s="28" t="n"/>
    </row>
    <row r="105" ht="22" customHeight="1">
      <c r="B105" s="16">
        <f>IF(C105="","SUA-"&amp;TEXT(COUNTA($C$5:C105),"000"))</f>
        <v/>
      </c>
      <c r="C105" s="11" t="n"/>
      <c r="D105" s="11" t="n"/>
      <c r="E105" s="11" t="n"/>
      <c r="F105" s="17" t="n"/>
      <c r="G105" s="17" t="n"/>
      <c r="H105" s="17" t="n"/>
      <c r="I105" s="17">
        <f>IF(F105="","",F105*3+G105*5)</f>
        <v/>
      </c>
      <c r="J105" s="17">
        <f>IF(I105="","",I105)</f>
        <v/>
      </c>
      <c r="K105" s="11" t="n"/>
      <c r="L105" s="27" t="n"/>
    </row>
    <row r="106" ht="22" customHeight="1">
      <c r="B106" s="15">
        <f>IF(C106="","SUA-"&amp;TEXT(COUNTA($C$5:C106),"000"))</f>
        <v/>
      </c>
      <c r="C106" s="13" t="n"/>
      <c r="D106" s="13" t="n"/>
      <c r="E106" s="13" t="n"/>
      <c r="F106" s="18" t="n"/>
      <c r="G106" s="18" t="n"/>
      <c r="H106" s="18" t="n"/>
      <c r="I106" s="18">
        <f>IF(F106="","",F106*3+G106*5)</f>
        <v/>
      </c>
      <c r="J106" s="18">
        <f>IF(I106="","",I106)</f>
        <v/>
      </c>
      <c r="K106" s="13" t="n"/>
      <c r="L106" s="28" t="n"/>
    </row>
    <row r="107" ht="22" customHeight="1">
      <c r="B107" s="16">
        <f>IF(C107="","SUA-"&amp;TEXT(COUNTA($C$5:C107),"000"))</f>
        <v/>
      </c>
      <c r="C107" s="11" t="n"/>
      <c r="D107" s="11" t="n"/>
      <c r="E107" s="11" t="n"/>
      <c r="F107" s="17" t="n"/>
      <c r="G107" s="17" t="n"/>
      <c r="H107" s="17" t="n"/>
      <c r="I107" s="17">
        <f>IF(F107="","",F107*3+G107*5)</f>
        <v/>
      </c>
      <c r="J107" s="17">
        <f>IF(I107="","",I107)</f>
        <v/>
      </c>
      <c r="K107" s="11" t="n"/>
      <c r="L107" s="27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Ambassadeurs actifs</t>
        </is>
      </c>
      <c r="D110" s="3" t="inlineStr">
        <is>
          <t>Posts total mois</t>
        </is>
      </c>
      <c r="F110" s="3" t="inlineStr">
        <is>
          <t>Reach total mois</t>
        </is>
      </c>
    </row>
    <row r="111">
      <c r="B111" s="4">
        <f>COUNTIF(B5:B104,"&lt;&gt;")</f>
        <v/>
      </c>
      <c r="D111" s="4">
        <f>SUM(F5:F104)</f>
        <v/>
      </c>
      <c r="F111" s="4">
        <f>SUM(H5:H104)</f>
        <v/>
      </c>
    </row>
  </sheetData>
  <mergeCells count="3">
    <mergeCell ref="B2:L2"/>
    <mergeCell ref="B109:L109"/>
    <mergeCell ref="B3:L3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E5:E107" showDropDown="0" showInputMessage="0" showErrorMessage="0" allowBlank="1" errorTitle="Erreur" error="Valeur invalide" promptTitle="Liste" prompt="Choisir dans la liste" type="list">
      <formula1>'_Lists'!$K$2:$K$5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8" customWidth="1" min="4" max="4"/>
    <col width="14" customWidth="1" min="5" max="5"/>
    <col width="16" customWidth="1" min="6" max="6"/>
    <col width="18" customWidth="1" min="7" max="7"/>
    <col width="16" customWidth="1" min="8" max="8"/>
    <col width="26" customWidth="1" min="9" max="9"/>
    <col width="26" customWidth="1" min="10" max="10"/>
    <col width="32" customWidth="1" min="11" max="11"/>
    <col width="18" customWidth="1" min="12" max="12"/>
  </cols>
  <sheetData>
    <row r="1" ht="15" customHeight="1"/>
    <row r="2" ht="32" customHeight="1">
      <c r="B2" s="1" t="inlineStr">
        <is>
          <t>ANALYSE RESULTATS ENQUETES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Enquete</t>
        </is>
      </c>
      <c r="D4" s="10" t="inlineStr">
        <is>
          <t>Axe / Theme</t>
        </is>
      </c>
      <c r="E4" s="10" t="inlineStr">
        <is>
          <t>Nb Reponses</t>
        </is>
      </c>
      <c r="F4" s="10" t="inlineStr">
        <is>
          <t>Score Moyen / 5</t>
        </is>
      </c>
      <c r="G4" s="10" t="inlineStr">
        <is>
          <t>Score Precedent / 5</t>
        </is>
      </c>
      <c r="H4" s="10" t="inlineStr">
        <is>
          <t>Evolution (pts)</t>
        </is>
      </c>
      <c r="I4" s="10" t="inlineStr">
        <is>
          <t>Nb Commentaires Positifs</t>
        </is>
      </c>
      <c r="J4" s="10" t="inlineStr">
        <is>
          <t>Nb Commentaires Negatifs</t>
        </is>
      </c>
      <c r="K4" s="10" t="inlineStr">
        <is>
          <t>Action Corrective</t>
        </is>
      </c>
      <c r="L4" s="10" t="inlineStr">
        <is>
          <t>Statut Action</t>
        </is>
      </c>
    </row>
    <row r="5" ht="22" customHeight="1">
      <c r="B5" s="11" t="inlineStr">
        <is>
          <t>ARE-001</t>
        </is>
      </c>
      <c r="C5" s="11" t="inlineStr">
        <is>
          <t>Climat social 2024</t>
        </is>
      </c>
      <c r="D5" s="11" t="inlineStr">
        <is>
          <t>Relations avec le manager</t>
        </is>
      </c>
      <c r="E5" s="17" t="n">
        <v>128</v>
      </c>
      <c r="F5" s="30" t="n">
        <v>3.9</v>
      </c>
      <c r="G5" s="30" t="n">
        <v>3.7</v>
      </c>
      <c r="H5" s="33" t="n"/>
      <c r="I5" s="17" t="n">
        <v>45</v>
      </c>
      <c r="J5" s="17" t="n">
        <v>12</v>
      </c>
      <c r="K5" s="11" t="inlineStr">
        <is>
          <t>Formation managers communication</t>
        </is>
      </c>
      <c r="L5" s="11" t="inlineStr">
        <is>
          <t>En cours</t>
        </is>
      </c>
    </row>
    <row r="6" ht="22" customHeight="1">
      <c r="B6" s="13" t="inlineStr">
        <is>
          <t>ARE-002</t>
        </is>
      </c>
      <c r="C6" s="13" t="inlineStr">
        <is>
          <t>Climat social 2024</t>
        </is>
      </c>
      <c r="D6" s="13" t="inlineStr">
        <is>
          <t>Conditions de travail</t>
        </is>
      </c>
      <c r="E6" s="18" t="n">
        <v>128</v>
      </c>
      <c r="F6" s="32" t="n">
        <v>3.5</v>
      </c>
      <c r="G6" s="32" t="n">
        <v>3.4</v>
      </c>
      <c r="H6" s="34" t="n"/>
      <c r="I6" s="18" t="n">
        <v>30</v>
      </c>
      <c r="J6" s="18" t="n">
        <v>25</v>
      </c>
      <c r="K6" s="13" t="inlineStr">
        <is>
          <t>Audit equipements cuisine</t>
        </is>
      </c>
      <c r="L6" s="13" t="inlineStr">
        <is>
          <t>Planifie</t>
        </is>
      </c>
    </row>
    <row r="7" ht="22" customHeight="1">
      <c r="B7" s="11" t="inlineStr">
        <is>
          <t>ARE-003</t>
        </is>
      </c>
      <c r="C7" s="11" t="inlineStr">
        <is>
          <t>Climat social 2024</t>
        </is>
      </c>
      <c r="D7" s="11" t="inlineStr">
        <is>
          <t>Equilibre vie pro/perso</t>
        </is>
      </c>
      <c r="E7" s="17" t="n">
        <v>128</v>
      </c>
      <c r="F7" s="30" t="n">
        <v>3.2</v>
      </c>
      <c r="G7" s="30" t="n">
        <v>3</v>
      </c>
      <c r="H7" s="33" t="n"/>
      <c r="I7" s="17" t="n">
        <v>22</v>
      </c>
      <c r="J7" s="17" t="n">
        <v>35</v>
      </c>
      <c r="K7" s="11" t="inlineStr">
        <is>
          <t>Flexibilite horaires test</t>
        </is>
      </c>
      <c r="L7" s="11" t="inlineStr">
        <is>
          <t>En cours</t>
        </is>
      </c>
    </row>
    <row r="8" ht="22" customHeight="1">
      <c r="B8" s="13" t="inlineStr">
        <is>
          <t>ARE-004</t>
        </is>
      </c>
      <c r="C8" s="13" t="inlineStr">
        <is>
          <t>Climat social 2024</t>
        </is>
      </c>
      <c r="D8" s="13" t="inlineStr">
        <is>
          <t>Reconnaissance au travail</t>
        </is>
      </c>
      <c r="E8" s="18" t="n">
        <v>128</v>
      </c>
      <c r="F8" s="32" t="n">
        <v>4.1</v>
      </c>
      <c r="G8" s="32" t="n">
        <v>3.8</v>
      </c>
      <c r="H8" s="34" t="n"/>
      <c r="I8" s="18" t="n">
        <v>55</v>
      </c>
      <c r="J8" s="18" t="n">
        <v>8</v>
      </c>
      <c r="K8" s="13" t="inlineStr">
        <is>
          <t>Programme employe du mois</t>
        </is>
      </c>
      <c r="L8" s="13" t="inlineStr">
        <is>
          <t>Termine</t>
        </is>
      </c>
    </row>
    <row r="9" ht="22" customHeight="1">
      <c r="B9" s="16">
        <f>IF(C9="","ARE-"&amp;TEXT(COUNTA($C$5:C9),"000"))</f>
        <v/>
      </c>
      <c r="C9" s="11" t="n"/>
      <c r="D9" s="11" t="n"/>
      <c r="E9" s="17" t="n"/>
      <c r="F9" s="30" t="n"/>
      <c r="G9" s="30" t="n"/>
      <c r="H9" s="33">
        <f>IF(OR(F9="",G9=""),"",F9-G9)</f>
        <v/>
      </c>
      <c r="I9" s="17" t="n"/>
      <c r="J9" s="17" t="n"/>
      <c r="K9" s="11" t="n"/>
      <c r="L9" s="11" t="n"/>
    </row>
    <row r="10" ht="22" customHeight="1">
      <c r="B10" s="15">
        <f>IF(C10="","ARE-"&amp;TEXT(COUNTA($C$5:C10),"000"))</f>
        <v/>
      </c>
      <c r="C10" s="13" t="n"/>
      <c r="D10" s="13" t="n"/>
      <c r="E10" s="18" t="n"/>
      <c r="F10" s="32" t="n"/>
      <c r="G10" s="32" t="n"/>
      <c r="H10" s="34">
        <f>IF(OR(F10="",G10=""),"",F10-G10)</f>
        <v/>
      </c>
      <c r="I10" s="18" t="n"/>
      <c r="J10" s="18" t="n"/>
      <c r="K10" s="13" t="n"/>
      <c r="L10" s="13" t="n"/>
    </row>
    <row r="11" ht="22" customHeight="1">
      <c r="B11" s="16">
        <f>IF(C11="","ARE-"&amp;TEXT(COUNTA($C$5:C11),"000"))</f>
        <v/>
      </c>
      <c r="C11" s="11" t="n"/>
      <c r="D11" s="11" t="n"/>
      <c r="E11" s="17" t="n"/>
      <c r="F11" s="30" t="n"/>
      <c r="G11" s="30" t="n"/>
      <c r="H11" s="33">
        <f>IF(OR(F11="",G11=""),"",F11-G11)</f>
        <v/>
      </c>
      <c r="I11" s="17" t="n"/>
      <c r="J11" s="17" t="n"/>
      <c r="K11" s="11" t="n"/>
      <c r="L11" s="11" t="n"/>
    </row>
    <row r="12" ht="22" customHeight="1">
      <c r="B12" s="15">
        <f>IF(C12="","ARE-"&amp;TEXT(COUNTA($C$5:C12),"000"))</f>
        <v/>
      </c>
      <c r="C12" s="13" t="n"/>
      <c r="D12" s="13" t="n"/>
      <c r="E12" s="18" t="n"/>
      <c r="F12" s="32" t="n"/>
      <c r="G12" s="32" t="n"/>
      <c r="H12" s="34">
        <f>IF(OR(F12="",G12=""),"",F12-G12)</f>
        <v/>
      </c>
      <c r="I12" s="18" t="n"/>
      <c r="J12" s="18" t="n"/>
      <c r="K12" s="13" t="n"/>
      <c r="L12" s="13" t="n"/>
    </row>
    <row r="13" ht="22" customHeight="1">
      <c r="B13" s="16">
        <f>IF(C13="","ARE-"&amp;TEXT(COUNTA($C$5:C13),"000"))</f>
        <v/>
      </c>
      <c r="C13" s="11" t="n"/>
      <c r="D13" s="11" t="n"/>
      <c r="E13" s="17" t="n"/>
      <c r="F13" s="30" t="n"/>
      <c r="G13" s="30" t="n"/>
      <c r="H13" s="33">
        <f>IF(OR(F13="",G13=""),"",F13-G13)</f>
        <v/>
      </c>
      <c r="I13" s="17" t="n"/>
      <c r="J13" s="17" t="n"/>
      <c r="K13" s="11" t="n"/>
      <c r="L13" s="11" t="n"/>
    </row>
    <row r="14" ht="22" customHeight="1">
      <c r="B14" s="15">
        <f>IF(C14="","ARE-"&amp;TEXT(COUNTA($C$5:C14),"000"))</f>
        <v/>
      </c>
      <c r="C14" s="13" t="n"/>
      <c r="D14" s="13" t="n"/>
      <c r="E14" s="18" t="n"/>
      <c r="F14" s="32" t="n"/>
      <c r="G14" s="32" t="n"/>
      <c r="H14" s="34">
        <f>IF(OR(F14="",G14=""),"",F14-G14)</f>
        <v/>
      </c>
      <c r="I14" s="18" t="n"/>
      <c r="J14" s="18" t="n"/>
      <c r="K14" s="13" t="n"/>
      <c r="L14" s="13" t="n"/>
    </row>
    <row r="15" ht="22" customHeight="1">
      <c r="B15" s="16">
        <f>IF(C15="","ARE-"&amp;TEXT(COUNTA($C$5:C15),"000"))</f>
        <v/>
      </c>
      <c r="C15" s="11" t="n"/>
      <c r="D15" s="11" t="n"/>
      <c r="E15" s="17" t="n"/>
      <c r="F15" s="30" t="n"/>
      <c r="G15" s="30" t="n"/>
      <c r="H15" s="33">
        <f>IF(OR(F15="",G15=""),"",F15-G15)</f>
        <v/>
      </c>
      <c r="I15" s="17" t="n"/>
      <c r="J15" s="17" t="n"/>
      <c r="K15" s="11" t="n"/>
      <c r="L15" s="11" t="n"/>
    </row>
    <row r="16" ht="22" customHeight="1">
      <c r="B16" s="15">
        <f>IF(C16="","ARE-"&amp;TEXT(COUNTA($C$5:C16),"000"))</f>
        <v/>
      </c>
      <c r="C16" s="13" t="n"/>
      <c r="D16" s="13" t="n"/>
      <c r="E16" s="18" t="n"/>
      <c r="F16" s="32" t="n"/>
      <c r="G16" s="32" t="n"/>
      <c r="H16" s="34">
        <f>IF(OR(F16="",G16=""),"",F16-G16)</f>
        <v/>
      </c>
      <c r="I16" s="18" t="n"/>
      <c r="J16" s="18" t="n"/>
      <c r="K16" s="13" t="n"/>
      <c r="L16" s="13" t="n"/>
    </row>
    <row r="17" ht="22" customHeight="1">
      <c r="B17" s="16">
        <f>IF(C17="","ARE-"&amp;TEXT(COUNTA($C$5:C17),"000"))</f>
        <v/>
      </c>
      <c r="C17" s="11" t="n"/>
      <c r="D17" s="11" t="n"/>
      <c r="E17" s="17" t="n"/>
      <c r="F17" s="30" t="n"/>
      <c r="G17" s="30" t="n"/>
      <c r="H17" s="33">
        <f>IF(OR(F17="",G17=""),"",F17-G17)</f>
        <v/>
      </c>
      <c r="I17" s="17" t="n"/>
      <c r="J17" s="17" t="n"/>
      <c r="K17" s="11" t="n"/>
      <c r="L17" s="11" t="n"/>
    </row>
    <row r="18" ht="22" customHeight="1">
      <c r="B18" s="15">
        <f>IF(C18="","ARE-"&amp;TEXT(COUNTA($C$5:C18),"000"))</f>
        <v/>
      </c>
      <c r="C18" s="13" t="n"/>
      <c r="D18" s="13" t="n"/>
      <c r="E18" s="18" t="n"/>
      <c r="F18" s="32" t="n"/>
      <c r="G18" s="32" t="n"/>
      <c r="H18" s="34">
        <f>IF(OR(F18="",G18=""),"",F18-G18)</f>
        <v/>
      </c>
      <c r="I18" s="18" t="n"/>
      <c r="J18" s="18" t="n"/>
      <c r="K18" s="13" t="n"/>
      <c r="L18" s="13" t="n"/>
    </row>
    <row r="19" ht="22" customHeight="1">
      <c r="B19" s="16">
        <f>IF(C19="","ARE-"&amp;TEXT(COUNTA($C$5:C19),"000"))</f>
        <v/>
      </c>
      <c r="C19" s="11" t="n"/>
      <c r="D19" s="11" t="n"/>
      <c r="E19" s="17" t="n"/>
      <c r="F19" s="30" t="n"/>
      <c r="G19" s="30" t="n"/>
      <c r="H19" s="33">
        <f>IF(OR(F19="",G19=""),"",F19-G19)</f>
        <v/>
      </c>
      <c r="I19" s="17" t="n"/>
      <c r="J19" s="17" t="n"/>
      <c r="K19" s="11" t="n"/>
      <c r="L19" s="11" t="n"/>
    </row>
    <row r="20" ht="22" customHeight="1">
      <c r="B20" s="15">
        <f>IF(C20="","ARE-"&amp;TEXT(COUNTA($C$5:C20),"000"))</f>
        <v/>
      </c>
      <c r="C20" s="13" t="n"/>
      <c r="D20" s="13" t="n"/>
      <c r="E20" s="18" t="n"/>
      <c r="F20" s="32" t="n"/>
      <c r="G20" s="32" t="n"/>
      <c r="H20" s="34">
        <f>IF(OR(F20="",G20=""),"",F20-G20)</f>
        <v/>
      </c>
      <c r="I20" s="18" t="n"/>
      <c r="J20" s="18" t="n"/>
      <c r="K20" s="13" t="n"/>
      <c r="L20" s="13" t="n"/>
    </row>
    <row r="21" ht="22" customHeight="1">
      <c r="B21" s="16">
        <f>IF(C21="","ARE-"&amp;TEXT(COUNTA($C$5:C21),"000"))</f>
        <v/>
      </c>
      <c r="C21" s="11" t="n"/>
      <c r="D21" s="11" t="n"/>
      <c r="E21" s="17" t="n"/>
      <c r="F21" s="30" t="n"/>
      <c r="G21" s="30" t="n"/>
      <c r="H21" s="33">
        <f>IF(OR(F21="",G21=""),"",F21-G21)</f>
        <v/>
      </c>
      <c r="I21" s="17" t="n"/>
      <c r="J21" s="17" t="n"/>
      <c r="K21" s="11" t="n"/>
      <c r="L21" s="11" t="n"/>
    </row>
    <row r="22" ht="22" customHeight="1">
      <c r="B22" s="15">
        <f>IF(C22="","ARE-"&amp;TEXT(COUNTA($C$5:C22),"000"))</f>
        <v/>
      </c>
      <c r="C22" s="13" t="n"/>
      <c r="D22" s="13" t="n"/>
      <c r="E22" s="18" t="n"/>
      <c r="F22" s="32" t="n"/>
      <c r="G22" s="32" t="n"/>
      <c r="H22" s="34">
        <f>IF(OR(F22="",G22=""),"",F22-G22)</f>
        <v/>
      </c>
      <c r="I22" s="18" t="n"/>
      <c r="J22" s="18" t="n"/>
      <c r="K22" s="13" t="n"/>
      <c r="L22" s="13" t="n"/>
    </row>
    <row r="23" ht="22" customHeight="1">
      <c r="B23" s="16">
        <f>IF(C23="","ARE-"&amp;TEXT(COUNTA($C$5:C23),"000"))</f>
        <v/>
      </c>
      <c r="C23" s="11" t="n"/>
      <c r="D23" s="11" t="n"/>
      <c r="E23" s="17" t="n"/>
      <c r="F23" s="30" t="n"/>
      <c r="G23" s="30" t="n"/>
      <c r="H23" s="33">
        <f>IF(OR(F23="",G23=""),"",F23-G23)</f>
        <v/>
      </c>
      <c r="I23" s="17" t="n"/>
      <c r="J23" s="17" t="n"/>
      <c r="K23" s="11" t="n"/>
      <c r="L23" s="11" t="n"/>
    </row>
    <row r="24" ht="22" customHeight="1">
      <c r="B24" s="15">
        <f>IF(C24="","ARE-"&amp;TEXT(COUNTA($C$5:C24),"000"))</f>
        <v/>
      </c>
      <c r="C24" s="13" t="n"/>
      <c r="D24" s="13" t="n"/>
      <c r="E24" s="18" t="n"/>
      <c r="F24" s="32" t="n"/>
      <c r="G24" s="32" t="n"/>
      <c r="H24" s="34">
        <f>IF(OR(F24="",G24=""),"",F24-G24)</f>
        <v/>
      </c>
      <c r="I24" s="18" t="n"/>
      <c r="J24" s="18" t="n"/>
      <c r="K24" s="13" t="n"/>
      <c r="L24" s="13" t="n"/>
    </row>
    <row r="25" ht="22" customHeight="1">
      <c r="B25" s="16">
        <f>IF(C25="","ARE-"&amp;TEXT(COUNTA($C$5:C25),"000"))</f>
        <v/>
      </c>
      <c r="C25" s="11" t="n"/>
      <c r="D25" s="11" t="n"/>
      <c r="E25" s="17" t="n"/>
      <c r="F25" s="30" t="n"/>
      <c r="G25" s="30" t="n"/>
      <c r="H25" s="33">
        <f>IF(OR(F25="",G25=""),"",F25-G25)</f>
        <v/>
      </c>
      <c r="I25" s="17" t="n"/>
      <c r="J25" s="17" t="n"/>
      <c r="K25" s="11" t="n"/>
      <c r="L25" s="11" t="n"/>
    </row>
    <row r="26" ht="22" customHeight="1">
      <c r="B26" s="15">
        <f>IF(C26="","ARE-"&amp;TEXT(COUNTA($C$5:C26),"000"))</f>
        <v/>
      </c>
      <c r="C26" s="13" t="n"/>
      <c r="D26" s="13" t="n"/>
      <c r="E26" s="18" t="n"/>
      <c r="F26" s="32" t="n"/>
      <c r="G26" s="32" t="n"/>
      <c r="H26" s="34">
        <f>IF(OR(F26="",G26=""),"",F26-G26)</f>
        <v/>
      </c>
      <c r="I26" s="18" t="n"/>
      <c r="J26" s="18" t="n"/>
      <c r="K26" s="13" t="n"/>
      <c r="L26" s="13" t="n"/>
    </row>
    <row r="27" ht="22" customHeight="1">
      <c r="B27" s="16">
        <f>IF(C27="","ARE-"&amp;TEXT(COUNTA($C$5:C27),"000"))</f>
        <v/>
      </c>
      <c r="C27" s="11" t="n"/>
      <c r="D27" s="11" t="n"/>
      <c r="E27" s="17" t="n"/>
      <c r="F27" s="30" t="n"/>
      <c r="G27" s="30" t="n"/>
      <c r="H27" s="33">
        <f>IF(OR(F27="",G27=""),"",F27-G27)</f>
        <v/>
      </c>
      <c r="I27" s="17" t="n"/>
      <c r="J27" s="17" t="n"/>
      <c r="K27" s="11" t="n"/>
      <c r="L27" s="11" t="n"/>
    </row>
    <row r="28" ht="22" customHeight="1">
      <c r="B28" s="15">
        <f>IF(C28="","ARE-"&amp;TEXT(COUNTA($C$5:C28),"000"))</f>
        <v/>
      </c>
      <c r="C28" s="13" t="n"/>
      <c r="D28" s="13" t="n"/>
      <c r="E28" s="18" t="n"/>
      <c r="F28" s="32" t="n"/>
      <c r="G28" s="32" t="n"/>
      <c r="H28" s="34">
        <f>IF(OR(F28="",G28=""),"",F28-G28)</f>
        <v/>
      </c>
      <c r="I28" s="18" t="n"/>
      <c r="J28" s="18" t="n"/>
      <c r="K28" s="13" t="n"/>
      <c r="L28" s="13" t="n"/>
    </row>
    <row r="29" ht="22" customHeight="1">
      <c r="B29" s="16">
        <f>IF(C29="","ARE-"&amp;TEXT(COUNTA($C$5:C29),"000"))</f>
        <v/>
      </c>
      <c r="C29" s="11" t="n"/>
      <c r="D29" s="11" t="n"/>
      <c r="E29" s="17" t="n"/>
      <c r="F29" s="30" t="n"/>
      <c r="G29" s="30" t="n"/>
      <c r="H29" s="33">
        <f>IF(OR(F29="",G29=""),"",F29-G29)</f>
        <v/>
      </c>
      <c r="I29" s="17" t="n"/>
      <c r="J29" s="17" t="n"/>
      <c r="K29" s="11" t="n"/>
      <c r="L29" s="11" t="n"/>
    </row>
    <row r="30" ht="22" customHeight="1">
      <c r="B30" s="15">
        <f>IF(C30="","ARE-"&amp;TEXT(COUNTA($C$5:C30),"000"))</f>
        <v/>
      </c>
      <c r="C30" s="13" t="n"/>
      <c r="D30" s="13" t="n"/>
      <c r="E30" s="18" t="n"/>
      <c r="F30" s="32" t="n"/>
      <c r="G30" s="32" t="n"/>
      <c r="H30" s="34">
        <f>IF(OR(F30="",G30=""),"",F30-G30)</f>
        <v/>
      </c>
      <c r="I30" s="18" t="n"/>
      <c r="J30" s="18" t="n"/>
      <c r="K30" s="13" t="n"/>
      <c r="L30" s="13" t="n"/>
    </row>
    <row r="31" ht="22" customHeight="1">
      <c r="B31" s="16">
        <f>IF(C31="","ARE-"&amp;TEXT(COUNTA($C$5:C31),"000"))</f>
        <v/>
      </c>
      <c r="C31" s="11" t="n"/>
      <c r="D31" s="11" t="n"/>
      <c r="E31" s="17" t="n"/>
      <c r="F31" s="30" t="n"/>
      <c r="G31" s="30" t="n"/>
      <c r="H31" s="33">
        <f>IF(OR(F31="",G31=""),"",F31-G31)</f>
        <v/>
      </c>
      <c r="I31" s="17" t="n"/>
      <c r="J31" s="17" t="n"/>
      <c r="K31" s="11" t="n"/>
      <c r="L31" s="11" t="n"/>
    </row>
    <row r="32" ht="22" customHeight="1">
      <c r="B32" s="15">
        <f>IF(C32="","ARE-"&amp;TEXT(COUNTA($C$5:C32),"000"))</f>
        <v/>
      </c>
      <c r="C32" s="13" t="n"/>
      <c r="D32" s="13" t="n"/>
      <c r="E32" s="18" t="n"/>
      <c r="F32" s="32" t="n"/>
      <c r="G32" s="32" t="n"/>
      <c r="H32" s="34">
        <f>IF(OR(F32="",G32=""),"",F32-G32)</f>
        <v/>
      </c>
      <c r="I32" s="18" t="n"/>
      <c r="J32" s="18" t="n"/>
      <c r="K32" s="13" t="n"/>
      <c r="L32" s="13" t="n"/>
    </row>
    <row r="33" ht="22" customHeight="1">
      <c r="B33" s="16">
        <f>IF(C33="","ARE-"&amp;TEXT(COUNTA($C$5:C33),"000"))</f>
        <v/>
      </c>
      <c r="C33" s="11" t="n"/>
      <c r="D33" s="11" t="n"/>
      <c r="E33" s="17" t="n"/>
      <c r="F33" s="30" t="n"/>
      <c r="G33" s="30" t="n"/>
      <c r="H33" s="33">
        <f>IF(OR(F33="",G33=""),"",F33-G33)</f>
        <v/>
      </c>
      <c r="I33" s="17" t="n"/>
      <c r="J33" s="17" t="n"/>
      <c r="K33" s="11" t="n"/>
      <c r="L33" s="11" t="n"/>
    </row>
    <row r="34" ht="22" customHeight="1">
      <c r="B34" s="15">
        <f>IF(C34="","ARE-"&amp;TEXT(COUNTA($C$5:C34),"000"))</f>
        <v/>
      </c>
      <c r="C34" s="13" t="n"/>
      <c r="D34" s="13" t="n"/>
      <c r="E34" s="18" t="n"/>
      <c r="F34" s="32" t="n"/>
      <c r="G34" s="32" t="n"/>
      <c r="H34" s="34">
        <f>IF(OR(F34="",G34=""),"",F34-G34)</f>
        <v/>
      </c>
      <c r="I34" s="18" t="n"/>
      <c r="J34" s="18" t="n"/>
      <c r="K34" s="13" t="n"/>
      <c r="L34" s="13" t="n"/>
    </row>
    <row r="35" ht="22" customHeight="1">
      <c r="B35" s="16">
        <f>IF(C35="","ARE-"&amp;TEXT(COUNTA($C$5:C35),"000"))</f>
        <v/>
      </c>
      <c r="C35" s="11" t="n"/>
      <c r="D35" s="11" t="n"/>
      <c r="E35" s="17" t="n"/>
      <c r="F35" s="30" t="n"/>
      <c r="G35" s="30" t="n"/>
      <c r="H35" s="33">
        <f>IF(OR(F35="",G35=""),"",F35-G35)</f>
        <v/>
      </c>
      <c r="I35" s="17" t="n"/>
      <c r="J35" s="17" t="n"/>
      <c r="K35" s="11" t="n"/>
      <c r="L35" s="11" t="n"/>
    </row>
    <row r="36" ht="22" customHeight="1">
      <c r="B36" s="15">
        <f>IF(C36="","ARE-"&amp;TEXT(COUNTA($C$5:C36),"000"))</f>
        <v/>
      </c>
      <c r="C36" s="13" t="n"/>
      <c r="D36" s="13" t="n"/>
      <c r="E36" s="18" t="n"/>
      <c r="F36" s="32" t="n"/>
      <c r="G36" s="32" t="n"/>
      <c r="H36" s="34">
        <f>IF(OR(F36="",G36=""),"",F36-G36)</f>
        <v/>
      </c>
      <c r="I36" s="18" t="n"/>
      <c r="J36" s="18" t="n"/>
      <c r="K36" s="13" t="n"/>
      <c r="L36" s="13" t="n"/>
    </row>
    <row r="37" ht="22" customHeight="1">
      <c r="B37" s="16">
        <f>IF(C37="","ARE-"&amp;TEXT(COUNTA($C$5:C37),"000"))</f>
        <v/>
      </c>
      <c r="C37" s="11" t="n"/>
      <c r="D37" s="11" t="n"/>
      <c r="E37" s="17" t="n"/>
      <c r="F37" s="30" t="n"/>
      <c r="G37" s="30" t="n"/>
      <c r="H37" s="33">
        <f>IF(OR(F37="",G37=""),"",F37-G37)</f>
        <v/>
      </c>
      <c r="I37" s="17" t="n"/>
      <c r="J37" s="17" t="n"/>
      <c r="K37" s="11" t="n"/>
      <c r="L37" s="11" t="n"/>
    </row>
    <row r="38" ht="22" customHeight="1">
      <c r="B38" s="15">
        <f>IF(C38="","ARE-"&amp;TEXT(COUNTA($C$5:C38),"000"))</f>
        <v/>
      </c>
      <c r="C38" s="13" t="n"/>
      <c r="D38" s="13" t="n"/>
      <c r="E38" s="18" t="n"/>
      <c r="F38" s="32" t="n"/>
      <c r="G38" s="32" t="n"/>
      <c r="H38" s="34">
        <f>IF(OR(F38="",G38=""),"",F38-G38)</f>
        <v/>
      </c>
      <c r="I38" s="18" t="n"/>
      <c r="J38" s="18" t="n"/>
      <c r="K38" s="13" t="n"/>
      <c r="L38" s="13" t="n"/>
    </row>
    <row r="39" ht="22" customHeight="1">
      <c r="B39" s="16">
        <f>IF(C39="","ARE-"&amp;TEXT(COUNTA($C$5:C39),"000"))</f>
        <v/>
      </c>
      <c r="C39" s="11" t="n"/>
      <c r="D39" s="11" t="n"/>
      <c r="E39" s="17" t="n"/>
      <c r="F39" s="30" t="n"/>
      <c r="G39" s="30" t="n"/>
      <c r="H39" s="33">
        <f>IF(OR(F39="",G39=""),"",F39-G39)</f>
        <v/>
      </c>
      <c r="I39" s="17" t="n"/>
      <c r="J39" s="17" t="n"/>
      <c r="K39" s="11" t="n"/>
      <c r="L39" s="11" t="n"/>
    </row>
    <row r="40" ht="22" customHeight="1">
      <c r="B40" s="15">
        <f>IF(C40="","ARE-"&amp;TEXT(COUNTA($C$5:C40),"000"))</f>
        <v/>
      </c>
      <c r="C40" s="13" t="n"/>
      <c r="D40" s="13" t="n"/>
      <c r="E40" s="18" t="n"/>
      <c r="F40" s="32" t="n"/>
      <c r="G40" s="32" t="n"/>
      <c r="H40" s="34">
        <f>IF(OR(F40="",G40=""),"",F40-G40)</f>
        <v/>
      </c>
      <c r="I40" s="18" t="n"/>
      <c r="J40" s="18" t="n"/>
      <c r="K40" s="13" t="n"/>
      <c r="L40" s="13" t="n"/>
    </row>
    <row r="41" ht="22" customHeight="1">
      <c r="B41" s="16">
        <f>IF(C41="","ARE-"&amp;TEXT(COUNTA($C$5:C41),"000"))</f>
        <v/>
      </c>
      <c r="C41" s="11" t="n"/>
      <c r="D41" s="11" t="n"/>
      <c r="E41" s="17" t="n"/>
      <c r="F41" s="30" t="n"/>
      <c r="G41" s="30" t="n"/>
      <c r="H41" s="33">
        <f>IF(OR(F41="",G41=""),"",F41-G41)</f>
        <v/>
      </c>
      <c r="I41" s="17" t="n"/>
      <c r="J41" s="17" t="n"/>
      <c r="K41" s="11" t="n"/>
      <c r="L41" s="11" t="n"/>
    </row>
    <row r="42" ht="22" customHeight="1">
      <c r="B42" s="15">
        <f>IF(C42="","ARE-"&amp;TEXT(COUNTA($C$5:C42),"000"))</f>
        <v/>
      </c>
      <c r="C42" s="13" t="n"/>
      <c r="D42" s="13" t="n"/>
      <c r="E42" s="18" t="n"/>
      <c r="F42" s="32" t="n"/>
      <c r="G42" s="32" t="n"/>
      <c r="H42" s="34">
        <f>IF(OR(F42="",G42=""),"",F42-G42)</f>
        <v/>
      </c>
      <c r="I42" s="18" t="n"/>
      <c r="J42" s="18" t="n"/>
      <c r="K42" s="13" t="n"/>
      <c r="L42" s="13" t="n"/>
    </row>
    <row r="43" ht="22" customHeight="1">
      <c r="B43" s="16">
        <f>IF(C43="","ARE-"&amp;TEXT(COUNTA($C$5:C43),"000"))</f>
        <v/>
      </c>
      <c r="C43" s="11" t="n"/>
      <c r="D43" s="11" t="n"/>
      <c r="E43" s="17" t="n"/>
      <c r="F43" s="30" t="n"/>
      <c r="G43" s="30" t="n"/>
      <c r="H43" s="33">
        <f>IF(OR(F43="",G43=""),"",F43-G43)</f>
        <v/>
      </c>
      <c r="I43" s="17" t="n"/>
      <c r="J43" s="17" t="n"/>
      <c r="K43" s="11" t="n"/>
      <c r="L43" s="11" t="n"/>
    </row>
    <row r="44" ht="22" customHeight="1">
      <c r="B44" s="15">
        <f>IF(C44="","ARE-"&amp;TEXT(COUNTA($C$5:C44),"000"))</f>
        <v/>
      </c>
      <c r="C44" s="13" t="n"/>
      <c r="D44" s="13" t="n"/>
      <c r="E44" s="18" t="n"/>
      <c r="F44" s="32" t="n"/>
      <c r="G44" s="32" t="n"/>
      <c r="H44" s="34">
        <f>IF(OR(F44="",G44=""),"",F44-G44)</f>
        <v/>
      </c>
      <c r="I44" s="18" t="n"/>
      <c r="J44" s="18" t="n"/>
      <c r="K44" s="13" t="n"/>
      <c r="L44" s="13" t="n"/>
    </row>
    <row r="45" ht="22" customHeight="1">
      <c r="B45" s="16">
        <f>IF(C45="","ARE-"&amp;TEXT(COUNTA($C$5:C45),"000"))</f>
        <v/>
      </c>
      <c r="C45" s="11" t="n"/>
      <c r="D45" s="11" t="n"/>
      <c r="E45" s="17" t="n"/>
      <c r="F45" s="30" t="n"/>
      <c r="G45" s="30" t="n"/>
      <c r="H45" s="33">
        <f>IF(OR(F45="",G45=""),"",F45-G45)</f>
        <v/>
      </c>
      <c r="I45" s="17" t="n"/>
      <c r="J45" s="17" t="n"/>
      <c r="K45" s="11" t="n"/>
      <c r="L45" s="11" t="n"/>
    </row>
    <row r="46" ht="22" customHeight="1">
      <c r="B46" s="15">
        <f>IF(C46="","ARE-"&amp;TEXT(COUNTA($C$5:C46),"000"))</f>
        <v/>
      </c>
      <c r="C46" s="13" t="n"/>
      <c r="D46" s="13" t="n"/>
      <c r="E46" s="18" t="n"/>
      <c r="F46" s="32" t="n"/>
      <c r="G46" s="32" t="n"/>
      <c r="H46" s="34">
        <f>IF(OR(F46="",G46=""),"",F46-G46)</f>
        <v/>
      </c>
      <c r="I46" s="18" t="n"/>
      <c r="J46" s="18" t="n"/>
      <c r="K46" s="13" t="n"/>
      <c r="L46" s="13" t="n"/>
    </row>
    <row r="47" ht="22" customHeight="1">
      <c r="B47" s="16">
        <f>IF(C47="","ARE-"&amp;TEXT(COUNTA($C$5:C47),"000"))</f>
        <v/>
      </c>
      <c r="C47" s="11" t="n"/>
      <c r="D47" s="11" t="n"/>
      <c r="E47" s="17" t="n"/>
      <c r="F47" s="30" t="n"/>
      <c r="G47" s="30" t="n"/>
      <c r="H47" s="33">
        <f>IF(OR(F47="",G47=""),"",F47-G47)</f>
        <v/>
      </c>
      <c r="I47" s="17" t="n"/>
      <c r="J47" s="17" t="n"/>
      <c r="K47" s="11" t="n"/>
      <c r="L47" s="11" t="n"/>
    </row>
    <row r="48" ht="22" customHeight="1">
      <c r="B48" s="15">
        <f>IF(C48="","ARE-"&amp;TEXT(COUNTA($C$5:C48),"000"))</f>
        <v/>
      </c>
      <c r="C48" s="13" t="n"/>
      <c r="D48" s="13" t="n"/>
      <c r="E48" s="18" t="n"/>
      <c r="F48" s="32" t="n"/>
      <c r="G48" s="32" t="n"/>
      <c r="H48" s="34">
        <f>IF(OR(F48="",G48=""),"",F48-G48)</f>
        <v/>
      </c>
      <c r="I48" s="18" t="n"/>
      <c r="J48" s="18" t="n"/>
      <c r="K48" s="13" t="n"/>
      <c r="L48" s="13" t="n"/>
    </row>
    <row r="49" ht="22" customHeight="1">
      <c r="B49" s="16">
        <f>IF(C49="","ARE-"&amp;TEXT(COUNTA($C$5:C49),"000"))</f>
        <v/>
      </c>
      <c r="C49" s="11" t="n"/>
      <c r="D49" s="11" t="n"/>
      <c r="E49" s="17" t="n"/>
      <c r="F49" s="30" t="n"/>
      <c r="G49" s="30" t="n"/>
      <c r="H49" s="33">
        <f>IF(OR(F49="",G49=""),"",F49-G49)</f>
        <v/>
      </c>
      <c r="I49" s="17" t="n"/>
      <c r="J49" s="17" t="n"/>
      <c r="K49" s="11" t="n"/>
      <c r="L49" s="11" t="n"/>
    </row>
    <row r="50" ht="22" customHeight="1">
      <c r="B50" s="15">
        <f>IF(C50="","ARE-"&amp;TEXT(COUNTA($C$5:C50),"000"))</f>
        <v/>
      </c>
      <c r="C50" s="13" t="n"/>
      <c r="D50" s="13" t="n"/>
      <c r="E50" s="18" t="n"/>
      <c r="F50" s="32" t="n"/>
      <c r="G50" s="32" t="n"/>
      <c r="H50" s="34">
        <f>IF(OR(F50="",G50=""),"",F50-G50)</f>
        <v/>
      </c>
      <c r="I50" s="18" t="n"/>
      <c r="J50" s="18" t="n"/>
      <c r="K50" s="13" t="n"/>
      <c r="L50" s="13" t="n"/>
    </row>
    <row r="51" ht="22" customHeight="1">
      <c r="B51" s="16">
        <f>IF(C51="","ARE-"&amp;TEXT(COUNTA($C$5:C51),"000"))</f>
        <v/>
      </c>
      <c r="C51" s="11" t="n"/>
      <c r="D51" s="11" t="n"/>
      <c r="E51" s="17" t="n"/>
      <c r="F51" s="30" t="n"/>
      <c r="G51" s="30" t="n"/>
      <c r="H51" s="33">
        <f>IF(OR(F51="",G51=""),"",F51-G51)</f>
        <v/>
      </c>
      <c r="I51" s="17" t="n"/>
      <c r="J51" s="17" t="n"/>
      <c r="K51" s="11" t="n"/>
      <c r="L51" s="11" t="n"/>
    </row>
    <row r="52" ht="22" customHeight="1">
      <c r="B52" s="15">
        <f>IF(C52="","ARE-"&amp;TEXT(COUNTA($C$5:C52),"000"))</f>
        <v/>
      </c>
      <c r="C52" s="13" t="n"/>
      <c r="D52" s="13" t="n"/>
      <c r="E52" s="18" t="n"/>
      <c r="F52" s="32" t="n"/>
      <c r="G52" s="32" t="n"/>
      <c r="H52" s="34">
        <f>IF(OR(F52="",G52=""),"",F52-G52)</f>
        <v/>
      </c>
      <c r="I52" s="18" t="n"/>
      <c r="J52" s="18" t="n"/>
      <c r="K52" s="13" t="n"/>
      <c r="L52" s="13" t="n"/>
    </row>
    <row r="53" ht="22" customHeight="1">
      <c r="B53" s="16">
        <f>IF(C53="","ARE-"&amp;TEXT(COUNTA($C$5:C53),"000"))</f>
        <v/>
      </c>
      <c r="C53" s="11" t="n"/>
      <c r="D53" s="11" t="n"/>
      <c r="E53" s="17" t="n"/>
      <c r="F53" s="30" t="n"/>
      <c r="G53" s="30" t="n"/>
      <c r="H53" s="33">
        <f>IF(OR(F53="",G53=""),"",F53-G53)</f>
        <v/>
      </c>
      <c r="I53" s="17" t="n"/>
      <c r="J53" s="17" t="n"/>
      <c r="K53" s="11" t="n"/>
      <c r="L53" s="11" t="n"/>
    </row>
    <row r="54" ht="22" customHeight="1">
      <c r="B54" s="15">
        <f>IF(C54="","ARE-"&amp;TEXT(COUNTA($C$5:C54),"000"))</f>
        <v/>
      </c>
      <c r="C54" s="13" t="n"/>
      <c r="D54" s="13" t="n"/>
      <c r="E54" s="18" t="n"/>
      <c r="F54" s="32" t="n"/>
      <c r="G54" s="32" t="n"/>
      <c r="H54" s="34">
        <f>IF(OR(F54="",G54=""),"",F54-G54)</f>
        <v/>
      </c>
      <c r="I54" s="18" t="n"/>
      <c r="J54" s="18" t="n"/>
      <c r="K54" s="13" t="n"/>
      <c r="L54" s="13" t="n"/>
    </row>
    <row r="55" ht="22" customHeight="1">
      <c r="B55" s="16">
        <f>IF(C55="","ARE-"&amp;TEXT(COUNTA($C$5:C55),"000"))</f>
        <v/>
      </c>
      <c r="C55" s="11" t="n"/>
      <c r="D55" s="11" t="n"/>
      <c r="E55" s="17" t="n"/>
      <c r="F55" s="30" t="n"/>
      <c r="G55" s="30" t="n"/>
      <c r="H55" s="33">
        <f>IF(OR(F55="",G55=""),"",F55-G55)</f>
        <v/>
      </c>
      <c r="I55" s="17" t="n"/>
      <c r="J55" s="17" t="n"/>
      <c r="K55" s="11" t="n"/>
      <c r="L55" s="11" t="n"/>
    </row>
    <row r="56" ht="22" customHeight="1">
      <c r="B56" s="15">
        <f>IF(C56="","ARE-"&amp;TEXT(COUNTA($C$5:C56),"000"))</f>
        <v/>
      </c>
      <c r="C56" s="13" t="n"/>
      <c r="D56" s="13" t="n"/>
      <c r="E56" s="18" t="n"/>
      <c r="F56" s="32" t="n"/>
      <c r="G56" s="32" t="n"/>
      <c r="H56" s="34">
        <f>IF(OR(F56="",G56=""),"",F56-G56)</f>
        <v/>
      </c>
      <c r="I56" s="18" t="n"/>
      <c r="J56" s="18" t="n"/>
      <c r="K56" s="13" t="n"/>
      <c r="L56" s="13" t="n"/>
    </row>
    <row r="57" ht="22" customHeight="1">
      <c r="B57" s="16">
        <f>IF(C57="","ARE-"&amp;TEXT(COUNTA($C$5:C57),"000"))</f>
        <v/>
      </c>
      <c r="C57" s="11" t="n"/>
      <c r="D57" s="11" t="n"/>
      <c r="E57" s="17" t="n"/>
      <c r="F57" s="30" t="n"/>
      <c r="G57" s="30" t="n"/>
      <c r="H57" s="33">
        <f>IF(OR(F57="",G57=""),"",F57-G57)</f>
        <v/>
      </c>
      <c r="I57" s="17" t="n"/>
      <c r="J57" s="17" t="n"/>
      <c r="K57" s="11" t="n"/>
      <c r="L57" s="11" t="n"/>
    </row>
    <row r="58" ht="22" customHeight="1">
      <c r="B58" s="15">
        <f>IF(C58="","ARE-"&amp;TEXT(COUNTA($C$5:C58),"000"))</f>
        <v/>
      </c>
      <c r="C58" s="13" t="n"/>
      <c r="D58" s="13" t="n"/>
      <c r="E58" s="18" t="n"/>
      <c r="F58" s="32" t="n"/>
      <c r="G58" s="32" t="n"/>
      <c r="H58" s="34">
        <f>IF(OR(F58="",G58=""),"",F58-G58)</f>
        <v/>
      </c>
      <c r="I58" s="18" t="n"/>
      <c r="J58" s="18" t="n"/>
      <c r="K58" s="13" t="n"/>
      <c r="L58" s="13" t="n"/>
    </row>
    <row r="59" ht="22" customHeight="1">
      <c r="B59" s="16">
        <f>IF(C59="","ARE-"&amp;TEXT(COUNTA($C$5:C59),"000"))</f>
        <v/>
      </c>
      <c r="C59" s="11" t="n"/>
      <c r="D59" s="11" t="n"/>
      <c r="E59" s="17" t="n"/>
      <c r="F59" s="30" t="n"/>
      <c r="G59" s="30" t="n"/>
      <c r="H59" s="33">
        <f>IF(OR(F59="",G59=""),"",F59-G59)</f>
        <v/>
      </c>
      <c r="I59" s="17" t="n"/>
      <c r="J59" s="17" t="n"/>
      <c r="K59" s="11" t="n"/>
      <c r="L59" s="11" t="n"/>
    </row>
    <row r="60" ht="22" customHeight="1">
      <c r="B60" s="15">
        <f>IF(C60="","ARE-"&amp;TEXT(COUNTA($C$5:C60),"000"))</f>
        <v/>
      </c>
      <c r="C60" s="13" t="n"/>
      <c r="D60" s="13" t="n"/>
      <c r="E60" s="18" t="n"/>
      <c r="F60" s="32" t="n"/>
      <c r="G60" s="32" t="n"/>
      <c r="H60" s="34">
        <f>IF(OR(F60="",G60=""),"",F60-G60)</f>
        <v/>
      </c>
      <c r="I60" s="18" t="n"/>
      <c r="J60" s="18" t="n"/>
      <c r="K60" s="13" t="n"/>
      <c r="L60" s="13" t="n"/>
    </row>
    <row r="61" ht="22" customHeight="1">
      <c r="B61" s="16">
        <f>IF(C61="","ARE-"&amp;TEXT(COUNTA($C$5:C61),"000"))</f>
        <v/>
      </c>
      <c r="C61" s="11" t="n"/>
      <c r="D61" s="11" t="n"/>
      <c r="E61" s="17" t="n"/>
      <c r="F61" s="30" t="n"/>
      <c r="G61" s="30" t="n"/>
      <c r="H61" s="33">
        <f>IF(OR(F61="",G61=""),"",F61-G61)</f>
        <v/>
      </c>
      <c r="I61" s="17" t="n"/>
      <c r="J61" s="17" t="n"/>
      <c r="K61" s="11" t="n"/>
      <c r="L61" s="11" t="n"/>
    </row>
    <row r="62" ht="22" customHeight="1">
      <c r="B62" s="15">
        <f>IF(C62="","ARE-"&amp;TEXT(COUNTA($C$5:C62),"000"))</f>
        <v/>
      </c>
      <c r="C62" s="13" t="n"/>
      <c r="D62" s="13" t="n"/>
      <c r="E62" s="18" t="n"/>
      <c r="F62" s="32" t="n"/>
      <c r="G62" s="32" t="n"/>
      <c r="H62" s="34">
        <f>IF(OR(F62="",G62=""),"",F62-G62)</f>
        <v/>
      </c>
      <c r="I62" s="18" t="n"/>
      <c r="J62" s="18" t="n"/>
      <c r="K62" s="13" t="n"/>
      <c r="L62" s="13" t="n"/>
    </row>
    <row r="63" ht="22" customHeight="1">
      <c r="B63" s="16">
        <f>IF(C63="","ARE-"&amp;TEXT(COUNTA($C$5:C63),"000"))</f>
        <v/>
      </c>
      <c r="C63" s="11" t="n"/>
      <c r="D63" s="11" t="n"/>
      <c r="E63" s="17" t="n"/>
      <c r="F63" s="30" t="n"/>
      <c r="G63" s="30" t="n"/>
      <c r="H63" s="33">
        <f>IF(OR(F63="",G63=""),"",F63-G63)</f>
        <v/>
      </c>
      <c r="I63" s="17" t="n"/>
      <c r="J63" s="17" t="n"/>
      <c r="K63" s="11" t="n"/>
      <c r="L63" s="11" t="n"/>
    </row>
    <row r="64" ht="22" customHeight="1">
      <c r="B64" s="15">
        <f>IF(C64="","ARE-"&amp;TEXT(COUNTA($C$5:C64),"000"))</f>
        <v/>
      </c>
      <c r="C64" s="13" t="n"/>
      <c r="D64" s="13" t="n"/>
      <c r="E64" s="18" t="n"/>
      <c r="F64" s="32" t="n"/>
      <c r="G64" s="32" t="n"/>
      <c r="H64" s="34">
        <f>IF(OR(F64="",G64=""),"",F64-G64)</f>
        <v/>
      </c>
      <c r="I64" s="18" t="n"/>
      <c r="J64" s="18" t="n"/>
      <c r="K64" s="13" t="n"/>
      <c r="L64" s="13" t="n"/>
    </row>
    <row r="65" ht="22" customHeight="1">
      <c r="B65" s="16">
        <f>IF(C65="","ARE-"&amp;TEXT(COUNTA($C$5:C65),"000"))</f>
        <v/>
      </c>
      <c r="C65" s="11" t="n"/>
      <c r="D65" s="11" t="n"/>
      <c r="E65" s="17" t="n"/>
      <c r="F65" s="30" t="n"/>
      <c r="G65" s="30" t="n"/>
      <c r="H65" s="33">
        <f>IF(OR(F65="",G65=""),"",F65-G65)</f>
        <v/>
      </c>
      <c r="I65" s="17" t="n"/>
      <c r="J65" s="17" t="n"/>
      <c r="K65" s="11" t="n"/>
      <c r="L65" s="11" t="n"/>
    </row>
    <row r="66" ht="22" customHeight="1">
      <c r="B66" s="15">
        <f>IF(C66="","ARE-"&amp;TEXT(COUNTA($C$5:C66),"000"))</f>
        <v/>
      </c>
      <c r="C66" s="13" t="n"/>
      <c r="D66" s="13" t="n"/>
      <c r="E66" s="18" t="n"/>
      <c r="F66" s="32" t="n"/>
      <c r="G66" s="32" t="n"/>
      <c r="H66" s="34">
        <f>IF(OR(F66="",G66=""),"",F66-G66)</f>
        <v/>
      </c>
      <c r="I66" s="18" t="n"/>
      <c r="J66" s="18" t="n"/>
      <c r="K66" s="13" t="n"/>
      <c r="L66" s="13" t="n"/>
    </row>
    <row r="67" ht="22" customHeight="1">
      <c r="B67" s="16">
        <f>IF(C67="","ARE-"&amp;TEXT(COUNTA($C$5:C67),"000"))</f>
        <v/>
      </c>
      <c r="C67" s="11" t="n"/>
      <c r="D67" s="11" t="n"/>
      <c r="E67" s="17" t="n"/>
      <c r="F67" s="30" t="n"/>
      <c r="G67" s="30" t="n"/>
      <c r="H67" s="33">
        <f>IF(OR(F67="",G67=""),"",F67-G67)</f>
        <v/>
      </c>
      <c r="I67" s="17" t="n"/>
      <c r="J67" s="17" t="n"/>
      <c r="K67" s="11" t="n"/>
      <c r="L67" s="11" t="n"/>
    </row>
    <row r="68" ht="22" customHeight="1">
      <c r="B68" s="15">
        <f>IF(C68="","ARE-"&amp;TEXT(COUNTA($C$5:C68),"000"))</f>
        <v/>
      </c>
      <c r="C68" s="13" t="n"/>
      <c r="D68" s="13" t="n"/>
      <c r="E68" s="18" t="n"/>
      <c r="F68" s="32" t="n"/>
      <c r="G68" s="32" t="n"/>
      <c r="H68" s="34">
        <f>IF(OR(F68="",G68=""),"",F68-G68)</f>
        <v/>
      </c>
      <c r="I68" s="18" t="n"/>
      <c r="J68" s="18" t="n"/>
      <c r="K68" s="13" t="n"/>
      <c r="L68" s="13" t="n"/>
    </row>
    <row r="69" ht="22" customHeight="1">
      <c r="B69" s="16">
        <f>IF(C69="","ARE-"&amp;TEXT(COUNTA($C$5:C69),"000"))</f>
        <v/>
      </c>
      <c r="C69" s="11" t="n"/>
      <c r="D69" s="11" t="n"/>
      <c r="E69" s="17" t="n"/>
      <c r="F69" s="30" t="n"/>
      <c r="G69" s="30" t="n"/>
      <c r="H69" s="33">
        <f>IF(OR(F69="",G69=""),"",F69-G69)</f>
        <v/>
      </c>
      <c r="I69" s="17" t="n"/>
      <c r="J69" s="17" t="n"/>
      <c r="K69" s="11" t="n"/>
      <c r="L69" s="11" t="n"/>
    </row>
    <row r="70" ht="22" customHeight="1">
      <c r="B70" s="15">
        <f>IF(C70="","ARE-"&amp;TEXT(COUNTA($C$5:C70),"000"))</f>
        <v/>
      </c>
      <c r="C70" s="13" t="n"/>
      <c r="D70" s="13" t="n"/>
      <c r="E70" s="18" t="n"/>
      <c r="F70" s="32" t="n"/>
      <c r="G70" s="32" t="n"/>
      <c r="H70" s="34">
        <f>IF(OR(F70="",G70=""),"",F70-G70)</f>
        <v/>
      </c>
      <c r="I70" s="18" t="n"/>
      <c r="J70" s="18" t="n"/>
      <c r="K70" s="13" t="n"/>
      <c r="L70" s="13" t="n"/>
    </row>
    <row r="71" ht="22" customHeight="1">
      <c r="B71" s="16">
        <f>IF(C71="","ARE-"&amp;TEXT(COUNTA($C$5:C71),"000"))</f>
        <v/>
      </c>
      <c r="C71" s="11" t="n"/>
      <c r="D71" s="11" t="n"/>
      <c r="E71" s="17" t="n"/>
      <c r="F71" s="30" t="n"/>
      <c r="G71" s="30" t="n"/>
      <c r="H71" s="33">
        <f>IF(OR(F71="",G71=""),"",F71-G71)</f>
        <v/>
      </c>
      <c r="I71" s="17" t="n"/>
      <c r="J71" s="17" t="n"/>
      <c r="K71" s="11" t="n"/>
      <c r="L71" s="11" t="n"/>
    </row>
    <row r="72" ht="22" customHeight="1">
      <c r="B72" s="15">
        <f>IF(C72="","ARE-"&amp;TEXT(COUNTA($C$5:C72),"000"))</f>
        <v/>
      </c>
      <c r="C72" s="13" t="n"/>
      <c r="D72" s="13" t="n"/>
      <c r="E72" s="18" t="n"/>
      <c r="F72" s="32" t="n"/>
      <c r="G72" s="32" t="n"/>
      <c r="H72" s="34">
        <f>IF(OR(F72="",G72=""),"",F72-G72)</f>
        <v/>
      </c>
      <c r="I72" s="18" t="n"/>
      <c r="J72" s="18" t="n"/>
      <c r="K72" s="13" t="n"/>
      <c r="L72" s="13" t="n"/>
    </row>
    <row r="73" ht="22" customHeight="1">
      <c r="B73" s="16">
        <f>IF(C73="","ARE-"&amp;TEXT(COUNTA($C$5:C73),"000"))</f>
        <v/>
      </c>
      <c r="C73" s="11" t="n"/>
      <c r="D73" s="11" t="n"/>
      <c r="E73" s="17" t="n"/>
      <c r="F73" s="30" t="n"/>
      <c r="G73" s="30" t="n"/>
      <c r="H73" s="33">
        <f>IF(OR(F73="",G73=""),"",F73-G73)</f>
        <v/>
      </c>
      <c r="I73" s="17" t="n"/>
      <c r="J73" s="17" t="n"/>
      <c r="K73" s="11" t="n"/>
      <c r="L73" s="11" t="n"/>
    </row>
    <row r="74" ht="22" customHeight="1">
      <c r="B74" s="15">
        <f>IF(C74="","ARE-"&amp;TEXT(COUNTA($C$5:C74),"000"))</f>
        <v/>
      </c>
      <c r="C74" s="13" t="n"/>
      <c r="D74" s="13" t="n"/>
      <c r="E74" s="18" t="n"/>
      <c r="F74" s="32" t="n"/>
      <c r="G74" s="32" t="n"/>
      <c r="H74" s="34">
        <f>IF(OR(F74="",G74=""),"",F74-G74)</f>
        <v/>
      </c>
      <c r="I74" s="18" t="n"/>
      <c r="J74" s="18" t="n"/>
      <c r="K74" s="13" t="n"/>
      <c r="L74" s="13" t="n"/>
    </row>
    <row r="75" ht="22" customHeight="1">
      <c r="B75" s="16">
        <f>IF(C75="","ARE-"&amp;TEXT(COUNTA($C$5:C75),"000"))</f>
        <v/>
      </c>
      <c r="C75" s="11" t="n"/>
      <c r="D75" s="11" t="n"/>
      <c r="E75" s="17" t="n"/>
      <c r="F75" s="30" t="n"/>
      <c r="G75" s="30" t="n"/>
      <c r="H75" s="33">
        <f>IF(OR(F75="",G75=""),"",F75-G75)</f>
        <v/>
      </c>
      <c r="I75" s="17" t="n"/>
      <c r="J75" s="17" t="n"/>
      <c r="K75" s="11" t="n"/>
      <c r="L75" s="11" t="n"/>
    </row>
    <row r="76" ht="22" customHeight="1">
      <c r="B76" s="15">
        <f>IF(C76="","ARE-"&amp;TEXT(COUNTA($C$5:C76),"000"))</f>
        <v/>
      </c>
      <c r="C76" s="13" t="n"/>
      <c r="D76" s="13" t="n"/>
      <c r="E76" s="18" t="n"/>
      <c r="F76" s="32" t="n"/>
      <c r="G76" s="32" t="n"/>
      <c r="H76" s="34">
        <f>IF(OR(F76="",G76=""),"",F76-G76)</f>
        <v/>
      </c>
      <c r="I76" s="18" t="n"/>
      <c r="J76" s="18" t="n"/>
      <c r="K76" s="13" t="n"/>
      <c r="L76" s="13" t="n"/>
    </row>
    <row r="77" ht="22" customHeight="1">
      <c r="B77" s="16">
        <f>IF(C77="","ARE-"&amp;TEXT(COUNTA($C$5:C77),"000"))</f>
        <v/>
      </c>
      <c r="C77" s="11" t="n"/>
      <c r="D77" s="11" t="n"/>
      <c r="E77" s="17" t="n"/>
      <c r="F77" s="30" t="n"/>
      <c r="G77" s="30" t="n"/>
      <c r="H77" s="33">
        <f>IF(OR(F77="",G77=""),"",F77-G77)</f>
        <v/>
      </c>
      <c r="I77" s="17" t="n"/>
      <c r="J77" s="17" t="n"/>
      <c r="K77" s="11" t="n"/>
      <c r="L77" s="11" t="n"/>
    </row>
    <row r="78" ht="22" customHeight="1">
      <c r="B78" s="15">
        <f>IF(C78="","ARE-"&amp;TEXT(COUNTA($C$5:C78),"000"))</f>
        <v/>
      </c>
      <c r="C78" s="13" t="n"/>
      <c r="D78" s="13" t="n"/>
      <c r="E78" s="18" t="n"/>
      <c r="F78" s="32" t="n"/>
      <c r="G78" s="32" t="n"/>
      <c r="H78" s="34">
        <f>IF(OR(F78="",G78=""),"",F78-G78)</f>
        <v/>
      </c>
      <c r="I78" s="18" t="n"/>
      <c r="J78" s="18" t="n"/>
      <c r="K78" s="13" t="n"/>
      <c r="L78" s="13" t="n"/>
    </row>
    <row r="79" ht="22" customHeight="1">
      <c r="B79" s="16">
        <f>IF(C79="","ARE-"&amp;TEXT(COUNTA($C$5:C79),"000"))</f>
        <v/>
      </c>
      <c r="C79" s="11" t="n"/>
      <c r="D79" s="11" t="n"/>
      <c r="E79" s="17" t="n"/>
      <c r="F79" s="30" t="n"/>
      <c r="G79" s="30" t="n"/>
      <c r="H79" s="33">
        <f>IF(OR(F79="",G79=""),"",F79-G79)</f>
        <v/>
      </c>
      <c r="I79" s="17" t="n"/>
      <c r="J79" s="17" t="n"/>
      <c r="K79" s="11" t="n"/>
      <c r="L79" s="11" t="n"/>
    </row>
    <row r="80" ht="22" customHeight="1">
      <c r="B80" s="15">
        <f>IF(C80="","ARE-"&amp;TEXT(COUNTA($C$5:C80),"000"))</f>
        <v/>
      </c>
      <c r="C80" s="13" t="n"/>
      <c r="D80" s="13" t="n"/>
      <c r="E80" s="18" t="n"/>
      <c r="F80" s="32" t="n"/>
      <c r="G80" s="32" t="n"/>
      <c r="H80" s="34">
        <f>IF(OR(F80="",G80=""),"",F80-G80)</f>
        <v/>
      </c>
      <c r="I80" s="18" t="n"/>
      <c r="J80" s="18" t="n"/>
      <c r="K80" s="13" t="n"/>
      <c r="L80" s="13" t="n"/>
    </row>
    <row r="81" ht="22" customHeight="1">
      <c r="B81" s="16">
        <f>IF(C81="","ARE-"&amp;TEXT(COUNTA($C$5:C81),"000"))</f>
        <v/>
      </c>
      <c r="C81" s="11" t="n"/>
      <c r="D81" s="11" t="n"/>
      <c r="E81" s="17" t="n"/>
      <c r="F81" s="30" t="n"/>
      <c r="G81" s="30" t="n"/>
      <c r="H81" s="33">
        <f>IF(OR(F81="",G81=""),"",F81-G81)</f>
        <v/>
      </c>
      <c r="I81" s="17" t="n"/>
      <c r="J81" s="17" t="n"/>
      <c r="K81" s="11" t="n"/>
      <c r="L81" s="11" t="n"/>
    </row>
    <row r="82" ht="22" customHeight="1">
      <c r="B82" s="15">
        <f>IF(C82="","ARE-"&amp;TEXT(COUNTA($C$5:C82),"000"))</f>
        <v/>
      </c>
      <c r="C82" s="13" t="n"/>
      <c r="D82" s="13" t="n"/>
      <c r="E82" s="18" t="n"/>
      <c r="F82" s="32" t="n"/>
      <c r="G82" s="32" t="n"/>
      <c r="H82" s="34">
        <f>IF(OR(F82="",G82=""),"",F82-G82)</f>
        <v/>
      </c>
      <c r="I82" s="18" t="n"/>
      <c r="J82" s="18" t="n"/>
      <c r="K82" s="13" t="n"/>
      <c r="L82" s="13" t="n"/>
    </row>
    <row r="83" ht="22" customHeight="1">
      <c r="B83" s="16">
        <f>IF(C83="","ARE-"&amp;TEXT(COUNTA($C$5:C83),"000"))</f>
        <v/>
      </c>
      <c r="C83" s="11" t="n"/>
      <c r="D83" s="11" t="n"/>
      <c r="E83" s="17" t="n"/>
      <c r="F83" s="30" t="n"/>
      <c r="G83" s="30" t="n"/>
      <c r="H83" s="33">
        <f>IF(OR(F83="",G83=""),"",F83-G83)</f>
        <v/>
      </c>
      <c r="I83" s="17" t="n"/>
      <c r="J83" s="17" t="n"/>
      <c r="K83" s="11" t="n"/>
      <c r="L83" s="11" t="n"/>
    </row>
    <row r="84" ht="22" customHeight="1">
      <c r="B84" s="15">
        <f>IF(C84="","ARE-"&amp;TEXT(COUNTA($C$5:C84),"000"))</f>
        <v/>
      </c>
      <c r="C84" s="13" t="n"/>
      <c r="D84" s="13" t="n"/>
      <c r="E84" s="18" t="n"/>
      <c r="F84" s="32" t="n"/>
      <c r="G84" s="32" t="n"/>
      <c r="H84" s="34">
        <f>IF(OR(F84="",G84=""),"",F84-G84)</f>
        <v/>
      </c>
      <c r="I84" s="18" t="n"/>
      <c r="J84" s="18" t="n"/>
      <c r="K84" s="13" t="n"/>
      <c r="L84" s="13" t="n"/>
    </row>
    <row r="85" ht="22" customHeight="1">
      <c r="B85" s="16">
        <f>IF(C85="","ARE-"&amp;TEXT(COUNTA($C$5:C85),"000"))</f>
        <v/>
      </c>
      <c r="C85" s="11" t="n"/>
      <c r="D85" s="11" t="n"/>
      <c r="E85" s="17" t="n"/>
      <c r="F85" s="30" t="n"/>
      <c r="G85" s="30" t="n"/>
      <c r="H85" s="33">
        <f>IF(OR(F85="",G85=""),"",F85-G85)</f>
        <v/>
      </c>
      <c r="I85" s="17" t="n"/>
      <c r="J85" s="17" t="n"/>
      <c r="K85" s="11" t="n"/>
      <c r="L85" s="11" t="n"/>
    </row>
    <row r="86" ht="22" customHeight="1">
      <c r="B86" s="15">
        <f>IF(C86="","ARE-"&amp;TEXT(COUNTA($C$5:C86),"000"))</f>
        <v/>
      </c>
      <c r="C86" s="13" t="n"/>
      <c r="D86" s="13" t="n"/>
      <c r="E86" s="18" t="n"/>
      <c r="F86" s="32" t="n"/>
      <c r="G86" s="32" t="n"/>
      <c r="H86" s="34">
        <f>IF(OR(F86="",G86=""),"",F86-G86)</f>
        <v/>
      </c>
      <c r="I86" s="18" t="n"/>
      <c r="J86" s="18" t="n"/>
      <c r="K86" s="13" t="n"/>
      <c r="L86" s="13" t="n"/>
    </row>
    <row r="87" ht="22" customHeight="1">
      <c r="B87" s="16">
        <f>IF(C87="","ARE-"&amp;TEXT(COUNTA($C$5:C87),"000"))</f>
        <v/>
      </c>
      <c r="C87" s="11" t="n"/>
      <c r="D87" s="11" t="n"/>
      <c r="E87" s="17" t="n"/>
      <c r="F87" s="30" t="n"/>
      <c r="G87" s="30" t="n"/>
      <c r="H87" s="33">
        <f>IF(OR(F87="",G87=""),"",F87-G87)</f>
        <v/>
      </c>
      <c r="I87" s="17" t="n"/>
      <c r="J87" s="17" t="n"/>
      <c r="K87" s="11" t="n"/>
      <c r="L87" s="11" t="n"/>
    </row>
    <row r="88" ht="22" customHeight="1">
      <c r="B88" s="15">
        <f>IF(C88="","ARE-"&amp;TEXT(COUNTA($C$5:C88),"000"))</f>
        <v/>
      </c>
      <c r="C88" s="13" t="n"/>
      <c r="D88" s="13" t="n"/>
      <c r="E88" s="18" t="n"/>
      <c r="F88" s="32" t="n"/>
      <c r="G88" s="32" t="n"/>
      <c r="H88" s="34">
        <f>IF(OR(F88="",G88=""),"",F88-G88)</f>
        <v/>
      </c>
      <c r="I88" s="18" t="n"/>
      <c r="J88" s="18" t="n"/>
      <c r="K88" s="13" t="n"/>
      <c r="L88" s="13" t="n"/>
    </row>
    <row r="89" ht="22" customHeight="1">
      <c r="B89" s="16">
        <f>IF(C89="","ARE-"&amp;TEXT(COUNTA($C$5:C89),"000"))</f>
        <v/>
      </c>
      <c r="C89" s="11" t="n"/>
      <c r="D89" s="11" t="n"/>
      <c r="E89" s="17" t="n"/>
      <c r="F89" s="30" t="n"/>
      <c r="G89" s="30" t="n"/>
      <c r="H89" s="33">
        <f>IF(OR(F89="",G89=""),"",F89-G89)</f>
        <v/>
      </c>
      <c r="I89" s="17" t="n"/>
      <c r="J89" s="17" t="n"/>
      <c r="K89" s="11" t="n"/>
      <c r="L89" s="11" t="n"/>
    </row>
    <row r="90" ht="22" customHeight="1">
      <c r="B90" s="15">
        <f>IF(C90="","ARE-"&amp;TEXT(COUNTA($C$5:C90),"000"))</f>
        <v/>
      </c>
      <c r="C90" s="13" t="n"/>
      <c r="D90" s="13" t="n"/>
      <c r="E90" s="18" t="n"/>
      <c r="F90" s="32" t="n"/>
      <c r="G90" s="32" t="n"/>
      <c r="H90" s="34">
        <f>IF(OR(F90="",G90=""),"",F90-G90)</f>
        <v/>
      </c>
      <c r="I90" s="18" t="n"/>
      <c r="J90" s="18" t="n"/>
      <c r="K90" s="13" t="n"/>
      <c r="L90" s="13" t="n"/>
    </row>
    <row r="91" ht="22" customHeight="1">
      <c r="B91" s="16">
        <f>IF(C91="","ARE-"&amp;TEXT(COUNTA($C$5:C91),"000"))</f>
        <v/>
      </c>
      <c r="C91" s="11" t="n"/>
      <c r="D91" s="11" t="n"/>
      <c r="E91" s="17" t="n"/>
      <c r="F91" s="30" t="n"/>
      <c r="G91" s="30" t="n"/>
      <c r="H91" s="33">
        <f>IF(OR(F91="",G91=""),"",F91-G91)</f>
        <v/>
      </c>
      <c r="I91" s="17" t="n"/>
      <c r="J91" s="17" t="n"/>
      <c r="K91" s="11" t="n"/>
      <c r="L91" s="11" t="n"/>
    </row>
    <row r="92" ht="22" customHeight="1">
      <c r="B92" s="15">
        <f>IF(C92="","ARE-"&amp;TEXT(COUNTA($C$5:C92),"000"))</f>
        <v/>
      </c>
      <c r="C92" s="13" t="n"/>
      <c r="D92" s="13" t="n"/>
      <c r="E92" s="18" t="n"/>
      <c r="F92" s="32" t="n"/>
      <c r="G92" s="32" t="n"/>
      <c r="H92" s="34">
        <f>IF(OR(F92="",G92=""),"",F92-G92)</f>
        <v/>
      </c>
      <c r="I92" s="18" t="n"/>
      <c r="J92" s="18" t="n"/>
      <c r="K92" s="13" t="n"/>
      <c r="L92" s="13" t="n"/>
    </row>
    <row r="93" ht="22" customHeight="1">
      <c r="B93" s="16">
        <f>IF(C93="","ARE-"&amp;TEXT(COUNTA($C$5:C93),"000"))</f>
        <v/>
      </c>
      <c r="C93" s="11" t="n"/>
      <c r="D93" s="11" t="n"/>
      <c r="E93" s="17" t="n"/>
      <c r="F93" s="30" t="n"/>
      <c r="G93" s="30" t="n"/>
      <c r="H93" s="33">
        <f>IF(OR(F93="",G93=""),"",F93-G93)</f>
        <v/>
      </c>
      <c r="I93" s="17" t="n"/>
      <c r="J93" s="17" t="n"/>
      <c r="K93" s="11" t="n"/>
      <c r="L93" s="11" t="n"/>
    </row>
    <row r="94" ht="22" customHeight="1">
      <c r="B94" s="15">
        <f>IF(C94="","ARE-"&amp;TEXT(COUNTA($C$5:C94),"000"))</f>
        <v/>
      </c>
      <c r="C94" s="13" t="n"/>
      <c r="D94" s="13" t="n"/>
      <c r="E94" s="18" t="n"/>
      <c r="F94" s="32" t="n"/>
      <c r="G94" s="32" t="n"/>
      <c r="H94" s="34">
        <f>IF(OR(F94="",G94=""),"",F94-G94)</f>
        <v/>
      </c>
      <c r="I94" s="18" t="n"/>
      <c r="J94" s="18" t="n"/>
      <c r="K94" s="13" t="n"/>
      <c r="L94" s="13" t="n"/>
    </row>
    <row r="95" ht="22" customHeight="1">
      <c r="B95" s="16">
        <f>IF(C95="","ARE-"&amp;TEXT(COUNTA($C$5:C95),"000"))</f>
        <v/>
      </c>
      <c r="C95" s="11" t="n"/>
      <c r="D95" s="11" t="n"/>
      <c r="E95" s="17" t="n"/>
      <c r="F95" s="30" t="n"/>
      <c r="G95" s="30" t="n"/>
      <c r="H95" s="33">
        <f>IF(OR(F95="",G95=""),"",F95-G95)</f>
        <v/>
      </c>
      <c r="I95" s="17" t="n"/>
      <c r="J95" s="17" t="n"/>
      <c r="K95" s="11" t="n"/>
      <c r="L95" s="11" t="n"/>
    </row>
    <row r="96" ht="22" customHeight="1">
      <c r="B96" s="15">
        <f>IF(C96="","ARE-"&amp;TEXT(COUNTA($C$5:C96),"000"))</f>
        <v/>
      </c>
      <c r="C96" s="13" t="n"/>
      <c r="D96" s="13" t="n"/>
      <c r="E96" s="18" t="n"/>
      <c r="F96" s="32" t="n"/>
      <c r="G96" s="32" t="n"/>
      <c r="H96" s="34">
        <f>IF(OR(F96="",G96=""),"",F96-G96)</f>
        <v/>
      </c>
      <c r="I96" s="18" t="n"/>
      <c r="J96" s="18" t="n"/>
      <c r="K96" s="13" t="n"/>
      <c r="L96" s="13" t="n"/>
    </row>
    <row r="97" ht="22" customHeight="1">
      <c r="B97" s="16">
        <f>IF(C97="","ARE-"&amp;TEXT(COUNTA($C$5:C97),"000"))</f>
        <v/>
      </c>
      <c r="C97" s="11" t="n"/>
      <c r="D97" s="11" t="n"/>
      <c r="E97" s="17" t="n"/>
      <c r="F97" s="30" t="n"/>
      <c r="G97" s="30" t="n"/>
      <c r="H97" s="33">
        <f>IF(OR(F97="",G97=""),"",F97-G97)</f>
        <v/>
      </c>
      <c r="I97" s="17" t="n"/>
      <c r="J97" s="17" t="n"/>
      <c r="K97" s="11" t="n"/>
      <c r="L97" s="11" t="n"/>
    </row>
    <row r="98" ht="22" customHeight="1">
      <c r="B98" s="15">
        <f>IF(C98="","ARE-"&amp;TEXT(COUNTA($C$5:C98),"000"))</f>
        <v/>
      </c>
      <c r="C98" s="13" t="n"/>
      <c r="D98" s="13" t="n"/>
      <c r="E98" s="18" t="n"/>
      <c r="F98" s="32" t="n"/>
      <c r="G98" s="32" t="n"/>
      <c r="H98" s="34">
        <f>IF(OR(F98="",G98=""),"",F98-G98)</f>
        <v/>
      </c>
      <c r="I98" s="18" t="n"/>
      <c r="J98" s="18" t="n"/>
      <c r="K98" s="13" t="n"/>
      <c r="L98" s="13" t="n"/>
    </row>
    <row r="99" ht="22" customHeight="1">
      <c r="B99" s="16">
        <f>IF(C99="","ARE-"&amp;TEXT(COUNTA($C$5:C99),"000"))</f>
        <v/>
      </c>
      <c r="C99" s="11" t="n"/>
      <c r="D99" s="11" t="n"/>
      <c r="E99" s="17" t="n"/>
      <c r="F99" s="30" t="n"/>
      <c r="G99" s="30" t="n"/>
      <c r="H99" s="33">
        <f>IF(OR(F99="",G99=""),"",F99-G99)</f>
        <v/>
      </c>
      <c r="I99" s="17" t="n"/>
      <c r="J99" s="17" t="n"/>
      <c r="K99" s="11" t="n"/>
      <c r="L99" s="11" t="n"/>
    </row>
    <row r="100" ht="22" customHeight="1">
      <c r="B100" s="15">
        <f>IF(C100="","ARE-"&amp;TEXT(COUNTA($C$5:C100),"000"))</f>
        <v/>
      </c>
      <c r="C100" s="13" t="n"/>
      <c r="D100" s="13" t="n"/>
      <c r="E100" s="18" t="n"/>
      <c r="F100" s="32" t="n"/>
      <c r="G100" s="32" t="n"/>
      <c r="H100" s="34">
        <f>IF(OR(F100="",G100=""),"",F100-G100)</f>
        <v/>
      </c>
      <c r="I100" s="18" t="n"/>
      <c r="J100" s="18" t="n"/>
      <c r="K100" s="13" t="n"/>
      <c r="L100" s="13" t="n"/>
    </row>
    <row r="101" ht="22" customHeight="1">
      <c r="B101" s="16">
        <f>IF(C101="","ARE-"&amp;TEXT(COUNTA($C$5:C101),"000"))</f>
        <v/>
      </c>
      <c r="C101" s="11" t="n"/>
      <c r="D101" s="11" t="n"/>
      <c r="E101" s="17" t="n"/>
      <c r="F101" s="30" t="n"/>
      <c r="G101" s="30" t="n"/>
      <c r="H101" s="33">
        <f>IF(OR(F101="",G101=""),"",F101-G101)</f>
        <v/>
      </c>
      <c r="I101" s="17" t="n"/>
      <c r="J101" s="17" t="n"/>
      <c r="K101" s="11" t="n"/>
      <c r="L101" s="11" t="n"/>
    </row>
    <row r="102" ht="22" customHeight="1">
      <c r="B102" s="15">
        <f>IF(C102="","ARE-"&amp;TEXT(COUNTA($C$5:C102),"000"))</f>
        <v/>
      </c>
      <c r="C102" s="13" t="n"/>
      <c r="D102" s="13" t="n"/>
      <c r="E102" s="18" t="n"/>
      <c r="F102" s="32" t="n"/>
      <c r="G102" s="32" t="n"/>
      <c r="H102" s="34">
        <f>IF(OR(F102="",G102=""),"",F102-G102)</f>
        <v/>
      </c>
      <c r="I102" s="18" t="n"/>
      <c r="J102" s="18" t="n"/>
      <c r="K102" s="13" t="n"/>
      <c r="L102" s="13" t="n"/>
    </row>
    <row r="103" ht="22" customHeight="1">
      <c r="B103" s="16">
        <f>IF(C103="","ARE-"&amp;TEXT(COUNTA($C$5:C103),"000"))</f>
        <v/>
      </c>
      <c r="C103" s="11" t="n"/>
      <c r="D103" s="11" t="n"/>
      <c r="E103" s="17" t="n"/>
      <c r="F103" s="30" t="n"/>
      <c r="G103" s="30" t="n"/>
      <c r="H103" s="33">
        <f>IF(OR(F103="",G103=""),"",F103-G103)</f>
        <v/>
      </c>
      <c r="I103" s="17" t="n"/>
      <c r="J103" s="17" t="n"/>
      <c r="K103" s="11" t="n"/>
      <c r="L103" s="11" t="n"/>
    </row>
    <row r="104" ht="22" customHeight="1">
      <c r="B104" s="15">
        <f>IF(C104="","ARE-"&amp;TEXT(COUNTA($C$5:C104),"000"))</f>
        <v/>
      </c>
      <c r="C104" s="13" t="n"/>
      <c r="D104" s="13" t="n"/>
      <c r="E104" s="18" t="n"/>
      <c r="F104" s="32" t="n"/>
      <c r="G104" s="32" t="n"/>
      <c r="H104" s="34">
        <f>IF(OR(F104="",G104=""),"",F104-G104)</f>
        <v/>
      </c>
      <c r="I104" s="18" t="n"/>
      <c r="J104" s="18" t="n"/>
      <c r="K104" s="13" t="n"/>
      <c r="L104" s="13" t="n"/>
    </row>
    <row r="105" ht="22" customHeight="1">
      <c r="B105" s="16">
        <f>IF(C105="","ARE-"&amp;TEXT(COUNTA($C$5:C105),"000"))</f>
        <v/>
      </c>
      <c r="C105" s="11" t="n"/>
      <c r="D105" s="11" t="n"/>
      <c r="E105" s="17" t="n"/>
      <c r="F105" s="30" t="n"/>
      <c r="G105" s="30" t="n"/>
      <c r="H105" s="33">
        <f>IF(OR(F105="",G105=""),"",F105-G105)</f>
        <v/>
      </c>
      <c r="I105" s="17" t="n"/>
      <c r="J105" s="17" t="n"/>
      <c r="K105" s="11" t="n"/>
      <c r="L105" s="11" t="n"/>
    </row>
    <row r="106" ht="22" customHeight="1">
      <c r="B106" s="15">
        <f>IF(C106="","ARE-"&amp;TEXT(COUNTA($C$5:C106),"000"))</f>
        <v/>
      </c>
      <c r="C106" s="13" t="n"/>
      <c r="D106" s="13" t="n"/>
      <c r="E106" s="18" t="n"/>
      <c r="F106" s="32" t="n"/>
      <c r="G106" s="32" t="n"/>
      <c r="H106" s="34">
        <f>IF(OR(F106="",G106=""),"",F106-G106)</f>
        <v/>
      </c>
      <c r="I106" s="18" t="n"/>
      <c r="J106" s="18" t="n"/>
      <c r="K106" s="13" t="n"/>
      <c r="L106" s="13" t="n"/>
    </row>
    <row r="107" ht="22" customHeight="1">
      <c r="B107" s="16">
        <f>IF(C107="","ARE-"&amp;TEXT(COUNTA($C$5:C107),"000"))</f>
        <v/>
      </c>
      <c r="C107" s="11" t="n"/>
      <c r="D107" s="11" t="n"/>
      <c r="E107" s="17" t="n"/>
      <c r="F107" s="30" t="n"/>
      <c r="G107" s="30" t="n"/>
      <c r="H107" s="33">
        <f>IF(OR(F107="",G107=""),"",F107-G107)</f>
        <v/>
      </c>
      <c r="I107" s="17" t="n"/>
      <c r="J107" s="17" t="n"/>
      <c r="K107" s="11" t="n"/>
      <c r="L107" s="11" t="n"/>
    </row>
    <row r="108" ht="22" customHeight="1">
      <c r="B108" s="15">
        <f>IF(C108="","ARE-"&amp;TEXT(COUNTA($C$5:C108),"000"))</f>
        <v/>
      </c>
      <c r="C108" s="13" t="n"/>
      <c r="D108" s="13" t="n"/>
      <c r="E108" s="18" t="n"/>
      <c r="F108" s="32" t="n"/>
      <c r="G108" s="32" t="n"/>
      <c r="H108" s="34">
        <f>IF(OR(F108="",G108=""),"",F108-G108)</f>
        <v/>
      </c>
      <c r="I108" s="18" t="n"/>
      <c r="J108" s="18" t="n"/>
      <c r="K108" s="13" t="n"/>
      <c r="L108" s="13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Axes analyses</t>
        </is>
      </c>
      <c r="D111" s="3" t="inlineStr">
        <is>
          <t>Score moyen global</t>
        </is>
      </c>
      <c r="F111" s="3" t="inlineStr">
        <is>
          <t>Actions en cours</t>
        </is>
      </c>
    </row>
    <row r="112">
      <c r="B112" s="4">
        <f>COUNTIF(B5:B104,"&lt;&gt;")</f>
        <v/>
      </c>
      <c r="D112" s="4">
        <f>IFERROR(AVERAGE(F5:F104),0)</f>
        <v/>
      </c>
      <c r="F112" s="4">
        <f>COUNTIF(L5:L104,"En cours")</f>
        <v/>
      </c>
    </row>
  </sheetData>
  <mergeCells count="3">
    <mergeCell ref="B2:L2"/>
    <mergeCell ref="B110:L110"/>
    <mergeCell ref="B3:L3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1">
      <formula>"En attente"</formula>
    </cfRule>
    <cfRule type="cellIs" priority="82" operator="equal" dxfId="1">
      <formula>"A renouveler"</formula>
    </cfRule>
    <cfRule type="cellIs" priority="83" operator="equal" dxfId="1">
      <formula>"En cours"</formula>
    </cfRule>
    <cfRule type="cellIs" priority="84" operator="equal" dxfId="1">
      <formula>"En traitement"</formula>
    </cfRule>
    <cfRule type="cellIs" priority="85" operator="equal" dxfId="1">
      <formula>"En retard"</formula>
    </cfRule>
    <cfRule type="cellIs" priority="86" operator="equal" dxfId="1">
      <formula>"Suspendu"</formula>
    </cfRule>
    <cfRule type="cellIs" priority="87" operator="equal" dxfId="1">
      <formula>"Planifie"</formula>
    </cfRule>
    <cfRule type="cellIs" priority="88" operator="equal" dxfId="1">
      <formula>"Planifiee"</formula>
    </cfRule>
    <cfRule type="cellIs" priority="89" operator="equal" dxfId="1">
      <formula>"Brouillon"</formula>
    </cfRule>
    <cfRule type="cellIs" priority="90" operator="equal" dxfId="1">
      <formula>"En attente de justification"</formula>
    </cfRule>
    <cfRule type="cellIs" priority="91" operator="equal" dxfId="1">
      <formula>"Tolere"</formula>
    </cfRule>
    <cfRule type="cellIs" priority="92" operator="equal" dxfId="1">
      <formula>"Variable"</formula>
    </cfRule>
    <cfRule type="cellIs" priority="93" operator="equal" dxfId="1">
      <formula>"En elaboration"</formula>
    </cfRule>
    <cfRule type="cellIs" priority="94" operator="equal" dxfId="1">
      <formula>"Provisionne"</formula>
    </cfRule>
    <cfRule type="cellIs" priority="95" operator="equal" dxfId="1">
      <formula>"Consomme partiel"</formula>
    </cfRule>
    <cfRule type="cellIs" priority="96" operator="equal" dxfId="1">
      <formula>"Identifie"</formula>
    </cfRule>
    <cfRule type="cellIs" priority="97" operator="equal" dxfId="1">
      <formula>"Priorise"</formula>
    </cfRule>
    <cfRule type="cellIs" priority="98" operator="equal" dxfId="1">
      <formula>"Intermediaire"</formula>
    </cfRule>
    <cfRule type="cellIs" priority="99" operator="equal" dxfId="1">
      <formula>"Non evalue"</formula>
    </cfRule>
    <cfRule type="cellIs" priority="100" operator="equal" dxfId="1">
      <formula>"En cours de realisation"</formula>
    </cfRule>
    <cfRule type="cellIs" priority="101" operator="equal" dxfId="1">
      <formula>"Non demarre"</formula>
    </cfRule>
    <cfRule type="cellIs" priority="102" operator="equal" dxfId="1">
      <formula>"En attente N+1"</formula>
    </cfRule>
    <cfRule type="cellIs" priority="103" operator="equal" dxfId="1">
      <formula>"Prolongation essai"</formula>
    </cfRule>
    <cfRule type="cellIs" priority="104" operator="equal" dxfId="1">
      <formula>"En attente validation"</formula>
    </cfRule>
    <cfRule type="cellIs" priority="105" operator="equal" dxfId="1">
      <formula>"Bon"</formula>
    </cfRule>
    <cfRule type="cellIs" priority="106" operator="equal" dxfId="1">
      <formula>"D - Moyen"</formula>
    </cfRule>
    <cfRule type="cellIs" priority="107" operator="equal" dxfId="1">
      <formula>"En cours de repres."</formula>
    </cfRule>
    <cfRule type="cellIs" priority="108" operator="equal" dxfId="1">
      <formula>"En negociation"</formula>
    </cfRule>
    <cfRule type="cellIs" priority="109" operator="equal" dxfId="1">
      <formula>"En preparation"</formula>
    </cfRule>
    <cfRule type="cellIs" priority="110" operator="equal" dxfId="1">
      <formula>"En cours d'instruction"</formula>
    </cfRule>
    <cfRule type="cellIs" priority="111" operator="equal" dxfId="1">
      <formula>"Transferee N+1"</formula>
    </cfRule>
    <cfRule type="cellIs" priority="112" operator="equal" dxfId="1">
      <formula>"En attente reponse"</formula>
    </cfRule>
    <cfRule type="cellIs" priority="113" operator="equal" dxfId="1">
      <formula>"Enquete ouverte"</formula>
    </cfRule>
    <cfRule type="cellIs" priority="114" operator="equal" dxfId="1">
      <formula>"Convocation envoyee"</formula>
    </cfRule>
    <cfRule type="cellIs" priority="115" operator="equal" dxfId="1">
      <formula>"Entretien realise"</formula>
    </cfRule>
    <cfRule type="cellIs" priority="116" operator="equal" dxfId="1">
      <formula>"Saisie"</formula>
    </cfRule>
    <cfRule type="cellIs" priority="117" operator="equal" dxfId="1">
      <formula>"En mediation"</formula>
    </cfRule>
    <cfRule type="cellIs" priority="118" operator="equal" dxfId="1">
      <formula>"En recours"</formula>
    </cfRule>
    <cfRule type="cellIs" priority="119" operator="equal" dxfId="1">
      <formula>"Reportee"</formula>
    </cfRule>
    <cfRule type="cellIs" priority="120" operator="equal" dxfId="1">
      <formula>"Reporte"</formula>
    </cfRule>
    <cfRule type="cellIs" priority="121" operator="equal" dxfId="1">
      <formula>"Signale"</formula>
    </cfRule>
    <cfRule type="cellIs" priority="122" operator="equal" dxfId="1">
      <formula>"Precontentieux"</formula>
    </cfRule>
    <cfRule type="cellIs" priority="123" operator="equal" dxfId="1">
      <formula>"En attente election"</formula>
    </cfRule>
    <cfRule type="cellIs" priority="124" operator="equal" dxfId="1">
      <formula>"Classe"</formula>
    </cfRule>
    <cfRule type="cellIs" priority="125" operator="equal" dxfId="1">
      <formula>"En cours d'evaluation"</formula>
    </cfRule>
    <cfRule type="cellIs" priority="126" operator="equal" dxfId="1">
      <formula>"En cours d'enquete"</formula>
    </cfRule>
    <cfRule type="cellIs" priority="127" operator="equal" dxfId="1">
      <formula>"En cours de commande"</formula>
    </cfRule>
    <cfRule type="cellIs" priority="128" operator="equal" dxfId="1">
      <formula>"A revoir"</formula>
    </cfRule>
    <cfRule type="cellIs" priority="129" operator="equal" dxfId="1">
      <formula>"A remplacer"</formula>
    </cfRule>
    <cfRule type="cellIs" priority="130" operator="equal" dxfId="1">
      <formula>"En cours d'instruction CNPS"</formula>
    </cfRule>
    <cfRule type="cellIs" priority="131" operator="equal" dxfId="1">
      <formula>"En contestation"</formula>
    </cfRule>
    <cfRule type="cellIs" priority="132" operator="equal" dxfId="1">
      <formula>"Inapte temporaire"</formula>
    </cfRule>
    <cfRule type="cellIs" priority="133" operator="equal" dxfId="1">
      <formula>"Candidat identifie"</formula>
    </cfRule>
    <cfRule type="cellIs" priority="134" operator="equal" dxfId="1">
      <formula>"En formation"</formula>
    </cfRule>
    <cfRule type="cellIs" priority="135" operator="equal" dxfId="1">
      <formula>"En evaluation"</formula>
    </cfRule>
    <cfRule type="cellIs" priority="136" operator="equal" dxfId="1">
      <formula>"En transit"</formula>
    </cfRule>
    <cfRule type="cellIs" priority="137" operator="equal" dxfId="1">
      <formula>"En attente visa"</formula>
    </cfRule>
    <cfRule type="cellIs" priority="138" operator="equal" dxfId="1">
      <formula>"Proposee"</formula>
    </cfRule>
    <cfRule type="cellIs" priority="139" operator="equal" dxfId="1">
      <formula>"En cours d'acquisition"</formula>
    </cfRule>
    <cfRule type="cellIs" priority="140" operator="equal" dxfId="1">
      <formula>"A developper"</formula>
    </cfRule>
    <cfRule type="cellIs" priority="141" operator="equal" dxfId="1">
      <formula>"A renforcer"</formula>
    </cfRule>
    <cfRule type="cellIs" priority="142" operator="equal" dxfId="1">
      <formula>"En cours"</formula>
    </cfRule>
    <cfRule type="cellIs" priority="143" operator="equal" dxfId="1">
      <formula>"Partiellement conforme"</formula>
    </cfRule>
    <cfRule type="cellIs" priority="144" operator="equal" dxfId="1">
      <formula>"En mise en conformite"</formula>
    </cfRule>
    <cfRule type="cellIs" priority="145" operator="equal" dxfId="1">
      <formula>"En revision"</formula>
    </cfRule>
    <cfRule type="cellIs" priority="146" operator="equal" dxfId="1">
      <formula>"A approuver"</formula>
    </cfRule>
    <cfRule type="cellIs" priority="147" operator="equal" dxfId="1">
      <formula>"En conciliation"</formula>
    </cfRule>
    <cfRule type="cellIs" priority="148" operator="equal" dxfId="1">
      <formula>"Assigne tribunal"</formula>
    </cfRule>
    <cfRule type="cellIs" priority="149" operator="equal" dxfId="1">
      <formula>"En cours de preparation"</formula>
    </cfRule>
    <cfRule type="cellIs" priority="150" operator="equal" dxfId="1">
      <formula>"Non effectuee"</formula>
    </cfRule>
    <cfRule type="cellIs" priority="151" operator="equal" dxfId="1">
      <formula>"A archiver"</formula>
    </cfRule>
    <cfRule type="cellIs" priority="152" operator="equal" dxfId="1">
      <formula>"En cours de constitution"</formula>
    </cfRule>
    <cfRule type="cellIs" priority="153" operator="equal" dxfId="1">
      <formula>"A mettre a jour"</formula>
    </cfRule>
    <cfRule type="cellIs" priority="154" operator="equal" dxfId="1">
      <formula>"En restoration"</formula>
    </cfRule>
    <cfRule type="cellIs" priority="155" operator="equal" dxfId="1">
      <formula>"En cours de restauration"</formula>
    </cfRule>
    <cfRule type="cellIs" priority="156" operator="equal" dxfId="1">
      <formula>"A determiner"</formula>
    </cfRule>
    <cfRule type="cellIs" priority="157" operator="equal" dxfId="1">
      <formula>"En revision"</formula>
    </cfRule>
    <cfRule type="cellIs" priority="158" operator="equal" dxfId="1">
      <formula>"Obsolete"</formula>
    </cfRule>
    <cfRule type="cellIs" priority="159" operator="equal" dxfId="1">
      <formula>"Hybride (papier + numerique)"</formula>
    </cfRule>
    <cfRule type="cellIs" priority="160" operator="equal" dxfId="1">
      <formula>"En cours de validation"</formula>
    </cfRule>
    <cfRule type="cellIs" priority="161" operator="equal" dxfId="1">
      <formula>"En cours d'analyse"</formula>
    </cfRule>
    <cfRule type="cellIs" priority="162" operator="equal" dxfId="1">
      <formula>"En cours de redaction"</formula>
    </cfRule>
    <cfRule type="cellIs" priority="163" operator="equal" dxfId="1">
      <formula>"En relecture"</formula>
    </cfRule>
    <cfRule type="cellIs" priority="164" operator="equal" dxfId="1">
      <formula>"En analyse"</formula>
    </cfRule>
    <cfRule type="cellIs" priority="165" operator="equal" dxfId="1">
      <formula>"Entretien planifie"</formula>
    </cfRule>
    <cfRule type="cellIs" priority="166" operator="equal" dxfId="1">
      <formula>"En attente decision"</formula>
    </cfRule>
    <cfRule type="cellIs" priority="167" operator="equal" dxfId="1">
      <formula>"En attente poste"</formula>
    </cfRule>
    <cfRule type="cellIs" priority="168" operator="equal" dxfId="1">
      <formula>"Satisfait"</formula>
    </cfRule>
    <cfRule type="cellIs" priority="169" operator="equal" dxfId="1">
      <formula>"Neutre"</formula>
    </cfRule>
    <cfRule type="cellIs" priority="170" operator="equal" dxfId="2">
      <formula>"Expire"</formula>
    </cfRule>
    <cfRule type="cellIs" priority="171" operator="equal" dxfId="2">
      <formula>"Rejete"</formula>
    </cfRule>
    <cfRule type="cellIs" priority="172" operator="equal" dxfId="2">
      <formula>"Rejetee"</formula>
    </cfRule>
    <cfRule type="cellIs" priority="173" operator="equal" dxfId="2">
      <formula>"Resilie"</formula>
    </cfRule>
    <cfRule type="cellIs" priority="174" operator="equal" dxfId="2">
      <formula>"Annule"</formula>
    </cfRule>
    <cfRule type="cellIs" priority="175" operator="equal" dxfId="2">
      <formula>"Annulee"</formula>
    </cfRule>
    <cfRule type="cellIs" priority="176" operator="equal" dxfId="2">
      <formula>"Refuse"</formula>
    </cfRule>
    <cfRule type="cellIs" priority="177" operator="equal" dxfId="2">
      <formula>"Non justifie"</formula>
    </cfRule>
    <cfRule type="cellIs" priority="178" operator="equal" dxfId="2">
      <formula>"Non justifiee"</formula>
    </cfRule>
    <cfRule type="cellIs" priority="179" operator="equal" dxfId="2">
      <formula>"Sanctionne"</formula>
    </cfRule>
    <cfRule type="cellIs" priority="180" operator="equal" dxfId="2">
      <formula>"Inaptitude"</formula>
    </cfRule>
    <cfRule type="cellIs" priority="181" operator="equal" dxfId="2">
      <formula>"Absent sans autorisation"</formula>
    </cfRule>
    <cfRule type="cellIs" priority="182" operator="equal" dxfId="2">
      <formula>"Abandon de poste"</formula>
    </cfRule>
    <cfRule type="cellIs" priority="183" operator="equal" dxfId="2">
      <formula>"Non satisfait"</formula>
    </cfRule>
    <cfRule type="cellIs" priority="184" operator="equal" dxfId="2">
      <formula>"Depasse"</formula>
    </cfRule>
    <cfRule type="cellIs" priority="185" operator="equal" dxfId="2">
      <formula>"Non utilise"</formula>
    </cfRule>
    <cfRule type="cellIs" priority="186" operator="equal" dxfId="2">
      <formula>"Non applicable"</formula>
    </cfRule>
    <cfRule type="cellIs" priority="187" operator="equal" dxfId="2">
      <formula>"Debutant"</formula>
    </cfRule>
    <cfRule type="cellIs" priority="188" operator="equal" dxfId="2">
      <formula>"Non atteint"</formula>
    </cfRule>
    <cfRule type="cellIs" priority="189" operator="equal" dxfId="2">
      <formula>"Abandonne"</formula>
    </cfRule>
    <cfRule type="cellIs" priority="190" operator="equal" dxfId="2">
      <formula>"Rupture essai"</formula>
    </cfRule>
    <cfRule type="cellIs" priority="191" operator="equal" dxfId="2">
      <formula>"Insuffisant"</formula>
    </cfRule>
    <cfRule type="cellIs" priority="192" operator="equal" dxfId="2">
      <formula>"Moyen"</formula>
    </cfRule>
    <cfRule type="cellIs" priority="193" operator="equal" dxfId="2">
      <formula>"E - Insuffisant"</formula>
    </cfRule>
    <cfRule type="cellIs" priority="194" operator="equal" dxfId="2">
      <formula>"Dissous"</formula>
    </cfRule>
    <cfRule type="cellIs" priority="195" operator="equal" dxfId="2">
      <formula>"Denonce"</formula>
    </cfRule>
    <cfRule type="cellIs" priority="196" operator="equal" dxfId="2">
      <formula>"Echoue"</formula>
    </cfRule>
    <cfRule type="cellIs" priority="197" operator="equal" dxfId="2">
      <formula>"Echouee"</formula>
    </cfRule>
    <cfRule type="cellIs" priority="198" operator="equal" dxfId="2">
      <formula>"Revoque"</formula>
    </cfRule>
    <cfRule type="cellIs" priority="199" operator="equal" dxfId="2">
      <formula>"Demissionnaire"</formula>
    </cfRule>
    <cfRule type="cellIs" priority="200" operator="equal" dxfId="2">
      <formula>"Licenciement pour faute"</formula>
    </cfRule>
    <cfRule type="cellIs" priority="201" operator="equal" dxfId="2">
      <formula>"Licenciement pour faute grave"</formula>
    </cfRule>
    <cfRule type="cellIs" priority="202" operator="equal" dxfId="2">
      <formula>"Terminee - Echec"</formula>
    </cfRule>
    <cfRule type="cellIs" priority="203" operator="equal" dxfId="2">
      <formula>"Abandonnee"</formula>
    </cfRule>
    <cfRule type="cellIs" priority="204" operator="equal" dxfId="2">
      <formula>"Violence physique"</formula>
    </cfRule>
    <cfRule type="cellIs" priority="205" operator="equal" dxfId="2">
      <formula>"Violence verbale"</formula>
    </cfRule>
    <cfRule type="cellIs" priority="206" operator="equal" dxfId="2">
      <formula>"Fatal"</formula>
    </cfRule>
    <cfRule type="cellIs" priority="207" operator="equal" dxfId="2">
      <formula>"Non reconnue"</formula>
    </cfRule>
    <cfRule type="cellIs" priority="208" operator="equal" dxfId="2">
      <formula>"Inapte definitif"</formula>
    </cfRule>
    <cfRule type="cellIs" priority="209" operator="equal" dxfId="2">
      <formula>"Perdu / vole"</formula>
    </cfRule>
    <cfRule type="cellIs" priority="210" operator="equal" dxfId="2">
      <formula>"Rebute"</formula>
    </cfRule>
    <cfRule type="cellIs" priority="211" operator="equal" dxfId="2">
      <formula>"Obsolette"</formula>
    </cfRule>
    <cfRule type="cellIs" priority="212" operator="equal" dxfId="2">
      <formula>"Conteste"</formula>
    </cfRule>
    <cfRule type="cellIs" priority="213" operator="equal" dxfId="2">
      <formula>"Refusee"</formula>
    </cfRule>
    <cfRule type="cellIs" priority="214" operator="equal" dxfId="2">
      <formula>"Non retenu"</formula>
    </cfRule>
    <cfRule type="cellIs" priority="215" operator="equal" dxfId="2">
      <formula>"Non acquis"</formula>
    </cfRule>
    <cfRule type="cellIs" priority="216" operator="equal" dxfId="2">
      <formula>"Contrat termine"</formula>
    </cfRule>
    <cfRule type="cellIs" priority="217" operator="equal" dxfId="2">
      <formula>"Rapatrie"</formula>
    </cfRule>
    <cfRule type="cellIs" priority="218" operator="equal" dxfId="2">
      <formula>"Non conforme"</formula>
    </cfRule>
    <cfRule type="cellIs" priority="219" operator="equal" dxfId="2">
      <formula>"Abandonne"</formula>
    </cfRule>
    <cfRule type="cellIs" priority="220" operator="equal" dxfId="2">
      <formula>"Perdu"</formula>
    </cfRule>
    <cfRule type="cellIs" priority="221" operator="equal" dxfId="2">
      <formula>"Resilie"</formula>
    </cfRule>
    <cfRule type="cellIs" priority="222" operator="equal" dxfId="2">
      <formula>"Expire"</formula>
    </cfRule>
    <cfRule type="cellIs" priority="223" operator="equal" dxfId="2">
      <formula>"Incomplet"</formula>
    </cfRule>
    <cfRule type="cellIs" priority="224" operator="equal" dxfId="2">
      <formula>"Non restitue"</formula>
    </cfRule>
    <cfRule type="cellIs" priority="225" operator="equal" dxfId="2">
      <formula>"Perdu"</formula>
    </cfRule>
    <cfRule type="cellIs" priority="226" operator="equal" dxfId="2">
      <formula>"Secret"</formula>
    </cfRule>
    <cfRule type="cellIs" priority="227" operator="equal" dxfId="2">
      <formula>"Non retenue"</formula>
    </cfRule>
    <cfRule type="cellIs" priority="228" operator="equal" dxfId="2">
      <formula>"Insatisfait"</formula>
    </cfRule>
    <cfRule type="cellIs" priority="229" operator="equal" dxfId="2">
      <formula>"Tres insatisfait"</formula>
    </cfRule>
  </conditionalFormatting>
  <conditionalFormatting sqref="B9:B108">
    <cfRule type="expression" priority="230" dxfId="3">
      <formula>AND($C9="",$C8&lt;&gt;"")</formula>
    </cfRule>
  </conditionalFormatting>
  <conditionalFormatting sqref="C9:C108">
    <cfRule type="expression" priority="231" dxfId="3">
      <formula>AND($C9="",$C8&lt;&gt;"")</formula>
    </cfRule>
  </conditionalFormatting>
  <conditionalFormatting sqref="D9:D108">
    <cfRule type="expression" priority="232" dxfId="3">
      <formula>AND($C9="",$C8&lt;&gt;"")</formula>
    </cfRule>
  </conditionalFormatting>
  <conditionalFormatting sqref="E9:E108">
    <cfRule type="expression" priority="233" dxfId="3">
      <formula>AND($C9="",$C8&lt;&gt;"")</formula>
    </cfRule>
  </conditionalFormatting>
  <conditionalFormatting sqref="F9:F108">
    <cfRule type="expression" priority="234" dxfId="3">
      <formula>AND($C9="",$C8&lt;&gt;"")</formula>
    </cfRule>
  </conditionalFormatting>
  <conditionalFormatting sqref="G9:G108">
    <cfRule type="expression" priority="235" dxfId="3">
      <formula>AND($C9="",$C8&lt;&gt;"")</formula>
    </cfRule>
  </conditionalFormatting>
  <conditionalFormatting sqref="H9:H108">
    <cfRule type="expression" priority="236" dxfId="3">
      <formula>AND($C9="",$C8&lt;&gt;"")</formula>
    </cfRule>
  </conditionalFormatting>
  <conditionalFormatting sqref="I9:I108">
    <cfRule type="expression" priority="237" dxfId="3">
      <formula>AND($C9="",$C8&lt;&gt;"")</formula>
    </cfRule>
  </conditionalFormatting>
  <conditionalFormatting sqref="J9:J108">
    <cfRule type="expression" priority="238" dxfId="3">
      <formula>AND($C9="",$C8&lt;&gt;"")</formula>
    </cfRule>
  </conditionalFormatting>
  <conditionalFormatting sqref="K9:K108">
    <cfRule type="expression" priority="239" dxfId="3">
      <formula>AND($C9="",$C8&lt;&gt;"")</formula>
    </cfRule>
  </conditionalFormatting>
  <conditionalFormatting sqref="L9:L108">
    <cfRule type="expression" priority="240" dxfId="3">
      <formula>AND($C9="",$C8&lt;&gt;"")</formula>
    </cfRule>
  </conditionalFormatting>
  <dataValidations count="1">
    <dataValidation sqref="L5:L108" showDropDown="0" showInputMessage="0" showErrorMessage="0" allowBlank="1" errorTitle="Erreur" error="Valeur invalide" promptTitle="Liste" prompt="Choisir dans la liste" type="list">
      <formula1>'_Lists'!$T$2:$T$6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2026-07-06T09:27:12Z</dcterms:created>
  <dcterms:modified xmlns:dcterms="http://purl.org/dc/terms/" xmlns:xsi="http://www.w3.org/2001/XMLSchema-instance" xsi:type="dcterms:W3CDTF">2026-07-09T17:26:59Z</dcterms:modified>
</cp:coreProperties>
</file>