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 - _Données Retraite" sheetId="1" state="visible" r:id="rId1"/>
    <sheet xmlns:r="http://schemas.openxmlformats.org/officeDocument/2006/relationships" name="F02 - _Lists" sheetId="2" state="visible" r:id="rId2"/>
    <sheet xmlns:r="http://schemas.openxmlformats.org/officeDocument/2006/relationships" name="F03 - 1-Tableau de Bord" sheetId="3" state="visible" r:id="rId3"/>
    <sheet xmlns:r="http://schemas.openxmlformats.org/officeDocument/2006/relationships" name="F04 - 2-Dossiers Retraites" sheetId="4" state="visible" r:id="rId4"/>
    <sheet xmlns:r="http://schemas.openxmlformats.org/officeDocument/2006/relationships" name="F05 - 3-Gestion Prévoyance" sheetId="5" state="visible" r:id="rId5"/>
    <sheet xmlns:r="http://schemas.openxmlformats.org/officeDocument/2006/relationships" name="F06 - 4-Simulateurs Pension" sheetId="6" state="visible" r:id="rId6"/>
    <sheet xmlns:r="http://schemas.openxmlformats.org/officeDocument/2006/relationships" name="F07 - 5-Plans de Départ" sheetId="7" state="visible" r:id="rId7"/>
    <sheet xmlns:r="http://schemas.openxmlformats.org/officeDocument/2006/relationships" name="F08 - 6-Outplacement" sheetId="8" state="visible" r:id="rId8"/>
    <sheet xmlns:r="http://schemas.openxmlformats.org/officeDocument/2006/relationships" name="F09 - 7-Transitions Carrière" sheetId="9" state="visible" r:id="rId9"/>
    <sheet xmlns:r="http://schemas.openxmlformats.org/officeDocument/2006/relationships" name="F10 - 8-Bien-être Fin Carrière" sheetId="10" state="visible" r:id="rId10"/>
    <sheet xmlns:r="http://schemas.openxmlformats.org/officeDocument/2006/relationships" name="F11 - 9-Suivi Médical Retraités" sheetId="11" state="visible" r:id="rId11"/>
    <sheet xmlns:r="http://schemas.openxmlformats.org/officeDocument/2006/relationships" name="F12 - 10-Gestion Succession" sheetId="12" state="visible" r:id="rId12"/>
    <sheet xmlns:r="http://schemas.openxmlformats.org/officeDocument/2006/relationships" name="F13 - 11-Budget Retraites" sheetId="13" state="visible" r:id="rId13"/>
    <sheet xmlns:r="http://schemas.openxmlformats.org/officeDocument/2006/relationships" name="F14 - 12-Matrice Régimes x Cat" sheetId="14" state="visible" r:id="rId14"/>
    <sheet xmlns:r="http://schemas.openxmlformats.org/officeDocument/2006/relationships" name="F15 - 13-Historique Départs" sheetId="15" state="visible" r:id="rId15"/>
    <sheet xmlns:r="http://schemas.openxmlformats.org/officeDocument/2006/relationships" name="F16 - 14-Calendrier Transitions" sheetId="16" state="visible" r:id="rId16"/>
    <sheet xmlns:r="http://schemas.openxmlformats.org/officeDocument/2006/relationships" name="F17 - 15-TdB Financ. Retraites" sheetId="17" state="visible" r:id="rId17"/>
    <sheet xmlns:r="http://schemas.openxmlformats.org/officeDocument/2006/relationships" name="F18 - 16-Indic. Performance" sheetId="18" state="visible" r:id="rId18"/>
    <sheet xmlns:r="http://schemas.openxmlformats.org/officeDocument/2006/relationships" name="F19 - 17-Risques Financiers" sheetId="19" state="visible" r:id="rId19"/>
    <sheet xmlns:r="http://schemas.openxmlformats.org/officeDocument/2006/relationships" name="F20 - 18-Conformité Réglement." sheetId="20" state="visible" r:id="rId20"/>
    <sheet xmlns:r="http://schemas.openxmlformats.org/officeDocument/2006/relationships" name="F21 - 19-Exigences d'Audi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D47A1"/>
      <sz val="10"/>
    </font>
    <font>
      <name val="Calibri"/>
      <b val="1"/>
      <color rgb="00757575"/>
      <sz val="9"/>
    </font>
    <font>
      <name val="Calibri"/>
      <b val="1"/>
      <color rgb="000D47A1"/>
      <sz val="18"/>
    </font>
  </fonts>
  <fills count="7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8" customWidth="1" min="5" max="5"/>
    <col width="28" customWidth="1" min="6" max="6"/>
    <col width="20" customWidth="1" min="7" max="7"/>
    <col width="10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0" customHeight="1">
      <c r="A2" s="1" t="inlineStr">
        <is>
          <t>DONNÉES PERSONNEL RETRAITE — Base de référence gestion des départs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Nationalité</t>
        </is>
      </c>
      <c r="E5" s="4" t="inlineStr">
        <is>
          <t>Département</t>
        </is>
      </c>
      <c r="F5" s="4" t="inlineStr">
        <is>
          <t>Poste</t>
        </is>
      </c>
      <c r="G5" s="4" t="inlineStr">
        <is>
          <t>Catégorie</t>
        </is>
      </c>
      <c r="H5" s="4" t="inlineStr">
        <is>
          <t>Âge</t>
        </is>
      </c>
      <c r="I5" s="4" t="inlineStr">
        <is>
          <t>Genre</t>
        </is>
      </c>
      <c r="J5" s="4" t="inlineStr">
        <is>
          <t>Situation Fam.</t>
        </is>
      </c>
      <c r="K5" s="4" t="inlineStr">
        <is>
          <t>Nb Enfants</t>
        </is>
      </c>
    </row>
    <row r="6" ht="22" customHeight="1">
      <c r="A6" s="5" t="inlineStr">
        <is>
          <t>RET-001</t>
        </is>
      </c>
      <c r="B6" s="5" t="inlineStr">
        <is>
          <t>Konan</t>
        </is>
      </c>
      <c r="C6" s="5" t="inlineStr">
        <is>
          <t>Yao</t>
        </is>
      </c>
      <c r="D6" s="5" t="inlineStr">
        <is>
          <t>Ivoirienne</t>
        </is>
      </c>
      <c r="E6" s="5" t="inlineStr">
        <is>
          <t>Direction Générale</t>
        </is>
      </c>
      <c r="F6" s="5" t="inlineStr">
        <is>
          <t>Directeur Général Adjoint</t>
        </is>
      </c>
      <c r="G6" s="5" t="inlineStr">
        <is>
          <t>Cadre</t>
        </is>
      </c>
      <c r="H6" s="6" t="n">
        <v>58</v>
      </c>
      <c r="I6" s="5" t="inlineStr">
        <is>
          <t>M</t>
        </is>
      </c>
      <c r="J6" s="5" t="inlineStr">
        <is>
          <t>Marié(e)</t>
        </is>
      </c>
      <c r="K6" s="6" t="n">
        <v>3</v>
      </c>
    </row>
    <row r="7" ht="22" customHeight="1">
      <c r="A7" s="7" t="inlineStr">
        <is>
          <t>RET-002</t>
        </is>
      </c>
      <c r="B7" s="7" t="inlineStr">
        <is>
          <t>Touré</t>
        </is>
      </c>
      <c r="C7" s="7" t="inlineStr">
        <is>
          <t>Aminata</t>
        </is>
      </c>
      <c r="D7" s="7" t="inlineStr">
        <is>
          <t>Ivoirienne</t>
        </is>
      </c>
      <c r="E7" s="7" t="inlineStr">
        <is>
          <t>Finance &amp; Comptabilité</t>
        </is>
      </c>
      <c r="F7" s="7" t="inlineStr">
        <is>
          <t>Directrice Financière</t>
        </is>
      </c>
      <c r="G7" s="7" t="inlineStr">
        <is>
          <t>Cadre</t>
        </is>
      </c>
      <c r="H7" s="8" t="n">
        <v>57</v>
      </c>
      <c r="I7" s="7" t="inlineStr">
        <is>
          <t>F</t>
        </is>
      </c>
      <c r="J7" s="7" t="inlineStr">
        <is>
          <t>Marié(e)</t>
        </is>
      </c>
      <c r="K7" s="8" t="n">
        <v>2</v>
      </c>
    </row>
    <row r="8" ht="22" customHeight="1">
      <c r="A8" s="5" t="inlineStr">
        <is>
          <t>RET-003</t>
        </is>
      </c>
      <c r="B8" s="5" t="inlineStr">
        <is>
          <t>Diop</t>
        </is>
      </c>
      <c r="C8" s="5" t="inlineStr">
        <is>
          <t>Moussa</t>
        </is>
      </c>
      <c r="D8" s="5" t="inlineStr">
        <is>
          <t>Sénégalaise</t>
        </is>
      </c>
      <c r="E8" s="5" t="inlineStr">
        <is>
          <t>Ressources Humaines</t>
        </is>
      </c>
      <c r="F8" s="5" t="inlineStr">
        <is>
          <t>DRH Senior</t>
        </is>
      </c>
      <c r="G8" s="5" t="inlineStr">
        <is>
          <t>Cadre</t>
        </is>
      </c>
      <c r="H8" s="6" t="n">
        <v>60</v>
      </c>
      <c r="I8" s="5" t="inlineStr">
        <is>
          <t>M</t>
        </is>
      </c>
      <c r="J8" s="5" t="inlineStr">
        <is>
          <t>Marié(e)</t>
        </is>
      </c>
      <c r="K8" s="6" t="n">
        <v>4</v>
      </c>
    </row>
    <row r="9" ht="22" customHeight="1">
      <c r="A9" s="7" t="inlineStr">
        <is>
          <t>RET-004</t>
        </is>
      </c>
      <c r="B9" s="7" t="inlineStr">
        <is>
          <t>Bamba</t>
        </is>
      </c>
      <c r="C9" s="7" t="inlineStr">
        <is>
          <t>Fatou</t>
        </is>
      </c>
      <c r="D9" s="7" t="inlineStr">
        <is>
          <t>Ivoirienne</t>
        </is>
      </c>
      <c r="E9" s="7" t="inlineStr">
        <is>
          <t>Administration</t>
        </is>
      </c>
      <c r="F9" s="7" t="inlineStr">
        <is>
          <t>Resp. Administrative</t>
        </is>
      </c>
      <c r="G9" s="7" t="inlineStr">
        <is>
          <t>Agent de maîtrise</t>
        </is>
      </c>
      <c r="H9" s="8" t="n">
        <v>55</v>
      </c>
      <c r="I9" s="7" t="inlineStr">
        <is>
          <t>F</t>
        </is>
      </c>
      <c r="J9" s="7" t="inlineStr">
        <is>
          <t>Veuve(ve)</t>
        </is>
      </c>
      <c r="K9" s="8" t="n">
        <v>1</v>
      </c>
    </row>
    <row r="10" ht="22" customHeight="1">
      <c r="A10" s="5" t="inlineStr">
        <is>
          <t>RET-005</t>
        </is>
      </c>
      <c r="B10" s="5" t="inlineStr">
        <is>
          <t>Nguyen</t>
        </is>
      </c>
      <c r="C10" s="5" t="inlineStr">
        <is>
          <t>Tien</t>
        </is>
      </c>
      <c r="D10" s="5" t="inlineStr">
        <is>
          <t>Vietnamienne</t>
        </is>
      </c>
      <c r="E10" s="5" t="inlineStr">
        <is>
          <t>Informatique</t>
        </is>
      </c>
      <c r="F10" s="5" t="inlineStr">
        <is>
          <t>DSI</t>
        </is>
      </c>
      <c r="G10" s="5" t="inlineStr">
        <is>
          <t>Cadre</t>
        </is>
      </c>
      <c r="H10" s="6" t="n">
        <v>59</v>
      </c>
      <c r="I10" s="5" t="inlineStr">
        <is>
          <t>M</t>
        </is>
      </c>
      <c r="J10" s="5" t="inlineStr">
        <is>
          <t>Marié(e)</t>
        </is>
      </c>
      <c r="K10" s="6" t="n">
        <v>2</v>
      </c>
    </row>
    <row r="11" ht="22" customHeight="1">
      <c r="A11" s="7" t="inlineStr">
        <is>
          <t>RET-006</t>
        </is>
      </c>
      <c r="B11" s="7" t="inlineStr">
        <is>
          <t>Moreau</t>
        </is>
      </c>
      <c r="C11" s="7" t="inlineStr">
        <is>
          <t>Pierre</t>
        </is>
      </c>
      <c r="D11" s="7" t="inlineStr">
        <is>
          <t>Française</t>
        </is>
      </c>
      <c r="E11" s="7" t="inlineStr">
        <is>
          <t>Commercial</t>
        </is>
      </c>
      <c r="F11" s="7" t="inlineStr">
        <is>
          <t>Directeur Commercial</t>
        </is>
      </c>
      <c r="G11" s="7" t="inlineStr">
        <is>
          <t>Cadre</t>
        </is>
      </c>
      <c r="H11" s="8" t="n">
        <v>61</v>
      </c>
      <c r="I11" s="7" t="inlineStr">
        <is>
          <t>M</t>
        </is>
      </c>
      <c r="J11" s="7" t="inlineStr">
        <is>
          <t>Divorcé(e)</t>
        </is>
      </c>
      <c r="K11" s="8" t="n">
        <v>1</v>
      </c>
    </row>
    <row r="12" ht="22" customHeight="1">
      <c r="A12" s="5" t="inlineStr">
        <is>
          <t>RET-007</t>
        </is>
      </c>
      <c r="B12" s="5" t="inlineStr">
        <is>
          <t>Osei</t>
        </is>
      </c>
      <c r="C12" s="5" t="inlineStr">
        <is>
          <t>Kwame</t>
        </is>
      </c>
      <c r="D12" s="5" t="inlineStr">
        <is>
          <t>Ghanéenne</t>
        </is>
      </c>
      <c r="E12" s="5" t="inlineStr">
        <is>
          <t>Logistique</t>
        </is>
      </c>
      <c r="F12" s="5" t="inlineStr">
        <is>
          <t>Chef Logistique</t>
        </is>
      </c>
      <c r="G12" s="5" t="inlineStr">
        <is>
          <t>Agent de maîtrise</t>
        </is>
      </c>
      <c r="H12" s="6" t="n">
        <v>54</v>
      </c>
      <c r="I12" s="5" t="inlineStr">
        <is>
          <t>M</t>
        </is>
      </c>
      <c r="J12" s="5" t="inlineStr">
        <is>
          <t>Marié(e)</t>
        </is>
      </c>
      <c r="K12" s="6" t="n">
        <v>3</v>
      </c>
    </row>
    <row r="13" ht="22" customHeight="1">
      <c r="A13" s="7" t="inlineStr">
        <is>
          <t>RET-008</t>
        </is>
      </c>
      <c r="B13" s="7" t="inlineStr">
        <is>
          <t>Dubois</t>
        </is>
      </c>
      <c r="C13" s="7" t="inlineStr">
        <is>
          <t>Marie</t>
        </is>
      </c>
      <c r="D13" s="7" t="inlineStr">
        <is>
          <t>Française</t>
        </is>
      </c>
      <c r="E13" s="7" t="inlineStr">
        <is>
          <t>Ressources Humaines</t>
        </is>
      </c>
      <c r="F13" s="7" t="inlineStr">
        <is>
          <t>Resp. Paie</t>
        </is>
      </c>
      <c r="G13" s="7" t="inlineStr">
        <is>
          <t>Non-cadre</t>
        </is>
      </c>
      <c r="H13" s="8" t="n">
        <v>56</v>
      </c>
      <c r="I13" s="7" t="inlineStr">
        <is>
          <t>F</t>
        </is>
      </c>
      <c r="J13" s="7" t="inlineStr">
        <is>
          <t>Célibataire</t>
        </is>
      </c>
      <c r="K13" s="8" t="n">
        <v>0</v>
      </c>
    </row>
    <row r="14" ht="22" customHeight="1">
      <c r="A14" s="5" t="inlineStr">
        <is>
          <t>RET-009</t>
        </is>
      </c>
      <c r="B14" s="5" t="inlineStr">
        <is>
          <t>Aka</t>
        </is>
      </c>
      <c r="C14" s="5" t="inlineStr">
        <is>
          <t>Jean</t>
        </is>
      </c>
      <c r="D14" s="5" t="inlineStr">
        <is>
          <t>Ivoirienne</t>
        </is>
      </c>
      <c r="E14" s="5" t="inlineStr">
        <is>
          <t>Entretien</t>
        </is>
      </c>
      <c r="F14" s="5" t="inlineStr">
        <is>
          <t>Chef d'Équipe</t>
        </is>
      </c>
      <c r="G14" s="5" t="inlineStr">
        <is>
          <t>Agent de maîtrise</t>
        </is>
      </c>
      <c r="H14" s="6" t="n">
        <v>58</v>
      </c>
      <c r="I14" s="5" t="inlineStr">
        <is>
          <t>M</t>
        </is>
      </c>
      <c r="J14" s="5" t="inlineStr">
        <is>
          <t>Marié(e)</t>
        </is>
      </c>
      <c r="K14" s="6" t="n">
        <v>5</v>
      </c>
    </row>
    <row r="15" ht="22" customHeight="1">
      <c r="A15" s="7" t="inlineStr">
        <is>
          <t>RET-010</t>
        </is>
      </c>
      <c r="B15" s="7" t="inlineStr">
        <is>
          <t>Petrov</t>
        </is>
      </c>
      <c r="C15" s="7" t="inlineStr">
        <is>
          <t>Ivan</t>
        </is>
      </c>
      <c r="D15" s="7" t="inlineStr">
        <is>
          <t>Russe</t>
        </is>
      </c>
      <c r="E15" s="7" t="inlineStr">
        <is>
          <t>Sécurité</t>
        </is>
      </c>
      <c r="F15" s="7" t="inlineStr">
        <is>
          <t>Resp. Sécurité</t>
        </is>
      </c>
      <c r="G15" s="7" t="inlineStr">
        <is>
          <t>Cadre</t>
        </is>
      </c>
      <c r="H15" s="8" t="n">
        <v>52</v>
      </c>
      <c r="I15" s="7" t="inlineStr">
        <is>
          <t>M</t>
        </is>
      </c>
      <c r="J15" s="7" t="inlineStr">
        <is>
          <t>Marié(e)</t>
        </is>
      </c>
      <c r="K15" s="8" t="n">
        <v>2</v>
      </c>
    </row>
    <row r="16" ht="22" customHeight="1">
      <c r="A16" s="5" t="inlineStr">
        <is>
          <t>RET-011</t>
        </is>
      </c>
      <c r="B16" s="5" t="inlineStr">
        <is>
          <t>Konaté</t>
        </is>
      </c>
      <c r="C16" s="5" t="inlineStr">
        <is>
          <t>Awa</t>
        </is>
      </c>
      <c r="D16" s="5" t="inlineStr">
        <is>
          <t>Ivoirienne</t>
        </is>
      </c>
      <c r="E16" s="5" t="inlineStr">
        <is>
          <t>Service Client</t>
        </is>
      </c>
      <c r="F16" s="5" t="inlineStr">
        <is>
          <t>Resp. Relation Client</t>
        </is>
      </c>
      <c r="G16" s="5" t="inlineStr">
        <is>
          <t>Non-cadre</t>
        </is>
      </c>
      <c r="H16" s="6" t="n">
        <v>53</v>
      </c>
      <c r="I16" s="5" t="inlineStr">
        <is>
          <t>F</t>
        </is>
      </c>
      <c r="J16" s="5" t="inlineStr">
        <is>
          <t>Marié(e)</t>
        </is>
      </c>
      <c r="K16" s="6" t="n">
        <v>2</v>
      </c>
    </row>
    <row r="17" ht="22" customHeight="1">
      <c r="A17" s="7" t="inlineStr">
        <is>
          <t>RET-012</t>
        </is>
      </c>
      <c r="B17" s="7" t="inlineStr">
        <is>
          <t>Laurent</t>
        </is>
      </c>
      <c r="C17" s="7" t="inlineStr">
        <is>
          <t>Jacques</t>
        </is>
      </c>
      <c r="D17" s="7" t="inlineStr">
        <is>
          <t>Française</t>
        </is>
      </c>
      <c r="E17" s="7" t="inlineStr">
        <is>
          <t>Technique</t>
        </is>
      </c>
      <c r="F17" s="7" t="inlineStr">
        <is>
          <t>Ingénieur Principal</t>
        </is>
      </c>
      <c r="G17" s="7" t="inlineStr">
        <is>
          <t>Cadre</t>
        </is>
      </c>
      <c r="H17" s="8" t="n">
        <v>60</v>
      </c>
      <c r="I17" s="7" t="inlineStr">
        <is>
          <t>M</t>
        </is>
      </c>
      <c r="J17" s="7" t="inlineStr">
        <is>
          <t>Marié(e)</t>
        </is>
      </c>
      <c r="K17" s="8" t="n">
        <v>3</v>
      </c>
    </row>
    <row r="18" ht="22" customHeight="1">
      <c r="A18" s="5" t="inlineStr">
        <is>
          <t>RET-013</t>
        </is>
      </c>
      <c r="B18" s="5" t="inlineStr">
        <is>
          <t>Sow</t>
        </is>
      </c>
      <c r="C18" s="5" t="inlineStr">
        <is>
          <t>Fatoumata</t>
        </is>
      </c>
      <c r="D18" s="5" t="inlineStr">
        <is>
          <t>Malienne</t>
        </is>
      </c>
      <c r="E18" s="5" t="inlineStr">
        <is>
          <t>Formation</t>
        </is>
      </c>
      <c r="F18" s="5" t="inlineStr">
        <is>
          <t>Formatrice Senior</t>
        </is>
      </c>
      <c r="G18" s="5" t="inlineStr">
        <is>
          <t>Non-cadre</t>
        </is>
      </c>
      <c r="H18" s="6" t="n">
        <v>54</v>
      </c>
      <c r="I18" s="5" t="inlineStr">
        <is>
          <t>F</t>
        </is>
      </c>
      <c r="J18" s="5" t="inlineStr">
        <is>
          <t>Célibataire</t>
        </is>
      </c>
      <c r="K18" s="6" t="n">
        <v>0</v>
      </c>
    </row>
    <row r="19" ht="22" customHeight="1">
      <c r="A19" s="7" t="inlineStr">
        <is>
          <t>RET-014</t>
        </is>
      </c>
      <c r="B19" s="7" t="inlineStr">
        <is>
          <t>Tanaka</t>
        </is>
      </c>
      <c r="C19" s="7" t="inlineStr">
        <is>
          <t>Kenji</t>
        </is>
      </c>
      <c r="D19" s="7" t="inlineStr">
        <is>
          <t>Japonaise</t>
        </is>
      </c>
      <c r="E19" s="7" t="inlineStr">
        <is>
          <t>Qualité</t>
        </is>
      </c>
      <c r="F19" s="7" t="inlineStr">
        <is>
          <t>Directeur Qualité</t>
        </is>
      </c>
      <c r="G19" s="7" t="inlineStr">
        <is>
          <t>Cadre</t>
        </is>
      </c>
      <c r="H19" s="8" t="n">
        <v>57</v>
      </c>
      <c r="I19" s="7" t="inlineStr">
        <is>
          <t>M</t>
        </is>
      </c>
      <c r="J19" s="7" t="inlineStr">
        <is>
          <t>Marié(e)</t>
        </is>
      </c>
      <c r="K19" s="8" t="n">
        <v>1</v>
      </c>
    </row>
    <row r="20" ht="22" customHeight="1">
      <c r="A20" s="5" t="inlineStr">
        <is>
          <t>RET-015</t>
        </is>
      </c>
      <c r="B20" s="5" t="inlineStr">
        <is>
          <t>Essis</t>
        </is>
      </c>
      <c r="C20" s="5" t="inlineStr">
        <is>
          <t>N'Guessan</t>
        </is>
      </c>
      <c r="D20" s="5" t="inlineStr">
        <is>
          <t>Ivoirienne</t>
        </is>
      </c>
      <c r="E20" s="5" t="inlineStr">
        <is>
          <t>Hébergement</t>
        </is>
      </c>
      <c r="F20" s="5" t="inlineStr">
        <is>
          <t>Gouvernante Générale</t>
        </is>
      </c>
      <c r="G20" s="5" t="inlineStr">
        <is>
          <t>Agent de maîtrise</t>
        </is>
      </c>
      <c r="H20" s="6" t="n">
        <v>56</v>
      </c>
      <c r="I20" s="5" t="inlineStr">
        <is>
          <t>F</t>
        </is>
      </c>
      <c r="J20" s="5" t="inlineStr">
        <is>
          <t>Marié(e)</t>
        </is>
      </c>
      <c r="K20" s="6" t="n">
        <v>2</v>
      </c>
    </row>
  </sheetData>
  <mergeCells count="2">
    <mergeCell ref="A2:K2"/>
    <mergeCell ref="A3:K3"/>
  </mergeCells>
  <dataValidations count="5">
    <dataValidation sqref="D6:D20" showDropDown="0" showInputMessage="0" showErrorMessage="0" allowBlank="1" errorTitle="Erreur" error="Valeur invalide" promptTitle="nationalites" prompt="Choisir dans la liste: nationalites" type="list">
      <formula1>'F02 - _Lists'!$A$6:$A$25</formula1>
    </dataValidation>
    <dataValidation sqref="E6:E20" showDropDown="0" showInputMessage="0" showErrorMessage="0" allowBlank="1" errorTitle="Erreur" error="Valeur invalide" promptTitle="departements" prompt="Choisir dans la liste: departements" type="list">
      <formula1>'F02 - _Lists'!$B$6:$B$22</formula1>
    </dataValidation>
    <dataValidation sqref="F6:F20" showDropDown="0" showInputMessage="0" showErrorMessage="0" allowBlank="1" errorTitle="Erreur" error="Valeur invalide" promptTitle="postes" prompt="Choisir dans la liste: postes" type="list">
      <formula1>'F02 - _Lists'!$C$6:$C$23</formula1>
    </dataValidation>
    <dataValidation sqref="G6:G20" showDropDown="0" showInputMessage="0" showErrorMessage="0" allowBlank="1" errorTitle="Erreur" error="Valeur invalide" promptTitle="categories_personnel" prompt="Choisir dans la liste: categories_personnel" type="list">
      <formula1>'F02 - _Lists'!$D$6:$D$9</formula1>
    </dataValidation>
    <dataValidation sqref="J6:J20" showDropDown="0" showInputMessage="0" showErrorMessage="0" allowBlank="1" errorTitle="Erreur" error="Valeur invalide" promptTitle="situation_familiale" prompt="Choisir dans la liste: situation_familiale" type="list">
      <formula1>'F02 - _Lists'!$S$6:$S$10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8" customHeight="1"/>
    <row r="2" ht="30" customHeight="1">
      <c r="A2" s="1" t="inlineStr">
        <is>
          <t>LISTES DE RÉFÉRENCE — Valeurs pour listes déroulantes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nationalites</t>
        </is>
      </c>
      <c r="B5" s="4" t="inlineStr">
        <is>
          <t>departements</t>
        </is>
      </c>
      <c r="C5" s="4" t="inlineStr">
        <is>
          <t>postes</t>
        </is>
      </c>
      <c r="D5" s="4" t="inlineStr">
        <is>
          <t>categories_personnel</t>
        </is>
      </c>
      <c r="E5" s="4" t="inlineStr">
        <is>
          <t>regimes_retraite</t>
        </is>
      </c>
      <c r="F5" s="4" t="inlineStr">
        <is>
          <t>statuts_retraite</t>
        </is>
      </c>
      <c r="G5" s="4" t="inlineStr">
        <is>
          <t>causes_depart</t>
        </is>
      </c>
      <c r="H5" s="4" t="inlineStr">
        <is>
          <t>types_depart</t>
        </is>
      </c>
      <c r="I5" s="4" t="inlineStr">
        <is>
          <t>dispositifs_prevoyance</t>
        </is>
      </c>
      <c r="J5" s="4" t="inlineStr">
        <is>
          <t>modes_paiement</t>
        </is>
      </c>
      <c r="K5" s="4" t="inlineStr">
        <is>
          <t>statuts_dossier</t>
        </is>
      </c>
      <c r="L5" s="4" t="inlineStr">
        <is>
          <t>priorites</t>
        </is>
      </c>
      <c r="M5" s="4" t="inlineStr">
        <is>
          <t>conformites</t>
        </is>
      </c>
      <c r="N5" s="4" t="inlineStr">
        <is>
          <t>statuts_action</t>
        </is>
      </c>
      <c r="O5" s="4" t="inlineStr">
        <is>
          <t>frequences</t>
        </is>
      </c>
      <c r="P5" s="4" t="inlineStr">
        <is>
          <t>mois</t>
        </is>
      </c>
      <c r="Q5" s="4" t="inlineStr">
        <is>
          <t>trimestres</t>
        </is>
      </c>
      <c r="R5" s="4" t="inlineStr">
        <is>
          <t>validations</t>
        </is>
      </c>
      <c r="S5" s="4" t="inlineStr">
        <is>
          <t>situation_familiale</t>
        </is>
      </c>
      <c r="T5" s="4" t="inlineStr">
        <is>
          <t>genres</t>
        </is>
      </c>
      <c r="U5" s="4" t="inlineStr">
        <is>
          <t>niveaux_pension</t>
        </is>
      </c>
      <c r="V5" s="4" t="inlineStr">
        <is>
          <t>types_outplacement</t>
        </is>
      </c>
      <c r="W5" s="4" t="inlineStr">
        <is>
          <t>statuts_transition</t>
        </is>
      </c>
      <c r="X5" s="4" t="inlineStr">
        <is>
          <t>types_risque_financier</t>
        </is>
      </c>
      <c r="Y5" s="4" t="inlineStr">
        <is>
          <t>tendances</t>
        </is>
      </c>
    </row>
    <row r="6" ht="22" customHeight="1">
      <c r="A6" s="5" t="inlineStr">
        <is>
          <t>Ivoirienne</t>
        </is>
      </c>
      <c r="B6" s="5" t="inlineStr">
        <is>
          <t>Direction Générale</t>
        </is>
      </c>
      <c r="C6" s="5" t="inlineStr">
        <is>
          <t>Directeur Général Adjoint</t>
        </is>
      </c>
      <c r="D6" s="5" t="inlineStr">
        <is>
          <t>Cadre</t>
        </is>
      </c>
      <c r="E6" s="5" t="inlineStr">
        <is>
          <t>Régime Général CNPS</t>
        </is>
      </c>
      <c r="F6" s="5" t="inlineStr">
        <is>
          <t>Actif - Pré-retraite</t>
        </is>
      </c>
      <c r="G6" s="5" t="inlineStr">
        <is>
          <t>Âge légal</t>
        </is>
      </c>
      <c r="H6" s="5" t="inlineStr">
        <is>
          <t>Retraite anticipée</t>
        </is>
      </c>
      <c r="I6" s="5" t="inlineStr">
        <is>
          <t>Retraite complémentaire</t>
        </is>
      </c>
      <c r="J6" s="5" t="inlineStr">
        <is>
          <t>Virement bancaire</t>
        </is>
      </c>
      <c r="K6" s="5" t="inlineStr">
        <is>
          <t>En cours</t>
        </is>
      </c>
      <c r="L6" s="5" t="inlineStr">
        <is>
          <t>Haute</t>
        </is>
      </c>
      <c r="M6" s="5" t="inlineStr">
        <is>
          <t>Conforme</t>
        </is>
      </c>
      <c r="N6" s="5" t="inlineStr">
        <is>
          <t>En attente</t>
        </is>
      </c>
      <c r="O6" s="5" t="inlineStr">
        <is>
          <t>Mensuelle</t>
        </is>
      </c>
      <c r="P6" s="5" t="inlineStr">
        <is>
          <t>Janvier 2025</t>
        </is>
      </c>
      <c r="Q6" s="5" t="inlineStr">
        <is>
          <t>T1 2025</t>
        </is>
      </c>
      <c r="R6" s="5" t="inlineStr">
        <is>
          <t>Validé</t>
        </is>
      </c>
      <c r="S6" s="5" t="inlineStr">
        <is>
          <t>Célibataire</t>
        </is>
      </c>
      <c r="T6" s="5" t="inlineStr">
        <is>
          <t>M</t>
        </is>
      </c>
      <c r="U6" s="5" t="inlineStr">
        <is>
          <t>Pleine</t>
        </is>
      </c>
      <c r="V6" s="5" t="inlineStr">
        <is>
          <t>Reclassement interne</t>
        </is>
      </c>
      <c r="W6" s="5" t="inlineStr">
        <is>
          <t>Non commencé</t>
        </is>
      </c>
      <c r="X6" s="5" t="inlineStr">
        <is>
          <t>Risque longévité</t>
        </is>
      </c>
      <c r="Y6" s="5" t="inlineStr">
        <is>
          <t>Hausse</t>
        </is>
      </c>
    </row>
    <row r="7" ht="22" customHeight="1">
      <c r="A7" s="7" t="inlineStr">
        <is>
          <t>Sénégalaise</t>
        </is>
      </c>
      <c r="B7" s="7" t="inlineStr">
        <is>
          <t>Ressources Humaines</t>
        </is>
      </c>
      <c r="C7" s="7" t="inlineStr">
        <is>
          <t>Directrice Financière</t>
        </is>
      </c>
      <c r="D7" s="7" t="inlineStr">
        <is>
          <t>Non-cadre</t>
        </is>
      </c>
      <c r="E7" s="7" t="inlineStr">
        <is>
          <t>Régime Cadre IRC</t>
        </is>
      </c>
      <c r="F7" s="7" t="inlineStr">
        <is>
          <t>Actif - Senior</t>
        </is>
      </c>
      <c r="G7" s="7" t="inlineStr">
        <is>
          <t>Départ anticipé</t>
        </is>
      </c>
      <c r="H7" s="7" t="inlineStr">
        <is>
          <t>Retraite normale (60 ans)</t>
        </is>
      </c>
      <c r="I7" s="7" t="inlineStr">
        <is>
          <t>Épargne retraite PER</t>
        </is>
      </c>
      <c r="J7" s="7" t="inlineStr">
        <is>
          <t>Chèque</t>
        </is>
      </c>
      <c r="K7" s="7" t="inlineStr">
        <is>
          <t>Instruit</t>
        </is>
      </c>
      <c r="L7" s="7" t="inlineStr">
        <is>
          <t>Moyenne</t>
        </is>
      </c>
      <c r="M7" s="7" t="inlineStr">
        <is>
          <t>Partiellement conforme</t>
        </is>
      </c>
      <c r="N7" s="7" t="inlineStr">
        <is>
          <t>En cours</t>
        </is>
      </c>
      <c r="O7" s="7" t="inlineStr">
        <is>
          <t>Trimestrielle</t>
        </is>
      </c>
      <c r="P7" s="7" t="inlineStr">
        <is>
          <t>Février 2025</t>
        </is>
      </c>
      <c r="Q7" s="7" t="inlineStr">
        <is>
          <t>T2 2025</t>
        </is>
      </c>
      <c r="R7" s="7" t="inlineStr">
        <is>
          <t>En attente</t>
        </is>
      </c>
      <c r="S7" s="7" t="inlineStr">
        <is>
          <t>Marié(e)</t>
        </is>
      </c>
      <c r="T7" s="7" t="inlineStr">
        <is>
          <t>F</t>
        </is>
      </c>
      <c r="U7" s="7" t="inlineStr">
        <is>
          <t>Réduite</t>
        </is>
      </c>
      <c r="V7" s="7" t="inlineStr">
        <is>
          <t>Bilan de compétences</t>
        </is>
      </c>
      <c r="W7" s="7" t="inlineStr">
        <is>
          <t>En préparation</t>
        </is>
      </c>
      <c r="X7" s="7" t="inlineStr">
        <is>
          <t>Risque inflation</t>
        </is>
      </c>
      <c r="Y7" s="7" t="inlineStr">
        <is>
          <t>Baisse</t>
        </is>
      </c>
    </row>
    <row r="8" ht="22" customHeight="1">
      <c r="A8" s="5" t="inlineStr">
        <is>
          <t>Française</t>
        </is>
      </c>
      <c r="B8" s="5" t="inlineStr">
        <is>
          <t>Finance &amp; Comptabilité</t>
        </is>
      </c>
      <c r="C8" s="5" t="inlineStr">
        <is>
          <t>DRH Senior</t>
        </is>
      </c>
      <c r="D8" s="5" t="inlineStr">
        <is>
          <t>Agent de maîtrise</t>
        </is>
      </c>
      <c r="E8" s="5" t="inlineStr">
        <is>
          <t>Régime Complémentaire AGIRC</t>
        </is>
      </c>
      <c r="F8" s="5" t="inlineStr">
        <is>
          <t>Retraité</t>
        </is>
      </c>
      <c r="G8" s="5" t="inlineStr">
        <is>
          <t>Invalidité</t>
        </is>
      </c>
      <c r="H8" s="5" t="inlineStr">
        <is>
          <t>Retraite tardive (65+ ans)</t>
        </is>
      </c>
      <c r="I8" s="5" t="inlineStr">
        <is>
          <t>Assurance décès</t>
        </is>
      </c>
      <c r="J8" s="5" t="inlineStr">
        <is>
          <t>Espèces</t>
        </is>
      </c>
      <c r="K8" s="5" t="inlineStr">
        <is>
          <t>Validé</t>
        </is>
      </c>
      <c r="L8" s="5" t="inlineStr">
        <is>
          <t>Basse</t>
        </is>
      </c>
      <c r="M8" s="5" t="inlineStr">
        <is>
          <t>Non conforme</t>
        </is>
      </c>
      <c r="N8" s="5" t="inlineStr">
        <is>
          <t>Terminé</t>
        </is>
      </c>
      <c r="O8" s="5" t="inlineStr">
        <is>
          <t>Semestrielle</t>
        </is>
      </c>
      <c r="P8" s="5" t="inlineStr">
        <is>
          <t>Mars 2025</t>
        </is>
      </c>
      <c r="Q8" s="5" t="inlineStr">
        <is>
          <t>T3 2025</t>
        </is>
      </c>
      <c r="R8" s="5" t="inlineStr">
        <is>
          <t>Rejeté</t>
        </is>
      </c>
      <c r="S8" s="5" t="inlineStr">
        <is>
          <t>Concubin(e)</t>
        </is>
      </c>
      <c r="T8" s="5" t="n"/>
      <c r="U8" s="5" t="inlineStr">
        <is>
          <t>Minimale</t>
        </is>
      </c>
      <c r="V8" s="5" t="inlineStr">
        <is>
          <t>Coaching individuel</t>
        </is>
      </c>
      <c r="W8" s="5" t="inlineStr">
        <is>
          <t>En cours</t>
        </is>
      </c>
      <c r="X8" s="5" t="inlineStr">
        <is>
          <t>Risque réglementaire</t>
        </is>
      </c>
      <c r="Y8" s="5" t="inlineStr">
        <is>
          <t>Stable</t>
        </is>
      </c>
    </row>
    <row r="9" ht="22" customHeight="1">
      <c r="A9" s="7" t="inlineStr">
        <is>
          <t>Vietnamienne</t>
        </is>
      </c>
      <c r="B9" s="7" t="inlineStr">
        <is>
          <t>Commercial</t>
        </is>
      </c>
      <c r="C9" s="7" t="inlineStr">
        <is>
          <t>Resp. Administrative</t>
        </is>
      </c>
      <c r="D9" s="7" t="inlineStr">
        <is>
          <t>Direction</t>
        </is>
      </c>
      <c r="E9" s="7" t="inlineStr">
        <is>
          <t>Régime Prévoyance Entreprise</t>
        </is>
      </c>
      <c r="F9" s="7" t="inlineStr">
        <is>
          <t>Mise à la retraite</t>
        </is>
      </c>
      <c r="G9" s="7" t="inlineStr">
        <is>
          <t>Volontaire</t>
        </is>
      </c>
      <c r="H9" s="7" t="inlineStr">
        <is>
          <t>Pré-retraite progressive</t>
        </is>
      </c>
      <c r="I9" s="7" t="inlineStr">
        <is>
          <t>Rente invalidité</t>
        </is>
      </c>
      <c r="J9" s="7" t="inlineStr">
        <is>
          <t>Virement international</t>
        </is>
      </c>
      <c r="K9" s="7" t="inlineStr">
        <is>
          <t>Rejeté</t>
        </is>
      </c>
      <c r="L9" s="7" t="n"/>
      <c r="M9" s="7" t="inlineStr">
        <is>
          <t>En attente</t>
        </is>
      </c>
      <c r="N9" s="7" t="inlineStr">
        <is>
          <t>Reporté</t>
        </is>
      </c>
      <c r="O9" s="7" t="inlineStr">
        <is>
          <t>Annuelle</t>
        </is>
      </c>
      <c r="P9" s="7" t="inlineStr">
        <is>
          <t>Avril 2025</t>
        </is>
      </c>
      <c r="Q9" s="7" t="inlineStr">
        <is>
          <t>T4 2025</t>
        </is>
      </c>
      <c r="R9" s="7" t="inlineStr">
        <is>
          <t>Non applicable</t>
        </is>
      </c>
      <c r="S9" s="7" t="inlineStr">
        <is>
          <t>Divorcé(e)</t>
        </is>
      </c>
      <c r="T9" s="7" t="n"/>
      <c r="U9" s="7" t="inlineStr">
        <is>
          <t>Majorée</t>
        </is>
      </c>
      <c r="V9" s="7" t="inlineStr">
        <is>
          <t>Formation reconversion</t>
        </is>
      </c>
      <c r="W9" s="7" t="inlineStr">
        <is>
          <t>Terminé</t>
        </is>
      </c>
      <c r="X9" s="7" t="inlineStr">
        <is>
          <t>Risque de rendement</t>
        </is>
      </c>
      <c r="Y9" s="7" t="n"/>
    </row>
    <row r="10" ht="22" customHeight="1">
      <c r="A10" s="5" t="inlineStr">
        <is>
          <t>Ghanéenne</t>
        </is>
      </c>
      <c r="B10" s="5" t="inlineStr">
        <is>
          <t>Informatique</t>
        </is>
      </c>
      <c r="C10" s="5" t="inlineStr">
        <is>
          <t>DSI</t>
        </is>
      </c>
      <c r="D10" s="5" t="n"/>
      <c r="E10" s="5" t="inlineStr">
        <is>
          <t>Régime Spécial Fonction Publique</t>
        </is>
      </c>
      <c r="F10" s="5" t="inlineStr">
        <is>
          <t>Départ volontaire</t>
        </is>
      </c>
      <c r="G10" s="5" t="inlineStr">
        <is>
          <t>Mise à la retraite employeur</t>
        </is>
      </c>
      <c r="H10" s="5" t="inlineStr">
        <is>
          <t>Mise à la retraite</t>
        </is>
      </c>
      <c r="I10" s="5" t="inlineStr">
        <is>
          <t>Capital décès</t>
        </is>
      </c>
      <c r="J10" s="5" t="inlineStr">
        <is>
          <t>Prélèvement automatique</t>
        </is>
      </c>
      <c r="K10" s="5" t="inlineStr">
        <is>
          <t>En attente pièce</t>
        </is>
      </c>
      <c r="L10" s="5" t="n"/>
      <c r="M10" s="5" t="inlineStr">
        <is>
          <t>Non applicable</t>
        </is>
      </c>
      <c r="N10" s="5" t="inlineStr">
        <is>
          <t>Annulé</t>
        </is>
      </c>
      <c r="O10" s="5" t="inlineStr">
        <is>
          <t>Ponctuelle</t>
        </is>
      </c>
      <c r="P10" s="5" t="inlineStr">
        <is>
          <t>Mai 2025</t>
        </is>
      </c>
      <c r="Q10" s="5" t="n"/>
      <c r="R10" s="5" t="n"/>
      <c r="S10" s="5" t="inlineStr">
        <is>
          <t>Veuf(ve)</t>
        </is>
      </c>
      <c r="T10" s="5" t="n"/>
      <c r="U10" s="5" t="inlineStr">
        <is>
          <t>Proportionnelle</t>
        </is>
      </c>
      <c r="V10" s="5" t="inlineStr">
        <is>
          <t>Aide à la création d'entreprise</t>
        </is>
      </c>
      <c r="W10" s="5" t="inlineStr">
        <is>
          <t>Abandonné</t>
        </is>
      </c>
      <c r="X10" s="5" t="inlineStr">
        <is>
          <t>Risque de change</t>
        </is>
      </c>
      <c r="Y10" s="5" t="n"/>
    </row>
    <row r="11" ht="22" customHeight="1">
      <c r="A11" s="7" t="inlineStr">
        <is>
          <t>Russe</t>
        </is>
      </c>
      <c r="B11" s="7" t="inlineStr">
        <is>
          <t>Logistique</t>
        </is>
      </c>
      <c r="C11" s="7" t="inlineStr">
        <is>
          <t>Directeur Commercial</t>
        </is>
      </c>
      <c r="D11" s="7" t="n"/>
      <c r="E11" s="7" t="inlineStr">
        <is>
          <t>Régime International Cotonou</t>
        </is>
      </c>
      <c r="F11" s="7" t="inlineStr">
        <is>
          <t>Pré-retraite progressive</t>
        </is>
      </c>
      <c r="G11" s="7" t="inlineStr">
        <is>
          <t>Rupture conventionnelle</t>
        </is>
      </c>
      <c r="H11" s="7" t="inlineStr">
        <is>
          <t>Démission négociée</t>
        </is>
      </c>
      <c r="I11" s="7" t="inlineStr">
        <is>
          <t>Sécurité sociale</t>
        </is>
      </c>
      <c r="J11" s="7" t="n"/>
      <c r="K11" s="7" t="inlineStr">
        <is>
          <t>Transmis CNPS</t>
        </is>
      </c>
      <c r="L11" s="7" t="n"/>
      <c r="M11" s="7" t="n"/>
      <c r="N11" s="7" t="n"/>
      <c r="O11" s="7" t="n"/>
      <c r="P11" s="7" t="inlineStr">
        <is>
          <t>Juin 2025</t>
        </is>
      </c>
      <c r="Q11" s="7" t="n"/>
      <c r="R11" s="7" t="n"/>
      <c r="S11" s="7" t="n"/>
      <c r="T11" s="7" t="n"/>
      <c r="U11" s="7" t="n"/>
      <c r="V11" s="7" t="inlineStr">
        <is>
          <t>Réseautage</t>
        </is>
      </c>
      <c r="W11" s="7" t="inlineStr">
        <is>
          <t>En évaluation</t>
        </is>
      </c>
      <c r="X11" s="7" t="inlineStr">
        <is>
          <t>Risque de liquidité</t>
        </is>
      </c>
      <c r="Y11" s="7" t="n"/>
    </row>
    <row r="12" ht="22" customHeight="1">
      <c r="A12" s="5" t="inlineStr">
        <is>
          <t>Malianne</t>
        </is>
      </c>
      <c r="B12" s="5" t="inlineStr">
        <is>
          <t>Administration</t>
        </is>
      </c>
      <c r="C12" s="5" t="inlineStr">
        <is>
          <t>Chef Logistique</t>
        </is>
      </c>
      <c r="D12" s="5" t="n"/>
      <c r="E12" s="5" t="inlineStr">
        <is>
          <t>Régime Bilatéral France-CI</t>
        </is>
      </c>
      <c r="F12" s="5" t="inlineStr">
        <is>
          <t>Retraite anticipée</t>
        </is>
      </c>
      <c r="G12" s="5" t="inlineStr">
        <is>
          <t>Décès</t>
        </is>
      </c>
      <c r="H12" s="5" t="inlineStr">
        <is>
          <t>Fin de contrat</t>
        </is>
      </c>
      <c r="I12" s="5" t="inlineStr">
        <is>
          <t>Couverture santé senior</t>
        </is>
      </c>
      <c r="J12" s="5" t="n"/>
      <c r="K12" s="5" t="inlineStr">
        <is>
          <t>Clôturé</t>
        </is>
      </c>
      <c r="L12" s="5" t="n"/>
      <c r="M12" s="5" t="n"/>
      <c r="N12" s="5" t="n"/>
      <c r="O12" s="5" t="n"/>
      <c r="P12" s="5" t="inlineStr">
        <is>
          <t>Juillet 2025</t>
        </is>
      </c>
      <c r="Q12" s="5" t="n"/>
      <c r="R12" s="5" t="n"/>
      <c r="S12" s="5" t="n"/>
      <c r="T12" s="5" t="n"/>
      <c r="U12" s="5" t="n"/>
      <c r="V12" s="5" t="inlineStr">
        <is>
          <t>Mise en disponibilité</t>
        </is>
      </c>
      <c r="W12" s="5" t="n"/>
      <c r="X12" s="5" t="n"/>
      <c r="Y12" s="5" t="n"/>
    </row>
    <row r="13" ht="22" customHeight="1">
      <c r="A13" s="7" t="inlineStr">
        <is>
          <t>Japonaise</t>
        </is>
      </c>
      <c r="B13" s="7" t="inlineStr">
        <is>
          <t>Entretien</t>
        </is>
      </c>
      <c r="C13" s="7" t="inlineStr">
        <is>
          <t>Resp. Paie</t>
        </is>
      </c>
      <c r="D13" s="7" t="n"/>
      <c r="E13" s="7" t="inlineStr">
        <is>
          <t>PERCO</t>
        </is>
      </c>
      <c r="F13" s="7" t="inlineStr">
        <is>
          <t>Rachat de trimestres</t>
        </is>
      </c>
      <c r="G13" s="7" t="inlineStr">
        <is>
          <t>Convention de fin de carrière</t>
        </is>
      </c>
      <c r="H13" s="7" t="n"/>
      <c r="I13" s="7" t="inlineStr">
        <is>
          <t>Plan d'épargne entreprise</t>
        </is>
      </c>
      <c r="J13" s="7" t="n"/>
      <c r="K13" s="7" t="n"/>
      <c r="L13" s="7" t="n"/>
      <c r="M13" s="7" t="n"/>
      <c r="N13" s="7" t="n"/>
      <c r="O13" s="7" t="n"/>
      <c r="P13" s="7" t="inlineStr">
        <is>
          <t>Août 2025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22" customHeight="1">
      <c r="A14" s="5" t="inlineStr">
        <is>
          <t>Camerounaise</t>
        </is>
      </c>
      <c r="B14" s="5" t="inlineStr">
        <is>
          <t>Service Client</t>
        </is>
      </c>
      <c r="C14" s="5" t="inlineStr">
        <is>
          <t>Chef d'Équipe</t>
        </is>
      </c>
      <c r="D14" s="5" t="n"/>
      <c r="E14" s="5" t="inlineStr">
        <is>
          <t>REER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inlineStr">
        <is>
          <t>Septembre 2025</t>
        </is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22" customHeight="1">
      <c r="A15" s="7" t="inlineStr">
        <is>
          <t>Belge</t>
        </is>
      </c>
      <c r="B15" s="7" t="inlineStr">
        <is>
          <t>Sécurité</t>
        </is>
      </c>
      <c r="C15" s="7" t="inlineStr">
        <is>
          <t>Resp. Sécurité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inlineStr">
        <is>
          <t>Octobre 2025</t>
        </is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22" customHeight="1">
      <c r="A16" s="5" t="inlineStr">
        <is>
          <t>Suisse</t>
        </is>
      </c>
      <c r="B16" s="5" t="inlineStr">
        <is>
          <t>Formation</t>
        </is>
      </c>
      <c r="C16" s="5" t="inlineStr">
        <is>
          <t>Resp. Relation Client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inlineStr">
        <is>
          <t>Novembre 2025</t>
        </is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22" customHeight="1">
      <c r="A17" s="7" t="inlineStr">
        <is>
          <t>Américaine</t>
        </is>
      </c>
      <c r="B17" s="7" t="inlineStr">
        <is>
          <t>Technique</t>
        </is>
      </c>
      <c r="C17" s="7" t="inlineStr">
        <is>
          <t>Ingénieur Principal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inlineStr">
        <is>
          <t>Décembre 2025</t>
        </is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22" customHeight="1">
      <c r="A18" s="5" t="inlineStr">
        <is>
          <t>Britannique</t>
        </is>
      </c>
      <c r="B18" s="5" t="inlineStr">
        <is>
          <t>Qualité</t>
        </is>
      </c>
      <c r="C18" s="5" t="inlineStr">
        <is>
          <t>Formatrice Senior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22" customHeight="1">
      <c r="A19" s="7" t="inlineStr">
        <is>
          <t>Marocaine</t>
        </is>
      </c>
      <c r="B19" s="7" t="inlineStr">
        <is>
          <t>Hébergement</t>
        </is>
      </c>
      <c r="C19" s="7" t="inlineStr">
        <is>
          <t>Directeur Qualité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2" customHeight="1">
      <c r="A20" s="5" t="inlineStr">
        <is>
          <t>Congolaise</t>
        </is>
      </c>
      <c r="B20" s="5" t="inlineStr">
        <is>
          <t>Restauration</t>
        </is>
      </c>
      <c r="C20" s="5" t="inlineStr">
        <is>
          <t>Gouvernante Générale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22" customHeight="1">
      <c r="A21" s="7" t="inlineStr">
        <is>
          <t>Béninoise</t>
        </is>
      </c>
      <c r="B21" s="7" t="inlineStr">
        <is>
          <t>Juridique</t>
        </is>
      </c>
      <c r="C21" s="7" t="inlineStr">
        <is>
          <t>Comptable Senior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2" customHeight="1">
      <c r="A22" s="5" t="inlineStr">
        <is>
          <t>Nigériane</t>
        </is>
      </c>
      <c r="B22" s="5" t="inlineStr">
        <is>
          <t>Communication</t>
        </is>
      </c>
      <c r="C22" s="5" t="inlineStr">
        <is>
          <t>Chef de Projet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22" customHeight="1">
      <c r="A23" s="7" t="inlineStr">
        <is>
          <t>Togolaise</t>
        </is>
      </c>
      <c r="B23" s="7" t="n"/>
      <c r="C23" s="7" t="inlineStr">
        <is>
          <t>Contrôleur de Gestion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2" customHeight="1">
      <c r="A24" s="5" t="inlineStr">
        <is>
          <t>Guinéenne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22" customHeight="1">
      <c r="A25" s="7" t="inlineStr">
        <is>
          <t>Burkinabè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</sheetData>
  <mergeCells count="2">
    <mergeCell ref="A3:Y3"/>
    <mergeCell ref="A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  <col width="18" customWidth="1" min="5" max="5"/>
    <col width="18" customWidth="1" min="6" max="6"/>
    <col width="14" customWidth="1" min="7" max="7"/>
    <col width="4" customWidth="1" min="8" max="8"/>
    <col width="22" customWidth="1" min="9" max="9"/>
    <col width="18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8" customHeight="1"/>
    <row r="2" ht="36" customHeight="1">
      <c r="A2" s="9" t="inlineStr">
        <is>
          <t>DOMAINE 31 — GESTION DES RETRAITES, PRÉVOYANCE ET TRANSITIONS DE CARRIÈRE RH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10" t="inlineStr">
        <is>
          <t>Tableau de Bord Synthétique — Retraites, prévoyance, successions et transitions</t>
        </is>
      </c>
    </row>
    <row r="4" ht="8" customHeight="1"/>
    <row r="5" ht="24" customHeight="1">
      <c r="A5" s="11" t="inlineStr">
        <is>
          <t>INDICATEURS CLÉS</t>
        </is>
      </c>
    </row>
    <row r="6" ht="20" customHeight="1">
      <c r="A6" s="12" t="inlineStr">
        <is>
          <t>Nb Départs Prochains 3 ans</t>
        </is>
      </c>
      <c r="B6" s="13" t="n"/>
      <c r="C6" s="12" t="inlineStr">
        <is>
          <t>Budget Retraites (M FCFA)</t>
        </is>
      </c>
      <c r="D6" s="13" t="n"/>
      <c r="E6" s="12" t="inlineStr">
        <is>
          <t>Dossiers en Cours</t>
        </is>
      </c>
      <c r="F6" s="13" t="n"/>
      <c r="G6" s="12" t="inlineStr">
        <is>
          <t>Taux Conformité (%)</t>
        </is>
      </c>
      <c r="H6" s="13" t="n"/>
      <c r="I6" s="12" t="inlineStr">
        <is>
          <t>Transitions Planifiées</t>
        </is>
      </c>
      <c r="J6" s="13" t="n"/>
      <c r="K6" s="12" t="inlineStr">
        <is>
          <t>Risque Financier</t>
        </is>
      </c>
      <c r="L6" s="13" t="n"/>
    </row>
    <row r="7" ht="36" customHeight="1">
      <c r="A7" s="14" t="inlineStr">
        <is>
          <t>15</t>
        </is>
      </c>
      <c r="B7" s="13" t="n"/>
      <c r="C7" s="14" t="inlineStr">
        <is>
          <t>124.6</t>
        </is>
      </c>
      <c r="D7" s="13" t="n"/>
      <c r="E7" s="14" t="inlineStr">
        <is>
          <t>8</t>
        </is>
      </c>
      <c r="F7" s="13" t="n"/>
      <c r="G7" s="14" t="inlineStr">
        <is>
          <t>91</t>
        </is>
      </c>
      <c r="H7" s="13" t="n"/>
      <c r="I7" s="14" t="inlineStr">
        <is>
          <t>5</t>
        </is>
      </c>
      <c r="J7" s="13" t="n"/>
      <c r="K7" s="14" t="inlineStr">
        <is>
          <t>Modéré</t>
        </is>
      </c>
      <c r="L7" s="13" t="n"/>
    </row>
    <row r="8" ht="8" customHeight="1"/>
    <row r="9" ht="24" customHeight="1">
      <c r="A9" s="11" t="inlineStr">
        <is>
          <t>RÉPARTITION PAR RÉGIME DE RETRAITE</t>
        </is>
      </c>
      <c r="I9" s="11" t="inlineStr">
        <is>
          <t>DÉPARTS PLANIFIÉS 2025-2028</t>
        </is>
      </c>
    </row>
    <row r="10" ht="26" customHeight="1">
      <c r="A10" s="4" t="inlineStr">
        <is>
          <t>Régime</t>
        </is>
      </c>
      <c r="B10" s="4" t="inlineStr">
        <is>
          <t>Effectif</t>
        </is>
      </c>
      <c r="C10" s="4" t="inlineStr">
        <is>
          <t>Pension Moy. (kFCFA)</t>
        </is>
      </c>
      <c r="D10" s="4" t="inlineStr">
        <is>
          <t>Âge Moy.</t>
        </is>
      </c>
      <c r="E10" s="4" t="inlineStr">
        <is>
          <t>Conformité (%)</t>
        </is>
      </c>
      <c r="I10" s="4" t="inlineStr">
        <is>
          <t>Année</t>
        </is>
      </c>
      <c r="J10" s="4" t="inlineStr">
        <is>
          <t>Nb Départs</t>
        </is>
      </c>
      <c r="K10" s="4" t="inlineStr">
        <is>
          <t>Budget Estimé (M)</t>
        </is>
      </c>
      <c r="L10" s="4" t="inlineStr">
        <is>
          <t>Succession OK</t>
        </is>
      </c>
      <c r="M10" s="4" t="inlineStr">
        <is>
          <t>Alerte</t>
        </is>
      </c>
    </row>
    <row r="11">
      <c r="A11" s="15" t="inlineStr">
        <is>
          <t>Régime Général CNPS</t>
        </is>
      </c>
      <c r="B11" s="15" t="n">
        <v>5</v>
      </c>
      <c r="C11" s="15" t="n">
        <v>185</v>
      </c>
      <c r="D11" s="16" t="n">
        <v>57.2</v>
      </c>
      <c r="E11" s="15" t="n">
        <v>95</v>
      </c>
      <c r="I11" s="15" t="inlineStr">
        <is>
          <t>2025</t>
        </is>
      </c>
      <c r="J11" s="15" t="n">
        <v>3</v>
      </c>
      <c r="K11" s="15" t="n">
        <v>28.5</v>
      </c>
      <c r="L11" s="15" t="inlineStr">
        <is>
          <t>2/3</t>
        </is>
      </c>
      <c r="M11" s="15" t="inlineStr">
        <is>
          <t>1 sans successeur</t>
        </is>
      </c>
    </row>
    <row r="12">
      <c r="A12" s="17" t="inlineStr">
        <is>
          <t>Régime Cadre IRC</t>
        </is>
      </c>
      <c r="B12" s="17" t="n">
        <v>4</v>
      </c>
      <c r="C12" s="17" t="n">
        <v>320</v>
      </c>
      <c r="D12" s="18" t="n">
        <v>59.5</v>
      </c>
      <c r="E12" s="17" t="n">
        <v>92</v>
      </c>
      <c r="I12" s="17" t="inlineStr">
        <is>
          <t>2026</t>
        </is>
      </c>
      <c r="J12" s="17" t="n">
        <v>4</v>
      </c>
      <c r="K12" s="17" t="n">
        <v>35.2</v>
      </c>
      <c r="L12" s="17" t="inlineStr">
        <is>
          <t>3/4</t>
        </is>
      </c>
      <c r="M12" s="17" t="inlineStr">
        <is>
          <t>Formation en cours</t>
        </is>
      </c>
    </row>
    <row r="13">
      <c r="A13" s="15" t="inlineStr">
        <is>
          <t>Régime Complémentaire</t>
        </is>
      </c>
      <c r="B13" s="15" t="n">
        <v>3</v>
      </c>
      <c r="C13" s="15" t="n">
        <v>410</v>
      </c>
      <c r="D13" s="16" t="n">
        <v>58</v>
      </c>
      <c r="E13" s="15" t="n">
        <v>88</v>
      </c>
      <c r="I13" s="15" t="inlineStr">
        <is>
          <t>2027</t>
        </is>
      </c>
      <c r="J13" s="15" t="n">
        <v>5</v>
      </c>
      <c r="K13" s="15" t="n">
        <v>42.8</v>
      </c>
      <c r="L13" s="15" t="inlineStr">
        <is>
          <t>2/5</t>
        </is>
      </c>
      <c r="M13" s="15" t="inlineStr">
        <is>
          <t>2 à planifier</t>
        </is>
      </c>
    </row>
    <row r="14">
      <c r="A14" s="17" t="inlineStr">
        <is>
          <t>Régime International</t>
        </is>
      </c>
      <c r="B14" s="17" t="n">
        <v>2</v>
      </c>
      <c r="C14" s="17" t="n">
        <v>550</v>
      </c>
      <c r="D14" s="18" t="n">
        <v>56.5</v>
      </c>
      <c r="E14" s="17" t="n">
        <v>85</v>
      </c>
      <c r="I14" s="17" t="inlineStr">
        <is>
          <t>2028</t>
        </is>
      </c>
      <c r="J14" s="17" t="n">
        <v>3</v>
      </c>
      <c r="K14" s="17" t="n">
        <v>18.1</v>
      </c>
      <c r="L14" s="17" t="inlineStr">
        <is>
          <t>1/3</t>
        </is>
      </c>
      <c r="M14" s="17" t="inlineStr">
        <is>
          <t>Priorité haute</t>
        </is>
      </c>
    </row>
    <row r="15">
      <c r="A15" s="15" t="inlineStr">
        <is>
          <t>PERCO</t>
        </is>
      </c>
      <c r="B15" s="15" t="n">
        <v>1</v>
      </c>
      <c r="C15" s="15" t="n">
        <v>280</v>
      </c>
      <c r="D15" s="16" t="n">
        <v>53</v>
      </c>
      <c r="E15" s="15" t="n">
        <v>90</v>
      </c>
    </row>
    <row r="16"/>
    <row r="17"/>
    <row r="18" ht="24" customHeight="1">
      <c r="A18" s="11" t="inlineStr">
        <is>
          <t>ACTIONS PLANIFIÉES</t>
        </is>
      </c>
    </row>
    <row r="19">
      <c r="A19" s="4" t="inlineStr">
        <is>
          <t>Action</t>
        </is>
      </c>
      <c r="B19" s="4" t="inlineStr">
        <is>
          <t>Responsable</t>
        </is>
      </c>
      <c r="C19" s="4" t="inlineStr">
        <is>
          <t>Échéance</t>
        </is>
      </c>
      <c r="D19" s="4" t="inlineStr">
        <is>
          <t>Priorité</t>
        </is>
      </c>
      <c r="E19" s="4" t="inlineStr">
        <is>
          <t>Statut</t>
        </is>
      </c>
    </row>
    <row r="20">
      <c r="A20" s="5" t="inlineStr">
        <is>
          <t>Dossier retraite Konan Y.</t>
        </is>
      </c>
      <c r="B20" s="5" t="inlineStr">
        <is>
          <t>Resp. Retraites</t>
        </is>
      </c>
      <c r="C20" s="19" t="n">
        <v>45838</v>
      </c>
      <c r="D20" s="5" t="inlineStr">
        <is>
          <t>Haute</t>
        </is>
      </c>
      <c r="E20" s="5" t="inlineStr">
        <is>
          <t>En cours</t>
        </is>
      </c>
    </row>
    <row r="21">
      <c r="A21" s="7" t="inlineStr">
        <is>
          <t>Audit régimes prévoyance</t>
        </is>
      </c>
      <c r="B21" s="7" t="inlineStr">
        <is>
          <t>Contrôle de gestion</t>
        </is>
      </c>
      <c r="C21" s="20" t="n">
        <v>45747</v>
      </c>
      <c r="D21" s="7" t="inlineStr">
        <is>
          <t>Moyenne</t>
        </is>
      </c>
      <c r="E21" s="7" t="inlineStr">
        <is>
          <t>En cours</t>
        </is>
      </c>
    </row>
    <row r="22">
      <c r="A22" s="5" t="inlineStr">
        <is>
          <t>Plan succession Touré A.</t>
        </is>
      </c>
      <c r="B22" s="5" t="inlineStr">
        <is>
          <t>DRH</t>
        </is>
      </c>
      <c r="C22" s="19" t="n">
        <v>45901</v>
      </c>
      <c r="D22" s="5" t="inlineStr">
        <is>
          <t>Haute</t>
        </is>
      </c>
      <c r="E22" s="5" t="inlineStr">
        <is>
          <t>En attente</t>
        </is>
      </c>
    </row>
    <row r="23">
      <c r="A23" s="7" t="inlineStr">
        <is>
          <t>Renégociation contrat prévoyance</t>
        </is>
      </c>
      <c r="B23" s="7" t="inlineStr">
        <is>
          <t>DRH / Juridique</t>
        </is>
      </c>
      <c r="C23" s="20" t="n">
        <v>46006</v>
      </c>
      <c r="D23" s="7" t="inlineStr">
        <is>
          <t>Moyenne</t>
        </is>
      </c>
      <c r="E23" s="7" t="inlineStr">
        <is>
          <t>Planifié</t>
        </is>
      </c>
    </row>
  </sheetData>
  <mergeCells count="18">
    <mergeCell ref="A18:N18"/>
    <mergeCell ref="K7:L7"/>
    <mergeCell ref="A3:N3"/>
    <mergeCell ref="C6:D6"/>
    <mergeCell ref="C7:D7"/>
    <mergeCell ref="A7:B7"/>
    <mergeCell ref="E6:F6"/>
    <mergeCell ref="E7:F7"/>
    <mergeCell ref="G7:H7"/>
    <mergeCell ref="I6:J6"/>
    <mergeCell ref="I7:J7"/>
    <mergeCell ref="A2:N2"/>
    <mergeCell ref="A9:G9"/>
    <mergeCell ref="K6:L6"/>
    <mergeCell ref="I9:N9"/>
    <mergeCell ref="G6:H6"/>
    <mergeCell ref="A5:N5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2" customWidth="1" min="4" max="4"/>
    <col width="16" customWidth="1" min="5" max="5"/>
    <col width="18" customWidth="1" min="6" max="6"/>
    <col width="14" customWidth="1" min="7" max="7"/>
    <col width="18" customWidth="1" min="8" max="8"/>
    <col width="22" customWidth="1" min="9" max="9"/>
    <col width="18" customWidth="1" min="10" max="10"/>
    <col width="22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2-DOSSIERS DE RETRAITE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Dossier</t>
        </is>
      </c>
      <c r="B5" s="4" t="inlineStr">
        <is>
          <t>Matricule</t>
        </is>
      </c>
      <c r="C5" s="4" t="inlineStr">
        <is>
          <t>Régime Retraite</t>
        </is>
      </c>
      <c r="D5" s="4" t="inlineStr">
        <is>
          <t>Statut Retraite</t>
        </is>
      </c>
      <c r="E5" s="4" t="inlineStr">
        <is>
          <t>Date Demande</t>
        </is>
      </c>
      <c r="F5" s="4" t="inlineStr">
        <is>
          <t>Date Départ Prévu</t>
        </is>
      </c>
      <c r="G5" s="4" t="inlineStr">
        <is>
          <t>Âge Départ</t>
        </is>
      </c>
      <c r="H5" s="4" t="inlineStr">
        <is>
          <t>Trimestres Validés</t>
        </is>
      </c>
      <c r="I5" s="4" t="inlineStr">
        <is>
          <t>Pension Estimée (FCFA)</t>
        </is>
      </c>
      <c r="J5" s="4" t="inlineStr">
        <is>
          <t>Niveau Pension</t>
        </is>
      </c>
      <c r="K5" s="4" t="inlineStr">
        <is>
          <t>Conformité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DOS-001</t>
        </is>
      </c>
      <c r="B6" s="5" t="inlineStr">
        <is>
          <t>RET-001</t>
        </is>
      </c>
      <c r="C6" s="5" t="inlineStr">
        <is>
          <t>Régime Cadre IRC</t>
        </is>
      </c>
      <c r="D6" s="5" t="inlineStr">
        <is>
          <t>Actif - Pré-retraite</t>
        </is>
      </c>
      <c r="E6" s="19" t="n">
        <v>45672</v>
      </c>
      <c r="F6" s="19" t="n">
        <v>45838</v>
      </c>
      <c r="G6" s="21">
        <f>IF(A6="","",IFERROR(VLOOKUP(B6,'F01 - _Données Retraite'!$A$6:$K$20,8,FALSE),""))</f>
        <v/>
      </c>
      <c r="H6" s="22" t="n">
        <v>168</v>
      </c>
      <c r="I6" s="22" t="n">
        <v>480000</v>
      </c>
      <c r="J6" s="5" t="n"/>
      <c r="K6" s="5" t="inlineStr">
        <is>
          <t>Conforme</t>
        </is>
      </c>
      <c r="L6" s="5" t="inlineStr">
        <is>
          <t>Proced. normal</t>
        </is>
      </c>
      <c r="M6" s="5">
        <f>IF(B6="","",IFERROR(VLOOKUP(B6,'F01 - _Données Retraite'!$A$6:$K$20,2,FALSE)&amp;" "&amp;VLOOKUP(B6,'F01 - _Données Retraite'!$A$6:$K$20,3,FALSE),""))</f>
        <v/>
      </c>
      <c r="N6" s="5">
        <f>IF(C6="","",IFERROR(COUNTIF($C$6:$C$115,C6),0))</f>
        <v/>
      </c>
    </row>
    <row r="7" ht="22" customHeight="1">
      <c r="A7" s="7" t="inlineStr">
        <is>
          <t>DOS-002</t>
        </is>
      </c>
      <c r="B7" s="7" t="inlineStr">
        <is>
          <t>RET-002</t>
        </is>
      </c>
      <c r="C7" s="7" t="inlineStr">
        <is>
          <t>Régime Cadre IRC</t>
        </is>
      </c>
      <c r="D7" s="7" t="inlineStr">
        <is>
          <t>Actif - Senior</t>
        </is>
      </c>
      <c r="E7" s="20" t="n">
        <v>45717</v>
      </c>
      <c r="F7" s="20" t="n">
        <v>46037</v>
      </c>
      <c r="G7" s="23">
        <f>IF(A7="","",IFERROR(VLOOKUP(B7,'F01 - _Données Retraite'!$A$6:$K$20,8,FALSE),""))</f>
        <v/>
      </c>
      <c r="H7" s="24" t="n">
        <v>162</v>
      </c>
      <c r="I7" s="24" t="n">
        <v>520000</v>
      </c>
      <c r="J7" s="7" t="n"/>
      <c r="K7" s="7" t="inlineStr">
        <is>
          <t>Conforme</t>
        </is>
      </c>
      <c r="L7" s="7" t="inlineStr"/>
      <c r="M7" s="7">
        <f>IF(B7="","",IFERROR(VLOOKUP(B7,'F01 - _Données Retraite'!$A$6:$K$20,2,FALSE)&amp;" "&amp;VLOOKUP(B7,'F01 - _Données Retraite'!$A$6:$K$20,3,FALSE),""))</f>
        <v/>
      </c>
      <c r="N7" s="7">
        <f>IF(C7="","",IFERROR(COUNTIF($C$6:$C$115,C7),0))</f>
        <v/>
      </c>
    </row>
    <row r="8" ht="22" customHeight="1">
      <c r="A8" s="5" t="inlineStr">
        <is>
          <t>DOS-003</t>
        </is>
      </c>
      <c r="B8" s="5" t="inlineStr">
        <is>
          <t>RET-003</t>
        </is>
      </c>
      <c r="C8" s="5" t="inlineStr">
        <is>
          <t>Régime Général CNPS</t>
        </is>
      </c>
      <c r="D8" s="5" t="inlineStr">
        <is>
          <t>Retraité</t>
        </is>
      </c>
      <c r="E8" s="19" t="n">
        <v>45444</v>
      </c>
      <c r="F8" s="19" t="n">
        <v>45657</v>
      </c>
      <c r="G8" s="21">
        <f>IF(A8="","",IFERROR(VLOOKUP(B8,'F01 - _Données Retraite'!$A$6:$K$20,8,FALSE),""))</f>
        <v/>
      </c>
      <c r="H8" s="22" t="n">
        <v>180</v>
      </c>
      <c r="I8" s="22" t="n">
        <v>350000</v>
      </c>
      <c r="J8" s="5" t="n"/>
      <c r="K8" s="5" t="inlineStr">
        <is>
          <t>Conforme</t>
        </is>
      </c>
      <c r="L8" s="5" t="inlineStr">
        <is>
          <t>Déjà parti</t>
        </is>
      </c>
      <c r="M8" s="5">
        <f>IF(B8="","",IFERROR(VLOOKUP(B8,'F01 - _Données Retraite'!$A$6:$K$20,2,FALSE)&amp;" "&amp;VLOOKUP(B8,'F01 - _Données Retraite'!$A$6:$K$20,3,FALSE),""))</f>
        <v/>
      </c>
      <c r="N8" s="5">
        <f>IF(C8="","",IFERROR(COUNTIF($C$6:$C$115,C8),0))</f>
        <v/>
      </c>
    </row>
    <row r="9" ht="22" customHeight="1">
      <c r="A9" s="7" t="inlineStr">
        <is>
          <t>DOS-004</t>
        </is>
      </c>
      <c r="B9" s="7" t="inlineStr">
        <is>
          <t>RET-005</t>
        </is>
      </c>
      <c r="C9" s="7" t="inlineStr">
        <is>
          <t>Régime International</t>
        </is>
      </c>
      <c r="D9" s="7" t="inlineStr">
        <is>
          <t>Actif - Pré-retraite</t>
        </is>
      </c>
      <c r="E9" s="20" t="n">
        <v>45689</v>
      </c>
      <c r="F9" s="20" t="n">
        <v>46022</v>
      </c>
      <c r="G9" s="23">
        <f>IF(A9="","",IFERROR(VLOOKUP(B9,'F01 - _Données Retraite'!$A$6:$K$20,8,FALSE),""))</f>
        <v/>
      </c>
      <c r="H9" s="24" t="n">
        <v>155</v>
      </c>
      <c r="I9" s="24" t="n">
        <v>620000</v>
      </c>
      <c r="J9" s="7" t="n"/>
      <c r="K9" s="7" t="inlineStr">
        <is>
          <t>En attente</t>
        </is>
      </c>
      <c r="L9" s="7" t="inlineStr">
        <is>
          <t>Convention bilatérale</t>
        </is>
      </c>
      <c r="M9" s="7">
        <f>IF(B9="","",IFERROR(VLOOKUP(B9,'F01 - _Données Retraite'!$A$6:$K$20,2,FALSE)&amp;" "&amp;VLOOKUP(B9,'F01 - _Données Retraite'!$A$6:$K$20,3,FALSE),""))</f>
        <v/>
      </c>
      <c r="N9" s="7">
        <f>IF(C9="","",IFERROR(COUNTIF($C$6:$C$115,C9),0))</f>
        <v/>
      </c>
    </row>
    <row r="10" ht="22" customHeight="1">
      <c r="A10" s="5" t="inlineStr">
        <is>
          <t>DOS-005</t>
        </is>
      </c>
      <c r="B10" s="5" t="inlineStr">
        <is>
          <t>RET-006</t>
        </is>
      </c>
      <c r="C10" s="5" t="inlineStr">
        <is>
          <t>Régime Complémentaire</t>
        </is>
      </c>
      <c r="D10" s="5" t="inlineStr">
        <is>
          <t>Retraité</t>
        </is>
      </c>
      <c r="E10" s="19" t="n">
        <v>45536</v>
      </c>
      <c r="F10" s="19" t="n">
        <v>45717</v>
      </c>
      <c r="G10" s="21">
        <f>IF(A10="","",IFERROR(VLOOKUP(B10,'F01 - _Données Retraite'!$A$6:$K$20,8,FALSE),""))</f>
        <v/>
      </c>
      <c r="H10" s="22" t="n">
        <v>172</v>
      </c>
      <c r="I10" s="22" t="n">
        <v>440000</v>
      </c>
      <c r="J10" s="5" t="n"/>
      <c r="K10" s="5" t="inlineStr">
        <is>
          <t>Partiellement conforme</t>
        </is>
      </c>
      <c r="L10" s="5" t="inlineStr">
        <is>
          <t>Rachat en cours</t>
        </is>
      </c>
      <c r="M10" s="5">
        <f>IF(B10="","",IFERROR(VLOOKUP(B10,'F01 - _Données Retraite'!$A$6:$K$20,2,FALSE)&amp;" "&amp;VLOOKUP(B10,'F01 - _Données Retraite'!$A$6:$K$20,3,FALSE),""))</f>
        <v/>
      </c>
      <c r="N10" s="5">
        <f>IF(C10="","",IFERROR(COUNTIF($C$6:$C$115,C10),0))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23">
        <f>IF(A11="","",IFERROR(VLOOKUP(B11,'F01 - _Données Retraite'!$A$6:$K$20,8,FALSE),""))</f>
        <v/>
      </c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7">
        <f>IF(C11="","",IFERROR(COUNTIF($C$6:$C$115,C11),0))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21">
        <f>IF(A12="","",IFERROR(VLOOKUP(B12,'F01 - _Données Retraite'!$A$6:$K$20,8,FALSE),""))</f>
        <v/>
      </c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5">
        <f>IF(C12="","",IFERROR(COUNTIF($C$6:$C$115,C12),0))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23">
        <f>IF(A13="","",IFERROR(VLOOKUP(B13,'F01 - _Données Retraite'!$A$6:$K$20,8,FALSE),""))</f>
        <v/>
      </c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7">
        <f>IF(C13="","",IFERROR(COUNTIF($C$6:$C$115,C13),0))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21">
        <f>IF(A14="","",IFERROR(VLOOKUP(B14,'F01 - _Données Retraite'!$A$6:$K$20,8,FALSE),""))</f>
        <v/>
      </c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5">
        <f>IF(C14="","",IFERROR(COUNTIF($C$6:$C$115,C14),0))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23">
        <f>IF(A15="","",IFERROR(VLOOKUP(B15,'F01 - _Données Retraite'!$A$6:$K$20,8,FALSE),""))</f>
        <v/>
      </c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7">
        <f>IF(C15="","",IFERROR(COUNTIF($C$6:$C$115,C15),0))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21">
        <f>IF(A16="","",IFERROR(VLOOKUP(B16,'F01 - _Données Retraite'!$A$6:$K$20,8,FALSE),""))</f>
        <v/>
      </c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5">
        <f>IF(C16="","",IFERROR(COUNTIF($C$6:$C$115,C16),0))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23">
        <f>IF(A17="","",IFERROR(VLOOKUP(B17,'F01 - _Données Retraite'!$A$6:$K$20,8,FALSE),""))</f>
        <v/>
      </c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7">
        <f>IF(C17="","",IFERROR(COUNTIF($C$6:$C$115,C17),0))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21">
        <f>IF(A18="","",IFERROR(VLOOKUP(B18,'F01 - _Données Retraite'!$A$6:$K$20,8,FALSE),""))</f>
        <v/>
      </c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5">
        <f>IF(C18="","",IFERROR(COUNTIF($C$6:$C$115,C18),0))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23">
        <f>IF(A19="","",IFERROR(VLOOKUP(B19,'F01 - _Données Retraite'!$A$6:$K$20,8,FALSE),""))</f>
        <v/>
      </c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7">
        <f>IF(C19="","",IFERROR(COUNTIF($C$6:$C$115,C19),0))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21">
        <f>IF(A20="","",IFERROR(VLOOKUP(B20,'F01 - _Données Retraite'!$A$6:$K$20,8,FALSE),""))</f>
        <v/>
      </c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5">
        <f>IF(C20="","",IFERROR(COUNTIF($C$6:$C$115,C20),0))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23">
        <f>IF(A21="","",IFERROR(VLOOKUP(B21,'F01 - _Données Retraite'!$A$6:$K$20,8,FALSE),""))</f>
        <v/>
      </c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7">
        <f>IF(C21="","",IFERROR(COUNTIF($C$6:$C$115,C21),0))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21">
        <f>IF(A22="","",IFERROR(VLOOKUP(B22,'F01 - _Données Retraite'!$A$6:$K$20,8,FALSE),""))</f>
        <v/>
      </c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5">
        <f>IF(C22="","",IFERROR(COUNTIF($C$6:$C$115,C22),0))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23">
        <f>IF(A23="","",IFERROR(VLOOKUP(B23,'F01 - _Données Retraite'!$A$6:$K$20,8,FALSE),""))</f>
        <v/>
      </c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7">
        <f>IF(C23="","",IFERROR(COUNTIF($C$6:$C$115,C23),0))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21">
        <f>IF(A24="","",IFERROR(VLOOKUP(B24,'F01 - _Données Retraite'!$A$6:$K$20,8,FALSE),""))</f>
        <v/>
      </c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5">
        <f>IF(C24="","",IFERROR(COUNTIF($C$6:$C$115,C24),0))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23">
        <f>IF(A25="","",IFERROR(VLOOKUP(B25,'F01 - _Données Retraite'!$A$6:$K$20,8,FALSE),""))</f>
        <v/>
      </c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7">
        <f>IF(C25="","",IFERROR(COUNTIF($C$6:$C$115,C25),0))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21">
        <f>IF(A26="","",IFERROR(VLOOKUP(B26,'F01 - _Données Retraite'!$A$6:$K$20,8,FALSE),""))</f>
        <v/>
      </c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5">
        <f>IF(C26="","",IFERROR(COUNTIF($C$6:$C$115,C26),0))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23">
        <f>IF(A27="","",IFERROR(VLOOKUP(B27,'F01 - _Données Retraite'!$A$6:$K$20,8,FALSE),""))</f>
        <v/>
      </c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7">
        <f>IF(C27="","",IFERROR(COUNTIF($C$6:$C$115,C27),0))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21">
        <f>IF(A28="","",IFERROR(VLOOKUP(B28,'F01 - _Données Retraite'!$A$6:$K$20,8,FALSE),""))</f>
        <v/>
      </c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5">
        <f>IF(C28="","",IFERROR(COUNTIF($C$6:$C$115,C28),0))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23">
        <f>IF(A29="","",IFERROR(VLOOKUP(B29,'F01 - _Données Retraite'!$A$6:$K$20,8,FALSE),""))</f>
        <v/>
      </c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7">
        <f>IF(C29="","",IFERROR(COUNTIF($C$6:$C$115,C29),0))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21">
        <f>IF(A30="","",IFERROR(VLOOKUP(B30,'F01 - _Données Retraite'!$A$6:$K$20,8,FALSE),""))</f>
        <v/>
      </c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5">
        <f>IF(C30="","",IFERROR(COUNTIF($C$6:$C$115,C30),0))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23">
        <f>IF(A31="","",IFERROR(VLOOKUP(B31,'F01 - _Données Retraite'!$A$6:$K$20,8,FALSE),""))</f>
        <v/>
      </c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7">
        <f>IF(C31="","",IFERROR(COUNTIF($C$6:$C$115,C31),0))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21">
        <f>IF(A32="","",IFERROR(VLOOKUP(B32,'F01 - _Données Retraite'!$A$6:$K$20,8,FALSE),""))</f>
        <v/>
      </c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5">
        <f>IF(C32="","",IFERROR(COUNTIF($C$6:$C$115,C32),0))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23">
        <f>IF(A33="","",IFERROR(VLOOKUP(B33,'F01 - _Données Retraite'!$A$6:$K$20,8,FALSE),""))</f>
        <v/>
      </c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7">
        <f>IF(C33="","",IFERROR(COUNTIF($C$6:$C$115,C33),0))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21">
        <f>IF(A34="","",IFERROR(VLOOKUP(B34,'F01 - _Données Retraite'!$A$6:$K$20,8,FALSE),""))</f>
        <v/>
      </c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5">
        <f>IF(C34="","",IFERROR(COUNTIF($C$6:$C$115,C34),0))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23">
        <f>IF(A35="","",IFERROR(VLOOKUP(B35,'F01 - _Données Retraite'!$A$6:$K$20,8,FALSE),""))</f>
        <v/>
      </c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7">
        <f>IF(C35="","",IFERROR(COUNTIF($C$6:$C$115,C35),0))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21">
        <f>IF(A36="","",IFERROR(VLOOKUP(B36,'F01 - _Données Retraite'!$A$6:$K$20,8,FALSE),""))</f>
        <v/>
      </c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5">
        <f>IF(C36="","",IFERROR(COUNTIF($C$6:$C$115,C36),0))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23">
        <f>IF(A37="","",IFERROR(VLOOKUP(B37,'F01 - _Données Retraite'!$A$6:$K$20,8,FALSE),""))</f>
        <v/>
      </c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7">
        <f>IF(C37="","",IFERROR(COUNTIF($C$6:$C$115,C37),0))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21">
        <f>IF(A38="","",IFERROR(VLOOKUP(B38,'F01 - _Données Retraite'!$A$6:$K$20,8,FALSE),""))</f>
        <v/>
      </c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5">
        <f>IF(C38="","",IFERROR(COUNTIF($C$6:$C$115,C38),0))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23">
        <f>IF(A39="","",IFERROR(VLOOKUP(B39,'F01 - _Données Retraite'!$A$6:$K$20,8,FALSE),""))</f>
        <v/>
      </c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7">
        <f>IF(C39="","",IFERROR(COUNTIF($C$6:$C$115,C39),0))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21">
        <f>IF(A40="","",IFERROR(VLOOKUP(B40,'F01 - _Données Retraite'!$A$6:$K$20,8,FALSE),""))</f>
        <v/>
      </c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5">
        <f>IF(C40="","",IFERROR(COUNTIF($C$6:$C$115,C40),0))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23">
        <f>IF(A41="","",IFERROR(VLOOKUP(B41,'F01 - _Données Retraite'!$A$6:$K$20,8,FALSE),""))</f>
        <v/>
      </c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7">
        <f>IF(C41="","",IFERROR(COUNTIF($C$6:$C$115,C41),0))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21">
        <f>IF(A42="","",IFERROR(VLOOKUP(B42,'F01 - _Données Retraite'!$A$6:$K$20,8,FALSE),""))</f>
        <v/>
      </c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5">
        <f>IF(C42="","",IFERROR(COUNTIF($C$6:$C$115,C42),0))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23">
        <f>IF(A43="","",IFERROR(VLOOKUP(B43,'F01 - _Données Retraite'!$A$6:$K$20,8,FALSE),""))</f>
        <v/>
      </c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7">
        <f>IF(C43="","",IFERROR(COUNTIF($C$6:$C$115,C43),0))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21">
        <f>IF(A44="","",IFERROR(VLOOKUP(B44,'F01 - _Données Retraite'!$A$6:$K$20,8,FALSE),""))</f>
        <v/>
      </c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5">
        <f>IF(C44="","",IFERROR(COUNTIF($C$6:$C$115,C44),0))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23">
        <f>IF(A45="","",IFERROR(VLOOKUP(B45,'F01 - _Données Retraite'!$A$6:$K$20,8,FALSE),""))</f>
        <v/>
      </c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7">
        <f>IF(C45="","",IFERROR(COUNTIF($C$6:$C$115,C45),0))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21">
        <f>IF(A46="","",IFERROR(VLOOKUP(B46,'F01 - _Données Retraite'!$A$6:$K$20,8,FALSE),""))</f>
        <v/>
      </c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5">
        <f>IF(C46="","",IFERROR(COUNTIF($C$6:$C$115,C46),0))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23">
        <f>IF(A47="","",IFERROR(VLOOKUP(B47,'F01 - _Données Retraite'!$A$6:$K$20,8,FALSE),""))</f>
        <v/>
      </c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7">
        <f>IF(C47="","",IFERROR(COUNTIF($C$6:$C$115,C47),0))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21">
        <f>IF(A48="","",IFERROR(VLOOKUP(B48,'F01 - _Données Retraite'!$A$6:$K$20,8,FALSE),""))</f>
        <v/>
      </c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5">
        <f>IF(C48="","",IFERROR(COUNTIF($C$6:$C$115,C48),0))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23">
        <f>IF(A49="","",IFERROR(VLOOKUP(B49,'F01 - _Données Retraite'!$A$6:$K$20,8,FALSE),""))</f>
        <v/>
      </c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7">
        <f>IF(C49="","",IFERROR(COUNTIF($C$6:$C$115,C49),0))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21">
        <f>IF(A50="","",IFERROR(VLOOKUP(B50,'F01 - _Données Retraite'!$A$6:$K$20,8,FALSE),""))</f>
        <v/>
      </c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5">
        <f>IF(C50="","",IFERROR(COUNTIF($C$6:$C$115,C50),0))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23">
        <f>IF(A51="","",IFERROR(VLOOKUP(B51,'F01 - _Données Retraite'!$A$6:$K$20,8,FALSE),""))</f>
        <v/>
      </c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7">
        <f>IF(C51="","",IFERROR(COUNTIF($C$6:$C$115,C51),0))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21">
        <f>IF(A52="","",IFERROR(VLOOKUP(B52,'F01 - _Données Retraite'!$A$6:$K$20,8,FALSE),""))</f>
        <v/>
      </c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5">
        <f>IF(C52="","",IFERROR(COUNTIF($C$6:$C$115,C52),0))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23">
        <f>IF(A53="","",IFERROR(VLOOKUP(B53,'F01 - _Données Retraite'!$A$6:$K$20,8,FALSE),""))</f>
        <v/>
      </c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7">
        <f>IF(C53="","",IFERROR(COUNTIF($C$6:$C$115,C53),0))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21">
        <f>IF(A54="","",IFERROR(VLOOKUP(B54,'F01 - _Données Retraite'!$A$6:$K$20,8,FALSE),""))</f>
        <v/>
      </c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5">
        <f>IF(C54="","",IFERROR(COUNTIF($C$6:$C$115,C54),0))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23">
        <f>IF(A55="","",IFERROR(VLOOKUP(B55,'F01 - _Données Retraite'!$A$6:$K$20,8,FALSE),""))</f>
        <v/>
      </c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7">
        <f>IF(C55="","",IFERROR(COUNTIF($C$6:$C$115,C55),0))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21">
        <f>IF(A56="","",IFERROR(VLOOKUP(B56,'F01 - _Données Retraite'!$A$6:$K$20,8,FALSE),""))</f>
        <v/>
      </c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5">
        <f>IF(C56="","",IFERROR(COUNTIF($C$6:$C$115,C56),0))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23">
        <f>IF(A57="","",IFERROR(VLOOKUP(B57,'F01 - _Données Retraite'!$A$6:$K$20,8,FALSE),""))</f>
        <v/>
      </c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7">
        <f>IF(C57="","",IFERROR(COUNTIF($C$6:$C$115,C57),0))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21">
        <f>IF(A58="","",IFERROR(VLOOKUP(B58,'F01 - _Données Retraite'!$A$6:$K$20,8,FALSE),""))</f>
        <v/>
      </c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5">
        <f>IF(C58="","",IFERROR(COUNTIF($C$6:$C$115,C58),0))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23">
        <f>IF(A59="","",IFERROR(VLOOKUP(B59,'F01 - _Données Retraite'!$A$6:$K$20,8,FALSE),""))</f>
        <v/>
      </c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7">
        <f>IF(C59="","",IFERROR(COUNTIF($C$6:$C$115,C59),0))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21">
        <f>IF(A60="","",IFERROR(VLOOKUP(B60,'F01 - _Données Retraite'!$A$6:$K$20,8,FALSE),""))</f>
        <v/>
      </c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5">
        <f>IF(C60="","",IFERROR(COUNTIF($C$6:$C$115,C60),0))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23">
        <f>IF(A61="","",IFERROR(VLOOKUP(B61,'F01 - _Données Retraite'!$A$6:$K$20,8,FALSE),""))</f>
        <v/>
      </c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7">
        <f>IF(C61="","",IFERROR(COUNTIF($C$6:$C$115,C61),0))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21">
        <f>IF(A62="","",IFERROR(VLOOKUP(B62,'F01 - _Données Retraite'!$A$6:$K$20,8,FALSE),""))</f>
        <v/>
      </c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5">
        <f>IF(C62="","",IFERROR(COUNTIF($C$6:$C$115,C62),0))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23">
        <f>IF(A63="","",IFERROR(VLOOKUP(B63,'F01 - _Données Retraite'!$A$6:$K$20,8,FALSE),""))</f>
        <v/>
      </c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7">
        <f>IF(C63="","",IFERROR(COUNTIF($C$6:$C$115,C63),0))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21">
        <f>IF(A64="","",IFERROR(VLOOKUP(B64,'F01 - _Données Retraite'!$A$6:$K$20,8,FALSE),""))</f>
        <v/>
      </c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5">
        <f>IF(C64="","",IFERROR(COUNTIF($C$6:$C$115,C64),0))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23">
        <f>IF(A65="","",IFERROR(VLOOKUP(B65,'F01 - _Données Retraite'!$A$6:$K$20,8,FALSE),""))</f>
        <v/>
      </c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7">
        <f>IF(C65="","",IFERROR(COUNTIF($C$6:$C$115,C65),0))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21">
        <f>IF(A66="","",IFERROR(VLOOKUP(B66,'F01 - _Données Retraite'!$A$6:$K$20,8,FALSE),""))</f>
        <v/>
      </c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5">
        <f>IF(C66="","",IFERROR(COUNTIF($C$6:$C$115,C66),0))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23">
        <f>IF(A67="","",IFERROR(VLOOKUP(B67,'F01 - _Données Retraite'!$A$6:$K$20,8,FALSE),""))</f>
        <v/>
      </c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7">
        <f>IF(C67="","",IFERROR(COUNTIF($C$6:$C$115,C67),0))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21">
        <f>IF(A68="","",IFERROR(VLOOKUP(B68,'F01 - _Données Retraite'!$A$6:$K$20,8,FALSE),""))</f>
        <v/>
      </c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5">
        <f>IF(C68="","",IFERROR(COUNTIF($C$6:$C$115,C68),0))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23">
        <f>IF(A69="","",IFERROR(VLOOKUP(B69,'F01 - _Données Retraite'!$A$6:$K$20,8,FALSE),""))</f>
        <v/>
      </c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7">
        <f>IF(C69="","",IFERROR(COUNTIF($C$6:$C$115,C69),0))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21">
        <f>IF(A70="","",IFERROR(VLOOKUP(B70,'F01 - _Données Retraite'!$A$6:$K$20,8,FALSE),""))</f>
        <v/>
      </c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5">
        <f>IF(C70="","",IFERROR(COUNTIF($C$6:$C$115,C70),0))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23">
        <f>IF(A71="","",IFERROR(VLOOKUP(B71,'F01 - _Données Retraite'!$A$6:$K$20,8,FALSE),""))</f>
        <v/>
      </c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7">
        <f>IF(C71="","",IFERROR(COUNTIF($C$6:$C$115,C71),0))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21">
        <f>IF(A72="","",IFERROR(VLOOKUP(B72,'F01 - _Données Retraite'!$A$6:$K$20,8,FALSE),""))</f>
        <v/>
      </c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5">
        <f>IF(C72="","",IFERROR(COUNTIF($C$6:$C$115,C72),0))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23">
        <f>IF(A73="","",IFERROR(VLOOKUP(B73,'F01 - _Données Retraite'!$A$6:$K$20,8,FALSE),""))</f>
        <v/>
      </c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7">
        <f>IF(C73="","",IFERROR(COUNTIF($C$6:$C$115,C73),0))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21">
        <f>IF(A74="","",IFERROR(VLOOKUP(B74,'F01 - _Données Retraite'!$A$6:$K$20,8,FALSE),""))</f>
        <v/>
      </c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5">
        <f>IF(C74="","",IFERROR(COUNTIF($C$6:$C$115,C74),0))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23">
        <f>IF(A75="","",IFERROR(VLOOKUP(B75,'F01 - _Données Retraite'!$A$6:$K$20,8,FALSE),""))</f>
        <v/>
      </c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7">
        <f>IF(C75="","",IFERROR(COUNTIF($C$6:$C$115,C75),0))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21">
        <f>IF(A76="","",IFERROR(VLOOKUP(B76,'F01 - _Données Retraite'!$A$6:$K$20,8,FALSE),""))</f>
        <v/>
      </c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5">
        <f>IF(C76="","",IFERROR(COUNTIF($C$6:$C$115,C76),0))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23">
        <f>IF(A77="","",IFERROR(VLOOKUP(B77,'F01 - _Données Retraite'!$A$6:$K$20,8,FALSE),""))</f>
        <v/>
      </c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7">
        <f>IF(C77="","",IFERROR(COUNTIF($C$6:$C$115,C77),0))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21">
        <f>IF(A78="","",IFERROR(VLOOKUP(B78,'F01 - _Données Retraite'!$A$6:$K$20,8,FALSE),""))</f>
        <v/>
      </c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5">
        <f>IF(C78="","",IFERROR(COUNTIF($C$6:$C$115,C78),0))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23">
        <f>IF(A79="","",IFERROR(VLOOKUP(B79,'F01 - _Données Retraite'!$A$6:$K$20,8,FALSE),""))</f>
        <v/>
      </c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7">
        <f>IF(C79="","",IFERROR(COUNTIF($C$6:$C$115,C79),0))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21">
        <f>IF(A80="","",IFERROR(VLOOKUP(B80,'F01 - _Données Retraite'!$A$6:$K$20,8,FALSE),""))</f>
        <v/>
      </c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5">
        <f>IF(C80="","",IFERROR(COUNTIF($C$6:$C$115,C80),0))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23">
        <f>IF(A81="","",IFERROR(VLOOKUP(B81,'F01 - _Données Retraite'!$A$6:$K$20,8,FALSE),""))</f>
        <v/>
      </c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7">
        <f>IF(C81="","",IFERROR(COUNTIF($C$6:$C$115,C81),0))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21">
        <f>IF(A82="","",IFERROR(VLOOKUP(B82,'F01 - _Données Retraite'!$A$6:$K$20,8,FALSE),""))</f>
        <v/>
      </c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5">
        <f>IF(C82="","",IFERROR(COUNTIF($C$6:$C$115,C82),0))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23">
        <f>IF(A83="","",IFERROR(VLOOKUP(B83,'F01 - _Données Retraite'!$A$6:$K$20,8,FALSE),""))</f>
        <v/>
      </c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7">
        <f>IF(C83="","",IFERROR(COUNTIF($C$6:$C$115,C83),0))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21">
        <f>IF(A84="","",IFERROR(VLOOKUP(B84,'F01 - _Données Retraite'!$A$6:$K$20,8,FALSE),""))</f>
        <v/>
      </c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5">
        <f>IF(C84="","",IFERROR(COUNTIF($C$6:$C$115,C84),0))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23">
        <f>IF(A85="","",IFERROR(VLOOKUP(B85,'F01 - _Données Retraite'!$A$6:$K$20,8,FALSE),""))</f>
        <v/>
      </c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7">
        <f>IF(C85="","",IFERROR(COUNTIF($C$6:$C$115,C85),0))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21">
        <f>IF(A86="","",IFERROR(VLOOKUP(B86,'F01 - _Données Retraite'!$A$6:$K$20,8,FALSE),""))</f>
        <v/>
      </c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5">
        <f>IF(C86="","",IFERROR(COUNTIF($C$6:$C$115,C86),0))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23">
        <f>IF(A87="","",IFERROR(VLOOKUP(B87,'F01 - _Données Retraite'!$A$6:$K$20,8,FALSE),""))</f>
        <v/>
      </c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7">
        <f>IF(C87="","",IFERROR(COUNTIF($C$6:$C$115,C87),0))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21">
        <f>IF(A88="","",IFERROR(VLOOKUP(B88,'F01 - _Données Retraite'!$A$6:$K$20,8,FALSE),""))</f>
        <v/>
      </c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5">
        <f>IF(C88="","",IFERROR(COUNTIF($C$6:$C$115,C88),0))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23">
        <f>IF(A89="","",IFERROR(VLOOKUP(B89,'F01 - _Données Retraite'!$A$6:$K$20,8,FALSE),""))</f>
        <v/>
      </c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7">
        <f>IF(C89="","",IFERROR(COUNTIF($C$6:$C$115,C89),0))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21">
        <f>IF(A90="","",IFERROR(VLOOKUP(B90,'F01 - _Données Retraite'!$A$6:$K$20,8,FALSE),""))</f>
        <v/>
      </c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5">
        <f>IF(C90="","",IFERROR(COUNTIF($C$6:$C$115,C90),0))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23">
        <f>IF(A91="","",IFERROR(VLOOKUP(B91,'F01 - _Données Retraite'!$A$6:$K$20,8,FALSE),""))</f>
        <v/>
      </c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7">
        <f>IF(C91="","",IFERROR(COUNTIF($C$6:$C$115,C91),0))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21">
        <f>IF(A92="","",IFERROR(VLOOKUP(B92,'F01 - _Données Retraite'!$A$6:$K$20,8,FALSE),""))</f>
        <v/>
      </c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5">
        <f>IF(C92="","",IFERROR(COUNTIF($C$6:$C$115,C92),0))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23">
        <f>IF(A93="","",IFERROR(VLOOKUP(B93,'F01 - _Données Retraite'!$A$6:$K$20,8,FALSE),""))</f>
        <v/>
      </c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7">
        <f>IF(C93="","",IFERROR(COUNTIF($C$6:$C$115,C93),0))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21">
        <f>IF(A94="","",IFERROR(VLOOKUP(B94,'F01 - _Données Retraite'!$A$6:$K$20,8,FALSE),""))</f>
        <v/>
      </c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5">
        <f>IF(C94="","",IFERROR(COUNTIF($C$6:$C$115,C94),0))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23">
        <f>IF(A95="","",IFERROR(VLOOKUP(B95,'F01 - _Données Retraite'!$A$6:$K$20,8,FALSE),""))</f>
        <v/>
      </c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7">
        <f>IF(C95="","",IFERROR(COUNTIF($C$6:$C$115,C95),0))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21">
        <f>IF(A96="","",IFERROR(VLOOKUP(B96,'F01 - _Données Retraite'!$A$6:$K$20,8,FALSE),""))</f>
        <v/>
      </c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5">
        <f>IF(C96="","",IFERROR(COUNTIF($C$6:$C$115,C96),0))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23">
        <f>IF(A97="","",IFERROR(VLOOKUP(B97,'F01 - _Données Retraite'!$A$6:$K$20,8,FALSE),""))</f>
        <v/>
      </c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7">
        <f>IF(C97="","",IFERROR(COUNTIF($C$6:$C$115,C97),0))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21">
        <f>IF(A98="","",IFERROR(VLOOKUP(B98,'F01 - _Données Retraite'!$A$6:$K$20,8,FALSE),""))</f>
        <v/>
      </c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5">
        <f>IF(C98="","",IFERROR(COUNTIF($C$6:$C$115,C98),0))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23">
        <f>IF(A99="","",IFERROR(VLOOKUP(B99,'F01 - _Données Retraite'!$A$6:$K$20,8,FALSE),""))</f>
        <v/>
      </c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7">
        <f>IF(C99="","",IFERROR(COUNTIF($C$6:$C$115,C99),0))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21">
        <f>IF(A100="","",IFERROR(VLOOKUP(B100,'F01 - _Données Retraite'!$A$6:$K$20,8,FALSE),""))</f>
        <v/>
      </c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5">
        <f>IF(C100="","",IFERROR(COUNTIF($C$6:$C$115,C100),0))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23">
        <f>IF(A101="","",IFERROR(VLOOKUP(B101,'F01 - _Données Retraite'!$A$6:$K$20,8,FALSE),""))</f>
        <v/>
      </c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7">
        <f>IF(C101="","",IFERROR(COUNTIF($C$6:$C$115,C101),0))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21">
        <f>IF(A102="","",IFERROR(VLOOKUP(B102,'F01 - _Données Retraite'!$A$6:$K$20,8,FALSE),""))</f>
        <v/>
      </c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5">
        <f>IF(C102="","",IFERROR(COUNTIF($C$6:$C$115,C102),0))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23">
        <f>IF(A103="","",IFERROR(VLOOKUP(B103,'F01 - _Données Retraite'!$A$6:$K$20,8,FALSE),""))</f>
        <v/>
      </c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7">
        <f>IF(C103="","",IFERROR(COUNTIF($C$6:$C$115,C103),0))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21">
        <f>IF(A104="","",IFERROR(VLOOKUP(B104,'F01 - _Données Retraite'!$A$6:$K$20,8,FALSE),""))</f>
        <v/>
      </c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5">
        <f>IF(C104="","",IFERROR(COUNTIF($C$6:$C$115,C104),0))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23">
        <f>IF(A105="","",IFERROR(VLOOKUP(B105,'F01 - _Données Retraite'!$A$6:$K$20,8,FALSE),""))</f>
        <v/>
      </c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7">
        <f>IF(C105="","",IFERROR(COUNTIF($C$6:$C$115,C105),0))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21">
        <f>IF(A106="","",IFERROR(VLOOKUP(B106,'F01 - _Données Retraite'!$A$6:$K$20,8,FALSE),""))</f>
        <v/>
      </c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5">
        <f>IF(C106="","",IFERROR(COUNTIF($C$6:$C$115,C106),0))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23">
        <f>IF(A107="","",IFERROR(VLOOKUP(B107,'F01 - _Données Retraite'!$A$6:$K$20,8,FALSE),""))</f>
        <v/>
      </c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7">
        <f>IF(C107="","",IFERROR(COUNTIF($C$6:$C$115,C107),0))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21">
        <f>IF(A108="","",IFERROR(VLOOKUP(B108,'F01 - _Données Retraite'!$A$6:$K$20,8,FALSE),""))</f>
        <v/>
      </c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5">
        <f>IF(C108="","",IFERROR(COUNTIF($C$6:$C$115,C108),0))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23">
        <f>IF(A109="","",IFERROR(VLOOKUP(B109,'F01 - _Données Retraite'!$A$6:$K$20,8,FALSE),""))</f>
        <v/>
      </c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7">
        <f>IF(C109="","",IFERROR(COUNTIF($C$6:$C$115,C109),0))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21">
        <f>IF(A110="","",IFERROR(VLOOKUP(B110,'F01 - _Données Retraite'!$A$6:$K$20,8,FALSE),""))</f>
        <v/>
      </c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5">
        <f>IF(C110="","",IFERROR(COUNTIF($C$6:$C$115,C110),0))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23">
        <f>IF(A111="","",IFERROR(VLOOKUP(B111,'F01 - _Données Retraite'!$A$6:$K$20,8,FALSE),""))</f>
        <v/>
      </c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7">
        <f>IF(C111="","",IFERROR(COUNTIF($C$6:$C$115,C111),0))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21">
        <f>IF(A112="","",IFERROR(VLOOKUP(B112,'F01 - _Données Retraite'!$A$6:$K$20,8,FALSE),""))</f>
        <v/>
      </c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5">
        <f>IF(C112="","",IFERROR(COUNTIF($C$6:$C$115,C112),0))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23">
        <f>IF(A113="","",IFERROR(VLOOKUP(B113,'F01 - _Données Retraite'!$A$6:$K$20,8,FALSE),""))</f>
        <v/>
      </c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7">
        <f>IF(C113="","",IFERROR(COUNTIF($C$6:$C$115,C113),0))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21">
        <f>IF(A114="","",IFERROR(VLOOKUP(B114,'F01 - _Données Retraite'!$A$6:$K$20,8,FALSE),""))</f>
        <v/>
      </c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5">
        <f>IF(C114="","",IFERROR(COUNTIF($C$6:$C$115,C114),0))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23">
        <f>IF(A115="","",IFERROR(VLOOKUP(B115,'F01 - _Données Retraite'!$A$6:$K$20,8,FALSE),""))</f>
        <v/>
      </c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7">
        <f>IF(C115="","",IFERROR(COUNTIF($C$6:$C$115,C115),0))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_Lists'!$E$6:$E$14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_Lists'!$F$6:$F$13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_Lists'!$U$6:$U$10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_Lists'!$M$6:$M$10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20" customWidth="1" min="5" max="5"/>
    <col width="20" customWidth="1" min="6" max="6"/>
    <col width="22" customWidth="1" min="7" max="7"/>
    <col width="14" customWidth="1" min="8" max="8"/>
    <col width="22" customWidth="1" min="9" max="9"/>
    <col width="16" customWidth="1" min="10" max="10"/>
    <col width="14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3-GESTION PRÉVOYANCE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Prév.</t>
        </is>
      </c>
      <c r="B5" s="4" t="inlineStr">
        <is>
          <t>Matricule</t>
        </is>
      </c>
      <c r="C5" s="4" t="inlineStr">
        <is>
          <t>Dispositif</t>
        </is>
      </c>
      <c r="D5" s="4" t="inlineStr">
        <is>
          <t>Montant Cotisation (FCFA)</t>
        </is>
      </c>
      <c r="E5" s="4" t="inlineStr">
        <is>
          <t>Part Employeur (FCFA)</t>
        </is>
      </c>
      <c r="F5" s="4" t="inlineStr">
        <is>
          <t>Part Salarié (FCFA)</t>
        </is>
      </c>
      <c r="G5" s="4" t="inlineStr">
        <is>
          <t>Total Mensuel (FCFA)</t>
        </is>
      </c>
      <c r="H5" s="4" t="inlineStr">
        <is>
          <t>Fréquence</t>
        </is>
      </c>
      <c r="I5" s="4" t="inlineStr">
        <is>
          <t>Mode Paiement</t>
        </is>
      </c>
      <c r="J5" s="4" t="inlineStr">
        <is>
          <t>Date Adhésion</t>
        </is>
      </c>
      <c r="K5" s="4" t="inlineStr">
        <is>
          <t>Statut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PREV-001</t>
        </is>
      </c>
      <c r="B6" s="5" t="inlineStr">
        <is>
          <t>RET-001</t>
        </is>
      </c>
      <c r="C6" s="5" t="inlineStr">
        <is>
          <t>Retraite complémentaire</t>
        </is>
      </c>
      <c r="D6" s="22" t="n">
        <v>180000</v>
      </c>
      <c r="E6" s="22" t="n">
        <v>120000</v>
      </c>
      <c r="F6" s="22" t="n">
        <v>60000</v>
      </c>
      <c r="G6" s="25">
        <f>IF(OR(D6="",E6=""),"",D6+E6)</f>
        <v/>
      </c>
      <c r="H6" s="5" t="inlineStr">
        <is>
          <t>Mensuelle</t>
        </is>
      </c>
      <c r="I6" s="5" t="inlineStr">
        <is>
          <t>Virement bancaire</t>
        </is>
      </c>
      <c r="J6" s="19" t="n">
        <v>40179</v>
      </c>
      <c r="K6" s="5" t="inlineStr">
        <is>
          <t>Validé</t>
        </is>
      </c>
      <c r="L6" s="5" t="inlineStr"/>
      <c r="M6" s="5">
        <f>IF(B6="","",IFERROR(VLOOKUP(B6,'F01 - _Données Retraite'!$A$6:$K$20,2,FALSE)&amp;" "&amp;VLOOKUP(B6,'F01 - _Données Retraite'!$A$6:$K$20,3,FALSE),""))</f>
        <v/>
      </c>
      <c r="N6" s="25">
        <f>IF(B6="","",IFERROR(SUMIF($B$6:$B$115,B6,$G$6:$G$115),0))</f>
        <v/>
      </c>
    </row>
    <row r="7" ht="22" customHeight="1">
      <c r="A7" s="7" t="inlineStr">
        <is>
          <t>PREV-002</t>
        </is>
      </c>
      <c r="B7" s="7" t="inlineStr">
        <is>
          <t>RET-002</t>
        </is>
      </c>
      <c r="C7" s="7" t="inlineStr">
        <is>
          <t>Épargne retraite PER</t>
        </is>
      </c>
      <c r="D7" s="24" t="n">
        <v>250000</v>
      </c>
      <c r="E7" s="24" t="n">
        <v>175000</v>
      </c>
      <c r="F7" s="24" t="n">
        <v>75000</v>
      </c>
      <c r="G7" s="26">
        <f>IF(OR(D7="",E7=""),"",D7+E7)</f>
        <v/>
      </c>
      <c r="H7" s="7" t="inlineStr">
        <is>
          <t>Mensuelle</t>
        </is>
      </c>
      <c r="I7" s="7" t="inlineStr">
        <is>
          <t>Prélèvement auto.</t>
        </is>
      </c>
      <c r="J7" s="20" t="n">
        <v>39522</v>
      </c>
      <c r="K7" s="7" t="inlineStr">
        <is>
          <t>Validé</t>
        </is>
      </c>
      <c r="L7" s="7" t="inlineStr"/>
      <c r="M7" s="7">
        <f>IF(B7="","",IFERROR(VLOOKUP(B7,'F01 - _Données Retraite'!$A$6:$K$20,2,FALSE)&amp;" "&amp;VLOOKUP(B7,'F01 - _Données Retraite'!$A$6:$K$20,3,FALSE),""))</f>
        <v/>
      </c>
      <c r="N7" s="26">
        <f>IF(B7="","",IFERROR(SUMIF($B$6:$B$115,B7,$G$6:$G$115),0))</f>
        <v/>
      </c>
    </row>
    <row r="8" ht="22" customHeight="1">
      <c r="A8" s="5" t="inlineStr">
        <is>
          <t>PREV-003</t>
        </is>
      </c>
      <c r="B8" s="5" t="inlineStr">
        <is>
          <t>RET-003</t>
        </is>
      </c>
      <c r="C8" s="5" t="inlineStr">
        <is>
          <t>Assurance décès</t>
        </is>
      </c>
      <c r="D8" s="22" t="n">
        <v>45000</v>
      </c>
      <c r="E8" s="22" t="n">
        <v>30000</v>
      </c>
      <c r="F8" s="22" t="n">
        <v>15000</v>
      </c>
      <c r="G8" s="25">
        <f>IF(OR(D8="",E8=""),"",D8+E8)</f>
        <v/>
      </c>
      <c r="H8" s="5" t="inlineStr">
        <is>
          <t>Mensuelle</t>
        </is>
      </c>
      <c r="I8" s="5" t="inlineStr">
        <is>
          <t>Virement bancaire</t>
        </is>
      </c>
      <c r="J8" s="19" t="n">
        <v>38504</v>
      </c>
      <c r="K8" s="5" t="inlineStr">
        <is>
          <t>Validé</t>
        </is>
      </c>
      <c r="L8" s="5" t="inlineStr">
        <is>
          <t>Capital garanti 15M</t>
        </is>
      </c>
      <c r="M8" s="5">
        <f>IF(B8="","",IFERROR(VLOOKUP(B8,'F01 - _Données Retraite'!$A$6:$K$20,2,FALSE)&amp;" "&amp;VLOOKUP(B8,'F01 - _Données Retraite'!$A$6:$K$20,3,FALSE),""))</f>
        <v/>
      </c>
      <c r="N8" s="25">
        <f>IF(B8="","",IFERROR(SUMIF($B$6:$B$115,B8,$G$6:$G$115),0))</f>
        <v/>
      </c>
    </row>
    <row r="9" ht="22" customHeight="1">
      <c r="A9" s="7" t="inlineStr">
        <is>
          <t>PREV-004</t>
        </is>
      </c>
      <c r="B9" s="7" t="inlineStr">
        <is>
          <t>RET-005</t>
        </is>
      </c>
      <c r="C9" s="7" t="inlineStr">
        <is>
          <t>Couverture santé senior</t>
        </is>
      </c>
      <c r="D9" s="24" t="n">
        <v>95000</v>
      </c>
      <c r="E9" s="24" t="n">
        <v>63000</v>
      </c>
      <c r="F9" s="24" t="n">
        <v>32000</v>
      </c>
      <c r="G9" s="26">
        <f>IF(OR(D9="",E9=""),"",D9+E9)</f>
        <v/>
      </c>
      <c r="H9" s="7" t="inlineStr">
        <is>
          <t>Mensuelle</t>
        </is>
      </c>
      <c r="I9" s="7" t="inlineStr">
        <is>
          <t>Virement bancaire</t>
        </is>
      </c>
      <c r="J9" s="20" t="n">
        <v>40909</v>
      </c>
      <c r="K9" s="7" t="inlineStr">
        <is>
          <t>En attente</t>
        </is>
      </c>
      <c r="L9" s="7" t="inlineStr"/>
      <c r="M9" s="7">
        <f>IF(B9="","",IFERROR(VLOOKUP(B9,'F01 - _Données Retraite'!$A$6:$K$20,2,FALSE)&amp;" "&amp;VLOOKUP(B9,'F01 - _Données Retraite'!$A$6:$K$20,3,FALSE),""))</f>
        <v/>
      </c>
      <c r="N9" s="26">
        <f>IF(B9="","",IFERROR(SUMIF($B$6:$B$115,B9,$G$6:$G$115),0))</f>
        <v/>
      </c>
    </row>
    <row r="10" ht="22" customHeight="1">
      <c r="A10" s="5" t="inlineStr">
        <is>
          <t>PREV-005</t>
        </is>
      </c>
      <c r="B10" s="5" t="inlineStr">
        <is>
          <t>RET-007</t>
        </is>
      </c>
      <c r="C10" s="5" t="inlineStr">
        <is>
          <t>Rente invalidité</t>
        </is>
      </c>
      <c r="D10" s="22" t="n">
        <v>35000</v>
      </c>
      <c r="E10" s="22" t="n">
        <v>23000</v>
      </c>
      <c r="F10" s="22" t="n">
        <v>12000</v>
      </c>
      <c r="G10" s="25">
        <f>IF(OR(D10="",E10=""),"",D10+E10)</f>
        <v/>
      </c>
      <c r="H10" s="5" t="inlineStr">
        <is>
          <t>Mensuelle</t>
        </is>
      </c>
      <c r="I10" s="5" t="inlineStr">
        <is>
          <t>Virement bancaire</t>
        </is>
      </c>
      <c r="J10" s="19" t="n">
        <v>42248</v>
      </c>
      <c r="K10" s="5" t="inlineStr">
        <is>
          <t>Validé</t>
        </is>
      </c>
      <c r="L10" s="5" t="inlineStr"/>
      <c r="M10" s="5">
        <f>IF(B10="","",IFERROR(VLOOKUP(B10,'F01 - _Données Retraite'!$A$6:$K$20,2,FALSE)&amp;" "&amp;VLOOKUP(B10,'F01 - _Données Retraite'!$A$6:$K$20,3,FALSE),""))</f>
        <v/>
      </c>
      <c r="N10" s="25">
        <f>IF(B10="","",IFERROR(SUMIF($B$6:$B$115,B10,$G$6:$G$115),0))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26">
        <f>IF(OR(D11="",E11=""),"",D11+E11)</f>
        <v/>
      </c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26">
        <f>IF(B11="","",IFERROR(SUMIF($B$6:$B$115,B11,$G$6:$G$115),0))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25">
        <f>IF(OR(D12="",E12=""),"",D12+E12)</f>
        <v/>
      </c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25">
        <f>IF(B12="","",IFERROR(SUMIF($B$6:$B$115,B12,$G$6:$G$115),0))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26">
        <f>IF(OR(D13="",E13=""),"",D13+E13)</f>
        <v/>
      </c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26">
        <f>IF(B13="","",IFERROR(SUMIF($B$6:$B$115,B13,$G$6:$G$115),0))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25">
        <f>IF(OR(D14="",E14=""),"",D14+E14)</f>
        <v/>
      </c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25">
        <f>IF(B14="","",IFERROR(SUMIF($B$6:$B$115,B14,$G$6:$G$115),0))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26">
        <f>IF(OR(D15="",E15=""),"",D15+E15)</f>
        <v/>
      </c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26">
        <f>IF(B15="","",IFERROR(SUMIF($B$6:$B$115,B15,$G$6:$G$115),0))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25">
        <f>IF(OR(D16="",E16=""),"",D16+E16)</f>
        <v/>
      </c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25">
        <f>IF(B16="","",IFERROR(SUMIF($B$6:$B$115,B16,$G$6:$G$115),0))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26">
        <f>IF(OR(D17="",E17=""),"",D17+E17)</f>
        <v/>
      </c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26">
        <f>IF(B17="","",IFERROR(SUMIF($B$6:$B$115,B17,$G$6:$G$115),0))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25">
        <f>IF(OR(D18="",E18=""),"",D18+E18)</f>
        <v/>
      </c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25">
        <f>IF(B18="","",IFERROR(SUMIF($B$6:$B$115,B18,$G$6:$G$115),0))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26">
        <f>IF(OR(D19="",E19=""),"",D19+E19)</f>
        <v/>
      </c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26">
        <f>IF(B19="","",IFERROR(SUMIF($B$6:$B$115,B19,$G$6:$G$115),0))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25">
        <f>IF(OR(D20="",E20=""),"",D20+E20)</f>
        <v/>
      </c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25">
        <f>IF(B20="","",IFERROR(SUMIF($B$6:$B$115,B20,$G$6:$G$115),0))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26">
        <f>IF(OR(D21="",E21=""),"",D21+E21)</f>
        <v/>
      </c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26">
        <f>IF(B21="","",IFERROR(SUMIF($B$6:$B$115,B21,$G$6:$G$115),0))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25">
        <f>IF(OR(D22="",E22=""),"",D22+E22)</f>
        <v/>
      </c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25">
        <f>IF(B22="","",IFERROR(SUMIF($B$6:$B$115,B22,$G$6:$G$115),0))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26">
        <f>IF(OR(D23="",E23=""),"",D23+E23)</f>
        <v/>
      </c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26">
        <f>IF(B23="","",IFERROR(SUMIF($B$6:$B$115,B23,$G$6:$G$115),0))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25">
        <f>IF(OR(D24="",E24=""),"",D24+E24)</f>
        <v/>
      </c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25">
        <f>IF(B24="","",IFERROR(SUMIF($B$6:$B$115,B24,$G$6:$G$115),0))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26">
        <f>IF(OR(D25="",E25=""),"",D25+E25)</f>
        <v/>
      </c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26">
        <f>IF(B25="","",IFERROR(SUMIF($B$6:$B$115,B25,$G$6:$G$115),0))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25">
        <f>IF(OR(D26="",E26=""),"",D26+E26)</f>
        <v/>
      </c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25">
        <f>IF(B26="","",IFERROR(SUMIF($B$6:$B$115,B26,$G$6:$G$115),0))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26">
        <f>IF(OR(D27="",E27=""),"",D27+E27)</f>
        <v/>
      </c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26">
        <f>IF(B27="","",IFERROR(SUMIF($B$6:$B$115,B27,$G$6:$G$115),0))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25">
        <f>IF(OR(D28="",E28=""),"",D28+E28)</f>
        <v/>
      </c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25">
        <f>IF(B28="","",IFERROR(SUMIF($B$6:$B$115,B28,$G$6:$G$115),0))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26">
        <f>IF(OR(D29="",E29=""),"",D29+E29)</f>
        <v/>
      </c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26">
        <f>IF(B29="","",IFERROR(SUMIF($B$6:$B$115,B29,$G$6:$G$115),0))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25">
        <f>IF(OR(D30="",E30=""),"",D30+E30)</f>
        <v/>
      </c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25">
        <f>IF(B30="","",IFERROR(SUMIF($B$6:$B$115,B30,$G$6:$G$115),0))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26">
        <f>IF(OR(D31="",E31=""),"",D31+E31)</f>
        <v/>
      </c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26">
        <f>IF(B31="","",IFERROR(SUMIF($B$6:$B$115,B31,$G$6:$G$115),0))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25">
        <f>IF(OR(D32="",E32=""),"",D32+E32)</f>
        <v/>
      </c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25">
        <f>IF(B32="","",IFERROR(SUMIF($B$6:$B$115,B32,$G$6:$G$115),0))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26">
        <f>IF(OR(D33="",E33=""),"",D33+E33)</f>
        <v/>
      </c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26">
        <f>IF(B33="","",IFERROR(SUMIF($B$6:$B$115,B33,$G$6:$G$115),0))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25">
        <f>IF(OR(D34="",E34=""),"",D34+E34)</f>
        <v/>
      </c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25">
        <f>IF(B34="","",IFERROR(SUMIF($B$6:$B$115,B34,$G$6:$G$115),0))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26">
        <f>IF(OR(D35="",E35=""),"",D35+E35)</f>
        <v/>
      </c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26">
        <f>IF(B35="","",IFERROR(SUMIF($B$6:$B$115,B35,$G$6:$G$115),0))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25">
        <f>IF(OR(D36="",E36=""),"",D36+E36)</f>
        <v/>
      </c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25">
        <f>IF(B36="","",IFERROR(SUMIF($B$6:$B$115,B36,$G$6:$G$115),0))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26">
        <f>IF(OR(D37="",E37=""),"",D37+E37)</f>
        <v/>
      </c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26">
        <f>IF(B37="","",IFERROR(SUMIF($B$6:$B$115,B37,$G$6:$G$115),0))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25">
        <f>IF(OR(D38="",E38=""),"",D38+E38)</f>
        <v/>
      </c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25">
        <f>IF(B38="","",IFERROR(SUMIF($B$6:$B$115,B38,$G$6:$G$115),0))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26">
        <f>IF(OR(D39="",E39=""),"",D39+E39)</f>
        <v/>
      </c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26">
        <f>IF(B39="","",IFERROR(SUMIF($B$6:$B$115,B39,$G$6:$G$115),0))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25">
        <f>IF(OR(D40="",E40=""),"",D40+E40)</f>
        <v/>
      </c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25">
        <f>IF(B40="","",IFERROR(SUMIF($B$6:$B$115,B40,$G$6:$G$115),0))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26">
        <f>IF(OR(D41="",E41=""),"",D41+E41)</f>
        <v/>
      </c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26">
        <f>IF(B41="","",IFERROR(SUMIF($B$6:$B$115,B41,$G$6:$G$115),0))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25">
        <f>IF(OR(D42="",E42=""),"",D42+E42)</f>
        <v/>
      </c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25">
        <f>IF(B42="","",IFERROR(SUMIF($B$6:$B$115,B42,$G$6:$G$115),0))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26">
        <f>IF(OR(D43="",E43=""),"",D43+E43)</f>
        <v/>
      </c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26">
        <f>IF(B43="","",IFERROR(SUMIF($B$6:$B$115,B43,$G$6:$G$115),0))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25">
        <f>IF(OR(D44="",E44=""),"",D44+E44)</f>
        <v/>
      </c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25">
        <f>IF(B44="","",IFERROR(SUMIF($B$6:$B$115,B44,$G$6:$G$115),0))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26">
        <f>IF(OR(D45="",E45=""),"",D45+E45)</f>
        <v/>
      </c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26">
        <f>IF(B45="","",IFERROR(SUMIF($B$6:$B$115,B45,$G$6:$G$115),0))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25">
        <f>IF(OR(D46="",E46=""),"",D46+E46)</f>
        <v/>
      </c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25">
        <f>IF(B46="","",IFERROR(SUMIF($B$6:$B$115,B46,$G$6:$G$115),0))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26">
        <f>IF(OR(D47="",E47=""),"",D47+E47)</f>
        <v/>
      </c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26">
        <f>IF(B47="","",IFERROR(SUMIF($B$6:$B$115,B47,$G$6:$G$115),0))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25">
        <f>IF(OR(D48="",E48=""),"",D48+E48)</f>
        <v/>
      </c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25">
        <f>IF(B48="","",IFERROR(SUMIF($B$6:$B$115,B48,$G$6:$G$115),0))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26">
        <f>IF(OR(D49="",E49=""),"",D49+E49)</f>
        <v/>
      </c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26">
        <f>IF(B49="","",IFERROR(SUMIF($B$6:$B$115,B49,$G$6:$G$115),0))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25">
        <f>IF(OR(D50="",E50=""),"",D50+E50)</f>
        <v/>
      </c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25">
        <f>IF(B50="","",IFERROR(SUMIF($B$6:$B$115,B50,$G$6:$G$115),0))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26">
        <f>IF(OR(D51="",E51=""),"",D51+E51)</f>
        <v/>
      </c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26">
        <f>IF(B51="","",IFERROR(SUMIF($B$6:$B$115,B51,$G$6:$G$115),0))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25">
        <f>IF(OR(D52="",E52=""),"",D52+E52)</f>
        <v/>
      </c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25">
        <f>IF(B52="","",IFERROR(SUMIF($B$6:$B$115,B52,$G$6:$G$115),0))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26">
        <f>IF(OR(D53="",E53=""),"",D53+E53)</f>
        <v/>
      </c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26">
        <f>IF(B53="","",IFERROR(SUMIF($B$6:$B$115,B53,$G$6:$G$115),0))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25">
        <f>IF(OR(D54="",E54=""),"",D54+E54)</f>
        <v/>
      </c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25">
        <f>IF(B54="","",IFERROR(SUMIF($B$6:$B$115,B54,$G$6:$G$115),0))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26">
        <f>IF(OR(D55="",E55=""),"",D55+E55)</f>
        <v/>
      </c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26">
        <f>IF(B55="","",IFERROR(SUMIF($B$6:$B$115,B55,$G$6:$G$115),0))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25">
        <f>IF(OR(D56="",E56=""),"",D56+E56)</f>
        <v/>
      </c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25">
        <f>IF(B56="","",IFERROR(SUMIF($B$6:$B$115,B56,$G$6:$G$115),0))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26">
        <f>IF(OR(D57="",E57=""),"",D57+E57)</f>
        <v/>
      </c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26">
        <f>IF(B57="","",IFERROR(SUMIF($B$6:$B$115,B57,$G$6:$G$115),0))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25">
        <f>IF(OR(D58="",E58=""),"",D58+E58)</f>
        <v/>
      </c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25">
        <f>IF(B58="","",IFERROR(SUMIF($B$6:$B$115,B58,$G$6:$G$115),0))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26">
        <f>IF(OR(D59="",E59=""),"",D59+E59)</f>
        <v/>
      </c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26">
        <f>IF(B59="","",IFERROR(SUMIF($B$6:$B$115,B59,$G$6:$G$115),0))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25">
        <f>IF(OR(D60="",E60=""),"",D60+E60)</f>
        <v/>
      </c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25">
        <f>IF(B60="","",IFERROR(SUMIF($B$6:$B$115,B60,$G$6:$G$115),0))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26">
        <f>IF(OR(D61="",E61=""),"",D61+E61)</f>
        <v/>
      </c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26">
        <f>IF(B61="","",IFERROR(SUMIF($B$6:$B$115,B61,$G$6:$G$115),0))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25">
        <f>IF(OR(D62="",E62=""),"",D62+E62)</f>
        <v/>
      </c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25">
        <f>IF(B62="","",IFERROR(SUMIF($B$6:$B$115,B62,$G$6:$G$115),0))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26">
        <f>IF(OR(D63="",E63=""),"",D63+E63)</f>
        <v/>
      </c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26">
        <f>IF(B63="","",IFERROR(SUMIF($B$6:$B$115,B63,$G$6:$G$115),0))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25">
        <f>IF(OR(D64="",E64=""),"",D64+E64)</f>
        <v/>
      </c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25">
        <f>IF(B64="","",IFERROR(SUMIF($B$6:$B$115,B64,$G$6:$G$115),0))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26">
        <f>IF(OR(D65="",E65=""),"",D65+E65)</f>
        <v/>
      </c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26">
        <f>IF(B65="","",IFERROR(SUMIF($B$6:$B$115,B65,$G$6:$G$115),0))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25">
        <f>IF(OR(D66="",E66=""),"",D66+E66)</f>
        <v/>
      </c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25">
        <f>IF(B66="","",IFERROR(SUMIF($B$6:$B$115,B66,$G$6:$G$115),0))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26">
        <f>IF(OR(D67="",E67=""),"",D67+E67)</f>
        <v/>
      </c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26">
        <f>IF(B67="","",IFERROR(SUMIF($B$6:$B$115,B67,$G$6:$G$115),0))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25">
        <f>IF(OR(D68="",E68=""),"",D68+E68)</f>
        <v/>
      </c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25">
        <f>IF(B68="","",IFERROR(SUMIF($B$6:$B$115,B68,$G$6:$G$115),0))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26">
        <f>IF(OR(D69="",E69=""),"",D69+E69)</f>
        <v/>
      </c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26">
        <f>IF(B69="","",IFERROR(SUMIF($B$6:$B$115,B69,$G$6:$G$115),0))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25">
        <f>IF(OR(D70="",E70=""),"",D70+E70)</f>
        <v/>
      </c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25">
        <f>IF(B70="","",IFERROR(SUMIF($B$6:$B$115,B70,$G$6:$G$115),0))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26">
        <f>IF(OR(D71="",E71=""),"",D71+E71)</f>
        <v/>
      </c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26">
        <f>IF(B71="","",IFERROR(SUMIF($B$6:$B$115,B71,$G$6:$G$115),0))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25">
        <f>IF(OR(D72="",E72=""),"",D72+E72)</f>
        <v/>
      </c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25">
        <f>IF(B72="","",IFERROR(SUMIF($B$6:$B$115,B72,$G$6:$G$115),0))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26">
        <f>IF(OR(D73="",E73=""),"",D73+E73)</f>
        <v/>
      </c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26">
        <f>IF(B73="","",IFERROR(SUMIF($B$6:$B$115,B73,$G$6:$G$115),0))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25">
        <f>IF(OR(D74="",E74=""),"",D74+E74)</f>
        <v/>
      </c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25">
        <f>IF(B74="","",IFERROR(SUMIF($B$6:$B$115,B74,$G$6:$G$115),0))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26">
        <f>IF(OR(D75="",E75=""),"",D75+E75)</f>
        <v/>
      </c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26">
        <f>IF(B75="","",IFERROR(SUMIF($B$6:$B$115,B75,$G$6:$G$115),0))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25">
        <f>IF(OR(D76="",E76=""),"",D76+E76)</f>
        <v/>
      </c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25">
        <f>IF(B76="","",IFERROR(SUMIF($B$6:$B$115,B76,$G$6:$G$115),0))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26">
        <f>IF(OR(D77="",E77=""),"",D77+E77)</f>
        <v/>
      </c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26">
        <f>IF(B77="","",IFERROR(SUMIF($B$6:$B$115,B77,$G$6:$G$115),0))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25">
        <f>IF(OR(D78="",E78=""),"",D78+E78)</f>
        <v/>
      </c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25">
        <f>IF(B78="","",IFERROR(SUMIF($B$6:$B$115,B78,$G$6:$G$115),0))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26">
        <f>IF(OR(D79="",E79=""),"",D79+E79)</f>
        <v/>
      </c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26">
        <f>IF(B79="","",IFERROR(SUMIF($B$6:$B$115,B79,$G$6:$G$115),0))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25">
        <f>IF(OR(D80="",E80=""),"",D80+E80)</f>
        <v/>
      </c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25">
        <f>IF(B80="","",IFERROR(SUMIF($B$6:$B$115,B80,$G$6:$G$115),0))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26">
        <f>IF(OR(D81="",E81=""),"",D81+E81)</f>
        <v/>
      </c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26">
        <f>IF(B81="","",IFERROR(SUMIF($B$6:$B$115,B81,$G$6:$G$115),0))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25">
        <f>IF(OR(D82="",E82=""),"",D82+E82)</f>
        <v/>
      </c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25">
        <f>IF(B82="","",IFERROR(SUMIF($B$6:$B$115,B82,$G$6:$G$115),0))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26">
        <f>IF(OR(D83="",E83=""),"",D83+E83)</f>
        <v/>
      </c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26">
        <f>IF(B83="","",IFERROR(SUMIF($B$6:$B$115,B83,$G$6:$G$115),0))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25">
        <f>IF(OR(D84="",E84=""),"",D84+E84)</f>
        <v/>
      </c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25">
        <f>IF(B84="","",IFERROR(SUMIF($B$6:$B$115,B84,$G$6:$G$115),0))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26">
        <f>IF(OR(D85="",E85=""),"",D85+E85)</f>
        <v/>
      </c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26">
        <f>IF(B85="","",IFERROR(SUMIF($B$6:$B$115,B85,$G$6:$G$115),0))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25">
        <f>IF(OR(D86="",E86=""),"",D86+E86)</f>
        <v/>
      </c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25">
        <f>IF(B86="","",IFERROR(SUMIF($B$6:$B$115,B86,$G$6:$G$115),0))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26">
        <f>IF(OR(D87="",E87=""),"",D87+E87)</f>
        <v/>
      </c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26">
        <f>IF(B87="","",IFERROR(SUMIF($B$6:$B$115,B87,$G$6:$G$115),0))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25">
        <f>IF(OR(D88="",E88=""),"",D88+E88)</f>
        <v/>
      </c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25">
        <f>IF(B88="","",IFERROR(SUMIF($B$6:$B$115,B88,$G$6:$G$115),0))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26">
        <f>IF(OR(D89="",E89=""),"",D89+E89)</f>
        <v/>
      </c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26">
        <f>IF(B89="","",IFERROR(SUMIF($B$6:$B$115,B89,$G$6:$G$115),0))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25">
        <f>IF(OR(D90="",E90=""),"",D90+E90)</f>
        <v/>
      </c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25">
        <f>IF(B90="","",IFERROR(SUMIF($B$6:$B$115,B90,$G$6:$G$115),0))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26">
        <f>IF(OR(D91="",E91=""),"",D91+E91)</f>
        <v/>
      </c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26">
        <f>IF(B91="","",IFERROR(SUMIF($B$6:$B$115,B91,$G$6:$G$115),0))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25">
        <f>IF(OR(D92="",E92=""),"",D92+E92)</f>
        <v/>
      </c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25">
        <f>IF(B92="","",IFERROR(SUMIF($B$6:$B$115,B92,$G$6:$G$115),0))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26">
        <f>IF(OR(D93="",E93=""),"",D93+E93)</f>
        <v/>
      </c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26">
        <f>IF(B93="","",IFERROR(SUMIF($B$6:$B$115,B93,$G$6:$G$115),0))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25">
        <f>IF(OR(D94="",E94=""),"",D94+E94)</f>
        <v/>
      </c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25">
        <f>IF(B94="","",IFERROR(SUMIF($B$6:$B$115,B94,$G$6:$G$115),0))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26">
        <f>IF(OR(D95="",E95=""),"",D95+E95)</f>
        <v/>
      </c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26">
        <f>IF(B95="","",IFERROR(SUMIF($B$6:$B$115,B95,$G$6:$G$115),0))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25">
        <f>IF(OR(D96="",E96=""),"",D96+E96)</f>
        <v/>
      </c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25">
        <f>IF(B96="","",IFERROR(SUMIF($B$6:$B$115,B96,$G$6:$G$115),0))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26">
        <f>IF(OR(D97="",E97=""),"",D97+E97)</f>
        <v/>
      </c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26">
        <f>IF(B97="","",IFERROR(SUMIF($B$6:$B$115,B97,$G$6:$G$115),0))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25">
        <f>IF(OR(D98="",E98=""),"",D98+E98)</f>
        <v/>
      </c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25">
        <f>IF(B98="","",IFERROR(SUMIF($B$6:$B$115,B98,$G$6:$G$115),0))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26">
        <f>IF(OR(D99="",E99=""),"",D99+E99)</f>
        <v/>
      </c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26">
        <f>IF(B99="","",IFERROR(SUMIF($B$6:$B$115,B99,$G$6:$G$115),0))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25">
        <f>IF(OR(D100="",E100=""),"",D100+E100)</f>
        <v/>
      </c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25">
        <f>IF(B100="","",IFERROR(SUMIF($B$6:$B$115,B100,$G$6:$G$115),0))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26">
        <f>IF(OR(D101="",E101=""),"",D101+E101)</f>
        <v/>
      </c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26">
        <f>IF(B101="","",IFERROR(SUMIF($B$6:$B$115,B101,$G$6:$G$115),0))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25">
        <f>IF(OR(D102="",E102=""),"",D102+E102)</f>
        <v/>
      </c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25">
        <f>IF(B102="","",IFERROR(SUMIF($B$6:$B$115,B102,$G$6:$G$115),0))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26">
        <f>IF(OR(D103="",E103=""),"",D103+E103)</f>
        <v/>
      </c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26">
        <f>IF(B103="","",IFERROR(SUMIF($B$6:$B$115,B103,$G$6:$G$115),0))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25">
        <f>IF(OR(D104="",E104=""),"",D104+E104)</f>
        <v/>
      </c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25">
        <f>IF(B104="","",IFERROR(SUMIF($B$6:$B$115,B104,$G$6:$G$115),0))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26">
        <f>IF(OR(D105="",E105=""),"",D105+E105)</f>
        <v/>
      </c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26">
        <f>IF(B105="","",IFERROR(SUMIF($B$6:$B$115,B105,$G$6:$G$115),0))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25">
        <f>IF(OR(D106="",E106=""),"",D106+E106)</f>
        <v/>
      </c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25">
        <f>IF(B106="","",IFERROR(SUMIF($B$6:$B$115,B106,$G$6:$G$115),0))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26">
        <f>IF(OR(D107="",E107=""),"",D107+E107)</f>
        <v/>
      </c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26">
        <f>IF(B107="","",IFERROR(SUMIF($B$6:$B$115,B107,$G$6:$G$115),0))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25">
        <f>IF(OR(D108="",E108=""),"",D108+E108)</f>
        <v/>
      </c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25">
        <f>IF(B108="","",IFERROR(SUMIF($B$6:$B$115,B108,$G$6:$G$115),0))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26">
        <f>IF(OR(D109="",E109=""),"",D109+E109)</f>
        <v/>
      </c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26">
        <f>IF(B109="","",IFERROR(SUMIF($B$6:$B$115,B109,$G$6:$G$115),0))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25">
        <f>IF(OR(D110="",E110=""),"",D110+E110)</f>
        <v/>
      </c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25">
        <f>IF(B110="","",IFERROR(SUMIF($B$6:$B$115,B110,$G$6:$G$115),0))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26">
        <f>IF(OR(D111="",E111=""),"",D111+E111)</f>
        <v/>
      </c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26">
        <f>IF(B111="","",IFERROR(SUMIF($B$6:$B$115,B111,$G$6:$G$115),0))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25">
        <f>IF(OR(D112="",E112=""),"",D112+E112)</f>
        <v/>
      </c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25">
        <f>IF(B112="","",IFERROR(SUMIF($B$6:$B$115,B112,$G$6:$G$115),0))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26">
        <f>IF(OR(D113="",E113=""),"",D113+E113)</f>
        <v/>
      </c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26">
        <f>IF(B113="","",IFERROR(SUMIF($B$6:$B$115,B113,$G$6:$G$115),0))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25">
        <f>IF(OR(D114="",E114=""),"",D114+E114)</f>
        <v/>
      </c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25">
        <f>IF(B114="","",IFERROR(SUMIF($B$6:$B$115,B114,$G$6:$G$115),0))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26">
        <f>IF(OR(D115="",E115=""),"",D115+E115)</f>
        <v/>
      </c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26">
        <f>IF(B115="","",IFERROR(SUMIF($B$6:$B$115,B115,$G$6:$G$115),0))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_Lists'!$I$6:$I$13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_Lists'!$O$6:$O$10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_Lists'!$J$6:$J$10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_Lists'!$R$6:$R$9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4" customWidth="1" min="4" max="4"/>
    <col width="18" customWidth="1" min="5" max="5"/>
    <col width="22" customWidth="1" min="6" max="6"/>
    <col width="22" customWidth="1" min="7" max="7"/>
    <col width="18" customWidth="1" min="8" max="8"/>
    <col width="22" customWidth="1" min="9" max="9"/>
    <col width="18" customWidth="1" min="10" max="10"/>
    <col width="16" customWidth="1" min="11" max="11"/>
    <col width="20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4-SIMULATEURS DE PENSION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Simul.</t>
        </is>
      </c>
      <c r="B5" s="4" t="inlineStr">
        <is>
          <t>Matricule</t>
        </is>
      </c>
      <c r="C5" s="4" t="inlineStr">
        <is>
          <t>Régime</t>
        </is>
      </c>
      <c r="D5" s="4" t="inlineStr">
        <is>
          <t>Salaire Référence (FCFA)</t>
        </is>
      </c>
      <c r="E5" s="4" t="inlineStr">
        <is>
          <t>Nb Trimestres</t>
        </is>
      </c>
      <c r="F5" s="4" t="inlineStr">
        <is>
          <t>Taux de Liquidation (%)</t>
        </is>
      </c>
      <c r="G5" s="4" t="inlineStr">
        <is>
          <t>Pension Brute (FCFA)</t>
        </is>
      </c>
      <c r="H5" s="4" t="inlineStr">
        <is>
          <t>CSG/CRDS (FCFA)</t>
        </is>
      </c>
      <c r="I5" s="4" t="inlineStr">
        <is>
          <t>Pension Nette (FCFA)</t>
        </is>
      </c>
      <c r="J5" s="4" t="inlineStr">
        <is>
          <t>Scénario</t>
        </is>
      </c>
      <c r="K5" s="4" t="inlineStr">
        <is>
          <t>Date Simulation</t>
        </is>
      </c>
      <c r="L5" s="4" t="inlineStr">
        <is>
          <t>Écart vs Objectif (%)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SIM-001</t>
        </is>
      </c>
      <c r="B6" s="5" t="inlineStr">
        <is>
          <t>RET-001</t>
        </is>
      </c>
      <c r="C6" s="5" t="inlineStr">
        <is>
          <t>Régime Cadre IRC</t>
        </is>
      </c>
      <c r="D6" s="22" t="n">
        <v>1800000</v>
      </c>
      <c r="E6" s="22" t="n">
        <v>168</v>
      </c>
      <c r="F6" s="27">
        <f>IF(OR(D6="",E6=""),"",IFERROR(MIN(E6/160*100,80),0))</f>
        <v/>
      </c>
      <c r="G6" s="25">
        <f>IF(OR(D6="",F6=""),"",IFERROR(D6*F6/100,0))</f>
        <v/>
      </c>
      <c r="H6" s="25">
        <f>IF(G6="","",IFERROR(G6*0.097,0))</f>
        <v/>
      </c>
      <c r="I6" s="25">
        <f>IF(G6="","",IFERROR(G6-H6,0))</f>
        <v/>
      </c>
      <c r="J6" s="5" t="inlineStr">
        <is>
          <t>Normal</t>
        </is>
      </c>
      <c r="K6" s="19" t="n">
        <v>45672</v>
      </c>
      <c r="L6" s="25">
        <f>IF(B6="","",IFERROR(AVERAGEIF($B$6:$B$115,B6,$I$6:$I$115),0))</f>
        <v/>
      </c>
      <c r="M6" s="5" t="inlineStr"/>
      <c r="N6" s="5" t="inlineStr"/>
    </row>
    <row r="7" ht="22" customHeight="1">
      <c r="A7" s="7" t="inlineStr">
        <is>
          <t>SIM-002</t>
        </is>
      </c>
      <c r="B7" s="7" t="inlineStr">
        <is>
          <t>RET-001</t>
        </is>
      </c>
      <c r="C7" s="7" t="inlineStr">
        <is>
          <t>Régime Cadre IRC</t>
        </is>
      </c>
      <c r="D7" s="24" t="n">
        <v>1800000</v>
      </c>
      <c r="E7" s="24" t="n">
        <v>172</v>
      </c>
      <c r="F7" s="28">
        <f>IF(OR(D7="",E7=""),"",IFERROR(MIN(E7/160*100,80),0))</f>
        <v/>
      </c>
      <c r="G7" s="26">
        <f>IF(OR(D7="",F7=""),"",IFERROR(D7*F7/100,0))</f>
        <v/>
      </c>
      <c r="H7" s="26">
        <f>IF(G7="","",IFERROR(G7*0.097,0))</f>
        <v/>
      </c>
      <c r="I7" s="26">
        <f>IF(G7="","",IFERROR(G7-H7,0))</f>
        <v/>
      </c>
      <c r="J7" s="7" t="inlineStr">
        <is>
          <t>Rachat 4 trim.</t>
        </is>
      </c>
      <c r="K7" s="20" t="n">
        <v>45677</v>
      </c>
      <c r="L7" s="26">
        <f>IF(B7="","",IFERROR(AVERAGEIF($B$6:$B$115,B7,$I$6:$I$115),0))</f>
        <v/>
      </c>
      <c r="M7" s="7" t="inlineStr"/>
      <c r="N7" s="7" t="inlineStr"/>
    </row>
    <row r="8" ht="22" customHeight="1">
      <c r="A8" s="5" t="inlineStr">
        <is>
          <t>SIM-003</t>
        </is>
      </c>
      <c r="B8" s="5" t="inlineStr">
        <is>
          <t>RET-002</t>
        </is>
      </c>
      <c r="C8" s="5" t="inlineStr">
        <is>
          <t>Régime Cadre IRC</t>
        </is>
      </c>
      <c r="D8" s="22" t="n">
        <v>2200000</v>
      </c>
      <c r="E8" s="22" t="n">
        <v>162</v>
      </c>
      <c r="F8" s="27">
        <f>IF(OR(D8="",E8=""),"",IFERROR(MIN(E8/160*100,80),0))</f>
        <v/>
      </c>
      <c r="G8" s="25">
        <f>IF(OR(D8="",F8=""),"",IFERROR(D8*F8/100,0))</f>
        <v/>
      </c>
      <c r="H8" s="25">
        <f>IF(G8="","",IFERROR(G8*0.097,0))</f>
        <v/>
      </c>
      <c r="I8" s="25">
        <f>IF(G8="","",IFERROR(G8-H8,0))</f>
        <v/>
      </c>
      <c r="J8" s="5" t="inlineStr">
        <is>
          <t>Normal</t>
        </is>
      </c>
      <c r="K8" s="19" t="n">
        <v>45717</v>
      </c>
      <c r="L8" s="25">
        <f>IF(B8="","",IFERROR(AVERAGEIF($B$6:$B$115,B8,$I$6:$I$115),0))</f>
        <v/>
      </c>
      <c r="M8" s="5" t="inlineStr"/>
      <c r="N8" s="5" t="inlineStr"/>
    </row>
    <row r="9" ht="22" customHeight="1">
      <c r="A9" s="7" t="inlineStr">
        <is>
          <t>SIM-004</t>
        </is>
      </c>
      <c r="B9" s="7" t="inlineStr">
        <is>
          <t>RET-006</t>
        </is>
      </c>
      <c r="C9" s="7" t="inlineStr">
        <is>
          <t>Régime Complémentaire</t>
        </is>
      </c>
      <c r="D9" s="24" t="n">
        <v>1600000</v>
      </c>
      <c r="E9" s="24" t="n">
        <v>172</v>
      </c>
      <c r="F9" s="28">
        <f>IF(OR(D9="",E9=""),"",IFERROR(MIN(E9/160*100,80),0))</f>
        <v/>
      </c>
      <c r="G9" s="26">
        <f>IF(OR(D9="",F9=""),"",IFERROR(D9*F9/100,0))</f>
        <v/>
      </c>
      <c r="H9" s="26">
        <f>IF(G9="","",IFERROR(G9*0.097,0))</f>
        <v/>
      </c>
      <c r="I9" s="26">
        <f>IF(G9="","",IFERROR(G9-H9,0))</f>
        <v/>
      </c>
      <c r="J9" s="7" t="inlineStr">
        <is>
          <t>Surcote 5 ans</t>
        </is>
      </c>
      <c r="K9" s="20" t="n">
        <v>45566</v>
      </c>
      <c r="L9" s="26">
        <f>IF(B9="","",IFERROR(AVERAGEIF($B$6:$B$115,B9,$I$6:$I$115),0))</f>
        <v/>
      </c>
      <c r="M9" s="7" t="inlineStr"/>
      <c r="N9" s="7" t="inlineStr"/>
    </row>
    <row r="10" ht="22" customHeight="1">
      <c r="A10" s="5" t="inlineStr">
        <is>
          <t>SIM-005</t>
        </is>
      </c>
      <c r="B10" s="5" t="inlineStr">
        <is>
          <t>RET-005</t>
        </is>
      </c>
      <c r="C10" s="5" t="inlineStr">
        <is>
          <t>Régime International</t>
        </is>
      </c>
      <c r="D10" s="22" t="n">
        <v>3500000</v>
      </c>
      <c r="E10" s="22" t="n">
        <v>155</v>
      </c>
      <c r="F10" s="27">
        <f>IF(OR(D10="",E10=""),"",IFERROR(MIN(E10/160*100,80),0))</f>
        <v/>
      </c>
      <c r="G10" s="25">
        <f>IF(OR(D10="",F10=""),"",IFERROR(D10*F10/100,0))</f>
        <v/>
      </c>
      <c r="H10" s="25">
        <f>IF(G10="","",IFERROR(G10*0.097,0))</f>
        <v/>
      </c>
      <c r="I10" s="25">
        <f>IF(G10="","",IFERROR(G10-H10,0))</f>
        <v/>
      </c>
      <c r="J10" s="5" t="inlineStr">
        <is>
          <t>Convention intl.</t>
        </is>
      </c>
      <c r="K10" s="19" t="n">
        <v>45689</v>
      </c>
      <c r="L10" s="25">
        <f>IF(B10="","",IFERROR(AVERAGEIF($B$6:$B$115,B10,$I$6:$I$115),0))</f>
        <v/>
      </c>
      <c r="M10" s="5" t="inlineStr"/>
      <c r="N10" s="5" t="inlineStr"/>
    </row>
    <row r="11" ht="22" customHeight="1">
      <c r="A11" s="7" t="n"/>
      <c r="B11" s="7" t="n"/>
      <c r="C11" s="7" t="n"/>
      <c r="D11" s="7" t="n"/>
      <c r="E11" s="7" t="n"/>
      <c r="F11" s="28">
        <f>IF(OR(D11="",E11=""),"",IFERROR(MIN(E11/160*100,80),0))</f>
        <v/>
      </c>
      <c r="G11" s="26">
        <f>IF(OR(D11="",F11=""),"",IFERROR(D11*F11/100,0))</f>
        <v/>
      </c>
      <c r="H11" s="26">
        <f>IF(G11="","",IFERROR(G11*0.097,0))</f>
        <v/>
      </c>
      <c r="I11" s="26">
        <f>IF(G11="","",IFERROR(G11-H11,0))</f>
        <v/>
      </c>
      <c r="J11" s="7" t="n"/>
      <c r="K11" s="7" t="n"/>
      <c r="L11" s="26">
        <f>IF(B11="","",IFERROR(AVERAGEIF($B$6:$B$115,B11,$I$6:$I$115),0))</f>
        <v/>
      </c>
      <c r="M11" s="7" t="n"/>
      <c r="N11" s="7" t="n"/>
    </row>
    <row r="12" ht="22" customHeight="1">
      <c r="A12" s="5" t="n"/>
      <c r="B12" s="5" t="n"/>
      <c r="C12" s="5" t="n"/>
      <c r="D12" s="5" t="n"/>
      <c r="E12" s="5" t="n"/>
      <c r="F12" s="27">
        <f>IF(OR(D12="",E12=""),"",IFERROR(MIN(E12/160*100,80),0))</f>
        <v/>
      </c>
      <c r="G12" s="25">
        <f>IF(OR(D12="",F12=""),"",IFERROR(D12*F12/100,0))</f>
        <v/>
      </c>
      <c r="H12" s="25">
        <f>IF(G12="","",IFERROR(G12*0.097,0))</f>
        <v/>
      </c>
      <c r="I12" s="25">
        <f>IF(G12="","",IFERROR(G12-H12,0))</f>
        <v/>
      </c>
      <c r="J12" s="5" t="n"/>
      <c r="K12" s="5" t="n"/>
      <c r="L12" s="25">
        <f>IF(B12="","",IFERROR(AVERAGEIF($B$6:$B$115,B12,$I$6:$I$115),0))</f>
        <v/>
      </c>
      <c r="M12" s="5" t="n"/>
      <c r="N12" s="5" t="n"/>
    </row>
    <row r="13" ht="22" customHeight="1">
      <c r="A13" s="7" t="n"/>
      <c r="B13" s="7" t="n"/>
      <c r="C13" s="7" t="n"/>
      <c r="D13" s="7" t="n"/>
      <c r="E13" s="7" t="n"/>
      <c r="F13" s="28">
        <f>IF(OR(D13="",E13=""),"",IFERROR(MIN(E13/160*100,80),0))</f>
        <v/>
      </c>
      <c r="G13" s="26">
        <f>IF(OR(D13="",F13=""),"",IFERROR(D13*F13/100,0))</f>
        <v/>
      </c>
      <c r="H13" s="26">
        <f>IF(G13="","",IFERROR(G13*0.097,0))</f>
        <v/>
      </c>
      <c r="I13" s="26">
        <f>IF(G13="","",IFERROR(G13-H13,0))</f>
        <v/>
      </c>
      <c r="J13" s="7" t="n"/>
      <c r="K13" s="7" t="n"/>
      <c r="L13" s="26">
        <f>IF(B13="","",IFERROR(AVERAGEIF($B$6:$B$115,B13,$I$6:$I$115),0))</f>
        <v/>
      </c>
      <c r="M13" s="7" t="n"/>
      <c r="N13" s="7" t="n"/>
    </row>
    <row r="14" ht="22" customHeight="1">
      <c r="A14" s="5" t="n"/>
      <c r="B14" s="5" t="n"/>
      <c r="C14" s="5" t="n"/>
      <c r="D14" s="5" t="n"/>
      <c r="E14" s="5" t="n"/>
      <c r="F14" s="27">
        <f>IF(OR(D14="",E14=""),"",IFERROR(MIN(E14/160*100,80),0))</f>
        <v/>
      </c>
      <c r="G14" s="25">
        <f>IF(OR(D14="",F14=""),"",IFERROR(D14*F14/100,0))</f>
        <v/>
      </c>
      <c r="H14" s="25">
        <f>IF(G14="","",IFERROR(G14*0.097,0))</f>
        <v/>
      </c>
      <c r="I14" s="25">
        <f>IF(G14="","",IFERROR(G14-H14,0))</f>
        <v/>
      </c>
      <c r="J14" s="5" t="n"/>
      <c r="K14" s="5" t="n"/>
      <c r="L14" s="25">
        <f>IF(B14="","",IFERROR(AVERAGEIF($B$6:$B$115,B14,$I$6:$I$115),0))</f>
        <v/>
      </c>
      <c r="M14" s="5" t="n"/>
      <c r="N14" s="5" t="n"/>
    </row>
    <row r="15" ht="22" customHeight="1">
      <c r="A15" s="7" t="n"/>
      <c r="B15" s="7" t="n"/>
      <c r="C15" s="7" t="n"/>
      <c r="D15" s="7" t="n"/>
      <c r="E15" s="7" t="n"/>
      <c r="F15" s="28">
        <f>IF(OR(D15="",E15=""),"",IFERROR(MIN(E15/160*100,80),0))</f>
        <v/>
      </c>
      <c r="G15" s="26">
        <f>IF(OR(D15="",F15=""),"",IFERROR(D15*F15/100,0))</f>
        <v/>
      </c>
      <c r="H15" s="26">
        <f>IF(G15="","",IFERROR(G15*0.097,0))</f>
        <v/>
      </c>
      <c r="I15" s="26">
        <f>IF(G15="","",IFERROR(G15-H15,0))</f>
        <v/>
      </c>
      <c r="J15" s="7" t="n"/>
      <c r="K15" s="7" t="n"/>
      <c r="L15" s="26">
        <f>IF(B15="","",IFERROR(AVERAGEIF($B$6:$B$115,B15,$I$6:$I$115),0))</f>
        <v/>
      </c>
      <c r="M15" s="7" t="n"/>
      <c r="N15" s="7" t="n"/>
    </row>
    <row r="16" ht="22" customHeight="1">
      <c r="A16" s="5" t="n"/>
      <c r="B16" s="5" t="n"/>
      <c r="C16" s="5" t="n"/>
      <c r="D16" s="5" t="n"/>
      <c r="E16" s="5" t="n"/>
      <c r="F16" s="27">
        <f>IF(OR(D16="",E16=""),"",IFERROR(MIN(E16/160*100,80),0))</f>
        <v/>
      </c>
      <c r="G16" s="25">
        <f>IF(OR(D16="",F16=""),"",IFERROR(D16*F16/100,0))</f>
        <v/>
      </c>
      <c r="H16" s="25">
        <f>IF(G16="","",IFERROR(G16*0.097,0))</f>
        <v/>
      </c>
      <c r="I16" s="25">
        <f>IF(G16="","",IFERROR(G16-H16,0))</f>
        <v/>
      </c>
      <c r="J16" s="5" t="n"/>
      <c r="K16" s="5" t="n"/>
      <c r="L16" s="25">
        <f>IF(B16="","",IFERROR(AVERAGEIF($B$6:$B$115,B16,$I$6:$I$115),0))</f>
        <v/>
      </c>
      <c r="M16" s="5" t="n"/>
      <c r="N16" s="5" t="n"/>
    </row>
    <row r="17" ht="22" customHeight="1">
      <c r="A17" s="7" t="n"/>
      <c r="B17" s="7" t="n"/>
      <c r="C17" s="7" t="n"/>
      <c r="D17" s="7" t="n"/>
      <c r="E17" s="7" t="n"/>
      <c r="F17" s="28">
        <f>IF(OR(D17="",E17=""),"",IFERROR(MIN(E17/160*100,80),0))</f>
        <v/>
      </c>
      <c r="G17" s="26">
        <f>IF(OR(D17="",F17=""),"",IFERROR(D17*F17/100,0))</f>
        <v/>
      </c>
      <c r="H17" s="26">
        <f>IF(G17="","",IFERROR(G17*0.097,0))</f>
        <v/>
      </c>
      <c r="I17" s="26">
        <f>IF(G17="","",IFERROR(G17-H17,0))</f>
        <v/>
      </c>
      <c r="J17" s="7" t="n"/>
      <c r="K17" s="7" t="n"/>
      <c r="L17" s="26">
        <f>IF(B17="","",IFERROR(AVERAGEIF($B$6:$B$115,B17,$I$6:$I$115),0))</f>
        <v/>
      </c>
      <c r="M17" s="7" t="n"/>
      <c r="N17" s="7" t="n"/>
    </row>
    <row r="18" ht="22" customHeight="1">
      <c r="A18" s="5" t="n"/>
      <c r="B18" s="5" t="n"/>
      <c r="C18" s="5" t="n"/>
      <c r="D18" s="5" t="n"/>
      <c r="E18" s="5" t="n"/>
      <c r="F18" s="27">
        <f>IF(OR(D18="",E18=""),"",IFERROR(MIN(E18/160*100,80),0))</f>
        <v/>
      </c>
      <c r="G18" s="25">
        <f>IF(OR(D18="",F18=""),"",IFERROR(D18*F18/100,0))</f>
        <v/>
      </c>
      <c r="H18" s="25">
        <f>IF(G18="","",IFERROR(G18*0.097,0))</f>
        <v/>
      </c>
      <c r="I18" s="25">
        <f>IF(G18="","",IFERROR(G18-H18,0))</f>
        <v/>
      </c>
      <c r="J18" s="5" t="n"/>
      <c r="K18" s="5" t="n"/>
      <c r="L18" s="25">
        <f>IF(B18="","",IFERROR(AVERAGEIF($B$6:$B$115,B18,$I$6:$I$115),0))</f>
        <v/>
      </c>
      <c r="M18" s="5" t="n"/>
      <c r="N18" s="5" t="n"/>
    </row>
    <row r="19" ht="22" customHeight="1">
      <c r="A19" s="7" t="n"/>
      <c r="B19" s="7" t="n"/>
      <c r="C19" s="7" t="n"/>
      <c r="D19" s="7" t="n"/>
      <c r="E19" s="7" t="n"/>
      <c r="F19" s="28">
        <f>IF(OR(D19="",E19=""),"",IFERROR(MIN(E19/160*100,80),0))</f>
        <v/>
      </c>
      <c r="G19" s="26">
        <f>IF(OR(D19="",F19=""),"",IFERROR(D19*F19/100,0))</f>
        <v/>
      </c>
      <c r="H19" s="26">
        <f>IF(G19="","",IFERROR(G19*0.097,0))</f>
        <v/>
      </c>
      <c r="I19" s="26">
        <f>IF(G19="","",IFERROR(G19-H19,0))</f>
        <v/>
      </c>
      <c r="J19" s="7" t="n"/>
      <c r="K19" s="7" t="n"/>
      <c r="L19" s="26">
        <f>IF(B19="","",IFERROR(AVERAGEIF($B$6:$B$115,B19,$I$6:$I$115),0))</f>
        <v/>
      </c>
      <c r="M19" s="7" t="n"/>
      <c r="N19" s="7" t="n"/>
    </row>
    <row r="20" ht="22" customHeight="1">
      <c r="A20" s="5" t="n"/>
      <c r="B20" s="5" t="n"/>
      <c r="C20" s="5" t="n"/>
      <c r="D20" s="5" t="n"/>
      <c r="E20" s="5" t="n"/>
      <c r="F20" s="27">
        <f>IF(OR(D20="",E20=""),"",IFERROR(MIN(E20/160*100,80),0))</f>
        <v/>
      </c>
      <c r="G20" s="25">
        <f>IF(OR(D20="",F20=""),"",IFERROR(D20*F20/100,0))</f>
        <v/>
      </c>
      <c r="H20" s="25">
        <f>IF(G20="","",IFERROR(G20*0.097,0))</f>
        <v/>
      </c>
      <c r="I20" s="25">
        <f>IF(G20="","",IFERROR(G20-H20,0))</f>
        <v/>
      </c>
      <c r="J20" s="5" t="n"/>
      <c r="K20" s="5" t="n"/>
      <c r="L20" s="25">
        <f>IF(B20="","",IFERROR(AVERAGEIF($B$6:$B$115,B20,$I$6:$I$115),0))</f>
        <v/>
      </c>
      <c r="M20" s="5" t="n"/>
      <c r="N20" s="5" t="n"/>
    </row>
    <row r="21" ht="22" customHeight="1">
      <c r="A21" s="7" t="n"/>
      <c r="B21" s="7" t="n"/>
      <c r="C21" s="7" t="n"/>
      <c r="D21" s="7" t="n"/>
      <c r="E21" s="7" t="n"/>
      <c r="F21" s="28">
        <f>IF(OR(D21="",E21=""),"",IFERROR(MIN(E21/160*100,80),0))</f>
        <v/>
      </c>
      <c r="G21" s="26">
        <f>IF(OR(D21="",F21=""),"",IFERROR(D21*F21/100,0))</f>
        <v/>
      </c>
      <c r="H21" s="26">
        <f>IF(G21="","",IFERROR(G21*0.097,0))</f>
        <v/>
      </c>
      <c r="I21" s="26">
        <f>IF(G21="","",IFERROR(G21-H21,0))</f>
        <v/>
      </c>
      <c r="J21" s="7" t="n"/>
      <c r="K21" s="7" t="n"/>
      <c r="L21" s="26">
        <f>IF(B21="","",IFERROR(AVERAGEIF($B$6:$B$115,B21,$I$6:$I$115),0))</f>
        <v/>
      </c>
      <c r="M21" s="7" t="n"/>
      <c r="N21" s="7" t="n"/>
    </row>
    <row r="22" ht="22" customHeight="1">
      <c r="A22" s="5" t="n"/>
      <c r="B22" s="5" t="n"/>
      <c r="C22" s="5" t="n"/>
      <c r="D22" s="5" t="n"/>
      <c r="E22" s="5" t="n"/>
      <c r="F22" s="27">
        <f>IF(OR(D22="",E22=""),"",IFERROR(MIN(E22/160*100,80),0))</f>
        <v/>
      </c>
      <c r="G22" s="25">
        <f>IF(OR(D22="",F22=""),"",IFERROR(D22*F22/100,0))</f>
        <v/>
      </c>
      <c r="H22" s="25">
        <f>IF(G22="","",IFERROR(G22*0.097,0))</f>
        <v/>
      </c>
      <c r="I22" s="25">
        <f>IF(G22="","",IFERROR(G22-H22,0))</f>
        <v/>
      </c>
      <c r="J22" s="5" t="n"/>
      <c r="K22" s="5" t="n"/>
      <c r="L22" s="25">
        <f>IF(B22="","",IFERROR(AVERAGEIF($B$6:$B$115,B22,$I$6:$I$115),0))</f>
        <v/>
      </c>
      <c r="M22" s="5" t="n"/>
      <c r="N22" s="5" t="n"/>
    </row>
    <row r="23" ht="22" customHeight="1">
      <c r="A23" s="7" t="n"/>
      <c r="B23" s="7" t="n"/>
      <c r="C23" s="7" t="n"/>
      <c r="D23" s="7" t="n"/>
      <c r="E23" s="7" t="n"/>
      <c r="F23" s="28">
        <f>IF(OR(D23="",E23=""),"",IFERROR(MIN(E23/160*100,80),0))</f>
        <v/>
      </c>
      <c r="G23" s="26">
        <f>IF(OR(D23="",F23=""),"",IFERROR(D23*F23/100,0))</f>
        <v/>
      </c>
      <c r="H23" s="26">
        <f>IF(G23="","",IFERROR(G23*0.097,0))</f>
        <v/>
      </c>
      <c r="I23" s="26">
        <f>IF(G23="","",IFERROR(G23-H23,0))</f>
        <v/>
      </c>
      <c r="J23" s="7" t="n"/>
      <c r="K23" s="7" t="n"/>
      <c r="L23" s="26">
        <f>IF(B23="","",IFERROR(AVERAGEIF($B$6:$B$115,B23,$I$6:$I$115),0))</f>
        <v/>
      </c>
      <c r="M23" s="7" t="n"/>
      <c r="N23" s="7" t="n"/>
    </row>
    <row r="24" ht="22" customHeight="1">
      <c r="A24" s="5" t="n"/>
      <c r="B24" s="5" t="n"/>
      <c r="C24" s="5" t="n"/>
      <c r="D24" s="5" t="n"/>
      <c r="E24" s="5" t="n"/>
      <c r="F24" s="27">
        <f>IF(OR(D24="",E24=""),"",IFERROR(MIN(E24/160*100,80),0))</f>
        <v/>
      </c>
      <c r="G24" s="25">
        <f>IF(OR(D24="",F24=""),"",IFERROR(D24*F24/100,0))</f>
        <v/>
      </c>
      <c r="H24" s="25">
        <f>IF(G24="","",IFERROR(G24*0.097,0))</f>
        <v/>
      </c>
      <c r="I24" s="25">
        <f>IF(G24="","",IFERROR(G24-H24,0))</f>
        <v/>
      </c>
      <c r="J24" s="5" t="n"/>
      <c r="K24" s="5" t="n"/>
      <c r="L24" s="25">
        <f>IF(B24="","",IFERROR(AVERAGEIF($B$6:$B$115,B24,$I$6:$I$115),0))</f>
        <v/>
      </c>
      <c r="M24" s="5" t="n"/>
      <c r="N24" s="5" t="n"/>
    </row>
    <row r="25" ht="22" customHeight="1">
      <c r="A25" s="7" t="n"/>
      <c r="B25" s="7" t="n"/>
      <c r="C25" s="7" t="n"/>
      <c r="D25" s="7" t="n"/>
      <c r="E25" s="7" t="n"/>
      <c r="F25" s="28">
        <f>IF(OR(D25="",E25=""),"",IFERROR(MIN(E25/160*100,80),0))</f>
        <v/>
      </c>
      <c r="G25" s="26">
        <f>IF(OR(D25="",F25=""),"",IFERROR(D25*F25/100,0))</f>
        <v/>
      </c>
      <c r="H25" s="26">
        <f>IF(G25="","",IFERROR(G25*0.097,0))</f>
        <v/>
      </c>
      <c r="I25" s="26">
        <f>IF(G25="","",IFERROR(G25-H25,0))</f>
        <v/>
      </c>
      <c r="J25" s="7" t="n"/>
      <c r="K25" s="7" t="n"/>
      <c r="L25" s="26">
        <f>IF(B25="","",IFERROR(AVERAGEIF($B$6:$B$115,B25,$I$6:$I$115),0))</f>
        <v/>
      </c>
      <c r="M25" s="7" t="n"/>
      <c r="N25" s="7" t="n"/>
    </row>
    <row r="26" ht="22" customHeight="1">
      <c r="A26" s="5" t="n"/>
      <c r="B26" s="5" t="n"/>
      <c r="C26" s="5" t="n"/>
      <c r="D26" s="5" t="n"/>
      <c r="E26" s="5" t="n"/>
      <c r="F26" s="27">
        <f>IF(OR(D26="",E26=""),"",IFERROR(MIN(E26/160*100,80),0))</f>
        <v/>
      </c>
      <c r="G26" s="25">
        <f>IF(OR(D26="",F26=""),"",IFERROR(D26*F26/100,0))</f>
        <v/>
      </c>
      <c r="H26" s="25">
        <f>IF(G26="","",IFERROR(G26*0.097,0))</f>
        <v/>
      </c>
      <c r="I26" s="25">
        <f>IF(G26="","",IFERROR(G26-H26,0))</f>
        <v/>
      </c>
      <c r="J26" s="5" t="n"/>
      <c r="K26" s="5" t="n"/>
      <c r="L26" s="25">
        <f>IF(B26="","",IFERROR(AVERAGEIF($B$6:$B$115,B26,$I$6:$I$115),0))</f>
        <v/>
      </c>
      <c r="M26" s="5" t="n"/>
      <c r="N26" s="5" t="n"/>
    </row>
    <row r="27" ht="22" customHeight="1">
      <c r="A27" s="7" t="n"/>
      <c r="B27" s="7" t="n"/>
      <c r="C27" s="7" t="n"/>
      <c r="D27" s="7" t="n"/>
      <c r="E27" s="7" t="n"/>
      <c r="F27" s="28">
        <f>IF(OR(D27="",E27=""),"",IFERROR(MIN(E27/160*100,80),0))</f>
        <v/>
      </c>
      <c r="G27" s="26">
        <f>IF(OR(D27="",F27=""),"",IFERROR(D27*F27/100,0))</f>
        <v/>
      </c>
      <c r="H27" s="26">
        <f>IF(G27="","",IFERROR(G27*0.097,0))</f>
        <v/>
      </c>
      <c r="I27" s="26">
        <f>IF(G27="","",IFERROR(G27-H27,0))</f>
        <v/>
      </c>
      <c r="J27" s="7" t="n"/>
      <c r="K27" s="7" t="n"/>
      <c r="L27" s="26">
        <f>IF(B27="","",IFERROR(AVERAGEIF($B$6:$B$115,B27,$I$6:$I$115),0))</f>
        <v/>
      </c>
      <c r="M27" s="7" t="n"/>
      <c r="N27" s="7" t="n"/>
    </row>
    <row r="28" ht="22" customHeight="1">
      <c r="A28" s="5" t="n"/>
      <c r="B28" s="5" t="n"/>
      <c r="C28" s="5" t="n"/>
      <c r="D28" s="5" t="n"/>
      <c r="E28" s="5" t="n"/>
      <c r="F28" s="27">
        <f>IF(OR(D28="",E28=""),"",IFERROR(MIN(E28/160*100,80),0))</f>
        <v/>
      </c>
      <c r="G28" s="25">
        <f>IF(OR(D28="",F28=""),"",IFERROR(D28*F28/100,0))</f>
        <v/>
      </c>
      <c r="H28" s="25">
        <f>IF(G28="","",IFERROR(G28*0.097,0))</f>
        <v/>
      </c>
      <c r="I28" s="25">
        <f>IF(G28="","",IFERROR(G28-H28,0))</f>
        <v/>
      </c>
      <c r="J28" s="5" t="n"/>
      <c r="K28" s="5" t="n"/>
      <c r="L28" s="25">
        <f>IF(B28="","",IFERROR(AVERAGEIF($B$6:$B$115,B28,$I$6:$I$115),0))</f>
        <v/>
      </c>
      <c r="M28" s="5" t="n"/>
      <c r="N28" s="5" t="n"/>
    </row>
    <row r="29" ht="22" customHeight="1">
      <c r="A29" s="7" t="n"/>
      <c r="B29" s="7" t="n"/>
      <c r="C29" s="7" t="n"/>
      <c r="D29" s="7" t="n"/>
      <c r="E29" s="7" t="n"/>
      <c r="F29" s="28">
        <f>IF(OR(D29="",E29=""),"",IFERROR(MIN(E29/160*100,80),0))</f>
        <v/>
      </c>
      <c r="G29" s="26">
        <f>IF(OR(D29="",F29=""),"",IFERROR(D29*F29/100,0))</f>
        <v/>
      </c>
      <c r="H29" s="26">
        <f>IF(G29="","",IFERROR(G29*0.097,0))</f>
        <v/>
      </c>
      <c r="I29" s="26">
        <f>IF(G29="","",IFERROR(G29-H29,0))</f>
        <v/>
      </c>
      <c r="J29" s="7" t="n"/>
      <c r="K29" s="7" t="n"/>
      <c r="L29" s="26">
        <f>IF(B29="","",IFERROR(AVERAGEIF($B$6:$B$115,B29,$I$6:$I$115),0))</f>
        <v/>
      </c>
      <c r="M29" s="7" t="n"/>
      <c r="N29" s="7" t="n"/>
    </row>
    <row r="30" ht="22" customHeight="1">
      <c r="A30" s="5" t="n"/>
      <c r="B30" s="5" t="n"/>
      <c r="C30" s="5" t="n"/>
      <c r="D30" s="5" t="n"/>
      <c r="E30" s="5" t="n"/>
      <c r="F30" s="27">
        <f>IF(OR(D30="",E30=""),"",IFERROR(MIN(E30/160*100,80),0))</f>
        <v/>
      </c>
      <c r="G30" s="25">
        <f>IF(OR(D30="",F30=""),"",IFERROR(D30*F30/100,0))</f>
        <v/>
      </c>
      <c r="H30" s="25">
        <f>IF(G30="","",IFERROR(G30*0.097,0))</f>
        <v/>
      </c>
      <c r="I30" s="25">
        <f>IF(G30="","",IFERROR(G30-H30,0))</f>
        <v/>
      </c>
      <c r="J30" s="5" t="n"/>
      <c r="K30" s="5" t="n"/>
      <c r="L30" s="25">
        <f>IF(B30="","",IFERROR(AVERAGEIF($B$6:$B$115,B30,$I$6:$I$115),0))</f>
        <v/>
      </c>
      <c r="M30" s="5" t="n"/>
      <c r="N30" s="5" t="n"/>
    </row>
    <row r="31" ht="22" customHeight="1">
      <c r="A31" s="7" t="n"/>
      <c r="B31" s="7" t="n"/>
      <c r="C31" s="7" t="n"/>
      <c r="D31" s="7" t="n"/>
      <c r="E31" s="7" t="n"/>
      <c r="F31" s="28">
        <f>IF(OR(D31="",E31=""),"",IFERROR(MIN(E31/160*100,80),0))</f>
        <v/>
      </c>
      <c r="G31" s="26">
        <f>IF(OR(D31="",F31=""),"",IFERROR(D31*F31/100,0))</f>
        <v/>
      </c>
      <c r="H31" s="26">
        <f>IF(G31="","",IFERROR(G31*0.097,0))</f>
        <v/>
      </c>
      <c r="I31" s="26">
        <f>IF(G31="","",IFERROR(G31-H31,0))</f>
        <v/>
      </c>
      <c r="J31" s="7" t="n"/>
      <c r="K31" s="7" t="n"/>
      <c r="L31" s="26">
        <f>IF(B31="","",IFERROR(AVERAGEIF($B$6:$B$115,B31,$I$6:$I$115),0))</f>
        <v/>
      </c>
      <c r="M31" s="7" t="n"/>
      <c r="N31" s="7" t="n"/>
    </row>
    <row r="32" ht="22" customHeight="1">
      <c r="A32" s="5" t="n"/>
      <c r="B32" s="5" t="n"/>
      <c r="C32" s="5" t="n"/>
      <c r="D32" s="5" t="n"/>
      <c r="E32" s="5" t="n"/>
      <c r="F32" s="27">
        <f>IF(OR(D32="",E32=""),"",IFERROR(MIN(E32/160*100,80),0))</f>
        <v/>
      </c>
      <c r="G32" s="25">
        <f>IF(OR(D32="",F32=""),"",IFERROR(D32*F32/100,0))</f>
        <v/>
      </c>
      <c r="H32" s="25">
        <f>IF(G32="","",IFERROR(G32*0.097,0))</f>
        <v/>
      </c>
      <c r="I32" s="25">
        <f>IF(G32="","",IFERROR(G32-H32,0))</f>
        <v/>
      </c>
      <c r="J32" s="5" t="n"/>
      <c r="K32" s="5" t="n"/>
      <c r="L32" s="25">
        <f>IF(B32="","",IFERROR(AVERAGEIF($B$6:$B$115,B32,$I$6:$I$115),0))</f>
        <v/>
      </c>
      <c r="M32" s="5" t="n"/>
      <c r="N32" s="5" t="n"/>
    </row>
    <row r="33" ht="22" customHeight="1">
      <c r="A33" s="7" t="n"/>
      <c r="B33" s="7" t="n"/>
      <c r="C33" s="7" t="n"/>
      <c r="D33" s="7" t="n"/>
      <c r="E33" s="7" t="n"/>
      <c r="F33" s="28">
        <f>IF(OR(D33="",E33=""),"",IFERROR(MIN(E33/160*100,80),0))</f>
        <v/>
      </c>
      <c r="G33" s="26">
        <f>IF(OR(D33="",F33=""),"",IFERROR(D33*F33/100,0))</f>
        <v/>
      </c>
      <c r="H33" s="26">
        <f>IF(G33="","",IFERROR(G33*0.097,0))</f>
        <v/>
      </c>
      <c r="I33" s="26">
        <f>IF(G33="","",IFERROR(G33-H33,0))</f>
        <v/>
      </c>
      <c r="J33" s="7" t="n"/>
      <c r="K33" s="7" t="n"/>
      <c r="L33" s="26">
        <f>IF(B33="","",IFERROR(AVERAGEIF($B$6:$B$115,B33,$I$6:$I$115),0))</f>
        <v/>
      </c>
      <c r="M33" s="7" t="n"/>
      <c r="N33" s="7" t="n"/>
    </row>
    <row r="34" ht="22" customHeight="1">
      <c r="A34" s="5" t="n"/>
      <c r="B34" s="5" t="n"/>
      <c r="C34" s="5" t="n"/>
      <c r="D34" s="5" t="n"/>
      <c r="E34" s="5" t="n"/>
      <c r="F34" s="27">
        <f>IF(OR(D34="",E34=""),"",IFERROR(MIN(E34/160*100,80),0))</f>
        <v/>
      </c>
      <c r="G34" s="25">
        <f>IF(OR(D34="",F34=""),"",IFERROR(D34*F34/100,0))</f>
        <v/>
      </c>
      <c r="H34" s="25">
        <f>IF(G34="","",IFERROR(G34*0.097,0))</f>
        <v/>
      </c>
      <c r="I34" s="25">
        <f>IF(G34="","",IFERROR(G34-H34,0))</f>
        <v/>
      </c>
      <c r="J34" s="5" t="n"/>
      <c r="K34" s="5" t="n"/>
      <c r="L34" s="25">
        <f>IF(B34="","",IFERROR(AVERAGEIF($B$6:$B$115,B34,$I$6:$I$115),0))</f>
        <v/>
      </c>
      <c r="M34" s="5" t="n"/>
      <c r="N34" s="5" t="n"/>
    </row>
    <row r="35" ht="22" customHeight="1">
      <c r="A35" s="7" t="n"/>
      <c r="B35" s="7" t="n"/>
      <c r="C35" s="7" t="n"/>
      <c r="D35" s="7" t="n"/>
      <c r="E35" s="7" t="n"/>
      <c r="F35" s="28">
        <f>IF(OR(D35="",E35=""),"",IFERROR(MIN(E35/160*100,80),0))</f>
        <v/>
      </c>
      <c r="G35" s="26">
        <f>IF(OR(D35="",F35=""),"",IFERROR(D35*F35/100,0))</f>
        <v/>
      </c>
      <c r="H35" s="26">
        <f>IF(G35="","",IFERROR(G35*0.097,0))</f>
        <v/>
      </c>
      <c r="I35" s="26">
        <f>IF(G35="","",IFERROR(G35-H35,0))</f>
        <v/>
      </c>
      <c r="J35" s="7" t="n"/>
      <c r="K35" s="7" t="n"/>
      <c r="L35" s="26">
        <f>IF(B35="","",IFERROR(AVERAGEIF($B$6:$B$115,B35,$I$6:$I$115),0))</f>
        <v/>
      </c>
      <c r="M35" s="7" t="n"/>
      <c r="N35" s="7" t="n"/>
    </row>
    <row r="36" ht="22" customHeight="1">
      <c r="A36" s="5" t="n"/>
      <c r="B36" s="5" t="n"/>
      <c r="C36" s="5" t="n"/>
      <c r="D36" s="5" t="n"/>
      <c r="E36" s="5" t="n"/>
      <c r="F36" s="27">
        <f>IF(OR(D36="",E36=""),"",IFERROR(MIN(E36/160*100,80),0))</f>
        <v/>
      </c>
      <c r="G36" s="25">
        <f>IF(OR(D36="",F36=""),"",IFERROR(D36*F36/100,0))</f>
        <v/>
      </c>
      <c r="H36" s="25">
        <f>IF(G36="","",IFERROR(G36*0.097,0))</f>
        <v/>
      </c>
      <c r="I36" s="25">
        <f>IF(G36="","",IFERROR(G36-H36,0))</f>
        <v/>
      </c>
      <c r="J36" s="5" t="n"/>
      <c r="K36" s="5" t="n"/>
      <c r="L36" s="25">
        <f>IF(B36="","",IFERROR(AVERAGEIF($B$6:$B$115,B36,$I$6:$I$115),0))</f>
        <v/>
      </c>
      <c r="M36" s="5" t="n"/>
      <c r="N36" s="5" t="n"/>
    </row>
    <row r="37" ht="22" customHeight="1">
      <c r="A37" s="7" t="n"/>
      <c r="B37" s="7" t="n"/>
      <c r="C37" s="7" t="n"/>
      <c r="D37" s="7" t="n"/>
      <c r="E37" s="7" t="n"/>
      <c r="F37" s="28">
        <f>IF(OR(D37="",E37=""),"",IFERROR(MIN(E37/160*100,80),0))</f>
        <v/>
      </c>
      <c r="G37" s="26">
        <f>IF(OR(D37="",F37=""),"",IFERROR(D37*F37/100,0))</f>
        <v/>
      </c>
      <c r="H37" s="26">
        <f>IF(G37="","",IFERROR(G37*0.097,0))</f>
        <v/>
      </c>
      <c r="I37" s="26">
        <f>IF(G37="","",IFERROR(G37-H37,0))</f>
        <v/>
      </c>
      <c r="J37" s="7" t="n"/>
      <c r="K37" s="7" t="n"/>
      <c r="L37" s="26">
        <f>IF(B37="","",IFERROR(AVERAGEIF($B$6:$B$115,B37,$I$6:$I$115),0))</f>
        <v/>
      </c>
      <c r="M37" s="7" t="n"/>
      <c r="N37" s="7" t="n"/>
    </row>
    <row r="38" ht="22" customHeight="1">
      <c r="A38" s="5" t="n"/>
      <c r="B38" s="5" t="n"/>
      <c r="C38" s="5" t="n"/>
      <c r="D38" s="5" t="n"/>
      <c r="E38" s="5" t="n"/>
      <c r="F38" s="27">
        <f>IF(OR(D38="",E38=""),"",IFERROR(MIN(E38/160*100,80),0))</f>
        <v/>
      </c>
      <c r="G38" s="25">
        <f>IF(OR(D38="",F38=""),"",IFERROR(D38*F38/100,0))</f>
        <v/>
      </c>
      <c r="H38" s="25">
        <f>IF(G38="","",IFERROR(G38*0.097,0))</f>
        <v/>
      </c>
      <c r="I38" s="25">
        <f>IF(G38="","",IFERROR(G38-H38,0))</f>
        <v/>
      </c>
      <c r="J38" s="5" t="n"/>
      <c r="K38" s="5" t="n"/>
      <c r="L38" s="25">
        <f>IF(B38="","",IFERROR(AVERAGEIF($B$6:$B$115,B38,$I$6:$I$115),0))</f>
        <v/>
      </c>
      <c r="M38" s="5" t="n"/>
      <c r="N38" s="5" t="n"/>
    </row>
    <row r="39" ht="22" customHeight="1">
      <c r="A39" s="7" t="n"/>
      <c r="B39" s="7" t="n"/>
      <c r="C39" s="7" t="n"/>
      <c r="D39" s="7" t="n"/>
      <c r="E39" s="7" t="n"/>
      <c r="F39" s="28">
        <f>IF(OR(D39="",E39=""),"",IFERROR(MIN(E39/160*100,80),0))</f>
        <v/>
      </c>
      <c r="G39" s="26">
        <f>IF(OR(D39="",F39=""),"",IFERROR(D39*F39/100,0))</f>
        <v/>
      </c>
      <c r="H39" s="26">
        <f>IF(G39="","",IFERROR(G39*0.097,0))</f>
        <v/>
      </c>
      <c r="I39" s="26">
        <f>IF(G39="","",IFERROR(G39-H39,0))</f>
        <v/>
      </c>
      <c r="J39" s="7" t="n"/>
      <c r="K39" s="7" t="n"/>
      <c r="L39" s="26">
        <f>IF(B39="","",IFERROR(AVERAGEIF($B$6:$B$115,B39,$I$6:$I$115),0))</f>
        <v/>
      </c>
      <c r="M39" s="7" t="n"/>
      <c r="N39" s="7" t="n"/>
    </row>
    <row r="40" ht="22" customHeight="1">
      <c r="A40" s="5" t="n"/>
      <c r="B40" s="5" t="n"/>
      <c r="C40" s="5" t="n"/>
      <c r="D40" s="5" t="n"/>
      <c r="E40" s="5" t="n"/>
      <c r="F40" s="27">
        <f>IF(OR(D40="",E40=""),"",IFERROR(MIN(E40/160*100,80),0))</f>
        <v/>
      </c>
      <c r="G40" s="25">
        <f>IF(OR(D40="",F40=""),"",IFERROR(D40*F40/100,0))</f>
        <v/>
      </c>
      <c r="H40" s="25">
        <f>IF(G40="","",IFERROR(G40*0.097,0))</f>
        <v/>
      </c>
      <c r="I40" s="25">
        <f>IF(G40="","",IFERROR(G40-H40,0))</f>
        <v/>
      </c>
      <c r="J40" s="5" t="n"/>
      <c r="K40" s="5" t="n"/>
      <c r="L40" s="25">
        <f>IF(B40="","",IFERROR(AVERAGEIF($B$6:$B$115,B40,$I$6:$I$115),0))</f>
        <v/>
      </c>
      <c r="M40" s="5" t="n"/>
      <c r="N40" s="5" t="n"/>
    </row>
    <row r="41" ht="22" customHeight="1">
      <c r="A41" s="7" t="n"/>
      <c r="B41" s="7" t="n"/>
      <c r="C41" s="7" t="n"/>
      <c r="D41" s="7" t="n"/>
      <c r="E41" s="7" t="n"/>
      <c r="F41" s="28">
        <f>IF(OR(D41="",E41=""),"",IFERROR(MIN(E41/160*100,80),0))</f>
        <v/>
      </c>
      <c r="G41" s="26">
        <f>IF(OR(D41="",F41=""),"",IFERROR(D41*F41/100,0))</f>
        <v/>
      </c>
      <c r="H41" s="26">
        <f>IF(G41="","",IFERROR(G41*0.097,0))</f>
        <v/>
      </c>
      <c r="I41" s="26">
        <f>IF(G41="","",IFERROR(G41-H41,0))</f>
        <v/>
      </c>
      <c r="J41" s="7" t="n"/>
      <c r="K41" s="7" t="n"/>
      <c r="L41" s="26">
        <f>IF(B41="","",IFERROR(AVERAGEIF($B$6:$B$115,B41,$I$6:$I$115),0))</f>
        <v/>
      </c>
      <c r="M41" s="7" t="n"/>
      <c r="N41" s="7" t="n"/>
    </row>
    <row r="42" ht="22" customHeight="1">
      <c r="A42" s="5" t="n"/>
      <c r="B42" s="5" t="n"/>
      <c r="C42" s="5" t="n"/>
      <c r="D42" s="5" t="n"/>
      <c r="E42" s="5" t="n"/>
      <c r="F42" s="27">
        <f>IF(OR(D42="",E42=""),"",IFERROR(MIN(E42/160*100,80),0))</f>
        <v/>
      </c>
      <c r="G42" s="25">
        <f>IF(OR(D42="",F42=""),"",IFERROR(D42*F42/100,0))</f>
        <v/>
      </c>
      <c r="H42" s="25">
        <f>IF(G42="","",IFERROR(G42*0.097,0))</f>
        <v/>
      </c>
      <c r="I42" s="25">
        <f>IF(G42="","",IFERROR(G42-H42,0))</f>
        <v/>
      </c>
      <c r="J42" s="5" t="n"/>
      <c r="K42" s="5" t="n"/>
      <c r="L42" s="25">
        <f>IF(B42="","",IFERROR(AVERAGEIF($B$6:$B$115,B42,$I$6:$I$115),0))</f>
        <v/>
      </c>
      <c r="M42" s="5" t="n"/>
      <c r="N42" s="5" t="n"/>
    </row>
    <row r="43" ht="22" customHeight="1">
      <c r="A43" s="7" t="n"/>
      <c r="B43" s="7" t="n"/>
      <c r="C43" s="7" t="n"/>
      <c r="D43" s="7" t="n"/>
      <c r="E43" s="7" t="n"/>
      <c r="F43" s="28">
        <f>IF(OR(D43="",E43=""),"",IFERROR(MIN(E43/160*100,80),0))</f>
        <v/>
      </c>
      <c r="G43" s="26">
        <f>IF(OR(D43="",F43=""),"",IFERROR(D43*F43/100,0))</f>
        <v/>
      </c>
      <c r="H43" s="26">
        <f>IF(G43="","",IFERROR(G43*0.097,0))</f>
        <v/>
      </c>
      <c r="I43" s="26">
        <f>IF(G43="","",IFERROR(G43-H43,0))</f>
        <v/>
      </c>
      <c r="J43" s="7" t="n"/>
      <c r="K43" s="7" t="n"/>
      <c r="L43" s="26">
        <f>IF(B43="","",IFERROR(AVERAGEIF($B$6:$B$115,B43,$I$6:$I$115),0))</f>
        <v/>
      </c>
      <c r="M43" s="7" t="n"/>
      <c r="N43" s="7" t="n"/>
    </row>
    <row r="44" ht="22" customHeight="1">
      <c r="A44" s="5" t="n"/>
      <c r="B44" s="5" t="n"/>
      <c r="C44" s="5" t="n"/>
      <c r="D44" s="5" t="n"/>
      <c r="E44" s="5" t="n"/>
      <c r="F44" s="27">
        <f>IF(OR(D44="",E44=""),"",IFERROR(MIN(E44/160*100,80),0))</f>
        <v/>
      </c>
      <c r="G44" s="25">
        <f>IF(OR(D44="",F44=""),"",IFERROR(D44*F44/100,0))</f>
        <v/>
      </c>
      <c r="H44" s="25">
        <f>IF(G44="","",IFERROR(G44*0.097,0))</f>
        <v/>
      </c>
      <c r="I44" s="25">
        <f>IF(G44="","",IFERROR(G44-H44,0))</f>
        <v/>
      </c>
      <c r="J44" s="5" t="n"/>
      <c r="K44" s="5" t="n"/>
      <c r="L44" s="25">
        <f>IF(B44="","",IFERROR(AVERAGEIF($B$6:$B$115,B44,$I$6:$I$115),0))</f>
        <v/>
      </c>
      <c r="M44" s="5" t="n"/>
      <c r="N44" s="5" t="n"/>
    </row>
    <row r="45" ht="22" customHeight="1">
      <c r="A45" s="7" t="n"/>
      <c r="B45" s="7" t="n"/>
      <c r="C45" s="7" t="n"/>
      <c r="D45" s="7" t="n"/>
      <c r="E45" s="7" t="n"/>
      <c r="F45" s="28">
        <f>IF(OR(D45="",E45=""),"",IFERROR(MIN(E45/160*100,80),0))</f>
        <v/>
      </c>
      <c r="G45" s="26">
        <f>IF(OR(D45="",F45=""),"",IFERROR(D45*F45/100,0))</f>
        <v/>
      </c>
      <c r="H45" s="26">
        <f>IF(G45="","",IFERROR(G45*0.097,0))</f>
        <v/>
      </c>
      <c r="I45" s="26">
        <f>IF(G45="","",IFERROR(G45-H45,0))</f>
        <v/>
      </c>
      <c r="J45" s="7" t="n"/>
      <c r="K45" s="7" t="n"/>
      <c r="L45" s="26">
        <f>IF(B45="","",IFERROR(AVERAGEIF($B$6:$B$115,B45,$I$6:$I$115),0))</f>
        <v/>
      </c>
      <c r="M45" s="7" t="n"/>
      <c r="N45" s="7" t="n"/>
    </row>
    <row r="46" ht="22" customHeight="1">
      <c r="A46" s="5" t="n"/>
      <c r="B46" s="5" t="n"/>
      <c r="C46" s="5" t="n"/>
      <c r="D46" s="5" t="n"/>
      <c r="E46" s="5" t="n"/>
      <c r="F46" s="27">
        <f>IF(OR(D46="",E46=""),"",IFERROR(MIN(E46/160*100,80),0))</f>
        <v/>
      </c>
      <c r="G46" s="25">
        <f>IF(OR(D46="",F46=""),"",IFERROR(D46*F46/100,0))</f>
        <v/>
      </c>
      <c r="H46" s="25">
        <f>IF(G46="","",IFERROR(G46*0.097,0))</f>
        <v/>
      </c>
      <c r="I46" s="25">
        <f>IF(G46="","",IFERROR(G46-H46,0))</f>
        <v/>
      </c>
      <c r="J46" s="5" t="n"/>
      <c r="K46" s="5" t="n"/>
      <c r="L46" s="25">
        <f>IF(B46="","",IFERROR(AVERAGEIF($B$6:$B$115,B46,$I$6:$I$115),0))</f>
        <v/>
      </c>
      <c r="M46" s="5" t="n"/>
      <c r="N46" s="5" t="n"/>
    </row>
    <row r="47" ht="22" customHeight="1">
      <c r="A47" s="7" t="n"/>
      <c r="B47" s="7" t="n"/>
      <c r="C47" s="7" t="n"/>
      <c r="D47" s="7" t="n"/>
      <c r="E47" s="7" t="n"/>
      <c r="F47" s="28">
        <f>IF(OR(D47="",E47=""),"",IFERROR(MIN(E47/160*100,80),0))</f>
        <v/>
      </c>
      <c r="G47" s="26">
        <f>IF(OR(D47="",F47=""),"",IFERROR(D47*F47/100,0))</f>
        <v/>
      </c>
      <c r="H47" s="26">
        <f>IF(G47="","",IFERROR(G47*0.097,0))</f>
        <v/>
      </c>
      <c r="I47" s="26">
        <f>IF(G47="","",IFERROR(G47-H47,0))</f>
        <v/>
      </c>
      <c r="J47" s="7" t="n"/>
      <c r="K47" s="7" t="n"/>
      <c r="L47" s="26">
        <f>IF(B47="","",IFERROR(AVERAGEIF($B$6:$B$115,B47,$I$6:$I$115),0))</f>
        <v/>
      </c>
      <c r="M47" s="7" t="n"/>
      <c r="N47" s="7" t="n"/>
    </row>
    <row r="48" ht="22" customHeight="1">
      <c r="A48" s="5" t="n"/>
      <c r="B48" s="5" t="n"/>
      <c r="C48" s="5" t="n"/>
      <c r="D48" s="5" t="n"/>
      <c r="E48" s="5" t="n"/>
      <c r="F48" s="27">
        <f>IF(OR(D48="",E48=""),"",IFERROR(MIN(E48/160*100,80),0))</f>
        <v/>
      </c>
      <c r="G48" s="25">
        <f>IF(OR(D48="",F48=""),"",IFERROR(D48*F48/100,0))</f>
        <v/>
      </c>
      <c r="H48" s="25">
        <f>IF(G48="","",IFERROR(G48*0.097,0))</f>
        <v/>
      </c>
      <c r="I48" s="25">
        <f>IF(G48="","",IFERROR(G48-H48,0))</f>
        <v/>
      </c>
      <c r="J48" s="5" t="n"/>
      <c r="K48" s="5" t="n"/>
      <c r="L48" s="25">
        <f>IF(B48="","",IFERROR(AVERAGEIF($B$6:$B$115,B48,$I$6:$I$115),0))</f>
        <v/>
      </c>
      <c r="M48" s="5" t="n"/>
      <c r="N48" s="5" t="n"/>
    </row>
    <row r="49" ht="22" customHeight="1">
      <c r="A49" s="7" t="n"/>
      <c r="B49" s="7" t="n"/>
      <c r="C49" s="7" t="n"/>
      <c r="D49" s="7" t="n"/>
      <c r="E49" s="7" t="n"/>
      <c r="F49" s="28">
        <f>IF(OR(D49="",E49=""),"",IFERROR(MIN(E49/160*100,80),0))</f>
        <v/>
      </c>
      <c r="G49" s="26">
        <f>IF(OR(D49="",F49=""),"",IFERROR(D49*F49/100,0))</f>
        <v/>
      </c>
      <c r="H49" s="26">
        <f>IF(G49="","",IFERROR(G49*0.097,0))</f>
        <v/>
      </c>
      <c r="I49" s="26">
        <f>IF(G49="","",IFERROR(G49-H49,0))</f>
        <v/>
      </c>
      <c r="J49" s="7" t="n"/>
      <c r="K49" s="7" t="n"/>
      <c r="L49" s="26">
        <f>IF(B49="","",IFERROR(AVERAGEIF($B$6:$B$115,B49,$I$6:$I$115),0))</f>
        <v/>
      </c>
      <c r="M49" s="7" t="n"/>
      <c r="N49" s="7" t="n"/>
    </row>
    <row r="50" ht="22" customHeight="1">
      <c r="A50" s="5" t="n"/>
      <c r="B50" s="5" t="n"/>
      <c r="C50" s="5" t="n"/>
      <c r="D50" s="5" t="n"/>
      <c r="E50" s="5" t="n"/>
      <c r="F50" s="27">
        <f>IF(OR(D50="",E50=""),"",IFERROR(MIN(E50/160*100,80),0))</f>
        <v/>
      </c>
      <c r="G50" s="25">
        <f>IF(OR(D50="",F50=""),"",IFERROR(D50*F50/100,0))</f>
        <v/>
      </c>
      <c r="H50" s="25">
        <f>IF(G50="","",IFERROR(G50*0.097,0))</f>
        <v/>
      </c>
      <c r="I50" s="25">
        <f>IF(G50="","",IFERROR(G50-H50,0))</f>
        <v/>
      </c>
      <c r="J50" s="5" t="n"/>
      <c r="K50" s="5" t="n"/>
      <c r="L50" s="25">
        <f>IF(B50="","",IFERROR(AVERAGEIF($B$6:$B$115,B50,$I$6:$I$115),0))</f>
        <v/>
      </c>
      <c r="M50" s="5" t="n"/>
      <c r="N50" s="5" t="n"/>
    </row>
    <row r="51" ht="22" customHeight="1">
      <c r="A51" s="7" t="n"/>
      <c r="B51" s="7" t="n"/>
      <c r="C51" s="7" t="n"/>
      <c r="D51" s="7" t="n"/>
      <c r="E51" s="7" t="n"/>
      <c r="F51" s="28">
        <f>IF(OR(D51="",E51=""),"",IFERROR(MIN(E51/160*100,80),0))</f>
        <v/>
      </c>
      <c r="G51" s="26">
        <f>IF(OR(D51="",F51=""),"",IFERROR(D51*F51/100,0))</f>
        <v/>
      </c>
      <c r="H51" s="26">
        <f>IF(G51="","",IFERROR(G51*0.097,0))</f>
        <v/>
      </c>
      <c r="I51" s="26">
        <f>IF(G51="","",IFERROR(G51-H51,0))</f>
        <v/>
      </c>
      <c r="J51" s="7" t="n"/>
      <c r="K51" s="7" t="n"/>
      <c r="L51" s="26">
        <f>IF(B51="","",IFERROR(AVERAGEIF($B$6:$B$115,B51,$I$6:$I$115),0))</f>
        <v/>
      </c>
      <c r="M51" s="7" t="n"/>
      <c r="N51" s="7" t="n"/>
    </row>
    <row r="52" ht="22" customHeight="1">
      <c r="A52" s="5" t="n"/>
      <c r="B52" s="5" t="n"/>
      <c r="C52" s="5" t="n"/>
      <c r="D52" s="5" t="n"/>
      <c r="E52" s="5" t="n"/>
      <c r="F52" s="27">
        <f>IF(OR(D52="",E52=""),"",IFERROR(MIN(E52/160*100,80),0))</f>
        <v/>
      </c>
      <c r="G52" s="25">
        <f>IF(OR(D52="",F52=""),"",IFERROR(D52*F52/100,0))</f>
        <v/>
      </c>
      <c r="H52" s="25">
        <f>IF(G52="","",IFERROR(G52*0.097,0))</f>
        <v/>
      </c>
      <c r="I52" s="25">
        <f>IF(G52="","",IFERROR(G52-H52,0))</f>
        <v/>
      </c>
      <c r="J52" s="5" t="n"/>
      <c r="K52" s="5" t="n"/>
      <c r="L52" s="25">
        <f>IF(B52="","",IFERROR(AVERAGEIF($B$6:$B$115,B52,$I$6:$I$115),0))</f>
        <v/>
      </c>
      <c r="M52" s="5" t="n"/>
      <c r="N52" s="5" t="n"/>
    </row>
    <row r="53" ht="22" customHeight="1">
      <c r="A53" s="7" t="n"/>
      <c r="B53" s="7" t="n"/>
      <c r="C53" s="7" t="n"/>
      <c r="D53" s="7" t="n"/>
      <c r="E53" s="7" t="n"/>
      <c r="F53" s="28">
        <f>IF(OR(D53="",E53=""),"",IFERROR(MIN(E53/160*100,80),0))</f>
        <v/>
      </c>
      <c r="G53" s="26">
        <f>IF(OR(D53="",F53=""),"",IFERROR(D53*F53/100,0))</f>
        <v/>
      </c>
      <c r="H53" s="26">
        <f>IF(G53="","",IFERROR(G53*0.097,0))</f>
        <v/>
      </c>
      <c r="I53" s="26">
        <f>IF(G53="","",IFERROR(G53-H53,0))</f>
        <v/>
      </c>
      <c r="J53" s="7" t="n"/>
      <c r="K53" s="7" t="n"/>
      <c r="L53" s="26">
        <f>IF(B53="","",IFERROR(AVERAGEIF($B$6:$B$115,B53,$I$6:$I$115),0))</f>
        <v/>
      </c>
      <c r="M53" s="7" t="n"/>
      <c r="N53" s="7" t="n"/>
    </row>
    <row r="54" ht="22" customHeight="1">
      <c r="A54" s="5" t="n"/>
      <c r="B54" s="5" t="n"/>
      <c r="C54" s="5" t="n"/>
      <c r="D54" s="5" t="n"/>
      <c r="E54" s="5" t="n"/>
      <c r="F54" s="27">
        <f>IF(OR(D54="",E54=""),"",IFERROR(MIN(E54/160*100,80),0))</f>
        <v/>
      </c>
      <c r="G54" s="25">
        <f>IF(OR(D54="",F54=""),"",IFERROR(D54*F54/100,0))</f>
        <v/>
      </c>
      <c r="H54" s="25">
        <f>IF(G54="","",IFERROR(G54*0.097,0))</f>
        <v/>
      </c>
      <c r="I54" s="25">
        <f>IF(G54="","",IFERROR(G54-H54,0))</f>
        <v/>
      </c>
      <c r="J54" s="5" t="n"/>
      <c r="K54" s="5" t="n"/>
      <c r="L54" s="25">
        <f>IF(B54="","",IFERROR(AVERAGEIF($B$6:$B$115,B54,$I$6:$I$115),0))</f>
        <v/>
      </c>
      <c r="M54" s="5" t="n"/>
      <c r="N54" s="5" t="n"/>
    </row>
    <row r="55" ht="22" customHeight="1">
      <c r="A55" s="7" t="n"/>
      <c r="B55" s="7" t="n"/>
      <c r="C55" s="7" t="n"/>
      <c r="D55" s="7" t="n"/>
      <c r="E55" s="7" t="n"/>
      <c r="F55" s="28">
        <f>IF(OR(D55="",E55=""),"",IFERROR(MIN(E55/160*100,80),0))</f>
        <v/>
      </c>
      <c r="G55" s="26">
        <f>IF(OR(D55="",F55=""),"",IFERROR(D55*F55/100,0))</f>
        <v/>
      </c>
      <c r="H55" s="26">
        <f>IF(G55="","",IFERROR(G55*0.097,0))</f>
        <v/>
      </c>
      <c r="I55" s="26">
        <f>IF(G55="","",IFERROR(G55-H55,0))</f>
        <v/>
      </c>
      <c r="J55" s="7" t="n"/>
      <c r="K55" s="7" t="n"/>
      <c r="L55" s="26">
        <f>IF(B55="","",IFERROR(AVERAGEIF($B$6:$B$115,B55,$I$6:$I$115),0))</f>
        <v/>
      </c>
      <c r="M55" s="7" t="n"/>
      <c r="N55" s="7" t="n"/>
    </row>
    <row r="56" ht="22" customHeight="1">
      <c r="A56" s="5" t="n"/>
      <c r="B56" s="5" t="n"/>
      <c r="C56" s="5" t="n"/>
      <c r="D56" s="5" t="n"/>
      <c r="E56" s="5" t="n"/>
      <c r="F56" s="27">
        <f>IF(OR(D56="",E56=""),"",IFERROR(MIN(E56/160*100,80),0))</f>
        <v/>
      </c>
      <c r="G56" s="25">
        <f>IF(OR(D56="",F56=""),"",IFERROR(D56*F56/100,0))</f>
        <v/>
      </c>
      <c r="H56" s="25">
        <f>IF(G56="","",IFERROR(G56*0.097,0))</f>
        <v/>
      </c>
      <c r="I56" s="25">
        <f>IF(G56="","",IFERROR(G56-H56,0))</f>
        <v/>
      </c>
      <c r="J56" s="5" t="n"/>
      <c r="K56" s="5" t="n"/>
      <c r="L56" s="25">
        <f>IF(B56="","",IFERROR(AVERAGEIF($B$6:$B$115,B56,$I$6:$I$115),0))</f>
        <v/>
      </c>
      <c r="M56" s="5" t="n"/>
      <c r="N56" s="5" t="n"/>
    </row>
    <row r="57" ht="22" customHeight="1">
      <c r="A57" s="7" t="n"/>
      <c r="B57" s="7" t="n"/>
      <c r="C57" s="7" t="n"/>
      <c r="D57" s="7" t="n"/>
      <c r="E57" s="7" t="n"/>
      <c r="F57" s="28">
        <f>IF(OR(D57="",E57=""),"",IFERROR(MIN(E57/160*100,80),0))</f>
        <v/>
      </c>
      <c r="G57" s="26">
        <f>IF(OR(D57="",F57=""),"",IFERROR(D57*F57/100,0))</f>
        <v/>
      </c>
      <c r="H57" s="26">
        <f>IF(G57="","",IFERROR(G57*0.097,0))</f>
        <v/>
      </c>
      <c r="I57" s="26">
        <f>IF(G57="","",IFERROR(G57-H57,0))</f>
        <v/>
      </c>
      <c r="J57" s="7" t="n"/>
      <c r="K57" s="7" t="n"/>
      <c r="L57" s="26">
        <f>IF(B57="","",IFERROR(AVERAGEIF($B$6:$B$115,B57,$I$6:$I$115),0))</f>
        <v/>
      </c>
      <c r="M57" s="7" t="n"/>
      <c r="N57" s="7" t="n"/>
    </row>
    <row r="58" ht="22" customHeight="1">
      <c r="A58" s="5" t="n"/>
      <c r="B58" s="5" t="n"/>
      <c r="C58" s="5" t="n"/>
      <c r="D58" s="5" t="n"/>
      <c r="E58" s="5" t="n"/>
      <c r="F58" s="27">
        <f>IF(OR(D58="",E58=""),"",IFERROR(MIN(E58/160*100,80),0))</f>
        <v/>
      </c>
      <c r="G58" s="25">
        <f>IF(OR(D58="",F58=""),"",IFERROR(D58*F58/100,0))</f>
        <v/>
      </c>
      <c r="H58" s="25">
        <f>IF(G58="","",IFERROR(G58*0.097,0))</f>
        <v/>
      </c>
      <c r="I58" s="25">
        <f>IF(G58="","",IFERROR(G58-H58,0))</f>
        <v/>
      </c>
      <c r="J58" s="5" t="n"/>
      <c r="K58" s="5" t="n"/>
      <c r="L58" s="25">
        <f>IF(B58="","",IFERROR(AVERAGEIF($B$6:$B$115,B58,$I$6:$I$115),0))</f>
        <v/>
      </c>
      <c r="M58" s="5" t="n"/>
      <c r="N58" s="5" t="n"/>
    </row>
    <row r="59" ht="22" customHeight="1">
      <c r="A59" s="7" t="n"/>
      <c r="B59" s="7" t="n"/>
      <c r="C59" s="7" t="n"/>
      <c r="D59" s="7" t="n"/>
      <c r="E59" s="7" t="n"/>
      <c r="F59" s="28">
        <f>IF(OR(D59="",E59=""),"",IFERROR(MIN(E59/160*100,80),0))</f>
        <v/>
      </c>
      <c r="G59" s="26">
        <f>IF(OR(D59="",F59=""),"",IFERROR(D59*F59/100,0))</f>
        <v/>
      </c>
      <c r="H59" s="26">
        <f>IF(G59="","",IFERROR(G59*0.097,0))</f>
        <v/>
      </c>
      <c r="I59" s="26">
        <f>IF(G59="","",IFERROR(G59-H59,0))</f>
        <v/>
      </c>
      <c r="J59" s="7" t="n"/>
      <c r="K59" s="7" t="n"/>
      <c r="L59" s="26">
        <f>IF(B59="","",IFERROR(AVERAGEIF($B$6:$B$115,B59,$I$6:$I$115),0))</f>
        <v/>
      </c>
      <c r="M59" s="7" t="n"/>
      <c r="N59" s="7" t="n"/>
    </row>
    <row r="60" ht="22" customHeight="1">
      <c r="A60" s="5" t="n"/>
      <c r="B60" s="5" t="n"/>
      <c r="C60" s="5" t="n"/>
      <c r="D60" s="5" t="n"/>
      <c r="E60" s="5" t="n"/>
      <c r="F60" s="27">
        <f>IF(OR(D60="",E60=""),"",IFERROR(MIN(E60/160*100,80),0))</f>
        <v/>
      </c>
      <c r="G60" s="25">
        <f>IF(OR(D60="",F60=""),"",IFERROR(D60*F60/100,0))</f>
        <v/>
      </c>
      <c r="H60" s="25">
        <f>IF(G60="","",IFERROR(G60*0.097,0))</f>
        <v/>
      </c>
      <c r="I60" s="25">
        <f>IF(G60="","",IFERROR(G60-H60,0))</f>
        <v/>
      </c>
      <c r="J60" s="5" t="n"/>
      <c r="K60" s="5" t="n"/>
      <c r="L60" s="25">
        <f>IF(B60="","",IFERROR(AVERAGEIF($B$6:$B$115,B60,$I$6:$I$115),0))</f>
        <v/>
      </c>
      <c r="M60" s="5" t="n"/>
      <c r="N60" s="5" t="n"/>
    </row>
    <row r="61" ht="22" customHeight="1">
      <c r="A61" s="7" t="n"/>
      <c r="B61" s="7" t="n"/>
      <c r="C61" s="7" t="n"/>
      <c r="D61" s="7" t="n"/>
      <c r="E61" s="7" t="n"/>
      <c r="F61" s="28">
        <f>IF(OR(D61="",E61=""),"",IFERROR(MIN(E61/160*100,80),0))</f>
        <v/>
      </c>
      <c r="G61" s="26">
        <f>IF(OR(D61="",F61=""),"",IFERROR(D61*F61/100,0))</f>
        <v/>
      </c>
      <c r="H61" s="26">
        <f>IF(G61="","",IFERROR(G61*0.097,0))</f>
        <v/>
      </c>
      <c r="I61" s="26">
        <f>IF(G61="","",IFERROR(G61-H61,0))</f>
        <v/>
      </c>
      <c r="J61" s="7" t="n"/>
      <c r="K61" s="7" t="n"/>
      <c r="L61" s="26">
        <f>IF(B61="","",IFERROR(AVERAGEIF($B$6:$B$115,B61,$I$6:$I$115),0))</f>
        <v/>
      </c>
      <c r="M61" s="7" t="n"/>
      <c r="N61" s="7" t="n"/>
    </row>
    <row r="62" ht="22" customHeight="1">
      <c r="A62" s="5" t="n"/>
      <c r="B62" s="5" t="n"/>
      <c r="C62" s="5" t="n"/>
      <c r="D62" s="5" t="n"/>
      <c r="E62" s="5" t="n"/>
      <c r="F62" s="27">
        <f>IF(OR(D62="",E62=""),"",IFERROR(MIN(E62/160*100,80),0))</f>
        <v/>
      </c>
      <c r="G62" s="25">
        <f>IF(OR(D62="",F62=""),"",IFERROR(D62*F62/100,0))</f>
        <v/>
      </c>
      <c r="H62" s="25">
        <f>IF(G62="","",IFERROR(G62*0.097,0))</f>
        <v/>
      </c>
      <c r="I62" s="25">
        <f>IF(G62="","",IFERROR(G62-H62,0))</f>
        <v/>
      </c>
      <c r="J62" s="5" t="n"/>
      <c r="K62" s="5" t="n"/>
      <c r="L62" s="25">
        <f>IF(B62="","",IFERROR(AVERAGEIF($B$6:$B$115,B62,$I$6:$I$115),0))</f>
        <v/>
      </c>
      <c r="M62" s="5" t="n"/>
      <c r="N62" s="5" t="n"/>
    </row>
    <row r="63" ht="22" customHeight="1">
      <c r="A63" s="7" t="n"/>
      <c r="B63" s="7" t="n"/>
      <c r="C63" s="7" t="n"/>
      <c r="D63" s="7" t="n"/>
      <c r="E63" s="7" t="n"/>
      <c r="F63" s="28">
        <f>IF(OR(D63="",E63=""),"",IFERROR(MIN(E63/160*100,80),0))</f>
        <v/>
      </c>
      <c r="G63" s="26">
        <f>IF(OR(D63="",F63=""),"",IFERROR(D63*F63/100,0))</f>
        <v/>
      </c>
      <c r="H63" s="26">
        <f>IF(G63="","",IFERROR(G63*0.097,0))</f>
        <v/>
      </c>
      <c r="I63" s="26">
        <f>IF(G63="","",IFERROR(G63-H63,0))</f>
        <v/>
      </c>
      <c r="J63" s="7" t="n"/>
      <c r="K63" s="7" t="n"/>
      <c r="L63" s="26">
        <f>IF(B63="","",IFERROR(AVERAGEIF($B$6:$B$115,B63,$I$6:$I$115),0))</f>
        <v/>
      </c>
      <c r="M63" s="7" t="n"/>
      <c r="N63" s="7" t="n"/>
    </row>
    <row r="64" ht="22" customHeight="1">
      <c r="A64" s="5" t="n"/>
      <c r="B64" s="5" t="n"/>
      <c r="C64" s="5" t="n"/>
      <c r="D64" s="5" t="n"/>
      <c r="E64" s="5" t="n"/>
      <c r="F64" s="27">
        <f>IF(OR(D64="",E64=""),"",IFERROR(MIN(E64/160*100,80),0))</f>
        <v/>
      </c>
      <c r="G64" s="25">
        <f>IF(OR(D64="",F64=""),"",IFERROR(D64*F64/100,0))</f>
        <v/>
      </c>
      <c r="H64" s="25">
        <f>IF(G64="","",IFERROR(G64*0.097,0))</f>
        <v/>
      </c>
      <c r="I64" s="25">
        <f>IF(G64="","",IFERROR(G64-H64,0))</f>
        <v/>
      </c>
      <c r="J64" s="5" t="n"/>
      <c r="K64" s="5" t="n"/>
      <c r="L64" s="25">
        <f>IF(B64="","",IFERROR(AVERAGEIF($B$6:$B$115,B64,$I$6:$I$115),0))</f>
        <v/>
      </c>
      <c r="M64" s="5" t="n"/>
      <c r="N64" s="5" t="n"/>
    </row>
    <row r="65" ht="22" customHeight="1">
      <c r="A65" s="7" t="n"/>
      <c r="B65" s="7" t="n"/>
      <c r="C65" s="7" t="n"/>
      <c r="D65" s="7" t="n"/>
      <c r="E65" s="7" t="n"/>
      <c r="F65" s="28">
        <f>IF(OR(D65="",E65=""),"",IFERROR(MIN(E65/160*100,80),0))</f>
        <v/>
      </c>
      <c r="G65" s="26">
        <f>IF(OR(D65="",F65=""),"",IFERROR(D65*F65/100,0))</f>
        <v/>
      </c>
      <c r="H65" s="26">
        <f>IF(G65="","",IFERROR(G65*0.097,0))</f>
        <v/>
      </c>
      <c r="I65" s="26">
        <f>IF(G65="","",IFERROR(G65-H65,0))</f>
        <v/>
      </c>
      <c r="J65" s="7" t="n"/>
      <c r="K65" s="7" t="n"/>
      <c r="L65" s="26">
        <f>IF(B65="","",IFERROR(AVERAGEIF($B$6:$B$115,B65,$I$6:$I$115),0))</f>
        <v/>
      </c>
      <c r="M65" s="7" t="n"/>
      <c r="N65" s="7" t="n"/>
    </row>
    <row r="66" ht="22" customHeight="1">
      <c r="A66" s="5" t="n"/>
      <c r="B66" s="5" t="n"/>
      <c r="C66" s="5" t="n"/>
      <c r="D66" s="5" t="n"/>
      <c r="E66" s="5" t="n"/>
      <c r="F66" s="27">
        <f>IF(OR(D66="",E66=""),"",IFERROR(MIN(E66/160*100,80),0))</f>
        <v/>
      </c>
      <c r="G66" s="25">
        <f>IF(OR(D66="",F66=""),"",IFERROR(D66*F66/100,0))</f>
        <v/>
      </c>
      <c r="H66" s="25">
        <f>IF(G66="","",IFERROR(G66*0.097,0))</f>
        <v/>
      </c>
      <c r="I66" s="25">
        <f>IF(G66="","",IFERROR(G66-H66,0))</f>
        <v/>
      </c>
      <c r="J66" s="5" t="n"/>
      <c r="K66" s="5" t="n"/>
      <c r="L66" s="25">
        <f>IF(B66="","",IFERROR(AVERAGEIF($B$6:$B$115,B66,$I$6:$I$115),0))</f>
        <v/>
      </c>
      <c r="M66" s="5" t="n"/>
      <c r="N66" s="5" t="n"/>
    </row>
    <row r="67" ht="22" customHeight="1">
      <c r="A67" s="7" t="n"/>
      <c r="B67" s="7" t="n"/>
      <c r="C67" s="7" t="n"/>
      <c r="D67" s="7" t="n"/>
      <c r="E67" s="7" t="n"/>
      <c r="F67" s="28">
        <f>IF(OR(D67="",E67=""),"",IFERROR(MIN(E67/160*100,80),0))</f>
        <v/>
      </c>
      <c r="G67" s="26">
        <f>IF(OR(D67="",F67=""),"",IFERROR(D67*F67/100,0))</f>
        <v/>
      </c>
      <c r="H67" s="26">
        <f>IF(G67="","",IFERROR(G67*0.097,0))</f>
        <v/>
      </c>
      <c r="I67" s="26">
        <f>IF(G67="","",IFERROR(G67-H67,0))</f>
        <v/>
      </c>
      <c r="J67" s="7" t="n"/>
      <c r="K67" s="7" t="n"/>
      <c r="L67" s="26">
        <f>IF(B67="","",IFERROR(AVERAGEIF($B$6:$B$115,B67,$I$6:$I$115),0))</f>
        <v/>
      </c>
      <c r="M67" s="7" t="n"/>
      <c r="N67" s="7" t="n"/>
    </row>
    <row r="68" ht="22" customHeight="1">
      <c r="A68" s="5" t="n"/>
      <c r="B68" s="5" t="n"/>
      <c r="C68" s="5" t="n"/>
      <c r="D68" s="5" t="n"/>
      <c r="E68" s="5" t="n"/>
      <c r="F68" s="27">
        <f>IF(OR(D68="",E68=""),"",IFERROR(MIN(E68/160*100,80),0))</f>
        <v/>
      </c>
      <c r="G68" s="25">
        <f>IF(OR(D68="",F68=""),"",IFERROR(D68*F68/100,0))</f>
        <v/>
      </c>
      <c r="H68" s="25">
        <f>IF(G68="","",IFERROR(G68*0.097,0))</f>
        <v/>
      </c>
      <c r="I68" s="25">
        <f>IF(G68="","",IFERROR(G68-H68,0))</f>
        <v/>
      </c>
      <c r="J68" s="5" t="n"/>
      <c r="K68" s="5" t="n"/>
      <c r="L68" s="25">
        <f>IF(B68="","",IFERROR(AVERAGEIF($B$6:$B$115,B68,$I$6:$I$115),0))</f>
        <v/>
      </c>
      <c r="M68" s="5" t="n"/>
      <c r="N68" s="5" t="n"/>
    </row>
    <row r="69" ht="22" customHeight="1">
      <c r="A69" s="7" t="n"/>
      <c r="B69" s="7" t="n"/>
      <c r="C69" s="7" t="n"/>
      <c r="D69" s="7" t="n"/>
      <c r="E69" s="7" t="n"/>
      <c r="F69" s="28">
        <f>IF(OR(D69="",E69=""),"",IFERROR(MIN(E69/160*100,80),0))</f>
        <v/>
      </c>
      <c r="G69" s="26">
        <f>IF(OR(D69="",F69=""),"",IFERROR(D69*F69/100,0))</f>
        <v/>
      </c>
      <c r="H69" s="26">
        <f>IF(G69="","",IFERROR(G69*0.097,0))</f>
        <v/>
      </c>
      <c r="I69" s="26">
        <f>IF(G69="","",IFERROR(G69-H69,0))</f>
        <v/>
      </c>
      <c r="J69" s="7" t="n"/>
      <c r="K69" s="7" t="n"/>
      <c r="L69" s="26">
        <f>IF(B69="","",IFERROR(AVERAGEIF($B$6:$B$115,B69,$I$6:$I$115),0))</f>
        <v/>
      </c>
      <c r="M69" s="7" t="n"/>
      <c r="N69" s="7" t="n"/>
    </row>
    <row r="70" ht="22" customHeight="1">
      <c r="A70" s="5" t="n"/>
      <c r="B70" s="5" t="n"/>
      <c r="C70" s="5" t="n"/>
      <c r="D70" s="5" t="n"/>
      <c r="E70" s="5" t="n"/>
      <c r="F70" s="27">
        <f>IF(OR(D70="",E70=""),"",IFERROR(MIN(E70/160*100,80),0))</f>
        <v/>
      </c>
      <c r="G70" s="25">
        <f>IF(OR(D70="",F70=""),"",IFERROR(D70*F70/100,0))</f>
        <v/>
      </c>
      <c r="H70" s="25">
        <f>IF(G70="","",IFERROR(G70*0.097,0))</f>
        <v/>
      </c>
      <c r="I70" s="25">
        <f>IF(G70="","",IFERROR(G70-H70,0))</f>
        <v/>
      </c>
      <c r="J70" s="5" t="n"/>
      <c r="K70" s="5" t="n"/>
      <c r="L70" s="25">
        <f>IF(B70="","",IFERROR(AVERAGEIF($B$6:$B$115,B70,$I$6:$I$115),0))</f>
        <v/>
      </c>
      <c r="M70" s="5" t="n"/>
      <c r="N70" s="5" t="n"/>
    </row>
    <row r="71" ht="22" customHeight="1">
      <c r="A71" s="7" t="n"/>
      <c r="B71" s="7" t="n"/>
      <c r="C71" s="7" t="n"/>
      <c r="D71" s="7" t="n"/>
      <c r="E71" s="7" t="n"/>
      <c r="F71" s="28">
        <f>IF(OR(D71="",E71=""),"",IFERROR(MIN(E71/160*100,80),0))</f>
        <v/>
      </c>
      <c r="G71" s="26">
        <f>IF(OR(D71="",F71=""),"",IFERROR(D71*F71/100,0))</f>
        <v/>
      </c>
      <c r="H71" s="26">
        <f>IF(G71="","",IFERROR(G71*0.097,0))</f>
        <v/>
      </c>
      <c r="I71" s="26">
        <f>IF(G71="","",IFERROR(G71-H71,0))</f>
        <v/>
      </c>
      <c r="J71" s="7" t="n"/>
      <c r="K71" s="7" t="n"/>
      <c r="L71" s="26">
        <f>IF(B71="","",IFERROR(AVERAGEIF($B$6:$B$115,B71,$I$6:$I$115),0))</f>
        <v/>
      </c>
      <c r="M71" s="7" t="n"/>
      <c r="N71" s="7" t="n"/>
    </row>
    <row r="72" ht="22" customHeight="1">
      <c r="A72" s="5" t="n"/>
      <c r="B72" s="5" t="n"/>
      <c r="C72" s="5" t="n"/>
      <c r="D72" s="5" t="n"/>
      <c r="E72" s="5" t="n"/>
      <c r="F72" s="27">
        <f>IF(OR(D72="",E72=""),"",IFERROR(MIN(E72/160*100,80),0))</f>
        <v/>
      </c>
      <c r="G72" s="25">
        <f>IF(OR(D72="",F72=""),"",IFERROR(D72*F72/100,0))</f>
        <v/>
      </c>
      <c r="H72" s="25">
        <f>IF(G72="","",IFERROR(G72*0.097,0))</f>
        <v/>
      </c>
      <c r="I72" s="25">
        <f>IF(G72="","",IFERROR(G72-H72,0))</f>
        <v/>
      </c>
      <c r="J72" s="5" t="n"/>
      <c r="K72" s="5" t="n"/>
      <c r="L72" s="25">
        <f>IF(B72="","",IFERROR(AVERAGEIF($B$6:$B$115,B72,$I$6:$I$115),0))</f>
        <v/>
      </c>
      <c r="M72" s="5" t="n"/>
      <c r="N72" s="5" t="n"/>
    </row>
    <row r="73" ht="22" customHeight="1">
      <c r="A73" s="7" t="n"/>
      <c r="B73" s="7" t="n"/>
      <c r="C73" s="7" t="n"/>
      <c r="D73" s="7" t="n"/>
      <c r="E73" s="7" t="n"/>
      <c r="F73" s="28">
        <f>IF(OR(D73="",E73=""),"",IFERROR(MIN(E73/160*100,80),0))</f>
        <v/>
      </c>
      <c r="G73" s="26">
        <f>IF(OR(D73="",F73=""),"",IFERROR(D73*F73/100,0))</f>
        <v/>
      </c>
      <c r="H73" s="26">
        <f>IF(G73="","",IFERROR(G73*0.097,0))</f>
        <v/>
      </c>
      <c r="I73" s="26">
        <f>IF(G73="","",IFERROR(G73-H73,0))</f>
        <v/>
      </c>
      <c r="J73" s="7" t="n"/>
      <c r="K73" s="7" t="n"/>
      <c r="L73" s="26">
        <f>IF(B73="","",IFERROR(AVERAGEIF($B$6:$B$115,B73,$I$6:$I$115),0))</f>
        <v/>
      </c>
      <c r="M73" s="7" t="n"/>
      <c r="N73" s="7" t="n"/>
    </row>
    <row r="74" ht="22" customHeight="1">
      <c r="A74" s="5" t="n"/>
      <c r="B74" s="5" t="n"/>
      <c r="C74" s="5" t="n"/>
      <c r="D74" s="5" t="n"/>
      <c r="E74" s="5" t="n"/>
      <c r="F74" s="27">
        <f>IF(OR(D74="",E74=""),"",IFERROR(MIN(E74/160*100,80),0))</f>
        <v/>
      </c>
      <c r="G74" s="25">
        <f>IF(OR(D74="",F74=""),"",IFERROR(D74*F74/100,0))</f>
        <v/>
      </c>
      <c r="H74" s="25">
        <f>IF(G74="","",IFERROR(G74*0.097,0))</f>
        <v/>
      </c>
      <c r="I74" s="25">
        <f>IF(G74="","",IFERROR(G74-H74,0))</f>
        <v/>
      </c>
      <c r="J74" s="5" t="n"/>
      <c r="K74" s="5" t="n"/>
      <c r="L74" s="25">
        <f>IF(B74="","",IFERROR(AVERAGEIF($B$6:$B$115,B74,$I$6:$I$115),0))</f>
        <v/>
      </c>
      <c r="M74" s="5" t="n"/>
      <c r="N74" s="5" t="n"/>
    </row>
    <row r="75" ht="22" customHeight="1">
      <c r="A75" s="7" t="n"/>
      <c r="B75" s="7" t="n"/>
      <c r="C75" s="7" t="n"/>
      <c r="D75" s="7" t="n"/>
      <c r="E75" s="7" t="n"/>
      <c r="F75" s="28">
        <f>IF(OR(D75="",E75=""),"",IFERROR(MIN(E75/160*100,80),0))</f>
        <v/>
      </c>
      <c r="G75" s="26">
        <f>IF(OR(D75="",F75=""),"",IFERROR(D75*F75/100,0))</f>
        <v/>
      </c>
      <c r="H75" s="26">
        <f>IF(G75="","",IFERROR(G75*0.097,0))</f>
        <v/>
      </c>
      <c r="I75" s="26">
        <f>IF(G75="","",IFERROR(G75-H75,0))</f>
        <v/>
      </c>
      <c r="J75" s="7" t="n"/>
      <c r="K75" s="7" t="n"/>
      <c r="L75" s="26">
        <f>IF(B75="","",IFERROR(AVERAGEIF($B$6:$B$115,B75,$I$6:$I$115),0))</f>
        <v/>
      </c>
      <c r="M75" s="7" t="n"/>
      <c r="N75" s="7" t="n"/>
    </row>
    <row r="76" ht="22" customHeight="1">
      <c r="A76" s="5" t="n"/>
      <c r="B76" s="5" t="n"/>
      <c r="C76" s="5" t="n"/>
      <c r="D76" s="5" t="n"/>
      <c r="E76" s="5" t="n"/>
      <c r="F76" s="27">
        <f>IF(OR(D76="",E76=""),"",IFERROR(MIN(E76/160*100,80),0))</f>
        <v/>
      </c>
      <c r="G76" s="25">
        <f>IF(OR(D76="",F76=""),"",IFERROR(D76*F76/100,0))</f>
        <v/>
      </c>
      <c r="H76" s="25">
        <f>IF(G76="","",IFERROR(G76*0.097,0))</f>
        <v/>
      </c>
      <c r="I76" s="25">
        <f>IF(G76="","",IFERROR(G76-H76,0))</f>
        <v/>
      </c>
      <c r="J76" s="5" t="n"/>
      <c r="K76" s="5" t="n"/>
      <c r="L76" s="25">
        <f>IF(B76="","",IFERROR(AVERAGEIF($B$6:$B$115,B76,$I$6:$I$115),0))</f>
        <v/>
      </c>
      <c r="M76" s="5" t="n"/>
      <c r="N76" s="5" t="n"/>
    </row>
    <row r="77" ht="22" customHeight="1">
      <c r="A77" s="7" t="n"/>
      <c r="B77" s="7" t="n"/>
      <c r="C77" s="7" t="n"/>
      <c r="D77" s="7" t="n"/>
      <c r="E77" s="7" t="n"/>
      <c r="F77" s="28">
        <f>IF(OR(D77="",E77=""),"",IFERROR(MIN(E77/160*100,80),0))</f>
        <v/>
      </c>
      <c r="G77" s="26">
        <f>IF(OR(D77="",F77=""),"",IFERROR(D77*F77/100,0))</f>
        <v/>
      </c>
      <c r="H77" s="26">
        <f>IF(G77="","",IFERROR(G77*0.097,0))</f>
        <v/>
      </c>
      <c r="I77" s="26">
        <f>IF(G77="","",IFERROR(G77-H77,0))</f>
        <v/>
      </c>
      <c r="J77" s="7" t="n"/>
      <c r="K77" s="7" t="n"/>
      <c r="L77" s="26">
        <f>IF(B77="","",IFERROR(AVERAGEIF($B$6:$B$115,B77,$I$6:$I$115),0))</f>
        <v/>
      </c>
      <c r="M77" s="7" t="n"/>
      <c r="N77" s="7" t="n"/>
    </row>
    <row r="78" ht="22" customHeight="1">
      <c r="A78" s="5" t="n"/>
      <c r="B78" s="5" t="n"/>
      <c r="C78" s="5" t="n"/>
      <c r="D78" s="5" t="n"/>
      <c r="E78" s="5" t="n"/>
      <c r="F78" s="27">
        <f>IF(OR(D78="",E78=""),"",IFERROR(MIN(E78/160*100,80),0))</f>
        <v/>
      </c>
      <c r="G78" s="25">
        <f>IF(OR(D78="",F78=""),"",IFERROR(D78*F78/100,0))</f>
        <v/>
      </c>
      <c r="H78" s="25">
        <f>IF(G78="","",IFERROR(G78*0.097,0))</f>
        <v/>
      </c>
      <c r="I78" s="25">
        <f>IF(G78="","",IFERROR(G78-H78,0))</f>
        <v/>
      </c>
      <c r="J78" s="5" t="n"/>
      <c r="K78" s="5" t="n"/>
      <c r="L78" s="25">
        <f>IF(B78="","",IFERROR(AVERAGEIF($B$6:$B$115,B78,$I$6:$I$115),0))</f>
        <v/>
      </c>
      <c r="M78" s="5" t="n"/>
      <c r="N78" s="5" t="n"/>
    </row>
    <row r="79" ht="22" customHeight="1">
      <c r="A79" s="7" t="n"/>
      <c r="B79" s="7" t="n"/>
      <c r="C79" s="7" t="n"/>
      <c r="D79" s="7" t="n"/>
      <c r="E79" s="7" t="n"/>
      <c r="F79" s="28">
        <f>IF(OR(D79="",E79=""),"",IFERROR(MIN(E79/160*100,80),0))</f>
        <v/>
      </c>
      <c r="G79" s="26">
        <f>IF(OR(D79="",F79=""),"",IFERROR(D79*F79/100,0))</f>
        <v/>
      </c>
      <c r="H79" s="26">
        <f>IF(G79="","",IFERROR(G79*0.097,0))</f>
        <v/>
      </c>
      <c r="I79" s="26">
        <f>IF(G79="","",IFERROR(G79-H79,0))</f>
        <v/>
      </c>
      <c r="J79" s="7" t="n"/>
      <c r="K79" s="7" t="n"/>
      <c r="L79" s="26">
        <f>IF(B79="","",IFERROR(AVERAGEIF($B$6:$B$115,B79,$I$6:$I$115),0))</f>
        <v/>
      </c>
      <c r="M79" s="7" t="n"/>
      <c r="N79" s="7" t="n"/>
    </row>
    <row r="80" ht="22" customHeight="1">
      <c r="A80" s="5" t="n"/>
      <c r="B80" s="5" t="n"/>
      <c r="C80" s="5" t="n"/>
      <c r="D80" s="5" t="n"/>
      <c r="E80" s="5" t="n"/>
      <c r="F80" s="27">
        <f>IF(OR(D80="",E80=""),"",IFERROR(MIN(E80/160*100,80),0))</f>
        <v/>
      </c>
      <c r="G80" s="25">
        <f>IF(OR(D80="",F80=""),"",IFERROR(D80*F80/100,0))</f>
        <v/>
      </c>
      <c r="H80" s="25">
        <f>IF(G80="","",IFERROR(G80*0.097,0))</f>
        <v/>
      </c>
      <c r="I80" s="25">
        <f>IF(G80="","",IFERROR(G80-H80,0))</f>
        <v/>
      </c>
      <c r="J80" s="5" t="n"/>
      <c r="K80" s="5" t="n"/>
      <c r="L80" s="25">
        <f>IF(B80="","",IFERROR(AVERAGEIF($B$6:$B$115,B80,$I$6:$I$115),0))</f>
        <v/>
      </c>
      <c r="M80" s="5" t="n"/>
      <c r="N80" s="5" t="n"/>
    </row>
    <row r="81" ht="22" customHeight="1">
      <c r="A81" s="7" t="n"/>
      <c r="B81" s="7" t="n"/>
      <c r="C81" s="7" t="n"/>
      <c r="D81" s="7" t="n"/>
      <c r="E81" s="7" t="n"/>
      <c r="F81" s="28">
        <f>IF(OR(D81="",E81=""),"",IFERROR(MIN(E81/160*100,80),0))</f>
        <v/>
      </c>
      <c r="G81" s="26">
        <f>IF(OR(D81="",F81=""),"",IFERROR(D81*F81/100,0))</f>
        <v/>
      </c>
      <c r="H81" s="26">
        <f>IF(G81="","",IFERROR(G81*0.097,0))</f>
        <v/>
      </c>
      <c r="I81" s="26">
        <f>IF(G81="","",IFERROR(G81-H81,0))</f>
        <v/>
      </c>
      <c r="J81" s="7" t="n"/>
      <c r="K81" s="7" t="n"/>
      <c r="L81" s="26">
        <f>IF(B81="","",IFERROR(AVERAGEIF($B$6:$B$115,B81,$I$6:$I$115),0))</f>
        <v/>
      </c>
      <c r="M81" s="7" t="n"/>
      <c r="N81" s="7" t="n"/>
    </row>
    <row r="82" ht="22" customHeight="1">
      <c r="A82" s="5" t="n"/>
      <c r="B82" s="5" t="n"/>
      <c r="C82" s="5" t="n"/>
      <c r="D82" s="5" t="n"/>
      <c r="E82" s="5" t="n"/>
      <c r="F82" s="27">
        <f>IF(OR(D82="",E82=""),"",IFERROR(MIN(E82/160*100,80),0))</f>
        <v/>
      </c>
      <c r="G82" s="25">
        <f>IF(OR(D82="",F82=""),"",IFERROR(D82*F82/100,0))</f>
        <v/>
      </c>
      <c r="H82" s="25">
        <f>IF(G82="","",IFERROR(G82*0.097,0))</f>
        <v/>
      </c>
      <c r="I82" s="25">
        <f>IF(G82="","",IFERROR(G82-H82,0))</f>
        <v/>
      </c>
      <c r="J82" s="5" t="n"/>
      <c r="K82" s="5" t="n"/>
      <c r="L82" s="25">
        <f>IF(B82="","",IFERROR(AVERAGEIF($B$6:$B$115,B82,$I$6:$I$115),0))</f>
        <v/>
      </c>
      <c r="M82" s="5" t="n"/>
      <c r="N82" s="5" t="n"/>
    </row>
    <row r="83" ht="22" customHeight="1">
      <c r="A83" s="7" t="n"/>
      <c r="B83" s="7" t="n"/>
      <c r="C83" s="7" t="n"/>
      <c r="D83" s="7" t="n"/>
      <c r="E83" s="7" t="n"/>
      <c r="F83" s="28">
        <f>IF(OR(D83="",E83=""),"",IFERROR(MIN(E83/160*100,80),0))</f>
        <v/>
      </c>
      <c r="G83" s="26">
        <f>IF(OR(D83="",F83=""),"",IFERROR(D83*F83/100,0))</f>
        <v/>
      </c>
      <c r="H83" s="26">
        <f>IF(G83="","",IFERROR(G83*0.097,0))</f>
        <v/>
      </c>
      <c r="I83" s="26">
        <f>IF(G83="","",IFERROR(G83-H83,0))</f>
        <v/>
      </c>
      <c r="J83" s="7" t="n"/>
      <c r="K83" s="7" t="n"/>
      <c r="L83" s="26">
        <f>IF(B83="","",IFERROR(AVERAGEIF($B$6:$B$115,B83,$I$6:$I$115),0))</f>
        <v/>
      </c>
      <c r="M83" s="7" t="n"/>
      <c r="N83" s="7" t="n"/>
    </row>
    <row r="84" ht="22" customHeight="1">
      <c r="A84" s="5" t="n"/>
      <c r="B84" s="5" t="n"/>
      <c r="C84" s="5" t="n"/>
      <c r="D84" s="5" t="n"/>
      <c r="E84" s="5" t="n"/>
      <c r="F84" s="27">
        <f>IF(OR(D84="",E84=""),"",IFERROR(MIN(E84/160*100,80),0))</f>
        <v/>
      </c>
      <c r="G84" s="25">
        <f>IF(OR(D84="",F84=""),"",IFERROR(D84*F84/100,0))</f>
        <v/>
      </c>
      <c r="H84" s="25">
        <f>IF(G84="","",IFERROR(G84*0.097,0))</f>
        <v/>
      </c>
      <c r="I84" s="25">
        <f>IF(G84="","",IFERROR(G84-H84,0))</f>
        <v/>
      </c>
      <c r="J84" s="5" t="n"/>
      <c r="K84" s="5" t="n"/>
      <c r="L84" s="25">
        <f>IF(B84="","",IFERROR(AVERAGEIF($B$6:$B$115,B84,$I$6:$I$115),0))</f>
        <v/>
      </c>
      <c r="M84" s="5" t="n"/>
      <c r="N84" s="5" t="n"/>
    </row>
    <row r="85" ht="22" customHeight="1">
      <c r="A85" s="7" t="n"/>
      <c r="B85" s="7" t="n"/>
      <c r="C85" s="7" t="n"/>
      <c r="D85" s="7" t="n"/>
      <c r="E85" s="7" t="n"/>
      <c r="F85" s="28">
        <f>IF(OR(D85="",E85=""),"",IFERROR(MIN(E85/160*100,80),0))</f>
        <v/>
      </c>
      <c r="G85" s="26">
        <f>IF(OR(D85="",F85=""),"",IFERROR(D85*F85/100,0))</f>
        <v/>
      </c>
      <c r="H85" s="26">
        <f>IF(G85="","",IFERROR(G85*0.097,0))</f>
        <v/>
      </c>
      <c r="I85" s="26">
        <f>IF(G85="","",IFERROR(G85-H85,0))</f>
        <v/>
      </c>
      <c r="J85" s="7" t="n"/>
      <c r="K85" s="7" t="n"/>
      <c r="L85" s="26">
        <f>IF(B85="","",IFERROR(AVERAGEIF($B$6:$B$115,B85,$I$6:$I$115),0))</f>
        <v/>
      </c>
      <c r="M85" s="7" t="n"/>
      <c r="N85" s="7" t="n"/>
    </row>
    <row r="86" ht="22" customHeight="1">
      <c r="A86" s="5" t="n"/>
      <c r="B86" s="5" t="n"/>
      <c r="C86" s="5" t="n"/>
      <c r="D86" s="5" t="n"/>
      <c r="E86" s="5" t="n"/>
      <c r="F86" s="27">
        <f>IF(OR(D86="",E86=""),"",IFERROR(MIN(E86/160*100,80),0))</f>
        <v/>
      </c>
      <c r="G86" s="25">
        <f>IF(OR(D86="",F86=""),"",IFERROR(D86*F86/100,0))</f>
        <v/>
      </c>
      <c r="H86" s="25">
        <f>IF(G86="","",IFERROR(G86*0.097,0))</f>
        <v/>
      </c>
      <c r="I86" s="25">
        <f>IF(G86="","",IFERROR(G86-H86,0))</f>
        <v/>
      </c>
      <c r="J86" s="5" t="n"/>
      <c r="K86" s="5" t="n"/>
      <c r="L86" s="25">
        <f>IF(B86="","",IFERROR(AVERAGEIF($B$6:$B$115,B86,$I$6:$I$115),0))</f>
        <v/>
      </c>
      <c r="M86" s="5" t="n"/>
      <c r="N86" s="5" t="n"/>
    </row>
    <row r="87" ht="22" customHeight="1">
      <c r="A87" s="7" t="n"/>
      <c r="B87" s="7" t="n"/>
      <c r="C87" s="7" t="n"/>
      <c r="D87" s="7" t="n"/>
      <c r="E87" s="7" t="n"/>
      <c r="F87" s="28">
        <f>IF(OR(D87="",E87=""),"",IFERROR(MIN(E87/160*100,80),0))</f>
        <v/>
      </c>
      <c r="G87" s="26">
        <f>IF(OR(D87="",F87=""),"",IFERROR(D87*F87/100,0))</f>
        <v/>
      </c>
      <c r="H87" s="26">
        <f>IF(G87="","",IFERROR(G87*0.097,0))</f>
        <v/>
      </c>
      <c r="I87" s="26">
        <f>IF(G87="","",IFERROR(G87-H87,0))</f>
        <v/>
      </c>
      <c r="J87" s="7" t="n"/>
      <c r="K87" s="7" t="n"/>
      <c r="L87" s="26">
        <f>IF(B87="","",IFERROR(AVERAGEIF($B$6:$B$115,B87,$I$6:$I$115),0))</f>
        <v/>
      </c>
      <c r="M87" s="7" t="n"/>
      <c r="N87" s="7" t="n"/>
    </row>
    <row r="88" ht="22" customHeight="1">
      <c r="A88" s="5" t="n"/>
      <c r="B88" s="5" t="n"/>
      <c r="C88" s="5" t="n"/>
      <c r="D88" s="5" t="n"/>
      <c r="E88" s="5" t="n"/>
      <c r="F88" s="27">
        <f>IF(OR(D88="",E88=""),"",IFERROR(MIN(E88/160*100,80),0))</f>
        <v/>
      </c>
      <c r="G88" s="25">
        <f>IF(OR(D88="",F88=""),"",IFERROR(D88*F88/100,0))</f>
        <v/>
      </c>
      <c r="H88" s="25">
        <f>IF(G88="","",IFERROR(G88*0.097,0))</f>
        <v/>
      </c>
      <c r="I88" s="25">
        <f>IF(G88="","",IFERROR(G88-H88,0))</f>
        <v/>
      </c>
      <c r="J88" s="5" t="n"/>
      <c r="K88" s="5" t="n"/>
      <c r="L88" s="25">
        <f>IF(B88="","",IFERROR(AVERAGEIF($B$6:$B$115,B88,$I$6:$I$115),0))</f>
        <v/>
      </c>
      <c r="M88" s="5" t="n"/>
      <c r="N88" s="5" t="n"/>
    </row>
    <row r="89" ht="22" customHeight="1">
      <c r="A89" s="7" t="n"/>
      <c r="B89" s="7" t="n"/>
      <c r="C89" s="7" t="n"/>
      <c r="D89" s="7" t="n"/>
      <c r="E89" s="7" t="n"/>
      <c r="F89" s="28">
        <f>IF(OR(D89="",E89=""),"",IFERROR(MIN(E89/160*100,80),0))</f>
        <v/>
      </c>
      <c r="G89" s="26">
        <f>IF(OR(D89="",F89=""),"",IFERROR(D89*F89/100,0))</f>
        <v/>
      </c>
      <c r="H89" s="26">
        <f>IF(G89="","",IFERROR(G89*0.097,0))</f>
        <v/>
      </c>
      <c r="I89" s="26">
        <f>IF(G89="","",IFERROR(G89-H89,0))</f>
        <v/>
      </c>
      <c r="J89" s="7" t="n"/>
      <c r="K89" s="7" t="n"/>
      <c r="L89" s="26">
        <f>IF(B89="","",IFERROR(AVERAGEIF($B$6:$B$115,B89,$I$6:$I$115),0))</f>
        <v/>
      </c>
      <c r="M89" s="7" t="n"/>
      <c r="N89" s="7" t="n"/>
    </row>
    <row r="90" ht="22" customHeight="1">
      <c r="A90" s="5" t="n"/>
      <c r="B90" s="5" t="n"/>
      <c r="C90" s="5" t="n"/>
      <c r="D90" s="5" t="n"/>
      <c r="E90" s="5" t="n"/>
      <c r="F90" s="27">
        <f>IF(OR(D90="",E90=""),"",IFERROR(MIN(E90/160*100,80),0))</f>
        <v/>
      </c>
      <c r="G90" s="25">
        <f>IF(OR(D90="",F90=""),"",IFERROR(D90*F90/100,0))</f>
        <v/>
      </c>
      <c r="H90" s="25">
        <f>IF(G90="","",IFERROR(G90*0.097,0))</f>
        <v/>
      </c>
      <c r="I90" s="25">
        <f>IF(G90="","",IFERROR(G90-H90,0))</f>
        <v/>
      </c>
      <c r="J90" s="5" t="n"/>
      <c r="K90" s="5" t="n"/>
      <c r="L90" s="25">
        <f>IF(B90="","",IFERROR(AVERAGEIF($B$6:$B$115,B90,$I$6:$I$115),0))</f>
        <v/>
      </c>
      <c r="M90" s="5" t="n"/>
      <c r="N90" s="5" t="n"/>
    </row>
    <row r="91" ht="22" customHeight="1">
      <c r="A91" s="7" t="n"/>
      <c r="B91" s="7" t="n"/>
      <c r="C91" s="7" t="n"/>
      <c r="D91" s="7" t="n"/>
      <c r="E91" s="7" t="n"/>
      <c r="F91" s="28">
        <f>IF(OR(D91="",E91=""),"",IFERROR(MIN(E91/160*100,80),0))</f>
        <v/>
      </c>
      <c r="G91" s="26">
        <f>IF(OR(D91="",F91=""),"",IFERROR(D91*F91/100,0))</f>
        <v/>
      </c>
      <c r="H91" s="26">
        <f>IF(G91="","",IFERROR(G91*0.097,0))</f>
        <v/>
      </c>
      <c r="I91" s="26">
        <f>IF(G91="","",IFERROR(G91-H91,0))</f>
        <v/>
      </c>
      <c r="J91" s="7" t="n"/>
      <c r="K91" s="7" t="n"/>
      <c r="L91" s="26">
        <f>IF(B91="","",IFERROR(AVERAGEIF($B$6:$B$115,B91,$I$6:$I$115),0))</f>
        <v/>
      </c>
      <c r="M91" s="7" t="n"/>
      <c r="N91" s="7" t="n"/>
    </row>
    <row r="92" ht="22" customHeight="1">
      <c r="A92" s="5" t="n"/>
      <c r="B92" s="5" t="n"/>
      <c r="C92" s="5" t="n"/>
      <c r="D92" s="5" t="n"/>
      <c r="E92" s="5" t="n"/>
      <c r="F92" s="27">
        <f>IF(OR(D92="",E92=""),"",IFERROR(MIN(E92/160*100,80),0))</f>
        <v/>
      </c>
      <c r="G92" s="25">
        <f>IF(OR(D92="",F92=""),"",IFERROR(D92*F92/100,0))</f>
        <v/>
      </c>
      <c r="H92" s="25">
        <f>IF(G92="","",IFERROR(G92*0.097,0))</f>
        <v/>
      </c>
      <c r="I92" s="25">
        <f>IF(G92="","",IFERROR(G92-H92,0))</f>
        <v/>
      </c>
      <c r="J92" s="5" t="n"/>
      <c r="K92" s="5" t="n"/>
      <c r="L92" s="25">
        <f>IF(B92="","",IFERROR(AVERAGEIF($B$6:$B$115,B92,$I$6:$I$115),0))</f>
        <v/>
      </c>
      <c r="M92" s="5" t="n"/>
      <c r="N92" s="5" t="n"/>
    </row>
    <row r="93" ht="22" customHeight="1">
      <c r="A93" s="7" t="n"/>
      <c r="B93" s="7" t="n"/>
      <c r="C93" s="7" t="n"/>
      <c r="D93" s="7" t="n"/>
      <c r="E93" s="7" t="n"/>
      <c r="F93" s="28">
        <f>IF(OR(D93="",E93=""),"",IFERROR(MIN(E93/160*100,80),0))</f>
        <v/>
      </c>
      <c r="G93" s="26">
        <f>IF(OR(D93="",F93=""),"",IFERROR(D93*F93/100,0))</f>
        <v/>
      </c>
      <c r="H93" s="26">
        <f>IF(G93="","",IFERROR(G93*0.097,0))</f>
        <v/>
      </c>
      <c r="I93" s="26">
        <f>IF(G93="","",IFERROR(G93-H93,0))</f>
        <v/>
      </c>
      <c r="J93" s="7" t="n"/>
      <c r="K93" s="7" t="n"/>
      <c r="L93" s="26">
        <f>IF(B93="","",IFERROR(AVERAGEIF($B$6:$B$115,B93,$I$6:$I$115),0))</f>
        <v/>
      </c>
      <c r="M93" s="7" t="n"/>
      <c r="N93" s="7" t="n"/>
    </row>
    <row r="94" ht="22" customHeight="1">
      <c r="A94" s="5" t="n"/>
      <c r="B94" s="5" t="n"/>
      <c r="C94" s="5" t="n"/>
      <c r="D94" s="5" t="n"/>
      <c r="E94" s="5" t="n"/>
      <c r="F94" s="27">
        <f>IF(OR(D94="",E94=""),"",IFERROR(MIN(E94/160*100,80),0))</f>
        <v/>
      </c>
      <c r="G94" s="25">
        <f>IF(OR(D94="",F94=""),"",IFERROR(D94*F94/100,0))</f>
        <v/>
      </c>
      <c r="H94" s="25">
        <f>IF(G94="","",IFERROR(G94*0.097,0))</f>
        <v/>
      </c>
      <c r="I94" s="25">
        <f>IF(G94="","",IFERROR(G94-H94,0))</f>
        <v/>
      </c>
      <c r="J94" s="5" t="n"/>
      <c r="K94" s="5" t="n"/>
      <c r="L94" s="25">
        <f>IF(B94="","",IFERROR(AVERAGEIF($B$6:$B$115,B94,$I$6:$I$115),0))</f>
        <v/>
      </c>
      <c r="M94" s="5" t="n"/>
      <c r="N94" s="5" t="n"/>
    </row>
    <row r="95" ht="22" customHeight="1">
      <c r="A95" s="7" t="n"/>
      <c r="B95" s="7" t="n"/>
      <c r="C95" s="7" t="n"/>
      <c r="D95" s="7" t="n"/>
      <c r="E95" s="7" t="n"/>
      <c r="F95" s="28">
        <f>IF(OR(D95="",E95=""),"",IFERROR(MIN(E95/160*100,80),0))</f>
        <v/>
      </c>
      <c r="G95" s="26">
        <f>IF(OR(D95="",F95=""),"",IFERROR(D95*F95/100,0))</f>
        <v/>
      </c>
      <c r="H95" s="26">
        <f>IF(G95="","",IFERROR(G95*0.097,0))</f>
        <v/>
      </c>
      <c r="I95" s="26">
        <f>IF(G95="","",IFERROR(G95-H95,0))</f>
        <v/>
      </c>
      <c r="J95" s="7" t="n"/>
      <c r="K95" s="7" t="n"/>
      <c r="L95" s="26">
        <f>IF(B95="","",IFERROR(AVERAGEIF($B$6:$B$115,B95,$I$6:$I$115),0))</f>
        <v/>
      </c>
      <c r="M95" s="7" t="n"/>
      <c r="N95" s="7" t="n"/>
    </row>
    <row r="96" ht="22" customHeight="1">
      <c r="A96" s="5" t="n"/>
      <c r="B96" s="5" t="n"/>
      <c r="C96" s="5" t="n"/>
      <c r="D96" s="5" t="n"/>
      <c r="E96" s="5" t="n"/>
      <c r="F96" s="27">
        <f>IF(OR(D96="",E96=""),"",IFERROR(MIN(E96/160*100,80),0))</f>
        <v/>
      </c>
      <c r="G96" s="25">
        <f>IF(OR(D96="",F96=""),"",IFERROR(D96*F96/100,0))</f>
        <v/>
      </c>
      <c r="H96" s="25">
        <f>IF(G96="","",IFERROR(G96*0.097,0))</f>
        <v/>
      </c>
      <c r="I96" s="25">
        <f>IF(G96="","",IFERROR(G96-H96,0))</f>
        <v/>
      </c>
      <c r="J96" s="5" t="n"/>
      <c r="K96" s="5" t="n"/>
      <c r="L96" s="25">
        <f>IF(B96="","",IFERROR(AVERAGEIF($B$6:$B$115,B96,$I$6:$I$115),0))</f>
        <v/>
      </c>
      <c r="M96" s="5" t="n"/>
      <c r="N96" s="5" t="n"/>
    </row>
    <row r="97" ht="22" customHeight="1">
      <c r="A97" s="7" t="n"/>
      <c r="B97" s="7" t="n"/>
      <c r="C97" s="7" t="n"/>
      <c r="D97" s="7" t="n"/>
      <c r="E97" s="7" t="n"/>
      <c r="F97" s="28">
        <f>IF(OR(D97="",E97=""),"",IFERROR(MIN(E97/160*100,80),0))</f>
        <v/>
      </c>
      <c r="G97" s="26">
        <f>IF(OR(D97="",F97=""),"",IFERROR(D97*F97/100,0))</f>
        <v/>
      </c>
      <c r="H97" s="26">
        <f>IF(G97="","",IFERROR(G97*0.097,0))</f>
        <v/>
      </c>
      <c r="I97" s="26">
        <f>IF(G97="","",IFERROR(G97-H97,0))</f>
        <v/>
      </c>
      <c r="J97" s="7" t="n"/>
      <c r="K97" s="7" t="n"/>
      <c r="L97" s="26">
        <f>IF(B97="","",IFERROR(AVERAGEIF($B$6:$B$115,B97,$I$6:$I$115),0))</f>
        <v/>
      </c>
      <c r="M97" s="7" t="n"/>
      <c r="N97" s="7" t="n"/>
    </row>
    <row r="98" ht="22" customHeight="1">
      <c r="A98" s="5" t="n"/>
      <c r="B98" s="5" t="n"/>
      <c r="C98" s="5" t="n"/>
      <c r="D98" s="5" t="n"/>
      <c r="E98" s="5" t="n"/>
      <c r="F98" s="27">
        <f>IF(OR(D98="",E98=""),"",IFERROR(MIN(E98/160*100,80),0))</f>
        <v/>
      </c>
      <c r="G98" s="25">
        <f>IF(OR(D98="",F98=""),"",IFERROR(D98*F98/100,0))</f>
        <v/>
      </c>
      <c r="H98" s="25">
        <f>IF(G98="","",IFERROR(G98*0.097,0))</f>
        <v/>
      </c>
      <c r="I98" s="25">
        <f>IF(G98="","",IFERROR(G98-H98,0))</f>
        <v/>
      </c>
      <c r="J98" s="5" t="n"/>
      <c r="K98" s="5" t="n"/>
      <c r="L98" s="25">
        <f>IF(B98="","",IFERROR(AVERAGEIF($B$6:$B$115,B98,$I$6:$I$115),0))</f>
        <v/>
      </c>
      <c r="M98" s="5" t="n"/>
      <c r="N98" s="5" t="n"/>
    </row>
    <row r="99" ht="22" customHeight="1">
      <c r="A99" s="7" t="n"/>
      <c r="B99" s="7" t="n"/>
      <c r="C99" s="7" t="n"/>
      <c r="D99" s="7" t="n"/>
      <c r="E99" s="7" t="n"/>
      <c r="F99" s="28">
        <f>IF(OR(D99="",E99=""),"",IFERROR(MIN(E99/160*100,80),0))</f>
        <v/>
      </c>
      <c r="G99" s="26">
        <f>IF(OR(D99="",F99=""),"",IFERROR(D99*F99/100,0))</f>
        <v/>
      </c>
      <c r="H99" s="26">
        <f>IF(G99="","",IFERROR(G99*0.097,0))</f>
        <v/>
      </c>
      <c r="I99" s="26">
        <f>IF(G99="","",IFERROR(G99-H99,0))</f>
        <v/>
      </c>
      <c r="J99" s="7" t="n"/>
      <c r="K99" s="7" t="n"/>
      <c r="L99" s="26">
        <f>IF(B99="","",IFERROR(AVERAGEIF($B$6:$B$115,B99,$I$6:$I$115),0))</f>
        <v/>
      </c>
      <c r="M99" s="7" t="n"/>
      <c r="N99" s="7" t="n"/>
    </row>
    <row r="100" ht="22" customHeight="1">
      <c r="A100" s="5" t="n"/>
      <c r="B100" s="5" t="n"/>
      <c r="C100" s="5" t="n"/>
      <c r="D100" s="5" t="n"/>
      <c r="E100" s="5" t="n"/>
      <c r="F100" s="27">
        <f>IF(OR(D100="",E100=""),"",IFERROR(MIN(E100/160*100,80),0))</f>
        <v/>
      </c>
      <c r="G100" s="25">
        <f>IF(OR(D100="",F100=""),"",IFERROR(D100*F100/100,0))</f>
        <v/>
      </c>
      <c r="H100" s="25">
        <f>IF(G100="","",IFERROR(G100*0.097,0))</f>
        <v/>
      </c>
      <c r="I100" s="25">
        <f>IF(G100="","",IFERROR(G100-H100,0))</f>
        <v/>
      </c>
      <c r="J100" s="5" t="n"/>
      <c r="K100" s="5" t="n"/>
      <c r="L100" s="25">
        <f>IF(B100="","",IFERROR(AVERAGEIF($B$6:$B$115,B100,$I$6:$I$115),0))</f>
        <v/>
      </c>
      <c r="M100" s="5" t="n"/>
      <c r="N100" s="5" t="n"/>
    </row>
    <row r="101" ht="22" customHeight="1">
      <c r="A101" s="7" t="n"/>
      <c r="B101" s="7" t="n"/>
      <c r="C101" s="7" t="n"/>
      <c r="D101" s="7" t="n"/>
      <c r="E101" s="7" t="n"/>
      <c r="F101" s="28">
        <f>IF(OR(D101="",E101=""),"",IFERROR(MIN(E101/160*100,80),0))</f>
        <v/>
      </c>
      <c r="G101" s="26">
        <f>IF(OR(D101="",F101=""),"",IFERROR(D101*F101/100,0))</f>
        <v/>
      </c>
      <c r="H101" s="26">
        <f>IF(G101="","",IFERROR(G101*0.097,0))</f>
        <v/>
      </c>
      <c r="I101" s="26">
        <f>IF(G101="","",IFERROR(G101-H101,0))</f>
        <v/>
      </c>
      <c r="J101" s="7" t="n"/>
      <c r="K101" s="7" t="n"/>
      <c r="L101" s="26">
        <f>IF(B101="","",IFERROR(AVERAGEIF($B$6:$B$115,B101,$I$6:$I$115),0))</f>
        <v/>
      </c>
      <c r="M101" s="7" t="n"/>
      <c r="N101" s="7" t="n"/>
    </row>
    <row r="102" ht="22" customHeight="1">
      <c r="A102" s="5" t="n"/>
      <c r="B102" s="5" t="n"/>
      <c r="C102" s="5" t="n"/>
      <c r="D102" s="5" t="n"/>
      <c r="E102" s="5" t="n"/>
      <c r="F102" s="27">
        <f>IF(OR(D102="",E102=""),"",IFERROR(MIN(E102/160*100,80),0))</f>
        <v/>
      </c>
      <c r="G102" s="25">
        <f>IF(OR(D102="",F102=""),"",IFERROR(D102*F102/100,0))</f>
        <v/>
      </c>
      <c r="H102" s="25">
        <f>IF(G102="","",IFERROR(G102*0.097,0))</f>
        <v/>
      </c>
      <c r="I102" s="25">
        <f>IF(G102="","",IFERROR(G102-H102,0))</f>
        <v/>
      </c>
      <c r="J102" s="5" t="n"/>
      <c r="K102" s="5" t="n"/>
      <c r="L102" s="25">
        <f>IF(B102="","",IFERROR(AVERAGEIF($B$6:$B$115,B102,$I$6:$I$115),0))</f>
        <v/>
      </c>
      <c r="M102" s="5" t="n"/>
      <c r="N102" s="5" t="n"/>
    </row>
    <row r="103" ht="22" customHeight="1">
      <c r="A103" s="7" t="n"/>
      <c r="B103" s="7" t="n"/>
      <c r="C103" s="7" t="n"/>
      <c r="D103" s="7" t="n"/>
      <c r="E103" s="7" t="n"/>
      <c r="F103" s="28">
        <f>IF(OR(D103="",E103=""),"",IFERROR(MIN(E103/160*100,80),0))</f>
        <v/>
      </c>
      <c r="G103" s="26">
        <f>IF(OR(D103="",F103=""),"",IFERROR(D103*F103/100,0))</f>
        <v/>
      </c>
      <c r="H103" s="26">
        <f>IF(G103="","",IFERROR(G103*0.097,0))</f>
        <v/>
      </c>
      <c r="I103" s="26">
        <f>IF(G103="","",IFERROR(G103-H103,0))</f>
        <v/>
      </c>
      <c r="J103" s="7" t="n"/>
      <c r="K103" s="7" t="n"/>
      <c r="L103" s="26">
        <f>IF(B103="","",IFERROR(AVERAGEIF($B$6:$B$115,B103,$I$6:$I$115),0))</f>
        <v/>
      </c>
      <c r="M103" s="7" t="n"/>
      <c r="N103" s="7" t="n"/>
    </row>
    <row r="104" ht="22" customHeight="1">
      <c r="A104" s="5" t="n"/>
      <c r="B104" s="5" t="n"/>
      <c r="C104" s="5" t="n"/>
      <c r="D104" s="5" t="n"/>
      <c r="E104" s="5" t="n"/>
      <c r="F104" s="27">
        <f>IF(OR(D104="",E104=""),"",IFERROR(MIN(E104/160*100,80),0))</f>
        <v/>
      </c>
      <c r="G104" s="25">
        <f>IF(OR(D104="",F104=""),"",IFERROR(D104*F104/100,0))</f>
        <v/>
      </c>
      <c r="H104" s="25">
        <f>IF(G104="","",IFERROR(G104*0.097,0))</f>
        <v/>
      </c>
      <c r="I104" s="25">
        <f>IF(G104="","",IFERROR(G104-H104,0))</f>
        <v/>
      </c>
      <c r="J104" s="5" t="n"/>
      <c r="K104" s="5" t="n"/>
      <c r="L104" s="25">
        <f>IF(B104="","",IFERROR(AVERAGEIF($B$6:$B$115,B104,$I$6:$I$115),0))</f>
        <v/>
      </c>
      <c r="M104" s="5" t="n"/>
      <c r="N104" s="5" t="n"/>
    </row>
    <row r="105" ht="22" customHeight="1">
      <c r="A105" s="7" t="n"/>
      <c r="B105" s="7" t="n"/>
      <c r="C105" s="7" t="n"/>
      <c r="D105" s="7" t="n"/>
      <c r="E105" s="7" t="n"/>
      <c r="F105" s="28">
        <f>IF(OR(D105="",E105=""),"",IFERROR(MIN(E105/160*100,80),0))</f>
        <v/>
      </c>
      <c r="G105" s="26">
        <f>IF(OR(D105="",F105=""),"",IFERROR(D105*F105/100,0))</f>
        <v/>
      </c>
      <c r="H105" s="26">
        <f>IF(G105="","",IFERROR(G105*0.097,0))</f>
        <v/>
      </c>
      <c r="I105" s="26">
        <f>IF(G105="","",IFERROR(G105-H105,0))</f>
        <v/>
      </c>
      <c r="J105" s="7" t="n"/>
      <c r="K105" s="7" t="n"/>
      <c r="L105" s="26">
        <f>IF(B105="","",IFERROR(AVERAGEIF($B$6:$B$115,B105,$I$6:$I$115),0))</f>
        <v/>
      </c>
      <c r="M105" s="7" t="n"/>
      <c r="N105" s="7" t="n"/>
    </row>
    <row r="106" ht="22" customHeight="1">
      <c r="A106" s="5" t="n"/>
      <c r="B106" s="5" t="n"/>
      <c r="C106" s="5" t="n"/>
      <c r="D106" s="5" t="n"/>
      <c r="E106" s="5" t="n"/>
      <c r="F106" s="27">
        <f>IF(OR(D106="",E106=""),"",IFERROR(MIN(E106/160*100,80),0))</f>
        <v/>
      </c>
      <c r="G106" s="25">
        <f>IF(OR(D106="",F106=""),"",IFERROR(D106*F106/100,0))</f>
        <v/>
      </c>
      <c r="H106" s="25">
        <f>IF(G106="","",IFERROR(G106*0.097,0))</f>
        <v/>
      </c>
      <c r="I106" s="25">
        <f>IF(G106="","",IFERROR(G106-H106,0))</f>
        <v/>
      </c>
      <c r="J106" s="5" t="n"/>
      <c r="K106" s="5" t="n"/>
      <c r="L106" s="25">
        <f>IF(B106="","",IFERROR(AVERAGEIF($B$6:$B$115,B106,$I$6:$I$115),0))</f>
        <v/>
      </c>
      <c r="M106" s="5" t="n"/>
      <c r="N106" s="5" t="n"/>
    </row>
    <row r="107" ht="22" customHeight="1">
      <c r="A107" s="7" t="n"/>
      <c r="B107" s="7" t="n"/>
      <c r="C107" s="7" t="n"/>
      <c r="D107" s="7" t="n"/>
      <c r="E107" s="7" t="n"/>
      <c r="F107" s="28">
        <f>IF(OR(D107="",E107=""),"",IFERROR(MIN(E107/160*100,80),0))</f>
        <v/>
      </c>
      <c r="G107" s="26">
        <f>IF(OR(D107="",F107=""),"",IFERROR(D107*F107/100,0))</f>
        <v/>
      </c>
      <c r="H107" s="26">
        <f>IF(G107="","",IFERROR(G107*0.097,0))</f>
        <v/>
      </c>
      <c r="I107" s="26">
        <f>IF(G107="","",IFERROR(G107-H107,0))</f>
        <v/>
      </c>
      <c r="J107" s="7" t="n"/>
      <c r="K107" s="7" t="n"/>
      <c r="L107" s="26">
        <f>IF(B107="","",IFERROR(AVERAGEIF($B$6:$B$115,B107,$I$6:$I$115),0))</f>
        <v/>
      </c>
      <c r="M107" s="7" t="n"/>
      <c r="N107" s="7" t="n"/>
    </row>
    <row r="108" ht="22" customHeight="1">
      <c r="A108" s="5" t="n"/>
      <c r="B108" s="5" t="n"/>
      <c r="C108" s="5" t="n"/>
      <c r="D108" s="5" t="n"/>
      <c r="E108" s="5" t="n"/>
      <c r="F108" s="27">
        <f>IF(OR(D108="",E108=""),"",IFERROR(MIN(E108/160*100,80),0))</f>
        <v/>
      </c>
      <c r="G108" s="25">
        <f>IF(OR(D108="",F108=""),"",IFERROR(D108*F108/100,0))</f>
        <v/>
      </c>
      <c r="H108" s="25">
        <f>IF(G108="","",IFERROR(G108*0.097,0))</f>
        <v/>
      </c>
      <c r="I108" s="25">
        <f>IF(G108="","",IFERROR(G108-H108,0))</f>
        <v/>
      </c>
      <c r="J108" s="5" t="n"/>
      <c r="K108" s="5" t="n"/>
      <c r="L108" s="25">
        <f>IF(B108="","",IFERROR(AVERAGEIF($B$6:$B$115,B108,$I$6:$I$115),0))</f>
        <v/>
      </c>
      <c r="M108" s="5" t="n"/>
      <c r="N108" s="5" t="n"/>
    </row>
    <row r="109" ht="22" customHeight="1">
      <c r="A109" s="7" t="n"/>
      <c r="B109" s="7" t="n"/>
      <c r="C109" s="7" t="n"/>
      <c r="D109" s="7" t="n"/>
      <c r="E109" s="7" t="n"/>
      <c r="F109" s="28">
        <f>IF(OR(D109="",E109=""),"",IFERROR(MIN(E109/160*100,80),0))</f>
        <v/>
      </c>
      <c r="G109" s="26">
        <f>IF(OR(D109="",F109=""),"",IFERROR(D109*F109/100,0))</f>
        <v/>
      </c>
      <c r="H109" s="26">
        <f>IF(G109="","",IFERROR(G109*0.097,0))</f>
        <v/>
      </c>
      <c r="I109" s="26">
        <f>IF(G109="","",IFERROR(G109-H109,0))</f>
        <v/>
      </c>
      <c r="J109" s="7" t="n"/>
      <c r="K109" s="7" t="n"/>
      <c r="L109" s="26">
        <f>IF(B109="","",IFERROR(AVERAGEIF($B$6:$B$115,B109,$I$6:$I$115),0))</f>
        <v/>
      </c>
      <c r="M109" s="7" t="n"/>
      <c r="N109" s="7" t="n"/>
    </row>
    <row r="110" ht="22" customHeight="1">
      <c r="A110" s="5" t="n"/>
      <c r="B110" s="5" t="n"/>
      <c r="C110" s="5" t="n"/>
      <c r="D110" s="5" t="n"/>
      <c r="E110" s="5" t="n"/>
      <c r="F110" s="27">
        <f>IF(OR(D110="",E110=""),"",IFERROR(MIN(E110/160*100,80),0))</f>
        <v/>
      </c>
      <c r="G110" s="25">
        <f>IF(OR(D110="",F110=""),"",IFERROR(D110*F110/100,0))</f>
        <v/>
      </c>
      <c r="H110" s="25">
        <f>IF(G110="","",IFERROR(G110*0.097,0))</f>
        <v/>
      </c>
      <c r="I110" s="25">
        <f>IF(G110="","",IFERROR(G110-H110,0))</f>
        <v/>
      </c>
      <c r="J110" s="5" t="n"/>
      <c r="K110" s="5" t="n"/>
      <c r="L110" s="25">
        <f>IF(B110="","",IFERROR(AVERAGEIF($B$6:$B$115,B110,$I$6:$I$115),0))</f>
        <v/>
      </c>
      <c r="M110" s="5" t="n"/>
      <c r="N110" s="5" t="n"/>
    </row>
    <row r="111" ht="22" customHeight="1">
      <c r="A111" s="7" t="n"/>
      <c r="B111" s="7" t="n"/>
      <c r="C111" s="7" t="n"/>
      <c r="D111" s="7" t="n"/>
      <c r="E111" s="7" t="n"/>
      <c r="F111" s="28">
        <f>IF(OR(D111="",E111=""),"",IFERROR(MIN(E111/160*100,80),0))</f>
        <v/>
      </c>
      <c r="G111" s="26">
        <f>IF(OR(D111="",F111=""),"",IFERROR(D111*F111/100,0))</f>
        <v/>
      </c>
      <c r="H111" s="26">
        <f>IF(G111="","",IFERROR(G111*0.097,0))</f>
        <v/>
      </c>
      <c r="I111" s="26">
        <f>IF(G111="","",IFERROR(G111-H111,0))</f>
        <v/>
      </c>
      <c r="J111" s="7" t="n"/>
      <c r="K111" s="7" t="n"/>
      <c r="L111" s="26">
        <f>IF(B111="","",IFERROR(AVERAGEIF($B$6:$B$115,B111,$I$6:$I$115),0))</f>
        <v/>
      </c>
      <c r="M111" s="7" t="n"/>
      <c r="N111" s="7" t="n"/>
    </row>
    <row r="112" ht="22" customHeight="1">
      <c r="A112" s="5" t="n"/>
      <c r="B112" s="5" t="n"/>
      <c r="C112" s="5" t="n"/>
      <c r="D112" s="5" t="n"/>
      <c r="E112" s="5" t="n"/>
      <c r="F112" s="27">
        <f>IF(OR(D112="",E112=""),"",IFERROR(MIN(E112/160*100,80),0))</f>
        <v/>
      </c>
      <c r="G112" s="25">
        <f>IF(OR(D112="",F112=""),"",IFERROR(D112*F112/100,0))</f>
        <v/>
      </c>
      <c r="H112" s="25">
        <f>IF(G112="","",IFERROR(G112*0.097,0))</f>
        <v/>
      </c>
      <c r="I112" s="25">
        <f>IF(G112="","",IFERROR(G112-H112,0))</f>
        <v/>
      </c>
      <c r="J112" s="5" t="n"/>
      <c r="K112" s="5" t="n"/>
      <c r="L112" s="25">
        <f>IF(B112="","",IFERROR(AVERAGEIF($B$6:$B$115,B112,$I$6:$I$115),0))</f>
        <v/>
      </c>
      <c r="M112" s="5" t="n"/>
      <c r="N112" s="5" t="n"/>
    </row>
    <row r="113" ht="22" customHeight="1">
      <c r="A113" s="7" t="n"/>
      <c r="B113" s="7" t="n"/>
      <c r="C113" s="7" t="n"/>
      <c r="D113" s="7" t="n"/>
      <c r="E113" s="7" t="n"/>
      <c r="F113" s="28">
        <f>IF(OR(D113="",E113=""),"",IFERROR(MIN(E113/160*100,80),0))</f>
        <v/>
      </c>
      <c r="G113" s="26">
        <f>IF(OR(D113="",F113=""),"",IFERROR(D113*F113/100,0))</f>
        <v/>
      </c>
      <c r="H113" s="26">
        <f>IF(G113="","",IFERROR(G113*0.097,0))</f>
        <v/>
      </c>
      <c r="I113" s="26">
        <f>IF(G113="","",IFERROR(G113-H113,0))</f>
        <v/>
      </c>
      <c r="J113" s="7" t="n"/>
      <c r="K113" s="7" t="n"/>
      <c r="L113" s="26">
        <f>IF(B113="","",IFERROR(AVERAGEIF($B$6:$B$115,B113,$I$6:$I$115),0))</f>
        <v/>
      </c>
      <c r="M113" s="7" t="n"/>
      <c r="N113" s="7" t="n"/>
    </row>
    <row r="114" ht="22" customHeight="1">
      <c r="A114" s="5" t="n"/>
      <c r="B114" s="5" t="n"/>
      <c r="C114" s="5" t="n"/>
      <c r="D114" s="5" t="n"/>
      <c r="E114" s="5" t="n"/>
      <c r="F114" s="27">
        <f>IF(OR(D114="",E114=""),"",IFERROR(MIN(E114/160*100,80),0))</f>
        <v/>
      </c>
      <c r="G114" s="25">
        <f>IF(OR(D114="",F114=""),"",IFERROR(D114*F114/100,0))</f>
        <v/>
      </c>
      <c r="H114" s="25">
        <f>IF(G114="","",IFERROR(G114*0.097,0))</f>
        <v/>
      </c>
      <c r="I114" s="25">
        <f>IF(G114="","",IFERROR(G114-H114,0))</f>
        <v/>
      </c>
      <c r="J114" s="5" t="n"/>
      <c r="K114" s="5" t="n"/>
      <c r="L114" s="25">
        <f>IF(B114="","",IFERROR(AVERAGEIF($B$6:$B$115,B114,$I$6:$I$115),0))</f>
        <v/>
      </c>
      <c r="M114" s="5" t="n"/>
      <c r="N114" s="5" t="n"/>
    </row>
    <row r="115" ht="22" customHeight="1">
      <c r="A115" s="7" t="n"/>
      <c r="B115" s="7" t="n"/>
      <c r="C115" s="7" t="n"/>
      <c r="D115" s="7" t="n"/>
      <c r="E115" s="7" t="n"/>
      <c r="F115" s="28">
        <f>IF(OR(D115="",E115=""),"",IFERROR(MIN(E115/160*100,80),0))</f>
        <v/>
      </c>
      <c r="G115" s="26">
        <f>IF(OR(D115="",F115=""),"",IFERROR(D115*F115/100,0))</f>
        <v/>
      </c>
      <c r="H115" s="26">
        <f>IF(G115="","",IFERROR(G115*0.097,0))</f>
        <v/>
      </c>
      <c r="I115" s="26">
        <f>IF(G115="","",IFERROR(G115-H115,0))</f>
        <v/>
      </c>
      <c r="J115" s="7" t="n"/>
      <c r="K115" s="7" t="n"/>
      <c r="L115" s="26">
        <f>IF(B115="","",IFERROR(AVERAGEIF($B$6:$B$115,B115,$I$6:$I$115),0))</f>
        <v/>
      </c>
      <c r="M115" s="7" t="n"/>
      <c r="N115" s="7" t="n"/>
    </row>
  </sheetData>
  <mergeCells count="2">
    <mergeCell ref="A3:N3"/>
    <mergeCell ref="A2:N2"/>
  </mergeCells>
  <dataValidations count="2">
    <dataValidation sqref="C6:C115" showDropDown="0" showInputMessage="0" showErrorMessage="0" allowBlank="1" errorTitle="Erreur" error="Valeur invalide" promptTitle="" prompt="Choisir dans la liste: " type="list">
      <formula1>'F02 - _Lists'!$E$6:$E$14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22" customWidth="1" min="4" max="4"/>
    <col width="18" customWidth="1" min="5" max="5"/>
    <col width="16" customWidth="1" min="6" max="6"/>
    <col width="22" customWidth="1" min="7" max="7"/>
    <col width="16" customWidth="1" min="8" max="8"/>
    <col width="20" customWidth="1" min="9" max="9"/>
    <col width="18" customWidth="1" min="10" max="10"/>
    <col width="18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5-PLANS DE DÉPART EN RETRAITE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Plan</t>
        </is>
      </c>
      <c r="B5" s="4" t="inlineStr">
        <is>
          <t>Matricule</t>
        </is>
      </c>
      <c r="C5" s="4" t="inlineStr">
        <is>
          <t>Type Départ</t>
        </is>
      </c>
      <c r="D5" s="4" t="inlineStr">
        <is>
          <t>Cause Départ</t>
        </is>
      </c>
      <c r="E5" s="4" t="inlineStr">
        <is>
          <t>Date Départ Prévu</t>
        </is>
      </c>
      <c r="F5" s="4" t="inlineStr">
        <is>
          <t>Date Préavis</t>
        </is>
      </c>
      <c r="G5" s="4" t="inlineStr">
        <is>
          <t>Date Transmission CNPS</t>
        </is>
      </c>
      <c r="H5" s="4" t="inlineStr">
        <is>
          <t>Entretien Final</t>
        </is>
      </c>
      <c r="I5" s="4" t="inlineStr">
        <is>
          <t>Passation Effectuée</t>
        </is>
      </c>
      <c r="J5" s="4" t="inlineStr">
        <is>
          <t>Solde Tout Compte</t>
        </is>
      </c>
      <c r="K5" s="4" t="inlineStr">
        <is>
          <t>Statut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PLAN-001</t>
        </is>
      </c>
      <c r="B6" s="5" t="inlineStr">
        <is>
          <t>RET-001</t>
        </is>
      </c>
      <c r="C6" s="5" t="inlineStr">
        <is>
          <t>Retraite normale (60 ans)</t>
        </is>
      </c>
      <c r="D6" s="5" t="inlineStr">
        <is>
          <t>Âge légal</t>
        </is>
      </c>
      <c r="E6" s="19" t="n">
        <v>45838</v>
      </c>
      <c r="F6" s="19" t="n">
        <v>45747</v>
      </c>
      <c r="G6" s="5" t="n"/>
      <c r="H6" s="5" t="inlineStr">
        <is>
          <t>Oui</t>
        </is>
      </c>
      <c r="I6" s="5" t="inlineStr">
        <is>
          <t>En cours</t>
        </is>
      </c>
      <c r="J6" s="5" t="inlineStr">
        <is>
          <t>En cours</t>
        </is>
      </c>
      <c r="K6" s="5" t="inlineStr">
        <is>
          <t>En cours</t>
        </is>
      </c>
      <c r="L6" s="5" t="inlineStr"/>
      <c r="M6" s="5">
        <f>IF(B6="","",IFERROR(VLOOKUP(B6,'F01 - _Données Retraite'!$A$6:$K$20,2,FALSE)&amp;" "&amp;VLOOKUP(B6,'F01 - _Données Retraite'!$A$6:$K$20,3,FALSE),""))</f>
        <v/>
      </c>
      <c r="N6" s="5">
        <f>IF(A6="","",IF(AND(H6="Oui",I6="Oui"),"COMPLET","INCOMPLET"))</f>
        <v/>
      </c>
    </row>
    <row r="7" ht="22" customHeight="1">
      <c r="A7" s="7" t="inlineStr">
        <is>
          <t>PLAN-002</t>
        </is>
      </c>
      <c r="B7" s="7" t="inlineStr">
        <is>
          <t>RET-002</t>
        </is>
      </c>
      <c r="C7" s="7" t="inlineStr">
        <is>
          <t>Retraite anticipée</t>
        </is>
      </c>
      <c r="D7" s="7" t="inlineStr">
        <is>
          <t>Volontaire</t>
        </is>
      </c>
      <c r="E7" s="20" t="n">
        <v>46037</v>
      </c>
      <c r="F7" s="20" t="n">
        <v>45945</v>
      </c>
      <c r="G7" s="7" t="n"/>
      <c r="H7" s="7" t="inlineStr">
        <is>
          <t>Non</t>
        </is>
      </c>
      <c r="I7" s="7" t="inlineStr">
        <is>
          <t>Non</t>
        </is>
      </c>
      <c r="J7" s="7" t="inlineStr">
        <is>
          <t>Non</t>
        </is>
      </c>
      <c r="K7" s="7" t="inlineStr">
        <is>
          <t>En préparation</t>
        </is>
      </c>
      <c r="L7" s="7" t="inlineStr"/>
      <c r="M7" s="7">
        <f>IF(B7="","",IFERROR(VLOOKUP(B7,'F01 - _Données Retraite'!$A$6:$K$20,2,FALSE)&amp;" "&amp;VLOOKUP(B7,'F01 - _Données Retraite'!$A$6:$K$20,3,FALSE),""))</f>
        <v/>
      </c>
      <c r="N7" s="7">
        <f>IF(A7="","",IF(AND(H7="Oui",I7="Oui"),"COMPLET","INCOMPLET"))</f>
        <v/>
      </c>
    </row>
    <row r="8" ht="22" customHeight="1">
      <c r="A8" s="5" t="inlineStr">
        <is>
          <t>PLAN-003</t>
        </is>
      </c>
      <c r="B8" s="5" t="inlineStr">
        <is>
          <t>RET-003</t>
        </is>
      </c>
      <c r="C8" s="5" t="inlineStr">
        <is>
          <t>Retraite normale (60 ans)</t>
        </is>
      </c>
      <c r="D8" s="5" t="inlineStr">
        <is>
          <t>Âge légal</t>
        </is>
      </c>
      <c r="E8" s="19" t="n">
        <v>45657</v>
      </c>
      <c r="F8" s="19" t="n">
        <v>45565</v>
      </c>
      <c r="G8" s="19" t="n">
        <v>45580</v>
      </c>
      <c r="H8" s="5" t="inlineStr">
        <is>
          <t>Oui</t>
        </is>
      </c>
      <c r="I8" s="5" t="inlineStr">
        <is>
          <t>Oui</t>
        </is>
      </c>
      <c r="J8" s="5" t="inlineStr">
        <is>
          <t>Oui</t>
        </is>
      </c>
      <c r="K8" s="5" t="inlineStr">
        <is>
          <t>Clôturé</t>
        </is>
      </c>
      <c r="L8" s="5" t="inlineStr"/>
      <c r="M8" s="5">
        <f>IF(B8="","",IFERROR(VLOOKUP(B8,'F01 - _Données Retraite'!$A$6:$K$20,2,FALSE)&amp;" "&amp;VLOOKUP(B8,'F01 - _Données Retraite'!$A$6:$K$20,3,FALSE),""))</f>
        <v/>
      </c>
      <c r="N8" s="5">
        <f>IF(A8="","",IF(AND(H8="Oui",I8="Oui"),"COMPLET","INCOMPLET"))</f>
        <v/>
      </c>
    </row>
    <row r="9" ht="22" customHeight="1">
      <c r="A9" s="7" t="inlineStr">
        <is>
          <t>PLAN-004</t>
        </is>
      </c>
      <c r="B9" s="7" t="inlineStr">
        <is>
          <t>RET-006</t>
        </is>
      </c>
      <c r="C9" s="7" t="inlineStr">
        <is>
          <t>Retraite tardive (65+ ans)</t>
        </is>
      </c>
      <c r="D9" s="7" t="inlineStr">
        <is>
          <t>Départ anticipé</t>
        </is>
      </c>
      <c r="E9" s="20" t="n">
        <v>45717</v>
      </c>
      <c r="F9" s="20" t="n">
        <v>45627</v>
      </c>
      <c r="G9" s="20" t="n">
        <v>45667</v>
      </c>
      <c r="H9" s="7" t="inlineStr">
        <is>
          <t>Oui</t>
        </is>
      </c>
      <c r="I9" s="7" t="inlineStr">
        <is>
          <t>Oui</t>
        </is>
      </c>
      <c r="J9" s="7" t="inlineStr">
        <is>
          <t>Oui</t>
        </is>
      </c>
      <c r="K9" s="7" t="inlineStr">
        <is>
          <t>Clôturé</t>
        </is>
      </c>
      <c r="L9" s="7" t="inlineStr"/>
      <c r="M9" s="7">
        <f>IF(B9="","",IFERROR(VLOOKUP(B9,'F01 - _Données Retraite'!$A$6:$K$20,2,FALSE)&amp;" "&amp;VLOOKUP(B9,'F01 - _Données Retraite'!$A$6:$K$20,3,FALSE),""))</f>
        <v/>
      </c>
      <c r="N9" s="7">
        <f>IF(A9="","",IF(AND(H9="Oui",I9="Oui"),"COMPLET","INCOMPLET"))</f>
        <v/>
      </c>
    </row>
    <row r="10" ht="22" customHeight="1">
      <c r="A10" s="5" t="inlineStr">
        <is>
          <t>PLAN-005</t>
        </is>
      </c>
      <c r="B10" s="5" t="inlineStr">
        <is>
          <t>RET-005</t>
        </is>
      </c>
      <c r="C10" s="5" t="inlineStr">
        <is>
          <t>Retraite normale (60 ans)</t>
        </is>
      </c>
      <c r="D10" s="5" t="inlineStr">
        <is>
          <t>Âge légal</t>
        </is>
      </c>
      <c r="E10" s="19" t="n">
        <v>46022</v>
      </c>
      <c r="F10" s="19" t="n">
        <v>45930</v>
      </c>
      <c r="G10" s="5" t="n"/>
      <c r="H10" s="5" t="inlineStr">
        <is>
          <t>Non</t>
        </is>
      </c>
      <c r="I10" s="5" t="inlineStr">
        <is>
          <t>Non</t>
        </is>
      </c>
      <c r="J10" s="5" t="inlineStr">
        <is>
          <t>Non</t>
        </is>
      </c>
      <c r="K10" s="5" t="inlineStr">
        <is>
          <t>En préparation</t>
        </is>
      </c>
      <c r="L10" s="5" t="inlineStr"/>
      <c r="M10" s="5">
        <f>IF(B10="","",IFERROR(VLOOKUP(B10,'F01 - _Données Retraite'!$A$6:$K$20,2,FALSE)&amp;" "&amp;VLOOKUP(B10,'F01 - _Données Retraite'!$A$6:$K$20,3,FALSE),""))</f>
        <v/>
      </c>
      <c r="N10" s="5">
        <f>IF(A10="","",IF(AND(H10="Oui",I10="Oui"),"COMPLET","INCOMPLET"))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7">
        <f>IF(A11="","",IF(AND(H11="Oui",I11="Oui"),"COMPLET","INCOMPLET"))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5">
        <f>IF(A12="","",IF(AND(H12="Oui",I12="Oui"),"COMPLET","INCOMPLET"))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7">
        <f>IF(A13="","",IF(AND(H13="Oui",I13="Oui"),"COMPLET","INCOMPLET"))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5">
        <f>IF(A14="","",IF(AND(H14="Oui",I14="Oui"),"COMPLET","INCOMPLET"))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7">
        <f>IF(A15="","",IF(AND(H15="Oui",I15="Oui"),"COMPLET","INCOMPLET"))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5">
        <f>IF(A16="","",IF(AND(H16="Oui",I16="Oui"),"COMPLET","INCOMPLET"))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7">
        <f>IF(A17="","",IF(AND(H17="Oui",I17="Oui"),"COMPLET","INCOMPLET"))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5">
        <f>IF(A18="","",IF(AND(H18="Oui",I18="Oui"),"COMPLET","INCOMPLET"))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7">
        <f>IF(A19="","",IF(AND(H19="Oui",I19="Oui"),"COMPLET","INCOMPLET"))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5">
        <f>IF(A20="","",IF(AND(H20="Oui",I20="Oui"),"COMPLET","INCOMPLET"))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7">
        <f>IF(A21="","",IF(AND(H21="Oui",I21="Oui"),"COMPLET","INCOMPLET"))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5">
        <f>IF(A22="","",IF(AND(H22="Oui",I22="Oui"),"COMPLET","INCOMPLET"))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7">
        <f>IF(A23="","",IF(AND(H23="Oui",I23="Oui"),"COMPLET","INCOMPLET"))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5">
        <f>IF(A24="","",IF(AND(H24="Oui",I24="Oui"),"COMPLET","INCOMPLET"))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7">
        <f>IF(A25="","",IF(AND(H25="Oui",I25="Oui"),"COMPLET","INCOMPLET"))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5">
        <f>IF(A26="","",IF(AND(H26="Oui",I26="Oui"),"COMPLET","INCOMPLET"))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7">
        <f>IF(A27="","",IF(AND(H27="Oui",I27="Oui"),"COMPLET","INCOMPLET"))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5">
        <f>IF(A28="","",IF(AND(H28="Oui",I28="Oui"),"COMPLET","INCOMPLET"))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7">
        <f>IF(A29="","",IF(AND(H29="Oui",I29="Oui"),"COMPLET","INCOMPLET"))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5">
        <f>IF(A30="","",IF(AND(H30="Oui",I30="Oui"),"COMPLET","INCOMPLET"))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7">
        <f>IF(A31="","",IF(AND(H31="Oui",I31="Oui"),"COMPLET","INCOMPLET"))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5">
        <f>IF(A32="","",IF(AND(H32="Oui",I32="Oui"),"COMPLET","INCOMPLET"))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7">
        <f>IF(A33="","",IF(AND(H33="Oui",I33="Oui"),"COMPLET","INCOMPLET"))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5">
        <f>IF(A34="","",IF(AND(H34="Oui",I34="Oui"),"COMPLET","INCOMPLET"))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7">
        <f>IF(A35="","",IF(AND(H35="Oui",I35="Oui"),"COMPLET","INCOMPLET"))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5">
        <f>IF(A36="","",IF(AND(H36="Oui",I36="Oui"),"COMPLET","INCOMPLET"))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7">
        <f>IF(A37="","",IF(AND(H37="Oui",I37="Oui"),"COMPLET","INCOMPLET"))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5">
        <f>IF(A38="","",IF(AND(H38="Oui",I38="Oui"),"COMPLET","INCOMPLET"))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7">
        <f>IF(A39="","",IF(AND(H39="Oui",I39="Oui"),"COMPLET","INCOMPLET"))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5">
        <f>IF(A40="","",IF(AND(H40="Oui",I40="Oui"),"COMPLET","INCOMPLET"))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7">
        <f>IF(A41="","",IF(AND(H41="Oui",I41="Oui"),"COMPLET","INCOMPLET"))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5">
        <f>IF(A42="","",IF(AND(H42="Oui",I42="Oui"),"COMPLET","INCOMPLET"))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7">
        <f>IF(A43="","",IF(AND(H43="Oui",I43="Oui"),"COMPLET","INCOMPLET"))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5">
        <f>IF(A44="","",IF(AND(H44="Oui",I44="Oui"),"COMPLET","INCOMPLET"))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7">
        <f>IF(A45="","",IF(AND(H45="Oui",I45="Oui"),"COMPLET","INCOMPLET"))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5">
        <f>IF(A46="","",IF(AND(H46="Oui",I46="Oui"),"COMPLET","INCOMPLET"))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7">
        <f>IF(A47="","",IF(AND(H47="Oui",I47="Oui"),"COMPLET","INCOMPLET"))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5">
        <f>IF(A48="","",IF(AND(H48="Oui",I48="Oui"),"COMPLET","INCOMPLET"))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7">
        <f>IF(A49="","",IF(AND(H49="Oui",I49="Oui"),"COMPLET","INCOMPLET"))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5">
        <f>IF(A50="","",IF(AND(H50="Oui",I50="Oui"),"COMPLET","INCOMPLET"))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7">
        <f>IF(A51="","",IF(AND(H51="Oui",I51="Oui"),"COMPLET","INCOMPLET"))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5">
        <f>IF(A52="","",IF(AND(H52="Oui",I52="Oui"),"COMPLET","INCOMPLET"))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7">
        <f>IF(A53="","",IF(AND(H53="Oui",I53="Oui"),"COMPLET","INCOMPLET"))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5">
        <f>IF(A54="","",IF(AND(H54="Oui",I54="Oui"),"COMPLET","INCOMPLET"))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7">
        <f>IF(A55="","",IF(AND(H55="Oui",I55="Oui"),"COMPLET","INCOMPLET"))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5">
        <f>IF(A56="","",IF(AND(H56="Oui",I56="Oui"),"COMPLET","INCOMPLET"))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7">
        <f>IF(A57="","",IF(AND(H57="Oui",I57="Oui"),"COMPLET","INCOMPLET"))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5">
        <f>IF(A58="","",IF(AND(H58="Oui",I58="Oui"),"COMPLET","INCOMPLET"))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7">
        <f>IF(A59="","",IF(AND(H59="Oui",I59="Oui"),"COMPLET","INCOMPLET"))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5">
        <f>IF(A60="","",IF(AND(H60="Oui",I60="Oui"),"COMPLET","INCOMPLET"))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7">
        <f>IF(A61="","",IF(AND(H61="Oui",I61="Oui"),"COMPLET","INCOMPLET"))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5">
        <f>IF(A62="","",IF(AND(H62="Oui",I62="Oui"),"COMPLET","INCOMPLET"))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7">
        <f>IF(A63="","",IF(AND(H63="Oui",I63="Oui"),"COMPLET","INCOMPLET"))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5">
        <f>IF(A64="","",IF(AND(H64="Oui",I64="Oui"),"COMPLET","INCOMPLET"))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7">
        <f>IF(A65="","",IF(AND(H65="Oui",I65="Oui"),"COMPLET","INCOMPLET"))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5">
        <f>IF(A66="","",IF(AND(H66="Oui",I66="Oui"),"COMPLET","INCOMPLET"))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7">
        <f>IF(A67="","",IF(AND(H67="Oui",I67="Oui"),"COMPLET","INCOMPLET"))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5">
        <f>IF(A68="","",IF(AND(H68="Oui",I68="Oui"),"COMPLET","INCOMPLET"))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7">
        <f>IF(A69="","",IF(AND(H69="Oui",I69="Oui"),"COMPLET","INCOMPLET"))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5">
        <f>IF(A70="","",IF(AND(H70="Oui",I70="Oui"),"COMPLET","INCOMPLET"))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7">
        <f>IF(A71="","",IF(AND(H71="Oui",I71="Oui"),"COMPLET","INCOMPLET"))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5">
        <f>IF(A72="","",IF(AND(H72="Oui",I72="Oui"),"COMPLET","INCOMPLET"))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7">
        <f>IF(A73="","",IF(AND(H73="Oui",I73="Oui"),"COMPLET","INCOMPLET"))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5">
        <f>IF(A74="","",IF(AND(H74="Oui",I74="Oui"),"COMPLET","INCOMPLET"))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7">
        <f>IF(A75="","",IF(AND(H75="Oui",I75="Oui"),"COMPLET","INCOMPLET"))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5">
        <f>IF(A76="","",IF(AND(H76="Oui",I76="Oui"),"COMPLET","INCOMPLET"))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7">
        <f>IF(A77="","",IF(AND(H77="Oui",I77="Oui"),"COMPLET","INCOMPLET"))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5">
        <f>IF(A78="","",IF(AND(H78="Oui",I78="Oui"),"COMPLET","INCOMPLET"))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7">
        <f>IF(A79="","",IF(AND(H79="Oui",I79="Oui"),"COMPLET","INCOMPLET"))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5">
        <f>IF(A80="","",IF(AND(H80="Oui",I80="Oui"),"COMPLET","INCOMPLET"))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7">
        <f>IF(A81="","",IF(AND(H81="Oui",I81="Oui"),"COMPLET","INCOMPLET"))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5">
        <f>IF(A82="","",IF(AND(H82="Oui",I82="Oui"),"COMPLET","INCOMPLET"))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7">
        <f>IF(A83="","",IF(AND(H83="Oui",I83="Oui"),"COMPLET","INCOMPLET"))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5">
        <f>IF(A84="","",IF(AND(H84="Oui",I84="Oui"),"COMPLET","INCOMPLET"))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7">
        <f>IF(A85="","",IF(AND(H85="Oui",I85="Oui"),"COMPLET","INCOMPLET"))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5">
        <f>IF(A86="","",IF(AND(H86="Oui",I86="Oui"),"COMPLET","INCOMPLET"))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7">
        <f>IF(A87="","",IF(AND(H87="Oui",I87="Oui"),"COMPLET","INCOMPLET"))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5">
        <f>IF(A88="","",IF(AND(H88="Oui",I88="Oui"),"COMPLET","INCOMPLET"))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7">
        <f>IF(A89="","",IF(AND(H89="Oui",I89="Oui"),"COMPLET","INCOMPLET"))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5">
        <f>IF(A90="","",IF(AND(H90="Oui",I90="Oui"),"COMPLET","INCOMPLET"))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7">
        <f>IF(A91="","",IF(AND(H91="Oui",I91="Oui"),"COMPLET","INCOMPLET"))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5">
        <f>IF(A92="","",IF(AND(H92="Oui",I92="Oui"),"COMPLET","INCOMPLET"))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7">
        <f>IF(A93="","",IF(AND(H93="Oui",I93="Oui"),"COMPLET","INCOMPLET"))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5">
        <f>IF(A94="","",IF(AND(H94="Oui",I94="Oui"),"COMPLET","INCOMPLET"))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7">
        <f>IF(A95="","",IF(AND(H95="Oui",I95="Oui"),"COMPLET","INCOMPLET"))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5">
        <f>IF(A96="","",IF(AND(H96="Oui",I96="Oui"),"COMPLET","INCOMPLET"))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7">
        <f>IF(A97="","",IF(AND(H97="Oui",I97="Oui"),"COMPLET","INCOMPLET"))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5">
        <f>IF(A98="","",IF(AND(H98="Oui",I98="Oui"),"COMPLET","INCOMPLET"))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7">
        <f>IF(A99="","",IF(AND(H99="Oui",I99="Oui"),"COMPLET","INCOMPLET"))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5">
        <f>IF(A100="","",IF(AND(H100="Oui",I100="Oui"),"COMPLET","INCOMPLET"))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7">
        <f>IF(A101="","",IF(AND(H101="Oui",I101="Oui"),"COMPLET","INCOMPLET"))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5">
        <f>IF(A102="","",IF(AND(H102="Oui",I102="Oui"),"COMPLET","INCOMPLET"))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7">
        <f>IF(A103="","",IF(AND(H103="Oui",I103="Oui"),"COMPLET","INCOMPLET"))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5">
        <f>IF(A104="","",IF(AND(H104="Oui",I104="Oui"),"COMPLET","INCOMPLET"))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7">
        <f>IF(A105="","",IF(AND(H105="Oui",I105="Oui"),"COMPLET","INCOMPLET"))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5">
        <f>IF(A106="","",IF(AND(H106="Oui",I106="Oui"),"COMPLET","INCOMPLET"))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7">
        <f>IF(A107="","",IF(AND(H107="Oui",I107="Oui"),"COMPLET","INCOMPLET"))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5">
        <f>IF(A108="","",IF(AND(H108="Oui",I108="Oui"),"COMPLET","INCOMPLET"))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7">
        <f>IF(A109="","",IF(AND(H109="Oui",I109="Oui"),"COMPLET","INCOMPLET"))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5">
        <f>IF(A110="","",IF(AND(H110="Oui",I110="Oui"),"COMPLET","INCOMPLET"))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7">
        <f>IF(A111="","",IF(AND(H111="Oui",I111="Oui"),"COMPLET","INCOMPLET"))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5">
        <f>IF(A112="","",IF(AND(H112="Oui",I112="Oui"),"COMPLET","INCOMPLET"))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7">
        <f>IF(A113="","",IF(AND(H113="Oui",I113="Oui"),"COMPLET","INCOMPLET"))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5">
        <f>IF(A114="","",IF(AND(H114="Oui",I114="Oui"),"COMPLET","INCOMPLET"))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7">
        <f>IF(A115="","",IF(AND(H115="Oui",I115="Oui"),"COMPLET","INCOMPLET"))</f>
        <v/>
      </c>
    </row>
  </sheetData>
  <mergeCells count="2">
    <mergeCell ref="A3:N3"/>
    <mergeCell ref="A2:N2"/>
  </mergeCells>
  <dataValidations count="5">
    <dataValidation sqref="C6:C115" showDropDown="0" showInputMessage="0" showErrorMessage="0" allowBlank="1" errorTitle="Erreur" error="Valeur invalide" promptTitle="" prompt="Choisir dans la liste: " type="list">
      <formula1>'F02 - _Lists'!$H$6:$H$12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_Lists'!$G$6:$G$13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_Lists'!$K$6:$K$12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14" customWidth="1" min="5" max="5"/>
    <col width="20" customWidth="1" min="6" max="6"/>
    <col width="16" customWidth="1" min="7" max="7"/>
    <col width="20" customWidth="1" min="8" max="8"/>
    <col width="22" customWidth="1" min="9" max="9"/>
    <col width="24" customWidth="1" min="10" max="10"/>
    <col width="14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6-OUTPLACEMENT ET RECONVERSION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Outpl.</t>
        </is>
      </c>
      <c r="B5" s="4" t="inlineStr">
        <is>
          <t>Matricule</t>
        </is>
      </c>
      <c r="C5" s="4" t="inlineStr">
        <is>
          <t>Type Outplacement</t>
        </is>
      </c>
      <c r="D5" s="4" t="inlineStr">
        <is>
          <t>Date Début</t>
        </is>
      </c>
      <c r="E5" s="4" t="inlineStr">
        <is>
          <t>Date Fin</t>
        </is>
      </c>
      <c r="F5" s="4" t="inlineStr">
        <is>
          <t>Coût Total (FCFA)</t>
        </is>
      </c>
      <c r="G5" s="4" t="inlineStr">
        <is>
          <t>Bilan Réalisé</t>
        </is>
      </c>
      <c r="H5" s="4" t="inlineStr">
        <is>
          <t>Reconversion Réussie</t>
        </is>
      </c>
      <c r="I5" s="4" t="inlineStr">
        <is>
          <t>Nouvel Employeur</t>
        </is>
      </c>
      <c r="J5" s="4" t="inlineStr">
        <is>
          <t>Poste Obtenu</t>
        </is>
      </c>
      <c r="K5" s="4" t="inlineStr">
        <is>
          <t>Statut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OUT-001</t>
        </is>
      </c>
      <c r="B6" s="5" t="inlineStr">
        <is>
          <t>RET-003</t>
        </is>
      </c>
      <c r="C6" s="5" t="inlineStr">
        <is>
          <t>Reclassement interne</t>
        </is>
      </c>
      <c r="D6" s="19" t="n">
        <v>45536</v>
      </c>
      <c r="E6" s="19" t="n">
        <v>45716</v>
      </c>
      <c r="F6" s="22" t="n">
        <v>350000</v>
      </c>
      <c r="G6" s="5" t="inlineStr">
        <is>
          <t>Oui</t>
        </is>
      </c>
      <c r="H6" s="5" t="inlineStr">
        <is>
          <t>En cours</t>
        </is>
      </c>
      <c r="I6" s="5" t="inlineStr">
        <is>
          <t>Interne</t>
        </is>
      </c>
      <c r="J6" s="5" t="inlineStr">
        <is>
          <t>Consultant Senior</t>
        </is>
      </c>
      <c r="K6" s="5" t="inlineStr">
        <is>
          <t>En cours</t>
        </is>
      </c>
      <c r="L6" s="5" t="inlineStr"/>
      <c r="M6" s="5">
        <f>IF(B6="","",IFERROR(VLOOKUP(B6,'F01 - _Données Retraite'!$A$6:$K$20,2,FALSE)&amp;" "&amp;VLOOKUP(B6,'F01 - _Données Retraite'!$A$6:$K$20,3,FALSE),""))</f>
        <v/>
      </c>
      <c r="N6" s="25">
        <f>IF(B6="","",IFERROR(SUMIF($B$6:$B$115,B6,$F$6:$F$115),0))</f>
        <v/>
      </c>
    </row>
    <row r="7" ht="22" customHeight="1">
      <c r="A7" s="7" t="inlineStr">
        <is>
          <t>OUT-002</t>
        </is>
      </c>
      <c r="B7" s="7" t="inlineStr">
        <is>
          <t>RET-006</t>
        </is>
      </c>
      <c r="C7" s="7" t="inlineStr">
        <is>
          <t>Coaching individuel</t>
        </is>
      </c>
      <c r="D7" s="20" t="n">
        <v>45658</v>
      </c>
      <c r="E7" s="20" t="n">
        <v>45838</v>
      </c>
      <c r="F7" s="24" t="n">
        <v>500000</v>
      </c>
      <c r="G7" s="7" t="inlineStr">
        <is>
          <t>Non</t>
        </is>
      </c>
      <c r="H7" s="7" t="inlineStr">
        <is>
          <t>Non</t>
        </is>
      </c>
      <c r="I7" s="7" t="inlineStr"/>
      <c r="J7" s="7" t="inlineStr"/>
      <c r="K7" s="7" t="inlineStr">
        <is>
          <t>En cours</t>
        </is>
      </c>
      <c r="L7" s="7" t="inlineStr"/>
      <c r="M7" s="7">
        <f>IF(B7="","",IFERROR(VLOOKUP(B7,'F01 - _Données Retraite'!$A$6:$K$20,2,FALSE)&amp;" "&amp;VLOOKUP(B7,'F01 - _Données Retraite'!$A$6:$K$20,3,FALSE),""))</f>
        <v/>
      </c>
      <c r="N7" s="26">
        <f>IF(B7="","",IFERROR(SUMIF($B$6:$B$115,B7,$F$6:$F$115),0))</f>
        <v/>
      </c>
    </row>
    <row r="8" ht="22" customHeight="1">
      <c r="A8" s="5" t="inlineStr">
        <is>
          <t>OUT-003</t>
        </is>
      </c>
      <c r="B8" s="5" t="inlineStr">
        <is>
          <t>RET-009</t>
        </is>
      </c>
      <c r="C8" s="5" t="inlineStr">
        <is>
          <t>Formation reconversion</t>
        </is>
      </c>
      <c r="D8" s="19" t="n">
        <v>45717</v>
      </c>
      <c r="E8" s="19" t="n">
        <v>45900</v>
      </c>
      <c r="F8" s="22" t="n">
        <v>420000</v>
      </c>
      <c r="G8" s="5" t="inlineStr">
        <is>
          <t>Non</t>
        </is>
      </c>
      <c r="H8" s="5" t="inlineStr">
        <is>
          <t>Non</t>
        </is>
      </c>
      <c r="I8" s="5" t="inlineStr"/>
      <c r="J8" s="5" t="inlineStr"/>
      <c r="K8" s="5" t="inlineStr">
        <is>
          <t>En attente</t>
        </is>
      </c>
      <c r="L8" s="5" t="inlineStr"/>
      <c r="M8" s="5">
        <f>IF(B8="","",IFERROR(VLOOKUP(B8,'F01 - _Données Retraite'!$A$6:$K$20,2,FALSE)&amp;" "&amp;VLOOKUP(B8,'F01 - _Données Retraite'!$A$6:$K$20,3,FALSE),""))</f>
        <v/>
      </c>
      <c r="N8" s="25">
        <f>IF(B8="","",IFERROR(SUMIF($B$6:$B$115,B8,$F$6:$F$115),0))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>
        <f>IF(B9="","",IFERROR(VLOOKUP(B9,'F01 - _Données Retraite'!$A$6:$K$20,2,FALSE)&amp;" "&amp;VLOOKUP(B9,'F01 - _Données Retraite'!$A$6:$K$20,3,FALSE),""))</f>
        <v/>
      </c>
      <c r="N9" s="26">
        <f>IF(B9="","",IFERROR(SUMIF($B$6:$B$115,B9,$F$6:$F$115),0))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IF(B10="","",IFERROR(VLOOKUP(B10,'F01 - _Données Retraite'!$A$6:$K$20,2,FALSE)&amp;" "&amp;VLOOKUP(B10,'F01 - _Données Retraite'!$A$6:$K$20,3,FALSE),""))</f>
        <v/>
      </c>
      <c r="N10" s="25">
        <f>IF(B10="","",IFERROR(SUMIF($B$6:$B$115,B10,$F$6:$F$115),0))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26">
        <f>IF(B11="","",IFERROR(SUMIF($B$6:$B$115,B11,$F$6:$F$115),0))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25">
        <f>IF(B12="","",IFERROR(SUMIF($B$6:$B$115,B12,$F$6:$F$115),0))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26">
        <f>IF(B13="","",IFERROR(SUMIF($B$6:$B$115,B13,$F$6:$F$115),0))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25">
        <f>IF(B14="","",IFERROR(SUMIF($B$6:$B$115,B14,$F$6:$F$115),0))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26">
        <f>IF(B15="","",IFERROR(SUMIF($B$6:$B$115,B15,$F$6:$F$115),0))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25">
        <f>IF(B16="","",IFERROR(SUMIF($B$6:$B$115,B16,$F$6:$F$115),0))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26">
        <f>IF(B17="","",IFERROR(SUMIF($B$6:$B$115,B17,$F$6:$F$115),0))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25">
        <f>IF(B18="","",IFERROR(SUMIF($B$6:$B$115,B18,$F$6:$F$115),0))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26">
        <f>IF(B19="","",IFERROR(SUMIF($B$6:$B$115,B19,$F$6:$F$115),0))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25">
        <f>IF(B20="","",IFERROR(SUMIF($B$6:$B$115,B20,$F$6:$F$115),0))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26">
        <f>IF(B21="","",IFERROR(SUMIF($B$6:$B$115,B21,$F$6:$F$115),0))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25">
        <f>IF(B22="","",IFERROR(SUMIF($B$6:$B$115,B22,$F$6:$F$115),0))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26">
        <f>IF(B23="","",IFERROR(SUMIF($B$6:$B$115,B23,$F$6:$F$115),0))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25">
        <f>IF(B24="","",IFERROR(SUMIF($B$6:$B$115,B24,$F$6:$F$115),0))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26">
        <f>IF(B25="","",IFERROR(SUMIF($B$6:$B$115,B25,$F$6:$F$115),0))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25">
        <f>IF(B26="","",IFERROR(SUMIF($B$6:$B$115,B26,$F$6:$F$115),0))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26">
        <f>IF(B27="","",IFERROR(SUMIF($B$6:$B$115,B27,$F$6:$F$115),0))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25">
        <f>IF(B28="","",IFERROR(SUMIF($B$6:$B$115,B28,$F$6:$F$115),0))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26">
        <f>IF(B29="","",IFERROR(SUMIF($B$6:$B$115,B29,$F$6:$F$115),0))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25">
        <f>IF(B30="","",IFERROR(SUMIF($B$6:$B$115,B30,$F$6:$F$115),0))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26">
        <f>IF(B31="","",IFERROR(SUMIF($B$6:$B$115,B31,$F$6:$F$115),0))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25">
        <f>IF(B32="","",IFERROR(SUMIF($B$6:$B$115,B32,$F$6:$F$115),0))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26">
        <f>IF(B33="","",IFERROR(SUMIF($B$6:$B$115,B33,$F$6:$F$115),0))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25">
        <f>IF(B34="","",IFERROR(SUMIF($B$6:$B$115,B34,$F$6:$F$115),0))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26">
        <f>IF(B35="","",IFERROR(SUMIF($B$6:$B$115,B35,$F$6:$F$115),0))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25">
        <f>IF(B36="","",IFERROR(SUMIF($B$6:$B$115,B36,$F$6:$F$115),0))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26">
        <f>IF(B37="","",IFERROR(SUMIF($B$6:$B$115,B37,$F$6:$F$115),0))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25">
        <f>IF(B38="","",IFERROR(SUMIF($B$6:$B$115,B38,$F$6:$F$115),0))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26">
        <f>IF(B39="","",IFERROR(SUMIF($B$6:$B$115,B39,$F$6:$F$115),0))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25">
        <f>IF(B40="","",IFERROR(SUMIF($B$6:$B$115,B40,$F$6:$F$115),0))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26">
        <f>IF(B41="","",IFERROR(SUMIF($B$6:$B$115,B41,$F$6:$F$115),0))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25">
        <f>IF(B42="","",IFERROR(SUMIF($B$6:$B$115,B42,$F$6:$F$115),0))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26">
        <f>IF(B43="","",IFERROR(SUMIF($B$6:$B$115,B43,$F$6:$F$115),0))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25">
        <f>IF(B44="","",IFERROR(SUMIF($B$6:$B$115,B44,$F$6:$F$115),0))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26">
        <f>IF(B45="","",IFERROR(SUMIF($B$6:$B$115,B45,$F$6:$F$115),0))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25">
        <f>IF(B46="","",IFERROR(SUMIF($B$6:$B$115,B46,$F$6:$F$115),0))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26">
        <f>IF(B47="","",IFERROR(SUMIF($B$6:$B$115,B47,$F$6:$F$115),0))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25">
        <f>IF(B48="","",IFERROR(SUMIF($B$6:$B$115,B48,$F$6:$F$115),0))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26">
        <f>IF(B49="","",IFERROR(SUMIF($B$6:$B$115,B49,$F$6:$F$115),0))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25">
        <f>IF(B50="","",IFERROR(SUMIF($B$6:$B$115,B50,$F$6:$F$115),0))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26">
        <f>IF(B51="","",IFERROR(SUMIF($B$6:$B$115,B51,$F$6:$F$115),0))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25">
        <f>IF(B52="","",IFERROR(SUMIF($B$6:$B$115,B52,$F$6:$F$115),0))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26">
        <f>IF(B53="","",IFERROR(SUMIF($B$6:$B$115,B53,$F$6:$F$115),0))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25">
        <f>IF(B54="","",IFERROR(SUMIF($B$6:$B$115,B54,$F$6:$F$115),0))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26">
        <f>IF(B55="","",IFERROR(SUMIF($B$6:$B$115,B55,$F$6:$F$115),0))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25">
        <f>IF(B56="","",IFERROR(SUMIF($B$6:$B$115,B56,$F$6:$F$115),0))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26">
        <f>IF(B57="","",IFERROR(SUMIF($B$6:$B$115,B57,$F$6:$F$115),0))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25">
        <f>IF(B58="","",IFERROR(SUMIF($B$6:$B$115,B58,$F$6:$F$115),0))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26">
        <f>IF(B59="","",IFERROR(SUMIF($B$6:$B$115,B59,$F$6:$F$115),0))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25">
        <f>IF(B60="","",IFERROR(SUMIF($B$6:$B$115,B60,$F$6:$F$115),0))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26">
        <f>IF(B61="","",IFERROR(SUMIF($B$6:$B$115,B61,$F$6:$F$115),0))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25">
        <f>IF(B62="","",IFERROR(SUMIF($B$6:$B$115,B62,$F$6:$F$115),0))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26">
        <f>IF(B63="","",IFERROR(SUMIF($B$6:$B$115,B63,$F$6:$F$115),0))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25">
        <f>IF(B64="","",IFERROR(SUMIF($B$6:$B$115,B64,$F$6:$F$115),0))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26">
        <f>IF(B65="","",IFERROR(SUMIF($B$6:$B$115,B65,$F$6:$F$115),0))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25">
        <f>IF(B66="","",IFERROR(SUMIF($B$6:$B$115,B66,$F$6:$F$115),0))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26">
        <f>IF(B67="","",IFERROR(SUMIF($B$6:$B$115,B67,$F$6:$F$115),0))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25">
        <f>IF(B68="","",IFERROR(SUMIF($B$6:$B$115,B68,$F$6:$F$115),0))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26">
        <f>IF(B69="","",IFERROR(SUMIF($B$6:$B$115,B69,$F$6:$F$115),0))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25">
        <f>IF(B70="","",IFERROR(SUMIF($B$6:$B$115,B70,$F$6:$F$115),0))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26">
        <f>IF(B71="","",IFERROR(SUMIF($B$6:$B$115,B71,$F$6:$F$115),0))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25">
        <f>IF(B72="","",IFERROR(SUMIF($B$6:$B$115,B72,$F$6:$F$115),0))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26">
        <f>IF(B73="","",IFERROR(SUMIF($B$6:$B$115,B73,$F$6:$F$115),0))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25">
        <f>IF(B74="","",IFERROR(SUMIF($B$6:$B$115,B74,$F$6:$F$115),0))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26">
        <f>IF(B75="","",IFERROR(SUMIF($B$6:$B$115,B75,$F$6:$F$115),0))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25">
        <f>IF(B76="","",IFERROR(SUMIF($B$6:$B$115,B76,$F$6:$F$115),0))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26">
        <f>IF(B77="","",IFERROR(SUMIF($B$6:$B$115,B77,$F$6:$F$115),0))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25">
        <f>IF(B78="","",IFERROR(SUMIF($B$6:$B$115,B78,$F$6:$F$115),0))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26">
        <f>IF(B79="","",IFERROR(SUMIF($B$6:$B$115,B79,$F$6:$F$115),0))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25">
        <f>IF(B80="","",IFERROR(SUMIF($B$6:$B$115,B80,$F$6:$F$115),0))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26">
        <f>IF(B81="","",IFERROR(SUMIF($B$6:$B$115,B81,$F$6:$F$115),0))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25">
        <f>IF(B82="","",IFERROR(SUMIF($B$6:$B$115,B82,$F$6:$F$115),0))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26">
        <f>IF(B83="","",IFERROR(SUMIF($B$6:$B$115,B83,$F$6:$F$115),0))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25">
        <f>IF(B84="","",IFERROR(SUMIF($B$6:$B$115,B84,$F$6:$F$115),0))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26">
        <f>IF(B85="","",IFERROR(SUMIF($B$6:$B$115,B85,$F$6:$F$115),0))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25">
        <f>IF(B86="","",IFERROR(SUMIF($B$6:$B$115,B86,$F$6:$F$115),0))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26">
        <f>IF(B87="","",IFERROR(SUMIF($B$6:$B$115,B87,$F$6:$F$115),0))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25">
        <f>IF(B88="","",IFERROR(SUMIF($B$6:$B$115,B88,$F$6:$F$115),0))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26">
        <f>IF(B89="","",IFERROR(SUMIF($B$6:$B$115,B89,$F$6:$F$115),0))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25">
        <f>IF(B90="","",IFERROR(SUMIF($B$6:$B$115,B90,$F$6:$F$115),0))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26">
        <f>IF(B91="","",IFERROR(SUMIF($B$6:$B$115,B91,$F$6:$F$115),0))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25">
        <f>IF(B92="","",IFERROR(SUMIF($B$6:$B$115,B92,$F$6:$F$115),0))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26">
        <f>IF(B93="","",IFERROR(SUMIF($B$6:$B$115,B93,$F$6:$F$115),0))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25">
        <f>IF(B94="","",IFERROR(SUMIF($B$6:$B$115,B94,$F$6:$F$115),0))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26">
        <f>IF(B95="","",IFERROR(SUMIF($B$6:$B$115,B95,$F$6:$F$115),0))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25">
        <f>IF(B96="","",IFERROR(SUMIF($B$6:$B$115,B96,$F$6:$F$115),0))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26">
        <f>IF(B97="","",IFERROR(SUMIF($B$6:$B$115,B97,$F$6:$F$115),0))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25">
        <f>IF(B98="","",IFERROR(SUMIF($B$6:$B$115,B98,$F$6:$F$115),0))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26">
        <f>IF(B99="","",IFERROR(SUMIF($B$6:$B$115,B99,$F$6:$F$115),0))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25">
        <f>IF(B100="","",IFERROR(SUMIF($B$6:$B$115,B100,$F$6:$F$115),0))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26">
        <f>IF(B101="","",IFERROR(SUMIF($B$6:$B$115,B101,$F$6:$F$115),0))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25">
        <f>IF(B102="","",IFERROR(SUMIF($B$6:$B$115,B102,$F$6:$F$115),0))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26">
        <f>IF(B103="","",IFERROR(SUMIF($B$6:$B$115,B103,$F$6:$F$115),0))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25">
        <f>IF(B104="","",IFERROR(SUMIF($B$6:$B$115,B104,$F$6:$F$115),0))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26">
        <f>IF(B105="","",IFERROR(SUMIF($B$6:$B$115,B105,$F$6:$F$115),0))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25">
        <f>IF(B106="","",IFERROR(SUMIF($B$6:$B$115,B106,$F$6:$F$115),0))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26">
        <f>IF(B107="","",IFERROR(SUMIF($B$6:$B$115,B107,$F$6:$F$115),0))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25">
        <f>IF(B108="","",IFERROR(SUMIF($B$6:$B$115,B108,$F$6:$F$115),0))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26">
        <f>IF(B109="","",IFERROR(SUMIF($B$6:$B$115,B109,$F$6:$F$115),0))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25">
        <f>IF(B110="","",IFERROR(SUMIF($B$6:$B$115,B110,$F$6:$F$115),0))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26">
        <f>IF(B111="","",IFERROR(SUMIF($B$6:$B$115,B111,$F$6:$F$115),0))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25">
        <f>IF(B112="","",IFERROR(SUMIF($B$6:$B$115,B112,$F$6:$F$115),0))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26">
        <f>IF(B113="","",IFERROR(SUMIF($B$6:$B$115,B113,$F$6:$F$115),0))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25">
        <f>IF(B114="","",IFERROR(SUMIF($B$6:$B$115,B114,$F$6:$F$115),0))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26">
        <f>IF(B115="","",IFERROR(SUMIF($B$6:$B$115,B115,$F$6:$F$115),0))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_Lists'!$V$6:$V$12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4" customWidth="1" min="4" max="4"/>
    <col width="26" customWidth="1" min="5" max="5"/>
    <col width="14" customWidth="1" min="6" max="6"/>
    <col width="14" customWidth="1" min="7" max="7"/>
    <col width="16" customWidth="1" min="8" max="8"/>
    <col width="18" customWidth="1" min="9" max="9"/>
    <col width="20" customWidth="1" min="10" max="10"/>
    <col width="20" customWidth="1" min="11" max="11"/>
    <col width="16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7-TRANSITIONS DE CARRIÈRE FIN DE CARRIÈRE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Trans.</t>
        </is>
      </c>
      <c r="B5" s="4" t="inlineStr">
        <is>
          <t>Matricule</t>
        </is>
      </c>
      <c r="C5" s="4" t="inlineStr">
        <is>
          <t>Type Transition</t>
        </is>
      </c>
      <c r="D5" s="4" t="inlineStr">
        <is>
          <t>Poste Actuel</t>
        </is>
      </c>
      <c r="E5" s="4" t="inlineStr">
        <is>
          <t>Poste Cible</t>
        </is>
      </c>
      <c r="F5" s="4" t="inlineStr">
        <is>
          <t>Date Début</t>
        </is>
      </c>
      <c r="G5" s="4" t="inlineStr">
        <is>
          <t>Date Fin</t>
        </is>
      </c>
      <c r="H5" s="4" t="inlineStr">
        <is>
          <t>Durée (mois)</t>
        </is>
      </c>
      <c r="I5" s="4" t="inlineStr">
        <is>
          <t>Tuteur</t>
        </is>
      </c>
      <c r="J5" s="4" t="inlineStr">
        <is>
          <t>Évaluation Mi-Parcours</t>
        </is>
      </c>
      <c r="K5" s="4" t="inlineStr">
        <is>
          <t>Évaluation Finale</t>
        </is>
      </c>
      <c r="L5" s="4" t="inlineStr">
        <is>
          <t>Statut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TRA-001</t>
        </is>
      </c>
      <c r="B6" s="5" t="inlineStr">
        <is>
          <t>RET-001</t>
        </is>
      </c>
      <c r="C6" s="5" t="inlineStr">
        <is>
          <t>Progressive</t>
        </is>
      </c>
      <c r="D6" s="5" t="inlineStr">
        <is>
          <t>DG Adjoint</t>
        </is>
      </c>
      <c r="E6" s="5" t="inlineStr">
        <is>
          <t>Conseiller Stratégique</t>
        </is>
      </c>
      <c r="F6" s="19" t="n">
        <v>45658</v>
      </c>
      <c r="G6" s="19" t="n">
        <v>45838</v>
      </c>
      <c r="H6" s="27">
        <f>IF(OR(F6="",G6=""),"",IFERROR((G6-F6)/30.44,0))</f>
        <v/>
      </c>
      <c r="I6" s="5" t="inlineStr">
        <is>
          <t>DG Général</t>
        </is>
      </c>
      <c r="J6" s="5" t="inlineStr">
        <is>
          <t>Favorable</t>
        </is>
      </c>
      <c r="K6" s="5" t="inlineStr">
        <is>
          <t>En attente</t>
        </is>
      </c>
      <c r="L6" s="5" t="inlineStr">
        <is>
          <t>En cours</t>
        </is>
      </c>
      <c r="M6" s="5">
        <f>IF(B6="","",IFERROR(VLOOKUP(B6,'F01 - _Données Retraite'!$A$6:$K$20,2,FALSE)&amp;" "&amp;VLOOKUP(B6,'F01 - _Données Retraite'!$A$6:$K$20,3,FALSE),""))</f>
        <v/>
      </c>
      <c r="N6" s="5">
        <f>IF(A6="","",IF(AND(J6="Favorable",K6="Favorable"),"RÉUSSI","EN COURS"))</f>
        <v/>
      </c>
    </row>
    <row r="7" ht="22" customHeight="1">
      <c r="A7" s="7" t="inlineStr">
        <is>
          <t>TRA-002</t>
        </is>
      </c>
      <c r="B7" s="7" t="inlineStr">
        <is>
          <t>RET-002</t>
        </is>
      </c>
      <c r="C7" s="7" t="inlineStr">
        <is>
          <t>Partage d'expérience</t>
        </is>
      </c>
      <c r="D7" s="7" t="inlineStr">
        <is>
          <t>Dir. Financière</t>
        </is>
      </c>
      <c r="E7" s="7" t="inlineStr">
        <is>
          <t>Mentor Financier</t>
        </is>
      </c>
      <c r="F7" s="20" t="n">
        <v>45809</v>
      </c>
      <c r="G7" s="20" t="n">
        <v>46037</v>
      </c>
      <c r="H7" s="28">
        <f>IF(OR(F7="",G7=""),"",IFERROR((G7-F7)/30.44,0))</f>
        <v/>
      </c>
      <c r="I7" s="7" t="inlineStr">
        <is>
          <t>DAF</t>
        </is>
      </c>
      <c r="J7" s="7" t="inlineStr">
        <is>
          <t>Non</t>
        </is>
      </c>
      <c r="K7" s="7" t="inlineStr">
        <is>
          <t>Non</t>
        </is>
      </c>
      <c r="L7" s="7" t="inlineStr">
        <is>
          <t>En préparation</t>
        </is>
      </c>
      <c r="M7" s="7">
        <f>IF(B7="","",IFERROR(VLOOKUP(B7,'F01 - _Données Retraite'!$A$6:$K$20,2,FALSE)&amp;" "&amp;VLOOKUP(B7,'F01 - _Données Retraite'!$A$6:$K$20,3,FALSE),""))</f>
        <v/>
      </c>
      <c r="N7" s="7">
        <f>IF(A7="","",IF(AND(J7="Favorable",K7="Favorable"),"RÉUSSI","EN COURS"))</f>
        <v/>
      </c>
    </row>
    <row r="8" ht="22" customHeight="1">
      <c r="A8" s="5" t="inlineStr">
        <is>
          <t>TRA-003</t>
        </is>
      </c>
      <c r="B8" s="5" t="inlineStr">
        <is>
          <t>RET-004</t>
        </is>
      </c>
      <c r="C8" s="5" t="inlineStr">
        <is>
          <t>Réduction temps</t>
        </is>
      </c>
      <c r="D8" s="5" t="inlineStr">
        <is>
          <t>Resp. Administrative</t>
        </is>
      </c>
      <c r="E8" s="5" t="inlineStr">
        <is>
          <t>Resp. Administrative 80%</t>
        </is>
      </c>
      <c r="F8" s="19" t="n">
        <v>45717</v>
      </c>
      <c r="G8" s="19" t="n">
        <v>46447</v>
      </c>
      <c r="H8" s="27">
        <f>IF(OR(F8="",G8=""),"",IFERROR((G8-F8)/30.44,0))</f>
        <v/>
      </c>
      <c r="I8" s="5" t="inlineStr">
        <is>
          <t>DRH</t>
        </is>
      </c>
      <c r="J8" s="5" t="inlineStr">
        <is>
          <t>Non</t>
        </is>
      </c>
      <c r="K8" s="5" t="inlineStr">
        <is>
          <t>Non</t>
        </is>
      </c>
      <c r="L8" s="5" t="inlineStr">
        <is>
          <t>Non commencé</t>
        </is>
      </c>
      <c r="M8" s="5">
        <f>IF(B8="","",IFERROR(VLOOKUP(B8,'F01 - _Données Retraite'!$A$6:$K$20,2,FALSE)&amp;" "&amp;VLOOKUP(B8,'F01 - _Données Retraite'!$A$6:$K$20,3,FALSE),""))</f>
        <v/>
      </c>
      <c r="N8" s="5">
        <f>IF(A8="","",IF(AND(J8="Favorable",K8="Favorable"),"RÉUSSI","EN COURS"))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28">
        <f>IF(OR(F9="",G9=""),"",IFERROR((G9-F9)/30.44,0))</f>
        <v/>
      </c>
      <c r="I9" s="7" t="n"/>
      <c r="J9" s="7" t="n"/>
      <c r="K9" s="7" t="n"/>
      <c r="L9" s="7" t="n"/>
      <c r="M9" s="7">
        <f>IF(B9="","",IFERROR(VLOOKUP(B9,'F01 - _Données Retraite'!$A$6:$K$20,2,FALSE)&amp;" "&amp;VLOOKUP(B9,'F01 - _Données Retraite'!$A$6:$K$20,3,FALSE),""))</f>
        <v/>
      </c>
      <c r="N9" s="7">
        <f>IF(A9="","",IF(AND(J9="Favorable",K9="Favorable"),"RÉUSSI","EN COURS"))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27">
        <f>IF(OR(F10="",G10=""),"",IFERROR((G10-F10)/30.44,0))</f>
        <v/>
      </c>
      <c r="I10" s="5" t="n"/>
      <c r="J10" s="5" t="n"/>
      <c r="K10" s="5" t="n"/>
      <c r="L10" s="5" t="n"/>
      <c r="M10" s="5">
        <f>IF(B10="","",IFERROR(VLOOKUP(B10,'F01 - _Données Retraite'!$A$6:$K$20,2,FALSE)&amp;" "&amp;VLOOKUP(B10,'F01 - _Données Retraite'!$A$6:$K$20,3,FALSE),""))</f>
        <v/>
      </c>
      <c r="N10" s="5">
        <f>IF(A10="","",IF(AND(J10="Favorable",K10="Favorable"),"RÉUSSI","EN COURS"))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28">
        <f>IF(OR(F11="",G11=""),"",IFERROR((G11-F11)/30.44,0))</f>
        <v/>
      </c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7">
        <f>IF(A11="","",IF(AND(J11="Favorable",K11="Favorable"),"RÉUSSI","EN COURS"))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7">
        <f>IF(OR(F12="",G12=""),"",IFERROR((G12-F12)/30.44,0))</f>
        <v/>
      </c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5">
        <f>IF(A12="","",IF(AND(J12="Favorable",K12="Favorable"),"RÉUSSI","EN COURS"))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28">
        <f>IF(OR(F13="",G13=""),"",IFERROR((G13-F13)/30.44,0))</f>
        <v/>
      </c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7">
        <f>IF(A13="","",IF(AND(J13="Favorable",K13="Favorable"),"RÉUSSI","EN COURS"))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7">
        <f>IF(OR(F14="",G14=""),"",IFERROR((G14-F14)/30.44,0))</f>
        <v/>
      </c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5">
        <f>IF(A14="","",IF(AND(J14="Favorable",K14="Favorable"),"RÉUSSI","EN COURS"))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28">
        <f>IF(OR(F15="",G15=""),"",IFERROR((G15-F15)/30.44,0))</f>
        <v/>
      </c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7">
        <f>IF(A15="","",IF(AND(J15="Favorable",K15="Favorable"),"RÉUSSI","EN COURS"))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7">
        <f>IF(OR(F16="",G16=""),"",IFERROR((G16-F16)/30.44,0))</f>
        <v/>
      </c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5">
        <f>IF(A16="","",IF(AND(J16="Favorable",K16="Favorable"),"RÉUSSI","EN COURS"))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28">
        <f>IF(OR(F17="",G17=""),"",IFERROR((G17-F17)/30.44,0))</f>
        <v/>
      </c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7">
        <f>IF(A17="","",IF(AND(J17="Favorable",K17="Favorable"),"RÉUSSI","EN COURS"))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7">
        <f>IF(OR(F18="",G18=""),"",IFERROR((G18-F18)/30.44,0))</f>
        <v/>
      </c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5">
        <f>IF(A18="","",IF(AND(J18="Favorable",K18="Favorable"),"RÉUSSI","EN COURS"))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28">
        <f>IF(OR(F19="",G19=""),"",IFERROR((G19-F19)/30.44,0))</f>
        <v/>
      </c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7">
        <f>IF(A19="","",IF(AND(J19="Favorable",K19="Favorable"),"RÉUSSI","EN COURS"))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7">
        <f>IF(OR(F20="",G20=""),"",IFERROR((G20-F20)/30.44,0))</f>
        <v/>
      </c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5">
        <f>IF(A20="","",IF(AND(J20="Favorable",K20="Favorable"),"RÉUSSI","EN COURS"))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28">
        <f>IF(OR(F21="",G21=""),"",IFERROR((G21-F21)/30.44,0))</f>
        <v/>
      </c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7">
        <f>IF(A21="","",IF(AND(J21="Favorable",K21="Favorable"),"RÉUSSI","EN COURS"))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7">
        <f>IF(OR(F22="",G22=""),"",IFERROR((G22-F22)/30.44,0))</f>
        <v/>
      </c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5">
        <f>IF(A22="","",IF(AND(J22="Favorable",K22="Favorable"),"RÉUSSI","EN COURS"))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28">
        <f>IF(OR(F23="",G23=""),"",IFERROR((G23-F23)/30.44,0))</f>
        <v/>
      </c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7">
        <f>IF(A23="","",IF(AND(J23="Favorable",K23="Favorable"),"RÉUSSI","EN COURS"))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7">
        <f>IF(OR(F24="",G24=""),"",IFERROR((G24-F24)/30.44,0))</f>
        <v/>
      </c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5">
        <f>IF(A24="","",IF(AND(J24="Favorable",K24="Favorable"),"RÉUSSI","EN COURS"))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28">
        <f>IF(OR(F25="",G25=""),"",IFERROR((G25-F25)/30.44,0))</f>
        <v/>
      </c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7">
        <f>IF(A25="","",IF(AND(J25="Favorable",K25="Favorable"),"RÉUSSI","EN COURS"))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7">
        <f>IF(OR(F26="",G26=""),"",IFERROR((G26-F26)/30.44,0))</f>
        <v/>
      </c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5">
        <f>IF(A26="","",IF(AND(J26="Favorable",K26="Favorable"),"RÉUSSI","EN COURS"))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28">
        <f>IF(OR(F27="",G27=""),"",IFERROR((G27-F27)/30.44,0))</f>
        <v/>
      </c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7">
        <f>IF(A27="","",IF(AND(J27="Favorable",K27="Favorable"),"RÉUSSI","EN COURS"))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7">
        <f>IF(OR(F28="",G28=""),"",IFERROR((G28-F28)/30.44,0))</f>
        <v/>
      </c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5">
        <f>IF(A28="","",IF(AND(J28="Favorable",K28="Favorable"),"RÉUSSI","EN COURS"))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28">
        <f>IF(OR(F29="",G29=""),"",IFERROR((G29-F29)/30.44,0))</f>
        <v/>
      </c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7">
        <f>IF(A29="","",IF(AND(J29="Favorable",K29="Favorable"),"RÉUSSI","EN COURS"))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7">
        <f>IF(OR(F30="",G30=""),"",IFERROR((G30-F30)/30.44,0))</f>
        <v/>
      </c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5">
        <f>IF(A30="","",IF(AND(J30="Favorable",K30="Favorable"),"RÉUSSI","EN COURS"))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28">
        <f>IF(OR(F31="",G31=""),"",IFERROR((G31-F31)/30.44,0))</f>
        <v/>
      </c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7">
        <f>IF(A31="","",IF(AND(J31="Favorable",K31="Favorable"),"RÉUSSI","EN COURS"))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7">
        <f>IF(OR(F32="",G32=""),"",IFERROR((G32-F32)/30.44,0))</f>
        <v/>
      </c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5">
        <f>IF(A32="","",IF(AND(J32="Favorable",K32="Favorable"),"RÉUSSI","EN COURS"))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28">
        <f>IF(OR(F33="",G33=""),"",IFERROR((G33-F33)/30.44,0))</f>
        <v/>
      </c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7">
        <f>IF(A33="","",IF(AND(J33="Favorable",K33="Favorable"),"RÉUSSI","EN COURS"))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7">
        <f>IF(OR(F34="",G34=""),"",IFERROR((G34-F34)/30.44,0))</f>
        <v/>
      </c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5">
        <f>IF(A34="","",IF(AND(J34="Favorable",K34="Favorable"),"RÉUSSI","EN COURS"))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28">
        <f>IF(OR(F35="",G35=""),"",IFERROR((G35-F35)/30.44,0))</f>
        <v/>
      </c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7">
        <f>IF(A35="","",IF(AND(J35="Favorable",K35="Favorable"),"RÉUSSI","EN COURS"))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7">
        <f>IF(OR(F36="",G36=""),"",IFERROR((G36-F36)/30.44,0))</f>
        <v/>
      </c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5">
        <f>IF(A36="","",IF(AND(J36="Favorable",K36="Favorable"),"RÉUSSI","EN COURS"))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28">
        <f>IF(OR(F37="",G37=""),"",IFERROR((G37-F37)/30.44,0))</f>
        <v/>
      </c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7">
        <f>IF(A37="","",IF(AND(J37="Favorable",K37="Favorable"),"RÉUSSI","EN COURS"))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7">
        <f>IF(OR(F38="",G38=""),"",IFERROR((G38-F38)/30.44,0))</f>
        <v/>
      </c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5">
        <f>IF(A38="","",IF(AND(J38="Favorable",K38="Favorable"),"RÉUSSI","EN COURS"))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28">
        <f>IF(OR(F39="",G39=""),"",IFERROR((G39-F39)/30.44,0))</f>
        <v/>
      </c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7">
        <f>IF(A39="","",IF(AND(J39="Favorable",K39="Favorable"),"RÉUSSI","EN COURS"))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7">
        <f>IF(OR(F40="",G40=""),"",IFERROR((G40-F40)/30.44,0))</f>
        <v/>
      </c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5">
        <f>IF(A40="","",IF(AND(J40="Favorable",K40="Favorable"),"RÉUSSI","EN COURS"))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28">
        <f>IF(OR(F41="",G41=""),"",IFERROR((G41-F41)/30.44,0))</f>
        <v/>
      </c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7">
        <f>IF(A41="","",IF(AND(J41="Favorable",K41="Favorable"),"RÉUSSI","EN COURS"))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7">
        <f>IF(OR(F42="",G42=""),"",IFERROR((G42-F42)/30.44,0))</f>
        <v/>
      </c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5">
        <f>IF(A42="","",IF(AND(J42="Favorable",K42="Favorable"),"RÉUSSI","EN COURS"))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28">
        <f>IF(OR(F43="",G43=""),"",IFERROR((G43-F43)/30.44,0))</f>
        <v/>
      </c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7">
        <f>IF(A43="","",IF(AND(J43="Favorable",K43="Favorable"),"RÉUSSI","EN COURS"))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7">
        <f>IF(OR(F44="",G44=""),"",IFERROR((G44-F44)/30.44,0))</f>
        <v/>
      </c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5">
        <f>IF(A44="","",IF(AND(J44="Favorable",K44="Favorable"),"RÉUSSI","EN COURS"))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28">
        <f>IF(OR(F45="",G45=""),"",IFERROR((G45-F45)/30.44,0))</f>
        <v/>
      </c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7">
        <f>IF(A45="","",IF(AND(J45="Favorable",K45="Favorable"),"RÉUSSI","EN COURS"))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7">
        <f>IF(OR(F46="",G46=""),"",IFERROR((G46-F46)/30.44,0))</f>
        <v/>
      </c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5">
        <f>IF(A46="","",IF(AND(J46="Favorable",K46="Favorable"),"RÉUSSI","EN COURS"))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28">
        <f>IF(OR(F47="",G47=""),"",IFERROR((G47-F47)/30.44,0))</f>
        <v/>
      </c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7">
        <f>IF(A47="","",IF(AND(J47="Favorable",K47="Favorable"),"RÉUSSI","EN COURS"))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7">
        <f>IF(OR(F48="",G48=""),"",IFERROR((G48-F48)/30.44,0))</f>
        <v/>
      </c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5">
        <f>IF(A48="","",IF(AND(J48="Favorable",K48="Favorable"),"RÉUSSI","EN COURS"))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28">
        <f>IF(OR(F49="",G49=""),"",IFERROR((G49-F49)/30.44,0))</f>
        <v/>
      </c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7">
        <f>IF(A49="","",IF(AND(J49="Favorable",K49="Favorable"),"RÉUSSI","EN COURS"))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7">
        <f>IF(OR(F50="",G50=""),"",IFERROR((G50-F50)/30.44,0))</f>
        <v/>
      </c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5">
        <f>IF(A50="","",IF(AND(J50="Favorable",K50="Favorable"),"RÉUSSI","EN COURS"))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28">
        <f>IF(OR(F51="",G51=""),"",IFERROR((G51-F51)/30.44,0))</f>
        <v/>
      </c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7">
        <f>IF(A51="","",IF(AND(J51="Favorable",K51="Favorable"),"RÉUSSI","EN COURS"))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7">
        <f>IF(OR(F52="",G52=""),"",IFERROR((G52-F52)/30.44,0))</f>
        <v/>
      </c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5">
        <f>IF(A52="","",IF(AND(J52="Favorable",K52="Favorable"),"RÉUSSI","EN COURS"))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28">
        <f>IF(OR(F53="",G53=""),"",IFERROR((G53-F53)/30.44,0))</f>
        <v/>
      </c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7">
        <f>IF(A53="","",IF(AND(J53="Favorable",K53="Favorable"),"RÉUSSI","EN COURS"))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7">
        <f>IF(OR(F54="",G54=""),"",IFERROR((G54-F54)/30.44,0))</f>
        <v/>
      </c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5">
        <f>IF(A54="","",IF(AND(J54="Favorable",K54="Favorable"),"RÉUSSI","EN COURS"))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28">
        <f>IF(OR(F55="",G55=""),"",IFERROR((G55-F55)/30.44,0))</f>
        <v/>
      </c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7">
        <f>IF(A55="","",IF(AND(J55="Favorable",K55="Favorable"),"RÉUSSI","EN COURS"))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7">
        <f>IF(OR(F56="",G56=""),"",IFERROR((G56-F56)/30.44,0))</f>
        <v/>
      </c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5">
        <f>IF(A56="","",IF(AND(J56="Favorable",K56="Favorable"),"RÉUSSI","EN COURS"))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28">
        <f>IF(OR(F57="",G57=""),"",IFERROR((G57-F57)/30.44,0))</f>
        <v/>
      </c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7">
        <f>IF(A57="","",IF(AND(J57="Favorable",K57="Favorable"),"RÉUSSI","EN COURS"))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7">
        <f>IF(OR(F58="",G58=""),"",IFERROR((G58-F58)/30.44,0))</f>
        <v/>
      </c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5">
        <f>IF(A58="","",IF(AND(J58="Favorable",K58="Favorable"),"RÉUSSI","EN COURS"))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28">
        <f>IF(OR(F59="",G59=""),"",IFERROR((G59-F59)/30.44,0))</f>
        <v/>
      </c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7">
        <f>IF(A59="","",IF(AND(J59="Favorable",K59="Favorable"),"RÉUSSI","EN COURS"))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7">
        <f>IF(OR(F60="",G60=""),"",IFERROR((G60-F60)/30.44,0))</f>
        <v/>
      </c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5">
        <f>IF(A60="","",IF(AND(J60="Favorable",K60="Favorable"),"RÉUSSI","EN COURS"))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28">
        <f>IF(OR(F61="",G61=""),"",IFERROR((G61-F61)/30.44,0))</f>
        <v/>
      </c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7">
        <f>IF(A61="","",IF(AND(J61="Favorable",K61="Favorable"),"RÉUSSI","EN COURS"))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7">
        <f>IF(OR(F62="",G62=""),"",IFERROR((G62-F62)/30.44,0))</f>
        <v/>
      </c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5">
        <f>IF(A62="","",IF(AND(J62="Favorable",K62="Favorable"),"RÉUSSI","EN COURS"))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28">
        <f>IF(OR(F63="",G63=""),"",IFERROR((G63-F63)/30.44,0))</f>
        <v/>
      </c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7">
        <f>IF(A63="","",IF(AND(J63="Favorable",K63="Favorable"),"RÉUSSI","EN COURS"))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7">
        <f>IF(OR(F64="",G64=""),"",IFERROR((G64-F64)/30.44,0))</f>
        <v/>
      </c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5">
        <f>IF(A64="","",IF(AND(J64="Favorable",K64="Favorable"),"RÉUSSI","EN COURS"))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28">
        <f>IF(OR(F65="",G65=""),"",IFERROR((G65-F65)/30.44,0))</f>
        <v/>
      </c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7">
        <f>IF(A65="","",IF(AND(J65="Favorable",K65="Favorable"),"RÉUSSI","EN COURS"))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7">
        <f>IF(OR(F66="",G66=""),"",IFERROR((G66-F66)/30.44,0))</f>
        <v/>
      </c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5">
        <f>IF(A66="","",IF(AND(J66="Favorable",K66="Favorable"),"RÉUSSI","EN COURS"))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28">
        <f>IF(OR(F67="",G67=""),"",IFERROR((G67-F67)/30.44,0))</f>
        <v/>
      </c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7">
        <f>IF(A67="","",IF(AND(J67="Favorable",K67="Favorable"),"RÉUSSI","EN COURS"))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7">
        <f>IF(OR(F68="",G68=""),"",IFERROR((G68-F68)/30.44,0))</f>
        <v/>
      </c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5">
        <f>IF(A68="","",IF(AND(J68="Favorable",K68="Favorable"),"RÉUSSI","EN COURS"))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28">
        <f>IF(OR(F69="",G69=""),"",IFERROR((G69-F69)/30.44,0))</f>
        <v/>
      </c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7">
        <f>IF(A69="","",IF(AND(J69="Favorable",K69="Favorable"),"RÉUSSI","EN COURS"))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7">
        <f>IF(OR(F70="",G70=""),"",IFERROR((G70-F70)/30.44,0))</f>
        <v/>
      </c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5">
        <f>IF(A70="","",IF(AND(J70="Favorable",K70="Favorable"),"RÉUSSI","EN COURS"))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28">
        <f>IF(OR(F71="",G71=""),"",IFERROR((G71-F71)/30.44,0))</f>
        <v/>
      </c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7">
        <f>IF(A71="","",IF(AND(J71="Favorable",K71="Favorable"),"RÉUSSI","EN COURS"))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7">
        <f>IF(OR(F72="",G72=""),"",IFERROR((G72-F72)/30.44,0))</f>
        <v/>
      </c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5">
        <f>IF(A72="","",IF(AND(J72="Favorable",K72="Favorable"),"RÉUSSI","EN COURS"))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28">
        <f>IF(OR(F73="",G73=""),"",IFERROR((G73-F73)/30.44,0))</f>
        <v/>
      </c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7">
        <f>IF(A73="","",IF(AND(J73="Favorable",K73="Favorable"),"RÉUSSI","EN COURS"))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7">
        <f>IF(OR(F74="",G74=""),"",IFERROR((G74-F74)/30.44,0))</f>
        <v/>
      </c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5">
        <f>IF(A74="","",IF(AND(J74="Favorable",K74="Favorable"),"RÉUSSI","EN COURS"))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28">
        <f>IF(OR(F75="",G75=""),"",IFERROR((G75-F75)/30.44,0))</f>
        <v/>
      </c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7">
        <f>IF(A75="","",IF(AND(J75="Favorable",K75="Favorable"),"RÉUSSI","EN COURS"))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7">
        <f>IF(OR(F76="",G76=""),"",IFERROR((G76-F76)/30.44,0))</f>
        <v/>
      </c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5">
        <f>IF(A76="","",IF(AND(J76="Favorable",K76="Favorable"),"RÉUSSI","EN COURS"))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28">
        <f>IF(OR(F77="",G77=""),"",IFERROR((G77-F77)/30.44,0))</f>
        <v/>
      </c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7">
        <f>IF(A77="","",IF(AND(J77="Favorable",K77="Favorable"),"RÉUSSI","EN COURS"))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7">
        <f>IF(OR(F78="",G78=""),"",IFERROR((G78-F78)/30.44,0))</f>
        <v/>
      </c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5">
        <f>IF(A78="","",IF(AND(J78="Favorable",K78="Favorable"),"RÉUSSI","EN COURS"))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28">
        <f>IF(OR(F79="",G79=""),"",IFERROR((G79-F79)/30.44,0))</f>
        <v/>
      </c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7">
        <f>IF(A79="","",IF(AND(J79="Favorable",K79="Favorable"),"RÉUSSI","EN COURS"))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7">
        <f>IF(OR(F80="",G80=""),"",IFERROR((G80-F80)/30.44,0))</f>
        <v/>
      </c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5">
        <f>IF(A80="","",IF(AND(J80="Favorable",K80="Favorable"),"RÉUSSI","EN COURS"))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28">
        <f>IF(OR(F81="",G81=""),"",IFERROR((G81-F81)/30.44,0))</f>
        <v/>
      </c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7">
        <f>IF(A81="","",IF(AND(J81="Favorable",K81="Favorable"),"RÉUSSI","EN COURS"))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7">
        <f>IF(OR(F82="",G82=""),"",IFERROR((G82-F82)/30.44,0))</f>
        <v/>
      </c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5">
        <f>IF(A82="","",IF(AND(J82="Favorable",K82="Favorable"),"RÉUSSI","EN COURS"))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28">
        <f>IF(OR(F83="",G83=""),"",IFERROR((G83-F83)/30.44,0))</f>
        <v/>
      </c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7">
        <f>IF(A83="","",IF(AND(J83="Favorable",K83="Favorable"),"RÉUSSI","EN COURS"))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7">
        <f>IF(OR(F84="",G84=""),"",IFERROR((G84-F84)/30.44,0))</f>
        <v/>
      </c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5">
        <f>IF(A84="","",IF(AND(J84="Favorable",K84="Favorable"),"RÉUSSI","EN COURS"))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28">
        <f>IF(OR(F85="",G85=""),"",IFERROR((G85-F85)/30.44,0))</f>
        <v/>
      </c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7">
        <f>IF(A85="","",IF(AND(J85="Favorable",K85="Favorable"),"RÉUSSI","EN COURS"))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7">
        <f>IF(OR(F86="",G86=""),"",IFERROR((G86-F86)/30.44,0))</f>
        <v/>
      </c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5">
        <f>IF(A86="","",IF(AND(J86="Favorable",K86="Favorable"),"RÉUSSI","EN COURS"))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28">
        <f>IF(OR(F87="",G87=""),"",IFERROR((G87-F87)/30.44,0))</f>
        <v/>
      </c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7">
        <f>IF(A87="","",IF(AND(J87="Favorable",K87="Favorable"),"RÉUSSI","EN COURS"))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7">
        <f>IF(OR(F88="",G88=""),"",IFERROR((G88-F88)/30.44,0))</f>
        <v/>
      </c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5">
        <f>IF(A88="","",IF(AND(J88="Favorable",K88="Favorable"),"RÉUSSI","EN COURS"))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28">
        <f>IF(OR(F89="",G89=""),"",IFERROR((G89-F89)/30.44,0))</f>
        <v/>
      </c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7">
        <f>IF(A89="","",IF(AND(J89="Favorable",K89="Favorable"),"RÉUSSI","EN COURS"))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7">
        <f>IF(OR(F90="",G90=""),"",IFERROR((G90-F90)/30.44,0))</f>
        <v/>
      </c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5">
        <f>IF(A90="","",IF(AND(J90="Favorable",K90="Favorable"),"RÉUSSI","EN COURS"))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28">
        <f>IF(OR(F91="",G91=""),"",IFERROR((G91-F91)/30.44,0))</f>
        <v/>
      </c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7">
        <f>IF(A91="","",IF(AND(J91="Favorable",K91="Favorable"),"RÉUSSI","EN COURS"))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7">
        <f>IF(OR(F92="",G92=""),"",IFERROR((G92-F92)/30.44,0))</f>
        <v/>
      </c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5">
        <f>IF(A92="","",IF(AND(J92="Favorable",K92="Favorable"),"RÉUSSI","EN COURS"))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28">
        <f>IF(OR(F93="",G93=""),"",IFERROR((G93-F93)/30.44,0))</f>
        <v/>
      </c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7">
        <f>IF(A93="","",IF(AND(J93="Favorable",K93="Favorable"),"RÉUSSI","EN COURS"))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7">
        <f>IF(OR(F94="",G94=""),"",IFERROR((G94-F94)/30.44,0))</f>
        <v/>
      </c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5">
        <f>IF(A94="","",IF(AND(J94="Favorable",K94="Favorable"),"RÉUSSI","EN COURS"))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28">
        <f>IF(OR(F95="",G95=""),"",IFERROR((G95-F95)/30.44,0))</f>
        <v/>
      </c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7">
        <f>IF(A95="","",IF(AND(J95="Favorable",K95="Favorable"),"RÉUSSI","EN COURS"))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7">
        <f>IF(OR(F96="",G96=""),"",IFERROR((G96-F96)/30.44,0))</f>
        <v/>
      </c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5">
        <f>IF(A96="","",IF(AND(J96="Favorable",K96="Favorable"),"RÉUSSI","EN COURS"))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28">
        <f>IF(OR(F97="",G97=""),"",IFERROR((G97-F97)/30.44,0))</f>
        <v/>
      </c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7">
        <f>IF(A97="","",IF(AND(J97="Favorable",K97="Favorable"),"RÉUSSI","EN COURS"))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7">
        <f>IF(OR(F98="",G98=""),"",IFERROR((G98-F98)/30.44,0))</f>
        <v/>
      </c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5">
        <f>IF(A98="","",IF(AND(J98="Favorable",K98="Favorable"),"RÉUSSI","EN COURS"))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28">
        <f>IF(OR(F99="",G99=""),"",IFERROR((G99-F99)/30.44,0))</f>
        <v/>
      </c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7">
        <f>IF(A99="","",IF(AND(J99="Favorable",K99="Favorable"),"RÉUSSI","EN COURS"))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7">
        <f>IF(OR(F100="",G100=""),"",IFERROR((G100-F100)/30.44,0))</f>
        <v/>
      </c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5">
        <f>IF(A100="","",IF(AND(J100="Favorable",K100="Favorable"),"RÉUSSI","EN COURS"))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28">
        <f>IF(OR(F101="",G101=""),"",IFERROR((G101-F101)/30.44,0))</f>
        <v/>
      </c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7">
        <f>IF(A101="","",IF(AND(J101="Favorable",K101="Favorable"),"RÉUSSI","EN COURS"))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7">
        <f>IF(OR(F102="",G102=""),"",IFERROR((G102-F102)/30.44,0))</f>
        <v/>
      </c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5">
        <f>IF(A102="","",IF(AND(J102="Favorable",K102="Favorable"),"RÉUSSI","EN COURS"))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28">
        <f>IF(OR(F103="",G103=""),"",IFERROR((G103-F103)/30.44,0))</f>
        <v/>
      </c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7">
        <f>IF(A103="","",IF(AND(J103="Favorable",K103="Favorable"),"RÉUSSI","EN COURS"))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7">
        <f>IF(OR(F104="",G104=""),"",IFERROR((G104-F104)/30.44,0))</f>
        <v/>
      </c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5">
        <f>IF(A104="","",IF(AND(J104="Favorable",K104="Favorable"),"RÉUSSI","EN COURS"))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28">
        <f>IF(OR(F105="",G105=""),"",IFERROR((G105-F105)/30.44,0))</f>
        <v/>
      </c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7">
        <f>IF(A105="","",IF(AND(J105="Favorable",K105="Favorable"),"RÉUSSI","EN COURS"))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7">
        <f>IF(OR(F106="",G106=""),"",IFERROR((G106-F106)/30.44,0))</f>
        <v/>
      </c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5">
        <f>IF(A106="","",IF(AND(J106="Favorable",K106="Favorable"),"RÉUSSI","EN COURS"))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28">
        <f>IF(OR(F107="",G107=""),"",IFERROR((G107-F107)/30.44,0))</f>
        <v/>
      </c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7">
        <f>IF(A107="","",IF(AND(J107="Favorable",K107="Favorable"),"RÉUSSI","EN COURS"))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7">
        <f>IF(OR(F108="",G108=""),"",IFERROR((G108-F108)/30.44,0))</f>
        <v/>
      </c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5">
        <f>IF(A108="","",IF(AND(J108="Favorable",K108="Favorable"),"RÉUSSI","EN COURS"))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28">
        <f>IF(OR(F109="",G109=""),"",IFERROR((G109-F109)/30.44,0))</f>
        <v/>
      </c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7">
        <f>IF(A109="","",IF(AND(J109="Favorable",K109="Favorable"),"RÉUSSI","EN COURS"))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7">
        <f>IF(OR(F110="",G110=""),"",IFERROR((G110-F110)/30.44,0))</f>
        <v/>
      </c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5">
        <f>IF(A110="","",IF(AND(J110="Favorable",K110="Favorable"),"RÉUSSI","EN COURS"))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28">
        <f>IF(OR(F111="",G111=""),"",IFERROR((G111-F111)/30.44,0))</f>
        <v/>
      </c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7">
        <f>IF(A111="","",IF(AND(J111="Favorable",K111="Favorable"),"RÉUSSI","EN COURS"))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7">
        <f>IF(OR(F112="",G112=""),"",IFERROR((G112-F112)/30.44,0))</f>
        <v/>
      </c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5">
        <f>IF(A112="","",IF(AND(J112="Favorable",K112="Favorable"),"RÉUSSI","EN COURS"))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28">
        <f>IF(OR(F113="",G113=""),"",IFERROR((G113-F113)/30.44,0))</f>
        <v/>
      </c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7">
        <f>IF(A113="","",IF(AND(J113="Favorable",K113="Favorable"),"RÉUSSI","EN COURS"))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7">
        <f>IF(OR(F114="",G114=""),"",IFERROR((G114-F114)/30.44,0))</f>
        <v/>
      </c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5">
        <f>IF(A114="","",IF(AND(J114="Favorable",K114="Favorable"),"RÉUSSI","EN COURS"))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28">
        <f>IF(OR(F115="",G115=""),"",IFERROR((G115-F115)/30.44,0))</f>
        <v/>
      </c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7">
        <f>IF(A115="","",IF(AND(J115="Favorable",K115="Favorable"),"RÉUSSI","EN COURS"))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_Lists'!$W$6:$W$11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4" customWidth="1" min="4" max="4"/>
    <col width="16" customWidth="1" min="5" max="5"/>
    <col width="22" customWidth="1" min="6" max="6"/>
    <col width="18" customWidth="1" min="7" max="7"/>
    <col width="16" customWidth="1" min="8" max="8"/>
    <col width="16" customWidth="1" min="9" max="9"/>
    <col width="22" customWidth="1" min="10" max="10"/>
    <col width="18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8-BIEN-ÊTRE ET ACCOMPAGNEMENT FIN DE CARRIÈRE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Bien-Être</t>
        </is>
      </c>
      <c r="B5" s="4" t="inlineStr">
        <is>
          <t>Matricule</t>
        </is>
      </c>
      <c r="C5" s="4" t="inlineStr">
        <is>
          <t>Type Accompagnement</t>
        </is>
      </c>
      <c r="D5" s="4" t="inlineStr">
        <is>
          <t>Date Début</t>
        </is>
      </c>
      <c r="E5" s="4" t="inlineStr">
        <is>
          <t>Fréquence Suivi</t>
        </is>
      </c>
      <c r="F5" s="4" t="inlineStr">
        <is>
          <t>Score Bien-Être (/100)</t>
        </is>
      </c>
      <c r="G5" s="4" t="inlineStr">
        <is>
          <t>Score Évolution</t>
        </is>
      </c>
      <c r="H5" s="4" t="inlineStr">
        <is>
          <t>Risque Burnout</t>
        </is>
      </c>
      <c r="I5" s="4" t="inlineStr">
        <is>
          <t>Risque Isolement</t>
        </is>
      </c>
      <c r="J5" s="4" t="inlineStr">
        <is>
          <t>Action Corrective</t>
        </is>
      </c>
      <c r="K5" s="4" t="inlineStr">
        <is>
          <t>Responsable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BE-001</t>
        </is>
      </c>
      <c r="B6" s="5" t="inlineStr">
        <is>
          <t>RET-001</t>
        </is>
      </c>
      <c r="C6" s="5" t="inlineStr">
        <is>
          <t>Coaching fin de carrière</t>
        </is>
      </c>
      <c r="D6" s="19" t="n">
        <v>45658</v>
      </c>
      <c r="E6" s="5" t="inlineStr">
        <is>
          <t>Mensuelle</t>
        </is>
      </c>
      <c r="F6" s="22" t="n">
        <v>78</v>
      </c>
      <c r="G6" s="5">
        <f>IF(F6="","",IFERROR(F6-70,""))</f>
        <v/>
      </c>
      <c r="H6" s="5" t="inlineStr">
        <is>
          <t>Modéré</t>
        </is>
      </c>
      <c r="I6" s="5" t="inlineStr">
        <is>
          <t>Faible</t>
        </is>
      </c>
      <c r="J6" s="5" t="inlineStr">
        <is>
          <t>Atelier partage</t>
        </is>
      </c>
      <c r="K6" s="5" t="inlineStr">
        <is>
          <t>Psychologue</t>
        </is>
      </c>
      <c r="L6" s="5" t="inlineStr"/>
      <c r="M6" s="5">
        <f>IF(B6="","",IFERROR(VLOOKUP(B6,'F01 - _Données Retraite'!$A$6:$K$20,2,FALSE)&amp;" "&amp;VLOOKUP(B6,'F01 - _Données Retraite'!$A$6:$K$20,3,FALSE),""))</f>
        <v/>
      </c>
      <c r="N6" s="27">
        <f>IF(B6="","",IFERROR(AVERAGEIF($B$6:$B$115,B6,$F$6:$F$115),0))</f>
        <v/>
      </c>
    </row>
    <row r="7" ht="22" customHeight="1">
      <c r="A7" s="7" t="inlineStr">
        <is>
          <t>BE-002</t>
        </is>
      </c>
      <c r="B7" s="7" t="inlineStr">
        <is>
          <t>RET-002</t>
        </is>
      </c>
      <c r="C7" s="7" t="inlineStr">
        <is>
          <t>Accompagnement transition</t>
        </is>
      </c>
      <c r="D7" s="20" t="n">
        <v>45717</v>
      </c>
      <c r="E7" s="7" t="inlineStr">
        <is>
          <t>Trimestrielle</t>
        </is>
      </c>
      <c r="F7" s="24" t="n">
        <v>72</v>
      </c>
      <c r="G7" s="7">
        <f>IF(F7="","",IFERROR(F7-70,""))</f>
        <v/>
      </c>
      <c r="H7" s="7" t="inlineStr">
        <is>
          <t>Élevé</t>
        </is>
      </c>
      <c r="I7" s="7" t="inlineStr">
        <is>
          <t>Modéré</t>
        </is>
      </c>
      <c r="J7" s="7" t="inlineStr">
        <is>
          <t>Groupe de parole</t>
        </is>
      </c>
      <c r="K7" s="7" t="inlineStr">
        <is>
          <t>DRH</t>
        </is>
      </c>
      <c r="L7" s="7" t="inlineStr"/>
      <c r="M7" s="7">
        <f>IF(B7="","",IFERROR(VLOOKUP(B7,'F01 - _Données Retraite'!$A$6:$K$20,2,FALSE)&amp;" "&amp;VLOOKUP(B7,'F01 - _Données Retraite'!$A$6:$K$20,3,FALSE),""))</f>
        <v/>
      </c>
      <c r="N7" s="28">
        <f>IF(B7="","",IFERROR(AVERAGEIF($B$6:$B$115,B7,$F$6:$F$115),0))</f>
        <v/>
      </c>
    </row>
    <row r="8" ht="22" customHeight="1">
      <c r="A8" s="5" t="inlineStr">
        <is>
          <t>BE-003</t>
        </is>
      </c>
      <c r="B8" s="5" t="inlineStr">
        <is>
          <t>RET-003</t>
        </is>
      </c>
      <c r="C8" s="5" t="inlineStr">
        <is>
          <t>Suivi post-retraite</t>
        </is>
      </c>
      <c r="D8" s="19" t="n">
        <v>45672</v>
      </c>
      <c r="E8" s="5" t="inlineStr">
        <is>
          <t>Semestrielle</t>
        </is>
      </c>
      <c r="F8" s="22" t="n">
        <v>85</v>
      </c>
      <c r="G8" s="5">
        <f>IF(F8="","",IFERROR(F8-70,""))</f>
        <v/>
      </c>
      <c r="H8" s="5" t="inlineStr">
        <is>
          <t>Faible</t>
        </is>
      </c>
      <c r="I8" s="5" t="inlineStr">
        <is>
          <t>Faible</t>
        </is>
      </c>
      <c r="J8" s="5" t="inlineStr">
        <is>
          <t>Aucune</t>
        </is>
      </c>
      <c r="K8" s="5" t="inlineStr">
        <is>
          <t>Resp. Retraites</t>
        </is>
      </c>
      <c r="L8" s="5" t="inlineStr"/>
      <c r="M8" s="5">
        <f>IF(B8="","",IFERROR(VLOOKUP(B8,'F01 - _Données Retraite'!$A$6:$K$20,2,FALSE)&amp;" "&amp;VLOOKUP(B8,'F01 - _Données Retraite'!$A$6:$K$20,3,FALSE),""))</f>
        <v/>
      </c>
      <c r="N8" s="27">
        <f>IF(B8="","",IFERROR(AVERAGEIF($B$6:$B$115,B8,$F$6:$F$115),0))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>
        <f>IF(F9="","",IFERROR(F9-70,""))</f>
        <v/>
      </c>
      <c r="H9" s="7" t="n"/>
      <c r="I9" s="7" t="n"/>
      <c r="J9" s="7" t="n"/>
      <c r="K9" s="7" t="n"/>
      <c r="L9" s="7" t="n"/>
      <c r="M9" s="7">
        <f>IF(B9="","",IFERROR(VLOOKUP(B9,'F01 - _Données Retraite'!$A$6:$K$20,2,FALSE)&amp;" "&amp;VLOOKUP(B9,'F01 - _Données Retraite'!$A$6:$K$20,3,FALSE),""))</f>
        <v/>
      </c>
      <c r="N9" s="28">
        <f>IF(B9="","",IFERROR(AVERAGEIF($B$6:$B$115,B9,$F$6:$F$115),0))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>
        <f>IF(F10="","",IFERROR(F10-70,""))</f>
        <v/>
      </c>
      <c r="H10" s="5" t="n"/>
      <c r="I10" s="5" t="n"/>
      <c r="J10" s="5" t="n"/>
      <c r="K10" s="5" t="n"/>
      <c r="L10" s="5" t="n"/>
      <c r="M10" s="5">
        <f>IF(B10="","",IFERROR(VLOOKUP(B10,'F01 - _Données Retraite'!$A$6:$K$20,2,FALSE)&amp;" "&amp;VLOOKUP(B10,'F01 - _Données Retraite'!$A$6:$K$20,3,FALSE),""))</f>
        <v/>
      </c>
      <c r="N10" s="27">
        <f>IF(B10="","",IFERROR(AVERAGEIF($B$6:$B$115,B10,$F$6:$F$115),0))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>
        <f>IF(F11="","",IFERROR(F11-70,""))</f>
        <v/>
      </c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28">
        <f>IF(B11="","",IFERROR(AVERAGEIF($B$6:$B$115,B11,$F$6:$F$115),0))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>
        <f>IF(F12="","",IFERROR(F12-70,""))</f>
        <v/>
      </c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27">
        <f>IF(B12="","",IFERROR(AVERAGEIF($B$6:$B$115,B12,$F$6:$F$115),0))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>
        <f>IF(F13="","",IFERROR(F13-70,""))</f>
        <v/>
      </c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28">
        <f>IF(B13="","",IFERROR(AVERAGEIF($B$6:$B$115,B13,$F$6:$F$115),0))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>
        <f>IF(F14="","",IFERROR(F14-70,""))</f>
        <v/>
      </c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27">
        <f>IF(B14="","",IFERROR(AVERAGEIF($B$6:$B$115,B14,$F$6:$F$115),0))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>
        <f>IF(F15="","",IFERROR(F15-70,""))</f>
        <v/>
      </c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28">
        <f>IF(B15="","",IFERROR(AVERAGEIF($B$6:$B$115,B15,$F$6:$F$115),0))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>
        <f>IF(F16="","",IFERROR(F16-70,""))</f>
        <v/>
      </c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27">
        <f>IF(B16="","",IFERROR(AVERAGEIF($B$6:$B$115,B16,$F$6:$F$115),0))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>
        <f>IF(F17="","",IFERROR(F17-70,""))</f>
        <v/>
      </c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28">
        <f>IF(B17="","",IFERROR(AVERAGEIF($B$6:$B$115,B17,$F$6:$F$115),0))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>
        <f>IF(F18="","",IFERROR(F18-70,""))</f>
        <v/>
      </c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27">
        <f>IF(B18="","",IFERROR(AVERAGEIF($B$6:$B$115,B18,$F$6:$F$115),0))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>
        <f>IF(F19="","",IFERROR(F19-70,""))</f>
        <v/>
      </c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28">
        <f>IF(B19="","",IFERROR(AVERAGEIF($B$6:$B$115,B19,$F$6:$F$115),0))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>
        <f>IF(F20="","",IFERROR(F20-70,""))</f>
        <v/>
      </c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27">
        <f>IF(B20="","",IFERROR(AVERAGEIF($B$6:$B$115,B20,$F$6:$F$115),0))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>
        <f>IF(F21="","",IFERROR(F21-70,""))</f>
        <v/>
      </c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28">
        <f>IF(B21="","",IFERROR(AVERAGEIF($B$6:$B$115,B21,$F$6:$F$115),0))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>
        <f>IF(F22="","",IFERROR(F22-70,""))</f>
        <v/>
      </c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27">
        <f>IF(B22="","",IFERROR(AVERAGEIF($B$6:$B$115,B22,$F$6:$F$115),0))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>
        <f>IF(F23="","",IFERROR(F23-70,""))</f>
        <v/>
      </c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28">
        <f>IF(B23="","",IFERROR(AVERAGEIF($B$6:$B$115,B23,$F$6:$F$115),0))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>
        <f>IF(F24="","",IFERROR(F24-70,""))</f>
        <v/>
      </c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27">
        <f>IF(B24="","",IFERROR(AVERAGEIF($B$6:$B$115,B24,$F$6:$F$115),0))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>
        <f>IF(F25="","",IFERROR(F25-70,""))</f>
        <v/>
      </c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28">
        <f>IF(B25="","",IFERROR(AVERAGEIF($B$6:$B$115,B25,$F$6:$F$115),0))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>
        <f>IF(F26="","",IFERROR(F26-70,""))</f>
        <v/>
      </c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27">
        <f>IF(B26="","",IFERROR(AVERAGEIF($B$6:$B$115,B26,$F$6:$F$115),0))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>
        <f>IF(F27="","",IFERROR(F27-70,""))</f>
        <v/>
      </c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28">
        <f>IF(B27="","",IFERROR(AVERAGEIF($B$6:$B$115,B27,$F$6:$F$115),0))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>
        <f>IF(F28="","",IFERROR(F28-70,""))</f>
        <v/>
      </c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27">
        <f>IF(B28="","",IFERROR(AVERAGEIF($B$6:$B$115,B28,$F$6:$F$115),0))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>
        <f>IF(F29="","",IFERROR(F29-70,""))</f>
        <v/>
      </c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28">
        <f>IF(B29="","",IFERROR(AVERAGEIF($B$6:$B$115,B29,$F$6:$F$115),0))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>
        <f>IF(F30="","",IFERROR(F30-70,""))</f>
        <v/>
      </c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27">
        <f>IF(B30="","",IFERROR(AVERAGEIF($B$6:$B$115,B30,$F$6:$F$115),0))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>
        <f>IF(F31="","",IFERROR(F31-70,""))</f>
        <v/>
      </c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28">
        <f>IF(B31="","",IFERROR(AVERAGEIF($B$6:$B$115,B31,$F$6:$F$115),0))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>
        <f>IF(F32="","",IFERROR(F32-70,""))</f>
        <v/>
      </c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27">
        <f>IF(B32="","",IFERROR(AVERAGEIF($B$6:$B$115,B32,$F$6:$F$115),0))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>
        <f>IF(F33="","",IFERROR(F33-70,""))</f>
        <v/>
      </c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28">
        <f>IF(B33="","",IFERROR(AVERAGEIF($B$6:$B$115,B33,$F$6:$F$115),0))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>
        <f>IF(F34="","",IFERROR(F34-70,""))</f>
        <v/>
      </c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27">
        <f>IF(B34="","",IFERROR(AVERAGEIF($B$6:$B$115,B34,$F$6:$F$115),0))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>
        <f>IF(F35="","",IFERROR(F35-70,""))</f>
        <v/>
      </c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28">
        <f>IF(B35="","",IFERROR(AVERAGEIF($B$6:$B$115,B35,$F$6:$F$115),0))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>
        <f>IF(F36="","",IFERROR(F36-70,""))</f>
        <v/>
      </c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27">
        <f>IF(B36="","",IFERROR(AVERAGEIF($B$6:$B$115,B36,$F$6:$F$115),0))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>
        <f>IF(F37="","",IFERROR(F37-70,""))</f>
        <v/>
      </c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28">
        <f>IF(B37="","",IFERROR(AVERAGEIF($B$6:$B$115,B37,$F$6:$F$115),0))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>
        <f>IF(F38="","",IFERROR(F38-70,""))</f>
        <v/>
      </c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27">
        <f>IF(B38="","",IFERROR(AVERAGEIF($B$6:$B$115,B38,$F$6:$F$115),0))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>
        <f>IF(F39="","",IFERROR(F39-70,""))</f>
        <v/>
      </c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28">
        <f>IF(B39="","",IFERROR(AVERAGEIF($B$6:$B$115,B39,$F$6:$F$115),0))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>
        <f>IF(F40="","",IFERROR(F40-70,""))</f>
        <v/>
      </c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27">
        <f>IF(B40="","",IFERROR(AVERAGEIF($B$6:$B$115,B40,$F$6:$F$115),0))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>
        <f>IF(F41="","",IFERROR(F41-70,""))</f>
        <v/>
      </c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28">
        <f>IF(B41="","",IFERROR(AVERAGEIF($B$6:$B$115,B41,$F$6:$F$115),0))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>
        <f>IF(F42="","",IFERROR(F42-70,""))</f>
        <v/>
      </c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27">
        <f>IF(B42="","",IFERROR(AVERAGEIF($B$6:$B$115,B42,$F$6:$F$115),0))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>
        <f>IF(F43="","",IFERROR(F43-70,""))</f>
        <v/>
      </c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28">
        <f>IF(B43="","",IFERROR(AVERAGEIF($B$6:$B$115,B43,$F$6:$F$115),0))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>
        <f>IF(F44="","",IFERROR(F44-70,""))</f>
        <v/>
      </c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27">
        <f>IF(B44="","",IFERROR(AVERAGEIF($B$6:$B$115,B44,$F$6:$F$115),0))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>
        <f>IF(F45="","",IFERROR(F45-70,""))</f>
        <v/>
      </c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28">
        <f>IF(B45="","",IFERROR(AVERAGEIF($B$6:$B$115,B45,$F$6:$F$115),0))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>
        <f>IF(F46="","",IFERROR(F46-70,""))</f>
        <v/>
      </c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27">
        <f>IF(B46="","",IFERROR(AVERAGEIF($B$6:$B$115,B46,$F$6:$F$115),0))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>
        <f>IF(F47="","",IFERROR(F47-70,""))</f>
        <v/>
      </c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28">
        <f>IF(B47="","",IFERROR(AVERAGEIF($B$6:$B$115,B47,$F$6:$F$115),0))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>
        <f>IF(F48="","",IFERROR(F48-70,""))</f>
        <v/>
      </c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27">
        <f>IF(B48="","",IFERROR(AVERAGEIF($B$6:$B$115,B48,$F$6:$F$115),0))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>
        <f>IF(F49="","",IFERROR(F49-70,""))</f>
        <v/>
      </c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28">
        <f>IF(B49="","",IFERROR(AVERAGEIF($B$6:$B$115,B49,$F$6:$F$115),0))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>
        <f>IF(F50="","",IFERROR(F50-70,""))</f>
        <v/>
      </c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27">
        <f>IF(B50="","",IFERROR(AVERAGEIF($B$6:$B$115,B50,$F$6:$F$115),0))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>
        <f>IF(F51="","",IFERROR(F51-70,""))</f>
        <v/>
      </c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28">
        <f>IF(B51="","",IFERROR(AVERAGEIF($B$6:$B$115,B51,$F$6:$F$115),0))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>
        <f>IF(F52="","",IFERROR(F52-70,""))</f>
        <v/>
      </c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27">
        <f>IF(B52="","",IFERROR(AVERAGEIF($B$6:$B$115,B52,$F$6:$F$115),0))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>
        <f>IF(F53="","",IFERROR(F53-70,""))</f>
        <v/>
      </c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28">
        <f>IF(B53="","",IFERROR(AVERAGEIF($B$6:$B$115,B53,$F$6:$F$115),0))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>
        <f>IF(F54="","",IFERROR(F54-70,""))</f>
        <v/>
      </c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27">
        <f>IF(B54="","",IFERROR(AVERAGEIF($B$6:$B$115,B54,$F$6:$F$115),0))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>
        <f>IF(F55="","",IFERROR(F55-70,""))</f>
        <v/>
      </c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28">
        <f>IF(B55="","",IFERROR(AVERAGEIF($B$6:$B$115,B55,$F$6:$F$115),0))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>
        <f>IF(F56="","",IFERROR(F56-70,""))</f>
        <v/>
      </c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27">
        <f>IF(B56="","",IFERROR(AVERAGEIF($B$6:$B$115,B56,$F$6:$F$115),0))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>
        <f>IF(F57="","",IFERROR(F57-70,""))</f>
        <v/>
      </c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28">
        <f>IF(B57="","",IFERROR(AVERAGEIF($B$6:$B$115,B57,$F$6:$F$115),0))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>
        <f>IF(F58="","",IFERROR(F58-70,""))</f>
        <v/>
      </c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27">
        <f>IF(B58="","",IFERROR(AVERAGEIF($B$6:$B$115,B58,$F$6:$F$115),0))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>
        <f>IF(F59="","",IFERROR(F59-70,""))</f>
        <v/>
      </c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28">
        <f>IF(B59="","",IFERROR(AVERAGEIF($B$6:$B$115,B59,$F$6:$F$115),0))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>
        <f>IF(F60="","",IFERROR(F60-70,""))</f>
        <v/>
      </c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27">
        <f>IF(B60="","",IFERROR(AVERAGEIF($B$6:$B$115,B60,$F$6:$F$115),0))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>
        <f>IF(F61="","",IFERROR(F61-70,""))</f>
        <v/>
      </c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28">
        <f>IF(B61="","",IFERROR(AVERAGEIF($B$6:$B$115,B61,$F$6:$F$115),0))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>
        <f>IF(F62="","",IFERROR(F62-70,""))</f>
        <v/>
      </c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27">
        <f>IF(B62="","",IFERROR(AVERAGEIF($B$6:$B$115,B62,$F$6:$F$115),0))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>
        <f>IF(F63="","",IFERROR(F63-70,""))</f>
        <v/>
      </c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28">
        <f>IF(B63="","",IFERROR(AVERAGEIF($B$6:$B$115,B63,$F$6:$F$115),0))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>
        <f>IF(F64="","",IFERROR(F64-70,""))</f>
        <v/>
      </c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27">
        <f>IF(B64="","",IFERROR(AVERAGEIF($B$6:$B$115,B64,$F$6:$F$115),0))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>
        <f>IF(F65="","",IFERROR(F65-70,""))</f>
        <v/>
      </c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28">
        <f>IF(B65="","",IFERROR(AVERAGEIF($B$6:$B$115,B65,$F$6:$F$115),0))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>
        <f>IF(F66="","",IFERROR(F66-70,""))</f>
        <v/>
      </c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27">
        <f>IF(B66="","",IFERROR(AVERAGEIF($B$6:$B$115,B66,$F$6:$F$115),0))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>
        <f>IF(F67="","",IFERROR(F67-70,""))</f>
        <v/>
      </c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28">
        <f>IF(B67="","",IFERROR(AVERAGEIF($B$6:$B$115,B67,$F$6:$F$115),0))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>
        <f>IF(F68="","",IFERROR(F68-70,""))</f>
        <v/>
      </c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27">
        <f>IF(B68="","",IFERROR(AVERAGEIF($B$6:$B$115,B68,$F$6:$F$115),0))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>
        <f>IF(F69="","",IFERROR(F69-70,""))</f>
        <v/>
      </c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28">
        <f>IF(B69="","",IFERROR(AVERAGEIF($B$6:$B$115,B69,$F$6:$F$115),0))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>
        <f>IF(F70="","",IFERROR(F70-70,""))</f>
        <v/>
      </c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27">
        <f>IF(B70="","",IFERROR(AVERAGEIF($B$6:$B$115,B70,$F$6:$F$115),0))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>
        <f>IF(F71="","",IFERROR(F71-70,""))</f>
        <v/>
      </c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28">
        <f>IF(B71="","",IFERROR(AVERAGEIF($B$6:$B$115,B71,$F$6:$F$115),0))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>
        <f>IF(F72="","",IFERROR(F72-70,""))</f>
        <v/>
      </c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27">
        <f>IF(B72="","",IFERROR(AVERAGEIF($B$6:$B$115,B72,$F$6:$F$115),0))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>
        <f>IF(F73="","",IFERROR(F73-70,""))</f>
        <v/>
      </c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28">
        <f>IF(B73="","",IFERROR(AVERAGEIF($B$6:$B$115,B73,$F$6:$F$115),0))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>
        <f>IF(F74="","",IFERROR(F74-70,""))</f>
        <v/>
      </c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27">
        <f>IF(B74="","",IFERROR(AVERAGEIF($B$6:$B$115,B74,$F$6:$F$115),0))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>
        <f>IF(F75="","",IFERROR(F75-70,""))</f>
        <v/>
      </c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28">
        <f>IF(B75="","",IFERROR(AVERAGEIF($B$6:$B$115,B75,$F$6:$F$115),0))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>
        <f>IF(F76="","",IFERROR(F76-70,""))</f>
        <v/>
      </c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27">
        <f>IF(B76="","",IFERROR(AVERAGEIF($B$6:$B$115,B76,$F$6:$F$115),0))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>
        <f>IF(F77="","",IFERROR(F77-70,""))</f>
        <v/>
      </c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28">
        <f>IF(B77="","",IFERROR(AVERAGEIF($B$6:$B$115,B77,$F$6:$F$115),0))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>
        <f>IF(F78="","",IFERROR(F78-70,""))</f>
        <v/>
      </c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27">
        <f>IF(B78="","",IFERROR(AVERAGEIF($B$6:$B$115,B78,$F$6:$F$115),0))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>
        <f>IF(F79="","",IFERROR(F79-70,""))</f>
        <v/>
      </c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28">
        <f>IF(B79="","",IFERROR(AVERAGEIF($B$6:$B$115,B79,$F$6:$F$115),0))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>
        <f>IF(F80="","",IFERROR(F80-70,""))</f>
        <v/>
      </c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27">
        <f>IF(B80="","",IFERROR(AVERAGEIF($B$6:$B$115,B80,$F$6:$F$115),0))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>
        <f>IF(F81="","",IFERROR(F81-70,""))</f>
        <v/>
      </c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28">
        <f>IF(B81="","",IFERROR(AVERAGEIF($B$6:$B$115,B81,$F$6:$F$115),0))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>
        <f>IF(F82="","",IFERROR(F82-70,""))</f>
        <v/>
      </c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27">
        <f>IF(B82="","",IFERROR(AVERAGEIF($B$6:$B$115,B82,$F$6:$F$115),0))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>
        <f>IF(F83="","",IFERROR(F83-70,""))</f>
        <v/>
      </c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28">
        <f>IF(B83="","",IFERROR(AVERAGEIF($B$6:$B$115,B83,$F$6:$F$115),0))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>
        <f>IF(F84="","",IFERROR(F84-70,""))</f>
        <v/>
      </c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27">
        <f>IF(B84="","",IFERROR(AVERAGEIF($B$6:$B$115,B84,$F$6:$F$115),0))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>
        <f>IF(F85="","",IFERROR(F85-70,""))</f>
        <v/>
      </c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28">
        <f>IF(B85="","",IFERROR(AVERAGEIF($B$6:$B$115,B85,$F$6:$F$115),0))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>
        <f>IF(F86="","",IFERROR(F86-70,""))</f>
        <v/>
      </c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27">
        <f>IF(B86="","",IFERROR(AVERAGEIF($B$6:$B$115,B86,$F$6:$F$115),0))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>
        <f>IF(F87="","",IFERROR(F87-70,""))</f>
        <v/>
      </c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28">
        <f>IF(B87="","",IFERROR(AVERAGEIF($B$6:$B$115,B87,$F$6:$F$115),0))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>
        <f>IF(F88="","",IFERROR(F88-70,""))</f>
        <v/>
      </c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27">
        <f>IF(B88="","",IFERROR(AVERAGEIF($B$6:$B$115,B88,$F$6:$F$115),0))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>
        <f>IF(F89="","",IFERROR(F89-70,""))</f>
        <v/>
      </c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28">
        <f>IF(B89="","",IFERROR(AVERAGEIF($B$6:$B$115,B89,$F$6:$F$115),0))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>
        <f>IF(F90="","",IFERROR(F90-70,""))</f>
        <v/>
      </c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27">
        <f>IF(B90="","",IFERROR(AVERAGEIF($B$6:$B$115,B90,$F$6:$F$115),0))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>
        <f>IF(F91="","",IFERROR(F91-70,""))</f>
        <v/>
      </c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28">
        <f>IF(B91="","",IFERROR(AVERAGEIF($B$6:$B$115,B91,$F$6:$F$115),0))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>
        <f>IF(F92="","",IFERROR(F92-70,""))</f>
        <v/>
      </c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27">
        <f>IF(B92="","",IFERROR(AVERAGEIF($B$6:$B$115,B92,$F$6:$F$115),0))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>
        <f>IF(F93="","",IFERROR(F93-70,""))</f>
        <v/>
      </c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28">
        <f>IF(B93="","",IFERROR(AVERAGEIF($B$6:$B$115,B93,$F$6:$F$115),0))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>
        <f>IF(F94="","",IFERROR(F94-70,""))</f>
        <v/>
      </c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27">
        <f>IF(B94="","",IFERROR(AVERAGEIF($B$6:$B$115,B94,$F$6:$F$115),0))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>
        <f>IF(F95="","",IFERROR(F95-70,""))</f>
        <v/>
      </c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28">
        <f>IF(B95="","",IFERROR(AVERAGEIF($B$6:$B$115,B95,$F$6:$F$115),0))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>
        <f>IF(F96="","",IFERROR(F96-70,""))</f>
        <v/>
      </c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27">
        <f>IF(B96="","",IFERROR(AVERAGEIF($B$6:$B$115,B96,$F$6:$F$115),0))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>
        <f>IF(F97="","",IFERROR(F97-70,""))</f>
        <v/>
      </c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28">
        <f>IF(B97="","",IFERROR(AVERAGEIF($B$6:$B$115,B97,$F$6:$F$115),0))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>
        <f>IF(F98="","",IFERROR(F98-70,""))</f>
        <v/>
      </c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27">
        <f>IF(B98="","",IFERROR(AVERAGEIF($B$6:$B$115,B98,$F$6:$F$115),0))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>
        <f>IF(F99="","",IFERROR(F99-70,""))</f>
        <v/>
      </c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28">
        <f>IF(B99="","",IFERROR(AVERAGEIF($B$6:$B$115,B99,$F$6:$F$115),0))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>
        <f>IF(F100="","",IFERROR(F100-70,""))</f>
        <v/>
      </c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27">
        <f>IF(B100="","",IFERROR(AVERAGEIF($B$6:$B$115,B100,$F$6:$F$115),0))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>
        <f>IF(F101="","",IFERROR(F101-70,""))</f>
        <v/>
      </c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28">
        <f>IF(B101="","",IFERROR(AVERAGEIF($B$6:$B$115,B101,$F$6:$F$115),0))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>
        <f>IF(F102="","",IFERROR(F102-70,""))</f>
        <v/>
      </c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27">
        <f>IF(B102="","",IFERROR(AVERAGEIF($B$6:$B$115,B102,$F$6:$F$115),0))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>
        <f>IF(F103="","",IFERROR(F103-70,""))</f>
        <v/>
      </c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28">
        <f>IF(B103="","",IFERROR(AVERAGEIF($B$6:$B$115,B103,$F$6:$F$115),0))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>
        <f>IF(F104="","",IFERROR(F104-70,""))</f>
        <v/>
      </c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27">
        <f>IF(B104="","",IFERROR(AVERAGEIF($B$6:$B$115,B104,$F$6:$F$115),0))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>
        <f>IF(F105="","",IFERROR(F105-70,""))</f>
        <v/>
      </c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28">
        <f>IF(B105="","",IFERROR(AVERAGEIF($B$6:$B$115,B105,$F$6:$F$115),0))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>
        <f>IF(F106="","",IFERROR(F106-70,""))</f>
        <v/>
      </c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27">
        <f>IF(B106="","",IFERROR(AVERAGEIF($B$6:$B$115,B106,$F$6:$F$115),0))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>
        <f>IF(F107="","",IFERROR(F107-70,""))</f>
        <v/>
      </c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28">
        <f>IF(B107="","",IFERROR(AVERAGEIF($B$6:$B$115,B107,$F$6:$F$115),0))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>
        <f>IF(F108="","",IFERROR(F108-70,""))</f>
        <v/>
      </c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27">
        <f>IF(B108="","",IFERROR(AVERAGEIF($B$6:$B$115,B108,$F$6:$F$115),0))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>
        <f>IF(F109="","",IFERROR(F109-70,""))</f>
        <v/>
      </c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28">
        <f>IF(B109="","",IFERROR(AVERAGEIF($B$6:$B$115,B109,$F$6:$F$115),0))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>
        <f>IF(F110="","",IFERROR(F110-70,""))</f>
        <v/>
      </c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27">
        <f>IF(B110="","",IFERROR(AVERAGEIF($B$6:$B$115,B110,$F$6:$F$115),0))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>
        <f>IF(F111="","",IFERROR(F111-70,""))</f>
        <v/>
      </c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28">
        <f>IF(B111="","",IFERROR(AVERAGEIF($B$6:$B$115,B111,$F$6:$F$115),0))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>
        <f>IF(F112="","",IFERROR(F112-70,""))</f>
        <v/>
      </c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27">
        <f>IF(B112="","",IFERROR(AVERAGEIF($B$6:$B$115,B112,$F$6:$F$115),0))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>
        <f>IF(F113="","",IFERROR(F113-70,""))</f>
        <v/>
      </c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28">
        <f>IF(B113="","",IFERROR(AVERAGEIF($B$6:$B$115,B113,$F$6:$F$115),0))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>
        <f>IF(F114="","",IFERROR(F114-70,""))</f>
        <v/>
      </c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27">
        <f>IF(B114="","",IFERROR(AVERAGEIF($B$6:$B$115,B114,$F$6:$F$115),0))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>
        <f>IF(F115="","",IFERROR(F115-70,""))</f>
        <v/>
      </c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28">
        <f>IF(B115="","",IFERROR(AVERAGEIF($B$6:$B$115,B115,$F$6:$F$115),0))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_Lists'!$V$6:$V$12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_Lists'!$O$6:$O$10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_Lists'!$N$6:$N$10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4" customWidth="1" min="4" max="4"/>
    <col width="16" customWidth="1" min="5" max="5"/>
    <col width="20" customWidth="1" min="6" max="6"/>
    <col width="22" customWidth="1" min="7" max="7"/>
    <col width="20" customWidth="1" min="8" max="8"/>
    <col width="22" customWidth="1" min="9" max="9"/>
    <col width="18" customWidth="1" min="10" max="10"/>
    <col width="18" customWidth="1" min="11" max="11"/>
    <col width="14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9-SUIVI MÉDICAL DES RETRAITÉS ET PRÉ-RETRAITÉS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Médical</t>
        </is>
      </c>
      <c r="B5" s="4" t="inlineStr">
        <is>
          <t>Matricule</t>
        </is>
      </c>
      <c r="C5" s="4" t="inlineStr">
        <is>
          <t>Type Examen</t>
        </is>
      </c>
      <c r="D5" s="4" t="inlineStr">
        <is>
          <t>Date Examen</t>
        </is>
      </c>
      <c r="E5" s="4" t="inlineStr">
        <is>
          <t>Médecin</t>
        </is>
      </c>
      <c r="F5" s="4" t="inlineStr">
        <is>
          <t>Résultat</t>
        </is>
      </c>
      <c r="G5" s="4" t="inlineStr">
        <is>
          <t>Aptitude</t>
        </is>
      </c>
      <c r="H5" s="4" t="inlineStr">
        <is>
          <t>Date Prochain Examen</t>
        </is>
      </c>
      <c r="I5" s="4" t="inlineStr">
        <is>
          <t>Suivi Pathologie</t>
        </is>
      </c>
      <c r="J5" s="4" t="inlineStr">
        <is>
          <t>Traitement en Cours</t>
        </is>
      </c>
      <c r="K5" s="4" t="inlineStr">
        <is>
          <t>Cout Examen (FCFA)</t>
        </is>
      </c>
      <c r="L5" s="4" t="inlineStr">
        <is>
          <t>Statut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MED-001</t>
        </is>
      </c>
      <c r="B6" s="5" t="inlineStr">
        <is>
          <t>RET-001</t>
        </is>
      </c>
      <c r="C6" s="5" t="inlineStr">
        <is>
          <t>Bilan complet</t>
        </is>
      </c>
      <c r="D6" s="19" t="n">
        <v>45667</v>
      </c>
      <c r="E6" s="5" t="inlineStr">
        <is>
          <t>Dr. Koné</t>
        </is>
      </c>
      <c r="F6" s="5" t="inlineStr">
        <is>
          <t>Normal</t>
        </is>
      </c>
      <c r="G6" s="5" t="inlineStr">
        <is>
          <t>Apte</t>
        </is>
      </c>
      <c r="H6" s="19" t="n">
        <v>46032</v>
      </c>
      <c r="I6" s="5" t="inlineStr">
        <is>
          <t>Hypertension légère</t>
        </is>
      </c>
      <c r="J6" s="5" t="inlineStr">
        <is>
          <t>Oui</t>
        </is>
      </c>
      <c r="K6" s="22" t="n">
        <v>85000</v>
      </c>
      <c r="L6" s="5" t="inlineStr">
        <is>
          <t>Validé</t>
        </is>
      </c>
      <c r="M6" s="5">
        <f>IF(B6="","",IFERROR(VLOOKUP(B6,'F01 - _Données Retraite'!$A$6:$K$20,2,FALSE)&amp;" "&amp;VLOOKUP(B6,'F01 - _Données Retraite'!$A$6:$K$20,3,FALSE),""))</f>
        <v/>
      </c>
      <c r="N6" s="25">
        <f>IF(B6="","",IFERROR(SUMIF($B$6:$B$115,B6,$K$6:$K$115),0))</f>
        <v/>
      </c>
    </row>
    <row r="7" ht="22" customHeight="1">
      <c r="A7" s="7" t="inlineStr">
        <is>
          <t>MED-002</t>
        </is>
      </c>
      <c r="B7" s="7" t="inlineStr">
        <is>
          <t>RET-002</t>
        </is>
      </c>
      <c r="C7" s="7" t="inlineStr">
        <is>
          <t>Bilan cardiovasculaire</t>
        </is>
      </c>
      <c r="D7" s="20" t="n">
        <v>45703</v>
      </c>
      <c r="E7" s="7" t="inlineStr">
        <is>
          <t>Dr. Traoré</t>
        </is>
      </c>
      <c r="F7" s="7" t="inlineStr">
        <is>
          <t>Anomalie mineure</t>
        </is>
      </c>
      <c r="G7" s="7" t="inlineStr">
        <is>
          <t>Apte avec restrictions</t>
        </is>
      </c>
      <c r="H7" s="20" t="n">
        <v>45884</v>
      </c>
      <c r="I7" s="7" t="inlineStr">
        <is>
          <t>Cholestérol élevé</t>
        </is>
      </c>
      <c r="J7" s="7" t="inlineStr">
        <is>
          <t>Oui</t>
        </is>
      </c>
      <c r="K7" s="24" t="n">
        <v>120000</v>
      </c>
      <c r="L7" s="7" t="inlineStr">
        <is>
          <t>Validé</t>
        </is>
      </c>
      <c r="M7" s="7">
        <f>IF(B7="","",IFERROR(VLOOKUP(B7,'F01 - _Données Retraite'!$A$6:$K$20,2,FALSE)&amp;" "&amp;VLOOKUP(B7,'F01 - _Données Retraite'!$A$6:$K$20,3,FALSE),""))</f>
        <v/>
      </c>
      <c r="N7" s="26">
        <f>IF(B7="","",IFERROR(SUMIF($B$6:$B$115,B7,$K$6:$K$115),0))</f>
        <v/>
      </c>
    </row>
    <row r="8" ht="22" customHeight="1">
      <c r="A8" s="5" t="inlineStr">
        <is>
          <t>MED-003</t>
        </is>
      </c>
      <c r="B8" s="5" t="inlineStr">
        <is>
          <t>RET-003</t>
        </is>
      </c>
      <c r="C8" s="5" t="inlineStr">
        <is>
          <t>Suivi post-retraite</t>
        </is>
      </c>
      <c r="D8" s="19" t="n">
        <v>45677</v>
      </c>
      <c r="E8" s="5" t="inlineStr">
        <is>
          <t>Dr. Bamba</t>
        </is>
      </c>
      <c r="F8" s="5" t="inlineStr">
        <is>
          <t>Normal</t>
        </is>
      </c>
      <c r="G8" s="5" t="inlineStr">
        <is>
          <t>Apte</t>
        </is>
      </c>
      <c r="H8" s="19" t="n">
        <v>46042</v>
      </c>
      <c r="I8" s="5" t="inlineStr">
        <is>
          <t>Aucune</t>
        </is>
      </c>
      <c r="J8" s="5" t="inlineStr">
        <is>
          <t>Non</t>
        </is>
      </c>
      <c r="K8" s="22" t="n">
        <v>45000</v>
      </c>
      <c r="L8" s="5" t="inlineStr">
        <is>
          <t>Validé</t>
        </is>
      </c>
      <c r="M8" s="5">
        <f>IF(B8="","",IFERROR(VLOOKUP(B8,'F01 - _Données Retraite'!$A$6:$K$20,2,FALSE)&amp;" "&amp;VLOOKUP(B8,'F01 - _Données Retraite'!$A$6:$K$20,3,FALSE),""))</f>
        <v/>
      </c>
      <c r="N8" s="25">
        <f>IF(B8="","",IFERROR(SUMIF($B$6:$B$115,B8,$K$6:$K$115),0))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>
        <f>IF(B9="","",IFERROR(VLOOKUP(B9,'F01 - _Données Retraite'!$A$6:$K$20,2,FALSE)&amp;" "&amp;VLOOKUP(B9,'F01 - _Données Retraite'!$A$6:$K$20,3,FALSE),""))</f>
        <v/>
      </c>
      <c r="N9" s="26">
        <f>IF(B9="","",IFERROR(SUMIF($B$6:$B$115,B9,$K$6:$K$115),0))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IF(B10="","",IFERROR(VLOOKUP(B10,'F01 - _Données Retraite'!$A$6:$K$20,2,FALSE)&amp;" "&amp;VLOOKUP(B10,'F01 - _Données Retraite'!$A$6:$K$20,3,FALSE),""))</f>
        <v/>
      </c>
      <c r="N10" s="25">
        <f>IF(B10="","",IFERROR(SUMIF($B$6:$B$115,B10,$K$6:$K$115),0))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26">
        <f>IF(B11="","",IFERROR(SUMIF($B$6:$B$115,B11,$K$6:$K$115),0))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25">
        <f>IF(B12="","",IFERROR(SUMIF($B$6:$B$115,B12,$K$6:$K$115),0))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26">
        <f>IF(B13="","",IFERROR(SUMIF($B$6:$B$115,B13,$K$6:$K$115),0))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25">
        <f>IF(B14="","",IFERROR(SUMIF($B$6:$B$115,B14,$K$6:$K$115),0))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26">
        <f>IF(B15="","",IFERROR(SUMIF($B$6:$B$115,B15,$K$6:$K$115),0))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25">
        <f>IF(B16="","",IFERROR(SUMIF($B$6:$B$115,B16,$K$6:$K$115),0))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26">
        <f>IF(B17="","",IFERROR(SUMIF($B$6:$B$115,B17,$K$6:$K$115),0))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25">
        <f>IF(B18="","",IFERROR(SUMIF($B$6:$B$115,B18,$K$6:$K$115),0))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26">
        <f>IF(B19="","",IFERROR(SUMIF($B$6:$B$115,B19,$K$6:$K$115),0))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25">
        <f>IF(B20="","",IFERROR(SUMIF($B$6:$B$115,B20,$K$6:$K$115),0))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26">
        <f>IF(B21="","",IFERROR(SUMIF($B$6:$B$115,B21,$K$6:$K$115),0))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25">
        <f>IF(B22="","",IFERROR(SUMIF($B$6:$B$115,B22,$K$6:$K$115),0))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26">
        <f>IF(B23="","",IFERROR(SUMIF($B$6:$B$115,B23,$K$6:$K$115),0))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25">
        <f>IF(B24="","",IFERROR(SUMIF($B$6:$B$115,B24,$K$6:$K$115),0))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26">
        <f>IF(B25="","",IFERROR(SUMIF($B$6:$B$115,B25,$K$6:$K$115),0))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25">
        <f>IF(B26="","",IFERROR(SUMIF($B$6:$B$115,B26,$K$6:$K$115),0))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26">
        <f>IF(B27="","",IFERROR(SUMIF($B$6:$B$115,B27,$K$6:$K$115),0))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25">
        <f>IF(B28="","",IFERROR(SUMIF($B$6:$B$115,B28,$K$6:$K$115),0))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26">
        <f>IF(B29="","",IFERROR(SUMIF($B$6:$B$115,B29,$K$6:$K$115),0))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25">
        <f>IF(B30="","",IFERROR(SUMIF($B$6:$B$115,B30,$K$6:$K$115),0))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26">
        <f>IF(B31="","",IFERROR(SUMIF($B$6:$B$115,B31,$K$6:$K$115),0))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25">
        <f>IF(B32="","",IFERROR(SUMIF($B$6:$B$115,B32,$K$6:$K$115),0))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26">
        <f>IF(B33="","",IFERROR(SUMIF($B$6:$B$115,B33,$K$6:$K$115),0))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25">
        <f>IF(B34="","",IFERROR(SUMIF($B$6:$B$115,B34,$K$6:$K$115),0))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26">
        <f>IF(B35="","",IFERROR(SUMIF($B$6:$B$115,B35,$K$6:$K$115),0))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25">
        <f>IF(B36="","",IFERROR(SUMIF($B$6:$B$115,B36,$K$6:$K$115),0))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26">
        <f>IF(B37="","",IFERROR(SUMIF($B$6:$B$115,B37,$K$6:$K$115),0))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25">
        <f>IF(B38="","",IFERROR(SUMIF($B$6:$B$115,B38,$K$6:$K$115),0))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26">
        <f>IF(B39="","",IFERROR(SUMIF($B$6:$B$115,B39,$K$6:$K$115),0))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25">
        <f>IF(B40="","",IFERROR(SUMIF($B$6:$B$115,B40,$K$6:$K$115),0))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26">
        <f>IF(B41="","",IFERROR(SUMIF($B$6:$B$115,B41,$K$6:$K$115),0))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25">
        <f>IF(B42="","",IFERROR(SUMIF($B$6:$B$115,B42,$K$6:$K$115),0))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26">
        <f>IF(B43="","",IFERROR(SUMIF($B$6:$B$115,B43,$K$6:$K$115),0))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25">
        <f>IF(B44="","",IFERROR(SUMIF($B$6:$B$115,B44,$K$6:$K$115),0))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26">
        <f>IF(B45="","",IFERROR(SUMIF($B$6:$B$115,B45,$K$6:$K$115),0))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25">
        <f>IF(B46="","",IFERROR(SUMIF($B$6:$B$115,B46,$K$6:$K$115),0))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26">
        <f>IF(B47="","",IFERROR(SUMIF($B$6:$B$115,B47,$K$6:$K$115),0))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25">
        <f>IF(B48="","",IFERROR(SUMIF($B$6:$B$115,B48,$K$6:$K$115),0))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26">
        <f>IF(B49="","",IFERROR(SUMIF($B$6:$B$115,B49,$K$6:$K$115),0))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25">
        <f>IF(B50="","",IFERROR(SUMIF($B$6:$B$115,B50,$K$6:$K$115),0))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26">
        <f>IF(B51="","",IFERROR(SUMIF($B$6:$B$115,B51,$K$6:$K$115),0))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25">
        <f>IF(B52="","",IFERROR(SUMIF($B$6:$B$115,B52,$K$6:$K$115),0))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26">
        <f>IF(B53="","",IFERROR(SUMIF($B$6:$B$115,B53,$K$6:$K$115),0))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25">
        <f>IF(B54="","",IFERROR(SUMIF($B$6:$B$115,B54,$K$6:$K$115),0))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26">
        <f>IF(B55="","",IFERROR(SUMIF($B$6:$B$115,B55,$K$6:$K$115),0))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25">
        <f>IF(B56="","",IFERROR(SUMIF($B$6:$B$115,B56,$K$6:$K$115),0))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26">
        <f>IF(B57="","",IFERROR(SUMIF($B$6:$B$115,B57,$K$6:$K$115),0))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25">
        <f>IF(B58="","",IFERROR(SUMIF($B$6:$B$115,B58,$K$6:$K$115),0))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26">
        <f>IF(B59="","",IFERROR(SUMIF($B$6:$B$115,B59,$K$6:$K$115),0))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25">
        <f>IF(B60="","",IFERROR(SUMIF($B$6:$B$115,B60,$K$6:$K$115),0))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26">
        <f>IF(B61="","",IFERROR(SUMIF($B$6:$B$115,B61,$K$6:$K$115),0))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25">
        <f>IF(B62="","",IFERROR(SUMIF($B$6:$B$115,B62,$K$6:$K$115),0))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26">
        <f>IF(B63="","",IFERROR(SUMIF($B$6:$B$115,B63,$K$6:$K$115),0))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25">
        <f>IF(B64="","",IFERROR(SUMIF($B$6:$B$115,B64,$K$6:$K$115),0))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26">
        <f>IF(B65="","",IFERROR(SUMIF($B$6:$B$115,B65,$K$6:$K$115),0))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25">
        <f>IF(B66="","",IFERROR(SUMIF($B$6:$B$115,B66,$K$6:$K$115),0))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26">
        <f>IF(B67="","",IFERROR(SUMIF($B$6:$B$115,B67,$K$6:$K$115),0))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25">
        <f>IF(B68="","",IFERROR(SUMIF($B$6:$B$115,B68,$K$6:$K$115),0))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26">
        <f>IF(B69="","",IFERROR(SUMIF($B$6:$B$115,B69,$K$6:$K$115),0))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25">
        <f>IF(B70="","",IFERROR(SUMIF($B$6:$B$115,B70,$K$6:$K$115),0))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26">
        <f>IF(B71="","",IFERROR(SUMIF($B$6:$B$115,B71,$K$6:$K$115),0))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25">
        <f>IF(B72="","",IFERROR(SUMIF($B$6:$B$115,B72,$K$6:$K$115),0))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26">
        <f>IF(B73="","",IFERROR(SUMIF($B$6:$B$115,B73,$K$6:$K$115),0))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25">
        <f>IF(B74="","",IFERROR(SUMIF($B$6:$B$115,B74,$K$6:$K$115),0))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26">
        <f>IF(B75="","",IFERROR(SUMIF($B$6:$B$115,B75,$K$6:$K$115),0))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25">
        <f>IF(B76="","",IFERROR(SUMIF($B$6:$B$115,B76,$K$6:$K$115),0))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26">
        <f>IF(B77="","",IFERROR(SUMIF($B$6:$B$115,B77,$K$6:$K$115),0))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25">
        <f>IF(B78="","",IFERROR(SUMIF($B$6:$B$115,B78,$K$6:$K$115),0))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26">
        <f>IF(B79="","",IFERROR(SUMIF($B$6:$B$115,B79,$K$6:$K$115),0))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25">
        <f>IF(B80="","",IFERROR(SUMIF($B$6:$B$115,B80,$K$6:$K$115),0))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26">
        <f>IF(B81="","",IFERROR(SUMIF($B$6:$B$115,B81,$K$6:$K$115),0))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25">
        <f>IF(B82="","",IFERROR(SUMIF($B$6:$B$115,B82,$K$6:$K$115),0))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26">
        <f>IF(B83="","",IFERROR(SUMIF($B$6:$B$115,B83,$K$6:$K$115),0))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25">
        <f>IF(B84="","",IFERROR(SUMIF($B$6:$B$115,B84,$K$6:$K$115),0))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26">
        <f>IF(B85="","",IFERROR(SUMIF($B$6:$B$115,B85,$K$6:$K$115),0))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25">
        <f>IF(B86="","",IFERROR(SUMIF($B$6:$B$115,B86,$K$6:$K$115),0))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26">
        <f>IF(B87="","",IFERROR(SUMIF($B$6:$B$115,B87,$K$6:$K$115),0))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25">
        <f>IF(B88="","",IFERROR(SUMIF($B$6:$B$115,B88,$K$6:$K$115),0))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26">
        <f>IF(B89="","",IFERROR(SUMIF($B$6:$B$115,B89,$K$6:$K$115),0))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25">
        <f>IF(B90="","",IFERROR(SUMIF($B$6:$B$115,B90,$K$6:$K$115),0))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26">
        <f>IF(B91="","",IFERROR(SUMIF($B$6:$B$115,B91,$K$6:$K$115),0))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25">
        <f>IF(B92="","",IFERROR(SUMIF($B$6:$B$115,B92,$K$6:$K$115),0))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26">
        <f>IF(B93="","",IFERROR(SUMIF($B$6:$B$115,B93,$K$6:$K$115),0))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25">
        <f>IF(B94="","",IFERROR(SUMIF($B$6:$B$115,B94,$K$6:$K$115),0))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26">
        <f>IF(B95="","",IFERROR(SUMIF($B$6:$B$115,B95,$K$6:$K$115),0))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25">
        <f>IF(B96="","",IFERROR(SUMIF($B$6:$B$115,B96,$K$6:$K$115),0))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26">
        <f>IF(B97="","",IFERROR(SUMIF($B$6:$B$115,B97,$K$6:$K$115),0))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25">
        <f>IF(B98="","",IFERROR(SUMIF($B$6:$B$115,B98,$K$6:$K$115),0))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26">
        <f>IF(B99="","",IFERROR(SUMIF($B$6:$B$115,B99,$K$6:$K$115),0))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25">
        <f>IF(B100="","",IFERROR(SUMIF($B$6:$B$115,B100,$K$6:$K$115),0))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26">
        <f>IF(B101="","",IFERROR(SUMIF($B$6:$B$115,B101,$K$6:$K$115),0))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25">
        <f>IF(B102="","",IFERROR(SUMIF($B$6:$B$115,B102,$K$6:$K$115),0))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26">
        <f>IF(B103="","",IFERROR(SUMIF($B$6:$B$115,B103,$K$6:$K$115),0))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25">
        <f>IF(B104="","",IFERROR(SUMIF($B$6:$B$115,B104,$K$6:$K$115),0))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26">
        <f>IF(B105="","",IFERROR(SUMIF($B$6:$B$115,B105,$K$6:$K$115),0))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25">
        <f>IF(B106="","",IFERROR(SUMIF($B$6:$B$115,B106,$K$6:$K$115),0))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26">
        <f>IF(B107="","",IFERROR(SUMIF($B$6:$B$115,B107,$K$6:$K$115),0))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25">
        <f>IF(B108="","",IFERROR(SUMIF($B$6:$B$115,B108,$K$6:$K$115),0))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26">
        <f>IF(B109="","",IFERROR(SUMIF($B$6:$B$115,B109,$K$6:$K$115),0))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25">
        <f>IF(B110="","",IFERROR(SUMIF($B$6:$B$115,B110,$K$6:$K$115),0))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26">
        <f>IF(B111="","",IFERROR(SUMIF($B$6:$B$115,B111,$K$6:$K$115),0))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25">
        <f>IF(B112="","",IFERROR(SUMIF($B$6:$B$115,B112,$K$6:$K$115),0))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26">
        <f>IF(B113="","",IFERROR(SUMIF($B$6:$B$115,B113,$K$6:$K$115),0))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25">
        <f>IF(B114="","",IFERROR(SUMIF($B$6:$B$115,B114,$K$6:$K$115),0))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26">
        <f>IF(B115="","",IFERROR(SUMIF($B$6:$B$115,B115,$K$6:$K$115),0))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_Lists'!$I$6:$I$13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_Lists'!$R$6:$R$9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8" customWidth="1" min="4" max="4"/>
    <col width="20" customWidth="1" min="5" max="5"/>
    <col width="20" customWidth="1" min="6" max="6"/>
    <col width="22" customWidth="1" min="7" max="7"/>
    <col width="14" customWidth="1" min="8" max="8"/>
    <col width="26" customWidth="1" min="9" max="9"/>
    <col width="20" customWidth="1" min="10" max="10"/>
    <col width="16" customWidth="1" min="11" max="11"/>
    <col width="18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10-GESTION DE LA SUCCESSION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Succ.</t>
        </is>
      </c>
      <c r="B5" s="4" t="inlineStr">
        <is>
          <t>Matricule Sortant</t>
        </is>
      </c>
      <c r="C5" s="4" t="inlineStr">
        <is>
          <t>Poste Libéré</t>
        </is>
      </c>
      <c r="D5" s="4" t="inlineStr">
        <is>
          <t>Département</t>
        </is>
      </c>
      <c r="E5" s="4" t="inlineStr">
        <is>
          <t>Matricule Successeur</t>
        </is>
      </c>
      <c r="F5" s="4" t="inlineStr">
        <is>
          <t>Nom Successeur</t>
        </is>
      </c>
      <c r="G5" s="4" t="inlineStr">
        <is>
          <t>Date Prise de Fonction</t>
        </is>
      </c>
      <c r="H5" s="4" t="inlineStr">
        <is>
          <t>Type Succession</t>
        </is>
      </c>
      <c r="I5" s="4" t="inlineStr">
        <is>
          <t>Formation Requise</t>
        </is>
      </c>
      <c r="J5" s="4" t="inlineStr">
        <is>
          <t>Durée Transition (mois)</t>
        </is>
      </c>
      <c r="K5" s="4" t="inlineStr">
        <is>
          <t>Évaluation</t>
        </is>
      </c>
      <c r="L5" s="4" t="inlineStr">
        <is>
          <t>Statut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SUCC-001</t>
        </is>
      </c>
      <c r="B6" s="5" t="inlineStr">
        <is>
          <t>RET-001</t>
        </is>
      </c>
      <c r="C6" s="5" t="inlineStr">
        <is>
          <t>DG Adjoint</t>
        </is>
      </c>
      <c r="D6" s="5" t="inlineStr">
        <is>
          <t>Direction Générale</t>
        </is>
      </c>
      <c r="E6" s="5" t="inlineStr">
        <is>
          <t>SUC-001</t>
        </is>
      </c>
      <c r="F6" s="5" t="inlineStr">
        <is>
          <t>Koné Ibrahim</t>
        </is>
      </c>
      <c r="G6" s="19" t="n">
        <v>45839</v>
      </c>
      <c r="H6" s="5" t="inlineStr">
        <is>
          <t>Interne</t>
        </is>
      </c>
      <c r="I6" s="5" t="inlineStr">
        <is>
          <t>Leadership stratégique</t>
        </is>
      </c>
      <c r="J6" s="22" t="n">
        <v>6</v>
      </c>
      <c r="K6" s="5" t="inlineStr">
        <is>
          <t>En attente</t>
        </is>
      </c>
      <c r="L6" s="5" t="inlineStr">
        <is>
          <t>Planifiée</t>
        </is>
      </c>
      <c r="M6" s="5">
        <f>IF(B6="","",IFERROR(VLOOKUP(B6,'F01 - _Données Retraite'!$A$6:$K$20,2,FALSE)&amp;" "&amp;VLOOKUP(B6,'F01 - _Données Retraite'!$A$6:$K$20,3,FALSE),""))</f>
        <v/>
      </c>
      <c r="N6" s="5">
        <f>IF(A6="","",IF(AND(D6&lt;&gt;"",E6&lt;&gt;""),"SUCCESSEUR IDENTIFIÉ","SANS SUCCESSEUR"))</f>
        <v/>
      </c>
    </row>
    <row r="7" ht="22" customHeight="1">
      <c r="A7" s="7" t="inlineStr">
        <is>
          <t>SUCC-002</t>
        </is>
      </c>
      <c r="B7" s="7" t="inlineStr">
        <is>
          <t>RET-002</t>
        </is>
      </c>
      <c r="C7" s="7" t="inlineStr">
        <is>
          <t>Dir. Financière</t>
        </is>
      </c>
      <c r="D7" s="7" t="inlineStr">
        <is>
          <t>Finance &amp; Comptabilité</t>
        </is>
      </c>
      <c r="E7" s="7" t="inlineStr">
        <is>
          <t>SUC-002</t>
        </is>
      </c>
      <c r="F7" s="7" t="inlineStr">
        <is>
          <t>Diallo Aminata</t>
        </is>
      </c>
      <c r="G7" s="20" t="n">
        <v>46054</v>
      </c>
      <c r="H7" s="7" t="inlineStr">
        <is>
          <t>Interne</t>
        </is>
      </c>
      <c r="I7" s="7" t="inlineStr">
        <is>
          <t>Contrôle de gestion avancé</t>
        </is>
      </c>
      <c r="J7" s="24" t="n">
        <v>3</v>
      </c>
      <c r="K7" s="7" t="inlineStr">
        <is>
          <t>Non</t>
        </is>
      </c>
      <c r="L7" s="7" t="inlineStr">
        <is>
          <t>En préparation</t>
        </is>
      </c>
      <c r="M7" s="7">
        <f>IF(B7="","",IFERROR(VLOOKUP(B7,'F01 - _Données Retraite'!$A$6:$K$20,2,FALSE)&amp;" "&amp;VLOOKUP(B7,'F01 - _Données Retraite'!$A$6:$K$20,3,FALSE),""))</f>
        <v/>
      </c>
      <c r="N7" s="7">
        <f>IF(A7="","",IF(AND(D7&lt;&gt;"",E7&lt;&gt;""),"SUCCESSEUR IDENTIFIÉ","SANS SUCCESSEUR"))</f>
        <v/>
      </c>
    </row>
    <row r="8" ht="22" customHeight="1">
      <c r="A8" s="5" t="inlineStr">
        <is>
          <t>SUCC-003</t>
        </is>
      </c>
      <c r="B8" s="5" t="inlineStr">
        <is>
          <t>RET-003</t>
        </is>
      </c>
      <c r="C8" s="5" t="inlineStr">
        <is>
          <t>DRH Senior</t>
        </is>
      </c>
      <c r="D8" s="5" t="inlineStr">
        <is>
          <t>Ressources Humaines</t>
        </is>
      </c>
      <c r="E8" s="5" t="inlineStr"/>
      <c r="F8" s="5" t="inlineStr"/>
      <c r="G8" s="5" t="n"/>
      <c r="H8" s="5" t="inlineStr">
        <is>
          <t>Externe</t>
        </is>
      </c>
      <c r="I8" s="5" t="inlineStr">
        <is>
          <t>Management RH complet</t>
        </is>
      </c>
      <c r="J8" s="22" t="n">
        <v>0</v>
      </c>
      <c r="K8" s="5" t="inlineStr">
        <is>
          <t>Non</t>
        </is>
      </c>
      <c r="L8" s="5" t="inlineStr">
        <is>
          <t>Non commencé</t>
        </is>
      </c>
      <c r="M8" s="5">
        <f>IF(B8="","",IFERROR(VLOOKUP(B8,'F01 - _Données Retraite'!$A$6:$K$20,2,FALSE)&amp;" "&amp;VLOOKUP(B8,'F01 - _Données Retraite'!$A$6:$K$20,3,FALSE),""))</f>
        <v/>
      </c>
      <c r="N8" s="5">
        <f>IF(A8="","",IF(AND(D8&lt;&gt;"",E8&lt;&gt;""),"SUCCESSEUR IDENTIFIÉ","SANS SUCCESSEUR"))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>
        <f>IF(B9="","",IFERROR(VLOOKUP(B9,'F01 - _Données Retraite'!$A$6:$K$20,2,FALSE)&amp;" "&amp;VLOOKUP(B9,'F01 - _Données Retraite'!$A$6:$K$20,3,FALSE),""))</f>
        <v/>
      </c>
      <c r="N9" s="7">
        <f>IF(A9="","",IF(AND(D9&lt;&gt;"",E9&lt;&gt;""),"SUCCESSEUR IDENTIFIÉ","SANS SUCCESSEUR"))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IF(B10="","",IFERROR(VLOOKUP(B10,'F01 - _Données Retraite'!$A$6:$K$20,2,FALSE)&amp;" "&amp;VLOOKUP(B10,'F01 - _Données Retraite'!$A$6:$K$20,3,FALSE),""))</f>
        <v/>
      </c>
      <c r="N10" s="5">
        <f>IF(A10="","",IF(AND(D10&lt;&gt;"",E10&lt;&gt;""),"SUCCESSEUR IDENTIFIÉ","SANS SUCCESSEUR"))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7">
        <f>IF(A11="","",IF(AND(D11&lt;&gt;"",E11&lt;&gt;""),"SUCCESSEUR IDENTIFIÉ","SANS SUCCESSEUR"))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5">
        <f>IF(A12="","",IF(AND(D12&lt;&gt;"",E12&lt;&gt;""),"SUCCESSEUR IDENTIFIÉ","SANS SUCCESSEUR"))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7">
        <f>IF(A13="","",IF(AND(D13&lt;&gt;"",E13&lt;&gt;""),"SUCCESSEUR IDENTIFIÉ","SANS SUCCESSEUR"))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5">
        <f>IF(A14="","",IF(AND(D14&lt;&gt;"",E14&lt;&gt;""),"SUCCESSEUR IDENTIFIÉ","SANS SUCCESSEUR"))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7">
        <f>IF(A15="","",IF(AND(D15&lt;&gt;"",E15&lt;&gt;""),"SUCCESSEUR IDENTIFIÉ","SANS SUCCESSEUR"))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5">
        <f>IF(A16="","",IF(AND(D16&lt;&gt;"",E16&lt;&gt;""),"SUCCESSEUR IDENTIFIÉ","SANS SUCCESSEUR"))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7">
        <f>IF(A17="","",IF(AND(D17&lt;&gt;"",E17&lt;&gt;""),"SUCCESSEUR IDENTIFIÉ","SANS SUCCESSEUR"))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5">
        <f>IF(A18="","",IF(AND(D18&lt;&gt;"",E18&lt;&gt;""),"SUCCESSEUR IDENTIFIÉ","SANS SUCCESSEUR"))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7">
        <f>IF(A19="","",IF(AND(D19&lt;&gt;"",E19&lt;&gt;""),"SUCCESSEUR IDENTIFIÉ","SANS SUCCESSEUR"))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5">
        <f>IF(A20="","",IF(AND(D20&lt;&gt;"",E20&lt;&gt;""),"SUCCESSEUR IDENTIFIÉ","SANS SUCCESSEUR"))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7">
        <f>IF(A21="","",IF(AND(D21&lt;&gt;"",E21&lt;&gt;""),"SUCCESSEUR IDENTIFIÉ","SANS SUCCESSEUR"))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5">
        <f>IF(A22="","",IF(AND(D22&lt;&gt;"",E22&lt;&gt;""),"SUCCESSEUR IDENTIFIÉ","SANS SUCCESSEUR"))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7">
        <f>IF(A23="","",IF(AND(D23&lt;&gt;"",E23&lt;&gt;""),"SUCCESSEUR IDENTIFIÉ","SANS SUCCESSEUR"))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5">
        <f>IF(A24="","",IF(AND(D24&lt;&gt;"",E24&lt;&gt;""),"SUCCESSEUR IDENTIFIÉ","SANS SUCCESSEUR"))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7">
        <f>IF(A25="","",IF(AND(D25&lt;&gt;"",E25&lt;&gt;""),"SUCCESSEUR IDENTIFIÉ","SANS SUCCESSEUR"))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5">
        <f>IF(A26="","",IF(AND(D26&lt;&gt;"",E26&lt;&gt;""),"SUCCESSEUR IDENTIFIÉ","SANS SUCCESSEUR"))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7">
        <f>IF(A27="","",IF(AND(D27&lt;&gt;"",E27&lt;&gt;""),"SUCCESSEUR IDENTIFIÉ","SANS SUCCESSEUR"))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5">
        <f>IF(A28="","",IF(AND(D28&lt;&gt;"",E28&lt;&gt;""),"SUCCESSEUR IDENTIFIÉ","SANS SUCCESSEUR"))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7">
        <f>IF(A29="","",IF(AND(D29&lt;&gt;"",E29&lt;&gt;""),"SUCCESSEUR IDENTIFIÉ","SANS SUCCESSEUR"))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5">
        <f>IF(A30="","",IF(AND(D30&lt;&gt;"",E30&lt;&gt;""),"SUCCESSEUR IDENTIFIÉ","SANS SUCCESSEUR"))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7">
        <f>IF(A31="","",IF(AND(D31&lt;&gt;"",E31&lt;&gt;""),"SUCCESSEUR IDENTIFIÉ","SANS SUCCESSEUR"))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5">
        <f>IF(A32="","",IF(AND(D32&lt;&gt;"",E32&lt;&gt;""),"SUCCESSEUR IDENTIFIÉ","SANS SUCCESSEUR"))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7">
        <f>IF(A33="","",IF(AND(D33&lt;&gt;"",E33&lt;&gt;""),"SUCCESSEUR IDENTIFIÉ","SANS SUCCESSEUR"))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5">
        <f>IF(A34="","",IF(AND(D34&lt;&gt;"",E34&lt;&gt;""),"SUCCESSEUR IDENTIFIÉ","SANS SUCCESSEUR"))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7">
        <f>IF(A35="","",IF(AND(D35&lt;&gt;"",E35&lt;&gt;""),"SUCCESSEUR IDENTIFIÉ","SANS SUCCESSEUR"))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5">
        <f>IF(A36="","",IF(AND(D36&lt;&gt;"",E36&lt;&gt;""),"SUCCESSEUR IDENTIFIÉ","SANS SUCCESSEUR"))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7">
        <f>IF(A37="","",IF(AND(D37&lt;&gt;"",E37&lt;&gt;""),"SUCCESSEUR IDENTIFIÉ","SANS SUCCESSEUR"))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5">
        <f>IF(A38="","",IF(AND(D38&lt;&gt;"",E38&lt;&gt;""),"SUCCESSEUR IDENTIFIÉ","SANS SUCCESSEUR"))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7">
        <f>IF(A39="","",IF(AND(D39&lt;&gt;"",E39&lt;&gt;""),"SUCCESSEUR IDENTIFIÉ","SANS SUCCESSEUR"))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5">
        <f>IF(A40="","",IF(AND(D40&lt;&gt;"",E40&lt;&gt;""),"SUCCESSEUR IDENTIFIÉ","SANS SUCCESSEUR"))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7">
        <f>IF(A41="","",IF(AND(D41&lt;&gt;"",E41&lt;&gt;""),"SUCCESSEUR IDENTIFIÉ","SANS SUCCESSEUR"))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5">
        <f>IF(A42="","",IF(AND(D42&lt;&gt;"",E42&lt;&gt;""),"SUCCESSEUR IDENTIFIÉ","SANS SUCCESSEUR"))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7">
        <f>IF(A43="","",IF(AND(D43&lt;&gt;"",E43&lt;&gt;""),"SUCCESSEUR IDENTIFIÉ","SANS SUCCESSEUR"))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5">
        <f>IF(A44="","",IF(AND(D44&lt;&gt;"",E44&lt;&gt;""),"SUCCESSEUR IDENTIFIÉ","SANS SUCCESSEUR"))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7">
        <f>IF(A45="","",IF(AND(D45&lt;&gt;"",E45&lt;&gt;""),"SUCCESSEUR IDENTIFIÉ","SANS SUCCESSEUR"))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5">
        <f>IF(A46="","",IF(AND(D46&lt;&gt;"",E46&lt;&gt;""),"SUCCESSEUR IDENTIFIÉ","SANS SUCCESSEUR"))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7">
        <f>IF(A47="","",IF(AND(D47&lt;&gt;"",E47&lt;&gt;""),"SUCCESSEUR IDENTIFIÉ","SANS SUCCESSEUR"))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5">
        <f>IF(A48="","",IF(AND(D48&lt;&gt;"",E48&lt;&gt;""),"SUCCESSEUR IDENTIFIÉ","SANS SUCCESSEUR"))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7">
        <f>IF(A49="","",IF(AND(D49&lt;&gt;"",E49&lt;&gt;""),"SUCCESSEUR IDENTIFIÉ","SANS SUCCESSEUR"))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5">
        <f>IF(A50="","",IF(AND(D50&lt;&gt;"",E50&lt;&gt;""),"SUCCESSEUR IDENTIFIÉ","SANS SUCCESSEUR"))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7">
        <f>IF(A51="","",IF(AND(D51&lt;&gt;"",E51&lt;&gt;""),"SUCCESSEUR IDENTIFIÉ","SANS SUCCESSEUR"))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5">
        <f>IF(A52="","",IF(AND(D52&lt;&gt;"",E52&lt;&gt;""),"SUCCESSEUR IDENTIFIÉ","SANS SUCCESSEUR"))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7">
        <f>IF(A53="","",IF(AND(D53&lt;&gt;"",E53&lt;&gt;""),"SUCCESSEUR IDENTIFIÉ","SANS SUCCESSEUR"))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5">
        <f>IF(A54="","",IF(AND(D54&lt;&gt;"",E54&lt;&gt;""),"SUCCESSEUR IDENTIFIÉ","SANS SUCCESSEUR"))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7">
        <f>IF(A55="","",IF(AND(D55&lt;&gt;"",E55&lt;&gt;""),"SUCCESSEUR IDENTIFIÉ","SANS SUCCESSEUR"))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5">
        <f>IF(A56="","",IF(AND(D56&lt;&gt;"",E56&lt;&gt;""),"SUCCESSEUR IDENTIFIÉ","SANS SUCCESSEUR"))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7">
        <f>IF(A57="","",IF(AND(D57&lt;&gt;"",E57&lt;&gt;""),"SUCCESSEUR IDENTIFIÉ","SANS SUCCESSEUR"))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5">
        <f>IF(A58="","",IF(AND(D58&lt;&gt;"",E58&lt;&gt;""),"SUCCESSEUR IDENTIFIÉ","SANS SUCCESSEUR"))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7">
        <f>IF(A59="","",IF(AND(D59&lt;&gt;"",E59&lt;&gt;""),"SUCCESSEUR IDENTIFIÉ","SANS SUCCESSEUR"))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5">
        <f>IF(A60="","",IF(AND(D60&lt;&gt;"",E60&lt;&gt;""),"SUCCESSEUR IDENTIFIÉ","SANS SUCCESSEUR"))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7">
        <f>IF(A61="","",IF(AND(D61&lt;&gt;"",E61&lt;&gt;""),"SUCCESSEUR IDENTIFIÉ","SANS SUCCESSEUR"))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5">
        <f>IF(A62="","",IF(AND(D62&lt;&gt;"",E62&lt;&gt;""),"SUCCESSEUR IDENTIFIÉ","SANS SUCCESSEUR"))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7">
        <f>IF(A63="","",IF(AND(D63&lt;&gt;"",E63&lt;&gt;""),"SUCCESSEUR IDENTIFIÉ","SANS SUCCESSEUR"))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5">
        <f>IF(A64="","",IF(AND(D64&lt;&gt;"",E64&lt;&gt;""),"SUCCESSEUR IDENTIFIÉ","SANS SUCCESSEUR"))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7">
        <f>IF(A65="","",IF(AND(D65&lt;&gt;"",E65&lt;&gt;""),"SUCCESSEUR IDENTIFIÉ","SANS SUCCESSEUR"))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5">
        <f>IF(A66="","",IF(AND(D66&lt;&gt;"",E66&lt;&gt;""),"SUCCESSEUR IDENTIFIÉ","SANS SUCCESSEUR"))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7">
        <f>IF(A67="","",IF(AND(D67&lt;&gt;"",E67&lt;&gt;""),"SUCCESSEUR IDENTIFIÉ","SANS SUCCESSEUR"))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5">
        <f>IF(A68="","",IF(AND(D68&lt;&gt;"",E68&lt;&gt;""),"SUCCESSEUR IDENTIFIÉ","SANS SUCCESSEUR"))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7">
        <f>IF(A69="","",IF(AND(D69&lt;&gt;"",E69&lt;&gt;""),"SUCCESSEUR IDENTIFIÉ","SANS SUCCESSEUR"))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5">
        <f>IF(A70="","",IF(AND(D70&lt;&gt;"",E70&lt;&gt;""),"SUCCESSEUR IDENTIFIÉ","SANS SUCCESSEUR"))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7">
        <f>IF(A71="","",IF(AND(D71&lt;&gt;"",E71&lt;&gt;""),"SUCCESSEUR IDENTIFIÉ","SANS SUCCESSEUR"))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5">
        <f>IF(A72="","",IF(AND(D72&lt;&gt;"",E72&lt;&gt;""),"SUCCESSEUR IDENTIFIÉ","SANS SUCCESSEUR"))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7">
        <f>IF(A73="","",IF(AND(D73&lt;&gt;"",E73&lt;&gt;""),"SUCCESSEUR IDENTIFIÉ","SANS SUCCESSEUR"))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5">
        <f>IF(A74="","",IF(AND(D74&lt;&gt;"",E74&lt;&gt;""),"SUCCESSEUR IDENTIFIÉ","SANS SUCCESSEUR"))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7">
        <f>IF(A75="","",IF(AND(D75&lt;&gt;"",E75&lt;&gt;""),"SUCCESSEUR IDENTIFIÉ","SANS SUCCESSEUR"))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5">
        <f>IF(A76="","",IF(AND(D76&lt;&gt;"",E76&lt;&gt;""),"SUCCESSEUR IDENTIFIÉ","SANS SUCCESSEUR"))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7">
        <f>IF(A77="","",IF(AND(D77&lt;&gt;"",E77&lt;&gt;""),"SUCCESSEUR IDENTIFIÉ","SANS SUCCESSEUR"))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5">
        <f>IF(A78="","",IF(AND(D78&lt;&gt;"",E78&lt;&gt;""),"SUCCESSEUR IDENTIFIÉ","SANS SUCCESSEUR"))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7">
        <f>IF(A79="","",IF(AND(D79&lt;&gt;"",E79&lt;&gt;""),"SUCCESSEUR IDENTIFIÉ","SANS SUCCESSEUR"))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5">
        <f>IF(A80="","",IF(AND(D80&lt;&gt;"",E80&lt;&gt;""),"SUCCESSEUR IDENTIFIÉ","SANS SUCCESSEUR"))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7">
        <f>IF(A81="","",IF(AND(D81&lt;&gt;"",E81&lt;&gt;""),"SUCCESSEUR IDENTIFIÉ","SANS SUCCESSEUR"))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5">
        <f>IF(A82="","",IF(AND(D82&lt;&gt;"",E82&lt;&gt;""),"SUCCESSEUR IDENTIFIÉ","SANS SUCCESSEUR"))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7">
        <f>IF(A83="","",IF(AND(D83&lt;&gt;"",E83&lt;&gt;""),"SUCCESSEUR IDENTIFIÉ","SANS SUCCESSEUR"))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5">
        <f>IF(A84="","",IF(AND(D84&lt;&gt;"",E84&lt;&gt;""),"SUCCESSEUR IDENTIFIÉ","SANS SUCCESSEUR"))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7">
        <f>IF(A85="","",IF(AND(D85&lt;&gt;"",E85&lt;&gt;""),"SUCCESSEUR IDENTIFIÉ","SANS SUCCESSEUR"))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5">
        <f>IF(A86="","",IF(AND(D86&lt;&gt;"",E86&lt;&gt;""),"SUCCESSEUR IDENTIFIÉ","SANS SUCCESSEUR"))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7">
        <f>IF(A87="","",IF(AND(D87&lt;&gt;"",E87&lt;&gt;""),"SUCCESSEUR IDENTIFIÉ","SANS SUCCESSEUR"))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5">
        <f>IF(A88="","",IF(AND(D88&lt;&gt;"",E88&lt;&gt;""),"SUCCESSEUR IDENTIFIÉ","SANS SUCCESSEUR"))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7">
        <f>IF(A89="","",IF(AND(D89&lt;&gt;"",E89&lt;&gt;""),"SUCCESSEUR IDENTIFIÉ","SANS SUCCESSEUR"))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5">
        <f>IF(A90="","",IF(AND(D90&lt;&gt;"",E90&lt;&gt;""),"SUCCESSEUR IDENTIFIÉ","SANS SUCCESSEUR"))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7">
        <f>IF(A91="","",IF(AND(D91&lt;&gt;"",E91&lt;&gt;""),"SUCCESSEUR IDENTIFIÉ","SANS SUCCESSEUR"))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5">
        <f>IF(A92="","",IF(AND(D92&lt;&gt;"",E92&lt;&gt;""),"SUCCESSEUR IDENTIFIÉ","SANS SUCCESSEUR"))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7">
        <f>IF(A93="","",IF(AND(D93&lt;&gt;"",E93&lt;&gt;""),"SUCCESSEUR IDENTIFIÉ","SANS SUCCESSEUR"))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5">
        <f>IF(A94="","",IF(AND(D94&lt;&gt;"",E94&lt;&gt;""),"SUCCESSEUR IDENTIFIÉ","SANS SUCCESSEUR"))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7">
        <f>IF(A95="","",IF(AND(D95&lt;&gt;"",E95&lt;&gt;""),"SUCCESSEUR IDENTIFIÉ","SANS SUCCESSEUR"))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5">
        <f>IF(A96="","",IF(AND(D96&lt;&gt;"",E96&lt;&gt;""),"SUCCESSEUR IDENTIFIÉ","SANS SUCCESSEUR"))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7">
        <f>IF(A97="","",IF(AND(D97&lt;&gt;"",E97&lt;&gt;""),"SUCCESSEUR IDENTIFIÉ","SANS SUCCESSEUR"))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5">
        <f>IF(A98="","",IF(AND(D98&lt;&gt;"",E98&lt;&gt;""),"SUCCESSEUR IDENTIFIÉ","SANS SUCCESSEUR"))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7">
        <f>IF(A99="","",IF(AND(D99&lt;&gt;"",E99&lt;&gt;""),"SUCCESSEUR IDENTIFIÉ","SANS SUCCESSEUR"))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5">
        <f>IF(A100="","",IF(AND(D100&lt;&gt;"",E100&lt;&gt;""),"SUCCESSEUR IDENTIFIÉ","SANS SUCCESSEUR"))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7">
        <f>IF(A101="","",IF(AND(D101&lt;&gt;"",E101&lt;&gt;""),"SUCCESSEUR IDENTIFIÉ","SANS SUCCESSEUR"))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5">
        <f>IF(A102="","",IF(AND(D102&lt;&gt;"",E102&lt;&gt;""),"SUCCESSEUR IDENTIFIÉ","SANS SUCCESSEUR"))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7">
        <f>IF(A103="","",IF(AND(D103&lt;&gt;"",E103&lt;&gt;""),"SUCCESSEUR IDENTIFIÉ","SANS SUCCESSEUR"))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5">
        <f>IF(A104="","",IF(AND(D104&lt;&gt;"",E104&lt;&gt;""),"SUCCESSEUR IDENTIFIÉ","SANS SUCCESSEUR"))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7">
        <f>IF(A105="","",IF(AND(D105&lt;&gt;"",E105&lt;&gt;""),"SUCCESSEUR IDENTIFIÉ","SANS SUCCESSEUR"))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5">
        <f>IF(A106="","",IF(AND(D106&lt;&gt;"",E106&lt;&gt;""),"SUCCESSEUR IDENTIFIÉ","SANS SUCCESSEUR"))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7">
        <f>IF(A107="","",IF(AND(D107&lt;&gt;"",E107&lt;&gt;""),"SUCCESSEUR IDENTIFIÉ","SANS SUCCESSEUR"))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5">
        <f>IF(A108="","",IF(AND(D108&lt;&gt;"",E108&lt;&gt;""),"SUCCESSEUR IDENTIFIÉ","SANS SUCCESSEUR"))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7">
        <f>IF(A109="","",IF(AND(D109&lt;&gt;"",E109&lt;&gt;""),"SUCCESSEUR IDENTIFIÉ","SANS SUCCESSEUR"))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5">
        <f>IF(A110="","",IF(AND(D110&lt;&gt;"",E110&lt;&gt;""),"SUCCESSEUR IDENTIFIÉ","SANS SUCCESSEUR"))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7">
        <f>IF(A111="","",IF(AND(D111&lt;&gt;"",E111&lt;&gt;""),"SUCCESSEUR IDENTIFIÉ","SANS SUCCESSEUR"))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5">
        <f>IF(A112="","",IF(AND(D112&lt;&gt;"",E112&lt;&gt;""),"SUCCESSEUR IDENTIFIÉ","SANS SUCCESSEUR"))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7">
        <f>IF(A113="","",IF(AND(D113&lt;&gt;"",E113&lt;&gt;""),"SUCCESSEUR IDENTIFIÉ","SANS SUCCESSEUR"))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5">
        <f>IF(A114="","",IF(AND(D114&lt;&gt;"",E114&lt;&gt;""),"SUCCESSEUR IDENTIFIÉ","SANS SUCCESSEUR"))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7">
        <f>IF(A115="","",IF(AND(D115&lt;&gt;"",E115&lt;&gt;""),"SUCCESSEUR IDENTIFIÉ","SANS SUCCESSEUR"))</f>
        <v/>
      </c>
    </row>
  </sheetData>
  <mergeCells count="2">
    <mergeCell ref="A3:N3"/>
    <mergeCell ref="A2:N2"/>
  </mergeCells>
  <dataValidations count="3">
    <dataValidation sqref="H6:H115" showDropDown="0" showInputMessage="0" showErrorMessage="0" allowBlank="1" errorTitle="Erreur" error="Valeur invalide" promptTitle="" prompt="Choisir dans la liste: " type="list">
      <formula1>'F02 - _Lists'!$W$6:$W$11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_Lists'!$R$6:$R$9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18" customWidth="1" min="5" max="5"/>
    <col width="20" customWidth="1" min="6" max="6"/>
    <col width="14" customWidth="1" min="7" max="7"/>
    <col width="16" customWidth="1" min="8" max="8"/>
    <col width="22" customWidth="1" min="9" max="9"/>
    <col width="16" customWidth="1" min="10" max="10"/>
    <col width="16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11-BUDGET RETRAITES ET PRÉVOYANCE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Budget</t>
        </is>
      </c>
      <c r="B5" s="4" t="inlineStr">
        <is>
          <t>Poste Budget</t>
        </is>
      </c>
      <c r="C5" s="4" t="inlineStr">
        <is>
          <t>Montant Prévu (FCFA)</t>
        </is>
      </c>
      <c r="D5" s="4" t="inlineStr">
        <is>
          <t>Montant Réalisé (FCFA)</t>
        </is>
      </c>
      <c r="E5" s="4" t="inlineStr">
        <is>
          <t>Écart (FCFA)</t>
        </is>
      </c>
      <c r="F5" s="4" t="inlineStr">
        <is>
          <t>Taux Réalisation (%)</t>
        </is>
      </c>
      <c r="G5" s="4" t="inlineStr">
        <is>
          <t>Trimestre</t>
        </is>
      </c>
      <c r="H5" s="4" t="inlineStr">
        <is>
          <t>Catégorie</t>
        </is>
      </c>
      <c r="I5" s="4" t="inlineStr">
        <is>
          <t>Mode Paiement</t>
        </is>
      </c>
      <c r="J5" s="4" t="inlineStr">
        <is>
          <t>Validé Par</t>
        </is>
      </c>
      <c r="K5" s="4" t="inlineStr">
        <is>
          <t>Date Validation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BUD-001</t>
        </is>
      </c>
      <c r="B6" s="5" t="inlineStr">
        <is>
          <t>Pensions - Régime Général</t>
        </is>
      </c>
      <c r="C6" s="22" t="n">
        <v>45000000</v>
      </c>
      <c r="D6" s="22" t="n">
        <v>42500000</v>
      </c>
      <c r="E6" s="25">
        <f>IF(OR(C6="",D6=""),"",C6-D6)</f>
        <v/>
      </c>
      <c r="F6" s="27">
        <f>IF(OR(C6="",D6=""),"",IFERROR(D6/C6*100,0))</f>
        <v/>
      </c>
      <c r="G6" s="5" t="inlineStr">
        <is>
          <t>T1 2025</t>
        </is>
      </c>
      <c r="H6" s="5" t="inlineStr">
        <is>
          <t>Pension</t>
        </is>
      </c>
      <c r="I6" s="5" t="inlineStr">
        <is>
          <t>Virement bancaire</t>
        </is>
      </c>
      <c r="J6" s="5" t="inlineStr">
        <is>
          <t>DAF</t>
        </is>
      </c>
      <c r="K6" s="19" t="n">
        <v>45762</v>
      </c>
      <c r="L6" s="5" t="inlineStr"/>
      <c r="M6" s="25">
        <f>IF(G6="","",IFERROR(SUMIF($G$6:$G$115,G6,$D$6:$D$115),0))</f>
        <v/>
      </c>
      <c r="N6" s="27">
        <f>IF(G6="","",IFERROR(AVERAGEIF($G$6:$G$115,G6,$F$6:$F$115),0))</f>
        <v/>
      </c>
    </row>
    <row r="7" ht="22" customHeight="1">
      <c r="A7" s="7" t="inlineStr">
        <is>
          <t>BUD-002</t>
        </is>
      </c>
      <c r="B7" s="7" t="inlineStr">
        <is>
          <t>Pensions - Régime Cadre</t>
        </is>
      </c>
      <c r="C7" s="24" t="n">
        <v>58000000</v>
      </c>
      <c r="D7" s="24" t="n">
        <v>56200000</v>
      </c>
      <c r="E7" s="26">
        <f>IF(OR(C7="",D7=""),"",C7-D7)</f>
        <v/>
      </c>
      <c r="F7" s="28">
        <f>IF(OR(C7="",D7=""),"",IFERROR(D7/C7*100,0))</f>
        <v/>
      </c>
      <c r="G7" s="7" t="inlineStr">
        <is>
          <t>T1 2025</t>
        </is>
      </c>
      <c r="H7" s="7" t="inlineStr">
        <is>
          <t>Pension</t>
        </is>
      </c>
      <c r="I7" s="7" t="inlineStr">
        <is>
          <t>Virement bancaire</t>
        </is>
      </c>
      <c r="J7" s="7" t="inlineStr">
        <is>
          <t>DAF</t>
        </is>
      </c>
      <c r="K7" s="20" t="n">
        <v>45762</v>
      </c>
      <c r="L7" s="7" t="inlineStr"/>
      <c r="M7" s="26">
        <f>IF(G7="","",IFERROR(SUMIF($G$6:$G$115,G7,$D$6:$D$115),0))</f>
        <v/>
      </c>
      <c r="N7" s="28">
        <f>IF(G7="","",IFERROR(AVERAGEIF($G$6:$G$115,G7,$F$6:$F$115),0))</f>
        <v/>
      </c>
    </row>
    <row r="8" ht="22" customHeight="1">
      <c r="A8" s="5" t="inlineStr">
        <is>
          <t>BUD-003</t>
        </is>
      </c>
      <c r="B8" s="5" t="inlineStr">
        <is>
          <t>Cotisations Prévoyance</t>
        </is>
      </c>
      <c r="C8" s="22" t="n">
        <v>18000000</v>
      </c>
      <c r="D8" s="22" t="n">
        <v>17850000</v>
      </c>
      <c r="E8" s="25">
        <f>IF(OR(C8="",D8=""),"",C8-D8)</f>
        <v/>
      </c>
      <c r="F8" s="27">
        <f>IF(OR(C8="",D8=""),"",IFERROR(D8/C8*100,0))</f>
        <v/>
      </c>
      <c r="G8" s="5" t="inlineStr">
        <is>
          <t>T1 2025</t>
        </is>
      </c>
      <c r="H8" s="5" t="inlineStr">
        <is>
          <t>Prévoyance</t>
        </is>
      </c>
      <c r="I8" s="5" t="inlineStr">
        <is>
          <t>Prélèvement auto.</t>
        </is>
      </c>
      <c r="J8" s="5" t="inlineStr">
        <is>
          <t>DRH</t>
        </is>
      </c>
      <c r="K8" s="19" t="n">
        <v>45757</v>
      </c>
      <c r="L8" s="5" t="inlineStr"/>
      <c r="M8" s="25">
        <f>IF(G8="","",IFERROR(SUMIF($G$6:$G$115,G8,$D$6:$D$115),0))</f>
        <v/>
      </c>
      <c r="N8" s="27">
        <f>IF(G8="","",IFERROR(AVERAGEIF($G$6:$G$115,G8,$F$6:$F$115),0))</f>
        <v/>
      </c>
    </row>
    <row r="9" ht="22" customHeight="1">
      <c r="A9" s="7" t="inlineStr">
        <is>
          <t>BUD-004</t>
        </is>
      </c>
      <c r="B9" s="7" t="inlineStr">
        <is>
          <t>Outplacement</t>
        </is>
      </c>
      <c r="C9" s="24" t="n">
        <v>2500000</v>
      </c>
      <c r="D9" s="24" t="n">
        <v>1800000</v>
      </c>
      <c r="E9" s="26">
        <f>IF(OR(C9="",D9=""),"",C9-D9)</f>
        <v/>
      </c>
      <c r="F9" s="28">
        <f>IF(OR(C9="",D9=""),"",IFERROR(D9/C9*100,0))</f>
        <v/>
      </c>
      <c r="G9" s="7" t="inlineStr">
        <is>
          <t>T1 2025</t>
        </is>
      </c>
      <c r="H9" s="7" t="inlineStr">
        <is>
          <t>Transition</t>
        </is>
      </c>
      <c r="I9" s="7" t="inlineStr">
        <is>
          <t>Virement bancaire</t>
        </is>
      </c>
      <c r="J9" s="7" t="inlineStr">
        <is>
          <t>DRH</t>
        </is>
      </c>
      <c r="K9" s="20" t="n">
        <v>45767</v>
      </c>
      <c r="L9" s="7" t="inlineStr"/>
      <c r="M9" s="26">
        <f>IF(G9="","",IFERROR(SUMIF($G$6:$G$115,G9,$D$6:$D$115),0))</f>
        <v/>
      </c>
      <c r="N9" s="28">
        <f>IF(G9="","",IFERROR(AVERAGEIF($G$6:$G$115,G9,$F$6:$F$115),0))</f>
        <v/>
      </c>
    </row>
    <row r="10" ht="22" customHeight="1">
      <c r="A10" s="5" t="inlineStr">
        <is>
          <t>BUD-005</t>
        </is>
      </c>
      <c r="B10" s="5" t="inlineStr">
        <is>
          <t>Formation Fin de Carrière</t>
        </is>
      </c>
      <c r="C10" s="22" t="n">
        <v>1200000</v>
      </c>
      <c r="D10" s="22" t="n">
        <v>950000</v>
      </c>
      <c r="E10" s="25">
        <f>IF(OR(C10="",D10=""),"",C10-D10)</f>
        <v/>
      </c>
      <c r="F10" s="27">
        <f>IF(OR(C10="",D10=""),"",IFERROR(D10/C10*100,0))</f>
        <v/>
      </c>
      <c r="G10" s="5" t="inlineStr">
        <is>
          <t>T1 2025</t>
        </is>
      </c>
      <c r="H10" s="5" t="inlineStr">
        <is>
          <t>Formation</t>
        </is>
      </c>
      <c r="I10" s="5" t="inlineStr">
        <is>
          <t>Virement bancaire</t>
        </is>
      </c>
      <c r="J10" s="5" t="inlineStr">
        <is>
          <t>DRH</t>
        </is>
      </c>
      <c r="K10" s="19" t="n">
        <v>45757</v>
      </c>
      <c r="L10" s="5" t="inlineStr"/>
      <c r="M10" s="25">
        <f>IF(G10="","",IFERROR(SUMIF($G$6:$G$115,G10,$D$6:$D$115),0))</f>
        <v/>
      </c>
      <c r="N10" s="27">
        <f>IF(G10="","",IFERROR(AVERAGEIF($G$6:$G$115,G10,$F$6:$F$115),0))</f>
        <v/>
      </c>
    </row>
    <row r="11" ht="22" customHeight="1">
      <c r="A11" s="7" t="n"/>
      <c r="B11" s="7" t="n"/>
      <c r="C11" s="7" t="n"/>
      <c r="D11" s="7" t="n"/>
      <c r="E11" s="26">
        <f>IF(OR(C11="",D11=""),"",C11-D11)</f>
        <v/>
      </c>
      <c r="F11" s="28">
        <f>IF(OR(C11="",D11=""),"",IFERROR(D11/C11*100,0))</f>
        <v/>
      </c>
      <c r="G11" s="7" t="n"/>
      <c r="H11" s="7" t="n"/>
      <c r="I11" s="7" t="n"/>
      <c r="J11" s="7" t="n"/>
      <c r="K11" s="7" t="n"/>
      <c r="L11" s="7" t="n"/>
      <c r="M11" s="26">
        <f>IF(G11="","",IFERROR(SUMIF($G$6:$G$115,G11,$D$6:$D$115),0))</f>
        <v/>
      </c>
      <c r="N11" s="28">
        <f>IF(G11="","",IFERROR(AVERAGEIF($G$6:$G$115,G11,$F$6:$F$115),0))</f>
        <v/>
      </c>
    </row>
    <row r="12" ht="22" customHeight="1">
      <c r="A12" s="5" t="n"/>
      <c r="B12" s="5" t="n"/>
      <c r="C12" s="5" t="n"/>
      <c r="D12" s="5" t="n"/>
      <c r="E12" s="25">
        <f>IF(OR(C12="",D12=""),"",C12-D12)</f>
        <v/>
      </c>
      <c r="F12" s="27">
        <f>IF(OR(C12="",D12=""),"",IFERROR(D12/C12*100,0))</f>
        <v/>
      </c>
      <c r="G12" s="5" t="n"/>
      <c r="H12" s="5" t="n"/>
      <c r="I12" s="5" t="n"/>
      <c r="J12" s="5" t="n"/>
      <c r="K12" s="5" t="n"/>
      <c r="L12" s="5" t="n"/>
      <c r="M12" s="25">
        <f>IF(G12="","",IFERROR(SUMIF($G$6:$G$115,G12,$D$6:$D$115),0))</f>
        <v/>
      </c>
      <c r="N12" s="27">
        <f>IF(G12="","",IFERROR(AVERAGEIF($G$6:$G$115,G12,$F$6:$F$115),0))</f>
        <v/>
      </c>
    </row>
    <row r="13" ht="22" customHeight="1">
      <c r="A13" s="7" t="n"/>
      <c r="B13" s="7" t="n"/>
      <c r="C13" s="7" t="n"/>
      <c r="D13" s="7" t="n"/>
      <c r="E13" s="26">
        <f>IF(OR(C13="",D13=""),"",C13-D13)</f>
        <v/>
      </c>
      <c r="F13" s="28">
        <f>IF(OR(C13="",D13=""),"",IFERROR(D13/C13*100,0))</f>
        <v/>
      </c>
      <c r="G13" s="7" t="n"/>
      <c r="H13" s="7" t="n"/>
      <c r="I13" s="7" t="n"/>
      <c r="J13" s="7" t="n"/>
      <c r="K13" s="7" t="n"/>
      <c r="L13" s="7" t="n"/>
      <c r="M13" s="26">
        <f>IF(G13="","",IFERROR(SUMIF($G$6:$G$115,G13,$D$6:$D$115),0))</f>
        <v/>
      </c>
      <c r="N13" s="28">
        <f>IF(G13="","",IFERROR(AVERAGEIF($G$6:$G$115,G13,$F$6:$F$115),0))</f>
        <v/>
      </c>
    </row>
    <row r="14" ht="22" customHeight="1">
      <c r="A14" s="5" t="n"/>
      <c r="B14" s="5" t="n"/>
      <c r="C14" s="5" t="n"/>
      <c r="D14" s="5" t="n"/>
      <c r="E14" s="25">
        <f>IF(OR(C14="",D14=""),"",C14-D14)</f>
        <v/>
      </c>
      <c r="F14" s="27">
        <f>IF(OR(C14="",D14=""),"",IFERROR(D14/C14*100,0))</f>
        <v/>
      </c>
      <c r="G14" s="5" t="n"/>
      <c r="H14" s="5" t="n"/>
      <c r="I14" s="5" t="n"/>
      <c r="J14" s="5" t="n"/>
      <c r="K14" s="5" t="n"/>
      <c r="L14" s="5" t="n"/>
      <c r="M14" s="25">
        <f>IF(G14="","",IFERROR(SUMIF($G$6:$G$115,G14,$D$6:$D$115),0))</f>
        <v/>
      </c>
      <c r="N14" s="27">
        <f>IF(G14="","",IFERROR(AVERAGEIF($G$6:$G$115,G14,$F$6:$F$115),0))</f>
        <v/>
      </c>
    </row>
    <row r="15" ht="22" customHeight="1">
      <c r="A15" s="7" t="n"/>
      <c r="B15" s="7" t="n"/>
      <c r="C15" s="7" t="n"/>
      <c r="D15" s="7" t="n"/>
      <c r="E15" s="26">
        <f>IF(OR(C15="",D15=""),"",C15-D15)</f>
        <v/>
      </c>
      <c r="F15" s="28">
        <f>IF(OR(C15="",D15=""),"",IFERROR(D15/C15*100,0))</f>
        <v/>
      </c>
      <c r="G15" s="7" t="n"/>
      <c r="H15" s="7" t="n"/>
      <c r="I15" s="7" t="n"/>
      <c r="J15" s="7" t="n"/>
      <c r="K15" s="7" t="n"/>
      <c r="L15" s="7" t="n"/>
      <c r="M15" s="26">
        <f>IF(G15="","",IFERROR(SUMIF($G$6:$G$115,G15,$D$6:$D$115),0))</f>
        <v/>
      </c>
      <c r="N15" s="28">
        <f>IF(G15="","",IFERROR(AVERAGEIF($G$6:$G$115,G15,$F$6:$F$115),0))</f>
        <v/>
      </c>
    </row>
    <row r="16" ht="22" customHeight="1">
      <c r="A16" s="5" t="n"/>
      <c r="B16" s="5" t="n"/>
      <c r="C16" s="5" t="n"/>
      <c r="D16" s="5" t="n"/>
      <c r="E16" s="25">
        <f>IF(OR(C16="",D16=""),"",C16-D16)</f>
        <v/>
      </c>
      <c r="F16" s="27">
        <f>IF(OR(C16="",D16=""),"",IFERROR(D16/C16*100,0))</f>
        <v/>
      </c>
      <c r="G16" s="5" t="n"/>
      <c r="H16" s="5" t="n"/>
      <c r="I16" s="5" t="n"/>
      <c r="J16" s="5" t="n"/>
      <c r="K16" s="5" t="n"/>
      <c r="L16" s="5" t="n"/>
      <c r="M16" s="25">
        <f>IF(G16="","",IFERROR(SUMIF($G$6:$G$115,G16,$D$6:$D$115),0))</f>
        <v/>
      </c>
      <c r="N16" s="27">
        <f>IF(G16="","",IFERROR(AVERAGEIF($G$6:$G$115,G16,$F$6:$F$115),0))</f>
        <v/>
      </c>
    </row>
    <row r="17" ht="22" customHeight="1">
      <c r="A17" s="7" t="n"/>
      <c r="B17" s="7" t="n"/>
      <c r="C17" s="7" t="n"/>
      <c r="D17" s="7" t="n"/>
      <c r="E17" s="26">
        <f>IF(OR(C17="",D17=""),"",C17-D17)</f>
        <v/>
      </c>
      <c r="F17" s="28">
        <f>IF(OR(C17="",D17=""),"",IFERROR(D17/C17*100,0))</f>
        <v/>
      </c>
      <c r="G17" s="7" t="n"/>
      <c r="H17" s="7" t="n"/>
      <c r="I17" s="7" t="n"/>
      <c r="J17" s="7" t="n"/>
      <c r="K17" s="7" t="n"/>
      <c r="L17" s="7" t="n"/>
      <c r="M17" s="26">
        <f>IF(G17="","",IFERROR(SUMIF($G$6:$G$115,G17,$D$6:$D$115),0))</f>
        <v/>
      </c>
      <c r="N17" s="28">
        <f>IF(G17="","",IFERROR(AVERAGEIF($G$6:$G$115,G17,$F$6:$F$115),0))</f>
        <v/>
      </c>
    </row>
    <row r="18" ht="22" customHeight="1">
      <c r="A18" s="5" t="n"/>
      <c r="B18" s="5" t="n"/>
      <c r="C18" s="5" t="n"/>
      <c r="D18" s="5" t="n"/>
      <c r="E18" s="25">
        <f>IF(OR(C18="",D18=""),"",C18-D18)</f>
        <v/>
      </c>
      <c r="F18" s="27">
        <f>IF(OR(C18="",D18=""),"",IFERROR(D18/C18*100,0))</f>
        <v/>
      </c>
      <c r="G18" s="5" t="n"/>
      <c r="H18" s="5" t="n"/>
      <c r="I18" s="5" t="n"/>
      <c r="J18" s="5" t="n"/>
      <c r="K18" s="5" t="n"/>
      <c r="L18" s="5" t="n"/>
      <c r="M18" s="25">
        <f>IF(G18="","",IFERROR(SUMIF($G$6:$G$115,G18,$D$6:$D$115),0))</f>
        <v/>
      </c>
      <c r="N18" s="27">
        <f>IF(G18="","",IFERROR(AVERAGEIF($G$6:$G$115,G18,$F$6:$F$115),0))</f>
        <v/>
      </c>
    </row>
    <row r="19" ht="22" customHeight="1">
      <c r="A19" s="7" t="n"/>
      <c r="B19" s="7" t="n"/>
      <c r="C19" s="7" t="n"/>
      <c r="D19" s="7" t="n"/>
      <c r="E19" s="26">
        <f>IF(OR(C19="",D19=""),"",C19-D19)</f>
        <v/>
      </c>
      <c r="F19" s="28">
        <f>IF(OR(C19="",D19=""),"",IFERROR(D19/C19*100,0))</f>
        <v/>
      </c>
      <c r="G19" s="7" t="n"/>
      <c r="H19" s="7" t="n"/>
      <c r="I19" s="7" t="n"/>
      <c r="J19" s="7" t="n"/>
      <c r="K19" s="7" t="n"/>
      <c r="L19" s="7" t="n"/>
      <c r="M19" s="26">
        <f>IF(G19="","",IFERROR(SUMIF($G$6:$G$115,G19,$D$6:$D$115),0))</f>
        <v/>
      </c>
      <c r="N19" s="28">
        <f>IF(G19="","",IFERROR(AVERAGEIF($G$6:$G$115,G19,$F$6:$F$115),0))</f>
        <v/>
      </c>
    </row>
    <row r="20" ht="22" customHeight="1">
      <c r="A20" s="5" t="n"/>
      <c r="B20" s="5" t="n"/>
      <c r="C20" s="5" t="n"/>
      <c r="D20" s="5" t="n"/>
      <c r="E20" s="25">
        <f>IF(OR(C20="",D20=""),"",C20-D20)</f>
        <v/>
      </c>
      <c r="F20" s="27">
        <f>IF(OR(C20="",D20=""),"",IFERROR(D20/C20*100,0))</f>
        <v/>
      </c>
      <c r="G20" s="5" t="n"/>
      <c r="H20" s="5" t="n"/>
      <c r="I20" s="5" t="n"/>
      <c r="J20" s="5" t="n"/>
      <c r="K20" s="5" t="n"/>
      <c r="L20" s="5" t="n"/>
      <c r="M20" s="25">
        <f>IF(G20="","",IFERROR(SUMIF($G$6:$G$115,G20,$D$6:$D$115),0))</f>
        <v/>
      </c>
      <c r="N20" s="27">
        <f>IF(G20="","",IFERROR(AVERAGEIF($G$6:$G$115,G20,$F$6:$F$115),0))</f>
        <v/>
      </c>
    </row>
    <row r="21" ht="22" customHeight="1">
      <c r="A21" s="7" t="n"/>
      <c r="B21" s="7" t="n"/>
      <c r="C21" s="7" t="n"/>
      <c r="D21" s="7" t="n"/>
      <c r="E21" s="26">
        <f>IF(OR(C21="",D21=""),"",C21-D21)</f>
        <v/>
      </c>
      <c r="F21" s="28">
        <f>IF(OR(C21="",D21=""),"",IFERROR(D21/C21*100,0))</f>
        <v/>
      </c>
      <c r="G21" s="7" t="n"/>
      <c r="H21" s="7" t="n"/>
      <c r="I21" s="7" t="n"/>
      <c r="J21" s="7" t="n"/>
      <c r="K21" s="7" t="n"/>
      <c r="L21" s="7" t="n"/>
      <c r="M21" s="26">
        <f>IF(G21="","",IFERROR(SUMIF($G$6:$G$115,G21,$D$6:$D$115),0))</f>
        <v/>
      </c>
      <c r="N21" s="28">
        <f>IF(G21="","",IFERROR(AVERAGEIF($G$6:$G$115,G21,$F$6:$F$115),0))</f>
        <v/>
      </c>
    </row>
    <row r="22" ht="22" customHeight="1">
      <c r="A22" s="5" t="n"/>
      <c r="B22" s="5" t="n"/>
      <c r="C22" s="5" t="n"/>
      <c r="D22" s="5" t="n"/>
      <c r="E22" s="25">
        <f>IF(OR(C22="",D22=""),"",C22-D22)</f>
        <v/>
      </c>
      <c r="F22" s="27">
        <f>IF(OR(C22="",D22=""),"",IFERROR(D22/C22*100,0))</f>
        <v/>
      </c>
      <c r="G22" s="5" t="n"/>
      <c r="H22" s="5" t="n"/>
      <c r="I22" s="5" t="n"/>
      <c r="J22" s="5" t="n"/>
      <c r="K22" s="5" t="n"/>
      <c r="L22" s="5" t="n"/>
      <c r="M22" s="25">
        <f>IF(G22="","",IFERROR(SUMIF($G$6:$G$115,G22,$D$6:$D$115),0))</f>
        <v/>
      </c>
      <c r="N22" s="27">
        <f>IF(G22="","",IFERROR(AVERAGEIF($G$6:$G$115,G22,$F$6:$F$115),0))</f>
        <v/>
      </c>
    </row>
    <row r="23" ht="22" customHeight="1">
      <c r="A23" s="7" t="n"/>
      <c r="B23" s="7" t="n"/>
      <c r="C23" s="7" t="n"/>
      <c r="D23" s="7" t="n"/>
      <c r="E23" s="26">
        <f>IF(OR(C23="",D23=""),"",C23-D23)</f>
        <v/>
      </c>
      <c r="F23" s="28">
        <f>IF(OR(C23="",D23=""),"",IFERROR(D23/C23*100,0))</f>
        <v/>
      </c>
      <c r="G23" s="7" t="n"/>
      <c r="H23" s="7" t="n"/>
      <c r="I23" s="7" t="n"/>
      <c r="J23" s="7" t="n"/>
      <c r="K23" s="7" t="n"/>
      <c r="L23" s="7" t="n"/>
      <c r="M23" s="26">
        <f>IF(G23="","",IFERROR(SUMIF($G$6:$G$115,G23,$D$6:$D$115),0))</f>
        <v/>
      </c>
      <c r="N23" s="28">
        <f>IF(G23="","",IFERROR(AVERAGEIF($G$6:$G$115,G23,$F$6:$F$115),0))</f>
        <v/>
      </c>
    </row>
    <row r="24" ht="22" customHeight="1">
      <c r="A24" s="5" t="n"/>
      <c r="B24" s="5" t="n"/>
      <c r="C24" s="5" t="n"/>
      <c r="D24" s="5" t="n"/>
      <c r="E24" s="25">
        <f>IF(OR(C24="",D24=""),"",C24-D24)</f>
        <v/>
      </c>
      <c r="F24" s="27">
        <f>IF(OR(C24="",D24=""),"",IFERROR(D24/C24*100,0))</f>
        <v/>
      </c>
      <c r="G24" s="5" t="n"/>
      <c r="H24" s="5" t="n"/>
      <c r="I24" s="5" t="n"/>
      <c r="J24" s="5" t="n"/>
      <c r="K24" s="5" t="n"/>
      <c r="L24" s="5" t="n"/>
      <c r="M24" s="25">
        <f>IF(G24="","",IFERROR(SUMIF($G$6:$G$115,G24,$D$6:$D$115),0))</f>
        <v/>
      </c>
      <c r="N24" s="27">
        <f>IF(G24="","",IFERROR(AVERAGEIF($G$6:$G$115,G24,$F$6:$F$115),0))</f>
        <v/>
      </c>
    </row>
    <row r="25" ht="22" customHeight="1">
      <c r="A25" s="7" t="n"/>
      <c r="B25" s="7" t="n"/>
      <c r="C25" s="7" t="n"/>
      <c r="D25" s="7" t="n"/>
      <c r="E25" s="26">
        <f>IF(OR(C25="",D25=""),"",C25-D25)</f>
        <v/>
      </c>
      <c r="F25" s="28">
        <f>IF(OR(C25="",D25=""),"",IFERROR(D25/C25*100,0))</f>
        <v/>
      </c>
      <c r="G25" s="7" t="n"/>
      <c r="H25" s="7" t="n"/>
      <c r="I25" s="7" t="n"/>
      <c r="J25" s="7" t="n"/>
      <c r="K25" s="7" t="n"/>
      <c r="L25" s="7" t="n"/>
      <c r="M25" s="26">
        <f>IF(G25="","",IFERROR(SUMIF($G$6:$G$115,G25,$D$6:$D$115),0))</f>
        <v/>
      </c>
      <c r="N25" s="28">
        <f>IF(G25="","",IFERROR(AVERAGEIF($G$6:$G$115,G25,$F$6:$F$115),0))</f>
        <v/>
      </c>
    </row>
    <row r="26" ht="22" customHeight="1">
      <c r="A26" s="5" t="n"/>
      <c r="B26" s="5" t="n"/>
      <c r="C26" s="5" t="n"/>
      <c r="D26" s="5" t="n"/>
      <c r="E26" s="25">
        <f>IF(OR(C26="",D26=""),"",C26-D26)</f>
        <v/>
      </c>
      <c r="F26" s="27">
        <f>IF(OR(C26="",D26=""),"",IFERROR(D26/C26*100,0))</f>
        <v/>
      </c>
      <c r="G26" s="5" t="n"/>
      <c r="H26" s="5" t="n"/>
      <c r="I26" s="5" t="n"/>
      <c r="J26" s="5" t="n"/>
      <c r="K26" s="5" t="n"/>
      <c r="L26" s="5" t="n"/>
      <c r="M26" s="25">
        <f>IF(G26="","",IFERROR(SUMIF($G$6:$G$115,G26,$D$6:$D$115),0))</f>
        <v/>
      </c>
      <c r="N26" s="27">
        <f>IF(G26="","",IFERROR(AVERAGEIF($G$6:$G$115,G26,$F$6:$F$115),0))</f>
        <v/>
      </c>
    </row>
    <row r="27" ht="22" customHeight="1">
      <c r="A27" s="7" t="n"/>
      <c r="B27" s="7" t="n"/>
      <c r="C27" s="7" t="n"/>
      <c r="D27" s="7" t="n"/>
      <c r="E27" s="26">
        <f>IF(OR(C27="",D27=""),"",C27-D27)</f>
        <v/>
      </c>
      <c r="F27" s="28">
        <f>IF(OR(C27="",D27=""),"",IFERROR(D27/C27*100,0))</f>
        <v/>
      </c>
      <c r="G27" s="7" t="n"/>
      <c r="H27" s="7" t="n"/>
      <c r="I27" s="7" t="n"/>
      <c r="J27" s="7" t="n"/>
      <c r="K27" s="7" t="n"/>
      <c r="L27" s="7" t="n"/>
      <c r="M27" s="26">
        <f>IF(G27="","",IFERROR(SUMIF($G$6:$G$115,G27,$D$6:$D$115),0))</f>
        <v/>
      </c>
      <c r="N27" s="28">
        <f>IF(G27="","",IFERROR(AVERAGEIF($G$6:$G$115,G27,$F$6:$F$115),0))</f>
        <v/>
      </c>
    </row>
    <row r="28" ht="22" customHeight="1">
      <c r="A28" s="5" t="n"/>
      <c r="B28" s="5" t="n"/>
      <c r="C28" s="5" t="n"/>
      <c r="D28" s="5" t="n"/>
      <c r="E28" s="25">
        <f>IF(OR(C28="",D28=""),"",C28-D28)</f>
        <v/>
      </c>
      <c r="F28" s="27">
        <f>IF(OR(C28="",D28=""),"",IFERROR(D28/C28*100,0))</f>
        <v/>
      </c>
      <c r="G28" s="5" t="n"/>
      <c r="H28" s="5" t="n"/>
      <c r="I28" s="5" t="n"/>
      <c r="J28" s="5" t="n"/>
      <c r="K28" s="5" t="n"/>
      <c r="L28" s="5" t="n"/>
      <c r="M28" s="25">
        <f>IF(G28="","",IFERROR(SUMIF($G$6:$G$115,G28,$D$6:$D$115),0))</f>
        <v/>
      </c>
      <c r="N28" s="27">
        <f>IF(G28="","",IFERROR(AVERAGEIF($G$6:$G$115,G28,$F$6:$F$115),0))</f>
        <v/>
      </c>
    </row>
    <row r="29" ht="22" customHeight="1">
      <c r="A29" s="7" t="n"/>
      <c r="B29" s="7" t="n"/>
      <c r="C29" s="7" t="n"/>
      <c r="D29" s="7" t="n"/>
      <c r="E29" s="26">
        <f>IF(OR(C29="",D29=""),"",C29-D29)</f>
        <v/>
      </c>
      <c r="F29" s="28">
        <f>IF(OR(C29="",D29=""),"",IFERROR(D29/C29*100,0))</f>
        <v/>
      </c>
      <c r="G29" s="7" t="n"/>
      <c r="H29" s="7" t="n"/>
      <c r="I29" s="7" t="n"/>
      <c r="J29" s="7" t="n"/>
      <c r="K29" s="7" t="n"/>
      <c r="L29" s="7" t="n"/>
      <c r="M29" s="26">
        <f>IF(G29="","",IFERROR(SUMIF($G$6:$G$115,G29,$D$6:$D$115),0))</f>
        <v/>
      </c>
      <c r="N29" s="28">
        <f>IF(G29="","",IFERROR(AVERAGEIF($G$6:$G$115,G29,$F$6:$F$115),0))</f>
        <v/>
      </c>
    </row>
    <row r="30" ht="22" customHeight="1">
      <c r="A30" s="5" t="n"/>
      <c r="B30" s="5" t="n"/>
      <c r="C30" s="5" t="n"/>
      <c r="D30" s="5" t="n"/>
      <c r="E30" s="25">
        <f>IF(OR(C30="",D30=""),"",C30-D30)</f>
        <v/>
      </c>
      <c r="F30" s="27">
        <f>IF(OR(C30="",D30=""),"",IFERROR(D30/C30*100,0))</f>
        <v/>
      </c>
      <c r="G30" s="5" t="n"/>
      <c r="H30" s="5" t="n"/>
      <c r="I30" s="5" t="n"/>
      <c r="J30" s="5" t="n"/>
      <c r="K30" s="5" t="n"/>
      <c r="L30" s="5" t="n"/>
      <c r="M30" s="25">
        <f>IF(G30="","",IFERROR(SUMIF($G$6:$G$115,G30,$D$6:$D$115),0))</f>
        <v/>
      </c>
      <c r="N30" s="27">
        <f>IF(G30="","",IFERROR(AVERAGEIF($G$6:$G$115,G30,$F$6:$F$115),0))</f>
        <v/>
      </c>
    </row>
    <row r="31" ht="22" customHeight="1">
      <c r="A31" s="7" t="n"/>
      <c r="B31" s="7" t="n"/>
      <c r="C31" s="7" t="n"/>
      <c r="D31" s="7" t="n"/>
      <c r="E31" s="26">
        <f>IF(OR(C31="",D31=""),"",C31-D31)</f>
        <v/>
      </c>
      <c r="F31" s="28">
        <f>IF(OR(C31="",D31=""),"",IFERROR(D31/C31*100,0))</f>
        <v/>
      </c>
      <c r="G31" s="7" t="n"/>
      <c r="H31" s="7" t="n"/>
      <c r="I31" s="7" t="n"/>
      <c r="J31" s="7" t="n"/>
      <c r="K31" s="7" t="n"/>
      <c r="L31" s="7" t="n"/>
      <c r="M31" s="26">
        <f>IF(G31="","",IFERROR(SUMIF($G$6:$G$115,G31,$D$6:$D$115),0))</f>
        <v/>
      </c>
      <c r="N31" s="28">
        <f>IF(G31="","",IFERROR(AVERAGEIF($G$6:$G$115,G31,$F$6:$F$115),0))</f>
        <v/>
      </c>
    </row>
    <row r="32" ht="22" customHeight="1">
      <c r="A32" s="5" t="n"/>
      <c r="B32" s="5" t="n"/>
      <c r="C32" s="5" t="n"/>
      <c r="D32" s="5" t="n"/>
      <c r="E32" s="25">
        <f>IF(OR(C32="",D32=""),"",C32-D32)</f>
        <v/>
      </c>
      <c r="F32" s="27">
        <f>IF(OR(C32="",D32=""),"",IFERROR(D32/C32*100,0))</f>
        <v/>
      </c>
      <c r="G32" s="5" t="n"/>
      <c r="H32" s="5" t="n"/>
      <c r="I32" s="5" t="n"/>
      <c r="J32" s="5" t="n"/>
      <c r="K32" s="5" t="n"/>
      <c r="L32" s="5" t="n"/>
      <c r="M32" s="25">
        <f>IF(G32="","",IFERROR(SUMIF($G$6:$G$115,G32,$D$6:$D$115),0))</f>
        <v/>
      </c>
      <c r="N32" s="27">
        <f>IF(G32="","",IFERROR(AVERAGEIF($G$6:$G$115,G32,$F$6:$F$115),0))</f>
        <v/>
      </c>
    </row>
    <row r="33" ht="22" customHeight="1">
      <c r="A33" s="7" t="n"/>
      <c r="B33" s="7" t="n"/>
      <c r="C33" s="7" t="n"/>
      <c r="D33" s="7" t="n"/>
      <c r="E33" s="26">
        <f>IF(OR(C33="",D33=""),"",C33-D33)</f>
        <v/>
      </c>
      <c r="F33" s="28">
        <f>IF(OR(C33="",D33=""),"",IFERROR(D33/C33*100,0))</f>
        <v/>
      </c>
      <c r="G33" s="7" t="n"/>
      <c r="H33" s="7" t="n"/>
      <c r="I33" s="7" t="n"/>
      <c r="J33" s="7" t="n"/>
      <c r="K33" s="7" t="n"/>
      <c r="L33" s="7" t="n"/>
      <c r="M33" s="26">
        <f>IF(G33="","",IFERROR(SUMIF($G$6:$G$115,G33,$D$6:$D$115),0))</f>
        <v/>
      </c>
      <c r="N33" s="28">
        <f>IF(G33="","",IFERROR(AVERAGEIF($G$6:$G$115,G33,$F$6:$F$115),0))</f>
        <v/>
      </c>
    </row>
    <row r="34" ht="22" customHeight="1">
      <c r="A34" s="5" t="n"/>
      <c r="B34" s="5" t="n"/>
      <c r="C34" s="5" t="n"/>
      <c r="D34" s="5" t="n"/>
      <c r="E34" s="25">
        <f>IF(OR(C34="",D34=""),"",C34-D34)</f>
        <v/>
      </c>
      <c r="F34" s="27">
        <f>IF(OR(C34="",D34=""),"",IFERROR(D34/C34*100,0))</f>
        <v/>
      </c>
      <c r="G34" s="5" t="n"/>
      <c r="H34" s="5" t="n"/>
      <c r="I34" s="5" t="n"/>
      <c r="J34" s="5" t="n"/>
      <c r="K34" s="5" t="n"/>
      <c r="L34" s="5" t="n"/>
      <c r="M34" s="25">
        <f>IF(G34="","",IFERROR(SUMIF($G$6:$G$115,G34,$D$6:$D$115),0))</f>
        <v/>
      </c>
      <c r="N34" s="27">
        <f>IF(G34="","",IFERROR(AVERAGEIF($G$6:$G$115,G34,$F$6:$F$115),0))</f>
        <v/>
      </c>
    </row>
    <row r="35" ht="22" customHeight="1">
      <c r="A35" s="7" t="n"/>
      <c r="B35" s="7" t="n"/>
      <c r="C35" s="7" t="n"/>
      <c r="D35" s="7" t="n"/>
      <c r="E35" s="26">
        <f>IF(OR(C35="",D35=""),"",C35-D35)</f>
        <v/>
      </c>
      <c r="F35" s="28">
        <f>IF(OR(C35="",D35=""),"",IFERROR(D35/C35*100,0))</f>
        <v/>
      </c>
      <c r="G35" s="7" t="n"/>
      <c r="H35" s="7" t="n"/>
      <c r="I35" s="7" t="n"/>
      <c r="J35" s="7" t="n"/>
      <c r="K35" s="7" t="n"/>
      <c r="L35" s="7" t="n"/>
      <c r="M35" s="26">
        <f>IF(G35="","",IFERROR(SUMIF($G$6:$G$115,G35,$D$6:$D$115),0))</f>
        <v/>
      </c>
      <c r="N35" s="28">
        <f>IF(G35="","",IFERROR(AVERAGEIF($G$6:$G$115,G35,$F$6:$F$115),0))</f>
        <v/>
      </c>
    </row>
    <row r="36" ht="22" customHeight="1">
      <c r="A36" s="5" t="n"/>
      <c r="B36" s="5" t="n"/>
      <c r="C36" s="5" t="n"/>
      <c r="D36" s="5" t="n"/>
      <c r="E36" s="25">
        <f>IF(OR(C36="",D36=""),"",C36-D36)</f>
        <v/>
      </c>
      <c r="F36" s="27">
        <f>IF(OR(C36="",D36=""),"",IFERROR(D36/C36*100,0))</f>
        <v/>
      </c>
      <c r="G36" s="5" t="n"/>
      <c r="H36" s="5" t="n"/>
      <c r="I36" s="5" t="n"/>
      <c r="J36" s="5" t="n"/>
      <c r="K36" s="5" t="n"/>
      <c r="L36" s="5" t="n"/>
      <c r="M36" s="25">
        <f>IF(G36="","",IFERROR(SUMIF($G$6:$G$115,G36,$D$6:$D$115),0))</f>
        <v/>
      </c>
      <c r="N36" s="27">
        <f>IF(G36="","",IFERROR(AVERAGEIF($G$6:$G$115,G36,$F$6:$F$115),0))</f>
        <v/>
      </c>
    </row>
    <row r="37" ht="22" customHeight="1">
      <c r="A37" s="7" t="n"/>
      <c r="B37" s="7" t="n"/>
      <c r="C37" s="7" t="n"/>
      <c r="D37" s="7" t="n"/>
      <c r="E37" s="26">
        <f>IF(OR(C37="",D37=""),"",C37-D37)</f>
        <v/>
      </c>
      <c r="F37" s="28">
        <f>IF(OR(C37="",D37=""),"",IFERROR(D37/C37*100,0))</f>
        <v/>
      </c>
      <c r="G37" s="7" t="n"/>
      <c r="H37" s="7" t="n"/>
      <c r="I37" s="7" t="n"/>
      <c r="J37" s="7" t="n"/>
      <c r="K37" s="7" t="n"/>
      <c r="L37" s="7" t="n"/>
      <c r="M37" s="26">
        <f>IF(G37="","",IFERROR(SUMIF($G$6:$G$115,G37,$D$6:$D$115),0))</f>
        <v/>
      </c>
      <c r="N37" s="28">
        <f>IF(G37="","",IFERROR(AVERAGEIF($G$6:$G$115,G37,$F$6:$F$115),0))</f>
        <v/>
      </c>
    </row>
    <row r="38" ht="22" customHeight="1">
      <c r="A38" s="5" t="n"/>
      <c r="B38" s="5" t="n"/>
      <c r="C38" s="5" t="n"/>
      <c r="D38" s="5" t="n"/>
      <c r="E38" s="25">
        <f>IF(OR(C38="",D38=""),"",C38-D38)</f>
        <v/>
      </c>
      <c r="F38" s="27">
        <f>IF(OR(C38="",D38=""),"",IFERROR(D38/C38*100,0))</f>
        <v/>
      </c>
      <c r="G38" s="5" t="n"/>
      <c r="H38" s="5" t="n"/>
      <c r="I38" s="5" t="n"/>
      <c r="J38" s="5" t="n"/>
      <c r="K38" s="5" t="n"/>
      <c r="L38" s="5" t="n"/>
      <c r="M38" s="25">
        <f>IF(G38="","",IFERROR(SUMIF($G$6:$G$115,G38,$D$6:$D$115),0))</f>
        <v/>
      </c>
      <c r="N38" s="27">
        <f>IF(G38="","",IFERROR(AVERAGEIF($G$6:$G$115,G38,$F$6:$F$115),0))</f>
        <v/>
      </c>
    </row>
    <row r="39" ht="22" customHeight="1">
      <c r="A39" s="7" t="n"/>
      <c r="B39" s="7" t="n"/>
      <c r="C39" s="7" t="n"/>
      <c r="D39" s="7" t="n"/>
      <c r="E39" s="26">
        <f>IF(OR(C39="",D39=""),"",C39-D39)</f>
        <v/>
      </c>
      <c r="F39" s="28">
        <f>IF(OR(C39="",D39=""),"",IFERROR(D39/C39*100,0))</f>
        <v/>
      </c>
      <c r="G39" s="7" t="n"/>
      <c r="H39" s="7" t="n"/>
      <c r="I39" s="7" t="n"/>
      <c r="J39" s="7" t="n"/>
      <c r="K39" s="7" t="n"/>
      <c r="L39" s="7" t="n"/>
      <c r="M39" s="26">
        <f>IF(G39="","",IFERROR(SUMIF($G$6:$G$115,G39,$D$6:$D$115),0))</f>
        <v/>
      </c>
      <c r="N39" s="28">
        <f>IF(G39="","",IFERROR(AVERAGEIF($G$6:$G$115,G39,$F$6:$F$115),0))</f>
        <v/>
      </c>
    </row>
    <row r="40" ht="22" customHeight="1">
      <c r="A40" s="5" t="n"/>
      <c r="B40" s="5" t="n"/>
      <c r="C40" s="5" t="n"/>
      <c r="D40" s="5" t="n"/>
      <c r="E40" s="25">
        <f>IF(OR(C40="",D40=""),"",C40-D40)</f>
        <v/>
      </c>
      <c r="F40" s="27">
        <f>IF(OR(C40="",D40=""),"",IFERROR(D40/C40*100,0))</f>
        <v/>
      </c>
      <c r="G40" s="5" t="n"/>
      <c r="H40" s="5" t="n"/>
      <c r="I40" s="5" t="n"/>
      <c r="J40" s="5" t="n"/>
      <c r="K40" s="5" t="n"/>
      <c r="L40" s="5" t="n"/>
      <c r="M40" s="25">
        <f>IF(G40="","",IFERROR(SUMIF($G$6:$G$115,G40,$D$6:$D$115),0))</f>
        <v/>
      </c>
      <c r="N40" s="27">
        <f>IF(G40="","",IFERROR(AVERAGEIF($G$6:$G$115,G40,$F$6:$F$115),0))</f>
        <v/>
      </c>
    </row>
    <row r="41" ht="22" customHeight="1">
      <c r="A41" s="7" t="n"/>
      <c r="B41" s="7" t="n"/>
      <c r="C41" s="7" t="n"/>
      <c r="D41" s="7" t="n"/>
      <c r="E41" s="26">
        <f>IF(OR(C41="",D41=""),"",C41-D41)</f>
        <v/>
      </c>
      <c r="F41" s="28">
        <f>IF(OR(C41="",D41=""),"",IFERROR(D41/C41*100,0))</f>
        <v/>
      </c>
      <c r="G41" s="7" t="n"/>
      <c r="H41" s="7" t="n"/>
      <c r="I41" s="7" t="n"/>
      <c r="J41" s="7" t="n"/>
      <c r="K41" s="7" t="n"/>
      <c r="L41" s="7" t="n"/>
      <c r="M41" s="26">
        <f>IF(G41="","",IFERROR(SUMIF($G$6:$G$115,G41,$D$6:$D$115),0))</f>
        <v/>
      </c>
      <c r="N41" s="28">
        <f>IF(G41="","",IFERROR(AVERAGEIF($G$6:$G$115,G41,$F$6:$F$115),0))</f>
        <v/>
      </c>
    </row>
    <row r="42" ht="22" customHeight="1">
      <c r="A42" s="5" t="n"/>
      <c r="B42" s="5" t="n"/>
      <c r="C42" s="5" t="n"/>
      <c r="D42" s="5" t="n"/>
      <c r="E42" s="25">
        <f>IF(OR(C42="",D42=""),"",C42-D42)</f>
        <v/>
      </c>
      <c r="F42" s="27">
        <f>IF(OR(C42="",D42=""),"",IFERROR(D42/C42*100,0))</f>
        <v/>
      </c>
      <c r="G42" s="5" t="n"/>
      <c r="H42" s="5" t="n"/>
      <c r="I42" s="5" t="n"/>
      <c r="J42" s="5" t="n"/>
      <c r="K42" s="5" t="n"/>
      <c r="L42" s="5" t="n"/>
      <c r="M42" s="25">
        <f>IF(G42="","",IFERROR(SUMIF($G$6:$G$115,G42,$D$6:$D$115),0))</f>
        <v/>
      </c>
      <c r="N42" s="27">
        <f>IF(G42="","",IFERROR(AVERAGEIF($G$6:$G$115,G42,$F$6:$F$115),0))</f>
        <v/>
      </c>
    </row>
    <row r="43" ht="22" customHeight="1">
      <c r="A43" s="7" t="n"/>
      <c r="B43" s="7" t="n"/>
      <c r="C43" s="7" t="n"/>
      <c r="D43" s="7" t="n"/>
      <c r="E43" s="26">
        <f>IF(OR(C43="",D43=""),"",C43-D43)</f>
        <v/>
      </c>
      <c r="F43" s="28">
        <f>IF(OR(C43="",D43=""),"",IFERROR(D43/C43*100,0))</f>
        <v/>
      </c>
      <c r="G43" s="7" t="n"/>
      <c r="H43" s="7" t="n"/>
      <c r="I43" s="7" t="n"/>
      <c r="J43" s="7" t="n"/>
      <c r="K43" s="7" t="n"/>
      <c r="L43" s="7" t="n"/>
      <c r="M43" s="26">
        <f>IF(G43="","",IFERROR(SUMIF($G$6:$G$115,G43,$D$6:$D$115),0))</f>
        <v/>
      </c>
      <c r="N43" s="28">
        <f>IF(G43="","",IFERROR(AVERAGEIF($G$6:$G$115,G43,$F$6:$F$115),0))</f>
        <v/>
      </c>
    </row>
    <row r="44" ht="22" customHeight="1">
      <c r="A44" s="5" t="n"/>
      <c r="B44" s="5" t="n"/>
      <c r="C44" s="5" t="n"/>
      <c r="D44" s="5" t="n"/>
      <c r="E44" s="25">
        <f>IF(OR(C44="",D44=""),"",C44-D44)</f>
        <v/>
      </c>
      <c r="F44" s="27">
        <f>IF(OR(C44="",D44=""),"",IFERROR(D44/C44*100,0))</f>
        <v/>
      </c>
      <c r="G44" s="5" t="n"/>
      <c r="H44" s="5" t="n"/>
      <c r="I44" s="5" t="n"/>
      <c r="J44" s="5" t="n"/>
      <c r="K44" s="5" t="n"/>
      <c r="L44" s="5" t="n"/>
      <c r="M44" s="25">
        <f>IF(G44="","",IFERROR(SUMIF($G$6:$G$115,G44,$D$6:$D$115),0))</f>
        <v/>
      </c>
      <c r="N44" s="27">
        <f>IF(G44="","",IFERROR(AVERAGEIF($G$6:$G$115,G44,$F$6:$F$115),0))</f>
        <v/>
      </c>
    </row>
    <row r="45" ht="22" customHeight="1">
      <c r="A45" s="7" t="n"/>
      <c r="B45" s="7" t="n"/>
      <c r="C45" s="7" t="n"/>
      <c r="D45" s="7" t="n"/>
      <c r="E45" s="26">
        <f>IF(OR(C45="",D45=""),"",C45-D45)</f>
        <v/>
      </c>
      <c r="F45" s="28">
        <f>IF(OR(C45="",D45=""),"",IFERROR(D45/C45*100,0))</f>
        <v/>
      </c>
      <c r="G45" s="7" t="n"/>
      <c r="H45" s="7" t="n"/>
      <c r="I45" s="7" t="n"/>
      <c r="J45" s="7" t="n"/>
      <c r="K45" s="7" t="n"/>
      <c r="L45" s="7" t="n"/>
      <c r="M45" s="26">
        <f>IF(G45="","",IFERROR(SUMIF($G$6:$G$115,G45,$D$6:$D$115),0))</f>
        <v/>
      </c>
      <c r="N45" s="28">
        <f>IF(G45="","",IFERROR(AVERAGEIF($G$6:$G$115,G45,$F$6:$F$115),0))</f>
        <v/>
      </c>
    </row>
    <row r="46" ht="22" customHeight="1">
      <c r="A46" s="5" t="n"/>
      <c r="B46" s="5" t="n"/>
      <c r="C46" s="5" t="n"/>
      <c r="D46" s="5" t="n"/>
      <c r="E46" s="25">
        <f>IF(OR(C46="",D46=""),"",C46-D46)</f>
        <v/>
      </c>
      <c r="F46" s="27">
        <f>IF(OR(C46="",D46=""),"",IFERROR(D46/C46*100,0))</f>
        <v/>
      </c>
      <c r="G46" s="5" t="n"/>
      <c r="H46" s="5" t="n"/>
      <c r="I46" s="5" t="n"/>
      <c r="J46" s="5" t="n"/>
      <c r="K46" s="5" t="n"/>
      <c r="L46" s="5" t="n"/>
      <c r="M46" s="25">
        <f>IF(G46="","",IFERROR(SUMIF($G$6:$G$115,G46,$D$6:$D$115),0))</f>
        <v/>
      </c>
      <c r="N46" s="27">
        <f>IF(G46="","",IFERROR(AVERAGEIF($G$6:$G$115,G46,$F$6:$F$115),0))</f>
        <v/>
      </c>
    </row>
    <row r="47" ht="22" customHeight="1">
      <c r="A47" s="7" t="n"/>
      <c r="B47" s="7" t="n"/>
      <c r="C47" s="7" t="n"/>
      <c r="D47" s="7" t="n"/>
      <c r="E47" s="26">
        <f>IF(OR(C47="",D47=""),"",C47-D47)</f>
        <v/>
      </c>
      <c r="F47" s="28">
        <f>IF(OR(C47="",D47=""),"",IFERROR(D47/C47*100,0))</f>
        <v/>
      </c>
      <c r="G47" s="7" t="n"/>
      <c r="H47" s="7" t="n"/>
      <c r="I47" s="7" t="n"/>
      <c r="J47" s="7" t="n"/>
      <c r="K47" s="7" t="n"/>
      <c r="L47" s="7" t="n"/>
      <c r="M47" s="26">
        <f>IF(G47="","",IFERROR(SUMIF($G$6:$G$115,G47,$D$6:$D$115),0))</f>
        <v/>
      </c>
      <c r="N47" s="28">
        <f>IF(G47="","",IFERROR(AVERAGEIF($G$6:$G$115,G47,$F$6:$F$115),0))</f>
        <v/>
      </c>
    </row>
    <row r="48" ht="22" customHeight="1">
      <c r="A48" s="5" t="n"/>
      <c r="B48" s="5" t="n"/>
      <c r="C48" s="5" t="n"/>
      <c r="D48" s="5" t="n"/>
      <c r="E48" s="25">
        <f>IF(OR(C48="",D48=""),"",C48-D48)</f>
        <v/>
      </c>
      <c r="F48" s="27">
        <f>IF(OR(C48="",D48=""),"",IFERROR(D48/C48*100,0))</f>
        <v/>
      </c>
      <c r="G48" s="5" t="n"/>
      <c r="H48" s="5" t="n"/>
      <c r="I48" s="5" t="n"/>
      <c r="J48" s="5" t="n"/>
      <c r="K48" s="5" t="n"/>
      <c r="L48" s="5" t="n"/>
      <c r="M48" s="25">
        <f>IF(G48="","",IFERROR(SUMIF($G$6:$G$115,G48,$D$6:$D$115),0))</f>
        <v/>
      </c>
      <c r="N48" s="27">
        <f>IF(G48="","",IFERROR(AVERAGEIF($G$6:$G$115,G48,$F$6:$F$115),0))</f>
        <v/>
      </c>
    </row>
    <row r="49" ht="22" customHeight="1">
      <c r="A49" s="7" t="n"/>
      <c r="B49" s="7" t="n"/>
      <c r="C49" s="7" t="n"/>
      <c r="D49" s="7" t="n"/>
      <c r="E49" s="26">
        <f>IF(OR(C49="",D49=""),"",C49-D49)</f>
        <v/>
      </c>
      <c r="F49" s="28">
        <f>IF(OR(C49="",D49=""),"",IFERROR(D49/C49*100,0))</f>
        <v/>
      </c>
      <c r="G49" s="7" t="n"/>
      <c r="H49" s="7" t="n"/>
      <c r="I49" s="7" t="n"/>
      <c r="J49" s="7" t="n"/>
      <c r="K49" s="7" t="n"/>
      <c r="L49" s="7" t="n"/>
      <c r="M49" s="26">
        <f>IF(G49="","",IFERROR(SUMIF($G$6:$G$115,G49,$D$6:$D$115),0))</f>
        <v/>
      </c>
      <c r="N49" s="28">
        <f>IF(G49="","",IFERROR(AVERAGEIF($G$6:$G$115,G49,$F$6:$F$115),0))</f>
        <v/>
      </c>
    </row>
    <row r="50" ht="22" customHeight="1">
      <c r="A50" s="5" t="n"/>
      <c r="B50" s="5" t="n"/>
      <c r="C50" s="5" t="n"/>
      <c r="D50" s="5" t="n"/>
      <c r="E50" s="25">
        <f>IF(OR(C50="",D50=""),"",C50-D50)</f>
        <v/>
      </c>
      <c r="F50" s="27">
        <f>IF(OR(C50="",D50=""),"",IFERROR(D50/C50*100,0))</f>
        <v/>
      </c>
      <c r="G50" s="5" t="n"/>
      <c r="H50" s="5" t="n"/>
      <c r="I50" s="5" t="n"/>
      <c r="J50" s="5" t="n"/>
      <c r="K50" s="5" t="n"/>
      <c r="L50" s="5" t="n"/>
      <c r="M50" s="25">
        <f>IF(G50="","",IFERROR(SUMIF($G$6:$G$115,G50,$D$6:$D$115),0))</f>
        <v/>
      </c>
      <c r="N50" s="27">
        <f>IF(G50="","",IFERROR(AVERAGEIF($G$6:$G$115,G50,$F$6:$F$115),0))</f>
        <v/>
      </c>
    </row>
    <row r="51" ht="22" customHeight="1">
      <c r="A51" s="7" t="n"/>
      <c r="B51" s="7" t="n"/>
      <c r="C51" s="7" t="n"/>
      <c r="D51" s="7" t="n"/>
      <c r="E51" s="26">
        <f>IF(OR(C51="",D51=""),"",C51-D51)</f>
        <v/>
      </c>
      <c r="F51" s="28">
        <f>IF(OR(C51="",D51=""),"",IFERROR(D51/C51*100,0))</f>
        <v/>
      </c>
      <c r="G51" s="7" t="n"/>
      <c r="H51" s="7" t="n"/>
      <c r="I51" s="7" t="n"/>
      <c r="J51" s="7" t="n"/>
      <c r="K51" s="7" t="n"/>
      <c r="L51" s="7" t="n"/>
      <c r="M51" s="26">
        <f>IF(G51="","",IFERROR(SUMIF($G$6:$G$115,G51,$D$6:$D$115),0))</f>
        <v/>
      </c>
      <c r="N51" s="28">
        <f>IF(G51="","",IFERROR(AVERAGEIF($G$6:$G$115,G51,$F$6:$F$115),0))</f>
        <v/>
      </c>
    </row>
    <row r="52" ht="22" customHeight="1">
      <c r="A52" s="5" t="n"/>
      <c r="B52" s="5" t="n"/>
      <c r="C52" s="5" t="n"/>
      <c r="D52" s="5" t="n"/>
      <c r="E52" s="25">
        <f>IF(OR(C52="",D52=""),"",C52-D52)</f>
        <v/>
      </c>
      <c r="F52" s="27">
        <f>IF(OR(C52="",D52=""),"",IFERROR(D52/C52*100,0))</f>
        <v/>
      </c>
      <c r="G52" s="5" t="n"/>
      <c r="H52" s="5" t="n"/>
      <c r="I52" s="5" t="n"/>
      <c r="J52" s="5" t="n"/>
      <c r="K52" s="5" t="n"/>
      <c r="L52" s="5" t="n"/>
      <c r="M52" s="25">
        <f>IF(G52="","",IFERROR(SUMIF($G$6:$G$115,G52,$D$6:$D$115),0))</f>
        <v/>
      </c>
      <c r="N52" s="27">
        <f>IF(G52="","",IFERROR(AVERAGEIF($G$6:$G$115,G52,$F$6:$F$115),0))</f>
        <v/>
      </c>
    </row>
    <row r="53" ht="22" customHeight="1">
      <c r="A53" s="7" t="n"/>
      <c r="B53" s="7" t="n"/>
      <c r="C53" s="7" t="n"/>
      <c r="D53" s="7" t="n"/>
      <c r="E53" s="26">
        <f>IF(OR(C53="",D53=""),"",C53-D53)</f>
        <v/>
      </c>
      <c r="F53" s="28">
        <f>IF(OR(C53="",D53=""),"",IFERROR(D53/C53*100,0))</f>
        <v/>
      </c>
      <c r="G53" s="7" t="n"/>
      <c r="H53" s="7" t="n"/>
      <c r="I53" s="7" t="n"/>
      <c r="J53" s="7" t="n"/>
      <c r="K53" s="7" t="n"/>
      <c r="L53" s="7" t="n"/>
      <c r="M53" s="26">
        <f>IF(G53="","",IFERROR(SUMIF($G$6:$G$115,G53,$D$6:$D$115),0))</f>
        <v/>
      </c>
      <c r="N53" s="28">
        <f>IF(G53="","",IFERROR(AVERAGEIF($G$6:$G$115,G53,$F$6:$F$115),0))</f>
        <v/>
      </c>
    </row>
    <row r="54" ht="22" customHeight="1">
      <c r="A54" s="5" t="n"/>
      <c r="B54" s="5" t="n"/>
      <c r="C54" s="5" t="n"/>
      <c r="D54" s="5" t="n"/>
      <c r="E54" s="25">
        <f>IF(OR(C54="",D54=""),"",C54-D54)</f>
        <v/>
      </c>
      <c r="F54" s="27">
        <f>IF(OR(C54="",D54=""),"",IFERROR(D54/C54*100,0))</f>
        <v/>
      </c>
      <c r="G54" s="5" t="n"/>
      <c r="H54" s="5" t="n"/>
      <c r="I54" s="5" t="n"/>
      <c r="J54" s="5" t="n"/>
      <c r="K54" s="5" t="n"/>
      <c r="L54" s="5" t="n"/>
      <c r="M54" s="25">
        <f>IF(G54="","",IFERROR(SUMIF($G$6:$G$115,G54,$D$6:$D$115),0))</f>
        <v/>
      </c>
      <c r="N54" s="27">
        <f>IF(G54="","",IFERROR(AVERAGEIF($G$6:$G$115,G54,$F$6:$F$115),0))</f>
        <v/>
      </c>
    </row>
    <row r="55" ht="22" customHeight="1">
      <c r="A55" s="7" t="n"/>
      <c r="B55" s="7" t="n"/>
      <c r="C55" s="7" t="n"/>
      <c r="D55" s="7" t="n"/>
      <c r="E55" s="26">
        <f>IF(OR(C55="",D55=""),"",C55-D55)</f>
        <v/>
      </c>
      <c r="F55" s="28">
        <f>IF(OR(C55="",D55=""),"",IFERROR(D55/C55*100,0))</f>
        <v/>
      </c>
      <c r="G55" s="7" t="n"/>
      <c r="H55" s="7" t="n"/>
      <c r="I55" s="7" t="n"/>
      <c r="J55" s="7" t="n"/>
      <c r="K55" s="7" t="n"/>
      <c r="L55" s="7" t="n"/>
      <c r="M55" s="26">
        <f>IF(G55="","",IFERROR(SUMIF($G$6:$G$115,G55,$D$6:$D$115),0))</f>
        <v/>
      </c>
      <c r="N55" s="28">
        <f>IF(G55="","",IFERROR(AVERAGEIF($G$6:$G$115,G55,$F$6:$F$115),0))</f>
        <v/>
      </c>
    </row>
    <row r="56" ht="22" customHeight="1">
      <c r="A56" s="5" t="n"/>
      <c r="B56" s="5" t="n"/>
      <c r="C56" s="5" t="n"/>
      <c r="D56" s="5" t="n"/>
      <c r="E56" s="25">
        <f>IF(OR(C56="",D56=""),"",C56-D56)</f>
        <v/>
      </c>
      <c r="F56" s="27">
        <f>IF(OR(C56="",D56=""),"",IFERROR(D56/C56*100,0))</f>
        <v/>
      </c>
      <c r="G56" s="5" t="n"/>
      <c r="H56" s="5" t="n"/>
      <c r="I56" s="5" t="n"/>
      <c r="J56" s="5" t="n"/>
      <c r="K56" s="5" t="n"/>
      <c r="L56" s="5" t="n"/>
      <c r="M56" s="25">
        <f>IF(G56="","",IFERROR(SUMIF($G$6:$G$115,G56,$D$6:$D$115),0))</f>
        <v/>
      </c>
      <c r="N56" s="27">
        <f>IF(G56="","",IFERROR(AVERAGEIF($G$6:$G$115,G56,$F$6:$F$115),0))</f>
        <v/>
      </c>
    </row>
    <row r="57" ht="22" customHeight="1">
      <c r="A57" s="7" t="n"/>
      <c r="B57" s="7" t="n"/>
      <c r="C57" s="7" t="n"/>
      <c r="D57" s="7" t="n"/>
      <c r="E57" s="26">
        <f>IF(OR(C57="",D57=""),"",C57-D57)</f>
        <v/>
      </c>
      <c r="F57" s="28">
        <f>IF(OR(C57="",D57=""),"",IFERROR(D57/C57*100,0))</f>
        <v/>
      </c>
      <c r="G57" s="7" t="n"/>
      <c r="H57" s="7" t="n"/>
      <c r="I57" s="7" t="n"/>
      <c r="J57" s="7" t="n"/>
      <c r="K57" s="7" t="n"/>
      <c r="L57" s="7" t="n"/>
      <c r="M57" s="26">
        <f>IF(G57="","",IFERROR(SUMIF($G$6:$G$115,G57,$D$6:$D$115),0))</f>
        <v/>
      </c>
      <c r="N57" s="28">
        <f>IF(G57="","",IFERROR(AVERAGEIF($G$6:$G$115,G57,$F$6:$F$115),0))</f>
        <v/>
      </c>
    </row>
    <row r="58" ht="22" customHeight="1">
      <c r="A58" s="5" t="n"/>
      <c r="B58" s="5" t="n"/>
      <c r="C58" s="5" t="n"/>
      <c r="D58" s="5" t="n"/>
      <c r="E58" s="25">
        <f>IF(OR(C58="",D58=""),"",C58-D58)</f>
        <v/>
      </c>
      <c r="F58" s="27">
        <f>IF(OR(C58="",D58=""),"",IFERROR(D58/C58*100,0))</f>
        <v/>
      </c>
      <c r="G58" s="5" t="n"/>
      <c r="H58" s="5" t="n"/>
      <c r="I58" s="5" t="n"/>
      <c r="J58" s="5" t="n"/>
      <c r="K58" s="5" t="n"/>
      <c r="L58" s="5" t="n"/>
      <c r="M58" s="25">
        <f>IF(G58="","",IFERROR(SUMIF($G$6:$G$115,G58,$D$6:$D$115),0))</f>
        <v/>
      </c>
      <c r="N58" s="27">
        <f>IF(G58="","",IFERROR(AVERAGEIF($G$6:$G$115,G58,$F$6:$F$115),0))</f>
        <v/>
      </c>
    </row>
    <row r="59" ht="22" customHeight="1">
      <c r="A59" s="7" t="n"/>
      <c r="B59" s="7" t="n"/>
      <c r="C59" s="7" t="n"/>
      <c r="D59" s="7" t="n"/>
      <c r="E59" s="26">
        <f>IF(OR(C59="",D59=""),"",C59-D59)</f>
        <v/>
      </c>
      <c r="F59" s="28">
        <f>IF(OR(C59="",D59=""),"",IFERROR(D59/C59*100,0))</f>
        <v/>
      </c>
      <c r="G59" s="7" t="n"/>
      <c r="H59" s="7" t="n"/>
      <c r="I59" s="7" t="n"/>
      <c r="J59" s="7" t="n"/>
      <c r="K59" s="7" t="n"/>
      <c r="L59" s="7" t="n"/>
      <c r="M59" s="26">
        <f>IF(G59="","",IFERROR(SUMIF($G$6:$G$115,G59,$D$6:$D$115),0))</f>
        <v/>
      </c>
      <c r="N59" s="28">
        <f>IF(G59="","",IFERROR(AVERAGEIF($G$6:$G$115,G59,$F$6:$F$115),0))</f>
        <v/>
      </c>
    </row>
    <row r="60" ht="22" customHeight="1">
      <c r="A60" s="5" t="n"/>
      <c r="B60" s="5" t="n"/>
      <c r="C60" s="5" t="n"/>
      <c r="D60" s="5" t="n"/>
      <c r="E60" s="25">
        <f>IF(OR(C60="",D60=""),"",C60-D60)</f>
        <v/>
      </c>
      <c r="F60" s="27">
        <f>IF(OR(C60="",D60=""),"",IFERROR(D60/C60*100,0))</f>
        <v/>
      </c>
      <c r="G60" s="5" t="n"/>
      <c r="H60" s="5" t="n"/>
      <c r="I60" s="5" t="n"/>
      <c r="J60" s="5" t="n"/>
      <c r="K60" s="5" t="n"/>
      <c r="L60" s="5" t="n"/>
      <c r="M60" s="25">
        <f>IF(G60="","",IFERROR(SUMIF($G$6:$G$115,G60,$D$6:$D$115),0))</f>
        <v/>
      </c>
      <c r="N60" s="27">
        <f>IF(G60="","",IFERROR(AVERAGEIF($G$6:$G$115,G60,$F$6:$F$115),0))</f>
        <v/>
      </c>
    </row>
    <row r="61" ht="22" customHeight="1">
      <c r="A61" s="7" t="n"/>
      <c r="B61" s="7" t="n"/>
      <c r="C61" s="7" t="n"/>
      <c r="D61" s="7" t="n"/>
      <c r="E61" s="26">
        <f>IF(OR(C61="",D61=""),"",C61-D61)</f>
        <v/>
      </c>
      <c r="F61" s="28">
        <f>IF(OR(C61="",D61=""),"",IFERROR(D61/C61*100,0))</f>
        <v/>
      </c>
      <c r="G61" s="7" t="n"/>
      <c r="H61" s="7" t="n"/>
      <c r="I61" s="7" t="n"/>
      <c r="J61" s="7" t="n"/>
      <c r="K61" s="7" t="n"/>
      <c r="L61" s="7" t="n"/>
      <c r="M61" s="26">
        <f>IF(G61="","",IFERROR(SUMIF($G$6:$G$115,G61,$D$6:$D$115),0))</f>
        <v/>
      </c>
      <c r="N61" s="28">
        <f>IF(G61="","",IFERROR(AVERAGEIF($G$6:$G$115,G61,$F$6:$F$115),0))</f>
        <v/>
      </c>
    </row>
    <row r="62" ht="22" customHeight="1">
      <c r="A62" s="5" t="n"/>
      <c r="B62" s="5" t="n"/>
      <c r="C62" s="5" t="n"/>
      <c r="D62" s="5" t="n"/>
      <c r="E62" s="25">
        <f>IF(OR(C62="",D62=""),"",C62-D62)</f>
        <v/>
      </c>
      <c r="F62" s="27">
        <f>IF(OR(C62="",D62=""),"",IFERROR(D62/C62*100,0))</f>
        <v/>
      </c>
      <c r="G62" s="5" t="n"/>
      <c r="H62" s="5" t="n"/>
      <c r="I62" s="5" t="n"/>
      <c r="J62" s="5" t="n"/>
      <c r="K62" s="5" t="n"/>
      <c r="L62" s="5" t="n"/>
      <c r="M62" s="25">
        <f>IF(G62="","",IFERROR(SUMIF($G$6:$G$115,G62,$D$6:$D$115),0))</f>
        <v/>
      </c>
      <c r="N62" s="27">
        <f>IF(G62="","",IFERROR(AVERAGEIF($G$6:$G$115,G62,$F$6:$F$115),0))</f>
        <v/>
      </c>
    </row>
    <row r="63" ht="22" customHeight="1">
      <c r="A63" s="7" t="n"/>
      <c r="B63" s="7" t="n"/>
      <c r="C63" s="7" t="n"/>
      <c r="D63" s="7" t="n"/>
      <c r="E63" s="26">
        <f>IF(OR(C63="",D63=""),"",C63-D63)</f>
        <v/>
      </c>
      <c r="F63" s="28">
        <f>IF(OR(C63="",D63=""),"",IFERROR(D63/C63*100,0))</f>
        <v/>
      </c>
      <c r="G63" s="7" t="n"/>
      <c r="H63" s="7" t="n"/>
      <c r="I63" s="7" t="n"/>
      <c r="J63" s="7" t="n"/>
      <c r="K63" s="7" t="n"/>
      <c r="L63" s="7" t="n"/>
      <c r="M63" s="26">
        <f>IF(G63="","",IFERROR(SUMIF($G$6:$G$115,G63,$D$6:$D$115),0))</f>
        <v/>
      </c>
      <c r="N63" s="28">
        <f>IF(G63="","",IFERROR(AVERAGEIF($G$6:$G$115,G63,$F$6:$F$115),0))</f>
        <v/>
      </c>
    </row>
    <row r="64" ht="22" customHeight="1">
      <c r="A64" s="5" t="n"/>
      <c r="B64" s="5" t="n"/>
      <c r="C64" s="5" t="n"/>
      <c r="D64" s="5" t="n"/>
      <c r="E64" s="25">
        <f>IF(OR(C64="",D64=""),"",C64-D64)</f>
        <v/>
      </c>
      <c r="F64" s="27">
        <f>IF(OR(C64="",D64=""),"",IFERROR(D64/C64*100,0))</f>
        <v/>
      </c>
      <c r="G64" s="5" t="n"/>
      <c r="H64" s="5" t="n"/>
      <c r="I64" s="5" t="n"/>
      <c r="J64" s="5" t="n"/>
      <c r="K64" s="5" t="n"/>
      <c r="L64" s="5" t="n"/>
      <c r="M64" s="25">
        <f>IF(G64="","",IFERROR(SUMIF($G$6:$G$115,G64,$D$6:$D$115),0))</f>
        <v/>
      </c>
      <c r="N64" s="27">
        <f>IF(G64="","",IFERROR(AVERAGEIF($G$6:$G$115,G64,$F$6:$F$115),0))</f>
        <v/>
      </c>
    </row>
    <row r="65" ht="22" customHeight="1">
      <c r="A65" s="7" t="n"/>
      <c r="B65" s="7" t="n"/>
      <c r="C65" s="7" t="n"/>
      <c r="D65" s="7" t="n"/>
      <c r="E65" s="26">
        <f>IF(OR(C65="",D65=""),"",C65-D65)</f>
        <v/>
      </c>
      <c r="F65" s="28">
        <f>IF(OR(C65="",D65=""),"",IFERROR(D65/C65*100,0))</f>
        <v/>
      </c>
      <c r="G65" s="7" t="n"/>
      <c r="H65" s="7" t="n"/>
      <c r="I65" s="7" t="n"/>
      <c r="J65" s="7" t="n"/>
      <c r="K65" s="7" t="n"/>
      <c r="L65" s="7" t="n"/>
      <c r="M65" s="26">
        <f>IF(G65="","",IFERROR(SUMIF($G$6:$G$115,G65,$D$6:$D$115),0))</f>
        <v/>
      </c>
      <c r="N65" s="28">
        <f>IF(G65="","",IFERROR(AVERAGEIF($G$6:$G$115,G65,$F$6:$F$115),0))</f>
        <v/>
      </c>
    </row>
    <row r="66" ht="22" customHeight="1">
      <c r="A66" s="5" t="n"/>
      <c r="B66" s="5" t="n"/>
      <c r="C66" s="5" t="n"/>
      <c r="D66" s="5" t="n"/>
      <c r="E66" s="25">
        <f>IF(OR(C66="",D66=""),"",C66-D66)</f>
        <v/>
      </c>
      <c r="F66" s="27">
        <f>IF(OR(C66="",D66=""),"",IFERROR(D66/C66*100,0))</f>
        <v/>
      </c>
      <c r="G66" s="5" t="n"/>
      <c r="H66" s="5" t="n"/>
      <c r="I66" s="5" t="n"/>
      <c r="J66" s="5" t="n"/>
      <c r="K66" s="5" t="n"/>
      <c r="L66" s="5" t="n"/>
      <c r="M66" s="25">
        <f>IF(G66="","",IFERROR(SUMIF($G$6:$G$115,G66,$D$6:$D$115),0))</f>
        <v/>
      </c>
      <c r="N66" s="27">
        <f>IF(G66="","",IFERROR(AVERAGEIF($G$6:$G$115,G66,$F$6:$F$115),0))</f>
        <v/>
      </c>
    </row>
    <row r="67" ht="22" customHeight="1">
      <c r="A67" s="7" t="n"/>
      <c r="B67" s="7" t="n"/>
      <c r="C67" s="7" t="n"/>
      <c r="D67" s="7" t="n"/>
      <c r="E67" s="26">
        <f>IF(OR(C67="",D67=""),"",C67-D67)</f>
        <v/>
      </c>
      <c r="F67" s="28">
        <f>IF(OR(C67="",D67=""),"",IFERROR(D67/C67*100,0))</f>
        <v/>
      </c>
      <c r="G67" s="7" t="n"/>
      <c r="H67" s="7" t="n"/>
      <c r="I67" s="7" t="n"/>
      <c r="J67" s="7" t="n"/>
      <c r="K67" s="7" t="n"/>
      <c r="L67" s="7" t="n"/>
      <c r="M67" s="26">
        <f>IF(G67="","",IFERROR(SUMIF($G$6:$G$115,G67,$D$6:$D$115),0))</f>
        <v/>
      </c>
      <c r="N67" s="28">
        <f>IF(G67="","",IFERROR(AVERAGEIF($G$6:$G$115,G67,$F$6:$F$115),0))</f>
        <v/>
      </c>
    </row>
    <row r="68" ht="22" customHeight="1">
      <c r="A68" s="5" t="n"/>
      <c r="B68" s="5" t="n"/>
      <c r="C68" s="5" t="n"/>
      <c r="D68" s="5" t="n"/>
      <c r="E68" s="25">
        <f>IF(OR(C68="",D68=""),"",C68-D68)</f>
        <v/>
      </c>
      <c r="F68" s="27">
        <f>IF(OR(C68="",D68=""),"",IFERROR(D68/C68*100,0))</f>
        <v/>
      </c>
      <c r="G68" s="5" t="n"/>
      <c r="H68" s="5" t="n"/>
      <c r="I68" s="5" t="n"/>
      <c r="J68" s="5" t="n"/>
      <c r="K68" s="5" t="n"/>
      <c r="L68" s="5" t="n"/>
      <c r="M68" s="25">
        <f>IF(G68="","",IFERROR(SUMIF($G$6:$G$115,G68,$D$6:$D$115),0))</f>
        <v/>
      </c>
      <c r="N68" s="27">
        <f>IF(G68="","",IFERROR(AVERAGEIF($G$6:$G$115,G68,$F$6:$F$115),0))</f>
        <v/>
      </c>
    </row>
    <row r="69" ht="22" customHeight="1">
      <c r="A69" s="7" t="n"/>
      <c r="B69" s="7" t="n"/>
      <c r="C69" s="7" t="n"/>
      <c r="D69" s="7" t="n"/>
      <c r="E69" s="26">
        <f>IF(OR(C69="",D69=""),"",C69-D69)</f>
        <v/>
      </c>
      <c r="F69" s="28">
        <f>IF(OR(C69="",D69=""),"",IFERROR(D69/C69*100,0))</f>
        <v/>
      </c>
      <c r="G69" s="7" t="n"/>
      <c r="H69" s="7" t="n"/>
      <c r="I69" s="7" t="n"/>
      <c r="J69" s="7" t="n"/>
      <c r="K69" s="7" t="n"/>
      <c r="L69" s="7" t="n"/>
      <c r="M69" s="26">
        <f>IF(G69="","",IFERROR(SUMIF($G$6:$G$115,G69,$D$6:$D$115),0))</f>
        <v/>
      </c>
      <c r="N69" s="28">
        <f>IF(G69="","",IFERROR(AVERAGEIF($G$6:$G$115,G69,$F$6:$F$115),0))</f>
        <v/>
      </c>
    </row>
    <row r="70" ht="22" customHeight="1">
      <c r="A70" s="5" t="n"/>
      <c r="B70" s="5" t="n"/>
      <c r="C70" s="5" t="n"/>
      <c r="D70" s="5" t="n"/>
      <c r="E70" s="25">
        <f>IF(OR(C70="",D70=""),"",C70-D70)</f>
        <v/>
      </c>
      <c r="F70" s="27">
        <f>IF(OR(C70="",D70=""),"",IFERROR(D70/C70*100,0))</f>
        <v/>
      </c>
      <c r="G70" s="5" t="n"/>
      <c r="H70" s="5" t="n"/>
      <c r="I70" s="5" t="n"/>
      <c r="J70" s="5" t="n"/>
      <c r="K70" s="5" t="n"/>
      <c r="L70" s="5" t="n"/>
      <c r="M70" s="25">
        <f>IF(G70="","",IFERROR(SUMIF($G$6:$G$115,G70,$D$6:$D$115),0))</f>
        <v/>
      </c>
      <c r="N70" s="27">
        <f>IF(G70="","",IFERROR(AVERAGEIF($G$6:$G$115,G70,$F$6:$F$115),0))</f>
        <v/>
      </c>
    </row>
    <row r="71" ht="22" customHeight="1">
      <c r="A71" s="7" t="n"/>
      <c r="B71" s="7" t="n"/>
      <c r="C71" s="7" t="n"/>
      <c r="D71" s="7" t="n"/>
      <c r="E71" s="26">
        <f>IF(OR(C71="",D71=""),"",C71-D71)</f>
        <v/>
      </c>
      <c r="F71" s="28">
        <f>IF(OR(C71="",D71=""),"",IFERROR(D71/C71*100,0))</f>
        <v/>
      </c>
      <c r="G71" s="7" t="n"/>
      <c r="H71" s="7" t="n"/>
      <c r="I71" s="7" t="n"/>
      <c r="J71" s="7" t="n"/>
      <c r="K71" s="7" t="n"/>
      <c r="L71" s="7" t="n"/>
      <c r="M71" s="26">
        <f>IF(G71="","",IFERROR(SUMIF($G$6:$G$115,G71,$D$6:$D$115),0))</f>
        <v/>
      </c>
      <c r="N71" s="28">
        <f>IF(G71="","",IFERROR(AVERAGEIF($G$6:$G$115,G71,$F$6:$F$115),0))</f>
        <v/>
      </c>
    </row>
    <row r="72" ht="22" customHeight="1">
      <c r="A72" s="5" t="n"/>
      <c r="B72" s="5" t="n"/>
      <c r="C72" s="5" t="n"/>
      <c r="D72" s="5" t="n"/>
      <c r="E72" s="25">
        <f>IF(OR(C72="",D72=""),"",C72-D72)</f>
        <v/>
      </c>
      <c r="F72" s="27">
        <f>IF(OR(C72="",D72=""),"",IFERROR(D72/C72*100,0))</f>
        <v/>
      </c>
      <c r="G72" s="5" t="n"/>
      <c r="H72" s="5" t="n"/>
      <c r="I72" s="5" t="n"/>
      <c r="J72" s="5" t="n"/>
      <c r="K72" s="5" t="n"/>
      <c r="L72" s="5" t="n"/>
      <c r="M72" s="25">
        <f>IF(G72="","",IFERROR(SUMIF($G$6:$G$115,G72,$D$6:$D$115),0))</f>
        <v/>
      </c>
      <c r="N72" s="27">
        <f>IF(G72="","",IFERROR(AVERAGEIF($G$6:$G$115,G72,$F$6:$F$115),0))</f>
        <v/>
      </c>
    </row>
    <row r="73" ht="22" customHeight="1">
      <c r="A73" s="7" t="n"/>
      <c r="B73" s="7" t="n"/>
      <c r="C73" s="7" t="n"/>
      <c r="D73" s="7" t="n"/>
      <c r="E73" s="26">
        <f>IF(OR(C73="",D73=""),"",C73-D73)</f>
        <v/>
      </c>
      <c r="F73" s="28">
        <f>IF(OR(C73="",D73=""),"",IFERROR(D73/C73*100,0))</f>
        <v/>
      </c>
      <c r="G73" s="7" t="n"/>
      <c r="H73" s="7" t="n"/>
      <c r="I73" s="7" t="n"/>
      <c r="J73" s="7" t="n"/>
      <c r="K73" s="7" t="n"/>
      <c r="L73" s="7" t="n"/>
      <c r="M73" s="26">
        <f>IF(G73="","",IFERROR(SUMIF($G$6:$G$115,G73,$D$6:$D$115),0))</f>
        <v/>
      </c>
      <c r="N73" s="28">
        <f>IF(G73="","",IFERROR(AVERAGEIF($G$6:$G$115,G73,$F$6:$F$115),0))</f>
        <v/>
      </c>
    </row>
    <row r="74" ht="22" customHeight="1">
      <c r="A74" s="5" t="n"/>
      <c r="B74" s="5" t="n"/>
      <c r="C74" s="5" t="n"/>
      <c r="D74" s="5" t="n"/>
      <c r="E74" s="25">
        <f>IF(OR(C74="",D74=""),"",C74-D74)</f>
        <v/>
      </c>
      <c r="F74" s="27">
        <f>IF(OR(C74="",D74=""),"",IFERROR(D74/C74*100,0))</f>
        <v/>
      </c>
      <c r="G74" s="5" t="n"/>
      <c r="H74" s="5" t="n"/>
      <c r="I74" s="5" t="n"/>
      <c r="J74" s="5" t="n"/>
      <c r="K74" s="5" t="n"/>
      <c r="L74" s="5" t="n"/>
      <c r="M74" s="25">
        <f>IF(G74="","",IFERROR(SUMIF($G$6:$G$115,G74,$D$6:$D$115),0))</f>
        <v/>
      </c>
      <c r="N74" s="27">
        <f>IF(G74="","",IFERROR(AVERAGEIF($G$6:$G$115,G74,$F$6:$F$115),0))</f>
        <v/>
      </c>
    </row>
    <row r="75" ht="22" customHeight="1">
      <c r="A75" s="7" t="n"/>
      <c r="B75" s="7" t="n"/>
      <c r="C75" s="7" t="n"/>
      <c r="D75" s="7" t="n"/>
      <c r="E75" s="26">
        <f>IF(OR(C75="",D75=""),"",C75-D75)</f>
        <v/>
      </c>
      <c r="F75" s="28">
        <f>IF(OR(C75="",D75=""),"",IFERROR(D75/C75*100,0))</f>
        <v/>
      </c>
      <c r="G75" s="7" t="n"/>
      <c r="H75" s="7" t="n"/>
      <c r="I75" s="7" t="n"/>
      <c r="J75" s="7" t="n"/>
      <c r="K75" s="7" t="n"/>
      <c r="L75" s="7" t="n"/>
      <c r="M75" s="26">
        <f>IF(G75="","",IFERROR(SUMIF($G$6:$G$115,G75,$D$6:$D$115),0))</f>
        <v/>
      </c>
      <c r="N75" s="28">
        <f>IF(G75="","",IFERROR(AVERAGEIF($G$6:$G$115,G75,$F$6:$F$115),0))</f>
        <v/>
      </c>
    </row>
    <row r="76" ht="22" customHeight="1">
      <c r="A76" s="5" t="n"/>
      <c r="B76" s="5" t="n"/>
      <c r="C76" s="5" t="n"/>
      <c r="D76" s="5" t="n"/>
      <c r="E76" s="25">
        <f>IF(OR(C76="",D76=""),"",C76-D76)</f>
        <v/>
      </c>
      <c r="F76" s="27">
        <f>IF(OR(C76="",D76=""),"",IFERROR(D76/C76*100,0))</f>
        <v/>
      </c>
      <c r="G76" s="5" t="n"/>
      <c r="H76" s="5" t="n"/>
      <c r="I76" s="5" t="n"/>
      <c r="J76" s="5" t="n"/>
      <c r="K76" s="5" t="n"/>
      <c r="L76" s="5" t="n"/>
      <c r="M76" s="25">
        <f>IF(G76="","",IFERROR(SUMIF($G$6:$G$115,G76,$D$6:$D$115),0))</f>
        <v/>
      </c>
      <c r="N76" s="27">
        <f>IF(G76="","",IFERROR(AVERAGEIF($G$6:$G$115,G76,$F$6:$F$115),0))</f>
        <v/>
      </c>
    </row>
    <row r="77" ht="22" customHeight="1">
      <c r="A77" s="7" t="n"/>
      <c r="B77" s="7" t="n"/>
      <c r="C77" s="7" t="n"/>
      <c r="D77" s="7" t="n"/>
      <c r="E77" s="26">
        <f>IF(OR(C77="",D77=""),"",C77-D77)</f>
        <v/>
      </c>
      <c r="F77" s="28">
        <f>IF(OR(C77="",D77=""),"",IFERROR(D77/C77*100,0))</f>
        <v/>
      </c>
      <c r="G77" s="7" t="n"/>
      <c r="H77" s="7" t="n"/>
      <c r="I77" s="7" t="n"/>
      <c r="J77" s="7" t="n"/>
      <c r="K77" s="7" t="n"/>
      <c r="L77" s="7" t="n"/>
      <c r="M77" s="26">
        <f>IF(G77="","",IFERROR(SUMIF($G$6:$G$115,G77,$D$6:$D$115),0))</f>
        <v/>
      </c>
      <c r="N77" s="28">
        <f>IF(G77="","",IFERROR(AVERAGEIF($G$6:$G$115,G77,$F$6:$F$115),0))</f>
        <v/>
      </c>
    </row>
    <row r="78" ht="22" customHeight="1">
      <c r="A78" s="5" t="n"/>
      <c r="B78" s="5" t="n"/>
      <c r="C78" s="5" t="n"/>
      <c r="D78" s="5" t="n"/>
      <c r="E78" s="25">
        <f>IF(OR(C78="",D78=""),"",C78-D78)</f>
        <v/>
      </c>
      <c r="F78" s="27">
        <f>IF(OR(C78="",D78=""),"",IFERROR(D78/C78*100,0))</f>
        <v/>
      </c>
      <c r="G78" s="5" t="n"/>
      <c r="H78" s="5" t="n"/>
      <c r="I78" s="5" t="n"/>
      <c r="J78" s="5" t="n"/>
      <c r="K78" s="5" t="n"/>
      <c r="L78" s="5" t="n"/>
      <c r="M78" s="25">
        <f>IF(G78="","",IFERROR(SUMIF($G$6:$G$115,G78,$D$6:$D$115),0))</f>
        <v/>
      </c>
      <c r="N78" s="27">
        <f>IF(G78="","",IFERROR(AVERAGEIF($G$6:$G$115,G78,$F$6:$F$115),0))</f>
        <v/>
      </c>
    </row>
    <row r="79" ht="22" customHeight="1">
      <c r="A79" s="7" t="n"/>
      <c r="B79" s="7" t="n"/>
      <c r="C79" s="7" t="n"/>
      <c r="D79" s="7" t="n"/>
      <c r="E79" s="26">
        <f>IF(OR(C79="",D79=""),"",C79-D79)</f>
        <v/>
      </c>
      <c r="F79" s="28">
        <f>IF(OR(C79="",D79=""),"",IFERROR(D79/C79*100,0))</f>
        <v/>
      </c>
      <c r="G79" s="7" t="n"/>
      <c r="H79" s="7" t="n"/>
      <c r="I79" s="7" t="n"/>
      <c r="J79" s="7" t="n"/>
      <c r="K79" s="7" t="n"/>
      <c r="L79" s="7" t="n"/>
      <c r="M79" s="26">
        <f>IF(G79="","",IFERROR(SUMIF($G$6:$G$115,G79,$D$6:$D$115),0))</f>
        <v/>
      </c>
      <c r="N79" s="28">
        <f>IF(G79="","",IFERROR(AVERAGEIF($G$6:$G$115,G79,$F$6:$F$115),0))</f>
        <v/>
      </c>
    </row>
    <row r="80" ht="22" customHeight="1">
      <c r="A80" s="5" t="n"/>
      <c r="B80" s="5" t="n"/>
      <c r="C80" s="5" t="n"/>
      <c r="D80" s="5" t="n"/>
      <c r="E80" s="25">
        <f>IF(OR(C80="",D80=""),"",C80-D80)</f>
        <v/>
      </c>
      <c r="F80" s="27">
        <f>IF(OR(C80="",D80=""),"",IFERROR(D80/C80*100,0))</f>
        <v/>
      </c>
      <c r="G80" s="5" t="n"/>
      <c r="H80" s="5" t="n"/>
      <c r="I80" s="5" t="n"/>
      <c r="J80" s="5" t="n"/>
      <c r="K80" s="5" t="n"/>
      <c r="L80" s="5" t="n"/>
      <c r="M80" s="25">
        <f>IF(G80="","",IFERROR(SUMIF($G$6:$G$115,G80,$D$6:$D$115),0))</f>
        <v/>
      </c>
      <c r="N80" s="27">
        <f>IF(G80="","",IFERROR(AVERAGEIF($G$6:$G$115,G80,$F$6:$F$115),0))</f>
        <v/>
      </c>
    </row>
    <row r="81" ht="22" customHeight="1">
      <c r="A81" s="7" t="n"/>
      <c r="B81" s="7" t="n"/>
      <c r="C81" s="7" t="n"/>
      <c r="D81" s="7" t="n"/>
      <c r="E81" s="26">
        <f>IF(OR(C81="",D81=""),"",C81-D81)</f>
        <v/>
      </c>
      <c r="F81" s="28">
        <f>IF(OR(C81="",D81=""),"",IFERROR(D81/C81*100,0))</f>
        <v/>
      </c>
      <c r="G81" s="7" t="n"/>
      <c r="H81" s="7" t="n"/>
      <c r="I81" s="7" t="n"/>
      <c r="J81" s="7" t="n"/>
      <c r="K81" s="7" t="n"/>
      <c r="L81" s="7" t="n"/>
      <c r="M81" s="26">
        <f>IF(G81="","",IFERROR(SUMIF($G$6:$G$115,G81,$D$6:$D$115),0))</f>
        <v/>
      </c>
      <c r="N81" s="28">
        <f>IF(G81="","",IFERROR(AVERAGEIF($G$6:$G$115,G81,$F$6:$F$115),0))</f>
        <v/>
      </c>
    </row>
    <row r="82" ht="22" customHeight="1">
      <c r="A82" s="5" t="n"/>
      <c r="B82" s="5" t="n"/>
      <c r="C82" s="5" t="n"/>
      <c r="D82" s="5" t="n"/>
      <c r="E82" s="25">
        <f>IF(OR(C82="",D82=""),"",C82-D82)</f>
        <v/>
      </c>
      <c r="F82" s="27">
        <f>IF(OR(C82="",D82=""),"",IFERROR(D82/C82*100,0))</f>
        <v/>
      </c>
      <c r="G82" s="5" t="n"/>
      <c r="H82" s="5" t="n"/>
      <c r="I82" s="5" t="n"/>
      <c r="J82" s="5" t="n"/>
      <c r="K82" s="5" t="n"/>
      <c r="L82" s="5" t="n"/>
      <c r="M82" s="25">
        <f>IF(G82="","",IFERROR(SUMIF($G$6:$G$115,G82,$D$6:$D$115),0))</f>
        <v/>
      </c>
      <c r="N82" s="27">
        <f>IF(G82="","",IFERROR(AVERAGEIF($G$6:$G$115,G82,$F$6:$F$115),0))</f>
        <v/>
      </c>
    </row>
    <row r="83" ht="22" customHeight="1">
      <c r="A83" s="7" t="n"/>
      <c r="B83" s="7" t="n"/>
      <c r="C83" s="7" t="n"/>
      <c r="D83" s="7" t="n"/>
      <c r="E83" s="26">
        <f>IF(OR(C83="",D83=""),"",C83-D83)</f>
        <v/>
      </c>
      <c r="F83" s="28">
        <f>IF(OR(C83="",D83=""),"",IFERROR(D83/C83*100,0))</f>
        <v/>
      </c>
      <c r="G83" s="7" t="n"/>
      <c r="H83" s="7" t="n"/>
      <c r="I83" s="7" t="n"/>
      <c r="J83" s="7" t="n"/>
      <c r="K83" s="7" t="n"/>
      <c r="L83" s="7" t="n"/>
      <c r="M83" s="26">
        <f>IF(G83="","",IFERROR(SUMIF($G$6:$G$115,G83,$D$6:$D$115),0))</f>
        <v/>
      </c>
      <c r="N83" s="28">
        <f>IF(G83="","",IFERROR(AVERAGEIF($G$6:$G$115,G83,$F$6:$F$115),0))</f>
        <v/>
      </c>
    </row>
    <row r="84" ht="22" customHeight="1">
      <c r="A84" s="5" t="n"/>
      <c r="B84" s="5" t="n"/>
      <c r="C84" s="5" t="n"/>
      <c r="D84" s="5" t="n"/>
      <c r="E84" s="25">
        <f>IF(OR(C84="",D84=""),"",C84-D84)</f>
        <v/>
      </c>
      <c r="F84" s="27">
        <f>IF(OR(C84="",D84=""),"",IFERROR(D84/C84*100,0))</f>
        <v/>
      </c>
      <c r="G84" s="5" t="n"/>
      <c r="H84" s="5" t="n"/>
      <c r="I84" s="5" t="n"/>
      <c r="J84" s="5" t="n"/>
      <c r="K84" s="5" t="n"/>
      <c r="L84" s="5" t="n"/>
      <c r="M84" s="25">
        <f>IF(G84="","",IFERROR(SUMIF($G$6:$G$115,G84,$D$6:$D$115),0))</f>
        <v/>
      </c>
      <c r="N84" s="27">
        <f>IF(G84="","",IFERROR(AVERAGEIF($G$6:$G$115,G84,$F$6:$F$115),0))</f>
        <v/>
      </c>
    </row>
    <row r="85" ht="22" customHeight="1">
      <c r="A85" s="7" t="n"/>
      <c r="B85" s="7" t="n"/>
      <c r="C85" s="7" t="n"/>
      <c r="D85" s="7" t="n"/>
      <c r="E85" s="26">
        <f>IF(OR(C85="",D85=""),"",C85-D85)</f>
        <v/>
      </c>
      <c r="F85" s="28">
        <f>IF(OR(C85="",D85=""),"",IFERROR(D85/C85*100,0))</f>
        <v/>
      </c>
      <c r="G85" s="7" t="n"/>
      <c r="H85" s="7" t="n"/>
      <c r="I85" s="7" t="n"/>
      <c r="J85" s="7" t="n"/>
      <c r="K85" s="7" t="n"/>
      <c r="L85" s="7" t="n"/>
      <c r="M85" s="26">
        <f>IF(G85="","",IFERROR(SUMIF($G$6:$G$115,G85,$D$6:$D$115),0))</f>
        <v/>
      </c>
      <c r="N85" s="28">
        <f>IF(G85="","",IFERROR(AVERAGEIF($G$6:$G$115,G85,$F$6:$F$115),0))</f>
        <v/>
      </c>
    </row>
    <row r="86" ht="22" customHeight="1">
      <c r="A86" s="5" t="n"/>
      <c r="B86" s="5" t="n"/>
      <c r="C86" s="5" t="n"/>
      <c r="D86" s="5" t="n"/>
      <c r="E86" s="25">
        <f>IF(OR(C86="",D86=""),"",C86-D86)</f>
        <v/>
      </c>
      <c r="F86" s="27">
        <f>IF(OR(C86="",D86=""),"",IFERROR(D86/C86*100,0))</f>
        <v/>
      </c>
      <c r="G86" s="5" t="n"/>
      <c r="H86" s="5" t="n"/>
      <c r="I86" s="5" t="n"/>
      <c r="J86" s="5" t="n"/>
      <c r="K86" s="5" t="n"/>
      <c r="L86" s="5" t="n"/>
      <c r="M86" s="25">
        <f>IF(G86="","",IFERROR(SUMIF($G$6:$G$115,G86,$D$6:$D$115),0))</f>
        <v/>
      </c>
      <c r="N86" s="27">
        <f>IF(G86="","",IFERROR(AVERAGEIF($G$6:$G$115,G86,$F$6:$F$115),0))</f>
        <v/>
      </c>
    </row>
    <row r="87" ht="22" customHeight="1">
      <c r="A87" s="7" t="n"/>
      <c r="B87" s="7" t="n"/>
      <c r="C87" s="7" t="n"/>
      <c r="D87" s="7" t="n"/>
      <c r="E87" s="26">
        <f>IF(OR(C87="",D87=""),"",C87-D87)</f>
        <v/>
      </c>
      <c r="F87" s="28">
        <f>IF(OR(C87="",D87=""),"",IFERROR(D87/C87*100,0))</f>
        <v/>
      </c>
      <c r="G87" s="7" t="n"/>
      <c r="H87" s="7" t="n"/>
      <c r="I87" s="7" t="n"/>
      <c r="J87" s="7" t="n"/>
      <c r="K87" s="7" t="n"/>
      <c r="L87" s="7" t="n"/>
      <c r="M87" s="26">
        <f>IF(G87="","",IFERROR(SUMIF($G$6:$G$115,G87,$D$6:$D$115),0))</f>
        <v/>
      </c>
      <c r="N87" s="28">
        <f>IF(G87="","",IFERROR(AVERAGEIF($G$6:$G$115,G87,$F$6:$F$115),0))</f>
        <v/>
      </c>
    </row>
    <row r="88" ht="22" customHeight="1">
      <c r="A88" s="5" t="n"/>
      <c r="B88" s="5" t="n"/>
      <c r="C88" s="5" t="n"/>
      <c r="D88" s="5" t="n"/>
      <c r="E88" s="25">
        <f>IF(OR(C88="",D88=""),"",C88-D88)</f>
        <v/>
      </c>
      <c r="F88" s="27">
        <f>IF(OR(C88="",D88=""),"",IFERROR(D88/C88*100,0))</f>
        <v/>
      </c>
      <c r="G88" s="5" t="n"/>
      <c r="H88" s="5" t="n"/>
      <c r="I88" s="5" t="n"/>
      <c r="J88" s="5" t="n"/>
      <c r="K88" s="5" t="n"/>
      <c r="L88" s="5" t="n"/>
      <c r="M88" s="25">
        <f>IF(G88="","",IFERROR(SUMIF($G$6:$G$115,G88,$D$6:$D$115),0))</f>
        <v/>
      </c>
      <c r="N88" s="27">
        <f>IF(G88="","",IFERROR(AVERAGEIF($G$6:$G$115,G88,$F$6:$F$115),0))</f>
        <v/>
      </c>
    </row>
    <row r="89" ht="22" customHeight="1">
      <c r="A89" s="7" t="n"/>
      <c r="B89" s="7" t="n"/>
      <c r="C89" s="7" t="n"/>
      <c r="D89" s="7" t="n"/>
      <c r="E89" s="26">
        <f>IF(OR(C89="",D89=""),"",C89-D89)</f>
        <v/>
      </c>
      <c r="F89" s="28">
        <f>IF(OR(C89="",D89=""),"",IFERROR(D89/C89*100,0))</f>
        <v/>
      </c>
      <c r="G89" s="7" t="n"/>
      <c r="H89" s="7" t="n"/>
      <c r="I89" s="7" t="n"/>
      <c r="J89" s="7" t="n"/>
      <c r="K89" s="7" t="n"/>
      <c r="L89" s="7" t="n"/>
      <c r="M89" s="26">
        <f>IF(G89="","",IFERROR(SUMIF($G$6:$G$115,G89,$D$6:$D$115),0))</f>
        <v/>
      </c>
      <c r="N89" s="28">
        <f>IF(G89="","",IFERROR(AVERAGEIF($G$6:$G$115,G89,$F$6:$F$115),0))</f>
        <v/>
      </c>
    </row>
    <row r="90" ht="22" customHeight="1">
      <c r="A90" s="5" t="n"/>
      <c r="B90" s="5" t="n"/>
      <c r="C90" s="5" t="n"/>
      <c r="D90" s="5" t="n"/>
      <c r="E90" s="25">
        <f>IF(OR(C90="",D90=""),"",C90-D90)</f>
        <v/>
      </c>
      <c r="F90" s="27">
        <f>IF(OR(C90="",D90=""),"",IFERROR(D90/C90*100,0))</f>
        <v/>
      </c>
      <c r="G90" s="5" t="n"/>
      <c r="H90" s="5" t="n"/>
      <c r="I90" s="5" t="n"/>
      <c r="J90" s="5" t="n"/>
      <c r="K90" s="5" t="n"/>
      <c r="L90" s="5" t="n"/>
      <c r="M90" s="25">
        <f>IF(G90="","",IFERROR(SUMIF($G$6:$G$115,G90,$D$6:$D$115),0))</f>
        <v/>
      </c>
      <c r="N90" s="27">
        <f>IF(G90="","",IFERROR(AVERAGEIF($G$6:$G$115,G90,$F$6:$F$115),0))</f>
        <v/>
      </c>
    </row>
    <row r="91" ht="22" customHeight="1">
      <c r="A91" s="7" t="n"/>
      <c r="B91" s="7" t="n"/>
      <c r="C91" s="7" t="n"/>
      <c r="D91" s="7" t="n"/>
      <c r="E91" s="26">
        <f>IF(OR(C91="",D91=""),"",C91-D91)</f>
        <v/>
      </c>
      <c r="F91" s="28">
        <f>IF(OR(C91="",D91=""),"",IFERROR(D91/C91*100,0))</f>
        <v/>
      </c>
      <c r="G91" s="7" t="n"/>
      <c r="H91" s="7" t="n"/>
      <c r="I91" s="7" t="n"/>
      <c r="J91" s="7" t="n"/>
      <c r="K91" s="7" t="n"/>
      <c r="L91" s="7" t="n"/>
      <c r="M91" s="26">
        <f>IF(G91="","",IFERROR(SUMIF($G$6:$G$115,G91,$D$6:$D$115),0))</f>
        <v/>
      </c>
      <c r="N91" s="28">
        <f>IF(G91="","",IFERROR(AVERAGEIF($G$6:$G$115,G91,$F$6:$F$115),0))</f>
        <v/>
      </c>
    </row>
    <row r="92" ht="22" customHeight="1">
      <c r="A92" s="5" t="n"/>
      <c r="B92" s="5" t="n"/>
      <c r="C92" s="5" t="n"/>
      <c r="D92" s="5" t="n"/>
      <c r="E92" s="25">
        <f>IF(OR(C92="",D92=""),"",C92-D92)</f>
        <v/>
      </c>
      <c r="F92" s="27">
        <f>IF(OR(C92="",D92=""),"",IFERROR(D92/C92*100,0))</f>
        <v/>
      </c>
      <c r="G92" s="5" t="n"/>
      <c r="H92" s="5" t="n"/>
      <c r="I92" s="5" t="n"/>
      <c r="J92" s="5" t="n"/>
      <c r="K92" s="5" t="n"/>
      <c r="L92" s="5" t="n"/>
      <c r="M92" s="25">
        <f>IF(G92="","",IFERROR(SUMIF($G$6:$G$115,G92,$D$6:$D$115),0))</f>
        <v/>
      </c>
      <c r="N92" s="27">
        <f>IF(G92="","",IFERROR(AVERAGEIF($G$6:$G$115,G92,$F$6:$F$115),0))</f>
        <v/>
      </c>
    </row>
    <row r="93" ht="22" customHeight="1">
      <c r="A93" s="7" t="n"/>
      <c r="B93" s="7" t="n"/>
      <c r="C93" s="7" t="n"/>
      <c r="D93" s="7" t="n"/>
      <c r="E93" s="26">
        <f>IF(OR(C93="",D93=""),"",C93-D93)</f>
        <v/>
      </c>
      <c r="F93" s="28">
        <f>IF(OR(C93="",D93=""),"",IFERROR(D93/C93*100,0))</f>
        <v/>
      </c>
      <c r="G93" s="7" t="n"/>
      <c r="H93" s="7" t="n"/>
      <c r="I93" s="7" t="n"/>
      <c r="J93" s="7" t="n"/>
      <c r="K93" s="7" t="n"/>
      <c r="L93" s="7" t="n"/>
      <c r="M93" s="26">
        <f>IF(G93="","",IFERROR(SUMIF($G$6:$G$115,G93,$D$6:$D$115),0))</f>
        <v/>
      </c>
      <c r="N93" s="28">
        <f>IF(G93="","",IFERROR(AVERAGEIF($G$6:$G$115,G93,$F$6:$F$115),0))</f>
        <v/>
      </c>
    </row>
    <row r="94" ht="22" customHeight="1">
      <c r="A94" s="5" t="n"/>
      <c r="B94" s="5" t="n"/>
      <c r="C94" s="5" t="n"/>
      <c r="D94" s="5" t="n"/>
      <c r="E94" s="25">
        <f>IF(OR(C94="",D94=""),"",C94-D94)</f>
        <v/>
      </c>
      <c r="F94" s="27">
        <f>IF(OR(C94="",D94=""),"",IFERROR(D94/C94*100,0))</f>
        <v/>
      </c>
      <c r="G94" s="5" t="n"/>
      <c r="H94" s="5" t="n"/>
      <c r="I94" s="5" t="n"/>
      <c r="J94" s="5" t="n"/>
      <c r="K94" s="5" t="n"/>
      <c r="L94" s="5" t="n"/>
      <c r="M94" s="25">
        <f>IF(G94="","",IFERROR(SUMIF($G$6:$G$115,G94,$D$6:$D$115),0))</f>
        <v/>
      </c>
      <c r="N94" s="27">
        <f>IF(G94="","",IFERROR(AVERAGEIF($G$6:$G$115,G94,$F$6:$F$115),0))</f>
        <v/>
      </c>
    </row>
    <row r="95" ht="22" customHeight="1">
      <c r="A95" s="7" t="n"/>
      <c r="B95" s="7" t="n"/>
      <c r="C95" s="7" t="n"/>
      <c r="D95" s="7" t="n"/>
      <c r="E95" s="26">
        <f>IF(OR(C95="",D95=""),"",C95-D95)</f>
        <v/>
      </c>
      <c r="F95" s="28">
        <f>IF(OR(C95="",D95=""),"",IFERROR(D95/C95*100,0))</f>
        <v/>
      </c>
      <c r="G95" s="7" t="n"/>
      <c r="H95" s="7" t="n"/>
      <c r="I95" s="7" t="n"/>
      <c r="J95" s="7" t="n"/>
      <c r="K95" s="7" t="n"/>
      <c r="L95" s="7" t="n"/>
      <c r="M95" s="26">
        <f>IF(G95="","",IFERROR(SUMIF($G$6:$G$115,G95,$D$6:$D$115),0))</f>
        <v/>
      </c>
      <c r="N95" s="28">
        <f>IF(G95="","",IFERROR(AVERAGEIF($G$6:$G$115,G95,$F$6:$F$115),0))</f>
        <v/>
      </c>
    </row>
    <row r="96" ht="22" customHeight="1">
      <c r="A96" s="5" t="n"/>
      <c r="B96" s="5" t="n"/>
      <c r="C96" s="5" t="n"/>
      <c r="D96" s="5" t="n"/>
      <c r="E96" s="25">
        <f>IF(OR(C96="",D96=""),"",C96-D96)</f>
        <v/>
      </c>
      <c r="F96" s="27">
        <f>IF(OR(C96="",D96=""),"",IFERROR(D96/C96*100,0))</f>
        <v/>
      </c>
      <c r="G96" s="5" t="n"/>
      <c r="H96" s="5" t="n"/>
      <c r="I96" s="5" t="n"/>
      <c r="J96" s="5" t="n"/>
      <c r="K96" s="5" t="n"/>
      <c r="L96" s="5" t="n"/>
      <c r="M96" s="25">
        <f>IF(G96="","",IFERROR(SUMIF($G$6:$G$115,G96,$D$6:$D$115),0))</f>
        <v/>
      </c>
      <c r="N96" s="27">
        <f>IF(G96="","",IFERROR(AVERAGEIF($G$6:$G$115,G96,$F$6:$F$115),0))</f>
        <v/>
      </c>
    </row>
    <row r="97" ht="22" customHeight="1">
      <c r="A97" s="7" t="n"/>
      <c r="B97" s="7" t="n"/>
      <c r="C97" s="7" t="n"/>
      <c r="D97" s="7" t="n"/>
      <c r="E97" s="26">
        <f>IF(OR(C97="",D97=""),"",C97-D97)</f>
        <v/>
      </c>
      <c r="F97" s="28">
        <f>IF(OR(C97="",D97=""),"",IFERROR(D97/C97*100,0))</f>
        <v/>
      </c>
      <c r="G97" s="7" t="n"/>
      <c r="H97" s="7" t="n"/>
      <c r="I97" s="7" t="n"/>
      <c r="J97" s="7" t="n"/>
      <c r="K97" s="7" t="n"/>
      <c r="L97" s="7" t="n"/>
      <c r="M97" s="26">
        <f>IF(G97="","",IFERROR(SUMIF($G$6:$G$115,G97,$D$6:$D$115),0))</f>
        <v/>
      </c>
      <c r="N97" s="28">
        <f>IF(G97="","",IFERROR(AVERAGEIF($G$6:$G$115,G97,$F$6:$F$115),0))</f>
        <v/>
      </c>
    </row>
    <row r="98" ht="22" customHeight="1">
      <c r="A98" s="5" t="n"/>
      <c r="B98" s="5" t="n"/>
      <c r="C98" s="5" t="n"/>
      <c r="D98" s="5" t="n"/>
      <c r="E98" s="25">
        <f>IF(OR(C98="",D98=""),"",C98-D98)</f>
        <v/>
      </c>
      <c r="F98" s="27">
        <f>IF(OR(C98="",D98=""),"",IFERROR(D98/C98*100,0))</f>
        <v/>
      </c>
      <c r="G98" s="5" t="n"/>
      <c r="H98" s="5" t="n"/>
      <c r="I98" s="5" t="n"/>
      <c r="J98" s="5" t="n"/>
      <c r="K98" s="5" t="n"/>
      <c r="L98" s="5" t="n"/>
      <c r="M98" s="25">
        <f>IF(G98="","",IFERROR(SUMIF($G$6:$G$115,G98,$D$6:$D$115),0))</f>
        <v/>
      </c>
      <c r="N98" s="27">
        <f>IF(G98="","",IFERROR(AVERAGEIF($G$6:$G$115,G98,$F$6:$F$115),0))</f>
        <v/>
      </c>
    </row>
    <row r="99" ht="22" customHeight="1">
      <c r="A99" s="7" t="n"/>
      <c r="B99" s="7" t="n"/>
      <c r="C99" s="7" t="n"/>
      <c r="D99" s="7" t="n"/>
      <c r="E99" s="26">
        <f>IF(OR(C99="",D99=""),"",C99-D99)</f>
        <v/>
      </c>
      <c r="F99" s="28">
        <f>IF(OR(C99="",D99=""),"",IFERROR(D99/C99*100,0))</f>
        <v/>
      </c>
      <c r="G99" s="7" t="n"/>
      <c r="H99" s="7" t="n"/>
      <c r="I99" s="7" t="n"/>
      <c r="J99" s="7" t="n"/>
      <c r="K99" s="7" t="n"/>
      <c r="L99" s="7" t="n"/>
      <c r="M99" s="26">
        <f>IF(G99="","",IFERROR(SUMIF($G$6:$G$115,G99,$D$6:$D$115),0))</f>
        <v/>
      </c>
      <c r="N99" s="28">
        <f>IF(G99="","",IFERROR(AVERAGEIF($G$6:$G$115,G99,$F$6:$F$115),0))</f>
        <v/>
      </c>
    </row>
    <row r="100" ht="22" customHeight="1">
      <c r="A100" s="5" t="n"/>
      <c r="B100" s="5" t="n"/>
      <c r="C100" s="5" t="n"/>
      <c r="D100" s="5" t="n"/>
      <c r="E100" s="25">
        <f>IF(OR(C100="",D100=""),"",C100-D100)</f>
        <v/>
      </c>
      <c r="F100" s="27">
        <f>IF(OR(C100="",D100=""),"",IFERROR(D100/C100*100,0))</f>
        <v/>
      </c>
      <c r="G100" s="5" t="n"/>
      <c r="H100" s="5" t="n"/>
      <c r="I100" s="5" t="n"/>
      <c r="J100" s="5" t="n"/>
      <c r="K100" s="5" t="n"/>
      <c r="L100" s="5" t="n"/>
      <c r="M100" s="25">
        <f>IF(G100="","",IFERROR(SUMIF($G$6:$G$115,G100,$D$6:$D$115),0))</f>
        <v/>
      </c>
      <c r="N100" s="27">
        <f>IF(G100="","",IFERROR(AVERAGEIF($G$6:$G$115,G100,$F$6:$F$115),0))</f>
        <v/>
      </c>
    </row>
    <row r="101" ht="22" customHeight="1">
      <c r="A101" s="7" t="n"/>
      <c r="B101" s="7" t="n"/>
      <c r="C101" s="7" t="n"/>
      <c r="D101" s="7" t="n"/>
      <c r="E101" s="26">
        <f>IF(OR(C101="",D101=""),"",C101-D101)</f>
        <v/>
      </c>
      <c r="F101" s="28">
        <f>IF(OR(C101="",D101=""),"",IFERROR(D101/C101*100,0))</f>
        <v/>
      </c>
      <c r="G101" s="7" t="n"/>
      <c r="H101" s="7" t="n"/>
      <c r="I101" s="7" t="n"/>
      <c r="J101" s="7" t="n"/>
      <c r="K101" s="7" t="n"/>
      <c r="L101" s="7" t="n"/>
      <c r="M101" s="26">
        <f>IF(G101="","",IFERROR(SUMIF($G$6:$G$115,G101,$D$6:$D$115),0))</f>
        <v/>
      </c>
      <c r="N101" s="28">
        <f>IF(G101="","",IFERROR(AVERAGEIF($G$6:$G$115,G101,$F$6:$F$115),0))</f>
        <v/>
      </c>
    </row>
    <row r="102" ht="22" customHeight="1">
      <c r="A102" s="5" t="n"/>
      <c r="B102" s="5" t="n"/>
      <c r="C102" s="5" t="n"/>
      <c r="D102" s="5" t="n"/>
      <c r="E102" s="25">
        <f>IF(OR(C102="",D102=""),"",C102-D102)</f>
        <v/>
      </c>
      <c r="F102" s="27">
        <f>IF(OR(C102="",D102=""),"",IFERROR(D102/C102*100,0))</f>
        <v/>
      </c>
      <c r="G102" s="5" t="n"/>
      <c r="H102" s="5" t="n"/>
      <c r="I102" s="5" t="n"/>
      <c r="J102" s="5" t="n"/>
      <c r="K102" s="5" t="n"/>
      <c r="L102" s="5" t="n"/>
      <c r="M102" s="25">
        <f>IF(G102="","",IFERROR(SUMIF($G$6:$G$115,G102,$D$6:$D$115),0))</f>
        <v/>
      </c>
      <c r="N102" s="27">
        <f>IF(G102="","",IFERROR(AVERAGEIF($G$6:$G$115,G102,$F$6:$F$115),0))</f>
        <v/>
      </c>
    </row>
    <row r="103" ht="22" customHeight="1">
      <c r="A103" s="7" t="n"/>
      <c r="B103" s="7" t="n"/>
      <c r="C103" s="7" t="n"/>
      <c r="D103" s="7" t="n"/>
      <c r="E103" s="26">
        <f>IF(OR(C103="",D103=""),"",C103-D103)</f>
        <v/>
      </c>
      <c r="F103" s="28">
        <f>IF(OR(C103="",D103=""),"",IFERROR(D103/C103*100,0))</f>
        <v/>
      </c>
      <c r="G103" s="7" t="n"/>
      <c r="H103" s="7" t="n"/>
      <c r="I103" s="7" t="n"/>
      <c r="J103" s="7" t="n"/>
      <c r="K103" s="7" t="n"/>
      <c r="L103" s="7" t="n"/>
      <c r="M103" s="26">
        <f>IF(G103="","",IFERROR(SUMIF($G$6:$G$115,G103,$D$6:$D$115),0))</f>
        <v/>
      </c>
      <c r="N103" s="28">
        <f>IF(G103="","",IFERROR(AVERAGEIF($G$6:$G$115,G103,$F$6:$F$115),0))</f>
        <v/>
      </c>
    </row>
    <row r="104" ht="22" customHeight="1">
      <c r="A104" s="5" t="n"/>
      <c r="B104" s="5" t="n"/>
      <c r="C104" s="5" t="n"/>
      <c r="D104" s="5" t="n"/>
      <c r="E104" s="25">
        <f>IF(OR(C104="",D104=""),"",C104-D104)</f>
        <v/>
      </c>
      <c r="F104" s="27">
        <f>IF(OR(C104="",D104=""),"",IFERROR(D104/C104*100,0))</f>
        <v/>
      </c>
      <c r="G104" s="5" t="n"/>
      <c r="H104" s="5" t="n"/>
      <c r="I104" s="5" t="n"/>
      <c r="J104" s="5" t="n"/>
      <c r="K104" s="5" t="n"/>
      <c r="L104" s="5" t="n"/>
      <c r="M104" s="25">
        <f>IF(G104="","",IFERROR(SUMIF($G$6:$G$115,G104,$D$6:$D$115),0))</f>
        <v/>
      </c>
      <c r="N104" s="27">
        <f>IF(G104="","",IFERROR(AVERAGEIF($G$6:$G$115,G104,$F$6:$F$115),0))</f>
        <v/>
      </c>
    </row>
    <row r="105" ht="22" customHeight="1">
      <c r="A105" s="7" t="n"/>
      <c r="B105" s="7" t="n"/>
      <c r="C105" s="7" t="n"/>
      <c r="D105" s="7" t="n"/>
      <c r="E105" s="26">
        <f>IF(OR(C105="",D105=""),"",C105-D105)</f>
        <v/>
      </c>
      <c r="F105" s="28">
        <f>IF(OR(C105="",D105=""),"",IFERROR(D105/C105*100,0))</f>
        <v/>
      </c>
      <c r="G105" s="7" t="n"/>
      <c r="H105" s="7" t="n"/>
      <c r="I105" s="7" t="n"/>
      <c r="J105" s="7" t="n"/>
      <c r="K105" s="7" t="n"/>
      <c r="L105" s="7" t="n"/>
      <c r="M105" s="26">
        <f>IF(G105="","",IFERROR(SUMIF($G$6:$G$115,G105,$D$6:$D$115),0))</f>
        <v/>
      </c>
      <c r="N105" s="28">
        <f>IF(G105="","",IFERROR(AVERAGEIF($G$6:$G$115,G105,$F$6:$F$115),0))</f>
        <v/>
      </c>
    </row>
    <row r="106" ht="22" customHeight="1">
      <c r="A106" s="5" t="n"/>
      <c r="B106" s="5" t="n"/>
      <c r="C106" s="5" t="n"/>
      <c r="D106" s="5" t="n"/>
      <c r="E106" s="25">
        <f>IF(OR(C106="",D106=""),"",C106-D106)</f>
        <v/>
      </c>
      <c r="F106" s="27">
        <f>IF(OR(C106="",D106=""),"",IFERROR(D106/C106*100,0))</f>
        <v/>
      </c>
      <c r="G106" s="5" t="n"/>
      <c r="H106" s="5" t="n"/>
      <c r="I106" s="5" t="n"/>
      <c r="J106" s="5" t="n"/>
      <c r="K106" s="5" t="n"/>
      <c r="L106" s="5" t="n"/>
      <c r="M106" s="25">
        <f>IF(G106="","",IFERROR(SUMIF($G$6:$G$115,G106,$D$6:$D$115),0))</f>
        <v/>
      </c>
      <c r="N106" s="27">
        <f>IF(G106="","",IFERROR(AVERAGEIF($G$6:$G$115,G106,$F$6:$F$115),0))</f>
        <v/>
      </c>
    </row>
    <row r="107" ht="22" customHeight="1">
      <c r="A107" s="7" t="n"/>
      <c r="B107" s="7" t="n"/>
      <c r="C107" s="7" t="n"/>
      <c r="D107" s="7" t="n"/>
      <c r="E107" s="26">
        <f>IF(OR(C107="",D107=""),"",C107-D107)</f>
        <v/>
      </c>
      <c r="F107" s="28">
        <f>IF(OR(C107="",D107=""),"",IFERROR(D107/C107*100,0))</f>
        <v/>
      </c>
      <c r="G107" s="7" t="n"/>
      <c r="H107" s="7" t="n"/>
      <c r="I107" s="7" t="n"/>
      <c r="J107" s="7" t="n"/>
      <c r="K107" s="7" t="n"/>
      <c r="L107" s="7" t="n"/>
      <c r="M107" s="26">
        <f>IF(G107="","",IFERROR(SUMIF($G$6:$G$115,G107,$D$6:$D$115),0))</f>
        <v/>
      </c>
      <c r="N107" s="28">
        <f>IF(G107="","",IFERROR(AVERAGEIF($G$6:$G$115,G107,$F$6:$F$115),0))</f>
        <v/>
      </c>
    </row>
    <row r="108" ht="22" customHeight="1">
      <c r="A108" s="5" t="n"/>
      <c r="B108" s="5" t="n"/>
      <c r="C108" s="5" t="n"/>
      <c r="D108" s="5" t="n"/>
      <c r="E108" s="25">
        <f>IF(OR(C108="",D108=""),"",C108-D108)</f>
        <v/>
      </c>
      <c r="F108" s="27">
        <f>IF(OR(C108="",D108=""),"",IFERROR(D108/C108*100,0))</f>
        <v/>
      </c>
      <c r="G108" s="5" t="n"/>
      <c r="H108" s="5" t="n"/>
      <c r="I108" s="5" t="n"/>
      <c r="J108" s="5" t="n"/>
      <c r="K108" s="5" t="n"/>
      <c r="L108" s="5" t="n"/>
      <c r="M108" s="25">
        <f>IF(G108="","",IFERROR(SUMIF($G$6:$G$115,G108,$D$6:$D$115),0))</f>
        <v/>
      </c>
      <c r="N108" s="27">
        <f>IF(G108="","",IFERROR(AVERAGEIF($G$6:$G$115,G108,$F$6:$F$115),0))</f>
        <v/>
      </c>
    </row>
    <row r="109" ht="22" customHeight="1">
      <c r="A109" s="7" t="n"/>
      <c r="B109" s="7" t="n"/>
      <c r="C109" s="7" t="n"/>
      <c r="D109" s="7" t="n"/>
      <c r="E109" s="26">
        <f>IF(OR(C109="",D109=""),"",C109-D109)</f>
        <v/>
      </c>
      <c r="F109" s="28">
        <f>IF(OR(C109="",D109=""),"",IFERROR(D109/C109*100,0))</f>
        <v/>
      </c>
      <c r="G109" s="7" t="n"/>
      <c r="H109" s="7" t="n"/>
      <c r="I109" s="7" t="n"/>
      <c r="J109" s="7" t="n"/>
      <c r="K109" s="7" t="n"/>
      <c r="L109" s="7" t="n"/>
      <c r="M109" s="26">
        <f>IF(G109="","",IFERROR(SUMIF($G$6:$G$115,G109,$D$6:$D$115),0))</f>
        <v/>
      </c>
      <c r="N109" s="28">
        <f>IF(G109="","",IFERROR(AVERAGEIF($G$6:$G$115,G109,$F$6:$F$115),0))</f>
        <v/>
      </c>
    </row>
    <row r="110" ht="22" customHeight="1">
      <c r="A110" s="5" t="n"/>
      <c r="B110" s="5" t="n"/>
      <c r="C110" s="5" t="n"/>
      <c r="D110" s="5" t="n"/>
      <c r="E110" s="25">
        <f>IF(OR(C110="",D110=""),"",C110-D110)</f>
        <v/>
      </c>
      <c r="F110" s="27">
        <f>IF(OR(C110="",D110=""),"",IFERROR(D110/C110*100,0))</f>
        <v/>
      </c>
      <c r="G110" s="5" t="n"/>
      <c r="H110" s="5" t="n"/>
      <c r="I110" s="5" t="n"/>
      <c r="J110" s="5" t="n"/>
      <c r="K110" s="5" t="n"/>
      <c r="L110" s="5" t="n"/>
      <c r="M110" s="25">
        <f>IF(G110="","",IFERROR(SUMIF($G$6:$G$115,G110,$D$6:$D$115),0))</f>
        <v/>
      </c>
      <c r="N110" s="27">
        <f>IF(G110="","",IFERROR(AVERAGEIF($G$6:$G$115,G110,$F$6:$F$115),0))</f>
        <v/>
      </c>
    </row>
    <row r="111" ht="22" customHeight="1">
      <c r="A111" s="7" t="n"/>
      <c r="B111" s="7" t="n"/>
      <c r="C111" s="7" t="n"/>
      <c r="D111" s="7" t="n"/>
      <c r="E111" s="26">
        <f>IF(OR(C111="",D111=""),"",C111-D111)</f>
        <v/>
      </c>
      <c r="F111" s="28">
        <f>IF(OR(C111="",D111=""),"",IFERROR(D111/C111*100,0))</f>
        <v/>
      </c>
      <c r="G111" s="7" t="n"/>
      <c r="H111" s="7" t="n"/>
      <c r="I111" s="7" t="n"/>
      <c r="J111" s="7" t="n"/>
      <c r="K111" s="7" t="n"/>
      <c r="L111" s="7" t="n"/>
      <c r="M111" s="26">
        <f>IF(G111="","",IFERROR(SUMIF($G$6:$G$115,G111,$D$6:$D$115),0))</f>
        <v/>
      </c>
      <c r="N111" s="28">
        <f>IF(G111="","",IFERROR(AVERAGEIF($G$6:$G$115,G111,$F$6:$F$115),0))</f>
        <v/>
      </c>
    </row>
    <row r="112" ht="22" customHeight="1">
      <c r="A112" s="5" t="n"/>
      <c r="B112" s="5" t="n"/>
      <c r="C112" s="5" t="n"/>
      <c r="D112" s="5" t="n"/>
      <c r="E112" s="25">
        <f>IF(OR(C112="",D112=""),"",C112-D112)</f>
        <v/>
      </c>
      <c r="F112" s="27">
        <f>IF(OR(C112="",D112=""),"",IFERROR(D112/C112*100,0))</f>
        <v/>
      </c>
      <c r="G112" s="5" t="n"/>
      <c r="H112" s="5" t="n"/>
      <c r="I112" s="5" t="n"/>
      <c r="J112" s="5" t="n"/>
      <c r="K112" s="5" t="n"/>
      <c r="L112" s="5" t="n"/>
      <c r="M112" s="25">
        <f>IF(G112="","",IFERROR(SUMIF($G$6:$G$115,G112,$D$6:$D$115),0))</f>
        <v/>
      </c>
      <c r="N112" s="27">
        <f>IF(G112="","",IFERROR(AVERAGEIF($G$6:$G$115,G112,$F$6:$F$115),0))</f>
        <v/>
      </c>
    </row>
    <row r="113" ht="22" customHeight="1">
      <c r="A113" s="7" t="n"/>
      <c r="B113" s="7" t="n"/>
      <c r="C113" s="7" t="n"/>
      <c r="D113" s="7" t="n"/>
      <c r="E113" s="26">
        <f>IF(OR(C113="",D113=""),"",C113-D113)</f>
        <v/>
      </c>
      <c r="F113" s="28">
        <f>IF(OR(C113="",D113=""),"",IFERROR(D113/C113*100,0))</f>
        <v/>
      </c>
      <c r="G113" s="7" t="n"/>
      <c r="H113" s="7" t="n"/>
      <c r="I113" s="7" t="n"/>
      <c r="J113" s="7" t="n"/>
      <c r="K113" s="7" t="n"/>
      <c r="L113" s="7" t="n"/>
      <c r="M113" s="26">
        <f>IF(G113="","",IFERROR(SUMIF($G$6:$G$115,G113,$D$6:$D$115),0))</f>
        <v/>
      </c>
      <c r="N113" s="28">
        <f>IF(G113="","",IFERROR(AVERAGEIF($G$6:$G$115,G113,$F$6:$F$115),0))</f>
        <v/>
      </c>
    </row>
    <row r="114" ht="22" customHeight="1">
      <c r="A114" s="5" t="n"/>
      <c r="B114" s="5" t="n"/>
      <c r="C114" s="5" t="n"/>
      <c r="D114" s="5" t="n"/>
      <c r="E114" s="25">
        <f>IF(OR(C114="",D114=""),"",C114-D114)</f>
        <v/>
      </c>
      <c r="F114" s="27">
        <f>IF(OR(C114="",D114=""),"",IFERROR(D114/C114*100,0))</f>
        <v/>
      </c>
      <c r="G114" s="5" t="n"/>
      <c r="H114" s="5" t="n"/>
      <c r="I114" s="5" t="n"/>
      <c r="J114" s="5" t="n"/>
      <c r="K114" s="5" t="n"/>
      <c r="L114" s="5" t="n"/>
      <c r="M114" s="25">
        <f>IF(G114="","",IFERROR(SUMIF($G$6:$G$115,G114,$D$6:$D$115),0))</f>
        <v/>
      </c>
      <c r="N114" s="27">
        <f>IF(G114="","",IFERROR(AVERAGEIF($G$6:$G$115,G114,$F$6:$F$115),0))</f>
        <v/>
      </c>
    </row>
    <row r="115" ht="22" customHeight="1">
      <c r="A115" s="7" t="n"/>
      <c r="B115" s="7" t="n"/>
      <c r="C115" s="7" t="n"/>
      <c r="D115" s="7" t="n"/>
      <c r="E115" s="26">
        <f>IF(OR(C115="",D115=""),"",C115-D115)</f>
        <v/>
      </c>
      <c r="F115" s="28">
        <f>IF(OR(C115="",D115=""),"",IFERROR(D115/C115*100,0))</f>
        <v/>
      </c>
      <c r="G115" s="7" t="n"/>
      <c r="H115" s="7" t="n"/>
      <c r="I115" s="7" t="n"/>
      <c r="J115" s="7" t="n"/>
      <c r="K115" s="7" t="n"/>
      <c r="L115" s="7" t="n"/>
      <c r="M115" s="26">
        <f>IF(G115="","",IFERROR(SUMIF($G$6:$G$115,G115,$D$6:$D$115),0))</f>
        <v/>
      </c>
      <c r="N115" s="28">
        <f>IF(G115="","",IFERROR(AVERAGEIF($G$6:$G$115,G115,$F$6:$F$115),0))</f>
        <v/>
      </c>
    </row>
  </sheetData>
  <mergeCells count="2">
    <mergeCell ref="A3:N3"/>
    <mergeCell ref="A2:N2"/>
  </mergeCells>
  <dataValidations count="3">
    <dataValidation sqref="G6:G115" showDropDown="0" showInputMessage="0" showErrorMessage="0" allowBlank="1" errorTitle="Erreur" error="Valeur invalide" promptTitle="" prompt="Choisir dans la liste: " type="list">
      <formula1>'F02 - _Lists'!$Q$6:$Q$9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_Lists'!$I$6:$I$13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_Lists'!$J$6:$J$10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  <col width="22" customWidth="1" min="7" max="7"/>
    <col width="22" customWidth="1" min="8" max="8"/>
    <col width="16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12-MATRICE RÉGIMES × CATÉGORIES DE PERSONNEL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Régime</t>
        </is>
      </c>
      <c r="B5" s="4" t="inlineStr">
        <is>
          <t>Cadre</t>
        </is>
      </c>
      <c r="C5" s="4" t="inlineStr">
        <is>
          <t>Non-Cadre</t>
        </is>
      </c>
      <c r="D5" s="4" t="inlineStr">
        <is>
          <t>Agent Maîtrise</t>
        </is>
      </c>
      <c r="E5" s="4" t="inlineStr">
        <is>
          <t>Direction</t>
        </is>
      </c>
      <c r="F5" s="4" t="inlineStr">
        <is>
          <t>Total Effectif</t>
        </is>
      </c>
      <c r="G5" s="4" t="inlineStr">
        <is>
          <t>Pension Moy. (FCFA)</t>
        </is>
      </c>
      <c r="H5" s="4" t="inlineStr">
        <is>
          <t>Cotisation Moy. (FCFA)</t>
        </is>
      </c>
      <c r="I5" s="4" t="inlineStr">
        <is>
          <t>Conformité (%)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Régime Général CNPS</t>
        </is>
      </c>
      <c r="B6" s="22" t="n">
        <v>3</v>
      </c>
      <c r="C6" s="22" t="n">
        <v>8</v>
      </c>
      <c r="D6" s="22" t="n">
        <v>12</v>
      </c>
      <c r="E6" s="22" t="n">
        <v>1</v>
      </c>
      <c r="F6" s="25">
        <f>IF(OR(B6="",C6=""),"",B6+C6+D6+E6)</f>
        <v/>
      </c>
      <c r="G6" s="5" t="n"/>
      <c r="H6" s="5" t="n"/>
      <c r="I6" s="22" t="n">
        <v>95</v>
      </c>
      <c r="J6" s="5" t="inlineStr"/>
      <c r="K6" s="5" t="inlineStr"/>
      <c r="L6" s="5" t="inlineStr"/>
      <c r="M6" s="5">
        <f>IF(A6="","",IFERROR(COUNTIF($A$6:$A$115,A6),0))</f>
        <v/>
      </c>
      <c r="N6" s="25">
        <f>IF(A6="","",IFERROR(AVERAGEIF($A$6:$A$115,A6,$G$6:$G$115),0))</f>
        <v/>
      </c>
    </row>
    <row r="7" ht="22" customHeight="1">
      <c r="A7" s="7" t="inlineStr">
        <is>
          <t>Régime Cadre IRC</t>
        </is>
      </c>
      <c r="B7" s="24" t="n">
        <v>10</v>
      </c>
      <c r="C7" s="24" t="n">
        <v>0</v>
      </c>
      <c r="D7" s="24" t="n">
        <v>0</v>
      </c>
      <c r="E7" s="24" t="n">
        <v>3</v>
      </c>
      <c r="F7" s="26">
        <f>IF(OR(B7="",C7=""),"",B7+C7+D7+E7)</f>
        <v/>
      </c>
      <c r="G7" s="7" t="n"/>
      <c r="H7" s="7" t="n"/>
      <c r="I7" s="24" t="n">
        <v>92</v>
      </c>
      <c r="J7" s="7" t="inlineStr"/>
      <c r="K7" s="7" t="inlineStr"/>
      <c r="L7" s="7" t="inlineStr"/>
      <c r="M7" s="7">
        <f>IF(A7="","",IFERROR(COUNTIF($A$6:$A$115,A7),0))</f>
        <v/>
      </c>
      <c r="N7" s="26">
        <f>IF(A7="","",IFERROR(AVERAGEIF($A$6:$A$115,A7,$G$6:$G$115),0))</f>
        <v/>
      </c>
    </row>
    <row r="8" ht="22" customHeight="1">
      <c r="A8" s="5" t="inlineStr">
        <is>
          <t>Régime Complémentaire</t>
        </is>
      </c>
      <c r="B8" s="22" t="n">
        <v>8</v>
      </c>
      <c r="C8" s="22" t="n">
        <v>2</v>
      </c>
      <c r="D8" s="22" t="n">
        <v>1</v>
      </c>
      <c r="E8" s="22" t="n">
        <v>4</v>
      </c>
      <c r="F8" s="25">
        <f>IF(OR(B8="",C8=""),"",B8+C8+D8+E8)</f>
        <v/>
      </c>
      <c r="G8" s="5" t="n"/>
      <c r="H8" s="5" t="n"/>
      <c r="I8" s="22" t="n">
        <v>88</v>
      </c>
      <c r="J8" s="5" t="inlineStr"/>
      <c r="K8" s="5" t="inlineStr"/>
      <c r="L8" s="5" t="inlineStr"/>
      <c r="M8" s="5">
        <f>IF(A8="","",IFERROR(COUNTIF($A$6:$A$115,A8),0))</f>
        <v/>
      </c>
      <c r="N8" s="25">
        <f>IF(A8="","",IFERROR(AVERAGEIF($A$6:$A$115,A8,$G$6:$G$115),0))</f>
        <v/>
      </c>
    </row>
    <row r="9" ht="22" customHeight="1">
      <c r="A9" s="7" t="inlineStr">
        <is>
          <t>Régime International</t>
        </is>
      </c>
      <c r="B9" s="24" t="n">
        <v>2</v>
      </c>
      <c r="C9" s="24" t="n">
        <v>0</v>
      </c>
      <c r="D9" s="24" t="n">
        <v>0</v>
      </c>
      <c r="E9" s="24" t="n">
        <v>1</v>
      </c>
      <c r="F9" s="26">
        <f>IF(OR(B9="",C9=""),"",B9+C9+D9+E9)</f>
        <v/>
      </c>
      <c r="G9" s="7" t="n"/>
      <c r="H9" s="7" t="n"/>
      <c r="I9" s="24" t="n">
        <v>85</v>
      </c>
      <c r="J9" s="7" t="inlineStr"/>
      <c r="K9" s="7" t="inlineStr"/>
      <c r="L9" s="7" t="inlineStr"/>
      <c r="M9" s="7">
        <f>IF(A9="","",IFERROR(COUNTIF($A$6:$A$115,A9),0))</f>
        <v/>
      </c>
      <c r="N9" s="26">
        <f>IF(A9="","",IFERROR(AVERAGEIF($A$6:$A$115,A9,$G$6:$G$115),0))</f>
        <v/>
      </c>
    </row>
    <row r="10" ht="22" customHeight="1">
      <c r="A10" s="5" t="inlineStr">
        <is>
          <t>PERCO</t>
        </is>
      </c>
      <c r="B10" s="22" t="n">
        <v>5</v>
      </c>
      <c r="C10" s="22" t="n">
        <v>1</v>
      </c>
      <c r="D10" s="22" t="n">
        <v>0</v>
      </c>
      <c r="E10" s="22" t="n">
        <v>2</v>
      </c>
      <c r="F10" s="25">
        <f>IF(OR(B10="",C10=""),"",B10+C10+D10+E10)</f>
        <v/>
      </c>
      <c r="G10" s="5" t="n"/>
      <c r="H10" s="5" t="n"/>
      <c r="I10" s="22" t="n">
        <v>90</v>
      </c>
      <c r="J10" s="5" t="inlineStr"/>
      <c r="K10" s="5" t="inlineStr"/>
      <c r="L10" s="5" t="inlineStr"/>
      <c r="M10" s="5">
        <f>IF(A10="","",IFERROR(COUNTIF($A$6:$A$115,A10),0))</f>
        <v/>
      </c>
      <c r="N10" s="25">
        <f>IF(A10="","",IFERROR(AVERAGEIF($A$6:$A$115,A10,$G$6:$G$115),0))</f>
        <v/>
      </c>
    </row>
    <row r="11" ht="22" customHeight="1">
      <c r="A11" s="7" t="n"/>
      <c r="B11" s="7" t="n"/>
      <c r="C11" s="7" t="n"/>
      <c r="D11" s="7" t="n"/>
      <c r="E11" s="7" t="n"/>
      <c r="F11" s="26">
        <f>IF(OR(B11="",C11=""),"",B11+C11+D11+E11)</f>
        <v/>
      </c>
      <c r="G11" s="7" t="n"/>
      <c r="H11" s="7" t="n"/>
      <c r="I11" s="7" t="n"/>
      <c r="J11" s="7" t="n"/>
      <c r="K11" s="7" t="n"/>
      <c r="L11" s="7" t="n"/>
      <c r="M11" s="7">
        <f>IF(A11="","",IFERROR(COUNTIF($A$6:$A$115,A11),0))</f>
        <v/>
      </c>
      <c r="N11" s="26">
        <f>IF(A11="","",IFERROR(AVERAGEIF($A$6:$A$115,A11,$G$6:$G$115),0))</f>
        <v/>
      </c>
    </row>
    <row r="12" ht="22" customHeight="1">
      <c r="A12" s="5" t="n"/>
      <c r="B12" s="5" t="n"/>
      <c r="C12" s="5" t="n"/>
      <c r="D12" s="5" t="n"/>
      <c r="E12" s="5" t="n"/>
      <c r="F12" s="25">
        <f>IF(OR(B12="",C12=""),"",B12+C12+D12+E12)</f>
        <v/>
      </c>
      <c r="G12" s="5" t="n"/>
      <c r="H12" s="5" t="n"/>
      <c r="I12" s="5" t="n"/>
      <c r="J12" s="5" t="n"/>
      <c r="K12" s="5" t="n"/>
      <c r="L12" s="5" t="n"/>
      <c r="M12" s="5">
        <f>IF(A12="","",IFERROR(COUNTIF($A$6:$A$115,A12),0))</f>
        <v/>
      </c>
      <c r="N12" s="25">
        <f>IF(A12="","",IFERROR(AVERAGEIF($A$6:$A$115,A12,$G$6:$G$115),0))</f>
        <v/>
      </c>
    </row>
    <row r="13" ht="22" customHeight="1">
      <c r="A13" s="7" t="n"/>
      <c r="B13" s="7" t="n"/>
      <c r="C13" s="7" t="n"/>
      <c r="D13" s="7" t="n"/>
      <c r="E13" s="7" t="n"/>
      <c r="F13" s="26">
        <f>IF(OR(B13="",C13=""),"",B13+C13+D13+E13)</f>
        <v/>
      </c>
      <c r="G13" s="7" t="n"/>
      <c r="H13" s="7" t="n"/>
      <c r="I13" s="7" t="n"/>
      <c r="J13" s="7" t="n"/>
      <c r="K13" s="7" t="n"/>
      <c r="L13" s="7" t="n"/>
      <c r="M13" s="7">
        <f>IF(A13="","",IFERROR(COUNTIF($A$6:$A$115,A13),0))</f>
        <v/>
      </c>
      <c r="N13" s="26">
        <f>IF(A13="","",IFERROR(AVERAGEIF($A$6:$A$115,A13,$G$6:$G$115),0))</f>
        <v/>
      </c>
    </row>
    <row r="14" ht="22" customHeight="1">
      <c r="A14" s="5" t="n"/>
      <c r="B14" s="5" t="n"/>
      <c r="C14" s="5" t="n"/>
      <c r="D14" s="5" t="n"/>
      <c r="E14" s="5" t="n"/>
      <c r="F14" s="25">
        <f>IF(OR(B14="",C14=""),"",B14+C14+D14+E14)</f>
        <v/>
      </c>
      <c r="G14" s="5" t="n"/>
      <c r="H14" s="5" t="n"/>
      <c r="I14" s="5" t="n"/>
      <c r="J14" s="5" t="n"/>
      <c r="K14" s="5" t="n"/>
      <c r="L14" s="5" t="n"/>
      <c r="M14" s="5">
        <f>IF(A14="","",IFERROR(COUNTIF($A$6:$A$115,A14),0))</f>
        <v/>
      </c>
      <c r="N14" s="25">
        <f>IF(A14="","",IFERROR(AVERAGEIF($A$6:$A$115,A14,$G$6:$G$115),0))</f>
        <v/>
      </c>
    </row>
    <row r="15" ht="22" customHeight="1">
      <c r="A15" s="7" t="n"/>
      <c r="B15" s="7" t="n"/>
      <c r="C15" s="7" t="n"/>
      <c r="D15" s="7" t="n"/>
      <c r="E15" s="7" t="n"/>
      <c r="F15" s="26">
        <f>IF(OR(B15="",C15=""),"",B15+C15+D15+E15)</f>
        <v/>
      </c>
      <c r="G15" s="7" t="n"/>
      <c r="H15" s="7" t="n"/>
      <c r="I15" s="7" t="n"/>
      <c r="J15" s="7" t="n"/>
      <c r="K15" s="7" t="n"/>
      <c r="L15" s="7" t="n"/>
      <c r="M15" s="7">
        <f>IF(A15="","",IFERROR(COUNTIF($A$6:$A$115,A15),0))</f>
        <v/>
      </c>
      <c r="N15" s="26">
        <f>IF(A15="","",IFERROR(AVERAGEIF($A$6:$A$115,A15,$G$6:$G$115),0))</f>
        <v/>
      </c>
    </row>
    <row r="16" ht="22" customHeight="1">
      <c r="A16" s="5" t="n"/>
      <c r="B16" s="5" t="n"/>
      <c r="C16" s="5" t="n"/>
      <c r="D16" s="5" t="n"/>
      <c r="E16" s="5" t="n"/>
      <c r="F16" s="25">
        <f>IF(OR(B16="",C16=""),"",B16+C16+D16+E16)</f>
        <v/>
      </c>
      <c r="G16" s="5" t="n"/>
      <c r="H16" s="5" t="n"/>
      <c r="I16" s="5" t="n"/>
      <c r="J16" s="5" t="n"/>
      <c r="K16" s="5" t="n"/>
      <c r="L16" s="5" t="n"/>
      <c r="M16" s="5">
        <f>IF(A16="","",IFERROR(COUNTIF($A$6:$A$115,A16),0))</f>
        <v/>
      </c>
      <c r="N16" s="25">
        <f>IF(A16="","",IFERROR(AVERAGEIF($A$6:$A$115,A16,$G$6:$G$115),0))</f>
        <v/>
      </c>
    </row>
    <row r="17" ht="22" customHeight="1">
      <c r="A17" s="7" t="n"/>
      <c r="B17" s="7" t="n"/>
      <c r="C17" s="7" t="n"/>
      <c r="D17" s="7" t="n"/>
      <c r="E17" s="7" t="n"/>
      <c r="F17" s="26">
        <f>IF(OR(B17="",C17=""),"",B17+C17+D17+E17)</f>
        <v/>
      </c>
      <c r="G17" s="7" t="n"/>
      <c r="H17" s="7" t="n"/>
      <c r="I17" s="7" t="n"/>
      <c r="J17" s="7" t="n"/>
      <c r="K17" s="7" t="n"/>
      <c r="L17" s="7" t="n"/>
      <c r="M17" s="7">
        <f>IF(A17="","",IFERROR(COUNTIF($A$6:$A$115,A17),0))</f>
        <v/>
      </c>
      <c r="N17" s="26">
        <f>IF(A17="","",IFERROR(AVERAGEIF($A$6:$A$115,A17,$G$6:$G$115),0))</f>
        <v/>
      </c>
    </row>
    <row r="18" ht="22" customHeight="1">
      <c r="A18" s="5" t="n"/>
      <c r="B18" s="5" t="n"/>
      <c r="C18" s="5" t="n"/>
      <c r="D18" s="5" t="n"/>
      <c r="E18" s="5" t="n"/>
      <c r="F18" s="25">
        <f>IF(OR(B18="",C18=""),"",B18+C18+D18+E18)</f>
        <v/>
      </c>
      <c r="G18" s="5" t="n"/>
      <c r="H18" s="5" t="n"/>
      <c r="I18" s="5" t="n"/>
      <c r="J18" s="5" t="n"/>
      <c r="K18" s="5" t="n"/>
      <c r="L18" s="5" t="n"/>
      <c r="M18" s="5">
        <f>IF(A18="","",IFERROR(COUNTIF($A$6:$A$115,A18),0))</f>
        <v/>
      </c>
      <c r="N18" s="25">
        <f>IF(A18="","",IFERROR(AVERAGEIF($A$6:$A$115,A18,$G$6:$G$115),0))</f>
        <v/>
      </c>
    </row>
    <row r="19" ht="22" customHeight="1">
      <c r="A19" s="7" t="n"/>
      <c r="B19" s="7" t="n"/>
      <c r="C19" s="7" t="n"/>
      <c r="D19" s="7" t="n"/>
      <c r="E19" s="7" t="n"/>
      <c r="F19" s="26">
        <f>IF(OR(B19="",C19=""),"",B19+C19+D19+E19)</f>
        <v/>
      </c>
      <c r="G19" s="7" t="n"/>
      <c r="H19" s="7" t="n"/>
      <c r="I19" s="7" t="n"/>
      <c r="J19" s="7" t="n"/>
      <c r="K19" s="7" t="n"/>
      <c r="L19" s="7" t="n"/>
      <c r="M19" s="7">
        <f>IF(A19="","",IFERROR(COUNTIF($A$6:$A$115,A19),0))</f>
        <v/>
      </c>
      <c r="N19" s="26">
        <f>IF(A19="","",IFERROR(AVERAGEIF($A$6:$A$115,A19,$G$6:$G$115),0))</f>
        <v/>
      </c>
    </row>
    <row r="20" ht="22" customHeight="1">
      <c r="A20" s="5" t="n"/>
      <c r="B20" s="5" t="n"/>
      <c r="C20" s="5" t="n"/>
      <c r="D20" s="5" t="n"/>
      <c r="E20" s="5" t="n"/>
      <c r="F20" s="25">
        <f>IF(OR(B20="",C20=""),"",B20+C20+D20+E20)</f>
        <v/>
      </c>
      <c r="G20" s="5" t="n"/>
      <c r="H20" s="5" t="n"/>
      <c r="I20" s="5" t="n"/>
      <c r="J20" s="5" t="n"/>
      <c r="K20" s="5" t="n"/>
      <c r="L20" s="5" t="n"/>
      <c r="M20" s="5">
        <f>IF(A20="","",IFERROR(COUNTIF($A$6:$A$115,A20),0))</f>
        <v/>
      </c>
      <c r="N20" s="25">
        <f>IF(A20="","",IFERROR(AVERAGEIF($A$6:$A$115,A20,$G$6:$G$115),0))</f>
        <v/>
      </c>
    </row>
    <row r="21" ht="22" customHeight="1">
      <c r="A21" s="7" t="n"/>
      <c r="B21" s="7" t="n"/>
      <c r="C21" s="7" t="n"/>
      <c r="D21" s="7" t="n"/>
      <c r="E21" s="7" t="n"/>
      <c r="F21" s="26">
        <f>IF(OR(B21="",C21=""),"",B21+C21+D21+E21)</f>
        <v/>
      </c>
      <c r="G21" s="7" t="n"/>
      <c r="H21" s="7" t="n"/>
      <c r="I21" s="7" t="n"/>
      <c r="J21" s="7" t="n"/>
      <c r="K21" s="7" t="n"/>
      <c r="L21" s="7" t="n"/>
      <c r="M21" s="7">
        <f>IF(A21="","",IFERROR(COUNTIF($A$6:$A$115,A21),0))</f>
        <v/>
      </c>
      <c r="N21" s="26">
        <f>IF(A21="","",IFERROR(AVERAGEIF($A$6:$A$115,A21,$G$6:$G$115),0))</f>
        <v/>
      </c>
    </row>
    <row r="22" ht="22" customHeight="1">
      <c r="A22" s="5" t="n"/>
      <c r="B22" s="5" t="n"/>
      <c r="C22" s="5" t="n"/>
      <c r="D22" s="5" t="n"/>
      <c r="E22" s="5" t="n"/>
      <c r="F22" s="25">
        <f>IF(OR(B22="",C22=""),"",B22+C22+D22+E22)</f>
        <v/>
      </c>
      <c r="G22" s="5" t="n"/>
      <c r="H22" s="5" t="n"/>
      <c r="I22" s="5" t="n"/>
      <c r="J22" s="5" t="n"/>
      <c r="K22" s="5" t="n"/>
      <c r="L22" s="5" t="n"/>
      <c r="M22" s="5">
        <f>IF(A22="","",IFERROR(COUNTIF($A$6:$A$115,A22),0))</f>
        <v/>
      </c>
      <c r="N22" s="25">
        <f>IF(A22="","",IFERROR(AVERAGEIF($A$6:$A$115,A22,$G$6:$G$115),0))</f>
        <v/>
      </c>
    </row>
    <row r="23" ht="22" customHeight="1">
      <c r="A23" s="7" t="n"/>
      <c r="B23" s="7" t="n"/>
      <c r="C23" s="7" t="n"/>
      <c r="D23" s="7" t="n"/>
      <c r="E23" s="7" t="n"/>
      <c r="F23" s="26">
        <f>IF(OR(B23="",C23=""),"",B23+C23+D23+E23)</f>
        <v/>
      </c>
      <c r="G23" s="7" t="n"/>
      <c r="H23" s="7" t="n"/>
      <c r="I23" s="7" t="n"/>
      <c r="J23" s="7" t="n"/>
      <c r="K23" s="7" t="n"/>
      <c r="L23" s="7" t="n"/>
      <c r="M23" s="7">
        <f>IF(A23="","",IFERROR(COUNTIF($A$6:$A$115,A23),0))</f>
        <v/>
      </c>
      <c r="N23" s="26">
        <f>IF(A23="","",IFERROR(AVERAGEIF($A$6:$A$115,A23,$G$6:$G$115),0))</f>
        <v/>
      </c>
    </row>
    <row r="24" ht="22" customHeight="1">
      <c r="A24" s="5" t="n"/>
      <c r="B24" s="5" t="n"/>
      <c r="C24" s="5" t="n"/>
      <c r="D24" s="5" t="n"/>
      <c r="E24" s="5" t="n"/>
      <c r="F24" s="25">
        <f>IF(OR(B24="",C24=""),"",B24+C24+D24+E24)</f>
        <v/>
      </c>
      <c r="G24" s="5" t="n"/>
      <c r="H24" s="5" t="n"/>
      <c r="I24" s="5" t="n"/>
      <c r="J24" s="5" t="n"/>
      <c r="K24" s="5" t="n"/>
      <c r="L24" s="5" t="n"/>
      <c r="M24" s="5">
        <f>IF(A24="","",IFERROR(COUNTIF($A$6:$A$115,A24),0))</f>
        <v/>
      </c>
      <c r="N24" s="25">
        <f>IF(A24="","",IFERROR(AVERAGEIF($A$6:$A$115,A24,$G$6:$G$115),0))</f>
        <v/>
      </c>
    </row>
    <row r="25" ht="22" customHeight="1">
      <c r="A25" s="7" t="n"/>
      <c r="B25" s="7" t="n"/>
      <c r="C25" s="7" t="n"/>
      <c r="D25" s="7" t="n"/>
      <c r="E25" s="7" t="n"/>
      <c r="F25" s="26">
        <f>IF(OR(B25="",C25=""),"",B25+C25+D25+E25)</f>
        <v/>
      </c>
      <c r="G25" s="7" t="n"/>
      <c r="H25" s="7" t="n"/>
      <c r="I25" s="7" t="n"/>
      <c r="J25" s="7" t="n"/>
      <c r="K25" s="7" t="n"/>
      <c r="L25" s="7" t="n"/>
      <c r="M25" s="7">
        <f>IF(A25="","",IFERROR(COUNTIF($A$6:$A$115,A25),0))</f>
        <v/>
      </c>
      <c r="N25" s="26">
        <f>IF(A25="","",IFERROR(AVERAGEIF($A$6:$A$115,A25,$G$6:$G$115),0))</f>
        <v/>
      </c>
    </row>
    <row r="26" ht="22" customHeight="1">
      <c r="A26" s="5" t="n"/>
      <c r="B26" s="5" t="n"/>
      <c r="C26" s="5" t="n"/>
      <c r="D26" s="5" t="n"/>
      <c r="E26" s="5" t="n"/>
      <c r="F26" s="25">
        <f>IF(OR(B26="",C26=""),"",B26+C26+D26+E26)</f>
        <v/>
      </c>
      <c r="G26" s="5" t="n"/>
      <c r="H26" s="5" t="n"/>
      <c r="I26" s="5" t="n"/>
      <c r="J26" s="5" t="n"/>
      <c r="K26" s="5" t="n"/>
      <c r="L26" s="5" t="n"/>
      <c r="M26" s="5">
        <f>IF(A26="","",IFERROR(COUNTIF($A$6:$A$115,A26),0))</f>
        <v/>
      </c>
      <c r="N26" s="25">
        <f>IF(A26="","",IFERROR(AVERAGEIF($A$6:$A$115,A26,$G$6:$G$115),0))</f>
        <v/>
      </c>
    </row>
    <row r="27" ht="22" customHeight="1">
      <c r="A27" s="7" t="n"/>
      <c r="B27" s="7" t="n"/>
      <c r="C27" s="7" t="n"/>
      <c r="D27" s="7" t="n"/>
      <c r="E27" s="7" t="n"/>
      <c r="F27" s="26">
        <f>IF(OR(B27="",C27=""),"",B27+C27+D27+E27)</f>
        <v/>
      </c>
      <c r="G27" s="7" t="n"/>
      <c r="H27" s="7" t="n"/>
      <c r="I27" s="7" t="n"/>
      <c r="J27" s="7" t="n"/>
      <c r="K27" s="7" t="n"/>
      <c r="L27" s="7" t="n"/>
      <c r="M27" s="7">
        <f>IF(A27="","",IFERROR(COUNTIF($A$6:$A$115,A27),0))</f>
        <v/>
      </c>
      <c r="N27" s="26">
        <f>IF(A27="","",IFERROR(AVERAGEIF($A$6:$A$115,A27,$G$6:$G$115),0))</f>
        <v/>
      </c>
    </row>
    <row r="28" ht="22" customHeight="1">
      <c r="A28" s="5" t="n"/>
      <c r="B28" s="5" t="n"/>
      <c r="C28" s="5" t="n"/>
      <c r="D28" s="5" t="n"/>
      <c r="E28" s="5" t="n"/>
      <c r="F28" s="25">
        <f>IF(OR(B28="",C28=""),"",B28+C28+D28+E28)</f>
        <v/>
      </c>
      <c r="G28" s="5" t="n"/>
      <c r="H28" s="5" t="n"/>
      <c r="I28" s="5" t="n"/>
      <c r="J28" s="5" t="n"/>
      <c r="K28" s="5" t="n"/>
      <c r="L28" s="5" t="n"/>
      <c r="M28" s="5">
        <f>IF(A28="","",IFERROR(COUNTIF($A$6:$A$115,A28),0))</f>
        <v/>
      </c>
      <c r="N28" s="25">
        <f>IF(A28="","",IFERROR(AVERAGEIF($A$6:$A$115,A28,$G$6:$G$115),0))</f>
        <v/>
      </c>
    </row>
    <row r="29" ht="22" customHeight="1">
      <c r="A29" s="7" t="n"/>
      <c r="B29" s="7" t="n"/>
      <c r="C29" s="7" t="n"/>
      <c r="D29" s="7" t="n"/>
      <c r="E29" s="7" t="n"/>
      <c r="F29" s="26">
        <f>IF(OR(B29="",C29=""),"",B29+C29+D29+E29)</f>
        <v/>
      </c>
      <c r="G29" s="7" t="n"/>
      <c r="H29" s="7" t="n"/>
      <c r="I29" s="7" t="n"/>
      <c r="J29" s="7" t="n"/>
      <c r="K29" s="7" t="n"/>
      <c r="L29" s="7" t="n"/>
      <c r="M29" s="7">
        <f>IF(A29="","",IFERROR(COUNTIF($A$6:$A$115,A29),0))</f>
        <v/>
      </c>
      <c r="N29" s="26">
        <f>IF(A29="","",IFERROR(AVERAGEIF($A$6:$A$115,A29,$G$6:$G$115),0))</f>
        <v/>
      </c>
    </row>
    <row r="30" ht="22" customHeight="1">
      <c r="A30" s="5" t="n"/>
      <c r="B30" s="5" t="n"/>
      <c r="C30" s="5" t="n"/>
      <c r="D30" s="5" t="n"/>
      <c r="E30" s="5" t="n"/>
      <c r="F30" s="25">
        <f>IF(OR(B30="",C30=""),"",B30+C30+D30+E30)</f>
        <v/>
      </c>
      <c r="G30" s="5" t="n"/>
      <c r="H30" s="5" t="n"/>
      <c r="I30" s="5" t="n"/>
      <c r="J30" s="5" t="n"/>
      <c r="K30" s="5" t="n"/>
      <c r="L30" s="5" t="n"/>
      <c r="M30" s="5">
        <f>IF(A30="","",IFERROR(COUNTIF($A$6:$A$115,A30),0))</f>
        <v/>
      </c>
      <c r="N30" s="25">
        <f>IF(A30="","",IFERROR(AVERAGEIF($A$6:$A$115,A30,$G$6:$G$115),0))</f>
        <v/>
      </c>
    </row>
    <row r="31" ht="22" customHeight="1">
      <c r="A31" s="7" t="n"/>
      <c r="B31" s="7" t="n"/>
      <c r="C31" s="7" t="n"/>
      <c r="D31" s="7" t="n"/>
      <c r="E31" s="7" t="n"/>
      <c r="F31" s="26">
        <f>IF(OR(B31="",C31=""),"",B31+C31+D31+E31)</f>
        <v/>
      </c>
      <c r="G31" s="7" t="n"/>
      <c r="H31" s="7" t="n"/>
      <c r="I31" s="7" t="n"/>
      <c r="J31" s="7" t="n"/>
      <c r="K31" s="7" t="n"/>
      <c r="L31" s="7" t="n"/>
      <c r="M31" s="7">
        <f>IF(A31="","",IFERROR(COUNTIF($A$6:$A$115,A31),0))</f>
        <v/>
      </c>
      <c r="N31" s="26">
        <f>IF(A31="","",IFERROR(AVERAGEIF($A$6:$A$115,A31,$G$6:$G$115),0))</f>
        <v/>
      </c>
    </row>
    <row r="32" ht="22" customHeight="1">
      <c r="A32" s="5" t="n"/>
      <c r="B32" s="5" t="n"/>
      <c r="C32" s="5" t="n"/>
      <c r="D32" s="5" t="n"/>
      <c r="E32" s="5" t="n"/>
      <c r="F32" s="25">
        <f>IF(OR(B32="",C32=""),"",B32+C32+D32+E32)</f>
        <v/>
      </c>
      <c r="G32" s="5" t="n"/>
      <c r="H32" s="5" t="n"/>
      <c r="I32" s="5" t="n"/>
      <c r="J32" s="5" t="n"/>
      <c r="K32" s="5" t="n"/>
      <c r="L32" s="5" t="n"/>
      <c r="M32" s="5">
        <f>IF(A32="","",IFERROR(COUNTIF($A$6:$A$115,A32),0))</f>
        <v/>
      </c>
      <c r="N32" s="25">
        <f>IF(A32="","",IFERROR(AVERAGEIF($A$6:$A$115,A32,$G$6:$G$115),0))</f>
        <v/>
      </c>
    </row>
    <row r="33" ht="22" customHeight="1">
      <c r="A33" s="7" t="n"/>
      <c r="B33" s="7" t="n"/>
      <c r="C33" s="7" t="n"/>
      <c r="D33" s="7" t="n"/>
      <c r="E33" s="7" t="n"/>
      <c r="F33" s="26">
        <f>IF(OR(B33="",C33=""),"",B33+C33+D33+E33)</f>
        <v/>
      </c>
      <c r="G33" s="7" t="n"/>
      <c r="H33" s="7" t="n"/>
      <c r="I33" s="7" t="n"/>
      <c r="J33" s="7" t="n"/>
      <c r="K33" s="7" t="n"/>
      <c r="L33" s="7" t="n"/>
      <c r="M33" s="7">
        <f>IF(A33="","",IFERROR(COUNTIF($A$6:$A$115,A33),0))</f>
        <v/>
      </c>
      <c r="N33" s="26">
        <f>IF(A33="","",IFERROR(AVERAGEIF($A$6:$A$115,A33,$G$6:$G$115),0))</f>
        <v/>
      </c>
    </row>
    <row r="34" ht="22" customHeight="1">
      <c r="A34" s="5" t="n"/>
      <c r="B34" s="5" t="n"/>
      <c r="C34" s="5" t="n"/>
      <c r="D34" s="5" t="n"/>
      <c r="E34" s="5" t="n"/>
      <c r="F34" s="25">
        <f>IF(OR(B34="",C34=""),"",B34+C34+D34+E34)</f>
        <v/>
      </c>
      <c r="G34" s="5" t="n"/>
      <c r="H34" s="5" t="n"/>
      <c r="I34" s="5" t="n"/>
      <c r="J34" s="5" t="n"/>
      <c r="K34" s="5" t="n"/>
      <c r="L34" s="5" t="n"/>
      <c r="M34" s="5">
        <f>IF(A34="","",IFERROR(COUNTIF($A$6:$A$115,A34),0))</f>
        <v/>
      </c>
      <c r="N34" s="25">
        <f>IF(A34="","",IFERROR(AVERAGEIF($A$6:$A$115,A34,$G$6:$G$115),0))</f>
        <v/>
      </c>
    </row>
    <row r="35" ht="22" customHeight="1">
      <c r="A35" s="7" t="n"/>
      <c r="B35" s="7" t="n"/>
      <c r="C35" s="7" t="n"/>
      <c r="D35" s="7" t="n"/>
      <c r="E35" s="7" t="n"/>
      <c r="F35" s="26">
        <f>IF(OR(B35="",C35=""),"",B35+C35+D35+E35)</f>
        <v/>
      </c>
      <c r="G35" s="7" t="n"/>
      <c r="H35" s="7" t="n"/>
      <c r="I35" s="7" t="n"/>
      <c r="J35" s="7" t="n"/>
      <c r="K35" s="7" t="n"/>
      <c r="L35" s="7" t="n"/>
      <c r="M35" s="7">
        <f>IF(A35="","",IFERROR(COUNTIF($A$6:$A$115,A35),0))</f>
        <v/>
      </c>
      <c r="N35" s="26">
        <f>IF(A35="","",IFERROR(AVERAGEIF($A$6:$A$115,A35,$G$6:$G$115),0))</f>
        <v/>
      </c>
    </row>
    <row r="36" ht="22" customHeight="1">
      <c r="A36" s="5" t="n"/>
      <c r="B36" s="5" t="n"/>
      <c r="C36" s="5" t="n"/>
      <c r="D36" s="5" t="n"/>
      <c r="E36" s="5" t="n"/>
      <c r="F36" s="25">
        <f>IF(OR(B36="",C36=""),"",B36+C36+D36+E36)</f>
        <v/>
      </c>
      <c r="G36" s="5" t="n"/>
      <c r="H36" s="5" t="n"/>
      <c r="I36" s="5" t="n"/>
      <c r="J36" s="5" t="n"/>
      <c r="K36" s="5" t="n"/>
      <c r="L36" s="5" t="n"/>
      <c r="M36" s="5">
        <f>IF(A36="","",IFERROR(COUNTIF($A$6:$A$115,A36),0))</f>
        <v/>
      </c>
      <c r="N36" s="25">
        <f>IF(A36="","",IFERROR(AVERAGEIF($A$6:$A$115,A36,$G$6:$G$115),0))</f>
        <v/>
      </c>
    </row>
    <row r="37" ht="22" customHeight="1">
      <c r="A37" s="7" t="n"/>
      <c r="B37" s="7" t="n"/>
      <c r="C37" s="7" t="n"/>
      <c r="D37" s="7" t="n"/>
      <c r="E37" s="7" t="n"/>
      <c r="F37" s="26">
        <f>IF(OR(B37="",C37=""),"",B37+C37+D37+E37)</f>
        <v/>
      </c>
      <c r="G37" s="7" t="n"/>
      <c r="H37" s="7" t="n"/>
      <c r="I37" s="7" t="n"/>
      <c r="J37" s="7" t="n"/>
      <c r="K37" s="7" t="n"/>
      <c r="L37" s="7" t="n"/>
      <c r="M37" s="7">
        <f>IF(A37="","",IFERROR(COUNTIF($A$6:$A$115,A37),0))</f>
        <v/>
      </c>
      <c r="N37" s="26">
        <f>IF(A37="","",IFERROR(AVERAGEIF($A$6:$A$115,A37,$G$6:$G$115),0))</f>
        <v/>
      </c>
    </row>
    <row r="38" ht="22" customHeight="1">
      <c r="A38" s="5" t="n"/>
      <c r="B38" s="5" t="n"/>
      <c r="C38" s="5" t="n"/>
      <c r="D38" s="5" t="n"/>
      <c r="E38" s="5" t="n"/>
      <c r="F38" s="25">
        <f>IF(OR(B38="",C38=""),"",B38+C38+D38+E38)</f>
        <v/>
      </c>
      <c r="G38" s="5" t="n"/>
      <c r="H38" s="5" t="n"/>
      <c r="I38" s="5" t="n"/>
      <c r="J38" s="5" t="n"/>
      <c r="K38" s="5" t="n"/>
      <c r="L38" s="5" t="n"/>
      <c r="M38" s="5">
        <f>IF(A38="","",IFERROR(COUNTIF($A$6:$A$115,A38),0))</f>
        <v/>
      </c>
      <c r="N38" s="25">
        <f>IF(A38="","",IFERROR(AVERAGEIF($A$6:$A$115,A38,$G$6:$G$115),0))</f>
        <v/>
      </c>
    </row>
    <row r="39" ht="22" customHeight="1">
      <c r="A39" s="7" t="n"/>
      <c r="B39" s="7" t="n"/>
      <c r="C39" s="7" t="n"/>
      <c r="D39" s="7" t="n"/>
      <c r="E39" s="7" t="n"/>
      <c r="F39" s="26">
        <f>IF(OR(B39="",C39=""),"",B39+C39+D39+E39)</f>
        <v/>
      </c>
      <c r="G39" s="7" t="n"/>
      <c r="H39" s="7" t="n"/>
      <c r="I39" s="7" t="n"/>
      <c r="J39" s="7" t="n"/>
      <c r="K39" s="7" t="n"/>
      <c r="L39" s="7" t="n"/>
      <c r="M39" s="7">
        <f>IF(A39="","",IFERROR(COUNTIF($A$6:$A$115,A39),0))</f>
        <v/>
      </c>
      <c r="N39" s="26">
        <f>IF(A39="","",IFERROR(AVERAGEIF($A$6:$A$115,A39,$G$6:$G$115),0))</f>
        <v/>
      </c>
    </row>
    <row r="40" ht="22" customHeight="1">
      <c r="A40" s="5" t="n"/>
      <c r="B40" s="5" t="n"/>
      <c r="C40" s="5" t="n"/>
      <c r="D40" s="5" t="n"/>
      <c r="E40" s="5" t="n"/>
      <c r="F40" s="25">
        <f>IF(OR(B40="",C40=""),"",B40+C40+D40+E40)</f>
        <v/>
      </c>
      <c r="G40" s="5" t="n"/>
      <c r="H40" s="5" t="n"/>
      <c r="I40" s="5" t="n"/>
      <c r="J40" s="5" t="n"/>
      <c r="K40" s="5" t="n"/>
      <c r="L40" s="5" t="n"/>
      <c r="M40" s="5">
        <f>IF(A40="","",IFERROR(COUNTIF($A$6:$A$115,A40),0))</f>
        <v/>
      </c>
      <c r="N40" s="25">
        <f>IF(A40="","",IFERROR(AVERAGEIF($A$6:$A$115,A40,$G$6:$G$115),0))</f>
        <v/>
      </c>
    </row>
    <row r="41" ht="22" customHeight="1">
      <c r="A41" s="7" t="n"/>
      <c r="B41" s="7" t="n"/>
      <c r="C41" s="7" t="n"/>
      <c r="D41" s="7" t="n"/>
      <c r="E41" s="7" t="n"/>
      <c r="F41" s="26">
        <f>IF(OR(B41="",C41=""),"",B41+C41+D41+E41)</f>
        <v/>
      </c>
      <c r="G41" s="7" t="n"/>
      <c r="H41" s="7" t="n"/>
      <c r="I41" s="7" t="n"/>
      <c r="J41" s="7" t="n"/>
      <c r="K41" s="7" t="n"/>
      <c r="L41" s="7" t="n"/>
      <c r="M41" s="7">
        <f>IF(A41="","",IFERROR(COUNTIF($A$6:$A$115,A41),0))</f>
        <v/>
      </c>
      <c r="N41" s="26">
        <f>IF(A41="","",IFERROR(AVERAGEIF($A$6:$A$115,A41,$G$6:$G$115),0))</f>
        <v/>
      </c>
    </row>
    <row r="42" ht="22" customHeight="1">
      <c r="A42" s="5" t="n"/>
      <c r="B42" s="5" t="n"/>
      <c r="C42" s="5" t="n"/>
      <c r="D42" s="5" t="n"/>
      <c r="E42" s="5" t="n"/>
      <c r="F42" s="25">
        <f>IF(OR(B42="",C42=""),"",B42+C42+D42+E42)</f>
        <v/>
      </c>
      <c r="G42" s="5" t="n"/>
      <c r="H42" s="5" t="n"/>
      <c r="I42" s="5" t="n"/>
      <c r="J42" s="5" t="n"/>
      <c r="K42" s="5" t="n"/>
      <c r="L42" s="5" t="n"/>
      <c r="M42" s="5">
        <f>IF(A42="","",IFERROR(COUNTIF($A$6:$A$115,A42),0))</f>
        <v/>
      </c>
      <c r="N42" s="25">
        <f>IF(A42="","",IFERROR(AVERAGEIF($A$6:$A$115,A42,$G$6:$G$115),0))</f>
        <v/>
      </c>
    </row>
    <row r="43" ht="22" customHeight="1">
      <c r="A43" s="7" t="n"/>
      <c r="B43" s="7" t="n"/>
      <c r="C43" s="7" t="n"/>
      <c r="D43" s="7" t="n"/>
      <c r="E43" s="7" t="n"/>
      <c r="F43" s="26">
        <f>IF(OR(B43="",C43=""),"",B43+C43+D43+E43)</f>
        <v/>
      </c>
      <c r="G43" s="7" t="n"/>
      <c r="H43" s="7" t="n"/>
      <c r="I43" s="7" t="n"/>
      <c r="J43" s="7" t="n"/>
      <c r="K43" s="7" t="n"/>
      <c r="L43" s="7" t="n"/>
      <c r="M43" s="7">
        <f>IF(A43="","",IFERROR(COUNTIF($A$6:$A$115,A43),0))</f>
        <v/>
      </c>
      <c r="N43" s="26">
        <f>IF(A43="","",IFERROR(AVERAGEIF($A$6:$A$115,A43,$G$6:$G$115),0))</f>
        <v/>
      </c>
    </row>
    <row r="44" ht="22" customHeight="1">
      <c r="A44" s="5" t="n"/>
      <c r="B44" s="5" t="n"/>
      <c r="C44" s="5" t="n"/>
      <c r="D44" s="5" t="n"/>
      <c r="E44" s="5" t="n"/>
      <c r="F44" s="25">
        <f>IF(OR(B44="",C44=""),"",B44+C44+D44+E44)</f>
        <v/>
      </c>
      <c r="G44" s="5" t="n"/>
      <c r="H44" s="5" t="n"/>
      <c r="I44" s="5" t="n"/>
      <c r="J44" s="5" t="n"/>
      <c r="K44" s="5" t="n"/>
      <c r="L44" s="5" t="n"/>
      <c r="M44" s="5">
        <f>IF(A44="","",IFERROR(COUNTIF($A$6:$A$115,A44),0))</f>
        <v/>
      </c>
      <c r="N44" s="25">
        <f>IF(A44="","",IFERROR(AVERAGEIF($A$6:$A$115,A44,$G$6:$G$115),0))</f>
        <v/>
      </c>
    </row>
    <row r="45" ht="22" customHeight="1">
      <c r="A45" s="7" t="n"/>
      <c r="B45" s="7" t="n"/>
      <c r="C45" s="7" t="n"/>
      <c r="D45" s="7" t="n"/>
      <c r="E45" s="7" t="n"/>
      <c r="F45" s="26">
        <f>IF(OR(B45="",C45=""),"",B45+C45+D45+E45)</f>
        <v/>
      </c>
      <c r="G45" s="7" t="n"/>
      <c r="H45" s="7" t="n"/>
      <c r="I45" s="7" t="n"/>
      <c r="J45" s="7" t="n"/>
      <c r="K45" s="7" t="n"/>
      <c r="L45" s="7" t="n"/>
      <c r="M45" s="7">
        <f>IF(A45="","",IFERROR(COUNTIF($A$6:$A$115,A45),0))</f>
        <v/>
      </c>
      <c r="N45" s="26">
        <f>IF(A45="","",IFERROR(AVERAGEIF($A$6:$A$115,A45,$G$6:$G$115),0))</f>
        <v/>
      </c>
    </row>
    <row r="46" ht="22" customHeight="1">
      <c r="A46" s="5" t="n"/>
      <c r="B46" s="5" t="n"/>
      <c r="C46" s="5" t="n"/>
      <c r="D46" s="5" t="n"/>
      <c r="E46" s="5" t="n"/>
      <c r="F46" s="25">
        <f>IF(OR(B46="",C46=""),"",B46+C46+D46+E46)</f>
        <v/>
      </c>
      <c r="G46" s="5" t="n"/>
      <c r="H46" s="5" t="n"/>
      <c r="I46" s="5" t="n"/>
      <c r="J46" s="5" t="n"/>
      <c r="K46" s="5" t="n"/>
      <c r="L46" s="5" t="n"/>
      <c r="M46" s="5">
        <f>IF(A46="","",IFERROR(COUNTIF($A$6:$A$115,A46),0))</f>
        <v/>
      </c>
      <c r="N46" s="25">
        <f>IF(A46="","",IFERROR(AVERAGEIF($A$6:$A$115,A46,$G$6:$G$115),0))</f>
        <v/>
      </c>
    </row>
    <row r="47" ht="22" customHeight="1">
      <c r="A47" s="7" t="n"/>
      <c r="B47" s="7" t="n"/>
      <c r="C47" s="7" t="n"/>
      <c r="D47" s="7" t="n"/>
      <c r="E47" s="7" t="n"/>
      <c r="F47" s="26">
        <f>IF(OR(B47="",C47=""),"",B47+C47+D47+E47)</f>
        <v/>
      </c>
      <c r="G47" s="7" t="n"/>
      <c r="H47" s="7" t="n"/>
      <c r="I47" s="7" t="n"/>
      <c r="J47" s="7" t="n"/>
      <c r="K47" s="7" t="n"/>
      <c r="L47" s="7" t="n"/>
      <c r="M47" s="7">
        <f>IF(A47="","",IFERROR(COUNTIF($A$6:$A$115,A47),0))</f>
        <v/>
      </c>
      <c r="N47" s="26">
        <f>IF(A47="","",IFERROR(AVERAGEIF($A$6:$A$115,A47,$G$6:$G$115),0))</f>
        <v/>
      </c>
    </row>
    <row r="48" ht="22" customHeight="1">
      <c r="A48" s="5" t="n"/>
      <c r="B48" s="5" t="n"/>
      <c r="C48" s="5" t="n"/>
      <c r="D48" s="5" t="n"/>
      <c r="E48" s="5" t="n"/>
      <c r="F48" s="25">
        <f>IF(OR(B48="",C48=""),"",B48+C48+D48+E48)</f>
        <v/>
      </c>
      <c r="G48" s="5" t="n"/>
      <c r="H48" s="5" t="n"/>
      <c r="I48" s="5" t="n"/>
      <c r="J48" s="5" t="n"/>
      <c r="K48" s="5" t="n"/>
      <c r="L48" s="5" t="n"/>
      <c r="M48" s="5">
        <f>IF(A48="","",IFERROR(COUNTIF($A$6:$A$115,A48),0))</f>
        <v/>
      </c>
      <c r="N48" s="25">
        <f>IF(A48="","",IFERROR(AVERAGEIF($A$6:$A$115,A48,$G$6:$G$115),0))</f>
        <v/>
      </c>
    </row>
    <row r="49" ht="22" customHeight="1">
      <c r="A49" s="7" t="n"/>
      <c r="B49" s="7" t="n"/>
      <c r="C49" s="7" t="n"/>
      <c r="D49" s="7" t="n"/>
      <c r="E49" s="7" t="n"/>
      <c r="F49" s="26">
        <f>IF(OR(B49="",C49=""),"",B49+C49+D49+E49)</f>
        <v/>
      </c>
      <c r="G49" s="7" t="n"/>
      <c r="H49" s="7" t="n"/>
      <c r="I49" s="7" t="n"/>
      <c r="J49" s="7" t="n"/>
      <c r="K49" s="7" t="n"/>
      <c r="L49" s="7" t="n"/>
      <c r="M49" s="7">
        <f>IF(A49="","",IFERROR(COUNTIF($A$6:$A$115,A49),0))</f>
        <v/>
      </c>
      <c r="N49" s="26">
        <f>IF(A49="","",IFERROR(AVERAGEIF($A$6:$A$115,A49,$G$6:$G$115),0))</f>
        <v/>
      </c>
    </row>
    <row r="50" ht="22" customHeight="1">
      <c r="A50" s="5" t="n"/>
      <c r="B50" s="5" t="n"/>
      <c r="C50" s="5" t="n"/>
      <c r="D50" s="5" t="n"/>
      <c r="E50" s="5" t="n"/>
      <c r="F50" s="25">
        <f>IF(OR(B50="",C50=""),"",B50+C50+D50+E50)</f>
        <v/>
      </c>
      <c r="G50" s="5" t="n"/>
      <c r="H50" s="5" t="n"/>
      <c r="I50" s="5" t="n"/>
      <c r="J50" s="5" t="n"/>
      <c r="K50" s="5" t="n"/>
      <c r="L50" s="5" t="n"/>
      <c r="M50" s="5">
        <f>IF(A50="","",IFERROR(COUNTIF($A$6:$A$115,A50),0))</f>
        <v/>
      </c>
      <c r="N50" s="25">
        <f>IF(A50="","",IFERROR(AVERAGEIF($A$6:$A$115,A50,$G$6:$G$115),0))</f>
        <v/>
      </c>
    </row>
    <row r="51" ht="22" customHeight="1">
      <c r="A51" s="7" t="n"/>
      <c r="B51" s="7" t="n"/>
      <c r="C51" s="7" t="n"/>
      <c r="D51" s="7" t="n"/>
      <c r="E51" s="7" t="n"/>
      <c r="F51" s="26">
        <f>IF(OR(B51="",C51=""),"",B51+C51+D51+E51)</f>
        <v/>
      </c>
      <c r="G51" s="7" t="n"/>
      <c r="H51" s="7" t="n"/>
      <c r="I51" s="7" t="n"/>
      <c r="J51" s="7" t="n"/>
      <c r="K51" s="7" t="n"/>
      <c r="L51" s="7" t="n"/>
      <c r="M51" s="7">
        <f>IF(A51="","",IFERROR(COUNTIF($A$6:$A$115,A51),0))</f>
        <v/>
      </c>
      <c r="N51" s="26">
        <f>IF(A51="","",IFERROR(AVERAGEIF($A$6:$A$115,A51,$G$6:$G$115),0))</f>
        <v/>
      </c>
    </row>
    <row r="52" ht="22" customHeight="1">
      <c r="A52" s="5" t="n"/>
      <c r="B52" s="5" t="n"/>
      <c r="C52" s="5" t="n"/>
      <c r="D52" s="5" t="n"/>
      <c r="E52" s="5" t="n"/>
      <c r="F52" s="25">
        <f>IF(OR(B52="",C52=""),"",B52+C52+D52+E52)</f>
        <v/>
      </c>
      <c r="G52" s="5" t="n"/>
      <c r="H52" s="5" t="n"/>
      <c r="I52" s="5" t="n"/>
      <c r="J52" s="5" t="n"/>
      <c r="K52" s="5" t="n"/>
      <c r="L52" s="5" t="n"/>
      <c r="M52" s="5">
        <f>IF(A52="","",IFERROR(COUNTIF($A$6:$A$115,A52),0))</f>
        <v/>
      </c>
      <c r="N52" s="25">
        <f>IF(A52="","",IFERROR(AVERAGEIF($A$6:$A$115,A52,$G$6:$G$115),0))</f>
        <v/>
      </c>
    </row>
    <row r="53" ht="22" customHeight="1">
      <c r="A53" s="7" t="n"/>
      <c r="B53" s="7" t="n"/>
      <c r="C53" s="7" t="n"/>
      <c r="D53" s="7" t="n"/>
      <c r="E53" s="7" t="n"/>
      <c r="F53" s="26">
        <f>IF(OR(B53="",C53=""),"",B53+C53+D53+E53)</f>
        <v/>
      </c>
      <c r="G53" s="7" t="n"/>
      <c r="H53" s="7" t="n"/>
      <c r="I53" s="7" t="n"/>
      <c r="J53" s="7" t="n"/>
      <c r="K53" s="7" t="n"/>
      <c r="L53" s="7" t="n"/>
      <c r="M53" s="7">
        <f>IF(A53="","",IFERROR(COUNTIF($A$6:$A$115,A53),0))</f>
        <v/>
      </c>
      <c r="N53" s="26">
        <f>IF(A53="","",IFERROR(AVERAGEIF($A$6:$A$115,A53,$G$6:$G$115),0))</f>
        <v/>
      </c>
    </row>
    <row r="54" ht="22" customHeight="1">
      <c r="A54" s="5" t="n"/>
      <c r="B54" s="5" t="n"/>
      <c r="C54" s="5" t="n"/>
      <c r="D54" s="5" t="n"/>
      <c r="E54" s="5" t="n"/>
      <c r="F54" s="25">
        <f>IF(OR(B54="",C54=""),"",B54+C54+D54+E54)</f>
        <v/>
      </c>
      <c r="G54" s="5" t="n"/>
      <c r="H54" s="5" t="n"/>
      <c r="I54" s="5" t="n"/>
      <c r="J54" s="5" t="n"/>
      <c r="K54" s="5" t="n"/>
      <c r="L54" s="5" t="n"/>
      <c r="M54" s="5">
        <f>IF(A54="","",IFERROR(COUNTIF($A$6:$A$115,A54),0))</f>
        <v/>
      </c>
      <c r="N54" s="25">
        <f>IF(A54="","",IFERROR(AVERAGEIF($A$6:$A$115,A54,$G$6:$G$115),0))</f>
        <v/>
      </c>
    </row>
    <row r="55" ht="22" customHeight="1">
      <c r="A55" s="7" t="n"/>
      <c r="B55" s="7" t="n"/>
      <c r="C55" s="7" t="n"/>
      <c r="D55" s="7" t="n"/>
      <c r="E55" s="7" t="n"/>
      <c r="F55" s="26">
        <f>IF(OR(B55="",C55=""),"",B55+C55+D55+E55)</f>
        <v/>
      </c>
      <c r="G55" s="7" t="n"/>
      <c r="H55" s="7" t="n"/>
      <c r="I55" s="7" t="n"/>
      <c r="J55" s="7" t="n"/>
      <c r="K55" s="7" t="n"/>
      <c r="L55" s="7" t="n"/>
      <c r="M55" s="7">
        <f>IF(A55="","",IFERROR(COUNTIF($A$6:$A$115,A55),0))</f>
        <v/>
      </c>
      <c r="N55" s="26">
        <f>IF(A55="","",IFERROR(AVERAGEIF($A$6:$A$115,A55,$G$6:$G$115),0))</f>
        <v/>
      </c>
    </row>
    <row r="56" ht="22" customHeight="1">
      <c r="A56" s="5" t="n"/>
      <c r="B56" s="5" t="n"/>
      <c r="C56" s="5" t="n"/>
      <c r="D56" s="5" t="n"/>
      <c r="E56" s="5" t="n"/>
      <c r="F56" s="25">
        <f>IF(OR(B56="",C56=""),"",B56+C56+D56+E56)</f>
        <v/>
      </c>
      <c r="G56" s="5" t="n"/>
      <c r="H56" s="5" t="n"/>
      <c r="I56" s="5" t="n"/>
      <c r="J56" s="5" t="n"/>
      <c r="K56" s="5" t="n"/>
      <c r="L56" s="5" t="n"/>
      <c r="M56" s="5">
        <f>IF(A56="","",IFERROR(COUNTIF($A$6:$A$115,A56),0))</f>
        <v/>
      </c>
      <c r="N56" s="25">
        <f>IF(A56="","",IFERROR(AVERAGEIF($A$6:$A$115,A56,$G$6:$G$115),0))</f>
        <v/>
      </c>
    </row>
    <row r="57" ht="22" customHeight="1">
      <c r="A57" s="7" t="n"/>
      <c r="B57" s="7" t="n"/>
      <c r="C57" s="7" t="n"/>
      <c r="D57" s="7" t="n"/>
      <c r="E57" s="7" t="n"/>
      <c r="F57" s="26">
        <f>IF(OR(B57="",C57=""),"",B57+C57+D57+E57)</f>
        <v/>
      </c>
      <c r="G57" s="7" t="n"/>
      <c r="H57" s="7" t="n"/>
      <c r="I57" s="7" t="n"/>
      <c r="J57" s="7" t="n"/>
      <c r="K57" s="7" t="n"/>
      <c r="L57" s="7" t="n"/>
      <c r="M57" s="7">
        <f>IF(A57="","",IFERROR(COUNTIF($A$6:$A$115,A57),0))</f>
        <v/>
      </c>
      <c r="N57" s="26">
        <f>IF(A57="","",IFERROR(AVERAGEIF($A$6:$A$115,A57,$G$6:$G$115),0))</f>
        <v/>
      </c>
    </row>
    <row r="58" ht="22" customHeight="1">
      <c r="A58" s="5" t="n"/>
      <c r="B58" s="5" t="n"/>
      <c r="C58" s="5" t="n"/>
      <c r="D58" s="5" t="n"/>
      <c r="E58" s="5" t="n"/>
      <c r="F58" s="25">
        <f>IF(OR(B58="",C58=""),"",B58+C58+D58+E58)</f>
        <v/>
      </c>
      <c r="G58" s="5" t="n"/>
      <c r="H58" s="5" t="n"/>
      <c r="I58" s="5" t="n"/>
      <c r="J58" s="5" t="n"/>
      <c r="K58" s="5" t="n"/>
      <c r="L58" s="5" t="n"/>
      <c r="M58" s="5">
        <f>IF(A58="","",IFERROR(COUNTIF($A$6:$A$115,A58),0))</f>
        <v/>
      </c>
      <c r="N58" s="25">
        <f>IF(A58="","",IFERROR(AVERAGEIF($A$6:$A$115,A58,$G$6:$G$115),0))</f>
        <v/>
      </c>
    </row>
    <row r="59" ht="22" customHeight="1">
      <c r="A59" s="7" t="n"/>
      <c r="B59" s="7" t="n"/>
      <c r="C59" s="7" t="n"/>
      <c r="D59" s="7" t="n"/>
      <c r="E59" s="7" t="n"/>
      <c r="F59" s="26">
        <f>IF(OR(B59="",C59=""),"",B59+C59+D59+E59)</f>
        <v/>
      </c>
      <c r="G59" s="7" t="n"/>
      <c r="H59" s="7" t="n"/>
      <c r="I59" s="7" t="n"/>
      <c r="J59" s="7" t="n"/>
      <c r="K59" s="7" t="n"/>
      <c r="L59" s="7" t="n"/>
      <c r="M59" s="7">
        <f>IF(A59="","",IFERROR(COUNTIF($A$6:$A$115,A59),0))</f>
        <v/>
      </c>
      <c r="N59" s="26">
        <f>IF(A59="","",IFERROR(AVERAGEIF($A$6:$A$115,A59,$G$6:$G$115),0))</f>
        <v/>
      </c>
    </row>
    <row r="60" ht="22" customHeight="1">
      <c r="A60" s="5" t="n"/>
      <c r="B60" s="5" t="n"/>
      <c r="C60" s="5" t="n"/>
      <c r="D60" s="5" t="n"/>
      <c r="E60" s="5" t="n"/>
      <c r="F60" s="25">
        <f>IF(OR(B60="",C60=""),"",B60+C60+D60+E60)</f>
        <v/>
      </c>
      <c r="G60" s="5" t="n"/>
      <c r="H60" s="5" t="n"/>
      <c r="I60" s="5" t="n"/>
      <c r="J60" s="5" t="n"/>
      <c r="K60" s="5" t="n"/>
      <c r="L60" s="5" t="n"/>
      <c r="M60" s="5">
        <f>IF(A60="","",IFERROR(COUNTIF($A$6:$A$115,A60),0))</f>
        <v/>
      </c>
      <c r="N60" s="25">
        <f>IF(A60="","",IFERROR(AVERAGEIF($A$6:$A$115,A60,$G$6:$G$115),0))</f>
        <v/>
      </c>
    </row>
    <row r="61" ht="22" customHeight="1">
      <c r="A61" s="7" t="n"/>
      <c r="B61" s="7" t="n"/>
      <c r="C61" s="7" t="n"/>
      <c r="D61" s="7" t="n"/>
      <c r="E61" s="7" t="n"/>
      <c r="F61" s="26">
        <f>IF(OR(B61="",C61=""),"",B61+C61+D61+E61)</f>
        <v/>
      </c>
      <c r="G61" s="7" t="n"/>
      <c r="H61" s="7" t="n"/>
      <c r="I61" s="7" t="n"/>
      <c r="J61" s="7" t="n"/>
      <c r="K61" s="7" t="n"/>
      <c r="L61" s="7" t="n"/>
      <c r="M61" s="7">
        <f>IF(A61="","",IFERROR(COUNTIF($A$6:$A$115,A61),0))</f>
        <v/>
      </c>
      <c r="N61" s="26">
        <f>IF(A61="","",IFERROR(AVERAGEIF($A$6:$A$115,A61,$G$6:$G$115),0))</f>
        <v/>
      </c>
    </row>
    <row r="62" ht="22" customHeight="1">
      <c r="A62" s="5" t="n"/>
      <c r="B62" s="5" t="n"/>
      <c r="C62" s="5" t="n"/>
      <c r="D62" s="5" t="n"/>
      <c r="E62" s="5" t="n"/>
      <c r="F62" s="25">
        <f>IF(OR(B62="",C62=""),"",B62+C62+D62+E62)</f>
        <v/>
      </c>
      <c r="G62" s="5" t="n"/>
      <c r="H62" s="5" t="n"/>
      <c r="I62" s="5" t="n"/>
      <c r="J62" s="5" t="n"/>
      <c r="K62" s="5" t="n"/>
      <c r="L62" s="5" t="n"/>
      <c r="M62" s="5">
        <f>IF(A62="","",IFERROR(COUNTIF($A$6:$A$115,A62),0))</f>
        <v/>
      </c>
      <c r="N62" s="25">
        <f>IF(A62="","",IFERROR(AVERAGEIF($A$6:$A$115,A62,$G$6:$G$115),0))</f>
        <v/>
      </c>
    </row>
    <row r="63" ht="22" customHeight="1">
      <c r="A63" s="7" t="n"/>
      <c r="B63" s="7" t="n"/>
      <c r="C63" s="7" t="n"/>
      <c r="D63" s="7" t="n"/>
      <c r="E63" s="7" t="n"/>
      <c r="F63" s="26">
        <f>IF(OR(B63="",C63=""),"",B63+C63+D63+E63)</f>
        <v/>
      </c>
      <c r="G63" s="7" t="n"/>
      <c r="H63" s="7" t="n"/>
      <c r="I63" s="7" t="n"/>
      <c r="J63" s="7" t="n"/>
      <c r="K63" s="7" t="n"/>
      <c r="L63" s="7" t="n"/>
      <c r="M63" s="7">
        <f>IF(A63="","",IFERROR(COUNTIF($A$6:$A$115,A63),0))</f>
        <v/>
      </c>
      <c r="N63" s="26">
        <f>IF(A63="","",IFERROR(AVERAGEIF($A$6:$A$115,A63,$G$6:$G$115),0))</f>
        <v/>
      </c>
    </row>
    <row r="64" ht="22" customHeight="1">
      <c r="A64" s="5" t="n"/>
      <c r="B64" s="5" t="n"/>
      <c r="C64" s="5" t="n"/>
      <c r="D64" s="5" t="n"/>
      <c r="E64" s="5" t="n"/>
      <c r="F64" s="25">
        <f>IF(OR(B64="",C64=""),"",B64+C64+D64+E64)</f>
        <v/>
      </c>
      <c r="G64" s="5" t="n"/>
      <c r="H64" s="5" t="n"/>
      <c r="I64" s="5" t="n"/>
      <c r="J64" s="5" t="n"/>
      <c r="K64" s="5" t="n"/>
      <c r="L64" s="5" t="n"/>
      <c r="M64" s="5">
        <f>IF(A64="","",IFERROR(COUNTIF($A$6:$A$115,A64),0))</f>
        <v/>
      </c>
      <c r="N64" s="25">
        <f>IF(A64="","",IFERROR(AVERAGEIF($A$6:$A$115,A64,$G$6:$G$115),0))</f>
        <v/>
      </c>
    </row>
    <row r="65" ht="22" customHeight="1">
      <c r="A65" s="7" t="n"/>
      <c r="B65" s="7" t="n"/>
      <c r="C65" s="7" t="n"/>
      <c r="D65" s="7" t="n"/>
      <c r="E65" s="7" t="n"/>
      <c r="F65" s="26">
        <f>IF(OR(B65="",C65=""),"",B65+C65+D65+E65)</f>
        <v/>
      </c>
      <c r="G65" s="7" t="n"/>
      <c r="H65" s="7" t="n"/>
      <c r="I65" s="7" t="n"/>
      <c r="J65" s="7" t="n"/>
      <c r="K65" s="7" t="n"/>
      <c r="L65" s="7" t="n"/>
      <c r="M65" s="7">
        <f>IF(A65="","",IFERROR(COUNTIF($A$6:$A$115,A65),0))</f>
        <v/>
      </c>
      <c r="N65" s="26">
        <f>IF(A65="","",IFERROR(AVERAGEIF($A$6:$A$115,A65,$G$6:$G$115),0))</f>
        <v/>
      </c>
    </row>
    <row r="66" ht="22" customHeight="1">
      <c r="A66" s="5" t="n"/>
      <c r="B66" s="5" t="n"/>
      <c r="C66" s="5" t="n"/>
      <c r="D66" s="5" t="n"/>
      <c r="E66" s="5" t="n"/>
      <c r="F66" s="25">
        <f>IF(OR(B66="",C66=""),"",B66+C66+D66+E66)</f>
        <v/>
      </c>
      <c r="G66" s="5" t="n"/>
      <c r="H66" s="5" t="n"/>
      <c r="I66" s="5" t="n"/>
      <c r="J66" s="5" t="n"/>
      <c r="K66" s="5" t="n"/>
      <c r="L66" s="5" t="n"/>
      <c r="M66" s="5">
        <f>IF(A66="","",IFERROR(COUNTIF($A$6:$A$115,A66),0))</f>
        <v/>
      </c>
      <c r="N66" s="25">
        <f>IF(A66="","",IFERROR(AVERAGEIF($A$6:$A$115,A66,$G$6:$G$115),0))</f>
        <v/>
      </c>
    </row>
    <row r="67" ht="22" customHeight="1">
      <c r="A67" s="7" t="n"/>
      <c r="B67" s="7" t="n"/>
      <c r="C67" s="7" t="n"/>
      <c r="D67" s="7" t="n"/>
      <c r="E67" s="7" t="n"/>
      <c r="F67" s="26">
        <f>IF(OR(B67="",C67=""),"",B67+C67+D67+E67)</f>
        <v/>
      </c>
      <c r="G67" s="7" t="n"/>
      <c r="H67" s="7" t="n"/>
      <c r="I67" s="7" t="n"/>
      <c r="J67" s="7" t="n"/>
      <c r="K67" s="7" t="n"/>
      <c r="L67" s="7" t="n"/>
      <c r="M67" s="7">
        <f>IF(A67="","",IFERROR(COUNTIF($A$6:$A$115,A67),0))</f>
        <v/>
      </c>
      <c r="N67" s="26">
        <f>IF(A67="","",IFERROR(AVERAGEIF($A$6:$A$115,A67,$G$6:$G$115),0))</f>
        <v/>
      </c>
    </row>
    <row r="68" ht="22" customHeight="1">
      <c r="A68" s="5" t="n"/>
      <c r="B68" s="5" t="n"/>
      <c r="C68" s="5" t="n"/>
      <c r="D68" s="5" t="n"/>
      <c r="E68" s="5" t="n"/>
      <c r="F68" s="25">
        <f>IF(OR(B68="",C68=""),"",B68+C68+D68+E68)</f>
        <v/>
      </c>
      <c r="G68" s="5" t="n"/>
      <c r="H68" s="5" t="n"/>
      <c r="I68" s="5" t="n"/>
      <c r="J68" s="5" t="n"/>
      <c r="K68" s="5" t="n"/>
      <c r="L68" s="5" t="n"/>
      <c r="M68" s="5">
        <f>IF(A68="","",IFERROR(COUNTIF($A$6:$A$115,A68),0))</f>
        <v/>
      </c>
      <c r="N68" s="25">
        <f>IF(A68="","",IFERROR(AVERAGEIF($A$6:$A$115,A68,$G$6:$G$115),0))</f>
        <v/>
      </c>
    </row>
    <row r="69" ht="22" customHeight="1">
      <c r="A69" s="7" t="n"/>
      <c r="B69" s="7" t="n"/>
      <c r="C69" s="7" t="n"/>
      <c r="D69" s="7" t="n"/>
      <c r="E69" s="7" t="n"/>
      <c r="F69" s="26">
        <f>IF(OR(B69="",C69=""),"",B69+C69+D69+E69)</f>
        <v/>
      </c>
      <c r="G69" s="7" t="n"/>
      <c r="H69" s="7" t="n"/>
      <c r="I69" s="7" t="n"/>
      <c r="J69" s="7" t="n"/>
      <c r="K69" s="7" t="n"/>
      <c r="L69" s="7" t="n"/>
      <c r="M69" s="7">
        <f>IF(A69="","",IFERROR(COUNTIF($A$6:$A$115,A69),0))</f>
        <v/>
      </c>
      <c r="N69" s="26">
        <f>IF(A69="","",IFERROR(AVERAGEIF($A$6:$A$115,A69,$G$6:$G$115),0))</f>
        <v/>
      </c>
    </row>
    <row r="70" ht="22" customHeight="1">
      <c r="A70" s="5" t="n"/>
      <c r="B70" s="5" t="n"/>
      <c r="C70" s="5" t="n"/>
      <c r="D70" s="5" t="n"/>
      <c r="E70" s="5" t="n"/>
      <c r="F70" s="25">
        <f>IF(OR(B70="",C70=""),"",B70+C70+D70+E70)</f>
        <v/>
      </c>
      <c r="G70" s="5" t="n"/>
      <c r="H70" s="5" t="n"/>
      <c r="I70" s="5" t="n"/>
      <c r="J70" s="5" t="n"/>
      <c r="K70" s="5" t="n"/>
      <c r="L70" s="5" t="n"/>
      <c r="M70" s="5">
        <f>IF(A70="","",IFERROR(COUNTIF($A$6:$A$115,A70),0))</f>
        <v/>
      </c>
      <c r="N70" s="25">
        <f>IF(A70="","",IFERROR(AVERAGEIF($A$6:$A$115,A70,$G$6:$G$115),0))</f>
        <v/>
      </c>
    </row>
    <row r="71" ht="22" customHeight="1">
      <c r="A71" s="7" t="n"/>
      <c r="B71" s="7" t="n"/>
      <c r="C71" s="7" t="n"/>
      <c r="D71" s="7" t="n"/>
      <c r="E71" s="7" t="n"/>
      <c r="F71" s="26">
        <f>IF(OR(B71="",C71=""),"",B71+C71+D71+E71)</f>
        <v/>
      </c>
      <c r="G71" s="7" t="n"/>
      <c r="H71" s="7" t="n"/>
      <c r="I71" s="7" t="n"/>
      <c r="J71" s="7" t="n"/>
      <c r="K71" s="7" t="n"/>
      <c r="L71" s="7" t="n"/>
      <c r="M71" s="7">
        <f>IF(A71="","",IFERROR(COUNTIF($A$6:$A$115,A71),0))</f>
        <v/>
      </c>
      <c r="N71" s="26">
        <f>IF(A71="","",IFERROR(AVERAGEIF($A$6:$A$115,A71,$G$6:$G$115),0))</f>
        <v/>
      </c>
    </row>
    <row r="72" ht="22" customHeight="1">
      <c r="A72" s="5" t="n"/>
      <c r="B72" s="5" t="n"/>
      <c r="C72" s="5" t="n"/>
      <c r="D72" s="5" t="n"/>
      <c r="E72" s="5" t="n"/>
      <c r="F72" s="25">
        <f>IF(OR(B72="",C72=""),"",B72+C72+D72+E72)</f>
        <v/>
      </c>
      <c r="G72" s="5" t="n"/>
      <c r="H72" s="5" t="n"/>
      <c r="I72" s="5" t="n"/>
      <c r="J72" s="5" t="n"/>
      <c r="K72" s="5" t="n"/>
      <c r="L72" s="5" t="n"/>
      <c r="M72" s="5">
        <f>IF(A72="","",IFERROR(COUNTIF($A$6:$A$115,A72),0))</f>
        <v/>
      </c>
      <c r="N72" s="25">
        <f>IF(A72="","",IFERROR(AVERAGEIF($A$6:$A$115,A72,$G$6:$G$115),0))</f>
        <v/>
      </c>
    </row>
    <row r="73" ht="22" customHeight="1">
      <c r="A73" s="7" t="n"/>
      <c r="B73" s="7" t="n"/>
      <c r="C73" s="7" t="n"/>
      <c r="D73" s="7" t="n"/>
      <c r="E73" s="7" t="n"/>
      <c r="F73" s="26">
        <f>IF(OR(B73="",C73=""),"",B73+C73+D73+E73)</f>
        <v/>
      </c>
      <c r="G73" s="7" t="n"/>
      <c r="H73" s="7" t="n"/>
      <c r="I73" s="7" t="n"/>
      <c r="J73" s="7" t="n"/>
      <c r="K73" s="7" t="n"/>
      <c r="L73" s="7" t="n"/>
      <c r="M73" s="7">
        <f>IF(A73="","",IFERROR(COUNTIF($A$6:$A$115,A73),0))</f>
        <v/>
      </c>
      <c r="N73" s="26">
        <f>IF(A73="","",IFERROR(AVERAGEIF($A$6:$A$115,A73,$G$6:$G$115),0))</f>
        <v/>
      </c>
    </row>
    <row r="74" ht="22" customHeight="1">
      <c r="A74" s="5" t="n"/>
      <c r="B74" s="5" t="n"/>
      <c r="C74" s="5" t="n"/>
      <c r="D74" s="5" t="n"/>
      <c r="E74" s="5" t="n"/>
      <c r="F74" s="25">
        <f>IF(OR(B74="",C74=""),"",B74+C74+D74+E74)</f>
        <v/>
      </c>
      <c r="G74" s="5" t="n"/>
      <c r="H74" s="5" t="n"/>
      <c r="I74" s="5" t="n"/>
      <c r="J74" s="5" t="n"/>
      <c r="K74" s="5" t="n"/>
      <c r="L74" s="5" t="n"/>
      <c r="M74" s="5">
        <f>IF(A74="","",IFERROR(COUNTIF($A$6:$A$115,A74),0))</f>
        <v/>
      </c>
      <c r="N74" s="25">
        <f>IF(A74="","",IFERROR(AVERAGEIF($A$6:$A$115,A74,$G$6:$G$115),0))</f>
        <v/>
      </c>
    </row>
    <row r="75" ht="22" customHeight="1">
      <c r="A75" s="7" t="n"/>
      <c r="B75" s="7" t="n"/>
      <c r="C75" s="7" t="n"/>
      <c r="D75" s="7" t="n"/>
      <c r="E75" s="7" t="n"/>
      <c r="F75" s="26">
        <f>IF(OR(B75="",C75=""),"",B75+C75+D75+E75)</f>
        <v/>
      </c>
      <c r="G75" s="7" t="n"/>
      <c r="H75" s="7" t="n"/>
      <c r="I75" s="7" t="n"/>
      <c r="J75" s="7" t="n"/>
      <c r="K75" s="7" t="n"/>
      <c r="L75" s="7" t="n"/>
      <c r="M75" s="7">
        <f>IF(A75="","",IFERROR(COUNTIF($A$6:$A$115,A75),0))</f>
        <v/>
      </c>
      <c r="N75" s="26">
        <f>IF(A75="","",IFERROR(AVERAGEIF($A$6:$A$115,A75,$G$6:$G$115),0))</f>
        <v/>
      </c>
    </row>
    <row r="76" ht="22" customHeight="1">
      <c r="A76" s="5" t="n"/>
      <c r="B76" s="5" t="n"/>
      <c r="C76" s="5" t="n"/>
      <c r="D76" s="5" t="n"/>
      <c r="E76" s="5" t="n"/>
      <c r="F76" s="25">
        <f>IF(OR(B76="",C76=""),"",B76+C76+D76+E76)</f>
        <v/>
      </c>
      <c r="G76" s="5" t="n"/>
      <c r="H76" s="5" t="n"/>
      <c r="I76" s="5" t="n"/>
      <c r="J76" s="5" t="n"/>
      <c r="K76" s="5" t="n"/>
      <c r="L76" s="5" t="n"/>
      <c r="M76" s="5">
        <f>IF(A76="","",IFERROR(COUNTIF($A$6:$A$115,A76),0))</f>
        <v/>
      </c>
      <c r="N76" s="25">
        <f>IF(A76="","",IFERROR(AVERAGEIF($A$6:$A$115,A76,$G$6:$G$115),0))</f>
        <v/>
      </c>
    </row>
    <row r="77" ht="22" customHeight="1">
      <c r="A77" s="7" t="n"/>
      <c r="B77" s="7" t="n"/>
      <c r="C77" s="7" t="n"/>
      <c r="D77" s="7" t="n"/>
      <c r="E77" s="7" t="n"/>
      <c r="F77" s="26">
        <f>IF(OR(B77="",C77=""),"",B77+C77+D77+E77)</f>
        <v/>
      </c>
      <c r="G77" s="7" t="n"/>
      <c r="H77" s="7" t="n"/>
      <c r="I77" s="7" t="n"/>
      <c r="J77" s="7" t="n"/>
      <c r="K77" s="7" t="n"/>
      <c r="L77" s="7" t="n"/>
      <c r="M77" s="7">
        <f>IF(A77="","",IFERROR(COUNTIF($A$6:$A$115,A77),0))</f>
        <v/>
      </c>
      <c r="N77" s="26">
        <f>IF(A77="","",IFERROR(AVERAGEIF($A$6:$A$115,A77,$G$6:$G$115),0))</f>
        <v/>
      </c>
    </row>
    <row r="78" ht="22" customHeight="1">
      <c r="A78" s="5" t="n"/>
      <c r="B78" s="5" t="n"/>
      <c r="C78" s="5" t="n"/>
      <c r="D78" s="5" t="n"/>
      <c r="E78" s="5" t="n"/>
      <c r="F78" s="25">
        <f>IF(OR(B78="",C78=""),"",B78+C78+D78+E78)</f>
        <v/>
      </c>
      <c r="G78" s="5" t="n"/>
      <c r="H78" s="5" t="n"/>
      <c r="I78" s="5" t="n"/>
      <c r="J78" s="5" t="n"/>
      <c r="K78" s="5" t="n"/>
      <c r="L78" s="5" t="n"/>
      <c r="M78" s="5">
        <f>IF(A78="","",IFERROR(COUNTIF($A$6:$A$115,A78),0))</f>
        <v/>
      </c>
      <c r="N78" s="25">
        <f>IF(A78="","",IFERROR(AVERAGEIF($A$6:$A$115,A78,$G$6:$G$115),0))</f>
        <v/>
      </c>
    </row>
    <row r="79" ht="22" customHeight="1">
      <c r="A79" s="7" t="n"/>
      <c r="B79" s="7" t="n"/>
      <c r="C79" s="7" t="n"/>
      <c r="D79" s="7" t="n"/>
      <c r="E79" s="7" t="n"/>
      <c r="F79" s="26">
        <f>IF(OR(B79="",C79=""),"",B79+C79+D79+E79)</f>
        <v/>
      </c>
      <c r="G79" s="7" t="n"/>
      <c r="H79" s="7" t="n"/>
      <c r="I79" s="7" t="n"/>
      <c r="J79" s="7" t="n"/>
      <c r="K79" s="7" t="n"/>
      <c r="L79" s="7" t="n"/>
      <c r="M79" s="7">
        <f>IF(A79="","",IFERROR(COUNTIF($A$6:$A$115,A79),0))</f>
        <v/>
      </c>
      <c r="N79" s="26">
        <f>IF(A79="","",IFERROR(AVERAGEIF($A$6:$A$115,A79,$G$6:$G$115),0))</f>
        <v/>
      </c>
    </row>
    <row r="80" ht="22" customHeight="1">
      <c r="A80" s="5" t="n"/>
      <c r="B80" s="5" t="n"/>
      <c r="C80" s="5" t="n"/>
      <c r="D80" s="5" t="n"/>
      <c r="E80" s="5" t="n"/>
      <c r="F80" s="25">
        <f>IF(OR(B80="",C80=""),"",B80+C80+D80+E80)</f>
        <v/>
      </c>
      <c r="G80" s="5" t="n"/>
      <c r="H80" s="5" t="n"/>
      <c r="I80" s="5" t="n"/>
      <c r="J80" s="5" t="n"/>
      <c r="K80" s="5" t="n"/>
      <c r="L80" s="5" t="n"/>
      <c r="M80" s="5">
        <f>IF(A80="","",IFERROR(COUNTIF($A$6:$A$115,A80),0))</f>
        <v/>
      </c>
      <c r="N80" s="25">
        <f>IF(A80="","",IFERROR(AVERAGEIF($A$6:$A$115,A80,$G$6:$G$115),0))</f>
        <v/>
      </c>
    </row>
    <row r="81" ht="22" customHeight="1">
      <c r="A81" s="7" t="n"/>
      <c r="B81" s="7" t="n"/>
      <c r="C81" s="7" t="n"/>
      <c r="D81" s="7" t="n"/>
      <c r="E81" s="7" t="n"/>
      <c r="F81" s="26">
        <f>IF(OR(B81="",C81=""),"",B81+C81+D81+E81)</f>
        <v/>
      </c>
      <c r="G81" s="7" t="n"/>
      <c r="H81" s="7" t="n"/>
      <c r="I81" s="7" t="n"/>
      <c r="J81" s="7" t="n"/>
      <c r="K81" s="7" t="n"/>
      <c r="L81" s="7" t="n"/>
      <c r="M81" s="7">
        <f>IF(A81="","",IFERROR(COUNTIF($A$6:$A$115,A81),0))</f>
        <v/>
      </c>
      <c r="N81" s="26">
        <f>IF(A81="","",IFERROR(AVERAGEIF($A$6:$A$115,A81,$G$6:$G$115),0))</f>
        <v/>
      </c>
    </row>
    <row r="82" ht="22" customHeight="1">
      <c r="A82" s="5" t="n"/>
      <c r="B82" s="5" t="n"/>
      <c r="C82" s="5" t="n"/>
      <c r="D82" s="5" t="n"/>
      <c r="E82" s="5" t="n"/>
      <c r="F82" s="25">
        <f>IF(OR(B82="",C82=""),"",B82+C82+D82+E82)</f>
        <v/>
      </c>
      <c r="G82" s="5" t="n"/>
      <c r="H82" s="5" t="n"/>
      <c r="I82" s="5" t="n"/>
      <c r="J82" s="5" t="n"/>
      <c r="K82" s="5" t="n"/>
      <c r="L82" s="5" t="n"/>
      <c r="M82" s="5">
        <f>IF(A82="","",IFERROR(COUNTIF($A$6:$A$115,A82),0))</f>
        <v/>
      </c>
      <c r="N82" s="25">
        <f>IF(A82="","",IFERROR(AVERAGEIF($A$6:$A$115,A82,$G$6:$G$115),0))</f>
        <v/>
      </c>
    </row>
    <row r="83" ht="22" customHeight="1">
      <c r="A83" s="7" t="n"/>
      <c r="B83" s="7" t="n"/>
      <c r="C83" s="7" t="n"/>
      <c r="D83" s="7" t="n"/>
      <c r="E83" s="7" t="n"/>
      <c r="F83" s="26">
        <f>IF(OR(B83="",C83=""),"",B83+C83+D83+E83)</f>
        <v/>
      </c>
      <c r="G83" s="7" t="n"/>
      <c r="H83" s="7" t="n"/>
      <c r="I83" s="7" t="n"/>
      <c r="J83" s="7" t="n"/>
      <c r="K83" s="7" t="n"/>
      <c r="L83" s="7" t="n"/>
      <c r="M83" s="7">
        <f>IF(A83="","",IFERROR(COUNTIF($A$6:$A$115,A83),0))</f>
        <v/>
      </c>
      <c r="N83" s="26">
        <f>IF(A83="","",IFERROR(AVERAGEIF($A$6:$A$115,A83,$G$6:$G$115),0))</f>
        <v/>
      </c>
    </row>
    <row r="84" ht="22" customHeight="1">
      <c r="A84" s="5" t="n"/>
      <c r="B84" s="5" t="n"/>
      <c r="C84" s="5" t="n"/>
      <c r="D84" s="5" t="n"/>
      <c r="E84" s="5" t="n"/>
      <c r="F84" s="25">
        <f>IF(OR(B84="",C84=""),"",B84+C84+D84+E84)</f>
        <v/>
      </c>
      <c r="G84" s="5" t="n"/>
      <c r="H84" s="5" t="n"/>
      <c r="I84" s="5" t="n"/>
      <c r="J84" s="5" t="n"/>
      <c r="K84" s="5" t="n"/>
      <c r="L84" s="5" t="n"/>
      <c r="M84" s="5">
        <f>IF(A84="","",IFERROR(COUNTIF($A$6:$A$115,A84),0))</f>
        <v/>
      </c>
      <c r="N84" s="25">
        <f>IF(A84="","",IFERROR(AVERAGEIF($A$6:$A$115,A84,$G$6:$G$115),0))</f>
        <v/>
      </c>
    </row>
    <row r="85" ht="22" customHeight="1">
      <c r="A85" s="7" t="n"/>
      <c r="B85" s="7" t="n"/>
      <c r="C85" s="7" t="n"/>
      <c r="D85" s="7" t="n"/>
      <c r="E85" s="7" t="n"/>
      <c r="F85" s="26">
        <f>IF(OR(B85="",C85=""),"",B85+C85+D85+E85)</f>
        <v/>
      </c>
      <c r="G85" s="7" t="n"/>
      <c r="H85" s="7" t="n"/>
      <c r="I85" s="7" t="n"/>
      <c r="J85" s="7" t="n"/>
      <c r="K85" s="7" t="n"/>
      <c r="L85" s="7" t="n"/>
      <c r="M85" s="7">
        <f>IF(A85="","",IFERROR(COUNTIF($A$6:$A$115,A85),0))</f>
        <v/>
      </c>
      <c r="N85" s="26">
        <f>IF(A85="","",IFERROR(AVERAGEIF($A$6:$A$115,A85,$G$6:$G$115),0))</f>
        <v/>
      </c>
    </row>
    <row r="86" ht="22" customHeight="1">
      <c r="A86" s="5" t="n"/>
      <c r="B86" s="5" t="n"/>
      <c r="C86" s="5" t="n"/>
      <c r="D86" s="5" t="n"/>
      <c r="E86" s="5" t="n"/>
      <c r="F86" s="25">
        <f>IF(OR(B86="",C86=""),"",B86+C86+D86+E86)</f>
        <v/>
      </c>
      <c r="G86" s="5" t="n"/>
      <c r="H86" s="5" t="n"/>
      <c r="I86" s="5" t="n"/>
      <c r="J86" s="5" t="n"/>
      <c r="K86" s="5" t="n"/>
      <c r="L86" s="5" t="n"/>
      <c r="M86" s="5">
        <f>IF(A86="","",IFERROR(COUNTIF($A$6:$A$115,A86),0))</f>
        <v/>
      </c>
      <c r="N86" s="25">
        <f>IF(A86="","",IFERROR(AVERAGEIF($A$6:$A$115,A86,$G$6:$G$115),0))</f>
        <v/>
      </c>
    </row>
    <row r="87" ht="22" customHeight="1">
      <c r="A87" s="7" t="n"/>
      <c r="B87" s="7" t="n"/>
      <c r="C87" s="7" t="n"/>
      <c r="D87" s="7" t="n"/>
      <c r="E87" s="7" t="n"/>
      <c r="F87" s="26">
        <f>IF(OR(B87="",C87=""),"",B87+C87+D87+E87)</f>
        <v/>
      </c>
      <c r="G87" s="7" t="n"/>
      <c r="H87" s="7" t="n"/>
      <c r="I87" s="7" t="n"/>
      <c r="J87" s="7" t="n"/>
      <c r="K87" s="7" t="n"/>
      <c r="L87" s="7" t="n"/>
      <c r="M87" s="7">
        <f>IF(A87="","",IFERROR(COUNTIF($A$6:$A$115,A87),0))</f>
        <v/>
      </c>
      <c r="N87" s="26">
        <f>IF(A87="","",IFERROR(AVERAGEIF($A$6:$A$115,A87,$G$6:$G$115),0))</f>
        <v/>
      </c>
    </row>
    <row r="88" ht="22" customHeight="1">
      <c r="A88" s="5" t="n"/>
      <c r="B88" s="5" t="n"/>
      <c r="C88" s="5" t="n"/>
      <c r="D88" s="5" t="n"/>
      <c r="E88" s="5" t="n"/>
      <c r="F88" s="25">
        <f>IF(OR(B88="",C88=""),"",B88+C88+D88+E88)</f>
        <v/>
      </c>
      <c r="G88" s="5" t="n"/>
      <c r="H88" s="5" t="n"/>
      <c r="I88" s="5" t="n"/>
      <c r="J88" s="5" t="n"/>
      <c r="K88" s="5" t="n"/>
      <c r="L88" s="5" t="n"/>
      <c r="M88" s="5">
        <f>IF(A88="","",IFERROR(COUNTIF($A$6:$A$115,A88),0))</f>
        <v/>
      </c>
      <c r="N88" s="25">
        <f>IF(A88="","",IFERROR(AVERAGEIF($A$6:$A$115,A88,$G$6:$G$115),0))</f>
        <v/>
      </c>
    </row>
    <row r="89" ht="22" customHeight="1">
      <c r="A89" s="7" t="n"/>
      <c r="B89" s="7" t="n"/>
      <c r="C89" s="7" t="n"/>
      <c r="D89" s="7" t="n"/>
      <c r="E89" s="7" t="n"/>
      <c r="F89" s="26">
        <f>IF(OR(B89="",C89=""),"",B89+C89+D89+E89)</f>
        <v/>
      </c>
      <c r="G89" s="7" t="n"/>
      <c r="H89" s="7" t="n"/>
      <c r="I89" s="7" t="n"/>
      <c r="J89" s="7" t="n"/>
      <c r="K89" s="7" t="n"/>
      <c r="L89" s="7" t="n"/>
      <c r="M89" s="7">
        <f>IF(A89="","",IFERROR(COUNTIF($A$6:$A$115,A89),0))</f>
        <v/>
      </c>
      <c r="N89" s="26">
        <f>IF(A89="","",IFERROR(AVERAGEIF($A$6:$A$115,A89,$G$6:$G$115),0))</f>
        <v/>
      </c>
    </row>
    <row r="90" ht="22" customHeight="1">
      <c r="A90" s="5" t="n"/>
      <c r="B90" s="5" t="n"/>
      <c r="C90" s="5" t="n"/>
      <c r="D90" s="5" t="n"/>
      <c r="E90" s="5" t="n"/>
      <c r="F90" s="25">
        <f>IF(OR(B90="",C90=""),"",B90+C90+D90+E90)</f>
        <v/>
      </c>
      <c r="G90" s="5" t="n"/>
      <c r="H90" s="5" t="n"/>
      <c r="I90" s="5" t="n"/>
      <c r="J90" s="5" t="n"/>
      <c r="K90" s="5" t="n"/>
      <c r="L90" s="5" t="n"/>
      <c r="M90" s="5">
        <f>IF(A90="","",IFERROR(COUNTIF($A$6:$A$115,A90),0))</f>
        <v/>
      </c>
      <c r="N90" s="25">
        <f>IF(A90="","",IFERROR(AVERAGEIF($A$6:$A$115,A90,$G$6:$G$115),0))</f>
        <v/>
      </c>
    </row>
    <row r="91" ht="22" customHeight="1">
      <c r="A91" s="7" t="n"/>
      <c r="B91" s="7" t="n"/>
      <c r="C91" s="7" t="n"/>
      <c r="D91" s="7" t="n"/>
      <c r="E91" s="7" t="n"/>
      <c r="F91" s="26">
        <f>IF(OR(B91="",C91=""),"",B91+C91+D91+E91)</f>
        <v/>
      </c>
      <c r="G91" s="7" t="n"/>
      <c r="H91" s="7" t="n"/>
      <c r="I91" s="7" t="n"/>
      <c r="J91" s="7" t="n"/>
      <c r="K91" s="7" t="n"/>
      <c r="L91" s="7" t="n"/>
      <c r="M91" s="7">
        <f>IF(A91="","",IFERROR(COUNTIF($A$6:$A$115,A91),0))</f>
        <v/>
      </c>
      <c r="N91" s="26">
        <f>IF(A91="","",IFERROR(AVERAGEIF($A$6:$A$115,A91,$G$6:$G$115),0))</f>
        <v/>
      </c>
    </row>
    <row r="92" ht="22" customHeight="1">
      <c r="A92" s="5" t="n"/>
      <c r="B92" s="5" t="n"/>
      <c r="C92" s="5" t="n"/>
      <c r="D92" s="5" t="n"/>
      <c r="E92" s="5" t="n"/>
      <c r="F92" s="25">
        <f>IF(OR(B92="",C92=""),"",B92+C92+D92+E92)</f>
        <v/>
      </c>
      <c r="G92" s="5" t="n"/>
      <c r="H92" s="5" t="n"/>
      <c r="I92" s="5" t="n"/>
      <c r="J92" s="5" t="n"/>
      <c r="K92" s="5" t="n"/>
      <c r="L92" s="5" t="n"/>
      <c r="M92" s="5">
        <f>IF(A92="","",IFERROR(COUNTIF($A$6:$A$115,A92),0))</f>
        <v/>
      </c>
      <c r="N92" s="25">
        <f>IF(A92="","",IFERROR(AVERAGEIF($A$6:$A$115,A92,$G$6:$G$115),0))</f>
        <v/>
      </c>
    </row>
    <row r="93" ht="22" customHeight="1">
      <c r="A93" s="7" t="n"/>
      <c r="B93" s="7" t="n"/>
      <c r="C93" s="7" t="n"/>
      <c r="D93" s="7" t="n"/>
      <c r="E93" s="7" t="n"/>
      <c r="F93" s="26">
        <f>IF(OR(B93="",C93=""),"",B93+C93+D93+E93)</f>
        <v/>
      </c>
      <c r="G93" s="7" t="n"/>
      <c r="H93" s="7" t="n"/>
      <c r="I93" s="7" t="n"/>
      <c r="J93" s="7" t="n"/>
      <c r="K93" s="7" t="n"/>
      <c r="L93" s="7" t="n"/>
      <c r="M93" s="7">
        <f>IF(A93="","",IFERROR(COUNTIF($A$6:$A$115,A93),0))</f>
        <v/>
      </c>
      <c r="N93" s="26">
        <f>IF(A93="","",IFERROR(AVERAGEIF($A$6:$A$115,A93,$G$6:$G$115),0))</f>
        <v/>
      </c>
    </row>
    <row r="94" ht="22" customHeight="1">
      <c r="A94" s="5" t="n"/>
      <c r="B94" s="5" t="n"/>
      <c r="C94" s="5" t="n"/>
      <c r="D94" s="5" t="n"/>
      <c r="E94" s="5" t="n"/>
      <c r="F94" s="25">
        <f>IF(OR(B94="",C94=""),"",B94+C94+D94+E94)</f>
        <v/>
      </c>
      <c r="G94" s="5" t="n"/>
      <c r="H94" s="5" t="n"/>
      <c r="I94" s="5" t="n"/>
      <c r="J94" s="5" t="n"/>
      <c r="K94" s="5" t="n"/>
      <c r="L94" s="5" t="n"/>
      <c r="M94" s="5">
        <f>IF(A94="","",IFERROR(COUNTIF($A$6:$A$115,A94),0))</f>
        <v/>
      </c>
      <c r="N94" s="25">
        <f>IF(A94="","",IFERROR(AVERAGEIF($A$6:$A$115,A94,$G$6:$G$115),0))</f>
        <v/>
      </c>
    </row>
    <row r="95" ht="22" customHeight="1">
      <c r="A95" s="7" t="n"/>
      <c r="B95" s="7" t="n"/>
      <c r="C95" s="7" t="n"/>
      <c r="D95" s="7" t="n"/>
      <c r="E95" s="7" t="n"/>
      <c r="F95" s="26">
        <f>IF(OR(B95="",C95=""),"",B95+C95+D95+E95)</f>
        <v/>
      </c>
      <c r="G95" s="7" t="n"/>
      <c r="H95" s="7" t="n"/>
      <c r="I95" s="7" t="n"/>
      <c r="J95" s="7" t="n"/>
      <c r="K95" s="7" t="n"/>
      <c r="L95" s="7" t="n"/>
      <c r="M95" s="7">
        <f>IF(A95="","",IFERROR(COUNTIF($A$6:$A$115,A95),0))</f>
        <v/>
      </c>
      <c r="N95" s="26">
        <f>IF(A95="","",IFERROR(AVERAGEIF($A$6:$A$115,A95,$G$6:$G$115),0))</f>
        <v/>
      </c>
    </row>
    <row r="96" ht="22" customHeight="1">
      <c r="A96" s="5" t="n"/>
      <c r="B96" s="5" t="n"/>
      <c r="C96" s="5" t="n"/>
      <c r="D96" s="5" t="n"/>
      <c r="E96" s="5" t="n"/>
      <c r="F96" s="25">
        <f>IF(OR(B96="",C96=""),"",B96+C96+D96+E96)</f>
        <v/>
      </c>
      <c r="G96" s="5" t="n"/>
      <c r="H96" s="5" t="n"/>
      <c r="I96" s="5" t="n"/>
      <c r="J96" s="5" t="n"/>
      <c r="K96" s="5" t="n"/>
      <c r="L96" s="5" t="n"/>
      <c r="M96" s="5">
        <f>IF(A96="","",IFERROR(COUNTIF($A$6:$A$115,A96),0))</f>
        <v/>
      </c>
      <c r="N96" s="25">
        <f>IF(A96="","",IFERROR(AVERAGEIF($A$6:$A$115,A96,$G$6:$G$115),0))</f>
        <v/>
      </c>
    </row>
    <row r="97" ht="22" customHeight="1">
      <c r="A97" s="7" t="n"/>
      <c r="B97" s="7" t="n"/>
      <c r="C97" s="7" t="n"/>
      <c r="D97" s="7" t="n"/>
      <c r="E97" s="7" t="n"/>
      <c r="F97" s="26">
        <f>IF(OR(B97="",C97=""),"",B97+C97+D97+E97)</f>
        <v/>
      </c>
      <c r="G97" s="7" t="n"/>
      <c r="H97" s="7" t="n"/>
      <c r="I97" s="7" t="n"/>
      <c r="J97" s="7" t="n"/>
      <c r="K97" s="7" t="n"/>
      <c r="L97" s="7" t="n"/>
      <c r="M97" s="7">
        <f>IF(A97="","",IFERROR(COUNTIF($A$6:$A$115,A97),0))</f>
        <v/>
      </c>
      <c r="N97" s="26">
        <f>IF(A97="","",IFERROR(AVERAGEIF($A$6:$A$115,A97,$G$6:$G$115),0))</f>
        <v/>
      </c>
    </row>
    <row r="98" ht="22" customHeight="1">
      <c r="A98" s="5" t="n"/>
      <c r="B98" s="5" t="n"/>
      <c r="C98" s="5" t="n"/>
      <c r="D98" s="5" t="n"/>
      <c r="E98" s="5" t="n"/>
      <c r="F98" s="25">
        <f>IF(OR(B98="",C98=""),"",B98+C98+D98+E98)</f>
        <v/>
      </c>
      <c r="G98" s="5" t="n"/>
      <c r="H98" s="5" t="n"/>
      <c r="I98" s="5" t="n"/>
      <c r="J98" s="5" t="n"/>
      <c r="K98" s="5" t="n"/>
      <c r="L98" s="5" t="n"/>
      <c r="M98" s="5">
        <f>IF(A98="","",IFERROR(COUNTIF($A$6:$A$115,A98),0))</f>
        <v/>
      </c>
      <c r="N98" s="25">
        <f>IF(A98="","",IFERROR(AVERAGEIF($A$6:$A$115,A98,$G$6:$G$115),0))</f>
        <v/>
      </c>
    </row>
    <row r="99" ht="22" customHeight="1">
      <c r="A99" s="7" t="n"/>
      <c r="B99" s="7" t="n"/>
      <c r="C99" s="7" t="n"/>
      <c r="D99" s="7" t="n"/>
      <c r="E99" s="7" t="n"/>
      <c r="F99" s="26">
        <f>IF(OR(B99="",C99=""),"",B99+C99+D99+E99)</f>
        <v/>
      </c>
      <c r="G99" s="7" t="n"/>
      <c r="H99" s="7" t="n"/>
      <c r="I99" s="7" t="n"/>
      <c r="J99" s="7" t="n"/>
      <c r="K99" s="7" t="n"/>
      <c r="L99" s="7" t="n"/>
      <c r="M99" s="7">
        <f>IF(A99="","",IFERROR(COUNTIF($A$6:$A$115,A99),0))</f>
        <v/>
      </c>
      <c r="N99" s="26">
        <f>IF(A99="","",IFERROR(AVERAGEIF($A$6:$A$115,A99,$G$6:$G$115),0))</f>
        <v/>
      </c>
    </row>
    <row r="100" ht="22" customHeight="1">
      <c r="A100" s="5" t="n"/>
      <c r="B100" s="5" t="n"/>
      <c r="C100" s="5" t="n"/>
      <c r="D100" s="5" t="n"/>
      <c r="E100" s="5" t="n"/>
      <c r="F100" s="25">
        <f>IF(OR(B100="",C100=""),"",B100+C100+D100+E100)</f>
        <v/>
      </c>
      <c r="G100" s="5" t="n"/>
      <c r="H100" s="5" t="n"/>
      <c r="I100" s="5" t="n"/>
      <c r="J100" s="5" t="n"/>
      <c r="K100" s="5" t="n"/>
      <c r="L100" s="5" t="n"/>
      <c r="M100" s="5">
        <f>IF(A100="","",IFERROR(COUNTIF($A$6:$A$115,A100),0))</f>
        <v/>
      </c>
      <c r="N100" s="25">
        <f>IF(A100="","",IFERROR(AVERAGEIF($A$6:$A$115,A100,$G$6:$G$115),0))</f>
        <v/>
      </c>
    </row>
    <row r="101" ht="22" customHeight="1">
      <c r="A101" s="7" t="n"/>
      <c r="B101" s="7" t="n"/>
      <c r="C101" s="7" t="n"/>
      <c r="D101" s="7" t="n"/>
      <c r="E101" s="7" t="n"/>
      <c r="F101" s="26">
        <f>IF(OR(B101="",C101=""),"",B101+C101+D101+E101)</f>
        <v/>
      </c>
      <c r="G101" s="7" t="n"/>
      <c r="H101" s="7" t="n"/>
      <c r="I101" s="7" t="n"/>
      <c r="J101" s="7" t="n"/>
      <c r="K101" s="7" t="n"/>
      <c r="L101" s="7" t="n"/>
      <c r="M101" s="7">
        <f>IF(A101="","",IFERROR(COUNTIF($A$6:$A$115,A101),0))</f>
        <v/>
      </c>
      <c r="N101" s="26">
        <f>IF(A101="","",IFERROR(AVERAGEIF($A$6:$A$115,A101,$G$6:$G$115),0))</f>
        <v/>
      </c>
    </row>
    <row r="102" ht="22" customHeight="1">
      <c r="A102" s="5" t="n"/>
      <c r="B102" s="5" t="n"/>
      <c r="C102" s="5" t="n"/>
      <c r="D102" s="5" t="n"/>
      <c r="E102" s="5" t="n"/>
      <c r="F102" s="25">
        <f>IF(OR(B102="",C102=""),"",B102+C102+D102+E102)</f>
        <v/>
      </c>
      <c r="G102" s="5" t="n"/>
      <c r="H102" s="5" t="n"/>
      <c r="I102" s="5" t="n"/>
      <c r="J102" s="5" t="n"/>
      <c r="K102" s="5" t="n"/>
      <c r="L102" s="5" t="n"/>
      <c r="M102" s="5">
        <f>IF(A102="","",IFERROR(COUNTIF($A$6:$A$115,A102),0))</f>
        <v/>
      </c>
      <c r="N102" s="25">
        <f>IF(A102="","",IFERROR(AVERAGEIF($A$6:$A$115,A102,$G$6:$G$115),0))</f>
        <v/>
      </c>
    </row>
    <row r="103" ht="22" customHeight="1">
      <c r="A103" s="7" t="n"/>
      <c r="B103" s="7" t="n"/>
      <c r="C103" s="7" t="n"/>
      <c r="D103" s="7" t="n"/>
      <c r="E103" s="7" t="n"/>
      <c r="F103" s="26">
        <f>IF(OR(B103="",C103=""),"",B103+C103+D103+E103)</f>
        <v/>
      </c>
      <c r="G103" s="7" t="n"/>
      <c r="H103" s="7" t="n"/>
      <c r="I103" s="7" t="n"/>
      <c r="J103" s="7" t="n"/>
      <c r="K103" s="7" t="n"/>
      <c r="L103" s="7" t="n"/>
      <c r="M103" s="7">
        <f>IF(A103="","",IFERROR(COUNTIF($A$6:$A$115,A103),0))</f>
        <v/>
      </c>
      <c r="N103" s="26">
        <f>IF(A103="","",IFERROR(AVERAGEIF($A$6:$A$115,A103,$G$6:$G$115),0))</f>
        <v/>
      </c>
    </row>
    <row r="104" ht="22" customHeight="1">
      <c r="A104" s="5" t="n"/>
      <c r="B104" s="5" t="n"/>
      <c r="C104" s="5" t="n"/>
      <c r="D104" s="5" t="n"/>
      <c r="E104" s="5" t="n"/>
      <c r="F104" s="25">
        <f>IF(OR(B104="",C104=""),"",B104+C104+D104+E104)</f>
        <v/>
      </c>
      <c r="G104" s="5" t="n"/>
      <c r="H104" s="5" t="n"/>
      <c r="I104" s="5" t="n"/>
      <c r="J104" s="5" t="n"/>
      <c r="K104" s="5" t="n"/>
      <c r="L104" s="5" t="n"/>
      <c r="M104" s="5">
        <f>IF(A104="","",IFERROR(COUNTIF($A$6:$A$115,A104),0))</f>
        <v/>
      </c>
      <c r="N104" s="25">
        <f>IF(A104="","",IFERROR(AVERAGEIF($A$6:$A$115,A104,$G$6:$G$115),0))</f>
        <v/>
      </c>
    </row>
    <row r="105" ht="22" customHeight="1">
      <c r="A105" s="7" t="n"/>
      <c r="B105" s="7" t="n"/>
      <c r="C105" s="7" t="n"/>
      <c r="D105" s="7" t="n"/>
      <c r="E105" s="7" t="n"/>
      <c r="F105" s="26">
        <f>IF(OR(B105="",C105=""),"",B105+C105+D105+E105)</f>
        <v/>
      </c>
      <c r="G105" s="7" t="n"/>
      <c r="H105" s="7" t="n"/>
      <c r="I105" s="7" t="n"/>
      <c r="J105" s="7" t="n"/>
      <c r="K105" s="7" t="n"/>
      <c r="L105" s="7" t="n"/>
      <c r="M105" s="7">
        <f>IF(A105="","",IFERROR(COUNTIF($A$6:$A$115,A105),0))</f>
        <v/>
      </c>
      <c r="N105" s="26">
        <f>IF(A105="","",IFERROR(AVERAGEIF($A$6:$A$115,A105,$G$6:$G$115),0))</f>
        <v/>
      </c>
    </row>
    <row r="106" ht="22" customHeight="1">
      <c r="A106" s="5" t="n"/>
      <c r="B106" s="5" t="n"/>
      <c r="C106" s="5" t="n"/>
      <c r="D106" s="5" t="n"/>
      <c r="E106" s="5" t="n"/>
      <c r="F106" s="25">
        <f>IF(OR(B106="",C106=""),"",B106+C106+D106+E106)</f>
        <v/>
      </c>
      <c r="G106" s="5" t="n"/>
      <c r="H106" s="5" t="n"/>
      <c r="I106" s="5" t="n"/>
      <c r="J106" s="5" t="n"/>
      <c r="K106" s="5" t="n"/>
      <c r="L106" s="5" t="n"/>
      <c r="M106" s="5">
        <f>IF(A106="","",IFERROR(COUNTIF($A$6:$A$115,A106),0))</f>
        <v/>
      </c>
      <c r="N106" s="25">
        <f>IF(A106="","",IFERROR(AVERAGEIF($A$6:$A$115,A106,$G$6:$G$115),0))</f>
        <v/>
      </c>
    </row>
    <row r="107" ht="22" customHeight="1">
      <c r="A107" s="7" t="n"/>
      <c r="B107" s="7" t="n"/>
      <c r="C107" s="7" t="n"/>
      <c r="D107" s="7" t="n"/>
      <c r="E107" s="7" t="n"/>
      <c r="F107" s="26">
        <f>IF(OR(B107="",C107=""),"",B107+C107+D107+E107)</f>
        <v/>
      </c>
      <c r="G107" s="7" t="n"/>
      <c r="H107" s="7" t="n"/>
      <c r="I107" s="7" t="n"/>
      <c r="J107" s="7" t="n"/>
      <c r="K107" s="7" t="n"/>
      <c r="L107" s="7" t="n"/>
      <c r="M107" s="7">
        <f>IF(A107="","",IFERROR(COUNTIF($A$6:$A$115,A107),0))</f>
        <v/>
      </c>
      <c r="N107" s="26">
        <f>IF(A107="","",IFERROR(AVERAGEIF($A$6:$A$115,A107,$G$6:$G$115),0))</f>
        <v/>
      </c>
    </row>
    <row r="108" ht="22" customHeight="1">
      <c r="A108" s="5" t="n"/>
      <c r="B108" s="5" t="n"/>
      <c r="C108" s="5" t="n"/>
      <c r="D108" s="5" t="n"/>
      <c r="E108" s="5" t="n"/>
      <c r="F108" s="25">
        <f>IF(OR(B108="",C108=""),"",B108+C108+D108+E108)</f>
        <v/>
      </c>
      <c r="G108" s="5" t="n"/>
      <c r="H108" s="5" t="n"/>
      <c r="I108" s="5" t="n"/>
      <c r="J108" s="5" t="n"/>
      <c r="K108" s="5" t="n"/>
      <c r="L108" s="5" t="n"/>
      <c r="M108" s="5">
        <f>IF(A108="","",IFERROR(COUNTIF($A$6:$A$115,A108),0))</f>
        <v/>
      </c>
      <c r="N108" s="25">
        <f>IF(A108="","",IFERROR(AVERAGEIF($A$6:$A$115,A108,$G$6:$G$115),0))</f>
        <v/>
      </c>
    </row>
    <row r="109" ht="22" customHeight="1">
      <c r="A109" s="7" t="n"/>
      <c r="B109" s="7" t="n"/>
      <c r="C109" s="7" t="n"/>
      <c r="D109" s="7" t="n"/>
      <c r="E109" s="7" t="n"/>
      <c r="F109" s="26">
        <f>IF(OR(B109="",C109=""),"",B109+C109+D109+E109)</f>
        <v/>
      </c>
      <c r="G109" s="7" t="n"/>
      <c r="H109" s="7" t="n"/>
      <c r="I109" s="7" t="n"/>
      <c r="J109" s="7" t="n"/>
      <c r="K109" s="7" t="n"/>
      <c r="L109" s="7" t="n"/>
      <c r="M109" s="7">
        <f>IF(A109="","",IFERROR(COUNTIF($A$6:$A$115,A109),0))</f>
        <v/>
      </c>
      <c r="N109" s="26">
        <f>IF(A109="","",IFERROR(AVERAGEIF($A$6:$A$115,A109,$G$6:$G$115),0))</f>
        <v/>
      </c>
    </row>
    <row r="110" ht="22" customHeight="1">
      <c r="A110" s="5" t="n"/>
      <c r="B110" s="5" t="n"/>
      <c r="C110" s="5" t="n"/>
      <c r="D110" s="5" t="n"/>
      <c r="E110" s="5" t="n"/>
      <c r="F110" s="25">
        <f>IF(OR(B110="",C110=""),"",B110+C110+D110+E110)</f>
        <v/>
      </c>
      <c r="G110" s="5" t="n"/>
      <c r="H110" s="5" t="n"/>
      <c r="I110" s="5" t="n"/>
      <c r="J110" s="5" t="n"/>
      <c r="K110" s="5" t="n"/>
      <c r="L110" s="5" t="n"/>
      <c r="M110" s="5">
        <f>IF(A110="","",IFERROR(COUNTIF($A$6:$A$115,A110),0))</f>
        <v/>
      </c>
      <c r="N110" s="25">
        <f>IF(A110="","",IFERROR(AVERAGEIF($A$6:$A$115,A110,$G$6:$G$115),0))</f>
        <v/>
      </c>
    </row>
    <row r="111" ht="22" customHeight="1">
      <c r="A111" s="7" t="n"/>
      <c r="B111" s="7" t="n"/>
      <c r="C111" s="7" t="n"/>
      <c r="D111" s="7" t="n"/>
      <c r="E111" s="7" t="n"/>
      <c r="F111" s="26">
        <f>IF(OR(B111="",C111=""),"",B111+C111+D111+E111)</f>
        <v/>
      </c>
      <c r="G111" s="7" t="n"/>
      <c r="H111" s="7" t="n"/>
      <c r="I111" s="7" t="n"/>
      <c r="J111" s="7" t="n"/>
      <c r="K111" s="7" t="n"/>
      <c r="L111" s="7" t="n"/>
      <c r="M111" s="7">
        <f>IF(A111="","",IFERROR(COUNTIF($A$6:$A$115,A111),0))</f>
        <v/>
      </c>
      <c r="N111" s="26">
        <f>IF(A111="","",IFERROR(AVERAGEIF($A$6:$A$115,A111,$G$6:$G$115),0))</f>
        <v/>
      </c>
    </row>
    <row r="112" ht="22" customHeight="1">
      <c r="A112" s="5" t="n"/>
      <c r="B112" s="5" t="n"/>
      <c r="C112" s="5" t="n"/>
      <c r="D112" s="5" t="n"/>
      <c r="E112" s="5" t="n"/>
      <c r="F112" s="25">
        <f>IF(OR(B112="",C112=""),"",B112+C112+D112+E112)</f>
        <v/>
      </c>
      <c r="G112" s="5" t="n"/>
      <c r="H112" s="5" t="n"/>
      <c r="I112" s="5" t="n"/>
      <c r="J112" s="5" t="n"/>
      <c r="K112" s="5" t="n"/>
      <c r="L112" s="5" t="n"/>
      <c r="M112" s="5">
        <f>IF(A112="","",IFERROR(COUNTIF($A$6:$A$115,A112),0))</f>
        <v/>
      </c>
      <c r="N112" s="25">
        <f>IF(A112="","",IFERROR(AVERAGEIF($A$6:$A$115,A112,$G$6:$G$115),0))</f>
        <v/>
      </c>
    </row>
    <row r="113" ht="22" customHeight="1">
      <c r="A113" s="7" t="n"/>
      <c r="B113" s="7" t="n"/>
      <c r="C113" s="7" t="n"/>
      <c r="D113" s="7" t="n"/>
      <c r="E113" s="7" t="n"/>
      <c r="F113" s="26">
        <f>IF(OR(B113="",C113=""),"",B113+C113+D113+E113)</f>
        <v/>
      </c>
      <c r="G113" s="7" t="n"/>
      <c r="H113" s="7" t="n"/>
      <c r="I113" s="7" t="n"/>
      <c r="J113" s="7" t="n"/>
      <c r="K113" s="7" t="n"/>
      <c r="L113" s="7" t="n"/>
      <c r="M113" s="7">
        <f>IF(A113="","",IFERROR(COUNTIF($A$6:$A$115,A113),0))</f>
        <v/>
      </c>
      <c r="N113" s="26">
        <f>IF(A113="","",IFERROR(AVERAGEIF($A$6:$A$115,A113,$G$6:$G$115),0))</f>
        <v/>
      </c>
    </row>
    <row r="114" ht="22" customHeight="1">
      <c r="A114" s="5" t="n"/>
      <c r="B114" s="5" t="n"/>
      <c r="C114" s="5" t="n"/>
      <c r="D114" s="5" t="n"/>
      <c r="E114" s="5" t="n"/>
      <c r="F114" s="25">
        <f>IF(OR(B114="",C114=""),"",B114+C114+D114+E114)</f>
        <v/>
      </c>
      <c r="G114" s="5" t="n"/>
      <c r="H114" s="5" t="n"/>
      <c r="I114" s="5" t="n"/>
      <c r="J114" s="5" t="n"/>
      <c r="K114" s="5" t="n"/>
      <c r="L114" s="5" t="n"/>
      <c r="M114" s="5">
        <f>IF(A114="","",IFERROR(COUNTIF($A$6:$A$115,A114),0))</f>
        <v/>
      </c>
      <c r="N114" s="25">
        <f>IF(A114="","",IFERROR(AVERAGEIF($A$6:$A$115,A114,$G$6:$G$115),0))</f>
        <v/>
      </c>
    </row>
    <row r="115" ht="22" customHeight="1">
      <c r="A115" s="7" t="n"/>
      <c r="B115" s="7" t="n"/>
      <c r="C115" s="7" t="n"/>
      <c r="D115" s="7" t="n"/>
      <c r="E115" s="7" t="n"/>
      <c r="F115" s="26">
        <f>IF(OR(B115="",C115=""),"",B115+C115+D115+E115)</f>
        <v/>
      </c>
      <c r="G115" s="7" t="n"/>
      <c r="H115" s="7" t="n"/>
      <c r="I115" s="7" t="n"/>
      <c r="J115" s="7" t="n"/>
      <c r="K115" s="7" t="n"/>
      <c r="L115" s="7" t="n"/>
      <c r="M115" s="7">
        <f>IF(A115="","",IFERROR(COUNTIF($A$6:$A$115,A115),0))</f>
        <v/>
      </c>
      <c r="N115" s="26">
        <f>IF(A115="","",IFERROR(AVERAGEIF($A$6:$A$115,A115,$G$6:$G$115),0))</f>
        <v/>
      </c>
    </row>
  </sheetData>
  <mergeCells count="2">
    <mergeCell ref="A3:N3"/>
    <mergeCell ref="A2:N2"/>
  </mergeCells>
  <dataValidations count="1">
    <dataValidation sqref="J6:J115" showDropDown="0" showInputMessage="0" showErrorMessage="0" allowBlank="1" errorTitle="Erreur" error="Valeur invalide" promptTitle="" prompt="Choisir dans la liste: " type="list">
      <formula1>'F02 - _Lists'!$M$6:$M$10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8" customWidth="1" min="4" max="4"/>
    <col width="26" customWidth="1" min="5" max="5"/>
    <col width="22" customWidth="1" min="6" max="6"/>
    <col width="22" customWidth="1" min="7" max="7"/>
    <col width="24" customWidth="1" min="8" max="8"/>
    <col width="24" customWidth="1" min="9" max="9"/>
    <col width="18" customWidth="1" min="10" max="10"/>
    <col width="28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13-HISTORIQUE DES DÉPARTS EN RETRAITE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Hist.</t>
        </is>
      </c>
      <c r="B5" s="4" t="inlineStr">
        <is>
          <t>Matricule</t>
        </is>
      </c>
      <c r="C5" s="4" t="inlineStr">
        <is>
          <t>Nom Complet</t>
        </is>
      </c>
      <c r="D5" s="4" t="inlineStr">
        <is>
          <t>Département</t>
        </is>
      </c>
      <c r="E5" s="4" t="inlineStr">
        <is>
          <t>Poste</t>
        </is>
      </c>
      <c r="F5" s="4" t="inlineStr">
        <is>
          <t>Type Départ</t>
        </is>
      </c>
      <c r="G5" s="4" t="inlineStr">
        <is>
          <t>Date Départ Effectif</t>
        </is>
      </c>
      <c r="H5" s="4" t="inlineStr">
        <is>
          <t>Régime</t>
        </is>
      </c>
      <c r="I5" s="4" t="inlineStr">
        <is>
          <t>Pension Mensuelle (FCFA)</t>
        </is>
      </c>
      <c r="J5" s="4" t="inlineStr">
        <is>
          <t>Années de Service</t>
        </is>
      </c>
      <c r="K5" s="4" t="inlineStr">
        <is>
          <t>Observations</t>
        </is>
      </c>
      <c r="L5" s="4" t="inlineStr"/>
      <c r="M5" s="4" t="inlineStr"/>
      <c r="N5" s="4" t="inlineStr"/>
      <c r="O5" s="4" t="inlineStr"/>
    </row>
    <row r="6" ht="22" customHeight="1">
      <c r="A6" s="5" t="inlineStr">
        <is>
          <t>HIS-001</t>
        </is>
      </c>
      <c r="B6" s="5" t="inlineStr">
        <is>
          <t>RET-003</t>
        </is>
      </c>
      <c r="C6" s="5" t="inlineStr">
        <is>
          <t>Diop Moussa</t>
        </is>
      </c>
      <c r="D6" s="5" t="inlineStr">
        <is>
          <t>Ressources Humaines</t>
        </is>
      </c>
      <c r="E6" s="5" t="inlineStr">
        <is>
          <t>DRH Senior</t>
        </is>
      </c>
      <c r="F6" s="5" t="inlineStr">
        <is>
          <t>Retraite normale</t>
        </is>
      </c>
      <c r="G6" s="19" t="n">
        <v>45657</v>
      </c>
      <c r="H6" s="5" t="inlineStr">
        <is>
          <t>Régime Général CNPS</t>
        </is>
      </c>
      <c r="I6" s="22" t="n">
        <v>350000</v>
      </c>
      <c r="J6" s="22" t="n">
        <v>35</v>
      </c>
      <c r="K6" s="5" t="inlineStr"/>
      <c r="L6" s="5">
        <f>IF(B6="","",IFERROR(VLOOKUP(B6,'F01 - _Données Retraite'!$A$6:$K$20,2,FALSE)&amp;" "&amp;VLOOKUP(B6,'F01 - _Données Retraite'!$A$6:$K$20,3,FALSE),""))</f>
        <v/>
      </c>
      <c r="M6" s="5">
        <f>IF(A6="","",IFERROR(COUNTIF($F$6:$F$115,F6),0))</f>
        <v/>
      </c>
      <c r="N6" s="25">
        <f>IF(A6="","",IFERROR(SUMIF($F$6:$F$115,F6,$I$6:$I$115),0))</f>
        <v/>
      </c>
    </row>
    <row r="7" ht="22" customHeight="1">
      <c r="A7" s="7" t="inlineStr">
        <is>
          <t>HIS-002</t>
        </is>
      </c>
      <c r="B7" s="7" t="inlineStr">
        <is>
          <t>RET-006</t>
        </is>
      </c>
      <c r="C7" s="7" t="inlineStr">
        <is>
          <t>Moreau Pierre</t>
        </is>
      </c>
      <c r="D7" s="7" t="inlineStr">
        <is>
          <t>Commercial</t>
        </is>
      </c>
      <c r="E7" s="7" t="inlineStr">
        <is>
          <t>Directeur Commercial</t>
        </is>
      </c>
      <c r="F7" s="7" t="inlineStr">
        <is>
          <t>Retraite tardive</t>
        </is>
      </c>
      <c r="G7" s="20" t="n">
        <v>45717</v>
      </c>
      <c r="H7" s="7" t="inlineStr">
        <is>
          <t>Régime Complémentaire</t>
        </is>
      </c>
      <c r="I7" s="24" t="n">
        <v>440000</v>
      </c>
      <c r="J7" s="24" t="n">
        <v>38</v>
      </c>
      <c r="K7" s="7" t="inlineStr"/>
      <c r="L7" s="7">
        <f>IF(B7="","",IFERROR(VLOOKUP(B7,'F01 - _Données Retraite'!$A$6:$K$20,2,FALSE)&amp;" "&amp;VLOOKUP(B7,'F01 - _Données Retraite'!$A$6:$K$20,3,FALSE),""))</f>
        <v/>
      </c>
      <c r="M7" s="7">
        <f>IF(A7="","",IFERROR(COUNTIF($F$6:$F$115,F7),0))</f>
        <v/>
      </c>
      <c r="N7" s="26">
        <f>IF(A7="","",IFERROR(SUMIF($F$6:$F$115,F7,$I$6:$I$115),0))</f>
        <v/>
      </c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>
        <f>IF(B8="","",IFERROR(VLOOKUP(B8,'F01 - _Données Retraite'!$A$6:$K$20,2,FALSE)&amp;" "&amp;VLOOKUP(B8,'F01 - _Données Retraite'!$A$6:$K$20,3,FALSE),""))</f>
        <v/>
      </c>
      <c r="M8" s="5">
        <f>IF(A8="","",IFERROR(COUNTIF($F$6:$F$115,F8),0))</f>
        <v/>
      </c>
      <c r="N8" s="25">
        <f>IF(A8="","",IFERROR(SUMIF($F$6:$F$115,F8,$I$6:$I$115),0))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>
        <f>IF(B9="","",IFERROR(VLOOKUP(B9,'F01 - _Données Retraite'!$A$6:$K$20,2,FALSE)&amp;" "&amp;VLOOKUP(B9,'F01 - _Données Retraite'!$A$6:$K$20,3,FALSE),""))</f>
        <v/>
      </c>
      <c r="M9" s="7">
        <f>IF(A9="","",IFERROR(COUNTIF($F$6:$F$115,F9),0))</f>
        <v/>
      </c>
      <c r="N9" s="26">
        <f>IF(A9="","",IFERROR(SUMIF($F$6:$F$115,F9,$I$6:$I$115),0))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>
        <f>IF(B10="","",IFERROR(VLOOKUP(B10,'F01 - _Données Retraite'!$A$6:$K$20,2,FALSE)&amp;" "&amp;VLOOKUP(B10,'F01 - _Données Retraite'!$A$6:$K$20,3,FALSE),""))</f>
        <v/>
      </c>
      <c r="M10" s="5">
        <f>IF(A10="","",IFERROR(COUNTIF($F$6:$F$115,F10),0))</f>
        <v/>
      </c>
      <c r="N10" s="25">
        <f>IF(A10="","",IFERROR(SUMIF($F$6:$F$115,F10,$I$6:$I$115),0))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>
        <f>IF(B11="","",IFERROR(VLOOKUP(B11,'F01 - _Données Retraite'!$A$6:$K$20,2,FALSE)&amp;" "&amp;VLOOKUP(B11,'F01 - _Données Retraite'!$A$6:$K$20,3,FALSE),""))</f>
        <v/>
      </c>
      <c r="M11" s="7">
        <f>IF(A11="","",IFERROR(COUNTIF($F$6:$F$115,F11),0))</f>
        <v/>
      </c>
      <c r="N11" s="26">
        <f>IF(A11="","",IFERROR(SUMIF($F$6:$F$115,F11,$I$6:$I$115),0))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>
        <f>IF(B12="","",IFERROR(VLOOKUP(B12,'F01 - _Données Retraite'!$A$6:$K$20,2,FALSE)&amp;" "&amp;VLOOKUP(B12,'F01 - _Données Retraite'!$A$6:$K$20,3,FALSE),""))</f>
        <v/>
      </c>
      <c r="M12" s="5">
        <f>IF(A12="","",IFERROR(COUNTIF($F$6:$F$115,F12),0))</f>
        <v/>
      </c>
      <c r="N12" s="25">
        <f>IF(A12="","",IFERROR(SUMIF($F$6:$F$115,F12,$I$6:$I$115),0))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>
        <f>IF(B13="","",IFERROR(VLOOKUP(B13,'F01 - _Données Retraite'!$A$6:$K$20,2,FALSE)&amp;" "&amp;VLOOKUP(B13,'F01 - _Données Retraite'!$A$6:$K$20,3,FALSE),""))</f>
        <v/>
      </c>
      <c r="M13" s="7">
        <f>IF(A13="","",IFERROR(COUNTIF($F$6:$F$115,F13),0))</f>
        <v/>
      </c>
      <c r="N13" s="26">
        <f>IF(A13="","",IFERROR(SUMIF($F$6:$F$115,F13,$I$6:$I$115),0))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>
        <f>IF(B14="","",IFERROR(VLOOKUP(B14,'F01 - _Données Retraite'!$A$6:$K$20,2,FALSE)&amp;" "&amp;VLOOKUP(B14,'F01 - _Données Retraite'!$A$6:$K$20,3,FALSE),""))</f>
        <v/>
      </c>
      <c r="M14" s="5">
        <f>IF(A14="","",IFERROR(COUNTIF($F$6:$F$115,F14),0))</f>
        <v/>
      </c>
      <c r="N14" s="25">
        <f>IF(A14="","",IFERROR(SUMIF($F$6:$F$115,F14,$I$6:$I$115),0))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>
        <f>IF(B15="","",IFERROR(VLOOKUP(B15,'F01 - _Données Retraite'!$A$6:$K$20,2,FALSE)&amp;" "&amp;VLOOKUP(B15,'F01 - _Données Retraite'!$A$6:$K$20,3,FALSE),""))</f>
        <v/>
      </c>
      <c r="M15" s="7">
        <f>IF(A15="","",IFERROR(COUNTIF($F$6:$F$115,F15),0))</f>
        <v/>
      </c>
      <c r="N15" s="26">
        <f>IF(A15="","",IFERROR(SUMIF($F$6:$F$115,F15,$I$6:$I$115),0))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>
        <f>IF(B16="","",IFERROR(VLOOKUP(B16,'F01 - _Données Retraite'!$A$6:$K$20,2,FALSE)&amp;" "&amp;VLOOKUP(B16,'F01 - _Données Retraite'!$A$6:$K$20,3,FALSE),""))</f>
        <v/>
      </c>
      <c r="M16" s="5">
        <f>IF(A16="","",IFERROR(COUNTIF($F$6:$F$115,F16),0))</f>
        <v/>
      </c>
      <c r="N16" s="25">
        <f>IF(A16="","",IFERROR(SUMIF($F$6:$F$115,F16,$I$6:$I$115),0))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>
        <f>IF(B17="","",IFERROR(VLOOKUP(B17,'F01 - _Données Retraite'!$A$6:$K$20,2,FALSE)&amp;" "&amp;VLOOKUP(B17,'F01 - _Données Retraite'!$A$6:$K$20,3,FALSE),""))</f>
        <v/>
      </c>
      <c r="M17" s="7">
        <f>IF(A17="","",IFERROR(COUNTIF($F$6:$F$115,F17),0))</f>
        <v/>
      </c>
      <c r="N17" s="26">
        <f>IF(A17="","",IFERROR(SUMIF($F$6:$F$115,F17,$I$6:$I$115),0))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>
        <f>IF(B18="","",IFERROR(VLOOKUP(B18,'F01 - _Données Retraite'!$A$6:$K$20,2,FALSE)&amp;" "&amp;VLOOKUP(B18,'F01 - _Données Retraite'!$A$6:$K$20,3,FALSE),""))</f>
        <v/>
      </c>
      <c r="M18" s="5">
        <f>IF(A18="","",IFERROR(COUNTIF($F$6:$F$115,F18),0))</f>
        <v/>
      </c>
      <c r="N18" s="25">
        <f>IF(A18="","",IFERROR(SUMIF($F$6:$F$115,F18,$I$6:$I$115),0))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>
        <f>IF(B19="","",IFERROR(VLOOKUP(B19,'F01 - _Données Retraite'!$A$6:$K$20,2,FALSE)&amp;" "&amp;VLOOKUP(B19,'F01 - _Données Retraite'!$A$6:$K$20,3,FALSE),""))</f>
        <v/>
      </c>
      <c r="M19" s="7">
        <f>IF(A19="","",IFERROR(COUNTIF($F$6:$F$115,F19),0))</f>
        <v/>
      </c>
      <c r="N19" s="26">
        <f>IF(A19="","",IFERROR(SUMIF($F$6:$F$115,F19,$I$6:$I$115),0))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>
        <f>IF(B20="","",IFERROR(VLOOKUP(B20,'F01 - _Données Retraite'!$A$6:$K$20,2,FALSE)&amp;" "&amp;VLOOKUP(B20,'F01 - _Données Retraite'!$A$6:$K$20,3,FALSE),""))</f>
        <v/>
      </c>
      <c r="M20" s="5">
        <f>IF(A20="","",IFERROR(COUNTIF($F$6:$F$115,F20),0))</f>
        <v/>
      </c>
      <c r="N20" s="25">
        <f>IF(A20="","",IFERROR(SUMIF($F$6:$F$115,F20,$I$6:$I$115),0))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>
        <f>IF(B21="","",IFERROR(VLOOKUP(B21,'F01 - _Données Retraite'!$A$6:$K$20,2,FALSE)&amp;" "&amp;VLOOKUP(B21,'F01 - _Données Retraite'!$A$6:$K$20,3,FALSE),""))</f>
        <v/>
      </c>
      <c r="M21" s="7">
        <f>IF(A21="","",IFERROR(COUNTIF($F$6:$F$115,F21),0))</f>
        <v/>
      </c>
      <c r="N21" s="26">
        <f>IF(A21="","",IFERROR(SUMIF($F$6:$F$115,F21,$I$6:$I$115),0))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>
        <f>IF(B22="","",IFERROR(VLOOKUP(B22,'F01 - _Données Retraite'!$A$6:$K$20,2,FALSE)&amp;" "&amp;VLOOKUP(B22,'F01 - _Données Retraite'!$A$6:$K$20,3,FALSE),""))</f>
        <v/>
      </c>
      <c r="M22" s="5">
        <f>IF(A22="","",IFERROR(COUNTIF($F$6:$F$115,F22),0))</f>
        <v/>
      </c>
      <c r="N22" s="25">
        <f>IF(A22="","",IFERROR(SUMIF($F$6:$F$115,F22,$I$6:$I$115),0))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>
        <f>IF(B23="","",IFERROR(VLOOKUP(B23,'F01 - _Données Retraite'!$A$6:$K$20,2,FALSE)&amp;" "&amp;VLOOKUP(B23,'F01 - _Données Retraite'!$A$6:$K$20,3,FALSE),""))</f>
        <v/>
      </c>
      <c r="M23" s="7">
        <f>IF(A23="","",IFERROR(COUNTIF($F$6:$F$115,F23),0))</f>
        <v/>
      </c>
      <c r="N23" s="26">
        <f>IF(A23="","",IFERROR(SUMIF($F$6:$F$115,F23,$I$6:$I$115),0))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>
        <f>IF(B24="","",IFERROR(VLOOKUP(B24,'F01 - _Données Retraite'!$A$6:$K$20,2,FALSE)&amp;" "&amp;VLOOKUP(B24,'F01 - _Données Retraite'!$A$6:$K$20,3,FALSE),""))</f>
        <v/>
      </c>
      <c r="M24" s="5">
        <f>IF(A24="","",IFERROR(COUNTIF($F$6:$F$115,F24),0))</f>
        <v/>
      </c>
      <c r="N24" s="25">
        <f>IF(A24="","",IFERROR(SUMIF($F$6:$F$115,F24,$I$6:$I$115),0))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>
        <f>IF(B25="","",IFERROR(VLOOKUP(B25,'F01 - _Données Retraite'!$A$6:$K$20,2,FALSE)&amp;" "&amp;VLOOKUP(B25,'F01 - _Données Retraite'!$A$6:$K$20,3,FALSE),""))</f>
        <v/>
      </c>
      <c r="M25" s="7">
        <f>IF(A25="","",IFERROR(COUNTIF($F$6:$F$115,F25),0))</f>
        <v/>
      </c>
      <c r="N25" s="26">
        <f>IF(A25="","",IFERROR(SUMIF($F$6:$F$115,F25,$I$6:$I$115),0))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>
        <f>IF(B26="","",IFERROR(VLOOKUP(B26,'F01 - _Données Retraite'!$A$6:$K$20,2,FALSE)&amp;" "&amp;VLOOKUP(B26,'F01 - _Données Retraite'!$A$6:$K$20,3,FALSE),""))</f>
        <v/>
      </c>
      <c r="M26" s="5">
        <f>IF(A26="","",IFERROR(COUNTIF($F$6:$F$115,F26),0))</f>
        <v/>
      </c>
      <c r="N26" s="25">
        <f>IF(A26="","",IFERROR(SUMIF($F$6:$F$115,F26,$I$6:$I$115),0))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>
        <f>IF(B27="","",IFERROR(VLOOKUP(B27,'F01 - _Données Retraite'!$A$6:$K$20,2,FALSE)&amp;" "&amp;VLOOKUP(B27,'F01 - _Données Retraite'!$A$6:$K$20,3,FALSE),""))</f>
        <v/>
      </c>
      <c r="M27" s="7">
        <f>IF(A27="","",IFERROR(COUNTIF($F$6:$F$115,F27),0))</f>
        <v/>
      </c>
      <c r="N27" s="26">
        <f>IF(A27="","",IFERROR(SUMIF($F$6:$F$115,F27,$I$6:$I$115),0))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>
        <f>IF(B28="","",IFERROR(VLOOKUP(B28,'F01 - _Données Retraite'!$A$6:$K$20,2,FALSE)&amp;" "&amp;VLOOKUP(B28,'F01 - _Données Retraite'!$A$6:$K$20,3,FALSE),""))</f>
        <v/>
      </c>
      <c r="M28" s="5">
        <f>IF(A28="","",IFERROR(COUNTIF($F$6:$F$115,F28),0))</f>
        <v/>
      </c>
      <c r="N28" s="25">
        <f>IF(A28="","",IFERROR(SUMIF($F$6:$F$115,F28,$I$6:$I$115),0))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>
        <f>IF(B29="","",IFERROR(VLOOKUP(B29,'F01 - _Données Retraite'!$A$6:$K$20,2,FALSE)&amp;" "&amp;VLOOKUP(B29,'F01 - _Données Retraite'!$A$6:$K$20,3,FALSE),""))</f>
        <v/>
      </c>
      <c r="M29" s="7">
        <f>IF(A29="","",IFERROR(COUNTIF($F$6:$F$115,F29),0))</f>
        <v/>
      </c>
      <c r="N29" s="26">
        <f>IF(A29="","",IFERROR(SUMIF($F$6:$F$115,F29,$I$6:$I$115),0))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>
        <f>IF(B30="","",IFERROR(VLOOKUP(B30,'F01 - _Données Retraite'!$A$6:$K$20,2,FALSE)&amp;" "&amp;VLOOKUP(B30,'F01 - _Données Retraite'!$A$6:$K$20,3,FALSE),""))</f>
        <v/>
      </c>
      <c r="M30" s="5">
        <f>IF(A30="","",IFERROR(COUNTIF($F$6:$F$115,F30),0))</f>
        <v/>
      </c>
      <c r="N30" s="25">
        <f>IF(A30="","",IFERROR(SUMIF($F$6:$F$115,F30,$I$6:$I$115),0))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>
        <f>IF(B31="","",IFERROR(VLOOKUP(B31,'F01 - _Données Retraite'!$A$6:$K$20,2,FALSE)&amp;" "&amp;VLOOKUP(B31,'F01 - _Données Retraite'!$A$6:$K$20,3,FALSE),""))</f>
        <v/>
      </c>
      <c r="M31" s="7">
        <f>IF(A31="","",IFERROR(COUNTIF($F$6:$F$115,F31),0))</f>
        <v/>
      </c>
      <c r="N31" s="26">
        <f>IF(A31="","",IFERROR(SUMIF($F$6:$F$115,F31,$I$6:$I$115),0))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>
        <f>IF(B32="","",IFERROR(VLOOKUP(B32,'F01 - _Données Retraite'!$A$6:$K$20,2,FALSE)&amp;" "&amp;VLOOKUP(B32,'F01 - _Données Retraite'!$A$6:$K$20,3,FALSE),""))</f>
        <v/>
      </c>
      <c r="M32" s="5">
        <f>IF(A32="","",IFERROR(COUNTIF($F$6:$F$115,F32),0))</f>
        <v/>
      </c>
      <c r="N32" s="25">
        <f>IF(A32="","",IFERROR(SUMIF($F$6:$F$115,F32,$I$6:$I$115),0))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>
        <f>IF(B33="","",IFERROR(VLOOKUP(B33,'F01 - _Données Retraite'!$A$6:$K$20,2,FALSE)&amp;" "&amp;VLOOKUP(B33,'F01 - _Données Retraite'!$A$6:$K$20,3,FALSE),""))</f>
        <v/>
      </c>
      <c r="M33" s="7">
        <f>IF(A33="","",IFERROR(COUNTIF($F$6:$F$115,F33),0))</f>
        <v/>
      </c>
      <c r="N33" s="26">
        <f>IF(A33="","",IFERROR(SUMIF($F$6:$F$115,F33,$I$6:$I$115),0))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>
        <f>IF(B34="","",IFERROR(VLOOKUP(B34,'F01 - _Données Retraite'!$A$6:$K$20,2,FALSE)&amp;" "&amp;VLOOKUP(B34,'F01 - _Données Retraite'!$A$6:$K$20,3,FALSE),""))</f>
        <v/>
      </c>
      <c r="M34" s="5">
        <f>IF(A34="","",IFERROR(COUNTIF($F$6:$F$115,F34),0))</f>
        <v/>
      </c>
      <c r="N34" s="25">
        <f>IF(A34="","",IFERROR(SUMIF($F$6:$F$115,F34,$I$6:$I$115),0))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>
        <f>IF(B35="","",IFERROR(VLOOKUP(B35,'F01 - _Données Retraite'!$A$6:$K$20,2,FALSE)&amp;" "&amp;VLOOKUP(B35,'F01 - _Données Retraite'!$A$6:$K$20,3,FALSE),""))</f>
        <v/>
      </c>
      <c r="M35" s="7">
        <f>IF(A35="","",IFERROR(COUNTIF($F$6:$F$115,F35),0))</f>
        <v/>
      </c>
      <c r="N35" s="26">
        <f>IF(A35="","",IFERROR(SUMIF($F$6:$F$115,F35,$I$6:$I$115),0))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>
        <f>IF(B36="","",IFERROR(VLOOKUP(B36,'F01 - _Données Retraite'!$A$6:$K$20,2,FALSE)&amp;" "&amp;VLOOKUP(B36,'F01 - _Données Retraite'!$A$6:$K$20,3,FALSE),""))</f>
        <v/>
      </c>
      <c r="M36" s="5">
        <f>IF(A36="","",IFERROR(COUNTIF($F$6:$F$115,F36),0))</f>
        <v/>
      </c>
      <c r="N36" s="25">
        <f>IF(A36="","",IFERROR(SUMIF($F$6:$F$115,F36,$I$6:$I$115),0))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>
        <f>IF(B37="","",IFERROR(VLOOKUP(B37,'F01 - _Données Retraite'!$A$6:$K$20,2,FALSE)&amp;" "&amp;VLOOKUP(B37,'F01 - _Données Retraite'!$A$6:$K$20,3,FALSE),""))</f>
        <v/>
      </c>
      <c r="M37" s="7">
        <f>IF(A37="","",IFERROR(COUNTIF($F$6:$F$115,F37),0))</f>
        <v/>
      </c>
      <c r="N37" s="26">
        <f>IF(A37="","",IFERROR(SUMIF($F$6:$F$115,F37,$I$6:$I$115),0))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>
        <f>IF(B38="","",IFERROR(VLOOKUP(B38,'F01 - _Données Retraite'!$A$6:$K$20,2,FALSE)&amp;" "&amp;VLOOKUP(B38,'F01 - _Données Retraite'!$A$6:$K$20,3,FALSE),""))</f>
        <v/>
      </c>
      <c r="M38" s="5">
        <f>IF(A38="","",IFERROR(COUNTIF($F$6:$F$115,F38),0))</f>
        <v/>
      </c>
      <c r="N38" s="25">
        <f>IF(A38="","",IFERROR(SUMIF($F$6:$F$115,F38,$I$6:$I$115),0))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>
        <f>IF(B39="","",IFERROR(VLOOKUP(B39,'F01 - _Données Retraite'!$A$6:$K$20,2,FALSE)&amp;" "&amp;VLOOKUP(B39,'F01 - _Données Retraite'!$A$6:$K$20,3,FALSE),""))</f>
        <v/>
      </c>
      <c r="M39" s="7">
        <f>IF(A39="","",IFERROR(COUNTIF($F$6:$F$115,F39),0))</f>
        <v/>
      </c>
      <c r="N39" s="26">
        <f>IF(A39="","",IFERROR(SUMIF($F$6:$F$115,F39,$I$6:$I$115),0))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>
        <f>IF(B40="","",IFERROR(VLOOKUP(B40,'F01 - _Données Retraite'!$A$6:$K$20,2,FALSE)&amp;" "&amp;VLOOKUP(B40,'F01 - _Données Retraite'!$A$6:$K$20,3,FALSE),""))</f>
        <v/>
      </c>
      <c r="M40" s="5">
        <f>IF(A40="","",IFERROR(COUNTIF($F$6:$F$115,F40),0))</f>
        <v/>
      </c>
      <c r="N40" s="25">
        <f>IF(A40="","",IFERROR(SUMIF($F$6:$F$115,F40,$I$6:$I$115),0))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>
        <f>IF(B41="","",IFERROR(VLOOKUP(B41,'F01 - _Données Retraite'!$A$6:$K$20,2,FALSE)&amp;" "&amp;VLOOKUP(B41,'F01 - _Données Retraite'!$A$6:$K$20,3,FALSE),""))</f>
        <v/>
      </c>
      <c r="M41" s="7">
        <f>IF(A41="","",IFERROR(COUNTIF($F$6:$F$115,F41),0))</f>
        <v/>
      </c>
      <c r="N41" s="26">
        <f>IF(A41="","",IFERROR(SUMIF($F$6:$F$115,F41,$I$6:$I$115),0))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>
        <f>IF(B42="","",IFERROR(VLOOKUP(B42,'F01 - _Données Retraite'!$A$6:$K$20,2,FALSE)&amp;" "&amp;VLOOKUP(B42,'F01 - _Données Retraite'!$A$6:$K$20,3,FALSE),""))</f>
        <v/>
      </c>
      <c r="M42" s="5">
        <f>IF(A42="","",IFERROR(COUNTIF($F$6:$F$115,F42),0))</f>
        <v/>
      </c>
      <c r="N42" s="25">
        <f>IF(A42="","",IFERROR(SUMIF($F$6:$F$115,F42,$I$6:$I$115),0))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>
        <f>IF(B43="","",IFERROR(VLOOKUP(B43,'F01 - _Données Retraite'!$A$6:$K$20,2,FALSE)&amp;" "&amp;VLOOKUP(B43,'F01 - _Données Retraite'!$A$6:$K$20,3,FALSE),""))</f>
        <v/>
      </c>
      <c r="M43" s="7">
        <f>IF(A43="","",IFERROR(COUNTIF($F$6:$F$115,F43),0))</f>
        <v/>
      </c>
      <c r="N43" s="26">
        <f>IF(A43="","",IFERROR(SUMIF($F$6:$F$115,F43,$I$6:$I$115),0))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>
        <f>IF(B44="","",IFERROR(VLOOKUP(B44,'F01 - _Données Retraite'!$A$6:$K$20,2,FALSE)&amp;" "&amp;VLOOKUP(B44,'F01 - _Données Retraite'!$A$6:$K$20,3,FALSE),""))</f>
        <v/>
      </c>
      <c r="M44" s="5">
        <f>IF(A44="","",IFERROR(COUNTIF($F$6:$F$115,F44),0))</f>
        <v/>
      </c>
      <c r="N44" s="25">
        <f>IF(A44="","",IFERROR(SUMIF($F$6:$F$115,F44,$I$6:$I$115),0))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>
        <f>IF(B45="","",IFERROR(VLOOKUP(B45,'F01 - _Données Retraite'!$A$6:$K$20,2,FALSE)&amp;" "&amp;VLOOKUP(B45,'F01 - _Données Retraite'!$A$6:$K$20,3,FALSE),""))</f>
        <v/>
      </c>
      <c r="M45" s="7">
        <f>IF(A45="","",IFERROR(COUNTIF($F$6:$F$115,F45),0))</f>
        <v/>
      </c>
      <c r="N45" s="26">
        <f>IF(A45="","",IFERROR(SUMIF($F$6:$F$115,F45,$I$6:$I$115),0))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>
        <f>IF(B46="","",IFERROR(VLOOKUP(B46,'F01 - _Données Retraite'!$A$6:$K$20,2,FALSE)&amp;" "&amp;VLOOKUP(B46,'F01 - _Données Retraite'!$A$6:$K$20,3,FALSE),""))</f>
        <v/>
      </c>
      <c r="M46" s="5">
        <f>IF(A46="","",IFERROR(COUNTIF($F$6:$F$115,F46),0))</f>
        <v/>
      </c>
      <c r="N46" s="25">
        <f>IF(A46="","",IFERROR(SUMIF($F$6:$F$115,F46,$I$6:$I$115),0))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>
        <f>IF(B47="","",IFERROR(VLOOKUP(B47,'F01 - _Données Retraite'!$A$6:$K$20,2,FALSE)&amp;" "&amp;VLOOKUP(B47,'F01 - _Données Retraite'!$A$6:$K$20,3,FALSE),""))</f>
        <v/>
      </c>
      <c r="M47" s="7">
        <f>IF(A47="","",IFERROR(COUNTIF($F$6:$F$115,F47),0))</f>
        <v/>
      </c>
      <c r="N47" s="26">
        <f>IF(A47="","",IFERROR(SUMIF($F$6:$F$115,F47,$I$6:$I$115),0))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>
        <f>IF(B48="","",IFERROR(VLOOKUP(B48,'F01 - _Données Retraite'!$A$6:$K$20,2,FALSE)&amp;" "&amp;VLOOKUP(B48,'F01 - _Données Retraite'!$A$6:$K$20,3,FALSE),""))</f>
        <v/>
      </c>
      <c r="M48" s="5">
        <f>IF(A48="","",IFERROR(COUNTIF($F$6:$F$115,F48),0))</f>
        <v/>
      </c>
      <c r="N48" s="25">
        <f>IF(A48="","",IFERROR(SUMIF($F$6:$F$115,F48,$I$6:$I$115),0))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>
        <f>IF(B49="","",IFERROR(VLOOKUP(B49,'F01 - _Données Retraite'!$A$6:$K$20,2,FALSE)&amp;" "&amp;VLOOKUP(B49,'F01 - _Données Retraite'!$A$6:$K$20,3,FALSE),""))</f>
        <v/>
      </c>
      <c r="M49" s="7">
        <f>IF(A49="","",IFERROR(COUNTIF($F$6:$F$115,F49),0))</f>
        <v/>
      </c>
      <c r="N49" s="26">
        <f>IF(A49="","",IFERROR(SUMIF($F$6:$F$115,F49,$I$6:$I$115),0))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>
        <f>IF(B50="","",IFERROR(VLOOKUP(B50,'F01 - _Données Retraite'!$A$6:$K$20,2,FALSE)&amp;" "&amp;VLOOKUP(B50,'F01 - _Données Retraite'!$A$6:$K$20,3,FALSE),""))</f>
        <v/>
      </c>
      <c r="M50" s="5">
        <f>IF(A50="","",IFERROR(COUNTIF($F$6:$F$115,F50),0))</f>
        <v/>
      </c>
      <c r="N50" s="25">
        <f>IF(A50="","",IFERROR(SUMIF($F$6:$F$115,F50,$I$6:$I$115),0))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>
        <f>IF(B51="","",IFERROR(VLOOKUP(B51,'F01 - _Données Retraite'!$A$6:$K$20,2,FALSE)&amp;" "&amp;VLOOKUP(B51,'F01 - _Données Retraite'!$A$6:$K$20,3,FALSE),""))</f>
        <v/>
      </c>
      <c r="M51" s="7">
        <f>IF(A51="","",IFERROR(COUNTIF($F$6:$F$115,F51),0))</f>
        <v/>
      </c>
      <c r="N51" s="26">
        <f>IF(A51="","",IFERROR(SUMIF($F$6:$F$115,F51,$I$6:$I$115),0))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>
        <f>IF(B52="","",IFERROR(VLOOKUP(B52,'F01 - _Données Retraite'!$A$6:$K$20,2,FALSE)&amp;" "&amp;VLOOKUP(B52,'F01 - _Données Retraite'!$A$6:$K$20,3,FALSE),""))</f>
        <v/>
      </c>
      <c r="M52" s="5">
        <f>IF(A52="","",IFERROR(COUNTIF($F$6:$F$115,F52),0))</f>
        <v/>
      </c>
      <c r="N52" s="25">
        <f>IF(A52="","",IFERROR(SUMIF($F$6:$F$115,F52,$I$6:$I$115),0))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>
        <f>IF(B53="","",IFERROR(VLOOKUP(B53,'F01 - _Données Retraite'!$A$6:$K$20,2,FALSE)&amp;" "&amp;VLOOKUP(B53,'F01 - _Données Retraite'!$A$6:$K$20,3,FALSE),""))</f>
        <v/>
      </c>
      <c r="M53" s="7">
        <f>IF(A53="","",IFERROR(COUNTIF($F$6:$F$115,F53),0))</f>
        <v/>
      </c>
      <c r="N53" s="26">
        <f>IF(A53="","",IFERROR(SUMIF($F$6:$F$115,F53,$I$6:$I$115),0))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>
        <f>IF(B54="","",IFERROR(VLOOKUP(B54,'F01 - _Données Retraite'!$A$6:$K$20,2,FALSE)&amp;" "&amp;VLOOKUP(B54,'F01 - _Données Retraite'!$A$6:$K$20,3,FALSE),""))</f>
        <v/>
      </c>
      <c r="M54" s="5">
        <f>IF(A54="","",IFERROR(COUNTIF($F$6:$F$115,F54),0))</f>
        <v/>
      </c>
      <c r="N54" s="25">
        <f>IF(A54="","",IFERROR(SUMIF($F$6:$F$115,F54,$I$6:$I$115),0))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>
        <f>IF(B55="","",IFERROR(VLOOKUP(B55,'F01 - _Données Retraite'!$A$6:$K$20,2,FALSE)&amp;" "&amp;VLOOKUP(B55,'F01 - _Données Retraite'!$A$6:$K$20,3,FALSE),""))</f>
        <v/>
      </c>
      <c r="M55" s="7">
        <f>IF(A55="","",IFERROR(COUNTIF($F$6:$F$115,F55),0))</f>
        <v/>
      </c>
      <c r="N55" s="26">
        <f>IF(A55="","",IFERROR(SUMIF($F$6:$F$115,F55,$I$6:$I$115),0))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>
        <f>IF(B56="","",IFERROR(VLOOKUP(B56,'F01 - _Données Retraite'!$A$6:$K$20,2,FALSE)&amp;" "&amp;VLOOKUP(B56,'F01 - _Données Retraite'!$A$6:$K$20,3,FALSE),""))</f>
        <v/>
      </c>
      <c r="M56" s="5">
        <f>IF(A56="","",IFERROR(COUNTIF($F$6:$F$115,F56),0))</f>
        <v/>
      </c>
      <c r="N56" s="25">
        <f>IF(A56="","",IFERROR(SUMIF($F$6:$F$115,F56,$I$6:$I$115),0))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>
        <f>IF(B57="","",IFERROR(VLOOKUP(B57,'F01 - _Données Retraite'!$A$6:$K$20,2,FALSE)&amp;" "&amp;VLOOKUP(B57,'F01 - _Données Retraite'!$A$6:$K$20,3,FALSE),""))</f>
        <v/>
      </c>
      <c r="M57" s="7">
        <f>IF(A57="","",IFERROR(COUNTIF($F$6:$F$115,F57),0))</f>
        <v/>
      </c>
      <c r="N57" s="26">
        <f>IF(A57="","",IFERROR(SUMIF($F$6:$F$115,F57,$I$6:$I$115),0))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>
        <f>IF(B58="","",IFERROR(VLOOKUP(B58,'F01 - _Données Retraite'!$A$6:$K$20,2,FALSE)&amp;" "&amp;VLOOKUP(B58,'F01 - _Données Retraite'!$A$6:$K$20,3,FALSE),""))</f>
        <v/>
      </c>
      <c r="M58" s="5">
        <f>IF(A58="","",IFERROR(COUNTIF($F$6:$F$115,F58),0))</f>
        <v/>
      </c>
      <c r="N58" s="25">
        <f>IF(A58="","",IFERROR(SUMIF($F$6:$F$115,F58,$I$6:$I$115),0))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>
        <f>IF(B59="","",IFERROR(VLOOKUP(B59,'F01 - _Données Retraite'!$A$6:$K$20,2,FALSE)&amp;" "&amp;VLOOKUP(B59,'F01 - _Données Retraite'!$A$6:$K$20,3,FALSE),""))</f>
        <v/>
      </c>
      <c r="M59" s="7">
        <f>IF(A59="","",IFERROR(COUNTIF($F$6:$F$115,F59),0))</f>
        <v/>
      </c>
      <c r="N59" s="26">
        <f>IF(A59="","",IFERROR(SUMIF($F$6:$F$115,F59,$I$6:$I$115),0))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>
        <f>IF(B60="","",IFERROR(VLOOKUP(B60,'F01 - _Données Retraite'!$A$6:$K$20,2,FALSE)&amp;" "&amp;VLOOKUP(B60,'F01 - _Données Retraite'!$A$6:$K$20,3,FALSE),""))</f>
        <v/>
      </c>
      <c r="M60" s="5">
        <f>IF(A60="","",IFERROR(COUNTIF($F$6:$F$115,F60),0))</f>
        <v/>
      </c>
      <c r="N60" s="25">
        <f>IF(A60="","",IFERROR(SUMIF($F$6:$F$115,F60,$I$6:$I$115),0))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>
        <f>IF(B61="","",IFERROR(VLOOKUP(B61,'F01 - _Données Retraite'!$A$6:$K$20,2,FALSE)&amp;" "&amp;VLOOKUP(B61,'F01 - _Données Retraite'!$A$6:$K$20,3,FALSE),""))</f>
        <v/>
      </c>
      <c r="M61" s="7">
        <f>IF(A61="","",IFERROR(COUNTIF($F$6:$F$115,F61),0))</f>
        <v/>
      </c>
      <c r="N61" s="26">
        <f>IF(A61="","",IFERROR(SUMIF($F$6:$F$115,F61,$I$6:$I$115),0))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>
        <f>IF(B62="","",IFERROR(VLOOKUP(B62,'F01 - _Données Retraite'!$A$6:$K$20,2,FALSE)&amp;" "&amp;VLOOKUP(B62,'F01 - _Données Retraite'!$A$6:$K$20,3,FALSE),""))</f>
        <v/>
      </c>
      <c r="M62" s="5">
        <f>IF(A62="","",IFERROR(COUNTIF($F$6:$F$115,F62),0))</f>
        <v/>
      </c>
      <c r="N62" s="25">
        <f>IF(A62="","",IFERROR(SUMIF($F$6:$F$115,F62,$I$6:$I$115),0))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>
        <f>IF(B63="","",IFERROR(VLOOKUP(B63,'F01 - _Données Retraite'!$A$6:$K$20,2,FALSE)&amp;" "&amp;VLOOKUP(B63,'F01 - _Données Retraite'!$A$6:$K$20,3,FALSE),""))</f>
        <v/>
      </c>
      <c r="M63" s="7">
        <f>IF(A63="","",IFERROR(COUNTIF($F$6:$F$115,F63),0))</f>
        <v/>
      </c>
      <c r="N63" s="26">
        <f>IF(A63="","",IFERROR(SUMIF($F$6:$F$115,F63,$I$6:$I$115),0))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>
        <f>IF(B64="","",IFERROR(VLOOKUP(B64,'F01 - _Données Retraite'!$A$6:$K$20,2,FALSE)&amp;" "&amp;VLOOKUP(B64,'F01 - _Données Retraite'!$A$6:$K$20,3,FALSE),""))</f>
        <v/>
      </c>
      <c r="M64" s="5">
        <f>IF(A64="","",IFERROR(COUNTIF($F$6:$F$115,F64),0))</f>
        <v/>
      </c>
      <c r="N64" s="25">
        <f>IF(A64="","",IFERROR(SUMIF($F$6:$F$115,F64,$I$6:$I$115),0))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>
        <f>IF(B65="","",IFERROR(VLOOKUP(B65,'F01 - _Données Retraite'!$A$6:$K$20,2,FALSE)&amp;" "&amp;VLOOKUP(B65,'F01 - _Données Retraite'!$A$6:$K$20,3,FALSE),""))</f>
        <v/>
      </c>
      <c r="M65" s="7">
        <f>IF(A65="","",IFERROR(COUNTIF($F$6:$F$115,F65),0))</f>
        <v/>
      </c>
      <c r="N65" s="26">
        <f>IF(A65="","",IFERROR(SUMIF($F$6:$F$115,F65,$I$6:$I$115),0))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>
        <f>IF(B66="","",IFERROR(VLOOKUP(B66,'F01 - _Données Retraite'!$A$6:$K$20,2,FALSE)&amp;" "&amp;VLOOKUP(B66,'F01 - _Données Retraite'!$A$6:$K$20,3,FALSE),""))</f>
        <v/>
      </c>
      <c r="M66" s="5">
        <f>IF(A66="","",IFERROR(COUNTIF($F$6:$F$115,F66),0))</f>
        <v/>
      </c>
      <c r="N66" s="25">
        <f>IF(A66="","",IFERROR(SUMIF($F$6:$F$115,F66,$I$6:$I$115),0))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>
        <f>IF(B67="","",IFERROR(VLOOKUP(B67,'F01 - _Données Retraite'!$A$6:$K$20,2,FALSE)&amp;" "&amp;VLOOKUP(B67,'F01 - _Données Retraite'!$A$6:$K$20,3,FALSE),""))</f>
        <v/>
      </c>
      <c r="M67" s="7">
        <f>IF(A67="","",IFERROR(COUNTIF($F$6:$F$115,F67),0))</f>
        <v/>
      </c>
      <c r="N67" s="26">
        <f>IF(A67="","",IFERROR(SUMIF($F$6:$F$115,F67,$I$6:$I$115),0))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>
        <f>IF(B68="","",IFERROR(VLOOKUP(B68,'F01 - _Données Retraite'!$A$6:$K$20,2,FALSE)&amp;" "&amp;VLOOKUP(B68,'F01 - _Données Retraite'!$A$6:$K$20,3,FALSE),""))</f>
        <v/>
      </c>
      <c r="M68" s="5">
        <f>IF(A68="","",IFERROR(COUNTIF($F$6:$F$115,F68),0))</f>
        <v/>
      </c>
      <c r="N68" s="25">
        <f>IF(A68="","",IFERROR(SUMIF($F$6:$F$115,F68,$I$6:$I$115),0))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>
        <f>IF(B69="","",IFERROR(VLOOKUP(B69,'F01 - _Données Retraite'!$A$6:$K$20,2,FALSE)&amp;" "&amp;VLOOKUP(B69,'F01 - _Données Retraite'!$A$6:$K$20,3,FALSE),""))</f>
        <v/>
      </c>
      <c r="M69" s="7">
        <f>IF(A69="","",IFERROR(COUNTIF($F$6:$F$115,F69),0))</f>
        <v/>
      </c>
      <c r="N69" s="26">
        <f>IF(A69="","",IFERROR(SUMIF($F$6:$F$115,F69,$I$6:$I$115),0))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>
        <f>IF(B70="","",IFERROR(VLOOKUP(B70,'F01 - _Données Retraite'!$A$6:$K$20,2,FALSE)&amp;" "&amp;VLOOKUP(B70,'F01 - _Données Retraite'!$A$6:$K$20,3,FALSE),""))</f>
        <v/>
      </c>
      <c r="M70" s="5">
        <f>IF(A70="","",IFERROR(COUNTIF($F$6:$F$115,F70),0))</f>
        <v/>
      </c>
      <c r="N70" s="25">
        <f>IF(A70="","",IFERROR(SUMIF($F$6:$F$115,F70,$I$6:$I$115),0))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>
        <f>IF(B71="","",IFERROR(VLOOKUP(B71,'F01 - _Données Retraite'!$A$6:$K$20,2,FALSE)&amp;" "&amp;VLOOKUP(B71,'F01 - _Données Retraite'!$A$6:$K$20,3,FALSE),""))</f>
        <v/>
      </c>
      <c r="M71" s="7">
        <f>IF(A71="","",IFERROR(COUNTIF($F$6:$F$115,F71),0))</f>
        <v/>
      </c>
      <c r="N71" s="26">
        <f>IF(A71="","",IFERROR(SUMIF($F$6:$F$115,F71,$I$6:$I$115),0))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>
        <f>IF(B72="","",IFERROR(VLOOKUP(B72,'F01 - _Données Retraite'!$A$6:$K$20,2,FALSE)&amp;" "&amp;VLOOKUP(B72,'F01 - _Données Retraite'!$A$6:$K$20,3,FALSE),""))</f>
        <v/>
      </c>
      <c r="M72" s="5">
        <f>IF(A72="","",IFERROR(COUNTIF($F$6:$F$115,F72),0))</f>
        <v/>
      </c>
      <c r="N72" s="25">
        <f>IF(A72="","",IFERROR(SUMIF($F$6:$F$115,F72,$I$6:$I$115),0))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>
        <f>IF(B73="","",IFERROR(VLOOKUP(B73,'F01 - _Données Retraite'!$A$6:$K$20,2,FALSE)&amp;" "&amp;VLOOKUP(B73,'F01 - _Données Retraite'!$A$6:$K$20,3,FALSE),""))</f>
        <v/>
      </c>
      <c r="M73" s="7">
        <f>IF(A73="","",IFERROR(COUNTIF($F$6:$F$115,F73),0))</f>
        <v/>
      </c>
      <c r="N73" s="26">
        <f>IF(A73="","",IFERROR(SUMIF($F$6:$F$115,F73,$I$6:$I$115),0))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>
        <f>IF(B74="","",IFERROR(VLOOKUP(B74,'F01 - _Données Retraite'!$A$6:$K$20,2,FALSE)&amp;" "&amp;VLOOKUP(B74,'F01 - _Données Retraite'!$A$6:$K$20,3,FALSE),""))</f>
        <v/>
      </c>
      <c r="M74" s="5">
        <f>IF(A74="","",IFERROR(COUNTIF($F$6:$F$115,F74),0))</f>
        <v/>
      </c>
      <c r="N74" s="25">
        <f>IF(A74="","",IFERROR(SUMIF($F$6:$F$115,F74,$I$6:$I$115),0))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>
        <f>IF(B75="","",IFERROR(VLOOKUP(B75,'F01 - _Données Retraite'!$A$6:$K$20,2,FALSE)&amp;" "&amp;VLOOKUP(B75,'F01 - _Données Retraite'!$A$6:$K$20,3,FALSE),""))</f>
        <v/>
      </c>
      <c r="M75" s="7">
        <f>IF(A75="","",IFERROR(COUNTIF($F$6:$F$115,F75),0))</f>
        <v/>
      </c>
      <c r="N75" s="26">
        <f>IF(A75="","",IFERROR(SUMIF($F$6:$F$115,F75,$I$6:$I$115),0))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>
        <f>IF(B76="","",IFERROR(VLOOKUP(B76,'F01 - _Données Retraite'!$A$6:$K$20,2,FALSE)&amp;" "&amp;VLOOKUP(B76,'F01 - _Données Retraite'!$A$6:$K$20,3,FALSE),""))</f>
        <v/>
      </c>
      <c r="M76" s="5">
        <f>IF(A76="","",IFERROR(COUNTIF($F$6:$F$115,F76),0))</f>
        <v/>
      </c>
      <c r="N76" s="25">
        <f>IF(A76="","",IFERROR(SUMIF($F$6:$F$115,F76,$I$6:$I$115),0))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>
        <f>IF(B77="","",IFERROR(VLOOKUP(B77,'F01 - _Données Retraite'!$A$6:$K$20,2,FALSE)&amp;" "&amp;VLOOKUP(B77,'F01 - _Données Retraite'!$A$6:$K$20,3,FALSE),""))</f>
        <v/>
      </c>
      <c r="M77" s="7">
        <f>IF(A77="","",IFERROR(COUNTIF($F$6:$F$115,F77),0))</f>
        <v/>
      </c>
      <c r="N77" s="26">
        <f>IF(A77="","",IFERROR(SUMIF($F$6:$F$115,F77,$I$6:$I$115),0))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>
        <f>IF(B78="","",IFERROR(VLOOKUP(B78,'F01 - _Données Retraite'!$A$6:$K$20,2,FALSE)&amp;" "&amp;VLOOKUP(B78,'F01 - _Données Retraite'!$A$6:$K$20,3,FALSE),""))</f>
        <v/>
      </c>
      <c r="M78" s="5">
        <f>IF(A78="","",IFERROR(COUNTIF($F$6:$F$115,F78),0))</f>
        <v/>
      </c>
      <c r="N78" s="25">
        <f>IF(A78="","",IFERROR(SUMIF($F$6:$F$115,F78,$I$6:$I$115),0))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>
        <f>IF(B79="","",IFERROR(VLOOKUP(B79,'F01 - _Données Retraite'!$A$6:$K$20,2,FALSE)&amp;" "&amp;VLOOKUP(B79,'F01 - _Données Retraite'!$A$6:$K$20,3,FALSE),""))</f>
        <v/>
      </c>
      <c r="M79" s="7">
        <f>IF(A79="","",IFERROR(COUNTIF($F$6:$F$115,F79),0))</f>
        <v/>
      </c>
      <c r="N79" s="26">
        <f>IF(A79="","",IFERROR(SUMIF($F$6:$F$115,F79,$I$6:$I$115),0))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>
        <f>IF(B80="","",IFERROR(VLOOKUP(B80,'F01 - _Données Retraite'!$A$6:$K$20,2,FALSE)&amp;" "&amp;VLOOKUP(B80,'F01 - _Données Retraite'!$A$6:$K$20,3,FALSE),""))</f>
        <v/>
      </c>
      <c r="M80" s="5">
        <f>IF(A80="","",IFERROR(COUNTIF($F$6:$F$115,F80),0))</f>
        <v/>
      </c>
      <c r="N80" s="25">
        <f>IF(A80="","",IFERROR(SUMIF($F$6:$F$115,F80,$I$6:$I$115),0))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>
        <f>IF(B81="","",IFERROR(VLOOKUP(B81,'F01 - _Données Retraite'!$A$6:$K$20,2,FALSE)&amp;" "&amp;VLOOKUP(B81,'F01 - _Données Retraite'!$A$6:$K$20,3,FALSE),""))</f>
        <v/>
      </c>
      <c r="M81" s="7">
        <f>IF(A81="","",IFERROR(COUNTIF($F$6:$F$115,F81),0))</f>
        <v/>
      </c>
      <c r="N81" s="26">
        <f>IF(A81="","",IFERROR(SUMIF($F$6:$F$115,F81,$I$6:$I$115),0))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>
        <f>IF(B82="","",IFERROR(VLOOKUP(B82,'F01 - _Données Retraite'!$A$6:$K$20,2,FALSE)&amp;" "&amp;VLOOKUP(B82,'F01 - _Données Retraite'!$A$6:$K$20,3,FALSE),""))</f>
        <v/>
      </c>
      <c r="M82" s="5">
        <f>IF(A82="","",IFERROR(COUNTIF($F$6:$F$115,F82),0))</f>
        <v/>
      </c>
      <c r="N82" s="25">
        <f>IF(A82="","",IFERROR(SUMIF($F$6:$F$115,F82,$I$6:$I$115),0))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>
        <f>IF(B83="","",IFERROR(VLOOKUP(B83,'F01 - _Données Retraite'!$A$6:$K$20,2,FALSE)&amp;" "&amp;VLOOKUP(B83,'F01 - _Données Retraite'!$A$6:$K$20,3,FALSE),""))</f>
        <v/>
      </c>
      <c r="M83" s="7">
        <f>IF(A83="","",IFERROR(COUNTIF($F$6:$F$115,F83),0))</f>
        <v/>
      </c>
      <c r="N83" s="26">
        <f>IF(A83="","",IFERROR(SUMIF($F$6:$F$115,F83,$I$6:$I$115),0))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>
        <f>IF(B84="","",IFERROR(VLOOKUP(B84,'F01 - _Données Retraite'!$A$6:$K$20,2,FALSE)&amp;" "&amp;VLOOKUP(B84,'F01 - _Données Retraite'!$A$6:$K$20,3,FALSE),""))</f>
        <v/>
      </c>
      <c r="M84" s="5">
        <f>IF(A84="","",IFERROR(COUNTIF($F$6:$F$115,F84),0))</f>
        <v/>
      </c>
      <c r="N84" s="25">
        <f>IF(A84="","",IFERROR(SUMIF($F$6:$F$115,F84,$I$6:$I$115),0))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>
        <f>IF(B85="","",IFERROR(VLOOKUP(B85,'F01 - _Données Retraite'!$A$6:$K$20,2,FALSE)&amp;" "&amp;VLOOKUP(B85,'F01 - _Données Retraite'!$A$6:$K$20,3,FALSE),""))</f>
        <v/>
      </c>
      <c r="M85" s="7">
        <f>IF(A85="","",IFERROR(COUNTIF($F$6:$F$115,F85),0))</f>
        <v/>
      </c>
      <c r="N85" s="26">
        <f>IF(A85="","",IFERROR(SUMIF($F$6:$F$115,F85,$I$6:$I$115),0))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>
        <f>IF(B86="","",IFERROR(VLOOKUP(B86,'F01 - _Données Retraite'!$A$6:$K$20,2,FALSE)&amp;" "&amp;VLOOKUP(B86,'F01 - _Données Retraite'!$A$6:$K$20,3,FALSE),""))</f>
        <v/>
      </c>
      <c r="M86" s="5">
        <f>IF(A86="","",IFERROR(COUNTIF($F$6:$F$115,F86),0))</f>
        <v/>
      </c>
      <c r="N86" s="25">
        <f>IF(A86="","",IFERROR(SUMIF($F$6:$F$115,F86,$I$6:$I$115),0))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>
        <f>IF(B87="","",IFERROR(VLOOKUP(B87,'F01 - _Données Retraite'!$A$6:$K$20,2,FALSE)&amp;" "&amp;VLOOKUP(B87,'F01 - _Données Retraite'!$A$6:$K$20,3,FALSE),""))</f>
        <v/>
      </c>
      <c r="M87" s="7">
        <f>IF(A87="","",IFERROR(COUNTIF($F$6:$F$115,F87),0))</f>
        <v/>
      </c>
      <c r="N87" s="26">
        <f>IF(A87="","",IFERROR(SUMIF($F$6:$F$115,F87,$I$6:$I$115),0))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>
        <f>IF(B88="","",IFERROR(VLOOKUP(B88,'F01 - _Données Retraite'!$A$6:$K$20,2,FALSE)&amp;" "&amp;VLOOKUP(B88,'F01 - _Données Retraite'!$A$6:$K$20,3,FALSE),""))</f>
        <v/>
      </c>
      <c r="M88" s="5">
        <f>IF(A88="","",IFERROR(COUNTIF($F$6:$F$115,F88),0))</f>
        <v/>
      </c>
      <c r="N88" s="25">
        <f>IF(A88="","",IFERROR(SUMIF($F$6:$F$115,F88,$I$6:$I$115),0))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>
        <f>IF(B89="","",IFERROR(VLOOKUP(B89,'F01 - _Données Retraite'!$A$6:$K$20,2,FALSE)&amp;" "&amp;VLOOKUP(B89,'F01 - _Données Retraite'!$A$6:$K$20,3,FALSE),""))</f>
        <v/>
      </c>
      <c r="M89" s="7">
        <f>IF(A89="","",IFERROR(COUNTIF($F$6:$F$115,F89),0))</f>
        <v/>
      </c>
      <c r="N89" s="26">
        <f>IF(A89="","",IFERROR(SUMIF($F$6:$F$115,F89,$I$6:$I$115),0))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>
        <f>IF(B90="","",IFERROR(VLOOKUP(B90,'F01 - _Données Retraite'!$A$6:$K$20,2,FALSE)&amp;" "&amp;VLOOKUP(B90,'F01 - _Données Retraite'!$A$6:$K$20,3,FALSE),""))</f>
        <v/>
      </c>
      <c r="M90" s="5">
        <f>IF(A90="","",IFERROR(COUNTIF($F$6:$F$115,F90),0))</f>
        <v/>
      </c>
      <c r="N90" s="25">
        <f>IF(A90="","",IFERROR(SUMIF($F$6:$F$115,F90,$I$6:$I$115),0))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>
        <f>IF(B91="","",IFERROR(VLOOKUP(B91,'F01 - _Données Retraite'!$A$6:$K$20,2,FALSE)&amp;" "&amp;VLOOKUP(B91,'F01 - _Données Retraite'!$A$6:$K$20,3,FALSE),""))</f>
        <v/>
      </c>
      <c r="M91" s="7">
        <f>IF(A91="","",IFERROR(COUNTIF($F$6:$F$115,F91),0))</f>
        <v/>
      </c>
      <c r="N91" s="26">
        <f>IF(A91="","",IFERROR(SUMIF($F$6:$F$115,F91,$I$6:$I$115),0))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>
        <f>IF(B92="","",IFERROR(VLOOKUP(B92,'F01 - _Données Retraite'!$A$6:$K$20,2,FALSE)&amp;" "&amp;VLOOKUP(B92,'F01 - _Données Retraite'!$A$6:$K$20,3,FALSE),""))</f>
        <v/>
      </c>
      <c r="M92" s="5">
        <f>IF(A92="","",IFERROR(COUNTIF($F$6:$F$115,F92),0))</f>
        <v/>
      </c>
      <c r="N92" s="25">
        <f>IF(A92="","",IFERROR(SUMIF($F$6:$F$115,F92,$I$6:$I$115),0))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>
        <f>IF(B93="","",IFERROR(VLOOKUP(B93,'F01 - _Données Retraite'!$A$6:$K$20,2,FALSE)&amp;" "&amp;VLOOKUP(B93,'F01 - _Données Retraite'!$A$6:$K$20,3,FALSE),""))</f>
        <v/>
      </c>
      <c r="M93" s="7">
        <f>IF(A93="","",IFERROR(COUNTIF($F$6:$F$115,F93),0))</f>
        <v/>
      </c>
      <c r="N93" s="26">
        <f>IF(A93="","",IFERROR(SUMIF($F$6:$F$115,F93,$I$6:$I$115),0))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>
        <f>IF(B94="","",IFERROR(VLOOKUP(B94,'F01 - _Données Retraite'!$A$6:$K$20,2,FALSE)&amp;" "&amp;VLOOKUP(B94,'F01 - _Données Retraite'!$A$6:$K$20,3,FALSE),""))</f>
        <v/>
      </c>
      <c r="M94" s="5">
        <f>IF(A94="","",IFERROR(COUNTIF($F$6:$F$115,F94),0))</f>
        <v/>
      </c>
      <c r="N94" s="25">
        <f>IF(A94="","",IFERROR(SUMIF($F$6:$F$115,F94,$I$6:$I$115),0))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>
        <f>IF(B95="","",IFERROR(VLOOKUP(B95,'F01 - _Données Retraite'!$A$6:$K$20,2,FALSE)&amp;" "&amp;VLOOKUP(B95,'F01 - _Données Retraite'!$A$6:$K$20,3,FALSE),""))</f>
        <v/>
      </c>
      <c r="M95" s="7">
        <f>IF(A95="","",IFERROR(COUNTIF($F$6:$F$115,F95),0))</f>
        <v/>
      </c>
      <c r="N95" s="26">
        <f>IF(A95="","",IFERROR(SUMIF($F$6:$F$115,F95,$I$6:$I$115),0))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>
        <f>IF(B96="","",IFERROR(VLOOKUP(B96,'F01 - _Données Retraite'!$A$6:$K$20,2,FALSE)&amp;" "&amp;VLOOKUP(B96,'F01 - _Données Retraite'!$A$6:$K$20,3,FALSE),""))</f>
        <v/>
      </c>
      <c r="M96" s="5">
        <f>IF(A96="","",IFERROR(COUNTIF($F$6:$F$115,F96),0))</f>
        <v/>
      </c>
      <c r="N96" s="25">
        <f>IF(A96="","",IFERROR(SUMIF($F$6:$F$115,F96,$I$6:$I$115),0))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>
        <f>IF(B97="","",IFERROR(VLOOKUP(B97,'F01 - _Données Retraite'!$A$6:$K$20,2,FALSE)&amp;" "&amp;VLOOKUP(B97,'F01 - _Données Retraite'!$A$6:$K$20,3,FALSE),""))</f>
        <v/>
      </c>
      <c r="M97" s="7">
        <f>IF(A97="","",IFERROR(COUNTIF($F$6:$F$115,F97),0))</f>
        <v/>
      </c>
      <c r="N97" s="26">
        <f>IF(A97="","",IFERROR(SUMIF($F$6:$F$115,F97,$I$6:$I$115),0))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>
        <f>IF(B98="","",IFERROR(VLOOKUP(B98,'F01 - _Données Retraite'!$A$6:$K$20,2,FALSE)&amp;" "&amp;VLOOKUP(B98,'F01 - _Données Retraite'!$A$6:$K$20,3,FALSE),""))</f>
        <v/>
      </c>
      <c r="M98" s="5">
        <f>IF(A98="","",IFERROR(COUNTIF($F$6:$F$115,F98),0))</f>
        <v/>
      </c>
      <c r="N98" s="25">
        <f>IF(A98="","",IFERROR(SUMIF($F$6:$F$115,F98,$I$6:$I$115),0))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>
        <f>IF(B99="","",IFERROR(VLOOKUP(B99,'F01 - _Données Retraite'!$A$6:$K$20,2,FALSE)&amp;" "&amp;VLOOKUP(B99,'F01 - _Données Retraite'!$A$6:$K$20,3,FALSE),""))</f>
        <v/>
      </c>
      <c r="M99" s="7">
        <f>IF(A99="","",IFERROR(COUNTIF($F$6:$F$115,F99),0))</f>
        <v/>
      </c>
      <c r="N99" s="26">
        <f>IF(A99="","",IFERROR(SUMIF($F$6:$F$115,F99,$I$6:$I$115),0))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>
        <f>IF(B100="","",IFERROR(VLOOKUP(B100,'F01 - _Données Retraite'!$A$6:$K$20,2,FALSE)&amp;" "&amp;VLOOKUP(B100,'F01 - _Données Retraite'!$A$6:$K$20,3,FALSE),""))</f>
        <v/>
      </c>
      <c r="M100" s="5">
        <f>IF(A100="","",IFERROR(COUNTIF($F$6:$F$115,F100),0))</f>
        <v/>
      </c>
      <c r="N100" s="25">
        <f>IF(A100="","",IFERROR(SUMIF($F$6:$F$115,F100,$I$6:$I$115),0))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>
        <f>IF(B101="","",IFERROR(VLOOKUP(B101,'F01 - _Données Retraite'!$A$6:$K$20,2,FALSE)&amp;" "&amp;VLOOKUP(B101,'F01 - _Données Retraite'!$A$6:$K$20,3,FALSE),""))</f>
        <v/>
      </c>
      <c r="M101" s="7">
        <f>IF(A101="","",IFERROR(COUNTIF($F$6:$F$115,F101),0))</f>
        <v/>
      </c>
      <c r="N101" s="26">
        <f>IF(A101="","",IFERROR(SUMIF($F$6:$F$115,F101,$I$6:$I$115),0))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>
        <f>IF(B102="","",IFERROR(VLOOKUP(B102,'F01 - _Données Retraite'!$A$6:$K$20,2,FALSE)&amp;" "&amp;VLOOKUP(B102,'F01 - _Données Retraite'!$A$6:$K$20,3,FALSE),""))</f>
        <v/>
      </c>
      <c r="M102" s="5">
        <f>IF(A102="","",IFERROR(COUNTIF($F$6:$F$115,F102),0))</f>
        <v/>
      </c>
      <c r="N102" s="25">
        <f>IF(A102="","",IFERROR(SUMIF($F$6:$F$115,F102,$I$6:$I$115),0))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>
        <f>IF(B103="","",IFERROR(VLOOKUP(B103,'F01 - _Données Retraite'!$A$6:$K$20,2,FALSE)&amp;" "&amp;VLOOKUP(B103,'F01 - _Données Retraite'!$A$6:$K$20,3,FALSE),""))</f>
        <v/>
      </c>
      <c r="M103" s="7">
        <f>IF(A103="","",IFERROR(COUNTIF($F$6:$F$115,F103),0))</f>
        <v/>
      </c>
      <c r="N103" s="26">
        <f>IF(A103="","",IFERROR(SUMIF($F$6:$F$115,F103,$I$6:$I$115),0))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>
        <f>IF(B104="","",IFERROR(VLOOKUP(B104,'F01 - _Données Retraite'!$A$6:$K$20,2,FALSE)&amp;" "&amp;VLOOKUP(B104,'F01 - _Données Retraite'!$A$6:$K$20,3,FALSE),""))</f>
        <v/>
      </c>
      <c r="M104" s="5">
        <f>IF(A104="","",IFERROR(COUNTIF($F$6:$F$115,F104),0))</f>
        <v/>
      </c>
      <c r="N104" s="25">
        <f>IF(A104="","",IFERROR(SUMIF($F$6:$F$115,F104,$I$6:$I$115),0))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>
        <f>IF(B105="","",IFERROR(VLOOKUP(B105,'F01 - _Données Retraite'!$A$6:$K$20,2,FALSE)&amp;" "&amp;VLOOKUP(B105,'F01 - _Données Retraite'!$A$6:$K$20,3,FALSE),""))</f>
        <v/>
      </c>
      <c r="M105" s="7">
        <f>IF(A105="","",IFERROR(COUNTIF($F$6:$F$115,F105),0))</f>
        <v/>
      </c>
      <c r="N105" s="26">
        <f>IF(A105="","",IFERROR(SUMIF($F$6:$F$115,F105,$I$6:$I$115),0))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>
        <f>IF(B106="","",IFERROR(VLOOKUP(B106,'F01 - _Données Retraite'!$A$6:$K$20,2,FALSE)&amp;" "&amp;VLOOKUP(B106,'F01 - _Données Retraite'!$A$6:$K$20,3,FALSE),""))</f>
        <v/>
      </c>
      <c r="M106" s="5">
        <f>IF(A106="","",IFERROR(COUNTIF($F$6:$F$115,F106),0))</f>
        <v/>
      </c>
      <c r="N106" s="25">
        <f>IF(A106="","",IFERROR(SUMIF($F$6:$F$115,F106,$I$6:$I$115),0))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>
        <f>IF(B107="","",IFERROR(VLOOKUP(B107,'F01 - _Données Retraite'!$A$6:$K$20,2,FALSE)&amp;" "&amp;VLOOKUP(B107,'F01 - _Données Retraite'!$A$6:$K$20,3,FALSE),""))</f>
        <v/>
      </c>
      <c r="M107" s="7">
        <f>IF(A107="","",IFERROR(COUNTIF($F$6:$F$115,F107),0))</f>
        <v/>
      </c>
      <c r="N107" s="26">
        <f>IF(A107="","",IFERROR(SUMIF($F$6:$F$115,F107,$I$6:$I$115),0))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>
        <f>IF(B108="","",IFERROR(VLOOKUP(B108,'F01 - _Données Retraite'!$A$6:$K$20,2,FALSE)&amp;" "&amp;VLOOKUP(B108,'F01 - _Données Retraite'!$A$6:$K$20,3,FALSE),""))</f>
        <v/>
      </c>
      <c r="M108" s="5">
        <f>IF(A108="","",IFERROR(COUNTIF($F$6:$F$115,F108),0))</f>
        <v/>
      </c>
      <c r="N108" s="25">
        <f>IF(A108="","",IFERROR(SUMIF($F$6:$F$115,F108,$I$6:$I$115),0))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>
        <f>IF(B109="","",IFERROR(VLOOKUP(B109,'F01 - _Données Retraite'!$A$6:$K$20,2,FALSE)&amp;" "&amp;VLOOKUP(B109,'F01 - _Données Retraite'!$A$6:$K$20,3,FALSE),""))</f>
        <v/>
      </c>
      <c r="M109" s="7">
        <f>IF(A109="","",IFERROR(COUNTIF($F$6:$F$115,F109),0))</f>
        <v/>
      </c>
      <c r="N109" s="26">
        <f>IF(A109="","",IFERROR(SUMIF($F$6:$F$115,F109,$I$6:$I$115),0))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>
        <f>IF(B110="","",IFERROR(VLOOKUP(B110,'F01 - _Données Retraite'!$A$6:$K$20,2,FALSE)&amp;" "&amp;VLOOKUP(B110,'F01 - _Données Retraite'!$A$6:$K$20,3,FALSE),""))</f>
        <v/>
      </c>
      <c r="M110" s="5">
        <f>IF(A110="","",IFERROR(COUNTIF($F$6:$F$115,F110),0))</f>
        <v/>
      </c>
      <c r="N110" s="25">
        <f>IF(A110="","",IFERROR(SUMIF($F$6:$F$115,F110,$I$6:$I$115),0))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>
        <f>IF(B111="","",IFERROR(VLOOKUP(B111,'F01 - _Données Retraite'!$A$6:$K$20,2,FALSE)&amp;" "&amp;VLOOKUP(B111,'F01 - _Données Retraite'!$A$6:$K$20,3,FALSE),""))</f>
        <v/>
      </c>
      <c r="M111" s="7">
        <f>IF(A111="","",IFERROR(COUNTIF($F$6:$F$115,F111),0))</f>
        <v/>
      </c>
      <c r="N111" s="26">
        <f>IF(A111="","",IFERROR(SUMIF($F$6:$F$115,F111,$I$6:$I$115),0))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>
        <f>IF(B112="","",IFERROR(VLOOKUP(B112,'F01 - _Données Retraite'!$A$6:$K$20,2,FALSE)&amp;" "&amp;VLOOKUP(B112,'F01 - _Données Retraite'!$A$6:$K$20,3,FALSE),""))</f>
        <v/>
      </c>
      <c r="M112" s="5">
        <f>IF(A112="","",IFERROR(COUNTIF($F$6:$F$115,F112),0))</f>
        <v/>
      </c>
      <c r="N112" s="25">
        <f>IF(A112="","",IFERROR(SUMIF($F$6:$F$115,F112,$I$6:$I$115),0))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>
        <f>IF(B113="","",IFERROR(VLOOKUP(B113,'F01 - _Données Retraite'!$A$6:$K$20,2,FALSE)&amp;" "&amp;VLOOKUP(B113,'F01 - _Données Retraite'!$A$6:$K$20,3,FALSE),""))</f>
        <v/>
      </c>
      <c r="M113" s="7">
        <f>IF(A113="","",IFERROR(COUNTIF($F$6:$F$115,F113),0))</f>
        <v/>
      </c>
      <c r="N113" s="26">
        <f>IF(A113="","",IFERROR(SUMIF($F$6:$F$115,F113,$I$6:$I$115),0))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>
        <f>IF(B114="","",IFERROR(VLOOKUP(B114,'F01 - _Données Retraite'!$A$6:$K$20,2,FALSE)&amp;" "&amp;VLOOKUP(B114,'F01 - _Données Retraite'!$A$6:$K$20,3,FALSE),""))</f>
        <v/>
      </c>
      <c r="M114" s="5">
        <f>IF(A114="","",IFERROR(COUNTIF($F$6:$F$115,F114),0))</f>
        <v/>
      </c>
      <c r="N114" s="25">
        <f>IF(A114="","",IFERROR(SUMIF($F$6:$F$115,F114,$I$6:$I$115),0))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>
        <f>IF(B115="","",IFERROR(VLOOKUP(B115,'F01 - _Données Retraite'!$A$6:$K$20,2,FALSE)&amp;" "&amp;VLOOKUP(B115,'F01 - _Données Retraite'!$A$6:$K$20,3,FALSE),""))</f>
        <v/>
      </c>
      <c r="M115" s="7">
        <f>IF(A115="","",IFERROR(COUNTIF($F$6:$F$115,F115),0))</f>
        <v/>
      </c>
      <c r="N115" s="26">
        <f>IF(A115="","",IFERROR(SUMIF($F$6:$F$115,F115,$I$6:$I$115),0))</f>
        <v/>
      </c>
    </row>
  </sheetData>
  <mergeCells count="2">
    <mergeCell ref="A3:N3"/>
    <mergeCell ref="A2:N2"/>
  </mergeCells>
  <dataValidations count="2">
    <dataValidation sqref="F6:F115" showDropDown="0" showInputMessage="0" showErrorMessage="0" allowBlank="1" errorTitle="Erreur" error="Valeur invalide" promptTitle="" prompt="Choisir dans la liste: " type="list">
      <formula1>'F02 - _Lists'!$H$6:$H$12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_Lists'!$E$6:$E$14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16" customWidth="1" min="5" max="5"/>
    <col width="16" customWidth="1" min="6" max="6"/>
    <col width="14" customWidth="1" min="7" max="7"/>
    <col width="18" customWidth="1" min="8" max="8"/>
    <col width="1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14-CALENDRIER DES TRANSITIONS ET ÉCHÉANCES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Échéance</t>
        </is>
      </c>
      <c r="B5" s="4" t="inlineStr">
        <is>
          <t>Matricule</t>
        </is>
      </c>
      <c r="C5" s="4" t="inlineStr">
        <is>
          <t>Type Événement</t>
        </is>
      </c>
      <c r="D5" s="4" t="inlineStr">
        <is>
          <t>Description</t>
        </is>
      </c>
      <c r="E5" s="4" t="inlineStr">
        <is>
          <t>Date Échéance</t>
        </is>
      </c>
      <c r="F5" s="4" t="inlineStr">
        <is>
          <t>Jours Restants</t>
        </is>
      </c>
      <c r="G5" s="4" t="inlineStr">
        <is>
          <t>Priorité</t>
        </is>
      </c>
      <c r="H5" s="4" t="inlineStr">
        <is>
          <t>Responsable</t>
        </is>
      </c>
      <c r="I5" s="4" t="inlineStr">
        <is>
          <t>Statut</t>
        </is>
      </c>
      <c r="J5" s="4" t="inlineStr">
        <is>
          <t>Action Requise</t>
        </is>
      </c>
      <c r="K5" s="4" t="inlineStr">
        <is>
          <t>Cout Estimé (FCFA)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ECH-001</t>
        </is>
      </c>
      <c r="B6" s="5" t="inlineStr">
        <is>
          <t>RET-001</t>
        </is>
      </c>
      <c r="C6" s="5" t="inlineStr">
        <is>
          <t>Départ retraite</t>
        </is>
      </c>
      <c r="D6" s="5" t="inlineStr">
        <is>
          <t>Fin de contrat - retraite normale</t>
        </is>
      </c>
      <c r="E6" s="19" t="n">
        <v>45838</v>
      </c>
      <c r="F6" s="21">
        <f>IF(E6="","",IFERROR(E6-TODAY(),""))</f>
        <v/>
      </c>
      <c r="G6" s="5" t="inlineStr">
        <is>
          <t>Haute</t>
        </is>
      </c>
      <c r="H6" s="5" t="inlineStr">
        <is>
          <t>Resp. Retraites</t>
        </is>
      </c>
      <c r="I6" s="5" t="inlineStr">
        <is>
          <t>En cours</t>
        </is>
      </c>
      <c r="J6" s="5" t="inlineStr">
        <is>
          <t>Dossier finalisation</t>
        </is>
      </c>
      <c r="K6" s="22" t="n">
        <v>150000</v>
      </c>
      <c r="L6" s="5" t="inlineStr"/>
      <c r="M6" s="5">
        <f>IF(B6="","",IFERROR(VLOOKUP(B6,'F01 - _Données Retraite'!$A$6:$K$20,2,FALSE)&amp;" "&amp;VLOOKUP(B6,'F01 - _Données Retraite'!$A$6:$K$20,3,FALSE),""))</f>
        <v/>
      </c>
      <c r="N6" s="25">
        <f>IF(B6="","",IFERROR(SUMIF($B$6:$B$115,B6,$K$6:$K$115),0))</f>
        <v/>
      </c>
    </row>
    <row r="7" ht="22" customHeight="1">
      <c r="A7" s="7" t="inlineStr">
        <is>
          <t>ECH-002</t>
        </is>
      </c>
      <c r="B7" s="7" t="inlineStr">
        <is>
          <t>RET-002</t>
        </is>
      </c>
      <c r="C7" s="7" t="inlineStr">
        <is>
          <t>Entretien pré-retraite</t>
        </is>
      </c>
      <c r="D7" s="7" t="inlineStr">
        <is>
          <t>Bilan de fin de carrière</t>
        </is>
      </c>
      <c r="E7" s="20" t="n">
        <v>45901</v>
      </c>
      <c r="F7" s="23">
        <f>IF(E7="","",IFERROR(E7-TODAY(),""))</f>
        <v/>
      </c>
      <c r="G7" s="7" t="inlineStr">
        <is>
          <t>Moyenne</t>
        </is>
      </c>
      <c r="H7" s="7" t="inlineStr">
        <is>
          <t>DRH</t>
        </is>
      </c>
      <c r="I7" s="7" t="inlineStr">
        <is>
          <t>Planifié</t>
        </is>
      </c>
      <c r="J7" s="7" t="inlineStr">
        <is>
          <t>Planification entretien</t>
        </is>
      </c>
      <c r="K7" s="24" t="n">
        <v>0</v>
      </c>
      <c r="L7" s="7" t="inlineStr"/>
      <c r="M7" s="7">
        <f>IF(B7="","",IFERROR(VLOOKUP(B7,'F01 - _Données Retraite'!$A$6:$K$20,2,FALSE)&amp;" "&amp;VLOOKUP(B7,'F01 - _Données Retraite'!$A$6:$K$20,3,FALSE),""))</f>
        <v/>
      </c>
      <c r="N7" s="26">
        <f>IF(B7="","",IFERROR(SUMIF($B$6:$B$115,B7,$K$6:$K$115),0))</f>
        <v/>
      </c>
    </row>
    <row r="8" ht="22" customHeight="1">
      <c r="A8" s="5" t="inlineStr">
        <is>
          <t>ECH-003</t>
        </is>
      </c>
      <c r="B8" s="5" t="inlineStr">
        <is>
          <t>RET-005</t>
        </is>
      </c>
      <c r="C8" s="5" t="inlineStr">
        <is>
          <t>Renouvellement visa</t>
        </is>
      </c>
      <c r="D8" s="5" t="inlineStr">
        <is>
          <t>Prolongation séjour travailleur étranger</t>
        </is>
      </c>
      <c r="E8" s="19" t="n">
        <v>46006</v>
      </c>
      <c r="F8" s="21">
        <f>IF(E8="","",IFERROR(E8-TODAY(),""))</f>
        <v/>
      </c>
      <c r="G8" s="5" t="inlineStr">
        <is>
          <t>Haute</t>
        </is>
      </c>
      <c r="H8" s="5" t="inlineStr">
        <is>
          <t>Juridique</t>
        </is>
      </c>
      <c r="I8" s="5" t="inlineStr">
        <is>
          <t>En attente</t>
        </is>
      </c>
      <c r="J8" s="5" t="inlineStr">
        <is>
          <t>Renouvellement</t>
        </is>
      </c>
      <c r="K8" s="22" t="n">
        <v>180000</v>
      </c>
      <c r="L8" s="5" t="inlineStr"/>
      <c r="M8" s="5">
        <f>IF(B8="","",IFERROR(VLOOKUP(B8,'F01 - _Données Retraite'!$A$6:$K$20,2,FALSE)&amp;" "&amp;VLOOKUP(B8,'F01 - _Données Retraite'!$A$6:$K$20,3,FALSE),""))</f>
        <v/>
      </c>
      <c r="N8" s="25">
        <f>IF(B8="","",IFERROR(SUMIF($B$6:$B$115,B8,$K$6:$K$115),0))</f>
        <v/>
      </c>
    </row>
    <row r="9" ht="22" customHeight="1">
      <c r="A9" s="7" t="n"/>
      <c r="B9" s="7" t="n"/>
      <c r="C9" s="7" t="n"/>
      <c r="D9" s="7" t="n"/>
      <c r="E9" s="7" t="n"/>
      <c r="F9" s="23">
        <f>IF(E9="","",IFERROR(E9-TODAY(),""))</f>
        <v/>
      </c>
      <c r="G9" s="7" t="n"/>
      <c r="H9" s="7" t="n"/>
      <c r="I9" s="7" t="n"/>
      <c r="J9" s="7" t="n"/>
      <c r="K9" s="7" t="n"/>
      <c r="L9" s="7" t="n"/>
      <c r="M9" s="7">
        <f>IF(B9="","",IFERROR(VLOOKUP(B9,'F01 - _Données Retraite'!$A$6:$K$20,2,FALSE)&amp;" "&amp;VLOOKUP(B9,'F01 - _Données Retraite'!$A$6:$K$20,3,FALSE),""))</f>
        <v/>
      </c>
      <c r="N9" s="26">
        <f>IF(B9="","",IFERROR(SUMIF($B$6:$B$115,B9,$K$6:$K$115),0))</f>
        <v/>
      </c>
    </row>
    <row r="10" ht="22" customHeight="1">
      <c r="A10" s="5" t="n"/>
      <c r="B10" s="5" t="n"/>
      <c r="C10" s="5" t="n"/>
      <c r="D10" s="5" t="n"/>
      <c r="E10" s="5" t="n"/>
      <c r="F10" s="21">
        <f>IF(E10="","",IFERROR(E10-TODAY(),""))</f>
        <v/>
      </c>
      <c r="G10" s="5" t="n"/>
      <c r="H10" s="5" t="n"/>
      <c r="I10" s="5" t="n"/>
      <c r="J10" s="5" t="n"/>
      <c r="K10" s="5" t="n"/>
      <c r="L10" s="5" t="n"/>
      <c r="M10" s="5">
        <f>IF(B10="","",IFERROR(VLOOKUP(B10,'F01 - _Données Retraite'!$A$6:$K$20,2,FALSE)&amp;" "&amp;VLOOKUP(B10,'F01 - _Données Retraite'!$A$6:$K$20,3,FALSE),""))</f>
        <v/>
      </c>
      <c r="N10" s="25">
        <f>IF(B10="","",IFERROR(SUMIF($B$6:$B$115,B10,$K$6:$K$115),0))</f>
        <v/>
      </c>
    </row>
    <row r="11" ht="22" customHeight="1">
      <c r="A11" s="7" t="n"/>
      <c r="B11" s="7" t="n"/>
      <c r="C11" s="7" t="n"/>
      <c r="D11" s="7" t="n"/>
      <c r="E11" s="7" t="n"/>
      <c r="F11" s="23">
        <f>IF(E11="","",IFERROR(E11-TODAY(),""))</f>
        <v/>
      </c>
      <c r="G11" s="7" t="n"/>
      <c r="H11" s="7" t="n"/>
      <c r="I11" s="7" t="n"/>
      <c r="J11" s="7" t="n"/>
      <c r="K11" s="7" t="n"/>
      <c r="L11" s="7" t="n"/>
      <c r="M11" s="7">
        <f>IF(B11="","",IFERROR(VLOOKUP(B11,'F01 - _Données Retraite'!$A$6:$K$20,2,FALSE)&amp;" "&amp;VLOOKUP(B11,'F01 - _Données Retraite'!$A$6:$K$20,3,FALSE),""))</f>
        <v/>
      </c>
      <c r="N11" s="26">
        <f>IF(B11="","",IFERROR(SUMIF($B$6:$B$115,B11,$K$6:$K$115),0))</f>
        <v/>
      </c>
    </row>
    <row r="12" ht="22" customHeight="1">
      <c r="A12" s="5" t="n"/>
      <c r="B12" s="5" t="n"/>
      <c r="C12" s="5" t="n"/>
      <c r="D12" s="5" t="n"/>
      <c r="E12" s="5" t="n"/>
      <c r="F12" s="21">
        <f>IF(E12="","",IFERROR(E12-TODAY(),""))</f>
        <v/>
      </c>
      <c r="G12" s="5" t="n"/>
      <c r="H12" s="5" t="n"/>
      <c r="I12" s="5" t="n"/>
      <c r="J12" s="5" t="n"/>
      <c r="K12" s="5" t="n"/>
      <c r="L12" s="5" t="n"/>
      <c r="M12" s="5">
        <f>IF(B12="","",IFERROR(VLOOKUP(B12,'F01 - _Données Retraite'!$A$6:$K$20,2,FALSE)&amp;" "&amp;VLOOKUP(B12,'F01 - _Données Retraite'!$A$6:$K$20,3,FALSE),""))</f>
        <v/>
      </c>
      <c r="N12" s="25">
        <f>IF(B12="","",IFERROR(SUMIF($B$6:$B$115,B12,$K$6:$K$115),0))</f>
        <v/>
      </c>
    </row>
    <row r="13" ht="22" customHeight="1">
      <c r="A13" s="7" t="n"/>
      <c r="B13" s="7" t="n"/>
      <c r="C13" s="7" t="n"/>
      <c r="D13" s="7" t="n"/>
      <c r="E13" s="7" t="n"/>
      <c r="F13" s="23">
        <f>IF(E13="","",IFERROR(E13-TODAY(),""))</f>
        <v/>
      </c>
      <c r="G13" s="7" t="n"/>
      <c r="H13" s="7" t="n"/>
      <c r="I13" s="7" t="n"/>
      <c r="J13" s="7" t="n"/>
      <c r="K13" s="7" t="n"/>
      <c r="L13" s="7" t="n"/>
      <c r="M13" s="7">
        <f>IF(B13="","",IFERROR(VLOOKUP(B13,'F01 - _Données Retraite'!$A$6:$K$20,2,FALSE)&amp;" "&amp;VLOOKUP(B13,'F01 - _Données Retraite'!$A$6:$K$20,3,FALSE),""))</f>
        <v/>
      </c>
      <c r="N13" s="26">
        <f>IF(B13="","",IFERROR(SUMIF($B$6:$B$115,B13,$K$6:$K$115),0))</f>
        <v/>
      </c>
    </row>
    <row r="14" ht="22" customHeight="1">
      <c r="A14" s="5" t="n"/>
      <c r="B14" s="5" t="n"/>
      <c r="C14" s="5" t="n"/>
      <c r="D14" s="5" t="n"/>
      <c r="E14" s="5" t="n"/>
      <c r="F14" s="21">
        <f>IF(E14="","",IFERROR(E14-TODAY(),""))</f>
        <v/>
      </c>
      <c r="G14" s="5" t="n"/>
      <c r="H14" s="5" t="n"/>
      <c r="I14" s="5" t="n"/>
      <c r="J14" s="5" t="n"/>
      <c r="K14" s="5" t="n"/>
      <c r="L14" s="5" t="n"/>
      <c r="M14" s="5">
        <f>IF(B14="","",IFERROR(VLOOKUP(B14,'F01 - _Données Retraite'!$A$6:$K$20,2,FALSE)&amp;" "&amp;VLOOKUP(B14,'F01 - _Données Retraite'!$A$6:$K$20,3,FALSE),""))</f>
        <v/>
      </c>
      <c r="N14" s="25">
        <f>IF(B14="","",IFERROR(SUMIF($B$6:$B$115,B14,$K$6:$K$115),0))</f>
        <v/>
      </c>
    </row>
    <row r="15" ht="22" customHeight="1">
      <c r="A15" s="7" t="n"/>
      <c r="B15" s="7" t="n"/>
      <c r="C15" s="7" t="n"/>
      <c r="D15" s="7" t="n"/>
      <c r="E15" s="7" t="n"/>
      <c r="F15" s="23">
        <f>IF(E15="","",IFERROR(E15-TODAY(),""))</f>
        <v/>
      </c>
      <c r="G15" s="7" t="n"/>
      <c r="H15" s="7" t="n"/>
      <c r="I15" s="7" t="n"/>
      <c r="J15" s="7" t="n"/>
      <c r="K15" s="7" t="n"/>
      <c r="L15" s="7" t="n"/>
      <c r="M15" s="7">
        <f>IF(B15="","",IFERROR(VLOOKUP(B15,'F01 - _Données Retraite'!$A$6:$K$20,2,FALSE)&amp;" "&amp;VLOOKUP(B15,'F01 - _Données Retraite'!$A$6:$K$20,3,FALSE),""))</f>
        <v/>
      </c>
      <c r="N15" s="26">
        <f>IF(B15="","",IFERROR(SUMIF($B$6:$B$115,B15,$K$6:$K$115),0))</f>
        <v/>
      </c>
    </row>
    <row r="16" ht="22" customHeight="1">
      <c r="A16" s="5" t="n"/>
      <c r="B16" s="5" t="n"/>
      <c r="C16" s="5" t="n"/>
      <c r="D16" s="5" t="n"/>
      <c r="E16" s="5" t="n"/>
      <c r="F16" s="21">
        <f>IF(E16="","",IFERROR(E16-TODAY(),""))</f>
        <v/>
      </c>
      <c r="G16" s="5" t="n"/>
      <c r="H16" s="5" t="n"/>
      <c r="I16" s="5" t="n"/>
      <c r="J16" s="5" t="n"/>
      <c r="K16" s="5" t="n"/>
      <c r="L16" s="5" t="n"/>
      <c r="M16" s="5">
        <f>IF(B16="","",IFERROR(VLOOKUP(B16,'F01 - _Données Retraite'!$A$6:$K$20,2,FALSE)&amp;" "&amp;VLOOKUP(B16,'F01 - _Données Retraite'!$A$6:$K$20,3,FALSE),""))</f>
        <v/>
      </c>
      <c r="N16" s="25">
        <f>IF(B16="","",IFERROR(SUMIF($B$6:$B$115,B16,$K$6:$K$115),0))</f>
        <v/>
      </c>
    </row>
    <row r="17" ht="22" customHeight="1">
      <c r="A17" s="7" t="n"/>
      <c r="B17" s="7" t="n"/>
      <c r="C17" s="7" t="n"/>
      <c r="D17" s="7" t="n"/>
      <c r="E17" s="7" t="n"/>
      <c r="F17" s="23">
        <f>IF(E17="","",IFERROR(E17-TODAY(),""))</f>
        <v/>
      </c>
      <c r="G17" s="7" t="n"/>
      <c r="H17" s="7" t="n"/>
      <c r="I17" s="7" t="n"/>
      <c r="J17" s="7" t="n"/>
      <c r="K17" s="7" t="n"/>
      <c r="L17" s="7" t="n"/>
      <c r="M17" s="7">
        <f>IF(B17="","",IFERROR(VLOOKUP(B17,'F01 - _Données Retraite'!$A$6:$K$20,2,FALSE)&amp;" "&amp;VLOOKUP(B17,'F01 - _Données Retraite'!$A$6:$K$20,3,FALSE),""))</f>
        <v/>
      </c>
      <c r="N17" s="26">
        <f>IF(B17="","",IFERROR(SUMIF($B$6:$B$115,B17,$K$6:$K$115),0))</f>
        <v/>
      </c>
    </row>
    <row r="18" ht="22" customHeight="1">
      <c r="A18" s="5" t="n"/>
      <c r="B18" s="5" t="n"/>
      <c r="C18" s="5" t="n"/>
      <c r="D18" s="5" t="n"/>
      <c r="E18" s="5" t="n"/>
      <c r="F18" s="21">
        <f>IF(E18="","",IFERROR(E18-TODAY(),""))</f>
        <v/>
      </c>
      <c r="G18" s="5" t="n"/>
      <c r="H18" s="5" t="n"/>
      <c r="I18" s="5" t="n"/>
      <c r="J18" s="5" t="n"/>
      <c r="K18" s="5" t="n"/>
      <c r="L18" s="5" t="n"/>
      <c r="M18" s="5">
        <f>IF(B18="","",IFERROR(VLOOKUP(B18,'F01 - _Données Retraite'!$A$6:$K$20,2,FALSE)&amp;" "&amp;VLOOKUP(B18,'F01 - _Données Retraite'!$A$6:$K$20,3,FALSE),""))</f>
        <v/>
      </c>
      <c r="N18" s="25">
        <f>IF(B18="","",IFERROR(SUMIF($B$6:$B$115,B18,$K$6:$K$115),0))</f>
        <v/>
      </c>
    </row>
    <row r="19" ht="22" customHeight="1">
      <c r="A19" s="7" t="n"/>
      <c r="B19" s="7" t="n"/>
      <c r="C19" s="7" t="n"/>
      <c r="D19" s="7" t="n"/>
      <c r="E19" s="7" t="n"/>
      <c r="F19" s="23">
        <f>IF(E19="","",IFERROR(E19-TODAY(),""))</f>
        <v/>
      </c>
      <c r="G19" s="7" t="n"/>
      <c r="H19" s="7" t="n"/>
      <c r="I19" s="7" t="n"/>
      <c r="J19" s="7" t="n"/>
      <c r="K19" s="7" t="n"/>
      <c r="L19" s="7" t="n"/>
      <c r="M19" s="7">
        <f>IF(B19="","",IFERROR(VLOOKUP(B19,'F01 - _Données Retraite'!$A$6:$K$20,2,FALSE)&amp;" "&amp;VLOOKUP(B19,'F01 - _Données Retraite'!$A$6:$K$20,3,FALSE),""))</f>
        <v/>
      </c>
      <c r="N19" s="26">
        <f>IF(B19="","",IFERROR(SUMIF($B$6:$B$115,B19,$K$6:$K$115),0))</f>
        <v/>
      </c>
    </row>
    <row r="20" ht="22" customHeight="1">
      <c r="A20" s="5" t="n"/>
      <c r="B20" s="5" t="n"/>
      <c r="C20" s="5" t="n"/>
      <c r="D20" s="5" t="n"/>
      <c r="E20" s="5" t="n"/>
      <c r="F20" s="21">
        <f>IF(E20="","",IFERROR(E20-TODAY(),""))</f>
        <v/>
      </c>
      <c r="G20" s="5" t="n"/>
      <c r="H20" s="5" t="n"/>
      <c r="I20" s="5" t="n"/>
      <c r="J20" s="5" t="n"/>
      <c r="K20" s="5" t="n"/>
      <c r="L20" s="5" t="n"/>
      <c r="M20" s="5">
        <f>IF(B20="","",IFERROR(VLOOKUP(B20,'F01 - _Données Retraite'!$A$6:$K$20,2,FALSE)&amp;" "&amp;VLOOKUP(B20,'F01 - _Données Retraite'!$A$6:$K$20,3,FALSE),""))</f>
        <v/>
      </c>
      <c r="N20" s="25">
        <f>IF(B20="","",IFERROR(SUMIF($B$6:$B$115,B20,$K$6:$K$115),0))</f>
        <v/>
      </c>
    </row>
    <row r="21" ht="22" customHeight="1">
      <c r="A21" s="7" t="n"/>
      <c r="B21" s="7" t="n"/>
      <c r="C21" s="7" t="n"/>
      <c r="D21" s="7" t="n"/>
      <c r="E21" s="7" t="n"/>
      <c r="F21" s="23">
        <f>IF(E21="","",IFERROR(E21-TODAY(),""))</f>
        <v/>
      </c>
      <c r="G21" s="7" t="n"/>
      <c r="H21" s="7" t="n"/>
      <c r="I21" s="7" t="n"/>
      <c r="J21" s="7" t="n"/>
      <c r="K21" s="7" t="n"/>
      <c r="L21" s="7" t="n"/>
      <c r="M21" s="7">
        <f>IF(B21="","",IFERROR(VLOOKUP(B21,'F01 - _Données Retraite'!$A$6:$K$20,2,FALSE)&amp;" "&amp;VLOOKUP(B21,'F01 - _Données Retraite'!$A$6:$K$20,3,FALSE),""))</f>
        <v/>
      </c>
      <c r="N21" s="26">
        <f>IF(B21="","",IFERROR(SUMIF($B$6:$B$115,B21,$K$6:$K$115),0))</f>
        <v/>
      </c>
    </row>
    <row r="22" ht="22" customHeight="1">
      <c r="A22" s="5" t="n"/>
      <c r="B22" s="5" t="n"/>
      <c r="C22" s="5" t="n"/>
      <c r="D22" s="5" t="n"/>
      <c r="E22" s="5" t="n"/>
      <c r="F22" s="21">
        <f>IF(E22="","",IFERROR(E22-TODAY(),""))</f>
        <v/>
      </c>
      <c r="G22" s="5" t="n"/>
      <c r="H22" s="5" t="n"/>
      <c r="I22" s="5" t="n"/>
      <c r="J22" s="5" t="n"/>
      <c r="K22" s="5" t="n"/>
      <c r="L22" s="5" t="n"/>
      <c r="M22" s="5">
        <f>IF(B22="","",IFERROR(VLOOKUP(B22,'F01 - _Données Retraite'!$A$6:$K$20,2,FALSE)&amp;" "&amp;VLOOKUP(B22,'F01 - _Données Retraite'!$A$6:$K$20,3,FALSE),""))</f>
        <v/>
      </c>
      <c r="N22" s="25">
        <f>IF(B22="","",IFERROR(SUMIF($B$6:$B$115,B22,$K$6:$K$115),0))</f>
        <v/>
      </c>
    </row>
    <row r="23" ht="22" customHeight="1">
      <c r="A23" s="7" t="n"/>
      <c r="B23" s="7" t="n"/>
      <c r="C23" s="7" t="n"/>
      <c r="D23" s="7" t="n"/>
      <c r="E23" s="7" t="n"/>
      <c r="F23" s="23">
        <f>IF(E23="","",IFERROR(E23-TODAY(),""))</f>
        <v/>
      </c>
      <c r="G23" s="7" t="n"/>
      <c r="H23" s="7" t="n"/>
      <c r="I23" s="7" t="n"/>
      <c r="J23" s="7" t="n"/>
      <c r="K23" s="7" t="n"/>
      <c r="L23" s="7" t="n"/>
      <c r="M23" s="7">
        <f>IF(B23="","",IFERROR(VLOOKUP(B23,'F01 - _Données Retraite'!$A$6:$K$20,2,FALSE)&amp;" "&amp;VLOOKUP(B23,'F01 - _Données Retraite'!$A$6:$K$20,3,FALSE),""))</f>
        <v/>
      </c>
      <c r="N23" s="26">
        <f>IF(B23="","",IFERROR(SUMIF($B$6:$B$115,B23,$K$6:$K$115),0))</f>
        <v/>
      </c>
    </row>
    <row r="24" ht="22" customHeight="1">
      <c r="A24" s="5" t="n"/>
      <c r="B24" s="5" t="n"/>
      <c r="C24" s="5" t="n"/>
      <c r="D24" s="5" t="n"/>
      <c r="E24" s="5" t="n"/>
      <c r="F24" s="21">
        <f>IF(E24="","",IFERROR(E24-TODAY(),""))</f>
        <v/>
      </c>
      <c r="G24" s="5" t="n"/>
      <c r="H24" s="5" t="n"/>
      <c r="I24" s="5" t="n"/>
      <c r="J24" s="5" t="n"/>
      <c r="K24" s="5" t="n"/>
      <c r="L24" s="5" t="n"/>
      <c r="M24" s="5">
        <f>IF(B24="","",IFERROR(VLOOKUP(B24,'F01 - _Données Retraite'!$A$6:$K$20,2,FALSE)&amp;" "&amp;VLOOKUP(B24,'F01 - _Données Retraite'!$A$6:$K$20,3,FALSE),""))</f>
        <v/>
      </c>
      <c r="N24" s="25">
        <f>IF(B24="","",IFERROR(SUMIF($B$6:$B$115,B24,$K$6:$K$115),0))</f>
        <v/>
      </c>
    </row>
    <row r="25" ht="22" customHeight="1">
      <c r="A25" s="7" t="n"/>
      <c r="B25" s="7" t="n"/>
      <c r="C25" s="7" t="n"/>
      <c r="D25" s="7" t="n"/>
      <c r="E25" s="7" t="n"/>
      <c r="F25" s="23">
        <f>IF(E25="","",IFERROR(E25-TODAY(),""))</f>
        <v/>
      </c>
      <c r="G25" s="7" t="n"/>
      <c r="H25" s="7" t="n"/>
      <c r="I25" s="7" t="n"/>
      <c r="J25" s="7" t="n"/>
      <c r="K25" s="7" t="n"/>
      <c r="L25" s="7" t="n"/>
      <c r="M25" s="7">
        <f>IF(B25="","",IFERROR(VLOOKUP(B25,'F01 - _Données Retraite'!$A$6:$K$20,2,FALSE)&amp;" "&amp;VLOOKUP(B25,'F01 - _Données Retraite'!$A$6:$K$20,3,FALSE),""))</f>
        <v/>
      </c>
      <c r="N25" s="26">
        <f>IF(B25="","",IFERROR(SUMIF($B$6:$B$115,B25,$K$6:$K$115),0))</f>
        <v/>
      </c>
    </row>
    <row r="26" ht="22" customHeight="1">
      <c r="A26" s="5" t="n"/>
      <c r="B26" s="5" t="n"/>
      <c r="C26" s="5" t="n"/>
      <c r="D26" s="5" t="n"/>
      <c r="E26" s="5" t="n"/>
      <c r="F26" s="21">
        <f>IF(E26="","",IFERROR(E26-TODAY(),""))</f>
        <v/>
      </c>
      <c r="G26" s="5" t="n"/>
      <c r="H26" s="5" t="n"/>
      <c r="I26" s="5" t="n"/>
      <c r="J26" s="5" t="n"/>
      <c r="K26" s="5" t="n"/>
      <c r="L26" s="5" t="n"/>
      <c r="M26" s="5">
        <f>IF(B26="","",IFERROR(VLOOKUP(B26,'F01 - _Données Retraite'!$A$6:$K$20,2,FALSE)&amp;" "&amp;VLOOKUP(B26,'F01 - _Données Retraite'!$A$6:$K$20,3,FALSE),""))</f>
        <v/>
      </c>
      <c r="N26" s="25">
        <f>IF(B26="","",IFERROR(SUMIF($B$6:$B$115,B26,$K$6:$K$115),0))</f>
        <v/>
      </c>
    </row>
    <row r="27" ht="22" customHeight="1">
      <c r="A27" s="7" t="n"/>
      <c r="B27" s="7" t="n"/>
      <c r="C27" s="7" t="n"/>
      <c r="D27" s="7" t="n"/>
      <c r="E27" s="7" t="n"/>
      <c r="F27" s="23">
        <f>IF(E27="","",IFERROR(E27-TODAY(),""))</f>
        <v/>
      </c>
      <c r="G27" s="7" t="n"/>
      <c r="H27" s="7" t="n"/>
      <c r="I27" s="7" t="n"/>
      <c r="J27" s="7" t="n"/>
      <c r="K27" s="7" t="n"/>
      <c r="L27" s="7" t="n"/>
      <c r="M27" s="7">
        <f>IF(B27="","",IFERROR(VLOOKUP(B27,'F01 - _Données Retraite'!$A$6:$K$20,2,FALSE)&amp;" "&amp;VLOOKUP(B27,'F01 - _Données Retraite'!$A$6:$K$20,3,FALSE),""))</f>
        <v/>
      </c>
      <c r="N27" s="26">
        <f>IF(B27="","",IFERROR(SUMIF($B$6:$B$115,B27,$K$6:$K$115),0))</f>
        <v/>
      </c>
    </row>
    <row r="28" ht="22" customHeight="1">
      <c r="A28" s="5" t="n"/>
      <c r="B28" s="5" t="n"/>
      <c r="C28" s="5" t="n"/>
      <c r="D28" s="5" t="n"/>
      <c r="E28" s="5" t="n"/>
      <c r="F28" s="21">
        <f>IF(E28="","",IFERROR(E28-TODAY(),""))</f>
        <v/>
      </c>
      <c r="G28" s="5" t="n"/>
      <c r="H28" s="5" t="n"/>
      <c r="I28" s="5" t="n"/>
      <c r="J28" s="5" t="n"/>
      <c r="K28" s="5" t="n"/>
      <c r="L28" s="5" t="n"/>
      <c r="M28" s="5">
        <f>IF(B28="","",IFERROR(VLOOKUP(B28,'F01 - _Données Retraite'!$A$6:$K$20,2,FALSE)&amp;" "&amp;VLOOKUP(B28,'F01 - _Données Retraite'!$A$6:$K$20,3,FALSE),""))</f>
        <v/>
      </c>
      <c r="N28" s="25">
        <f>IF(B28="","",IFERROR(SUMIF($B$6:$B$115,B28,$K$6:$K$115),0))</f>
        <v/>
      </c>
    </row>
    <row r="29" ht="22" customHeight="1">
      <c r="A29" s="7" t="n"/>
      <c r="B29" s="7" t="n"/>
      <c r="C29" s="7" t="n"/>
      <c r="D29" s="7" t="n"/>
      <c r="E29" s="7" t="n"/>
      <c r="F29" s="23">
        <f>IF(E29="","",IFERROR(E29-TODAY(),""))</f>
        <v/>
      </c>
      <c r="G29" s="7" t="n"/>
      <c r="H29" s="7" t="n"/>
      <c r="I29" s="7" t="n"/>
      <c r="J29" s="7" t="n"/>
      <c r="K29" s="7" t="n"/>
      <c r="L29" s="7" t="n"/>
      <c r="M29" s="7">
        <f>IF(B29="","",IFERROR(VLOOKUP(B29,'F01 - _Données Retraite'!$A$6:$K$20,2,FALSE)&amp;" "&amp;VLOOKUP(B29,'F01 - _Données Retraite'!$A$6:$K$20,3,FALSE),""))</f>
        <v/>
      </c>
      <c r="N29" s="26">
        <f>IF(B29="","",IFERROR(SUMIF($B$6:$B$115,B29,$K$6:$K$115),0))</f>
        <v/>
      </c>
    </row>
    <row r="30" ht="22" customHeight="1">
      <c r="A30" s="5" t="n"/>
      <c r="B30" s="5" t="n"/>
      <c r="C30" s="5" t="n"/>
      <c r="D30" s="5" t="n"/>
      <c r="E30" s="5" t="n"/>
      <c r="F30" s="21">
        <f>IF(E30="","",IFERROR(E30-TODAY(),""))</f>
        <v/>
      </c>
      <c r="G30" s="5" t="n"/>
      <c r="H30" s="5" t="n"/>
      <c r="I30" s="5" t="n"/>
      <c r="J30" s="5" t="n"/>
      <c r="K30" s="5" t="n"/>
      <c r="L30" s="5" t="n"/>
      <c r="M30" s="5">
        <f>IF(B30="","",IFERROR(VLOOKUP(B30,'F01 - _Données Retraite'!$A$6:$K$20,2,FALSE)&amp;" "&amp;VLOOKUP(B30,'F01 - _Données Retraite'!$A$6:$K$20,3,FALSE),""))</f>
        <v/>
      </c>
      <c r="N30" s="25">
        <f>IF(B30="","",IFERROR(SUMIF($B$6:$B$115,B30,$K$6:$K$115),0))</f>
        <v/>
      </c>
    </row>
    <row r="31" ht="22" customHeight="1">
      <c r="A31" s="7" t="n"/>
      <c r="B31" s="7" t="n"/>
      <c r="C31" s="7" t="n"/>
      <c r="D31" s="7" t="n"/>
      <c r="E31" s="7" t="n"/>
      <c r="F31" s="23">
        <f>IF(E31="","",IFERROR(E31-TODAY(),""))</f>
        <v/>
      </c>
      <c r="G31" s="7" t="n"/>
      <c r="H31" s="7" t="n"/>
      <c r="I31" s="7" t="n"/>
      <c r="J31" s="7" t="n"/>
      <c r="K31" s="7" t="n"/>
      <c r="L31" s="7" t="n"/>
      <c r="M31" s="7">
        <f>IF(B31="","",IFERROR(VLOOKUP(B31,'F01 - _Données Retraite'!$A$6:$K$20,2,FALSE)&amp;" "&amp;VLOOKUP(B31,'F01 - _Données Retraite'!$A$6:$K$20,3,FALSE),""))</f>
        <v/>
      </c>
      <c r="N31" s="26">
        <f>IF(B31="","",IFERROR(SUMIF($B$6:$B$115,B31,$K$6:$K$115),0))</f>
        <v/>
      </c>
    </row>
    <row r="32" ht="22" customHeight="1">
      <c r="A32" s="5" t="n"/>
      <c r="B32" s="5" t="n"/>
      <c r="C32" s="5" t="n"/>
      <c r="D32" s="5" t="n"/>
      <c r="E32" s="5" t="n"/>
      <c r="F32" s="21">
        <f>IF(E32="","",IFERROR(E32-TODAY(),""))</f>
        <v/>
      </c>
      <c r="G32" s="5" t="n"/>
      <c r="H32" s="5" t="n"/>
      <c r="I32" s="5" t="n"/>
      <c r="J32" s="5" t="n"/>
      <c r="K32" s="5" t="n"/>
      <c r="L32" s="5" t="n"/>
      <c r="M32" s="5">
        <f>IF(B32="","",IFERROR(VLOOKUP(B32,'F01 - _Données Retraite'!$A$6:$K$20,2,FALSE)&amp;" "&amp;VLOOKUP(B32,'F01 - _Données Retraite'!$A$6:$K$20,3,FALSE),""))</f>
        <v/>
      </c>
      <c r="N32" s="25">
        <f>IF(B32="","",IFERROR(SUMIF($B$6:$B$115,B32,$K$6:$K$115),0))</f>
        <v/>
      </c>
    </row>
    <row r="33" ht="22" customHeight="1">
      <c r="A33" s="7" t="n"/>
      <c r="B33" s="7" t="n"/>
      <c r="C33" s="7" t="n"/>
      <c r="D33" s="7" t="n"/>
      <c r="E33" s="7" t="n"/>
      <c r="F33" s="23">
        <f>IF(E33="","",IFERROR(E33-TODAY(),""))</f>
        <v/>
      </c>
      <c r="G33" s="7" t="n"/>
      <c r="H33" s="7" t="n"/>
      <c r="I33" s="7" t="n"/>
      <c r="J33" s="7" t="n"/>
      <c r="K33" s="7" t="n"/>
      <c r="L33" s="7" t="n"/>
      <c r="M33" s="7">
        <f>IF(B33="","",IFERROR(VLOOKUP(B33,'F01 - _Données Retraite'!$A$6:$K$20,2,FALSE)&amp;" "&amp;VLOOKUP(B33,'F01 - _Données Retraite'!$A$6:$K$20,3,FALSE),""))</f>
        <v/>
      </c>
      <c r="N33" s="26">
        <f>IF(B33="","",IFERROR(SUMIF($B$6:$B$115,B33,$K$6:$K$115),0))</f>
        <v/>
      </c>
    </row>
    <row r="34" ht="22" customHeight="1">
      <c r="A34" s="5" t="n"/>
      <c r="B34" s="5" t="n"/>
      <c r="C34" s="5" t="n"/>
      <c r="D34" s="5" t="n"/>
      <c r="E34" s="5" t="n"/>
      <c r="F34" s="21">
        <f>IF(E34="","",IFERROR(E34-TODAY(),""))</f>
        <v/>
      </c>
      <c r="G34" s="5" t="n"/>
      <c r="H34" s="5" t="n"/>
      <c r="I34" s="5" t="n"/>
      <c r="J34" s="5" t="n"/>
      <c r="K34" s="5" t="n"/>
      <c r="L34" s="5" t="n"/>
      <c r="M34" s="5">
        <f>IF(B34="","",IFERROR(VLOOKUP(B34,'F01 - _Données Retraite'!$A$6:$K$20,2,FALSE)&amp;" "&amp;VLOOKUP(B34,'F01 - _Données Retraite'!$A$6:$K$20,3,FALSE),""))</f>
        <v/>
      </c>
      <c r="N34" s="25">
        <f>IF(B34="","",IFERROR(SUMIF($B$6:$B$115,B34,$K$6:$K$115),0))</f>
        <v/>
      </c>
    </row>
    <row r="35" ht="22" customHeight="1">
      <c r="A35" s="7" t="n"/>
      <c r="B35" s="7" t="n"/>
      <c r="C35" s="7" t="n"/>
      <c r="D35" s="7" t="n"/>
      <c r="E35" s="7" t="n"/>
      <c r="F35" s="23">
        <f>IF(E35="","",IFERROR(E35-TODAY(),""))</f>
        <v/>
      </c>
      <c r="G35" s="7" t="n"/>
      <c r="H35" s="7" t="n"/>
      <c r="I35" s="7" t="n"/>
      <c r="J35" s="7" t="n"/>
      <c r="K35" s="7" t="n"/>
      <c r="L35" s="7" t="n"/>
      <c r="M35" s="7">
        <f>IF(B35="","",IFERROR(VLOOKUP(B35,'F01 - _Données Retraite'!$A$6:$K$20,2,FALSE)&amp;" "&amp;VLOOKUP(B35,'F01 - _Données Retraite'!$A$6:$K$20,3,FALSE),""))</f>
        <v/>
      </c>
      <c r="N35" s="26">
        <f>IF(B35="","",IFERROR(SUMIF($B$6:$B$115,B35,$K$6:$K$115),0))</f>
        <v/>
      </c>
    </row>
    <row r="36" ht="22" customHeight="1">
      <c r="A36" s="5" t="n"/>
      <c r="B36" s="5" t="n"/>
      <c r="C36" s="5" t="n"/>
      <c r="D36" s="5" t="n"/>
      <c r="E36" s="5" t="n"/>
      <c r="F36" s="21">
        <f>IF(E36="","",IFERROR(E36-TODAY(),""))</f>
        <v/>
      </c>
      <c r="G36" s="5" t="n"/>
      <c r="H36" s="5" t="n"/>
      <c r="I36" s="5" t="n"/>
      <c r="J36" s="5" t="n"/>
      <c r="K36" s="5" t="n"/>
      <c r="L36" s="5" t="n"/>
      <c r="M36" s="5">
        <f>IF(B36="","",IFERROR(VLOOKUP(B36,'F01 - _Données Retraite'!$A$6:$K$20,2,FALSE)&amp;" "&amp;VLOOKUP(B36,'F01 - _Données Retraite'!$A$6:$K$20,3,FALSE),""))</f>
        <v/>
      </c>
      <c r="N36" s="25">
        <f>IF(B36="","",IFERROR(SUMIF($B$6:$B$115,B36,$K$6:$K$115),0))</f>
        <v/>
      </c>
    </row>
    <row r="37" ht="22" customHeight="1">
      <c r="A37" s="7" t="n"/>
      <c r="B37" s="7" t="n"/>
      <c r="C37" s="7" t="n"/>
      <c r="D37" s="7" t="n"/>
      <c r="E37" s="7" t="n"/>
      <c r="F37" s="23">
        <f>IF(E37="","",IFERROR(E37-TODAY(),""))</f>
        <v/>
      </c>
      <c r="G37" s="7" t="n"/>
      <c r="H37" s="7" t="n"/>
      <c r="I37" s="7" t="n"/>
      <c r="J37" s="7" t="n"/>
      <c r="K37" s="7" t="n"/>
      <c r="L37" s="7" t="n"/>
      <c r="M37" s="7">
        <f>IF(B37="","",IFERROR(VLOOKUP(B37,'F01 - _Données Retraite'!$A$6:$K$20,2,FALSE)&amp;" "&amp;VLOOKUP(B37,'F01 - _Données Retraite'!$A$6:$K$20,3,FALSE),""))</f>
        <v/>
      </c>
      <c r="N37" s="26">
        <f>IF(B37="","",IFERROR(SUMIF($B$6:$B$115,B37,$K$6:$K$115),0))</f>
        <v/>
      </c>
    </row>
    <row r="38" ht="22" customHeight="1">
      <c r="A38" s="5" t="n"/>
      <c r="B38" s="5" t="n"/>
      <c r="C38" s="5" t="n"/>
      <c r="D38" s="5" t="n"/>
      <c r="E38" s="5" t="n"/>
      <c r="F38" s="21">
        <f>IF(E38="","",IFERROR(E38-TODAY(),""))</f>
        <v/>
      </c>
      <c r="G38" s="5" t="n"/>
      <c r="H38" s="5" t="n"/>
      <c r="I38" s="5" t="n"/>
      <c r="J38" s="5" t="n"/>
      <c r="K38" s="5" t="n"/>
      <c r="L38" s="5" t="n"/>
      <c r="M38" s="5">
        <f>IF(B38="","",IFERROR(VLOOKUP(B38,'F01 - _Données Retraite'!$A$6:$K$20,2,FALSE)&amp;" "&amp;VLOOKUP(B38,'F01 - _Données Retraite'!$A$6:$K$20,3,FALSE),""))</f>
        <v/>
      </c>
      <c r="N38" s="25">
        <f>IF(B38="","",IFERROR(SUMIF($B$6:$B$115,B38,$K$6:$K$115),0))</f>
        <v/>
      </c>
    </row>
    <row r="39" ht="22" customHeight="1">
      <c r="A39" s="7" t="n"/>
      <c r="B39" s="7" t="n"/>
      <c r="C39" s="7" t="n"/>
      <c r="D39" s="7" t="n"/>
      <c r="E39" s="7" t="n"/>
      <c r="F39" s="23">
        <f>IF(E39="","",IFERROR(E39-TODAY(),""))</f>
        <v/>
      </c>
      <c r="G39" s="7" t="n"/>
      <c r="H39" s="7" t="n"/>
      <c r="I39" s="7" t="n"/>
      <c r="J39" s="7" t="n"/>
      <c r="K39" s="7" t="n"/>
      <c r="L39" s="7" t="n"/>
      <c r="M39" s="7">
        <f>IF(B39="","",IFERROR(VLOOKUP(B39,'F01 - _Données Retraite'!$A$6:$K$20,2,FALSE)&amp;" "&amp;VLOOKUP(B39,'F01 - _Données Retraite'!$A$6:$K$20,3,FALSE),""))</f>
        <v/>
      </c>
      <c r="N39" s="26">
        <f>IF(B39="","",IFERROR(SUMIF($B$6:$B$115,B39,$K$6:$K$115),0))</f>
        <v/>
      </c>
    </row>
    <row r="40" ht="22" customHeight="1">
      <c r="A40" s="5" t="n"/>
      <c r="B40" s="5" t="n"/>
      <c r="C40" s="5" t="n"/>
      <c r="D40" s="5" t="n"/>
      <c r="E40" s="5" t="n"/>
      <c r="F40" s="21">
        <f>IF(E40="","",IFERROR(E40-TODAY(),""))</f>
        <v/>
      </c>
      <c r="G40" s="5" t="n"/>
      <c r="H40" s="5" t="n"/>
      <c r="I40" s="5" t="n"/>
      <c r="J40" s="5" t="n"/>
      <c r="K40" s="5" t="n"/>
      <c r="L40" s="5" t="n"/>
      <c r="M40" s="5">
        <f>IF(B40="","",IFERROR(VLOOKUP(B40,'F01 - _Données Retraite'!$A$6:$K$20,2,FALSE)&amp;" "&amp;VLOOKUP(B40,'F01 - _Données Retraite'!$A$6:$K$20,3,FALSE),""))</f>
        <v/>
      </c>
      <c r="N40" s="25">
        <f>IF(B40="","",IFERROR(SUMIF($B$6:$B$115,B40,$K$6:$K$115),0))</f>
        <v/>
      </c>
    </row>
    <row r="41" ht="22" customHeight="1">
      <c r="A41" s="7" t="n"/>
      <c r="B41" s="7" t="n"/>
      <c r="C41" s="7" t="n"/>
      <c r="D41" s="7" t="n"/>
      <c r="E41" s="7" t="n"/>
      <c r="F41" s="23">
        <f>IF(E41="","",IFERROR(E41-TODAY(),""))</f>
        <v/>
      </c>
      <c r="G41" s="7" t="n"/>
      <c r="H41" s="7" t="n"/>
      <c r="I41" s="7" t="n"/>
      <c r="J41" s="7" t="n"/>
      <c r="K41" s="7" t="n"/>
      <c r="L41" s="7" t="n"/>
      <c r="M41" s="7">
        <f>IF(B41="","",IFERROR(VLOOKUP(B41,'F01 - _Données Retraite'!$A$6:$K$20,2,FALSE)&amp;" "&amp;VLOOKUP(B41,'F01 - _Données Retraite'!$A$6:$K$20,3,FALSE),""))</f>
        <v/>
      </c>
      <c r="N41" s="26">
        <f>IF(B41="","",IFERROR(SUMIF($B$6:$B$115,B41,$K$6:$K$115),0))</f>
        <v/>
      </c>
    </row>
    <row r="42" ht="22" customHeight="1">
      <c r="A42" s="5" t="n"/>
      <c r="B42" s="5" t="n"/>
      <c r="C42" s="5" t="n"/>
      <c r="D42" s="5" t="n"/>
      <c r="E42" s="5" t="n"/>
      <c r="F42" s="21">
        <f>IF(E42="","",IFERROR(E42-TODAY(),""))</f>
        <v/>
      </c>
      <c r="G42" s="5" t="n"/>
      <c r="H42" s="5" t="n"/>
      <c r="I42" s="5" t="n"/>
      <c r="J42" s="5" t="n"/>
      <c r="K42" s="5" t="n"/>
      <c r="L42" s="5" t="n"/>
      <c r="M42" s="5">
        <f>IF(B42="","",IFERROR(VLOOKUP(B42,'F01 - _Données Retraite'!$A$6:$K$20,2,FALSE)&amp;" "&amp;VLOOKUP(B42,'F01 - _Données Retraite'!$A$6:$K$20,3,FALSE),""))</f>
        <v/>
      </c>
      <c r="N42" s="25">
        <f>IF(B42="","",IFERROR(SUMIF($B$6:$B$115,B42,$K$6:$K$115),0))</f>
        <v/>
      </c>
    </row>
    <row r="43" ht="22" customHeight="1">
      <c r="A43" s="7" t="n"/>
      <c r="B43" s="7" t="n"/>
      <c r="C43" s="7" t="n"/>
      <c r="D43" s="7" t="n"/>
      <c r="E43" s="7" t="n"/>
      <c r="F43" s="23">
        <f>IF(E43="","",IFERROR(E43-TODAY(),""))</f>
        <v/>
      </c>
      <c r="G43" s="7" t="n"/>
      <c r="H43" s="7" t="n"/>
      <c r="I43" s="7" t="n"/>
      <c r="J43" s="7" t="n"/>
      <c r="K43" s="7" t="n"/>
      <c r="L43" s="7" t="n"/>
      <c r="M43" s="7">
        <f>IF(B43="","",IFERROR(VLOOKUP(B43,'F01 - _Données Retraite'!$A$6:$K$20,2,FALSE)&amp;" "&amp;VLOOKUP(B43,'F01 - _Données Retraite'!$A$6:$K$20,3,FALSE),""))</f>
        <v/>
      </c>
      <c r="N43" s="26">
        <f>IF(B43="","",IFERROR(SUMIF($B$6:$B$115,B43,$K$6:$K$115),0))</f>
        <v/>
      </c>
    </row>
    <row r="44" ht="22" customHeight="1">
      <c r="A44" s="5" t="n"/>
      <c r="B44" s="5" t="n"/>
      <c r="C44" s="5" t="n"/>
      <c r="D44" s="5" t="n"/>
      <c r="E44" s="5" t="n"/>
      <c r="F44" s="21">
        <f>IF(E44="","",IFERROR(E44-TODAY(),""))</f>
        <v/>
      </c>
      <c r="G44" s="5" t="n"/>
      <c r="H44" s="5" t="n"/>
      <c r="I44" s="5" t="n"/>
      <c r="J44" s="5" t="n"/>
      <c r="K44" s="5" t="n"/>
      <c r="L44" s="5" t="n"/>
      <c r="M44" s="5">
        <f>IF(B44="","",IFERROR(VLOOKUP(B44,'F01 - _Données Retraite'!$A$6:$K$20,2,FALSE)&amp;" "&amp;VLOOKUP(B44,'F01 - _Données Retraite'!$A$6:$K$20,3,FALSE),""))</f>
        <v/>
      </c>
      <c r="N44" s="25">
        <f>IF(B44="","",IFERROR(SUMIF($B$6:$B$115,B44,$K$6:$K$115),0))</f>
        <v/>
      </c>
    </row>
    <row r="45" ht="22" customHeight="1">
      <c r="A45" s="7" t="n"/>
      <c r="B45" s="7" t="n"/>
      <c r="C45" s="7" t="n"/>
      <c r="D45" s="7" t="n"/>
      <c r="E45" s="7" t="n"/>
      <c r="F45" s="23">
        <f>IF(E45="","",IFERROR(E45-TODAY(),""))</f>
        <v/>
      </c>
      <c r="G45" s="7" t="n"/>
      <c r="H45" s="7" t="n"/>
      <c r="I45" s="7" t="n"/>
      <c r="J45" s="7" t="n"/>
      <c r="K45" s="7" t="n"/>
      <c r="L45" s="7" t="n"/>
      <c r="M45" s="7">
        <f>IF(B45="","",IFERROR(VLOOKUP(B45,'F01 - _Données Retraite'!$A$6:$K$20,2,FALSE)&amp;" "&amp;VLOOKUP(B45,'F01 - _Données Retraite'!$A$6:$K$20,3,FALSE),""))</f>
        <v/>
      </c>
      <c r="N45" s="26">
        <f>IF(B45="","",IFERROR(SUMIF($B$6:$B$115,B45,$K$6:$K$115),0))</f>
        <v/>
      </c>
    </row>
    <row r="46" ht="22" customHeight="1">
      <c r="A46" s="5" t="n"/>
      <c r="B46" s="5" t="n"/>
      <c r="C46" s="5" t="n"/>
      <c r="D46" s="5" t="n"/>
      <c r="E46" s="5" t="n"/>
      <c r="F46" s="21">
        <f>IF(E46="","",IFERROR(E46-TODAY(),""))</f>
        <v/>
      </c>
      <c r="G46" s="5" t="n"/>
      <c r="H46" s="5" t="n"/>
      <c r="I46" s="5" t="n"/>
      <c r="J46" s="5" t="n"/>
      <c r="K46" s="5" t="n"/>
      <c r="L46" s="5" t="n"/>
      <c r="M46" s="5">
        <f>IF(B46="","",IFERROR(VLOOKUP(B46,'F01 - _Données Retraite'!$A$6:$K$20,2,FALSE)&amp;" "&amp;VLOOKUP(B46,'F01 - _Données Retraite'!$A$6:$K$20,3,FALSE),""))</f>
        <v/>
      </c>
      <c r="N46" s="25">
        <f>IF(B46="","",IFERROR(SUMIF($B$6:$B$115,B46,$K$6:$K$115),0))</f>
        <v/>
      </c>
    </row>
    <row r="47" ht="22" customHeight="1">
      <c r="A47" s="7" t="n"/>
      <c r="B47" s="7" t="n"/>
      <c r="C47" s="7" t="n"/>
      <c r="D47" s="7" t="n"/>
      <c r="E47" s="7" t="n"/>
      <c r="F47" s="23">
        <f>IF(E47="","",IFERROR(E47-TODAY(),""))</f>
        <v/>
      </c>
      <c r="G47" s="7" t="n"/>
      <c r="H47" s="7" t="n"/>
      <c r="I47" s="7" t="n"/>
      <c r="J47" s="7" t="n"/>
      <c r="K47" s="7" t="n"/>
      <c r="L47" s="7" t="n"/>
      <c r="M47" s="7">
        <f>IF(B47="","",IFERROR(VLOOKUP(B47,'F01 - _Données Retraite'!$A$6:$K$20,2,FALSE)&amp;" "&amp;VLOOKUP(B47,'F01 - _Données Retraite'!$A$6:$K$20,3,FALSE),""))</f>
        <v/>
      </c>
      <c r="N47" s="26">
        <f>IF(B47="","",IFERROR(SUMIF($B$6:$B$115,B47,$K$6:$K$115),0))</f>
        <v/>
      </c>
    </row>
    <row r="48" ht="22" customHeight="1">
      <c r="A48" s="5" t="n"/>
      <c r="B48" s="5" t="n"/>
      <c r="C48" s="5" t="n"/>
      <c r="D48" s="5" t="n"/>
      <c r="E48" s="5" t="n"/>
      <c r="F48" s="21">
        <f>IF(E48="","",IFERROR(E48-TODAY(),""))</f>
        <v/>
      </c>
      <c r="G48" s="5" t="n"/>
      <c r="H48" s="5" t="n"/>
      <c r="I48" s="5" t="n"/>
      <c r="J48" s="5" t="n"/>
      <c r="K48" s="5" t="n"/>
      <c r="L48" s="5" t="n"/>
      <c r="M48" s="5">
        <f>IF(B48="","",IFERROR(VLOOKUP(B48,'F01 - _Données Retraite'!$A$6:$K$20,2,FALSE)&amp;" "&amp;VLOOKUP(B48,'F01 - _Données Retraite'!$A$6:$K$20,3,FALSE),""))</f>
        <v/>
      </c>
      <c r="N48" s="25">
        <f>IF(B48="","",IFERROR(SUMIF($B$6:$B$115,B48,$K$6:$K$115),0))</f>
        <v/>
      </c>
    </row>
    <row r="49" ht="22" customHeight="1">
      <c r="A49" s="7" t="n"/>
      <c r="B49" s="7" t="n"/>
      <c r="C49" s="7" t="n"/>
      <c r="D49" s="7" t="n"/>
      <c r="E49" s="7" t="n"/>
      <c r="F49" s="23">
        <f>IF(E49="","",IFERROR(E49-TODAY(),""))</f>
        <v/>
      </c>
      <c r="G49" s="7" t="n"/>
      <c r="H49" s="7" t="n"/>
      <c r="I49" s="7" t="n"/>
      <c r="J49" s="7" t="n"/>
      <c r="K49" s="7" t="n"/>
      <c r="L49" s="7" t="n"/>
      <c r="M49" s="7">
        <f>IF(B49="","",IFERROR(VLOOKUP(B49,'F01 - _Données Retraite'!$A$6:$K$20,2,FALSE)&amp;" "&amp;VLOOKUP(B49,'F01 - _Données Retraite'!$A$6:$K$20,3,FALSE),""))</f>
        <v/>
      </c>
      <c r="N49" s="26">
        <f>IF(B49="","",IFERROR(SUMIF($B$6:$B$115,B49,$K$6:$K$115),0))</f>
        <v/>
      </c>
    </row>
    <row r="50" ht="22" customHeight="1">
      <c r="A50" s="5" t="n"/>
      <c r="B50" s="5" t="n"/>
      <c r="C50" s="5" t="n"/>
      <c r="D50" s="5" t="n"/>
      <c r="E50" s="5" t="n"/>
      <c r="F50" s="21">
        <f>IF(E50="","",IFERROR(E50-TODAY(),""))</f>
        <v/>
      </c>
      <c r="G50" s="5" t="n"/>
      <c r="H50" s="5" t="n"/>
      <c r="I50" s="5" t="n"/>
      <c r="J50" s="5" t="n"/>
      <c r="K50" s="5" t="n"/>
      <c r="L50" s="5" t="n"/>
      <c r="M50" s="5">
        <f>IF(B50="","",IFERROR(VLOOKUP(B50,'F01 - _Données Retraite'!$A$6:$K$20,2,FALSE)&amp;" "&amp;VLOOKUP(B50,'F01 - _Données Retraite'!$A$6:$K$20,3,FALSE),""))</f>
        <v/>
      </c>
      <c r="N50" s="25">
        <f>IF(B50="","",IFERROR(SUMIF($B$6:$B$115,B50,$K$6:$K$115),0))</f>
        <v/>
      </c>
    </row>
    <row r="51" ht="22" customHeight="1">
      <c r="A51" s="7" t="n"/>
      <c r="B51" s="7" t="n"/>
      <c r="C51" s="7" t="n"/>
      <c r="D51" s="7" t="n"/>
      <c r="E51" s="7" t="n"/>
      <c r="F51" s="23">
        <f>IF(E51="","",IFERROR(E51-TODAY(),""))</f>
        <v/>
      </c>
      <c r="G51" s="7" t="n"/>
      <c r="H51" s="7" t="n"/>
      <c r="I51" s="7" t="n"/>
      <c r="J51" s="7" t="n"/>
      <c r="K51" s="7" t="n"/>
      <c r="L51" s="7" t="n"/>
      <c r="M51" s="7">
        <f>IF(B51="","",IFERROR(VLOOKUP(B51,'F01 - _Données Retraite'!$A$6:$K$20,2,FALSE)&amp;" "&amp;VLOOKUP(B51,'F01 - _Données Retraite'!$A$6:$K$20,3,FALSE),""))</f>
        <v/>
      </c>
      <c r="N51" s="26">
        <f>IF(B51="","",IFERROR(SUMIF($B$6:$B$115,B51,$K$6:$K$115),0))</f>
        <v/>
      </c>
    </row>
    <row r="52" ht="22" customHeight="1">
      <c r="A52" s="5" t="n"/>
      <c r="B52" s="5" t="n"/>
      <c r="C52" s="5" t="n"/>
      <c r="D52" s="5" t="n"/>
      <c r="E52" s="5" t="n"/>
      <c r="F52" s="21">
        <f>IF(E52="","",IFERROR(E52-TODAY(),""))</f>
        <v/>
      </c>
      <c r="G52" s="5" t="n"/>
      <c r="H52" s="5" t="n"/>
      <c r="I52" s="5" t="n"/>
      <c r="J52" s="5" t="n"/>
      <c r="K52" s="5" t="n"/>
      <c r="L52" s="5" t="n"/>
      <c r="M52" s="5">
        <f>IF(B52="","",IFERROR(VLOOKUP(B52,'F01 - _Données Retraite'!$A$6:$K$20,2,FALSE)&amp;" "&amp;VLOOKUP(B52,'F01 - _Données Retraite'!$A$6:$K$20,3,FALSE),""))</f>
        <v/>
      </c>
      <c r="N52" s="25">
        <f>IF(B52="","",IFERROR(SUMIF($B$6:$B$115,B52,$K$6:$K$115),0))</f>
        <v/>
      </c>
    </row>
    <row r="53" ht="22" customHeight="1">
      <c r="A53" s="7" t="n"/>
      <c r="B53" s="7" t="n"/>
      <c r="C53" s="7" t="n"/>
      <c r="D53" s="7" t="n"/>
      <c r="E53" s="7" t="n"/>
      <c r="F53" s="23">
        <f>IF(E53="","",IFERROR(E53-TODAY(),""))</f>
        <v/>
      </c>
      <c r="G53" s="7" t="n"/>
      <c r="H53" s="7" t="n"/>
      <c r="I53" s="7" t="n"/>
      <c r="J53" s="7" t="n"/>
      <c r="K53" s="7" t="n"/>
      <c r="L53" s="7" t="n"/>
      <c r="M53" s="7">
        <f>IF(B53="","",IFERROR(VLOOKUP(B53,'F01 - _Données Retraite'!$A$6:$K$20,2,FALSE)&amp;" "&amp;VLOOKUP(B53,'F01 - _Données Retraite'!$A$6:$K$20,3,FALSE),""))</f>
        <v/>
      </c>
      <c r="N53" s="26">
        <f>IF(B53="","",IFERROR(SUMIF($B$6:$B$115,B53,$K$6:$K$115),0))</f>
        <v/>
      </c>
    </row>
    <row r="54" ht="22" customHeight="1">
      <c r="A54" s="5" t="n"/>
      <c r="B54" s="5" t="n"/>
      <c r="C54" s="5" t="n"/>
      <c r="D54" s="5" t="n"/>
      <c r="E54" s="5" t="n"/>
      <c r="F54" s="21">
        <f>IF(E54="","",IFERROR(E54-TODAY(),""))</f>
        <v/>
      </c>
      <c r="G54" s="5" t="n"/>
      <c r="H54" s="5" t="n"/>
      <c r="I54" s="5" t="n"/>
      <c r="J54" s="5" t="n"/>
      <c r="K54" s="5" t="n"/>
      <c r="L54" s="5" t="n"/>
      <c r="M54" s="5">
        <f>IF(B54="","",IFERROR(VLOOKUP(B54,'F01 - _Données Retraite'!$A$6:$K$20,2,FALSE)&amp;" "&amp;VLOOKUP(B54,'F01 - _Données Retraite'!$A$6:$K$20,3,FALSE),""))</f>
        <v/>
      </c>
      <c r="N54" s="25">
        <f>IF(B54="","",IFERROR(SUMIF($B$6:$B$115,B54,$K$6:$K$115),0))</f>
        <v/>
      </c>
    </row>
    <row r="55" ht="22" customHeight="1">
      <c r="A55" s="7" t="n"/>
      <c r="B55" s="7" t="n"/>
      <c r="C55" s="7" t="n"/>
      <c r="D55" s="7" t="n"/>
      <c r="E55" s="7" t="n"/>
      <c r="F55" s="23">
        <f>IF(E55="","",IFERROR(E55-TODAY(),""))</f>
        <v/>
      </c>
      <c r="G55" s="7" t="n"/>
      <c r="H55" s="7" t="n"/>
      <c r="I55" s="7" t="n"/>
      <c r="J55" s="7" t="n"/>
      <c r="K55" s="7" t="n"/>
      <c r="L55" s="7" t="n"/>
      <c r="M55" s="7">
        <f>IF(B55="","",IFERROR(VLOOKUP(B55,'F01 - _Données Retraite'!$A$6:$K$20,2,FALSE)&amp;" "&amp;VLOOKUP(B55,'F01 - _Données Retraite'!$A$6:$K$20,3,FALSE),""))</f>
        <v/>
      </c>
      <c r="N55" s="26">
        <f>IF(B55="","",IFERROR(SUMIF($B$6:$B$115,B55,$K$6:$K$115),0))</f>
        <v/>
      </c>
    </row>
    <row r="56" ht="22" customHeight="1">
      <c r="A56" s="5" t="n"/>
      <c r="B56" s="5" t="n"/>
      <c r="C56" s="5" t="n"/>
      <c r="D56" s="5" t="n"/>
      <c r="E56" s="5" t="n"/>
      <c r="F56" s="21">
        <f>IF(E56="","",IFERROR(E56-TODAY(),""))</f>
        <v/>
      </c>
      <c r="G56" s="5" t="n"/>
      <c r="H56" s="5" t="n"/>
      <c r="I56" s="5" t="n"/>
      <c r="J56" s="5" t="n"/>
      <c r="K56" s="5" t="n"/>
      <c r="L56" s="5" t="n"/>
      <c r="M56" s="5">
        <f>IF(B56="","",IFERROR(VLOOKUP(B56,'F01 - _Données Retraite'!$A$6:$K$20,2,FALSE)&amp;" "&amp;VLOOKUP(B56,'F01 - _Données Retraite'!$A$6:$K$20,3,FALSE),""))</f>
        <v/>
      </c>
      <c r="N56" s="25">
        <f>IF(B56="","",IFERROR(SUMIF($B$6:$B$115,B56,$K$6:$K$115),0))</f>
        <v/>
      </c>
    </row>
    <row r="57" ht="22" customHeight="1">
      <c r="A57" s="7" t="n"/>
      <c r="B57" s="7" t="n"/>
      <c r="C57" s="7" t="n"/>
      <c r="D57" s="7" t="n"/>
      <c r="E57" s="7" t="n"/>
      <c r="F57" s="23">
        <f>IF(E57="","",IFERROR(E57-TODAY(),""))</f>
        <v/>
      </c>
      <c r="G57" s="7" t="n"/>
      <c r="H57" s="7" t="n"/>
      <c r="I57" s="7" t="n"/>
      <c r="J57" s="7" t="n"/>
      <c r="K57" s="7" t="n"/>
      <c r="L57" s="7" t="n"/>
      <c r="M57" s="7">
        <f>IF(B57="","",IFERROR(VLOOKUP(B57,'F01 - _Données Retraite'!$A$6:$K$20,2,FALSE)&amp;" "&amp;VLOOKUP(B57,'F01 - _Données Retraite'!$A$6:$K$20,3,FALSE),""))</f>
        <v/>
      </c>
      <c r="N57" s="26">
        <f>IF(B57="","",IFERROR(SUMIF($B$6:$B$115,B57,$K$6:$K$115),0))</f>
        <v/>
      </c>
    </row>
    <row r="58" ht="22" customHeight="1">
      <c r="A58" s="5" t="n"/>
      <c r="B58" s="5" t="n"/>
      <c r="C58" s="5" t="n"/>
      <c r="D58" s="5" t="n"/>
      <c r="E58" s="5" t="n"/>
      <c r="F58" s="21">
        <f>IF(E58="","",IFERROR(E58-TODAY(),""))</f>
        <v/>
      </c>
      <c r="G58" s="5" t="n"/>
      <c r="H58" s="5" t="n"/>
      <c r="I58" s="5" t="n"/>
      <c r="J58" s="5" t="n"/>
      <c r="K58" s="5" t="n"/>
      <c r="L58" s="5" t="n"/>
      <c r="M58" s="5">
        <f>IF(B58="","",IFERROR(VLOOKUP(B58,'F01 - _Données Retraite'!$A$6:$K$20,2,FALSE)&amp;" "&amp;VLOOKUP(B58,'F01 - _Données Retraite'!$A$6:$K$20,3,FALSE),""))</f>
        <v/>
      </c>
      <c r="N58" s="25">
        <f>IF(B58="","",IFERROR(SUMIF($B$6:$B$115,B58,$K$6:$K$115),0))</f>
        <v/>
      </c>
    </row>
    <row r="59" ht="22" customHeight="1">
      <c r="A59" s="7" t="n"/>
      <c r="B59" s="7" t="n"/>
      <c r="C59" s="7" t="n"/>
      <c r="D59" s="7" t="n"/>
      <c r="E59" s="7" t="n"/>
      <c r="F59" s="23">
        <f>IF(E59="","",IFERROR(E59-TODAY(),""))</f>
        <v/>
      </c>
      <c r="G59" s="7" t="n"/>
      <c r="H59" s="7" t="n"/>
      <c r="I59" s="7" t="n"/>
      <c r="J59" s="7" t="n"/>
      <c r="K59" s="7" t="n"/>
      <c r="L59" s="7" t="n"/>
      <c r="M59" s="7">
        <f>IF(B59="","",IFERROR(VLOOKUP(B59,'F01 - _Données Retraite'!$A$6:$K$20,2,FALSE)&amp;" "&amp;VLOOKUP(B59,'F01 - _Données Retraite'!$A$6:$K$20,3,FALSE),""))</f>
        <v/>
      </c>
      <c r="N59" s="26">
        <f>IF(B59="","",IFERROR(SUMIF($B$6:$B$115,B59,$K$6:$K$115),0))</f>
        <v/>
      </c>
    </row>
    <row r="60" ht="22" customHeight="1">
      <c r="A60" s="5" t="n"/>
      <c r="B60" s="5" t="n"/>
      <c r="C60" s="5" t="n"/>
      <c r="D60" s="5" t="n"/>
      <c r="E60" s="5" t="n"/>
      <c r="F60" s="21">
        <f>IF(E60="","",IFERROR(E60-TODAY(),""))</f>
        <v/>
      </c>
      <c r="G60" s="5" t="n"/>
      <c r="H60" s="5" t="n"/>
      <c r="I60" s="5" t="n"/>
      <c r="J60" s="5" t="n"/>
      <c r="K60" s="5" t="n"/>
      <c r="L60" s="5" t="n"/>
      <c r="M60" s="5">
        <f>IF(B60="","",IFERROR(VLOOKUP(B60,'F01 - _Données Retraite'!$A$6:$K$20,2,FALSE)&amp;" "&amp;VLOOKUP(B60,'F01 - _Données Retraite'!$A$6:$K$20,3,FALSE),""))</f>
        <v/>
      </c>
      <c r="N60" s="25">
        <f>IF(B60="","",IFERROR(SUMIF($B$6:$B$115,B60,$K$6:$K$115),0))</f>
        <v/>
      </c>
    </row>
    <row r="61" ht="22" customHeight="1">
      <c r="A61" s="7" t="n"/>
      <c r="B61" s="7" t="n"/>
      <c r="C61" s="7" t="n"/>
      <c r="D61" s="7" t="n"/>
      <c r="E61" s="7" t="n"/>
      <c r="F61" s="23">
        <f>IF(E61="","",IFERROR(E61-TODAY(),""))</f>
        <v/>
      </c>
      <c r="G61" s="7" t="n"/>
      <c r="H61" s="7" t="n"/>
      <c r="I61" s="7" t="n"/>
      <c r="J61" s="7" t="n"/>
      <c r="K61" s="7" t="n"/>
      <c r="L61" s="7" t="n"/>
      <c r="M61" s="7">
        <f>IF(B61="","",IFERROR(VLOOKUP(B61,'F01 - _Données Retraite'!$A$6:$K$20,2,FALSE)&amp;" "&amp;VLOOKUP(B61,'F01 - _Données Retraite'!$A$6:$K$20,3,FALSE),""))</f>
        <v/>
      </c>
      <c r="N61" s="26">
        <f>IF(B61="","",IFERROR(SUMIF($B$6:$B$115,B61,$K$6:$K$115),0))</f>
        <v/>
      </c>
    </row>
    <row r="62" ht="22" customHeight="1">
      <c r="A62" s="5" t="n"/>
      <c r="B62" s="5" t="n"/>
      <c r="C62" s="5" t="n"/>
      <c r="D62" s="5" t="n"/>
      <c r="E62" s="5" t="n"/>
      <c r="F62" s="21">
        <f>IF(E62="","",IFERROR(E62-TODAY(),""))</f>
        <v/>
      </c>
      <c r="G62" s="5" t="n"/>
      <c r="H62" s="5" t="n"/>
      <c r="I62" s="5" t="n"/>
      <c r="J62" s="5" t="n"/>
      <c r="K62" s="5" t="n"/>
      <c r="L62" s="5" t="n"/>
      <c r="M62" s="5">
        <f>IF(B62="","",IFERROR(VLOOKUP(B62,'F01 - _Données Retraite'!$A$6:$K$20,2,FALSE)&amp;" "&amp;VLOOKUP(B62,'F01 - _Données Retraite'!$A$6:$K$20,3,FALSE),""))</f>
        <v/>
      </c>
      <c r="N62" s="25">
        <f>IF(B62="","",IFERROR(SUMIF($B$6:$B$115,B62,$K$6:$K$115),0))</f>
        <v/>
      </c>
    </row>
    <row r="63" ht="22" customHeight="1">
      <c r="A63" s="7" t="n"/>
      <c r="B63" s="7" t="n"/>
      <c r="C63" s="7" t="n"/>
      <c r="D63" s="7" t="n"/>
      <c r="E63" s="7" t="n"/>
      <c r="F63" s="23">
        <f>IF(E63="","",IFERROR(E63-TODAY(),""))</f>
        <v/>
      </c>
      <c r="G63" s="7" t="n"/>
      <c r="H63" s="7" t="n"/>
      <c r="I63" s="7" t="n"/>
      <c r="J63" s="7" t="n"/>
      <c r="K63" s="7" t="n"/>
      <c r="L63" s="7" t="n"/>
      <c r="M63" s="7">
        <f>IF(B63="","",IFERROR(VLOOKUP(B63,'F01 - _Données Retraite'!$A$6:$K$20,2,FALSE)&amp;" "&amp;VLOOKUP(B63,'F01 - _Données Retraite'!$A$6:$K$20,3,FALSE),""))</f>
        <v/>
      </c>
      <c r="N63" s="26">
        <f>IF(B63="","",IFERROR(SUMIF($B$6:$B$115,B63,$K$6:$K$115),0))</f>
        <v/>
      </c>
    </row>
    <row r="64" ht="22" customHeight="1">
      <c r="A64" s="5" t="n"/>
      <c r="B64" s="5" t="n"/>
      <c r="C64" s="5" t="n"/>
      <c r="D64" s="5" t="n"/>
      <c r="E64" s="5" t="n"/>
      <c r="F64" s="21">
        <f>IF(E64="","",IFERROR(E64-TODAY(),""))</f>
        <v/>
      </c>
      <c r="G64" s="5" t="n"/>
      <c r="H64" s="5" t="n"/>
      <c r="I64" s="5" t="n"/>
      <c r="J64" s="5" t="n"/>
      <c r="K64" s="5" t="n"/>
      <c r="L64" s="5" t="n"/>
      <c r="M64" s="5">
        <f>IF(B64="","",IFERROR(VLOOKUP(B64,'F01 - _Données Retraite'!$A$6:$K$20,2,FALSE)&amp;" "&amp;VLOOKUP(B64,'F01 - _Données Retraite'!$A$6:$K$20,3,FALSE),""))</f>
        <v/>
      </c>
      <c r="N64" s="25">
        <f>IF(B64="","",IFERROR(SUMIF($B$6:$B$115,B64,$K$6:$K$115),0))</f>
        <v/>
      </c>
    </row>
    <row r="65" ht="22" customHeight="1">
      <c r="A65" s="7" t="n"/>
      <c r="B65" s="7" t="n"/>
      <c r="C65" s="7" t="n"/>
      <c r="D65" s="7" t="n"/>
      <c r="E65" s="7" t="n"/>
      <c r="F65" s="23">
        <f>IF(E65="","",IFERROR(E65-TODAY(),""))</f>
        <v/>
      </c>
      <c r="G65" s="7" t="n"/>
      <c r="H65" s="7" t="n"/>
      <c r="I65" s="7" t="n"/>
      <c r="J65" s="7" t="n"/>
      <c r="K65" s="7" t="n"/>
      <c r="L65" s="7" t="n"/>
      <c r="M65" s="7">
        <f>IF(B65="","",IFERROR(VLOOKUP(B65,'F01 - _Données Retraite'!$A$6:$K$20,2,FALSE)&amp;" "&amp;VLOOKUP(B65,'F01 - _Données Retraite'!$A$6:$K$20,3,FALSE),""))</f>
        <v/>
      </c>
      <c r="N65" s="26">
        <f>IF(B65="","",IFERROR(SUMIF($B$6:$B$115,B65,$K$6:$K$115),0))</f>
        <v/>
      </c>
    </row>
    <row r="66" ht="22" customHeight="1">
      <c r="A66" s="5" t="n"/>
      <c r="B66" s="5" t="n"/>
      <c r="C66" s="5" t="n"/>
      <c r="D66" s="5" t="n"/>
      <c r="E66" s="5" t="n"/>
      <c r="F66" s="21">
        <f>IF(E66="","",IFERROR(E66-TODAY(),""))</f>
        <v/>
      </c>
      <c r="G66" s="5" t="n"/>
      <c r="H66" s="5" t="n"/>
      <c r="I66" s="5" t="n"/>
      <c r="J66" s="5" t="n"/>
      <c r="K66" s="5" t="n"/>
      <c r="L66" s="5" t="n"/>
      <c r="M66" s="5">
        <f>IF(B66="","",IFERROR(VLOOKUP(B66,'F01 - _Données Retraite'!$A$6:$K$20,2,FALSE)&amp;" "&amp;VLOOKUP(B66,'F01 - _Données Retraite'!$A$6:$K$20,3,FALSE),""))</f>
        <v/>
      </c>
      <c r="N66" s="25">
        <f>IF(B66="","",IFERROR(SUMIF($B$6:$B$115,B66,$K$6:$K$115),0))</f>
        <v/>
      </c>
    </row>
    <row r="67" ht="22" customHeight="1">
      <c r="A67" s="7" t="n"/>
      <c r="B67" s="7" t="n"/>
      <c r="C67" s="7" t="n"/>
      <c r="D67" s="7" t="n"/>
      <c r="E67" s="7" t="n"/>
      <c r="F67" s="23">
        <f>IF(E67="","",IFERROR(E67-TODAY(),""))</f>
        <v/>
      </c>
      <c r="G67" s="7" t="n"/>
      <c r="H67" s="7" t="n"/>
      <c r="I67" s="7" t="n"/>
      <c r="J67" s="7" t="n"/>
      <c r="K67" s="7" t="n"/>
      <c r="L67" s="7" t="n"/>
      <c r="M67" s="7">
        <f>IF(B67="","",IFERROR(VLOOKUP(B67,'F01 - _Données Retraite'!$A$6:$K$20,2,FALSE)&amp;" "&amp;VLOOKUP(B67,'F01 - _Données Retraite'!$A$6:$K$20,3,FALSE),""))</f>
        <v/>
      </c>
      <c r="N67" s="26">
        <f>IF(B67="","",IFERROR(SUMIF($B$6:$B$115,B67,$K$6:$K$115),0))</f>
        <v/>
      </c>
    </row>
    <row r="68" ht="22" customHeight="1">
      <c r="A68" s="5" t="n"/>
      <c r="B68" s="5" t="n"/>
      <c r="C68" s="5" t="n"/>
      <c r="D68" s="5" t="n"/>
      <c r="E68" s="5" t="n"/>
      <c r="F68" s="21">
        <f>IF(E68="","",IFERROR(E68-TODAY(),""))</f>
        <v/>
      </c>
      <c r="G68" s="5" t="n"/>
      <c r="H68" s="5" t="n"/>
      <c r="I68" s="5" t="n"/>
      <c r="J68" s="5" t="n"/>
      <c r="K68" s="5" t="n"/>
      <c r="L68" s="5" t="n"/>
      <c r="M68" s="5">
        <f>IF(B68="","",IFERROR(VLOOKUP(B68,'F01 - _Données Retraite'!$A$6:$K$20,2,FALSE)&amp;" "&amp;VLOOKUP(B68,'F01 - _Données Retraite'!$A$6:$K$20,3,FALSE),""))</f>
        <v/>
      </c>
      <c r="N68" s="25">
        <f>IF(B68="","",IFERROR(SUMIF($B$6:$B$115,B68,$K$6:$K$115),0))</f>
        <v/>
      </c>
    </row>
    <row r="69" ht="22" customHeight="1">
      <c r="A69" s="7" t="n"/>
      <c r="B69" s="7" t="n"/>
      <c r="C69" s="7" t="n"/>
      <c r="D69" s="7" t="n"/>
      <c r="E69" s="7" t="n"/>
      <c r="F69" s="23">
        <f>IF(E69="","",IFERROR(E69-TODAY(),""))</f>
        <v/>
      </c>
      <c r="G69" s="7" t="n"/>
      <c r="H69" s="7" t="n"/>
      <c r="I69" s="7" t="n"/>
      <c r="J69" s="7" t="n"/>
      <c r="K69" s="7" t="n"/>
      <c r="L69" s="7" t="n"/>
      <c r="M69" s="7">
        <f>IF(B69="","",IFERROR(VLOOKUP(B69,'F01 - _Données Retraite'!$A$6:$K$20,2,FALSE)&amp;" "&amp;VLOOKUP(B69,'F01 - _Données Retraite'!$A$6:$K$20,3,FALSE),""))</f>
        <v/>
      </c>
      <c r="N69" s="26">
        <f>IF(B69="","",IFERROR(SUMIF($B$6:$B$115,B69,$K$6:$K$115),0))</f>
        <v/>
      </c>
    </row>
    <row r="70" ht="22" customHeight="1">
      <c r="A70" s="5" t="n"/>
      <c r="B70" s="5" t="n"/>
      <c r="C70" s="5" t="n"/>
      <c r="D70" s="5" t="n"/>
      <c r="E70" s="5" t="n"/>
      <c r="F70" s="21">
        <f>IF(E70="","",IFERROR(E70-TODAY(),""))</f>
        <v/>
      </c>
      <c r="G70" s="5" t="n"/>
      <c r="H70" s="5" t="n"/>
      <c r="I70" s="5" t="n"/>
      <c r="J70" s="5" t="n"/>
      <c r="K70" s="5" t="n"/>
      <c r="L70" s="5" t="n"/>
      <c r="M70" s="5">
        <f>IF(B70="","",IFERROR(VLOOKUP(B70,'F01 - _Données Retraite'!$A$6:$K$20,2,FALSE)&amp;" "&amp;VLOOKUP(B70,'F01 - _Données Retraite'!$A$6:$K$20,3,FALSE),""))</f>
        <v/>
      </c>
      <c r="N70" s="25">
        <f>IF(B70="","",IFERROR(SUMIF($B$6:$B$115,B70,$K$6:$K$115),0))</f>
        <v/>
      </c>
    </row>
    <row r="71" ht="22" customHeight="1">
      <c r="A71" s="7" t="n"/>
      <c r="B71" s="7" t="n"/>
      <c r="C71" s="7" t="n"/>
      <c r="D71" s="7" t="n"/>
      <c r="E71" s="7" t="n"/>
      <c r="F71" s="23">
        <f>IF(E71="","",IFERROR(E71-TODAY(),""))</f>
        <v/>
      </c>
      <c r="G71" s="7" t="n"/>
      <c r="H71" s="7" t="n"/>
      <c r="I71" s="7" t="n"/>
      <c r="J71" s="7" t="n"/>
      <c r="K71" s="7" t="n"/>
      <c r="L71" s="7" t="n"/>
      <c r="M71" s="7">
        <f>IF(B71="","",IFERROR(VLOOKUP(B71,'F01 - _Données Retraite'!$A$6:$K$20,2,FALSE)&amp;" "&amp;VLOOKUP(B71,'F01 - _Données Retraite'!$A$6:$K$20,3,FALSE),""))</f>
        <v/>
      </c>
      <c r="N71" s="26">
        <f>IF(B71="","",IFERROR(SUMIF($B$6:$B$115,B71,$K$6:$K$115),0))</f>
        <v/>
      </c>
    </row>
    <row r="72" ht="22" customHeight="1">
      <c r="A72" s="5" t="n"/>
      <c r="B72" s="5" t="n"/>
      <c r="C72" s="5" t="n"/>
      <c r="D72" s="5" t="n"/>
      <c r="E72" s="5" t="n"/>
      <c r="F72" s="21">
        <f>IF(E72="","",IFERROR(E72-TODAY(),""))</f>
        <v/>
      </c>
      <c r="G72" s="5" t="n"/>
      <c r="H72" s="5" t="n"/>
      <c r="I72" s="5" t="n"/>
      <c r="J72" s="5" t="n"/>
      <c r="K72" s="5" t="n"/>
      <c r="L72" s="5" t="n"/>
      <c r="M72" s="5">
        <f>IF(B72="","",IFERROR(VLOOKUP(B72,'F01 - _Données Retraite'!$A$6:$K$20,2,FALSE)&amp;" "&amp;VLOOKUP(B72,'F01 - _Données Retraite'!$A$6:$K$20,3,FALSE),""))</f>
        <v/>
      </c>
      <c r="N72" s="25">
        <f>IF(B72="","",IFERROR(SUMIF($B$6:$B$115,B72,$K$6:$K$115),0))</f>
        <v/>
      </c>
    </row>
    <row r="73" ht="22" customHeight="1">
      <c r="A73" s="7" t="n"/>
      <c r="B73" s="7" t="n"/>
      <c r="C73" s="7" t="n"/>
      <c r="D73" s="7" t="n"/>
      <c r="E73" s="7" t="n"/>
      <c r="F73" s="23">
        <f>IF(E73="","",IFERROR(E73-TODAY(),""))</f>
        <v/>
      </c>
      <c r="G73" s="7" t="n"/>
      <c r="H73" s="7" t="n"/>
      <c r="I73" s="7" t="n"/>
      <c r="J73" s="7" t="n"/>
      <c r="K73" s="7" t="n"/>
      <c r="L73" s="7" t="n"/>
      <c r="M73" s="7">
        <f>IF(B73="","",IFERROR(VLOOKUP(B73,'F01 - _Données Retraite'!$A$6:$K$20,2,FALSE)&amp;" "&amp;VLOOKUP(B73,'F01 - _Données Retraite'!$A$6:$K$20,3,FALSE),""))</f>
        <v/>
      </c>
      <c r="N73" s="26">
        <f>IF(B73="","",IFERROR(SUMIF($B$6:$B$115,B73,$K$6:$K$115),0))</f>
        <v/>
      </c>
    </row>
    <row r="74" ht="22" customHeight="1">
      <c r="A74" s="5" t="n"/>
      <c r="B74" s="5" t="n"/>
      <c r="C74" s="5" t="n"/>
      <c r="D74" s="5" t="n"/>
      <c r="E74" s="5" t="n"/>
      <c r="F74" s="21">
        <f>IF(E74="","",IFERROR(E74-TODAY(),""))</f>
        <v/>
      </c>
      <c r="G74" s="5" t="n"/>
      <c r="H74" s="5" t="n"/>
      <c r="I74" s="5" t="n"/>
      <c r="J74" s="5" t="n"/>
      <c r="K74" s="5" t="n"/>
      <c r="L74" s="5" t="n"/>
      <c r="M74" s="5">
        <f>IF(B74="","",IFERROR(VLOOKUP(B74,'F01 - _Données Retraite'!$A$6:$K$20,2,FALSE)&amp;" "&amp;VLOOKUP(B74,'F01 - _Données Retraite'!$A$6:$K$20,3,FALSE),""))</f>
        <v/>
      </c>
      <c r="N74" s="25">
        <f>IF(B74="","",IFERROR(SUMIF($B$6:$B$115,B74,$K$6:$K$115),0))</f>
        <v/>
      </c>
    </row>
    <row r="75" ht="22" customHeight="1">
      <c r="A75" s="7" t="n"/>
      <c r="B75" s="7" t="n"/>
      <c r="C75" s="7" t="n"/>
      <c r="D75" s="7" t="n"/>
      <c r="E75" s="7" t="n"/>
      <c r="F75" s="23">
        <f>IF(E75="","",IFERROR(E75-TODAY(),""))</f>
        <v/>
      </c>
      <c r="G75" s="7" t="n"/>
      <c r="H75" s="7" t="n"/>
      <c r="I75" s="7" t="n"/>
      <c r="J75" s="7" t="n"/>
      <c r="K75" s="7" t="n"/>
      <c r="L75" s="7" t="n"/>
      <c r="M75" s="7">
        <f>IF(B75="","",IFERROR(VLOOKUP(B75,'F01 - _Données Retraite'!$A$6:$K$20,2,FALSE)&amp;" "&amp;VLOOKUP(B75,'F01 - _Données Retraite'!$A$6:$K$20,3,FALSE),""))</f>
        <v/>
      </c>
      <c r="N75" s="26">
        <f>IF(B75="","",IFERROR(SUMIF($B$6:$B$115,B75,$K$6:$K$115),0))</f>
        <v/>
      </c>
    </row>
    <row r="76" ht="22" customHeight="1">
      <c r="A76" s="5" t="n"/>
      <c r="B76" s="5" t="n"/>
      <c r="C76" s="5" t="n"/>
      <c r="D76" s="5" t="n"/>
      <c r="E76" s="5" t="n"/>
      <c r="F76" s="21">
        <f>IF(E76="","",IFERROR(E76-TODAY(),""))</f>
        <v/>
      </c>
      <c r="G76" s="5" t="n"/>
      <c r="H76" s="5" t="n"/>
      <c r="I76" s="5" t="n"/>
      <c r="J76" s="5" t="n"/>
      <c r="K76" s="5" t="n"/>
      <c r="L76" s="5" t="n"/>
      <c r="M76" s="5">
        <f>IF(B76="","",IFERROR(VLOOKUP(B76,'F01 - _Données Retraite'!$A$6:$K$20,2,FALSE)&amp;" "&amp;VLOOKUP(B76,'F01 - _Données Retraite'!$A$6:$K$20,3,FALSE),""))</f>
        <v/>
      </c>
      <c r="N76" s="25">
        <f>IF(B76="","",IFERROR(SUMIF($B$6:$B$115,B76,$K$6:$K$115),0))</f>
        <v/>
      </c>
    </row>
    <row r="77" ht="22" customHeight="1">
      <c r="A77" s="7" t="n"/>
      <c r="B77" s="7" t="n"/>
      <c r="C77" s="7" t="n"/>
      <c r="D77" s="7" t="n"/>
      <c r="E77" s="7" t="n"/>
      <c r="F77" s="23">
        <f>IF(E77="","",IFERROR(E77-TODAY(),""))</f>
        <v/>
      </c>
      <c r="G77" s="7" t="n"/>
      <c r="H77" s="7" t="n"/>
      <c r="I77" s="7" t="n"/>
      <c r="J77" s="7" t="n"/>
      <c r="K77" s="7" t="n"/>
      <c r="L77" s="7" t="n"/>
      <c r="M77" s="7">
        <f>IF(B77="","",IFERROR(VLOOKUP(B77,'F01 - _Données Retraite'!$A$6:$K$20,2,FALSE)&amp;" "&amp;VLOOKUP(B77,'F01 - _Données Retraite'!$A$6:$K$20,3,FALSE),""))</f>
        <v/>
      </c>
      <c r="N77" s="26">
        <f>IF(B77="","",IFERROR(SUMIF($B$6:$B$115,B77,$K$6:$K$115),0))</f>
        <v/>
      </c>
    </row>
    <row r="78" ht="22" customHeight="1">
      <c r="A78" s="5" t="n"/>
      <c r="B78" s="5" t="n"/>
      <c r="C78" s="5" t="n"/>
      <c r="D78" s="5" t="n"/>
      <c r="E78" s="5" t="n"/>
      <c r="F78" s="21">
        <f>IF(E78="","",IFERROR(E78-TODAY(),""))</f>
        <v/>
      </c>
      <c r="G78" s="5" t="n"/>
      <c r="H78" s="5" t="n"/>
      <c r="I78" s="5" t="n"/>
      <c r="J78" s="5" t="n"/>
      <c r="K78" s="5" t="n"/>
      <c r="L78" s="5" t="n"/>
      <c r="M78" s="5">
        <f>IF(B78="","",IFERROR(VLOOKUP(B78,'F01 - _Données Retraite'!$A$6:$K$20,2,FALSE)&amp;" "&amp;VLOOKUP(B78,'F01 - _Données Retraite'!$A$6:$K$20,3,FALSE),""))</f>
        <v/>
      </c>
      <c r="N78" s="25">
        <f>IF(B78="","",IFERROR(SUMIF($B$6:$B$115,B78,$K$6:$K$115),0))</f>
        <v/>
      </c>
    </row>
    <row r="79" ht="22" customHeight="1">
      <c r="A79" s="7" t="n"/>
      <c r="B79" s="7" t="n"/>
      <c r="C79" s="7" t="n"/>
      <c r="D79" s="7" t="n"/>
      <c r="E79" s="7" t="n"/>
      <c r="F79" s="23">
        <f>IF(E79="","",IFERROR(E79-TODAY(),""))</f>
        <v/>
      </c>
      <c r="G79" s="7" t="n"/>
      <c r="H79" s="7" t="n"/>
      <c r="I79" s="7" t="n"/>
      <c r="J79" s="7" t="n"/>
      <c r="K79" s="7" t="n"/>
      <c r="L79" s="7" t="n"/>
      <c r="M79" s="7">
        <f>IF(B79="","",IFERROR(VLOOKUP(B79,'F01 - _Données Retraite'!$A$6:$K$20,2,FALSE)&amp;" "&amp;VLOOKUP(B79,'F01 - _Données Retraite'!$A$6:$K$20,3,FALSE),""))</f>
        <v/>
      </c>
      <c r="N79" s="26">
        <f>IF(B79="","",IFERROR(SUMIF($B$6:$B$115,B79,$K$6:$K$115),0))</f>
        <v/>
      </c>
    </row>
    <row r="80" ht="22" customHeight="1">
      <c r="A80" s="5" t="n"/>
      <c r="B80" s="5" t="n"/>
      <c r="C80" s="5" t="n"/>
      <c r="D80" s="5" t="n"/>
      <c r="E80" s="5" t="n"/>
      <c r="F80" s="21">
        <f>IF(E80="","",IFERROR(E80-TODAY(),""))</f>
        <v/>
      </c>
      <c r="G80" s="5" t="n"/>
      <c r="H80" s="5" t="n"/>
      <c r="I80" s="5" t="n"/>
      <c r="J80" s="5" t="n"/>
      <c r="K80" s="5" t="n"/>
      <c r="L80" s="5" t="n"/>
      <c r="M80" s="5">
        <f>IF(B80="","",IFERROR(VLOOKUP(B80,'F01 - _Données Retraite'!$A$6:$K$20,2,FALSE)&amp;" "&amp;VLOOKUP(B80,'F01 - _Données Retraite'!$A$6:$K$20,3,FALSE),""))</f>
        <v/>
      </c>
      <c r="N80" s="25">
        <f>IF(B80="","",IFERROR(SUMIF($B$6:$B$115,B80,$K$6:$K$115),0))</f>
        <v/>
      </c>
    </row>
    <row r="81" ht="22" customHeight="1">
      <c r="A81" s="7" t="n"/>
      <c r="B81" s="7" t="n"/>
      <c r="C81" s="7" t="n"/>
      <c r="D81" s="7" t="n"/>
      <c r="E81" s="7" t="n"/>
      <c r="F81" s="23">
        <f>IF(E81="","",IFERROR(E81-TODAY(),""))</f>
        <v/>
      </c>
      <c r="G81" s="7" t="n"/>
      <c r="H81" s="7" t="n"/>
      <c r="I81" s="7" t="n"/>
      <c r="J81" s="7" t="n"/>
      <c r="K81" s="7" t="n"/>
      <c r="L81" s="7" t="n"/>
      <c r="M81" s="7">
        <f>IF(B81="","",IFERROR(VLOOKUP(B81,'F01 - _Données Retraite'!$A$6:$K$20,2,FALSE)&amp;" "&amp;VLOOKUP(B81,'F01 - _Données Retraite'!$A$6:$K$20,3,FALSE),""))</f>
        <v/>
      </c>
      <c r="N81" s="26">
        <f>IF(B81="","",IFERROR(SUMIF($B$6:$B$115,B81,$K$6:$K$115),0))</f>
        <v/>
      </c>
    </row>
    <row r="82" ht="22" customHeight="1">
      <c r="A82" s="5" t="n"/>
      <c r="B82" s="5" t="n"/>
      <c r="C82" s="5" t="n"/>
      <c r="D82" s="5" t="n"/>
      <c r="E82" s="5" t="n"/>
      <c r="F82" s="21">
        <f>IF(E82="","",IFERROR(E82-TODAY(),""))</f>
        <v/>
      </c>
      <c r="G82" s="5" t="n"/>
      <c r="H82" s="5" t="n"/>
      <c r="I82" s="5" t="n"/>
      <c r="J82" s="5" t="n"/>
      <c r="K82" s="5" t="n"/>
      <c r="L82" s="5" t="n"/>
      <c r="M82" s="5">
        <f>IF(B82="","",IFERROR(VLOOKUP(B82,'F01 - _Données Retraite'!$A$6:$K$20,2,FALSE)&amp;" "&amp;VLOOKUP(B82,'F01 - _Données Retraite'!$A$6:$K$20,3,FALSE),""))</f>
        <v/>
      </c>
      <c r="N82" s="25">
        <f>IF(B82="","",IFERROR(SUMIF($B$6:$B$115,B82,$K$6:$K$115),0))</f>
        <v/>
      </c>
    </row>
    <row r="83" ht="22" customHeight="1">
      <c r="A83" s="7" t="n"/>
      <c r="B83" s="7" t="n"/>
      <c r="C83" s="7" t="n"/>
      <c r="D83" s="7" t="n"/>
      <c r="E83" s="7" t="n"/>
      <c r="F83" s="23">
        <f>IF(E83="","",IFERROR(E83-TODAY(),""))</f>
        <v/>
      </c>
      <c r="G83" s="7" t="n"/>
      <c r="H83" s="7" t="n"/>
      <c r="I83" s="7" t="n"/>
      <c r="J83" s="7" t="n"/>
      <c r="K83" s="7" t="n"/>
      <c r="L83" s="7" t="n"/>
      <c r="M83" s="7">
        <f>IF(B83="","",IFERROR(VLOOKUP(B83,'F01 - _Données Retraite'!$A$6:$K$20,2,FALSE)&amp;" "&amp;VLOOKUP(B83,'F01 - _Données Retraite'!$A$6:$K$20,3,FALSE),""))</f>
        <v/>
      </c>
      <c r="N83" s="26">
        <f>IF(B83="","",IFERROR(SUMIF($B$6:$B$115,B83,$K$6:$K$115),0))</f>
        <v/>
      </c>
    </row>
    <row r="84" ht="22" customHeight="1">
      <c r="A84" s="5" t="n"/>
      <c r="B84" s="5" t="n"/>
      <c r="C84" s="5" t="n"/>
      <c r="D84" s="5" t="n"/>
      <c r="E84" s="5" t="n"/>
      <c r="F84" s="21">
        <f>IF(E84="","",IFERROR(E84-TODAY(),""))</f>
        <v/>
      </c>
      <c r="G84" s="5" t="n"/>
      <c r="H84" s="5" t="n"/>
      <c r="I84" s="5" t="n"/>
      <c r="J84" s="5" t="n"/>
      <c r="K84" s="5" t="n"/>
      <c r="L84" s="5" t="n"/>
      <c r="M84" s="5">
        <f>IF(B84="","",IFERROR(VLOOKUP(B84,'F01 - _Données Retraite'!$A$6:$K$20,2,FALSE)&amp;" "&amp;VLOOKUP(B84,'F01 - _Données Retraite'!$A$6:$K$20,3,FALSE),""))</f>
        <v/>
      </c>
      <c r="N84" s="25">
        <f>IF(B84="","",IFERROR(SUMIF($B$6:$B$115,B84,$K$6:$K$115),0))</f>
        <v/>
      </c>
    </row>
    <row r="85" ht="22" customHeight="1">
      <c r="A85" s="7" t="n"/>
      <c r="B85" s="7" t="n"/>
      <c r="C85" s="7" t="n"/>
      <c r="D85" s="7" t="n"/>
      <c r="E85" s="7" t="n"/>
      <c r="F85" s="23">
        <f>IF(E85="","",IFERROR(E85-TODAY(),""))</f>
        <v/>
      </c>
      <c r="G85" s="7" t="n"/>
      <c r="H85" s="7" t="n"/>
      <c r="I85" s="7" t="n"/>
      <c r="J85" s="7" t="n"/>
      <c r="K85" s="7" t="n"/>
      <c r="L85" s="7" t="n"/>
      <c r="M85" s="7">
        <f>IF(B85="","",IFERROR(VLOOKUP(B85,'F01 - _Données Retraite'!$A$6:$K$20,2,FALSE)&amp;" "&amp;VLOOKUP(B85,'F01 - _Données Retraite'!$A$6:$K$20,3,FALSE),""))</f>
        <v/>
      </c>
      <c r="N85" s="26">
        <f>IF(B85="","",IFERROR(SUMIF($B$6:$B$115,B85,$K$6:$K$115),0))</f>
        <v/>
      </c>
    </row>
    <row r="86" ht="22" customHeight="1">
      <c r="A86" s="5" t="n"/>
      <c r="B86" s="5" t="n"/>
      <c r="C86" s="5" t="n"/>
      <c r="D86" s="5" t="n"/>
      <c r="E86" s="5" t="n"/>
      <c r="F86" s="21">
        <f>IF(E86="","",IFERROR(E86-TODAY(),""))</f>
        <v/>
      </c>
      <c r="G86" s="5" t="n"/>
      <c r="H86" s="5" t="n"/>
      <c r="I86" s="5" t="n"/>
      <c r="J86" s="5" t="n"/>
      <c r="K86" s="5" t="n"/>
      <c r="L86" s="5" t="n"/>
      <c r="M86" s="5">
        <f>IF(B86="","",IFERROR(VLOOKUP(B86,'F01 - _Données Retraite'!$A$6:$K$20,2,FALSE)&amp;" "&amp;VLOOKUP(B86,'F01 - _Données Retraite'!$A$6:$K$20,3,FALSE),""))</f>
        <v/>
      </c>
      <c r="N86" s="25">
        <f>IF(B86="","",IFERROR(SUMIF($B$6:$B$115,B86,$K$6:$K$115),0))</f>
        <v/>
      </c>
    </row>
    <row r="87" ht="22" customHeight="1">
      <c r="A87" s="7" t="n"/>
      <c r="B87" s="7" t="n"/>
      <c r="C87" s="7" t="n"/>
      <c r="D87" s="7" t="n"/>
      <c r="E87" s="7" t="n"/>
      <c r="F87" s="23">
        <f>IF(E87="","",IFERROR(E87-TODAY(),""))</f>
        <v/>
      </c>
      <c r="G87" s="7" t="n"/>
      <c r="H87" s="7" t="n"/>
      <c r="I87" s="7" t="n"/>
      <c r="J87" s="7" t="n"/>
      <c r="K87" s="7" t="n"/>
      <c r="L87" s="7" t="n"/>
      <c r="M87" s="7">
        <f>IF(B87="","",IFERROR(VLOOKUP(B87,'F01 - _Données Retraite'!$A$6:$K$20,2,FALSE)&amp;" "&amp;VLOOKUP(B87,'F01 - _Données Retraite'!$A$6:$K$20,3,FALSE),""))</f>
        <v/>
      </c>
      <c r="N87" s="26">
        <f>IF(B87="","",IFERROR(SUMIF($B$6:$B$115,B87,$K$6:$K$115),0))</f>
        <v/>
      </c>
    </row>
    <row r="88" ht="22" customHeight="1">
      <c r="A88" s="5" t="n"/>
      <c r="B88" s="5" t="n"/>
      <c r="C88" s="5" t="n"/>
      <c r="D88" s="5" t="n"/>
      <c r="E88" s="5" t="n"/>
      <c r="F88" s="21">
        <f>IF(E88="","",IFERROR(E88-TODAY(),""))</f>
        <v/>
      </c>
      <c r="G88" s="5" t="n"/>
      <c r="H88" s="5" t="n"/>
      <c r="I88" s="5" t="n"/>
      <c r="J88" s="5" t="n"/>
      <c r="K88" s="5" t="n"/>
      <c r="L88" s="5" t="n"/>
      <c r="M88" s="5">
        <f>IF(B88="","",IFERROR(VLOOKUP(B88,'F01 - _Données Retraite'!$A$6:$K$20,2,FALSE)&amp;" "&amp;VLOOKUP(B88,'F01 - _Données Retraite'!$A$6:$K$20,3,FALSE),""))</f>
        <v/>
      </c>
      <c r="N88" s="25">
        <f>IF(B88="","",IFERROR(SUMIF($B$6:$B$115,B88,$K$6:$K$115),0))</f>
        <v/>
      </c>
    </row>
    <row r="89" ht="22" customHeight="1">
      <c r="A89" s="7" t="n"/>
      <c r="B89" s="7" t="n"/>
      <c r="C89" s="7" t="n"/>
      <c r="D89" s="7" t="n"/>
      <c r="E89" s="7" t="n"/>
      <c r="F89" s="23">
        <f>IF(E89="","",IFERROR(E89-TODAY(),""))</f>
        <v/>
      </c>
      <c r="G89" s="7" t="n"/>
      <c r="H89" s="7" t="n"/>
      <c r="I89" s="7" t="n"/>
      <c r="J89" s="7" t="n"/>
      <c r="K89" s="7" t="n"/>
      <c r="L89" s="7" t="n"/>
      <c r="M89" s="7">
        <f>IF(B89="","",IFERROR(VLOOKUP(B89,'F01 - _Données Retraite'!$A$6:$K$20,2,FALSE)&amp;" "&amp;VLOOKUP(B89,'F01 - _Données Retraite'!$A$6:$K$20,3,FALSE),""))</f>
        <v/>
      </c>
      <c r="N89" s="26">
        <f>IF(B89="","",IFERROR(SUMIF($B$6:$B$115,B89,$K$6:$K$115),0))</f>
        <v/>
      </c>
    </row>
    <row r="90" ht="22" customHeight="1">
      <c r="A90" s="5" t="n"/>
      <c r="B90" s="5" t="n"/>
      <c r="C90" s="5" t="n"/>
      <c r="D90" s="5" t="n"/>
      <c r="E90" s="5" t="n"/>
      <c r="F90" s="21">
        <f>IF(E90="","",IFERROR(E90-TODAY(),""))</f>
        <v/>
      </c>
      <c r="G90" s="5" t="n"/>
      <c r="H90" s="5" t="n"/>
      <c r="I90" s="5" t="n"/>
      <c r="J90" s="5" t="n"/>
      <c r="K90" s="5" t="n"/>
      <c r="L90" s="5" t="n"/>
      <c r="M90" s="5">
        <f>IF(B90="","",IFERROR(VLOOKUP(B90,'F01 - _Données Retraite'!$A$6:$K$20,2,FALSE)&amp;" "&amp;VLOOKUP(B90,'F01 - _Données Retraite'!$A$6:$K$20,3,FALSE),""))</f>
        <v/>
      </c>
      <c r="N90" s="25">
        <f>IF(B90="","",IFERROR(SUMIF($B$6:$B$115,B90,$K$6:$K$115),0))</f>
        <v/>
      </c>
    </row>
    <row r="91" ht="22" customHeight="1">
      <c r="A91" s="7" t="n"/>
      <c r="B91" s="7" t="n"/>
      <c r="C91" s="7" t="n"/>
      <c r="D91" s="7" t="n"/>
      <c r="E91" s="7" t="n"/>
      <c r="F91" s="23">
        <f>IF(E91="","",IFERROR(E91-TODAY(),""))</f>
        <v/>
      </c>
      <c r="G91" s="7" t="n"/>
      <c r="H91" s="7" t="n"/>
      <c r="I91" s="7" t="n"/>
      <c r="J91" s="7" t="n"/>
      <c r="K91" s="7" t="n"/>
      <c r="L91" s="7" t="n"/>
      <c r="M91" s="7">
        <f>IF(B91="","",IFERROR(VLOOKUP(B91,'F01 - _Données Retraite'!$A$6:$K$20,2,FALSE)&amp;" "&amp;VLOOKUP(B91,'F01 - _Données Retraite'!$A$6:$K$20,3,FALSE),""))</f>
        <v/>
      </c>
      <c r="N91" s="26">
        <f>IF(B91="","",IFERROR(SUMIF($B$6:$B$115,B91,$K$6:$K$115),0))</f>
        <v/>
      </c>
    </row>
    <row r="92" ht="22" customHeight="1">
      <c r="A92" s="5" t="n"/>
      <c r="B92" s="5" t="n"/>
      <c r="C92" s="5" t="n"/>
      <c r="D92" s="5" t="n"/>
      <c r="E92" s="5" t="n"/>
      <c r="F92" s="21">
        <f>IF(E92="","",IFERROR(E92-TODAY(),""))</f>
        <v/>
      </c>
      <c r="G92" s="5" t="n"/>
      <c r="H92" s="5" t="n"/>
      <c r="I92" s="5" t="n"/>
      <c r="J92" s="5" t="n"/>
      <c r="K92" s="5" t="n"/>
      <c r="L92" s="5" t="n"/>
      <c r="M92" s="5">
        <f>IF(B92="","",IFERROR(VLOOKUP(B92,'F01 - _Données Retraite'!$A$6:$K$20,2,FALSE)&amp;" "&amp;VLOOKUP(B92,'F01 - _Données Retraite'!$A$6:$K$20,3,FALSE),""))</f>
        <v/>
      </c>
      <c r="N92" s="25">
        <f>IF(B92="","",IFERROR(SUMIF($B$6:$B$115,B92,$K$6:$K$115),0))</f>
        <v/>
      </c>
    </row>
    <row r="93" ht="22" customHeight="1">
      <c r="A93" s="7" t="n"/>
      <c r="B93" s="7" t="n"/>
      <c r="C93" s="7" t="n"/>
      <c r="D93" s="7" t="n"/>
      <c r="E93" s="7" t="n"/>
      <c r="F93" s="23">
        <f>IF(E93="","",IFERROR(E93-TODAY(),""))</f>
        <v/>
      </c>
      <c r="G93" s="7" t="n"/>
      <c r="H93" s="7" t="n"/>
      <c r="I93" s="7" t="n"/>
      <c r="J93" s="7" t="n"/>
      <c r="K93" s="7" t="n"/>
      <c r="L93" s="7" t="n"/>
      <c r="M93" s="7">
        <f>IF(B93="","",IFERROR(VLOOKUP(B93,'F01 - _Données Retraite'!$A$6:$K$20,2,FALSE)&amp;" "&amp;VLOOKUP(B93,'F01 - _Données Retraite'!$A$6:$K$20,3,FALSE),""))</f>
        <v/>
      </c>
      <c r="N93" s="26">
        <f>IF(B93="","",IFERROR(SUMIF($B$6:$B$115,B93,$K$6:$K$115),0))</f>
        <v/>
      </c>
    </row>
    <row r="94" ht="22" customHeight="1">
      <c r="A94" s="5" t="n"/>
      <c r="B94" s="5" t="n"/>
      <c r="C94" s="5" t="n"/>
      <c r="D94" s="5" t="n"/>
      <c r="E94" s="5" t="n"/>
      <c r="F94" s="21">
        <f>IF(E94="","",IFERROR(E94-TODAY(),""))</f>
        <v/>
      </c>
      <c r="G94" s="5" t="n"/>
      <c r="H94" s="5" t="n"/>
      <c r="I94" s="5" t="n"/>
      <c r="J94" s="5" t="n"/>
      <c r="K94" s="5" t="n"/>
      <c r="L94" s="5" t="n"/>
      <c r="M94" s="5">
        <f>IF(B94="","",IFERROR(VLOOKUP(B94,'F01 - _Données Retraite'!$A$6:$K$20,2,FALSE)&amp;" "&amp;VLOOKUP(B94,'F01 - _Données Retraite'!$A$6:$K$20,3,FALSE),""))</f>
        <v/>
      </c>
      <c r="N94" s="25">
        <f>IF(B94="","",IFERROR(SUMIF($B$6:$B$115,B94,$K$6:$K$115),0))</f>
        <v/>
      </c>
    </row>
    <row r="95" ht="22" customHeight="1">
      <c r="A95" s="7" t="n"/>
      <c r="B95" s="7" t="n"/>
      <c r="C95" s="7" t="n"/>
      <c r="D95" s="7" t="n"/>
      <c r="E95" s="7" t="n"/>
      <c r="F95" s="23">
        <f>IF(E95="","",IFERROR(E95-TODAY(),""))</f>
        <v/>
      </c>
      <c r="G95" s="7" t="n"/>
      <c r="H95" s="7" t="n"/>
      <c r="I95" s="7" t="n"/>
      <c r="J95" s="7" t="n"/>
      <c r="K95" s="7" t="n"/>
      <c r="L95" s="7" t="n"/>
      <c r="M95" s="7">
        <f>IF(B95="","",IFERROR(VLOOKUP(B95,'F01 - _Données Retraite'!$A$6:$K$20,2,FALSE)&amp;" "&amp;VLOOKUP(B95,'F01 - _Données Retraite'!$A$6:$K$20,3,FALSE),""))</f>
        <v/>
      </c>
      <c r="N95" s="26">
        <f>IF(B95="","",IFERROR(SUMIF($B$6:$B$115,B95,$K$6:$K$115),0))</f>
        <v/>
      </c>
    </row>
    <row r="96" ht="22" customHeight="1">
      <c r="A96" s="5" t="n"/>
      <c r="B96" s="5" t="n"/>
      <c r="C96" s="5" t="n"/>
      <c r="D96" s="5" t="n"/>
      <c r="E96" s="5" t="n"/>
      <c r="F96" s="21">
        <f>IF(E96="","",IFERROR(E96-TODAY(),""))</f>
        <v/>
      </c>
      <c r="G96" s="5" t="n"/>
      <c r="H96" s="5" t="n"/>
      <c r="I96" s="5" t="n"/>
      <c r="J96" s="5" t="n"/>
      <c r="K96" s="5" t="n"/>
      <c r="L96" s="5" t="n"/>
      <c r="M96" s="5">
        <f>IF(B96="","",IFERROR(VLOOKUP(B96,'F01 - _Données Retraite'!$A$6:$K$20,2,FALSE)&amp;" "&amp;VLOOKUP(B96,'F01 - _Données Retraite'!$A$6:$K$20,3,FALSE),""))</f>
        <v/>
      </c>
      <c r="N96" s="25">
        <f>IF(B96="","",IFERROR(SUMIF($B$6:$B$115,B96,$K$6:$K$115),0))</f>
        <v/>
      </c>
    </row>
    <row r="97" ht="22" customHeight="1">
      <c r="A97" s="7" t="n"/>
      <c r="B97" s="7" t="n"/>
      <c r="C97" s="7" t="n"/>
      <c r="D97" s="7" t="n"/>
      <c r="E97" s="7" t="n"/>
      <c r="F97" s="23">
        <f>IF(E97="","",IFERROR(E97-TODAY(),""))</f>
        <v/>
      </c>
      <c r="G97" s="7" t="n"/>
      <c r="H97" s="7" t="n"/>
      <c r="I97" s="7" t="n"/>
      <c r="J97" s="7" t="n"/>
      <c r="K97" s="7" t="n"/>
      <c r="L97" s="7" t="n"/>
      <c r="M97" s="7">
        <f>IF(B97="","",IFERROR(VLOOKUP(B97,'F01 - _Données Retraite'!$A$6:$K$20,2,FALSE)&amp;" "&amp;VLOOKUP(B97,'F01 - _Données Retraite'!$A$6:$K$20,3,FALSE),""))</f>
        <v/>
      </c>
      <c r="N97" s="26">
        <f>IF(B97="","",IFERROR(SUMIF($B$6:$B$115,B97,$K$6:$K$115),0))</f>
        <v/>
      </c>
    </row>
    <row r="98" ht="22" customHeight="1">
      <c r="A98" s="5" t="n"/>
      <c r="B98" s="5" t="n"/>
      <c r="C98" s="5" t="n"/>
      <c r="D98" s="5" t="n"/>
      <c r="E98" s="5" t="n"/>
      <c r="F98" s="21">
        <f>IF(E98="","",IFERROR(E98-TODAY(),""))</f>
        <v/>
      </c>
      <c r="G98" s="5" t="n"/>
      <c r="H98" s="5" t="n"/>
      <c r="I98" s="5" t="n"/>
      <c r="J98" s="5" t="n"/>
      <c r="K98" s="5" t="n"/>
      <c r="L98" s="5" t="n"/>
      <c r="M98" s="5">
        <f>IF(B98="","",IFERROR(VLOOKUP(B98,'F01 - _Données Retraite'!$A$6:$K$20,2,FALSE)&amp;" "&amp;VLOOKUP(B98,'F01 - _Données Retraite'!$A$6:$K$20,3,FALSE),""))</f>
        <v/>
      </c>
      <c r="N98" s="25">
        <f>IF(B98="","",IFERROR(SUMIF($B$6:$B$115,B98,$K$6:$K$115),0))</f>
        <v/>
      </c>
    </row>
    <row r="99" ht="22" customHeight="1">
      <c r="A99" s="7" t="n"/>
      <c r="B99" s="7" t="n"/>
      <c r="C99" s="7" t="n"/>
      <c r="D99" s="7" t="n"/>
      <c r="E99" s="7" t="n"/>
      <c r="F99" s="23">
        <f>IF(E99="","",IFERROR(E99-TODAY(),""))</f>
        <v/>
      </c>
      <c r="G99" s="7" t="n"/>
      <c r="H99" s="7" t="n"/>
      <c r="I99" s="7" t="n"/>
      <c r="J99" s="7" t="n"/>
      <c r="K99" s="7" t="n"/>
      <c r="L99" s="7" t="n"/>
      <c r="M99" s="7">
        <f>IF(B99="","",IFERROR(VLOOKUP(B99,'F01 - _Données Retraite'!$A$6:$K$20,2,FALSE)&amp;" "&amp;VLOOKUP(B99,'F01 - _Données Retraite'!$A$6:$K$20,3,FALSE),""))</f>
        <v/>
      </c>
      <c r="N99" s="26">
        <f>IF(B99="","",IFERROR(SUMIF($B$6:$B$115,B99,$K$6:$K$115),0))</f>
        <v/>
      </c>
    </row>
    <row r="100" ht="22" customHeight="1">
      <c r="A100" s="5" t="n"/>
      <c r="B100" s="5" t="n"/>
      <c r="C100" s="5" t="n"/>
      <c r="D100" s="5" t="n"/>
      <c r="E100" s="5" t="n"/>
      <c r="F100" s="21">
        <f>IF(E100="","",IFERROR(E100-TODAY(),""))</f>
        <v/>
      </c>
      <c r="G100" s="5" t="n"/>
      <c r="H100" s="5" t="n"/>
      <c r="I100" s="5" t="n"/>
      <c r="J100" s="5" t="n"/>
      <c r="K100" s="5" t="n"/>
      <c r="L100" s="5" t="n"/>
      <c r="M100" s="5">
        <f>IF(B100="","",IFERROR(VLOOKUP(B100,'F01 - _Données Retraite'!$A$6:$K$20,2,FALSE)&amp;" "&amp;VLOOKUP(B100,'F01 - _Données Retraite'!$A$6:$K$20,3,FALSE),""))</f>
        <v/>
      </c>
      <c r="N100" s="25">
        <f>IF(B100="","",IFERROR(SUMIF($B$6:$B$115,B100,$K$6:$K$115),0))</f>
        <v/>
      </c>
    </row>
    <row r="101" ht="22" customHeight="1">
      <c r="A101" s="7" t="n"/>
      <c r="B101" s="7" t="n"/>
      <c r="C101" s="7" t="n"/>
      <c r="D101" s="7" t="n"/>
      <c r="E101" s="7" t="n"/>
      <c r="F101" s="23">
        <f>IF(E101="","",IFERROR(E101-TODAY(),""))</f>
        <v/>
      </c>
      <c r="G101" s="7" t="n"/>
      <c r="H101" s="7" t="n"/>
      <c r="I101" s="7" t="n"/>
      <c r="J101" s="7" t="n"/>
      <c r="K101" s="7" t="n"/>
      <c r="L101" s="7" t="n"/>
      <c r="M101" s="7">
        <f>IF(B101="","",IFERROR(VLOOKUP(B101,'F01 - _Données Retraite'!$A$6:$K$20,2,FALSE)&amp;" "&amp;VLOOKUP(B101,'F01 - _Données Retraite'!$A$6:$K$20,3,FALSE),""))</f>
        <v/>
      </c>
      <c r="N101" s="26">
        <f>IF(B101="","",IFERROR(SUMIF($B$6:$B$115,B101,$K$6:$K$115),0))</f>
        <v/>
      </c>
    </row>
    <row r="102" ht="22" customHeight="1">
      <c r="A102" s="5" t="n"/>
      <c r="B102" s="5" t="n"/>
      <c r="C102" s="5" t="n"/>
      <c r="D102" s="5" t="n"/>
      <c r="E102" s="5" t="n"/>
      <c r="F102" s="21">
        <f>IF(E102="","",IFERROR(E102-TODAY(),""))</f>
        <v/>
      </c>
      <c r="G102" s="5" t="n"/>
      <c r="H102" s="5" t="n"/>
      <c r="I102" s="5" t="n"/>
      <c r="J102" s="5" t="n"/>
      <c r="K102" s="5" t="n"/>
      <c r="L102" s="5" t="n"/>
      <c r="M102" s="5">
        <f>IF(B102="","",IFERROR(VLOOKUP(B102,'F01 - _Données Retraite'!$A$6:$K$20,2,FALSE)&amp;" "&amp;VLOOKUP(B102,'F01 - _Données Retraite'!$A$6:$K$20,3,FALSE),""))</f>
        <v/>
      </c>
      <c r="N102" s="25">
        <f>IF(B102="","",IFERROR(SUMIF($B$6:$B$115,B102,$K$6:$K$115),0))</f>
        <v/>
      </c>
    </row>
    <row r="103" ht="22" customHeight="1">
      <c r="A103" s="7" t="n"/>
      <c r="B103" s="7" t="n"/>
      <c r="C103" s="7" t="n"/>
      <c r="D103" s="7" t="n"/>
      <c r="E103" s="7" t="n"/>
      <c r="F103" s="23">
        <f>IF(E103="","",IFERROR(E103-TODAY(),""))</f>
        <v/>
      </c>
      <c r="G103" s="7" t="n"/>
      <c r="H103" s="7" t="n"/>
      <c r="I103" s="7" t="n"/>
      <c r="J103" s="7" t="n"/>
      <c r="K103" s="7" t="n"/>
      <c r="L103" s="7" t="n"/>
      <c r="M103" s="7">
        <f>IF(B103="","",IFERROR(VLOOKUP(B103,'F01 - _Données Retraite'!$A$6:$K$20,2,FALSE)&amp;" "&amp;VLOOKUP(B103,'F01 - _Données Retraite'!$A$6:$K$20,3,FALSE),""))</f>
        <v/>
      </c>
      <c r="N103" s="26">
        <f>IF(B103="","",IFERROR(SUMIF($B$6:$B$115,B103,$K$6:$K$115),0))</f>
        <v/>
      </c>
    </row>
    <row r="104" ht="22" customHeight="1">
      <c r="A104" s="5" t="n"/>
      <c r="B104" s="5" t="n"/>
      <c r="C104" s="5" t="n"/>
      <c r="D104" s="5" t="n"/>
      <c r="E104" s="5" t="n"/>
      <c r="F104" s="21">
        <f>IF(E104="","",IFERROR(E104-TODAY(),""))</f>
        <v/>
      </c>
      <c r="G104" s="5" t="n"/>
      <c r="H104" s="5" t="n"/>
      <c r="I104" s="5" t="n"/>
      <c r="J104" s="5" t="n"/>
      <c r="K104" s="5" t="n"/>
      <c r="L104" s="5" t="n"/>
      <c r="M104" s="5">
        <f>IF(B104="","",IFERROR(VLOOKUP(B104,'F01 - _Données Retraite'!$A$6:$K$20,2,FALSE)&amp;" "&amp;VLOOKUP(B104,'F01 - _Données Retraite'!$A$6:$K$20,3,FALSE),""))</f>
        <v/>
      </c>
      <c r="N104" s="25">
        <f>IF(B104="","",IFERROR(SUMIF($B$6:$B$115,B104,$K$6:$K$115),0))</f>
        <v/>
      </c>
    </row>
    <row r="105" ht="22" customHeight="1">
      <c r="A105" s="7" t="n"/>
      <c r="B105" s="7" t="n"/>
      <c r="C105" s="7" t="n"/>
      <c r="D105" s="7" t="n"/>
      <c r="E105" s="7" t="n"/>
      <c r="F105" s="23">
        <f>IF(E105="","",IFERROR(E105-TODAY(),""))</f>
        <v/>
      </c>
      <c r="G105" s="7" t="n"/>
      <c r="H105" s="7" t="n"/>
      <c r="I105" s="7" t="n"/>
      <c r="J105" s="7" t="n"/>
      <c r="K105" s="7" t="n"/>
      <c r="L105" s="7" t="n"/>
      <c r="M105" s="7">
        <f>IF(B105="","",IFERROR(VLOOKUP(B105,'F01 - _Données Retraite'!$A$6:$K$20,2,FALSE)&amp;" "&amp;VLOOKUP(B105,'F01 - _Données Retraite'!$A$6:$K$20,3,FALSE),""))</f>
        <v/>
      </c>
      <c r="N105" s="26">
        <f>IF(B105="","",IFERROR(SUMIF($B$6:$B$115,B105,$K$6:$K$115),0))</f>
        <v/>
      </c>
    </row>
    <row r="106" ht="22" customHeight="1">
      <c r="A106" s="5" t="n"/>
      <c r="B106" s="5" t="n"/>
      <c r="C106" s="5" t="n"/>
      <c r="D106" s="5" t="n"/>
      <c r="E106" s="5" t="n"/>
      <c r="F106" s="21">
        <f>IF(E106="","",IFERROR(E106-TODAY(),""))</f>
        <v/>
      </c>
      <c r="G106" s="5" t="n"/>
      <c r="H106" s="5" t="n"/>
      <c r="I106" s="5" t="n"/>
      <c r="J106" s="5" t="n"/>
      <c r="K106" s="5" t="n"/>
      <c r="L106" s="5" t="n"/>
      <c r="M106" s="5">
        <f>IF(B106="","",IFERROR(VLOOKUP(B106,'F01 - _Données Retraite'!$A$6:$K$20,2,FALSE)&amp;" "&amp;VLOOKUP(B106,'F01 - _Données Retraite'!$A$6:$K$20,3,FALSE),""))</f>
        <v/>
      </c>
      <c r="N106" s="25">
        <f>IF(B106="","",IFERROR(SUMIF($B$6:$B$115,B106,$K$6:$K$115),0))</f>
        <v/>
      </c>
    </row>
    <row r="107" ht="22" customHeight="1">
      <c r="A107" s="7" t="n"/>
      <c r="B107" s="7" t="n"/>
      <c r="C107" s="7" t="n"/>
      <c r="D107" s="7" t="n"/>
      <c r="E107" s="7" t="n"/>
      <c r="F107" s="23">
        <f>IF(E107="","",IFERROR(E107-TODAY(),""))</f>
        <v/>
      </c>
      <c r="G107" s="7" t="n"/>
      <c r="H107" s="7" t="n"/>
      <c r="I107" s="7" t="n"/>
      <c r="J107" s="7" t="n"/>
      <c r="K107" s="7" t="n"/>
      <c r="L107" s="7" t="n"/>
      <c r="M107" s="7">
        <f>IF(B107="","",IFERROR(VLOOKUP(B107,'F01 - _Données Retraite'!$A$6:$K$20,2,FALSE)&amp;" "&amp;VLOOKUP(B107,'F01 - _Données Retraite'!$A$6:$K$20,3,FALSE),""))</f>
        <v/>
      </c>
      <c r="N107" s="26">
        <f>IF(B107="","",IFERROR(SUMIF($B$6:$B$115,B107,$K$6:$K$115),0))</f>
        <v/>
      </c>
    </row>
    <row r="108" ht="22" customHeight="1">
      <c r="A108" s="5" t="n"/>
      <c r="B108" s="5" t="n"/>
      <c r="C108" s="5" t="n"/>
      <c r="D108" s="5" t="n"/>
      <c r="E108" s="5" t="n"/>
      <c r="F108" s="21">
        <f>IF(E108="","",IFERROR(E108-TODAY(),""))</f>
        <v/>
      </c>
      <c r="G108" s="5" t="n"/>
      <c r="H108" s="5" t="n"/>
      <c r="I108" s="5" t="n"/>
      <c r="J108" s="5" t="n"/>
      <c r="K108" s="5" t="n"/>
      <c r="L108" s="5" t="n"/>
      <c r="M108" s="5">
        <f>IF(B108="","",IFERROR(VLOOKUP(B108,'F01 - _Données Retraite'!$A$6:$K$20,2,FALSE)&amp;" "&amp;VLOOKUP(B108,'F01 - _Données Retraite'!$A$6:$K$20,3,FALSE),""))</f>
        <v/>
      </c>
      <c r="N108" s="25">
        <f>IF(B108="","",IFERROR(SUMIF($B$6:$B$115,B108,$K$6:$K$115),0))</f>
        <v/>
      </c>
    </row>
    <row r="109" ht="22" customHeight="1">
      <c r="A109" s="7" t="n"/>
      <c r="B109" s="7" t="n"/>
      <c r="C109" s="7" t="n"/>
      <c r="D109" s="7" t="n"/>
      <c r="E109" s="7" t="n"/>
      <c r="F109" s="23">
        <f>IF(E109="","",IFERROR(E109-TODAY(),""))</f>
        <v/>
      </c>
      <c r="G109" s="7" t="n"/>
      <c r="H109" s="7" t="n"/>
      <c r="I109" s="7" t="n"/>
      <c r="J109" s="7" t="n"/>
      <c r="K109" s="7" t="n"/>
      <c r="L109" s="7" t="n"/>
      <c r="M109" s="7">
        <f>IF(B109="","",IFERROR(VLOOKUP(B109,'F01 - _Données Retraite'!$A$6:$K$20,2,FALSE)&amp;" "&amp;VLOOKUP(B109,'F01 - _Données Retraite'!$A$6:$K$20,3,FALSE),""))</f>
        <v/>
      </c>
      <c r="N109" s="26">
        <f>IF(B109="","",IFERROR(SUMIF($B$6:$B$115,B109,$K$6:$K$115),0))</f>
        <v/>
      </c>
    </row>
    <row r="110" ht="22" customHeight="1">
      <c r="A110" s="5" t="n"/>
      <c r="B110" s="5" t="n"/>
      <c r="C110" s="5" t="n"/>
      <c r="D110" s="5" t="n"/>
      <c r="E110" s="5" t="n"/>
      <c r="F110" s="21">
        <f>IF(E110="","",IFERROR(E110-TODAY(),""))</f>
        <v/>
      </c>
      <c r="G110" s="5" t="n"/>
      <c r="H110" s="5" t="n"/>
      <c r="I110" s="5" t="n"/>
      <c r="J110" s="5" t="n"/>
      <c r="K110" s="5" t="n"/>
      <c r="L110" s="5" t="n"/>
      <c r="M110" s="5">
        <f>IF(B110="","",IFERROR(VLOOKUP(B110,'F01 - _Données Retraite'!$A$6:$K$20,2,FALSE)&amp;" "&amp;VLOOKUP(B110,'F01 - _Données Retraite'!$A$6:$K$20,3,FALSE),""))</f>
        <v/>
      </c>
      <c r="N110" s="25">
        <f>IF(B110="","",IFERROR(SUMIF($B$6:$B$115,B110,$K$6:$K$115),0))</f>
        <v/>
      </c>
    </row>
    <row r="111" ht="22" customHeight="1">
      <c r="A111" s="7" t="n"/>
      <c r="B111" s="7" t="n"/>
      <c r="C111" s="7" t="n"/>
      <c r="D111" s="7" t="n"/>
      <c r="E111" s="7" t="n"/>
      <c r="F111" s="23">
        <f>IF(E111="","",IFERROR(E111-TODAY(),""))</f>
        <v/>
      </c>
      <c r="G111" s="7" t="n"/>
      <c r="H111" s="7" t="n"/>
      <c r="I111" s="7" t="n"/>
      <c r="J111" s="7" t="n"/>
      <c r="K111" s="7" t="n"/>
      <c r="L111" s="7" t="n"/>
      <c r="M111" s="7">
        <f>IF(B111="","",IFERROR(VLOOKUP(B111,'F01 - _Données Retraite'!$A$6:$K$20,2,FALSE)&amp;" "&amp;VLOOKUP(B111,'F01 - _Données Retraite'!$A$6:$K$20,3,FALSE),""))</f>
        <v/>
      </c>
      <c r="N111" s="26">
        <f>IF(B111="","",IFERROR(SUMIF($B$6:$B$115,B111,$K$6:$K$115),0))</f>
        <v/>
      </c>
    </row>
    <row r="112" ht="22" customHeight="1">
      <c r="A112" s="5" t="n"/>
      <c r="B112" s="5" t="n"/>
      <c r="C112" s="5" t="n"/>
      <c r="D112" s="5" t="n"/>
      <c r="E112" s="5" t="n"/>
      <c r="F112" s="21">
        <f>IF(E112="","",IFERROR(E112-TODAY(),""))</f>
        <v/>
      </c>
      <c r="G112" s="5" t="n"/>
      <c r="H112" s="5" t="n"/>
      <c r="I112" s="5" t="n"/>
      <c r="J112" s="5" t="n"/>
      <c r="K112" s="5" t="n"/>
      <c r="L112" s="5" t="n"/>
      <c r="M112" s="5">
        <f>IF(B112="","",IFERROR(VLOOKUP(B112,'F01 - _Données Retraite'!$A$6:$K$20,2,FALSE)&amp;" "&amp;VLOOKUP(B112,'F01 - _Données Retraite'!$A$6:$K$20,3,FALSE),""))</f>
        <v/>
      </c>
      <c r="N112" s="25">
        <f>IF(B112="","",IFERROR(SUMIF($B$6:$B$115,B112,$K$6:$K$115),0))</f>
        <v/>
      </c>
    </row>
    <row r="113" ht="22" customHeight="1">
      <c r="A113" s="7" t="n"/>
      <c r="B113" s="7" t="n"/>
      <c r="C113" s="7" t="n"/>
      <c r="D113" s="7" t="n"/>
      <c r="E113" s="7" t="n"/>
      <c r="F113" s="23">
        <f>IF(E113="","",IFERROR(E113-TODAY(),""))</f>
        <v/>
      </c>
      <c r="G113" s="7" t="n"/>
      <c r="H113" s="7" t="n"/>
      <c r="I113" s="7" t="n"/>
      <c r="J113" s="7" t="n"/>
      <c r="K113" s="7" t="n"/>
      <c r="L113" s="7" t="n"/>
      <c r="M113" s="7">
        <f>IF(B113="","",IFERROR(VLOOKUP(B113,'F01 - _Données Retraite'!$A$6:$K$20,2,FALSE)&amp;" "&amp;VLOOKUP(B113,'F01 - _Données Retraite'!$A$6:$K$20,3,FALSE),""))</f>
        <v/>
      </c>
      <c r="N113" s="26">
        <f>IF(B113="","",IFERROR(SUMIF($B$6:$B$115,B113,$K$6:$K$115),0))</f>
        <v/>
      </c>
    </row>
    <row r="114" ht="22" customHeight="1">
      <c r="A114" s="5" t="n"/>
      <c r="B114" s="5" t="n"/>
      <c r="C114" s="5" t="n"/>
      <c r="D114" s="5" t="n"/>
      <c r="E114" s="5" t="n"/>
      <c r="F114" s="21">
        <f>IF(E114="","",IFERROR(E114-TODAY(),""))</f>
        <v/>
      </c>
      <c r="G114" s="5" t="n"/>
      <c r="H114" s="5" t="n"/>
      <c r="I114" s="5" t="n"/>
      <c r="J114" s="5" t="n"/>
      <c r="K114" s="5" t="n"/>
      <c r="L114" s="5" t="n"/>
      <c r="M114" s="5">
        <f>IF(B114="","",IFERROR(VLOOKUP(B114,'F01 - _Données Retraite'!$A$6:$K$20,2,FALSE)&amp;" "&amp;VLOOKUP(B114,'F01 - _Données Retraite'!$A$6:$K$20,3,FALSE),""))</f>
        <v/>
      </c>
      <c r="N114" s="25">
        <f>IF(B114="","",IFERROR(SUMIF($B$6:$B$115,B114,$K$6:$K$115),0))</f>
        <v/>
      </c>
    </row>
    <row r="115" ht="22" customHeight="1">
      <c r="A115" s="7" t="n"/>
      <c r="B115" s="7" t="n"/>
      <c r="C115" s="7" t="n"/>
      <c r="D115" s="7" t="n"/>
      <c r="E115" s="7" t="n"/>
      <c r="F115" s="23">
        <f>IF(E115="","",IFERROR(E115-TODAY(),""))</f>
        <v/>
      </c>
      <c r="G115" s="7" t="n"/>
      <c r="H115" s="7" t="n"/>
      <c r="I115" s="7" t="n"/>
      <c r="J115" s="7" t="n"/>
      <c r="K115" s="7" t="n"/>
      <c r="L115" s="7" t="n"/>
      <c r="M115" s="7">
        <f>IF(B115="","",IFERROR(VLOOKUP(B115,'F01 - _Données Retraite'!$A$6:$K$20,2,FALSE)&amp;" "&amp;VLOOKUP(B115,'F01 - _Données Retraite'!$A$6:$K$20,3,FALSE),""))</f>
        <v/>
      </c>
      <c r="N115" s="26">
        <f>IF(B115="","",IFERROR(SUMIF($B$6:$B$115,B115,$K$6:$K$115),0))</f>
        <v/>
      </c>
    </row>
  </sheetData>
  <mergeCells count="2">
    <mergeCell ref="A3:N3"/>
    <mergeCell ref="A2:N2"/>
  </mergeCells>
  <dataValidations count="3">
    <dataValidation sqref="C6:C115" showDropDown="0" showInputMessage="0" showErrorMessage="0" allowBlank="1" errorTitle="Erreur" error="Valeur invalide" promptTitle="" prompt="Choisir dans la liste: " type="list">
      <formula1>'F02 - _Lists'!$H$6:$H$12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_Lists'!$L$6:$L$8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15-TABLEAU DE BORD FINANCIER RETRAITES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Poste Budgétaire</t>
        </is>
      </c>
      <c r="B5" s="4" t="inlineStr">
        <is>
          <t>Trimestre</t>
        </is>
      </c>
      <c r="C5" s="4" t="inlineStr">
        <is>
          <t>Prévision (FCFA)</t>
        </is>
      </c>
      <c r="D5" s="4" t="inlineStr">
        <is>
          <t>Réalisé (FCFA)</t>
        </is>
      </c>
      <c r="E5" s="4" t="inlineStr">
        <is>
          <t>Écart (FCFA)</t>
        </is>
      </c>
      <c r="F5" s="4" t="inlineStr">
        <is>
          <t>Taux Réalisation (%)</t>
        </is>
      </c>
      <c r="G5" s="4" t="inlineStr">
        <is>
          <t>Nb Bénéficiaires</t>
        </is>
      </c>
      <c r="H5" s="4" t="inlineStr">
        <is>
          <t>Coût Moyen/Bénéf. (FCFA)</t>
        </is>
      </c>
      <c r="I5" s="4" t="inlineStr">
        <is>
          <t>Tendance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Pensions Régime Général</t>
        </is>
      </c>
      <c r="B6" s="5" t="inlineStr">
        <is>
          <t>T1 2025</t>
        </is>
      </c>
      <c r="C6" s="22" t="n">
        <v>45000000</v>
      </c>
      <c r="D6" s="22" t="n">
        <v>42500000</v>
      </c>
      <c r="E6" s="25">
        <f>IF(OR(C6="",D6=""),"",C6-D6)</f>
        <v/>
      </c>
      <c r="F6" s="27">
        <f>IF(OR(C6="",D6=""),"",IFERROR(D6/C6*100,0))</f>
        <v/>
      </c>
      <c r="G6" s="22" t="n">
        <v>5</v>
      </c>
      <c r="H6" s="25">
        <f>IF(OR(D6="",G6="",G6=0),"",IFERROR(D6/G6,0))</f>
        <v/>
      </c>
      <c r="I6" s="5" t="inlineStr">
        <is>
          <t>Stable</t>
        </is>
      </c>
      <c r="J6" s="5" t="inlineStr"/>
      <c r="K6" s="5" t="inlineStr"/>
      <c r="L6" s="5" t="inlineStr"/>
      <c r="M6" s="25">
        <f>IF(A6="","",IFERROR(SUMIF($A$6:$A$115,A6,$D$6:$D$115),0))</f>
        <v/>
      </c>
      <c r="N6" s="27">
        <f>IF(A6="","",IFERROR(AVERAGEIF($A$6:$A$115,A6,$F$6:$F$115),0))</f>
        <v/>
      </c>
    </row>
    <row r="7" ht="22" customHeight="1">
      <c r="A7" s="7" t="inlineStr">
        <is>
          <t>Pensions Régime Cadre</t>
        </is>
      </c>
      <c r="B7" s="7" t="inlineStr">
        <is>
          <t>T1 2025</t>
        </is>
      </c>
      <c r="C7" s="24" t="n">
        <v>58000000</v>
      </c>
      <c r="D7" s="24" t="n">
        <v>56200000</v>
      </c>
      <c r="E7" s="26">
        <f>IF(OR(C7="",D7=""),"",C7-D7)</f>
        <v/>
      </c>
      <c r="F7" s="28">
        <f>IF(OR(C7="",D7=""),"",IFERROR(D7/C7*100,0))</f>
        <v/>
      </c>
      <c r="G7" s="24" t="n">
        <v>4</v>
      </c>
      <c r="H7" s="26">
        <f>IF(OR(D7="",G7="",G7=0),"",IFERROR(D7/G7,0))</f>
        <v/>
      </c>
      <c r="I7" s="7" t="inlineStr">
        <is>
          <t>Hausse</t>
        </is>
      </c>
      <c r="J7" s="7" t="inlineStr"/>
      <c r="K7" s="7" t="inlineStr"/>
      <c r="L7" s="7" t="inlineStr"/>
      <c r="M7" s="26">
        <f>IF(A7="","",IFERROR(SUMIF($A$6:$A$115,A7,$D$6:$D$115),0))</f>
        <v/>
      </c>
      <c r="N7" s="28">
        <f>IF(A7="","",IFERROR(AVERAGEIF($A$6:$A$115,A7,$F$6:$F$115),0))</f>
        <v/>
      </c>
    </row>
    <row r="8" ht="22" customHeight="1">
      <c r="A8" s="5" t="inlineStr">
        <is>
          <t>Cotisations Prévoyance</t>
        </is>
      </c>
      <c r="B8" s="5" t="inlineStr">
        <is>
          <t>T1 2025</t>
        </is>
      </c>
      <c r="C8" s="22" t="n">
        <v>18000000</v>
      </c>
      <c r="D8" s="22" t="n">
        <v>17850000</v>
      </c>
      <c r="E8" s="25">
        <f>IF(OR(C8="",D8=""),"",C8-D8)</f>
        <v/>
      </c>
      <c r="F8" s="27">
        <f>IF(OR(C8="",D8=""),"",IFERROR(D8/C8*100,0))</f>
        <v/>
      </c>
      <c r="G8" s="22" t="n">
        <v>12</v>
      </c>
      <c r="H8" s="25">
        <f>IF(OR(D8="",G8="",G8=0),"",IFERROR(D8/G8,0))</f>
        <v/>
      </c>
      <c r="I8" s="5" t="inlineStr">
        <is>
          <t>Stable</t>
        </is>
      </c>
      <c r="J8" s="5" t="inlineStr"/>
      <c r="K8" s="5" t="inlineStr"/>
      <c r="L8" s="5" t="inlineStr"/>
      <c r="M8" s="25">
        <f>IF(A8="","",IFERROR(SUMIF($A$6:$A$115,A8,$D$6:$D$115),0))</f>
        <v/>
      </c>
      <c r="N8" s="27">
        <f>IF(A8="","",IFERROR(AVERAGEIF($A$6:$A$115,A8,$F$6:$F$115),0))</f>
        <v/>
      </c>
    </row>
    <row r="9" ht="22" customHeight="1">
      <c r="A9" s="7" t="inlineStr">
        <is>
          <t>Outplacement</t>
        </is>
      </c>
      <c r="B9" s="7" t="inlineStr">
        <is>
          <t>T1 2025</t>
        </is>
      </c>
      <c r="C9" s="24" t="n">
        <v>2500000</v>
      </c>
      <c r="D9" s="24" t="n">
        <v>1800000</v>
      </c>
      <c r="E9" s="26">
        <f>IF(OR(C9="",D9=""),"",C9-D9)</f>
        <v/>
      </c>
      <c r="F9" s="28">
        <f>IF(OR(C9="",D9=""),"",IFERROR(D9/C9*100,0))</f>
        <v/>
      </c>
      <c r="G9" s="24" t="n">
        <v>3</v>
      </c>
      <c r="H9" s="26">
        <f>IF(OR(D9="",G9="",G9=0),"",IFERROR(D9/G9,0))</f>
        <v/>
      </c>
      <c r="I9" s="7" t="inlineStr">
        <is>
          <t>Baisse</t>
        </is>
      </c>
      <c r="J9" s="7" t="inlineStr"/>
      <c r="K9" s="7" t="inlineStr"/>
      <c r="L9" s="7" t="inlineStr"/>
      <c r="M9" s="26">
        <f>IF(A9="","",IFERROR(SUMIF($A$6:$A$115,A9,$D$6:$D$115),0))</f>
        <v/>
      </c>
      <c r="N9" s="28">
        <f>IF(A9="","",IFERROR(AVERAGEIF($A$6:$A$115,A9,$F$6:$F$115),0))</f>
        <v/>
      </c>
    </row>
    <row r="10" ht="22" customHeight="1">
      <c r="A10" s="5" t="inlineStr">
        <is>
          <t>Formation Transition</t>
        </is>
      </c>
      <c r="B10" s="5" t="inlineStr">
        <is>
          <t>T1 2025</t>
        </is>
      </c>
      <c r="C10" s="22" t="n">
        <v>1200000</v>
      </c>
      <c r="D10" s="22" t="n">
        <v>950000</v>
      </c>
      <c r="E10" s="25">
        <f>IF(OR(C10="",D10=""),"",C10-D10)</f>
        <v/>
      </c>
      <c r="F10" s="27">
        <f>IF(OR(C10="",D10=""),"",IFERROR(D10/C10*100,0))</f>
        <v/>
      </c>
      <c r="G10" s="22" t="n">
        <v>5</v>
      </c>
      <c r="H10" s="25">
        <f>IF(OR(D10="",G10="",G10=0),"",IFERROR(D10/G10,0))</f>
        <v/>
      </c>
      <c r="I10" s="5" t="inlineStr">
        <is>
          <t>Hausse</t>
        </is>
      </c>
      <c r="J10" s="5" t="inlineStr"/>
      <c r="K10" s="5" t="inlineStr"/>
      <c r="L10" s="5" t="inlineStr"/>
      <c r="M10" s="25">
        <f>IF(A10="","",IFERROR(SUMIF($A$6:$A$115,A10,$D$6:$D$115),0))</f>
        <v/>
      </c>
      <c r="N10" s="27">
        <f>IF(A10="","",IFERROR(AVERAGEIF($A$6:$A$115,A10,$F$6:$F$115),0))</f>
        <v/>
      </c>
    </row>
    <row r="11" ht="22" customHeight="1">
      <c r="A11" s="7" t="n"/>
      <c r="B11" s="7" t="n"/>
      <c r="C11" s="7" t="n"/>
      <c r="D11" s="7" t="n"/>
      <c r="E11" s="26">
        <f>IF(OR(C11="",D11=""),"",C11-D11)</f>
        <v/>
      </c>
      <c r="F11" s="28">
        <f>IF(OR(C11="",D11=""),"",IFERROR(D11/C11*100,0))</f>
        <v/>
      </c>
      <c r="G11" s="7" t="n"/>
      <c r="H11" s="26">
        <f>IF(OR(D11="",G11="",G11=0),"",IFERROR(D11/G11,0))</f>
        <v/>
      </c>
      <c r="I11" s="7" t="n"/>
      <c r="J11" s="7" t="n"/>
      <c r="K11" s="7" t="n"/>
      <c r="L11" s="7" t="n"/>
      <c r="M11" s="26">
        <f>IF(A11="","",IFERROR(SUMIF($A$6:$A$115,A11,$D$6:$D$115),0))</f>
        <v/>
      </c>
      <c r="N11" s="28">
        <f>IF(A11="","",IFERROR(AVERAGEIF($A$6:$A$115,A11,$F$6:$F$115),0))</f>
        <v/>
      </c>
    </row>
    <row r="12" ht="22" customHeight="1">
      <c r="A12" s="5" t="n"/>
      <c r="B12" s="5" t="n"/>
      <c r="C12" s="5" t="n"/>
      <c r="D12" s="5" t="n"/>
      <c r="E12" s="25">
        <f>IF(OR(C12="",D12=""),"",C12-D12)</f>
        <v/>
      </c>
      <c r="F12" s="27">
        <f>IF(OR(C12="",D12=""),"",IFERROR(D12/C12*100,0))</f>
        <v/>
      </c>
      <c r="G12" s="5" t="n"/>
      <c r="H12" s="25">
        <f>IF(OR(D12="",G12="",G12=0),"",IFERROR(D12/G12,0))</f>
        <v/>
      </c>
      <c r="I12" s="5" t="n"/>
      <c r="J12" s="5" t="n"/>
      <c r="K12" s="5" t="n"/>
      <c r="L12" s="5" t="n"/>
      <c r="M12" s="25">
        <f>IF(A12="","",IFERROR(SUMIF($A$6:$A$115,A12,$D$6:$D$115),0))</f>
        <v/>
      </c>
      <c r="N12" s="27">
        <f>IF(A12="","",IFERROR(AVERAGEIF($A$6:$A$115,A12,$F$6:$F$115),0))</f>
        <v/>
      </c>
    </row>
    <row r="13" ht="22" customHeight="1">
      <c r="A13" s="7" t="n"/>
      <c r="B13" s="7" t="n"/>
      <c r="C13" s="7" t="n"/>
      <c r="D13" s="7" t="n"/>
      <c r="E13" s="26">
        <f>IF(OR(C13="",D13=""),"",C13-D13)</f>
        <v/>
      </c>
      <c r="F13" s="28">
        <f>IF(OR(C13="",D13=""),"",IFERROR(D13/C13*100,0))</f>
        <v/>
      </c>
      <c r="G13" s="7" t="n"/>
      <c r="H13" s="26">
        <f>IF(OR(D13="",G13="",G13=0),"",IFERROR(D13/G13,0))</f>
        <v/>
      </c>
      <c r="I13" s="7" t="n"/>
      <c r="J13" s="7" t="n"/>
      <c r="K13" s="7" t="n"/>
      <c r="L13" s="7" t="n"/>
      <c r="M13" s="26">
        <f>IF(A13="","",IFERROR(SUMIF($A$6:$A$115,A13,$D$6:$D$115),0))</f>
        <v/>
      </c>
      <c r="N13" s="28">
        <f>IF(A13="","",IFERROR(AVERAGEIF($A$6:$A$115,A13,$F$6:$F$115),0))</f>
        <v/>
      </c>
    </row>
    <row r="14" ht="22" customHeight="1">
      <c r="A14" s="5" t="n"/>
      <c r="B14" s="5" t="n"/>
      <c r="C14" s="5" t="n"/>
      <c r="D14" s="5" t="n"/>
      <c r="E14" s="25">
        <f>IF(OR(C14="",D14=""),"",C14-D14)</f>
        <v/>
      </c>
      <c r="F14" s="27">
        <f>IF(OR(C14="",D14=""),"",IFERROR(D14/C14*100,0))</f>
        <v/>
      </c>
      <c r="G14" s="5" t="n"/>
      <c r="H14" s="25">
        <f>IF(OR(D14="",G14="",G14=0),"",IFERROR(D14/G14,0))</f>
        <v/>
      </c>
      <c r="I14" s="5" t="n"/>
      <c r="J14" s="5" t="n"/>
      <c r="K14" s="5" t="n"/>
      <c r="L14" s="5" t="n"/>
      <c r="M14" s="25">
        <f>IF(A14="","",IFERROR(SUMIF($A$6:$A$115,A14,$D$6:$D$115),0))</f>
        <v/>
      </c>
      <c r="N14" s="27">
        <f>IF(A14="","",IFERROR(AVERAGEIF($A$6:$A$115,A14,$F$6:$F$115),0))</f>
        <v/>
      </c>
    </row>
    <row r="15" ht="22" customHeight="1">
      <c r="A15" s="7" t="n"/>
      <c r="B15" s="7" t="n"/>
      <c r="C15" s="7" t="n"/>
      <c r="D15" s="7" t="n"/>
      <c r="E15" s="26">
        <f>IF(OR(C15="",D15=""),"",C15-D15)</f>
        <v/>
      </c>
      <c r="F15" s="28">
        <f>IF(OR(C15="",D15=""),"",IFERROR(D15/C15*100,0))</f>
        <v/>
      </c>
      <c r="G15" s="7" t="n"/>
      <c r="H15" s="26">
        <f>IF(OR(D15="",G15="",G15=0),"",IFERROR(D15/G15,0))</f>
        <v/>
      </c>
      <c r="I15" s="7" t="n"/>
      <c r="J15" s="7" t="n"/>
      <c r="K15" s="7" t="n"/>
      <c r="L15" s="7" t="n"/>
      <c r="M15" s="26">
        <f>IF(A15="","",IFERROR(SUMIF($A$6:$A$115,A15,$D$6:$D$115),0))</f>
        <v/>
      </c>
      <c r="N15" s="28">
        <f>IF(A15="","",IFERROR(AVERAGEIF($A$6:$A$115,A15,$F$6:$F$115),0))</f>
        <v/>
      </c>
    </row>
    <row r="16" ht="22" customHeight="1">
      <c r="A16" s="5" t="n"/>
      <c r="B16" s="5" t="n"/>
      <c r="C16" s="5" t="n"/>
      <c r="D16" s="5" t="n"/>
      <c r="E16" s="25">
        <f>IF(OR(C16="",D16=""),"",C16-D16)</f>
        <v/>
      </c>
      <c r="F16" s="27">
        <f>IF(OR(C16="",D16=""),"",IFERROR(D16/C16*100,0))</f>
        <v/>
      </c>
      <c r="G16" s="5" t="n"/>
      <c r="H16" s="25">
        <f>IF(OR(D16="",G16="",G16=0),"",IFERROR(D16/G16,0))</f>
        <v/>
      </c>
      <c r="I16" s="5" t="n"/>
      <c r="J16" s="5" t="n"/>
      <c r="K16" s="5" t="n"/>
      <c r="L16" s="5" t="n"/>
      <c r="M16" s="25">
        <f>IF(A16="","",IFERROR(SUMIF($A$6:$A$115,A16,$D$6:$D$115),0))</f>
        <v/>
      </c>
      <c r="N16" s="27">
        <f>IF(A16="","",IFERROR(AVERAGEIF($A$6:$A$115,A16,$F$6:$F$115),0))</f>
        <v/>
      </c>
    </row>
    <row r="17" ht="22" customHeight="1">
      <c r="A17" s="7" t="n"/>
      <c r="B17" s="7" t="n"/>
      <c r="C17" s="7" t="n"/>
      <c r="D17" s="7" t="n"/>
      <c r="E17" s="26">
        <f>IF(OR(C17="",D17=""),"",C17-D17)</f>
        <v/>
      </c>
      <c r="F17" s="28">
        <f>IF(OR(C17="",D17=""),"",IFERROR(D17/C17*100,0))</f>
        <v/>
      </c>
      <c r="G17" s="7" t="n"/>
      <c r="H17" s="26">
        <f>IF(OR(D17="",G17="",G17=0),"",IFERROR(D17/G17,0))</f>
        <v/>
      </c>
      <c r="I17" s="7" t="n"/>
      <c r="J17" s="7" t="n"/>
      <c r="K17" s="7" t="n"/>
      <c r="L17" s="7" t="n"/>
      <c r="M17" s="26">
        <f>IF(A17="","",IFERROR(SUMIF($A$6:$A$115,A17,$D$6:$D$115),0))</f>
        <v/>
      </c>
      <c r="N17" s="28">
        <f>IF(A17="","",IFERROR(AVERAGEIF($A$6:$A$115,A17,$F$6:$F$115),0))</f>
        <v/>
      </c>
    </row>
    <row r="18" ht="22" customHeight="1">
      <c r="A18" s="5" t="n"/>
      <c r="B18" s="5" t="n"/>
      <c r="C18" s="5" t="n"/>
      <c r="D18" s="5" t="n"/>
      <c r="E18" s="25">
        <f>IF(OR(C18="",D18=""),"",C18-D18)</f>
        <v/>
      </c>
      <c r="F18" s="27">
        <f>IF(OR(C18="",D18=""),"",IFERROR(D18/C18*100,0))</f>
        <v/>
      </c>
      <c r="G18" s="5" t="n"/>
      <c r="H18" s="25">
        <f>IF(OR(D18="",G18="",G18=0),"",IFERROR(D18/G18,0))</f>
        <v/>
      </c>
      <c r="I18" s="5" t="n"/>
      <c r="J18" s="5" t="n"/>
      <c r="K18" s="5" t="n"/>
      <c r="L18" s="5" t="n"/>
      <c r="M18" s="25">
        <f>IF(A18="","",IFERROR(SUMIF($A$6:$A$115,A18,$D$6:$D$115),0))</f>
        <v/>
      </c>
      <c r="N18" s="27">
        <f>IF(A18="","",IFERROR(AVERAGEIF($A$6:$A$115,A18,$F$6:$F$115),0))</f>
        <v/>
      </c>
    </row>
    <row r="19" ht="22" customHeight="1">
      <c r="A19" s="7" t="n"/>
      <c r="B19" s="7" t="n"/>
      <c r="C19" s="7" t="n"/>
      <c r="D19" s="7" t="n"/>
      <c r="E19" s="26">
        <f>IF(OR(C19="",D19=""),"",C19-D19)</f>
        <v/>
      </c>
      <c r="F19" s="28">
        <f>IF(OR(C19="",D19=""),"",IFERROR(D19/C19*100,0))</f>
        <v/>
      </c>
      <c r="G19" s="7" t="n"/>
      <c r="H19" s="26">
        <f>IF(OR(D19="",G19="",G19=0),"",IFERROR(D19/G19,0))</f>
        <v/>
      </c>
      <c r="I19" s="7" t="n"/>
      <c r="J19" s="7" t="n"/>
      <c r="K19" s="7" t="n"/>
      <c r="L19" s="7" t="n"/>
      <c r="M19" s="26">
        <f>IF(A19="","",IFERROR(SUMIF($A$6:$A$115,A19,$D$6:$D$115),0))</f>
        <v/>
      </c>
      <c r="N19" s="28">
        <f>IF(A19="","",IFERROR(AVERAGEIF($A$6:$A$115,A19,$F$6:$F$115),0))</f>
        <v/>
      </c>
    </row>
    <row r="20" ht="22" customHeight="1">
      <c r="A20" s="5" t="n"/>
      <c r="B20" s="5" t="n"/>
      <c r="C20" s="5" t="n"/>
      <c r="D20" s="5" t="n"/>
      <c r="E20" s="25">
        <f>IF(OR(C20="",D20=""),"",C20-D20)</f>
        <v/>
      </c>
      <c r="F20" s="27">
        <f>IF(OR(C20="",D20=""),"",IFERROR(D20/C20*100,0))</f>
        <v/>
      </c>
      <c r="G20" s="5" t="n"/>
      <c r="H20" s="25">
        <f>IF(OR(D20="",G20="",G20=0),"",IFERROR(D20/G20,0))</f>
        <v/>
      </c>
      <c r="I20" s="5" t="n"/>
      <c r="J20" s="5" t="n"/>
      <c r="K20" s="5" t="n"/>
      <c r="L20" s="5" t="n"/>
      <c r="M20" s="25">
        <f>IF(A20="","",IFERROR(SUMIF($A$6:$A$115,A20,$D$6:$D$115),0))</f>
        <v/>
      </c>
      <c r="N20" s="27">
        <f>IF(A20="","",IFERROR(AVERAGEIF($A$6:$A$115,A20,$F$6:$F$115),0))</f>
        <v/>
      </c>
    </row>
    <row r="21" ht="22" customHeight="1">
      <c r="A21" s="7" t="n"/>
      <c r="B21" s="7" t="n"/>
      <c r="C21" s="7" t="n"/>
      <c r="D21" s="7" t="n"/>
      <c r="E21" s="26">
        <f>IF(OR(C21="",D21=""),"",C21-D21)</f>
        <v/>
      </c>
      <c r="F21" s="28">
        <f>IF(OR(C21="",D21=""),"",IFERROR(D21/C21*100,0))</f>
        <v/>
      </c>
      <c r="G21" s="7" t="n"/>
      <c r="H21" s="26">
        <f>IF(OR(D21="",G21="",G21=0),"",IFERROR(D21/G21,0))</f>
        <v/>
      </c>
      <c r="I21" s="7" t="n"/>
      <c r="J21" s="7" t="n"/>
      <c r="K21" s="7" t="n"/>
      <c r="L21" s="7" t="n"/>
      <c r="M21" s="26">
        <f>IF(A21="","",IFERROR(SUMIF($A$6:$A$115,A21,$D$6:$D$115),0))</f>
        <v/>
      </c>
      <c r="N21" s="28">
        <f>IF(A21="","",IFERROR(AVERAGEIF($A$6:$A$115,A21,$F$6:$F$115),0))</f>
        <v/>
      </c>
    </row>
    <row r="22" ht="22" customHeight="1">
      <c r="A22" s="5" t="n"/>
      <c r="B22" s="5" t="n"/>
      <c r="C22" s="5" t="n"/>
      <c r="D22" s="5" t="n"/>
      <c r="E22" s="25">
        <f>IF(OR(C22="",D22=""),"",C22-D22)</f>
        <v/>
      </c>
      <c r="F22" s="27">
        <f>IF(OR(C22="",D22=""),"",IFERROR(D22/C22*100,0))</f>
        <v/>
      </c>
      <c r="G22" s="5" t="n"/>
      <c r="H22" s="25">
        <f>IF(OR(D22="",G22="",G22=0),"",IFERROR(D22/G22,0))</f>
        <v/>
      </c>
      <c r="I22" s="5" t="n"/>
      <c r="J22" s="5" t="n"/>
      <c r="K22" s="5" t="n"/>
      <c r="L22" s="5" t="n"/>
      <c r="M22" s="25">
        <f>IF(A22="","",IFERROR(SUMIF($A$6:$A$115,A22,$D$6:$D$115),0))</f>
        <v/>
      </c>
      <c r="N22" s="27">
        <f>IF(A22="","",IFERROR(AVERAGEIF($A$6:$A$115,A22,$F$6:$F$115),0))</f>
        <v/>
      </c>
    </row>
    <row r="23" ht="22" customHeight="1">
      <c r="A23" s="7" t="n"/>
      <c r="B23" s="7" t="n"/>
      <c r="C23" s="7" t="n"/>
      <c r="D23" s="7" t="n"/>
      <c r="E23" s="26">
        <f>IF(OR(C23="",D23=""),"",C23-D23)</f>
        <v/>
      </c>
      <c r="F23" s="28">
        <f>IF(OR(C23="",D23=""),"",IFERROR(D23/C23*100,0))</f>
        <v/>
      </c>
      <c r="G23" s="7" t="n"/>
      <c r="H23" s="26">
        <f>IF(OR(D23="",G23="",G23=0),"",IFERROR(D23/G23,0))</f>
        <v/>
      </c>
      <c r="I23" s="7" t="n"/>
      <c r="J23" s="7" t="n"/>
      <c r="K23" s="7" t="n"/>
      <c r="L23" s="7" t="n"/>
      <c r="M23" s="26">
        <f>IF(A23="","",IFERROR(SUMIF($A$6:$A$115,A23,$D$6:$D$115),0))</f>
        <v/>
      </c>
      <c r="N23" s="28">
        <f>IF(A23="","",IFERROR(AVERAGEIF($A$6:$A$115,A23,$F$6:$F$115),0))</f>
        <v/>
      </c>
    </row>
    <row r="24" ht="22" customHeight="1">
      <c r="A24" s="5" t="n"/>
      <c r="B24" s="5" t="n"/>
      <c r="C24" s="5" t="n"/>
      <c r="D24" s="5" t="n"/>
      <c r="E24" s="25">
        <f>IF(OR(C24="",D24=""),"",C24-D24)</f>
        <v/>
      </c>
      <c r="F24" s="27">
        <f>IF(OR(C24="",D24=""),"",IFERROR(D24/C24*100,0))</f>
        <v/>
      </c>
      <c r="G24" s="5" t="n"/>
      <c r="H24" s="25">
        <f>IF(OR(D24="",G24="",G24=0),"",IFERROR(D24/G24,0))</f>
        <v/>
      </c>
      <c r="I24" s="5" t="n"/>
      <c r="J24" s="5" t="n"/>
      <c r="K24" s="5" t="n"/>
      <c r="L24" s="5" t="n"/>
      <c r="M24" s="25">
        <f>IF(A24="","",IFERROR(SUMIF($A$6:$A$115,A24,$D$6:$D$115),0))</f>
        <v/>
      </c>
      <c r="N24" s="27">
        <f>IF(A24="","",IFERROR(AVERAGEIF($A$6:$A$115,A24,$F$6:$F$115),0))</f>
        <v/>
      </c>
    </row>
    <row r="25" ht="22" customHeight="1">
      <c r="A25" s="7" t="n"/>
      <c r="B25" s="7" t="n"/>
      <c r="C25" s="7" t="n"/>
      <c r="D25" s="7" t="n"/>
      <c r="E25" s="26">
        <f>IF(OR(C25="",D25=""),"",C25-D25)</f>
        <v/>
      </c>
      <c r="F25" s="28">
        <f>IF(OR(C25="",D25=""),"",IFERROR(D25/C25*100,0))</f>
        <v/>
      </c>
      <c r="G25" s="7" t="n"/>
      <c r="H25" s="26">
        <f>IF(OR(D25="",G25="",G25=0),"",IFERROR(D25/G25,0))</f>
        <v/>
      </c>
      <c r="I25" s="7" t="n"/>
      <c r="J25" s="7" t="n"/>
      <c r="K25" s="7" t="n"/>
      <c r="L25" s="7" t="n"/>
      <c r="M25" s="26">
        <f>IF(A25="","",IFERROR(SUMIF($A$6:$A$115,A25,$D$6:$D$115),0))</f>
        <v/>
      </c>
      <c r="N25" s="28">
        <f>IF(A25="","",IFERROR(AVERAGEIF($A$6:$A$115,A25,$F$6:$F$115),0))</f>
        <v/>
      </c>
    </row>
    <row r="26" ht="22" customHeight="1">
      <c r="A26" s="5" t="n"/>
      <c r="B26" s="5" t="n"/>
      <c r="C26" s="5" t="n"/>
      <c r="D26" s="5" t="n"/>
      <c r="E26" s="25">
        <f>IF(OR(C26="",D26=""),"",C26-D26)</f>
        <v/>
      </c>
      <c r="F26" s="27">
        <f>IF(OR(C26="",D26=""),"",IFERROR(D26/C26*100,0))</f>
        <v/>
      </c>
      <c r="G26" s="5" t="n"/>
      <c r="H26" s="25">
        <f>IF(OR(D26="",G26="",G26=0),"",IFERROR(D26/G26,0))</f>
        <v/>
      </c>
      <c r="I26" s="5" t="n"/>
      <c r="J26" s="5" t="n"/>
      <c r="K26" s="5" t="n"/>
      <c r="L26" s="5" t="n"/>
      <c r="M26" s="25">
        <f>IF(A26="","",IFERROR(SUMIF($A$6:$A$115,A26,$D$6:$D$115),0))</f>
        <v/>
      </c>
      <c r="N26" s="27">
        <f>IF(A26="","",IFERROR(AVERAGEIF($A$6:$A$115,A26,$F$6:$F$115),0))</f>
        <v/>
      </c>
    </row>
    <row r="27" ht="22" customHeight="1">
      <c r="A27" s="7" t="n"/>
      <c r="B27" s="7" t="n"/>
      <c r="C27" s="7" t="n"/>
      <c r="D27" s="7" t="n"/>
      <c r="E27" s="26">
        <f>IF(OR(C27="",D27=""),"",C27-D27)</f>
        <v/>
      </c>
      <c r="F27" s="28">
        <f>IF(OR(C27="",D27=""),"",IFERROR(D27/C27*100,0))</f>
        <v/>
      </c>
      <c r="G27" s="7" t="n"/>
      <c r="H27" s="26">
        <f>IF(OR(D27="",G27="",G27=0),"",IFERROR(D27/G27,0))</f>
        <v/>
      </c>
      <c r="I27" s="7" t="n"/>
      <c r="J27" s="7" t="n"/>
      <c r="K27" s="7" t="n"/>
      <c r="L27" s="7" t="n"/>
      <c r="M27" s="26">
        <f>IF(A27="","",IFERROR(SUMIF($A$6:$A$115,A27,$D$6:$D$115),0))</f>
        <v/>
      </c>
      <c r="N27" s="28">
        <f>IF(A27="","",IFERROR(AVERAGEIF($A$6:$A$115,A27,$F$6:$F$115),0))</f>
        <v/>
      </c>
    </row>
    <row r="28" ht="22" customHeight="1">
      <c r="A28" s="5" t="n"/>
      <c r="B28" s="5" t="n"/>
      <c r="C28" s="5" t="n"/>
      <c r="D28" s="5" t="n"/>
      <c r="E28" s="25">
        <f>IF(OR(C28="",D28=""),"",C28-D28)</f>
        <v/>
      </c>
      <c r="F28" s="27">
        <f>IF(OR(C28="",D28=""),"",IFERROR(D28/C28*100,0))</f>
        <v/>
      </c>
      <c r="G28" s="5" t="n"/>
      <c r="H28" s="25">
        <f>IF(OR(D28="",G28="",G28=0),"",IFERROR(D28/G28,0))</f>
        <v/>
      </c>
      <c r="I28" s="5" t="n"/>
      <c r="J28" s="5" t="n"/>
      <c r="K28" s="5" t="n"/>
      <c r="L28" s="5" t="n"/>
      <c r="M28" s="25">
        <f>IF(A28="","",IFERROR(SUMIF($A$6:$A$115,A28,$D$6:$D$115),0))</f>
        <v/>
      </c>
      <c r="N28" s="27">
        <f>IF(A28="","",IFERROR(AVERAGEIF($A$6:$A$115,A28,$F$6:$F$115),0))</f>
        <v/>
      </c>
    </row>
    <row r="29" ht="22" customHeight="1">
      <c r="A29" s="7" t="n"/>
      <c r="B29" s="7" t="n"/>
      <c r="C29" s="7" t="n"/>
      <c r="D29" s="7" t="n"/>
      <c r="E29" s="26">
        <f>IF(OR(C29="",D29=""),"",C29-D29)</f>
        <v/>
      </c>
      <c r="F29" s="28">
        <f>IF(OR(C29="",D29=""),"",IFERROR(D29/C29*100,0))</f>
        <v/>
      </c>
      <c r="G29" s="7" t="n"/>
      <c r="H29" s="26">
        <f>IF(OR(D29="",G29="",G29=0),"",IFERROR(D29/G29,0))</f>
        <v/>
      </c>
      <c r="I29" s="7" t="n"/>
      <c r="J29" s="7" t="n"/>
      <c r="K29" s="7" t="n"/>
      <c r="L29" s="7" t="n"/>
      <c r="M29" s="26">
        <f>IF(A29="","",IFERROR(SUMIF($A$6:$A$115,A29,$D$6:$D$115),0))</f>
        <v/>
      </c>
      <c r="N29" s="28">
        <f>IF(A29="","",IFERROR(AVERAGEIF($A$6:$A$115,A29,$F$6:$F$115),0))</f>
        <v/>
      </c>
    </row>
    <row r="30" ht="22" customHeight="1">
      <c r="A30" s="5" t="n"/>
      <c r="B30" s="5" t="n"/>
      <c r="C30" s="5" t="n"/>
      <c r="D30" s="5" t="n"/>
      <c r="E30" s="25">
        <f>IF(OR(C30="",D30=""),"",C30-D30)</f>
        <v/>
      </c>
      <c r="F30" s="27">
        <f>IF(OR(C30="",D30=""),"",IFERROR(D30/C30*100,0))</f>
        <v/>
      </c>
      <c r="G30" s="5" t="n"/>
      <c r="H30" s="25">
        <f>IF(OR(D30="",G30="",G30=0),"",IFERROR(D30/G30,0))</f>
        <v/>
      </c>
      <c r="I30" s="5" t="n"/>
      <c r="J30" s="5" t="n"/>
      <c r="K30" s="5" t="n"/>
      <c r="L30" s="5" t="n"/>
      <c r="M30" s="25">
        <f>IF(A30="","",IFERROR(SUMIF($A$6:$A$115,A30,$D$6:$D$115),0))</f>
        <v/>
      </c>
      <c r="N30" s="27">
        <f>IF(A30="","",IFERROR(AVERAGEIF($A$6:$A$115,A30,$F$6:$F$115),0))</f>
        <v/>
      </c>
    </row>
    <row r="31" ht="22" customHeight="1">
      <c r="A31" s="7" t="n"/>
      <c r="B31" s="7" t="n"/>
      <c r="C31" s="7" t="n"/>
      <c r="D31" s="7" t="n"/>
      <c r="E31" s="26">
        <f>IF(OR(C31="",D31=""),"",C31-D31)</f>
        <v/>
      </c>
      <c r="F31" s="28">
        <f>IF(OR(C31="",D31=""),"",IFERROR(D31/C31*100,0))</f>
        <v/>
      </c>
      <c r="G31" s="7" t="n"/>
      <c r="H31" s="26">
        <f>IF(OR(D31="",G31="",G31=0),"",IFERROR(D31/G31,0))</f>
        <v/>
      </c>
      <c r="I31" s="7" t="n"/>
      <c r="J31" s="7" t="n"/>
      <c r="K31" s="7" t="n"/>
      <c r="L31" s="7" t="n"/>
      <c r="M31" s="26">
        <f>IF(A31="","",IFERROR(SUMIF($A$6:$A$115,A31,$D$6:$D$115),0))</f>
        <v/>
      </c>
      <c r="N31" s="28">
        <f>IF(A31="","",IFERROR(AVERAGEIF($A$6:$A$115,A31,$F$6:$F$115),0))</f>
        <v/>
      </c>
    </row>
    <row r="32" ht="22" customHeight="1">
      <c r="A32" s="5" t="n"/>
      <c r="B32" s="5" t="n"/>
      <c r="C32" s="5" t="n"/>
      <c r="D32" s="5" t="n"/>
      <c r="E32" s="25">
        <f>IF(OR(C32="",D32=""),"",C32-D32)</f>
        <v/>
      </c>
      <c r="F32" s="27">
        <f>IF(OR(C32="",D32=""),"",IFERROR(D32/C32*100,0))</f>
        <v/>
      </c>
      <c r="G32" s="5" t="n"/>
      <c r="H32" s="25">
        <f>IF(OR(D32="",G32="",G32=0),"",IFERROR(D32/G32,0))</f>
        <v/>
      </c>
      <c r="I32" s="5" t="n"/>
      <c r="J32" s="5" t="n"/>
      <c r="K32" s="5" t="n"/>
      <c r="L32" s="5" t="n"/>
      <c r="M32" s="25">
        <f>IF(A32="","",IFERROR(SUMIF($A$6:$A$115,A32,$D$6:$D$115),0))</f>
        <v/>
      </c>
      <c r="N32" s="27">
        <f>IF(A32="","",IFERROR(AVERAGEIF($A$6:$A$115,A32,$F$6:$F$115),0))</f>
        <v/>
      </c>
    </row>
    <row r="33" ht="22" customHeight="1">
      <c r="A33" s="7" t="n"/>
      <c r="B33" s="7" t="n"/>
      <c r="C33" s="7" t="n"/>
      <c r="D33" s="7" t="n"/>
      <c r="E33" s="26">
        <f>IF(OR(C33="",D33=""),"",C33-D33)</f>
        <v/>
      </c>
      <c r="F33" s="28">
        <f>IF(OR(C33="",D33=""),"",IFERROR(D33/C33*100,0))</f>
        <v/>
      </c>
      <c r="G33" s="7" t="n"/>
      <c r="H33" s="26">
        <f>IF(OR(D33="",G33="",G33=0),"",IFERROR(D33/G33,0))</f>
        <v/>
      </c>
      <c r="I33" s="7" t="n"/>
      <c r="J33" s="7" t="n"/>
      <c r="K33" s="7" t="n"/>
      <c r="L33" s="7" t="n"/>
      <c r="M33" s="26">
        <f>IF(A33="","",IFERROR(SUMIF($A$6:$A$115,A33,$D$6:$D$115),0))</f>
        <v/>
      </c>
      <c r="N33" s="28">
        <f>IF(A33="","",IFERROR(AVERAGEIF($A$6:$A$115,A33,$F$6:$F$115),0))</f>
        <v/>
      </c>
    </row>
    <row r="34" ht="22" customHeight="1">
      <c r="A34" s="5" t="n"/>
      <c r="B34" s="5" t="n"/>
      <c r="C34" s="5" t="n"/>
      <c r="D34" s="5" t="n"/>
      <c r="E34" s="25">
        <f>IF(OR(C34="",D34=""),"",C34-D34)</f>
        <v/>
      </c>
      <c r="F34" s="27">
        <f>IF(OR(C34="",D34=""),"",IFERROR(D34/C34*100,0))</f>
        <v/>
      </c>
      <c r="G34" s="5" t="n"/>
      <c r="H34" s="25">
        <f>IF(OR(D34="",G34="",G34=0),"",IFERROR(D34/G34,0))</f>
        <v/>
      </c>
      <c r="I34" s="5" t="n"/>
      <c r="J34" s="5" t="n"/>
      <c r="K34" s="5" t="n"/>
      <c r="L34" s="5" t="n"/>
      <c r="M34" s="25">
        <f>IF(A34="","",IFERROR(SUMIF($A$6:$A$115,A34,$D$6:$D$115),0))</f>
        <v/>
      </c>
      <c r="N34" s="27">
        <f>IF(A34="","",IFERROR(AVERAGEIF($A$6:$A$115,A34,$F$6:$F$115),0))</f>
        <v/>
      </c>
    </row>
    <row r="35" ht="22" customHeight="1">
      <c r="A35" s="7" t="n"/>
      <c r="B35" s="7" t="n"/>
      <c r="C35" s="7" t="n"/>
      <c r="D35" s="7" t="n"/>
      <c r="E35" s="26">
        <f>IF(OR(C35="",D35=""),"",C35-D35)</f>
        <v/>
      </c>
      <c r="F35" s="28">
        <f>IF(OR(C35="",D35=""),"",IFERROR(D35/C35*100,0))</f>
        <v/>
      </c>
      <c r="G35" s="7" t="n"/>
      <c r="H35" s="26">
        <f>IF(OR(D35="",G35="",G35=0),"",IFERROR(D35/G35,0))</f>
        <v/>
      </c>
      <c r="I35" s="7" t="n"/>
      <c r="J35" s="7" t="n"/>
      <c r="K35" s="7" t="n"/>
      <c r="L35" s="7" t="n"/>
      <c r="M35" s="26">
        <f>IF(A35="","",IFERROR(SUMIF($A$6:$A$115,A35,$D$6:$D$115),0))</f>
        <v/>
      </c>
      <c r="N35" s="28">
        <f>IF(A35="","",IFERROR(AVERAGEIF($A$6:$A$115,A35,$F$6:$F$115),0))</f>
        <v/>
      </c>
    </row>
    <row r="36" ht="22" customHeight="1">
      <c r="A36" s="5" t="n"/>
      <c r="B36" s="5" t="n"/>
      <c r="C36" s="5" t="n"/>
      <c r="D36" s="5" t="n"/>
      <c r="E36" s="25">
        <f>IF(OR(C36="",D36=""),"",C36-D36)</f>
        <v/>
      </c>
      <c r="F36" s="27">
        <f>IF(OR(C36="",D36=""),"",IFERROR(D36/C36*100,0))</f>
        <v/>
      </c>
      <c r="G36" s="5" t="n"/>
      <c r="H36" s="25">
        <f>IF(OR(D36="",G36="",G36=0),"",IFERROR(D36/G36,0))</f>
        <v/>
      </c>
      <c r="I36" s="5" t="n"/>
      <c r="J36" s="5" t="n"/>
      <c r="K36" s="5" t="n"/>
      <c r="L36" s="5" t="n"/>
      <c r="M36" s="25">
        <f>IF(A36="","",IFERROR(SUMIF($A$6:$A$115,A36,$D$6:$D$115),0))</f>
        <v/>
      </c>
      <c r="N36" s="27">
        <f>IF(A36="","",IFERROR(AVERAGEIF($A$6:$A$115,A36,$F$6:$F$115),0))</f>
        <v/>
      </c>
    </row>
    <row r="37" ht="22" customHeight="1">
      <c r="A37" s="7" t="n"/>
      <c r="B37" s="7" t="n"/>
      <c r="C37" s="7" t="n"/>
      <c r="D37" s="7" t="n"/>
      <c r="E37" s="26">
        <f>IF(OR(C37="",D37=""),"",C37-D37)</f>
        <v/>
      </c>
      <c r="F37" s="28">
        <f>IF(OR(C37="",D37=""),"",IFERROR(D37/C37*100,0))</f>
        <v/>
      </c>
      <c r="G37" s="7" t="n"/>
      <c r="H37" s="26">
        <f>IF(OR(D37="",G37="",G37=0),"",IFERROR(D37/G37,0))</f>
        <v/>
      </c>
      <c r="I37" s="7" t="n"/>
      <c r="J37" s="7" t="n"/>
      <c r="K37" s="7" t="n"/>
      <c r="L37" s="7" t="n"/>
      <c r="M37" s="26">
        <f>IF(A37="","",IFERROR(SUMIF($A$6:$A$115,A37,$D$6:$D$115),0))</f>
        <v/>
      </c>
      <c r="N37" s="28">
        <f>IF(A37="","",IFERROR(AVERAGEIF($A$6:$A$115,A37,$F$6:$F$115),0))</f>
        <v/>
      </c>
    </row>
    <row r="38" ht="22" customHeight="1">
      <c r="A38" s="5" t="n"/>
      <c r="B38" s="5" t="n"/>
      <c r="C38" s="5" t="n"/>
      <c r="D38" s="5" t="n"/>
      <c r="E38" s="25">
        <f>IF(OR(C38="",D38=""),"",C38-D38)</f>
        <v/>
      </c>
      <c r="F38" s="27">
        <f>IF(OR(C38="",D38=""),"",IFERROR(D38/C38*100,0))</f>
        <v/>
      </c>
      <c r="G38" s="5" t="n"/>
      <c r="H38" s="25">
        <f>IF(OR(D38="",G38="",G38=0),"",IFERROR(D38/G38,0))</f>
        <v/>
      </c>
      <c r="I38" s="5" t="n"/>
      <c r="J38" s="5" t="n"/>
      <c r="K38" s="5" t="n"/>
      <c r="L38" s="5" t="n"/>
      <c r="M38" s="25">
        <f>IF(A38="","",IFERROR(SUMIF($A$6:$A$115,A38,$D$6:$D$115),0))</f>
        <v/>
      </c>
      <c r="N38" s="27">
        <f>IF(A38="","",IFERROR(AVERAGEIF($A$6:$A$115,A38,$F$6:$F$115),0))</f>
        <v/>
      </c>
    </row>
    <row r="39" ht="22" customHeight="1">
      <c r="A39" s="7" t="n"/>
      <c r="B39" s="7" t="n"/>
      <c r="C39" s="7" t="n"/>
      <c r="D39" s="7" t="n"/>
      <c r="E39" s="26">
        <f>IF(OR(C39="",D39=""),"",C39-D39)</f>
        <v/>
      </c>
      <c r="F39" s="28">
        <f>IF(OR(C39="",D39=""),"",IFERROR(D39/C39*100,0))</f>
        <v/>
      </c>
      <c r="G39" s="7" t="n"/>
      <c r="H39" s="26">
        <f>IF(OR(D39="",G39="",G39=0),"",IFERROR(D39/G39,0))</f>
        <v/>
      </c>
      <c r="I39" s="7" t="n"/>
      <c r="J39" s="7" t="n"/>
      <c r="K39" s="7" t="n"/>
      <c r="L39" s="7" t="n"/>
      <c r="M39" s="26">
        <f>IF(A39="","",IFERROR(SUMIF($A$6:$A$115,A39,$D$6:$D$115),0))</f>
        <v/>
      </c>
      <c r="N39" s="28">
        <f>IF(A39="","",IFERROR(AVERAGEIF($A$6:$A$115,A39,$F$6:$F$115),0))</f>
        <v/>
      </c>
    </row>
    <row r="40" ht="22" customHeight="1">
      <c r="A40" s="5" t="n"/>
      <c r="B40" s="5" t="n"/>
      <c r="C40" s="5" t="n"/>
      <c r="D40" s="5" t="n"/>
      <c r="E40" s="25">
        <f>IF(OR(C40="",D40=""),"",C40-D40)</f>
        <v/>
      </c>
      <c r="F40" s="27">
        <f>IF(OR(C40="",D40=""),"",IFERROR(D40/C40*100,0))</f>
        <v/>
      </c>
      <c r="G40" s="5" t="n"/>
      <c r="H40" s="25">
        <f>IF(OR(D40="",G40="",G40=0),"",IFERROR(D40/G40,0))</f>
        <v/>
      </c>
      <c r="I40" s="5" t="n"/>
      <c r="J40" s="5" t="n"/>
      <c r="K40" s="5" t="n"/>
      <c r="L40" s="5" t="n"/>
      <c r="M40" s="25">
        <f>IF(A40="","",IFERROR(SUMIF($A$6:$A$115,A40,$D$6:$D$115),0))</f>
        <v/>
      </c>
      <c r="N40" s="27">
        <f>IF(A40="","",IFERROR(AVERAGEIF($A$6:$A$115,A40,$F$6:$F$115),0))</f>
        <v/>
      </c>
    </row>
    <row r="41" ht="22" customHeight="1">
      <c r="A41" s="7" t="n"/>
      <c r="B41" s="7" t="n"/>
      <c r="C41" s="7" t="n"/>
      <c r="D41" s="7" t="n"/>
      <c r="E41" s="26">
        <f>IF(OR(C41="",D41=""),"",C41-D41)</f>
        <v/>
      </c>
      <c r="F41" s="28">
        <f>IF(OR(C41="",D41=""),"",IFERROR(D41/C41*100,0))</f>
        <v/>
      </c>
      <c r="G41" s="7" t="n"/>
      <c r="H41" s="26">
        <f>IF(OR(D41="",G41="",G41=0),"",IFERROR(D41/G41,0))</f>
        <v/>
      </c>
      <c r="I41" s="7" t="n"/>
      <c r="J41" s="7" t="n"/>
      <c r="K41" s="7" t="n"/>
      <c r="L41" s="7" t="n"/>
      <c r="M41" s="26">
        <f>IF(A41="","",IFERROR(SUMIF($A$6:$A$115,A41,$D$6:$D$115),0))</f>
        <v/>
      </c>
      <c r="N41" s="28">
        <f>IF(A41="","",IFERROR(AVERAGEIF($A$6:$A$115,A41,$F$6:$F$115),0))</f>
        <v/>
      </c>
    </row>
    <row r="42" ht="22" customHeight="1">
      <c r="A42" s="5" t="n"/>
      <c r="B42" s="5" t="n"/>
      <c r="C42" s="5" t="n"/>
      <c r="D42" s="5" t="n"/>
      <c r="E42" s="25">
        <f>IF(OR(C42="",D42=""),"",C42-D42)</f>
        <v/>
      </c>
      <c r="F42" s="27">
        <f>IF(OR(C42="",D42=""),"",IFERROR(D42/C42*100,0))</f>
        <v/>
      </c>
      <c r="G42" s="5" t="n"/>
      <c r="H42" s="25">
        <f>IF(OR(D42="",G42="",G42=0),"",IFERROR(D42/G42,0))</f>
        <v/>
      </c>
      <c r="I42" s="5" t="n"/>
      <c r="J42" s="5" t="n"/>
      <c r="K42" s="5" t="n"/>
      <c r="L42" s="5" t="n"/>
      <c r="M42" s="25">
        <f>IF(A42="","",IFERROR(SUMIF($A$6:$A$115,A42,$D$6:$D$115),0))</f>
        <v/>
      </c>
      <c r="N42" s="27">
        <f>IF(A42="","",IFERROR(AVERAGEIF($A$6:$A$115,A42,$F$6:$F$115),0))</f>
        <v/>
      </c>
    </row>
    <row r="43" ht="22" customHeight="1">
      <c r="A43" s="7" t="n"/>
      <c r="B43" s="7" t="n"/>
      <c r="C43" s="7" t="n"/>
      <c r="D43" s="7" t="n"/>
      <c r="E43" s="26">
        <f>IF(OR(C43="",D43=""),"",C43-D43)</f>
        <v/>
      </c>
      <c r="F43" s="28">
        <f>IF(OR(C43="",D43=""),"",IFERROR(D43/C43*100,0))</f>
        <v/>
      </c>
      <c r="G43" s="7" t="n"/>
      <c r="H43" s="26">
        <f>IF(OR(D43="",G43="",G43=0),"",IFERROR(D43/G43,0))</f>
        <v/>
      </c>
      <c r="I43" s="7" t="n"/>
      <c r="J43" s="7" t="n"/>
      <c r="K43" s="7" t="n"/>
      <c r="L43" s="7" t="n"/>
      <c r="M43" s="26">
        <f>IF(A43="","",IFERROR(SUMIF($A$6:$A$115,A43,$D$6:$D$115),0))</f>
        <v/>
      </c>
      <c r="N43" s="28">
        <f>IF(A43="","",IFERROR(AVERAGEIF($A$6:$A$115,A43,$F$6:$F$115),0))</f>
        <v/>
      </c>
    </row>
    <row r="44" ht="22" customHeight="1">
      <c r="A44" s="5" t="n"/>
      <c r="B44" s="5" t="n"/>
      <c r="C44" s="5" t="n"/>
      <c r="D44" s="5" t="n"/>
      <c r="E44" s="25">
        <f>IF(OR(C44="",D44=""),"",C44-D44)</f>
        <v/>
      </c>
      <c r="F44" s="27">
        <f>IF(OR(C44="",D44=""),"",IFERROR(D44/C44*100,0))</f>
        <v/>
      </c>
      <c r="G44" s="5" t="n"/>
      <c r="H44" s="25">
        <f>IF(OR(D44="",G44="",G44=0),"",IFERROR(D44/G44,0))</f>
        <v/>
      </c>
      <c r="I44" s="5" t="n"/>
      <c r="J44" s="5" t="n"/>
      <c r="K44" s="5" t="n"/>
      <c r="L44" s="5" t="n"/>
      <c r="M44" s="25">
        <f>IF(A44="","",IFERROR(SUMIF($A$6:$A$115,A44,$D$6:$D$115),0))</f>
        <v/>
      </c>
      <c r="N44" s="27">
        <f>IF(A44="","",IFERROR(AVERAGEIF($A$6:$A$115,A44,$F$6:$F$115),0))</f>
        <v/>
      </c>
    </row>
    <row r="45" ht="22" customHeight="1">
      <c r="A45" s="7" t="n"/>
      <c r="B45" s="7" t="n"/>
      <c r="C45" s="7" t="n"/>
      <c r="D45" s="7" t="n"/>
      <c r="E45" s="26">
        <f>IF(OR(C45="",D45=""),"",C45-D45)</f>
        <v/>
      </c>
      <c r="F45" s="28">
        <f>IF(OR(C45="",D45=""),"",IFERROR(D45/C45*100,0))</f>
        <v/>
      </c>
      <c r="G45" s="7" t="n"/>
      <c r="H45" s="26">
        <f>IF(OR(D45="",G45="",G45=0),"",IFERROR(D45/G45,0))</f>
        <v/>
      </c>
      <c r="I45" s="7" t="n"/>
      <c r="J45" s="7" t="n"/>
      <c r="K45" s="7" t="n"/>
      <c r="L45" s="7" t="n"/>
      <c r="M45" s="26">
        <f>IF(A45="","",IFERROR(SUMIF($A$6:$A$115,A45,$D$6:$D$115),0))</f>
        <v/>
      </c>
      <c r="N45" s="28">
        <f>IF(A45="","",IFERROR(AVERAGEIF($A$6:$A$115,A45,$F$6:$F$115),0))</f>
        <v/>
      </c>
    </row>
    <row r="46" ht="22" customHeight="1">
      <c r="A46" s="5" t="n"/>
      <c r="B46" s="5" t="n"/>
      <c r="C46" s="5" t="n"/>
      <c r="D46" s="5" t="n"/>
      <c r="E46" s="25">
        <f>IF(OR(C46="",D46=""),"",C46-D46)</f>
        <v/>
      </c>
      <c r="F46" s="27">
        <f>IF(OR(C46="",D46=""),"",IFERROR(D46/C46*100,0))</f>
        <v/>
      </c>
      <c r="G46" s="5" t="n"/>
      <c r="H46" s="25">
        <f>IF(OR(D46="",G46="",G46=0),"",IFERROR(D46/G46,0))</f>
        <v/>
      </c>
      <c r="I46" s="5" t="n"/>
      <c r="J46" s="5" t="n"/>
      <c r="K46" s="5" t="n"/>
      <c r="L46" s="5" t="n"/>
      <c r="M46" s="25">
        <f>IF(A46="","",IFERROR(SUMIF($A$6:$A$115,A46,$D$6:$D$115),0))</f>
        <v/>
      </c>
      <c r="N46" s="27">
        <f>IF(A46="","",IFERROR(AVERAGEIF($A$6:$A$115,A46,$F$6:$F$115),0))</f>
        <v/>
      </c>
    </row>
    <row r="47" ht="22" customHeight="1">
      <c r="A47" s="7" t="n"/>
      <c r="B47" s="7" t="n"/>
      <c r="C47" s="7" t="n"/>
      <c r="D47" s="7" t="n"/>
      <c r="E47" s="26">
        <f>IF(OR(C47="",D47=""),"",C47-D47)</f>
        <v/>
      </c>
      <c r="F47" s="28">
        <f>IF(OR(C47="",D47=""),"",IFERROR(D47/C47*100,0))</f>
        <v/>
      </c>
      <c r="G47" s="7" t="n"/>
      <c r="H47" s="26">
        <f>IF(OR(D47="",G47="",G47=0),"",IFERROR(D47/G47,0))</f>
        <v/>
      </c>
      <c r="I47" s="7" t="n"/>
      <c r="J47" s="7" t="n"/>
      <c r="K47" s="7" t="n"/>
      <c r="L47" s="7" t="n"/>
      <c r="M47" s="26">
        <f>IF(A47="","",IFERROR(SUMIF($A$6:$A$115,A47,$D$6:$D$115),0))</f>
        <v/>
      </c>
      <c r="N47" s="28">
        <f>IF(A47="","",IFERROR(AVERAGEIF($A$6:$A$115,A47,$F$6:$F$115),0))</f>
        <v/>
      </c>
    </row>
    <row r="48" ht="22" customHeight="1">
      <c r="A48" s="5" t="n"/>
      <c r="B48" s="5" t="n"/>
      <c r="C48" s="5" t="n"/>
      <c r="D48" s="5" t="n"/>
      <c r="E48" s="25">
        <f>IF(OR(C48="",D48=""),"",C48-D48)</f>
        <v/>
      </c>
      <c r="F48" s="27">
        <f>IF(OR(C48="",D48=""),"",IFERROR(D48/C48*100,0))</f>
        <v/>
      </c>
      <c r="G48" s="5" t="n"/>
      <c r="H48" s="25">
        <f>IF(OR(D48="",G48="",G48=0),"",IFERROR(D48/G48,0))</f>
        <v/>
      </c>
      <c r="I48" s="5" t="n"/>
      <c r="J48" s="5" t="n"/>
      <c r="K48" s="5" t="n"/>
      <c r="L48" s="5" t="n"/>
      <c r="M48" s="25">
        <f>IF(A48="","",IFERROR(SUMIF($A$6:$A$115,A48,$D$6:$D$115),0))</f>
        <v/>
      </c>
      <c r="N48" s="27">
        <f>IF(A48="","",IFERROR(AVERAGEIF($A$6:$A$115,A48,$F$6:$F$115),0))</f>
        <v/>
      </c>
    </row>
    <row r="49" ht="22" customHeight="1">
      <c r="A49" s="7" t="n"/>
      <c r="B49" s="7" t="n"/>
      <c r="C49" s="7" t="n"/>
      <c r="D49" s="7" t="n"/>
      <c r="E49" s="26">
        <f>IF(OR(C49="",D49=""),"",C49-D49)</f>
        <v/>
      </c>
      <c r="F49" s="28">
        <f>IF(OR(C49="",D49=""),"",IFERROR(D49/C49*100,0))</f>
        <v/>
      </c>
      <c r="G49" s="7" t="n"/>
      <c r="H49" s="26">
        <f>IF(OR(D49="",G49="",G49=0),"",IFERROR(D49/G49,0))</f>
        <v/>
      </c>
      <c r="I49" s="7" t="n"/>
      <c r="J49" s="7" t="n"/>
      <c r="K49" s="7" t="n"/>
      <c r="L49" s="7" t="n"/>
      <c r="M49" s="26">
        <f>IF(A49="","",IFERROR(SUMIF($A$6:$A$115,A49,$D$6:$D$115),0))</f>
        <v/>
      </c>
      <c r="N49" s="28">
        <f>IF(A49="","",IFERROR(AVERAGEIF($A$6:$A$115,A49,$F$6:$F$115),0))</f>
        <v/>
      </c>
    </row>
    <row r="50" ht="22" customHeight="1">
      <c r="A50" s="5" t="n"/>
      <c r="B50" s="5" t="n"/>
      <c r="C50" s="5" t="n"/>
      <c r="D50" s="5" t="n"/>
      <c r="E50" s="25">
        <f>IF(OR(C50="",D50=""),"",C50-D50)</f>
        <v/>
      </c>
      <c r="F50" s="27">
        <f>IF(OR(C50="",D50=""),"",IFERROR(D50/C50*100,0))</f>
        <v/>
      </c>
      <c r="G50" s="5" t="n"/>
      <c r="H50" s="25">
        <f>IF(OR(D50="",G50="",G50=0),"",IFERROR(D50/G50,0))</f>
        <v/>
      </c>
      <c r="I50" s="5" t="n"/>
      <c r="J50" s="5" t="n"/>
      <c r="K50" s="5" t="n"/>
      <c r="L50" s="5" t="n"/>
      <c r="M50" s="25">
        <f>IF(A50="","",IFERROR(SUMIF($A$6:$A$115,A50,$D$6:$D$115),0))</f>
        <v/>
      </c>
      <c r="N50" s="27">
        <f>IF(A50="","",IFERROR(AVERAGEIF($A$6:$A$115,A50,$F$6:$F$115),0))</f>
        <v/>
      </c>
    </row>
    <row r="51" ht="22" customHeight="1">
      <c r="A51" s="7" t="n"/>
      <c r="B51" s="7" t="n"/>
      <c r="C51" s="7" t="n"/>
      <c r="D51" s="7" t="n"/>
      <c r="E51" s="26">
        <f>IF(OR(C51="",D51=""),"",C51-D51)</f>
        <v/>
      </c>
      <c r="F51" s="28">
        <f>IF(OR(C51="",D51=""),"",IFERROR(D51/C51*100,0))</f>
        <v/>
      </c>
      <c r="G51" s="7" t="n"/>
      <c r="H51" s="26">
        <f>IF(OR(D51="",G51="",G51=0),"",IFERROR(D51/G51,0))</f>
        <v/>
      </c>
      <c r="I51" s="7" t="n"/>
      <c r="J51" s="7" t="n"/>
      <c r="K51" s="7" t="n"/>
      <c r="L51" s="7" t="n"/>
      <c r="M51" s="26">
        <f>IF(A51="","",IFERROR(SUMIF($A$6:$A$115,A51,$D$6:$D$115),0))</f>
        <v/>
      </c>
      <c r="N51" s="28">
        <f>IF(A51="","",IFERROR(AVERAGEIF($A$6:$A$115,A51,$F$6:$F$115),0))</f>
        <v/>
      </c>
    </row>
    <row r="52" ht="22" customHeight="1">
      <c r="A52" s="5" t="n"/>
      <c r="B52" s="5" t="n"/>
      <c r="C52" s="5" t="n"/>
      <c r="D52" s="5" t="n"/>
      <c r="E52" s="25">
        <f>IF(OR(C52="",D52=""),"",C52-D52)</f>
        <v/>
      </c>
      <c r="F52" s="27">
        <f>IF(OR(C52="",D52=""),"",IFERROR(D52/C52*100,0))</f>
        <v/>
      </c>
      <c r="G52" s="5" t="n"/>
      <c r="H52" s="25">
        <f>IF(OR(D52="",G52="",G52=0),"",IFERROR(D52/G52,0))</f>
        <v/>
      </c>
      <c r="I52" s="5" t="n"/>
      <c r="J52" s="5" t="n"/>
      <c r="K52" s="5" t="n"/>
      <c r="L52" s="5" t="n"/>
      <c r="M52" s="25">
        <f>IF(A52="","",IFERROR(SUMIF($A$6:$A$115,A52,$D$6:$D$115),0))</f>
        <v/>
      </c>
      <c r="N52" s="27">
        <f>IF(A52="","",IFERROR(AVERAGEIF($A$6:$A$115,A52,$F$6:$F$115),0))</f>
        <v/>
      </c>
    </row>
    <row r="53" ht="22" customHeight="1">
      <c r="A53" s="7" t="n"/>
      <c r="B53" s="7" t="n"/>
      <c r="C53" s="7" t="n"/>
      <c r="D53" s="7" t="n"/>
      <c r="E53" s="26">
        <f>IF(OR(C53="",D53=""),"",C53-D53)</f>
        <v/>
      </c>
      <c r="F53" s="28">
        <f>IF(OR(C53="",D53=""),"",IFERROR(D53/C53*100,0))</f>
        <v/>
      </c>
      <c r="G53" s="7" t="n"/>
      <c r="H53" s="26">
        <f>IF(OR(D53="",G53="",G53=0),"",IFERROR(D53/G53,0))</f>
        <v/>
      </c>
      <c r="I53" s="7" t="n"/>
      <c r="J53" s="7" t="n"/>
      <c r="K53" s="7" t="n"/>
      <c r="L53" s="7" t="n"/>
      <c r="M53" s="26">
        <f>IF(A53="","",IFERROR(SUMIF($A$6:$A$115,A53,$D$6:$D$115),0))</f>
        <v/>
      </c>
      <c r="N53" s="28">
        <f>IF(A53="","",IFERROR(AVERAGEIF($A$6:$A$115,A53,$F$6:$F$115),0))</f>
        <v/>
      </c>
    </row>
    <row r="54" ht="22" customHeight="1">
      <c r="A54" s="5" t="n"/>
      <c r="B54" s="5" t="n"/>
      <c r="C54" s="5" t="n"/>
      <c r="D54" s="5" t="n"/>
      <c r="E54" s="25">
        <f>IF(OR(C54="",D54=""),"",C54-D54)</f>
        <v/>
      </c>
      <c r="F54" s="27">
        <f>IF(OR(C54="",D54=""),"",IFERROR(D54/C54*100,0))</f>
        <v/>
      </c>
      <c r="G54" s="5" t="n"/>
      <c r="H54" s="25">
        <f>IF(OR(D54="",G54="",G54=0),"",IFERROR(D54/G54,0))</f>
        <v/>
      </c>
      <c r="I54" s="5" t="n"/>
      <c r="J54" s="5" t="n"/>
      <c r="K54" s="5" t="n"/>
      <c r="L54" s="5" t="n"/>
      <c r="M54" s="25">
        <f>IF(A54="","",IFERROR(SUMIF($A$6:$A$115,A54,$D$6:$D$115),0))</f>
        <v/>
      </c>
      <c r="N54" s="27">
        <f>IF(A54="","",IFERROR(AVERAGEIF($A$6:$A$115,A54,$F$6:$F$115),0))</f>
        <v/>
      </c>
    </row>
    <row r="55" ht="22" customHeight="1">
      <c r="A55" s="7" t="n"/>
      <c r="B55" s="7" t="n"/>
      <c r="C55" s="7" t="n"/>
      <c r="D55" s="7" t="n"/>
      <c r="E55" s="26">
        <f>IF(OR(C55="",D55=""),"",C55-D55)</f>
        <v/>
      </c>
      <c r="F55" s="28">
        <f>IF(OR(C55="",D55=""),"",IFERROR(D55/C55*100,0))</f>
        <v/>
      </c>
      <c r="G55" s="7" t="n"/>
      <c r="H55" s="26">
        <f>IF(OR(D55="",G55="",G55=0),"",IFERROR(D55/G55,0))</f>
        <v/>
      </c>
      <c r="I55" s="7" t="n"/>
      <c r="J55" s="7" t="n"/>
      <c r="K55" s="7" t="n"/>
      <c r="L55" s="7" t="n"/>
      <c r="M55" s="26">
        <f>IF(A55="","",IFERROR(SUMIF($A$6:$A$115,A55,$D$6:$D$115),0))</f>
        <v/>
      </c>
      <c r="N55" s="28">
        <f>IF(A55="","",IFERROR(AVERAGEIF($A$6:$A$115,A55,$F$6:$F$115),0))</f>
        <v/>
      </c>
    </row>
    <row r="56" ht="22" customHeight="1">
      <c r="A56" s="5" t="n"/>
      <c r="B56" s="5" t="n"/>
      <c r="C56" s="5" t="n"/>
      <c r="D56" s="5" t="n"/>
      <c r="E56" s="25">
        <f>IF(OR(C56="",D56=""),"",C56-D56)</f>
        <v/>
      </c>
      <c r="F56" s="27">
        <f>IF(OR(C56="",D56=""),"",IFERROR(D56/C56*100,0))</f>
        <v/>
      </c>
      <c r="G56" s="5" t="n"/>
      <c r="H56" s="25">
        <f>IF(OR(D56="",G56="",G56=0),"",IFERROR(D56/G56,0))</f>
        <v/>
      </c>
      <c r="I56" s="5" t="n"/>
      <c r="J56" s="5" t="n"/>
      <c r="K56" s="5" t="n"/>
      <c r="L56" s="5" t="n"/>
      <c r="M56" s="25">
        <f>IF(A56="","",IFERROR(SUMIF($A$6:$A$115,A56,$D$6:$D$115),0))</f>
        <v/>
      </c>
      <c r="N56" s="27">
        <f>IF(A56="","",IFERROR(AVERAGEIF($A$6:$A$115,A56,$F$6:$F$115),0))</f>
        <v/>
      </c>
    </row>
    <row r="57" ht="22" customHeight="1">
      <c r="A57" s="7" t="n"/>
      <c r="B57" s="7" t="n"/>
      <c r="C57" s="7" t="n"/>
      <c r="D57" s="7" t="n"/>
      <c r="E57" s="26">
        <f>IF(OR(C57="",D57=""),"",C57-D57)</f>
        <v/>
      </c>
      <c r="F57" s="28">
        <f>IF(OR(C57="",D57=""),"",IFERROR(D57/C57*100,0))</f>
        <v/>
      </c>
      <c r="G57" s="7" t="n"/>
      <c r="H57" s="26">
        <f>IF(OR(D57="",G57="",G57=0),"",IFERROR(D57/G57,0))</f>
        <v/>
      </c>
      <c r="I57" s="7" t="n"/>
      <c r="J57" s="7" t="n"/>
      <c r="K57" s="7" t="n"/>
      <c r="L57" s="7" t="n"/>
      <c r="M57" s="26">
        <f>IF(A57="","",IFERROR(SUMIF($A$6:$A$115,A57,$D$6:$D$115),0))</f>
        <v/>
      </c>
      <c r="N57" s="28">
        <f>IF(A57="","",IFERROR(AVERAGEIF($A$6:$A$115,A57,$F$6:$F$115),0))</f>
        <v/>
      </c>
    </row>
    <row r="58" ht="22" customHeight="1">
      <c r="A58" s="5" t="n"/>
      <c r="B58" s="5" t="n"/>
      <c r="C58" s="5" t="n"/>
      <c r="D58" s="5" t="n"/>
      <c r="E58" s="25">
        <f>IF(OR(C58="",D58=""),"",C58-D58)</f>
        <v/>
      </c>
      <c r="F58" s="27">
        <f>IF(OR(C58="",D58=""),"",IFERROR(D58/C58*100,0))</f>
        <v/>
      </c>
      <c r="G58" s="5" t="n"/>
      <c r="H58" s="25">
        <f>IF(OR(D58="",G58="",G58=0),"",IFERROR(D58/G58,0))</f>
        <v/>
      </c>
      <c r="I58" s="5" t="n"/>
      <c r="J58" s="5" t="n"/>
      <c r="K58" s="5" t="n"/>
      <c r="L58" s="5" t="n"/>
      <c r="M58" s="25">
        <f>IF(A58="","",IFERROR(SUMIF($A$6:$A$115,A58,$D$6:$D$115),0))</f>
        <v/>
      </c>
      <c r="N58" s="27">
        <f>IF(A58="","",IFERROR(AVERAGEIF($A$6:$A$115,A58,$F$6:$F$115),0))</f>
        <v/>
      </c>
    </row>
    <row r="59" ht="22" customHeight="1">
      <c r="A59" s="7" t="n"/>
      <c r="B59" s="7" t="n"/>
      <c r="C59" s="7" t="n"/>
      <c r="D59" s="7" t="n"/>
      <c r="E59" s="26">
        <f>IF(OR(C59="",D59=""),"",C59-D59)</f>
        <v/>
      </c>
      <c r="F59" s="28">
        <f>IF(OR(C59="",D59=""),"",IFERROR(D59/C59*100,0))</f>
        <v/>
      </c>
      <c r="G59" s="7" t="n"/>
      <c r="H59" s="26">
        <f>IF(OR(D59="",G59="",G59=0),"",IFERROR(D59/G59,0))</f>
        <v/>
      </c>
      <c r="I59" s="7" t="n"/>
      <c r="J59" s="7" t="n"/>
      <c r="K59" s="7" t="n"/>
      <c r="L59" s="7" t="n"/>
      <c r="M59" s="26">
        <f>IF(A59="","",IFERROR(SUMIF($A$6:$A$115,A59,$D$6:$D$115),0))</f>
        <v/>
      </c>
      <c r="N59" s="28">
        <f>IF(A59="","",IFERROR(AVERAGEIF($A$6:$A$115,A59,$F$6:$F$115),0))</f>
        <v/>
      </c>
    </row>
    <row r="60" ht="22" customHeight="1">
      <c r="A60" s="5" t="n"/>
      <c r="B60" s="5" t="n"/>
      <c r="C60" s="5" t="n"/>
      <c r="D60" s="5" t="n"/>
      <c r="E60" s="25">
        <f>IF(OR(C60="",D60=""),"",C60-D60)</f>
        <v/>
      </c>
      <c r="F60" s="27">
        <f>IF(OR(C60="",D60=""),"",IFERROR(D60/C60*100,0))</f>
        <v/>
      </c>
      <c r="G60" s="5" t="n"/>
      <c r="H60" s="25">
        <f>IF(OR(D60="",G60="",G60=0),"",IFERROR(D60/G60,0))</f>
        <v/>
      </c>
      <c r="I60" s="5" t="n"/>
      <c r="J60" s="5" t="n"/>
      <c r="K60" s="5" t="n"/>
      <c r="L60" s="5" t="n"/>
      <c r="M60" s="25">
        <f>IF(A60="","",IFERROR(SUMIF($A$6:$A$115,A60,$D$6:$D$115),0))</f>
        <v/>
      </c>
      <c r="N60" s="27">
        <f>IF(A60="","",IFERROR(AVERAGEIF($A$6:$A$115,A60,$F$6:$F$115),0))</f>
        <v/>
      </c>
    </row>
    <row r="61" ht="22" customHeight="1">
      <c r="A61" s="7" t="n"/>
      <c r="B61" s="7" t="n"/>
      <c r="C61" s="7" t="n"/>
      <c r="D61" s="7" t="n"/>
      <c r="E61" s="26">
        <f>IF(OR(C61="",D61=""),"",C61-D61)</f>
        <v/>
      </c>
      <c r="F61" s="28">
        <f>IF(OR(C61="",D61=""),"",IFERROR(D61/C61*100,0))</f>
        <v/>
      </c>
      <c r="G61" s="7" t="n"/>
      <c r="H61" s="26">
        <f>IF(OR(D61="",G61="",G61=0),"",IFERROR(D61/G61,0))</f>
        <v/>
      </c>
      <c r="I61" s="7" t="n"/>
      <c r="J61" s="7" t="n"/>
      <c r="K61" s="7" t="n"/>
      <c r="L61" s="7" t="n"/>
      <c r="M61" s="26">
        <f>IF(A61="","",IFERROR(SUMIF($A$6:$A$115,A61,$D$6:$D$115),0))</f>
        <v/>
      </c>
      <c r="N61" s="28">
        <f>IF(A61="","",IFERROR(AVERAGEIF($A$6:$A$115,A61,$F$6:$F$115),0))</f>
        <v/>
      </c>
    </row>
    <row r="62" ht="22" customHeight="1">
      <c r="A62" s="5" t="n"/>
      <c r="B62" s="5" t="n"/>
      <c r="C62" s="5" t="n"/>
      <c r="D62" s="5" t="n"/>
      <c r="E62" s="25">
        <f>IF(OR(C62="",D62=""),"",C62-D62)</f>
        <v/>
      </c>
      <c r="F62" s="27">
        <f>IF(OR(C62="",D62=""),"",IFERROR(D62/C62*100,0))</f>
        <v/>
      </c>
      <c r="G62" s="5" t="n"/>
      <c r="H62" s="25">
        <f>IF(OR(D62="",G62="",G62=0),"",IFERROR(D62/G62,0))</f>
        <v/>
      </c>
      <c r="I62" s="5" t="n"/>
      <c r="J62" s="5" t="n"/>
      <c r="K62" s="5" t="n"/>
      <c r="L62" s="5" t="n"/>
      <c r="M62" s="25">
        <f>IF(A62="","",IFERROR(SUMIF($A$6:$A$115,A62,$D$6:$D$115),0))</f>
        <v/>
      </c>
      <c r="N62" s="27">
        <f>IF(A62="","",IFERROR(AVERAGEIF($A$6:$A$115,A62,$F$6:$F$115),0))</f>
        <v/>
      </c>
    </row>
    <row r="63" ht="22" customHeight="1">
      <c r="A63" s="7" t="n"/>
      <c r="B63" s="7" t="n"/>
      <c r="C63" s="7" t="n"/>
      <c r="D63" s="7" t="n"/>
      <c r="E63" s="26">
        <f>IF(OR(C63="",D63=""),"",C63-D63)</f>
        <v/>
      </c>
      <c r="F63" s="28">
        <f>IF(OR(C63="",D63=""),"",IFERROR(D63/C63*100,0))</f>
        <v/>
      </c>
      <c r="G63" s="7" t="n"/>
      <c r="H63" s="26">
        <f>IF(OR(D63="",G63="",G63=0),"",IFERROR(D63/G63,0))</f>
        <v/>
      </c>
      <c r="I63" s="7" t="n"/>
      <c r="J63" s="7" t="n"/>
      <c r="K63" s="7" t="n"/>
      <c r="L63" s="7" t="n"/>
      <c r="M63" s="26">
        <f>IF(A63="","",IFERROR(SUMIF($A$6:$A$115,A63,$D$6:$D$115),0))</f>
        <v/>
      </c>
      <c r="N63" s="28">
        <f>IF(A63="","",IFERROR(AVERAGEIF($A$6:$A$115,A63,$F$6:$F$115),0))</f>
        <v/>
      </c>
    </row>
    <row r="64" ht="22" customHeight="1">
      <c r="A64" s="5" t="n"/>
      <c r="B64" s="5" t="n"/>
      <c r="C64" s="5" t="n"/>
      <c r="D64" s="5" t="n"/>
      <c r="E64" s="25">
        <f>IF(OR(C64="",D64=""),"",C64-D64)</f>
        <v/>
      </c>
      <c r="F64" s="27">
        <f>IF(OR(C64="",D64=""),"",IFERROR(D64/C64*100,0))</f>
        <v/>
      </c>
      <c r="G64" s="5" t="n"/>
      <c r="H64" s="25">
        <f>IF(OR(D64="",G64="",G64=0),"",IFERROR(D64/G64,0))</f>
        <v/>
      </c>
      <c r="I64" s="5" t="n"/>
      <c r="J64" s="5" t="n"/>
      <c r="K64" s="5" t="n"/>
      <c r="L64" s="5" t="n"/>
      <c r="M64" s="25">
        <f>IF(A64="","",IFERROR(SUMIF($A$6:$A$115,A64,$D$6:$D$115),0))</f>
        <v/>
      </c>
      <c r="N64" s="27">
        <f>IF(A64="","",IFERROR(AVERAGEIF($A$6:$A$115,A64,$F$6:$F$115),0))</f>
        <v/>
      </c>
    </row>
    <row r="65" ht="22" customHeight="1">
      <c r="A65" s="7" t="n"/>
      <c r="B65" s="7" t="n"/>
      <c r="C65" s="7" t="n"/>
      <c r="D65" s="7" t="n"/>
      <c r="E65" s="26">
        <f>IF(OR(C65="",D65=""),"",C65-D65)</f>
        <v/>
      </c>
      <c r="F65" s="28">
        <f>IF(OR(C65="",D65=""),"",IFERROR(D65/C65*100,0))</f>
        <v/>
      </c>
      <c r="G65" s="7" t="n"/>
      <c r="H65" s="26">
        <f>IF(OR(D65="",G65="",G65=0),"",IFERROR(D65/G65,0))</f>
        <v/>
      </c>
      <c r="I65" s="7" t="n"/>
      <c r="J65" s="7" t="n"/>
      <c r="K65" s="7" t="n"/>
      <c r="L65" s="7" t="n"/>
      <c r="M65" s="26">
        <f>IF(A65="","",IFERROR(SUMIF($A$6:$A$115,A65,$D$6:$D$115),0))</f>
        <v/>
      </c>
      <c r="N65" s="28">
        <f>IF(A65="","",IFERROR(AVERAGEIF($A$6:$A$115,A65,$F$6:$F$115),0))</f>
        <v/>
      </c>
    </row>
    <row r="66" ht="22" customHeight="1">
      <c r="A66" s="5" t="n"/>
      <c r="B66" s="5" t="n"/>
      <c r="C66" s="5" t="n"/>
      <c r="D66" s="5" t="n"/>
      <c r="E66" s="25">
        <f>IF(OR(C66="",D66=""),"",C66-D66)</f>
        <v/>
      </c>
      <c r="F66" s="27">
        <f>IF(OR(C66="",D66=""),"",IFERROR(D66/C66*100,0))</f>
        <v/>
      </c>
      <c r="G66" s="5" t="n"/>
      <c r="H66" s="25">
        <f>IF(OR(D66="",G66="",G66=0),"",IFERROR(D66/G66,0))</f>
        <v/>
      </c>
      <c r="I66" s="5" t="n"/>
      <c r="J66" s="5" t="n"/>
      <c r="K66" s="5" t="n"/>
      <c r="L66" s="5" t="n"/>
      <c r="M66" s="25">
        <f>IF(A66="","",IFERROR(SUMIF($A$6:$A$115,A66,$D$6:$D$115),0))</f>
        <v/>
      </c>
      <c r="N66" s="27">
        <f>IF(A66="","",IFERROR(AVERAGEIF($A$6:$A$115,A66,$F$6:$F$115),0))</f>
        <v/>
      </c>
    </row>
    <row r="67" ht="22" customHeight="1">
      <c r="A67" s="7" t="n"/>
      <c r="B67" s="7" t="n"/>
      <c r="C67" s="7" t="n"/>
      <c r="D67" s="7" t="n"/>
      <c r="E67" s="26">
        <f>IF(OR(C67="",D67=""),"",C67-D67)</f>
        <v/>
      </c>
      <c r="F67" s="28">
        <f>IF(OR(C67="",D67=""),"",IFERROR(D67/C67*100,0))</f>
        <v/>
      </c>
      <c r="G67" s="7" t="n"/>
      <c r="H67" s="26">
        <f>IF(OR(D67="",G67="",G67=0),"",IFERROR(D67/G67,0))</f>
        <v/>
      </c>
      <c r="I67" s="7" t="n"/>
      <c r="J67" s="7" t="n"/>
      <c r="K67" s="7" t="n"/>
      <c r="L67" s="7" t="n"/>
      <c r="M67" s="26">
        <f>IF(A67="","",IFERROR(SUMIF($A$6:$A$115,A67,$D$6:$D$115),0))</f>
        <v/>
      </c>
      <c r="N67" s="28">
        <f>IF(A67="","",IFERROR(AVERAGEIF($A$6:$A$115,A67,$F$6:$F$115),0))</f>
        <v/>
      </c>
    </row>
    <row r="68" ht="22" customHeight="1">
      <c r="A68" s="5" t="n"/>
      <c r="B68" s="5" t="n"/>
      <c r="C68" s="5" t="n"/>
      <c r="D68" s="5" t="n"/>
      <c r="E68" s="25">
        <f>IF(OR(C68="",D68=""),"",C68-D68)</f>
        <v/>
      </c>
      <c r="F68" s="27">
        <f>IF(OR(C68="",D68=""),"",IFERROR(D68/C68*100,0))</f>
        <v/>
      </c>
      <c r="G68" s="5" t="n"/>
      <c r="H68" s="25">
        <f>IF(OR(D68="",G68="",G68=0),"",IFERROR(D68/G68,0))</f>
        <v/>
      </c>
      <c r="I68" s="5" t="n"/>
      <c r="J68" s="5" t="n"/>
      <c r="K68" s="5" t="n"/>
      <c r="L68" s="5" t="n"/>
      <c r="M68" s="25">
        <f>IF(A68="","",IFERROR(SUMIF($A$6:$A$115,A68,$D$6:$D$115),0))</f>
        <v/>
      </c>
      <c r="N68" s="27">
        <f>IF(A68="","",IFERROR(AVERAGEIF($A$6:$A$115,A68,$F$6:$F$115),0))</f>
        <v/>
      </c>
    </row>
    <row r="69" ht="22" customHeight="1">
      <c r="A69" s="7" t="n"/>
      <c r="B69" s="7" t="n"/>
      <c r="C69" s="7" t="n"/>
      <c r="D69" s="7" t="n"/>
      <c r="E69" s="26">
        <f>IF(OR(C69="",D69=""),"",C69-D69)</f>
        <v/>
      </c>
      <c r="F69" s="28">
        <f>IF(OR(C69="",D69=""),"",IFERROR(D69/C69*100,0))</f>
        <v/>
      </c>
      <c r="G69" s="7" t="n"/>
      <c r="H69" s="26">
        <f>IF(OR(D69="",G69="",G69=0),"",IFERROR(D69/G69,0))</f>
        <v/>
      </c>
      <c r="I69" s="7" t="n"/>
      <c r="J69" s="7" t="n"/>
      <c r="K69" s="7" t="n"/>
      <c r="L69" s="7" t="n"/>
      <c r="M69" s="26">
        <f>IF(A69="","",IFERROR(SUMIF($A$6:$A$115,A69,$D$6:$D$115),0))</f>
        <v/>
      </c>
      <c r="N69" s="28">
        <f>IF(A69="","",IFERROR(AVERAGEIF($A$6:$A$115,A69,$F$6:$F$115),0))</f>
        <v/>
      </c>
    </row>
    <row r="70" ht="22" customHeight="1">
      <c r="A70" s="5" t="n"/>
      <c r="B70" s="5" t="n"/>
      <c r="C70" s="5" t="n"/>
      <c r="D70" s="5" t="n"/>
      <c r="E70" s="25">
        <f>IF(OR(C70="",D70=""),"",C70-D70)</f>
        <v/>
      </c>
      <c r="F70" s="27">
        <f>IF(OR(C70="",D70=""),"",IFERROR(D70/C70*100,0))</f>
        <v/>
      </c>
      <c r="G70" s="5" t="n"/>
      <c r="H70" s="25">
        <f>IF(OR(D70="",G70="",G70=0),"",IFERROR(D70/G70,0))</f>
        <v/>
      </c>
      <c r="I70" s="5" t="n"/>
      <c r="J70" s="5" t="n"/>
      <c r="K70" s="5" t="n"/>
      <c r="L70" s="5" t="n"/>
      <c r="M70" s="25">
        <f>IF(A70="","",IFERROR(SUMIF($A$6:$A$115,A70,$D$6:$D$115),0))</f>
        <v/>
      </c>
      <c r="N70" s="27">
        <f>IF(A70="","",IFERROR(AVERAGEIF($A$6:$A$115,A70,$F$6:$F$115),0))</f>
        <v/>
      </c>
    </row>
    <row r="71" ht="22" customHeight="1">
      <c r="A71" s="7" t="n"/>
      <c r="B71" s="7" t="n"/>
      <c r="C71" s="7" t="n"/>
      <c r="D71" s="7" t="n"/>
      <c r="E71" s="26">
        <f>IF(OR(C71="",D71=""),"",C71-D71)</f>
        <v/>
      </c>
      <c r="F71" s="28">
        <f>IF(OR(C71="",D71=""),"",IFERROR(D71/C71*100,0))</f>
        <v/>
      </c>
      <c r="G71" s="7" t="n"/>
      <c r="H71" s="26">
        <f>IF(OR(D71="",G71="",G71=0),"",IFERROR(D71/G71,0))</f>
        <v/>
      </c>
      <c r="I71" s="7" t="n"/>
      <c r="J71" s="7" t="n"/>
      <c r="K71" s="7" t="n"/>
      <c r="L71" s="7" t="n"/>
      <c r="M71" s="26">
        <f>IF(A71="","",IFERROR(SUMIF($A$6:$A$115,A71,$D$6:$D$115),0))</f>
        <v/>
      </c>
      <c r="N71" s="28">
        <f>IF(A71="","",IFERROR(AVERAGEIF($A$6:$A$115,A71,$F$6:$F$115),0))</f>
        <v/>
      </c>
    </row>
    <row r="72" ht="22" customHeight="1">
      <c r="A72" s="5" t="n"/>
      <c r="B72" s="5" t="n"/>
      <c r="C72" s="5" t="n"/>
      <c r="D72" s="5" t="n"/>
      <c r="E72" s="25">
        <f>IF(OR(C72="",D72=""),"",C72-D72)</f>
        <v/>
      </c>
      <c r="F72" s="27">
        <f>IF(OR(C72="",D72=""),"",IFERROR(D72/C72*100,0))</f>
        <v/>
      </c>
      <c r="G72" s="5" t="n"/>
      <c r="H72" s="25">
        <f>IF(OR(D72="",G72="",G72=0),"",IFERROR(D72/G72,0))</f>
        <v/>
      </c>
      <c r="I72" s="5" t="n"/>
      <c r="J72" s="5" t="n"/>
      <c r="K72" s="5" t="n"/>
      <c r="L72" s="5" t="n"/>
      <c r="M72" s="25">
        <f>IF(A72="","",IFERROR(SUMIF($A$6:$A$115,A72,$D$6:$D$115),0))</f>
        <v/>
      </c>
      <c r="N72" s="27">
        <f>IF(A72="","",IFERROR(AVERAGEIF($A$6:$A$115,A72,$F$6:$F$115),0))</f>
        <v/>
      </c>
    </row>
    <row r="73" ht="22" customHeight="1">
      <c r="A73" s="7" t="n"/>
      <c r="B73" s="7" t="n"/>
      <c r="C73" s="7" t="n"/>
      <c r="D73" s="7" t="n"/>
      <c r="E73" s="26">
        <f>IF(OR(C73="",D73=""),"",C73-D73)</f>
        <v/>
      </c>
      <c r="F73" s="28">
        <f>IF(OR(C73="",D73=""),"",IFERROR(D73/C73*100,0))</f>
        <v/>
      </c>
      <c r="G73" s="7" t="n"/>
      <c r="H73" s="26">
        <f>IF(OR(D73="",G73="",G73=0),"",IFERROR(D73/G73,0))</f>
        <v/>
      </c>
      <c r="I73" s="7" t="n"/>
      <c r="J73" s="7" t="n"/>
      <c r="K73" s="7" t="n"/>
      <c r="L73" s="7" t="n"/>
      <c r="M73" s="26">
        <f>IF(A73="","",IFERROR(SUMIF($A$6:$A$115,A73,$D$6:$D$115),0))</f>
        <v/>
      </c>
      <c r="N73" s="28">
        <f>IF(A73="","",IFERROR(AVERAGEIF($A$6:$A$115,A73,$F$6:$F$115),0))</f>
        <v/>
      </c>
    </row>
    <row r="74" ht="22" customHeight="1">
      <c r="A74" s="5" t="n"/>
      <c r="B74" s="5" t="n"/>
      <c r="C74" s="5" t="n"/>
      <c r="D74" s="5" t="n"/>
      <c r="E74" s="25">
        <f>IF(OR(C74="",D74=""),"",C74-D74)</f>
        <v/>
      </c>
      <c r="F74" s="27">
        <f>IF(OR(C74="",D74=""),"",IFERROR(D74/C74*100,0))</f>
        <v/>
      </c>
      <c r="G74" s="5" t="n"/>
      <c r="H74" s="25">
        <f>IF(OR(D74="",G74="",G74=0),"",IFERROR(D74/G74,0))</f>
        <v/>
      </c>
      <c r="I74" s="5" t="n"/>
      <c r="J74" s="5" t="n"/>
      <c r="K74" s="5" t="n"/>
      <c r="L74" s="5" t="n"/>
      <c r="M74" s="25">
        <f>IF(A74="","",IFERROR(SUMIF($A$6:$A$115,A74,$D$6:$D$115),0))</f>
        <v/>
      </c>
      <c r="N74" s="27">
        <f>IF(A74="","",IFERROR(AVERAGEIF($A$6:$A$115,A74,$F$6:$F$115),0))</f>
        <v/>
      </c>
    </row>
    <row r="75" ht="22" customHeight="1">
      <c r="A75" s="7" t="n"/>
      <c r="B75" s="7" t="n"/>
      <c r="C75" s="7" t="n"/>
      <c r="D75" s="7" t="n"/>
      <c r="E75" s="26">
        <f>IF(OR(C75="",D75=""),"",C75-D75)</f>
        <v/>
      </c>
      <c r="F75" s="28">
        <f>IF(OR(C75="",D75=""),"",IFERROR(D75/C75*100,0))</f>
        <v/>
      </c>
      <c r="G75" s="7" t="n"/>
      <c r="H75" s="26">
        <f>IF(OR(D75="",G75="",G75=0),"",IFERROR(D75/G75,0))</f>
        <v/>
      </c>
      <c r="I75" s="7" t="n"/>
      <c r="J75" s="7" t="n"/>
      <c r="K75" s="7" t="n"/>
      <c r="L75" s="7" t="n"/>
      <c r="M75" s="26">
        <f>IF(A75="","",IFERROR(SUMIF($A$6:$A$115,A75,$D$6:$D$115),0))</f>
        <v/>
      </c>
      <c r="N75" s="28">
        <f>IF(A75="","",IFERROR(AVERAGEIF($A$6:$A$115,A75,$F$6:$F$115),0))</f>
        <v/>
      </c>
    </row>
    <row r="76" ht="22" customHeight="1">
      <c r="A76" s="5" t="n"/>
      <c r="B76" s="5" t="n"/>
      <c r="C76" s="5" t="n"/>
      <c r="D76" s="5" t="n"/>
      <c r="E76" s="25">
        <f>IF(OR(C76="",D76=""),"",C76-D76)</f>
        <v/>
      </c>
      <c r="F76" s="27">
        <f>IF(OR(C76="",D76=""),"",IFERROR(D76/C76*100,0))</f>
        <v/>
      </c>
      <c r="G76" s="5" t="n"/>
      <c r="H76" s="25">
        <f>IF(OR(D76="",G76="",G76=0),"",IFERROR(D76/G76,0))</f>
        <v/>
      </c>
      <c r="I76" s="5" t="n"/>
      <c r="J76" s="5" t="n"/>
      <c r="K76" s="5" t="n"/>
      <c r="L76" s="5" t="n"/>
      <c r="M76" s="25">
        <f>IF(A76="","",IFERROR(SUMIF($A$6:$A$115,A76,$D$6:$D$115),0))</f>
        <v/>
      </c>
      <c r="N76" s="27">
        <f>IF(A76="","",IFERROR(AVERAGEIF($A$6:$A$115,A76,$F$6:$F$115),0))</f>
        <v/>
      </c>
    </row>
    <row r="77" ht="22" customHeight="1">
      <c r="A77" s="7" t="n"/>
      <c r="B77" s="7" t="n"/>
      <c r="C77" s="7" t="n"/>
      <c r="D77" s="7" t="n"/>
      <c r="E77" s="26">
        <f>IF(OR(C77="",D77=""),"",C77-D77)</f>
        <v/>
      </c>
      <c r="F77" s="28">
        <f>IF(OR(C77="",D77=""),"",IFERROR(D77/C77*100,0))</f>
        <v/>
      </c>
      <c r="G77" s="7" t="n"/>
      <c r="H77" s="26">
        <f>IF(OR(D77="",G77="",G77=0),"",IFERROR(D77/G77,0))</f>
        <v/>
      </c>
      <c r="I77" s="7" t="n"/>
      <c r="J77" s="7" t="n"/>
      <c r="K77" s="7" t="n"/>
      <c r="L77" s="7" t="n"/>
      <c r="M77" s="26">
        <f>IF(A77="","",IFERROR(SUMIF($A$6:$A$115,A77,$D$6:$D$115),0))</f>
        <v/>
      </c>
      <c r="N77" s="28">
        <f>IF(A77="","",IFERROR(AVERAGEIF($A$6:$A$115,A77,$F$6:$F$115),0))</f>
        <v/>
      </c>
    </row>
    <row r="78" ht="22" customHeight="1">
      <c r="A78" s="5" t="n"/>
      <c r="B78" s="5" t="n"/>
      <c r="C78" s="5" t="n"/>
      <c r="D78" s="5" t="n"/>
      <c r="E78" s="25">
        <f>IF(OR(C78="",D78=""),"",C78-D78)</f>
        <v/>
      </c>
      <c r="F78" s="27">
        <f>IF(OR(C78="",D78=""),"",IFERROR(D78/C78*100,0))</f>
        <v/>
      </c>
      <c r="G78" s="5" t="n"/>
      <c r="H78" s="25">
        <f>IF(OR(D78="",G78="",G78=0),"",IFERROR(D78/G78,0))</f>
        <v/>
      </c>
      <c r="I78" s="5" t="n"/>
      <c r="J78" s="5" t="n"/>
      <c r="K78" s="5" t="n"/>
      <c r="L78" s="5" t="n"/>
      <c r="M78" s="25">
        <f>IF(A78="","",IFERROR(SUMIF($A$6:$A$115,A78,$D$6:$D$115),0))</f>
        <v/>
      </c>
      <c r="N78" s="27">
        <f>IF(A78="","",IFERROR(AVERAGEIF($A$6:$A$115,A78,$F$6:$F$115),0))</f>
        <v/>
      </c>
    </row>
    <row r="79" ht="22" customHeight="1">
      <c r="A79" s="7" t="n"/>
      <c r="B79" s="7" t="n"/>
      <c r="C79" s="7" t="n"/>
      <c r="D79" s="7" t="n"/>
      <c r="E79" s="26">
        <f>IF(OR(C79="",D79=""),"",C79-D79)</f>
        <v/>
      </c>
      <c r="F79" s="28">
        <f>IF(OR(C79="",D79=""),"",IFERROR(D79/C79*100,0))</f>
        <v/>
      </c>
      <c r="G79" s="7" t="n"/>
      <c r="H79" s="26">
        <f>IF(OR(D79="",G79="",G79=0),"",IFERROR(D79/G79,0))</f>
        <v/>
      </c>
      <c r="I79" s="7" t="n"/>
      <c r="J79" s="7" t="n"/>
      <c r="K79" s="7" t="n"/>
      <c r="L79" s="7" t="n"/>
      <c r="M79" s="26">
        <f>IF(A79="","",IFERROR(SUMIF($A$6:$A$115,A79,$D$6:$D$115),0))</f>
        <v/>
      </c>
      <c r="N79" s="28">
        <f>IF(A79="","",IFERROR(AVERAGEIF($A$6:$A$115,A79,$F$6:$F$115),0))</f>
        <v/>
      </c>
    </row>
    <row r="80" ht="22" customHeight="1">
      <c r="A80" s="5" t="n"/>
      <c r="B80" s="5" t="n"/>
      <c r="C80" s="5" t="n"/>
      <c r="D80" s="5" t="n"/>
      <c r="E80" s="25">
        <f>IF(OR(C80="",D80=""),"",C80-D80)</f>
        <v/>
      </c>
      <c r="F80" s="27">
        <f>IF(OR(C80="",D80=""),"",IFERROR(D80/C80*100,0))</f>
        <v/>
      </c>
      <c r="G80" s="5" t="n"/>
      <c r="H80" s="25">
        <f>IF(OR(D80="",G80="",G80=0),"",IFERROR(D80/G80,0))</f>
        <v/>
      </c>
      <c r="I80" s="5" t="n"/>
      <c r="J80" s="5" t="n"/>
      <c r="K80" s="5" t="n"/>
      <c r="L80" s="5" t="n"/>
      <c r="M80" s="25">
        <f>IF(A80="","",IFERROR(SUMIF($A$6:$A$115,A80,$D$6:$D$115),0))</f>
        <v/>
      </c>
      <c r="N80" s="27">
        <f>IF(A80="","",IFERROR(AVERAGEIF($A$6:$A$115,A80,$F$6:$F$115),0))</f>
        <v/>
      </c>
    </row>
    <row r="81" ht="22" customHeight="1">
      <c r="A81" s="7" t="n"/>
      <c r="B81" s="7" t="n"/>
      <c r="C81" s="7" t="n"/>
      <c r="D81" s="7" t="n"/>
      <c r="E81" s="26">
        <f>IF(OR(C81="",D81=""),"",C81-D81)</f>
        <v/>
      </c>
      <c r="F81" s="28">
        <f>IF(OR(C81="",D81=""),"",IFERROR(D81/C81*100,0))</f>
        <v/>
      </c>
      <c r="G81" s="7" t="n"/>
      <c r="H81" s="26">
        <f>IF(OR(D81="",G81="",G81=0),"",IFERROR(D81/G81,0))</f>
        <v/>
      </c>
      <c r="I81" s="7" t="n"/>
      <c r="J81" s="7" t="n"/>
      <c r="K81" s="7" t="n"/>
      <c r="L81" s="7" t="n"/>
      <c r="M81" s="26">
        <f>IF(A81="","",IFERROR(SUMIF($A$6:$A$115,A81,$D$6:$D$115),0))</f>
        <v/>
      </c>
      <c r="N81" s="28">
        <f>IF(A81="","",IFERROR(AVERAGEIF($A$6:$A$115,A81,$F$6:$F$115),0))</f>
        <v/>
      </c>
    </row>
    <row r="82" ht="22" customHeight="1">
      <c r="A82" s="5" t="n"/>
      <c r="B82" s="5" t="n"/>
      <c r="C82" s="5" t="n"/>
      <c r="D82" s="5" t="n"/>
      <c r="E82" s="25">
        <f>IF(OR(C82="",D82=""),"",C82-D82)</f>
        <v/>
      </c>
      <c r="F82" s="27">
        <f>IF(OR(C82="",D82=""),"",IFERROR(D82/C82*100,0))</f>
        <v/>
      </c>
      <c r="G82" s="5" t="n"/>
      <c r="H82" s="25">
        <f>IF(OR(D82="",G82="",G82=0),"",IFERROR(D82/G82,0))</f>
        <v/>
      </c>
      <c r="I82" s="5" t="n"/>
      <c r="J82" s="5" t="n"/>
      <c r="K82" s="5" t="n"/>
      <c r="L82" s="5" t="n"/>
      <c r="M82" s="25">
        <f>IF(A82="","",IFERROR(SUMIF($A$6:$A$115,A82,$D$6:$D$115),0))</f>
        <v/>
      </c>
      <c r="N82" s="27">
        <f>IF(A82="","",IFERROR(AVERAGEIF($A$6:$A$115,A82,$F$6:$F$115),0))</f>
        <v/>
      </c>
    </row>
    <row r="83" ht="22" customHeight="1">
      <c r="A83" s="7" t="n"/>
      <c r="B83" s="7" t="n"/>
      <c r="C83" s="7" t="n"/>
      <c r="D83" s="7" t="n"/>
      <c r="E83" s="26">
        <f>IF(OR(C83="",D83=""),"",C83-D83)</f>
        <v/>
      </c>
      <c r="F83" s="28">
        <f>IF(OR(C83="",D83=""),"",IFERROR(D83/C83*100,0))</f>
        <v/>
      </c>
      <c r="G83" s="7" t="n"/>
      <c r="H83" s="26">
        <f>IF(OR(D83="",G83="",G83=0),"",IFERROR(D83/G83,0))</f>
        <v/>
      </c>
      <c r="I83" s="7" t="n"/>
      <c r="J83" s="7" t="n"/>
      <c r="K83" s="7" t="n"/>
      <c r="L83" s="7" t="n"/>
      <c r="M83" s="26">
        <f>IF(A83="","",IFERROR(SUMIF($A$6:$A$115,A83,$D$6:$D$115),0))</f>
        <v/>
      </c>
      <c r="N83" s="28">
        <f>IF(A83="","",IFERROR(AVERAGEIF($A$6:$A$115,A83,$F$6:$F$115),0))</f>
        <v/>
      </c>
    </row>
    <row r="84" ht="22" customHeight="1">
      <c r="A84" s="5" t="n"/>
      <c r="B84" s="5" t="n"/>
      <c r="C84" s="5" t="n"/>
      <c r="D84" s="5" t="n"/>
      <c r="E84" s="25">
        <f>IF(OR(C84="",D84=""),"",C84-D84)</f>
        <v/>
      </c>
      <c r="F84" s="27">
        <f>IF(OR(C84="",D84=""),"",IFERROR(D84/C84*100,0))</f>
        <v/>
      </c>
      <c r="G84" s="5" t="n"/>
      <c r="H84" s="25">
        <f>IF(OR(D84="",G84="",G84=0),"",IFERROR(D84/G84,0))</f>
        <v/>
      </c>
      <c r="I84" s="5" t="n"/>
      <c r="J84" s="5" t="n"/>
      <c r="K84" s="5" t="n"/>
      <c r="L84" s="5" t="n"/>
      <c r="M84" s="25">
        <f>IF(A84="","",IFERROR(SUMIF($A$6:$A$115,A84,$D$6:$D$115),0))</f>
        <v/>
      </c>
      <c r="N84" s="27">
        <f>IF(A84="","",IFERROR(AVERAGEIF($A$6:$A$115,A84,$F$6:$F$115),0))</f>
        <v/>
      </c>
    </row>
    <row r="85" ht="22" customHeight="1">
      <c r="A85" s="7" t="n"/>
      <c r="B85" s="7" t="n"/>
      <c r="C85" s="7" t="n"/>
      <c r="D85" s="7" t="n"/>
      <c r="E85" s="26">
        <f>IF(OR(C85="",D85=""),"",C85-D85)</f>
        <v/>
      </c>
      <c r="F85" s="28">
        <f>IF(OR(C85="",D85=""),"",IFERROR(D85/C85*100,0))</f>
        <v/>
      </c>
      <c r="G85" s="7" t="n"/>
      <c r="H85" s="26">
        <f>IF(OR(D85="",G85="",G85=0),"",IFERROR(D85/G85,0))</f>
        <v/>
      </c>
      <c r="I85" s="7" t="n"/>
      <c r="J85" s="7" t="n"/>
      <c r="K85" s="7" t="n"/>
      <c r="L85" s="7" t="n"/>
      <c r="M85" s="26">
        <f>IF(A85="","",IFERROR(SUMIF($A$6:$A$115,A85,$D$6:$D$115),0))</f>
        <v/>
      </c>
      <c r="N85" s="28">
        <f>IF(A85="","",IFERROR(AVERAGEIF($A$6:$A$115,A85,$F$6:$F$115),0))</f>
        <v/>
      </c>
    </row>
    <row r="86" ht="22" customHeight="1">
      <c r="A86" s="5" t="n"/>
      <c r="B86" s="5" t="n"/>
      <c r="C86" s="5" t="n"/>
      <c r="D86" s="5" t="n"/>
      <c r="E86" s="25">
        <f>IF(OR(C86="",D86=""),"",C86-D86)</f>
        <v/>
      </c>
      <c r="F86" s="27">
        <f>IF(OR(C86="",D86=""),"",IFERROR(D86/C86*100,0))</f>
        <v/>
      </c>
      <c r="G86" s="5" t="n"/>
      <c r="H86" s="25">
        <f>IF(OR(D86="",G86="",G86=0),"",IFERROR(D86/G86,0))</f>
        <v/>
      </c>
      <c r="I86" s="5" t="n"/>
      <c r="J86" s="5" t="n"/>
      <c r="K86" s="5" t="n"/>
      <c r="L86" s="5" t="n"/>
      <c r="M86" s="25">
        <f>IF(A86="","",IFERROR(SUMIF($A$6:$A$115,A86,$D$6:$D$115),0))</f>
        <v/>
      </c>
      <c r="N86" s="27">
        <f>IF(A86="","",IFERROR(AVERAGEIF($A$6:$A$115,A86,$F$6:$F$115),0))</f>
        <v/>
      </c>
    </row>
    <row r="87" ht="22" customHeight="1">
      <c r="A87" s="7" t="n"/>
      <c r="B87" s="7" t="n"/>
      <c r="C87" s="7" t="n"/>
      <c r="D87" s="7" t="n"/>
      <c r="E87" s="26">
        <f>IF(OR(C87="",D87=""),"",C87-D87)</f>
        <v/>
      </c>
      <c r="F87" s="28">
        <f>IF(OR(C87="",D87=""),"",IFERROR(D87/C87*100,0))</f>
        <v/>
      </c>
      <c r="G87" s="7" t="n"/>
      <c r="H87" s="26">
        <f>IF(OR(D87="",G87="",G87=0),"",IFERROR(D87/G87,0))</f>
        <v/>
      </c>
      <c r="I87" s="7" t="n"/>
      <c r="J87" s="7" t="n"/>
      <c r="K87" s="7" t="n"/>
      <c r="L87" s="7" t="n"/>
      <c r="M87" s="26">
        <f>IF(A87="","",IFERROR(SUMIF($A$6:$A$115,A87,$D$6:$D$115),0))</f>
        <v/>
      </c>
      <c r="N87" s="28">
        <f>IF(A87="","",IFERROR(AVERAGEIF($A$6:$A$115,A87,$F$6:$F$115),0))</f>
        <v/>
      </c>
    </row>
    <row r="88" ht="22" customHeight="1">
      <c r="A88" s="5" t="n"/>
      <c r="B88" s="5" t="n"/>
      <c r="C88" s="5" t="n"/>
      <c r="D88" s="5" t="n"/>
      <c r="E88" s="25">
        <f>IF(OR(C88="",D88=""),"",C88-D88)</f>
        <v/>
      </c>
      <c r="F88" s="27">
        <f>IF(OR(C88="",D88=""),"",IFERROR(D88/C88*100,0))</f>
        <v/>
      </c>
      <c r="G88" s="5" t="n"/>
      <c r="H88" s="25">
        <f>IF(OR(D88="",G88="",G88=0),"",IFERROR(D88/G88,0))</f>
        <v/>
      </c>
      <c r="I88" s="5" t="n"/>
      <c r="J88" s="5" t="n"/>
      <c r="K88" s="5" t="n"/>
      <c r="L88" s="5" t="n"/>
      <c r="M88" s="25">
        <f>IF(A88="","",IFERROR(SUMIF($A$6:$A$115,A88,$D$6:$D$115),0))</f>
        <v/>
      </c>
      <c r="N88" s="27">
        <f>IF(A88="","",IFERROR(AVERAGEIF($A$6:$A$115,A88,$F$6:$F$115),0))</f>
        <v/>
      </c>
    </row>
    <row r="89" ht="22" customHeight="1">
      <c r="A89" s="7" t="n"/>
      <c r="B89" s="7" t="n"/>
      <c r="C89" s="7" t="n"/>
      <c r="D89" s="7" t="n"/>
      <c r="E89" s="26">
        <f>IF(OR(C89="",D89=""),"",C89-D89)</f>
        <v/>
      </c>
      <c r="F89" s="28">
        <f>IF(OR(C89="",D89=""),"",IFERROR(D89/C89*100,0))</f>
        <v/>
      </c>
      <c r="G89" s="7" t="n"/>
      <c r="H89" s="26">
        <f>IF(OR(D89="",G89="",G89=0),"",IFERROR(D89/G89,0))</f>
        <v/>
      </c>
      <c r="I89" s="7" t="n"/>
      <c r="J89" s="7" t="n"/>
      <c r="K89" s="7" t="n"/>
      <c r="L89" s="7" t="n"/>
      <c r="M89" s="26">
        <f>IF(A89="","",IFERROR(SUMIF($A$6:$A$115,A89,$D$6:$D$115),0))</f>
        <v/>
      </c>
      <c r="N89" s="28">
        <f>IF(A89="","",IFERROR(AVERAGEIF($A$6:$A$115,A89,$F$6:$F$115),0))</f>
        <v/>
      </c>
    </row>
    <row r="90" ht="22" customHeight="1">
      <c r="A90" s="5" t="n"/>
      <c r="B90" s="5" t="n"/>
      <c r="C90" s="5" t="n"/>
      <c r="D90" s="5" t="n"/>
      <c r="E90" s="25">
        <f>IF(OR(C90="",D90=""),"",C90-D90)</f>
        <v/>
      </c>
      <c r="F90" s="27">
        <f>IF(OR(C90="",D90=""),"",IFERROR(D90/C90*100,0))</f>
        <v/>
      </c>
      <c r="G90" s="5" t="n"/>
      <c r="H90" s="25">
        <f>IF(OR(D90="",G90="",G90=0),"",IFERROR(D90/G90,0))</f>
        <v/>
      </c>
      <c r="I90" s="5" t="n"/>
      <c r="J90" s="5" t="n"/>
      <c r="K90" s="5" t="n"/>
      <c r="L90" s="5" t="n"/>
      <c r="M90" s="25">
        <f>IF(A90="","",IFERROR(SUMIF($A$6:$A$115,A90,$D$6:$D$115),0))</f>
        <v/>
      </c>
      <c r="N90" s="27">
        <f>IF(A90="","",IFERROR(AVERAGEIF($A$6:$A$115,A90,$F$6:$F$115),0))</f>
        <v/>
      </c>
    </row>
    <row r="91" ht="22" customHeight="1">
      <c r="A91" s="7" t="n"/>
      <c r="B91" s="7" t="n"/>
      <c r="C91" s="7" t="n"/>
      <c r="D91" s="7" t="n"/>
      <c r="E91" s="26">
        <f>IF(OR(C91="",D91=""),"",C91-D91)</f>
        <v/>
      </c>
      <c r="F91" s="28">
        <f>IF(OR(C91="",D91=""),"",IFERROR(D91/C91*100,0))</f>
        <v/>
      </c>
      <c r="G91" s="7" t="n"/>
      <c r="H91" s="26">
        <f>IF(OR(D91="",G91="",G91=0),"",IFERROR(D91/G91,0))</f>
        <v/>
      </c>
      <c r="I91" s="7" t="n"/>
      <c r="J91" s="7" t="n"/>
      <c r="K91" s="7" t="n"/>
      <c r="L91" s="7" t="n"/>
      <c r="M91" s="26">
        <f>IF(A91="","",IFERROR(SUMIF($A$6:$A$115,A91,$D$6:$D$115),0))</f>
        <v/>
      </c>
      <c r="N91" s="28">
        <f>IF(A91="","",IFERROR(AVERAGEIF($A$6:$A$115,A91,$F$6:$F$115),0))</f>
        <v/>
      </c>
    </row>
    <row r="92" ht="22" customHeight="1">
      <c r="A92" s="5" t="n"/>
      <c r="B92" s="5" t="n"/>
      <c r="C92" s="5" t="n"/>
      <c r="D92" s="5" t="n"/>
      <c r="E92" s="25">
        <f>IF(OR(C92="",D92=""),"",C92-D92)</f>
        <v/>
      </c>
      <c r="F92" s="27">
        <f>IF(OR(C92="",D92=""),"",IFERROR(D92/C92*100,0))</f>
        <v/>
      </c>
      <c r="G92" s="5" t="n"/>
      <c r="H92" s="25">
        <f>IF(OR(D92="",G92="",G92=0),"",IFERROR(D92/G92,0))</f>
        <v/>
      </c>
      <c r="I92" s="5" t="n"/>
      <c r="J92" s="5" t="n"/>
      <c r="K92" s="5" t="n"/>
      <c r="L92" s="5" t="n"/>
      <c r="M92" s="25">
        <f>IF(A92="","",IFERROR(SUMIF($A$6:$A$115,A92,$D$6:$D$115),0))</f>
        <v/>
      </c>
      <c r="N92" s="27">
        <f>IF(A92="","",IFERROR(AVERAGEIF($A$6:$A$115,A92,$F$6:$F$115),0))</f>
        <v/>
      </c>
    </row>
    <row r="93" ht="22" customHeight="1">
      <c r="A93" s="7" t="n"/>
      <c r="B93" s="7" t="n"/>
      <c r="C93" s="7" t="n"/>
      <c r="D93" s="7" t="n"/>
      <c r="E93" s="26">
        <f>IF(OR(C93="",D93=""),"",C93-D93)</f>
        <v/>
      </c>
      <c r="F93" s="28">
        <f>IF(OR(C93="",D93=""),"",IFERROR(D93/C93*100,0))</f>
        <v/>
      </c>
      <c r="G93" s="7" t="n"/>
      <c r="H93" s="26">
        <f>IF(OR(D93="",G93="",G93=0),"",IFERROR(D93/G93,0))</f>
        <v/>
      </c>
      <c r="I93" s="7" t="n"/>
      <c r="J93" s="7" t="n"/>
      <c r="K93" s="7" t="n"/>
      <c r="L93" s="7" t="n"/>
      <c r="M93" s="26">
        <f>IF(A93="","",IFERROR(SUMIF($A$6:$A$115,A93,$D$6:$D$115),0))</f>
        <v/>
      </c>
      <c r="N93" s="28">
        <f>IF(A93="","",IFERROR(AVERAGEIF($A$6:$A$115,A93,$F$6:$F$115),0))</f>
        <v/>
      </c>
    </row>
    <row r="94" ht="22" customHeight="1">
      <c r="A94" s="5" t="n"/>
      <c r="B94" s="5" t="n"/>
      <c r="C94" s="5" t="n"/>
      <c r="D94" s="5" t="n"/>
      <c r="E94" s="25">
        <f>IF(OR(C94="",D94=""),"",C94-D94)</f>
        <v/>
      </c>
      <c r="F94" s="27">
        <f>IF(OR(C94="",D94=""),"",IFERROR(D94/C94*100,0))</f>
        <v/>
      </c>
      <c r="G94" s="5" t="n"/>
      <c r="H94" s="25">
        <f>IF(OR(D94="",G94="",G94=0),"",IFERROR(D94/G94,0))</f>
        <v/>
      </c>
      <c r="I94" s="5" t="n"/>
      <c r="J94" s="5" t="n"/>
      <c r="K94" s="5" t="n"/>
      <c r="L94" s="5" t="n"/>
      <c r="M94" s="25">
        <f>IF(A94="","",IFERROR(SUMIF($A$6:$A$115,A94,$D$6:$D$115),0))</f>
        <v/>
      </c>
      <c r="N94" s="27">
        <f>IF(A94="","",IFERROR(AVERAGEIF($A$6:$A$115,A94,$F$6:$F$115),0))</f>
        <v/>
      </c>
    </row>
    <row r="95" ht="22" customHeight="1">
      <c r="A95" s="7" t="n"/>
      <c r="B95" s="7" t="n"/>
      <c r="C95" s="7" t="n"/>
      <c r="D95" s="7" t="n"/>
      <c r="E95" s="26">
        <f>IF(OR(C95="",D95=""),"",C95-D95)</f>
        <v/>
      </c>
      <c r="F95" s="28">
        <f>IF(OR(C95="",D95=""),"",IFERROR(D95/C95*100,0))</f>
        <v/>
      </c>
      <c r="G95" s="7" t="n"/>
      <c r="H95" s="26">
        <f>IF(OR(D95="",G95="",G95=0),"",IFERROR(D95/G95,0))</f>
        <v/>
      </c>
      <c r="I95" s="7" t="n"/>
      <c r="J95" s="7" t="n"/>
      <c r="K95" s="7" t="n"/>
      <c r="L95" s="7" t="n"/>
      <c r="M95" s="26">
        <f>IF(A95="","",IFERROR(SUMIF($A$6:$A$115,A95,$D$6:$D$115),0))</f>
        <v/>
      </c>
      <c r="N95" s="28">
        <f>IF(A95="","",IFERROR(AVERAGEIF($A$6:$A$115,A95,$F$6:$F$115),0))</f>
        <v/>
      </c>
    </row>
    <row r="96" ht="22" customHeight="1">
      <c r="A96" s="5" t="n"/>
      <c r="B96" s="5" t="n"/>
      <c r="C96" s="5" t="n"/>
      <c r="D96" s="5" t="n"/>
      <c r="E96" s="25">
        <f>IF(OR(C96="",D96=""),"",C96-D96)</f>
        <v/>
      </c>
      <c r="F96" s="27">
        <f>IF(OR(C96="",D96=""),"",IFERROR(D96/C96*100,0))</f>
        <v/>
      </c>
      <c r="G96" s="5" t="n"/>
      <c r="H96" s="25">
        <f>IF(OR(D96="",G96="",G96=0),"",IFERROR(D96/G96,0))</f>
        <v/>
      </c>
      <c r="I96" s="5" t="n"/>
      <c r="J96" s="5" t="n"/>
      <c r="K96" s="5" t="n"/>
      <c r="L96" s="5" t="n"/>
      <c r="M96" s="25">
        <f>IF(A96="","",IFERROR(SUMIF($A$6:$A$115,A96,$D$6:$D$115),0))</f>
        <v/>
      </c>
      <c r="N96" s="27">
        <f>IF(A96="","",IFERROR(AVERAGEIF($A$6:$A$115,A96,$F$6:$F$115),0))</f>
        <v/>
      </c>
    </row>
    <row r="97" ht="22" customHeight="1">
      <c r="A97" s="7" t="n"/>
      <c r="B97" s="7" t="n"/>
      <c r="C97" s="7" t="n"/>
      <c r="D97" s="7" t="n"/>
      <c r="E97" s="26">
        <f>IF(OR(C97="",D97=""),"",C97-D97)</f>
        <v/>
      </c>
      <c r="F97" s="28">
        <f>IF(OR(C97="",D97=""),"",IFERROR(D97/C97*100,0))</f>
        <v/>
      </c>
      <c r="G97" s="7" t="n"/>
      <c r="H97" s="26">
        <f>IF(OR(D97="",G97="",G97=0),"",IFERROR(D97/G97,0))</f>
        <v/>
      </c>
      <c r="I97" s="7" t="n"/>
      <c r="J97" s="7" t="n"/>
      <c r="K97" s="7" t="n"/>
      <c r="L97" s="7" t="n"/>
      <c r="M97" s="26">
        <f>IF(A97="","",IFERROR(SUMIF($A$6:$A$115,A97,$D$6:$D$115),0))</f>
        <v/>
      </c>
      <c r="N97" s="28">
        <f>IF(A97="","",IFERROR(AVERAGEIF($A$6:$A$115,A97,$F$6:$F$115),0))</f>
        <v/>
      </c>
    </row>
    <row r="98" ht="22" customHeight="1">
      <c r="A98" s="5" t="n"/>
      <c r="B98" s="5" t="n"/>
      <c r="C98" s="5" t="n"/>
      <c r="D98" s="5" t="n"/>
      <c r="E98" s="25">
        <f>IF(OR(C98="",D98=""),"",C98-D98)</f>
        <v/>
      </c>
      <c r="F98" s="27">
        <f>IF(OR(C98="",D98=""),"",IFERROR(D98/C98*100,0))</f>
        <v/>
      </c>
      <c r="G98" s="5" t="n"/>
      <c r="H98" s="25">
        <f>IF(OR(D98="",G98="",G98=0),"",IFERROR(D98/G98,0))</f>
        <v/>
      </c>
      <c r="I98" s="5" t="n"/>
      <c r="J98" s="5" t="n"/>
      <c r="K98" s="5" t="n"/>
      <c r="L98" s="5" t="n"/>
      <c r="M98" s="25">
        <f>IF(A98="","",IFERROR(SUMIF($A$6:$A$115,A98,$D$6:$D$115),0))</f>
        <v/>
      </c>
      <c r="N98" s="27">
        <f>IF(A98="","",IFERROR(AVERAGEIF($A$6:$A$115,A98,$F$6:$F$115),0))</f>
        <v/>
      </c>
    </row>
    <row r="99" ht="22" customHeight="1">
      <c r="A99" s="7" t="n"/>
      <c r="B99" s="7" t="n"/>
      <c r="C99" s="7" t="n"/>
      <c r="D99" s="7" t="n"/>
      <c r="E99" s="26">
        <f>IF(OR(C99="",D99=""),"",C99-D99)</f>
        <v/>
      </c>
      <c r="F99" s="28">
        <f>IF(OR(C99="",D99=""),"",IFERROR(D99/C99*100,0))</f>
        <v/>
      </c>
      <c r="G99" s="7" t="n"/>
      <c r="H99" s="26">
        <f>IF(OR(D99="",G99="",G99=0),"",IFERROR(D99/G99,0))</f>
        <v/>
      </c>
      <c r="I99" s="7" t="n"/>
      <c r="J99" s="7" t="n"/>
      <c r="K99" s="7" t="n"/>
      <c r="L99" s="7" t="n"/>
      <c r="M99" s="26">
        <f>IF(A99="","",IFERROR(SUMIF($A$6:$A$115,A99,$D$6:$D$115),0))</f>
        <v/>
      </c>
      <c r="N99" s="28">
        <f>IF(A99="","",IFERROR(AVERAGEIF($A$6:$A$115,A99,$F$6:$F$115),0))</f>
        <v/>
      </c>
    </row>
    <row r="100" ht="22" customHeight="1">
      <c r="A100" s="5" t="n"/>
      <c r="B100" s="5" t="n"/>
      <c r="C100" s="5" t="n"/>
      <c r="D100" s="5" t="n"/>
      <c r="E100" s="25">
        <f>IF(OR(C100="",D100=""),"",C100-D100)</f>
        <v/>
      </c>
      <c r="F100" s="27">
        <f>IF(OR(C100="",D100=""),"",IFERROR(D100/C100*100,0))</f>
        <v/>
      </c>
      <c r="G100" s="5" t="n"/>
      <c r="H100" s="25">
        <f>IF(OR(D100="",G100="",G100=0),"",IFERROR(D100/G100,0))</f>
        <v/>
      </c>
      <c r="I100" s="5" t="n"/>
      <c r="J100" s="5" t="n"/>
      <c r="K100" s="5" t="n"/>
      <c r="L100" s="5" t="n"/>
      <c r="M100" s="25">
        <f>IF(A100="","",IFERROR(SUMIF($A$6:$A$115,A100,$D$6:$D$115),0))</f>
        <v/>
      </c>
      <c r="N100" s="27">
        <f>IF(A100="","",IFERROR(AVERAGEIF($A$6:$A$115,A100,$F$6:$F$115),0))</f>
        <v/>
      </c>
    </row>
    <row r="101" ht="22" customHeight="1">
      <c r="A101" s="7" t="n"/>
      <c r="B101" s="7" t="n"/>
      <c r="C101" s="7" t="n"/>
      <c r="D101" s="7" t="n"/>
      <c r="E101" s="26">
        <f>IF(OR(C101="",D101=""),"",C101-D101)</f>
        <v/>
      </c>
      <c r="F101" s="28">
        <f>IF(OR(C101="",D101=""),"",IFERROR(D101/C101*100,0))</f>
        <v/>
      </c>
      <c r="G101" s="7" t="n"/>
      <c r="H101" s="26">
        <f>IF(OR(D101="",G101="",G101=0),"",IFERROR(D101/G101,0))</f>
        <v/>
      </c>
      <c r="I101" s="7" t="n"/>
      <c r="J101" s="7" t="n"/>
      <c r="K101" s="7" t="n"/>
      <c r="L101" s="7" t="n"/>
      <c r="M101" s="26">
        <f>IF(A101="","",IFERROR(SUMIF($A$6:$A$115,A101,$D$6:$D$115),0))</f>
        <v/>
      </c>
      <c r="N101" s="28">
        <f>IF(A101="","",IFERROR(AVERAGEIF($A$6:$A$115,A101,$F$6:$F$115),0))</f>
        <v/>
      </c>
    </row>
    <row r="102" ht="22" customHeight="1">
      <c r="A102" s="5" t="n"/>
      <c r="B102" s="5" t="n"/>
      <c r="C102" s="5" t="n"/>
      <c r="D102" s="5" t="n"/>
      <c r="E102" s="25">
        <f>IF(OR(C102="",D102=""),"",C102-D102)</f>
        <v/>
      </c>
      <c r="F102" s="27">
        <f>IF(OR(C102="",D102=""),"",IFERROR(D102/C102*100,0))</f>
        <v/>
      </c>
      <c r="G102" s="5" t="n"/>
      <c r="H102" s="25">
        <f>IF(OR(D102="",G102="",G102=0),"",IFERROR(D102/G102,0))</f>
        <v/>
      </c>
      <c r="I102" s="5" t="n"/>
      <c r="J102" s="5" t="n"/>
      <c r="K102" s="5" t="n"/>
      <c r="L102" s="5" t="n"/>
      <c r="M102" s="25">
        <f>IF(A102="","",IFERROR(SUMIF($A$6:$A$115,A102,$D$6:$D$115),0))</f>
        <v/>
      </c>
      <c r="N102" s="27">
        <f>IF(A102="","",IFERROR(AVERAGEIF($A$6:$A$115,A102,$F$6:$F$115),0))</f>
        <v/>
      </c>
    </row>
    <row r="103" ht="22" customHeight="1">
      <c r="A103" s="7" t="n"/>
      <c r="B103" s="7" t="n"/>
      <c r="C103" s="7" t="n"/>
      <c r="D103" s="7" t="n"/>
      <c r="E103" s="26">
        <f>IF(OR(C103="",D103=""),"",C103-D103)</f>
        <v/>
      </c>
      <c r="F103" s="28">
        <f>IF(OR(C103="",D103=""),"",IFERROR(D103/C103*100,0))</f>
        <v/>
      </c>
      <c r="G103" s="7" t="n"/>
      <c r="H103" s="26">
        <f>IF(OR(D103="",G103="",G103=0),"",IFERROR(D103/G103,0))</f>
        <v/>
      </c>
      <c r="I103" s="7" t="n"/>
      <c r="J103" s="7" t="n"/>
      <c r="K103" s="7" t="n"/>
      <c r="L103" s="7" t="n"/>
      <c r="M103" s="26">
        <f>IF(A103="","",IFERROR(SUMIF($A$6:$A$115,A103,$D$6:$D$115),0))</f>
        <v/>
      </c>
      <c r="N103" s="28">
        <f>IF(A103="","",IFERROR(AVERAGEIF($A$6:$A$115,A103,$F$6:$F$115),0))</f>
        <v/>
      </c>
    </row>
    <row r="104" ht="22" customHeight="1">
      <c r="A104" s="5" t="n"/>
      <c r="B104" s="5" t="n"/>
      <c r="C104" s="5" t="n"/>
      <c r="D104" s="5" t="n"/>
      <c r="E104" s="25">
        <f>IF(OR(C104="",D104=""),"",C104-D104)</f>
        <v/>
      </c>
      <c r="F104" s="27">
        <f>IF(OR(C104="",D104=""),"",IFERROR(D104/C104*100,0))</f>
        <v/>
      </c>
      <c r="G104" s="5" t="n"/>
      <c r="H104" s="25">
        <f>IF(OR(D104="",G104="",G104=0),"",IFERROR(D104/G104,0))</f>
        <v/>
      </c>
      <c r="I104" s="5" t="n"/>
      <c r="J104" s="5" t="n"/>
      <c r="K104" s="5" t="n"/>
      <c r="L104" s="5" t="n"/>
      <c r="M104" s="25">
        <f>IF(A104="","",IFERROR(SUMIF($A$6:$A$115,A104,$D$6:$D$115),0))</f>
        <v/>
      </c>
      <c r="N104" s="27">
        <f>IF(A104="","",IFERROR(AVERAGEIF($A$6:$A$115,A104,$F$6:$F$115),0))</f>
        <v/>
      </c>
    </row>
    <row r="105" ht="22" customHeight="1">
      <c r="A105" s="7" t="n"/>
      <c r="B105" s="7" t="n"/>
      <c r="C105" s="7" t="n"/>
      <c r="D105" s="7" t="n"/>
      <c r="E105" s="26">
        <f>IF(OR(C105="",D105=""),"",C105-D105)</f>
        <v/>
      </c>
      <c r="F105" s="28">
        <f>IF(OR(C105="",D105=""),"",IFERROR(D105/C105*100,0))</f>
        <v/>
      </c>
      <c r="G105" s="7" t="n"/>
      <c r="H105" s="26">
        <f>IF(OR(D105="",G105="",G105=0),"",IFERROR(D105/G105,0))</f>
        <v/>
      </c>
      <c r="I105" s="7" t="n"/>
      <c r="J105" s="7" t="n"/>
      <c r="K105" s="7" t="n"/>
      <c r="L105" s="7" t="n"/>
      <c r="M105" s="26">
        <f>IF(A105="","",IFERROR(SUMIF($A$6:$A$115,A105,$D$6:$D$115),0))</f>
        <v/>
      </c>
      <c r="N105" s="28">
        <f>IF(A105="","",IFERROR(AVERAGEIF($A$6:$A$115,A105,$F$6:$F$115),0))</f>
        <v/>
      </c>
    </row>
    <row r="106" ht="22" customHeight="1">
      <c r="A106" s="5" t="n"/>
      <c r="B106" s="5" t="n"/>
      <c r="C106" s="5" t="n"/>
      <c r="D106" s="5" t="n"/>
      <c r="E106" s="25">
        <f>IF(OR(C106="",D106=""),"",C106-D106)</f>
        <v/>
      </c>
      <c r="F106" s="27">
        <f>IF(OR(C106="",D106=""),"",IFERROR(D106/C106*100,0))</f>
        <v/>
      </c>
      <c r="G106" s="5" t="n"/>
      <c r="H106" s="25">
        <f>IF(OR(D106="",G106="",G106=0),"",IFERROR(D106/G106,0))</f>
        <v/>
      </c>
      <c r="I106" s="5" t="n"/>
      <c r="J106" s="5" t="n"/>
      <c r="K106" s="5" t="n"/>
      <c r="L106" s="5" t="n"/>
      <c r="M106" s="25">
        <f>IF(A106="","",IFERROR(SUMIF($A$6:$A$115,A106,$D$6:$D$115),0))</f>
        <v/>
      </c>
      <c r="N106" s="27">
        <f>IF(A106="","",IFERROR(AVERAGEIF($A$6:$A$115,A106,$F$6:$F$115),0))</f>
        <v/>
      </c>
    </row>
    <row r="107" ht="22" customHeight="1">
      <c r="A107" s="7" t="n"/>
      <c r="B107" s="7" t="n"/>
      <c r="C107" s="7" t="n"/>
      <c r="D107" s="7" t="n"/>
      <c r="E107" s="26">
        <f>IF(OR(C107="",D107=""),"",C107-D107)</f>
        <v/>
      </c>
      <c r="F107" s="28">
        <f>IF(OR(C107="",D107=""),"",IFERROR(D107/C107*100,0))</f>
        <v/>
      </c>
      <c r="G107" s="7" t="n"/>
      <c r="H107" s="26">
        <f>IF(OR(D107="",G107="",G107=0),"",IFERROR(D107/G107,0))</f>
        <v/>
      </c>
      <c r="I107" s="7" t="n"/>
      <c r="J107" s="7" t="n"/>
      <c r="K107" s="7" t="n"/>
      <c r="L107" s="7" t="n"/>
      <c r="M107" s="26">
        <f>IF(A107="","",IFERROR(SUMIF($A$6:$A$115,A107,$D$6:$D$115),0))</f>
        <v/>
      </c>
      <c r="N107" s="28">
        <f>IF(A107="","",IFERROR(AVERAGEIF($A$6:$A$115,A107,$F$6:$F$115),0))</f>
        <v/>
      </c>
    </row>
    <row r="108" ht="22" customHeight="1">
      <c r="A108" s="5" t="n"/>
      <c r="B108" s="5" t="n"/>
      <c r="C108" s="5" t="n"/>
      <c r="D108" s="5" t="n"/>
      <c r="E108" s="25">
        <f>IF(OR(C108="",D108=""),"",C108-D108)</f>
        <v/>
      </c>
      <c r="F108" s="27">
        <f>IF(OR(C108="",D108=""),"",IFERROR(D108/C108*100,0))</f>
        <v/>
      </c>
      <c r="G108" s="5" t="n"/>
      <c r="H108" s="25">
        <f>IF(OR(D108="",G108="",G108=0),"",IFERROR(D108/G108,0))</f>
        <v/>
      </c>
      <c r="I108" s="5" t="n"/>
      <c r="J108" s="5" t="n"/>
      <c r="K108" s="5" t="n"/>
      <c r="L108" s="5" t="n"/>
      <c r="M108" s="25">
        <f>IF(A108="","",IFERROR(SUMIF($A$6:$A$115,A108,$D$6:$D$115),0))</f>
        <v/>
      </c>
      <c r="N108" s="27">
        <f>IF(A108="","",IFERROR(AVERAGEIF($A$6:$A$115,A108,$F$6:$F$115),0))</f>
        <v/>
      </c>
    </row>
    <row r="109" ht="22" customHeight="1">
      <c r="A109" s="7" t="n"/>
      <c r="B109" s="7" t="n"/>
      <c r="C109" s="7" t="n"/>
      <c r="D109" s="7" t="n"/>
      <c r="E109" s="26">
        <f>IF(OR(C109="",D109=""),"",C109-D109)</f>
        <v/>
      </c>
      <c r="F109" s="28">
        <f>IF(OR(C109="",D109=""),"",IFERROR(D109/C109*100,0))</f>
        <v/>
      </c>
      <c r="G109" s="7" t="n"/>
      <c r="H109" s="26">
        <f>IF(OR(D109="",G109="",G109=0),"",IFERROR(D109/G109,0))</f>
        <v/>
      </c>
      <c r="I109" s="7" t="n"/>
      <c r="J109" s="7" t="n"/>
      <c r="K109" s="7" t="n"/>
      <c r="L109" s="7" t="n"/>
      <c r="M109" s="26">
        <f>IF(A109="","",IFERROR(SUMIF($A$6:$A$115,A109,$D$6:$D$115),0))</f>
        <v/>
      </c>
      <c r="N109" s="28">
        <f>IF(A109="","",IFERROR(AVERAGEIF($A$6:$A$115,A109,$F$6:$F$115),0))</f>
        <v/>
      </c>
    </row>
    <row r="110" ht="22" customHeight="1">
      <c r="A110" s="5" t="n"/>
      <c r="B110" s="5" t="n"/>
      <c r="C110" s="5" t="n"/>
      <c r="D110" s="5" t="n"/>
      <c r="E110" s="25">
        <f>IF(OR(C110="",D110=""),"",C110-D110)</f>
        <v/>
      </c>
      <c r="F110" s="27">
        <f>IF(OR(C110="",D110=""),"",IFERROR(D110/C110*100,0))</f>
        <v/>
      </c>
      <c r="G110" s="5" t="n"/>
      <c r="H110" s="25">
        <f>IF(OR(D110="",G110="",G110=0),"",IFERROR(D110/G110,0))</f>
        <v/>
      </c>
      <c r="I110" s="5" t="n"/>
      <c r="J110" s="5" t="n"/>
      <c r="K110" s="5" t="n"/>
      <c r="L110" s="5" t="n"/>
      <c r="M110" s="25">
        <f>IF(A110="","",IFERROR(SUMIF($A$6:$A$115,A110,$D$6:$D$115),0))</f>
        <v/>
      </c>
      <c r="N110" s="27">
        <f>IF(A110="","",IFERROR(AVERAGEIF($A$6:$A$115,A110,$F$6:$F$115),0))</f>
        <v/>
      </c>
    </row>
    <row r="111" ht="22" customHeight="1">
      <c r="A111" s="7" t="n"/>
      <c r="B111" s="7" t="n"/>
      <c r="C111" s="7" t="n"/>
      <c r="D111" s="7" t="n"/>
      <c r="E111" s="26">
        <f>IF(OR(C111="",D111=""),"",C111-D111)</f>
        <v/>
      </c>
      <c r="F111" s="28">
        <f>IF(OR(C111="",D111=""),"",IFERROR(D111/C111*100,0))</f>
        <v/>
      </c>
      <c r="G111" s="7" t="n"/>
      <c r="H111" s="26">
        <f>IF(OR(D111="",G111="",G111=0),"",IFERROR(D111/G111,0))</f>
        <v/>
      </c>
      <c r="I111" s="7" t="n"/>
      <c r="J111" s="7" t="n"/>
      <c r="K111" s="7" t="n"/>
      <c r="L111" s="7" t="n"/>
      <c r="M111" s="26">
        <f>IF(A111="","",IFERROR(SUMIF($A$6:$A$115,A111,$D$6:$D$115),0))</f>
        <v/>
      </c>
      <c r="N111" s="28">
        <f>IF(A111="","",IFERROR(AVERAGEIF($A$6:$A$115,A111,$F$6:$F$115),0))</f>
        <v/>
      </c>
    </row>
    <row r="112" ht="22" customHeight="1">
      <c r="A112" s="5" t="n"/>
      <c r="B112" s="5" t="n"/>
      <c r="C112" s="5" t="n"/>
      <c r="D112" s="5" t="n"/>
      <c r="E112" s="25">
        <f>IF(OR(C112="",D112=""),"",C112-D112)</f>
        <v/>
      </c>
      <c r="F112" s="27">
        <f>IF(OR(C112="",D112=""),"",IFERROR(D112/C112*100,0))</f>
        <v/>
      </c>
      <c r="G112" s="5" t="n"/>
      <c r="H112" s="25">
        <f>IF(OR(D112="",G112="",G112=0),"",IFERROR(D112/G112,0))</f>
        <v/>
      </c>
      <c r="I112" s="5" t="n"/>
      <c r="J112" s="5" t="n"/>
      <c r="K112" s="5" t="n"/>
      <c r="L112" s="5" t="n"/>
      <c r="M112" s="25">
        <f>IF(A112="","",IFERROR(SUMIF($A$6:$A$115,A112,$D$6:$D$115),0))</f>
        <v/>
      </c>
      <c r="N112" s="27">
        <f>IF(A112="","",IFERROR(AVERAGEIF($A$6:$A$115,A112,$F$6:$F$115),0))</f>
        <v/>
      </c>
    </row>
    <row r="113" ht="22" customHeight="1">
      <c r="A113" s="7" t="n"/>
      <c r="B113" s="7" t="n"/>
      <c r="C113" s="7" t="n"/>
      <c r="D113" s="7" t="n"/>
      <c r="E113" s="26">
        <f>IF(OR(C113="",D113=""),"",C113-D113)</f>
        <v/>
      </c>
      <c r="F113" s="28">
        <f>IF(OR(C113="",D113=""),"",IFERROR(D113/C113*100,0))</f>
        <v/>
      </c>
      <c r="G113" s="7" t="n"/>
      <c r="H113" s="26">
        <f>IF(OR(D113="",G113="",G113=0),"",IFERROR(D113/G113,0))</f>
        <v/>
      </c>
      <c r="I113" s="7" t="n"/>
      <c r="J113" s="7" t="n"/>
      <c r="K113" s="7" t="n"/>
      <c r="L113" s="7" t="n"/>
      <c r="M113" s="26">
        <f>IF(A113="","",IFERROR(SUMIF($A$6:$A$115,A113,$D$6:$D$115),0))</f>
        <v/>
      </c>
      <c r="N113" s="28">
        <f>IF(A113="","",IFERROR(AVERAGEIF($A$6:$A$115,A113,$F$6:$F$115),0))</f>
        <v/>
      </c>
    </row>
    <row r="114" ht="22" customHeight="1">
      <c r="A114" s="5" t="n"/>
      <c r="B114" s="5" t="n"/>
      <c r="C114" s="5" t="n"/>
      <c r="D114" s="5" t="n"/>
      <c r="E114" s="25">
        <f>IF(OR(C114="",D114=""),"",C114-D114)</f>
        <v/>
      </c>
      <c r="F114" s="27">
        <f>IF(OR(C114="",D114=""),"",IFERROR(D114/C114*100,0))</f>
        <v/>
      </c>
      <c r="G114" s="5" t="n"/>
      <c r="H114" s="25">
        <f>IF(OR(D114="",G114="",G114=0),"",IFERROR(D114/G114,0))</f>
        <v/>
      </c>
      <c r="I114" s="5" t="n"/>
      <c r="J114" s="5" t="n"/>
      <c r="K114" s="5" t="n"/>
      <c r="L114" s="5" t="n"/>
      <c r="M114" s="25">
        <f>IF(A114="","",IFERROR(SUMIF($A$6:$A$115,A114,$D$6:$D$115),0))</f>
        <v/>
      </c>
      <c r="N114" s="27">
        <f>IF(A114="","",IFERROR(AVERAGEIF($A$6:$A$115,A114,$F$6:$F$115),0))</f>
        <v/>
      </c>
    </row>
    <row r="115" ht="22" customHeight="1">
      <c r="A115" s="7" t="n"/>
      <c r="B115" s="7" t="n"/>
      <c r="C115" s="7" t="n"/>
      <c r="D115" s="7" t="n"/>
      <c r="E115" s="26">
        <f>IF(OR(C115="",D115=""),"",C115-D115)</f>
        <v/>
      </c>
      <c r="F115" s="28">
        <f>IF(OR(C115="",D115=""),"",IFERROR(D115/C115*100,0))</f>
        <v/>
      </c>
      <c r="G115" s="7" t="n"/>
      <c r="H115" s="26">
        <f>IF(OR(D115="",G115="",G115=0),"",IFERROR(D115/G115,0))</f>
        <v/>
      </c>
      <c r="I115" s="7" t="n"/>
      <c r="J115" s="7" t="n"/>
      <c r="K115" s="7" t="n"/>
      <c r="L115" s="7" t="n"/>
      <c r="M115" s="26">
        <f>IF(A115="","",IFERROR(SUMIF($A$6:$A$115,A115,$D$6:$D$115),0))</f>
        <v/>
      </c>
      <c r="N115" s="28">
        <f>IF(A115="","",IFERROR(AVERAGEIF($A$6:$A$115,A115,$F$6:$F$115),0))</f>
        <v/>
      </c>
    </row>
  </sheetData>
  <mergeCells count="2">
    <mergeCell ref="A3:N3"/>
    <mergeCell ref="A2:N2"/>
  </mergeCells>
  <dataValidations count="2">
    <dataValidation sqref="B6:B115" showDropDown="0" showInputMessage="0" showErrorMessage="0" allowBlank="1" errorTitle="Erreur" error="Valeur invalide" promptTitle="" prompt="Choisir dans la liste: " type="list">
      <formula1>'F02 - _Lists'!$I$6:$I$13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_Lists'!$Y$6:$Y$8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26" customWidth="1" min="10" max="10"/>
    <col width="18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16-INDICATEURS DE PERFORMANCE RETRAITES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Indic.</t>
        </is>
      </c>
      <c r="B5" s="4" t="inlineStr">
        <is>
          <t>Indicateur</t>
        </is>
      </c>
      <c r="C5" s="4" t="inlineStr">
        <is>
          <t>Objectif</t>
        </is>
      </c>
      <c r="D5" s="4" t="inlineStr">
        <is>
          <t>Réalisation</t>
        </is>
      </c>
      <c r="E5" s="4" t="inlineStr">
        <is>
          <t>Taux Atteinte (%)</t>
        </is>
      </c>
      <c r="F5" s="4" t="inlineStr">
        <is>
          <t>Écart</t>
        </is>
      </c>
      <c r="G5" s="4" t="inlineStr">
        <is>
          <t>Trimestre</t>
        </is>
      </c>
      <c r="H5" s="4" t="inlineStr">
        <is>
          <t>Tendance</t>
        </is>
      </c>
      <c r="I5" s="4" t="inlineStr">
        <is>
          <t>Priorité</t>
        </is>
      </c>
      <c r="J5" s="4" t="inlineStr">
        <is>
          <t>Action Corrective</t>
        </is>
      </c>
      <c r="K5" s="4" t="inlineStr">
        <is>
          <t>Responsable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KPI-001</t>
        </is>
      </c>
      <c r="B6" s="5" t="inlineStr">
        <is>
          <t>Nb départs traités / prévus</t>
        </is>
      </c>
      <c r="C6" s="5" t="inlineStr">
        <is>
          <t>15</t>
        </is>
      </c>
      <c r="D6" s="5" t="inlineStr">
        <is>
          <t>12</t>
        </is>
      </c>
      <c r="E6" s="27">
        <f>IF(OR(C6="",D6=""),"",IFERROR(D6/C6*100,"N/A"))</f>
        <v/>
      </c>
      <c r="F6" s="5" t="n"/>
      <c r="G6" s="5" t="inlineStr">
        <is>
          <t>T1 2025</t>
        </is>
      </c>
      <c r="H6" s="5" t="inlineStr">
        <is>
          <t>Hausse</t>
        </is>
      </c>
      <c r="I6" s="5" t="inlineStr">
        <is>
          <t>Haute</t>
        </is>
      </c>
      <c r="J6" s="5" t="inlineStr">
        <is>
          <t>Accélérer dossiers</t>
        </is>
      </c>
      <c r="K6" s="5" t="inlineStr">
        <is>
          <t>Resp. Retraites</t>
        </is>
      </c>
      <c r="L6" s="5" t="inlineStr"/>
      <c r="M6" s="5">
        <f>IF(H6="","",IFERROR(COUNTIF($H$6:$H$115,H6),0))</f>
        <v/>
      </c>
      <c r="N6" s="5">
        <f>IF(I6="","",IFERROR(COUNTIF($I$6:$I$115,I6),0))</f>
        <v/>
      </c>
    </row>
    <row r="7" ht="22" customHeight="1">
      <c r="A7" s="7" t="inlineStr">
        <is>
          <t>KPI-002</t>
        </is>
      </c>
      <c r="B7" s="7" t="inlineStr">
        <is>
          <t>Taux conformité réglementaire</t>
        </is>
      </c>
      <c r="C7" s="7" t="inlineStr">
        <is>
          <t>95%</t>
        </is>
      </c>
      <c r="D7" s="7" t="inlineStr">
        <is>
          <t>91%</t>
        </is>
      </c>
      <c r="E7" s="28">
        <f>IF(OR(C7="",D7=""),"",IFERROR(D7/C7*100,"N/A"))</f>
        <v/>
      </c>
      <c r="F7" s="7" t="n"/>
      <c r="G7" s="7" t="inlineStr">
        <is>
          <t>T1 2025</t>
        </is>
      </c>
      <c r="H7" s="7" t="inlineStr">
        <is>
          <t>Stable</t>
        </is>
      </c>
      <c r="I7" s="7" t="inlineStr">
        <is>
          <t>Haute</t>
        </is>
      </c>
      <c r="J7" s="7" t="inlineStr">
        <is>
          <t>Mise à jour procédures</t>
        </is>
      </c>
      <c r="K7" s="7" t="inlineStr">
        <is>
          <t>Juridique</t>
        </is>
      </c>
      <c r="L7" s="7" t="inlineStr"/>
      <c r="M7" s="7">
        <f>IF(H7="","",IFERROR(COUNTIF($H$6:$H$115,H7),0))</f>
        <v/>
      </c>
      <c r="N7" s="7">
        <f>IF(I7="","",IFERROR(COUNTIF($I$6:$I$115,I7),0))</f>
        <v/>
      </c>
    </row>
    <row r="8" ht="22" customHeight="1">
      <c r="A8" s="5" t="inlineStr">
        <is>
          <t>KPI-003</t>
        </is>
      </c>
      <c r="B8" s="5" t="inlineStr">
        <is>
          <t>Délai moyen traitement dossier (j)</t>
        </is>
      </c>
      <c r="C8" s="5" t="inlineStr">
        <is>
          <t>30</t>
        </is>
      </c>
      <c r="D8" s="5" t="inlineStr">
        <is>
          <t>45</t>
        </is>
      </c>
      <c r="E8" s="27">
        <f>IF(OR(C8="",D8=""),"",IFERROR(D8/C8*100,"N/A"))</f>
        <v/>
      </c>
      <c r="F8" s="5" t="n"/>
      <c r="G8" s="5" t="inlineStr">
        <is>
          <t>T1 2025</t>
        </is>
      </c>
      <c r="H8" s="5" t="inlineStr">
        <is>
          <t>Baisse</t>
        </is>
      </c>
      <c r="I8" s="5" t="inlineStr">
        <is>
          <t>Moyenne</t>
        </is>
      </c>
      <c r="J8" s="5" t="inlineStr">
        <is>
          <t>Renforcement équipe</t>
        </is>
      </c>
      <c r="K8" s="5" t="inlineStr">
        <is>
          <t>DRH</t>
        </is>
      </c>
      <c r="L8" s="5" t="inlineStr"/>
      <c r="M8" s="5">
        <f>IF(H8="","",IFERROR(COUNTIF($H$6:$H$115,H8),0))</f>
        <v/>
      </c>
      <c r="N8" s="5">
        <f>IF(I8="","",IFERROR(COUNTIF($I$6:$I$115,I8),0))</f>
        <v/>
      </c>
    </row>
    <row r="9" ht="22" customHeight="1">
      <c r="A9" s="7" t="inlineStr">
        <is>
          <t>KPI-004</t>
        </is>
      </c>
      <c r="B9" s="7" t="inlineStr">
        <is>
          <t>Budget respecté (%)</t>
        </is>
      </c>
      <c r="C9" s="7" t="inlineStr">
        <is>
          <t>100%</t>
        </is>
      </c>
      <c r="D9" s="7" t="inlineStr">
        <is>
          <t>96%</t>
        </is>
      </c>
      <c r="E9" s="28">
        <f>IF(OR(C9="",D9=""),"",IFERROR(D9/C9*100,"N/A"))</f>
        <v/>
      </c>
      <c r="F9" s="7" t="n"/>
      <c r="G9" s="7" t="inlineStr">
        <is>
          <t>T1 2025</t>
        </is>
      </c>
      <c r="H9" s="7" t="inlineStr">
        <is>
          <t>Stable</t>
        </is>
      </c>
      <c r="I9" s="7" t="inlineStr">
        <is>
          <t>Moyenne</t>
        </is>
      </c>
      <c r="J9" s="7" t="inlineStr">
        <is>
          <t>Suivi renforcé</t>
        </is>
      </c>
      <c r="K9" s="7" t="inlineStr">
        <is>
          <t>DAF</t>
        </is>
      </c>
      <c r="L9" s="7" t="inlineStr"/>
      <c r="M9" s="7">
        <f>IF(H9="","",IFERROR(COUNTIF($H$6:$H$115,H9),0))</f>
        <v/>
      </c>
      <c r="N9" s="7">
        <f>IF(I9="","",IFERROR(COUNTIF($I$6:$I$115,I9),0))</f>
        <v/>
      </c>
    </row>
    <row r="10" ht="22" customHeight="1">
      <c r="A10" s="5" t="inlineStr">
        <is>
          <t>KPI-005</t>
        </is>
      </c>
      <c r="B10" s="5" t="inlineStr">
        <is>
          <t>Satisfaction retraités (/100)</t>
        </is>
      </c>
      <c r="C10" s="5" t="inlineStr">
        <is>
          <t>80</t>
        </is>
      </c>
      <c r="D10" s="5" t="inlineStr">
        <is>
          <t>75</t>
        </is>
      </c>
      <c r="E10" s="27">
        <f>IF(OR(C10="",D10=""),"",IFERROR(D10/C10*100,"N/A"))</f>
        <v/>
      </c>
      <c r="F10" s="5" t="n"/>
      <c r="G10" s="5" t="inlineStr">
        <is>
          <t>T1 2025</t>
        </is>
      </c>
      <c r="H10" s="5" t="inlineStr">
        <is>
          <t>Hausse</t>
        </is>
      </c>
      <c r="I10" s="5" t="inlineStr">
        <is>
          <t>Basse</t>
        </is>
      </c>
      <c r="J10" s="5" t="inlineStr">
        <is>
          <t>Enquête satisfaction</t>
        </is>
      </c>
      <c r="K10" s="5" t="inlineStr">
        <is>
          <t>DRH</t>
        </is>
      </c>
      <c r="L10" s="5" t="inlineStr"/>
      <c r="M10" s="5">
        <f>IF(H10="","",IFERROR(COUNTIF($H$6:$H$115,H10),0))</f>
        <v/>
      </c>
      <c r="N10" s="5">
        <f>IF(I10="","",IFERROR(COUNTIF($I$6:$I$115,I10),0))</f>
        <v/>
      </c>
    </row>
    <row r="11" ht="22" customHeight="1">
      <c r="A11" s="7" t="n"/>
      <c r="B11" s="7" t="n"/>
      <c r="C11" s="7" t="n"/>
      <c r="D11" s="7" t="n"/>
      <c r="E11" s="28">
        <f>IF(OR(C11="",D11=""),"",IFERROR(D11/C11*100,"N/A"))</f>
        <v/>
      </c>
      <c r="F11" s="7" t="n"/>
      <c r="G11" s="7" t="n"/>
      <c r="H11" s="7" t="n"/>
      <c r="I11" s="7" t="n"/>
      <c r="J11" s="7" t="n"/>
      <c r="K11" s="7" t="n"/>
      <c r="L11" s="7" t="n"/>
      <c r="M11" s="7">
        <f>IF(H11="","",IFERROR(COUNTIF($H$6:$H$115,H11),0))</f>
        <v/>
      </c>
      <c r="N11" s="7">
        <f>IF(I11="","",IFERROR(COUNTIF($I$6:$I$115,I11),0))</f>
        <v/>
      </c>
    </row>
    <row r="12" ht="22" customHeight="1">
      <c r="A12" s="5" t="n"/>
      <c r="B12" s="5" t="n"/>
      <c r="C12" s="5" t="n"/>
      <c r="D12" s="5" t="n"/>
      <c r="E12" s="27">
        <f>IF(OR(C12="",D12=""),"",IFERROR(D12/C12*100,"N/A"))</f>
        <v/>
      </c>
      <c r="F12" s="5" t="n"/>
      <c r="G12" s="5" t="n"/>
      <c r="H12" s="5" t="n"/>
      <c r="I12" s="5" t="n"/>
      <c r="J12" s="5" t="n"/>
      <c r="K12" s="5" t="n"/>
      <c r="L12" s="5" t="n"/>
      <c r="M12" s="5">
        <f>IF(H12="","",IFERROR(COUNTIF($H$6:$H$115,H12),0))</f>
        <v/>
      </c>
      <c r="N12" s="5">
        <f>IF(I12="","",IFERROR(COUNTIF($I$6:$I$115,I12),0))</f>
        <v/>
      </c>
    </row>
    <row r="13" ht="22" customHeight="1">
      <c r="A13" s="7" t="n"/>
      <c r="B13" s="7" t="n"/>
      <c r="C13" s="7" t="n"/>
      <c r="D13" s="7" t="n"/>
      <c r="E13" s="28">
        <f>IF(OR(C13="",D13=""),"",IFERROR(D13/C13*100,"N/A"))</f>
        <v/>
      </c>
      <c r="F13" s="7" t="n"/>
      <c r="G13" s="7" t="n"/>
      <c r="H13" s="7" t="n"/>
      <c r="I13" s="7" t="n"/>
      <c r="J13" s="7" t="n"/>
      <c r="K13" s="7" t="n"/>
      <c r="L13" s="7" t="n"/>
      <c r="M13" s="7">
        <f>IF(H13="","",IFERROR(COUNTIF($H$6:$H$115,H13),0))</f>
        <v/>
      </c>
      <c r="N13" s="7">
        <f>IF(I13="","",IFERROR(COUNTIF($I$6:$I$115,I13),0))</f>
        <v/>
      </c>
    </row>
    <row r="14" ht="22" customHeight="1">
      <c r="A14" s="5" t="n"/>
      <c r="B14" s="5" t="n"/>
      <c r="C14" s="5" t="n"/>
      <c r="D14" s="5" t="n"/>
      <c r="E14" s="27">
        <f>IF(OR(C14="",D14=""),"",IFERROR(D14/C14*100,"N/A"))</f>
        <v/>
      </c>
      <c r="F14" s="5" t="n"/>
      <c r="G14" s="5" t="n"/>
      <c r="H14" s="5" t="n"/>
      <c r="I14" s="5" t="n"/>
      <c r="J14" s="5" t="n"/>
      <c r="K14" s="5" t="n"/>
      <c r="L14" s="5" t="n"/>
      <c r="M14" s="5">
        <f>IF(H14="","",IFERROR(COUNTIF($H$6:$H$115,H14),0))</f>
        <v/>
      </c>
      <c r="N14" s="5">
        <f>IF(I14="","",IFERROR(COUNTIF($I$6:$I$115,I14),0))</f>
        <v/>
      </c>
    </row>
    <row r="15" ht="22" customHeight="1">
      <c r="A15" s="7" t="n"/>
      <c r="B15" s="7" t="n"/>
      <c r="C15" s="7" t="n"/>
      <c r="D15" s="7" t="n"/>
      <c r="E15" s="28">
        <f>IF(OR(C15="",D15=""),"",IFERROR(D15/C15*100,"N/A"))</f>
        <v/>
      </c>
      <c r="F15" s="7" t="n"/>
      <c r="G15" s="7" t="n"/>
      <c r="H15" s="7" t="n"/>
      <c r="I15" s="7" t="n"/>
      <c r="J15" s="7" t="n"/>
      <c r="K15" s="7" t="n"/>
      <c r="L15" s="7" t="n"/>
      <c r="M15" s="7">
        <f>IF(H15="","",IFERROR(COUNTIF($H$6:$H$115,H15),0))</f>
        <v/>
      </c>
      <c r="N15" s="7">
        <f>IF(I15="","",IFERROR(COUNTIF($I$6:$I$115,I15),0))</f>
        <v/>
      </c>
    </row>
    <row r="16" ht="22" customHeight="1">
      <c r="A16" s="5" t="n"/>
      <c r="B16" s="5" t="n"/>
      <c r="C16" s="5" t="n"/>
      <c r="D16" s="5" t="n"/>
      <c r="E16" s="27">
        <f>IF(OR(C16="",D16=""),"",IFERROR(D16/C16*100,"N/A"))</f>
        <v/>
      </c>
      <c r="F16" s="5" t="n"/>
      <c r="G16" s="5" t="n"/>
      <c r="H16" s="5" t="n"/>
      <c r="I16" s="5" t="n"/>
      <c r="J16" s="5" t="n"/>
      <c r="K16" s="5" t="n"/>
      <c r="L16" s="5" t="n"/>
      <c r="M16" s="5">
        <f>IF(H16="","",IFERROR(COUNTIF($H$6:$H$115,H16),0))</f>
        <v/>
      </c>
      <c r="N16" s="5">
        <f>IF(I16="","",IFERROR(COUNTIF($I$6:$I$115,I16),0))</f>
        <v/>
      </c>
    </row>
    <row r="17" ht="22" customHeight="1">
      <c r="A17" s="7" t="n"/>
      <c r="B17" s="7" t="n"/>
      <c r="C17" s="7" t="n"/>
      <c r="D17" s="7" t="n"/>
      <c r="E17" s="28">
        <f>IF(OR(C17="",D17=""),"",IFERROR(D17/C17*100,"N/A"))</f>
        <v/>
      </c>
      <c r="F17" s="7" t="n"/>
      <c r="G17" s="7" t="n"/>
      <c r="H17" s="7" t="n"/>
      <c r="I17" s="7" t="n"/>
      <c r="J17" s="7" t="n"/>
      <c r="K17" s="7" t="n"/>
      <c r="L17" s="7" t="n"/>
      <c r="M17" s="7">
        <f>IF(H17="","",IFERROR(COUNTIF($H$6:$H$115,H17),0))</f>
        <v/>
      </c>
      <c r="N17" s="7">
        <f>IF(I17="","",IFERROR(COUNTIF($I$6:$I$115,I17),0))</f>
        <v/>
      </c>
    </row>
    <row r="18" ht="22" customHeight="1">
      <c r="A18" s="5" t="n"/>
      <c r="B18" s="5" t="n"/>
      <c r="C18" s="5" t="n"/>
      <c r="D18" s="5" t="n"/>
      <c r="E18" s="27">
        <f>IF(OR(C18="",D18=""),"",IFERROR(D18/C18*100,"N/A"))</f>
        <v/>
      </c>
      <c r="F18" s="5" t="n"/>
      <c r="G18" s="5" t="n"/>
      <c r="H18" s="5" t="n"/>
      <c r="I18" s="5" t="n"/>
      <c r="J18" s="5" t="n"/>
      <c r="K18" s="5" t="n"/>
      <c r="L18" s="5" t="n"/>
      <c r="M18" s="5">
        <f>IF(H18="","",IFERROR(COUNTIF($H$6:$H$115,H18),0))</f>
        <v/>
      </c>
      <c r="N18" s="5">
        <f>IF(I18="","",IFERROR(COUNTIF($I$6:$I$115,I18),0))</f>
        <v/>
      </c>
    </row>
    <row r="19" ht="22" customHeight="1">
      <c r="A19" s="7" t="n"/>
      <c r="B19" s="7" t="n"/>
      <c r="C19" s="7" t="n"/>
      <c r="D19" s="7" t="n"/>
      <c r="E19" s="28">
        <f>IF(OR(C19="",D19=""),"",IFERROR(D19/C19*100,"N/A"))</f>
        <v/>
      </c>
      <c r="F19" s="7" t="n"/>
      <c r="G19" s="7" t="n"/>
      <c r="H19" s="7" t="n"/>
      <c r="I19" s="7" t="n"/>
      <c r="J19" s="7" t="n"/>
      <c r="K19" s="7" t="n"/>
      <c r="L19" s="7" t="n"/>
      <c r="M19" s="7">
        <f>IF(H19="","",IFERROR(COUNTIF($H$6:$H$115,H19),0))</f>
        <v/>
      </c>
      <c r="N19" s="7">
        <f>IF(I19="","",IFERROR(COUNTIF($I$6:$I$115,I19),0))</f>
        <v/>
      </c>
    </row>
    <row r="20" ht="22" customHeight="1">
      <c r="A20" s="5" t="n"/>
      <c r="B20" s="5" t="n"/>
      <c r="C20" s="5" t="n"/>
      <c r="D20" s="5" t="n"/>
      <c r="E20" s="27">
        <f>IF(OR(C20="",D20=""),"",IFERROR(D20/C20*100,"N/A"))</f>
        <v/>
      </c>
      <c r="F20" s="5" t="n"/>
      <c r="G20" s="5" t="n"/>
      <c r="H20" s="5" t="n"/>
      <c r="I20" s="5" t="n"/>
      <c r="J20" s="5" t="n"/>
      <c r="K20" s="5" t="n"/>
      <c r="L20" s="5" t="n"/>
      <c r="M20" s="5">
        <f>IF(H20="","",IFERROR(COUNTIF($H$6:$H$115,H20),0))</f>
        <v/>
      </c>
      <c r="N20" s="5">
        <f>IF(I20="","",IFERROR(COUNTIF($I$6:$I$115,I20),0))</f>
        <v/>
      </c>
    </row>
    <row r="21" ht="22" customHeight="1">
      <c r="A21" s="7" t="n"/>
      <c r="B21" s="7" t="n"/>
      <c r="C21" s="7" t="n"/>
      <c r="D21" s="7" t="n"/>
      <c r="E21" s="28">
        <f>IF(OR(C21="",D21=""),"",IFERROR(D21/C21*100,"N/A"))</f>
        <v/>
      </c>
      <c r="F21" s="7" t="n"/>
      <c r="G21" s="7" t="n"/>
      <c r="H21" s="7" t="n"/>
      <c r="I21" s="7" t="n"/>
      <c r="J21" s="7" t="n"/>
      <c r="K21" s="7" t="n"/>
      <c r="L21" s="7" t="n"/>
      <c r="M21" s="7">
        <f>IF(H21="","",IFERROR(COUNTIF($H$6:$H$115,H21),0))</f>
        <v/>
      </c>
      <c r="N21" s="7">
        <f>IF(I21="","",IFERROR(COUNTIF($I$6:$I$115,I21),0))</f>
        <v/>
      </c>
    </row>
    <row r="22" ht="22" customHeight="1">
      <c r="A22" s="5" t="n"/>
      <c r="B22" s="5" t="n"/>
      <c r="C22" s="5" t="n"/>
      <c r="D22" s="5" t="n"/>
      <c r="E22" s="27">
        <f>IF(OR(C22="",D22=""),"",IFERROR(D22/C22*100,"N/A"))</f>
        <v/>
      </c>
      <c r="F22" s="5" t="n"/>
      <c r="G22" s="5" t="n"/>
      <c r="H22" s="5" t="n"/>
      <c r="I22" s="5" t="n"/>
      <c r="J22" s="5" t="n"/>
      <c r="K22" s="5" t="n"/>
      <c r="L22" s="5" t="n"/>
      <c r="M22" s="5">
        <f>IF(H22="","",IFERROR(COUNTIF($H$6:$H$115,H22),0))</f>
        <v/>
      </c>
      <c r="N22" s="5">
        <f>IF(I22="","",IFERROR(COUNTIF($I$6:$I$115,I22),0))</f>
        <v/>
      </c>
    </row>
    <row r="23" ht="22" customHeight="1">
      <c r="A23" s="7" t="n"/>
      <c r="B23" s="7" t="n"/>
      <c r="C23" s="7" t="n"/>
      <c r="D23" s="7" t="n"/>
      <c r="E23" s="28">
        <f>IF(OR(C23="",D23=""),"",IFERROR(D23/C23*100,"N/A"))</f>
        <v/>
      </c>
      <c r="F23" s="7" t="n"/>
      <c r="G23" s="7" t="n"/>
      <c r="H23" s="7" t="n"/>
      <c r="I23" s="7" t="n"/>
      <c r="J23" s="7" t="n"/>
      <c r="K23" s="7" t="n"/>
      <c r="L23" s="7" t="n"/>
      <c r="M23" s="7">
        <f>IF(H23="","",IFERROR(COUNTIF($H$6:$H$115,H23),0))</f>
        <v/>
      </c>
      <c r="N23" s="7">
        <f>IF(I23="","",IFERROR(COUNTIF($I$6:$I$115,I23),0))</f>
        <v/>
      </c>
    </row>
    <row r="24" ht="22" customHeight="1">
      <c r="A24" s="5" t="n"/>
      <c r="B24" s="5" t="n"/>
      <c r="C24" s="5" t="n"/>
      <c r="D24" s="5" t="n"/>
      <c r="E24" s="27">
        <f>IF(OR(C24="",D24=""),"",IFERROR(D24/C24*100,"N/A"))</f>
        <v/>
      </c>
      <c r="F24" s="5" t="n"/>
      <c r="G24" s="5" t="n"/>
      <c r="H24" s="5" t="n"/>
      <c r="I24" s="5" t="n"/>
      <c r="J24" s="5" t="n"/>
      <c r="K24" s="5" t="n"/>
      <c r="L24" s="5" t="n"/>
      <c r="M24" s="5">
        <f>IF(H24="","",IFERROR(COUNTIF($H$6:$H$115,H24),0))</f>
        <v/>
      </c>
      <c r="N24" s="5">
        <f>IF(I24="","",IFERROR(COUNTIF($I$6:$I$115,I24),0))</f>
        <v/>
      </c>
    </row>
    <row r="25" ht="22" customHeight="1">
      <c r="A25" s="7" t="n"/>
      <c r="B25" s="7" t="n"/>
      <c r="C25" s="7" t="n"/>
      <c r="D25" s="7" t="n"/>
      <c r="E25" s="28">
        <f>IF(OR(C25="",D25=""),"",IFERROR(D25/C25*100,"N/A"))</f>
        <v/>
      </c>
      <c r="F25" s="7" t="n"/>
      <c r="G25" s="7" t="n"/>
      <c r="H25" s="7" t="n"/>
      <c r="I25" s="7" t="n"/>
      <c r="J25" s="7" t="n"/>
      <c r="K25" s="7" t="n"/>
      <c r="L25" s="7" t="n"/>
      <c r="M25" s="7">
        <f>IF(H25="","",IFERROR(COUNTIF($H$6:$H$115,H25),0))</f>
        <v/>
      </c>
      <c r="N25" s="7">
        <f>IF(I25="","",IFERROR(COUNTIF($I$6:$I$115,I25),0))</f>
        <v/>
      </c>
    </row>
    <row r="26" ht="22" customHeight="1">
      <c r="A26" s="5" t="n"/>
      <c r="B26" s="5" t="n"/>
      <c r="C26" s="5" t="n"/>
      <c r="D26" s="5" t="n"/>
      <c r="E26" s="27">
        <f>IF(OR(C26="",D26=""),"",IFERROR(D26/C26*100,"N/A"))</f>
        <v/>
      </c>
      <c r="F26" s="5" t="n"/>
      <c r="G26" s="5" t="n"/>
      <c r="H26" s="5" t="n"/>
      <c r="I26" s="5" t="n"/>
      <c r="J26" s="5" t="n"/>
      <c r="K26" s="5" t="n"/>
      <c r="L26" s="5" t="n"/>
      <c r="M26" s="5">
        <f>IF(H26="","",IFERROR(COUNTIF($H$6:$H$115,H26),0))</f>
        <v/>
      </c>
      <c r="N26" s="5">
        <f>IF(I26="","",IFERROR(COUNTIF($I$6:$I$115,I26),0))</f>
        <v/>
      </c>
    </row>
    <row r="27" ht="22" customHeight="1">
      <c r="A27" s="7" t="n"/>
      <c r="B27" s="7" t="n"/>
      <c r="C27" s="7" t="n"/>
      <c r="D27" s="7" t="n"/>
      <c r="E27" s="28">
        <f>IF(OR(C27="",D27=""),"",IFERROR(D27/C27*100,"N/A"))</f>
        <v/>
      </c>
      <c r="F27" s="7" t="n"/>
      <c r="G27" s="7" t="n"/>
      <c r="H27" s="7" t="n"/>
      <c r="I27" s="7" t="n"/>
      <c r="J27" s="7" t="n"/>
      <c r="K27" s="7" t="n"/>
      <c r="L27" s="7" t="n"/>
      <c r="M27" s="7">
        <f>IF(H27="","",IFERROR(COUNTIF($H$6:$H$115,H27),0))</f>
        <v/>
      </c>
      <c r="N27" s="7">
        <f>IF(I27="","",IFERROR(COUNTIF($I$6:$I$115,I27),0))</f>
        <v/>
      </c>
    </row>
    <row r="28" ht="22" customHeight="1">
      <c r="A28" s="5" t="n"/>
      <c r="B28" s="5" t="n"/>
      <c r="C28" s="5" t="n"/>
      <c r="D28" s="5" t="n"/>
      <c r="E28" s="27">
        <f>IF(OR(C28="",D28=""),"",IFERROR(D28/C28*100,"N/A"))</f>
        <v/>
      </c>
      <c r="F28" s="5" t="n"/>
      <c r="G28" s="5" t="n"/>
      <c r="H28" s="5" t="n"/>
      <c r="I28" s="5" t="n"/>
      <c r="J28" s="5" t="n"/>
      <c r="K28" s="5" t="n"/>
      <c r="L28" s="5" t="n"/>
      <c r="M28" s="5">
        <f>IF(H28="","",IFERROR(COUNTIF($H$6:$H$115,H28),0))</f>
        <v/>
      </c>
      <c r="N28" s="5">
        <f>IF(I28="","",IFERROR(COUNTIF($I$6:$I$115,I28),0))</f>
        <v/>
      </c>
    </row>
    <row r="29" ht="22" customHeight="1">
      <c r="A29" s="7" t="n"/>
      <c r="B29" s="7" t="n"/>
      <c r="C29" s="7" t="n"/>
      <c r="D29" s="7" t="n"/>
      <c r="E29" s="28">
        <f>IF(OR(C29="",D29=""),"",IFERROR(D29/C29*100,"N/A"))</f>
        <v/>
      </c>
      <c r="F29" s="7" t="n"/>
      <c r="G29" s="7" t="n"/>
      <c r="H29" s="7" t="n"/>
      <c r="I29" s="7" t="n"/>
      <c r="J29" s="7" t="n"/>
      <c r="K29" s="7" t="n"/>
      <c r="L29" s="7" t="n"/>
      <c r="M29" s="7">
        <f>IF(H29="","",IFERROR(COUNTIF($H$6:$H$115,H29),0))</f>
        <v/>
      </c>
      <c r="N29" s="7">
        <f>IF(I29="","",IFERROR(COUNTIF($I$6:$I$115,I29),0))</f>
        <v/>
      </c>
    </row>
    <row r="30" ht="22" customHeight="1">
      <c r="A30" s="5" t="n"/>
      <c r="B30" s="5" t="n"/>
      <c r="C30" s="5" t="n"/>
      <c r="D30" s="5" t="n"/>
      <c r="E30" s="27">
        <f>IF(OR(C30="",D30=""),"",IFERROR(D30/C30*100,"N/A"))</f>
        <v/>
      </c>
      <c r="F30" s="5" t="n"/>
      <c r="G30" s="5" t="n"/>
      <c r="H30" s="5" t="n"/>
      <c r="I30" s="5" t="n"/>
      <c r="J30" s="5" t="n"/>
      <c r="K30" s="5" t="n"/>
      <c r="L30" s="5" t="n"/>
      <c r="M30" s="5">
        <f>IF(H30="","",IFERROR(COUNTIF($H$6:$H$115,H30),0))</f>
        <v/>
      </c>
      <c r="N30" s="5">
        <f>IF(I30="","",IFERROR(COUNTIF($I$6:$I$115,I30),0))</f>
        <v/>
      </c>
    </row>
    <row r="31" ht="22" customHeight="1">
      <c r="A31" s="7" t="n"/>
      <c r="B31" s="7" t="n"/>
      <c r="C31" s="7" t="n"/>
      <c r="D31" s="7" t="n"/>
      <c r="E31" s="28">
        <f>IF(OR(C31="",D31=""),"",IFERROR(D31/C31*100,"N/A"))</f>
        <v/>
      </c>
      <c r="F31" s="7" t="n"/>
      <c r="G31" s="7" t="n"/>
      <c r="H31" s="7" t="n"/>
      <c r="I31" s="7" t="n"/>
      <c r="J31" s="7" t="n"/>
      <c r="K31" s="7" t="n"/>
      <c r="L31" s="7" t="n"/>
      <c r="M31" s="7">
        <f>IF(H31="","",IFERROR(COUNTIF($H$6:$H$115,H31),0))</f>
        <v/>
      </c>
      <c r="N31" s="7">
        <f>IF(I31="","",IFERROR(COUNTIF($I$6:$I$115,I31),0))</f>
        <v/>
      </c>
    </row>
    <row r="32" ht="22" customHeight="1">
      <c r="A32" s="5" t="n"/>
      <c r="B32" s="5" t="n"/>
      <c r="C32" s="5" t="n"/>
      <c r="D32" s="5" t="n"/>
      <c r="E32" s="27">
        <f>IF(OR(C32="",D32=""),"",IFERROR(D32/C32*100,"N/A"))</f>
        <v/>
      </c>
      <c r="F32" s="5" t="n"/>
      <c r="G32" s="5" t="n"/>
      <c r="H32" s="5" t="n"/>
      <c r="I32" s="5" t="n"/>
      <c r="J32" s="5" t="n"/>
      <c r="K32" s="5" t="n"/>
      <c r="L32" s="5" t="n"/>
      <c r="M32" s="5">
        <f>IF(H32="","",IFERROR(COUNTIF($H$6:$H$115,H32),0))</f>
        <v/>
      </c>
      <c r="N32" s="5">
        <f>IF(I32="","",IFERROR(COUNTIF($I$6:$I$115,I32),0))</f>
        <v/>
      </c>
    </row>
    <row r="33" ht="22" customHeight="1">
      <c r="A33" s="7" t="n"/>
      <c r="B33" s="7" t="n"/>
      <c r="C33" s="7" t="n"/>
      <c r="D33" s="7" t="n"/>
      <c r="E33" s="28">
        <f>IF(OR(C33="",D33=""),"",IFERROR(D33/C33*100,"N/A"))</f>
        <v/>
      </c>
      <c r="F33" s="7" t="n"/>
      <c r="G33" s="7" t="n"/>
      <c r="H33" s="7" t="n"/>
      <c r="I33" s="7" t="n"/>
      <c r="J33" s="7" t="n"/>
      <c r="K33" s="7" t="n"/>
      <c r="L33" s="7" t="n"/>
      <c r="M33" s="7">
        <f>IF(H33="","",IFERROR(COUNTIF($H$6:$H$115,H33),0))</f>
        <v/>
      </c>
      <c r="N33" s="7">
        <f>IF(I33="","",IFERROR(COUNTIF($I$6:$I$115,I33),0))</f>
        <v/>
      </c>
    </row>
    <row r="34" ht="22" customHeight="1">
      <c r="A34" s="5" t="n"/>
      <c r="B34" s="5" t="n"/>
      <c r="C34" s="5" t="n"/>
      <c r="D34" s="5" t="n"/>
      <c r="E34" s="27">
        <f>IF(OR(C34="",D34=""),"",IFERROR(D34/C34*100,"N/A"))</f>
        <v/>
      </c>
      <c r="F34" s="5" t="n"/>
      <c r="G34" s="5" t="n"/>
      <c r="H34" s="5" t="n"/>
      <c r="I34" s="5" t="n"/>
      <c r="J34" s="5" t="n"/>
      <c r="K34" s="5" t="n"/>
      <c r="L34" s="5" t="n"/>
      <c r="M34" s="5">
        <f>IF(H34="","",IFERROR(COUNTIF($H$6:$H$115,H34),0))</f>
        <v/>
      </c>
      <c r="N34" s="5">
        <f>IF(I34="","",IFERROR(COUNTIF($I$6:$I$115,I34),0))</f>
        <v/>
      </c>
    </row>
    <row r="35" ht="22" customHeight="1">
      <c r="A35" s="7" t="n"/>
      <c r="B35" s="7" t="n"/>
      <c r="C35" s="7" t="n"/>
      <c r="D35" s="7" t="n"/>
      <c r="E35" s="28">
        <f>IF(OR(C35="",D35=""),"",IFERROR(D35/C35*100,"N/A"))</f>
        <v/>
      </c>
      <c r="F35" s="7" t="n"/>
      <c r="G35" s="7" t="n"/>
      <c r="H35" s="7" t="n"/>
      <c r="I35" s="7" t="n"/>
      <c r="J35" s="7" t="n"/>
      <c r="K35" s="7" t="n"/>
      <c r="L35" s="7" t="n"/>
      <c r="M35" s="7">
        <f>IF(H35="","",IFERROR(COUNTIF($H$6:$H$115,H35),0))</f>
        <v/>
      </c>
      <c r="N35" s="7">
        <f>IF(I35="","",IFERROR(COUNTIF($I$6:$I$115,I35),0))</f>
        <v/>
      </c>
    </row>
    <row r="36" ht="22" customHeight="1">
      <c r="A36" s="5" t="n"/>
      <c r="B36" s="5" t="n"/>
      <c r="C36" s="5" t="n"/>
      <c r="D36" s="5" t="n"/>
      <c r="E36" s="27">
        <f>IF(OR(C36="",D36=""),"",IFERROR(D36/C36*100,"N/A"))</f>
        <v/>
      </c>
      <c r="F36" s="5" t="n"/>
      <c r="G36" s="5" t="n"/>
      <c r="H36" s="5" t="n"/>
      <c r="I36" s="5" t="n"/>
      <c r="J36" s="5" t="n"/>
      <c r="K36" s="5" t="n"/>
      <c r="L36" s="5" t="n"/>
      <c r="M36" s="5">
        <f>IF(H36="","",IFERROR(COUNTIF($H$6:$H$115,H36),0))</f>
        <v/>
      </c>
      <c r="N36" s="5">
        <f>IF(I36="","",IFERROR(COUNTIF($I$6:$I$115,I36),0))</f>
        <v/>
      </c>
    </row>
    <row r="37" ht="22" customHeight="1">
      <c r="A37" s="7" t="n"/>
      <c r="B37" s="7" t="n"/>
      <c r="C37" s="7" t="n"/>
      <c r="D37" s="7" t="n"/>
      <c r="E37" s="28">
        <f>IF(OR(C37="",D37=""),"",IFERROR(D37/C37*100,"N/A"))</f>
        <v/>
      </c>
      <c r="F37" s="7" t="n"/>
      <c r="G37" s="7" t="n"/>
      <c r="H37" s="7" t="n"/>
      <c r="I37" s="7" t="n"/>
      <c r="J37" s="7" t="n"/>
      <c r="K37" s="7" t="n"/>
      <c r="L37" s="7" t="n"/>
      <c r="M37" s="7">
        <f>IF(H37="","",IFERROR(COUNTIF($H$6:$H$115,H37),0))</f>
        <v/>
      </c>
      <c r="N37" s="7">
        <f>IF(I37="","",IFERROR(COUNTIF($I$6:$I$115,I37),0))</f>
        <v/>
      </c>
    </row>
    <row r="38" ht="22" customHeight="1">
      <c r="A38" s="5" t="n"/>
      <c r="B38" s="5" t="n"/>
      <c r="C38" s="5" t="n"/>
      <c r="D38" s="5" t="n"/>
      <c r="E38" s="27">
        <f>IF(OR(C38="",D38=""),"",IFERROR(D38/C38*100,"N/A"))</f>
        <v/>
      </c>
      <c r="F38" s="5" t="n"/>
      <c r="G38" s="5" t="n"/>
      <c r="H38" s="5" t="n"/>
      <c r="I38" s="5" t="n"/>
      <c r="J38" s="5" t="n"/>
      <c r="K38" s="5" t="n"/>
      <c r="L38" s="5" t="n"/>
      <c r="M38" s="5">
        <f>IF(H38="","",IFERROR(COUNTIF($H$6:$H$115,H38),0))</f>
        <v/>
      </c>
      <c r="N38" s="5">
        <f>IF(I38="","",IFERROR(COUNTIF($I$6:$I$115,I38),0))</f>
        <v/>
      </c>
    </row>
    <row r="39" ht="22" customHeight="1">
      <c r="A39" s="7" t="n"/>
      <c r="B39" s="7" t="n"/>
      <c r="C39" s="7" t="n"/>
      <c r="D39" s="7" t="n"/>
      <c r="E39" s="28">
        <f>IF(OR(C39="",D39=""),"",IFERROR(D39/C39*100,"N/A"))</f>
        <v/>
      </c>
      <c r="F39" s="7" t="n"/>
      <c r="G39" s="7" t="n"/>
      <c r="H39" s="7" t="n"/>
      <c r="I39" s="7" t="n"/>
      <c r="J39" s="7" t="n"/>
      <c r="K39" s="7" t="n"/>
      <c r="L39" s="7" t="n"/>
      <c r="M39" s="7">
        <f>IF(H39="","",IFERROR(COUNTIF($H$6:$H$115,H39),0))</f>
        <v/>
      </c>
      <c r="N39" s="7">
        <f>IF(I39="","",IFERROR(COUNTIF($I$6:$I$115,I39),0))</f>
        <v/>
      </c>
    </row>
    <row r="40" ht="22" customHeight="1">
      <c r="A40" s="5" t="n"/>
      <c r="B40" s="5" t="n"/>
      <c r="C40" s="5" t="n"/>
      <c r="D40" s="5" t="n"/>
      <c r="E40" s="27">
        <f>IF(OR(C40="",D40=""),"",IFERROR(D40/C40*100,"N/A"))</f>
        <v/>
      </c>
      <c r="F40" s="5" t="n"/>
      <c r="G40" s="5" t="n"/>
      <c r="H40" s="5" t="n"/>
      <c r="I40" s="5" t="n"/>
      <c r="J40" s="5" t="n"/>
      <c r="K40" s="5" t="n"/>
      <c r="L40" s="5" t="n"/>
      <c r="M40" s="5">
        <f>IF(H40="","",IFERROR(COUNTIF($H$6:$H$115,H40),0))</f>
        <v/>
      </c>
      <c r="N40" s="5">
        <f>IF(I40="","",IFERROR(COUNTIF($I$6:$I$115,I40),0))</f>
        <v/>
      </c>
    </row>
    <row r="41" ht="22" customHeight="1">
      <c r="A41" s="7" t="n"/>
      <c r="B41" s="7" t="n"/>
      <c r="C41" s="7" t="n"/>
      <c r="D41" s="7" t="n"/>
      <c r="E41" s="28">
        <f>IF(OR(C41="",D41=""),"",IFERROR(D41/C41*100,"N/A"))</f>
        <v/>
      </c>
      <c r="F41" s="7" t="n"/>
      <c r="G41" s="7" t="n"/>
      <c r="H41" s="7" t="n"/>
      <c r="I41" s="7" t="n"/>
      <c r="J41" s="7" t="n"/>
      <c r="K41" s="7" t="n"/>
      <c r="L41" s="7" t="n"/>
      <c r="M41" s="7">
        <f>IF(H41="","",IFERROR(COUNTIF($H$6:$H$115,H41),0))</f>
        <v/>
      </c>
      <c r="N41" s="7">
        <f>IF(I41="","",IFERROR(COUNTIF($I$6:$I$115,I41),0))</f>
        <v/>
      </c>
    </row>
    <row r="42" ht="22" customHeight="1">
      <c r="A42" s="5" t="n"/>
      <c r="B42" s="5" t="n"/>
      <c r="C42" s="5" t="n"/>
      <c r="D42" s="5" t="n"/>
      <c r="E42" s="27">
        <f>IF(OR(C42="",D42=""),"",IFERROR(D42/C42*100,"N/A"))</f>
        <v/>
      </c>
      <c r="F42" s="5" t="n"/>
      <c r="G42" s="5" t="n"/>
      <c r="H42" s="5" t="n"/>
      <c r="I42" s="5" t="n"/>
      <c r="J42" s="5" t="n"/>
      <c r="K42" s="5" t="n"/>
      <c r="L42" s="5" t="n"/>
      <c r="M42" s="5">
        <f>IF(H42="","",IFERROR(COUNTIF($H$6:$H$115,H42),0))</f>
        <v/>
      </c>
      <c r="N42" s="5">
        <f>IF(I42="","",IFERROR(COUNTIF($I$6:$I$115,I42),0))</f>
        <v/>
      </c>
    </row>
    <row r="43" ht="22" customHeight="1">
      <c r="A43" s="7" t="n"/>
      <c r="B43" s="7" t="n"/>
      <c r="C43" s="7" t="n"/>
      <c r="D43" s="7" t="n"/>
      <c r="E43" s="28">
        <f>IF(OR(C43="",D43=""),"",IFERROR(D43/C43*100,"N/A"))</f>
        <v/>
      </c>
      <c r="F43" s="7" t="n"/>
      <c r="G43" s="7" t="n"/>
      <c r="H43" s="7" t="n"/>
      <c r="I43" s="7" t="n"/>
      <c r="J43" s="7" t="n"/>
      <c r="K43" s="7" t="n"/>
      <c r="L43" s="7" t="n"/>
      <c r="M43" s="7">
        <f>IF(H43="","",IFERROR(COUNTIF($H$6:$H$115,H43),0))</f>
        <v/>
      </c>
      <c r="N43" s="7">
        <f>IF(I43="","",IFERROR(COUNTIF($I$6:$I$115,I43),0))</f>
        <v/>
      </c>
    </row>
    <row r="44" ht="22" customHeight="1">
      <c r="A44" s="5" t="n"/>
      <c r="B44" s="5" t="n"/>
      <c r="C44" s="5" t="n"/>
      <c r="D44" s="5" t="n"/>
      <c r="E44" s="27">
        <f>IF(OR(C44="",D44=""),"",IFERROR(D44/C44*100,"N/A"))</f>
        <v/>
      </c>
      <c r="F44" s="5" t="n"/>
      <c r="G44" s="5" t="n"/>
      <c r="H44" s="5" t="n"/>
      <c r="I44" s="5" t="n"/>
      <c r="J44" s="5" t="n"/>
      <c r="K44" s="5" t="n"/>
      <c r="L44" s="5" t="n"/>
      <c r="M44" s="5">
        <f>IF(H44="","",IFERROR(COUNTIF($H$6:$H$115,H44),0))</f>
        <v/>
      </c>
      <c r="N44" s="5">
        <f>IF(I44="","",IFERROR(COUNTIF($I$6:$I$115,I44),0))</f>
        <v/>
      </c>
    </row>
    <row r="45" ht="22" customHeight="1">
      <c r="A45" s="7" t="n"/>
      <c r="B45" s="7" t="n"/>
      <c r="C45" s="7" t="n"/>
      <c r="D45" s="7" t="n"/>
      <c r="E45" s="28">
        <f>IF(OR(C45="",D45=""),"",IFERROR(D45/C45*100,"N/A"))</f>
        <v/>
      </c>
      <c r="F45" s="7" t="n"/>
      <c r="G45" s="7" t="n"/>
      <c r="H45" s="7" t="n"/>
      <c r="I45" s="7" t="n"/>
      <c r="J45" s="7" t="n"/>
      <c r="K45" s="7" t="n"/>
      <c r="L45" s="7" t="n"/>
      <c r="M45" s="7">
        <f>IF(H45="","",IFERROR(COUNTIF($H$6:$H$115,H45),0))</f>
        <v/>
      </c>
      <c r="N45" s="7">
        <f>IF(I45="","",IFERROR(COUNTIF($I$6:$I$115,I45),0))</f>
        <v/>
      </c>
    </row>
    <row r="46" ht="22" customHeight="1">
      <c r="A46" s="5" t="n"/>
      <c r="B46" s="5" t="n"/>
      <c r="C46" s="5" t="n"/>
      <c r="D46" s="5" t="n"/>
      <c r="E46" s="27">
        <f>IF(OR(C46="",D46=""),"",IFERROR(D46/C46*100,"N/A"))</f>
        <v/>
      </c>
      <c r="F46" s="5" t="n"/>
      <c r="G46" s="5" t="n"/>
      <c r="H46" s="5" t="n"/>
      <c r="I46" s="5" t="n"/>
      <c r="J46" s="5" t="n"/>
      <c r="K46" s="5" t="n"/>
      <c r="L46" s="5" t="n"/>
      <c r="M46" s="5">
        <f>IF(H46="","",IFERROR(COUNTIF($H$6:$H$115,H46),0))</f>
        <v/>
      </c>
      <c r="N46" s="5">
        <f>IF(I46="","",IFERROR(COUNTIF($I$6:$I$115,I46),0))</f>
        <v/>
      </c>
    </row>
    <row r="47" ht="22" customHeight="1">
      <c r="A47" s="7" t="n"/>
      <c r="B47" s="7" t="n"/>
      <c r="C47" s="7" t="n"/>
      <c r="D47" s="7" t="n"/>
      <c r="E47" s="28">
        <f>IF(OR(C47="",D47=""),"",IFERROR(D47/C47*100,"N/A"))</f>
        <v/>
      </c>
      <c r="F47" s="7" t="n"/>
      <c r="G47" s="7" t="n"/>
      <c r="H47" s="7" t="n"/>
      <c r="I47" s="7" t="n"/>
      <c r="J47" s="7" t="n"/>
      <c r="K47" s="7" t="n"/>
      <c r="L47" s="7" t="n"/>
      <c r="M47" s="7">
        <f>IF(H47="","",IFERROR(COUNTIF($H$6:$H$115,H47),0))</f>
        <v/>
      </c>
      <c r="N47" s="7">
        <f>IF(I47="","",IFERROR(COUNTIF($I$6:$I$115,I47),0))</f>
        <v/>
      </c>
    </row>
    <row r="48" ht="22" customHeight="1">
      <c r="A48" s="5" t="n"/>
      <c r="B48" s="5" t="n"/>
      <c r="C48" s="5" t="n"/>
      <c r="D48" s="5" t="n"/>
      <c r="E48" s="27">
        <f>IF(OR(C48="",D48=""),"",IFERROR(D48/C48*100,"N/A"))</f>
        <v/>
      </c>
      <c r="F48" s="5" t="n"/>
      <c r="G48" s="5" t="n"/>
      <c r="H48" s="5" t="n"/>
      <c r="I48" s="5" t="n"/>
      <c r="J48" s="5" t="n"/>
      <c r="K48" s="5" t="n"/>
      <c r="L48" s="5" t="n"/>
      <c r="M48" s="5">
        <f>IF(H48="","",IFERROR(COUNTIF($H$6:$H$115,H48),0))</f>
        <v/>
      </c>
      <c r="N48" s="5">
        <f>IF(I48="","",IFERROR(COUNTIF($I$6:$I$115,I48),0))</f>
        <v/>
      </c>
    </row>
    <row r="49" ht="22" customHeight="1">
      <c r="A49" s="7" t="n"/>
      <c r="B49" s="7" t="n"/>
      <c r="C49" s="7" t="n"/>
      <c r="D49" s="7" t="n"/>
      <c r="E49" s="28">
        <f>IF(OR(C49="",D49=""),"",IFERROR(D49/C49*100,"N/A"))</f>
        <v/>
      </c>
      <c r="F49" s="7" t="n"/>
      <c r="G49" s="7" t="n"/>
      <c r="H49" s="7" t="n"/>
      <c r="I49" s="7" t="n"/>
      <c r="J49" s="7" t="n"/>
      <c r="K49" s="7" t="n"/>
      <c r="L49" s="7" t="n"/>
      <c r="M49" s="7">
        <f>IF(H49="","",IFERROR(COUNTIF($H$6:$H$115,H49),0))</f>
        <v/>
      </c>
      <c r="N49" s="7">
        <f>IF(I49="","",IFERROR(COUNTIF($I$6:$I$115,I49),0))</f>
        <v/>
      </c>
    </row>
    <row r="50" ht="22" customHeight="1">
      <c r="A50" s="5" t="n"/>
      <c r="B50" s="5" t="n"/>
      <c r="C50" s="5" t="n"/>
      <c r="D50" s="5" t="n"/>
      <c r="E50" s="27">
        <f>IF(OR(C50="",D50=""),"",IFERROR(D50/C50*100,"N/A"))</f>
        <v/>
      </c>
      <c r="F50" s="5" t="n"/>
      <c r="G50" s="5" t="n"/>
      <c r="H50" s="5" t="n"/>
      <c r="I50" s="5" t="n"/>
      <c r="J50" s="5" t="n"/>
      <c r="K50" s="5" t="n"/>
      <c r="L50" s="5" t="n"/>
      <c r="M50" s="5">
        <f>IF(H50="","",IFERROR(COUNTIF($H$6:$H$115,H50),0))</f>
        <v/>
      </c>
      <c r="N50" s="5">
        <f>IF(I50="","",IFERROR(COUNTIF($I$6:$I$115,I50),0))</f>
        <v/>
      </c>
    </row>
    <row r="51" ht="22" customHeight="1">
      <c r="A51" s="7" t="n"/>
      <c r="B51" s="7" t="n"/>
      <c r="C51" s="7" t="n"/>
      <c r="D51" s="7" t="n"/>
      <c r="E51" s="28">
        <f>IF(OR(C51="",D51=""),"",IFERROR(D51/C51*100,"N/A"))</f>
        <v/>
      </c>
      <c r="F51" s="7" t="n"/>
      <c r="G51" s="7" t="n"/>
      <c r="H51" s="7" t="n"/>
      <c r="I51" s="7" t="n"/>
      <c r="J51" s="7" t="n"/>
      <c r="K51" s="7" t="n"/>
      <c r="L51" s="7" t="n"/>
      <c r="M51" s="7">
        <f>IF(H51="","",IFERROR(COUNTIF($H$6:$H$115,H51),0))</f>
        <v/>
      </c>
      <c r="N51" s="7">
        <f>IF(I51="","",IFERROR(COUNTIF($I$6:$I$115,I51),0))</f>
        <v/>
      </c>
    </row>
    <row r="52" ht="22" customHeight="1">
      <c r="A52" s="5" t="n"/>
      <c r="B52" s="5" t="n"/>
      <c r="C52" s="5" t="n"/>
      <c r="D52" s="5" t="n"/>
      <c r="E52" s="27">
        <f>IF(OR(C52="",D52=""),"",IFERROR(D52/C52*100,"N/A"))</f>
        <v/>
      </c>
      <c r="F52" s="5" t="n"/>
      <c r="G52" s="5" t="n"/>
      <c r="H52" s="5" t="n"/>
      <c r="I52" s="5" t="n"/>
      <c r="J52" s="5" t="n"/>
      <c r="K52" s="5" t="n"/>
      <c r="L52" s="5" t="n"/>
      <c r="M52" s="5">
        <f>IF(H52="","",IFERROR(COUNTIF($H$6:$H$115,H52),0))</f>
        <v/>
      </c>
      <c r="N52" s="5">
        <f>IF(I52="","",IFERROR(COUNTIF($I$6:$I$115,I52),0))</f>
        <v/>
      </c>
    </row>
    <row r="53" ht="22" customHeight="1">
      <c r="A53" s="7" t="n"/>
      <c r="B53" s="7" t="n"/>
      <c r="C53" s="7" t="n"/>
      <c r="D53" s="7" t="n"/>
      <c r="E53" s="28">
        <f>IF(OR(C53="",D53=""),"",IFERROR(D53/C53*100,"N/A"))</f>
        <v/>
      </c>
      <c r="F53" s="7" t="n"/>
      <c r="G53" s="7" t="n"/>
      <c r="H53" s="7" t="n"/>
      <c r="I53" s="7" t="n"/>
      <c r="J53" s="7" t="n"/>
      <c r="K53" s="7" t="n"/>
      <c r="L53" s="7" t="n"/>
      <c r="M53" s="7">
        <f>IF(H53="","",IFERROR(COUNTIF($H$6:$H$115,H53),0))</f>
        <v/>
      </c>
      <c r="N53" s="7">
        <f>IF(I53="","",IFERROR(COUNTIF($I$6:$I$115,I53),0))</f>
        <v/>
      </c>
    </row>
    <row r="54" ht="22" customHeight="1">
      <c r="A54" s="5" t="n"/>
      <c r="B54" s="5" t="n"/>
      <c r="C54" s="5" t="n"/>
      <c r="D54" s="5" t="n"/>
      <c r="E54" s="27">
        <f>IF(OR(C54="",D54=""),"",IFERROR(D54/C54*100,"N/A"))</f>
        <v/>
      </c>
      <c r="F54" s="5" t="n"/>
      <c r="G54" s="5" t="n"/>
      <c r="H54" s="5" t="n"/>
      <c r="I54" s="5" t="n"/>
      <c r="J54" s="5" t="n"/>
      <c r="K54" s="5" t="n"/>
      <c r="L54" s="5" t="n"/>
      <c r="M54" s="5">
        <f>IF(H54="","",IFERROR(COUNTIF($H$6:$H$115,H54),0))</f>
        <v/>
      </c>
      <c r="N54" s="5">
        <f>IF(I54="","",IFERROR(COUNTIF($I$6:$I$115,I54),0))</f>
        <v/>
      </c>
    </row>
    <row r="55" ht="22" customHeight="1">
      <c r="A55" s="7" t="n"/>
      <c r="B55" s="7" t="n"/>
      <c r="C55" s="7" t="n"/>
      <c r="D55" s="7" t="n"/>
      <c r="E55" s="28">
        <f>IF(OR(C55="",D55=""),"",IFERROR(D55/C55*100,"N/A"))</f>
        <v/>
      </c>
      <c r="F55" s="7" t="n"/>
      <c r="G55" s="7" t="n"/>
      <c r="H55" s="7" t="n"/>
      <c r="I55" s="7" t="n"/>
      <c r="J55" s="7" t="n"/>
      <c r="K55" s="7" t="n"/>
      <c r="L55" s="7" t="n"/>
      <c r="M55" s="7">
        <f>IF(H55="","",IFERROR(COUNTIF($H$6:$H$115,H55),0))</f>
        <v/>
      </c>
      <c r="N55" s="7">
        <f>IF(I55="","",IFERROR(COUNTIF($I$6:$I$115,I55),0))</f>
        <v/>
      </c>
    </row>
    <row r="56" ht="22" customHeight="1">
      <c r="A56" s="5" t="n"/>
      <c r="B56" s="5" t="n"/>
      <c r="C56" s="5" t="n"/>
      <c r="D56" s="5" t="n"/>
      <c r="E56" s="27">
        <f>IF(OR(C56="",D56=""),"",IFERROR(D56/C56*100,"N/A"))</f>
        <v/>
      </c>
      <c r="F56" s="5" t="n"/>
      <c r="G56" s="5" t="n"/>
      <c r="H56" s="5" t="n"/>
      <c r="I56" s="5" t="n"/>
      <c r="J56" s="5" t="n"/>
      <c r="K56" s="5" t="n"/>
      <c r="L56" s="5" t="n"/>
      <c r="M56" s="5">
        <f>IF(H56="","",IFERROR(COUNTIF($H$6:$H$115,H56),0))</f>
        <v/>
      </c>
      <c r="N56" s="5">
        <f>IF(I56="","",IFERROR(COUNTIF($I$6:$I$115,I56),0))</f>
        <v/>
      </c>
    </row>
    <row r="57" ht="22" customHeight="1">
      <c r="A57" s="7" t="n"/>
      <c r="B57" s="7" t="n"/>
      <c r="C57" s="7" t="n"/>
      <c r="D57" s="7" t="n"/>
      <c r="E57" s="28">
        <f>IF(OR(C57="",D57=""),"",IFERROR(D57/C57*100,"N/A"))</f>
        <v/>
      </c>
      <c r="F57" s="7" t="n"/>
      <c r="G57" s="7" t="n"/>
      <c r="H57" s="7" t="n"/>
      <c r="I57" s="7" t="n"/>
      <c r="J57" s="7" t="n"/>
      <c r="K57" s="7" t="n"/>
      <c r="L57" s="7" t="n"/>
      <c r="M57" s="7">
        <f>IF(H57="","",IFERROR(COUNTIF($H$6:$H$115,H57),0))</f>
        <v/>
      </c>
      <c r="N57" s="7">
        <f>IF(I57="","",IFERROR(COUNTIF($I$6:$I$115,I57),0))</f>
        <v/>
      </c>
    </row>
    <row r="58" ht="22" customHeight="1">
      <c r="A58" s="5" t="n"/>
      <c r="B58" s="5" t="n"/>
      <c r="C58" s="5" t="n"/>
      <c r="D58" s="5" t="n"/>
      <c r="E58" s="27">
        <f>IF(OR(C58="",D58=""),"",IFERROR(D58/C58*100,"N/A"))</f>
        <v/>
      </c>
      <c r="F58" s="5" t="n"/>
      <c r="G58" s="5" t="n"/>
      <c r="H58" s="5" t="n"/>
      <c r="I58" s="5" t="n"/>
      <c r="J58" s="5" t="n"/>
      <c r="K58" s="5" t="n"/>
      <c r="L58" s="5" t="n"/>
      <c r="M58" s="5">
        <f>IF(H58="","",IFERROR(COUNTIF($H$6:$H$115,H58),0))</f>
        <v/>
      </c>
      <c r="N58" s="5">
        <f>IF(I58="","",IFERROR(COUNTIF($I$6:$I$115,I58),0))</f>
        <v/>
      </c>
    </row>
    <row r="59" ht="22" customHeight="1">
      <c r="A59" s="7" t="n"/>
      <c r="B59" s="7" t="n"/>
      <c r="C59" s="7" t="n"/>
      <c r="D59" s="7" t="n"/>
      <c r="E59" s="28">
        <f>IF(OR(C59="",D59=""),"",IFERROR(D59/C59*100,"N/A"))</f>
        <v/>
      </c>
      <c r="F59" s="7" t="n"/>
      <c r="G59" s="7" t="n"/>
      <c r="H59" s="7" t="n"/>
      <c r="I59" s="7" t="n"/>
      <c r="J59" s="7" t="n"/>
      <c r="K59" s="7" t="n"/>
      <c r="L59" s="7" t="n"/>
      <c r="M59" s="7">
        <f>IF(H59="","",IFERROR(COUNTIF($H$6:$H$115,H59),0))</f>
        <v/>
      </c>
      <c r="N59" s="7">
        <f>IF(I59="","",IFERROR(COUNTIF($I$6:$I$115,I59),0))</f>
        <v/>
      </c>
    </row>
    <row r="60" ht="22" customHeight="1">
      <c r="A60" s="5" t="n"/>
      <c r="B60" s="5" t="n"/>
      <c r="C60" s="5" t="n"/>
      <c r="D60" s="5" t="n"/>
      <c r="E60" s="27">
        <f>IF(OR(C60="",D60=""),"",IFERROR(D60/C60*100,"N/A"))</f>
        <v/>
      </c>
      <c r="F60" s="5" t="n"/>
      <c r="G60" s="5" t="n"/>
      <c r="H60" s="5" t="n"/>
      <c r="I60" s="5" t="n"/>
      <c r="J60" s="5" t="n"/>
      <c r="K60" s="5" t="n"/>
      <c r="L60" s="5" t="n"/>
      <c r="M60" s="5">
        <f>IF(H60="","",IFERROR(COUNTIF($H$6:$H$115,H60),0))</f>
        <v/>
      </c>
      <c r="N60" s="5">
        <f>IF(I60="","",IFERROR(COUNTIF($I$6:$I$115,I60),0))</f>
        <v/>
      </c>
    </row>
    <row r="61" ht="22" customHeight="1">
      <c r="A61" s="7" t="n"/>
      <c r="B61" s="7" t="n"/>
      <c r="C61" s="7" t="n"/>
      <c r="D61" s="7" t="n"/>
      <c r="E61" s="28">
        <f>IF(OR(C61="",D61=""),"",IFERROR(D61/C61*100,"N/A"))</f>
        <v/>
      </c>
      <c r="F61" s="7" t="n"/>
      <c r="G61" s="7" t="n"/>
      <c r="H61" s="7" t="n"/>
      <c r="I61" s="7" t="n"/>
      <c r="J61" s="7" t="n"/>
      <c r="K61" s="7" t="n"/>
      <c r="L61" s="7" t="n"/>
      <c r="M61" s="7">
        <f>IF(H61="","",IFERROR(COUNTIF($H$6:$H$115,H61),0))</f>
        <v/>
      </c>
      <c r="N61" s="7">
        <f>IF(I61="","",IFERROR(COUNTIF($I$6:$I$115,I61),0))</f>
        <v/>
      </c>
    </row>
    <row r="62" ht="22" customHeight="1">
      <c r="A62" s="5" t="n"/>
      <c r="B62" s="5" t="n"/>
      <c r="C62" s="5" t="n"/>
      <c r="D62" s="5" t="n"/>
      <c r="E62" s="27">
        <f>IF(OR(C62="",D62=""),"",IFERROR(D62/C62*100,"N/A"))</f>
        <v/>
      </c>
      <c r="F62" s="5" t="n"/>
      <c r="G62" s="5" t="n"/>
      <c r="H62" s="5" t="n"/>
      <c r="I62" s="5" t="n"/>
      <c r="J62" s="5" t="n"/>
      <c r="K62" s="5" t="n"/>
      <c r="L62" s="5" t="n"/>
      <c r="M62" s="5">
        <f>IF(H62="","",IFERROR(COUNTIF($H$6:$H$115,H62),0))</f>
        <v/>
      </c>
      <c r="N62" s="5">
        <f>IF(I62="","",IFERROR(COUNTIF($I$6:$I$115,I62),0))</f>
        <v/>
      </c>
    </row>
    <row r="63" ht="22" customHeight="1">
      <c r="A63" s="7" t="n"/>
      <c r="B63" s="7" t="n"/>
      <c r="C63" s="7" t="n"/>
      <c r="D63" s="7" t="n"/>
      <c r="E63" s="28">
        <f>IF(OR(C63="",D63=""),"",IFERROR(D63/C63*100,"N/A"))</f>
        <v/>
      </c>
      <c r="F63" s="7" t="n"/>
      <c r="G63" s="7" t="n"/>
      <c r="H63" s="7" t="n"/>
      <c r="I63" s="7" t="n"/>
      <c r="J63" s="7" t="n"/>
      <c r="K63" s="7" t="n"/>
      <c r="L63" s="7" t="n"/>
      <c r="M63" s="7">
        <f>IF(H63="","",IFERROR(COUNTIF($H$6:$H$115,H63),0))</f>
        <v/>
      </c>
      <c r="N63" s="7">
        <f>IF(I63="","",IFERROR(COUNTIF($I$6:$I$115,I63),0))</f>
        <v/>
      </c>
    </row>
    <row r="64" ht="22" customHeight="1">
      <c r="A64" s="5" t="n"/>
      <c r="B64" s="5" t="n"/>
      <c r="C64" s="5" t="n"/>
      <c r="D64" s="5" t="n"/>
      <c r="E64" s="27">
        <f>IF(OR(C64="",D64=""),"",IFERROR(D64/C64*100,"N/A"))</f>
        <v/>
      </c>
      <c r="F64" s="5" t="n"/>
      <c r="G64" s="5" t="n"/>
      <c r="H64" s="5" t="n"/>
      <c r="I64" s="5" t="n"/>
      <c r="J64" s="5" t="n"/>
      <c r="K64" s="5" t="n"/>
      <c r="L64" s="5" t="n"/>
      <c r="M64" s="5">
        <f>IF(H64="","",IFERROR(COUNTIF($H$6:$H$115,H64),0))</f>
        <v/>
      </c>
      <c r="N64" s="5">
        <f>IF(I64="","",IFERROR(COUNTIF($I$6:$I$115,I64),0))</f>
        <v/>
      </c>
    </row>
    <row r="65" ht="22" customHeight="1">
      <c r="A65" s="7" t="n"/>
      <c r="B65" s="7" t="n"/>
      <c r="C65" s="7" t="n"/>
      <c r="D65" s="7" t="n"/>
      <c r="E65" s="28">
        <f>IF(OR(C65="",D65=""),"",IFERROR(D65/C65*100,"N/A"))</f>
        <v/>
      </c>
      <c r="F65" s="7" t="n"/>
      <c r="G65" s="7" t="n"/>
      <c r="H65" s="7" t="n"/>
      <c r="I65" s="7" t="n"/>
      <c r="J65" s="7" t="n"/>
      <c r="K65" s="7" t="n"/>
      <c r="L65" s="7" t="n"/>
      <c r="M65" s="7">
        <f>IF(H65="","",IFERROR(COUNTIF($H$6:$H$115,H65),0))</f>
        <v/>
      </c>
      <c r="N65" s="7">
        <f>IF(I65="","",IFERROR(COUNTIF($I$6:$I$115,I65),0))</f>
        <v/>
      </c>
    </row>
    <row r="66" ht="22" customHeight="1">
      <c r="A66" s="5" t="n"/>
      <c r="B66" s="5" t="n"/>
      <c r="C66" s="5" t="n"/>
      <c r="D66" s="5" t="n"/>
      <c r="E66" s="27">
        <f>IF(OR(C66="",D66=""),"",IFERROR(D66/C66*100,"N/A"))</f>
        <v/>
      </c>
      <c r="F66" s="5" t="n"/>
      <c r="G66" s="5" t="n"/>
      <c r="H66" s="5" t="n"/>
      <c r="I66" s="5" t="n"/>
      <c r="J66" s="5" t="n"/>
      <c r="K66" s="5" t="n"/>
      <c r="L66" s="5" t="n"/>
      <c r="M66" s="5">
        <f>IF(H66="","",IFERROR(COUNTIF($H$6:$H$115,H66),0))</f>
        <v/>
      </c>
      <c r="N66" s="5">
        <f>IF(I66="","",IFERROR(COUNTIF($I$6:$I$115,I66),0))</f>
        <v/>
      </c>
    </row>
    <row r="67" ht="22" customHeight="1">
      <c r="A67" s="7" t="n"/>
      <c r="B67" s="7" t="n"/>
      <c r="C67" s="7" t="n"/>
      <c r="D67" s="7" t="n"/>
      <c r="E67" s="28">
        <f>IF(OR(C67="",D67=""),"",IFERROR(D67/C67*100,"N/A"))</f>
        <v/>
      </c>
      <c r="F67" s="7" t="n"/>
      <c r="G67" s="7" t="n"/>
      <c r="H67" s="7" t="n"/>
      <c r="I67" s="7" t="n"/>
      <c r="J67" s="7" t="n"/>
      <c r="K67" s="7" t="n"/>
      <c r="L67" s="7" t="n"/>
      <c r="M67" s="7">
        <f>IF(H67="","",IFERROR(COUNTIF($H$6:$H$115,H67),0))</f>
        <v/>
      </c>
      <c r="N67" s="7">
        <f>IF(I67="","",IFERROR(COUNTIF($I$6:$I$115,I67),0))</f>
        <v/>
      </c>
    </row>
    <row r="68" ht="22" customHeight="1">
      <c r="A68" s="5" t="n"/>
      <c r="B68" s="5" t="n"/>
      <c r="C68" s="5" t="n"/>
      <c r="D68" s="5" t="n"/>
      <c r="E68" s="27">
        <f>IF(OR(C68="",D68=""),"",IFERROR(D68/C68*100,"N/A"))</f>
        <v/>
      </c>
      <c r="F68" s="5" t="n"/>
      <c r="G68" s="5" t="n"/>
      <c r="H68" s="5" t="n"/>
      <c r="I68" s="5" t="n"/>
      <c r="J68" s="5" t="n"/>
      <c r="K68" s="5" t="n"/>
      <c r="L68" s="5" t="n"/>
      <c r="M68" s="5">
        <f>IF(H68="","",IFERROR(COUNTIF($H$6:$H$115,H68),0))</f>
        <v/>
      </c>
      <c r="N68" s="5">
        <f>IF(I68="","",IFERROR(COUNTIF($I$6:$I$115,I68),0))</f>
        <v/>
      </c>
    </row>
    <row r="69" ht="22" customHeight="1">
      <c r="A69" s="7" t="n"/>
      <c r="B69" s="7" t="n"/>
      <c r="C69" s="7" t="n"/>
      <c r="D69" s="7" t="n"/>
      <c r="E69" s="28">
        <f>IF(OR(C69="",D69=""),"",IFERROR(D69/C69*100,"N/A"))</f>
        <v/>
      </c>
      <c r="F69" s="7" t="n"/>
      <c r="G69" s="7" t="n"/>
      <c r="H69" s="7" t="n"/>
      <c r="I69" s="7" t="n"/>
      <c r="J69" s="7" t="n"/>
      <c r="K69" s="7" t="n"/>
      <c r="L69" s="7" t="n"/>
      <c r="M69" s="7">
        <f>IF(H69="","",IFERROR(COUNTIF($H$6:$H$115,H69),0))</f>
        <v/>
      </c>
      <c r="N69" s="7">
        <f>IF(I69="","",IFERROR(COUNTIF($I$6:$I$115,I69),0))</f>
        <v/>
      </c>
    </row>
    <row r="70" ht="22" customHeight="1">
      <c r="A70" s="5" t="n"/>
      <c r="B70" s="5" t="n"/>
      <c r="C70" s="5" t="n"/>
      <c r="D70" s="5" t="n"/>
      <c r="E70" s="27">
        <f>IF(OR(C70="",D70=""),"",IFERROR(D70/C70*100,"N/A"))</f>
        <v/>
      </c>
      <c r="F70" s="5" t="n"/>
      <c r="G70" s="5" t="n"/>
      <c r="H70" s="5" t="n"/>
      <c r="I70" s="5" t="n"/>
      <c r="J70" s="5" t="n"/>
      <c r="K70" s="5" t="n"/>
      <c r="L70" s="5" t="n"/>
      <c r="M70" s="5">
        <f>IF(H70="","",IFERROR(COUNTIF($H$6:$H$115,H70),0))</f>
        <v/>
      </c>
      <c r="N70" s="5">
        <f>IF(I70="","",IFERROR(COUNTIF($I$6:$I$115,I70),0))</f>
        <v/>
      </c>
    </row>
    <row r="71" ht="22" customHeight="1">
      <c r="A71" s="7" t="n"/>
      <c r="B71" s="7" t="n"/>
      <c r="C71" s="7" t="n"/>
      <c r="D71" s="7" t="n"/>
      <c r="E71" s="28">
        <f>IF(OR(C71="",D71=""),"",IFERROR(D71/C71*100,"N/A"))</f>
        <v/>
      </c>
      <c r="F71" s="7" t="n"/>
      <c r="G71" s="7" t="n"/>
      <c r="H71" s="7" t="n"/>
      <c r="I71" s="7" t="n"/>
      <c r="J71" s="7" t="n"/>
      <c r="K71" s="7" t="n"/>
      <c r="L71" s="7" t="n"/>
      <c r="M71" s="7">
        <f>IF(H71="","",IFERROR(COUNTIF($H$6:$H$115,H71),0))</f>
        <v/>
      </c>
      <c r="N71" s="7">
        <f>IF(I71="","",IFERROR(COUNTIF($I$6:$I$115,I71),0))</f>
        <v/>
      </c>
    </row>
    <row r="72" ht="22" customHeight="1">
      <c r="A72" s="5" t="n"/>
      <c r="B72" s="5" t="n"/>
      <c r="C72" s="5" t="n"/>
      <c r="D72" s="5" t="n"/>
      <c r="E72" s="27">
        <f>IF(OR(C72="",D72=""),"",IFERROR(D72/C72*100,"N/A"))</f>
        <v/>
      </c>
      <c r="F72" s="5" t="n"/>
      <c r="G72" s="5" t="n"/>
      <c r="H72" s="5" t="n"/>
      <c r="I72" s="5" t="n"/>
      <c r="J72" s="5" t="n"/>
      <c r="K72" s="5" t="n"/>
      <c r="L72" s="5" t="n"/>
      <c r="M72" s="5">
        <f>IF(H72="","",IFERROR(COUNTIF($H$6:$H$115,H72),0))</f>
        <v/>
      </c>
      <c r="N72" s="5">
        <f>IF(I72="","",IFERROR(COUNTIF($I$6:$I$115,I72),0))</f>
        <v/>
      </c>
    </row>
    <row r="73" ht="22" customHeight="1">
      <c r="A73" s="7" t="n"/>
      <c r="B73" s="7" t="n"/>
      <c r="C73" s="7" t="n"/>
      <c r="D73" s="7" t="n"/>
      <c r="E73" s="28">
        <f>IF(OR(C73="",D73=""),"",IFERROR(D73/C73*100,"N/A"))</f>
        <v/>
      </c>
      <c r="F73" s="7" t="n"/>
      <c r="G73" s="7" t="n"/>
      <c r="H73" s="7" t="n"/>
      <c r="I73" s="7" t="n"/>
      <c r="J73" s="7" t="n"/>
      <c r="K73" s="7" t="n"/>
      <c r="L73" s="7" t="n"/>
      <c r="M73" s="7">
        <f>IF(H73="","",IFERROR(COUNTIF($H$6:$H$115,H73),0))</f>
        <v/>
      </c>
      <c r="N73" s="7">
        <f>IF(I73="","",IFERROR(COUNTIF($I$6:$I$115,I73),0))</f>
        <v/>
      </c>
    </row>
    <row r="74" ht="22" customHeight="1">
      <c r="A74" s="5" t="n"/>
      <c r="B74" s="5" t="n"/>
      <c r="C74" s="5" t="n"/>
      <c r="D74" s="5" t="n"/>
      <c r="E74" s="27">
        <f>IF(OR(C74="",D74=""),"",IFERROR(D74/C74*100,"N/A"))</f>
        <v/>
      </c>
      <c r="F74" s="5" t="n"/>
      <c r="G74" s="5" t="n"/>
      <c r="H74" s="5" t="n"/>
      <c r="I74" s="5" t="n"/>
      <c r="J74" s="5" t="n"/>
      <c r="K74" s="5" t="n"/>
      <c r="L74" s="5" t="n"/>
      <c r="M74" s="5">
        <f>IF(H74="","",IFERROR(COUNTIF($H$6:$H$115,H74),0))</f>
        <v/>
      </c>
      <c r="N74" s="5">
        <f>IF(I74="","",IFERROR(COUNTIF($I$6:$I$115,I74),0))</f>
        <v/>
      </c>
    </row>
    <row r="75" ht="22" customHeight="1">
      <c r="A75" s="7" t="n"/>
      <c r="B75" s="7" t="n"/>
      <c r="C75" s="7" t="n"/>
      <c r="D75" s="7" t="n"/>
      <c r="E75" s="28">
        <f>IF(OR(C75="",D75=""),"",IFERROR(D75/C75*100,"N/A"))</f>
        <v/>
      </c>
      <c r="F75" s="7" t="n"/>
      <c r="G75" s="7" t="n"/>
      <c r="H75" s="7" t="n"/>
      <c r="I75" s="7" t="n"/>
      <c r="J75" s="7" t="n"/>
      <c r="K75" s="7" t="n"/>
      <c r="L75" s="7" t="n"/>
      <c r="M75" s="7">
        <f>IF(H75="","",IFERROR(COUNTIF($H$6:$H$115,H75),0))</f>
        <v/>
      </c>
      <c r="N75" s="7">
        <f>IF(I75="","",IFERROR(COUNTIF($I$6:$I$115,I75),0))</f>
        <v/>
      </c>
    </row>
    <row r="76" ht="22" customHeight="1">
      <c r="A76" s="5" t="n"/>
      <c r="B76" s="5" t="n"/>
      <c r="C76" s="5" t="n"/>
      <c r="D76" s="5" t="n"/>
      <c r="E76" s="27">
        <f>IF(OR(C76="",D76=""),"",IFERROR(D76/C76*100,"N/A"))</f>
        <v/>
      </c>
      <c r="F76" s="5" t="n"/>
      <c r="G76" s="5" t="n"/>
      <c r="H76" s="5" t="n"/>
      <c r="I76" s="5" t="n"/>
      <c r="J76" s="5" t="n"/>
      <c r="K76" s="5" t="n"/>
      <c r="L76" s="5" t="n"/>
      <c r="M76" s="5">
        <f>IF(H76="","",IFERROR(COUNTIF($H$6:$H$115,H76),0))</f>
        <v/>
      </c>
      <c r="N76" s="5">
        <f>IF(I76="","",IFERROR(COUNTIF($I$6:$I$115,I76),0))</f>
        <v/>
      </c>
    </row>
    <row r="77" ht="22" customHeight="1">
      <c r="A77" s="7" t="n"/>
      <c r="B77" s="7" t="n"/>
      <c r="C77" s="7" t="n"/>
      <c r="D77" s="7" t="n"/>
      <c r="E77" s="28">
        <f>IF(OR(C77="",D77=""),"",IFERROR(D77/C77*100,"N/A"))</f>
        <v/>
      </c>
      <c r="F77" s="7" t="n"/>
      <c r="G77" s="7" t="n"/>
      <c r="H77" s="7" t="n"/>
      <c r="I77" s="7" t="n"/>
      <c r="J77" s="7" t="n"/>
      <c r="K77" s="7" t="n"/>
      <c r="L77" s="7" t="n"/>
      <c r="M77" s="7">
        <f>IF(H77="","",IFERROR(COUNTIF($H$6:$H$115,H77),0))</f>
        <v/>
      </c>
      <c r="N77" s="7">
        <f>IF(I77="","",IFERROR(COUNTIF($I$6:$I$115,I77),0))</f>
        <v/>
      </c>
    </row>
    <row r="78" ht="22" customHeight="1">
      <c r="A78" s="5" t="n"/>
      <c r="B78" s="5" t="n"/>
      <c r="C78" s="5" t="n"/>
      <c r="D78" s="5" t="n"/>
      <c r="E78" s="27">
        <f>IF(OR(C78="",D78=""),"",IFERROR(D78/C78*100,"N/A"))</f>
        <v/>
      </c>
      <c r="F78" s="5" t="n"/>
      <c r="G78" s="5" t="n"/>
      <c r="H78" s="5" t="n"/>
      <c r="I78" s="5" t="n"/>
      <c r="J78" s="5" t="n"/>
      <c r="K78" s="5" t="n"/>
      <c r="L78" s="5" t="n"/>
      <c r="M78" s="5">
        <f>IF(H78="","",IFERROR(COUNTIF($H$6:$H$115,H78),0))</f>
        <v/>
      </c>
      <c r="N78" s="5">
        <f>IF(I78="","",IFERROR(COUNTIF($I$6:$I$115,I78),0))</f>
        <v/>
      </c>
    </row>
    <row r="79" ht="22" customHeight="1">
      <c r="A79" s="7" t="n"/>
      <c r="B79" s="7" t="n"/>
      <c r="C79" s="7" t="n"/>
      <c r="D79" s="7" t="n"/>
      <c r="E79" s="28">
        <f>IF(OR(C79="",D79=""),"",IFERROR(D79/C79*100,"N/A"))</f>
        <v/>
      </c>
      <c r="F79" s="7" t="n"/>
      <c r="G79" s="7" t="n"/>
      <c r="H79" s="7" t="n"/>
      <c r="I79" s="7" t="n"/>
      <c r="J79" s="7" t="n"/>
      <c r="K79" s="7" t="n"/>
      <c r="L79" s="7" t="n"/>
      <c r="M79" s="7">
        <f>IF(H79="","",IFERROR(COUNTIF($H$6:$H$115,H79),0))</f>
        <v/>
      </c>
      <c r="N79" s="7">
        <f>IF(I79="","",IFERROR(COUNTIF($I$6:$I$115,I79),0))</f>
        <v/>
      </c>
    </row>
    <row r="80" ht="22" customHeight="1">
      <c r="A80" s="5" t="n"/>
      <c r="B80" s="5" t="n"/>
      <c r="C80" s="5" t="n"/>
      <c r="D80" s="5" t="n"/>
      <c r="E80" s="27">
        <f>IF(OR(C80="",D80=""),"",IFERROR(D80/C80*100,"N/A"))</f>
        <v/>
      </c>
      <c r="F80" s="5" t="n"/>
      <c r="G80" s="5" t="n"/>
      <c r="H80" s="5" t="n"/>
      <c r="I80" s="5" t="n"/>
      <c r="J80" s="5" t="n"/>
      <c r="K80" s="5" t="n"/>
      <c r="L80" s="5" t="n"/>
      <c r="M80" s="5">
        <f>IF(H80="","",IFERROR(COUNTIF($H$6:$H$115,H80),0))</f>
        <v/>
      </c>
      <c r="N80" s="5">
        <f>IF(I80="","",IFERROR(COUNTIF($I$6:$I$115,I80),0))</f>
        <v/>
      </c>
    </row>
    <row r="81" ht="22" customHeight="1">
      <c r="A81" s="7" t="n"/>
      <c r="B81" s="7" t="n"/>
      <c r="C81" s="7" t="n"/>
      <c r="D81" s="7" t="n"/>
      <c r="E81" s="28">
        <f>IF(OR(C81="",D81=""),"",IFERROR(D81/C81*100,"N/A"))</f>
        <v/>
      </c>
      <c r="F81" s="7" t="n"/>
      <c r="G81" s="7" t="n"/>
      <c r="H81" s="7" t="n"/>
      <c r="I81" s="7" t="n"/>
      <c r="J81" s="7" t="n"/>
      <c r="K81" s="7" t="n"/>
      <c r="L81" s="7" t="n"/>
      <c r="M81" s="7">
        <f>IF(H81="","",IFERROR(COUNTIF($H$6:$H$115,H81),0))</f>
        <v/>
      </c>
      <c r="N81" s="7">
        <f>IF(I81="","",IFERROR(COUNTIF($I$6:$I$115,I81),0))</f>
        <v/>
      </c>
    </row>
    <row r="82" ht="22" customHeight="1">
      <c r="A82" s="5" t="n"/>
      <c r="B82" s="5" t="n"/>
      <c r="C82" s="5" t="n"/>
      <c r="D82" s="5" t="n"/>
      <c r="E82" s="27">
        <f>IF(OR(C82="",D82=""),"",IFERROR(D82/C82*100,"N/A"))</f>
        <v/>
      </c>
      <c r="F82" s="5" t="n"/>
      <c r="G82" s="5" t="n"/>
      <c r="H82" s="5" t="n"/>
      <c r="I82" s="5" t="n"/>
      <c r="J82" s="5" t="n"/>
      <c r="K82" s="5" t="n"/>
      <c r="L82" s="5" t="n"/>
      <c r="M82" s="5">
        <f>IF(H82="","",IFERROR(COUNTIF($H$6:$H$115,H82),0))</f>
        <v/>
      </c>
      <c r="N82" s="5">
        <f>IF(I82="","",IFERROR(COUNTIF($I$6:$I$115,I82),0))</f>
        <v/>
      </c>
    </row>
    <row r="83" ht="22" customHeight="1">
      <c r="A83" s="7" t="n"/>
      <c r="B83" s="7" t="n"/>
      <c r="C83" s="7" t="n"/>
      <c r="D83" s="7" t="n"/>
      <c r="E83" s="28">
        <f>IF(OR(C83="",D83=""),"",IFERROR(D83/C83*100,"N/A"))</f>
        <v/>
      </c>
      <c r="F83" s="7" t="n"/>
      <c r="G83" s="7" t="n"/>
      <c r="H83" s="7" t="n"/>
      <c r="I83" s="7" t="n"/>
      <c r="J83" s="7" t="n"/>
      <c r="K83" s="7" t="n"/>
      <c r="L83" s="7" t="n"/>
      <c r="M83" s="7">
        <f>IF(H83="","",IFERROR(COUNTIF($H$6:$H$115,H83),0))</f>
        <v/>
      </c>
      <c r="N83" s="7">
        <f>IF(I83="","",IFERROR(COUNTIF($I$6:$I$115,I83),0))</f>
        <v/>
      </c>
    </row>
    <row r="84" ht="22" customHeight="1">
      <c r="A84" s="5" t="n"/>
      <c r="B84" s="5" t="n"/>
      <c r="C84" s="5" t="n"/>
      <c r="D84" s="5" t="n"/>
      <c r="E84" s="27">
        <f>IF(OR(C84="",D84=""),"",IFERROR(D84/C84*100,"N/A"))</f>
        <v/>
      </c>
      <c r="F84" s="5" t="n"/>
      <c r="G84" s="5" t="n"/>
      <c r="H84" s="5" t="n"/>
      <c r="I84" s="5" t="n"/>
      <c r="J84" s="5" t="n"/>
      <c r="K84" s="5" t="n"/>
      <c r="L84" s="5" t="n"/>
      <c r="M84" s="5">
        <f>IF(H84="","",IFERROR(COUNTIF($H$6:$H$115,H84),0))</f>
        <v/>
      </c>
      <c r="N84" s="5">
        <f>IF(I84="","",IFERROR(COUNTIF($I$6:$I$115,I84),0))</f>
        <v/>
      </c>
    </row>
    <row r="85" ht="22" customHeight="1">
      <c r="A85" s="7" t="n"/>
      <c r="B85" s="7" t="n"/>
      <c r="C85" s="7" t="n"/>
      <c r="D85" s="7" t="n"/>
      <c r="E85" s="28">
        <f>IF(OR(C85="",D85=""),"",IFERROR(D85/C85*100,"N/A"))</f>
        <v/>
      </c>
      <c r="F85" s="7" t="n"/>
      <c r="G85" s="7" t="n"/>
      <c r="H85" s="7" t="n"/>
      <c r="I85" s="7" t="n"/>
      <c r="J85" s="7" t="n"/>
      <c r="K85" s="7" t="n"/>
      <c r="L85" s="7" t="n"/>
      <c r="M85" s="7">
        <f>IF(H85="","",IFERROR(COUNTIF($H$6:$H$115,H85),0))</f>
        <v/>
      </c>
      <c r="N85" s="7">
        <f>IF(I85="","",IFERROR(COUNTIF($I$6:$I$115,I85),0))</f>
        <v/>
      </c>
    </row>
    <row r="86" ht="22" customHeight="1">
      <c r="A86" s="5" t="n"/>
      <c r="B86" s="5" t="n"/>
      <c r="C86" s="5" t="n"/>
      <c r="D86" s="5" t="n"/>
      <c r="E86" s="27">
        <f>IF(OR(C86="",D86=""),"",IFERROR(D86/C86*100,"N/A"))</f>
        <v/>
      </c>
      <c r="F86" s="5" t="n"/>
      <c r="G86" s="5" t="n"/>
      <c r="H86" s="5" t="n"/>
      <c r="I86" s="5" t="n"/>
      <c r="J86" s="5" t="n"/>
      <c r="K86" s="5" t="n"/>
      <c r="L86" s="5" t="n"/>
      <c r="M86" s="5">
        <f>IF(H86="","",IFERROR(COUNTIF($H$6:$H$115,H86),0))</f>
        <v/>
      </c>
      <c r="N86" s="5">
        <f>IF(I86="","",IFERROR(COUNTIF($I$6:$I$115,I86),0))</f>
        <v/>
      </c>
    </row>
    <row r="87" ht="22" customHeight="1">
      <c r="A87" s="7" t="n"/>
      <c r="B87" s="7" t="n"/>
      <c r="C87" s="7" t="n"/>
      <c r="D87" s="7" t="n"/>
      <c r="E87" s="28">
        <f>IF(OR(C87="",D87=""),"",IFERROR(D87/C87*100,"N/A"))</f>
        <v/>
      </c>
      <c r="F87" s="7" t="n"/>
      <c r="G87" s="7" t="n"/>
      <c r="H87" s="7" t="n"/>
      <c r="I87" s="7" t="n"/>
      <c r="J87" s="7" t="n"/>
      <c r="K87" s="7" t="n"/>
      <c r="L87" s="7" t="n"/>
      <c r="M87" s="7">
        <f>IF(H87="","",IFERROR(COUNTIF($H$6:$H$115,H87),0))</f>
        <v/>
      </c>
      <c r="N87" s="7">
        <f>IF(I87="","",IFERROR(COUNTIF($I$6:$I$115,I87),0))</f>
        <v/>
      </c>
    </row>
    <row r="88" ht="22" customHeight="1">
      <c r="A88" s="5" t="n"/>
      <c r="B88" s="5" t="n"/>
      <c r="C88" s="5" t="n"/>
      <c r="D88" s="5" t="n"/>
      <c r="E88" s="27">
        <f>IF(OR(C88="",D88=""),"",IFERROR(D88/C88*100,"N/A"))</f>
        <v/>
      </c>
      <c r="F88" s="5" t="n"/>
      <c r="G88" s="5" t="n"/>
      <c r="H88" s="5" t="n"/>
      <c r="I88" s="5" t="n"/>
      <c r="J88" s="5" t="n"/>
      <c r="K88" s="5" t="n"/>
      <c r="L88" s="5" t="n"/>
      <c r="M88" s="5">
        <f>IF(H88="","",IFERROR(COUNTIF($H$6:$H$115,H88),0))</f>
        <v/>
      </c>
      <c r="N88" s="5">
        <f>IF(I88="","",IFERROR(COUNTIF($I$6:$I$115,I88),0))</f>
        <v/>
      </c>
    </row>
    <row r="89" ht="22" customHeight="1">
      <c r="A89" s="7" t="n"/>
      <c r="B89" s="7" t="n"/>
      <c r="C89" s="7" t="n"/>
      <c r="D89" s="7" t="n"/>
      <c r="E89" s="28">
        <f>IF(OR(C89="",D89=""),"",IFERROR(D89/C89*100,"N/A"))</f>
        <v/>
      </c>
      <c r="F89" s="7" t="n"/>
      <c r="G89" s="7" t="n"/>
      <c r="H89" s="7" t="n"/>
      <c r="I89" s="7" t="n"/>
      <c r="J89" s="7" t="n"/>
      <c r="K89" s="7" t="n"/>
      <c r="L89" s="7" t="n"/>
      <c r="M89" s="7">
        <f>IF(H89="","",IFERROR(COUNTIF($H$6:$H$115,H89),0))</f>
        <v/>
      </c>
      <c r="N89" s="7">
        <f>IF(I89="","",IFERROR(COUNTIF($I$6:$I$115,I89),0))</f>
        <v/>
      </c>
    </row>
    <row r="90" ht="22" customHeight="1">
      <c r="A90" s="5" t="n"/>
      <c r="B90" s="5" t="n"/>
      <c r="C90" s="5" t="n"/>
      <c r="D90" s="5" t="n"/>
      <c r="E90" s="27">
        <f>IF(OR(C90="",D90=""),"",IFERROR(D90/C90*100,"N/A"))</f>
        <v/>
      </c>
      <c r="F90" s="5" t="n"/>
      <c r="G90" s="5" t="n"/>
      <c r="H90" s="5" t="n"/>
      <c r="I90" s="5" t="n"/>
      <c r="J90" s="5" t="n"/>
      <c r="K90" s="5" t="n"/>
      <c r="L90" s="5" t="n"/>
      <c r="M90" s="5">
        <f>IF(H90="","",IFERROR(COUNTIF($H$6:$H$115,H90),0))</f>
        <v/>
      </c>
      <c r="N90" s="5">
        <f>IF(I90="","",IFERROR(COUNTIF($I$6:$I$115,I90),0))</f>
        <v/>
      </c>
    </row>
    <row r="91" ht="22" customHeight="1">
      <c r="A91" s="7" t="n"/>
      <c r="B91" s="7" t="n"/>
      <c r="C91" s="7" t="n"/>
      <c r="D91" s="7" t="n"/>
      <c r="E91" s="28">
        <f>IF(OR(C91="",D91=""),"",IFERROR(D91/C91*100,"N/A"))</f>
        <v/>
      </c>
      <c r="F91" s="7" t="n"/>
      <c r="G91" s="7" t="n"/>
      <c r="H91" s="7" t="n"/>
      <c r="I91" s="7" t="n"/>
      <c r="J91" s="7" t="n"/>
      <c r="K91" s="7" t="n"/>
      <c r="L91" s="7" t="n"/>
      <c r="M91" s="7">
        <f>IF(H91="","",IFERROR(COUNTIF($H$6:$H$115,H91),0))</f>
        <v/>
      </c>
      <c r="N91" s="7">
        <f>IF(I91="","",IFERROR(COUNTIF($I$6:$I$115,I91),0))</f>
        <v/>
      </c>
    </row>
    <row r="92" ht="22" customHeight="1">
      <c r="A92" s="5" t="n"/>
      <c r="B92" s="5" t="n"/>
      <c r="C92" s="5" t="n"/>
      <c r="D92" s="5" t="n"/>
      <c r="E92" s="27">
        <f>IF(OR(C92="",D92=""),"",IFERROR(D92/C92*100,"N/A"))</f>
        <v/>
      </c>
      <c r="F92" s="5" t="n"/>
      <c r="G92" s="5" t="n"/>
      <c r="H92" s="5" t="n"/>
      <c r="I92" s="5" t="n"/>
      <c r="J92" s="5" t="n"/>
      <c r="K92" s="5" t="n"/>
      <c r="L92" s="5" t="n"/>
      <c r="M92" s="5">
        <f>IF(H92="","",IFERROR(COUNTIF($H$6:$H$115,H92),0))</f>
        <v/>
      </c>
      <c r="N92" s="5">
        <f>IF(I92="","",IFERROR(COUNTIF($I$6:$I$115,I92),0))</f>
        <v/>
      </c>
    </row>
    <row r="93" ht="22" customHeight="1">
      <c r="A93" s="7" t="n"/>
      <c r="B93" s="7" t="n"/>
      <c r="C93" s="7" t="n"/>
      <c r="D93" s="7" t="n"/>
      <c r="E93" s="28">
        <f>IF(OR(C93="",D93=""),"",IFERROR(D93/C93*100,"N/A"))</f>
        <v/>
      </c>
      <c r="F93" s="7" t="n"/>
      <c r="G93" s="7" t="n"/>
      <c r="H93" s="7" t="n"/>
      <c r="I93" s="7" t="n"/>
      <c r="J93" s="7" t="n"/>
      <c r="K93" s="7" t="n"/>
      <c r="L93" s="7" t="n"/>
      <c r="M93" s="7">
        <f>IF(H93="","",IFERROR(COUNTIF($H$6:$H$115,H93),0))</f>
        <v/>
      </c>
      <c r="N93" s="7">
        <f>IF(I93="","",IFERROR(COUNTIF($I$6:$I$115,I93),0))</f>
        <v/>
      </c>
    </row>
    <row r="94" ht="22" customHeight="1">
      <c r="A94" s="5" t="n"/>
      <c r="B94" s="5" t="n"/>
      <c r="C94" s="5" t="n"/>
      <c r="D94" s="5" t="n"/>
      <c r="E94" s="27">
        <f>IF(OR(C94="",D94=""),"",IFERROR(D94/C94*100,"N/A"))</f>
        <v/>
      </c>
      <c r="F94" s="5" t="n"/>
      <c r="G94" s="5" t="n"/>
      <c r="H94" s="5" t="n"/>
      <c r="I94" s="5" t="n"/>
      <c r="J94" s="5" t="n"/>
      <c r="K94" s="5" t="n"/>
      <c r="L94" s="5" t="n"/>
      <c r="M94" s="5">
        <f>IF(H94="","",IFERROR(COUNTIF($H$6:$H$115,H94),0))</f>
        <v/>
      </c>
      <c r="N94" s="5">
        <f>IF(I94="","",IFERROR(COUNTIF($I$6:$I$115,I94),0))</f>
        <v/>
      </c>
    </row>
    <row r="95" ht="22" customHeight="1">
      <c r="A95" s="7" t="n"/>
      <c r="B95" s="7" t="n"/>
      <c r="C95" s="7" t="n"/>
      <c r="D95" s="7" t="n"/>
      <c r="E95" s="28">
        <f>IF(OR(C95="",D95=""),"",IFERROR(D95/C95*100,"N/A"))</f>
        <v/>
      </c>
      <c r="F95" s="7" t="n"/>
      <c r="G95" s="7" t="n"/>
      <c r="H95" s="7" t="n"/>
      <c r="I95" s="7" t="n"/>
      <c r="J95" s="7" t="n"/>
      <c r="K95" s="7" t="n"/>
      <c r="L95" s="7" t="n"/>
      <c r="M95" s="7">
        <f>IF(H95="","",IFERROR(COUNTIF($H$6:$H$115,H95),0))</f>
        <v/>
      </c>
      <c r="N95" s="7">
        <f>IF(I95="","",IFERROR(COUNTIF($I$6:$I$115,I95),0))</f>
        <v/>
      </c>
    </row>
    <row r="96" ht="22" customHeight="1">
      <c r="A96" s="5" t="n"/>
      <c r="B96" s="5" t="n"/>
      <c r="C96" s="5" t="n"/>
      <c r="D96" s="5" t="n"/>
      <c r="E96" s="27">
        <f>IF(OR(C96="",D96=""),"",IFERROR(D96/C96*100,"N/A"))</f>
        <v/>
      </c>
      <c r="F96" s="5" t="n"/>
      <c r="G96" s="5" t="n"/>
      <c r="H96" s="5" t="n"/>
      <c r="I96" s="5" t="n"/>
      <c r="J96" s="5" t="n"/>
      <c r="K96" s="5" t="n"/>
      <c r="L96" s="5" t="n"/>
      <c r="M96" s="5">
        <f>IF(H96="","",IFERROR(COUNTIF($H$6:$H$115,H96),0))</f>
        <v/>
      </c>
      <c r="N96" s="5">
        <f>IF(I96="","",IFERROR(COUNTIF($I$6:$I$115,I96),0))</f>
        <v/>
      </c>
    </row>
    <row r="97" ht="22" customHeight="1">
      <c r="A97" s="7" t="n"/>
      <c r="B97" s="7" t="n"/>
      <c r="C97" s="7" t="n"/>
      <c r="D97" s="7" t="n"/>
      <c r="E97" s="28">
        <f>IF(OR(C97="",D97=""),"",IFERROR(D97/C97*100,"N/A"))</f>
        <v/>
      </c>
      <c r="F97" s="7" t="n"/>
      <c r="G97" s="7" t="n"/>
      <c r="H97" s="7" t="n"/>
      <c r="I97" s="7" t="n"/>
      <c r="J97" s="7" t="n"/>
      <c r="K97" s="7" t="n"/>
      <c r="L97" s="7" t="n"/>
      <c r="M97" s="7">
        <f>IF(H97="","",IFERROR(COUNTIF($H$6:$H$115,H97),0))</f>
        <v/>
      </c>
      <c r="N97" s="7">
        <f>IF(I97="","",IFERROR(COUNTIF($I$6:$I$115,I97),0))</f>
        <v/>
      </c>
    </row>
    <row r="98" ht="22" customHeight="1">
      <c r="A98" s="5" t="n"/>
      <c r="B98" s="5" t="n"/>
      <c r="C98" s="5" t="n"/>
      <c r="D98" s="5" t="n"/>
      <c r="E98" s="27">
        <f>IF(OR(C98="",D98=""),"",IFERROR(D98/C98*100,"N/A"))</f>
        <v/>
      </c>
      <c r="F98" s="5" t="n"/>
      <c r="G98" s="5" t="n"/>
      <c r="H98" s="5" t="n"/>
      <c r="I98" s="5" t="n"/>
      <c r="J98" s="5" t="n"/>
      <c r="K98" s="5" t="n"/>
      <c r="L98" s="5" t="n"/>
      <c r="M98" s="5">
        <f>IF(H98="","",IFERROR(COUNTIF($H$6:$H$115,H98),0))</f>
        <v/>
      </c>
      <c r="N98" s="5">
        <f>IF(I98="","",IFERROR(COUNTIF($I$6:$I$115,I98),0))</f>
        <v/>
      </c>
    </row>
    <row r="99" ht="22" customHeight="1">
      <c r="A99" s="7" t="n"/>
      <c r="B99" s="7" t="n"/>
      <c r="C99" s="7" t="n"/>
      <c r="D99" s="7" t="n"/>
      <c r="E99" s="28">
        <f>IF(OR(C99="",D99=""),"",IFERROR(D99/C99*100,"N/A"))</f>
        <v/>
      </c>
      <c r="F99" s="7" t="n"/>
      <c r="G99" s="7" t="n"/>
      <c r="H99" s="7" t="n"/>
      <c r="I99" s="7" t="n"/>
      <c r="J99" s="7" t="n"/>
      <c r="K99" s="7" t="n"/>
      <c r="L99" s="7" t="n"/>
      <c r="M99" s="7">
        <f>IF(H99="","",IFERROR(COUNTIF($H$6:$H$115,H99),0))</f>
        <v/>
      </c>
      <c r="N99" s="7">
        <f>IF(I99="","",IFERROR(COUNTIF($I$6:$I$115,I99),0))</f>
        <v/>
      </c>
    </row>
    <row r="100" ht="22" customHeight="1">
      <c r="A100" s="5" t="n"/>
      <c r="B100" s="5" t="n"/>
      <c r="C100" s="5" t="n"/>
      <c r="D100" s="5" t="n"/>
      <c r="E100" s="27">
        <f>IF(OR(C100="",D100=""),"",IFERROR(D100/C100*100,"N/A"))</f>
        <v/>
      </c>
      <c r="F100" s="5" t="n"/>
      <c r="G100" s="5" t="n"/>
      <c r="H100" s="5" t="n"/>
      <c r="I100" s="5" t="n"/>
      <c r="J100" s="5" t="n"/>
      <c r="K100" s="5" t="n"/>
      <c r="L100" s="5" t="n"/>
      <c r="M100" s="5">
        <f>IF(H100="","",IFERROR(COUNTIF($H$6:$H$115,H100),0))</f>
        <v/>
      </c>
      <c r="N100" s="5">
        <f>IF(I100="","",IFERROR(COUNTIF($I$6:$I$115,I100),0))</f>
        <v/>
      </c>
    </row>
    <row r="101" ht="22" customHeight="1">
      <c r="A101" s="7" t="n"/>
      <c r="B101" s="7" t="n"/>
      <c r="C101" s="7" t="n"/>
      <c r="D101" s="7" t="n"/>
      <c r="E101" s="28">
        <f>IF(OR(C101="",D101=""),"",IFERROR(D101/C101*100,"N/A"))</f>
        <v/>
      </c>
      <c r="F101" s="7" t="n"/>
      <c r="G101" s="7" t="n"/>
      <c r="H101" s="7" t="n"/>
      <c r="I101" s="7" t="n"/>
      <c r="J101" s="7" t="n"/>
      <c r="K101" s="7" t="n"/>
      <c r="L101" s="7" t="n"/>
      <c r="M101" s="7">
        <f>IF(H101="","",IFERROR(COUNTIF($H$6:$H$115,H101),0))</f>
        <v/>
      </c>
      <c r="N101" s="7">
        <f>IF(I101="","",IFERROR(COUNTIF($I$6:$I$115,I101),0))</f>
        <v/>
      </c>
    </row>
    <row r="102" ht="22" customHeight="1">
      <c r="A102" s="5" t="n"/>
      <c r="B102" s="5" t="n"/>
      <c r="C102" s="5" t="n"/>
      <c r="D102" s="5" t="n"/>
      <c r="E102" s="27">
        <f>IF(OR(C102="",D102=""),"",IFERROR(D102/C102*100,"N/A"))</f>
        <v/>
      </c>
      <c r="F102" s="5" t="n"/>
      <c r="G102" s="5" t="n"/>
      <c r="H102" s="5" t="n"/>
      <c r="I102" s="5" t="n"/>
      <c r="J102" s="5" t="n"/>
      <c r="K102" s="5" t="n"/>
      <c r="L102" s="5" t="n"/>
      <c r="M102" s="5">
        <f>IF(H102="","",IFERROR(COUNTIF($H$6:$H$115,H102),0))</f>
        <v/>
      </c>
      <c r="N102" s="5">
        <f>IF(I102="","",IFERROR(COUNTIF($I$6:$I$115,I102),0))</f>
        <v/>
      </c>
    </row>
    <row r="103" ht="22" customHeight="1">
      <c r="A103" s="7" t="n"/>
      <c r="B103" s="7" t="n"/>
      <c r="C103" s="7" t="n"/>
      <c r="D103" s="7" t="n"/>
      <c r="E103" s="28">
        <f>IF(OR(C103="",D103=""),"",IFERROR(D103/C103*100,"N/A"))</f>
        <v/>
      </c>
      <c r="F103" s="7" t="n"/>
      <c r="G103" s="7" t="n"/>
      <c r="H103" s="7" t="n"/>
      <c r="I103" s="7" t="n"/>
      <c r="J103" s="7" t="n"/>
      <c r="K103" s="7" t="n"/>
      <c r="L103" s="7" t="n"/>
      <c r="M103" s="7">
        <f>IF(H103="","",IFERROR(COUNTIF($H$6:$H$115,H103),0))</f>
        <v/>
      </c>
      <c r="N103" s="7">
        <f>IF(I103="","",IFERROR(COUNTIF($I$6:$I$115,I103),0))</f>
        <v/>
      </c>
    </row>
    <row r="104" ht="22" customHeight="1">
      <c r="A104" s="5" t="n"/>
      <c r="B104" s="5" t="n"/>
      <c r="C104" s="5" t="n"/>
      <c r="D104" s="5" t="n"/>
      <c r="E104" s="27">
        <f>IF(OR(C104="",D104=""),"",IFERROR(D104/C104*100,"N/A"))</f>
        <v/>
      </c>
      <c r="F104" s="5" t="n"/>
      <c r="G104" s="5" t="n"/>
      <c r="H104" s="5" t="n"/>
      <c r="I104" s="5" t="n"/>
      <c r="J104" s="5" t="n"/>
      <c r="K104" s="5" t="n"/>
      <c r="L104" s="5" t="n"/>
      <c r="M104" s="5">
        <f>IF(H104="","",IFERROR(COUNTIF($H$6:$H$115,H104),0))</f>
        <v/>
      </c>
      <c r="N104" s="5">
        <f>IF(I104="","",IFERROR(COUNTIF($I$6:$I$115,I104),0))</f>
        <v/>
      </c>
    </row>
    <row r="105" ht="22" customHeight="1">
      <c r="A105" s="7" t="n"/>
      <c r="B105" s="7" t="n"/>
      <c r="C105" s="7" t="n"/>
      <c r="D105" s="7" t="n"/>
      <c r="E105" s="28">
        <f>IF(OR(C105="",D105=""),"",IFERROR(D105/C105*100,"N/A"))</f>
        <v/>
      </c>
      <c r="F105" s="7" t="n"/>
      <c r="G105" s="7" t="n"/>
      <c r="H105" s="7" t="n"/>
      <c r="I105" s="7" t="n"/>
      <c r="J105" s="7" t="n"/>
      <c r="K105" s="7" t="n"/>
      <c r="L105" s="7" t="n"/>
      <c r="M105" s="7">
        <f>IF(H105="","",IFERROR(COUNTIF($H$6:$H$115,H105),0))</f>
        <v/>
      </c>
      <c r="N105" s="7">
        <f>IF(I105="","",IFERROR(COUNTIF($I$6:$I$115,I105),0))</f>
        <v/>
      </c>
    </row>
    <row r="106" ht="22" customHeight="1">
      <c r="A106" s="5" t="n"/>
      <c r="B106" s="5" t="n"/>
      <c r="C106" s="5" t="n"/>
      <c r="D106" s="5" t="n"/>
      <c r="E106" s="27">
        <f>IF(OR(C106="",D106=""),"",IFERROR(D106/C106*100,"N/A"))</f>
        <v/>
      </c>
      <c r="F106" s="5" t="n"/>
      <c r="G106" s="5" t="n"/>
      <c r="H106" s="5" t="n"/>
      <c r="I106" s="5" t="n"/>
      <c r="J106" s="5" t="n"/>
      <c r="K106" s="5" t="n"/>
      <c r="L106" s="5" t="n"/>
      <c r="M106" s="5">
        <f>IF(H106="","",IFERROR(COUNTIF($H$6:$H$115,H106),0))</f>
        <v/>
      </c>
      <c r="N106" s="5">
        <f>IF(I106="","",IFERROR(COUNTIF($I$6:$I$115,I106),0))</f>
        <v/>
      </c>
    </row>
    <row r="107" ht="22" customHeight="1">
      <c r="A107" s="7" t="n"/>
      <c r="B107" s="7" t="n"/>
      <c r="C107" s="7" t="n"/>
      <c r="D107" s="7" t="n"/>
      <c r="E107" s="28">
        <f>IF(OR(C107="",D107=""),"",IFERROR(D107/C107*100,"N/A"))</f>
        <v/>
      </c>
      <c r="F107" s="7" t="n"/>
      <c r="G107" s="7" t="n"/>
      <c r="H107" s="7" t="n"/>
      <c r="I107" s="7" t="n"/>
      <c r="J107" s="7" t="n"/>
      <c r="K107" s="7" t="n"/>
      <c r="L107" s="7" t="n"/>
      <c r="M107" s="7">
        <f>IF(H107="","",IFERROR(COUNTIF($H$6:$H$115,H107),0))</f>
        <v/>
      </c>
      <c r="N107" s="7">
        <f>IF(I107="","",IFERROR(COUNTIF($I$6:$I$115,I107),0))</f>
        <v/>
      </c>
    </row>
    <row r="108" ht="22" customHeight="1">
      <c r="A108" s="5" t="n"/>
      <c r="B108" s="5" t="n"/>
      <c r="C108" s="5" t="n"/>
      <c r="D108" s="5" t="n"/>
      <c r="E108" s="27">
        <f>IF(OR(C108="",D108=""),"",IFERROR(D108/C108*100,"N/A"))</f>
        <v/>
      </c>
      <c r="F108" s="5" t="n"/>
      <c r="G108" s="5" t="n"/>
      <c r="H108" s="5" t="n"/>
      <c r="I108" s="5" t="n"/>
      <c r="J108" s="5" t="n"/>
      <c r="K108" s="5" t="n"/>
      <c r="L108" s="5" t="n"/>
      <c r="M108" s="5">
        <f>IF(H108="","",IFERROR(COUNTIF($H$6:$H$115,H108),0))</f>
        <v/>
      </c>
      <c r="N108" s="5">
        <f>IF(I108="","",IFERROR(COUNTIF($I$6:$I$115,I108),0))</f>
        <v/>
      </c>
    </row>
    <row r="109" ht="22" customHeight="1">
      <c r="A109" s="7" t="n"/>
      <c r="B109" s="7" t="n"/>
      <c r="C109" s="7" t="n"/>
      <c r="D109" s="7" t="n"/>
      <c r="E109" s="28">
        <f>IF(OR(C109="",D109=""),"",IFERROR(D109/C109*100,"N/A"))</f>
        <v/>
      </c>
      <c r="F109" s="7" t="n"/>
      <c r="G109" s="7" t="n"/>
      <c r="H109" s="7" t="n"/>
      <c r="I109" s="7" t="n"/>
      <c r="J109" s="7" t="n"/>
      <c r="K109" s="7" t="n"/>
      <c r="L109" s="7" t="n"/>
      <c r="M109" s="7">
        <f>IF(H109="","",IFERROR(COUNTIF($H$6:$H$115,H109),0))</f>
        <v/>
      </c>
      <c r="N109" s="7">
        <f>IF(I109="","",IFERROR(COUNTIF($I$6:$I$115,I109),0))</f>
        <v/>
      </c>
    </row>
    <row r="110" ht="22" customHeight="1">
      <c r="A110" s="5" t="n"/>
      <c r="B110" s="5" t="n"/>
      <c r="C110" s="5" t="n"/>
      <c r="D110" s="5" t="n"/>
      <c r="E110" s="27">
        <f>IF(OR(C110="",D110=""),"",IFERROR(D110/C110*100,"N/A"))</f>
        <v/>
      </c>
      <c r="F110" s="5" t="n"/>
      <c r="G110" s="5" t="n"/>
      <c r="H110" s="5" t="n"/>
      <c r="I110" s="5" t="n"/>
      <c r="J110" s="5" t="n"/>
      <c r="K110" s="5" t="n"/>
      <c r="L110" s="5" t="n"/>
      <c r="M110" s="5">
        <f>IF(H110="","",IFERROR(COUNTIF($H$6:$H$115,H110),0))</f>
        <v/>
      </c>
      <c r="N110" s="5">
        <f>IF(I110="","",IFERROR(COUNTIF($I$6:$I$115,I110),0))</f>
        <v/>
      </c>
    </row>
    <row r="111" ht="22" customHeight="1">
      <c r="A111" s="7" t="n"/>
      <c r="B111" s="7" t="n"/>
      <c r="C111" s="7" t="n"/>
      <c r="D111" s="7" t="n"/>
      <c r="E111" s="28">
        <f>IF(OR(C111="",D111=""),"",IFERROR(D111/C111*100,"N/A"))</f>
        <v/>
      </c>
      <c r="F111" s="7" t="n"/>
      <c r="G111" s="7" t="n"/>
      <c r="H111" s="7" t="n"/>
      <c r="I111" s="7" t="n"/>
      <c r="J111" s="7" t="n"/>
      <c r="K111" s="7" t="n"/>
      <c r="L111" s="7" t="n"/>
      <c r="M111" s="7">
        <f>IF(H111="","",IFERROR(COUNTIF($H$6:$H$115,H111),0))</f>
        <v/>
      </c>
      <c r="N111" s="7">
        <f>IF(I111="","",IFERROR(COUNTIF($I$6:$I$115,I111),0))</f>
        <v/>
      </c>
    </row>
    <row r="112" ht="22" customHeight="1">
      <c r="A112" s="5" t="n"/>
      <c r="B112" s="5" t="n"/>
      <c r="C112" s="5" t="n"/>
      <c r="D112" s="5" t="n"/>
      <c r="E112" s="27">
        <f>IF(OR(C112="",D112=""),"",IFERROR(D112/C112*100,"N/A"))</f>
        <v/>
      </c>
      <c r="F112" s="5" t="n"/>
      <c r="G112" s="5" t="n"/>
      <c r="H112" s="5" t="n"/>
      <c r="I112" s="5" t="n"/>
      <c r="J112" s="5" t="n"/>
      <c r="K112" s="5" t="n"/>
      <c r="L112" s="5" t="n"/>
      <c r="M112" s="5">
        <f>IF(H112="","",IFERROR(COUNTIF($H$6:$H$115,H112),0))</f>
        <v/>
      </c>
      <c r="N112" s="5">
        <f>IF(I112="","",IFERROR(COUNTIF($I$6:$I$115,I112),0))</f>
        <v/>
      </c>
    </row>
    <row r="113" ht="22" customHeight="1">
      <c r="A113" s="7" t="n"/>
      <c r="B113" s="7" t="n"/>
      <c r="C113" s="7" t="n"/>
      <c r="D113" s="7" t="n"/>
      <c r="E113" s="28">
        <f>IF(OR(C113="",D113=""),"",IFERROR(D113/C113*100,"N/A"))</f>
        <v/>
      </c>
      <c r="F113" s="7" t="n"/>
      <c r="G113" s="7" t="n"/>
      <c r="H113" s="7" t="n"/>
      <c r="I113" s="7" t="n"/>
      <c r="J113" s="7" t="n"/>
      <c r="K113" s="7" t="n"/>
      <c r="L113" s="7" t="n"/>
      <c r="M113" s="7">
        <f>IF(H113="","",IFERROR(COUNTIF($H$6:$H$115,H113),0))</f>
        <v/>
      </c>
      <c r="N113" s="7">
        <f>IF(I113="","",IFERROR(COUNTIF($I$6:$I$115,I113),0))</f>
        <v/>
      </c>
    </row>
    <row r="114" ht="22" customHeight="1">
      <c r="A114" s="5" t="n"/>
      <c r="B114" s="5" t="n"/>
      <c r="C114" s="5" t="n"/>
      <c r="D114" s="5" t="n"/>
      <c r="E114" s="27">
        <f>IF(OR(C114="",D114=""),"",IFERROR(D114/C114*100,"N/A"))</f>
        <v/>
      </c>
      <c r="F114" s="5" t="n"/>
      <c r="G114" s="5" t="n"/>
      <c r="H114" s="5" t="n"/>
      <c r="I114" s="5" t="n"/>
      <c r="J114" s="5" t="n"/>
      <c r="K114" s="5" t="n"/>
      <c r="L114" s="5" t="n"/>
      <c r="M114" s="5">
        <f>IF(H114="","",IFERROR(COUNTIF($H$6:$H$115,H114),0))</f>
        <v/>
      </c>
      <c r="N114" s="5">
        <f>IF(I114="","",IFERROR(COUNTIF($I$6:$I$115,I114),0))</f>
        <v/>
      </c>
    </row>
    <row r="115" ht="22" customHeight="1">
      <c r="A115" s="7" t="n"/>
      <c r="B115" s="7" t="n"/>
      <c r="C115" s="7" t="n"/>
      <c r="D115" s="7" t="n"/>
      <c r="E115" s="28">
        <f>IF(OR(C115="",D115=""),"",IFERROR(D115/C115*100,"N/A"))</f>
        <v/>
      </c>
      <c r="F115" s="7" t="n"/>
      <c r="G115" s="7" t="n"/>
      <c r="H115" s="7" t="n"/>
      <c r="I115" s="7" t="n"/>
      <c r="J115" s="7" t="n"/>
      <c r="K115" s="7" t="n"/>
      <c r="L115" s="7" t="n"/>
      <c r="M115" s="7">
        <f>IF(H115="","",IFERROR(COUNTIF($H$6:$H$115,H115),0))</f>
        <v/>
      </c>
      <c r="N115" s="7">
        <f>IF(I115="","",IFERROR(COUNTIF($I$6:$I$115,I115),0))</f>
        <v/>
      </c>
    </row>
  </sheetData>
  <mergeCells count="2">
    <mergeCell ref="A3:N3"/>
    <mergeCell ref="A2:N2"/>
  </mergeCells>
  <dataValidations count="3">
    <dataValidation sqref="G6:G115" showDropDown="0" showInputMessage="0" showErrorMessage="0" allowBlank="1" errorTitle="Erreur" error="Valeur invalide" promptTitle="" prompt="Choisir dans la liste: " type="list">
      <formula1>'F02 - _Lists'!$Q$6:$Q$9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_Lists'!$Y$6:$Y$8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_Lists'!$L$6:$L$8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4" customWidth="1" min="4" max="4"/>
    <col width="22" customWidth="1" min="5" max="5"/>
    <col width="16" customWidth="1" min="6" max="6"/>
    <col width="28" customWidth="1" min="7" max="7"/>
    <col width="16" customWidth="1" min="8" max="8"/>
    <col width="16" customWidth="1" min="9" max="9"/>
    <col width="14" customWidth="1" min="10" max="10"/>
    <col width="28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17-MATRICE DES RISQUES FINANCIERS RETRAITES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Risque</t>
        </is>
      </c>
      <c r="B5" s="4" t="inlineStr">
        <is>
          <t>Type Risque</t>
        </is>
      </c>
      <c r="C5" s="4" t="inlineStr">
        <is>
          <t>Description</t>
        </is>
      </c>
      <c r="D5" s="4" t="inlineStr">
        <is>
          <t>Probabilité</t>
        </is>
      </c>
      <c r="E5" s="4" t="inlineStr">
        <is>
          <t>Impact Financier (FCFA)</t>
        </is>
      </c>
      <c r="F5" s="4" t="inlineStr">
        <is>
          <t>Niveau Risque</t>
        </is>
      </c>
      <c r="G5" s="4" t="inlineStr">
        <is>
          <t>Mesure Mitigation</t>
        </is>
      </c>
      <c r="H5" s="4" t="inlineStr">
        <is>
          <t>Responsable</t>
        </is>
      </c>
      <c r="I5" s="4" t="inlineStr">
        <is>
          <t>Date Évaluation</t>
        </is>
      </c>
      <c r="J5" s="4" t="inlineStr">
        <is>
          <t>Statut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RISQ-001</t>
        </is>
      </c>
      <c r="B6" s="5" t="inlineStr">
        <is>
          <t>Risque longévité</t>
        </is>
      </c>
      <c r="C6" s="5" t="inlineStr">
        <is>
          <t>Augmentation espérance de vie au-delà des prévisions</t>
        </is>
      </c>
      <c r="D6" s="5" t="inlineStr">
        <is>
          <t>Élevée</t>
        </is>
      </c>
      <c r="E6" s="22" t="n">
        <v>15000000</v>
      </c>
      <c r="F6" s="5" t="inlineStr">
        <is>
          <t>Critique</t>
        </is>
      </c>
      <c r="G6" s="5" t="inlineStr">
        <is>
          <t>Réserve longévité</t>
        </is>
      </c>
      <c r="H6" s="5" t="inlineStr">
        <is>
          <t>DAF</t>
        </is>
      </c>
      <c r="I6" s="19" t="n">
        <v>45672</v>
      </c>
      <c r="J6" s="5" t="inlineStr">
        <is>
          <t>En cours</t>
        </is>
      </c>
      <c r="K6" s="5" t="inlineStr"/>
      <c r="L6" s="5" t="inlineStr"/>
      <c r="M6" s="5">
        <f>IF(B6="","",IFERROR(COUNTIF($B$6:$B$115,B6),0))</f>
        <v/>
      </c>
      <c r="N6" s="25">
        <f>IF(B6="","",IFERROR(SUMIF($B$6:$B$115,B6,$E$6:$E$115),0))</f>
        <v/>
      </c>
    </row>
    <row r="7" ht="22" customHeight="1">
      <c r="A7" s="7" t="inlineStr">
        <is>
          <t>RISQ-002</t>
        </is>
      </c>
      <c r="B7" s="7" t="inlineStr">
        <is>
          <t>Risque inflation</t>
        </is>
      </c>
      <c r="C7" s="7" t="inlineStr">
        <is>
          <t>Érosion du pouvoir d'achat des pensions</t>
        </is>
      </c>
      <c r="D7" s="7" t="inlineStr">
        <is>
          <t>Modérée</t>
        </is>
      </c>
      <c r="E7" s="24" t="n">
        <v>8000000</v>
      </c>
      <c r="F7" s="7" t="inlineStr">
        <is>
          <t>Élevé</t>
        </is>
      </c>
      <c r="G7" s="7" t="inlineStr">
        <is>
          <t>Indexation automatique</t>
        </is>
      </c>
      <c r="H7" s="7" t="inlineStr">
        <is>
          <t>DRH</t>
        </is>
      </c>
      <c r="I7" s="20" t="n">
        <v>45672</v>
      </c>
      <c r="J7" s="7" t="inlineStr">
        <is>
          <t>En cours</t>
        </is>
      </c>
      <c r="K7" s="7" t="inlineStr"/>
      <c r="L7" s="7" t="inlineStr"/>
      <c r="M7" s="7">
        <f>IF(B7="","",IFERROR(COUNTIF($B$6:$B$115,B7),0))</f>
        <v/>
      </c>
      <c r="N7" s="26">
        <f>IF(B7="","",IFERROR(SUMIF($B$6:$B$115,B7,$E$6:$E$115),0))</f>
        <v/>
      </c>
    </row>
    <row r="8" ht="22" customHeight="1">
      <c r="A8" s="5" t="inlineStr">
        <is>
          <t>RISQ-003</t>
        </is>
      </c>
      <c r="B8" s="5" t="inlineStr">
        <is>
          <t>Risque réglementaire</t>
        </is>
      </c>
      <c r="C8" s="5" t="inlineStr">
        <is>
          <t>Changement législation retraite</t>
        </is>
      </c>
      <c r="D8" s="5" t="inlineStr">
        <is>
          <t>Modérée</t>
        </is>
      </c>
      <c r="E8" s="22" t="n">
        <v>5000000</v>
      </c>
      <c r="F8" s="5" t="inlineStr">
        <is>
          <t>Élevé</t>
        </is>
      </c>
      <c r="G8" s="5" t="inlineStr">
        <is>
          <t>Veille réglementaire</t>
        </is>
      </c>
      <c r="H8" s="5" t="inlineStr">
        <is>
          <t>Juridique</t>
        </is>
      </c>
      <c r="I8" s="19" t="n">
        <v>45689</v>
      </c>
      <c r="J8" s="5" t="inlineStr">
        <is>
          <t>En cours</t>
        </is>
      </c>
      <c r="K8" s="5" t="inlineStr"/>
      <c r="L8" s="5" t="inlineStr"/>
      <c r="M8" s="5">
        <f>IF(B8="","",IFERROR(COUNTIF($B$6:$B$115,B8),0))</f>
        <v/>
      </c>
      <c r="N8" s="25">
        <f>IF(B8="","",IFERROR(SUMIF($B$6:$B$115,B8,$E$6:$E$115),0))</f>
        <v/>
      </c>
    </row>
    <row r="9" ht="22" customHeight="1">
      <c r="A9" s="7" t="inlineStr">
        <is>
          <t>RISQ-004</t>
        </is>
      </c>
      <c r="B9" s="7" t="inlineStr">
        <is>
          <t>Risque de rendement</t>
        </is>
      </c>
      <c r="C9" s="7" t="inlineStr">
        <is>
          <t>Sous-performance des fonds de pension</t>
        </is>
      </c>
      <c r="D9" s="7" t="inlineStr">
        <is>
          <t>Faible</t>
        </is>
      </c>
      <c r="E9" s="24" t="n">
        <v>3000000</v>
      </c>
      <c r="F9" s="7" t="inlineStr">
        <is>
          <t>Modéré</t>
        </is>
      </c>
      <c r="G9" s="7" t="inlineStr">
        <is>
          <t>Diversification placements</t>
        </is>
      </c>
      <c r="H9" s="7" t="inlineStr">
        <is>
          <t>DAF</t>
        </is>
      </c>
      <c r="I9" s="20" t="n">
        <v>45677</v>
      </c>
      <c r="J9" s="7" t="inlineStr">
        <is>
          <t>En cours</t>
        </is>
      </c>
      <c r="K9" s="7" t="inlineStr"/>
      <c r="L9" s="7" t="inlineStr"/>
      <c r="M9" s="7">
        <f>IF(B9="","",IFERROR(COUNTIF($B$6:$B$115,B9),0))</f>
        <v/>
      </c>
      <c r="N9" s="26">
        <f>IF(B9="","",IFERROR(SUMIF($B$6:$B$115,B9,$E$6:$E$115),0))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IF(B10="","",IFERROR(COUNTIF($B$6:$B$115,B10),0))</f>
        <v/>
      </c>
      <c r="N10" s="25">
        <f>IF(B10="","",IFERROR(SUMIF($B$6:$B$115,B10,$E$6:$E$115),0))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IF(B11="","",IFERROR(COUNTIF($B$6:$B$115,B11),0))</f>
        <v/>
      </c>
      <c r="N11" s="26">
        <f>IF(B11="","",IFERROR(SUMIF($B$6:$B$115,B11,$E$6:$E$115),0))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IF(B12="","",IFERROR(COUNTIF($B$6:$B$115,B12),0))</f>
        <v/>
      </c>
      <c r="N12" s="25">
        <f>IF(B12="","",IFERROR(SUMIF($B$6:$B$115,B12,$E$6:$E$115),0))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IF(B13="","",IFERROR(COUNTIF($B$6:$B$115,B13),0))</f>
        <v/>
      </c>
      <c r="N13" s="26">
        <f>IF(B13="","",IFERROR(SUMIF($B$6:$B$115,B13,$E$6:$E$115),0))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IF(B14="","",IFERROR(COUNTIF($B$6:$B$115,B14),0))</f>
        <v/>
      </c>
      <c r="N14" s="25">
        <f>IF(B14="","",IFERROR(SUMIF($B$6:$B$115,B14,$E$6:$E$115),0))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IF(B15="","",IFERROR(COUNTIF($B$6:$B$115,B15),0))</f>
        <v/>
      </c>
      <c r="N15" s="26">
        <f>IF(B15="","",IFERROR(SUMIF($B$6:$B$115,B15,$E$6:$E$115),0))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IF(B16="","",IFERROR(COUNTIF($B$6:$B$115,B16),0))</f>
        <v/>
      </c>
      <c r="N16" s="25">
        <f>IF(B16="","",IFERROR(SUMIF($B$6:$B$115,B16,$E$6:$E$115),0))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IF(B17="","",IFERROR(COUNTIF($B$6:$B$115,B17),0))</f>
        <v/>
      </c>
      <c r="N17" s="26">
        <f>IF(B17="","",IFERROR(SUMIF($B$6:$B$115,B17,$E$6:$E$115),0))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IF(B18="","",IFERROR(COUNTIF($B$6:$B$115,B18),0))</f>
        <v/>
      </c>
      <c r="N18" s="25">
        <f>IF(B18="","",IFERROR(SUMIF($B$6:$B$115,B18,$E$6:$E$115),0))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IF(B19="","",IFERROR(COUNTIF($B$6:$B$115,B19),0))</f>
        <v/>
      </c>
      <c r="N19" s="26">
        <f>IF(B19="","",IFERROR(SUMIF($B$6:$B$115,B19,$E$6:$E$115),0))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IF(B20="","",IFERROR(COUNTIF($B$6:$B$115,B20),0))</f>
        <v/>
      </c>
      <c r="N20" s="25">
        <f>IF(B20="","",IFERROR(SUMIF($B$6:$B$115,B20,$E$6:$E$115),0))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IF(B21="","",IFERROR(COUNTIF($B$6:$B$115,B21),0))</f>
        <v/>
      </c>
      <c r="N21" s="26">
        <f>IF(B21="","",IFERROR(SUMIF($B$6:$B$115,B21,$E$6:$E$115),0))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IF(B22="","",IFERROR(COUNTIF($B$6:$B$115,B22),0))</f>
        <v/>
      </c>
      <c r="N22" s="25">
        <f>IF(B22="","",IFERROR(SUMIF($B$6:$B$115,B22,$E$6:$E$115),0))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IF(B23="","",IFERROR(COUNTIF($B$6:$B$115,B23),0))</f>
        <v/>
      </c>
      <c r="N23" s="26">
        <f>IF(B23="","",IFERROR(SUMIF($B$6:$B$115,B23,$E$6:$E$115),0))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IF(B24="","",IFERROR(COUNTIF($B$6:$B$115,B24),0))</f>
        <v/>
      </c>
      <c r="N24" s="25">
        <f>IF(B24="","",IFERROR(SUMIF($B$6:$B$115,B24,$E$6:$E$115),0))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IF(B25="","",IFERROR(COUNTIF($B$6:$B$115,B25),0))</f>
        <v/>
      </c>
      <c r="N25" s="26">
        <f>IF(B25="","",IFERROR(SUMIF($B$6:$B$115,B25,$E$6:$E$115),0))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IF(B26="","",IFERROR(COUNTIF($B$6:$B$115,B26),0))</f>
        <v/>
      </c>
      <c r="N26" s="25">
        <f>IF(B26="","",IFERROR(SUMIF($B$6:$B$115,B26,$E$6:$E$115),0))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IF(B27="","",IFERROR(COUNTIF($B$6:$B$115,B27),0))</f>
        <v/>
      </c>
      <c r="N27" s="26">
        <f>IF(B27="","",IFERROR(SUMIF($B$6:$B$115,B27,$E$6:$E$115),0))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IF(B28="","",IFERROR(COUNTIF($B$6:$B$115,B28),0))</f>
        <v/>
      </c>
      <c r="N28" s="25">
        <f>IF(B28="","",IFERROR(SUMIF($B$6:$B$115,B28,$E$6:$E$115),0))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IF(B29="","",IFERROR(COUNTIF($B$6:$B$115,B29),0))</f>
        <v/>
      </c>
      <c r="N29" s="26">
        <f>IF(B29="","",IFERROR(SUMIF($B$6:$B$115,B29,$E$6:$E$115),0))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IF(B30="","",IFERROR(COUNTIF($B$6:$B$115,B30),0))</f>
        <v/>
      </c>
      <c r="N30" s="25">
        <f>IF(B30="","",IFERROR(SUMIF($B$6:$B$115,B30,$E$6:$E$115),0))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IF(B31="","",IFERROR(COUNTIF($B$6:$B$115,B31),0))</f>
        <v/>
      </c>
      <c r="N31" s="26">
        <f>IF(B31="","",IFERROR(SUMIF($B$6:$B$115,B31,$E$6:$E$115),0))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IF(B32="","",IFERROR(COUNTIF($B$6:$B$115,B32),0))</f>
        <v/>
      </c>
      <c r="N32" s="25">
        <f>IF(B32="","",IFERROR(SUMIF($B$6:$B$115,B32,$E$6:$E$115),0))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IF(B33="","",IFERROR(COUNTIF($B$6:$B$115,B33),0))</f>
        <v/>
      </c>
      <c r="N33" s="26">
        <f>IF(B33="","",IFERROR(SUMIF($B$6:$B$115,B33,$E$6:$E$115),0))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IF(B34="","",IFERROR(COUNTIF($B$6:$B$115,B34),0))</f>
        <v/>
      </c>
      <c r="N34" s="25">
        <f>IF(B34="","",IFERROR(SUMIF($B$6:$B$115,B34,$E$6:$E$115),0))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IF(B35="","",IFERROR(COUNTIF($B$6:$B$115,B35),0))</f>
        <v/>
      </c>
      <c r="N35" s="26">
        <f>IF(B35="","",IFERROR(SUMIF($B$6:$B$115,B35,$E$6:$E$115),0))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IF(B36="","",IFERROR(COUNTIF($B$6:$B$115,B36),0))</f>
        <v/>
      </c>
      <c r="N36" s="25">
        <f>IF(B36="","",IFERROR(SUMIF($B$6:$B$115,B36,$E$6:$E$115),0))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IF(B37="","",IFERROR(COUNTIF($B$6:$B$115,B37),0))</f>
        <v/>
      </c>
      <c r="N37" s="26">
        <f>IF(B37="","",IFERROR(SUMIF($B$6:$B$115,B37,$E$6:$E$115),0))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IF(B38="","",IFERROR(COUNTIF($B$6:$B$115,B38),0))</f>
        <v/>
      </c>
      <c r="N38" s="25">
        <f>IF(B38="","",IFERROR(SUMIF($B$6:$B$115,B38,$E$6:$E$115),0))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IF(B39="","",IFERROR(COUNTIF($B$6:$B$115,B39),0))</f>
        <v/>
      </c>
      <c r="N39" s="26">
        <f>IF(B39="","",IFERROR(SUMIF($B$6:$B$115,B39,$E$6:$E$115),0))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IF(B40="","",IFERROR(COUNTIF($B$6:$B$115,B40),0))</f>
        <v/>
      </c>
      <c r="N40" s="25">
        <f>IF(B40="","",IFERROR(SUMIF($B$6:$B$115,B40,$E$6:$E$115),0))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IF(B41="","",IFERROR(COUNTIF($B$6:$B$115,B41),0))</f>
        <v/>
      </c>
      <c r="N41" s="26">
        <f>IF(B41="","",IFERROR(SUMIF($B$6:$B$115,B41,$E$6:$E$115),0))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IF(B42="","",IFERROR(COUNTIF($B$6:$B$115,B42),0))</f>
        <v/>
      </c>
      <c r="N42" s="25">
        <f>IF(B42="","",IFERROR(SUMIF($B$6:$B$115,B42,$E$6:$E$115),0))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IF(B43="","",IFERROR(COUNTIF($B$6:$B$115,B43),0))</f>
        <v/>
      </c>
      <c r="N43" s="26">
        <f>IF(B43="","",IFERROR(SUMIF($B$6:$B$115,B43,$E$6:$E$115),0))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IF(B44="","",IFERROR(COUNTIF($B$6:$B$115,B44),0))</f>
        <v/>
      </c>
      <c r="N44" s="25">
        <f>IF(B44="","",IFERROR(SUMIF($B$6:$B$115,B44,$E$6:$E$115),0))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IF(B45="","",IFERROR(COUNTIF($B$6:$B$115,B45),0))</f>
        <v/>
      </c>
      <c r="N45" s="26">
        <f>IF(B45="","",IFERROR(SUMIF($B$6:$B$115,B45,$E$6:$E$115),0))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IF(B46="","",IFERROR(COUNTIF($B$6:$B$115,B46),0))</f>
        <v/>
      </c>
      <c r="N46" s="25">
        <f>IF(B46="","",IFERROR(SUMIF($B$6:$B$115,B46,$E$6:$E$115),0))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IF(B47="","",IFERROR(COUNTIF($B$6:$B$115,B47),0))</f>
        <v/>
      </c>
      <c r="N47" s="26">
        <f>IF(B47="","",IFERROR(SUMIF($B$6:$B$115,B47,$E$6:$E$115),0))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IF(B48="","",IFERROR(COUNTIF($B$6:$B$115,B48),0))</f>
        <v/>
      </c>
      <c r="N48" s="25">
        <f>IF(B48="","",IFERROR(SUMIF($B$6:$B$115,B48,$E$6:$E$115),0))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IF(B49="","",IFERROR(COUNTIF($B$6:$B$115,B49),0))</f>
        <v/>
      </c>
      <c r="N49" s="26">
        <f>IF(B49="","",IFERROR(SUMIF($B$6:$B$115,B49,$E$6:$E$115),0))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IF(B50="","",IFERROR(COUNTIF($B$6:$B$115,B50),0))</f>
        <v/>
      </c>
      <c r="N50" s="25">
        <f>IF(B50="","",IFERROR(SUMIF($B$6:$B$115,B50,$E$6:$E$115),0))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IF(B51="","",IFERROR(COUNTIF($B$6:$B$115,B51),0))</f>
        <v/>
      </c>
      <c r="N51" s="26">
        <f>IF(B51="","",IFERROR(SUMIF($B$6:$B$115,B51,$E$6:$E$115),0))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IF(B52="","",IFERROR(COUNTIF($B$6:$B$115,B52),0))</f>
        <v/>
      </c>
      <c r="N52" s="25">
        <f>IF(B52="","",IFERROR(SUMIF($B$6:$B$115,B52,$E$6:$E$115),0))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IF(B53="","",IFERROR(COUNTIF($B$6:$B$115,B53),0))</f>
        <v/>
      </c>
      <c r="N53" s="26">
        <f>IF(B53="","",IFERROR(SUMIF($B$6:$B$115,B53,$E$6:$E$115),0))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IF(B54="","",IFERROR(COUNTIF($B$6:$B$115,B54),0))</f>
        <v/>
      </c>
      <c r="N54" s="25">
        <f>IF(B54="","",IFERROR(SUMIF($B$6:$B$115,B54,$E$6:$E$115),0))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IF(B55="","",IFERROR(COUNTIF($B$6:$B$115,B55),0))</f>
        <v/>
      </c>
      <c r="N55" s="26">
        <f>IF(B55="","",IFERROR(SUMIF($B$6:$B$115,B55,$E$6:$E$115),0))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IF(B56="","",IFERROR(COUNTIF($B$6:$B$115,B56),0))</f>
        <v/>
      </c>
      <c r="N56" s="25">
        <f>IF(B56="","",IFERROR(SUMIF($B$6:$B$115,B56,$E$6:$E$115),0))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IF(B57="","",IFERROR(COUNTIF($B$6:$B$115,B57),0))</f>
        <v/>
      </c>
      <c r="N57" s="26">
        <f>IF(B57="","",IFERROR(SUMIF($B$6:$B$115,B57,$E$6:$E$115),0))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IF(B58="","",IFERROR(COUNTIF($B$6:$B$115,B58),0))</f>
        <v/>
      </c>
      <c r="N58" s="25">
        <f>IF(B58="","",IFERROR(SUMIF($B$6:$B$115,B58,$E$6:$E$115),0))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IF(B59="","",IFERROR(COUNTIF($B$6:$B$115,B59),0))</f>
        <v/>
      </c>
      <c r="N59" s="26">
        <f>IF(B59="","",IFERROR(SUMIF($B$6:$B$115,B59,$E$6:$E$115),0))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IF(B60="","",IFERROR(COUNTIF($B$6:$B$115,B60),0))</f>
        <v/>
      </c>
      <c r="N60" s="25">
        <f>IF(B60="","",IFERROR(SUMIF($B$6:$B$115,B60,$E$6:$E$115),0))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IF(B61="","",IFERROR(COUNTIF($B$6:$B$115,B61),0))</f>
        <v/>
      </c>
      <c r="N61" s="26">
        <f>IF(B61="","",IFERROR(SUMIF($B$6:$B$115,B61,$E$6:$E$115),0))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IF(B62="","",IFERROR(COUNTIF($B$6:$B$115,B62),0))</f>
        <v/>
      </c>
      <c r="N62" s="25">
        <f>IF(B62="","",IFERROR(SUMIF($B$6:$B$115,B62,$E$6:$E$115),0))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IF(B63="","",IFERROR(COUNTIF($B$6:$B$115,B63),0))</f>
        <v/>
      </c>
      <c r="N63" s="26">
        <f>IF(B63="","",IFERROR(SUMIF($B$6:$B$115,B63,$E$6:$E$115),0))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IF(B64="","",IFERROR(COUNTIF($B$6:$B$115,B64),0))</f>
        <v/>
      </c>
      <c r="N64" s="25">
        <f>IF(B64="","",IFERROR(SUMIF($B$6:$B$115,B64,$E$6:$E$115),0))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IF(B65="","",IFERROR(COUNTIF($B$6:$B$115,B65),0))</f>
        <v/>
      </c>
      <c r="N65" s="26">
        <f>IF(B65="","",IFERROR(SUMIF($B$6:$B$115,B65,$E$6:$E$115),0))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IF(B66="","",IFERROR(COUNTIF($B$6:$B$115,B66),0))</f>
        <v/>
      </c>
      <c r="N66" s="25">
        <f>IF(B66="","",IFERROR(SUMIF($B$6:$B$115,B66,$E$6:$E$115),0))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IF(B67="","",IFERROR(COUNTIF($B$6:$B$115,B67),0))</f>
        <v/>
      </c>
      <c r="N67" s="26">
        <f>IF(B67="","",IFERROR(SUMIF($B$6:$B$115,B67,$E$6:$E$115),0))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IF(B68="","",IFERROR(COUNTIF($B$6:$B$115,B68),0))</f>
        <v/>
      </c>
      <c r="N68" s="25">
        <f>IF(B68="","",IFERROR(SUMIF($B$6:$B$115,B68,$E$6:$E$115),0))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IF(B69="","",IFERROR(COUNTIF($B$6:$B$115,B69),0))</f>
        <v/>
      </c>
      <c r="N69" s="26">
        <f>IF(B69="","",IFERROR(SUMIF($B$6:$B$115,B69,$E$6:$E$115),0))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IF(B70="","",IFERROR(COUNTIF($B$6:$B$115,B70),0))</f>
        <v/>
      </c>
      <c r="N70" s="25">
        <f>IF(B70="","",IFERROR(SUMIF($B$6:$B$115,B70,$E$6:$E$115),0))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IF(B71="","",IFERROR(COUNTIF($B$6:$B$115,B71),0))</f>
        <v/>
      </c>
      <c r="N71" s="26">
        <f>IF(B71="","",IFERROR(SUMIF($B$6:$B$115,B71,$E$6:$E$115),0))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IF(B72="","",IFERROR(COUNTIF($B$6:$B$115,B72),0))</f>
        <v/>
      </c>
      <c r="N72" s="25">
        <f>IF(B72="","",IFERROR(SUMIF($B$6:$B$115,B72,$E$6:$E$115),0))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IF(B73="","",IFERROR(COUNTIF($B$6:$B$115,B73),0))</f>
        <v/>
      </c>
      <c r="N73" s="26">
        <f>IF(B73="","",IFERROR(SUMIF($B$6:$B$115,B73,$E$6:$E$115),0))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IF(B74="","",IFERROR(COUNTIF($B$6:$B$115,B74),0))</f>
        <v/>
      </c>
      <c r="N74" s="25">
        <f>IF(B74="","",IFERROR(SUMIF($B$6:$B$115,B74,$E$6:$E$115),0))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IF(B75="","",IFERROR(COUNTIF($B$6:$B$115,B75),0))</f>
        <v/>
      </c>
      <c r="N75" s="26">
        <f>IF(B75="","",IFERROR(SUMIF($B$6:$B$115,B75,$E$6:$E$115),0))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IF(B76="","",IFERROR(COUNTIF($B$6:$B$115,B76),0))</f>
        <v/>
      </c>
      <c r="N76" s="25">
        <f>IF(B76="","",IFERROR(SUMIF($B$6:$B$115,B76,$E$6:$E$115),0))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IF(B77="","",IFERROR(COUNTIF($B$6:$B$115,B77),0))</f>
        <v/>
      </c>
      <c r="N77" s="26">
        <f>IF(B77="","",IFERROR(SUMIF($B$6:$B$115,B77,$E$6:$E$115),0))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IF(B78="","",IFERROR(COUNTIF($B$6:$B$115,B78),0))</f>
        <v/>
      </c>
      <c r="N78" s="25">
        <f>IF(B78="","",IFERROR(SUMIF($B$6:$B$115,B78,$E$6:$E$115),0))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IF(B79="","",IFERROR(COUNTIF($B$6:$B$115,B79),0))</f>
        <v/>
      </c>
      <c r="N79" s="26">
        <f>IF(B79="","",IFERROR(SUMIF($B$6:$B$115,B79,$E$6:$E$115),0))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IF(B80="","",IFERROR(COUNTIF($B$6:$B$115,B80),0))</f>
        <v/>
      </c>
      <c r="N80" s="25">
        <f>IF(B80="","",IFERROR(SUMIF($B$6:$B$115,B80,$E$6:$E$115),0))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IF(B81="","",IFERROR(COUNTIF($B$6:$B$115,B81),0))</f>
        <v/>
      </c>
      <c r="N81" s="26">
        <f>IF(B81="","",IFERROR(SUMIF($B$6:$B$115,B81,$E$6:$E$115),0))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IF(B82="","",IFERROR(COUNTIF($B$6:$B$115,B82),0))</f>
        <v/>
      </c>
      <c r="N82" s="25">
        <f>IF(B82="","",IFERROR(SUMIF($B$6:$B$115,B82,$E$6:$E$115),0))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IF(B83="","",IFERROR(COUNTIF($B$6:$B$115,B83),0))</f>
        <v/>
      </c>
      <c r="N83" s="26">
        <f>IF(B83="","",IFERROR(SUMIF($B$6:$B$115,B83,$E$6:$E$115),0))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IF(B84="","",IFERROR(COUNTIF($B$6:$B$115,B84),0))</f>
        <v/>
      </c>
      <c r="N84" s="25">
        <f>IF(B84="","",IFERROR(SUMIF($B$6:$B$115,B84,$E$6:$E$115),0))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IF(B85="","",IFERROR(COUNTIF($B$6:$B$115,B85),0))</f>
        <v/>
      </c>
      <c r="N85" s="26">
        <f>IF(B85="","",IFERROR(SUMIF($B$6:$B$115,B85,$E$6:$E$115),0))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IF(B86="","",IFERROR(COUNTIF($B$6:$B$115,B86),0))</f>
        <v/>
      </c>
      <c r="N86" s="25">
        <f>IF(B86="","",IFERROR(SUMIF($B$6:$B$115,B86,$E$6:$E$115),0))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IF(B87="","",IFERROR(COUNTIF($B$6:$B$115,B87),0))</f>
        <v/>
      </c>
      <c r="N87" s="26">
        <f>IF(B87="","",IFERROR(SUMIF($B$6:$B$115,B87,$E$6:$E$115),0))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IF(B88="","",IFERROR(COUNTIF($B$6:$B$115,B88),0))</f>
        <v/>
      </c>
      <c r="N88" s="25">
        <f>IF(B88="","",IFERROR(SUMIF($B$6:$B$115,B88,$E$6:$E$115),0))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IF(B89="","",IFERROR(COUNTIF($B$6:$B$115,B89),0))</f>
        <v/>
      </c>
      <c r="N89" s="26">
        <f>IF(B89="","",IFERROR(SUMIF($B$6:$B$115,B89,$E$6:$E$115),0))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IF(B90="","",IFERROR(COUNTIF($B$6:$B$115,B90),0))</f>
        <v/>
      </c>
      <c r="N90" s="25">
        <f>IF(B90="","",IFERROR(SUMIF($B$6:$B$115,B90,$E$6:$E$115),0))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IF(B91="","",IFERROR(COUNTIF($B$6:$B$115,B91),0))</f>
        <v/>
      </c>
      <c r="N91" s="26">
        <f>IF(B91="","",IFERROR(SUMIF($B$6:$B$115,B91,$E$6:$E$115),0))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IF(B92="","",IFERROR(COUNTIF($B$6:$B$115,B92),0))</f>
        <v/>
      </c>
      <c r="N92" s="25">
        <f>IF(B92="","",IFERROR(SUMIF($B$6:$B$115,B92,$E$6:$E$115),0))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IF(B93="","",IFERROR(COUNTIF($B$6:$B$115,B93),0))</f>
        <v/>
      </c>
      <c r="N93" s="26">
        <f>IF(B93="","",IFERROR(SUMIF($B$6:$B$115,B93,$E$6:$E$115),0))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IF(B94="","",IFERROR(COUNTIF($B$6:$B$115,B94),0))</f>
        <v/>
      </c>
      <c r="N94" s="25">
        <f>IF(B94="","",IFERROR(SUMIF($B$6:$B$115,B94,$E$6:$E$115),0))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IF(B95="","",IFERROR(COUNTIF($B$6:$B$115,B95),0))</f>
        <v/>
      </c>
      <c r="N95" s="26">
        <f>IF(B95="","",IFERROR(SUMIF($B$6:$B$115,B95,$E$6:$E$115),0))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IF(B96="","",IFERROR(COUNTIF($B$6:$B$115,B96),0))</f>
        <v/>
      </c>
      <c r="N96" s="25">
        <f>IF(B96="","",IFERROR(SUMIF($B$6:$B$115,B96,$E$6:$E$115),0))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IF(B97="","",IFERROR(COUNTIF($B$6:$B$115,B97),0))</f>
        <v/>
      </c>
      <c r="N97" s="26">
        <f>IF(B97="","",IFERROR(SUMIF($B$6:$B$115,B97,$E$6:$E$115),0))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IF(B98="","",IFERROR(COUNTIF($B$6:$B$115,B98),0))</f>
        <v/>
      </c>
      <c r="N98" s="25">
        <f>IF(B98="","",IFERROR(SUMIF($B$6:$B$115,B98,$E$6:$E$115),0))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IF(B99="","",IFERROR(COUNTIF($B$6:$B$115,B99),0))</f>
        <v/>
      </c>
      <c r="N99" s="26">
        <f>IF(B99="","",IFERROR(SUMIF($B$6:$B$115,B99,$E$6:$E$115),0))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IF(B100="","",IFERROR(COUNTIF($B$6:$B$115,B100),0))</f>
        <v/>
      </c>
      <c r="N100" s="25">
        <f>IF(B100="","",IFERROR(SUMIF($B$6:$B$115,B100,$E$6:$E$115),0))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IF(B101="","",IFERROR(COUNTIF($B$6:$B$115,B101),0))</f>
        <v/>
      </c>
      <c r="N101" s="26">
        <f>IF(B101="","",IFERROR(SUMIF($B$6:$B$115,B101,$E$6:$E$115),0))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IF(B102="","",IFERROR(COUNTIF($B$6:$B$115,B102),0))</f>
        <v/>
      </c>
      <c r="N102" s="25">
        <f>IF(B102="","",IFERROR(SUMIF($B$6:$B$115,B102,$E$6:$E$115),0))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IF(B103="","",IFERROR(COUNTIF($B$6:$B$115,B103),0))</f>
        <v/>
      </c>
      <c r="N103" s="26">
        <f>IF(B103="","",IFERROR(SUMIF($B$6:$B$115,B103,$E$6:$E$115),0))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IF(B104="","",IFERROR(COUNTIF($B$6:$B$115,B104),0))</f>
        <v/>
      </c>
      <c r="N104" s="25">
        <f>IF(B104="","",IFERROR(SUMIF($B$6:$B$115,B104,$E$6:$E$115),0))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IF(B105="","",IFERROR(COUNTIF($B$6:$B$115,B105),0))</f>
        <v/>
      </c>
      <c r="N105" s="26">
        <f>IF(B105="","",IFERROR(SUMIF($B$6:$B$115,B105,$E$6:$E$115),0))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IF(B106="","",IFERROR(COUNTIF($B$6:$B$115,B106),0))</f>
        <v/>
      </c>
      <c r="N106" s="25">
        <f>IF(B106="","",IFERROR(SUMIF($B$6:$B$115,B106,$E$6:$E$115),0))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IF(B107="","",IFERROR(COUNTIF($B$6:$B$115,B107),0))</f>
        <v/>
      </c>
      <c r="N107" s="26">
        <f>IF(B107="","",IFERROR(SUMIF($B$6:$B$115,B107,$E$6:$E$115),0))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IF(B108="","",IFERROR(COUNTIF($B$6:$B$115,B108),0))</f>
        <v/>
      </c>
      <c r="N108" s="25">
        <f>IF(B108="","",IFERROR(SUMIF($B$6:$B$115,B108,$E$6:$E$115),0))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IF(B109="","",IFERROR(COUNTIF($B$6:$B$115,B109),0))</f>
        <v/>
      </c>
      <c r="N109" s="26">
        <f>IF(B109="","",IFERROR(SUMIF($B$6:$B$115,B109,$E$6:$E$115),0))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IF(B110="","",IFERROR(COUNTIF($B$6:$B$115,B110),0))</f>
        <v/>
      </c>
      <c r="N110" s="25">
        <f>IF(B110="","",IFERROR(SUMIF($B$6:$B$115,B110,$E$6:$E$115),0))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IF(B111="","",IFERROR(COUNTIF($B$6:$B$115,B111),0))</f>
        <v/>
      </c>
      <c r="N111" s="26">
        <f>IF(B111="","",IFERROR(SUMIF($B$6:$B$115,B111,$E$6:$E$115),0))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IF(B112="","",IFERROR(COUNTIF($B$6:$B$115,B112),0))</f>
        <v/>
      </c>
      <c r="N112" s="25">
        <f>IF(B112="","",IFERROR(SUMIF($B$6:$B$115,B112,$E$6:$E$115),0))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IF(B113="","",IFERROR(COUNTIF($B$6:$B$115,B113),0))</f>
        <v/>
      </c>
      <c r="N113" s="26">
        <f>IF(B113="","",IFERROR(SUMIF($B$6:$B$115,B113,$E$6:$E$115),0))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IF(B114="","",IFERROR(COUNTIF($B$6:$B$115,B114),0))</f>
        <v/>
      </c>
      <c r="N114" s="25">
        <f>IF(B114="","",IFERROR(SUMIF($B$6:$B$115,B114,$E$6:$E$115),0))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IF(B115="","",IFERROR(COUNTIF($B$6:$B$115,B115),0))</f>
        <v/>
      </c>
      <c r="N115" s="26">
        <f>IF(B115="","",IFERROR(SUMIF($B$6:$B$115,B115,$E$6:$E$115),0))</f>
        <v/>
      </c>
    </row>
  </sheetData>
  <mergeCells count="2">
    <mergeCell ref="A3:N3"/>
    <mergeCell ref="A2:N2"/>
  </mergeCells>
  <dataValidations count="4">
    <dataValidation sqref="B6:B115" showDropDown="0" showInputMessage="0" showErrorMessage="0" allowBlank="1" errorTitle="Erreur" error="Valeur invalide" promptTitle="" prompt="Choisir dans la liste: " type="list">
      <formula1>'F02 - _Lists'!$X$6:$X$11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_Lists'!$L$6:$L$8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_Lists'!$L$6:$L$8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20" customWidth="1" min="4" max="4"/>
    <col width="22" customWidth="1" min="5" max="5"/>
    <col width="24" customWidth="1" min="6" max="6"/>
    <col width="16" customWidth="1" min="7" max="7"/>
    <col width="18" customWidth="1" min="8" max="8"/>
    <col width="24" customWidth="1" min="9" max="9"/>
    <col width="28" customWidth="1" min="10" max="10"/>
    <col width="16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18-CONFORMITÉ RÉGLEMENTAIRE RETRAITES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Exigence</t>
        </is>
      </c>
      <c r="B5" s="4" t="inlineStr">
        <is>
          <t>Référence Normative</t>
        </is>
      </c>
      <c r="C5" s="4" t="inlineStr">
        <is>
          <t>Exigence</t>
        </is>
      </c>
      <c r="D5" s="4" t="inlineStr">
        <is>
          <t>Domaine Concerne</t>
        </is>
      </c>
      <c r="E5" s="4" t="inlineStr">
        <is>
          <t>Statut Conformité</t>
        </is>
      </c>
      <c r="F5" s="4" t="inlineStr">
        <is>
          <t>Preuve</t>
        </is>
      </c>
      <c r="G5" s="4" t="inlineStr">
        <is>
          <t>Date Vérification</t>
        </is>
      </c>
      <c r="H5" s="4" t="inlineStr">
        <is>
          <t>Vérificateur</t>
        </is>
      </c>
      <c r="I5" s="4" t="inlineStr">
        <is>
          <t>Écart Identifié</t>
        </is>
      </c>
      <c r="J5" s="4" t="inlineStr">
        <is>
          <t>Action Corrective</t>
        </is>
      </c>
      <c r="K5" s="4" t="inlineStr">
        <is>
          <t>Délai Correction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EXIG-001</t>
        </is>
      </c>
      <c r="B6" s="5" t="inlineStr">
        <is>
          <t>Art. 52 Code CI SS</t>
        </is>
      </c>
      <c r="C6" s="5" t="inlineStr">
        <is>
          <t>Déclaration CNPS avant départ</t>
        </is>
      </c>
      <c r="D6" s="5" t="inlineStr">
        <is>
          <t>Dossiers Retraites</t>
        </is>
      </c>
      <c r="E6" s="5" t="inlineStr">
        <is>
          <t>Conforme</t>
        </is>
      </c>
      <c r="F6" s="5" t="inlineStr">
        <is>
          <t>Attestation CNPS</t>
        </is>
      </c>
      <c r="G6" s="19" t="n">
        <v>45672</v>
      </c>
      <c r="H6" s="5" t="inlineStr">
        <is>
          <t>Resp. Retraites</t>
        </is>
      </c>
      <c r="I6" s="5" t="inlineStr">
        <is>
          <t>Aucun</t>
        </is>
      </c>
      <c r="J6" s="5" t="inlineStr">
        <is>
          <t>Aucune</t>
        </is>
      </c>
      <c r="K6" s="5" t="inlineStr">
        <is>
          <t>N/A</t>
        </is>
      </c>
      <c r="L6" s="5" t="inlineStr"/>
      <c r="M6" s="5">
        <f>IF(E6="","",IFERROR(COUNTIF($E$6:$E$115,E6),0))</f>
        <v/>
      </c>
      <c r="N6" s="5">
        <f>IF(E6="","",IF(AND(E6="Conforme",J6="Aucune"),"OK","ACTION REQUISE"))</f>
        <v/>
      </c>
    </row>
    <row r="7" ht="22" customHeight="1">
      <c r="A7" s="7" t="inlineStr">
        <is>
          <t>EXIG-002</t>
        </is>
      </c>
      <c r="B7" s="7" t="inlineStr">
        <is>
          <t>ISO 30401:2018 §7.4</t>
        </is>
      </c>
      <c r="C7" s="7" t="inlineStr">
        <is>
          <t>Documentation processus retraite</t>
        </is>
      </c>
      <c r="D7" s="7" t="inlineStr">
        <is>
          <t>Processus</t>
        </is>
      </c>
      <c r="E7" s="7" t="inlineStr">
        <is>
          <t>Partiellement conforme</t>
        </is>
      </c>
      <c r="F7" s="7" t="inlineStr">
        <is>
          <t>Procédure incomplète</t>
        </is>
      </c>
      <c r="G7" s="20" t="n">
        <v>45689</v>
      </c>
      <c r="H7" s="7" t="inlineStr">
        <is>
          <t>Qualité</t>
        </is>
      </c>
      <c r="I7" s="7" t="inlineStr">
        <is>
          <t>Procédure obsolète</t>
        </is>
      </c>
      <c r="J7" s="7" t="inlineStr">
        <is>
          <t>Mise à jour procédure</t>
        </is>
      </c>
      <c r="K7" s="7" t="inlineStr">
        <is>
          <t>2025-06-30</t>
        </is>
      </c>
      <c r="L7" s="7" t="inlineStr"/>
      <c r="M7" s="7">
        <f>IF(E7="","",IFERROR(COUNTIF($E$6:$E$115,E7),0))</f>
        <v/>
      </c>
      <c r="N7" s="7">
        <f>IF(E7="","",IF(AND(E7="Conforme",J7="Aucune"),"OK","ACTION REQUISE"))</f>
        <v/>
      </c>
    </row>
    <row r="8" ht="22" customHeight="1">
      <c r="A8" s="5" t="inlineStr">
        <is>
          <t>EXIG-003</t>
        </is>
      </c>
      <c r="B8" s="5" t="inlineStr">
        <is>
          <t>Conv. Cotonou Art. 12</t>
        </is>
      </c>
      <c r="C8" s="5" t="inlineStr">
        <is>
          <t>Totalisation des périodes</t>
        </is>
      </c>
      <c r="D8" s="5" t="inlineStr">
        <is>
          <t>Prévoyance</t>
        </is>
      </c>
      <c r="E8" s="5" t="inlineStr">
        <is>
          <t>Conforme</t>
        </is>
      </c>
      <c r="F8" s="5" t="inlineStr">
        <is>
          <t>Attestation totalisation</t>
        </is>
      </c>
      <c r="G8" s="19" t="n">
        <v>45677</v>
      </c>
      <c r="H8" s="5" t="inlineStr">
        <is>
          <t>Juridique</t>
        </is>
      </c>
      <c r="I8" s="5" t="inlineStr">
        <is>
          <t>Aucun</t>
        </is>
      </c>
      <c r="J8" s="5" t="inlineStr">
        <is>
          <t>Aucune</t>
        </is>
      </c>
      <c r="K8" s="5" t="inlineStr">
        <is>
          <t>N/A</t>
        </is>
      </c>
      <c r="L8" s="5" t="inlineStr"/>
      <c r="M8" s="5">
        <f>IF(E8="","",IFERROR(COUNTIF($E$6:$E$115,E8),0))</f>
        <v/>
      </c>
      <c r="N8" s="5">
        <f>IF(E8="","",IF(AND(E8="Conforme",J8="Aucune"),"OK","ACTION REQUISE"))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>
        <f>IF(E9="","",IFERROR(COUNTIF($E$6:$E$115,E9),0))</f>
        <v/>
      </c>
      <c r="N9" s="7">
        <f>IF(E9="","",IF(AND(E9="Conforme",J9="Aucune"),"OK","ACTION REQUISE"))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IF(E10="","",IFERROR(COUNTIF($E$6:$E$115,E10),0))</f>
        <v/>
      </c>
      <c r="N10" s="5">
        <f>IF(E10="","",IF(AND(E10="Conforme",J10="Aucune"),"OK","ACTION REQUISE"))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IF(E11="","",IFERROR(COUNTIF($E$6:$E$115,E11),0))</f>
        <v/>
      </c>
      <c r="N11" s="7">
        <f>IF(E11="","",IF(AND(E11="Conforme",J11="Aucune"),"OK","ACTION REQUISE"))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IF(E12="","",IFERROR(COUNTIF($E$6:$E$115,E12),0))</f>
        <v/>
      </c>
      <c r="N12" s="5">
        <f>IF(E12="","",IF(AND(E12="Conforme",J12="Aucune"),"OK","ACTION REQUISE"))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IF(E13="","",IFERROR(COUNTIF($E$6:$E$115,E13),0))</f>
        <v/>
      </c>
      <c r="N13" s="7">
        <f>IF(E13="","",IF(AND(E13="Conforme",J13="Aucune"),"OK","ACTION REQUISE"))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IF(E14="","",IFERROR(COUNTIF($E$6:$E$115,E14),0))</f>
        <v/>
      </c>
      <c r="N14" s="5">
        <f>IF(E14="","",IF(AND(E14="Conforme",J14="Aucune"),"OK","ACTION REQUISE"))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IF(E15="","",IFERROR(COUNTIF($E$6:$E$115,E15),0))</f>
        <v/>
      </c>
      <c r="N15" s="7">
        <f>IF(E15="","",IF(AND(E15="Conforme",J15="Aucune"),"OK","ACTION REQUISE"))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IF(E16="","",IFERROR(COUNTIF($E$6:$E$115,E16),0))</f>
        <v/>
      </c>
      <c r="N16" s="5">
        <f>IF(E16="","",IF(AND(E16="Conforme",J16="Aucune"),"OK","ACTION REQUISE"))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IF(E17="","",IFERROR(COUNTIF($E$6:$E$115,E17),0))</f>
        <v/>
      </c>
      <c r="N17" s="7">
        <f>IF(E17="","",IF(AND(E17="Conforme",J17="Aucune"),"OK","ACTION REQUISE"))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IF(E18="","",IFERROR(COUNTIF($E$6:$E$115,E18),0))</f>
        <v/>
      </c>
      <c r="N18" s="5">
        <f>IF(E18="","",IF(AND(E18="Conforme",J18="Aucune"),"OK","ACTION REQUISE"))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IF(E19="","",IFERROR(COUNTIF($E$6:$E$115,E19),0))</f>
        <v/>
      </c>
      <c r="N19" s="7">
        <f>IF(E19="","",IF(AND(E19="Conforme",J19="Aucune"),"OK","ACTION REQUISE"))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IF(E20="","",IFERROR(COUNTIF($E$6:$E$115,E20),0))</f>
        <v/>
      </c>
      <c r="N20" s="5">
        <f>IF(E20="","",IF(AND(E20="Conforme",J20="Aucune"),"OK","ACTION REQUISE"))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IF(E21="","",IFERROR(COUNTIF($E$6:$E$115,E21),0))</f>
        <v/>
      </c>
      <c r="N21" s="7">
        <f>IF(E21="","",IF(AND(E21="Conforme",J21="Aucune"),"OK","ACTION REQUISE"))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IF(E22="","",IFERROR(COUNTIF($E$6:$E$115,E22),0))</f>
        <v/>
      </c>
      <c r="N22" s="5">
        <f>IF(E22="","",IF(AND(E22="Conforme",J22="Aucune"),"OK","ACTION REQUISE"))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IF(E23="","",IFERROR(COUNTIF($E$6:$E$115,E23),0))</f>
        <v/>
      </c>
      <c r="N23" s="7">
        <f>IF(E23="","",IF(AND(E23="Conforme",J23="Aucune"),"OK","ACTION REQUISE"))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IF(E24="","",IFERROR(COUNTIF($E$6:$E$115,E24),0))</f>
        <v/>
      </c>
      <c r="N24" s="5">
        <f>IF(E24="","",IF(AND(E24="Conforme",J24="Aucune"),"OK","ACTION REQUISE"))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IF(E25="","",IFERROR(COUNTIF($E$6:$E$115,E25),0))</f>
        <v/>
      </c>
      <c r="N25" s="7">
        <f>IF(E25="","",IF(AND(E25="Conforme",J25="Aucune"),"OK","ACTION REQUISE"))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IF(E26="","",IFERROR(COUNTIF($E$6:$E$115,E26),0))</f>
        <v/>
      </c>
      <c r="N26" s="5">
        <f>IF(E26="","",IF(AND(E26="Conforme",J26="Aucune"),"OK","ACTION REQUISE"))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IF(E27="","",IFERROR(COUNTIF($E$6:$E$115,E27),0))</f>
        <v/>
      </c>
      <c r="N27" s="7">
        <f>IF(E27="","",IF(AND(E27="Conforme",J27="Aucune"),"OK","ACTION REQUISE"))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IF(E28="","",IFERROR(COUNTIF($E$6:$E$115,E28),0))</f>
        <v/>
      </c>
      <c r="N28" s="5">
        <f>IF(E28="","",IF(AND(E28="Conforme",J28="Aucune"),"OK","ACTION REQUISE"))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IF(E29="","",IFERROR(COUNTIF($E$6:$E$115,E29),0))</f>
        <v/>
      </c>
      <c r="N29" s="7">
        <f>IF(E29="","",IF(AND(E29="Conforme",J29="Aucune"),"OK","ACTION REQUISE"))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IF(E30="","",IFERROR(COUNTIF($E$6:$E$115,E30),0))</f>
        <v/>
      </c>
      <c r="N30" s="5">
        <f>IF(E30="","",IF(AND(E30="Conforme",J30="Aucune"),"OK","ACTION REQUISE"))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IF(E31="","",IFERROR(COUNTIF($E$6:$E$115,E31),0))</f>
        <v/>
      </c>
      <c r="N31" s="7">
        <f>IF(E31="","",IF(AND(E31="Conforme",J31="Aucune"),"OK","ACTION REQUISE"))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IF(E32="","",IFERROR(COUNTIF($E$6:$E$115,E32),0))</f>
        <v/>
      </c>
      <c r="N32" s="5">
        <f>IF(E32="","",IF(AND(E32="Conforme",J32="Aucune"),"OK","ACTION REQUISE"))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IF(E33="","",IFERROR(COUNTIF($E$6:$E$115,E33),0))</f>
        <v/>
      </c>
      <c r="N33" s="7">
        <f>IF(E33="","",IF(AND(E33="Conforme",J33="Aucune"),"OK","ACTION REQUISE"))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IF(E34="","",IFERROR(COUNTIF($E$6:$E$115,E34),0))</f>
        <v/>
      </c>
      <c r="N34" s="5">
        <f>IF(E34="","",IF(AND(E34="Conforme",J34="Aucune"),"OK","ACTION REQUISE"))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IF(E35="","",IFERROR(COUNTIF($E$6:$E$115,E35),0))</f>
        <v/>
      </c>
      <c r="N35" s="7">
        <f>IF(E35="","",IF(AND(E35="Conforme",J35="Aucune"),"OK","ACTION REQUISE"))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IF(E36="","",IFERROR(COUNTIF($E$6:$E$115,E36),0))</f>
        <v/>
      </c>
      <c r="N36" s="5">
        <f>IF(E36="","",IF(AND(E36="Conforme",J36="Aucune"),"OK","ACTION REQUISE"))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IF(E37="","",IFERROR(COUNTIF($E$6:$E$115,E37),0))</f>
        <v/>
      </c>
      <c r="N37" s="7">
        <f>IF(E37="","",IF(AND(E37="Conforme",J37="Aucune"),"OK","ACTION REQUISE"))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IF(E38="","",IFERROR(COUNTIF($E$6:$E$115,E38),0))</f>
        <v/>
      </c>
      <c r="N38" s="5">
        <f>IF(E38="","",IF(AND(E38="Conforme",J38="Aucune"),"OK","ACTION REQUISE"))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IF(E39="","",IFERROR(COUNTIF($E$6:$E$115,E39),0))</f>
        <v/>
      </c>
      <c r="N39" s="7">
        <f>IF(E39="","",IF(AND(E39="Conforme",J39="Aucune"),"OK","ACTION REQUISE"))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IF(E40="","",IFERROR(COUNTIF($E$6:$E$115,E40),0))</f>
        <v/>
      </c>
      <c r="N40" s="5">
        <f>IF(E40="","",IF(AND(E40="Conforme",J40="Aucune"),"OK","ACTION REQUISE"))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IF(E41="","",IFERROR(COUNTIF($E$6:$E$115,E41),0))</f>
        <v/>
      </c>
      <c r="N41" s="7">
        <f>IF(E41="","",IF(AND(E41="Conforme",J41="Aucune"),"OK","ACTION REQUISE"))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IF(E42="","",IFERROR(COUNTIF($E$6:$E$115,E42),0))</f>
        <v/>
      </c>
      <c r="N42" s="5">
        <f>IF(E42="","",IF(AND(E42="Conforme",J42="Aucune"),"OK","ACTION REQUISE"))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IF(E43="","",IFERROR(COUNTIF($E$6:$E$115,E43),0))</f>
        <v/>
      </c>
      <c r="N43" s="7">
        <f>IF(E43="","",IF(AND(E43="Conforme",J43="Aucune"),"OK","ACTION REQUISE"))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IF(E44="","",IFERROR(COUNTIF($E$6:$E$115,E44),0))</f>
        <v/>
      </c>
      <c r="N44" s="5">
        <f>IF(E44="","",IF(AND(E44="Conforme",J44="Aucune"),"OK","ACTION REQUISE"))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IF(E45="","",IFERROR(COUNTIF($E$6:$E$115,E45),0))</f>
        <v/>
      </c>
      <c r="N45" s="7">
        <f>IF(E45="","",IF(AND(E45="Conforme",J45="Aucune"),"OK","ACTION REQUISE"))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IF(E46="","",IFERROR(COUNTIF($E$6:$E$115,E46),0))</f>
        <v/>
      </c>
      <c r="N46" s="5">
        <f>IF(E46="","",IF(AND(E46="Conforme",J46="Aucune"),"OK","ACTION REQUISE"))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IF(E47="","",IFERROR(COUNTIF($E$6:$E$115,E47),0))</f>
        <v/>
      </c>
      <c r="N47" s="7">
        <f>IF(E47="","",IF(AND(E47="Conforme",J47="Aucune"),"OK","ACTION REQUISE"))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IF(E48="","",IFERROR(COUNTIF($E$6:$E$115,E48),0))</f>
        <v/>
      </c>
      <c r="N48" s="5">
        <f>IF(E48="","",IF(AND(E48="Conforme",J48="Aucune"),"OK","ACTION REQUISE"))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IF(E49="","",IFERROR(COUNTIF($E$6:$E$115,E49),0))</f>
        <v/>
      </c>
      <c r="N49" s="7">
        <f>IF(E49="","",IF(AND(E49="Conforme",J49="Aucune"),"OK","ACTION REQUISE"))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IF(E50="","",IFERROR(COUNTIF($E$6:$E$115,E50),0))</f>
        <v/>
      </c>
      <c r="N50" s="5">
        <f>IF(E50="","",IF(AND(E50="Conforme",J50="Aucune"),"OK","ACTION REQUISE"))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IF(E51="","",IFERROR(COUNTIF($E$6:$E$115,E51),0))</f>
        <v/>
      </c>
      <c r="N51" s="7">
        <f>IF(E51="","",IF(AND(E51="Conforme",J51="Aucune"),"OK","ACTION REQUISE"))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IF(E52="","",IFERROR(COUNTIF($E$6:$E$115,E52),0))</f>
        <v/>
      </c>
      <c r="N52" s="5">
        <f>IF(E52="","",IF(AND(E52="Conforme",J52="Aucune"),"OK","ACTION REQUISE"))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IF(E53="","",IFERROR(COUNTIF($E$6:$E$115,E53),0))</f>
        <v/>
      </c>
      <c r="N53" s="7">
        <f>IF(E53="","",IF(AND(E53="Conforme",J53="Aucune"),"OK","ACTION REQUISE"))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IF(E54="","",IFERROR(COUNTIF($E$6:$E$115,E54),0))</f>
        <v/>
      </c>
      <c r="N54" s="5">
        <f>IF(E54="","",IF(AND(E54="Conforme",J54="Aucune"),"OK","ACTION REQUISE"))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IF(E55="","",IFERROR(COUNTIF($E$6:$E$115,E55),0))</f>
        <v/>
      </c>
      <c r="N55" s="7">
        <f>IF(E55="","",IF(AND(E55="Conforme",J55="Aucune"),"OK","ACTION REQUISE"))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IF(E56="","",IFERROR(COUNTIF($E$6:$E$115,E56),0))</f>
        <v/>
      </c>
      <c r="N56" s="5">
        <f>IF(E56="","",IF(AND(E56="Conforme",J56="Aucune"),"OK","ACTION REQUISE"))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IF(E57="","",IFERROR(COUNTIF($E$6:$E$115,E57),0))</f>
        <v/>
      </c>
      <c r="N57" s="7">
        <f>IF(E57="","",IF(AND(E57="Conforme",J57="Aucune"),"OK","ACTION REQUISE"))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IF(E58="","",IFERROR(COUNTIF($E$6:$E$115,E58),0))</f>
        <v/>
      </c>
      <c r="N58" s="5">
        <f>IF(E58="","",IF(AND(E58="Conforme",J58="Aucune"),"OK","ACTION REQUISE"))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IF(E59="","",IFERROR(COUNTIF($E$6:$E$115,E59),0))</f>
        <v/>
      </c>
      <c r="N59" s="7">
        <f>IF(E59="","",IF(AND(E59="Conforme",J59="Aucune"),"OK","ACTION REQUISE"))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IF(E60="","",IFERROR(COUNTIF($E$6:$E$115,E60),0))</f>
        <v/>
      </c>
      <c r="N60" s="5">
        <f>IF(E60="","",IF(AND(E60="Conforme",J60="Aucune"),"OK","ACTION REQUISE"))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IF(E61="","",IFERROR(COUNTIF($E$6:$E$115,E61),0))</f>
        <v/>
      </c>
      <c r="N61" s="7">
        <f>IF(E61="","",IF(AND(E61="Conforme",J61="Aucune"),"OK","ACTION REQUISE"))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IF(E62="","",IFERROR(COUNTIF($E$6:$E$115,E62),0))</f>
        <v/>
      </c>
      <c r="N62" s="5">
        <f>IF(E62="","",IF(AND(E62="Conforme",J62="Aucune"),"OK","ACTION REQUISE"))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IF(E63="","",IFERROR(COUNTIF($E$6:$E$115,E63),0))</f>
        <v/>
      </c>
      <c r="N63" s="7">
        <f>IF(E63="","",IF(AND(E63="Conforme",J63="Aucune"),"OK","ACTION REQUISE"))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IF(E64="","",IFERROR(COUNTIF($E$6:$E$115,E64),0))</f>
        <v/>
      </c>
      <c r="N64" s="5">
        <f>IF(E64="","",IF(AND(E64="Conforme",J64="Aucune"),"OK","ACTION REQUISE"))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IF(E65="","",IFERROR(COUNTIF($E$6:$E$115,E65),0))</f>
        <v/>
      </c>
      <c r="N65" s="7">
        <f>IF(E65="","",IF(AND(E65="Conforme",J65="Aucune"),"OK","ACTION REQUISE"))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IF(E66="","",IFERROR(COUNTIF($E$6:$E$115,E66),0))</f>
        <v/>
      </c>
      <c r="N66" s="5">
        <f>IF(E66="","",IF(AND(E66="Conforme",J66="Aucune"),"OK","ACTION REQUISE"))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IF(E67="","",IFERROR(COUNTIF($E$6:$E$115,E67),0))</f>
        <v/>
      </c>
      <c r="N67" s="7">
        <f>IF(E67="","",IF(AND(E67="Conforme",J67="Aucune"),"OK","ACTION REQUISE"))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IF(E68="","",IFERROR(COUNTIF($E$6:$E$115,E68),0))</f>
        <v/>
      </c>
      <c r="N68" s="5">
        <f>IF(E68="","",IF(AND(E68="Conforme",J68="Aucune"),"OK","ACTION REQUISE"))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IF(E69="","",IFERROR(COUNTIF($E$6:$E$115,E69),0))</f>
        <v/>
      </c>
      <c r="N69" s="7">
        <f>IF(E69="","",IF(AND(E69="Conforme",J69="Aucune"),"OK","ACTION REQUISE"))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IF(E70="","",IFERROR(COUNTIF($E$6:$E$115,E70),0))</f>
        <v/>
      </c>
      <c r="N70" s="5">
        <f>IF(E70="","",IF(AND(E70="Conforme",J70="Aucune"),"OK","ACTION REQUISE"))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IF(E71="","",IFERROR(COUNTIF($E$6:$E$115,E71),0))</f>
        <v/>
      </c>
      <c r="N71" s="7">
        <f>IF(E71="","",IF(AND(E71="Conforme",J71="Aucune"),"OK","ACTION REQUISE"))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IF(E72="","",IFERROR(COUNTIF($E$6:$E$115,E72),0))</f>
        <v/>
      </c>
      <c r="N72" s="5">
        <f>IF(E72="","",IF(AND(E72="Conforme",J72="Aucune"),"OK","ACTION REQUISE"))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IF(E73="","",IFERROR(COUNTIF($E$6:$E$115,E73),0))</f>
        <v/>
      </c>
      <c r="N73" s="7">
        <f>IF(E73="","",IF(AND(E73="Conforme",J73="Aucune"),"OK","ACTION REQUISE"))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IF(E74="","",IFERROR(COUNTIF($E$6:$E$115,E74),0))</f>
        <v/>
      </c>
      <c r="N74" s="5">
        <f>IF(E74="","",IF(AND(E74="Conforme",J74="Aucune"),"OK","ACTION REQUISE"))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IF(E75="","",IFERROR(COUNTIF($E$6:$E$115,E75),0))</f>
        <v/>
      </c>
      <c r="N75" s="7">
        <f>IF(E75="","",IF(AND(E75="Conforme",J75="Aucune"),"OK","ACTION REQUISE"))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IF(E76="","",IFERROR(COUNTIF($E$6:$E$115,E76),0))</f>
        <v/>
      </c>
      <c r="N76" s="5">
        <f>IF(E76="","",IF(AND(E76="Conforme",J76="Aucune"),"OK","ACTION REQUISE"))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IF(E77="","",IFERROR(COUNTIF($E$6:$E$115,E77),0))</f>
        <v/>
      </c>
      <c r="N77" s="7">
        <f>IF(E77="","",IF(AND(E77="Conforme",J77="Aucune"),"OK","ACTION REQUISE"))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IF(E78="","",IFERROR(COUNTIF($E$6:$E$115,E78),0))</f>
        <v/>
      </c>
      <c r="N78" s="5">
        <f>IF(E78="","",IF(AND(E78="Conforme",J78="Aucune"),"OK","ACTION REQUISE"))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IF(E79="","",IFERROR(COUNTIF($E$6:$E$115,E79),0))</f>
        <v/>
      </c>
      <c r="N79" s="7">
        <f>IF(E79="","",IF(AND(E79="Conforme",J79="Aucune"),"OK","ACTION REQUISE"))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IF(E80="","",IFERROR(COUNTIF($E$6:$E$115,E80),0))</f>
        <v/>
      </c>
      <c r="N80" s="5">
        <f>IF(E80="","",IF(AND(E80="Conforme",J80="Aucune"),"OK","ACTION REQUISE"))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IF(E81="","",IFERROR(COUNTIF($E$6:$E$115,E81),0))</f>
        <v/>
      </c>
      <c r="N81" s="7">
        <f>IF(E81="","",IF(AND(E81="Conforme",J81="Aucune"),"OK","ACTION REQUISE"))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IF(E82="","",IFERROR(COUNTIF($E$6:$E$115,E82),0))</f>
        <v/>
      </c>
      <c r="N82" s="5">
        <f>IF(E82="","",IF(AND(E82="Conforme",J82="Aucune"),"OK","ACTION REQUISE"))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IF(E83="","",IFERROR(COUNTIF($E$6:$E$115,E83),0))</f>
        <v/>
      </c>
      <c r="N83" s="7">
        <f>IF(E83="","",IF(AND(E83="Conforme",J83="Aucune"),"OK","ACTION REQUISE"))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IF(E84="","",IFERROR(COUNTIF($E$6:$E$115,E84),0))</f>
        <v/>
      </c>
      <c r="N84" s="5">
        <f>IF(E84="","",IF(AND(E84="Conforme",J84="Aucune"),"OK","ACTION REQUISE"))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IF(E85="","",IFERROR(COUNTIF($E$6:$E$115,E85),0))</f>
        <v/>
      </c>
      <c r="N85" s="7">
        <f>IF(E85="","",IF(AND(E85="Conforme",J85="Aucune"),"OK","ACTION REQUISE"))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IF(E86="","",IFERROR(COUNTIF($E$6:$E$115,E86),0))</f>
        <v/>
      </c>
      <c r="N86" s="5">
        <f>IF(E86="","",IF(AND(E86="Conforme",J86="Aucune"),"OK","ACTION REQUISE"))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IF(E87="","",IFERROR(COUNTIF($E$6:$E$115,E87),0))</f>
        <v/>
      </c>
      <c r="N87" s="7">
        <f>IF(E87="","",IF(AND(E87="Conforme",J87="Aucune"),"OK","ACTION REQUISE"))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IF(E88="","",IFERROR(COUNTIF($E$6:$E$115,E88),0))</f>
        <v/>
      </c>
      <c r="N88" s="5">
        <f>IF(E88="","",IF(AND(E88="Conforme",J88="Aucune"),"OK","ACTION REQUISE"))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IF(E89="","",IFERROR(COUNTIF($E$6:$E$115,E89),0))</f>
        <v/>
      </c>
      <c r="N89" s="7">
        <f>IF(E89="","",IF(AND(E89="Conforme",J89="Aucune"),"OK","ACTION REQUISE"))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IF(E90="","",IFERROR(COUNTIF($E$6:$E$115,E90),0))</f>
        <v/>
      </c>
      <c r="N90" s="5">
        <f>IF(E90="","",IF(AND(E90="Conforme",J90="Aucune"),"OK","ACTION REQUISE"))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IF(E91="","",IFERROR(COUNTIF($E$6:$E$115,E91),0))</f>
        <v/>
      </c>
      <c r="N91" s="7">
        <f>IF(E91="","",IF(AND(E91="Conforme",J91="Aucune"),"OK","ACTION REQUISE"))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IF(E92="","",IFERROR(COUNTIF($E$6:$E$115,E92),0))</f>
        <v/>
      </c>
      <c r="N92" s="5">
        <f>IF(E92="","",IF(AND(E92="Conforme",J92="Aucune"),"OK","ACTION REQUISE"))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IF(E93="","",IFERROR(COUNTIF($E$6:$E$115,E93),0))</f>
        <v/>
      </c>
      <c r="N93" s="7">
        <f>IF(E93="","",IF(AND(E93="Conforme",J93="Aucune"),"OK","ACTION REQUISE"))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IF(E94="","",IFERROR(COUNTIF($E$6:$E$115,E94),0))</f>
        <v/>
      </c>
      <c r="N94" s="5">
        <f>IF(E94="","",IF(AND(E94="Conforme",J94="Aucune"),"OK","ACTION REQUISE"))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IF(E95="","",IFERROR(COUNTIF($E$6:$E$115,E95),0))</f>
        <v/>
      </c>
      <c r="N95" s="7">
        <f>IF(E95="","",IF(AND(E95="Conforme",J95="Aucune"),"OK","ACTION REQUISE"))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IF(E96="","",IFERROR(COUNTIF($E$6:$E$115,E96),0))</f>
        <v/>
      </c>
      <c r="N96" s="5">
        <f>IF(E96="","",IF(AND(E96="Conforme",J96="Aucune"),"OK","ACTION REQUISE"))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IF(E97="","",IFERROR(COUNTIF($E$6:$E$115,E97),0))</f>
        <v/>
      </c>
      <c r="N97" s="7">
        <f>IF(E97="","",IF(AND(E97="Conforme",J97="Aucune"),"OK","ACTION REQUISE"))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IF(E98="","",IFERROR(COUNTIF($E$6:$E$115,E98),0))</f>
        <v/>
      </c>
      <c r="N98" s="5">
        <f>IF(E98="","",IF(AND(E98="Conforme",J98="Aucune"),"OK","ACTION REQUISE"))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IF(E99="","",IFERROR(COUNTIF($E$6:$E$115,E99),0))</f>
        <v/>
      </c>
      <c r="N99" s="7">
        <f>IF(E99="","",IF(AND(E99="Conforme",J99="Aucune"),"OK","ACTION REQUISE"))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IF(E100="","",IFERROR(COUNTIF($E$6:$E$115,E100),0))</f>
        <v/>
      </c>
      <c r="N100" s="5">
        <f>IF(E100="","",IF(AND(E100="Conforme",J100="Aucune"),"OK","ACTION REQUISE"))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IF(E101="","",IFERROR(COUNTIF($E$6:$E$115,E101),0))</f>
        <v/>
      </c>
      <c r="N101" s="7">
        <f>IF(E101="","",IF(AND(E101="Conforme",J101="Aucune"),"OK","ACTION REQUISE"))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IF(E102="","",IFERROR(COUNTIF($E$6:$E$115,E102),0))</f>
        <v/>
      </c>
      <c r="N102" s="5">
        <f>IF(E102="","",IF(AND(E102="Conforme",J102="Aucune"),"OK","ACTION REQUISE"))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IF(E103="","",IFERROR(COUNTIF($E$6:$E$115,E103),0))</f>
        <v/>
      </c>
      <c r="N103" s="7">
        <f>IF(E103="","",IF(AND(E103="Conforme",J103="Aucune"),"OK","ACTION REQUISE"))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IF(E104="","",IFERROR(COUNTIF($E$6:$E$115,E104),0))</f>
        <v/>
      </c>
      <c r="N104" s="5">
        <f>IF(E104="","",IF(AND(E104="Conforme",J104="Aucune"),"OK","ACTION REQUISE"))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IF(E105="","",IFERROR(COUNTIF($E$6:$E$115,E105),0))</f>
        <v/>
      </c>
      <c r="N105" s="7">
        <f>IF(E105="","",IF(AND(E105="Conforme",J105="Aucune"),"OK","ACTION REQUISE"))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IF(E106="","",IFERROR(COUNTIF($E$6:$E$115,E106),0))</f>
        <v/>
      </c>
      <c r="N106" s="5">
        <f>IF(E106="","",IF(AND(E106="Conforme",J106="Aucune"),"OK","ACTION REQUISE"))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IF(E107="","",IFERROR(COUNTIF($E$6:$E$115,E107),0))</f>
        <v/>
      </c>
      <c r="N107" s="7">
        <f>IF(E107="","",IF(AND(E107="Conforme",J107="Aucune"),"OK","ACTION REQUISE"))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IF(E108="","",IFERROR(COUNTIF($E$6:$E$115,E108),0))</f>
        <v/>
      </c>
      <c r="N108" s="5">
        <f>IF(E108="","",IF(AND(E108="Conforme",J108="Aucune"),"OK","ACTION REQUISE"))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IF(E109="","",IFERROR(COUNTIF($E$6:$E$115,E109),0))</f>
        <v/>
      </c>
      <c r="N109" s="7">
        <f>IF(E109="","",IF(AND(E109="Conforme",J109="Aucune"),"OK","ACTION REQUISE"))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IF(E110="","",IFERROR(COUNTIF($E$6:$E$115,E110),0))</f>
        <v/>
      </c>
      <c r="N110" s="5">
        <f>IF(E110="","",IF(AND(E110="Conforme",J110="Aucune"),"OK","ACTION REQUISE"))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IF(E111="","",IFERROR(COUNTIF($E$6:$E$115,E111),0))</f>
        <v/>
      </c>
      <c r="N111" s="7">
        <f>IF(E111="","",IF(AND(E111="Conforme",J111="Aucune"),"OK","ACTION REQUISE"))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IF(E112="","",IFERROR(COUNTIF($E$6:$E$115,E112),0))</f>
        <v/>
      </c>
      <c r="N112" s="5">
        <f>IF(E112="","",IF(AND(E112="Conforme",J112="Aucune"),"OK","ACTION REQUISE"))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IF(E113="","",IFERROR(COUNTIF($E$6:$E$115,E113),0))</f>
        <v/>
      </c>
      <c r="N113" s="7">
        <f>IF(E113="","",IF(AND(E113="Conforme",J113="Aucune"),"OK","ACTION REQUISE"))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IF(E114="","",IFERROR(COUNTIF($E$6:$E$115,E114),0))</f>
        <v/>
      </c>
      <c r="N114" s="5">
        <f>IF(E114="","",IF(AND(E114="Conforme",J114="Aucune"),"OK","ACTION REQUISE"))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IF(E115="","",IFERROR(COUNTIF($E$6:$E$115,E115),0))</f>
        <v/>
      </c>
      <c r="N115" s="7">
        <f>IF(E115="","",IF(AND(E115="Conforme",J115="Aucune"),"OK","ACTION REQUISE"))</f>
        <v/>
      </c>
    </row>
  </sheetData>
  <mergeCells count="2">
    <mergeCell ref="A3:N3"/>
    <mergeCell ref="A2:N2"/>
  </mergeCells>
  <dataValidations count="2">
    <dataValidation sqref="B6:B115" showDropDown="0" showInputMessage="0" showErrorMessage="0" allowBlank="1" errorTitle="Erreur" error="Valeur invalide" promptTitle="" prompt="Choisir dans la liste: " type="list">
      <formula1>'F02 - _Lists'!$E$6:$E$14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_Lists'!$M$6:$M$10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22" customWidth="1" min="5" max="5"/>
    <col width="18" customWidth="1" min="6" max="6"/>
    <col width="22" customWidth="1" min="7" max="7"/>
    <col width="26" customWidth="1" min="8" max="8"/>
    <col width="24" customWidth="1" min="9" max="9"/>
    <col width="14" customWidth="1" min="10" max="10"/>
    <col width="14" customWidth="1" min="11" max="11"/>
    <col width="28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19-EXIGENCES D'AUDIT RETRAITES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Audit</t>
        </is>
      </c>
      <c r="B5" s="4" t="inlineStr">
        <is>
          <t>Type Audit</t>
        </is>
      </c>
      <c r="C5" s="4" t="inlineStr">
        <is>
          <t>Périmètre</t>
        </is>
      </c>
      <c r="D5" s="4" t="inlineStr">
        <is>
          <t>Date Audit</t>
        </is>
      </c>
      <c r="E5" s="4" t="inlineStr">
        <is>
          <t>Auditeur</t>
        </is>
      </c>
      <c r="F5" s="4" t="inlineStr">
        <is>
          <t>Résultat</t>
        </is>
      </c>
      <c r="G5" s="4" t="inlineStr">
        <is>
          <t>Nb Non-Conformités</t>
        </is>
      </c>
      <c r="H5" s="4" t="inlineStr">
        <is>
          <t>Actions Correctives</t>
        </is>
      </c>
      <c r="I5" s="4" t="inlineStr">
        <is>
          <t>Délai Mise en Conformité</t>
        </is>
      </c>
      <c r="J5" s="4" t="inlineStr">
        <is>
          <t>Statut</t>
        </is>
      </c>
      <c r="K5" s="4" t="inlineStr">
        <is>
          <t>Priorité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AUD-001</t>
        </is>
      </c>
      <c r="B6" s="5" t="inlineStr">
        <is>
          <t>Interne</t>
        </is>
      </c>
      <c r="C6" s="5" t="inlineStr">
        <is>
          <t>Dossiers retraite T1</t>
        </is>
      </c>
      <c r="D6" s="19" t="n">
        <v>45748</v>
      </c>
      <c r="E6" s="5" t="inlineStr">
        <is>
          <t>Audit Interne</t>
        </is>
      </c>
      <c r="F6" s="5" t="inlineStr">
        <is>
          <t>Satisfaisant</t>
        </is>
      </c>
      <c r="G6" s="22" t="n">
        <v>1</v>
      </c>
      <c r="H6" s="5" t="inlineStr">
        <is>
          <t>Mise à jour 1 dossier</t>
        </is>
      </c>
      <c r="I6" s="5" t="inlineStr">
        <is>
          <t>2025-06-30</t>
        </is>
      </c>
      <c r="J6" s="5" t="inlineStr">
        <is>
          <t>En cours</t>
        </is>
      </c>
      <c r="K6" s="5" t="inlineStr">
        <is>
          <t>Moyenne</t>
        </is>
      </c>
      <c r="L6" s="5" t="inlineStr"/>
      <c r="M6" s="5">
        <f>IF(F6="","",IFERROR(COUNTIF($F$6:$F$115,F6),0))</f>
        <v/>
      </c>
      <c r="N6" s="5">
        <f>IF(B6="","",IFERROR(SUMIF($B$6:$B$115,B6,$G$6:$G$115),0))</f>
        <v/>
      </c>
    </row>
    <row r="7" ht="22" customHeight="1">
      <c r="A7" s="7" t="inlineStr">
        <is>
          <t>AUD-002</t>
        </is>
      </c>
      <c r="B7" s="7" t="inlineStr">
        <is>
          <t>Externe</t>
        </is>
      </c>
      <c r="C7" s="7" t="inlineStr">
        <is>
          <t>Conformité réglementaire</t>
        </is>
      </c>
      <c r="D7" s="20" t="n">
        <v>45731</v>
      </c>
      <c r="E7" s="7" t="inlineStr">
        <is>
          <t>Cabinet Ernst &amp; Young</t>
        </is>
      </c>
      <c r="F7" s="7" t="inlineStr">
        <is>
          <t>À améliorer</t>
        </is>
      </c>
      <c r="G7" s="24" t="n">
        <v>3</v>
      </c>
      <c r="H7" s="7" t="inlineStr">
        <is>
          <t>3 actions correctives</t>
        </is>
      </c>
      <c r="I7" s="7" t="inlineStr">
        <is>
          <t>2025-09-30</t>
        </is>
      </c>
      <c r="J7" s="7" t="inlineStr">
        <is>
          <t>En cours</t>
        </is>
      </c>
      <c r="K7" s="7" t="inlineStr">
        <is>
          <t>Haute</t>
        </is>
      </c>
      <c r="L7" s="7" t="inlineStr"/>
      <c r="M7" s="7">
        <f>IF(F7="","",IFERROR(COUNTIF($F$6:$F$115,F7),0))</f>
        <v/>
      </c>
      <c r="N7" s="7">
        <f>IF(B7="","",IFERROR(SUMIF($B$6:$B$115,B7,$G$6:$G$115),0))</f>
        <v/>
      </c>
    </row>
    <row r="8" ht="22" customHeight="1">
      <c r="A8" s="5" t="inlineStr">
        <is>
          <t>AUD-003</t>
        </is>
      </c>
      <c r="B8" s="5" t="inlineStr">
        <is>
          <t>Interne</t>
        </is>
      </c>
      <c r="C8" s="5" t="inlineStr">
        <is>
          <t>Budget retraites T1</t>
        </is>
      </c>
      <c r="D8" s="19" t="n">
        <v>45757</v>
      </c>
      <c r="E8" s="5" t="inlineStr">
        <is>
          <t>Contrôle de gestion</t>
        </is>
      </c>
      <c r="F8" s="5" t="inlineStr">
        <is>
          <t>Conforme</t>
        </is>
      </c>
      <c r="G8" s="22" t="n">
        <v>0</v>
      </c>
      <c r="H8" s="5" t="inlineStr">
        <is>
          <t>Aucune</t>
        </is>
      </c>
      <c r="I8" s="5" t="inlineStr">
        <is>
          <t>N/A</t>
        </is>
      </c>
      <c r="J8" s="5" t="inlineStr">
        <is>
          <t>Clôturé</t>
        </is>
      </c>
      <c r="K8" s="5" t="inlineStr">
        <is>
          <t>Basse</t>
        </is>
      </c>
      <c r="L8" s="5" t="inlineStr"/>
      <c r="M8" s="5">
        <f>IF(F8="","",IFERROR(COUNTIF($F$6:$F$115,F8),0))</f>
        <v/>
      </c>
      <c r="N8" s="5">
        <f>IF(B8="","",IFERROR(SUMIF($B$6:$B$115,B8,$G$6:$G$115),0))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>
        <f>IF(F9="","",IFERROR(COUNTIF($F$6:$F$115,F9),0))</f>
        <v/>
      </c>
      <c r="N9" s="7">
        <f>IF(B9="","",IFERROR(SUMIF($B$6:$B$115,B9,$G$6:$G$115),0))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>
        <f>IF(F10="","",IFERROR(COUNTIF($F$6:$F$115,F10),0))</f>
        <v/>
      </c>
      <c r="N10" s="5">
        <f>IF(B10="","",IFERROR(SUMIF($B$6:$B$115,B10,$G$6:$G$115),0))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>
        <f>IF(F11="","",IFERROR(COUNTIF($F$6:$F$115,F11),0))</f>
        <v/>
      </c>
      <c r="N11" s="7">
        <f>IF(B11="","",IFERROR(SUMIF($B$6:$B$115,B11,$G$6:$G$115),0))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>
        <f>IF(F12="","",IFERROR(COUNTIF($F$6:$F$115,F12),0))</f>
        <v/>
      </c>
      <c r="N12" s="5">
        <f>IF(B12="","",IFERROR(SUMIF($B$6:$B$115,B12,$G$6:$G$115),0))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>
        <f>IF(F13="","",IFERROR(COUNTIF($F$6:$F$115,F13),0))</f>
        <v/>
      </c>
      <c r="N13" s="7">
        <f>IF(B13="","",IFERROR(SUMIF($B$6:$B$115,B13,$G$6:$G$115),0))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>
        <f>IF(F14="","",IFERROR(COUNTIF($F$6:$F$115,F14),0))</f>
        <v/>
      </c>
      <c r="N14" s="5">
        <f>IF(B14="","",IFERROR(SUMIF($B$6:$B$115,B14,$G$6:$G$115),0))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>
        <f>IF(F15="","",IFERROR(COUNTIF($F$6:$F$115,F15),0))</f>
        <v/>
      </c>
      <c r="N15" s="7">
        <f>IF(B15="","",IFERROR(SUMIF($B$6:$B$115,B15,$G$6:$G$115),0))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>
        <f>IF(F16="","",IFERROR(COUNTIF($F$6:$F$115,F16),0))</f>
        <v/>
      </c>
      <c r="N16" s="5">
        <f>IF(B16="","",IFERROR(SUMIF($B$6:$B$115,B16,$G$6:$G$115),0))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>
        <f>IF(F17="","",IFERROR(COUNTIF($F$6:$F$115,F17),0))</f>
        <v/>
      </c>
      <c r="N17" s="7">
        <f>IF(B17="","",IFERROR(SUMIF($B$6:$B$115,B17,$G$6:$G$115),0))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>
        <f>IF(F18="","",IFERROR(COUNTIF($F$6:$F$115,F18),0))</f>
        <v/>
      </c>
      <c r="N18" s="5">
        <f>IF(B18="","",IFERROR(SUMIF($B$6:$B$115,B18,$G$6:$G$115),0))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>
        <f>IF(F19="","",IFERROR(COUNTIF($F$6:$F$115,F19),0))</f>
        <v/>
      </c>
      <c r="N19" s="7">
        <f>IF(B19="","",IFERROR(SUMIF($B$6:$B$115,B19,$G$6:$G$115),0))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>
        <f>IF(F20="","",IFERROR(COUNTIF($F$6:$F$115,F20),0))</f>
        <v/>
      </c>
      <c r="N20" s="5">
        <f>IF(B20="","",IFERROR(SUMIF($B$6:$B$115,B20,$G$6:$G$115),0))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>
        <f>IF(F21="","",IFERROR(COUNTIF($F$6:$F$115,F21),0))</f>
        <v/>
      </c>
      <c r="N21" s="7">
        <f>IF(B21="","",IFERROR(SUMIF($B$6:$B$115,B21,$G$6:$G$115),0))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>
        <f>IF(F22="","",IFERROR(COUNTIF($F$6:$F$115,F22),0))</f>
        <v/>
      </c>
      <c r="N22" s="5">
        <f>IF(B22="","",IFERROR(SUMIF($B$6:$B$115,B22,$G$6:$G$115),0))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>
        <f>IF(F23="","",IFERROR(COUNTIF($F$6:$F$115,F23),0))</f>
        <v/>
      </c>
      <c r="N23" s="7">
        <f>IF(B23="","",IFERROR(SUMIF($B$6:$B$115,B23,$G$6:$G$115),0))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>
        <f>IF(F24="","",IFERROR(COUNTIF($F$6:$F$115,F24),0))</f>
        <v/>
      </c>
      <c r="N24" s="5">
        <f>IF(B24="","",IFERROR(SUMIF($B$6:$B$115,B24,$G$6:$G$115),0))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>
        <f>IF(F25="","",IFERROR(COUNTIF($F$6:$F$115,F25),0))</f>
        <v/>
      </c>
      <c r="N25" s="7">
        <f>IF(B25="","",IFERROR(SUMIF($B$6:$B$115,B25,$G$6:$G$115),0))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>
        <f>IF(F26="","",IFERROR(COUNTIF($F$6:$F$115,F26),0))</f>
        <v/>
      </c>
      <c r="N26" s="5">
        <f>IF(B26="","",IFERROR(SUMIF($B$6:$B$115,B26,$G$6:$G$115),0))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>
        <f>IF(F27="","",IFERROR(COUNTIF($F$6:$F$115,F27),0))</f>
        <v/>
      </c>
      <c r="N27" s="7">
        <f>IF(B27="","",IFERROR(SUMIF($B$6:$B$115,B27,$G$6:$G$115),0))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>
        <f>IF(F28="","",IFERROR(COUNTIF($F$6:$F$115,F28),0))</f>
        <v/>
      </c>
      <c r="N28" s="5">
        <f>IF(B28="","",IFERROR(SUMIF($B$6:$B$115,B28,$G$6:$G$115),0))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>
        <f>IF(F29="","",IFERROR(COUNTIF($F$6:$F$115,F29),0))</f>
        <v/>
      </c>
      <c r="N29" s="7">
        <f>IF(B29="","",IFERROR(SUMIF($B$6:$B$115,B29,$G$6:$G$115),0))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>
        <f>IF(F30="","",IFERROR(COUNTIF($F$6:$F$115,F30),0))</f>
        <v/>
      </c>
      <c r="N30" s="5">
        <f>IF(B30="","",IFERROR(SUMIF($B$6:$B$115,B30,$G$6:$G$115),0))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>
        <f>IF(F31="","",IFERROR(COUNTIF($F$6:$F$115,F31),0))</f>
        <v/>
      </c>
      <c r="N31" s="7">
        <f>IF(B31="","",IFERROR(SUMIF($B$6:$B$115,B31,$G$6:$G$115),0))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>
        <f>IF(F32="","",IFERROR(COUNTIF($F$6:$F$115,F32),0))</f>
        <v/>
      </c>
      <c r="N32" s="5">
        <f>IF(B32="","",IFERROR(SUMIF($B$6:$B$115,B32,$G$6:$G$115),0))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>
        <f>IF(F33="","",IFERROR(COUNTIF($F$6:$F$115,F33),0))</f>
        <v/>
      </c>
      <c r="N33" s="7">
        <f>IF(B33="","",IFERROR(SUMIF($B$6:$B$115,B33,$G$6:$G$115),0))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>
        <f>IF(F34="","",IFERROR(COUNTIF($F$6:$F$115,F34),0))</f>
        <v/>
      </c>
      <c r="N34" s="5">
        <f>IF(B34="","",IFERROR(SUMIF($B$6:$B$115,B34,$G$6:$G$115),0))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>
        <f>IF(F35="","",IFERROR(COUNTIF($F$6:$F$115,F35),0))</f>
        <v/>
      </c>
      <c r="N35" s="7">
        <f>IF(B35="","",IFERROR(SUMIF($B$6:$B$115,B35,$G$6:$G$115),0))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>
        <f>IF(F36="","",IFERROR(COUNTIF($F$6:$F$115,F36),0))</f>
        <v/>
      </c>
      <c r="N36" s="5">
        <f>IF(B36="","",IFERROR(SUMIF($B$6:$B$115,B36,$G$6:$G$115),0))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>
        <f>IF(F37="","",IFERROR(COUNTIF($F$6:$F$115,F37),0))</f>
        <v/>
      </c>
      <c r="N37" s="7">
        <f>IF(B37="","",IFERROR(SUMIF($B$6:$B$115,B37,$G$6:$G$115),0))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>
        <f>IF(F38="","",IFERROR(COUNTIF($F$6:$F$115,F38),0))</f>
        <v/>
      </c>
      <c r="N38" s="5">
        <f>IF(B38="","",IFERROR(SUMIF($B$6:$B$115,B38,$G$6:$G$115),0))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>
        <f>IF(F39="","",IFERROR(COUNTIF($F$6:$F$115,F39),0))</f>
        <v/>
      </c>
      <c r="N39" s="7">
        <f>IF(B39="","",IFERROR(SUMIF($B$6:$B$115,B39,$G$6:$G$115),0))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>
        <f>IF(F40="","",IFERROR(COUNTIF($F$6:$F$115,F40),0))</f>
        <v/>
      </c>
      <c r="N40" s="5">
        <f>IF(B40="","",IFERROR(SUMIF($B$6:$B$115,B40,$G$6:$G$115),0))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>
        <f>IF(F41="","",IFERROR(COUNTIF($F$6:$F$115,F41),0))</f>
        <v/>
      </c>
      <c r="N41" s="7">
        <f>IF(B41="","",IFERROR(SUMIF($B$6:$B$115,B41,$G$6:$G$115),0))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>
        <f>IF(F42="","",IFERROR(COUNTIF($F$6:$F$115,F42),0))</f>
        <v/>
      </c>
      <c r="N42" s="5">
        <f>IF(B42="","",IFERROR(SUMIF($B$6:$B$115,B42,$G$6:$G$115),0))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>
        <f>IF(F43="","",IFERROR(COUNTIF($F$6:$F$115,F43),0))</f>
        <v/>
      </c>
      <c r="N43" s="7">
        <f>IF(B43="","",IFERROR(SUMIF($B$6:$B$115,B43,$G$6:$G$115),0))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>
        <f>IF(F44="","",IFERROR(COUNTIF($F$6:$F$115,F44),0))</f>
        <v/>
      </c>
      <c r="N44" s="5">
        <f>IF(B44="","",IFERROR(SUMIF($B$6:$B$115,B44,$G$6:$G$115),0))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>
        <f>IF(F45="","",IFERROR(COUNTIF($F$6:$F$115,F45),0))</f>
        <v/>
      </c>
      <c r="N45" s="7">
        <f>IF(B45="","",IFERROR(SUMIF($B$6:$B$115,B45,$G$6:$G$115),0))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>
        <f>IF(F46="","",IFERROR(COUNTIF($F$6:$F$115,F46),0))</f>
        <v/>
      </c>
      <c r="N46" s="5">
        <f>IF(B46="","",IFERROR(SUMIF($B$6:$B$115,B46,$G$6:$G$115),0))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>
        <f>IF(F47="","",IFERROR(COUNTIF($F$6:$F$115,F47),0))</f>
        <v/>
      </c>
      <c r="N47" s="7">
        <f>IF(B47="","",IFERROR(SUMIF($B$6:$B$115,B47,$G$6:$G$115),0))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>
        <f>IF(F48="","",IFERROR(COUNTIF($F$6:$F$115,F48),0))</f>
        <v/>
      </c>
      <c r="N48" s="5">
        <f>IF(B48="","",IFERROR(SUMIF($B$6:$B$115,B48,$G$6:$G$115),0))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>
        <f>IF(F49="","",IFERROR(COUNTIF($F$6:$F$115,F49),0))</f>
        <v/>
      </c>
      <c r="N49" s="7">
        <f>IF(B49="","",IFERROR(SUMIF($B$6:$B$115,B49,$G$6:$G$115),0))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>
        <f>IF(F50="","",IFERROR(COUNTIF($F$6:$F$115,F50),0))</f>
        <v/>
      </c>
      <c r="N50" s="5">
        <f>IF(B50="","",IFERROR(SUMIF($B$6:$B$115,B50,$G$6:$G$115),0))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>
        <f>IF(F51="","",IFERROR(COUNTIF($F$6:$F$115,F51),0))</f>
        <v/>
      </c>
      <c r="N51" s="7">
        <f>IF(B51="","",IFERROR(SUMIF($B$6:$B$115,B51,$G$6:$G$115),0))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>
        <f>IF(F52="","",IFERROR(COUNTIF($F$6:$F$115,F52),0))</f>
        <v/>
      </c>
      <c r="N52" s="5">
        <f>IF(B52="","",IFERROR(SUMIF($B$6:$B$115,B52,$G$6:$G$115),0))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>
        <f>IF(F53="","",IFERROR(COUNTIF($F$6:$F$115,F53),0))</f>
        <v/>
      </c>
      <c r="N53" s="7">
        <f>IF(B53="","",IFERROR(SUMIF($B$6:$B$115,B53,$G$6:$G$115),0))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>
        <f>IF(F54="","",IFERROR(COUNTIF($F$6:$F$115,F54),0))</f>
        <v/>
      </c>
      <c r="N54" s="5">
        <f>IF(B54="","",IFERROR(SUMIF($B$6:$B$115,B54,$G$6:$G$115),0))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>
        <f>IF(F55="","",IFERROR(COUNTIF($F$6:$F$115,F55),0))</f>
        <v/>
      </c>
      <c r="N55" s="7">
        <f>IF(B55="","",IFERROR(SUMIF($B$6:$B$115,B55,$G$6:$G$115),0))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>
        <f>IF(F56="","",IFERROR(COUNTIF($F$6:$F$115,F56),0))</f>
        <v/>
      </c>
      <c r="N56" s="5">
        <f>IF(B56="","",IFERROR(SUMIF($B$6:$B$115,B56,$G$6:$G$115),0))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>
        <f>IF(F57="","",IFERROR(COUNTIF($F$6:$F$115,F57),0))</f>
        <v/>
      </c>
      <c r="N57" s="7">
        <f>IF(B57="","",IFERROR(SUMIF($B$6:$B$115,B57,$G$6:$G$115),0))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>
        <f>IF(F58="","",IFERROR(COUNTIF($F$6:$F$115,F58),0))</f>
        <v/>
      </c>
      <c r="N58" s="5">
        <f>IF(B58="","",IFERROR(SUMIF($B$6:$B$115,B58,$G$6:$G$115),0))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>
        <f>IF(F59="","",IFERROR(COUNTIF($F$6:$F$115,F59),0))</f>
        <v/>
      </c>
      <c r="N59" s="7">
        <f>IF(B59="","",IFERROR(SUMIF($B$6:$B$115,B59,$G$6:$G$115),0))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>
        <f>IF(F60="","",IFERROR(COUNTIF($F$6:$F$115,F60),0))</f>
        <v/>
      </c>
      <c r="N60" s="5">
        <f>IF(B60="","",IFERROR(SUMIF($B$6:$B$115,B60,$G$6:$G$115),0))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>
        <f>IF(F61="","",IFERROR(COUNTIF($F$6:$F$115,F61),0))</f>
        <v/>
      </c>
      <c r="N61" s="7">
        <f>IF(B61="","",IFERROR(SUMIF($B$6:$B$115,B61,$G$6:$G$115),0))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>
        <f>IF(F62="","",IFERROR(COUNTIF($F$6:$F$115,F62),0))</f>
        <v/>
      </c>
      <c r="N62" s="5">
        <f>IF(B62="","",IFERROR(SUMIF($B$6:$B$115,B62,$G$6:$G$115),0))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>
        <f>IF(F63="","",IFERROR(COUNTIF($F$6:$F$115,F63),0))</f>
        <v/>
      </c>
      <c r="N63" s="7">
        <f>IF(B63="","",IFERROR(SUMIF($B$6:$B$115,B63,$G$6:$G$115),0))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>
        <f>IF(F64="","",IFERROR(COUNTIF($F$6:$F$115,F64),0))</f>
        <v/>
      </c>
      <c r="N64" s="5">
        <f>IF(B64="","",IFERROR(SUMIF($B$6:$B$115,B64,$G$6:$G$115),0))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>
        <f>IF(F65="","",IFERROR(COUNTIF($F$6:$F$115,F65),0))</f>
        <v/>
      </c>
      <c r="N65" s="7">
        <f>IF(B65="","",IFERROR(SUMIF($B$6:$B$115,B65,$G$6:$G$115),0))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>
        <f>IF(F66="","",IFERROR(COUNTIF($F$6:$F$115,F66),0))</f>
        <v/>
      </c>
      <c r="N66" s="5">
        <f>IF(B66="","",IFERROR(SUMIF($B$6:$B$115,B66,$G$6:$G$115),0))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>
        <f>IF(F67="","",IFERROR(COUNTIF($F$6:$F$115,F67),0))</f>
        <v/>
      </c>
      <c r="N67" s="7">
        <f>IF(B67="","",IFERROR(SUMIF($B$6:$B$115,B67,$G$6:$G$115),0))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>
        <f>IF(F68="","",IFERROR(COUNTIF($F$6:$F$115,F68),0))</f>
        <v/>
      </c>
      <c r="N68" s="5">
        <f>IF(B68="","",IFERROR(SUMIF($B$6:$B$115,B68,$G$6:$G$115),0))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>
        <f>IF(F69="","",IFERROR(COUNTIF($F$6:$F$115,F69),0))</f>
        <v/>
      </c>
      <c r="N69" s="7">
        <f>IF(B69="","",IFERROR(SUMIF($B$6:$B$115,B69,$G$6:$G$115),0))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>
        <f>IF(F70="","",IFERROR(COUNTIF($F$6:$F$115,F70),0))</f>
        <v/>
      </c>
      <c r="N70" s="5">
        <f>IF(B70="","",IFERROR(SUMIF($B$6:$B$115,B70,$G$6:$G$115),0))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>
        <f>IF(F71="","",IFERROR(COUNTIF($F$6:$F$115,F71),0))</f>
        <v/>
      </c>
      <c r="N71" s="7">
        <f>IF(B71="","",IFERROR(SUMIF($B$6:$B$115,B71,$G$6:$G$115),0))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>
        <f>IF(F72="","",IFERROR(COUNTIF($F$6:$F$115,F72),0))</f>
        <v/>
      </c>
      <c r="N72" s="5">
        <f>IF(B72="","",IFERROR(SUMIF($B$6:$B$115,B72,$G$6:$G$115),0))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>
        <f>IF(F73="","",IFERROR(COUNTIF($F$6:$F$115,F73),0))</f>
        <v/>
      </c>
      <c r="N73" s="7">
        <f>IF(B73="","",IFERROR(SUMIF($B$6:$B$115,B73,$G$6:$G$115),0))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>
        <f>IF(F74="","",IFERROR(COUNTIF($F$6:$F$115,F74),0))</f>
        <v/>
      </c>
      <c r="N74" s="5">
        <f>IF(B74="","",IFERROR(SUMIF($B$6:$B$115,B74,$G$6:$G$115),0))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>
        <f>IF(F75="","",IFERROR(COUNTIF($F$6:$F$115,F75),0))</f>
        <v/>
      </c>
      <c r="N75" s="7">
        <f>IF(B75="","",IFERROR(SUMIF($B$6:$B$115,B75,$G$6:$G$115),0))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>
        <f>IF(F76="","",IFERROR(COUNTIF($F$6:$F$115,F76),0))</f>
        <v/>
      </c>
      <c r="N76" s="5">
        <f>IF(B76="","",IFERROR(SUMIF($B$6:$B$115,B76,$G$6:$G$115),0))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>
        <f>IF(F77="","",IFERROR(COUNTIF($F$6:$F$115,F77),0))</f>
        <v/>
      </c>
      <c r="N77" s="7">
        <f>IF(B77="","",IFERROR(SUMIF($B$6:$B$115,B77,$G$6:$G$115),0))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>
        <f>IF(F78="","",IFERROR(COUNTIF($F$6:$F$115,F78),0))</f>
        <v/>
      </c>
      <c r="N78" s="5">
        <f>IF(B78="","",IFERROR(SUMIF($B$6:$B$115,B78,$G$6:$G$115),0))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>
        <f>IF(F79="","",IFERROR(COUNTIF($F$6:$F$115,F79),0))</f>
        <v/>
      </c>
      <c r="N79" s="7">
        <f>IF(B79="","",IFERROR(SUMIF($B$6:$B$115,B79,$G$6:$G$115),0))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>
        <f>IF(F80="","",IFERROR(COUNTIF($F$6:$F$115,F80),0))</f>
        <v/>
      </c>
      <c r="N80" s="5">
        <f>IF(B80="","",IFERROR(SUMIF($B$6:$B$115,B80,$G$6:$G$115),0))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>
        <f>IF(F81="","",IFERROR(COUNTIF($F$6:$F$115,F81),0))</f>
        <v/>
      </c>
      <c r="N81" s="7">
        <f>IF(B81="","",IFERROR(SUMIF($B$6:$B$115,B81,$G$6:$G$115),0))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>
        <f>IF(F82="","",IFERROR(COUNTIF($F$6:$F$115,F82),0))</f>
        <v/>
      </c>
      <c r="N82" s="5">
        <f>IF(B82="","",IFERROR(SUMIF($B$6:$B$115,B82,$G$6:$G$115),0))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>
        <f>IF(F83="","",IFERROR(COUNTIF($F$6:$F$115,F83),0))</f>
        <v/>
      </c>
      <c r="N83" s="7">
        <f>IF(B83="","",IFERROR(SUMIF($B$6:$B$115,B83,$G$6:$G$115),0))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>
        <f>IF(F84="","",IFERROR(COUNTIF($F$6:$F$115,F84),0))</f>
        <v/>
      </c>
      <c r="N84" s="5">
        <f>IF(B84="","",IFERROR(SUMIF($B$6:$B$115,B84,$G$6:$G$115),0))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>
        <f>IF(F85="","",IFERROR(COUNTIF($F$6:$F$115,F85),0))</f>
        <v/>
      </c>
      <c r="N85" s="7">
        <f>IF(B85="","",IFERROR(SUMIF($B$6:$B$115,B85,$G$6:$G$115),0))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>
        <f>IF(F86="","",IFERROR(COUNTIF($F$6:$F$115,F86),0))</f>
        <v/>
      </c>
      <c r="N86" s="5">
        <f>IF(B86="","",IFERROR(SUMIF($B$6:$B$115,B86,$G$6:$G$115),0))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>
        <f>IF(F87="","",IFERROR(COUNTIF($F$6:$F$115,F87),0))</f>
        <v/>
      </c>
      <c r="N87" s="7">
        <f>IF(B87="","",IFERROR(SUMIF($B$6:$B$115,B87,$G$6:$G$115),0))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>
        <f>IF(F88="","",IFERROR(COUNTIF($F$6:$F$115,F88),0))</f>
        <v/>
      </c>
      <c r="N88" s="5">
        <f>IF(B88="","",IFERROR(SUMIF($B$6:$B$115,B88,$G$6:$G$115),0))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>
        <f>IF(F89="","",IFERROR(COUNTIF($F$6:$F$115,F89),0))</f>
        <v/>
      </c>
      <c r="N89" s="7">
        <f>IF(B89="","",IFERROR(SUMIF($B$6:$B$115,B89,$G$6:$G$115),0))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>
        <f>IF(F90="","",IFERROR(COUNTIF($F$6:$F$115,F90),0))</f>
        <v/>
      </c>
      <c r="N90" s="5">
        <f>IF(B90="","",IFERROR(SUMIF($B$6:$B$115,B90,$G$6:$G$115),0))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>
        <f>IF(F91="","",IFERROR(COUNTIF($F$6:$F$115,F91),0))</f>
        <v/>
      </c>
      <c r="N91" s="7">
        <f>IF(B91="","",IFERROR(SUMIF($B$6:$B$115,B91,$G$6:$G$115),0))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>
        <f>IF(F92="","",IFERROR(COUNTIF($F$6:$F$115,F92),0))</f>
        <v/>
      </c>
      <c r="N92" s="5">
        <f>IF(B92="","",IFERROR(SUMIF($B$6:$B$115,B92,$G$6:$G$115),0))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>
        <f>IF(F93="","",IFERROR(COUNTIF($F$6:$F$115,F93),0))</f>
        <v/>
      </c>
      <c r="N93" s="7">
        <f>IF(B93="","",IFERROR(SUMIF($B$6:$B$115,B93,$G$6:$G$115),0))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>
        <f>IF(F94="","",IFERROR(COUNTIF($F$6:$F$115,F94),0))</f>
        <v/>
      </c>
      <c r="N94" s="5">
        <f>IF(B94="","",IFERROR(SUMIF($B$6:$B$115,B94,$G$6:$G$115),0))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>
        <f>IF(F95="","",IFERROR(COUNTIF($F$6:$F$115,F95),0))</f>
        <v/>
      </c>
      <c r="N95" s="7">
        <f>IF(B95="","",IFERROR(SUMIF($B$6:$B$115,B95,$G$6:$G$115),0))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>
        <f>IF(F96="","",IFERROR(COUNTIF($F$6:$F$115,F96),0))</f>
        <v/>
      </c>
      <c r="N96" s="5">
        <f>IF(B96="","",IFERROR(SUMIF($B$6:$B$115,B96,$G$6:$G$115),0))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>
        <f>IF(F97="","",IFERROR(COUNTIF($F$6:$F$115,F97),0))</f>
        <v/>
      </c>
      <c r="N97" s="7">
        <f>IF(B97="","",IFERROR(SUMIF($B$6:$B$115,B97,$G$6:$G$115),0))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>
        <f>IF(F98="","",IFERROR(COUNTIF($F$6:$F$115,F98),0))</f>
        <v/>
      </c>
      <c r="N98" s="5">
        <f>IF(B98="","",IFERROR(SUMIF($B$6:$B$115,B98,$G$6:$G$115),0))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>
        <f>IF(F99="","",IFERROR(COUNTIF($F$6:$F$115,F99),0))</f>
        <v/>
      </c>
      <c r="N99" s="7">
        <f>IF(B99="","",IFERROR(SUMIF($B$6:$B$115,B99,$G$6:$G$115),0))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>
        <f>IF(F100="","",IFERROR(COUNTIF($F$6:$F$115,F100),0))</f>
        <v/>
      </c>
      <c r="N100" s="5">
        <f>IF(B100="","",IFERROR(SUMIF($B$6:$B$115,B100,$G$6:$G$115),0))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>
        <f>IF(F101="","",IFERROR(COUNTIF($F$6:$F$115,F101),0))</f>
        <v/>
      </c>
      <c r="N101" s="7">
        <f>IF(B101="","",IFERROR(SUMIF($B$6:$B$115,B101,$G$6:$G$115),0))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>
        <f>IF(F102="","",IFERROR(COUNTIF($F$6:$F$115,F102),0))</f>
        <v/>
      </c>
      <c r="N102" s="5">
        <f>IF(B102="","",IFERROR(SUMIF($B$6:$B$115,B102,$G$6:$G$115),0))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>
        <f>IF(F103="","",IFERROR(COUNTIF($F$6:$F$115,F103),0))</f>
        <v/>
      </c>
      <c r="N103" s="7">
        <f>IF(B103="","",IFERROR(SUMIF($B$6:$B$115,B103,$G$6:$G$115),0))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>
        <f>IF(F104="","",IFERROR(COUNTIF($F$6:$F$115,F104),0))</f>
        <v/>
      </c>
      <c r="N104" s="5">
        <f>IF(B104="","",IFERROR(SUMIF($B$6:$B$115,B104,$G$6:$G$115),0))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>
        <f>IF(F105="","",IFERROR(COUNTIF($F$6:$F$115,F105),0))</f>
        <v/>
      </c>
      <c r="N105" s="7">
        <f>IF(B105="","",IFERROR(SUMIF($B$6:$B$115,B105,$G$6:$G$115),0))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>
        <f>IF(F106="","",IFERROR(COUNTIF($F$6:$F$115,F106),0))</f>
        <v/>
      </c>
      <c r="N106" s="5">
        <f>IF(B106="","",IFERROR(SUMIF($B$6:$B$115,B106,$G$6:$G$115),0))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>
        <f>IF(F107="","",IFERROR(COUNTIF($F$6:$F$115,F107),0))</f>
        <v/>
      </c>
      <c r="N107" s="7">
        <f>IF(B107="","",IFERROR(SUMIF($B$6:$B$115,B107,$G$6:$G$115),0))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>
        <f>IF(F108="","",IFERROR(COUNTIF($F$6:$F$115,F108),0))</f>
        <v/>
      </c>
      <c r="N108" s="5">
        <f>IF(B108="","",IFERROR(SUMIF($B$6:$B$115,B108,$G$6:$G$115),0))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>
        <f>IF(F109="","",IFERROR(COUNTIF($F$6:$F$115,F109),0))</f>
        <v/>
      </c>
      <c r="N109" s="7">
        <f>IF(B109="","",IFERROR(SUMIF($B$6:$B$115,B109,$G$6:$G$115),0))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>
        <f>IF(F110="","",IFERROR(COUNTIF($F$6:$F$115,F110),0))</f>
        <v/>
      </c>
      <c r="N110" s="5">
        <f>IF(B110="","",IFERROR(SUMIF($B$6:$B$115,B110,$G$6:$G$115),0))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>
        <f>IF(F111="","",IFERROR(COUNTIF($F$6:$F$115,F111),0))</f>
        <v/>
      </c>
      <c r="N111" s="7">
        <f>IF(B111="","",IFERROR(SUMIF($B$6:$B$115,B111,$G$6:$G$115),0))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>
        <f>IF(F112="","",IFERROR(COUNTIF($F$6:$F$115,F112),0))</f>
        <v/>
      </c>
      <c r="N112" s="5">
        <f>IF(B112="","",IFERROR(SUMIF($B$6:$B$115,B112,$G$6:$G$115),0))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>
        <f>IF(F113="","",IFERROR(COUNTIF($F$6:$F$115,F113),0))</f>
        <v/>
      </c>
      <c r="N113" s="7">
        <f>IF(B113="","",IFERROR(SUMIF($B$6:$B$115,B113,$G$6:$G$115),0))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>
        <f>IF(F114="","",IFERROR(COUNTIF($F$6:$F$115,F114),0))</f>
        <v/>
      </c>
      <c r="N114" s="5">
        <f>IF(B114="","",IFERROR(SUMIF($B$6:$B$115,B114,$G$6:$G$115),0))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>
        <f>IF(F115="","",IFERROR(COUNTIF($F$6:$F$115,F115),0))</f>
        <v/>
      </c>
      <c r="N115" s="7">
        <f>IF(B115="","",IFERROR(SUMIF($B$6:$B$115,B115,$G$6:$G$115),0))</f>
        <v/>
      </c>
    </row>
  </sheetData>
  <mergeCells count="2">
    <mergeCell ref="A3:N3"/>
    <mergeCell ref="A2:N2"/>
  </mergeCells>
  <dataValidations count="4">
    <dataValidation sqref="B6:B115" showDropDown="0" showInputMessage="0" showErrorMessage="0" allowBlank="1" errorTitle="Erreur" error="Valeur invalide" promptTitle="" prompt="Choisir dans la liste: " type="list">
      <formula1>'F02 - _Lists'!$N$6:$N$10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_Lists'!$M$6:$M$10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_Lists'!$N$6:$N$10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_Lists'!$L$6:$L$8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2026-07-17T09:26:01Z</dcterms:created>
  <dcterms:modified xmlns:dcterms="http://purl.org/dc/terms/" xmlns:xsi="http://www.w3.org/2001/XMLSchema-instance" xsi:type="dcterms:W3CDTF">2026-07-17T09:26:02Z</dcterms:modified>
</cp:coreProperties>
</file>