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Compteur Conges Payes" sheetId="4" state="visible" r:id="rId4"/>
    <sheet xmlns:r="http://schemas.openxmlformats.org/officeDocument/2006/relationships" name="3-Planning Departs Conge" sheetId="5" state="visible" r:id="rId5"/>
    <sheet xmlns:r="http://schemas.openxmlformats.org/officeDocument/2006/relationships" name="4-Permissions Speciales" sheetId="6" state="visible" r:id="rId6"/>
    <sheet xmlns:r="http://schemas.openxmlformats.org/officeDocument/2006/relationships" name="5-Conges Sans Solde" sheetId="7" state="visible" r:id="rId7"/>
    <sheet xmlns:r="http://schemas.openxmlformats.org/officeDocument/2006/relationships" name="6-Absences Non Justifiees" sheetId="8" state="visible" r:id="rId8"/>
    <sheet xmlns:r="http://schemas.openxmlformats.org/officeDocument/2006/relationships" name="7-Retards &amp; Departs Anticipes" sheetId="9" state="visible" r:id="rId9"/>
    <sheet xmlns:r="http://schemas.openxmlformats.org/officeDocument/2006/relationships" name="8-Arrets Maladie" sheetId="10" state="visible" r:id="rId10"/>
    <sheet xmlns:r="http://schemas.openxmlformats.org/officeDocument/2006/relationships" name="9-Arrets Accident Travail" sheetId="11" state="visible" r:id="rId11"/>
    <sheet xmlns:r="http://schemas.openxmlformats.org/officeDocument/2006/relationships" name="10-Conges Maternite Paternite" sheetId="12" state="visible" r:id="rId12"/>
    <sheet xmlns:r="http://schemas.openxmlformats.org/officeDocument/2006/relationships" name="11-Taux Absenteisme" sheetId="13" state="visible" r:id="rId13"/>
    <sheet xmlns:r="http://schemas.openxmlformats.org/officeDocument/2006/relationships" name="12-Journal de Pointage" sheetId="14" state="visible" r:id="rId14"/>
    <sheet xmlns:r="http://schemas.openxmlformats.org/officeDocument/2006/relationships" name="13-Conge Force &amp; Repos Impose" sheetId="15" state="visible" r:id="rId15"/>
    <sheet xmlns:r="http://schemas.openxmlformats.org/officeDocument/2006/relationships" name="14-Solde Conges par Dept" sheetId="16" state="visible" r:id="rId16"/>
    <sheet xmlns:r="http://schemas.openxmlformats.org/officeDocument/2006/relationships" name="15-Historique Presence Annuelle" sheetId="17" state="visible" r:id="rId17"/>
    <sheet xmlns:r="http://schemas.openxmlformats.org/officeDocument/2006/relationships" name="16-Calendrier Conges" sheetId="18" state="visible" r:id="rId18"/>
    <sheet xmlns:r="http://schemas.openxmlformats.org/officeDocument/2006/relationships" name="17-Compteurs Absences Employe" sheetId="19" state="visible" r:id="rId19"/>
    <sheet xmlns:r="http://schemas.openxmlformats.org/officeDocument/2006/relationships" name="18-Rapports &amp; Stat Absenc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0.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164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1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4" fontId="8" fillId="4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Absences par Motif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Bord'!C23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Bord'!$B$24:$B$30</f>
            </numRef>
          </cat>
          <val>
            <numRef>
              <f>'1-Tableau de Bord'!$C$24:$C$30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Absentéisme par Service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Bord'!I32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Bord'!$H$33:$H$39</f>
            </numRef>
          </cat>
          <val>
            <numRef>
              <f>'1-Tableau de Bord'!$I$33:$I$39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4">
      <c r="B4" s="36" t="inlineStr">
        <is>
          <t>Matricule</t>
        </is>
      </c>
      <c r="C4" s="36" t="inlineStr">
        <is>
          <t>Civilité</t>
        </is>
      </c>
      <c r="D4" s="36" t="inlineStr">
        <is>
          <t>Nom</t>
        </is>
      </c>
      <c r="E4" s="36" t="inlineStr">
        <is>
          <t>Prénom</t>
        </is>
      </c>
      <c r="F4" s="36" t="inlineStr">
        <is>
          <t>Département</t>
        </is>
      </c>
      <c r="G4" s="36" t="inlineStr">
        <is>
          <t>Poste</t>
        </is>
      </c>
      <c r="H4" s="36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5 — CONGES, ABSENCES &amp; PRESENCE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Droits acquis (j)</t>
        </is>
      </c>
      <c r="E5" s="3" t="inlineStr">
        <is>
          <t>Conges pris (j)</t>
        </is>
      </c>
      <c r="H5" s="3" t="inlineStr">
        <is>
          <t>Solde disponible (j)</t>
        </is>
      </c>
      <c r="K5" s="3" t="inlineStr">
        <is>
          <t>Depart en cours</t>
        </is>
      </c>
    </row>
    <row r="6">
      <c r="B6" s="4">
        <f>SUM('2-Compteur Conges Payes'!G5:G104)</f>
        <v/>
      </c>
      <c r="E6" s="4">
        <f>SUM('2-Compteur Conges Payes'!H5:H104)</f>
        <v/>
      </c>
      <c r="H6" s="4">
        <f>SUM('2-Compteur Conges Payes'!J5:J104)</f>
        <v/>
      </c>
      <c r="K6" s="4">
        <f>COUNTIF('3-Planning Departs Conge'!M5:M104,"En cours")</f>
        <v/>
      </c>
    </row>
    <row r="7"/>
    <row r="8"/>
    <row r="9">
      <c r="B9" s="3" t="inlineStr">
        <is>
          <t>Permissions accordées</t>
        </is>
      </c>
      <c r="E9" s="3" t="inlineStr">
        <is>
          <t>Absences NJ (total)</t>
        </is>
      </c>
      <c r="H9" s="3" t="inlineStr">
        <is>
          <t>Retards cumules (min)</t>
        </is>
      </c>
      <c r="K9" s="3" t="inlineStr">
        <is>
          <t>Arrets maladie (j)</t>
        </is>
      </c>
    </row>
    <row r="10">
      <c r="B10" s="4">
        <f>COUNTIF('4-Permissions Speciales'!K5:K104,"&lt;&gt;")</f>
        <v/>
      </c>
      <c r="E10" s="4">
        <f>SUM('6-Absences Non Justifiees'!I5:I104)</f>
        <v/>
      </c>
      <c r="H10" s="4">
        <f>SUM('7-Retards &amp; Departs Anticipes'!J5:J104)</f>
        <v/>
      </c>
      <c r="K10" s="4">
        <f>SUM('8-Arrets Maladie'!I5:I104)</f>
        <v/>
      </c>
    </row>
    <row r="11"/>
    <row r="12"/>
    <row r="13">
      <c r="B13" s="3" t="inlineStr">
        <is>
          <t>Accidents travail</t>
        </is>
      </c>
      <c r="E13" s="3" t="inlineStr">
        <is>
          <t>Maternite en cours</t>
        </is>
      </c>
      <c r="H13" s="3" t="inlineStr">
        <is>
          <t>Taux absenteisme moy.</t>
        </is>
      </c>
      <c r="K13" s="3" t="inlineStr">
        <is>
          <t>Score presence moyen</t>
        </is>
      </c>
    </row>
    <row r="14">
      <c r="B14" s="4">
        <f>COUNTIF('9-Arrets Accident Travail'!B5:B104,"&lt;&gt;")</f>
        <v/>
      </c>
      <c r="E14" s="4">
        <f>COUNTIF('10-Conges Maternite Paternite'!M5:M104,"En cours")</f>
        <v/>
      </c>
      <c r="H14" s="5">
        <f>IFERROR(AVERAGE('11-Taux Absenteisme'!K5:K104),0)</f>
        <v/>
      </c>
      <c r="K14" s="5">
        <f>IFERROR(AVERAGE('17-Compteurs Absences Employe'!L5:L104),0)</f>
        <v/>
      </c>
    </row>
    <row r="15"/>
    <row r="16"/>
    <row r="17">
      <c r="B17" s="3" t="inlineStr">
        <is>
          <t>CS sans solde</t>
        </is>
      </c>
      <c r="E17" s="3" t="inlineStr">
        <is>
          <t>Conges forces (j)</t>
        </is>
      </c>
      <c r="H17" s="3" t="inlineStr">
        <is>
          <t>Pointages saisis</t>
        </is>
      </c>
      <c r="K17" s="3" t="inlineStr">
        <is>
          <t>Rapports d'absences</t>
        </is>
      </c>
    </row>
    <row r="18">
      <c r="B18" s="4">
        <f>COUNTIF('5-Conges Sans Solde'!B5:B104,"&lt;&gt;")</f>
        <v/>
      </c>
      <c r="E18" s="4">
        <f>SUM('13-Conge Force &amp; Repos Impose'!G5:G104)</f>
        <v/>
      </c>
      <c r="H18" s="4">
        <f>COUNTIF('12-Journal de Pointage'!B5:B104,"&lt;&gt;")</f>
        <v/>
      </c>
      <c r="K18" s="4">
        <f>COUNTIF('18-Rapports &amp; Stat Absences'!B5:B104,"&lt;&gt;")</f>
        <v/>
      </c>
    </row>
    <row r="19"/>
    <row r="20"/>
    <row r="21"/>
    <row r="22">
      <c r="B22" s="6" t="inlineStr">
        <is>
          <t>ABSENCES PAR MOTIF &amp; PAR DEPARTEMENT</t>
        </is>
      </c>
    </row>
    <row r="23" ht="15" customHeight="1">
      <c r="B23" s="3" t="inlineStr">
        <is>
          <t>Motif</t>
        </is>
      </c>
      <c r="C23" s="3" t="inlineStr">
        <is>
          <t>Nombre</t>
        </is>
      </c>
    </row>
    <row r="24" ht="15" customHeight="1">
      <c r="B24" s="7" t="inlineStr">
        <is>
          <t>Conge annuel</t>
        </is>
      </c>
      <c r="C24" s="8">
        <f>SUM('2-Compteur Conges Payes'!H5:H104)</f>
        <v/>
      </c>
    </row>
    <row r="25" ht="15" customHeight="1">
      <c r="B25" s="7" t="inlineStr">
        <is>
          <t>Arret maladie</t>
        </is>
      </c>
      <c r="C25" s="8">
        <f>SUM('8-Arrets Maladie'!I5:I104)</f>
        <v/>
      </c>
    </row>
    <row r="26" ht="15" customHeight="1">
      <c r="B26" s="7" t="inlineStr">
        <is>
          <t>Absence injustifiee</t>
        </is>
      </c>
      <c r="C26" s="8">
        <f>SUM('6-Absences Non Justifiees'!I5:I104)</f>
        <v/>
      </c>
    </row>
    <row r="27" ht="15" customHeight="1">
      <c r="B27" s="7" t="inlineStr">
        <is>
          <t>Retard</t>
        </is>
      </c>
      <c r="C27" s="8">
        <f>COUNTIF('7-Retards &amp; Departs Anticipes'!B5:B104,"&lt;&gt;")</f>
        <v/>
      </c>
    </row>
    <row r="28" ht="15" customHeight="1">
      <c r="B28" s="7" t="inlineStr">
        <is>
          <t>Permission speciale</t>
        </is>
      </c>
      <c r="C28" s="8">
        <f>COUNTIF('4-Permissions Speciales'!B5:B104,"&lt;&gt;")</f>
        <v/>
      </c>
    </row>
    <row r="29" ht="15" customHeight="1">
      <c r="B29" s="7" t="inlineStr">
        <is>
          <t>Accident travail</t>
        </is>
      </c>
      <c r="C29" s="8">
        <f>COUNTIF('9-Arrets Accident Travail'!B5:B104,"&lt;&gt;")</f>
        <v/>
      </c>
    </row>
    <row r="30" ht="15" customHeight="1">
      <c r="B30" s="7" t="inlineStr">
        <is>
          <t>Conge sans solde</t>
        </is>
      </c>
      <c r="C30" s="8">
        <f>COUNTIF('5-Conges Sans Solde'!B5:B104,"&lt;&gt;")</f>
        <v/>
      </c>
    </row>
    <row r="31" ht="15" customHeight="1"/>
    <row r="32" ht="15" customHeight="1">
      <c r="H32" s="3" t="inlineStr">
        <is>
          <t>Service</t>
        </is>
      </c>
      <c r="I32" s="3" t="inlineStr">
        <is>
          <t>Taux Abs.</t>
        </is>
      </c>
    </row>
    <row r="33" ht="15" customHeight="1">
      <c r="H33" s="7" t="inlineStr">
        <is>
          <t>RH</t>
        </is>
      </c>
      <c r="I33" s="9">
        <f>IFERROR(AVERAGEIF('11-Taux Absenteisme'!C5:C104,"*"&amp;H33&amp;"*",'11-Taux Absenteisme'!K5:K104),0)</f>
        <v/>
      </c>
    </row>
    <row r="34" ht="15" customHeight="1">
      <c r="H34" s="7" t="inlineStr">
        <is>
          <t>Informatique</t>
        </is>
      </c>
      <c r="I34" s="9">
        <f>IFERROR(AVERAGEIF('11-Taux Absenteisme'!C5:C104,"*"&amp;H34&amp;"*",'11-Taux Absenteisme'!K5:K104),0)</f>
        <v/>
      </c>
    </row>
    <row r="35" ht="15" customHeight="1">
      <c r="H35" s="7" t="inlineStr">
        <is>
          <t>Finance</t>
        </is>
      </c>
      <c r="I35" s="9">
        <f>IFERROR(AVERAGEIF('11-Taux Absenteisme'!C5:C104,"*"&amp;H35&amp;"*",'11-Taux Absenteisme'!K5:K104),0)</f>
        <v/>
      </c>
    </row>
    <row r="36" ht="15" customHeight="1">
      <c r="H36" s="7" t="inlineStr">
        <is>
          <t>Reception</t>
        </is>
      </c>
      <c r="I36" s="9">
        <f>IFERROR(AVERAGEIF('11-Taux Absenteisme'!C5:C104,"*"&amp;H36&amp;"*",'11-Taux Absenteisme'!K5:K104),0)</f>
        <v/>
      </c>
    </row>
    <row r="37" ht="15" customHeight="1">
      <c r="H37" s="7" t="inlineStr">
        <is>
          <t>Cuisine</t>
        </is>
      </c>
      <c r="I37" s="9">
        <f>IFERROR(AVERAGEIF('11-Taux Absenteisme'!C5:C104,"*"&amp;H37&amp;"*",'11-Taux Absenteisme'!K5:K104),0)</f>
        <v/>
      </c>
    </row>
    <row r="38" ht="15" customHeight="1">
      <c r="H38" s="7" t="inlineStr">
        <is>
          <t>Entretien</t>
        </is>
      </c>
      <c r="I38" s="9">
        <f>IFERROR(AVERAGEIF('11-Taux Absenteisme'!C5:C104,"*"&amp;H38&amp;"*",'11-Taux Absenteisme'!K5:K104),0)</f>
        <v/>
      </c>
    </row>
    <row r="39" ht="15" customHeight="1">
      <c r="H39" s="7" t="inlineStr">
        <is>
          <t>Securite</t>
        </is>
      </c>
      <c r="I39" s="9">
        <f>IFERROR(AVERAGEIF('11-Taux Absenteisme'!C5:C104,"*"&amp;H39&amp;"*",'11-Taux Absenteisme'!K5:K104),0)</f>
        <v/>
      </c>
    </row>
  </sheetData>
  <mergeCells count="35">
    <mergeCell ref="H10:I10"/>
    <mergeCell ref="B3:L3"/>
    <mergeCell ref="K9:L9"/>
    <mergeCell ref="E5:F5"/>
    <mergeCell ref="K5:L5"/>
    <mergeCell ref="E14:F14"/>
    <mergeCell ref="B22:L22"/>
    <mergeCell ref="B18:C18"/>
    <mergeCell ref="E17:F17"/>
    <mergeCell ref="H9:I9"/>
    <mergeCell ref="H6:I6"/>
    <mergeCell ref="E10:F10"/>
    <mergeCell ref="B2:L2"/>
    <mergeCell ref="B14:C14"/>
    <mergeCell ref="E13:F13"/>
    <mergeCell ref="B17:C17"/>
    <mergeCell ref="E9:F9"/>
    <mergeCell ref="H17:I17"/>
    <mergeCell ref="B13:C13"/>
    <mergeCell ref="E6:F6"/>
    <mergeCell ref="B10:C10"/>
    <mergeCell ref="B9:C9"/>
    <mergeCell ref="H13:I13"/>
    <mergeCell ref="K14:L14"/>
    <mergeCell ref="K17:L17"/>
    <mergeCell ref="B6:C6"/>
    <mergeCell ref="B5:C5"/>
    <mergeCell ref="K10:L10"/>
    <mergeCell ref="H18:I18"/>
    <mergeCell ref="H5:I5"/>
    <mergeCell ref="H14:I14"/>
    <mergeCell ref="K6:L6"/>
    <mergeCell ref="K13:L13"/>
    <mergeCell ref="E18:F18"/>
    <mergeCell ref="K18:L18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B18">
    <cfRule type="cellIs" priority="13" operator="greaterThan" dxfId="4">
      <formula>0</formula>
    </cfRule>
  </conditionalFormatting>
  <conditionalFormatting sqref="E18">
    <cfRule type="cellIs" priority="14" operator="greaterThan" dxfId="4">
      <formula>0</formula>
    </cfRule>
  </conditionalFormatting>
  <conditionalFormatting sqref="H18">
    <cfRule type="cellIs" priority="15" operator="greaterThan" dxfId="4">
      <formula>0</formula>
    </cfRule>
  </conditionalFormatting>
  <conditionalFormatting sqref="K18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C25">
    <cfRule type="cellIs" priority="18" operator="greaterThan" dxfId="4">
      <formula>0</formula>
    </cfRule>
  </conditionalFormatting>
  <conditionalFormatting sqref="C26">
    <cfRule type="cellIs" priority="19" operator="greaterThan" dxfId="4">
      <formula>0</formula>
    </cfRule>
  </conditionalFormatting>
  <conditionalFormatting sqref="C27">
    <cfRule type="cellIs" priority="20" operator="greaterThan" dxfId="4">
      <formula>0</formula>
    </cfRule>
  </conditionalFormatting>
  <conditionalFormatting sqref="C28">
    <cfRule type="cellIs" priority="21" operator="greaterThan" dxfId="4">
      <formula>0</formula>
    </cfRule>
  </conditionalFormatting>
  <conditionalFormatting sqref="C29">
    <cfRule type="cellIs" priority="22" operator="greaterThan" dxfId="4">
      <formula>0</formula>
    </cfRule>
  </conditionalFormatting>
  <conditionalFormatting sqref="C30">
    <cfRule type="cellIs" priority="23" operator="greaterThan" dxfId="4">
      <formula>0</formula>
    </cfRule>
  </conditionalFormatting>
  <conditionalFormatting sqref="I33">
    <cfRule type="cellIs" priority="24" operator="greaterThan" dxfId="4">
      <formula>0</formula>
    </cfRule>
  </conditionalFormatting>
  <conditionalFormatting sqref="I34">
    <cfRule type="cellIs" priority="25" operator="greaterThan" dxfId="4">
      <formula>0</formula>
    </cfRule>
  </conditionalFormatting>
  <conditionalFormatting sqref="I35">
    <cfRule type="cellIs" priority="26" operator="greaterThan" dxfId="4">
      <formula>0</formula>
    </cfRule>
  </conditionalFormatting>
  <conditionalFormatting sqref="I36">
    <cfRule type="cellIs" priority="27" operator="greaterThan" dxfId="4">
      <formula>0</formula>
    </cfRule>
  </conditionalFormatting>
  <conditionalFormatting sqref="I37">
    <cfRule type="cellIs" priority="28" operator="greaterThan" dxfId="4">
      <formula>0</formula>
    </cfRule>
  </conditionalFormatting>
  <conditionalFormatting sqref="I38">
    <cfRule type="cellIs" priority="29" operator="greaterThan" dxfId="4">
      <formula>0</formula>
    </cfRule>
  </conditionalFormatting>
  <conditionalFormatting sqref="I39">
    <cfRule type="cellIs" priority="30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25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departement</t>
        </is>
      </c>
      <c r="C1" s="10" t="inlineStr">
        <is>
          <t>poste_hotel</t>
        </is>
      </c>
      <c r="D1" s="10" t="inlineStr">
        <is>
          <t>type_conge</t>
        </is>
      </c>
      <c r="E1" s="10" t="inlineStr">
        <is>
          <t>statut_conge</t>
        </is>
      </c>
      <c r="F1" s="10" t="inlineStr">
        <is>
          <t>motif_permission</t>
        </is>
      </c>
      <c r="G1" s="10" t="inlineStr">
        <is>
          <t>duree_legale</t>
        </is>
      </c>
      <c r="H1" s="10" t="inlineStr">
        <is>
          <t>type_absence</t>
        </is>
      </c>
      <c r="I1" s="10" t="inlineStr">
        <is>
          <t>sanction_absence</t>
        </is>
      </c>
      <c r="J1" s="10" t="inlineStr">
        <is>
          <t>statut_absence</t>
        </is>
      </c>
      <c r="K1" s="10" t="inlineStr">
        <is>
          <t>type_retard</t>
        </is>
      </c>
      <c r="L1" s="10" t="inlineStr">
        <is>
          <t>statut_retard</t>
        </is>
      </c>
      <c r="M1" s="10" t="inlineStr">
        <is>
          <t>type_arret</t>
        </is>
      </c>
      <c r="N1" s="10" t="inlineStr">
        <is>
          <t>statut_arret</t>
        </is>
      </c>
      <c r="O1" s="10" t="inlineStr">
        <is>
          <t>certificat</t>
        </is>
      </c>
      <c r="P1" s="10" t="inlineStr">
        <is>
          <t>cause_accident</t>
        </is>
      </c>
      <c r="Q1" s="10" t="inlineStr">
        <is>
          <t>type_suivi</t>
        </is>
      </c>
      <c r="R1" s="10" t="inlineStr">
        <is>
          <t>mois</t>
        </is>
      </c>
      <c r="S1" s="10" t="inlineStr">
        <is>
          <t>annee</t>
        </is>
      </c>
      <c r="T1" s="10" t="inlineStr">
        <is>
          <t>statut_rapport</t>
        </is>
      </c>
    </row>
    <row r="2">
      <c r="B2" s="11" t="inlineStr">
        <is>
          <t>Direction Générale</t>
        </is>
      </c>
      <c r="C2" s="11" t="inlineStr">
        <is>
          <t>DG</t>
        </is>
      </c>
      <c r="D2" s="11" t="inlineStr">
        <is>
          <t>Conge annuel</t>
        </is>
      </c>
      <c r="E2" s="11" t="inlineStr">
        <is>
          <t>Planifie</t>
        </is>
      </c>
      <c r="F2" s="11" t="inlineStr">
        <is>
          <t>Mariage</t>
        </is>
      </c>
      <c r="G2" s="11" t="inlineStr">
        <is>
          <t>1 jour</t>
        </is>
      </c>
      <c r="H2" s="11" t="inlineStr">
        <is>
          <t>Absence injustifiee</t>
        </is>
      </c>
      <c r="I2" s="11" t="inlineStr">
        <is>
          <t>Avertissement oral</t>
        </is>
      </c>
      <c r="J2" s="11" t="inlineStr">
        <is>
          <t>En cours</t>
        </is>
      </c>
      <c r="K2" s="11" t="inlineStr">
        <is>
          <t>Retard arrivee</t>
        </is>
      </c>
      <c r="L2" s="11" t="inlineStr">
        <is>
          <t>Justifie</t>
        </is>
      </c>
      <c r="M2" s="11" t="inlineStr">
        <is>
          <t>Arret maladie</t>
        </is>
      </c>
      <c r="N2" s="11" t="inlineStr">
        <is>
          <t>En cours</t>
        </is>
      </c>
      <c r="O2" s="11" t="inlineStr">
        <is>
          <t>Oui</t>
        </is>
      </c>
      <c r="P2" s="11" t="inlineStr">
        <is>
          <t>Chute</t>
        </is>
      </c>
      <c r="Q2" s="11" t="inlineStr">
        <is>
          <t>Reprise progressive</t>
        </is>
      </c>
      <c r="R2" s="11" t="inlineStr">
        <is>
          <t>Janvier</t>
        </is>
      </c>
      <c r="S2" s="11" t="inlineStr">
        <is>
          <t>2024</t>
        </is>
      </c>
      <c r="T2" s="11" t="inlineStr">
        <is>
          <t>Brouillon</t>
        </is>
      </c>
    </row>
    <row r="3">
      <c r="B3" s="11" t="inlineStr">
        <is>
          <t>Ressources Humaines</t>
        </is>
      </c>
      <c r="C3" s="11" t="inlineStr">
        <is>
          <t>DRH</t>
        </is>
      </c>
      <c r="D3" s="11" t="inlineStr">
        <is>
          <t>Conge de maternite</t>
        </is>
      </c>
      <c r="E3" s="11" t="inlineStr">
        <is>
          <t>En cours</t>
        </is>
      </c>
      <c r="F3" s="11" t="inlineStr">
        <is>
          <t>Deces conjoint</t>
        </is>
      </c>
      <c r="G3" s="11" t="inlineStr">
        <is>
          <t>2 jours</t>
        </is>
      </c>
      <c r="H3" s="11" t="inlineStr">
        <is>
          <t>Abandon de poste</t>
        </is>
      </c>
      <c r="I3" s="11" t="inlineStr">
        <is>
          <t>Avertissement ecrit</t>
        </is>
      </c>
      <c r="J3" s="11" t="inlineStr">
        <is>
          <t>Justifiee a posteriori</t>
        </is>
      </c>
      <c r="K3" s="11" t="inlineStr">
        <is>
          <t>Depart anticipe</t>
        </is>
      </c>
      <c r="L3" s="11" t="inlineStr">
        <is>
          <t>Non justifie</t>
        </is>
      </c>
      <c r="M3" s="11" t="inlineStr">
        <is>
          <t>Arret accident du travail</t>
        </is>
      </c>
      <c r="N3" s="11" t="inlineStr">
        <is>
          <t>Prolonge</t>
        </is>
      </c>
      <c r="O3" s="11" t="inlineStr">
        <is>
          <t>Non</t>
        </is>
      </c>
      <c r="P3" s="11" t="inlineStr">
        <is>
          <t>Coupure/brulure</t>
        </is>
      </c>
      <c r="Q3" s="11" t="inlineStr">
        <is>
          <t>Reprise pleine</t>
        </is>
      </c>
      <c r="R3" s="11" t="inlineStr">
        <is>
          <t>Fevrier</t>
        </is>
      </c>
      <c r="S3" s="11" t="inlineStr">
        <is>
          <t>2025</t>
        </is>
      </c>
      <c r="T3" s="11" t="inlineStr">
        <is>
          <t>Valide</t>
        </is>
      </c>
    </row>
    <row r="4">
      <c r="B4" s="11" t="inlineStr">
        <is>
          <t>Finance &amp; Comptabilité</t>
        </is>
      </c>
      <c r="C4" s="11" t="inlineStr">
        <is>
          <t>Assistante RH</t>
        </is>
      </c>
      <c r="D4" s="11" t="inlineStr">
        <is>
          <t>Conge de paternite</t>
        </is>
      </c>
      <c r="E4" s="11" t="inlineStr">
        <is>
          <t>Termine</t>
        </is>
      </c>
      <c r="F4" s="11" t="inlineStr">
        <is>
          <t>Deces enfant</t>
        </is>
      </c>
      <c r="G4" s="11" t="inlineStr">
        <is>
          <t>3 jours</t>
        </is>
      </c>
      <c r="H4" s="11" t="inlineStr">
        <is>
          <t>Non presentation</t>
        </is>
      </c>
      <c r="I4" s="11" t="inlineStr">
        <is>
          <t>Blame</t>
        </is>
      </c>
      <c r="J4" s="11" t="inlineStr">
        <is>
          <t>Sanctionnee</t>
        </is>
      </c>
      <c r="K4" s="11" t="inlineStr">
        <is>
          <t>Pause allongee</t>
        </is>
      </c>
      <c r="L4" s="11" t="inlineStr">
        <is>
          <t>Tolere</t>
        </is>
      </c>
      <c r="M4" s="11" t="inlineStr">
        <is>
          <t>Arret maladie professionnelle</t>
        </is>
      </c>
      <c r="N4" s="11" t="inlineStr">
        <is>
          <t>Termine</t>
        </is>
      </c>
      <c r="O4" s="11" t="inlineStr">
        <is>
          <t>En attente</t>
        </is>
      </c>
      <c r="P4" s="11" t="inlineStr">
        <is>
          <t>Manutention</t>
        </is>
      </c>
      <c r="Q4" s="11" t="inlineStr">
        <is>
          <t>Visite de reprise</t>
        </is>
      </c>
      <c r="R4" s="11" t="inlineStr">
        <is>
          <t>Mars</t>
        </is>
      </c>
      <c r="S4" s="11" t="inlineStr">
        <is>
          <t>2026</t>
        </is>
      </c>
      <c r="T4" s="11" t="inlineStr">
        <is>
          <t>Approuve</t>
        </is>
      </c>
    </row>
    <row r="5">
      <c r="B5" s="11" t="inlineStr">
        <is>
          <t>Marketing &amp; Communication</t>
        </is>
      </c>
      <c r="C5" s="11" t="inlineStr">
        <is>
          <t>DAF</t>
        </is>
      </c>
      <c r="D5" s="11" t="inlineStr">
        <is>
          <t>Conge sans solde</t>
        </is>
      </c>
      <c r="E5" s="11" t="inlineStr">
        <is>
          <t>Annule</t>
        </is>
      </c>
      <c r="F5" s="11" t="inlineStr">
        <is>
          <t>Deces parent</t>
        </is>
      </c>
      <c r="G5" s="11" t="inlineStr">
        <is>
          <t>4 jours</t>
        </is>
      </c>
      <c r="H5" s="11" t="inlineStr">
        <is>
          <t>Desertion</t>
        </is>
      </c>
      <c r="I5" s="11" t="inlineStr">
        <is>
          <t>Mise a pied 1 jour</t>
        </is>
      </c>
      <c r="J5" s="11" t="inlineStr">
        <is>
          <t>Cloturee</t>
        </is>
      </c>
      <c r="K5" s="11" t="inlineStr">
        <is>
          <t>Retour pause tardif</t>
        </is>
      </c>
      <c r="L5" s="11" t="inlineStr">
        <is>
          <t>Sanctionne</t>
        </is>
      </c>
      <c r="M5" s="11" t="inlineStr">
        <is>
          <t>Conge maternite</t>
        </is>
      </c>
      <c r="N5" s="11" t="inlineStr">
        <is>
          <t>Reprise</t>
        </is>
      </c>
      <c r="O5" s="11" t="inlineStr">
        <is>
          <t>Non requis</t>
        </is>
      </c>
      <c r="P5" s="11" t="inlineStr">
        <is>
          <t>Choc</t>
        </is>
      </c>
      <c r="Q5" s="11" t="inlineStr">
        <is>
          <t>Aptitude</t>
        </is>
      </c>
      <c r="R5" s="11" t="inlineStr">
        <is>
          <t>Avril</t>
        </is>
      </c>
      <c r="T5" s="11" t="inlineStr">
        <is>
          <t>Rejete</t>
        </is>
      </c>
    </row>
    <row r="6">
      <c r="B6" s="11" t="inlineStr">
        <is>
          <t>Informatique</t>
        </is>
      </c>
      <c r="C6" s="11" t="inlineStr">
        <is>
          <t>Comptable senior</t>
        </is>
      </c>
      <c r="D6" s="11" t="inlineStr">
        <is>
          <t>Permission speciale</t>
        </is>
      </c>
      <c r="E6" s="11" t="inlineStr">
        <is>
          <t>Refuse</t>
        </is>
      </c>
      <c r="F6" s="11" t="inlineStr">
        <is>
          <t>Deces beau-parent</t>
        </is>
      </c>
      <c r="G6" s="11" t="inlineStr">
        <is>
          <t>5 jours</t>
        </is>
      </c>
      <c r="H6" s="11" t="inlineStr">
        <is>
          <t>Absent sans autorisation</t>
        </is>
      </c>
      <c r="I6" s="11" t="inlineStr">
        <is>
          <t>Mise a pied 3 jours</t>
        </is>
      </c>
      <c r="J6" s="11" t="inlineStr">
        <is>
          <t>En attente</t>
        </is>
      </c>
      <c r="M6" s="11" t="inlineStr">
        <is>
          <t>Conge paternite</t>
        </is>
      </c>
      <c r="N6" s="11" t="inlineStr">
        <is>
          <t>En attente de justification</t>
        </is>
      </c>
      <c r="P6" s="11" t="inlineStr">
        <is>
          <t>Exposition chimique</t>
        </is>
      </c>
      <c r="Q6" s="11" t="inlineStr">
        <is>
          <t>Inaptitude</t>
        </is>
      </c>
      <c r="R6" s="11" t="inlineStr">
        <is>
          <t>Mai</t>
        </is>
      </c>
    </row>
    <row r="7">
      <c r="B7" s="11" t="inlineStr">
        <is>
          <t>Commercial</t>
        </is>
      </c>
      <c r="C7" s="11" t="inlineStr">
        <is>
          <t>Chef Comptable</t>
        </is>
      </c>
      <c r="D7" s="11" t="inlineStr">
        <is>
          <t>Conge force</t>
        </is>
      </c>
      <c r="E7" s="11" t="inlineStr">
        <is>
          <t>En attente</t>
        </is>
      </c>
      <c r="F7" s="11" t="inlineStr">
        <is>
          <t>Naissance</t>
        </is>
      </c>
      <c r="G7" s="11" t="inlineStr">
        <is>
          <t>7 jours</t>
        </is>
      </c>
      <c r="I7" s="11" t="inlineStr">
        <is>
          <t>Licenciement</t>
        </is>
      </c>
      <c r="M7" s="11" t="inlineStr">
        <is>
          <t>Hospitalisation</t>
        </is>
      </c>
      <c r="P7" s="11" t="inlineStr">
        <is>
          <t>Accident de trajet</t>
        </is>
      </c>
      <c r="R7" s="11" t="inlineStr">
        <is>
          <t>Juin</t>
        </is>
      </c>
    </row>
    <row r="8">
      <c r="B8" s="11" t="inlineStr">
        <is>
          <t>Logistique &amp; Approvisionnement</t>
        </is>
      </c>
      <c r="C8" s="11" t="inlineStr">
        <is>
          <t>Chef Marketing</t>
        </is>
      </c>
      <c r="D8" s="11" t="inlineStr">
        <is>
          <t>Repos compensatoire</t>
        </is>
      </c>
      <c r="F8" s="11" t="inlineStr">
        <is>
          <t>Bapteme</t>
        </is>
      </c>
      <c r="G8" s="11" t="inlineStr">
        <is>
          <t>10 jours</t>
        </is>
      </c>
      <c r="P8" s="11" t="inlineStr">
        <is>
          <t>Autre</t>
        </is>
      </c>
      <c r="R8" s="11" t="inlineStr">
        <is>
          <t>Juillet</t>
        </is>
      </c>
    </row>
    <row r="9">
      <c r="B9" s="11" t="inlineStr">
        <is>
          <t>Production</t>
        </is>
      </c>
      <c r="C9" s="11" t="inlineStr">
        <is>
          <t>Chef de service IT</t>
        </is>
      </c>
      <c r="D9" s="11" t="inlineStr">
        <is>
          <t>Conge sabbatique</t>
        </is>
      </c>
      <c r="F9" s="11" t="inlineStr">
        <is>
          <t>Demenagement</t>
        </is>
      </c>
      <c r="G9" s="11" t="inlineStr">
        <is>
          <t>14 jours</t>
        </is>
      </c>
      <c r="R9" s="11" t="inlineStr">
        <is>
          <t>Aout</t>
        </is>
      </c>
    </row>
    <row r="10">
      <c r="B10" s="11" t="inlineStr">
        <is>
          <t>Service Client</t>
        </is>
      </c>
      <c r="C10" s="11" t="inlineStr">
        <is>
          <t>Technicien IT</t>
        </is>
      </c>
      <c r="F10" s="11" t="inlineStr">
        <is>
          <t>Evenement familial</t>
        </is>
      </c>
      <c r="G10" s="11" t="inlineStr">
        <is>
          <t>1 mois</t>
        </is>
      </c>
      <c r="R10" s="11" t="inlineStr">
        <is>
          <t>Septembre</t>
        </is>
      </c>
    </row>
    <row r="11">
      <c r="B11" s="11" t="inlineStr">
        <is>
          <t>Reception &amp; Front Office</t>
        </is>
      </c>
      <c r="C11" s="11" t="inlineStr">
        <is>
          <t>Chef Commercial</t>
        </is>
      </c>
      <c r="F11" s="11" t="inlineStr">
        <is>
          <t>Examen</t>
        </is>
      </c>
      <c r="G11" s="11" t="inlineStr">
        <is>
          <t>3 mois</t>
        </is>
      </c>
      <c r="R11" s="11" t="inlineStr">
        <is>
          <t>Octobre</t>
        </is>
      </c>
    </row>
    <row r="12">
      <c r="B12" s="11" t="inlineStr">
        <is>
          <t>Cuisine &amp; Restauration</t>
        </is>
      </c>
      <c r="C12" s="11" t="inlineStr">
        <is>
          <t>Agent Commercial</t>
        </is>
      </c>
      <c r="G12" s="11" t="inlineStr">
        <is>
          <t>Variable</t>
        </is>
      </c>
      <c r="R12" s="11" t="inlineStr">
        <is>
          <t>Novembre</t>
        </is>
      </c>
    </row>
    <row r="13">
      <c r="B13" s="11" t="inlineStr">
        <is>
          <t>Maintenance</t>
        </is>
      </c>
      <c r="C13" s="11" t="inlineStr">
        <is>
          <t>Chef Logistique</t>
        </is>
      </c>
      <c r="R13" s="11" t="inlineStr">
        <is>
          <t>Decembre</t>
        </is>
      </c>
    </row>
    <row r="14">
      <c r="B14" s="11" t="inlineStr">
        <is>
          <t>Sécurité</t>
        </is>
      </c>
      <c r="C14" s="11" t="inlineStr">
        <is>
          <t>Magasinier</t>
        </is>
      </c>
    </row>
    <row r="15">
      <c r="B15" t="inlineStr">
        <is>
          <t>Réception &amp; Front Office</t>
        </is>
      </c>
      <c r="C15" s="11" t="inlineStr">
        <is>
          <t>Chef Reception</t>
        </is>
      </c>
    </row>
    <row r="16">
      <c r="B16" t="inlineStr">
        <is>
          <t>Étage &amp; Housekeeping</t>
        </is>
      </c>
      <c r="C16" s="11" t="inlineStr">
        <is>
          <t>Receptionniste</t>
        </is>
      </c>
    </row>
    <row r="17">
      <c r="C17" s="11" t="inlineStr">
        <is>
          <t>Concierge</t>
        </is>
      </c>
    </row>
    <row r="18">
      <c r="C18" s="11" t="inlineStr">
        <is>
          <t>Chef Cuisine</t>
        </is>
      </c>
    </row>
    <row r="19">
      <c r="C19" s="11" t="inlineStr">
        <is>
          <t>Sous-Chef</t>
        </is>
      </c>
    </row>
    <row r="20">
      <c r="C20" s="11" t="inlineStr">
        <is>
          <t>Cuisinier</t>
        </is>
      </c>
    </row>
    <row r="21">
      <c r="C21" s="11" t="inlineStr">
        <is>
          <t>Plongeur</t>
        </is>
      </c>
    </row>
    <row r="22">
      <c r="C22" s="11" t="inlineStr">
        <is>
          <t>Chef Entretien</t>
        </is>
      </c>
    </row>
    <row r="23">
      <c r="C23" s="11" t="inlineStr">
        <is>
          <t>Agent Entretien</t>
        </is>
      </c>
    </row>
    <row r="24">
      <c r="C24" s="11" t="inlineStr">
        <is>
          <t>Chef Securite</t>
        </is>
      </c>
    </row>
    <row r="25">
      <c r="C25" s="11" t="inlineStr">
        <is>
          <t>Agent Securite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0" customWidth="1" min="4" max="4"/>
    <col width="18" customWidth="1" min="5" max="5"/>
    <col width="10" customWidth="1" min="6" max="6"/>
    <col width="16" customWidth="1" min="7" max="7"/>
    <col width="14" customWidth="1" min="8" max="8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</cols>
  <sheetData>
    <row r="1" ht="15" customHeight="1"/>
    <row r="2" ht="32" customHeight="1">
      <c r="B2" s="1" t="inlineStr">
        <is>
          <t>COMPTEUR ANNUEL DE CONGES PAYES (#52)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Compteur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Annee</t>
        </is>
      </c>
      <c r="G4" s="12" t="inlineStr">
        <is>
          <t>Droits Acquis (j)</t>
        </is>
      </c>
      <c r="H4" s="12" t="inlineStr">
        <is>
          <t>Conges Pris (j)</t>
        </is>
      </c>
      <c r="I4" s="12" t="inlineStr">
        <is>
          <t>Conges Planifies (j)</t>
        </is>
      </c>
      <c r="J4" s="12" t="inlineStr">
        <is>
          <t>Solde Disponible (j)</t>
        </is>
      </c>
      <c r="K4" s="12" t="inlineStr">
        <is>
          <t>Report N-1 (j)</t>
        </is>
      </c>
      <c r="L4" s="12" t="inlineStr">
        <is>
          <t>Jours Perdus (j)</t>
        </is>
      </c>
      <c r="M4" s="12" t="inlineStr">
        <is>
          <t>Statut</t>
        </is>
      </c>
    </row>
    <row r="5" ht="22" customHeight="1">
      <c r="B5" s="13" t="inlineStr">
        <is>
          <t>CC-001</t>
        </is>
      </c>
      <c r="C5" s="13" t="inlineStr">
        <is>
          <t>EMP-001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2025</t>
        </is>
      </c>
      <c r="G5" s="14" t="n">
        <v>30</v>
      </c>
      <c r="H5" s="14" t="n">
        <v>5</v>
      </c>
      <c r="I5" s="14" t="n">
        <v>10</v>
      </c>
      <c r="J5" s="14" t="n">
        <v>15</v>
      </c>
      <c r="K5" s="14" t="n">
        <v>0</v>
      </c>
      <c r="L5" s="14" t="n">
        <v>0</v>
      </c>
      <c r="M5" s="13" t="inlineStr">
        <is>
          <t>En cours</t>
        </is>
      </c>
    </row>
    <row r="6" ht="22" customHeight="1">
      <c r="B6" s="15" t="inlineStr">
        <is>
          <t>CC-002</t>
        </is>
      </c>
      <c r="C6" s="15" t="inlineStr">
        <is>
          <t>EMP-002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2025</t>
        </is>
      </c>
      <c r="G6" s="16" t="n">
        <v>30</v>
      </c>
      <c r="H6" s="16" t="n">
        <v>0</v>
      </c>
      <c r="I6" s="16" t="n">
        <v>7</v>
      </c>
      <c r="J6" s="16" t="n">
        <v>23</v>
      </c>
      <c r="K6" s="16" t="n">
        <v>2</v>
      </c>
      <c r="L6" s="16" t="n">
        <v>0</v>
      </c>
      <c r="M6" s="15" t="inlineStr">
        <is>
          <t>En cours</t>
        </is>
      </c>
    </row>
    <row r="7" ht="22" customHeight="1">
      <c r="B7" s="13" t="inlineStr">
        <is>
          <t>CC-003</t>
        </is>
      </c>
      <c r="C7" s="13" t="inlineStr">
        <is>
          <t>EMP-003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2025</t>
        </is>
      </c>
      <c r="G7" s="14" t="n">
        <v>30</v>
      </c>
      <c r="H7" s="14" t="n">
        <v>10</v>
      </c>
      <c r="I7" s="14" t="n">
        <v>5</v>
      </c>
      <c r="J7" s="14" t="n">
        <v>15</v>
      </c>
      <c r="K7" s="14" t="n">
        <v>0</v>
      </c>
      <c r="L7" s="14" t="n">
        <v>0</v>
      </c>
      <c r="M7" s="13" t="inlineStr">
        <is>
          <t>En cours</t>
        </is>
      </c>
    </row>
    <row r="8" ht="22" customHeight="1">
      <c r="B8" s="15" t="inlineStr">
        <is>
          <t>CC-004</t>
        </is>
      </c>
      <c r="C8" s="15" t="inlineStr">
        <is>
          <t>EMP-004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2025</t>
        </is>
      </c>
      <c r="G8" s="16" t="n">
        <v>30</v>
      </c>
      <c r="H8" s="16" t="n">
        <v>8</v>
      </c>
      <c r="I8" s="16" t="n">
        <v>0</v>
      </c>
      <c r="J8" s="16" t="n">
        <v>22</v>
      </c>
      <c r="K8" s="16" t="n">
        <v>0</v>
      </c>
      <c r="L8" s="16" t="n">
        <v>0</v>
      </c>
      <c r="M8" s="15" t="inlineStr">
        <is>
          <t>En cours</t>
        </is>
      </c>
    </row>
    <row r="9" ht="22" customHeight="1">
      <c r="B9" s="13" t="inlineStr">
        <is>
          <t>CC-005</t>
        </is>
      </c>
      <c r="C9" s="13" t="inlineStr">
        <is>
          <t>EMP-005</t>
        </is>
      </c>
      <c r="D9" s="13">
        <f>IF(C9="","",VLOOKUP(C9,'_Données Employés'!$B$5:$H$18,4,FALSE)&amp;" "&amp;VLOOKUP(C9,'_Données Employés'!$B$5:$H$18,5,FALSE))</f>
        <v/>
      </c>
      <c r="E9" s="13">
        <f>IF(C9="","",VLOOKUP(C9,'_Données Employés'!$B$5:$H$18,6,FALSE))</f>
        <v/>
      </c>
      <c r="F9" s="13" t="inlineStr">
        <is>
          <t>2025</t>
        </is>
      </c>
      <c r="G9" s="14" t="n">
        <v>30</v>
      </c>
      <c r="H9" s="14" t="n">
        <v>15</v>
      </c>
      <c r="I9" s="14" t="n">
        <v>5</v>
      </c>
      <c r="J9" s="14" t="n">
        <v>10</v>
      </c>
      <c r="K9" s="14" t="n">
        <v>0</v>
      </c>
      <c r="L9" s="14" t="n">
        <v>0</v>
      </c>
      <c r="M9" s="13" t="inlineStr">
        <is>
          <t>En cours</t>
        </is>
      </c>
    </row>
    <row r="10" ht="22" customHeight="1">
      <c r="B10" s="13" t="inlineStr">
        <is>
          <t>CC-028</t>
        </is>
      </c>
      <c r="C10" s="13" t="inlineStr">
        <is>
          <t>EMP-028</t>
        </is>
      </c>
      <c r="D10" s="13">
        <f>IF(C10="","",VLOOKUP(C10,'_Données Employés'!$B$5:$H$18,4,FALSE)&amp;" "&amp;VLOOKUP(C10,'_Données Employés'!$B$5:$H$18,5,FALSE))</f>
        <v/>
      </c>
      <c r="E10" s="13">
        <f>IF(C10="","",VLOOKUP(C10,'_Données Employés'!$B$5:$H$18,6,FALSE))</f>
        <v/>
      </c>
      <c r="F10" s="13" t="inlineStr">
        <is>
          <t>2025</t>
        </is>
      </c>
      <c r="G10" s="14" t="inlineStr">
        <is>
          <t>30</t>
        </is>
      </c>
      <c r="H10" s="14" t="inlineStr">
        <is>
          <t>0</t>
        </is>
      </c>
      <c r="I10" s="14" t="inlineStr">
        <is>
          <t>0</t>
        </is>
      </c>
      <c r="J10" s="14" t="inlineStr">
        <is>
          <t>30</t>
        </is>
      </c>
      <c r="K10" s="14" t="inlineStr">
        <is>
          <t>0</t>
        </is>
      </c>
      <c r="L10" s="14" t="inlineStr">
        <is>
          <t>0</t>
        </is>
      </c>
      <c r="M10" s="13" t="inlineStr">
        <is>
          <t>En cours</t>
        </is>
      </c>
    </row>
    <row r="11" ht="22" customHeight="1">
      <c r="B11" s="13" t="inlineStr">
        <is>
          <t>CC-029</t>
        </is>
      </c>
      <c r="C11" s="13" t="inlineStr">
        <is>
          <t>EMP-029</t>
        </is>
      </c>
      <c r="D11" s="13">
        <f>IF(C11="","",VLOOKUP(C11,'_Données Employés'!$B$5:$H$18,4,FALSE)&amp;" "&amp;VLOOKUP(C11,'_Données Employés'!$B$5:$H$18,5,FALSE))</f>
        <v/>
      </c>
      <c r="E11" s="13">
        <f>IF(C11="","",VLOOKUP(C11,'_Données Employés'!$B$5:$H$18,6,FALSE))</f>
        <v/>
      </c>
      <c r="F11" s="13" t="inlineStr">
        <is>
          <t>2025</t>
        </is>
      </c>
      <c r="G11" s="14" t="inlineStr">
        <is>
          <t>30</t>
        </is>
      </c>
      <c r="H11" s="14" t="inlineStr">
        <is>
          <t>0</t>
        </is>
      </c>
      <c r="I11" s="14" t="inlineStr">
        <is>
          <t>0</t>
        </is>
      </c>
      <c r="J11" s="14" t="inlineStr">
        <is>
          <t>30</t>
        </is>
      </c>
      <c r="K11" s="14" t="inlineStr">
        <is>
          <t>0</t>
        </is>
      </c>
      <c r="L11" s="14" t="inlineStr">
        <is>
          <t>0</t>
        </is>
      </c>
      <c r="M11" s="13" t="inlineStr">
        <is>
          <t>En cours</t>
        </is>
      </c>
    </row>
    <row r="12" ht="22" customHeight="1">
      <c r="B12" s="17">
        <f>IF(C12="","CC-"&amp;TEXT(COUNTA($C$5:C12),"000"))</f>
        <v/>
      </c>
      <c r="C12" s="15" t="n"/>
      <c r="D12" s="15" t="n"/>
      <c r="E12" s="15" t="n"/>
      <c r="F12" s="15" t="n"/>
      <c r="G12" s="16" t="n"/>
      <c r="H12" s="16" t="n"/>
      <c r="I12" s="16" t="n"/>
      <c r="J12" s="16">
        <f>IF(G12="","",G12-H12-I12)</f>
        <v/>
      </c>
      <c r="K12" s="16" t="n"/>
      <c r="L12" s="16" t="n"/>
      <c r="M12" s="15" t="n"/>
    </row>
    <row r="13" ht="22" customHeight="1">
      <c r="B13" s="18">
        <f>IF(C13="","CC-"&amp;TEXT(COUNTA($C$5:C13),"000"))</f>
        <v/>
      </c>
      <c r="C13" s="13" t="n"/>
      <c r="D13" s="13" t="n"/>
      <c r="E13" s="13" t="n"/>
      <c r="F13" s="13" t="n"/>
      <c r="G13" s="14" t="n"/>
      <c r="H13" s="14" t="n"/>
      <c r="I13" s="14" t="n"/>
      <c r="J13" s="14">
        <f>IF(G13="","",G13-H13-I13)</f>
        <v/>
      </c>
      <c r="K13" s="14" t="n"/>
      <c r="L13" s="14" t="n"/>
      <c r="M13" s="13" t="n"/>
    </row>
    <row r="14" ht="22" customHeight="1">
      <c r="B14" s="17">
        <f>IF(C14="","CC-"&amp;TEXT(COUNTA($C$5:C14),"000"))</f>
        <v/>
      </c>
      <c r="C14" s="15" t="n"/>
      <c r="D14" s="15" t="n"/>
      <c r="E14" s="15" t="n"/>
      <c r="F14" s="15" t="n"/>
      <c r="G14" s="16" t="n"/>
      <c r="H14" s="16" t="n"/>
      <c r="I14" s="16" t="n"/>
      <c r="J14" s="16">
        <f>IF(G14="","",G14-H14-I14)</f>
        <v/>
      </c>
      <c r="K14" s="16" t="n"/>
      <c r="L14" s="16" t="n"/>
      <c r="M14" s="15" t="n"/>
    </row>
    <row r="15" ht="22" customHeight="1">
      <c r="B15" s="18">
        <f>IF(C15="","CC-"&amp;TEXT(COUNTA($C$5:C15),"000"))</f>
        <v/>
      </c>
      <c r="C15" s="13" t="n"/>
      <c r="D15" s="13" t="n"/>
      <c r="E15" s="13" t="n"/>
      <c r="F15" s="13" t="n"/>
      <c r="G15" s="14" t="n"/>
      <c r="H15" s="14" t="n"/>
      <c r="I15" s="14" t="n"/>
      <c r="J15" s="14">
        <f>IF(G15="","",G15-H15-I15)</f>
        <v/>
      </c>
      <c r="K15" s="14" t="n"/>
      <c r="L15" s="14" t="n"/>
      <c r="M15" s="13" t="n"/>
    </row>
    <row r="16" ht="22" customHeight="1">
      <c r="B16" s="17">
        <f>IF(C16="","CC-"&amp;TEXT(COUNTA($C$5:C16),"000"))</f>
        <v/>
      </c>
      <c r="C16" s="15" t="n"/>
      <c r="D16" s="15" t="n"/>
      <c r="E16" s="15" t="n"/>
      <c r="F16" s="15" t="n"/>
      <c r="G16" s="16" t="n"/>
      <c r="H16" s="16" t="n"/>
      <c r="I16" s="16" t="n"/>
      <c r="J16" s="16">
        <f>IF(G16="","",G16-H16-I16)</f>
        <v/>
      </c>
      <c r="K16" s="16" t="n"/>
      <c r="L16" s="16" t="n"/>
      <c r="M16" s="15" t="n"/>
    </row>
    <row r="17" ht="22" customHeight="1">
      <c r="B17" s="18">
        <f>IF(C17="","CC-"&amp;TEXT(COUNTA($C$5:C17),"000"))</f>
        <v/>
      </c>
      <c r="C17" s="13" t="n"/>
      <c r="D17" s="13" t="n"/>
      <c r="E17" s="13" t="n"/>
      <c r="F17" s="13" t="n"/>
      <c r="G17" s="14" t="n"/>
      <c r="H17" s="14" t="n"/>
      <c r="I17" s="14" t="n"/>
      <c r="J17" s="14">
        <f>IF(G17="","",G17-H17-I17)</f>
        <v/>
      </c>
      <c r="K17" s="14" t="n"/>
      <c r="L17" s="14" t="n"/>
      <c r="M17" s="13" t="n"/>
    </row>
    <row r="18" ht="22" customHeight="1">
      <c r="B18" s="17">
        <f>IF(C18="","CC-"&amp;TEXT(COUNTA($C$5:C18),"000"))</f>
        <v/>
      </c>
      <c r="C18" s="15" t="n"/>
      <c r="D18" s="15" t="n"/>
      <c r="E18" s="15" t="n"/>
      <c r="F18" s="15" t="n"/>
      <c r="G18" s="16" t="n"/>
      <c r="H18" s="16" t="n"/>
      <c r="I18" s="16" t="n"/>
      <c r="J18" s="16">
        <f>IF(G18="","",G18-H18-I18)</f>
        <v/>
      </c>
      <c r="K18" s="16" t="n"/>
      <c r="L18" s="16" t="n"/>
      <c r="M18" s="15" t="n"/>
    </row>
    <row r="19" ht="22" customHeight="1">
      <c r="B19" s="18">
        <f>IF(C19="","CC-"&amp;TEXT(COUNTA($C$5:C19),"000"))</f>
        <v/>
      </c>
      <c r="C19" s="13" t="n"/>
      <c r="D19" s="13" t="n"/>
      <c r="E19" s="13" t="n"/>
      <c r="F19" s="13" t="n"/>
      <c r="G19" s="14" t="n"/>
      <c r="H19" s="14" t="n"/>
      <c r="I19" s="14" t="n"/>
      <c r="J19" s="14">
        <f>IF(G19="","",G19-H19-I19)</f>
        <v/>
      </c>
      <c r="K19" s="14" t="n"/>
      <c r="L19" s="14" t="n"/>
      <c r="M19" s="13" t="n"/>
    </row>
    <row r="20" ht="22" customHeight="1">
      <c r="B20" s="17">
        <f>IF(C20="","CC-"&amp;TEXT(COUNTA($C$5:C20),"000"))</f>
        <v/>
      </c>
      <c r="C20" s="15" t="n"/>
      <c r="D20" s="15" t="n"/>
      <c r="E20" s="15" t="n"/>
      <c r="F20" s="15" t="n"/>
      <c r="G20" s="16" t="n"/>
      <c r="H20" s="16" t="n"/>
      <c r="I20" s="16" t="n"/>
      <c r="J20" s="16">
        <f>IF(G20="","",G20-H20-I20)</f>
        <v/>
      </c>
      <c r="K20" s="16" t="n"/>
      <c r="L20" s="16" t="n"/>
      <c r="M20" s="15" t="n"/>
    </row>
    <row r="21" ht="22" customHeight="1">
      <c r="B21" s="18">
        <f>IF(C21="","CC-"&amp;TEXT(COUNTA($C$5:C21),"000"))</f>
        <v/>
      </c>
      <c r="C21" s="13" t="n"/>
      <c r="D21" s="13" t="n"/>
      <c r="E21" s="13" t="n"/>
      <c r="F21" s="13" t="n"/>
      <c r="G21" s="14" t="n"/>
      <c r="H21" s="14" t="n"/>
      <c r="I21" s="14" t="n"/>
      <c r="J21" s="14">
        <f>IF(G21="","",G21-H21-I21)</f>
        <v/>
      </c>
      <c r="K21" s="14" t="n"/>
      <c r="L21" s="14" t="n"/>
      <c r="M21" s="13" t="n"/>
    </row>
    <row r="22" ht="22" customHeight="1">
      <c r="B22" s="17">
        <f>IF(C22="","CC-"&amp;TEXT(COUNTA($C$5:C22),"000"))</f>
        <v/>
      </c>
      <c r="C22" s="15" t="n"/>
      <c r="D22" s="15" t="n"/>
      <c r="E22" s="15" t="n"/>
      <c r="F22" s="15" t="n"/>
      <c r="G22" s="16" t="n"/>
      <c r="H22" s="16" t="n"/>
      <c r="I22" s="16" t="n"/>
      <c r="J22" s="16">
        <f>IF(G22="","",G22-H22-I22)</f>
        <v/>
      </c>
      <c r="K22" s="16" t="n"/>
      <c r="L22" s="16" t="n"/>
      <c r="M22" s="15" t="n"/>
    </row>
    <row r="23" ht="22" customHeight="1">
      <c r="B23" s="18">
        <f>IF(C23="","CC-"&amp;TEXT(COUNTA($C$5:C23),"000"))</f>
        <v/>
      </c>
      <c r="C23" s="13" t="n"/>
      <c r="D23" s="13" t="n"/>
      <c r="E23" s="13" t="n"/>
      <c r="F23" s="13" t="n"/>
      <c r="G23" s="14" t="n"/>
      <c r="H23" s="14" t="n"/>
      <c r="I23" s="14" t="n"/>
      <c r="J23" s="14">
        <f>IF(G23="","",G23-H23-I23)</f>
        <v/>
      </c>
      <c r="K23" s="14" t="n"/>
      <c r="L23" s="14" t="n"/>
      <c r="M23" s="13" t="n"/>
    </row>
    <row r="24" ht="22" customHeight="1">
      <c r="B24" s="17">
        <f>IF(C24="","CC-"&amp;TEXT(COUNTA($C$5:C24),"000"))</f>
        <v/>
      </c>
      <c r="C24" s="15" t="n"/>
      <c r="D24" s="15" t="n"/>
      <c r="E24" s="15" t="n"/>
      <c r="F24" s="15" t="n"/>
      <c r="G24" s="16" t="n"/>
      <c r="H24" s="16" t="n"/>
      <c r="I24" s="16" t="n"/>
      <c r="J24" s="16">
        <f>IF(G24="","",G24-H24-I24)</f>
        <v/>
      </c>
      <c r="K24" s="16" t="n"/>
      <c r="L24" s="16" t="n"/>
      <c r="M24" s="15" t="n"/>
    </row>
    <row r="25" ht="22" customHeight="1">
      <c r="B25" s="18">
        <f>IF(C25="","CC-"&amp;TEXT(COUNTA($C$5:C25),"000"))</f>
        <v/>
      </c>
      <c r="C25" s="13" t="n"/>
      <c r="D25" s="13" t="n"/>
      <c r="E25" s="13" t="n"/>
      <c r="F25" s="13" t="n"/>
      <c r="G25" s="14" t="n"/>
      <c r="H25" s="14" t="n"/>
      <c r="I25" s="14" t="n"/>
      <c r="J25" s="14">
        <f>IF(G25="","",G25-H25-I25)</f>
        <v/>
      </c>
      <c r="K25" s="14" t="n"/>
      <c r="L25" s="14" t="n"/>
      <c r="M25" s="13" t="n"/>
    </row>
    <row r="26" ht="22" customHeight="1">
      <c r="B26" s="17">
        <f>IF(C26="","CC-"&amp;TEXT(COUNTA($C$5:C26),"000"))</f>
        <v/>
      </c>
      <c r="C26" s="15" t="n"/>
      <c r="D26" s="15" t="n"/>
      <c r="E26" s="15" t="n"/>
      <c r="F26" s="15" t="n"/>
      <c r="G26" s="16" t="n"/>
      <c r="H26" s="16" t="n"/>
      <c r="I26" s="16" t="n"/>
      <c r="J26" s="16">
        <f>IF(G26="","",G26-H26-I26)</f>
        <v/>
      </c>
      <c r="K26" s="16" t="n"/>
      <c r="L26" s="16" t="n"/>
      <c r="M26" s="15" t="n"/>
    </row>
    <row r="27" ht="22" customHeight="1">
      <c r="B27" s="18">
        <f>IF(C27="","CC-"&amp;TEXT(COUNTA($C$5:C27),"000"))</f>
        <v/>
      </c>
      <c r="C27" s="13" t="n"/>
      <c r="D27" s="13" t="n"/>
      <c r="E27" s="13" t="n"/>
      <c r="F27" s="13" t="n"/>
      <c r="G27" s="14" t="n"/>
      <c r="H27" s="14" t="n"/>
      <c r="I27" s="14" t="n"/>
      <c r="J27" s="14">
        <f>IF(G27="","",G27-H27-I27)</f>
        <v/>
      </c>
      <c r="K27" s="14" t="n"/>
      <c r="L27" s="14" t="n"/>
      <c r="M27" s="13" t="n"/>
    </row>
    <row r="28" ht="22" customHeight="1">
      <c r="B28" s="17">
        <f>IF(C28="","CC-"&amp;TEXT(COUNTA($C$5:C28),"000"))</f>
        <v/>
      </c>
      <c r="C28" s="15" t="n"/>
      <c r="D28" s="15" t="n"/>
      <c r="E28" s="15" t="n"/>
      <c r="F28" s="15" t="n"/>
      <c r="G28" s="16" t="n"/>
      <c r="H28" s="16" t="n"/>
      <c r="I28" s="16" t="n"/>
      <c r="J28" s="16">
        <f>IF(G28="","",G28-H28-I28)</f>
        <v/>
      </c>
      <c r="K28" s="16" t="n"/>
      <c r="L28" s="16" t="n"/>
      <c r="M28" s="15" t="n"/>
    </row>
    <row r="29" ht="22" customHeight="1">
      <c r="B29" s="18">
        <f>IF(C29="","CC-"&amp;TEXT(COUNTA($C$5:C29),"000"))</f>
        <v/>
      </c>
      <c r="C29" s="13" t="n"/>
      <c r="D29" s="13" t="n"/>
      <c r="E29" s="13" t="n"/>
      <c r="F29" s="13" t="n"/>
      <c r="G29" s="14" t="n"/>
      <c r="H29" s="14" t="n"/>
      <c r="I29" s="14" t="n"/>
      <c r="J29" s="14">
        <f>IF(G29="","",G29-H29-I29)</f>
        <v/>
      </c>
      <c r="K29" s="14" t="n"/>
      <c r="L29" s="14" t="n"/>
      <c r="M29" s="13" t="n"/>
    </row>
    <row r="30" ht="22" customHeight="1">
      <c r="B30" s="17">
        <f>IF(C30="","CC-"&amp;TEXT(COUNTA($C$5:C30),"000"))</f>
        <v/>
      </c>
      <c r="C30" s="15" t="n"/>
      <c r="D30" s="15" t="n"/>
      <c r="E30" s="15" t="n"/>
      <c r="F30" s="15" t="n"/>
      <c r="G30" s="16" t="n"/>
      <c r="H30" s="16" t="n"/>
      <c r="I30" s="16" t="n"/>
      <c r="J30" s="16">
        <f>IF(G30="","",G30-H30-I30)</f>
        <v/>
      </c>
      <c r="K30" s="16" t="n"/>
      <c r="L30" s="16" t="n"/>
      <c r="M30" s="15" t="n"/>
    </row>
    <row r="31" ht="22" customHeight="1">
      <c r="B31" s="18">
        <f>IF(C31="","CC-"&amp;TEXT(COUNTA($C$5:C31),"000"))</f>
        <v/>
      </c>
      <c r="C31" s="13" t="n"/>
      <c r="D31" s="13" t="n"/>
      <c r="E31" s="13" t="n"/>
      <c r="F31" s="13" t="n"/>
      <c r="G31" s="14" t="n"/>
      <c r="H31" s="14" t="n"/>
      <c r="I31" s="14" t="n"/>
      <c r="J31" s="14">
        <f>IF(G31="","",G31-H31-I31)</f>
        <v/>
      </c>
      <c r="K31" s="14" t="n"/>
      <c r="L31" s="14" t="n"/>
      <c r="M31" s="13" t="n"/>
    </row>
    <row r="32" ht="22" customHeight="1">
      <c r="B32" s="17">
        <f>IF(C32="","CC-"&amp;TEXT(COUNTA($C$5:C32),"000"))</f>
        <v/>
      </c>
      <c r="C32" s="15" t="n"/>
      <c r="D32" s="15" t="n"/>
      <c r="E32" s="15" t="n"/>
      <c r="F32" s="15" t="n"/>
      <c r="G32" s="16" t="n"/>
      <c r="H32" s="16" t="n"/>
      <c r="I32" s="16" t="n"/>
      <c r="J32" s="16">
        <f>IF(G32="","",G32-H32-I32)</f>
        <v/>
      </c>
      <c r="K32" s="16" t="n"/>
      <c r="L32" s="16" t="n"/>
      <c r="M32" s="15" t="n"/>
    </row>
    <row r="33" ht="22" customHeight="1">
      <c r="B33" s="18">
        <f>IF(C33="","CC-"&amp;TEXT(COUNTA($C$5:C33),"000"))</f>
        <v/>
      </c>
      <c r="C33" s="13" t="n"/>
      <c r="D33" s="13" t="n"/>
      <c r="E33" s="13" t="n"/>
      <c r="F33" s="13" t="n"/>
      <c r="G33" s="14" t="n"/>
      <c r="H33" s="14" t="n"/>
      <c r="I33" s="14" t="n"/>
      <c r="J33" s="14">
        <f>IF(G33="","",G33-H33-I33)</f>
        <v/>
      </c>
      <c r="K33" s="14" t="n"/>
      <c r="L33" s="14" t="n"/>
      <c r="M33" s="13" t="n"/>
    </row>
    <row r="34" ht="22" customHeight="1">
      <c r="B34" s="17">
        <f>IF(C34="","CC-"&amp;TEXT(COUNTA($C$5:C34),"000"))</f>
        <v/>
      </c>
      <c r="C34" s="15" t="n"/>
      <c r="D34" s="15" t="n"/>
      <c r="E34" s="15" t="n"/>
      <c r="F34" s="15" t="n"/>
      <c r="G34" s="16" t="n"/>
      <c r="H34" s="16" t="n"/>
      <c r="I34" s="16" t="n"/>
      <c r="J34" s="16">
        <f>IF(G34="","",G34-H34-I34)</f>
        <v/>
      </c>
      <c r="K34" s="16" t="n"/>
      <c r="L34" s="16" t="n"/>
      <c r="M34" s="15" t="n"/>
    </row>
    <row r="35" ht="22" customHeight="1">
      <c r="B35" s="18">
        <f>IF(C35="","CC-"&amp;TEXT(COUNTA($C$5:C35),"000"))</f>
        <v/>
      </c>
      <c r="C35" s="13" t="n"/>
      <c r="D35" s="13" t="n"/>
      <c r="E35" s="13" t="n"/>
      <c r="F35" s="13" t="n"/>
      <c r="G35" s="14" t="n"/>
      <c r="H35" s="14" t="n"/>
      <c r="I35" s="14" t="n"/>
      <c r="J35" s="14">
        <f>IF(G35="","",G35-H35-I35)</f>
        <v/>
      </c>
      <c r="K35" s="14" t="n"/>
      <c r="L35" s="14" t="n"/>
      <c r="M35" s="13" t="n"/>
    </row>
    <row r="36" ht="22" customHeight="1">
      <c r="B36" s="17">
        <f>IF(C36="","CC-"&amp;TEXT(COUNTA($C$5:C36),"000"))</f>
        <v/>
      </c>
      <c r="C36" s="15" t="n"/>
      <c r="D36" s="15" t="n"/>
      <c r="E36" s="15" t="n"/>
      <c r="F36" s="15" t="n"/>
      <c r="G36" s="16" t="n"/>
      <c r="H36" s="16" t="n"/>
      <c r="I36" s="16" t="n"/>
      <c r="J36" s="16">
        <f>IF(G36="","",G36-H36-I36)</f>
        <v/>
      </c>
      <c r="K36" s="16" t="n"/>
      <c r="L36" s="16" t="n"/>
      <c r="M36" s="15" t="n"/>
    </row>
    <row r="37" ht="22" customHeight="1">
      <c r="B37" s="18">
        <f>IF(C37="","CC-"&amp;TEXT(COUNTA($C$5:C37),"000"))</f>
        <v/>
      </c>
      <c r="C37" s="13" t="n"/>
      <c r="D37" s="13" t="n"/>
      <c r="E37" s="13" t="n"/>
      <c r="F37" s="13" t="n"/>
      <c r="G37" s="14" t="n"/>
      <c r="H37" s="14" t="n"/>
      <c r="I37" s="14" t="n"/>
      <c r="J37" s="14">
        <f>IF(G37="","",G37-H37-I37)</f>
        <v/>
      </c>
      <c r="K37" s="14" t="n"/>
      <c r="L37" s="14" t="n"/>
      <c r="M37" s="13" t="n"/>
    </row>
    <row r="38" ht="22" customHeight="1">
      <c r="B38" s="17">
        <f>IF(C38="","CC-"&amp;TEXT(COUNTA($C$5:C38),"000"))</f>
        <v/>
      </c>
      <c r="C38" s="15" t="n"/>
      <c r="D38" s="15" t="n"/>
      <c r="E38" s="15" t="n"/>
      <c r="F38" s="15" t="n"/>
      <c r="G38" s="16" t="n"/>
      <c r="H38" s="16" t="n"/>
      <c r="I38" s="16" t="n"/>
      <c r="J38" s="16">
        <f>IF(G38="","",G38-H38-I38)</f>
        <v/>
      </c>
      <c r="K38" s="16" t="n"/>
      <c r="L38" s="16" t="n"/>
      <c r="M38" s="15" t="n"/>
    </row>
    <row r="39" ht="22" customHeight="1">
      <c r="B39" s="18">
        <f>IF(C39="","CC-"&amp;TEXT(COUNTA($C$5:C39),"000"))</f>
        <v/>
      </c>
      <c r="C39" s="13" t="n"/>
      <c r="D39" s="13" t="n"/>
      <c r="E39" s="13" t="n"/>
      <c r="F39" s="13" t="n"/>
      <c r="G39" s="14" t="n"/>
      <c r="H39" s="14" t="n"/>
      <c r="I39" s="14" t="n"/>
      <c r="J39" s="14">
        <f>IF(G39="","",G39-H39-I39)</f>
        <v/>
      </c>
      <c r="K39" s="14" t="n"/>
      <c r="L39" s="14" t="n"/>
      <c r="M39" s="13" t="n"/>
    </row>
    <row r="40" ht="22" customHeight="1">
      <c r="B40" s="17">
        <f>IF(C40="","CC-"&amp;TEXT(COUNTA($C$5:C40),"000"))</f>
        <v/>
      </c>
      <c r="C40" s="15" t="n"/>
      <c r="D40" s="15" t="n"/>
      <c r="E40" s="15" t="n"/>
      <c r="F40" s="15" t="n"/>
      <c r="G40" s="16" t="n"/>
      <c r="H40" s="16" t="n"/>
      <c r="I40" s="16" t="n"/>
      <c r="J40" s="16">
        <f>IF(G40="","",G40-H40-I40)</f>
        <v/>
      </c>
      <c r="K40" s="16" t="n"/>
      <c r="L40" s="16" t="n"/>
      <c r="M40" s="15" t="n"/>
    </row>
    <row r="41" ht="22" customHeight="1">
      <c r="B41" s="18">
        <f>IF(C41="","CC-"&amp;TEXT(COUNTA($C$5:C41),"000"))</f>
        <v/>
      </c>
      <c r="C41" s="13" t="n"/>
      <c r="D41" s="13" t="n"/>
      <c r="E41" s="13" t="n"/>
      <c r="F41" s="13" t="n"/>
      <c r="G41" s="14" t="n"/>
      <c r="H41" s="14" t="n"/>
      <c r="I41" s="14" t="n"/>
      <c r="J41" s="14">
        <f>IF(G41="","",G41-H41-I41)</f>
        <v/>
      </c>
      <c r="K41" s="14" t="n"/>
      <c r="L41" s="14" t="n"/>
      <c r="M41" s="13" t="n"/>
    </row>
    <row r="42" ht="22" customHeight="1">
      <c r="B42" s="17">
        <f>IF(C42="","CC-"&amp;TEXT(COUNTA($C$5:C42),"000"))</f>
        <v/>
      </c>
      <c r="C42" s="15" t="n"/>
      <c r="D42" s="15" t="n"/>
      <c r="E42" s="15" t="n"/>
      <c r="F42" s="15" t="n"/>
      <c r="G42" s="16" t="n"/>
      <c r="H42" s="16" t="n"/>
      <c r="I42" s="16" t="n"/>
      <c r="J42" s="16">
        <f>IF(G42="","",G42-H42-I42)</f>
        <v/>
      </c>
      <c r="K42" s="16" t="n"/>
      <c r="L42" s="16" t="n"/>
      <c r="M42" s="15" t="n"/>
    </row>
    <row r="43" ht="22" customHeight="1">
      <c r="B43" s="18">
        <f>IF(C43="","CC-"&amp;TEXT(COUNTA($C$5:C43),"000"))</f>
        <v/>
      </c>
      <c r="C43" s="13" t="n"/>
      <c r="D43" s="13" t="n"/>
      <c r="E43" s="13" t="n"/>
      <c r="F43" s="13" t="n"/>
      <c r="G43" s="14" t="n"/>
      <c r="H43" s="14" t="n"/>
      <c r="I43" s="14" t="n"/>
      <c r="J43" s="14">
        <f>IF(G43="","",G43-H43-I43)</f>
        <v/>
      </c>
      <c r="K43" s="14" t="n"/>
      <c r="L43" s="14" t="n"/>
      <c r="M43" s="13" t="n"/>
    </row>
    <row r="44" ht="22" customHeight="1">
      <c r="B44" s="17">
        <f>IF(C44="","CC-"&amp;TEXT(COUNTA($C$5:C44),"000"))</f>
        <v/>
      </c>
      <c r="C44" s="15" t="n"/>
      <c r="D44" s="15" t="n"/>
      <c r="E44" s="15" t="n"/>
      <c r="F44" s="15" t="n"/>
      <c r="G44" s="16" t="n"/>
      <c r="H44" s="16" t="n"/>
      <c r="I44" s="16" t="n"/>
      <c r="J44" s="16">
        <f>IF(G44="","",G44-H44-I44)</f>
        <v/>
      </c>
      <c r="K44" s="16" t="n"/>
      <c r="L44" s="16" t="n"/>
      <c r="M44" s="15" t="n"/>
    </row>
    <row r="45" ht="22" customHeight="1">
      <c r="B45" s="18">
        <f>IF(C45="","CC-"&amp;TEXT(COUNTA($C$5:C45),"000"))</f>
        <v/>
      </c>
      <c r="C45" s="13" t="n"/>
      <c r="D45" s="13" t="n"/>
      <c r="E45" s="13" t="n"/>
      <c r="F45" s="13" t="n"/>
      <c r="G45" s="14" t="n"/>
      <c r="H45" s="14" t="n"/>
      <c r="I45" s="14" t="n"/>
      <c r="J45" s="14">
        <f>IF(G45="","",G45-H45-I45)</f>
        <v/>
      </c>
      <c r="K45" s="14" t="n"/>
      <c r="L45" s="14" t="n"/>
      <c r="M45" s="13" t="n"/>
    </row>
    <row r="46" ht="22" customHeight="1">
      <c r="B46" s="17">
        <f>IF(C46="","CC-"&amp;TEXT(COUNTA($C$5:C46),"000"))</f>
        <v/>
      </c>
      <c r="C46" s="15" t="n"/>
      <c r="D46" s="15" t="n"/>
      <c r="E46" s="15" t="n"/>
      <c r="F46" s="15" t="n"/>
      <c r="G46" s="16" t="n"/>
      <c r="H46" s="16" t="n"/>
      <c r="I46" s="16" t="n"/>
      <c r="J46" s="16">
        <f>IF(G46="","",G46-H46-I46)</f>
        <v/>
      </c>
      <c r="K46" s="16" t="n"/>
      <c r="L46" s="16" t="n"/>
      <c r="M46" s="15" t="n"/>
    </row>
    <row r="47" ht="22" customHeight="1">
      <c r="B47" s="18">
        <f>IF(C47="","CC-"&amp;TEXT(COUNTA($C$5:C47),"000"))</f>
        <v/>
      </c>
      <c r="C47" s="13" t="n"/>
      <c r="D47" s="13" t="n"/>
      <c r="E47" s="13" t="n"/>
      <c r="F47" s="13" t="n"/>
      <c r="G47" s="14" t="n"/>
      <c r="H47" s="14" t="n"/>
      <c r="I47" s="14" t="n"/>
      <c r="J47" s="14">
        <f>IF(G47="","",G47-H47-I47)</f>
        <v/>
      </c>
      <c r="K47" s="14" t="n"/>
      <c r="L47" s="14" t="n"/>
      <c r="M47" s="13" t="n"/>
    </row>
    <row r="48" ht="22" customHeight="1">
      <c r="B48" s="17">
        <f>IF(C48="","CC-"&amp;TEXT(COUNTA($C$5:C48),"000"))</f>
        <v/>
      </c>
      <c r="C48" s="15" t="n"/>
      <c r="D48" s="15" t="n"/>
      <c r="E48" s="15" t="n"/>
      <c r="F48" s="15" t="n"/>
      <c r="G48" s="16" t="n"/>
      <c r="H48" s="16" t="n"/>
      <c r="I48" s="16" t="n"/>
      <c r="J48" s="16">
        <f>IF(G48="","",G48-H48-I48)</f>
        <v/>
      </c>
      <c r="K48" s="16" t="n"/>
      <c r="L48" s="16" t="n"/>
      <c r="M48" s="15" t="n"/>
    </row>
    <row r="49" ht="22" customHeight="1">
      <c r="B49" s="18">
        <f>IF(C49="","CC-"&amp;TEXT(COUNTA($C$5:C49),"000"))</f>
        <v/>
      </c>
      <c r="C49" s="13" t="n"/>
      <c r="D49" s="13" t="n"/>
      <c r="E49" s="13" t="n"/>
      <c r="F49" s="13" t="n"/>
      <c r="G49" s="14" t="n"/>
      <c r="H49" s="14" t="n"/>
      <c r="I49" s="14" t="n"/>
      <c r="J49" s="14">
        <f>IF(G49="","",G49-H49-I49)</f>
        <v/>
      </c>
      <c r="K49" s="14" t="n"/>
      <c r="L49" s="14" t="n"/>
      <c r="M49" s="13" t="n"/>
    </row>
    <row r="50" ht="22" customHeight="1">
      <c r="B50" s="17">
        <f>IF(C50="","CC-"&amp;TEXT(COUNTA($C$5:C50),"000"))</f>
        <v/>
      </c>
      <c r="C50" s="15" t="n"/>
      <c r="D50" s="15" t="n"/>
      <c r="E50" s="15" t="n"/>
      <c r="F50" s="15" t="n"/>
      <c r="G50" s="16" t="n"/>
      <c r="H50" s="16" t="n"/>
      <c r="I50" s="16" t="n"/>
      <c r="J50" s="16">
        <f>IF(G50="","",G50-H50-I50)</f>
        <v/>
      </c>
      <c r="K50" s="16" t="n"/>
      <c r="L50" s="16" t="n"/>
      <c r="M50" s="15" t="n"/>
    </row>
    <row r="51" ht="22" customHeight="1">
      <c r="B51" s="18">
        <f>IF(C51="","CC-"&amp;TEXT(COUNTA($C$5:C51),"000"))</f>
        <v/>
      </c>
      <c r="C51" s="13" t="n"/>
      <c r="D51" s="13" t="n"/>
      <c r="E51" s="13" t="n"/>
      <c r="F51" s="13" t="n"/>
      <c r="G51" s="14" t="n"/>
      <c r="H51" s="14" t="n"/>
      <c r="I51" s="14" t="n"/>
      <c r="J51" s="14">
        <f>IF(G51="","",G51-H51-I51)</f>
        <v/>
      </c>
      <c r="K51" s="14" t="n"/>
      <c r="L51" s="14" t="n"/>
      <c r="M51" s="13" t="n"/>
    </row>
    <row r="52" ht="22" customHeight="1">
      <c r="B52" s="17">
        <f>IF(C52="","CC-"&amp;TEXT(COUNTA($C$5:C52),"000"))</f>
        <v/>
      </c>
      <c r="C52" s="15" t="n"/>
      <c r="D52" s="15" t="n"/>
      <c r="E52" s="15" t="n"/>
      <c r="F52" s="15" t="n"/>
      <c r="G52" s="16" t="n"/>
      <c r="H52" s="16" t="n"/>
      <c r="I52" s="16" t="n"/>
      <c r="J52" s="16">
        <f>IF(G52="","",G52-H52-I52)</f>
        <v/>
      </c>
      <c r="K52" s="16" t="n"/>
      <c r="L52" s="16" t="n"/>
      <c r="M52" s="15" t="n"/>
    </row>
    <row r="53" ht="22" customHeight="1">
      <c r="B53" s="18">
        <f>IF(C53="","CC-"&amp;TEXT(COUNTA($C$5:C53),"000"))</f>
        <v/>
      </c>
      <c r="C53" s="13" t="n"/>
      <c r="D53" s="13" t="n"/>
      <c r="E53" s="13" t="n"/>
      <c r="F53" s="13" t="n"/>
      <c r="G53" s="14" t="n"/>
      <c r="H53" s="14" t="n"/>
      <c r="I53" s="14" t="n"/>
      <c r="J53" s="14">
        <f>IF(G53="","",G53-H53-I53)</f>
        <v/>
      </c>
      <c r="K53" s="14" t="n"/>
      <c r="L53" s="14" t="n"/>
      <c r="M53" s="13" t="n"/>
    </row>
    <row r="54" ht="22" customHeight="1">
      <c r="B54" s="17">
        <f>IF(C54="","CC-"&amp;TEXT(COUNTA($C$5:C54),"000"))</f>
        <v/>
      </c>
      <c r="C54" s="15" t="n"/>
      <c r="D54" s="15" t="n"/>
      <c r="E54" s="15" t="n"/>
      <c r="F54" s="15" t="n"/>
      <c r="G54" s="16" t="n"/>
      <c r="H54" s="16" t="n"/>
      <c r="I54" s="16" t="n"/>
      <c r="J54" s="16">
        <f>IF(G54="","",G54-H54-I54)</f>
        <v/>
      </c>
      <c r="K54" s="16" t="n"/>
      <c r="L54" s="16" t="n"/>
      <c r="M54" s="15" t="n"/>
    </row>
    <row r="55" ht="22" customHeight="1">
      <c r="B55" s="18">
        <f>IF(C55="","CC-"&amp;TEXT(COUNTA($C$5:C55),"000"))</f>
        <v/>
      </c>
      <c r="C55" s="13" t="n"/>
      <c r="D55" s="13" t="n"/>
      <c r="E55" s="13" t="n"/>
      <c r="F55" s="13" t="n"/>
      <c r="G55" s="14" t="n"/>
      <c r="H55" s="14" t="n"/>
      <c r="I55" s="14" t="n"/>
      <c r="J55" s="14">
        <f>IF(G55="","",G55-H55-I55)</f>
        <v/>
      </c>
      <c r="K55" s="14" t="n"/>
      <c r="L55" s="14" t="n"/>
      <c r="M55" s="13" t="n"/>
    </row>
    <row r="56" ht="22" customHeight="1">
      <c r="B56" s="17">
        <f>IF(C56="","CC-"&amp;TEXT(COUNTA($C$5:C56),"000"))</f>
        <v/>
      </c>
      <c r="C56" s="15" t="n"/>
      <c r="D56" s="15" t="n"/>
      <c r="E56" s="15" t="n"/>
      <c r="F56" s="15" t="n"/>
      <c r="G56" s="16" t="n"/>
      <c r="H56" s="16" t="n"/>
      <c r="I56" s="16" t="n"/>
      <c r="J56" s="16">
        <f>IF(G56="","",G56-H56-I56)</f>
        <v/>
      </c>
      <c r="K56" s="16" t="n"/>
      <c r="L56" s="16" t="n"/>
      <c r="M56" s="15" t="n"/>
    </row>
    <row r="57" ht="22" customHeight="1">
      <c r="B57" s="18">
        <f>IF(C57="","CC-"&amp;TEXT(COUNTA($C$5:C57),"000"))</f>
        <v/>
      </c>
      <c r="C57" s="13" t="n"/>
      <c r="D57" s="13" t="n"/>
      <c r="E57" s="13" t="n"/>
      <c r="F57" s="13" t="n"/>
      <c r="G57" s="14" t="n"/>
      <c r="H57" s="14" t="n"/>
      <c r="I57" s="14" t="n"/>
      <c r="J57" s="14">
        <f>IF(G57="","",G57-H57-I57)</f>
        <v/>
      </c>
      <c r="K57" s="14" t="n"/>
      <c r="L57" s="14" t="n"/>
      <c r="M57" s="13" t="n"/>
    </row>
    <row r="58" ht="22" customHeight="1">
      <c r="B58" s="17">
        <f>IF(C58="","CC-"&amp;TEXT(COUNTA($C$5:C58),"000"))</f>
        <v/>
      </c>
      <c r="C58" s="15" t="n"/>
      <c r="D58" s="15" t="n"/>
      <c r="E58" s="15" t="n"/>
      <c r="F58" s="15" t="n"/>
      <c r="G58" s="16" t="n"/>
      <c r="H58" s="16" t="n"/>
      <c r="I58" s="16" t="n"/>
      <c r="J58" s="16">
        <f>IF(G58="","",G58-H58-I58)</f>
        <v/>
      </c>
      <c r="K58" s="16" t="n"/>
      <c r="L58" s="16" t="n"/>
      <c r="M58" s="15" t="n"/>
    </row>
    <row r="59" ht="22" customHeight="1">
      <c r="B59" s="18">
        <f>IF(C59="","CC-"&amp;TEXT(COUNTA($C$5:C59),"000"))</f>
        <v/>
      </c>
      <c r="C59" s="13" t="n"/>
      <c r="D59" s="13" t="n"/>
      <c r="E59" s="13" t="n"/>
      <c r="F59" s="13" t="n"/>
      <c r="G59" s="14" t="n"/>
      <c r="H59" s="14" t="n"/>
      <c r="I59" s="14" t="n"/>
      <c r="J59" s="14">
        <f>IF(G59="","",G59-H59-I59)</f>
        <v/>
      </c>
      <c r="K59" s="14" t="n"/>
      <c r="L59" s="14" t="n"/>
      <c r="M59" s="13" t="n"/>
    </row>
    <row r="60" ht="22" customHeight="1">
      <c r="B60" s="17">
        <f>IF(C60="","CC-"&amp;TEXT(COUNTA($C$5:C60),"000"))</f>
        <v/>
      </c>
      <c r="C60" s="15" t="n"/>
      <c r="D60" s="15" t="n"/>
      <c r="E60" s="15" t="n"/>
      <c r="F60" s="15" t="n"/>
      <c r="G60" s="16" t="n"/>
      <c r="H60" s="16" t="n"/>
      <c r="I60" s="16" t="n"/>
      <c r="J60" s="16">
        <f>IF(G60="","",G60-H60-I60)</f>
        <v/>
      </c>
      <c r="K60" s="16" t="n"/>
      <c r="L60" s="16" t="n"/>
      <c r="M60" s="15" t="n"/>
    </row>
    <row r="61" ht="22" customHeight="1">
      <c r="B61" s="18">
        <f>IF(C61="","CC-"&amp;TEXT(COUNTA($C$5:C61),"000"))</f>
        <v/>
      </c>
      <c r="C61" s="13" t="n"/>
      <c r="D61" s="13" t="n"/>
      <c r="E61" s="13" t="n"/>
      <c r="F61" s="13" t="n"/>
      <c r="G61" s="14" t="n"/>
      <c r="H61" s="14" t="n"/>
      <c r="I61" s="14" t="n"/>
      <c r="J61" s="14">
        <f>IF(G61="","",G61-H61-I61)</f>
        <v/>
      </c>
      <c r="K61" s="14" t="n"/>
      <c r="L61" s="14" t="n"/>
      <c r="M61" s="13" t="n"/>
    </row>
    <row r="62" ht="22" customHeight="1">
      <c r="B62" s="17">
        <f>IF(C62="","CC-"&amp;TEXT(COUNTA($C$5:C62),"000"))</f>
        <v/>
      </c>
      <c r="C62" s="15" t="n"/>
      <c r="D62" s="15" t="n"/>
      <c r="E62" s="15" t="n"/>
      <c r="F62" s="15" t="n"/>
      <c r="G62" s="16" t="n"/>
      <c r="H62" s="16" t="n"/>
      <c r="I62" s="16" t="n"/>
      <c r="J62" s="16">
        <f>IF(G62="","",G62-H62-I62)</f>
        <v/>
      </c>
      <c r="K62" s="16" t="n"/>
      <c r="L62" s="16" t="n"/>
      <c r="M62" s="15" t="n"/>
    </row>
    <row r="63" ht="22" customHeight="1">
      <c r="B63" s="18">
        <f>IF(C63="","CC-"&amp;TEXT(COUNTA($C$5:C63),"000"))</f>
        <v/>
      </c>
      <c r="C63" s="13" t="n"/>
      <c r="D63" s="13" t="n"/>
      <c r="E63" s="13" t="n"/>
      <c r="F63" s="13" t="n"/>
      <c r="G63" s="14" t="n"/>
      <c r="H63" s="14" t="n"/>
      <c r="I63" s="14" t="n"/>
      <c r="J63" s="14">
        <f>IF(G63="","",G63-H63-I63)</f>
        <v/>
      </c>
      <c r="K63" s="14" t="n"/>
      <c r="L63" s="14" t="n"/>
      <c r="M63" s="13" t="n"/>
    </row>
    <row r="64" ht="22" customHeight="1">
      <c r="B64" s="17">
        <f>IF(C64="","CC-"&amp;TEXT(COUNTA($C$5:C64),"000"))</f>
        <v/>
      </c>
      <c r="C64" s="15" t="n"/>
      <c r="D64" s="15" t="n"/>
      <c r="E64" s="15" t="n"/>
      <c r="F64" s="15" t="n"/>
      <c r="G64" s="16" t="n"/>
      <c r="H64" s="16" t="n"/>
      <c r="I64" s="16" t="n"/>
      <c r="J64" s="16">
        <f>IF(G64="","",G64-H64-I64)</f>
        <v/>
      </c>
      <c r="K64" s="16" t="n"/>
      <c r="L64" s="16" t="n"/>
      <c r="M64" s="15" t="n"/>
    </row>
    <row r="65" ht="22" customHeight="1">
      <c r="B65" s="18">
        <f>IF(C65="","CC-"&amp;TEXT(COUNTA($C$5:C65),"000"))</f>
        <v/>
      </c>
      <c r="C65" s="13" t="n"/>
      <c r="D65" s="13" t="n"/>
      <c r="E65" s="13" t="n"/>
      <c r="F65" s="13" t="n"/>
      <c r="G65" s="14" t="n"/>
      <c r="H65" s="14" t="n"/>
      <c r="I65" s="14" t="n"/>
      <c r="J65" s="14">
        <f>IF(G65="","",G65-H65-I65)</f>
        <v/>
      </c>
      <c r="K65" s="14" t="n"/>
      <c r="L65" s="14" t="n"/>
      <c r="M65" s="13" t="n"/>
    </row>
    <row r="66" ht="22" customHeight="1">
      <c r="B66" s="17">
        <f>IF(C66="","CC-"&amp;TEXT(COUNTA($C$5:C66),"000"))</f>
        <v/>
      </c>
      <c r="C66" s="15" t="n"/>
      <c r="D66" s="15" t="n"/>
      <c r="E66" s="15" t="n"/>
      <c r="F66" s="15" t="n"/>
      <c r="G66" s="16" t="n"/>
      <c r="H66" s="16" t="n"/>
      <c r="I66" s="16" t="n"/>
      <c r="J66" s="16">
        <f>IF(G66="","",G66-H66-I66)</f>
        <v/>
      </c>
      <c r="K66" s="16" t="n"/>
      <c r="L66" s="16" t="n"/>
      <c r="M66" s="15" t="n"/>
    </row>
    <row r="67" ht="22" customHeight="1">
      <c r="B67" s="18">
        <f>IF(C67="","CC-"&amp;TEXT(COUNTA($C$5:C67),"000"))</f>
        <v/>
      </c>
      <c r="C67" s="13" t="n"/>
      <c r="D67" s="13" t="n"/>
      <c r="E67" s="13" t="n"/>
      <c r="F67" s="13" t="n"/>
      <c r="G67" s="14" t="n"/>
      <c r="H67" s="14" t="n"/>
      <c r="I67" s="14" t="n"/>
      <c r="J67" s="14">
        <f>IF(G67="","",G67-H67-I67)</f>
        <v/>
      </c>
      <c r="K67" s="14" t="n"/>
      <c r="L67" s="14" t="n"/>
      <c r="M67" s="13" t="n"/>
    </row>
    <row r="68" ht="22" customHeight="1">
      <c r="B68" s="17">
        <f>IF(C68="","CC-"&amp;TEXT(COUNTA($C$5:C68),"000"))</f>
        <v/>
      </c>
      <c r="C68" s="15" t="n"/>
      <c r="D68" s="15" t="n"/>
      <c r="E68" s="15" t="n"/>
      <c r="F68" s="15" t="n"/>
      <c r="G68" s="16" t="n"/>
      <c r="H68" s="16" t="n"/>
      <c r="I68" s="16" t="n"/>
      <c r="J68" s="16">
        <f>IF(G68="","",G68-H68-I68)</f>
        <v/>
      </c>
      <c r="K68" s="16" t="n"/>
      <c r="L68" s="16" t="n"/>
      <c r="M68" s="15" t="n"/>
    </row>
    <row r="69" ht="22" customHeight="1">
      <c r="B69" s="18">
        <f>IF(C69="","CC-"&amp;TEXT(COUNTA($C$5:C69),"000"))</f>
        <v/>
      </c>
      <c r="C69" s="13" t="n"/>
      <c r="D69" s="13" t="n"/>
      <c r="E69" s="13" t="n"/>
      <c r="F69" s="13" t="n"/>
      <c r="G69" s="14" t="n"/>
      <c r="H69" s="14" t="n"/>
      <c r="I69" s="14" t="n"/>
      <c r="J69" s="14">
        <f>IF(G69="","",G69-H69-I69)</f>
        <v/>
      </c>
      <c r="K69" s="14" t="n"/>
      <c r="L69" s="14" t="n"/>
      <c r="M69" s="13" t="n"/>
    </row>
    <row r="70" ht="22" customHeight="1">
      <c r="B70" s="17">
        <f>IF(C70="","CC-"&amp;TEXT(COUNTA($C$5:C70),"000"))</f>
        <v/>
      </c>
      <c r="C70" s="15" t="n"/>
      <c r="D70" s="15" t="n"/>
      <c r="E70" s="15" t="n"/>
      <c r="F70" s="15" t="n"/>
      <c r="G70" s="16" t="n"/>
      <c r="H70" s="16" t="n"/>
      <c r="I70" s="16" t="n"/>
      <c r="J70" s="16">
        <f>IF(G70="","",G70-H70-I70)</f>
        <v/>
      </c>
      <c r="K70" s="16" t="n"/>
      <c r="L70" s="16" t="n"/>
      <c r="M70" s="15" t="n"/>
    </row>
    <row r="71" ht="22" customHeight="1">
      <c r="B71" s="18">
        <f>IF(C71="","CC-"&amp;TEXT(COUNTA($C$5:C71),"000"))</f>
        <v/>
      </c>
      <c r="C71" s="13" t="n"/>
      <c r="D71" s="13" t="n"/>
      <c r="E71" s="13" t="n"/>
      <c r="F71" s="13" t="n"/>
      <c r="G71" s="14" t="n"/>
      <c r="H71" s="14" t="n"/>
      <c r="I71" s="14" t="n"/>
      <c r="J71" s="14">
        <f>IF(G71="","",G71-H71-I71)</f>
        <v/>
      </c>
      <c r="K71" s="14" t="n"/>
      <c r="L71" s="14" t="n"/>
      <c r="M71" s="13" t="n"/>
    </row>
    <row r="72" ht="22" customHeight="1">
      <c r="B72" s="17">
        <f>IF(C72="","CC-"&amp;TEXT(COUNTA($C$5:C72),"000"))</f>
        <v/>
      </c>
      <c r="C72" s="15" t="n"/>
      <c r="D72" s="15" t="n"/>
      <c r="E72" s="15" t="n"/>
      <c r="F72" s="15" t="n"/>
      <c r="G72" s="16" t="n"/>
      <c r="H72" s="16" t="n"/>
      <c r="I72" s="16" t="n"/>
      <c r="J72" s="16">
        <f>IF(G72="","",G72-H72-I72)</f>
        <v/>
      </c>
      <c r="K72" s="16" t="n"/>
      <c r="L72" s="16" t="n"/>
      <c r="M72" s="15" t="n"/>
    </row>
    <row r="73" ht="22" customHeight="1">
      <c r="B73" s="18">
        <f>IF(C73="","CC-"&amp;TEXT(COUNTA($C$5:C73),"000"))</f>
        <v/>
      </c>
      <c r="C73" s="13" t="n"/>
      <c r="D73" s="13" t="n"/>
      <c r="E73" s="13" t="n"/>
      <c r="F73" s="13" t="n"/>
      <c r="G73" s="14" t="n"/>
      <c r="H73" s="14" t="n"/>
      <c r="I73" s="14" t="n"/>
      <c r="J73" s="14">
        <f>IF(G73="","",G73-H73-I73)</f>
        <v/>
      </c>
      <c r="K73" s="14" t="n"/>
      <c r="L73" s="14" t="n"/>
      <c r="M73" s="13" t="n"/>
    </row>
    <row r="74" ht="22" customHeight="1">
      <c r="B74" s="17">
        <f>IF(C74="","CC-"&amp;TEXT(COUNTA($C$5:C74),"000"))</f>
        <v/>
      </c>
      <c r="C74" s="15" t="n"/>
      <c r="D74" s="15" t="n"/>
      <c r="E74" s="15" t="n"/>
      <c r="F74" s="15" t="n"/>
      <c r="G74" s="16" t="n"/>
      <c r="H74" s="16" t="n"/>
      <c r="I74" s="16" t="n"/>
      <c r="J74" s="16">
        <f>IF(G74="","",G74-H74-I74)</f>
        <v/>
      </c>
      <c r="K74" s="16" t="n"/>
      <c r="L74" s="16" t="n"/>
      <c r="M74" s="15" t="n"/>
    </row>
    <row r="75" ht="22" customHeight="1">
      <c r="B75" s="18">
        <f>IF(C75="","CC-"&amp;TEXT(COUNTA($C$5:C75),"000"))</f>
        <v/>
      </c>
      <c r="C75" s="13" t="n"/>
      <c r="D75" s="13" t="n"/>
      <c r="E75" s="13" t="n"/>
      <c r="F75" s="13" t="n"/>
      <c r="G75" s="14" t="n"/>
      <c r="H75" s="14" t="n"/>
      <c r="I75" s="14" t="n"/>
      <c r="J75" s="14">
        <f>IF(G75="","",G75-H75-I75)</f>
        <v/>
      </c>
      <c r="K75" s="14" t="n"/>
      <c r="L75" s="14" t="n"/>
      <c r="M75" s="13" t="n"/>
    </row>
    <row r="76" ht="22" customHeight="1">
      <c r="B76" s="17">
        <f>IF(C76="","CC-"&amp;TEXT(COUNTA($C$5:C76),"000"))</f>
        <v/>
      </c>
      <c r="C76" s="15" t="n"/>
      <c r="D76" s="15" t="n"/>
      <c r="E76" s="15" t="n"/>
      <c r="F76" s="15" t="n"/>
      <c r="G76" s="16" t="n"/>
      <c r="H76" s="16" t="n"/>
      <c r="I76" s="16" t="n"/>
      <c r="J76" s="16">
        <f>IF(G76="","",G76-H76-I76)</f>
        <v/>
      </c>
      <c r="K76" s="16" t="n"/>
      <c r="L76" s="16" t="n"/>
      <c r="M76" s="15" t="n"/>
    </row>
    <row r="77" ht="22" customHeight="1">
      <c r="B77" s="18">
        <f>IF(C77="","CC-"&amp;TEXT(COUNTA($C$5:C77),"000"))</f>
        <v/>
      </c>
      <c r="C77" s="13" t="n"/>
      <c r="D77" s="13" t="n"/>
      <c r="E77" s="13" t="n"/>
      <c r="F77" s="13" t="n"/>
      <c r="G77" s="14" t="n"/>
      <c r="H77" s="14" t="n"/>
      <c r="I77" s="14" t="n"/>
      <c r="J77" s="14">
        <f>IF(G77="","",G77-H77-I77)</f>
        <v/>
      </c>
      <c r="K77" s="14" t="n"/>
      <c r="L77" s="14" t="n"/>
      <c r="M77" s="13" t="n"/>
    </row>
    <row r="78" ht="22" customHeight="1">
      <c r="B78" s="17">
        <f>IF(C78="","CC-"&amp;TEXT(COUNTA($C$5:C78),"000"))</f>
        <v/>
      </c>
      <c r="C78" s="15" t="n"/>
      <c r="D78" s="15" t="n"/>
      <c r="E78" s="15" t="n"/>
      <c r="F78" s="15" t="n"/>
      <c r="G78" s="16" t="n"/>
      <c r="H78" s="16" t="n"/>
      <c r="I78" s="16" t="n"/>
      <c r="J78" s="16">
        <f>IF(G78="","",G78-H78-I78)</f>
        <v/>
      </c>
      <c r="K78" s="16" t="n"/>
      <c r="L78" s="16" t="n"/>
      <c r="M78" s="15" t="n"/>
    </row>
    <row r="79" ht="22" customHeight="1">
      <c r="B79" s="18">
        <f>IF(C79="","CC-"&amp;TEXT(COUNTA($C$5:C79),"000"))</f>
        <v/>
      </c>
      <c r="C79" s="13" t="n"/>
      <c r="D79" s="13" t="n"/>
      <c r="E79" s="13" t="n"/>
      <c r="F79" s="13" t="n"/>
      <c r="G79" s="14" t="n"/>
      <c r="H79" s="14" t="n"/>
      <c r="I79" s="14" t="n"/>
      <c r="J79" s="14">
        <f>IF(G79="","",G79-H79-I79)</f>
        <v/>
      </c>
      <c r="K79" s="14" t="n"/>
      <c r="L79" s="14" t="n"/>
      <c r="M79" s="13" t="n"/>
    </row>
    <row r="80" ht="22" customHeight="1">
      <c r="B80" s="17">
        <f>IF(C80="","CC-"&amp;TEXT(COUNTA($C$5:C80),"000"))</f>
        <v/>
      </c>
      <c r="C80" s="15" t="n"/>
      <c r="D80" s="15" t="n"/>
      <c r="E80" s="15" t="n"/>
      <c r="F80" s="15" t="n"/>
      <c r="G80" s="16" t="n"/>
      <c r="H80" s="16" t="n"/>
      <c r="I80" s="16" t="n"/>
      <c r="J80" s="16">
        <f>IF(G80="","",G80-H80-I80)</f>
        <v/>
      </c>
      <c r="K80" s="16" t="n"/>
      <c r="L80" s="16" t="n"/>
      <c r="M80" s="15" t="n"/>
    </row>
    <row r="81" ht="22" customHeight="1">
      <c r="B81" s="18">
        <f>IF(C81="","CC-"&amp;TEXT(COUNTA($C$5:C81),"000"))</f>
        <v/>
      </c>
      <c r="C81" s="13" t="n"/>
      <c r="D81" s="13" t="n"/>
      <c r="E81" s="13" t="n"/>
      <c r="F81" s="13" t="n"/>
      <c r="G81" s="14" t="n"/>
      <c r="H81" s="14" t="n"/>
      <c r="I81" s="14" t="n"/>
      <c r="J81" s="14">
        <f>IF(G81="","",G81-H81-I81)</f>
        <v/>
      </c>
      <c r="K81" s="14" t="n"/>
      <c r="L81" s="14" t="n"/>
      <c r="M81" s="13" t="n"/>
    </row>
    <row r="82" ht="22" customHeight="1">
      <c r="B82" s="17">
        <f>IF(C82="","CC-"&amp;TEXT(COUNTA($C$5:C82),"000"))</f>
        <v/>
      </c>
      <c r="C82" s="15" t="n"/>
      <c r="D82" s="15" t="n"/>
      <c r="E82" s="15" t="n"/>
      <c r="F82" s="15" t="n"/>
      <c r="G82" s="16" t="n"/>
      <c r="H82" s="16" t="n"/>
      <c r="I82" s="16" t="n"/>
      <c r="J82" s="16">
        <f>IF(G82="","",G82-H82-I82)</f>
        <v/>
      </c>
      <c r="K82" s="16" t="n"/>
      <c r="L82" s="16" t="n"/>
      <c r="M82" s="15" t="n"/>
    </row>
    <row r="83" ht="22" customHeight="1">
      <c r="B83" s="18">
        <f>IF(C83="","CC-"&amp;TEXT(COUNTA($C$5:C83),"000"))</f>
        <v/>
      </c>
      <c r="C83" s="13" t="n"/>
      <c r="D83" s="13" t="n"/>
      <c r="E83" s="13" t="n"/>
      <c r="F83" s="13" t="n"/>
      <c r="G83" s="14" t="n"/>
      <c r="H83" s="14" t="n"/>
      <c r="I83" s="14" t="n"/>
      <c r="J83" s="14">
        <f>IF(G83="","",G83-H83-I83)</f>
        <v/>
      </c>
      <c r="K83" s="14" t="n"/>
      <c r="L83" s="14" t="n"/>
      <c r="M83" s="13" t="n"/>
    </row>
    <row r="84" ht="22" customHeight="1">
      <c r="B84" s="17">
        <f>IF(C84="","CC-"&amp;TEXT(COUNTA($C$5:C84),"000"))</f>
        <v/>
      </c>
      <c r="C84" s="15" t="n"/>
      <c r="D84" s="15" t="n"/>
      <c r="E84" s="15" t="n"/>
      <c r="F84" s="15" t="n"/>
      <c r="G84" s="16" t="n"/>
      <c r="H84" s="16" t="n"/>
      <c r="I84" s="16" t="n"/>
      <c r="J84" s="16">
        <f>IF(G84="","",G84-H84-I84)</f>
        <v/>
      </c>
      <c r="K84" s="16" t="n"/>
      <c r="L84" s="16" t="n"/>
      <c r="M84" s="15" t="n"/>
    </row>
    <row r="85" ht="22" customHeight="1">
      <c r="B85" s="18">
        <f>IF(C85="","CC-"&amp;TEXT(COUNTA($C$5:C85),"000"))</f>
        <v/>
      </c>
      <c r="C85" s="13" t="n"/>
      <c r="D85" s="13" t="n"/>
      <c r="E85" s="13" t="n"/>
      <c r="F85" s="13" t="n"/>
      <c r="G85" s="14" t="n"/>
      <c r="H85" s="14" t="n"/>
      <c r="I85" s="14" t="n"/>
      <c r="J85" s="14">
        <f>IF(G85="","",G85-H85-I85)</f>
        <v/>
      </c>
      <c r="K85" s="14" t="n"/>
      <c r="L85" s="14" t="n"/>
      <c r="M85" s="13" t="n"/>
    </row>
    <row r="86" ht="22" customHeight="1">
      <c r="B86" s="17">
        <f>IF(C86="","CC-"&amp;TEXT(COUNTA($C$5:C86),"000"))</f>
        <v/>
      </c>
      <c r="C86" s="15" t="n"/>
      <c r="D86" s="15" t="n"/>
      <c r="E86" s="15" t="n"/>
      <c r="F86" s="15" t="n"/>
      <c r="G86" s="16" t="n"/>
      <c r="H86" s="16" t="n"/>
      <c r="I86" s="16" t="n"/>
      <c r="J86" s="16">
        <f>IF(G86="","",G86-H86-I86)</f>
        <v/>
      </c>
      <c r="K86" s="16" t="n"/>
      <c r="L86" s="16" t="n"/>
      <c r="M86" s="15" t="n"/>
    </row>
    <row r="87" ht="22" customHeight="1">
      <c r="B87" s="18">
        <f>IF(C87="","CC-"&amp;TEXT(COUNTA($C$5:C87),"000"))</f>
        <v/>
      </c>
      <c r="C87" s="13" t="n"/>
      <c r="D87" s="13" t="n"/>
      <c r="E87" s="13" t="n"/>
      <c r="F87" s="13" t="n"/>
      <c r="G87" s="14" t="n"/>
      <c r="H87" s="14" t="n"/>
      <c r="I87" s="14" t="n"/>
      <c r="J87" s="14">
        <f>IF(G87="","",G87-H87-I87)</f>
        <v/>
      </c>
      <c r="K87" s="14" t="n"/>
      <c r="L87" s="14" t="n"/>
      <c r="M87" s="13" t="n"/>
    </row>
    <row r="88" ht="22" customHeight="1">
      <c r="B88" s="17">
        <f>IF(C88="","CC-"&amp;TEXT(COUNTA($C$5:C88),"000"))</f>
        <v/>
      </c>
      <c r="C88" s="15" t="n"/>
      <c r="D88" s="15" t="n"/>
      <c r="E88" s="15" t="n"/>
      <c r="F88" s="15" t="n"/>
      <c r="G88" s="16" t="n"/>
      <c r="H88" s="16" t="n"/>
      <c r="I88" s="16" t="n"/>
      <c r="J88" s="16">
        <f>IF(G88="","",G88-H88-I88)</f>
        <v/>
      </c>
      <c r="K88" s="16" t="n"/>
      <c r="L88" s="16" t="n"/>
      <c r="M88" s="15" t="n"/>
    </row>
    <row r="89" ht="22" customHeight="1">
      <c r="B89" s="18">
        <f>IF(C89="","CC-"&amp;TEXT(COUNTA($C$5:C89),"000"))</f>
        <v/>
      </c>
      <c r="C89" s="13" t="n"/>
      <c r="D89" s="13" t="n"/>
      <c r="E89" s="13" t="n"/>
      <c r="F89" s="13" t="n"/>
      <c r="G89" s="14" t="n"/>
      <c r="H89" s="14" t="n"/>
      <c r="I89" s="14" t="n"/>
      <c r="J89" s="14">
        <f>IF(G89="","",G89-H89-I89)</f>
        <v/>
      </c>
      <c r="K89" s="14" t="n"/>
      <c r="L89" s="14" t="n"/>
      <c r="M89" s="13" t="n"/>
    </row>
    <row r="90" ht="22" customHeight="1">
      <c r="B90" s="17">
        <f>IF(C90="","CC-"&amp;TEXT(COUNTA($C$5:C90),"000"))</f>
        <v/>
      </c>
      <c r="C90" s="15" t="n"/>
      <c r="D90" s="15" t="n"/>
      <c r="E90" s="15" t="n"/>
      <c r="F90" s="15" t="n"/>
      <c r="G90" s="16" t="n"/>
      <c r="H90" s="16" t="n"/>
      <c r="I90" s="16" t="n"/>
      <c r="J90" s="16">
        <f>IF(G90="","",G90-H90-I90)</f>
        <v/>
      </c>
      <c r="K90" s="16" t="n"/>
      <c r="L90" s="16" t="n"/>
      <c r="M90" s="15" t="n"/>
    </row>
    <row r="91" ht="22" customHeight="1">
      <c r="B91" s="18">
        <f>IF(C91="","CC-"&amp;TEXT(COUNTA($C$5:C91),"000"))</f>
        <v/>
      </c>
      <c r="C91" s="13" t="n"/>
      <c r="D91" s="13" t="n"/>
      <c r="E91" s="13" t="n"/>
      <c r="F91" s="13" t="n"/>
      <c r="G91" s="14" t="n"/>
      <c r="H91" s="14" t="n"/>
      <c r="I91" s="14" t="n"/>
      <c r="J91" s="14">
        <f>IF(G91="","",G91-H91-I91)</f>
        <v/>
      </c>
      <c r="K91" s="14" t="n"/>
      <c r="L91" s="14" t="n"/>
      <c r="M91" s="13" t="n"/>
    </row>
    <row r="92" ht="22" customHeight="1">
      <c r="B92" s="17">
        <f>IF(C92="","CC-"&amp;TEXT(COUNTA($C$5:C92),"000"))</f>
        <v/>
      </c>
      <c r="C92" s="15" t="n"/>
      <c r="D92" s="15" t="n"/>
      <c r="E92" s="15" t="n"/>
      <c r="F92" s="15" t="n"/>
      <c r="G92" s="16" t="n"/>
      <c r="H92" s="16" t="n"/>
      <c r="I92" s="16" t="n"/>
      <c r="J92" s="16">
        <f>IF(G92="","",G92-H92-I92)</f>
        <v/>
      </c>
      <c r="K92" s="16" t="n"/>
      <c r="L92" s="16" t="n"/>
      <c r="M92" s="15" t="n"/>
    </row>
    <row r="93" ht="22" customHeight="1">
      <c r="B93" s="18">
        <f>IF(C93="","CC-"&amp;TEXT(COUNTA($C$5:C93),"000"))</f>
        <v/>
      </c>
      <c r="C93" s="13" t="n"/>
      <c r="D93" s="13" t="n"/>
      <c r="E93" s="13" t="n"/>
      <c r="F93" s="13" t="n"/>
      <c r="G93" s="14" t="n"/>
      <c r="H93" s="14" t="n"/>
      <c r="I93" s="14" t="n"/>
      <c r="J93" s="14">
        <f>IF(G93="","",G93-H93-I93)</f>
        <v/>
      </c>
      <c r="K93" s="14" t="n"/>
      <c r="L93" s="14" t="n"/>
      <c r="M93" s="13" t="n"/>
    </row>
    <row r="94" ht="22" customHeight="1">
      <c r="B94" s="17">
        <f>IF(C94="","CC-"&amp;TEXT(COUNTA($C$5:C94),"000"))</f>
        <v/>
      </c>
      <c r="C94" s="15" t="n"/>
      <c r="D94" s="15" t="n"/>
      <c r="E94" s="15" t="n"/>
      <c r="F94" s="15" t="n"/>
      <c r="G94" s="16" t="n"/>
      <c r="H94" s="16" t="n"/>
      <c r="I94" s="16" t="n"/>
      <c r="J94" s="16">
        <f>IF(G94="","",G94-H94-I94)</f>
        <v/>
      </c>
      <c r="K94" s="16" t="n"/>
      <c r="L94" s="16" t="n"/>
      <c r="M94" s="15" t="n"/>
    </row>
    <row r="95" ht="22" customHeight="1">
      <c r="B95" s="18">
        <f>IF(C95="","CC-"&amp;TEXT(COUNTA($C$5:C95),"000"))</f>
        <v/>
      </c>
      <c r="C95" s="13" t="n"/>
      <c r="D95" s="13" t="n"/>
      <c r="E95" s="13" t="n"/>
      <c r="F95" s="13" t="n"/>
      <c r="G95" s="14" t="n"/>
      <c r="H95" s="14" t="n"/>
      <c r="I95" s="14" t="n"/>
      <c r="J95" s="14">
        <f>IF(G95="","",G95-H95-I95)</f>
        <v/>
      </c>
      <c r="K95" s="14" t="n"/>
      <c r="L95" s="14" t="n"/>
      <c r="M95" s="13" t="n"/>
    </row>
    <row r="96" ht="22" customHeight="1">
      <c r="B96" s="17">
        <f>IF(C96="","CC-"&amp;TEXT(COUNTA($C$5:C96),"000"))</f>
        <v/>
      </c>
      <c r="C96" s="15" t="n"/>
      <c r="D96" s="15" t="n"/>
      <c r="E96" s="15" t="n"/>
      <c r="F96" s="15" t="n"/>
      <c r="G96" s="16" t="n"/>
      <c r="H96" s="16" t="n"/>
      <c r="I96" s="16" t="n"/>
      <c r="J96" s="16">
        <f>IF(G96="","",G96-H96-I96)</f>
        <v/>
      </c>
      <c r="K96" s="16" t="n"/>
      <c r="L96" s="16" t="n"/>
      <c r="M96" s="15" t="n"/>
    </row>
    <row r="97" ht="22" customHeight="1">
      <c r="B97" s="18">
        <f>IF(C97="","CC-"&amp;TEXT(COUNTA($C$5:C97),"000"))</f>
        <v/>
      </c>
      <c r="C97" s="13" t="n"/>
      <c r="D97" s="13" t="n"/>
      <c r="E97" s="13" t="n"/>
      <c r="F97" s="13" t="n"/>
      <c r="G97" s="14" t="n"/>
      <c r="H97" s="14" t="n"/>
      <c r="I97" s="14" t="n"/>
      <c r="J97" s="14">
        <f>IF(G97="","",G97-H97-I97)</f>
        <v/>
      </c>
      <c r="K97" s="14" t="n"/>
      <c r="L97" s="14" t="n"/>
      <c r="M97" s="13" t="n"/>
    </row>
    <row r="98" ht="22" customHeight="1">
      <c r="B98" s="17">
        <f>IF(C98="","CC-"&amp;TEXT(COUNTA($C$5:C98),"000"))</f>
        <v/>
      </c>
      <c r="C98" s="15" t="n"/>
      <c r="D98" s="15" t="n"/>
      <c r="E98" s="15" t="n"/>
      <c r="F98" s="15" t="n"/>
      <c r="G98" s="16" t="n"/>
      <c r="H98" s="16" t="n"/>
      <c r="I98" s="16" t="n"/>
      <c r="J98" s="16">
        <f>IF(G98="","",G98-H98-I98)</f>
        <v/>
      </c>
      <c r="K98" s="16" t="n"/>
      <c r="L98" s="16" t="n"/>
      <c r="M98" s="15" t="n"/>
    </row>
    <row r="99" ht="22" customHeight="1">
      <c r="B99" s="18">
        <f>IF(C99="","CC-"&amp;TEXT(COUNTA($C$5:C99),"000"))</f>
        <v/>
      </c>
      <c r="C99" s="13" t="n"/>
      <c r="D99" s="13" t="n"/>
      <c r="E99" s="13" t="n"/>
      <c r="F99" s="13" t="n"/>
      <c r="G99" s="14" t="n"/>
      <c r="H99" s="14" t="n"/>
      <c r="I99" s="14" t="n"/>
      <c r="J99" s="14">
        <f>IF(G99="","",G99-H99-I99)</f>
        <v/>
      </c>
      <c r="K99" s="14" t="n"/>
      <c r="L99" s="14" t="n"/>
      <c r="M99" s="13" t="n"/>
    </row>
    <row r="100" ht="22" customHeight="1">
      <c r="B100" s="17">
        <f>IF(C100="","CC-"&amp;TEXT(COUNTA($C$5:C100),"000"))</f>
        <v/>
      </c>
      <c r="C100" s="15" t="n"/>
      <c r="D100" s="15" t="n"/>
      <c r="E100" s="15" t="n"/>
      <c r="F100" s="15" t="n"/>
      <c r="G100" s="16" t="n"/>
      <c r="H100" s="16" t="n"/>
      <c r="I100" s="16" t="n"/>
      <c r="J100" s="16">
        <f>IF(G100="","",G100-H100-I100)</f>
        <v/>
      </c>
      <c r="K100" s="16" t="n"/>
      <c r="L100" s="16" t="n"/>
      <c r="M100" s="15" t="n"/>
    </row>
    <row r="101" ht="22" customHeight="1">
      <c r="B101" s="18">
        <f>IF(C101="","CC-"&amp;TEXT(COUNTA($C$5:C101),"000"))</f>
        <v/>
      </c>
      <c r="C101" s="13" t="n"/>
      <c r="D101" s="13" t="n"/>
      <c r="E101" s="13" t="n"/>
      <c r="F101" s="13" t="n"/>
      <c r="G101" s="14" t="n"/>
      <c r="H101" s="14" t="n"/>
      <c r="I101" s="14" t="n"/>
      <c r="J101" s="14">
        <f>IF(G101="","",G101-H101-I101)</f>
        <v/>
      </c>
      <c r="K101" s="14" t="n"/>
      <c r="L101" s="14" t="n"/>
      <c r="M101" s="13" t="n"/>
    </row>
    <row r="102" ht="22" customHeight="1">
      <c r="B102" s="17">
        <f>IF(C102="","CC-"&amp;TEXT(COUNTA($C$5:C102),"000"))</f>
        <v/>
      </c>
      <c r="C102" s="15" t="n"/>
      <c r="D102" s="15" t="n"/>
      <c r="E102" s="15" t="n"/>
      <c r="F102" s="15" t="n"/>
      <c r="G102" s="16" t="n"/>
      <c r="H102" s="16" t="n"/>
      <c r="I102" s="16" t="n"/>
      <c r="J102" s="16">
        <f>IF(G102="","",G102-H102-I102)</f>
        <v/>
      </c>
      <c r="K102" s="16" t="n"/>
      <c r="L102" s="16" t="n"/>
      <c r="M102" s="15" t="n"/>
    </row>
    <row r="103" ht="22" customHeight="1">
      <c r="B103" s="18">
        <f>IF(C103="","CC-"&amp;TEXT(COUNTA($C$5:C103),"000"))</f>
        <v/>
      </c>
      <c r="C103" s="13" t="n"/>
      <c r="D103" s="13" t="n"/>
      <c r="E103" s="13" t="n"/>
      <c r="F103" s="13" t="n"/>
      <c r="G103" s="14" t="n"/>
      <c r="H103" s="14" t="n"/>
      <c r="I103" s="14" t="n"/>
      <c r="J103" s="14">
        <f>IF(G103="","",G103-H103-I103)</f>
        <v/>
      </c>
      <c r="K103" s="14" t="n"/>
      <c r="L103" s="14" t="n"/>
      <c r="M103" s="13" t="n"/>
    </row>
    <row r="104" ht="22" customHeight="1">
      <c r="B104" s="17">
        <f>IF(C104="","CC-"&amp;TEXT(COUNTA($C$5:C104),"000"))</f>
        <v/>
      </c>
      <c r="C104" s="15" t="n"/>
      <c r="D104" s="15" t="n"/>
      <c r="E104" s="15" t="n"/>
      <c r="F104" s="15" t="n"/>
      <c r="G104" s="16" t="n"/>
      <c r="H104" s="16" t="n"/>
      <c r="I104" s="16" t="n"/>
      <c r="J104" s="16">
        <f>IF(G104="","",G104-H104-I104)</f>
        <v/>
      </c>
      <c r="K104" s="16" t="n"/>
      <c r="L104" s="16" t="n"/>
      <c r="M104" s="15" t="n"/>
    </row>
    <row r="105" ht="22" customHeight="1">
      <c r="B105" s="18">
        <f>IF(C105="","CC-"&amp;TEXT(COUNTA($C$5:C105),"000"))</f>
        <v/>
      </c>
      <c r="C105" s="13" t="n"/>
      <c r="D105" s="13" t="n"/>
      <c r="E105" s="13" t="n"/>
      <c r="F105" s="13" t="n"/>
      <c r="G105" s="14" t="n"/>
      <c r="H105" s="14" t="n"/>
      <c r="I105" s="14" t="n"/>
      <c r="J105" s="14">
        <f>IF(G105="","",G105-H105-I105)</f>
        <v/>
      </c>
      <c r="K105" s="14" t="n"/>
      <c r="L105" s="14" t="n"/>
      <c r="M105" s="13" t="n"/>
    </row>
    <row r="106" ht="22" customHeight="1">
      <c r="B106" s="17">
        <f>IF(C106="","CC-"&amp;TEXT(COUNTA($C$5:C106),"000"))</f>
        <v/>
      </c>
      <c r="C106" s="15" t="n"/>
      <c r="D106" s="15" t="n"/>
      <c r="E106" s="15" t="n"/>
      <c r="F106" s="15" t="n"/>
      <c r="G106" s="16" t="n"/>
      <c r="H106" s="16" t="n"/>
      <c r="I106" s="16" t="n"/>
      <c r="J106" s="16">
        <f>IF(G106="","",G106-H106-I106)</f>
        <v/>
      </c>
      <c r="K106" s="16" t="n"/>
      <c r="L106" s="16" t="n"/>
      <c r="M106" s="15" t="n"/>
    </row>
    <row r="107" ht="22" customHeight="1">
      <c r="B107" s="18">
        <f>IF(C107="","CC-"&amp;TEXT(COUNTA($C$5:C107),"000"))</f>
        <v/>
      </c>
      <c r="C107" s="13" t="n"/>
      <c r="D107" s="13" t="n"/>
      <c r="E107" s="13" t="n"/>
      <c r="F107" s="13" t="n"/>
      <c r="G107" s="14" t="n"/>
      <c r="H107" s="14" t="n"/>
      <c r="I107" s="14" t="n"/>
      <c r="J107" s="14">
        <f>IF(G107="","",G107-H107-I107)</f>
        <v/>
      </c>
      <c r="K107" s="14" t="n"/>
      <c r="L107" s="14" t="n"/>
      <c r="M107" s="13" t="n"/>
    </row>
    <row r="108" ht="22" customHeight="1">
      <c r="B108" s="17">
        <f>IF(C108="","CC-"&amp;TEXT(COUNTA($C$5:C108),"000"))</f>
        <v/>
      </c>
      <c r="C108" s="15" t="n"/>
      <c r="D108" s="15" t="n"/>
      <c r="E108" s="15" t="n"/>
      <c r="F108" s="15" t="n"/>
      <c r="G108" s="16" t="n"/>
      <c r="H108" s="16" t="n"/>
      <c r="I108" s="16" t="n"/>
      <c r="J108" s="16">
        <f>IF(G108="","",G108-H108-I108)</f>
        <v/>
      </c>
      <c r="K108" s="16" t="n"/>
      <c r="L108" s="16" t="n"/>
      <c r="M108" s="15" t="n"/>
    </row>
    <row r="109" ht="22" customHeight="1">
      <c r="B109" s="18">
        <f>IF(C109="","CC-"&amp;TEXT(COUNTA($C$5:C109),"000"))</f>
        <v/>
      </c>
      <c r="C109" s="13" t="n"/>
      <c r="D109" s="13" t="n"/>
      <c r="E109" s="13" t="n"/>
      <c r="F109" s="13" t="n"/>
      <c r="G109" s="14" t="n"/>
      <c r="H109" s="14" t="n"/>
      <c r="I109" s="14" t="n"/>
      <c r="J109" s="14">
        <f>IF(G109="","",G109-H109-I109)</f>
        <v/>
      </c>
      <c r="K109" s="14" t="n"/>
      <c r="L109" s="14" t="n"/>
      <c r="M109" s="13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1">
        <f>SUM(G5:G104)</f>
        <v/>
      </c>
      <c r="H111" s="21">
        <f>SUM(H5:H104)</f>
        <v/>
      </c>
      <c r="I111" s="21">
        <f>SUM(I5:I104)</f>
        <v/>
      </c>
      <c r="J111" s="21">
        <f>SUM(J5:J104)</f>
        <v/>
      </c>
      <c r="K111" s="20" t="n"/>
      <c r="L111" s="20" t="n"/>
      <c r="M111" s="20" t="n"/>
    </row>
    <row r="113">
      <c r="B113" s="6" t="inlineStr">
        <is>
          <t>INDICATEURS (mis a jour automatiquement)</t>
        </is>
      </c>
    </row>
    <row r="114">
      <c r="B114" s="3" t="inlineStr">
        <is>
          <t>Employes suivis</t>
        </is>
      </c>
      <c r="D114" s="3" t="inlineStr">
        <is>
          <t>Total droits acquis (j)</t>
        </is>
      </c>
      <c r="F114" s="3" t="inlineStr">
        <is>
          <t>Total conges pris (j)</t>
        </is>
      </c>
      <c r="H114" s="3" t="inlineStr">
        <is>
          <t>Solde moyen (j)</t>
        </is>
      </c>
    </row>
    <row r="115">
      <c r="B115" s="4">
        <f>COUNTIF(B5:B104,"&lt;&gt;")</f>
        <v/>
      </c>
      <c r="D115" s="4">
        <f>SUM(G5:G104)</f>
        <v/>
      </c>
      <c r="F115" s="4">
        <f>SUM(H5:H104)</f>
        <v/>
      </c>
      <c r="H115" s="4">
        <f>IFERROR(AVERAGE(J5:J104),0)</f>
        <v/>
      </c>
    </row>
  </sheetData>
  <mergeCells count="3">
    <mergeCell ref="B3:M3"/>
    <mergeCell ref="B2:M2"/>
    <mergeCell ref="B113:M113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10:B109">
    <cfRule type="expression" priority="43" dxfId="3">
      <formula>AND($C10="",$C9&lt;&gt;"")</formula>
    </cfRule>
  </conditionalFormatting>
  <conditionalFormatting sqref="C10:C109">
    <cfRule type="expression" priority="44" dxfId="3">
      <formula>AND($C10="",$C9&lt;&gt;"")</formula>
    </cfRule>
  </conditionalFormatting>
  <conditionalFormatting sqref="D10:D109">
    <cfRule type="expression" priority="45" dxfId="3">
      <formula>AND($C10="",$C9&lt;&gt;"")</formula>
    </cfRule>
  </conditionalFormatting>
  <conditionalFormatting sqref="E10:E109">
    <cfRule type="expression" priority="46" dxfId="3">
      <formula>AND($C10="",$C9&lt;&gt;"")</formula>
    </cfRule>
  </conditionalFormatting>
  <conditionalFormatting sqref="F10:F109">
    <cfRule type="expression" priority="47" dxfId="3">
      <formula>AND($C10="",$C9&lt;&gt;"")</formula>
    </cfRule>
  </conditionalFormatting>
  <conditionalFormatting sqref="G10:G109">
    <cfRule type="expression" priority="48" dxfId="3">
      <formula>AND($C10="",$C9&lt;&gt;"")</formula>
    </cfRule>
  </conditionalFormatting>
  <conditionalFormatting sqref="H10:H109">
    <cfRule type="expression" priority="49" dxfId="3">
      <formula>AND($C10="",$C9&lt;&gt;"")</formula>
    </cfRule>
  </conditionalFormatting>
  <conditionalFormatting sqref="I10:I109">
    <cfRule type="expression" priority="50" dxfId="3">
      <formula>AND($C10="",$C9&lt;&gt;"")</formula>
    </cfRule>
  </conditionalFormatting>
  <conditionalFormatting sqref="J10:J109">
    <cfRule type="expression" priority="51" dxfId="3">
      <formula>AND($C10="",$C9&lt;&gt;"")</formula>
    </cfRule>
  </conditionalFormatting>
  <conditionalFormatting sqref="K10:K109">
    <cfRule type="expression" priority="52" dxfId="3">
      <formula>AND($C10="",$C9&lt;&gt;"")</formula>
    </cfRule>
  </conditionalFormatting>
  <conditionalFormatting sqref="L10:L109">
    <cfRule type="expression" priority="53" dxfId="3">
      <formula>AND($C10="",$C9&lt;&gt;"")</formula>
    </cfRule>
  </conditionalFormatting>
  <conditionalFormatting sqref="M10:M109">
    <cfRule type="expression" priority="54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'_Lists'!$S$2:$S$4</formula1>
    </dataValidation>
    <dataValidation sqref="M5:M109" showDropDown="0" showInputMessage="0" showErrorMessage="0" allowBlank="1" errorTitle="Erreur" error="Valeur invalide" promptTitle="Liste" prompt="Choisir dans la liste" type="list">
      <formula1>'_Lists'!$E$2:$E$7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22" customWidth="1" min="10" max="10"/>
    <col width="14" customWidth="1" min="11" max="11"/>
    <col width="16" customWidth="1" min="12" max="12"/>
    <col width="14" customWidth="1" min="13" max="13"/>
  </cols>
  <sheetData>
    <row r="1" ht="15" customHeight="1"/>
    <row r="2" ht="32" customHeight="1">
      <c r="B2" s="1" t="inlineStr">
        <is>
          <t>PLAN DE DEPART EN CONGE (#53)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Planning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Type Conge</t>
        </is>
      </c>
      <c r="G4" s="12" t="inlineStr">
        <is>
          <t>Date Debut</t>
        </is>
      </c>
      <c r="H4" s="12" t="inlineStr">
        <is>
          <t>Date Fin</t>
        </is>
      </c>
      <c r="I4" s="12" t="inlineStr">
        <is>
          <t>Nb Jours</t>
        </is>
      </c>
      <c r="J4" s="12" t="inlineStr">
        <is>
          <t>Remplacement</t>
        </is>
      </c>
      <c r="K4" s="12" t="inlineStr">
        <is>
          <t>Chevauchement</t>
        </is>
      </c>
      <c r="L4" s="12" t="inlineStr">
        <is>
          <t>Validation N+1</t>
        </is>
      </c>
      <c r="M4" s="12" t="inlineStr">
        <is>
          <t>Statut</t>
        </is>
      </c>
    </row>
    <row r="5" ht="22" customHeight="1">
      <c r="B5" s="13" t="inlineStr">
        <is>
          <t>PC-001</t>
        </is>
      </c>
      <c r="C5" s="13" t="inlineStr">
        <is>
          <t>EMP-001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Conge annuel</t>
        </is>
      </c>
      <c r="G5" s="32" t="n">
        <v>45852</v>
      </c>
      <c r="H5" s="32" t="n">
        <v>45863</v>
      </c>
      <c r="I5" s="14" t="n">
        <v>10</v>
      </c>
      <c r="J5" s="13" t="inlineStr">
        <is>
          <t>Assistante RH</t>
        </is>
      </c>
      <c r="K5" s="13" t="inlineStr">
        <is>
          <t>Non</t>
        </is>
      </c>
      <c r="L5" s="13" t="inlineStr">
        <is>
          <t>Oui</t>
        </is>
      </c>
      <c r="M5" s="13" t="inlineStr">
        <is>
          <t>Planifie</t>
        </is>
      </c>
    </row>
    <row r="6" ht="22" customHeight="1">
      <c r="B6" s="15" t="inlineStr">
        <is>
          <t>PC-002</t>
        </is>
      </c>
      <c r="C6" s="15" t="inlineStr">
        <is>
          <t>EMP-002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Conge annuel</t>
        </is>
      </c>
      <c r="G6" s="33" t="n">
        <v>45873</v>
      </c>
      <c r="H6" s="33" t="n">
        <v>45884</v>
      </c>
      <c r="I6" s="16" t="n">
        <v>10</v>
      </c>
      <c r="J6" s="15" t="inlineStr">
        <is>
          <t>Technicien IT</t>
        </is>
      </c>
      <c r="K6" s="15" t="inlineStr">
        <is>
          <t>Non</t>
        </is>
      </c>
      <c r="L6" s="15" t="inlineStr">
        <is>
          <t>Oui</t>
        </is>
      </c>
      <c r="M6" s="15" t="inlineStr">
        <is>
          <t>Planifie</t>
        </is>
      </c>
    </row>
    <row r="7" ht="22" customHeight="1">
      <c r="B7" s="13" t="inlineStr">
        <is>
          <t>PC-003</t>
        </is>
      </c>
      <c r="C7" s="13" t="inlineStr">
        <is>
          <t>EMP-004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Conge annuel</t>
        </is>
      </c>
      <c r="G7" s="32" t="n">
        <v>45845</v>
      </c>
      <c r="H7" s="32" t="n">
        <v>45856</v>
      </c>
      <c r="I7" s="14" t="n">
        <v>10</v>
      </c>
      <c r="J7" s="13" t="inlineStr">
        <is>
          <t>Receptionniste interim</t>
        </is>
      </c>
      <c r="K7" s="13" t="inlineStr">
        <is>
          <t>Oui</t>
        </is>
      </c>
      <c r="L7" s="13" t="inlineStr">
        <is>
          <t>Oui</t>
        </is>
      </c>
      <c r="M7" s="13" t="inlineStr">
        <is>
          <t>Planifie</t>
        </is>
      </c>
    </row>
    <row r="8" ht="22" customHeight="1">
      <c r="B8" s="15" t="inlineStr">
        <is>
          <t>PC-004</t>
        </is>
      </c>
      <c r="C8" s="15" t="inlineStr">
        <is>
          <t>EMP-005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Conge annuel</t>
        </is>
      </c>
      <c r="G8" s="33" t="n">
        <v>45831</v>
      </c>
      <c r="H8" s="33" t="n">
        <v>45842</v>
      </c>
      <c r="I8" s="16" t="n">
        <v>8</v>
      </c>
      <c r="J8" s="15" t="inlineStr">
        <is>
          <t>Cuisinier stagiaire</t>
        </is>
      </c>
      <c r="K8" s="15" t="inlineStr">
        <is>
          <t>Non</t>
        </is>
      </c>
      <c r="L8" s="15" t="inlineStr">
        <is>
          <t>Oui</t>
        </is>
      </c>
      <c r="M8" s="15" t="inlineStr">
        <is>
          <t>En cours</t>
        </is>
      </c>
    </row>
    <row r="9" ht="22" customHeight="1">
      <c r="B9" s="13" t="inlineStr">
        <is>
          <t>PC-005</t>
        </is>
      </c>
      <c r="C9" s="13" t="inlineStr">
        <is>
          <t>EMP-003</t>
        </is>
      </c>
      <c r="D9" s="13">
        <f>IF(C9="","",VLOOKUP(C9,'_Données Employés'!$B$5:$H$18,4,FALSE)&amp;" "&amp;VLOOKUP(C9,'_Données Employés'!$B$5:$H$18,5,FALSE))</f>
        <v/>
      </c>
      <c r="E9" s="13">
        <f>IF(C9="","",VLOOKUP(C9,'_Données Employés'!$B$5:$H$18,6,FALSE))</f>
        <v/>
      </c>
      <c r="F9" s="13" t="inlineStr">
        <is>
          <t>Conge annuel</t>
        </is>
      </c>
      <c r="G9" s="32" t="n">
        <v>45901</v>
      </c>
      <c r="H9" s="32" t="n">
        <v>45912</v>
      </c>
      <c r="I9" s="14" t="n">
        <v>10</v>
      </c>
      <c r="J9" s="13" t="inlineStr">
        <is>
          <t>Comptable junior</t>
        </is>
      </c>
      <c r="K9" s="13" t="inlineStr">
        <is>
          <t>Non</t>
        </is>
      </c>
      <c r="L9" s="13" t="inlineStr">
        <is>
          <t>En attente</t>
        </is>
      </c>
      <c r="M9" s="13" t="inlineStr">
        <is>
          <t>En attente</t>
        </is>
      </c>
    </row>
    <row r="10" ht="22" customHeight="1">
      <c r="B10" s="17">
        <f>IF(C10="","PC-"&amp;TEXT(COUNTA($C$5:C10),"000"))</f>
        <v/>
      </c>
      <c r="C10" s="15" t="n"/>
      <c r="D10" s="15" t="n"/>
      <c r="E10" s="15" t="n"/>
      <c r="F10" s="15" t="n"/>
      <c r="G10" s="33" t="n"/>
      <c r="H10" s="33" t="n"/>
      <c r="I10" s="16">
        <f>IF(G10="","",H10-G10+1)</f>
        <v/>
      </c>
      <c r="J10" s="15" t="n"/>
      <c r="K10" s="15" t="n"/>
      <c r="L10" s="15" t="n"/>
      <c r="M10" s="15" t="n"/>
    </row>
    <row r="11" ht="22" customHeight="1">
      <c r="B11" s="18">
        <f>IF(C11="","PC-"&amp;TEXT(COUNTA($C$5:C11),"000"))</f>
        <v/>
      </c>
      <c r="C11" s="13" t="n"/>
      <c r="D11" s="13" t="n"/>
      <c r="E11" s="13" t="n"/>
      <c r="F11" s="13" t="n"/>
      <c r="G11" s="32" t="n"/>
      <c r="H11" s="32" t="n"/>
      <c r="I11" s="14">
        <f>IF(G11="","",H11-G11+1)</f>
        <v/>
      </c>
      <c r="J11" s="13" t="n"/>
      <c r="K11" s="13" t="n"/>
      <c r="L11" s="13" t="n"/>
      <c r="M11" s="13" t="n"/>
    </row>
    <row r="12" ht="22" customHeight="1">
      <c r="B12" s="17">
        <f>IF(C12="","PC-"&amp;TEXT(COUNTA($C$5:C12),"000"))</f>
        <v/>
      </c>
      <c r="C12" s="15" t="n"/>
      <c r="D12" s="15" t="n"/>
      <c r="E12" s="15" t="n"/>
      <c r="F12" s="15" t="n"/>
      <c r="G12" s="33" t="n"/>
      <c r="H12" s="33" t="n"/>
      <c r="I12" s="16">
        <f>IF(G12="","",H12-G12+1)</f>
        <v/>
      </c>
      <c r="J12" s="15" t="n"/>
      <c r="K12" s="15" t="n"/>
      <c r="L12" s="15" t="n"/>
      <c r="M12" s="15" t="n"/>
    </row>
    <row r="13" ht="22" customHeight="1">
      <c r="B13" s="18">
        <f>IF(C13="","PC-"&amp;TEXT(COUNTA($C$5:C13),"000"))</f>
        <v/>
      </c>
      <c r="C13" s="13" t="n"/>
      <c r="D13" s="13" t="n"/>
      <c r="E13" s="13" t="n"/>
      <c r="F13" s="13" t="n"/>
      <c r="G13" s="32" t="n"/>
      <c r="H13" s="32" t="n"/>
      <c r="I13" s="14">
        <f>IF(G13="","",H13-G13+1)</f>
        <v/>
      </c>
      <c r="J13" s="13" t="n"/>
      <c r="K13" s="13" t="n"/>
      <c r="L13" s="13" t="n"/>
      <c r="M13" s="13" t="n"/>
    </row>
    <row r="14" ht="22" customHeight="1">
      <c r="B14" s="17">
        <f>IF(C14="","PC-"&amp;TEXT(COUNTA($C$5:C14),"000"))</f>
        <v/>
      </c>
      <c r="C14" s="15" t="n"/>
      <c r="D14" s="15" t="n"/>
      <c r="E14" s="15" t="n"/>
      <c r="F14" s="15" t="n"/>
      <c r="G14" s="33" t="n"/>
      <c r="H14" s="33" t="n"/>
      <c r="I14" s="16">
        <f>IF(G14="","",H14-G14+1)</f>
        <v/>
      </c>
      <c r="J14" s="15" t="n"/>
      <c r="K14" s="15" t="n"/>
      <c r="L14" s="15" t="n"/>
      <c r="M14" s="15" t="n"/>
    </row>
    <row r="15" ht="22" customHeight="1">
      <c r="B15" s="18">
        <f>IF(C15="","PC-"&amp;TEXT(COUNTA($C$5:C15),"000"))</f>
        <v/>
      </c>
      <c r="C15" s="13" t="n"/>
      <c r="D15" s="13" t="n"/>
      <c r="E15" s="13" t="n"/>
      <c r="F15" s="13" t="n"/>
      <c r="G15" s="32" t="n"/>
      <c r="H15" s="32" t="n"/>
      <c r="I15" s="14">
        <f>IF(G15="","",H15-G15+1)</f>
        <v/>
      </c>
      <c r="J15" s="13" t="n"/>
      <c r="K15" s="13" t="n"/>
      <c r="L15" s="13" t="n"/>
      <c r="M15" s="13" t="n"/>
    </row>
    <row r="16" ht="22" customHeight="1">
      <c r="B16" s="17">
        <f>IF(C16="","PC-"&amp;TEXT(COUNTA($C$5:C16),"000"))</f>
        <v/>
      </c>
      <c r="C16" s="15" t="n"/>
      <c r="D16" s="15" t="n"/>
      <c r="E16" s="15" t="n"/>
      <c r="F16" s="15" t="n"/>
      <c r="G16" s="33" t="n"/>
      <c r="H16" s="33" t="n"/>
      <c r="I16" s="16">
        <f>IF(G16="","",H16-G16+1)</f>
        <v/>
      </c>
      <c r="J16" s="15" t="n"/>
      <c r="K16" s="15" t="n"/>
      <c r="L16" s="15" t="n"/>
      <c r="M16" s="15" t="n"/>
    </row>
    <row r="17" ht="22" customHeight="1">
      <c r="B17" s="18">
        <f>IF(C17="","PC-"&amp;TEXT(COUNTA($C$5:C17),"000"))</f>
        <v/>
      </c>
      <c r="C17" s="13" t="n"/>
      <c r="D17" s="13" t="n"/>
      <c r="E17" s="13" t="n"/>
      <c r="F17" s="13" t="n"/>
      <c r="G17" s="32" t="n"/>
      <c r="H17" s="32" t="n"/>
      <c r="I17" s="14">
        <f>IF(G17="","",H17-G17+1)</f>
        <v/>
      </c>
      <c r="J17" s="13" t="n"/>
      <c r="K17" s="13" t="n"/>
      <c r="L17" s="13" t="n"/>
      <c r="M17" s="13" t="n"/>
    </row>
    <row r="18" ht="22" customHeight="1">
      <c r="B18" s="17">
        <f>IF(C18="","PC-"&amp;TEXT(COUNTA($C$5:C18),"000"))</f>
        <v/>
      </c>
      <c r="C18" s="15" t="n"/>
      <c r="D18" s="15" t="n"/>
      <c r="E18" s="15" t="n"/>
      <c r="F18" s="15" t="n"/>
      <c r="G18" s="33" t="n"/>
      <c r="H18" s="33" t="n"/>
      <c r="I18" s="16">
        <f>IF(G18="","",H18-G18+1)</f>
        <v/>
      </c>
      <c r="J18" s="15" t="n"/>
      <c r="K18" s="15" t="n"/>
      <c r="L18" s="15" t="n"/>
      <c r="M18" s="15" t="n"/>
    </row>
    <row r="19" ht="22" customHeight="1">
      <c r="B19" s="18">
        <f>IF(C19="","PC-"&amp;TEXT(COUNTA($C$5:C19),"000"))</f>
        <v/>
      </c>
      <c r="C19" s="13" t="n"/>
      <c r="D19" s="13" t="n"/>
      <c r="E19" s="13" t="n"/>
      <c r="F19" s="13" t="n"/>
      <c r="G19" s="32" t="n"/>
      <c r="H19" s="32" t="n"/>
      <c r="I19" s="14">
        <f>IF(G19="","",H19-G19+1)</f>
        <v/>
      </c>
      <c r="J19" s="13" t="n"/>
      <c r="K19" s="13" t="n"/>
      <c r="L19" s="13" t="n"/>
      <c r="M19" s="13" t="n"/>
    </row>
    <row r="20" ht="22" customHeight="1">
      <c r="B20" s="17">
        <f>IF(C20="","PC-"&amp;TEXT(COUNTA($C$5:C20),"000"))</f>
        <v/>
      </c>
      <c r="C20" s="15" t="n"/>
      <c r="D20" s="15" t="n"/>
      <c r="E20" s="15" t="n"/>
      <c r="F20" s="15" t="n"/>
      <c r="G20" s="33" t="n"/>
      <c r="H20" s="33" t="n"/>
      <c r="I20" s="16">
        <f>IF(G20="","",H20-G20+1)</f>
        <v/>
      </c>
      <c r="J20" s="15" t="n"/>
      <c r="K20" s="15" t="n"/>
      <c r="L20" s="15" t="n"/>
      <c r="M20" s="15" t="n"/>
    </row>
    <row r="21" ht="22" customHeight="1">
      <c r="B21" s="18">
        <f>IF(C21="","PC-"&amp;TEXT(COUNTA($C$5:C21),"000"))</f>
        <v/>
      </c>
      <c r="C21" s="13" t="n"/>
      <c r="D21" s="13" t="n"/>
      <c r="E21" s="13" t="n"/>
      <c r="F21" s="13" t="n"/>
      <c r="G21" s="32" t="n"/>
      <c r="H21" s="32" t="n"/>
      <c r="I21" s="14">
        <f>IF(G21="","",H21-G21+1)</f>
        <v/>
      </c>
      <c r="J21" s="13" t="n"/>
      <c r="K21" s="13" t="n"/>
      <c r="L21" s="13" t="n"/>
      <c r="M21" s="13" t="n"/>
    </row>
    <row r="22" ht="22" customHeight="1">
      <c r="B22" s="17">
        <f>IF(C22="","PC-"&amp;TEXT(COUNTA($C$5:C22),"000"))</f>
        <v/>
      </c>
      <c r="C22" s="15" t="n"/>
      <c r="D22" s="15" t="n"/>
      <c r="E22" s="15" t="n"/>
      <c r="F22" s="15" t="n"/>
      <c r="G22" s="33" t="n"/>
      <c r="H22" s="33" t="n"/>
      <c r="I22" s="16">
        <f>IF(G22="","",H22-G22+1)</f>
        <v/>
      </c>
      <c r="J22" s="15" t="n"/>
      <c r="K22" s="15" t="n"/>
      <c r="L22" s="15" t="n"/>
      <c r="M22" s="15" t="n"/>
    </row>
    <row r="23" ht="22" customHeight="1">
      <c r="B23" s="18">
        <f>IF(C23="","PC-"&amp;TEXT(COUNTA($C$5:C23),"000"))</f>
        <v/>
      </c>
      <c r="C23" s="13" t="n"/>
      <c r="D23" s="13" t="n"/>
      <c r="E23" s="13" t="n"/>
      <c r="F23" s="13" t="n"/>
      <c r="G23" s="32" t="n"/>
      <c r="H23" s="32" t="n"/>
      <c r="I23" s="14">
        <f>IF(G23="","",H23-G23+1)</f>
        <v/>
      </c>
      <c r="J23" s="13" t="n"/>
      <c r="K23" s="13" t="n"/>
      <c r="L23" s="13" t="n"/>
      <c r="M23" s="13" t="n"/>
    </row>
    <row r="24" ht="22" customHeight="1">
      <c r="B24" s="17">
        <f>IF(C24="","PC-"&amp;TEXT(COUNTA($C$5:C24),"000"))</f>
        <v/>
      </c>
      <c r="C24" s="15" t="n"/>
      <c r="D24" s="15" t="n"/>
      <c r="E24" s="15" t="n"/>
      <c r="F24" s="15" t="n"/>
      <c r="G24" s="33" t="n"/>
      <c r="H24" s="33" t="n"/>
      <c r="I24" s="16">
        <f>IF(G24="","",H24-G24+1)</f>
        <v/>
      </c>
      <c r="J24" s="15" t="n"/>
      <c r="K24" s="15" t="n"/>
      <c r="L24" s="15" t="n"/>
      <c r="M24" s="15" t="n"/>
    </row>
    <row r="25" ht="22" customHeight="1">
      <c r="B25" s="18">
        <f>IF(C25="","PC-"&amp;TEXT(COUNTA($C$5:C25),"000"))</f>
        <v/>
      </c>
      <c r="C25" s="13" t="n"/>
      <c r="D25" s="13" t="n"/>
      <c r="E25" s="13" t="n"/>
      <c r="F25" s="13" t="n"/>
      <c r="G25" s="32" t="n"/>
      <c r="H25" s="32" t="n"/>
      <c r="I25" s="14">
        <f>IF(G25="","",H25-G25+1)</f>
        <v/>
      </c>
      <c r="J25" s="13" t="n"/>
      <c r="K25" s="13" t="n"/>
      <c r="L25" s="13" t="n"/>
      <c r="M25" s="13" t="n"/>
    </row>
    <row r="26" ht="22" customHeight="1">
      <c r="B26" s="17">
        <f>IF(C26="","PC-"&amp;TEXT(COUNTA($C$5:C26),"000"))</f>
        <v/>
      </c>
      <c r="C26" s="15" t="n"/>
      <c r="D26" s="15" t="n"/>
      <c r="E26" s="15" t="n"/>
      <c r="F26" s="15" t="n"/>
      <c r="G26" s="33" t="n"/>
      <c r="H26" s="33" t="n"/>
      <c r="I26" s="16">
        <f>IF(G26="","",H26-G26+1)</f>
        <v/>
      </c>
      <c r="J26" s="15" t="n"/>
      <c r="K26" s="15" t="n"/>
      <c r="L26" s="15" t="n"/>
      <c r="M26" s="15" t="n"/>
    </row>
    <row r="27" ht="22" customHeight="1">
      <c r="B27" s="18">
        <f>IF(C27="","PC-"&amp;TEXT(COUNTA($C$5:C27),"000"))</f>
        <v/>
      </c>
      <c r="C27" s="13" t="n"/>
      <c r="D27" s="13" t="n"/>
      <c r="E27" s="13" t="n"/>
      <c r="F27" s="13" t="n"/>
      <c r="G27" s="32" t="n"/>
      <c r="H27" s="32" t="n"/>
      <c r="I27" s="14">
        <f>IF(G27="","",H27-G27+1)</f>
        <v/>
      </c>
      <c r="J27" s="13" t="n"/>
      <c r="K27" s="13" t="n"/>
      <c r="L27" s="13" t="n"/>
      <c r="M27" s="13" t="n"/>
    </row>
    <row r="28" ht="22" customHeight="1">
      <c r="B28" s="17">
        <f>IF(C28="","PC-"&amp;TEXT(COUNTA($C$5:C28),"000"))</f>
        <v/>
      </c>
      <c r="C28" s="15" t="n"/>
      <c r="D28" s="15" t="n"/>
      <c r="E28" s="15" t="n"/>
      <c r="F28" s="15" t="n"/>
      <c r="G28" s="33" t="n"/>
      <c r="H28" s="33" t="n"/>
      <c r="I28" s="16">
        <f>IF(G28="","",H28-G28+1)</f>
        <v/>
      </c>
      <c r="J28" s="15" t="n"/>
      <c r="K28" s="15" t="n"/>
      <c r="L28" s="15" t="n"/>
      <c r="M28" s="15" t="n"/>
    </row>
    <row r="29" ht="22" customHeight="1">
      <c r="B29" s="18">
        <f>IF(C29="","PC-"&amp;TEXT(COUNTA($C$5:C29),"000"))</f>
        <v/>
      </c>
      <c r="C29" s="13" t="n"/>
      <c r="D29" s="13" t="n"/>
      <c r="E29" s="13" t="n"/>
      <c r="F29" s="13" t="n"/>
      <c r="G29" s="32" t="n"/>
      <c r="H29" s="32" t="n"/>
      <c r="I29" s="14">
        <f>IF(G29="","",H29-G29+1)</f>
        <v/>
      </c>
      <c r="J29" s="13" t="n"/>
      <c r="K29" s="13" t="n"/>
      <c r="L29" s="13" t="n"/>
      <c r="M29" s="13" t="n"/>
    </row>
    <row r="30" ht="22" customHeight="1">
      <c r="B30" s="17">
        <f>IF(C30="","PC-"&amp;TEXT(COUNTA($C$5:C30),"000"))</f>
        <v/>
      </c>
      <c r="C30" s="15" t="n"/>
      <c r="D30" s="15" t="n"/>
      <c r="E30" s="15" t="n"/>
      <c r="F30" s="15" t="n"/>
      <c r="G30" s="33" t="n"/>
      <c r="H30" s="33" t="n"/>
      <c r="I30" s="16">
        <f>IF(G30="","",H30-G30+1)</f>
        <v/>
      </c>
      <c r="J30" s="15" t="n"/>
      <c r="K30" s="15" t="n"/>
      <c r="L30" s="15" t="n"/>
      <c r="M30" s="15" t="n"/>
    </row>
    <row r="31" ht="22" customHeight="1">
      <c r="B31" s="18">
        <f>IF(C31="","PC-"&amp;TEXT(COUNTA($C$5:C31),"000"))</f>
        <v/>
      </c>
      <c r="C31" s="13" t="n"/>
      <c r="D31" s="13" t="n"/>
      <c r="E31" s="13" t="n"/>
      <c r="F31" s="13" t="n"/>
      <c r="G31" s="32" t="n"/>
      <c r="H31" s="32" t="n"/>
      <c r="I31" s="14">
        <f>IF(G31="","",H31-G31+1)</f>
        <v/>
      </c>
      <c r="J31" s="13" t="n"/>
      <c r="K31" s="13" t="n"/>
      <c r="L31" s="13" t="n"/>
      <c r="M31" s="13" t="n"/>
    </row>
    <row r="32" ht="22" customHeight="1">
      <c r="B32" s="17">
        <f>IF(C32="","PC-"&amp;TEXT(COUNTA($C$5:C32),"000"))</f>
        <v/>
      </c>
      <c r="C32" s="15" t="n"/>
      <c r="D32" s="15" t="n"/>
      <c r="E32" s="15" t="n"/>
      <c r="F32" s="15" t="n"/>
      <c r="G32" s="33" t="n"/>
      <c r="H32" s="33" t="n"/>
      <c r="I32" s="16">
        <f>IF(G32="","",H32-G32+1)</f>
        <v/>
      </c>
      <c r="J32" s="15" t="n"/>
      <c r="K32" s="15" t="n"/>
      <c r="L32" s="15" t="n"/>
      <c r="M32" s="15" t="n"/>
    </row>
    <row r="33" ht="22" customHeight="1">
      <c r="B33" s="18">
        <f>IF(C33="","PC-"&amp;TEXT(COUNTA($C$5:C33),"000"))</f>
        <v/>
      </c>
      <c r="C33" s="13" t="n"/>
      <c r="D33" s="13" t="n"/>
      <c r="E33" s="13" t="n"/>
      <c r="F33" s="13" t="n"/>
      <c r="G33" s="32" t="n"/>
      <c r="H33" s="32" t="n"/>
      <c r="I33" s="14">
        <f>IF(G33="","",H33-G33+1)</f>
        <v/>
      </c>
      <c r="J33" s="13" t="n"/>
      <c r="K33" s="13" t="n"/>
      <c r="L33" s="13" t="n"/>
      <c r="M33" s="13" t="n"/>
    </row>
    <row r="34" ht="22" customHeight="1">
      <c r="B34" s="17">
        <f>IF(C34="","PC-"&amp;TEXT(COUNTA($C$5:C34),"000"))</f>
        <v/>
      </c>
      <c r="C34" s="15" t="n"/>
      <c r="D34" s="15" t="n"/>
      <c r="E34" s="15" t="n"/>
      <c r="F34" s="15" t="n"/>
      <c r="G34" s="33" t="n"/>
      <c r="H34" s="33" t="n"/>
      <c r="I34" s="16">
        <f>IF(G34="","",H34-G34+1)</f>
        <v/>
      </c>
      <c r="J34" s="15" t="n"/>
      <c r="K34" s="15" t="n"/>
      <c r="L34" s="15" t="n"/>
      <c r="M34" s="15" t="n"/>
    </row>
    <row r="35" ht="22" customHeight="1">
      <c r="B35" s="18">
        <f>IF(C35="","PC-"&amp;TEXT(COUNTA($C$5:C35),"000"))</f>
        <v/>
      </c>
      <c r="C35" s="13" t="n"/>
      <c r="D35" s="13" t="n"/>
      <c r="E35" s="13" t="n"/>
      <c r="F35" s="13" t="n"/>
      <c r="G35" s="32" t="n"/>
      <c r="H35" s="32" t="n"/>
      <c r="I35" s="14">
        <f>IF(G35="","",H35-G35+1)</f>
        <v/>
      </c>
      <c r="J35" s="13" t="n"/>
      <c r="K35" s="13" t="n"/>
      <c r="L35" s="13" t="n"/>
      <c r="M35" s="13" t="n"/>
    </row>
    <row r="36" ht="22" customHeight="1">
      <c r="B36" s="17">
        <f>IF(C36="","PC-"&amp;TEXT(COUNTA($C$5:C36),"000"))</f>
        <v/>
      </c>
      <c r="C36" s="15" t="n"/>
      <c r="D36" s="15" t="n"/>
      <c r="E36" s="15" t="n"/>
      <c r="F36" s="15" t="n"/>
      <c r="G36" s="33" t="n"/>
      <c r="H36" s="33" t="n"/>
      <c r="I36" s="16">
        <f>IF(G36="","",H36-G36+1)</f>
        <v/>
      </c>
      <c r="J36" s="15" t="n"/>
      <c r="K36" s="15" t="n"/>
      <c r="L36" s="15" t="n"/>
      <c r="M36" s="15" t="n"/>
    </row>
    <row r="37" ht="22" customHeight="1">
      <c r="B37" s="18">
        <f>IF(C37="","PC-"&amp;TEXT(COUNTA($C$5:C37),"000"))</f>
        <v/>
      </c>
      <c r="C37" s="13" t="n"/>
      <c r="D37" s="13" t="n"/>
      <c r="E37" s="13" t="n"/>
      <c r="F37" s="13" t="n"/>
      <c r="G37" s="32" t="n"/>
      <c r="H37" s="32" t="n"/>
      <c r="I37" s="14">
        <f>IF(G37="","",H37-G37+1)</f>
        <v/>
      </c>
      <c r="J37" s="13" t="n"/>
      <c r="K37" s="13" t="n"/>
      <c r="L37" s="13" t="n"/>
      <c r="M37" s="13" t="n"/>
    </row>
    <row r="38" ht="22" customHeight="1">
      <c r="B38" s="17">
        <f>IF(C38="","PC-"&amp;TEXT(COUNTA($C$5:C38),"000"))</f>
        <v/>
      </c>
      <c r="C38" s="15" t="n"/>
      <c r="D38" s="15" t="n"/>
      <c r="E38" s="15" t="n"/>
      <c r="F38" s="15" t="n"/>
      <c r="G38" s="33" t="n"/>
      <c r="H38" s="33" t="n"/>
      <c r="I38" s="16">
        <f>IF(G38="","",H38-G38+1)</f>
        <v/>
      </c>
      <c r="J38" s="15" t="n"/>
      <c r="K38" s="15" t="n"/>
      <c r="L38" s="15" t="n"/>
      <c r="M38" s="15" t="n"/>
    </row>
    <row r="39" ht="22" customHeight="1">
      <c r="B39" s="18">
        <f>IF(C39="","PC-"&amp;TEXT(COUNTA($C$5:C39),"000"))</f>
        <v/>
      </c>
      <c r="C39" s="13" t="n"/>
      <c r="D39" s="13" t="n"/>
      <c r="E39" s="13" t="n"/>
      <c r="F39" s="13" t="n"/>
      <c r="G39" s="32" t="n"/>
      <c r="H39" s="32" t="n"/>
      <c r="I39" s="14">
        <f>IF(G39="","",H39-G39+1)</f>
        <v/>
      </c>
      <c r="J39" s="13" t="n"/>
      <c r="K39" s="13" t="n"/>
      <c r="L39" s="13" t="n"/>
      <c r="M39" s="13" t="n"/>
    </row>
    <row r="40" ht="22" customHeight="1">
      <c r="B40" s="17">
        <f>IF(C40="","PC-"&amp;TEXT(COUNTA($C$5:C40),"000"))</f>
        <v/>
      </c>
      <c r="C40" s="15" t="n"/>
      <c r="D40" s="15" t="n"/>
      <c r="E40" s="15" t="n"/>
      <c r="F40" s="15" t="n"/>
      <c r="G40" s="33" t="n"/>
      <c r="H40" s="33" t="n"/>
      <c r="I40" s="16">
        <f>IF(G40="","",H40-G40+1)</f>
        <v/>
      </c>
      <c r="J40" s="15" t="n"/>
      <c r="K40" s="15" t="n"/>
      <c r="L40" s="15" t="n"/>
      <c r="M40" s="15" t="n"/>
    </row>
    <row r="41" ht="22" customHeight="1">
      <c r="B41" s="18">
        <f>IF(C41="","PC-"&amp;TEXT(COUNTA($C$5:C41),"000"))</f>
        <v/>
      </c>
      <c r="C41" s="13" t="n"/>
      <c r="D41" s="13" t="n"/>
      <c r="E41" s="13" t="n"/>
      <c r="F41" s="13" t="n"/>
      <c r="G41" s="32" t="n"/>
      <c r="H41" s="32" t="n"/>
      <c r="I41" s="14">
        <f>IF(G41="","",H41-G41+1)</f>
        <v/>
      </c>
      <c r="J41" s="13" t="n"/>
      <c r="K41" s="13" t="n"/>
      <c r="L41" s="13" t="n"/>
      <c r="M41" s="13" t="n"/>
    </row>
    <row r="42" ht="22" customHeight="1">
      <c r="B42" s="17">
        <f>IF(C42="","PC-"&amp;TEXT(COUNTA($C$5:C42),"000"))</f>
        <v/>
      </c>
      <c r="C42" s="15" t="n"/>
      <c r="D42" s="15" t="n"/>
      <c r="E42" s="15" t="n"/>
      <c r="F42" s="15" t="n"/>
      <c r="G42" s="33" t="n"/>
      <c r="H42" s="33" t="n"/>
      <c r="I42" s="16">
        <f>IF(G42="","",H42-G42+1)</f>
        <v/>
      </c>
      <c r="J42" s="15" t="n"/>
      <c r="K42" s="15" t="n"/>
      <c r="L42" s="15" t="n"/>
      <c r="M42" s="15" t="n"/>
    </row>
    <row r="43" ht="22" customHeight="1">
      <c r="B43" s="18">
        <f>IF(C43="","PC-"&amp;TEXT(COUNTA($C$5:C43),"000"))</f>
        <v/>
      </c>
      <c r="C43" s="13" t="n"/>
      <c r="D43" s="13" t="n"/>
      <c r="E43" s="13" t="n"/>
      <c r="F43" s="13" t="n"/>
      <c r="G43" s="32" t="n"/>
      <c r="H43" s="32" t="n"/>
      <c r="I43" s="14">
        <f>IF(G43="","",H43-G43+1)</f>
        <v/>
      </c>
      <c r="J43" s="13" t="n"/>
      <c r="K43" s="13" t="n"/>
      <c r="L43" s="13" t="n"/>
      <c r="M43" s="13" t="n"/>
    </row>
    <row r="44" ht="22" customHeight="1">
      <c r="B44" s="17">
        <f>IF(C44="","PC-"&amp;TEXT(COUNTA($C$5:C44),"000"))</f>
        <v/>
      </c>
      <c r="C44" s="15" t="n"/>
      <c r="D44" s="15" t="n"/>
      <c r="E44" s="15" t="n"/>
      <c r="F44" s="15" t="n"/>
      <c r="G44" s="33" t="n"/>
      <c r="H44" s="33" t="n"/>
      <c r="I44" s="16">
        <f>IF(G44="","",H44-G44+1)</f>
        <v/>
      </c>
      <c r="J44" s="15" t="n"/>
      <c r="K44" s="15" t="n"/>
      <c r="L44" s="15" t="n"/>
      <c r="M44" s="15" t="n"/>
    </row>
    <row r="45" ht="22" customHeight="1">
      <c r="B45" s="18">
        <f>IF(C45="","PC-"&amp;TEXT(COUNTA($C$5:C45),"000"))</f>
        <v/>
      </c>
      <c r="C45" s="13" t="n"/>
      <c r="D45" s="13" t="n"/>
      <c r="E45" s="13" t="n"/>
      <c r="F45" s="13" t="n"/>
      <c r="G45" s="32" t="n"/>
      <c r="H45" s="32" t="n"/>
      <c r="I45" s="14">
        <f>IF(G45="","",H45-G45+1)</f>
        <v/>
      </c>
      <c r="J45" s="13" t="n"/>
      <c r="K45" s="13" t="n"/>
      <c r="L45" s="13" t="n"/>
      <c r="M45" s="13" t="n"/>
    </row>
    <row r="46" ht="22" customHeight="1">
      <c r="B46" s="17">
        <f>IF(C46="","PC-"&amp;TEXT(COUNTA($C$5:C46),"000"))</f>
        <v/>
      </c>
      <c r="C46" s="15" t="n"/>
      <c r="D46" s="15" t="n"/>
      <c r="E46" s="15" t="n"/>
      <c r="F46" s="15" t="n"/>
      <c r="G46" s="33" t="n"/>
      <c r="H46" s="33" t="n"/>
      <c r="I46" s="16">
        <f>IF(G46="","",H46-G46+1)</f>
        <v/>
      </c>
      <c r="J46" s="15" t="n"/>
      <c r="K46" s="15" t="n"/>
      <c r="L46" s="15" t="n"/>
      <c r="M46" s="15" t="n"/>
    </row>
    <row r="47" ht="22" customHeight="1">
      <c r="B47" s="18">
        <f>IF(C47="","PC-"&amp;TEXT(COUNTA($C$5:C47),"000"))</f>
        <v/>
      </c>
      <c r="C47" s="13" t="n"/>
      <c r="D47" s="13" t="n"/>
      <c r="E47" s="13" t="n"/>
      <c r="F47" s="13" t="n"/>
      <c r="G47" s="32" t="n"/>
      <c r="H47" s="32" t="n"/>
      <c r="I47" s="14">
        <f>IF(G47="","",H47-G47+1)</f>
        <v/>
      </c>
      <c r="J47" s="13" t="n"/>
      <c r="K47" s="13" t="n"/>
      <c r="L47" s="13" t="n"/>
      <c r="M47" s="13" t="n"/>
    </row>
    <row r="48" ht="22" customHeight="1">
      <c r="B48" s="17">
        <f>IF(C48="","PC-"&amp;TEXT(COUNTA($C$5:C48),"000"))</f>
        <v/>
      </c>
      <c r="C48" s="15" t="n"/>
      <c r="D48" s="15" t="n"/>
      <c r="E48" s="15" t="n"/>
      <c r="F48" s="15" t="n"/>
      <c r="G48" s="33" t="n"/>
      <c r="H48" s="33" t="n"/>
      <c r="I48" s="16">
        <f>IF(G48="","",H48-G48+1)</f>
        <v/>
      </c>
      <c r="J48" s="15" t="n"/>
      <c r="K48" s="15" t="n"/>
      <c r="L48" s="15" t="n"/>
      <c r="M48" s="15" t="n"/>
    </row>
    <row r="49" ht="22" customHeight="1">
      <c r="B49" s="18">
        <f>IF(C49="","PC-"&amp;TEXT(COUNTA($C$5:C49),"000"))</f>
        <v/>
      </c>
      <c r="C49" s="13" t="n"/>
      <c r="D49" s="13" t="n"/>
      <c r="E49" s="13" t="n"/>
      <c r="F49" s="13" t="n"/>
      <c r="G49" s="32" t="n"/>
      <c r="H49" s="32" t="n"/>
      <c r="I49" s="14">
        <f>IF(G49="","",H49-G49+1)</f>
        <v/>
      </c>
      <c r="J49" s="13" t="n"/>
      <c r="K49" s="13" t="n"/>
      <c r="L49" s="13" t="n"/>
      <c r="M49" s="13" t="n"/>
    </row>
    <row r="50" ht="22" customHeight="1">
      <c r="B50" s="17">
        <f>IF(C50="","PC-"&amp;TEXT(COUNTA($C$5:C50),"000"))</f>
        <v/>
      </c>
      <c r="C50" s="15" t="n"/>
      <c r="D50" s="15" t="n"/>
      <c r="E50" s="15" t="n"/>
      <c r="F50" s="15" t="n"/>
      <c r="G50" s="33" t="n"/>
      <c r="H50" s="33" t="n"/>
      <c r="I50" s="16">
        <f>IF(G50="","",H50-G50+1)</f>
        <v/>
      </c>
      <c r="J50" s="15" t="n"/>
      <c r="K50" s="15" t="n"/>
      <c r="L50" s="15" t="n"/>
      <c r="M50" s="15" t="n"/>
    </row>
    <row r="51" ht="22" customHeight="1">
      <c r="B51" s="18">
        <f>IF(C51="","PC-"&amp;TEXT(COUNTA($C$5:C51),"000"))</f>
        <v/>
      </c>
      <c r="C51" s="13" t="n"/>
      <c r="D51" s="13" t="n"/>
      <c r="E51" s="13" t="n"/>
      <c r="F51" s="13" t="n"/>
      <c r="G51" s="32" t="n"/>
      <c r="H51" s="32" t="n"/>
      <c r="I51" s="14">
        <f>IF(G51="","",H51-G51+1)</f>
        <v/>
      </c>
      <c r="J51" s="13" t="n"/>
      <c r="K51" s="13" t="n"/>
      <c r="L51" s="13" t="n"/>
      <c r="M51" s="13" t="n"/>
    </row>
    <row r="52" ht="22" customHeight="1">
      <c r="B52" s="17">
        <f>IF(C52="","PC-"&amp;TEXT(COUNTA($C$5:C52),"000"))</f>
        <v/>
      </c>
      <c r="C52" s="15" t="n"/>
      <c r="D52" s="15" t="n"/>
      <c r="E52" s="15" t="n"/>
      <c r="F52" s="15" t="n"/>
      <c r="G52" s="33" t="n"/>
      <c r="H52" s="33" t="n"/>
      <c r="I52" s="16">
        <f>IF(G52="","",H52-G52+1)</f>
        <v/>
      </c>
      <c r="J52" s="15" t="n"/>
      <c r="K52" s="15" t="n"/>
      <c r="L52" s="15" t="n"/>
      <c r="M52" s="15" t="n"/>
    </row>
    <row r="53" ht="22" customHeight="1">
      <c r="B53" s="18">
        <f>IF(C53="","PC-"&amp;TEXT(COUNTA($C$5:C53),"000"))</f>
        <v/>
      </c>
      <c r="C53" s="13" t="n"/>
      <c r="D53" s="13" t="n"/>
      <c r="E53" s="13" t="n"/>
      <c r="F53" s="13" t="n"/>
      <c r="G53" s="32" t="n"/>
      <c r="H53" s="32" t="n"/>
      <c r="I53" s="14">
        <f>IF(G53="","",H53-G53+1)</f>
        <v/>
      </c>
      <c r="J53" s="13" t="n"/>
      <c r="K53" s="13" t="n"/>
      <c r="L53" s="13" t="n"/>
      <c r="M53" s="13" t="n"/>
    </row>
    <row r="54" ht="22" customHeight="1">
      <c r="B54" s="17">
        <f>IF(C54="","PC-"&amp;TEXT(COUNTA($C$5:C54),"000"))</f>
        <v/>
      </c>
      <c r="C54" s="15" t="n"/>
      <c r="D54" s="15" t="n"/>
      <c r="E54" s="15" t="n"/>
      <c r="F54" s="15" t="n"/>
      <c r="G54" s="33" t="n"/>
      <c r="H54" s="33" t="n"/>
      <c r="I54" s="16">
        <f>IF(G54="","",H54-G54+1)</f>
        <v/>
      </c>
      <c r="J54" s="15" t="n"/>
      <c r="K54" s="15" t="n"/>
      <c r="L54" s="15" t="n"/>
      <c r="M54" s="15" t="n"/>
    </row>
    <row r="55" ht="22" customHeight="1">
      <c r="B55" s="18">
        <f>IF(C55="","PC-"&amp;TEXT(COUNTA($C$5:C55),"000"))</f>
        <v/>
      </c>
      <c r="C55" s="13" t="n"/>
      <c r="D55" s="13" t="n"/>
      <c r="E55" s="13" t="n"/>
      <c r="F55" s="13" t="n"/>
      <c r="G55" s="32" t="n"/>
      <c r="H55" s="32" t="n"/>
      <c r="I55" s="14">
        <f>IF(G55="","",H55-G55+1)</f>
        <v/>
      </c>
      <c r="J55" s="13" t="n"/>
      <c r="K55" s="13" t="n"/>
      <c r="L55" s="13" t="n"/>
      <c r="M55" s="13" t="n"/>
    </row>
    <row r="56" ht="22" customHeight="1">
      <c r="B56" s="17">
        <f>IF(C56="","PC-"&amp;TEXT(COUNTA($C$5:C56),"000"))</f>
        <v/>
      </c>
      <c r="C56" s="15" t="n"/>
      <c r="D56" s="15" t="n"/>
      <c r="E56" s="15" t="n"/>
      <c r="F56" s="15" t="n"/>
      <c r="G56" s="33" t="n"/>
      <c r="H56" s="33" t="n"/>
      <c r="I56" s="16">
        <f>IF(G56="","",H56-G56+1)</f>
        <v/>
      </c>
      <c r="J56" s="15" t="n"/>
      <c r="K56" s="15" t="n"/>
      <c r="L56" s="15" t="n"/>
      <c r="M56" s="15" t="n"/>
    </row>
    <row r="57" ht="22" customHeight="1">
      <c r="B57" s="18">
        <f>IF(C57="","PC-"&amp;TEXT(COUNTA($C$5:C57),"000"))</f>
        <v/>
      </c>
      <c r="C57" s="13" t="n"/>
      <c r="D57" s="13" t="n"/>
      <c r="E57" s="13" t="n"/>
      <c r="F57" s="13" t="n"/>
      <c r="G57" s="32" t="n"/>
      <c r="H57" s="32" t="n"/>
      <c r="I57" s="14">
        <f>IF(G57="","",H57-G57+1)</f>
        <v/>
      </c>
      <c r="J57" s="13" t="n"/>
      <c r="K57" s="13" t="n"/>
      <c r="L57" s="13" t="n"/>
      <c r="M57" s="13" t="n"/>
    </row>
    <row r="58" ht="22" customHeight="1">
      <c r="B58" s="17">
        <f>IF(C58="","PC-"&amp;TEXT(COUNTA($C$5:C58),"000"))</f>
        <v/>
      </c>
      <c r="C58" s="15" t="n"/>
      <c r="D58" s="15" t="n"/>
      <c r="E58" s="15" t="n"/>
      <c r="F58" s="15" t="n"/>
      <c r="G58" s="33" t="n"/>
      <c r="H58" s="33" t="n"/>
      <c r="I58" s="16">
        <f>IF(G58="","",H58-G58+1)</f>
        <v/>
      </c>
      <c r="J58" s="15" t="n"/>
      <c r="K58" s="15" t="n"/>
      <c r="L58" s="15" t="n"/>
      <c r="M58" s="15" t="n"/>
    </row>
    <row r="59" ht="22" customHeight="1">
      <c r="B59" s="18">
        <f>IF(C59="","PC-"&amp;TEXT(COUNTA($C$5:C59),"000"))</f>
        <v/>
      </c>
      <c r="C59" s="13" t="n"/>
      <c r="D59" s="13" t="n"/>
      <c r="E59" s="13" t="n"/>
      <c r="F59" s="13" t="n"/>
      <c r="G59" s="32" t="n"/>
      <c r="H59" s="32" t="n"/>
      <c r="I59" s="14">
        <f>IF(G59="","",H59-G59+1)</f>
        <v/>
      </c>
      <c r="J59" s="13" t="n"/>
      <c r="K59" s="13" t="n"/>
      <c r="L59" s="13" t="n"/>
      <c r="M59" s="13" t="n"/>
    </row>
    <row r="60" ht="22" customHeight="1">
      <c r="B60" s="17">
        <f>IF(C60="","PC-"&amp;TEXT(COUNTA($C$5:C60),"000"))</f>
        <v/>
      </c>
      <c r="C60" s="15" t="n"/>
      <c r="D60" s="15" t="n"/>
      <c r="E60" s="15" t="n"/>
      <c r="F60" s="15" t="n"/>
      <c r="G60" s="33" t="n"/>
      <c r="H60" s="33" t="n"/>
      <c r="I60" s="16">
        <f>IF(G60="","",H60-G60+1)</f>
        <v/>
      </c>
      <c r="J60" s="15" t="n"/>
      <c r="K60" s="15" t="n"/>
      <c r="L60" s="15" t="n"/>
      <c r="M60" s="15" t="n"/>
    </row>
    <row r="61" ht="22" customHeight="1">
      <c r="B61" s="18">
        <f>IF(C61="","PC-"&amp;TEXT(COUNTA($C$5:C61),"000"))</f>
        <v/>
      </c>
      <c r="C61" s="13" t="n"/>
      <c r="D61" s="13" t="n"/>
      <c r="E61" s="13" t="n"/>
      <c r="F61" s="13" t="n"/>
      <c r="G61" s="32" t="n"/>
      <c r="H61" s="32" t="n"/>
      <c r="I61" s="14">
        <f>IF(G61="","",H61-G61+1)</f>
        <v/>
      </c>
      <c r="J61" s="13" t="n"/>
      <c r="K61" s="13" t="n"/>
      <c r="L61" s="13" t="n"/>
      <c r="M61" s="13" t="n"/>
    </row>
    <row r="62" ht="22" customHeight="1">
      <c r="B62" s="17">
        <f>IF(C62="","PC-"&amp;TEXT(COUNTA($C$5:C62),"000"))</f>
        <v/>
      </c>
      <c r="C62" s="15" t="n"/>
      <c r="D62" s="15" t="n"/>
      <c r="E62" s="15" t="n"/>
      <c r="F62" s="15" t="n"/>
      <c r="G62" s="33" t="n"/>
      <c r="H62" s="33" t="n"/>
      <c r="I62" s="16">
        <f>IF(G62="","",H62-G62+1)</f>
        <v/>
      </c>
      <c r="J62" s="15" t="n"/>
      <c r="K62" s="15" t="n"/>
      <c r="L62" s="15" t="n"/>
      <c r="M62" s="15" t="n"/>
    </row>
    <row r="63" ht="22" customHeight="1">
      <c r="B63" s="18">
        <f>IF(C63="","PC-"&amp;TEXT(COUNTA($C$5:C63),"000"))</f>
        <v/>
      </c>
      <c r="C63" s="13" t="n"/>
      <c r="D63" s="13" t="n"/>
      <c r="E63" s="13" t="n"/>
      <c r="F63" s="13" t="n"/>
      <c r="G63" s="32" t="n"/>
      <c r="H63" s="32" t="n"/>
      <c r="I63" s="14">
        <f>IF(G63="","",H63-G63+1)</f>
        <v/>
      </c>
      <c r="J63" s="13" t="n"/>
      <c r="K63" s="13" t="n"/>
      <c r="L63" s="13" t="n"/>
      <c r="M63" s="13" t="n"/>
    </row>
    <row r="64" ht="22" customHeight="1">
      <c r="B64" s="17">
        <f>IF(C64="","PC-"&amp;TEXT(COUNTA($C$5:C64),"000"))</f>
        <v/>
      </c>
      <c r="C64" s="15" t="n"/>
      <c r="D64" s="15" t="n"/>
      <c r="E64" s="15" t="n"/>
      <c r="F64" s="15" t="n"/>
      <c r="G64" s="33" t="n"/>
      <c r="H64" s="33" t="n"/>
      <c r="I64" s="16">
        <f>IF(G64="","",H64-G64+1)</f>
        <v/>
      </c>
      <c r="J64" s="15" t="n"/>
      <c r="K64" s="15" t="n"/>
      <c r="L64" s="15" t="n"/>
      <c r="M64" s="15" t="n"/>
    </row>
    <row r="65" ht="22" customHeight="1">
      <c r="B65" s="18">
        <f>IF(C65="","PC-"&amp;TEXT(COUNTA($C$5:C65),"000"))</f>
        <v/>
      </c>
      <c r="C65" s="13" t="n"/>
      <c r="D65" s="13" t="n"/>
      <c r="E65" s="13" t="n"/>
      <c r="F65" s="13" t="n"/>
      <c r="G65" s="32" t="n"/>
      <c r="H65" s="32" t="n"/>
      <c r="I65" s="14">
        <f>IF(G65="","",H65-G65+1)</f>
        <v/>
      </c>
      <c r="J65" s="13" t="n"/>
      <c r="K65" s="13" t="n"/>
      <c r="L65" s="13" t="n"/>
      <c r="M65" s="13" t="n"/>
    </row>
    <row r="66" ht="22" customHeight="1">
      <c r="B66" s="17">
        <f>IF(C66="","PC-"&amp;TEXT(COUNTA($C$5:C66),"000"))</f>
        <v/>
      </c>
      <c r="C66" s="15" t="n"/>
      <c r="D66" s="15" t="n"/>
      <c r="E66" s="15" t="n"/>
      <c r="F66" s="15" t="n"/>
      <c r="G66" s="33" t="n"/>
      <c r="H66" s="33" t="n"/>
      <c r="I66" s="16">
        <f>IF(G66="","",H66-G66+1)</f>
        <v/>
      </c>
      <c r="J66" s="15" t="n"/>
      <c r="K66" s="15" t="n"/>
      <c r="L66" s="15" t="n"/>
      <c r="M66" s="15" t="n"/>
    </row>
    <row r="67" ht="22" customHeight="1">
      <c r="B67" s="18">
        <f>IF(C67="","PC-"&amp;TEXT(COUNTA($C$5:C67),"000"))</f>
        <v/>
      </c>
      <c r="C67" s="13" t="n"/>
      <c r="D67" s="13" t="n"/>
      <c r="E67" s="13" t="n"/>
      <c r="F67" s="13" t="n"/>
      <c r="G67" s="32" t="n"/>
      <c r="H67" s="32" t="n"/>
      <c r="I67" s="14">
        <f>IF(G67="","",H67-G67+1)</f>
        <v/>
      </c>
      <c r="J67" s="13" t="n"/>
      <c r="K67" s="13" t="n"/>
      <c r="L67" s="13" t="n"/>
      <c r="M67" s="13" t="n"/>
    </row>
    <row r="68" ht="22" customHeight="1">
      <c r="B68" s="17">
        <f>IF(C68="","PC-"&amp;TEXT(COUNTA($C$5:C68),"000"))</f>
        <v/>
      </c>
      <c r="C68" s="15" t="n"/>
      <c r="D68" s="15" t="n"/>
      <c r="E68" s="15" t="n"/>
      <c r="F68" s="15" t="n"/>
      <c r="G68" s="33" t="n"/>
      <c r="H68" s="33" t="n"/>
      <c r="I68" s="16">
        <f>IF(G68="","",H68-G68+1)</f>
        <v/>
      </c>
      <c r="J68" s="15" t="n"/>
      <c r="K68" s="15" t="n"/>
      <c r="L68" s="15" t="n"/>
      <c r="M68" s="15" t="n"/>
    </row>
    <row r="69" ht="22" customHeight="1">
      <c r="B69" s="18">
        <f>IF(C69="","PC-"&amp;TEXT(COUNTA($C$5:C69),"000"))</f>
        <v/>
      </c>
      <c r="C69" s="13" t="n"/>
      <c r="D69" s="13" t="n"/>
      <c r="E69" s="13" t="n"/>
      <c r="F69" s="13" t="n"/>
      <c r="G69" s="32" t="n"/>
      <c r="H69" s="32" t="n"/>
      <c r="I69" s="14">
        <f>IF(G69="","",H69-G69+1)</f>
        <v/>
      </c>
      <c r="J69" s="13" t="n"/>
      <c r="K69" s="13" t="n"/>
      <c r="L69" s="13" t="n"/>
      <c r="M69" s="13" t="n"/>
    </row>
    <row r="70" ht="22" customHeight="1">
      <c r="B70" s="17">
        <f>IF(C70="","PC-"&amp;TEXT(COUNTA($C$5:C70),"000"))</f>
        <v/>
      </c>
      <c r="C70" s="15" t="n"/>
      <c r="D70" s="15" t="n"/>
      <c r="E70" s="15" t="n"/>
      <c r="F70" s="15" t="n"/>
      <c r="G70" s="33" t="n"/>
      <c r="H70" s="33" t="n"/>
      <c r="I70" s="16">
        <f>IF(G70="","",H70-G70+1)</f>
        <v/>
      </c>
      <c r="J70" s="15" t="n"/>
      <c r="K70" s="15" t="n"/>
      <c r="L70" s="15" t="n"/>
      <c r="M70" s="15" t="n"/>
    </row>
    <row r="71" ht="22" customHeight="1">
      <c r="B71" s="18">
        <f>IF(C71="","PC-"&amp;TEXT(COUNTA($C$5:C71),"000"))</f>
        <v/>
      </c>
      <c r="C71" s="13" t="n"/>
      <c r="D71" s="13" t="n"/>
      <c r="E71" s="13" t="n"/>
      <c r="F71" s="13" t="n"/>
      <c r="G71" s="32" t="n"/>
      <c r="H71" s="32" t="n"/>
      <c r="I71" s="14">
        <f>IF(G71="","",H71-G71+1)</f>
        <v/>
      </c>
      <c r="J71" s="13" t="n"/>
      <c r="K71" s="13" t="n"/>
      <c r="L71" s="13" t="n"/>
      <c r="M71" s="13" t="n"/>
    </row>
    <row r="72" ht="22" customHeight="1">
      <c r="B72" s="17">
        <f>IF(C72="","PC-"&amp;TEXT(COUNTA($C$5:C72),"000"))</f>
        <v/>
      </c>
      <c r="C72" s="15" t="n"/>
      <c r="D72" s="15" t="n"/>
      <c r="E72" s="15" t="n"/>
      <c r="F72" s="15" t="n"/>
      <c r="G72" s="33" t="n"/>
      <c r="H72" s="33" t="n"/>
      <c r="I72" s="16">
        <f>IF(G72="","",H72-G72+1)</f>
        <v/>
      </c>
      <c r="J72" s="15" t="n"/>
      <c r="K72" s="15" t="n"/>
      <c r="L72" s="15" t="n"/>
      <c r="M72" s="15" t="n"/>
    </row>
    <row r="73" ht="22" customHeight="1">
      <c r="B73" s="18">
        <f>IF(C73="","PC-"&amp;TEXT(COUNTA($C$5:C73),"000"))</f>
        <v/>
      </c>
      <c r="C73" s="13" t="n"/>
      <c r="D73" s="13" t="n"/>
      <c r="E73" s="13" t="n"/>
      <c r="F73" s="13" t="n"/>
      <c r="G73" s="32" t="n"/>
      <c r="H73" s="32" t="n"/>
      <c r="I73" s="14">
        <f>IF(G73="","",H73-G73+1)</f>
        <v/>
      </c>
      <c r="J73" s="13" t="n"/>
      <c r="K73" s="13" t="n"/>
      <c r="L73" s="13" t="n"/>
      <c r="M73" s="13" t="n"/>
    </row>
    <row r="74" ht="22" customHeight="1">
      <c r="B74" s="17">
        <f>IF(C74="","PC-"&amp;TEXT(COUNTA($C$5:C74),"000"))</f>
        <v/>
      </c>
      <c r="C74" s="15" t="n"/>
      <c r="D74" s="15" t="n"/>
      <c r="E74" s="15" t="n"/>
      <c r="F74" s="15" t="n"/>
      <c r="G74" s="33" t="n"/>
      <c r="H74" s="33" t="n"/>
      <c r="I74" s="16">
        <f>IF(G74="","",H74-G74+1)</f>
        <v/>
      </c>
      <c r="J74" s="15" t="n"/>
      <c r="K74" s="15" t="n"/>
      <c r="L74" s="15" t="n"/>
      <c r="M74" s="15" t="n"/>
    </row>
    <row r="75" ht="22" customHeight="1">
      <c r="B75" s="18">
        <f>IF(C75="","PC-"&amp;TEXT(COUNTA($C$5:C75),"000"))</f>
        <v/>
      </c>
      <c r="C75" s="13" t="n"/>
      <c r="D75" s="13" t="n"/>
      <c r="E75" s="13" t="n"/>
      <c r="F75" s="13" t="n"/>
      <c r="G75" s="32" t="n"/>
      <c r="H75" s="32" t="n"/>
      <c r="I75" s="14">
        <f>IF(G75="","",H75-G75+1)</f>
        <v/>
      </c>
      <c r="J75" s="13" t="n"/>
      <c r="K75" s="13" t="n"/>
      <c r="L75" s="13" t="n"/>
      <c r="M75" s="13" t="n"/>
    </row>
    <row r="76" ht="22" customHeight="1">
      <c r="B76" s="17">
        <f>IF(C76="","PC-"&amp;TEXT(COUNTA($C$5:C76),"000"))</f>
        <v/>
      </c>
      <c r="C76" s="15" t="n"/>
      <c r="D76" s="15" t="n"/>
      <c r="E76" s="15" t="n"/>
      <c r="F76" s="15" t="n"/>
      <c r="G76" s="33" t="n"/>
      <c r="H76" s="33" t="n"/>
      <c r="I76" s="16">
        <f>IF(G76="","",H76-G76+1)</f>
        <v/>
      </c>
      <c r="J76" s="15" t="n"/>
      <c r="K76" s="15" t="n"/>
      <c r="L76" s="15" t="n"/>
      <c r="M76" s="15" t="n"/>
    </row>
    <row r="77" ht="22" customHeight="1">
      <c r="B77" s="18">
        <f>IF(C77="","PC-"&amp;TEXT(COUNTA($C$5:C77),"000"))</f>
        <v/>
      </c>
      <c r="C77" s="13" t="n"/>
      <c r="D77" s="13" t="n"/>
      <c r="E77" s="13" t="n"/>
      <c r="F77" s="13" t="n"/>
      <c r="G77" s="32" t="n"/>
      <c r="H77" s="32" t="n"/>
      <c r="I77" s="14">
        <f>IF(G77="","",H77-G77+1)</f>
        <v/>
      </c>
      <c r="J77" s="13" t="n"/>
      <c r="K77" s="13" t="n"/>
      <c r="L77" s="13" t="n"/>
      <c r="M77" s="13" t="n"/>
    </row>
    <row r="78" ht="22" customHeight="1">
      <c r="B78" s="17">
        <f>IF(C78="","PC-"&amp;TEXT(COUNTA($C$5:C78),"000"))</f>
        <v/>
      </c>
      <c r="C78" s="15" t="n"/>
      <c r="D78" s="15" t="n"/>
      <c r="E78" s="15" t="n"/>
      <c r="F78" s="15" t="n"/>
      <c r="G78" s="33" t="n"/>
      <c r="H78" s="33" t="n"/>
      <c r="I78" s="16">
        <f>IF(G78="","",H78-G78+1)</f>
        <v/>
      </c>
      <c r="J78" s="15" t="n"/>
      <c r="K78" s="15" t="n"/>
      <c r="L78" s="15" t="n"/>
      <c r="M78" s="15" t="n"/>
    </row>
    <row r="79" ht="22" customHeight="1">
      <c r="B79" s="18">
        <f>IF(C79="","PC-"&amp;TEXT(COUNTA($C$5:C79),"000"))</f>
        <v/>
      </c>
      <c r="C79" s="13" t="n"/>
      <c r="D79" s="13" t="n"/>
      <c r="E79" s="13" t="n"/>
      <c r="F79" s="13" t="n"/>
      <c r="G79" s="32" t="n"/>
      <c r="H79" s="32" t="n"/>
      <c r="I79" s="14">
        <f>IF(G79="","",H79-G79+1)</f>
        <v/>
      </c>
      <c r="J79" s="13" t="n"/>
      <c r="K79" s="13" t="n"/>
      <c r="L79" s="13" t="n"/>
      <c r="M79" s="13" t="n"/>
    </row>
    <row r="80" ht="22" customHeight="1">
      <c r="B80" s="17">
        <f>IF(C80="","PC-"&amp;TEXT(COUNTA($C$5:C80),"000"))</f>
        <v/>
      </c>
      <c r="C80" s="15" t="n"/>
      <c r="D80" s="15" t="n"/>
      <c r="E80" s="15" t="n"/>
      <c r="F80" s="15" t="n"/>
      <c r="G80" s="33" t="n"/>
      <c r="H80" s="33" t="n"/>
      <c r="I80" s="16">
        <f>IF(G80="","",H80-G80+1)</f>
        <v/>
      </c>
      <c r="J80" s="15" t="n"/>
      <c r="K80" s="15" t="n"/>
      <c r="L80" s="15" t="n"/>
      <c r="M80" s="15" t="n"/>
    </row>
    <row r="81" ht="22" customHeight="1">
      <c r="B81" s="18">
        <f>IF(C81="","PC-"&amp;TEXT(COUNTA($C$5:C81),"000"))</f>
        <v/>
      </c>
      <c r="C81" s="13" t="n"/>
      <c r="D81" s="13" t="n"/>
      <c r="E81" s="13" t="n"/>
      <c r="F81" s="13" t="n"/>
      <c r="G81" s="32" t="n"/>
      <c r="H81" s="32" t="n"/>
      <c r="I81" s="14">
        <f>IF(G81="","",H81-G81+1)</f>
        <v/>
      </c>
      <c r="J81" s="13" t="n"/>
      <c r="K81" s="13" t="n"/>
      <c r="L81" s="13" t="n"/>
      <c r="M81" s="13" t="n"/>
    </row>
    <row r="82" ht="22" customHeight="1">
      <c r="B82" s="17">
        <f>IF(C82="","PC-"&amp;TEXT(COUNTA($C$5:C82),"000"))</f>
        <v/>
      </c>
      <c r="C82" s="15" t="n"/>
      <c r="D82" s="15" t="n"/>
      <c r="E82" s="15" t="n"/>
      <c r="F82" s="15" t="n"/>
      <c r="G82" s="33" t="n"/>
      <c r="H82" s="33" t="n"/>
      <c r="I82" s="16">
        <f>IF(G82="","",H82-G82+1)</f>
        <v/>
      </c>
      <c r="J82" s="15" t="n"/>
      <c r="K82" s="15" t="n"/>
      <c r="L82" s="15" t="n"/>
      <c r="M82" s="15" t="n"/>
    </row>
    <row r="83" ht="22" customHeight="1">
      <c r="B83" s="18">
        <f>IF(C83="","PC-"&amp;TEXT(COUNTA($C$5:C83),"000"))</f>
        <v/>
      </c>
      <c r="C83" s="13" t="n"/>
      <c r="D83" s="13" t="n"/>
      <c r="E83" s="13" t="n"/>
      <c r="F83" s="13" t="n"/>
      <c r="G83" s="32" t="n"/>
      <c r="H83" s="32" t="n"/>
      <c r="I83" s="14">
        <f>IF(G83="","",H83-G83+1)</f>
        <v/>
      </c>
      <c r="J83" s="13" t="n"/>
      <c r="K83" s="13" t="n"/>
      <c r="L83" s="13" t="n"/>
      <c r="M83" s="13" t="n"/>
    </row>
    <row r="84" ht="22" customHeight="1">
      <c r="B84" s="17">
        <f>IF(C84="","PC-"&amp;TEXT(COUNTA($C$5:C84),"000"))</f>
        <v/>
      </c>
      <c r="C84" s="15" t="n"/>
      <c r="D84" s="15" t="n"/>
      <c r="E84" s="15" t="n"/>
      <c r="F84" s="15" t="n"/>
      <c r="G84" s="33" t="n"/>
      <c r="H84" s="33" t="n"/>
      <c r="I84" s="16">
        <f>IF(G84="","",H84-G84+1)</f>
        <v/>
      </c>
      <c r="J84" s="15" t="n"/>
      <c r="K84" s="15" t="n"/>
      <c r="L84" s="15" t="n"/>
      <c r="M84" s="15" t="n"/>
    </row>
    <row r="85" ht="22" customHeight="1">
      <c r="B85" s="18">
        <f>IF(C85="","PC-"&amp;TEXT(COUNTA($C$5:C85),"000"))</f>
        <v/>
      </c>
      <c r="C85" s="13" t="n"/>
      <c r="D85" s="13" t="n"/>
      <c r="E85" s="13" t="n"/>
      <c r="F85" s="13" t="n"/>
      <c r="G85" s="32" t="n"/>
      <c r="H85" s="32" t="n"/>
      <c r="I85" s="14">
        <f>IF(G85="","",H85-G85+1)</f>
        <v/>
      </c>
      <c r="J85" s="13" t="n"/>
      <c r="K85" s="13" t="n"/>
      <c r="L85" s="13" t="n"/>
      <c r="M85" s="13" t="n"/>
    </row>
    <row r="86" ht="22" customHeight="1">
      <c r="B86" s="17">
        <f>IF(C86="","PC-"&amp;TEXT(COUNTA($C$5:C86),"000"))</f>
        <v/>
      </c>
      <c r="C86" s="15" t="n"/>
      <c r="D86" s="15" t="n"/>
      <c r="E86" s="15" t="n"/>
      <c r="F86" s="15" t="n"/>
      <c r="G86" s="33" t="n"/>
      <c r="H86" s="33" t="n"/>
      <c r="I86" s="16">
        <f>IF(G86="","",H86-G86+1)</f>
        <v/>
      </c>
      <c r="J86" s="15" t="n"/>
      <c r="K86" s="15" t="n"/>
      <c r="L86" s="15" t="n"/>
      <c r="M86" s="15" t="n"/>
    </row>
    <row r="87" ht="22" customHeight="1">
      <c r="B87" s="18">
        <f>IF(C87="","PC-"&amp;TEXT(COUNTA($C$5:C87),"000"))</f>
        <v/>
      </c>
      <c r="C87" s="13" t="n"/>
      <c r="D87" s="13" t="n"/>
      <c r="E87" s="13" t="n"/>
      <c r="F87" s="13" t="n"/>
      <c r="G87" s="32" t="n"/>
      <c r="H87" s="32" t="n"/>
      <c r="I87" s="14">
        <f>IF(G87="","",H87-G87+1)</f>
        <v/>
      </c>
      <c r="J87" s="13" t="n"/>
      <c r="K87" s="13" t="n"/>
      <c r="L87" s="13" t="n"/>
      <c r="M87" s="13" t="n"/>
    </row>
    <row r="88" ht="22" customHeight="1">
      <c r="B88" s="17">
        <f>IF(C88="","PC-"&amp;TEXT(COUNTA($C$5:C88),"000"))</f>
        <v/>
      </c>
      <c r="C88" s="15" t="n"/>
      <c r="D88" s="15" t="n"/>
      <c r="E88" s="15" t="n"/>
      <c r="F88" s="15" t="n"/>
      <c r="G88" s="33" t="n"/>
      <c r="H88" s="33" t="n"/>
      <c r="I88" s="16">
        <f>IF(G88="","",H88-G88+1)</f>
        <v/>
      </c>
      <c r="J88" s="15" t="n"/>
      <c r="K88" s="15" t="n"/>
      <c r="L88" s="15" t="n"/>
      <c r="M88" s="15" t="n"/>
    </row>
    <row r="89" ht="22" customHeight="1">
      <c r="B89" s="18">
        <f>IF(C89="","PC-"&amp;TEXT(COUNTA($C$5:C89),"000"))</f>
        <v/>
      </c>
      <c r="C89" s="13" t="n"/>
      <c r="D89" s="13" t="n"/>
      <c r="E89" s="13" t="n"/>
      <c r="F89" s="13" t="n"/>
      <c r="G89" s="32" t="n"/>
      <c r="H89" s="32" t="n"/>
      <c r="I89" s="14">
        <f>IF(G89="","",H89-G89+1)</f>
        <v/>
      </c>
      <c r="J89" s="13" t="n"/>
      <c r="K89" s="13" t="n"/>
      <c r="L89" s="13" t="n"/>
      <c r="M89" s="13" t="n"/>
    </row>
    <row r="90" ht="22" customHeight="1">
      <c r="B90" s="17">
        <f>IF(C90="","PC-"&amp;TEXT(COUNTA($C$5:C90),"000"))</f>
        <v/>
      </c>
      <c r="C90" s="15" t="n"/>
      <c r="D90" s="15" t="n"/>
      <c r="E90" s="15" t="n"/>
      <c r="F90" s="15" t="n"/>
      <c r="G90" s="33" t="n"/>
      <c r="H90" s="33" t="n"/>
      <c r="I90" s="16">
        <f>IF(G90="","",H90-G90+1)</f>
        <v/>
      </c>
      <c r="J90" s="15" t="n"/>
      <c r="K90" s="15" t="n"/>
      <c r="L90" s="15" t="n"/>
      <c r="M90" s="15" t="n"/>
    </row>
    <row r="91" ht="22" customHeight="1">
      <c r="B91" s="18">
        <f>IF(C91="","PC-"&amp;TEXT(COUNTA($C$5:C91),"000"))</f>
        <v/>
      </c>
      <c r="C91" s="13" t="n"/>
      <c r="D91" s="13" t="n"/>
      <c r="E91" s="13" t="n"/>
      <c r="F91" s="13" t="n"/>
      <c r="G91" s="32" t="n"/>
      <c r="H91" s="32" t="n"/>
      <c r="I91" s="14">
        <f>IF(G91="","",H91-G91+1)</f>
        <v/>
      </c>
      <c r="J91" s="13" t="n"/>
      <c r="K91" s="13" t="n"/>
      <c r="L91" s="13" t="n"/>
      <c r="M91" s="13" t="n"/>
    </row>
    <row r="92" ht="22" customHeight="1">
      <c r="B92" s="17">
        <f>IF(C92="","PC-"&amp;TEXT(COUNTA($C$5:C92),"000"))</f>
        <v/>
      </c>
      <c r="C92" s="15" t="n"/>
      <c r="D92" s="15" t="n"/>
      <c r="E92" s="15" t="n"/>
      <c r="F92" s="15" t="n"/>
      <c r="G92" s="33" t="n"/>
      <c r="H92" s="33" t="n"/>
      <c r="I92" s="16">
        <f>IF(G92="","",H92-G92+1)</f>
        <v/>
      </c>
      <c r="J92" s="15" t="n"/>
      <c r="K92" s="15" t="n"/>
      <c r="L92" s="15" t="n"/>
      <c r="M92" s="15" t="n"/>
    </row>
    <row r="93" ht="22" customHeight="1">
      <c r="B93" s="18">
        <f>IF(C93="","PC-"&amp;TEXT(COUNTA($C$5:C93),"000"))</f>
        <v/>
      </c>
      <c r="C93" s="13" t="n"/>
      <c r="D93" s="13" t="n"/>
      <c r="E93" s="13" t="n"/>
      <c r="F93" s="13" t="n"/>
      <c r="G93" s="32" t="n"/>
      <c r="H93" s="32" t="n"/>
      <c r="I93" s="14">
        <f>IF(G93="","",H93-G93+1)</f>
        <v/>
      </c>
      <c r="J93" s="13" t="n"/>
      <c r="K93" s="13" t="n"/>
      <c r="L93" s="13" t="n"/>
      <c r="M93" s="13" t="n"/>
    </row>
    <row r="94" ht="22" customHeight="1">
      <c r="B94" s="17">
        <f>IF(C94="","PC-"&amp;TEXT(COUNTA($C$5:C94),"000"))</f>
        <v/>
      </c>
      <c r="C94" s="15" t="n"/>
      <c r="D94" s="15" t="n"/>
      <c r="E94" s="15" t="n"/>
      <c r="F94" s="15" t="n"/>
      <c r="G94" s="33" t="n"/>
      <c r="H94" s="33" t="n"/>
      <c r="I94" s="16">
        <f>IF(G94="","",H94-G94+1)</f>
        <v/>
      </c>
      <c r="J94" s="15" t="n"/>
      <c r="K94" s="15" t="n"/>
      <c r="L94" s="15" t="n"/>
      <c r="M94" s="15" t="n"/>
    </row>
    <row r="95" ht="22" customHeight="1">
      <c r="B95" s="18">
        <f>IF(C95="","PC-"&amp;TEXT(COUNTA($C$5:C95),"000"))</f>
        <v/>
      </c>
      <c r="C95" s="13" t="n"/>
      <c r="D95" s="13" t="n"/>
      <c r="E95" s="13" t="n"/>
      <c r="F95" s="13" t="n"/>
      <c r="G95" s="32" t="n"/>
      <c r="H95" s="32" t="n"/>
      <c r="I95" s="14">
        <f>IF(G95="","",H95-G95+1)</f>
        <v/>
      </c>
      <c r="J95" s="13" t="n"/>
      <c r="K95" s="13" t="n"/>
      <c r="L95" s="13" t="n"/>
      <c r="M95" s="13" t="n"/>
    </row>
    <row r="96" ht="22" customHeight="1">
      <c r="B96" s="17">
        <f>IF(C96="","PC-"&amp;TEXT(COUNTA($C$5:C96),"000"))</f>
        <v/>
      </c>
      <c r="C96" s="15" t="n"/>
      <c r="D96" s="15" t="n"/>
      <c r="E96" s="15" t="n"/>
      <c r="F96" s="15" t="n"/>
      <c r="G96" s="33" t="n"/>
      <c r="H96" s="33" t="n"/>
      <c r="I96" s="16">
        <f>IF(G96="","",H96-G96+1)</f>
        <v/>
      </c>
      <c r="J96" s="15" t="n"/>
      <c r="K96" s="15" t="n"/>
      <c r="L96" s="15" t="n"/>
      <c r="M96" s="15" t="n"/>
    </row>
    <row r="97" ht="22" customHeight="1">
      <c r="B97" s="18">
        <f>IF(C97="","PC-"&amp;TEXT(COUNTA($C$5:C97),"000"))</f>
        <v/>
      </c>
      <c r="C97" s="13" t="n"/>
      <c r="D97" s="13" t="n"/>
      <c r="E97" s="13" t="n"/>
      <c r="F97" s="13" t="n"/>
      <c r="G97" s="32" t="n"/>
      <c r="H97" s="32" t="n"/>
      <c r="I97" s="14">
        <f>IF(G97="","",H97-G97+1)</f>
        <v/>
      </c>
      <c r="J97" s="13" t="n"/>
      <c r="K97" s="13" t="n"/>
      <c r="L97" s="13" t="n"/>
      <c r="M97" s="13" t="n"/>
    </row>
    <row r="98" ht="22" customHeight="1">
      <c r="B98" s="17">
        <f>IF(C98="","PC-"&amp;TEXT(COUNTA($C$5:C98),"000"))</f>
        <v/>
      </c>
      <c r="C98" s="15" t="n"/>
      <c r="D98" s="15" t="n"/>
      <c r="E98" s="15" t="n"/>
      <c r="F98" s="15" t="n"/>
      <c r="G98" s="33" t="n"/>
      <c r="H98" s="33" t="n"/>
      <c r="I98" s="16">
        <f>IF(G98="","",H98-G98+1)</f>
        <v/>
      </c>
      <c r="J98" s="15" t="n"/>
      <c r="K98" s="15" t="n"/>
      <c r="L98" s="15" t="n"/>
      <c r="M98" s="15" t="n"/>
    </row>
    <row r="99" ht="22" customHeight="1">
      <c r="B99" s="18">
        <f>IF(C99="","PC-"&amp;TEXT(COUNTA($C$5:C99),"000"))</f>
        <v/>
      </c>
      <c r="C99" s="13" t="n"/>
      <c r="D99" s="13" t="n"/>
      <c r="E99" s="13" t="n"/>
      <c r="F99" s="13" t="n"/>
      <c r="G99" s="32" t="n"/>
      <c r="H99" s="32" t="n"/>
      <c r="I99" s="14">
        <f>IF(G99="","",H99-G99+1)</f>
        <v/>
      </c>
      <c r="J99" s="13" t="n"/>
      <c r="K99" s="13" t="n"/>
      <c r="L99" s="13" t="n"/>
      <c r="M99" s="13" t="n"/>
    </row>
    <row r="100" ht="22" customHeight="1">
      <c r="B100" s="17">
        <f>IF(C100="","PC-"&amp;TEXT(COUNTA($C$5:C100),"000"))</f>
        <v/>
      </c>
      <c r="C100" s="15" t="n"/>
      <c r="D100" s="15" t="n"/>
      <c r="E100" s="15" t="n"/>
      <c r="F100" s="15" t="n"/>
      <c r="G100" s="33" t="n"/>
      <c r="H100" s="33" t="n"/>
      <c r="I100" s="16">
        <f>IF(G100="","",H100-G100+1)</f>
        <v/>
      </c>
      <c r="J100" s="15" t="n"/>
      <c r="K100" s="15" t="n"/>
      <c r="L100" s="15" t="n"/>
      <c r="M100" s="15" t="n"/>
    </row>
    <row r="101" ht="22" customHeight="1">
      <c r="B101" s="18">
        <f>IF(C101="","PC-"&amp;TEXT(COUNTA($C$5:C101),"000"))</f>
        <v/>
      </c>
      <c r="C101" s="13" t="n"/>
      <c r="D101" s="13" t="n"/>
      <c r="E101" s="13" t="n"/>
      <c r="F101" s="13" t="n"/>
      <c r="G101" s="32" t="n"/>
      <c r="H101" s="32" t="n"/>
      <c r="I101" s="14">
        <f>IF(G101="","",H101-G101+1)</f>
        <v/>
      </c>
      <c r="J101" s="13" t="n"/>
      <c r="K101" s="13" t="n"/>
      <c r="L101" s="13" t="n"/>
      <c r="M101" s="13" t="n"/>
    </row>
    <row r="102" ht="22" customHeight="1">
      <c r="B102" s="17">
        <f>IF(C102="","PC-"&amp;TEXT(COUNTA($C$5:C102),"000"))</f>
        <v/>
      </c>
      <c r="C102" s="15" t="n"/>
      <c r="D102" s="15" t="n"/>
      <c r="E102" s="15" t="n"/>
      <c r="F102" s="15" t="n"/>
      <c r="G102" s="33" t="n"/>
      <c r="H102" s="33" t="n"/>
      <c r="I102" s="16">
        <f>IF(G102="","",H102-G102+1)</f>
        <v/>
      </c>
      <c r="J102" s="15" t="n"/>
      <c r="K102" s="15" t="n"/>
      <c r="L102" s="15" t="n"/>
      <c r="M102" s="15" t="n"/>
    </row>
    <row r="103" ht="22" customHeight="1">
      <c r="B103" s="18">
        <f>IF(C103="","PC-"&amp;TEXT(COUNTA($C$5:C103),"000"))</f>
        <v/>
      </c>
      <c r="C103" s="13" t="n"/>
      <c r="D103" s="13" t="n"/>
      <c r="E103" s="13" t="n"/>
      <c r="F103" s="13" t="n"/>
      <c r="G103" s="32" t="n"/>
      <c r="H103" s="32" t="n"/>
      <c r="I103" s="14">
        <f>IF(G103="","",H103-G103+1)</f>
        <v/>
      </c>
      <c r="J103" s="13" t="n"/>
      <c r="K103" s="13" t="n"/>
      <c r="L103" s="13" t="n"/>
      <c r="M103" s="13" t="n"/>
    </row>
    <row r="104" ht="22" customHeight="1">
      <c r="B104" s="17">
        <f>IF(C104="","PC-"&amp;TEXT(COUNTA($C$5:C104),"000"))</f>
        <v/>
      </c>
      <c r="C104" s="15" t="n"/>
      <c r="D104" s="15" t="n"/>
      <c r="E104" s="15" t="n"/>
      <c r="F104" s="15" t="n"/>
      <c r="G104" s="33" t="n"/>
      <c r="H104" s="33" t="n"/>
      <c r="I104" s="16">
        <f>IF(G104="","",H104-G104+1)</f>
        <v/>
      </c>
      <c r="J104" s="15" t="n"/>
      <c r="K104" s="15" t="n"/>
      <c r="L104" s="15" t="n"/>
      <c r="M104" s="15" t="n"/>
    </row>
    <row r="105" ht="22" customHeight="1">
      <c r="B105" s="18">
        <f>IF(C105="","PC-"&amp;TEXT(COUNTA($C$5:C105),"000"))</f>
        <v/>
      </c>
      <c r="C105" s="13" t="n"/>
      <c r="D105" s="13" t="n"/>
      <c r="E105" s="13" t="n"/>
      <c r="F105" s="13" t="n"/>
      <c r="G105" s="32" t="n"/>
      <c r="H105" s="32" t="n"/>
      <c r="I105" s="14">
        <f>IF(G105="","",H105-G105+1)</f>
        <v/>
      </c>
      <c r="J105" s="13" t="n"/>
      <c r="K105" s="13" t="n"/>
      <c r="L105" s="13" t="n"/>
      <c r="M105" s="13" t="n"/>
    </row>
    <row r="106" ht="22" customHeight="1">
      <c r="B106" s="17">
        <f>IF(C106="","PC-"&amp;TEXT(COUNTA($C$5:C106),"000"))</f>
        <v/>
      </c>
      <c r="C106" s="15" t="n"/>
      <c r="D106" s="15" t="n"/>
      <c r="E106" s="15" t="n"/>
      <c r="F106" s="15" t="n"/>
      <c r="G106" s="33" t="n"/>
      <c r="H106" s="33" t="n"/>
      <c r="I106" s="16">
        <f>IF(G106="","",H106-G106+1)</f>
        <v/>
      </c>
      <c r="J106" s="15" t="n"/>
      <c r="K106" s="15" t="n"/>
      <c r="L106" s="15" t="n"/>
      <c r="M106" s="15" t="n"/>
    </row>
    <row r="107" ht="22" customHeight="1">
      <c r="B107" s="18">
        <f>IF(C107="","PC-"&amp;TEXT(COUNTA($C$5:C107),"000"))</f>
        <v/>
      </c>
      <c r="C107" s="13" t="n"/>
      <c r="D107" s="13" t="n"/>
      <c r="E107" s="13" t="n"/>
      <c r="F107" s="13" t="n"/>
      <c r="G107" s="32" t="n"/>
      <c r="H107" s="32" t="n"/>
      <c r="I107" s="14">
        <f>IF(G107="","",H107-G107+1)</f>
        <v/>
      </c>
      <c r="J107" s="13" t="n"/>
      <c r="K107" s="13" t="n"/>
      <c r="L107" s="13" t="n"/>
      <c r="M107" s="13" t="n"/>
    </row>
    <row r="108" ht="22" customHeight="1">
      <c r="B108" s="17">
        <f>IF(C108="","PC-"&amp;TEXT(COUNTA($C$5:C108),"000"))</f>
        <v/>
      </c>
      <c r="C108" s="15" t="n"/>
      <c r="D108" s="15" t="n"/>
      <c r="E108" s="15" t="n"/>
      <c r="F108" s="15" t="n"/>
      <c r="G108" s="33" t="n"/>
      <c r="H108" s="33" t="n"/>
      <c r="I108" s="16">
        <f>IF(G108="","",H108-G108+1)</f>
        <v/>
      </c>
      <c r="J108" s="15" t="n"/>
      <c r="K108" s="15" t="n"/>
      <c r="L108" s="15" t="n"/>
      <c r="M108" s="15" t="n"/>
    </row>
    <row r="109" ht="22" customHeight="1">
      <c r="B109" s="18">
        <f>IF(C109="","PC-"&amp;TEXT(COUNTA($C$5:C109),"000"))</f>
        <v/>
      </c>
      <c r="C109" s="13" t="n"/>
      <c r="D109" s="13" t="n"/>
      <c r="E109" s="13" t="n"/>
      <c r="F109" s="13" t="n"/>
      <c r="G109" s="32" t="n"/>
      <c r="H109" s="32" t="n"/>
      <c r="I109" s="14">
        <f>IF(G109="","",H109-G109+1)</f>
        <v/>
      </c>
      <c r="J109" s="13" t="n"/>
      <c r="K109" s="13" t="n"/>
      <c r="L109" s="13" t="n"/>
      <c r="M109" s="13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1">
        <f>SUM(I5:I104)</f>
        <v/>
      </c>
      <c r="J111" s="20" t="n"/>
      <c r="K111" s="20" t="n"/>
      <c r="L111" s="20" t="n"/>
      <c r="M111" s="20" t="n"/>
    </row>
    <row r="113">
      <c r="B113" s="6" t="inlineStr">
        <is>
          <t>INDICATEURS (mis a jour automatiquement)</t>
        </is>
      </c>
    </row>
    <row r="114">
      <c r="B114" s="3" t="inlineStr">
        <is>
          <t>Departs planifies</t>
        </is>
      </c>
      <c r="D114" s="3" t="inlineStr">
        <is>
          <t>Total jours conge (j)</t>
        </is>
      </c>
      <c r="F114" s="3" t="inlineStr">
        <is>
          <t>Chevauchements</t>
        </is>
      </c>
      <c r="H114" s="3" t="inlineStr">
        <is>
          <t>En cours</t>
        </is>
      </c>
    </row>
    <row r="115">
      <c r="B115" s="4">
        <f>COUNTIF(B5:B104,"&lt;&gt;")</f>
        <v/>
      </c>
      <c r="D115" s="4">
        <f>SUM(I5:I104)</f>
        <v/>
      </c>
      <c r="F115" s="4">
        <f>COUNTIF(K5:K104,"Oui")</f>
        <v/>
      </c>
      <c r="H115" s="4">
        <f>COUNTIF(M5:M104,"En cours")</f>
        <v/>
      </c>
    </row>
  </sheetData>
  <mergeCells count="3">
    <mergeCell ref="B3:M3"/>
    <mergeCell ref="B2:M2"/>
    <mergeCell ref="B113:M113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10:B109">
    <cfRule type="expression" priority="43" dxfId="3">
      <formula>AND($C10="",$C9&lt;&gt;"")</formula>
    </cfRule>
  </conditionalFormatting>
  <conditionalFormatting sqref="C10:C109">
    <cfRule type="expression" priority="44" dxfId="3">
      <formula>AND($C10="",$C9&lt;&gt;"")</formula>
    </cfRule>
  </conditionalFormatting>
  <conditionalFormatting sqref="D10:D109">
    <cfRule type="expression" priority="45" dxfId="3">
      <formula>AND($C10="",$C9&lt;&gt;"")</formula>
    </cfRule>
  </conditionalFormatting>
  <conditionalFormatting sqref="E10:E109">
    <cfRule type="expression" priority="46" dxfId="3">
      <formula>AND($C10="",$C9&lt;&gt;"")</formula>
    </cfRule>
  </conditionalFormatting>
  <conditionalFormatting sqref="F10:F109">
    <cfRule type="expression" priority="47" dxfId="3">
      <formula>AND($C10="",$C9&lt;&gt;"")</formula>
    </cfRule>
  </conditionalFormatting>
  <conditionalFormatting sqref="G10:G109">
    <cfRule type="expression" priority="48" dxfId="3">
      <formula>AND($C10="",$C9&lt;&gt;"")</formula>
    </cfRule>
  </conditionalFormatting>
  <conditionalFormatting sqref="H10:H109">
    <cfRule type="expression" priority="49" dxfId="3">
      <formula>AND($C10="",$C9&lt;&gt;"")</formula>
    </cfRule>
  </conditionalFormatting>
  <conditionalFormatting sqref="I10:I109">
    <cfRule type="expression" priority="50" dxfId="3">
      <formula>AND($C10="",$C9&lt;&gt;"")</formula>
    </cfRule>
  </conditionalFormatting>
  <conditionalFormatting sqref="J10:J109">
    <cfRule type="expression" priority="51" dxfId="3">
      <formula>AND($C10="",$C9&lt;&gt;"")</formula>
    </cfRule>
  </conditionalFormatting>
  <conditionalFormatting sqref="K10:K109">
    <cfRule type="expression" priority="52" dxfId="3">
      <formula>AND($C10="",$C9&lt;&gt;"")</formula>
    </cfRule>
  </conditionalFormatting>
  <conditionalFormatting sqref="L10:L109">
    <cfRule type="expression" priority="53" dxfId="3">
      <formula>AND($C10="",$C9&lt;&gt;"")</formula>
    </cfRule>
  </conditionalFormatting>
  <conditionalFormatting sqref="M10:M109">
    <cfRule type="expression" priority="54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'_Lists'!$D$2:$D$9</formula1>
    </dataValidation>
    <dataValidation sqref="M5:M109" showDropDown="0" showInputMessage="0" showErrorMessage="0" allowBlank="1" errorTitle="Erreur" error="Valeur invalide" promptTitle="Liste" prompt="Choisir dans la liste" type="list">
      <formula1>'_Lists'!$E$2:$E$7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 ht="15" customHeight="1"/>
    <row r="2" ht="32" customHeight="1">
      <c r="B2" s="1" t="inlineStr">
        <is>
          <t>SUIVI DES PERMISSIONS SPECIALES (#54)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Permission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Evenement</t>
        </is>
      </c>
      <c r="G4" s="12" t="inlineStr">
        <is>
          <t>Duree Legale</t>
        </is>
      </c>
      <c r="H4" s="12" t="inlineStr">
        <is>
          <t>Date Debut</t>
        </is>
      </c>
      <c r="I4" s="12" t="inlineStr">
        <is>
          <t>Date Fin</t>
        </is>
      </c>
      <c r="J4" s="12" t="inlineStr">
        <is>
          <t>Nb Jours</t>
        </is>
      </c>
      <c r="K4" s="12" t="inlineStr">
        <is>
          <t>Statut</t>
        </is>
      </c>
    </row>
    <row r="5" ht="22" customHeight="1">
      <c r="B5" s="13" t="inlineStr">
        <is>
          <t>PS-001</t>
        </is>
      </c>
      <c r="C5" s="13" t="inlineStr">
        <is>
          <t>EMP-003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Mariage</t>
        </is>
      </c>
      <c r="G5" s="13" t="inlineStr">
        <is>
          <t>4 jours</t>
        </is>
      </c>
      <c r="H5" s="32" t="n">
        <v>45884</v>
      </c>
      <c r="I5" s="32" t="n">
        <v>45887</v>
      </c>
      <c r="J5" s="14" t="n">
        <v>4</v>
      </c>
      <c r="K5" s="13" t="inlineStr">
        <is>
          <t>Planifie</t>
        </is>
      </c>
    </row>
    <row r="6" ht="22" customHeight="1">
      <c r="B6" s="15" t="inlineStr">
        <is>
          <t>PS-002</t>
        </is>
      </c>
      <c r="C6" s="15" t="inlineStr">
        <is>
          <t>EMP-002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Deces parent</t>
        </is>
      </c>
      <c r="G6" s="15" t="inlineStr">
        <is>
          <t>3 jours</t>
        </is>
      </c>
      <c r="H6" s="33" t="n">
        <v>45787</v>
      </c>
      <c r="I6" s="33" t="n">
        <v>45789</v>
      </c>
      <c r="J6" s="16" t="n">
        <v>3</v>
      </c>
      <c r="K6" s="15" t="inlineStr">
        <is>
          <t>Termine</t>
        </is>
      </c>
    </row>
    <row r="7" ht="22" customHeight="1">
      <c r="B7" s="13" t="inlineStr">
        <is>
          <t>PS-003</t>
        </is>
      </c>
      <c r="C7" s="13" t="inlineStr">
        <is>
          <t>EMP-004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Naissance</t>
        </is>
      </c>
      <c r="G7" s="13" t="inlineStr">
        <is>
          <t>3 jours</t>
        </is>
      </c>
      <c r="H7" s="32" t="n">
        <v>45828</v>
      </c>
      <c r="I7" s="32" t="n">
        <v>45830</v>
      </c>
      <c r="J7" s="14" t="n">
        <v>3</v>
      </c>
      <c r="K7" s="13" t="inlineStr">
        <is>
          <t>Termine</t>
        </is>
      </c>
    </row>
    <row r="8" ht="22" customHeight="1">
      <c r="B8" s="15" t="inlineStr">
        <is>
          <t>PS-004</t>
        </is>
      </c>
      <c r="C8" s="15" t="inlineStr">
        <is>
          <t>EMP-001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Demenagement</t>
        </is>
      </c>
      <c r="G8" s="15" t="inlineStr">
        <is>
          <t>1 jour</t>
        </is>
      </c>
      <c r="H8" s="33" t="n">
        <v>45843</v>
      </c>
      <c r="I8" s="33" t="n">
        <v>45843</v>
      </c>
      <c r="J8" s="16" t="n">
        <v>1</v>
      </c>
      <c r="K8" s="15" t="inlineStr">
        <is>
          <t>Planifie</t>
        </is>
      </c>
    </row>
    <row r="9" ht="22" customHeight="1">
      <c r="B9" s="13" t="inlineStr">
        <is>
          <t>PS-005</t>
        </is>
      </c>
      <c r="C9" s="13" t="inlineStr">
        <is>
          <t>EMP-005</t>
        </is>
      </c>
      <c r="D9" s="13">
        <f>IF(C9="","",VLOOKUP(C9,'_Données Employés'!$B$5:$H$18,4,FALSE)&amp;" "&amp;VLOOKUP(C9,'_Données Employés'!$B$5:$H$18,5,FALSE))</f>
        <v/>
      </c>
      <c r="E9" s="13">
        <f>IF(C9="","",VLOOKUP(C9,'_Données Employés'!$B$5:$H$18,6,FALSE))</f>
        <v/>
      </c>
      <c r="F9" s="13" t="inlineStr">
        <is>
          <t>Deces conjoint</t>
        </is>
      </c>
      <c r="G9" s="13" t="inlineStr">
        <is>
          <t>5 jours</t>
        </is>
      </c>
      <c r="H9" s="32" t="n">
        <v>45749</v>
      </c>
      <c r="I9" s="32" t="n">
        <v>45753</v>
      </c>
      <c r="J9" s="14" t="n">
        <v>5</v>
      </c>
      <c r="K9" s="13" t="inlineStr">
        <is>
          <t>Termine</t>
        </is>
      </c>
    </row>
    <row r="10" ht="22" customHeight="1">
      <c r="B10" s="17">
        <f>IF(C10="","PS-"&amp;TEXT(COUNTA($C$5:C10),"000"))</f>
        <v/>
      </c>
      <c r="C10" s="15" t="n"/>
      <c r="D10" s="15" t="n"/>
      <c r="E10" s="15" t="n"/>
      <c r="F10" s="15" t="n"/>
      <c r="G10" s="15" t="n"/>
      <c r="H10" s="33" t="n"/>
      <c r="I10" s="33" t="n"/>
      <c r="J10" s="16">
        <f>IF(H10="","",I10-H10+1)</f>
        <v/>
      </c>
      <c r="K10" s="15" t="n"/>
    </row>
    <row r="11" ht="22" customHeight="1">
      <c r="B11" s="18">
        <f>IF(C11="","PS-"&amp;TEXT(COUNTA($C$5:C11),"000"))</f>
        <v/>
      </c>
      <c r="C11" s="13" t="n"/>
      <c r="D11" s="13" t="n"/>
      <c r="E11" s="13" t="n"/>
      <c r="F11" s="13" t="n"/>
      <c r="G11" s="13" t="n"/>
      <c r="H11" s="32" t="n"/>
      <c r="I11" s="32" t="n"/>
      <c r="J11" s="14">
        <f>IF(H11="","",I11-H11+1)</f>
        <v/>
      </c>
      <c r="K11" s="13" t="n"/>
    </row>
    <row r="12" ht="22" customHeight="1">
      <c r="B12" s="17">
        <f>IF(C12="","PS-"&amp;TEXT(COUNTA($C$5:C12),"000"))</f>
        <v/>
      </c>
      <c r="C12" s="15" t="n"/>
      <c r="D12" s="15" t="n"/>
      <c r="E12" s="15" t="n"/>
      <c r="F12" s="15" t="n"/>
      <c r="G12" s="15" t="n"/>
      <c r="H12" s="33" t="n"/>
      <c r="I12" s="33" t="n"/>
      <c r="J12" s="16">
        <f>IF(H12="","",I12-H12+1)</f>
        <v/>
      </c>
      <c r="K12" s="15" t="n"/>
    </row>
    <row r="13" ht="22" customHeight="1">
      <c r="B13" s="18">
        <f>IF(C13="","PS-"&amp;TEXT(COUNTA($C$5:C13),"000"))</f>
        <v/>
      </c>
      <c r="C13" s="13" t="n"/>
      <c r="D13" s="13" t="n"/>
      <c r="E13" s="13" t="n"/>
      <c r="F13" s="13" t="n"/>
      <c r="G13" s="13" t="n"/>
      <c r="H13" s="32" t="n"/>
      <c r="I13" s="32" t="n"/>
      <c r="J13" s="14">
        <f>IF(H13="","",I13-H13+1)</f>
        <v/>
      </c>
      <c r="K13" s="13" t="n"/>
    </row>
    <row r="14" ht="22" customHeight="1">
      <c r="B14" s="17">
        <f>IF(C14="","PS-"&amp;TEXT(COUNTA($C$5:C14),"000"))</f>
        <v/>
      </c>
      <c r="C14" s="15" t="n"/>
      <c r="D14" s="15" t="n"/>
      <c r="E14" s="15" t="n"/>
      <c r="F14" s="15" t="n"/>
      <c r="G14" s="15" t="n"/>
      <c r="H14" s="33" t="n"/>
      <c r="I14" s="33" t="n"/>
      <c r="J14" s="16">
        <f>IF(H14="","",I14-H14+1)</f>
        <v/>
      </c>
      <c r="K14" s="15" t="n"/>
    </row>
    <row r="15" ht="22" customHeight="1">
      <c r="B15" s="18">
        <f>IF(C15="","PS-"&amp;TEXT(COUNTA($C$5:C15),"000"))</f>
        <v/>
      </c>
      <c r="C15" s="13" t="n"/>
      <c r="D15" s="13" t="n"/>
      <c r="E15" s="13" t="n"/>
      <c r="F15" s="13" t="n"/>
      <c r="G15" s="13" t="n"/>
      <c r="H15" s="32" t="n"/>
      <c r="I15" s="32" t="n"/>
      <c r="J15" s="14">
        <f>IF(H15="","",I15-H15+1)</f>
        <v/>
      </c>
      <c r="K15" s="13" t="n"/>
    </row>
    <row r="16" ht="22" customHeight="1">
      <c r="B16" s="17">
        <f>IF(C16="","PS-"&amp;TEXT(COUNTA($C$5:C16),"000"))</f>
        <v/>
      </c>
      <c r="C16" s="15" t="n"/>
      <c r="D16" s="15" t="n"/>
      <c r="E16" s="15" t="n"/>
      <c r="F16" s="15" t="n"/>
      <c r="G16" s="15" t="n"/>
      <c r="H16" s="33" t="n"/>
      <c r="I16" s="33" t="n"/>
      <c r="J16" s="16">
        <f>IF(H16="","",I16-H16+1)</f>
        <v/>
      </c>
      <c r="K16" s="15" t="n"/>
    </row>
    <row r="17" ht="22" customHeight="1">
      <c r="B17" s="18">
        <f>IF(C17="","PS-"&amp;TEXT(COUNTA($C$5:C17),"000"))</f>
        <v/>
      </c>
      <c r="C17" s="13" t="n"/>
      <c r="D17" s="13" t="n"/>
      <c r="E17" s="13" t="n"/>
      <c r="F17" s="13" t="n"/>
      <c r="G17" s="13" t="n"/>
      <c r="H17" s="32" t="n"/>
      <c r="I17" s="32" t="n"/>
      <c r="J17" s="14">
        <f>IF(H17="","",I17-H17+1)</f>
        <v/>
      </c>
      <c r="K17" s="13" t="n"/>
    </row>
    <row r="18" ht="22" customHeight="1">
      <c r="B18" s="17">
        <f>IF(C18="","PS-"&amp;TEXT(COUNTA($C$5:C18),"000"))</f>
        <v/>
      </c>
      <c r="C18" s="15" t="n"/>
      <c r="D18" s="15" t="n"/>
      <c r="E18" s="15" t="n"/>
      <c r="F18" s="15" t="n"/>
      <c r="G18" s="15" t="n"/>
      <c r="H18" s="33" t="n"/>
      <c r="I18" s="33" t="n"/>
      <c r="J18" s="16">
        <f>IF(H18="","",I18-H18+1)</f>
        <v/>
      </c>
      <c r="K18" s="15" t="n"/>
    </row>
    <row r="19" ht="22" customHeight="1">
      <c r="B19" s="18">
        <f>IF(C19="","PS-"&amp;TEXT(COUNTA($C$5:C19),"000"))</f>
        <v/>
      </c>
      <c r="C19" s="13" t="n"/>
      <c r="D19" s="13" t="n"/>
      <c r="E19" s="13" t="n"/>
      <c r="F19" s="13" t="n"/>
      <c r="G19" s="13" t="n"/>
      <c r="H19" s="32" t="n"/>
      <c r="I19" s="32" t="n"/>
      <c r="J19" s="14">
        <f>IF(H19="","",I19-H19+1)</f>
        <v/>
      </c>
      <c r="K19" s="13" t="n"/>
    </row>
    <row r="20" ht="22" customHeight="1">
      <c r="B20" s="17">
        <f>IF(C20="","PS-"&amp;TEXT(COUNTA($C$5:C20),"000"))</f>
        <v/>
      </c>
      <c r="C20" s="15" t="n"/>
      <c r="D20" s="15" t="n"/>
      <c r="E20" s="15" t="n"/>
      <c r="F20" s="15" t="n"/>
      <c r="G20" s="15" t="n"/>
      <c r="H20" s="33" t="n"/>
      <c r="I20" s="33" t="n"/>
      <c r="J20" s="16">
        <f>IF(H20="","",I20-H20+1)</f>
        <v/>
      </c>
      <c r="K20" s="15" t="n"/>
    </row>
    <row r="21" ht="22" customHeight="1">
      <c r="B21" s="18">
        <f>IF(C21="","PS-"&amp;TEXT(COUNTA($C$5:C21),"000"))</f>
        <v/>
      </c>
      <c r="C21" s="13" t="n"/>
      <c r="D21" s="13" t="n"/>
      <c r="E21" s="13" t="n"/>
      <c r="F21" s="13" t="n"/>
      <c r="G21" s="13" t="n"/>
      <c r="H21" s="32" t="n"/>
      <c r="I21" s="32" t="n"/>
      <c r="J21" s="14">
        <f>IF(H21="","",I21-H21+1)</f>
        <v/>
      </c>
      <c r="K21" s="13" t="n"/>
    </row>
    <row r="22" ht="22" customHeight="1">
      <c r="B22" s="17">
        <f>IF(C22="","PS-"&amp;TEXT(COUNTA($C$5:C22),"000"))</f>
        <v/>
      </c>
      <c r="C22" s="15" t="n"/>
      <c r="D22" s="15" t="n"/>
      <c r="E22" s="15" t="n"/>
      <c r="F22" s="15" t="n"/>
      <c r="G22" s="15" t="n"/>
      <c r="H22" s="33" t="n"/>
      <c r="I22" s="33" t="n"/>
      <c r="J22" s="16">
        <f>IF(H22="","",I22-H22+1)</f>
        <v/>
      </c>
      <c r="K22" s="15" t="n"/>
    </row>
    <row r="23" ht="22" customHeight="1">
      <c r="B23" s="18">
        <f>IF(C23="","PS-"&amp;TEXT(COUNTA($C$5:C23),"000"))</f>
        <v/>
      </c>
      <c r="C23" s="13" t="n"/>
      <c r="D23" s="13" t="n"/>
      <c r="E23" s="13" t="n"/>
      <c r="F23" s="13" t="n"/>
      <c r="G23" s="13" t="n"/>
      <c r="H23" s="32" t="n"/>
      <c r="I23" s="32" t="n"/>
      <c r="J23" s="14">
        <f>IF(H23="","",I23-H23+1)</f>
        <v/>
      </c>
      <c r="K23" s="13" t="n"/>
    </row>
    <row r="24" ht="22" customHeight="1">
      <c r="B24" s="17">
        <f>IF(C24="","PS-"&amp;TEXT(COUNTA($C$5:C24),"000"))</f>
        <v/>
      </c>
      <c r="C24" s="15" t="n"/>
      <c r="D24" s="15" t="n"/>
      <c r="E24" s="15" t="n"/>
      <c r="F24" s="15" t="n"/>
      <c r="G24" s="15" t="n"/>
      <c r="H24" s="33" t="n"/>
      <c r="I24" s="33" t="n"/>
      <c r="J24" s="16">
        <f>IF(H24="","",I24-H24+1)</f>
        <v/>
      </c>
      <c r="K24" s="15" t="n"/>
    </row>
    <row r="25" ht="22" customHeight="1">
      <c r="B25" s="18">
        <f>IF(C25="","PS-"&amp;TEXT(COUNTA($C$5:C25),"000"))</f>
        <v/>
      </c>
      <c r="C25" s="13" t="n"/>
      <c r="D25" s="13" t="n"/>
      <c r="E25" s="13" t="n"/>
      <c r="F25" s="13" t="n"/>
      <c r="G25" s="13" t="n"/>
      <c r="H25" s="32" t="n"/>
      <c r="I25" s="32" t="n"/>
      <c r="J25" s="14">
        <f>IF(H25="","",I25-H25+1)</f>
        <v/>
      </c>
      <c r="K25" s="13" t="n"/>
    </row>
    <row r="26" ht="22" customHeight="1">
      <c r="B26" s="17">
        <f>IF(C26="","PS-"&amp;TEXT(COUNTA($C$5:C26),"000"))</f>
        <v/>
      </c>
      <c r="C26" s="15" t="n"/>
      <c r="D26" s="15" t="n"/>
      <c r="E26" s="15" t="n"/>
      <c r="F26" s="15" t="n"/>
      <c r="G26" s="15" t="n"/>
      <c r="H26" s="33" t="n"/>
      <c r="I26" s="33" t="n"/>
      <c r="J26" s="16">
        <f>IF(H26="","",I26-H26+1)</f>
        <v/>
      </c>
      <c r="K26" s="15" t="n"/>
    </row>
    <row r="27" ht="22" customHeight="1">
      <c r="B27" s="18">
        <f>IF(C27="","PS-"&amp;TEXT(COUNTA($C$5:C27),"000"))</f>
        <v/>
      </c>
      <c r="C27" s="13" t="n"/>
      <c r="D27" s="13" t="n"/>
      <c r="E27" s="13" t="n"/>
      <c r="F27" s="13" t="n"/>
      <c r="G27" s="13" t="n"/>
      <c r="H27" s="32" t="n"/>
      <c r="I27" s="32" t="n"/>
      <c r="J27" s="14">
        <f>IF(H27="","",I27-H27+1)</f>
        <v/>
      </c>
      <c r="K27" s="13" t="n"/>
    </row>
    <row r="28" ht="22" customHeight="1">
      <c r="B28" s="17">
        <f>IF(C28="","PS-"&amp;TEXT(COUNTA($C$5:C28),"000"))</f>
        <v/>
      </c>
      <c r="C28" s="15" t="n"/>
      <c r="D28" s="15" t="n"/>
      <c r="E28" s="15" t="n"/>
      <c r="F28" s="15" t="n"/>
      <c r="G28" s="15" t="n"/>
      <c r="H28" s="33" t="n"/>
      <c r="I28" s="33" t="n"/>
      <c r="J28" s="16">
        <f>IF(H28="","",I28-H28+1)</f>
        <v/>
      </c>
      <c r="K28" s="15" t="n"/>
    </row>
    <row r="29" ht="22" customHeight="1">
      <c r="B29" s="18">
        <f>IF(C29="","PS-"&amp;TEXT(COUNTA($C$5:C29),"000"))</f>
        <v/>
      </c>
      <c r="C29" s="13" t="n"/>
      <c r="D29" s="13" t="n"/>
      <c r="E29" s="13" t="n"/>
      <c r="F29" s="13" t="n"/>
      <c r="G29" s="13" t="n"/>
      <c r="H29" s="32" t="n"/>
      <c r="I29" s="32" t="n"/>
      <c r="J29" s="14">
        <f>IF(H29="","",I29-H29+1)</f>
        <v/>
      </c>
      <c r="K29" s="13" t="n"/>
    </row>
    <row r="30" ht="22" customHeight="1">
      <c r="B30" s="17">
        <f>IF(C30="","PS-"&amp;TEXT(COUNTA($C$5:C30),"000"))</f>
        <v/>
      </c>
      <c r="C30" s="15" t="n"/>
      <c r="D30" s="15" t="n"/>
      <c r="E30" s="15" t="n"/>
      <c r="F30" s="15" t="n"/>
      <c r="G30" s="15" t="n"/>
      <c r="H30" s="33" t="n"/>
      <c r="I30" s="33" t="n"/>
      <c r="J30" s="16">
        <f>IF(H30="","",I30-H30+1)</f>
        <v/>
      </c>
      <c r="K30" s="15" t="n"/>
    </row>
    <row r="31" ht="22" customHeight="1">
      <c r="B31" s="18">
        <f>IF(C31="","PS-"&amp;TEXT(COUNTA($C$5:C31),"000"))</f>
        <v/>
      </c>
      <c r="C31" s="13" t="n"/>
      <c r="D31" s="13" t="n"/>
      <c r="E31" s="13" t="n"/>
      <c r="F31" s="13" t="n"/>
      <c r="G31" s="13" t="n"/>
      <c r="H31" s="32" t="n"/>
      <c r="I31" s="32" t="n"/>
      <c r="J31" s="14">
        <f>IF(H31="","",I31-H31+1)</f>
        <v/>
      </c>
      <c r="K31" s="13" t="n"/>
    </row>
    <row r="32" ht="22" customHeight="1">
      <c r="B32" s="17">
        <f>IF(C32="","PS-"&amp;TEXT(COUNTA($C$5:C32),"000"))</f>
        <v/>
      </c>
      <c r="C32" s="15" t="n"/>
      <c r="D32" s="15" t="n"/>
      <c r="E32" s="15" t="n"/>
      <c r="F32" s="15" t="n"/>
      <c r="G32" s="15" t="n"/>
      <c r="H32" s="33" t="n"/>
      <c r="I32" s="33" t="n"/>
      <c r="J32" s="16">
        <f>IF(H32="","",I32-H32+1)</f>
        <v/>
      </c>
      <c r="K32" s="15" t="n"/>
    </row>
    <row r="33" ht="22" customHeight="1">
      <c r="B33" s="18">
        <f>IF(C33="","PS-"&amp;TEXT(COUNTA($C$5:C33),"000"))</f>
        <v/>
      </c>
      <c r="C33" s="13" t="n"/>
      <c r="D33" s="13" t="n"/>
      <c r="E33" s="13" t="n"/>
      <c r="F33" s="13" t="n"/>
      <c r="G33" s="13" t="n"/>
      <c r="H33" s="32" t="n"/>
      <c r="I33" s="32" t="n"/>
      <c r="J33" s="14">
        <f>IF(H33="","",I33-H33+1)</f>
        <v/>
      </c>
      <c r="K33" s="13" t="n"/>
    </row>
    <row r="34" ht="22" customHeight="1">
      <c r="B34" s="17">
        <f>IF(C34="","PS-"&amp;TEXT(COUNTA($C$5:C34),"000"))</f>
        <v/>
      </c>
      <c r="C34" s="15" t="n"/>
      <c r="D34" s="15" t="n"/>
      <c r="E34" s="15" t="n"/>
      <c r="F34" s="15" t="n"/>
      <c r="G34" s="15" t="n"/>
      <c r="H34" s="33" t="n"/>
      <c r="I34" s="33" t="n"/>
      <c r="J34" s="16">
        <f>IF(H34="","",I34-H34+1)</f>
        <v/>
      </c>
      <c r="K34" s="15" t="n"/>
    </row>
    <row r="35" ht="22" customHeight="1">
      <c r="B35" s="18">
        <f>IF(C35="","PS-"&amp;TEXT(COUNTA($C$5:C35),"000"))</f>
        <v/>
      </c>
      <c r="C35" s="13" t="n"/>
      <c r="D35" s="13" t="n"/>
      <c r="E35" s="13" t="n"/>
      <c r="F35" s="13" t="n"/>
      <c r="G35" s="13" t="n"/>
      <c r="H35" s="32" t="n"/>
      <c r="I35" s="32" t="n"/>
      <c r="J35" s="14">
        <f>IF(H35="","",I35-H35+1)</f>
        <v/>
      </c>
      <c r="K35" s="13" t="n"/>
    </row>
    <row r="36" ht="22" customHeight="1">
      <c r="B36" s="17">
        <f>IF(C36="","PS-"&amp;TEXT(COUNTA($C$5:C36),"000"))</f>
        <v/>
      </c>
      <c r="C36" s="15" t="n"/>
      <c r="D36" s="15" t="n"/>
      <c r="E36" s="15" t="n"/>
      <c r="F36" s="15" t="n"/>
      <c r="G36" s="15" t="n"/>
      <c r="H36" s="33" t="n"/>
      <c r="I36" s="33" t="n"/>
      <c r="J36" s="16">
        <f>IF(H36="","",I36-H36+1)</f>
        <v/>
      </c>
      <c r="K36" s="15" t="n"/>
    </row>
    <row r="37" ht="22" customHeight="1">
      <c r="B37" s="18">
        <f>IF(C37="","PS-"&amp;TEXT(COUNTA($C$5:C37),"000"))</f>
        <v/>
      </c>
      <c r="C37" s="13" t="n"/>
      <c r="D37" s="13" t="n"/>
      <c r="E37" s="13" t="n"/>
      <c r="F37" s="13" t="n"/>
      <c r="G37" s="13" t="n"/>
      <c r="H37" s="32" t="n"/>
      <c r="I37" s="32" t="n"/>
      <c r="J37" s="14">
        <f>IF(H37="","",I37-H37+1)</f>
        <v/>
      </c>
      <c r="K37" s="13" t="n"/>
    </row>
    <row r="38" ht="22" customHeight="1">
      <c r="B38" s="17">
        <f>IF(C38="","PS-"&amp;TEXT(COUNTA($C$5:C38),"000"))</f>
        <v/>
      </c>
      <c r="C38" s="15" t="n"/>
      <c r="D38" s="15" t="n"/>
      <c r="E38" s="15" t="n"/>
      <c r="F38" s="15" t="n"/>
      <c r="G38" s="15" t="n"/>
      <c r="H38" s="33" t="n"/>
      <c r="I38" s="33" t="n"/>
      <c r="J38" s="16">
        <f>IF(H38="","",I38-H38+1)</f>
        <v/>
      </c>
      <c r="K38" s="15" t="n"/>
    </row>
    <row r="39" ht="22" customHeight="1">
      <c r="B39" s="18">
        <f>IF(C39="","PS-"&amp;TEXT(COUNTA($C$5:C39),"000"))</f>
        <v/>
      </c>
      <c r="C39" s="13" t="n"/>
      <c r="D39" s="13" t="n"/>
      <c r="E39" s="13" t="n"/>
      <c r="F39" s="13" t="n"/>
      <c r="G39" s="13" t="n"/>
      <c r="H39" s="32" t="n"/>
      <c r="I39" s="32" t="n"/>
      <c r="J39" s="14">
        <f>IF(H39="","",I39-H39+1)</f>
        <v/>
      </c>
      <c r="K39" s="13" t="n"/>
    </row>
    <row r="40" ht="22" customHeight="1">
      <c r="B40" s="17">
        <f>IF(C40="","PS-"&amp;TEXT(COUNTA($C$5:C40),"000"))</f>
        <v/>
      </c>
      <c r="C40" s="15" t="n"/>
      <c r="D40" s="15" t="n"/>
      <c r="E40" s="15" t="n"/>
      <c r="F40" s="15" t="n"/>
      <c r="G40" s="15" t="n"/>
      <c r="H40" s="33" t="n"/>
      <c r="I40" s="33" t="n"/>
      <c r="J40" s="16">
        <f>IF(H40="","",I40-H40+1)</f>
        <v/>
      </c>
      <c r="K40" s="15" t="n"/>
    </row>
    <row r="41" ht="22" customHeight="1">
      <c r="B41" s="18">
        <f>IF(C41="","PS-"&amp;TEXT(COUNTA($C$5:C41),"000"))</f>
        <v/>
      </c>
      <c r="C41" s="13" t="n"/>
      <c r="D41" s="13" t="n"/>
      <c r="E41" s="13" t="n"/>
      <c r="F41" s="13" t="n"/>
      <c r="G41" s="13" t="n"/>
      <c r="H41" s="32" t="n"/>
      <c r="I41" s="32" t="n"/>
      <c r="J41" s="14">
        <f>IF(H41="","",I41-H41+1)</f>
        <v/>
      </c>
      <c r="K41" s="13" t="n"/>
    </row>
    <row r="42" ht="22" customHeight="1">
      <c r="B42" s="17">
        <f>IF(C42="","PS-"&amp;TEXT(COUNTA($C$5:C42),"000"))</f>
        <v/>
      </c>
      <c r="C42" s="15" t="n"/>
      <c r="D42" s="15" t="n"/>
      <c r="E42" s="15" t="n"/>
      <c r="F42" s="15" t="n"/>
      <c r="G42" s="15" t="n"/>
      <c r="H42" s="33" t="n"/>
      <c r="I42" s="33" t="n"/>
      <c r="J42" s="16">
        <f>IF(H42="","",I42-H42+1)</f>
        <v/>
      </c>
      <c r="K42" s="15" t="n"/>
    </row>
    <row r="43" ht="22" customHeight="1">
      <c r="B43" s="18">
        <f>IF(C43="","PS-"&amp;TEXT(COUNTA($C$5:C43),"000"))</f>
        <v/>
      </c>
      <c r="C43" s="13" t="n"/>
      <c r="D43" s="13" t="n"/>
      <c r="E43" s="13" t="n"/>
      <c r="F43" s="13" t="n"/>
      <c r="G43" s="13" t="n"/>
      <c r="H43" s="32" t="n"/>
      <c r="I43" s="32" t="n"/>
      <c r="J43" s="14">
        <f>IF(H43="","",I43-H43+1)</f>
        <v/>
      </c>
      <c r="K43" s="13" t="n"/>
    </row>
    <row r="44" ht="22" customHeight="1">
      <c r="B44" s="17">
        <f>IF(C44="","PS-"&amp;TEXT(COUNTA($C$5:C44),"000"))</f>
        <v/>
      </c>
      <c r="C44" s="15" t="n"/>
      <c r="D44" s="15" t="n"/>
      <c r="E44" s="15" t="n"/>
      <c r="F44" s="15" t="n"/>
      <c r="G44" s="15" t="n"/>
      <c r="H44" s="33" t="n"/>
      <c r="I44" s="33" t="n"/>
      <c r="J44" s="16">
        <f>IF(H44="","",I44-H44+1)</f>
        <v/>
      </c>
      <c r="K44" s="15" t="n"/>
    </row>
    <row r="45" ht="22" customHeight="1">
      <c r="B45" s="18">
        <f>IF(C45="","PS-"&amp;TEXT(COUNTA($C$5:C45),"000"))</f>
        <v/>
      </c>
      <c r="C45" s="13" t="n"/>
      <c r="D45" s="13" t="n"/>
      <c r="E45" s="13" t="n"/>
      <c r="F45" s="13" t="n"/>
      <c r="G45" s="13" t="n"/>
      <c r="H45" s="32" t="n"/>
      <c r="I45" s="32" t="n"/>
      <c r="J45" s="14">
        <f>IF(H45="","",I45-H45+1)</f>
        <v/>
      </c>
      <c r="K45" s="13" t="n"/>
    </row>
    <row r="46" ht="22" customHeight="1">
      <c r="B46" s="17">
        <f>IF(C46="","PS-"&amp;TEXT(COUNTA($C$5:C46),"000"))</f>
        <v/>
      </c>
      <c r="C46" s="15" t="n"/>
      <c r="D46" s="15" t="n"/>
      <c r="E46" s="15" t="n"/>
      <c r="F46" s="15" t="n"/>
      <c r="G46" s="15" t="n"/>
      <c r="H46" s="33" t="n"/>
      <c r="I46" s="33" t="n"/>
      <c r="J46" s="16">
        <f>IF(H46="","",I46-H46+1)</f>
        <v/>
      </c>
      <c r="K46" s="15" t="n"/>
    </row>
    <row r="47" ht="22" customHeight="1">
      <c r="B47" s="18">
        <f>IF(C47="","PS-"&amp;TEXT(COUNTA($C$5:C47),"000"))</f>
        <v/>
      </c>
      <c r="C47" s="13" t="n"/>
      <c r="D47" s="13" t="n"/>
      <c r="E47" s="13" t="n"/>
      <c r="F47" s="13" t="n"/>
      <c r="G47" s="13" t="n"/>
      <c r="H47" s="32" t="n"/>
      <c r="I47" s="32" t="n"/>
      <c r="J47" s="14">
        <f>IF(H47="","",I47-H47+1)</f>
        <v/>
      </c>
      <c r="K47" s="13" t="n"/>
    </row>
    <row r="48" ht="22" customHeight="1">
      <c r="B48" s="17">
        <f>IF(C48="","PS-"&amp;TEXT(COUNTA($C$5:C48),"000"))</f>
        <v/>
      </c>
      <c r="C48" s="15" t="n"/>
      <c r="D48" s="15" t="n"/>
      <c r="E48" s="15" t="n"/>
      <c r="F48" s="15" t="n"/>
      <c r="G48" s="15" t="n"/>
      <c r="H48" s="33" t="n"/>
      <c r="I48" s="33" t="n"/>
      <c r="J48" s="16">
        <f>IF(H48="","",I48-H48+1)</f>
        <v/>
      </c>
      <c r="K48" s="15" t="n"/>
    </row>
    <row r="49" ht="22" customHeight="1">
      <c r="B49" s="18">
        <f>IF(C49="","PS-"&amp;TEXT(COUNTA($C$5:C49),"000"))</f>
        <v/>
      </c>
      <c r="C49" s="13" t="n"/>
      <c r="D49" s="13" t="n"/>
      <c r="E49" s="13" t="n"/>
      <c r="F49" s="13" t="n"/>
      <c r="G49" s="13" t="n"/>
      <c r="H49" s="32" t="n"/>
      <c r="I49" s="32" t="n"/>
      <c r="J49" s="14">
        <f>IF(H49="","",I49-H49+1)</f>
        <v/>
      </c>
      <c r="K49" s="13" t="n"/>
    </row>
    <row r="50" ht="22" customHeight="1">
      <c r="B50" s="17">
        <f>IF(C50="","PS-"&amp;TEXT(COUNTA($C$5:C50),"000"))</f>
        <v/>
      </c>
      <c r="C50" s="15" t="n"/>
      <c r="D50" s="15" t="n"/>
      <c r="E50" s="15" t="n"/>
      <c r="F50" s="15" t="n"/>
      <c r="G50" s="15" t="n"/>
      <c r="H50" s="33" t="n"/>
      <c r="I50" s="33" t="n"/>
      <c r="J50" s="16">
        <f>IF(H50="","",I50-H50+1)</f>
        <v/>
      </c>
      <c r="K50" s="15" t="n"/>
    </row>
    <row r="51" ht="22" customHeight="1">
      <c r="B51" s="18">
        <f>IF(C51="","PS-"&amp;TEXT(COUNTA($C$5:C51),"000"))</f>
        <v/>
      </c>
      <c r="C51" s="13" t="n"/>
      <c r="D51" s="13" t="n"/>
      <c r="E51" s="13" t="n"/>
      <c r="F51" s="13" t="n"/>
      <c r="G51" s="13" t="n"/>
      <c r="H51" s="32" t="n"/>
      <c r="I51" s="32" t="n"/>
      <c r="J51" s="14">
        <f>IF(H51="","",I51-H51+1)</f>
        <v/>
      </c>
      <c r="K51" s="13" t="n"/>
    </row>
    <row r="52" ht="22" customHeight="1">
      <c r="B52" s="17">
        <f>IF(C52="","PS-"&amp;TEXT(COUNTA($C$5:C52),"000"))</f>
        <v/>
      </c>
      <c r="C52" s="15" t="n"/>
      <c r="D52" s="15" t="n"/>
      <c r="E52" s="15" t="n"/>
      <c r="F52" s="15" t="n"/>
      <c r="G52" s="15" t="n"/>
      <c r="H52" s="33" t="n"/>
      <c r="I52" s="33" t="n"/>
      <c r="J52" s="16">
        <f>IF(H52="","",I52-H52+1)</f>
        <v/>
      </c>
      <c r="K52" s="15" t="n"/>
    </row>
    <row r="53" ht="22" customHeight="1">
      <c r="B53" s="18">
        <f>IF(C53="","PS-"&amp;TEXT(COUNTA($C$5:C53),"000"))</f>
        <v/>
      </c>
      <c r="C53" s="13" t="n"/>
      <c r="D53" s="13" t="n"/>
      <c r="E53" s="13" t="n"/>
      <c r="F53" s="13" t="n"/>
      <c r="G53" s="13" t="n"/>
      <c r="H53" s="32" t="n"/>
      <c r="I53" s="32" t="n"/>
      <c r="J53" s="14">
        <f>IF(H53="","",I53-H53+1)</f>
        <v/>
      </c>
      <c r="K53" s="13" t="n"/>
    </row>
    <row r="54" ht="22" customHeight="1">
      <c r="B54" s="17">
        <f>IF(C54="","PS-"&amp;TEXT(COUNTA($C$5:C54),"000"))</f>
        <v/>
      </c>
      <c r="C54" s="15" t="n"/>
      <c r="D54" s="15" t="n"/>
      <c r="E54" s="15" t="n"/>
      <c r="F54" s="15" t="n"/>
      <c r="G54" s="15" t="n"/>
      <c r="H54" s="33" t="n"/>
      <c r="I54" s="33" t="n"/>
      <c r="J54" s="16">
        <f>IF(H54="","",I54-H54+1)</f>
        <v/>
      </c>
      <c r="K54" s="15" t="n"/>
    </row>
    <row r="55" ht="22" customHeight="1">
      <c r="B55" s="18">
        <f>IF(C55="","PS-"&amp;TEXT(COUNTA($C$5:C55),"000"))</f>
        <v/>
      </c>
      <c r="C55" s="13" t="n"/>
      <c r="D55" s="13" t="n"/>
      <c r="E55" s="13" t="n"/>
      <c r="F55" s="13" t="n"/>
      <c r="G55" s="13" t="n"/>
      <c r="H55" s="32" t="n"/>
      <c r="I55" s="32" t="n"/>
      <c r="J55" s="14">
        <f>IF(H55="","",I55-H55+1)</f>
        <v/>
      </c>
      <c r="K55" s="13" t="n"/>
    </row>
    <row r="56" ht="22" customHeight="1">
      <c r="B56" s="17">
        <f>IF(C56="","PS-"&amp;TEXT(COUNTA($C$5:C56),"000"))</f>
        <v/>
      </c>
      <c r="C56" s="15" t="n"/>
      <c r="D56" s="15" t="n"/>
      <c r="E56" s="15" t="n"/>
      <c r="F56" s="15" t="n"/>
      <c r="G56" s="15" t="n"/>
      <c r="H56" s="33" t="n"/>
      <c r="I56" s="33" t="n"/>
      <c r="J56" s="16">
        <f>IF(H56="","",I56-H56+1)</f>
        <v/>
      </c>
      <c r="K56" s="15" t="n"/>
    </row>
    <row r="57" ht="22" customHeight="1">
      <c r="B57" s="18">
        <f>IF(C57="","PS-"&amp;TEXT(COUNTA($C$5:C57),"000"))</f>
        <v/>
      </c>
      <c r="C57" s="13" t="n"/>
      <c r="D57" s="13" t="n"/>
      <c r="E57" s="13" t="n"/>
      <c r="F57" s="13" t="n"/>
      <c r="G57" s="13" t="n"/>
      <c r="H57" s="32" t="n"/>
      <c r="I57" s="32" t="n"/>
      <c r="J57" s="14">
        <f>IF(H57="","",I57-H57+1)</f>
        <v/>
      </c>
      <c r="K57" s="13" t="n"/>
    </row>
    <row r="58" ht="22" customHeight="1">
      <c r="B58" s="17">
        <f>IF(C58="","PS-"&amp;TEXT(COUNTA($C$5:C58),"000"))</f>
        <v/>
      </c>
      <c r="C58" s="15" t="n"/>
      <c r="D58" s="15" t="n"/>
      <c r="E58" s="15" t="n"/>
      <c r="F58" s="15" t="n"/>
      <c r="G58" s="15" t="n"/>
      <c r="H58" s="33" t="n"/>
      <c r="I58" s="33" t="n"/>
      <c r="J58" s="16">
        <f>IF(H58="","",I58-H58+1)</f>
        <v/>
      </c>
      <c r="K58" s="15" t="n"/>
    </row>
    <row r="59" ht="22" customHeight="1">
      <c r="B59" s="18">
        <f>IF(C59="","PS-"&amp;TEXT(COUNTA($C$5:C59),"000"))</f>
        <v/>
      </c>
      <c r="C59" s="13" t="n"/>
      <c r="D59" s="13" t="n"/>
      <c r="E59" s="13" t="n"/>
      <c r="F59" s="13" t="n"/>
      <c r="G59" s="13" t="n"/>
      <c r="H59" s="32" t="n"/>
      <c r="I59" s="32" t="n"/>
      <c r="J59" s="14">
        <f>IF(H59="","",I59-H59+1)</f>
        <v/>
      </c>
      <c r="K59" s="13" t="n"/>
    </row>
    <row r="60" ht="22" customHeight="1">
      <c r="B60" s="17">
        <f>IF(C60="","PS-"&amp;TEXT(COUNTA($C$5:C60),"000"))</f>
        <v/>
      </c>
      <c r="C60" s="15" t="n"/>
      <c r="D60" s="15" t="n"/>
      <c r="E60" s="15" t="n"/>
      <c r="F60" s="15" t="n"/>
      <c r="G60" s="15" t="n"/>
      <c r="H60" s="33" t="n"/>
      <c r="I60" s="33" t="n"/>
      <c r="J60" s="16">
        <f>IF(H60="","",I60-H60+1)</f>
        <v/>
      </c>
      <c r="K60" s="15" t="n"/>
    </row>
    <row r="61" ht="22" customHeight="1">
      <c r="B61" s="18">
        <f>IF(C61="","PS-"&amp;TEXT(COUNTA($C$5:C61),"000"))</f>
        <v/>
      </c>
      <c r="C61" s="13" t="n"/>
      <c r="D61" s="13" t="n"/>
      <c r="E61" s="13" t="n"/>
      <c r="F61" s="13" t="n"/>
      <c r="G61" s="13" t="n"/>
      <c r="H61" s="32" t="n"/>
      <c r="I61" s="32" t="n"/>
      <c r="J61" s="14">
        <f>IF(H61="","",I61-H61+1)</f>
        <v/>
      </c>
      <c r="K61" s="13" t="n"/>
    </row>
    <row r="62" ht="22" customHeight="1">
      <c r="B62" s="17">
        <f>IF(C62="","PS-"&amp;TEXT(COUNTA($C$5:C62),"000"))</f>
        <v/>
      </c>
      <c r="C62" s="15" t="n"/>
      <c r="D62" s="15" t="n"/>
      <c r="E62" s="15" t="n"/>
      <c r="F62" s="15" t="n"/>
      <c r="G62" s="15" t="n"/>
      <c r="H62" s="33" t="n"/>
      <c r="I62" s="33" t="n"/>
      <c r="J62" s="16">
        <f>IF(H62="","",I62-H62+1)</f>
        <v/>
      </c>
      <c r="K62" s="15" t="n"/>
    </row>
    <row r="63" ht="22" customHeight="1">
      <c r="B63" s="18">
        <f>IF(C63="","PS-"&amp;TEXT(COUNTA($C$5:C63),"000"))</f>
        <v/>
      </c>
      <c r="C63" s="13" t="n"/>
      <c r="D63" s="13" t="n"/>
      <c r="E63" s="13" t="n"/>
      <c r="F63" s="13" t="n"/>
      <c r="G63" s="13" t="n"/>
      <c r="H63" s="32" t="n"/>
      <c r="I63" s="32" t="n"/>
      <c r="J63" s="14">
        <f>IF(H63="","",I63-H63+1)</f>
        <v/>
      </c>
      <c r="K63" s="13" t="n"/>
    </row>
    <row r="64" ht="22" customHeight="1">
      <c r="B64" s="17">
        <f>IF(C64="","PS-"&amp;TEXT(COUNTA($C$5:C64),"000"))</f>
        <v/>
      </c>
      <c r="C64" s="15" t="n"/>
      <c r="D64" s="15" t="n"/>
      <c r="E64" s="15" t="n"/>
      <c r="F64" s="15" t="n"/>
      <c r="G64" s="15" t="n"/>
      <c r="H64" s="33" t="n"/>
      <c r="I64" s="33" t="n"/>
      <c r="J64" s="16">
        <f>IF(H64="","",I64-H64+1)</f>
        <v/>
      </c>
      <c r="K64" s="15" t="n"/>
    </row>
    <row r="65" ht="22" customHeight="1">
      <c r="B65" s="18">
        <f>IF(C65="","PS-"&amp;TEXT(COUNTA($C$5:C65),"000"))</f>
        <v/>
      </c>
      <c r="C65" s="13" t="n"/>
      <c r="D65" s="13" t="n"/>
      <c r="E65" s="13" t="n"/>
      <c r="F65" s="13" t="n"/>
      <c r="G65" s="13" t="n"/>
      <c r="H65" s="32" t="n"/>
      <c r="I65" s="32" t="n"/>
      <c r="J65" s="14">
        <f>IF(H65="","",I65-H65+1)</f>
        <v/>
      </c>
      <c r="K65" s="13" t="n"/>
    </row>
    <row r="66" ht="22" customHeight="1">
      <c r="B66" s="17">
        <f>IF(C66="","PS-"&amp;TEXT(COUNTA($C$5:C66),"000"))</f>
        <v/>
      </c>
      <c r="C66" s="15" t="n"/>
      <c r="D66" s="15" t="n"/>
      <c r="E66" s="15" t="n"/>
      <c r="F66" s="15" t="n"/>
      <c r="G66" s="15" t="n"/>
      <c r="H66" s="33" t="n"/>
      <c r="I66" s="33" t="n"/>
      <c r="J66" s="16">
        <f>IF(H66="","",I66-H66+1)</f>
        <v/>
      </c>
      <c r="K66" s="15" t="n"/>
    </row>
    <row r="67" ht="22" customHeight="1">
      <c r="B67" s="18">
        <f>IF(C67="","PS-"&amp;TEXT(COUNTA($C$5:C67),"000"))</f>
        <v/>
      </c>
      <c r="C67" s="13" t="n"/>
      <c r="D67" s="13" t="n"/>
      <c r="E67" s="13" t="n"/>
      <c r="F67" s="13" t="n"/>
      <c r="G67" s="13" t="n"/>
      <c r="H67" s="32" t="n"/>
      <c r="I67" s="32" t="n"/>
      <c r="J67" s="14">
        <f>IF(H67="","",I67-H67+1)</f>
        <v/>
      </c>
      <c r="K67" s="13" t="n"/>
    </row>
    <row r="68" ht="22" customHeight="1">
      <c r="B68" s="17">
        <f>IF(C68="","PS-"&amp;TEXT(COUNTA($C$5:C68),"000"))</f>
        <v/>
      </c>
      <c r="C68" s="15" t="n"/>
      <c r="D68" s="15" t="n"/>
      <c r="E68" s="15" t="n"/>
      <c r="F68" s="15" t="n"/>
      <c r="G68" s="15" t="n"/>
      <c r="H68" s="33" t="n"/>
      <c r="I68" s="33" t="n"/>
      <c r="J68" s="16">
        <f>IF(H68="","",I68-H68+1)</f>
        <v/>
      </c>
      <c r="K68" s="15" t="n"/>
    </row>
    <row r="69" ht="22" customHeight="1">
      <c r="B69" s="18">
        <f>IF(C69="","PS-"&amp;TEXT(COUNTA($C$5:C69),"000"))</f>
        <v/>
      </c>
      <c r="C69" s="13" t="n"/>
      <c r="D69" s="13" t="n"/>
      <c r="E69" s="13" t="n"/>
      <c r="F69" s="13" t="n"/>
      <c r="G69" s="13" t="n"/>
      <c r="H69" s="32" t="n"/>
      <c r="I69" s="32" t="n"/>
      <c r="J69" s="14">
        <f>IF(H69="","",I69-H69+1)</f>
        <v/>
      </c>
      <c r="K69" s="13" t="n"/>
    </row>
    <row r="70" ht="22" customHeight="1">
      <c r="B70" s="17">
        <f>IF(C70="","PS-"&amp;TEXT(COUNTA($C$5:C70),"000"))</f>
        <v/>
      </c>
      <c r="C70" s="15" t="n"/>
      <c r="D70" s="15" t="n"/>
      <c r="E70" s="15" t="n"/>
      <c r="F70" s="15" t="n"/>
      <c r="G70" s="15" t="n"/>
      <c r="H70" s="33" t="n"/>
      <c r="I70" s="33" t="n"/>
      <c r="J70" s="16">
        <f>IF(H70="","",I70-H70+1)</f>
        <v/>
      </c>
      <c r="K70" s="15" t="n"/>
    </row>
    <row r="71" ht="22" customHeight="1">
      <c r="B71" s="18">
        <f>IF(C71="","PS-"&amp;TEXT(COUNTA($C$5:C71),"000"))</f>
        <v/>
      </c>
      <c r="C71" s="13" t="n"/>
      <c r="D71" s="13" t="n"/>
      <c r="E71" s="13" t="n"/>
      <c r="F71" s="13" t="n"/>
      <c r="G71" s="13" t="n"/>
      <c r="H71" s="32" t="n"/>
      <c r="I71" s="32" t="n"/>
      <c r="J71" s="14">
        <f>IF(H71="","",I71-H71+1)</f>
        <v/>
      </c>
      <c r="K71" s="13" t="n"/>
    </row>
    <row r="72" ht="22" customHeight="1">
      <c r="B72" s="17">
        <f>IF(C72="","PS-"&amp;TEXT(COUNTA($C$5:C72),"000"))</f>
        <v/>
      </c>
      <c r="C72" s="15" t="n"/>
      <c r="D72" s="15" t="n"/>
      <c r="E72" s="15" t="n"/>
      <c r="F72" s="15" t="n"/>
      <c r="G72" s="15" t="n"/>
      <c r="H72" s="33" t="n"/>
      <c r="I72" s="33" t="n"/>
      <c r="J72" s="16">
        <f>IF(H72="","",I72-H72+1)</f>
        <v/>
      </c>
      <c r="K72" s="15" t="n"/>
    </row>
    <row r="73" ht="22" customHeight="1">
      <c r="B73" s="18">
        <f>IF(C73="","PS-"&amp;TEXT(COUNTA($C$5:C73),"000"))</f>
        <v/>
      </c>
      <c r="C73" s="13" t="n"/>
      <c r="D73" s="13" t="n"/>
      <c r="E73" s="13" t="n"/>
      <c r="F73" s="13" t="n"/>
      <c r="G73" s="13" t="n"/>
      <c r="H73" s="32" t="n"/>
      <c r="I73" s="32" t="n"/>
      <c r="J73" s="14">
        <f>IF(H73="","",I73-H73+1)</f>
        <v/>
      </c>
      <c r="K73" s="13" t="n"/>
    </row>
    <row r="74" ht="22" customHeight="1">
      <c r="B74" s="17">
        <f>IF(C74="","PS-"&amp;TEXT(COUNTA($C$5:C74),"000"))</f>
        <v/>
      </c>
      <c r="C74" s="15" t="n"/>
      <c r="D74" s="15" t="n"/>
      <c r="E74" s="15" t="n"/>
      <c r="F74" s="15" t="n"/>
      <c r="G74" s="15" t="n"/>
      <c r="H74" s="33" t="n"/>
      <c r="I74" s="33" t="n"/>
      <c r="J74" s="16">
        <f>IF(H74="","",I74-H74+1)</f>
        <v/>
      </c>
      <c r="K74" s="15" t="n"/>
    </row>
    <row r="75" ht="22" customHeight="1">
      <c r="B75" s="18">
        <f>IF(C75="","PS-"&amp;TEXT(COUNTA($C$5:C75),"000"))</f>
        <v/>
      </c>
      <c r="C75" s="13" t="n"/>
      <c r="D75" s="13" t="n"/>
      <c r="E75" s="13" t="n"/>
      <c r="F75" s="13" t="n"/>
      <c r="G75" s="13" t="n"/>
      <c r="H75" s="32" t="n"/>
      <c r="I75" s="32" t="n"/>
      <c r="J75" s="14">
        <f>IF(H75="","",I75-H75+1)</f>
        <v/>
      </c>
      <c r="K75" s="13" t="n"/>
    </row>
    <row r="76" ht="22" customHeight="1">
      <c r="B76" s="17">
        <f>IF(C76="","PS-"&amp;TEXT(COUNTA($C$5:C76),"000"))</f>
        <v/>
      </c>
      <c r="C76" s="15" t="n"/>
      <c r="D76" s="15" t="n"/>
      <c r="E76" s="15" t="n"/>
      <c r="F76" s="15" t="n"/>
      <c r="G76" s="15" t="n"/>
      <c r="H76" s="33" t="n"/>
      <c r="I76" s="33" t="n"/>
      <c r="J76" s="16">
        <f>IF(H76="","",I76-H76+1)</f>
        <v/>
      </c>
      <c r="K76" s="15" t="n"/>
    </row>
    <row r="77" ht="22" customHeight="1">
      <c r="B77" s="18">
        <f>IF(C77="","PS-"&amp;TEXT(COUNTA($C$5:C77),"000"))</f>
        <v/>
      </c>
      <c r="C77" s="13" t="n"/>
      <c r="D77" s="13" t="n"/>
      <c r="E77" s="13" t="n"/>
      <c r="F77" s="13" t="n"/>
      <c r="G77" s="13" t="n"/>
      <c r="H77" s="32" t="n"/>
      <c r="I77" s="32" t="n"/>
      <c r="J77" s="14">
        <f>IF(H77="","",I77-H77+1)</f>
        <v/>
      </c>
      <c r="K77" s="13" t="n"/>
    </row>
    <row r="78" ht="22" customHeight="1">
      <c r="B78" s="17">
        <f>IF(C78="","PS-"&amp;TEXT(COUNTA($C$5:C78),"000"))</f>
        <v/>
      </c>
      <c r="C78" s="15" t="n"/>
      <c r="D78" s="15" t="n"/>
      <c r="E78" s="15" t="n"/>
      <c r="F78" s="15" t="n"/>
      <c r="G78" s="15" t="n"/>
      <c r="H78" s="33" t="n"/>
      <c r="I78" s="33" t="n"/>
      <c r="J78" s="16">
        <f>IF(H78="","",I78-H78+1)</f>
        <v/>
      </c>
      <c r="K78" s="15" t="n"/>
    </row>
    <row r="79" ht="22" customHeight="1">
      <c r="B79" s="18">
        <f>IF(C79="","PS-"&amp;TEXT(COUNTA($C$5:C79),"000"))</f>
        <v/>
      </c>
      <c r="C79" s="13" t="n"/>
      <c r="D79" s="13" t="n"/>
      <c r="E79" s="13" t="n"/>
      <c r="F79" s="13" t="n"/>
      <c r="G79" s="13" t="n"/>
      <c r="H79" s="32" t="n"/>
      <c r="I79" s="32" t="n"/>
      <c r="J79" s="14">
        <f>IF(H79="","",I79-H79+1)</f>
        <v/>
      </c>
      <c r="K79" s="13" t="n"/>
    </row>
    <row r="80" ht="22" customHeight="1">
      <c r="B80" s="17">
        <f>IF(C80="","PS-"&amp;TEXT(COUNTA($C$5:C80),"000"))</f>
        <v/>
      </c>
      <c r="C80" s="15" t="n"/>
      <c r="D80" s="15" t="n"/>
      <c r="E80" s="15" t="n"/>
      <c r="F80" s="15" t="n"/>
      <c r="G80" s="15" t="n"/>
      <c r="H80" s="33" t="n"/>
      <c r="I80" s="33" t="n"/>
      <c r="J80" s="16">
        <f>IF(H80="","",I80-H80+1)</f>
        <v/>
      </c>
      <c r="K80" s="15" t="n"/>
    </row>
    <row r="81" ht="22" customHeight="1">
      <c r="B81" s="18">
        <f>IF(C81="","PS-"&amp;TEXT(COUNTA($C$5:C81),"000"))</f>
        <v/>
      </c>
      <c r="C81" s="13" t="n"/>
      <c r="D81" s="13" t="n"/>
      <c r="E81" s="13" t="n"/>
      <c r="F81" s="13" t="n"/>
      <c r="G81" s="13" t="n"/>
      <c r="H81" s="32" t="n"/>
      <c r="I81" s="32" t="n"/>
      <c r="J81" s="14">
        <f>IF(H81="","",I81-H81+1)</f>
        <v/>
      </c>
      <c r="K81" s="13" t="n"/>
    </row>
    <row r="82" ht="22" customHeight="1">
      <c r="B82" s="17">
        <f>IF(C82="","PS-"&amp;TEXT(COUNTA($C$5:C82),"000"))</f>
        <v/>
      </c>
      <c r="C82" s="15" t="n"/>
      <c r="D82" s="15" t="n"/>
      <c r="E82" s="15" t="n"/>
      <c r="F82" s="15" t="n"/>
      <c r="G82" s="15" t="n"/>
      <c r="H82" s="33" t="n"/>
      <c r="I82" s="33" t="n"/>
      <c r="J82" s="16">
        <f>IF(H82="","",I82-H82+1)</f>
        <v/>
      </c>
      <c r="K82" s="15" t="n"/>
    </row>
    <row r="83" ht="22" customHeight="1">
      <c r="B83" s="18">
        <f>IF(C83="","PS-"&amp;TEXT(COUNTA($C$5:C83),"000"))</f>
        <v/>
      </c>
      <c r="C83" s="13" t="n"/>
      <c r="D83" s="13" t="n"/>
      <c r="E83" s="13" t="n"/>
      <c r="F83" s="13" t="n"/>
      <c r="G83" s="13" t="n"/>
      <c r="H83" s="32" t="n"/>
      <c r="I83" s="32" t="n"/>
      <c r="J83" s="14">
        <f>IF(H83="","",I83-H83+1)</f>
        <v/>
      </c>
      <c r="K83" s="13" t="n"/>
    </row>
    <row r="84" ht="22" customHeight="1">
      <c r="B84" s="17">
        <f>IF(C84="","PS-"&amp;TEXT(COUNTA($C$5:C84),"000"))</f>
        <v/>
      </c>
      <c r="C84" s="15" t="n"/>
      <c r="D84" s="15" t="n"/>
      <c r="E84" s="15" t="n"/>
      <c r="F84" s="15" t="n"/>
      <c r="G84" s="15" t="n"/>
      <c r="H84" s="33" t="n"/>
      <c r="I84" s="33" t="n"/>
      <c r="J84" s="16">
        <f>IF(H84="","",I84-H84+1)</f>
        <v/>
      </c>
      <c r="K84" s="15" t="n"/>
    </row>
    <row r="85" ht="22" customHeight="1">
      <c r="B85" s="18">
        <f>IF(C85="","PS-"&amp;TEXT(COUNTA($C$5:C85),"000"))</f>
        <v/>
      </c>
      <c r="C85" s="13" t="n"/>
      <c r="D85" s="13" t="n"/>
      <c r="E85" s="13" t="n"/>
      <c r="F85" s="13" t="n"/>
      <c r="G85" s="13" t="n"/>
      <c r="H85" s="32" t="n"/>
      <c r="I85" s="32" t="n"/>
      <c r="J85" s="14">
        <f>IF(H85="","",I85-H85+1)</f>
        <v/>
      </c>
      <c r="K85" s="13" t="n"/>
    </row>
    <row r="86" ht="22" customHeight="1">
      <c r="B86" s="17">
        <f>IF(C86="","PS-"&amp;TEXT(COUNTA($C$5:C86),"000"))</f>
        <v/>
      </c>
      <c r="C86" s="15" t="n"/>
      <c r="D86" s="15" t="n"/>
      <c r="E86" s="15" t="n"/>
      <c r="F86" s="15" t="n"/>
      <c r="G86" s="15" t="n"/>
      <c r="H86" s="33" t="n"/>
      <c r="I86" s="33" t="n"/>
      <c r="J86" s="16">
        <f>IF(H86="","",I86-H86+1)</f>
        <v/>
      </c>
      <c r="K86" s="15" t="n"/>
    </row>
    <row r="87" ht="22" customHeight="1">
      <c r="B87" s="18">
        <f>IF(C87="","PS-"&amp;TEXT(COUNTA($C$5:C87),"000"))</f>
        <v/>
      </c>
      <c r="C87" s="13" t="n"/>
      <c r="D87" s="13" t="n"/>
      <c r="E87" s="13" t="n"/>
      <c r="F87" s="13" t="n"/>
      <c r="G87" s="13" t="n"/>
      <c r="H87" s="32" t="n"/>
      <c r="I87" s="32" t="n"/>
      <c r="J87" s="14">
        <f>IF(H87="","",I87-H87+1)</f>
        <v/>
      </c>
      <c r="K87" s="13" t="n"/>
    </row>
    <row r="88" ht="22" customHeight="1">
      <c r="B88" s="17">
        <f>IF(C88="","PS-"&amp;TEXT(COUNTA($C$5:C88),"000"))</f>
        <v/>
      </c>
      <c r="C88" s="15" t="n"/>
      <c r="D88" s="15" t="n"/>
      <c r="E88" s="15" t="n"/>
      <c r="F88" s="15" t="n"/>
      <c r="G88" s="15" t="n"/>
      <c r="H88" s="33" t="n"/>
      <c r="I88" s="33" t="n"/>
      <c r="J88" s="16">
        <f>IF(H88="","",I88-H88+1)</f>
        <v/>
      </c>
      <c r="K88" s="15" t="n"/>
    </row>
    <row r="89" ht="22" customHeight="1">
      <c r="B89" s="18">
        <f>IF(C89="","PS-"&amp;TEXT(COUNTA($C$5:C89),"000"))</f>
        <v/>
      </c>
      <c r="C89" s="13" t="n"/>
      <c r="D89" s="13" t="n"/>
      <c r="E89" s="13" t="n"/>
      <c r="F89" s="13" t="n"/>
      <c r="G89" s="13" t="n"/>
      <c r="H89" s="32" t="n"/>
      <c r="I89" s="32" t="n"/>
      <c r="J89" s="14">
        <f>IF(H89="","",I89-H89+1)</f>
        <v/>
      </c>
      <c r="K89" s="13" t="n"/>
    </row>
    <row r="90" ht="22" customHeight="1">
      <c r="B90" s="17">
        <f>IF(C90="","PS-"&amp;TEXT(COUNTA($C$5:C90),"000"))</f>
        <v/>
      </c>
      <c r="C90" s="15" t="n"/>
      <c r="D90" s="15" t="n"/>
      <c r="E90" s="15" t="n"/>
      <c r="F90" s="15" t="n"/>
      <c r="G90" s="15" t="n"/>
      <c r="H90" s="33" t="n"/>
      <c r="I90" s="33" t="n"/>
      <c r="J90" s="16">
        <f>IF(H90="","",I90-H90+1)</f>
        <v/>
      </c>
      <c r="K90" s="15" t="n"/>
    </row>
    <row r="91" ht="22" customHeight="1">
      <c r="B91" s="18">
        <f>IF(C91="","PS-"&amp;TEXT(COUNTA($C$5:C91),"000"))</f>
        <v/>
      </c>
      <c r="C91" s="13" t="n"/>
      <c r="D91" s="13" t="n"/>
      <c r="E91" s="13" t="n"/>
      <c r="F91" s="13" t="n"/>
      <c r="G91" s="13" t="n"/>
      <c r="H91" s="32" t="n"/>
      <c r="I91" s="32" t="n"/>
      <c r="J91" s="14">
        <f>IF(H91="","",I91-H91+1)</f>
        <v/>
      </c>
      <c r="K91" s="13" t="n"/>
    </row>
    <row r="92" ht="22" customHeight="1">
      <c r="B92" s="17">
        <f>IF(C92="","PS-"&amp;TEXT(COUNTA($C$5:C92),"000"))</f>
        <v/>
      </c>
      <c r="C92" s="15" t="n"/>
      <c r="D92" s="15" t="n"/>
      <c r="E92" s="15" t="n"/>
      <c r="F92" s="15" t="n"/>
      <c r="G92" s="15" t="n"/>
      <c r="H92" s="33" t="n"/>
      <c r="I92" s="33" t="n"/>
      <c r="J92" s="16">
        <f>IF(H92="","",I92-H92+1)</f>
        <v/>
      </c>
      <c r="K92" s="15" t="n"/>
    </row>
    <row r="93" ht="22" customHeight="1">
      <c r="B93" s="18">
        <f>IF(C93="","PS-"&amp;TEXT(COUNTA($C$5:C93),"000"))</f>
        <v/>
      </c>
      <c r="C93" s="13" t="n"/>
      <c r="D93" s="13" t="n"/>
      <c r="E93" s="13" t="n"/>
      <c r="F93" s="13" t="n"/>
      <c r="G93" s="13" t="n"/>
      <c r="H93" s="32" t="n"/>
      <c r="I93" s="32" t="n"/>
      <c r="J93" s="14">
        <f>IF(H93="","",I93-H93+1)</f>
        <v/>
      </c>
      <c r="K93" s="13" t="n"/>
    </row>
    <row r="94" ht="22" customHeight="1">
      <c r="B94" s="17">
        <f>IF(C94="","PS-"&amp;TEXT(COUNTA($C$5:C94),"000"))</f>
        <v/>
      </c>
      <c r="C94" s="15" t="n"/>
      <c r="D94" s="15" t="n"/>
      <c r="E94" s="15" t="n"/>
      <c r="F94" s="15" t="n"/>
      <c r="G94" s="15" t="n"/>
      <c r="H94" s="33" t="n"/>
      <c r="I94" s="33" t="n"/>
      <c r="J94" s="16">
        <f>IF(H94="","",I94-H94+1)</f>
        <v/>
      </c>
      <c r="K94" s="15" t="n"/>
    </row>
    <row r="95" ht="22" customHeight="1">
      <c r="B95" s="18">
        <f>IF(C95="","PS-"&amp;TEXT(COUNTA($C$5:C95),"000"))</f>
        <v/>
      </c>
      <c r="C95" s="13" t="n"/>
      <c r="D95" s="13" t="n"/>
      <c r="E95" s="13" t="n"/>
      <c r="F95" s="13" t="n"/>
      <c r="G95" s="13" t="n"/>
      <c r="H95" s="32" t="n"/>
      <c r="I95" s="32" t="n"/>
      <c r="J95" s="14">
        <f>IF(H95="","",I95-H95+1)</f>
        <v/>
      </c>
      <c r="K95" s="13" t="n"/>
    </row>
    <row r="96" ht="22" customHeight="1">
      <c r="B96" s="17">
        <f>IF(C96="","PS-"&amp;TEXT(COUNTA($C$5:C96),"000"))</f>
        <v/>
      </c>
      <c r="C96" s="15" t="n"/>
      <c r="D96" s="15" t="n"/>
      <c r="E96" s="15" t="n"/>
      <c r="F96" s="15" t="n"/>
      <c r="G96" s="15" t="n"/>
      <c r="H96" s="33" t="n"/>
      <c r="I96" s="33" t="n"/>
      <c r="J96" s="16">
        <f>IF(H96="","",I96-H96+1)</f>
        <v/>
      </c>
      <c r="K96" s="15" t="n"/>
    </row>
    <row r="97" ht="22" customHeight="1">
      <c r="B97" s="18">
        <f>IF(C97="","PS-"&amp;TEXT(COUNTA($C$5:C97),"000"))</f>
        <v/>
      </c>
      <c r="C97" s="13" t="n"/>
      <c r="D97" s="13" t="n"/>
      <c r="E97" s="13" t="n"/>
      <c r="F97" s="13" t="n"/>
      <c r="G97" s="13" t="n"/>
      <c r="H97" s="32" t="n"/>
      <c r="I97" s="32" t="n"/>
      <c r="J97" s="14">
        <f>IF(H97="","",I97-H97+1)</f>
        <v/>
      </c>
      <c r="K97" s="13" t="n"/>
    </row>
    <row r="98" ht="22" customHeight="1">
      <c r="B98" s="17">
        <f>IF(C98="","PS-"&amp;TEXT(COUNTA($C$5:C98),"000"))</f>
        <v/>
      </c>
      <c r="C98" s="15" t="n"/>
      <c r="D98" s="15" t="n"/>
      <c r="E98" s="15" t="n"/>
      <c r="F98" s="15" t="n"/>
      <c r="G98" s="15" t="n"/>
      <c r="H98" s="33" t="n"/>
      <c r="I98" s="33" t="n"/>
      <c r="J98" s="16">
        <f>IF(H98="","",I98-H98+1)</f>
        <v/>
      </c>
      <c r="K98" s="15" t="n"/>
    </row>
    <row r="99" ht="22" customHeight="1">
      <c r="B99" s="18">
        <f>IF(C99="","PS-"&amp;TEXT(COUNTA($C$5:C99),"000"))</f>
        <v/>
      </c>
      <c r="C99" s="13" t="n"/>
      <c r="D99" s="13" t="n"/>
      <c r="E99" s="13" t="n"/>
      <c r="F99" s="13" t="n"/>
      <c r="G99" s="13" t="n"/>
      <c r="H99" s="32" t="n"/>
      <c r="I99" s="32" t="n"/>
      <c r="J99" s="14">
        <f>IF(H99="","",I99-H99+1)</f>
        <v/>
      </c>
      <c r="K99" s="13" t="n"/>
    </row>
    <row r="100" ht="22" customHeight="1">
      <c r="B100" s="17">
        <f>IF(C100="","PS-"&amp;TEXT(COUNTA($C$5:C100),"000"))</f>
        <v/>
      </c>
      <c r="C100" s="15" t="n"/>
      <c r="D100" s="15" t="n"/>
      <c r="E100" s="15" t="n"/>
      <c r="F100" s="15" t="n"/>
      <c r="G100" s="15" t="n"/>
      <c r="H100" s="33" t="n"/>
      <c r="I100" s="33" t="n"/>
      <c r="J100" s="16">
        <f>IF(H100="","",I100-H100+1)</f>
        <v/>
      </c>
      <c r="K100" s="15" t="n"/>
    </row>
    <row r="101" ht="22" customHeight="1">
      <c r="B101" s="18">
        <f>IF(C101="","PS-"&amp;TEXT(COUNTA($C$5:C101),"000"))</f>
        <v/>
      </c>
      <c r="C101" s="13" t="n"/>
      <c r="D101" s="13" t="n"/>
      <c r="E101" s="13" t="n"/>
      <c r="F101" s="13" t="n"/>
      <c r="G101" s="13" t="n"/>
      <c r="H101" s="32" t="n"/>
      <c r="I101" s="32" t="n"/>
      <c r="J101" s="14">
        <f>IF(H101="","",I101-H101+1)</f>
        <v/>
      </c>
      <c r="K101" s="13" t="n"/>
    </row>
    <row r="102" ht="22" customHeight="1">
      <c r="B102" s="17">
        <f>IF(C102="","PS-"&amp;TEXT(COUNTA($C$5:C102),"000"))</f>
        <v/>
      </c>
      <c r="C102" s="15" t="n"/>
      <c r="D102" s="15" t="n"/>
      <c r="E102" s="15" t="n"/>
      <c r="F102" s="15" t="n"/>
      <c r="G102" s="15" t="n"/>
      <c r="H102" s="33" t="n"/>
      <c r="I102" s="33" t="n"/>
      <c r="J102" s="16">
        <f>IF(H102="","",I102-H102+1)</f>
        <v/>
      </c>
      <c r="K102" s="15" t="n"/>
    </row>
    <row r="103" ht="22" customHeight="1">
      <c r="B103" s="18">
        <f>IF(C103="","PS-"&amp;TEXT(COUNTA($C$5:C103),"000"))</f>
        <v/>
      </c>
      <c r="C103" s="13" t="n"/>
      <c r="D103" s="13" t="n"/>
      <c r="E103" s="13" t="n"/>
      <c r="F103" s="13" t="n"/>
      <c r="G103" s="13" t="n"/>
      <c r="H103" s="32" t="n"/>
      <c r="I103" s="32" t="n"/>
      <c r="J103" s="14">
        <f>IF(H103="","",I103-H103+1)</f>
        <v/>
      </c>
      <c r="K103" s="13" t="n"/>
    </row>
    <row r="104" ht="22" customHeight="1">
      <c r="B104" s="17">
        <f>IF(C104="","PS-"&amp;TEXT(COUNTA($C$5:C104),"000"))</f>
        <v/>
      </c>
      <c r="C104" s="15" t="n"/>
      <c r="D104" s="15" t="n"/>
      <c r="E104" s="15" t="n"/>
      <c r="F104" s="15" t="n"/>
      <c r="G104" s="15" t="n"/>
      <c r="H104" s="33" t="n"/>
      <c r="I104" s="33" t="n"/>
      <c r="J104" s="16">
        <f>IF(H104="","",I104-H104+1)</f>
        <v/>
      </c>
      <c r="K104" s="15" t="n"/>
    </row>
    <row r="105" ht="22" customHeight="1">
      <c r="B105" s="18">
        <f>IF(C105="","PS-"&amp;TEXT(COUNTA($C$5:C105),"000"))</f>
        <v/>
      </c>
      <c r="C105" s="13" t="n"/>
      <c r="D105" s="13" t="n"/>
      <c r="E105" s="13" t="n"/>
      <c r="F105" s="13" t="n"/>
      <c r="G105" s="13" t="n"/>
      <c r="H105" s="32" t="n"/>
      <c r="I105" s="32" t="n"/>
      <c r="J105" s="14">
        <f>IF(H105="","",I105-H105+1)</f>
        <v/>
      </c>
      <c r="K105" s="13" t="n"/>
    </row>
    <row r="106" ht="22" customHeight="1">
      <c r="B106" s="17">
        <f>IF(C106="","PS-"&amp;TEXT(COUNTA($C$5:C106),"000"))</f>
        <v/>
      </c>
      <c r="C106" s="15" t="n"/>
      <c r="D106" s="15" t="n"/>
      <c r="E106" s="15" t="n"/>
      <c r="F106" s="15" t="n"/>
      <c r="G106" s="15" t="n"/>
      <c r="H106" s="33" t="n"/>
      <c r="I106" s="33" t="n"/>
      <c r="J106" s="16">
        <f>IF(H106="","",I106-H106+1)</f>
        <v/>
      </c>
      <c r="K106" s="15" t="n"/>
    </row>
    <row r="107" ht="22" customHeight="1">
      <c r="B107" s="18">
        <f>IF(C107="","PS-"&amp;TEXT(COUNTA($C$5:C107),"000"))</f>
        <v/>
      </c>
      <c r="C107" s="13" t="n"/>
      <c r="D107" s="13" t="n"/>
      <c r="E107" s="13" t="n"/>
      <c r="F107" s="13" t="n"/>
      <c r="G107" s="13" t="n"/>
      <c r="H107" s="32" t="n"/>
      <c r="I107" s="32" t="n"/>
      <c r="J107" s="14">
        <f>IF(H107="","",I107-H107+1)</f>
        <v/>
      </c>
      <c r="K107" s="13" t="n"/>
    </row>
    <row r="108" ht="22" customHeight="1">
      <c r="B108" s="17">
        <f>IF(C108="","PS-"&amp;TEXT(COUNTA($C$5:C108),"000"))</f>
        <v/>
      </c>
      <c r="C108" s="15" t="n"/>
      <c r="D108" s="15" t="n"/>
      <c r="E108" s="15" t="n"/>
      <c r="F108" s="15" t="n"/>
      <c r="G108" s="15" t="n"/>
      <c r="H108" s="33" t="n"/>
      <c r="I108" s="33" t="n"/>
      <c r="J108" s="16">
        <f>IF(H108="","",I108-H108+1)</f>
        <v/>
      </c>
      <c r="K108" s="15" t="n"/>
    </row>
    <row r="109" ht="22" customHeight="1">
      <c r="B109" s="18">
        <f>IF(C109="","PS-"&amp;TEXT(COUNTA($C$5:C109),"000"))</f>
        <v/>
      </c>
      <c r="C109" s="13" t="n"/>
      <c r="D109" s="13" t="n"/>
      <c r="E109" s="13" t="n"/>
      <c r="F109" s="13" t="n"/>
      <c r="G109" s="13" t="n"/>
      <c r="H109" s="32" t="n"/>
      <c r="I109" s="32" t="n"/>
      <c r="J109" s="14">
        <f>IF(H109="","",I109-H109+1)</f>
        <v/>
      </c>
      <c r="K109" s="13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0" t="n"/>
      <c r="J111" s="21">
        <f>SUM(J5:J104)</f>
        <v/>
      </c>
      <c r="K111" s="20" t="n"/>
    </row>
    <row r="113">
      <c r="B113" s="6" t="inlineStr">
        <is>
          <t>INDICATEURS (mis a jour automatiquement)</t>
        </is>
      </c>
    </row>
    <row r="114">
      <c r="B114" s="3" t="inlineStr">
        <is>
          <t>Total permissions</t>
        </is>
      </c>
      <c r="D114" s="3" t="inlineStr">
        <is>
          <t>Total jours (j)</t>
        </is>
      </c>
      <c r="F114" s="3" t="inlineStr">
        <is>
          <t>Planifiees</t>
        </is>
      </c>
      <c r="H114" s="3" t="inlineStr">
        <is>
          <t>Terminees</t>
        </is>
      </c>
    </row>
    <row r="115">
      <c r="B115" s="4">
        <f>COUNTIF(B5:B104,"&lt;&gt;")</f>
        <v/>
      </c>
      <c r="D115" s="4">
        <f>SUM(J5:J104)</f>
        <v/>
      </c>
      <c r="F115" s="4">
        <f>COUNTIF(K5:K104,"Planifie")</f>
        <v/>
      </c>
      <c r="H115" s="4">
        <f>COUNTIF(K5:K104,"Termine")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10:B109">
    <cfRule type="expression" priority="43" dxfId="3">
      <formula>AND($C10="",$C9&lt;&gt;"")</formula>
    </cfRule>
  </conditionalFormatting>
  <conditionalFormatting sqref="C10:C109">
    <cfRule type="expression" priority="44" dxfId="3">
      <formula>AND($C10="",$C9&lt;&gt;"")</formula>
    </cfRule>
  </conditionalFormatting>
  <conditionalFormatting sqref="D10:D109">
    <cfRule type="expression" priority="45" dxfId="3">
      <formula>AND($C10="",$C9&lt;&gt;"")</formula>
    </cfRule>
  </conditionalFormatting>
  <conditionalFormatting sqref="E10:E109">
    <cfRule type="expression" priority="46" dxfId="3">
      <formula>AND($C10="",$C9&lt;&gt;"")</formula>
    </cfRule>
  </conditionalFormatting>
  <conditionalFormatting sqref="F10:F109">
    <cfRule type="expression" priority="47" dxfId="3">
      <formula>AND($C10="",$C9&lt;&gt;"")</formula>
    </cfRule>
  </conditionalFormatting>
  <conditionalFormatting sqref="G10:G109">
    <cfRule type="expression" priority="48" dxfId="3">
      <formula>AND($C10="",$C9&lt;&gt;"")</formula>
    </cfRule>
  </conditionalFormatting>
  <conditionalFormatting sqref="H10:H109">
    <cfRule type="expression" priority="49" dxfId="3">
      <formula>AND($C10="",$C9&lt;&gt;"")</formula>
    </cfRule>
  </conditionalFormatting>
  <conditionalFormatting sqref="I10:I109">
    <cfRule type="expression" priority="50" dxfId="3">
      <formula>AND($C10="",$C9&lt;&gt;"")</formula>
    </cfRule>
  </conditionalFormatting>
  <conditionalFormatting sqref="J10:J109">
    <cfRule type="expression" priority="51" dxfId="3">
      <formula>AND($C10="",$C9&lt;&gt;"")</formula>
    </cfRule>
  </conditionalFormatting>
  <conditionalFormatting sqref="K10:K109">
    <cfRule type="expression" priority="52" dxfId="3">
      <formula>AND($C10="",$C9&lt;&gt;"")</formula>
    </cfRule>
  </conditionalFormatting>
  <dataValidations count="4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'_Lists'!$F$2:$F$11</formula1>
    </dataValidation>
    <dataValidation sqref="G5:G109" showDropDown="0" showInputMessage="0" showErrorMessage="0" allowBlank="1" errorTitle="Erreur" error="Valeur invalide" promptTitle="Liste" prompt="Choisir dans la liste" type="list">
      <formula1>'_Lists'!$G$2:$G$12</formula1>
    </dataValidation>
    <dataValidation sqref="K5:K109" showDropDown="0" showInputMessage="0" showErrorMessage="0" allowBlank="1" errorTitle="Erreur" error="Valeur invalide" promptTitle="Liste" prompt="Choisir dans la liste" type="list">
      <formula1>'_Lists'!$E$2:$E$7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18" customWidth="1" min="5" max="5"/>
    <col width="22" customWidth="1" min="6" max="6"/>
    <col width="14" customWidth="1" min="7" max="7"/>
    <col width="14" customWidth="1" min="8" max="8"/>
    <col width="12" customWidth="1" min="9" max="9"/>
    <col width="20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GESTION DES CONGES SANS SOLDE (#55)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CSS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Motif Demande</t>
        </is>
      </c>
      <c r="G4" s="12" t="inlineStr">
        <is>
          <t>Date Debut</t>
        </is>
      </c>
      <c r="H4" s="12" t="inlineStr">
        <is>
          <t>Date Fin</t>
        </is>
      </c>
      <c r="I4" s="12" t="inlineStr">
        <is>
          <t>Nb Jours</t>
        </is>
      </c>
      <c r="J4" s="12" t="inlineStr">
        <is>
          <t>Impact Anciennete</t>
        </is>
      </c>
      <c r="K4" s="12" t="inlineStr">
        <is>
          <t>Validation DRH</t>
        </is>
      </c>
      <c r="L4" s="12" t="inlineStr">
        <is>
          <t>Statut</t>
        </is>
      </c>
    </row>
    <row r="5" ht="22" customHeight="1">
      <c r="B5" s="13" t="inlineStr">
        <is>
          <t>CSS-001</t>
        </is>
      </c>
      <c r="C5" s="13" t="inlineStr">
        <is>
          <t>EMP-008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Voyage personnel</t>
        </is>
      </c>
      <c r="G5" s="32" t="n">
        <v>45839</v>
      </c>
      <c r="H5" s="32" t="n">
        <v>45853</v>
      </c>
      <c r="I5" s="14" t="n">
        <v>15</v>
      </c>
      <c r="J5" s="13" t="inlineStr">
        <is>
          <t>Oui - 15j retard</t>
        </is>
      </c>
      <c r="K5" s="13" t="inlineStr">
        <is>
          <t>Oui</t>
        </is>
      </c>
      <c r="L5" s="13" t="inlineStr">
        <is>
          <t>Approuve</t>
        </is>
      </c>
    </row>
    <row r="6" ht="22" customHeight="1">
      <c r="B6" s="15" t="inlineStr">
        <is>
          <t>CSS-002</t>
        </is>
      </c>
      <c r="C6" s="15" t="inlineStr">
        <is>
          <t>EMP-006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Probleme familial</t>
        </is>
      </c>
      <c r="G6" s="33" t="n">
        <v>45818</v>
      </c>
      <c r="H6" s="33" t="n">
        <v>45828</v>
      </c>
      <c r="I6" s="16" t="n">
        <v>8</v>
      </c>
      <c r="J6" s="15" t="inlineStr">
        <is>
          <t>Non</t>
        </is>
      </c>
      <c r="K6" s="15" t="inlineStr">
        <is>
          <t>Oui</t>
        </is>
      </c>
      <c r="L6" s="15" t="inlineStr">
        <is>
          <t>Termine</t>
        </is>
      </c>
    </row>
    <row r="7" ht="22" customHeight="1">
      <c r="B7" s="13" t="inlineStr">
        <is>
          <t>CSS-003</t>
        </is>
      </c>
      <c r="C7" s="13" t="inlineStr">
        <is>
          <t>EMP-007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Formation personnelle</t>
        </is>
      </c>
      <c r="G7" s="32" t="n">
        <v>45901</v>
      </c>
      <c r="H7" s="32" t="n">
        <v>45930</v>
      </c>
      <c r="I7" s="14" t="n">
        <v>22</v>
      </c>
      <c r="J7" s="13" t="inlineStr">
        <is>
          <t>Oui - 22j retard</t>
        </is>
      </c>
      <c r="K7" s="13" t="inlineStr">
        <is>
          <t>En attente</t>
        </is>
      </c>
      <c r="L7" s="13" t="inlineStr">
        <is>
          <t>En attente</t>
        </is>
      </c>
    </row>
    <row r="8" ht="22" customHeight="1">
      <c r="B8" s="17">
        <f>IF(C8="","CSS-"&amp;TEXT(COUNTA($C$5:C8),"000"))</f>
        <v/>
      </c>
      <c r="C8" s="15" t="n"/>
      <c r="D8" s="15" t="n"/>
      <c r="E8" s="15" t="n"/>
      <c r="F8" s="15" t="n"/>
      <c r="G8" s="33" t="n"/>
      <c r="H8" s="33" t="n"/>
      <c r="I8" s="16">
        <f>IF(G8="","",H8-G8+1)</f>
        <v/>
      </c>
      <c r="J8" s="15" t="n"/>
      <c r="K8" s="15" t="n"/>
      <c r="L8" s="15" t="n"/>
    </row>
    <row r="9" ht="22" customHeight="1">
      <c r="B9" s="18">
        <f>IF(C9="","CSS-"&amp;TEXT(COUNTA($C$5:C9),"000"))</f>
        <v/>
      </c>
      <c r="C9" s="13" t="n"/>
      <c r="D9" s="13" t="n"/>
      <c r="E9" s="13" t="n"/>
      <c r="F9" s="13" t="n"/>
      <c r="G9" s="32" t="n"/>
      <c r="H9" s="32" t="n"/>
      <c r="I9" s="14">
        <f>IF(G9="","",H9-G9+1)</f>
        <v/>
      </c>
      <c r="J9" s="13" t="n"/>
      <c r="K9" s="13" t="n"/>
      <c r="L9" s="13" t="n"/>
    </row>
    <row r="10" ht="22" customHeight="1">
      <c r="B10" s="17">
        <f>IF(C10="","CSS-"&amp;TEXT(COUNTA($C$5:C10),"000"))</f>
        <v/>
      </c>
      <c r="C10" s="15" t="n"/>
      <c r="D10" s="15" t="n"/>
      <c r="E10" s="15" t="n"/>
      <c r="F10" s="15" t="n"/>
      <c r="G10" s="33" t="n"/>
      <c r="H10" s="33" t="n"/>
      <c r="I10" s="16">
        <f>IF(G10="","",H10-G10+1)</f>
        <v/>
      </c>
      <c r="J10" s="15" t="n"/>
      <c r="K10" s="15" t="n"/>
      <c r="L10" s="15" t="n"/>
    </row>
    <row r="11" ht="22" customHeight="1">
      <c r="B11" s="18">
        <f>IF(C11="","CSS-"&amp;TEXT(COUNTA($C$5:C11),"000"))</f>
        <v/>
      </c>
      <c r="C11" s="13" t="n"/>
      <c r="D11" s="13" t="n"/>
      <c r="E11" s="13" t="n"/>
      <c r="F11" s="13" t="n"/>
      <c r="G11" s="32" t="n"/>
      <c r="H11" s="32" t="n"/>
      <c r="I11" s="14">
        <f>IF(G11="","",H11-G11+1)</f>
        <v/>
      </c>
      <c r="J11" s="13" t="n"/>
      <c r="K11" s="13" t="n"/>
      <c r="L11" s="13" t="n"/>
    </row>
    <row r="12" ht="22" customHeight="1">
      <c r="B12" s="17">
        <f>IF(C12="","CSS-"&amp;TEXT(COUNTA($C$5:C12),"000"))</f>
        <v/>
      </c>
      <c r="C12" s="15" t="n"/>
      <c r="D12" s="15" t="n"/>
      <c r="E12" s="15" t="n"/>
      <c r="F12" s="15" t="n"/>
      <c r="G12" s="33" t="n"/>
      <c r="H12" s="33" t="n"/>
      <c r="I12" s="16">
        <f>IF(G12="","",H12-G12+1)</f>
        <v/>
      </c>
      <c r="J12" s="15" t="n"/>
      <c r="K12" s="15" t="n"/>
      <c r="L12" s="15" t="n"/>
    </row>
    <row r="13" ht="22" customHeight="1">
      <c r="B13" s="18">
        <f>IF(C13="","CSS-"&amp;TEXT(COUNTA($C$5:C13),"000"))</f>
        <v/>
      </c>
      <c r="C13" s="13" t="n"/>
      <c r="D13" s="13" t="n"/>
      <c r="E13" s="13" t="n"/>
      <c r="F13" s="13" t="n"/>
      <c r="G13" s="32" t="n"/>
      <c r="H13" s="32" t="n"/>
      <c r="I13" s="14">
        <f>IF(G13="","",H13-G13+1)</f>
        <v/>
      </c>
      <c r="J13" s="13" t="n"/>
      <c r="K13" s="13" t="n"/>
      <c r="L13" s="13" t="n"/>
    </row>
    <row r="14" ht="22" customHeight="1">
      <c r="B14" s="17">
        <f>IF(C14="","CSS-"&amp;TEXT(COUNTA($C$5:C14),"000"))</f>
        <v/>
      </c>
      <c r="C14" s="15" t="n"/>
      <c r="D14" s="15" t="n"/>
      <c r="E14" s="15" t="n"/>
      <c r="F14" s="15" t="n"/>
      <c r="G14" s="33" t="n"/>
      <c r="H14" s="33" t="n"/>
      <c r="I14" s="16">
        <f>IF(G14="","",H14-G14+1)</f>
        <v/>
      </c>
      <c r="J14" s="15" t="n"/>
      <c r="K14" s="15" t="n"/>
      <c r="L14" s="15" t="n"/>
    </row>
    <row r="15" ht="22" customHeight="1">
      <c r="B15" s="18">
        <f>IF(C15="","CSS-"&amp;TEXT(COUNTA($C$5:C15),"000"))</f>
        <v/>
      </c>
      <c r="C15" s="13" t="n"/>
      <c r="D15" s="13" t="n"/>
      <c r="E15" s="13" t="n"/>
      <c r="F15" s="13" t="n"/>
      <c r="G15" s="32" t="n"/>
      <c r="H15" s="32" t="n"/>
      <c r="I15" s="14">
        <f>IF(G15="","",H15-G15+1)</f>
        <v/>
      </c>
      <c r="J15" s="13" t="n"/>
      <c r="K15" s="13" t="n"/>
      <c r="L15" s="13" t="n"/>
    </row>
    <row r="16" ht="22" customHeight="1">
      <c r="B16" s="17">
        <f>IF(C16="","CSS-"&amp;TEXT(COUNTA($C$5:C16),"000"))</f>
        <v/>
      </c>
      <c r="C16" s="15" t="n"/>
      <c r="D16" s="15" t="n"/>
      <c r="E16" s="15" t="n"/>
      <c r="F16" s="15" t="n"/>
      <c r="G16" s="33" t="n"/>
      <c r="H16" s="33" t="n"/>
      <c r="I16" s="16">
        <f>IF(G16="","",H16-G16+1)</f>
        <v/>
      </c>
      <c r="J16" s="15" t="n"/>
      <c r="K16" s="15" t="n"/>
      <c r="L16" s="15" t="n"/>
    </row>
    <row r="17" ht="22" customHeight="1">
      <c r="B17" s="18">
        <f>IF(C17="","CSS-"&amp;TEXT(COUNTA($C$5:C17),"000"))</f>
        <v/>
      </c>
      <c r="C17" s="13" t="n"/>
      <c r="D17" s="13" t="n"/>
      <c r="E17" s="13" t="n"/>
      <c r="F17" s="13" t="n"/>
      <c r="G17" s="32" t="n"/>
      <c r="H17" s="32" t="n"/>
      <c r="I17" s="14">
        <f>IF(G17="","",H17-G17+1)</f>
        <v/>
      </c>
      <c r="J17" s="13" t="n"/>
      <c r="K17" s="13" t="n"/>
      <c r="L17" s="13" t="n"/>
    </row>
    <row r="18" ht="22" customHeight="1">
      <c r="B18" s="17">
        <f>IF(C18="","CSS-"&amp;TEXT(COUNTA($C$5:C18),"000"))</f>
        <v/>
      </c>
      <c r="C18" s="15" t="n"/>
      <c r="D18" s="15" t="n"/>
      <c r="E18" s="15" t="n"/>
      <c r="F18" s="15" t="n"/>
      <c r="G18" s="33" t="n"/>
      <c r="H18" s="33" t="n"/>
      <c r="I18" s="16">
        <f>IF(G18="","",H18-G18+1)</f>
        <v/>
      </c>
      <c r="J18" s="15" t="n"/>
      <c r="K18" s="15" t="n"/>
      <c r="L18" s="15" t="n"/>
    </row>
    <row r="19" ht="22" customHeight="1">
      <c r="B19" s="18">
        <f>IF(C19="","CSS-"&amp;TEXT(COUNTA($C$5:C19),"000"))</f>
        <v/>
      </c>
      <c r="C19" s="13" t="n"/>
      <c r="D19" s="13" t="n"/>
      <c r="E19" s="13" t="n"/>
      <c r="F19" s="13" t="n"/>
      <c r="G19" s="32" t="n"/>
      <c r="H19" s="32" t="n"/>
      <c r="I19" s="14">
        <f>IF(G19="","",H19-G19+1)</f>
        <v/>
      </c>
      <c r="J19" s="13" t="n"/>
      <c r="K19" s="13" t="n"/>
      <c r="L19" s="13" t="n"/>
    </row>
    <row r="20" ht="22" customHeight="1">
      <c r="B20" s="17">
        <f>IF(C20="","CSS-"&amp;TEXT(COUNTA($C$5:C20),"000"))</f>
        <v/>
      </c>
      <c r="C20" s="15" t="n"/>
      <c r="D20" s="15" t="n"/>
      <c r="E20" s="15" t="n"/>
      <c r="F20" s="15" t="n"/>
      <c r="G20" s="33" t="n"/>
      <c r="H20" s="33" t="n"/>
      <c r="I20" s="16">
        <f>IF(G20="","",H20-G20+1)</f>
        <v/>
      </c>
      <c r="J20" s="15" t="n"/>
      <c r="K20" s="15" t="n"/>
      <c r="L20" s="15" t="n"/>
    </row>
    <row r="21" ht="22" customHeight="1">
      <c r="B21" s="18">
        <f>IF(C21="","CSS-"&amp;TEXT(COUNTA($C$5:C21),"000"))</f>
        <v/>
      </c>
      <c r="C21" s="13" t="n"/>
      <c r="D21" s="13" t="n"/>
      <c r="E21" s="13" t="n"/>
      <c r="F21" s="13" t="n"/>
      <c r="G21" s="32" t="n"/>
      <c r="H21" s="32" t="n"/>
      <c r="I21" s="14">
        <f>IF(G21="","",H21-G21+1)</f>
        <v/>
      </c>
      <c r="J21" s="13" t="n"/>
      <c r="K21" s="13" t="n"/>
      <c r="L21" s="13" t="n"/>
    </row>
    <row r="22" ht="22" customHeight="1">
      <c r="B22" s="17">
        <f>IF(C22="","CSS-"&amp;TEXT(COUNTA($C$5:C22),"000"))</f>
        <v/>
      </c>
      <c r="C22" s="15" t="n"/>
      <c r="D22" s="15" t="n"/>
      <c r="E22" s="15" t="n"/>
      <c r="F22" s="15" t="n"/>
      <c r="G22" s="33" t="n"/>
      <c r="H22" s="33" t="n"/>
      <c r="I22" s="16">
        <f>IF(G22="","",H22-G22+1)</f>
        <v/>
      </c>
      <c r="J22" s="15" t="n"/>
      <c r="K22" s="15" t="n"/>
      <c r="L22" s="15" t="n"/>
    </row>
    <row r="23" ht="22" customHeight="1">
      <c r="B23" s="18">
        <f>IF(C23="","CSS-"&amp;TEXT(COUNTA($C$5:C23),"000"))</f>
        <v/>
      </c>
      <c r="C23" s="13" t="n"/>
      <c r="D23" s="13" t="n"/>
      <c r="E23" s="13" t="n"/>
      <c r="F23" s="13" t="n"/>
      <c r="G23" s="32" t="n"/>
      <c r="H23" s="32" t="n"/>
      <c r="I23" s="14">
        <f>IF(G23="","",H23-G23+1)</f>
        <v/>
      </c>
      <c r="J23" s="13" t="n"/>
      <c r="K23" s="13" t="n"/>
      <c r="L23" s="13" t="n"/>
    </row>
    <row r="24" ht="22" customHeight="1">
      <c r="B24" s="17">
        <f>IF(C24="","CSS-"&amp;TEXT(COUNTA($C$5:C24),"000"))</f>
        <v/>
      </c>
      <c r="C24" s="15" t="n"/>
      <c r="D24" s="15" t="n"/>
      <c r="E24" s="15" t="n"/>
      <c r="F24" s="15" t="n"/>
      <c r="G24" s="33" t="n"/>
      <c r="H24" s="33" t="n"/>
      <c r="I24" s="16">
        <f>IF(G24="","",H24-G24+1)</f>
        <v/>
      </c>
      <c r="J24" s="15" t="n"/>
      <c r="K24" s="15" t="n"/>
      <c r="L24" s="15" t="n"/>
    </row>
    <row r="25" ht="22" customHeight="1">
      <c r="B25" s="18">
        <f>IF(C25="","CSS-"&amp;TEXT(COUNTA($C$5:C25),"000"))</f>
        <v/>
      </c>
      <c r="C25" s="13" t="n"/>
      <c r="D25" s="13" t="n"/>
      <c r="E25" s="13" t="n"/>
      <c r="F25" s="13" t="n"/>
      <c r="G25" s="32" t="n"/>
      <c r="H25" s="32" t="n"/>
      <c r="I25" s="14">
        <f>IF(G25="","",H25-G25+1)</f>
        <v/>
      </c>
      <c r="J25" s="13" t="n"/>
      <c r="K25" s="13" t="n"/>
      <c r="L25" s="13" t="n"/>
    </row>
    <row r="26" ht="22" customHeight="1">
      <c r="B26" s="17">
        <f>IF(C26="","CSS-"&amp;TEXT(COUNTA($C$5:C26),"000"))</f>
        <v/>
      </c>
      <c r="C26" s="15" t="n"/>
      <c r="D26" s="15" t="n"/>
      <c r="E26" s="15" t="n"/>
      <c r="F26" s="15" t="n"/>
      <c r="G26" s="33" t="n"/>
      <c r="H26" s="33" t="n"/>
      <c r="I26" s="16">
        <f>IF(G26="","",H26-G26+1)</f>
        <v/>
      </c>
      <c r="J26" s="15" t="n"/>
      <c r="K26" s="15" t="n"/>
      <c r="L26" s="15" t="n"/>
    </row>
    <row r="27" ht="22" customHeight="1">
      <c r="B27" s="18">
        <f>IF(C27="","CSS-"&amp;TEXT(COUNTA($C$5:C27),"000"))</f>
        <v/>
      </c>
      <c r="C27" s="13" t="n"/>
      <c r="D27" s="13" t="n"/>
      <c r="E27" s="13" t="n"/>
      <c r="F27" s="13" t="n"/>
      <c r="G27" s="32" t="n"/>
      <c r="H27" s="32" t="n"/>
      <c r="I27" s="14">
        <f>IF(G27="","",H27-G27+1)</f>
        <v/>
      </c>
      <c r="J27" s="13" t="n"/>
      <c r="K27" s="13" t="n"/>
      <c r="L27" s="13" t="n"/>
    </row>
    <row r="28" ht="22" customHeight="1">
      <c r="B28" s="17">
        <f>IF(C28="","CSS-"&amp;TEXT(COUNTA($C$5:C28),"000"))</f>
        <v/>
      </c>
      <c r="C28" s="15" t="n"/>
      <c r="D28" s="15" t="n"/>
      <c r="E28" s="15" t="n"/>
      <c r="F28" s="15" t="n"/>
      <c r="G28" s="33" t="n"/>
      <c r="H28" s="33" t="n"/>
      <c r="I28" s="16">
        <f>IF(G28="","",H28-G28+1)</f>
        <v/>
      </c>
      <c r="J28" s="15" t="n"/>
      <c r="K28" s="15" t="n"/>
      <c r="L28" s="15" t="n"/>
    </row>
    <row r="29" ht="22" customHeight="1">
      <c r="B29" s="18">
        <f>IF(C29="","CSS-"&amp;TEXT(COUNTA($C$5:C29),"000"))</f>
        <v/>
      </c>
      <c r="C29" s="13" t="n"/>
      <c r="D29" s="13" t="n"/>
      <c r="E29" s="13" t="n"/>
      <c r="F29" s="13" t="n"/>
      <c r="G29" s="32" t="n"/>
      <c r="H29" s="32" t="n"/>
      <c r="I29" s="14">
        <f>IF(G29="","",H29-G29+1)</f>
        <v/>
      </c>
      <c r="J29" s="13" t="n"/>
      <c r="K29" s="13" t="n"/>
      <c r="L29" s="13" t="n"/>
    </row>
    <row r="30" ht="22" customHeight="1">
      <c r="B30" s="17">
        <f>IF(C30="","CSS-"&amp;TEXT(COUNTA($C$5:C30),"000"))</f>
        <v/>
      </c>
      <c r="C30" s="15" t="n"/>
      <c r="D30" s="15" t="n"/>
      <c r="E30" s="15" t="n"/>
      <c r="F30" s="15" t="n"/>
      <c r="G30" s="33" t="n"/>
      <c r="H30" s="33" t="n"/>
      <c r="I30" s="16">
        <f>IF(G30="","",H30-G30+1)</f>
        <v/>
      </c>
      <c r="J30" s="15" t="n"/>
      <c r="K30" s="15" t="n"/>
      <c r="L30" s="15" t="n"/>
    </row>
    <row r="31" ht="22" customHeight="1">
      <c r="B31" s="18">
        <f>IF(C31="","CSS-"&amp;TEXT(COUNTA($C$5:C31),"000"))</f>
        <v/>
      </c>
      <c r="C31" s="13" t="n"/>
      <c r="D31" s="13" t="n"/>
      <c r="E31" s="13" t="n"/>
      <c r="F31" s="13" t="n"/>
      <c r="G31" s="32" t="n"/>
      <c r="H31" s="32" t="n"/>
      <c r="I31" s="14">
        <f>IF(G31="","",H31-G31+1)</f>
        <v/>
      </c>
      <c r="J31" s="13" t="n"/>
      <c r="K31" s="13" t="n"/>
      <c r="L31" s="13" t="n"/>
    </row>
    <row r="32" ht="22" customHeight="1">
      <c r="B32" s="17">
        <f>IF(C32="","CSS-"&amp;TEXT(COUNTA($C$5:C32),"000"))</f>
        <v/>
      </c>
      <c r="C32" s="15" t="n"/>
      <c r="D32" s="15" t="n"/>
      <c r="E32" s="15" t="n"/>
      <c r="F32" s="15" t="n"/>
      <c r="G32" s="33" t="n"/>
      <c r="H32" s="33" t="n"/>
      <c r="I32" s="16">
        <f>IF(G32="","",H32-G32+1)</f>
        <v/>
      </c>
      <c r="J32" s="15" t="n"/>
      <c r="K32" s="15" t="n"/>
      <c r="L32" s="15" t="n"/>
    </row>
    <row r="33" ht="22" customHeight="1">
      <c r="B33" s="18">
        <f>IF(C33="","CSS-"&amp;TEXT(COUNTA($C$5:C33),"000"))</f>
        <v/>
      </c>
      <c r="C33" s="13" t="n"/>
      <c r="D33" s="13" t="n"/>
      <c r="E33" s="13" t="n"/>
      <c r="F33" s="13" t="n"/>
      <c r="G33" s="32" t="n"/>
      <c r="H33" s="32" t="n"/>
      <c r="I33" s="14">
        <f>IF(G33="","",H33-G33+1)</f>
        <v/>
      </c>
      <c r="J33" s="13" t="n"/>
      <c r="K33" s="13" t="n"/>
      <c r="L33" s="13" t="n"/>
    </row>
    <row r="34" ht="22" customHeight="1">
      <c r="B34" s="17">
        <f>IF(C34="","CSS-"&amp;TEXT(COUNTA($C$5:C34),"000"))</f>
        <v/>
      </c>
      <c r="C34" s="15" t="n"/>
      <c r="D34" s="15" t="n"/>
      <c r="E34" s="15" t="n"/>
      <c r="F34" s="15" t="n"/>
      <c r="G34" s="33" t="n"/>
      <c r="H34" s="33" t="n"/>
      <c r="I34" s="16">
        <f>IF(G34="","",H34-G34+1)</f>
        <v/>
      </c>
      <c r="J34" s="15" t="n"/>
      <c r="K34" s="15" t="n"/>
      <c r="L34" s="15" t="n"/>
    </row>
    <row r="35" ht="22" customHeight="1">
      <c r="B35" s="18">
        <f>IF(C35="","CSS-"&amp;TEXT(COUNTA($C$5:C35),"000"))</f>
        <v/>
      </c>
      <c r="C35" s="13" t="n"/>
      <c r="D35" s="13" t="n"/>
      <c r="E35" s="13" t="n"/>
      <c r="F35" s="13" t="n"/>
      <c r="G35" s="32" t="n"/>
      <c r="H35" s="32" t="n"/>
      <c r="I35" s="14">
        <f>IF(G35="","",H35-G35+1)</f>
        <v/>
      </c>
      <c r="J35" s="13" t="n"/>
      <c r="K35" s="13" t="n"/>
      <c r="L35" s="13" t="n"/>
    </row>
    <row r="36" ht="22" customHeight="1">
      <c r="B36" s="17">
        <f>IF(C36="","CSS-"&amp;TEXT(COUNTA($C$5:C36),"000"))</f>
        <v/>
      </c>
      <c r="C36" s="15" t="n"/>
      <c r="D36" s="15" t="n"/>
      <c r="E36" s="15" t="n"/>
      <c r="F36" s="15" t="n"/>
      <c r="G36" s="33" t="n"/>
      <c r="H36" s="33" t="n"/>
      <c r="I36" s="16">
        <f>IF(G36="","",H36-G36+1)</f>
        <v/>
      </c>
      <c r="J36" s="15" t="n"/>
      <c r="K36" s="15" t="n"/>
      <c r="L36" s="15" t="n"/>
    </row>
    <row r="37" ht="22" customHeight="1">
      <c r="B37" s="18">
        <f>IF(C37="","CSS-"&amp;TEXT(COUNTA($C$5:C37),"000"))</f>
        <v/>
      </c>
      <c r="C37" s="13" t="n"/>
      <c r="D37" s="13" t="n"/>
      <c r="E37" s="13" t="n"/>
      <c r="F37" s="13" t="n"/>
      <c r="G37" s="32" t="n"/>
      <c r="H37" s="32" t="n"/>
      <c r="I37" s="14">
        <f>IF(G37="","",H37-G37+1)</f>
        <v/>
      </c>
      <c r="J37" s="13" t="n"/>
      <c r="K37" s="13" t="n"/>
      <c r="L37" s="13" t="n"/>
    </row>
    <row r="38" ht="22" customHeight="1">
      <c r="B38" s="17">
        <f>IF(C38="","CSS-"&amp;TEXT(COUNTA($C$5:C38),"000"))</f>
        <v/>
      </c>
      <c r="C38" s="15" t="n"/>
      <c r="D38" s="15" t="n"/>
      <c r="E38" s="15" t="n"/>
      <c r="F38" s="15" t="n"/>
      <c r="G38" s="33" t="n"/>
      <c r="H38" s="33" t="n"/>
      <c r="I38" s="16">
        <f>IF(G38="","",H38-G38+1)</f>
        <v/>
      </c>
      <c r="J38" s="15" t="n"/>
      <c r="K38" s="15" t="n"/>
      <c r="L38" s="15" t="n"/>
    </row>
    <row r="39" ht="22" customHeight="1">
      <c r="B39" s="18">
        <f>IF(C39="","CSS-"&amp;TEXT(COUNTA($C$5:C39),"000"))</f>
        <v/>
      </c>
      <c r="C39" s="13" t="n"/>
      <c r="D39" s="13" t="n"/>
      <c r="E39" s="13" t="n"/>
      <c r="F39" s="13" t="n"/>
      <c r="G39" s="32" t="n"/>
      <c r="H39" s="32" t="n"/>
      <c r="I39" s="14">
        <f>IF(G39="","",H39-G39+1)</f>
        <v/>
      </c>
      <c r="J39" s="13" t="n"/>
      <c r="K39" s="13" t="n"/>
      <c r="L39" s="13" t="n"/>
    </row>
    <row r="40" ht="22" customHeight="1">
      <c r="B40" s="17">
        <f>IF(C40="","CSS-"&amp;TEXT(COUNTA($C$5:C40),"000"))</f>
        <v/>
      </c>
      <c r="C40" s="15" t="n"/>
      <c r="D40" s="15" t="n"/>
      <c r="E40" s="15" t="n"/>
      <c r="F40" s="15" t="n"/>
      <c r="G40" s="33" t="n"/>
      <c r="H40" s="33" t="n"/>
      <c r="I40" s="16">
        <f>IF(G40="","",H40-G40+1)</f>
        <v/>
      </c>
      <c r="J40" s="15" t="n"/>
      <c r="K40" s="15" t="n"/>
      <c r="L40" s="15" t="n"/>
    </row>
    <row r="41" ht="22" customHeight="1">
      <c r="B41" s="18">
        <f>IF(C41="","CSS-"&amp;TEXT(COUNTA($C$5:C41),"000"))</f>
        <v/>
      </c>
      <c r="C41" s="13" t="n"/>
      <c r="D41" s="13" t="n"/>
      <c r="E41" s="13" t="n"/>
      <c r="F41" s="13" t="n"/>
      <c r="G41" s="32" t="n"/>
      <c r="H41" s="32" t="n"/>
      <c r="I41" s="14">
        <f>IF(G41="","",H41-G41+1)</f>
        <v/>
      </c>
      <c r="J41" s="13" t="n"/>
      <c r="K41" s="13" t="n"/>
      <c r="L41" s="13" t="n"/>
    </row>
    <row r="42" ht="22" customHeight="1">
      <c r="B42" s="17">
        <f>IF(C42="","CSS-"&amp;TEXT(COUNTA($C$5:C42),"000"))</f>
        <v/>
      </c>
      <c r="C42" s="15" t="n"/>
      <c r="D42" s="15" t="n"/>
      <c r="E42" s="15" t="n"/>
      <c r="F42" s="15" t="n"/>
      <c r="G42" s="33" t="n"/>
      <c r="H42" s="33" t="n"/>
      <c r="I42" s="16">
        <f>IF(G42="","",H42-G42+1)</f>
        <v/>
      </c>
      <c r="J42" s="15" t="n"/>
      <c r="K42" s="15" t="n"/>
      <c r="L42" s="15" t="n"/>
    </row>
    <row r="43" ht="22" customHeight="1">
      <c r="B43" s="18">
        <f>IF(C43="","CSS-"&amp;TEXT(COUNTA($C$5:C43),"000"))</f>
        <v/>
      </c>
      <c r="C43" s="13" t="n"/>
      <c r="D43" s="13" t="n"/>
      <c r="E43" s="13" t="n"/>
      <c r="F43" s="13" t="n"/>
      <c r="G43" s="32" t="n"/>
      <c r="H43" s="32" t="n"/>
      <c r="I43" s="14">
        <f>IF(G43="","",H43-G43+1)</f>
        <v/>
      </c>
      <c r="J43" s="13" t="n"/>
      <c r="K43" s="13" t="n"/>
      <c r="L43" s="13" t="n"/>
    </row>
    <row r="44" ht="22" customHeight="1">
      <c r="B44" s="17">
        <f>IF(C44="","CSS-"&amp;TEXT(COUNTA($C$5:C44),"000"))</f>
        <v/>
      </c>
      <c r="C44" s="15" t="n"/>
      <c r="D44" s="15" t="n"/>
      <c r="E44" s="15" t="n"/>
      <c r="F44" s="15" t="n"/>
      <c r="G44" s="33" t="n"/>
      <c r="H44" s="33" t="n"/>
      <c r="I44" s="16">
        <f>IF(G44="","",H44-G44+1)</f>
        <v/>
      </c>
      <c r="J44" s="15" t="n"/>
      <c r="K44" s="15" t="n"/>
      <c r="L44" s="15" t="n"/>
    </row>
    <row r="45" ht="22" customHeight="1">
      <c r="B45" s="18">
        <f>IF(C45="","CSS-"&amp;TEXT(COUNTA($C$5:C45),"000"))</f>
        <v/>
      </c>
      <c r="C45" s="13" t="n"/>
      <c r="D45" s="13" t="n"/>
      <c r="E45" s="13" t="n"/>
      <c r="F45" s="13" t="n"/>
      <c r="G45" s="32" t="n"/>
      <c r="H45" s="32" t="n"/>
      <c r="I45" s="14">
        <f>IF(G45="","",H45-G45+1)</f>
        <v/>
      </c>
      <c r="J45" s="13" t="n"/>
      <c r="K45" s="13" t="n"/>
      <c r="L45" s="13" t="n"/>
    </row>
    <row r="46" ht="22" customHeight="1">
      <c r="B46" s="17">
        <f>IF(C46="","CSS-"&amp;TEXT(COUNTA($C$5:C46),"000"))</f>
        <v/>
      </c>
      <c r="C46" s="15" t="n"/>
      <c r="D46" s="15" t="n"/>
      <c r="E46" s="15" t="n"/>
      <c r="F46" s="15" t="n"/>
      <c r="G46" s="33" t="n"/>
      <c r="H46" s="33" t="n"/>
      <c r="I46" s="16">
        <f>IF(G46="","",H46-G46+1)</f>
        <v/>
      </c>
      <c r="J46" s="15" t="n"/>
      <c r="K46" s="15" t="n"/>
      <c r="L46" s="15" t="n"/>
    </row>
    <row r="47" ht="22" customHeight="1">
      <c r="B47" s="18">
        <f>IF(C47="","CSS-"&amp;TEXT(COUNTA($C$5:C47),"000"))</f>
        <v/>
      </c>
      <c r="C47" s="13" t="n"/>
      <c r="D47" s="13" t="n"/>
      <c r="E47" s="13" t="n"/>
      <c r="F47" s="13" t="n"/>
      <c r="G47" s="32" t="n"/>
      <c r="H47" s="32" t="n"/>
      <c r="I47" s="14">
        <f>IF(G47="","",H47-G47+1)</f>
        <v/>
      </c>
      <c r="J47" s="13" t="n"/>
      <c r="K47" s="13" t="n"/>
      <c r="L47" s="13" t="n"/>
    </row>
    <row r="48" ht="22" customHeight="1">
      <c r="B48" s="17">
        <f>IF(C48="","CSS-"&amp;TEXT(COUNTA($C$5:C48),"000"))</f>
        <v/>
      </c>
      <c r="C48" s="15" t="n"/>
      <c r="D48" s="15" t="n"/>
      <c r="E48" s="15" t="n"/>
      <c r="F48" s="15" t="n"/>
      <c r="G48" s="33" t="n"/>
      <c r="H48" s="33" t="n"/>
      <c r="I48" s="16">
        <f>IF(G48="","",H48-G48+1)</f>
        <v/>
      </c>
      <c r="J48" s="15" t="n"/>
      <c r="K48" s="15" t="n"/>
      <c r="L48" s="15" t="n"/>
    </row>
    <row r="49" ht="22" customHeight="1">
      <c r="B49" s="18">
        <f>IF(C49="","CSS-"&amp;TEXT(COUNTA($C$5:C49),"000"))</f>
        <v/>
      </c>
      <c r="C49" s="13" t="n"/>
      <c r="D49" s="13" t="n"/>
      <c r="E49" s="13" t="n"/>
      <c r="F49" s="13" t="n"/>
      <c r="G49" s="32" t="n"/>
      <c r="H49" s="32" t="n"/>
      <c r="I49" s="14">
        <f>IF(G49="","",H49-G49+1)</f>
        <v/>
      </c>
      <c r="J49" s="13" t="n"/>
      <c r="K49" s="13" t="n"/>
      <c r="L49" s="13" t="n"/>
    </row>
    <row r="50" ht="22" customHeight="1">
      <c r="B50" s="17">
        <f>IF(C50="","CSS-"&amp;TEXT(COUNTA($C$5:C50),"000"))</f>
        <v/>
      </c>
      <c r="C50" s="15" t="n"/>
      <c r="D50" s="15" t="n"/>
      <c r="E50" s="15" t="n"/>
      <c r="F50" s="15" t="n"/>
      <c r="G50" s="33" t="n"/>
      <c r="H50" s="33" t="n"/>
      <c r="I50" s="16">
        <f>IF(G50="","",H50-G50+1)</f>
        <v/>
      </c>
      <c r="J50" s="15" t="n"/>
      <c r="K50" s="15" t="n"/>
      <c r="L50" s="15" t="n"/>
    </row>
    <row r="51" ht="22" customHeight="1">
      <c r="B51" s="18">
        <f>IF(C51="","CSS-"&amp;TEXT(COUNTA($C$5:C51),"000"))</f>
        <v/>
      </c>
      <c r="C51" s="13" t="n"/>
      <c r="D51" s="13" t="n"/>
      <c r="E51" s="13" t="n"/>
      <c r="F51" s="13" t="n"/>
      <c r="G51" s="32" t="n"/>
      <c r="H51" s="32" t="n"/>
      <c r="I51" s="14">
        <f>IF(G51="","",H51-G51+1)</f>
        <v/>
      </c>
      <c r="J51" s="13" t="n"/>
      <c r="K51" s="13" t="n"/>
      <c r="L51" s="13" t="n"/>
    </row>
    <row r="52" ht="22" customHeight="1">
      <c r="B52" s="17">
        <f>IF(C52="","CSS-"&amp;TEXT(COUNTA($C$5:C52),"000"))</f>
        <v/>
      </c>
      <c r="C52" s="15" t="n"/>
      <c r="D52" s="15" t="n"/>
      <c r="E52" s="15" t="n"/>
      <c r="F52" s="15" t="n"/>
      <c r="G52" s="33" t="n"/>
      <c r="H52" s="33" t="n"/>
      <c r="I52" s="16">
        <f>IF(G52="","",H52-G52+1)</f>
        <v/>
      </c>
      <c r="J52" s="15" t="n"/>
      <c r="K52" s="15" t="n"/>
      <c r="L52" s="15" t="n"/>
    </row>
    <row r="53" ht="22" customHeight="1">
      <c r="B53" s="18">
        <f>IF(C53="","CSS-"&amp;TEXT(COUNTA($C$5:C53),"000"))</f>
        <v/>
      </c>
      <c r="C53" s="13" t="n"/>
      <c r="D53" s="13" t="n"/>
      <c r="E53" s="13" t="n"/>
      <c r="F53" s="13" t="n"/>
      <c r="G53" s="32" t="n"/>
      <c r="H53" s="32" t="n"/>
      <c r="I53" s="14">
        <f>IF(G53="","",H53-G53+1)</f>
        <v/>
      </c>
      <c r="J53" s="13" t="n"/>
      <c r="K53" s="13" t="n"/>
      <c r="L53" s="13" t="n"/>
    </row>
    <row r="54" ht="22" customHeight="1">
      <c r="B54" s="17">
        <f>IF(C54="","CSS-"&amp;TEXT(COUNTA($C$5:C54),"000"))</f>
        <v/>
      </c>
      <c r="C54" s="15" t="n"/>
      <c r="D54" s="15" t="n"/>
      <c r="E54" s="15" t="n"/>
      <c r="F54" s="15" t="n"/>
      <c r="G54" s="33" t="n"/>
      <c r="H54" s="33" t="n"/>
      <c r="I54" s="16">
        <f>IF(G54="","",H54-G54+1)</f>
        <v/>
      </c>
      <c r="J54" s="15" t="n"/>
      <c r="K54" s="15" t="n"/>
      <c r="L54" s="15" t="n"/>
    </row>
    <row r="55" ht="22" customHeight="1">
      <c r="B55" s="18">
        <f>IF(C55="","CSS-"&amp;TEXT(COUNTA($C$5:C55),"000"))</f>
        <v/>
      </c>
      <c r="C55" s="13" t="n"/>
      <c r="D55" s="13" t="n"/>
      <c r="E55" s="13" t="n"/>
      <c r="F55" s="13" t="n"/>
      <c r="G55" s="32" t="n"/>
      <c r="H55" s="32" t="n"/>
      <c r="I55" s="14">
        <f>IF(G55="","",H55-G55+1)</f>
        <v/>
      </c>
      <c r="J55" s="13" t="n"/>
      <c r="K55" s="13" t="n"/>
      <c r="L55" s="13" t="n"/>
    </row>
    <row r="56" ht="22" customHeight="1">
      <c r="B56" s="17">
        <f>IF(C56="","CSS-"&amp;TEXT(COUNTA($C$5:C56),"000"))</f>
        <v/>
      </c>
      <c r="C56" s="15" t="n"/>
      <c r="D56" s="15" t="n"/>
      <c r="E56" s="15" t="n"/>
      <c r="F56" s="15" t="n"/>
      <c r="G56" s="33" t="n"/>
      <c r="H56" s="33" t="n"/>
      <c r="I56" s="16">
        <f>IF(G56="","",H56-G56+1)</f>
        <v/>
      </c>
      <c r="J56" s="15" t="n"/>
      <c r="K56" s="15" t="n"/>
      <c r="L56" s="15" t="n"/>
    </row>
    <row r="57" ht="22" customHeight="1">
      <c r="B57" s="18">
        <f>IF(C57="","CSS-"&amp;TEXT(COUNTA($C$5:C57),"000"))</f>
        <v/>
      </c>
      <c r="C57" s="13" t="n"/>
      <c r="D57" s="13" t="n"/>
      <c r="E57" s="13" t="n"/>
      <c r="F57" s="13" t="n"/>
      <c r="G57" s="32" t="n"/>
      <c r="H57" s="32" t="n"/>
      <c r="I57" s="14">
        <f>IF(G57="","",H57-G57+1)</f>
        <v/>
      </c>
      <c r="J57" s="13" t="n"/>
      <c r="K57" s="13" t="n"/>
      <c r="L57" s="13" t="n"/>
    </row>
    <row r="58" ht="22" customHeight="1">
      <c r="B58" s="17">
        <f>IF(C58="","CSS-"&amp;TEXT(COUNTA($C$5:C58),"000"))</f>
        <v/>
      </c>
      <c r="C58" s="15" t="n"/>
      <c r="D58" s="15" t="n"/>
      <c r="E58" s="15" t="n"/>
      <c r="F58" s="15" t="n"/>
      <c r="G58" s="33" t="n"/>
      <c r="H58" s="33" t="n"/>
      <c r="I58" s="16">
        <f>IF(G58="","",H58-G58+1)</f>
        <v/>
      </c>
      <c r="J58" s="15" t="n"/>
      <c r="K58" s="15" t="n"/>
      <c r="L58" s="15" t="n"/>
    </row>
    <row r="59" ht="22" customHeight="1">
      <c r="B59" s="18">
        <f>IF(C59="","CSS-"&amp;TEXT(COUNTA($C$5:C59),"000"))</f>
        <v/>
      </c>
      <c r="C59" s="13" t="n"/>
      <c r="D59" s="13" t="n"/>
      <c r="E59" s="13" t="n"/>
      <c r="F59" s="13" t="n"/>
      <c r="G59" s="32" t="n"/>
      <c r="H59" s="32" t="n"/>
      <c r="I59" s="14">
        <f>IF(G59="","",H59-G59+1)</f>
        <v/>
      </c>
      <c r="J59" s="13" t="n"/>
      <c r="K59" s="13" t="n"/>
      <c r="L59" s="13" t="n"/>
    </row>
    <row r="60" ht="22" customHeight="1">
      <c r="B60" s="17">
        <f>IF(C60="","CSS-"&amp;TEXT(COUNTA($C$5:C60),"000"))</f>
        <v/>
      </c>
      <c r="C60" s="15" t="n"/>
      <c r="D60" s="15" t="n"/>
      <c r="E60" s="15" t="n"/>
      <c r="F60" s="15" t="n"/>
      <c r="G60" s="33" t="n"/>
      <c r="H60" s="33" t="n"/>
      <c r="I60" s="16">
        <f>IF(G60="","",H60-G60+1)</f>
        <v/>
      </c>
      <c r="J60" s="15" t="n"/>
      <c r="K60" s="15" t="n"/>
      <c r="L60" s="15" t="n"/>
    </row>
    <row r="61" ht="22" customHeight="1">
      <c r="B61" s="18">
        <f>IF(C61="","CSS-"&amp;TEXT(COUNTA($C$5:C61),"000"))</f>
        <v/>
      </c>
      <c r="C61" s="13" t="n"/>
      <c r="D61" s="13" t="n"/>
      <c r="E61" s="13" t="n"/>
      <c r="F61" s="13" t="n"/>
      <c r="G61" s="32" t="n"/>
      <c r="H61" s="32" t="n"/>
      <c r="I61" s="14">
        <f>IF(G61="","",H61-G61+1)</f>
        <v/>
      </c>
      <c r="J61" s="13" t="n"/>
      <c r="K61" s="13" t="n"/>
      <c r="L61" s="13" t="n"/>
    </row>
    <row r="62" ht="22" customHeight="1">
      <c r="B62" s="17">
        <f>IF(C62="","CSS-"&amp;TEXT(COUNTA($C$5:C62),"000"))</f>
        <v/>
      </c>
      <c r="C62" s="15" t="n"/>
      <c r="D62" s="15" t="n"/>
      <c r="E62" s="15" t="n"/>
      <c r="F62" s="15" t="n"/>
      <c r="G62" s="33" t="n"/>
      <c r="H62" s="33" t="n"/>
      <c r="I62" s="16">
        <f>IF(G62="","",H62-G62+1)</f>
        <v/>
      </c>
      <c r="J62" s="15" t="n"/>
      <c r="K62" s="15" t="n"/>
      <c r="L62" s="15" t="n"/>
    </row>
    <row r="63" ht="22" customHeight="1">
      <c r="B63" s="18">
        <f>IF(C63="","CSS-"&amp;TEXT(COUNTA($C$5:C63),"000"))</f>
        <v/>
      </c>
      <c r="C63" s="13" t="n"/>
      <c r="D63" s="13" t="n"/>
      <c r="E63" s="13" t="n"/>
      <c r="F63" s="13" t="n"/>
      <c r="G63" s="32" t="n"/>
      <c r="H63" s="32" t="n"/>
      <c r="I63" s="14">
        <f>IF(G63="","",H63-G63+1)</f>
        <v/>
      </c>
      <c r="J63" s="13" t="n"/>
      <c r="K63" s="13" t="n"/>
      <c r="L63" s="13" t="n"/>
    </row>
    <row r="64" ht="22" customHeight="1">
      <c r="B64" s="17">
        <f>IF(C64="","CSS-"&amp;TEXT(COUNTA($C$5:C64),"000"))</f>
        <v/>
      </c>
      <c r="C64" s="15" t="n"/>
      <c r="D64" s="15" t="n"/>
      <c r="E64" s="15" t="n"/>
      <c r="F64" s="15" t="n"/>
      <c r="G64" s="33" t="n"/>
      <c r="H64" s="33" t="n"/>
      <c r="I64" s="16">
        <f>IF(G64="","",H64-G64+1)</f>
        <v/>
      </c>
      <c r="J64" s="15" t="n"/>
      <c r="K64" s="15" t="n"/>
      <c r="L64" s="15" t="n"/>
    </row>
    <row r="65" ht="22" customHeight="1">
      <c r="B65" s="18">
        <f>IF(C65="","CSS-"&amp;TEXT(COUNTA($C$5:C65),"000"))</f>
        <v/>
      </c>
      <c r="C65" s="13" t="n"/>
      <c r="D65" s="13" t="n"/>
      <c r="E65" s="13" t="n"/>
      <c r="F65" s="13" t="n"/>
      <c r="G65" s="32" t="n"/>
      <c r="H65" s="32" t="n"/>
      <c r="I65" s="14">
        <f>IF(G65="","",H65-G65+1)</f>
        <v/>
      </c>
      <c r="J65" s="13" t="n"/>
      <c r="K65" s="13" t="n"/>
      <c r="L65" s="13" t="n"/>
    </row>
    <row r="66" ht="22" customHeight="1">
      <c r="B66" s="17">
        <f>IF(C66="","CSS-"&amp;TEXT(COUNTA($C$5:C66),"000"))</f>
        <v/>
      </c>
      <c r="C66" s="15" t="n"/>
      <c r="D66" s="15" t="n"/>
      <c r="E66" s="15" t="n"/>
      <c r="F66" s="15" t="n"/>
      <c r="G66" s="33" t="n"/>
      <c r="H66" s="33" t="n"/>
      <c r="I66" s="16">
        <f>IF(G66="","",H66-G66+1)</f>
        <v/>
      </c>
      <c r="J66" s="15" t="n"/>
      <c r="K66" s="15" t="n"/>
      <c r="L66" s="15" t="n"/>
    </row>
    <row r="67" ht="22" customHeight="1">
      <c r="B67" s="18">
        <f>IF(C67="","CSS-"&amp;TEXT(COUNTA($C$5:C67),"000"))</f>
        <v/>
      </c>
      <c r="C67" s="13" t="n"/>
      <c r="D67" s="13" t="n"/>
      <c r="E67" s="13" t="n"/>
      <c r="F67" s="13" t="n"/>
      <c r="G67" s="32" t="n"/>
      <c r="H67" s="32" t="n"/>
      <c r="I67" s="14">
        <f>IF(G67="","",H67-G67+1)</f>
        <v/>
      </c>
      <c r="J67" s="13" t="n"/>
      <c r="K67" s="13" t="n"/>
      <c r="L67" s="13" t="n"/>
    </row>
    <row r="68" ht="22" customHeight="1">
      <c r="B68" s="17">
        <f>IF(C68="","CSS-"&amp;TEXT(COUNTA($C$5:C68),"000"))</f>
        <v/>
      </c>
      <c r="C68" s="15" t="n"/>
      <c r="D68" s="15" t="n"/>
      <c r="E68" s="15" t="n"/>
      <c r="F68" s="15" t="n"/>
      <c r="G68" s="33" t="n"/>
      <c r="H68" s="33" t="n"/>
      <c r="I68" s="16">
        <f>IF(G68="","",H68-G68+1)</f>
        <v/>
      </c>
      <c r="J68" s="15" t="n"/>
      <c r="K68" s="15" t="n"/>
      <c r="L68" s="15" t="n"/>
    </row>
    <row r="69" ht="22" customHeight="1">
      <c r="B69" s="18">
        <f>IF(C69="","CSS-"&amp;TEXT(COUNTA($C$5:C69),"000"))</f>
        <v/>
      </c>
      <c r="C69" s="13" t="n"/>
      <c r="D69" s="13" t="n"/>
      <c r="E69" s="13" t="n"/>
      <c r="F69" s="13" t="n"/>
      <c r="G69" s="32" t="n"/>
      <c r="H69" s="32" t="n"/>
      <c r="I69" s="14">
        <f>IF(G69="","",H69-G69+1)</f>
        <v/>
      </c>
      <c r="J69" s="13" t="n"/>
      <c r="K69" s="13" t="n"/>
      <c r="L69" s="13" t="n"/>
    </row>
    <row r="70" ht="22" customHeight="1">
      <c r="B70" s="17">
        <f>IF(C70="","CSS-"&amp;TEXT(COUNTA($C$5:C70),"000"))</f>
        <v/>
      </c>
      <c r="C70" s="15" t="n"/>
      <c r="D70" s="15" t="n"/>
      <c r="E70" s="15" t="n"/>
      <c r="F70" s="15" t="n"/>
      <c r="G70" s="33" t="n"/>
      <c r="H70" s="33" t="n"/>
      <c r="I70" s="16">
        <f>IF(G70="","",H70-G70+1)</f>
        <v/>
      </c>
      <c r="J70" s="15" t="n"/>
      <c r="K70" s="15" t="n"/>
      <c r="L70" s="15" t="n"/>
    </row>
    <row r="71" ht="22" customHeight="1">
      <c r="B71" s="18">
        <f>IF(C71="","CSS-"&amp;TEXT(COUNTA($C$5:C71),"000"))</f>
        <v/>
      </c>
      <c r="C71" s="13" t="n"/>
      <c r="D71" s="13" t="n"/>
      <c r="E71" s="13" t="n"/>
      <c r="F71" s="13" t="n"/>
      <c r="G71" s="32" t="n"/>
      <c r="H71" s="32" t="n"/>
      <c r="I71" s="14">
        <f>IF(G71="","",H71-G71+1)</f>
        <v/>
      </c>
      <c r="J71" s="13" t="n"/>
      <c r="K71" s="13" t="n"/>
      <c r="L71" s="13" t="n"/>
    </row>
    <row r="72" ht="22" customHeight="1">
      <c r="B72" s="17">
        <f>IF(C72="","CSS-"&amp;TEXT(COUNTA($C$5:C72),"000"))</f>
        <v/>
      </c>
      <c r="C72" s="15" t="n"/>
      <c r="D72" s="15" t="n"/>
      <c r="E72" s="15" t="n"/>
      <c r="F72" s="15" t="n"/>
      <c r="G72" s="33" t="n"/>
      <c r="H72" s="33" t="n"/>
      <c r="I72" s="16">
        <f>IF(G72="","",H72-G72+1)</f>
        <v/>
      </c>
      <c r="J72" s="15" t="n"/>
      <c r="K72" s="15" t="n"/>
      <c r="L72" s="15" t="n"/>
    </row>
    <row r="73" ht="22" customHeight="1">
      <c r="B73" s="18">
        <f>IF(C73="","CSS-"&amp;TEXT(COUNTA($C$5:C73),"000"))</f>
        <v/>
      </c>
      <c r="C73" s="13" t="n"/>
      <c r="D73" s="13" t="n"/>
      <c r="E73" s="13" t="n"/>
      <c r="F73" s="13" t="n"/>
      <c r="G73" s="32" t="n"/>
      <c r="H73" s="32" t="n"/>
      <c r="I73" s="14">
        <f>IF(G73="","",H73-G73+1)</f>
        <v/>
      </c>
      <c r="J73" s="13" t="n"/>
      <c r="K73" s="13" t="n"/>
      <c r="L73" s="13" t="n"/>
    </row>
    <row r="74" ht="22" customHeight="1">
      <c r="B74" s="17">
        <f>IF(C74="","CSS-"&amp;TEXT(COUNTA($C$5:C74),"000"))</f>
        <v/>
      </c>
      <c r="C74" s="15" t="n"/>
      <c r="D74" s="15" t="n"/>
      <c r="E74" s="15" t="n"/>
      <c r="F74" s="15" t="n"/>
      <c r="G74" s="33" t="n"/>
      <c r="H74" s="33" t="n"/>
      <c r="I74" s="16">
        <f>IF(G74="","",H74-G74+1)</f>
        <v/>
      </c>
      <c r="J74" s="15" t="n"/>
      <c r="K74" s="15" t="n"/>
      <c r="L74" s="15" t="n"/>
    </row>
    <row r="75" ht="22" customHeight="1">
      <c r="B75" s="18">
        <f>IF(C75="","CSS-"&amp;TEXT(COUNTA($C$5:C75),"000"))</f>
        <v/>
      </c>
      <c r="C75" s="13" t="n"/>
      <c r="D75" s="13" t="n"/>
      <c r="E75" s="13" t="n"/>
      <c r="F75" s="13" t="n"/>
      <c r="G75" s="32" t="n"/>
      <c r="H75" s="32" t="n"/>
      <c r="I75" s="14">
        <f>IF(G75="","",H75-G75+1)</f>
        <v/>
      </c>
      <c r="J75" s="13" t="n"/>
      <c r="K75" s="13" t="n"/>
      <c r="L75" s="13" t="n"/>
    </row>
    <row r="76" ht="22" customHeight="1">
      <c r="B76" s="17">
        <f>IF(C76="","CSS-"&amp;TEXT(COUNTA($C$5:C76),"000"))</f>
        <v/>
      </c>
      <c r="C76" s="15" t="n"/>
      <c r="D76" s="15" t="n"/>
      <c r="E76" s="15" t="n"/>
      <c r="F76" s="15" t="n"/>
      <c r="G76" s="33" t="n"/>
      <c r="H76" s="33" t="n"/>
      <c r="I76" s="16">
        <f>IF(G76="","",H76-G76+1)</f>
        <v/>
      </c>
      <c r="J76" s="15" t="n"/>
      <c r="K76" s="15" t="n"/>
      <c r="L76" s="15" t="n"/>
    </row>
    <row r="77" ht="22" customHeight="1">
      <c r="B77" s="18">
        <f>IF(C77="","CSS-"&amp;TEXT(COUNTA($C$5:C77),"000"))</f>
        <v/>
      </c>
      <c r="C77" s="13" t="n"/>
      <c r="D77" s="13" t="n"/>
      <c r="E77" s="13" t="n"/>
      <c r="F77" s="13" t="n"/>
      <c r="G77" s="32" t="n"/>
      <c r="H77" s="32" t="n"/>
      <c r="I77" s="14">
        <f>IF(G77="","",H77-G77+1)</f>
        <v/>
      </c>
      <c r="J77" s="13" t="n"/>
      <c r="K77" s="13" t="n"/>
      <c r="L77" s="13" t="n"/>
    </row>
    <row r="78" ht="22" customHeight="1">
      <c r="B78" s="17">
        <f>IF(C78="","CSS-"&amp;TEXT(COUNTA($C$5:C78),"000"))</f>
        <v/>
      </c>
      <c r="C78" s="15" t="n"/>
      <c r="D78" s="15" t="n"/>
      <c r="E78" s="15" t="n"/>
      <c r="F78" s="15" t="n"/>
      <c r="G78" s="33" t="n"/>
      <c r="H78" s="33" t="n"/>
      <c r="I78" s="16">
        <f>IF(G78="","",H78-G78+1)</f>
        <v/>
      </c>
      <c r="J78" s="15" t="n"/>
      <c r="K78" s="15" t="n"/>
      <c r="L78" s="15" t="n"/>
    </row>
    <row r="79" ht="22" customHeight="1">
      <c r="B79" s="18">
        <f>IF(C79="","CSS-"&amp;TEXT(COUNTA($C$5:C79),"000"))</f>
        <v/>
      </c>
      <c r="C79" s="13" t="n"/>
      <c r="D79" s="13" t="n"/>
      <c r="E79" s="13" t="n"/>
      <c r="F79" s="13" t="n"/>
      <c r="G79" s="32" t="n"/>
      <c r="H79" s="32" t="n"/>
      <c r="I79" s="14">
        <f>IF(G79="","",H79-G79+1)</f>
        <v/>
      </c>
      <c r="J79" s="13" t="n"/>
      <c r="K79" s="13" t="n"/>
      <c r="L79" s="13" t="n"/>
    </row>
    <row r="80" ht="22" customHeight="1">
      <c r="B80" s="17">
        <f>IF(C80="","CSS-"&amp;TEXT(COUNTA($C$5:C80),"000"))</f>
        <v/>
      </c>
      <c r="C80" s="15" t="n"/>
      <c r="D80" s="15" t="n"/>
      <c r="E80" s="15" t="n"/>
      <c r="F80" s="15" t="n"/>
      <c r="G80" s="33" t="n"/>
      <c r="H80" s="33" t="n"/>
      <c r="I80" s="16">
        <f>IF(G80="","",H80-G80+1)</f>
        <v/>
      </c>
      <c r="J80" s="15" t="n"/>
      <c r="K80" s="15" t="n"/>
      <c r="L80" s="15" t="n"/>
    </row>
    <row r="81" ht="22" customHeight="1">
      <c r="B81" s="18">
        <f>IF(C81="","CSS-"&amp;TEXT(COUNTA($C$5:C81),"000"))</f>
        <v/>
      </c>
      <c r="C81" s="13" t="n"/>
      <c r="D81" s="13" t="n"/>
      <c r="E81" s="13" t="n"/>
      <c r="F81" s="13" t="n"/>
      <c r="G81" s="32" t="n"/>
      <c r="H81" s="32" t="n"/>
      <c r="I81" s="14">
        <f>IF(G81="","",H81-G81+1)</f>
        <v/>
      </c>
      <c r="J81" s="13" t="n"/>
      <c r="K81" s="13" t="n"/>
      <c r="L81" s="13" t="n"/>
    </row>
    <row r="82" ht="22" customHeight="1">
      <c r="B82" s="17">
        <f>IF(C82="","CSS-"&amp;TEXT(COUNTA($C$5:C82),"000"))</f>
        <v/>
      </c>
      <c r="C82" s="15" t="n"/>
      <c r="D82" s="15" t="n"/>
      <c r="E82" s="15" t="n"/>
      <c r="F82" s="15" t="n"/>
      <c r="G82" s="33" t="n"/>
      <c r="H82" s="33" t="n"/>
      <c r="I82" s="16">
        <f>IF(G82="","",H82-G82+1)</f>
        <v/>
      </c>
      <c r="J82" s="15" t="n"/>
      <c r="K82" s="15" t="n"/>
      <c r="L82" s="15" t="n"/>
    </row>
    <row r="83" ht="22" customHeight="1">
      <c r="B83" s="18">
        <f>IF(C83="","CSS-"&amp;TEXT(COUNTA($C$5:C83),"000"))</f>
        <v/>
      </c>
      <c r="C83" s="13" t="n"/>
      <c r="D83" s="13" t="n"/>
      <c r="E83" s="13" t="n"/>
      <c r="F83" s="13" t="n"/>
      <c r="G83" s="32" t="n"/>
      <c r="H83" s="32" t="n"/>
      <c r="I83" s="14">
        <f>IF(G83="","",H83-G83+1)</f>
        <v/>
      </c>
      <c r="J83" s="13" t="n"/>
      <c r="K83" s="13" t="n"/>
      <c r="L83" s="13" t="n"/>
    </row>
    <row r="84" ht="22" customHeight="1">
      <c r="B84" s="17">
        <f>IF(C84="","CSS-"&amp;TEXT(COUNTA($C$5:C84),"000"))</f>
        <v/>
      </c>
      <c r="C84" s="15" t="n"/>
      <c r="D84" s="15" t="n"/>
      <c r="E84" s="15" t="n"/>
      <c r="F84" s="15" t="n"/>
      <c r="G84" s="33" t="n"/>
      <c r="H84" s="33" t="n"/>
      <c r="I84" s="16">
        <f>IF(G84="","",H84-G84+1)</f>
        <v/>
      </c>
      <c r="J84" s="15" t="n"/>
      <c r="K84" s="15" t="n"/>
      <c r="L84" s="15" t="n"/>
    </row>
    <row r="85" ht="22" customHeight="1">
      <c r="B85" s="18">
        <f>IF(C85="","CSS-"&amp;TEXT(COUNTA($C$5:C85),"000"))</f>
        <v/>
      </c>
      <c r="C85" s="13" t="n"/>
      <c r="D85" s="13" t="n"/>
      <c r="E85" s="13" t="n"/>
      <c r="F85" s="13" t="n"/>
      <c r="G85" s="32" t="n"/>
      <c r="H85" s="32" t="n"/>
      <c r="I85" s="14">
        <f>IF(G85="","",H85-G85+1)</f>
        <v/>
      </c>
      <c r="J85" s="13" t="n"/>
      <c r="K85" s="13" t="n"/>
      <c r="L85" s="13" t="n"/>
    </row>
    <row r="86" ht="22" customHeight="1">
      <c r="B86" s="17">
        <f>IF(C86="","CSS-"&amp;TEXT(COUNTA($C$5:C86),"000"))</f>
        <v/>
      </c>
      <c r="C86" s="15" t="n"/>
      <c r="D86" s="15" t="n"/>
      <c r="E86" s="15" t="n"/>
      <c r="F86" s="15" t="n"/>
      <c r="G86" s="33" t="n"/>
      <c r="H86" s="33" t="n"/>
      <c r="I86" s="16">
        <f>IF(G86="","",H86-G86+1)</f>
        <v/>
      </c>
      <c r="J86" s="15" t="n"/>
      <c r="K86" s="15" t="n"/>
      <c r="L86" s="15" t="n"/>
    </row>
    <row r="87" ht="22" customHeight="1">
      <c r="B87" s="18">
        <f>IF(C87="","CSS-"&amp;TEXT(COUNTA($C$5:C87),"000"))</f>
        <v/>
      </c>
      <c r="C87" s="13" t="n"/>
      <c r="D87" s="13" t="n"/>
      <c r="E87" s="13" t="n"/>
      <c r="F87" s="13" t="n"/>
      <c r="G87" s="32" t="n"/>
      <c r="H87" s="32" t="n"/>
      <c r="I87" s="14">
        <f>IF(G87="","",H87-G87+1)</f>
        <v/>
      </c>
      <c r="J87" s="13" t="n"/>
      <c r="K87" s="13" t="n"/>
      <c r="L87" s="13" t="n"/>
    </row>
    <row r="88" ht="22" customHeight="1">
      <c r="B88" s="17">
        <f>IF(C88="","CSS-"&amp;TEXT(COUNTA($C$5:C88),"000"))</f>
        <v/>
      </c>
      <c r="C88" s="15" t="n"/>
      <c r="D88" s="15" t="n"/>
      <c r="E88" s="15" t="n"/>
      <c r="F88" s="15" t="n"/>
      <c r="G88" s="33" t="n"/>
      <c r="H88" s="33" t="n"/>
      <c r="I88" s="16">
        <f>IF(G88="","",H88-G88+1)</f>
        <v/>
      </c>
      <c r="J88" s="15" t="n"/>
      <c r="K88" s="15" t="n"/>
      <c r="L88" s="15" t="n"/>
    </row>
    <row r="89" ht="22" customHeight="1">
      <c r="B89" s="18">
        <f>IF(C89="","CSS-"&amp;TEXT(COUNTA($C$5:C89),"000"))</f>
        <v/>
      </c>
      <c r="C89" s="13" t="n"/>
      <c r="D89" s="13" t="n"/>
      <c r="E89" s="13" t="n"/>
      <c r="F89" s="13" t="n"/>
      <c r="G89" s="32" t="n"/>
      <c r="H89" s="32" t="n"/>
      <c r="I89" s="14">
        <f>IF(G89="","",H89-G89+1)</f>
        <v/>
      </c>
      <c r="J89" s="13" t="n"/>
      <c r="K89" s="13" t="n"/>
      <c r="L89" s="13" t="n"/>
    </row>
    <row r="90" ht="22" customHeight="1">
      <c r="B90" s="17">
        <f>IF(C90="","CSS-"&amp;TEXT(COUNTA($C$5:C90),"000"))</f>
        <v/>
      </c>
      <c r="C90" s="15" t="n"/>
      <c r="D90" s="15" t="n"/>
      <c r="E90" s="15" t="n"/>
      <c r="F90" s="15" t="n"/>
      <c r="G90" s="33" t="n"/>
      <c r="H90" s="33" t="n"/>
      <c r="I90" s="16">
        <f>IF(G90="","",H90-G90+1)</f>
        <v/>
      </c>
      <c r="J90" s="15" t="n"/>
      <c r="K90" s="15" t="n"/>
      <c r="L90" s="15" t="n"/>
    </row>
    <row r="91" ht="22" customHeight="1">
      <c r="B91" s="18">
        <f>IF(C91="","CSS-"&amp;TEXT(COUNTA($C$5:C91),"000"))</f>
        <v/>
      </c>
      <c r="C91" s="13" t="n"/>
      <c r="D91" s="13" t="n"/>
      <c r="E91" s="13" t="n"/>
      <c r="F91" s="13" t="n"/>
      <c r="G91" s="32" t="n"/>
      <c r="H91" s="32" t="n"/>
      <c r="I91" s="14">
        <f>IF(G91="","",H91-G91+1)</f>
        <v/>
      </c>
      <c r="J91" s="13" t="n"/>
      <c r="K91" s="13" t="n"/>
      <c r="L91" s="13" t="n"/>
    </row>
    <row r="92" ht="22" customHeight="1">
      <c r="B92" s="17">
        <f>IF(C92="","CSS-"&amp;TEXT(COUNTA($C$5:C92),"000"))</f>
        <v/>
      </c>
      <c r="C92" s="15" t="n"/>
      <c r="D92" s="15" t="n"/>
      <c r="E92" s="15" t="n"/>
      <c r="F92" s="15" t="n"/>
      <c r="G92" s="33" t="n"/>
      <c r="H92" s="33" t="n"/>
      <c r="I92" s="16">
        <f>IF(G92="","",H92-G92+1)</f>
        <v/>
      </c>
      <c r="J92" s="15" t="n"/>
      <c r="K92" s="15" t="n"/>
      <c r="L92" s="15" t="n"/>
    </row>
    <row r="93" ht="22" customHeight="1">
      <c r="B93" s="18">
        <f>IF(C93="","CSS-"&amp;TEXT(COUNTA($C$5:C93),"000"))</f>
        <v/>
      </c>
      <c r="C93" s="13" t="n"/>
      <c r="D93" s="13" t="n"/>
      <c r="E93" s="13" t="n"/>
      <c r="F93" s="13" t="n"/>
      <c r="G93" s="32" t="n"/>
      <c r="H93" s="32" t="n"/>
      <c r="I93" s="14">
        <f>IF(G93="","",H93-G93+1)</f>
        <v/>
      </c>
      <c r="J93" s="13" t="n"/>
      <c r="K93" s="13" t="n"/>
      <c r="L93" s="13" t="n"/>
    </row>
    <row r="94" ht="22" customHeight="1">
      <c r="B94" s="17">
        <f>IF(C94="","CSS-"&amp;TEXT(COUNTA($C$5:C94),"000"))</f>
        <v/>
      </c>
      <c r="C94" s="15" t="n"/>
      <c r="D94" s="15" t="n"/>
      <c r="E94" s="15" t="n"/>
      <c r="F94" s="15" t="n"/>
      <c r="G94" s="33" t="n"/>
      <c r="H94" s="33" t="n"/>
      <c r="I94" s="16">
        <f>IF(G94="","",H94-G94+1)</f>
        <v/>
      </c>
      <c r="J94" s="15" t="n"/>
      <c r="K94" s="15" t="n"/>
      <c r="L94" s="15" t="n"/>
    </row>
    <row r="95" ht="22" customHeight="1">
      <c r="B95" s="18">
        <f>IF(C95="","CSS-"&amp;TEXT(COUNTA($C$5:C95),"000"))</f>
        <v/>
      </c>
      <c r="C95" s="13" t="n"/>
      <c r="D95" s="13" t="n"/>
      <c r="E95" s="13" t="n"/>
      <c r="F95" s="13" t="n"/>
      <c r="G95" s="32" t="n"/>
      <c r="H95" s="32" t="n"/>
      <c r="I95" s="14">
        <f>IF(G95="","",H95-G95+1)</f>
        <v/>
      </c>
      <c r="J95" s="13" t="n"/>
      <c r="K95" s="13" t="n"/>
      <c r="L95" s="13" t="n"/>
    </row>
    <row r="96" ht="22" customHeight="1">
      <c r="B96" s="17">
        <f>IF(C96="","CSS-"&amp;TEXT(COUNTA($C$5:C96),"000"))</f>
        <v/>
      </c>
      <c r="C96" s="15" t="n"/>
      <c r="D96" s="15" t="n"/>
      <c r="E96" s="15" t="n"/>
      <c r="F96" s="15" t="n"/>
      <c r="G96" s="33" t="n"/>
      <c r="H96" s="33" t="n"/>
      <c r="I96" s="16">
        <f>IF(G96="","",H96-G96+1)</f>
        <v/>
      </c>
      <c r="J96" s="15" t="n"/>
      <c r="K96" s="15" t="n"/>
      <c r="L96" s="15" t="n"/>
    </row>
    <row r="97" ht="22" customHeight="1">
      <c r="B97" s="18">
        <f>IF(C97="","CSS-"&amp;TEXT(COUNTA($C$5:C97),"000"))</f>
        <v/>
      </c>
      <c r="C97" s="13" t="n"/>
      <c r="D97" s="13" t="n"/>
      <c r="E97" s="13" t="n"/>
      <c r="F97" s="13" t="n"/>
      <c r="G97" s="32" t="n"/>
      <c r="H97" s="32" t="n"/>
      <c r="I97" s="14">
        <f>IF(G97="","",H97-G97+1)</f>
        <v/>
      </c>
      <c r="J97" s="13" t="n"/>
      <c r="K97" s="13" t="n"/>
      <c r="L97" s="13" t="n"/>
    </row>
    <row r="98" ht="22" customHeight="1">
      <c r="B98" s="17">
        <f>IF(C98="","CSS-"&amp;TEXT(COUNTA($C$5:C98),"000"))</f>
        <v/>
      </c>
      <c r="C98" s="15" t="n"/>
      <c r="D98" s="15" t="n"/>
      <c r="E98" s="15" t="n"/>
      <c r="F98" s="15" t="n"/>
      <c r="G98" s="33" t="n"/>
      <c r="H98" s="33" t="n"/>
      <c r="I98" s="16">
        <f>IF(G98="","",H98-G98+1)</f>
        <v/>
      </c>
      <c r="J98" s="15" t="n"/>
      <c r="K98" s="15" t="n"/>
      <c r="L98" s="15" t="n"/>
    </row>
    <row r="99" ht="22" customHeight="1">
      <c r="B99" s="18">
        <f>IF(C99="","CSS-"&amp;TEXT(COUNTA($C$5:C99),"000"))</f>
        <v/>
      </c>
      <c r="C99" s="13" t="n"/>
      <c r="D99" s="13" t="n"/>
      <c r="E99" s="13" t="n"/>
      <c r="F99" s="13" t="n"/>
      <c r="G99" s="32" t="n"/>
      <c r="H99" s="32" t="n"/>
      <c r="I99" s="14">
        <f>IF(G99="","",H99-G99+1)</f>
        <v/>
      </c>
      <c r="J99" s="13" t="n"/>
      <c r="K99" s="13" t="n"/>
      <c r="L99" s="13" t="n"/>
    </row>
    <row r="100" ht="22" customHeight="1">
      <c r="B100" s="17">
        <f>IF(C100="","CSS-"&amp;TEXT(COUNTA($C$5:C100),"000"))</f>
        <v/>
      </c>
      <c r="C100" s="15" t="n"/>
      <c r="D100" s="15" t="n"/>
      <c r="E100" s="15" t="n"/>
      <c r="F100" s="15" t="n"/>
      <c r="G100" s="33" t="n"/>
      <c r="H100" s="33" t="n"/>
      <c r="I100" s="16">
        <f>IF(G100="","",H100-G100+1)</f>
        <v/>
      </c>
      <c r="J100" s="15" t="n"/>
      <c r="K100" s="15" t="n"/>
      <c r="L100" s="15" t="n"/>
    </row>
    <row r="101" ht="22" customHeight="1">
      <c r="B101" s="18">
        <f>IF(C101="","CSS-"&amp;TEXT(COUNTA($C$5:C101),"000"))</f>
        <v/>
      </c>
      <c r="C101" s="13" t="n"/>
      <c r="D101" s="13" t="n"/>
      <c r="E101" s="13" t="n"/>
      <c r="F101" s="13" t="n"/>
      <c r="G101" s="32" t="n"/>
      <c r="H101" s="32" t="n"/>
      <c r="I101" s="14">
        <f>IF(G101="","",H101-G101+1)</f>
        <v/>
      </c>
      <c r="J101" s="13" t="n"/>
      <c r="K101" s="13" t="n"/>
      <c r="L101" s="13" t="n"/>
    </row>
    <row r="102" ht="22" customHeight="1">
      <c r="B102" s="17">
        <f>IF(C102="","CSS-"&amp;TEXT(COUNTA($C$5:C102),"000"))</f>
        <v/>
      </c>
      <c r="C102" s="15" t="n"/>
      <c r="D102" s="15" t="n"/>
      <c r="E102" s="15" t="n"/>
      <c r="F102" s="15" t="n"/>
      <c r="G102" s="33" t="n"/>
      <c r="H102" s="33" t="n"/>
      <c r="I102" s="16">
        <f>IF(G102="","",H102-G102+1)</f>
        <v/>
      </c>
      <c r="J102" s="15" t="n"/>
      <c r="K102" s="15" t="n"/>
      <c r="L102" s="15" t="n"/>
    </row>
    <row r="103" ht="22" customHeight="1">
      <c r="B103" s="18">
        <f>IF(C103="","CSS-"&amp;TEXT(COUNTA($C$5:C103),"000"))</f>
        <v/>
      </c>
      <c r="C103" s="13" t="n"/>
      <c r="D103" s="13" t="n"/>
      <c r="E103" s="13" t="n"/>
      <c r="F103" s="13" t="n"/>
      <c r="G103" s="32" t="n"/>
      <c r="H103" s="32" t="n"/>
      <c r="I103" s="14">
        <f>IF(G103="","",H103-G103+1)</f>
        <v/>
      </c>
      <c r="J103" s="13" t="n"/>
      <c r="K103" s="13" t="n"/>
      <c r="L103" s="13" t="n"/>
    </row>
    <row r="104" ht="22" customHeight="1">
      <c r="B104" s="17">
        <f>IF(C104="","CSS-"&amp;TEXT(COUNTA($C$5:C104),"000"))</f>
        <v/>
      </c>
      <c r="C104" s="15" t="n"/>
      <c r="D104" s="15" t="n"/>
      <c r="E104" s="15" t="n"/>
      <c r="F104" s="15" t="n"/>
      <c r="G104" s="33" t="n"/>
      <c r="H104" s="33" t="n"/>
      <c r="I104" s="16">
        <f>IF(G104="","",H104-G104+1)</f>
        <v/>
      </c>
      <c r="J104" s="15" t="n"/>
      <c r="K104" s="15" t="n"/>
      <c r="L104" s="15" t="n"/>
    </row>
    <row r="105" ht="22" customHeight="1">
      <c r="B105" s="18">
        <f>IF(C105="","CSS-"&amp;TEXT(COUNTA($C$5:C105),"000"))</f>
        <v/>
      </c>
      <c r="C105" s="13" t="n"/>
      <c r="D105" s="13" t="n"/>
      <c r="E105" s="13" t="n"/>
      <c r="F105" s="13" t="n"/>
      <c r="G105" s="32" t="n"/>
      <c r="H105" s="32" t="n"/>
      <c r="I105" s="14">
        <f>IF(G105="","",H105-G105+1)</f>
        <v/>
      </c>
      <c r="J105" s="13" t="n"/>
      <c r="K105" s="13" t="n"/>
      <c r="L105" s="13" t="n"/>
    </row>
    <row r="106" ht="22" customHeight="1">
      <c r="B106" s="17">
        <f>IF(C106="","CSS-"&amp;TEXT(COUNTA($C$5:C106),"000"))</f>
        <v/>
      </c>
      <c r="C106" s="15" t="n"/>
      <c r="D106" s="15" t="n"/>
      <c r="E106" s="15" t="n"/>
      <c r="F106" s="15" t="n"/>
      <c r="G106" s="33" t="n"/>
      <c r="H106" s="33" t="n"/>
      <c r="I106" s="16">
        <f>IF(G106="","",H106-G106+1)</f>
        <v/>
      </c>
      <c r="J106" s="15" t="n"/>
      <c r="K106" s="15" t="n"/>
      <c r="L106" s="15" t="n"/>
    </row>
    <row r="107" ht="22" customHeight="1">
      <c r="B107" s="18">
        <f>IF(C107="","CSS-"&amp;TEXT(COUNTA($C$5:C107),"000"))</f>
        <v/>
      </c>
      <c r="C107" s="13" t="n"/>
      <c r="D107" s="13" t="n"/>
      <c r="E107" s="13" t="n"/>
      <c r="F107" s="13" t="n"/>
      <c r="G107" s="32" t="n"/>
      <c r="H107" s="32" t="n"/>
      <c r="I107" s="14">
        <f>IF(G107="","",H107-G107+1)</f>
        <v/>
      </c>
      <c r="J107" s="13" t="n"/>
      <c r="K107" s="13" t="n"/>
      <c r="L107" s="13" t="n"/>
    </row>
    <row r="109" ht="26" customHeight="1">
      <c r="B109" s="19" t="inlineStr">
        <is>
          <t>TOTAL</t>
        </is>
      </c>
      <c r="C109" s="20" t="n"/>
      <c r="D109" s="20" t="n"/>
      <c r="E109" s="20" t="n"/>
      <c r="F109" s="20" t="n"/>
      <c r="G109" s="20" t="n"/>
      <c r="H109" s="20" t="n"/>
      <c r="I109" s="21">
        <f>SUM(I5:I104)</f>
        <v/>
      </c>
      <c r="J109" s="20" t="n"/>
      <c r="K109" s="20" t="n"/>
      <c r="L109" s="20" t="n"/>
    </row>
    <row r="111">
      <c r="B111" s="6" t="inlineStr">
        <is>
          <t>INDICATEURS (mis a jour automatiquement)</t>
        </is>
      </c>
    </row>
    <row r="112">
      <c r="B112" s="3" t="inlineStr">
        <is>
          <t>Total CSS</t>
        </is>
      </c>
      <c r="D112" s="3" t="inlineStr">
        <is>
          <t>Total jours (j)</t>
        </is>
      </c>
      <c r="F112" s="3" t="inlineStr">
        <is>
          <t>En attente</t>
        </is>
      </c>
      <c r="H112" s="3" t="inlineStr">
        <is>
          <t>Impact anciennete</t>
        </is>
      </c>
    </row>
    <row r="113">
      <c r="B113" s="4">
        <f>COUNTIF(B5:B104,"&lt;&gt;")</f>
        <v/>
      </c>
      <c r="D113" s="4">
        <f>SUM(I5:I104)</f>
        <v/>
      </c>
      <c r="F113" s="4">
        <f>COUNTIF(L5:L104,"En attente")</f>
        <v/>
      </c>
      <c r="H113" s="4">
        <f>COUNTIF(J5:J104,"Oui*")</f>
        <v/>
      </c>
    </row>
  </sheetData>
  <mergeCells count="3">
    <mergeCell ref="B2:L2"/>
    <mergeCell ref="B111:L111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8:B107">
    <cfRule type="expression" priority="43" dxfId="3">
      <formula>AND($C8="",$C7&lt;&gt;"")</formula>
    </cfRule>
  </conditionalFormatting>
  <conditionalFormatting sqref="C8:C107">
    <cfRule type="expression" priority="44" dxfId="3">
      <formula>AND($C8="",$C7&lt;&gt;"")</formula>
    </cfRule>
  </conditionalFormatting>
  <conditionalFormatting sqref="D8:D107">
    <cfRule type="expression" priority="45" dxfId="3">
      <formula>AND($C8="",$C7&lt;&gt;"")</formula>
    </cfRule>
  </conditionalFormatting>
  <conditionalFormatting sqref="E8:E107">
    <cfRule type="expression" priority="46" dxfId="3">
      <formula>AND($C8="",$C7&lt;&gt;"")</formula>
    </cfRule>
  </conditionalFormatting>
  <conditionalFormatting sqref="F8:F107">
    <cfRule type="expression" priority="47" dxfId="3">
      <formula>AND($C8="",$C7&lt;&gt;"")</formula>
    </cfRule>
  </conditionalFormatting>
  <conditionalFormatting sqref="G8:G107">
    <cfRule type="expression" priority="48" dxfId="3">
      <formula>AND($C8="",$C7&lt;&gt;"")</formula>
    </cfRule>
  </conditionalFormatting>
  <conditionalFormatting sqref="H8:H107">
    <cfRule type="expression" priority="49" dxfId="3">
      <formula>AND($C8="",$C7&lt;&gt;"")</formula>
    </cfRule>
  </conditionalFormatting>
  <conditionalFormatting sqref="I8:I107">
    <cfRule type="expression" priority="50" dxfId="3">
      <formula>AND($C8="",$C7&lt;&gt;"")</formula>
    </cfRule>
  </conditionalFormatting>
  <conditionalFormatting sqref="J8:J107">
    <cfRule type="expression" priority="51" dxfId="3">
      <formula>AND($C8="",$C7&lt;&gt;"")</formula>
    </cfRule>
  </conditionalFormatting>
  <conditionalFormatting sqref="K8:K107">
    <cfRule type="expression" priority="52" dxfId="3">
      <formula>AND($C8="",$C7&lt;&gt;"")</formula>
    </cfRule>
  </conditionalFormatting>
  <conditionalFormatting sqref="L8:L107">
    <cfRule type="expression" priority="53" dxfId="3">
      <formula>AND($C8="",$C7&lt;&gt;"")</formula>
    </cfRule>
  </conditionalFormatting>
  <dataValidations count="2"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7" showDropDown="0" showInputMessage="0" showErrorMessage="0" allowBlank="1" errorTitle="Erreur" error="Valeur invalide" promptTitle="Liste" prompt="Choisir dans la liste" type="list">
      <formula1>'_Lists'!$E$2:$E$7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18" customWidth="1" min="5" max="5"/>
    <col width="22" customWidth="1" min="6" max="6"/>
    <col width="14" customWidth="1" min="7" max="7"/>
    <col width="14" customWidth="1" min="8" max="8"/>
    <col width="12" customWidth="1" min="9" max="9"/>
    <col width="22" customWidth="1" min="10" max="10"/>
    <col width="22" customWidth="1" min="11" max="11"/>
    <col width="16" customWidth="1" min="12" max="12"/>
  </cols>
  <sheetData>
    <row r="1" ht="15" customHeight="1"/>
    <row r="2" ht="32" customHeight="1">
      <c r="B2" s="1" t="inlineStr">
        <is>
          <t>REGISTRE DES ABSENCES NON JUSTIFIEES (#56)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Absence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Type Absence</t>
        </is>
      </c>
      <c r="G4" s="12" t="inlineStr">
        <is>
          <t>Date Debut</t>
        </is>
      </c>
      <c r="H4" s="12" t="inlineStr">
        <is>
          <t>Date Fin</t>
        </is>
      </c>
      <c r="I4" s="12" t="inlineStr">
        <is>
          <t>Nb Jours</t>
        </is>
      </c>
      <c r="J4" s="12" t="inlineStr">
        <is>
          <t>Motif (si fourni)</t>
        </is>
      </c>
      <c r="K4" s="12" t="inlineStr">
        <is>
          <t>Sanction Appliquee</t>
        </is>
      </c>
      <c r="L4" s="12" t="inlineStr">
        <is>
          <t>Statut</t>
        </is>
      </c>
    </row>
    <row r="5" ht="22" customHeight="1">
      <c r="B5" s="13" t="inlineStr">
        <is>
          <t>ANJ-001</t>
        </is>
      </c>
      <c r="C5" s="13" t="inlineStr">
        <is>
          <t>EMP-010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Absence injustifiee</t>
        </is>
      </c>
      <c r="G5" s="32" t="n">
        <v>45813</v>
      </c>
      <c r="H5" s="32" t="n">
        <v>45814</v>
      </c>
      <c r="I5" s="14" t="n">
        <v>2</v>
      </c>
      <c r="J5" s="13" t="inlineStr">
        <is>
          <t>Aucun motif</t>
        </is>
      </c>
      <c r="K5" s="13" t="inlineStr">
        <is>
          <t>Avertissement ecrit</t>
        </is>
      </c>
      <c r="L5" s="13" t="inlineStr">
        <is>
          <t>Sanctionnee</t>
        </is>
      </c>
    </row>
    <row r="6" ht="22" customHeight="1">
      <c r="B6" s="15" t="inlineStr">
        <is>
          <t>ANJ-002</t>
        </is>
      </c>
      <c r="C6" s="15" t="inlineStr">
        <is>
          <t>EMP-009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Non presentation</t>
        </is>
      </c>
      <c r="G6" s="33" t="n">
        <v>45789</v>
      </c>
      <c r="H6" s="33" t="n">
        <v>45789</v>
      </c>
      <c r="I6" s="16" t="n">
        <v>1</v>
      </c>
      <c r="J6" s="15" t="inlineStr">
        <is>
          <t>Oubli reprise conge</t>
        </is>
      </c>
      <c r="K6" s="15" t="inlineStr">
        <is>
          <t>Avertissement oral</t>
        </is>
      </c>
      <c r="L6" s="15" t="inlineStr">
        <is>
          <t>Cloturee</t>
        </is>
      </c>
    </row>
    <row r="7" ht="22" customHeight="1">
      <c r="B7" s="13" t="inlineStr">
        <is>
          <t>ANJ-003</t>
        </is>
      </c>
      <c r="C7" s="13" t="inlineStr">
        <is>
          <t>EMP-011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Absent sans autorisation</t>
        </is>
      </c>
      <c r="G7" s="32" t="n">
        <v>45826</v>
      </c>
      <c r="H7" s="32" t="n">
        <v>45828</v>
      </c>
      <c r="I7" s="14" t="n">
        <v>3</v>
      </c>
      <c r="J7" s="13" t="inlineStr"/>
      <c r="K7" s="13" t="inlineStr">
        <is>
          <t>Blame</t>
        </is>
      </c>
      <c r="L7" s="13" t="inlineStr">
        <is>
          <t>En cours</t>
        </is>
      </c>
    </row>
    <row r="8" ht="22" customHeight="1">
      <c r="B8" s="15" t="inlineStr">
        <is>
          <t>ANJ-004</t>
        </is>
      </c>
      <c r="C8" s="15" t="inlineStr">
        <is>
          <t>EMP-008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Abandon de poste</t>
        </is>
      </c>
      <c r="G8" s="33" t="n">
        <v>45854</v>
      </c>
      <c r="H8" s="33" t="n"/>
      <c r="I8" s="16" t="n">
        <v>1</v>
      </c>
      <c r="J8" s="15" t="inlineStr">
        <is>
          <t>Depart sans prevenir</t>
        </is>
      </c>
      <c r="K8" s="15" t="inlineStr">
        <is>
          <t>En attente decision</t>
        </is>
      </c>
      <c r="L8" s="15" t="inlineStr">
        <is>
          <t>En attente</t>
        </is>
      </c>
    </row>
    <row r="9" ht="22" customHeight="1">
      <c r="B9" s="18">
        <f>IF(C9="","ANJ-"&amp;TEXT(COUNTA($C$5:C9),"000"))</f>
        <v/>
      </c>
      <c r="C9" s="13" t="n"/>
      <c r="D9" s="13" t="n"/>
      <c r="E9" s="13" t="n"/>
      <c r="F9" s="13" t="n"/>
      <c r="G9" s="32" t="n"/>
      <c r="H9" s="32" t="n"/>
      <c r="I9" s="14">
        <f>IF(G9="","",H9-G9+1)</f>
        <v/>
      </c>
      <c r="J9" s="13" t="n"/>
      <c r="K9" s="13" t="n"/>
      <c r="L9" s="13" t="n"/>
    </row>
    <row r="10" ht="22" customHeight="1">
      <c r="B10" s="17">
        <f>IF(C10="","ANJ-"&amp;TEXT(COUNTA($C$5:C10),"000"))</f>
        <v/>
      </c>
      <c r="C10" s="15" t="n"/>
      <c r="D10" s="15" t="n"/>
      <c r="E10" s="15" t="n"/>
      <c r="F10" s="15" t="n"/>
      <c r="G10" s="33" t="n"/>
      <c r="H10" s="33" t="n"/>
      <c r="I10" s="16">
        <f>IF(G10="","",H10-G10+1)</f>
        <v/>
      </c>
      <c r="J10" s="15" t="n"/>
      <c r="K10" s="15" t="n"/>
      <c r="L10" s="15" t="n"/>
    </row>
    <row r="11" ht="22" customHeight="1">
      <c r="B11" s="18">
        <f>IF(C11="","ANJ-"&amp;TEXT(COUNTA($C$5:C11),"000"))</f>
        <v/>
      </c>
      <c r="C11" s="13" t="n"/>
      <c r="D11" s="13" t="n"/>
      <c r="E11" s="13" t="n"/>
      <c r="F11" s="13" t="n"/>
      <c r="G11" s="32" t="n"/>
      <c r="H11" s="32" t="n"/>
      <c r="I11" s="14">
        <f>IF(G11="","",H11-G11+1)</f>
        <v/>
      </c>
      <c r="J11" s="13" t="n"/>
      <c r="K11" s="13" t="n"/>
      <c r="L11" s="13" t="n"/>
    </row>
    <row r="12" ht="22" customHeight="1">
      <c r="B12" s="17">
        <f>IF(C12="","ANJ-"&amp;TEXT(COUNTA($C$5:C12),"000"))</f>
        <v/>
      </c>
      <c r="C12" s="15" t="n"/>
      <c r="D12" s="15" t="n"/>
      <c r="E12" s="15" t="n"/>
      <c r="F12" s="15" t="n"/>
      <c r="G12" s="33" t="n"/>
      <c r="H12" s="33" t="n"/>
      <c r="I12" s="16">
        <f>IF(G12="","",H12-G12+1)</f>
        <v/>
      </c>
      <c r="J12" s="15" t="n"/>
      <c r="K12" s="15" t="n"/>
      <c r="L12" s="15" t="n"/>
    </row>
    <row r="13" ht="22" customHeight="1">
      <c r="B13" s="18">
        <f>IF(C13="","ANJ-"&amp;TEXT(COUNTA($C$5:C13),"000"))</f>
        <v/>
      </c>
      <c r="C13" s="13" t="n"/>
      <c r="D13" s="13" t="n"/>
      <c r="E13" s="13" t="n"/>
      <c r="F13" s="13" t="n"/>
      <c r="G13" s="32" t="n"/>
      <c r="H13" s="32" t="n"/>
      <c r="I13" s="14">
        <f>IF(G13="","",H13-G13+1)</f>
        <v/>
      </c>
      <c r="J13" s="13" t="n"/>
      <c r="K13" s="13" t="n"/>
      <c r="L13" s="13" t="n"/>
    </row>
    <row r="14" ht="22" customHeight="1">
      <c r="B14" s="17">
        <f>IF(C14="","ANJ-"&amp;TEXT(COUNTA($C$5:C14),"000"))</f>
        <v/>
      </c>
      <c r="C14" s="15" t="n"/>
      <c r="D14" s="15" t="n"/>
      <c r="E14" s="15" t="n"/>
      <c r="F14" s="15" t="n"/>
      <c r="G14" s="33" t="n"/>
      <c r="H14" s="33" t="n"/>
      <c r="I14" s="16">
        <f>IF(G14="","",H14-G14+1)</f>
        <v/>
      </c>
      <c r="J14" s="15" t="n"/>
      <c r="K14" s="15" t="n"/>
      <c r="L14" s="15" t="n"/>
    </row>
    <row r="15" ht="22" customHeight="1">
      <c r="B15" s="18">
        <f>IF(C15="","ANJ-"&amp;TEXT(COUNTA($C$5:C15),"000"))</f>
        <v/>
      </c>
      <c r="C15" s="13" t="n"/>
      <c r="D15" s="13" t="n"/>
      <c r="E15" s="13" t="n"/>
      <c r="F15" s="13" t="n"/>
      <c r="G15" s="32" t="n"/>
      <c r="H15" s="32" t="n"/>
      <c r="I15" s="14">
        <f>IF(G15="","",H15-G15+1)</f>
        <v/>
      </c>
      <c r="J15" s="13" t="n"/>
      <c r="K15" s="13" t="n"/>
      <c r="L15" s="13" t="n"/>
    </row>
    <row r="16" ht="22" customHeight="1">
      <c r="B16" s="17">
        <f>IF(C16="","ANJ-"&amp;TEXT(COUNTA($C$5:C16),"000"))</f>
        <v/>
      </c>
      <c r="C16" s="15" t="n"/>
      <c r="D16" s="15" t="n"/>
      <c r="E16" s="15" t="n"/>
      <c r="F16" s="15" t="n"/>
      <c r="G16" s="33" t="n"/>
      <c r="H16" s="33" t="n"/>
      <c r="I16" s="16">
        <f>IF(G16="","",H16-G16+1)</f>
        <v/>
      </c>
      <c r="J16" s="15" t="n"/>
      <c r="K16" s="15" t="n"/>
      <c r="L16" s="15" t="n"/>
    </row>
    <row r="17" ht="22" customHeight="1">
      <c r="B17" s="18">
        <f>IF(C17="","ANJ-"&amp;TEXT(COUNTA($C$5:C17),"000"))</f>
        <v/>
      </c>
      <c r="C17" s="13" t="n"/>
      <c r="D17" s="13" t="n"/>
      <c r="E17" s="13" t="n"/>
      <c r="F17" s="13" t="n"/>
      <c r="G17" s="32" t="n"/>
      <c r="H17" s="32" t="n"/>
      <c r="I17" s="14">
        <f>IF(G17="","",H17-G17+1)</f>
        <v/>
      </c>
      <c r="J17" s="13" t="n"/>
      <c r="K17" s="13" t="n"/>
      <c r="L17" s="13" t="n"/>
    </row>
    <row r="18" ht="22" customHeight="1">
      <c r="B18" s="17">
        <f>IF(C18="","ANJ-"&amp;TEXT(COUNTA($C$5:C18),"000"))</f>
        <v/>
      </c>
      <c r="C18" s="15" t="n"/>
      <c r="D18" s="15" t="n"/>
      <c r="E18" s="15" t="n"/>
      <c r="F18" s="15" t="n"/>
      <c r="G18" s="33" t="n"/>
      <c r="H18" s="33" t="n"/>
      <c r="I18" s="16">
        <f>IF(G18="","",H18-G18+1)</f>
        <v/>
      </c>
      <c r="J18" s="15" t="n"/>
      <c r="K18" s="15" t="n"/>
      <c r="L18" s="15" t="n"/>
    </row>
    <row r="19" ht="22" customHeight="1">
      <c r="B19" s="18">
        <f>IF(C19="","ANJ-"&amp;TEXT(COUNTA($C$5:C19),"000"))</f>
        <v/>
      </c>
      <c r="C19" s="13" t="n"/>
      <c r="D19" s="13" t="n"/>
      <c r="E19" s="13" t="n"/>
      <c r="F19" s="13" t="n"/>
      <c r="G19" s="32" t="n"/>
      <c r="H19" s="32" t="n"/>
      <c r="I19" s="14">
        <f>IF(G19="","",H19-G19+1)</f>
        <v/>
      </c>
      <c r="J19" s="13" t="n"/>
      <c r="K19" s="13" t="n"/>
      <c r="L19" s="13" t="n"/>
    </row>
    <row r="20" ht="22" customHeight="1">
      <c r="B20" s="17">
        <f>IF(C20="","ANJ-"&amp;TEXT(COUNTA($C$5:C20),"000"))</f>
        <v/>
      </c>
      <c r="C20" s="15" t="n"/>
      <c r="D20" s="15" t="n"/>
      <c r="E20" s="15" t="n"/>
      <c r="F20" s="15" t="n"/>
      <c r="G20" s="33" t="n"/>
      <c r="H20" s="33" t="n"/>
      <c r="I20" s="16">
        <f>IF(G20="","",H20-G20+1)</f>
        <v/>
      </c>
      <c r="J20" s="15" t="n"/>
      <c r="K20" s="15" t="n"/>
      <c r="L20" s="15" t="n"/>
    </row>
    <row r="21" ht="22" customHeight="1">
      <c r="B21" s="18">
        <f>IF(C21="","ANJ-"&amp;TEXT(COUNTA($C$5:C21),"000"))</f>
        <v/>
      </c>
      <c r="C21" s="13" t="n"/>
      <c r="D21" s="13" t="n"/>
      <c r="E21" s="13" t="n"/>
      <c r="F21" s="13" t="n"/>
      <c r="G21" s="32" t="n"/>
      <c r="H21" s="32" t="n"/>
      <c r="I21" s="14">
        <f>IF(G21="","",H21-G21+1)</f>
        <v/>
      </c>
      <c r="J21" s="13" t="n"/>
      <c r="K21" s="13" t="n"/>
      <c r="L21" s="13" t="n"/>
    </row>
    <row r="22" ht="22" customHeight="1">
      <c r="B22" s="17">
        <f>IF(C22="","ANJ-"&amp;TEXT(COUNTA($C$5:C22),"000"))</f>
        <v/>
      </c>
      <c r="C22" s="15" t="n"/>
      <c r="D22" s="15" t="n"/>
      <c r="E22" s="15" t="n"/>
      <c r="F22" s="15" t="n"/>
      <c r="G22" s="33" t="n"/>
      <c r="H22" s="33" t="n"/>
      <c r="I22" s="16">
        <f>IF(G22="","",H22-G22+1)</f>
        <v/>
      </c>
      <c r="J22" s="15" t="n"/>
      <c r="K22" s="15" t="n"/>
      <c r="L22" s="15" t="n"/>
    </row>
    <row r="23" ht="22" customHeight="1">
      <c r="B23" s="18">
        <f>IF(C23="","ANJ-"&amp;TEXT(COUNTA($C$5:C23),"000"))</f>
        <v/>
      </c>
      <c r="C23" s="13" t="n"/>
      <c r="D23" s="13" t="n"/>
      <c r="E23" s="13" t="n"/>
      <c r="F23" s="13" t="n"/>
      <c r="G23" s="32" t="n"/>
      <c r="H23" s="32" t="n"/>
      <c r="I23" s="14">
        <f>IF(G23="","",H23-G23+1)</f>
        <v/>
      </c>
      <c r="J23" s="13" t="n"/>
      <c r="K23" s="13" t="n"/>
      <c r="L23" s="13" t="n"/>
    </row>
    <row r="24" ht="22" customHeight="1">
      <c r="B24" s="17">
        <f>IF(C24="","ANJ-"&amp;TEXT(COUNTA($C$5:C24),"000"))</f>
        <v/>
      </c>
      <c r="C24" s="15" t="n"/>
      <c r="D24" s="15" t="n"/>
      <c r="E24" s="15" t="n"/>
      <c r="F24" s="15" t="n"/>
      <c r="G24" s="33" t="n"/>
      <c r="H24" s="33" t="n"/>
      <c r="I24" s="16">
        <f>IF(G24="","",H24-G24+1)</f>
        <v/>
      </c>
      <c r="J24" s="15" t="n"/>
      <c r="K24" s="15" t="n"/>
      <c r="L24" s="15" t="n"/>
    </row>
    <row r="25" ht="22" customHeight="1">
      <c r="B25" s="18">
        <f>IF(C25="","ANJ-"&amp;TEXT(COUNTA($C$5:C25),"000"))</f>
        <v/>
      </c>
      <c r="C25" s="13" t="n"/>
      <c r="D25" s="13" t="n"/>
      <c r="E25" s="13" t="n"/>
      <c r="F25" s="13" t="n"/>
      <c r="G25" s="32" t="n"/>
      <c r="H25" s="32" t="n"/>
      <c r="I25" s="14">
        <f>IF(G25="","",H25-G25+1)</f>
        <v/>
      </c>
      <c r="J25" s="13" t="n"/>
      <c r="K25" s="13" t="n"/>
      <c r="L25" s="13" t="n"/>
    </row>
    <row r="26" ht="22" customHeight="1">
      <c r="B26" s="17">
        <f>IF(C26="","ANJ-"&amp;TEXT(COUNTA($C$5:C26),"000"))</f>
        <v/>
      </c>
      <c r="C26" s="15" t="n"/>
      <c r="D26" s="15" t="n"/>
      <c r="E26" s="15" t="n"/>
      <c r="F26" s="15" t="n"/>
      <c r="G26" s="33" t="n"/>
      <c r="H26" s="33" t="n"/>
      <c r="I26" s="16">
        <f>IF(G26="","",H26-G26+1)</f>
        <v/>
      </c>
      <c r="J26" s="15" t="n"/>
      <c r="K26" s="15" t="n"/>
      <c r="L26" s="15" t="n"/>
    </row>
    <row r="27" ht="22" customHeight="1">
      <c r="B27" s="18">
        <f>IF(C27="","ANJ-"&amp;TEXT(COUNTA($C$5:C27),"000"))</f>
        <v/>
      </c>
      <c r="C27" s="13" t="n"/>
      <c r="D27" s="13" t="n"/>
      <c r="E27" s="13" t="n"/>
      <c r="F27" s="13" t="n"/>
      <c r="G27" s="32" t="n"/>
      <c r="H27" s="32" t="n"/>
      <c r="I27" s="14">
        <f>IF(G27="","",H27-G27+1)</f>
        <v/>
      </c>
      <c r="J27" s="13" t="n"/>
      <c r="K27" s="13" t="n"/>
      <c r="L27" s="13" t="n"/>
    </row>
    <row r="28" ht="22" customHeight="1">
      <c r="B28" s="17">
        <f>IF(C28="","ANJ-"&amp;TEXT(COUNTA($C$5:C28),"000"))</f>
        <v/>
      </c>
      <c r="C28" s="15" t="n"/>
      <c r="D28" s="15" t="n"/>
      <c r="E28" s="15" t="n"/>
      <c r="F28" s="15" t="n"/>
      <c r="G28" s="33" t="n"/>
      <c r="H28" s="33" t="n"/>
      <c r="I28" s="16">
        <f>IF(G28="","",H28-G28+1)</f>
        <v/>
      </c>
      <c r="J28" s="15" t="n"/>
      <c r="K28" s="15" t="n"/>
      <c r="L28" s="15" t="n"/>
    </row>
    <row r="29" ht="22" customHeight="1">
      <c r="B29" s="18">
        <f>IF(C29="","ANJ-"&amp;TEXT(COUNTA($C$5:C29),"000"))</f>
        <v/>
      </c>
      <c r="C29" s="13" t="n"/>
      <c r="D29" s="13" t="n"/>
      <c r="E29" s="13" t="n"/>
      <c r="F29" s="13" t="n"/>
      <c r="G29" s="32" t="n"/>
      <c r="H29" s="32" t="n"/>
      <c r="I29" s="14">
        <f>IF(G29="","",H29-G29+1)</f>
        <v/>
      </c>
      <c r="J29" s="13" t="n"/>
      <c r="K29" s="13" t="n"/>
      <c r="L29" s="13" t="n"/>
    </row>
    <row r="30" ht="22" customHeight="1">
      <c r="B30" s="17">
        <f>IF(C30="","ANJ-"&amp;TEXT(COUNTA($C$5:C30),"000"))</f>
        <v/>
      </c>
      <c r="C30" s="15" t="n"/>
      <c r="D30" s="15" t="n"/>
      <c r="E30" s="15" t="n"/>
      <c r="F30" s="15" t="n"/>
      <c r="G30" s="33" t="n"/>
      <c r="H30" s="33" t="n"/>
      <c r="I30" s="16">
        <f>IF(G30="","",H30-G30+1)</f>
        <v/>
      </c>
      <c r="J30" s="15" t="n"/>
      <c r="K30" s="15" t="n"/>
      <c r="L30" s="15" t="n"/>
    </row>
    <row r="31" ht="22" customHeight="1">
      <c r="B31" s="18">
        <f>IF(C31="","ANJ-"&amp;TEXT(COUNTA($C$5:C31),"000"))</f>
        <v/>
      </c>
      <c r="C31" s="13" t="n"/>
      <c r="D31" s="13" t="n"/>
      <c r="E31" s="13" t="n"/>
      <c r="F31" s="13" t="n"/>
      <c r="G31" s="32" t="n"/>
      <c r="H31" s="32" t="n"/>
      <c r="I31" s="14">
        <f>IF(G31="","",H31-G31+1)</f>
        <v/>
      </c>
      <c r="J31" s="13" t="n"/>
      <c r="K31" s="13" t="n"/>
      <c r="L31" s="13" t="n"/>
    </row>
    <row r="32" ht="22" customHeight="1">
      <c r="B32" s="17">
        <f>IF(C32="","ANJ-"&amp;TEXT(COUNTA($C$5:C32),"000"))</f>
        <v/>
      </c>
      <c r="C32" s="15" t="n"/>
      <c r="D32" s="15" t="n"/>
      <c r="E32" s="15" t="n"/>
      <c r="F32" s="15" t="n"/>
      <c r="G32" s="33" t="n"/>
      <c r="H32" s="33" t="n"/>
      <c r="I32" s="16">
        <f>IF(G32="","",H32-G32+1)</f>
        <v/>
      </c>
      <c r="J32" s="15" t="n"/>
      <c r="K32" s="15" t="n"/>
      <c r="L32" s="15" t="n"/>
    </row>
    <row r="33" ht="22" customHeight="1">
      <c r="B33" s="18">
        <f>IF(C33="","ANJ-"&amp;TEXT(COUNTA($C$5:C33),"000"))</f>
        <v/>
      </c>
      <c r="C33" s="13" t="n"/>
      <c r="D33" s="13" t="n"/>
      <c r="E33" s="13" t="n"/>
      <c r="F33" s="13" t="n"/>
      <c r="G33" s="32" t="n"/>
      <c r="H33" s="32" t="n"/>
      <c r="I33" s="14">
        <f>IF(G33="","",H33-G33+1)</f>
        <v/>
      </c>
      <c r="J33" s="13" t="n"/>
      <c r="K33" s="13" t="n"/>
      <c r="L33" s="13" t="n"/>
    </row>
    <row r="34" ht="22" customHeight="1">
      <c r="B34" s="17">
        <f>IF(C34="","ANJ-"&amp;TEXT(COUNTA($C$5:C34),"000"))</f>
        <v/>
      </c>
      <c r="C34" s="15" t="n"/>
      <c r="D34" s="15" t="n"/>
      <c r="E34" s="15" t="n"/>
      <c r="F34" s="15" t="n"/>
      <c r="G34" s="33" t="n"/>
      <c r="H34" s="33" t="n"/>
      <c r="I34" s="16">
        <f>IF(G34="","",H34-G34+1)</f>
        <v/>
      </c>
      <c r="J34" s="15" t="n"/>
      <c r="K34" s="15" t="n"/>
      <c r="L34" s="15" t="n"/>
    </row>
    <row r="35" ht="22" customHeight="1">
      <c r="B35" s="18">
        <f>IF(C35="","ANJ-"&amp;TEXT(COUNTA($C$5:C35),"000"))</f>
        <v/>
      </c>
      <c r="C35" s="13" t="n"/>
      <c r="D35" s="13" t="n"/>
      <c r="E35" s="13" t="n"/>
      <c r="F35" s="13" t="n"/>
      <c r="G35" s="32" t="n"/>
      <c r="H35" s="32" t="n"/>
      <c r="I35" s="14">
        <f>IF(G35="","",H35-G35+1)</f>
        <v/>
      </c>
      <c r="J35" s="13" t="n"/>
      <c r="K35" s="13" t="n"/>
      <c r="L35" s="13" t="n"/>
    </row>
    <row r="36" ht="22" customHeight="1">
      <c r="B36" s="17">
        <f>IF(C36="","ANJ-"&amp;TEXT(COUNTA($C$5:C36),"000"))</f>
        <v/>
      </c>
      <c r="C36" s="15" t="n"/>
      <c r="D36" s="15" t="n"/>
      <c r="E36" s="15" t="n"/>
      <c r="F36" s="15" t="n"/>
      <c r="G36" s="33" t="n"/>
      <c r="H36" s="33" t="n"/>
      <c r="I36" s="16">
        <f>IF(G36="","",H36-G36+1)</f>
        <v/>
      </c>
      <c r="J36" s="15" t="n"/>
      <c r="K36" s="15" t="n"/>
      <c r="L36" s="15" t="n"/>
    </row>
    <row r="37" ht="22" customHeight="1">
      <c r="B37" s="18">
        <f>IF(C37="","ANJ-"&amp;TEXT(COUNTA($C$5:C37),"000"))</f>
        <v/>
      </c>
      <c r="C37" s="13" t="n"/>
      <c r="D37" s="13" t="n"/>
      <c r="E37" s="13" t="n"/>
      <c r="F37" s="13" t="n"/>
      <c r="G37" s="32" t="n"/>
      <c r="H37" s="32" t="n"/>
      <c r="I37" s="14">
        <f>IF(G37="","",H37-G37+1)</f>
        <v/>
      </c>
      <c r="J37" s="13" t="n"/>
      <c r="K37" s="13" t="n"/>
      <c r="L37" s="13" t="n"/>
    </row>
    <row r="38" ht="22" customHeight="1">
      <c r="B38" s="17">
        <f>IF(C38="","ANJ-"&amp;TEXT(COUNTA($C$5:C38),"000"))</f>
        <v/>
      </c>
      <c r="C38" s="15" t="n"/>
      <c r="D38" s="15" t="n"/>
      <c r="E38" s="15" t="n"/>
      <c r="F38" s="15" t="n"/>
      <c r="G38" s="33" t="n"/>
      <c r="H38" s="33" t="n"/>
      <c r="I38" s="16">
        <f>IF(G38="","",H38-G38+1)</f>
        <v/>
      </c>
      <c r="J38" s="15" t="n"/>
      <c r="K38" s="15" t="n"/>
      <c r="L38" s="15" t="n"/>
    </row>
    <row r="39" ht="22" customHeight="1">
      <c r="B39" s="18">
        <f>IF(C39="","ANJ-"&amp;TEXT(COUNTA($C$5:C39),"000"))</f>
        <v/>
      </c>
      <c r="C39" s="13" t="n"/>
      <c r="D39" s="13" t="n"/>
      <c r="E39" s="13" t="n"/>
      <c r="F39" s="13" t="n"/>
      <c r="G39" s="32" t="n"/>
      <c r="H39" s="32" t="n"/>
      <c r="I39" s="14">
        <f>IF(G39="","",H39-G39+1)</f>
        <v/>
      </c>
      <c r="J39" s="13" t="n"/>
      <c r="K39" s="13" t="n"/>
      <c r="L39" s="13" t="n"/>
    </row>
    <row r="40" ht="22" customHeight="1">
      <c r="B40" s="17">
        <f>IF(C40="","ANJ-"&amp;TEXT(COUNTA($C$5:C40),"000"))</f>
        <v/>
      </c>
      <c r="C40" s="15" t="n"/>
      <c r="D40" s="15" t="n"/>
      <c r="E40" s="15" t="n"/>
      <c r="F40" s="15" t="n"/>
      <c r="G40" s="33" t="n"/>
      <c r="H40" s="33" t="n"/>
      <c r="I40" s="16">
        <f>IF(G40="","",H40-G40+1)</f>
        <v/>
      </c>
      <c r="J40" s="15" t="n"/>
      <c r="K40" s="15" t="n"/>
      <c r="L40" s="15" t="n"/>
    </row>
    <row r="41" ht="22" customHeight="1">
      <c r="B41" s="18">
        <f>IF(C41="","ANJ-"&amp;TEXT(COUNTA($C$5:C41),"000"))</f>
        <v/>
      </c>
      <c r="C41" s="13" t="n"/>
      <c r="D41" s="13" t="n"/>
      <c r="E41" s="13" t="n"/>
      <c r="F41" s="13" t="n"/>
      <c r="G41" s="32" t="n"/>
      <c r="H41" s="32" t="n"/>
      <c r="I41" s="14">
        <f>IF(G41="","",H41-G41+1)</f>
        <v/>
      </c>
      <c r="J41" s="13" t="n"/>
      <c r="K41" s="13" t="n"/>
      <c r="L41" s="13" t="n"/>
    </row>
    <row r="42" ht="22" customHeight="1">
      <c r="B42" s="17">
        <f>IF(C42="","ANJ-"&amp;TEXT(COUNTA($C$5:C42),"000"))</f>
        <v/>
      </c>
      <c r="C42" s="15" t="n"/>
      <c r="D42" s="15" t="n"/>
      <c r="E42" s="15" t="n"/>
      <c r="F42" s="15" t="n"/>
      <c r="G42" s="33" t="n"/>
      <c r="H42" s="33" t="n"/>
      <c r="I42" s="16">
        <f>IF(G42="","",H42-G42+1)</f>
        <v/>
      </c>
      <c r="J42" s="15" t="n"/>
      <c r="K42" s="15" t="n"/>
      <c r="L42" s="15" t="n"/>
    </row>
    <row r="43" ht="22" customHeight="1">
      <c r="B43" s="18">
        <f>IF(C43="","ANJ-"&amp;TEXT(COUNTA($C$5:C43),"000"))</f>
        <v/>
      </c>
      <c r="C43" s="13" t="n"/>
      <c r="D43" s="13" t="n"/>
      <c r="E43" s="13" t="n"/>
      <c r="F43" s="13" t="n"/>
      <c r="G43" s="32" t="n"/>
      <c r="H43" s="32" t="n"/>
      <c r="I43" s="14">
        <f>IF(G43="","",H43-G43+1)</f>
        <v/>
      </c>
      <c r="J43" s="13" t="n"/>
      <c r="K43" s="13" t="n"/>
      <c r="L43" s="13" t="n"/>
    </row>
    <row r="44" ht="22" customHeight="1">
      <c r="B44" s="17">
        <f>IF(C44="","ANJ-"&amp;TEXT(COUNTA($C$5:C44),"000"))</f>
        <v/>
      </c>
      <c r="C44" s="15" t="n"/>
      <c r="D44" s="15" t="n"/>
      <c r="E44" s="15" t="n"/>
      <c r="F44" s="15" t="n"/>
      <c r="G44" s="33" t="n"/>
      <c r="H44" s="33" t="n"/>
      <c r="I44" s="16">
        <f>IF(G44="","",H44-G44+1)</f>
        <v/>
      </c>
      <c r="J44" s="15" t="n"/>
      <c r="K44" s="15" t="n"/>
      <c r="L44" s="15" t="n"/>
    </row>
    <row r="45" ht="22" customHeight="1">
      <c r="B45" s="18">
        <f>IF(C45="","ANJ-"&amp;TEXT(COUNTA($C$5:C45),"000"))</f>
        <v/>
      </c>
      <c r="C45" s="13" t="n"/>
      <c r="D45" s="13" t="n"/>
      <c r="E45" s="13" t="n"/>
      <c r="F45" s="13" t="n"/>
      <c r="G45" s="32" t="n"/>
      <c r="H45" s="32" t="n"/>
      <c r="I45" s="14">
        <f>IF(G45="","",H45-G45+1)</f>
        <v/>
      </c>
      <c r="J45" s="13" t="n"/>
      <c r="K45" s="13" t="n"/>
      <c r="L45" s="13" t="n"/>
    </row>
    <row r="46" ht="22" customHeight="1">
      <c r="B46" s="17">
        <f>IF(C46="","ANJ-"&amp;TEXT(COUNTA($C$5:C46),"000"))</f>
        <v/>
      </c>
      <c r="C46" s="15" t="n"/>
      <c r="D46" s="15" t="n"/>
      <c r="E46" s="15" t="n"/>
      <c r="F46" s="15" t="n"/>
      <c r="G46" s="33" t="n"/>
      <c r="H46" s="33" t="n"/>
      <c r="I46" s="16">
        <f>IF(G46="","",H46-G46+1)</f>
        <v/>
      </c>
      <c r="J46" s="15" t="n"/>
      <c r="K46" s="15" t="n"/>
      <c r="L46" s="15" t="n"/>
    </row>
    <row r="47" ht="22" customHeight="1">
      <c r="B47" s="18">
        <f>IF(C47="","ANJ-"&amp;TEXT(COUNTA($C$5:C47),"000"))</f>
        <v/>
      </c>
      <c r="C47" s="13" t="n"/>
      <c r="D47" s="13" t="n"/>
      <c r="E47" s="13" t="n"/>
      <c r="F47" s="13" t="n"/>
      <c r="G47" s="32" t="n"/>
      <c r="H47" s="32" t="n"/>
      <c r="I47" s="14">
        <f>IF(G47="","",H47-G47+1)</f>
        <v/>
      </c>
      <c r="J47" s="13" t="n"/>
      <c r="K47" s="13" t="n"/>
      <c r="L47" s="13" t="n"/>
    </row>
    <row r="48" ht="22" customHeight="1">
      <c r="B48" s="17">
        <f>IF(C48="","ANJ-"&amp;TEXT(COUNTA($C$5:C48),"000"))</f>
        <v/>
      </c>
      <c r="C48" s="15" t="n"/>
      <c r="D48" s="15" t="n"/>
      <c r="E48" s="15" t="n"/>
      <c r="F48" s="15" t="n"/>
      <c r="G48" s="33" t="n"/>
      <c r="H48" s="33" t="n"/>
      <c r="I48" s="16">
        <f>IF(G48="","",H48-G48+1)</f>
        <v/>
      </c>
      <c r="J48" s="15" t="n"/>
      <c r="K48" s="15" t="n"/>
      <c r="L48" s="15" t="n"/>
    </row>
    <row r="49" ht="22" customHeight="1">
      <c r="B49" s="18">
        <f>IF(C49="","ANJ-"&amp;TEXT(COUNTA($C$5:C49),"000"))</f>
        <v/>
      </c>
      <c r="C49" s="13" t="n"/>
      <c r="D49" s="13" t="n"/>
      <c r="E49" s="13" t="n"/>
      <c r="F49" s="13" t="n"/>
      <c r="G49" s="32" t="n"/>
      <c r="H49" s="32" t="n"/>
      <c r="I49" s="14">
        <f>IF(G49="","",H49-G49+1)</f>
        <v/>
      </c>
      <c r="J49" s="13" t="n"/>
      <c r="K49" s="13" t="n"/>
      <c r="L49" s="13" t="n"/>
    </row>
    <row r="50" ht="22" customHeight="1">
      <c r="B50" s="17">
        <f>IF(C50="","ANJ-"&amp;TEXT(COUNTA($C$5:C50),"000"))</f>
        <v/>
      </c>
      <c r="C50" s="15" t="n"/>
      <c r="D50" s="15" t="n"/>
      <c r="E50" s="15" t="n"/>
      <c r="F50" s="15" t="n"/>
      <c r="G50" s="33" t="n"/>
      <c r="H50" s="33" t="n"/>
      <c r="I50" s="16">
        <f>IF(G50="","",H50-G50+1)</f>
        <v/>
      </c>
      <c r="J50" s="15" t="n"/>
      <c r="K50" s="15" t="n"/>
      <c r="L50" s="15" t="n"/>
    </row>
    <row r="51" ht="22" customHeight="1">
      <c r="B51" s="18">
        <f>IF(C51="","ANJ-"&amp;TEXT(COUNTA($C$5:C51),"000"))</f>
        <v/>
      </c>
      <c r="C51" s="13" t="n"/>
      <c r="D51" s="13" t="n"/>
      <c r="E51" s="13" t="n"/>
      <c r="F51" s="13" t="n"/>
      <c r="G51" s="32" t="n"/>
      <c r="H51" s="32" t="n"/>
      <c r="I51" s="14">
        <f>IF(G51="","",H51-G51+1)</f>
        <v/>
      </c>
      <c r="J51" s="13" t="n"/>
      <c r="K51" s="13" t="n"/>
      <c r="L51" s="13" t="n"/>
    </row>
    <row r="52" ht="22" customHeight="1">
      <c r="B52" s="17">
        <f>IF(C52="","ANJ-"&amp;TEXT(COUNTA($C$5:C52),"000"))</f>
        <v/>
      </c>
      <c r="C52" s="15" t="n"/>
      <c r="D52" s="15" t="n"/>
      <c r="E52" s="15" t="n"/>
      <c r="F52" s="15" t="n"/>
      <c r="G52" s="33" t="n"/>
      <c r="H52" s="33" t="n"/>
      <c r="I52" s="16">
        <f>IF(G52="","",H52-G52+1)</f>
        <v/>
      </c>
      <c r="J52" s="15" t="n"/>
      <c r="K52" s="15" t="n"/>
      <c r="L52" s="15" t="n"/>
    </row>
    <row r="53" ht="22" customHeight="1">
      <c r="B53" s="18">
        <f>IF(C53="","ANJ-"&amp;TEXT(COUNTA($C$5:C53),"000"))</f>
        <v/>
      </c>
      <c r="C53" s="13" t="n"/>
      <c r="D53" s="13" t="n"/>
      <c r="E53" s="13" t="n"/>
      <c r="F53" s="13" t="n"/>
      <c r="G53" s="32" t="n"/>
      <c r="H53" s="32" t="n"/>
      <c r="I53" s="14">
        <f>IF(G53="","",H53-G53+1)</f>
        <v/>
      </c>
      <c r="J53" s="13" t="n"/>
      <c r="K53" s="13" t="n"/>
      <c r="L53" s="13" t="n"/>
    </row>
    <row r="54" ht="22" customHeight="1">
      <c r="B54" s="17">
        <f>IF(C54="","ANJ-"&amp;TEXT(COUNTA($C$5:C54),"000"))</f>
        <v/>
      </c>
      <c r="C54" s="15" t="n"/>
      <c r="D54" s="15" t="n"/>
      <c r="E54" s="15" t="n"/>
      <c r="F54" s="15" t="n"/>
      <c r="G54" s="33" t="n"/>
      <c r="H54" s="33" t="n"/>
      <c r="I54" s="16">
        <f>IF(G54="","",H54-G54+1)</f>
        <v/>
      </c>
      <c r="J54" s="15" t="n"/>
      <c r="K54" s="15" t="n"/>
      <c r="L54" s="15" t="n"/>
    </row>
    <row r="55" ht="22" customHeight="1">
      <c r="B55" s="18">
        <f>IF(C55="","ANJ-"&amp;TEXT(COUNTA($C$5:C55),"000"))</f>
        <v/>
      </c>
      <c r="C55" s="13" t="n"/>
      <c r="D55" s="13" t="n"/>
      <c r="E55" s="13" t="n"/>
      <c r="F55" s="13" t="n"/>
      <c r="G55" s="32" t="n"/>
      <c r="H55" s="32" t="n"/>
      <c r="I55" s="14">
        <f>IF(G55="","",H55-G55+1)</f>
        <v/>
      </c>
      <c r="J55" s="13" t="n"/>
      <c r="K55" s="13" t="n"/>
      <c r="L55" s="13" t="n"/>
    </row>
    <row r="56" ht="22" customHeight="1">
      <c r="B56" s="17">
        <f>IF(C56="","ANJ-"&amp;TEXT(COUNTA($C$5:C56),"000"))</f>
        <v/>
      </c>
      <c r="C56" s="15" t="n"/>
      <c r="D56" s="15" t="n"/>
      <c r="E56" s="15" t="n"/>
      <c r="F56" s="15" t="n"/>
      <c r="G56" s="33" t="n"/>
      <c r="H56" s="33" t="n"/>
      <c r="I56" s="16">
        <f>IF(G56="","",H56-G56+1)</f>
        <v/>
      </c>
      <c r="J56" s="15" t="n"/>
      <c r="K56" s="15" t="n"/>
      <c r="L56" s="15" t="n"/>
    </row>
    <row r="57" ht="22" customHeight="1">
      <c r="B57" s="18">
        <f>IF(C57="","ANJ-"&amp;TEXT(COUNTA($C$5:C57),"000"))</f>
        <v/>
      </c>
      <c r="C57" s="13" t="n"/>
      <c r="D57" s="13" t="n"/>
      <c r="E57" s="13" t="n"/>
      <c r="F57" s="13" t="n"/>
      <c r="G57" s="32" t="n"/>
      <c r="H57" s="32" t="n"/>
      <c r="I57" s="14">
        <f>IF(G57="","",H57-G57+1)</f>
        <v/>
      </c>
      <c r="J57" s="13" t="n"/>
      <c r="K57" s="13" t="n"/>
      <c r="L57" s="13" t="n"/>
    </row>
    <row r="58" ht="22" customHeight="1">
      <c r="B58" s="17">
        <f>IF(C58="","ANJ-"&amp;TEXT(COUNTA($C$5:C58),"000"))</f>
        <v/>
      </c>
      <c r="C58" s="15" t="n"/>
      <c r="D58" s="15" t="n"/>
      <c r="E58" s="15" t="n"/>
      <c r="F58" s="15" t="n"/>
      <c r="G58" s="33" t="n"/>
      <c r="H58" s="33" t="n"/>
      <c r="I58" s="16">
        <f>IF(G58="","",H58-G58+1)</f>
        <v/>
      </c>
      <c r="J58" s="15" t="n"/>
      <c r="K58" s="15" t="n"/>
      <c r="L58" s="15" t="n"/>
    </row>
    <row r="59" ht="22" customHeight="1">
      <c r="B59" s="18">
        <f>IF(C59="","ANJ-"&amp;TEXT(COUNTA($C$5:C59),"000"))</f>
        <v/>
      </c>
      <c r="C59" s="13" t="n"/>
      <c r="D59" s="13" t="n"/>
      <c r="E59" s="13" t="n"/>
      <c r="F59" s="13" t="n"/>
      <c r="G59" s="32" t="n"/>
      <c r="H59" s="32" t="n"/>
      <c r="I59" s="14">
        <f>IF(G59="","",H59-G59+1)</f>
        <v/>
      </c>
      <c r="J59" s="13" t="n"/>
      <c r="K59" s="13" t="n"/>
      <c r="L59" s="13" t="n"/>
    </row>
    <row r="60" ht="22" customHeight="1">
      <c r="B60" s="17">
        <f>IF(C60="","ANJ-"&amp;TEXT(COUNTA($C$5:C60),"000"))</f>
        <v/>
      </c>
      <c r="C60" s="15" t="n"/>
      <c r="D60" s="15" t="n"/>
      <c r="E60" s="15" t="n"/>
      <c r="F60" s="15" t="n"/>
      <c r="G60" s="33" t="n"/>
      <c r="H60" s="33" t="n"/>
      <c r="I60" s="16">
        <f>IF(G60="","",H60-G60+1)</f>
        <v/>
      </c>
      <c r="J60" s="15" t="n"/>
      <c r="K60" s="15" t="n"/>
      <c r="L60" s="15" t="n"/>
    </row>
    <row r="61" ht="22" customHeight="1">
      <c r="B61" s="18">
        <f>IF(C61="","ANJ-"&amp;TEXT(COUNTA($C$5:C61),"000"))</f>
        <v/>
      </c>
      <c r="C61" s="13" t="n"/>
      <c r="D61" s="13" t="n"/>
      <c r="E61" s="13" t="n"/>
      <c r="F61" s="13" t="n"/>
      <c r="G61" s="32" t="n"/>
      <c r="H61" s="32" t="n"/>
      <c r="I61" s="14">
        <f>IF(G61="","",H61-G61+1)</f>
        <v/>
      </c>
      <c r="J61" s="13" t="n"/>
      <c r="K61" s="13" t="n"/>
      <c r="L61" s="13" t="n"/>
    </row>
    <row r="62" ht="22" customHeight="1">
      <c r="B62" s="17">
        <f>IF(C62="","ANJ-"&amp;TEXT(COUNTA($C$5:C62),"000"))</f>
        <v/>
      </c>
      <c r="C62" s="15" t="n"/>
      <c r="D62" s="15" t="n"/>
      <c r="E62" s="15" t="n"/>
      <c r="F62" s="15" t="n"/>
      <c r="G62" s="33" t="n"/>
      <c r="H62" s="33" t="n"/>
      <c r="I62" s="16">
        <f>IF(G62="","",H62-G62+1)</f>
        <v/>
      </c>
      <c r="J62" s="15" t="n"/>
      <c r="K62" s="15" t="n"/>
      <c r="L62" s="15" t="n"/>
    </row>
    <row r="63" ht="22" customHeight="1">
      <c r="B63" s="18">
        <f>IF(C63="","ANJ-"&amp;TEXT(COUNTA($C$5:C63),"000"))</f>
        <v/>
      </c>
      <c r="C63" s="13" t="n"/>
      <c r="D63" s="13" t="n"/>
      <c r="E63" s="13" t="n"/>
      <c r="F63" s="13" t="n"/>
      <c r="G63" s="32" t="n"/>
      <c r="H63" s="32" t="n"/>
      <c r="I63" s="14">
        <f>IF(G63="","",H63-G63+1)</f>
        <v/>
      </c>
      <c r="J63" s="13" t="n"/>
      <c r="K63" s="13" t="n"/>
      <c r="L63" s="13" t="n"/>
    </row>
    <row r="64" ht="22" customHeight="1">
      <c r="B64" s="17">
        <f>IF(C64="","ANJ-"&amp;TEXT(COUNTA($C$5:C64),"000"))</f>
        <v/>
      </c>
      <c r="C64" s="15" t="n"/>
      <c r="D64" s="15" t="n"/>
      <c r="E64" s="15" t="n"/>
      <c r="F64" s="15" t="n"/>
      <c r="G64" s="33" t="n"/>
      <c r="H64" s="33" t="n"/>
      <c r="I64" s="16">
        <f>IF(G64="","",H64-G64+1)</f>
        <v/>
      </c>
      <c r="J64" s="15" t="n"/>
      <c r="K64" s="15" t="n"/>
      <c r="L64" s="15" t="n"/>
    </row>
    <row r="65" ht="22" customHeight="1">
      <c r="B65" s="18">
        <f>IF(C65="","ANJ-"&amp;TEXT(COUNTA($C$5:C65),"000"))</f>
        <v/>
      </c>
      <c r="C65" s="13" t="n"/>
      <c r="D65" s="13" t="n"/>
      <c r="E65" s="13" t="n"/>
      <c r="F65" s="13" t="n"/>
      <c r="G65" s="32" t="n"/>
      <c r="H65" s="32" t="n"/>
      <c r="I65" s="14">
        <f>IF(G65="","",H65-G65+1)</f>
        <v/>
      </c>
      <c r="J65" s="13" t="n"/>
      <c r="K65" s="13" t="n"/>
      <c r="L65" s="13" t="n"/>
    </row>
    <row r="66" ht="22" customHeight="1">
      <c r="B66" s="17">
        <f>IF(C66="","ANJ-"&amp;TEXT(COUNTA($C$5:C66),"000"))</f>
        <v/>
      </c>
      <c r="C66" s="15" t="n"/>
      <c r="D66" s="15" t="n"/>
      <c r="E66" s="15" t="n"/>
      <c r="F66" s="15" t="n"/>
      <c r="G66" s="33" t="n"/>
      <c r="H66" s="33" t="n"/>
      <c r="I66" s="16">
        <f>IF(G66="","",H66-G66+1)</f>
        <v/>
      </c>
      <c r="J66" s="15" t="n"/>
      <c r="K66" s="15" t="n"/>
      <c r="L66" s="15" t="n"/>
    </row>
    <row r="67" ht="22" customHeight="1">
      <c r="B67" s="18">
        <f>IF(C67="","ANJ-"&amp;TEXT(COUNTA($C$5:C67),"000"))</f>
        <v/>
      </c>
      <c r="C67" s="13" t="n"/>
      <c r="D67" s="13" t="n"/>
      <c r="E67" s="13" t="n"/>
      <c r="F67" s="13" t="n"/>
      <c r="G67" s="32" t="n"/>
      <c r="H67" s="32" t="n"/>
      <c r="I67" s="14">
        <f>IF(G67="","",H67-G67+1)</f>
        <v/>
      </c>
      <c r="J67" s="13" t="n"/>
      <c r="K67" s="13" t="n"/>
      <c r="L67" s="13" t="n"/>
    </row>
    <row r="68" ht="22" customHeight="1">
      <c r="B68" s="17">
        <f>IF(C68="","ANJ-"&amp;TEXT(COUNTA($C$5:C68),"000"))</f>
        <v/>
      </c>
      <c r="C68" s="15" t="n"/>
      <c r="D68" s="15" t="n"/>
      <c r="E68" s="15" t="n"/>
      <c r="F68" s="15" t="n"/>
      <c r="G68" s="33" t="n"/>
      <c r="H68" s="33" t="n"/>
      <c r="I68" s="16">
        <f>IF(G68="","",H68-G68+1)</f>
        <v/>
      </c>
      <c r="J68" s="15" t="n"/>
      <c r="K68" s="15" t="n"/>
      <c r="L68" s="15" t="n"/>
    </row>
    <row r="69" ht="22" customHeight="1">
      <c r="B69" s="18">
        <f>IF(C69="","ANJ-"&amp;TEXT(COUNTA($C$5:C69),"000"))</f>
        <v/>
      </c>
      <c r="C69" s="13" t="n"/>
      <c r="D69" s="13" t="n"/>
      <c r="E69" s="13" t="n"/>
      <c r="F69" s="13" t="n"/>
      <c r="G69" s="32" t="n"/>
      <c r="H69" s="32" t="n"/>
      <c r="I69" s="14">
        <f>IF(G69="","",H69-G69+1)</f>
        <v/>
      </c>
      <c r="J69" s="13" t="n"/>
      <c r="K69" s="13" t="n"/>
      <c r="L69" s="13" t="n"/>
    </row>
    <row r="70" ht="22" customHeight="1">
      <c r="B70" s="17">
        <f>IF(C70="","ANJ-"&amp;TEXT(COUNTA($C$5:C70),"000"))</f>
        <v/>
      </c>
      <c r="C70" s="15" t="n"/>
      <c r="D70" s="15" t="n"/>
      <c r="E70" s="15" t="n"/>
      <c r="F70" s="15" t="n"/>
      <c r="G70" s="33" t="n"/>
      <c r="H70" s="33" t="n"/>
      <c r="I70" s="16">
        <f>IF(G70="","",H70-G70+1)</f>
        <v/>
      </c>
      <c r="J70" s="15" t="n"/>
      <c r="K70" s="15" t="n"/>
      <c r="L70" s="15" t="n"/>
    </row>
    <row r="71" ht="22" customHeight="1">
      <c r="B71" s="18">
        <f>IF(C71="","ANJ-"&amp;TEXT(COUNTA($C$5:C71),"000"))</f>
        <v/>
      </c>
      <c r="C71" s="13" t="n"/>
      <c r="D71" s="13" t="n"/>
      <c r="E71" s="13" t="n"/>
      <c r="F71" s="13" t="n"/>
      <c r="G71" s="32" t="n"/>
      <c r="H71" s="32" t="n"/>
      <c r="I71" s="14">
        <f>IF(G71="","",H71-G71+1)</f>
        <v/>
      </c>
      <c r="J71" s="13" t="n"/>
      <c r="K71" s="13" t="n"/>
      <c r="L71" s="13" t="n"/>
    </row>
    <row r="72" ht="22" customHeight="1">
      <c r="B72" s="17">
        <f>IF(C72="","ANJ-"&amp;TEXT(COUNTA($C$5:C72),"000"))</f>
        <v/>
      </c>
      <c r="C72" s="15" t="n"/>
      <c r="D72" s="15" t="n"/>
      <c r="E72" s="15" t="n"/>
      <c r="F72" s="15" t="n"/>
      <c r="G72" s="33" t="n"/>
      <c r="H72" s="33" t="n"/>
      <c r="I72" s="16">
        <f>IF(G72="","",H72-G72+1)</f>
        <v/>
      </c>
      <c r="J72" s="15" t="n"/>
      <c r="K72" s="15" t="n"/>
      <c r="L72" s="15" t="n"/>
    </row>
    <row r="73" ht="22" customHeight="1">
      <c r="B73" s="18">
        <f>IF(C73="","ANJ-"&amp;TEXT(COUNTA($C$5:C73),"000"))</f>
        <v/>
      </c>
      <c r="C73" s="13" t="n"/>
      <c r="D73" s="13" t="n"/>
      <c r="E73" s="13" t="n"/>
      <c r="F73" s="13" t="n"/>
      <c r="G73" s="32" t="n"/>
      <c r="H73" s="32" t="n"/>
      <c r="I73" s="14">
        <f>IF(G73="","",H73-G73+1)</f>
        <v/>
      </c>
      <c r="J73" s="13" t="n"/>
      <c r="K73" s="13" t="n"/>
      <c r="L73" s="13" t="n"/>
    </row>
    <row r="74" ht="22" customHeight="1">
      <c r="B74" s="17">
        <f>IF(C74="","ANJ-"&amp;TEXT(COUNTA($C$5:C74),"000"))</f>
        <v/>
      </c>
      <c r="C74" s="15" t="n"/>
      <c r="D74" s="15" t="n"/>
      <c r="E74" s="15" t="n"/>
      <c r="F74" s="15" t="n"/>
      <c r="G74" s="33" t="n"/>
      <c r="H74" s="33" t="n"/>
      <c r="I74" s="16">
        <f>IF(G74="","",H74-G74+1)</f>
        <v/>
      </c>
      <c r="J74" s="15" t="n"/>
      <c r="K74" s="15" t="n"/>
      <c r="L74" s="15" t="n"/>
    </row>
    <row r="75" ht="22" customHeight="1">
      <c r="B75" s="18">
        <f>IF(C75="","ANJ-"&amp;TEXT(COUNTA($C$5:C75),"000"))</f>
        <v/>
      </c>
      <c r="C75" s="13" t="n"/>
      <c r="D75" s="13" t="n"/>
      <c r="E75" s="13" t="n"/>
      <c r="F75" s="13" t="n"/>
      <c r="G75" s="32" t="n"/>
      <c r="H75" s="32" t="n"/>
      <c r="I75" s="14">
        <f>IF(G75="","",H75-G75+1)</f>
        <v/>
      </c>
      <c r="J75" s="13" t="n"/>
      <c r="K75" s="13" t="n"/>
      <c r="L75" s="13" t="n"/>
    </row>
    <row r="76" ht="22" customHeight="1">
      <c r="B76" s="17">
        <f>IF(C76="","ANJ-"&amp;TEXT(COUNTA($C$5:C76),"000"))</f>
        <v/>
      </c>
      <c r="C76" s="15" t="n"/>
      <c r="D76" s="15" t="n"/>
      <c r="E76" s="15" t="n"/>
      <c r="F76" s="15" t="n"/>
      <c r="G76" s="33" t="n"/>
      <c r="H76" s="33" t="n"/>
      <c r="I76" s="16">
        <f>IF(G76="","",H76-G76+1)</f>
        <v/>
      </c>
      <c r="J76" s="15" t="n"/>
      <c r="K76" s="15" t="n"/>
      <c r="L76" s="15" t="n"/>
    </row>
    <row r="77" ht="22" customHeight="1">
      <c r="B77" s="18">
        <f>IF(C77="","ANJ-"&amp;TEXT(COUNTA($C$5:C77),"000"))</f>
        <v/>
      </c>
      <c r="C77" s="13" t="n"/>
      <c r="D77" s="13" t="n"/>
      <c r="E77" s="13" t="n"/>
      <c r="F77" s="13" t="n"/>
      <c r="G77" s="32" t="n"/>
      <c r="H77" s="32" t="n"/>
      <c r="I77" s="14">
        <f>IF(G77="","",H77-G77+1)</f>
        <v/>
      </c>
      <c r="J77" s="13" t="n"/>
      <c r="K77" s="13" t="n"/>
      <c r="L77" s="13" t="n"/>
    </row>
    <row r="78" ht="22" customHeight="1">
      <c r="B78" s="17">
        <f>IF(C78="","ANJ-"&amp;TEXT(COUNTA($C$5:C78),"000"))</f>
        <v/>
      </c>
      <c r="C78" s="15" t="n"/>
      <c r="D78" s="15" t="n"/>
      <c r="E78" s="15" t="n"/>
      <c r="F78" s="15" t="n"/>
      <c r="G78" s="33" t="n"/>
      <c r="H78" s="33" t="n"/>
      <c r="I78" s="16">
        <f>IF(G78="","",H78-G78+1)</f>
        <v/>
      </c>
      <c r="J78" s="15" t="n"/>
      <c r="K78" s="15" t="n"/>
      <c r="L78" s="15" t="n"/>
    </row>
    <row r="79" ht="22" customHeight="1">
      <c r="B79" s="18">
        <f>IF(C79="","ANJ-"&amp;TEXT(COUNTA($C$5:C79),"000"))</f>
        <v/>
      </c>
      <c r="C79" s="13" t="n"/>
      <c r="D79" s="13" t="n"/>
      <c r="E79" s="13" t="n"/>
      <c r="F79" s="13" t="n"/>
      <c r="G79" s="32" t="n"/>
      <c r="H79" s="32" t="n"/>
      <c r="I79" s="14">
        <f>IF(G79="","",H79-G79+1)</f>
        <v/>
      </c>
      <c r="J79" s="13" t="n"/>
      <c r="K79" s="13" t="n"/>
      <c r="L79" s="13" t="n"/>
    </row>
    <row r="80" ht="22" customHeight="1">
      <c r="B80" s="17">
        <f>IF(C80="","ANJ-"&amp;TEXT(COUNTA($C$5:C80),"000"))</f>
        <v/>
      </c>
      <c r="C80" s="15" t="n"/>
      <c r="D80" s="15" t="n"/>
      <c r="E80" s="15" t="n"/>
      <c r="F80" s="15" t="n"/>
      <c r="G80" s="33" t="n"/>
      <c r="H80" s="33" t="n"/>
      <c r="I80" s="16">
        <f>IF(G80="","",H80-G80+1)</f>
        <v/>
      </c>
      <c r="J80" s="15" t="n"/>
      <c r="K80" s="15" t="n"/>
      <c r="L80" s="15" t="n"/>
    </row>
    <row r="81" ht="22" customHeight="1">
      <c r="B81" s="18">
        <f>IF(C81="","ANJ-"&amp;TEXT(COUNTA($C$5:C81),"000"))</f>
        <v/>
      </c>
      <c r="C81" s="13" t="n"/>
      <c r="D81" s="13" t="n"/>
      <c r="E81" s="13" t="n"/>
      <c r="F81" s="13" t="n"/>
      <c r="G81" s="32" t="n"/>
      <c r="H81" s="32" t="n"/>
      <c r="I81" s="14">
        <f>IF(G81="","",H81-G81+1)</f>
        <v/>
      </c>
      <c r="J81" s="13" t="n"/>
      <c r="K81" s="13" t="n"/>
      <c r="L81" s="13" t="n"/>
    </row>
    <row r="82" ht="22" customHeight="1">
      <c r="B82" s="17">
        <f>IF(C82="","ANJ-"&amp;TEXT(COUNTA($C$5:C82),"000"))</f>
        <v/>
      </c>
      <c r="C82" s="15" t="n"/>
      <c r="D82" s="15" t="n"/>
      <c r="E82" s="15" t="n"/>
      <c r="F82" s="15" t="n"/>
      <c r="G82" s="33" t="n"/>
      <c r="H82" s="33" t="n"/>
      <c r="I82" s="16">
        <f>IF(G82="","",H82-G82+1)</f>
        <v/>
      </c>
      <c r="J82" s="15" t="n"/>
      <c r="K82" s="15" t="n"/>
      <c r="L82" s="15" t="n"/>
    </row>
    <row r="83" ht="22" customHeight="1">
      <c r="B83" s="18">
        <f>IF(C83="","ANJ-"&amp;TEXT(COUNTA($C$5:C83),"000"))</f>
        <v/>
      </c>
      <c r="C83" s="13" t="n"/>
      <c r="D83" s="13" t="n"/>
      <c r="E83" s="13" t="n"/>
      <c r="F83" s="13" t="n"/>
      <c r="G83" s="32" t="n"/>
      <c r="H83" s="32" t="n"/>
      <c r="I83" s="14">
        <f>IF(G83="","",H83-G83+1)</f>
        <v/>
      </c>
      <c r="J83" s="13" t="n"/>
      <c r="K83" s="13" t="n"/>
      <c r="L83" s="13" t="n"/>
    </row>
    <row r="84" ht="22" customHeight="1">
      <c r="B84" s="17">
        <f>IF(C84="","ANJ-"&amp;TEXT(COUNTA($C$5:C84),"000"))</f>
        <v/>
      </c>
      <c r="C84" s="15" t="n"/>
      <c r="D84" s="15" t="n"/>
      <c r="E84" s="15" t="n"/>
      <c r="F84" s="15" t="n"/>
      <c r="G84" s="33" t="n"/>
      <c r="H84" s="33" t="n"/>
      <c r="I84" s="16">
        <f>IF(G84="","",H84-G84+1)</f>
        <v/>
      </c>
      <c r="J84" s="15" t="n"/>
      <c r="K84" s="15" t="n"/>
      <c r="L84" s="15" t="n"/>
    </row>
    <row r="85" ht="22" customHeight="1">
      <c r="B85" s="18">
        <f>IF(C85="","ANJ-"&amp;TEXT(COUNTA($C$5:C85),"000"))</f>
        <v/>
      </c>
      <c r="C85" s="13" t="n"/>
      <c r="D85" s="13" t="n"/>
      <c r="E85" s="13" t="n"/>
      <c r="F85" s="13" t="n"/>
      <c r="G85" s="32" t="n"/>
      <c r="H85" s="32" t="n"/>
      <c r="I85" s="14">
        <f>IF(G85="","",H85-G85+1)</f>
        <v/>
      </c>
      <c r="J85" s="13" t="n"/>
      <c r="K85" s="13" t="n"/>
      <c r="L85" s="13" t="n"/>
    </row>
    <row r="86" ht="22" customHeight="1">
      <c r="B86" s="17">
        <f>IF(C86="","ANJ-"&amp;TEXT(COUNTA($C$5:C86),"000"))</f>
        <v/>
      </c>
      <c r="C86" s="15" t="n"/>
      <c r="D86" s="15" t="n"/>
      <c r="E86" s="15" t="n"/>
      <c r="F86" s="15" t="n"/>
      <c r="G86" s="33" t="n"/>
      <c r="H86" s="33" t="n"/>
      <c r="I86" s="16">
        <f>IF(G86="","",H86-G86+1)</f>
        <v/>
      </c>
      <c r="J86" s="15" t="n"/>
      <c r="K86" s="15" t="n"/>
      <c r="L86" s="15" t="n"/>
    </row>
    <row r="87" ht="22" customHeight="1">
      <c r="B87" s="18">
        <f>IF(C87="","ANJ-"&amp;TEXT(COUNTA($C$5:C87),"000"))</f>
        <v/>
      </c>
      <c r="C87" s="13" t="n"/>
      <c r="D87" s="13" t="n"/>
      <c r="E87" s="13" t="n"/>
      <c r="F87" s="13" t="n"/>
      <c r="G87" s="32" t="n"/>
      <c r="H87" s="32" t="n"/>
      <c r="I87" s="14">
        <f>IF(G87="","",H87-G87+1)</f>
        <v/>
      </c>
      <c r="J87" s="13" t="n"/>
      <c r="K87" s="13" t="n"/>
      <c r="L87" s="13" t="n"/>
    </row>
    <row r="88" ht="22" customHeight="1">
      <c r="B88" s="17">
        <f>IF(C88="","ANJ-"&amp;TEXT(COUNTA($C$5:C88),"000"))</f>
        <v/>
      </c>
      <c r="C88" s="15" t="n"/>
      <c r="D88" s="15" t="n"/>
      <c r="E88" s="15" t="n"/>
      <c r="F88" s="15" t="n"/>
      <c r="G88" s="33" t="n"/>
      <c r="H88" s="33" t="n"/>
      <c r="I88" s="16">
        <f>IF(G88="","",H88-G88+1)</f>
        <v/>
      </c>
      <c r="J88" s="15" t="n"/>
      <c r="K88" s="15" t="n"/>
      <c r="L88" s="15" t="n"/>
    </row>
    <row r="89" ht="22" customHeight="1">
      <c r="B89" s="18">
        <f>IF(C89="","ANJ-"&amp;TEXT(COUNTA($C$5:C89),"000"))</f>
        <v/>
      </c>
      <c r="C89" s="13" t="n"/>
      <c r="D89" s="13" t="n"/>
      <c r="E89" s="13" t="n"/>
      <c r="F89" s="13" t="n"/>
      <c r="G89" s="32" t="n"/>
      <c r="H89" s="32" t="n"/>
      <c r="I89" s="14">
        <f>IF(G89="","",H89-G89+1)</f>
        <v/>
      </c>
      <c r="J89" s="13" t="n"/>
      <c r="K89" s="13" t="n"/>
      <c r="L89" s="13" t="n"/>
    </row>
    <row r="90" ht="22" customHeight="1">
      <c r="B90" s="17">
        <f>IF(C90="","ANJ-"&amp;TEXT(COUNTA($C$5:C90),"000"))</f>
        <v/>
      </c>
      <c r="C90" s="15" t="n"/>
      <c r="D90" s="15" t="n"/>
      <c r="E90" s="15" t="n"/>
      <c r="F90" s="15" t="n"/>
      <c r="G90" s="33" t="n"/>
      <c r="H90" s="33" t="n"/>
      <c r="I90" s="16">
        <f>IF(G90="","",H90-G90+1)</f>
        <v/>
      </c>
      <c r="J90" s="15" t="n"/>
      <c r="K90" s="15" t="n"/>
      <c r="L90" s="15" t="n"/>
    </row>
    <row r="91" ht="22" customHeight="1">
      <c r="B91" s="18">
        <f>IF(C91="","ANJ-"&amp;TEXT(COUNTA($C$5:C91),"000"))</f>
        <v/>
      </c>
      <c r="C91" s="13" t="n"/>
      <c r="D91" s="13" t="n"/>
      <c r="E91" s="13" t="n"/>
      <c r="F91" s="13" t="n"/>
      <c r="G91" s="32" t="n"/>
      <c r="H91" s="32" t="n"/>
      <c r="I91" s="14">
        <f>IF(G91="","",H91-G91+1)</f>
        <v/>
      </c>
      <c r="J91" s="13" t="n"/>
      <c r="K91" s="13" t="n"/>
      <c r="L91" s="13" t="n"/>
    </row>
    <row r="92" ht="22" customHeight="1">
      <c r="B92" s="17">
        <f>IF(C92="","ANJ-"&amp;TEXT(COUNTA($C$5:C92),"000"))</f>
        <v/>
      </c>
      <c r="C92" s="15" t="n"/>
      <c r="D92" s="15" t="n"/>
      <c r="E92" s="15" t="n"/>
      <c r="F92" s="15" t="n"/>
      <c r="G92" s="33" t="n"/>
      <c r="H92" s="33" t="n"/>
      <c r="I92" s="16">
        <f>IF(G92="","",H92-G92+1)</f>
        <v/>
      </c>
      <c r="J92" s="15" t="n"/>
      <c r="K92" s="15" t="n"/>
      <c r="L92" s="15" t="n"/>
    </row>
    <row r="93" ht="22" customHeight="1">
      <c r="B93" s="18">
        <f>IF(C93="","ANJ-"&amp;TEXT(COUNTA($C$5:C93),"000"))</f>
        <v/>
      </c>
      <c r="C93" s="13" t="n"/>
      <c r="D93" s="13" t="n"/>
      <c r="E93" s="13" t="n"/>
      <c r="F93" s="13" t="n"/>
      <c r="G93" s="32" t="n"/>
      <c r="H93" s="32" t="n"/>
      <c r="I93" s="14">
        <f>IF(G93="","",H93-G93+1)</f>
        <v/>
      </c>
      <c r="J93" s="13" t="n"/>
      <c r="K93" s="13" t="n"/>
      <c r="L93" s="13" t="n"/>
    </row>
    <row r="94" ht="22" customHeight="1">
      <c r="B94" s="17">
        <f>IF(C94="","ANJ-"&amp;TEXT(COUNTA($C$5:C94),"000"))</f>
        <v/>
      </c>
      <c r="C94" s="15" t="n"/>
      <c r="D94" s="15" t="n"/>
      <c r="E94" s="15" t="n"/>
      <c r="F94" s="15" t="n"/>
      <c r="G94" s="33" t="n"/>
      <c r="H94" s="33" t="n"/>
      <c r="I94" s="16">
        <f>IF(G94="","",H94-G94+1)</f>
        <v/>
      </c>
      <c r="J94" s="15" t="n"/>
      <c r="K94" s="15" t="n"/>
      <c r="L94" s="15" t="n"/>
    </row>
    <row r="95" ht="22" customHeight="1">
      <c r="B95" s="18">
        <f>IF(C95="","ANJ-"&amp;TEXT(COUNTA($C$5:C95),"000"))</f>
        <v/>
      </c>
      <c r="C95" s="13" t="n"/>
      <c r="D95" s="13" t="n"/>
      <c r="E95" s="13" t="n"/>
      <c r="F95" s="13" t="n"/>
      <c r="G95" s="32" t="n"/>
      <c r="H95" s="32" t="n"/>
      <c r="I95" s="14">
        <f>IF(G95="","",H95-G95+1)</f>
        <v/>
      </c>
      <c r="J95" s="13" t="n"/>
      <c r="K95" s="13" t="n"/>
      <c r="L95" s="13" t="n"/>
    </row>
    <row r="96" ht="22" customHeight="1">
      <c r="B96" s="17">
        <f>IF(C96="","ANJ-"&amp;TEXT(COUNTA($C$5:C96),"000"))</f>
        <v/>
      </c>
      <c r="C96" s="15" t="n"/>
      <c r="D96" s="15" t="n"/>
      <c r="E96" s="15" t="n"/>
      <c r="F96" s="15" t="n"/>
      <c r="G96" s="33" t="n"/>
      <c r="H96" s="33" t="n"/>
      <c r="I96" s="16">
        <f>IF(G96="","",H96-G96+1)</f>
        <v/>
      </c>
      <c r="J96" s="15" t="n"/>
      <c r="K96" s="15" t="n"/>
      <c r="L96" s="15" t="n"/>
    </row>
    <row r="97" ht="22" customHeight="1">
      <c r="B97" s="18">
        <f>IF(C97="","ANJ-"&amp;TEXT(COUNTA($C$5:C97),"000"))</f>
        <v/>
      </c>
      <c r="C97" s="13" t="n"/>
      <c r="D97" s="13" t="n"/>
      <c r="E97" s="13" t="n"/>
      <c r="F97" s="13" t="n"/>
      <c r="G97" s="32" t="n"/>
      <c r="H97" s="32" t="n"/>
      <c r="I97" s="14">
        <f>IF(G97="","",H97-G97+1)</f>
        <v/>
      </c>
      <c r="J97" s="13" t="n"/>
      <c r="K97" s="13" t="n"/>
      <c r="L97" s="13" t="n"/>
    </row>
    <row r="98" ht="22" customHeight="1">
      <c r="B98" s="17">
        <f>IF(C98="","ANJ-"&amp;TEXT(COUNTA($C$5:C98),"000"))</f>
        <v/>
      </c>
      <c r="C98" s="15" t="n"/>
      <c r="D98" s="15" t="n"/>
      <c r="E98" s="15" t="n"/>
      <c r="F98" s="15" t="n"/>
      <c r="G98" s="33" t="n"/>
      <c r="H98" s="33" t="n"/>
      <c r="I98" s="16">
        <f>IF(G98="","",H98-G98+1)</f>
        <v/>
      </c>
      <c r="J98" s="15" t="n"/>
      <c r="K98" s="15" t="n"/>
      <c r="L98" s="15" t="n"/>
    </row>
    <row r="99" ht="22" customHeight="1">
      <c r="B99" s="18">
        <f>IF(C99="","ANJ-"&amp;TEXT(COUNTA($C$5:C99),"000"))</f>
        <v/>
      </c>
      <c r="C99" s="13" t="n"/>
      <c r="D99" s="13" t="n"/>
      <c r="E99" s="13" t="n"/>
      <c r="F99" s="13" t="n"/>
      <c r="G99" s="32" t="n"/>
      <c r="H99" s="32" t="n"/>
      <c r="I99" s="14">
        <f>IF(G99="","",H99-G99+1)</f>
        <v/>
      </c>
      <c r="J99" s="13" t="n"/>
      <c r="K99" s="13" t="n"/>
      <c r="L99" s="13" t="n"/>
    </row>
    <row r="100" ht="22" customHeight="1">
      <c r="B100" s="17">
        <f>IF(C100="","ANJ-"&amp;TEXT(COUNTA($C$5:C100),"000"))</f>
        <v/>
      </c>
      <c r="C100" s="15" t="n"/>
      <c r="D100" s="15" t="n"/>
      <c r="E100" s="15" t="n"/>
      <c r="F100" s="15" t="n"/>
      <c r="G100" s="33" t="n"/>
      <c r="H100" s="33" t="n"/>
      <c r="I100" s="16">
        <f>IF(G100="","",H100-G100+1)</f>
        <v/>
      </c>
      <c r="J100" s="15" t="n"/>
      <c r="K100" s="15" t="n"/>
      <c r="L100" s="15" t="n"/>
    </row>
    <row r="101" ht="22" customHeight="1">
      <c r="B101" s="18">
        <f>IF(C101="","ANJ-"&amp;TEXT(COUNTA($C$5:C101),"000"))</f>
        <v/>
      </c>
      <c r="C101" s="13" t="n"/>
      <c r="D101" s="13" t="n"/>
      <c r="E101" s="13" t="n"/>
      <c r="F101" s="13" t="n"/>
      <c r="G101" s="32" t="n"/>
      <c r="H101" s="32" t="n"/>
      <c r="I101" s="14">
        <f>IF(G101="","",H101-G101+1)</f>
        <v/>
      </c>
      <c r="J101" s="13" t="n"/>
      <c r="K101" s="13" t="n"/>
      <c r="L101" s="13" t="n"/>
    </row>
    <row r="102" ht="22" customHeight="1">
      <c r="B102" s="17">
        <f>IF(C102="","ANJ-"&amp;TEXT(COUNTA($C$5:C102),"000"))</f>
        <v/>
      </c>
      <c r="C102" s="15" t="n"/>
      <c r="D102" s="15" t="n"/>
      <c r="E102" s="15" t="n"/>
      <c r="F102" s="15" t="n"/>
      <c r="G102" s="33" t="n"/>
      <c r="H102" s="33" t="n"/>
      <c r="I102" s="16">
        <f>IF(G102="","",H102-G102+1)</f>
        <v/>
      </c>
      <c r="J102" s="15" t="n"/>
      <c r="K102" s="15" t="n"/>
      <c r="L102" s="15" t="n"/>
    </row>
    <row r="103" ht="22" customHeight="1">
      <c r="B103" s="18">
        <f>IF(C103="","ANJ-"&amp;TEXT(COUNTA($C$5:C103),"000"))</f>
        <v/>
      </c>
      <c r="C103" s="13" t="n"/>
      <c r="D103" s="13" t="n"/>
      <c r="E103" s="13" t="n"/>
      <c r="F103" s="13" t="n"/>
      <c r="G103" s="32" t="n"/>
      <c r="H103" s="32" t="n"/>
      <c r="I103" s="14">
        <f>IF(G103="","",H103-G103+1)</f>
        <v/>
      </c>
      <c r="J103" s="13" t="n"/>
      <c r="K103" s="13" t="n"/>
      <c r="L103" s="13" t="n"/>
    </row>
    <row r="104" ht="22" customHeight="1">
      <c r="B104" s="17">
        <f>IF(C104="","ANJ-"&amp;TEXT(COUNTA($C$5:C104),"000"))</f>
        <v/>
      </c>
      <c r="C104" s="15" t="n"/>
      <c r="D104" s="15" t="n"/>
      <c r="E104" s="15" t="n"/>
      <c r="F104" s="15" t="n"/>
      <c r="G104" s="33" t="n"/>
      <c r="H104" s="33" t="n"/>
      <c r="I104" s="16">
        <f>IF(G104="","",H104-G104+1)</f>
        <v/>
      </c>
      <c r="J104" s="15" t="n"/>
      <c r="K104" s="15" t="n"/>
      <c r="L104" s="15" t="n"/>
    </row>
    <row r="105" ht="22" customHeight="1">
      <c r="B105" s="18">
        <f>IF(C105="","ANJ-"&amp;TEXT(COUNTA($C$5:C105),"000"))</f>
        <v/>
      </c>
      <c r="C105" s="13" t="n"/>
      <c r="D105" s="13" t="n"/>
      <c r="E105" s="13" t="n"/>
      <c r="F105" s="13" t="n"/>
      <c r="G105" s="32" t="n"/>
      <c r="H105" s="32" t="n"/>
      <c r="I105" s="14">
        <f>IF(G105="","",H105-G105+1)</f>
        <v/>
      </c>
      <c r="J105" s="13" t="n"/>
      <c r="K105" s="13" t="n"/>
      <c r="L105" s="13" t="n"/>
    </row>
    <row r="106" ht="22" customHeight="1">
      <c r="B106" s="17">
        <f>IF(C106="","ANJ-"&amp;TEXT(COUNTA($C$5:C106),"000"))</f>
        <v/>
      </c>
      <c r="C106" s="15" t="n"/>
      <c r="D106" s="15" t="n"/>
      <c r="E106" s="15" t="n"/>
      <c r="F106" s="15" t="n"/>
      <c r="G106" s="33" t="n"/>
      <c r="H106" s="33" t="n"/>
      <c r="I106" s="16">
        <f>IF(G106="","",H106-G106+1)</f>
        <v/>
      </c>
      <c r="J106" s="15" t="n"/>
      <c r="K106" s="15" t="n"/>
      <c r="L106" s="15" t="n"/>
    </row>
    <row r="107" ht="22" customHeight="1">
      <c r="B107" s="18">
        <f>IF(C107="","ANJ-"&amp;TEXT(COUNTA($C$5:C107),"000"))</f>
        <v/>
      </c>
      <c r="C107" s="13" t="n"/>
      <c r="D107" s="13" t="n"/>
      <c r="E107" s="13" t="n"/>
      <c r="F107" s="13" t="n"/>
      <c r="G107" s="32" t="n"/>
      <c r="H107" s="32" t="n"/>
      <c r="I107" s="14">
        <f>IF(G107="","",H107-G107+1)</f>
        <v/>
      </c>
      <c r="J107" s="13" t="n"/>
      <c r="K107" s="13" t="n"/>
      <c r="L107" s="13" t="n"/>
    </row>
    <row r="108" ht="22" customHeight="1">
      <c r="B108" s="17">
        <f>IF(C108="","ANJ-"&amp;TEXT(COUNTA($C$5:C108),"000"))</f>
        <v/>
      </c>
      <c r="C108" s="15" t="n"/>
      <c r="D108" s="15" t="n"/>
      <c r="E108" s="15" t="n"/>
      <c r="F108" s="15" t="n"/>
      <c r="G108" s="33" t="n"/>
      <c r="H108" s="33" t="n"/>
      <c r="I108" s="16">
        <f>IF(G108="","",H108-G108+1)</f>
        <v/>
      </c>
      <c r="J108" s="15" t="n"/>
      <c r="K108" s="15" t="n"/>
      <c r="L108" s="15" t="n"/>
    </row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1">
        <f>SUM(I5:I104)</f>
        <v/>
      </c>
      <c r="J110" s="20" t="n"/>
      <c r="K110" s="20" t="n"/>
      <c r="L110" s="20" t="n"/>
    </row>
    <row r="112">
      <c r="B112" s="6" t="inlineStr">
        <is>
          <t>INDICATEURS (mis a jour automatiquement)</t>
        </is>
      </c>
    </row>
    <row r="113">
      <c r="B113" s="3" t="inlineStr">
        <is>
          <t>Total absences NJ</t>
        </is>
      </c>
      <c r="D113" s="3" t="inlineStr">
        <is>
          <t>Total jours (j)</t>
        </is>
      </c>
      <c r="F113" s="3" t="inlineStr">
        <is>
          <t>Sanctionnees</t>
        </is>
      </c>
      <c r="H113" s="3" t="inlineStr">
        <is>
          <t>En cours</t>
        </is>
      </c>
    </row>
    <row r="114">
      <c r="B114" s="4">
        <f>COUNTIF(B5:B104,"&lt;&gt;")</f>
        <v/>
      </c>
      <c r="D114" s="4">
        <f>SUM(I5:I104)</f>
        <v/>
      </c>
      <c r="F114" s="4">
        <f>COUNTIF(L5:L104,"Sanctionnee")</f>
        <v/>
      </c>
      <c r="H114" s="4">
        <f>COUNTIF(L5:L104,"En cours")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9:B108">
    <cfRule type="expression" priority="43" dxfId="3">
      <formula>AND($C9="",$C8&lt;&gt;"")</formula>
    </cfRule>
  </conditionalFormatting>
  <conditionalFormatting sqref="C9:C108">
    <cfRule type="expression" priority="44" dxfId="3">
      <formula>AND($C9="",$C8&lt;&gt;"")</formula>
    </cfRule>
  </conditionalFormatting>
  <conditionalFormatting sqref="D9:D108">
    <cfRule type="expression" priority="45" dxfId="3">
      <formula>AND($C9="",$C8&lt;&gt;"")</formula>
    </cfRule>
  </conditionalFormatting>
  <conditionalFormatting sqref="E9:E108">
    <cfRule type="expression" priority="46" dxfId="3">
      <formula>AND($C9="",$C8&lt;&gt;"")</formula>
    </cfRule>
  </conditionalFormatting>
  <conditionalFormatting sqref="F9:F108">
    <cfRule type="expression" priority="47" dxfId="3">
      <formula>AND($C9="",$C8&lt;&gt;"")</formula>
    </cfRule>
  </conditionalFormatting>
  <conditionalFormatting sqref="G9:G108">
    <cfRule type="expression" priority="48" dxfId="3">
      <formula>AND($C9="",$C8&lt;&gt;"")</formula>
    </cfRule>
  </conditionalFormatting>
  <conditionalFormatting sqref="H9:H108">
    <cfRule type="expression" priority="49" dxfId="3">
      <formula>AND($C9="",$C8&lt;&gt;"")</formula>
    </cfRule>
  </conditionalFormatting>
  <conditionalFormatting sqref="I9:I108">
    <cfRule type="expression" priority="50" dxfId="3">
      <formula>AND($C9="",$C8&lt;&gt;"")</formula>
    </cfRule>
  </conditionalFormatting>
  <conditionalFormatting sqref="J9:J108">
    <cfRule type="expression" priority="51" dxfId="3">
      <formula>AND($C9="",$C8&lt;&gt;"")</formula>
    </cfRule>
  </conditionalFormatting>
  <conditionalFormatting sqref="K9:K108">
    <cfRule type="expression" priority="52" dxfId="3">
      <formula>AND($C9="",$C8&lt;&gt;"")</formula>
    </cfRule>
  </conditionalFormatting>
  <conditionalFormatting sqref="L9:L108">
    <cfRule type="expression" priority="53" dxfId="3">
      <formula>AND($C9="",$C8&lt;&gt;"")</formula>
    </cfRule>
  </conditionalFormatting>
  <dataValidations count="4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'_Lists'!$H$2:$H$6</formula1>
    </dataValidation>
    <dataValidation sqref="K5:K108" showDropDown="0" showInputMessage="0" showErrorMessage="0" allowBlank="1" errorTitle="Erreur" error="Valeur invalide" promptTitle="Liste" prompt="Choisir dans la liste" type="list">
      <formula1>'_Lists'!$I$2:$I$7</formula1>
    </dataValidation>
    <dataValidation sqref="L5:L108" showDropDown="0" showInputMessage="0" showErrorMessage="0" allowBlank="1" errorTitle="Erreur" error="Valeur invalide" promptTitle="Liste" prompt="Choisir dans la liste" type="list">
      <formula1>'_Lists'!$J$2:$J$6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</cols>
  <sheetData>
    <row r="1" ht="15" customHeight="1"/>
    <row r="2" ht="32" customHeight="1">
      <c r="B2" s="1" t="inlineStr">
        <is>
          <t>SUIVI DES RETARDS &amp; DEPARTS ANTICIPES (#57)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Retard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Type Retard</t>
        </is>
      </c>
      <c r="G4" s="12" t="inlineStr">
        <is>
          <t>Date</t>
        </is>
      </c>
      <c r="H4" s="12" t="inlineStr">
        <is>
          <t>Horaire Prevu</t>
        </is>
      </c>
      <c r="I4" s="12" t="inlineStr">
        <is>
          <t>Horaire Reel</t>
        </is>
      </c>
      <c r="J4" s="12" t="inlineStr">
        <is>
          <t>Retard (min)</t>
        </is>
      </c>
      <c r="K4" s="12" t="inlineStr">
        <is>
          <t>Motif</t>
        </is>
      </c>
      <c r="L4" s="12" t="inlineStr">
        <is>
          <t>Statut</t>
        </is>
      </c>
    </row>
    <row r="5" ht="22" customHeight="1">
      <c r="B5" s="13" t="inlineStr">
        <is>
          <t>RET-001</t>
        </is>
      </c>
      <c r="C5" s="13" t="inlineStr">
        <is>
          <t>EMP-002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Retard arrivee</t>
        </is>
      </c>
      <c r="G5" s="32" t="n">
        <v>45810</v>
      </c>
      <c r="H5" s="13" t="inlineStr">
        <is>
          <t>08h00</t>
        </is>
      </c>
      <c r="I5" s="13" t="inlineStr">
        <is>
          <t>08h15</t>
        </is>
      </c>
      <c r="J5" s="14" t="n">
        <v>15</v>
      </c>
      <c r="K5" s="13" t="inlineStr">
        <is>
          <t>Transport en panne</t>
        </is>
      </c>
      <c r="L5" s="13" t="inlineStr">
        <is>
          <t>Justifie</t>
        </is>
      </c>
    </row>
    <row r="6" ht="22" customHeight="1">
      <c r="B6" s="15" t="inlineStr">
        <is>
          <t>RET-002</t>
        </is>
      </c>
      <c r="C6" s="15" t="inlineStr">
        <is>
          <t>EMP-005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Retard arrivee</t>
        </is>
      </c>
      <c r="G6" s="33" t="n">
        <v>45813</v>
      </c>
      <c r="H6" s="15" t="inlineStr">
        <is>
          <t>06h00</t>
        </is>
      </c>
      <c r="I6" s="15" t="inlineStr">
        <is>
          <t>06h25</t>
        </is>
      </c>
      <c r="J6" s="16" t="n">
        <v>25</v>
      </c>
      <c r="K6" s="15" t="inlineStr">
        <is>
          <t>Pluie</t>
        </is>
      </c>
      <c r="L6" s="15" t="inlineStr">
        <is>
          <t>Non justifie</t>
        </is>
      </c>
    </row>
    <row r="7" ht="22" customHeight="1">
      <c r="B7" s="13" t="inlineStr">
        <is>
          <t>RET-003</t>
        </is>
      </c>
      <c r="C7" s="13" t="inlineStr">
        <is>
          <t>EMP-003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Depart anticipe</t>
        </is>
      </c>
      <c r="G7" s="32" t="n">
        <v>45812</v>
      </c>
      <c r="H7" s="13" t="inlineStr">
        <is>
          <t>17h00</t>
        </is>
      </c>
      <c r="I7" s="13" t="inlineStr">
        <is>
          <t>16h00</t>
        </is>
      </c>
      <c r="J7" s="14" t="n">
        <v>60</v>
      </c>
      <c r="K7" s="13" t="inlineStr">
        <is>
          <t>Certificat medical</t>
        </is>
      </c>
      <c r="L7" s="13" t="inlineStr">
        <is>
          <t>Justifie</t>
        </is>
      </c>
    </row>
    <row r="8" ht="22" customHeight="1">
      <c r="B8" s="15" t="inlineStr">
        <is>
          <t>RET-004</t>
        </is>
      </c>
      <c r="C8" s="15" t="inlineStr">
        <is>
          <t>EMP-004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Retard arrivee</t>
        </is>
      </c>
      <c r="G8" s="33" t="n">
        <v>45817</v>
      </c>
      <c r="H8" s="15" t="inlineStr">
        <is>
          <t>06h00</t>
        </is>
      </c>
      <c r="I8" s="15" t="inlineStr">
        <is>
          <t>06h10</t>
        </is>
      </c>
      <c r="J8" s="16" t="n">
        <v>10</v>
      </c>
      <c r="K8" s="15" t="inlineStr">
        <is>
          <t>Embouteillage</t>
        </is>
      </c>
      <c r="L8" s="15" t="inlineStr">
        <is>
          <t>Tolere</t>
        </is>
      </c>
    </row>
    <row r="9" ht="22" customHeight="1">
      <c r="B9" s="13" t="inlineStr">
        <is>
          <t>RET-005</t>
        </is>
      </c>
      <c r="C9" s="13" t="inlineStr">
        <is>
          <t>EMP-010</t>
        </is>
      </c>
      <c r="D9" s="13">
        <f>IF(C9="","",VLOOKUP(C9,'_Données Employés'!$B$5:$H$18,4,FALSE)&amp;" "&amp;VLOOKUP(C9,'_Données Employés'!$B$5:$H$18,5,FALSE))</f>
        <v/>
      </c>
      <c r="E9" s="13">
        <f>IF(C9="","",VLOOKUP(C9,'_Données Employés'!$B$5:$H$18,6,FALSE))</f>
        <v/>
      </c>
      <c r="F9" s="13" t="inlineStr">
        <is>
          <t>Pause allongee</t>
        </is>
      </c>
      <c r="G9" s="32" t="n">
        <v>45819</v>
      </c>
      <c r="H9" s="13" t="inlineStr">
        <is>
          <t>14h00</t>
        </is>
      </c>
      <c r="I9" s="13" t="inlineStr">
        <is>
          <t>14h30</t>
        </is>
      </c>
      <c r="J9" s="14" t="n">
        <v>30</v>
      </c>
      <c r="K9" s="13" t="inlineStr"/>
      <c r="L9" s="13" t="inlineStr">
        <is>
          <t>Non justifie</t>
        </is>
      </c>
    </row>
    <row r="10" ht="22" customHeight="1">
      <c r="B10" s="17">
        <f>IF(C10="","RET-"&amp;TEXT(COUNTA($C$5:C10),"000"))</f>
        <v/>
      </c>
      <c r="C10" s="15" t="n"/>
      <c r="D10" s="15" t="n"/>
      <c r="E10" s="15" t="n"/>
      <c r="F10" s="15" t="n"/>
      <c r="G10" s="33" t="n"/>
      <c r="H10" s="15" t="n"/>
      <c r="I10" s="15" t="n"/>
      <c r="J10" s="16" t="n"/>
      <c r="K10" s="15" t="n"/>
      <c r="L10" s="15" t="n"/>
    </row>
    <row r="11" ht="22" customHeight="1">
      <c r="B11" s="18">
        <f>IF(C11="","RET-"&amp;TEXT(COUNTA($C$5:C11),"000"))</f>
        <v/>
      </c>
      <c r="C11" s="13" t="n"/>
      <c r="D11" s="13" t="n"/>
      <c r="E11" s="13" t="n"/>
      <c r="F11" s="13" t="n"/>
      <c r="G11" s="32" t="n"/>
      <c r="H11" s="13" t="n"/>
      <c r="I11" s="13" t="n"/>
      <c r="J11" s="14" t="n"/>
      <c r="K11" s="13" t="n"/>
      <c r="L11" s="13" t="n"/>
    </row>
    <row r="12" ht="22" customHeight="1">
      <c r="B12" s="17">
        <f>IF(C12="","RET-"&amp;TEXT(COUNTA($C$5:C12),"000"))</f>
        <v/>
      </c>
      <c r="C12" s="15" t="n"/>
      <c r="D12" s="15" t="n"/>
      <c r="E12" s="15" t="n"/>
      <c r="F12" s="15" t="n"/>
      <c r="G12" s="33" t="n"/>
      <c r="H12" s="15" t="n"/>
      <c r="I12" s="15" t="n"/>
      <c r="J12" s="16" t="n"/>
      <c r="K12" s="15" t="n"/>
      <c r="L12" s="15" t="n"/>
    </row>
    <row r="13" ht="22" customHeight="1">
      <c r="B13" s="18">
        <f>IF(C13="","RET-"&amp;TEXT(COUNTA($C$5:C13),"000"))</f>
        <v/>
      </c>
      <c r="C13" s="13" t="n"/>
      <c r="D13" s="13" t="n"/>
      <c r="E13" s="13" t="n"/>
      <c r="F13" s="13" t="n"/>
      <c r="G13" s="32" t="n"/>
      <c r="H13" s="13" t="n"/>
      <c r="I13" s="13" t="n"/>
      <c r="J13" s="14" t="n"/>
      <c r="K13" s="13" t="n"/>
      <c r="L13" s="13" t="n"/>
    </row>
    <row r="14" ht="22" customHeight="1">
      <c r="B14" s="17">
        <f>IF(C14="","RET-"&amp;TEXT(COUNTA($C$5:C14),"000"))</f>
        <v/>
      </c>
      <c r="C14" s="15" t="n"/>
      <c r="D14" s="15" t="n"/>
      <c r="E14" s="15" t="n"/>
      <c r="F14" s="15" t="n"/>
      <c r="G14" s="33" t="n"/>
      <c r="H14" s="15" t="n"/>
      <c r="I14" s="15" t="n"/>
      <c r="J14" s="16" t="n"/>
      <c r="K14" s="15" t="n"/>
      <c r="L14" s="15" t="n"/>
    </row>
    <row r="15" ht="22" customHeight="1">
      <c r="B15" s="18">
        <f>IF(C15="","RET-"&amp;TEXT(COUNTA($C$5:C15),"000"))</f>
        <v/>
      </c>
      <c r="C15" s="13" t="n"/>
      <c r="D15" s="13" t="n"/>
      <c r="E15" s="13" t="n"/>
      <c r="F15" s="13" t="n"/>
      <c r="G15" s="32" t="n"/>
      <c r="H15" s="13" t="n"/>
      <c r="I15" s="13" t="n"/>
      <c r="J15" s="14" t="n"/>
      <c r="K15" s="13" t="n"/>
      <c r="L15" s="13" t="n"/>
    </row>
    <row r="16" ht="22" customHeight="1">
      <c r="B16" s="17">
        <f>IF(C16="","RET-"&amp;TEXT(COUNTA($C$5:C16),"000"))</f>
        <v/>
      </c>
      <c r="C16" s="15" t="n"/>
      <c r="D16" s="15" t="n"/>
      <c r="E16" s="15" t="n"/>
      <c r="F16" s="15" t="n"/>
      <c r="G16" s="33" t="n"/>
      <c r="H16" s="15" t="n"/>
      <c r="I16" s="15" t="n"/>
      <c r="J16" s="16" t="n"/>
      <c r="K16" s="15" t="n"/>
      <c r="L16" s="15" t="n"/>
    </row>
    <row r="17" ht="22" customHeight="1">
      <c r="B17" s="18">
        <f>IF(C17="","RET-"&amp;TEXT(COUNTA($C$5:C17),"000"))</f>
        <v/>
      </c>
      <c r="C17" s="13" t="n"/>
      <c r="D17" s="13" t="n"/>
      <c r="E17" s="13" t="n"/>
      <c r="F17" s="13" t="n"/>
      <c r="G17" s="32" t="n"/>
      <c r="H17" s="13" t="n"/>
      <c r="I17" s="13" t="n"/>
      <c r="J17" s="14" t="n"/>
      <c r="K17" s="13" t="n"/>
      <c r="L17" s="13" t="n"/>
    </row>
    <row r="18" ht="22" customHeight="1">
      <c r="B18" s="17">
        <f>IF(C18="","RET-"&amp;TEXT(COUNTA($C$5:C18),"000"))</f>
        <v/>
      </c>
      <c r="C18" s="15" t="n"/>
      <c r="D18" s="15" t="n"/>
      <c r="E18" s="15" t="n"/>
      <c r="F18" s="15" t="n"/>
      <c r="G18" s="33" t="n"/>
      <c r="H18" s="15" t="n"/>
      <c r="I18" s="15" t="n"/>
      <c r="J18" s="16" t="n"/>
      <c r="K18" s="15" t="n"/>
      <c r="L18" s="15" t="n"/>
    </row>
    <row r="19" ht="22" customHeight="1">
      <c r="B19" s="18">
        <f>IF(C19="","RET-"&amp;TEXT(COUNTA($C$5:C19),"000"))</f>
        <v/>
      </c>
      <c r="C19" s="13" t="n"/>
      <c r="D19" s="13" t="n"/>
      <c r="E19" s="13" t="n"/>
      <c r="F19" s="13" t="n"/>
      <c r="G19" s="32" t="n"/>
      <c r="H19" s="13" t="n"/>
      <c r="I19" s="13" t="n"/>
      <c r="J19" s="14" t="n"/>
      <c r="K19" s="13" t="n"/>
      <c r="L19" s="13" t="n"/>
    </row>
    <row r="20" ht="22" customHeight="1">
      <c r="B20" s="17">
        <f>IF(C20="","RET-"&amp;TEXT(COUNTA($C$5:C20),"000"))</f>
        <v/>
      </c>
      <c r="C20" s="15" t="n"/>
      <c r="D20" s="15" t="n"/>
      <c r="E20" s="15" t="n"/>
      <c r="F20" s="15" t="n"/>
      <c r="G20" s="33" t="n"/>
      <c r="H20" s="15" t="n"/>
      <c r="I20" s="15" t="n"/>
      <c r="J20" s="16" t="n"/>
      <c r="K20" s="15" t="n"/>
      <c r="L20" s="15" t="n"/>
    </row>
    <row r="21" ht="22" customHeight="1">
      <c r="B21" s="18">
        <f>IF(C21="","RET-"&amp;TEXT(COUNTA($C$5:C21),"000"))</f>
        <v/>
      </c>
      <c r="C21" s="13" t="n"/>
      <c r="D21" s="13" t="n"/>
      <c r="E21" s="13" t="n"/>
      <c r="F21" s="13" t="n"/>
      <c r="G21" s="32" t="n"/>
      <c r="H21" s="13" t="n"/>
      <c r="I21" s="13" t="n"/>
      <c r="J21" s="14" t="n"/>
      <c r="K21" s="13" t="n"/>
      <c r="L21" s="13" t="n"/>
    </row>
    <row r="22" ht="22" customHeight="1">
      <c r="B22" s="17">
        <f>IF(C22="","RET-"&amp;TEXT(COUNTA($C$5:C22),"000"))</f>
        <v/>
      </c>
      <c r="C22" s="15" t="n"/>
      <c r="D22" s="15" t="n"/>
      <c r="E22" s="15" t="n"/>
      <c r="F22" s="15" t="n"/>
      <c r="G22" s="33" t="n"/>
      <c r="H22" s="15" t="n"/>
      <c r="I22" s="15" t="n"/>
      <c r="J22" s="16" t="n"/>
      <c r="K22" s="15" t="n"/>
      <c r="L22" s="15" t="n"/>
    </row>
    <row r="23" ht="22" customHeight="1">
      <c r="B23" s="18">
        <f>IF(C23="","RET-"&amp;TEXT(COUNTA($C$5:C23),"000"))</f>
        <v/>
      </c>
      <c r="C23" s="13" t="n"/>
      <c r="D23" s="13" t="n"/>
      <c r="E23" s="13" t="n"/>
      <c r="F23" s="13" t="n"/>
      <c r="G23" s="32" t="n"/>
      <c r="H23" s="13" t="n"/>
      <c r="I23" s="13" t="n"/>
      <c r="J23" s="14" t="n"/>
      <c r="K23" s="13" t="n"/>
      <c r="L23" s="13" t="n"/>
    </row>
    <row r="24" ht="22" customHeight="1">
      <c r="B24" s="17">
        <f>IF(C24="","RET-"&amp;TEXT(COUNTA($C$5:C24),"000"))</f>
        <v/>
      </c>
      <c r="C24" s="15" t="n"/>
      <c r="D24" s="15" t="n"/>
      <c r="E24" s="15" t="n"/>
      <c r="F24" s="15" t="n"/>
      <c r="G24" s="33" t="n"/>
      <c r="H24" s="15" t="n"/>
      <c r="I24" s="15" t="n"/>
      <c r="J24" s="16" t="n"/>
      <c r="K24" s="15" t="n"/>
      <c r="L24" s="15" t="n"/>
    </row>
    <row r="25" ht="22" customHeight="1">
      <c r="B25" s="18">
        <f>IF(C25="","RET-"&amp;TEXT(COUNTA($C$5:C25),"000"))</f>
        <v/>
      </c>
      <c r="C25" s="13" t="n"/>
      <c r="D25" s="13" t="n"/>
      <c r="E25" s="13" t="n"/>
      <c r="F25" s="13" t="n"/>
      <c r="G25" s="32" t="n"/>
      <c r="H25" s="13" t="n"/>
      <c r="I25" s="13" t="n"/>
      <c r="J25" s="14" t="n"/>
      <c r="K25" s="13" t="n"/>
      <c r="L25" s="13" t="n"/>
    </row>
    <row r="26" ht="22" customHeight="1">
      <c r="B26" s="17">
        <f>IF(C26="","RET-"&amp;TEXT(COUNTA($C$5:C26),"000"))</f>
        <v/>
      </c>
      <c r="C26" s="15" t="n"/>
      <c r="D26" s="15" t="n"/>
      <c r="E26" s="15" t="n"/>
      <c r="F26" s="15" t="n"/>
      <c r="G26" s="33" t="n"/>
      <c r="H26" s="15" t="n"/>
      <c r="I26" s="15" t="n"/>
      <c r="J26" s="16" t="n"/>
      <c r="K26" s="15" t="n"/>
      <c r="L26" s="15" t="n"/>
    </row>
    <row r="27" ht="22" customHeight="1">
      <c r="B27" s="18">
        <f>IF(C27="","RET-"&amp;TEXT(COUNTA($C$5:C27),"000"))</f>
        <v/>
      </c>
      <c r="C27" s="13" t="n"/>
      <c r="D27" s="13" t="n"/>
      <c r="E27" s="13" t="n"/>
      <c r="F27" s="13" t="n"/>
      <c r="G27" s="32" t="n"/>
      <c r="H27" s="13" t="n"/>
      <c r="I27" s="13" t="n"/>
      <c r="J27" s="14" t="n"/>
      <c r="K27" s="13" t="n"/>
      <c r="L27" s="13" t="n"/>
    </row>
    <row r="28" ht="22" customHeight="1">
      <c r="B28" s="17">
        <f>IF(C28="","RET-"&amp;TEXT(COUNTA($C$5:C28),"000"))</f>
        <v/>
      </c>
      <c r="C28" s="15" t="n"/>
      <c r="D28" s="15" t="n"/>
      <c r="E28" s="15" t="n"/>
      <c r="F28" s="15" t="n"/>
      <c r="G28" s="33" t="n"/>
      <c r="H28" s="15" t="n"/>
      <c r="I28" s="15" t="n"/>
      <c r="J28" s="16" t="n"/>
      <c r="K28" s="15" t="n"/>
      <c r="L28" s="15" t="n"/>
    </row>
    <row r="29" ht="22" customHeight="1">
      <c r="B29" s="18">
        <f>IF(C29="","RET-"&amp;TEXT(COUNTA($C$5:C29),"000"))</f>
        <v/>
      </c>
      <c r="C29" s="13" t="n"/>
      <c r="D29" s="13" t="n"/>
      <c r="E29" s="13" t="n"/>
      <c r="F29" s="13" t="n"/>
      <c r="G29" s="32" t="n"/>
      <c r="H29" s="13" t="n"/>
      <c r="I29" s="13" t="n"/>
      <c r="J29" s="14" t="n"/>
      <c r="K29" s="13" t="n"/>
      <c r="L29" s="13" t="n"/>
    </row>
    <row r="30" ht="22" customHeight="1">
      <c r="B30" s="17">
        <f>IF(C30="","RET-"&amp;TEXT(COUNTA($C$5:C30),"000"))</f>
        <v/>
      </c>
      <c r="C30" s="15" t="n"/>
      <c r="D30" s="15" t="n"/>
      <c r="E30" s="15" t="n"/>
      <c r="F30" s="15" t="n"/>
      <c r="G30" s="33" t="n"/>
      <c r="H30" s="15" t="n"/>
      <c r="I30" s="15" t="n"/>
      <c r="J30" s="16" t="n"/>
      <c r="K30" s="15" t="n"/>
      <c r="L30" s="15" t="n"/>
    </row>
    <row r="31" ht="22" customHeight="1">
      <c r="B31" s="18">
        <f>IF(C31="","RET-"&amp;TEXT(COUNTA($C$5:C31),"000"))</f>
        <v/>
      </c>
      <c r="C31" s="13" t="n"/>
      <c r="D31" s="13" t="n"/>
      <c r="E31" s="13" t="n"/>
      <c r="F31" s="13" t="n"/>
      <c r="G31" s="32" t="n"/>
      <c r="H31" s="13" t="n"/>
      <c r="I31" s="13" t="n"/>
      <c r="J31" s="14" t="n"/>
      <c r="K31" s="13" t="n"/>
      <c r="L31" s="13" t="n"/>
    </row>
    <row r="32" ht="22" customHeight="1">
      <c r="B32" s="17">
        <f>IF(C32="","RET-"&amp;TEXT(COUNTA($C$5:C32),"000"))</f>
        <v/>
      </c>
      <c r="C32" s="15" t="n"/>
      <c r="D32" s="15" t="n"/>
      <c r="E32" s="15" t="n"/>
      <c r="F32" s="15" t="n"/>
      <c r="G32" s="33" t="n"/>
      <c r="H32" s="15" t="n"/>
      <c r="I32" s="15" t="n"/>
      <c r="J32" s="16" t="n"/>
      <c r="K32" s="15" t="n"/>
      <c r="L32" s="15" t="n"/>
    </row>
    <row r="33" ht="22" customHeight="1">
      <c r="B33" s="18">
        <f>IF(C33="","RET-"&amp;TEXT(COUNTA($C$5:C33),"000"))</f>
        <v/>
      </c>
      <c r="C33" s="13" t="n"/>
      <c r="D33" s="13" t="n"/>
      <c r="E33" s="13" t="n"/>
      <c r="F33" s="13" t="n"/>
      <c r="G33" s="32" t="n"/>
      <c r="H33" s="13" t="n"/>
      <c r="I33" s="13" t="n"/>
      <c r="J33" s="14" t="n"/>
      <c r="K33" s="13" t="n"/>
      <c r="L33" s="13" t="n"/>
    </row>
    <row r="34" ht="22" customHeight="1">
      <c r="B34" s="17">
        <f>IF(C34="","RET-"&amp;TEXT(COUNTA($C$5:C34),"000"))</f>
        <v/>
      </c>
      <c r="C34" s="15" t="n"/>
      <c r="D34" s="15" t="n"/>
      <c r="E34" s="15" t="n"/>
      <c r="F34" s="15" t="n"/>
      <c r="G34" s="33" t="n"/>
      <c r="H34" s="15" t="n"/>
      <c r="I34" s="15" t="n"/>
      <c r="J34" s="16" t="n"/>
      <c r="K34" s="15" t="n"/>
      <c r="L34" s="15" t="n"/>
    </row>
    <row r="35" ht="22" customHeight="1">
      <c r="B35" s="18">
        <f>IF(C35="","RET-"&amp;TEXT(COUNTA($C$5:C35),"000"))</f>
        <v/>
      </c>
      <c r="C35" s="13" t="n"/>
      <c r="D35" s="13" t="n"/>
      <c r="E35" s="13" t="n"/>
      <c r="F35" s="13" t="n"/>
      <c r="G35" s="32" t="n"/>
      <c r="H35" s="13" t="n"/>
      <c r="I35" s="13" t="n"/>
      <c r="J35" s="14" t="n"/>
      <c r="K35" s="13" t="n"/>
      <c r="L35" s="13" t="n"/>
    </row>
    <row r="36" ht="22" customHeight="1">
      <c r="B36" s="17">
        <f>IF(C36="","RET-"&amp;TEXT(COUNTA($C$5:C36),"000"))</f>
        <v/>
      </c>
      <c r="C36" s="15" t="n"/>
      <c r="D36" s="15" t="n"/>
      <c r="E36" s="15" t="n"/>
      <c r="F36" s="15" t="n"/>
      <c r="G36" s="33" t="n"/>
      <c r="H36" s="15" t="n"/>
      <c r="I36" s="15" t="n"/>
      <c r="J36" s="16" t="n"/>
      <c r="K36" s="15" t="n"/>
      <c r="L36" s="15" t="n"/>
    </row>
    <row r="37" ht="22" customHeight="1">
      <c r="B37" s="18">
        <f>IF(C37="","RET-"&amp;TEXT(COUNTA($C$5:C37),"000"))</f>
        <v/>
      </c>
      <c r="C37" s="13" t="n"/>
      <c r="D37" s="13" t="n"/>
      <c r="E37" s="13" t="n"/>
      <c r="F37" s="13" t="n"/>
      <c r="G37" s="32" t="n"/>
      <c r="H37" s="13" t="n"/>
      <c r="I37" s="13" t="n"/>
      <c r="J37" s="14" t="n"/>
      <c r="K37" s="13" t="n"/>
      <c r="L37" s="13" t="n"/>
    </row>
    <row r="38" ht="22" customHeight="1">
      <c r="B38" s="17">
        <f>IF(C38="","RET-"&amp;TEXT(COUNTA($C$5:C38),"000"))</f>
        <v/>
      </c>
      <c r="C38" s="15" t="n"/>
      <c r="D38" s="15" t="n"/>
      <c r="E38" s="15" t="n"/>
      <c r="F38" s="15" t="n"/>
      <c r="G38" s="33" t="n"/>
      <c r="H38" s="15" t="n"/>
      <c r="I38" s="15" t="n"/>
      <c r="J38" s="16" t="n"/>
      <c r="K38" s="15" t="n"/>
      <c r="L38" s="15" t="n"/>
    </row>
    <row r="39" ht="22" customHeight="1">
      <c r="B39" s="18">
        <f>IF(C39="","RET-"&amp;TEXT(COUNTA($C$5:C39),"000"))</f>
        <v/>
      </c>
      <c r="C39" s="13" t="n"/>
      <c r="D39" s="13" t="n"/>
      <c r="E39" s="13" t="n"/>
      <c r="F39" s="13" t="n"/>
      <c r="G39" s="32" t="n"/>
      <c r="H39" s="13" t="n"/>
      <c r="I39" s="13" t="n"/>
      <c r="J39" s="14" t="n"/>
      <c r="K39" s="13" t="n"/>
      <c r="L39" s="13" t="n"/>
    </row>
    <row r="40" ht="22" customHeight="1">
      <c r="B40" s="17">
        <f>IF(C40="","RET-"&amp;TEXT(COUNTA($C$5:C40),"000"))</f>
        <v/>
      </c>
      <c r="C40" s="15" t="n"/>
      <c r="D40" s="15" t="n"/>
      <c r="E40" s="15" t="n"/>
      <c r="F40" s="15" t="n"/>
      <c r="G40" s="33" t="n"/>
      <c r="H40" s="15" t="n"/>
      <c r="I40" s="15" t="n"/>
      <c r="J40" s="16" t="n"/>
      <c r="K40" s="15" t="n"/>
      <c r="L40" s="15" t="n"/>
    </row>
    <row r="41" ht="22" customHeight="1">
      <c r="B41" s="18">
        <f>IF(C41="","RET-"&amp;TEXT(COUNTA($C$5:C41),"000"))</f>
        <v/>
      </c>
      <c r="C41" s="13" t="n"/>
      <c r="D41" s="13" t="n"/>
      <c r="E41" s="13" t="n"/>
      <c r="F41" s="13" t="n"/>
      <c r="G41" s="32" t="n"/>
      <c r="H41" s="13" t="n"/>
      <c r="I41" s="13" t="n"/>
      <c r="J41" s="14" t="n"/>
      <c r="K41" s="13" t="n"/>
      <c r="L41" s="13" t="n"/>
    </row>
    <row r="42" ht="22" customHeight="1">
      <c r="B42" s="17">
        <f>IF(C42="","RET-"&amp;TEXT(COUNTA($C$5:C42),"000"))</f>
        <v/>
      </c>
      <c r="C42" s="15" t="n"/>
      <c r="D42" s="15" t="n"/>
      <c r="E42" s="15" t="n"/>
      <c r="F42" s="15" t="n"/>
      <c r="G42" s="33" t="n"/>
      <c r="H42" s="15" t="n"/>
      <c r="I42" s="15" t="n"/>
      <c r="J42" s="16" t="n"/>
      <c r="K42" s="15" t="n"/>
      <c r="L42" s="15" t="n"/>
    </row>
    <row r="43" ht="22" customHeight="1">
      <c r="B43" s="18">
        <f>IF(C43="","RET-"&amp;TEXT(COUNTA($C$5:C43),"000"))</f>
        <v/>
      </c>
      <c r="C43" s="13" t="n"/>
      <c r="D43" s="13" t="n"/>
      <c r="E43" s="13" t="n"/>
      <c r="F43" s="13" t="n"/>
      <c r="G43" s="32" t="n"/>
      <c r="H43" s="13" t="n"/>
      <c r="I43" s="13" t="n"/>
      <c r="J43" s="14" t="n"/>
      <c r="K43" s="13" t="n"/>
      <c r="L43" s="13" t="n"/>
    </row>
    <row r="44" ht="22" customHeight="1">
      <c r="B44" s="17">
        <f>IF(C44="","RET-"&amp;TEXT(COUNTA($C$5:C44),"000"))</f>
        <v/>
      </c>
      <c r="C44" s="15" t="n"/>
      <c r="D44" s="15" t="n"/>
      <c r="E44" s="15" t="n"/>
      <c r="F44" s="15" t="n"/>
      <c r="G44" s="33" t="n"/>
      <c r="H44" s="15" t="n"/>
      <c r="I44" s="15" t="n"/>
      <c r="J44" s="16" t="n"/>
      <c r="K44" s="15" t="n"/>
      <c r="L44" s="15" t="n"/>
    </row>
    <row r="45" ht="22" customHeight="1">
      <c r="B45" s="18">
        <f>IF(C45="","RET-"&amp;TEXT(COUNTA($C$5:C45),"000"))</f>
        <v/>
      </c>
      <c r="C45" s="13" t="n"/>
      <c r="D45" s="13" t="n"/>
      <c r="E45" s="13" t="n"/>
      <c r="F45" s="13" t="n"/>
      <c r="G45" s="32" t="n"/>
      <c r="H45" s="13" t="n"/>
      <c r="I45" s="13" t="n"/>
      <c r="J45" s="14" t="n"/>
      <c r="K45" s="13" t="n"/>
      <c r="L45" s="13" t="n"/>
    </row>
    <row r="46" ht="22" customHeight="1">
      <c r="B46" s="17">
        <f>IF(C46="","RET-"&amp;TEXT(COUNTA($C$5:C46),"000"))</f>
        <v/>
      </c>
      <c r="C46" s="15" t="n"/>
      <c r="D46" s="15" t="n"/>
      <c r="E46" s="15" t="n"/>
      <c r="F46" s="15" t="n"/>
      <c r="G46" s="33" t="n"/>
      <c r="H46" s="15" t="n"/>
      <c r="I46" s="15" t="n"/>
      <c r="J46" s="16" t="n"/>
      <c r="K46" s="15" t="n"/>
      <c r="L46" s="15" t="n"/>
    </row>
    <row r="47" ht="22" customHeight="1">
      <c r="B47" s="18">
        <f>IF(C47="","RET-"&amp;TEXT(COUNTA($C$5:C47),"000"))</f>
        <v/>
      </c>
      <c r="C47" s="13" t="n"/>
      <c r="D47" s="13" t="n"/>
      <c r="E47" s="13" t="n"/>
      <c r="F47" s="13" t="n"/>
      <c r="G47" s="32" t="n"/>
      <c r="H47" s="13" t="n"/>
      <c r="I47" s="13" t="n"/>
      <c r="J47" s="14" t="n"/>
      <c r="K47" s="13" t="n"/>
      <c r="L47" s="13" t="n"/>
    </row>
    <row r="48" ht="22" customHeight="1">
      <c r="B48" s="17">
        <f>IF(C48="","RET-"&amp;TEXT(COUNTA($C$5:C48),"000"))</f>
        <v/>
      </c>
      <c r="C48" s="15" t="n"/>
      <c r="D48" s="15" t="n"/>
      <c r="E48" s="15" t="n"/>
      <c r="F48" s="15" t="n"/>
      <c r="G48" s="33" t="n"/>
      <c r="H48" s="15" t="n"/>
      <c r="I48" s="15" t="n"/>
      <c r="J48" s="16" t="n"/>
      <c r="K48" s="15" t="n"/>
      <c r="L48" s="15" t="n"/>
    </row>
    <row r="49" ht="22" customHeight="1">
      <c r="B49" s="18">
        <f>IF(C49="","RET-"&amp;TEXT(COUNTA($C$5:C49),"000"))</f>
        <v/>
      </c>
      <c r="C49" s="13" t="n"/>
      <c r="D49" s="13" t="n"/>
      <c r="E49" s="13" t="n"/>
      <c r="F49" s="13" t="n"/>
      <c r="G49" s="32" t="n"/>
      <c r="H49" s="13" t="n"/>
      <c r="I49" s="13" t="n"/>
      <c r="J49" s="14" t="n"/>
      <c r="K49" s="13" t="n"/>
      <c r="L49" s="13" t="n"/>
    </row>
    <row r="50" ht="22" customHeight="1">
      <c r="B50" s="17">
        <f>IF(C50="","RET-"&amp;TEXT(COUNTA($C$5:C50),"000"))</f>
        <v/>
      </c>
      <c r="C50" s="15" t="n"/>
      <c r="D50" s="15" t="n"/>
      <c r="E50" s="15" t="n"/>
      <c r="F50" s="15" t="n"/>
      <c r="G50" s="33" t="n"/>
      <c r="H50" s="15" t="n"/>
      <c r="I50" s="15" t="n"/>
      <c r="J50" s="16" t="n"/>
      <c r="K50" s="15" t="n"/>
      <c r="L50" s="15" t="n"/>
    </row>
    <row r="51" ht="22" customHeight="1">
      <c r="B51" s="18">
        <f>IF(C51="","RET-"&amp;TEXT(COUNTA($C$5:C51),"000"))</f>
        <v/>
      </c>
      <c r="C51" s="13" t="n"/>
      <c r="D51" s="13" t="n"/>
      <c r="E51" s="13" t="n"/>
      <c r="F51" s="13" t="n"/>
      <c r="G51" s="32" t="n"/>
      <c r="H51" s="13" t="n"/>
      <c r="I51" s="13" t="n"/>
      <c r="J51" s="14" t="n"/>
      <c r="K51" s="13" t="n"/>
      <c r="L51" s="13" t="n"/>
    </row>
    <row r="52" ht="22" customHeight="1">
      <c r="B52" s="17">
        <f>IF(C52="","RET-"&amp;TEXT(COUNTA($C$5:C52),"000"))</f>
        <v/>
      </c>
      <c r="C52" s="15" t="n"/>
      <c r="D52" s="15" t="n"/>
      <c r="E52" s="15" t="n"/>
      <c r="F52" s="15" t="n"/>
      <c r="G52" s="33" t="n"/>
      <c r="H52" s="15" t="n"/>
      <c r="I52" s="15" t="n"/>
      <c r="J52" s="16" t="n"/>
      <c r="K52" s="15" t="n"/>
      <c r="L52" s="15" t="n"/>
    </row>
    <row r="53" ht="22" customHeight="1">
      <c r="B53" s="18">
        <f>IF(C53="","RET-"&amp;TEXT(COUNTA($C$5:C53),"000"))</f>
        <v/>
      </c>
      <c r="C53" s="13" t="n"/>
      <c r="D53" s="13" t="n"/>
      <c r="E53" s="13" t="n"/>
      <c r="F53" s="13" t="n"/>
      <c r="G53" s="32" t="n"/>
      <c r="H53" s="13" t="n"/>
      <c r="I53" s="13" t="n"/>
      <c r="J53" s="14" t="n"/>
      <c r="K53" s="13" t="n"/>
      <c r="L53" s="13" t="n"/>
    </row>
    <row r="54" ht="22" customHeight="1">
      <c r="B54" s="17">
        <f>IF(C54="","RET-"&amp;TEXT(COUNTA($C$5:C54),"000"))</f>
        <v/>
      </c>
      <c r="C54" s="15" t="n"/>
      <c r="D54" s="15" t="n"/>
      <c r="E54" s="15" t="n"/>
      <c r="F54" s="15" t="n"/>
      <c r="G54" s="33" t="n"/>
      <c r="H54" s="15" t="n"/>
      <c r="I54" s="15" t="n"/>
      <c r="J54" s="16" t="n"/>
      <c r="K54" s="15" t="n"/>
      <c r="L54" s="15" t="n"/>
    </row>
    <row r="55" ht="22" customHeight="1">
      <c r="B55" s="18">
        <f>IF(C55="","RET-"&amp;TEXT(COUNTA($C$5:C55),"000"))</f>
        <v/>
      </c>
      <c r="C55" s="13" t="n"/>
      <c r="D55" s="13" t="n"/>
      <c r="E55" s="13" t="n"/>
      <c r="F55" s="13" t="n"/>
      <c r="G55" s="32" t="n"/>
      <c r="H55" s="13" t="n"/>
      <c r="I55" s="13" t="n"/>
      <c r="J55" s="14" t="n"/>
      <c r="K55" s="13" t="n"/>
      <c r="L55" s="13" t="n"/>
    </row>
    <row r="56" ht="22" customHeight="1">
      <c r="B56" s="17">
        <f>IF(C56="","RET-"&amp;TEXT(COUNTA($C$5:C56),"000"))</f>
        <v/>
      </c>
      <c r="C56" s="15" t="n"/>
      <c r="D56" s="15" t="n"/>
      <c r="E56" s="15" t="n"/>
      <c r="F56" s="15" t="n"/>
      <c r="G56" s="33" t="n"/>
      <c r="H56" s="15" t="n"/>
      <c r="I56" s="15" t="n"/>
      <c r="J56" s="16" t="n"/>
      <c r="K56" s="15" t="n"/>
      <c r="L56" s="15" t="n"/>
    </row>
    <row r="57" ht="22" customHeight="1">
      <c r="B57" s="18">
        <f>IF(C57="","RET-"&amp;TEXT(COUNTA($C$5:C57),"000"))</f>
        <v/>
      </c>
      <c r="C57" s="13" t="n"/>
      <c r="D57" s="13" t="n"/>
      <c r="E57" s="13" t="n"/>
      <c r="F57" s="13" t="n"/>
      <c r="G57" s="32" t="n"/>
      <c r="H57" s="13" t="n"/>
      <c r="I57" s="13" t="n"/>
      <c r="J57" s="14" t="n"/>
      <c r="K57" s="13" t="n"/>
      <c r="L57" s="13" t="n"/>
    </row>
    <row r="58" ht="22" customHeight="1">
      <c r="B58" s="17">
        <f>IF(C58="","RET-"&amp;TEXT(COUNTA($C$5:C58),"000"))</f>
        <v/>
      </c>
      <c r="C58" s="15" t="n"/>
      <c r="D58" s="15" t="n"/>
      <c r="E58" s="15" t="n"/>
      <c r="F58" s="15" t="n"/>
      <c r="G58" s="33" t="n"/>
      <c r="H58" s="15" t="n"/>
      <c r="I58" s="15" t="n"/>
      <c r="J58" s="16" t="n"/>
      <c r="K58" s="15" t="n"/>
      <c r="L58" s="15" t="n"/>
    </row>
    <row r="59" ht="22" customHeight="1">
      <c r="B59" s="18">
        <f>IF(C59="","RET-"&amp;TEXT(COUNTA($C$5:C59),"000"))</f>
        <v/>
      </c>
      <c r="C59" s="13" t="n"/>
      <c r="D59" s="13" t="n"/>
      <c r="E59" s="13" t="n"/>
      <c r="F59" s="13" t="n"/>
      <c r="G59" s="32" t="n"/>
      <c r="H59" s="13" t="n"/>
      <c r="I59" s="13" t="n"/>
      <c r="J59" s="14" t="n"/>
      <c r="K59" s="13" t="n"/>
      <c r="L59" s="13" t="n"/>
    </row>
    <row r="60" ht="22" customHeight="1">
      <c r="B60" s="17">
        <f>IF(C60="","RET-"&amp;TEXT(COUNTA($C$5:C60),"000"))</f>
        <v/>
      </c>
      <c r="C60" s="15" t="n"/>
      <c r="D60" s="15" t="n"/>
      <c r="E60" s="15" t="n"/>
      <c r="F60" s="15" t="n"/>
      <c r="G60" s="33" t="n"/>
      <c r="H60" s="15" t="n"/>
      <c r="I60" s="15" t="n"/>
      <c r="J60" s="16" t="n"/>
      <c r="K60" s="15" t="n"/>
      <c r="L60" s="15" t="n"/>
    </row>
    <row r="61" ht="22" customHeight="1">
      <c r="B61" s="18">
        <f>IF(C61="","RET-"&amp;TEXT(COUNTA($C$5:C61),"000"))</f>
        <v/>
      </c>
      <c r="C61" s="13" t="n"/>
      <c r="D61" s="13" t="n"/>
      <c r="E61" s="13" t="n"/>
      <c r="F61" s="13" t="n"/>
      <c r="G61" s="32" t="n"/>
      <c r="H61" s="13" t="n"/>
      <c r="I61" s="13" t="n"/>
      <c r="J61" s="14" t="n"/>
      <c r="K61" s="13" t="n"/>
      <c r="L61" s="13" t="n"/>
    </row>
    <row r="62" ht="22" customHeight="1">
      <c r="B62" s="17">
        <f>IF(C62="","RET-"&amp;TEXT(COUNTA($C$5:C62),"000"))</f>
        <v/>
      </c>
      <c r="C62" s="15" t="n"/>
      <c r="D62" s="15" t="n"/>
      <c r="E62" s="15" t="n"/>
      <c r="F62" s="15" t="n"/>
      <c r="G62" s="33" t="n"/>
      <c r="H62" s="15" t="n"/>
      <c r="I62" s="15" t="n"/>
      <c r="J62" s="16" t="n"/>
      <c r="K62" s="15" t="n"/>
      <c r="L62" s="15" t="n"/>
    </row>
    <row r="63" ht="22" customHeight="1">
      <c r="B63" s="18">
        <f>IF(C63="","RET-"&amp;TEXT(COUNTA($C$5:C63),"000"))</f>
        <v/>
      </c>
      <c r="C63" s="13" t="n"/>
      <c r="D63" s="13" t="n"/>
      <c r="E63" s="13" t="n"/>
      <c r="F63" s="13" t="n"/>
      <c r="G63" s="32" t="n"/>
      <c r="H63" s="13" t="n"/>
      <c r="I63" s="13" t="n"/>
      <c r="J63" s="14" t="n"/>
      <c r="K63" s="13" t="n"/>
      <c r="L63" s="13" t="n"/>
    </row>
    <row r="64" ht="22" customHeight="1">
      <c r="B64" s="17">
        <f>IF(C64="","RET-"&amp;TEXT(COUNTA($C$5:C64),"000"))</f>
        <v/>
      </c>
      <c r="C64" s="15" t="n"/>
      <c r="D64" s="15" t="n"/>
      <c r="E64" s="15" t="n"/>
      <c r="F64" s="15" t="n"/>
      <c r="G64" s="33" t="n"/>
      <c r="H64" s="15" t="n"/>
      <c r="I64" s="15" t="n"/>
      <c r="J64" s="16" t="n"/>
      <c r="K64" s="15" t="n"/>
      <c r="L64" s="15" t="n"/>
    </row>
    <row r="65" ht="22" customHeight="1">
      <c r="B65" s="18">
        <f>IF(C65="","RET-"&amp;TEXT(COUNTA($C$5:C65),"000"))</f>
        <v/>
      </c>
      <c r="C65" s="13" t="n"/>
      <c r="D65" s="13" t="n"/>
      <c r="E65" s="13" t="n"/>
      <c r="F65" s="13" t="n"/>
      <c r="G65" s="32" t="n"/>
      <c r="H65" s="13" t="n"/>
      <c r="I65" s="13" t="n"/>
      <c r="J65" s="14" t="n"/>
      <c r="K65" s="13" t="n"/>
      <c r="L65" s="13" t="n"/>
    </row>
    <row r="66" ht="22" customHeight="1">
      <c r="B66" s="17">
        <f>IF(C66="","RET-"&amp;TEXT(COUNTA($C$5:C66),"000"))</f>
        <v/>
      </c>
      <c r="C66" s="15" t="n"/>
      <c r="D66" s="15" t="n"/>
      <c r="E66" s="15" t="n"/>
      <c r="F66" s="15" t="n"/>
      <c r="G66" s="33" t="n"/>
      <c r="H66" s="15" t="n"/>
      <c r="I66" s="15" t="n"/>
      <c r="J66" s="16" t="n"/>
      <c r="K66" s="15" t="n"/>
      <c r="L66" s="15" t="n"/>
    </row>
    <row r="67" ht="22" customHeight="1">
      <c r="B67" s="18">
        <f>IF(C67="","RET-"&amp;TEXT(COUNTA($C$5:C67),"000"))</f>
        <v/>
      </c>
      <c r="C67" s="13" t="n"/>
      <c r="D67" s="13" t="n"/>
      <c r="E67" s="13" t="n"/>
      <c r="F67" s="13" t="n"/>
      <c r="G67" s="32" t="n"/>
      <c r="H67" s="13" t="n"/>
      <c r="I67" s="13" t="n"/>
      <c r="J67" s="14" t="n"/>
      <c r="K67" s="13" t="n"/>
      <c r="L67" s="13" t="n"/>
    </row>
    <row r="68" ht="22" customHeight="1">
      <c r="B68" s="17">
        <f>IF(C68="","RET-"&amp;TEXT(COUNTA($C$5:C68),"000"))</f>
        <v/>
      </c>
      <c r="C68" s="15" t="n"/>
      <c r="D68" s="15" t="n"/>
      <c r="E68" s="15" t="n"/>
      <c r="F68" s="15" t="n"/>
      <c r="G68" s="33" t="n"/>
      <c r="H68" s="15" t="n"/>
      <c r="I68" s="15" t="n"/>
      <c r="J68" s="16" t="n"/>
      <c r="K68" s="15" t="n"/>
      <c r="L68" s="15" t="n"/>
    </row>
    <row r="69" ht="22" customHeight="1">
      <c r="B69" s="18">
        <f>IF(C69="","RET-"&amp;TEXT(COUNTA($C$5:C69),"000"))</f>
        <v/>
      </c>
      <c r="C69" s="13" t="n"/>
      <c r="D69" s="13" t="n"/>
      <c r="E69" s="13" t="n"/>
      <c r="F69" s="13" t="n"/>
      <c r="G69" s="32" t="n"/>
      <c r="H69" s="13" t="n"/>
      <c r="I69" s="13" t="n"/>
      <c r="J69" s="14" t="n"/>
      <c r="K69" s="13" t="n"/>
      <c r="L69" s="13" t="n"/>
    </row>
    <row r="70" ht="22" customHeight="1">
      <c r="B70" s="17">
        <f>IF(C70="","RET-"&amp;TEXT(COUNTA($C$5:C70),"000"))</f>
        <v/>
      </c>
      <c r="C70" s="15" t="n"/>
      <c r="D70" s="15" t="n"/>
      <c r="E70" s="15" t="n"/>
      <c r="F70" s="15" t="n"/>
      <c r="G70" s="33" t="n"/>
      <c r="H70" s="15" t="n"/>
      <c r="I70" s="15" t="n"/>
      <c r="J70" s="16" t="n"/>
      <c r="K70" s="15" t="n"/>
      <c r="L70" s="15" t="n"/>
    </row>
    <row r="71" ht="22" customHeight="1">
      <c r="B71" s="18">
        <f>IF(C71="","RET-"&amp;TEXT(COUNTA($C$5:C71),"000"))</f>
        <v/>
      </c>
      <c r="C71" s="13" t="n"/>
      <c r="D71" s="13" t="n"/>
      <c r="E71" s="13" t="n"/>
      <c r="F71" s="13" t="n"/>
      <c r="G71" s="32" t="n"/>
      <c r="H71" s="13" t="n"/>
      <c r="I71" s="13" t="n"/>
      <c r="J71" s="14" t="n"/>
      <c r="K71" s="13" t="n"/>
      <c r="L71" s="13" t="n"/>
    </row>
    <row r="72" ht="22" customHeight="1">
      <c r="B72" s="17">
        <f>IF(C72="","RET-"&amp;TEXT(COUNTA($C$5:C72),"000"))</f>
        <v/>
      </c>
      <c r="C72" s="15" t="n"/>
      <c r="D72" s="15" t="n"/>
      <c r="E72" s="15" t="n"/>
      <c r="F72" s="15" t="n"/>
      <c r="G72" s="33" t="n"/>
      <c r="H72" s="15" t="n"/>
      <c r="I72" s="15" t="n"/>
      <c r="J72" s="16" t="n"/>
      <c r="K72" s="15" t="n"/>
      <c r="L72" s="15" t="n"/>
    </row>
    <row r="73" ht="22" customHeight="1">
      <c r="B73" s="18">
        <f>IF(C73="","RET-"&amp;TEXT(COUNTA($C$5:C73),"000"))</f>
        <v/>
      </c>
      <c r="C73" s="13" t="n"/>
      <c r="D73" s="13" t="n"/>
      <c r="E73" s="13" t="n"/>
      <c r="F73" s="13" t="n"/>
      <c r="G73" s="32" t="n"/>
      <c r="H73" s="13" t="n"/>
      <c r="I73" s="13" t="n"/>
      <c r="J73" s="14" t="n"/>
      <c r="K73" s="13" t="n"/>
      <c r="L73" s="13" t="n"/>
    </row>
    <row r="74" ht="22" customHeight="1">
      <c r="B74" s="17">
        <f>IF(C74="","RET-"&amp;TEXT(COUNTA($C$5:C74),"000"))</f>
        <v/>
      </c>
      <c r="C74" s="15" t="n"/>
      <c r="D74" s="15" t="n"/>
      <c r="E74" s="15" t="n"/>
      <c r="F74" s="15" t="n"/>
      <c r="G74" s="33" t="n"/>
      <c r="H74" s="15" t="n"/>
      <c r="I74" s="15" t="n"/>
      <c r="J74" s="16" t="n"/>
      <c r="K74" s="15" t="n"/>
      <c r="L74" s="15" t="n"/>
    </row>
    <row r="75" ht="22" customHeight="1">
      <c r="B75" s="18">
        <f>IF(C75="","RET-"&amp;TEXT(COUNTA($C$5:C75),"000"))</f>
        <v/>
      </c>
      <c r="C75" s="13" t="n"/>
      <c r="D75" s="13" t="n"/>
      <c r="E75" s="13" t="n"/>
      <c r="F75" s="13" t="n"/>
      <c r="G75" s="32" t="n"/>
      <c r="H75" s="13" t="n"/>
      <c r="I75" s="13" t="n"/>
      <c r="J75" s="14" t="n"/>
      <c r="K75" s="13" t="n"/>
      <c r="L75" s="13" t="n"/>
    </row>
    <row r="76" ht="22" customHeight="1">
      <c r="B76" s="17">
        <f>IF(C76="","RET-"&amp;TEXT(COUNTA($C$5:C76),"000"))</f>
        <v/>
      </c>
      <c r="C76" s="15" t="n"/>
      <c r="D76" s="15" t="n"/>
      <c r="E76" s="15" t="n"/>
      <c r="F76" s="15" t="n"/>
      <c r="G76" s="33" t="n"/>
      <c r="H76" s="15" t="n"/>
      <c r="I76" s="15" t="n"/>
      <c r="J76" s="16" t="n"/>
      <c r="K76" s="15" t="n"/>
      <c r="L76" s="15" t="n"/>
    </row>
    <row r="77" ht="22" customHeight="1">
      <c r="B77" s="18">
        <f>IF(C77="","RET-"&amp;TEXT(COUNTA($C$5:C77),"000"))</f>
        <v/>
      </c>
      <c r="C77" s="13" t="n"/>
      <c r="D77" s="13" t="n"/>
      <c r="E77" s="13" t="n"/>
      <c r="F77" s="13" t="n"/>
      <c r="G77" s="32" t="n"/>
      <c r="H77" s="13" t="n"/>
      <c r="I77" s="13" t="n"/>
      <c r="J77" s="14" t="n"/>
      <c r="K77" s="13" t="n"/>
      <c r="L77" s="13" t="n"/>
    </row>
    <row r="78" ht="22" customHeight="1">
      <c r="B78" s="17">
        <f>IF(C78="","RET-"&amp;TEXT(COUNTA($C$5:C78),"000"))</f>
        <v/>
      </c>
      <c r="C78" s="15" t="n"/>
      <c r="D78" s="15" t="n"/>
      <c r="E78" s="15" t="n"/>
      <c r="F78" s="15" t="n"/>
      <c r="G78" s="33" t="n"/>
      <c r="H78" s="15" t="n"/>
      <c r="I78" s="15" t="n"/>
      <c r="J78" s="16" t="n"/>
      <c r="K78" s="15" t="n"/>
      <c r="L78" s="15" t="n"/>
    </row>
    <row r="79" ht="22" customHeight="1">
      <c r="B79" s="18">
        <f>IF(C79="","RET-"&amp;TEXT(COUNTA($C$5:C79),"000"))</f>
        <v/>
      </c>
      <c r="C79" s="13" t="n"/>
      <c r="D79" s="13" t="n"/>
      <c r="E79" s="13" t="n"/>
      <c r="F79" s="13" t="n"/>
      <c r="G79" s="32" t="n"/>
      <c r="H79" s="13" t="n"/>
      <c r="I79" s="13" t="n"/>
      <c r="J79" s="14" t="n"/>
      <c r="K79" s="13" t="n"/>
      <c r="L79" s="13" t="n"/>
    </row>
    <row r="80" ht="22" customHeight="1">
      <c r="B80" s="17">
        <f>IF(C80="","RET-"&amp;TEXT(COUNTA($C$5:C80),"000"))</f>
        <v/>
      </c>
      <c r="C80" s="15" t="n"/>
      <c r="D80" s="15" t="n"/>
      <c r="E80" s="15" t="n"/>
      <c r="F80" s="15" t="n"/>
      <c r="G80" s="33" t="n"/>
      <c r="H80" s="15" t="n"/>
      <c r="I80" s="15" t="n"/>
      <c r="J80" s="16" t="n"/>
      <c r="K80" s="15" t="n"/>
      <c r="L80" s="15" t="n"/>
    </row>
    <row r="81" ht="22" customHeight="1">
      <c r="B81" s="18">
        <f>IF(C81="","RET-"&amp;TEXT(COUNTA($C$5:C81),"000"))</f>
        <v/>
      </c>
      <c r="C81" s="13" t="n"/>
      <c r="D81" s="13" t="n"/>
      <c r="E81" s="13" t="n"/>
      <c r="F81" s="13" t="n"/>
      <c r="G81" s="32" t="n"/>
      <c r="H81" s="13" t="n"/>
      <c r="I81" s="13" t="n"/>
      <c r="J81" s="14" t="n"/>
      <c r="K81" s="13" t="n"/>
      <c r="L81" s="13" t="n"/>
    </row>
    <row r="82" ht="22" customHeight="1">
      <c r="B82" s="17">
        <f>IF(C82="","RET-"&amp;TEXT(COUNTA($C$5:C82),"000"))</f>
        <v/>
      </c>
      <c r="C82" s="15" t="n"/>
      <c r="D82" s="15" t="n"/>
      <c r="E82" s="15" t="n"/>
      <c r="F82" s="15" t="n"/>
      <c r="G82" s="33" t="n"/>
      <c r="H82" s="15" t="n"/>
      <c r="I82" s="15" t="n"/>
      <c r="J82" s="16" t="n"/>
      <c r="K82" s="15" t="n"/>
      <c r="L82" s="15" t="n"/>
    </row>
    <row r="83" ht="22" customHeight="1">
      <c r="B83" s="18">
        <f>IF(C83="","RET-"&amp;TEXT(COUNTA($C$5:C83),"000"))</f>
        <v/>
      </c>
      <c r="C83" s="13" t="n"/>
      <c r="D83" s="13" t="n"/>
      <c r="E83" s="13" t="n"/>
      <c r="F83" s="13" t="n"/>
      <c r="G83" s="32" t="n"/>
      <c r="H83" s="13" t="n"/>
      <c r="I83" s="13" t="n"/>
      <c r="J83" s="14" t="n"/>
      <c r="K83" s="13" t="n"/>
      <c r="L83" s="13" t="n"/>
    </row>
    <row r="84" ht="22" customHeight="1">
      <c r="B84" s="17">
        <f>IF(C84="","RET-"&amp;TEXT(COUNTA($C$5:C84),"000"))</f>
        <v/>
      </c>
      <c r="C84" s="15" t="n"/>
      <c r="D84" s="15" t="n"/>
      <c r="E84" s="15" t="n"/>
      <c r="F84" s="15" t="n"/>
      <c r="G84" s="33" t="n"/>
      <c r="H84" s="15" t="n"/>
      <c r="I84" s="15" t="n"/>
      <c r="J84" s="16" t="n"/>
      <c r="K84" s="15" t="n"/>
      <c r="L84" s="15" t="n"/>
    </row>
    <row r="85" ht="22" customHeight="1">
      <c r="B85" s="18">
        <f>IF(C85="","RET-"&amp;TEXT(COUNTA($C$5:C85),"000"))</f>
        <v/>
      </c>
      <c r="C85" s="13" t="n"/>
      <c r="D85" s="13" t="n"/>
      <c r="E85" s="13" t="n"/>
      <c r="F85" s="13" t="n"/>
      <c r="G85" s="32" t="n"/>
      <c r="H85" s="13" t="n"/>
      <c r="I85" s="13" t="n"/>
      <c r="J85" s="14" t="n"/>
      <c r="K85" s="13" t="n"/>
      <c r="L85" s="13" t="n"/>
    </row>
    <row r="86" ht="22" customHeight="1">
      <c r="B86" s="17">
        <f>IF(C86="","RET-"&amp;TEXT(COUNTA($C$5:C86),"000"))</f>
        <v/>
      </c>
      <c r="C86" s="15" t="n"/>
      <c r="D86" s="15" t="n"/>
      <c r="E86" s="15" t="n"/>
      <c r="F86" s="15" t="n"/>
      <c r="G86" s="33" t="n"/>
      <c r="H86" s="15" t="n"/>
      <c r="I86" s="15" t="n"/>
      <c r="J86" s="16" t="n"/>
      <c r="K86" s="15" t="n"/>
      <c r="L86" s="15" t="n"/>
    </row>
    <row r="87" ht="22" customHeight="1">
      <c r="B87" s="18">
        <f>IF(C87="","RET-"&amp;TEXT(COUNTA($C$5:C87),"000"))</f>
        <v/>
      </c>
      <c r="C87" s="13" t="n"/>
      <c r="D87" s="13" t="n"/>
      <c r="E87" s="13" t="n"/>
      <c r="F87" s="13" t="n"/>
      <c r="G87" s="32" t="n"/>
      <c r="H87" s="13" t="n"/>
      <c r="I87" s="13" t="n"/>
      <c r="J87" s="14" t="n"/>
      <c r="K87" s="13" t="n"/>
      <c r="L87" s="13" t="n"/>
    </row>
    <row r="88" ht="22" customHeight="1">
      <c r="B88" s="17">
        <f>IF(C88="","RET-"&amp;TEXT(COUNTA($C$5:C88),"000"))</f>
        <v/>
      </c>
      <c r="C88" s="15" t="n"/>
      <c r="D88" s="15" t="n"/>
      <c r="E88" s="15" t="n"/>
      <c r="F88" s="15" t="n"/>
      <c r="G88" s="33" t="n"/>
      <c r="H88" s="15" t="n"/>
      <c r="I88" s="15" t="n"/>
      <c r="J88" s="16" t="n"/>
      <c r="K88" s="15" t="n"/>
      <c r="L88" s="15" t="n"/>
    </row>
    <row r="89" ht="22" customHeight="1">
      <c r="B89" s="18">
        <f>IF(C89="","RET-"&amp;TEXT(COUNTA($C$5:C89),"000"))</f>
        <v/>
      </c>
      <c r="C89" s="13" t="n"/>
      <c r="D89" s="13" t="n"/>
      <c r="E89" s="13" t="n"/>
      <c r="F89" s="13" t="n"/>
      <c r="G89" s="32" t="n"/>
      <c r="H89" s="13" t="n"/>
      <c r="I89" s="13" t="n"/>
      <c r="J89" s="14" t="n"/>
      <c r="K89" s="13" t="n"/>
      <c r="L89" s="13" t="n"/>
    </row>
    <row r="90" ht="22" customHeight="1">
      <c r="B90" s="17">
        <f>IF(C90="","RET-"&amp;TEXT(COUNTA($C$5:C90),"000"))</f>
        <v/>
      </c>
      <c r="C90" s="15" t="n"/>
      <c r="D90" s="15" t="n"/>
      <c r="E90" s="15" t="n"/>
      <c r="F90" s="15" t="n"/>
      <c r="G90" s="33" t="n"/>
      <c r="H90" s="15" t="n"/>
      <c r="I90" s="15" t="n"/>
      <c r="J90" s="16" t="n"/>
      <c r="K90" s="15" t="n"/>
      <c r="L90" s="15" t="n"/>
    </row>
    <row r="91" ht="22" customHeight="1">
      <c r="B91" s="18">
        <f>IF(C91="","RET-"&amp;TEXT(COUNTA($C$5:C91),"000"))</f>
        <v/>
      </c>
      <c r="C91" s="13" t="n"/>
      <c r="D91" s="13" t="n"/>
      <c r="E91" s="13" t="n"/>
      <c r="F91" s="13" t="n"/>
      <c r="G91" s="32" t="n"/>
      <c r="H91" s="13" t="n"/>
      <c r="I91" s="13" t="n"/>
      <c r="J91" s="14" t="n"/>
      <c r="K91" s="13" t="n"/>
      <c r="L91" s="13" t="n"/>
    </row>
    <row r="92" ht="22" customHeight="1">
      <c r="B92" s="17">
        <f>IF(C92="","RET-"&amp;TEXT(COUNTA($C$5:C92),"000"))</f>
        <v/>
      </c>
      <c r="C92" s="15" t="n"/>
      <c r="D92" s="15" t="n"/>
      <c r="E92" s="15" t="n"/>
      <c r="F92" s="15" t="n"/>
      <c r="G92" s="33" t="n"/>
      <c r="H92" s="15" t="n"/>
      <c r="I92" s="15" t="n"/>
      <c r="J92" s="16" t="n"/>
      <c r="K92" s="15" t="n"/>
      <c r="L92" s="15" t="n"/>
    </row>
    <row r="93" ht="22" customHeight="1">
      <c r="B93" s="18">
        <f>IF(C93="","RET-"&amp;TEXT(COUNTA($C$5:C93),"000"))</f>
        <v/>
      </c>
      <c r="C93" s="13" t="n"/>
      <c r="D93" s="13" t="n"/>
      <c r="E93" s="13" t="n"/>
      <c r="F93" s="13" t="n"/>
      <c r="G93" s="32" t="n"/>
      <c r="H93" s="13" t="n"/>
      <c r="I93" s="13" t="n"/>
      <c r="J93" s="14" t="n"/>
      <c r="K93" s="13" t="n"/>
      <c r="L93" s="13" t="n"/>
    </row>
    <row r="94" ht="22" customHeight="1">
      <c r="B94" s="17">
        <f>IF(C94="","RET-"&amp;TEXT(COUNTA($C$5:C94),"000"))</f>
        <v/>
      </c>
      <c r="C94" s="15" t="n"/>
      <c r="D94" s="15" t="n"/>
      <c r="E94" s="15" t="n"/>
      <c r="F94" s="15" t="n"/>
      <c r="G94" s="33" t="n"/>
      <c r="H94" s="15" t="n"/>
      <c r="I94" s="15" t="n"/>
      <c r="J94" s="16" t="n"/>
      <c r="K94" s="15" t="n"/>
      <c r="L94" s="15" t="n"/>
    </row>
    <row r="95" ht="22" customHeight="1">
      <c r="B95" s="18">
        <f>IF(C95="","RET-"&amp;TEXT(COUNTA($C$5:C95),"000"))</f>
        <v/>
      </c>
      <c r="C95" s="13" t="n"/>
      <c r="D95" s="13" t="n"/>
      <c r="E95" s="13" t="n"/>
      <c r="F95" s="13" t="n"/>
      <c r="G95" s="32" t="n"/>
      <c r="H95" s="13" t="n"/>
      <c r="I95" s="13" t="n"/>
      <c r="J95" s="14" t="n"/>
      <c r="K95" s="13" t="n"/>
      <c r="L95" s="13" t="n"/>
    </row>
    <row r="96" ht="22" customHeight="1">
      <c r="B96" s="17">
        <f>IF(C96="","RET-"&amp;TEXT(COUNTA($C$5:C96),"000"))</f>
        <v/>
      </c>
      <c r="C96" s="15" t="n"/>
      <c r="D96" s="15" t="n"/>
      <c r="E96" s="15" t="n"/>
      <c r="F96" s="15" t="n"/>
      <c r="G96" s="33" t="n"/>
      <c r="H96" s="15" t="n"/>
      <c r="I96" s="15" t="n"/>
      <c r="J96" s="16" t="n"/>
      <c r="K96" s="15" t="n"/>
      <c r="L96" s="15" t="n"/>
    </row>
    <row r="97" ht="22" customHeight="1">
      <c r="B97" s="18">
        <f>IF(C97="","RET-"&amp;TEXT(COUNTA($C$5:C97),"000"))</f>
        <v/>
      </c>
      <c r="C97" s="13" t="n"/>
      <c r="D97" s="13" t="n"/>
      <c r="E97" s="13" t="n"/>
      <c r="F97" s="13" t="n"/>
      <c r="G97" s="32" t="n"/>
      <c r="H97" s="13" t="n"/>
      <c r="I97" s="13" t="n"/>
      <c r="J97" s="14" t="n"/>
      <c r="K97" s="13" t="n"/>
      <c r="L97" s="13" t="n"/>
    </row>
    <row r="98" ht="22" customHeight="1">
      <c r="B98" s="17">
        <f>IF(C98="","RET-"&amp;TEXT(COUNTA($C$5:C98),"000"))</f>
        <v/>
      </c>
      <c r="C98" s="15" t="n"/>
      <c r="D98" s="15" t="n"/>
      <c r="E98" s="15" t="n"/>
      <c r="F98" s="15" t="n"/>
      <c r="G98" s="33" t="n"/>
      <c r="H98" s="15" t="n"/>
      <c r="I98" s="15" t="n"/>
      <c r="J98" s="16" t="n"/>
      <c r="K98" s="15" t="n"/>
      <c r="L98" s="15" t="n"/>
    </row>
    <row r="99" ht="22" customHeight="1">
      <c r="B99" s="18">
        <f>IF(C99="","RET-"&amp;TEXT(COUNTA($C$5:C99),"000"))</f>
        <v/>
      </c>
      <c r="C99" s="13" t="n"/>
      <c r="D99" s="13" t="n"/>
      <c r="E99" s="13" t="n"/>
      <c r="F99" s="13" t="n"/>
      <c r="G99" s="32" t="n"/>
      <c r="H99" s="13" t="n"/>
      <c r="I99" s="13" t="n"/>
      <c r="J99" s="14" t="n"/>
      <c r="K99" s="13" t="n"/>
      <c r="L99" s="13" t="n"/>
    </row>
    <row r="100" ht="22" customHeight="1">
      <c r="B100" s="17">
        <f>IF(C100="","RET-"&amp;TEXT(COUNTA($C$5:C100),"000"))</f>
        <v/>
      </c>
      <c r="C100" s="15" t="n"/>
      <c r="D100" s="15" t="n"/>
      <c r="E100" s="15" t="n"/>
      <c r="F100" s="15" t="n"/>
      <c r="G100" s="33" t="n"/>
      <c r="H100" s="15" t="n"/>
      <c r="I100" s="15" t="n"/>
      <c r="J100" s="16" t="n"/>
      <c r="K100" s="15" t="n"/>
      <c r="L100" s="15" t="n"/>
    </row>
    <row r="101" ht="22" customHeight="1">
      <c r="B101" s="18">
        <f>IF(C101="","RET-"&amp;TEXT(COUNTA($C$5:C101),"000"))</f>
        <v/>
      </c>
      <c r="C101" s="13" t="n"/>
      <c r="D101" s="13" t="n"/>
      <c r="E101" s="13" t="n"/>
      <c r="F101" s="13" t="n"/>
      <c r="G101" s="32" t="n"/>
      <c r="H101" s="13" t="n"/>
      <c r="I101" s="13" t="n"/>
      <c r="J101" s="14" t="n"/>
      <c r="K101" s="13" t="n"/>
      <c r="L101" s="13" t="n"/>
    </row>
    <row r="102" ht="22" customHeight="1">
      <c r="B102" s="17">
        <f>IF(C102="","RET-"&amp;TEXT(COUNTA($C$5:C102),"000"))</f>
        <v/>
      </c>
      <c r="C102" s="15" t="n"/>
      <c r="D102" s="15" t="n"/>
      <c r="E102" s="15" t="n"/>
      <c r="F102" s="15" t="n"/>
      <c r="G102" s="33" t="n"/>
      <c r="H102" s="15" t="n"/>
      <c r="I102" s="15" t="n"/>
      <c r="J102" s="16" t="n"/>
      <c r="K102" s="15" t="n"/>
      <c r="L102" s="15" t="n"/>
    </row>
    <row r="103" ht="22" customHeight="1">
      <c r="B103" s="18">
        <f>IF(C103="","RET-"&amp;TEXT(COUNTA($C$5:C103),"000"))</f>
        <v/>
      </c>
      <c r="C103" s="13" t="n"/>
      <c r="D103" s="13" t="n"/>
      <c r="E103" s="13" t="n"/>
      <c r="F103" s="13" t="n"/>
      <c r="G103" s="32" t="n"/>
      <c r="H103" s="13" t="n"/>
      <c r="I103" s="13" t="n"/>
      <c r="J103" s="14" t="n"/>
      <c r="K103" s="13" t="n"/>
      <c r="L103" s="13" t="n"/>
    </row>
    <row r="104" ht="22" customHeight="1">
      <c r="B104" s="17">
        <f>IF(C104="","RET-"&amp;TEXT(COUNTA($C$5:C104),"000"))</f>
        <v/>
      </c>
      <c r="C104" s="15" t="n"/>
      <c r="D104" s="15" t="n"/>
      <c r="E104" s="15" t="n"/>
      <c r="F104" s="15" t="n"/>
      <c r="G104" s="33" t="n"/>
      <c r="H104" s="15" t="n"/>
      <c r="I104" s="15" t="n"/>
      <c r="J104" s="16" t="n"/>
      <c r="K104" s="15" t="n"/>
      <c r="L104" s="15" t="n"/>
    </row>
    <row r="105" ht="22" customHeight="1">
      <c r="B105" s="18">
        <f>IF(C105="","RET-"&amp;TEXT(COUNTA($C$5:C105),"000"))</f>
        <v/>
      </c>
      <c r="C105" s="13" t="n"/>
      <c r="D105" s="13" t="n"/>
      <c r="E105" s="13" t="n"/>
      <c r="F105" s="13" t="n"/>
      <c r="G105" s="32" t="n"/>
      <c r="H105" s="13" t="n"/>
      <c r="I105" s="13" t="n"/>
      <c r="J105" s="14" t="n"/>
      <c r="K105" s="13" t="n"/>
      <c r="L105" s="13" t="n"/>
    </row>
    <row r="106" ht="22" customHeight="1">
      <c r="B106" s="17">
        <f>IF(C106="","RET-"&amp;TEXT(COUNTA($C$5:C106),"000"))</f>
        <v/>
      </c>
      <c r="C106" s="15" t="n"/>
      <c r="D106" s="15" t="n"/>
      <c r="E106" s="15" t="n"/>
      <c r="F106" s="15" t="n"/>
      <c r="G106" s="33" t="n"/>
      <c r="H106" s="15" t="n"/>
      <c r="I106" s="15" t="n"/>
      <c r="J106" s="16" t="n"/>
      <c r="K106" s="15" t="n"/>
      <c r="L106" s="15" t="n"/>
    </row>
    <row r="107" ht="22" customHeight="1">
      <c r="B107" s="18">
        <f>IF(C107="","RET-"&amp;TEXT(COUNTA($C$5:C107),"000"))</f>
        <v/>
      </c>
      <c r="C107" s="13" t="n"/>
      <c r="D107" s="13" t="n"/>
      <c r="E107" s="13" t="n"/>
      <c r="F107" s="13" t="n"/>
      <c r="G107" s="32" t="n"/>
      <c r="H107" s="13" t="n"/>
      <c r="I107" s="13" t="n"/>
      <c r="J107" s="14" t="n"/>
      <c r="K107" s="13" t="n"/>
      <c r="L107" s="13" t="n"/>
    </row>
    <row r="108" ht="22" customHeight="1">
      <c r="B108" s="17">
        <f>IF(C108="","RET-"&amp;TEXT(COUNTA($C$5:C108),"000"))</f>
        <v/>
      </c>
      <c r="C108" s="15" t="n"/>
      <c r="D108" s="15" t="n"/>
      <c r="E108" s="15" t="n"/>
      <c r="F108" s="15" t="n"/>
      <c r="G108" s="33" t="n"/>
      <c r="H108" s="15" t="n"/>
      <c r="I108" s="15" t="n"/>
      <c r="J108" s="16" t="n"/>
      <c r="K108" s="15" t="n"/>
      <c r="L108" s="15" t="n"/>
    </row>
    <row r="109" ht="22" customHeight="1">
      <c r="B109" s="18">
        <f>IF(C109="","RET-"&amp;TEXT(COUNTA($C$5:C109),"000"))</f>
        <v/>
      </c>
      <c r="C109" s="13" t="n"/>
      <c r="D109" s="13" t="n"/>
      <c r="E109" s="13" t="n"/>
      <c r="F109" s="13" t="n"/>
      <c r="G109" s="32" t="n"/>
      <c r="H109" s="13" t="n"/>
      <c r="I109" s="13" t="n"/>
      <c r="J109" s="14" t="n"/>
      <c r="K109" s="13" t="n"/>
      <c r="L109" s="13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0" t="n"/>
      <c r="J111" s="21">
        <f>SUM(J5:J104)</f>
        <v/>
      </c>
      <c r="K111" s="20" t="n"/>
      <c r="L111" s="20" t="n"/>
    </row>
    <row r="113">
      <c r="B113" s="6" t="inlineStr">
        <is>
          <t>INDICATEURS (mis a jour automatiquement)</t>
        </is>
      </c>
    </row>
    <row r="114">
      <c r="B114" s="3" t="inlineStr">
        <is>
          <t>Total retards</t>
        </is>
      </c>
      <c r="D114" s="3" t="inlineStr">
        <is>
          <t>Minutes cumulees</t>
        </is>
      </c>
      <c r="F114" s="3" t="inlineStr">
        <is>
          <t>Non justifies</t>
        </is>
      </c>
      <c r="H114" s="3" t="inlineStr">
        <is>
          <t>Sanctionnes</t>
        </is>
      </c>
    </row>
    <row r="115">
      <c r="B115" s="4">
        <f>COUNTIF(B5:B104,"&lt;&gt;")</f>
        <v/>
      </c>
      <c r="D115" s="4">
        <f>SUM(J5:J104)</f>
        <v/>
      </c>
      <c r="F115" s="4">
        <f>COUNTIF(L5:L104,"Non justifie")</f>
        <v/>
      </c>
      <c r="H115" s="4">
        <f>COUNTIF(L5:L104,"Sanctionne")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10:B109">
    <cfRule type="expression" priority="43" dxfId="3">
      <formula>AND($C10="",$C9&lt;&gt;"")</formula>
    </cfRule>
  </conditionalFormatting>
  <conditionalFormatting sqref="C10:C109">
    <cfRule type="expression" priority="44" dxfId="3">
      <formula>AND($C10="",$C9&lt;&gt;"")</formula>
    </cfRule>
  </conditionalFormatting>
  <conditionalFormatting sqref="D10:D109">
    <cfRule type="expression" priority="45" dxfId="3">
      <formula>AND($C10="",$C9&lt;&gt;"")</formula>
    </cfRule>
  </conditionalFormatting>
  <conditionalFormatting sqref="E10:E109">
    <cfRule type="expression" priority="46" dxfId="3">
      <formula>AND($C10="",$C9&lt;&gt;"")</formula>
    </cfRule>
  </conditionalFormatting>
  <conditionalFormatting sqref="F10:F109">
    <cfRule type="expression" priority="47" dxfId="3">
      <formula>AND($C10="",$C9&lt;&gt;"")</formula>
    </cfRule>
  </conditionalFormatting>
  <conditionalFormatting sqref="G10:G109">
    <cfRule type="expression" priority="48" dxfId="3">
      <formula>AND($C10="",$C9&lt;&gt;"")</formula>
    </cfRule>
  </conditionalFormatting>
  <conditionalFormatting sqref="H10:H109">
    <cfRule type="expression" priority="49" dxfId="3">
      <formula>AND($C10="",$C9&lt;&gt;"")</formula>
    </cfRule>
  </conditionalFormatting>
  <conditionalFormatting sqref="I10:I109">
    <cfRule type="expression" priority="50" dxfId="3">
      <formula>AND($C10="",$C9&lt;&gt;"")</formula>
    </cfRule>
  </conditionalFormatting>
  <conditionalFormatting sqref="J10:J109">
    <cfRule type="expression" priority="51" dxfId="3">
      <formula>AND($C10="",$C9&lt;&gt;"")</formula>
    </cfRule>
  </conditionalFormatting>
  <conditionalFormatting sqref="K10:K109">
    <cfRule type="expression" priority="52" dxfId="3">
      <formula>AND($C10="",$C9&lt;&gt;"")</formula>
    </cfRule>
  </conditionalFormatting>
  <conditionalFormatting sqref="L10:L109">
    <cfRule type="expression" priority="53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'_Lists'!$K$2:$K$5</formula1>
    </dataValidation>
    <dataValidation sqref="L5:L109" showDropDown="0" showInputMessage="0" showErrorMessage="0" allowBlank="1" errorTitle="Erreur" error="Valeur invalide" promptTitle="Liste" prompt="Choisir dans la liste" type="list">
      <formula1>'_Lists'!$L$2:$L$5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18" customWidth="1" min="5" max="5"/>
    <col width="22" customWidth="1" min="6" max="6"/>
    <col width="14" customWidth="1" min="7" max="7"/>
    <col width="14" customWidth="1" min="8" max="8"/>
    <col width="12" customWidth="1" min="9" max="9"/>
    <col width="16" customWidth="1" min="10" max="10"/>
    <col width="20" customWidth="1" min="11" max="11"/>
    <col width="20" customWidth="1" min="12" max="12"/>
    <col width="18" customWidth="1" min="13" max="13"/>
  </cols>
  <sheetData>
    <row r="1" ht="15" customHeight="1"/>
    <row r="2" ht="32" customHeight="1">
      <c r="B2" s="1" t="inlineStr">
        <is>
          <t>GESTION DES ARRETS MALADIE (#58)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Arret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Type Arret</t>
        </is>
      </c>
      <c r="G4" s="12" t="inlineStr">
        <is>
          <t>Date Debut</t>
        </is>
      </c>
      <c r="H4" s="12" t="inlineStr">
        <is>
          <t>Date Fin</t>
        </is>
      </c>
      <c r="I4" s="12" t="inlineStr">
        <is>
          <t>Nb Jours</t>
        </is>
      </c>
      <c r="J4" s="12" t="inlineStr">
        <is>
          <t>Certificat Medical</t>
        </is>
      </c>
      <c r="K4" s="12" t="inlineStr">
        <is>
          <t>IJSS Journalieres (FCFA)</t>
        </is>
      </c>
      <c r="L4" s="12" t="inlineStr">
        <is>
          <t>Maintien Salaire (FCFA)</t>
        </is>
      </c>
      <c r="M4" s="12" t="inlineStr">
        <is>
          <t>Statut</t>
        </is>
      </c>
    </row>
    <row r="5" ht="22" customHeight="1">
      <c r="B5" s="13" t="inlineStr">
        <is>
          <t>AM-001</t>
        </is>
      </c>
      <c r="C5" s="13" t="inlineStr">
        <is>
          <t>EMP-003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Arret maladie</t>
        </is>
      </c>
      <c r="G5" s="32" t="n">
        <v>45811</v>
      </c>
      <c r="H5" s="32" t="n">
        <v>45814</v>
      </c>
      <c r="I5" s="14" t="n">
        <v>4</v>
      </c>
      <c r="J5" s="13" t="inlineStr">
        <is>
          <t>Oui</t>
        </is>
      </c>
      <c r="K5" s="24" t="n">
        <v>6000</v>
      </c>
      <c r="L5" s="24" t="n">
        <v>0</v>
      </c>
      <c r="M5" s="13" t="inlineStr">
        <is>
          <t>Termine</t>
        </is>
      </c>
    </row>
    <row r="6" ht="22" customHeight="1">
      <c r="B6" s="15" t="inlineStr">
        <is>
          <t>AM-002</t>
        </is>
      </c>
      <c r="C6" s="15" t="inlineStr">
        <is>
          <t>EMP-009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Arret maladie</t>
        </is>
      </c>
      <c r="G6" s="33" t="n">
        <v>45797</v>
      </c>
      <c r="H6" s="33" t="n">
        <v>45807</v>
      </c>
      <c r="I6" s="16" t="n">
        <v>9</v>
      </c>
      <c r="J6" s="15" t="inlineStr">
        <is>
          <t>Oui</t>
        </is>
      </c>
      <c r="K6" s="25" t="n">
        <v>5400</v>
      </c>
      <c r="L6" s="25" t="n">
        <v>0</v>
      </c>
      <c r="M6" s="15" t="inlineStr">
        <is>
          <t>Termine</t>
        </is>
      </c>
    </row>
    <row r="7" ht="22" customHeight="1">
      <c r="B7" s="13" t="inlineStr">
        <is>
          <t>AM-003</t>
        </is>
      </c>
      <c r="C7" s="13" t="inlineStr">
        <is>
          <t>EMP-005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Hospitalisation</t>
        </is>
      </c>
      <c r="G7" s="32" t="n">
        <v>45828</v>
      </c>
      <c r="H7" s="32" t="n">
        <v>45838</v>
      </c>
      <c r="I7" s="14" t="n">
        <v>10</v>
      </c>
      <c r="J7" s="13" t="inlineStr">
        <is>
          <t>Oui</t>
        </is>
      </c>
      <c r="K7" s="24" t="n">
        <v>6000</v>
      </c>
      <c r="L7" s="24" t="n">
        <v>120000</v>
      </c>
      <c r="M7" s="13" t="inlineStr">
        <is>
          <t>En cours</t>
        </is>
      </c>
    </row>
    <row r="8" ht="22" customHeight="1">
      <c r="B8" s="15" t="inlineStr">
        <is>
          <t>AM-004</t>
        </is>
      </c>
      <c r="C8" s="15" t="inlineStr">
        <is>
          <t>EMP-011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Arret maladie</t>
        </is>
      </c>
      <c r="G8" s="33" t="n">
        <v>45833</v>
      </c>
      <c r="H8" s="33" t="n">
        <v>45843</v>
      </c>
      <c r="I8" s="16" t="n">
        <v>10</v>
      </c>
      <c r="J8" s="15" t="inlineStr">
        <is>
          <t>En attente</t>
        </is>
      </c>
      <c r="K8" s="25" t="n">
        <v>0</v>
      </c>
      <c r="L8" s="25" t="n">
        <v>0</v>
      </c>
      <c r="M8" s="15" t="inlineStr">
        <is>
          <t>En attente de justification</t>
        </is>
      </c>
    </row>
    <row r="9" ht="22" customHeight="1">
      <c r="B9" s="18">
        <f>IF(C9="","AM-"&amp;TEXT(COUNTA($C$5:C9),"000"))</f>
        <v/>
      </c>
      <c r="C9" s="13" t="n"/>
      <c r="D9" s="13" t="n"/>
      <c r="E9" s="13" t="n"/>
      <c r="F9" s="13" t="n"/>
      <c r="G9" s="32" t="n"/>
      <c r="H9" s="32" t="n"/>
      <c r="I9" s="14">
        <f>IF(G9="","",H9-G9+1)</f>
        <v/>
      </c>
      <c r="J9" s="13" t="n"/>
      <c r="K9" s="24" t="n"/>
      <c r="L9" s="24" t="n"/>
      <c r="M9" s="13" t="n"/>
    </row>
    <row r="10" ht="22" customHeight="1">
      <c r="B10" s="17">
        <f>IF(C10="","AM-"&amp;TEXT(COUNTA($C$5:C10),"000"))</f>
        <v/>
      </c>
      <c r="C10" s="15" t="n"/>
      <c r="D10" s="15" t="n"/>
      <c r="E10" s="15" t="n"/>
      <c r="F10" s="15" t="n"/>
      <c r="G10" s="33" t="n"/>
      <c r="H10" s="33" t="n"/>
      <c r="I10" s="16">
        <f>IF(G10="","",H10-G10+1)</f>
        <v/>
      </c>
      <c r="J10" s="15" t="n"/>
      <c r="K10" s="25" t="n"/>
      <c r="L10" s="25" t="n"/>
      <c r="M10" s="15" t="n"/>
    </row>
    <row r="11" ht="22" customHeight="1">
      <c r="B11" s="18">
        <f>IF(C11="","AM-"&amp;TEXT(COUNTA($C$5:C11),"000"))</f>
        <v/>
      </c>
      <c r="C11" s="13" t="n"/>
      <c r="D11" s="13" t="n"/>
      <c r="E11" s="13" t="n"/>
      <c r="F11" s="13" t="n"/>
      <c r="G11" s="32" t="n"/>
      <c r="H11" s="32" t="n"/>
      <c r="I11" s="14">
        <f>IF(G11="","",H11-G11+1)</f>
        <v/>
      </c>
      <c r="J11" s="13" t="n"/>
      <c r="K11" s="24" t="n"/>
      <c r="L11" s="24" t="n"/>
      <c r="M11" s="13" t="n"/>
    </row>
    <row r="12" ht="22" customHeight="1">
      <c r="B12" s="17">
        <f>IF(C12="","AM-"&amp;TEXT(COUNTA($C$5:C12),"000"))</f>
        <v/>
      </c>
      <c r="C12" s="15" t="n"/>
      <c r="D12" s="15" t="n"/>
      <c r="E12" s="15" t="n"/>
      <c r="F12" s="15" t="n"/>
      <c r="G12" s="33" t="n"/>
      <c r="H12" s="33" t="n"/>
      <c r="I12" s="16">
        <f>IF(G12="","",H12-G12+1)</f>
        <v/>
      </c>
      <c r="J12" s="15" t="n"/>
      <c r="K12" s="25" t="n"/>
      <c r="L12" s="25" t="n"/>
      <c r="M12" s="15" t="n"/>
    </row>
    <row r="13" ht="22" customHeight="1">
      <c r="B13" s="18">
        <f>IF(C13="","AM-"&amp;TEXT(COUNTA($C$5:C13),"000"))</f>
        <v/>
      </c>
      <c r="C13" s="13" t="n"/>
      <c r="D13" s="13" t="n"/>
      <c r="E13" s="13" t="n"/>
      <c r="F13" s="13" t="n"/>
      <c r="G13" s="32" t="n"/>
      <c r="H13" s="32" t="n"/>
      <c r="I13" s="14">
        <f>IF(G13="","",H13-G13+1)</f>
        <v/>
      </c>
      <c r="J13" s="13" t="n"/>
      <c r="K13" s="24" t="n"/>
      <c r="L13" s="24" t="n"/>
      <c r="M13" s="13" t="n"/>
    </row>
    <row r="14" ht="22" customHeight="1">
      <c r="B14" s="17">
        <f>IF(C14="","AM-"&amp;TEXT(COUNTA($C$5:C14),"000"))</f>
        <v/>
      </c>
      <c r="C14" s="15" t="n"/>
      <c r="D14" s="15" t="n"/>
      <c r="E14" s="15" t="n"/>
      <c r="F14" s="15" t="n"/>
      <c r="G14" s="33" t="n"/>
      <c r="H14" s="33" t="n"/>
      <c r="I14" s="16">
        <f>IF(G14="","",H14-G14+1)</f>
        <v/>
      </c>
      <c r="J14" s="15" t="n"/>
      <c r="K14" s="25" t="n"/>
      <c r="L14" s="25" t="n"/>
      <c r="M14" s="15" t="n"/>
    </row>
    <row r="15" ht="22" customHeight="1">
      <c r="B15" s="18">
        <f>IF(C15="","AM-"&amp;TEXT(COUNTA($C$5:C15),"000"))</f>
        <v/>
      </c>
      <c r="C15" s="13" t="n"/>
      <c r="D15" s="13" t="n"/>
      <c r="E15" s="13" t="n"/>
      <c r="F15" s="13" t="n"/>
      <c r="G15" s="32" t="n"/>
      <c r="H15" s="32" t="n"/>
      <c r="I15" s="14">
        <f>IF(G15="","",H15-G15+1)</f>
        <v/>
      </c>
      <c r="J15" s="13" t="n"/>
      <c r="K15" s="24" t="n"/>
      <c r="L15" s="24" t="n"/>
      <c r="M15" s="13" t="n"/>
    </row>
    <row r="16" ht="22" customHeight="1">
      <c r="B16" s="17">
        <f>IF(C16="","AM-"&amp;TEXT(COUNTA($C$5:C16),"000"))</f>
        <v/>
      </c>
      <c r="C16" s="15" t="n"/>
      <c r="D16" s="15" t="n"/>
      <c r="E16" s="15" t="n"/>
      <c r="F16" s="15" t="n"/>
      <c r="G16" s="33" t="n"/>
      <c r="H16" s="33" t="n"/>
      <c r="I16" s="16">
        <f>IF(G16="","",H16-G16+1)</f>
        <v/>
      </c>
      <c r="J16" s="15" t="n"/>
      <c r="K16" s="25" t="n"/>
      <c r="L16" s="25" t="n"/>
      <c r="M16" s="15" t="n"/>
    </row>
    <row r="17" ht="22" customHeight="1">
      <c r="B17" s="18">
        <f>IF(C17="","AM-"&amp;TEXT(COUNTA($C$5:C17),"000"))</f>
        <v/>
      </c>
      <c r="C17" s="13" t="n"/>
      <c r="D17" s="13" t="n"/>
      <c r="E17" s="13" t="n"/>
      <c r="F17" s="13" t="n"/>
      <c r="G17" s="32" t="n"/>
      <c r="H17" s="32" t="n"/>
      <c r="I17" s="14">
        <f>IF(G17="","",H17-G17+1)</f>
        <v/>
      </c>
      <c r="J17" s="13" t="n"/>
      <c r="K17" s="24" t="n"/>
      <c r="L17" s="24" t="n"/>
      <c r="M17" s="13" t="n"/>
    </row>
    <row r="18" ht="22" customHeight="1">
      <c r="B18" s="17">
        <f>IF(C18="","AM-"&amp;TEXT(COUNTA($C$5:C18),"000"))</f>
        <v/>
      </c>
      <c r="C18" s="15" t="n"/>
      <c r="D18" s="15" t="n"/>
      <c r="E18" s="15" t="n"/>
      <c r="F18" s="15" t="n"/>
      <c r="G18" s="33" t="n"/>
      <c r="H18" s="33" t="n"/>
      <c r="I18" s="16">
        <f>IF(G18="","",H18-G18+1)</f>
        <v/>
      </c>
      <c r="J18" s="15" t="n"/>
      <c r="K18" s="25" t="n"/>
      <c r="L18" s="25" t="n"/>
      <c r="M18" s="15" t="n"/>
    </row>
    <row r="19" ht="22" customHeight="1">
      <c r="B19" s="18">
        <f>IF(C19="","AM-"&amp;TEXT(COUNTA($C$5:C19),"000"))</f>
        <v/>
      </c>
      <c r="C19" s="13" t="n"/>
      <c r="D19" s="13" t="n"/>
      <c r="E19" s="13" t="n"/>
      <c r="F19" s="13" t="n"/>
      <c r="G19" s="32" t="n"/>
      <c r="H19" s="32" t="n"/>
      <c r="I19" s="14">
        <f>IF(G19="","",H19-G19+1)</f>
        <v/>
      </c>
      <c r="J19" s="13" t="n"/>
      <c r="K19" s="24" t="n"/>
      <c r="L19" s="24" t="n"/>
      <c r="M19" s="13" t="n"/>
    </row>
    <row r="20" ht="22" customHeight="1">
      <c r="B20" s="17">
        <f>IF(C20="","AM-"&amp;TEXT(COUNTA($C$5:C20),"000"))</f>
        <v/>
      </c>
      <c r="C20" s="15" t="n"/>
      <c r="D20" s="15" t="n"/>
      <c r="E20" s="15" t="n"/>
      <c r="F20" s="15" t="n"/>
      <c r="G20" s="33" t="n"/>
      <c r="H20" s="33" t="n"/>
      <c r="I20" s="16">
        <f>IF(G20="","",H20-G20+1)</f>
        <v/>
      </c>
      <c r="J20" s="15" t="n"/>
      <c r="K20" s="25" t="n"/>
      <c r="L20" s="25" t="n"/>
      <c r="M20" s="15" t="n"/>
    </row>
    <row r="21" ht="22" customHeight="1">
      <c r="B21" s="18">
        <f>IF(C21="","AM-"&amp;TEXT(COUNTA($C$5:C21),"000"))</f>
        <v/>
      </c>
      <c r="C21" s="13" t="n"/>
      <c r="D21" s="13" t="n"/>
      <c r="E21" s="13" t="n"/>
      <c r="F21" s="13" t="n"/>
      <c r="G21" s="32" t="n"/>
      <c r="H21" s="32" t="n"/>
      <c r="I21" s="14">
        <f>IF(G21="","",H21-G21+1)</f>
        <v/>
      </c>
      <c r="J21" s="13" t="n"/>
      <c r="K21" s="24" t="n"/>
      <c r="L21" s="24" t="n"/>
      <c r="M21" s="13" t="n"/>
    </row>
    <row r="22" ht="22" customHeight="1">
      <c r="B22" s="17">
        <f>IF(C22="","AM-"&amp;TEXT(COUNTA($C$5:C22),"000"))</f>
        <v/>
      </c>
      <c r="C22" s="15" t="n"/>
      <c r="D22" s="15" t="n"/>
      <c r="E22" s="15" t="n"/>
      <c r="F22" s="15" t="n"/>
      <c r="G22" s="33" t="n"/>
      <c r="H22" s="33" t="n"/>
      <c r="I22" s="16">
        <f>IF(G22="","",H22-G22+1)</f>
        <v/>
      </c>
      <c r="J22" s="15" t="n"/>
      <c r="K22" s="25" t="n"/>
      <c r="L22" s="25" t="n"/>
      <c r="M22" s="15" t="n"/>
    </row>
    <row r="23" ht="22" customHeight="1">
      <c r="B23" s="18">
        <f>IF(C23="","AM-"&amp;TEXT(COUNTA($C$5:C23),"000"))</f>
        <v/>
      </c>
      <c r="C23" s="13" t="n"/>
      <c r="D23" s="13" t="n"/>
      <c r="E23" s="13" t="n"/>
      <c r="F23" s="13" t="n"/>
      <c r="G23" s="32" t="n"/>
      <c r="H23" s="32" t="n"/>
      <c r="I23" s="14">
        <f>IF(G23="","",H23-G23+1)</f>
        <v/>
      </c>
      <c r="J23" s="13" t="n"/>
      <c r="K23" s="24" t="n"/>
      <c r="L23" s="24" t="n"/>
      <c r="M23" s="13" t="n"/>
    </row>
    <row r="24" ht="22" customHeight="1">
      <c r="B24" s="17">
        <f>IF(C24="","AM-"&amp;TEXT(COUNTA($C$5:C24),"000"))</f>
        <v/>
      </c>
      <c r="C24" s="15" t="n"/>
      <c r="D24" s="15" t="n"/>
      <c r="E24" s="15" t="n"/>
      <c r="F24" s="15" t="n"/>
      <c r="G24" s="33" t="n"/>
      <c r="H24" s="33" t="n"/>
      <c r="I24" s="16">
        <f>IF(G24="","",H24-G24+1)</f>
        <v/>
      </c>
      <c r="J24" s="15" t="n"/>
      <c r="K24" s="25" t="n"/>
      <c r="L24" s="25" t="n"/>
      <c r="M24" s="15" t="n"/>
    </row>
    <row r="25" ht="22" customHeight="1">
      <c r="B25" s="18">
        <f>IF(C25="","AM-"&amp;TEXT(COUNTA($C$5:C25),"000"))</f>
        <v/>
      </c>
      <c r="C25" s="13" t="n"/>
      <c r="D25" s="13" t="n"/>
      <c r="E25" s="13" t="n"/>
      <c r="F25" s="13" t="n"/>
      <c r="G25" s="32" t="n"/>
      <c r="H25" s="32" t="n"/>
      <c r="I25" s="14">
        <f>IF(G25="","",H25-G25+1)</f>
        <v/>
      </c>
      <c r="J25" s="13" t="n"/>
      <c r="K25" s="24" t="n"/>
      <c r="L25" s="24" t="n"/>
      <c r="M25" s="13" t="n"/>
    </row>
    <row r="26" ht="22" customHeight="1">
      <c r="B26" s="17">
        <f>IF(C26="","AM-"&amp;TEXT(COUNTA($C$5:C26),"000"))</f>
        <v/>
      </c>
      <c r="C26" s="15" t="n"/>
      <c r="D26" s="15" t="n"/>
      <c r="E26" s="15" t="n"/>
      <c r="F26" s="15" t="n"/>
      <c r="G26" s="33" t="n"/>
      <c r="H26" s="33" t="n"/>
      <c r="I26" s="16">
        <f>IF(G26="","",H26-G26+1)</f>
        <v/>
      </c>
      <c r="J26" s="15" t="n"/>
      <c r="K26" s="25" t="n"/>
      <c r="L26" s="25" t="n"/>
      <c r="M26" s="15" t="n"/>
    </row>
    <row r="27" ht="22" customHeight="1">
      <c r="B27" s="18">
        <f>IF(C27="","AM-"&amp;TEXT(COUNTA($C$5:C27),"000"))</f>
        <v/>
      </c>
      <c r="C27" s="13" t="n"/>
      <c r="D27" s="13" t="n"/>
      <c r="E27" s="13" t="n"/>
      <c r="F27" s="13" t="n"/>
      <c r="G27" s="32" t="n"/>
      <c r="H27" s="32" t="n"/>
      <c r="I27" s="14">
        <f>IF(G27="","",H27-G27+1)</f>
        <v/>
      </c>
      <c r="J27" s="13" t="n"/>
      <c r="K27" s="24" t="n"/>
      <c r="L27" s="24" t="n"/>
      <c r="M27" s="13" t="n"/>
    </row>
    <row r="28" ht="22" customHeight="1">
      <c r="B28" s="17">
        <f>IF(C28="","AM-"&amp;TEXT(COUNTA($C$5:C28),"000"))</f>
        <v/>
      </c>
      <c r="C28" s="15" t="n"/>
      <c r="D28" s="15" t="n"/>
      <c r="E28" s="15" t="n"/>
      <c r="F28" s="15" t="n"/>
      <c r="G28" s="33" t="n"/>
      <c r="H28" s="33" t="n"/>
      <c r="I28" s="16">
        <f>IF(G28="","",H28-G28+1)</f>
        <v/>
      </c>
      <c r="J28" s="15" t="n"/>
      <c r="K28" s="25" t="n"/>
      <c r="L28" s="25" t="n"/>
      <c r="M28" s="15" t="n"/>
    </row>
    <row r="29" ht="22" customHeight="1">
      <c r="B29" s="18">
        <f>IF(C29="","AM-"&amp;TEXT(COUNTA($C$5:C29),"000"))</f>
        <v/>
      </c>
      <c r="C29" s="13" t="n"/>
      <c r="D29" s="13" t="n"/>
      <c r="E29" s="13" t="n"/>
      <c r="F29" s="13" t="n"/>
      <c r="G29" s="32" t="n"/>
      <c r="H29" s="32" t="n"/>
      <c r="I29" s="14">
        <f>IF(G29="","",H29-G29+1)</f>
        <v/>
      </c>
      <c r="J29" s="13" t="n"/>
      <c r="K29" s="24" t="n"/>
      <c r="L29" s="24" t="n"/>
      <c r="M29" s="13" t="n"/>
    </row>
    <row r="30" ht="22" customHeight="1">
      <c r="B30" s="17">
        <f>IF(C30="","AM-"&amp;TEXT(COUNTA($C$5:C30),"000"))</f>
        <v/>
      </c>
      <c r="C30" s="15" t="n"/>
      <c r="D30" s="15" t="n"/>
      <c r="E30" s="15" t="n"/>
      <c r="F30" s="15" t="n"/>
      <c r="G30" s="33" t="n"/>
      <c r="H30" s="33" t="n"/>
      <c r="I30" s="16">
        <f>IF(G30="","",H30-G30+1)</f>
        <v/>
      </c>
      <c r="J30" s="15" t="n"/>
      <c r="K30" s="25" t="n"/>
      <c r="L30" s="25" t="n"/>
      <c r="M30" s="15" t="n"/>
    </row>
    <row r="31" ht="22" customHeight="1">
      <c r="B31" s="18">
        <f>IF(C31="","AM-"&amp;TEXT(COUNTA($C$5:C31),"000"))</f>
        <v/>
      </c>
      <c r="C31" s="13" t="n"/>
      <c r="D31" s="13" t="n"/>
      <c r="E31" s="13" t="n"/>
      <c r="F31" s="13" t="n"/>
      <c r="G31" s="32" t="n"/>
      <c r="H31" s="32" t="n"/>
      <c r="I31" s="14">
        <f>IF(G31="","",H31-G31+1)</f>
        <v/>
      </c>
      <c r="J31" s="13" t="n"/>
      <c r="K31" s="24" t="n"/>
      <c r="L31" s="24" t="n"/>
      <c r="M31" s="13" t="n"/>
    </row>
    <row r="32" ht="22" customHeight="1">
      <c r="B32" s="17">
        <f>IF(C32="","AM-"&amp;TEXT(COUNTA($C$5:C32),"000"))</f>
        <v/>
      </c>
      <c r="C32" s="15" t="n"/>
      <c r="D32" s="15" t="n"/>
      <c r="E32" s="15" t="n"/>
      <c r="F32" s="15" t="n"/>
      <c r="G32" s="33" t="n"/>
      <c r="H32" s="33" t="n"/>
      <c r="I32" s="16">
        <f>IF(G32="","",H32-G32+1)</f>
        <v/>
      </c>
      <c r="J32" s="15" t="n"/>
      <c r="K32" s="25" t="n"/>
      <c r="L32" s="25" t="n"/>
      <c r="M32" s="15" t="n"/>
    </row>
    <row r="33" ht="22" customHeight="1">
      <c r="B33" s="18">
        <f>IF(C33="","AM-"&amp;TEXT(COUNTA($C$5:C33),"000"))</f>
        <v/>
      </c>
      <c r="C33" s="13" t="n"/>
      <c r="D33" s="13" t="n"/>
      <c r="E33" s="13" t="n"/>
      <c r="F33" s="13" t="n"/>
      <c r="G33" s="32" t="n"/>
      <c r="H33" s="32" t="n"/>
      <c r="I33" s="14">
        <f>IF(G33="","",H33-G33+1)</f>
        <v/>
      </c>
      <c r="J33" s="13" t="n"/>
      <c r="K33" s="24" t="n"/>
      <c r="L33" s="24" t="n"/>
      <c r="M33" s="13" t="n"/>
    </row>
    <row r="34" ht="22" customHeight="1">
      <c r="B34" s="17">
        <f>IF(C34="","AM-"&amp;TEXT(COUNTA($C$5:C34),"000"))</f>
        <v/>
      </c>
      <c r="C34" s="15" t="n"/>
      <c r="D34" s="15" t="n"/>
      <c r="E34" s="15" t="n"/>
      <c r="F34" s="15" t="n"/>
      <c r="G34" s="33" t="n"/>
      <c r="H34" s="33" t="n"/>
      <c r="I34" s="16">
        <f>IF(G34="","",H34-G34+1)</f>
        <v/>
      </c>
      <c r="J34" s="15" t="n"/>
      <c r="K34" s="25" t="n"/>
      <c r="L34" s="25" t="n"/>
      <c r="M34" s="15" t="n"/>
    </row>
    <row r="35" ht="22" customHeight="1">
      <c r="B35" s="18">
        <f>IF(C35="","AM-"&amp;TEXT(COUNTA($C$5:C35),"000"))</f>
        <v/>
      </c>
      <c r="C35" s="13" t="n"/>
      <c r="D35" s="13" t="n"/>
      <c r="E35" s="13" t="n"/>
      <c r="F35" s="13" t="n"/>
      <c r="G35" s="32" t="n"/>
      <c r="H35" s="32" t="n"/>
      <c r="I35" s="14">
        <f>IF(G35="","",H35-G35+1)</f>
        <v/>
      </c>
      <c r="J35" s="13" t="n"/>
      <c r="K35" s="24" t="n"/>
      <c r="L35" s="24" t="n"/>
      <c r="M35" s="13" t="n"/>
    </row>
    <row r="36" ht="22" customHeight="1">
      <c r="B36" s="17">
        <f>IF(C36="","AM-"&amp;TEXT(COUNTA($C$5:C36),"000"))</f>
        <v/>
      </c>
      <c r="C36" s="15" t="n"/>
      <c r="D36" s="15" t="n"/>
      <c r="E36" s="15" t="n"/>
      <c r="F36" s="15" t="n"/>
      <c r="G36" s="33" t="n"/>
      <c r="H36" s="33" t="n"/>
      <c r="I36" s="16">
        <f>IF(G36="","",H36-G36+1)</f>
        <v/>
      </c>
      <c r="J36" s="15" t="n"/>
      <c r="K36" s="25" t="n"/>
      <c r="L36" s="25" t="n"/>
      <c r="M36" s="15" t="n"/>
    </row>
    <row r="37" ht="22" customHeight="1">
      <c r="B37" s="18">
        <f>IF(C37="","AM-"&amp;TEXT(COUNTA($C$5:C37),"000"))</f>
        <v/>
      </c>
      <c r="C37" s="13" t="n"/>
      <c r="D37" s="13" t="n"/>
      <c r="E37" s="13" t="n"/>
      <c r="F37" s="13" t="n"/>
      <c r="G37" s="32" t="n"/>
      <c r="H37" s="32" t="n"/>
      <c r="I37" s="14">
        <f>IF(G37="","",H37-G37+1)</f>
        <v/>
      </c>
      <c r="J37" s="13" t="n"/>
      <c r="K37" s="24" t="n"/>
      <c r="L37" s="24" t="n"/>
      <c r="M37" s="13" t="n"/>
    </row>
    <row r="38" ht="22" customHeight="1">
      <c r="B38" s="17">
        <f>IF(C38="","AM-"&amp;TEXT(COUNTA($C$5:C38),"000"))</f>
        <v/>
      </c>
      <c r="C38" s="15" t="n"/>
      <c r="D38" s="15" t="n"/>
      <c r="E38" s="15" t="n"/>
      <c r="F38" s="15" t="n"/>
      <c r="G38" s="33" t="n"/>
      <c r="H38" s="33" t="n"/>
      <c r="I38" s="16">
        <f>IF(G38="","",H38-G38+1)</f>
        <v/>
      </c>
      <c r="J38" s="15" t="n"/>
      <c r="K38" s="25" t="n"/>
      <c r="L38" s="25" t="n"/>
      <c r="M38" s="15" t="n"/>
    </row>
    <row r="39" ht="22" customHeight="1">
      <c r="B39" s="18">
        <f>IF(C39="","AM-"&amp;TEXT(COUNTA($C$5:C39),"000"))</f>
        <v/>
      </c>
      <c r="C39" s="13" t="n"/>
      <c r="D39" s="13" t="n"/>
      <c r="E39" s="13" t="n"/>
      <c r="F39" s="13" t="n"/>
      <c r="G39" s="32" t="n"/>
      <c r="H39" s="32" t="n"/>
      <c r="I39" s="14">
        <f>IF(G39="","",H39-G39+1)</f>
        <v/>
      </c>
      <c r="J39" s="13" t="n"/>
      <c r="K39" s="24" t="n"/>
      <c r="L39" s="24" t="n"/>
      <c r="M39" s="13" t="n"/>
    </row>
    <row r="40" ht="22" customHeight="1">
      <c r="B40" s="17">
        <f>IF(C40="","AM-"&amp;TEXT(COUNTA($C$5:C40),"000"))</f>
        <v/>
      </c>
      <c r="C40" s="15" t="n"/>
      <c r="D40" s="15" t="n"/>
      <c r="E40" s="15" t="n"/>
      <c r="F40" s="15" t="n"/>
      <c r="G40" s="33" t="n"/>
      <c r="H40" s="33" t="n"/>
      <c r="I40" s="16">
        <f>IF(G40="","",H40-G40+1)</f>
        <v/>
      </c>
      <c r="J40" s="15" t="n"/>
      <c r="K40" s="25" t="n"/>
      <c r="L40" s="25" t="n"/>
      <c r="M40" s="15" t="n"/>
    </row>
    <row r="41" ht="22" customHeight="1">
      <c r="B41" s="18">
        <f>IF(C41="","AM-"&amp;TEXT(COUNTA($C$5:C41),"000"))</f>
        <v/>
      </c>
      <c r="C41" s="13" t="n"/>
      <c r="D41" s="13" t="n"/>
      <c r="E41" s="13" t="n"/>
      <c r="F41" s="13" t="n"/>
      <c r="G41" s="32" t="n"/>
      <c r="H41" s="32" t="n"/>
      <c r="I41" s="14">
        <f>IF(G41="","",H41-G41+1)</f>
        <v/>
      </c>
      <c r="J41" s="13" t="n"/>
      <c r="K41" s="24" t="n"/>
      <c r="L41" s="24" t="n"/>
      <c r="M41" s="13" t="n"/>
    </row>
    <row r="42" ht="22" customHeight="1">
      <c r="B42" s="17">
        <f>IF(C42="","AM-"&amp;TEXT(COUNTA($C$5:C42),"000"))</f>
        <v/>
      </c>
      <c r="C42" s="15" t="n"/>
      <c r="D42" s="15" t="n"/>
      <c r="E42" s="15" t="n"/>
      <c r="F42" s="15" t="n"/>
      <c r="G42" s="33" t="n"/>
      <c r="H42" s="33" t="n"/>
      <c r="I42" s="16">
        <f>IF(G42="","",H42-G42+1)</f>
        <v/>
      </c>
      <c r="J42" s="15" t="n"/>
      <c r="K42" s="25" t="n"/>
      <c r="L42" s="25" t="n"/>
      <c r="M42" s="15" t="n"/>
    </row>
    <row r="43" ht="22" customHeight="1">
      <c r="B43" s="18">
        <f>IF(C43="","AM-"&amp;TEXT(COUNTA($C$5:C43),"000"))</f>
        <v/>
      </c>
      <c r="C43" s="13" t="n"/>
      <c r="D43" s="13" t="n"/>
      <c r="E43" s="13" t="n"/>
      <c r="F43" s="13" t="n"/>
      <c r="G43" s="32" t="n"/>
      <c r="H43" s="32" t="n"/>
      <c r="I43" s="14">
        <f>IF(G43="","",H43-G43+1)</f>
        <v/>
      </c>
      <c r="J43" s="13" t="n"/>
      <c r="K43" s="24" t="n"/>
      <c r="L43" s="24" t="n"/>
      <c r="M43" s="13" t="n"/>
    </row>
    <row r="44" ht="22" customHeight="1">
      <c r="B44" s="17">
        <f>IF(C44="","AM-"&amp;TEXT(COUNTA($C$5:C44),"000"))</f>
        <v/>
      </c>
      <c r="C44" s="15" t="n"/>
      <c r="D44" s="15" t="n"/>
      <c r="E44" s="15" t="n"/>
      <c r="F44" s="15" t="n"/>
      <c r="G44" s="33" t="n"/>
      <c r="H44" s="33" t="n"/>
      <c r="I44" s="16">
        <f>IF(G44="","",H44-G44+1)</f>
        <v/>
      </c>
      <c r="J44" s="15" t="n"/>
      <c r="K44" s="25" t="n"/>
      <c r="L44" s="25" t="n"/>
      <c r="M44" s="15" t="n"/>
    </row>
    <row r="45" ht="22" customHeight="1">
      <c r="B45" s="18">
        <f>IF(C45="","AM-"&amp;TEXT(COUNTA($C$5:C45),"000"))</f>
        <v/>
      </c>
      <c r="C45" s="13" t="n"/>
      <c r="D45" s="13" t="n"/>
      <c r="E45" s="13" t="n"/>
      <c r="F45" s="13" t="n"/>
      <c r="G45" s="32" t="n"/>
      <c r="H45" s="32" t="n"/>
      <c r="I45" s="14">
        <f>IF(G45="","",H45-G45+1)</f>
        <v/>
      </c>
      <c r="J45" s="13" t="n"/>
      <c r="K45" s="24" t="n"/>
      <c r="L45" s="24" t="n"/>
      <c r="M45" s="13" t="n"/>
    </row>
    <row r="46" ht="22" customHeight="1">
      <c r="B46" s="17">
        <f>IF(C46="","AM-"&amp;TEXT(COUNTA($C$5:C46),"000"))</f>
        <v/>
      </c>
      <c r="C46" s="15" t="n"/>
      <c r="D46" s="15" t="n"/>
      <c r="E46" s="15" t="n"/>
      <c r="F46" s="15" t="n"/>
      <c r="G46" s="33" t="n"/>
      <c r="H46" s="33" t="n"/>
      <c r="I46" s="16">
        <f>IF(G46="","",H46-G46+1)</f>
        <v/>
      </c>
      <c r="J46" s="15" t="n"/>
      <c r="K46" s="25" t="n"/>
      <c r="L46" s="25" t="n"/>
      <c r="M46" s="15" t="n"/>
    </row>
    <row r="47" ht="22" customHeight="1">
      <c r="B47" s="18">
        <f>IF(C47="","AM-"&amp;TEXT(COUNTA($C$5:C47),"000"))</f>
        <v/>
      </c>
      <c r="C47" s="13" t="n"/>
      <c r="D47" s="13" t="n"/>
      <c r="E47" s="13" t="n"/>
      <c r="F47" s="13" t="n"/>
      <c r="G47" s="32" t="n"/>
      <c r="H47" s="32" t="n"/>
      <c r="I47" s="14">
        <f>IF(G47="","",H47-G47+1)</f>
        <v/>
      </c>
      <c r="J47" s="13" t="n"/>
      <c r="K47" s="24" t="n"/>
      <c r="L47" s="24" t="n"/>
      <c r="M47" s="13" t="n"/>
    </row>
    <row r="48" ht="22" customHeight="1">
      <c r="B48" s="17">
        <f>IF(C48="","AM-"&amp;TEXT(COUNTA($C$5:C48),"000"))</f>
        <v/>
      </c>
      <c r="C48" s="15" t="n"/>
      <c r="D48" s="15" t="n"/>
      <c r="E48" s="15" t="n"/>
      <c r="F48" s="15" t="n"/>
      <c r="G48" s="33" t="n"/>
      <c r="H48" s="33" t="n"/>
      <c r="I48" s="16">
        <f>IF(G48="","",H48-G48+1)</f>
        <v/>
      </c>
      <c r="J48" s="15" t="n"/>
      <c r="K48" s="25" t="n"/>
      <c r="L48" s="25" t="n"/>
      <c r="M48" s="15" t="n"/>
    </row>
    <row r="49" ht="22" customHeight="1">
      <c r="B49" s="18">
        <f>IF(C49="","AM-"&amp;TEXT(COUNTA($C$5:C49),"000"))</f>
        <v/>
      </c>
      <c r="C49" s="13" t="n"/>
      <c r="D49" s="13" t="n"/>
      <c r="E49" s="13" t="n"/>
      <c r="F49" s="13" t="n"/>
      <c r="G49" s="32" t="n"/>
      <c r="H49" s="32" t="n"/>
      <c r="I49" s="14">
        <f>IF(G49="","",H49-G49+1)</f>
        <v/>
      </c>
      <c r="J49" s="13" t="n"/>
      <c r="K49" s="24" t="n"/>
      <c r="L49" s="24" t="n"/>
      <c r="M49" s="13" t="n"/>
    </row>
    <row r="50" ht="22" customHeight="1">
      <c r="B50" s="17">
        <f>IF(C50="","AM-"&amp;TEXT(COUNTA($C$5:C50),"000"))</f>
        <v/>
      </c>
      <c r="C50" s="15" t="n"/>
      <c r="D50" s="15" t="n"/>
      <c r="E50" s="15" t="n"/>
      <c r="F50" s="15" t="n"/>
      <c r="G50" s="33" t="n"/>
      <c r="H50" s="33" t="n"/>
      <c r="I50" s="16">
        <f>IF(G50="","",H50-G50+1)</f>
        <v/>
      </c>
      <c r="J50" s="15" t="n"/>
      <c r="K50" s="25" t="n"/>
      <c r="L50" s="25" t="n"/>
      <c r="M50" s="15" t="n"/>
    </row>
    <row r="51" ht="22" customHeight="1">
      <c r="B51" s="18">
        <f>IF(C51="","AM-"&amp;TEXT(COUNTA($C$5:C51),"000"))</f>
        <v/>
      </c>
      <c r="C51" s="13" t="n"/>
      <c r="D51" s="13" t="n"/>
      <c r="E51" s="13" t="n"/>
      <c r="F51" s="13" t="n"/>
      <c r="G51" s="32" t="n"/>
      <c r="H51" s="32" t="n"/>
      <c r="I51" s="14">
        <f>IF(G51="","",H51-G51+1)</f>
        <v/>
      </c>
      <c r="J51" s="13" t="n"/>
      <c r="K51" s="24" t="n"/>
      <c r="L51" s="24" t="n"/>
      <c r="M51" s="13" t="n"/>
    </row>
    <row r="52" ht="22" customHeight="1">
      <c r="B52" s="17">
        <f>IF(C52="","AM-"&amp;TEXT(COUNTA($C$5:C52),"000"))</f>
        <v/>
      </c>
      <c r="C52" s="15" t="n"/>
      <c r="D52" s="15" t="n"/>
      <c r="E52" s="15" t="n"/>
      <c r="F52" s="15" t="n"/>
      <c r="G52" s="33" t="n"/>
      <c r="H52" s="33" t="n"/>
      <c r="I52" s="16">
        <f>IF(G52="","",H52-G52+1)</f>
        <v/>
      </c>
      <c r="J52" s="15" t="n"/>
      <c r="K52" s="25" t="n"/>
      <c r="L52" s="25" t="n"/>
      <c r="M52" s="15" t="n"/>
    </row>
    <row r="53" ht="22" customHeight="1">
      <c r="B53" s="18">
        <f>IF(C53="","AM-"&amp;TEXT(COUNTA($C$5:C53),"000"))</f>
        <v/>
      </c>
      <c r="C53" s="13" t="n"/>
      <c r="D53" s="13" t="n"/>
      <c r="E53" s="13" t="n"/>
      <c r="F53" s="13" t="n"/>
      <c r="G53" s="32" t="n"/>
      <c r="H53" s="32" t="n"/>
      <c r="I53" s="14">
        <f>IF(G53="","",H53-G53+1)</f>
        <v/>
      </c>
      <c r="J53" s="13" t="n"/>
      <c r="K53" s="24" t="n"/>
      <c r="L53" s="24" t="n"/>
      <c r="M53" s="13" t="n"/>
    </row>
    <row r="54" ht="22" customHeight="1">
      <c r="B54" s="17">
        <f>IF(C54="","AM-"&amp;TEXT(COUNTA($C$5:C54),"000"))</f>
        <v/>
      </c>
      <c r="C54" s="15" t="n"/>
      <c r="D54" s="15" t="n"/>
      <c r="E54" s="15" t="n"/>
      <c r="F54" s="15" t="n"/>
      <c r="G54" s="33" t="n"/>
      <c r="H54" s="33" t="n"/>
      <c r="I54" s="16">
        <f>IF(G54="","",H54-G54+1)</f>
        <v/>
      </c>
      <c r="J54" s="15" t="n"/>
      <c r="K54" s="25" t="n"/>
      <c r="L54" s="25" t="n"/>
      <c r="M54" s="15" t="n"/>
    </row>
    <row r="55" ht="22" customHeight="1">
      <c r="B55" s="18">
        <f>IF(C55="","AM-"&amp;TEXT(COUNTA($C$5:C55),"000"))</f>
        <v/>
      </c>
      <c r="C55" s="13" t="n"/>
      <c r="D55" s="13" t="n"/>
      <c r="E55" s="13" t="n"/>
      <c r="F55" s="13" t="n"/>
      <c r="G55" s="32" t="n"/>
      <c r="H55" s="32" t="n"/>
      <c r="I55" s="14">
        <f>IF(G55="","",H55-G55+1)</f>
        <v/>
      </c>
      <c r="J55" s="13" t="n"/>
      <c r="K55" s="24" t="n"/>
      <c r="L55" s="24" t="n"/>
      <c r="M55" s="13" t="n"/>
    </row>
    <row r="56" ht="22" customHeight="1">
      <c r="B56" s="17">
        <f>IF(C56="","AM-"&amp;TEXT(COUNTA($C$5:C56),"000"))</f>
        <v/>
      </c>
      <c r="C56" s="15" t="n"/>
      <c r="D56" s="15" t="n"/>
      <c r="E56" s="15" t="n"/>
      <c r="F56" s="15" t="n"/>
      <c r="G56" s="33" t="n"/>
      <c r="H56" s="33" t="n"/>
      <c r="I56" s="16">
        <f>IF(G56="","",H56-G56+1)</f>
        <v/>
      </c>
      <c r="J56" s="15" t="n"/>
      <c r="K56" s="25" t="n"/>
      <c r="L56" s="25" t="n"/>
      <c r="M56" s="15" t="n"/>
    </row>
    <row r="57" ht="22" customHeight="1">
      <c r="B57" s="18">
        <f>IF(C57="","AM-"&amp;TEXT(COUNTA($C$5:C57),"000"))</f>
        <v/>
      </c>
      <c r="C57" s="13" t="n"/>
      <c r="D57" s="13" t="n"/>
      <c r="E57" s="13" t="n"/>
      <c r="F57" s="13" t="n"/>
      <c r="G57" s="32" t="n"/>
      <c r="H57" s="32" t="n"/>
      <c r="I57" s="14">
        <f>IF(G57="","",H57-G57+1)</f>
        <v/>
      </c>
      <c r="J57" s="13" t="n"/>
      <c r="K57" s="24" t="n"/>
      <c r="L57" s="24" t="n"/>
      <c r="M57" s="13" t="n"/>
    </row>
    <row r="58" ht="22" customHeight="1">
      <c r="B58" s="17">
        <f>IF(C58="","AM-"&amp;TEXT(COUNTA($C$5:C58),"000"))</f>
        <v/>
      </c>
      <c r="C58" s="15" t="n"/>
      <c r="D58" s="15" t="n"/>
      <c r="E58" s="15" t="n"/>
      <c r="F58" s="15" t="n"/>
      <c r="G58" s="33" t="n"/>
      <c r="H58" s="33" t="n"/>
      <c r="I58" s="16">
        <f>IF(G58="","",H58-G58+1)</f>
        <v/>
      </c>
      <c r="J58" s="15" t="n"/>
      <c r="K58" s="25" t="n"/>
      <c r="L58" s="25" t="n"/>
      <c r="M58" s="15" t="n"/>
    </row>
    <row r="59" ht="22" customHeight="1">
      <c r="B59" s="18">
        <f>IF(C59="","AM-"&amp;TEXT(COUNTA($C$5:C59),"000"))</f>
        <v/>
      </c>
      <c r="C59" s="13" t="n"/>
      <c r="D59" s="13" t="n"/>
      <c r="E59" s="13" t="n"/>
      <c r="F59" s="13" t="n"/>
      <c r="G59" s="32" t="n"/>
      <c r="H59" s="32" t="n"/>
      <c r="I59" s="14">
        <f>IF(G59="","",H59-G59+1)</f>
        <v/>
      </c>
      <c r="J59" s="13" t="n"/>
      <c r="K59" s="24" t="n"/>
      <c r="L59" s="24" t="n"/>
      <c r="M59" s="13" t="n"/>
    </row>
    <row r="60" ht="22" customHeight="1">
      <c r="B60" s="17">
        <f>IF(C60="","AM-"&amp;TEXT(COUNTA($C$5:C60),"000"))</f>
        <v/>
      </c>
      <c r="C60" s="15" t="n"/>
      <c r="D60" s="15" t="n"/>
      <c r="E60" s="15" t="n"/>
      <c r="F60" s="15" t="n"/>
      <c r="G60" s="33" t="n"/>
      <c r="H60" s="33" t="n"/>
      <c r="I60" s="16">
        <f>IF(G60="","",H60-G60+1)</f>
        <v/>
      </c>
      <c r="J60" s="15" t="n"/>
      <c r="K60" s="25" t="n"/>
      <c r="L60" s="25" t="n"/>
      <c r="M60" s="15" t="n"/>
    </row>
    <row r="61" ht="22" customHeight="1">
      <c r="B61" s="18">
        <f>IF(C61="","AM-"&amp;TEXT(COUNTA($C$5:C61),"000"))</f>
        <v/>
      </c>
      <c r="C61" s="13" t="n"/>
      <c r="D61" s="13" t="n"/>
      <c r="E61" s="13" t="n"/>
      <c r="F61" s="13" t="n"/>
      <c r="G61" s="32" t="n"/>
      <c r="H61" s="32" t="n"/>
      <c r="I61" s="14">
        <f>IF(G61="","",H61-G61+1)</f>
        <v/>
      </c>
      <c r="J61" s="13" t="n"/>
      <c r="K61" s="24" t="n"/>
      <c r="L61" s="24" t="n"/>
      <c r="M61" s="13" t="n"/>
    </row>
    <row r="62" ht="22" customHeight="1">
      <c r="B62" s="17">
        <f>IF(C62="","AM-"&amp;TEXT(COUNTA($C$5:C62),"000"))</f>
        <v/>
      </c>
      <c r="C62" s="15" t="n"/>
      <c r="D62" s="15" t="n"/>
      <c r="E62" s="15" t="n"/>
      <c r="F62" s="15" t="n"/>
      <c r="G62" s="33" t="n"/>
      <c r="H62" s="33" t="n"/>
      <c r="I62" s="16">
        <f>IF(G62="","",H62-G62+1)</f>
        <v/>
      </c>
      <c r="J62" s="15" t="n"/>
      <c r="K62" s="25" t="n"/>
      <c r="L62" s="25" t="n"/>
      <c r="M62" s="15" t="n"/>
    </row>
    <row r="63" ht="22" customHeight="1">
      <c r="B63" s="18">
        <f>IF(C63="","AM-"&amp;TEXT(COUNTA($C$5:C63),"000"))</f>
        <v/>
      </c>
      <c r="C63" s="13" t="n"/>
      <c r="D63" s="13" t="n"/>
      <c r="E63" s="13" t="n"/>
      <c r="F63" s="13" t="n"/>
      <c r="G63" s="32" t="n"/>
      <c r="H63" s="32" t="n"/>
      <c r="I63" s="14">
        <f>IF(G63="","",H63-G63+1)</f>
        <v/>
      </c>
      <c r="J63" s="13" t="n"/>
      <c r="K63" s="24" t="n"/>
      <c r="L63" s="24" t="n"/>
      <c r="M63" s="13" t="n"/>
    </row>
    <row r="64" ht="22" customHeight="1">
      <c r="B64" s="17">
        <f>IF(C64="","AM-"&amp;TEXT(COUNTA($C$5:C64),"000"))</f>
        <v/>
      </c>
      <c r="C64" s="15" t="n"/>
      <c r="D64" s="15" t="n"/>
      <c r="E64" s="15" t="n"/>
      <c r="F64" s="15" t="n"/>
      <c r="G64" s="33" t="n"/>
      <c r="H64" s="33" t="n"/>
      <c r="I64" s="16">
        <f>IF(G64="","",H64-G64+1)</f>
        <v/>
      </c>
      <c r="J64" s="15" t="n"/>
      <c r="K64" s="25" t="n"/>
      <c r="L64" s="25" t="n"/>
      <c r="M64" s="15" t="n"/>
    </row>
    <row r="65" ht="22" customHeight="1">
      <c r="B65" s="18">
        <f>IF(C65="","AM-"&amp;TEXT(COUNTA($C$5:C65),"000"))</f>
        <v/>
      </c>
      <c r="C65" s="13" t="n"/>
      <c r="D65" s="13" t="n"/>
      <c r="E65" s="13" t="n"/>
      <c r="F65" s="13" t="n"/>
      <c r="G65" s="32" t="n"/>
      <c r="H65" s="32" t="n"/>
      <c r="I65" s="14">
        <f>IF(G65="","",H65-G65+1)</f>
        <v/>
      </c>
      <c r="J65" s="13" t="n"/>
      <c r="K65" s="24" t="n"/>
      <c r="L65" s="24" t="n"/>
      <c r="M65" s="13" t="n"/>
    </row>
    <row r="66" ht="22" customHeight="1">
      <c r="B66" s="17">
        <f>IF(C66="","AM-"&amp;TEXT(COUNTA($C$5:C66),"000"))</f>
        <v/>
      </c>
      <c r="C66" s="15" t="n"/>
      <c r="D66" s="15" t="n"/>
      <c r="E66" s="15" t="n"/>
      <c r="F66" s="15" t="n"/>
      <c r="G66" s="33" t="n"/>
      <c r="H66" s="33" t="n"/>
      <c r="I66" s="16">
        <f>IF(G66="","",H66-G66+1)</f>
        <v/>
      </c>
      <c r="J66" s="15" t="n"/>
      <c r="K66" s="25" t="n"/>
      <c r="L66" s="25" t="n"/>
      <c r="M66" s="15" t="n"/>
    </row>
    <row r="67" ht="22" customHeight="1">
      <c r="B67" s="18">
        <f>IF(C67="","AM-"&amp;TEXT(COUNTA($C$5:C67),"000"))</f>
        <v/>
      </c>
      <c r="C67" s="13" t="n"/>
      <c r="D67" s="13" t="n"/>
      <c r="E67" s="13" t="n"/>
      <c r="F67" s="13" t="n"/>
      <c r="G67" s="32" t="n"/>
      <c r="H67" s="32" t="n"/>
      <c r="I67" s="14">
        <f>IF(G67="","",H67-G67+1)</f>
        <v/>
      </c>
      <c r="J67" s="13" t="n"/>
      <c r="K67" s="24" t="n"/>
      <c r="L67" s="24" t="n"/>
      <c r="M67" s="13" t="n"/>
    </row>
    <row r="68" ht="22" customHeight="1">
      <c r="B68" s="17">
        <f>IF(C68="","AM-"&amp;TEXT(COUNTA($C$5:C68),"000"))</f>
        <v/>
      </c>
      <c r="C68" s="15" t="n"/>
      <c r="D68" s="15" t="n"/>
      <c r="E68" s="15" t="n"/>
      <c r="F68" s="15" t="n"/>
      <c r="G68" s="33" t="n"/>
      <c r="H68" s="33" t="n"/>
      <c r="I68" s="16">
        <f>IF(G68="","",H68-G68+1)</f>
        <v/>
      </c>
      <c r="J68" s="15" t="n"/>
      <c r="K68" s="25" t="n"/>
      <c r="L68" s="25" t="n"/>
      <c r="M68" s="15" t="n"/>
    </row>
    <row r="69" ht="22" customHeight="1">
      <c r="B69" s="18">
        <f>IF(C69="","AM-"&amp;TEXT(COUNTA($C$5:C69),"000"))</f>
        <v/>
      </c>
      <c r="C69" s="13" t="n"/>
      <c r="D69" s="13" t="n"/>
      <c r="E69" s="13" t="n"/>
      <c r="F69" s="13" t="n"/>
      <c r="G69" s="32" t="n"/>
      <c r="H69" s="32" t="n"/>
      <c r="I69" s="14">
        <f>IF(G69="","",H69-G69+1)</f>
        <v/>
      </c>
      <c r="J69" s="13" t="n"/>
      <c r="K69" s="24" t="n"/>
      <c r="L69" s="24" t="n"/>
      <c r="M69" s="13" t="n"/>
    </row>
    <row r="70" ht="22" customHeight="1">
      <c r="B70" s="17">
        <f>IF(C70="","AM-"&amp;TEXT(COUNTA($C$5:C70),"000"))</f>
        <v/>
      </c>
      <c r="C70" s="15" t="n"/>
      <c r="D70" s="15" t="n"/>
      <c r="E70" s="15" t="n"/>
      <c r="F70" s="15" t="n"/>
      <c r="G70" s="33" t="n"/>
      <c r="H70" s="33" t="n"/>
      <c r="I70" s="16">
        <f>IF(G70="","",H70-G70+1)</f>
        <v/>
      </c>
      <c r="J70" s="15" t="n"/>
      <c r="K70" s="25" t="n"/>
      <c r="L70" s="25" t="n"/>
      <c r="M70" s="15" t="n"/>
    </row>
    <row r="71" ht="22" customHeight="1">
      <c r="B71" s="18">
        <f>IF(C71="","AM-"&amp;TEXT(COUNTA($C$5:C71),"000"))</f>
        <v/>
      </c>
      <c r="C71" s="13" t="n"/>
      <c r="D71" s="13" t="n"/>
      <c r="E71" s="13" t="n"/>
      <c r="F71" s="13" t="n"/>
      <c r="G71" s="32" t="n"/>
      <c r="H71" s="32" t="n"/>
      <c r="I71" s="14">
        <f>IF(G71="","",H71-G71+1)</f>
        <v/>
      </c>
      <c r="J71" s="13" t="n"/>
      <c r="K71" s="24" t="n"/>
      <c r="L71" s="24" t="n"/>
      <c r="M71" s="13" t="n"/>
    </row>
    <row r="72" ht="22" customHeight="1">
      <c r="B72" s="17">
        <f>IF(C72="","AM-"&amp;TEXT(COUNTA($C$5:C72),"000"))</f>
        <v/>
      </c>
      <c r="C72" s="15" t="n"/>
      <c r="D72" s="15" t="n"/>
      <c r="E72" s="15" t="n"/>
      <c r="F72" s="15" t="n"/>
      <c r="G72" s="33" t="n"/>
      <c r="H72" s="33" t="n"/>
      <c r="I72" s="16">
        <f>IF(G72="","",H72-G72+1)</f>
        <v/>
      </c>
      <c r="J72" s="15" t="n"/>
      <c r="K72" s="25" t="n"/>
      <c r="L72" s="25" t="n"/>
      <c r="M72" s="15" t="n"/>
    </row>
    <row r="73" ht="22" customHeight="1">
      <c r="B73" s="18">
        <f>IF(C73="","AM-"&amp;TEXT(COUNTA($C$5:C73),"000"))</f>
        <v/>
      </c>
      <c r="C73" s="13" t="n"/>
      <c r="D73" s="13" t="n"/>
      <c r="E73" s="13" t="n"/>
      <c r="F73" s="13" t="n"/>
      <c r="G73" s="32" t="n"/>
      <c r="H73" s="32" t="n"/>
      <c r="I73" s="14">
        <f>IF(G73="","",H73-G73+1)</f>
        <v/>
      </c>
      <c r="J73" s="13" t="n"/>
      <c r="K73" s="24" t="n"/>
      <c r="L73" s="24" t="n"/>
      <c r="M73" s="13" t="n"/>
    </row>
    <row r="74" ht="22" customHeight="1">
      <c r="B74" s="17">
        <f>IF(C74="","AM-"&amp;TEXT(COUNTA($C$5:C74),"000"))</f>
        <v/>
      </c>
      <c r="C74" s="15" t="n"/>
      <c r="D74" s="15" t="n"/>
      <c r="E74" s="15" t="n"/>
      <c r="F74" s="15" t="n"/>
      <c r="G74" s="33" t="n"/>
      <c r="H74" s="33" t="n"/>
      <c r="I74" s="16">
        <f>IF(G74="","",H74-G74+1)</f>
        <v/>
      </c>
      <c r="J74" s="15" t="n"/>
      <c r="K74" s="25" t="n"/>
      <c r="L74" s="25" t="n"/>
      <c r="M74" s="15" t="n"/>
    </row>
    <row r="75" ht="22" customHeight="1">
      <c r="B75" s="18">
        <f>IF(C75="","AM-"&amp;TEXT(COUNTA($C$5:C75),"000"))</f>
        <v/>
      </c>
      <c r="C75" s="13" t="n"/>
      <c r="D75" s="13" t="n"/>
      <c r="E75" s="13" t="n"/>
      <c r="F75" s="13" t="n"/>
      <c r="G75" s="32" t="n"/>
      <c r="H75" s="32" t="n"/>
      <c r="I75" s="14">
        <f>IF(G75="","",H75-G75+1)</f>
        <v/>
      </c>
      <c r="J75" s="13" t="n"/>
      <c r="K75" s="24" t="n"/>
      <c r="L75" s="24" t="n"/>
      <c r="M75" s="13" t="n"/>
    </row>
    <row r="76" ht="22" customHeight="1">
      <c r="B76" s="17">
        <f>IF(C76="","AM-"&amp;TEXT(COUNTA($C$5:C76),"000"))</f>
        <v/>
      </c>
      <c r="C76" s="15" t="n"/>
      <c r="D76" s="15" t="n"/>
      <c r="E76" s="15" t="n"/>
      <c r="F76" s="15" t="n"/>
      <c r="G76" s="33" t="n"/>
      <c r="H76" s="33" t="n"/>
      <c r="I76" s="16">
        <f>IF(G76="","",H76-G76+1)</f>
        <v/>
      </c>
      <c r="J76" s="15" t="n"/>
      <c r="K76" s="25" t="n"/>
      <c r="L76" s="25" t="n"/>
      <c r="M76" s="15" t="n"/>
    </row>
    <row r="77" ht="22" customHeight="1">
      <c r="B77" s="18">
        <f>IF(C77="","AM-"&amp;TEXT(COUNTA($C$5:C77),"000"))</f>
        <v/>
      </c>
      <c r="C77" s="13" t="n"/>
      <c r="D77" s="13" t="n"/>
      <c r="E77" s="13" t="n"/>
      <c r="F77" s="13" t="n"/>
      <c r="G77" s="32" t="n"/>
      <c r="H77" s="32" t="n"/>
      <c r="I77" s="14">
        <f>IF(G77="","",H77-G77+1)</f>
        <v/>
      </c>
      <c r="J77" s="13" t="n"/>
      <c r="K77" s="24" t="n"/>
      <c r="L77" s="24" t="n"/>
      <c r="M77" s="13" t="n"/>
    </row>
    <row r="78" ht="22" customHeight="1">
      <c r="B78" s="17">
        <f>IF(C78="","AM-"&amp;TEXT(COUNTA($C$5:C78),"000"))</f>
        <v/>
      </c>
      <c r="C78" s="15" t="n"/>
      <c r="D78" s="15" t="n"/>
      <c r="E78" s="15" t="n"/>
      <c r="F78" s="15" t="n"/>
      <c r="G78" s="33" t="n"/>
      <c r="H78" s="33" t="n"/>
      <c r="I78" s="16">
        <f>IF(G78="","",H78-G78+1)</f>
        <v/>
      </c>
      <c r="J78" s="15" t="n"/>
      <c r="K78" s="25" t="n"/>
      <c r="L78" s="25" t="n"/>
      <c r="M78" s="15" t="n"/>
    </row>
    <row r="79" ht="22" customHeight="1">
      <c r="B79" s="18">
        <f>IF(C79="","AM-"&amp;TEXT(COUNTA($C$5:C79),"000"))</f>
        <v/>
      </c>
      <c r="C79" s="13" t="n"/>
      <c r="D79" s="13" t="n"/>
      <c r="E79" s="13" t="n"/>
      <c r="F79" s="13" t="n"/>
      <c r="G79" s="32" t="n"/>
      <c r="H79" s="32" t="n"/>
      <c r="I79" s="14">
        <f>IF(G79="","",H79-G79+1)</f>
        <v/>
      </c>
      <c r="J79" s="13" t="n"/>
      <c r="K79" s="24" t="n"/>
      <c r="L79" s="24" t="n"/>
      <c r="M79" s="13" t="n"/>
    </row>
    <row r="80" ht="22" customHeight="1">
      <c r="B80" s="17">
        <f>IF(C80="","AM-"&amp;TEXT(COUNTA($C$5:C80),"000"))</f>
        <v/>
      </c>
      <c r="C80" s="15" t="n"/>
      <c r="D80" s="15" t="n"/>
      <c r="E80" s="15" t="n"/>
      <c r="F80" s="15" t="n"/>
      <c r="G80" s="33" t="n"/>
      <c r="H80" s="33" t="n"/>
      <c r="I80" s="16">
        <f>IF(G80="","",H80-G80+1)</f>
        <v/>
      </c>
      <c r="J80" s="15" t="n"/>
      <c r="K80" s="25" t="n"/>
      <c r="L80" s="25" t="n"/>
      <c r="M80" s="15" t="n"/>
    </row>
    <row r="81" ht="22" customHeight="1">
      <c r="B81" s="18">
        <f>IF(C81="","AM-"&amp;TEXT(COUNTA($C$5:C81),"000"))</f>
        <v/>
      </c>
      <c r="C81" s="13" t="n"/>
      <c r="D81" s="13" t="n"/>
      <c r="E81" s="13" t="n"/>
      <c r="F81" s="13" t="n"/>
      <c r="G81" s="32" t="n"/>
      <c r="H81" s="32" t="n"/>
      <c r="I81" s="14">
        <f>IF(G81="","",H81-G81+1)</f>
        <v/>
      </c>
      <c r="J81" s="13" t="n"/>
      <c r="K81" s="24" t="n"/>
      <c r="L81" s="24" t="n"/>
      <c r="M81" s="13" t="n"/>
    </row>
    <row r="82" ht="22" customHeight="1">
      <c r="B82" s="17">
        <f>IF(C82="","AM-"&amp;TEXT(COUNTA($C$5:C82),"000"))</f>
        <v/>
      </c>
      <c r="C82" s="15" t="n"/>
      <c r="D82" s="15" t="n"/>
      <c r="E82" s="15" t="n"/>
      <c r="F82" s="15" t="n"/>
      <c r="G82" s="33" t="n"/>
      <c r="H82" s="33" t="n"/>
      <c r="I82" s="16">
        <f>IF(G82="","",H82-G82+1)</f>
        <v/>
      </c>
      <c r="J82" s="15" t="n"/>
      <c r="K82" s="25" t="n"/>
      <c r="L82" s="25" t="n"/>
      <c r="M82" s="15" t="n"/>
    </row>
    <row r="83" ht="22" customHeight="1">
      <c r="B83" s="18">
        <f>IF(C83="","AM-"&amp;TEXT(COUNTA($C$5:C83),"000"))</f>
        <v/>
      </c>
      <c r="C83" s="13" t="n"/>
      <c r="D83" s="13" t="n"/>
      <c r="E83" s="13" t="n"/>
      <c r="F83" s="13" t="n"/>
      <c r="G83" s="32" t="n"/>
      <c r="H83" s="32" t="n"/>
      <c r="I83" s="14">
        <f>IF(G83="","",H83-G83+1)</f>
        <v/>
      </c>
      <c r="J83" s="13" t="n"/>
      <c r="K83" s="24" t="n"/>
      <c r="L83" s="24" t="n"/>
      <c r="M83" s="13" t="n"/>
    </row>
    <row r="84" ht="22" customHeight="1">
      <c r="B84" s="17">
        <f>IF(C84="","AM-"&amp;TEXT(COUNTA($C$5:C84),"000"))</f>
        <v/>
      </c>
      <c r="C84" s="15" t="n"/>
      <c r="D84" s="15" t="n"/>
      <c r="E84" s="15" t="n"/>
      <c r="F84" s="15" t="n"/>
      <c r="G84" s="33" t="n"/>
      <c r="H84" s="33" t="n"/>
      <c r="I84" s="16">
        <f>IF(G84="","",H84-G84+1)</f>
        <v/>
      </c>
      <c r="J84" s="15" t="n"/>
      <c r="K84" s="25" t="n"/>
      <c r="L84" s="25" t="n"/>
      <c r="M84" s="15" t="n"/>
    </row>
    <row r="85" ht="22" customHeight="1">
      <c r="B85" s="18">
        <f>IF(C85="","AM-"&amp;TEXT(COUNTA($C$5:C85),"000"))</f>
        <v/>
      </c>
      <c r="C85" s="13" t="n"/>
      <c r="D85" s="13" t="n"/>
      <c r="E85" s="13" t="n"/>
      <c r="F85" s="13" t="n"/>
      <c r="G85" s="32" t="n"/>
      <c r="H85" s="32" t="n"/>
      <c r="I85" s="14">
        <f>IF(G85="","",H85-G85+1)</f>
        <v/>
      </c>
      <c r="J85" s="13" t="n"/>
      <c r="K85" s="24" t="n"/>
      <c r="L85" s="24" t="n"/>
      <c r="M85" s="13" t="n"/>
    </row>
    <row r="86" ht="22" customHeight="1">
      <c r="B86" s="17">
        <f>IF(C86="","AM-"&amp;TEXT(COUNTA($C$5:C86),"000"))</f>
        <v/>
      </c>
      <c r="C86" s="15" t="n"/>
      <c r="D86" s="15" t="n"/>
      <c r="E86" s="15" t="n"/>
      <c r="F86" s="15" t="n"/>
      <c r="G86" s="33" t="n"/>
      <c r="H86" s="33" t="n"/>
      <c r="I86" s="16">
        <f>IF(G86="","",H86-G86+1)</f>
        <v/>
      </c>
      <c r="J86" s="15" t="n"/>
      <c r="K86" s="25" t="n"/>
      <c r="L86" s="25" t="n"/>
      <c r="M86" s="15" t="n"/>
    </row>
    <row r="87" ht="22" customHeight="1">
      <c r="B87" s="18">
        <f>IF(C87="","AM-"&amp;TEXT(COUNTA($C$5:C87),"000"))</f>
        <v/>
      </c>
      <c r="C87" s="13" t="n"/>
      <c r="D87" s="13" t="n"/>
      <c r="E87" s="13" t="n"/>
      <c r="F87" s="13" t="n"/>
      <c r="G87" s="32" t="n"/>
      <c r="H87" s="32" t="n"/>
      <c r="I87" s="14">
        <f>IF(G87="","",H87-G87+1)</f>
        <v/>
      </c>
      <c r="J87" s="13" t="n"/>
      <c r="K87" s="24" t="n"/>
      <c r="L87" s="24" t="n"/>
      <c r="M87" s="13" t="n"/>
    </row>
    <row r="88" ht="22" customHeight="1">
      <c r="B88" s="17">
        <f>IF(C88="","AM-"&amp;TEXT(COUNTA($C$5:C88),"000"))</f>
        <v/>
      </c>
      <c r="C88" s="15" t="n"/>
      <c r="D88" s="15" t="n"/>
      <c r="E88" s="15" t="n"/>
      <c r="F88" s="15" t="n"/>
      <c r="G88" s="33" t="n"/>
      <c r="H88" s="33" t="n"/>
      <c r="I88" s="16">
        <f>IF(G88="","",H88-G88+1)</f>
        <v/>
      </c>
      <c r="J88" s="15" t="n"/>
      <c r="K88" s="25" t="n"/>
      <c r="L88" s="25" t="n"/>
      <c r="M88" s="15" t="n"/>
    </row>
    <row r="89" ht="22" customHeight="1">
      <c r="B89" s="18">
        <f>IF(C89="","AM-"&amp;TEXT(COUNTA($C$5:C89),"000"))</f>
        <v/>
      </c>
      <c r="C89" s="13" t="n"/>
      <c r="D89" s="13" t="n"/>
      <c r="E89" s="13" t="n"/>
      <c r="F89" s="13" t="n"/>
      <c r="G89" s="32" t="n"/>
      <c r="H89" s="32" t="n"/>
      <c r="I89" s="14">
        <f>IF(G89="","",H89-G89+1)</f>
        <v/>
      </c>
      <c r="J89" s="13" t="n"/>
      <c r="K89" s="24" t="n"/>
      <c r="L89" s="24" t="n"/>
      <c r="M89" s="13" t="n"/>
    </row>
    <row r="90" ht="22" customHeight="1">
      <c r="B90" s="17">
        <f>IF(C90="","AM-"&amp;TEXT(COUNTA($C$5:C90),"000"))</f>
        <v/>
      </c>
      <c r="C90" s="15" t="n"/>
      <c r="D90" s="15" t="n"/>
      <c r="E90" s="15" t="n"/>
      <c r="F90" s="15" t="n"/>
      <c r="G90" s="33" t="n"/>
      <c r="H90" s="33" t="n"/>
      <c r="I90" s="16">
        <f>IF(G90="","",H90-G90+1)</f>
        <v/>
      </c>
      <c r="J90" s="15" t="n"/>
      <c r="K90" s="25" t="n"/>
      <c r="L90" s="25" t="n"/>
      <c r="M90" s="15" t="n"/>
    </row>
    <row r="91" ht="22" customHeight="1">
      <c r="B91" s="18">
        <f>IF(C91="","AM-"&amp;TEXT(COUNTA($C$5:C91),"000"))</f>
        <v/>
      </c>
      <c r="C91" s="13" t="n"/>
      <c r="D91" s="13" t="n"/>
      <c r="E91" s="13" t="n"/>
      <c r="F91" s="13" t="n"/>
      <c r="G91" s="32" t="n"/>
      <c r="H91" s="32" t="n"/>
      <c r="I91" s="14">
        <f>IF(G91="","",H91-G91+1)</f>
        <v/>
      </c>
      <c r="J91" s="13" t="n"/>
      <c r="K91" s="24" t="n"/>
      <c r="L91" s="24" t="n"/>
      <c r="M91" s="13" t="n"/>
    </row>
    <row r="92" ht="22" customHeight="1">
      <c r="B92" s="17">
        <f>IF(C92="","AM-"&amp;TEXT(COUNTA($C$5:C92),"000"))</f>
        <v/>
      </c>
      <c r="C92" s="15" t="n"/>
      <c r="D92" s="15" t="n"/>
      <c r="E92" s="15" t="n"/>
      <c r="F92" s="15" t="n"/>
      <c r="G92" s="33" t="n"/>
      <c r="H92" s="33" t="n"/>
      <c r="I92" s="16">
        <f>IF(G92="","",H92-G92+1)</f>
        <v/>
      </c>
      <c r="J92" s="15" t="n"/>
      <c r="K92" s="25" t="n"/>
      <c r="L92" s="25" t="n"/>
      <c r="M92" s="15" t="n"/>
    </row>
    <row r="93" ht="22" customHeight="1">
      <c r="B93" s="18">
        <f>IF(C93="","AM-"&amp;TEXT(COUNTA($C$5:C93),"000"))</f>
        <v/>
      </c>
      <c r="C93" s="13" t="n"/>
      <c r="D93" s="13" t="n"/>
      <c r="E93" s="13" t="n"/>
      <c r="F93" s="13" t="n"/>
      <c r="G93" s="32" t="n"/>
      <c r="H93" s="32" t="n"/>
      <c r="I93" s="14">
        <f>IF(G93="","",H93-G93+1)</f>
        <v/>
      </c>
      <c r="J93" s="13" t="n"/>
      <c r="K93" s="24" t="n"/>
      <c r="L93" s="24" t="n"/>
      <c r="M93" s="13" t="n"/>
    </row>
    <row r="94" ht="22" customHeight="1">
      <c r="B94" s="17">
        <f>IF(C94="","AM-"&amp;TEXT(COUNTA($C$5:C94),"000"))</f>
        <v/>
      </c>
      <c r="C94" s="15" t="n"/>
      <c r="D94" s="15" t="n"/>
      <c r="E94" s="15" t="n"/>
      <c r="F94" s="15" t="n"/>
      <c r="G94" s="33" t="n"/>
      <c r="H94" s="33" t="n"/>
      <c r="I94" s="16">
        <f>IF(G94="","",H94-G94+1)</f>
        <v/>
      </c>
      <c r="J94" s="15" t="n"/>
      <c r="K94" s="25" t="n"/>
      <c r="L94" s="25" t="n"/>
      <c r="M94" s="15" t="n"/>
    </row>
    <row r="95" ht="22" customHeight="1">
      <c r="B95" s="18">
        <f>IF(C95="","AM-"&amp;TEXT(COUNTA($C$5:C95),"000"))</f>
        <v/>
      </c>
      <c r="C95" s="13" t="n"/>
      <c r="D95" s="13" t="n"/>
      <c r="E95" s="13" t="n"/>
      <c r="F95" s="13" t="n"/>
      <c r="G95" s="32" t="n"/>
      <c r="H95" s="32" t="n"/>
      <c r="I95" s="14">
        <f>IF(G95="","",H95-G95+1)</f>
        <v/>
      </c>
      <c r="J95" s="13" t="n"/>
      <c r="K95" s="24" t="n"/>
      <c r="L95" s="24" t="n"/>
      <c r="M95" s="13" t="n"/>
    </row>
    <row r="96" ht="22" customHeight="1">
      <c r="B96" s="17">
        <f>IF(C96="","AM-"&amp;TEXT(COUNTA($C$5:C96),"000"))</f>
        <v/>
      </c>
      <c r="C96" s="15" t="n"/>
      <c r="D96" s="15" t="n"/>
      <c r="E96" s="15" t="n"/>
      <c r="F96" s="15" t="n"/>
      <c r="G96" s="33" t="n"/>
      <c r="H96" s="33" t="n"/>
      <c r="I96" s="16">
        <f>IF(G96="","",H96-G96+1)</f>
        <v/>
      </c>
      <c r="J96" s="15" t="n"/>
      <c r="K96" s="25" t="n"/>
      <c r="L96" s="25" t="n"/>
      <c r="M96" s="15" t="n"/>
    </row>
    <row r="97" ht="22" customHeight="1">
      <c r="B97" s="18">
        <f>IF(C97="","AM-"&amp;TEXT(COUNTA($C$5:C97),"000"))</f>
        <v/>
      </c>
      <c r="C97" s="13" t="n"/>
      <c r="D97" s="13" t="n"/>
      <c r="E97" s="13" t="n"/>
      <c r="F97" s="13" t="n"/>
      <c r="G97" s="32" t="n"/>
      <c r="H97" s="32" t="n"/>
      <c r="I97" s="14">
        <f>IF(G97="","",H97-G97+1)</f>
        <v/>
      </c>
      <c r="J97" s="13" t="n"/>
      <c r="K97" s="24" t="n"/>
      <c r="L97" s="24" t="n"/>
      <c r="M97" s="13" t="n"/>
    </row>
    <row r="98" ht="22" customHeight="1">
      <c r="B98" s="17">
        <f>IF(C98="","AM-"&amp;TEXT(COUNTA($C$5:C98),"000"))</f>
        <v/>
      </c>
      <c r="C98" s="15" t="n"/>
      <c r="D98" s="15" t="n"/>
      <c r="E98" s="15" t="n"/>
      <c r="F98" s="15" t="n"/>
      <c r="G98" s="33" t="n"/>
      <c r="H98" s="33" t="n"/>
      <c r="I98" s="16">
        <f>IF(G98="","",H98-G98+1)</f>
        <v/>
      </c>
      <c r="J98" s="15" t="n"/>
      <c r="K98" s="25" t="n"/>
      <c r="L98" s="25" t="n"/>
      <c r="M98" s="15" t="n"/>
    </row>
    <row r="99" ht="22" customHeight="1">
      <c r="B99" s="18">
        <f>IF(C99="","AM-"&amp;TEXT(COUNTA($C$5:C99),"000"))</f>
        <v/>
      </c>
      <c r="C99" s="13" t="n"/>
      <c r="D99" s="13" t="n"/>
      <c r="E99" s="13" t="n"/>
      <c r="F99" s="13" t="n"/>
      <c r="G99" s="32" t="n"/>
      <c r="H99" s="32" t="n"/>
      <c r="I99" s="14">
        <f>IF(G99="","",H99-G99+1)</f>
        <v/>
      </c>
      <c r="J99" s="13" t="n"/>
      <c r="K99" s="24" t="n"/>
      <c r="L99" s="24" t="n"/>
      <c r="M99" s="13" t="n"/>
    </row>
    <row r="100" ht="22" customHeight="1">
      <c r="B100" s="17">
        <f>IF(C100="","AM-"&amp;TEXT(COUNTA($C$5:C100),"000"))</f>
        <v/>
      </c>
      <c r="C100" s="15" t="n"/>
      <c r="D100" s="15" t="n"/>
      <c r="E100" s="15" t="n"/>
      <c r="F100" s="15" t="n"/>
      <c r="G100" s="33" t="n"/>
      <c r="H100" s="33" t="n"/>
      <c r="I100" s="16">
        <f>IF(G100="","",H100-G100+1)</f>
        <v/>
      </c>
      <c r="J100" s="15" t="n"/>
      <c r="K100" s="25" t="n"/>
      <c r="L100" s="25" t="n"/>
      <c r="M100" s="15" t="n"/>
    </row>
    <row r="101" ht="22" customHeight="1">
      <c r="B101" s="18">
        <f>IF(C101="","AM-"&amp;TEXT(COUNTA($C$5:C101),"000"))</f>
        <v/>
      </c>
      <c r="C101" s="13" t="n"/>
      <c r="D101" s="13" t="n"/>
      <c r="E101" s="13" t="n"/>
      <c r="F101" s="13" t="n"/>
      <c r="G101" s="32" t="n"/>
      <c r="H101" s="32" t="n"/>
      <c r="I101" s="14">
        <f>IF(G101="","",H101-G101+1)</f>
        <v/>
      </c>
      <c r="J101" s="13" t="n"/>
      <c r="K101" s="24" t="n"/>
      <c r="L101" s="24" t="n"/>
      <c r="M101" s="13" t="n"/>
    </row>
    <row r="102" ht="22" customHeight="1">
      <c r="B102" s="17">
        <f>IF(C102="","AM-"&amp;TEXT(COUNTA($C$5:C102),"000"))</f>
        <v/>
      </c>
      <c r="C102" s="15" t="n"/>
      <c r="D102" s="15" t="n"/>
      <c r="E102" s="15" t="n"/>
      <c r="F102" s="15" t="n"/>
      <c r="G102" s="33" t="n"/>
      <c r="H102" s="33" t="n"/>
      <c r="I102" s="16">
        <f>IF(G102="","",H102-G102+1)</f>
        <v/>
      </c>
      <c r="J102" s="15" t="n"/>
      <c r="K102" s="25" t="n"/>
      <c r="L102" s="25" t="n"/>
      <c r="M102" s="15" t="n"/>
    </row>
    <row r="103" ht="22" customHeight="1">
      <c r="B103" s="18">
        <f>IF(C103="","AM-"&amp;TEXT(COUNTA($C$5:C103),"000"))</f>
        <v/>
      </c>
      <c r="C103" s="13" t="n"/>
      <c r="D103" s="13" t="n"/>
      <c r="E103" s="13" t="n"/>
      <c r="F103" s="13" t="n"/>
      <c r="G103" s="32" t="n"/>
      <c r="H103" s="32" t="n"/>
      <c r="I103" s="14">
        <f>IF(G103="","",H103-G103+1)</f>
        <v/>
      </c>
      <c r="J103" s="13" t="n"/>
      <c r="K103" s="24" t="n"/>
      <c r="L103" s="24" t="n"/>
      <c r="M103" s="13" t="n"/>
    </row>
    <row r="104" ht="22" customHeight="1">
      <c r="B104" s="17">
        <f>IF(C104="","AM-"&amp;TEXT(COUNTA($C$5:C104),"000"))</f>
        <v/>
      </c>
      <c r="C104" s="15" t="n"/>
      <c r="D104" s="15" t="n"/>
      <c r="E104" s="15" t="n"/>
      <c r="F104" s="15" t="n"/>
      <c r="G104" s="33" t="n"/>
      <c r="H104" s="33" t="n"/>
      <c r="I104" s="16">
        <f>IF(G104="","",H104-G104+1)</f>
        <v/>
      </c>
      <c r="J104" s="15" t="n"/>
      <c r="K104" s="25" t="n"/>
      <c r="L104" s="25" t="n"/>
      <c r="M104" s="15" t="n"/>
    </row>
    <row r="105" ht="22" customHeight="1">
      <c r="B105" s="18">
        <f>IF(C105="","AM-"&amp;TEXT(COUNTA($C$5:C105),"000"))</f>
        <v/>
      </c>
      <c r="C105" s="13" t="n"/>
      <c r="D105" s="13" t="n"/>
      <c r="E105" s="13" t="n"/>
      <c r="F105" s="13" t="n"/>
      <c r="G105" s="32" t="n"/>
      <c r="H105" s="32" t="n"/>
      <c r="I105" s="14">
        <f>IF(G105="","",H105-G105+1)</f>
        <v/>
      </c>
      <c r="J105" s="13" t="n"/>
      <c r="K105" s="24" t="n"/>
      <c r="L105" s="24" t="n"/>
      <c r="M105" s="13" t="n"/>
    </row>
    <row r="106" ht="22" customHeight="1">
      <c r="B106" s="17">
        <f>IF(C106="","AM-"&amp;TEXT(COUNTA($C$5:C106),"000"))</f>
        <v/>
      </c>
      <c r="C106" s="15" t="n"/>
      <c r="D106" s="15" t="n"/>
      <c r="E106" s="15" t="n"/>
      <c r="F106" s="15" t="n"/>
      <c r="G106" s="33" t="n"/>
      <c r="H106" s="33" t="n"/>
      <c r="I106" s="16">
        <f>IF(G106="","",H106-G106+1)</f>
        <v/>
      </c>
      <c r="J106" s="15" t="n"/>
      <c r="K106" s="25" t="n"/>
      <c r="L106" s="25" t="n"/>
      <c r="M106" s="15" t="n"/>
    </row>
    <row r="107" ht="22" customHeight="1">
      <c r="B107" s="18">
        <f>IF(C107="","AM-"&amp;TEXT(COUNTA($C$5:C107),"000"))</f>
        <v/>
      </c>
      <c r="C107" s="13" t="n"/>
      <c r="D107" s="13" t="n"/>
      <c r="E107" s="13" t="n"/>
      <c r="F107" s="13" t="n"/>
      <c r="G107" s="32" t="n"/>
      <c r="H107" s="32" t="n"/>
      <c r="I107" s="14">
        <f>IF(G107="","",H107-G107+1)</f>
        <v/>
      </c>
      <c r="J107" s="13" t="n"/>
      <c r="K107" s="24" t="n"/>
      <c r="L107" s="24" t="n"/>
      <c r="M107" s="13" t="n"/>
    </row>
    <row r="108" ht="22" customHeight="1">
      <c r="B108" s="17">
        <f>IF(C108="","AM-"&amp;TEXT(COUNTA($C$5:C108),"000"))</f>
        <v/>
      </c>
      <c r="C108" s="15" t="n"/>
      <c r="D108" s="15" t="n"/>
      <c r="E108" s="15" t="n"/>
      <c r="F108" s="15" t="n"/>
      <c r="G108" s="33" t="n"/>
      <c r="H108" s="33" t="n"/>
      <c r="I108" s="16">
        <f>IF(G108="","",H108-G108+1)</f>
        <v/>
      </c>
      <c r="J108" s="15" t="n"/>
      <c r="K108" s="25" t="n"/>
      <c r="L108" s="25" t="n"/>
      <c r="M108" s="15" t="n"/>
    </row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1">
        <f>SUM(I5:I104)</f>
        <v/>
      </c>
      <c r="J110" s="20" t="n"/>
      <c r="K110" s="21">
        <f>SUM(K5:K104)</f>
        <v/>
      </c>
      <c r="L110" s="21">
        <f>SUM(L5:L104)</f>
        <v/>
      </c>
      <c r="M110" s="20" t="n"/>
    </row>
    <row r="112">
      <c r="B112" s="6" t="inlineStr">
        <is>
          <t>INDICATEURS (mis a jour automatiquement)</t>
        </is>
      </c>
    </row>
    <row r="113">
      <c r="B113" s="3" t="inlineStr">
        <is>
          <t>Total arrets</t>
        </is>
      </c>
      <c r="D113" s="3" t="inlineStr">
        <is>
          <t>Total jours arret</t>
        </is>
      </c>
      <c r="F113" s="3" t="inlineStr">
        <is>
          <t>IJSS totales (FCFA)</t>
        </is>
      </c>
      <c r="H113" s="3" t="inlineStr">
        <is>
          <t>Sans certificat</t>
        </is>
      </c>
    </row>
    <row r="114">
      <c r="B114" s="4">
        <f>COUNTIF(B5:B104,"&lt;&gt;")</f>
        <v/>
      </c>
      <c r="D114" s="4">
        <f>SUM(I5:I104)</f>
        <v/>
      </c>
      <c r="F114" s="4">
        <f>SUM(K5:K104)</f>
        <v/>
      </c>
      <c r="H114" s="4">
        <f>COUNTIF(J5:J104,"Non")</f>
        <v/>
      </c>
    </row>
  </sheetData>
  <mergeCells count="3">
    <mergeCell ref="B3:M3"/>
    <mergeCell ref="B2:M2"/>
    <mergeCell ref="B112:M112"/>
  </mergeCells>
  <conditionalFormatting sqref="M5:M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9:B108">
    <cfRule type="expression" priority="43" dxfId="3">
      <formula>AND($C9="",$C8&lt;&gt;"")</formula>
    </cfRule>
  </conditionalFormatting>
  <conditionalFormatting sqref="C9:C108">
    <cfRule type="expression" priority="44" dxfId="3">
      <formula>AND($C9="",$C8&lt;&gt;"")</formula>
    </cfRule>
  </conditionalFormatting>
  <conditionalFormatting sqref="D9:D108">
    <cfRule type="expression" priority="45" dxfId="3">
      <formula>AND($C9="",$C8&lt;&gt;"")</formula>
    </cfRule>
  </conditionalFormatting>
  <conditionalFormatting sqref="E9:E108">
    <cfRule type="expression" priority="46" dxfId="3">
      <formula>AND($C9="",$C8&lt;&gt;"")</formula>
    </cfRule>
  </conditionalFormatting>
  <conditionalFormatting sqref="F9:F108">
    <cfRule type="expression" priority="47" dxfId="3">
      <formula>AND($C9="",$C8&lt;&gt;"")</formula>
    </cfRule>
  </conditionalFormatting>
  <conditionalFormatting sqref="G9:G108">
    <cfRule type="expression" priority="48" dxfId="3">
      <formula>AND($C9="",$C8&lt;&gt;"")</formula>
    </cfRule>
  </conditionalFormatting>
  <conditionalFormatting sqref="H9:H108">
    <cfRule type="expression" priority="49" dxfId="3">
      <formula>AND($C9="",$C8&lt;&gt;"")</formula>
    </cfRule>
  </conditionalFormatting>
  <conditionalFormatting sqref="I9:I108">
    <cfRule type="expression" priority="50" dxfId="3">
      <formula>AND($C9="",$C8&lt;&gt;"")</formula>
    </cfRule>
  </conditionalFormatting>
  <conditionalFormatting sqref="J9:J108">
    <cfRule type="expression" priority="51" dxfId="3">
      <formula>AND($C9="",$C8&lt;&gt;"")</formula>
    </cfRule>
  </conditionalFormatting>
  <conditionalFormatting sqref="K9:K108">
    <cfRule type="expression" priority="52" dxfId="3">
      <formula>AND($C9="",$C8&lt;&gt;"")</formula>
    </cfRule>
  </conditionalFormatting>
  <conditionalFormatting sqref="L9:L108">
    <cfRule type="expression" priority="53" dxfId="3">
      <formula>AND($C9="",$C8&lt;&gt;"")</formula>
    </cfRule>
  </conditionalFormatting>
  <conditionalFormatting sqref="M9:M108">
    <cfRule type="expression" priority="54" dxfId="3">
      <formula>AND($C9="",$C8&lt;&gt;"")</formula>
    </cfRule>
  </conditionalFormatting>
  <dataValidations count="4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'_Lists'!$M$2:$M$7</formula1>
    </dataValidation>
    <dataValidation sqref="J5:J108" showDropDown="0" showInputMessage="0" showErrorMessage="0" allowBlank="1" errorTitle="Erreur" error="Valeur invalide" promptTitle="Liste" prompt="Choisir dans la liste" type="list">
      <formula1>'_Lists'!$O$2:$O$5</formula1>
    </dataValidation>
    <dataValidation sqref="M5:M108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18" customWidth="1" min="5" max="5"/>
    <col width="14" customWidth="1" min="6" max="6"/>
    <col width="18" customWidth="1" min="7" max="7"/>
    <col width="28" customWidth="1" min="8" max="8"/>
    <col width="16" customWidth="1" min="9" max="9"/>
    <col width="22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15" customHeight="1"/>
    <row r="2" ht="32" customHeight="1">
      <c r="B2" s="1" t="inlineStr">
        <is>
          <t>SUIVI DES ARRETS POUR ACCIDENT DU TRAVAIL (#59)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AT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Date Accident</t>
        </is>
      </c>
      <c r="G4" s="12" t="inlineStr">
        <is>
          <t>Lieu</t>
        </is>
      </c>
      <c r="H4" s="12" t="inlineStr">
        <is>
          <t>Circonstances</t>
        </is>
      </c>
      <c r="I4" s="12" t="inlineStr">
        <is>
          <t>Cause</t>
        </is>
      </c>
      <c r="J4" s="12" t="inlineStr">
        <is>
          <t>Nature Blessures</t>
        </is>
      </c>
      <c r="K4" s="12" t="inlineStr">
        <is>
          <t>Date Debut Arret</t>
        </is>
      </c>
      <c r="L4" s="12" t="inlineStr">
        <is>
          <t>Date Fin Arret</t>
        </is>
      </c>
      <c r="M4" s="12" t="inlineStr">
        <is>
          <t>Nb Jours Arret</t>
        </is>
      </c>
      <c r="N4" s="12" t="inlineStr">
        <is>
          <t>Declaration CNPS</t>
        </is>
      </c>
      <c r="O4" s="12" t="inlineStr">
        <is>
          <t>Statut</t>
        </is>
      </c>
    </row>
    <row r="5" ht="22" customHeight="1">
      <c r="B5" s="13" t="inlineStr">
        <is>
          <t>AT-001</t>
        </is>
      </c>
      <c r="C5" s="13" t="inlineStr">
        <is>
          <t>EMP-010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32" t="n">
        <v>45762</v>
      </c>
      <c r="G5" s="13" t="inlineStr">
        <is>
          <t>Cuisine chaude</t>
        </is>
      </c>
      <c r="H5" s="13" t="inlineStr">
        <is>
          <t>Coupure lors de preparation</t>
        </is>
      </c>
      <c r="I5" s="13" t="inlineStr">
        <is>
          <t>Coupure/brulure</t>
        </is>
      </c>
      <c r="J5" s="13" t="inlineStr">
        <is>
          <t>Brulure main gauche</t>
        </is>
      </c>
      <c r="K5" s="32" t="n">
        <v>45763</v>
      </c>
      <c r="L5" s="32" t="n">
        <v>45772</v>
      </c>
      <c r="M5" s="14" t="n">
        <v>10</v>
      </c>
      <c r="N5" s="13" t="inlineStr">
        <is>
          <t>Oui</t>
        </is>
      </c>
      <c r="O5" s="13" t="inlineStr">
        <is>
          <t>Termine</t>
        </is>
      </c>
    </row>
    <row r="6" ht="22" customHeight="1">
      <c r="B6" s="15" t="inlineStr">
        <is>
          <t>AT-002</t>
        </is>
      </c>
      <c r="C6" s="15" t="inlineStr">
        <is>
          <t>EMP-009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33" t="n">
        <v>45782</v>
      </c>
      <c r="G6" s="15" t="inlineStr">
        <is>
          <t>Sous-sol technique</t>
        </is>
      </c>
      <c r="H6" s="15" t="inlineStr">
        <is>
          <t>Chute sur sol mouille</t>
        </is>
      </c>
      <c r="I6" s="15" t="inlineStr">
        <is>
          <t>Chute</t>
        </is>
      </c>
      <c r="J6" s="15" t="inlineStr">
        <is>
          <t>Entorse cheville droit</t>
        </is>
      </c>
      <c r="K6" s="33" t="n">
        <v>45783</v>
      </c>
      <c r="L6" s="33" t="n">
        <v>45802</v>
      </c>
      <c r="M6" s="16" t="n">
        <v>20</v>
      </c>
      <c r="N6" s="15" t="inlineStr">
        <is>
          <t>Oui</t>
        </is>
      </c>
      <c r="O6" s="15" t="inlineStr">
        <is>
          <t>Termine</t>
        </is>
      </c>
    </row>
    <row r="7" ht="22" customHeight="1">
      <c r="B7" s="13" t="inlineStr">
        <is>
          <t>AT-003</t>
        </is>
      </c>
      <c r="C7" s="13" t="inlineStr">
        <is>
          <t>EMP-011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32" t="n">
        <v>45818</v>
      </c>
      <c r="G7" s="13" t="inlineStr">
        <is>
          <t>Parking</t>
        </is>
      </c>
      <c r="H7" s="13" t="inlineStr">
        <is>
          <t>Manipulation carton lourd</t>
        </is>
      </c>
      <c r="I7" s="13" t="inlineStr">
        <is>
          <t>Manutention</t>
        </is>
      </c>
      <c r="J7" s="13" t="inlineStr">
        <is>
          <t>Lombalgie</t>
        </is>
      </c>
      <c r="K7" s="32" t="n">
        <v>45819</v>
      </c>
      <c r="L7" s="32" t="n">
        <v>45839</v>
      </c>
      <c r="M7" s="14" t="n">
        <v>20</v>
      </c>
      <c r="N7" s="13" t="inlineStr">
        <is>
          <t>Oui</t>
        </is>
      </c>
      <c r="O7" s="13" t="inlineStr">
        <is>
          <t>En cours</t>
        </is>
      </c>
    </row>
    <row r="8" ht="22" customHeight="1">
      <c r="B8" s="17">
        <f>IF(C8="","AT-"&amp;TEXT(COUNTA($C$5:C8),"000"))</f>
        <v/>
      </c>
      <c r="C8" s="15" t="n"/>
      <c r="D8" s="15" t="n"/>
      <c r="E8" s="15" t="n"/>
      <c r="F8" s="33" t="n"/>
      <c r="G8" s="15" t="n"/>
      <c r="H8" s="15" t="n"/>
      <c r="I8" s="15" t="n"/>
      <c r="J8" s="15" t="n"/>
      <c r="K8" s="33" t="n"/>
      <c r="L8" s="33" t="n"/>
      <c r="M8" s="16">
        <f>IF(K8="","",L8-K8+1)</f>
        <v/>
      </c>
      <c r="N8" s="15" t="n"/>
      <c r="O8" s="15" t="n"/>
    </row>
    <row r="9" ht="22" customHeight="1">
      <c r="B9" s="18">
        <f>IF(C9="","AT-"&amp;TEXT(COUNTA($C$5:C9),"000"))</f>
        <v/>
      </c>
      <c r="C9" s="13" t="n"/>
      <c r="D9" s="13" t="n"/>
      <c r="E9" s="13" t="n"/>
      <c r="F9" s="32" t="n"/>
      <c r="G9" s="13" t="n"/>
      <c r="H9" s="13" t="n"/>
      <c r="I9" s="13" t="n"/>
      <c r="J9" s="13" t="n"/>
      <c r="K9" s="32" t="n"/>
      <c r="L9" s="32" t="n"/>
      <c r="M9" s="14">
        <f>IF(K9="","",L9-K9+1)</f>
        <v/>
      </c>
      <c r="N9" s="13" t="n"/>
      <c r="O9" s="13" t="n"/>
    </row>
    <row r="10" ht="22" customHeight="1">
      <c r="B10" s="17">
        <f>IF(C10="","AT-"&amp;TEXT(COUNTA($C$5:C10),"000"))</f>
        <v/>
      </c>
      <c r="C10" s="15" t="n"/>
      <c r="D10" s="15" t="n"/>
      <c r="E10" s="15" t="n"/>
      <c r="F10" s="33" t="n"/>
      <c r="G10" s="15" t="n"/>
      <c r="H10" s="15" t="n"/>
      <c r="I10" s="15" t="n"/>
      <c r="J10" s="15" t="n"/>
      <c r="K10" s="33" t="n"/>
      <c r="L10" s="33" t="n"/>
      <c r="M10" s="16">
        <f>IF(K10="","",L10-K10+1)</f>
        <v/>
      </c>
      <c r="N10" s="15" t="n"/>
      <c r="O10" s="15" t="n"/>
    </row>
    <row r="11" ht="22" customHeight="1">
      <c r="B11" s="18">
        <f>IF(C11="","AT-"&amp;TEXT(COUNTA($C$5:C11),"000"))</f>
        <v/>
      </c>
      <c r="C11" s="13" t="n"/>
      <c r="D11" s="13" t="n"/>
      <c r="E11" s="13" t="n"/>
      <c r="F11" s="32" t="n"/>
      <c r="G11" s="13" t="n"/>
      <c r="H11" s="13" t="n"/>
      <c r="I11" s="13" t="n"/>
      <c r="J11" s="13" t="n"/>
      <c r="K11" s="32" t="n"/>
      <c r="L11" s="32" t="n"/>
      <c r="M11" s="14">
        <f>IF(K11="","",L11-K11+1)</f>
        <v/>
      </c>
      <c r="N11" s="13" t="n"/>
      <c r="O11" s="13" t="n"/>
    </row>
    <row r="12" ht="22" customHeight="1">
      <c r="B12" s="17">
        <f>IF(C12="","AT-"&amp;TEXT(COUNTA($C$5:C12),"000"))</f>
        <v/>
      </c>
      <c r="C12" s="15" t="n"/>
      <c r="D12" s="15" t="n"/>
      <c r="E12" s="15" t="n"/>
      <c r="F12" s="33" t="n"/>
      <c r="G12" s="15" t="n"/>
      <c r="H12" s="15" t="n"/>
      <c r="I12" s="15" t="n"/>
      <c r="J12" s="15" t="n"/>
      <c r="K12" s="33" t="n"/>
      <c r="L12" s="33" t="n"/>
      <c r="M12" s="16">
        <f>IF(K12="","",L12-K12+1)</f>
        <v/>
      </c>
      <c r="N12" s="15" t="n"/>
      <c r="O12" s="15" t="n"/>
    </row>
    <row r="13" ht="22" customHeight="1">
      <c r="B13" s="18">
        <f>IF(C13="","AT-"&amp;TEXT(COUNTA($C$5:C13),"000"))</f>
        <v/>
      </c>
      <c r="C13" s="13" t="n"/>
      <c r="D13" s="13" t="n"/>
      <c r="E13" s="13" t="n"/>
      <c r="F13" s="32" t="n"/>
      <c r="G13" s="13" t="n"/>
      <c r="H13" s="13" t="n"/>
      <c r="I13" s="13" t="n"/>
      <c r="J13" s="13" t="n"/>
      <c r="K13" s="32" t="n"/>
      <c r="L13" s="32" t="n"/>
      <c r="M13" s="14">
        <f>IF(K13="","",L13-K13+1)</f>
        <v/>
      </c>
      <c r="N13" s="13" t="n"/>
      <c r="O13" s="13" t="n"/>
    </row>
    <row r="14" ht="22" customHeight="1">
      <c r="B14" s="17">
        <f>IF(C14="","AT-"&amp;TEXT(COUNTA($C$5:C14),"000"))</f>
        <v/>
      </c>
      <c r="C14" s="15" t="n"/>
      <c r="D14" s="15" t="n"/>
      <c r="E14" s="15" t="n"/>
      <c r="F14" s="33" t="n"/>
      <c r="G14" s="15" t="n"/>
      <c r="H14" s="15" t="n"/>
      <c r="I14" s="15" t="n"/>
      <c r="J14" s="15" t="n"/>
      <c r="K14" s="33" t="n"/>
      <c r="L14" s="33" t="n"/>
      <c r="M14" s="16">
        <f>IF(K14="","",L14-K14+1)</f>
        <v/>
      </c>
      <c r="N14" s="15" t="n"/>
      <c r="O14" s="15" t="n"/>
    </row>
    <row r="15" ht="22" customHeight="1">
      <c r="B15" s="18">
        <f>IF(C15="","AT-"&amp;TEXT(COUNTA($C$5:C15),"000"))</f>
        <v/>
      </c>
      <c r="C15" s="13" t="n"/>
      <c r="D15" s="13" t="n"/>
      <c r="E15" s="13" t="n"/>
      <c r="F15" s="32" t="n"/>
      <c r="G15" s="13" t="n"/>
      <c r="H15" s="13" t="n"/>
      <c r="I15" s="13" t="n"/>
      <c r="J15" s="13" t="n"/>
      <c r="K15" s="32" t="n"/>
      <c r="L15" s="32" t="n"/>
      <c r="M15" s="14">
        <f>IF(K15="","",L15-K15+1)</f>
        <v/>
      </c>
      <c r="N15" s="13" t="n"/>
      <c r="O15" s="13" t="n"/>
    </row>
    <row r="16" ht="22" customHeight="1">
      <c r="B16" s="17">
        <f>IF(C16="","AT-"&amp;TEXT(COUNTA($C$5:C16),"000"))</f>
        <v/>
      </c>
      <c r="C16" s="15" t="n"/>
      <c r="D16" s="15" t="n"/>
      <c r="E16" s="15" t="n"/>
      <c r="F16" s="33" t="n"/>
      <c r="G16" s="15" t="n"/>
      <c r="H16" s="15" t="n"/>
      <c r="I16" s="15" t="n"/>
      <c r="J16" s="15" t="n"/>
      <c r="K16" s="33" t="n"/>
      <c r="L16" s="33" t="n"/>
      <c r="M16" s="16">
        <f>IF(K16="","",L16-K16+1)</f>
        <v/>
      </c>
      <c r="N16" s="15" t="n"/>
      <c r="O16" s="15" t="n"/>
    </row>
    <row r="17" ht="22" customHeight="1">
      <c r="B17" s="18">
        <f>IF(C17="","AT-"&amp;TEXT(COUNTA($C$5:C17),"000"))</f>
        <v/>
      </c>
      <c r="C17" s="13" t="n"/>
      <c r="D17" s="13" t="n"/>
      <c r="E17" s="13" t="n"/>
      <c r="F17" s="32" t="n"/>
      <c r="G17" s="13" t="n"/>
      <c r="H17" s="13" t="n"/>
      <c r="I17" s="13" t="n"/>
      <c r="J17" s="13" t="n"/>
      <c r="K17" s="32" t="n"/>
      <c r="L17" s="32" t="n"/>
      <c r="M17" s="14">
        <f>IF(K17="","",L17-K17+1)</f>
        <v/>
      </c>
      <c r="N17" s="13" t="n"/>
      <c r="O17" s="13" t="n"/>
    </row>
    <row r="18" ht="22" customHeight="1">
      <c r="B18" s="17">
        <f>IF(C18="","AT-"&amp;TEXT(COUNTA($C$5:C18),"000"))</f>
        <v/>
      </c>
      <c r="C18" s="15" t="n"/>
      <c r="D18" s="15" t="n"/>
      <c r="E18" s="15" t="n"/>
      <c r="F18" s="33" t="n"/>
      <c r="G18" s="15" t="n"/>
      <c r="H18" s="15" t="n"/>
      <c r="I18" s="15" t="n"/>
      <c r="J18" s="15" t="n"/>
      <c r="K18" s="33" t="n"/>
      <c r="L18" s="33" t="n"/>
      <c r="M18" s="16">
        <f>IF(K18="","",L18-K18+1)</f>
        <v/>
      </c>
      <c r="N18" s="15" t="n"/>
      <c r="O18" s="15" t="n"/>
    </row>
    <row r="19" ht="22" customHeight="1">
      <c r="B19" s="18">
        <f>IF(C19="","AT-"&amp;TEXT(COUNTA($C$5:C19),"000"))</f>
        <v/>
      </c>
      <c r="C19" s="13" t="n"/>
      <c r="D19" s="13" t="n"/>
      <c r="E19" s="13" t="n"/>
      <c r="F19" s="32" t="n"/>
      <c r="G19" s="13" t="n"/>
      <c r="H19" s="13" t="n"/>
      <c r="I19" s="13" t="n"/>
      <c r="J19" s="13" t="n"/>
      <c r="K19" s="32" t="n"/>
      <c r="L19" s="32" t="n"/>
      <c r="M19" s="14">
        <f>IF(K19="","",L19-K19+1)</f>
        <v/>
      </c>
      <c r="N19" s="13" t="n"/>
      <c r="O19" s="13" t="n"/>
    </row>
    <row r="20" ht="22" customHeight="1">
      <c r="B20" s="17">
        <f>IF(C20="","AT-"&amp;TEXT(COUNTA($C$5:C20),"000"))</f>
        <v/>
      </c>
      <c r="C20" s="15" t="n"/>
      <c r="D20" s="15" t="n"/>
      <c r="E20" s="15" t="n"/>
      <c r="F20" s="33" t="n"/>
      <c r="G20" s="15" t="n"/>
      <c r="H20" s="15" t="n"/>
      <c r="I20" s="15" t="n"/>
      <c r="J20" s="15" t="n"/>
      <c r="K20" s="33" t="n"/>
      <c r="L20" s="33" t="n"/>
      <c r="M20" s="16">
        <f>IF(K20="","",L20-K20+1)</f>
        <v/>
      </c>
      <c r="N20" s="15" t="n"/>
      <c r="O20" s="15" t="n"/>
    </row>
    <row r="21" ht="22" customHeight="1">
      <c r="B21" s="18">
        <f>IF(C21="","AT-"&amp;TEXT(COUNTA($C$5:C21),"000"))</f>
        <v/>
      </c>
      <c r="C21" s="13" t="n"/>
      <c r="D21" s="13" t="n"/>
      <c r="E21" s="13" t="n"/>
      <c r="F21" s="32" t="n"/>
      <c r="G21" s="13" t="n"/>
      <c r="H21" s="13" t="n"/>
      <c r="I21" s="13" t="n"/>
      <c r="J21" s="13" t="n"/>
      <c r="K21" s="32" t="n"/>
      <c r="L21" s="32" t="n"/>
      <c r="M21" s="14">
        <f>IF(K21="","",L21-K21+1)</f>
        <v/>
      </c>
      <c r="N21" s="13" t="n"/>
      <c r="O21" s="13" t="n"/>
    </row>
    <row r="22" ht="22" customHeight="1">
      <c r="B22" s="17">
        <f>IF(C22="","AT-"&amp;TEXT(COUNTA($C$5:C22),"000"))</f>
        <v/>
      </c>
      <c r="C22" s="15" t="n"/>
      <c r="D22" s="15" t="n"/>
      <c r="E22" s="15" t="n"/>
      <c r="F22" s="33" t="n"/>
      <c r="G22" s="15" t="n"/>
      <c r="H22" s="15" t="n"/>
      <c r="I22" s="15" t="n"/>
      <c r="J22" s="15" t="n"/>
      <c r="K22" s="33" t="n"/>
      <c r="L22" s="33" t="n"/>
      <c r="M22" s="16">
        <f>IF(K22="","",L22-K22+1)</f>
        <v/>
      </c>
      <c r="N22" s="15" t="n"/>
      <c r="O22" s="15" t="n"/>
    </row>
    <row r="23" ht="22" customHeight="1">
      <c r="B23" s="18">
        <f>IF(C23="","AT-"&amp;TEXT(COUNTA($C$5:C23),"000"))</f>
        <v/>
      </c>
      <c r="C23" s="13" t="n"/>
      <c r="D23" s="13" t="n"/>
      <c r="E23" s="13" t="n"/>
      <c r="F23" s="32" t="n"/>
      <c r="G23" s="13" t="n"/>
      <c r="H23" s="13" t="n"/>
      <c r="I23" s="13" t="n"/>
      <c r="J23" s="13" t="n"/>
      <c r="K23" s="32" t="n"/>
      <c r="L23" s="32" t="n"/>
      <c r="M23" s="14">
        <f>IF(K23="","",L23-K23+1)</f>
        <v/>
      </c>
      <c r="N23" s="13" t="n"/>
      <c r="O23" s="13" t="n"/>
    </row>
    <row r="24" ht="22" customHeight="1">
      <c r="B24" s="17">
        <f>IF(C24="","AT-"&amp;TEXT(COUNTA($C$5:C24),"000"))</f>
        <v/>
      </c>
      <c r="C24" s="15" t="n"/>
      <c r="D24" s="15" t="n"/>
      <c r="E24" s="15" t="n"/>
      <c r="F24" s="33" t="n"/>
      <c r="G24" s="15" t="n"/>
      <c r="H24" s="15" t="n"/>
      <c r="I24" s="15" t="n"/>
      <c r="J24" s="15" t="n"/>
      <c r="K24" s="33" t="n"/>
      <c r="L24" s="33" t="n"/>
      <c r="M24" s="16">
        <f>IF(K24="","",L24-K24+1)</f>
        <v/>
      </c>
      <c r="N24" s="15" t="n"/>
      <c r="O24" s="15" t="n"/>
    </row>
    <row r="25" ht="22" customHeight="1">
      <c r="B25" s="18">
        <f>IF(C25="","AT-"&amp;TEXT(COUNTA($C$5:C25),"000"))</f>
        <v/>
      </c>
      <c r="C25" s="13" t="n"/>
      <c r="D25" s="13" t="n"/>
      <c r="E25" s="13" t="n"/>
      <c r="F25" s="32" t="n"/>
      <c r="G25" s="13" t="n"/>
      <c r="H25" s="13" t="n"/>
      <c r="I25" s="13" t="n"/>
      <c r="J25" s="13" t="n"/>
      <c r="K25" s="32" t="n"/>
      <c r="L25" s="32" t="n"/>
      <c r="M25" s="14">
        <f>IF(K25="","",L25-K25+1)</f>
        <v/>
      </c>
      <c r="N25" s="13" t="n"/>
      <c r="O25" s="13" t="n"/>
    </row>
    <row r="26" ht="22" customHeight="1">
      <c r="B26" s="17">
        <f>IF(C26="","AT-"&amp;TEXT(COUNTA($C$5:C26),"000"))</f>
        <v/>
      </c>
      <c r="C26" s="15" t="n"/>
      <c r="D26" s="15" t="n"/>
      <c r="E26" s="15" t="n"/>
      <c r="F26" s="33" t="n"/>
      <c r="G26" s="15" t="n"/>
      <c r="H26" s="15" t="n"/>
      <c r="I26" s="15" t="n"/>
      <c r="J26" s="15" t="n"/>
      <c r="K26" s="33" t="n"/>
      <c r="L26" s="33" t="n"/>
      <c r="M26" s="16">
        <f>IF(K26="","",L26-K26+1)</f>
        <v/>
      </c>
      <c r="N26" s="15" t="n"/>
      <c r="O26" s="15" t="n"/>
    </row>
    <row r="27" ht="22" customHeight="1">
      <c r="B27" s="18">
        <f>IF(C27="","AT-"&amp;TEXT(COUNTA($C$5:C27),"000"))</f>
        <v/>
      </c>
      <c r="C27" s="13" t="n"/>
      <c r="D27" s="13" t="n"/>
      <c r="E27" s="13" t="n"/>
      <c r="F27" s="32" t="n"/>
      <c r="G27" s="13" t="n"/>
      <c r="H27" s="13" t="n"/>
      <c r="I27" s="13" t="n"/>
      <c r="J27" s="13" t="n"/>
      <c r="K27" s="32" t="n"/>
      <c r="L27" s="32" t="n"/>
      <c r="M27" s="14">
        <f>IF(K27="","",L27-K27+1)</f>
        <v/>
      </c>
      <c r="N27" s="13" t="n"/>
      <c r="O27" s="13" t="n"/>
    </row>
    <row r="28" ht="22" customHeight="1">
      <c r="B28" s="17">
        <f>IF(C28="","AT-"&amp;TEXT(COUNTA($C$5:C28),"000"))</f>
        <v/>
      </c>
      <c r="C28" s="15" t="n"/>
      <c r="D28" s="15" t="n"/>
      <c r="E28" s="15" t="n"/>
      <c r="F28" s="33" t="n"/>
      <c r="G28" s="15" t="n"/>
      <c r="H28" s="15" t="n"/>
      <c r="I28" s="15" t="n"/>
      <c r="J28" s="15" t="n"/>
      <c r="K28" s="33" t="n"/>
      <c r="L28" s="33" t="n"/>
      <c r="M28" s="16">
        <f>IF(K28="","",L28-K28+1)</f>
        <v/>
      </c>
      <c r="N28" s="15" t="n"/>
      <c r="O28" s="15" t="n"/>
    </row>
    <row r="29" ht="22" customHeight="1">
      <c r="B29" s="18">
        <f>IF(C29="","AT-"&amp;TEXT(COUNTA($C$5:C29),"000"))</f>
        <v/>
      </c>
      <c r="C29" s="13" t="n"/>
      <c r="D29" s="13" t="n"/>
      <c r="E29" s="13" t="n"/>
      <c r="F29" s="32" t="n"/>
      <c r="G29" s="13" t="n"/>
      <c r="H29" s="13" t="n"/>
      <c r="I29" s="13" t="n"/>
      <c r="J29" s="13" t="n"/>
      <c r="K29" s="32" t="n"/>
      <c r="L29" s="32" t="n"/>
      <c r="M29" s="14">
        <f>IF(K29="","",L29-K29+1)</f>
        <v/>
      </c>
      <c r="N29" s="13" t="n"/>
      <c r="O29" s="13" t="n"/>
    </row>
    <row r="30" ht="22" customHeight="1">
      <c r="B30" s="17">
        <f>IF(C30="","AT-"&amp;TEXT(COUNTA($C$5:C30),"000"))</f>
        <v/>
      </c>
      <c r="C30" s="15" t="n"/>
      <c r="D30" s="15" t="n"/>
      <c r="E30" s="15" t="n"/>
      <c r="F30" s="33" t="n"/>
      <c r="G30" s="15" t="n"/>
      <c r="H30" s="15" t="n"/>
      <c r="I30" s="15" t="n"/>
      <c r="J30" s="15" t="n"/>
      <c r="K30" s="33" t="n"/>
      <c r="L30" s="33" t="n"/>
      <c r="M30" s="16">
        <f>IF(K30="","",L30-K30+1)</f>
        <v/>
      </c>
      <c r="N30" s="15" t="n"/>
      <c r="O30" s="15" t="n"/>
    </row>
    <row r="31" ht="22" customHeight="1">
      <c r="B31" s="18">
        <f>IF(C31="","AT-"&amp;TEXT(COUNTA($C$5:C31),"000"))</f>
        <v/>
      </c>
      <c r="C31" s="13" t="n"/>
      <c r="D31" s="13" t="n"/>
      <c r="E31" s="13" t="n"/>
      <c r="F31" s="32" t="n"/>
      <c r="G31" s="13" t="n"/>
      <c r="H31" s="13" t="n"/>
      <c r="I31" s="13" t="n"/>
      <c r="J31" s="13" t="n"/>
      <c r="K31" s="32" t="n"/>
      <c r="L31" s="32" t="n"/>
      <c r="M31" s="14">
        <f>IF(K31="","",L31-K31+1)</f>
        <v/>
      </c>
      <c r="N31" s="13" t="n"/>
      <c r="O31" s="13" t="n"/>
    </row>
    <row r="32" ht="22" customHeight="1">
      <c r="B32" s="17">
        <f>IF(C32="","AT-"&amp;TEXT(COUNTA($C$5:C32),"000"))</f>
        <v/>
      </c>
      <c r="C32" s="15" t="n"/>
      <c r="D32" s="15" t="n"/>
      <c r="E32" s="15" t="n"/>
      <c r="F32" s="33" t="n"/>
      <c r="G32" s="15" t="n"/>
      <c r="H32" s="15" t="n"/>
      <c r="I32" s="15" t="n"/>
      <c r="J32" s="15" t="n"/>
      <c r="K32" s="33" t="n"/>
      <c r="L32" s="33" t="n"/>
      <c r="M32" s="16">
        <f>IF(K32="","",L32-K32+1)</f>
        <v/>
      </c>
      <c r="N32" s="15" t="n"/>
      <c r="O32" s="15" t="n"/>
    </row>
    <row r="33" ht="22" customHeight="1">
      <c r="B33" s="18">
        <f>IF(C33="","AT-"&amp;TEXT(COUNTA($C$5:C33),"000"))</f>
        <v/>
      </c>
      <c r="C33" s="13" t="n"/>
      <c r="D33" s="13" t="n"/>
      <c r="E33" s="13" t="n"/>
      <c r="F33" s="32" t="n"/>
      <c r="G33" s="13" t="n"/>
      <c r="H33" s="13" t="n"/>
      <c r="I33" s="13" t="n"/>
      <c r="J33" s="13" t="n"/>
      <c r="K33" s="32" t="n"/>
      <c r="L33" s="32" t="n"/>
      <c r="M33" s="14">
        <f>IF(K33="","",L33-K33+1)</f>
        <v/>
      </c>
      <c r="N33" s="13" t="n"/>
      <c r="O33" s="13" t="n"/>
    </row>
    <row r="34" ht="22" customHeight="1">
      <c r="B34" s="17">
        <f>IF(C34="","AT-"&amp;TEXT(COUNTA($C$5:C34),"000"))</f>
        <v/>
      </c>
      <c r="C34" s="15" t="n"/>
      <c r="D34" s="15" t="n"/>
      <c r="E34" s="15" t="n"/>
      <c r="F34" s="33" t="n"/>
      <c r="G34" s="15" t="n"/>
      <c r="H34" s="15" t="n"/>
      <c r="I34" s="15" t="n"/>
      <c r="J34" s="15" t="n"/>
      <c r="K34" s="33" t="n"/>
      <c r="L34" s="33" t="n"/>
      <c r="M34" s="16">
        <f>IF(K34="","",L34-K34+1)</f>
        <v/>
      </c>
      <c r="N34" s="15" t="n"/>
      <c r="O34" s="15" t="n"/>
    </row>
    <row r="35" ht="22" customHeight="1">
      <c r="B35" s="18">
        <f>IF(C35="","AT-"&amp;TEXT(COUNTA($C$5:C35),"000"))</f>
        <v/>
      </c>
      <c r="C35" s="13" t="n"/>
      <c r="D35" s="13" t="n"/>
      <c r="E35" s="13" t="n"/>
      <c r="F35" s="32" t="n"/>
      <c r="G35" s="13" t="n"/>
      <c r="H35" s="13" t="n"/>
      <c r="I35" s="13" t="n"/>
      <c r="J35" s="13" t="n"/>
      <c r="K35" s="32" t="n"/>
      <c r="L35" s="32" t="n"/>
      <c r="M35" s="14">
        <f>IF(K35="","",L35-K35+1)</f>
        <v/>
      </c>
      <c r="N35" s="13" t="n"/>
      <c r="O35" s="13" t="n"/>
    </row>
    <row r="36" ht="22" customHeight="1">
      <c r="B36" s="17">
        <f>IF(C36="","AT-"&amp;TEXT(COUNTA($C$5:C36),"000"))</f>
        <v/>
      </c>
      <c r="C36" s="15" t="n"/>
      <c r="D36" s="15" t="n"/>
      <c r="E36" s="15" t="n"/>
      <c r="F36" s="33" t="n"/>
      <c r="G36" s="15" t="n"/>
      <c r="H36" s="15" t="n"/>
      <c r="I36" s="15" t="n"/>
      <c r="J36" s="15" t="n"/>
      <c r="K36" s="33" t="n"/>
      <c r="L36" s="33" t="n"/>
      <c r="M36" s="16">
        <f>IF(K36="","",L36-K36+1)</f>
        <v/>
      </c>
      <c r="N36" s="15" t="n"/>
      <c r="O36" s="15" t="n"/>
    </row>
    <row r="37" ht="22" customHeight="1">
      <c r="B37" s="18">
        <f>IF(C37="","AT-"&amp;TEXT(COUNTA($C$5:C37),"000"))</f>
        <v/>
      </c>
      <c r="C37" s="13" t="n"/>
      <c r="D37" s="13" t="n"/>
      <c r="E37" s="13" t="n"/>
      <c r="F37" s="32" t="n"/>
      <c r="G37" s="13" t="n"/>
      <c r="H37" s="13" t="n"/>
      <c r="I37" s="13" t="n"/>
      <c r="J37" s="13" t="n"/>
      <c r="K37" s="32" t="n"/>
      <c r="L37" s="32" t="n"/>
      <c r="M37" s="14">
        <f>IF(K37="","",L37-K37+1)</f>
        <v/>
      </c>
      <c r="N37" s="13" t="n"/>
      <c r="O37" s="13" t="n"/>
    </row>
    <row r="38" ht="22" customHeight="1">
      <c r="B38" s="17">
        <f>IF(C38="","AT-"&amp;TEXT(COUNTA($C$5:C38),"000"))</f>
        <v/>
      </c>
      <c r="C38" s="15" t="n"/>
      <c r="D38" s="15" t="n"/>
      <c r="E38" s="15" t="n"/>
      <c r="F38" s="33" t="n"/>
      <c r="G38" s="15" t="n"/>
      <c r="H38" s="15" t="n"/>
      <c r="I38" s="15" t="n"/>
      <c r="J38" s="15" t="n"/>
      <c r="K38" s="33" t="n"/>
      <c r="L38" s="33" t="n"/>
      <c r="M38" s="16">
        <f>IF(K38="","",L38-K38+1)</f>
        <v/>
      </c>
      <c r="N38" s="15" t="n"/>
      <c r="O38" s="15" t="n"/>
    </row>
    <row r="39" ht="22" customHeight="1">
      <c r="B39" s="18">
        <f>IF(C39="","AT-"&amp;TEXT(COUNTA($C$5:C39),"000"))</f>
        <v/>
      </c>
      <c r="C39" s="13" t="n"/>
      <c r="D39" s="13" t="n"/>
      <c r="E39" s="13" t="n"/>
      <c r="F39" s="32" t="n"/>
      <c r="G39" s="13" t="n"/>
      <c r="H39" s="13" t="n"/>
      <c r="I39" s="13" t="n"/>
      <c r="J39" s="13" t="n"/>
      <c r="K39" s="32" t="n"/>
      <c r="L39" s="32" t="n"/>
      <c r="M39" s="14">
        <f>IF(K39="","",L39-K39+1)</f>
        <v/>
      </c>
      <c r="N39" s="13" t="n"/>
      <c r="O39" s="13" t="n"/>
    </row>
    <row r="40" ht="22" customHeight="1">
      <c r="B40" s="17">
        <f>IF(C40="","AT-"&amp;TEXT(COUNTA($C$5:C40),"000"))</f>
        <v/>
      </c>
      <c r="C40" s="15" t="n"/>
      <c r="D40" s="15" t="n"/>
      <c r="E40" s="15" t="n"/>
      <c r="F40" s="33" t="n"/>
      <c r="G40" s="15" t="n"/>
      <c r="H40" s="15" t="n"/>
      <c r="I40" s="15" t="n"/>
      <c r="J40" s="15" t="n"/>
      <c r="K40" s="33" t="n"/>
      <c r="L40" s="33" t="n"/>
      <c r="M40" s="16">
        <f>IF(K40="","",L40-K40+1)</f>
        <v/>
      </c>
      <c r="N40" s="15" t="n"/>
      <c r="O40" s="15" t="n"/>
    </row>
    <row r="41" ht="22" customHeight="1">
      <c r="B41" s="18">
        <f>IF(C41="","AT-"&amp;TEXT(COUNTA($C$5:C41),"000"))</f>
        <v/>
      </c>
      <c r="C41" s="13" t="n"/>
      <c r="D41" s="13" t="n"/>
      <c r="E41" s="13" t="n"/>
      <c r="F41" s="32" t="n"/>
      <c r="G41" s="13" t="n"/>
      <c r="H41" s="13" t="n"/>
      <c r="I41" s="13" t="n"/>
      <c r="J41" s="13" t="n"/>
      <c r="K41" s="32" t="n"/>
      <c r="L41" s="32" t="n"/>
      <c r="M41" s="14">
        <f>IF(K41="","",L41-K41+1)</f>
        <v/>
      </c>
      <c r="N41" s="13" t="n"/>
      <c r="O41" s="13" t="n"/>
    </row>
    <row r="42" ht="22" customHeight="1">
      <c r="B42" s="17">
        <f>IF(C42="","AT-"&amp;TEXT(COUNTA($C$5:C42),"000"))</f>
        <v/>
      </c>
      <c r="C42" s="15" t="n"/>
      <c r="D42" s="15" t="n"/>
      <c r="E42" s="15" t="n"/>
      <c r="F42" s="33" t="n"/>
      <c r="G42" s="15" t="n"/>
      <c r="H42" s="15" t="n"/>
      <c r="I42" s="15" t="n"/>
      <c r="J42" s="15" t="n"/>
      <c r="K42" s="33" t="n"/>
      <c r="L42" s="33" t="n"/>
      <c r="M42" s="16">
        <f>IF(K42="","",L42-K42+1)</f>
        <v/>
      </c>
      <c r="N42" s="15" t="n"/>
      <c r="O42" s="15" t="n"/>
    </row>
    <row r="43" ht="22" customHeight="1">
      <c r="B43" s="18">
        <f>IF(C43="","AT-"&amp;TEXT(COUNTA($C$5:C43),"000"))</f>
        <v/>
      </c>
      <c r="C43" s="13" t="n"/>
      <c r="D43" s="13" t="n"/>
      <c r="E43" s="13" t="n"/>
      <c r="F43" s="32" t="n"/>
      <c r="G43" s="13" t="n"/>
      <c r="H43" s="13" t="n"/>
      <c r="I43" s="13" t="n"/>
      <c r="J43" s="13" t="n"/>
      <c r="K43" s="32" t="n"/>
      <c r="L43" s="32" t="n"/>
      <c r="M43" s="14">
        <f>IF(K43="","",L43-K43+1)</f>
        <v/>
      </c>
      <c r="N43" s="13" t="n"/>
      <c r="O43" s="13" t="n"/>
    </row>
    <row r="44" ht="22" customHeight="1">
      <c r="B44" s="17">
        <f>IF(C44="","AT-"&amp;TEXT(COUNTA($C$5:C44),"000"))</f>
        <v/>
      </c>
      <c r="C44" s="15" t="n"/>
      <c r="D44" s="15" t="n"/>
      <c r="E44" s="15" t="n"/>
      <c r="F44" s="33" t="n"/>
      <c r="G44" s="15" t="n"/>
      <c r="H44" s="15" t="n"/>
      <c r="I44" s="15" t="n"/>
      <c r="J44" s="15" t="n"/>
      <c r="K44" s="33" t="n"/>
      <c r="L44" s="33" t="n"/>
      <c r="M44" s="16">
        <f>IF(K44="","",L44-K44+1)</f>
        <v/>
      </c>
      <c r="N44" s="15" t="n"/>
      <c r="O44" s="15" t="n"/>
    </row>
    <row r="45" ht="22" customHeight="1">
      <c r="B45" s="18">
        <f>IF(C45="","AT-"&amp;TEXT(COUNTA($C$5:C45),"000"))</f>
        <v/>
      </c>
      <c r="C45" s="13" t="n"/>
      <c r="D45" s="13" t="n"/>
      <c r="E45" s="13" t="n"/>
      <c r="F45" s="32" t="n"/>
      <c r="G45" s="13" t="n"/>
      <c r="H45" s="13" t="n"/>
      <c r="I45" s="13" t="n"/>
      <c r="J45" s="13" t="n"/>
      <c r="K45" s="32" t="n"/>
      <c r="L45" s="32" t="n"/>
      <c r="M45" s="14">
        <f>IF(K45="","",L45-K45+1)</f>
        <v/>
      </c>
      <c r="N45" s="13" t="n"/>
      <c r="O45" s="13" t="n"/>
    </row>
    <row r="46" ht="22" customHeight="1">
      <c r="B46" s="17">
        <f>IF(C46="","AT-"&amp;TEXT(COUNTA($C$5:C46),"000"))</f>
        <v/>
      </c>
      <c r="C46" s="15" t="n"/>
      <c r="D46" s="15" t="n"/>
      <c r="E46" s="15" t="n"/>
      <c r="F46" s="33" t="n"/>
      <c r="G46" s="15" t="n"/>
      <c r="H46" s="15" t="n"/>
      <c r="I46" s="15" t="n"/>
      <c r="J46" s="15" t="n"/>
      <c r="K46" s="33" t="n"/>
      <c r="L46" s="33" t="n"/>
      <c r="M46" s="16">
        <f>IF(K46="","",L46-K46+1)</f>
        <v/>
      </c>
      <c r="N46" s="15" t="n"/>
      <c r="O46" s="15" t="n"/>
    </row>
    <row r="47" ht="22" customHeight="1">
      <c r="B47" s="18">
        <f>IF(C47="","AT-"&amp;TEXT(COUNTA($C$5:C47),"000"))</f>
        <v/>
      </c>
      <c r="C47" s="13" t="n"/>
      <c r="D47" s="13" t="n"/>
      <c r="E47" s="13" t="n"/>
      <c r="F47" s="32" t="n"/>
      <c r="G47" s="13" t="n"/>
      <c r="H47" s="13" t="n"/>
      <c r="I47" s="13" t="n"/>
      <c r="J47" s="13" t="n"/>
      <c r="K47" s="32" t="n"/>
      <c r="L47" s="32" t="n"/>
      <c r="M47" s="14">
        <f>IF(K47="","",L47-K47+1)</f>
        <v/>
      </c>
      <c r="N47" s="13" t="n"/>
      <c r="O47" s="13" t="n"/>
    </row>
    <row r="48" ht="22" customHeight="1">
      <c r="B48" s="17">
        <f>IF(C48="","AT-"&amp;TEXT(COUNTA($C$5:C48),"000"))</f>
        <v/>
      </c>
      <c r="C48" s="15" t="n"/>
      <c r="D48" s="15" t="n"/>
      <c r="E48" s="15" t="n"/>
      <c r="F48" s="33" t="n"/>
      <c r="G48" s="15" t="n"/>
      <c r="H48" s="15" t="n"/>
      <c r="I48" s="15" t="n"/>
      <c r="J48" s="15" t="n"/>
      <c r="K48" s="33" t="n"/>
      <c r="L48" s="33" t="n"/>
      <c r="M48" s="16">
        <f>IF(K48="","",L48-K48+1)</f>
        <v/>
      </c>
      <c r="N48" s="15" t="n"/>
      <c r="O48" s="15" t="n"/>
    </row>
    <row r="49" ht="22" customHeight="1">
      <c r="B49" s="18">
        <f>IF(C49="","AT-"&amp;TEXT(COUNTA($C$5:C49),"000"))</f>
        <v/>
      </c>
      <c r="C49" s="13" t="n"/>
      <c r="D49" s="13" t="n"/>
      <c r="E49" s="13" t="n"/>
      <c r="F49" s="32" t="n"/>
      <c r="G49" s="13" t="n"/>
      <c r="H49" s="13" t="n"/>
      <c r="I49" s="13" t="n"/>
      <c r="J49" s="13" t="n"/>
      <c r="K49" s="32" t="n"/>
      <c r="L49" s="32" t="n"/>
      <c r="M49" s="14">
        <f>IF(K49="","",L49-K49+1)</f>
        <v/>
      </c>
      <c r="N49" s="13" t="n"/>
      <c r="O49" s="13" t="n"/>
    </row>
    <row r="50" ht="22" customHeight="1">
      <c r="B50" s="17">
        <f>IF(C50="","AT-"&amp;TEXT(COUNTA($C$5:C50),"000"))</f>
        <v/>
      </c>
      <c r="C50" s="15" t="n"/>
      <c r="D50" s="15" t="n"/>
      <c r="E50" s="15" t="n"/>
      <c r="F50" s="33" t="n"/>
      <c r="G50" s="15" t="n"/>
      <c r="H50" s="15" t="n"/>
      <c r="I50" s="15" t="n"/>
      <c r="J50" s="15" t="n"/>
      <c r="K50" s="33" t="n"/>
      <c r="L50" s="33" t="n"/>
      <c r="M50" s="16">
        <f>IF(K50="","",L50-K50+1)</f>
        <v/>
      </c>
      <c r="N50" s="15" t="n"/>
      <c r="O50" s="15" t="n"/>
    </row>
    <row r="51" ht="22" customHeight="1">
      <c r="B51" s="18">
        <f>IF(C51="","AT-"&amp;TEXT(COUNTA($C$5:C51),"000"))</f>
        <v/>
      </c>
      <c r="C51" s="13" t="n"/>
      <c r="D51" s="13" t="n"/>
      <c r="E51" s="13" t="n"/>
      <c r="F51" s="32" t="n"/>
      <c r="G51" s="13" t="n"/>
      <c r="H51" s="13" t="n"/>
      <c r="I51" s="13" t="n"/>
      <c r="J51" s="13" t="n"/>
      <c r="K51" s="32" t="n"/>
      <c r="L51" s="32" t="n"/>
      <c r="M51" s="14">
        <f>IF(K51="","",L51-K51+1)</f>
        <v/>
      </c>
      <c r="N51" s="13" t="n"/>
      <c r="O51" s="13" t="n"/>
    </row>
    <row r="52" ht="22" customHeight="1">
      <c r="B52" s="17">
        <f>IF(C52="","AT-"&amp;TEXT(COUNTA($C$5:C52),"000"))</f>
        <v/>
      </c>
      <c r="C52" s="15" t="n"/>
      <c r="D52" s="15" t="n"/>
      <c r="E52" s="15" t="n"/>
      <c r="F52" s="33" t="n"/>
      <c r="G52" s="15" t="n"/>
      <c r="H52" s="15" t="n"/>
      <c r="I52" s="15" t="n"/>
      <c r="J52" s="15" t="n"/>
      <c r="K52" s="33" t="n"/>
      <c r="L52" s="33" t="n"/>
      <c r="M52" s="16">
        <f>IF(K52="","",L52-K52+1)</f>
        <v/>
      </c>
      <c r="N52" s="15" t="n"/>
      <c r="O52" s="15" t="n"/>
    </row>
    <row r="53" ht="22" customHeight="1">
      <c r="B53" s="18">
        <f>IF(C53="","AT-"&amp;TEXT(COUNTA($C$5:C53),"000"))</f>
        <v/>
      </c>
      <c r="C53" s="13" t="n"/>
      <c r="D53" s="13" t="n"/>
      <c r="E53" s="13" t="n"/>
      <c r="F53" s="32" t="n"/>
      <c r="G53" s="13" t="n"/>
      <c r="H53" s="13" t="n"/>
      <c r="I53" s="13" t="n"/>
      <c r="J53" s="13" t="n"/>
      <c r="K53" s="32" t="n"/>
      <c r="L53" s="32" t="n"/>
      <c r="M53" s="14">
        <f>IF(K53="","",L53-K53+1)</f>
        <v/>
      </c>
      <c r="N53" s="13" t="n"/>
      <c r="O53" s="13" t="n"/>
    </row>
    <row r="54" ht="22" customHeight="1">
      <c r="B54" s="17">
        <f>IF(C54="","AT-"&amp;TEXT(COUNTA($C$5:C54),"000"))</f>
        <v/>
      </c>
      <c r="C54" s="15" t="n"/>
      <c r="D54" s="15" t="n"/>
      <c r="E54" s="15" t="n"/>
      <c r="F54" s="33" t="n"/>
      <c r="G54" s="15" t="n"/>
      <c r="H54" s="15" t="n"/>
      <c r="I54" s="15" t="n"/>
      <c r="J54" s="15" t="n"/>
      <c r="K54" s="33" t="n"/>
      <c r="L54" s="33" t="n"/>
      <c r="M54" s="16">
        <f>IF(K54="","",L54-K54+1)</f>
        <v/>
      </c>
      <c r="N54" s="15" t="n"/>
      <c r="O54" s="15" t="n"/>
    </row>
    <row r="55" ht="22" customHeight="1">
      <c r="B55" s="18">
        <f>IF(C55="","AT-"&amp;TEXT(COUNTA($C$5:C55),"000"))</f>
        <v/>
      </c>
      <c r="C55" s="13" t="n"/>
      <c r="D55" s="13" t="n"/>
      <c r="E55" s="13" t="n"/>
      <c r="F55" s="32" t="n"/>
      <c r="G55" s="13" t="n"/>
      <c r="H55" s="13" t="n"/>
      <c r="I55" s="13" t="n"/>
      <c r="J55" s="13" t="n"/>
      <c r="K55" s="32" t="n"/>
      <c r="L55" s="32" t="n"/>
      <c r="M55" s="14">
        <f>IF(K55="","",L55-K55+1)</f>
        <v/>
      </c>
      <c r="N55" s="13" t="n"/>
      <c r="O55" s="13" t="n"/>
    </row>
    <row r="56" ht="22" customHeight="1">
      <c r="B56" s="17">
        <f>IF(C56="","AT-"&amp;TEXT(COUNTA($C$5:C56),"000"))</f>
        <v/>
      </c>
      <c r="C56" s="15" t="n"/>
      <c r="D56" s="15" t="n"/>
      <c r="E56" s="15" t="n"/>
      <c r="F56" s="33" t="n"/>
      <c r="G56" s="15" t="n"/>
      <c r="H56" s="15" t="n"/>
      <c r="I56" s="15" t="n"/>
      <c r="J56" s="15" t="n"/>
      <c r="K56" s="33" t="n"/>
      <c r="L56" s="33" t="n"/>
      <c r="M56" s="16">
        <f>IF(K56="","",L56-K56+1)</f>
        <v/>
      </c>
      <c r="N56" s="15" t="n"/>
      <c r="O56" s="15" t="n"/>
    </row>
    <row r="57" ht="22" customHeight="1">
      <c r="B57" s="18">
        <f>IF(C57="","AT-"&amp;TEXT(COUNTA($C$5:C57),"000"))</f>
        <v/>
      </c>
      <c r="C57" s="13" t="n"/>
      <c r="D57" s="13" t="n"/>
      <c r="E57" s="13" t="n"/>
      <c r="F57" s="32" t="n"/>
      <c r="G57" s="13" t="n"/>
      <c r="H57" s="13" t="n"/>
      <c r="I57" s="13" t="n"/>
      <c r="J57" s="13" t="n"/>
      <c r="K57" s="32" t="n"/>
      <c r="L57" s="32" t="n"/>
      <c r="M57" s="14">
        <f>IF(K57="","",L57-K57+1)</f>
        <v/>
      </c>
      <c r="N57" s="13" t="n"/>
      <c r="O57" s="13" t="n"/>
    </row>
    <row r="58" ht="22" customHeight="1">
      <c r="B58" s="17">
        <f>IF(C58="","AT-"&amp;TEXT(COUNTA($C$5:C58),"000"))</f>
        <v/>
      </c>
      <c r="C58" s="15" t="n"/>
      <c r="D58" s="15" t="n"/>
      <c r="E58" s="15" t="n"/>
      <c r="F58" s="33" t="n"/>
      <c r="G58" s="15" t="n"/>
      <c r="H58" s="15" t="n"/>
      <c r="I58" s="15" t="n"/>
      <c r="J58" s="15" t="n"/>
      <c r="K58" s="33" t="n"/>
      <c r="L58" s="33" t="n"/>
      <c r="M58" s="16">
        <f>IF(K58="","",L58-K58+1)</f>
        <v/>
      </c>
      <c r="N58" s="15" t="n"/>
      <c r="O58" s="15" t="n"/>
    </row>
    <row r="59" ht="22" customHeight="1">
      <c r="B59" s="18">
        <f>IF(C59="","AT-"&amp;TEXT(COUNTA($C$5:C59),"000"))</f>
        <v/>
      </c>
      <c r="C59" s="13" t="n"/>
      <c r="D59" s="13" t="n"/>
      <c r="E59" s="13" t="n"/>
      <c r="F59" s="32" t="n"/>
      <c r="G59" s="13" t="n"/>
      <c r="H59" s="13" t="n"/>
      <c r="I59" s="13" t="n"/>
      <c r="J59" s="13" t="n"/>
      <c r="K59" s="32" t="n"/>
      <c r="L59" s="32" t="n"/>
      <c r="M59" s="14">
        <f>IF(K59="","",L59-K59+1)</f>
        <v/>
      </c>
      <c r="N59" s="13" t="n"/>
      <c r="O59" s="13" t="n"/>
    </row>
    <row r="60" ht="22" customHeight="1">
      <c r="B60" s="17">
        <f>IF(C60="","AT-"&amp;TEXT(COUNTA($C$5:C60),"000"))</f>
        <v/>
      </c>
      <c r="C60" s="15" t="n"/>
      <c r="D60" s="15" t="n"/>
      <c r="E60" s="15" t="n"/>
      <c r="F60" s="33" t="n"/>
      <c r="G60" s="15" t="n"/>
      <c r="H60" s="15" t="n"/>
      <c r="I60" s="15" t="n"/>
      <c r="J60" s="15" t="n"/>
      <c r="K60" s="33" t="n"/>
      <c r="L60" s="33" t="n"/>
      <c r="M60" s="16">
        <f>IF(K60="","",L60-K60+1)</f>
        <v/>
      </c>
      <c r="N60" s="15" t="n"/>
      <c r="O60" s="15" t="n"/>
    </row>
    <row r="61" ht="22" customHeight="1">
      <c r="B61" s="18">
        <f>IF(C61="","AT-"&amp;TEXT(COUNTA($C$5:C61),"000"))</f>
        <v/>
      </c>
      <c r="C61" s="13" t="n"/>
      <c r="D61" s="13" t="n"/>
      <c r="E61" s="13" t="n"/>
      <c r="F61" s="32" t="n"/>
      <c r="G61" s="13" t="n"/>
      <c r="H61" s="13" t="n"/>
      <c r="I61" s="13" t="n"/>
      <c r="J61" s="13" t="n"/>
      <c r="K61" s="32" t="n"/>
      <c r="L61" s="32" t="n"/>
      <c r="M61" s="14">
        <f>IF(K61="","",L61-K61+1)</f>
        <v/>
      </c>
      <c r="N61" s="13" t="n"/>
      <c r="O61" s="13" t="n"/>
    </row>
    <row r="62" ht="22" customHeight="1">
      <c r="B62" s="17">
        <f>IF(C62="","AT-"&amp;TEXT(COUNTA($C$5:C62),"000"))</f>
        <v/>
      </c>
      <c r="C62" s="15" t="n"/>
      <c r="D62" s="15" t="n"/>
      <c r="E62" s="15" t="n"/>
      <c r="F62" s="33" t="n"/>
      <c r="G62" s="15" t="n"/>
      <c r="H62" s="15" t="n"/>
      <c r="I62" s="15" t="n"/>
      <c r="J62" s="15" t="n"/>
      <c r="K62" s="33" t="n"/>
      <c r="L62" s="33" t="n"/>
      <c r="M62" s="16">
        <f>IF(K62="","",L62-K62+1)</f>
        <v/>
      </c>
      <c r="N62" s="15" t="n"/>
      <c r="O62" s="15" t="n"/>
    </row>
    <row r="63" ht="22" customHeight="1">
      <c r="B63" s="18">
        <f>IF(C63="","AT-"&amp;TEXT(COUNTA($C$5:C63),"000"))</f>
        <v/>
      </c>
      <c r="C63" s="13" t="n"/>
      <c r="D63" s="13" t="n"/>
      <c r="E63" s="13" t="n"/>
      <c r="F63" s="32" t="n"/>
      <c r="G63" s="13" t="n"/>
      <c r="H63" s="13" t="n"/>
      <c r="I63" s="13" t="n"/>
      <c r="J63" s="13" t="n"/>
      <c r="K63" s="32" t="n"/>
      <c r="L63" s="32" t="n"/>
      <c r="M63" s="14">
        <f>IF(K63="","",L63-K63+1)</f>
        <v/>
      </c>
      <c r="N63" s="13" t="n"/>
      <c r="O63" s="13" t="n"/>
    </row>
    <row r="64" ht="22" customHeight="1">
      <c r="B64" s="17">
        <f>IF(C64="","AT-"&amp;TEXT(COUNTA($C$5:C64),"000"))</f>
        <v/>
      </c>
      <c r="C64" s="15" t="n"/>
      <c r="D64" s="15" t="n"/>
      <c r="E64" s="15" t="n"/>
      <c r="F64" s="33" t="n"/>
      <c r="G64" s="15" t="n"/>
      <c r="H64" s="15" t="n"/>
      <c r="I64" s="15" t="n"/>
      <c r="J64" s="15" t="n"/>
      <c r="K64" s="33" t="n"/>
      <c r="L64" s="33" t="n"/>
      <c r="M64" s="16">
        <f>IF(K64="","",L64-K64+1)</f>
        <v/>
      </c>
      <c r="N64" s="15" t="n"/>
      <c r="O64" s="15" t="n"/>
    </row>
    <row r="65" ht="22" customHeight="1">
      <c r="B65" s="18">
        <f>IF(C65="","AT-"&amp;TEXT(COUNTA($C$5:C65),"000"))</f>
        <v/>
      </c>
      <c r="C65" s="13" t="n"/>
      <c r="D65" s="13" t="n"/>
      <c r="E65" s="13" t="n"/>
      <c r="F65" s="32" t="n"/>
      <c r="G65" s="13" t="n"/>
      <c r="H65" s="13" t="n"/>
      <c r="I65" s="13" t="n"/>
      <c r="J65" s="13" t="n"/>
      <c r="K65" s="32" t="n"/>
      <c r="L65" s="32" t="n"/>
      <c r="M65" s="14">
        <f>IF(K65="","",L65-K65+1)</f>
        <v/>
      </c>
      <c r="N65" s="13" t="n"/>
      <c r="O65" s="13" t="n"/>
    </row>
    <row r="66" ht="22" customHeight="1">
      <c r="B66" s="17">
        <f>IF(C66="","AT-"&amp;TEXT(COUNTA($C$5:C66),"000"))</f>
        <v/>
      </c>
      <c r="C66" s="15" t="n"/>
      <c r="D66" s="15" t="n"/>
      <c r="E66" s="15" t="n"/>
      <c r="F66" s="33" t="n"/>
      <c r="G66" s="15" t="n"/>
      <c r="H66" s="15" t="n"/>
      <c r="I66" s="15" t="n"/>
      <c r="J66" s="15" t="n"/>
      <c r="K66" s="33" t="n"/>
      <c r="L66" s="33" t="n"/>
      <c r="M66" s="16">
        <f>IF(K66="","",L66-K66+1)</f>
        <v/>
      </c>
      <c r="N66" s="15" t="n"/>
      <c r="O66" s="15" t="n"/>
    </row>
    <row r="67" ht="22" customHeight="1">
      <c r="B67" s="18">
        <f>IF(C67="","AT-"&amp;TEXT(COUNTA($C$5:C67),"000"))</f>
        <v/>
      </c>
      <c r="C67" s="13" t="n"/>
      <c r="D67" s="13" t="n"/>
      <c r="E67" s="13" t="n"/>
      <c r="F67" s="32" t="n"/>
      <c r="G67" s="13" t="n"/>
      <c r="H67" s="13" t="n"/>
      <c r="I67" s="13" t="n"/>
      <c r="J67" s="13" t="n"/>
      <c r="K67" s="32" t="n"/>
      <c r="L67" s="32" t="n"/>
      <c r="M67" s="14">
        <f>IF(K67="","",L67-K67+1)</f>
        <v/>
      </c>
      <c r="N67" s="13" t="n"/>
      <c r="O67" s="13" t="n"/>
    </row>
    <row r="68" ht="22" customHeight="1">
      <c r="B68" s="17">
        <f>IF(C68="","AT-"&amp;TEXT(COUNTA($C$5:C68),"000"))</f>
        <v/>
      </c>
      <c r="C68" s="15" t="n"/>
      <c r="D68" s="15" t="n"/>
      <c r="E68" s="15" t="n"/>
      <c r="F68" s="33" t="n"/>
      <c r="G68" s="15" t="n"/>
      <c r="H68" s="15" t="n"/>
      <c r="I68" s="15" t="n"/>
      <c r="J68" s="15" t="n"/>
      <c r="K68" s="33" t="n"/>
      <c r="L68" s="33" t="n"/>
      <c r="M68" s="16">
        <f>IF(K68="","",L68-K68+1)</f>
        <v/>
      </c>
      <c r="N68" s="15" t="n"/>
      <c r="O68" s="15" t="n"/>
    </row>
    <row r="69" ht="22" customHeight="1">
      <c r="B69" s="18">
        <f>IF(C69="","AT-"&amp;TEXT(COUNTA($C$5:C69),"000"))</f>
        <v/>
      </c>
      <c r="C69" s="13" t="n"/>
      <c r="D69" s="13" t="n"/>
      <c r="E69" s="13" t="n"/>
      <c r="F69" s="32" t="n"/>
      <c r="G69" s="13" t="n"/>
      <c r="H69" s="13" t="n"/>
      <c r="I69" s="13" t="n"/>
      <c r="J69" s="13" t="n"/>
      <c r="K69" s="32" t="n"/>
      <c r="L69" s="32" t="n"/>
      <c r="M69" s="14">
        <f>IF(K69="","",L69-K69+1)</f>
        <v/>
      </c>
      <c r="N69" s="13" t="n"/>
      <c r="O69" s="13" t="n"/>
    </row>
    <row r="70" ht="22" customHeight="1">
      <c r="B70" s="17">
        <f>IF(C70="","AT-"&amp;TEXT(COUNTA($C$5:C70),"000"))</f>
        <v/>
      </c>
      <c r="C70" s="15" t="n"/>
      <c r="D70" s="15" t="n"/>
      <c r="E70" s="15" t="n"/>
      <c r="F70" s="33" t="n"/>
      <c r="G70" s="15" t="n"/>
      <c r="H70" s="15" t="n"/>
      <c r="I70" s="15" t="n"/>
      <c r="J70" s="15" t="n"/>
      <c r="K70" s="33" t="n"/>
      <c r="L70" s="33" t="n"/>
      <c r="M70" s="16">
        <f>IF(K70="","",L70-K70+1)</f>
        <v/>
      </c>
      <c r="N70" s="15" t="n"/>
      <c r="O70" s="15" t="n"/>
    </row>
    <row r="71" ht="22" customHeight="1">
      <c r="B71" s="18">
        <f>IF(C71="","AT-"&amp;TEXT(COUNTA($C$5:C71),"000"))</f>
        <v/>
      </c>
      <c r="C71" s="13" t="n"/>
      <c r="D71" s="13" t="n"/>
      <c r="E71" s="13" t="n"/>
      <c r="F71" s="32" t="n"/>
      <c r="G71" s="13" t="n"/>
      <c r="H71" s="13" t="n"/>
      <c r="I71" s="13" t="n"/>
      <c r="J71" s="13" t="n"/>
      <c r="K71" s="32" t="n"/>
      <c r="L71" s="32" t="n"/>
      <c r="M71" s="14">
        <f>IF(K71="","",L71-K71+1)</f>
        <v/>
      </c>
      <c r="N71" s="13" t="n"/>
      <c r="O71" s="13" t="n"/>
    </row>
    <row r="72" ht="22" customHeight="1">
      <c r="B72" s="17">
        <f>IF(C72="","AT-"&amp;TEXT(COUNTA($C$5:C72),"000"))</f>
        <v/>
      </c>
      <c r="C72" s="15" t="n"/>
      <c r="D72" s="15" t="n"/>
      <c r="E72" s="15" t="n"/>
      <c r="F72" s="33" t="n"/>
      <c r="G72" s="15" t="n"/>
      <c r="H72" s="15" t="n"/>
      <c r="I72" s="15" t="n"/>
      <c r="J72" s="15" t="n"/>
      <c r="K72" s="33" t="n"/>
      <c r="L72" s="33" t="n"/>
      <c r="M72" s="16">
        <f>IF(K72="","",L72-K72+1)</f>
        <v/>
      </c>
      <c r="N72" s="15" t="n"/>
      <c r="O72" s="15" t="n"/>
    </row>
    <row r="73" ht="22" customHeight="1">
      <c r="B73" s="18">
        <f>IF(C73="","AT-"&amp;TEXT(COUNTA($C$5:C73),"000"))</f>
        <v/>
      </c>
      <c r="C73" s="13" t="n"/>
      <c r="D73" s="13" t="n"/>
      <c r="E73" s="13" t="n"/>
      <c r="F73" s="32" t="n"/>
      <c r="G73" s="13" t="n"/>
      <c r="H73" s="13" t="n"/>
      <c r="I73" s="13" t="n"/>
      <c r="J73" s="13" t="n"/>
      <c r="K73" s="32" t="n"/>
      <c r="L73" s="32" t="n"/>
      <c r="M73" s="14">
        <f>IF(K73="","",L73-K73+1)</f>
        <v/>
      </c>
      <c r="N73" s="13" t="n"/>
      <c r="O73" s="13" t="n"/>
    </row>
    <row r="74" ht="22" customHeight="1">
      <c r="B74" s="17">
        <f>IF(C74="","AT-"&amp;TEXT(COUNTA($C$5:C74),"000"))</f>
        <v/>
      </c>
      <c r="C74" s="15" t="n"/>
      <c r="D74" s="15" t="n"/>
      <c r="E74" s="15" t="n"/>
      <c r="F74" s="33" t="n"/>
      <c r="G74" s="15" t="n"/>
      <c r="H74" s="15" t="n"/>
      <c r="I74" s="15" t="n"/>
      <c r="J74" s="15" t="n"/>
      <c r="K74" s="33" t="n"/>
      <c r="L74" s="33" t="n"/>
      <c r="M74" s="16">
        <f>IF(K74="","",L74-K74+1)</f>
        <v/>
      </c>
      <c r="N74" s="15" t="n"/>
      <c r="O74" s="15" t="n"/>
    </row>
    <row r="75" ht="22" customHeight="1">
      <c r="B75" s="18">
        <f>IF(C75="","AT-"&amp;TEXT(COUNTA($C$5:C75),"000"))</f>
        <v/>
      </c>
      <c r="C75" s="13" t="n"/>
      <c r="D75" s="13" t="n"/>
      <c r="E75" s="13" t="n"/>
      <c r="F75" s="32" t="n"/>
      <c r="G75" s="13" t="n"/>
      <c r="H75" s="13" t="n"/>
      <c r="I75" s="13" t="n"/>
      <c r="J75" s="13" t="n"/>
      <c r="K75" s="32" t="n"/>
      <c r="L75" s="32" t="n"/>
      <c r="M75" s="14">
        <f>IF(K75="","",L75-K75+1)</f>
        <v/>
      </c>
      <c r="N75" s="13" t="n"/>
      <c r="O75" s="13" t="n"/>
    </row>
    <row r="76" ht="22" customHeight="1">
      <c r="B76" s="17">
        <f>IF(C76="","AT-"&amp;TEXT(COUNTA($C$5:C76),"000"))</f>
        <v/>
      </c>
      <c r="C76" s="15" t="n"/>
      <c r="D76" s="15" t="n"/>
      <c r="E76" s="15" t="n"/>
      <c r="F76" s="33" t="n"/>
      <c r="G76" s="15" t="n"/>
      <c r="H76" s="15" t="n"/>
      <c r="I76" s="15" t="n"/>
      <c r="J76" s="15" t="n"/>
      <c r="K76" s="33" t="n"/>
      <c r="L76" s="33" t="n"/>
      <c r="M76" s="16">
        <f>IF(K76="","",L76-K76+1)</f>
        <v/>
      </c>
      <c r="N76" s="15" t="n"/>
      <c r="O76" s="15" t="n"/>
    </row>
    <row r="77" ht="22" customHeight="1">
      <c r="B77" s="18">
        <f>IF(C77="","AT-"&amp;TEXT(COUNTA($C$5:C77),"000"))</f>
        <v/>
      </c>
      <c r="C77" s="13" t="n"/>
      <c r="D77" s="13" t="n"/>
      <c r="E77" s="13" t="n"/>
      <c r="F77" s="32" t="n"/>
      <c r="G77" s="13" t="n"/>
      <c r="H77" s="13" t="n"/>
      <c r="I77" s="13" t="n"/>
      <c r="J77" s="13" t="n"/>
      <c r="K77" s="32" t="n"/>
      <c r="L77" s="32" t="n"/>
      <c r="M77" s="14">
        <f>IF(K77="","",L77-K77+1)</f>
        <v/>
      </c>
      <c r="N77" s="13" t="n"/>
      <c r="O77" s="13" t="n"/>
    </row>
    <row r="78" ht="22" customHeight="1">
      <c r="B78" s="17">
        <f>IF(C78="","AT-"&amp;TEXT(COUNTA($C$5:C78),"000"))</f>
        <v/>
      </c>
      <c r="C78" s="15" t="n"/>
      <c r="D78" s="15" t="n"/>
      <c r="E78" s="15" t="n"/>
      <c r="F78" s="33" t="n"/>
      <c r="G78" s="15" t="n"/>
      <c r="H78" s="15" t="n"/>
      <c r="I78" s="15" t="n"/>
      <c r="J78" s="15" t="n"/>
      <c r="K78" s="33" t="n"/>
      <c r="L78" s="33" t="n"/>
      <c r="M78" s="16">
        <f>IF(K78="","",L78-K78+1)</f>
        <v/>
      </c>
      <c r="N78" s="15" t="n"/>
      <c r="O78" s="15" t="n"/>
    </row>
    <row r="79" ht="22" customHeight="1">
      <c r="B79" s="18">
        <f>IF(C79="","AT-"&amp;TEXT(COUNTA($C$5:C79),"000"))</f>
        <v/>
      </c>
      <c r="C79" s="13" t="n"/>
      <c r="D79" s="13" t="n"/>
      <c r="E79" s="13" t="n"/>
      <c r="F79" s="32" t="n"/>
      <c r="G79" s="13" t="n"/>
      <c r="H79" s="13" t="n"/>
      <c r="I79" s="13" t="n"/>
      <c r="J79" s="13" t="n"/>
      <c r="K79" s="32" t="n"/>
      <c r="L79" s="32" t="n"/>
      <c r="M79" s="14">
        <f>IF(K79="","",L79-K79+1)</f>
        <v/>
      </c>
      <c r="N79" s="13" t="n"/>
      <c r="O79" s="13" t="n"/>
    </row>
    <row r="80" ht="22" customHeight="1">
      <c r="B80" s="17">
        <f>IF(C80="","AT-"&amp;TEXT(COUNTA($C$5:C80),"000"))</f>
        <v/>
      </c>
      <c r="C80" s="15" t="n"/>
      <c r="D80" s="15" t="n"/>
      <c r="E80" s="15" t="n"/>
      <c r="F80" s="33" t="n"/>
      <c r="G80" s="15" t="n"/>
      <c r="H80" s="15" t="n"/>
      <c r="I80" s="15" t="n"/>
      <c r="J80" s="15" t="n"/>
      <c r="K80" s="33" t="n"/>
      <c r="L80" s="33" t="n"/>
      <c r="M80" s="16">
        <f>IF(K80="","",L80-K80+1)</f>
        <v/>
      </c>
      <c r="N80" s="15" t="n"/>
      <c r="O80" s="15" t="n"/>
    </row>
    <row r="81" ht="22" customHeight="1">
      <c r="B81" s="18">
        <f>IF(C81="","AT-"&amp;TEXT(COUNTA($C$5:C81),"000"))</f>
        <v/>
      </c>
      <c r="C81" s="13" t="n"/>
      <c r="D81" s="13" t="n"/>
      <c r="E81" s="13" t="n"/>
      <c r="F81" s="32" t="n"/>
      <c r="G81" s="13" t="n"/>
      <c r="H81" s="13" t="n"/>
      <c r="I81" s="13" t="n"/>
      <c r="J81" s="13" t="n"/>
      <c r="K81" s="32" t="n"/>
      <c r="L81" s="32" t="n"/>
      <c r="M81" s="14">
        <f>IF(K81="","",L81-K81+1)</f>
        <v/>
      </c>
      <c r="N81" s="13" t="n"/>
      <c r="O81" s="13" t="n"/>
    </row>
    <row r="82" ht="22" customHeight="1">
      <c r="B82" s="17">
        <f>IF(C82="","AT-"&amp;TEXT(COUNTA($C$5:C82),"000"))</f>
        <v/>
      </c>
      <c r="C82" s="15" t="n"/>
      <c r="D82" s="15" t="n"/>
      <c r="E82" s="15" t="n"/>
      <c r="F82" s="33" t="n"/>
      <c r="G82" s="15" t="n"/>
      <c r="H82" s="15" t="n"/>
      <c r="I82" s="15" t="n"/>
      <c r="J82" s="15" t="n"/>
      <c r="K82" s="33" t="n"/>
      <c r="L82" s="33" t="n"/>
      <c r="M82" s="16">
        <f>IF(K82="","",L82-K82+1)</f>
        <v/>
      </c>
      <c r="N82" s="15" t="n"/>
      <c r="O82" s="15" t="n"/>
    </row>
    <row r="83" ht="22" customHeight="1">
      <c r="B83" s="18">
        <f>IF(C83="","AT-"&amp;TEXT(COUNTA($C$5:C83),"000"))</f>
        <v/>
      </c>
      <c r="C83" s="13" t="n"/>
      <c r="D83" s="13" t="n"/>
      <c r="E83" s="13" t="n"/>
      <c r="F83" s="32" t="n"/>
      <c r="G83" s="13" t="n"/>
      <c r="H83" s="13" t="n"/>
      <c r="I83" s="13" t="n"/>
      <c r="J83" s="13" t="n"/>
      <c r="K83" s="32" t="n"/>
      <c r="L83" s="32" t="n"/>
      <c r="M83" s="14">
        <f>IF(K83="","",L83-K83+1)</f>
        <v/>
      </c>
      <c r="N83" s="13" t="n"/>
      <c r="O83" s="13" t="n"/>
    </row>
    <row r="84" ht="22" customHeight="1">
      <c r="B84" s="17">
        <f>IF(C84="","AT-"&amp;TEXT(COUNTA($C$5:C84),"000"))</f>
        <v/>
      </c>
      <c r="C84" s="15" t="n"/>
      <c r="D84" s="15" t="n"/>
      <c r="E84" s="15" t="n"/>
      <c r="F84" s="33" t="n"/>
      <c r="G84" s="15" t="n"/>
      <c r="H84" s="15" t="n"/>
      <c r="I84" s="15" t="n"/>
      <c r="J84" s="15" t="n"/>
      <c r="K84" s="33" t="n"/>
      <c r="L84" s="33" t="n"/>
      <c r="M84" s="16">
        <f>IF(K84="","",L84-K84+1)</f>
        <v/>
      </c>
      <c r="N84" s="15" t="n"/>
      <c r="O84" s="15" t="n"/>
    </row>
    <row r="85" ht="22" customHeight="1">
      <c r="B85" s="18">
        <f>IF(C85="","AT-"&amp;TEXT(COUNTA($C$5:C85),"000"))</f>
        <v/>
      </c>
      <c r="C85" s="13" t="n"/>
      <c r="D85" s="13" t="n"/>
      <c r="E85" s="13" t="n"/>
      <c r="F85" s="32" t="n"/>
      <c r="G85" s="13" t="n"/>
      <c r="H85" s="13" t="n"/>
      <c r="I85" s="13" t="n"/>
      <c r="J85" s="13" t="n"/>
      <c r="K85" s="32" t="n"/>
      <c r="L85" s="32" t="n"/>
      <c r="M85" s="14">
        <f>IF(K85="","",L85-K85+1)</f>
        <v/>
      </c>
      <c r="N85" s="13" t="n"/>
      <c r="O85" s="13" t="n"/>
    </row>
    <row r="86" ht="22" customHeight="1">
      <c r="B86" s="17">
        <f>IF(C86="","AT-"&amp;TEXT(COUNTA($C$5:C86),"000"))</f>
        <v/>
      </c>
      <c r="C86" s="15" t="n"/>
      <c r="D86" s="15" t="n"/>
      <c r="E86" s="15" t="n"/>
      <c r="F86" s="33" t="n"/>
      <c r="G86" s="15" t="n"/>
      <c r="H86" s="15" t="n"/>
      <c r="I86" s="15" t="n"/>
      <c r="J86" s="15" t="n"/>
      <c r="K86" s="33" t="n"/>
      <c r="L86" s="33" t="n"/>
      <c r="M86" s="16">
        <f>IF(K86="","",L86-K86+1)</f>
        <v/>
      </c>
      <c r="N86" s="15" t="n"/>
      <c r="O86" s="15" t="n"/>
    </row>
    <row r="87" ht="22" customHeight="1">
      <c r="B87" s="18">
        <f>IF(C87="","AT-"&amp;TEXT(COUNTA($C$5:C87),"000"))</f>
        <v/>
      </c>
      <c r="C87" s="13" t="n"/>
      <c r="D87" s="13" t="n"/>
      <c r="E87" s="13" t="n"/>
      <c r="F87" s="32" t="n"/>
      <c r="G87" s="13" t="n"/>
      <c r="H87" s="13" t="n"/>
      <c r="I87" s="13" t="n"/>
      <c r="J87" s="13" t="n"/>
      <c r="K87" s="32" t="n"/>
      <c r="L87" s="32" t="n"/>
      <c r="M87" s="14">
        <f>IF(K87="","",L87-K87+1)</f>
        <v/>
      </c>
      <c r="N87" s="13" t="n"/>
      <c r="O87" s="13" t="n"/>
    </row>
    <row r="88" ht="22" customHeight="1">
      <c r="B88" s="17">
        <f>IF(C88="","AT-"&amp;TEXT(COUNTA($C$5:C88),"000"))</f>
        <v/>
      </c>
      <c r="C88" s="15" t="n"/>
      <c r="D88" s="15" t="n"/>
      <c r="E88" s="15" t="n"/>
      <c r="F88" s="33" t="n"/>
      <c r="G88" s="15" t="n"/>
      <c r="H88" s="15" t="n"/>
      <c r="I88" s="15" t="n"/>
      <c r="J88" s="15" t="n"/>
      <c r="K88" s="33" t="n"/>
      <c r="L88" s="33" t="n"/>
      <c r="M88" s="16">
        <f>IF(K88="","",L88-K88+1)</f>
        <v/>
      </c>
      <c r="N88" s="15" t="n"/>
      <c r="O88" s="15" t="n"/>
    </row>
    <row r="89" ht="22" customHeight="1">
      <c r="B89" s="18">
        <f>IF(C89="","AT-"&amp;TEXT(COUNTA($C$5:C89),"000"))</f>
        <v/>
      </c>
      <c r="C89" s="13" t="n"/>
      <c r="D89" s="13" t="n"/>
      <c r="E89" s="13" t="n"/>
      <c r="F89" s="32" t="n"/>
      <c r="G89" s="13" t="n"/>
      <c r="H89" s="13" t="n"/>
      <c r="I89" s="13" t="n"/>
      <c r="J89" s="13" t="n"/>
      <c r="K89" s="32" t="n"/>
      <c r="L89" s="32" t="n"/>
      <c r="M89" s="14">
        <f>IF(K89="","",L89-K89+1)</f>
        <v/>
      </c>
      <c r="N89" s="13" t="n"/>
      <c r="O89" s="13" t="n"/>
    </row>
    <row r="90" ht="22" customHeight="1">
      <c r="B90" s="17">
        <f>IF(C90="","AT-"&amp;TEXT(COUNTA($C$5:C90),"000"))</f>
        <v/>
      </c>
      <c r="C90" s="15" t="n"/>
      <c r="D90" s="15" t="n"/>
      <c r="E90" s="15" t="n"/>
      <c r="F90" s="33" t="n"/>
      <c r="G90" s="15" t="n"/>
      <c r="H90" s="15" t="n"/>
      <c r="I90" s="15" t="n"/>
      <c r="J90" s="15" t="n"/>
      <c r="K90" s="33" t="n"/>
      <c r="L90" s="33" t="n"/>
      <c r="M90" s="16">
        <f>IF(K90="","",L90-K90+1)</f>
        <v/>
      </c>
      <c r="N90" s="15" t="n"/>
      <c r="O90" s="15" t="n"/>
    </row>
    <row r="91" ht="22" customHeight="1">
      <c r="B91" s="18">
        <f>IF(C91="","AT-"&amp;TEXT(COUNTA($C$5:C91),"000"))</f>
        <v/>
      </c>
      <c r="C91" s="13" t="n"/>
      <c r="D91" s="13" t="n"/>
      <c r="E91" s="13" t="n"/>
      <c r="F91" s="32" t="n"/>
      <c r="G91" s="13" t="n"/>
      <c r="H91" s="13" t="n"/>
      <c r="I91" s="13" t="n"/>
      <c r="J91" s="13" t="n"/>
      <c r="K91" s="32" t="n"/>
      <c r="L91" s="32" t="n"/>
      <c r="M91" s="14">
        <f>IF(K91="","",L91-K91+1)</f>
        <v/>
      </c>
      <c r="N91" s="13" t="n"/>
      <c r="O91" s="13" t="n"/>
    </row>
    <row r="92" ht="22" customHeight="1">
      <c r="B92" s="17">
        <f>IF(C92="","AT-"&amp;TEXT(COUNTA($C$5:C92),"000"))</f>
        <v/>
      </c>
      <c r="C92" s="15" t="n"/>
      <c r="D92" s="15" t="n"/>
      <c r="E92" s="15" t="n"/>
      <c r="F92" s="33" t="n"/>
      <c r="G92" s="15" t="n"/>
      <c r="H92" s="15" t="n"/>
      <c r="I92" s="15" t="n"/>
      <c r="J92" s="15" t="n"/>
      <c r="K92" s="33" t="n"/>
      <c r="L92" s="33" t="n"/>
      <c r="M92" s="16">
        <f>IF(K92="","",L92-K92+1)</f>
        <v/>
      </c>
      <c r="N92" s="15" t="n"/>
      <c r="O92" s="15" t="n"/>
    </row>
    <row r="93" ht="22" customHeight="1">
      <c r="B93" s="18">
        <f>IF(C93="","AT-"&amp;TEXT(COUNTA($C$5:C93),"000"))</f>
        <v/>
      </c>
      <c r="C93" s="13" t="n"/>
      <c r="D93" s="13" t="n"/>
      <c r="E93" s="13" t="n"/>
      <c r="F93" s="32" t="n"/>
      <c r="G93" s="13" t="n"/>
      <c r="H93" s="13" t="n"/>
      <c r="I93" s="13" t="n"/>
      <c r="J93" s="13" t="n"/>
      <c r="K93" s="32" t="n"/>
      <c r="L93" s="32" t="n"/>
      <c r="M93" s="14">
        <f>IF(K93="","",L93-K93+1)</f>
        <v/>
      </c>
      <c r="N93" s="13" t="n"/>
      <c r="O93" s="13" t="n"/>
    </row>
    <row r="94" ht="22" customHeight="1">
      <c r="B94" s="17">
        <f>IF(C94="","AT-"&amp;TEXT(COUNTA($C$5:C94),"000"))</f>
        <v/>
      </c>
      <c r="C94" s="15" t="n"/>
      <c r="D94" s="15" t="n"/>
      <c r="E94" s="15" t="n"/>
      <c r="F94" s="33" t="n"/>
      <c r="G94" s="15" t="n"/>
      <c r="H94" s="15" t="n"/>
      <c r="I94" s="15" t="n"/>
      <c r="J94" s="15" t="n"/>
      <c r="K94" s="33" t="n"/>
      <c r="L94" s="33" t="n"/>
      <c r="M94" s="16">
        <f>IF(K94="","",L94-K94+1)</f>
        <v/>
      </c>
      <c r="N94" s="15" t="n"/>
      <c r="O94" s="15" t="n"/>
    </row>
    <row r="95" ht="22" customHeight="1">
      <c r="B95" s="18">
        <f>IF(C95="","AT-"&amp;TEXT(COUNTA($C$5:C95),"000"))</f>
        <v/>
      </c>
      <c r="C95" s="13" t="n"/>
      <c r="D95" s="13" t="n"/>
      <c r="E95" s="13" t="n"/>
      <c r="F95" s="32" t="n"/>
      <c r="G95" s="13" t="n"/>
      <c r="H95" s="13" t="n"/>
      <c r="I95" s="13" t="n"/>
      <c r="J95" s="13" t="n"/>
      <c r="K95" s="32" t="n"/>
      <c r="L95" s="32" t="n"/>
      <c r="M95" s="14">
        <f>IF(K95="","",L95-K95+1)</f>
        <v/>
      </c>
      <c r="N95" s="13" t="n"/>
      <c r="O95" s="13" t="n"/>
    </row>
    <row r="96" ht="22" customHeight="1">
      <c r="B96" s="17">
        <f>IF(C96="","AT-"&amp;TEXT(COUNTA($C$5:C96),"000"))</f>
        <v/>
      </c>
      <c r="C96" s="15" t="n"/>
      <c r="D96" s="15" t="n"/>
      <c r="E96" s="15" t="n"/>
      <c r="F96" s="33" t="n"/>
      <c r="G96" s="15" t="n"/>
      <c r="H96" s="15" t="n"/>
      <c r="I96" s="15" t="n"/>
      <c r="J96" s="15" t="n"/>
      <c r="K96" s="33" t="n"/>
      <c r="L96" s="33" t="n"/>
      <c r="M96" s="16">
        <f>IF(K96="","",L96-K96+1)</f>
        <v/>
      </c>
      <c r="N96" s="15" t="n"/>
      <c r="O96" s="15" t="n"/>
    </row>
    <row r="97" ht="22" customHeight="1">
      <c r="B97" s="18">
        <f>IF(C97="","AT-"&amp;TEXT(COUNTA($C$5:C97),"000"))</f>
        <v/>
      </c>
      <c r="C97" s="13" t="n"/>
      <c r="D97" s="13" t="n"/>
      <c r="E97" s="13" t="n"/>
      <c r="F97" s="32" t="n"/>
      <c r="G97" s="13" t="n"/>
      <c r="H97" s="13" t="n"/>
      <c r="I97" s="13" t="n"/>
      <c r="J97" s="13" t="n"/>
      <c r="K97" s="32" t="n"/>
      <c r="L97" s="32" t="n"/>
      <c r="M97" s="14">
        <f>IF(K97="","",L97-K97+1)</f>
        <v/>
      </c>
      <c r="N97" s="13" t="n"/>
      <c r="O97" s="13" t="n"/>
    </row>
    <row r="98" ht="22" customHeight="1">
      <c r="B98" s="17">
        <f>IF(C98="","AT-"&amp;TEXT(COUNTA($C$5:C98),"000"))</f>
        <v/>
      </c>
      <c r="C98" s="15" t="n"/>
      <c r="D98" s="15" t="n"/>
      <c r="E98" s="15" t="n"/>
      <c r="F98" s="33" t="n"/>
      <c r="G98" s="15" t="n"/>
      <c r="H98" s="15" t="n"/>
      <c r="I98" s="15" t="n"/>
      <c r="J98" s="15" t="n"/>
      <c r="K98" s="33" t="n"/>
      <c r="L98" s="33" t="n"/>
      <c r="M98" s="16">
        <f>IF(K98="","",L98-K98+1)</f>
        <v/>
      </c>
      <c r="N98" s="15" t="n"/>
      <c r="O98" s="15" t="n"/>
    </row>
    <row r="99" ht="22" customHeight="1">
      <c r="B99" s="18">
        <f>IF(C99="","AT-"&amp;TEXT(COUNTA($C$5:C99),"000"))</f>
        <v/>
      </c>
      <c r="C99" s="13" t="n"/>
      <c r="D99" s="13" t="n"/>
      <c r="E99" s="13" t="n"/>
      <c r="F99" s="32" t="n"/>
      <c r="G99" s="13" t="n"/>
      <c r="H99" s="13" t="n"/>
      <c r="I99" s="13" t="n"/>
      <c r="J99" s="13" t="n"/>
      <c r="K99" s="32" t="n"/>
      <c r="L99" s="32" t="n"/>
      <c r="M99" s="14">
        <f>IF(K99="","",L99-K99+1)</f>
        <v/>
      </c>
      <c r="N99" s="13" t="n"/>
      <c r="O99" s="13" t="n"/>
    </row>
    <row r="100" ht="22" customHeight="1">
      <c r="B100" s="17">
        <f>IF(C100="","AT-"&amp;TEXT(COUNTA($C$5:C100),"000"))</f>
        <v/>
      </c>
      <c r="C100" s="15" t="n"/>
      <c r="D100" s="15" t="n"/>
      <c r="E100" s="15" t="n"/>
      <c r="F100" s="33" t="n"/>
      <c r="G100" s="15" t="n"/>
      <c r="H100" s="15" t="n"/>
      <c r="I100" s="15" t="n"/>
      <c r="J100" s="15" t="n"/>
      <c r="K100" s="33" t="n"/>
      <c r="L100" s="33" t="n"/>
      <c r="M100" s="16">
        <f>IF(K100="","",L100-K100+1)</f>
        <v/>
      </c>
      <c r="N100" s="15" t="n"/>
      <c r="O100" s="15" t="n"/>
    </row>
    <row r="101" ht="22" customHeight="1">
      <c r="B101" s="18">
        <f>IF(C101="","AT-"&amp;TEXT(COUNTA($C$5:C101),"000"))</f>
        <v/>
      </c>
      <c r="C101" s="13" t="n"/>
      <c r="D101" s="13" t="n"/>
      <c r="E101" s="13" t="n"/>
      <c r="F101" s="32" t="n"/>
      <c r="G101" s="13" t="n"/>
      <c r="H101" s="13" t="n"/>
      <c r="I101" s="13" t="n"/>
      <c r="J101" s="13" t="n"/>
      <c r="K101" s="32" t="n"/>
      <c r="L101" s="32" t="n"/>
      <c r="M101" s="14">
        <f>IF(K101="","",L101-K101+1)</f>
        <v/>
      </c>
      <c r="N101" s="13" t="n"/>
      <c r="O101" s="13" t="n"/>
    </row>
    <row r="102" ht="22" customHeight="1">
      <c r="B102" s="17">
        <f>IF(C102="","AT-"&amp;TEXT(COUNTA($C$5:C102),"000"))</f>
        <v/>
      </c>
      <c r="C102" s="15" t="n"/>
      <c r="D102" s="15" t="n"/>
      <c r="E102" s="15" t="n"/>
      <c r="F102" s="33" t="n"/>
      <c r="G102" s="15" t="n"/>
      <c r="H102" s="15" t="n"/>
      <c r="I102" s="15" t="n"/>
      <c r="J102" s="15" t="n"/>
      <c r="K102" s="33" t="n"/>
      <c r="L102" s="33" t="n"/>
      <c r="M102" s="16">
        <f>IF(K102="","",L102-K102+1)</f>
        <v/>
      </c>
      <c r="N102" s="15" t="n"/>
      <c r="O102" s="15" t="n"/>
    </row>
    <row r="103" ht="22" customHeight="1">
      <c r="B103" s="18">
        <f>IF(C103="","AT-"&amp;TEXT(COUNTA($C$5:C103),"000"))</f>
        <v/>
      </c>
      <c r="C103" s="13" t="n"/>
      <c r="D103" s="13" t="n"/>
      <c r="E103" s="13" t="n"/>
      <c r="F103" s="32" t="n"/>
      <c r="G103" s="13" t="n"/>
      <c r="H103" s="13" t="n"/>
      <c r="I103" s="13" t="n"/>
      <c r="J103" s="13" t="n"/>
      <c r="K103" s="32" t="n"/>
      <c r="L103" s="32" t="n"/>
      <c r="M103" s="14">
        <f>IF(K103="","",L103-K103+1)</f>
        <v/>
      </c>
      <c r="N103" s="13" t="n"/>
      <c r="O103" s="13" t="n"/>
    </row>
    <row r="104" ht="22" customHeight="1">
      <c r="B104" s="17">
        <f>IF(C104="","AT-"&amp;TEXT(COUNTA($C$5:C104),"000"))</f>
        <v/>
      </c>
      <c r="C104" s="15" t="n"/>
      <c r="D104" s="15" t="n"/>
      <c r="E104" s="15" t="n"/>
      <c r="F104" s="33" t="n"/>
      <c r="G104" s="15" t="n"/>
      <c r="H104" s="15" t="n"/>
      <c r="I104" s="15" t="n"/>
      <c r="J104" s="15" t="n"/>
      <c r="K104" s="33" t="n"/>
      <c r="L104" s="33" t="n"/>
      <c r="M104" s="16">
        <f>IF(K104="","",L104-K104+1)</f>
        <v/>
      </c>
      <c r="N104" s="15" t="n"/>
      <c r="O104" s="15" t="n"/>
    </row>
    <row r="105" ht="22" customHeight="1">
      <c r="B105" s="18">
        <f>IF(C105="","AT-"&amp;TEXT(COUNTA($C$5:C105),"000"))</f>
        <v/>
      </c>
      <c r="C105" s="13" t="n"/>
      <c r="D105" s="13" t="n"/>
      <c r="E105" s="13" t="n"/>
      <c r="F105" s="32" t="n"/>
      <c r="G105" s="13" t="n"/>
      <c r="H105" s="13" t="n"/>
      <c r="I105" s="13" t="n"/>
      <c r="J105" s="13" t="n"/>
      <c r="K105" s="32" t="n"/>
      <c r="L105" s="32" t="n"/>
      <c r="M105" s="14">
        <f>IF(K105="","",L105-K105+1)</f>
        <v/>
      </c>
      <c r="N105" s="13" t="n"/>
      <c r="O105" s="13" t="n"/>
    </row>
    <row r="106" ht="22" customHeight="1">
      <c r="B106" s="17">
        <f>IF(C106="","AT-"&amp;TEXT(COUNTA($C$5:C106),"000"))</f>
        <v/>
      </c>
      <c r="C106" s="15" t="n"/>
      <c r="D106" s="15" t="n"/>
      <c r="E106" s="15" t="n"/>
      <c r="F106" s="33" t="n"/>
      <c r="G106" s="15" t="n"/>
      <c r="H106" s="15" t="n"/>
      <c r="I106" s="15" t="n"/>
      <c r="J106" s="15" t="n"/>
      <c r="K106" s="33" t="n"/>
      <c r="L106" s="33" t="n"/>
      <c r="M106" s="16">
        <f>IF(K106="","",L106-K106+1)</f>
        <v/>
      </c>
      <c r="N106" s="15" t="n"/>
      <c r="O106" s="15" t="n"/>
    </row>
    <row r="107" ht="22" customHeight="1">
      <c r="B107" s="18">
        <f>IF(C107="","AT-"&amp;TEXT(COUNTA($C$5:C107),"000"))</f>
        <v/>
      </c>
      <c r="C107" s="13" t="n"/>
      <c r="D107" s="13" t="n"/>
      <c r="E107" s="13" t="n"/>
      <c r="F107" s="32" t="n"/>
      <c r="G107" s="13" t="n"/>
      <c r="H107" s="13" t="n"/>
      <c r="I107" s="13" t="n"/>
      <c r="J107" s="13" t="n"/>
      <c r="K107" s="32" t="n"/>
      <c r="L107" s="32" t="n"/>
      <c r="M107" s="14">
        <f>IF(K107="","",L107-K107+1)</f>
        <v/>
      </c>
      <c r="N107" s="13" t="n"/>
      <c r="O107" s="13" t="n"/>
    </row>
    <row r="109" ht="26" customHeight="1">
      <c r="B109" s="19" t="inlineStr">
        <is>
          <t>TOTAL</t>
        </is>
      </c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1">
        <f>SUM(M5:M104)</f>
        <v/>
      </c>
      <c r="N109" s="20" t="n"/>
      <c r="O109" s="20" t="n"/>
    </row>
    <row r="111">
      <c r="B111" s="6" t="inlineStr">
        <is>
          <t>INDICATEURS (mis a jour automatiquement)</t>
        </is>
      </c>
    </row>
    <row r="112">
      <c r="B112" s="3" t="inlineStr">
        <is>
          <t>Total AT</t>
        </is>
      </c>
      <c r="D112" s="3" t="inlineStr">
        <is>
          <t>Total jours arret</t>
        </is>
      </c>
      <c r="F112" s="3" t="inlineStr">
        <is>
          <t>Declarations CNPS</t>
        </is>
      </c>
      <c r="H112" s="3" t="inlineStr">
        <is>
          <t>En cours</t>
        </is>
      </c>
    </row>
    <row r="113">
      <c r="B113" s="4">
        <f>COUNTIF(B5:B104,"&lt;&gt;")</f>
        <v/>
      </c>
      <c r="D113" s="4">
        <f>SUM(M5:M104)</f>
        <v/>
      </c>
      <c r="F113" s="4">
        <f>COUNTIF(N5:N104,"Oui")</f>
        <v/>
      </c>
      <c r="H113" s="4">
        <f>COUNTIF(O5:O104,"En cours")</f>
        <v/>
      </c>
    </row>
  </sheetData>
  <mergeCells count="3">
    <mergeCell ref="B3:O3"/>
    <mergeCell ref="B2:O2"/>
    <mergeCell ref="B111:O111"/>
  </mergeCells>
  <conditionalFormatting sqref="O5:O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8:B107">
    <cfRule type="expression" priority="43" dxfId="3">
      <formula>AND($C8="",$C7&lt;&gt;"")</formula>
    </cfRule>
  </conditionalFormatting>
  <conditionalFormatting sqref="C8:C107">
    <cfRule type="expression" priority="44" dxfId="3">
      <formula>AND($C8="",$C7&lt;&gt;"")</formula>
    </cfRule>
  </conditionalFormatting>
  <conditionalFormatting sqref="D8:D107">
    <cfRule type="expression" priority="45" dxfId="3">
      <formula>AND($C8="",$C7&lt;&gt;"")</formula>
    </cfRule>
  </conditionalFormatting>
  <conditionalFormatting sqref="E8:E107">
    <cfRule type="expression" priority="46" dxfId="3">
      <formula>AND($C8="",$C7&lt;&gt;"")</formula>
    </cfRule>
  </conditionalFormatting>
  <conditionalFormatting sqref="F8:F107">
    <cfRule type="expression" priority="47" dxfId="3">
      <formula>AND($C8="",$C7&lt;&gt;"")</formula>
    </cfRule>
  </conditionalFormatting>
  <conditionalFormatting sqref="G8:G107">
    <cfRule type="expression" priority="48" dxfId="3">
      <formula>AND($C8="",$C7&lt;&gt;"")</formula>
    </cfRule>
  </conditionalFormatting>
  <conditionalFormatting sqref="H8:H107">
    <cfRule type="expression" priority="49" dxfId="3">
      <formula>AND($C8="",$C7&lt;&gt;"")</formula>
    </cfRule>
  </conditionalFormatting>
  <conditionalFormatting sqref="I8:I107">
    <cfRule type="expression" priority="50" dxfId="3">
      <formula>AND($C8="",$C7&lt;&gt;"")</formula>
    </cfRule>
  </conditionalFormatting>
  <conditionalFormatting sqref="J8:J107">
    <cfRule type="expression" priority="51" dxfId="3">
      <formula>AND($C8="",$C7&lt;&gt;"")</formula>
    </cfRule>
  </conditionalFormatting>
  <conditionalFormatting sqref="K8:K107">
    <cfRule type="expression" priority="52" dxfId="3">
      <formula>AND($C8="",$C7&lt;&gt;"")</formula>
    </cfRule>
  </conditionalFormatting>
  <conditionalFormatting sqref="L8:L107">
    <cfRule type="expression" priority="53" dxfId="3">
      <formula>AND($C8="",$C7&lt;&gt;"")</formula>
    </cfRule>
  </conditionalFormatting>
  <conditionalFormatting sqref="M8:M107">
    <cfRule type="expression" priority="54" dxfId="3">
      <formula>AND($C8="",$C7&lt;&gt;"")</formula>
    </cfRule>
  </conditionalFormatting>
  <conditionalFormatting sqref="N8:N107">
    <cfRule type="expression" priority="55" dxfId="3">
      <formula>AND($C8="",$C7&lt;&gt;"")</formula>
    </cfRule>
  </conditionalFormatting>
  <conditionalFormatting sqref="O8:O107">
    <cfRule type="expression" priority="56" dxfId="3">
      <formula>AND($C8="",$C7&lt;&gt;"")</formula>
    </cfRule>
  </conditionalFormatting>
  <dataValidations count="3"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I5:I107" showDropDown="0" showInputMessage="0" showErrorMessage="0" allowBlank="1" errorTitle="Erreur" error="Valeur invalide" promptTitle="Liste" prompt="Choisir dans la liste" type="list">
      <formula1>'_Lists'!$P$2:$P$8</formula1>
    </dataValidation>
    <dataValidation sqref="O5:O107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18" customWidth="1" min="5" max="5"/>
    <col width="20" customWidth="1" min="6" max="6"/>
    <col width="22" customWidth="1" min="7" max="7"/>
    <col width="16" customWidth="1" min="8" max="8"/>
    <col width="16" customWidth="1" min="9" max="9"/>
    <col width="14" customWidth="1" min="10" max="10"/>
    <col width="20" customWidth="1" min="11" max="11"/>
    <col width="16" customWidth="1" min="12" max="12"/>
    <col width="14" customWidth="1" min="13" max="13"/>
  </cols>
  <sheetData>
    <row r="1" ht="15" customHeight="1"/>
    <row r="2" ht="32" customHeight="1">
      <c r="B2" s="1" t="inlineStr">
        <is>
          <t>GESTION DES CONGES MATERNITE/PATERNITE (#60)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Type</t>
        </is>
      </c>
      <c r="G4" s="12" t="inlineStr">
        <is>
          <t>Date Prevue Accouchement</t>
        </is>
      </c>
      <c r="H4" s="12" t="inlineStr">
        <is>
          <t>Date Debut Conge</t>
        </is>
      </c>
      <c r="I4" s="12" t="inlineStr">
        <is>
          <t>Date Fin Conge</t>
        </is>
      </c>
      <c r="J4" s="12" t="inlineStr">
        <is>
          <t>Nb Semaines</t>
        </is>
      </c>
      <c r="K4" s="12" t="inlineStr">
        <is>
          <t>Remplacement Prevu</t>
        </is>
      </c>
      <c r="L4" s="12" t="inlineStr">
        <is>
          <t>Visite Reprise</t>
        </is>
      </c>
      <c r="M4" s="12" t="inlineStr">
        <is>
          <t>Statut</t>
        </is>
      </c>
    </row>
    <row r="5" ht="22" customHeight="1">
      <c r="B5" s="13" t="inlineStr">
        <is>
          <t>MP-001</t>
        </is>
      </c>
      <c r="C5" s="13" t="inlineStr">
        <is>
          <t>EMP-006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Conge de maternite</t>
        </is>
      </c>
      <c r="G5" s="32" t="n">
        <v>45884</v>
      </c>
      <c r="H5" s="32" t="n">
        <v>45870</v>
      </c>
      <c r="I5" s="32" t="n">
        <v>45984</v>
      </c>
      <c r="J5" s="14" t="n">
        <v>16</v>
      </c>
      <c r="K5" s="13" t="inlineStr">
        <is>
          <t>Conseiller interim</t>
        </is>
      </c>
      <c r="L5" s="13" t="inlineStr">
        <is>
          <t>Planifiee</t>
        </is>
      </c>
      <c r="M5" s="13" t="inlineStr">
        <is>
          <t>En cours</t>
        </is>
      </c>
    </row>
    <row r="6" ht="22" customHeight="1">
      <c r="B6" s="15" t="inlineStr">
        <is>
          <t>MP-002</t>
        </is>
      </c>
      <c r="C6" s="15" t="inlineStr">
        <is>
          <t>EMP-012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Conge de maternite</t>
        </is>
      </c>
      <c r="G6" s="33" t="n">
        <v>45931</v>
      </c>
      <c r="H6" s="33" t="n">
        <v>45917</v>
      </c>
      <c r="I6" s="33" t="n">
        <v>46029</v>
      </c>
      <c r="J6" s="16" t="n">
        <v>16</v>
      </c>
      <c r="K6" s="15" t="inlineStr">
        <is>
          <t>Receptionniste CDD</t>
        </is>
      </c>
      <c r="L6" s="15" t="inlineStr">
        <is>
          <t>Planifiee</t>
        </is>
      </c>
      <c r="M6" s="15" t="inlineStr">
        <is>
          <t>Planifie</t>
        </is>
      </c>
    </row>
    <row r="7" ht="22" customHeight="1">
      <c r="B7" s="13" t="inlineStr">
        <is>
          <t>MP-003</t>
        </is>
      </c>
      <c r="C7" s="13" t="inlineStr">
        <is>
          <t>EMP-005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Conge de paternite</t>
        </is>
      </c>
      <c r="G7" s="32" t="n">
        <v>45828</v>
      </c>
      <c r="H7" s="32" t="n">
        <v>45828</v>
      </c>
      <c r="I7" s="32" t="n">
        <v>45842</v>
      </c>
      <c r="J7" s="14" t="n">
        <v>2</v>
      </c>
      <c r="K7" s="13" t="inlineStr">
        <is>
          <t>Cuisinier stagiaire</t>
        </is>
      </c>
      <c r="L7" s="13" t="inlineStr">
        <is>
          <t>Non requise</t>
        </is>
      </c>
      <c r="M7" s="13" t="inlineStr">
        <is>
          <t>Termine</t>
        </is>
      </c>
    </row>
    <row r="8" ht="22" customHeight="1">
      <c r="B8" s="17">
        <f>IF(C8="","MP-"&amp;TEXT(COUNTA($C$5:C8),"000"))</f>
        <v/>
      </c>
      <c r="C8" s="15" t="n"/>
      <c r="D8" s="15" t="n"/>
      <c r="E8" s="15" t="n"/>
      <c r="F8" s="15" t="n"/>
      <c r="G8" s="33" t="n"/>
      <c r="H8" s="33" t="n"/>
      <c r="I8" s="33" t="n"/>
      <c r="J8" s="16">
        <f>IF(H8="","",ROUND((I8-H8)/7,0))</f>
        <v/>
      </c>
      <c r="K8" s="15" t="n"/>
      <c r="L8" s="15" t="n"/>
      <c r="M8" s="15" t="n"/>
    </row>
    <row r="9" ht="22" customHeight="1">
      <c r="B9" s="18">
        <f>IF(C9="","MP-"&amp;TEXT(COUNTA($C$5:C9),"000"))</f>
        <v/>
      </c>
      <c r="C9" s="13" t="n"/>
      <c r="D9" s="13" t="n"/>
      <c r="E9" s="13" t="n"/>
      <c r="F9" s="13" t="n"/>
      <c r="G9" s="32" t="n"/>
      <c r="H9" s="32" t="n"/>
      <c r="I9" s="32" t="n"/>
      <c r="J9" s="14">
        <f>IF(H9="","",ROUND((I9-H9)/7,0))</f>
        <v/>
      </c>
      <c r="K9" s="13" t="n"/>
      <c r="L9" s="13" t="n"/>
      <c r="M9" s="13" t="n"/>
    </row>
    <row r="10" ht="22" customHeight="1">
      <c r="B10" s="17">
        <f>IF(C10="","MP-"&amp;TEXT(COUNTA($C$5:C10),"000"))</f>
        <v/>
      </c>
      <c r="C10" s="15" t="n"/>
      <c r="D10" s="15" t="n"/>
      <c r="E10" s="15" t="n"/>
      <c r="F10" s="15" t="n"/>
      <c r="G10" s="33" t="n"/>
      <c r="H10" s="33" t="n"/>
      <c r="I10" s="33" t="n"/>
      <c r="J10" s="16">
        <f>IF(H10="","",ROUND((I10-H10)/7,0))</f>
        <v/>
      </c>
      <c r="K10" s="15" t="n"/>
      <c r="L10" s="15" t="n"/>
      <c r="M10" s="15" t="n"/>
    </row>
    <row r="11" ht="22" customHeight="1">
      <c r="B11" s="18">
        <f>IF(C11="","MP-"&amp;TEXT(COUNTA($C$5:C11),"000"))</f>
        <v/>
      </c>
      <c r="C11" s="13" t="n"/>
      <c r="D11" s="13" t="n"/>
      <c r="E11" s="13" t="n"/>
      <c r="F11" s="13" t="n"/>
      <c r="G11" s="32" t="n"/>
      <c r="H11" s="32" t="n"/>
      <c r="I11" s="32" t="n"/>
      <c r="J11" s="14">
        <f>IF(H11="","",ROUND((I11-H11)/7,0))</f>
        <v/>
      </c>
      <c r="K11" s="13" t="n"/>
      <c r="L11" s="13" t="n"/>
      <c r="M11" s="13" t="n"/>
    </row>
    <row r="12" ht="22" customHeight="1">
      <c r="B12" s="17">
        <f>IF(C12="","MP-"&amp;TEXT(COUNTA($C$5:C12),"000"))</f>
        <v/>
      </c>
      <c r="C12" s="15" t="n"/>
      <c r="D12" s="15" t="n"/>
      <c r="E12" s="15" t="n"/>
      <c r="F12" s="15" t="n"/>
      <c r="G12" s="33" t="n"/>
      <c r="H12" s="33" t="n"/>
      <c r="I12" s="33" t="n"/>
      <c r="J12" s="16">
        <f>IF(H12="","",ROUND((I12-H12)/7,0))</f>
        <v/>
      </c>
      <c r="K12" s="15" t="n"/>
      <c r="L12" s="15" t="n"/>
      <c r="M12" s="15" t="n"/>
    </row>
    <row r="13" ht="22" customHeight="1">
      <c r="B13" s="18">
        <f>IF(C13="","MP-"&amp;TEXT(COUNTA($C$5:C13),"000"))</f>
        <v/>
      </c>
      <c r="C13" s="13" t="n"/>
      <c r="D13" s="13" t="n"/>
      <c r="E13" s="13" t="n"/>
      <c r="F13" s="13" t="n"/>
      <c r="G13" s="32" t="n"/>
      <c r="H13" s="32" t="n"/>
      <c r="I13" s="32" t="n"/>
      <c r="J13" s="14">
        <f>IF(H13="","",ROUND((I13-H13)/7,0))</f>
        <v/>
      </c>
      <c r="K13" s="13" t="n"/>
      <c r="L13" s="13" t="n"/>
      <c r="M13" s="13" t="n"/>
    </row>
    <row r="14" ht="22" customHeight="1">
      <c r="B14" s="17">
        <f>IF(C14="","MP-"&amp;TEXT(COUNTA($C$5:C14),"000"))</f>
        <v/>
      </c>
      <c r="C14" s="15" t="n"/>
      <c r="D14" s="15" t="n"/>
      <c r="E14" s="15" t="n"/>
      <c r="F14" s="15" t="n"/>
      <c r="G14" s="33" t="n"/>
      <c r="H14" s="33" t="n"/>
      <c r="I14" s="33" t="n"/>
      <c r="J14" s="16">
        <f>IF(H14="","",ROUND((I14-H14)/7,0))</f>
        <v/>
      </c>
      <c r="K14" s="15" t="n"/>
      <c r="L14" s="15" t="n"/>
      <c r="M14" s="15" t="n"/>
    </row>
    <row r="15" ht="22" customHeight="1">
      <c r="B15" s="18">
        <f>IF(C15="","MP-"&amp;TEXT(COUNTA($C$5:C15),"000"))</f>
        <v/>
      </c>
      <c r="C15" s="13" t="n"/>
      <c r="D15" s="13" t="n"/>
      <c r="E15" s="13" t="n"/>
      <c r="F15" s="13" t="n"/>
      <c r="G15" s="32" t="n"/>
      <c r="H15" s="32" t="n"/>
      <c r="I15" s="32" t="n"/>
      <c r="J15" s="14">
        <f>IF(H15="","",ROUND((I15-H15)/7,0))</f>
        <v/>
      </c>
      <c r="K15" s="13" t="n"/>
      <c r="L15" s="13" t="n"/>
      <c r="M15" s="13" t="n"/>
    </row>
    <row r="16" ht="22" customHeight="1">
      <c r="B16" s="17">
        <f>IF(C16="","MP-"&amp;TEXT(COUNTA($C$5:C16),"000"))</f>
        <v/>
      </c>
      <c r="C16" s="15" t="n"/>
      <c r="D16" s="15" t="n"/>
      <c r="E16" s="15" t="n"/>
      <c r="F16" s="15" t="n"/>
      <c r="G16" s="33" t="n"/>
      <c r="H16" s="33" t="n"/>
      <c r="I16" s="33" t="n"/>
      <c r="J16" s="16">
        <f>IF(H16="","",ROUND((I16-H16)/7,0))</f>
        <v/>
      </c>
      <c r="K16" s="15" t="n"/>
      <c r="L16" s="15" t="n"/>
      <c r="M16" s="15" t="n"/>
    </row>
    <row r="17" ht="22" customHeight="1">
      <c r="B17" s="18">
        <f>IF(C17="","MP-"&amp;TEXT(COUNTA($C$5:C17),"000"))</f>
        <v/>
      </c>
      <c r="C17" s="13" t="n"/>
      <c r="D17" s="13" t="n"/>
      <c r="E17" s="13" t="n"/>
      <c r="F17" s="13" t="n"/>
      <c r="G17" s="32" t="n"/>
      <c r="H17" s="32" t="n"/>
      <c r="I17" s="32" t="n"/>
      <c r="J17" s="14">
        <f>IF(H17="","",ROUND((I17-H17)/7,0))</f>
        <v/>
      </c>
      <c r="K17" s="13" t="n"/>
      <c r="L17" s="13" t="n"/>
      <c r="M17" s="13" t="n"/>
    </row>
    <row r="18" ht="22" customHeight="1">
      <c r="B18" s="17">
        <f>IF(C18="","MP-"&amp;TEXT(COUNTA($C$5:C18),"000"))</f>
        <v/>
      </c>
      <c r="C18" s="15" t="n"/>
      <c r="D18" s="15" t="n"/>
      <c r="E18" s="15" t="n"/>
      <c r="F18" s="15" t="n"/>
      <c r="G18" s="33" t="n"/>
      <c r="H18" s="33" t="n"/>
      <c r="I18" s="33" t="n"/>
      <c r="J18" s="16">
        <f>IF(H18="","",ROUND((I18-H18)/7,0))</f>
        <v/>
      </c>
      <c r="K18" s="15" t="n"/>
      <c r="L18" s="15" t="n"/>
      <c r="M18" s="15" t="n"/>
    </row>
    <row r="19" ht="22" customHeight="1">
      <c r="B19" s="18">
        <f>IF(C19="","MP-"&amp;TEXT(COUNTA($C$5:C19),"000"))</f>
        <v/>
      </c>
      <c r="C19" s="13" t="n"/>
      <c r="D19" s="13" t="n"/>
      <c r="E19" s="13" t="n"/>
      <c r="F19" s="13" t="n"/>
      <c r="G19" s="32" t="n"/>
      <c r="H19" s="32" t="n"/>
      <c r="I19" s="32" t="n"/>
      <c r="J19" s="14">
        <f>IF(H19="","",ROUND((I19-H19)/7,0))</f>
        <v/>
      </c>
      <c r="K19" s="13" t="n"/>
      <c r="L19" s="13" t="n"/>
      <c r="M19" s="13" t="n"/>
    </row>
    <row r="20" ht="22" customHeight="1">
      <c r="B20" s="17">
        <f>IF(C20="","MP-"&amp;TEXT(COUNTA($C$5:C20),"000"))</f>
        <v/>
      </c>
      <c r="C20" s="15" t="n"/>
      <c r="D20" s="15" t="n"/>
      <c r="E20" s="15" t="n"/>
      <c r="F20" s="15" t="n"/>
      <c r="G20" s="33" t="n"/>
      <c r="H20" s="33" t="n"/>
      <c r="I20" s="33" t="n"/>
      <c r="J20" s="16">
        <f>IF(H20="","",ROUND((I20-H20)/7,0))</f>
        <v/>
      </c>
      <c r="K20" s="15" t="n"/>
      <c r="L20" s="15" t="n"/>
      <c r="M20" s="15" t="n"/>
    </row>
    <row r="21" ht="22" customHeight="1">
      <c r="B21" s="18">
        <f>IF(C21="","MP-"&amp;TEXT(COUNTA($C$5:C21),"000"))</f>
        <v/>
      </c>
      <c r="C21" s="13" t="n"/>
      <c r="D21" s="13" t="n"/>
      <c r="E21" s="13" t="n"/>
      <c r="F21" s="13" t="n"/>
      <c r="G21" s="32" t="n"/>
      <c r="H21" s="32" t="n"/>
      <c r="I21" s="32" t="n"/>
      <c r="J21" s="14">
        <f>IF(H21="","",ROUND((I21-H21)/7,0))</f>
        <v/>
      </c>
      <c r="K21" s="13" t="n"/>
      <c r="L21" s="13" t="n"/>
      <c r="M21" s="13" t="n"/>
    </row>
    <row r="22" ht="22" customHeight="1">
      <c r="B22" s="17">
        <f>IF(C22="","MP-"&amp;TEXT(COUNTA($C$5:C22),"000"))</f>
        <v/>
      </c>
      <c r="C22" s="15" t="n"/>
      <c r="D22" s="15" t="n"/>
      <c r="E22" s="15" t="n"/>
      <c r="F22" s="15" t="n"/>
      <c r="G22" s="33" t="n"/>
      <c r="H22" s="33" t="n"/>
      <c r="I22" s="33" t="n"/>
      <c r="J22" s="16">
        <f>IF(H22="","",ROUND((I22-H22)/7,0))</f>
        <v/>
      </c>
      <c r="K22" s="15" t="n"/>
      <c r="L22" s="15" t="n"/>
      <c r="M22" s="15" t="n"/>
    </row>
    <row r="23" ht="22" customHeight="1">
      <c r="B23" s="18">
        <f>IF(C23="","MP-"&amp;TEXT(COUNTA($C$5:C23),"000"))</f>
        <v/>
      </c>
      <c r="C23" s="13" t="n"/>
      <c r="D23" s="13" t="n"/>
      <c r="E23" s="13" t="n"/>
      <c r="F23" s="13" t="n"/>
      <c r="G23" s="32" t="n"/>
      <c r="H23" s="32" t="n"/>
      <c r="I23" s="32" t="n"/>
      <c r="J23" s="14">
        <f>IF(H23="","",ROUND((I23-H23)/7,0))</f>
        <v/>
      </c>
      <c r="K23" s="13" t="n"/>
      <c r="L23" s="13" t="n"/>
      <c r="M23" s="13" t="n"/>
    </row>
    <row r="24" ht="22" customHeight="1">
      <c r="B24" s="17">
        <f>IF(C24="","MP-"&amp;TEXT(COUNTA($C$5:C24),"000"))</f>
        <v/>
      </c>
      <c r="C24" s="15" t="n"/>
      <c r="D24" s="15" t="n"/>
      <c r="E24" s="15" t="n"/>
      <c r="F24" s="15" t="n"/>
      <c r="G24" s="33" t="n"/>
      <c r="H24" s="33" t="n"/>
      <c r="I24" s="33" t="n"/>
      <c r="J24" s="16">
        <f>IF(H24="","",ROUND((I24-H24)/7,0))</f>
        <v/>
      </c>
      <c r="K24" s="15" t="n"/>
      <c r="L24" s="15" t="n"/>
      <c r="M24" s="15" t="n"/>
    </row>
    <row r="25" ht="22" customHeight="1">
      <c r="B25" s="18">
        <f>IF(C25="","MP-"&amp;TEXT(COUNTA($C$5:C25),"000"))</f>
        <v/>
      </c>
      <c r="C25" s="13" t="n"/>
      <c r="D25" s="13" t="n"/>
      <c r="E25" s="13" t="n"/>
      <c r="F25" s="13" t="n"/>
      <c r="G25" s="32" t="n"/>
      <c r="H25" s="32" t="n"/>
      <c r="I25" s="32" t="n"/>
      <c r="J25" s="14">
        <f>IF(H25="","",ROUND((I25-H25)/7,0))</f>
        <v/>
      </c>
      <c r="K25" s="13" t="n"/>
      <c r="L25" s="13" t="n"/>
      <c r="M25" s="13" t="n"/>
    </row>
    <row r="26" ht="22" customHeight="1">
      <c r="B26" s="17">
        <f>IF(C26="","MP-"&amp;TEXT(COUNTA($C$5:C26),"000"))</f>
        <v/>
      </c>
      <c r="C26" s="15" t="n"/>
      <c r="D26" s="15" t="n"/>
      <c r="E26" s="15" t="n"/>
      <c r="F26" s="15" t="n"/>
      <c r="G26" s="33" t="n"/>
      <c r="H26" s="33" t="n"/>
      <c r="I26" s="33" t="n"/>
      <c r="J26" s="16">
        <f>IF(H26="","",ROUND((I26-H26)/7,0))</f>
        <v/>
      </c>
      <c r="K26" s="15" t="n"/>
      <c r="L26" s="15" t="n"/>
      <c r="M26" s="15" t="n"/>
    </row>
    <row r="27" ht="22" customHeight="1">
      <c r="B27" s="18">
        <f>IF(C27="","MP-"&amp;TEXT(COUNTA($C$5:C27),"000"))</f>
        <v/>
      </c>
      <c r="C27" s="13" t="n"/>
      <c r="D27" s="13" t="n"/>
      <c r="E27" s="13" t="n"/>
      <c r="F27" s="13" t="n"/>
      <c r="G27" s="32" t="n"/>
      <c r="H27" s="32" t="n"/>
      <c r="I27" s="32" t="n"/>
      <c r="J27" s="14">
        <f>IF(H27="","",ROUND((I27-H27)/7,0))</f>
        <v/>
      </c>
      <c r="K27" s="13" t="n"/>
      <c r="L27" s="13" t="n"/>
      <c r="M27" s="13" t="n"/>
    </row>
    <row r="28" ht="22" customHeight="1">
      <c r="B28" s="17">
        <f>IF(C28="","MP-"&amp;TEXT(COUNTA($C$5:C28),"000"))</f>
        <v/>
      </c>
      <c r="C28" s="15" t="n"/>
      <c r="D28" s="15" t="n"/>
      <c r="E28" s="15" t="n"/>
      <c r="F28" s="15" t="n"/>
      <c r="G28" s="33" t="n"/>
      <c r="H28" s="33" t="n"/>
      <c r="I28" s="33" t="n"/>
      <c r="J28" s="16">
        <f>IF(H28="","",ROUND((I28-H28)/7,0))</f>
        <v/>
      </c>
      <c r="K28" s="15" t="n"/>
      <c r="L28" s="15" t="n"/>
      <c r="M28" s="15" t="n"/>
    </row>
    <row r="29" ht="22" customHeight="1">
      <c r="B29" s="18">
        <f>IF(C29="","MP-"&amp;TEXT(COUNTA($C$5:C29),"000"))</f>
        <v/>
      </c>
      <c r="C29" s="13" t="n"/>
      <c r="D29" s="13" t="n"/>
      <c r="E29" s="13" t="n"/>
      <c r="F29" s="13" t="n"/>
      <c r="G29" s="32" t="n"/>
      <c r="H29" s="32" t="n"/>
      <c r="I29" s="32" t="n"/>
      <c r="J29" s="14">
        <f>IF(H29="","",ROUND((I29-H29)/7,0))</f>
        <v/>
      </c>
      <c r="K29" s="13" t="n"/>
      <c r="L29" s="13" t="n"/>
      <c r="M29" s="13" t="n"/>
    </row>
    <row r="30" ht="22" customHeight="1">
      <c r="B30" s="17">
        <f>IF(C30="","MP-"&amp;TEXT(COUNTA($C$5:C30),"000"))</f>
        <v/>
      </c>
      <c r="C30" s="15" t="n"/>
      <c r="D30" s="15" t="n"/>
      <c r="E30" s="15" t="n"/>
      <c r="F30" s="15" t="n"/>
      <c r="G30" s="33" t="n"/>
      <c r="H30" s="33" t="n"/>
      <c r="I30" s="33" t="n"/>
      <c r="J30" s="16">
        <f>IF(H30="","",ROUND((I30-H30)/7,0))</f>
        <v/>
      </c>
      <c r="K30" s="15" t="n"/>
      <c r="L30" s="15" t="n"/>
      <c r="M30" s="15" t="n"/>
    </row>
    <row r="31" ht="22" customHeight="1">
      <c r="B31" s="18">
        <f>IF(C31="","MP-"&amp;TEXT(COUNTA($C$5:C31),"000"))</f>
        <v/>
      </c>
      <c r="C31" s="13" t="n"/>
      <c r="D31" s="13" t="n"/>
      <c r="E31" s="13" t="n"/>
      <c r="F31" s="13" t="n"/>
      <c r="G31" s="32" t="n"/>
      <c r="H31" s="32" t="n"/>
      <c r="I31" s="32" t="n"/>
      <c r="J31" s="14">
        <f>IF(H31="","",ROUND((I31-H31)/7,0))</f>
        <v/>
      </c>
      <c r="K31" s="13" t="n"/>
      <c r="L31" s="13" t="n"/>
      <c r="M31" s="13" t="n"/>
    </row>
    <row r="32" ht="22" customHeight="1">
      <c r="B32" s="17">
        <f>IF(C32="","MP-"&amp;TEXT(COUNTA($C$5:C32),"000"))</f>
        <v/>
      </c>
      <c r="C32" s="15" t="n"/>
      <c r="D32" s="15" t="n"/>
      <c r="E32" s="15" t="n"/>
      <c r="F32" s="15" t="n"/>
      <c r="G32" s="33" t="n"/>
      <c r="H32" s="33" t="n"/>
      <c r="I32" s="33" t="n"/>
      <c r="J32" s="16">
        <f>IF(H32="","",ROUND((I32-H32)/7,0))</f>
        <v/>
      </c>
      <c r="K32" s="15" t="n"/>
      <c r="L32" s="15" t="n"/>
      <c r="M32" s="15" t="n"/>
    </row>
    <row r="33" ht="22" customHeight="1">
      <c r="B33" s="18">
        <f>IF(C33="","MP-"&amp;TEXT(COUNTA($C$5:C33),"000"))</f>
        <v/>
      </c>
      <c r="C33" s="13" t="n"/>
      <c r="D33" s="13" t="n"/>
      <c r="E33" s="13" t="n"/>
      <c r="F33" s="13" t="n"/>
      <c r="G33" s="32" t="n"/>
      <c r="H33" s="32" t="n"/>
      <c r="I33" s="32" t="n"/>
      <c r="J33" s="14">
        <f>IF(H33="","",ROUND((I33-H33)/7,0))</f>
        <v/>
      </c>
      <c r="K33" s="13" t="n"/>
      <c r="L33" s="13" t="n"/>
      <c r="M33" s="13" t="n"/>
    </row>
    <row r="34" ht="22" customHeight="1">
      <c r="B34" s="17">
        <f>IF(C34="","MP-"&amp;TEXT(COUNTA($C$5:C34),"000"))</f>
        <v/>
      </c>
      <c r="C34" s="15" t="n"/>
      <c r="D34" s="15" t="n"/>
      <c r="E34" s="15" t="n"/>
      <c r="F34" s="15" t="n"/>
      <c r="G34" s="33" t="n"/>
      <c r="H34" s="33" t="n"/>
      <c r="I34" s="33" t="n"/>
      <c r="J34" s="16">
        <f>IF(H34="","",ROUND((I34-H34)/7,0))</f>
        <v/>
      </c>
      <c r="K34" s="15" t="n"/>
      <c r="L34" s="15" t="n"/>
      <c r="M34" s="15" t="n"/>
    </row>
    <row r="35" ht="22" customHeight="1">
      <c r="B35" s="18">
        <f>IF(C35="","MP-"&amp;TEXT(COUNTA($C$5:C35),"000"))</f>
        <v/>
      </c>
      <c r="C35" s="13" t="n"/>
      <c r="D35" s="13" t="n"/>
      <c r="E35" s="13" t="n"/>
      <c r="F35" s="13" t="n"/>
      <c r="G35" s="32" t="n"/>
      <c r="H35" s="32" t="n"/>
      <c r="I35" s="32" t="n"/>
      <c r="J35" s="14">
        <f>IF(H35="","",ROUND((I35-H35)/7,0))</f>
        <v/>
      </c>
      <c r="K35" s="13" t="n"/>
      <c r="L35" s="13" t="n"/>
      <c r="M35" s="13" t="n"/>
    </row>
    <row r="36" ht="22" customHeight="1">
      <c r="B36" s="17">
        <f>IF(C36="","MP-"&amp;TEXT(COUNTA($C$5:C36),"000"))</f>
        <v/>
      </c>
      <c r="C36" s="15" t="n"/>
      <c r="D36" s="15" t="n"/>
      <c r="E36" s="15" t="n"/>
      <c r="F36" s="15" t="n"/>
      <c r="G36" s="33" t="n"/>
      <c r="H36" s="33" t="n"/>
      <c r="I36" s="33" t="n"/>
      <c r="J36" s="16">
        <f>IF(H36="","",ROUND((I36-H36)/7,0))</f>
        <v/>
      </c>
      <c r="K36" s="15" t="n"/>
      <c r="L36" s="15" t="n"/>
      <c r="M36" s="15" t="n"/>
    </row>
    <row r="37" ht="22" customHeight="1">
      <c r="B37" s="18">
        <f>IF(C37="","MP-"&amp;TEXT(COUNTA($C$5:C37),"000"))</f>
        <v/>
      </c>
      <c r="C37" s="13" t="n"/>
      <c r="D37" s="13" t="n"/>
      <c r="E37" s="13" t="n"/>
      <c r="F37" s="13" t="n"/>
      <c r="G37" s="32" t="n"/>
      <c r="H37" s="32" t="n"/>
      <c r="I37" s="32" t="n"/>
      <c r="J37" s="14">
        <f>IF(H37="","",ROUND((I37-H37)/7,0))</f>
        <v/>
      </c>
      <c r="K37" s="13" t="n"/>
      <c r="L37" s="13" t="n"/>
      <c r="M37" s="13" t="n"/>
    </row>
    <row r="38" ht="22" customHeight="1">
      <c r="B38" s="17">
        <f>IF(C38="","MP-"&amp;TEXT(COUNTA($C$5:C38),"000"))</f>
        <v/>
      </c>
      <c r="C38" s="15" t="n"/>
      <c r="D38" s="15" t="n"/>
      <c r="E38" s="15" t="n"/>
      <c r="F38" s="15" t="n"/>
      <c r="G38" s="33" t="n"/>
      <c r="H38" s="33" t="n"/>
      <c r="I38" s="33" t="n"/>
      <c r="J38" s="16">
        <f>IF(H38="","",ROUND((I38-H38)/7,0))</f>
        <v/>
      </c>
      <c r="K38" s="15" t="n"/>
      <c r="L38" s="15" t="n"/>
      <c r="M38" s="15" t="n"/>
    </row>
    <row r="39" ht="22" customHeight="1">
      <c r="B39" s="18">
        <f>IF(C39="","MP-"&amp;TEXT(COUNTA($C$5:C39),"000"))</f>
        <v/>
      </c>
      <c r="C39" s="13" t="n"/>
      <c r="D39" s="13" t="n"/>
      <c r="E39" s="13" t="n"/>
      <c r="F39" s="13" t="n"/>
      <c r="G39" s="32" t="n"/>
      <c r="H39" s="32" t="n"/>
      <c r="I39" s="32" t="n"/>
      <c r="J39" s="14">
        <f>IF(H39="","",ROUND((I39-H39)/7,0))</f>
        <v/>
      </c>
      <c r="K39" s="13" t="n"/>
      <c r="L39" s="13" t="n"/>
      <c r="M39" s="13" t="n"/>
    </row>
    <row r="40" ht="22" customHeight="1">
      <c r="B40" s="17">
        <f>IF(C40="","MP-"&amp;TEXT(COUNTA($C$5:C40),"000"))</f>
        <v/>
      </c>
      <c r="C40" s="15" t="n"/>
      <c r="D40" s="15" t="n"/>
      <c r="E40" s="15" t="n"/>
      <c r="F40" s="15" t="n"/>
      <c r="G40" s="33" t="n"/>
      <c r="H40" s="33" t="n"/>
      <c r="I40" s="33" t="n"/>
      <c r="J40" s="16">
        <f>IF(H40="","",ROUND((I40-H40)/7,0))</f>
        <v/>
      </c>
      <c r="K40" s="15" t="n"/>
      <c r="L40" s="15" t="n"/>
      <c r="M40" s="15" t="n"/>
    </row>
    <row r="41" ht="22" customHeight="1">
      <c r="B41" s="18">
        <f>IF(C41="","MP-"&amp;TEXT(COUNTA($C$5:C41),"000"))</f>
        <v/>
      </c>
      <c r="C41" s="13" t="n"/>
      <c r="D41" s="13" t="n"/>
      <c r="E41" s="13" t="n"/>
      <c r="F41" s="13" t="n"/>
      <c r="G41" s="32" t="n"/>
      <c r="H41" s="32" t="n"/>
      <c r="I41" s="32" t="n"/>
      <c r="J41" s="14">
        <f>IF(H41="","",ROUND((I41-H41)/7,0))</f>
        <v/>
      </c>
      <c r="K41" s="13" t="n"/>
      <c r="L41" s="13" t="n"/>
      <c r="M41" s="13" t="n"/>
    </row>
    <row r="42" ht="22" customHeight="1">
      <c r="B42" s="17">
        <f>IF(C42="","MP-"&amp;TEXT(COUNTA($C$5:C42),"000"))</f>
        <v/>
      </c>
      <c r="C42" s="15" t="n"/>
      <c r="D42" s="15" t="n"/>
      <c r="E42" s="15" t="n"/>
      <c r="F42" s="15" t="n"/>
      <c r="G42" s="33" t="n"/>
      <c r="H42" s="33" t="n"/>
      <c r="I42" s="33" t="n"/>
      <c r="J42" s="16">
        <f>IF(H42="","",ROUND((I42-H42)/7,0))</f>
        <v/>
      </c>
      <c r="K42" s="15" t="n"/>
      <c r="L42" s="15" t="n"/>
      <c r="M42" s="15" t="n"/>
    </row>
    <row r="43" ht="22" customHeight="1">
      <c r="B43" s="18">
        <f>IF(C43="","MP-"&amp;TEXT(COUNTA($C$5:C43),"000"))</f>
        <v/>
      </c>
      <c r="C43" s="13" t="n"/>
      <c r="D43" s="13" t="n"/>
      <c r="E43" s="13" t="n"/>
      <c r="F43" s="13" t="n"/>
      <c r="G43" s="32" t="n"/>
      <c r="H43" s="32" t="n"/>
      <c r="I43" s="32" t="n"/>
      <c r="J43" s="14">
        <f>IF(H43="","",ROUND((I43-H43)/7,0))</f>
        <v/>
      </c>
      <c r="K43" s="13" t="n"/>
      <c r="L43" s="13" t="n"/>
      <c r="M43" s="13" t="n"/>
    </row>
    <row r="44" ht="22" customHeight="1">
      <c r="B44" s="17">
        <f>IF(C44="","MP-"&amp;TEXT(COUNTA($C$5:C44),"000"))</f>
        <v/>
      </c>
      <c r="C44" s="15" t="n"/>
      <c r="D44" s="15" t="n"/>
      <c r="E44" s="15" t="n"/>
      <c r="F44" s="15" t="n"/>
      <c r="G44" s="33" t="n"/>
      <c r="H44" s="33" t="n"/>
      <c r="I44" s="33" t="n"/>
      <c r="J44" s="16">
        <f>IF(H44="","",ROUND((I44-H44)/7,0))</f>
        <v/>
      </c>
      <c r="K44" s="15" t="n"/>
      <c r="L44" s="15" t="n"/>
      <c r="M44" s="15" t="n"/>
    </row>
    <row r="45" ht="22" customHeight="1">
      <c r="B45" s="18">
        <f>IF(C45="","MP-"&amp;TEXT(COUNTA($C$5:C45),"000"))</f>
        <v/>
      </c>
      <c r="C45" s="13" t="n"/>
      <c r="D45" s="13" t="n"/>
      <c r="E45" s="13" t="n"/>
      <c r="F45" s="13" t="n"/>
      <c r="G45" s="32" t="n"/>
      <c r="H45" s="32" t="n"/>
      <c r="I45" s="32" t="n"/>
      <c r="J45" s="14">
        <f>IF(H45="","",ROUND((I45-H45)/7,0))</f>
        <v/>
      </c>
      <c r="K45" s="13" t="n"/>
      <c r="L45" s="13" t="n"/>
      <c r="M45" s="13" t="n"/>
    </row>
    <row r="46" ht="22" customHeight="1">
      <c r="B46" s="17">
        <f>IF(C46="","MP-"&amp;TEXT(COUNTA($C$5:C46),"000"))</f>
        <v/>
      </c>
      <c r="C46" s="15" t="n"/>
      <c r="D46" s="15" t="n"/>
      <c r="E46" s="15" t="n"/>
      <c r="F46" s="15" t="n"/>
      <c r="G46" s="33" t="n"/>
      <c r="H46" s="33" t="n"/>
      <c r="I46" s="33" t="n"/>
      <c r="J46" s="16">
        <f>IF(H46="","",ROUND((I46-H46)/7,0))</f>
        <v/>
      </c>
      <c r="K46" s="15" t="n"/>
      <c r="L46" s="15" t="n"/>
      <c r="M46" s="15" t="n"/>
    </row>
    <row r="47" ht="22" customHeight="1">
      <c r="B47" s="18">
        <f>IF(C47="","MP-"&amp;TEXT(COUNTA($C$5:C47),"000"))</f>
        <v/>
      </c>
      <c r="C47" s="13" t="n"/>
      <c r="D47" s="13" t="n"/>
      <c r="E47" s="13" t="n"/>
      <c r="F47" s="13" t="n"/>
      <c r="G47" s="32" t="n"/>
      <c r="H47" s="32" t="n"/>
      <c r="I47" s="32" t="n"/>
      <c r="J47" s="14">
        <f>IF(H47="","",ROUND((I47-H47)/7,0))</f>
        <v/>
      </c>
      <c r="K47" s="13" t="n"/>
      <c r="L47" s="13" t="n"/>
      <c r="M47" s="13" t="n"/>
    </row>
    <row r="48" ht="22" customHeight="1">
      <c r="B48" s="17">
        <f>IF(C48="","MP-"&amp;TEXT(COUNTA($C$5:C48),"000"))</f>
        <v/>
      </c>
      <c r="C48" s="15" t="n"/>
      <c r="D48" s="15" t="n"/>
      <c r="E48" s="15" t="n"/>
      <c r="F48" s="15" t="n"/>
      <c r="G48" s="33" t="n"/>
      <c r="H48" s="33" t="n"/>
      <c r="I48" s="33" t="n"/>
      <c r="J48" s="16">
        <f>IF(H48="","",ROUND((I48-H48)/7,0))</f>
        <v/>
      </c>
      <c r="K48" s="15" t="n"/>
      <c r="L48" s="15" t="n"/>
      <c r="M48" s="15" t="n"/>
    </row>
    <row r="49" ht="22" customHeight="1">
      <c r="B49" s="18">
        <f>IF(C49="","MP-"&amp;TEXT(COUNTA($C$5:C49),"000"))</f>
        <v/>
      </c>
      <c r="C49" s="13" t="n"/>
      <c r="D49" s="13" t="n"/>
      <c r="E49" s="13" t="n"/>
      <c r="F49" s="13" t="n"/>
      <c r="G49" s="32" t="n"/>
      <c r="H49" s="32" t="n"/>
      <c r="I49" s="32" t="n"/>
      <c r="J49" s="14">
        <f>IF(H49="","",ROUND((I49-H49)/7,0))</f>
        <v/>
      </c>
      <c r="K49" s="13" t="n"/>
      <c r="L49" s="13" t="n"/>
      <c r="M49" s="13" t="n"/>
    </row>
    <row r="50" ht="22" customHeight="1">
      <c r="B50" s="17">
        <f>IF(C50="","MP-"&amp;TEXT(COUNTA($C$5:C50),"000"))</f>
        <v/>
      </c>
      <c r="C50" s="15" t="n"/>
      <c r="D50" s="15" t="n"/>
      <c r="E50" s="15" t="n"/>
      <c r="F50" s="15" t="n"/>
      <c r="G50" s="33" t="n"/>
      <c r="H50" s="33" t="n"/>
      <c r="I50" s="33" t="n"/>
      <c r="J50" s="16">
        <f>IF(H50="","",ROUND((I50-H50)/7,0))</f>
        <v/>
      </c>
      <c r="K50" s="15" t="n"/>
      <c r="L50" s="15" t="n"/>
      <c r="M50" s="15" t="n"/>
    </row>
    <row r="51" ht="22" customHeight="1">
      <c r="B51" s="18">
        <f>IF(C51="","MP-"&amp;TEXT(COUNTA($C$5:C51),"000"))</f>
        <v/>
      </c>
      <c r="C51" s="13" t="n"/>
      <c r="D51" s="13" t="n"/>
      <c r="E51" s="13" t="n"/>
      <c r="F51" s="13" t="n"/>
      <c r="G51" s="32" t="n"/>
      <c r="H51" s="32" t="n"/>
      <c r="I51" s="32" t="n"/>
      <c r="J51" s="14">
        <f>IF(H51="","",ROUND((I51-H51)/7,0))</f>
        <v/>
      </c>
      <c r="K51" s="13" t="n"/>
      <c r="L51" s="13" t="n"/>
      <c r="M51" s="13" t="n"/>
    </row>
    <row r="52" ht="22" customHeight="1">
      <c r="B52" s="17">
        <f>IF(C52="","MP-"&amp;TEXT(COUNTA($C$5:C52),"000"))</f>
        <v/>
      </c>
      <c r="C52" s="15" t="n"/>
      <c r="D52" s="15" t="n"/>
      <c r="E52" s="15" t="n"/>
      <c r="F52" s="15" t="n"/>
      <c r="G52" s="33" t="n"/>
      <c r="H52" s="33" t="n"/>
      <c r="I52" s="33" t="n"/>
      <c r="J52" s="16">
        <f>IF(H52="","",ROUND((I52-H52)/7,0))</f>
        <v/>
      </c>
      <c r="K52" s="15" t="n"/>
      <c r="L52" s="15" t="n"/>
      <c r="M52" s="15" t="n"/>
    </row>
    <row r="53" ht="22" customHeight="1">
      <c r="B53" s="18">
        <f>IF(C53="","MP-"&amp;TEXT(COUNTA($C$5:C53),"000"))</f>
        <v/>
      </c>
      <c r="C53" s="13" t="n"/>
      <c r="D53" s="13" t="n"/>
      <c r="E53" s="13" t="n"/>
      <c r="F53" s="13" t="n"/>
      <c r="G53" s="32" t="n"/>
      <c r="H53" s="32" t="n"/>
      <c r="I53" s="32" t="n"/>
      <c r="J53" s="14">
        <f>IF(H53="","",ROUND((I53-H53)/7,0))</f>
        <v/>
      </c>
      <c r="K53" s="13" t="n"/>
      <c r="L53" s="13" t="n"/>
      <c r="M53" s="13" t="n"/>
    </row>
    <row r="54" ht="22" customHeight="1">
      <c r="B54" s="17">
        <f>IF(C54="","MP-"&amp;TEXT(COUNTA($C$5:C54),"000"))</f>
        <v/>
      </c>
      <c r="C54" s="15" t="n"/>
      <c r="D54" s="15" t="n"/>
      <c r="E54" s="15" t="n"/>
      <c r="F54" s="15" t="n"/>
      <c r="G54" s="33" t="n"/>
      <c r="H54" s="33" t="n"/>
      <c r="I54" s="33" t="n"/>
      <c r="J54" s="16">
        <f>IF(H54="","",ROUND((I54-H54)/7,0))</f>
        <v/>
      </c>
      <c r="K54" s="15" t="n"/>
      <c r="L54" s="15" t="n"/>
      <c r="M54" s="15" t="n"/>
    </row>
    <row r="55" ht="22" customHeight="1">
      <c r="B55" s="18">
        <f>IF(C55="","MP-"&amp;TEXT(COUNTA($C$5:C55),"000"))</f>
        <v/>
      </c>
      <c r="C55" s="13" t="n"/>
      <c r="D55" s="13" t="n"/>
      <c r="E55" s="13" t="n"/>
      <c r="F55" s="13" t="n"/>
      <c r="G55" s="32" t="n"/>
      <c r="H55" s="32" t="n"/>
      <c r="I55" s="32" t="n"/>
      <c r="J55" s="14">
        <f>IF(H55="","",ROUND((I55-H55)/7,0))</f>
        <v/>
      </c>
      <c r="K55" s="13" t="n"/>
      <c r="L55" s="13" t="n"/>
      <c r="M55" s="13" t="n"/>
    </row>
    <row r="56" ht="22" customHeight="1">
      <c r="B56" s="17">
        <f>IF(C56="","MP-"&amp;TEXT(COUNTA($C$5:C56),"000"))</f>
        <v/>
      </c>
      <c r="C56" s="15" t="n"/>
      <c r="D56" s="15" t="n"/>
      <c r="E56" s="15" t="n"/>
      <c r="F56" s="15" t="n"/>
      <c r="G56" s="33" t="n"/>
      <c r="H56" s="33" t="n"/>
      <c r="I56" s="33" t="n"/>
      <c r="J56" s="16">
        <f>IF(H56="","",ROUND((I56-H56)/7,0))</f>
        <v/>
      </c>
      <c r="K56" s="15" t="n"/>
      <c r="L56" s="15" t="n"/>
      <c r="M56" s="15" t="n"/>
    </row>
    <row r="57" ht="22" customHeight="1">
      <c r="B57" s="18">
        <f>IF(C57="","MP-"&amp;TEXT(COUNTA($C$5:C57),"000"))</f>
        <v/>
      </c>
      <c r="C57" s="13" t="n"/>
      <c r="D57" s="13" t="n"/>
      <c r="E57" s="13" t="n"/>
      <c r="F57" s="13" t="n"/>
      <c r="G57" s="32" t="n"/>
      <c r="H57" s="32" t="n"/>
      <c r="I57" s="32" t="n"/>
      <c r="J57" s="14">
        <f>IF(H57="","",ROUND((I57-H57)/7,0))</f>
        <v/>
      </c>
      <c r="K57" s="13" t="n"/>
      <c r="L57" s="13" t="n"/>
      <c r="M57" s="13" t="n"/>
    </row>
    <row r="58" ht="22" customHeight="1">
      <c r="B58" s="17">
        <f>IF(C58="","MP-"&amp;TEXT(COUNTA($C$5:C58),"000"))</f>
        <v/>
      </c>
      <c r="C58" s="15" t="n"/>
      <c r="D58" s="15" t="n"/>
      <c r="E58" s="15" t="n"/>
      <c r="F58" s="15" t="n"/>
      <c r="G58" s="33" t="n"/>
      <c r="H58" s="33" t="n"/>
      <c r="I58" s="33" t="n"/>
      <c r="J58" s="16">
        <f>IF(H58="","",ROUND((I58-H58)/7,0))</f>
        <v/>
      </c>
      <c r="K58" s="15" t="n"/>
      <c r="L58" s="15" t="n"/>
      <c r="M58" s="15" t="n"/>
    </row>
    <row r="59" ht="22" customHeight="1">
      <c r="B59" s="18">
        <f>IF(C59="","MP-"&amp;TEXT(COUNTA($C$5:C59),"000"))</f>
        <v/>
      </c>
      <c r="C59" s="13" t="n"/>
      <c r="D59" s="13" t="n"/>
      <c r="E59" s="13" t="n"/>
      <c r="F59" s="13" t="n"/>
      <c r="G59" s="32" t="n"/>
      <c r="H59" s="32" t="n"/>
      <c r="I59" s="32" t="n"/>
      <c r="J59" s="14">
        <f>IF(H59="","",ROUND((I59-H59)/7,0))</f>
        <v/>
      </c>
      <c r="K59" s="13" t="n"/>
      <c r="L59" s="13" t="n"/>
      <c r="M59" s="13" t="n"/>
    </row>
    <row r="60" ht="22" customHeight="1">
      <c r="B60" s="17">
        <f>IF(C60="","MP-"&amp;TEXT(COUNTA($C$5:C60),"000"))</f>
        <v/>
      </c>
      <c r="C60" s="15" t="n"/>
      <c r="D60" s="15" t="n"/>
      <c r="E60" s="15" t="n"/>
      <c r="F60" s="15" t="n"/>
      <c r="G60" s="33" t="n"/>
      <c r="H60" s="33" t="n"/>
      <c r="I60" s="33" t="n"/>
      <c r="J60" s="16">
        <f>IF(H60="","",ROUND((I60-H60)/7,0))</f>
        <v/>
      </c>
      <c r="K60" s="15" t="n"/>
      <c r="L60" s="15" t="n"/>
      <c r="M60" s="15" t="n"/>
    </row>
    <row r="61" ht="22" customHeight="1">
      <c r="B61" s="18">
        <f>IF(C61="","MP-"&amp;TEXT(COUNTA($C$5:C61),"000"))</f>
        <v/>
      </c>
      <c r="C61" s="13" t="n"/>
      <c r="D61" s="13" t="n"/>
      <c r="E61" s="13" t="n"/>
      <c r="F61" s="13" t="n"/>
      <c r="G61" s="32" t="n"/>
      <c r="H61" s="32" t="n"/>
      <c r="I61" s="32" t="n"/>
      <c r="J61" s="14">
        <f>IF(H61="","",ROUND((I61-H61)/7,0))</f>
        <v/>
      </c>
      <c r="K61" s="13" t="n"/>
      <c r="L61" s="13" t="n"/>
      <c r="M61" s="13" t="n"/>
    </row>
    <row r="62" ht="22" customHeight="1">
      <c r="B62" s="17">
        <f>IF(C62="","MP-"&amp;TEXT(COUNTA($C$5:C62),"000"))</f>
        <v/>
      </c>
      <c r="C62" s="15" t="n"/>
      <c r="D62" s="15" t="n"/>
      <c r="E62" s="15" t="n"/>
      <c r="F62" s="15" t="n"/>
      <c r="G62" s="33" t="n"/>
      <c r="H62" s="33" t="n"/>
      <c r="I62" s="33" t="n"/>
      <c r="J62" s="16">
        <f>IF(H62="","",ROUND((I62-H62)/7,0))</f>
        <v/>
      </c>
      <c r="K62" s="15" t="n"/>
      <c r="L62" s="15" t="n"/>
      <c r="M62" s="15" t="n"/>
    </row>
    <row r="63" ht="22" customHeight="1">
      <c r="B63" s="18">
        <f>IF(C63="","MP-"&amp;TEXT(COUNTA($C$5:C63),"000"))</f>
        <v/>
      </c>
      <c r="C63" s="13" t="n"/>
      <c r="D63" s="13" t="n"/>
      <c r="E63" s="13" t="n"/>
      <c r="F63" s="13" t="n"/>
      <c r="G63" s="32" t="n"/>
      <c r="H63" s="32" t="n"/>
      <c r="I63" s="32" t="n"/>
      <c r="J63" s="14">
        <f>IF(H63="","",ROUND((I63-H63)/7,0))</f>
        <v/>
      </c>
      <c r="K63" s="13" t="n"/>
      <c r="L63" s="13" t="n"/>
      <c r="M63" s="13" t="n"/>
    </row>
    <row r="64" ht="22" customHeight="1">
      <c r="B64" s="17">
        <f>IF(C64="","MP-"&amp;TEXT(COUNTA($C$5:C64),"000"))</f>
        <v/>
      </c>
      <c r="C64" s="15" t="n"/>
      <c r="D64" s="15" t="n"/>
      <c r="E64" s="15" t="n"/>
      <c r="F64" s="15" t="n"/>
      <c r="G64" s="33" t="n"/>
      <c r="H64" s="33" t="n"/>
      <c r="I64" s="33" t="n"/>
      <c r="J64" s="16">
        <f>IF(H64="","",ROUND((I64-H64)/7,0))</f>
        <v/>
      </c>
      <c r="K64" s="15" t="n"/>
      <c r="L64" s="15" t="n"/>
      <c r="M64" s="15" t="n"/>
    </row>
    <row r="65" ht="22" customHeight="1">
      <c r="B65" s="18">
        <f>IF(C65="","MP-"&amp;TEXT(COUNTA($C$5:C65),"000"))</f>
        <v/>
      </c>
      <c r="C65" s="13" t="n"/>
      <c r="D65" s="13" t="n"/>
      <c r="E65" s="13" t="n"/>
      <c r="F65" s="13" t="n"/>
      <c r="G65" s="32" t="n"/>
      <c r="H65" s="32" t="n"/>
      <c r="I65" s="32" t="n"/>
      <c r="J65" s="14">
        <f>IF(H65="","",ROUND((I65-H65)/7,0))</f>
        <v/>
      </c>
      <c r="K65" s="13" t="n"/>
      <c r="L65" s="13" t="n"/>
      <c r="M65" s="13" t="n"/>
    </row>
    <row r="66" ht="22" customHeight="1">
      <c r="B66" s="17">
        <f>IF(C66="","MP-"&amp;TEXT(COUNTA($C$5:C66),"000"))</f>
        <v/>
      </c>
      <c r="C66" s="15" t="n"/>
      <c r="D66" s="15" t="n"/>
      <c r="E66" s="15" t="n"/>
      <c r="F66" s="15" t="n"/>
      <c r="G66" s="33" t="n"/>
      <c r="H66" s="33" t="n"/>
      <c r="I66" s="33" t="n"/>
      <c r="J66" s="16">
        <f>IF(H66="","",ROUND((I66-H66)/7,0))</f>
        <v/>
      </c>
      <c r="K66" s="15" t="n"/>
      <c r="L66" s="15" t="n"/>
      <c r="M66" s="15" t="n"/>
    </row>
    <row r="67" ht="22" customHeight="1">
      <c r="B67" s="18">
        <f>IF(C67="","MP-"&amp;TEXT(COUNTA($C$5:C67),"000"))</f>
        <v/>
      </c>
      <c r="C67" s="13" t="n"/>
      <c r="D67" s="13" t="n"/>
      <c r="E67" s="13" t="n"/>
      <c r="F67" s="13" t="n"/>
      <c r="G67" s="32" t="n"/>
      <c r="H67" s="32" t="n"/>
      <c r="I67" s="32" t="n"/>
      <c r="J67" s="14">
        <f>IF(H67="","",ROUND((I67-H67)/7,0))</f>
        <v/>
      </c>
      <c r="K67" s="13" t="n"/>
      <c r="L67" s="13" t="n"/>
      <c r="M67" s="13" t="n"/>
    </row>
    <row r="68" ht="22" customHeight="1">
      <c r="B68" s="17">
        <f>IF(C68="","MP-"&amp;TEXT(COUNTA($C$5:C68),"000"))</f>
        <v/>
      </c>
      <c r="C68" s="15" t="n"/>
      <c r="D68" s="15" t="n"/>
      <c r="E68" s="15" t="n"/>
      <c r="F68" s="15" t="n"/>
      <c r="G68" s="33" t="n"/>
      <c r="H68" s="33" t="n"/>
      <c r="I68" s="33" t="n"/>
      <c r="J68" s="16">
        <f>IF(H68="","",ROUND((I68-H68)/7,0))</f>
        <v/>
      </c>
      <c r="K68" s="15" t="n"/>
      <c r="L68" s="15" t="n"/>
      <c r="M68" s="15" t="n"/>
    </row>
    <row r="69" ht="22" customHeight="1">
      <c r="B69" s="18">
        <f>IF(C69="","MP-"&amp;TEXT(COUNTA($C$5:C69),"000"))</f>
        <v/>
      </c>
      <c r="C69" s="13" t="n"/>
      <c r="D69" s="13" t="n"/>
      <c r="E69" s="13" t="n"/>
      <c r="F69" s="13" t="n"/>
      <c r="G69" s="32" t="n"/>
      <c r="H69" s="32" t="n"/>
      <c r="I69" s="32" t="n"/>
      <c r="J69" s="14">
        <f>IF(H69="","",ROUND((I69-H69)/7,0))</f>
        <v/>
      </c>
      <c r="K69" s="13" t="n"/>
      <c r="L69" s="13" t="n"/>
      <c r="M69" s="13" t="n"/>
    </row>
    <row r="70" ht="22" customHeight="1">
      <c r="B70" s="17">
        <f>IF(C70="","MP-"&amp;TEXT(COUNTA($C$5:C70),"000"))</f>
        <v/>
      </c>
      <c r="C70" s="15" t="n"/>
      <c r="D70" s="15" t="n"/>
      <c r="E70" s="15" t="n"/>
      <c r="F70" s="15" t="n"/>
      <c r="G70" s="33" t="n"/>
      <c r="H70" s="33" t="n"/>
      <c r="I70" s="33" t="n"/>
      <c r="J70" s="16">
        <f>IF(H70="","",ROUND((I70-H70)/7,0))</f>
        <v/>
      </c>
      <c r="K70" s="15" t="n"/>
      <c r="L70" s="15" t="n"/>
      <c r="M70" s="15" t="n"/>
    </row>
    <row r="71" ht="22" customHeight="1">
      <c r="B71" s="18">
        <f>IF(C71="","MP-"&amp;TEXT(COUNTA($C$5:C71),"000"))</f>
        <v/>
      </c>
      <c r="C71" s="13" t="n"/>
      <c r="D71" s="13" t="n"/>
      <c r="E71" s="13" t="n"/>
      <c r="F71" s="13" t="n"/>
      <c r="G71" s="32" t="n"/>
      <c r="H71" s="32" t="n"/>
      <c r="I71" s="32" t="n"/>
      <c r="J71" s="14">
        <f>IF(H71="","",ROUND((I71-H71)/7,0))</f>
        <v/>
      </c>
      <c r="K71" s="13" t="n"/>
      <c r="L71" s="13" t="n"/>
      <c r="M71" s="13" t="n"/>
    </row>
    <row r="72" ht="22" customHeight="1">
      <c r="B72" s="17">
        <f>IF(C72="","MP-"&amp;TEXT(COUNTA($C$5:C72),"000"))</f>
        <v/>
      </c>
      <c r="C72" s="15" t="n"/>
      <c r="D72" s="15" t="n"/>
      <c r="E72" s="15" t="n"/>
      <c r="F72" s="15" t="n"/>
      <c r="G72" s="33" t="n"/>
      <c r="H72" s="33" t="n"/>
      <c r="I72" s="33" t="n"/>
      <c r="J72" s="16">
        <f>IF(H72="","",ROUND((I72-H72)/7,0))</f>
        <v/>
      </c>
      <c r="K72" s="15" t="n"/>
      <c r="L72" s="15" t="n"/>
      <c r="M72" s="15" t="n"/>
    </row>
    <row r="73" ht="22" customHeight="1">
      <c r="B73" s="18">
        <f>IF(C73="","MP-"&amp;TEXT(COUNTA($C$5:C73),"000"))</f>
        <v/>
      </c>
      <c r="C73" s="13" t="n"/>
      <c r="D73" s="13" t="n"/>
      <c r="E73" s="13" t="n"/>
      <c r="F73" s="13" t="n"/>
      <c r="G73" s="32" t="n"/>
      <c r="H73" s="32" t="n"/>
      <c r="I73" s="32" t="n"/>
      <c r="J73" s="14">
        <f>IF(H73="","",ROUND((I73-H73)/7,0))</f>
        <v/>
      </c>
      <c r="K73" s="13" t="n"/>
      <c r="L73" s="13" t="n"/>
      <c r="M73" s="13" t="n"/>
    </row>
    <row r="74" ht="22" customHeight="1">
      <c r="B74" s="17">
        <f>IF(C74="","MP-"&amp;TEXT(COUNTA($C$5:C74),"000"))</f>
        <v/>
      </c>
      <c r="C74" s="15" t="n"/>
      <c r="D74" s="15" t="n"/>
      <c r="E74" s="15" t="n"/>
      <c r="F74" s="15" t="n"/>
      <c r="G74" s="33" t="n"/>
      <c r="H74" s="33" t="n"/>
      <c r="I74" s="33" t="n"/>
      <c r="J74" s="16">
        <f>IF(H74="","",ROUND((I74-H74)/7,0))</f>
        <v/>
      </c>
      <c r="K74" s="15" t="n"/>
      <c r="L74" s="15" t="n"/>
      <c r="M74" s="15" t="n"/>
    </row>
    <row r="75" ht="22" customHeight="1">
      <c r="B75" s="18">
        <f>IF(C75="","MP-"&amp;TEXT(COUNTA($C$5:C75),"000"))</f>
        <v/>
      </c>
      <c r="C75" s="13" t="n"/>
      <c r="D75" s="13" t="n"/>
      <c r="E75" s="13" t="n"/>
      <c r="F75" s="13" t="n"/>
      <c r="G75" s="32" t="n"/>
      <c r="H75" s="32" t="n"/>
      <c r="I75" s="32" t="n"/>
      <c r="J75" s="14">
        <f>IF(H75="","",ROUND((I75-H75)/7,0))</f>
        <v/>
      </c>
      <c r="K75" s="13" t="n"/>
      <c r="L75" s="13" t="n"/>
      <c r="M75" s="13" t="n"/>
    </row>
    <row r="76" ht="22" customHeight="1">
      <c r="B76" s="17">
        <f>IF(C76="","MP-"&amp;TEXT(COUNTA($C$5:C76),"000"))</f>
        <v/>
      </c>
      <c r="C76" s="15" t="n"/>
      <c r="D76" s="15" t="n"/>
      <c r="E76" s="15" t="n"/>
      <c r="F76" s="15" t="n"/>
      <c r="G76" s="33" t="n"/>
      <c r="H76" s="33" t="n"/>
      <c r="I76" s="33" t="n"/>
      <c r="J76" s="16">
        <f>IF(H76="","",ROUND((I76-H76)/7,0))</f>
        <v/>
      </c>
      <c r="K76" s="15" t="n"/>
      <c r="L76" s="15" t="n"/>
      <c r="M76" s="15" t="n"/>
    </row>
    <row r="77" ht="22" customHeight="1">
      <c r="B77" s="18">
        <f>IF(C77="","MP-"&amp;TEXT(COUNTA($C$5:C77),"000"))</f>
        <v/>
      </c>
      <c r="C77" s="13" t="n"/>
      <c r="D77" s="13" t="n"/>
      <c r="E77" s="13" t="n"/>
      <c r="F77" s="13" t="n"/>
      <c r="G77" s="32" t="n"/>
      <c r="H77" s="32" t="n"/>
      <c r="I77" s="32" t="n"/>
      <c r="J77" s="14">
        <f>IF(H77="","",ROUND((I77-H77)/7,0))</f>
        <v/>
      </c>
      <c r="K77" s="13" t="n"/>
      <c r="L77" s="13" t="n"/>
      <c r="M77" s="13" t="n"/>
    </row>
    <row r="78" ht="22" customHeight="1">
      <c r="B78" s="17">
        <f>IF(C78="","MP-"&amp;TEXT(COUNTA($C$5:C78),"000"))</f>
        <v/>
      </c>
      <c r="C78" s="15" t="n"/>
      <c r="D78" s="15" t="n"/>
      <c r="E78" s="15" t="n"/>
      <c r="F78" s="15" t="n"/>
      <c r="G78" s="33" t="n"/>
      <c r="H78" s="33" t="n"/>
      <c r="I78" s="33" t="n"/>
      <c r="J78" s="16">
        <f>IF(H78="","",ROUND((I78-H78)/7,0))</f>
        <v/>
      </c>
      <c r="K78" s="15" t="n"/>
      <c r="L78" s="15" t="n"/>
      <c r="M78" s="15" t="n"/>
    </row>
    <row r="79" ht="22" customHeight="1">
      <c r="B79" s="18">
        <f>IF(C79="","MP-"&amp;TEXT(COUNTA($C$5:C79),"000"))</f>
        <v/>
      </c>
      <c r="C79" s="13" t="n"/>
      <c r="D79" s="13" t="n"/>
      <c r="E79" s="13" t="n"/>
      <c r="F79" s="13" t="n"/>
      <c r="G79" s="32" t="n"/>
      <c r="H79" s="32" t="n"/>
      <c r="I79" s="32" t="n"/>
      <c r="J79" s="14">
        <f>IF(H79="","",ROUND((I79-H79)/7,0))</f>
        <v/>
      </c>
      <c r="K79" s="13" t="n"/>
      <c r="L79" s="13" t="n"/>
      <c r="M79" s="13" t="n"/>
    </row>
    <row r="80" ht="22" customHeight="1">
      <c r="B80" s="17">
        <f>IF(C80="","MP-"&amp;TEXT(COUNTA($C$5:C80),"000"))</f>
        <v/>
      </c>
      <c r="C80" s="15" t="n"/>
      <c r="D80" s="15" t="n"/>
      <c r="E80" s="15" t="n"/>
      <c r="F80" s="15" t="n"/>
      <c r="G80" s="33" t="n"/>
      <c r="H80" s="33" t="n"/>
      <c r="I80" s="33" t="n"/>
      <c r="J80" s="16">
        <f>IF(H80="","",ROUND((I80-H80)/7,0))</f>
        <v/>
      </c>
      <c r="K80" s="15" t="n"/>
      <c r="L80" s="15" t="n"/>
      <c r="M80" s="15" t="n"/>
    </row>
    <row r="81" ht="22" customHeight="1">
      <c r="B81" s="18">
        <f>IF(C81="","MP-"&amp;TEXT(COUNTA($C$5:C81),"000"))</f>
        <v/>
      </c>
      <c r="C81" s="13" t="n"/>
      <c r="D81" s="13" t="n"/>
      <c r="E81" s="13" t="n"/>
      <c r="F81" s="13" t="n"/>
      <c r="G81" s="32" t="n"/>
      <c r="H81" s="32" t="n"/>
      <c r="I81" s="32" t="n"/>
      <c r="J81" s="14">
        <f>IF(H81="","",ROUND((I81-H81)/7,0))</f>
        <v/>
      </c>
      <c r="K81" s="13" t="n"/>
      <c r="L81" s="13" t="n"/>
      <c r="M81" s="13" t="n"/>
    </row>
    <row r="82" ht="22" customHeight="1">
      <c r="B82" s="17">
        <f>IF(C82="","MP-"&amp;TEXT(COUNTA($C$5:C82),"000"))</f>
        <v/>
      </c>
      <c r="C82" s="15" t="n"/>
      <c r="D82" s="15" t="n"/>
      <c r="E82" s="15" t="n"/>
      <c r="F82" s="15" t="n"/>
      <c r="G82" s="33" t="n"/>
      <c r="H82" s="33" t="n"/>
      <c r="I82" s="33" t="n"/>
      <c r="J82" s="16">
        <f>IF(H82="","",ROUND((I82-H82)/7,0))</f>
        <v/>
      </c>
      <c r="K82" s="15" t="n"/>
      <c r="L82" s="15" t="n"/>
      <c r="M82" s="15" t="n"/>
    </row>
    <row r="83" ht="22" customHeight="1">
      <c r="B83" s="18">
        <f>IF(C83="","MP-"&amp;TEXT(COUNTA($C$5:C83),"000"))</f>
        <v/>
      </c>
      <c r="C83" s="13" t="n"/>
      <c r="D83" s="13" t="n"/>
      <c r="E83" s="13" t="n"/>
      <c r="F83" s="13" t="n"/>
      <c r="G83" s="32" t="n"/>
      <c r="H83" s="32" t="n"/>
      <c r="I83" s="32" t="n"/>
      <c r="J83" s="14">
        <f>IF(H83="","",ROUND((I83-H83)/7,0))</f>
        <v/>
      </c>
      <c r="K83" s="13" t="n"/>
      <c r="L83" s="13" t="n"/>
      <c r="M83" s="13" t="n"/>
    </row>
    <row r="84" ht="22" customHeight="1">
      <c r="B84" s="17">
        <f>IF(C84="","MP-"&amp;TEXT(COUNTA($C$5:C84),"000"))</f>
        <v/>
      </c>
      <c r="C84" s="15" t="n"/>
      <c r="D84" s="15" t="n"/>
      <c r="E84" s="15" t="n"/>
      <c r="F84" s="15" t="n"/>
      <c r="G84" s="33" t="n"/>
      <c r="H84" s="33" t="n"/>
      <c r="I84" s="33" t="n"/>
      <c r="J84" s="16">
        <f>IF(H84="","",ROUND((I84-H84)/7,0))</f>
        <v/>
      </c>
      <c r="K84" s="15" t="n"/>
      <c r="L84" s="15" t="n"/>
      <c r="M84" s="15" t="n"/>
    </row>
    <row r="85" ht="22" customHeight="1">
      <c r="B85" s="18">
        <f>IF(C85="","MP-"&amp;TEXT(COUNTA($C$5:C85),"000"))</f>
        <v/>
      </c>
      <c r="C85" s="13" t="n"/>
      <c r="D85" s="13" t="n"/>
      <c r="E85" s="13" t="n"/>
      <c r="F85" s="13" t="n"/>
      <c r="G85" s="32" t="n"/>
      <c r="H85" s="32" t="n"/>
      <c r="I85" s="32" t="n"/>
      <c r="J85" s="14">
        <f>IF(H85="","",ROUND((I85-H85)/7,0))</f>
        <v/>
      </c>
      <c r="K85" s="13" t="n"/>
      <c r="L85" s="13" t="n"/>
      <c r="M85" s="13" t="n"/>
    </row>
    <row r="86" ht="22" customHeight="1">
      <c r="B86" s="17">
        <f>IF(C86="","MP-"&amp;TEXT(COUNTA($C$5:C86),"000"))</f>
        <v/>
      </c>
      <c r="C86" s="15" t="n"/>
      <c r="D86" s="15" t="n"/>
      <c r="E86" s="15" t="n"/>
      <c r="F86" s="15" t="n"/>
      <c r="G86" s="33" t="n"/>
      <c r="H86" s="33" t="n"/>
      <c r="I86" s="33" t="n"/>
      <c r="J86" s="16">
        <f>IF(H86="","",ROUND((I86-H86)/7,0))</f>
        <v/>
      </c>
      <c r="K86" s="15" t="n"/>
      <c r="L86" s="15" t="n"/>
      <c r="M86" s="15" t="n"/>
    </row>
    <row r="87" ht="22" customHeight="1">
      <c r="B87" s="18">
        <f>IF(C87="","MP-"&amp;TEXT(COUNTA($C$5:C87),"000"))</f>
        <v/>
      </c>
      <c r="C87" s="13" t="n"/>
      <c r="D87" s="13" t="n"/>
      <c r="E87" s="13" t="n"/>
      <c r="F87" s="13" t="n"/>
      <c r="G87" s="32" t="n"/>
      <c r="H87" s="32" t="n"/>
      <c r="I87" s="32" t="n"/>
      <c r="J87" s="14">
        <f>IF(H87="","",ROUND((I87-H87)/7,0))</f>
        <v/>
      </c>
      <c r="K87" s="13" t="n"/>
      <c r="L87" s="13" t="n"/>
      <c r="M87" s="13" t="n"/>
    </row>
    <row r="88" ht="22" customHeight="1">
      <c r="B88" s="17">
        <f>IF(C88="","MP-"&amp;TEXT(COUNTA($C$5:C88),"000"))</f>
        <v/>
      </c>
      <c r="C88" s="15" t="n"/>
      <c r="D88" s="15" t="n"/>
      <c r="E88" s="15" t="n"/>
      <c r="F88" s="15" t="n"/>
      <c r="G88" s="33" t="n"/>
      <c r="H88" s="33" t="n"/>
      <c r="I88" s="33" t="n"/>
      <c r="J88" s="16">
        <f>IF(H88="","",ROUND((I88-H88)/7,0))</f>
        <v/>
      </c>
      <c r="K88" s="15" t="n"/>
      <c r="L88" s="15" t="n"/>
      <c r="M88" s="15" t="n"/>
    </row>
    <row r="89" ht="22" customHeight="1">
      <c r="B89" s="18">
        <f>IF(C89="","MP-"&amp;TEXT(COUNTA($C$5:C89),"000"))</f>
        <v/>
      </c>
      <c r="C89" s="13" t="n"/>
      <c r="D89" s="13" t="n"/>
      <c r="E89" s="13" t="n"/>
      <c r="F89" s="13" t="n"/>
      <c r="G89" s="32" t="n"/>
      <c r="H89" s="32" t="n"/>
      <c r="I89" s="32" t="n"/>
      <c r="J89" s="14">
        <f>IF(H89="","",ROUND((I89-H89)/7,0))</f>
        <v/>
      </c>
      <c r="K89" s="13" t="n"/>
      <c r="L89" s="13" t="n"/>
      <c r="M89" s="13" t="n"/>
    </row>
    <row r="90" ht="22" customHeight="1">
      <c r="B90" s="17">
        <f>IF(C90="","MP-"&amp;TEXT(COUNTA($C$5:C90),"000"))</f>
        <v/>
      </c>
      <c r="C90" s="15" t="n"/>
      <c r="D90" s="15" t="n"/>
      <c r="E90" s="15" t="n"/>
      <c r="F90" s="15" t="n"/>
      <c r="G90" s="33" t="n"/>
      <c r="H90" s="33" t="n"/>
      <c r="I90" s="33" t="n"/>
      <c r="J90" s="16">
        <f>IF(H90="","",ROUND((I90-H90)/7,0))</f>
        <v/>
      </c>
      <c r="K90" s="15" t="n"/>
      <c r="L90" s="15" t="n"/>
      <c r="M90" s="15" t="n"/>
    </row>
    <row r="91" ht="22" customHeight="1">
      <c r="B91" s="18">
        <f>IF(C91="","MP-"&amp;TEXT(COUNTA($C$5:C91),"000"))</f>
        <v/>
      </c>
      <c r="C91" s="13" t="n"/>
      <c r="D91" s="13" t="n"/>
      <c r="E91" s="13" t="n"/>
      <c r="F91" s="13" t="n"/>
      <c r="G91" s="32" t="n"/>
      <c r="H91" s="32" t="n"/>
      <c r="I91" s="32" t="n"/>
      <c r="J91" s="14">
        <f>IF(H91="","",ROUND((I91-H91)/7,0))</f>
        <v/>
      </c>
      <c r="K91" s="13" t="n"/>
      <c r="L91" s="13" t="n"/>
      <c r="M91" s="13" t="n"/>
    </row>
    <row r="92" ht="22" customHeight="1">
      <c r="B92" s="17">
        <f>IF(C92="","MP-"&amp;TEXT(COUNTA($C$5:C92),"000"))</f>
        <v/>
      </c>
      <c r="C92" s="15" t="n"/>
      <c r="D92" s="15" t="n"/>
      <c r="E92" s="15" t="n"/>
      <c r="F92" s="15" t="n"/>
      <c r="G92" s="33" t="n"/>
      <c r="H92" s="33" t="n"/>
      <c r="I92" s="33" t="n"/>
      <c r="J92" s="16">
        <f>IF(H92="","",ROUND((I92-H92)/7,0))</f>
        <v/>
      </c>
      <c r="K92" s="15" t="n"/>
      <c r="L92" s="15" t="n"/>
      <c r="M92" s="15" t="n"/>
    </row>
    <row r="93" ht="22" customHeight="1">
      <c r="B93" s="18">
        <f>IF(C93="","MP-"&amp;TEXT(COUNTA($C$5:C93),"000"))</f>
        <v/>
      </c>
      <c r="C93" s="13" t="n"/>
      <c r="D93" s="13" t="n"/>
      <c r="E93" s="13" t="n"/>
      <c r="F93" s="13" t="n"/>
      <c r="G93" s="32" t="n"/>
      <c r="H93" s="32" t="n"/>
      <c r="I93" s="32" t="n"/>
      <c r="J93" s="14">
        <f>IF(H93="","",ROUND((I93-H93)/7,0))</f>
        <v/>
      </c>
      <c r="K93" s="13" t="n"/>
      <c r="L93" s="13" t="n"/>
      <c r="M93" s="13" t="n"/>
    </row>
    <row r="94" ht="22" customHeight="1">
      <c r="B94" s="17">
        <f>IF(C94="","MP-"&amp;TEXT(COUNTA($C$5:C94),"000"))</f>
        <v/>
      </c>
      <c r="C94" s="15" t="n"/>
      <c r="D94" s="15" t="n"/>
      <c r="E94" s="15" t="n"/>
      <c r="F94" s="15" t="n"/>
      <c r="G94" s="33" t="n"/>
      <c r="H94" s="33" t="n"/>
      <c r="I94" s="33" t="n"/>
      <c r="J94" s="16">
        <f>IF(H94="","",ROUND((I94-H94)/7,0))</f>
        <v/>
      </c>
      <c r="K94" s="15" t="n"/>
      <c r="L94" s="15" t="n"/>
      <c r="M94" s="15" t="n"/>
    </row>
    <row r="95" ht="22" customHeight="1">
      <c r="B95" s="18">
        <f>IF(C95="","MP-"&amp;TEXT(COUNTA($C$5:C95),"000"))</f>
        <v/>
      </c>
      <c r="C95" s="13" t="n"/>
      <c r="D95" s="13" t="n"/>
      <c r="E95" s="13" t="n"/>
      <c r="F95" s="13" t="n"/>
      <c r="G95" s="32" t="n"/>
      <c r="H95" s="32" t="n"/>
      <c r="I95" s="32" t="n"/>
      <c r="J95" s="14">
        <f>IF(H95="","",ROUND((I95-H95)/7,0))</f>
        <v/>
      </c>
      <c r="K95" s="13" t="n"/>
      <c r="L95" s="13" t="n"/>
      <c r="M95" s="13" t="n"/>
    </row>
    <row r="96" ht="22" customHeight="1">
      <c r="B96" s="17">
        <f>IF(C96="","MP-"&amp;TEXT(COUNTA($C$5:C96),"000"))</f>
        <v/>
      </c>
      <c r="C96" s="15" t="n"/>
      <c r="D96" s="15" t="n"/>
      <c r="E96" s="15" t="n"/>
      <c r="F96" s="15" t="n"/>
      <c r="G96" s="33" t="n"/>
      <c r="H96" s="33" t="n"/>
      <c r="I96" s="33" t="n"/>
      <c r="J96" s="16">
        <f>IF(H96="","",ROUND((I96-H96)/7,0))</f>
        <v/>
      </c>
      <c r="K96" s="15" t="n"/>
      <c r="L96" s="15" t="n"/>
      <c r="M96" s="15" t="n"/>
    </row>
    <row r="97" ht="22" customHeight="1">
      <c r="B97" s="18">
        <f>IF(C97="","MP-"&amp;TEXT(COUNTA($C$5:C97),"000"))</f>
        <v/>
      </c>
      <c r="C97" s="13" t="n"/>
      <c r="D97" s="13" t="n"/>
      <c r="E97" s="13" t="n"/>
      <c r="F97" s="13" t="n"/>
      <c r="G97" s="32" t="n"/>
      <c r="H97" s="32" t="n"/>
      <c r="I97" s="32" t="n"/>
      <c r="J97" s="14">
        <f>IF(H97="","",ROUND((I97-H97)/7,0))</f>
        <v/>
      </c>
      <c r="K97" s="13" t="n"/>
      <c r="L97" s="13" t="n"/>
      <c r="M97" s="13" t="n"/>
    </row>
    <row r="98" ht="22" customHeight="1">
      <c r="B98" s="17">
        <f>IF(C98="","MP-"&amp;TEXT(COUNTA($C$5:C98),"000"))</f>
        <v/>
      </c>
      <c r="C98" s="15" t="n"/>
      <c r="D98" s="15" t="n"/>
      <c r="E98" s="15" t="n"/>
      <c r="F98" s="15" t="n"/>
      <c r="G98" s="33" t="n"/>
      <c r="H98" s="33" t="n"/>
      <c r="I98" s="33" t="n"/>
      <c r="J98" s="16">
        <f>IF(H98="","",ROUND((I98-H98)/7,0))</f>
        <v/>
      </c>
      <c r="K98" s="15" t="n"/>
      <c r="L98" s="15" t="n"/>
      <c r="M98" s="15" t="n"/>
    </row>
    <row r="99" ht="22" customHeight="1">
      <c r="B99" s="18">
        <f>IF(C99="","MP-"&amp;TEXT(COUNTA($C$5:C99),"000"))</f>
        <v/>
      </c>
      <c r="C99" s="13" t="n"/>
      <c r="D99" s="13" t="n"/>
      <c r="E99" s="13" t="n"/>
      <c r="F99" s="13" t="n"/>
      <c r="G99" s="32" t="n"/>
      <c r="H99" s="32" t="n"/>
      <c r="I99" s="32" t="n"/>
      <c r="J99" s="14">
        <f>IF(H99="","",ROUND((I99-H99)/7,0))</f>
        <v/>
      </c>
      <c r="K99" s="13" t="n"/>
      <c r="L99" s="13" t="n"/>
      <c r="M99" s="13" t="n"/>
    </row>
    <row r="100" ht="22" customHeight="1">
      <c r="B100" s="17">
        <f>IF(C100="","MP-"&amp;TEXT(COUNTA($C$5:C100),"000"))</f>
        <v/>
      </c>
      <c r="C100" s="15" t="n"/>
      <c r="D100" s="15" t="n"/>
      <c r="E100" s="15" t="n"/>
      <c r="F100" s="15" t="n"/>
      <c r="G100" s="33" t="n"/>
      <c r="H100" s="33" t="n"/>
      <c r="I100" s="33" t="n"/>
      <c r="J100" s="16">
        <f>IF(H100="","",ROUND((I100-H100)/7,0))</f>
        <v/>
      </c>
      <c r="K100" s="15" t="n"/>
      <c r="L100" s="15" t="n"/>
      <c r="M100" s="15" t="n"/>
    </row>
    <row r="101" ht="22" customHeight="1">
      <c r="B101" s="18">
        <f>IF(C101="","MP-"&amp;TEXT(COUNTA($C$5:C101),"000"))</f>
        <v/>
      </c>
      <c r="C101" s="13" t="n"/>
      <c r="D101" s="13" t="n"/>
      <c r="E101" s="13" t="n"/>
      <c r="F101" s="13" t="n"/>
      <c r="G101" s="32" t="n"/>
      <c r="H101" s="32" t="n"/>
      <c r="I101" s="32" t="n"/>
      <c r="J101" s="14">
        <f>IF(H101="","",ROUND((I101-H101)/7,0))</f>
        <v/>
      </c>
      <c r="K101" s="13" t="n"/>
      <c r="L101" s="13" t="n"/>
      <c r="M101" s="13" t="n"/>
    </row>
    <row r="102" ht="22" customHeight="1">
      <c r="B102" s="17">
        <f>IF(C102="","MP-"&amp;TEXT(COUNTA($C$5:C102),"000"))</f>
        <v/>
      </c>
      <c r="C102" s="15" t="n"/>
      <c r="D102" s="15" t="n"/>
      <c r="E102" s="15" t="n"/>
      <c r="F102" s="15" t="n"/>
      <c r="G102" s="33" t="n"/>
      <c r="H102" s="33" t="n"/>
      <c r="I102" s="33" t="n"/>
      <c r="J102" s="16">
        <f>IF(H102="","",ROUND((I102-H102)/7,0))</f>
        <v/>
      </c>
      <c r="K102" s="15" t="n"/>
      <c r="L102" s="15" t="n"/>
      <c r="M102" s="15" t="n"/>
    </row>
    <row r="103" ht="22" customHeight="1">
      <c r="B103" s="18">
        <f>IF(C103="","MP-"&amp;TEXT(COUNTA($C$5:C103),"000"))</f>
        <v/>
      </c>
      <c r="C103" s="13" t="n"/>
      <c r="D103" s="13" t="n"/>
      <c r="E103" s="13" t="n"/>
      <c r="F103" s="13" t="n"/>
      <c r="G103" s="32" t="n"/>
      <c r="H103" s="32" t="n"/>
      <c r="I103" s="32" t="n"/>
      <c r="J103" s="14">
        <f>IF(H103="","",ROUND((I103-H103)/7,0))</f>
        <v/>
      </c>
      <c r="K103" s="13" t="n"/>
      <c r="L103" s="13" t="n"/>
      <c r="M103" s="13" t="n"/>
    </row>
    <row r="104" ht="22" customHeight="1">
      <c r="B104" s="17">
        <f>IF(C104="","MP-"&amp;TEXT(COUNTA($C$5:C104),"000"))</f>
        <v/>
      </c>
      <c r="C104" s="15" t="n"/>
      <c r="D104" s="15" t="n"/>
      <c r="E104" s="15" t="n"/>
      <c r="F104" s="15" t="n"/>
      <c r="G104" s="33" t="n"/>
      <c r="H104" s="33" t="n"/>
      <c r="I104" s="33" t="n"/>
      <c r="J104" s="16">
        <f>IF(H104="","",ROUND((I104-H104)/7,0))</f>
        <v/>
      </c>
      <c r="K104" s="15" t="n"/>
      <c r="L104" s="15" t="n"/>
      <c r="M104" s="15" t="n"/>
    </row>
    <row r="105" ht="22" customHeight="1">
      <c r="B105" s="18">
        <f>IF(C105="","MP-"&amp;TEXT(COUNTA($C$5:C105),"000"))</f>
        <v/>
      </c>
      <c r="C105" s="13" t="n"/>
      <c r="D105" s="13" t="n"/>
      <c r="E105" s="13" t="n"/>
      <c r="F105" s="13" t="n"/>
      <c r="G105" s="32" t="n"/>
      <c r="H105" s="32" t="n"/>
      <c r="I105" s="32" t="n"/>
      <c r="J105" s="14">
        <f>IF(H105="","",ROUND((I105-H105)/7,0))</f>
        <v/>
      </c>
      <c r="K105" s="13" t="n"/>
      <c r="L105" s="13" t="n"/>
      <c r="M105" s="13" t="n"/>
    </row>
    <row r="106" ht="22" customHeight="1">
      <c r="B106" s="17">
        <f>IF(C106="","MP-"&amp;TEXT(COUNTA($C$5:C106),"000"))</f>
        <v/>
      </c>
      <c r="C106" s="15" t="n"/>
      <c r="D106" s="15" t="n"/>
      <c r="E106" s="15" t="n"/>
      <c r="F106" s="15" t="n"/>
      <c r="G106" s="33" t="n"/>
      <c r="H106" s="33" t="n"/>
      <c r="I106" s="33" t="n"/>
      <c r="J106" s="16">
        <f>IF(H106="","",ROUND((I106-H106)/7,0))</f>
        <v/>
      </c>
      <c r="K106" s="15" t="n"/>
      <c r="L106" s="15" t="n"/>
      <c r="M106" s="15" t="n"/>
    </row>
    <row r="107" ht="22" customHeight="1">
      <c r="B107" s="18">
        <f>IF(C107="","MP-"&amp;TEXT(COUNTA($C$5:C107),"000"))</f>
        <v/>
      </c>
      <c r="C107" s="13" t="n"/>
      <c r="D107" s="13" t="n"/>
      <c r="E107" s="13" t="n"/>
      <c r="F107" s="13" t="n"/>
      <c r="G107" s="32" t="n"/>
      <c r="H107" s="32" t="n"/>
      <c r="I107" s="32" t="n"/>
      <c r="J107" s="14">
        <f>IF(H107="","",ROUND((I107-H107)/7,0))</f>
        <v/>
      </c>
      <c r="K107" s="13" t="n"/>
      <c r="L107" s="13" t="n"/>
      <c r="M107" s="13" t="n"/>
    </row>
    <row r="109">
      <c r="B109" s="6" t="inlineStr">
        <is>
          <t>INDICATEURS (mis a jour automatiquement)</t>
        </is>
      </c>
    </row>
    <row r="110">
      <c r="B110" s="3" t="inlineStr">
        <is>
          <t>Total conges</t>
        </is>
      </c>
      <c r="D110" s="3" t="inlineStr">
        <is>
          <t>Maternite</t>
        </is>
      </c>
      <c r="F110" s="3" t="inlineStr">
        <is>
          <t>Paternite</t>
        </is>
      </c>
      <c r="H110" s="3" t="inlineStr">
        <is>
          <t>En cours</t>
        </is>
      </c>
    </row>
    <row r="111">
      <c r="B111" s="4">
        <f>COUNTIF(B5:B104,"&lt;&gt;")</f>
        <v/>
      </c>
      <c r="D111" s="4">
        <f>COUNTIF(F5:F104,"Conge de maternite")</f>
        <v/>
      </c>
      <c r="F111" s="4">
        <f>COUNTIF(F5:F104,"Conge de paternite")</f>
        <v/>
      </c>
      <c r="H111" s="4">
        <f>COUNTIF(M5:M104,"En cours")</f>
        <v/>
      </c>
    </row>
  </sheetData>
  <mergeCells count="3">
    <mergeCell ref="B3:M3"/>
    <mergeCell ref="B2:M2"/>
    <mergeCell ref="B109:M109"/>
  </mergeCells>
  <conditionalFormatting sqref="M5:M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8:B107">
    <cfRule type="expression" priority="43" dxfId="3">
      <formula>AND($C8="",$C7&lt;&gt;"")</formula>
    </cfRule>
  </conditionalFormatting>
  <conditionalFormatting sqref="C8:C107">
    <cfRule type="expression" priority="44" dxfId="3">
      <formula>AND($C8="",$C7&lt;&gt;"")</formula>
    </cfRule>
  </conditionalFormatting>
  <conditionalFormatting sqref="D8:D107">
    <cfRule type="expression" priority="45" dxfId="3">
      <formula>AND($C8="",$C7&lt;&gt;"")</formula>
    </cfRule>
  </conditionalFormatting>
  <conditionalFormatting sqref="E8:E107">
    <cfRule type="expression" priority="46" dxfId="3">
      <formula>AND($C8="",$C7&lt;&gt;"")</formula>
    </cfRule>
  </conditionalFormatting>
  <conditionalFormatting sqref="F8:F107">
    <cfRule type="expression" priority="47" dxfId="3">
      <formula>AND($C8="",$C7&lt;&gt;"")</formula>
    </cfRule>
  </conditionalFormatting>
  <conditionalFormatting sqref="G8:G107">
    <cfRule type="expression" priority="48" dxfId="3">
      <formula>AND($C8="",$C7&lt;&gt;"")</formula>
    </cfRule>
  </conditionalFormatting>
  <conditionalFormatting sqref="H8:H107">
    <cfRule type="expression" priority="49" dxfId="3">
      <formula>AND($C8="",$C7&lt;&gt;"")</formula>
    </cfRule>
  </conditionalFormatting>
  <conditionalFormatting sqref="I8:I107">
    <cfRule type="expression" priority="50" dxfId="3">
      <formula>AND($C8="",$C7&lt;&gt;"")</formula>
    </cfRule>
  </conditionalFormatting>
  <conditionalFormatting sqref="J8:J107">
    <cfRule type="expression" priority="51" dxfId="3">
      <formula>AND($C8="",$C7&lt;&gt;"")</formula>
    </cfRule>
  </conditionalFormatting>
  <conditionalFormatting sqref="K8:K107">
    <cfRule type="expression" priority="52" dxfId="3">
      <formula>AND($C8="",$C7&lt;&gt;"")</formula>
    </cfRule>
  </conditionalFormatting>
  <conditionalFormatting sqref="L8:L107">
    <cfRule type="expression" priority="53" dxfId="3">
      <formula>AND($C8="",$C7&lt;&gt;"")</formula>
    </cfRule>
  </conditionalFormatting>
  <conditionalFormatting sqref="M8:M107">
    <cfRule type="expression" priority="54" dxfId="3">
      <formula>AND($C8="",$C7&lt;&gt;"")</formula>
    </cfRule>
  </conditionalFormatting>
  <dataValidations count="4"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7" showDropDown="0" showInputMessage="0" showErrorMessage="0" allowBlank="1" errorTitle="Erreur" error="Valeur invalide" promptTitle="Liste" prompt="Choisir dans la liste" type="list">
      <formula1>'_Lists'!$M$2:$M$7</formula1>
    </dataValidation>
    <dataValidation sqref="L5:L107" showDropDown="0" showInputMessage="0" showErrorMessage="0" allowBlank="1" errorTitle="Erreur" error="Valeur invalide" promptTitle="Liste" prompt="Choisir dans la liste" type="list">
      <formula1>'_Lists'!$Q$2:$Q$6</formula1>
    </dataValidation>
    <dataValidation sqref="M5:M107" showDropDown="0" showInputMessage="0" showErrorMessage="0" allowBlank="1" errorTitle="Erreur" error="Valeur invalide" promptTitle="Liste" prompt="Choisir dans la liste" type="list">
      <formula1>'_Lists'!$E$2:$E$7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1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0" customWidth="1" min="5" max="5"/>
    <col width="12" customWidth="1" min="6" max="6"/>
    <col width="14" customWidth="1" min="7" max="7"/>
    <col width="16" customWidth="1" min="8" max="8"/>
    <col width="22" customWidth="1" min="9" max="9"/>
    <col width="16" customWidth="1" min="10" max="10"/>
    <col width="18" customWidth="1" min="11" max="11"/>
  </cols>
  <sheetData>
    <row r="1" ht="15" customHeight="1"/>
    <row r="2" ht="32" customHeight="1">
      <c r="B2" s="1" t="inlineStr">
        <is>
          <t>TAUX D'ABSENTEISME PAR SERVICE (#61)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Departement</t>
        </is>
      </c>
      <c r="D4" s="12" t="inlineStr">
        <is>
          <t>Mois</t>
        </is>
      </c>
      <c r="E4" s="12" t="inlineStr">
        <is>
          <t>Annee</t>
        </is>
      </c>
      <c r="F4" s="12" t="inlineStr">
        <is>
          <t>Effectif</t>
        </is>
      </c>
      <c r="G4" s="12" t="inlineStr">
        <is>
          <t>Jours Ouvrables</t>
        </is>
      </c>
      <c r="H4" s="12" t="inlineStr">
        <is>
          <t>Heures Theoriques</t>
        </is>
      </c>
      <c r="I4" s="12" t="inlineStr">
        <is>
          <t>Jours Absence (tous motifs)</t>
        </is>
      </c>
      <c r="J4" s="12" t="inlineStr">
        <is>
          <t>Jours Maladie</t>
        </is>
      </c>
      <c r="K4" s="12" t="inlineStr">
        <is>
          <t>Taux Absenteisme (%)</t>
        </is>
      </c>
    </row>
    <row r="5" ht="22" customHeight="1">
      <c r="B5" s="13" t="inlineStr">
        <is>
          <t>ABS-001</t>
        </is>
      </c>
      <c r="C5" s="13" t="inlineStr">
        <is>
          <t>Service Client</t>
        </is>
      </c>
      <c r="D5" s="13" t="inlineStr">
        <is>
          <t>Juin</t>
        </is>
      </c>
      <c r="E5" s="13" t="inlineStr">
        <is>
          <t>2025</t>
        </is>
      </c>
      <c r="F5" s="14">
        <f>COUNTIF('2-Compteur Conges Payes'!E:E,C5)</f>
        <v/>
      </c>
      <c r="G5" s="14" t="n">
        <v>22</v>
      </c>
      <c r="H5" s="24" t="n">
        <v>110</v>
      </c>
      <c r="I5" s="14">
        <f>IFERROR(SUMPRODUCT(('17-Compteurs Absences Employe'!E5:E100=C5)*('17-Compteurs Absences Employe'!G5:G100+'17-Compteurs Absences Employe'!H5:H100+'17-Compteurs Absences Employe'!I5:I100+'17-Compteurs Absences Employe'!K5:K100)),0)</f>
        <v/>
      </c>
      <c r="J5" s="14">
        <f>IFERROR(SUMPRODUCT(('17-Compteurs Absences Employe'!E5:E100=C5)*'17-Compteurs Absences Employe'!I5:I100),0)</f>
        <v/>
      </c>
      <c r="K5" s="26">
        <f>IFERROR(ROUND(I5/(F5*G5)*100,1),0)</f>
        <v/>
      </c>
    </row>
    <row r="6" ht="22" customHeight="1">
      <c r="B6" s="15" t="inlineStr">
        <is>
          <t>ABS-002</t>
        </is>
      </c>
      <c r="C6" s="15" t="inlineStr">
        <is>
          <t>Maintenance</t>
        </is>
      </c>
      <c r="D6" s="15" t="inlineStr">
        <is>
          <t>Juin</t>
        </is>
      </c>
      <c r="E6" s="15" t="inlineStr">
        <is>
          <t>2025</t>
        </is>
      </c>
      <c r="F6" s="16">
        <f>COUNTIF('2-Compteur Conges Payes'!E:E,C6)</f>
        <v/>
      </c>
      <c r="G6" s="16" t="n">
        <v>22</v>
      </c>
      <c r="H6" s="25" t="n">
        <v>66</v>
      </c>
      <c r="I6" s="16">
        <f>IFERROR(SUMPRODUCT(('17-Compteurs Absences Employe'!E5:E100=C6)*('17-Compteurs Absences Employe'!G5:G100+'17-Compteurs Absences Employe'!H5:H100+'17-Compteurs Absences Employe'!I5:I100+'17-Compteurs Absences Employe'!K5:K100)),0)</f>
        <v/>
      </c>
      <c r="J6" s="16">
        <f>IFERROR(SUMPRODUCT(('17-Compteurs Absences Employe'!E5:E100=C6)*'17-Compteurs Absences Employe'!I5:I100),0)</f>
        <v/>
      </c>
      <c r="K6" s="27">
        <f>IFERROR(ROUND(I6/(F6*G6)*100,1),0)</f>
        <v/>
      </c>
    </row>
    <row r="7" ht="22" customHeight="1">
      <c r="B7" s="13" t="inlineStr">
        <is>
          <t>ABS-003</t>
        </is>
      </c>
      <c r="C7" s="13" t="inlineStr">
        <is>
          <t>Finance &amp; Comptabilité</t>
        </is>
      </c>
      <c r="D7" s="13" t="inlineStr">
        <is>
          <t>Juin</t>
        </is>
      </c>
      <c r="E7" s="13" t="inlineStr">
        <is>
          <t>2025</t>
        </is>
      </c>
      <c r="F7" s="14">
        <f>COUNTIF('2-Compteur Conges Payes'!E:E,C7)</f>
        <v/>
      </c>
      <c r="G7" s="14" t="n">
        <v>22</v>
      </c>
      <c r="H7" s="24" t="n">
        <v>88</v>
      </c>
      <c r="I7" s="14">
        <f>IFERROR(SUMPRODUCT(('17-Compteurs Absences Employe'!E5:E100=C7)*('17-Compteurs Absences Employe'!G5:G100+'17-Compteurs Absences Employe'!H5:H100+'17-Compteurs Absences Employe'!I5:I100+'17-Compteurs Absences Employe'!K5:K100)),0)</f>
        <v/>
      </c>
      <c r="J7" s="14">
        <f>IFERROR(SUMPRODUCT(('17-Compteurs Absences Employe'!E5:E100=C7)*'17-Compteurs Absences Employe'!I5:I100),0)</f>
        <v/>
      </c>
      <c r="K7" s="26">
        <f>IFERROR(ROUND(I7/(F7*G7)*100,1),0)</f>
        <v/>
      </c>
    </row>
    <row r="8" ht="22" customHeight="1">
      <c r="B8" s="15" t="inlineStr">
        <is>
          <t>ABS-004</t>
        </is>
      </c>
      <c r="C8" s="15" t="inlineStr">
        <is>
          <t>Réception &amp; Front Office</t>
        </is>
      </c>
      <c r="D8" s="15" t="inlineStr">
        <is>
          <t>Juin</t>
        </is>
      </c>
      <c r="E8" s="15" t="inlineStr">
        <is>
          <t>2025</t>
        </is>
      </c>
      <c r="F8" s="16">
        <f>COUNTIF('2-Compteur Conges Payes'!E:E,C8)</f>
        <v/>
      </c>
      <c r="G8" s="16" t="n">
        <v>22</v>
      </c>
      <c r="H8" s="25" t="n">
        <v>132</v>
      </c>
      <c r="I8" s="16">
        <f>IFERROR(SUMPRODUCT(('17-Compteurs Absences Employe'!E5:E100=C8)*('17-Compteurs Absences Employe'!G5:G100+'17-Compteurs Absences Employe'!H5:H100+'17-Compteurs Absences Employe'!I5:I100+'17-Compteurs Absences Employe'!K5:K100)),0)</f>
        <v/>
      </c>
      <c r="J8" s="16">
        <f>IFERROR(SUMPRODUCT(('17-Compteurs Absences Employe'!E5:E100=C8)*'17-Compteurs Absences Employe'!I5:I100),0)</f>
        <v/>
      </c>
      <c r="K8" s="27">
        <f>IFERROR(ROUND(I8/(F8*G8)*100,1),0)</f>
        <v/>
      </c>
    </row>
    <row r="9" ht="22" customHeight="1">
      <c r="B9" s="13" t="inlineStr">
        <is>
          <t>ABS-005</t>
        </is>
      </c>
      <c r="C9" s="13" t="inlineStr">
        <is>
          <t>Cuisine &amp; Restauration</t>
        </is>
      </c>
      <c r="D9" s="13" t="inlineStr">
        <is>
          <t>Juin</t>
        </is>
      </c>
      <c r="E9" s="13" t="inlineStr">
        <is>
          <t>2025</t>
        </is>
      </c>
      <c r="F9" s="14">
        <f>COUNTIF('2-Compteur Conges Payes'!E:E,C9)</f>
        <v/>
      </c>
      <c r="G9" s="14" t="n">
        <v>22</v>
      </c>
      <c r="H9" s="24" t="n">
        <v>176</v>
      </c>
      <c r="I9" s="14">
        <f>IFERROR(SUMPRODUCT(('17-Compteurs Absences Employe'!E5:E100=C9)*('17-Compteurs Absences Employe'!G5:G100+'17-Compteurs Absences Employe'!H5:H100+'17-Compteurs Absences Employe'!I5:I100+'17-Compteurs Absences Employe'!K5:K100)),0)</f>
        <v/>
      </c>
      <c r="J9" s="14">
        <f>IFERROR(SUMPRODUCT(('17-Compteurs Absences Employe'!E5:E100=C9)*'17-Compteurs Absences Employe'!I5:I100),0)</f>
        <v/>
      </c>
      <c r="K9" s="26">
        <f>IFERROR(ROUND(I9/(F9*G9)*100,1),0)</f>
        <v/>
      </c>
    </row>
    <row r="10" ht="22" customHeight="1">
      <c r="B10" s="15" t="inlineStr">
        <is>
          <t>ABS-006</t>
        </is>
      </c>
      <c r="C10" s="15" t="inlineStr">
        <is>
          <t>Maintenance</t>
        </is>
      </c>
      <c r="D10" s="15" t="inlineStr">
        <is>
          <t>Juin</t>
        </is>
      </c>
      <c r="E10" s="15" t="inlineStr">
        <is>
          <t>2025</t>
        </is>
      </c>
      <c r="F10" s="16">
        <f>COUNTIF('2-Compteur Conges Payes'!E:E,C10)</f>
        <v/>
      </c>
      <c r="G10" s="16" t="n">
        <v>22</v>
      </c>
      <c r="H10" s="25" t="n">
        <v>132</v>
      </c>
      <c r="I10" s="16">
        <f>IFERROR(SUMPRODUCT(('17-Compteurs Absences Employe'!E5:E100=C10)*('17-Compteurs Absences Employe'!G5:G100+'17-Compteurs Absences Employe'!H5:H100+'17-Compteurs Absences Employe'!I5:I100+'17-Compteurs Absences Employe'!K5:K100)),0)</f>
        <v/>
      </c>
      <c r="J10" s="16">
        <f>IFERROR(SUMPRODUCT(('17-Compteurs Absences Employe'!E5:E100=C10)*'17-Compteurs Absences Employe'!I5:I100),0)</f>
        <v/>
      </c>
      <c r="K10" s="27">
        <f>IFERROR(ROUND(I10/(F10*G10)*100,1),0)</f>
        <v/>
      </c>
    </row>
    <row r="11" ht="22" customHeight="1">
      <c r="B11" s="13" t="inlineStr">
        <is>
          <t>ABS-007</t>
        </is>
      </c>
      <c r="C11" s="13" t="inlineStr">
        <is>
          <t>Sécurité</t>
        </is>
      </c>
      <c r="D11" s="13" t="inlineStr">
        <is>
          <t>Juin</t>
        </is>
      </c>
      <c r="E11" s="13" t="inlineStr">
        <is>
          <t>2025</t>
        </is>
      </c>
      <c r="F11" s="14">
        <f>COUNTIF('2-Compteur Conges Payes'!E:E,C11)</f>
        <v/>
      </c>
      <c r="G11" s="14" t="n">
        <v>22</v>
      </c>
      <c r="H11" s="24" t="n">
        <v>88</v>
      </c>
      <c r="I11" s="14">
        <f>IFERROR(SUMPRODUCT(('17-Compteurs Absences Employe'!E5:E100=C11)*('17-Compteurs Absences Employe'!G5:G100+'17-Compteurs Absences Employe'!H5:H100+'17-Compteurs Absences Employe'!I5:I100+'17-Compteurs Absences Employe'!K5:K100)),0)</f>
        <v/>
      </c>
      <c r="J11" s="14">
        <f>IFERROR(SUMPRODUCT(('17-Compteurs Absences Employe'!E5:E100=C11)*'17-Compteurs Absences Employe'!I5:I100),0)</f>
        <v/>
      </c>
      <c r="K11" s="26">
        <f>IFERROR(ROUND(I11/(F11*G11)*100,1),0)</f>
        <v/>
      </c>
    </row>
    <row r="12" ht="22" customHeight="1">
      <c r="B12" s="17">
        <f>IF(C12="","ABS-"&amp;TEXT(COUNTA($C$5:C12),"000"))</f>
        <v/>
      </c>
      <c r="C12" s="15" t="n"/>
      <c r="D12" s="15" t="n"/>
      <c r="E12" s="15" t="n"/>
      <c r="F12" s="16" t="n"/>
      <c r="G12" s="16" t="n"/>
      <c r="H12" s="25" t="n"/>
      <c r="I12" s="16" t="n"/>
      <c r="J12" s="16" t="n"/>
      <c r="K12" s="27">
        <f>IF(H12="","",IF(H12=0,"",I12/H12))</f>
        <v/>
      </c>
    </row>
    <row r="13" ht="22" customHeight="1">
      <c r="B13" s="18">
        <f>IF(C13="","ABS-"&amp;TEXT(COUNTA($C$5:C13),"000"))</f>
        <v/>
      </c>
      <c r="C13" s="13" t="n"/>
      <c r="D13" s="13" t="n"/>
      <c r="E13" s="13" t="n"/>
      <c r="F13" s="14" t="n"/>
      <c r="G13" s="14" t="n"/>
      <c r="H13" s="24" t="n"/>
      <c r="I13" s="14" t="n"/>
      <c r="J13" s="14" t="n"/>
      <c r="K13" s="26">
        <f>IF(H13="","",IF(H13=0,"",I13/H13))</f>
        <v/>
      </c>
    </row>
    <row r="14" ht="22" customHeight="1">
      <c r="B14" s="17">
        <f>IF(C14="","ABS-"&amp;TEXT(COUNTA($C$5:C14),"000"))</f>
        <v/>
      </c>
      <c r="C14" s="15" t="n"/>
      <c r="D14" s="15" t="n"/>
      <c r="E14" s="15" t="n"/>
      <c r="F14" s="16" t="n"/>
      <c r="G14" s="16" t="n"/>
      <c r="H14" s="25" t="n"/>
      <c r="I14" s="16" t="n"/>
      <c r="J14" s="16" t="n"/>
      <c r="K14" s="27">
        <f>IF(H14="","",IF(H14=0,"",I14/H14))</f>
        <v/>
      </c>
    </row>
    <row r="15" ht="22" customHeight="1">
      <c r="B15" s="18">
        <f>IF(C15="","ABS-"&amp;TEXT(COUNTA($C$5:C15),"000"))</f>
        <v/>
      </c>
      <c r="C15" s="13" t="n"/>
      <c r="D15" s="13" t="n"/>
      <c r="E15" s="13" t="n"/>
      <c r="F15" s="14" t="n"/>
      <c r="G15" s="14" t="n"/>
      <c r="H15" s="24" t="n"/>
      <c r="I15" s="14" t="n"/>
      <c r="J15" s="14" t="n"/>
      <c r="K15" s="26">
        <f>IF(H15="","",IF(H15=0,"",I15/H15))</f>
        <v/>
      </c>
    </row>
    <row r="16" ht="22" customHeight="1">
      <c r="B16" s="17">
        <f>IF(C16="","ABS-"&amp;TEXT(COUNTA($C$5:C16),"000"))</f>
        <v/>
      </c>
      <c r="C16" s="15" t="n"/>
      <c r="D16" s="15" t="n"/>
      <c r="E16" s="15" t="n"/>
      <c r="F16" s="16" t="n"/>
      <c r="G16" s="16" t="n"/>
      <c r="H16" s="25" t="n"/>
      <c r="I16" s="16" t="n"/>
      <c r="J16" s="16" t="n"/>
      <c r="K16" s="27">
        <f>IF(H16="","",IF(H16=0,"",I16/H16))</f>
        <v/>
      </c>
    </row>
    <row r="17" ht="22" customHeight="1">
      <c r="B17" s="18">
        <f>IF(C17="","ABS-"&amp;TEXT(COUNTA($C$5:C17),"000"))</f>
        <v/>
      </c>
      <c r="C17" s="13" t="n"/>
      <c r="D17" s="13" t="n"/>
      <c r="E17" s="13" t="n"/>
      <c r="F17" s="14" t="n"/>
      <c r="G17" s="14" t="n"/>
      <c r="H17" s="24" t="n"/>
      <c r="I17" s="14" t="n"/>
      <c r="J17" s="14" t="n"/>
      <c r="K17" s="26">
        <f>IF(H17="","",IF(H17=0,"",I17/H17))</f>
        <v/>
      </c>
    </row>
    <row r="18" ht="22" customHeight="1">
      <c r="B18" s="17">
        <f>IF(C18="","ABS-"&amp;TEXT(COUNTA($C$5:C18),"000"))</f>
        <v/>
      </c>
      <c r="C18" s="15" t="n"/>
      <c r="D18" s="15" t="n"/>
      <c r="E18" s="15" t="n"/>
      <c r="F18" s="16" t="n"/>
      <c r="G18" s="16" t="n"/>
      <c r="H18" s="25" t="n"/>
      <c r="I18" s="16" t="n"/>
      <c r="J18" s="16" t="n"/>
      <c r="K18" s="27">
        <f>IF(H18="","",IF(H18=0,"",I18/H18))</f>
        <v/>
      </c>
    </row>
    <row r="19" ht="22" customHeight="1">
      <c r="B19" s="18">
        <f>IF(C19="","ABS-"&amp;TEXT(COUNTA($C$5:C19),"000"))</f>
        <v/>
      </c>
      <c r="C19" s="13" t="n"/>
      <c r="D19" s="13" t="n"/>
      <c r="E19" s="13" t="n"/>
      <c r="F19" s="14" t="n"/>
      <c r="G19" s="14" t="n"/>
      <c r="H19" s="24" t="n"/>
      <c r="I19" s="14" t="n"/>
      <c r="J19" s="14" t="n"/>
      <c r="K19" s="26">
        <f>IF(H19="","",IF(H19=0,"",I19/H19))</f>
        <v/>
      </c>
    </row>
    <row r="20" ht="22" customHeight="1">
      <c r="B20" s="17">
        <f>IF(C20="","ABS-"&amp;TEXT(COUNTA($C$5:C20),"000"))</f>
        <v/>
      </c>
      <c r="C20" s="15" t="n"/>
      <c r="D20" s="15" t="n"/>
      <c r="E20" s="15" t="n"/>
      <c r="F20" s="16" t="n"/>
      <c r="G20" s="16" t="n"/>
      <c r="H20" s="25" t="n"/>
      <c r="I20" s="16" t="n"/>
      <c r="J20" s="16" t="n"/>
      <c r="K20" s="27">
        <f>IF(H20="","",IF(H20=0,"",I20/H20))</f>
        <v/>
      </c>
    </row>
    <row r="21" ht="22" customHeight="1">
      <c r="B21" s="18">
        <f>IF(C21="","ABS-"&amp;TEXT(COUNTA($C$5:C21),"000"))</f>
        <v/>
      </c>
      <c r="C21" s="13" t="n"/>
      <c r="D21" s="13" t="n"/>
      <c r="E21" s="13" t="n"/>
      <c r="F21" s="14" t="n"/>
      <c r="G21" s="14" t="n"/>
      <c r="H21" s="24" t="n"/>
      <c r="I21" s="14" t="n"/>
      <c r="J21" s="14" t="n"/>
      <c r="K21" s="26">
        <f>IF(H21="","",IF(H21=0,"",I21/H21))</f>
        <v/>
      </c>
    </row>
    <row r="22" ht="22" customHeight="1">
      <c r="B22" s="17">
        <f>IF(C22="","ABS-"&amp;TEXT(COUNTA($C$5:C22),"000"))</f>
        <v/>
      </c>
      <c r="C22" s="15" t="n"/>
      <c r="D22" s="15" t="n"/>
      <c r="E22" s="15" t="n"/>
      <c r="F22" s="16" t="n"/>
      <c r="G22" s="16" t="n"/>
      <c r="H22" s="25" t="n"/>
      <c r="I22" s="16" t="n"/>
      <c r="J22" s="16" t="n"/>
      <c r="K22" s="27">
        <f>IF(H22="","",IF(H22=0,"",I22/H22))</f>
        <v/>
      </c>
    </row>
    <row r="23" ht="22" customHeight="1">
      <c r="B23" s="18">
        <f>IF(C23="","ABS-"&amp;TEXT(COUNTA($C$5:C23),"000"))</f>
        <v/>
      </c>
      <c r="C23" s="13" t="n"/>
      <c r="D23" s="13" t="n"/>
      <c r="E23" s="13" t="n"/>
      <c r="F23" s="14" t="n"/>
      <c r="G23" s="14" t="n"/>
      <c r="H23" s="24" t="n"/>
      <c r="I23" s="14" t="n"/>
      <c r="J23" s="14" t="n"/>
      <c r="K23" s="26">
        <f>IF(H23="","",IF(H23=0,"",I23/H23))</f>
        <v/>
      </c>
    </row>
    <row r="24" ht="22" customHeight="1">
      <c r="B24" s="17">
        <f>IF(C24="","ABS-"&amp;TEXT(COUNTA($C$5:C24),"000"))</f>
        <v/>
      </c>
      <c r="C24" s="15" t="n"/>
      <c r="D24" s="15" t="n"/>
      <c r="E24" s="15" t="n"/>
      <c r="F24" s="16" t="n"/>
      <c r="G24" s="16" t="n"/>
      <c r="H24" s="25" t="n"/>
      <c r="I24" s="16" t="n"/>
      <c r="J24" s="16" t="n"/>
      <c r="K24" s="27">
        <f>IF(H24="","",IF(H24=0,"",I24/H24))</f>
        <v/>
      </c>
    </row>
    <row r="25" ht="22" customHeight="1">
      <c r="B25" s="18">
        <f>IF(C25="","ABS-"&amp;TEXT(COUNTA($C$5:C25),"000"))</f>
        <v/>
      </c>
      <c r="C25" s="13" t="n"/>
      <c r="D25" s="13" t="n"/>
      <c r="E25" s="13" t="n"/>
      <c r="F25" s="14" t="n"/>
      <c r="G25" s="14" t="n"/>
      <c r="H25" s="24" t="n"/>
      <c r="I25" s="14" t="n"/>
      <c r="J25" s="14" t="n"/>
      <c r="K25" s="26">
        <f>IF(H25="","",IF(H25=0,"",I25/H25))</f>
        <v/>
      </c>
    </row>
    <row r="26" ht="22" customHeight="1">
      <c r="B26" s="17">
        <f>IF(C26="","ABS-"&amp;TEXT(COUNTA($C$5:C26),"000"))</f>
        <v/>
      </c>
      <c r="C26" s="15" t="n"/>
      <c r="D26" s="15" t="n"/>
      <c r="E26" s="15" t="n"/>
      <c r="F26" s="16" t="n"/>
      <c r="G26" s="16" t="n"/>
      <c r="H26" s="25" t="n"/>
      <c r="I26" s="16" t="n"/>
      <c r="J26" s="16" t="n"/>
      <c r="K26" s="27">
        <f>IF(H26="","",IF(H26=0,"",I26/H26))</f>
        <v/>
      </c>
    </row>
    <row r="27" ht="22" customHeight="1">
      <c r="B27" s="18">
        <f>IF(C27="","ABS-"&amp;TEXT(COUNTA($C$5:C27),"000"))</f>
        <v/>
      </c>
      <c r="C27" s="13" t="n"/>
      <c r="D27" s="13" t="n"/>
      <c r="E27" s="13" t="n"/>
      <c r="F27" s="14" t="n"/>
      <c r="G27" s="14" t="n"/>
      <c r="H27" s="24" t="n"/>
      <c r="I27" s="14" t="n"/>
      <c r="J27" s="14" t="n"/>
      <c r="K27" s="26">
        <f>IF(H27="","",IF(H27=0,"",I27/H27))</f>
        <v/>
      </c>
    </row>
    <row r="28" ht="22" customHeight="1">
      <c r="B28" s="17">
        <f>IF(C28="","ABS-"&amp;TEXT(COUNTA($C$5:C28),"000"))</f>
        <v/>
      </c>
      <c r="C28" s="15" t="n"/>
      <c r="D28" s="15" t="n"/>
      <c r="E28" s="15" t="n"/>
      <c r="F28" s="16" t="n"/>
      <c r="G28" s="16" t="n"/>
      <c r="H28" s="25" t="n"/>
      <c r="I28" s="16" t="n"/>
      <c r="J28" s="16" t="n"/>
      <c r="K28" s="27">
        <f>IF(H28="","",IF(H28=0,"",I28/H28))</f>
        <v/>
      </c>
    </row>
    <row r="29" ht="22" customHeight="1">
      <c r="B29" s="18">
        <f>IF(C29="","ABS-"&amp;TEXT(COUNTA($C$5:C29),"000"))</f>
        <v/>
      </c>
      <c r="C29" s="13" t="n"/>
      <c r="D29" s="13" t="n"/>
      <c r="E29" s="13" t="n"/>
      <c r="F29" s="14" t="n"/>
      <c r="G29" s="14" t="n"/>
      <c r="H29" s="24" t="n"/>
      <c r="I29" s="14" t="n"/>
      <c r="J29" s="14" t="n"/>
      <c r="K29" s="26">
        <f>IF(H29="","",IF(H29=0,"",I29/H29))</f>
        <v/>
      </c>
    </row>
    <row r="30" ht="22" customHeight="1">
      <c r="B30" s="17">
        <f>IF(C30="","ABS-"&amp;TEXT(COUNTA($C$5:C30),"000"))</f>
        <v/>
      </c>
      <c r="C30" s="15" t="n"/>
      <c r="D30" s="15" t="n"/>
      <c r="E30" s="15" t="n"/>
      <c r="F30" s="16" t="n"/>
      <c r="G30" s="16" t="n"/>
      <c r="H30" s="25" t="n"/>
      <c r="I30" s="16" t="n"/>
      <c r="J30" s="16" t="n"/>
      <c r="K30" s="27">
        <f>IF(H30="","",IF(H30=0,"",I30/H30))</f>
        <v/>
      </c>
    </row>
    <row r="31" ht="22" customHeight="1">
      <c r="B31" s="18">
        <f>IF(C31="","ABS-"&amp;TEXT(COUNTA($C$5:C31),"000"))</f>
        <v/>
      </c>
      <c r="C31" s="13" t="n"/>
      <c r="D31" s="13" t="n"/>
      <c r="E31" s="13" t="n"/>
      <c r="F31" s="14" t="n"/>
      <c r="G31" s="14" t="n"/>
      <c r="H31" s="24" t="n"/>
      <c r="I31" s="14" t="n"/>
      <c r="J31" s="14" t="n"/>
      <c r="K31" s="26">
        <f>IF(H31="","",IF(H31=0,"",I31/H31))</f>
        <v/>
      </c>
    </row>
    <row r="32" ht="22" customHeight="1">
      <c r="B32" s="17">
        <f>IF(C32="","ABS-"&amp;TEXT(COUNTA($C$5:C32),"000"))</f>
        <v/>
      </c>
      <c r="C32" s="15" t="n"/>
      <c r="D32" s="15" t="n"/>
      <c r="E32" s="15" t="n"/>
      <c r="F32" s="16" t="n"/>
      <c r="G32" s="16" t="n"/>
      <c r="H32" s="25" t="n"/>
      <c r="I32" s="16" t="n"/>
      <c r="J32" s="16" t="n"/>
      <c r="K32" s="27">
        <f>IF(H32="","",IF(H32=0,"",I32/H32))</f>
        <v/>
      </c>
    </row>
    <row r="33" ht="22" customHeight="1">
      <c r="B33" s="18">
        <f>IF(C33="","ABS-"&amp;TEXT(COUNTA($C$5:C33),"000"))</f>
        <v/>
      </c>
      <c r="C33" s="13" t="n"/>
      <c r="D33" s="13" t="n"/>
      <c r="E33" s="13" t="n"/>
      <c r="F33" s="14" t="n"/>
      <c r="G33" s="14" t="n"/>
      <c r="H33" s="24" t="n"/>
      <c r="I33" s="14" t="n"/>
      <c r="J33" s="14" t="n"/>
      <c r="K33" s="26">
        <f>IF(H33="","",IF(H33=0,"",I33/H33))</f>
        <v/>
      </c>
    </row>
    <row r="34" ht="22" customHeight="1">
      <c r="B34" s="17">
        <f>IF(C34="","ABS-"&amp;TEXT(COUNTA($C$5:C34),"000"))</f>
        <v/>
      </c>
      <c r="C34" s="15" t="n"/>
      <c r="D34" s="15" t="n"/>
      <c r="E34" s="15" t="n"/>
      <c r="F34" s="16" t="n"/>
      <c r="G34" s="16" t="n"/>
      <c r="H34" s="25" t="n"/>
      <c r="I34" s="16" t="n"/>
      <c r="J34" s="16" t="n"/>
      <c r="K34" s="27">
        <f>IF(H34="","",IF(H34=0,"",I34/H34))</f>
        <v/>
      </c>
    </row>
    <row r="35" ht="22" customHeight="1">
      <c r="B35" s="18">
        <f>IF(C35="","ABS-"&amp;TEXT(COUNTA($C$5:C35),"000"))</f>
        <v/>
      </c>
      <c r="C35" s="13" t="n"/>
      <c r="D35" s="13" t="n"/>
      <c r="E35" s="13" t="n"/>
      <c r="F35" s="14" t="n"/>
      <c r="G35" s="14" t="n"/>
      <c r="H35" s="24" t="n"/>
      <c r="I35" s="14" t="n"/>
      <c r="J35" s="14" t="n"/>
      <c r="K35" s="26">
        <f>IF(H35="","",IF(H35=0,"",I35/H35))</f>
        <v/>
      </c>
    </row>
    <row r="36" ht="22" customHeight="1">
      <c r="B36" s="17">
        <f>IF(C36="","ABS-"&amp;TEXT(COUNTA($C$5:C36),"000"))</f>
        <v/>
      </c>
      <c r="C36" s="15" t="n"/>
      <c r="D36" s="15" t="n"/>
      <c r="E36" s="15" t="n"/>
      <c r="F36" s="16" t="n"/>
      <c r="G36" s="16" t="n"/>
      <c r="H36" s="25" t="n"/>
      <c r="I36" s="16" t="n"/>
      <c r="J36" s="16" t="n"/>
      <c r="K36" s="27">
        <f>IF(H36="","",IF(H36=0,"",I36/H36))</f>
        <v/>
      </c>
    </row>
    <row r="37" ht="22" customHeight="1">
      <c r="B37" s="18">
        <f>IF(C37="","ABS-"&amp;TEXT(COUNTA($C$5:C37),"000"))</f>
        <v/>
      </c>
      <c r="C37" s="13" t="n"/>
      <c r="D37" s="13" t="n"/>
      <c r="E37" s="13" t="n"/>
      <c r="F37" s="14" t="n"/>
      <c r="G37" s="14" t="n"/>
      <c r="H37" s="24" t="n"/>
      <c r="I37" s="14" t="n"/>
      <c r="J37" s="14" t="n"/>
      <c r="K37" s="26">
        <f>IF(H37="","",IF(H37=0,"",I37/H37))</f>
        <v/>
      </c>
    </row>
    <row r="38" ht="22" customHeight="1">
      <c r="B38" s="17">
        <f>IF(C38="","ABS-"&amp;TEXT(COUNTA($C$5:C38),"000"))</f>
        <v/>
      </c>
      <c r="C38" s="15" t="n"/>
      <c r="D38" s="15" t="n"/>
      <c r="E38" s="15" t="n"/>
      <c r="F38" s="16" t="n"/>
      <c r="G38" s="16" t="n"/>
      <c r="H38" s="25" t="n"/>
      <c r="I38" s="16" t="n"/>
      <c r="J38" s="16" t="n"/>
      <c r="K38" s="27">
        <f>IF(H38="","",IF(H38=0,"",I38/H38))</f>
        <v/>
      </c>
    </row>
    <row r="39" ht="22" customHeight="1">
      <c r="B39" s="18">
        <f>IF(C39="","ABS-"&amp;TEXT(COUNTA($C$5:C39),"000"))</f>
        <v/>
      </c>
      <c r="C39" s="13" t="n"/>
      <c r="D39" s="13" t="n"/>
      <c r="E39" s="13" t="n"/>
      <c r="F39" s="14" t="n"/>
      <c r="G39" s="14" t="n"/>
      <c r="H39" s="24" t="n"/>
      <c r="I39" s="14" t="n"/>
      <c r="J39" s="14" t="n"/>
      <c r="K39" s="26">
        <f>IF(H39="","",IF(H39=0,"",I39/H39))</f>
        <v/>
      </c>
    </row>
    <row r="40" ht="22" customHeight="1">
      <c r="B40" s="17">
        <f>IF(C40="","ABS-"&amp;TEXT(COUNTA($C$5:C40),"000"))</f>
        <v/>
      </c>
      <c r="C40" s="15" t="n"/>
      <c r="D40" s="15" t="n"/>
      <c r="E40" s="15" t="n"/>
      <c r="F40" s="16" t="n"/>
      <c r="G40" s="16" t="n"/>
      <c r="H40" s="25" t="n"/>
      <c r="I40" s="16" t="n"/>
      <c r="J40" s="16" t="n"/>
      <c r="K40" s="27">
        <f>IF(H40="","",IF(H40=0,"",I40/H40))</f>
        <v/>
      </c>
    </row>
    <row r="41" ht="22" customHeight="1">
      <c r="B41" s="18">
        <f>IF(C41="","ABS-"&amp;TEXT(COUNTA($C$5:C41),"000"))</f>
        <v/>
      </c>
      <c r="C41" s="13" t="n"/>
      <c r="D41" s="13" t="n"/>
      <c r="E41" s="13" t="n"/>
      <c r="F41" s="14" t="n"/>
      <c r="G41" s="14" t="n"/>
      <c r="H41" s="24" t="n"/>
      <c r="I41" s="14" t="n"/>
      <c r="J41" s="14" t="n"/>
      <c r="K41" s="26">
        <f>IF(H41="","",IF(H41=0,"",I41/H41))</f>
        <v/>
      </c>
    </row>
    <row r="42" ht="22" customHeight="1">
      <c r="B42" s="17">
        <f>IF(C42="","ABS-"&amp;TEXT(COUNTA($C$5:C42),"000"))</f>
        <v/>
      </c>
      <c r="C42" s="15" t="n"/>
      <c r="D42" s="15" t="n"/>
      <c r="E42" s="15" t="n"/>
      <c r="F42" s="16" t="n"/>
      <c r="G42" s="16" t="n"/>
      <c r="H42" s="25" t="n"/>
      <c r="I42" s="16" t="n"/>
      <c r="J42" s="16" t="n"/>
      <c r="K42" s="27">
        <f>IF(H42="","",IF(H42=0,"",I42/H42))</f>
        <v/>
      </c>
    </row>
    <row r="43" ht="22" customHeight="1">
      <c r="B43" s="18">
        <f>IF(C43="","ABS-"&amp;TEXT(COUNTA($C$5:C43),"000"))</f>
        <v/>
      </c>
      <c r="C43" s="13" t="n"/>
      <c r="D43" s="13" t="n"/>
      <c r="E43" s="13" t="n"/>
      <c r="F43" s="14" t="n"/>
      <c r="G43" s="14" t="n"/>
      <c r="H43" s="24" t="n"/>
      <c r="I43" s="14" t="n"/>
      <c r="J43" s="14" t="n"/>
      <c r="K43" s="26">
        <f>IF(H43="","",IF(H43=0,"",I43/H43))</f>
        <v/>
      </c>
    </row>
    <row r="44" ht="22" customHeight="1">
      <c r="B44" s="17">
        <f>IF(C44="","ABS-"&amp;TEXT(COUNTA($C$5:C44),"000"))</f>
        <v/>
      </c>
      <c r="C44" s="15" t="n"/>
      <c r="D44" s="15" t="n"/>
      <c r="E44" s="15" t="n"/>
      <c r="F44" s="16" t="n"/>
      <c r="G44" s="16" t="n"/>
      <c r="H44" s="25" t="n"/>
      <c r="I44" s="16" t="n"/>
      <c r="J44" s="16" t="n"/>
      <c r="K44" s="27">
        <f>IF(H44="","",IF(H44=0,"",I44/H44))</f>
        <v/>
      </c>
    </row>
    <row r="45" ht="22" customHeight="1">
      <c r="B45" s="18">
        <f>IF(C45="","ABS-"&amp;TEXT(COUNTA($C$5:C45),"000"))</f>
        <v/>
      </c>
      <c r="C45" s="13" t="n"/>
      <c r="D45" s="13" t="n"/>
      <c r="E45" s="13" t="n"/>
      <c r="F45" s="14" t="n"/>
      <c r="G45" s="14" t="n"/>
      <c r="H45" s="24" t="n"/>
      <c r="I45" s="14" t="n"/>
      <c r="J45" s="14" t="n"/>
      <c r="K45" s="26">
        <f>IF(H45="","",IF(H45=0,"",I45/H45))</f>
        <v/>
      </c>
    </row>
    <row r="46" ht="22" customHeight="1">
      <c r="B46" s="17">
        <f>IF(C46="","ABS-"&amp;TEXT(COUNTA($C$5:C46),"000"))</f>
        <v/>
      </c>
      <c r="C46" s="15" t="n"/>
      <c r="D46" s="15" t="n"/>
      <c r="E46" s="15" t="n"/>
      <c r="F46" s="16" t="n"/>
      <c r="G46" s="16" t="n"/>
      <c r="H46" s="25" t="n"/>
      <c r="I46" s="16" t="n"/>
      <c r="J46" s="16" t="n"/>
      <c r="K46" s="27">
        <f>IF(H46="","",IF(H46=0,"",I46/H46))</f>
        <v/>
      </c>
    </row>
    <row r="47" ht="22" customHeight="1">
      <c r="B47" s="18">
        <f>IF(C47="","ABS-"&amp;TEXT(COUNTA($C$5:C47),"000"))</f>
        <v/>
      </c>
      <c r="C47" s="13" t="n"/>
      <c r="D47" s="13" t="n"/>
      <c r="E47" s="13" t="n"/>
      <c r="F47" s="14" t="n"/>
      <c r="G47" s="14" t="n"/>
      <c r="H47" s="24" t="n"/>
      <c r="I47" s="14" t="n"/>
      <c r="J47" s="14" t="n"/>
      <c r="K47" s="26">
        <f>IF(H47="","",IF(H47=0,"",I47/H47))</f>
        <v/>
      </c>
    </row>
    <row r="48" ht="22" customHeight="1">
      <c r="B48" s="17">
        <f>IF(C48="","ABS-"&amp;TEXT(COUNTA($C$5:C48),"000"))</f>
        <v/>
      </c>
      <c r="C48" s="15" t="n"/>
      <c r="D48" s="15" t="n"/>
      <c r="E48" s="15" t="n"/>
      <c r="F48" s="16" t="n"/>
      <c r="G48" s="16" t="n"/>
      <c r="H48" s="25" t="n"/>
      <c r="I48" s="16" t="n"/>
      <c r="J48" s="16" t="n"/>
      <c r="K48" s="27">
        <f>IF(H48="","",IF(H48=0,"",I48/H48))</f>
        <v/>
      </c>
    </row>
    <row r="49" ht="22" customHeight="1">
      <c r="B49" s="18">
        <f>IF(C49="","ABS-"&amp;TEXT(COUNTA($C$5:C49),"000"))</f>
        <v/>
      </c>
      <c r="C49" s="13" t="n"/>
      <c r="D49" s="13" t="n"/>
      <c r="E49" s="13" t="n"/>
      <c r="F49" s="14" t="n"/>
      <c r="G49" s="14" t="n"/>
      <c r="H49" s="24" t="n"/>
      <c r="I49" s="14" t="n"/>
      <c r="J49" s="14" t="n"/>
      <c r="K49" s="26">
        <f>IF(H49="","",IF(H49=0,"",I49/H49))</f>
        <v/>
      </c>
    </row>
    <row r="50" ht="22" customHeight="1">
      <c r="B50" s="17">
        <f>IF(C50="","ABS-"&amp;TEXT(COUNTA($C$5:C50),"000"))</f>
        <v/>
      </c>
      <c r="C50" s="15" t="n"/>
      <c r="D50" s="15" t="n"/>
      <c r="E50" s="15" t="n"/>
      <c r="F50" s="16" t="n"/>
      <c r="G50" s="16" t="n"/>
      <c r="H50" s="25" t="n"/>
      <c r="I50" s="16" t="n"/>
      <c r="J50" s="16" t="n"/>
      <c r="K50" s="27">
        <f>IF(H50="","",IF(H50=0,"",I50/H50))</f>
        <v/>
      </c>
    </row>
    <row r="51" ht="22" customHeight="1">
      <c r="B51" s="18">
        <f>IF(C51="","ABS-"&amp;TEXT(COUNTA($C$5:C51),"000"))</f>
        <v/>
      </c>
      <c r="C51" s="13" t="n"/>
      <c r="D51" s="13" t="n"/>
      <c r="E51" s="13" t="n"/>
      <c r="F51" s="14" t="n"/>
      <c r="G51" s="14" t="n"/>
      <c r="H51" s="24" t="n"/>
      <c r="I51" s="14" t="n"/>
      <c r="J51" s="14" t="n"/>
      <c r="K51" s="26">
        <f>IF(H51="","",IF(H51=0,"",I51/H51))</f>
        <v/>
      </c>
    </row>
    <row r="52" ht="22" customHeight="1">
      <c r="B52" s="17">
        <f>IF(C52="","ABS-"&amp;TEXT(COUNTA($C$5:C52),"000"))</f>
        <v/>
      </c>
      <c r="C52" s="15" t="n"/>
      <c r="D52" s="15" t="n"/>
      <c r="E52" s="15" t="n"/>
      <c r="F52" s="16" t="n"/>
      <c r="G52" s="16" t="n"/>
      <c r="H52" s="25" t="n"/>
      <c r="I52" s="16" t="n"/>
      <c r="J52" s="16" t="n"/>
      <c r="K52" s="27">
        <f>IF(H52="","",IF(H52=0,"",I52/H52))</f>
        <v/>
      </c>
    </row>
    <row r="53" ht="22" customHeight="1">
      <c r="B53" s="18">
        <f>IF(C53="","ABS-"&amp;TEXT(COUNTA($C$5:C53),"000"))</f>
        <v/>
      </c>
      <c r="C53" s="13" t="n"/>
      <c r="D53" s="13" t="n"/>
      <c r="E53" s="13" t="n"/>
      <c r="F53" s="14" t="n"/>
      <c r="G53" s="14" t="n"/>
      <c r="H53" s="24" t="n"/>
      <c r="I53" s="14" t="n"/>
      <c r="J53" s="14" t="n"/>
      <c r="K53" s="26">
        <f>IF(H53="","",IF(H53=0,"",I53/H53))</f>
        <v/>
      </c>
    </row>
    <row r="54" ht="22" customHeight="1">
      <c r="B54" s="17">
        <f>IF(C54="","ABS-"&amp;TEXT(COUNTA($C$5:C54),"000"))</f>
        <v/>
      </c>
      <c r="C54" s="15" t="n"/>
      <c r="D54" s="15" t="n"/>
      <c r="E54" s="15" t="n"/>
      <c r="F54" s="16" t="n"/>
      <c r="G54" s="16" t="n"/>
      <c r="H54" s="25" t="n"/>
      <c r="I54" s="16" t="n"/>
      <c r="J54" s="16" t="n"/>
      <c r="K54" s="27">
        <f>IF(H54="","",IF(H54=0,"",I54/H54))</f>
        <v/>
      </c>
    </row>
    <row r="55" ht="22" customHeight="1">
      <c r="B55" s="18">
        <f>IF(C55="","ABS-"&amp;TEXT(COUNTA($C$5:C55),"000"))</f>
        <v/>
      </c>
      <c r="C55" s="13" t="n"/>
      <c r="D55" s="13" t="n"/>
      <c r="E55" s="13" t="n"/>
      <c r="F55" s="14" t="n"/>
      <c r="G55" s="14" t="n"/>
      <c r="H55" s="24" t="n"/>
      <c r="I55" s="14" t="n"/>
      <c r="J55" s="14" t="n"/>
      <c r="K55" s="26">
        <f>IF(H55="","",IF(H55=0,"",I55/H55))</f>
        <v/>
      </c>
    </row>
    <row r="56" ht="22" customHeight="1">
      <c r="B56" s="17">
        <f>IF(C56="","ABS-"&amp;TEXT(COUNTA($C$5:C56),"000"))</f>
        <v/>
      </c>
      <c r="C56" s="15" t="n"/>
      <c r="D56" s="15" t="n"/>
      <c r="E56" s="15" t="n"/>
      <c r="F56" s="16" t="n"/>
      <c r="G56" s="16" t="n"/>
      <c r="H56" s="25" t="n"/>
      <c r="I56" s="16" t="n"/>
      <c r="J56" s="16" t="n"/>
      <c r="K56" s="27">
        <f>IF(H56="","",IF(H56=0,"",I56/H56))</f>
        <v/>
      </c>
    </row>
    <row r="57" ht="22" customHeight="1">
      <c r="B57" s="18">
        <f>IF(C57="","ABS-"&amp;TEXT(COUNTA($C$5:C57),"000"))</f>
        <v/>
      </c>
      <c r="C57" s="13" t="n"/>
      <c r="D57" s="13" t="n"/>
      <c r="E57" s="13" t="n"/>
      <c r="F57" s="14" t="n"/>
      <c r="G57" s="14" t="n"/>
      <c r="H57" s="24" t="n"/>
      <c r="I57" s="14" t="n"/>
      <c r="J57" s="14" t="n"/>
      <c r="K57" s="26">
        <f>IF(H57="","",IF(H57=0,"",I57/H57))</f>
        <v/>
      </c>
    </row>
    <row r="58" ht="22" customHeight="1">
      <c r="B58" s="17">
        <f>IF(C58="","ABS-"&amp;TEXT(COUNTA($C$5:C58),"000"))</f>
        <v/>
      </c>
      <c r="C58" s="15" t="n"/>
      <c r="D58" s="15" t="n"/>
      <c r="E58" s="15" t="n"/>
      <c r="F58" s="16" t="n"/>
      <c r="G58" s="16" t="n"/>
      <c r="H58" s="25" t="n"/>
      <c r="I58" s="16" t="n"/>
      <c r="J58" s="16" t="n"/>
      <c r="K58" s="27">
        <f>IF(H58="","",IF(H58=0,"",I58/H58))</f>
        <v/>
      </c>
    </row>
    <row r="59" ht="22" customHeight="1">
      <c r="B59" s="18">
        <f>IF(C59="","ABS-"&amp;TEXT(COUNTA($C$5:C59),"000"))</f>
        <v/>
      </c>
      <c r="C59" s="13" t="n"/>
      <c r="D59" s="13" t="n"/>
      <c r="E59" s="13" t="n"/>
      <c r="F59" s="14" t="n"/>
      <c r="G59" s="14" t="n"/>
      <c r="H59" s="24" t="n"/>
      <c r="I59" s="14" t="n"/>
      <c r="J59" s="14" t="n"/>
      <c r="K59" s="26">
        <f>IF(H59="","",IF(H59=0,"",I59/H59))</f>
        <v/>
      </c>
    </row>
    <row r="60" ht="22" customHeight="1">
      <c r="B60" s="17">
        <f>IF(C60="","ABS-"&amp;TEXT(COUNTA($C$5:C60),"000"))</f>
        <v/>
      </c>
      <c r="C60" s="15" t="n"/>
      <c r="D60" s="15" t="n"/>
      <c r="E60" s="15" t="n"/>
      <c r="F60" s="16" t="n"/>
      <c r="G60" s="16" t="n"/>
      <c r="H60" s="25" t="n"/>
      <c r="I60" s="16" t="n"/>
      <c r="J60" s="16" t="n"/>
      <c r="K60" s="27">
        <f>IF(H60="","",IF(H60=0,"",I60/H60))</f>
        <v/>
      </c>
    </row>
    <row r="61" ht="22" customHeight="1">
      <c r="B61" s="18">
        <f>IF(C61="","ABS-"&amp;TEXT(COUNTA($C$5:C61),"000"))</f>
        <v/>
      </c>
      <c r="C61" s="13" t="n"/>
      <c r="D61" s="13" t="n"/>
      <c r="E61" s="13" t="n"/>
      <c r="F61" s="14" t="n"/>
      <c r="G61" s="14" t="n"/>
      <c r="H61" s="24" t="n"/>
      <c r="I61" s="14" t="n"/>
      <c r="J61" s="14" t="n"/>
      <c r="K61" s="26">
        <f>IF(H61="","",IF(H61=0,"",I61/H61))</f>
        <v/>
      </c>
    </row>
    <row r="62" ht="22" customHeight="1">
      <c r="B62" s="17">
        <f>IF(C62="","ABS-"&amp;TEXT(COUNTA($C$5:C62),"000"))</f>
        <v/>
      </c>
      <c r="C62" s="15" t="n"/>
      <c r="D62" s="15" t="n"/>
      <c r="E62" s="15" t="n"/>
      <c r="F62" s="16" t="n"/>
      <c r="G62" s="16" t="n"/>
      <c r="H62" s="25" t="n"/>
      <c r="I62" s="16" t="n"/>
      <c r="J62" s="16" t="n"/>
      <c r="K62" s="27">
        <f>IF(H62="","",IF(H62=0,"",I62/H62))</f>
        <v/>
      </c>
    </row>
    <row r="63" ht="22" customHeight="1">
      <c r="B63" s="18">
        <f>IF(C63="","ABS-"&amp;TEXT(COUNTA($C$5:C63),"000"))</f>
        <v/>
      </c>
      <c r="C63" s="13" t="n"/>
      <c r="D63" s="13" t="n"/>
      <c r="E63" s="13" t="n"/>
      <c r="F63" s="14" t="n"/>
      <c r="G63" s="14" t="n"/>
      <c r="H63" s="24" t="n"/>
      <c r="I63" s="14" t="n"/>
      <c r="J63" s="14" t="n"/>
      <c r="K63" s="26">
        <f>IF(H63="","",IF(H63=0,"",I63/H63))</f>
        <v/>
      </c>
    </row>
    <row r="64" ht="22" customHeight="1">
      <c r="B64" s="17">
        <f>IF(C64="","ABS-"&amp;TEXT(COUNTA($C$5:C64),"000"))</f>
        <v/>
      </c>
      <c r="C64" s="15" t="n"/>
      <c r="D64" s="15" t="n"/>
      <c r="E64" s="15" t="n"/>
      <c r="F64" s="16" t="n"/>
      <c r="G64" s="16" t="n"/>
      <c r="H64" s="25" t="n"/>
      <c r="I64" s="16" t="n"/>
      <c r="J64" s="16" t="n"/>
      <c r="K64" s="27">
        <f>IF(H64="","",IF(H64=0,"",I64/H64))</f>
        <v/>
      </c>
    </row>
    <row r="65" ht="22" customHeight="1">
      <c r="B65" s="18">
        <f>IF(C65="","ABS-"&amp;TEXT(COUNTA($C$5:C65),"000"))</f>
        <v/>
      </c>
      <c r="C65" s="13" t="n"/>
      <c r="D65" s="13" t="n"/>
      <c r="E65" s="13" t="n"/>
      <c r="F65" s="14" t="n"/>
      <c r="G65" s="14" t="n"/>
      <c r="H65" s="24" t="n"/>
      <c r="I65" s="14" t="n"/>
      <c r="J65" s="14" t="n"/>
      <c r="K65" s="26">
        <f>IF(H65="","",IF(H65=0,"",I65/H65))</f>
        <v/>
      </c>
    </row>
    <row r="66" ht="22" customHeight="1">
      <c r="B66" s="17">
        <f>IF(C66="","ABS-"&amp;TEXT(COUNTA($C$5:C66),"000"))</f>
        <v/>
      </c>
      <c r="C66" s="15" t="n"/>
      <c r="D66" s="15" t="n"/>
      <c r="E66" s="15" t="n"/>
      <c r="F66" s="16" t="n"/>
      <c r="G66" s="16" t="n"/>
      <c r="H66" s="25" t="n"/>
      <c r="I66" s="16" t="n"/>
      <c r="J66" s="16" t="n"/>
      <c r="K66" s="27">
        <f>IF(H66="","",IF(H66=0,"",I66/H66))</f>
        <v/>
      </c>
    </row>
    <row r="67" ht="22" customHeight="1">
      <c r="B67" s="18">
        <f>IF(C67="","ABS-"&amp;TEXT(COUNTA($C$5:C67),"000"))</f>
        <v/>
      </c>
      <c r="C67" s="13" t="n"/>
      <c r="D67" s="13" t="n"/>
      <c r="E67" s="13" t="n"/>
      <c r="F67" s="14" t="n"/>
      <c r="G67" s="14" t="n"/>
      <c r="H67" s="24" t="n"/>
      <c r="I67" s="14" t="n"/>
      <c r="J67" s="14" t="n"/>
      <c r="K67" s="26">
        <f>IF(H67="","",IF(H67=0,"",I67/H67))</f>
        <v/>
      </c>
    </row>
    <row r="68" ht="22" customHeight="1">
      <c r="B68" s="17">
        <f>IF(C68="","ABS-"&amp;TEXT(COUNTA($C$5:C68),"000"))</f>
        <v/>
      </c>
      <c r="C68" s="15" t="n"/>
      <c r="D68" s="15" t="n"/>
      <c r="E68" s="15" t="n"/>
      <c r="F68" s="16" t="n"/>
      <c r="G68" s="16" t="n"/>
      <c r="H68" s="25" t="n"/>
      <c r="I68" s="16" t="n"/>
      <c r="J68" s="16" t="n"/>
      <c r="K68" s="27">
        <f>IF(H68="","",IF(H68=0,"",I68/H68))</f>
        <v/>
      </c>
    </row>
    <row r="69" ht="22" customHeight="1">
      <c r="B69" s="18">
        <f>IF(C69="","ABS-"&amp;TEXT(COUNTA($C$5:C69),"000"))</f>
        <v/>
      </c>
      <c r="C69" s="13" t="n"/>
      <c r="D69" s="13" t="n"/>
      <c r="E69" s="13" t="n"/>
      <c r="F69" s="14" t="n"/>
      <c r="G69" s="14" t="n"/>
      <c r="H69" s="24" t="n"/>
      <c r="I69" s="14" t="n"/>
      <c r="J69" s="14" t="n"/>
      <c r="K69" s="26">
        <f>IF(H69="","",IF(H69=0,"",I69/H69))</f>
        <v/>
      </c>
    </row>
    <row r="70" ht="22" customHeight="1">
      <c r="B70" s="17">
        <f>IF(C70="","ABS-"&amp;TEXT(COUNTA($C$5:C70),"000"))</f>
        <v/>
      </c>
      <c r="C70" s="15" t="n"/>
      <c r="D70" s="15" t="n"/>
      <c r="E70" s="15" t="n"/>
      <c r="F70" s="16" t="n"/>
      <c r="G70" s="16" t="n"/>
      <c r="H70" s="25" t="n"/>
      <c r="I70" s="16" t="n"/>
      <c r="J70" s="16" t="n"/>
      <c r="K70" s="27">
        <f>IF(H70="","",IF(H70=0,"",I70/H70))</f>
        <v/>
      </c>
    </row>
    <row r="71" ht="22" customHeight="1">
      <c r="B71" s="18">
        <f>IF(C71="","ABS-"&amp;TEXT(COUNTA($C$5:C71),"000"))</f>
        <v/>
      </c>
      <c r="C71" s="13" t="n"/>
      <c r="D71" s="13" t="n"/>
      <c r="E71" s="13" t="n"/>
      <c r="F71" s="14" t="n"/>
      <c r="G71" s="14" t="n"/>
      <c r="H71" s="24" t="n"/>
      <c r="I71" s="14" t="n"/>
      <c r="J71" s="14" t="n"/>
      <c r="K71" s="26">
        <f>IF(H71="","",IF(H71=0,"",I71/H71))</f>
        <v/>
      </c>
    </row>
    <row r="72" ht="22" customHeight="1">
      <c r="B72" s="17">
        <f>IF(C72="","ABS-"&amp;TEXT(COUNTA($C$5:C72),"000"))</f>
        <v/>
      </c>
      <c r="C72" s="15" t="n"/>
      <c r="D72" s="15" t="n"/>
      <c r="E72" s="15" t="n"/>
      <c r="F72" s="16" t="n"/>
      <c r="G72" s="16" t="n"/>
      <c r="H72" s="25" t="n"/>
      <c r="I72" s="16" t="n"/>
      <c r="J72" s="16" t="n"/>
      <c r="K72" s="27">
        <f>IF(H72="","",IF(H72=0,"",I72/H72))</f>
        <v/>
      </c>
    </row>
    <row r="73" ht="22" customHeight="1">
      <c r="B73" s="18">
        <f>IF(C73="","ABS-"&amp;TEXT(COUNTA($C$5:C73),"000"))</f>
        <v/>
      </c>
      <c r="C73" s="13" t="n"/>
      <c r="D73" s="13" t="n"/>
      <c r="E73" s="13" t="n"/>
      <c r="F73" s="14" t="n"/>
      <c r="G73" s="14" t="n"/>
      <c r="H73" s="24" t="n"/>
      <c r="I73" s="14" t="n"/>
      <c r="J73" s="14" t="n"/>
      <c r="K73" s="26">
        <f>IF(H73="","",IF(H73=0,"",I73/H73))</f>
        <v/>
      </c>
    </row>
    <row r="74" ht="22" customHeight="1">
      <c r="B74" s="17">
        <f>IF(C74="","ABS-"&amp;TEXT(COUNTA($C$5:C74),"000"))</f>
        <v/>
      </c>
      <c r="C74" s="15" t="n"/>
      <c r="D74" s="15" t="n"/>
      <c r="E74" s="15" t="n"/>
      <c r="F74" s="16" t="n"/>
      <c r="G74" s="16" t="n"/>
      <c r="H74" s="25" t="n"/>
      <c r="I74" s="16" t="n"/>
      <c r="J74" s="16" t="n"/>
      <c r="K74" s="27">
        <f>IF(H74="","",IF(H74=0,"",I74/H74))</f>
        <v/>
      </c>
    </row>
    <row r="75" ht="22" customHeight="1">
      <c r="B75" s="18">
        <f>IF(C75="","ABS-"&amp;TEXT(COUNTA($C$5:C75),"000"))</f>
        <v/>
      </c>
      <c r="C75" s="13" t="n"/>
      <c r="D75" s="13" t="n"/>
      <c r="E75" s="13" t="n"/>
      <c r="F75" s="14" t="n"/>
      <c r="G75" s="14" t="n"/>
      <c r="H75" s="24" t="n"/>
      <c r="I75" s="14" t="n"/>
      <c r="J75" s="14" t="n"/>
      <c r="K75" s="26">
        <f>IF(H75="","",IF(H75=0,"",I75/H75))</f>
        <v/>
      </c>
    </row>
    <row r="76" ht="22" customHeight="1">
      <c r="B76" s="17">
        <f>IF(C76="","ABS-"&amp;TEXT(COUNTA($C$5:C76),"000"))</f>
        <v/>
      </c>
      <c r="C76" s="15" t="n"/>
      <c r="D76" s="15" t="n"/>
      <c r="E76" s="15" t="n"/>
      <c r="F76" s="16" t="n"/>
      <c r="G76" s="16" t="n"/>
      <c r="H76" s="25" t="n"/>
      <c r="I76" s="16" t="n"/>
      <c r="J76" s="16" t="n"/>
      <c r="K76" s="27">
        <f>IF(H76="","",IF(H76=0,"",I76/H76))</f>
        <v/>
      </c>
    </row>
    <row r="77" ht="22" customHeight="1">
      <c r="B77" s="18">
        <f>IF(C77="","ABS-"&amp;TEXT(COUNTA($C$5:C77),"000"))</f>
        <v/>
      </c>
      <c r="C77" s="13" t="n"/>
      <c r="D77" s="13" t="n"/>
      <c r="E77" s="13" t="n"/>
      <c r="F77" s="14" t="n"/>
      <c r="G77" s="14" t="n"/>
      <c r="H77" s="24" t="n"/>
      <c r="I77" s="14" t="n"/>
      <c r="J77" s="14" t="n"/>
      <c r="K77" s="26">
        <f>IF(H77="","",IF(H77=0,"",I77/H77))</f>
        <v/>
      </c>
    </row>
    <row r="78" ht="22" customHeight="1">
      <c r="B78" s="17">
        <f>IF(C78="","ABS-"&amp;TEXT(COUNTA($C$5:C78),"000"))</f>
        <v/>
      </c>
      <c r="C78" s="15" t="n"/>
      <c r="D78" s="15" t="n"/>
      <c r="E78" s="15" t="n"/>
      <c r="F78" s="16" t="n"/>
      <c r="G78" s="16" t="n"/>
      <c r="H78" s="25" t="n"/>
      <c r="I78" s="16" t="n"/>
      <c r="J78" s="16" t="n"/>
      <c r="K78" s="27">
        <f>IF(H78="","",IF(H78=0,"",I78/H78))</f>
        <v/>
      </c>
    </row>
    <row r="79" ht="22" customHeight="1">
      <c r="B79" s="18">
        <f>IF(C79="","ABS-"&amp;TEXT(COUNTA($C$5:C79),"000"))</f>
        <v/>
      </c>
      <c r="C79" s="13" t="n"/>
      <c r="D79" s="13" t="n"/>
      <c r="E79" s="13" t="n"/>
      <c r="F79" s="14" t="n"/>
      <c r="G79" s="14" t="n"/>
      <c r="H79" s="24" t="n"/>
      <c r="I79" s="14" t="n"/>
      <c r="J79" s="14" t="n"/>
      <c r="K79" s="26">
        <f>IF(H79="","",IF(H79=0,"",I79/H79))</f>
        <v/>
      </c>
    </row>
    <row r="80" ht="22" customHeight="1">
      <c r="B80" s="17">
        <f>IF(C80="","ABS-"&amp;TEXT(COUNTA($C$5:C80),"000"))</f>
        <v/>
      </c>
      <c r="C80" s="15" t="n"/>
      <c r="D80" s="15" t="n"/>
      <c r="E80" s="15" t="n"/>
      <c r="F80" s="16" t="n"/>
      <c r="G80" s="16" t="n"/>
      <c r="H80" s="25" t="n"/>
      <c r="I80" s="16" t="n"/>
      <c r="J80" s="16" t="n"/>
      <c r="K80" s="27">
        <f>IF(H80="","",IF(H80=0,"",I80/H80))</f>
        <v/>
      </c>
    </row>
    <row r="81" ht="22" customHeight="1">
      <c r="B81" s="18">
        <f>IF(C81="","ABS-"&amp;TEXT(COUNTA($C$5:C81),"000"))</f>
        <v/>
      </c>
      <c r="C81" s="13" t="n"/>
      <c r="D81" s="13" t="n"/>
      <c r="E81" s="13" t="n"/>
      <c r="F81" s="14" t="n"/>
      <c r="G81" s="14" t="n"/>
      <c r="H81" s="24" t="n"/>
      <c r="I81" s="14" t="n"/>
      <c r="J81" s="14" t="n"/>
      <c r="K81" s="26">
        <f>IF(H81="","",IF(H81=0,"",I81/H81))</f>
        <v/>
      </c>
    </row>
    <row r="82" ht="22" customHeight="1">
      <c r="B82" s="17">
        <f>IF(C82="","ABS-"&amp;TEXT(COUNTA($C$5:C82),"000"))</f>
        <v/>
      </c>
      <c r="C82" s="15" t="n"/>
      <c r="D82" s="15" t="n"/>
      <c r="E82" s="15" t="n"/>
      <c r="F82" s="16" t="n"/>
      <c r="G82" s="16" t="n"/>
      <c r="H82" s="25" t="n"/>
      <c r="I82" s="16" t="n"/>
      <c r="J82" s="16" t="n"/>
      <c r="K82" s="27">
        <f>IF(H82="","",IF(H82=0,"",I82/H82))</f>
        <v/>
      </c>
    </row>
    <row r="83" ht="22" customHeight="1">
      <c r="B83" s="18">
        <f>IF(C83="","ABS-"&amp;TEXT(COUNTA($C$5:C83),"000"))</f>
        <v/>
      </c>
      <c r="C83" s="13" t="n"/>
      <c r="D83" s="13" t="n"/>
      <c r="E83" s="13" t="n"/>
      <c r="F83" s="14" t="n"/>
      <c r="G83" s="14" t="n"/>
      <c r="H83" s="24" t="n"/>
      <c r="I83" s="14" t="n"/>
      <c r="J83" s="14" t="n"/>
      <c r="K83" s="26">
        <f>IF(H83="","",IF(H83=0,"",I83/H83))</f>
        <v/>
      </c>
    </row>
    <row r="84" ht="22" customHeight="1">
      <c r="B84" s="17">
        <f>IF(C84="","ABS-"&amp;TEXT(COUNTA($C$5:C84),"000"))</f>
        <v/>
      </c>
      <c r="C84" s="15" t="n"/>
      <c r="D84" s="15" t="n"/>
      <c r="E84" s="15" t="n"/>
      <c r="F84" s="16" t="n"/>
      <c r="G84" s="16" t="n"/>
      <c r="H84" s="25" t="n"/>
      <c r="I84" s="16" t="n"/>
      <c r="J84" s="16" t="n"/>
      <c r="K84" s="27">
        <f>IF(H84="","",IF(H84=0,"",I84/H84))</f>
        <v/>
      </c>
    </row>
    <row r="85" ht="22" customHeight="1">
      <c r="B85" s="18">
        <f>IF(C85="","ABS-"&amp;TEXT(COUNTA($C$5:C85),"000"))</f>
        <v/>
      </c>
      <c r="C85" s="13" t="n"/>
      <c r="D85" s="13" t="n"/>
      <c r="E85" s="13" t="n"/>
      <c r="F85" s="14" t="n"/>
      <c r="G85" s="14" t="n"/>
      <c r="H85" s="24" t="n"/>
      <c r="I85" s="14" t="n"/>
      <c r="J85" s="14" t="n"/>
      <c r="K85" s="26">
        <f>IF(H85="","",IF(H85=0,"",I85/H85))</f>
        <v/>
      </c>
    </row>
    <row r="86" ht="22" customHeight="1">
      <c r="B86" s="17">
        <f>IF(C86="","ABS-"&amp;TEXT(COUNTA($C$5:C86),"000"))</f>
        <v/>
      </c>
      <c r="C86" s="15" t="n"/>
      <c r="D86" s="15" t="n"/>
      <c r="E86" s="15" t="n"/>
      <c r="F86" s="16" t="n"/>
      <c r="G86" s="16" t="n"/>
      <c r="H86" s="25" t="n"/>
      <c r="I86" s="16" t="n"/>
      <c r="J86" s="16" t="n"/>
      <c r="K86" s="27">
        <f>IF(H86="","",IF(H86=0,"",I86/H86))</f>
        <v/>
      </c>
    </row>
    <row r="87" ht="22" customHeight="1">
      <c r="B87" s="18">
        <f>IF(C87="","ABS-"&amp;TEXT(COUNTA($C$5:C87),"000"))</f>
        <v/>
      </c>
      <c r="C87" s="13" t="n"/>
      <c r="D87" s="13" t="n"/>
      <c r="E87" s="13" t="n"/>
      <c r="F87" s="14" t="n"/>
      <c r="G87" s="14" t="n"/>
      <c r="H87" s="24" t="n"/>
      <c r="I87" s="14" t="n"/>
      <c r="J87" s="14" t="n"/>
      <c r="K87" s="26">
        <f>IF(H87="","",IF(H87=0,"",I87/H87))</f>
        <v/>
      </c>
    </row>
    <row r="88" ht="22" customHeight="1">
      <c r="B88" s="17">
        <f>IF(C88="","ABS-"&amp;TEXT(COUNTA($C$5:C88),"000"))</f>
        <v/>
      </c>
      <c r="C88" s="15" t="n"/>
      <c r="D88" s="15" t="n"/>
      <c r="E88" s="15" t="n"/>
      <c r="F88" s="16" t="n"/>
      <c r="G88" s="16" t="n"/>
      <c r="H88" s="25" t="n"/>
      <c r="I88" s="16" t="n"/>
      <c r="J88" s="16" t="n"/>
      <c r="K88" s="27">
        <f>IF(H88="","",IF(H88=0,"",I88/H88))</f>
        <v/>
      </c>
    </row>
    <row r="89" ht="22" customHeight="1">
      <c r="B89" s="18">
        <f>IF(C89="","ABS-"&amp;TEXT(COUNTA($C$5:C89),"000"))</f>
        <v/>
      </c>
      <c r="C89" s="13" t="n"/>
      <c r="D89" s="13" t="n"/>
      <c r="E89" s="13" t="n"/>
      <c r="F89" s="14" t="n"/>
      <c r="G89" s="14" t="n"/>
      <c r="H89" s="24" t="n"/>
      <c r="I89" s="14" t="n"/>
      <c r="J89" s="14" t="n"/>
      <c r="K89" s="26">
        <f>IF(H89="","",IF(H89=0,"",I89/H89))</f>
        <v/>
      </c>
    </row>
    <row r="90" ht="22" customHeight="1">
      <c r="B90" s="17">
        <f>IF(C90="","ABS-"&amp;TEXT(COUNTA($C$5:C90),"000"))</f>
        <v/>
      </c>
      <c r="C90" s="15" t="n"/>
      <c r="D90" s="15" t="n"/>
      <c r="E90" s="15" t="n"/>
      <c r="F90" s="16" t="n"/>
      <c r="G90" s="16" t="n"/>
      <c r="H90" s="25" t="n"/>
      <c r="I90" s="16" t="n"/>
      <c r="J90" s="16" t="n"/>
      <c r="K90" s="27">
        <f>IF(H90="","",IF(H90=0,"",I90/H90))</f>
        <v/>
      </c>
    </row>
    <row r="91" ht="22" customHeight="1">
      <c r="B91" s="18">
        <f>IF(C91="","ABS-"&amp;TEXT(COUNTA($C$5:C91),"000"))</f>
        <v/>
      </c>
      <c r="C91" s="13" t="n"/>
      <c r="D91" s="13" t="n"/>
      <c r="E91" s="13" t="n"/>
      <c r="F91" s="14" t="n"/>
      <c r="G91" s="14" t="n"/>
      <c r="H91" s="24" t="n"/>
      <c r="I91" s="14" t="n"/>
      <c r="J91" s="14" t="n"/>
      <c r="K91" s="26">
        <f>IF(H91="","",IF(H91=0,"",I91/H91))</f>
        <v/>
      </c>
    </row>
    <row r="92" ht="22" customHeight="1">
      <c r="B92" s="17">
        <f>IF(C92="","ABS-"&amp;TEXT(COUNTA($C$5:C92),"000"))</f>
        <v/>
      </c>
      <c r="C92" s="15" t="n"/>
      <c r="D92" s="15" t="n"/>
      <c r="E92" s="15" t="n"/>
      <c r="F92" s="16" t="n"/>
      <c r="G92" s="16" t="n"/>
      <c r="H92" s="25" t="n"/>
      <c r="I92" s="16" t="n"/>
      <c r="J92" s="16" t="n"/>
      <c r="K92" s="27">
        <f>IF(H92="","",IF(H92=0,"",I92/H92))</f>
        <v/>
      </c>
    </row>
    <row r="93" ht="22" customHeight="1">
      <c r="B93" s="18">
        <f>IF(C93="","ABS-"&amp;TEXT(COUNTA($C$5:C93),"000"))</f>
        <v/>
      </c>
      <c r="C93" s="13" t="n"/>
      <c r="D93" s="13" t="n"/>
      <c r="E93" s="13" t="n"/>
      <c r="F93" s="14" t="n"/>
      <c r="G93" s="14" t="n"/>
      <c r="H93" s="24" t="n"/>
      <c r="I93" s="14" t="n"/>
      <c r="J93" s="14" t="n"/>
      <c r="K93" s="26">
        <f>IF(H93="","",IF(H93=0,"",I93/H93))</f>
        <v/>
      </c>
    </row>
    <row r="94" ht="22" customHeight="1">
      <c r="B94" s="17">
        <f>IF(C94="","ABS-"&amp;TEXT(COUNTA($C$5:C94),"000"))</f>
        <v/>
      </c>
      <c r="C94" s="15" t="n"/>
      <c r="D94" s="15" t="n"/>
      <c r="E94" s="15" t="n"/>
      <c r="F94" s="16" t="n"/>
      <c r="G94" s="16" t="n"/>
      <c r="H94" s="25" t="n"/>
      <c r="I94" s="16" t="n"/>
      <c r="J94" s="16" t="n"/>
      <c r="K94" s="27">
        <f>IF(H94="","",IF(H94=0,"",I94/H94))</f>
        <v/>
      </c>
    </row>
    <row r="95" ht="22" customHeight="1">
      <c r="B95" s="18">
        <f>IF(C95="","ABS-"&amp;TEXT(COUNTA($C$5:C95),"000"))</f>
        <v/>
      </c>
      <c r="C95" s="13" t="n"/>
      <c r="D95" s="13" t="n"/>
      <c r="E95" s="13" t="n"/>
      <c r="F95" s="14" t="n"/>
      <c r="G95" s="14" t="n"/>
      <c r="H95" s="24" t="n"/>
      <c r="I95" s="14" t="n"/>
      <c r="J95" s="14" t="n"/>
      <c r="K95" s="26">
        <f>IF(H95="","",IF(H95=0,"",I95/H95))</f>
        <v/>
      </c>
    </row>
    <row r="96" ht="22" customHeight="1">
      <c r="B96" s="17">
        <f>IF(C96="","ABS-"&amp;TEXT(COUNTA($C$5:C96),"000"))</f>
        <v/>
      </c>
      <c r="C96" s="15" t="n"/>
      <c r="D96" s="15" t="n"/>
      <c r="E96" s="15" t="n"/>
      <c r="F96" s="16" t="n"/>
      <c r="G96" s="16" t="n"/>
      <c r="H96" s="25" t="n"/>
      <c r="I96" s="16" t="n"/>
      <c r="J96" s="16" t="n"/>
      <c r="K96" s="27">
        <f>IF(H96="","",IF(H96=0,"",I96/H96))</f>
        <v/>
      </c>
    </row>
    <row r="97" ht="22" customHeight="1">
      <c r="B97" s="18">
        <f>IF(C97="","ABS-"&amp;TEXT(COUNTA($C$5:C97),"000"))</f>
        <v/>
      </c>
      <c r="C97" s="13" t="n"/>
      <c r="D97" s="13" t="n"/>
      <c r="E97" s="13" t="n"/>
      <c r="F97" s="14" t="n"/>
      <c r="G97" s="14" t="n"/>
      <c r="H97" s="24" t="n"/>
      <c r="I97" s="14" t="n"/>
      <c r="J97" s="14" t="n"/>
      <c r="K97" s="26">
        <f>IF(H97="","",IF(H97=0,"",I97/H97))</f>
        <v/>
      </c>
    </row>
    <row r="98" ht="22" customHeight="1">
      <c r="B98" s="17">
        <f>IF(C98="","ABS-"&amp;TEXT(COUNTA($C$5:C98),"000"))</f>
        <v/>
      </c>
      <c r="C98" s="15" t="n"/>
      <c r="D98" s="15" t="n"/>
      <c r="E98" s="15" t="n"/>
      <c r="F98" s="16" t="n"/>
      <c r="G98" s="16" t="n"/>
      <c r="H98" s="25" t="n"/>
      <c r="I98" s="16" t="n"/>
      <c r="J98" s="16" t="n"/>
      <c r="K98" s="27">
        <f>IF(H98="","",IF(H98=0,"",I98/H98))</f>
        <v/>
      </c>
    </row>
    <row r="99" ht="22" customHeight="1">
      <c r="B99" s="18">
        <f>IF(C99="","ABS-"&amp;TEXT(COUNTA($C$5:C99),"000"))</f>
        <v/>
      </c>
      <c r="C99" s="13" t="n"/>
      <c r="D99" s="13" t="n"/>
      <c r="E99" s="13" t="n"/>
      <c r="F99" s="14" t="n"/>
      <c r="G99" s="14" t="n"/>
      <c r="H99" s="24" t="n"/>
      <c r="I99" s="14" t="n"/>
      <c r="J99" s="14" t="n"/>
      <c r="K99" s="26">
        <f>IF(H99="","",IF(H99=0,"",I99/H99))</f>
        <v/>
      </c>
    </row>
    <row r="100" ht="22" customHeight="1">
      <c r="B100" s="17">
        <f>IF(C100="","ABS-"&amp;TEXT(COUNTA($C$5:C100),"000"))</f>
        <v/>
      </c>
      <c r="C100" s="15" t="n"/>
      <c r="D100" s="15" t="n"/>
      <c r="E100" s="15" t="n"/>
      <c r="F100" s="16" t="n"/>
      <c r="G100" s="16" t="n"/>
      <c r="H100" s="25" t="n"/>
      <c r="I100" s="16" t="n"/>
      <c r="J100" s="16" t="n"/>
      <c r="K100" s="27">
        <f>IF(H100="","",IF(H100=0,"",I100/H100))</f>
        <v/>
      </c>
    </row>
    <row r="101" ht="22" customHeight="1">
      <c r="B101" s="18">
        <f>IF(C101="","ABS-"&amp;TEXT(COUNTA($C$5:C101),"000"))</f>
        <v/>
      </c>
      <c r="C101" s="13" t="n"/>
      <c r="D101" s="13" t="n"/>
      <c r="E101" s="13" t="n"/>
      <c r="F101" s="14" t="n"/>
      <c r="G101" s="14" t="n"/>
      <c r="H101" s="24" t="n"/>
      <c r="I101" s="14" t="n"/>
      <c r="J101" s="14" t="n"/>
      <c r="K101" s="26">
        <f>IF(H101="","",IF(H101=0,"",I101/H101))</f>
        <v/>
      </c>
    </row>
    <row r="102" ht="22" customHeight="1">
      <c r="B102" s="17">
        <f>IF(C102="","ABS-"&amp;TEXT(COUNTA($C$5:C102),"000"))</f>
        <v/>
      </c>
      <c r="C102" s="15" t="n"/>
      <c r="D102" s="15" t="n"/>
      <c r="E102" s="15" t="n"/>
      <c r="F102" s="16" t="n"/>
      <c r="G102" s="16" t="n"/>
      <c r="H102" s="25" t="n"/>
      <c r="I102" s="16" t="n"/>
      <c r="J102" s="16" t="n"/>
      <c r="K102" s="27">
        <f>IF(H102="","",IF(H102=0,"",I102/H102))</f>
        <v/>
      </c>
    </row>
    <row r="103" ht="22" customHeight="1">
      <c r="B103" s="18">
        <f>IF(C103="","ABS-"&amp;TEXT(COUNTA($C$5:C103),"000"))</f>
        <v/>
      </c>
      <c r="C103" s="13" t="n"/>
      <c r="D103" s="13" t="n"/>
      <c r="E103" s="13" t="n"/>
      <c r="F103" s="14" t="n"/>
      <c r="G103" s="14" t="n"/>
      <c r="H103" s="24" t="n"/>
      <c r="I103" s="14" t="n"/>
      <c r="J103" s="14" t="n"/>
      <c r="K103" s="26">
        <f>IF(H103="","",IF(H103=0,"",I103/H103))</f>
        <v/>
      </c>
    </row>
    <row r="104" ht="22" customHeight="1">
      <c r="B104" s="17">
        <f>IF(C104="","ABS-"&amp;TEXT(COUNTA($C$5:C104),"000"))</f>
        <v/>
      </c>
      <c r="C104" s="15" t="n"/>
      <c r="D104" s="15" t="n"/>
      <c r="E104" s="15" t="n"/>
      <c r="F104" s="16" t="n"/>
      <c r="G104" s="16" t="n"/>
      <c r="H104" s="25" t="n"/>
      <c r="I104" s="16" t="n"/>
      <c r="J104" s="16" t="n"/>
      <c r="K104" s="27">
        <f>IF(H104="","",IF(H104=0,"",I104/H104))</f>
        <v/>
      </c>
    </row>
    <row r="105" ht="22" customHeight="1">
      <c r="B105" s="18">
        <f>IF(C105="","ABS-"&amp;TEXT(COUNTA($C$5:C105),"000"))</f>
        <v/>
      </c>
      <c r="C105" s="13" t="n"/>
      <c r="D105" s="13" t="n"/>
      <c r="E105" s="13" t="n"/>
      <c r="F105" s="14" t="n"/>
      <c r="G105" s="14" t="n"/>
      <c r="H105" s="24" t="n"/>
      <c r="I105" s="14" t="n"/>
      <c r="J105" s="14" t="n"/>
      <c r="K105" s="26">
        <f>IF(H105="","",IF(H105=0,"",I105/H105))</f>
        <v/>
      </c>
    </row>
    <row r="106" ht="22" customHeight="1">
      <c r="B106" s="17">
        <f>IF(C106="","ABS-"&amp;TEXT(COUNTA($C$5:C106),"000"))</f>
        <v/>
      </c>
      <c r="C106" s="15" t="n"/>
      <c r="D106" s="15" t="n"/>
      <c r="E106" s="15" t="n"/>
      <c r="F106" s="16" t="n"/>
      <c r="G106" s="16" t="n"/>
      <c r="H106" s="25" t="n"/>
      <c r="I106" s="16" t="n"/>
      <c r="J106" s="16" t="n"/>
      <c r="K106" s="27">
        <f>IF(H106="","",IF(H106=0,"",I106/H106))</f>
        <v/>
      </c>
    </row>
    <row r="107" ht="22" customHeight="1">
      <c r="B107" s="18">
        <f>IF(C107="","ABS-"&amp;TEXT(COUNTA($C$5:C107),"000"))</f>
        <v/>
      </c>
      <c r="C107" s="13" t="n"/>
      <c r="D107" s="13" t="n"/>
      <c r="E107" s="13" t="n"/>
      <c r="F107" s="14" t="n"/>
      <c r="G107" s="14" t="n"/>
      <c r="H107" s="24" t="n"/>
      <c r="I107" s="14" t="n"/>
      <c r="J107" s="14" t="n"/>
      <c r="K107" s="26">
        <f>IF(H107="","",IF(H107=0,"",I107/H107))</f>
        <v/>
      </c>
    </row>
    <row r="108" ht="22" customHeight="1">
      <c r="B108" s="17">
        <f>IF(C108="","ABS-"&amp;TEXT(COUNTA($C$5:C108),"000"))</f>
        <v/>
      </c>
      <c r="C108" s="15" t="n"/>
      <c r="D108" s="15" t="n"/>
      <c r="E108" s="15" t="n"/>
      <c r="F108" s="16" t="n"/>
      <c r="G108" s="16" t="n"/>
      <c r="H108" s="25" t="n"/>
      <c r="I108" s="16" t="n"/>
      <c r="J108" s="16" t="n"/>
      <c r="K108" s="27">
        <f>IF(H108="","",IF(H108=0,"",I108/H108))</f>
        <v/>
      </c>
    </row>
    <row r="109" ht="22" customHeight="1">
      <c r="B109" s="18">
        <f>IF(C109="","ABS-"&amp;TEXT(COUNTA($C$5:C109),"000"))</f>
        <v/>
      </c>
      <c r="C109" s="13" t="n"/>
      <c r="D109" s="13" t="n"/>
      <c r="E109" s="13" t="n"/>
      <c r="F109" s="14" t="n"/>
      <c r="G109" s="14" t="n"/>
      <c r="H109" s="24" t="n"/>
      <c r="I109" s="14" t="n"/>
      <c r="J109" s="14" t="n"/>
      <c r="K109" s="26">
        <f>IF(H109="","",IF(H109=0,"",I109/H109))</f>
        <v/>
      </c>
    </row>
    <row r="110" ht="22" customHeight="1">
      <c r="B110" s="17">
        <f>IF(C110="","ABS-"&amp;TEXT(COUNTA($C$5:C110),"000"))</f>
        <v/>
      </c>
      <c r="C110" s="15" t="n"/>
      <c r="D110" s="15" t="n"/>
      <c r="E110" s="15" t="n"/>
      <c r="F110" s="16" t="n"/>
      <c r="G110" s="16" t="n"/>
      <c r="H110" s="25" t="n"/>
      <c r="I110" s="16" t="n"/>
      <c r="J110" s="16" t="n"/>
      <c r="K110" s="27">
        <f>IF(H110="","",IF(H110=0,"",I110/H110))</f>
        <v/>
      </c>
    </row>
    <row r="111" ht="22" customHeight="1">
      <c r="B111" s="18">
        <f>IF(C111="","ABS-"&amp;TEXT(COUNTA($C$5:C111),"000"))</f>
        <v/>
      </c>
      <c r="C111" s="13" t="n"/>
      <c r="D111" s="13" t="n"/>
      <c r="E111" s="13" t="n"/>
      <c r="F111" s="14" t="n"/>
      <c r="G111" s="14" t="n"/>
      <c r="H111" s="24" t="n"/>
      <c r="I111" s="14" t="n"/>
      <c r="J111" s="14" t="n"/>
      <c r="K111" s="26">
        <f>IF(H111="","",IF(H111=0,"",I111/H111))</f>
        <v/>
      </c>
    </row>
    <row r="113" ht="26" customHeight="1">
      <c r="B113" s="19" t="inlineStr">
        <is>
          <t>TOTAL</t>
        </is>
      </c>
      <c r="C113" s="20" t="n"/>
      <c r="D113" s="20" t="n"/>
      <c r="E113" s="20" t="n"/>
      <c r="F113" s="21">
        <f>SUM(F5:F104)</f>
        <v/>
      </c>
      <c r="G113" s="21">
        <f>SUM(G5:G104)</f>
        <v/>
      </c>
      <c r="H113" s="21">
        <f>SUM(H5:H104)</f>
        <v/>
      </c>
      <c r="I113" s="21">
        <f>SUM(I5:I104)</f>
        <v/>
      </c>
      <c r="J113" s="21">
        <f>SUM(J5:J104)</f>
        <v/>
      </c>
      <c r="K113" s="20" t="n"/>
    </row>
    <row r="115">
      <c r="B115" s="6" t="inlineStr">
        <is>
          <t>INDICATEURS (mis a jour automatiquement)</t>
        </is>
      </c>
    </row>
    <row r="116">
      <c r="B116" s="3" t="inlineStr">
        <is>
          <t>Taux moyen hotel</t>
        </is>
      </c>
      <c r="D116" s="3" t="inlineStr">
        <is>
          <t>Total jours absence</t>
        </is>
      </c>
      <c r="F116" s="3" t="inlineStr">
        <is>
          <t>Total jours maladie</t>
        </is>
      </c>
      <c r="H116" s="3" t="inlineStr">
        <is>
          <t>Services suives</t>
        </is>
      </c>
    </row>
    <row r="117">
      <c r="B117" s="4">
        <f>IFERROR(AVERAGE(K5:K104),0)</f>
        <v/>
      </c>
      <c r="D117" s="4">
        <f>SUM(I5:I104)</f>
        <v/>
      </c>
      <c r="F117" s="4">
        <f>SUM(J5:J104)</f>
        <v/>
      </c>
      <c r="H117" s="4">
        <f>COUNTIF(B5:B104,"&lt;&gt;")</f>
        <v/>
      </c>
    </row>
  </sheetData>
  <mergeCells count="3">
    <mergeCell ref="B115:K115"/>
    <mergeCell ref="B3:K3"/>
    <mergeCell ref="B2:K2"/>
  </mergeCells>
  <conditionalFormatting sqref="B12:B111">
    <cfRule type="expression" priority="1" dxfId="3">
      <formula>AND($C12="",$C11&lt;&gt;"")</formula>
    </cfRule>
  </conditionalFormatting>
  <conditionalFormatting sqref="C12:C111">
    <cfRule type="expression" priority="2" dxfId="3">
      <formula>AND($C12="",$C11&lt;&gt;"")</formula>
    </cfRule>
  </conditionalFormatting>
  <conditionalFormatting sqref="D12:D111">
    <cfRule type="expression" priority="3" dxfId="3">
      <formula>AND($C12="",$C11&lt;&gt;"")</formula>
    </cfRule>
  </conditionalFormatting>
  <conditionalFormatting sqref="E12:E111">
    <cfRule type="expression" priority="4" dxfId="3">
      <formula>AND($C12="",$C11&lt;&gt;"")</formula>
    </cfRule>
  </conditionalFormatting>
  <conditionalFormatting sqref="F12:F111">
    <cfRule type="expression" priority="5" dxfId="3">
      <formula>AND($C12="",$C11&lt;&gt;"")</formula>
    </cfRule>
  </conditionalFormatting>
  <conditionalFormatting sqref="G12:G111">
    <cfRule type="expression" priority="6" dxfId="3">
      <formula>AND($C12="",$C11&lt;&gt;"")</formula>
    </cfRule>
  </conditionalFormatting>
  <conditionalFormatting sqref="H12:H111">
    <cfRule type="expression" priority="7" dxfId="3">
      <formula>AND($C12="",$C11&lt;&gt;"")</formula>
    </cfRule>
  </conditionalFormatting>
  <conditionalFormatting sqref="I12:I111">
    <cfRule type="expression" priority="8" dxfId="3">
      <formula>AND($C12="",$C11&lt;&gt;"")</formula>
    </cfRule>
  </conditionalFormatting>
  <conditionalFormatting sqref="J12:J111">
    <cfRule type="expression" priority="9" dxfId="3">
      <formula>AND($C12="",$C11&lt;&gt;"")</formula>
    </cfRule>
  </conditionalFormatting>
  <conditionalFormatting sqref="K12:K111">
    <cfRule type="expression" priority="10" dxfId="3">
      <formula>AND($C12="",$C11&lt;&gt;"")</formula>
    </cfRule>
  </conditionalFormatting>
  <dataValidations count="3">
    <dataValidation sqref="C5:C111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D5:D111" showDropDown="0" showInputMessage="0" showErrorMessage="0" allowBlank="1" errorTitle="Erreur" error="Valeur invalide" promptTitle="Liste" prompt="Choisir dans la liste" type="list">
      <formula1>'_Lists'!$R$2:$R$13</formula1>
    </dataValidation>
    <dataValidation sqref="E5:E111" showDropDown="0" showInputMessage="0" showErrorMessage="0" allowBlank="1" errorTitle="Erreur" error="Valeur invalide" promptTitle="Liste" prompt="Choisir dans la liste" type="list">
      <formula1>'_Lists'!$S$2:$S$4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M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14" customWidth="1" min="13" max="13"/>
  </cols>
  <sheetData>
    <row r="1" ht="15" customHeight="1"/>
    <row r="2" ht="32" customHeight="1">
      <c r="B2" s="1" t="inlineStr">
        <is>
          <t>TABLEAU DE PRESENCE / JOURNAL DE POINTAGE (#62)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Date</t>
        </is>
      </c>
      <c r="G4" s="12" t="inlineStr">
        <is>
          <t>Heure Arrivee</t>
        </is>
      </c>
      <c r="H4" s="12" t="inlineStr">
        <is>
          <t>Heure Depart</t>
        </is>
      </c>
      <c r="I4" s="12" t="inlineStr">
        <is>
          <t>Presence (h)</t>
        </is>
      </c>
      <c r="J4" s="12" t="inlineStr">
        <is>
          <t>Absence</t>
        </is>
      </c>
      <c r="K4" s="12" t="inlineStr">
        <is>
          <t>Retard (min)</t>
        </is>
      </c>
      <c r="L4" s="12" t="inlineStr">
        <is>
          <t>Type Absence</t>
        </is>
      </c>
      <c r="M4" s="12" t="inlineStr">
        <is>
          <t>Statut</t>
        </is>
      </c>
    </row>
    <row r="5" ht="22" customHeight="1">
      <c r="B5" s="13" t="inlineStr">
        <is>
          <t>JP-001</t>
        </is>
      </c>
      <c r="C5" s="13" t="inlineStr">
        <is>
          <t>EMP-001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32" t="n">
        <v>45810</v>
      </c>
      <c r="G5" s="13" t="inlineStr">
        <is>
          <t>07h55</t>
        </is>
      </c>
      <c r="H5" s="13" t="inlineStr">
        <is>
          <t>17h10</t>
        </is>
      </c>
      <c r="I5" s="28" t="n">
        <v>8.25</v>
      </c>
      <c r="J5" s="13" t="inlineStr"/>
      <c r="K5" s="14" t="n">
        <v>0</v>
      </c>
      <c r="L5" s="13" t="inlineStr"/>
      <c r="M5" s="13" t="inlineStr">
        <is>
          <t>Valide</t>
        </is>
      </c>
    </row>
    <row r="6" ht="22" customHeight="1">
      <c r="B6" s="15" t="inlineStr">
        <is>
          <t>JP-002</t>
        </is>
      </c>
      <c r="C6" s="15" t="inlineStr">
        <is>
          <t>EMP-002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33" t="n">
        <v>45810</v>
      </c>
      <c r="G6" s="15" t="inlineStr">
        <is>
          <t>08h15</t>
        </is>
      </c>
      <c r="H6" s="15" t="inlineStr">
        <is>
          <t>17h30</t>
        </is>
      </c>
      <c r="I6" s="29" t="n">
        <v>8.25</v>
      </c>
      <c r="J6" s="15" t="inlineStr"/>
      <c r="K6" s="16" t="n">
        <v>15</v>
      </c>
      <c r="L6" s="15" t="inlineStr"/>
      <c r="M6" s="15" t="inlineStr">
        <is>
          <t>Valide</t>
        </is>
      </c>
    </row>
    <row r="7" ht="22" customHeight="1">
      <c r="B7" s="13" t="inlineStr">
        <is>
          <t>JP-003</t>
        </is>
      </c>
      <c r="C7" s="13" t="inlineStr">
        <is>
          <t>EMP-003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32" t="n">
        <v>45811</v>
      </c>
      <c r="G7" s="13" t="inlineStr"/>
      <c r="H7" s="13" t="inlineStr"/>
      <c r="I7" s="28" t="n">
        <v>0</v>
      </c>
      <c r="J7" s="13" t="inlineStr">
        <is>
          <t>Arret maladie</t>
        </is>
      </c>
      <c r="K7" s="14" t="n">
        <v>0</v>
      </c>
      <c r="L7" s="13" t="inlineStr">
        <is>
          <t>Arret maladie</t>
        </is>
      </c>
      <c r="M7" s="13" t="inlineStr">
        <is>
          <t>Valide</t>
        </is>
      </c>
    </row>
    <row r="8" ht="22" customHeight="1">
      <c r="B8" s="15" t="inlineStr">
        <is>
          <t>JP-004</t>
        </is>
      </c>
      <c r="C8" s="15" t="inlineStr">
        <is>
          <t>EMP-004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33" t="n">
        <v>45810</v>
      </c>
      <c r="G8" s="15" t="inlineStr">
        <is>
          <t>06h00</t>
        </is>
      </c>
      <c r="H8" s="15" t="inlineStr">
        <is>
          <t>14h10</t>
        </is>
      </c>
      <c r="I8" s="29" t="n">
        <v>7.67</v>
      </c>
      <c r="J8" s="15" t="inlineStr"/>
      <c r="K8" s="16" t="n">
        <v>0</v>
      </c>
      <c r="L8" s="15" t="inlineStr"/>
      <c r="M8" s="15" t="inlineStr">
        <is>
          <t>Valide</t>
        </is>
      </c>
    </row>
    <row r="9" ht="22" customHeight="1">
      <c r="B9" s="13" t="inlineStr">
        <is>
          <t>JP-005</t>
        </is>
      </c>
      <c r="C9" s="13" t="inlineStr">
        <is>
          <t>EMP-005</t>
        </is>
      </c>
      <c r="D9" s="13">
        <f>IF(C9="","",VLOOKUP(C9,'_Données Employés'!$B$5:$H$18,4,FALSE)&amp;" "&amp;VLOOKUP(C9,'_Données Employés'!$B$5:$H$18,5,FALSE))</f>
        <v/>
      </c>
      <c r="E9" s="13">
        <f>IF(C9="","",VLOOKUP(C9,'_Données Employés'!$B$5:$H$18,6,FALSE))</f>
        <v/>
      </c>
      <c r="F9" s="32" t="n">
        <v>45810</v>
      </c>
      <c r="G9" s="13" t="inlineStr">
        <is>
          <t>06h10</t>
        </is>
      </c>
      <c r="H9" s="13" t="inlineStr">
        <is>
          <t>14h00</t>
        </is>
      </c>
      <c r="I9" s="28" t="n">
        <v>7.67</v>
      </c>
      <c r="J9" s="13" t="inlineStr"/>
      <c r="K9" s="14" t="n">
        <v>10</v>
      </c>
      <c r="L9" s="13" t="inlineStr"/>
      <c r="M9" s="13" t="inlineStr">
        <is>
          <t>Valide</t>
        </is>
      </c>
    </row>
    <row r="10" ht="22" customHeight="1">
      <c r="B10" s="13" t="inlineStr">
        <is>
          <t>JP-028</t>
        </is>
      </c>
      <c r="C10" s="13" t="inlineStr">
        <is>
          <t>EMP-028</t>
        </is>
      </c>
      <c r="D10" s="13">
        <f>IF(C10="","",VLOOKUP(C10,'_Données Employés'!$B$5:$H$18,4,FALSE)&amp;" "&amp;VLOOKUP(C10,'_Données Employés'!$B$5:$H$18,5,FALSE))</f>
        <v/>
      </c>
      <c r="E10" s="13">
        <f>IF(C10="","",VLOOKUP(C10,'_Données Employés'!$B$5:$H$18,6,FALSE))</f>
        <v/>
      </c>
      <c r="F10" s="32" t="n">
        <v>45810</v>
      </c>
      <c r="G10" s="13" t="inlineStr">
        <is>
          <t>07h00</t>
        </is>
      </c>
      <c r="H10" s="13" t="inlineStr">
        <is>
          <t>15h00</t>
        </is>
      </c>
      <c r="I10" s="28" t="inlineStr">
        <is>
          <t>8</t>
        </is>
      </c>
      <c r="J10" s="13" t="n"/>
      <c r="K10" s="14" t="inlineStr">
        <is>
          <t>0</t>
        </is>
      </c>
      <c r="L10" s="13" t="n"/>
      <c r="M10" s="13" t="inlineStr">
        <is>
          <t>Valide</t>
        </is>
      </c>
    </row>
    <row r="11" ht="22" customHeight="1">
      <c r="B11" s="13" t="inlineStr">
        <is>
          <t>JP-029</t>
        </is>
      </c>
      <c r="C11" s="13" t="inlineStr">
        <is>
          <t>EMP-029</t>
        </is>
      </c>
      <c r="D11" s="13">
        <f>IF(C11="","",VLOOKUP(C11,'_Données Employés'!$B$5:$H$18,4,FALSE)&amp;" "&amp;VLOOKUP(C11,'_Données Employés'!$B$5:$H$18,5,FALSE))</f>
        <v/>
      </c>
      <c r="E11" s="13">
        <f>IF(C11="","",VLOOKUP(C11,'_Données Employés'!$B$5:$H$18,6,FALSE))</f>
        <v/>
      </c>
      <c r="F11" s="32" t="n">
        <v>45810</v>
      </c>
      <c r="G11" s="13" t="inlineStr">
        <is>
          <t>07h00</t>
        </is>
      </c>
      <c r="H11" s="13" t="inlineStr">
        <is>
          <t>15h00</t>
        </is>
      </c>
      <c r="I11" s="28" t="inlineStr">
        <is>
          <t>8</t>
        </is>
      </c>
      <c r="J11" s="13" t="n"/>
      <c r="K11" s="14" t="inlineStr">
        <is>
          <t>0</t>
        </is>
      </c>
      <c r="L11" s="13" t="n"/>
      <c r="M11" s="13" t="inlineStr">
        <is>
          <t>Valide</t>
        </is>
      </c>
    </row>
    <row r="12" ht="22" customHeight="1">
      <c r="B12" s="17">
        <f>IF(C12="","JP-"&amp;TEXT(COUNTA($C$5:C12),"000"))</f>
        <v/>
      </c>
      <c r="C12" s="15" t="n"/>
      <c r="D12" s="15" t="n"/>
      <c r="E12" s="15" t="n"/>
      <c r="F12" s="33" t="n"/>
      <c r="G12" s="15" t="n"/>
      <c r="H12" s="15" t="n"/>
      <c r="I12" s="29" t="n"/>
      <c r="J12" s="15" t="n"/>
      <c r="K12" s="16" t="n"/>
      <c r="L12" s="15" t="n"/>
      <c r="M12" s="15" t="n"/>
    </row>
    <row r="13" ht="22" customHeight="1">
      <c r="B13" s="18">
        <f>IF(C13="","JP-"&amp;TEXT(COUNTA($C$5:C13),"000"))</f>
        <v/>
      </c>
      <c r="C13" s="13" t="n"/>
      <c r="D13" s="13" t="n"/>
      <c r="E13" s="13" t="n"/>
      <c r="F13" s="32" t="n"/>
      <c r="G13" s="13" t="n"/>
      <c r="H13" s="13" t="n"/>
      <c r="I13" s="28" t="n"/>
      <c r="J13" s="13" t="n"/>
      <c r="K13" s="14" t="n"/>
      <c r="L13" s="13" t="n"/>
      <c r="M13" s="13" t="n"/>
    </row>
    <row r="14" ht="22" customHeight="1">
      <c r="B14" s="17">
        <f>IF(C14="","JP-"&amp;TEXT(COUNTA($C$5:C14),"000"))</f>
        <v/>
      </c>
      <c r="C14" s="15" t="n"/>
      <c r="D14" s="15" t="n"/>
      <c r="E14" s="15" t="n"/>
      <c r="F14" s="33" t="n"/>
      <c r="G14" s="15" t="n"/>
      <c r="H14" s="15" t="n"/>
      <c r="I14" s="29" t="n"/>
      <c r="J14" s="15" t="n"/>
      <c r="K14" s="16" t="n"/>
      <c r="L14" s="15" t="n"/>
      <c r="M14" s="15" t="n"/>
    </row>
    <row r="15" ht="22" customHeight="1">
      <c r="B15" s="18">
        <f>IF(C15="","JP-"&amp;TEXT(COUNTA($C$5:C15),"000"))</f>
        <v/>
      </c>
      <c r="C15" s="13" t="n"/>
      <c r="D15" s="13" t="n"/>
      <c r="E15" s="13" t="n"/>
      <c r="F15" s="32" t="n"/>
      <c r="G15" s="13" t="n"/>
      <c r="H15" s="13" t="n"/>
      <c r="I15" s="28" t="n"/>
      <c r="J15" s="13" t="n"/>
      <c r="K15" s="14" t="n"/>
      <c r="L15" s="13" t="n"/>
      <c r="M15" s="13" t="n"/>
    </row>
    <row r="16" ht="22" customHeight="1">
      <c r="B16" s="17">
        <f>IF(C16="","JP-"&amp;TEXT(COUNTA($C$5:C16),"000"))</f>
        <v/>
      </c>
      <c r="C16" s="15" t="n"/>
      <c r="D16" s="15" t="n"/>
      <c r="E16" s="15" t="n"/>
      <c r="F16" s="33" t="n"/>
      <c r="G16" s="15" t="n"/>
      <c r="H16" s="15" t="n"/>
      <c r="I16" s="29" t="n"/>
      <c r="J16" s="15" t="n"/>
      <c r="K16" s="16" t="n"/>
      <c r="L16" s="15" t="n"/>
      <c r="M16" s="15" t="n"/>
    </row>
    <row r="17" ht="22" customHeight="1">
      <c r="B17" s="18">
        <f>IF(C17="","JP-"&amp;TEXT(COUNTA($C$5:C17),"000"))</f>
        <v/>
      </c>
      <c r="C17" s="13" t="n"/>
      <c r="D17" s="13" t="n"/>
      <c r="E17" s="13" t="n"/>
      <c r="F17" s="32" t="n"/>
      <c r="G17" s="13" t="n"/>
      <c r="H17" s="13" t="n"/>
      <c r="I17" s="28" t="n"/>
      <c r="J17" s="13" t="n"/>
      <c r="K17" s="14" t="n"/>
      <c r="L17" s="13" t="n"/>
      <c r="M17" s="13" t="n"/>
    </row>
    <row r="18" ht="22" customHeight="1">
      <c r="B18" s="17">
        <f>IF(C18="","JP-"&amp;TEXT(COUNTA($C$5:C18),"000"))</f>
        <v/>
      </c>
      <c r="C18" s="15" t="n"/>
      <c r="D18" s="15" t="n"/>
      <c r="E18" s="15" t="n"/>
      <c r="F18" s="33" t="n"/>
      <c r="G18" s="15" t="n"/>
      <c r="H18" s="15" t="n"/>
      <c r="I18" s="29" t="n"/>
      <c r="J18" s="15" t="n"/>
      <c r="K18" s="16" t="n"/>
      <c r="L18" s="15" t="n"/>
      <c r="M18" s="15" t="n"/>
    </row>
    <row r="19" ht="22" customHeight="1">
      <c r="B19" s="18">
        <f>IF(C19="","JP-"&amp;TEXT(COUNTA($C$5:C19),"000"))</f>
        <v/>
      </c>
      <c r="C19" s="13" t="n"/>
      <c r="D19" s="13" t="n"/>
      <c r="E19" s="13" t="n"/>
      <c r="F19" s="32" t="n"/>
      <c r="G19" s="13" t="n"/>
      <c r="H19" s="13" t="n"/>
      <c r="I19" s="28" t="n"/>
      <c r="J19" s="13" t="n"/>
      <c r="K19" s="14" t="n"/>
      <c r="L19" s="13" t="n"/>
      <c r="M19" s="13" t="n"/>
    </row>
    <row r="20" ht="22" customHeight="1">
      <c r="B20" s="17">
        <f>IF(C20="","JP-"&amp;TEXT(COUNTA($C$5:C20),"000"))</f>
        <v/>
      </c>
      <c r="C20" s="15" t="n"/>
      <c r="D20" s="15" t="n"/>
      <c r="E20" s="15" t="n"/>
      <c r="F20" s="33" t="n"/>
      <c r="G20" s="15" t="n"/>
      <c r="H20" s="15" t="n"/>
      <c r="I20" s="29" t="n"/>
      <c r="J20" s="15" t="n"/>
      <c r="K20" s="16" t="n"/>
      <c r="L20" s="15" t="n"/>
      <c r="M20" s="15" t="n"/>
    </row>
    <row r="21" ht="22" customHeight="1">
      <c r="B21" s="18">
        <f>IF(C21="","JP-"&amp;TEXT(COUNTA($C$5:C21),"000"))</f>
        <v/>
      </c>
      <c r="C21" s="13" t="n"/>
      <c r="D21" s="13" t="n"/>
      <c r="E21" s="13" t="n"/>
      <c r="F21" s="32" t="n"/>
      <c r="G21" s="13" t="n"/>
      <c r="H21" s="13" t="n"/>
      <c r="I21" s="28" t="n"/>
      <c r="J21" s="13" t="n"/>
      <c r="K21" s="14" t="n"/>
      <c r="L21" s="13" t="n"/>
      <c r="M21" s="13" t="n"/>
    </row>
    <row r="22" ht="22" customHeight="1">
      <c r="B22" s="17">
        <f>IF(C22="","JP-"&amp;TEXT(COUNTA($C$5:C22),"000"))</f>
        <v/>
      </c>
      <c r="C22" s="15" t="n"/>
      <c r="D22" s="15" t="n"/>
      <c r="E22" s="15" t="n"/>
      <c r="F22" s="33" t="n"/>
      <c r="G22" s="15" t="n"/>
      <c r="H22" s="15" t="n"/>
      <c r="I22" s="29" t="n"/>
      <c r="J22" s="15" t="n"/>
      <c r="K22" s="16" t="n"/>
      <c r="L22" s="15" t="n"/>
      <c r="M22" s="15" t="n"/>
    </row>
    <row r="23" ht="22" customHeight="1">
      <c r="B23" s="18">
        <f>IF(C23="","JP-"&amp;TEXT(COUNTA($C$5:C23),"000"))</f>
        <v/>
      </c>
      <c r="C23" s="13" t="n"/>
      <c r="D23" s="13" t="n"/>
      <c r="E23" s="13" t="n"/>
      <c r="F23" s="32" t="n"/>
      <c r="G23" s="13" t="n"/>
      <c r="H23" s="13" t="n"/>
      <c r="I23" s="28" t="n"/>
      <c r="J23" s="13" t="n"/>
      <c r="K23" s="14" t="n"/>
      <c r="L23" s="13" t="n"/>
      <c r="M23" s="13" t="n"/>
    </row>
    <row r="24" ht="22" customHeight="1">
      <c r="B24" s="17">
        <f>IF(C24="","JP-"&amp;TEXT(COUNTA($C$5:C24),"000"))</f>
        <v/>
      </c>
      <c r="C24" s="15" t="n"/>
      <c r="D24" s="15" t="n"/>
      <c r="E24" s="15" t="n"/>
      <c r="F24" s="33" t="n"/>
      <c r="G24" s="15" t="n"/>
      <c r="H24" s="15" t="n"/>
      <c r="I24" s="29" t="n"/>
      <c r="J24" s="15" t="n"/>
      <c r="K24" s="16" t="n"/>
      <c r="L24" s="15" t="n"/>
      <c r="M24" s="15" t="n"/>
    </row>
    <row r="25" ht="22" customHeight="1">
      <c r="B25" s="18">
        <f>IF(C25="","JP-"&amp;TEXT(COUNTA($C$5:C25),"000"))</f>
        <v/>
      </c>
      <c r="C25" s="13" t="n"/>
      <c r="D25" s="13" t="n"/>
      <c r="E25" s="13" t="n"/>
      <c r="F25" s="32" t="n"/>
      <c r="G25" s="13" t="n"/>
      <c r="H25" s="13" t="n"/>
      <c r="I25" s="28" t="n"/>
      <c r="J25" s="13" t="n"/>
      <c r="K25" s="14" t="n"/>
      <c r="L25" s="13" t="n"/>
      <c r="M25" s="13" t="n"/>
    </row>
    <row r="26" ht="22" customHeight="1">
      <c r="B26" s="17">
        <f>IF(C26="","JP-"&amp;TEXT(COUNTA($C$5:C26),"000"))</f>
        <v/>
      </c>
      <c r="C26" s="15" t="n"/>
      <c r="D26" s="15" t="n"/>
      <c r="E26" s="15" t="n"/>
      <c r="F26" s="33" t="n"/>
      <c r="G26" s="15" t="n"/>
      <c r="H26" s="15" t="n"/>
      <c r="I26" s="29" t="n"/>
      <c r="J26" s="15" t="n"/>
      <c r="K26" s="16" t="n"/>
      <c r="L26" s="15" t="n"/>
      <c r="M26" s="15" t="n"/>
    </row>
    <row r="27" ht="22" customHeight="1">
      <c r="B27" s="18">
        <f>IF(C27="","JP-"&amp;TEXT(COUNTA($C$5:C27),"000"))</f>
        <v/>
      </c>
      <c r="C27" s="13" t="n"/>
      <c r="D27" s="13" t="n"/>
      <c r="E27" s="13" t="n"/>
      <c r="F27" s="32" t="n"/>
      <c r="G27" s="13" t="n"/>
      <c r="H27" s="13" t="n"/>
      <c r="I27" s="28" t="n"/>
      <c r="J27" s="13" t="n"/>
      <c r="K27" s="14" t="n"/>
      <c r="L27" s="13" t="n"/>
      <c r="M27" s="13" t="n"/>
    </row>
    <row r="28" ht="22" customHeight="1">
      <c r="B28" s="17">
        <f>IF(C28="","JP-"&amp;TEXT(COUNTA($C$5:C28),"000"))</f>
        <v/>
      </c>
      <c r="C28" s="15" t="n"/>
      <c r="D28" s="15" t="n"/>
      <c r="E28" s="15" t="n"/>
      <c r="F28" s="33" t="n"/>
      <c r="G28" s="15" t="n"/>
      <c r="H28" s="15" t="n"/>
      <c r="I28" s="29" t="n"/>
      <c r="J28" s="15" t="n"/>
      <c r="K28" s="16" t="n"/>
      <c r="L28" s="15" t="n"/>
      <c r="M28" s="15" t="n"/>
    </row>
    <row r="29" ht="22" customHeight="1">
      <c r="B29" s="18">
        <f>IF(C29="","JP-"&amp;TEXT(COUNTA($C$5:C29),"000"))</f>
        <v/>
      </c>
      <c r="C29" s="13" t="n"/>
      <c r="D29" s="13" t="n"/>
      <c r="E29" s="13" t="n"/>
      <c r="F29" s="32" t="n"/>
      <c r="G29" s="13" t="n"/>
      <c r="H29" s="13" t="n"/>
      <c r="I29" s="28" t="n"/>
      <c r="J29" s="13" t="n"/>
      <c r="K29" s="14" t="n"/>
      <c r="L29" s="13" t="n"/>
      <c r="M29" s="13" t="n"/>
    </row>
    <row r="30" ht="22" customHeight="1">
      <c r="B30" s="17">
        <f>IF(C30="","JP-"&amp;TEXT(COUNTA($C$5:C30),"000"))</f>
        <v/>
      </c>
      <c r="C30" s="15" t="n"/>
      <c r="D30" s="15" t="n"/>
      <c r="E30" s="15" t="n"/>
      <c r="F30" s="33" t="n"/>
      <c r="G30" s="15" t="n"/>
      <c r="H30" s="15" t="n"/>
      <c r="I30" s="29" t="n"/>
      <c r="J30" s="15" t="n"/>
      <c r="K30" s="16" t="n"/>
      <c r="L30" s="15" t="n"/>
      <c r="M30" s="15" t="n"/>
    </row>
    <row r="31" ht="22" customHeight="1">
      <c r="B31" s="18">
        <f>IF(C31="","JP-"&amp;TEXT(COUNTA($C$5:C31),"000"))</f>
        <v/>
      </c>
      <c r="C31" s="13" t="n"/>
      <c r="D31" s="13" t="n"/>
      <c r="E31" s="13" t="n"/>
      <c r="F31" s="32" t="n"/>
      <c r="G31" s="13" t="n"/>
      <c r="H31" s="13" t="n"/>
      <c r="I31" s="28" t="n"/>
      <c r="J31" s="13" t="n"/>
      <c r="K31" s="14" t="n"/>
      <c r="L31" s="13" t="n"/>
      <c r="M31" s="13" t="n"/>
    </row>
    <row r="32" ht="22" customHeight="1">
      <c r="B32" s="17">
        <f>IF(C32="","JP-"&amp;TEXT(COUNTA($C$5:C32),"000"))</f>
        <v/>
      </c>
      <c r="C32" s="15" t="n"/>
      <c r="D32" s="15" t="n"/>
      <c r="E32" s="15" t="n"/>
      <c r="F32" s="33" t="n"/>
      <c r="G32" s="15" t="n"/>
      <c r="H32" s="15" t="n"/>
      <c r="I32" s="29" t="n"/>
      <c r="J32" s="15" t="n"/>
      <c r="K32" s="16" t="n"/>
      <c r="L32" s="15" t="n"/>
      <c r="M32" s="15" t="n"/>
    </row>
    <row r="33" ht="22" customHeight="1">
      <c r="B33" s="18">
        <f>IF(C33="","JP-"&amp;TEXT(COUNTA($C$5:C33),"000"))</f>
        <v/>
      </c>
      <c r="C33" s="13" t="n"/>
      <c r="D33" s="13" t="n"/>
      <c r="E33" s="13" t="n"/>
      <c r="F33" s="32" t="n"/>
      <c r="G33" s="13" t="n"/>
      <c r="H33" s="13" t="n"/>
      <c r="I33" s="28" t="n"/>
      <c r="J33" s="13" t="n"/>
      <c r="K33" s="14" t="n"/>
      <c r="L33" s="13" t="n"/>
      <c r="M33" s="13" t="n"/>
    </row>
    <row r="34" ht="22" customHeight="1">
      <c r="B34" s="17">
        <f>IF(C34="","JP-"&amp;TEXT(COUNTA($C$5:C34),"000"))</f>
        <v/>
      </c>
      <c r="C34" s="15" t="n"/>
      <c r="D34" s="15" t="n"/>
      <c r="E34" s="15" t="n"/>
      <c r="F34" s="33" t="n"/>
      <c r="G34" s="15" t="n"/>
      <c r="H34" s="15" t="n"/>
      <c r="I34" s="29" t="n"/>
      <c r="J34" s="15" t="n"/>
      <c r="K34" s="16" t="n"/>
      <c r="L34" s="15" t="n"/>
      <c r="M34" s="15" t="n"/>
    </row>
    <row r="35" ht="22" customHeight="1">
      <c r="B35" s="18">
        <f>IF(C35="","JP-"&amp;TEXT(COUNTA($C$5:C35),"000"))</f>
        <v/>
      </c>
      <c r="C35" s="13" t="n"/>
      <c r="D35" s="13" t="n"/>
      <c r="E35" s="13" t="n"/>
      <c r="F35" s="32" t="n"/>
      <c r="G35" s="13" t="n"/>
      <c r="H35" s="13" t="n"/>
      <c r="I35" s="28" t="n"/>
      <c r="J35" s="13" t="n"/>
      <c r="K35" s="14" t="n"/>
      <c r="L35" s="13" t="n"/>
      <c r="M35" s="13" t="n"/>
    </row>
    <row r="36" ht="22" customHeight="1">
      <c r="B36" s="17">
        <f>IF(C36="","JP-"&amp;TEXT(COUNTA($C$5:C36),"000"))</f>
        <v/>
      </c>
      <c r="C36" s="15" t="n"/>
      <c r="D36" s="15" t="n"/>
      <c r="E36" s="15" t="n"/>
      <c r="F36" s="33" t="n"/>
      <c r="G36" s="15" t="n"/>
      <c r="H36" s="15" t="n"/>
      <c r="I36" s="29" t="n"/>
      <c r="J36" s="15" t="n"/>
      <c r="K36" s="16" t="n"/>
      <c r="L36" s="15" t="n"/>
      <c r="M36" s="15" t="n"/>
    </row>
    <row r="37" ht="22" customHeight="1">
      <c r="B37" s="18">
        <f>IF(C37="","JP-"&amp;TEXT(COUNTA($C$5:C37),"000"))</f>
        <v/>
      </c>
      <c r="C37" s="13" t="n"/>
      <c r="D37" s="13" t="n"/>
      <c r="E37" s="13" t="n"/>
      <c r="F37" s="32" t="n"/>
      <c r="G37" s="13" t="n"/>
      <c r="H37" s="13" t="n"/>
      <c r="I37" s="28" t="n"/>
      <c r="J37" s="13" t="n"/>
      <c r="K37" s="14" t="n"/>
      <c r="L37" s="13" t="n"/>
      <c r="M37" s="13" t="n"/>
    </row>
    <row r="38" ht="22" customHeight="1">
      <c r="B38" s="17">
        <f>IF(C38="","JP-"&amp;TEXT(COUNTA($C$5:C38),"000"))</f>
        <v/>
      </c>
      <c r="C38" s="15" t="n"/>
      <c r="D38" s="15" t="n"/>
      <c r="E38" s="15" t="n"/>
      <c r="F38" s="33" t="n"/>
      <c r="G38" s="15" t="n"/>
      <c r="H38" s="15" t="n"/>
      <c r="I38" s="29" t="n"/>
      <c r="J38" s="15" t="n"/>
      <c r="K38" s="16" t="n"/>
      <c r="L38" s="15" t="n"/>
      <c r="M38" s="15" t="n"/>
    </row>
    <row r="39" ht="22" customHeight="1">
      <c r="B39" s="18">
        <f>IF(C39="","JP-"&amp;TEXT(COUNTA($C$5:C39),"000"))</f>
        <v/>
      </c>
      <c r="C39" s="13" t="n"/>
      <c r="D39" s="13" t="n"/>
      <c r="E39" s="13" t="n"/>
      <c r="F39" s="32" t="n"/>
      <c r="G39" s="13" t="n"/>
      <c r="H39" s="13" t="n"/>
      <c r="I39" s="28" t="n"/>
      <c r="J39" s="13" t="n"/>
      <c r="K39" s="14" t="n"/>
      <c r="L39" s="13" t="n"/>
      <c r="M39" s="13" t="n"/>
    </row>
    <row r="40" ht="22" customHeight="1">
      <c r="B40" s="17">
        <f>IF(C40="","JP-"&amp;TEXT(COUNTA($C$5:C40),"000"))</f>
        <v/>
      </c>
      <c r="C40" s="15" t="n"/>
      <c r="D40" s="15" t="n"/>
      <c r="E40" s="15" t="n"/>
      <c r="F40" s="33" t="n"/>
      <c r="G40" s="15" t="n"/>
      <c r="H40" s="15" t="n"/>
      <c r="I40" s="29" t="n"/>
      <c r="J40" s="15" t="n"/>
      <c r="K40" s="16" t="n"/>
      <c r="L40" s="15" t="n"/>
      <c r="M40" s="15" t="n"/>
    </row>
    <row r="41" ht="22" customHeight="1">
      <c r="B41" s="18">
        <f>IF(C41="","JP-"&amp;TEXT(COUNTA($C$5:C41),"000"))</f>
        <v/>
      </c>
      <c r="C41" s="13" t="n"/>
      <c r="D41" s="13" t="n"/>
      <c r="E41" s="13" t="n"/>
      <c r="F41" s="32" t="n"/>
      <c r="G41" s="13" t="n"/>
      <c r="H41" s="13" t="n"/>
      <c r="I41" s="28" t="n"/>
      <c r="J41" s="13" t="n"/>
      <c r="K41" s="14" t="n"/>
      <c r="L41" s="13" t="n"/>
      <c r="M41" s="13" t="n"/>
    </row>
    <row r="42" ht="22" customHeight="1">
      <c r="B42" s="17">
        <f>IF(C42="","JP-"&amp;TEXT(COUNTA($C$5:C42),"000"))</f>
        <v/>
      </c>
      <c r="C42" s="15" t="n"/>
      <c r="D42" s="15" t="n"/>
      <c r="E42" s="15" t="n"/>
      <c r="F42" s="33" t="n"/>
      <c r="G42" s="15" t="n"/>
      <c r="H42" s="15" t="n"/>
      <c r="I42" s="29" t="n"/>
      <c r="J42" s="15" t="n"/>
      <c r="K42" s="16" t="n"/>
      <c r="L42" s="15" t="n"/>
      <c r="M42" s="15" t="n"/>
    </row>
    <row r="43" ht="22" customHeight="1">
      <c r="B43" s="18">
        <f>IF(C43="","JP-"&amp;TEXT(COUNTA($C$5:C43),"000"))</f>
        <v/>
      </c>
      <c r="C43" s="13" t="n"/>
      <c r="D43" s="13" t="n"/>
      <c r="E43" s="13" t="n"/>
      <c r="F43" s="32" t="n"/>
      <c r="G43" s="13" t="n"/>
      <c r="H43" s="13" t="n"/>
      <c r="I43" s="28" t="n"/>
      <c r="J43" s="13" t="n"/>
      <c r="K43" s="14" t="n"/>
      <c r="L43" s="13" t="n"/>
      <c r="M43" s="13" t="n"/>
    </row>
    <row r="44" ht="22" customHeight="1">
      <c r="B44" s="17">
        <f>IF(C44="","JP-"&amp;TEXT(COUNTA($C$5:C44),"000"))</f>
        <v/>
      </c>
      <c r="C44" s="15" t="n"/>
      <c r="D44" s="15" t="n"/>
      <c r="E44" s="15" t="n"/>
      <c r="F44" s="33" t="n"/>
      <c r="G44" s="15" t="n"/>
      <c r="H44" s="15" t="n"/>
      <c r="I44" s="29" t="n"/>
      <c r="J44" s="15" t="n"/>
      <c r="K44" s="16" t="n"/>
      <c r="L44" s="15" t="n"/>
      <c r="M44" s="15" t="n"/>
    </row>
    <row r="45" ht="22" customHeight="1">
      <c r="B45" s="18">
        <f>IF(C45="","JP-"&amp;TEXT(COUNTA($C$5:C45),"000"))</f>
        <v/>
      </c>
      <c r="C45" s="13" t="n"/>
      <c r="D45" s="13" t="n"/>
      <c r="E45" s="13" t="n"/>
      <c r="F45" s="32" t="n"/>
      <c r="G45" s="13" t="n"/>
      <c r="H45" s="13" t="n"/>
      <c r="I45" s="28" t="n"/>
      <c r="J45" s="13" t="n"/>
      <c r="K45" s="14" t="n"/>
      <c r="L45" s="13" t="n"/>
      <c r="M45" s="13" t="n"/>
    </row>
    <row r="46" ht="22" customHeight="1">
      <c r="B46" s="17">
        <f>IF(C46="","JP-"&amp;TEXT(COUNTA($C$5:C46),"000"))</f>
        <v/>
      </c>
      <c r="C46" s="15" t="n"/>
      <c r="D46" s="15" t="n"/>
      <c r="E46" s="15" t="n"/>
      <c r="F46" s="33" t="n"/>
      <c r="G46" s="15" t="n"/>
      <c r="H46" s="15" t="n"/>
      <c r="I46" s="29" t="n"/>
      <c r="J46" s="15" t="n"/>
      <c r="K46" s="16" t="n"/>
      <c r="L46" s="15" t="n"/>
      <c r="M46" s="15" t="n"/>
    </row>
    <row r="47" ht="22" customHeight="1">
      <c r="B47" s="18">
        <f>IF(C47="","JP-"&amp;TEXT(COUNTA($C$5:C47),"000"))</f>
        <v/>
      </c>
      <c r="C47" s="13" t="n"/>
      <c r="D47" s="13" t="n"/>
      <c r="E47" s="13" t="n"/>
      <c r="F47" s="32" t="n"/>
      <c r="G47" s="13" t="n"/>
      <c r="H47" s="13" t="n"/>
      <c r="I47" s="28" t="n"/>
      <c r="J47" s="13" t="n"/>
      <c r="K47" s="14" t="n"/>
      <c r="L47" s="13" t="n"/>
      <c r="M47" s="13" t="n"/>
    </row>
    <row r="48" ht="22" customHeight="1">
      <c r="B48" s="17">
        <f>IF(C48="","JP-"&amp;TEXT(COUNTA($C$5:C48),"000"))</f>
        <v/>
      </c>
      <c r="C48" s="15" t="n"/>
      <c r="D48" s="15" t="n"/>
      <c r="E48" s="15" t="n"/>
      <c r="F48" s="33" t="n"/>
      <c r="G48" s="15" t="n"/>
      <c r="H48" s="15" t="n"/>
      <c r="I48" s="29" t="n"/>
      <c r="J48" s="15" t="n"/>
      <c r="K48" s="16" t="n"/>
      <c r="L48" s="15" t="n"/>
      <c r="M48" s="15" t="n"/>
    </row>
    <row r="49" ht="22" customHeight="1">
      <c r="B49" s="18">
        <f>IF(C49="","JP-"&amp;TEXT(COUNTA($C$5:C49),"000"))</f>
        <v/>
      </c>
      <c r="C49" s="13" t="n"/>
      <c r="D49" s="13" t="n"/>
      <c r="E49" s="13" t="n"/>
      <c r="F49" s="32" t="n"/>
      <c r="G49" s="13" t="n"/>
      <c r="H49" s="13" t="n"/>
      <c r="I49" s="28" t="n"/>
      <c r="J49" s="13" t="n"/>
      <c r="K49" s="14" t="n"/>
      <c r="L49" s="13" t="n"/>
      <c r="M49" s="13" t="n"/>
    </row>
    <row r="50" ht="22" customHeight="1">
      <c r="B50" s="17">
        <f>IF(C50="","JP-"&amp;TEXT(COUNTA($C$5:C50),"000"))</f>
        <v/>
      </c>
      <c r="C50" s="15" t="n"/>
      <c r="D50" s="15" t="n"/>
      <c r="E50" s="15" t="n"/>
      <c r="F50" s="33" t="n"/>
      <c r="G50" s="15" t="n"/>
      <c r="H50" s="15" t="n"/>
      <c r="I50" s="29" t="n"/>
      <c r="J50" s="15" t="n"/>
      <c r="K50" s="16" t="n"/>
      <c r="L50" s="15" t="n"/>
      <c r="M50" s="15" t="n"/>
    </row>
    <row r="51" ht="22" customHeight="1">
      <c r="B51" s="18">
        <f>IF(C51="","JP-"&amp;TEXT(COUNTA($C$5:C51),"000"))</f>
        <v/>
      </c>
      <c r="C51" s="13" t="n"/>
      <c r="D51" s="13" t="n"/>
      <c r="E51" s="13" t="n"/>
      <c r="F51" s="32" t="n"/>
      <c r="G51" s="13" t="n"/>
      <c r="H51" s="13" t="n"/>
      <c r="I51" s="28" t="n"/>
      <c r="J51" s="13" t="n"/>
      <c r="K51" s="14" t="n"/>
      <c r="L51" s="13" t="n"/>
      <c r="M51" s="13" t="n"/>
    </row>
    <row r="52" ht="22" customHeight="1">
      <c r="B52" s="17">
        <f>IF(C52="","JP-"&amp;TEXT(COUNTA($C$5:C52),"000"))</f>
        <v/>
      </c>
      <c r="C52" s="15" t="n"/>
      <c r="D52" s="15" t="n"/>
      <c r="E52" s="15" t="n"/>
      <c r="F52" s="33" t="n"/>
      <c r="G52" s="15" t="n"/>
      <c r="H52" s="15" t="n"/>
      <c r="I52" s="29" t="n"/>
      <c r="J52" s="15" t="n"/>
      <c r="K52" s="16" t="n"/>
      <c r="L52" s="15" t="n"/>
      <c r="M52" s="15" t="n"/>
    </row>
    <row r="53" ht="22" customHeight="1">
      <c r="B53" s="18">
        <f>IF(C53="","JP-"&amp;TEXT(COUNTA($C$5:C53),"000"))</f>
        <v/>
      </c>
      <c r="C53" s="13" t="n"/>
      <c r="D53" s="13" t="n"/>
      <c r="E53" s="13" t="n"/>
      <c r="F53" s="32" t="n"/>
      <c r="G53" s="13" t="n"/>
      <c r="H53" s="13" t="n"/>
      <c r="I53" s="28" t="n"/>
      <c r="J53" s="13" t="n"/>
      <c r="K53" s="14" t="n"/>
      <c r="L53" s="13" t="n"/>
      <c r="M53" s="13" t="n"/>
    </row>
    <row r="54" ht="22" customHeight="1">
      <c r="B54" s="17">
        <f>IF(C54="","JP-"&amp;TEXT(COUNTA($C$5:C54),"000"))</f>
        <v/>
      </c>
      <c r="C54" s="15" t="n"/>
      <c r="D54" s="15" t="n"/>
      <c r="E54" s="15" t="n"/>
      <c r="F54" s="33" t="n"/>
      <c r="G54" s="15" t="n"/>
      <c r="H54" s="15" t="n"/>
      <c r="I54" s="29" t="n"/>
      <c r="J54" s="15" t="n"/>
      <c r="K54" s="16" t="n"/>
      <c r="L54" s="15" t="n"/>
      <c r="M54" s="15" t="n"/>
    </row>
    <row r="55" ht="22" customHeight="1">
      <c r="B55" s="18">
        <f>IF(C55="","JP-"&amp;TEXT(COUNTA($C$5:C55),"000"))</f>
        <v/>
      </c>
      <c r="C55" s="13" t="n"/>
      <c r="D55" s="13" t="n"/>
      <c r="E55" s="13" t="n"/>
      <c r="F55" s="32" t="n"/>
      <c r="G55" s="13" t="n"/>
      <c r="H55" s="13" t="n"/>
      <c r="I55" s="28" t="n"/>
      <c r="J55" s="13" t="n"/>
      <c r="K55" s="14" t="n"/>
      <c r="L55" s="13" t="n"/>
      <c r="M55" s="13" t="n"/>
    </row>
    <row r="56" ht="22" customHeight="1">
      <c r="B56" s="17">
        <f>IF(C56="","JP-"&amp;TEXT(COUNTA($C$5:C56),"000"))</f>
        <v/>
      </c>
      <c r="C56" s="15" t="n"/>
      <c r="D56" s="15" t="n"/>
      <c r="E56" s="15" t="n"/>
      <c r="F56" s="33" t="n"/>
      <c r="G56" s="15" t="n"/>
      <c r="H56" s="15" t="n"/>
      <c r="I56" s="29" t="n"/>
      <c r="J56" s="15" t="n"/>
      <c r="K56" s="16" t="n"/>
      <c r="L56" s="15" t="n"/>
      <c r="M56" s="15" t="n"/>
    </row>
    <row r="57" ht="22" customHeight="1">
      <c r="B57" s="18">
        <f>IF(C57="","JP-"&amp;TEXT(COUNTA($C$5:C57),"000"))</f>
        <v/>
      </c>
      <c r="C57" s="13" t="n"/>
      <c r="D57" s="13" t="n"/>
      <c r="E57" s="13" t="n"/>
      <c r="F57" s="32" t="n"/>
      <c r="G57" s="13" t="n"/>
      <c r="H57" s="13" t="n"/>
      <c r="I57" s="28" t="n"/>
      <c r="J57" s="13" t="n"/>
      <c r="K57" s="14" t="n"/>
      <c r="L57" s="13" t="n"/>
      <c r="M57" s="13" t="n"/>
    </row>
    <row r="58" ht="22" customHeight="1">
      <c r="B58" s="17">
        <f>IF(C58="","JP-"&amp;TEXT(COUNTA($C$5:C58),"000"))</f>
        <v/>
      </c>
      <c r="C58" s="15" t="n"/>
      <c r="D58" s="15" t="n"/>
      <c r="E58" s="15" t="n"/>
      <c r="F58" s="33" t="n"/>
      <c r="G58" s="15" t="n"/>
      <c r="H58" s="15" t="n"/>
      <c r="I58" s="29" t="n"/>
      <c r="J58" s="15" t="n"/>
      <c r="K58" s="16" t="n"/>
      <c r="L58" s="15" t="n"/>
      <c r="M58" s="15" t="n"/>
    </row>
    <row r="59" ht="22" customHeight="1">
      <c r="B59" s="18">
        <f>IF(C59="","JP-"&amp;TEXT(COUNTA($C$5:C59),"000"))</f>
        <v/>
      </c>
      <c r="C59" s="13" t="n"/>
      <c r="D59" s="13" t="n"/>
      <c r="E59" s="13" t="n"/>
      <c r="F59" s="32" t="n"/>
      <c r="G59" s="13" t="n"/>
      <c r="H59" s="13" t="n"/>
      <c r="I59" s="28" t="n"/>
      <c r="J59" s="13" t="n"/>
      <c r="K59" s="14" t="n"/>
      <c r="L59" s="13" t="n"/>
      <c r="M59" s="13" t="n"/>
    </row>
    <row r="60" ht="22" customHeight="1">
      <c r="B60" s="17">
        <f>IF(C60="","JP-"&amp;TEXT(COUNTA($C$5:C60),"000"))</f>
        <v/>
      </c>
      <c r="C60" s="15" t="n"/>
      <c r="D60" s="15" t="n"/>
      <c r="E60" s="15" t="n"/>
      <c r="F60" s="33" t="n"/>
      <c r="G60" s="15" t="n"/>
      <c r="H60" s="15" t="n"/>
      <c r="I60" s="29" t="n"/>
      <c r="J60" s="15" t="n"/>
      <c r="K60" s="16" t="n"/>
      <c r="L60" s="15" t="n"/>
      <c r="M60" s="15" t="n"/>
    </row>
    <row r="61" ht="22" customHeight="1">
      <c r="B61" s="18">
        <f>IF(C61="","JP-"&amp;TEXT(COUNTA($C$5:C61),"000"))</f>
        <v/>
      </c>
      <c r="C61" s="13" t="n"/>
      <c r="D61" s="13" t="n"/>
      <c r="E61" s="13" t="n"/>
      <c r="F61" s="32" t="n"/>
      <c r="G61" s="13" t="n"/>
      <c r="H61" s="13" t="n"/>
      <c r="I61" s="28" t="n"/>
      <c r="J61" s="13" t="n"/>
      <c r="K61" s="14" t="n"/>
      <c r="L61" s="13" t="n"/>
      <c r="M61" s="13" t="n"/>
    </row>
    <row r="62" ht="22" customHeight="1">
      <c r="B62" s="17">
        <f>IF(C62="","JP-"&amp;TEXT(COUNTA($C$5:C62),"000"))</f>
        <v/>
      </c>
      <c r="C62" s="15" t="n"/>
      <c r="D62" s="15" t="n"/>
      <c r="E62" s="15" t="n"/>
      <c r="F62" s="33" t="n"/>
      <c r="G62" s="15" t="n"/>
      <c r="H62" s="15" t="n"/>
      <c r="I62" s="29" t="n"/>
      <c r="J62" s="15" t="n"/>
      <c r="K62" s="16" t="n"/>
      <c r="L62" s="15" t="n"/>
      <c r="M62" s="15" t="n"/>
    </row>
    <row r="63" ht="22" customHeight="1">
      <c r="B63" s="18">
        <f>IF(C63="","JP-"&amp;TEXT(COUNTA($C$5:C63),"000"))</f>
        <v/>
      </c>
      <c r="C63" s="13" t="n"/>
      <c r="D63" s="13" t="n"/>
      <c r="E63" s="13" t="n"/>
      <c r="F63" s="32" t="n"/>
      <c r="G63" s="13" t="n"/>
      <c r="H63" s="13" t="n"/>
      <c r="I63" s="28" t="n"/>
      <c r="J63" s="13" t="n"/>
      <c r="K63" s="14" t="n"/>
      <c r="L63" s="13" t="n"/>
      <c r="M63" s="13" t="n"/>
    </row>
    <row r="64" ht="22" customHeight="1">
      <c r="B64" s="17">
        <f>IF(C64="","JP-"&amp;TEXT(COUNTA($C$5:C64),"000"))</f>
        <v/>
      </c>
      <c r="C64" s="15" t="n"/>
      <c r="D64" s="15" t="n"/>
      <c r="E64" s="15" t="n"/>
      <c r="F64" s="33" t="n"/>
      <c r="G64" s="15" t="n"/>
      <c r="H64" s="15" t="n"/>
      <c r="I64" s="29" t="n"/>
      <c r="J64" s="15" t="n"/>
      <c r="K64" s="16" t="n"/>
      <c r="L64" s="15" t="n"/>
      <c r="M64" s="15" t="n"/>
    </row>
    <row r="65" ht="22" customHeight="1">
      <c r="B65" s="18">
        <f>IF(C65="","JP-"&amp;TEXT(COUNTA($C$5:C65),"000"))</f>
        <v/>
      </c>
      <c r="C65" s="13" t="n"/>
      <c r="D65" s="13" t="n"/>
      <c r="E65" s="13" t="n"/>
      <c r="F65" s="32" t="n"/>
      <c r="G65" s="13" t="n"/>
      <c r="H65" s="13" t="n"/>
      <c r="I65" s="28" t="n"/>
      <c r="J65" s="13" t="n"/>
      <c r="K65" s="14" t="n"/>
      <c r="L65" s="13" t="n"/>
      <c r="M65" s="13" t="n"/>
    </row>
    <row r="66" ht="22" customHeight="1">
      <c r="B66" s="17">
        <f>IF(C66="","JP-"&amp;TEXT(COUNTA($C$5:C66),"000"))</f>
        <v/>
      </c>
      <c r="C66" s="15" t="n"/>
      <c r="D66" s="15" t="n"/>
      <c r="E66" s="15" t="n"/>
      <c r="F66" s="33" t="n"/>
      <c r="G66" s="15" t="n"/>
      <c r="H66" s="15" t="n"/>
      <c r="I66" s="29" t="n"/>
      <c r="J66" s="15" t="n"/>
      <c r="K66" s="16" t="n"/>
      <c r="L66" s="15" t="n"/>
      <c r="M66" s="15" t="n"/>
    </row>
    <row r="67" ht="22" customHeight="1">
      <c r="B67" s="18">
        <f>IF(C67="","JP-"&amp;TEXT(COUNTA($C$5:C67),"000"))</f>
        <v/>
      </c>
      <c r="C67" s="13" t="n"/>
      <c r="D67" s="13" t="n"/>
      <c r="E67" s="13" t="n"/>
      <c r="F67" s="32" t="n"/>
      <c r="G67" s="13" t="n"/>
      <c r="H67" s="13" t="n"/>
      <c r="I67" s="28" t="n"/>
      <c r="J67" s="13" t="n"/>
      <c r="K67" s="14" t="n"/>
      <c r="L67" s="13" t="n"/>
      <c r="M67" s="13" t="n"/>
    </row>
    <row r="68" ht="22" customHeight="1">
      <c r="B68" s="17">
        <f>IF(C68="","JP-"&amp;TEXT(COUNTA($C$5:C68),"000"))</f>
        <v/>
      </c>
      <c r="C68" s="15" t="n"/>
      <c r="D68" s="15" t="n"/>
      <c r="E68" s="15" t="n"/>
      <c r="F68" s="33" t="n"/>
      <c r="G68" s="15" t="n"/>
      <c r="H68" s="15" t="n"/>
      <c r="I68" s="29" t="n"/>
      <c r="J68" s="15" t="n"/>
      <c r="K68" s="16" t="n"/>
      <c r="L68" s="15" t="n"/>
      <c r="M68" s="15" t="n"/>
    </row>
    <row r="69" ht="22" customHeight="1">
      <c r="B69" s="18">
        <f>IF(C69="","JP-"&amp;TEXT(COUNTA($C$5:C69),"000"))</f>
        <v/>
      </c>
      <c r="C69" s="13" t="n"/>
      <c r="D69" s="13" t="n"/>
      <c r="E69" s="13" t="n"/>
      <c r="F69" s="32" t="n"/>
      <c r="G69" s="13" t="n"/>
      <c r="H69" s="13" t="n"/>
      <c r="I69" s="28" t="n"/>
      <c r="J69" s="13" t="n"/>
      <c r="K69" s="14" t="n"/>
      <c r="L69" s="13" t="n"/>
      <c r="M69" s="13" t="n"/>
    </row>
    <row r="70" ht="22" customHeight="1">
      <c r="B70" s="17">
        <f>IF(C70="","JP-"&amp;TEXT(COUNTA($C$5:C70),"000"))</f>
        <v/>
      </c>
      <c r="C70" s="15" t="n"/>
      <c r="D70" s="15" t="n"/>
      <c r="E70" s="15" t="n"/>
      <c r="F70" s="33" t="n"/>
      <c r="G70" s="15" t="n"/>
      <c r="H70" s="15" t="n"/>
      <c r="I70" s="29" t="n"/>
      <c r="J70" s="15" t="n"/>
      <c r="K70" s="16" t="n"/>
      <c r="L70" s="15" t="n"/>
      <c r="M70" s="15" t="n"/>
    </row>
    <row r="71" ht="22" customHeight="1">
      <c r="B71" s="18">
        <f>IF(C71="","JP-"&amp;TEXT(COUNTA($C$5:C71),"000"))</f>
        <v/>
      </c>
      <c r="C71" s="13" t="n"/>
      <c r="D71" s="13" t="n"/>
      <c r="E71" s="13" t="n"/>
      <c r="F71" s="32" t="n"/>
      <c r="G71" s="13" t="n"/>
      <c r="H71" s="13" t="n"/>
      <c r="I71" s="28" t="n"/>
      <c r="J71" s="13" t="n"/>
      <c r="K71" s="14" t="n"/>
      <c r="L71" s="13" t="n"/>
      <c r="M71" s="13" t="n"/>
    </row>
    <row r="72" ht="22" customHeight="1">
      <c r="B72" s="17">
        <f>IF(C72="","JP-"&amp;TEXT(COUNTA($C$5:C72),"000"))</f>
        <v/>
      </c>
      <c r="C72" s="15" t="n"/>
      <c r="D72" s="15" t="n"/>
      <c r="E72" s="15" t="n"/>
      <c r="F72" s="33" t="n"/>
      <c r="G72" s="15" t="n"/>
      <c r="H72" s="15" t="n"/>
      <c r="I72" s="29" t="n"/>
      <c r="J72" s="15" t="n"/>
      <c r="K72" s="16" t="n"/>
      <c r="L72" s="15" t="n"/>
      <c r="M72" s="15" t="n"/>
    </row>
    <row r="73" ht="22" customHeight="1">
      <c r="B73" s="18">
        <f>IF(C73="","JP-"&amp;TEXT(COUNTA($C$5:C73),"000"))</f>
        <v/>
      </c>
      <c r="C73" s="13" t="n"/>
      <c r="D73" s="13" t="n"/>
      <c r="E73" s="13" t="n"/>
      <c r="F73" s="32" t="n"/>
      <c r="G73" s="13" t="n"/>
      <c r="H73" s="13" t="n"/>
      <c r="I73" s="28" t="n"/>
      <c r="J73" s="13" t="n"/>
      <c r="K73" s="14" t="n"/>
      <c r="L73" s="13" t="n"/>
      <c r="M73" s="13" t="n"/>
    </row>
    <row r="74" ht="22" customHeight="1">
      <c r="B74" s="17">
        <f>IF(C74="","JP-"&amp;TEXT(COUNTA($C$5:C74),"000"))</f>
        <v/>
      </c>
      <c r="C74" s="15" t="n"/>
      <c r="D74" s="15" t="n"/>
      <c r="E74" s="15" t="n"/>
      <c r="F74" s="33" t="n"/>
      <c r="G74" s="15" t="n"/>
      <c r="H74" s="15" t="n"/>
      <c r="I74" s="29" t="n"/>
      <c r="J74" s="15" t="n"/>
      <c r="K74" s="16" t="n"/>
      <c r="L74" s="15" t="n"/>
      <c r="M74" s="15" t="n"/>
    </row>
    <row r="75" ht="22" customHeight="1">
      <c r="B75" s="18">
        <f>IF(C75="","JP-"&amp;TEXT(COUNTA($C$5:C75),"000"))</f>
        <v/>
      </c>
      <c r="C75" s="13" t="n"/>
      <c r="D75" s="13" t="n"/>
      <c r="E75" s="13" t="n"/>
      <c r="F75" s="32" t="n"/>
      <c r="G75" s="13" t="n"/>
      <c r="H75" s="13" t="n"/>
      <c r="I75" s="28" t="n"/>
      <c r="J75" s="13" t="n"/>
      <c r="K75" s="14" t="n"/>
      <c r="L75" s="13" t="n"/>
      <c r="M75" s="13" t="n"/>
    </row>
    <row r="76" ht="22" customHeight="1">
      <c r="B76" s="17">
        <f>IF(C76="","JP-"&amp;TEXT(COUNTA($C$5:C76),"000"))</f>
        <v/>
      </c>
      <c r="C76" s="15" t="n"/>
      <c r="D76" s="15" t="n"/>
      <c r="E76" s="15" t="n"/>
      <c r="F76" s="33" t="n"/>
      <c r="G76" s="15" t="n"/>
      <c r="H76" s="15" t="n"/>
      <c r="I76" s="29" t="n"/>
      <c r="J76" s="15" t="n"/>
      <c r="K76" s="16" t="n"/>
      <c r="L76" s="15" t="n"/>
      <c r="M76" s="15" t="n"/>
    </row>
    <row r="77" ht="22" customHeight="1">
      <c r="B77" s="18">
        <f>IF(C77="","JP-"&amp;TEXT(COUNTA($C$5:C77),"000"))</f>
        <v/>
      </c>
      <c r="C77" s="13" t="n"/>
      <c r="D77" s="13" t="n"/>
      <c r="E77" s="13" t="n"/>
      <c r="F77" s="32" t="n"/>
      <c r="G77" s="13" t="n"/>
      <c r="H77" s="13" t="n"/>
      <c r="I77" s="28" t="n"/>
      <c r="J77" s="13" t="n"/>
      <c r="K77" s="14" t="n"/>
      <c r="L77" s="13" t="n"/>
      <c r="M77" s="13" t="n"/>
    </row>
    <row r="78" ht="22" customHeight="1">
      <c r="B78" s="17">
        <f>IF(C78="","JP-"&amp;TEXT(COUNTA($C$5:C78),"000"))</f>
        <v/>
      </c>
      <c r="C78" s="15" t="n"/>
      <c r="D78" s="15" t="n"/>
      <c r="E78" s="15" t="n"/>
      <c r="F78" s="33" t="n"/>
      <c r="G78" s="15" t="n"/>
      <c r="H78" s="15" t="n"/>
      <c r="I78" s="29" t="n"/>
      <c r="J78" s="15" t="n"/>
      <c r="K78" s="16" t="n"/>
      <c r="L78" s="15" t="n"/>
      <c r="M78" s="15" t="n"/>
    </row>
    <row r="79" ht="22" customHeight="1">
      <c r="B79" s="18">
        <f>IF(C79="","JP-"&amp;TEXT(COUNTA($C$5:C79),"000"))</f>
        <v/>
      </c>
      <c r="C79" s="13" t="n"/>
      <c r="D79" s="13" t="n"/>
      <c r="E79" s="13" t="n"/>
      <c r="F79" s="32" t="n"/>
      <c r="G79" s="13" t="n"/>
      <c r="H79" s="13" t="n"/>
      <c r="I79" s="28" t="n"/>
      <c r="J79" s="13" t="n"/>
      <c r="K79" s="14" t="n"/>
      <c r="L79" s="13" t="n"/>
      <c r="M79" s="13" t="n"/>
    </row>
    <row r="80" ht="22" customHeight="1">
      <c r="B80" s="17">
        <f>IF(C80="","JP-"&amp;TEXT(COUNTA($C$5:C80),"000"))</f>
        <v/>
      </c>
      <c r="C80" s="15" t="n"/>
      <c r="D80" s="15" t="n"/>
      <c r="E80" s="15" t="n"/>
      <c r="F80" s="33" t="n"/>
      <c r="G80" s="15" t="n"/>
      <c r="H80" s="15" t="n"/>
      <c r="I80" s="29" t="n"/>
      <c r="J80" s="15" t="n"/>
      <c r="K80" s="16" t="n"/>
      <c r="L80" s="15" t="n"/>
      <c r="M80" s="15" t="n"/>
    </row>
    <row r="81" ht="22" customHeight="1">
      <c r="B81" s="18">
        <f>IF(C81="","JP-"&amp;TEXT(COUNTA($C$5:C81),"000"))</f>
        <v/>
      </c>
      <c r="C81" s="13" t="n"/>
      <c r="D81" s="13" t="n"/>
      <c r="E81" s="13" t="n"/>
      <c r="F81" s="32" t="n"/>
      <c r="G81" s="13" t="n"/>
      <c r="H81" s="13" t="n"/>
      <c r="I81" s="28" t="n"/>
      <c r="J81" s="13" t="n"/>
      <c r="K81" s="14" t="n"/>
      <c r="L81" s="13" t="n"/>
      <c r="M81" s="13" t="n"/>
    </row>
    <row r="82" ht="22" customHeight="1">
      <c r="B82" s="17">
        <f>IF(C82="","JP-"&amp;TEXT(COUNTA($C$5:C82),"000"))</f>
        <v/>
      </c>
      <c r="C82" s="15" t="n"/>
      <c r="D82" s="15" t="n"/>
      <c r="E82" s="15" t="n"/>
      <c r="F82" s="33" t="n"/>
      <c r="G82" s="15" t="n"/>
      <c r="H82" s="15" t="n"/>
      <c r="I82" s="29" t="n"/>
      <c r="J82" s="15" t="n"/>
      <c r="K82" s="16" t="n"/>
      <c r="L82" s="15" t="n"/>
      <c r="M82" s="15" t="n"/>
    </row>
    <row r="83" ht="22" customHeight="1">
      <c r="B83" s="18">
        <f>IF(C83="","JP-"&amp;TEXT(COUNTA($C$5:C83),"000"))</f>
        <v/>
      </c>
      <c r="C83" s="13" t="n"/>
      <c r="D83" s="13" t="n"/>
      <c r="E83" s="13" t="n"/>
      <c r="F83" s="32" t="n"/>
      <c r="G83" s="13" t="n"/>
      <c r="H83" s="13" t="n"/>
      <c r="I83" s="28" t="n"/>
      <c r="J83" s="13" t="n"/>
      <c r="K83" s="14" t="n"/>
      <c r="L83" s="13" t="n"/>
      <c r="M83" s="13" t="n"/>
    </row>
    <row r="84" ht="22" customHeight="1">
      <c r="B84" s="17">
        <f>IF(C84="","JP-"&amp;TEXT(COUNTA($C$5:C84),"000"))</f>
        <v/>
      </c>
      <c r="C84" s="15" t="n"/>
      <c r="D84" s="15" t="n"/>
      <c r="E84" s="15" t="n"/>
      <c r="F84" s="33" t="n"/>
      <c r="G84" s="15" t="n"/>
      <c r="H84" s="15" t="n"/>
      <c r="I84" s="29" t="n"/>
      <c r="J84" s="15" t="n"/>
      <c r="K84" s="16" t="n"/>
      <c r="L84" s="15" t="n"/>
      <c r="M84" s="15" t="n"/>
    </row>
    <row r="85" ht="22" customHeight="1">
      <c r="B85" s="18">
        <f>IF(C85="","JP-"&amp;TEXT(COUNTA($C$5:C85),"000"))</f>
        <v/>
      </c>
      <c r="C85" s="13" t="n"/>
      <c r="D85" s="13" t="n"/>
      <c r="E85" s="13" t="n"/>
      <c r="F85" s="32" t="n"/>
      <c r="G85" s="13" t="n"/>
      <c r="H85" s="13" t="n"/>
      <c r="I85" s="28" t="n"/>
      <c r="J85" s="13" t="n"/>
      <c r="K85" s="14" t="n"/>
      <c r="L85" s="13" t="n"/>
      <c r="M85" s="13" t="n"/>
    </row>
    <row r="86" ht="22" customHeight="1">
      <c r="B86" s="17">
        <f>IF(C86="","JP-"&amp;TEXT(COUNTA($C$5:C86),"000"))</f>
        <v/>
      </c>
      <c r="C86" s="15" t="n"/>
      <c r="D86" s="15" t="n"/>
      <c r="E86" s="15" t="n"/>
      <c r="F86" s="33" t="n"/>
      <c r="G86" s="15" t="n"/>
      <c r="H86" s="15" t="n"/>
      <c r="I86" s="29" t="n"/>
      <c r="J86" s="15" t="n"/>
      <c r="K86" s="16" t="n"/>
      <c r="L86" s="15" t="n"/>
      <c r="M86" s="15" t="n"/>
    </row>
    <row r="87" ht="22" customHeight="1">
      <c r="B87" s="18">
        <f>IF(C87="","JP-"&amp;TEXT(COUNTA($C$5:C87),"000"))</f>
        <v/>
      </c>
      <c r="C87" s="13" t="n"/>
      <c r="D87" s="13" t="n"/>
      <c r="E87" s="13" t="n"/>
      <c r="F87" s="32" t="n"/>
      <c r="G87" s="13" t="n"/>
      <c r="H87" s="13" t="n"/>
      <c r="I87" s="28" t="n"/>
      <c r="J87" s="13" t="n"/>
      <c r="K87" s="14" t="n"/>
      <c r="L87" s="13" t="n"/>
      <c r="M87" s="13" t="n"/>
    </row>
    <row r="88" ht="22" customHeight="1">
      <c r="B88" s="17">
        <f>IF(C88="","JP-"&amp;TEXT(COUNTA($C$5:C88),"000"))</f>
        <v/>
      </c>
      <c r="C88" s="15" t="n"/>
      <c r="D88" s="15" t="n"/>
      <c r="E88" s="15" t="n"/>
      <c r="F88" s="33" t="n"/>
      <c r="G88" s="15" t="n"/>
      <c r="H88" s="15" t="n"/>
      <c r="I88" s="29" t="n"/>
      <c r="J88" s="15" t="n"/>
      <c r="K88" s="16" t="n"/>
      <c r="L88" s="15" t="n"/>
      <c r="M88" s="15" t="n"/>
    </row>
    <row r="89" ht="22" customHeight="1">
      <c r="B89" s="18">
        <f>IF(C89="","JP-"&amp;TEXT(COUNTA($C$5:C89),"000"))</f>
        <v/>
      </c>
      <c r="C89" s="13" t="n"/>
      <c r="D89" s="13" t="n"/>
      <c r="E89" s="13" t="n"/>
      <c r="F89" s="32" t="n"/>
      <c r="G89" s="13" t="n"/>
      <c r="H89" s="13" t="n"/>
      <c r="I89" s="28" t="n"/>
      <c r="J89" s="13" t="n"/>
      <c r="K89" s="14" t="n"/>
      <c r="L89" s="13" t="n"/>
      <c r="M89" s="13" t="n"/>
    </row>
    <row r="90" ht="22" customHeight="1">
      <c r="B90" s="17">
        <f>IF(C90="","JP-"&amp;TEXT(COUNTA($C$5:C90),"000"))</f>
        <v/>
      </c>
      <c r="C90" s="15" t="n"/>
      <c r="D90" s="15" t="n"/>
      <c r="E90" s="15" t="n"/>
      <c r="F90" s="33" t="n"/>
      <c r="G90" s="15" t="n"/>
      <c r="H90" s="15" t="n"/>
      <c r="I90" s="29" t="n"/>
      <c r="J90" s="15" t="n"/>
      <c r="K90" s="16" t="n"/>
      <c r="L90" s="15" t="n"/>
      <c r="M90" s="15" t="n"/>
    </row>
    <row r="91" ht="22" customHeight="1">
      <c r="B91" s="18">
        <f>IF(C91="","JP-"&amp;TEXT(COUNTA($C$5:C91),"000"))</f>
        <v/>
      </c>
      <c r="C91" s="13" t="n"/>
      <c r="D91" s="13" t="n"/>
      <c r="E91" s="13" t="n"/>
      <c r="F91" s="32" t="n"/>
      <c r="G91" s="13" t="n"/>
      <c r="H91" s="13" t="n"/>
      <c r="I91" s="28" t="n"/>
      <c r="J91" s="13" t="n"/>
      <c r="K91" s="14" t="n"/>
      <c r="L91" s="13" t="n"/>
      <c r="M91" s="13" t="n"/>
    </row>
    <row r="92" ht="22" customHeight="1">
      <c r="B92" s="17">
        <f>IF(C92="","JP-"&amp;TEXT(COUNTA($C$5:C92),"000"))</f>
        <v/>
      </c>
      <c r="C92" s="15" t="n"/>
      <c r="D92" s="15" t="n"/>
      <c r="E92" s="15" t="n"/>
      <c r="F92" s="33" t="n"/>
      <c r="G92" s="15" t="n"/>
      <c r="H92" s="15" t="n"/>
      <c r="I92" s="29" t="n"/>
      <c r="J92" s="15" t="n"/>
      <c r="K92" s="16" t="n"/>
      <c r="L92" s="15" t="n"/>
      <c r="M92" s="15" t="n"/>
    </row>
    <row r="93" ht="22" customHeight="1">
      <c r="B93" s="18">
        <f>IF(C93="","JP-"&amp;TEXT(COUNTA($C$5:C93),"000"))</f>
        <v/>
      </c>
      <c r="C93" s="13" t="n"/>
      <c r="D93" s="13" t="n"/>
      <c r="E93" s="13" t="n"/>
      <c r="F93" s="32" t="n"/>
      <c r="G93" s="13" t="n"/>
      <c r="H93" s="13" t="n"/>
      <c r="I93" s="28" t="n"/>
      <c r="J93" s="13" t="n"/>
      <c r="K93" s="14" t="n"/>
      <c r="L93" s="13" t="n"/>
      <c r="M93" s="13" t="n"/>
    </row>
    <row r="94" ht="22" customHeight="1">
      <c r="B94" s="17">
        <f>IF(C94="","JP-"&amp;TEXT(COUNTA($C$5:C94),"000"))</f>
        <v/>
      </c>
      <c r="C94" s="15" t="n"/>
      <c r="D94" s="15" t="n"/>
      <c r="E94" s="15" t="n"/>
      <c r="F94" s="33" t="n"/>
      <c r="G94" s="15" t="n"/>
      <c r="H94" s="15" t="n"/>
      <c r="I94" s="29" t="n"/>
      <c r="J94" s="15" t="n"/>
      <c r="K94" s="16" t="n"/>
      <c r="L94" s="15" t="n"/>
      <c r="M94" s="15" t="n"/>
    </row>
    <row r="95" ht="22" customHeight="1">
      <c r="B95" s="18">
        <f>IF(C95="","JP-"&amp;TEXT(COUNTA($C$5:C95),"000"))</f>
        <v/>
      </c>
      <c r="C95" s="13" t="n"/>
      <c r="D95" s="13" t="n"/>
      <c r="E95" s="13" t="n"/>
      <c r="F95" s="32" t="n"/>
      <c r="G95" s="13" t="n"/>
      <c r="H95" s="13" t="n"/>
      <c r="I95" s="28" t="n"/>
      <c r="J95" s="13" t="n"/>
      <c r="K95" s="14" t="n"/>
      <c r="L95" s="13" t="n"/>
      <c r="M95" s="13" t="n"/>
    </row>
    <row r="96" ht="22" customHeight="1">
      <c r="B96" s="17">
        <f>IF(C96="","JP-"&amp;TEXT(COUNTA($C$5:C96),"000"))</f>
        <v/>
      </c>
      <c r="C96" s="15" t="n"/>
      <c r="D96" s="15" t="n"/>
      <c r="E96" s="15" t="n"/>
      <c r="F96" s="33" t="n"/>
      <c r="G96" s="15" t="n"/>
      <c r="H96" s="15" t="n"/>
      <c r="I96" s="29" t="n"/>
      <c r="J96" s="15" t="n"/>
      <c r="K96" s="16" t="n"/>
      <c r="L96" s="15" t="n"/>
      <c r="M96" s="15" t="n"/>
    </row>
    <row r="97" ht="22" customHeight="1">
      <c r="B97" s="18">
        <f>IF(C97="","JP-"&amp;TEXT(COUNTA($C$5:C97),"000"))</f>
        <v/>
      </c>
      <c r="C97" s="13" t="n"/>
      <c r="D97" s="13" t="n"/>
      <c r="E97" s="13" t="n"/>
      <c r="F97" s="32" t="n"/>
      <c r="G97" s="13" t="n"/>
      <c r="H97" s="13" t="n"/>
      <c r="I97" s="28" t="n"/>
      <c r="J97" s="13" t="n"/>
      <c r="K97" s="14" t="n"/>
      <c r="L97" s="13" t="n"/>
      <c r="M97" s="13" t="n"/>
    </row>
    <row r="98" ht="22" customHeight="1">
      <c r="B98" s="17">
        <f>IF(C98="","JP-"&amp;TEXT(COUNTA($C$5:C98),"000"))</f>
        <v/>
      </c>
      <c r="C98" s="15" t="n"/>
      <c r="D98" s="15" t="n"/>
      <c r="E98" s="15" t="n"/>
      <c r="F98" s="33" t="n"/>
      <c r="G98" s="15" t="n"/>
      <c r="H98" s="15" t="n"/>
      <c r="I98" s="29" t="n"/>
      <c r="J98" s="15" t="n"/>
      <c r="K98" s="16" t="n"/>
      <c r="L98" s="15" t="n"/>
      <c r="M98" s="15" t="n"/>
    </row>
    <row r="99" ht="22" customHeight="1">
      <c r="B99" s="18">
        <f>IF(C99="","JP-"&amp;TEXT(COUNTA($C$5:C99),"000"))</f>
        <v/>
      </c>
      <c r="C99" s="13" t="n"/>
      <c r="D99" s="13" t="n"/>
      <c r="E99" s="13" t="n"/>
      <c r="F99" s="32" t="n"/>
      <c r="G99" s="13" t="n"/>
      <c r="H99" s="13" t="n"/>
      <c r="I99" s="28" t="n"/>
      <c r="J99" s="13" t="n"/>
      <c r="K99" s="14" t="n"/>
      <c r="L99" s="13" t="n"/>
      <c r="M99" s="13" t="n"/>
    </row>
    <row r="100" ht="22" customHeight="1">
      <c r="B100" s="17">
        <f>IF(C100="","JP-"&amp;TEXT(COUNTA($C$5:C100),"000"))</f>
        <v/>
      </c>
      <c r="C100" s="15" t="n"/>
      <c r="D100" s="15" t="n"/>
      <c r="E100" s="15" t="n"/>
      <c r="F100" s="33" t="n"/>
      <c r="G100" s="15" t="n"/>
      <c r="H100" s="15" t="n"/>
      <c r="I100" s="29" t="n"/>
      <c r="J100" s="15" t="n"/>
      <c r="K100" s="16" t="n"/>
      <c r="L100" s="15" t="n"/>
      <c r="M100" s="15" t="n"/>
    </row>
    <row r="101" ht="22" customHeight="1">
      <c r="B101" s="18">
        <f>IF(C101="","JP-"&amp;TEXT(COUNTA($C$5:C101),"000"))</f>
        <v/>
      </c>
      <c r="C101" s="13" t="n"/>
      <c r="D101" s="13" t="n"/>
      <c r="E101" s="13" t="n"/>
      <c r="F101" s="32" t="n"/>
      <c r="G101" s="13" t="n"/>
      <c r="H101" s="13" t="n"/>
      <c r="I101" s="28" t="n"/>
      <c r="J101" s="13" t="n"/>
      <c r="K101" s="14" t="n"/>
      <c r="L101" s="13" t="n"/>
      <c r="M101" s="13" t="n"/>
    </row>
    <row r="102" ht="22" customHeight="1">
      <c r="B102" s="17">
        <f>IF(C102="","JP-"&amp;TEXT(COUNTA($C$5:C102),"000"))</f>
        <v/>
      </c>
      <c r="C102" s="15" t="n"/>
      <c r="D102" s="15" t="n"/>
      <c r="E102" s="15" t="n"/>
      <c r="F102" s="33" t="n"/>
      <c r="G102" s="15" t="n"/>
      <c r="H102" s="15" t="n"/>
      <c r="I102" s="29" t="n"/>
      <c r="J102" s="15" t="n"/>
      <c r="K102" s="16" t="n"/>
      <c r="L102" s="15" t="n"/>
      <c r="M102" s="15" t="n"/>
    </row>
    <row r="103" ht="22" customHeight="1">
      <c r="B103" s="18">
        <f>IF(C103="","JP-"&amp;TEXT(COUNTA($C$5:C103),"000"))</f>
        <v/>
      </c>
      <c r="C103" s="13" t="n"/>
      <c r="D103" s="13" t="n"/>
      <c r="E103" s="13" t="n"/>
      <c r="F103" s="32" t="n"/>
      <c r="G103" s="13" t="n"/>
      <c r="H103" s="13" t="n"/>
      <c r="I103" s="28" t="n"/>
      <c r="J103" s="13" t="n"/>
      <c r="K103" s="14" t="n"/>
      <c r="L103" s="13" t="n"/>
      <c r="M103" s="13" t="n"/>
    </row>
    <row r="104" ht="22" customHeight="1">
      <c r="B104" s="17">
        <f>IF(C104="","JP-"&amp;TEXT(COUNTA($C$5:C104),"000"))</f>
        <v/>
      </c>
      <c r="C104" s="15" t="n"/>
      <c r="D104" s="15" t="n"/>
      <c r="E104" s="15" t="n"/>
      <c r="F104" s="33" t="n"/>
      <c r="G104" s="15" t="n"/>
      <c r="H104" s="15" t="n"/>
      <c r="I104" s="29" t="n"/>
      <c r="J104" s="15" t="n"/>
      <c r="K104" s="16" t="n"/>
      <c r="L104" s="15" t="n"/>
      <c r="M104" s="15" t="n"/>
    </row>
    <row r="105" ht="22" customHeight="1">
      <c r="B105" s="18">
        <f>IF(C105="","JP-"&amp;TEXT(COUNTA($C$5:C105),"000"))</f>
        <v/>
      </c>
      <c r="C105" s="13" t="n"/>
      <c r="D105" s="13" t="n"/>
      <c r="E105" s="13" t="n"/>
      <c r="F105" s="32" t="n"/>
      <c r="G105" s="13" t="n"/>
      <c r="H105" s="13" t="n"/>
      <c r="I105" s="28" t="n"/>
      <c r="J105" s="13" t="n"/>
      <c r="K105" s="14" t="n"/>
      <c r="L105" s="13" t="n"/>
      <c r="M105" s="13" t="n"/>
    </row>
    <row r="106" ht="22" customHeight="1">
      <c r="B106" s="17">
        <f>IF(C106="","JP-"&amp;TEXT(COUNTA($C$5:C106),"000"))</f>
        <v/>
      </c>
      <c r="C106" s="15" t="n"/>
      <c r="D106" s="15" t="n"/>
      <c r="E106" s="15" t="n"/>
      <c r="F106" s="33" t="n"/>
      <c r="G106" s="15" t="n"/>
      <c r="H106" s="15" t="n"/>
      <c r="I106" s="29" t="n"/>
      <c r="J106" s="15" t="n"/>
      <c r="K106" s="16" t="n"/>
      <c r="L106" s="15" t="n"/>
      <c r="M106" s="15" t="n"/>
    </row>
    <row r="107" ht="22" customHeight="1">
      <c r="B107" s="18">
        <f>IF(C107="","JP-"&amp;TEXT(COUNTA($C$5:C107),"000"))</f>
        <v/>
      </c>
      <c r="C107" s="13" t="n"/>
      <c r="D107" s="13" t="n"/>
      <c r="E107" s="13" t="n"/>
      <c r="F107" s="32" t="n"/>
      <c r="G107" s="13" t="n"/>
      <c r="H107" s="13" t="n"/>
      <c r="I107" s="28" t="n"/>
      <c r="J107" s="13" t="n"/>
      <c r="K107" s="14" t="n"/>
      <c r="L107" s="13" t="n"/>
      <c r="M107" s="13" t="n"/>
    </row>
    <row r="108" ht="22" customHeight="1">
      <c r="B108" s="17">
        <f>IF(C108="","JP-"&amp;TEXT(COUNTA($C$5:C108),"000"))</f>
        <v/>
      </c>
      <c r="C108" s="15" t="n"/>
      <c r="D108" s="15" t="n"/>
      <c r="E108" s="15" t="n"/>
      <c r="F108" s="33" t="n"/>
      <c r="G108" s="15" t="n"/>
      <c r="H108" s="15" t="n"/>
      <c r="I108" s="29" t="n"/>
      <c r="J108" s="15" t="n"/>
      <c r="K108" s="16" t="n"/>
      <c r="L108" s="15" t="n"/>
      <c r="M108" s="15" t="n"/>
    </row>
    <row r="109" ht="22" customHeight="1">
      <c r="B109" s="18">
        <f>IF(C109="","JP-"&amp;TEXT(COUNTA($C$5:C109),"000"))</f>
        <v/>
      </c>
      <c r="C109" s="13" t="n"/>
      <c r="D109" s="13" t="n"/>
      <c r="E109" s="13" t="n"/>
      <c r="F109" s="32" t="n"/>
      <c r="G109" s="13" t="n"/>
      <c r="H109" s="13" t="n"/>
      <c r="I109" s="28" t="n"/>
      <c r="J109" s="13" t="n"/>
      <c r="K109" s="14" t="n"/>
      <c r="L109" s="13" t="n"/>
      <c r="M109" s="13" t="n"/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1">
        <f>SUM(I5:I104)</f>
        <v/>
      </c>
      <c r="J111" s="20" t="n"/>
      <c r="K111" s="21">
        <f>SUM(K5:K104)</f>
        <v/>
      </c>
      <c r="L111" s="20" t="n"/>
      <c r="M111" s="20" t="n"/>
    </row>
    <row r="113">
      <c r="B113" s="6" t="inlineStr">
        <is>
          <t>INDICATEURS (mis a jour automatiquement)</t>
        </is>
      </c>
    </row>
    <row r="114">
      <c r="B114" s="3" t="inlineStr">
        <is>
          <t>Pointages saisis</t>
        </is>
      </c>
      <c r="D114" s="3" t="inlineStr">
        <is>
          <t>Total heures (h)</t>
        </is>
      </c>
      <c r="F114" s="3" t="inlineStr">
        <is>
          <t>Total retards (min)</t>
        </is>
      </c>
      <c r="H114" s="3" t="inlineStr">
        <is>
          <t>Absences</t>
        </is>
      </c>
    </row>
    <row r="115">
      <c r="B115" s="4">
        <f>COUNTIF(B5:B104,"&lt;&gt;")</f>
        <v/>
      </c>
      <c r="D115" s="4">
        <f>SUM(I5:I104)</f>
        <v/>
      </c>
      <c r="F115" s="4">
        <f>SUM(K5:K104)</f>
        <v/>
      </c>
      <c r="H115" s="4">
        <f>COUNTIF(J5:J104,"&lt;&gt;")</f>
        <v/>
      </c>
    </row>
  </sheetData>
  <mergeCells count="3">
    <mergeCell ref="B3:M3"/>
    <mergeCell ref="B2:M2"/>
    <mergeCell ref="B113:M113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10:B109">
    <cfRule type="expression" priority="43" dxfId="3">
      <formula>AND($C10="",$C9&lt;&gt;"")</formula>
    </cfRule>
  </conditionalFormatting>
  <conditionalFormatting sqref="C10:C109">
    <cfRule type="expression" priority="44" dxfId="3">
      <formula>AND($C10="",$C9&lt;&gt;"")</formula>
    </cfRule>
  </conditionalFormatting>
  <conditionalFormatting sqref="D10:D109">
    <cfRule type="expression" priority="45" dxfId="3">
      <formula>AND($C10="",$C9&lt;&gt;"")</formula>
    </cfRule>
  </conditionalFormatting>
  <conditionalFormatting sqref="E10:E109">
    <cfRule type="expression" priority="46" dxfId="3">
      <formula>AND($C10="",$C9&lt;&gt;"")</formula>
    </cfRule>
  </conditionalFormatting>
  <conditionalFormatting sqref="F10:F109">
    <cfRule type="expression" priority="47" dxfId="3">
      <formula>AND($C10="",$C9&lt;&gt;"")</formula>
    </cfRule>
  </conditionalFormatting>
  <conditionalFormatting sqref="G10:G109">
    <cfRule type="expression" priority="48" dxfId="3">
      <formula>AND($C10="",$C9&lt;&gt;"")</formula>
    </cfRule>
  </conditionalFormatting>
  <conditionalFormatting sqref="H10:H109">
    <cfRule type="expression" priority="49" dxfId="3">
      <formula>AND($C10="",$C9&lt;&gt;"")</formula>
    </cfRule>
  </conditionalFormatting>
  <conditionalFormatting sqref="I10:I109">
    <cfRule type="expression" priority="50" dxfId="3">
      <formula>AND($C10="",$C9&lt;&gt;"")</formula>
    </cfRule>
  </conditionalFormatting>
  <conditionalFormatting sqref="J10:J109">
    <cfRule type="expression" priority="51" dxfId="3">
      <formula>AND($C10="",$C9&lt;&gt;"")</formula>
    </cfRule>
  </conditionalFormatting>
  <conditionalFormatting sqref="K10:K109">
    <cfRule type="expression" priority="52" dxfId="3">
      <formula>AND($C10="",$C9&lt;&gt;"")</formula>
    </cfRule>
  </conditionalFormatting>
  <conditionalFormatting sqref="L10:L109">
    <cfRule type="expression" priority="53" dxfId="3">
      <formula>AND($C10="",$C9&lt;&gt;"")</formula>
    </cfRule>
  </conditionalFormatting>
  <conditionalFormatting sqref="M10:M109">
    <cfRule type="expression" priority="54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9" showDropDown="0" showInputMessage="0" showErrorMessage="0" allowBlank="1" errorTitle="Erreur" error="Valeur invalide" promptTitle="Liste" prompt="Choisir dans la liste" type="list">
      <formula1>'_Lists'!$H$2:$H$6</formula1>
    </dataValidation>
    <dataValidation sqref="M5:M109" showDropDown="0" showInputMessage="0" showErrorMessage="0" allowBlank="1" errorTitle="Erreur" error="Valeur invalide" promptTitle="Liste" prompt="Choisir dans la liste" type="list">
      <formula1>'_Lists'!$J$2:$J$6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30" customWidth="1" min="9" max="9"/>
    <col width="22" customWidth="1" min="10" max="10"/>
    <col width="14" customWidth="1" min="11" max="11"/>
  </cols>
  <sheetData>
    <row r="1" ht="15" customHeight="1"/>
    <row r="2" ht="32" customHeight="1">
      <c r="B2" s="1" t="inlineStr">
        <is>
          <t>CONGE FORCE / REPOS COMPENSATOIRE IMPOSE (#63)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Departements Concernes</t>
        </is>
      </c>
      <c r="D4" s="12" t="inlineStr">
        <is>
          <t>Motif</t>
        </is>
      </c>
      <c r="E4" s="12" t="inlineStr">
        <is>
          <t>Date Debut</t>
        </is>
      </c>
      <c r="F4" s="12" t="inlineStr">
        <is>
          <t>Date Fin</t>
        </is>
      </c>
      <c r="G4" s="12" t="inlineStr">
        <is>
          <t>Nb Jours</t>
        </is>
      </c>
      <c r="H4" s="12" t="inlineStr">
        <is>
          <t>Nb Employes</t>
        </is>
      </c>
      <c r="I4" s="12" t="inlineStr">
        <is>
          <t>Services Maintenus</t>
        </is>
      </c>
      <c r="J4" s="12" t="inlineStr">
        <is>
          <t>Communication</t>
        </is>
      </c>
      <c r="K4" s="12" t="inlineStr">
        <is>
          <t>Statut</t>
        </is>
      </c>
    </row>
    <row r="5" ht="22" customHeight="1">
      <c r="B5" s="13" t="inlineStr">
        <is>
          <t>CF-001</t>
        </is>
      </c>
      <c r="C5" s="13" t="inlineStr">
        <is>
          <t>Cuisine, Entretien, Logistique</t>
        </is>
      </c>
      <c r="D5" s="13" t="inlineStr">
        <is>
          <t>Travaux renovation cuisine</t>
        </is>
      </c>
      <c r="E5" s="32" t="n">
        <v>45880</v>
      </c>
      <c r="F5" s="32" t="n">
        <v>45884</v>
      </c>
      <c r="G5" s="14" t="n">
        <v>5</v>
      </c>
      <c r="H5" s="14" t="n">
        <v>18</v>
      </c>
      <c r="I5" s="13" t="inlineStr">
        <is>
          <t>Reception, Securite, Room Service</t>
        </is>
      </c>
      <c r="J5" s="13" t="inlineStr">
        <is>
          <t>Note service 01/08</t>
        </is>
      </c>
      <c r="K5" s="13" t="inlineStr">
        <is>
          <t>Planifie</t>
        </is>
      </c>
    </row>
    <row r="6" ht="22" customHeight="1">
      <c r="B6" s="15" t="inlineStr">
        <is>
          <t>CF-002</t>
        </is>
      </c>
      <c r="C6" s="15" t="inlineStr">
        <is>
          <t>Tous sauf Reception et Securite</t>
        </is>
      </c>
      <c r="D6" s="15" t="inlineStr">
        <is>
          <t>Basse saison janvier</t>
        </is>
      </c>
      <c r="E6" s="33" t="n">
        <v>46027</v>
      </c>
      <c r="F6" s="33" t="n">
        <v>46038</v>
      </c>
      <c r="G6" s="16" t="n">
        <v>10</v>
      </c>
      <c r="H6" s="16" t="n">
        <v>38</v>
      </c>
      <c r="I6" s="15" t="inlineStr">
        <is>
          <t>Reception, Securite, Room Service</t>
        </is>
      </c>
      <c r="J6" s="15" t="inlineStr">
        <is>
          <t>Note circulaire 20/12</t>
        </is>
      </c>
      <c r="K6" s="15" t="inlineStr">
        <is>
          <t>Planifie</t>
        </is>
      </c>
    </row>
    <row r="7" ht="22" customHeight="1">
      <c r="B7" s="13" t="inlineStr">
        <is>
          <t>CF-003</t>
        </is>
      </c>
      <c r="C7" s="13" t="inlineStr">
        <is>
          <t>Production, Logistique</t>
        </is>
      </c>
      <c r="D7" s="13" t="inlineStr">
        <is>
          <t>Inventaire annuel</t>
        </is>
      </c>
      <c r="E7" s="32" t="n">
        <v>46020</v>
      </c>
      <c r="F7" s="32" t="n">
        <v>46022</v>
      </c>
      <c r="G7" s="14" t="n">
        <v>3</v>
      </c>
      <c r="H7" s="14" t="n">
        <v>12</v>
      </c>
      <c r="I7" s="13" t="inlineStr">
        <is>
          <t>Aucun</t>
        </is>
      </c>
      <c r="J7" s="13" t="inlineStr">
        <is>
          <t>Note service 15/12</t>
        </is>
      </c>
      <c r="K7" s="13" t="inlineStr">
        <is>
          <t>Planifie</t>
        </is>
      </c>
    </row>
    <row r="8" ht="22" customHeight="1">
      <c r="B8" s="17">
        <f>IF(C8="","CF-"&amp;TEXT(COUNTA($C$5:C8),"000"))</f>
        <v/>
      </c>
      <c r="C8" s="15" t="n"/>
      <c r="D8" s="15" t="n"/>
      <c r="E8" s="33" t="n"/>
      <c r="F8" s="33" t="n"/>
      <c r="G8" s="16">
        <f>IF(E8="","",F8-E8+1)</f>
        <v/>
      </c>
      <c r="H8" s="16" t="n"/>
      <c r="I8" s="15" t="n"/>
      <c r="J8" s="15" t="n"/>
      <c r="K8" s="15" t="n"/>
    </row>
    <row r="9" ht="22" customHeight="1">
      <c r="B9" s="18">
        <f>IF(C9="","CF-"&amp;TEXT(COUNTA($C$5:C9),"000"))</f>
        <v/>
      </c>
      <c r="C9" s="13" t="n"/>
      <c r="D9" s="13" t="n"/>
      <c r="E9" s="32" t="n"/>
      <c r="F9" s="32" t="n"/>
      <c r="G9" s="14">
        <f>IF(E9="","",F9-E9+1)</f>
        <v/>
      </c>
      <c r="H9" s="14" t="n"/>
      <c r="I9" s="13" t="n"/>
      <c r="J9" s="13" t="n"/>
      <c r="K9" s="13" t="n"/>
    </row>
    <row r="10" ht="22" customHeight="1">
      <c r="B10" s="17">
        <f>IF(C10="","CF-"&amp;TEXT(COUNTA($C$5:C10),"000"))</f>
        <v/>
      </c>
      <c r="C10" s="15" t="n"/>
      <c r="D10" s="15" t="n"/>
      <c r="E10" s="33" t="n"/>
      <c r="F10" s="33" t="n"/>
      <c r="G10" s="16">
        <f>IF(E10="","",F10-E10+1)</f>
        <v/>
      </c>
      <c r="H10" s="16" t="n"/>
      <c r="I10" s="15" t="n"/>
      <c r="J10" s="15" t="n"/>
      <c r="K10" s="15" t="n"/>
    </row>
    <row r="11" ht="22" customHeight="1">
      <c r="B11" s="18">
        <f>IF(C11="","CF-"&amp;TEXT(COUNTA($C$5:C11),"000"))</f>
        <v/>
      </c>
      <c r="C11" s="13" t="n"/>
      <c r="D11" s="13" t="n"/>
      <c r="E11" s="32" t="n"/>
      <c r="F11" s="32" t="n"/>
      <c r="G11" s="14">
        <f>IF(E11="","",F11-E11+1)</f>
        <v/>
      </c>
      <c r="H11" s="14" t="n"/>
      <c r="I11" s="13" t="n"/>
      <c r="J11" s="13" t="n"/>
      <c r="K11" s="13" t="n"/>
    </row>
    <row r="12" ht="22" customHeight="1">
      <c r="B12" s="17">
        <f>IF(C12="","CF-"&amp;TEXT(COUNTA($C$5:C12),"000"))</f>
        <v/>
      </c>
      <c r="C12" s="15" t="n"/>
      <c r="D12" s="15" t="n"/>
      <c r="E12" s="33" t="n"/>
      <c r="F12" s="33" t="n"/>
      <c r="G12" s="16">
        <f>IF(E12="","",F12-E12+1)</f>
        <v/>
      </c>
      <c r="H12" s="16" t="n"/>
      <c r="I12" s="15" t="n"/>
      <c r="J12" s="15" t="n"/>
      <c r="K12" s="15" t="n"/>
    </row>
    <row r="13" ht="22" customHeight="1">
      <c r="B13" s="18">
        <f>IF(C13="","CF-"&amp;TEXT(COUNTA($C$5:C13),"000"))</f>
        <v/>
      </c>
      <c r="C13" s="13" t="n"/>
      <c r="D13" s="13" t="n"/>
      <c r="E13" s="32" t="n"/>
      <c r="F13" s="32" t="n"/>
      <c r="G13" s="14">
        <f>IF(E13="","",F13-E13+1)</f>
        <v/>
      </c>
      <c r="H13" s="14" t="n"/>
      <c r="I13" s="13" t="n"/>
      <c r="J13" s="13" t="n"/>
      <c r="K13" s="13" t="n"/>
    </row>
    <row r="14" ht="22" customHeight="1">
      <c r="B14" s="17">
        <f>IF(C14="","CF-"&amp;TEXT(COUNTA($C$5:C14),"000"))</f>
        <v/>
      </c>
      <c r="C14" s="15" t="n"/>
      <c r="D14" s="15" t="n"/>
      <c r="E14" s="33" t="n"/>
      <c r="F14" s="33" t="n"/>
      <c r="G14" s="16">
        <f>IF(E14="","",F14-E14+1)</f>
        <v/>
      </c>
      <c r="H14" s="16" t="n"/>
      <c r="I14" s="15" t="n"/>
      <c r="J14" s="15" t="n"/>
      <c r="K14" s="15" t="n"/>
    </row>
    <row r="15" ht="22" customHeight="1">
      <c r="B15" s="18">
        <f>IF(C15="","CF-"&amp;TEXT(COUNTA($C$5:C15),"000"))</f>
        <v/>
      </c>
      <c r="C15" s="13" t="n"/>
      <c r="D15" s="13" t="n"/>
      <c r="E15" s="32" t="n"/>
      <c r="F15" s="32" t="n"/>
      <c r="G15" s="14">
        <f>IF(E15="","",F15-E15+1)</f>
        <v/>
      </c>
      <c r="H15" s="14" t="n"/>
      <c r="I15" s="13" t="n"/>
      <c r="J15" s="13" t="n"/>
      <c r="K15" s="13" t="n"/>
    </row>
    <row r="16" ht="22" customHeight="1">
      <c r="B16" s="17">
        <f>IF(C16="","CF-"&amp;TEXT(COUNTA($C$5:C16),"000"))</f>
        <v/>
      </c>
      <c r="C16" s="15" t="n"/>
      <c r="D16" s="15" t="n"/>
      <c r="E16" s="33" t="n"/>
      <c r="F16" s="33" t="n"/>
      <c r="G16" s="16">
        <f>IF(E16="","",F16-E16+1)</f>
        <v/>
      </c>
      <c r="H16" s="16" t="n"/>
      <c r="I16" s="15" t="n"/>
      <c r="J16" s="15" t="n"/>
      <c r="K16" s="15" t="n"/>
    </row>
    <row r="17" ht="22" customHeight="1">
      <c r="B17" s="18">
        <f>IF(C17="","CF-"&amp;TEXT(COUNTA($C$5:C17),"000"))</f>
        <v/>
      </c>
      <c r="C17" s="13" t="n"/>
      <c r="D17" s="13" t="n"/>
      <c r="E17" s="32" t="n"/>
      <c r="F17" s="32" t="n"/>
      <c r="G17" s="14">
        <f>IF(E17="","",F17-E17+1)</f>
        <v/>
      </c>
      <c r="H17" s="14" t="n"/>
      <c r="I17" s="13" t="n"/>
      <c r="J17" s="13" t="n"/>
      <c r="K17" s="13" t="n"/>
    </row>
    <row r="18" ht="22" customHeight="1">
      <c r="B18" s="17">
        <f>IF(C18="","CF-"&amp;TEXT(COUNTA($C$5:C18),"000"))</f>
        <v/>
      </c>
      <c r="C18" s="15" t="n"/>
      <c r="D18" s="15" t="n"/>
      <c r="E18" s="33" t="n"/>
      <c r="F18" s="33" t="n"/>
      <c r="G18" s="16">
        <f>IF(E18="","",F18-E18+1)</f>
        <v/>
      </c>
      <c r="H18" s="16" t="n"/>
      <c r="I18" s="15" t="n"/>
      <c r="J18" s="15" t="n"/>
      <c r="K18" s="15" t="n"/>
    </row>
    <row r="19" ht="22" customHeight="1">
      <c r="B19" s="18">
        <f>IF(C19="","CF-"&amp;TEXT(COUNTA($C$5:C19),"000"))</f>
        <v/>
      </c>
      <c r="C19" s="13" t="n"/>
      <c r="D19" s="13" t="n"/>
      <c r="E19" s="32" t="n"/>
      <c r="F19" s="32" t="n"/>
      <c r="G19" s="14">
        <f>IF(E19="","",F19-E19+1)</f>
        <v/>
      </c>
      <c r="H19" s="14" t="n"/>
      <c r="I19" s="13" t="n"/>
      <c r="J19" s="13" t="n"/>
      <c r="K19" s="13" t="n"/>
    </row>
    <row r="20" ht="22" customHeight="1">
      <c r="B20" s="17">
        <f>IF(C20="","CF-"&amp;TEXT(COUNTA($C$5:C20),"000"))</f>
        <v/>
      </c>
      <c r="C20" s="15" t="n"/>
      <c r="D20" s="15" t="n"/>
      <c r="E20" s="33" t="n"/>
      <c r="F20" s="33" t="n"/>
      <c r="G20" s="16">
        <f>IF(E20="","",F20-E20+1)</f>
        <v/>
      </c>
      <c r="H20" s="16" t="n"/>
      <c r="I20" s="15" t="n"/>
      <c r="J20" s="15" t="n"/>
      <c r="K20" s="15" t="n"/>
    </row>
    <row r="21" ht="22" customHeight="1">
      <c r="B21" s="18">
        <f>IF(C21="","CF-"&amp;TEXT(COUNTA($C$5:C21),"000"))</f>
        <v/>
      </c>
      <c r="C21" s="13" t="n"/>
      <c r="D21" s="13" t="n"/>
      <c r="E21" s="32" t="n"/>
      <c r="F21" s="32" t="n"/>
      <c r="G21" s="14">
        <f>IF(E21="","",F21-E21+1)</f>
        <v/>
      </c>
      <c r="H21" s="14" t="n"/>
      <c r="I21" s="13" t="n"/>
      <c r="J21" s="13" t="n"/>
      <c r="K21" s="13" t="n"/>
    </row>
    <row r="22" ht="22" customHeight="1">
      <c r="B22" s="17">
        <f>IF(C22="","CF-"&amp;TEXT(COUNTA($C$5:C22),"000"))</f>
        <v/>
      </c>
      <c r="C22" s="15" t="n"/>
      <c r="D22" s="15" t="n"/>
      <c r="E22" s="33" t="n"/>
      <c r="F22" s="33" t="n"/>
      <c r="G22" s="16">
        <f>IF(E22="","",F22-E22+1)</f>
        <v/>
      </c>
      <c r="H22" s="16" t="n"/>
      <c r="I22" s="15" t="n"/>
      <c r="J22" s="15" t="n"/>
      <c r="K22" s="15" t="n"/>
    </row>
    <row r="23" ht="22" customHeight="1">
      <c r="B23" s="18">
        <f>IF(C23="","CF-"&amp;TEXT(COUNTA($C$5:C23),"000"))</f>
        <v/>
      </c>
      <c r="C23" s="13" t="n"/>
      <c r="D23" s="13" t="n"/>
      <c r="E23" s="32" t="n"/>
      <c r="F23" s="32" t="n"/>
      <c r="G23" s="14">
        <f>IF(E23="","",F23-E23+1)</f>
        <v/>
      </c>
      <c r="H23" s="14" t="n"/>
      <c r="I23" s="13" t="n"/>
      <c r="J23" s="13" t="n"/>
      <c r="K23" s="13" t="n"/>
    </row>
    <row r="24" ht="22" customHeight="1">
      <c r="B24" s="17">
        <f>IF(C24="","CF-"&amp;TEXT(COUNTA($C$5:C24),"000"))</f>
        <v/>
      </c>
      <c r="C24" s="15" t="n"/>
      <c r="D24" s="15" t="n"/>
      <c r="E24" s="33" t="n"/>
      <c r="F24" s="33" t="n"/>
      <c r="G24" s="16">
        <f>IF(E24="","",F24-E24+1)</f>
        <v/>
      </c>
      <c r="H24" s="16" t="n"/>
      <c r="I24" s="15" t="n"/>
      <c r="J24" s="15" t="n"/>
      <c r="K24" s="15" t="n"/>
    </row>
    <row r="25" ht="22" customHeight="1">
      <c r="B25" s="18">
        <f>IF(C25="","CF-"&amp;TEXT(COUNTA($C$5:C25),"000"))</f>
        <v/>
      </c>
      <c r="C25" s="13" t="n"/>
      <c r="D25" s="13" t="n"/>
      <c r="E25" s="32" t="n"/>
      <c r="F25" s="32" t="n"/>
      <c r="G25" s="14">
        <f>IF(E25="","",F25-E25+1)</f>
        <v/>
      </c>
      <c r="H25" s="14" t="n"/>
      <c r="I25" s="13" t="n"/>
      <c r="J25" s="13" t="n"/>
      <c r="K25" s="13" t="n"/>
    </row>
    <row r="26" ht="22" customHeight="1">
      <c r="B26" s="17">
        <f>IF(C26="","CF-"&amp;TEXT(COUNTA($C$5:C26),"000"))</f>
        <v/>
      </c>
      <c r="C26" s="15" t="n"/>
      <c r="D26" s="15" t="n"/>
      <c r="E26" s="33" t="n"/>
      <c r="F26" s="33" t="n"/>
      <c r="G26" s="16">
        <f>IF(E26="","",F26-E26+1)</f>
        <v/>
      </c>
      <c r="H26" s="16" t="n"/>
      <c r="I26" s="15" t="n"/>
      <c r="J26" s="15" t="n"/>
      <c r="K26" s="15" t="n"/>
    </row>
    <row r="27" ht="22" customHeight="1">
      <c r="B27" s="18">
        <f>IF(C27="","CF-"&amp;TEXT(COUNTA($C$5:C27),"000"))</f>
        <v/>
      </c>
      <c r="C27" s="13" t="n"/>
      <c r="D27" s="13" t="n"/>
      <c r="E27" s="32" t="n"/>
      <c r="F27" s="32" t="n"/>
      <c r="G27" s="14">
        <f>IF(E27="","",F27-E27+1)</f>
        <v/>
      </c>
      <c r="H27" s="14" t="n"/>
      <c r="I27" s="13" t="n"/>
      <c r="J27" s="13" t="n"/>
      <c r="K27" s="13" t="n"/>
    </row>
    <row r="28" ht="22" customHeight="1">
      <c r="B28" s="17">
        <f>IF(C28="","CF-"&amp;TEXT(COUNTA($C$5:C28),"000"))</f>
        <v/>
      </c>
      <c r="C28" s="15" t="n"/>
      <c r="D28" s="15" t="n"/>
      <c r="E28" s="33" t="n"/>
      <c r="F28" s="33" t="n"/>
      <c r="G28" s="16">
        <f>IF(E28="","",F28-E28+1)</f>
        <v/>
      </c>
      <c r="H28" s="16" t="n"/>
      <c r="I28" s="15" t="n"/>
      <c r="J28" s="15" t="n"/>
      <c r="K28" s="15" t="n"/>
    </row>
    <row r="29" ht="22" customHeight="1">
      <c r="B29" s="18">
        <f>IF(C29="","CF-"&amp;TEXT(COUNTA($C$5:C29),"000"))</f>
        <v/>
      </c>
      <c r="C29" s="13" t="n"/>
      <c r="D29" s="13" t="n"/>
      <c r="E29" s="32" t="n"/>
      <c r="F29" s="32" t="n"/>
      <c r="G29" s="14">
        <f>IF(E29="","",F29-E29+1)</f>
        <v/>
      </c>
      <c r="H29" s="14" t="n"/>
      <c r="I29" s="13" t="n"/>
      <c r="J29" s="13" t="n"/>
      <c r="K29" s="13" t="n"/>
    </row>
    <row r="30" ht="22" customHeight="1">
      <c r="B30" s="17">
        <f>IF(C30="","CF-"&amp;TEXT(COUNTA($C$5:C30),"000"))</f>
        <v/>
      </c>
      <c r="C30" s="15" t="n"/>
      <c r="D30" s="15" t="n"/>
      <c r="E30" s="33" t="n"/>
      <c r="F30" s="33" t="n"/>
      <c r="G30" s="16">
        <f>IF(E30="","",F30-E30+1)</f>
        <v/>
      </c>
      <c r="H30" s="16" t="n"/>
      <c r="I30" s="15" t="n"/>
      <c r="J30" s="15" t="n"/>
      <c r="K30" s="15" t="n"/>
    </row>
    <row r="31" ht="22" customHeight="1">
      <c r="B31" s="18">
        <f>IF(C31="","CF-"&amp;TEXT(COUNTA($C$5:C31),"000"))</f>
        <v/>
      </c>
      <c r="C31" s="13" t="n"/>
      <c r="D31" s="13" t="n"/>
      <c r="E31" s="32" t="n"/>
      <c r="F31" s="32" t="n"/>
      <c r="G31" s="14">
        <f>IF(E31="","",F31-E31+1)</f>
        <v/>
      </c>
      <c r="H31" s="14" t="n"/>
      <c r="I31" s="13" t="n"/>
      <c r="J31" s="13" t="n"/>
      <c r="K31" s="13" t="n"/>
    </row>
    <row r="32" ht="22" customHeight="1">
      <c r="B32" s="17">
        <f>IF(C32="","CF-"&amp;TEXT(COUNTA($C$5:C32),"000"))</f>
        <v/>
      </c>
      <c r="C32" s="15" t="n"/>
      <c r="D32" s="15" t="n"/>
      <c r="E32" s="33" t="n"/>
      <c r="F32" s="33" t="n"/>
      <c r="G32" s="16">
        <f>IF(E32="","",F32-E32+1)</f>
        <v/>
      </c>
      <c r="H32" s="16" t="n"/>
      <c r="I32" s="15" t="n"/>
      <c r="J32" s="15" t="n"/>
      <c r="K32" s="15" t="n"/>
    </row>
    <row r="33" ht="22" customHeight="1">
      <c r="B33" s="18">
        <f>IF(C33="","CF-"&amp;TEXT(COUNTA($C$5:C33),"000"))</f>
        <v/>
      </c>
      <c r="C33" s="13" t="n"/>
      <c r="D33" s="13" t="n"/>
      <c r="E33" s="32" t="n"/>
      <c r="F33" s="32" t="n"/>
      <c r="G33" s="14">
        <f>IF(E33="","",F33-E33+1)</f>
        <v/>
      </c>
      <c r="H33" s="14" t="n"/>
      <c r="I33" s="13" t="n"/>
      <c r="J33" s="13" t="n"/>
      <c r="K33" s="13" t="n"/>
    </row>
    <row r="34" ht="22" customHeight="1">
      <c r="B34" s="17">
        <f>IF(C34="","CF-"&amp;TEXT(COUNTA($C$5:C34),"000"))</f>
        <v/>
      </c>
      <c r="C34" s="15" t="n"/>
      <c r="D34" s="15" t="n"/>
      <c r="E34" s="33" t="n"/>
      <c r="F34" s="33" t="n"/>
      <c r="G34" s="16">
        <f>IF(E34="","",F34-E34+1)</f>
        <v/>
      </c>
      <c r="H34" s="16" t="n"/>
      <c r="I34" s="15" t="n"/>
      <c r="J34" s="15" t="n"/>
      <c r="K34" s="15" t="n"/>
    </row>
    <row r="35" ht="22" customHeight="1">
      <c r="B35" s="18">
        <f>IF(C35="","CF-"&amp;TEXT(COUNTA($C$5:C35),"000"))</f>
        <v/>
      </c>
      <c r="C35" s="13" t="n"/>
      <c r="D35" s="13" t="n"/>
      <c r="E35" s="32" t="n"/>
      <c r="F35" s="32" t="n"/>
      <c r="G35" s="14">
        <f>IF(E35="","",F35-E35+1)</f>
        <v/>
      </c>
      <c r="H35" s="14" t="n"/>
      <c r="I35" s="13" t="n"/>
      <c r="J35" s="13" t="n"/>
      <c r="K35" s="13" t="n"/>
    </row>
    <row r="36" ht="22" customHeight="1">
      <c r="B36" s="17">
        <f>IF(C36="","CF-"&amp;TEXT(COUNTA($C$5:C36),"000"))</f>
        <v/>
      </c>
      <c r="C36" s="15" t="n"/>
      <c r="D36" s="15" t="n"/>
      <c r="E36" s="33" t="n"/>
      <c r="F36" s="33" t="n"/>
      <c r="G36" s="16">
        <f>IF(E36="","",F36-E36+1)</f>
        <v/>
      </c>
      <c r="H36" s="16" t="n"/>
      <c r="I36" s="15" t="n"/>
      <c r="J36" s="15" t="n"/>
      <c r="K36" s="15" t="n"/>
    </row>
    <row r="37" ht="22" customHeight="1">
      <c r="B37" s="18">
        <f>IF(C37="","CF-"&amp;TEXT(COUNTA($C$5:C37),"000"))</f>
        <v/>
      </c>
      <c r="C37" s="13" t="n"/>
      <c r="D37" s="13" t="n"/>
      <c r="E37" s="32" t="n"/>
      <c r="F37" s="32" t="n"/>
      <c r="G37" s="14">
        <f>IF(E37="","",F37-E37+1)</f>
        <v/>
      </c>
      <c r="H37" s="14" t="n"/>
      <c r="I37" s="13" t="n"/>
      <c r="J37" s="13" t="n"/>
      <c r="K37" s="13" t="n"/>
    </row>
    <row r="38" ht="22" customHeight="1">
      <c r="B38" s="17">
        <f>IF(C38="","CF-"&amp;TEXT(COUNTA($C$5:C38),"000"))</f>
        <v/>
      </c>
      <c r="C38" s="15" t="n"/>
      <c r="D38" s="15" t="n"/>
      <c r="E38" s="33" t="n"/>
      <c r="F38" s="33" t="n"/>
      <c r="G38" s="16">
        <f>IF(E38="","",F38-E38+1)</f>
        <v/>
      </c>
      <c r="H38" s="16" t="n"/>
      <c r="I38" s="15" t="n"/>
      <c r="J38" s="15" t="n"/>
      <c r="K38" s="15" t="n"/>
    </row>
    <row r="39" ht="22" customHeight="1">
      <c r="B39" s="18">
        <f>IF(C39="","CF-"&amp;TEXT(COUNTA($C$5:C39),"000"))</f>
        <v/>
      </c>
      <c r="C39" s="13" t="n"/>
      <c r="D39" s="13" t="n"/>
      <c r="E39" s="32" t="n"/>
      <c r="F39" s="32" t="n"/>
      <c r="G39" s="14">
        <f>IF(E39="","",F39-E39+1)</f>
        <v/>
      </c>
      <c r="H39" s="14" t="n"/>
      <c r="I39" s="13" t="n"/>
      <c r="J39" s="13" t="n"/>
      <c r="K39" s="13" t="n"/>
    </row>
    <row r="40" ht="22" customHeight="1">
      <c r="B40" s="17">
        <f>IF(C40="","CF-"&amp;TEXT(COUNTA($C$5:C40),"000"))</f>
        <v/>
      </c>
      <c r="C40" s="15" t="n"/>
      <c r="D40" s="15" t="n"/>
      <c r="E40" s="33" t="n"/>
      <c r="F40" s="33" t="n"/>
      <c r="G40" s="16">
        <f>IF(E40="","",F40-E40+1)</f>
        <v/>
      </c>
      <c r="H40" s="16" t="n"/>
      <c r="I40" s="15" t="n"/>
      <c r="J40" s="15" t="n"/>
      <c r="K40" s="15" t="n"/>
    </row>
    <row r="41" ht="22" customHeight="1">
      <c r="B41" s="18">
        <f>IF(C41="","CF-"&amp;TEXT(COUNTA($C$5:C41),"000"))</f>
        <v/>
      </c>
      <c r="C41" s="13" t="n"/>
      <c r="D41" s="13" t="n"/>
      <c r="E41" s="32" t="n"/>
      <c r="F41" s="32" t="n"/>
      <c r="G41" s="14">
        <f>IF(E41="","",F41-E41+1)</f>
        <v/>
      </c>
      <c r="H41" s="14" t="n"/>
      <c r="I41" s="13" t="n"/>
      <c r="J41" s="13" t="n"/>
      <c r="K41" s="13" t="n"/>
    </row>
    <row r="42" ht="22" customHeight="1">
      <c r="B42" s="17">
        <f>IF(C42="","CF-"&amp;TEXT(COUNTA($C$5:C42),"000"))</f>
        <v/>
      </c>
      <c r="C42" s="15" t="n"/>
      <c r="D42" s="15" t="n"/>
      <c r="E42" s="33" t="n"/>
      <c r="F42" s="33" t="n"/>
      <c r="G42" s="16">
        <f>IF(E42="","",F42-E42+1)</f>
        <v/>
      </c>
      <c r="H42" s="16" t="n"/>
      <c r="I42" s="15" t="n"/>
      <c r="J42" s="15" t="n"/>
      <c r="K42" s="15" t="n"/>
    </row>
    <row r="43" ht="22" customHeight="1">
      <c r="B43" s="18">
        <f>IF(C43="","CF-"&amp;TEXT(COUNTA($C$5:C43),"000"))</f>
        <v/>
      </c>
      <c r="C43" s="13" t="n"/>
      <c r="D43" s="13" t="n"/>
      <c r="E43" s="32" t="n"/>
      <c r="F43" s="32" t="n"/>
      <c r="G43" s="14">
        <f>IF(E43="","",F43-E43+1)</f>
        <v/>
      </c>
      <c r="H43" s="14" t="n"/>
      <c r="I43" s="13" t="n"/>
      <c r="J43" s="13" t="n"/>
      <c r="K43" s="13" t="n"/>
    </row>
    <row r="44" ht="22" customHeight="1">
      <c r="B44" s="17">
        <f>IF(C44="","CF-"&amp;TEXT(COUNTA($C$5:C44),"000"))</f>
        <v/>
      </c>
      <c r="C44" s="15" t="n"/>
      <c r="D44" s="15" t="n"/>
      <c r="E44" s="33" t="n"/>
      <c r="F44" s="33" t="n"/>
      <c r="G44" s="16">
        <f>IF(E44="","",F44-E44+1)</f>
        <v/>
      </c>
      <c r="H44" s="16" t="n"/>
      <c r="I44" s="15" t="n"/>
      <c r="J44" s="15" t="n"/>
      <c r="K44" s="15" t="n"/>
    </row>
    <row r="45" ht="22" customHeight="1">
      <c r="B45" s="18">
        <f>IF(C45="","CF-"&amp;TEXT(COUNTA($C$5:C45),"000"))</f>
        <v/>
      </c>
      <c r="C45" s="13" t="n"/>
      <c r="D45" s="13" t="n"/>
      <c r="E45" s="32" t="n"/>
      <c r="F45" s="32" t="n"/>
      <c r="G45" s="14">
        <f>IF(E45="","",F45-E45+1)</f>
        <v/>
      </c>
      <c r="H45" s="14" t="n"/>
      <c r="I45" s="13" t="n"/>
      <c r="J45" s="13" t="n"/>
      <c r="K45" s="13" t="n"/>
    </row>
    <row r="46" ht="22" customHeight="1">
      <c r="B46" s="17">
        <f>IF(C46="","CF-"&amp;TEXT(COUNTA($C$5:C46),"000"))</f>
        <v/>
      </c>
      <c r="C46" s="15" t="n"/>
      <c r="D46" s="15" t="n"/>
      <c r="E46" s="33" t="n"/>
      <c r="F46" s="33" t="n"/>
      <c r="G46" s="16">
        <f>IF(E46="","",F46-E46+1)</f>
        <v/>
      </c>
      <c r="H46" s="16" t="n"/>
      <c r="I46" s="15" t="n"/>
      <c r="J46" s="15" t="n"/>
      <c r="K46" s="15" t="n"/>
    </row>
    <row r="47" ht="22" customHeight="1">
      <c r="B47" s="18">
        <f>IF(C47="","CF-"&amp;TEXT(COUNTA($C$5:C47),"000"))</f>
        <v/>
      </c>
      <c r="C47" s="13" t="n"/>
      <c r="D47" s="13" t="n"/>
      <c r="E47" s="32" t="n"/>
      <c r="F47" s="32" t="n"/>
      <c r="G47" s="14">
        <f>IF(E47="","",F47-E47+1)</f>
        <v/>
      </c>
      <c r="H47" s="14" t="n"/>
      <c r="I47" s="13" t="n"/>
      <c r="J47" s="13" t="n"/>
      <c r="K47" s="13" t="n"/>
    </row>
    <row r="48" ht="22" customHeight="1">
      <c r="B48" s="17">
        <f>IF(C48="","CF-"&amp;TEXT(COUNTA($C$5:C48),"000"))</f>
        <v/>
      </c>
      <c r="C48" s="15" t="n"/>
      <c r="D48" s="15" t="n"/>
      <c r="E48" s="33" t="n"/>
      <c r="F48" s="33" t="n"/>
      <c r="G48" s="16">
        <f>IF(E48="","",F48-E48+1)</f>
        <v/>
      </c>
      <c r="H48" s="16" t="n"/>
      <c r="I48" s="15" t="n"/>
      <c r="J48" s="15" t="n"/>
      <c r="K48" s="15" t="n"/>
    </row>
    <row r="49" ht="22" customHeight="1">
      <c r="B49" s="18">
        <f>IF(C49="","CF-"&amp;TEXT(COUNTA($C$5:C49),"000"))</f>
        <v/>
      </c>
      <c r="C49" s="13" t="n"/>
      <c r="D49" s="13" t="n"/>
      <c r="E49" s="32" t="n"/>
      <c r="F49" s="32" t="n"/>
      <c r="G49" s="14">
        <f>IF(E49="","",F49-E49+1)</f>
        <v/>
      </c>
      <c r="H49" s="14" t="n"/>
      <c r="I49" s="13" t="n"/>
      <c r="J49" s="13" t="n"/>
      <c r="K49" s="13" t="n"/>
    </row>
    <row r="50" ht="22" customHeight="1">
      <c r="B50" s="17">
        <f>IF(C50="","CF-"&amp;TEXT(COUNTA($C$5:C50),"000"))</f>
        <v/>
      </c>
      <c r="C50" s="15" t="n"/>
      <c r="D50" s="15" t="n"/>
      <c r="E50" s="33" t="n"/>
      <c r="F50" s="33" t="n"/>
      <c r="G50" s="16">
        <f>IF(E50="","",F50-E50+1)</f>
        <v/>
      </c>
      <c r="H50" s="16" t="n"/>
      <c r="I50" s="15" t="n"/>
      <c r="J50" s="15" t="n"/>
      <c r="K50" s="15" t="n"/>
    </row>
    <row r="51" ht="22" customHeight="1">
      <c r="B51" s="18">
        <f>IF(C51="","CF-"&amp;TEXT(COUNTA($C$5:C51),"000"))</f>
        <v/>
      </c>
      <c r="C51" s="13" t="n"/>
      <c r="D51" s="13" t="n"/>
      <c r="E51" s="32" t="n"/>
      <c r="F51" s="32" t="n"/>
      <c r="G51" s="14">
        <f>IF(E51="","",F51-E51+1)</f>
        <v/>
      </c>
      <c r="H51" s="14" t="n"/>
      <c r="I51" s="13" t="n"/>
      <c r="J51" s="13" t="n"/>
      <c r="K51" s="13" t="n"/>
    </row>
    <row r="52" ht="22" customHeight="1">
      <c r="B52" s="17">
        <f>IF(C52="","CF-"&amp;TEXT(COUNTA($C$5:C52),"000"))</f>
        <v/>
      </c>
      <c r="C52" s="15" t="n"/>
      <c r="D52" s="15" t="n"/>
      <c r="E52" s="33" t="n"/>
      <c r="F52" s="33" t="n"/>
      <c r="G52" s="16">
        <f>IF(E52="","",F52-E52+1)</f>
        <v/>
      </c>
      <c r="H52" s="16" t="n"/>
      <c r="I52" s="15" t="n"/>
      <c r="J52" s="15" t="n"/>
      <c r="K52" s="15" t="n"/>
    </row>
    <row r="53" ht="22" customHeight="1">
      <c r="B53" s="18">
        <f>IF(C53="","CF-"&amp;TEXT(COUNTA($C$5:C53),"000"))</f>
        <v/>
      </c>
      <c r="C53" s="13" t="n"/>
      <c r="D53" s="13" t="n"/>
      <c r="E53" s="32" t="n"/>
      <c r="F53" s="32" t="n"/>
      <c r="G53" s="14">
        <f>IF(E53="","",F53-E53+1)</f>
        <v/>
      </c>
      <c r="H53" s="14" t="n"/>
      <c r="I53" s="13" t="n"/>
      <c r="J53" s="13" t="n"/>
      <c r="K53" s="13" t="n"/>
    </row>
    <row r="54" ht="22" customHeight="1">
      <c r="B54" s="17">
        <f>IF(C54="","CF-"&amp;TEXT(COUNTA($C$5:C54),"000"))</f>
        <v/>
      </c>
      <c r="C54" s="15" t="n"/>
      <c r="D54" s="15" t="n"/>
      <c r="E54" s="33" t="n"/>
      <c r="F54" s="33" t="n"/>
      <c r="G54" s="16">
        <f>IF(E54="","",F54-E54+1)</f>
        <v/>
      </c>
      <c r="H54" s="16" t="n"/>
      <c r="I54" s="15" t="n"/>
      <c r="J54" s="15" t="n"/>
      <c r="K54" s="15" t="n"/>
    </row>
    <row r="55" ht="22" customHeight="1">
      <c r="B55" s="18">
        <f>IF(C55="","CF-"&amp;TEXT(COUNTA($C$5:C55),"000"))</f>
        <v/>
      </c>
      <c r="C55" s="13" t="n"/>
      <c r="D55" s="13" t="n"/>
      <c r="E55" s="32" t="n"/>
      <c r="F55" s="32" t="n"/>
      <c r="G55" s="14">
        <f>IF(E55="","",F55-E55+1)</f>
        <v/>
      </c>
      <c r="H55" s="14" t="n"/>
      <c r="I55" s="13" t="n"/>
      <c r="J55" s="13" t="n"/>
      <c r="K55" s="13" t="n"/>
    </row>
    <row r="56" ht="22" customHeight="1">
      <c r="B56" s="17">
        <f>IF(C56="","CF-"&amp;TEXT(COUNTA($C$5:C56),"000"))</f>
        <v/>
      </c>
      <c r="C56" s="15" t="n"/>
      <c r="D56" s="15" t="n"/>
      <c r="E56" s="33" t="n"/>
      <c r="F56" s="33" t="n"/>
      <c r="G56" s="16">
        <f>IF(E56="","",F56-E56+1)</f>
        <v/>
      </c>
      <c r="H56" s="16" t="n"/>
      <c r="I56" s="15" t="n"/>
      <c r="J56" s="15" t="n"/>
      <c r="K56" s="15" t="n"/>
    </row>
    <row r="57" ht="22" customHeight="1">
      <c r="B57" s="18">
        <f>IF(C57="","CF-"&amp;TEXT(COUNTA($C$5:C57),"000"))</f>
        <v/>
      </c>
      <c r="C57" s="13" t="n"/>
      <c r="D57" s="13" t="n"/>
      <c r="E57" s="32" t="n"/>
      <c r="F57" s="32" t="n"/>
      <c r="G57" s="14">
        <f>IF(E57="","",F57-E57+1)</f>
        <v/>
      </c>
      <c r="H57" s="14" t="n"/>
      <c r="I57" s="13" t="n"/>
      <c r="J57" s="13" t="n"/>
      <c r="K57" s="13" t="n"/>
    </row>
    <row r="58" ht="22" customHeight="1">
      <c r="B58" s="17">
        <f>IF(C58="","CF-"&amp;TEXT(COUNTA($C$5:C58),"000"))</f>
        <v/>
      </c>
      <c r="C58" s="15" t="n"/>
      <c r="D58" s="15" t="n"/>
      <c r="E58" s="33" t="n"/>
      <c r="F58" s="33" t="n"/>
      <c r="G58" s="16">
        <f>IF(E58="","",F58-E58+1)</f>
        <v/>
      </c>
      <c r="H58" s="16" t="n"/>
      <c r="I58" s="15" t="n"/>
      <c r="J58" s="15" t="n"/>
      <c r="K58" s="15" t="n"/>
    </row>
    <row r="59" ht="22" customHeight="1">
      <c r="B59" s="18">
        <f>IF(C59="","CF-"&amp;TEXT(COUNTA($C$5:C59),"000"))</f>
        <v/>
      </c>
      <c r="C59" s="13" t="n"/>
      <c r="D59" s="13" t="n"/>
      <c r="E59" s="32" t="n"/>
      <c r="F59" s="32" t="n"/>
      <c r="G59" s="14">
        <f>IF(E59="","",F59-E59+1)</f>
        <v/>
      </c>
      <c r="H59" s="14" t="n"/>
      <c r="I59" s="13" t="n"/>
      <c r="J59" s="13" t="n"/>
      <c r="K59" s="13" t="n"/>
    </row>
    <row r="60" ht="22" customHeight="1">
      <c r="B60" s="17">
        <f>IF(C60="","CF-"&amp;TEXT(COUNTA($C$5:C60),"000"))</f>
        <v/>
      </c>
      <c r="C60" s="15" t="n"/>
      <c r="D60" s="15" t="n"/>
      <c r="E60" s="33" t="n"/>
      <c r="F60" s="33" t="n"/>
      <c r="G60" s="16">
        <f>IF(E60="","",F60-E60+1)</f>
        <v/>
      </c>
      <c r="H60" s="16" t="n"/>
      <c r="I60" s="15" t="n"/>
      <c r="J60" s="15" t="n"/>
      <c r="K60" s="15" t="n"/>
    </row>
    <row r="61" ht="22" customHeight="1">
      <c r="B61" s="18">
        <f>IF(C61="","CF-"&amp;TEXT(COUNTA($C$5:C61),"000"))</f>
        <v/>
      </c>
      <c r="C61" s="13" t="n"/>
      <c r="D61" s="13" t="n"/>
      <c r="E61" s="32" t="n"/>
      <c r="F61" s="32" t="n"/>
      <c r="G61" s="14">
        <f>IF(E61="","",F61-E61+1)</f>
        <v/>
      </c>
      <c r="H61" s="14" t="n"/>
      <c r="I61" s="13" t="n"/>
      <c r="J61" s="13" t="n"/>
      <c r="K61" s="13" t="n"/>
    </row>
    <row r="62" ht="22" customHeight="1">
      <c r="B62" s="17">
        <f>IF(C62="","CF-"&amp;TEXT(COUNTA($C$5:C62),"000"))</f>
        <v/>
      </c>
      <c r="C62" s="15" t="n"/>
      <c r="D62" s="15" t="n"/>
      <c r="E62" s="33" t="n"/>
      <c r="F62" s="33" t="n"/>
      <c r="G62" s="16">
        <f>IF(E62="","",F62-E62+1)</f>
        <v/>
      </c>
      <c r="H62" s="16" t="n"/>
      <c r="I62" s="15" t="n"/>
      <c r="J62" s="15" t="n"/>
      <c r="K62" s="15" t="n"/>
    </row>
    <row r="63" ht="22" customHeight="1">
      <c r="B63" s="18">
        <f>IF(C63="","CF-"&amp;TEXT(COUNTA($C$5:C63),"000"))</f>
        <v/>
      </c>
      <c r="C63" s="13" t="n"/>
      <c r="D63" s="13" t="n"/>
      <c r="E63" s="32" t="n"/>
      <c r="F63" s="32" t="n"/>
      <c r="G63" s="14">
        <f>IF(E63="","",F63-E63+1)</f>
        <v/>
      </c>
      <c r="H63" s="14" t="n"/>
      <c r="I63" s="13" t="n"/>
      <c r="J63" s="13" t="n"/>
      <c r="K63" s="13" t="n"/>
    </row>
    <row r="64" ht="22" customHeight="1">
      <c r="B64" s="17">
        <f>IF(C64="","CF-"&amp;TEXT(COUNTA($C$5:C64),"000"))</f>
        <v/>
      </c>
      <c r="C64" s="15" t="n"/>
      <c r="D64" s="15" t="n"/>
      <c r="E64" s="33" t="n"/>
      <c r="F64" s="33" t="n"/>
      <c r="G64" s="16">
        <f>IF(E64="","",F64-E64+1)</f>
        <v/>
      </c>
      <c r="H64" s="16" t="n"/>
      <c r="I64" s="15" t="n"/>
      <c r="J64" s="15" t="n"/>
      <c r="K64" s="15" t="n"/>
    </row>
    <row r="65" ht="22" customHeight="1">
      <c r="B65" s="18">
        <f>IF(C65="","CF-"&amp;TEXT(COUNTA($C$5:C65),"000"))</f>
        <v/>
      </c>
      <c r="C65" s="13" t="n"/>
      <c r="D65" s="13" t="n"/>
      <c r="E65" s="32" t="n"/>
      <c r="F65" s="32" t="n"/>
      <c r="G65" s="14">
        <f>IF(E65="","",F65-E65+1)</f>
        <v/>
      </c>
      <c r="H65" s="14" t="n"/>
      <c r="I65" s="13" t="n"/>
      <c r="J65" s="13" t="n"/>
      <c r="K65" s="13" t="n"/>
    </row>
    <row r="66" ht="22" customHeight="1">
      <c r="B66" s="17">
        <f>IF(C66="","CF-"&amp;TEXT(COUNTA($C$5:C66),"000"))</f>
        <v/>
      </c>
      <c r="C66" s="15" t="n"/>
      <c r="D66" s="15" t="n"/>
      <c r="E66" s="33" t="n"/>
      <c r="F66" s="33" t="n"/>
      <c r="G66" s="16">
        <f>IF(E66="","",F66-E66+1)</f>
        <v/>
      </c>
      <c r="H66" s="16" t="n"/>
      <c r="I66" s="15" t="n"/>
      <c r="J66" s="15" t="n"/>
      <c r="K66" s="15" t="n"/>
    </row>
    <row r="67" ht="22" customHeight="1">
      <c r="B67" s="18">
        <f>IF(C67="","CF-"&amp;TEXT(COUNTA($C$5:C67),"000"))</f>
        <v/>
      </c>
      <c r="C67" s="13" t="n"/>
      <c r="D67" s="13" t="n"/>
      <c r="E67" s="32" t="n"/>
      <c r="F67" s="32" t="n"/>
      <c r="G67" s="14">
        <f>IF(E67="","",F67-E67+1)</f>
        <v/>
      </c>
      <c r="H67" s="14" t="n"/>
      <c r="I67" s="13" t="n"/>
      <c r="J67" s="13" t="n"/>
      <c r="K67" s="13" t="n"/>
    </row>
    <row r="68" ht="22" customHeight="1">
      <c r="B68" s="17">
        <f>IF(C68="","CF-"&amp;TEXT(COUNTA($C$5:C68),"000"))</f>
        <v/>
      </c>
      <c r="C68" s="15" t="n"/>
      <c r="D68" s="15" t="n"/>
      <c r="E68" s="33" t="n"/>
      <c r="F68" s="33" t="n"/>
      <c r="G68" s="16">
        <f>IF(E68="","",F68-E68+1)</f>
        <v/>
      </c>
      <c r="H68" s="16" t="n"/>
      <c r="I68" s="15" t="n"/>
      <c r="J68" s="15" t="n"/>
      <c r="K68" s="15" t="n"/>
    </row>
    <row r="69" ht="22" customHeight="1">
      <c r="B69" s="18">
        <f>IF(C69="","CF-"&amp;TEXT(COUNTA($C$5:C69),"000"))</f>
        <v/>
      </c>
      <c r="C69" s="13" t="n"/>
      <c r="D69" s="13" t="n"/>
      <c r="E69" s="32" t="n"/>
      <c r="F69" s="32" t="n"/>
      <c r="G69" s="14">
        <f>IF(E69="","",F69-E69+1)</f>
        <v/>
      </c>
      <c r="H69" s="14" t="n"/>
      <c r="I69" s="13" t="n"/>
      <c r="J69" s="13" t="n"/>
      <c r="K69" s="13" t="n"/>
    </row>
    <row r="70" ht="22" customHeight="1">
      <c r="B70" s="17">
        <f>IF(C70="","CF-"&amp;TEXT(COUNTA($C$5:C70),"000"))</f>
        <v/>
      </c>
      <c r="C70" s="15" t="n"/>
      <c r="D70" s="15" t="n"/>
      <c r="E70" s="33" t="n"/>
      <c r="F70" s="33" t="n"/>
      <c r="G70" s="16">
        <f>IF(E70="","",F70-E70+1)</f>
        <v/>
      </c>
      <c r="H70" s="16" t="n"/>
      <c r="I70" s="15" t="n"/>
      <c r="J70" s="15" t="n"/>
      <c r="K70" s="15" t="n"/>
    </row>
    <row r="71" ht="22" customHeight="1">
      <c r="B71" s="18">
        <f>IF(C71="","CF-"&amp;TEXT(COUNTA($C$5:C71),"000"))</f>
        <v/>
      </c>
      <c r="C71" s="13" t="n"/>
      <c r="D71" s="13" t="n"/>
      <c r="E71" s="32" t="n"/>
      <c r="F71" s="32" t="n"/>
      <c r="G71" s="14">
        <f>IF(E71="","",F71-E71+1)</f>
        <v/>
      </c>
      <c r="H71" s="14" t="n"/>
      <c r="I71" s="13" t="n"/>
      <c r="J71" s="13" t="n"/>
      <c r="K71" s="13" t="n"/>
    </row>
    <row r="72" ht="22" customHeight="1">
      <c r="B72" s="17">
        <f>IF(C72="","CF-"&amp;TEXT(COUNTA($C$5:C72),"000"))</f>
        <v/>
      </c>
      <c r="C72" s="15" t="n"/>
      <c r="D72" s="15" t="n"/>
      <c r="E72" s="33" t="n"/>
      <c r="F72" s="33" t="n"/>
      <c r="G72" s="16">
        <f>IF(E72="","",F72-E72+1)</f>
        <v/>
      </c>
      <c r="H72" s="16" t="n"/>
      <c r="I72" s="15" t="n"/>
      <c r="J72" s="15" t="n"/>
      <c r="K72" s="15" t="n"/>
    </row>
    <row r="73" ht="22" customHeight="1">
      <c r="B73" s="18">
        <f>IF(C73="","CF-"&amp;TEXT(COUNTA($C$5:C73),"000"))</f>
        <v/>
      </c>
      <c r="C73" s="13" t="n"/>
      <c r="D73" s="13" t="n"/>
      <c r="E73" s="32" t="n"/>
      <c r="F73" s="32" t="n"/>
      <c r="G73" s="14">
        <f>IF(E73="","",F73-E73+1)</f>
        <v/>
      </c>
      <c r="H73" s="14" t="n"/>
      <c r="I73" s="13" t="n"/>
      <c r="J73" s="13" t="n"/>
      <c r="K73" s="13" t="n"/>
    </row>
    <row r="74" ht="22" customHeight="1">
      <c r="B74" s="17">
        <f>IF(C74="","CF-"&amp;TEXT(COUNTA($C$5:C74),"000"))</f>
        <v/>
      </c>
      <c r="C74" s="15" t="n"/>
      <c r="D74" s="15" t="n"/>
      <c r="E74" s="33" t="n"/>
      <c r="F74" s="33" t="n"/>
      <c r="G74" s="16">
        <f>IF(E74="","",F74-E74+1)</f>
        <v/>
      </c>
      <c r="H74" s="16" t="n"/>
      <c r="I74" s="15" t="n"/>
      <c r="J74" s="15" t="n"/>
      <c r="K74" s="15" t="n"/>
    </row>
    <row r="75" ht="22" customHeight="1">
      <c r="B75" s="18">
        <f>IF(C75="","CF-"&amp;TEXT(COUNTA($C$5:C75),"000"))</f>
        <v/>
      </c>
      <c r="C75" s="13" t="n"/>
      <c r="D75" s="13" t="n"/>
      <c r="E75" s="32" t="n"/>
      <c r="F75" s="32" t="n"/>
      <c r="G75" s="14">
        <f>IF(E75="","",F75-E75+1)</f>
        <v/>
      </c>
      <c r="H75" s="14" t="n"/>
      <c r="I75" s="13" t="n"/>
      <c r="J75" s="13" t="n"/>
      <c r="K75" s="13" t="n"/>
    </row>
    <row r="76" ht="22" customHeight="1">
      <c r="B76" s="17">
        <f>IF(C76="","CF-"&amp;TEXT(COUNTA($C$5:C76),"000"))</f>
        <v/>
      </c>
      <c r="C76" s="15" t="n"/>
      <c r="D76" s="15" t="n"/>
      <c r="E76" s="33" t="n"/>
      <c r="F76" s="33" t="n"/>
      <c r="G76" s="16">
        <f>IF(E76="","",F76-E76+1)</f>
        <v/>
      </c>
      <c r="H76" s="16" t="n"/>
      <c r="I76" s="15" t="n"/>
      <c r="J76" s="15" t="n"/>
      <c r="K76" s="15" t="n"/>
    </row>
    <row r="77" ht="22" customHeight="1">
      <c r="B77" s="18">
        <f>IF(C77="","CF-"&amp;TEXT(COUNTA($C$5:C77),"000"))</f>
        <v/>
      </c>
      <c r="C77" s="13" t="n"/>
      <c r="D77" s="13" t="n"/>
      <c r="E77" s="32" t="n"/>
      <c r="F77" s="32" t="n"/>
      <c r="G77" s="14">
        <f>IF(E77="","",F77-E77+1)</f>
        <v/>
      </c>
      <c r="H77" s="14" t="n"/>
      <c r="I77" s="13" t="n"/>
      <c r="J77" s="13" t="n"/>
      <c r="K77" s="13" t="n"/>
    </row>
    <row r="78" ht="22" customHeight="1">
      <c r="B78" s="17">
        <f>IF(C78="","CF-"&amp;TEXT(COUNTA($C$5:C78),"000"))</f>
        <v/>
      </c>
      <c r="C78" s="15" t="n"/>
      <c r="D78" s="15" t="n"/>
      <c r="E78" s="33" t="n"/>
      <c r="F78" s="33" t="n"/>
      <c r="G78" s="16">
        <f>IF(E78="","",F78-E78+1)</f>
        <v/>
      </c>
      <c r="H78" s="16" t="n"/>
      <c r="I78" s="15" t="n"/>
      <c r="J78" s="15" t="n"/>
      <c r="K78" s="15" t="n"/>
    </row>
    <row r="79" ht="22" customHeight="1">
      <c r="B79" s="18">
        <f>IF(C79="","CF-"&amp;TEXT(COUNTA($C$5:C79),"000"))</f>
        <v/>
      </c>
      <c r="C79" s="13" t="n"/>
      <c r="D79" s="13" t="n"/>
      <c r="E79" s="32" t="n"/>
      <c r="F79" s="32" t="n"/>
      <c r="G79" s="14">
        <f>IF(E79="","",F79-E79+1)</f>
        <v/>
      </c>
      <c r="H79" s="14" t="n"/>
      <c r="I79" s="13" t="n"/>
      <c r="J79" s="13" t="n"/>
      <c r="K79" s="13" t="n"/>
    </row>
    <row r="80" ht="22" customHeight="1">
      <c r="B80" s="17">
        <f>IF(C80="","CF-"&amp;TEXT(COUNTA($C$5:C80),"000"))</f>
        <v/>
      </c>
      <c r="C80" s="15" t="n"/>
      <c r="D80" s="15" t="n"/>
      <c r="E80" s="33" t="n"/>
      <c r="F80" s="33" t="n"/>
      <c r="G80" s="16">
        <f>IF(E80="","",F80-E80+1)</f>
        <v/>
      </c>
      <c r="H80" s="16" t="n"/>
      <c r="I80" s="15" t="n"/>
      <c r="J80" s="15" t="n"/>
      <c r="K80" s="15" t="n"/>
    </row>
    <row r="81" ht="22" customHeight="1">
      <c r="B81" s="18">
        <f>IF(C81="","CF-"&amp;TEXT(COUNTA($C$5:C81),"000"))</f>
        <v/>
      </c>
      <c r="C81" s="13" t="n"/>
      <c r="D81" s="13" t="n"/>
      <c r="E81" s="32" t="n"/>
      <c r="F81" s="32" t="n"/>
      <c r="G81" s="14">
        <f>IF(E81="","",F81-E81+1)</f>
        <v/>
      </c>
      <c r="H81" s="14" t="n"/>
      <c r="I81" s="13" t="n"/>
      <c r="J81" s="13" t="n"/>
      <c r="K81" s="13" t="n"/>
    </row>
    <row r="82" ht="22" customHeight="1">
      <c r="B82" s="17">
        <f>IF(C82="","CF-"&amp;TEXT(COUNTA($C$5:C82),"000"))</f>
        <v/>
      </c>
      <c r="C82" s="15" t="n"/>
      <c r="D82" s="15" t="n"/>
      <c r="E82" s="33" t="n"/>
      <c r="F82" s="33" t="n"/>
      <c r="G82" s="16">
        <f>IF(E82="","",F82-E82+1)</f>
        <v/>
      </c>
      <c r="H82" s="16" t="n"/>
      <c r="I82" s="15" t="n"/>
      <c r="J82" s="15" t="n"/>
      <c r="K82" s="15" t="n"/>
    </row>
    <row r="83" ht="22" customHeight="1">
      <c r="B83" s="18">
        <f>IF(C83="","CF-"&amp;TEXT(COUNTA($C$5:C83),"000"))</f>
        <v/>
      </c>
      <c r="C83" s="13" t="n"/>
      <c r="D83" s="13" t="n"/>
      <c r="E83" s="32" t="n"/>
      <c r="F83" s="32" t="n"/>
      <c r="G83" s="14">
        <f>IF(E83="","",F83-E83+1)</f>
        <v/>
      </c>
      <c r="H83" s="14" t="n"/>
      <c r="I83" s="13" t="n"/>
      <c r="J83" s="13" t="n"/>
      <c r="K83" s="13" t="n"/>
    </row>
    <row r="84" ht="22" customHeight="1">
      <c r="B84" s="17">
        <f>IF(C84="","CF-"&amp;TEXT(COUNTA($C$5:C84),"000"))</f>
        <v/>
      </c>
      <c r="C84" s="15" t="n"/>
      <c r="D84" s="15" t="n"/>
      <c r="E84" s="33" t="n"/>
      <c r="F84" s="33" t="n"/>
      <c r="G84" s="16">
        <f>IF(E84="","",F84-E84+1)</f>
        <v/>
      </c>
      <c r="H84" s="16" t="n"/>
      <c r="I84" s="15" t="n"/>
      <c r="J84" s="15" t="n"/>
      <c r="K84" s="15" t="n"/>
    </row>
    <row r="85" ht="22" customHeight="1">
      <c r="B85" s="18">
        <f>IF(C85="","CF-"&amp;TEXT(COUNTA($C$5:C85),"000"))</f>
        <v/>
      </c>
      <c r="C85" s="13" t="n"/>
      <c r="D85" s="13" t="n"/>
      <c r="E85" s="32" t="n"/>
      <c r="F85" s="32" t="n"/>
      <c r="G85" s="14">
        <f>IF(E85="","",F85-E85+1)</f>
        <v/>
      </c>
      <c r="H85" s="14" t="n"/>
      <c r="I85" s="13" t="n"/>
      <c r="J85" s="13" t="n"/>
      <c r="K85" s="13" t="n"/>
    </row>
    <row r="86" ht="22" customHeight="1">
      <c r="B86" s="17">
        <f>IF(C86="","CF-"&amp;TEXT(COUNTA($C$5:C86),"000"))</f>
        <v/>
      </c>
      <c r="C86" s="15" t="n"/>
      <c r="D86" s="15" t="n"/>
      <c r="E86" s="33" t="n"/>
      <c r="F86" s="33" t="n"/>
      <c r="G86" s="16">
        <f>IF(E86="","",F86-E86+1)</f>
        <v/>
      </c>
      <c r="H86" s="16" t="n"/>
      <c r="I86" s="15" t="n"/>
      <c r="J86" s="15" t="n"/>
      <c r="K86" s="15" t="n"/>
    </row>
    <row r="87" ht="22" customHeight="1">
      <c r="B87" s="18">
        <f>IF(C87="","CF-"&amp;TEXT(COUNTA($C$5:C87),"000"))</f>
        <v/>
      </c>
      <c r="C87" s="13" t="n"/>
      <c r="D87" s="13" t="n"/>
      <c r="E87" s="32" t="n"/>
      <c r="F87" s="32" t="n"/>
      <c r="G87" s="14">
        <f>IF(E87="","",F87-E87+1)</f>
        <v/>
      </c>
      <c r="H87" s="14" t="n"/>
      <c r="I87" s="13" t="n"/>
      <c r="J87" s="13" t="n"/>
      <c r="K87" s="13" t="n"/>
    </row>
    <row r="88" ht="22" customHeight="1">
      <c r="B88" s="17">
        <f>IF(C88="","CF-"&amp;TEXT(COUNTA($C$5:C88),"000"))</f>
        <v/>
      </c>
      <c r="C88" s="15" t="n"/>
      <c r="D88" s="15" t="n"/>
      <c r="E88" s="33" t="n"/>
      <c r="F88" s="33" t="n"/>
      <c r="G88" s="16">
        <f>IF(E88="","",F88-E88+1)</f>
        <v/>
      </c>
      <c r="H88" s="16" t="n"/>
      <c r="I88" s="15" t="n"/>
      <c r="J88" s="15" t="n"/>
      <c r="K88" s="15" t="n"/>
    </row>
    <row r="89" ht="22" customHeight="1">
      <c r="B89" s="18">
        <f>IF(C89="","CF-"&amp;TEXT(COUNTA($C$5:C89),"000"))</f>
        <v/>
      </c>
      <c r="C89" s="13" t="n"/>
      <c r="D89" s="13" t="n"/>
      <c r="E89" s="32" t="n"/>
      <c r="F89" s="32" t="n"/>
      <c r="G89" s="14">
        <f>IF(E89="","",F89-E89+1)</f>
        <v/>
      </c>
      <c r="H89" s="14" t="n"/>
      <c r="I89" s="13" t="n"/>
      <c r="J89" s="13" t="n"/>
      <c r="K89" s="13" t="n"/>
    </row>
    <row r="90" ht="22" customHeight="1">
      <c r="B90" s="17">
        <f>IF(C90="","CF-"&amp;TEXT(COUNTA($C$5:C90),"000"))</f>
        <v/>
      </c>
      <c r="C90" s="15" t="n"/>
      <c r="D90" s="15" t="n"/>
      <c r="E90" s="33" t="n"/>
      <c r="F90" s="33" t="n"/>
      <c r="G90" s="16">
        <f>IF(E90="","",F90-E90+1)</f>
        <v/>
      </c>
      <c r="H90" s="16" t="n"/>
      <c r="I90" s="15" t="n"/>
      <c r="J90" s="15" t="n"/>
      <c r="K90" s="15" t="n"/>
    </row>
    <row r="91" ht="22" customHeight="1">
      <c r="B91" s="18">
        <f>IF(C91="","CF-"&amp;TEXT(COUNTA($C$5:C91),"000"))</f>
        <v/>
      </c>
      <c r="C91" s="13" t="n"/>
      <c r="D91" s="13" t="n"/>
      <c r="E91" s="32" t="n"/>
      <c r="F91" s="32" t="n"/>
      <c r="G91" s="14">
        <f>IF(E91="","",F91-E91+1)</f>
        <v/>
      </c>
      <c r="H91" s="14" t="n"/>
      <c r="I91" s="13" t="n"/>
      <c r="J91" s="13" t="n"/>
      <c r="K91" s="13" t="n"/>
    </row>
    <row r="92" ht="22" customHeight="1">
      <c r="B92" s="17">
        <f>IF(C92="","CF-"&amp;TEXT(COUNTA($C$5:C92),"000"))</f>
        <v/>
      </c>
      <c r="C92" s="15" t="n"/>
      <c r="D92" s="15" t="n"/>
      <c r="E92" s="33" t="n"/>
      <c r="F92" s="33" t="n"/>
      <c r="G92" s="16">
        <f>IF(E92="","",F92-E92+1)</f>
        <v/>
      </c>
      <c r="H92" s="16" t="n"/>
      <c r="I92" s="15" t="n"/>
      <c r="J92" s="15" t="n"/>
      <c r="K92" s="15" t="n"/>
    </row>
    <row r="93" ht="22" customHeight="1">
      <c r="B93" s="18">
        <f>IF(C93="","CF-"&amp;TEXT(COUNTA($C$5:C93),"000"))</f>
        <v/>
      </c>
      <c r="C93" s="13" t="n"/>
      <c r="D93" s="13" t="n"/>
      <c r="E93" s="32" t="n"/>
      <c r="F93" s="32" t="n"/>
      <c r="G93" s="14">
        <f>IF(E93="","",F93-E93+1)</f>
        <v/>
      </c>
      <c r="H93" s="14" t="n"/>
      <c r="I93" s="13" t="n"/>
      <c r="J93" s="13" t="n"/>
      <c r="K93" s="13" t="n"/>
    </row>
    <row r="94" ht="22" customHeight="1">
      <c r="B94" s="17">
        <f>IF(C94="","CF-"&amp;TEXT(COUNTA($C$5:C94),"000"))</f>
        <v/>
      </c>
      <c r="C94" s="15" t="n"/>
      <c r="D94" s="15" t="n"/>
      <c r="E94" s="33" t="n"/>
      <c r="F94" s="33" t="n"/>
      <c r="G94" s="16">
        <f>IF(E94="","",F94-E94+1)</f>
        <v/>
      </c>
      <c r="H94" s="16" t="n"/>
      <c r="I94" s="15" t="n"/>
      <c r="J94" s="15" t="n"/>
      <c r="K94" s="15" t="n"/>
    </row>
    <row r="95" ht="22" customHeight="1">
      <c r="B95" s="18">
        <f>IF(C95="","CF-"&amp;TEXT(COUNTA($C$5:C95),"000"))</f>
        <v/>
      </c>
      <c r="C95" s="13" t="n"/>
      <c r="D95" s="13" t="n"/>
      <c r="E95" s="32" t="n"/>
      <c r="F95" s="32" t="n"/>
      <c r="G95" s="14">
        <f>IF(E95="","",F95-E95+1)</f>
        <v/>
      </c>
      <c r="H95" s="14" t="n"/>
      <c r="I95" s="13" t="n"/>
      <c r="J95" s="13" t="n"/>
      <c r="K95" s="13" t="n"/>
    </row>
    <row r="96" ht="22" customHeight="1">
      <c r="B96" s="17">
        <f>IF(C96="","CF-"&amp;TEXT(COUNTA($C$5:C96),"000"))</f>
        <v/>
      </c>
      <c r="C96" s="15" t="n"/>
      <c r="D96" s="15" t="n"/>
      <c r="E96" s="33" t="n"/>
      <c r="F96" s="33" t="n"/>
      <c r="G96" s="16">
        <f>IF(E96="","",F96-E96+1)</f>
        <v/>
      </c>
      <c r="H96" s="16" t="n"/>
      <c r="I96" s="15" t="n"/>
      <c r="J96" s="15" t="n"/>
      <c r="K96" s="15" t="n"/>
    </row>
    <row r="97" ht="22" customHeight="1">
      <c r="B97" s="18">
        <f>IF(C97="","CF-"&amp;TEXT(COUNTA($C$5:C97),"000"))</f>
        <v/>
      </c>
      <c r="C97" s="13" t="n"/>
      <c r="D97" s="13" t="n"/>
      <c r="E97" s="32" t="n"/>
      <c r="F97" s="32" t="n"/>
      <c r="G97" s="14">
        <f>IF(E97="","",F97-E97+1)</f>
        <v/>
      </c>
      <c r="H97" s="14" t="n"/>
      <c r="I97" s="13" t="n"/>
      <c r="J97" s="13" t="n"/>
      <c r="K97" s="13" t="n"/>
    </row>
    <row r="98" ht="22" customHeight="1">
      <c r="B98" s="17">
        <f>IF(C98="","CF-"&amp;TEXT(COUNTA($C$5:C98),"000"))</f>
        <v/>
      </c>
      <c r="C98" s="15" t="n"/>
      <c r="D98" s="15" t="n"/>
      <c r="E98" s="33" t="n"/>
      <c r="F98" s="33" t="n"/>
      <c r="G98" s="16">
        <f>IF(E98="","",F98-E98+1)</f>
        <v/>
      </c>
      <c r="H98" s="16" t="n"/>
      <c r="I98" s="15" t="n"/>
      <c r="J98" s="15" t="n"/>
      <c r="K98" s="15" t="n"/>
    </row>
    <row r="99" ht="22" customHeight="1">
      <c r="B99" s="18">
        <f>IF(C99="","CF-"&amp;TEXT(COUNTA($C$5:C99),"000"))</f>
        <v/>
      </c>
      <c r="C99" s="13" t="n"/>
      <c r="D99" s="13" t="n"/>
      <c r="E99" s="32" t="n"/>
      <c r="F99" s="32" t="n"/>
      <c r="G99" s="14">
        <f>IF(E99="","",F99-E99+1)</f>
        <v/>
      </c>
      <c r="H99" s="14" t="n"/>
      <c r="I99" s="13" t="n"/>
      <c r="J99" s="13" t="n"/>
      <c r="K99" s="13" t="n"/>
    </row>
    <row r="100" ht="22" customHeight="1">
      <c r="B100" s="17">
        <f>IF(C100="","CF-"&amp;TEXT(COUNTA($C$5:C100),"000"))</f>
        <v/>
      </c>
      <c r="C100" s="15" t="n"/>
      <c r="D100" s="15" t="n"/>
      <c r="E100" s="33" t="n"/>
      <c r="F100" s="33" t="n"/>
      <c r="G100" s="16">
        <f>IF(E100="","",F100-E100+1)</f>
        <v/>
      </c>
      <c r="H100" s="16" t="n"/>
      <c r="I100" s="15" t="n"/>
      <c r="J100" s="15" t="n"/>
      <c r="K100" s="15" t="n"/>
    </row>
    <row r="101" ht="22" customHeight="1">
      <c r="B101" s="18">
        <f>IF(C101="","CF-"&amp;TEXT(COUNTA($C$5:C101),"000"))</f>
        <v/>
      </c>
      <c r="C101" s="13" t="n"/>
      <c r="D101" s="13" t="n"/>
      <c r="E101" s="32" t="n"/>
      <c r="F101" s="32" t="n"/>
      <c r="G101" s="14">
        <f>IF(E101="","",F101-E101+1)</f>
        <v/>
      </c>
      <c r="H101" s="14" t="n"/>
      <c r="I101" s="13" t="n"/>
      <c r="J101" s="13" t="n"/>
      <c r="K101" s="13" t="n"/>
    </row>
    <row r="102" ht="22" customHeight="1">
      <c r="B102" s="17">
        <f>IF(C102="","CF-"&amp;TEXT(COUNTA($C$5:C102),"000"))</f>
        <v/>
      </c>
      <c r="C102" s="15" t="n"/>
      <c r="D102" s="15" t="n"/>
      <c r="E102" s="33" t="n"/>
      <c r="F102" s="33" t="n"/>
      <c r="G102" s="16">
        <f>IF(E102="","",F102-E102+1)</f>
        <v/>
      </c>
      <c r="H102" s="16" t="n"/>
      <c r="I102" s="15" t="n"/>
      <c r="J102" s="15" t="n"/>
      <c r="K102" s="15" t="n"/>
    </row>
    <row r="103" ht="22" customHeight="1">
      <c r="B103" s="18">
        <f>IF(C103="","CF-"&amp;TEXT(COUNTA($C$5:C103),"000"))</f>
        <v/>
      </c>
      <c r="C103" s="13" t="n"/>
      <c r="D103" s="13" t="n"/>
      <c r="E103" s="32" t="n"/>
      <c r="F103" s="32" t="n"/>
      <c r="G103" s="14">
        <f>IF(E103="","",F103-E103+1)</f>
        <v/>
      </c>
      <c r="H103" s="14" t="n"/>
      <c r="I103" s="13" t="n"/>
      <c r="J103" s="13" t="n"/>
      <c r="K103" s="13" t="n"/>
    </row>
    <row r="104" ht="22" customHeight="1">
      <c r="B104" s="17">
        <f>IF(C104="","CF-"&amp;TEXT(COUNTA($C$5:C104),"000"))</f>
        <v/>
      </c>
      <c r="C104" s="15" t="n"/>
      <c r="D104" s="15" t="n"/>
      <c r="E104" s="33" t="n"/>
      <c r="F104" s="33" t="n"/>
      <c r="G104" s="16">
        <f>IF(E104="","",F104-E104+1)</f>
        <v/>
      </c>
      <c r="H104" s="16" t="n"/>
      <c r="I104" s="15" t="n"/>
      <c r="J104" s="15" t="n"/>
      <c r="K104" s="15" t="n"/>
    </row>
    <row r="105" ht="22" customHeight="1">
      <c r="B105" s="18">
        <f>IF(C105="","CF-"&amp;TEXT(COUNTA($C$5:C105),"000"))</f>
        <v/>
      </c>
      <c r="C105" s="13" t="n"/>
      <c r="D105" s="13" t="n"/>
      <c r="E105" s="32" t="n"/>
      <c r="F105" s="32" t="n"/>
      <c r="G105" s="14">
        <f>IF(E105="","",F105-E105+1)</f>
        <v/>
      </c>
      <c r="H105" s="14" t="n"/>
      <c r="I105" s="13" t="n"/>
      <c r="J105" s="13" t="n"/>
      <c r="K105" s="13" t="n"/>
    </row>
    <row r="106" ht="22" customHeight="1">
      <c r="B106" s="17">
        <f>IF(C106="","CF-"&amp;TEXT(COUNTA($C$5:C106),"000"))</f>
        <v/>
      </c>
      <c r="C106" s="15" t="n"/>
      <c r="D106" s="15" t="n"/>
      <c r="E106" s="33" t="n"/>
      <c r="F106" s="33" t="n"/>
      <c r="G106" s="16">
        <f>IF(E106="","",F106-E106+1)</f>
        <v/>
      </c>
      <c r="H106" s="16" t="n"/>
      <c r="I106" s="15" t="n"/>
      <c r="J106" s="15" t="n"/>
      <c r="K106" s="15" t="n"/>
    </row>
    <row r="107" ht="22" customHeight="1">
      <c r="B107" s="18">
        <f>IF(C107="","CF-"&amp;TEXT(COUNTA($C$5:C107),"000"))</f>
        <v/>
      </c>
      <c r="C107" s="13" t="n"/>
      <c r="D107" s="13" t="n"/>
      <c r="E107" s="32" t="n"/>
      <c r="F107" s="32" t="n"/>
      <c r="G107" s="14">
        <f>IF(E107="","",F107-E107+1)</f>
        <v/>
      </c>
      <c r="H107" s="14" t="n"/>
      <c r="I107" s="13" t="n"/>
      <c r="J107" s="13" t="n"/>
      <c r="K107" s="13" t="n"/>
    </row>
    <row r="109" ht="26" customHeight="1">
      <c r="B109" s="19" t="inlineStr">
        <is>
          <t>TOTAL</t>
        </is>
      </c>
      <c r="C109" s="20" t="n"/>
      <c r="D109" s="20" t="n"/>
      <c r="E109" s="20" t="n"/>
      <c r="F109" s="20" t="n"/>
      <c r="G109" s="21">
        <f>SUM(G5:G104)</f>
        <v/>
      </c>
      <c r="H109" s="21">
        <f>SUM(H5:H104)</f>
        <v/>
      </c>
      <c r="I109" s="20" t="n"/>
      <c r="J109" s="20" t="n"/>
      <c r="K109" s="20" t="n"/>
    </row>
    <row r="111">
      <c r="B111" s="6" t="inlineStr">
        <is>
          <t>INDICATEURS (mis a jour automatiquement)</t>
        </is>
      </c>
    </row>
    <row r="112">
      <c r="B112" s="3" t="inlineStr">
        <is>
          <t>Periodes planifiees</t>
        </is>
      </c>
      <c r="D112" s="3" t="inlineStr">
        <is>
          <t>Total jours fermeture</t>
        </is>
      </c>
      <c r="F112" s="3" t="inlineStr">
        <is>
          <t>Employes concernes (max)</t>
        </is>
      </c>
      <c r="H112" s="3" t="inlineStr">
        <is>
          <t>Planifies</t>
        </is>
      </c>
    </row>
    <row r="113">
      <c r="B113" s="4">
        <f>COUNTIF(B5:B104,"&lt;&gt;")</f>
        <v/>
      </c>
      <c r="D113" s="4">
        <f>SUM(G5:G104)</f>
        <v/>
      </c>
      <c r="F113" s="4">
        <f>MAX(H5:H104)</f>
        <v/>
      </c>
      <c r="H113" s="4">
        <f>COUNTIF(K5:K104,"Planifie")</f>
        <v/>
      </c>
    </row>
  </sheetData>
  <mergeCells count="3">
    <mergeCell ref="B111:K111"/>
    <mergeCell ref="B3:K3"/>
    <mergeCell ref="B2:K2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8:B107">
    <cfRule type="expression" priority="43" dxfId="3">
      <formula>AND($C8="",$C7&lt;&gt;"")</formula>
    </cfRule>
  </conditionalFormatting>
  <conditionalFormatting sqref="C8:C107">
    <cfRule type="expression" priority="44" dxfId="3">
      <formula>AND($C8="",$C7&lt;&gt;"")</formula>
    </cfRule>
  </conditionalFormatting>
  <conditionalFormatting sqref="D8:D107">
    <cfRule type="expression" priority="45" dxfId="3">
      <formula>AND($C8="",$C7&lt;&gt;"")</formula>
    </cfRule>
  </conditionalFormatting>
  <conditionalFormatting sqref="E8:E107">
    <cfRule type="expression" priority="46" dxfId="3">
      <formula>AND($C8="",$C7&lt;&gt;"")</formula>
    </cfRule>
  </conditionalFormatting>
  <conditionalFormatting sqref="F8:F107">
    <cfRule type="expression" priority="47" dxfId="3">
      <formula>AND($C8="",$C7&lt;&gt;"")</formula>
    </cfRule>
  </conditionalFormatting>
  <conditionalFormatting sqref="G8:G107">
    <cfRule type="expression" priority="48" dxfId="3">
      <formula>AND($C8="",$C7&lt;&gt;"")</formula>
    </cfRule>
  </conditionalFormatting>
  <conditionalFormatting sqref="H8:H107">
    <cfRule type="expression" priority="49" dxfId="3">
      <formula>AND($C8="",$C7&lt;&gt;"")</formula>
    </cfRule>
  </conditionalFormatting>
  <conditionalFormatting sqref="I8:I107">
    <cfRule type="expression" priority="50" dxfId="3">
      <formula>AND($C8="",$C7&lt;&gt;"")</formula>
    </cfRule>
  </conditionalFormatting>
  <conditionalFormatting sqref="J8:J107">
    <cfRule type="expression" priority="51" dxfId="3">
      <formula>AND($C8="",$C7&lt;&gt;"")</formula>
    </cfRule>
  </conditionalFormatting>
  <conditionalFormatting sqref="K8:K107">
    <cfRule type="expression" priority="52" dxfId="3">
      <formula>AND($C8="",$C7&lt;&gt;"")</formula>
    </cfRule>
  </conditionalFormatting>
  <dataValidations count="1">
    <dataValidation sqref="K5:K107" showDropDown="0" showInputMessage="0" showErrorMessage="0" allowBlank="1" errorTitle="Erreur" error="Valeur invalide" promptTitle="Liste" prompt="Choisir dans la liste" type="list">
      <formula1>'_Lists'!$E$2:$E$7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1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0" customWidth="1" min="5" max="5"/>
    <col width="12" customWidth="1" min="6" max="6"/>
    <col width="16" customWidth="1" min="7" max="7"/>
    <col width="14" customWidth="1" min="8" max="8"/>
    <col width="16" customWidth="1" min="9" max="9"/>
  </cols>
  <sheetData>
    <row r="1" ht="15" customHeight="1"/>
    <row r="2" ht="32" customHeight="1">
      <c r="B2" s="1" t="inlineStr">
        <is>
          <t>SOLDE DE CONGES PAR DEPARTEMENT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Departement</t>
        </is>
      </c>
      <c r="D4" s="12" t="inlineStr">
        <is>
          <t>Mois</t>
        </is>
      </c>
      <c r="E4" s="12" t="inlineStr">
        <is>
          <t>Annee</t>
        </is>
      </c>
      <c r="F4" s="12" t="inlineStr">
        <is>
          <t>Effectif</t>
        </is>
      </c>
      <c r="G4" s="12" t="inlineStr">
        <is>
          <t>Total Droits (j)</t>
        </is>
      </c>
      <c r="H4" s="12" t="inlineStr">
        <is>
          <t>Total Pris (j)</t>
        </is>
      </c>
      <c r="I4" s="12" t="inlineStr">
        <is>
          <t>Solde Dept (j)</t>
        </is>
      </c>
    </row>
    <row r="5" ht="22" customHeight="1">
      <c r="B5" s="13" t="inlineStr">
        <is>
          <t>SD-001</t>
        </is>
      </c>
      <c r="C5" s="13" t="inlineStr">
        <is>
          <t>Service Client</t>
        </is>
      </c>
      <c r="D5" s="13" t="inlineStr">
        <is>
          <t>Juin</t>
        </is>
      </c>
      <c r="E5" s="13" t="inlineStr">
        <is>
          <t>2025</t>
        </is>
      </c>
      <c r="F5" s="14">
        <f>COUNTIF('2-Compteur Conges Payes'!E:E,C5)</f>
        <v/>
      </c>
      <c r="G5" s="14">
        <f>IFERROR(SUMIF('2-Compteur Conges Payes'!E:E,C5,'2-Compteur Conges Payes'!G:G),0)</f>
        <v/>
      </c>
      <c r="H5" s="14">
        <f>IFERROR(SUMIF('2-Compteur Conges Payes'!E:E,C5,'2-Compteur Conges Payes'!H:H),0)</f>
        <v/>
      </c>
      <c r="I5" s="14">
        <f>G5-H5</f>
        <v/>
      </c>
    </row>
    <row r="6" ht="22" customHeight="1">
      <c r="B6" s="15" t="inlineStr">
        <is>
          <t>SD-002</t>
        </is>
      </c>
      <c r="C6" s="15" t="inlineStr">
        <is>
          <t>Maintenance</t>
        </is>
      </c>
      <c r="D6" s="15" t="inlineStr">
        <is>
          <t>Juin</t>
        </is>
      </c>
      <c r="E6" s="15" t="inlineStr">
        <is>
          <t>2025</t>
        </is>
      </c>
      <c r="F6" s="16">
        <f>COUNTIF('2-Compteur Conges Payes'!E:E,C6)</f>
        <v/>
      </c>
      <c r="G6" s="16">
        <f>IFERROR(SUMIF('2-Compteur Conges Payes'!E:E,C6,'2-Compteur Conges Payes'!G:G),0)</f>
        <v/>
      </c>
      <c r="H6" s="16">
        <f>IFERROR(SUMIF('2-Compteur Conges Payes'!E:E,C6,'2-Compteur Conges Payes'!H:H),0)</f>
        <v/>
      </c>
      <c r="I6" s="16">
        <f>G6-H6</f>
        <v/>
      </c>
    </row>
    <row r="7" ht="22" customHeight="1">
      <c r="B7" s="13" t="inlineStr">
        <is>
          <t>SD-003</t>
        </is>
      </c>
      <c r="C7" s="13" t="inlineStr">
        <is>
          <t>Finance &amp; Comptabilité</t>
        </is>
      </c>
      <c r="D7" s="13" t="inlineStr">
        <is>
          <t>Juin</t>
        </is>
      </c>
      <c r="E7" s="13" t="inlineStr">
        <is>
          <t>2025</t>
        </is>
      </c>
      <c r="F7" s="14">
        <f>COUNTIF('2-Compteur Conges Payes'!E:E,C7)</f>
        <v/>
      </c>
      <c r="G7" s="14">
        <f>IFERROR(SUMIF('2-Compteur Conges Payes'!E:E,C7,'2-Compteur Conges Payes'!G:G),0)</f>
        <v/>
      </c>
      <c r="H7" s="14">
        <f>IFERROR(SUMIF('2-Compteur Conges Payes'!E:E,C7,'2-Compteur Conges Payes'!H:H),0)</f>
        <v/>
      </c>
      <c r="I7" s="14">
        <f>G7-H7</f>
        <v/>
      </c>
    </row>
    <row r="8" ht="22" customHeight="1">
      <c r="B8" s="15" t="inlineStr">
        <is>
          <t>SD-004</t>
        </is>
      </c>
      <c r="C8" s="15" t="inlineStr">
        <is>
          <t>Réception &amp; Front Office</t>
        </is>
      </c>
      <c r="D8" s="15" t="inlineStr">
        <is>
          <t>Juin</t>
        </is>
      </c>
      <c r="E8" s="15" t="inlineStr">
        <is>
          <t>2025</t>
        </is>
      </c>
      <c r="F8" s="16">
        <f>COUNTIF('2-Compteur Conges Payes'!E:E,C8)</f>
        <v/>
      </c>
      <c r="G8" s="16">
        <f>IFERROR(SUMIF('2-Compteur Conges Payes'!E:E,C8,'2-Compteur Conges Payes'!G:G),0)</f>
        <v/>
      </c>
      <c r="H8" s="16">
        <f>IFERROR(SUMIF('2-Compteur Conges Payes'!E:E,C8,'2-Compteur Conges Payes'!H:H),0)</f>
        <v/>
      </c>
      <c r="I8" s="16">
        <f>G8-H8</f>
        <v/>
      </c>
    </row>
    <row r="9" ht="22" customHeight="1">
      <c r="B9" s="13" t="inlineStr">
        <is>
          <t>SD-005</t>
        </is>
      </c>
      <c r="C9" s="13" t="inlineStr">
        <is>
          <t>Cuisine &amp; Restauration</t>
        </is>
      </c>
      <c r="D9" s="13" t="inlineStr">
        <is>
          <t>Juin</t>
        </is>
      </c>
      <c r="E9" s="13" t="inlineStr">
        <is>
          <t>2025</t>
        </is>
      </c>
      <c r="F9" s="14">
        <f>COUNTIF('2-Compteur Conges Payes'!E:E,C9)</f>
        <v/>
      </c>
      <c r="G9" s="14">
        <f>IFERROR(SUMIF('2-Compteur Conges Payes'!E:E,C9,'2-Compteur Conges Payes'!G:G),0)</f>
        <v/>
      </c>
      <c r="H9" s="14">
        <f>IFERROR(SUMIF('2-Compteur Conges Payes'!E:E,C9,'2-Compteur Conges Payes'!H:H),0)</f>
        <v/>
      </c>
      <c r="I9" s="14">
        <f>G9-H9</f>
        <v/>
      </c>
    </row>
    <row r="10" ht="22" customHeight="1">
      <c r="B10" s="15" t="inlineStr">
        <is>
          <t>SD-006</t>
        </is>
      </c>
      <c r="C10" s="15" t="inlineStr">
        <is>
          <t>Maintenance</t>
        </is>
      </c>
      <c r="D10" s="15" t="inlineStr">
        <is>
          <t>Juin</t>
        </is>
      </c>
      <c r="E10" s="15" t="inlineStr">
        <is>
          <t>2025</t>
        </is>
      </c>
      <c r="F10" s="16">
        <f>COUNTIF('2-Compteur Conges Payes'!E:E,C10)</f>
        <v/>
      </c>
      <c r="G10" s="16">
        <f>IFERROR(SUMIF('2-Compteur Conges Payes'!E:E,C10,'2-Compteur Conges Payes'!G:G),0)</f>
        <v/>
      </c>
      <c r="H10" s="16">
        <f>IFERROR(SUMIF('2-Compteur Conges Payes'!E:E,C10,'2-Compteur Conges Payes'!H:H),0)</f>
        <v/>
      </c>
      <c r="I10" s="16">
        <f>G10-H10</f>
        <v/>
      </c>
    </row>
    <row r="11" ht="22" customHeight="1">
      <c r="B11" s="13" t="inlineStr">
        <is>
          <t>SD-007</t>
        </is>
      </c>
      <c r="C11" s="13" t="inlineStr">
        <is>
          <t>Sécurité</t>
        </is>
      </c>
      <c r="D11" s="13" t="inlineStr">
        <is>
          <t>Juin</t>
        </is>
      </c>
      <c r="E11" s="13" t="inlineStr">
        <is>
          <t>2025</t>
        </is>
      </c>
      <c r="F11" s="14">
        <f>COUNTIF('2-Compteur Conges Payes'!E:E,C11)</f>
        <v/>
      </c>
      <c r="G11" s="14">
        <f>IFERROR(SUMIF('2-Compteur Conges Payes'!E:E,C11,'2-Compteur Conges Payes'!G:G),0)</f>
        <v/>
      </c>
      <c r="H11" s="14">
        <f>IFERROR(SUMIF('2-Compteur Conges Payes'!E:E,C11,'2-Compteur Conges Payes'!H:H),0)</f>
        <v/>
      </c>
      <c r="I11" s="14">
        <f>G11-H11</f>
        <v/>
      </c>
    </row>
    <row r="12" ht="22" customHeight="1">
      <c r="B12" s="17">
        <f>IF(C12="","SD-"&amp;TEXT(COUNTA($C$5:C12),"000"))</f>
        <v/>
      </c>
      <c r="C12" s="15" t="n"/>
      <c r="D12" s="15" t="n"/>
      <c r="E12" s="15" t="n"/>
      <c r="F12" s="16" t="n"/>
      <c r="G12" s="16" t="n"/>
      <c r="H12" s="16" t="n"/>
      <c r="I12" s="16">
        <f>IF(G12="","",G12-H12)</f>
        <v/>
      </c>
    </row>
    <row r="13" ht="22" customHeight="1">
      <c r="B13" s="18">
        <f>IF(C13="","SD-"&amp;TEXT(COUNTA($C$5:C13),"000"))</f>
        <v/>
      </c>
      <c r="C13" s="13" t="n"/>
      <c r="D13" s="13" t="n"/>
      <c r="E13" s="13" t="n"/>
      <c r="F13" s="14" t="n"/>
      <c r="G13" s="14" t="n"/>
      <c r="H13" s="14" t="n"/>
      <c r="I13" s="14">
        <f>IF(G13="","",G13-H13)</f>
        <v/>
      </c>
    </row>
    <row r="14" ht="22" customHeight="1">
      <c r="B14" s="17">
        <f>IF(C14="","SD-"&amp;TEXT(COUNTA($C$5:C14),"000"))</f>
        <v/>
      </c>
      <c r="C14" s="15" t="n"/>
      <c r="D14" s="15" t="n"/>
      <c r="E14" s="15" t="n"/>
      <c r="F14" s="16" t="n"/>
      <c r="G14" s="16" t="n"/>
      <c r="H14" s="16" t="n"/>
      <c r="I14" s="16">
        <f>IF(G14="","",G14-H14)</f>
        <v/>
      </c>
    </row>
    <row r="15" ht="22" customHeight="1">
      <c r="B15" s="18">
        <f>IF(C15="","SD-"&amp;TEXT(COUNTA($C$5:C15),"000"))</f>
        <v/>
      </c>
      <c r="C15" s="13" t="n"/>
      <c r="D15" s="13" t="n"/>
      <c r="E15" s="13" t="n"/>
      <c r="F15" s="14" t="n"/>
      <c r="G15" s="14" t="n"/>
      <c r="H15" s="14" t="n"/>
      <c r="I15" s="14">
        <f>IF(G15="","",G15-H15)</f>
        <v/>
      </c>
    </row>
    <row r="16" ht="22" customHeight="1">
      <c r="B16" s="17">
        <f>IF(C16="","SD-"&amp;TEXT(COUNTA($C$5:C16),"000"))</f>
        <v/>
      </c>
      <c r="C16" s="15" t="n"/>
      <c r="D16" s="15" t="n"/>
      <c r="E16" s="15" t="n"/>
      <c r="F16" s="16" t="n"/>
      <c r="G16" s="16" t="n"/>
      <c r="H16" s="16" t="n"/>
      <c r="I16" s="16">
        <f>IF(G16="","",G16-H16)</f>
        <v/>
      </c>
    </row>
    <row r="17" ht="22" customHeight="1">
      <c r="B17" s="18">
        <f>IF(C17="","SD-"&amp;TEXT(COUNTA($C$5:C17),"000"))</f>
        <v/>
      </c>
      <c r="C17" s="13" t="n"/>
      <c r="D17" s="13" t="n"/>
      <c r="E17" s="13" t="n"/>
      <c r="F17" s="14" t="n"/>
      <c r="G17" s="14" t="n"/>
      <c r="H17" s="14" t="n"/>
      <c r="I17" s="14">
        <f>IF(G17="","",G17-H17)</f>
        <v/>
      </c>
    </row>
    <row r="18" ht="22" customHeight="1">
      <c r="B18" s="17">
        <f>IF(C18="","SD-"&amp;TEXT(COUNTA($C$5:C18),"000"))</f>
        <v/>
      </c>
      <c r="C18" s="15" t="n"/>
      <c r="D18" s="15" t="n"/>
      <c r="E18" s="15" t="n"/>
      <c r="F18" s="16" t="n"/>
      <c r="G18" s="16" t="n"/>
      <c r="H18" s="16" t="n"/>
      <c r="I18" s="16">
        <f>IF(G18="","",G18-H18)</f>
        <v/>
      </c>
    </row>
    <row r="19" ht="22" customHeight="1">
      <c r="B19" s="18">
        <f>IF(C19="","SD-"&amp;TEXT(COUNTA($C$5:C19),"000"))</f>
        <v/>
      </c>
      <c r="C19" s="13" t="n"/>
      <c r="D19" s="13" t="n"/>
      <c r="E19" s="13" t="n"/>
      <c r="F19" s="14" t="n"/>
      <c r="G19" s="14" t="n"/>
      <c r="H19" s="14" t="n"/>
      <c r="I19" s="14">
        <f>IF(G19="","",G19-H19)</f>
        <v/>
      </c>
    </row>
    <row r="20" ht="22" customHeight="1">
      <c r="B20" s="17">
        <f>IF(C20="","SD-"&amp;TEXT(COUNTA($C$5:C20),"000"))</f>
        <v/>
      </c>
      <c r="C20" s="15" t="n"/>
      <c r="D20" s="15" t="n"/>
      <c r="E20" s="15" t="n"/>
      <c r="F20" s="16" t="n"/>
      <c r="G20" s="16" t="n"/>
      <c r="H20" s="16" t="n"/>
      <c r="I20" s="16">
        <f>IF(G20="","",G20-H20)</f>
        <v/>
      </c>
    </row>
    <row r="21" ht="22" customHeight="1">
      <c r="B21" s="18">
        <f>IF(C21="","SD-"&amp;TEXT(COUNTA($C$5:C21),"000"))</f>
        <v/>
      </c>
      <c r="C21" s="13" t="n"/>
      <c r="D21" s="13" t="n"/>
      <c r="E21" s="13" t="n"/>
      <c r="F21" s="14" t="n"/>
      <c r="G21" s="14" t="n"/>
      <c r="H21" s="14" t="n"/>
      <c r="I21" s="14">
        <f>IF(G21="","",G21-H21)</f>
        <v/>
      </c>
    </row>
    <row r="22" ht="22" customHeight="1">
      <c r="B22" s="17">
        <f>IF(C22="","SD-"&amp;TEXT(COUNTA($C$5:C22),"000"))</f>
        <v/>
      </c>
      <c r="C22" s="15" t="n"/>
      <c r="D22" s="15" t="n"/>
      <c r="E22" s="15" t="n"/>
      <c r="F22" s="16" t="n"/>
      <c r="G22" s="16" t="n"/>
      <c r="H22" s="16" t="n"/>
      <c r="I22" s="16">
        <f>IF(G22="","",G22-H22)</f>
        <v/>
      </c>
    </row>
    <row r="23" ht="22" customHeight="1">
      <c r="B23" s="18">
        <f>IF(C23="","SD-"&amp;TEXT(COUNTA($C$5:C23),"000"))</f>
        <v/>
      </c>
      <c r="C23" s="13" t="n"/>
      <c r="D23" s="13" t="n"/>
      <c r="E23" s="13" t="n"/>
      <c r="F23" s="14" t="n"/>
      <c r="G23" s="14" t="n"/>
      <c r="H23" s="14" t="n"/>
      <c r="I23" s="14">
        <f>IF(G23="","",G23-H23)</f>
        <v/>
      </c>
    </row>
    <row r="24" ht="22" customHeight="1">
      <c r="B24" s="17">
        <f>IF(C24="","SD-"&amp;TEXT(COUNTA($C$5:C24),"000"))</f>
        <v/>
      </c>
      <c r="C24" s="15" t="n"/>
      <c r="D24" s="15" t="n"/>
      <c r="E24" s="15" t="n"/>
      <c r="F24" s="16" t="n"/>
      <c r="G24" s="16" t="n"/>
      <c r="H24" s="16" t="n"/>
      <c r="I24" s="16">
        <f>IF(G24="","",G24-H24)</f>
        <v/>
      </c>
    </row>
    <row r="25" ht="22" customHeight="1">
      <c r="B25" s="18">
        <f>IF(C25="","SD-"&amp;TEXT(COUNTA($C$5:C25),"000"))</f>
        <v/>
      </c>
      <c r="C25" s="13" t="n"/>
      <c r="D25" s="13" t="n"/>
      <c r="E25" s="13" t="n"/>
      <c r="F25" s="14" t="n"/>
      <c r="G25" s="14" t="n"/>
      <c r="H25" s="14" t="n"/>
      <c r="I25" s="14">
        <f>IF(G25="","",G25-H25)</f>
        <v/>
      </c>
    </row>
    <row r="26" ht="22" customHeight="1">
      <c r="B26" s="17">
        <f>IF(C26="","SD-"&amp;TEXT(COUNTA($C$5:C26),"000"))</f>
        <v/>
      </c>
      <c r="C26" s="15" t="n"/>
      <c r="D26" s="15" t="n"/>
      <c r="E26" s="15" t="n"/>
      <c r="F26" s="16" t="n"/>
      <c r="G26" s="16" t="n"/>
      <c r="H26" s="16" t="n"/>
      <c r="I26" s="16">
        <f>IF(G26="","",G26-H26)</f>
        <v/>
      </c>
    </row>
    <row r="27" ht="22" customHeight="1">
      <c r="B27" s="18">
        <f>IF(C27="","SD-"&amp;TEXT(COUNTA($C$5:C27),"000"))</f>
        <v/>
      </c>
      <c r="C27" s="13" t="n"/>
      <c r="D27" s="13" t="n"/>
      <c r="E27" s="13" t="n"/>
      <c r="F27" s="14" t="n"/>
      <c r="G27" s="14" t="n"/>
      <c r="H27" s="14" t="n"/>
      <c r="I27" s="14">
        <f>IF(G27="","",G27-H27)</f>
        <v/>
      </c>
    </row>
    <row r="28" ht="22" customHeight="1">
      <c r="B28" s="17">
        <f>IF(C28="","SD-"&amp;TEXT(COUNTA($C$5:C28),"000"))</f>
        <v/>
      </c>
      <c r="C28" s="15" t="n"/>
      <c r="D28" s="15" t="n"/>
      <c r="E28" s="15" t="n"/>
      <c r="F28" s="16" t="n"/>
      <c r="G28" s="16" t="n"/>
      <c r="H28" s="16" t="n"/>
      <c r="I28" s="16">
        <f>IF(G28="","",G28-H28)</f>
        <v/>
      </c>
    </row>
    <row r="29" ht="22" customHeight="1">
      <c r="B29" s="18">
        <f>IF(C29="","SD-"&amp;TEXT(COUNTA($C$5:C29),"000"))</f>
        <v/>
      </c>
      <c r="C29" s="13" t="n"/>
      <c r="D29" s="13" t="n"/>
      <c r="E29" s="13" t="n"/>
      <c r="F29" s="14" t="n"/>
      <c r="G29" s="14" t="n"/>
      <c r="H29" s="14" t="n"/>
      <c r="I29" s="14">
        <f>IF(G29="","",G29-H29)</f>
        <v/>
      </c>
    </row>
    <row r="30" ht="22" customHeight="1">
      <c r="B30" s="17">
        <f>IF(C30="","SD-"&amp;TEXT(COUNTA($C$5:C30),"000"))</f>
        <v/>
      </c>
      <c r="C30" s="15" t="n"/>
      <c r="D30" s="15" t="n"/>
      <c r="E30" s="15" t="n"/>
      <c r="F30" s="16" t="n"/>
      <c r="G30" s="16" t="n"/>
      <c r="H30" s="16" t="n"/>
      <c r="I30" s="16">
        <f>IF(G30="","",G30-H30)</f>
        <v/>
      </c>
    </row>
    <row r="31" ht="22" customHeight="1">
      <c r="B31" s="18">
        <f>IF(C31="","SD-"&amp;TEXT(COUNTA($C$5:C31),"000"))</f>
        <v/>
      </c>
      <c r="C31" s="13" t="n"/>
      <c r="D31" s="13" t="n"/>
      <c r="E31" s="13" t="n"/>
      <c r="F31" s="14" t="n"/>
      <c r="G31" s="14" t="n"/>
      <c r="H31" s="14" t="n"/>
      <c r="I31" s="14">
        <f>IF(G31="","",G31-H31)</f>
        <v/>
      </c>
    </row>
    <row r="32" ht="22" customHeight="1">
      <c r="B32" s="17">
        <f>IF(C32="","SD-"&amp;TEXT(COUNTA($C$5:C32),"000"))</f>
        <v/>
      </c>
      <c r="C32" s="15" t="n"/>
      <c r="D32" s="15" t="n"/>
      <c r="E32" s="15" t="n"/>
      <c r="F32" s="16" t="n"/>
      <c r="G32" s="16" t="n"/>
      <c r="H32" s="16" t="n"/>
      <c r="I32" s="16">
        <f>IF(G32="","",G32-H32)</f>
        <v/>
      </c>
    </row>
    <row r="33" ht="22" customHeight="1">
      <c r="B33" s="18">
        <f>IF(C33="","SD-"&amp;TEXT(COUNTA($C$5:C33),"000"))</f>
        <v/>
      </c>
      <c r="C33" s="13" t="n"/>
      <c r="D33" s="13" t="n"/>
      <c r="E33" s="13" t="n"/>
      <c r="F33" s="14" t="n"/>
      <c r="G33" s="14" t="n"/>
      <c r="H33" s="14" t="n"/>
      <c r="I33" s="14">
        <f>IF(G33="","",G33-H33)</f>
        <v/>
      </c>
    </row>
    <row r="34" ht="22" customHeight="1">
      <c r="B34" s="17">
        <f>IF(C34="","SD-"&amp;TEXT(COUNTA($C$5:C34),"000"))</f>
        <v/>
      </c>
      <c r="C34" s="15" t="n"/>
      <c r="D34" s="15" t="n"/>
      <c r="E34" s="15" t="n"/>
      <c r="F34" s="16" t="n"/>
      <c r="G34" s="16" t="n"/>
      <c r="H34" s="16" t="n"/>
      <c r="I34" s="16">
        <f>IF(G34="","",G34-H34)</f>
        <v/>
      </c>
    </row>
    <row r="35" ht="22" customHeight="1">
      <c r="B35" s="18">
        <f>IF(C35="","SD-"&amp;TEXT(COUNTA($C$5:C35),"000"))</f>
        <v/>
      </c>
      <c r="C35" s="13" t="n"/>
      <c r="D35" s="13" t="n"/>
      <c r="E35" s="13" t="n"/>
      <c r="F35" s="14" t="n"/>
      <c r="G35" s="14" t="n"/>
      <c r="H35" s="14" t="n"/>
      <c r="I35" s="14">
        <f>IF(G35="","",G35-H35)</f>
        <v/>
      </c>
    </row>
    <row r="36" ht="22" customHeight="1">
      <c r="B36" s="17">
        <f>IF(C36="","SD-"&amp;TEXT(COUNTA($C$5:C36),"000"))</f>
        <v/>
      </c>
      <c r="C36" s="15" t="n"/>
      <c r="D36" s="15" t="n"/>
      <c r="E36" s="15" t="n"/>
      <c r="F36" s="16" t="n"/>
      <c r="G36" s="16" t="n"/>
      <c r="H36" s="16" t="n"/>
      <c r="I36" s="16">
        <f>IF(G36="","",G36-H36)</f>
        <v/>
      </c>
    </row>
    <row r="37" ht="22" customHeight="1">
      <c r="B37" s="18">
        <f>IF(C37="","SD-"&amp;TEXT(COUNTA($C$5:C37),"000"))</f>
        <v/>
      </c>
      <c r="C37" s="13" t="n"/>
      <c r="D37" s="13" t="n"/>
      <c r="E37" s="13" t="n"/>
      <c r="F37" s="14" t="n"/>
      <c r="G37" s="14" t="n"/>
      <c r="H37" s="14" t="n"/>
      <c r="I37" s="14">
        <f>IF(G37="","",G37-H37)</f>
        <v/>
      </c>
    </row>
    <row r="38" ht="22" customHeight="1">
      <c r="B38" s="17">
        <f>IF(C38="","SD-"&amp;TEXT(COUNTA($C$5:C38),"000"))</f>
        <v/>
      </c>
      <c r="C38" s="15" t="n"/>
      <c r="D38" s="15" t="n"/>
      <c r="E38" s="15" t="n"/>
      <c r="F38" s="16" t="n"/>
      <c r="G38" s="16" t="n"/>
      <c r="H38" s="16" t="n"/>
      <c r="I38" s="16">
        <f>IF(G38="","",G38-H38)</f>
        <v/>
      </c>
    </row>
    <row r="39" ht="22" customHeight="1">
      <c r="B39" s="18">
        <f>IF(C39="","SD-"&amp;TEXT(COUNTA($C$5:C39),"000"))</f>
        <v/>
      </c>
      <c r="C39" s="13" t="n"/>
      <c r="D39" s="13" t="n"/>
      <c r="E39" s="13" t="n"/>
      <c r="F39" s="14" t="n"/>
      <c r="G39" s="14" t="n"/>
      <c r="H39" s="14" t="n"/>
      <c r="I39" s="14">
        <f>IF(G39="","",G39-H39)</f>
        <v/>
      </c>
    </row>
    <row r="40" ht="22" customHeight="1">
      <c r="B40" s="17">
        <f>IF(C40="","SD-"&amp;TEXT(COUNTA($C$5:C40),"000"))</f>
        <v/>
      </c>
      <c r="C40" s="15" t="n"/>
      <c r="D40" s="15" t="n"/>
      <c r="E40" s="15" t="n"/>
      <c r="F40" s="16" t="n"/>
      <c r="G40" s="16" t="n"/>
      <c r="H40" s="16" t="n"/>
      <c r="I40" s="16">
        <f>IF(G40="","",G40-H40)</f>
        <v/>
      </c>
    </row>
    <row r="41" ht="22" customHeight="1">
      <c r="B41" s="18">
        <f>IF(C41="","SD-"&amp;TEXT(COUNTA($C$5:C41),"000"))</f>
        <v/>
      </c>
      <c r="C41" s="13" t="n"/>
      <c r="D41" s="13" t="n"/>
      <c r="E41" s="13" t="n"/>
      <c r="F41" s="14" t="n"/>
      <c r="G41" s="14" t="n"/>
      <c r="H41" s="14" t="n"/>
      <c r="I41" s="14">
        <f>IF(G41="","",G41-H41)</f>
        <v/>
      </c>
    </row>
    <row r="42" ht="22" customHeight="1">
      <c r="B42" s="17">
        <f>IF(C42="","SD-"&amp;TEXT(COUNTA($C$5:C42),"000"))</f>
        <v/>
      </c>
      <c r="C42" s="15" t="n"/>
      <c r="D42" s="15" t="n"/>
      <c r="E42" s="15" t="n"/>
      <c r="F42" s="16" t="n"/>
      <c r="G42" s="16" t="n"/>
      <c r="H42" s="16" t="n"/>
      <c r="I42" s="16">
        <f>IF(G42="","",G42-H42)</f>
        <v/>
      </c>
    </row>
    <row r="43" ht="22" customHeight="1">
      <c r="B43" s="18">
        <f>IF(C43="","SD-"&amp;TEXT(COUNTA($C$5:C43),"000"))</f>
        <v/>
      </c>
      <c r="C43" s="13" t="n"/>
      <c r="D43" s="13" t="n"/>
      <c r="E43" s="13" t="n"/>
      <c r="F43" s="14" t="n"/>
      <c r="G43" s="14" t="n"/>
      <c r="H43" s="14" t="n"/>
      <c r="I43" s="14">
        <f>IF(G43="","",G43-H43)</f>
        <v/>
      </c>
    </row>
    <row r="44" ht="22" customHeight="1">
      <c r="B44" s="17">
        <f>IF(C44="","SD-"&amp;TEXT(COUNTA($C$5:C44),"000"))</f>
        <v/>
      </c>
      <c r="C44" s="15" t="n"/>
      <c r="D44" s="15" t="n"/>
      <c r="E44" s="15" t="n"/>
      <c r="F44" s="16" t="n"/>
      <c r="G44" s="16" t="n"/>
      <c r="H44" s="16" t="n"/>
      <c r="I44" s="16">
        <f>IF(G44="","",G44-H44)</f>
        <v/>
      </c>
    </row>
    <row r="45" ht="22" customHeight="1">
      <c r="B45" s="18">
        <f>IF(C45="","SD-"&amp;TEXT(COUNTA($C$5:C45),"000"))</f>
        <v/>
      </c>
      <c r="C45" s="13" t="n"/>
      <c r="D45" s="13" t="n"/>
      <c r="E45" s="13" t="n"/>
      <c r="F45" s="14" t="n"/>
      <c r="G45" s="14" t="n"/>
      <c r="H45" s="14" t="n"/>
      <c r="I45" s="14">
        <f>IF(G45="","",G45-H45)</f>
        <v/>
      </c>
    </row>
    <row r="46" ht="22" customHeight="1">
      <c r="B46" s="17">
        <f>IF(C46="","SD-"&amp;TEXT(COUNTA($C$5:C46),"000"))</f>
        <v/>
      </c>
      <c r="C46" s="15" t="n"/>
      <c r="D46" s="15" t="n"/>
      <c r="E46" s="15" t="n"/>
      <c r="F46" s="16" t="n"/>
      <c r="G46" s="16" t="n"/>
      <c r="H46" s="16" t="n"/>
      <c r="I46" s="16">
        <f>IF(G46="","",G46-H46)</f>
        <v/>
      </c>
    </row>
    <row r="47" ht="22" customHeight="1">
      <c r="B47" s="18">
        <f>IF(C47="","SD-"&amp;TEXT(COUNTA($C$5:C47),"000"))</f>
        <v/>
      </c>
      <c r="C47" s="13" t="n"/>
      <c r="D47" s="13" t="n"/>
      <c r="E47" s="13" t="n"/>
      <c r="F47" s="14" t="n"/>
      <c r="G47" s="14" t="n"/>
      <c r="H47" s="14" t="n"/>
      <c r="I47" s="14">
        <f>IF(G47="","",G47-H47)</f>
        <v/>
      </c>
    </row>
    <row r="48" ht="22" customHeight="1">
      <c r="B48" s="17">
        <f>IF(C48="","SD-"&amp;TEXT(COUNTA($C$5:C48),"000"))</f>
        <v/>
      </c>
      <c r="C48" s="15" t="n"/>
      <c r="D48" s="15" t="n"/>
      <c r="E48" s="15" t="n"/>
      <c r="F48" s="16" t="n"/>
      <c r="G48" s="16" t="n"/>
      <c r="H48" s="16" t="n"/>
      <c r="I48" s="16">
        <f>IF(G48="","",G48-H48)</f>
        <v/>
      </c>
    </row>
    <row r="49" ht="22" customHeight="1">
      <c r="B49" s="18">
        <f>IF(C49="","SD-"&amp;TEXT(COUNTA($C$5:C49),"000"))</f>
        <v/>
      </c>
      <c r="C49" s="13" t="n"/>
      <c r="D49" s="13" t="n"/>
      <c r="E49" s="13" t="n"/>
      <c r="F49" s="14" t="n"/>
      <c r="G49" s="14" t="n"/>
      <c r="H49" s="14" t="n"/>
      <c r="I49" s="14">
        <f>IF(G49="","",G49-H49)</f>
        <v/>
      </c>
    </row>
    <row r="50" ht="22" customHeight="1">
      <c r="B50" s="17">
        <f>IF(C50="","SD-"&amp;TEXT(COUNTA($C$5:C50),"000"))</f>
        <v/>
      </c>
      <c r="C50" s="15" t="n"/>
      <c r="D50" s="15" t="n"/>
      <c r="E50" s="15" t="n"/>
      <c r="F50" s="16" t="n"/>
      <c r="G50" s="16" t="n"/>
      <c r="H50" s="16" t="n"/>
      <c r="I50" s="16">
        <f>IF(G50="","",G50-H50)</f>
        <v/>
      </c>
    </row>
    <row r="51" ht="22" customHeight="1">
      <c r="B51" s="18">
        <f>IF(C51="","SD-"&amp;TEXT(COUNTA($C$5:C51),"000"))</f>
        <v/>
      </c>
      <c r="C51" s="13" t="n"/>
      <c r="D51" s="13" t="n"/>
      <c r="E51" s="13" t="n"/>
      <c r="F51" s="14" t="n"/>
      <c r="G51" s="14" t="n"/>
      <c r="H51" s="14" t="n"/>
      <c r="I51" s="14">
        <f>IF(G51="","",G51-H51)</f>
        <v/>
      </c>
    </row>
    <row r="52" ht="22" customHeight="1">
      <c r="B52" s="17">
        <f>IF(C52="","SD-"&amp;TEXT(COUNTA($C$5:C52),"000"))</f>
        <v/>
      </c>
      <c r="C52" s="15" t="n"/>
      <c r="D52" s="15" t="n"/>
      <c r="E52" s="15" t="n"/>
      <c r="F52" s="16" t="n"/>
      <c r="G52" s="16" t="n"/>
      <c r="H52" s="16" t="n"/>
      <c r="I52" s="16">
        <f>IF(G52="","",G52-H52)</f>
        <v/>
      </c>
    </row>
    <row r="53" ht="22" customHeight="1">
      <c r="B53" s="18">
        <f>IF(C53="","SD-"&amp;TEXT(COUNTA($C$5:C53),"000"))</f>
        <v/>
      </c>
      <c r="C53" s="13" t="n"/>
      <c r="D53" s="13" t="n"/>
      <c r="E53" s="13" t="n"/>
      <c r="F53" s="14" t="n"/>
      <c r="G53" s="14" t="n"/>
      <c r="H53" s="14" t="n"/>
      <c r="I53" s="14">
        <f>IF(G53="","",G53-H53)</f>
        <v/>
      </c>
    </row>
    <row r="54" ht="22" customHeight="1">
      <c r="B54" s="17">
        <f>IF(C54="","SD-"&amp;TEXT(COUNTA($C$5:C54),"000"))</f>
        <v/>
      </c>
      <c r="C54" s="15" t="n"/>
      <c r="D54" s="15" t="n"/>
      <c r="E54" s="15" t="n"/>
      <c r="F54" s="16" t="n"/>
      <c r="G54" s="16" t="n"/>
      <c r="H54" s="16" t="n"/>
      <c r="I54" s="16">
        <f>IF(G54="","",G54-H54)</f>
        <v/>
      </c>
    </row>
    <row r="55" ht="22" customHeight="1">
      <c r="B55" s="18">
        <f>IF(C55="","SD-"&amp;TEXT(COUNTA($C$5:C55),"000"))</f>
        <v/>
      </c>
      <c r="C55" s="13" t="n"/>
      <c r="D55" s="13" t="n"/>
      <c r="E55" s="13" t="n"/>
      <c r="F55" s="14" t="n"/>
      <c r="G55" s="14" t="n"/>
      <c r="H55" s="14" t="n"/>
      <c r="I55" s="14">
        <f>IF(G55="","",G55-H55)</f>
        <v/>
      </c>
    </row>
    <row r="56" ht="22" customHeight="1">
      <c r="B56" s="17">
        <f>IF(C56="","SD-"&amp;TEXT(COUNTA($C$5:C56),"000"))</f>
        <v/>
      </c>
      <c r="C56" s="15" t="n"/>
      <c r="D56" s="15" t="n"/>
      <c r="E56" s="15" t="n"/>
      <c r="F56" s="16" t="n"/>
      <c r="G56" s="16" t="n"/>
      <c r="H56" s="16" t="n"/>
      <c r="I56" s="16">
        <f>IF(G56="","",G56-H56)</f>
        <v/>
      </c>
    </row>
    <row r="57" ht="22" customHeight="1">
      <c r="B57" s="18">
        <f>IF(C57="","SD-"&amp;TEXT(COUNTA($C$5:C57),"000"))</f>
        <v/>
      </c>
      <c r="C57" s="13" t="n"/>
      <c r="D57" s="13" t="n"/>
      <c r="E57" s="13" t="n"/>
      <c r="F57" s="14" t="n"/>
      <c r="G57" s="14" t="n"/>
      <c r="H57" s="14" t="n"/>
      <c r="I57" s="14">
        <f>IF(G57="","",G57-H57)</f>
        <v/>
      </c>
    </row>
    <row r="58" ht="22" customHeight="1">
      <c r="B58" s="17">
        <f>IF(C58="","SD-"&amp;TEXT(COUNTA($C$5:C58),"000"))</f>
        <v/>
      </c>
      <c r="C58" s="15" t="n"/>
      <c r="D58" s="15" t="n"/>
      <c r="E58" s="15" t="n"/>
      <c r="F58" s="16" t="n"/>
      <c r="G58" s="16" t="n"/>
      <c r="H58" s="16" t="n"/>
      <c r="I58" s="16">
        <f>IF(G58="","",G58-H58)</f>
        <v/>
      </c>
    </row>
    <row r="59" ht="22" customHeight="1">
      <c r="B59" s="18">
        <f>IF(C59="","SD-"&amp;TEXT(COUNTA($C$5:C59),"000"))</f>
        <v/>
      </c>
      <c r="C59" s="13" t="n"/>
      <c r="D59" s="13" t="n"/>
      <c r="E59" s="13" t="n"/>
      <c r="F59" s="14" t="n"/>
      <c r="G59" s="14" t="n"/>
      <c r="H59" s="14" t="n"/>
      <c r="I59" s="14">
        <f>IF(G59="","",G59-H59)</f>
        <v/>
      </c>
    </row>
    <row r="60" ht="22" customHeight="1">
      <c r="B60" s="17">
        <f>IF(C60="","SD-"&amp;TEXT(COUNTA($C$5:C60),"000"))</f>
        <v/>
      </c>
      <c r="C60" s="15" t="n"/>
      <c r="D60" s="15" t="n"/>
      <c r="E60" s="15" t="n"/>
      <c r="F60" s="16" t="n"/>
      <c r="G60" s="16" t="n"/>
      <c r="H60" s="16" t="n"/>
      <c r="I60" s="16">
        <f>IF(G60="","",G60-H60)</f>
        <v/>
      </c>
    </row>
    <row r="61" ht="22" customHeight="1">
      <c r="B61" s="18">
        <f>IF(C61="","SD-"&amp;TEXT(COUNTA($C$5:C61),"000"))</f>
        <v/>
      </c>
      <c r="C61" s="13" t="n"/>
      <c r="D61" s="13" t="n"/>
      <c r="E61" s="13" t="n"/>
      <c r="F61" s="14" t="n"/>
      <c r="G61" s="14" t="n"/>
      <c r="H61" s="14" t="n"/>
      <c r="I61" s="14">
        <f>IF(G61="","",G61-H61)</f>
        <v/>
      </c>
    </row>
    <row r="62" ht="22" customHeight="1">
      <c r="B62" s="17">
        <f>IF(C62="","SD-"&amp;TEXT(COUNTA($C$5:C62),"000"))</f>
        <v/>
      </c>
      <c r="C62" s="15" t="n"/>
      <c r="D62" s="15" t="n"/>
      <c r="E62" s="15" t="n"/>
      <c r="F62" s="16" t="n"/>
      <c r="G62" s="16" t="n"/>
      <c r="H62" s="16" t="n"/>
      <c r="I62" s="16">
        <f>IF(G62="","",G62-H62)</f>
        <v/>
      </c>
    </row>
    <row r="63" ht="22" customHeight="1">
      <c r="B63" s="18">
        <f>IF(C63="","SD-"&amp;TEXT(COUNTA($C$5:C63),"000"))</f>
        <v/>
      </c>
      <c r="C63" s="13" t="n"/>
      <c r="D63" s="13" t="n"/>
      <c r="E63" s="13" t="n"/>
      <c r="F63" s="14" t="n"/>
      <c r="G63" s="14" t="n"/>
      <c r="H63" s="14" t="n"/>
      <c r="I63" s="14">
        <f>IF(G63="","",G63-H63)</f>
        <v/>
      </c>
    </row>
    <row r="64" ht="22" customHeight="1">
      <c r="B64" s="17">
        <f>IF(C64="","SD-"&amp;TEXT(COUNTA($C$5:C64),"000"))</f>
        <v/>
      </c>
      <c r="C64" s="15" t="n"/>
      <c r="D64" s="15" t="n"/>
      <c r="E64" s="15" t="n"/>
      <c r="F64" s="16" t="n"/>
      <c r="G64" s="16" t="n"/>
      <c r="H64" s="16" t="n"/>
      <c r="I64" s="16">
        <f>IF(G64="","",G64-H64)</f>
        <v/>
      </c>
    </row>
    <row r="65" ht="22" customHeight="1">
      <c r="B65" s="18">
        <f>IF(C65="","SD-"&amp;TEXT(COUNTA($C$5:C65),"000"))</f>
        <v/>
      </c>
      <c r="C65" s="13" t="n"/>
      <c r="D65" s="13" t="n"/>
      <c r="E65" s="13" t="n"/>
      <c r="F65" s="14" t="n"/>
      <c r="G65" s="14" t="n"/>
      <c r="H65" s="14" t="n"/>
      <c r="I65" s="14">
        <f>IF(G65="","",G65-H65)</f>
        <v/>
      </c>
    </row>
    <row r="66" ht="22" customHeight="1">
      <c r="B66" s="17">
        <f>IF(C66="","SD-"&amp;TEXT(COUNTA($C$5:C66),"000"))</f>
        <v/>
      </c>
      <c r="C66" s="15" t="n"/>
      <c r="D66" s="15" t="n"/>
      <c r="E66" s="15" t="n"/>
      <c r="F66" s="16" t="n"/>
      <c r="G66" s="16" t="n"/>
      <c r="H66" s="16" t="n"/>
      <c r="I66" s="16">
        <f>IF(G66="","",G66-H66)</f>
        <v/>
      </c>
    </row>
    <row r="67" ht="22" customHeight="1">
      <c r="B67" s="18">
        <f>IF(C67="","SD-"&amp;TEXT(COUNTA($C$5:C67),"000"))</f>
        <v/>
      </c>
      <c r="C67" s="13" t="n"/>
      <c r="D67" s="13" t="n"/>
      <c r="E67" s="13" t="n"/>
      <c r="F67" s="14" t="n"/>
      <c r="G67" s="14" t="n"/>
      <c r="H67" s="14" t="n"/>
      <c r="I67" s="14">
        <f>IF(G67="","",G67-H67)</f>
        <v/>
      </c>
    </row>
    <row r="68" ht="22" customHeight="1">
      <c r="B68" s="17">
        <f>IF(C68="","SD-"&amp;TEXT(COUNTA($C$5:C68),"000"))</f>
        <v/>
      </c>
      <c r="C68" s="15" t="n"/>
      <c r="D68" s="15" t="n"/>
      <c r="E68" s="15" t="n"/>
      <c r="F68" s="16" t="n"/>
      <c r="G68" s="16" t="n"/>
      <c r="H68" s="16" t="n"/>
      <c r="I68" s="16">
        <f>IF(G68="","",G68-H68)</f>
        <v/>
      </c>
    </row>
    <row r="69" ht="22" customHeight="1">
      <c r="B69" s="18">
        <f>IF(C69="","SD-"&amp;TEXT(COUNTA($C$5:C69),"000"))</f>
        <v/>
      </c>
      <c r="C69" s="13" t="n"/>
      <c r="D69" s="13" t="n"/>
      <c r="E69" s="13" t="n"/>
      <c r="F69" s="14" t="n"/>
      <c r="G69" s="14" t="n"/>
      <c r="H69" s="14" t="n"/>
      <c r="I69" s="14">
        <f>IF(G69="","",G69-H69)</f>
        <v/>
      </c>
    </row>
    <row r="70" ht="22" customHeight="1">
      <c r="B70" s="17">
        <f>IF(C70="","SD-"&amp;TEXT(COUNTA($C$5:C70),"000"))</f>
        <v/>
      </c>
      <c r="C70" s="15" t="n"/>
      <c r="D70" s="15" t="n"/>
      <c r="E70" s="15" t="n"/>
      <c r="F70" s="16" t="n"/>
      <c r="G70" s="16" t="n"/>
      <c r="H70" s="16" t="n"/>
      <c r="I70" s="16">
        <f>IF(G70="","",G70-H70)</f>
        <v/>
      </c>
    </row>
    <row r="71" ht="22" customHeight="1">
      <c r="B71" s="18">
        <f>IF(C71="","SD-"&amp;TEXT(COUNTA($C$5:C71),"000"))</f>
        <v/>
      </c>
      <c r="C71" s="13" t="n"/>
      <c r="D71" s="13" t="n"/>
      <c r="E71" s="13" t="n"/>
      <c r="F71" s="14" t="n"/>
      <c r="G71" s="14" t="n"/>
      <c r="H71" s="14" t="n"/>
      <c r="I71" s="14">
        <f>IF(G71="","",G71-H71)</f>
        <v/>
      </c>
    </row>
    <row r="72" ht="22" customHeight="1">
      <c r="B72" s="17">
        <f>IF(C72="","SD-"&amp;TEXT(COUNTA($C$5:C72),"000"))</f>
        <v/>
      </c>
      <c r="C72" s="15" t="n"/>
      <c r="D72" s="15" t="n"/>
      <c r="E72" s="15" t="n"/>
      <c r="F72" s="16" t="n"/>
      <c r="G72" s="16" t="n"/>
      <c r="H72" s="16" t="n"/>
      <c r="I72" s="16">
        <f>IF(G72="","",G72-H72)</f>
        <v/>
      </c>
    </row>
    <row r="73" ht="22" customHeight="1">
      <c r="B73" s="18">
        <f>IF(C73="","SD-"&amp;TEXT(COUNTA($C$5:C73),"000"))</f>
        <v/>
      </c>
      <c r="C73" s="13" t="n"/>
      <c r="D73" s="13" t="n"/>
      <c r="E73" s="13" t="n"/>
      <c r="F73" s="14" t="n"/>
      <c r="G73" s="14" t="n"/>
      <c r="H73" s="14" t="n"/>
      <c r="I73" s="14">
        <f>IF(G73="","",G73-H73)</f>
        <v/>
      </c>
    </row>
    <row r="74" ht="22" customHeight="1">
      <c r="B74" s="17">
        <f>IF(C74="","SD-"&amp;TEXT(COUNTA($C$5:C74),"000"))</f>
        <v/>
      </c>
      <c r="C74" s="15" t="n"/>
      <c r="D74" s="15" t="n"/>
      <c r="E74" s="15" t="n"/>
      <c r="F74" s="16" t="n"/>
      <c r="G74" s="16" t="n"/>
      <c r="H74" s="16" t="n"/>
      <c r="I74" s="16">
        <f>IF(G74="","",G74-H74)</f>
        <v/>
      </c>
    </row>
    <row r="75" ht="22" customHeight="1">
      <c r="B75" s="18">
        <f>IF(C75="","SD-"&amp;TEXT(COUNTA($C$5:C75),"000"))</f>
        <v/>
      </c>
      <c r="C75" s="13" t="n"/>
      <c r="D75" s="13" t="n"/>
      <c r="E75" s="13" t="n"/>
      <c r="F75" s="14" t="n"/>
      <c r="G75" s="14" t="n"/>
      <c r="H75" s="14" t="n"/>
      <c r="I75" s="14">
        <f>IF(G75="","",G75-H75)</f>
        <v/>
      </c>
    </row>
    <row r="76" ht="22" customHeight="1">
      <c r="B76" s="17">
        <f>IF(C76="","SD-"&amp;TEXT(COUNTA($C$5:C76),"000"))</f>
        <v/>
      </c>
      <c r="C76" s="15" t="n"/>
      <c r="D76" s="15" t="n"/>
      <c r="E76" s="15" t="n"/>
      <c r="F76" s="16" t="n"/>
      <c r="G76" s="16" t="n"/>
      <c r="H76" s="16" t="n"/>
      <c r="I76" s="16">
        <f>IF(G76="","",G76-H76)</f>
        <v/>
      </c>
    </row>
    <row r="77" ht="22" customHeight="1">
      <c r="B77" s="18">
        <f>IF(C77="","SD-"&amp;TEXT(COUNTA($C$5:C77),"000"))</f>
        <v/>
      </c>
      <c r="C77" s="13" t="n"/>
      <c r="D77" s="13" t="n"/>
      <c r="E77" s="13" t="n"/>
      <c r="F77" s="14" t="n"/>
      <c r="G77" s="14" t="n"/>
      <c r="H77" s="14" t="n"/>
      <c r="I77" s="14">
        <f>IF(G77="","",G77-H77)</f>
        <v/>
      </c>
    </row>
    <row r="78" ht="22" customHeight="1">
      <c r="B78" s="17">
        <f>IF(C78="","SD-"&amp;TEXT(COUNTA($C$5:C78),"000"))</f>
        <v/>
      </c>
      <c r="C78" s="15" t="n"/>
      <c r="D78" s="15" t="n"/>
      <c r="E78" s="15" t="n"/>
      <c r="F78" s="16" t="n"/>
      <c r="G78" s="16" t="n"/>
      <c r="H78" s="16" t="n"/>
      <c r="I78" s="16">
        <f>IF(G78="","",G78-H78)</f>
        <v/>
      </c>
    </row>
    <row r="79" ht="22" customHeight="1">
      <c r="B79" s="18">
        <f>IF(C79="","SD-"&amp;TEXT(COUNTA($C$5:C79),"000"))</f>
        <v/>
      </c>
      <c r="C79" s="13" t="n"/>
      <c r="D79" s="13" t="n"/>
      <c r="E79" s="13" t="n"/>
      <c r="F79" s="14" t="n"/>
      <c r="G79" s="14" t="n"/>
      <c r="H79" s="14" t="n"/>
      <c r="I79" s="14">
        <f>IF(G79="","",G79-H79)</f>
        <v/>
      </c>
    </row>
    <row r="80" ht="22" customHeight="1">
      <c r="B80" s="17">
        <f>IF(C80="","SD-"&amp;TEXT(COUNTA($C$5:C80),"000"))</f>
        <v/>
      </c>
      <c r="C80" s="15" t="n"/>
      <c r="D80" s="15" t="n"/>
      <c r="E80" s="15" t="n"/>
      <c r="F80" s="16" t="n"/>
      <c r="G80" s="16" t="n"/>
      <c r="H80" s="16" t="n"/>
      <c r="I80" s="16">
        <f>IF(G80="","",G80-H80)</f>
        <v/>
      </c>
    </row>
    <row r="81" ht="22" customHeight="1">
      <c r="B81" s="18">
        <f>IF(C81="","SD-"&amp;TEXT(COUNTA($C$5:C81),"000"))</f>
        <v/>
      </c>
      <c r="C81" s="13" t="n"/>
      <c r="D81" s="13" t="n"/>
      <c r="E81" s="13" t="n"/>
      <c r="F81" s="14" t="n"/>
      <c r="G81" s="14" t="n"/>
      <c r="H81" s="14" t="n"/>
      <c r="I81" s="14">
        <f>IF(G81="","",G81-H81)</f>
        <v/>
      </c>
    </row>
    <row r="82" ht="22" customHeight="1">
      <c r="B82" s="17">
        <f>IF(C82="","SD-"&amp;TEXT(COUNTA($C$5:C82),"000"))</f>
        <v/>
      </c>
      <c r="C82" s="15" t="n"/>
      <c r="D82" s="15" t="n"/>
      <c r="E82" s="15" t="n"/>
      <c r="F82" s="16" t="n"/>
      <c r="G82" s="16" t="n"/>
      <c r="H82" s="16" t="n"/>
      <c r="I82" s="16">
        <f>IF(G82="","",G82-H82)</f>
        <v/>
      </c>
    </row>
    <row r="83" ht="22" customHeight="1">
      <c r="B83" s="18">
        <f>IF(C83="","SD-"&amp;TEXT(COUNTA($C$5:C83),"000"))</f>
        <v/>
      </c>
      <c r="C83" s="13" t="n"/>
      <c r="D83" s="13" t="n"/>
      <c r="E83" s="13" t="n"/>
      <c r="F83" s="14" t="n"/>
      <c r="G83" s="14" t="n"/>
      <c r="H83" s="14" t="n"/>
      <c r="I83" s="14">
        <f>IF(G83="","",G83-H83)</f>
        <v/>
      </c>
    </row>
    <row r="84" ht="22" customHeight="1">
      <c r="B84" s="17">
        <f>IF(C84="","SD-"&amp;TEXT(COUNTA($C$5:C84),"000"))</f>
        <v/>
      </c>
      <c r="C84" s="15" t="n"/>
      <c r="D84" s="15" t="n"/>
      <c r="E84" s="15" t="n"/>
      <c r="F84" s="16" t="n"/>
      <c r="G84" s="16" t="n"/>
      <c r="H84" s="16" t="n"/>
      <c r="I84" s="16">
        <f>IF(G84="","",G84-H84)</f>
        <v/>
      </c>
    </row>
    <row r="85" ht="22" customHeight="1">
      <c r="B85" s="18">
        <f>IF(C85="","SD-"&amp;TEXT(COUNTA($C$5:C85),"000"))</f>
        <v/>
      </c>
      <c r="C85" s="13" t="n"/>
      <c r="D85" s="13" t="n"/>
      <c r="E85" s="13" t="n"/>
      <c r="F85" s="14" t="n"/>
      <c r="G85" s="14" t="n"/>
      <c r="H85" s="14" t="n"/>
      <c r="I85" s="14">
        <f>IF(G85="","",G85-H85)</f>
        <v/>
      </c>
    </row>
    <row r="86" ht="22" customHeight="1">
      <c r="B86" s="17">
        <f>IF(C86="","SD-"&amp;TEXT(COUNTA($C$5:C86),"000"))</f>
        <v/>
      </c>
      <c r="C86" s="15" t="n"/>
      <c r="D86" s="15" t="n"/>
      <c r="E86" s="15" t="n"/>
      <c r="F86" s="16" t="n"/>
      <c r="G86" s="16" t="n"/>
      <c r="H86" s="16" t="n"/>
      <c r="I86" s="16">
        <f>IF(G86="","",G86-H86)</f>
        <v/>
      </c>
    </row>
    <row r="87" ht="22" customHeight="1">
      <c r="B87" s="18">
        <f>IF(C87="","SD-"&amp;TEXT(COUNTA($C$5:C87),"000"))</f>
        <v/>
      </c>
      <c r="C87" s="13" t="n"/>
      <c r="D87" s="13" t="n"/>
      <c r="E87" s="13" t="n"/>
      <c r="F87" s="14" t="n"/>
      <c r="G87" s="14" t="n"/>
      <c r="H87" s="14" t="n"/>
      <c r="I87" s="14">
        <f>IF(G87="","",G87-H87)</f>
        <v/>
      </c>
    </row>
    <row r="88" ht="22" customHeight="1">
      <c r="B88" s="17">
        <f>IF(C88="","SD-"&amp;TEXT(COUNTA($C$5:C88),"000"))</f>
        <v/>
      </c>
      <c r="C88" s="15" t="n"/>
      <c r="D88" s="15" t="n"/>
      <c r="E88" s="15" t="n"/>
      <c r="F88" s="16" t="n"/>
      <c r="G88" s="16" t="n"/>
      <c r="H88" s="16" t="n"/>
      <c r="I88" s="16">
        <f>IF(G88="","",G88-H88)</f>
        <v/>
      </c>
    </row>
    <row r="89" ht="22" customHeight="1">
      <c r="B89" s="18">
        <f>IF(C89="","SD-"&amp;TEXT(COUNTA($C$5:C89),"000"))</f>
        <v/>
      </c>
      <c r="C89" s="13" t="n"/>
      <c r="D89" s="13" t="n"/>
      <c r="E89" s="13" t="n"/>
      <c r="F89" s="14" t="n"/>
      <c r="G89" s="14" t="n"/>
      <c r="H89" s="14" t="n"/>
      <c r="I89" s="14">
        <f>IF(G89="","",G89-H89)</f>
        <v/>
      </c>
    </row>
    <row r="90" ht="22" customHeight="1">
      <c r="B90" s="17">
        <f>IF(C90="","SD-"&amp;TEXT(COUNTA($C$5:C90),"000"))</f>
        <v/>
      </c>
      <c r="C90" s="15" t="n"/>
      <c r="D90" s="15" t="n"/>
      <c r="E90" s="15" t="n"/>
      <c r="F90" s="16" t="n"/>
      <c r="G90" s="16" t="n"/>
      <c r="H90" s="16" t="n"/>
      <c r="I90" s="16">
        <f>IF(G90="","",G90-H90)</f>
        <v/>
      </c>
    </row>
    <row r="91" ht="22" customHeight="1">
      <c r="B91" s="18">
        <f>IF(C91="","SD-"&amp;TEXT(COUNTA($C$5:C91),"000"))</f>
        <v/>
      </c>
      <c r="C91" s="13" t="n"/>
      <c r="D91" s="13" t="n"/>
      <c r="E91" s="13" t="n"/>
      <c r="F91" s="14" t="n"/>
      <c r="G91" s="14" t="n"/>
      <c r="H91" s="14" t="n"/>
      <c r="I91" s="14">
        <f>IF(G91="","",G91-H91)</f>
        <v/>
      </c>
    </row>
    <row r="92" ht="22" customHeight="1">
      <c r="B92" s="17">
        <f>IF(C92="","SD-"&amp;TEXT(COUNTA($C$5:C92),"000"))</f>
        <v/>
      </c>
      <c r="C92" s="15" t="n"/>
      <c r="D92" s="15" t="n"/>
      <c r="E92" s="15" t="n"/>
      <c r="F92" s="16" t="n"/>
      <c r="G92" s="16" t="n"/>
      <c r="H92" s="16" t="n"/>
      <c r="I92" s="16">
        <f>IF(G92="","",G92-H92)</f>
        <v/>
      </c>
    </row>
    <row r="93" ht="22" customHeight="1">
      <c r="B93" s="18">
        <f>IF(C93="","SD-"&amp;TEXT(COUNTA($C$5:C93),"000"))</f>
        <v/>
      </c>
      <c r="C93" s="13" t="n"/>
      <c r="D93" s="13" t="n"/>
      <c r="E93" s="13" t="n"/>
      <c r="F93" s="14" t="n"/>
      <c r="G93" s="14" t="n"/>
      <c r="H93" s="14" t="n"/>
      <c r="I93" s="14">
        <f>IF(G93="","",G93-H93)</f>
        <v/>
      </c>
    </row>
    <row r="94" ht="22" customHeight="1">
      <c r="B94" s="17">
        <f>IF(C94="","SD-"&amp;TEXT(COUNTA($C$5:C94),"000"))</f>
        <v/>
      </c>
      <c r="C94" s="15" t="n"/>
      <c r="D94" s="15" t="n"/>
      <c r="E94" s="15" t="n"/>
      <c r="F94" s="16" t="n"/>
      <c r="G94" s="16" t="n"/>
      <c r="H94" s="16" t="n"/>
      <c r="I94" s="16">
        <f>IF(G94="","",G94-H94)</f>
        <v/>
      </c>
    </row>
    <row r="95" ht="22" customHeight="1">
      <c r="B95" s="18">
        <f>IF(C95="","SD-"&amp;TEXT(COUNTA($C$5:C95),"000"))</f>
        <v/>
      </c>
      <c r="C95" s="13" t="n"/>
      <c r="D95" s="13" t="n"/>
      <c r="E95" s="13" t="n"/>
      <c r="F95" s="14" t="n"/>
      <c r="G95" s="14" t="n"/>
      <c r="H95" s="14" t="n"/>
      <c r="I95" s="14">
        <f>IF(G95="","",G95-H95)</f>
        <v/>
      </c>
    </row>
    <row r="96" ht="22" customHeight="1">
      <c r="B96" s="17">
        <f>IF(C96="","SD-"&amp;TEXT(COUNTA($C$5:C96),"000"))</f>
        <v/>
      </c>
      <c r="C96" s="15" t="n"/>
      <c r="D96" s="15" t="n"/>
      <c r="E96" s="15" t="n"/>
      <c r="F96" s="16" t="n"/>
      <c r="G96" s="16" t="n"/>
      <c r="H96" s="16" t="n"/>
      <c r="I96" s="16">
        <f>IF(G96="","",G96-H96)</f>
        <v/>
      </c>
    </row>
    <row r="97" ht="22" customHeight="1">
      <c r="B97" s="18">
        <f>IF(C97="","SD-"&amp;TEXT(COUNTA($C$5:C97),"000"))</f>
        <v/>
      </c>
      <c r="C97" s="13" t="n"/>
      <c r="D97" s="13" t="n"/>
      <c r="E97" s="13" t="n"/>
      <c r="F97" s="14" t="n"/>
      <c r="G97" s="14" t="n"/>
      <c r="H97" s="14" t="n"/>
      <c r="I97" s="14">
        <f>IF(G97="","",G97-H97)</f>
        <v/>
      </c>
    </row>
    <row r="98" ht="22" customHeight="1">
      <c r="B98" s="17">
        <f>IF(C98="","SD-"&amp;TEXT(COUNTA($C$5:C98),"000"))</f>
        <v/>
      </c>
      <c r="C98" s="15" t="n"/>
      <c r="D98" s="15" t="n"/>
      <c r="E98" s="15" t="n"/>
      <c r="F98" s="16" t="n"/>
      <c r="G98" s="16" t="n"/>
      <c r="H98" s="16" t="n"/>
      <c r="I98" s="16">
        <f>IF(G98="","",G98-H98)</f>
        <v/>
      </c>
    </row>
    <row r="99" ht="22" customHeight="1">
      <c r="B99" s="18">
        <f>IF(C99="","SD-"&amp;TEXT(COUNTA($C$5:C99),"000"))</f>
        <v/>
      </c>
      <c r="C99" s="13" t="n"/>
      <c r="D99" s="13" t="n"/>
      <c r="E99" s="13" t="n"/>
      <c r="F99" s="14" t="n"/>
      <c r="G99" s="14" t="n"/>
      <c r="H99" s="14" t="n"/>
      <c r="I99" s="14">
        <f>IF(G99="","",G99-H99)</f>
        <v/>
      </c>
    </row>
    <row r="100" ht="22" customHeight="1">
      <c r="B100" s="17">
        <f>IF(C100="","SD-"&amp;TEXT(COUNTA($C$5:C100),"000"))</f>
        <v/>
      </c>
      <c r="C100" s="15" t="n"/>
      <c r="D100" s="15" t="n"/>
      <c r="E100" s="15" t="n"/>
      <c r="F100" s="16" t="n"/>
      <c r="G100" s="16" t="n"/>
      <c r="H100" s="16" t="n"/>
      <c r="I100" s="16">
        <f>IF(G100="","",G100-H100)</f>
        <v/>
      </c>
    </row>
    <row r="101" ht="22" customHeight="1">
      <c r="B101" s="18">
        <f>IF(C101="","SD-"&amp;TEXT(COUNTA($C$5:C101),"000"))</f>
        <v/>
      </c>
      <c r="C101" s="13" t="n"/>
      <c r="D101" s="13" t="n"/>
      <c r="E101" s="13" t="n"/>
      <c r="F101" s="14" t="n"/>
      <c r="G101" s="14" t="n"/>
      <c r="H101" s="14" t="n"/>
      <c r="I101" s="14">
        <f>IF(G101="","",G101-H101)</f>
        <v/>
      </c>
    </row>
    <row r="102" ht="22" customHeight="1">
      <c r="B102" s="17">
        <f>IF(C102="","SD-"&amp;TEXT(COUNTA($C$5:C102),"000"))</f>
        <v/>
      </c>
      <c r="C102" s="15" t="n"/>
      <c r="D102" s="15" t="n"/>
      <c r="E102" s="15" t="n"/>
      <c r="F102" s="16" t="n"/>
      <c r="G102" s="16" t="n"/>
      <c r="H102" s="16" t="n"/>
      <c r="I102" s="16">
        <f>IF(G102="","",G102-H102)</f>
        <v/>
      </c>
    </row>
    <row r="103" ht="22" customHeight="1">
      <c r="B103" s="18">
        <f>IF(C103="","SD-"&amp;TEXT(COUNTA($C$5:C103),"000"))</f>
        <v/>
      </c>
      <c r="C103" s="13" t="n"/>
      <c r="D103" s="13" t="n"/>
      <c r="E103" s="13" t="n"/>
      <c r="F103" s="14" t="n"/>
      <c r="G103" s="14" t="n"/>
      <c r="H103" s="14" t="n"/>
      <c r="I103" s="14">
        <f>IF(G103="","",G103-H103)</f>
        <v/>
      </c>
    </row>
    <row r="104" ht="22" customHeight="1">
      <c r="B104" s="17">
        <f>IF(C104="","SD-"&amp;TEXT(COUNTA($C$5:C104),"000"))</f>
        <v/>
      </c>
      <c r="C104" s="15" t="n"/>
      <c r="D104" s="15" t="n"/>
      <c r="E104" s="15" t="n"/>
      <c r="F104" s="16" t="n"/>
      <c r="G104" s="16" t="n"/>
      <c r="H104" s="16" t="n"/>
      <c r="I104" s="16">
        <f>IF(G104="","",G104-H104)</f>
        <v/>
      </c>
    </row>
    <row r="105" ht="22" customHeight="1">
      <c r="B105" s="18">
        <f>IF(C105="","SD-"&amp;TEXT(COUNTA($C$5:C105),"000"))</f>
        <v/>
      </c>
      <c r="C105" s="13" t="n"/>
      <c r="D105" s="13" t="n"/>
      <c r="E105" s="13" t="n"/>
      <c r="F105" s="14" t="n"/>
      <c r="G105" s="14" t="n"/>
      <c r="H105" s="14" t="n"/>
      <c r="I105" s="14">
        <f>IF(G105="","",G105-H105)</f>
        <v/>
      </c>
    </row>
    <row r="106" ht="22" customHeight="1">
      <c r="B106" s="17">
        <f>IF(C106="","SD-"&amp;TEXT(COUNTA($C$5:C106),"000"))</f>
        <v/>
      </c>
      <c r="C106" s="15" t="n"/>
      <c r="D106" s="15" t="n"/>
      <c r="E106" s="15" t="n"/>
      <c r="F106" s="16" t="n"/>
      <c r="G106" s="16" t="n"/>
      <c r="H106" s="16" t="n"/>
      <c r="I106" s="16">
        <f>IF(G106="","",G106-H106)</f>
        <v/>
      </c>
    </row>
    <row r="107" ht="22" customHeight="1">
      <c r="B107" s="18">
        <f>IF(C107="","SD-"&amp;TEXT(COUNTA($C$5:C107),"000"))</f>
        <v/>
      </c>
      <c r="C107" s="13" t="n"/>
      <c r="D107" s="13" t="n"/>
      <c r="E107" s="13" t="n"/>
      <c r="F107" s="14" t="n"/>
      <c r="G107" s="14" t="n"/>
      <c r="H107" s="14" t="n"/>
      <c r="I107" s="14">
        <f>IF(G107="","",G107-H107)</f>
        <v/>
      </c>
    </row>
    <row r="108" ht="22" customHeight="1">
      <c r="B108" s="17">
        <f>IF(C108="","SD-"&amp;TEXT(COUNTA($C$5:C108),"000"))</f>
        <v/>
      </c>
      <c r="C108" s="15" t="n"/>
      <c r="D108" s="15" t="n"/>
      <c r="E108" s="15" t="n"/>
      <c r="F108" s="16" t="n"/>
      <c r="G108" s="16" t="n"/>
      <c r="H108" s="16" t="n"/>
      <c r="I108" s="16">
        <f>IF(G108="","",G108-H108)</f>
        <v/>
      </c>
    </row>
    <row r="109" ht="22" customHeight="1">
      <c r="B109" s="18">
        <f>IF(C109="","SD-"&amp;TEXT(COUNTA($C$5:C109),"000"))</f>
        <v/>
      </c>
      <c r="C109" s="13" t="n"/>
      <c r="D109" s="13" t="n"/>
      <c r="E109" s="13" t="n"/>
      <c r="F109" s="14" t="n"/>
      <c r="G109" s="14" t="n"/>
      <c r="H109" s="14" t="n"/>
      <c r="I109" s="14">
        <f>IF(G109="","",G109-H109)</f>
        <v/>
      </c>
    </row>
    <row r="110" ht="22" customHeight="1">
      <c r="B110" s="17">
        <f>IF(C110="","SD-"&amp;TEXT(COUNTA($C$5:C110),"000"))</f>
        <v/>
      </c>
      <c r="C110" s="15" t="n"/>
      <c r="D110" s="15" t="n"/>
      <c r="E110" s="15" t="n"/>
      <c r="F110" s="16" t="n"/>
      <c r="G110" s="16" t="n"/>
      <c r="H110" s="16" t="n"/>
      <c r="I110" s="16">
        <f>IF(G110="","",G110-H110)</f>
        <v/>
      </c>
    </row>
    <row r="111" ht="22" customHeight="1">
      <c r="B111" s="18">
        <f>IF(C111="","SD-"&amp;TEXT(COUNTA($C$5:C111),"000"))</f>
        <v/>
      </c>
      <c r="C111" s="13" t="n"/>
      <c r="D111" s="13" t="n"/>
      <c r="E111" s="13" t="n"/>
      <c r="F111" s="14" t="n"/>
      <c r="G111" s="14" t="n"/>
      <c r="H111" s="14" t="n"/>
      <c r="I111" s="14">
        <f>IF(G111="","",G111-H111)</f>
        <v/>
      </c>
    </row>
    <row r="113" ht="26" customHeight="1">
      <c r="B113" s="19" t="inlineStr">
        <is>
          <t>TOTAL</t>
        </is>
      </c>
      <c r="C113" s="20" t="n"/>
      <c r="D113" s="20" t="n"/>
      <c r="E113" s="20" t="n"/>
      <c r="F113" s="21">
        <f>SUM(F5:F104)</f>
        <v/>
      </c>
      <c r="G113" s="21">
        <f>SUM(G5:G104)</f>
        <v/>
      </c>
      <c r="H113" s="21">
        <f>SUM(H5:H104)</f>
        <v/>
      </c>
      <c r="I113" s="21">
        <f>SUM(I5:I104)</f>
        <v/>
      </c>
    </row>
    <row r="115">
      <c r="B115" s="6" t="inlineStr">
        <is>
          <t>INDICATEURS (mis a jour automatiquement)</t>
        </is>
      </c>
    </row>
    <row r="116">
      <c r="B116" s="3" t="inlineStr">
        <is>
          <t>Solde total hotel (j)</t>
        </is>
      </c>
      <c r="D116" s="3" t="inlineStr">
        <is>
          <t>Total droits (j)</t>
        </is>
      </c>
      <c r="F116" s="3" t="inlineStr">
        <is>
          <t>Total pris (j)</t>
        </is>
      </c>
      <c r="H116" s="3" t="inlineStr">
        <is>
          <t>Taux prise moyen</t>
        </is>
      </c>
    </row>
    <row r="117">
      <c r="B117" s="4">
        <f>SUM(I5:I104)</f>
        <v/>
      </c>
      <c r="D117" s="4">
        <f>SUM(G5:G104)</f>
        <v/>
      </c>
      <c r="F117" s="4">
        <f>SUM(H5:H104)</f>
        <v/>
      </c>
      <c r="H117" s="4">
        <f>IFERROR(AVERAGE(H5:H104)/AVERAGE(G5:G104),0)</f>
        <v/>
      </c>
    </row>
  </sheetData>
  <mergeCells count="3">
    <mergeCell ref="B3:I3"/>
    <mergeCell ref="B115:I115"/>
    <mergeCell ref="B2:I2"/>
  </mergeCells>
  <conditionalFormatting sqref="B12:B111">
    <cfRule type="expression" priority="1" dxfId="3">
      <formula>AND($C12="",$C11&lt;&gt;"")</formula>
    </cfRule>
  </conditionalFormatting>
  <conditionalFormatting sqref="C12:C111">
    <cfRule type="expression" priority="2" dxfId="3">
      <formula>AND($C12="",$C11&lt;&gt;"")</formula>
    </cfRule>
  </conditionalFormatting>
  <conditionalFormatting sqref="D12:D111">
    <cfRule type="expression" priority="3" dxfId="3">
      <formula>AND($C12="",$C11&lt;&gt;"")</formula>
    </cfRule>
  </conditionalFormatting>
  <conditionalFormatting sqref="E12:E111">
    <cfRule type="expression" priority="4" dxfId="3">
      <formula>AND($C12="",$C11&lt;&gt;"")</formula>
    </cfRule>
  </conditionalFormatting>
  <conditionalFormatting sqref="F12:F111">
    <cfRule type="expression" priority="5" dxfId="3">
      <formula>AND($C12="",$C11&lt;&gt;"")</formula>
    </cfRule>
  </conditionalFormatting>
  <conditionalFormatting sqref="G12:G111">
    <cfRule type="expression" priority="6" dxfId="3">
      <formula>AND($C12="",$C11&lt;&gt;"")</formula>
    </cfRule>
  </conditionalFormatting>
  <conditionalFormatting sqref="H12:H111">
    <cfRule type="expression" priority="7" dxfId="3">
      <formula>AND($C12="",$C11&lt;&gt;"")</formula>
    </cfRule>
  </conditionalFormatting>
  <conditionalFormatting sqref="I12:I111">
    <cfRule type="expression" priority="8" dxfId="3">
      <formula>AND($C12="",$C11&lt;&gt;"")</formula>
    </cfRule>
  </conditionalFormatting>
  <dataValidations count="3">
    <dataValidation sqref="C5:C111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D5:D111" showDropDown="0" showInputMessage="0" showErrorMessage="0" allowBlank="1" errorTitle="Erreur" error="Valeur invalide" promptTitle="Liste" prompt="Choisir dans la liste" type="list">
      <formula1>'_Lists'!$R$2:$R$13</formula1>
    </dataValidation>
    <dataValidation sqref="E5:E111" showDropDown="0" showInputMessage="0" showErrorMessage="0" allowBlank="1" errorTitle="Erreur" error="Valeur invalide" promptTitle="Liste" prompt="Choisir dans la liste" type="list">
      <formula1>'_Lists'!$S$2:$S$4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18" customWidth="1" min="5" max="5"/>
    <col width="10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15" customHeight="1"/>
    <row r="2" ht="32" customHeight="1">
      <c r="B2" s="1" t="inlineStr">
        <is>
          <t>HISTORIQUE DE PRESENCE ANNUELLE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Annee</t>
        </is>
      </c>
      <c r="G4" s="12" t="inlineStr">
        <is>
          <t>Jours Presence</t>
        </is>
      </c>
      <c r="H4" s="12" t="inlineStr">
        <is>
          <t>Jours Conges</t>
        </is>
      </c>
      <c r="I4" s="12" t="inlineStr">
        <is>
          <t>Jours Maladie</t>
        </is>
      </c>
      <c r="J4" s="12" t="inlineStr">
        <is>
          <t>Jours Absence NJ</t>
        </is>
      </c>
      <c r="K4" s="12" t="inlineStr">
        <is>
          <t>Jours Formation</t>
        </is>
      </c>
      <c r="L4" s="12" t="inlineStr">
        <is>
          <t>Taux Presence (%)</t>
        </is>
      </c>
    </row>
    <row r="5" ht="22" customHeight="1">
      <c r="B5" s="13" t="inlineStr">
        <is>
          <t>HP-001</t>
        </is>
      </c>
      <c r="C5" s="13" t="inlineStr">
        <is>
          <t>EMP-001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2025</t>
        </is>
      </c>
      <c r="G5" s="14" t="n">
        <v>118</v>
      </c>
      <c r="H5" s="14">
        <f>IFERROR(SUMIF('3-Planning Departs Conge'!C:C,C5,'3-Planning Departs Conge'!I:I)+SUMIF('5-Conges Sans Solde'!C:C,C5,'5-Conges Sans Solde'!I:I),0)</f>
        <v/>
      </c>
      <c r="I5" s="14">
        <f>IFERROR(SUMIF('8-Arrets Maladie'!C:C,C5,'8-Arrets Maladie'!I:I)+SUMIF('9-Arrets Accident Travail'!C:C,C5,'9-Arrets Accident Travail'!I:I)+SUMIF('10-Conges Maternite Paternite'!C:C,C5,'10-Conges Maternite Paternite'!J:I),0)</f>
        <v/>
      </c>
      <c r="J5" s="14">
        <f>IFERROR(SUMIF('6-Absences Non Justifiees'!C:C,C5,'6-Absences Non Justifiees'!I:I),0)</f>
        <v/>
      </c>
      <c r="K5" s="14" t="n">
        <v>2</v>
      </c>
      <c r="L5" s="26">
        <f>IFERROR(ROUND(G5/(G5+H5+I5+J5+K5)*100,1),0)</f>
        <v/>
      </c>
    </row>
    <row r="6" ht="22" customHeight="1">
      <c r="B6" s="15" t="inlineStr">
        <is>
          <t>HP-002</t>
        </is>
      </c>
      <c r="C6" s="15" t="inlineStr">
        <is>
          <t>EMP-002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2025</t>
        </is>
      </c>
      <c r="G6" s="16" t="n">
        <v>125</v>
      </c>
      <c r="H6" s="16">
        <f>IFERROR(SUMIF('3-Planning Departs Conge'!C:C,C6,'3-Planning Departs Conge'!I:I)+SUMIF('5-Conges Sans Solde'!C:C,C6,'5-Conges Sans Solde'!I:I),0)</f>
        <v/>
      </c>
      <c r="I6" s="16">
        <f>IFERROR(SUMIF('8-Arrets Maladie'!C:C,C6,'8-Arrets Maladie'!I:I)+SUMIF('9-Arrets Accident Travail'!C:C,C6,'9-Arrets Accident Travail'!I:I)+SUMIF('10-Conges Maternite Paternite'!C:C,C6,'10-Conges Maternite Paternite'!J:I),0)</f>
        <v/>
      </c>
      <c r="J6" s="16">
        <f>IFERROR(SUMIF('6-Absences Non Justifiees'!C:C,C6,'6-Absences Non Justifiees'!I:I),0)</f>
        <v/>
      </c>
      <c r="K6" s="16" t="n">
        <v>1</v>
      </c>
      <c r="L6" s="27">
        <f>IFERROR(ROUND(G6/(G6+H6+I6+J6+K6)*100,1),0)</f>
        <v/>
      </c>
    </row>
    <row r="7" ht="22" customHeight="1">
      <c r="B7" s="13" t="inlineStr">
        <is>
          <t>HP-003</t>
        </is>
      </c>
      <c r="C7" s="13" t="inlineStr">
        <is>
          <t>EMP-003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2025</t>
        </is>
      </c>
      <c r="G7" s="14" t="n">
        <v>112</v>
      </c>
      <c r="H7" s="14">
        <f>IFERROR(SUMIF('3-Planning Departs Conge'!C:C,C7,'3-Planning Departs Conge'!I:I)+SUMIF('5-Conges Sans Solde'!C:C,C7,'5-Conges Sans Solde'!I:I),0)</f>
        <v/>
      </c>
      <c r="I7" s="14">
        <f>IFERROR(SUMIF('8-Arrets Maladie'!C:C,C7,'8-Arrets Maladie'!I:I)+SUMIF('9-Arrets Accident Travail'!C:C,C7,'9-Arrets Accident Travail'!I:I)+SUMIF('10-Conges Maternite Paternite'!C:C,C7,'10-Conges Maternite Paternite'!J:I),0)</f>
        <v/>
      </c>
      <c r="J7" s="14">
        <f>IFERROR(SUMIF('6-Absences Non Justifiees'!C:C,C7,'6-Absences Non Justifiees'!I:I),0)</f>
        <v/>
      </c>
      <c r="K7" s="14" t="n">
        <v>1</v>
      </c>
      <c r="L7" s="26">
        <f>IFERROR(ROUND(G7/(G7+H7+I7+J7+K7)*100,1),0)</f>
        <v/>
      </c>
    </row>
    <row r="8" ht="22" customHeight="1">
      <c r="B8" s="15" t="inlineStr">
        <is>
          <t>HP-004</t>
        </is>
      </c>
      <c r="C8" s="15" t="inlineStr">
        <is>
          <t>EMP-004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2025</t>
        </is>
      </c>
      <c r="G8" s="16" t="n">
        <v>115</v>
      </c>
      <c r="H8" s="16">
        <f>IFERROR(SUMIF('3-Planning Departs Conge'!C:C,C8,'3-Planning Departs Conge'!I:I)+SUMIF('5-Conges Sans Solde'!C:C,C8,'5-Conges Sans Solde'!I:I),0)</f>
        <v/>
      </c>
      <c r="I8" s="16">
        <f>IFERROR(SUMIF('8-Arrets Maladie'!C:C,C8,'8-Arrets Maladie'!I:I)+SUMIF('9-Arrets Accident Travail'!C:C,C8,'9-Arrets Accident Travail'!I:I)+SUMIF('10-Conges Maternite Paternite'!C:C,C8,'10-Conges Maternite Paternite'!J:I),0)</f>
        <v/>
      </c>
      <c r="J8" s="16">
        <f>IFERROR(SUMIF('6-Absences Non Justifiees'!C:C,C8,'6-Absences Non Justifiees'!I:I),0)</f>
        <v/>
      </c>
      <c r="K8" s="16" t="n">
        <v>0</v>
      </c>
      <c r="L8" s="27">
        <f>IFERROR(ROUND(G8/(G8+H8+I8+J8+K8)*100,1),0)</f>
        <v/>
      </c>
    </row>
    <row r="9" ht="22" customHeight="1">
      <c r="B9" s="13" t="inlineStr">
        <is>
          <t>HP-005</t>
        </is>
      </c>
      <c r="C9" s="13" t="inlineStr">
        <is>
          <t>EMP-005</t>
        </is>
      </c>
      <c r="D9" s="13">
        <f>IF(C9="","",VLOOKUP(C9,'_Données Employés'!$B$5:$H$18,4,FALSE)&amp;" "&amp;VLOOKUP(C9,'_Données Employés'!$B$5:$H$18,5,FALSE))</f>
        <v/>
      </c>
      <c r="E9" s="13">
        <f>IF(C9="","",VLOOKUP(C9,'_Données Employés'!$B$5:$H$18,6,FALSE))</f>
        <v/>
      </c>
      <c r="F9" s="13" t="inlineStr">
        <is>
          <t>2025</t>
        </is>
      </c>
      <c r="G9" s="14" t="n">
        <v>108</v>
      </c>
      <c r="H9" s="14">
        <f>IFERROR(SUMIF('3-Planning Departs Conge'!C:C,C9,'3-Planning Departs Conge'!I:I)+SUMIF('5-Conges Sans Solde'!C:C,C9,'5-Conges Sans Solde'!I:I),0)</f>
        <v/>
      </c>
      <c r="I9" s="14">
        <f>IFERROR(SUMIF('8-Arrets Maladie'!C:C,C9,'8-Arrets Maladie'!I:I)+SUMIF('9-Arrets Accident Travail'!C:C,C9,'9-Arrets Accident Travail'!I:I)+SUMIF('10-Conges Maternite Paternite'!C:C,C9,'10-Conges Maternite Paternite'!J:I),0)</f>
        <v/>
      </c>
      <c r="J9" s="14">
        <f>IFERROR(SUMIF('6-Absences Non Justifiees'!C:C,C9,'6-Absences Non Justifiees'!I:I),0)</f>
        <v/>
      </c>
      <c r="K9" s="14" t="n">
        <v>1</v>
      </c>
      <c r="L9" s="26">
        <f>IFERROR(ROUND(G9/(G9+H9+I9+J9+K9)*100,1),0)</f>
        <v/>
      </c>
    </row>
    <row r="10" ht="22" customHeight="1">
      <c r="B10" s="13" t="inlineStr">
        <is>
          <t>HP-028</t>
        </is>
      </c>
      <c r="C10" s="13" t="inlineStr">
        <is>
          <t>EMP-028</t>
        </is>
      </c>
      <c r="D10" s="13">
        <f>IF(C10="","",VLOOKUP(C10,'_Données Employés'!$B$5:$H$18,4,FALSE)&amp;" "&amp;VLOOKUP(C10,'_Données Employés'!$B$5:$H$18,5,FALSE))</f>
        <v/>
      </c>
      <c r="E10" s="13">
        <f>IF(C10="","",VLOOKUP(C10,'_Données Employés'!$B$5:$H$18,6,FALSE))</f>
        <v/>
      </c>
      <c r="F10" s="13" t="inlineStr">
        <is>
          <t>2025</t>
        </is>
      </c>
      <c r="G10" s="14" t="inlineStr">
        <is>
          <t>120</t>
        </is>
      </c>
      <c r="H10" s="14">
        <f>IFERROR(SUMIF('3-Planning Departs Conge'!C:C,C10,'3-Planning Departs Conge'!I:I)+SUMIF('5-Conges Sans Solde'!C:C,C10,'5-Conges Sans Solde'!I:I),0)</f>
        <v/>
      </c>
      <c r="I10" s="14">
        <f>IFERROR(SUMIF('8-Arrets Maladie'!C:C,C10,'8-Arrets Maladie'!I:I)+SUMIF('9-Arrets Accident Travail'!C:C,C10,'9-Arrets Accident Travail'!I:I)+SUMIF('10-Conges Maternite Paternite'!C:C,C10,'10-Conges Maternite Paternite'!J:I),0)</f>
        <v/>
      </c>
      <c r="J10" s="14">
        <f>IFERROR(SUMIF('6-Absences Non Justifiees'!C:C,C10,'6-Absences Non Justifiees'!I:I),0)</f>
        <v/>
      </c>
      <c r="K10" s="14" t="inlineStr">
        <is>
          <t>0</t>
        </is>
      </c>
      <c r="L10" s="26">
        <f>IFERROR(ROUND(G10/(G10+H10+I10+J10+K10)*100,1),0)</f>
        <v/>
      </c>
    </row>
    <row r="11" ht="22" customHeight="1">
      <c r="B11" s="13" t="inlineStr">
        <is>
          <t>HP-029</t>
        </is>
      </c>
      <c r="C11" s="13" t="inlineStr">
        <is>
          <t>EMP-029</t>
        </is>
      </c>
      <c r="D11" s="13">
        <f>IF(C11="","",VLOOKUP(C11,'_Données Employés'!$B$5:$H$18,4,FALSE)&amp;" "&amp;VLOOKUP(C11,'_Données Employés'!$B$5:$H$18,5,FALSE))</f>
        <v/>
      </c>
      <c r="E11" s="13">
        <f>IF(C11="","",VLOOKUP(C11,'_Données Employés'!$B$5:$H$18,6,FALSE))</f>
        <v/>
      </c>
      <c r="F11" s="13" t="inlineStr">
        <is>
          <t>2025</t>
        </is>
      </c>
      <c r="G11" s="14" t="inlineStr">
        <is>
          <t>120</t>
        </is>
      </c>
      <c r="H11" s="14">
        <f>IFERROR(SUMIF('3-Planning Departs Conge'!C:C,C11,'3-Planning Departs Conge'!I:I)+SUMIF('5-Conges Sans Solde'!C:C,C11,'5-Conges Sans Solde'!I:I),0)</f>
        <v/>
      </c>
      <c r="I11" s="14">
        <f>IFERROR(SUMIF('8-Arrets Maladie'!C:C,C11,'8-Arrets Maladie'!I:I)+SUMIF('9-Arrets Accident Travail'!C:C,C11,'9-Arrets Accident Travail'!I:I)+SUMIF('10-Conges Maternite Paternite'!C:C,C11,'10-Conges Maternite Paternite'!J:I),0)</f>
        <v/>
      </c>
      <c r="J11" s="14">
        <f>IFERROR(SUMIF('6-Absences Non Justifiees'!C:C,C11,'6-Absences Non Justifiees'!I:I),0)</f>
        <v/>
      </c>
      <c r="K11" s="14" t="inlineStr">
        <is>
          <t>0</t>
        </is>
      </c>
      <c r="L11" s="26">
        <f>IFERROR(ROUND(G11/(G11+H11+I11+J11+K11)*100,1),0)</f>
        <v/>
      </c>
    </row>
    <row r="12" ht="22" customHeight="1">
      <c r="B12" s="17">
        <f>IF(C12="","HP-"&amp;TEXT(COUNTA($C$5:C12),"000"))</f>
        <v/>
      </c>
      <c r="C12" s="15" t="n"/>
      <c r="D12" s="15" t="n"/>
      <c r="E12" s="15" t="n"/>
      <c r="F12" s="15" t="n"/>
      <c r="G12" s="16" t="n"/>
      <c r="H12" s="16" t="n"/>
      <c r="I12" s="16" t="n"/>
      <c r="J12" s="16" t="n"/>
      <c r="K12" s="16" t="n"/>
      <c r="L12" s="27">
        <f>IF(G12="","",IF((G12+H12+I12+J12+K12)=0,"",G12/(G12+H12+I12+J12+K12)))</f>
        <v/>
      </c>
    </row>
    <row r="13" ht="22" customHeight="1">
      <c r="B13" s="18">
        <f>IF(C13="","HP-"&amp;TEXT(COUNTA($C$5:C13),"000"))</f>
        <v/>
      </c>
      <c r="C13" s="13" t="n"/>
      <c r="D13" s="13" t="n"/>
      <c r="E13" s="13" t="n"/>
      <c r="F13" s="13" t="n"/>
      <c r="G13" s="14" t="n"/>
      <c r="H13" s="14" t="n"/>
      <c r="I13" s="14" t="n"/>
      <c r="J13" s="14" t="n"/>
      <c r="K13" s="14" t="n"/>
      <c r="L13" s="26">
        <f>IF(G13="","",IF((G13+H13+I13+J13+K13)=0,"",G13/(G13+H13+I13+J13+K13)))</f>
        <v/>
      </c>
    </row>
    <row r="14" ht="22" customHeight="1">
      <c r="B14" s="17">
        <f>IF(C14="","HP-"&amp;TEXT(COUNTA($C$5:C14),"000"))</f>
        <v/>
      </c>
      <c r="C14" s="15" t="n"/>
      <c r="D14" s="15" t="n"/>
      <c r="E14" s="15" t="n"/>
      <c r="F14" s="15" t="n"/>
      <c r="G14" s="16" t="n"/>
      <c r="H14" s="16" t="n"/>
      <c r="I14" s="16" t="n"/>
      <c r="J14" s="16" t="n"/>
      <c r="K14" s="16" t="n"/>
      <c r="L14" s="27">
        <f>IF(G14="","",IF((G14+H14+I14+J14+K14)=0,"",G14/(G14+H14+I14+J14+K14)))</f>
        <v/>
      </c>
    </row>
    <row r="15" ht="22" customHeight="1">
      <c r="B15" s="18">
        <f>IF(C15="","HP-"&amp;TEXT(COUNTA($C$5:C15),"000"))</f>
        <v/>
      </c>
      <c r="C15" s="13" t="n"/>
      <c r="D15" s="13" t="n"/>
      <c r="E15" s="13" t="n"/>
      <c r="F15" s="13" t="n"/>
      <c r="G15" s="14" t="n"/>
      <c r="H15" s="14" t="n"/>
      <c r="I15" s="14" t="n"/>
      <c r="J15" s="14" t="n"/>
      <c r="K15" s="14" t="n"/>
      <c r="L15" s="26">
        <f>IF(G15="","",IF((G15+H15+I15+J15+K15)=0,"",G15/(G15+H15+I15+J15+K15)))</f>
        <v/>
      </c>
    </row>
    <row r="16" ht="22" customHeight="1">
      <c r="B16" s="17">
        <f>IF(C16="","HP-"&amp;TEXT(COUNTA($C$5:C16),"000"))</f>
        <v/>
      </c>
      <c r="C16" s="15" t="n"/>
      <c r="D16" s="15" t="n"/>
      <c r="E16" s="15" t="n"/>
      <c r="F16" s="15" t="n"/>
      <c r="G16" s="16" t="n"/>
      <c r="H16" s="16" t="n"/>
      <c r="I16" s="16" t="n"/>
      <c r="J16" s="16" t="n"/>
      <c r="K16" s="16" t="n"/>
      <c r="L16" s="27">
        <f>IF(G16="","",IF((G16+H16+I16+J16+K16)=0,"",G16/(G16+H16+I16+J16+K16)))</f>
        <v/>
      </c>
    </row>
    <row r="17" ht="22" customHeight="1">
      <c r="B17" s="18">
        <f>IF(C17="","HP-"&amp;TEXT(COUNTA($C$5:C17),"000"))</f>
        <v/>
      </c>
      <c r="C17" s="13" t="n"/>
      <c r="D17" s="13" t="n"/>
      <c r="E17" s="13" t="n"/>
      <c r="F17" s="13" t="n"/>
      <c r="G17" s="14" t="n"/>
      <c r="H17" s="14" t="n"/>
      <c r="I17" s="14" t="n"/>
      <c r="J17" s="14" t="n"/>
      <c r="K17" s="14" t="n"/>
      <c r="L17" s="26">
        <f>IF(G17="","",IF((G17+H17+I17+J17+K17)=0,"",G17/(G17+H17+I17+J17+K17)))</f>
        <v/>
      </c>
    </row>
    <row r="18" ht="22" customHeight="1">
      <c r="B18" s="17">
        <f>IF(C18="","HP-"&amp;TEXT(COUNTA($C$5:C18),"000"))</f>
        <v/>
      </c>
      <c r="C18" s="15" t="n"/>
      <c r="D18" s="15" t="n"/>
      <c r="E18" s="15" t="n"/>
      <c r="F18" s="15" t="n"/>
      <c r="G18" s="16" t="n"/>
      <c r="H18" s="16" t="n"/>
      <c r="I18" s="16" t="n"/>
      <c r="J18" s="16" t="n"/>
      <c r="K18" s="16" t="n"/>
      <c r="L18" s="27">
        <f>IF(G18="","",IF((G18+H18+I18+J18+K18)=0,"",G18/(G18+H18+I18+J18+K18)))</f>
        <v/>
      </c>
    </row>
    <row r="19" ht="22" customHeight="1">
      <c r="B19" s="18">
        <f>IF(C19="","HP-"&amp;TEXT(COUNTA($C$5:C19),"000"))</f>
        <v/>
      </c>
      <c r="C19" s="13" t="n"/>
      <c r="D19" s="13" t="n"/>
      <c r="E19" s="13" t="n"/>
      <c r="F19" s="13" t="n"/>
      <c r="G19" s="14" t="n"/>
      <c r="H19" s="14" t="n"/>
      <c r="I19" s="14" t="n"/>
      <c r="J19" s="14" t="n"/>
      <c r="K19" s="14" t="n"/>
      <c r="L19" s="26">
        <f>IF(G19="","",IF((G19+H19+I19+J19+K19)=0,"",G19/(G19+H19+I19+J19+K19)))</f>
        <v/>
      </c>
    </row>
    <row r="20" ht="22" customHeight="1">
      <c r="B20" s="17">
        <f>IF(C20="","HP-"&amp;TEXT(COUNTA($C$5:C20),"000"))</f>
        <v/>
      </c>
      <c r="C20" s="15" t="n"/>
      <c r="D20" s="15" t="n"/>
      <c r="E20" s="15" t="n"/>
      <c r="F20" s="15" t="n"/>
      <c r="G20" s="16" t="n"/>
      <c r="H20" s="16" t="n"/>
      <c r="I20" s="16" t="n"/>
      <c r="J20" s="16" t="n"/>
      <c r="K20" s="16" t="n"/>
      <c r="L20" s="27">
        <f>IF(G20="","",IF((G20+H20+I20+J20+K20)=0,"",G20/(G20+H20+I20+J20+K20)))</f>
        <v/>
      </c>
    </row>
    <row r="21" ht="22" customHeight="1">
      <c r="B21" s="18">
        <f>IF(C21="","HP-"&amp;TEXT(COUNTA($C$5:C21),"000"))</f>
        <v/>
      </c>
      <c r="C21" s="13" t="n"/>
      <c r="D21" s="13" t="n"/>
      <c r="E21" s="13" t="n"/>
      <c r="F21" s="13" t="n"/>
      <c r="G21" s="14" t="n"/>
      <c r="H21" s="14" t="n"/>
      <c r="I21" s="14" t="n"/>
      <c r="J21" s="14" t="n"/>
      <c r="K21" s="14" t="n"/>
      <c r="L21" s="26">
        <f>IF(G21="","",IF((G21+H21+I21+J21+K21)=0,"",G21/(G21+H21+I21+J21+K21)))</f>
        <v/>
      </c>
    </row>
    <row r="22" ht="22" customHeight="1">
      <c r="B22" s="17">
        <f>IF(C22="","HP-"&amp;TEXT(COUNTA($C$5:C22),"000"))</f>
        <v/>
      </c>
      <c r="C22" s="15" t="n"/>
      <c r="D22" s="15" t="n"/>
      <c r="E22" s="15" t="n"/>
      <c r="F22" s="15" t="n"/>
      <c r="G22" s="16" t="n"/>
      <c r="H22" s="16" t="n"/>
      <c r="I22" s="16" t="n"/>
      <c r="J22" s="16" t="n"/>
      <c r="K22" s="16" t="n"/>
      <c r="L22" s="27">
        <f>IF(G22="","",IF((G22+H22+I22+J22+K22)=0,"",G22/(G22+H22+I22+J22+K22)))</f>
        <v/>
      </c>
    </row>
    <row r="23" ht="22" customHeight="1">
      <c r="B23" s="18">
        <f>IF(C23="","HP-"&amp;TEXT(COUNTA($C$5:C23),"000"))</f>
        <v/>
      </c>
      <c r="C23" s="13" t="n"/>
      <c r="D23" s="13" t="n"/>
      <c r="E23" s="13" t="n"/>
      <c r="F23" s="13" t="n"/>
      <c r="G23" s="14" t="n"/>
      <c r="H23" s="14" t="n"/>
      <c r="I23" s="14" t="n"/>
      <c r="J23" s="14" t="n"/>
      <c r="K23" s="14" t="n"/>
      <c r="L23" s="26">
        <f>IF(G23="","",IF((G23+H23+I23+J23+K23)=0,"",G23/(G23+H23+I23+J23+K23)))</f>
        <v/>
      </c>
    </row>
    <row r="24" ht="22" customHeight="1">
      <c r="B24" s="17">
        <f>IF(C24="","HP-"&amp;TEXT(COUNTA($C$5:C24),"000"))</f>
        <v/>
      </c>
      <c r="C24" s="15" t="n"/>
      <c r="D24" s="15" t="n"/>
      <c r="E24" s="15" t="n"/>
      <c r="F24" s="15" t="n"/>
      <c r="G24" s="16" t="n"/>
      <c r="H24" s="16" t="n"/>
      <c r="I24" s="16" t="n"/>
      <c r="J24" s="16" t="n"/>
      <c r="K24" s="16" t="n"/>
      <c r="L24" s="27">
        <f>IF(G24="","",IF((G24+H24+I24+J24+K24)=0,"",G24/(G24+H24+I24+J24+K24)))</f>
        <v/>
      </c>
    </row>
    <row r="25" ht="22" customHeight="1">
      <c r="B25" s="18">
        <f>IF(C25="","HP-"&amp;TEXT(COUNTA($C$5:C25),"000"))</f>
        <v/>
      </c>
      <c r="C25" s="13" t="n"/>
      <c r="D25" s="13" t="n"/>
      <c r="E25" s="13" t="n"/>
      <c r="F25" s="13" t="n"/>
      <c r="G25" s="14" t="n"/>
      <c r="H25" s="14" t="n"/>
      <c r="I25" s="14" t="n"/>
      <c r="J25" s="14" t="n"/>
      <c r="K25" s="14" t="n"/>
      <c r="L25" s="26">
        <f>IF(G25="","",IF((G25+H25+I25+J25+K25)=0,"",G25/(G25+H25+I25+J25+K25)))</f>
        <v/>
      </c>
    </row>
    <row r="26" ht="22" customHeight="1">
      <c r="B26" s="17">
        <f>IF(C26="","HP-"&amp;TEXT(COUNTA($C$5:C26),"000"))</f>
        <v/>
      </c>
      <c r="C26" s="15" t="n"/>
      <c r="D26" s="15" t="n"/>
      <c r="E26" s="15" t="n"/>
      <c r="F26" s="15" t="n"/>
      <c r="G26" s="16" t="n"/>
      <c r="H26" s="16" t="n"/>
      <c r="I26" s="16" t="n"/>
      <c r="J26" s="16" t="n"/>
      <c r="K26" s="16" t="n"/>
      <c r="L26" s="27">
        <f>IF(G26="","",IF((G26+H26+I26+J26+K26)=0,"",G26/(G26+H26+I26+J26+K26)))</f>
        <v/>
      </c>
    </row>
    <row r="27" ht="22" customHeight="1">
      <c r="B27" s="18">
        <f>IF(C27="","HP-"&amp;TEXT(COUNTA($C$5:C27),"000"))</f>
        <v/>
      </c>
      <c r="C27" s="13" t="n"/>
      <c r="D27" s="13" t="n"/>
      <c r="E27" s="13" t="n"/>
      <c r="F27" s="13" t="n"/>
      <c r="G27" s="14" t="n"/>
      <c r="H27" s="14" t="n"/>
      <c r="I27" s="14" t="n"/>
      <c r="J27" s="14" t="n"/>
      <c r="K27" s="14" t="n"/>
      <c r="L27" s="26">
        <f>IF(G27="","",IF((G27+H27+I27+J27+K27)=0,"",G27/(G27+H27+I27+J27+K27)))</f>
        <v/>
      </c>
    </row>
    <row r="28" ht="22" customHeight="1">
      <c r="B28" s="17">
        <f>IF(C28="","HP-"&amp;TEXT(COUNTA($C$5:C28),"000"))</f>
        <v/>
      </c>
      <c r="C28" s="15" t="n"/>
      <c r="D28" s="15" t="n"/>
      <c r="E28" s="15" t="n"/>
      <c r="F28" s="15" t="n"/>
      <c r="G28" s="16" t="n"/>
      <c r="H28" s="16" t="n"/>
      <c r="I28" s="16" t="n"/>
      <c r="J28" s="16" t="n"/>
      <c r="K28" s="16" t="n"/>
      <c r="L28" s="27">
        <f>IF(G28="","",IF((G28+H28+I28+J28+K28)=0,"",G28/(G28+H28+I28+J28+K28)))</f>
        <v/>
      </c>
    </row>
    <row r="29" ht="22" customHeight="1">
      <c r="B29" s="18">
        <f>IF(C29="","HP-"&amp;TEXT(COUNTA($C$5:C29),"000"))</f>
        <v/>
      </c>
      <c r="C29" s="13" t="n"/>
      <c r="D29" s="13" t="n"/>
      <c r="E29" s="13" t="n"/>
      <c r="F29" s="13" t="n"/>
      <c r="G29" s="14" t="n"/>
      <c r="H29" s="14" t="n"/>
      <c r="I29" s="14" t="n"/>
      <c r="J29" s="14" t="n"/>
      <c r="K29" s="14" t="n"/>
      <c r="L29" s="26">
        <f>IF(G29="","",IF((G29+H29+I29+J29+K29)=0,"",G29/(G29+H29+I29+J29+K29)))</f>
        <v/>
      </c>
    </row>
    <row r="30" ht="22" customHeight="1">
      <c r="B30" s="17">
        <f>IF(C30="","HP-"&amp;TEXT(COUNTA($C$5:C30),"000"))</f>
        <v/>
      </c>
      <c r="C30" s="15" t="n"/>
      <c r="D30" s="15" t="n"/>
      <c r="E30" s="15" t="n"/>
      <c r="F30" s="15" t="n"/>
      <c r="G30" s="16" t="n"/>
      <c r="H30" s="16" t="n"/>
      <c r="I30" s="16" t="n"/>
      <c r="J30" s="16" t="n"/>
      <c r="K30" s="16" t="n"/>
      <c r="L30" s="27">
        <f>IF(G30="","",IF((G30+H30+I30+J30+K30)=0,"",G30/(G30+H30+I30+J30+K30)))</f>
        <v/>
      </c>
    </row>
    <row r="31" ht="22" customHeight="1">
      <c r="B31" s="18">
        <f>IF(C31="","HP-"&amp;TEXT(COUNTA($C$5:C31),"000"))</f>
        <v/>
      </c>
      <c r="C31" s="13" t="n"/>
      <c r="D31" s="13" t="n"/>
      <c r="E31" s="13" t="n"/>
      <c r="F31" s="13" t="n"/>
      <c r="G31" s="14" t="n"/>
      <c r="H31" s="14" t="n"/>
      <c r="I31" s="14" t="n"/>
      <c r="J31" s="14" t="n"/>
      <c r="K31" s="14" t="n"/>
      <c r="L31" s="26">
        <f>IF(G31="","",IF((G31+H31+I31+J31+K31)=0,"",G31/(G31+H31+I31+J31+K31)))</f>
        <v/>
      </c>
    </row>
    <row r="32" ht="22" customHeight="1">
      <c r="B32" s="17">
        <f>IF(C32="","HP-"&amp;TEXT(COUNTA($C$5:C32),"000"))</f>
        <v/>
      </c>
      <c r="C32" s="15" t="n"/>
      <c r="D32" s="15" t="n"/>
      <c r="E32" s="15" t="n"/>
      <c r="F32" s="15" t="n"/>
      <c r="G32" s="16" t="n"/>
      <c r="H32" s="16" t="n"/>
      <c r="I32" s="16" t="n"/>
      <c r="J32" s="16" t="n"/>
      <c r="K32" s="16" t="n"/>
      <c r="L32" s="27">
        <f>IF(G32="","",IF((G32+H32+I32+J32+K32)=0,"",G32/(G32+H32+I32+J32+K32)))</f>
        <v/>
      </c>
    </row>
    <row r="33" ht="22" customHeight="1">
      <c r="B33" s="18">
        <f>IF(C33="","HP-"&amp;TEXT(COUNTA($C$5:C33),"000"))</f>
        <v/>
      </c>
      <c r="C33" s="13" t="n"/>
      <c r="D33" s="13" t="n"/>
      <c r="E33" s="13" t="n"/>
      <c r="F33" s="13" t="n"/>
      <c r="G33" s="14" t="n"/>
      <c r="H33" s="14" t="n"/>
      <c r="I33" s="14" t="n"/>
      <c r="J33" s="14" t="n"/>
      <c r="K33" s="14" t="n"/>
      <c r="L33" s="26">
        <f>IF(G33="","",IF((G33+H33+I33+J33+K33)=0,"",G33/(G33+H33+I33+J33+K33)))</f>
        <v/>
      </c>
    </row>
    <row r="34" ht="22" customHeight="1">
      <c r="B34" s="17">
        <f>IF(C34="","HP-"&amp;TEXT(COUNTA($C$5:C34),"000"))</f>
        <v/>
      </c>
      <c r="C34" s="15" t="n"/>
      <c r="D34" s="15" t="n"/>
      <c r="E34" s="15" t="n"/>
      <c r="F34" s="15" t="n"/>
      <c r="G34" s="16" t="n"/>
      <c r="H34" s="16" t="n"/>
      <c r="I34" s="16" t="n"/>
      <c r="J34" s="16" t="n"/>
      <c r="K34" s="16" t="n"/>
      <c r="L34" s="27">
        <f>IF(G34="","",IF((G34+H34+I34+J34+K34)=0,"",G34/(G34+H34+I34+J34+K34)))</f>
        <v/>
      </c>
    </row>
    <row r="35" ht="22" customHeight="1">
      <c r="B35" s="18">
        <f>IF(C35="","HP-"&amp;TEXT(COUNTA($C$5:C35),"000"))</f>
        <v/>
      </c>
      <c r="C35" s="13" t="n"/>
      <c r="D35" s="13" t="n"/>
      <c r="E35" s="13" t="n"/>
      <c r="F35" s="13" t="n"/>
      <c r="G35" s="14" t="n"/>
      <c r="H35" s="14" t="n"/>
      <c r="I35" s="14" t="n"/>
      <c r="J35" s="14" t="n"/>
      <c r="K35" s="14" t="n"/>
      <c r="L35" s="26">
        <f>IF(G35="","",IF((G35+H35+I35+J35+K35)=0,"",G35/(G35+H35+I35+J35+K35)))</f>
        <v/>
      </c>
    </row>
    <row r="36" ht="22" customHeight="1">
      <c r="B36" s="17">
        <f>IF(C36="","HP-"&amp;TEXT(COUNTA($C$5:C36),"000"))</f>
        <v/>
      </c>
      <c r="C36" s="15" t="n"/>
      <c r="D36" s="15" t="n"/>
      <c r="E36" s="15" t="n"/>
      <c r="F36" s="15" t="n"/>
      <c r="G36" s="16" t="n"/>
      <c r="H36" s="16" t="n"/>
      <c r="I36" s="16" t="n"/>
      <c r="J36" s="16" t="n"/>
      <c r="K36" s="16" t="n"/>
      <c r="L36" s="27">
        <f>IF(G36="","",IF((G36+H36+I36+J36+K36)=0,"",G36/(G36+H36+I36+J36+K36)))</f>
        <v/>
      </c>
    </row>
    <row r="37" ht="22" customHeight="1">
      <c r="B37" s="18">
        <f>IF(C37="","HP-"&amp;TEXT(COUNTA($C$5:C37),"000"))</f>
        <v/>
      </c>
      <c r="C37" s="13" t="n"/>
      <c r="D37" s="13" t="n"/>
      <c r="E37" s="13" t="n"/>
      <c r="F37" s="13" t="n"/>
      <c r="G37" s="14" t="n"/>
      <c r="H37" s="14" t="n"/>
      <c r="I37" s="14" t="n"/>
      <c r="J37" s="14" t="n"/>
      <c r="K37" s="14" t="n"/>
      <c r="L37" s="26">
        <f>IF(G37="","",IF((G37+H37+I37+J37+K37)=0,"",G37/(G37+H37+I37+J37+K37)))</f>
        <v/>
      </c>
    </row>
    <row r="38" ht="22" customHeight="1">
      <c r="B38" s="17">
        <f>IF(C38="","HP-"&amp;TEXT(COUNTA($C$5:C38),"000"))</f>
        <v/>
      </c>
      <c r="C38" s="15" t="n"/>
      <c r="D38" s="15" t="n"/>
      <c r="E38" s="15" t="n"/>
      <c r="F38" s="15" t="n"/>
      <c r="G38" s="16" t="n"/>
      <c r="H38" s="16" t="n"/>
      <c r="I38" s="16" t="n"/>
      <c r="J38" s="16" t="n"/>
      <c r="K38" s="16" t="n"/>
      <c r="L38" s="27">
        <f>IF(G38="","",IF((G38+H38+I38+J38+K38)=0,"",G38/(G38+H38+I38+J38+K38)))</f>
        <v/>
      </c>
    </row>
    <row r="39" ht="22" customHeight="1">
      <c r="B39" s="18">
        <f>IF(C39="","HP-"&amp;TEXT(COUNTA($C$5:C39),"000"))</f>
        <v/>
      </c>
      <c r="C39" s="13" t="n"/>
      <c r="D39" s="13" t="n"/>
      <c r="E39" s="13" t="n"/>
      <c r="F39" s="13" t="n"/>
      <c r="G39" s="14" t="n"/>
      <c r="H39" s="14" t="n"/>
      <c r="I39" s="14" t="n"/>
      <c r="J39" s="14" t="n"/>
      <c r="K39" s="14" t="n"/>
      <c r="L39" s="26">
        <f>IF(G39="","",IF((G39+H39+I39+J39+K39)=0,"",G39/(G39+H39+I39+J39+K39)))</f>
        <v/>
      </c>
    </row>
    <row r="40" ht="22" customHeight="1">
      <c r="B40" s="17">
        <f>IF(C40="","HP-"&amp;TEXT(COUNTA($C$5:C40),"000"))</f>
        <v/>
      </c>
      <c r="C40" s="15" t="n"/>
      <c r="D40" s="15" t="n"/>
      <c r="E40" s="15" t="n"/>
      <c r="F40" s="15" t="n"/>
      <c r="G40" s="16" t="n"/>
      <c r="H40" s="16" t="n"/>
      <c r="I40" s="16" t="n"/>
      <c r="J40" s="16" t="n"/>
      <c r="K40" s="16" t="n"/>
      <c r="L40" s="27">
        <f>IF(G40="","",IF((G40+H40+I40+J40+K40)=0,"",G40/(G40+H40+I40+J40+K40)))</f>
        <v/>
      </c>
    </row>
    <row r="41" ht="22" customHeight="1">
      <c r="B41" s="18">
        <f>IF(C41="","HP-"&amp;TEXT(COUNTA($C$5:C41),"000"))</f>
        <v/>
      </c>
      <c r="C41" s="13" t="n"/>
      <c r="D41" s="13" t="n"/>
      <c r="E41" s="13" t="n"/>
      <c r="F41" s="13" t="n"/>
      <c r="G41" s="14" t="n"/>
      <c r="H41" s="14" t="n"/>
      <c r="I41" s="14" t="n"/>
      <c r="J41" s="14" t="n"/>
      <c r="K41" s="14" t="n"/>
      <c r="L41" s="26">
        <f>IF(G41="","",IF((G41+H41+I41+J41+K41)=0,"",G41/(G41+H41+I41+J41+K41)))</f>
        <v/>
      </c>
    </row>
    <row r="42" ht="22" customHeight="1">
      <c r="B42" s="17">
        <f>IF(C42="","HP-"&amp;TEXT(COUNTA($C$5:C42),"000"))</f>
        <v/>
      </c>
      <c r="C42" s="15" t="n"/>
      <c r="D42" s="15" t="n"/>
      <c r="E42" s="15" t="n"/>
      <c r="F42" s="15" t="n"/>
      <c r="G42" s="16" t="n"/>
      <c r="H42" s="16" t="n"/>
      <c r="I42" s="16" t="n"/>
      <c r="J42" s="16" t="n"/>
      <c r="K42" s="16" t="n"/>
      <c r="L42" s="27">
        <f>IF(G42="","",IF((G42+H42+I42+J42+K42)=0,"",G42/(G42+H42+I42+J42+K42)))</f>
        <v/>
      </c>
    </row>
    <row r="43" ht="22" customHeight="1">
      <c r="B43" s="18">
        <f>IF(C43="","HP-"&amp;TEXT(COUNTA($C$5:C43),"000"))</f>
        <v/>
      </c>
      <c r="C43" s="13" t="n"/>
      <c r="D43" s="13" t="n"/>
      <c r="E43" s="13" t="n"/>
      <c r="F43" s="13" t="n"/>
      <c r="G43" s="14" t="n"/>
      <c r="H43" s="14" t="n"/>
      <c r="I43" s="14" t="n"/>
      <c r="J43" s="14" t="n"/>
      <c r="K43" s="14" t="n"/>
      <c r="L43" s="26">
        <f>IF(G43="","",IF((G43+H43+I43+J43+K43)=0,"",G43/(G43+H43+I43+J43+K43)))</f>
        <v/>
      </c>
    </row>
    <row r="44" ht="22" customHeight="1">
      <c r="B44" s="17">
        <f>IF(C44="","HP-"&amp;TEXT(COUNTA($C$5:C44),"000"))</f>
        <v/>
      </c>
      <c r="C44" s="15" t="n"/>
      <c r="D44" s="15" t="n"/>
      <c r="E44" s="15" t="n"/>
      <c r="F44" s="15" t="n"/>
      <c r="G44" s="16" t="n"/>
      <c r="H44" s="16" t="n"/>
      <c r="I44" s="16" t="n"/>
      <c r="J44" s="16" t="n"/>
      <c r="K44" s="16" t="n"/>
      <c r="L44" s="27">
        <f>IF(G44="","",IF((G44+H44+I44+J44+K44)=0,"",G44/(G44+H44+I44+J44+K44)))</f>
        <v/>
      </c>
    </row>
    <row r="45" ht="22" customHeight="1">
      <c r="B45" s="18">
        <f>IF(C45="","HP-"&amp;TEXT(COUNTA($C$5:C45),"000"))</f>
        <v/>
      </c>
      <c r="C45" s="13" t="n"/>
      <c r="D45" s="13" t="n"/>
      <c r="E45" s="13" t="n"/>
      <c r="F45" s="13" t="n"/>
      <c r="G45" s="14" t="n"/>
      <c r="H45" s="14" t="n"/>
      <c r="I45" s="14" t="n"/>
      <c r="J45" s="14" t="n"/>
      <c r="K45" s="14" t="n"/>
      <c r="L45" s="26">
        <f>IF(G45="","",IF((G45+H45+I45+J45+K45)=0,"",G45/(G45+H45+I45+J45+K45)))</f>
        <v/>
      </c>
    </row>
    <row r="46" ht="22" customHeight="1">
      <c r="B46" s="17">
        <f>IF(C46="","HP-"&amp;TEXT(COUNTA($C$5:C46),"000"))</f>
        <v/>
      </c>
      <c r="C46" s="15" t="n"/>
      <c r="D46" s="15" t="n"/>
      <c r="E46" s="15" t="n"/>
      <c r="F46" s="15" t="n"/>
      <c r="G46" s="16" t="n"/>
      <c r="H46" s="16" t="n"/>
      <c r="I46" s="16" t="n"/>
      <c r="J46" s="16" t="n"/>
      <c r="K46" s="16" t="n"/>
      <c r="L46" s="27">
        <f>IF(G46="","",IF((G46+H46+I46+J46+K46)=0,"",G46/(G46+H46+I46+J46+K46)))</f>
        <v/>
      </c>
    </row>
    <row r="47" ht="22" customHeight="1">
      <c r="B47" s="18">
        <f>IF(C47="","HP-"&amp;TEXT(COUNTA($C$5:C47),"000"))</f>
        <v/>
      </c>
      <c r="C47" s="13" t="n"/>
      <c r="D47" s="13" t="n"/>
      <c r="E47" s="13" t="n"/>
      <c r="F47" s="13" t="n"/>
      <c r="G47" s="14" t="n"/>
      <c r="H47" s="14" t="n"/>
      <c r="I47" s="14" t="n"/>
      <c r="J47" s="14" t="n"/>
      <c r="K47" s="14" t="n"/>
      <c r="L47" s="26">
        <f>IF(G47="","",IF((G47+H47+I47+J47+K47)=0,"",G47/(G47+H47+I47+J47+K47)))</f>
        <v/>
      </c>
    </row>
    <row r="48" ht="22" customHeight="1">
      <c r="B48" s="17">
        <f>IF(C48="","HP-"&amp;TEXT(COUNTA($C$5:C48),"000"))</f>
        <v/>
      </c>
      <c r="C48" s="15" t="n"/>
      <c r="D48" s="15" t="n"/>
      <c r="E48" s="15" t="n"/>
      <c r="F48" s="15" t="n"/>
      <c r="G48" s="16" t="n"/>
      <c r="H48" s="16" t="n"/>
      <c r="I48" s="16" t="n"/>
      <c r="J48" s="16" t="n"/>
      <c r="K48" s="16" t="n"/>
      <c r="L48" s="27">
        <f>IF(G48="","",IF((G48+H48+I48+J48+K48)=0,"",G48/(G48+H48+I48+J48+K48)))</f>
        <v/>
      </c>
    </row>
    <row r="49" ht="22" customHeight="1">
      <c r="B49" s="18">
        <f>IF(C49="","HP-"&amp;TEXT(COUNTA($C$5:C49),"000"))</f>
        <v/>
      </c>
      <c r="C49" s="13" t="n"/>
      <c r="D49" s="13" t="n"/>
      <c r="E49" s="13" t="n"/>
      <c r="F49" s="13" t="n"/>
      <c r="G49" s="14" t="n"/>
      <c r="H49" s="14" t="n"/>
      <c r="I49" s="14" t="n"/>
      <c r="J49" s="14" t="n"/>
      <c r="K49" s="14" t="n"/>
      <c r="L49" s="26">
        <f>IF(G49="","",IF((G49+H49+I49+J49+K49)=0,"",G49/(G49+H49+I49+J49+K49)))</f>
        <v/>
      </c>
    </row>
    <row r="50" ht="22" customHeight="1">
      <c r="B50" s="17">
        <f>IF(C50="","HP-"&amp;TEXT(COUNTA($C$5:C50),"000"))</f>
        <v/>
      </c>
      <c r="C50" s="15" t="n"/>
      <c r="D50" s="15" t="n"/>
      <c r="E50" s="15" t="n"/>
      <c r="F50" s="15" t="n"/>
      <c r="G50" s="16" t="n"/>
      <c r="H50" s="16" t="n"/>
      <c r="I50" s="16" t="n"/>
      <c r="J50" s="16" t="n"/>
      <c r="K50" s="16" t="n"/>
      <c r="L50" s="27">
        <f>IF(G50="","",IF((G50+H50+I50+J50+K50)=0,"",G50/(G50+H50+I50+J50+K50)))</f>
        <v/>
      </c>
    </row>
    <row r="51" ht="22" customHeight="1">
      <c r="B51" s="18">
        <f>IF(C51="","HP-"&amp;TEXT(COUNTA($C$5:C51),"000"))</f>
        <v/>
      </c>
      <c r="C51" s="13" t="n"/>
      <c r="D51" s="13" t="n"/>
      <c r="E51" s="13" t="n"/>
      <c r="F51" s="13" t="n"/>
      <c r="G51" s="14" t="n"/>
      <c r="H51" s="14" t="n"/>
      <c r="I51" s="14" t="n"/>
      <c r="J51" s="14" t="n"/>
      <c r="K51" s="14" t="n"/>
      <c r="L51" s="26">
        <f>IF(G51="","",IF((G51+H51+I51+J51+K51)=0,"",G51/(G51+H51+I51+J51+K51)))</f>
        <v/>
      </c>
    </row>
    <row r="52" ht="22" customHeight="1">
      <c r="B52" s="17">
        <f>IF(C52="","HP-"&amp;TEXT(COUNTA($C$5:C52),"000"))</f>
        <v/>
      </c>
      <c r="C52" s="15" t="n"/>
      <c r="D52" s="15" t="n"/>
      <c r="E52" s="15" t="n"/>
      <c r="F52" s="15" t="n"/>
      <c r="G52" s="16" t="n"/>
      <c r="H52" s="16" t="n"/>
      <c r="I52" s="16" t="n"/>
      <c r="J52" s="16" t="n"/>
      <c r="K52" s="16" t="n"/>
      <c r="L52" s="27">
        <f>IF(G52="","",IF((G52+H52+I52+J52+K52)=0,"",G52/(G52+H52+I52+J52+K52)))</f>
        <v/>
      </c>
    </row>
    <row r="53" ht="22" customHeight="1">
      <c r="B53" s="18">
        <f>IF(C53="","HP-"&amp;TEXT(COUNTA($C$5:C53),"000"))</f>
        <v/>
      </c>
      <c r="C53" s="13" t="n"/>
      <c r="D53" s="13" t="n"/>
      <c r="E53" s="13" t="n"/>
      <c r="F53" s="13" t="n"/>
      <c r="G53" s="14" t="n"/>
      <c r="H53" s="14" t="n"/>
      <c r="I53" s="14" t="n"/>
      <c r="J53" s="14" t="n"/>
      <c r="K53" s="14" t="n"/>
      <c r="L53" s="26">
        <f>IF(G53="","",IF((G53+H53+I53+J53+K53)=0,"",G53/(G53+H53+I53+J53+K53)))</f>
        <v/>
      </c>
    </row>
    <row r="54" ht="22" customHeight="1">
      <c r="B54" s="17">
        <f>IF(C54="","HP-"&amp;TEXT(COUNTA($C$5:C54),"000"))</f>
        <v/>
      </c>
      <c r="C54" s="15" t="n"/>
      <c r="D54" s="15" t="n"/>
      <c r="E54" s="15" t="n"/>
      <c r="F54" s="15" t="n"/>
      <c r="G54" s="16" t="n"/>
      <c r="H54" s="16" t="n"/>
      <c r="I54" s="16" t="n"/>
      <c r="J54" s="16" t="n"/>
      <c r="K54" s="16" t="n"/>
      <c r="L54" s="27">
        <f>IF(G54="","",IF((G54+H54+I54+J54+K54)=0,"",G54/(G54+H54+I54+J54+K54)))</f>
        <v/>
      </c>
    </row>
    <row r="55" ht="22" customHeight="1">
      <c r="B55" s="18">
        <f>IF(C55="","HP-"&amp;TEXT(COUNTA($C$5:C55),"000"))</f>
        <v/>
      </c>
      <c r="C55" s="13" t="n"/>
      <c r="D55" s="13" t="n"/>
      <c r="E55" s="13" t="n"/>
      <c r="F55" s="13" t="n"/>
      <c r="G55" s="14" t="n"/>
      <c r="H55" s="14" t="n"/>
      <c r="I55" s="14" t="n"/>
      <c r="J55" s="14" t="n"/>
      <c r="K55" s="14" t="n"/>
      <c r="L55" s="26">
        <f>IF(G55="","",IF((G55+H55+I55+J55+K55)=0,"",G55/(G55+H55+I55+J55+K55)))</f>
        <v/>
      </c>
    </row>
    <row r="56" ht="22" customHeight="1">
      <c r="B56" s="17">
        <f>IF(C56="","HP-"&amp;TEXT(COUNTA($C$5:C56),"000"))</f>
        <v/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27">
        <f>IF(G56="","",IF((G56+H56+I56+J56+K56)=0,"",G56/(G56+H56+I56+J56+K56)))</f>
        <v/>
      </c>
    </row>
    <row r="57" ht="22" customHeight="1">
      <c r="B57" s="18">
        <f>IF(C57="","HP-"&amp;TEXT(COUNTA($C$5:C57),"000"))</f>
        <v/>
      </c>
      <c r="C57" s="13" t="n"/>
      <c r="D57" s="13" t="n"/>
      <c r="E57" s="13" t="n"/>
      <c r="F57" s="13" t="n"/>
      <c r="G57" s="14" t="n"/>
      <c r="H57" s="14" t="n"/>
      <c r="I57" s="14" t="n"/>
      <c r="J57" s="14" t="n"/>
      <c r="K57" s="14" t="n"/>
      <c r="L57" s="26">
        <f>IF(G57="","",IF((G57+H57+I57+J57+K57)=0,"",G57/(G57+H57+I57+J57+K57)))</f>
        <v/>
      </c>
    </row>
    <row r="58" ht="22" customHeight="1">
      <c r="B58" s="17">
        <f>IF(C58="","HP-"&amp;TEXT(COUNTA($C$5:C58),"000"))</f>
        <v/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27">
        <f>IF(G58="","",IF((G58+H58+I58+J58+K58)=0,"",G58/(G58+H58+I58+J58+K58)))</f>
        <v/>
      </c>
    </row>
    <row r="59" ht="22" customHeight="1">
      <c r="B59" s="18">
        <f>IF(C59="","HP-"&amp;TEXT(COUNTA($C$5:C59),"000"))</f>
        <v/>
      </c>
      <c r="C59" s="13" t="n"/>
      <c r="D59" s="13" t="n"/>
      <c r="E59" s="13" t="n"/>
      <c r="F59" s="13" t="n"/>
      <c r="G59" s="14" t="n"/>
      <c r="H59" s="14" t="n"/>
      <c r="I59" s="14" t="n"/>
      <c r="J59" s="14" t="n"/>
      <c r="K59" s="14" t="n"/>
      <c r="L59" s="26">
        <f>IF(G59="","",IF((G59+H59+I59+J59+K59)=0,"",G59/(G59+H59+I59+J59+K59)))</f>
        <v/>
      </c>
    </row>
    <row r="60" ht="22" customHeight="1">
      <c r="B60" s="17">
        <f>IF(C60="","HP-"&amp;TEXT(COUNTA($C$5:C60),"000"))</f>
        <v/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27">
        <f>IF(G60="","",IF((G60+H60+I60+J60+K60)=0,"",G60/(G60+H60+I60+J60+K60)))</f>
        <v/>
      </c>
    </row>
    <row r="61" ht="22" customHeight="1">
      <c r="B61" s="18">
        <f>IF(C61="","HP-"&amp;TEXT(COUNTA($C$5:C61),"000"))</f>
        <v/>
      </c>
      <c r="C61" s="13" t="n"/>
      <c r="D61" s="13" t="n"/>
      <c r="E61" s="13" t="n"/>
      <c r="F61" s="13" t="n"/>
      <c r="G61" s="14" t="n"/>
      <c r="H61" s="14" t="n"/>
      <c r="I61" s="14" t="n"/>
      <c r="J61" s="14" t="n"/>
      <c r="K61" s="14" t="n"/>
      <c r="L61" s="26">
        <f>IF(G61="","",IF((G61+H61+I61+J61+K61)=0,"",G61/(G61+H61+I61+J61+K61)))</f>
        <v/>
      </c>
    </row>
    <row r="62" ht="22" customHeight="1">
      <c r="B62" s="17">
        <f>IF(C62="","HP-"&amp;TEXT(COUNTA($C$5:C62),"000"))</f>
        <v/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27">
        <f>IF(G62="","",IF((G62+H62+I62+J62+K62)=0,"",G62/(G62+H62+I62+J62+K62)))</f>
        <v/>
      </c>
    </row>
    <row r="63" ht="22" customHeight="1">
      <c r="B63" s="18">
        <f>IF(C63="","HP-"&amp;TEXT(COUNTA($C$5:C63),"000"))</f>
        <v/>
      </c>
      <c r="C63" s="13" t="n"/>
      <c r="D63" s="13" t="n"/>
      <c r="E63" s="13" t="n"/>
      <c r="F63" s="13" t="n"/>
      <c r="G63" s="14" t="n"/>
      <c r="H63" s="14" t="n"/>
      <c r="I63" s="14" t="n"/>
      <c r="J63" s="14" t="n"/>
      <c r="K63" s="14" t="n"/>
      <c r="L63" s="26">
        <f>IF(G63="","",IF((G63+H63+I63+J63+K63)=0,"",G63/(G63+H63+I63+J63+K63)))</f>
        <v/>
      </c>
    </row>
    <row r="64" ht="22" customHeight="1">
      <c r="B64" s="17">
        <f>IF(C64="","HP-"&amp;TEXT(COUNTA($C$5:C64),"000"))</f>
        <v/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27">
        <f>IF(G64="","",IF((G64+H64+I64+J64+K64)=0,"",G64/(G64+H64+I64+J64+K64)))</f>
        <v/>
      </c>
    </row>
    <row r="65" ht="22" customHeight="1">
      <c r="B65" s="18">
        <f>IF(C65="","HP-"&amp;TEXT(COUNTA($C$5:C65),"000"))</f>
        <v/>
      </c>
      <c r="C65" s="13" t="n"/>
      <c r="D65" s="13" t="n"/>
      <c r="E65" s="13" t="n"/>
      <c r="F65" s="13" t="n"/>
      <c r="G65" s="14" t="n"/>
      <c r="H65" s="14" t="n"/>
      <c r="I65" s="14" t="n"/>
      <c r="J65" s="14" t="n"/>
      <c r="K65" s="14" t="n"/>
      <c r="L65" s="26">
        <f>IF(G65="","",IF((G65+H65+I65+J65+K65)=0,"",G65/(G65+H65+I65+J65+K65)))</f>
        <v/>
      </c>
    </row>
    <row r="66" ht="22" customHeight="1">
      <c r="B66" s="17">
        <f>IF(C66="","HP-"&amp;TEXT(COUNTA($C$5:C66),"000"))</f>
        <v/>
      </c>
      <c r="C66" s="15" t="n"/>
      <c r="D66" s="15" t="n"/>
      <c r="E66" s="15" t="n"/>
      <c r="F66" s="15" t="n"/>
      <c r="G66" s="16" t="n"/>
      <c r="H66" s="16" t="n"/>
      <c r="I66" s="16" t="n"/>
      <c r="J66" s="16" t="n"/>
      <c r="K66" s="16" t="n"/>
      <c r="L66" s="27">
        <f>IF(G66="","",IF((G66+H66+I66+J66+K66)=0,"",G66/(G66+H66+I66+J66+K66)))</f>
        <v/>
      </c>
    </row>
    <row r="67" ht="22" customHeight="1">
      <c r="B67" s="18">
        <f>IF(C67="","HP-"&amp;TEXT(COUNTA($C$5:C67),"000"))</f>
        <v/>
      </c>
      <c r="C67" s="13" t="n"/>
      <c r="D67" s="13" t="n"/>
      <c r="E67" s="13" t="n"/>
      <c r="F67" s="13" t="n"/>
      <c r="G67" s="14" t="n"/>
      <c r="H67" s="14" t="n"/>
      <c r="I67" s="14" t="n"/>
      <c r="J67" s="14" t="n"/>
      <c r="K67" s="14" t="n"/>
      <c r="L67" s="26">
        <f>IF(G67="","",IF((G67+H67+I67+J67+K67)=0,"",G67/(G67+H67+I67+J67+K67)))</f>
        <v/>
      </c>
    </row>
    <row r="68" ht="22" customHeight="1">
      <c r="B68" s="17">
        <f>IF(C68="","HP-"&amp;TEXT(COUNTA($C$5:C68),"000"))</f>
        <v/>
      </c>
      <c r="C68" s="15" t="n"/>
      <c r="D68" s="15" t="n"/>
      <c r="E68" s="15" t="n"/>
      <c r="F68" s="15" t="n"/>
      <c r="G68" s="16" t="n"/>
      <c r="H68" s="16" t="n"/>
      <c r="I68" s="16" t="n"/>
      <c r="J68" s="16" t="n"/>
      <c r="K68" s="16" t="n"/>
      <c r="L68" s="27">
        <f>IF(G68="","",IF((G68+H68+I68+J68+K68)=0,"",G68/(G68+H68+I68+J68+K68)))</f>
        <v/>
      </c>
    </row>
    <row r="69" ht="22" customHeight="1">
      <c r="B69" s="18">
        <f>IF(C69="","HP-"&amp;TEXT(COUNTA($C$5:C69),"000"))</f>
        <v/>
      </c>
      <c r="C69" s="13" t="n"/>
      <c r="D69" s="13" t="n"/>
      <c r="E69" s="13" t="n"/>
      <c r="F69" s="13" t="n"/>
      <c r="G69" s="14" t="n"/>
      <c r="H69" s="14" t="n"/>
      <c r="I69" s="14" t="n"/>
      <c r="J69" s="14" t="n"/>
      <c r="K69" s="14" t="n"/>
      <c r="L69" s="26">
        <f>IF(G69="","",IF((G69+H69+I69+J69+K69)=0,"",G69/(G69+H69+I69+J69+K69)))</f>
        <v/>
      </c>
    </row>
    <row r="70" ht="22" customHeight="1">
      <c r="B70" s="17">
        <f>IF(C70="","HP-"&amp;TEXT(COUNTA($C$5:C70),"000"))</f>
        <v/>
      </c>
      <c r="C70" s="15" t="n"/>
      <c r="D70" s="15" t="n"/>
      <c r="E70" s="15" t="n"/>
      <c r="F70" s="15" t="n"/>
      <c r="G70" s="16" t="n"/>
      <c r="H70" s="16" t="n"/>
      <c r="I70" s="16" t="n"/>
      <c r="J70" s="16" t="n"/>
      <c r="K70" s="16" t="n"/>
      <c r="L70" s="27">
        <f>IF(G70="","",IF((G70+H70+I70+J70+K70)=0,"",G70/(G70+H70+I70+J70+K70)))</f>
        <v/>
      </c>
    </row>
    <row r="71" ht="22" customHeight="1">
      <c r="B71" s="18">
        <f>IF(C71="","HP-"&amp;TEXT(COUNTA($C$5:C71),"000"))</f>
        <v/>
      </c>
      <c r="C71" s="13" t="n"/>
      <c r="D71" s="13" t="n"/>
      <c r="E71" s="13" t="n"/>
      <c r="F71" s="13" t="n"/>
      <c r="G71" s="14" t="n"/>
      <c r="H71" s="14" t="n"/>
      <c r="I71" s="14" t="n"/>
      <c r="J71" s="14" t="n"/>
      <c r="K71" s="14" t="n"/>
      <c r="L71" s="26">
        <f>IF(G71="","",IF((G71+H71+I71+J71+K71)=0,"",G71/(G71+H71+I71+J71+K71)))</f>
        <v/>
      </c>
    </row>
    <row r="72" ht="22" customHeight="1">
      <c r="B72" s="17">
        <f>IF(C72="","HP-"&amp;TEXT(COUNTA($C$5:C72),"000"))</f>
        <v/>
      </c>
      <c r="C72" s="15" t="n"/>
      <c r="D72" s="15" t="n"/>
      <c r="E72" s="15" t="n"/>
      <c r="F72" s="15" t="n"/>
      <c r="G72" s="16" t="n"/>
      <c r="H72" s="16" t="n"/>
      <c r="I72" s="16" t="n"/>
      <c r="J72" s="16" t="n"/>
      <c r="K72" s="16" t="n"/>
      <c r="L72" s="27">
        <f>IF(G72="","",IF((G72+H72+I72+J72+K72)=0,"",G72/(G72+H72+I72+J72+K72)))</f>
        <v/>
      </c>
    </row>
    <row r="73" ht="22" customHeight="1">
      <c r="B73" s="18">
        <f>IF(C73="","HP-"&amp;TEXT(COUNTA($C$5:C73),"000"))</f>
        <v/>
      </c>
      <c r="C73" s="13" t="n"/>
      <c r="D73" s="13" t="n"/>
      <c r="E73" s="13" t="n"/>
      <c r="F73" s="13" t="n"/>
      <c r="G73" s="14" t="n"/>
      <c r="H73" s="14" t="n"/>
      <c r="I73" s="14" t="n"/>
      <c r="J73" s="14" t="n"/>
      <c r="K73" s="14" t="n"/>
      <c r="L73" s="26">
        <f>IF(G73="","",IF((G73+H73+I73+J73+K73)=0,"",G73/(G73+H73+I73+J73+K73)))</f>
        <v/>
      </c>
    </row>
    <row r="74" ht="22" customHeight="1">
      <c r="B74" s="17">
        <f>IF(C74="","HP-"&amp;TEXT(COUNTA($C$5:C74),"000"))</f>
        <v/>
      </c>
      <c r="C74" s="15" t="n"/>
      <c r="D74" s="15" t="n"/>
      <c r="E74" s="15" t="n"/>
      <c r="F74" s="15" t="n"/>
      <c r="G74" s="16" t="n"/>
      <c r="H74" s="16" t="n"/>
      <c r="I74" s="16" t="n"/>
      <c r="J74" s="16" t="n"/>
      <c r="K74" s="16" t="n"/>
      <c r="L74" s="27">
        <f>IF(G74="","",IF((G74+H74+I74+J74+K74)=0,"",G74/(G74+H74+I74+J74+K74)))</f>
        <v/>
      </c>
    </row>
    <row r="75" ht="22" customHeight="1">
      <c r="B75" s="18">
        <f>IF(C75="","HP-"&amp;TEXT(COUNTA($C$5:C75),"000"))</f>
        <v/>
      </c>
      <c r="C75" s="13" t="n"/>
      <c r="D75" s="13" t="n"/>
      <c r="E75" s="13" t="n"/>
      <c r="F75" s="13" t="n"/>
      <c r="G75" s="14" t="n"/>
      <c r="H75" s="14" t="n"/>
      <c r="I75" s="14" t="n"/>
      <c r="J75" s="14" t="n"/>
      <c r="K75" s="14" t="n"/>
      <c r="L75" s="26">
        <f>IF(G75="","",IF((G75+H75+I75+J75+K75)=0,"",G75/(G75+H75+I75+J75+K75)))</f>
        <v/>
      </c>
    </row>
    <row r="76" ht="22" customHeight="1">
      <c r="B76" s="17">
        <f>IF(C76="","HP-"&amp;TEXT(COUNTA($C$5:C76),"000"))</f>
        <v/>
      </c>
      <c r="C76" s="15" t="n"/>
      <c r="D76" s="15" t="n"/>
      <c r="E76" s="15" t="n"/>
      <c r="F76" s="15" t="n"/>
      <c r="G76" s="16" t="n"/>
      <c r="H76" s="16" t="n"/>
      <c r="I76" s="16" t="n"/>
      <c r="J76" s="16" t="n"/>
      <c r="K76" s="16" t="n"/>
      <c r="L76" s="27">
        <f>IF(G76="","",IF((G76+H76+I76+J76+K76)=0,"",G76/(G76+H76+I76+J76+K76)))</f>
        <v/>
      </c>
    </row>
    <row r="77" ht="22" customHeight="1">
      <c r="B77" s="18">
        <f>IF(C77="","HP-"&amp;TEXT(COUNTA($C$5:C77),"000"))</f>
        <v/>
      </c>
      <c r="C77" s="13" t="n"/>
      <c r="D77" s="13" t="n"/>
      <c r="E77" s="13" t="n"/>
      <c r="F77" s="13" t="n"/>
      <c r="G77" s="14" t="n"/>
      <c r="H77" s="14" t="n"/>
      <c r="I77" s="14" t="n"/>
      <c r="J77" s="14" t="n"/>
      <c r="K77" s="14" t="n"/>
      <c r="L77" s="26">
        <f>IF(G77="","",IF((G77+H77+I77+J77+K77)=0,"",G77/(G77+H77+I77+J77+K77)))</f>
        <v/>
      </c>
    </row>
    <row r="78" ht="22" customHeight="1">
      <c r="B78" s="17">
        <f>IF(C78="","HP-"&amp;TEXT(COUNTA($C$5:C78),"000"))</f>
        <v/>
      </c>
      <c r="C78" s="15" t="n"/>
      <c r="D78" s="15" t="n"/>
      <c r="E78" s="15" t="n"/>
      <c r="F78" s="15" t="n"/>
      <c r="G78" s="16" t="n"/>
      <c r="H78" s="16" t="n"/>
      <c r="I78" s="16" t="n"/>
      <c r="J78" s="16" t="n"/>
      <c r="K78" s="16" t="n"/>
      <c r="L78" s="27">
        <f>IF(G78="","",IF((G78+H78+I78+J78+K78)=0,"",G78/(G78+H78+I78+J78+K78)))</f>
        <v/>
      </c>
    </row>
    <row r="79" ht="22" customHeight="1">
      <c r="B79" s="18">
        <f>IF(C79="","HP-"&amp;TEXT(COUNTA($C$5:C79),"000"))</f>
        <v/>
      </c>
      <c r="C79" s="13" t="n"/>
      <c r="D79" s="13" t="n"/>
      <c r="E79" s="13" t="n"/>
      <c r="F79" s="13" t="n"/>
      <c r="G79" s="14" t="n"/>
      <c r="H79" s="14" t="n"/>
      <c r="I79" s="14" t="n"/>
      <c r="J79" s="14" t="n"/>
      <c r="K79" s="14" t="n"/>
      <c r="L79" s="26">
        <f>IF(G79="","",IF((G79+H79+I79+J79+K79)=0,"",G79/(G79+H79+I79+J79+K79)))</f>
        <v/>
      </c>
    </row>
    <row r="80" ht="22" customHeight="1">
      <c r="B80" s="17">
        <f>IF(C80="","HP-"&amp;TEXT(COUNTA($C$5:C80),"000"))</f>
        <v/>
      </c>
      <c r="C80" s="15" t="n"/>
      <c r="D80" s="15" t="n"/>
      <c r="E80" s="15" t="n"/>
      <c r="F80" s="15" t="n"/>
      <c r="G80" s="16" t="n"/>
      <c r="H80" s="16" t="n"/>
      <c r="I80" s="16" t="n"/>
      <c r="J80" s="16" t="n"/>
      <c r="K80" s="16" t="n"/>
      <c r="L80" s="27">
        <f>IF(G80="","",IF((G80+H80+I80+J80+K80)=0,"",G80/(G80+H80+I80+J80+K80)))</f>
        <v/>
      </c>
    </row>
    <row r="81" ht="22" customHeight="1">
      <c r="B81" s="18">
        <f>IF(C81="","HP-"&amp;TEXT(COUNTA($C$5:C81),"000"))</f>
        <v/>
      </c>
      <c r="C81" s="13" t="n"/>
      <c r="D81" s="13" t="n"/>
      <c r="E81" s="13" t="n"/>
      <c r="F81" s="13" t="n"/>
      <c r="G81" s="14" t="n"/>
      <c r="H81" s="14" t="n"/>
      <c r="I81" s="14" t="n"/>
      <c r="J81" s="14" t="n"/>
      <c r="K81" s="14" t="n"/>
      <c r="L81" s="26">
        <f>IF(G81="","",IF((G81+H81+I81+J81+K81)=0,"",G81/(G81+H81+I81+J81+K81)))</f>
        <v/>
      </c>
    </row>
    <row r="82" ht="22" customHeight="1">
      <c r="B82" s="17">
        <f>IF(C82="","HP-"&amp;TEXT(COUNTA($C$5:C82),"000"))</f>
        <v/>
      </c>
      <c r="C82" s="15" t="n"/>
      <c r="D82" s="15" t="n"/>
      <c r="E82" s="15" t="n"/>
      <c r="F82" s="15" t="n"/>
      <c r="G82" s="16" t="n"/>
      <c r="H82" s="16" t="n"/>
      <c r="I82" s="16" t="n"/>
      <c r="J82" s="16" t="n"/>
      <c r="K82" s="16" t="n"/>
      <c r="L82" s="27">
        <f>IF(G82="","",IF((G82+H82+I82+J82+K82)=0,"",G82/(G82+H82+I82+J82+K82)))</f>
        <v/>
      </c>
    </row>
    <row r="83" ht="22" customHeight="1">
      <c r="B83" s="18">
        <f>IF(C83="","HP-"&amp;TEXT(COUNTA($C$5:C83),"000"))</f>
        <v/>
      </c>
      <c r="C83" s="13" t="n"/>
      <c r="D83" s="13" t="n"/>
      <c r="E83" s="13" t="n"/>
      <c r="F83" s="13" t="n"/>
      <c r="G83" s="14" t="n"/>
      <c r="H83" s="14" t="n"/>
      <c r="I83" s="14" t="n"/>
      <c r="J83" s="14" t="n"/>
      <c r="K83" s="14" t="n"/>
      <c r="L83" s="26">
        <f>IF(G83="","",IF((G83+H83+I83+J83+K83)=0,"",G83/(G83+H83+I83+J83+K83)))</f>
        <v/>
      </c>
    </row>
    <row r="84" ht="22" customHeight="1">
      <c r="B84" s="17">
        <f>IF(C84="","HP-"&amp;TEXT(COUNTA($C$5:C84),"000"))</f>
        <v/>
      </c>
      <c r="C84" s="15" t="n"/>
      <c r="D84" s="15" t="n"/>
      <c r="E84" s="15" t="n"/>
      <c r="F84" s="15" t="n"/>
      <c r="G84" s="16" t="n"/>
      <c r="H84" s="16" t="n"/>
      <c r="I84" s="16" t="n"/>
      <c r="J84" s="16" t="n"/>
      <c r="K84" s="16" t="n"/>
      <c r="L84" s="27">
        <f>IF(G84="","",IF((G84+H84+I84+J84+K84)=0,"",G84/(G84+H84+I84+J84+K84)))</f>
        <v/>
      </c>
    </row>
    <row r="85" ht="22" customHeight="1">
      <c r="B85" s="18">
        <f>IF(C85="","HP-"&amp;TEXT(COUNTA($C$5:C85),"000"))</f>
        <v/>
      </c>
      <c r="C85" s="13" t="n"/>
      <c r="D85" s="13" t="n"/>
      <c r="E85" s="13" t="n"/>
      <c r="F85" s="13" t="n"/>
      <c r="G85" s="14" t="n"/>
      <c r="H85" s="14" t="n"/>
      <c r="I85" s="14" t="n"/>
      <c r="J85" s="14" t="n"/>
      <c r="K85" s="14" t="n"/>
      <c r="L85" s="26">
        <f>IF(G85="","",IF((G85+H85+I85+J85+K85)=0,"",G85/(G85+H85+I85+J85+K85)))</f>
        <v/>
      </c>
    </row>
    <row r="86" ht="22" customHeight="1">
      <c r="B86" s="17">
        <f>IF(C86="","HP-"&amp;TEXT(COUNTA($C$5:C86),"000"))</f>
        <v/>
      </c>
      <c r="C86" s="15" t="n"/>
      <c r="D86" s="15" t="n"/>
      <c r="E86" s="15" t="n"/>
      <c r="F86" s="15" t="n"/>
      <c r="G86" s="16" t="n"/>
      <c r="H86" s="16" t="n"/>
      <c r="I86" s="16" t="n"/>
      <c r="J86" s="16" t="n"/>
      <c r="K86" s="16" t="n"/>
      <c r="L86" s="27">
        <f>IF(G86="","",IF((G86+H86+I86+J86+K86)=0,"",G86/(G86+H86+I86+J86+K86)))</f>
        <v/>
      </c>
    </row>
    <row r="87" ht="22" customHeight="1">
      <c r="B87" s="18">
        <f>IF(C87="","HP-"&amp;TEXT(COUNTA($C$5:C87),"000"))</f>
        <v/>
      </c>
      <c r="C87" s="13" t="n"/>
      <c r="D87" s="13" t="n"/>
      <c r="E87" s="13" t="n"/>
      <c r="F87" s="13" t="n"/>
      <c r="G87" s="14" t="n"/>
      <c r="H87" s="14" t="n"/>
      <c r="I87" s="14" t="n"/>
      <c r="J87" s="14" t="n"/>
      <c r="K87" s="14" t="n"/>
      <c r="L87" s="26">
        <f>IF(G87="","",IF((G87+H87+I87+J87+K87)=0,"",G87/(G87+H87+I87+J87+K87)))</f>
        <v/>
      </c>
    </row>
    <row r="88" ht="22" customHeight="1">
      <c r="B88" s="17">
        <f>IF(C88="","HP-"&amp;TEXT(COUNTA($C$5:C88),"000"))</f>
        <v/>
      </c>
      <c r="C88" s="15" t="n"/>
      <c r="D88" s="15" t="n"/>
      <c r="E88" s="15" t="n"/>
      <c r="F88" s="15" t="n"/>
      <c r="G88" s="16" t="n"/>
      <c r="H88" s="16" t="n"/>
      <c r="I88" s="16" t="n"/>
      <c r="J88" s="16" t="n"/>
      <c r="K88" s="16" t="n"/>
      <c r="L88" s="27">
        <f>IF(G88="","",IF((G88+H88+I88+J88+K88)=0,"",G88/(G88+H88+I88+J88+K88)))</f>
        <v/>
      </c>
    </row>
    <row r="89" ht="22" customHeight="1">
      <c r="B89" s="18">
        <f>IF(C89="","HP-"&amp;TEXT(COUNTA($C$5:C89),"000"))</f>
        <v/>
      </c>
      <c r="C89" s="13" t="n"/>
      <c r="D89" s="13" t="n"/>
      <c r="E89" s="13" t="n"/>
      <c r="F89" s="13" t="n"/>
      <c r="G89" s="14" t="n"/>
      <c r="H89" s="14" t="n"/>
      <c r="I89" s="14" t="n"/>
      <c r="J89" s="14" t="n"/>
      <c r="K89" s="14" t="n"/>
      <c r="L89" s="26">
        <f>IF(G89="","",IF((G89+H89+I89+J89+K89)=0,"",G89/(G89+H89+I89+J89+K89)))</f>
        <v/>
      </c>
    </row>
    <row r="90" ht="22" customHeight="1">
      <c r="B90" s="17">
        <f>IF(C90="","HP-"&amp;TEXT(COUNTA($C$5:C90),"000"))</f>
        <v/>
      </c>
      <c r="C90" s="15" t="n"/>
      <c r="D90" s="15" t="n"/>
      <c r="E90" s="15" t="n"/>
      <c r="F90" s="15" t="n"/>
      <c r="G90" s="16" t="n"/>
      <c r="H90" s="16" t="n"/>
      <c r="I90" s="16" t="n"/>
      <c r="J90" s="16" t="n"/>
      <c r="K90" s="16" t="n"/>
      <c r="L90" s="27">
        <f>IF(G90="","",IF((G90+H90+I90+J90+K90)=0,"",G90/(G90+H90+I90+J90+K90)))</f>
        <v/>
      </c>
    </row>
    <row r="91" ht="22" customHeight="1">
      <c r="B91" s="18">
        <f>IF(C91="","HP-"&amp;TEXT(COUNTA($C$5:C91),"000"))</f>
        <v/>
      </c>
      <c r="C91" s="13" t="n"/>
      <c r="D91" s="13" t="n"/>
      <c r="E91" s="13" t="n"/>
      <c r="F91" s="13" t="n"/>
      <c r="G91" s="14" t="n"/>
      <c r="H91" s="14" t="n"/>
      <c r="I91" s="14" t="n"/>
      <c r="J91" s="14" t="n"/>
      <c r="K91" s="14" t="n"/>
      <c r="L91" s="26">
        <f>IF(G91="","",IF((G91+H91+I91+J91+K91)=0,"",G91/(G91+H91+I91+J91+K91)))</f>
        <v/>
      </c>
    </row>
    <row r="92" ht="22" customHeight="1">
      <c r="B92" s="17">
        <f>IF(C92="","HP-"&amp;TEXT(COUNTA($C$5:C92),"000"))</f>
        <v/>
      </c>
      <c r="C92" s="15" t="n"/>
      <c r="D92" s="15" t="n"/>
      <c r="E92" s="15" t="n"/>
      <c r="F92" s="15" t="n"/>
      <c r="G92" s="16" t="n"/>
      <c r="H92" s="16" t="n"/>
      <c r="I92" s="16" t="n"/>
      <c r="J92" s="16" t="n"/>
      <c r="K92" s="16" t="n"/>
      <c r="L92" s="27">
        <f>IF(G92="","",IF((G92+H92+I92+J92+K92)=0,"",G92/(G92+H92+I92+J92+K92)))</f>
        <v/>
      </c>
    </row>
    <row r="93" ht="22" customHeight="1">
      <c r="B93" s="18">
        <f>IF(C93="","HP-"&amp;TEXT(COUNTA($C$5:C93),"000"))</f>
        <v/>
      </c>
      <c r="C93" s="13" t="n"/>
      <c r="D93" s="13" t="n"/>
      <c r="E93" s="13" t="n"/>
      <c r="F93" s="13" t="n"/>
      <c r="G93" s="14" t="n"/>
      <c r="H93" s="14" t="n"/>
      <c r="I93" s="14" t="n"/>
      <c r="J93" s="14" t="n"/>
      <c r="K93" s="14" t="n"/>
      <c r="L93" s="26">
        <f>IF(G93="","",IF((G93+H93+I93+J93+K93)=0,"",G93/(G93+H93+I93+J93+K93)))</f>
        <v/>
      </c>
    </row>
    <row r="94" ht="22" customHeight="1">
      <c r="B94" s="17">
        <f>IF(C94="","HP-"&amp;TEXT(COUNTA($C$5:C94),"000"))</f>
        <v/>
      </c>
      <c r="C94" s="15" t="n"/>
      <c r="D94" s="15" t="n"/>
      <c r="E94" s="15" t="n"/>
      <c r="F94" s="15" t="n"/>
      <c r="G94" s="16" t="n"/>
      <c r="H94" s="16" t="n"/>
      <c r="I94" s="16" t="n"/>
      <c r="J94" s="16" t="n"/>
      <c r="K94" s="16" t="n"/>
      <c r="L94" s="27">
        <f>IF(G94="","",IF((G94+H94+I94+J94+K94)=0,"",G94/(G94+H94+I94+J94+K94)))</f>
        <v/>
      </c>
    </row>
    <row r="95" ht="22" customHeight="1">
      <c r="B95" s="18">
        <f>IF(C95="","HP-"&amp;TEXT(COUNTA($C$5:C95),"000"))</f>
        <v/>
      </c>
      <c r="C95" s="13" t="n"/>
      <c r="D95" s="13" t="n"/>
      <c r="E95" s="13" t="n"/>
      <c r="F95" s="13" t="n"/>
      <c r="G95" s="14" t="n"/>
      <c r="H95" s="14" t="n"/>
      <c r="I95" s="14" t="n"/>
      <c r="J95" s="14" t="n"/>
      <c r="K95" s="14" t="n"/>
      <c r="L95" s="26">
        <f>IF(G95="","",IF((G95+H95+I95+J95+K95)=0,"",G95/(G95+H95+I95+J95+K95)))</f>
        <v/>
      </c>
    </row>
    <row r="96" ht="22" customHeight="1">
      <c r="B96" s="17">
        <f>IF(C96="","HP-"&amp;TEXT(COUNTA($C$5:C96),"000"))</f>
        <v/>
      </c>
      <c r="C96" s="15" t="n"/>
      <c r="D96" s="15" t="n"/>
      <c r="E96" s="15" t="n"/>
      <c r="F96" s="15" t="n"/>
      <c r="G96" s="16" t="n"/>
      <c r="H96" s="16" t="n"/>
      <c r="I96" s="16" t="n"/>
      <c r="J96" s="16" t="n"/>
      <c r="K96" s="16" t="n"/>
      <c r="L96" s="27">
        <f>IF(G96="","",IF((G96+H96+I96+J96+K96)=0,"",G96/(G96+H96+I96+J96+K96)))</f>
        <v/>
      </c>
    </row>
    <row r="97" ht="22" customHeight="1">
      <c r="B97" s="18">
        <f>IF(C97="","HP-"&amp;TEXT(COUNTA($C$5:C97),"000"))</f>
        <v/>
      </c>
      <c r="C97" s="13" t="n"/>
      <c r="D97" s="13" t="n"/>
      <c r="E97" s="13" t="n"/>
      <c r="F97" s="13" t="n"/>
      <c r="G97" s="14" t="n"/>
      <c r="H97" s="14" t="n"/>
      <c r="I97" s="14" t="n"/>
      <c r="J97" s="14" t="n"/>
      <c r="K97" s="14" t="n"/>
      <c r="L97" s="26">
        <f>IF(G97="","",IF((G97+H97+I97+J97+K97)=0,"",G97/(G97+H97+I97+J97+K97)))</f>
        <v/>
      </c>
    </row>
    <row r="98" ht="22" customHeight="1">
      <c r="B98" s="17">
        <f>IF(C98="","HP-"&amp;TEXT(COUNTA($C$5:C98),"000"))</f>
        <v/>
      </c>
      <c r="C98" s="15" t="n"/>
      <c r="D98" s="15" t="n"/>
      <c r="E98" s="15" t="n"/>
      <c r="F98" s="15" t="n"/>
      <c r="G98" s="16" t="n"/>
      <c r="H98" s="16" t="n"/>
      <c r="I98" s="16" t="n"/>
      <c r="J98" s="16" t="n"/>
      <c r="K98" s="16" t="n"/>
      <c r="L98" s="27">
        <f>IF(G98="","",IF((G98+H98+I98+J98+K98)=0,"",G98/(G98+H98+I98+J98+K98)))</f>
        <v/>
      </c>
    </row>
    <row r="99" ht="22" customHeight="1">
      <c r="B99" s="18">
        <f>IF(C99="","HP-"&amp;TEXT(COUNTA($C$5:C99),"000"))</f>
        <v/>
      </c>
      <c r="C99" s="13" t="n"/>
      <c r="D99" s="13" t="n"/>
      <c r="E99" s="13" t="n"/>
      <c r="F99" s="13" t="n"/>
      <c r="G99" s="14" t="n"/>
      <c r="H99" s="14" t="n"/>
      <c r="I99" s="14" t="n"/>
      <c r="J99" s="14" t="n"/>
      <c r="K99" s="14" t="n"/>
      <c r="L99" s="26">
        <f>IF(G99="","",IF((G99+H99+I99+J99+K99)=0,"",G99/(G99+H99+I99+J99+K99)))</f>
        <v/>
      </c>
    </row>
    <row r="100" ht="22" customHeight="1">
      <c r="B100" s="17">
        <f>IF(C100="","HP-"&amp;TEXT(COUNTA($C$5:C100),"000"))</f>
        <v/>
      </c>
      <c r="C100" s="15" t="n"/>
      <c r="D100" s="15" t="n"/>
      <c r="E100" s="15" t="n"/>
      <c r="F100" s="15" t="n"/>
      <c r="G100" s="16" t="n"/>
      <c r="H100" s="16" t="n"/>
      <c r="I100" s="16" t="n"/>
      <c r="J100" s="16" t="n"/>
      <c r="K100" s="16" t="n"/>
      <c r="L100" s="27">
        <f>IF(G100="","",IF((G100+H100+I100+J100+K100)=0,"",G100/(G100+H100+I100+J100+K100)))</f>
        <v/>
      </c>
    </row>
    <row r="101" ht="22" customHeight="1">
      <c r="B101" s="18">
        <f>IF(C101="","HP-"&amp;TEXT(COUNTA($C$5:C101),"000"))</f>
        <v/>
      </c>
      <c r="C101" s="13" t="n"/>
      <c r="D101" s="13" t="n"/>
      <c r="E101" s="13" t="n"/>
      <c r="F101" s="13" t="n"/>
      <c r="G101" s="14" t="n"/>
      <c r="H101" s="14" t="n"/>
      <c r="I101" s="14" t="n"/>
      <c r="J101" s="14" t="n"/>
      <c r="K101" s="14" t="n"/>
      <c r="L101" s="26">
        <f>IF(G101="","",IF((G101+H101+I101+J101+K101)=0,"",G101/(G101+H101+I101+J101+K101)))</f>
        <v/>
      </c>
    </row>
    <row r="102" ht="22" customHeight="1">
      <c r="B102" s="17">
        <f>IF(C102="","HP-"&amp;TEXT(COUNTA($C$5:C102),"000"))</f>
        <v/>
      </c>
      <c r="C102" s="15" t="n"/>
      <c r="D102" s="15" t="n"/>
      <c r="E102" s="15" t="n"/>
      <c r="F102" s="15" t="n"/>
      <c r="G102" s="16" t="n"/>
      <c r="H102" s="16" t="n"/>
      <c r="I102" s="16" t="n"/>
      <c r="J102" s="16" t="n"/>
      <c r="K102" s="16" t="n"/>
      <c r="L102" s="27">
        <f>IF(G102="","",IF((G102+H102+I102+J102+K102)=0,"",G102/(G102+H102+I102+J102+K102)))</f>
        <v/>
      </c>
    </row>
    <row r="103" ht="22" customHeight="1">
      <c r="B103" s="18">
        <f>IF(C103="","HP-"&amp;TEXT(COUNTA($C$5:C103),"000"))</f>
        <v/>
      </c>
      <c r="C103" s="13" t="n"/>
      <c r="D103" s="13" t="n"/>
      <c r="E103" s="13" t="n"/>
      <c r="F103" s="13" t="n"/>
      <c r="G103" s="14" t="n"/>
      <c r="H103" s="14" t="n"/>
      <c r="I103" s="14" t="n"/>
      <c r="J103" s="14" t="n"/>
      <c r="K103" s="14" t="n"/>
      <c r="L103" s="26">
        <f>IF(G103="","",IF((G103+H103+I103+J103+K103)=0,"",G103/(G103+H103+I103+J103+K103)))</f>
        <v/>
      </c>
    </row>
    <row r="104" ht="22" customHeight="1">
      <c r="B104" s="17">
        <f>IF(C104="","HP-"&amp;TEXT(COUNTA($C$5:C104),"000"))</f>
        <v/>
      </c>
      <c r="C104" s="15" t="n"/>
      <c r="D104" s="15" t="n"/>
      <c r="E104" s="15" t="n"/>
      <c r="F104" s="15" t="n"/>
      <c r="G104" s="16" t="n"/>
      <c r="H104" s="16" t="n"/>
      <c r="I104" s="16" t="n"/>
      <c r="J104" s="16" t="n"/>
      <c r="K104" s="16" t="n"/>
      <c r="L104" s="27">
        <f>IF(G104="","",IF((G104+H104+I104+J104+K104)=0,"",G104/(G104+H104+I104+J104+K104)))</f>
        <v/>
      </c>
    </row>
    <row r="105" ht="22" customHeight="1">
      <c r="B105" s="18">
        <f>IF(C105="","HP-"&amp;TEXT(COUNTA($C$5:C105),"000"))</f>
        <v/>
      </c>
      <c r="C105" s="13" t="n"/>
      <c r="D105" s="13" t="n"/>
      <c r="E105" s="13" t="n"/>
      <c r="F105" s="13" t="n"/>
      <c r="G105" s="14" t="n"/>
      <c r="H105" s="14" t="n"/>
      <c r="I105" s="14" t="n"/>
      <c r="J105" s="14" t="n"/>
      <c r="K105" s="14" t="n"/>
      <c r="L105" s="26">
        <f>IF(G105="","",IF((G105+H105+I105+J105+K105)=0,"",G105/(G105+H105+I105+J105+K105)))</f>
        <v/>
      </c>
    </row>
    <row r="106" ht="22" customHeight="1">
      <c r="B106" s="17">
        <f>IF(C106="","HP-"&amp;TEXT(COUNTA($C$5:C106),"000"))</f>
        <v/>
      </c>
      <c r="C106" s="15" t="n"/>
      <c r="D106" s="15" t="n"/>
      <c r="E106" s="15" t="n"/>
      <c r="F106" s="15" t="n"/>
      <c r="G106" s="16" t="n"/>
      <c r="H106" s="16" t="n"/>
      <c r="I106" s="16" t="n"/>
      <c r="J106" s="16" t="n"/>
      <c r="K106" s="16" t="n"/>
      <c r="L106" s="27">
        <f>IF(G106="","",IF((G106+H106+I106+J106+K106)=0,"",G106/(G106+H106+I106+J106+K106)))</f>
        <v/>
      </c>
    </row>
    <row r="107" ht="22" customHeight="1">
      <c r="B107" s="18">
        <f>IF(C107="","HP-"&amp;TEXT(COUNTA($C$5:C107),"000"))</f>
        <v/>
      </c>
      <c r="C107" s="13" t="n"/>
      <c r="D107" s="13" t="n"/>
      <c r="E107" s="13" t="n"/>
      <c r="F107" s="13" t="n"/>
      <c r="G107" s="14" t="n"/>
      <c r="H107" s="14" t="n"/>
      <c r="I107" s="14" t="n"/>
      <c r="J107" s="14" t="n"/>
      <c r="K107" s="14" t="n"/>
      <c r="L107" s="26">
        <f>IF(G107="","",IF((G107+H107+I107+J107+K107)=0,"",G107/(G107+H107+I107+J107+K107)))</f>
        <v/>
      </c>
    </row>
    <row r="108" ht="22" customHeight="1">
      <c r="B108" s="17">
        <f>IF(C108="","HP-"&amp;TEXT(COUNTA($C$5:C108),"000"))</f>
        <v/>
      </c>
      <c r="C108" s="15" t="n"/>
      <c r="D108" s="15" t="n"/>
      <c r="E108" s="15" t="n"/>
      <c r="F108" s="15" t="n"/>
      <c r="G108" s="16" t="n"/>
      <c r="H108" s="16" t="n"/>
      <c r="I108" s="16" t="n"/>
      <c r="J108" s="16" t="n"/>
      <c r="K108" s="16" t="n"/>
      <c r="L108" s="27">
        <f>IF(G108="","",IF((G108+H108+I108+J108+K108)=0,"",G108/(G108+H108+I108+J108+K108)))</f>
        <v/>
      </c>
    </row>
    <row r="109" ht="22" customHeight="1">
      <c r="B109" s="18">
        <f>IF(C109="","HP-"&amp;TEXT(COUNTA($C$5:C109),"000"))</f>
        <v/>
      </c>
      <c r="C109" s="13" t="n"/>
      <c r="D109" s="13" t="n"/>
      <c r="E109" s="13" t="n"/>
      <c r="F109" s="13" t="n"/>
      <c r="G109" s="14" t="n"/>
      <c r="H109" s="14" t="n"/>
      <c r="I109" s="14" t="n"/>
      <c r="J109" s="14" t="n"/>
      <c r="K109" s="14" t="n"/>
      <c r="L109" s="26">
        <f>IF(G109="","",IF((G109+H109+I109+J109+K109)=0,"",G109/(G109+H109+I109+J109+K109)))</f>
        <v/>
      </c>
    </row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1">
        <f>SUM(G5:G104)</f>
        <v/>
      </c>
      <c r="H111" s="21">
        <f>SUM(H5:H104)</f>
        <v/>
      </c>
      <c r="I111" s="21">
        <f>SUM(I5:I104)</f>
        <v/>
      </c>
      <c r="J111" s="21">
        <f>SUM(J5:J104)</f>
        <v/>
      </c>
      <c r="K111" s="21">
        <f>SUM(K5:K104)</f>
        <v/>
      </c>
      <c r="L111" s="20" t="n"/>
    </row>
    <row r="113">
      <c r="B113" s="6" t="inlineStr">
        <is>
          <t>INDICATEURS (mis a jour automatiquement)</t>
        </is>
      </c>
    </row>
    <row r="114">
      <c r="B114" s="3" t="inlineStr">
        <is>
          <t>Effectif suivi</t>
        </is>
      </c>
      <c r="D114" s="3" t="inlineStr">
        <is>
          <t>Taux presence moyen</t>
        </is>
      </c>
      <c r="F114" s="3" t="inlineStr">
        <is>
          <t>Total conges (j)</t>
        </is>
      </c>
      <c r="H114" s="3" t="inlineStr">
        <is>
          <t>Total maladie (j)</t>
        </is>
      </c>
    </row>
    <row r="115">
      <c r="B115" s="4">
        <f>COUNTIF(B5:B104,"&lt;&gt;")</f>
        <v/>
      </c>
      <c r="D115" s="4">
        <f>IFERROR(AVERAGE(L5:L104),0)</f>
        <v/>
      </c>
      <c r="F115" s="4">
        <f>SUM(H5:H104)</f>
        <v/>
      </c>
      <c r="H115" s="4">
        <f>SUM(I5:I104)</f>
        <v/>
      </c>
    </row>
  </sheetData>
  <mergeCells count="3">
    <mergeCell ref="B2:L2"/>
    <mergeCell ref="B113:L113"/>
    <mergeCell ref="B3:L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L10:L109">
    <cfRule type="expression" priority="11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'_Lists'!$S$2:$S$4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0" customWidth="1" min="5" max="5"/>
    <col width="20" customWidth="1" min="6" max="6"/>
    <col width="20" customWidth="1" min="7" max="7"/>
    <col width="14" customWidth="1" min="8" max="8"/>
    <col width="18" customWidth="1" min="9" max="9"/>
    <col width="20" customWidth="1" min="10" max="10"/>
  </cols>
  <sheetData>
    <row r="1" ht="15" customHeight="1"/>
    <row r="2" ht="32" customHeight="1">
      <c r="B2" s="1" t="inlineStr">
        <is>
          <t>CALENDRIER MENSUEL DES CONGES &amp; ABSENCES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Departement</t>
        </is>
      </c>
      <c r="D4" s="12" t="inlineStr">
        <is>
          <t>Mois</t>
        </is>
      </c>
      <c r="E4" s="12" t="inlineStr">
        <is>
          <t>Annee</t>
        </is>
      </c>
      <c r="F4" s="12" t="inlineStr">
        <is>
          <t>Nb Conges Planifies</t>
        </is>
      </c>
      <c r="G4" s="12" t="inlineStr">
        <is>
          <t>Nb Conges Effectues</t>
        </is>
      </c>
      <c r="H4" s="12" t="inlineStr">
        <is>
          <t>Nb Permissions</t>
        </is>
      </c>
      <c r="I4" s="12" t="inlineStr">
        <is>
          <t>Nb Arrets Maladie</t>
        </is>
      </c>
      <c r="J4" s="12" t="inlineStr">
        <is>
          <t>Effectif Present Moyen</t>
        </is>
      </c>
    </row>
    <row r="5" ht="22" customHeight="1">
      <c r="B5" s="13" t="inlineStr">
        <is>
          <t>CAL-001</t>
        </is>
      </c>
      <c r="C5" s="13" t="inlineStr">
        <is>
          <t>Service Client</t>
        </is>
      </c>
      <c r="D5" s="13" t="inlineStr">
        <is>
          <t>Janvier</t>
        </is>
      </c>
      <c r="E5" s="13" t="inlineStr">
        <is>
          <t>2025</t>
        </is>
      </c>
      <c r="F5" s="14" t="n">
        <v>2</v>
      </c>
      <c r="G5" s="14" t="n">
        <v>2</v>
      </c>
      <c r="H5" s="14" t="n">
        <v>0</v>
      </c>
      <c r="I5" s="14" t="n">
        <v>0</v>
      </c>
      <c r="J5" s="34" t="n">
        <v>5</v>
      </c>
    </row>
    <row r="6" ht="22" customHeight="1">
      <c r="B6" s="15" t="inlineStr">
        <is>
          <t>CAL-002</t>
        </is>
      </c>
      <c r="C6" s="15" t="inlineStr">
        <is>
          <t>Service Client</t>
        </is>
      </c>
      <c r="D6" s="15" t="inlineStr">
        <is>
          <t>Fevrier</t>
        </is>
      </c>
      <c r="E6" s="15" t="inlineStr">
        <is>
          <t>2025</t>
        </is>
      </c>
      <c r="F6" s="16" t="n">
        <v>1</v>
      </c>
      <c r="G6" s="16" t="n">
        <v>1</v>
      </c>
      <c r="H6" s="16" t="n">
        <v>1</v>
      </c>
      <c r="I6" s="16" t="n">
        <v>0</v>
      </c>
      <c r="J6" s="35" t="n">
        <v>5</v>
      </c>
    </row>
    <row r="7" ht="22" customHeight="1">
      <c r="B7" s="13" t="inlineStr">
        <is>
          <t>CAL-003</t>
        </is>
      </c>
      <c r="C7" s="13" t="inlineStr">
        <is>
          <t>Service Client</t>
        </is>
      </c>
      <c r="D7" s="13" t="inlineStr">
        <is>
          <t>Mars</t>
        </is>
      </c>
      <c r="E7" s="13" t="inlineStr">
        <is>
          <t>2025</t>
        </is>
      </c>
      <c r="F7" s="14" t="n">
        <v>2</v>
      </c>
      <c r="G7" s="14" t="n">
        <v>2</v>
      </c>
      <c r="H7" s="14" t="n">
        <v>0</v>
      </c>
      <c r="I7" s="14" t="n">
        <v>1</v>
      </c>
      <c r="J7" s="34" t="n">
        <v>4</v>
      </c>
    </row>
    <row r="8" ht="22" customHeight="1">
      <c r="B8" s="15" t="inlineStr">
        <is>
          <t>CAL-004</t>
        </is>
      </c>
      <c r="C8" s="15" t="inlineStr">
        <is>
          <t>Service Client</t>
        </is>
      </c>
      <c r="D8" s="15" t="inlineStr">
        <is>
          <t>Avril</t>
        </is>
      </c>
      <c r="E8" s="15" t="inlineStr">
        <is>
          <t>2025</t>
        </is>
      </c>
      <c r="F8" s="16" t="n">
        <v>3</v>
      </c>
      <c r="G8" s="16" t="n">
        <v>3</v>
      </c>
      <c r="H8" s="16" t="n">
        <v>0</v>
      </c>
      <c r="I8" s="16" t="n">
        <v>0</v>
      </c>
      <c r="J8" s="35" t="n">
        <v>5</v>
      </c>
    </row>
    <row r="9" ht="22" customHeight="1">
      <c r="B9" s="13" t="inlineStr">
        <is>
          <t>CAL-005</t>
        </is>
      </c>
      <c r="C9" s="13" t="inlineStr">
        <is>
          <t>Service Client</t>
        </is>
      </c>
      <c r="D9" s="13" t="inlineStr">
        <is>
          <t>Mai</t>
        </is>
      </c>
      <c r="E9" s="13" t="inlineStr">
        <is>
          <t>2025</t>
        </is>
      </c>
      <c r="F9" s="14" t="n">
        <v>2</v>
      </c>
      <c r="G9" s="14" t="n">
        <v>2</v>
      </c>
      <c r="H9" s="14" t="n">
        <v>1</v>
      </c>
      <c r="I9" s="14" t="n">
        <v>0</v>
      </c>
      <c r="J9" s="34" t="n">
        <v>5</v>
      </c>
    </row>
    <row r="10" ht="22" customHeight="1">
      <c r="B10" s="15" t="inlineStr">
        <is>
          <t>CAL-006</t>
        </is>
      </c>
      <c r="C10" s="15" t="inlineStr">
        <is>
          <t>Service Client</t>
        </is>
      </c>
      <c r="D10" s="15" t="inlineStr">
        <is>
          <t>Juin</t>
        </is>
      </c>
      <c r="E10" s="15" t="inlineStr">
        <is>
          <t>2025</t>
        </is>
      </c>
      <c r="F10" s="16" t="n">
        <v>3</v>
      </c>
      <c r="G10" s="16" t="n">
        <v>0</v>
      </c>
      <c r="H10" s="16" t="n">
        <v>0</v>
      </c>
      <c r="I10" s="16" t="n">
        <v>1</v>
      </c>
      <c r="J10" s="35" t="n">
        <v>4</v>
      </c>
    </row>
    <row r="11" ht="22" customHeight="1">
      <c r="B11" s="18">
        <f>IF(C11="","CAL-"&amp;TEXT(COUNTA($C$5:C11),"000"))</f>
        <v/>
      </c>
      <c r="C11" s="13" t="n"/>
      <c r="D11" s="13" t="n"/>
      <c r="E11" s="13" t="n"/>
      <c r="F11" s="14" t="n"/>
      <c r="G11" s="14" t="n"/>
      <c r="H11" s="14" t="n"/>
      <c r="I11" s="14" t="n"/>
      <c r="J11" s="34" t="n"/>
    </row>
    <row r="12" ht="22" customHeight="1">
      <c r="B12" s="17">
        <f>IF(C12="","CAL-"&amp;TEXT(COUNTA($C$5:C12),"000"))</f>
        <v/>
      </c>
      <c r="C12" s="15" t="n"/>
      <c r="D12" s="15" t="n"/>
      <c r="E12" s="15" t="n"/>
      <c r="F12" s="16" t="n"/>
      <c r="G12" s="16" t="n"/>
      <c r="H12" s="16" t="n"/>
      <c r="I12" s="16" t="n"/>
      <c r="J12" s="35" t="n"/>
    </row>
    <row r="13" ht="22" customHeight="1">
      <c r="B13" s="18">
        <f>IF(C13="","CAL-"&amp;TEXT(COUNTA($C$5:C13),"000"))</f>
        <v/>
      </c>
      <c r="C13" s="13" t="n"/>
      <c r="D13" s="13" t="n"/>
      <c r="E13" s="13" t="n"/>
      <c r="F13" s="14" t="n"/>
      <c r="G13" s="14" t="n"/>
      <c r="H13" s="14" t="n"/>
      <c r="I13" s="14" t="n"/>
      <c r="J13" s="34" t="n"/>
    </row>
    <row r="14" ht="22" customHeight="1">
      <c r="B14" s="17">
        <f>IF(C14="","CAL-"&amp;TEXT(COUNTA($C$5:C14),"000"))</f>
        <v/>
      </c>
      <c r="C14" s="15" t="n"/>
      <c r="D14" s="15" t="n"/>
      <c r="E14" s="15" t="n"/>
      <c r="F14" s="16" t="n"/>
      <c r="G14" s="16" t="n"/>
      <c r="H14" s="16" t="n"/>
      <c r="I14" s="16" t="n"/>
      <c r="J14" s="35" t="n"/>
    </row>
    <row r="15" ht="22" customHeight="1">
      <c r="B15" s="18">
        <f>IF(C15="","CAL-"&amp;TEXT(COUNTA($C$5:C15),"000"))</f>
        <v/>
      </c>
      <c r="C15" s="13" t="n"/>
      <c r="D15" s="13" t="n"/>
      <c r="E15" s="13" t="n"/>
      <c r="F15" s="14" t="n"/>
      <c r="G15" s="14" t="n"/>
      <c r="H15" s="14" t="n"/>
      <c r="I15" s="14" t="n"/>
      <c r="J15" s="34" t="n"/>
    </row>
    <row r="16" ht="22" customHeight="1">
      <c r="B16" s="17">
        <f>IF(C16="","CAL-"&amp;TEXT(COUNTA($C$5:C16),"000"))</f>
        <v/>
      </c>
      <c r="C16" s="15" t="n"/>
      <c r="D16" s="15" t="n"/>
      <c r="E16" s="15" t="n"/>
      <c r="F16" s="16" t="n"/>
      <c r="G16" s="16" t="n"/>
      <c r="H16" s="16" t="n"/>
      <c r="I16" s="16" t="n"/>
      <c r="J16" s="35" t="n"/>
    </row>
    <row r="17" ht="22" customHeight="1">
      <c r="B17" s="18">
        <f>IF(C17="","CAL-"&amp;TEXT(COUNTA($C$5:C17),"000"))</f>
        <v/>
      </c>
      <c r="C17" s="13" t="n"/>
      <c r="D17" s="13" t="n"/>
      <c r="E17" s="13" t="n"/>
      <c r="F17" s="14" t="n"/>
      <c r="G17" s="14" t="n"/>
      <c r="H17" s="14" t="n"/>
      <c r="I17" s="14" t="n"/>
      <c r="J17" s="34" t="n"/>
    </row>
    <row r="18" ht="22" customHeight="1">
      <c r="B18" s="17">
        <f>IF(C18="","CAL-"&amp;TEXT(COUNTA($C$5:C18),"000"))</f>
        <v/>
      </c>
      <c r="C18" s="15" t="n"/>
      <c r="D18" s="15" t="n"/>
      <c r="E18" s="15" t="n"/>
      <c r="F18" s="16" t="n"/>
      <c r="G18" s="16" t="n"/>
      <c r="H18" s="16" t="n"/>
      <c r="I18" s="16" t="n"/>
      <c r="J18" s="35" t="n"/>
    </row>
    <row r="19" ht="22" customHeight="1">
      <c r="B19" s="18">
        <f>IF(C19="","CAL-"&amp;TEXT(COUNTA($C$5:C19),"000"))</f>
        <v/>
      </c>
      <c r="C19" s="13" t="n"/>
      <c r="D19" s="13" t="n"/>
      <c r="E19" s="13" t="n"/>
      <c r="F19" s="14" t="n"/>
      <c r="G19" s="14" t="n"/>
      <c r="H19" s="14" t="n"/>
      <c r="I19" s="14" t="n"/>
      <c r="J19" s="34" t="n"/>
    </row>
    <row r="20" ht="22" customHeight="1">
      <c r="B20" s="17">
        <f>IF(C20="","CAL-"&amp;TEXT(COUNTA($C$5:C20),"000"))</f>
        <v/>
      </c>
      <c r="C20" s="15" t="n"/>
      <c r="D20" s="15" t="n"/>
      <c r="E20" s="15" t="n"/>
      <c r="F20" s="16" t="n"/>
      <c r="G20" s="16" t="n"/>
      <c r="H20" s="16" t="n"/>
      <c r="I20" s="16" t="n"/>
      <c r="J20" s="35" t="n"/>
    </row>
    <row r="21" ht="22" customHeight="1">
      <c r="B21" s="18">
        <f>IF(C21="","CAL-"&amp;TEXT(COUNTA($C$5:C21),"000"))</f>
        <v/>
      </c>
      <c r="C21" s="13" t="n"/>
      <c r="D21" s="13" t="n"/>
      <c r="E21" s="13" t="n"/>
      <c r="F21" s="14" t="n"/>
      <c r="G21" s="14" t="n"/>
      <c r="H21" s="14" t="n"/>
      <c r="I21" s="14" t="n"/>
      <c r="J21" s="34" t="n"/>
    </row>
    <row r="22" ht="22" customHeight="1">
      <c r="B22" s="17">
        <f>IF(C22="","CAL-"&amp;TEXT(COUNTA($C$5:C22),"000"))</f>
        <v/>
      </c>
      <c r="C22" s="15" t="n"/>
      <c r="D22" s="15" t="n"/>
      <c r="E22" s="15" t="n"/>
      <c r="F22" s="16" t="n"/>
      <c r="G22" s="16" t="n"/>
      <c r="H22" s="16" t="n"/>
      <c r="I22" s="16" t="n"/>
      <c r="J22" s="35" t="n"/>
    </row>
    <row r="23" ht="22" customHeight="1">
      <c r="B23" s="18">
        <f>IF(C23="","CAL-"&amp;TEXT(COUNTA($C$5:C23),"000"))</f>
        <v/>
      </c>
      <c r="C23" s="13" t="n"/>
      <c r="D23" s="13" t="n"/>
      <c r="E23" s="13" t="n"/>
      <c r="F23" s="14" t="n"/>
      <c r="G23" s="14" t="n"/>
      <c r="H23" s="14" t="n"/>
      <c r="I23" s="14" t="n"/>
      <c r="J23" s="34" t="n"/>
    </row>
    <row r="24" ht="22" customHeight="1">
      <c r="B24" s="17">
        <f>IF(C24="","CAL-"&amp;TEXT(COUNTA($C$5:C24),"000"))</f>
        <v/>
      </c>
      <c r="C24" s="15" t="n"/>
      <c r="D24" s="15" t="n"/>
      <c r="E24" s="15" t="n"/>
      <c r="F24" s="16" t="n"/>
      <c r="G24" s="16" t="n"/>
      <c r="H24" s="16" t="n"/>
      <c r="I24" s="16" t="n"/>
      <c r="J24" s="35" t="n"/>
    </row>
    <row r="25" ht="22" customHeight="1">
      <c r="B25" s="18">
        <f>IF(C25="","CAL-"&amp;TEXT(COUNTA($C$5:C25),"000"))</f>
        <v/>
      </c>
      <c r="C25" s="13" t="n"/>
      <c r="D25" s="13" t="n"/>
      <c r="E25" s="13" t="n"/>
      <c r="F25" s="14" t="n"/>
      <c r="G25" s="14" t="n"/>
      <c r="H25" s="14" t="n"/>
      <c r="I25" s="14" t="n"/>
      <c r="J25" s="34" t="n"/>
    </row>
    <row r="26" ht="22" customHeight="1">
      <c r="B26" s="17">
        <f>IF(C26="","CAL-"&amp;TEXT(COUNTA($C$5:C26),"000"))</f>
        <v/>
      </c>
      <c r="C26" s="15" t="n"/>
      <c r="D26" s="15" t="n"/>
      <c r="E26" s="15" t="n"/>
      <c r="F26" s="16" t="n"/>
      <c r="G26" s="16" t="n"/>
      <c r="H26" s="16" t="n"/>
      <c r="I26" s="16" t="n"/>
      <c r="J26" s="35" t="n"/>
    </row>
    <row r="27" ht="22" customHeight="1">
      <c r="B27" s="18">
        <f>IF(C27="","CAL-"&amp;TEXT(COUNTA($C$5:C27),"000"))</f>
        <v/>
      </c>
      <c r="C27" s="13" t="n"/>
      <c r="D27" s="13" t="n"/>
      <c r="E27" s="13" t="n"/>
      <c r="F27" s="14" t="n"/>
      <c r="G27" s="14" t="n"/>
      <c r="H27" s="14" t="n"/>
      <c r="I27" s="14" t="n"/>
      <c r="J27" s="34" t="n"/>
    </row>
    <row r="28" ht="22" customHeight="1">
      <c r="B28" s="17">
        <f>IF(C28="","CAL-"&amp;TEXT(COUNTA($C$5:C28),"000"))</f>
        <v/>
      </c>
      <c r="C28" s="15" t="n"/>
      <c r="D28" s="15" t="n"/>
      <c r="E28" s="15" t="n"/>
      <c r="F28" s="16" t="n"/>
      <c r="G28" s="16" t="n"/>
      <c r="H28" s="16" t="n"/>
      <c r="I28" s="16" t="n"/>
      <c r="J28" s="35" t="n"/>
    </row>
    <row r="29" ht="22" customHeight="1">
      <c r="B29" s="18">
        <f>IF(C29="","CAL-"&amp;TEXT(COUNTA($C$5:C29),"000"))</f>
        <v/>
      </c>
      <c r="C29" s="13" t="n"/>
      <c r="D29" s="13" t="n"/>
      <c r="E29" s="13" t="n"/>
      <c r="F29" s="14" t="n"/>
      <c r="G29" s="14" t="n"/>
      <c r="H29" s="14" t="n"/>
      <c r="I29" s="14" t="n"/>
      <c r="J29" s="34" t="n"/>
    </row>
    <row r="30" ht="22" customHeight="1">
      <c r="B30" s="17">
        <f>IF(C30="","CAL-"&amp;TEXT(COUNTA($C$5:C30),"000"))</f>
        <v/>
      </c>
      <c r="C30" s="15" t="n"/>
      <c r="D30" s="15" t="n"/>
      <c r="E30" s="15" t="n"/>
      <c r="F30" s="16" t="n"/>
      <c r="G30" s="16" t="n"/>
      <c r="H30" s="16" t="n"/>
      <c r="I30" s="16" t="n"/>
      <c r="J30" s="35" t="n"/>
    </row>
    <row r="31" ht="22" customHeight="1">
      <c r="B31" s="18">
        <f>IF(C31="","CAL-"&amp;TEXT(COUNTA($C$5:C31),"000"))</f>
        <v/>
      </c>
      <c r="C31" s="13" t="n"/>
      <c r="D31" s="13" t="n"/>
      <c r="E31" s="13" t="n"/>
      <c r="F31" s="14" t="n"/>
      <c r="G31" s="14" t="n"/>
      <c r="H31" s="14" t="n"/>
      <c r="I31" s="14" t="n"/>
      <c r="J31" s="34" t="n"/>
    </row>
    <row r="32" ht="22" customHeight="1">
      <c r="B32" s="17">
        <f>IF(C32="","CAL-"&amp;TEXT(COUNTA($C$5:C32),"000"))</f>
        <v/>
      </c>
      <c r="C32" s="15" t="n"/>
      <c r="D32" s="15" t="n"/>
      <c r="E32" s="15" t="n"/>
      <c r="F32" s="16" t="n"/>
      <c r="G32" s="16" t="n"/>
      <c r="H32" s="16" t="n"/>
      <c r="I32" s="16" t="n"/>
      <c r="J32" s="35" t="n"/>
    </row>
    <row r="33" ht="22" customHeight="1">
      <c r="B33" s="18">
        <f>IF(C33="","CAL-"&amp;TEXT(COUNTA($C$5:C33),"000"))</f>
        <v/>
      </c>
      <c r="C33" s="13" t="n"/>
      <c r="D33" s="13" t="n"/>
      <c r="E33" s="13" t="n"/>
      <c r="F33" s="14" t="n"/>
      <c r="G33" s="14" t="n"/>
      <c r="H33" s="14" t="n"/>
      <c r="I33" s="14" t="n"/>
      <c r="J33" s="34" t="n"/>
    </row>
    <row r="34" ht="22" customHeight="1">
      <c r="B34" s="17">
        <f>IF(C34="","CAL-"&amp;TEXT(COUNTA($C$5:C34),"000"))</f>
        <v/>
      </c>
      <c r="C34" s="15" t="n"/>
      <c r="D34" s="15" t="n"/>
      <c r="E34" s="15" t="n"/>
      <c r="F34" s="16" t="n"/>
      <c r="G34" s="16" t="n"/>
      <c r="H34" s="16" t="n"/>
      <c r="I34" s="16" t="n"/>
      <c r="J34" s="35" t="n"/>
    </row>
    <row r="35" ht="22" customHeight="1">
      <c r="B35" s="18">
        <f>IF(C35="","CAL-"&amp;TEXT(COUNTA($C$5:C35),"000"))</f>
        <v/>
      </c>
      <c r="C35" s="13" t="n"/>
      <c r="D35" s="13" t="n"/>
      <c r="E35" s="13" t="n"/>
      <c r="F35" s="14" t="n"/>
      <c r="G35" s="14" t="n"/>
      <c r="H35" s="14" t="n"/>
      <c r="I35" s="14" t="n"/>
      <c r="J35" s="34" t="n"/>
    </row>
    <row r="36" ht="22" customHeight="1">
      <c r="B36" s="17">
        <f>IF(C36="","CAL-"&amp;TEXT(COUNTA($C$5:C36),"000"))</f>
        <v/>
      </c>
      <c r="C36" s="15" t="n"/>
      <c r="D36" s="15" t="n"/>
      <c r="E36" s="15" t="n"/>
      <c r="F36" s="16" t="n"/>
      <c r="G36" s="16" t="n"/>
      <c r="H36" s="16" t="n"/>
      <c r="I36" s="16" t="n"/>
      <c r="J36" s="35" t="n"/>
    </row>
    <row r="37" ht="22" customHeight="1">
      <c r="B37" s="18">
        <f>IF(C37="","CAL-"&amp;TEXT(COUNTA($C$5:C37),"000"))</f>
        <v/>
      </c>
      <c r="C37" s="13" t="n"/>
      <c r="D37" s="13" t="n"/>
      <c r="E37" s="13" t="n"/>
      <c r="F37" s="14" t="n"/>
      <c r="G37" s="14" t="n"/>
      <c r="H37" s="14" t="n"/>
      <c r="I37" s="14" t="n"/>
      <c r="J37" s="34" t="n"/>
    </row>
    <row r="38" ht="22" customHeight="1">
      <c r="B38" s="17">
        <f>IF(C38="","CAL-"&amp;TEXT(COUNTA($C$5:C38),"000"))</f>
        <v/>
      </c>
      <c r="C38" s="15" t="n"/>
      <c r="D38" s="15" t="n"/>
      <c r="E38" s="15" t="n"/>
      <c r="F38" s="16" t="n"/>
      <c r="G38" s="16" t="n"/>
      <c r="H38" s="16" t="n"/>
      <c r="I38" s="16" t="n"/>
      <c r="J38" s="35" t="n"/>
    </row>
    <row r="39" ht="22" customHeight="1">
      <c r="B39" s="18">
        <f>IF(C39="","CAL-"&amp;TEXT(COUNTA($C$5:C39),"000"))</f>
        <v/>
      </c>
      <c r="C39" s="13" t="n"/>
      <c r="D39" s="13" t="n"/>
      <c r="E39" s="13" t="n"/>
      <c r="F39" s="14" t="n"/>
      <c r="G39" s="14" t="n"/>
      <c r="H39" s="14" t="n"/>
      <c r="I39" s="14" t="n"/>
      <c r="J39" s="34" t="n"/>
    </row>
    <row r="40" ht="22" customHeight="1">
      <c r="B40" s="17">
        <f>IF(C40="","CAL-"&amp;TEXT(COUNTA($C$5:C40),"000"))</f>
        <v/>
      </c>
      <c r="C40" s="15" t="n"/>
      <c r="D40" s="15" t="n"/>
      <c r="E40" s="15" t="n"/>
      <c r="F40" s="16" t="n"/>
      <c r="G40" s="16" t="n"/>
      <c r="H40" s="16" t="n"/>
      <c r="I40" s="16" t="n"/>
      <c r="J40" s="35" t="n"/>
    </row>
    <row r="41" ht="22" customHeight="1">
      <c r="B41" s="18">
        <f>IF(C41="","CAL-"&amp;TEXT(COUNTA($C$5:C41),"000"))</f>
        <v/>
      </c>
      <c r="C41" s="13" t="n"/>
      <c r="D41" s="13" t="n"/>
      <c r="E41" s="13" t="n"/>
      <c r="F41" s="14" t="n"/>
      <c r="G41" s="14" t="n"/>
      <c r="H41" s="14" t="n"/>
      <c r="I41" s="14" t="n"/>
      <c r="J41" s="34" t="n"/>
    </row>
    <row r="42" ht="22" customHeight="1">
      <c r="B42" s="17">
        <f>IF(C42="","CAL-"&amp;TEXT(COUNTA($C$5:C42),"000"))</f>
        <v/>
      </c>
      <c r="C42" s="15" t="n"/>
      <c r="D42" s="15" t="n"/>
      <c r="E42" s="15" t="n"/>
      <c r="F42" s="16" t="n"/>
      <c r="G42" s="16" t="n"/>
      <c r="H42" s="16" t="n"/>
      <c r="I42" s="16" t="n"/>
      <c r="J42" s="35" t="n"/>
    </row>
    <row r="43" ht="22" customHeight="1">
      <c r="B43" s="18">
        <f>IF(C43="","CAL-"&amp;TEXT(COUNTA($C$5:C43),"000"))</f>
        <v/>
      </c>
      <c r="C43" s="13" t="n"/>
      <c r="D43" s="13" t="n"/>
      <c r="E43" s="13" t="n"/>
      <c r="F43" s="14" t="n"/>
      <c r="G43" s="14" t="n"/>
      <c r="H43" s="14" t="n"/>
      <c r="I43" s="14" t="n"/>
      <c r="J43" s="34" t="n"/>
    </row>
    <row r="44" ht="22" customHeight="1">
      <c r="B44" s="17">
        <f>IF(C44="","CAL-"&amp;TEXT(COUNTA($C$5:C44),"000"))</f>
        <v/>
      </c>
      <c r="C44" s="15" t="n"/>
      <c r="D44" s="15" t="n"/>
      <c r="E44" s="15" t="n"/>
      <c r="F44" s="16" t="n"/>
      <c r="G44" s="16" t="n"/>
      <c r="H44" s="16" t="n"/>
      <c r="I44" s="16" t="n"/>
      <c r="J44" s="35" t="n"/>
    </row>
    <row r="45" ht="22" customHeight="1">
      <c r="B45" s="18">
        <f>IF(C45="","CAL-"&amp;TEXT(COUNTA($C$5:C45),"000"))</f>
        <v/>
      </c>
      <c r="C45" s="13" t="n"/>
      <c r="D45" s="13" t="n"/>
      <c r="E45" s="13" t="n"/>
      <c r="F45" s="14" t="n"/>
      <c r="G45" s="14" t="n"/>
      <c r="H45" s="14" t="n"/>
      <c r="I45" s="14" t="n"/>
      <c r="J45" s="34" t="n"/>
    </row>
    <row r="46" ht="22" customHeight="1">
      <c r="B46" s="17">
        <f>IF(C46="","CAL-"&amp;TEXT(COUNTA($C$5:C46),"000"))</f>
        <v/>
      </c>
      <c r="C46" s="15" t="n"/>
      <c r="D46" s="15" t="n"/>
      <c r="E46" s="15" t="n"/>
      <c r="F46" s="16" t="n"/>
      <c r="G46" s="16" t="n"/>
      <c r="H46" s="16" t="n"/>
      <c r="I46" s="16" t="n"/>
      <c r="J46" s="35" t="n"/>
    </row>
    <row r="47" ht="22" customHeight="1">
      <c r="B47" s="18">
        <f>IF(C47="","CAL-"&amp;TEXT(COUNTA($C$5:C47),"000"))</f>
        <v/>
      </c>
      <c r="C47" s="13" t="n"/>
      <c r="D47" s="13" t="n"/>
      <c r="E47" s="13" t="n"/>
      <c r="F47" s="14" t="n"/>
      <c r="G47" s="14" t="n"/>
      <c r="H47" s="14" t="n"/>
      <c r="I47" s="14" t="n"/>
      <c r="J47" s="34" t="n"/>
    </row>
    <row r="48" ht="22" customHeight="1">
      <c r="B48" s="17">
        <f>IF(C48="","CAL-"&amp;TEXT(COUNTA($C$5:C48),"000"))</f>
        <v/>
      </c>
      <c r="C48" s="15" t="n"/>
      <c r="D48" s="15" t="n"/>
      <c r="E48" s="15" t="n"/>
      <c r="F48" s="16" t="n"/>
      <c r="G48" s="16" t="n"/>
      <c r="H48" s="16" t="n"/>
      <c r="I48" s="16" t="n"/>
      <c r="J48" s="35" t="n"/>
    </row>
    <row r="49" ht="22" customHeight="1">
      <c r="B49" s="18">
        <f>IF(C49="","CAL-"&amp;TEXT(COUNTA($C$5:C49),"000"))</f>
        <v/>
      </c>
      <c r="C49" s="13" t="n"/>
      <c r="D49" s="13" t="n"/>
      <c r="E49" s="13" t="n"/>
      <c r="F49" s="14" t="n"/>
      <c r="G49" s="14" t="n"/>
      <c r="H49" s="14" t="n"/>
      <c r="I49" s="14" t="n"/>
      <c r="J49" s="34" t="n"/>
    </row>
    <row r="50" ht="22" customHeight="1">
      <c r="B50" s="17">
        <f>IF(C50="","CAL-"&amp;TEXT(COUNTA($C$5:C50),"000"))</f>
        <v/>
      </c>
      <c r="C50" s="15" t="n"/>
      <c r="D50" s="15" t="n"/>
      <c r="E50" s="15" t="n"/>
      <c r="F50" s="16" t="n"/>
      <c r="G50" s="16" t="n"/>
      <c r="H50" s="16" t="n"/>
      <c r="I50" s="16" t="n"/>
      <c r="J50" s="35" t="n"/>
    </row>
    <row r="51" ht="22" customHeight="1">
      <c r="B51" s="18">
        <f>IF(C51="","CAL-"&amp;TEXT(COUNTA($C$5:C51),"000"))</f>
        <v/>
      </c>
      <c r="C51" s="13" t="n"/>
      <c r="D51" s="13" t="n"/>
      <c r="E51" s="13" t="n"/>
      <c r="F51" s="14" t="n"/>
      <c r="G51" s="14" t="n"/>
      <c r="H51" s="14" t="n"/>
      <c r="I51" s="14" t="n"/>
      <c r="J51" s="34" t="n"/>
    </row>
    <row r="52" ht="22" customHeight="1">
      <c r="B52" s="17">
        <f>IF(C52="","CAL-"&amp;TEXT(COUNTA($C$5:C52),"000"))</f>
        <v/>
      </c>
      <c r="C52" s="15" t="n"/>
      <c r="D52" s="15" t="n"/>
      <c r="E52" s="15" t="n"/>
      <c r="F52" s="16" t="n"/>
      <c r="G52" s="16" t="n"/>
      <c r="H52" s="16" t="n"/>
      <c r="I52" s="16" t="n"/>
      <c r="J52" s="35" t="n"/>
    </row>
    <row r="53" ht="22" customHeight="1">
      <c r="B53" s="18">
        <f>IF(C53="","CAL-"&amp;TEXT(COUNTA($C$5:C53),"000"))</f>
        <v/>
      </c>
      <c r="C53" s="13" t="n"/>
      <c r="D53" s="13" t="n"/>
      <c r="E53" s="13" t="n"/>
      <c r="F53" s="14" t="n"/>
      <c r="G53" s="14" t="n"/>
      <c r="H53" s="14" t="n"/>
      <c r="I53" s="14" t="n"/>
      <c r="J53" s="34" t="n"/>
    </row>
    <row r="54" ht="22" customHeight="1">
      <c r="B54" s="17">
        <f>IF(C54="","CAL-"&amp;TEXT(COUNTA($C$5:C54),"000"))</f>
        <v/>
      </c>
      <c r="C54" s="15" t="n"/>
      <c r="D54" s="15" t="n"/>
      <c r="E54" s="15" t="n"/>
      <c r="F54" s="16" t="n"/>
      <c r="G54" s="16" t="n"/>
      <c r="H54" s="16" t="n"/>
      <c r="I54" s="16" t="n"/>
      <c r="J54" s="35" t="n"/>
    </row>
    <row r="55" ht="22" customHeight="1">
      <c r="B55" s="18">
        <f>IF(C55="","CAL-"&amp;TEXT(COUNTA($C$5:C55),"000"))</f>
        <v/>
      </c>
      <c r="C55" s="13" t="n"/>
      <c r="D55" s="13" t="n"/>
      <c r="E55" s="13" t="n"/>
      <c r="F55" s="14" t="n"/>
      <c r="G55" s="14" t="n"/>
      <c r="H55" s="14" t="n"/>
      <c r="I55" s="14" t="n"/>
      <c r="J55" s="34" t="n"/>
    </row>
    <row r="56" ht="22" customHeight="1">
      <c r="B56" s="17">
        <f>IF(C56="","CAL-"&amp;TEXT(COUNTA($C$5:C56),"000"))</f>
        <v/>
      </c>
      <c r="C56" s="15" t="n"/>
      <c r="D56" s="15" t="n"/>
      <c r="E56" s="15" t="n"/>
      <c r="F56" s="16" t="n"/>
      <c r="G56" s="16" t="n"/>
      <c r="H56" s="16" t="n"/>
      <c r="I56" s="16" t="n"/>
      <c r="J56" s="35" t="n"/>
    </row>
    <row r="57" ht="22" customHeight="1">
      <c r="B57" s="18">
        <f>IF(C57="","CAL-"&amp;TEXT(COUNTA($C$5:C57),"000"))</f>
        <v/>
      </c>
      <c r="C57" s="13" t="n"/>
      <c r="D57" s="13" t="n"/>
      <c r="E57" s="13" t="n"/>
      <c r="F57" s="14" t="n"/>
      <c r="G57" s="14" t="n"/>
      <c r="H57" s="14" t="n"/>
      <c r="I57" s="14" t="n"/>
      <c r="J57" s="34" t="n"/>
    </row>
    <row r="58" ht="22" customHeight="1">
      <c r="B58" s="17">
        <f>IF(C58="","CAL-"&amp;TEXT(COUNTA($C$5:C58),"000"))</f>
        <v/>
      </c>
      <c r="C58" s="15" t="n"/>
      <c r="D58" s="15" t="n"/>
      <c r="E58" s="15" t="n"/>
      <c r="F58" s="16" t="n"/>
      <c r="G58" s="16" t="n"/>
      <c r="H58" s="16" t="n"/>
      <c r="I58" s="16" t="n"/>
      <c r="J58" s="35" t="n"/>
    </row>
    <row r="59" ht="22" customHeight="1">
      <c r="B59" s="18">
        <f>IF(C59="","CAL-"&amp;TEXT(COUNTA($C$5:C59),"000"))</f>
        <v/>
      </c>
      <c r="C59" s="13" t="n"/>
      <c r="D59" s="13" t="n"/>
      <c r="E59" s="13" t="n"/>
      <c r="F59" s="14" t="n"/>
      <c r="G59" s="14" t="n"/>
      <c r="H59" s="14" t="n"/>
      <c r="I59" s="14" t="n"/>
      <c r="J59" s="34" t="n"/>
    </row>
    <row r="60" ht="22" customHeight="1">
      <c r="B60" s="17">
        <f>IF(C60="","CAL-"&amp;TEXT(COUNTA($C$5:C60),"000"))</f>
        <v/>
      </c>
      <c r="C60" s="15" t="n"/>
      <c r="D60" s="15" t="n"/>
      <c r="E60" s="15" t="n"/>
      <c r="F60" s="16" t="n"/>
      <c r="G60" s="16" t="n"/>
      <c r="H60" s="16" t="n"/>
      <c r="I60" s="16" t="n"/>
      <c r="J60" s="35" t="n"/>
    </row>
    <row r="61" ht="22" customHeight="1">
      <c r="B61" s="18">
        <f>IF(C61="","CAL-"&amp;TEXT(COUNTA($C$5:C61),"000"))</f>
        <v/>
      </c>
      <c r="C61" s="13" t="n"/>
      <c r="D61" s="13" t="n"/>
      <c r="E61" s="13" t="n"/>
      <c r="F61" s="14" t="n"/>
      <c r="G61" s="14" t="n"/>
      <c r="H61" s="14" t="n"/>
      <c r="I61" s="14" t="n"/>
      <c r="J61" s="34" t="n"/>
    </row>
    <row r="62" ht="22" customHeight="1">
      <c r="B62" s="17">
        <f>IF(C62="","CAL-"&amp;TEXT(COUNTA($C$5:C62),"000"))</f>
        <v/>
      </c>
      <c r="C62" s="15" t="n"/>
      <c r="D62" s="15" t="n"/>
      <c r="E62" s="15" t="n"/>
      <c r="F62" s="16" t="n"/>
      <c r="G62" s="16" t="n"/>
      <c r="H62" s="16" t="n"/>
      <c r="I62" s="16" t="n"/>
      <c r="J62" s="35" t="n"/>
    </row>
    <row r="63" ht="22" customHeight="1">
      <c r="B63" s="18">
        <f>IF(C63="","CAL-"&amp;TEXT(COUNTA($C$5:C63),"000"))</f>
        <v/>
      </c>
      <c r="C63" s="13" t="n"/>
      <c r="D63" s="13" t="n"/>
      <c r="E63" s="13" t="n"/>
      <c r="F63" s="14" t="n"/>
      <c r="G63" s="14" t="n"/>
      <c r="H63" s="14" t="n"/>
      <c r="I63" s="14" t="n"/>
      <c r="J63" s="34" t="n"/>
    </row>
    <row r="64" ht="22" customHeight="1">
      <c r="B64" s="17">
        <f>IF(C64="","CAL-"&amp;TEXT(COUNTA($C$5:C64),"000"))</f>
        <v/>
      </c>
      <c r="C64" s="15" t="n"/>
      <c r="D64" s="15" t="n"/>
      <c r="E64" s="15" t="n"/>
      <c r="F64" s="16" t="n"/>
      <c r="G64" s="16" t="n"/>
      <c r="H64" s="16" t="n"/>
      <c r="I64" s="16" t="n"/>
      <c r="J64" s="35" t="n"/>
    </row>
    <row r="65" ht="22" customHeight="1">
      <c r="B65" s="18">
        <f>IF(C65="","CAL-"&amp;TEXT(COUNTA($C$5:C65),"000"))</f>
        <v/>
      </c>
      <c r="C65" s="13" t="n"/>
      <c r="D65" s="13" t="n"/>
      <c r="E65" s="13" t="n"/>
      <c r="F65" s="14" t="n"/>
      <c r="G65" s="14" t="n"/>
      <c r="H65" s="14" t="n"/>
      <c r="I65" s="14" t="n"/>
      <c r="J65" s="34" t="n"/>
    </row>
    <row r="66" ht="22" customHeight="1">
      <c r="B66" s="17">
        <f>IF(C66="","CAL-"&amp;TEXT(COUNTA($C$5:C66),"000"))</f>
        <v/>
      </c>
      <c r="C66" s="15" t="n"/>
      <c r="D66" s="15" t="n"/>
      <c r="E66" s="15" t="n"/>
      <c r="F66" s="16" t="n"/>
      <c r="G66" s="16" t="n"/>
      <c r="H66" s="16" t="n"/>
      <c r="I66" s="16" t="n"/>
      <c r="J66" s="35" t="n"/>
    </row>
    <row r="67" ht="22" customHeight="1">
      <c r="B67" s="18">
        <f>IF(C67="","CAL-"&amp;TEXT(COUNTA($C$5:C67),"000"))</f>
        <v/>
      </c>
      <c r="C67" s="13" t="n"/>
      <c r="D67" s="13" t="n"/>
      <c r="E67" s="13" t="n"/>
      <c r="F67" s="14" t="n"/>
      <c r="G67" s="14" t="n"/>
      <c r="H67" s="14" t="n"/>
      <c r="I67" s="14" t="n"/>
      <c r="J67" s="34" t="n"/>
    </row>
    <row r="68" ht="22" customHeight="1">
      <c r="B68" s="17">
        <f>IF(C68="","CAL-"&amp;TEXT(COUNTA($C$5:C68),"000"))</f>
        <v/>
      </c>
      <c r="C68" s="15" t="n"/>
      <c r="D68" s="15" t="n"/>
      <c r="E68" s="15" t="n"/>
      <c r="F68" s="16" t="n"/>
      <c r="G68" s="16" t="n"/>
      <c r="H68" s="16" t="n"/>
      <c r="I68" s="16" t="n"/>
      <c r="J68" s="35" t="n"/>
    </row>
    <row r="69" ht="22" customHeight="1">
      <c r="B69" s="18">
        <f>IF(C69="","CAL-"&amp;TEXT(COUNTA($C$5:C69),"000"))</f>
        <v/>
      </c>
      <c r="C69" s="13" t="n"/>
      <c r="D69" s="13" t="n"/>
      <c r="E69" s="13" t="n"/>
      <c r="F69" s="14" t="n"/>
      <c r="G69" s="14" t="n"/>
      <c r="H69" s="14" t="n"/>
      <c r="I69" s="14" t="n"/>
      <c r="J69" s="34" t="n"/>
    </row>
    <row r="70" ht="22" customHeight="1">
      <c r="B70" s="17">
        <f>IF(C70="","CAL-"&amp;TEXT(COUNTA($C$5:C70),"000"))</f>
        <v/>
      </c>
      <c r="C70" s="15" t="n"/>
      <c r="D70" s="15" t="n"/>
      <c r="E70" s="15" t="n"/>
      <c r="F70" s="16" t="n"/>
      <c r="G70" s="16" t="n"/>
      <c r="H70" s="16" t="n"/>
      <c r="I70" s="16" t="n"/>
      <c r="J70" s="35" t="n"/>
    </row>
    <row r="71" ht="22" customHeight="1">
      <c r="B71" s="18">
        <f>IF(C71="","CAL-"&amp;TEXT(COUNTA($C$5:C71),"000"))</f>
        <v/>
      </c>
      <c r="C71" s="13" t="n"/>
      <c r="D71" s="13" t="n"/>
      <c r="E71" s="13" t="n"/>
      <c r="F71" s="14" t="n"/>
      <c r="G71" s="14" t="n"/>
      <c r="H71" s="14" t="n"/>
      <c r="I71" s="14" t="n"/>
      <c r="J71" s="34" t="n"/>
    </row>
    <row r="72" ht="22" customHeight="1">
      <c r="B72" s="17">
        <f>IF(C72="","CAL-"&amp;TEXT(COUNTA($C$5:C72),"000"))</f>
        <v/>
      </c>
      <c r="C72" s="15" t="n"/>
      <c r="D72" s="15" t="n"/>
      <c r="E72" s="15" t="n"/>
      <c r="F72" s="16" t="n"/>
      <c r="G72" s="16" t="n"/>
      <c r="H72" s="16" t="n"/>
      <c r="I72" s="16" t="n"/>
      <c r="J72" s="35" t="n"/>
    </row>
    <row r="73" ht="22" customHeight="1">
      <c r="B73" s="18">
        <f>IF(C73="","CAL-"&amp;TEXT(COUNTA($C$5:C73),"000"))</f>
        <v/>
      </c>
      <c r="C73" s="13" t="n"/>
      <c r="D73" s="13" t="n"/>
      <c r="E73" s="13" t="n"/>
      <c r="F73" s="14" t="n"/>
      <c r="G73" s="14" t="n"/>
      <c r="H73" s="14" t="n"/>
      <c r="I73" s="14" t="n"/>
      <c r="J73" s="34" t="n"/>
    </row>
    <row r="74" ht="22" customHeight="1">
      <c r="B74" s="17">
        <f>IF(C74="","CAL-"&amp;TEXT(COUNTA($C$5:C74),"000"))</f>
        <v/>
      </c>
      <c r="C74" s="15" t="n"/>
      <c r="D74" s="15" t="n"/>
      <c r="E74" s="15" t="n"/>
      <c r="F74" s="16" t="n"/>
      <c r="G74" s="16" t="n"/>
      <c r="H74" s="16" t="n"/>
      <c r="I74" s="16" t="n"/>
      <c r="J74" s="35" t="n"/>
    </row>
    <row r="75" ht="22" customHeight="1">
      <c r="B75" s="18">
        <f>IF(C75="","CAL-"&amp;TEXT(COUNTA($C$5:C75),"000"))</f>
        <v/>
      </c>
      <c r="C75" s="13" t="n"/>
      <c r="D75" s="13" t="n"/>
      <c r="E75" s="13" t="n"/>
      <c r="F75" s="14" t="n"/>
      <c r="G75" s="14" t="n"/>
      <c r="H75" s="14" t="n"/>
      <c r="I75" s="14" t="n"/>
      <c r="J75" s="34" t="n"/>
    </row>
    <row r="76" ht="22" customHeight="1">
      <c r="B76" s="17">
        <f>IF(C76="","CAL-"&amp;TEXT(COUNTA($C$5:C76),"000"))</f>
        <v/>
      </c>
      <c r="C76" s="15" t="n"/>
      <c r="D76" s="15" t="n"/>
      <c r="E76" s="15" t="n"/>
      <c r="F76" s="16" t="n"/>
      <c r="G76" s="16" t="n"/>
      <c r="H76" s="16" t="n"/>
      <c r="I76" s="16" t="n"/>
      <c r="J76" s="35" t="n"/>
    </row>
    <row r="77" ht="22" customHeight="1">
      <c r="B77" s="18">
        <f>IF(C77="","CAL-"&amp;TEXT(COUNTA($C$5:C77),"000"))</f>
        <v/>
      </c>
      <c r="C77" s="13" t="n"/>
      <c r="D77" s="13" t="n"/>
      <c r="E77" s="13" t="n"/>
      <c r="F77" s="14" t="n"/>
      <c r="G77" s="14" t="n"/>
      <c r="H77" s="14" t="n"/>
      <c r="I77" s="14" t="n"/>
      <c r="J77" s="34" t="n"/>
    </row>
    <row r="78" ht="22" customHeight="1">
      <c r="B78" s="17">
        <f>IF(C78="","CAL-"&amp;TEXT(COUNTA($C$5:C78),"000"))</f>
        <v/>
      </c>
      <c r="C78" s="15" t="n"/>
      <c r="D78" s="15" t="n"/>
      <c r="E78" s="15" t="n"/>
      <c r="F78" s="16" t="n"/>
      <c r="G78" s="16" t="n"/>
      <c r="H78" s="16" t="n"/>
      <c r="I78" s="16" t="n"/>
      <c r="J78" s="35" t="n"/>
    </row>
    <row r="79" ht="22" customHeight="1">
      <c r="B79" s="18">
        <f>IF(C79="","CAL-"&amp;TEXT(COUNTA($C$5:C79),"000"))</f>
        <v/>
      </c>
      <c r="C79" s="13" t="n"/>
      <c r="D79" s="13" t="n"/>
      <c r="E79" s="13" t="n"/>
      <c r="F79" s="14" t="n"/>
      <c r="G79" s="14" t="n"/>
      <c r="H79" s="14" t="n"/>
      <c r="I79" s="14" t="n"/>
      <c r="J79" s="34" t="n"/>
    </row>
    <row r="80" ht="22" customHeight="1">
      <c r="B80" s="17">
        <f>IF(C80="","CAL-"&amp;TEXT(COUNTA($C$5:C80),"000"))</f>
        <v/>
      </c>
      <c r="C80" s="15" t="n"/>
      <c r="D80" s="15" t="n"/>
      <c r="E80" s="15" t="n"/>
      <c r="F80" s="16" t="n"/>
      <c r="G80" s="16" t="n"/>
      <c r="H80" s="16" t="n"/>
      <c r="I80" s="16" t="n"/>
      <c r="J80" s="35" t="n"/>
    </row>
    <row r="81" ht="22" customHeight="1">
      <c r="B81" s="18">
        <f>IF(C81="","CAL-"&amp;TEXT(COUNTA($C$5:C81),"000"))</f>
        <v/>
      </c>
      <c r="C81" s="13" t="n"/>
      <c r="D81" s="13" t="n"/>
      <c r="E81" s="13" t="n"/>
      <c r="F81" s="14" t="n"/>
      <c r="G81" s="14" t="n"/>
      <c r="H81" s="14" t="n"/>
      <c r="I81" s="14" t="n"/>
      <c r="J81" s="34" t="n"/>
    </row>
    <row r="82" ht="22" customHeight="1">
      <c r="B82" s="17">
        <f>IF(C82="","CAL-"&amp;TEXT(COUNTA($C$5:C82),"000"))</f>
        <v/>
      </c>
      <c r="C82" s="15" t="n"/>
      <c r="D82" s="15" t="n"/>
      <c r="E82" s="15" t="n"/>
      <c r="F82" s="16" t="n"/>
      <c r="G82" s="16" t="n"/>
      <c r="H82" s="16" t="n"/>
      <c r="I82" s="16" t="n"/>
      <c r="J82" s="35" t="n"/>
    </row>
    <row r="83" ht="22" customHeight="1">
      <c r="B83" s="18">
        <f>IF(C83="","CAL-"&amp;TEXT(COUNTA($C$5:C83),"000"))</f>
        <v/>
      </c>
      <c r="C83" s="13" t="n"/>
      <c r="D83" s="13" t="n"/>
      <c r="E83" s="13" t="n"/>
      <c r="F83" s="14" t="n"/>
      <c r="G83" s="14" t="n"/>
      <c r="H83" s="14" t="n"/>
      <c r="I83" s="14" t="n"/>
      <c r="J83" s="34" t="n"/>
    </row>
    <row r="84" ht="22" customHeight="1">
      <c r="B84" s="17">
        <f>IF(C84="","CAL-"&amp;TEXT(COUNTA($C$5:C84),"000"))</f>
        <v/>
      </c>
      <c r="C84" s="15" t="n"/>
      <c r="D84" s="15" t="n"/>
      <c r="E84" s="15" t="n"/>
      <c r="F84" s="16" t="n"/>
      <c r="G84" s="16" t="n"/>
      <c r="H84" s="16" t="n"/>
      <c r="I84" s="16" t="n"/>
      <c r="J84" s="35" t="n"/>
    </row>
    <row r="85" ht="22" customHeight="1">
      <c r="B85" s="18">
        <f>IF(C85="","CAL-"&amp;TEXT(COUNTA($C$5:C85),"000"))</f>
        <v/>
      </c>
      <c r="C85" s="13" t="n"/>
      <c r="D85" s="13" t="n"/>
      <c r="E85" s="13" t="n"/>
      <c r="F85" s="14" t="n"/>
      <c r="G85" s="14" t="n"/>
      <c r="H85" s="14" t="n"/>
      <c r="I85" s="14" t="n"/>
      <c r="J85" s="34" t="n"/>
    </row>
    <row r="86" ht="22" customHeight="1">
      <c r="B86" s="17">
        <f>IF(C86="","CAL-"&amp;TEXT(COUNTA($C$5:C86),"000"))</f>
        <v/>
      </c>
      <c r="C86" s="15" t="n"/>
      <c r="D86" s="15" t="n"/>
      <c r="E86" s="15" t="n"/>
      <c r="F86" s="16" t="n"/>
      <c r="G86" s="16" t="n"/>
      <c r="H86" s="16" t="n"/>
      <c r="I86" s="16" t="n"/>
      <c r="J86" s="35" t="n"/>
    </row>
    <row r="87" ht="22" customHeight="1">
      <c r="B87" s="18">
        <f>IF(C87="","CAL-"&amp;TEXT(COUNTA($C$5:C87),"000"))</f>
        <v/>
      </c>
      <c r="C87" s="13" t="n"/>
      <c r="D87" s="13" t="n"/>
      <c r="E87" s="13" t="n"/>
      <c r="F87" s="14" t="n"/>
      <c r="G87" s="14" t="n"/>
      <c r="H87" s="14" t="n"/>
      <c r="I87" s="14" t="n"/>
      <c r="J87" s="34" t="n"/>
    </row>
    <row r="88" ht="22" customHeight="1">
      <c r="B88" s="17">
        <f>IF(C88="","CAL-"&amp;TEXT(COUNTA($C$5:C88),"000"))</f>
        <v/>
      </c>
      <c r="C88" s="15" t="n"/>
      <c r="D88" s="15" t="n"/>
      <c r="E88" s="15" t="n"/>
      <c r="F88" s="16" t="n"/>
      <c r="G88" s="16" t="n"/>
      <c r="H88" s="16" t="n"/>
      <c r="I88" s="16" t="n"/>
      <c r="J88" s="35" t="n"/>
    </row>
    <row r="89" ht="22" customHeight="1">
      <c r="B89" s="18">
        <f>IF(C89="","CAL-"&amp;TEXT(COUNTA($C$5:C89),"000"))</f>
        <v/>
      </c>
      <c r="C89" s="13" t="n"/>
      <c r="D89" s="13" t="n"/>
      <c r="E89" s="13" t="n"/>
      <c r="F89" s="14" t="n"/>
      <c r="G89" s="14" t="n"/>
      <c r="H89" s="14" t="n"/>
      <c r="I89" s="14" t="n"/>
      <c r="J89" s="34" t="n"/>
    </row>
    <row r="90" ht="22" customHeight="1">
      <c r="B90" s="17">
        <f>IF(C90="","CAL-"&amp;TEXT(COUNTA($C$5:C90),"000"))</f>
        <v/>
      </c>
      <c r="C90" s="15" t="n"/>
      <c r="D90" s="15" t="n"/>
      <c r="E90" s="15" t="n"/>
      <c r="F90" s="16" t="n"/>
      <c r="G90" s="16" t="n"/>
      <c r="H90" s="16" t="n"/>
      <c r="I90" s="16" t="n"/>
      <c r="J90" s="35" t="n"/>
    </row>
    <row r="91" ht="22" customHeight="1">
      <c r="B91" s="18">
        <f>IF(C91="","CAL-"&amp;TEXT(COUNTA($C$5:C91),"000"))</f>
        <v/>
      </c>
      <c r="C91" s="13" t="n"/>
      <c r="D91" s="13" t="n"/>
      <c r="E91" s="13" t="n"/>
      <c r="F91" s="14" t="n"/>
      <c r="G91" s="14" t="n"/>
      <c r="H91" s="14" t="n"/>
      <c r="I91" s="14" t="n"/>
      <c r="J91" s="34" t="n"/>
    </row>
    <row r="92" ht="22" customHeight="1">
      <c r="B92" s="17">
        <f>IF(C92="","CAL-"&amp;TEXT(COUNTA($C$5:C92),"000"))</f>
        <v/>
      </c>
      <c r="C92" s="15" t="n"/>
      <c r="D92" s="15" t="n"/>
      <c r="E92" s="15" t="n"/>
      <c r="F92" s="16" t="n"/>
      <c r="G92" s="16" t="n"/>
      <c r="H92" s="16" t="n"/>
      <c r="I92" s="16" t="n"/>
      <c r="J92" s="35" t="n"/>
    </row>
    <row r="93" ht="22" customHeight="1">
      <c r="B93" s="18">
        <f>IF(C93="","CAL-"&amp;TEXT(COUNTA($C$5:C93),"000"))</f>
        <v/>
      </c>
      <c r="C93" s="13" t="n"/>
      <c r="D93" s="13" t="n"/>
      <c r="E93" s="13" t="n"/>
      <c r="F93" s="14" t="n"/>
      <c r="G93" s="14" t="n"/>
      <c r="H93" s="14" t="n"/>
      <c r="I93" s="14" t="n"/>
      <c r="J93" s="34" t="n"/>
    </row>
    <row r="94" ht="22" customHeight="1">
      <c r="B94" s="17">
        <f>IF(C94="","CAL-"&amp;TEXT(COUNTA($C$5:C94),"000"))</f>
        <v/>
      </c>
      <c r="C94" s="15" t="n"/>
      <c r="D94" s="15" t="n"/>
      <c r="E94" s="15" t="n"/>
      <c r="F94" s="16" t="n"/>
      <c r="G94" s="16" t="n"/>
      <c r="H94" s="16" t="n"/>
      <c r="I94" s="16" t="n"/>
      <c r="J94" s="35" t="n"/>
    </row>
    <row r="95" ht="22" customHeight="1">
      <c r="B95" s="18">
        <f>IF(C95="","CAL-"&amp;TEXT(COUNTA($C$5:C95),"000"))</f>
        <v/>
      </c>
      <c r="C95" s="13" t="n"/>
      <c r="D95" s="13" t="n"/>
      <c r="E95" s="13" t="n"/>
      <c r="F95" s="14" t="n"/>
      <c r="G95" s="14" t="n"/>
      <c r="H95" s="14" t="n"/>
      <c r="I95" s="14" t="n"/>
      <c r="J95" s="34" t="n"/>
    </row>
    <row r="96" ht="22" customHeight="1">
      <c r="B96" s="17">
        <f>IF(C96="","CAL-"&amp;TEXT(COUNTA($C$5:C96),"000"))</f>
        <v/>
      </c>
      <c r="C96" s="15" t="n"/>
      <c r="D96" s="15" t="n"/>
      <c r="E96" s="15" t="n"/>
      <c r="F96" s="16" t="n"/>
      <c r="G96" s="16" t="n"/>
      <c r="H96" s="16" t="n"/>
      <c r="I96" s="16" t="n"/>
      <c r="J96" s="35" t="n"/>
    </row>
    <row r="97" ht="22" customHeight="1">
      <c r="B97" s="18">
        <f>IF(C97="","CAL-"&amp;TEXT(COUNTA($C$5:C97),"000"))</f>
        <v/>
      </c>
      <c r="C97" s="13" t="n"/>
      <c r="D97" s="13" t="n"/>
      <c r="E97" s="13" t="n"/>
      <c r="F97" s="14" t="n"/>
      <c r="G97" s="14" t="n"/>
      <c r="H97" s="14" t="n"/>
      <c r="I97" s="14" t="n"/>
      <c r="J97" s="34" t="n"/>
    </row>
    <row r="98" ht="22" customHeight="1">
      <c r="B98" s="17">
        <f>IF(C98="","CAL-"&amp;TEXT(COUNTA($C$5:C98),"000"))</f>
        <v/>
      </c>
      <c r="C98" s="15" t="n"/>
      <c r="D98" s="15" t="n"/>
      <c r="E98" s="15" t="n"/>
      <c r="F98" s="16" t="n"/>
      <c r="G98" s="16" t="n"/>
      <c r="H98" s="16" t="n"/>
      <c r="I98" s="16" t="n"/>
      <c r="J98" s="35" t="n"/>
    </row>
    <row r="99" ht="22" customHeight="1">
      <c r="B99" s="18">
        <f>IF(C99="","CAL-"&amp;TEXT(COUNTA($C$5:C99),"000"))</f>
        <v/>
      </c>
      <c r="C99" s="13" t="n"/>
      <c r="D99" s="13" t="n"/>
      <c r="E99" s="13" t="n"/>
      <c r="F99" s="14" t="n"/>
      <c r="G99" s="14" t="n"/>
      <c r="H99" s="14" t="n"/>
      <c r="I99" s="14" t="n"/>
      <c r="J99" s="34" t="n"/>
    </row>
    <row r="100" ht="22" customHeight="1">
      <c r="B100" s="17">
        <f>IF(C100="","CAL-"&amp;TEXT(COUNTA($C$5:C100),"000"))</f>
        <v/>
      </c>
      <c r="C100" s="15" t="n"/>
      <c r="D100" s="15" t="n"/>
      <c r="E100" s="15" t="n"/>
      <c r="F100" s="16" t="n"/>
      <c r="G100" s="16" t="n"/>
      <c r="H100" s="16" t="n"/>
      <c r="I100" s="16" t="n"/>
      <c r="J100" s="35" t="n"/>
    </row>
    <row r="101" ht="22" customHeight="1">
      <c r="B101" s="18">
        <f>IF(C101="","CAL-"&amp;TEXT(COUNTA($C$5:C101),"000"))</f>
        <v/>
      </c>
      <c r="C101" s="13" t="n"/>
      <c r="D101" s="13" t="n"/>
      <c r="E101" s="13" t="n"/>
      <c r="F101" s="14" t="n"/>
      <c r="G101" s="14" t="n"/>
      <c r="H101" s="14" t="n"/>
      <c r="I101" s="14" t="n"/>
      <c r="J101" s="34" t="n"/>
    </row>
    <row r="102" ht="22" customHeight="1">
      <c r="B102" s="17">
        <f>IF(C102="","CAL-"&amp;TEXT(COUNTA($C$5:C102),"000"))</f>
        <v/>
      </c>
      <c r="C102" s="15" t="n"/>
      <c r="D102" s="15" t="n"/>
      <c r="E102" s="15" t="n"/>
      <c r="F102" s="16" t="n"/>
      <c r="G102" s="16" t="n"/>
      <c r="H102" s="16" t="n"/>
      <c r="I102" s="16" t="n"/>
      <c r="J102" s="35" t="n"/>
    </row>
    <row r="103" ht="22" customHeight="1">
      <c r="B103" s="18">
        <f>IF(C103="","CAL-"&amp;TEXT(COUNTA($C$5:C103),"000"))</f>
        <v/>
      </c>
      <c r="C103" s="13" t="n"/>
      <c r="D103" s="13" t="n"/>
      <c r="E103" s="13" t="n"/>
      <c r="F103" s="14" t="n"/>
      <c r="G103" s="14" t="n"/>
      <c r="H103" s="14" t="n"/>
      <c r="I103" s="14" t="n"/>
      <c r="J103" s="34" t="n"/>
    </row>
    <row r="104" ht="22" customHeight="1">
      <c r="B104" s="17">
        <f>IF(C104="","CAL-"&amp;TEXT(COUNTA($C$5:C104),"000"))</f>
        <v/>
      </c>
      <c r="C104" s="15" t="n"/>
      <c r="D104" s="15" t="n"/>
      <c r="E104" s="15" t="n"/>
      <c r="F104" s="16" t="n"/>
      <c r="G104" s="16" t="n"/>
      <c r="H104" s="16" t="n"/>
      <c r="I104" s="16" t="n"/>
      <c r="J104" s="35" t="n"/>
    </row>
    <row r="105" ht="22" customHeight="1">
      <c r="B105" s="18">
        <f>IF(C105="","CAL-"&amp;TEXT(COUNTA($C$5:C105),"000"))</f>
        <v/>
      </c>
      <c r="C105" s="13" t="n"/>
      <c r="D105" s="13" t="n"/>
      <c r="E105" s="13" t="n"/>
      <c r="F105" s="14" t="n"/>
      <c r="G105" s="14" t="n"/>
      <c r="H105" s="14" t="n"/>
      <c r="I105" s="14" t="n"/>
      <c r="J105" s="34" t="n"/>
    </row>
    <row r="106" ht="22" customHeight="1">
      <c r="B106" s="17">
        <f>IF(C106="","CAL-"&amp;TEXT(COUNTA($C$5:C106),"000"))</f>
        <v/>
      </c>
      <c r="C106" s="15" t="n"/>
      <c r="D106" s="15" t="n"/>
      <c r="E106" s="15" t="n"/>
      <c r="F106" s="16" t="n"/>
      <c r="G106" s="16" t="n"/>
      <c r="H106" s="16" t="n"/>
      <c r="I106" s="16" t="n"/>
      <c r="J106" s="35" t="n"/>
    </row>
    <row r="107" ht="22" customHeight="1">
      <c r="B107" s="18">
        <f>IF(C107="","CAL-"&amp;TEXT(COUNTA($C$5:C107),"000"))</f>
        <v/>
      </c>
      <c r="C107" s="13" t="n"/>
      <c r="D107" s="13" t="n"/>
      <c r="E107" s="13" t="n"/>
      <c r="F107" s="14" t="n"/>
      <c r="G107" s="14" t="n"/>
      <c r="H107" s="14" t="n"/>
      <c r="I107" s="14" t="n"/>
      <c r="J107" s="34" t="n"/>
    </row>
    <row r="108" ht="22" customHeight="1">
      <c r="B108" s="17">
        <f>IF(C108="","CAL-"&amp;TEXT(COUNTA($C$5:C108),"000"))</f>
        <v/>
      </c>
      <c r="C108" s="15" t="n"/>
      <c r="D108" s="15" t="n"/>
      <c r="E108" s="15" t="n"/>
      <c r="F108" s="16" t="n"/>
      <c r="G108" s="16" t="n"/>
      <c r="H108" s="16" t="n"/>
      <c r="I108" s="16" t="n"/>
      <c r="J108" s="35" t="n"/>
    </row>
    <row r="109" ht="22" customHeight="1">
      <c r="B109" s="18">
        <f>IF(C109="","CAL-"&amp;TEXT(COUNTA($C$5:C109),"000"))</f>
        <v/>
      </c>
      <c r="C109" s="13" t="n"/>
      <c r="D109" s="13" t="n"/>
      <c r="E109" s="13" t="n"/>
      <c r="F109" s="14" t="n"/>
      <c r="G109" s="14" t="n"/>
      <c r="H109" s="14" t="n"/>
      <c r="I109" s="14" t="n"/>
      <c r="J109" s="34" t="n"/>
    </row>
    <row r="110" ht="22" customHeight="1">
      <c r="B110" s="17">
        <f>IF(C110="","CAL-"&amp;TEXT(COUNTA($C$5:C110),"000"))</f>
        <v/>
      </c>
      <c r="C110" s="15" t="n"/>
      <c r="D110" s="15" t="n"/>
      <c r="E110" s="15" t="n"/>
      <c r="F110" s="16" t="n"/>
      <c r="G110" s="16" t="n"/>
      <c r="H110" s="16" t="n"/>
      <c r="I110" s="16" t="n"/>
      <c r="J110" s="35" t="n"/>
    </row>
    <row r="112" ht="26" customHeight="1">
      <c r="B112" s="19" t="inlineStr">
        <is>
          <t>TOTAL</t>
        </is>
      </c>
      <c r="C112" s="20" t="n"/>
      <c r="D112" s="20" t="n"/>
      <c r="E112" s="20" t="n"/>
      <c r="F112" s="21">
        <f>SUM(F5:F104)</f>
        <v/>
      </c>
      <c r="G112" s="21">
        <f>SUM(G5:G104)</f>
        <v/>
      </c>
      <c r="H112" s="21">
        <f>SUM(H5:H104)</f>
        <v/>
      </c>
      <c r="I112" s="21">
        <f>SUM(I5:I104)</f>
        <v/>
      </c>
      <c r="J112" s="20" t="n"/>
    </row>
    <row r="114">
      <c r="B114" s="6" t="inlineStr">
        <is>
          <t>INDICATEURS (mis a jour automatiquement)</t>
        </is>
      </c>
    </row>
    <row r="115">
      <c r="B115" s="3" t="inlineStr">
        <is>
          <t>Total conges planifies</t>
        </is>
      </c>
      <c r="D115" s="3" t="inlineStr">
        <is>
          <t>Total arrets maladie</t>
        </is>
      </c>
      <c r="F115" s="3" t="inlineStr">
        <is>
          <t>Total permissions</t>
        </is>
      </c>
      <c r="H115" s="3" t="inlineStr">
        <is>
          <t>Lignes calendrier</t>
        </is>
      </c>
    </row>
    <row r="116">
      <c r="B116" s="4">
        <f>SUM(F5:F104)</f>
        <v/>
      </c>
      <c r="D116" s="4">
        <f>SUM(I5:I104)</f>
        <v/>
      </c>
      <c r="F116" s="4">
        <f>SUM(H5:H104)</f>
        <v/>
      </c>
      <c r="H116" s="4">
        <f>COUNTIF(B5:B104,"&lt;&gt;")</f>
        <v/>
      </c>
    </row>
  </sheetData>
  <mergeCells count="3">
    <mergeCell ref="B3:J3"/>
    <mergeCell ref="B2:J2"/>
    <mergeCell ref="B114:J114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conditionalFormatting sqref="J11:J110">
    <cfRule type="expression" priority="9" dxfId="3">
      <formula>AND($C11="",$C10&lt;&gt;"")</formula>
    </cfRule>
  </conditionalFormatting>
  <dataValidations count="3">
    <dataValidation sqref="C5:C110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D5:D110" showDropDown="0" showInputMessage="0" showErrorMessage="0" allowBlank="1" errorTitle="Erreur" error="Valeur invalide" promptTitle="Liste" prompt="Choisir dans la liste" type="list">
      <formula1>'_Lists'!$R$2:$R$13</formula1>
    </dataValidation>
    <dataValidation sqref="E5:E110" showDropDown="0" showInputMessage="0" showErrorMessage="0" allowBlank="1" errorTitle="Erreur" error="Valeur invalide" promptTitle="Liste" prompt="Choisir dans la liste" type="list">
      <formula1>'_Lists'!$S$2:$S$4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18" customWidth="1" min="5" max="5"/>
    <col width="10" customWidth="1" min="6" max="6"/>
    <col width="14" customWidth="1" min="7" max="7"/>
    <col width="16" customWidth="1" min="8" max="8"/>
    <col width="18" customWidth="1" min="9" max="9"/>
    <col width="14" customWidth="1" min="10" max="10"/>
    <col width="14" customWidth="1" min="11" max="11"/>
    <col width="16" customWidth="1" min="12" max="12"/>
  </cols>
  <sheetData>
    <row r="1" ht="15" customHeight="1"/>
    <row r="2" ht="32" customHeight="1">
      <c r="B2" s="1" t="inlineStr">
        <is>
          <t>COMPTEURS D'ABSENCES PAR EMPLOYE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Annee</t>
        </is>
      </c>
      <c r="G4" s="12" t="inlineStr">
        <is>
          <t>Nb Conges</t>
        </is>
      </c>
      <c r="H4" s="12" t="inlineStr">
        <is>
          <t>Nb Permissions</t>
        </is>
      </c>
      <c r="I4" s="12" t="inlineStr">
        <is>
          <t>Nb Arrets Maladie</t>
        </is>
      </c>
      <c r="J4" s="12" t="inlineStr">
        <is>
          <t>Nb Retards</t>
        </is>
      </c>
      <c r="K4" s="12" t="inlineStr">
        <is>
          <t>Nb Absences NJ</t>
        </is>
      </c>
      <c r="L4" s="12" t="inlineStr">
        <is>
          <t>Score Presence</t>
        </is>
      </c>
    </row>
    <row r="5" ht="22" customHeight="1">
      <c r="B5" s="13" t="inlineStr">
        <is>
          <t>CA-001</t>
        </is>
      </c>
      <c r="C5" s="13" t="inlineStr">
        <is>
          <t>EMP-001</t>
        </is>
      </c>
      <c r="D5" s="13">
        <f>IF(C5="","",VLOOKUP(C5,'_Données Employés'!$B$5:$H$18,4,FALSE)&amp;" "&amp;VLOOKUP(C5,'_Données Employés'!$B$5:$H$18,5,FALSE))</f>
        <v/>
      </c>
      <c r="E5" s="13">
        <f>IF(C5="","",VLOOKUP(C5,'_Données Employés'!$B$5:$H$18,6,FALSE))</f>
        <v/>
      </c>
      <c r="F5" s="13" t="inlineStr">
        <is>
          <t>2025</t>
        </is>
      </c>
      <c r="G5" s="14">
        <f>COUNTIF('3-Planning Departs Conge'!C:C,C5)+COUNTIF('5-Conges Sans Solde'!C:C,C5)</f>
        <v/>
      </c>
      <c r="H5" s="14">
        <f>COUNTIF('4-Permissions Speciales'!C:C,C5)</f>
        <v/>
      </c>
      <c r="I5" s="14">
        <f>COUNTIF('8-Arrets Maladie'!C:C,C5)+COUNTIF('9-Arrets Accident Travail'!C:C,C5)+COUNTIF('10-Conges Maternite Paternite'!C:C,C5)</f>
        <v/>
      </c>
      <c r="J5" s="14">
        <f>COUNTIF('7-Retards &amp; Departs Anticipes'!C:C,C5)</f>
        <v/>
      </c>
      <c r="K5" s="14">
        <f>COUNTIF('6-Absences Non Justifiees'!C:C,C5)</f>
        <v/>
      </c>
      <c r="L5" s="14">
        <f>MAX(0,ROUND(100-(G5*0.5+H5*0.3+I5*1+J5*0.1+K5*2)/22*100,1))</f>
        <v/>
      </c>
    </row>
    <row r="6" ht="22" customHeight="1">
      <c r="B6" s="15" t="inlineStr">
        <is>
          <t>CA-002</t>
        </is>
      </c>
      <c r="C6" s="15" t="inlineStr">
        <is>
          <t>EMP-002</t>
        </is>
      </c>
      <c r="D6" s="15">
        <f>IF(C6="","",VLOOKUP(C6,'_Données Employés'!$B$5:$H$18,4,FALSE)&amp;" "&amp;VLOOKUP(C6,'_Données Employés'!$B$5:$H$18,5,FALSE))</f>
        <v/>
      </c>
      <c r="E6" s="15">
        <f>IF(C6="","",VLOOKUP(C6,'_Données Employés'!$B$5:$H$18,6,FALSE))</f>
        <v/>
      </c>
      <c r="F6" s="15" t="inlineStr">
        <is>
          <t>2025</t>
        </is>
      </c>
      <c r="G6" s="16">
        <f>COUNTIF('3-Planning Departs Conge'!C:C,C6)+COUNTIF('5-Conges Sans Solde'!C:C,C6)</f>
        <v/>
      </c>
      <c r="H6" s="16">
        <f>COUNTIF('4-Permissions Speciales'!C:C,C6)</f>
        <v/>
      </c>
      <c r="I6" s="16">
        <f>COUNTIF('8-Arrets Maladie'!C:C,C6)+COUNTIF('9-Arrets Accident Travail'!C:C,C6)+COUNTIF('10-Conges Maternite Paternite'!C:C,C6)</f>
        <v/>
      </c>
      <c r="J6" s="16">
        <f>COUNTIF('7-Retards &amp; Departs Anticipes'!C:C,C6)</f>
        <v/>
      </c>
      <c r="K6" s="16">
        <f>COUNTIF('6-Absences Non Justifiees'!C:C,C6)</f>
        <v/>
      </c>
      <c r="L6" s="16">
        <f>MAX(0,ROUND(100-(G6*0.5+H6*0.3+I6*1+J6*0.1+K6*2)/22*100,1))</f>
        <v/>
      </c>
    </row>
    <row r="7" ht="22" customHeight="1">
      <c r="B7" s="13" t="inlineStr">
        <is>
          <t>CA-003</t>
        </is>
      </c>
      <c r="C7" s="13" t="inlineStr">
        <is>
          <t>EMP-003</t>
        </is>
      </c>
      <c r="D7" s="13">
        <f>IF(C7="","",VLOOKUP(C7,'_Données Employés'!$B$5:$H$18,4,FALSE)&amp;" "&amp;VLOOKUP(C7,'_Données Employés'!$B$5:$H$18,5,FALSE))</f>
        <v/>
      </c>
      <c r="E7" s="13">
        <f>IF(C7="","",VLOOKUP(C7,'_Données Employés'!$B$5:$H$18,6,FALSE))</f>
        <v/>
      </c>
      <c r="F7" s="13" t="inlineStr">
        <is>
          <t>2025</t>
        </is>
      </c>
      <c r="G7" s="14">
        <f>COUNTIF('3-Planning Departs Conge'!C:C,C7)+COUNTIF('5-Conges Sans Solde'!C:C,C7)</f>
        <v/>
      </c>
      <c r="H7" s="14">
        <f>COUNTIF('4-Permissions Speciales'!C:C,C7)</f>
        <v/>
      </c>
      <c r="I7" s="14">
        <f>COUNTIF('8-Arrets Maladie'!C:C,C7)+COUNTIF('9-Arrets Accident Travail'!C:C,C7)+COUNTIF('10-Conges Maternite Paternite'!C:C,C7)</f>
        <v/>
      </c>
      <c r="J7" s="14">
        <f>COUNTIF('7-Retards &amp; Departs Anticipes'!C:C,C7)</f>
        <v/>
      </c>
      <c r="K7" s="14">
        <f>COUNTIF('6-Absences Non Justifiees'!C:C,C7)</f>
        <v/>
      </c>
      <c r="L7" s="14">
        <f>MAX(0,ROUND(100-(G7*0.5+H7*0.3+I7*1+J7*0.1+K7*2)/22*100,1))</f>
        <v/>
      </c>
    </row>
    <row r="8" ht="22" customHeight="1">
      <c r="B8" s="15" t="inlineStr">
        <is>
          <t>CA-004</t>
        </is>
      </c>
      <c r="C8" s="15" t="inlineStr">
        <is>
          <t>EMP-004</t>
        </is>
      </c>
      <c r="D8" s="15">
        <f>IF(C8="","",VLOOKUP(C8,'_Données Employés'!$B$5:$H$18,4,FALSE)&amp;" "&amp;VLOOKUP(C8,'_Données Employés'!$B$5:$H$18,5,FALSE))</f>
        <v/>
      </c>
      <c r="E8" s="15">
        <f>IF(C8="","",VLOOKUP(C8,'_Données Employés'!$B$5:$H$18,6,FALSE))</f>
        <v/>
      </c>
      <c r="F8" s="15" t="inlineStr">
        <is>
          <t>2025</t>
        </is>
      </c>
      <c r="G8" s="16">
        <f>COUNTIF('3-Planning Departs Conge'!C:C,C8)+COUNTIF('5-Conges Sans Solde'!C:C,C8)</f>
        <v/>
      </c>
      <c r="H8" s="16">
        <f>COUNTIF('4-Permissions Speciales'!C:C,C8)</f>
        <v/>
      </c>
      <c r="I8" s="16">
        <f>COUNTIF('8-Arrets Maladie'!C:C,C8)+COUNTIF('9-Arrets Accident Travail'!C:C,C8)+COUNTIF('10-Conges Maternite Paternite'!C:C,C8)</f>
        <v/>
      </c>
      <c r="J8" s="16">
        <f>COUNTIF('7-Retards &amp; Departs Anticipes'!C:C,C8)</f>
        <v/>
      </c>
      <c r="K8" s="16">
        <f>COUNTIF('6-Absences Non Justifiees'!C:C,C8)</f>
        <v/>
      </c>
      <c r="L8" s="16">
        <f>MAX(0,ROUND(100-(G8*0.5+H8*0.3+I8*1+J8*0.1+K8*2)/22*100,1))</f>
        <v/>
      </c>
    </row>
    <row r="9" ht="22" customHeight="1">
      <c r="B9" s="13" t="inlineStr">
        <is>
          <t>CA-005</t>
        </is>
      </c>
      <c r="C9" s="13" t="inlineStr">
        <is>
          <t>EMP-005</t>
        </is>
      </c>
      <c r="D9" s="13">
        <f>IF(C9="","",VLOOKUP(C9,'_Données Employés'!$B$5:$H$18,4,FALSE)&amp;" "&amp;VLOOKUP(C9,'_Données Employés'!$B$5:$H$18,5,FALSE))</f>
        <v/>
      </c>
      <c r="E9" s="13">
        <f>IF(C9="","",VLOOKUP(C9,'_Données Employés'!$B$5:$H$18,6,FALSE))</f>
        <v/>
      </c>
      <c r="F9" s="13" t="inlineStr">
        <is>
          <t>2025</t>
        </is>
      </c>
      <c r="G9" s="14">
        <f>COUNTIF('3-Planning Departs Conge'!C:C,C9)+COUNTIF('5-Conges Sans Solde'!C:C,C9)</f>
        <v/>
      </c>
      <c r="H9" s="14">
        <f>COUNTIF('4-Permissions Speciales'!C:C,C9)</f>
        <v/>
      </c>
      <c r="I9" s="14">
        <f>COUNTIF('8-Arrets Maladie'!C:C,C9)+COUNTIF('9-Arrets Accident Travail'!C:C,C9)+COUNTIF('10-Conges Maternite Paternite'!C:C,C9)</f>
        <v/>
      </c>
      <c r="J9" s="14">
        <f>COUNTIF('7-Retards &amp; Departs Anticipes'!C:C,C9)</f>
        <v/>
      </c>
      <c r="K9" s="14">
        <f>COUNTIF('6-Absences Non Justifiees'!C:C,C9)</f>
        <v/>
      </c>
      <c r="L9" s="14">
        <f>MAX(0,ROUND(100-(G9*0.5+H9*0.3+I9*1+J9*0.1+K9*2)/22*100,1))</f>
        <v/>
      </c>
    </row>
    <row r="10" ht="22" customHeight="1">
      <c r="B10" s="13" t="inlineStr">
        <is>
          <t>CA-028</t>
        </is>
      </c>
      <c r="C10" s="13" t="inlineStr">
        <is>
          <t>EMP-028</t>
        </is>
      </c>
      <c r="D10" s="13">
        <f>IF(C10="","",VLOOKUP(C10,'_Données Employés'!$B$5:$H$18,4,FALSE)&amp;" "&amp;VLOOKUP(C10,'_Données Employés'!$B$5:$H$18,5,FALSE))</f>
        <v/>
      </c>
      <c r="E10" s="13">
        <f>IF(C10="","",VLOOKUP(C10,'_Données Employés'!$B$5:$H$18,6,FALSE))</f>
        <v/>
      </c>
      <c r="F10" s="13" t="inlineStr">
        <is>
          <t>2025</t>
        </is>
      </c>
      <c r="G10" s="14">
        <f>COUNTIF('3-Planning Departs Conge'!C:C,C10)+COUNTIF('5-Conges Sans Solde'!C:C,C10)</f>
        <v/>
      </c>
      <c r="H10" s="14">
        <f>COUNTIF('4-Permissions Speciales'!C:C,C10)</f>
        <v/>
      </c>
      <c r="I10" s="14">
        <f>COUNTIF('8-Arrets Maladie'!C:C,C10)+COUNTIF('9-Arrets Accident Travail'!C:C,C10)+COUNTIF('10-Conges Maternite Paternite'!C:C,C10)</f>
        <v/>
      </c>
      <c r="J10" s="14">
        <f>COUNTIF('7-Retards &amp; Departs Anticipes'!C:C,C10)</f>
        <v/>
      </c>
      <c r="K10" s="14">
        <f>COUNTIF('6-Absences Non Justifiees'!C:C,C10)</f>
        <v/>
      </c>
      <c r="L10" s="14">
        <f>MAX(0,ROUND(100-(G10*0.5+H10*0.3+I10*1+J10*0.1+K10*2)/22*100,1))</f>
        <v/>
      </c>
    </row>
    <row r="11" ht="22" customHeight="1">
      <c r="B11" s="13" t="inlineStr">
        <is>
          <t>CA-029</t>
        </is>
      </c>
      <c r="C11" s="13" t="inlineStr">
        <is>
          <t>EMP-029</t>
        </is>
      </c>
      <c r="D11" s="13">
        <f>IF(C11="","",VLOOKUP(C11,'_Données Employés'!$B$5:$H$18,4,FALSE)&amp;" "&amp;VLOOKUP(C11,'_Données Employés'!$B$5:$H$18,5,FALSE))</f>
        <v/>
      </c>
      <c r="E11" s="13">
        <f>IF(C11="","",VLOOKUP(C11,'_Données Employés'!$B$5:$H$18,6,FALSE))</f>
        <v/>
      </c>
      <c r="F11" s="13" t="inlineStr">
        <is>
          <t>2025</t>
        </is>
      </c>
      <c r="G11" s="14">
        <f>COUNTIF('3-Planning Departs Conge'!C:C,C11)+COUNTIF('5-Conges Sans Solde'!C:C,C11)</f>
        <v/>
      </c>
      <c r="H11" s="14">
        <f>COUNTIF('4-Permissions Speciales'!C:C,C11)</f>
        <v/>
      </c>
      <c r="I11" s="14">
        <f>COUNTIF('8-Arrets Maladie'!C:C,C11)+COUNTIF('9-Arrets Accident Travail'!C:C,C11)+COUNTIF('10-Conges Maternite Paternite'!C:C,C11)</f>
        <v/>
      </c>
      <c r="J11" s="14">
        <f>COUNTIF('7-Retards &amp; Departs Anticipes'!C:C,C11)</f>
        <v/>
      </c>
      <c r="K11" s="14">
        <f>COUNTIF('6-Absences Non Justifiees'!C:C,C11)</f>
        <v/>
      </c>
      <c r="L11" s="14">
        <f>MAX(0,ROUND(100-(G11*0.5+H11*0.3+I11*1+J11*0.1+K11*2)/22*100,1))</f>
        <v/>
      </c>
    </row>
    <row r="12" ht="22" customHeight="1">
      <c r="B12" s="17">
        <f>IF(C12="","CA-"&amp;TEXT(COUNTA($C$5:C12),"000"))</f>
        <v/>
      </c>
      <c r="C12" s="15" t="n"/>
      <c r="D12" s="15" t="n"/>
      <c r="E12" s="15" t="n"/>
      <c r="F12" s="15" t="n"/>
      <c r="G12" s="16" t="n"/>
      <c r="H12" s="16" t="n"/>
      <c r="I12" s="16" t="n"/>
      <c r="J12" s="16" t="n"/>
      <c r="K12" s="16" t="n"/>
      <c r="L12" s="16" t="n"/>
    </row>
    <row r="13" ht="22" customHeight="1">
      <c r="B13" s="18">
        <f>IF(C13="","CA-"&amp;TEXT(COUNTA($C$5:C13),"000"))</f>
        <v/>
      </c>
      <c r="C13" s="13" t="n"/>
      <c r="D13" s="13" t="n"/>
      <c r="E13" s="13" t="n"/>
      <c r="F13" s="13" t="n"/>
      <c r="G13" s="14" t="n"/>
      <c r="H13" s="14" t="n"/>
      <c r="I13" s="14" t="n"/>
      <c r="J13" s="14" t="n"/>
      <c r="K13" s="14" t="n"/>
      <c r="L13" s="14" t="n"/>
    </row>
    <row r="14" ht="22" customHeight="1">
      <c r="B14" s="17">
        <f>IF(C14="","CA-"&amp;TEXT(COUNTA($C$5:C14),"000"))</f>
        <v/>
      </c>
      <c r="C14" s="15" t="n"/>
      <c r="D14" s="15" t="n"/>
      <c r="E14" s="15" t="n"/>
      <c r="F14" s="15" t="n"/>
      <c r="G14" s="16" t="n"/>
      <c r="H14" s="16" t="n"/>
      <c r="I14" s="16" t="n"/>
      <c r="J14" s="16" t="n"/>
      <c r="K14" s="16" t="n"/>
      <c r="L14" s="16" t="n"/>
    </row>
    <row r="15" ht="22" customHeight="1">
      <c r="B15" s="18">
        <f>IF(C15="","CA-"&amp;TEXT(COUNTA($C$5:C15),"000"))</f>
        <v/>
      </c>
      <c r="C15" s="13" t="n"/>
      <c r="D15" s="13" t="n"/>
      <c r="E15" s="13" t="n"/>
      <c r="F15" s="13" t="n"/>
      <c r="G15" s="14" t="n"/>
      <c r="H15" s="14" t="n"/>
      <c r="I15" s="14" t="n"/>
      <c r="J15" s="14" t="n"/>
      <c r="K15" s="14" t="n"/>
      <c r="L15" s="14" t="n"/>
    </row>
    <row r="16" ht="22" customHeight="1">
      <c r="B16" s="17">
        <f>IF(C16="","CA-"&amp;TEXT(COUNTA($C$5:C16),"000"))</f>
        <v/>
      </c>
      <c r="C16" s="15" t="n"/>
      <c r="D16" s="15" t="n"/>
      <c r="E16" s="15" t="n"/>
      <c r="F16" s="15" t="n"/>
      <c r="G16" s="16" t="n"/>
      <c r="H16" s="16" t="n"/>
      <c r="I16" s="16" t="n"/>
      <c r="J16" s="16" t="n"/>
      <c r="K16" s="16" t="n"/>
      <c r="L16" s="16" t="n"/>
    </row>
    <row r="17" ht="22" customHeight="1">
      <c r="B17" s="18">
        <f>IF(C17="","CA-"&amp;TEXT(COUNTA($C$5:C17),"000"))</f>
        <v/>
      </c>
      <c r="C17" s="13" t="n"/>
      <c r="D17" s="13" t="n"/>
      <c r="E17" s="13" t="n"/>
      <c r="F17" s="13" t="n"/>
      <c r="G17" s="14" t="n"/>
      <c r="H17" s="14" t="n"/>
      <c r="I17" s="14" t="n"/>
      <c r="J17" s="14" t="n"/>
      <c r="K17" s="14" t="n"/>
      <c r="L17" s="14" t="n"/>
    </row>
    <row r="18" ht="22" customHeight="1">
      <c r="B18" s="17">
        <f>IF(C18="","CA-"&amp;TEXT(COUNTA($C$5:C18),"000"))</f>
        <v/>
      </c>
      <c r="C18" s="15" t="n"/>
      <c r="D18" s="15" t="n"/>
      <c r="E18" s="15" t="n"/>
      <c r="F18" s="15" t="n"/>
      <c r="G18" s="16" t="n"/>
      <c r="H18" s="16" t="n"/>
      <c r="I18" s="16" t="n"/>
      <c r="J18" s="16" t="n"/>
      <c r="K18" s="16" t="n"/>
      <c r="L18" s="16" t="n"/>
    </row>
    <row r="19" ht="22" customHeight="1">
      <c r="B19" s="18">
        <f>IF(C19="","CA-"&amp;TEXT(COUNTA($C$5:C19),"000"))</f>
        <v/>
      </c>
      <c r="C19" s="13" t="n"/>
      <c r="D19" s="13" t="n"/>
      <c r="E19" s="13" t="n"/>
      <c r="F19" s="13" t="n"/>
      <c r="G19" s="14" t="n"/>
      <c r="H19" s="14" t="n"/>
      <c r="I19" s="14" t="n"/>
      <c r="J19" s="14" t="n"/>
      <c r="K19" s="14" t="n"/>
      <c r="L19" s="14" t="n"/>
    </row>
    <row r="20" ht="22" customHeight="1">
      <c r="B20" s="17">
        <f>IF(C20="","CA-"&amp;TEXT(COUNTA($C$5:C20),"000"))</f>
        <v/>
      </c>
      <c r="C20" s="15" t="n"/>
      <c r="D20" s="15" t="n"/>
      <c r="E20" s="15" t="n"/>
      <c r="F20" s="15" t="n"/>
      <c r="G20" s="16" t="n"/>
      <c r="H20" s="16" t="n"/>
      <c r="I20" s="16" t="n"/>
      <c r="J20" s="16" t="n"/>
      <c r="K20" s="16" t="n"/>
      <c r="L20" s="16" t="n"/>
    </row>
    <row r="21" ht="22" customHeight="1">
      <c r="B21" s="18">
        <f>IF(C21="","CA-"&amp;TEXT(COUNTA($C$5:C21),"000"))</f>
        <v/>
      </c>
      <c r="C21" s="13" t="n"/>
      <c r="D21" s="13" t="n"/>
      <c r="E21" s="13" t="n"/>
      <c r="F21" s="13" t="n"/>
      <c r="G21" s="14" t="n"/>
      <c r="H21" s="14" t="n"/>
      <c r="I21" s="14" t="n"/>
      <c r="J21" s="14" t="n"/>
      <c r="K21" s="14" t="n"/>
      <c r="L21" s="14" t="n"/>
    </row>
    <row r="22" ht="22" customHeight="1">
      <c r="B22" s="17">
        <f>IF(C22="","CA-"&amp;TEXT(COUNTA($C$5:C22),"000"))</f>
        <v/>
      </c>
      <c r="C22" s="15" t="n"/>
      <c r="D22" s="15" t="n"/>
      <c r="E22" s="15" t="n"/>
      <c r="F22" s="15" t="n"/>
      <c r="G22" s="16" t="n"/>
      <c r="H22" s="16" t="n"/>
      <c r="I22" s="16" t="n"/>
      <c r="J22" s="16" t="n"/>
      <c r="K22" s="16" t="n"/>
      <c r="L22" s="16" t="n"/>
    </row>
    <row r="23" ht="22" customHeight="1">
      <c r="B23" s="18">
        <f>IF(C23="","CA-"&amp;TEXT(COUNTA($C$5:C23),"000"))</f>
        <v/>
      </c>
      <c r="C23" s="13" t="n"/>
      <c r="D23" s="13" t="n"/>
      <c r="E23" s="13" t="n"/>
      <c r="F23" s="13" t="n"/>
      <c r="G23" s="14" t="n"/>
      <c r="H23" s="14" t="n"/>
      <c r="I23" s="14" t="n"/>
      <c r="J23" s="14" t="n"/>
      <c r="K23" s="14" t="n"/>
      <c r="L23" s="14" t="n"/>
    </row>
    <row r="24" ht="22" customHeight="1">
      <c r="B24" s="17">
        <f>IF(C24="","CA-"&amp;TEXT(COUNTA($C$5:C24),"000"))</f>
        <v/>
      </c>
      <c r="C24" s="15" t="n"/>
      <c r="D24" s="15" t="n"/>
      <c r="E24" s="15" t="n"/>
      <c r="F24" s="15" t="n"/>
      <c r="G24" s="16" t="n"/>
      <c r="H24" s="16" t="n"/>
      <c r="I24" s="16" t="n"/>
      <c r="J24" s="16" t="n"/>
      <c r="K24" s="16" t="n"/>
      <c r="L24" s="16" t="n"/>
    </row>
    <row r="25" ht="22" customHeight="1">
      <c r="B25" s="18">
        <f>IF(C25="","CA-"&amp;TEXT(COUNTA($C$5:C25),"000"))</f>
        <v/>
      </c>
      <c r="C25" s="13" t="n"/>
      <c r="D25" s="13" t="n"/>
      <c r="E25" s="13" t="n"/>
      <c r="F25" s="13" t="n"/>
      <c r="G25" s="14" t="n"/>
      <c r="H25" s="14" t="n"/>
      <c r="I25" s="14" t="n"/>
      <c r="J25" s="14" t="n"/>
      <c r="K25" s="14" t="n"/>
      <c r="L25" s="14" t="n"/>
    </row>
    <row r="26" ht="22" customHeight="1">
      <c r="B26" s="17">
        <f>IF(C26="","CA-"&amp;TEXT(COUNTA($C$5:C26),"000"))</f>
        <v/>
      </c>
      <c r="C26" s="15" t="n"/>
      <c r="D26" s="15" t="n"/>
      <c r="E26" s="15" t="n"/>
      <c r="F26" s="15" t="n"/>
      <c r="G26" s="16" t="n"/>
      <c r="H26" s="16" t="n"/>
      <c r="I26" s="16" t="n"/>
      <c r="J26" s="16" t="n"/>
      <c r="K26" s="16" t="n"/>
      <c r="L26" s="16" t="n"/>
    </row>
    <row r="27" ht="22" customHeight="1">
      <c r="B27" s="18">
        <f>IF(C27="","CA-"&amp;TEXT(COUNTA($C$5:C27),"000"))</f>
        <v/>
      </c>
      <c r="C27" s="13" t="n"/>
      <c r="D27" s="13" t="n"/>
      <c r="E27" s="13" t="n"/>
      <c r="F27" s="13" t="n"/>
      <c r="G27" s="14" t="n"/>
      <c r="H27" s="14" t="n"/>
      <c r="I27" s="14" t="n"/>
      <c r="J27" s="14" t="n"/>
      <c r="K27" s="14" t="n"/>
      <c r="L27" s="14" t="n"/>
    </row>
    <row r="28" ht="22" customHeight="1">
      <c r="B28" s="17">
        <f>IF(C28="","CA-"&amp;TEXT(COUNTA($C$5:C28),"000"))</f>
        <v/>
      </c>
      <c r="C28" s="15" t="n"/>
      <c r="D28" s="15" t="n"/>
      <c r="E28" s="15" t="n"/>
      <c r="F28" s="15" t="n"/>
      <c r="G28" s="16" t="n"/>
      <c r="H28" s="16" t="n"/>
      <c r="I28" s="16" t="n"/>
      <c r="J28" s="16" t="n"/>
      <c r="K28" s="16" t="n"/>
      <c r="L28" s="16" t="n"/>
    </row>
    <row r="29" ht="22" customHeight="1">
      <c r="B29" s="18">
        <f>IF(C29="","CA-"&amp;TEXT(COUNTA($C$5:C29),"000"))</f>
        <v/>
      </c>
      <c r="C29" s="13" t="n"/>
      <c r="D29" s="13" t="n"/>
      <c r="E29" s="13" t="n"/>
      <c r="F29" s="13" t="n"/>
      <c r="G29" s="14" t="n"/>
      <c r="H29" s="14" t="n"/>
      <c r="I29" s="14" t="n"/>
      <c r="J29" s="14" t="n"/>
      <c r="K29" s="14" t="n"/>
      <c r="L29" s="14" t="n"/>
    </row>
    <row r="30" ht="22" customHeight="1">
      <c r="B30" s="17">
        <f>IF(C30="","CA-"&amp;TEXT(COUNTA($C$5:C30),"000"))</f>
        <v/>
      </c>
      <c r="C30" s="15" t="n"/>
      <c r="D30" s="15" t="n"/>
      <c r="E30" s="15" t="n"/>
      <c r="F30" s="15" t="n"/>
      <c r="G30" s="16" t="n"/>
      <c r="H30" s="16" t="n"/>
      <c r="I30" s="16" t="n"/>
      <c r="J30" s="16" t="n"/>
      <c r="K30" s="16" t="n"/>
      <c r="L30" s="16" t="n"/>
    </row>
    <row r="31" ht="22" customHeight="1">
      <c r="B31" s="18">
        <f>IF(C31="","CA-"&amp;TEXT(COUNTA($C$5:C31),"000"))</f>
        <v/>
      </c>
      <c r="C31" s="13" t="n"/>
      <c r="D31" s="13" t="n"/>
      <c r="E31" s="13" t="n"/>
      <c r="F31" s="13" t="n"/>
      <c r="G31" s="14" t="n"/>
      <c r="H31" s="14" t="n"/>
      <c r="I31" s="14" t="n"/>
      <c r="J31" s="14" t="n"/>
      <c r="K31" s="14" t="n"/>
      <c r="L31" s="14" t="n"/>
    </row>
    <row r="32" ht="22" customHeight="1">
      <c r="B32" s="17">
        <f>IF(C32="","CA-"&amp;TEXT(COUNTA($C$5:C32),"000"))</f>
        <v/>
      </c>
      <c r="C32" s="15" t="n"/>
      <c r="D32" s="15" t="n"/>
      <c r="E32" s="15" t="n"/>
      <c r="F32" s="15" t="n"/>
      <c r="G32" s="16" t="n"/>
      <c r="H32" s="16" t="n"/>
      <c r="I32" s="16" t="n"/>
      <c r="J32" s="16" t="n"/>
      <c r="K32" s="16" t="n"/>
      <c r="L32" s="16" t="n"/>
    </row>
    <row r="33" ht="22" customHeight="1">
      <c r="B33" s="18">
        <f>IF(C33="","CA-"&amp;TEXT(COUNTA($C$5:C33),"000"))</f>
        <v/>
      </c>
      <c r="C33" s="13" t="n"/>
      <c r="D33" s="13" t="n"/>
      <c r="E33" s="13" t="n"/>
      <c r="F33" s="13" t="n"/>
      <c r="G33" s="14" t="n"/>
      <c r="H33" s="14" t="n"/>
      <c r="I33" s="14" t="n"/>
      <c r="J33" s="14" t="n"/>
      <c r="K33" s="14" t="n"/>
      <c r="L33" s="14" t="n"/>
    </row>
    <row r="34" ht="22" customHeight="1">
      <c r="B34" s="17">
        <f>IF(C34="","CA-"&amp;TEXT(COUNTA($C$5:C34),"000"))</f>
        <v/>
      </c>
      <c r="C34" s="15" t="n"/>
      <c r="D34" s="15" t="n"/>
      <c r="E34" s="15" t="n"/>
      <c r="F34" s="15" t="n"/>
      <c r="G34" s="16" t="n"/>
      <c r="H34" s="16" t="n"/>
      <c r="I34" s="16" t="n"/>
      <c r="J34" s="16" t="n"/>
      <c r="K34" s="16" t="n"/>
      <c r="L34" s="16" t="n"/>
    </row>
    <row r="35" ht="22" customHeight="1">
      <c r="B35" s="18">
        <f>IF(C35="","CA-"&amp;TEXT(COUNTA($C$5:C35),"000"))</f>
        <v/>
      </c>
      <c r="C35" s="13" t="n"/>
      <c r="D35" s="13" t="n"/>
      <c r="E35" s="13" t="n"/>
      <c r="F35" s="13" t="n"/>
      <c r="G35" s="14" t="n"/>
      <c r="H35" s="14" t="n"/>
      <c r="I35" s="14" t="n"/>
      <c r="J35" s="14" t="n"/>
      <c r="K35" s="14" t="n"/>
      <c r="L35" s="14" t="n"/>
    </row>
    <row r="36" ht="22" customHeight="1">
      <c r="B36" s="17">
        <f>IF(C36="","CA-"&amp;TEXT(COUNTA($C$5:C36),"000"))</f>
        <v/>
      </c>
      <c r="C36" s="15" t="n"/>
      <c r="D36" s="15" t="n"/>
      <c r="E36" s="15" t="n"/>
      <c r="F36" s="15" t="n"/>
      <c r="G36" s="16" t="n"/>
      <c r="H36" s="16" t="n"/>
      <c r="I36" s="16" t="n"/>
      <c r="J36" s="16" t="n"/>
      <c r="K36" s="16" t="n"/>
      <c r="L36" s="16" t="n"/>
    </row>
    <row r="37" ht="22" customHeight="1">
      <c r="B37" s="18">
        <f>IF(C37="","CA-"&amp;TEXT(COUNTA($C$5:C37),"000"))</f>
        <v/>
      </c>
      <c r="C37" s="13" t="n"/>
      <c r="D37" s="13" t="n"/>
      <c r="E37" s="13" t="n"/>
      <c r="F37" s="13" t="n"/>
      <c r="G37" s="14" t="n"/>
      <c r="H37" s="14" t="n"/>
      <c r="I37" s="14" t="n"/>
      <c r="J37" s="14" t="n"/>
      <c r="K37" s="14" t="n"/>
      <c r="L37" s="14" t="n"/>
    </row>
    <row r="38" ht="22" customHeight="1">
      <c r="B38" s="17">
        <f>IF(C38="","CA-"&amp;TEXT(COUNTA($C$5:C38),"000"))</f>
        <v/>
      </c>
      <c r="C38" s="15" t="n"/>
      <c r="D38" s="15" t="n"/>
      <c r="E38" s="15" t="n"/>
      <c r="F38" s="15" t="n"/>
      <c r="G38" s="16" t="n"/>
      <c r="H38" s="16" t="n"/>
      <c r="I38" s="16" t="n"/>
      <c r="J38" s="16" t="n"/>
      <c r="K38" s="16" t="n"/>
      <c r="L38" s="16" t="n"/>
    </row>
    <row r="39" ht="22" customHeight="1">
      <c r="B39" s="18">
        <f>IF(C39="","CA-"&amp;TEXT(COUNTA($C$5:C39),"000"))</f>
        <v/>
      </c>
      <c r="C39" s="13" t="n"/>
      <c r="D39" s="13" t="n"/>
      <c r="E39" s="13" t="n"/>
      <c r="F39" s="13" t="n"/>
      <c r="G39" s="14" t="n"/>
      <c r="H39" s="14" t="n"/>
      <c r="I39" s="14" t="n"/>
      <c r="J39" s="14" t="n"/>
      <c r="K39" s="14" t="n"/>
      <c r="L39" s="14" t="n"/>
    </row>
    <row r="40" ht="22" customHeight="1">
      <c r="B40" s="17">
        <f>IF(C40="","CA-"&amp;TEXT(COUNTA($C$5:C40),"000"))</f>
        <v/>
      </c>
      <c r="C40" s="15" t="n"/>
      <c r="D40" s="15" t="n"/>
      <c r="E40" s="15" t="n"/>
      <c r="F40" s="15" t="n"/>
      <c r="G40" s="16" t="n"/>
      <c r="H40" s="16" t="n"/>
      <c r="I40" s="16" t="n"/>
      <c r="J40" s="16" t="n"/>
      <c r="K40" s="16" t="n"/>
      <c r="L40" s="16" t="n"/>
    </row>
    <row r="41" ht="22" customHeight="1">
      <c r="B41" s="18">
        <f>IF(C41="","CA-"&amp;TEXT(COUNTA($C$5:C41),"000"))</f>
        <v/>
      </c>
      <c r="C41" s="13" t="n"/>
      <c r="D41" s="13" t="n"/>
      <c r="E41" s="13" t="n"/>
      <c r="F41" s="13" t="n"/>
      <c r="G41" s="14" t="n"/>
      <c r="H41" s="14" t="n"/>
      <c r="I41" s="14" t="n"/>
      <c r="J41" s="14" t="n"/>
      <c r="K41" s="14" t="n"/>
      <c r="L41" s="14" t="n"/>
    </row>
    <row r="42" ht="22" customHeight="1">
      <c r="B42" s="17">
        <f>IF(C42="","CA-"&amp;TEXT(COUNTA($C$5:C42),"000"))</f>
        <v/>
      </c>
      <c r="C42" s="15" t="n"/>
      <c r="D42" s="15" t="n"/>
      <c r="E42" s="15" t="n"/>
      <c r="F42" s="15" t="n"/>
      <c r="G42" s="16" t="n"/>
      <c r="H42" s="16" t="n"/>
      <c r="I42" s="16" t="n"/>
      <c r="J42" s="16" t="n"/>
      <c r="K42" s="16" t="n"/>
      <c r="L42" s="16" t="n"/>
    </row>
    <row r="43" ht="22" customHeight="1">
      <c r="B43" s="18">
        <f>IF(C43="","CA-"&amp;TEXT(COUNTA($C$5:C43),"000"))</f>
        <v/>
      </c>
      <c r="C43" s="13" t="n"/>
      <c r="D43" s="13" t="n"/>
      <c r="E43" s="13" t="n"/>
      <c r="F43" s="13" t="n"/>
      <c r="G43" s="14" t="n"/>
      <c r="H43" s="14" t="n"/>
      <c r="I43" s="14" t="n"/>
      <c r="J43" s="14" t="n"/>
      <c r="K43" s="14" t="n"/>
      <c r="L43" s="14" t="n"/>
    </row>
    <row r="44" ht="22" customHeight="1">
      <c r="B44" s="17">
        <f>IF(C44="","CA-"&amp;TEXT(COUNTA($C$5:C44),"000"))</f>
        <v/>
      </c>
      <c r="C44" s="15" t="n"/>
      <c r="D44" s="15" t="n"/>
      <c r="E44" s="15" t="n"/>
      <c r="F44" s="15" t="n"/>
      <c r="G44" s="16" t="n"/>
      <c r="H44" s="16" t="n"/>
      <c r="I44" s="16" t="n"/>
      <c r="J44" s="16" t="n"/>
      <c r="K44" s="16" t="n"/>
      <c r="L44" s="16" t="n"/>
    </row>
    <row r="45" ht="22" customHeight="1">
      <c r="B45" s="18">
        <f>IF(C45="","CA-"&amp;TEXT(COUNTA($C$5:C45),"000"))</f>
        <v/>
      </c>
      <c r="C45" s="13" t="n"/>
      <c r="D45" s="13" t="n"/>
      <c r="E45" s="13" t="n"/>
      <c r="F45" s="13" t="n"/>
      <c r="G45" s="14" t="n"/>
      <c r="H45" s="14" t="n"/>
      <c r="I45" s="14" t="n"/>
      <c r="J45" s="14" t="n"/>
      <c r="K45" s="14" t="n"/>
      <c r="L45" s="14" t="n"/>
    </row>
    <row r="46" ht="22" customHeight="1">
      <c r="B46" s="17">
        <f>IF(C46="","CA-"&amp;TEXT(COUNTA($C$5:C46),"000"))</f>
        <v/>
      </c>
      <c r="C46" s="15" t="n"/>
      <c r="D46" s="15" t="n"/>
      <c r="E46" s="15" t="n"/>
      <c r="F46" s="15" t="n"/>
      <c r="G46" s="16" t="n"/>
      <c r="H46" s="16" t="n"/>
      <c r="I46" s="16" t="n"/>
      <c r="J46" s="16" t="n"/>
      <c r="K46" s="16" t="n"/>
      <c r="L46" s="16" t="n"/>
    </row>
    <row r="47" ht="22" customHeight="1">
      <c r="B47" s="18">
        <f>IF(C47="","CA-"&amp;TEXT(COUNTA($C$5:C47),"000"))</f>
        <v/>
      </c>
      <c r="C47" s="13" t="n"/>
      <c r="D47" s="13" t="n"/>
      <c r="E47" s="13" t="n"/>
      <c r="F47" s="13" t="n"/>
      <c r="G47" s="14" t="n"/>
      <c r="H47" s="14" t="n"/>
      <c r="I47" s="14" t="n"/>
      <c r="J47" s="14" t="n"/>
      <c r="K47" s="14" t="n"/>
      <c r="L47" s="14" t="n"/>
    </row>
    <row r="48" ht="22" customHeight="1">
      <c r="B48" s="17">
        <f>IF(C48="","CA-"&amp;TEXT(COUNTA($C$5:C48),"000"))</f>
        <v/>
      </c>
      <c r="C48" s="15" t="n"/>
      <c r="D48" s="15" t="n"/>
      <c r="E48" s="15" t="n"/>
      <c r="F48" s="15" t="n"/>
      <c r="G48" s="16" t="n"/>
      <c r="H48" s="16" t="n"/>
      <c r="I48" s="16" t="n"/>
      <c r="J48" s="16" t="n"/>
      <c r="K48" s="16" t="n"/>
      <c r="L48" s="16" t="n"/>
    </row>
    <row r="49" ht="22" customHeight="1">
      <c r="B49" s="18">
        <f>IF(C49="","CA-"&amp;TEXT(COUNTA($C$5:C49),"000"))</f>
        <v/>
      </c>
      <c r="C49" s="13" t="n"/>
      <c r="D49" s="13" t="n"/>
      <c r="E49" s="13" t="n"/>
      <c r="F49" s="13" t="n"/>
      <c r="G49" s="14" t="n"/>
      <c r="H49" s="14" t="n"/>
      <c r="I49" s="14" t="n"/>
      <c r="J49" s="14" t="n"/>
      <c r="K49" s="14" t="n"/>
      <c r="L49" s="14" t="n"/>
    </row>
    <row r="50" ht="22" customHeight="1">
      <c r="B50" s="17">
        <f>IF(C50="","CA-"&amp;TEXT(COUNTA($C$5:C50),"000"))</f>
        <v/>
      </c>
      <c r="C50" s="15" t="n"/>
      <c r="D50" s="15" t="n"/>
      <c r="E50" s="15" t="n"/>
      <c r="F50" s="15" t="n"/>
      <c r="G50" s="16" t="n"/>
      <c r="H50" s="16" t="n"/>
      <c r="I50" s="16" t="n"/>
      <c r="J50" s="16" t="n"/>
      <c r="K50" s="16" t="n"/>
      <c r="L50" s="16" t="n"/>
    </row>
    <row r="51" ht="22" customHeight="1">
      <c r="B51" s="18">
        <f>IF(C51="","CA-"&amp;TEXT(COUNTA($C$5:C51),"000"))</f>
        <v/>
      </c>
      <c r="C51" s="13" t="n"/>
      <c r="D51" s="13" t="n"/>
      <c r="E51" s="13" t="n"/>
      <c r="F51" s="13" t="n"/>
      <c r="G51" s="14" t="n"/>
      <c r="H51" s="14" t="n"/>
      <c r="I51" s="14" t="n"/>
      <c r="J51" s="14" t="n"/>
      <c r="K51" s="14" t="n"/>
      <c r="L51" s="14" t="n"/>
    </row>
    <row r="52" ht="22" customHeight="1">
      <c r="B52" s="17">
        <f>IF(C52="","CA-"&amp;TEXT(COUNTA($C$5:C52),"000"))</f>
        <v/>
      </c>
      <c r="C52" s="15" t="n"/>
      <c r="D52" s="15" t="n"/>
      <c r="E52" s="15" t="n"/>
      <c r="F52" s="15" t="n"/>
      <c r="G52" s="16" t="n"/>
      <c r="H52" s="16" t="n"/>
      <c r="I52" s="16" t="n"/>
      <c r="J52" s="16" t="n"/>
      <c r="K52" s="16" t="n"/>
      <c r="L52" s="16" t="n"/>
    </row>
    <row r="53" ht="22" customHeight="1">
      <c r="B53" s="18">
        <f>IF(C53="","CA-"&amp;TEXT(COUNTA($C$5:C53),"000"))</f>
        <v/>
      </c>
      <c r="C53" s="13" t="n"/>
      <c r="D53" s="13" t="n"/>
      <c r="E53" s="13" t="n"/>
      <c r="F53" s="13" t="n"/>
      <c r="G53" s="14" t="n"/>
      <c r="H53" s="14" t="n"/>
      <c r="I53" s="14" t="n"/>
      <c r="J53" s="14" t="n"/>
      <c r="K53" s="14" t="n"/>
      <c r="L53" s="14" t="n"/>
    </row>
    <row r="54" ht="22" customHeight="1">
      <c r="B54" s="17">
        <f>IF(C54="","CA-"&amp;TEXT(COUNTA($C$5:C54),"000"))</f>
        <v/>
      </c>
      <c r="C54" s="15" t="n"/>
      <c r="D54" s="15" t="n"/>
      <c r="E54" s="15" t="n"/>
      <c r="F54" s="15" t="n"/>
      <c r="G54" s="16" t="n"/>
      <c r="H54" s="16" t="n"/>
      <c r="I54" s="16" t="n"/>
      <c r="J54" s="16" t="n"/>
      <c r="K54" s="16" t="n"/>
      <c r="L54" s="16" t="n"/>
    </row>
    <row r="55" ht="22" customHeight="1">
      <c r="B55" s="18">
        <f>IF(C55="","CA-"&amp;TEXT(COUNTA($C$5:C55),"000"))</f>
        <v/>
      </c>
      <c r="C55" s="13" t="n"/>
      <c r="D55" s="13" t="n"/>
      <c r="E55" s="13" t="n"/>
      <c r="F55" s="13" t="n"/>
      <c r="G55" s="14" t="n"/>
      <c r="H55" s="14" t="n"/>
      <c r="I55" s="14" t="n"/>
      <c r="J55" s="14" t="n"/>
      <c r="K55" s="14" t="n"/>
      <c r="L55" s="14" t="n"/>
    </row>
    <row r="56" ht="22" customHeight="1">
      <c r="B56" s="17">
        <f>IF(C56="","CA-"&amp;TEXT(COUNTA($C$5:C56),"000"))</f>
        <v/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</row>
    <row r="57" ht="22" customHeight="1">
      <c r="B57" s="18">
        <f>IF(C57="","CA-"&amp;TEXT(COUNTA($C$5:C57),"000"))</f>
        <v/>
      </c>
      <c r="C57" s="13" t="n"/>
      <c r="D57" s="13" t="n"/>
      <c r="E57" s="13" t="n"/>
      <c r="F57" s="13" t="n"/>
      <c r="G57" s="14" t="n"/>
      <c r="H57" s="14" t="n"/>
      <c r="I57" s="14" t="n"/>
      <c r="J57" s="14" t="n"/>
      <c r="K57" s="14" t="n"/>
      <c r="L57" s="14" t="n"/>
    </row>
    <row r="58" ht="22" customHeight="1">
      <c r="B58" s="17">
        <f>IF(C58="","CA-"&amp;TEXT(COUNTA($C$5:C58),"000"))</f>
        <v/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</row>
    <row r="59" ht="22" customHeight="1">
      <c r="B59" s="18">
        <f>IF(C59="","CA-"&amp;TEXT(COUNTA($C$5:C59),"000"))</f>
        <v/>
      </c>
      <c r="C59" s="13" t="n"/>
      <c r="D59" s="13" t="n"/>
      <c r="E59" s="13" t="n"/>
      <c r="F59" s="13" t="n"/>
      <c r="G59" s="14" t="n"/>
      <c r="H59" s="14" t="n"/>
      <c r="I59" s="14" t="n"/>
      <c r="J59" s="14" t="n"/>
      <c r="K59" s="14" t="n"/>
      <c r="L59" s="14" t="n"/>
    </row>
    <row r="60" ht="22" customHeight="1">
      <c r="B60" s="17">
        <f>IF(C60="","CA-"&amp;TEXT(COUNTA($C$5:C60),"000"))</f>
        <v/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</row>
    <row r="61" ht="22" customHeight="1">
      <c r="B61" s="18">
        <f>IF(C61="","CA-"&amp;TEXT(COUNTA($C$5:C61),"000"))</f>
        <v/>
      </c>
      <c r="C61" s="13" t="n"/>
      <c r="D61" s="13" t="n"/>
      <c r="E61" s="13" t="n"/>
      <c r="F61" s="13" t="n"/>
      <c r="G61" s="14" t="n"/>
      <c r="H61" s="14" t="n"/>
      <c r="I61" s="14" t="n"/>
      <c r="J61" s="14" t="n"/>
      <c r="K61" s="14" t="n"/>
      <c r="L61" s="14" t="n"/>
    </row>
    <row r="62" ht="22" customHeight="1">
      <c r="B62" s="17">
        <f>IF(C62="","CA-"&amp;TEXT(COUNTA($C$5:C62),"000"))</f>
        <v/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</row>
    <row r="63" ht="22" customHeight="1">
      <c r="B63" s="18">
        <f>IF(C63="","CA-"&amp;TEXT(COUNTA($C$5:C63),"000"))</f>
        <v/>
      </c>
      <c r="C63" s="13" t="n"/>
      <c r="D63" s="13" t="n"/>
      <c r="E63" s="13" t="n"/>
      <c r="F63" s="13" t="n"/>
      <c r="G63" s="14" t="n"/>
      <c r="H63" s="14" t="n"/>
      <c r="I63" s="14" t="n"/>
      <c r="J63" s="14" t="n"/>
      <c r="K63" s="14" t="n"/>
      <c r="L63" s="14" t="n"/>
    </row>
    <row r="64" ht="22" customHeight="1">
      <c r="B64" s="17">
        <f>IF(C64="","CA-"&amp;TEXT(COUNTA($C$5:C64),"000"))</f>
        <v/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</row>
    <row r="65" ht="22" customHeight="1">
      <c r="B65" s="18">
        <f>IF(C65="","CA-"&amp;TEXT(COUNTA($C$5:C65),"000"))</f>
        <v/>
      </c>
      <c r="C65" s="13" t="n"/>
      <c r="D65" s="13" t="n"/>
      <c r="E65" s="13" t="n"/>
      <c r="F65" s="13" t="n"/>
      <c r="G65" s="14" t="n"/>
      <c r="H65" s="14" t="n"/>
      <c r="I65" s="14" t="n"/>
      <c r="J65" s="14" t="n"/>
      <c r="K65" s="14" t="n"/>
      <c r="L65" s="14" t="n"/>
    </row>
    <row r="66" ht="22" customHeight="1">
      <c r="B66" s="17">
        <f>IF(C66="","CA-"&amp;TEXT(COUNTA($C$5:C66),"000"))</f>
        <v/>
      </c>
      <c r="C66" s="15" t="n"/>
      <c r="D66" s="15" t="n"/>
      <c r="E66" s="15" t="n"/>
      <c r="F66" s="15" t="n"/>
      <c r="G66" s="16" t="n"/>
      <c r="H66" s="16" t="n"/>
      <c r="I66" s="16" t="n"/>
      <c r="J66" s="16" t="n"/>
      <c r="K66" s="16" t="n"/>
      <c r="L66" s="16" t="n"/>
    </row>
    <row r="67" ht="22" customHeight="1">
      <c r="B67" s="18">
        <f>IF(C67="","CA-"&amp;TEXT(COUNTA($C$5:C67),"000"))</f>
        <v/>
      </c>
      <c r="C67" s="13" t="n"/>
      <c r="D67" s="13" t="n"/>
      <c r="E67" s="13" t="n"/>
      <c r="F67" s="13" t="n"/>
      <c r="G67" s="14" t="n"/>
      <c r="H67" s="14" t="n"/>
      <c r="I67" s="14" t="n"/>
      <c r="J67" s="14" t="n"/>
      <c r="K67" s="14" t="n"/>
      <c r="L67" s="14" t="n"/>
    </row>
    <row r="68" ht="22" customHeight="1">
      <c r="B68" s="17">
        <f>IF(C68="","CA-"&amp;TEXT(COUNTA($C$5:C68),"000"))</f>
        <v/>
      </c>
      <c r="C68" s="15" t="n"/>
      <c r="D68" s="15" t="n"/>
      <c r="E68" s="15" t="n"/>
      <c r="F68" s="15" t="n"/>
      <c r="G68" s="16" t="n"/>
      <c r="H68" s="16" t="n"/>
      <c r="I68" s="16" t="n"/>
      <c r="J68" s="16" t="n"/>
      <c r="K68" s="16" t="n"/>
      <c r="L68" s="16" t="n"/>
    </row>
    <row r="69" ht="22" customHeight="1">
      <c r="B69" s="18">
        <f>IF(C69="","CA-"&amp;TEXT(COUNTA($C$5:C69),"000"))</f>
        <v/>
      </c>
      <c r="C69" s="13" t="n"/>
      <c r="D69" s="13" t="n"/>
      <c r="E69" s="13" t="n"/>
      <c r="F69" s="13" t="n"/>
      <c r="G69" s="14" t="n"/>
      <c r="H69" s="14" t="n"/>
      <c r="I69" s="14" t="n"/>
      <c r="J69" s="14" t="n"/>
      <c r="K69" s="14" t="n"/>
      <c r="L69" s="14" t="n"/>
    </row>
    <row r="70" ht="22" customHeight="1">
      <c r="B70" s="17">
        <f>IF(C70="","CA-"&amp;TEXT(COUNTA($C$5:C70),"000"))</f>
        <v/>
      </c>
      <c r="C70" s="15" t="n"/>
      <c r="D70" s="15" t="n"/>
      <c r="E70" s="15" t="n"/>
      <c r="F70" s="15" t="n"/>
      <c r="G70" s="16" t="n"/>
      <c r="H70" s="16" t="n"/>
      <c r="I70" s="16" t="n"/>
      <c r="J70" s="16" t="n"/>
      <c r="K70" s="16" t="n"/>
      <c r="L70" s="16" t="n"/>
    </row>
    <row r="71" ht="22" customHeight="1">
      <c r="B71" s="18">
        <f>IF(C71="","CA-"&amp;TEXT(COUNTA($C$5:C71),"000"))</f>
        <v/>
      </c>
      <c r="C71" s="13" t="n"/>
      <c r="D71" s="13" t="n"/>
      <c r="E71" s="13" t="n"/>
      <c r="F71" s="13" t="n"/>
      <c r="G71" s="14" t="n"/>
      <c r="H71" s="14" t="n"/>
      <c r="I71" s="14" t="n"/>
      <c r="J71" s="14" t="n"/>
      <c r="K71" s="14" t="n"/>
      <c r="L71" s="14" t="n"/>
    </row>
    <row r="72" ht="22" customHeight="1">
      <c r="B72" s="17">
        <f>IF(C72="","CA-"&amp;TEXT(COUNTA($C$5:C72),"000"))</f>
        <v/>
      </c>
      <c r="C72" s="15" t="n"/>
      <c r="D72" s="15" t="n"/>
      <c r="E72" s="15" t="n"/>
      <c r="F72" s="15" t="n"/>
      <c r="G72" s="16" t="n"/>
      <c r="H72" s="16" t="n"/>
      <c r="I72" s="16" t="n"/>
      <c r="J72" s="16" t="n"/>
      <c r="K72" s="16" t="n"/>
      <c r="L72" s="16" t="n"/>
    </row>
    <row r="73" ht="22" customHeight="1">
      <c r="B73" s="18">
        <f>IF(C73="","CA-"&amp;TEXT(COUNTA($C$5:C73),"000"))</f>
        <v/>
      </c>
      <c r="C73" s="13" t="n"/>
      <c r="D73" s="13" t="n"/>
      <c r="E73" s="13" t="n"/>
      <c r="F73" s="13" t="n"/>
      <c r="G73" s="14" t="n"/>
      <c r="H73" s="14" t="n"/>
      <c r="I73" s="14" t="n"/>
      <c r="J73" s="14" t="n"/>
      <c r="K73" s="14" t="n"/>
      <c r="L73" s="14" t="n"/>
    </row>
    <row r="74" ht="22" customHeight="1">
      <c r="B74" s="17">
        <f>IF(C74="","CA-"&amp;TEXT(COUNTA($C$5:C74),"000"))</f>
        <v/>
      </c>
      <c r="C74" s="15" t="n"/>
      <c r="D74" s="15" t="n"/>
      <c r="E74" s="15" t="n"/>
      <c r="F74" s="15" t="n"/>
      <c r="G74" s="16" t="n"/>
      <c r="H74" s="16" t="n"/>
      <c r="I74" s="16" t="n"/>
      <c r="J74" s="16" t="n"/>
      <c r="K74" s="16" t="n"/>
      <c r="L74" s="16" t="n"/>
    </row>
    <row r="75" ht="22" customHeight="1">
      <c r="B75" s="18">
        <f>IF(C75="","CA-"&amp;TEXT(COUNTA($C$5:C75),"000"))</f>
        <v/>
      </c>
      <c r="C75" s="13" t="n"/>
      <c r="D75" s="13" t="n"/>
      <c r="E75" s="13" t="n"/>
      <c r="F75" s="13" t="n"/>
      <c r="G75" s="14" t="n"/>
      <c r="H75" s="14" t="n"/>
      <c r="I75" s="14" t="n"/>
      <c r="J75" s="14" t="n"/>
      <c r="K75" s="14" t="n"/>
      <c r="L75" s="14" t="n"/>
    </row>
    <row r="76" ht="22" customHeight="1">
      <c r="B76" s="17">
        <f>IF(C76="","CA-"&amp;TEXT(COUNTA($C$5:C76),"000"))</f>
        <v/>
      </c>
      <c r="C76" s="15" t="n"/>
      <c r="D76" s="15" t="n"/>
      <c r="E76" s="15" t="n"/>
      <c r="F76" s="15" t="n"/>
      <c r="G76" s="16" t="n"/>
      <c r="H76" s="16" t="n"/>
      <c r="I76" s="16" t="n"/>
      <c r="J76" s="16" t="n"/>
      <c r="K76" s="16" t="n"/>
      <c r="L76" s="16" t="n"/>
    </row>
    <row r="77" ht="22" customHeight="1">
      <c r="B77" s="18">
        <f>IF(C77="","CA-"&amp;TEXT(COUNTA($C$5:C77),"000"))</f>
        <v/>
      </c>
      <c r="C77" s="13" t="n"/>
      <c r="D77" s="13" t="n"/>
      <c r="E77" s="13" t="n"/>
      <c r="F77" s="13" t="n"/>
      <c r="G77" s="14" t="n"/>
      <c r="H77" s="14" t="n"/>
      <c r="I77" s="14" t="n"/>
      <c r="J77" s="14" t="n"/>
      <c r="K77" s="14" t="n"/>
      <c r="L77" s="14" t="n"/>
    </row>
    <row r="78" ht="22" customHeight="1">
      <c r="B78" s="17">
        <f>IF(C78="","CA-"&amp;TEXT(COUNTA($C$5:C78),"000"))</f>
        <v/>
      </c>
      <c r="C78" s="15" t="n"/>
      <c r="D78" s="15" t="n"/>
      <c r="E78" s="15" t="n"/>
      <c r="F78" s="15" t="n"/>
      <c r="G78" s="16" t="n"/>
      <c r="H78" s="16" t="n"/>
      <c r="I78" s="16" t="n"/>
      <c r="J78" s="16" t="n"/>
      <c r="K78" s="16" t="n"/>
      <c r="L78" s="16" t="n"/>
    </row>
    <row r="79" ht="22" customHeight="1">
      <c r="B79" s="18">
        <f>IF(C79="","CA-"&amp;TEXT(COUNTA($C$5:C79),"000"))</f>
        <v/>
      </c>
      <c r="C79" s="13" t="n"/>
      <c r="D79" s="13" t="n"/>
      <c r="E79" s="13" t="n"/>
      <c r="F79" s="13" t="n"/>
      <c r="G79" s="14" t="n"/>
      <c r="H79" s="14" t="n"/>
      <c r="I79" s="14" t="n"/>
      <c r="J79" s="14" t="n"/>
      <c r="K79" s="14" t="n"/>
      <c r="L79" s="14" t="n"/>
    </row>
    <row r="80" ht="22" customHeight="1">
      <c r="B80" s="17">
        <f>IF(C80="","CA-"&amp;TEXT(COUNTA($C$5:C80),"000"))</f>
        <v/>
      </c>
      <c r="C80" s="15" t="n"/>
      <c r="D80" s="15" t="n"/>
      <c r="E80" s="15" t="n"/>
      <c r="F80" s="15" t="n"/>
      <c r="G80" s="16" t="n"/>
      <c r="H80" s="16" t="n"/>
      <c r="I80" s="16" t="n"/>
      <c r="J80" s="16" t="n"/>
      <c r="K80" s="16" t="n"/>
      <c r="L80" s="16" t="n"/>
    </row>
    <row r="81" ht="22" customHeight="1">
      <c r="B81" s="18">
        <f>IF(C81="","CA-"&amp;TEXT(COUNTA($C$5:C81),"000"))</f>
        <v/>
      </c>
      <c r="C81" s="13" t="n"/>
      <c r="D81" s="13" t="n"/>
      <c r="E81" s="13" t="n"/>
      <c r="F81" s="13" t="n"/>
      <c r="G81" s="14" t="n"/>
      <c r="H81" s="14" t="n"/>
      <c r="I81" s="14" t="n"/>
      <c r="J81" s="14" t="n"/>
      <c r="K81" s="14" t="n"/>
      <c r="L81" s="14" t="n"/>
    </row>
    <row r="82" ht="22" customHeight="1">
      <c r="B82" s="17">
        <f>IF(C82="","CA-"&amp;TEXT(COUNTA($C$5:C82),"000"))</f>
        <v/>
      </c>
      <c r="C82" s="15" t="n"/>
      <c r="D82" s="15" t="n"/>
      <c r="E82" s="15" t="n"/>
      <c r="F82" s="15" t="n"/>
      <c r="G82" s="16" t="n"/>
      <c r="H82" s="16" t="n"/>
      <c r="I82" s="16" t="n"/>
      <c r="J82" s="16" t="n"/>
      <c r="K82" s="16" t="n"/>
      <c r="L82" s="16" t="n"/>
    </row>
    <row r="83" ht="22" customHeight="1">
      <c r="B83" s="18">
        <f>IF(C83="","CA-"&amp;TEXT(COUNTA($C$5:C83),"000"))</f>
        <v/>
      </c>
      <c r="C83" s="13" t="n"/>
      <c r="D83" s="13" t="n"/>
      <c r="E83" s="13" t="n"/>
      <c r="F83" s="13" t="n"/>
      <c r="G83" s="14" t="n"/>
      <c r="H83" s="14" t="n"/>
      <c r="I83" s="14" t="n"/>
      <c r="J83" s="14" t="n"/>
      <c r="K83" s="14" t="n"/>
      <c r="L83" s="14" t="n"/>
    </row>
    <row r="84" ht="22" customHeight="1">
      <c r="B84" s="17">
        <f>IF(C84="","CA-"&amp;TEXT(COUNTA($C$5:C84),"000"))</f>
        <v/>
      </c>
      <c r="C84" s="15" t="n"/>
      <c r="D84" s="15" t="n"/>
      <c r="E84" s="15" t="n"/>
      <c r="F84" s="15" t="n"/>
      <c r="G84" s="16" t="n"/>
      <c r="H84" s="16" t="n"/>
      <c r="I84" s="16" t="n"/>
      <c r="J84" s="16" t="n"/>
      <c r="K84" s="16" t="n"/>
      <c r="L84" s="16" t="n"/>
    </row>
    <row r="85" ht="22" customHeight="1">
      <c r="B85" s="18">
        <f>IF(C85="","CA-"&amp;TEXT(COUNTA($C$5:C85),"000"))</f>
        <v/>
      </c>
      <c r="C85" s="13" t="n"/>
      <c r="D85" s="13" t="n"/>
      <c r="E85" s="13" t="n"/>
      <c r="F85" s="13" t="n"/>
      <c r="G85" s="14" t="n"/>
      <c r="H85" s="14" t="n"/>
      <c r="I85" s="14" t="n"/>
      <c r="J85" s="14" t="n"/>
      <c r="K85" s="14" t="n"/>
      <c r="L85" s="14" t="n"/>
    </row>
    <row r="86" ht="22" customHeight="1">
      <c r="B86" s="17">
        <f>IF(C86="","CA-"&amp;TEXT(COUNTA($C$5:C86),"000"))</f>
        <v/>
      </c>
      <c r="C86" s="15" t="n"/>
      <c r="D86" s="15" t="n"/>
      <c r="E86" s="15" t="n"/>
      <c r="F86" s="15" t="n"/>
      <c r="G86" s="16" t="n"/>
      <c r="H86" s="16" t="n"/>
      <c r="I86" s="16" t="n"/>
      <c r="J86" s="16" t="n"/>
      <c r="K86" s="16" t="n"/>
      <c r="L86" s="16" t="n"/>
    </row>
    <row r="87" ht="22" customHeight="1">
      <c r="B87" s="18">
        <f>IF(C87="","CA-"&amp;TEXT(COUNTA($C$5:C87),"000"))</f>
        <v/>
      </c>
      <c r="C87" s="13" t="n"/>
      <c r="D87" s="13" t="n"/>
      <c r="E87" s="13" t="n"/>
      <c r="F87" s="13" t="n"/>
      <c r="G87" s="14" t="n"/>
      <c r="H87" s="14" t="n"/>
      <c r="I87" s="14" t="n"/>
      <c r="J87" s="14" t="n"/>
      <c r="K87" s="14" t="n"/>
      <c r="L87" s="14" t="n"/>
    </row>
    <row r="88" ht="22" customHeight="1">
      <c r="B88" s="17">
        <f>IF(C88="","CA-"&amp;TEXT(COUNTA($C$5:C88),"000"))</f>
        <v/>
      </c>
      <c r="C88" s="15" t="n"/>
      <c r="D88" s="15" t="n"/>
      <c r="E88" s="15" t="n"/>
      <c r="F88" s="15" t="n"/>
      <c r="G88" s="16" t="n"/>
      <c r="H88" s="16" t="n"/>
      <c r="I88" s="16" t="n"/>
      <c r="J88" s="16" t="n"/>
      <c r="K88" s="16" t="n"/>
      <c r="L88" s="16" t="n"/>
    </row>
    <row r="89" ht="22" customHeight="1">
      <c r="B89" s="18">
        <f>IF(C89="","CA-"&amp;TEXT(COUNTA($C$5:C89),"000"))</f>
        <v/>
      </c>
      <c r="C89" s="13" t="n"/>
      <c r="D89" s="13" t="n"/>
      <c r="E89" s="13" t="n"/>
      <c r="F89" s="13" t="n"/>
      <c r="G89" s="14" t="n"/>
      <c r="H89" s="14" t="n"/>
      <c r="I89" s="14" t="n"/>
      <c r="J89" s="14" t="n"/>
      <c r="K89" s="14" t="n"/>
      <c r="L89" s="14" t="n"/>
    </row>
    <row r="90" ht="22" customHeight="1">
      <c r="B90" s="17">
        <f>IF(C90="","CA-"&amp;TEXT(COUNTA($C$5:C90),"000"))</f>
        <v/>
      </c>
      <c r="C90" s="15" t="n"/>
      <c r="D90" s="15" t="n"/>
      <c r="E90" s="15" t="n"/>
      <c r="F90" s="15" t="n"/>
      <c r="G90" s="16" t="n"/>
      <c r="H90" s="16" t="n"/>
      <c r="I90" s="16" t="n"/>
      <c r="J90" s="16" t="n"/>
      <c r="K90" s="16" t="n"/>
      <c r="L90" s="16" t="n"/>
    </row>
    <row r="91" ht="22" customHeight="1">
      <c r="B91" s="18">
        <f>IF(C91="","CA-"&amp;TEXT(COUNTA($C$5:C91),"000"))</f>
        <v/>
      </c>
      <c r="C91" s="13" t="n"/>
      <c r="D91" s="13" t="n"/>
      <c r="E91" s="13" t="n"/>
      <c r="F91" s="13" t="n"/>
      <c r="G91" s="14" t="n"/>
      <c r="H91" s="14" t="n"/>
      <c r="I91" s="14" t="n"/>
      <c r="J91" s="14" t="n"/>
      <c r="K91" s="14" t="n"/>
      <c r="L91" s="14" t="n"/>
    </row>
    <row r="92" ht="22" customHeight="1">
      <c r="B92" s="17">
        <f>IF(C92="","CA-"&amp;TEXT(COUNTA($C$5:C92),"000"))</f>
        <v/>
      </c>
      <c r="C92" s="15" t="n"/>
      <c r="D92" s="15" t="n"/>
      <c r="E92" s="15" t="n"/>
      <c r="F92" s="15" t="n"/>
      <c r="G92" s="16" t="n"/>
      <c r="H92" s="16" t="n"/>
      <c r="I92" s="16" t="n"/>
      <c r="J92" s="16" t="n"/>
      <c r="K92" s="16" t="n"/>
      <c r="L92" s="16" t="n"/>
    </row>
    <row r="93" ht="22" customHeight="1">
      <c r="B93" s="18">
        <f>IF(C93="","CA-"&amp;TEXT(COUNTA($C$5:C93),"000"))</f>
        <v/>
      </c>
      <c r="C93" s="13" t="n"/>
      <c r="D93" s="13" t="n"/>
      <c r="E93" s="13" t="n"/>
      <c r="F93" s="13" t="n"/>
      <c r="G93" s="14" t="n"/>
      <c r="H93" s="14" t="n"/>
      <c r="I93" s="14" t="n"/>
      <c r="J93" s="14" t="n"/>
      <c r="K93" s="14" t="n"/>
      <c r="L93" s="14" t="n"/>
    </row>
    <row r="94" ht="22" customHeight="1">
      <c r="B94" s="17">
        <f>IF(C94="","CA-"&amp;TEXT(COUNTA($C$5:C94),"000"))</f>
        <v/>
      </c>
      <c r="C94" s="15" t="n"/>
      <c r="D94" s="15" t="n"/>
      <c r="E94" s="15" t="n"/>
      <c r="F94" s="15" t="n"/>
      <c r="G94" s="16" t="n"/>
      <c r="H94" s="16" t="n"/>
      <c r="I94" s="16" t="n"/>
      <c r="J94" s="16" t="n"/>
      <c r="K94" s="16" t="n"/>
      <c r="L94" s="16" t="n"/>
    </row>
    <row r="95" ht="22" customHeight="1">
      <c r="B95" s="18">
        <f>IF(C95="","CA-"&amp;TEXT(COUNTA($C$5:C95),"000"))</f>
        <v/>
      </c>
      <c r="C95" s="13" t="n"/>
      <c r="D95" s="13" t="n"/>
      <c r="E95" s="13" t="n"/>
      <c r="F95" s="13" t="n"/>
      <c r="G95" s="14" t="n"/>
      <c r="H95" s="14" t="n"/>
      <c r="I95" s="14" t="n"/>
      <c r="J95" s="14" t="n"/>
      <c r="K95" s="14" t="n"/>
      <c r="L95" s="14" t="n"/>
    </row>
    <row r="96" ht="22" customHeight="1">
      <c r="B96" s="17">
        <f>IF(C96="","CA-"&amp;TEXT(COUNTA($C$5:C96),"000"))</f>
        <v/>
      </c>
      <c r="C96" s="15" t="n"/>
      <c r="D96" s="15" t="n"/>
      <c r="E96" s="15" t="n"/>
      <c r="F96" s="15" t="n"/>
      <c r="G96" s="16" t="n"/>
      <c r="H96" s="16" t="n"/>
      <c r="I96" s="16" t="n"/>
      <c r="J96" s="16" t="n"/>
      <c r="K96" s="16" t="n"/>
      <c r="L96" s="16" t="n"/>
    </row>
    <row r="97" ht="22" customHeight="1">
      <c r="B97" s="18">
        <f>IF(C97="","CA-"&amp;TEXT(COUNTA($C$5:C97),"000"))</f>
        <v/>
      </c>
      <c r="C97" s="13" t="n"/>
      <c r="D97" s="13" t="n"/>
      <c r="E97" s="13" t="n"/>
      <c r="F97" s="13" t="n"/>
      <c r="G97" s="14" t="n"/>
      <c r="H97" s="14" t="n"/>
      <c r="I97" s="14" t="n"/>
      <c r="J97" s="14" t="n"/>
      <c r="K97" s="14" t="n"/>
      <c r="L97" s="14" t="n"/>
    </row>
    <row r="98" ht="22" customHeight="1">
      <c r="B98" s="17">
        <f>IF(C98="","CA-"&amp;TEXT(COUNTA($C$5:C98),"000"))</f>
        <v/>
      </c>
      <c r="C98" s="15" t="n"/>
      <c r="D98" s="15" t="n"/>
      <c r="E98" s="15" t="n"/>
      <c r="F98" s="15" t="n"/>
      <c r="G98" s="16" t="n"/>
      <c r="H98" s="16" t="n"/>
      <c r="I98" s="16" t="n"/>
      <c r="J98" s="16" t="n"/>
      <c r="K98" s="16" t="n"/>
      <c r="L98" s="16" t="n"/>
    </row>
    <row r="99" ht="22" customHeight="1">
      <c r="B99" s="18">
        <f>IF(C99="","CA-"&amp;TEXT(COUNTA($C$5:C99),"000"))</f>
        <v/>
      </c>
      <c r="C99" s="13" t="n"/>
      <c r="D99" s="13" t="n"/>
      <c r="E99" s="13" t="n"/>
      <c r="F99" s="13" t="n"/>
      <c r="G99" s="14" t="n"/>
      <c r="H99" s="14" t="n"/>
      <c r="I99" s="14" t="n"/>
      <c r="J99" s="14" t="n"/>
      <c r="K99" s="14" t="n"/>
      <c r="L99" s="14" t="n"/>
    </row>
    <row r="100" ht="22" customHeight="1">
      <c r="B100" s="17">
        <f>IF(C100="","CA-"&amp;TEXT(COUNTA($C$5:C100),"000"))</f>
        <v/>
      </c>
      <c r="C100" s="15" t="n"/>
      <c r="D100" s="15" t="n"/>
      <c r="E100" s="15" t="n"/>
      <c r="F100" s="15" t="n"/>
      <c r="G100" s="16" t="n"/>
      <c r="H100" s="16" t="n"/>
      <c r="I100" s="16" t="n"/>
      <c r="J100" s="16" t="n"/>
      <c r="K100" s="16" t="n"/>
      <c r="L100" s="16" t="n"/>
    </row>
    <row r="101" ht="22" customHeight="1">
      <c r="B101" s="18">
        <f>IF(C101="","CA-"&amp;TEXT(COUNTA($C$5:C101),"000"))</f>
        <v/>
      </c>
      <c r="C101" s="13" t="n"/>
      <c r="D101" s="13" t="n"/>
      <c r="E101" s="13" t="n"/>
      <c r="F101" s="13" t="n"/>
      <c r="G101" s="14" t="n"/>
      <c r="H101" s="14" t="n"/>
      <c r="I101" s="14" t="n"/>
      <c r="J101" s="14" t="n"/>
      <c r="K101" s="14" t="n"/>
      <c r="L101" s="14" t="n"/>
    </row>
    <row r="102" ht="22" customHeight="1">
      <c r="B102" s="17">
        <f>IF(C102="","CA-"&amp;TEXT(COUNTA($C$5:C102),"000"))</f>
        <v/>
      </c>
      <c r="C102" s="15" t="n"/>
      <c r="D102" s="15" t="n"/>
      <c r="E102" s="15" t="n"/>
      <c r="F102" s="15" t="n"/>
      <c r="G102" s="16" t="n"/>
      <c r="H102" s="16" t="n"/>
      <c r="I102" s="16" t="n"/>
      <c r="J102" s="16" t="n"/>
      <c r="K102" s="16" t="n"/>
      <c r="L102" s="16" t="n"/>
    </row>
    <row r="103" ht="22" customHeight="1">
      <c r="B103" s="18">
        <f>IF(C103="","CA-"&amp;TEXT(COUNTA($C$5:C103),"000"))</f>
        <v/>
      </c>
      <c r="C103" s="13" t="n"/>
      <c r="D103" s="13" t="n"/>
      <c r="E103" s="13" t="n"/>
      <c r="F103" s="13" t="n"/>
      <c r="G103" s="14" t="n"/>
      <c r="H103" s="14" t="n"/>
      <c r="I103" s="14" t="n"/>
      <c r="J103" s="14" t="n"/>
      <c r="K103" s="14" t="n"/>
      <c r="L103" s="14" t="n"/>
    </row>
    <row r="104" ht="22" customHeight="1">
      <c r="B104" s="17">
        <f>IF(C104="","CA-"&amp;TEXT(COUNTA($C$5:C104),"000"))</f>
        <v/>
      </c>
      <c r="C104" s="15" t="n"/>
      <c r="D104" s="15" t="n"/>
      <c r="E104" s="15" t="n"/>
      <c r="F104" s="15" t="n"/>
      <c r="G104" s="16" t="n"/>
      <c r="H104" s="16" t="n"/>
      <c r="I104" s="16" t="n"/>
      <c r="J104" s="16" t="n"/>
      <c r="K104" s="16" t="n"/>
      <c r="L104" s="16" t="n"/>
    </row>
    <row r="105" ht="22" customHeight="1">
      <c r="B105" s="18">
        <f>IF(C105="","CA-"&amp;TEXT(COUNTA($C$5:C105),"000"))</f>
        <v/>
      </c>
      <c r="C105" s="13" t="n"/>
      <c r="D105" s="13" t="n"/>
      <c r="E105" s="13" t="n"/>
      <c r="F105" s="13" t="n"/>
      <c r="G105" s="14" t="n"/>
      <c r="H105" s="14" t="n"/>
      <c r="I105" s="14" t="n"/>
      <c r="J105" s="14" t="n"/>
      <c r="K105" s="14" t="n"/>
      <c r="L105" s="14" t="n"/>
    </row>
    <row r="106" ht="22" customHeight="1">
      <c r="B106" s="17">
        <f>IF(C106="","CA-"&amp;TEXT(COUNTA($C$5:C106),"000"))</f>
        <v/>
      </c>
      <c r="C106" s="15" t="n"/>
      <c r="D106" s="15" t="n"/>
      <c r="E106" s="15" t="n"/>
      <c r="F106" s="15" t="n"/>
      <c r="G106" s="16" t="n"/>
      <c r="H106" s="16" t="n"/>
      <c r="I106" s="16" t="n"/>
      <c r="J106" s="16" t="n"/>
      <c r="K106" s="16" t="n"/>
      <c r="L106" s="16" t="n"/>
    </row>
    <row r="107" ht="22" customHeight="1">
      <c r="B107" s="18">
        <f>IF(C107="","CA-"&amp;TEXT(COUNTA($C$5:C107),"000"))</f>
        <v/>
      </c>
      <c r="C107" s="13" t="n"/>
      <c r="D107" s="13" t="n"/>
      <c r="E107" s="13" t="n"/>
      <c r="F107" s="13" t="n"/>
      <c r="G107" s="14" t="n"/>
      <c r="H107" s="14" t="n"/>
      <c r="I107" s="14" t="n"/>
      <c r="J107" s="14" t="n"/>
      <c r="K107" s="14" t="n"/>
      <c r="L107" s="14" t="n"/>
    </row>
    <row r="108" ht="22" customHeight="1">
      <c r="B108" s="17">
        <f>IF(C108="","CA-"&amp;TEXT(COUNTA($C$5:C108),"000"))</f>
        <v/>
      </c>
      <c r="C108" s="15" t="n"/>
      <c r="D108" s="15" t="n"/>
      <c r="E108" s="15" t="n"/>
      <c r="F108" s="15" t="n"/>
      <c r="G108" s="16" t="n"/>
      <c r="H108" s="16" t="n"/>
      <c r="I108" s="16" t="n"/>
      <c r="J108" s="16" t="n"/>
      <c r="K108" s="16" t="n"/>
      <c r="L108" s="16" t="n"/>
    </row>
    <row r="109" ht="22" customHeight="1">
      <c r="B109" s="18">
        <f>IF(C109="","CA-"&amp;TEXT(COUNTA($C$5:C109),"000"))</f>
        <v/>
      </c>
      <c r="C109" s="13" t="n"/>
      <c r="D109" s="13" t="n"/>
      <c r="E109" s="13" t="n"/>
      <c r="F109" s="13" t="n"/>
      <c r="G109" s="14" t="n"/>
      <c r="H109" s="14" t="n"/>
      <c r="I109" s="14" t="n"/>
      <c r="J109" s="14" t="n"/>
      <c r="K109" s="14" t="n"/>
      <c r="L109" s="14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1">
        <f>SUM(G5:G104)</f>
        <v/>
      </c>
      <c r="H111" s="21">
        <f>SUM(H5:H104)</f>
        <v/>
      </c>
      <c r="I111" s="21">
        <f>SUM(I5:I104)</f>
        <v/>
      </c>
      <c r="J111" s="21">
        <f>SUM(J5:J104)</f>
        <v/>
      </c>
      <c r="K111" s="21">
        <f>SUM(K5:K104)</f>
        <v/>
      </c>
      <c r="L111" s="20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Employes suivis</t>
        </is>
      </c>
      <c r="D114" s="3" t="inlineStr">
        <is>
          <t>Score moyen</t>
        </is>
      </c>
      <c r="F114" s="3" t="inlineStr">
        <is>
          <t>Total retards</t>
        </is>
      </c>
      <c r="H114" s="3" t="inlineStr">
        <is>
          <t>Absences NJ totales</t>
        </is>
      </c>
    </row>
    <row r="115">
      <c r="B115" s="4">
        <f>COUNTIF(B5:B104,"&lt;&gt;")</f>
        <v/>
      </c>
      <c r="D115" s="4">
        <f>IFERROR(AVERAGE(L5:L104),0)</f>
        <v/>
      </c>
      <c r="F115" s="4">
        <f>SUM(J5:J104)</f>
        <v/>
      </c>
      <c r="H115" s="4">
        <f>SUM(K5:K104)</f>
        <v/>
      </c>
    </row>
  </sheetData>
  <mergeCells count="3">
    <mergeCell ref="B2:L2"/>
    <mergeCell ref="B113:L113"/>
    <mergeCell ref="B3:L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L10:L109">
    <cfRule type="expression" priority="11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'_Lists'!$S$2:$S$4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32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8" customWidth="1" min="10" max="10"/>
    <col width="34" customWidth="1" min="11" max="11"/>
    <col width="14" customWidth="1" min="12" max="12"/>
  </cols>
  <sheetData>
    <row r="1" ht="15" customHeight="1"/>
    <row r="2" ht="32" customHeight="1">
      <c r="B2" s="1" t="inlineStr">
        <is>
          <t>RAPPORTS &amp; STATISTIQUES D'ABSENCES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Rapport</t>
        </is>
      </c>
      <c r="C4" s="12" t="inlineStr">
        <is>
          <t>Type Rapport</t>
        </is>
      </c>
      <c r="D4" s="12" t="inlineStr">
        <is>
          <t>Titre</t>
        </is>
      </c>
      <c r="E4" s="12" t="inlineStr">
        <is>
          <t>Periode Debut</t>
        </is>
      </c>
      <c r="F4" s="12" t="inlineStr">
        <is>
          <t>Periode Fin</t>
        </is>
      </c>
      <c r="G4" s="12" t="inlineStr">
        <is>
          <t>Departement</t>
        </is>
      </c>
      <c r="H4" s="12" t="inlineStr">
        <is>
          <t>Auteur</t>
        </is>
      </c>
      <c r="I4" s="12" t="inlineStr">
        <is>
          <t>Jours Absence</t>
        </is>
      </c>
      <c r="J4" s="12" t="inlineStr">
        <is>
          <t>Cout Estime (FCFA)</t>
        </is>
      </c>
      <c r="K4" s="12" t="inlineStr">
        <is>
          <t>Recommandations</t>
        </is>
      </c>
      <c r="L4" s="12" t="inlineStr">
        <is>
          <t>Statut</t>
        </is>
      </c>
    </row>
    <row r="5" ht="22" customHeight="1">
      <c r="B5" s="13" t="inlineStr">
        <is>
          <t>RA-001</t>
        </is>
      </c>
      <c r="C5" s="13" t="inlineStr">
        <is>
          <t>Bilan mensuel</t>
        </is>
      </c>
      <c r="D5" s="13" t="inlineStr">
        <is>
          <t>Bilan absences Juin 2025</t>
        </is>
      </c>
      <c r="E5" s="32" t="n">
        <v>45809</v>
      </c>
      <c r="F5" s="32" t="n">
        <v>45838</v>
      </c>
      <c r="G5" s="13" t="inlineStr">
        <is>
          <t>Tous</t>
        </is>
      </c>
      <c r="H5" s="13" t="inlineStr">
        <is>
          <t>DRH Nganou</t>
        </is>
      </c>
      <c r="I5" s="14" t="n">
        <v>47</v>
      </c>
      <c r="J5" s="24" t="n">
        <v>282000</v>
      </c>
      <c r="K5" s="13" t="inlineStr">
        <is>
          <t>Renforcer suivi medical cuisine</t>
        </is>
      </c>
      <c r="L5" s="13" t="inlineStr">
        <is>
          <t>Valide</t>
        </is>
      </c>
    </row>
    <row r="6" ht="22" customHeight="1">
      <c r="B6" s="15" t="inlineStr">
        <is>
          <t>RA-002</t>
        </is>
      </c>
      <c r="C6" s="15" t="inlineStr">
        <is>
          <t>Analyse trimestrielle</t>
        </is>
      </c>
      <c r="D6" s="15" t="inlineStr">
        <is>
          <t>Analyse absentéisme T2 2025</t>
        </is>
      </c>
      <c r="E6" s="33" t="n">
        <v>45748</v>
      </c>
      <c r="F6" s="33" t="n">
        <v>45838</v>
      </c>
      <c r="G6" s="15" t="inlineStr">
        <is>
          <t>Cuisine &amp; Restauration</t>
        </is>
      </c>
      <c r="H6" s="15" t="inlineStr">
        <is>
          <t>Assistante RH</t>
        </is>
      </c>
      <c r="I6" s="16" t="n">
        <v>32</v>
      </c>
      <c r="J6" s="25" t="n">
        <v>192000</v>
      </c>
      <c r="K6" s="15" t="inlineStr">
        <is>
          <t>Enquete climat social service cuisine</t>
        </is>
      </c>
      <c r="L6" s="15" t="inlineStr">
        <is>
          <t>Brouillon</t>
        </is>
      </c>
    </row>
    <row r="7" ht="22" customHeight="1">
      <c r="B7" s="13" t="inlineStr">
        <is>
          <t>RA-003</t>
        </is>
      </c>
      <c r="C7" s="13" t="inlineStr">
        <is>
          <t>Rapport anomalie</t>
        </is>
      </c>
      <c r="D7" s="13" t="inlineStr">
        <is>
          <t>Rapport absences NJ juin</t>
        </is>
      </c>
      <c r="E7" s="32" t="n">
        <v>45809</v>
      </c>
      <c r="F7" s="32" t="n">
        <v>45838</v>
      </c>
      <c r="G7" s="13" t="inlineStr">
        <is>
          <t>Tous</t>
        </is>
      </c>
      <c r="H7" s="13" t="inlineStr">
        <is>
          <t>DRH Nganou</t>
        </is>
      </c>
      <c r="I7" s="14" t="n">
        <v>3</v>
      </c>
      <c r="J7" s="24" t="n">
        <v>18000</v>
      </c>
      <c r="K7" s="13" t="inlineStr">
        <is>
          <t>Rappeler reglement interieur</t>
        </is>
      </c>
      <c r="L7" s="13" t="inlineStr">
        <is>
          <t>Approuve</t>
        </is>
      </c>
    </row>
    <row r="8" ht="22" customHeight="1">
      <c r="B8" s="17">
        <f>IF(C8="","RA-"&amp;TEXT(COUNTA($C$5:C8),"000"))</f>
        <v/>
      </c>
      <c r="C8" s="15" t="n"/>
      <c r="D8" s="15" t="n"/>
      <c r="E8" s="33" t="n"/>
      <c r="F8" s="33" t="n"/>
      <c r="G8" s="15" t="n"/>
      <c r="H8" s="15" t="n"/>
      <c r="I8" s="16" t="n"/>
      <c r="J8" s="25" t="n"/>
      <c r="K8" s="15" t="n"/>
      <c r="L8" s="15" t="n"/>
    </row>
    <row r="9" ht="22" customHeight="1">
      <c r="B9" s="18">
        <f>IF(C9="","RA-"&amp;TEXT(COUNTA($C$5:C9),"000"))</f>
        <v/>
      </c>
      <c r="C9" s="13" t="n"/>
      <c r="D9" s="13" t="n"/>
      <c r="E9" s="32" t="n"/>
      <c r="F9" s="32" t="n"/>
      <c r="G9" s="13" t="n"/>
      <c r="H9" s="13" t="n"/>
      <c r="I9" s="14" t="n"/>
      <c r="J9" s="24" t="n"/>
      <c r="K9" s="13" t="n"/>
      <c r="L9" s="13" t="n"/>
    </row>
    <row r="10" ht="22" customHeight="1">
      <c r="B10" s="17">
        <f>IF(C10="","RA-"&amp;TEXT(COUNTA($C$5:C10),"000"))</f>
        <v/>
      </c>
      <c r="C10" s="15" t="n"/>
      <c r="D10" s="15" t="n"/>
      <c r="E10" s="33" t="n"/>
      <c r="F10" s="33" t="n"/>
      <c r="G10" s="15" t="n"/>
      <c r="H10" s="15" t="n"/>
      <c r="I10" s="16" t="n"/>
      <c r="J10" s="25" t="n"/>
      <c r="K10" s="15" t="n"/>
      <c r="L10" s="15" t="n"/>
    </row>
    <row r="11" ht="22" customHeight="1">
      <c r="B11" s="18">
        <f>IF(C11="","RA-"&amp;TEXT(COUNTA($C$5:C11),"000"))</f>
        <v/>
      </c>
      <c r="C11" s="13" t="n"/>
      <c r="D11" s="13" t="n"/>
      <c r="E11" s="32" t="n"/>
      <c r="F11" s="32" t="n"/>
      <c r="G11" s="13" t="n"/>
      <c r="H11" s="13" t="n"/>
      <c r="I11" s="14" t="n"/>
      <c r="J11" s="24" t="n"/>
      <c r="K11" s="13" t="n"/>
      <c r="L11" s="13" t="n"/>
    </row>
    <row r="12" ht="22" customHeight="1">
      <c r="B12" s="17">
        <f>IF(C12="","RA-"&amp;TEXT(COUNTA($C$5:C12),"000"))</f>
        <v/>
      </c>
      <c r="C12" s="15" t="n"/>
      <c r="D12" s="15" t="n"/>
      <c r="E12" s="33" t="n"/>
      <c r="F12" s="33" t="n"/>
      <c r="G12" s="15" t="n"/>
      <c r="H12" s="15" t="n"/>
      <c r="I12" s="16" t="n"/>
      <c r="J12" s="25" t="n"/>
      <c r="K12" s="15" t="n"/>
      <c r="L12" s="15" t="n"/>
    </row>
    <row r="13" ht="22" customHeight="1">
      <c r="B13" s="18">
        <f>IF(C13="","RA-"&amp;TEXT(COUNTA($C$5:C13),"000"))</f>
        <v/>
      </c>
      <c r="C13" s="13" t="n"/>
      <c r="D13" s="13" t="n"/>
      <c r="E13" s="32" t="n"/>
      <c r="F13" s="32" t="n"/>
      <c r="G13" s="13" t="n"/>
      <c r="H13" s="13" t="n"/>
      <c r="I13" s="14" t="n"/>
      <c r="J13" s="24" t="n"/>
      <c r="K13" s="13" t="n"/>
      <c r="L13" s="13" t="n"/>
    </row>
    <row r="14" ht="22" customHeight="1">
      <c r="B14" s="17">
        <f>IF(C14="","RA-"&amp;TEXT(COUNTA($C$5:C14),"000"))</f>
        <v/>
      </c>
      <c r="C14" s="15" t="n"/>
      <c r="D14" s="15" t="n"/>
      <c r="E14" s="33" t="n"/>
      <c r="F14" s="33" t="n"/>
      <c r="G14" s="15" t="n"/>
      <c r="H14" s="15" t="n"/>
      <c r="I14" s="16" t="n"/>
      <c r="J14" s="25" t="n"/>
      <c r="K14" s="15" t="n"/>
      <c r="L14" s="15" t="n"/>
    </row>
    <row r="15" ht="22" customHeight="1">
      <c r="B15" s="18">
        <f>IF(C15="","RA-"&amp;TEXT(COUNTA($C$5:C15),"000"))</f>
        <v/>
      </c>
      <c r="C15" s="13" t="n"/>
      <c r="D15" s="13" t="n"/>
      <c r="E15" s="32" t="n"/>
      <c r="F15" s="32" t="n"/>
      <c r="G15" s="13" t="n"/>
      <c r="H15" s="13" t="n"/>
      <c r="I15" s="14" t="n"/>
      <c r="J15" s="24" t="n"/>
      <c r="K15" s="13" t="n"/>
      <c r="L15" s="13" t="n"/>
    </row>
    <row r="16" ht="22" customHeight="1">
      <c r="B16" s="17">
        <f>IF(C16="","RA-"&amp;TEXT(COUNTA($C$5:C16),"000"))</f>
        <v/>
      </c>
      <c r="C16" s="15" t="n"/>
      <c r="D16" s="15" t="n"/>
      <c r="E16" s="33" t="n"/>
      <c r="F16" s="33" t="n"/>
      <c r="G16" s="15" t="n"/>
      <c r="H16" s="15" t="n"/>
      <c r="I16" s="16" t="n"/>
      <c r="J16" s="25" t="n"/>
      <c r="K16" s="15" t="n"/>
      <c r="L16" s="15" t="n"/>
    </row>
    <row r="17" ht="22" customHeight="1">
      <c r="B17" s="18">
        <f>IF(C17="","RA-"&amp;TEXT(COUNTA($C$5:C17),"000"))</f>
        <v/>
      </c>
      <c r="C17" s="13" t="n"/>
      <c r="D17" s="13" t="n"/>
      <c r="E17" s="32" t="n"/>
      <c r="F17" s="32" t="n"/>
      <c r="G17" s="13" t="n"/>
      <c r="H17" s="13" t="n"/>
      <c r="I17" s="14" t="n"/>
      <c r="J17" s="24" t="n"/>
      <c r="K17" s="13" t="n"/>
      <c r="L17" s="13" t="n"/>
    </row>
    <row r="18" ht="22" customHeight="1">
      <c r="B18" s="17">
        <f>IF(C18="","RA-"&amp;TEXT(COUNTA($C$5:C18),"000"))</f>
        <v/>
      </c>
      <c r="C18" s="15" t="n"/>
      <c r="D18" s="15" t="n"/>
      <c r="E18" s="33" t="n"/>
      <c r="F18" s="33" t="n"/>
      <c r="G18" s="15" t="n"/>
      <c r="H18" s="15" t="n"/>
      <c r="I18" s="16" t="n"/>
      <c r="J18" s="25" t="n"/>
      <c r="K18" s="15" t="n"/>
      <c r="L18" s="15" t="n"/>
    </row>
    <row r="19" ht="22" customHeight="1">
      <c r="B19" s="18">
        <f>IF(C19="","RA-"&amp;TEXT(COUNTA($C$5:C19),"000"))</f>
        <v/>
      </c>
      <c r="C19" s="13" t="n"/>
      <c r="D19" s="13" t="n"/>
      <c r="E19" s="32" t="n"/>
      <c r="F19" s="32" t="n"/>
      <c r="G19" s="13" t="n"/>
      <c r="H19" s="13" t="n"/>
      <c r="I19" s="14" t="n"/>
      <c r="J19" s="24" t="n"/>
      <c r="K19" s="13" t="n"/>
      <c r="L19" s="13" t="n"/>
    </row>
    <row r="20" ht="22" customHeight="1">
      <c r="B20" s="17">
        <f>IF(C20="","RA-"&amp;TEXT(COUNTA($C$5:C20),"000"))</f>
        <v/>
      </c>
      <c r="C20" s="15" t="n"/>
      <c r="D20" s="15" t="n"/>
      <c r="E20" s="33" t="n"/>
      <c r="F20" s="33" t="n"/>
      <c r="G20" s="15" t="n"/>
      <c r="H20" s="15" t="n"/>
      <c r="I20" s="16" t="n"/>
      <c r="J20" s="25" t="n"/>
      <c r="K20" s="15" t="n"/>
      <c r="L20" s="15" t="n"/>
    </row>
    <row r="21" ht="22" customHeight="1">
      <c r="B21" s="18">
        <f>IF(C21="","RA-"&amp;TEXT(COUNTA($C$5:C21),"000"))</f>
        <v/>
      </c>
      <c r="C21" s="13" t="n"/>
      <c r="D21" s="13" t="n"/>
      <c r="E21" s="32" t="n"/>
      <c r="F21" s="32" t="n"/>
      <c r="G21" s="13" t="n"/>
      <c r="H21" s="13" t="n"/>
      <c r="I21" s="14" t="n"/>
      <c r="J21" s="24" t="n"/>
      <c r="K21" s="13" t="n"/>
      <c r="L21" s="13" t="n"/>
    </row>
    <row r="22" ht="22" customHeight="1">
      <c r="B22" s="17">
        <f>IF(C22="","RA-"&amp;TEXT(COUNTA($C$5:C22),"000"))</f>
        <v/>
      </c>
      <c r="C22" s="15" t="n"/>
      <c r="D22" s="15" t="n"/>
      <c r="E22" s="33" t="n"/>
      <c r="F22" s="33" t="n"/>
      <c r="G22" s="15" t="n"/>
      <c r="H22" s="15" t="n"/>
      <c r="I22" s="16" t="n"/>
      <c r="J22" s="25" t="n"/>
      <c r="K22" s="15" t="n"/>
      <c r="L22" s="15" t="n"/>
    </row>
    <row r="23" ht="22" customHeight="1">
      <c r="B23" s="18">
        <f>IF(C23="","RA-"&amp;TEXT(COUNTA($C$5:C23),"000"))</f>
        <v/>
      </c>
      <c r="C23" s="13" t="n"/>
      <c r="D23" s="13" t="n"/>
      <c r="E23" s="32" t="n"/>
      <c r="F23" s="32" t="n"/>
      <c r="G23" s="13" t="n"/>
      <c r="H23" s="13" t="n"/>
      <c r="I23" s="14" t="n"/>
      <c r="J23" s="24" t="n"/>
      <c r="K23" s="13" t="n"/>
      <c r="L23" s="13" t="n"/>
    </row>
    <row r="24" ht="22" customHeight="1">
      <c r="B24" s="17">
        <f>IF(C24="","RA-"&amp;TEXT(COUNTA($C$5:C24),"000"))</f>
        <v/>
      </c>
      <c r="C24" s="15" t="n"/>
      <c r="D24" s="15" t="n"/>
      <c r="E24" s="33" t="n"/>
      <c r="F24" s="33" t="n"/>
      <c r="G24" s="15" t="n"/>
      <c r="H24" s="15" t="n"/>
      <c r="I24" s="16" t="n"/>
      <c r="J24" s="25" t="n"/>
      <c r="K24" s="15" t="n"/>
      <c r="L24" s="15" t="n"/>
    </row>
    <row r="25" ht="22" customHeight="1">
      <c r="B25" s="18">
        <f>IF(C25="","RA-"&amp;TEXT(COUNTA($C$5:C25),"000"))</f>
        <v/>
      </c>
      <c r="C25" s="13" t="n"/>
      <c r="D25" s="13" t="n"/>
      <c r="E25" s="32" t="n"/>
      <c r="F25" s="32" t="n"/>
      <c r="G25" s="13" t="n"/>
      <c r="H25" s="13" t="n"/>
      <c r="I25" s="14" t="n"/>
      <c r="J25" s="24" t="n"/>
      <c r="K25" s="13" t="n"/>
      <c r="L25" s="13" t="n"/>
    </row>
    <row r="26" ht="22" customHeight="1">
      <c r="B26" s="17">
        <f>IF(C26="","RA-"&amp;TEXT(COUNTA($C$5:C26),"000"))</f>
        <v/>
      </c>
      <c r="C26" s="15" t="n"/>
      <c r="D26" s="15" t="n"/>
      <c r="E26" s="33" t="n"/>
      <c r="F26" s="33" t="n"/>
      <c r="G26" s="15" t="n"/>
      <c r="H26" s="15" t="n"/>
      <c r="I26" s="16" t="n"/>
      <c r="J26" s="25" t="n"/>
      <c r="K26" s="15" t="n"/>
      <c r="L26" s="15" t="n"/>
    </row>
    <row r="27" ht="22" customHeight="1">
      <c r="B27" s="18">
        <f>IF(C27="","RA-"&amp;TEXT(COUNTA($C$5:C27),"000"))</f>
        <v/>
      </c>
      <c r="C27" s="13" t="n"/>
      <c r="D27" s="13" t="n"/>
      <c r="E27" s="32" t="n"/>
      <c r="F27" s="32" t="n"/>
      <c r="G27" s="13" t="n"/>
      <c r="H27" s="13" t="n"/>
      <c r="I27" s="14" t="n"/>
      <c r="J27" s="24" t="n"/>
      <c r="K27" s="13" t="n"/>
      <c r="L27" s="13" t="n"/>
    </row>
    <row r="28" ht="22" customHeight="1">
      <c r="B28" s="17">
        <f>IF(C28="","RA-"&amp;TEXT(COUNTA($C$5:C28),"000"))</f>
        <v/>
      </c>
      <c r="C28" s="15" t="n"/>
      <c r="D28" s="15" t="n"/>
      <c r="E28" s="33" t="n"/>
      <c r="F28" s="33" t="n"/>
      <c r="G28" s="15" t="n"/>
      <c r="H28" s="15" t="n"/>
      <c r="I28" s="16" t="n"/>
      <c r="J28" s="25" t="n"/>
      <c r="K28" s="15" t="n"/>
      <c r="L28" s="15" t="n"/>
    </row>
    <row r="29" ht="22" customHeight="1">
      <c r="B29" s="18">
        <f>IF(C29="","RA-"&amp;TEXT(COUNTA($C$5:C29),"000"))</f>
        <v/>
      </c>
      <c r="C29" s="13" t="n"/>
      <c r="D29" s="13" t="n"/>
      <c r="E29" s="32" t="n"/>
      <c r="F29" s="32" t="n"/>
      <c r="G29" s="13" t="n"/>
      <c r="H29" s="13" t="n"/>
      <c r="I29" s="14" t="n"/>
      <c r="J29" s="24" t="n"/>
      <c r="K29" s="13" t="n"/>
      <c r="L29" s="13" t="n"/>
    </row>
    <row r="30" ht="22" customHeight="1">
      <c r="B30" s="17">
        <f>IF(C30="","RA-"&amp;TEXT(COUNTA($C$5:C30),"000"))</f>
        <v/>
      </c>
      <c r="C30" s="15" t="n"/>
      <c r="D30" s="15" t="n"/>
      <c r="E30" s="33" t="n"/>
      <c r="F30" s="33" t="n"/>
      <c r="G30" s="15" t="n"/>
      <c r="H30" s="15" t="n"/>
      <c r="I30" s="16" t="n"/>
      <c r="J30" s="25" t="n"/>
      <c r="K30" s="15" t="n"/>
      <c r="L30" s="15" t="n"/>
    </row>
    <row r="31" ht="22" customHeight="1">
      <c r="B31" s="18">
        <f>IF(C31="","RA-"&amp;TEXT(COUNTA($C$5:C31),"000"))</f>
        <v/>
      </c>
      <c r="C31" s="13" t="n"/>
      <c r="D31" s="13" t="n"/>
      <c r="E31" s="32" t="n"/>
      <c r="F31" s="32" t="n"/>
      <c r="G31" s="13" t="n"/>
      <c r="H31" s="13" t="n"/>
      <c r="I31" s="14" t="n"/>
      <c r="J31" s="24" t="n"/>
      <c r="K31" s="13" t="n"/>
      <c r="L31" s="13" t="n"/>
    </row>
    <row r="32" ht="22" customHeight="1">
      <c r="B32" s="17">
        <f>IF(C32="","RA-"&amp;TEXT(COUNTA($C$5:C32),"000"))</f>
        <v/>
      </c>
      <c r="C32" s="15" t="n"/>
      <c r="D32" s="15" t="n"/>
      <c r="E32" s="33" t="n"/>
      <c r="F32" s="33" t="n"/>
      <c r="G32" s="15" t="n"/>
      <c r="H32" s="15" t="n"/>
      <c r="I32" s="16" t="n"/>
      <c r="J32" s="25" t="n"/>
      <c r="K32" s="15" t="n"/>
      <c r="L32" s="15" t="n"/>
    </row>
    <row r="33" ht="22" customHeight="1">
      <c r="B33" s="18">
        <f>IF(C33="","RA-"&amp;TEXT(COUNTA($C$5:C33),"000"))</f>
        <v/>
      </c>
      <c r="C33" s="13" t="n"/>
      <c r="D33" s="13" t="n"/>
      <c r="E33" s="32" t="n"/>
      <c r="F33" s="32" t="n"/>
      <c r="G33" s="13" t="n"/>
      <c r="H33" s="13" t="n"/>
      <c r="I33" s="14" t="n"/>
      <c r="J33" s="24" t="n"/>
      <c r="K33" s="13" t="n"/>
      <c r="L33" s="13" t="n"/>
    </row>
    <row r="34" ht="22" customHeight="1">
      <c r="B34" s="17">
        <f>IF(C34="","RA-"&amp;TEXT(COUNTA($C$5:C34),"000"))</f>
        <v/>
      </c>
      <c r="C34" s="15" t="n"/>
      <c r="D34" s="15" t="n"/>
      <c r="E34" s="33" t="n"/>
      <c r="F34" s="33" t="n"/>
      <c r="G34" s="15" t="n"/>
      <c r="H34" s="15" t="n"/>
      <c r="I34" s="16" t="n"/>
      <c r="J34" s="25" t="n"/>
      <c r="K34" s="15" t="n"/>
      <c r="L34" s="15" t="n"/>
    </row>
    <row r="35" ht="22" customHeight="1">
      <c r="B35" s="18">
        <f>IF(C35="","RA-"&amp;TEXT(COUNTA($C$5:C35),"000"))</f>
        <v/>
      </c>
      <c r="C35" s="13" t="n"/>
      <c r="D35" s="13" t="n"/>
      <c r="E35" s="32" t="n"/>
      <c r="F35" s="32" t="n"/>
      <c r="G35" s="13" t="n"/>
      <c r="H35" s="13" t="n"/>
      <c r="I35" s="14" t="n"/>
      <c r="J35" s="24" t="n"/>
      <c r="K35" s="13" t="n"/>
      <c r="L35" s="13" t="n"/>
    </row>
    <row r="36" ht="22" customHeight="1">
      <c r="B36" s="17">
        <f>IF(C36="","RA-"&amp;TEXT(COUNTA($C$5:C36),"000"))</f>
        <v/>
      </c>
      <c r="C36" s="15" t="n"/>
      <c r="D36" s="15" t="n"/>
      <c r="E36" s="33" t="n"/>
      <c r="F36" s="33" t="n"/>
      <c r="G36" s="15" t="n"/>
      <c r="H36" s="15" t="n"/>
      <c r="I36" s="16" t="n"/>
      <c r="J36" s="25" t="n"/>
      <c r="K36" s="15" t="n"/>
      <c r="L36" s="15" t="n"/>
    </row>
    <row r="37" ht="22" customHeight="1">
      <c r="B37" s="18">
        <f>IF(C37="","RA-"&amp;TEXT(COUNTA($C$5:C37),"000"))</f>
        <v/>
      </c>
      <c r="C37" s="13" t="n"/>
      <c r="D37" s="13" t="n"/>
      <c r="E37" s="32" t="n"/>
      <c r="F37" s="32" t="n"/>
      <c r="G37" s="13" t="n"/>
      <c r="H37" s="13" t="n"/>
      <c r="I37" s="14" t="n"/>
      <c r="J37" s="24" t="n"/>
      <c r="K37" s="13" t="n"/>
      <c r="L37" s="13" t="n"/>
    </row>
    <row r="38" ht="22" customHeight="1">
      <c r="B38" s="17">
        <f>IF(C38="","RA-"&amp;TEXT(COUNTA($C$5:C38),"000"))</f>
        <v/>
      </c>
      <c r="C38" s="15" t="n"/>
      <c r="D38" s="15" t="n"/>
      <c r="E38" s="33" t="n"/>
      <c r="F38" s="33" t="n"/>
      <c r="G38" s="15" t="n"/>
      <c r="H38" s="15" t="n"/>
      <c r="I38" s="16" t="n"/>
      <c r="J38" s="25" t="n"/>
      <c r="K38" s="15" t="n"/>
      <c r="L38" s="15" t="n"/>
    </row>
    <row r="39" ht="22" customHeight="1">
      <c r="B39" s="18">
        <f>IF(C39="","RA-"&amp;TEXT(COUNTA($C$5:C39),"000"))</f>
        <v/>
      </c>
      <c r="C39" s="13" t="n"/>
      <c r="D39" s="13" t="n"/>
      <c r="E39" s="32" t="n"/>
      <c r="F39" s="32" t="n"/>
      <c r="G39" s="13" t="n"/>
      <c r="H39" s="13" t="n"/>
      <c r="I39" s="14" t="n"/>
      <c r="J39" s="24" t="n"/>
      <c r="K39" s="13" t="n"/>
      <c r="L39" s="13" t="n"/>
    </row>
    <row r="40" ht="22" customHeight="1">
      <c r="B40" s="17">
        <f>IF(C40="","RA-"&amp;TEXT(COUNTA($C$5:C40),"000"))</f>
        <v/>
      </c>
      <c r="C40" s="15" t="n"/>
      <c r="D40" s="15" t="n"/>
      <c r="E40" s="33" t="n"/>
      <c r="F40" s="33" t="n"/>
      <c r="G40" s="15" t="n"/>
      <c r="H40" s="15" t="n"/>
      <c r="I40" s="16" t="n"/>
      <c r="J40" s="25" t="n"/>
      <c r="K40" s="15" t="n"/>
      <c r="L40" s="15" t="n"/>
    </row>
    <row r="41" ht="22" customHeight="1">
      <c r="B41" s="18">
        <f>IF(C41="","RA-"&amp;TEXT(COUNTA($C$5:C41),"000"))</f>
        <v/>
      </c>
      <c r="C41" s="13" t="n"/>
      <c r="D41" s="13" t="n"/>
      <c r="E41" s="32" t="n"/>
      <c r="F41" s="32" t="n"/>
      <c r="G41" s="13" t="n"/>
      <c r="H41" s="13" t="n"/>
      <c r="I41" s="14" t="n"/>
      <c r="J41" s="24" t="n"/>
      <c r="K41" s="13" t="n"/>
      <c r="L41" s="13" t="n"/>
    </row>
    <row r="42" ht="22" customHeight="1">
      <c r="B42" s="17">
        <f>IF(C42="","RA-"&amp;TEXT(COUNTA($C$5:C42),"000"))</f>
        <v/>
      </c>
      <c r="C42" s="15" t="n"/>
      <c r="D42" s="15" t="n"/>
      <c r="E42" s="33" t="n"/>
      <c r="F42" s="33" t="n"/>
      <c r="G42" s="15" t="n"/>
      <c r="H42" s="15" t="n"/>
      <c r="I42" s="16" t="n"/>
      <c r="J42" s="25" t="n"/>
      <c r="K42" s="15" t="n"/>
      <c r="L42" s="15" t="n"/>
    </row>
    <row r="43" ht="22" customHeight="1">
      <c r="B43" s="18">
        <f>IF(C43="","RA-"&amp;TEXT(COUNTA($C$5:C43),"000"))</f>
        <v/>
      </c>
      <c r="C43" s="13" t="n"/>
      <c r="D43" s="13" t="n"/>
      <c r="E43" s="32" t="n"/>
      <c r="F43" s="32" t="n"/>
      <c r="G43" s="13" t="n"/>
      <c r="H43" s="13" t="n"/>
      <c r="I43" s="14" t="n"/>
      <c r="J43" s="24" t="n"/>
      <c r="K43" s="13" t="n"/>
      <c r="L43" s="13" t="n"/>
    </row>
    <row r="44" ht="22" customHeight="1">
      <c r="B44" s="17">
        <f>IF(C44="","RA-"&amp;TEXT(COUNTA($C$5:C44),"000"))</f>
        <v/>
      </c>
      <c r="C44" s="15" t="n"/>
      <c r="D44" s="15" t="n"/>
      <c r="E44" s="33" t="n"/>
      <c r="F44" s="33" t="n"/>
      <c r="G44" s="15" t="n"/>
      <c r="H44" s="15" t="n"/>
      <c r="I44" s="16" t="n"/>
      <c r="J44" s="25" t="n"/>
      <c r="K44" s="15" t="n"/>
      <c r="L44" s="15" t="n"/>
    </row>
    <row r="45" ht="22" customHeight="1">
      <c r="B45" s="18">
        <f>IF(C45="","RA-"&amp;TEXT(COUNTA($C$5:C45),"000"))</f>
        <v/>
      </c>
      <c r="C45" s="13" t="n"/>
      <c r="D45" s="13" t="n"/>
      <c r="E45" s="32" t="n"/>
      <c r="F45" s="32" t="n"/>
      <c r="G45" s="13" t="n"/>
      <c r="H45" s="13" t="n"/>
      <c r="I45" s="14" t="n"/>
      <c r="J45" s="24" t="n"/>
      <c r="K45" s="13" t="n"/>
      <c r="L45" s="13" t="n"/>
    </row>
    <row r="46" ht="22" customHeight="1">
      <c r="B46" s="17">
        <f>IF(C46="","RA-"&amp;TEXT(COUNTA($C$5:C46),"000"))</f>
        <v/>
      </c>
      <c r="C46" s="15" t="n"/>
      <c r="D46" s="15" t="n"/>
      <c r="E46" s="33" t="n"/>
      <c r="F46" s="33" t="n"/>
      <c r="G46" s="15" t="n"/>
      <c r="H46" s="15" t="n"/>
      <c r="I46" s="16" t="n"/>
      <c r="J46" s="25" t="n"/>
      <c r="K46" s="15" t="n"/>
      <c r="L46" s="15" t="n"/>
    </row>
    <row r="47" ht="22" customHeight="1">
      <c r="B47" s="18">
        <f>IF(C47="","RA-"&amp;TEXT(COUNTA($C$5:C47),"000"))</f>
        <v/>
      </c>
      <c r="C47" s="13" t="n"/>
      <c r="D47" s="13" t="n"/>
      <c r="E47" s="32" t="n"/>
      <c r="F47" s="32" t="n"/>
      <c r="G47" s="13" t="n"/>
      <c r="H47" s="13" t="n"/>
      <c r="I47" s="14" t="n"/>
      <c r="J47" s="24" t="n"/>
      <c r="K47" s="13" t="n"/>
      <c r="L47" s="13" t="n"/>
    </row>
    <row r="48" ht="22" customHeight="1">
      <c r="B48" s="17">
        <f>IF(C48="","RA-"&amp;TEXT(COUNTA($C$5:C48),"000"))</f>
        <v/>
      </c>
      <c r="C48" s="15" t="n"/>
      <c r="D48" s="15" t="n"/>
      <c r="E48" s="33" t="n"/>
      <c r="F48" s="33" t="n"/>
      <c r="G48" s="15" t="n"/>
      <c r="H48" s="15" t="n"/>
      <c r="I48" s="16" t="n"/>
      <c r="J48" s="25" t="n"/>
      <c r="K48" s="15" t="n"/>
      <c r="L48" s="15" t="n"/>
    </row>
    <row r="49" ht="22" customHeight="1">
      <c r="B49" s="18">
        <f>IF(C49="","RA-"&amp;TEXT(COUNTA($C$5:C49),"000"))</f>
        <v/>
      </c>
      <c r="C49" s="13" t="n"/>
      <c r="D49" s="13" t="n"/>
      <c r="E49" s="32" t="n"/>
      <c r="F49" s="32" t="n"/>
      <c r="G49" s="13" t="n"/>
      <c r="H49" s="13" t="n"/>
      <c r="I49" s="14" t="n"/>
      <c r="J49" s="24" t="n"/>
      <c r="K49" s="13" t="n"/>
      <c r="L49" s="13" t="n"/>
    </row>
    <row r="50" ht="22" customHeight="1">
      <c r="B50" s="17">
        <f>IF(C50="","RA-"&amp;TEXT(COUNTA($C$5:C50),"000"))</f>
        <v/>
      </c>
      <c r="C50" s="15" t="n"/>
      <c r="D50" s="15" t="n"/>
      <c r="E50" s="33" t="n"/>
      <c r="F50" s="33" t="n"/>
      <c r="G50" s="15" t="n"/>
      <c r="H50" s="15" t="n"/>
      <c r="I50" s="16" t="n"/>
      <c r="J50" s="25" t="n"/>
      <c r="K50" s="15" t="n"/>
      <c r="L50" s="15" t="n"/>
    </row>
    <row r="51" ht="22" customHeight="1">
      <c r="B51" s="18">
        <f>IF(C51="","RA-"&amp;TEXT(COUNTA($C$5:C51),"000"))</f>
        <v/>
      </c>
      <c r="C51" s="13" t="n"/>
      <c r="D51" s="13" t="n"/>
      <c r="E51" s="32" t="n"/>
      <c r="F51" s="32" t="n"/>
      <c r="G51" s="13" t="n"/>
      <c r="H51" s="13" t="n"/>
      <c r="I51" s="14" t="n"/>
      <c r="J51" s="24" t="n"/>
      <c r="K51" s="13" t="n"/>
      <c r="L51" s="13" t="n"/>
    </row>
    <row r="52" ht="22" customHeight="1">
      <c r="B52" s="17">
        <f>IF(C52="","RA-"&amp;TEXT(COUNTA($C$5:C52),"000"))</f>
        <v/>
      </c>
      <c r="C52" s="15" t="n"/>
      <c r="D52" s="15" t="n"/>
      <c r="E52" s="33" t="n"/>
      <c r="F52" s="33" t="n"/>
      <c r="G52" s="15" t="n"/>
      <c r="H52" s="15" t="n"/>
      <c r="I52" s="16" t="n"/>
      <c r="J52" s="25" t="n"/>
      <c r="K52" s="15" t="n"/>
      <c r="L52" s="15" t="n"/>
    </row>
    <row r="53" ht="22" customHeight="1">
      <c r="B53" s="18">
        <f>IF(C53="","RA-"&amp;TEXT(COUNTA($C$5:C53),"000"))</f>
        <v/>
      </c>
      <c r="C53" s="13" t="n"/>
      <c r="D53" s="13" t="n"/>
      <c r="E53" s="32" t="n"/>
      <c r="F53" s="32" t="n"/>
      <c r="G53" s="13" t="n"/>
      <c r="H53" s="13" t="n"/>
      <c r="I53" s="14" t="n"/>
      <c r="J53" s="24" t="n"/>
      <c r="K53" s="13" t="n"/>
      <c r="L53" s="13" t="n"/>
    </row>
    <row r="54" ht="22" customHeight="1">
      <c r="B54" s="17">
        <f>IF(C54="","RA-"&amp;TEXT(COUNTA($C$5:C54),"000"))</f>
        <v/>
      </c>
      <c r="C54" s="15" t="n"/>
      <c r="D54" s="15" t="n"/>
      <c r="E54" s="33" t="n"/>
      <c r="F54" s="33" t="n"/>
      <c r="G54" s="15" t="n"/>
      <c r="H54" s="15" t="n"/>
      <c r="I54" s="16" t="n"/>
      <c r="J54" s="25" t="n"/>
      <c r="K54" s="15" t="n"/>
      <c r="L54" s="15" t="n"/>
    </row>
    <row r="55" ht="22" customHeight="1">
      <c r="B55" s="18">
        <f>IF(C55="","RA-"&amp;TEXT(COUNTA($C$5:C55),"000"))</f>
        <v/>
      </c>
      <c r="C55" s="13" t="n"/>
      <c r="D55" s="13" t="n"/>
      <c r="E55" s="32" t="n"/>
      <c r="F55" s="32" t="n"/>
      <c r="G55" s="13" t="n"/>
      <c r="H55" s="13" t="n"/>
      <c r="I55" s="14" t="n"/>
      <c r="J55" s="24" t="n"/>
      <c r="K55" s="13" t="n"/>
      <c r="L55" s="13" t="n"/>
    </row>
    <row r="56" ht="22" customHeight="1">
      <c r="B56" s="17">
        <f>IF(C56="","RA-"&amp;TEXT(COUNTA($C$5:C56),"000"))</f>
        <v/>
      </c>
      <c r="C56" s="15" t="n"/>
      <c r="D56" s="15" t="n"/>
      <c r="E56" s="33" t="n"/>
      <c r="F56" s="33" t="n"/>
      <c r="G56" s="15" t="n"/>
      <c r="H56" s="15" t="n"/>
      <c r="I56" s="16" t="n"/>
      <c r="J56" s="25" t="n"/>
      <c r="K56" s="15" t="n"/>
      <c r="L56" s="15" t="n"/>
    </row>
    <row r="57" ht="22" customHeight="1">
      <c r="B57" s="18">
        <f>IF(C57="","RA-"&amp;TEXT(COUNTA($C$5:C57),"000"))</f>
        <v/>
      </c>
      <c r="C57" s="13" t="n"/>
      <c r="D57" s="13" t="n"/>
      <c r="E57" s="32" t="n"/>
      <c r="F57" s="32" t="n"/>
      <c r="G57" s="13" t="n"/>
      <c r="H57" s="13" t="n"/>
      <c r="I57" s="14" t="n"/>
      <c r="J57" s="24" t="n"/>
      <c r="K57" s="13" t="n"/>
      <c r="L57" s="13" t="n"/>
    </row>
    <row r="58" ht="22" customHeight="1">
      <c r="B58" s="17">
        <f>IF(C58="","RA-"&amp;TEXT(COUNTA($C$5:C58),"000"))</f>
        <v/>
      </c>
      <c r="C58" s="15" t="n"/>
      <c r="D58" s="15" t="n"/>
      <c r="E58" s="33" t="n"/>
      <c r="F58" s="33" t="n"/>
      <c r="G58" s="15" t="n"/>
      <c r="H58" s="15" t="n"/>
      <c r="I58" s="16" t="n"/>
      <c r="J58" s="25" t="n"/>
      <c r="K58" s="15" t="n"/>
      <c r="L58" s="15" t="n"/>
    </row>
    <row r="59" ht="22" customHeight="1">
      <c r="B59" s="18">
        <f>IF(C59="","RA-"&amp;TEXT(COUNTA($C$5:C59),"000"))</f>
        <v/>
      </c>
      <c r="C59" s="13" t="n"/>
      <c r="D59" s="13" t="n"/>
      <c r="E59" s="32" t="n"/>
      <c r="F59" s="32" t="n"/>
      <c r="G59" s="13" t="n"/>
      <c r="H59" s="13" t="n"/>
      <c r="I59" s="14" t="n"/>
      <c r="J59" s="24" t="n"/>
      <c r="K59" s="13" t="n"/>
      <c r="L59" s="13" t="n"/>
    </row>
    <row r="60" ht="22" customHeight="1">
      <c r="B60" s="17">
        <f>IF(C60="","RA-"&amp;TEXT(COUNTA($C$5:C60),"000"))</f>
        <v/>
      </c>
      <c r="C60" s="15" t="n"/>
      <c r="D60" s="15" t="n"/>
      <c r="E60" s="33" t="n"/>
      <c r="F60" s="33" t="n"/>
      <c r="G60" s="15" t="n"/>
      <c r="H60" s="15" t="n"/>
      <c r="I60" s="16" t="n"/>
      <c r="J60" s="25" t="n"/>
      <c r="K60" s="15" t="n"/>
      <c r="L60" s="15" t="n"/>
    </row>
    <row r="61" ht="22" customHeight="1">
      <c r="B61" s="18">
        <f>IF(C61="","RA-"&amp;TEXT(COUNTA($C$5:C61),"000"))</f>
        <v/>
      </c>
      <c r="C61" s="13" t="n"/>
      <c r="D61" s="13" t="n"/>
      <c r="E61" s="32" t="n"/>
      <c r="F61" s="32" t="n"/>
      <c r="G61" s="13" t="n"/>
      <c r="H61" s="13" t="n"/>
      <c r="I61" s="14" t="n"/>
      <c r="J61" s="24" t="n"/>
      <c r="K61" s="13" t="n"/>
      <c r="L61" s="13" t="n"/>
    </row>
    <row r="62" ht="22" customHeight="1">
      <c r="B62" s="17">
        <f>IF(C62="","RA-"&amp;TEXT(COUNTA($C$5:C62),"000"))</f>
        <v/>
      </c>
      <c r="C62" s="15" t="n"/>
      <c r="D62" s="15" t="n"/>
      <c r="E62" s="33" t="n"/>
      <c r="F62" s="33" t="n"/>
      <c r="G62" s="15" t="n"/>
      <c r="H62" s="15" t="n"/>
      <c r="I62" s="16" t="n"/>
      <c r="J62" s="25" t="n"/>
      <c r="K62" s="15" t="n"/>
      <c r="L62" s="15" t="n"/>
    </row>
    <row r="63" ht="22" customHeight="1">
      <c r="B63" s="18">
        <f>IF(C63="","RA-"&amp;TEXT(COUNTA($C$5:C63),"000"))</f>
        <v/>
      </c>
      <c r="C63" s="13" t="n"/>
      <c r="D63" s="13" t="n"/>
      <c r="E63" s="32" t="n"/>
      <c r="F63" s="32" t="n"/>
      <c r="G63" s="13" t="n"/>
      <c r="H63" s="13" t="n"/>
      <c r="I63" s="14" t="n"/>
      <c r="J63" s="24" t="n"/>
      <c r="K63" s="13" t="n"/>
      <c r="L63" s="13" t="n"/>
    </row>
    <row r="64" ht="22" customHeight="1">
      <c r="B64" s="17">
        <f>IF(C64="","RA-"&amp;TEXT(COUNTA($C$5:C64),"000"))</f>
        <v/>
      </c>
      <c r="C64" s="15" t="n"/>
      <c r="D64" s="15" t="n"/>
      <c r="E64" s="33" t="n"/>
      <c r="F64" s="33" t="n"/>
      <c r="G64" s="15" t="n"/>
      <c r="H64" s="15" t="n"/>
      <c r="I64" s="16" t="n"/>
      <c r="J64" s="25" t="n"/>
      <c r="K64" s="15" t="n"/>
      <c r="L64" s="15" t="n"/>
    </row>
    <row r="65" ht="22" customHeight="1">
      <c r="B65" s="18">
        <f>IF(C65="","RA-"&amp;TEXT(COUNTA($C$5:C65),"000"))</f>
        <v/>
      </c>
      <c r="C65" s="13" t="n"/>
      <c r="D65" s="13" t="n"/>
      <c r="E65" s="32" t="n"/>
      <c r="F65" s="32" t="n"/>
      <c r="G65" s="13" t="n"/>
      <c r="H65" s="13" t="n"/>
      <c r="I65" s="14" t="n"/>
      <c r="J65" s="24" t="n"/>
      <c r="K65" s="13" t="n"/>
      <c r="L65" s="13" t="n"/>
    </row>
    <row r="66" ht="22" customHeight="1">
      <c r="B66" s="17">
        <f>IF(C66="","RA-"&amp;TEXT(COUNTA($C$5:C66),"000"))</f>
        <v/>
      </c>
      <c r="C66" s="15" t="n"/>
      <c r="D66" s="15" t="n"/>
      <c r="E66" s="33" t="n"/>
      <c r="F66" s="33" t="n"/>
      <c r="G66" s="15" t="n"/>
      <c r="H66" s="15" t="n"/>
      <c r="I66" s="16" t="n"/>
      <c r="J66" s="25" t="n"/>
      <c r="K66" s="15" t="n"/>
      <c r="L66" s="15" t="n"/>
    </row>
    <row r="67" ht="22" customHeight="1">
      <c r="B67" s="18">
        <f>IF(C67="","RA-"&amp;TEXT(COUNTA($C$5:C67),"000"))</f>
        <v/>
      </c>
      <c r="C67" s="13" t="n"/>
      <c r="D67" s="13" t="n"/>
      <c r="E67" s="32" t="n"/>
      <c r="F67" s="32" t="n"/>
      <c r="G67" s="13" t="n"/>
      <c r="H67" s="13" t="n"/>
      <c r="I67" s="14" t="n"/>
      <c r="J67" s="24" t="n"/>
      <c r="K67" s="13" t="n"/>
      <c r="L67" s="13" t="n"/>
    </row>
    <row r="68" ht="22" customHeight="1">
      <c r="B68" s="17">
        <f>IF(C68="","RA-"&amp;TEXT(COUNTA($C$5:C68),"000"))</f>
        <v/>
      </c>
      <c r="C68" s="15" t="n"/>
      <c r="D68" s="15" t="n"/>
      <c r="E68" s="33" t="n"/>
      <c r="F68" s="33" t="n"/>
      <c r="G68" s="15" t="n"/>
      <c r="H68" s="15" t="n"/>
      <c r="I68" s="16" t="n"/>
      <c r="J68" s="25" t="n"/>
      <c r="K68" s="15" t="n"/>
      <c r="L68" s="15" t="n"/>
    </row>
    <row r="69" ht="22" customHeight="1">
      <c r="B69" s="18">
        <f>IF(C69="","RA-"&amp;TEXT(COUNTA($C$5:C69),"000"))</f>
        <v/>
      </c>
      <c r="C69" s="13" t="n"/>
      <c r="D69" s="13" t="n"/>
      <c r="E69" s="32" t="n"/>
      <c r="F69" s="32" t="n"/>
      <c r="G69" s="13" t="n"/>
      <c r="H69" s="13" t="n"/>
      <c r="I69" s="14" t="n"/>
      <c r="J69" s="24" t="n"/>
      <c r="K69" s="13" t="n"/>
      <c r="L69" s="13" t="n"/>
    </row>
    <row r="70" ht="22" customHeight="1">
      <c r="B70" s="17">
        <f>IF(C70="","RA-"&amp;TEXT(COUNTA($C$5:C70),"000"))</f>
        <v/>
      </c>
      <c r="C70" s="15" t="n"/>
      <c r="D70" s="15" t="n"/>
      <c r="E70" s="33" t="n"/>
      <c r="F70" s="33" t="n"/>
      <c r="G70" s="15" t="n"/>
      <c r="H70" s="15" t="n"/>
      <c r="I70" s="16" t="n"/>
      <c r="J70" s="25" t="n"/>
      <c r="K70" s="15" t="n"/>
      <c r="L70" s="15" t="n"/>
    </row>
    <row r="71" ht="22" customHeight="1">
      <c r="B71" s="18">
        <f>IF(C71="","RA-"&amp;TEXT(COUNTA($C$5:C71),"000"))</f>
        <v/>
      </c>
      <c r="C71" s="13" t="n"/>
      <c r="D71" s="13" t="n"/>
      <c r="E71" s="32" t="n"/>
      <c r="F71" s="32" t="n"/>
      <c r="G71" s="13" t="n"/>
      <c r="H71" s="13" t="n"/>
      <c r="I71" s="14" t="n"/>
      <c r="J71" s="24" t="n"/>
      <c r="K71" s="13" t="n"/>
      <c r="L71" s="13" t="n"/>
    </row>
    <row r="72" ht="22" customHeight="1">
      <c r="B72" s="17">
        <f>IF(C72="","RA-"&amp;TEXT(COUNTA($C$5:C72),"000"))</f>
        <v/>
      </c>
      <c r="C72" s="15" t="n"/>
      <c r="D72" s="15" t="n"/>
      <c r="E72" s="33" t="n"/>
      <c r="F72" s="33" t="n"/>
      <c r="G72" s="15" t="n"/>
      <c r="H72" s="15" t="n"/>
      <c r="I72" s="16" t="n"/>
      <c r="J72" s="25" t="n"/>
      <c r="K72" s="15" t="n"/>
      <c r="L72" s="15" t="n"/>
    </row>
    <row r="73" ht="22" customHeight="1">
      <c r="B73" s="18">
        <f>IF(C73="","RA-"&amp;TEXT(COUNTA($C$5:C73),"000"))</f>
        <v/>
      </c>
      <c r="C73" s="13" t="n"/>
      <c r="D73" s="13" t="n"/>
      <c r="E73" s="32" t="n"/>
      <c r="F73" s="32" t="n"/>
      <c r="G73" s="13" t="n"/>
      <c r="H73" s="13" t="n"/>
      <c r="I73" s="14" t="n"/>
      <c r="J73" s="24" t="n"/>
      <c r="K73" s="13" t="n"/>
      <c r="L73" s="13" t="n"/>
    </row>
    <row r="74" ht="22" customHeight="1">
      <c r="B74" s="17">
        <f>IF(C74="","RA-"&amp;TEXT(COUNTA($C$5:C74),"000"))</f>
        <v/>
      </c>
      <c r="C74" s="15" t="n"/>
      <c r="D74" s="15" t="n"/>
      <c r="E74" s="33" t="n"/>
      <c r="F74" s="33" t="n"/>
      <c r="G74" s="15" t="n"/>
      <c r="H74" s="15" t="n"/>
      <c r="I74" s="16" t="n"/>
      <c r="J74" s="25" t="n"/>
      <c r="K74" s="15" t="n"/>
      <c r="L74" s="15" t="n"/>
    </row>
    <row r="75" ht="22" customHeight="1">
      <c r="B75" s="18">
        <f>IF(C75="","RA-"&amp;TEXT(COUNTA($C$5:C75),"000"))</f>
        <v/>
      </c>
      <c r="C75" s="13" t="n"/>
      <c r="D75" s="13" t="n"/>
      <c r="E75" s="32" t="n"/>
      <c r="F75" s="32" t="n"/>
      <c r="G75" s="13" t="n"/>
      <c r="H75" s="13" t="n"/>
      <c r="I75" s="14" t="n"/>
      <c r="J75" s="24" t="n"/>
      <c r="K75" s="13" t="n"/>
      <c r="L75" s="13" t="n"/>
    </row>
    <row r="76" ht="22" customHeight="1">
      <c r="B76" s="17">
        <f>IF(C76="","RA-"&amp;TEXT(COUNTA($C$5:C76),"000"))</f>
        <v/>
      </c>
      <c r="C76" s="15" t="n"/>
      <c r="D76" s="15" t="n"/>
      <c r="E76" s="33" t="n"/>
      <c r="F76" s="33" t="n"/>
      <c r="G76" s="15" t="n"/>
      <c r="H76" s="15" t="n"/>
      <c r="I76" s="16" t="n"/>
      <c r="J76" s="25" t="n"/>
      <c r="K76" s="15" t="n"/>
      <c r="L76" s="15" t="n"/>
    </row>
    <row r="77" ht="22" customHeight="1">
      <c r="B77" s="18">
        <f>IF(C77="","RA-"&amp;TEXT(COUNTA($C$5:C77),"000"))</f>
        <v/>
      </c>
      <c r="C77" s="13" t="n"/>
      <c r="D77" s="13" t="n"/>
      <c r="E77" s="32" t="n"/>
      <c r="F77" s="32" t="n"/>
      <c r="G77" s="13" t="n"/>
      <c r="H77" s="13" t="n"/>
      <c r="I77" s="14" t="n"/>
      <c r="J77" s="24" t="n"/>
      <c r="K77" s="13" t="n"/>
      <c r="L77" s="13" t="n"/>
    </row>
    <row r="78" ht="22" customHeight="1">
      <c r="B78" s="17">
        <f>IF(C78="","RA-"&amp;TEXT(COUNTA($C$5:C78),"000"))</f>
        <v/>
      </c>
      <c r="C78" s="15" t="n"/>
      <c r="D78" s="15" t="n"/>
      <c r="E78" s="33" t="n"/>
      <c r="F78" s="33" t="n"/>
      <c r="G78" s="15" t="n"/>
      <c r="H78" s="15" t="n"/>
      <c r="I78" s="16" t="n"/>
      <c r="J78" s="25" t="n"/>
      <c r="K78" s="15" t="n"/>
      <c r="L78" s="15" t="n"/>
    </row>
    <row r="79" ht="22" customHeight="1">
      <c r="B79" s="18">
        <f>IF(C79="","RA-"&amp;TEXT(COUNTA($C$5:C79),"000"))</f>
        <v/>
      </c>
      <c r="C79" s="13" t="n"/>
      <c r="D79" s="13" t="n"/>
      <c r="E79" s="32" t="n"/>
      <c r="F79" s="32" t="n"/>
      <c r="G79" s="13" t="n"/>
      <c r="H79" s="13" t="n"/>
      <c r="I79" s="14" t="n"/>
      <c r="J79" s="24" t="n"/>
      <c r="K79" s="13" t="n"/>
      <c r="L79" s="13" t="n"/>
    </row>
    <row r="80" ht="22" customHeight="1">
      <c r="B80" s="17">
        <f>IF(C80="","RA-"&amp;TEXT(COUNTA($C$5:C80),"000"))</f>
        <v/>
      </c>
      <c r="C80" s="15" t="n"/>
      <c r="D80" s="15" t="n"/>
      <c r="E80" s="33" t="n"/>
      <c r="F80" s="33" t="n"/>
      <c r="G80" s="15" t="n"/>
      <c r="H80" s="15" t="n"/>
      <c r="I80" s="16" t="n"/>
      <c r="J80" s="25" t="n"/>
      <c r="K80" s="15" t="n"/>
      <c r="L80" s="15" t="n"/>
    </row>
    <row r="81" ht="22" customHeight="1">
      <c r="B81" s="18">
        <f>IF(C81="","RA-"&amp;TEXT(COUNTA($C$5:C81),"000"))</f>
        <v/>
      </c>
      <c r="C81" s="13" t="n"/>
      <c r="D81" s="13" t="n"/>
      <c r="E81" s="32" t="n"/>
      <c r="F81" s="32" t="n"/>
      <c r="G81" s="13" t="n"/>
      <c r="H81" s="13" t="n"/>
      <c r="I81" s="14" t="n"/>
      <c r="J81" s="24" t="n"/>
      <c r="K81" s="13" t="n"/>
      <c r="L81" s="13" t="n"/>
    </row>
    <row r="82" ht="22" customHeight="1">
      <c r="B82" s="17">
        <f>IF(C82="","RA-"&amp;TEXT(COUNTA($C$5:C82),"000"))</f>
        <v/>
      </c>
      <c r="C82" s="15" t="n"/>
      <c r="D82" s="15" t="n"/>
      <c r="E82" s="33" t="n"/>
      <c r="F82" s="33" t="n"/>
      <c r="G82" s="15" t="n"/>
      <c r="H82" s="15" t="n"/>
      <c r="I82" s="16" t="n"/>
      <c r="J82" s="25" t="n"/>
      <c r="K82" s="15" t="n"/>
      <c r="L82" s="15" t="n"/>
    </row>
    <row r="83" ht="22" customHeight="1">
      <c r="B83" s="18">
        <f>IF(C83="","RA-"&amp;TEXT(COUNTA($C$5:C83),"000"))</f>
        <v/>
      </c>
      <c r="C83" s="13" t="n"/>
      <c r="D83" s="13" t="n"/>
      <c r="E83" s="32" t="n"/>
      <c r="F83" s="32" t="n"/>
      <c r="G83" s="13" t="n"/>
      <c r="H83" s="13" t="n"/>
      <c r="I83" s="14" t="n"/>
      <c r="J83" s="24" t="n"/>
      <c r="K83" s="13" t="n"/>
      <c r="L83" s="13" t="n"/>
    </row>
    <row r="84" ht="22" customHeight="1">
      <c r="B84" s="17">
        <f>IF(C84="","RA-"&amp;TEXT(COUNTA($C$5:C84),"000"))</f>
        <v/>
      </c>
      <c r="C84" s="15" t="n"/>
      <c r="D84" s="15" t="n"/>
      <c r="E84" s="33" t="n"/>
      <c r="F84" s="33" t="n"/>
      <c r="G84" s="15" t="n"/>
      <c r="H84" s="15" t="n"/>
      <c r="I84" s="16" t="n"/>
      <c r="J84" s="25" t="n"/>
      <c r="K84" s="15" t="n"/>
      <c r="L84" s="15" t="n"/>
    </row>
    <row r="85" ht="22" customHeight="1">
      <c r="B85" s="18">
        <f>IF(C85="","RA-"&amp;TEXT(COUNTA($C$5:C85),"000"))</f>
        <v/>
      </c>
      <c r="C85" s="13" t="n"/>
      <c r="D85" s="13" t="n"/>
      <c r="E85" s="32" t="n"/>
      <c r="F85" s="32" t="n"/>
      <c r="G85" s="13" t="n"/>
      <c r="H85" s="13" t="n"/>
      <c r="I85" s="14" t="n"/>
      <c r="J85" s="24" t="n"/>
      <c r="K85" s="13" t="n"/>
      <c r="L85" s="13" t="n"/>
    </row>
    <row r="86" ht="22" customHeight="1">
      <c r="B86" s="17">
        <f>IF(C86="","RA-"&amp;TEXT(COUNTA($C$5:C86),"000"))</f>
        <v/>
      </c>
      <c r="C86" s="15" t="n"/>
      <c r="D86" s="15" t="n"/>
      <c r="E86" s="33" t="n"/>
      <c r="F86" s="33" t="n"/>
      <c r="G86" s="15" t="n"/>
      <c r="H86" s="15" t="n"/>
      <c r="I86" s="16" t="n"/>
      <c r="J86" s="25" t="n"/>
      <c r="K86" s="15" t="n"/>
      <c r="L86" s="15" t="n"/>
    </row>
    <row r="87" ht="22" customHeight="1">
      <c r="B87" s="18">
        <f>IF(C87="","RA-"&amp;TEXT(COUNTA($C$5:C87),"000"))</f>
        <v/>
      </c>
      <c r="C87" s="13" t="n"/>
      <c r="D87" s="13" t="n"/>
      <c r="E87" s="32" t="n"/>
      <c r="F87" s="32" t="n"/>
      <c r="G87" s="13" t="n"/>
      <c r="H87" s="13" t="n"/>
      <c r="I87" s="14" t="n"/>
      <c r="J87" s="24" t="n"/>
      <c r="K87" s="13" t="n"/>
      <c r="L87" s="13" t="n"/>
    </row>
    <row r="88" ht="22" customHeight="1">
      <c r="B88" s="17">
        <f>IF(C88="","RA-"&amp;TEXT(COUNTA($C$5:C88),"000"))</f>
        <v/>
      </c>
      <c r="C88" s="15" t="n"/>
      <c r="D88" s="15" t="n"/>
      <c r="E88" s="33" t="n"/>
      <c r="F88" s="33" t="n"/>
      <c r="G88" s="15" t="n"/>
      <c r="H88" s="15" t="n"/>
      <c r="I88" s="16" t="n"/>
      <c r="J88" s="25" t="n"/>
      <c r="K88" s="15" t="n"/>
      <c r="L88" s="15" t="n"/>
    </row>
    <row r="89" ht="22" customHeight="1">
      <c r="B89" s="18">
        <f>IF(C89="","RA-"&amp;TEXT(COUNTA($C$5:C89),"000"))</f>
        <v/>
      </c>
      <c r="C89" s="13" t="n"/>
      <c r="D89" s="13" t="n"/>
      <c r="E89" s="32" t="n"/>
      <c r="F89" s="32" t="n"/>
      <c r="G89" s="13" t="n"/>
      <c r="H89" s="13" t="n"/>
      <c r="I89" s="14" t="n"/>
      <c r="J89" s="24" t="n"/>
      <c r="K89" s="13" t="n"/>
      <c r="L89" s="13" t="n"/>
    </row>
    <row r="90" ht="22" customHeight="1">
      <c r="B90" s="17">
        <f>IF(C90="","RA-"&amp;TEXT(COUNTA($C$5:C90),"000"))</f>
        <v/>
      </c>
      <c r="C90" s="15" t="n"/>
      <c r="D90" s="15" t="n"/>
      <c r="E90" s="33" t="n"/>
      <c r="F90" s="33" t="n"/>
      <c r="G90" s="15" t="n"/>
      <c r="H90" s="15" t="n"/>
      <c r="I90" s="16" t="n"/>
      <c r="J90" s="25" t="n"/>
      <c r="K90" s="15" t="n"/>
      <c r="L90" s="15" t="n"/>
    </row>
    <row r="91" ht="22" customHeight="1">
      <c r="B91" s="18">
        <f>IF(C91="","RA-"&amp;TEXT(COUNTA($C$5:C91),"000"))</f>
        <v/>
      </c>
      <c r="C91" s="13" t="n"/>
      <c r="D91" s="13" t="n"/>
      <c r="E91" s="32" t="n"/>
      <c r="F91" s="32" t="n"/>
      <c r="G91" s="13" t="n"/>
      <c r="H91" s="13" t="n"/>
      <c r="I91" s="14" t="n"/>
      <c r="J91" s="24" t="n"/>
      <c r="K91" s="13" t="n"/>
      <c r="L91" s="13" t="n"/>
    </row>
    <row r="92" ht="22" customHeight="1">
      <c r="B92" s="17">
        <f>IF(C92="","RA-"&amp;TEXT(COUNTA($C$5:C92),"000"))</f>
        <v/>
      </c>
      <c r="C92" s="15" t="n"/>
      <c r="D92" s="15" t="n"/>
      <c r="E92" s="33" t="n"/>
      <c r="F92" s="33" t="n"/>
      <c r="G92" s="15" t="n"/>
      <c r="H92" s="15" t="n"/>
      <c r="I92" s="16" t="n"/>
      <c r="J92" s="25" t="n"/>
      <c r="K92" s="15" t="n"/>
      <c r="L92" s="15" t="n"/>
    </row>
    <row r="93" ht="22" customHeight="1">
      <c r="B93" s="18">
        <f>IF(C93="","RA-"&amp;TEXT(COUNTA($C$5:C93),"000"))</f>
        <v/>
      </c>
      <c r="C93" s="13" t="n"/>
      <c r="D93" s="13" t="n"/>
      <c r="E93" s="32" t="n"/>
      <c r="F93" s="32" t="n"/>
      <c r="G93" s="13" t="n"/>
      <c r="H93" s="13" t="n"/>
      <c r="I93" s="14" t="n"/>
      <c r="J93" s="24" t="n"/>
      <c r="K93" s="13" t="n"/>
      <c r="L93" s="13" t="n"/>
    </row>
    <row r="94" ht="22" customHeight="1">
      <c r="B94" s="17">
        <f>IF(C94="","RA-"&amp;TEXT(COUNTA($C$5:C94),"000"))</f>
        <v/>
      </c>
      <c r="C94" s="15" t="n"/>
      <c r="D94" s="15" t="n"/>
      <c r="E94" s="33" t="n"/>
      <c r="F94" s="33" t="n"/>
      <c r="G94" s="15" t="n"/>
      <c r="H94" s="15" t="n"/>
      <c r="I94" s="16" t="n"/>
      <c r="J94" s="25" t="n"/>
      <c r="K94" s="15" t="n"/>
      <c r="L94" s="15" t="n"/>
    </row>
    <row r="95" ht="22" customHeight="1">
      <c r="B95" s="18">
        <f>IF(C95="","RA-"&amp;TEXT(COUNTA($C$5:C95),"000"))</f>
        <v/>
      </c>
      <c r="C95" s="13" t="n"/>
      <c r="D95" s="13" t="n"/>
      <c r="E95" s="32" t="n"/>
      <c r="F95" s="32" t="n"/>
      <c r="G95" s="13" t="n"/>
      <c r="H95" s="13" t="n"/>
      <c r="I95" s="14" t="n"/>
      <c r="J95" s="24" t="n"/>
      <c r="K95" s="13" t="n"/>
      <c r="L95" s="13" t="n"/>
    </row>
    <row r="96" ht="22" customHeight="1">
      <c r="B96" s="17">
        <f>IF(C96="","RA-"&amp;TEXT(COUNTA($C$5:C96),"000"))</f>
        <v/>
      </c>
      <c r="C96" s="15" t="n"/>
      <c r="D96" s="15" t="n"/>
      <c r="E96" s="33" t="n"/>
      <c r="F96" s="33" t="n"/>
      <c r="G96" s="15" t="n"/>
      <c r="H96" s="15" t="n"/>
      <c r="I96" s="16" t="n"/>
      <c r="J96" s="25" t="n"/>
      <c r="K96" s="15" t="n"/>
      <c r="L96" s="15" t="n"/>
    </row>
    <row r="97" ht="22" customHeight="1">
      <c r="B97" s="18">
        <f>IF(C97="","RA-"&amp;TEXT(COUNTA($C$5:C97),"000"))</f>
        <v/>
      </c>
      <c r="C97" s="13" t="n"/>
      <c r="D97" s="13" t="n"/>
      <c r="E97" s="32" t="n"/>
      <c r="F97" s="32" t="n"/>
      <c r="G97" s="13" t="n"/>
      <c r="H97" s="13" t="n"/>
      <c r="I97" s="14" t="n"/>
      <c r="J97" s="24" t="n"/>
      <c r="K97" s="13" t="n"/>
      <c r="L97" s="13" t="n"/>
    </row>
    <row r="98" ht="22" customHeight="1">
      <c r="B98" s="17">
        <f>IF(C98="","RA-"&amp;TEXT(COUNTA($C$5:C98),"000"))</f>
        <v/>
      </c>
      <c r="C98" s="15" t="n"/>
      <c r="D98" s="15" t="n"/>
      <c r="E98" s="33" t="n"/>
      <c r="F98" s="33" t="n"/>
      <c r="G98" s="15" t="n"/>
      <c r="H98" s="15" t="n"/>
      <c r="I98" s="16" t="n"/>
      <c r="J98" s="25" t="n"/>
      <c r="K98" s="15" t="n"/>
      <c r="L98" s="15" t="n"/>
    </row>
    <row r="99" ht="22" customHeight="1">
      <c r="B99" s="18">
        <f>IF(C99="","RA-"&amp;TEXT(COUNTA($C$5:C99),"000"))</f>
        <v/>
      </c>
      <c r="C99" s="13" t="n"/>
      <c r="D99" s="13" t="n"/>
      <c r="E99" s="32" t="n"/>
      <c r="F99" s="32" t="n"/>
      <c r="G99" s="13" t="n"/>
      <c r="H99" s="13" t="n"/>
      <c r="I99" s="14" t="n"/>
      <c r="J99" s="24" t="n"/>
      <c r="K99" s="13" t="n"/>
      <c r="L99" s="13" t="n"/>
    </row>
    <row r="100" ht="22" customHeight="1">
      <c r="B100" s="17">
        <f>IF(C100="","RA-"&amp;TEXT(COUNTA($C$5:C100),"000"))</f>
        <v/>
      </c>
      <c r="C100" s="15" t="n"/>
      <c r="D100" s="15" t="n"/>
      <c r="E100" s="33" t="n"/>
      <c r="F100" s="33" t="n"/>
      <c r="G100" s="15" t="n"/>
      <c r="H100" s="15" t="n"/>
      <c r="I100" s="16" t="n"/>
      <c r="J100" s="25" t="n"/>
      <c r="K100" s="15" t="n"/>
      <c r="L100" s="15" t="n"/>
    </row>
    <row r="101" ht="22" customHeight="1">
      <c r="B101" s="18">
        <f>IF(C101="","RA-"&amp;TEXT(COUNTA($C$5:C101),"000"))</f>
        <v/>
      </c>
      <c r="C101" s="13" t="n"/>
      <c r="D101" s="13" t="n"/>
      <c r="E101" s="32" t="n"/>
      <c r="F101" s="32" t="n"/>
      <c r="G101" s="13" t="n"/>
      <c r="H101" s="13" t="n"/>
      <c r="I101" s="14" t="n"/>
      <c r="J101" s="24" t="n"/>
      <c r="K101" s="13" t="n"/>
      <c r="L101" s="13" t="n"/>
    </row>
    <row r="102" ht="22" customHeight="1">
      <c r="B102" s="17">
        <f>IF(C102="","RA-"&amp;TEXT(COUNTA($C$5:C102),"000"))</f>
        <v/>
      </c>
      <c r="C102" s="15" t="n"/>
      <c r="D102" s="15" t="n"/>
      <c r="E102" s="33" t="n"/>
      <c r="F102" s="33" t="n"/>
      <c r="G102" s="15" t="n"/>
      <c r="H102" s="15" t="n"/>
      <c r="I102" s="16" t="n"/>
      <c r="J102" s="25" t="n"/>
      <c r="K102" s="15" t="n"/>
      <c r="L102" s="15" t="n"/>
    </row>
    <row r="103" ht="22" customHeight="1">
      <c r="B103" s="18">
        <f>IF(C103="","RA-"&amp;TEXT(COUNTA($C$5:C103),"000"))</f>
        <v/>
      </c>
      <c r="C103" s="13" t="n"/>
      <c r="D103" s="13" t="n"/>
      <c r="E103" s="32" t="n"/>
      <c r="F103" s="32" t="n"/>
      <c r="G103" s="13" t="n"/>
      <c r="H103" s="13" t="n"/>
      <c r="I103" s="14" t="n"/>
      <c r="J103" s="24" t="n"/>
      <c r="K103" s="13" t="n"/>
      <c r="L103" s="13" t="n"/>
    </row>
    <row r="104" ht="22" customHeight="1">
      <c r="B104" s="17">
        <f>IF(C104="","RA-"&amp;TEXT(COUNTA($C$5:C104),"000"))</f>
        <v/>
      </c>
      <c r="C104" s="15" t="n"/>
      <c r="D104" s="15" t="n"/>
      <c r="E104" s="33" t="n"/>
      <c r="F104" s="33" t="n"/>
      <c r="G104" s="15" t="n"/>
      <c r="H104" s="15" t="n"/>
      <c r="I104" s="16" t="n"/>
      <c r="J104" s="25" t="n"/>
      <c r="K104" s="15" t="n"/>
      <c r="L104" s="15" t="n"/>
    </row>
    <row r="105" ht="22" customHeight="1">
      <c r="B105" s="18">
        <f>IF(C105="","RA-"&amp;TEXT(COUNTA($C$5:C105),"000"))</f>
        <v/>
      </c>
      <c r="C105" s="13" t="n"/>
      <c r="D105" s="13" t="n"/>
      <c r="E105" s="32" t="n"/>
      <c r="F105" s="32" t="n"/>
      <c r="G105" s="13" t="n"/>
      <c r="H105" s="13" t="n"/>
      <c r="I105" s="14" t="n"/>
      <c r="J105" s="24" t="n"/>
      <c r="K105" s="13" t="n"/>
      <c r="L105" s="13" t="n"/>
    </row>
    <row r="106" ht="22" customHeight="1">
      <c r="B106" s="17">
        <f>IF(C106="","RA-"&amp;TEXT(COUNTA($C$5:C106),"000"))</f>
        <v/>
      </c>
      <c r="C106" s="15" t="n"/>
      <c r="D106" s="15" t="n"/>
      <c r="E106" s="33" t="n"/>
      <c r="F106" s="33" t="n"/>
      <c r="G106" s="15" t="n"/>
      <c r="H106" s="15" t="n"/>
      <c r="I106" s="16" t="n"/>
      <c r="J106" s="25" t="n"/>
      <c r="K106" s="15" t="n"/>
      <c r="L106" s="15" t="n"/>
    </row>
    <row r="107" ht="22" customHeight="1">
      <c r="B107" s="18">
        <f>IF(C107="","RA-"&amp;TEXT(COUNTA($C$5:C107),"000"))</f>
        <v/>
      </c>
      <c r="C107" s="13" t="n"/>
      <c r="D107" s="13" t="n"/>
      <c r="E107" s="32" t="n"/>
      <c r="F107" s="32" t="n"/>
      <c r="G107" s="13" t="n"/>
      <c r="H107" s="13" t="n"/>
      <c r="I107" s="14" t="n"/>
      <c r="J107" s="24" t="n"/>
      <c r="K107" s="13" t="n"/>
      <c r="L107" s="13" t="n"/>
    </row>
    <row r="109" ht="26" customHeight="1">
      <c r="B109" s="19" t="inlineStr">
        <is>
          <t>TOTAL</t>
        </is>
      </c>
      <c r="C109" s="20" t="n"/>
      <c r="D109" s="20" t="n"/>
      <c r="E109" s="20" t="n"/>
      <c r="F109" s="20" t="n"/>
      <c r="G109" s="20" t="n"/>
      <c r="H109" s="20" t="n"/>
      <c r="I109" s="21">
        <f>SUM(I5:I104)</f>
        <v/>
      </c>
      <c r="J109" s="21">
        <f>SUM(J5:J104)</f>
        <v/>
      </c>
      <c r="K109" s="20" t="n"/>
      <c r="L109" s="20" t="n"/>
    </row>
    <row r="111">
      <c r="B111" s="6" t="inlineStr">
        <is>
          <t>INDICATEURS (mis a jour automatiquement)</t>
        </is>
      </c>
    </row>
    <row r="112">
      <c r="B112" s="3" t="inlineStr">
        <is>
          <t>Total rapports</t>
        </is>
      </c>
      <c r="D112" s="3" t="inlineStr">
        <is>
          <t>Total jours abs. analyses</t>
        </is>
      </c>
      <c r="F112" s="3" t="inlineStr">
        <is>
          <t>Cout total estime (FCFA)</t>
        </is>
      </c>
      <c r="H112" s="3" t="inlineStr">
        <is>
          <t>Rapports approuves</t>
        </is>
      </c>
    </row>
    <row r="113">
      <c r="B113" s="4">
        <f>COUNTIF(B5:B104,"&lt;&gt;")</f>
        <v/>
      </c>
      <c r="D113" s="4">
        <f>SUM(I5:I104)</f>
        <v/>
      </c>
      <c r="F113" s="4">
        <f>SUM(J5:J104)</f>
        <v/>
      </c>
      <c r="H113" s="4">
        <f>COUNTIF(L5:L104,"Approuve")</f>
        <v/>
      </c>
    </row>
  </sheetData>
  <mergeCells count="3">
    <mergeCell ref="B2:L2"/>
    <mergeCell ref="B111:L111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"Reprise"</formula>
    </cfRule>
    <cfRule type="cellIs" priority="14" operator="equal" dxfId="0">
      <formula>"Aptitude"</formula>
    </cfRule>
    <cfRule type="cellIs" priority="15" operator="equal" dxfId="0">
      <formula>"Justifie"</formula>
    </cfRule>
    <cfRule type="cellIs" priority="16" operator="equal" dxfId="0">
      <formula>"Justifiee a posteriori"</formula>
    </cfRule>
    <cfRule type="cellIs" priority="17" operator="equal" dxfId="0">
      <formula>"Cloturee"</formula>
    </cfRule>
    <cfRule type="cellIs" priority="18" operator="equal" dxfId="0">
      <formula>"Prolonge"</formula>
    </cfRule>
    <cfRule type="cellIs" priority="19" operator="equal" dxfId="1">
      <formula>"En attente"</formula>
    </cfRule>
    <cfRule type="cellIs" priority="20" operator="equal" dxfId="1">
      <formula>"A renouveler"</formula>
    </cfRule>
    <cfRule type="cellIs" priority="21" operator="equal" dxfId="1">
      <formula>"En cours"</formula>
    </cfRule>
    <cfRule type="cellIs" priority="22" operator="equal" dxfId="1">
      <formula>"En traitement"</formula>
    </cfRule>
    <cfRule type="cellIs" priority="23" operator="equal" dxfId="1">
      <formula>"En retard"</formula>
    </cfRule>
    <cfRule type="cellIs" priority="24" operator="equal" dxfId="1">
      <formula>"Suspendu"</formula>
    </cfRule>
    <cfRule type="cellIs" priority="25" operator="equal" dxfId="1">
      <formula>"Planifie"</formula>
    </cfRule>
    <cfRule type="cellIs" priority="26" operator="equal" dxfId="1">
      <formula>"Brouillon"</formula>
    </cfRule>
    <cfRule type="cellIs" priority="27" operator="equal" dxfId="1">
      <formula>"En attente de justification"</formula>
    </cfRule>
    <cfRule type="cellIs" priority="28" operator="equal" dxfId="1">
      <formula>"Tolere"</formula>
    </cfRule>
    <cfRule type="cellIs" priority="29" operator="equal" dxfId="1">
      <formula>"Variable"</formula>
    </cfRule>
    <cfRule type="cellIs" priority="30" operator="equal" dxfId="2">
      <formula>"Expire"</formula>
    </cfRule>
    <cfRule type="cellIs" priority="31" operator="equal" dxfId="2">
      <formula>"Rejete"</formula>
    </cfRule>
    <cfRule type="cellIs" priority="32" operator="equal" dxfId="2">
      <formula>"Rejetee"</formula>
    </cfRule>
    <cfRule type="cellIs" priority="33" operator="equal" dxfId="2">
      <formula>"Resilie"</formula>
    </cfRule>
    <cfRule type="cellIs" priority="34" operator="equal" dxfId="2">
      <formula>"Annule"</formula>
    </cfRule>
    <cfRule type="cellIs" priority="35" operator="equal" dxfId="2">
      <formula>"Annulee"</formula>
    </cfRule>
    <cfRule type="cellIs" priority="36" operator="equal" dxfId="2">
      <formula>"Refuse"</formula>
    </cfRule>
    <cfRule type="cellIs" priority="37" operator="equal" dxfId="2">
      <formula>"Non justifie"</formula>
    </cfRule>
    <cfRule type="cellIs" priority="38" operator="equal" dxfId="2">
      <formula>"Non justifiee"</formula>
    </cfRule>
    <cfRule type="cellIs" priority="39" operator="equal" dxfId="2">
      <formula>"Sanctionne"</formula>
    </cfRule>
    <cfRule type="cellIs" priority="40" operator="equal" dxfId="2">
      <formula>"Inaptitude"</formula>
    </cfRule>
    <cfRule type="cellIs" priority="41" operator="equal" dxfId="2">
      <formula>"Absent sans autorisation"</formula>
    </cfRule>
    <cfRule type="cellIs" priority="42" operator="equal" dxfId="2">
      <formula>"Abandon de poste"</formula>
    </cfRule>
  </conditionalFormatting>
  <conditionalFormatting sqref="B8:B107">
    <cfRule type="expression" priority="43" dxfId="3">
      <formula>AND($C8="",$C7&lt;&gt;"")</formula>
    </cfRule>
  </conditionalFormatting>
  <conditionalFormatting sqref="C8:C107">
    <cfRule type="expression" priority="44" dxfId="3">
      <formula>AND($C8="",$C7&lt;&gt;"")</formula>
    </cfRule>
  </conditionalFormatting>
  <conditionalFormatting sqref="D8:D107">
    <cfRule type="expression" priority="45" dxfId="3">
      <formula>AND($C8="",$C7&lt;&gt;"")</formula>
    </cfRule>
  </conditionalFormatting>
  <conditionalFormatting sqref="E8:E107">
    <cfRule type="expression" priority="46" dxfId="3">
      <formula>AND($C8="",$C7&lt;&gt;"")</formula>
    </cfRule>
  </conditionalFormatting>
  <conditionalFormatting sqref="F8:F107">
    <cfRule type="expression" priority="47" dxfId="3">
      <formula>AND($C8="",$C7&lt;&gt;"")</formula>
    </cfRule>
  </conditionalFormatting>
  <conditionalFormatting sqref="G8:G107">
    <cfRule type="expression" priority="48" dxfId="3">
      <formula>AND($C8="",$C7&lt;&gt;"")</formula>
    </cfRule>
  </conditionalFormatting>
  <conditionalFormatting sqref="H8:H107">
    <cfRule type="expression" priority="49" dxfId="3">
      <formula>AND($C8="",$C7&lt;&gt;"")</formula>
    </cfRule>
  </conditionalFormatting>
  <conditionalFormatting sqref="I8:I107">
    <cfRule type="expression" priority="50" dxfId="3">
      <formula>AND($C8="",$C7&lt;&gt;"")</formula>
    </cfRule>
  </conditionalFormatting>
  <conditionalFormatting sqref="J8:J107">
    <cfRule type="expression" priority="51" dxfId="3">
      <formula>AND($C8="",$C7&lt;&gt;"")</formula>
    </cfRule>
  </conditionalFormatting>
  <conditionalFormatting sqref="K8:K107">
    <cfRule type="expression" priority="52" dxfId="3">
      <formula>AND($C8="",$C7&lt;&gt;"")</formula>
    </cfRule>
  </conditionalFormatting>
  <conditionalFormatting sqref="L8:L107">
    <cfRule type="expression" priority="53" dxfId="3">
      <formula>AND($C8="",$C7&lt;&gt;"")</formula>
    </cfRule>
  </conditionalFormatting>
  <dataValidations count="3">
    <dataValidation sqref="C5:C107" showDropDown="0" showInputMessage="0" showErrorMessage="0" allowBlank="1" errorTitle="Erreur" error="Valeur invalide" promptTitle="Liste" prompt="Choisir dans la liste" type="list">
      <formula1>'_Lists'!$T$2:$T$5</formula1>
    </dataValidation>
    <dataValidation sqref="G5:G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7" showDropDown="0" showInputMessage="0" showErrorMessage="0" allowBlank="1" errorTitle="Erreur" error="Valeur invalide" promptTitle="Liste" prompt="Choisir dans la liste" type="list">
      <formula1>'_Lists'!$T$2:$T$5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2026-07-05T21:38:02Z</dcterms:created>
  <dcterms:modified xmlns:dcterms="http://purl.org/dc/terms/" xmlns:xsi="http://www.w3.org/2001/XMLSchema-instance" xsi:type="dcterms:W3CDTF">2026-07-09T15:15:14Z</dcterms:modified>
</cp:coreProperties>
</file>