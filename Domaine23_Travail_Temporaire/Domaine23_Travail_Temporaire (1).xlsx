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1 - _Données Employés" sheetId="1" state="visible" r:id="rId1"/>
    <sheet xmlns:r="http://schemas.openxmlformats.org/officeDocument/2006/relationships" name="F02 - _Lists" sheetId="2" state="visible" r:id="rId2"/>
    <sheet xmlns:r="http://schemas.openxmlformats.org/officeDocument/2006/relationships" name="F03 - 1-Tableau de Bord" sheetId="3" state="visible" r:id="rId3"/>
    <sheet xmlns:r="http://schemas.openxmlformats.org/officeDocument/2006/relationships" name="F04 - 2-Réf. Missions Temp." sheetId="4" state="visible" r:id="rId4"/>
    <sheet xmlns:r="http://schemas.openxmlformats.org/officeDocument/2006/relationships" name="F05 - 3-Besoins en Intérim" sheetId="5" state="visible" r:id="rId5"/>
    <sheet xmlns:r="http://schemas.openxmlformats.org/officeDocument/2006/relationships" name="F06 - 4-Suivi Agences Intérim" sheetId="6" state="visible" r:id="rId6"/>
    <sheet xmlns:r="http://schemas.openxmlformats.org/officeDocument/2006/relationships" name="F07 - 5-Contrats MAD" sheetId="7" state="visible" r:id="rId7"/>
    <sheet xmlns:r="http://schemas.openxmlformats.org/officeDocument/2006/relationships" name="F08 - 6-Suivi Intérimaires" sheetId="8" state="visible" r:id="rId8"/>
    <sheet xmlns:r="http://schemas.openxmlformats.org/officeDocument/2006/relationships" name="F09 - 7-Temps et Activités" sheetId="9" state="visible" r:id="rId9"/>
    <sheet xmlns:r="http://schemas.openxmlformats.org/officeDocument/2006/relationships" name="F10 - 8-Éval. des Intérimaires" sheetId="10" state="visible" r:id="rId10"/>
    <sheet xmlns:r="http://schemas.openxmlformats.org/officeDocument/2006/relationships" name="F11 - 9-Suivi Coûts Intérim" sheetId="11" state="visible" r:id="rId11"/>
    <sheet xmlns:r="http://schemas.openxmlformats.org/officeDocument/2006/relationships" name="F12 - 10-Budget Prév. Intérim" sheetId="12" state="visible" r:id="rId12"/>
    <sheet xmlns:r="http://schemas.openxmlformats.org/officeDocument/2006/relationships" name="F13 - 11-Analyse Intér. vs CDI" sheetId="13" state="visible" r:id="rId13"/>
    <sheet xmlns:r="http://schemas.openxmlformats.org/officeDocument/2006/relationships" name="F14 - 12-Suivi des Litiges" sheetId="14" state="visible" r:id="rId14"/>
    <sheet xmlns:r="http://schemas.openxmlformats.org/officeDocument/2006/relationships" name="F15 - 13-Planning des Besoins" sheetId="15" state="visible" r:id="rId15"/>
    <sheet xmlns:r="http://schemas.openxmlformats.org/officeDocument/2006/relationships" name="F16 - 14-Gestion des Avenants" sheetId="16" state="visible" r:id="rId16"/>
    <sheet xmlns:r="http://schemas.openxmlformats.org/officeDocument/2006/relationships" name="F17 - 15-Hist. des Missions" sheetId="17" state="visible" r:id="rId17"/>
    <sheet xmlns:r="http://schemas.openxmlformats.org/officeDocument/2006/relationships" name="F18 - 16-Suivi Réglementaire" sheetId="18" state="visible" r:id="rId18"/>
    <sheet xmlns:r="http://schemas.openxmlformats.org/officeDocument/2006/relationships" name="F19 - 17-Indicateurs Clés" sheetId="19" state="visible" r:id="rId19"/>
    <sheet xmlns:r="http://schemas.openxmlformats.org/officeDocument/2006/relationships" name="F20 - 18-TdB Financier" sheetId="20" state="visible" r:id="rId20"/>
    <sheet xmlns:r="http://schemas.openxmlformats.org/officeDocument/2006/relationships" name="F21 - 19-Analyse Tendanc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263238"/>
      <sz val="10"/>
    </font>
    <font>
      <name val="Calibri"/>
      <b val="1"/>
      <color rgb="00757575"/>
      <sz val="9"/>
    </font>
    <font>
      <name val="Calibri"/>
      <b val="1"/>
      <color rgb="00263238"/>
      <sz val="18"/>
    </font>
  </fonts>
  <fills count="7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CFD8DC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3" fontId="3" fillId="4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7" fontId="3" fillId="4" borderId="1" applyAlignment="1" pivotButton="0" quotePrefix="0" xfId="0">
      <alignment horizontal="left" vertical="center"/>
    </xf>
    <xf numFmtId="167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E0B2"/>
          <b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28" customWidth="1" min="5" max="5"/>
    <col width="16" customWidth="1" min="6" max="6"/>
    <col width="16" customWidth="1" min="7" max="7"/>
    <col width="14" customWidth="1" min="8" max="8"/>
    <col width="22" customWidth="1" min="9" max="9"/>
  </cols>
  <sheetData>
    <row r="1" ht="8" customHeight="1"/>
    <row r="2" ht="30" customHeight="1">
      <c r="A2" s="1" t="inlineStr">
        <is>
          <t>DONNÉES EMPLOYÉS — Base de référence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Poste</t>
        </is>
      </c>
      <c r="E5" s="4" t="inlineStr">
        <is>
          <t>Département</t>
        </is>
      </c>
      <c r="F5" s="4" t="inlineStr">
        <is>
          <t>Date Embauche</t>
        </is>
      </c>
      <c r="G5" s="4" t="inlineStr">
        <is>
          <t>Classification</t>
        </is>
      </c>
      <c r="H5" s="4" t="inlineStr">
        <is>
          <t>Statut</t>
        </is>
      </c>
      <c r="I5" s="4" t="inlineStr">
        <is>
          <t>Taux Horaire (FCFA)</t>
        </is>
      </c>
    </row>
    <row r="6" ht="22" customHeight="1">
      <c r="A6" s="5" t="inlineStr">
        <is>
          <t>EMP-001</t>
        </is>
      </c>
      <c r="B6" s="5" t="inlineStr">
        <is>
          <t>Nkoulou</t>
        </is>
      </c>
      <c r="C6" s="5" t="inlineStr">
        <is>
          <t>Patrice</t>
        </is>
      </c>
      <c r="D6" s="5" t="inlineStr">
        <is>
          <t>Réceptionniste</t>
        </is>
      </c>
      <c r="E6" s="5" t="inlineStr">
        <is>
          <t>Réception &amp; Front Office</t>
        </is>
      </c>
      <c r="F6" s="6" t="n">
        <v>44270</v>
      </c>
      <c r="G6" s="5" t="inlineStr">
        <is>
          <t>E3</t>
        </is>
      </c>
      <c r="H6" s="5" t="inlineStr">
        <is>
          <t>CDI</t>
        </is>
      </c>
      <c r="I6" s="7" t="n">
        <v>2500</v>
      </c>
    </row>
    <row r="7" ht="22" customHeight="1">
      <c r="A7" s="8" t="inlineStr">
        <is>
          <t>EMP-002</t>
        </is>
      </c>
      <c r="B7" s="8" t="inlineStr">
        <is>
          <t>Mbarga</t>
        </is>
      </c>
      <c r="C7" s="8" t="inlineStr">
        <is>
          <t>Sylvie</t>
        </is>
      </c>
      <c r="D7" s="8" t="inlineStr">
        <is>
          <t>Chef Cuisinier</t>
        </is>
      </c>
      <c r="E7" s="8" t="inlineStr">
        <is>
          <t>Cuisine &amp; Restauration</t>
        </is>
      </c>
      <c r="F7" s="9" t="n">
        <v>43647</v>
      </c>
      <c r="G7" s="8" t="inlineStr">
        <is>
          <t>E5</t>
        </is>
      </c>
      <c r="H7" s="8" t="inlineStr">
        <is>
          <t>CDI</t>
        </is>
      </c>
      <c r="I7" s="10" t="n">
        <v>4500</v>
      </c>
    </row>
    <row r="8" ht="22" customHeight="1">
      <c r="A8" s="5" t="inlineStr">
        <is>
          <t>EMP-003</t>
        </is>
      </c>
      <c r="B8" s="5" t="inlineStr">
        <is>
          <t>Nganou</t>
        </is>
      </c>
      <c r="C8" s="5" t="inlineStr">
        <is>
          <t>Clémentine</t>
        </is>
      </c>
      <c r="D8" s="5" t="inlineStr">
        <is>
          <t>Gouvernante</t>
        </is>
      </c>
      <c r="E8" s="5" t="inlineStr">
        <is>
          <t>Hébergement</t>
        </is>
      </c>
      <c r="F8" s="6" t="n">
        <v>43840</v>
      </c>
      <c r="G8" s="5" t="inlineStr">
        <is>
          <t>E4</t>
        </is>
      </c>
      <c r="H8" s="5" t="inlineStr">
        <is>
          <t>CDI</t>
        </is>
      </c>
      <c r="I8" s="7" t="n">
        <v>3000</v>
      </c>
    </row>
    <row r="9" ht="22" customHeight="1">
      <c r="A9" s="8" t="inlineStr">
        <is>
          <t>EMP-004</t>
        </is>
      </c>
      <c r="B9" s="8" t="inlineStr">
        <is>
          <t>Tchinda</t>
        </is>
      </c>
      <c r="C9" s="8" t="inlineStr">
        <is>
          <t>Albert</t>
        </is>
      </c>
      <c r="D9" s="8" t="inlineStr">
        <is>
          <t>Serveur</t>
        </is>
      </c>
      <c r="E9" s="8" t="inlineStr">
        <is>
          <t>Cuisine &amp; Restauration</t>
        </is>
      </c>
      <c r="F9" s="9" t="n">
        <v>44805</v>
      </c>
      <c r="G9" s="8" t="inlineStr">
        <is>
          <t>E2</t>
        </is>
      </c>
      <c r="H9" s="8" t="inlineStr">
        <is>
          <t>CDD</t>
        </is>
      </c>
      <c r="I9" s="10" t="n">
        <v>1800</v>
      </c>
    </row>
    <row r="10" ht="22" customHeight="1">
      <c r="A10" s="5" t="inlineStr">
        <is>
          <t>EMP-005</t>
        </is>
      </c>
      <c r="B10" s="5" t="inlineStr">
        <is>
          <t>Bessa</t>
        </is>
      </c>
      <c r="C10" s="5" t="inlineStr">
        <is>
          <t>Jean-Pierre</t>
        </is>
      </c>
      <c r="D10" s="5" t="inlineStr">
        <is>
          <t>Agent Sécurité</t>
        </is>
      </c>
      <c r="E10" s="5" t="inlineStr">
        <is>
          <t>Sécurité</t>
        </is>
      </c>
      <c r="F10" s="6" t="n">
        <v>44520</v>
      </c>
      <c r="G10" s="5" t="inlineStr">
        <is>
          <t>E3</t>
        </is>
      </c>
      <c r="H10" s="5" t="inlineStr">
        <is>
          <t>CDI</t>
        </is>
      </c>
      <c r="I10" s="7" t="n">
        <v>2200</v>
      </c>
    </row>
    <row r="11" ht="22" customHeight="1">
      <c r="A11" s="8" t="inlineStr">
        <is>
          <t>EMP-006</t>
        </is>
      </c>
      <c r="B11" s="8" t="inlineStr">
        <is>
          <t>Fotso</t>
        </is>
      </c>
      <c r="C11" s="8" t="inlineStr">
        <is>
          <t>Marie</t>
        </is>
      </c>
      <c r="D11" s="8" t="inlineStr">
        <is>
          <t>Comptable</t>
        </is>
      </c>
      <c r="E11" s="8" t="inlineStr">
        <is>
          <t>Finance &amp; Comptabilité</t>
        </is>
      </c>
      <c r="F11" s="9" t="n">
        <v>43997</v>
      </c>
      <c r="G11" s="8" t="inlineStr">
        <is>
          <t>E4</t>
        </is>
      </c>
      <c r="H11" s="8" t="inlineStr">
        <is>
          <t>CDI</t>
        </is>
      </c>
      <c r="I11" s="10" t="n">
        <v>3500</v>
      </c>
    </row>
    <row r="12" ht="22" customHeight="1">
      <c r="A12" s="5" t="inlineStr">
        <is>
          <t>EMP-007</t>
        </is>
      </c>
      <c r="B12" s="5" t="inlineStr">
        <is>
          <t>Kamga</t>
        </is>
      </c>
      <c r="C12" s="5" t="inlineStr">
        <is>
          <t>Samuel</t>
        </is>
      </c>
      <c r="D12" s="5" t="inlineStr">
        <is>
          <t>Agent Entretien</t>
        </is>
      </c>
      <c r="E12" s="5" t="inlineStr">
        <is>
          <t>Entretien &amp; Maintenance</t>
        </is>
      </c>
      <c r="F12" s="6" t="n">
        <v>44958</v>
      </c>
      <c r="G12" s="5" t="inlineStr">
        <is>
          <t>E2</t>
        </is>
      </c>
      <c r="H12" s="5" t="inlineStr">
        <is>
          <t>CDI</t>
        </is>
      </c>
      <c r="I12" s="7" t="n">
        <v>1500</v>
      </c>
    </row>
    <row r="13" ht="22" customHeight="1">
      <c r="A13" s="8" t="inlineStr">
        <is>
          <t>EMP-008</t>
        </is>
      </c>
      <c r="B13" s="8" t="inlineStr">
        <is>
          <t>Djomga</t>
        </is>
      </c>
      <c r="C13" s="8" t="inlineStr">
        <is>
          <t>Thérèse</t>
        </is>
      </c>
      <c r="D13" s="8" t="inlineStr">
        <is>
          <t>Concierge</t>
        </is>
      </c>
      <c r="E13" s="8" t="inlineStr">
        <is>
          <t>Réception &amp; Front Office</t>
        </is>
      </c>
      <c r="F13" s="9" t="n">
        <v>43191</v>
      </c>
      <c r="G13" s="8" t="inlineStr">
        <is>
          <t>E4</t>
        </is>
      </c>
      <c r="H13" s="8" t="inlineStr">
        <is>
          <t>CDI</t>
        </is>
      </c>
      <c r="I13" s="10" t="n">
        <v>3200</v>
      </c>
    </row>
    <row r="14" ht="22" customHeight="1">
      <c r="A14" s="5" t="inlineStr">
        <is>
          <t>EMP-009</t>
        </is>
      </c>
      <c r="B14" s="5" t="inlineStr">
        <is>
          <t>Tabi</t>
        </is>
      </c>
      <c r="C14" s="5" t="inlineStr">
        <is>
          <t>Emmanuel</t>
        </is>
      </c>
      <c r="D14" s="5" t="inlineStr">
        <is>
          <t>Plongeur</t>
        </is>
      </c>
      <c r="E14" s="5" t="inlineStr">
        <is>
          <t>Cuisine &amp; Restauration</t>
        </is>
      </c>
      <c r="F14" s="6" t="n">
        <v>45153</v>
      </c>
      <c r="G14" s="5" t="inlineStr">
        <is>
          <t>E1</t>
        </is>
      </c>
      <c r="H14" s="5" t="inlineStr">
        <is>
          <t>CDD</t>
        </is>
      </c>
      <c r="I14" s="7" t="n">
        <v>1200</v>
      </c>
    </row>
    <row r="15" ht="22" customHeight="1">
      <c r="A15" s="8" t="inlineStr">
        <is>
          <t>EMP-010</t>
        </is>
      </c>
      <c r="B15" s="8" t="inlineStr">
        <is>
          <t>Ngo</t>
        </is>
      </c>
      <c r="C15" s="8" t="inlineStr">
        <is>
          <t>Anatole</t>
        </is>
      </c>
      <c r="D15" s="8" t="inlineStr">
        <is>
          <t>Barman</t>
        </is>
      </c>
      <c r="E15" s="8" t="inlineStr">
        <is>
          <t>Cuisine &amp; Restauration</t>
        </is>
      </c>
      <c r="F15" s="9" t="n">
        <v>44621</v>
      </c>
      <c r="G15" s="8" t="inlineStr">
        <is>
          <t>E3</t>
        </is>
      </c>
      <c r="H15" s="8" t="inlineStr">
        <is>
          <t>CDI</t>
        </is>
      </c>
      <c r="I15" s="10" t="n">
        <v>2800</v>
      </c>
    </row>
  </sheetData>
  <mergeCells count="2">
    <mergeCell ref="A3:I3"/>
    <mergeCell ref="A2:I2"/>
  </mergeCells>
  <dataValidations count="4">
    <dataValidation sqref="D6:D15" showDropDown="0" showInputMessage="0" showErrorMessage="0" allowBlank="1" errorTitle="Erreur" error="Valeur invalide" promptTitle="postes" prompt="Choisir dans la liste: postes" type="list">
      <formula1>'F02 - _Lists'!$B$6:$B$29</formula1>
    </dataValidation>
    <dataValidation sqref="E6:E15" showDropDown="0" showInputMessage="0" showErrorMessage="0" allowBlank="1" errorTitle="Erreur" error="Valeur invalide" promptTitle="departements" prompt="Choisir dans la liste: departements" type="list">
      <formula1>'F02 - _Lists'!$A$6:$A$20</formula1>
    </dataValidation>
    <dataValidation sqref="G6:G15" showDropDown="0" showInputMessage="0" showErrorMessage="0" allowBlank="1" errorTitle="Erreur" error="Valeur invalide" promptTitle="classifications" prompt="Choisir dans la liste: classifications" type="list">
      <formula1>'F02 - _Lists'!$C$6:$C$11</formula1>
    </dataValidation>
    <dataValidation sqref="H6:H15" showDropDown="0" showInputMessage="0" showErrorMessage="0" allowBlank="1" errorTitle="Erreur" error="Valeur invalide" promptTitle="statuts_employes" prompt="Choisir dans la liste: statuts_employes" type="list">
      <formula1>'F02 - _Lists'!$D$6:$D$9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E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</cols>
  <sheetData>
    <row r="1" ht="8" customHeight="1"/>
    <row r="2" ht="30" customHeight="1">
      <c r="A2" s="1" t="inlineStr">
        <is>
          <t>LISTES DE RÉFÉRENCE — Valeurs pour listes déroulantes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departements</t>
        </is>
      </c>
      <c r="B5" s="4" t="inlineStr">
        <is>
          <t>postes</t>
        </is>
      </c>
      <c r="C5" s="4" t="inlineStr">
        <is>
          <t>classifications</t>
        </is>
      </c>
      <c r="D5" s="4" t="inlineStr">
        <is>
          <t>statuts_employes</t>
        </is>
      </c>
      <c r="E5" s="4" t="inlineStr">
        <is>
          <t>statuts_mission</t>
        </is>
      </c>
      <c r="F5" s="4" t="inlineStr">
        <is>
          <t>statuts_besoin</t>
        </is>
      </c>
      <c r="G5" s="4" t="inlineStr">
        <is>
          <t>statuts_contrat</t>
        </is>
      </c>
      <c r="H5" s="4" t="inlineStr">
        <is>
          <t>statuts_interimaire</t>
        </is>
      </c>
      <c r="I5" s="4" t="inlineStr">
        <is>
          <t>statuts_litige</t>
        </is>
      </c>
      <c r="J5" s="4" t="inlineStr">
        <is>
          <t>statuts_avenant</t>
        </is>
      </c>
      <c r="K5" s="4" t="inlineStr">
        <is>
          <t>statuts_reglementaire</t>
        </is>
      </c>
      <c r="L5" s="4" t="inlineStr">
        <is>
          <t>statuts_generique</t>
        </is>
      </c>
      <c r="M5" s="4" t="inlineStr">
        <is>
          <t>motifs_recours</t>
        </is>
      </c>
      <c r="N5" s="4" t="inlineStr">
        <is>
          <t>agences</t>
        </is>
      </c>
      <c r="O5" s="4" t="inlineStr">
        <is>
          <t>specialites_agence</t>
        </is>
      </c>
      <c r="P5" s="4" t="inlineStr">
        <is>
          <t>qualifications</t>
        </is>
      </c>
      <c r="Q5" s="4" t="inlineStr">
        <is>
          <t>priorites</t>
        </is>
      </c>
      <c r="R5" s="4" t="inlineStr">
        <is>
          <t>evaluations</t>
        </is>
      </c>
      <c r="S5" s="4" t="inlineStr">
        <is>
          <t>notes_1_5</t>
        </is>
      </c>
      <c r="T5" s="4" t="inlineStr">
        <is>
          <t>recommandations</t>
        </is>
      </c>
      <c r="U5" s="4" t="inlineStr">
        <is>
          <t>types_litige</t>
        </is>
      </c>
      <c r="V5" s="4" t="inlineStr">
        <is>
          <t>types_avenant</t>
        </is>
      </c>
      <c r="W5" s="4" t="inlineStr">
        <is>
          <t>validations</t>
        </is>
      </c>
      <c r="X5" s="4" t="inlineStr">
        <is>
          <t>frequences</t>
        </is>
      </c>
      <c r="Y5" s="4" t="inlineStr">
        <is>
          <t>periodes</t>
        </is>
      </c>
      <c r="Z5" s="4" t="inlineStr">
        <is>
          <t>trimestres</t>
        </is>
      </c>
      <c r="AA5" s="4" t="inlineStr">
        <is>
          <t>mois_2024</t>
        </is>
      </c>
      <c r="AB5" s="4" t="inlineStr">
        <is>
          <t>tendances</t>
        </is>
      </c>
      <c r="AC5" s="4" t="inlineStr">
        <is>
          <t>annees</t>
        </is>
      </c>
      <c r="AD5" s="4" t="inlineStr">
        <is>
          <t>modes_paiement</t>
        </is>
      </c>
      <c r="AE5" s="4" t="inlineStr">
        <is>
          <t>conformites</t>
        </is>
      </c>
    </row>
    <row r="6" ht="22" customHeight="1">
      <c r="A6" s="5" t="inlineStr">
        <is>
          <t>Direction Générale</t>
        </is>
      </c>
      <c r="B6" s="5" t="inlineStr">
        <is>
          <t>Réceptionniste</t>
        </is>
      </c>
      <c r="C6" s="5" t="inlineStr">
        <is>
          <t>E1</t>
        </is>
      </c>
      <c r="D6" s="5" t="inlineStr">
        <is>
          <t>CDI</t>
        </is>
      </c>
      <c r="E6" s="5" t="inlineStr">
        <is>
          <t>En cours</t>
        </is>
      </c>
      <c r="F6" s="5" t="inlineStr">
        <is>
          <t>Nouveau</t>
        </is>
      </c>
      <c r="G6" s="5" t="inlineStr">
        <is>
          <t>Actif</t>
        </is>
      </c>
      <c r="H6" s="5" t="inlineStr">
        <is>
          <t>En poste</t>
        </is>
      </c>
      <c r="I6" s="5" t="inlineStr">
        <is>
          <t>Ouvert</t>
        </is>
      </c>
      <c r="J6" s="5" t="inlineStr">
        <is>
          <t>En cours</t>
        </is>
      </c>
      <c r="K6" s="5" t="inlineStr">
        <is>
          <t>Conforme</t>
        </is>
      </c>
      <c r="L6" s="5" t="inlineStr">
        <is>
          <t>À jour</t>
        </is>
      </c>
      <c r="M6" s="5" t="inlineStr">
        <is>
          <t>Remplacement congé maternité</t>
        </is>
      </c>
      <c r="N6" s="5" t="inlineStr">
        <is>
          <t>INTERIM PRO CI</t>
        </is>
      </c>
      <c r="O6" s="5" t="inlineStr">
        <is>
          <t>Hôtellerie &amp; Restauration</t>
        </is>
      </c>
      <c r="P6" s="5" t="inlineStr">
        <is>
          <t>Sans qualification</t>
        </is>
      </c>
      <c r="Q6" s="5" t="inlineStr">
        <is>
          <t>Haute</t>
        </is>
      </c>
      <c r="R6" s="5" t="inlineStr">
        <is>
          <t>Excellent</t>
        </is>
      </c>
      <c r="S6" s="5" t="inlineStr">
        <is>
          <t>1</t>
        </is>
      </c>
      <c r="T6" s="5" t="inlineStr">
        <is>
          <t>Recommandé pour CDI</t>
        </is>
      </c>
      <c r="U6" s="5" t="inlineStr">
        <is>
          <t>Retard paiement</t>
        </is>
      </c>
      <c r="V6" s="5" t="inlineStr">
        <is>
          <t>Prolongation</t>
        </is>
      </c>
      <c r="W6" s="5" t="inlineStr">
        <is>
          <t>Validé</t>
        </is>
      </c>
      <c r="X6" s="5" t="inlineStr">
        <is>
          <t>Hebdomadaire</t>
        </is>
      </c>
      <c r="Y6" s="5" t="inlineStr">
        <is>
          <t>S1 2025</t>
        </is>
      </c>
      <c r="Z6" s="5" t="inlineStr">
        <is>
          <t>T1 2025</t>
        </is>
      </c>
      <c r="AA6" s="5" t="inlineStr">
        <is>
          <t>Janvier 2024</t>
        </is>
      </c>
      <c r="AB6" s="5" t="inlineStr">
        <is>
          <t>Hausse</t>
        </is>
      </c>
      <c r="AC6" s="5" t="inlineStr">
        <is>
          <t>2023</t>
        </is>
      </c>
      <c r="AD6" s="5" t="inlineStr">
        <is>
          <t>Virement</t>
        </is>
      </c>
      <c r="AE6" s="5" t="inlineStr">
        <is>
          <t>Oui</t>
        </is>
      </c>
    </row>
    <row r="7" ht="22" customHeight="1">
      <c r="A7" s="8" t="inlineStr">
        <is>
          <t>Ressources Humaines</t>
        </is>
      </c>
      <c r="B7" s="8" t="inlineStr">
        <is>
          <t>Concierge</t>
        </is>
      </c>
      <c r="C7" s="8" t="inlineStr">
        <is>
          <t>E2</t>
        </is>
      </c>
      <c r="D7" s="8" t="inlineStr">
        <is>
          <t>CDD</t>
        </is>
      </c>
      <c r="E7" s="8" t="inlineStr">
        <is>
          <t>Terminée</t>
        </is>
      </c>
      <c r="F7" s="8" t="inlineStr">
        <is>
          <t>En cours de traitement</t>
        </is>
      </c>
      <c r="G7" s="8" t="inlineStr">
        <is>
          <t>Expiré</t>
        </is>
      </c>
      <c r="H7" s="8" t="inlineStr">
        <is>
          <t>Terminé</t>
        </is>
      </c>
      <c r="I7" s="8" t="inlineStr">
        <is>
          <t>En cours d'instruction</t>
        </is>
      </c>
      <c r="J7" s="8" t="inlineStr">
        <is>
          <t>Signé</t>
        </is>
      </c>
      <c r="K7" s="8" t="inlineStr">
        <is>
          <t>Partiellement conforme</t>
        </is>
      </c>
      <c r="L7" s="8" t="inlineStr">
        <is>
          <t>En cours de révision</t>
        </is>
      </c>
      <c r="M7" s="8" t="inlineStr">
        <is>
          <t>Remplacement congé annuel</t>
        </is>
      </c>
      <c r="N7" s="8" t="inlineStr">
        <is>
          <t>ADIA INTERNATIONAL</t>
        </is>
      </c>
      <c r="O7" s="8" t="inlineStr">
        <is>
          <t>BTP &amp; Construction</t>
        </is>
      </c>
      <c r="P7" s="8" t="inlineStr">
        <is>
          <t>E1 - Employé non qualifié</t>
        </is>
      </c>
      <c r="Q7" s="8" t="inlineStr">
        <is>
          <t>Moyenne</t>
        </is>
      </c>
      <c r="R7" s="8" t="inlineStr">
        <is>
          <t>Très bon</t>
        </is>
      </c>
      <c r="S7" s="8" t="inlineStr">
        <is>
          <t>2</t>
        </is>
      </c>
      <c r="T7" s="8" t="inlineStr">
        <is>
          <t>Recommandé pour renouvellement</t>
        </is>
      </c>
      <c r="U7" s="8" t="inlineStr">
        <is>
          <t>Qualité insuffisante</t>
        </is>
      </c>
      <c r="V7" s="8" t="inlineStr">
        <is>
          <t>Modification taux</t>
        </is>
      </c>
      <c r="W7" s="8" t="inlineStr">
        <is>
          <t>En attente</t>
        </is>
      </c>
      <c r="X7" s="8" t="inlineStr">
        <is>
          <t>Mensuelle</t>
        </is>
      </c>
      <c r="Y7" s="8" t="inlineStr">
        <is>
          <t>S2 2025</t>
        </is>
      </c>
      <c r="Z7" s="8" t="inlineStr">
        <is>
          <t>T2 2025</t>
        </is>
      </c>
      <c r="AA7" s="8" t="inlineStr">
        <is>
          <t>Février 2024</t>
        </is>
      </c>
      <c r="AB7" s="8" t="inlineStr">
        <is>
          <t>Baisse</t>
        </is>
      </c>
      <c r="AC7" s="8" t="inlineStr">
        <is>
          <t>2024</t>
        </is>
      </c>
      <c r="AD7" s="8" t="inlineStr">
        <is>
          <t>Chèque</t>
        </is>
      </c>
      <c r="AE7" s="8" t="inlineStr">
        <is>
          <t>Non</t>
        </is>
      </c>
    </row>
    <row r="8" ht="22" customHeight="1">
      <c r="A8" s="5" t="inlineStr">
        <is>
          <t>Finance &amp; Comptabilité</t>
        </is>
      </c>
      <c r="B8" s="5" t="inlineStr">
        <is>
          <t>Chef Cuisinier</t>
        </is>
      </c>
      <c r="C8" s="5" t="inlineStr">
        <is>
          <t>E3</t>
        </is>
      </c>
      <c r="D8" s="5" t="inlineStr">
        <is>
          <t>Stage</t>
        </is>
      </c>
      <c r="E8" s="5" t="inlineStr">
        <is>
          <t>Planifiée</t>
        </is>
      </c>
      <c r="F8" s="5" t="inlineStr">
        <is>
          <t>Pourvu</t>
        </is>
      </c>
      <c r="G8" s="5" t="inlineStr">
        <is>
          <t>En renouvellement</t>
        </is>
      </c>
      <c r="H8" s="5" t="inlineStr">
        <is>
          <t>En cours d'intégration</t>
        </is>
      </c>
      <c r="I8" s="5" t="inlineStr">
        <is>
          <t>Résolu</t>
        </is>
      </c>
      <c r="J8" s="5" t="inlineStr">
        <is>
          <t>Refusé</t>
        </is>
      </c>
      <c r="K8" s="5" t="inlineStr">
        <is>
          <t>Non conforme</t>
        </is>
      </c>
      <c r="L8" s="5" t="inlineStr">
        <is>
          <t>Obsolète</t>
        </is>
      </c>
      <c r="M8" s="5" t="inlineStr">
        <is>
          <t>Pic saisonnier</t>
        </is>
      </c>
      <c r="N8" s="5" t="inlineStr">
        <is>
          <t>MANPOWER COTE D'IVOIRE</t>
        </is>
      </c>
      <c r="O8" s="5" t="inlineStr">
        <is>
          <t>Administratif &amp; Finance</t>
        </is>
      </c>
      <c r="P8" s="5" t="inlineStr">
        <is>
          <t>E2 - Employé qualifié</t>
        </is>
      </c>
      <c r="Q8" s="5" t="inlineStr">
        <is>
          <t>Basse</t>
        </is>
      </c>
      <c r="R8" s="5" t="inlineStr">
        <is>
          <t>Bon</t>
        </is>
      </c>
      <c r="S8" s="5" t="inlineStr">
        <is>
          <t>3</t>
        </is>
      </c>
      <c r="T8" s="5" t="inlineStr">
        <is>
          <t>À retenir si besoin</t>
        </is>
      </c>
      <c r="U8" s="5" t="inlineStr">
        <is>
          <t>Non-respect clause</t>
        </is>
      </c>
      <c r="V8" s="5" t="inlineStr">
        <is>
          <t>Changement poste</t>
        </is>
      </c>
      <c r="W8" s="5" t="inlineStr">
        <is>
          <t>Rejeté</t>
        </is>
      </c>
      <c r="X8" s="5" t="inlineStr">
        <is>
          <t>Trimestrielle</t>
        </is>
      </c>
      <c r="Y8" s="5" t="inlineStr">
        <is>
          <t>S1 2024</t>
        </is>
      </c>
      <c r="Z8" s="5" t="inlineStr">
        <is>
          <t>T3 2025</t>
        </is>
      </c>
      <c r="AA8" s="5" t="inlineStr">
        <is>
          <t>Mars 2024</t>
        </is>
      </c>
      <c r="AB8" s="5" t="inlineStr">
        <is>
          <t>Stable</t>
        </is>
      </c>
      <c r="AC8" s="5" t="inlineStr">
        <is>
          <t>2025</t>
        </is>
      </c>
      <c r="AD8" s="5" t="inlineStr">
        <is>
          <t>Espèces</t>
        </is>
      </c>
      <c r="AE8" s="5" t="inlineStr">
        <is>
          <t>Partiellement</t>
        </is>
      </c>
    </row>
    <row r="9" ht="22" customHeight="1">
      <c r="A9" s="8" t="inlineStr">
        <is>
          <t>Marketing &amp; Communication</t>
        </is>
      </c>
      <c r="B9" s="8" t="inlineStr">
        <is>
          <t>Sous-Chef</t>
        </is>
      </c>
      <c r="C9" s="8" t="inlineStr">
        <is>
          <t>E4</t>
        </is>
      </c>
      <c r="D9" s="8" t="inlineStr">
        <is>
          <t>Intérim</t>
        </is>
      </c>
      <c r="E9" s="8" t="inlineStr">
        <is>
          <t>Annulée</t>
        </is>
      </c>
      <c r="F9" s="8" t="inlineStr">
        <is>
          <t>Non pourvu</t>
        </is>
      </c>
      <c r="G9" s="8" t="inlineStr">
        <is>
          <t>Résilié</t>
        </is>
      </c>
      <c r="H9" s="8" t="inlineStr">
        <is>
          <t>Rappelé par agence</t>
        </is>
      </c>
      <c r="I9" s="8" t="inlineStr">
        <is>
          <t>En attente réponse agence</t>
        </is>
      </c>
      <c r="J9" s="8" t="inlineStr">
        <is>
          <t>En attente validation</t>
        </is>
      </c>
      <c r="K9" s="8" t="inlineStr">
        <is>
          <t>En cours de vérification</t>
        </is>
      </c>
      <c r="L9" s="8" t="inlineStr">
        <is>
          <t>En création</t>
        </is>
      </c>
      <c r="M9" s="8" t="inlineStr">
        <is>
          <t>Surcharge ponctuelle</t>
        </is>
      </c>
      <c r="N9" s="8" t="inlineStr">
        <is>
          <t>ACTIV-INTERIM</t>
        </is>
      </c>
      <c r="O9" s="8" t="inlineStr">
        <is>
          <t>Logistique &amp; Manutention</t>
        </is>
      </c>
      <c r="P9" s="8" t="inlineStr">
        <is>
          <t>E3 - Technicien</t>
        </is>
      </c>
      <c r="Q9" s="8" t="n"/>
      <c r="R9" s="8" t="inlineStr">
        <is>
          <t>Satisfaisant</t>
        </is>
      </c>
      <c r="S9" s="8" t="inlineStr">
        <is>
          <t>4</t>
        </is>
      </c>
      <c r="T9" s="8" t="inlineStr">
        <is>
          <t>Non recommandé</t>
        </is>
      </c>
      <c r="U9" s="8" t="inlineStr">
        <is>
          <t>Absence injustifiée</t>
        </is>
      </c>
      <c r="V9" s="8" t="inlineStr">
        <is>
          <t>Ajout heures</t>
        </is>
      </c>
      <c r="W9" s="8" t="inlineStr">
        <is>
          <t>Non applicable</t>
        </is>
      </c>
      <c r="X9" s="8" t="inlineStr">
        <is>
          <t>Semestrielle</t>
        </is>
      </c>
      <c r="Y9" s="8" t="inlineStr">
        <is>
          <t>S2 2024</t>
        </is>
      </c>
      <c r="Z9" s="8" t="inlineStr">
        <is>
          <t>T4 2025</t>
        </is>
      </c>
      <c r="AA9" s="8" t="inlineStr">
        <is>
          <t>Avril 2024</t>
        </is>
      </c>
      <c r="AB9" s="8" t="n"/>
      <c r="AC9" s="8" t="n"/>
      <c r="AD9" s="8" t="n"/>
      <c r="AE9" s="8" t="n"/>
    </row>
    <row r="10" ht="22" customHeight="1">
      <c r="A10" s="5" t="inlineStr">
        <is>
          <t>Informatique</t>
        </is>
      </c>
      <c r="B10" s="5" t="inlineStr">
        <is>
          <t>Cuisinier</t>
        </is>
      </c>
      <c r="C10" s="5" t="inlineStr">
        <is>
          <t>E5</t>
        </is>
      </c>
      <c r="D10" s="5" t="n"/>
      <c r="E10" s="5" t="inlineStr">
        <is>
          <t>En attente validation</t>
        </is>
      </c>
      <c r="F10" s="5" t="inlineStr">
        <is>
          <t>Annulé</t>
        </is>
      </c>
      <c r="G10" s="5" t="inlineStr">
        <is>
          <t>En attente signature</t>
        </is>
      </c>
      <c r="H10" s="5" t="inlineStr">
        <is>
          <t>Remplacé</t>
        </is>
      </c>
      <c r="I10" s="5" t="inlineStr">
        <is>
          <t>Escaladé</t>
        </is>
      </c>
      <c r="J10" s="5" t="inlineStr">
        <is>
          <t>Annulé</t>
        </is>
      </c>
      <c r="K10" s="5" t="inlineStr">
        <is>
          <t>Non vérifié</t>
        </is>
      </c>
      <c r="L10" s="5" t="inlineStr">
        <is>
          <t>En validation</t>
        </is>
      </c>
      <c r="M10" s="5" t="inlineStr">
        <is>
          <t>Projet spécifique</t>
        </is>
      </c>
      <c r="N10" s="5" t="n"/>
      <c r="O10" s="5" t="inlineStr">
        <is>
          <t>Sécurité &amp; Gardiennage</t>
        </is>
      </c>
      <c r="P10" s="5" t="inlineStr">
        <is>
          <t>E4 - Technicien supérieur</t>
        </is>
      </c>
      <c r="Q10" s="5" t="n"/>
      <c r="R10" s="5" t="inlineStr">
        <is>
          <t>Insuffisant</t>
        </is>
      </c>
      <c r="S10" s="5" t="inlineStr">
        <is>
          <t>5</t>
        </is>
      </c>
      <c r="T10" s="5" t="n"/>
      <c r="U10" s="5" t="inlineStr">
        <is>
          <t>Autre</t>
        </is>
      </c>
      <c r="V10" s="5" t="inlineStr">
        <is>
          <t>Autre</t>
        </is>
      </c>
      <c r="W10" s="5" t="n"/>
      <c r="X10" s="5" t="inlineStr">
        <is>
          <t>Annuelle</t>
        </is>
      </c>
      <c r="Y10" s="5" t="inlineStr">
        <is>
          <t>S1 2023</t>
        </is>
      </c>
      <c r="Z10" s="5" t="n"/>
      <c r="AA10" s="5" t="inlineStr">
        <is>
          <t>Mai 2024</t>
        </is>
      </c>
      <c r="AB10" s="5" t="n"/>
      <c r="AC10" s="5" t="n"/>
      <c r="AD10" s="5" t="n"/>
      <c r="AE10" s="5" t="n"/>
    </row>
    <row r="11" ht="22" customHeight="1">
      <c r="A11" s="8" t="inlineStr">
        <is>
          <t>Commercial</t>
        </is>
      </c>
      <c r="B11" s="8" t="inlineStr">
        <is>
          <t>Pâtissier</t>
        </is>
      </c>
      <c r="C11" s="8" t="inlineStr">
        <is>
          <t>E6</t>
        </is>
      </c>
      <c r="D11" s="8" t="n"/>
      <c r="E11" s="8" t="inlineStr">
        <is>
          <t>Suspendue</t>
        </is>
      </c>
      <c r="F11" s="8" t="inlineStr">
        <is>
          <t>En attente</t>
        </is>
      </c>
      <c r="G11" s="8" t="inlineStr">
        <is>
          <t>Suspendu</t>
        </is>
      </c>
      <c r="H11" s="8" t="n"/>
      <c r="I11" s="8" t="inlineStr">
        <is>
          <t>Fermé</t>
        </is>
      </c>
      <c r="J11" s="8" t="n"/>
      <c r="K11" s="8" t="n"/>
      <c r="L11" s="8" t="inlineStr">
        <is>
          <t>Archivé</t>
        </is>
      </c>
      <c r="M11" s="8" t="inlineStr">
        <is>
          <t>Remplacement maladie</t>
        </is>
      </c>
      <c r="N11" s="8" t="n"/>
      <c r="O11" s="8" t="inlineStr">
        <is>
          <t>Polyvalent</t>
        </is>
      </c>
      <c r="P11" s="8" t="inlineStr">
        <is>
          <t>E5 - Cadre</t>
        </is>
      </c>
      <c r="Q11" s="8" t="n"/>
      <c r="R11" s="8" t="inlineStr">
        <is>
          <t>Mauvais</t>
        </is>
      </c>
      <c r="S11" s="8" t="n"/>
      <c r="T11" s="8" t="n"/>
      <c r="U11" s="8" t="n"/>
      <c r="V11" s="8" t="n"/>
      <c r="W11" s="8" t="n"/>
      <c r="X11" s="8" t="n"/>
      <c r="Y11" s="8" t="inlineStr">
        <is>
          <t>S2 2023</t>
        </is>
      </c>
      <c r="Z11" s="8" t="n"/>
      <c r="AA11" s="8" t="inlineStr">
        <is>
          <t>Juin 2024</t>
        </is>
      </c>
      <c r="AB11" s="8" t="n"/>
      <c r="AC11" s="8" t="n"/>
      <c r="AD11" s="8" t="n"/>
      <c r="AE11" s="8" t="n"/>
    </row>
    <row r="12" ht="22" customHeight="1">
      <c r="A12" s="5" t="inlineStr">
        <is>
          <t>Logistique &amp; Approvisionnement</t>
        </is>
      </c>
      <c r="B12" s="5" t="inlineStr">
        <is>
          <t>Serveur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inlineStr">
        <is>
          <t>Brouillon</t>
        </is>
      </c>
      <c r="M12" s="5" t="inlineStr">
        <is>
          <t>Remplacement démission</t>
        </is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inlineStr">
        <is>
          <t>Juillet 2024</t>
        </is>
      </c>
      <c r="AB12" s="5" t="n"/>
      <c r="AC12" s="5" t="n"/>
      <c r="AD12" s="5" t="n"/>
      <c r="AE12" s="5" t="n"/>
    </row>
    <row r="13" ht="22" customHeight="1">
      <c r="A13" s="8" t="inlineStr">
        <is>
          <t>Réception &amp; Front Office</t>
        </is>
      </c>
      <c r="B13" s="8" t="inlineStr">
        <is>
          <t>Barman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inlineStr">
        <is>
          <t>Approuvé</t>
        </is>
      </c>
      <c r="M13" s="8" t="inlineStr">
        <is>
          <t>Événement exceptionnel</t>
        </is>
      </c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inlineStr">
        <is>
          <t>Août 2024</t>
        </is>
      </c>
      <c r="AB13" s="8" t="n"/>
      <c r="AC13" s="8" t="n"/>
      <c r="AD13" s="8" t="n"/>
      <c r="AE13" s="8" t="n"/>
    </row>
    <row r="14" ht="22" customHeight="1">
      <c r="A14" s="5" t="inlineStr">
        <is>
          <t>Cuisine &amp; Restauration</t>
        </is>
      </c>
      <c r="B14" s="5" t="inlineStr">
        <is>
          <t>Plongeur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inlineStr">
        <is>
          <t>Formation d'un titulaire</t>
        </is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inlineStr">
        <is>
          <t>Septembre 2024</t>
        </is>
      </c>
      <c r="AB14" s="5" t="n"/>
      <c r="AC14" s="5" t="n"/>
      <c r="AD14" s="5" t="n"/>
      <c r="AE14" s="5" t="n"/>
    </row>
    <row r="15" ht="22" customHeight="1">
      <c r="A15" s="8" t="inlineStr">
        <is>
          <t>Hébergement</t>
        </is>
      </c>
      <c r="B15" s="8" t="inlineStr">
        <is>
          <t>Gouvernante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inlineStr">
        <is>
          <t>Octobre 2024</t>
        </is>
      </c>
      <c r="AB15" s="8" t="n"/>
      <c r="AC15" s="8" t="n"/>
      <c r="AD15" s="8" t="n"/>
      <c r="AE15" s="8" t="n"/>
    </row>
    <row r="16" ht="22" customHeight="1">
      <c r="A16" s="5" t="inlineStr">
        <is>
          <t>Entretien &amp; Maintenance</t>
        </is>
      </c>
      <c r="B16" s="5" t="inlineStr">
        <is>
          <t>Femme de chambre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inlineStr">
        <is>
          <t>Novembre 2024</t>
        </is>
      </c>
      <c r="AB16" s="5" t="n"/>
      <c r="AC16" s="5" t="n"/>
      <c r="AD16" s="5" t="n"/>
      <c r="AE16" s="5" t="n"/>
    </row>
    <row r="17" ht="22" customHeight="1">
      <c r="A17" s="8" t="inlineStr">
        <is>
          <t>Sécurité</t>
        </is>
      </c>
      <c r="B17" s="8" t="inlineStr">
        <is>
          <t>Agent Entretien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inlineStr">
        <is>
          <t>Décembre 2024</t>
        </is>
      </c>
      <c r="AB17" s="8" t="n"/>
      <c r="AC17" s="8" t="n"/>
      <c r="AD17" s="8" t="n"/>
      <c r="AE17" s="8" t="n"/>
    </row>
    <row r="18" ht="22" customHeight="1">
      <c r="A18" s="5" t="inlineStr">
        <is>
          <t>Service Client</t>
        </is>
      </c>
      <c r="B18" s="5" t="inlineStr">
        <is>
          <t>Agent Sécurité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 ht="22" customHeight="1">
      <c r="A19" s="8" t="inlineStr">
        <is>
          <t>Animation &amp; Loisirs</t>
        </is>
      </c>
      <c r="B19" s="8" t="inlineStr">
        <is>
          <t>Comptable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22" customHeight="1">
      <c r="A20" s="5" t="inlineStr">
        <is>
          <t>Spa &amp; Bien-être</t>
        </is>
      </c>
      <c r="B20" s="5" t="inlineStr">
        <is>
          <t>Agent Commercial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 ht="22" customHeight="1">
      <c r="A21" s="8" t="n"/>
      <c r="B21" s="8" t="inlineStr">
        <is>
          <t>Standardiste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22" customHeight="1">
      <c r="A22" s="5" t="n"/>
      <c r="B22" s="5" t="inlineStr">
        <is>
          <t>Bagagiste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 ht="22" customHeight="1">
      <c r="A23" s="8" t="n"/>
      <c r="B23" s="8" t="inlineStr">
        <is>
          <t>Chef Réception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22" customHeight="1">
      <c r="A24" s="5" t="n"/>
      <c r="B24" s="5" t="inlineStr">
        <is>
          <t>Chef Entretien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 ht="22" customHeight="1">
      <c r="A25" s="8" t="n"/>
      <c r="B25" s="8" t="inlineStr">
        <is>
          <t>Technicien CVC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22" customHeight="1">
      <c r="A26" s="5" t="n"/>
      <c r="B26" s="5" t="inlineStr">
        <is>
          <t>Laveur vaisselle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 ht="22" customHeight="1">
      <c r="A27" s="8" t="n"/>
      <c r="B27" s="8" t="inlineStr">
        <is>
          <t>Agent de service étage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22" customHeight="1">
      <c r="A28" s="5" t="n"/>
      <c r="B28" s="5" t="inlineStr">
        <is>
          <t>Maître d'hôtel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 ht="22" customHeight="1">
      <c r="A29" s="8" t="n"/>
      <c r="B29" s="8" t="inlineStr">
        <is>
          <t>Sommelier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</sheetData>
  <mergeCells count="2">
    <mergeCell ref="A3:AE3"/>
    <mergeCell ref="A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0" customWidth="1" min="4" max="4"/>
    <col width="22" customWidth="1" min="5" max="5"/>
    <col width="14" customWidth="1" min="6" max="6"/>
    <col width="4" customWidth="1" min="7" max="7"/>
    <col width="4" customWidth="1" min="8" max="8"/>
    <col width="22" customWidth="1" min="9" max="9"/>
    <col width="18" customWidth="1" min="10" max="10"/>
    <col width="16" customWidth="1" min="11" max="11"/>
    <col width="18" customWidth="1" min="12" max="12"/>
    <col width="14" customWidth="1" min="13" max="13"/>
    <col width="14" customWidth="1" min="14" max="14"/>
  </cols>
  <sheetData>
    <row r="1" ht="8" customHeight="1"/>
    <row r="2" ht="36" customHeight="1">
      <c r="A2" s="11" t="inlineStr">
        <is>
          <t>DOMAINE 23 — GESTION DU TRAVAIL TEMPORAIRE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12" t="inlineStr">
        <is>
          <t>Tableau de Bord Synthétique — Suivi des intérimaires, coûts et agences</t>
        </is>
      </c>
    </row>
    <row r="4" ht="8" customHeight="1"/>
    <row r="5" ht="24" customHeight="1">
      <c r="A5" s="13" t="inlineStr">
        <is>
          <t>INDICATEURS CLÉS</t>
        </is>
      </c>
    </row>
    <row r="6" ht="20" customHeight="1">
      <c r="A6" s="14" t="inlineStr">
        <is>
          <t>Total Intérimaires en Poste</t>
        </is>
      </c>
      <c r="B6" s="15" t="n"/>
      <c r="C6" s="14" t="inlineStr">
        <is>
          <t>Coût Mensuel Intérim</t>
        </is>
      </c>
      <c r="D6" s="15" t="n"/>
      <c r="E6" s="14" t="inlineStr">
        <is>
          <t>Missions en Cours</t>
        </is>
      </c>
      <c r="F6" s="15" t="n"/>
      <c r="G6" s="14" t="inlineStr">
        <is>
          <t>Taux de Remplacement</t>
        </is>
      </c>
      <c r="H6" s="15" t="n"/>
      <c r="I6" s="14" t="inlineStr">
        <is>
          <t>Délai Moyen de Pourvoi</t>
        </is>
      </c>
      <c r="J6" s="15" t="n"/>
      <c r="K6" s="14" t="inlineStr">
        <is>
          <t>Agences Actives</t>
        </is>
      </c>
      <c r="L6" s="15" t="n"/>
    </row>
    <row r="7" ht="36" customHeight="1">
      <c r="A7" s="16" t="inlineStr">
        <is>
          <t>8</t>
        </is>
      </c>
      <c r="B7" s="15" t="n"/>
      <c r="C7" s="16" t="inlineStr">
        <is>
          <t>3 200 000</t>
        </is>
      </c>
      <c r="D7" s="15" t="n"/>
      <c r="E7" s="16" t="inlineStr">
        <is>
          <t>6</t>
        </is>
      </c>
      <c r="F7" s="15" t="n"/>
      <c r="G7" s="16" t="inlineStr">
        <is>
          <t>85%</t>
        </is>
      </c>
      <c r="H7" s="15" t="n"/>
      <c r="I7" s="16" t="inlineStr">
        <is>
          <t>3 jours</t>
        </is>
      </c>
      <c r="J7" s="15" t="n"/>
      <c r="K7" s="16" t="inlineStr">
        <is>
          <t>4</t>
        </is>
      </c>
      <c r="L7" s="15" t="n"/>
    </row>
    <row r="8" ht="8" customHeight="1"/>
    <row r="9" ht="24" customHeight="1">
      <c r="A9" s="13" t="inlineStr">
        <is>
          <t>DISTRIBUTION PAR DÉPARTEMENT</t>
        </is>
      </c>
      <c r="I9" s="13" t="inlineStr">
        <is>
          <t>COÛTS PAR MOIS (6 DERNIERS MOIS)</t>
        </is>
      </c>
    </row>
    <row r="10" ht="26" customHeight="1">
      <c r="A10" s="4" t="inlineStr">
        <is>
          <t>Département</t>
        </is>
      </c>
      <c r="B10" s="4" t="inlineStr">
        <is>
          <t>Nb Intérimaires</t>
        </is>
      </c>
      <c r="C10" s="4" t="inlineStr">
        <is>
          <t>Coût Mensuel (FCFA)</t>
        </is>
      </c>
      <c r="D10" s="4" t="inlineStr">
        <is>
          <t>% du Total</t>
        </is>
      </c>
      <c r="I10" s="4" t="inlineStr">
        <is>
          <t>Mois</t>
        </is>
      </c>
      <c r="J10" s="4" t="inlineStr">
        <is>
          <t>Coût Total (FCFA)</t>
        </is>
      </c>
      <c r="K10" s="4" t="inlineStr">
        <is>
          <t>Nb Missions</t>
        </is>
      </c>
    </row>
    <row r="11" ht="22" customHeight="1">
      <c r="A11" s="17" t="inlineStr">
        <is>
          <t>Cuisine &amp; Restauration</t>
        </is>
      </c>
      <c r="B11" s="17" t="n">
        <v>4</v>
      </c>
      <c r="C11" s="18" t="n">
        <v>1600000</v>
      </c>
      <c r="D11" s="17" t="inlineStr">
        <is>
          <t>50%</t>
        </is>
      </c>
      <c r="I11" s="17" t="inlineStr">
        <is>
          <t>Septembre 2024</t>
        </is>
      </c>
      <c r="J11" s="18" t="n">
        <v>2800000</v>
      </c>
      <c r="K11" s="17" t="n">
        <v>5</v>
      </c>
    </row>
    <row r="12" ht="22" customHeight="1">
      <c r="A12" s="19" t="inlineStr">
        <is>
          <t>Hébergement</t>
        </is>
      </c>
      <c r="B12" s="19" t="n">
        <v>2</v>
      </c>
      <c r="C12" s="20" t="n">
        <v>800000</v>
      </c>
      <c r="D12" s="19" t="inlineStr">
        <is>
          <t>25%</t>
        </is>
      </c>
      <c r="I12" s="19" t="inlineStr">
        <is>
          <t>Octobre 2024</t>
        </is>
      </c>
      <c r="J12" s="20" t="n">
        <v>3100000</v>
      </c>
      <c r="K12" s="19" t="n">
        <v>6</v>
      </c>
    </row>
    <row r="13" ht="22" customHeight="1">
      <c r="A13" s="17" t="inlineStr">
        <is>
          <t>Entretien &amp; Maintenance</t>
        </is>
      </c>
      <c r="B13" s="17" t="n">
        <v>1</v>
      </c>
      <c r="C13" s="18" t="n">
        <v>400000</v>
      </c>
      <c r="D13" s="17" t="inlineStr">
        <is>
          <t>12.5%</t>
        </is>
      </c>
      <c r="I13" s="17" t="inlineStr">
        <is>
          <t>Novembre 2024</t>
        </is>
      </c>
      <c r="J13" s="18" t="n">
        <v>2950000</v>
      </c>
      <c r="K13" s="17" t="n">
        <v>5</v>
      </c>
    </row>
    <row r="14" ht="22" customHeight="1">
      <c r="A14" s="19" t="inlineStr">
        <is>
          <t>Réception &amp; Front Office</t>
        </is>
      </c>
      <c r="B14" s="19" t="n">
        <v>1</v>
      </c>
      <c r="C14" s="20" t="n">
        <v>400000</v>
      </c>
      <c r="D14" s="19" t="inlineStr">
        <is>
          <t>12.5%</t>
        </is>
      </c>
      <c r="I14" s="19" t="inlineStr">
        <is>
          <t>Décembre 2024</t>
        </is>
      </c>
      <c r="J14" s="20" t="n">
        <v>3800000</v>
      </c>
      <c r="K14" s="19" t="n">
        <v>8</v>
      </c>
    </row>
    <row r="15">
      <c r="I15" s="17" t="inlineStr">
        <is>
          <t>Janvier 2025</t>
        </is>
      </c>
      <c r="J15" s="18" t="n">
        <v>3200000</v>
      </c>
      <c r="K15" s="17" t="n">
        <v>6</v>
      </c>
    </row>
    <row r="16" ht="24" customHeight="1">
      <c r="A16" s="13" t="inlineStr">
        <is>
          <t>TOP 5 DES POSTES LES PLUS DEMANDÉS</t>
        </is>
      </c>
      <c r="I16" s="21" t="inlineStr">
        <is>
          <t>SATISFACTION AGENCES D'INTÉRIM</t>
        </is>
      </c>
      <c r="J16" s="22" t="n"/>
      <c r="K16" s="22" t="n"/>
      <c r="L16" s="22" t="n"/>
      <c r="M16" s="22" t="n"/>
      <c r="N16" s="23" t="n"/>
    </row>
    <row r="17" ht="26" customHeight="1">
      <c r="A17" s="4" t="inlineStr">
        <is>
          <t>Rang</t>
        </is>
      </c>
      <c r="B17" s="4" t="inlineStr">
        <is>
          <t>Poste</t>
        </is>
      </c>
      <c r="C17" s="4" t="inlineStr">
        <is>
          <t>Nb Demandes</t>
        </is>
      </c>
      <c r="D17" s="4" t="inlineStr">
        <is>
          <t>Coût Total (FCFA)</t>
        </is>
      </c>
      <c r="E17" s="4" t="inlineStr">
        <is>
          <t>Département</t>
        </is>
      </c>
      <c r="I17" s="4" t="inlineStr">
        <is>
          <t>Agence</t>
        </is>
      </c>
      <c r="J17" s="4" t="inlineStr">
        <is>
          <t>Nb Intérimaires</t>
        </is>
      </c>
      <c r="K17" s="4" t="inlineStr">
        <is>
          <t>Note Moyenne</t>
        </is>
      </c>
      <c r="L17" s="4" t="inlineStr">
        <is>
          <t>Montant Facturé (FCFA)</t>
        </is>
      </c>
    </row>
    <row r="18" ht="22" customHeight="1">
      <c r="A18" s="17" t="n">
        <v>1</v>
      </c>
      <c r="B18" s="17" t="inlineStr">
        <is>
          <t>Serveur</t>
        </is>
      </c>
      <c r="C18" s="17" t="n">
        <v>12</v>
      </c>
      <c r="D18" s="18" t="n">
        <v>2400000</v>
      </c>
      <c r="E18" s="17" t="inlineStr">
        <is>
          <t>Cuisine &amp; Restauration</t>
        </is>
      </c>
      <c r="I18" s="17" t="inlineStr">
        <is>
          <t>INTERIM PRO CI</t>
        </is>
      </c>
      <c r="J18" s="17" t="n">
        <v>3</v>
      </c>
      <c r="K18" s="17" t="n">
        <v>4.2</v>
      </c>
      <c r="L18" s="18" t="n">
        <v>9600000</v>
      </c>
    </row>
    <row r="19" ht="22" customHeight="1">
      <c r="A19" s="19" t="n">
        <v>2</v>
      </c>
      <c r="B19" s="19" t="inlineStr">
        <is>
          <t>Femme de chambre</t>
        </is>
      </c>
      <c r="C19" s="19" t="n">
        <v>8</v>
      </c>
      <c r="D19" s="20" t="n">
        <v>1600000</v>
      </c>
      <c r="E19" s="19" t="inlineStr">
        <is>
          <t>Hébergement</t>
        </is>
      </c>
      <c r="I19" s="19" t="inlineStr">
        <is>
          <t>ADIA INTERNATIONAL</t>
        </is>
      </c>
      <c r="J19" s="19" t="n">
        <v>2</v>
      </c>
      <c r="K19" s="19" t="n">
        <v>3.8</v>
      </c>
      <c r="L19" s="20" t="n">
        <v>6400000</v>
      </c>
    </row>
    <row r="20" ht="22" customHeight="1">
      <c r="A20" s="17" t="n">
        <v>3</v>
      </c>
      <c r="B20" s="17" t="inlineStr">
        <is>
          <t>Plongeur</t>
        </is>
      </c>
      <c r="C20" s="17" t="n">
        <v>6</v>
      </c>
      <c r="D20" s="18" t="n">
        <v>960000</v>
      </c>
      <c r="E20" s="17" t="inlineStr">
        <is>
          <t>Cuisine &amp; Restauration</t>
        </is>
      </c>
      <c r="I20" s="17" t="inlineStr">
        <is>
          <t>MANPOWER COTE D'IVOIRE</t>
        </is>
      </c>
      <c r="J20" s="17" t="n">
        <v>2</v>
      </c>
      <c r="K20" s="17" t="n">
        <v>4</v>
      </c>
      <c r="L20" s="18" t="n">
        <v>5800000</v>
      </c>
    </row>
    <row r="21" ht="22" customHeight="1">
      <c r="A21" s="19" t="n">
        <v>4</v>
      </c>
      <c r="B21" s="19" t="inlineStr">
        <is>
          <t>Agent Entretien</t>
        </is>
      </c>
      <c r="C21" s="19" t="n">
        <v>4</v>
      </c>
      <c r="D21" s="20" t="n">
        <v>720000</v>
      </c>
      <c r="E21" s="19" t="inlineStr">
        <is>
          <t>Entretien &amp; Maintenance</t>
        </is>
      </c>
      <c r="I21" s="19" t="inlineStr">
        <is>
          <t>ACTIV-INTERIM</t>
        </is>
      </c>
      <c r="J21" s="19" t="n">
        <v>1</v>
      </c>
      <c r="K21" s="19" t="n">
        <v>3.5</v>
      </c>
      <c r="L21" s="20" t="n">
        <v>3200000</v>
      </c>
    </row>
    <row r="22" ht="22" customHeight="1">
      <c r="A22" s="17" t="n">
        <v>5</v>
      </c>
      <c r="B22" s="17" t="inlineStr">
        <is>
          <t>Réceptionniste</t>
        </is>
      </c>
      <c r="C22" s="17" t="n">
        <v>3</v>
      </c>
      <c r="D22" s="18" t="n">
        <v>600000</v>
      </c>
      <c r="E22" s="17" t="inlineStr">
        <is>
          <t>Réception &amp; Front Office</t>
        </is>
      </c>
    </row>
    <row r="24" ht="24" customHeight="1">
      <c r="A24" s="13" t="inlineStr">
        <is>
          <t>ACTIONS PLANIFIÉES</t>
        </is>
      </c>
    </row>
    <row r="25" ht="26" customHeight="1">
      <c r="A25" s="4" t="inlineStr">
        <is>
          <t>Action</t>
        </is>
      </c>
      <c r="B25" s="4" t="inlineStr">
        <is>
          <t>Responsable</t>
        </is>
      </c>
      <c r="C25" s="4" t="inlineStr">
        <is>
          <t>Échéance</t>
        </is>
      </c>
      <c r="D25" s="4" t="inlineStr">
        <is>
          <t>Priorité</t>
        </is>
      </c>
      <c r="E25" s="4" t="inlineStr">
        <is>
          <t>Statut</t>
        </is>
      </c>
    </row>
    <row r="26" ht="22" customHeight="1">
      <c r="A26" s="5" t="inlineStr">
        <is>
          <t>Renégocier tarifs INTERIM PRO CI</t>
        </is>
      </c>
      <c r="B26" s="5" t="inlineStr">
        <is>
          <t>DRH / DAF</t>
        </is>
      </c>
      <c r="C26" s="6" t="n">
        <v>45747</v>
      </c>
      <c r="D26" s="5" t="inlineStr">
        <is>
          <t>Haute</t>
        </is>
      </c>
      <c r="E26" s="5" t="inlineStr">
        <is>
          <t>En cours</t>
        </is>
      </c>
    </row>
    <row r="27" ht="22" customHeight="1">
      <c r="A27" s="8" t="inlineStr">
        <is>
          <t>Audit qualité agences d'intérim</t>
        </is>
      </c>
      <c r="B27" s="8" t="inlineStr">
        <is>
          <t>DRH</t>
        </is>
      </c>
      <c r="C27" s="9" t="n">
        <v>45777</v>
      </c>
      <c r="D27" s="8" t="inlineStr">
        <is>
          <t>Moyenne</t>
        </is>
      </c>
      <c r="E27" s="8" t="inlineStr">
        <is>
          <t>Planifiée</t>
        </is>
      </c>
    </row>
    <row r="28" ht="22" customHeight="1">
      <c r="A28" s="5" t="inlineStr">
        <is>
          <t>Mettre en place suivi temps réel intérimaires</t>
        </is>
      </c>
      <c r="B28" s="5" t="inlineStr">
        <is>
          <t>Informatique / DRH</t>
        </is>
      </c>
      <c r="C28" s="6" t="n">
        <v>45808</v>
      </c>
      <c r="D28" s="5" t="inlineStr">
        <is>
          <t>Haute</t>
        </is>
      </c>
      <c r="E28" s="5" t="inlineStr">
        <is>
          <t>En cours</t>
        </is>
      </c>
    </row>
    <row r="29" ht="22" customHeight="1">
      <c r="A29" s="8" t="inlineStr">
        <is>
          <t>Formation intégration intérimaires</t>
        </is>
      </c>
      <c r="B29" s="8" t="inlineStr">
        <is>
          <t>DRH</t>
        </is>
      </c>
      <c r="C29" s="9" t="n">
        <v>45838</v>
      </c>
      <c r="D29" s="8" t="inlineStr">
        <is>
          <t>Moyenne</t>
        </is>
      </c>
      <c r="E29" s="8" t="inlineStr">
        <is>
          <t>Planifiée</t>
        </is>
      </c>
    </row>
    <row r="31" ht="8" customHeight="1"/>
  </sheetData>
  <mergeCells count="20">
    <mergeCell ref="C6:D6"/>
    <mergeCell ref="I6:J6"/>
    <mergeCell ref="A24:N24"/>
    <mergeCell ref="A6:B6"/>
    <mergeCell ref="A7:B7"/>
    <mergeCell ref="G7:H7"/>
    <mergeCell ref="A9:G9"/>
    <mergeCell ref="I7:J7"/>
    <mergeCell ref="G6:H6"/>
    <mergeCell ref="A3:N3"/>
    <mergeCell ref="E6:F6"/>
    <mergeCell ref="A2:N2"/>
    <mergeCell ref="I9:N9"/>
    <mergeCell ref="A16:G16"/>
    <mergeCell ref="A5:N5"/>
    <mergeCell ref="K7:L7"/>
    <mergeCell ref="C7:D7"/>
    <mergeCell ref="E7:F7"/>
    <mergeCell ref="K6:L6"/>
    <mergeCell ref="I16:N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22" customWidth="1" min="4" max="4"/>
    <col width="28" customWidth="1" min="5" max="5"/>
    <col width="16" customWidth="1" min="6" max="6"/>
    <col width="28" customWidth="1" min="7" max="7"/>
    <col width="22" customWidth="1" min="8" max="8"/>
    <col width="24" customWidth="1" min="9" max="9"/>
    <col width="16" customWidth="1" min="10" max="10"/>
    <col width="20" customWidth="1" min="11" max="11"/>
    <col width="14" customWidth="1" min="12" max="12"/>
    <col width="14" customWidth="1" min="13" max="13"/>
    <col width="30" customWidth="1" min="14" max="14"/>
  </cols>
  <sheetData>
    <row r="1" ht="8" customHeight="1"/>
    <row r="2" ht="30" customHeight="1">
      <c r="A2" s="1" t="inlineStr">
        <is>
          <t>2-RÉFÉRENCE DES MISSIONS TEMPORAIRES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Mission</t>
        </is>
      </c>
      <c r="B5" s="4" t="inlineStr">
        <is>
          <t>Intitulé</t>
        </is>
      </c>
      <c r="C5" s="4" t="inlineStr">
        <is>
          <t>Département</t>
        </is>
      </c>
      <c r="D5" s="4" t="inlineStr">
        <is>
          <t>Poste</t>
        </is>
      </c>
      <c r="E5" s="4" t="inlineStr">
        <is>
          <t>Motif Recours</t>
        </is>
      </c>
      <c r="F5" s="4" t="inlineStr">
        <is>
          <t>Durée Estimée</t>
        </is>
      </c>
      <c r="G5" s="4" t="inlineStr">
        <is>
          <t>Qualification Requise</t>
        </is>
      </c>
      <c r="H5" s="4" t="inlineStr">
        <is>
          <t>Taux Horaire Max (FCFA)</t>
        </is>
      </c>
      <c r="I5" s="4" t="inlineStr">
        <is>
          <t>Coût Estimé Total (FCFA)</t>
        </is>
      </c>
      <c r="J5" s="4" t="inlineStr">
        <is>
          <t>Statut</t>
        </is>
      </c>
      <c r="K5" s="4" t="inlineStr">
        <is>
          <t>Responsable</t>
        </is>
      </c>
      <c r="L5" s="4" t="inlineStr">
        <is>
          <t>Date Création</t>
        </is>
      </c>
      <c r="M5" s="4" t="inlineStr">
        <is>
          <t>Date Fin Prévue</t>
        </is>
      </c>
      <c r="N5" s="4" t="inlineStr">
        <is>
          <t>Observations</t>
        </is>
      </c>
    </row>
    <row r="6" ht="22" customHeight="1">
      <c r="A6" s="5" t="inlineStr">
        <is>
          <t>MIS-001</t>
        </is>
      </c>
      <c r="B6" s="5" t="inlineStr">
        <is>
          <t>Remplacement Congé Maternité</t>
        </is>
      </c>
      <c r="C6" s="5" t="inlineStr">
        <is>
          <t>Cuisine &amp; Restauration</t>
        </is>
      </c>
      <c r="D6" s="5" t="inlineStr">
        <is>
          <t>Serveur</t>
        </is>
      </c>
      <c r="E6" s="5" t="inlineStr">
        <is>
          <t>Remplacement congé maternité</t>
        </is>
      </c>
      <c r="F6" s="5" t="inlineStr">
        <is>
          <t>90 jours</t>
        </is>
      </c>
      <c r="G6" s="5" t="inlineStr">
        <is>
          <t>E2 - Employé qualifié</t>
        </is>
      </c>
      <c r="H6" s="7" t="n">
        <v>2000</v>
      </c>
      <c r="I6" s="7" t="n">
        <v>540000</v>
      </c>
      <c r="J6" s="5" t="inlineStr">
        <is>
          <t>En cours</t>
        </is>
      </c>
      <c r="K6" s="5" t="inlineStr">
        <is>
          <t>Chef Restauration</t>
        </is>
      </c>
      <c r="L6" s="6" t="n">
        <v>45667</v>
      </c>
      <c r="M6" s="6" t="n">
        <v>45757</v>
      </c>
      <c r="N6" s="5" t="inlineStr">
        <is>
          <t>Remplacement Mme Koné</t>
        </is>
      </c>
    </row>
    <row r="7" ht="22" customHeight="1">
      <c r="A7" s="8" t="inlineStr">
        <is>
          <t>MIS-002</t>
        </is>
      </c>
      <c r="B7" s="8" t="inlineStr">
        <is>
          <t>Pic Saisonnier Fêtes</t>
        </is>
      </c>
      <c r="C7" s="8" t="inlineStr">
        <is>
          <t>Hébergement</t>
        </is>
      </c>
      <c r="D7" s="8" t="inlineStr">
        <is>
          <t>Femme de chambre</t>
        </is>
      </c>
      <c r="E7" s="8" t="inlineStr">
        <is>
          <t>Pic saisonnier</t>
        </is>
      </c>
      <c r="F7" s="8" t="inlineStr">
        <is>
          <t>45 jours</t>
        </is>
      </c>
      <c r="G7" s="8" t="inlineStr">
        <is>
          <t>E1 - Employé non qualifié</t>
        </is>
      </c>
      <c r="H7" s="10" t="n">
        <v>1500</v>
      </c>
      <c r="I7" s="10" t="n">
        <v>270000</v>
      </c>
      <c r="J7" s="8" t="inlineStr">
        <is>
          <t>En cours</t>
        </is>
      </c>
      <c r="K7" s="8" t="inlineStr">
        <is>
          <t>Gouvernante</t>
        </is>
      </c>
      <c r="L7" s="9" t="n">
        <v>45662</v>
      </c>
      <c r="M7" s="9" t="n">
        <v>45707</v>
      </c>
      <c r="N7" s="8" t="inlineStr">
        <is>
          <t>Période Noël-Nouvel An</t>
        </is>
      </c>
    </row>
    <row r="8" ht="22" customHeight="1">
      <c r="A8" s="5" t="inlineStr">
        <is>
          <t>MIS-003</t>
        </is>
      </c>
      <c r="B8" s="5" t="inlineStr">
        <is>
          <t>Surcharge Ponctuelle Cuisine</t>
        </is>
      </c>
      <c r="C8" s="5" t="inlineStr">
        <is>
          <t>Cuisine &amp; Restauration</t>
        </is>
      </c>
      <c r="D8" s="5" t="inlineStr">
        <is>
          <t>Plongeur</t>
        </is>
      </c>
      <c r="E8" s="5" t="inlineStr">
        <is>
          <t>Surcharge ponctuelle</t>
        </is>
      </c>
      <c r="F8" s="5" t="inlineStr">
        <is>
          <t>30 jours</t>
        </is>
      </c>
      <c r="G8" s="5" t="inlineStr">
        <is>
          <t>Sans qualification</t>
        </is>
      </c>
      <c r="H8" s="7" t="n">
        <v>1200</v>
      </c>
      <c r="I8" s="7" t="n">
        <v>144000</v>
      </c>
      <c r="J8" s="5" t="inlineStr">
        <is>
          <t>Terminée</t>
        </is>
      </c>
      <c r="K8" s="5" t="inlineStr">
        <is>
          <t>Chef Cuisinier</t>
        </is>
      </c>
      <c r="L8" s="6" t="n">
        <v>45627</v>
      </c>
      <c r="M8" s="6" t="n">
        <v>45657</v>
      </c>
      <c r="N8" s="5" t="inlineStr">
        <is>
          <t>Événement gala 31 décembre</t>
        </is>
      </c>
    </row>
    <row r="9" ht="22" customHeight="1">
      <c r="A9" s="8" t="inlineStr">
        <is>
          <t>MIS-004</t>
        </is>
      </c>
      <c r="B9" s="8" t="inlineStr">
        <is>
          <t>Projet Rénovation Piscine</t>
        </is>
      </c>
      <c r="C9" s="8" t="inlineStr">
        <is>
          <t>Entretien &amp; Maintenance</t>
        </is>
      </c>
      <c r="D9" s="8" t="inlineStr">
        <is>
          <t>Agent Entretien</t>
        </is>
      </c>
      <c r="E9" s="8" t="inlineStr">
        <is>
          <t>Projet spécifique</t>
        </is>
      </c>
      <c r="F9" s="8" t="inlineStr">
        <is>
          <t>60 jours</t>
        </is>
      </c>
      <c r="G9" s="8" t="inlineStr">
        <is>
          <t>E3 - Technicien</t>
        </is>
      </c>
      <c r="H9" s="10" t="n">
        <v>2200</v>
      </c>
      <c r="I9" s="10" t="n">
        <v>396000</v>
      </c>
      <c r="J9" s="8" t="inlineStr">
        <is>
          <t>Planifiée</t>
        </is>
      </c>
      <c r="K9" s="8" t="inlineStr">
        <is>
          <t>Chef Entretien</t>
        </is>
      </c>
      <c r="L9" s="9" t="n">
        <v>45717</v>
      </c>
      <c r="M9" s="9" t="n">
        <v>45778</v>
      </c>
      <c r="N9" s="8" t="inlineStr">
        <is>
          <t>Travaux maintenance préventive</t>
        </is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5">
    <dataValidation sqref="C6:C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_Lists'!$M$6:$M$14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_Lists'!$P$6:$P$11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_Lists'!$E$6:$E$11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20" customWidth="1" min="5" max="5"/>
    <col width="14" customWidth="1" min="6" max="6"/>
    <col width="28" customWidth="1" min="7" max="7"/>
    <col width="28" customWidth="1" min="8" max="8"/>
    <col width="14" customWidth="1" min="9" max="9"/>
    <col width="22" customWidth="1" min="10" max="10"/>
    <col width="26" customWidth="1" min="11" max="11"/>
    <col width="22" customWidth="1" min="12" max="12"/>
    <col width="24" customWidth="1" min="13" max="13"/>
    <col width="30" customWidth="1" min="14" max="14"/>
  </cols>
  <sheetData>
    <row r="1" ht="8" customHeight="1"/>
    <row r="2" ht="30" customHeight="1">
      <c r="A2" s="1" t="inlineStr">
        <is>
          <t>3-BESOINS EN INTÉRIM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Besoin</t>
        </is>
      </c>
      <c r="B5" s="4" t="inlineStr">
        <is>
          <t>Département</t>
        </is>
      </c>
      <c r="C5" s="4" t="inlineStr">
        <is>
          <t>Poste</t>
        </is>
      </c>
      <c r="D5" s="4" t="inlineStr">
        <is>
          <t>Date Besoin</t>
        </is>
      </c>
      <c r="E5" s="4" t="inlineStr">
        <is>
          <t>Date Début Souhaitée</t>
        </is>
      </c>
      <c r="F5" s="4" t="inlineStr">
        <is>
          <t>Durée (jours)</t>
        </is>
      </c>
      <c r="G5" s="4" t="inlineStr">
        <is>
          <t>Motif</t>
        </is>
      </c>
      <c r="H5" s="4" t="inlineStr">
        <is>
          <t>Qualification Requise</t>
        </is>
      </c>
      <c r="I5" s="4" t="inlineStr">
        <is>
          <t>Priorité</t>
        </is>
      </c>
      <c r="J5" s="4" t="inlineStr">
        <is>
          <t>Statut</t>
        </is>
      </c>
      <c r="K5" s="4" t="inlineStr">
        <is>
          <t>Agence</t>
        </is>
      </c>
      <c r="L5" s="4" t="inlineStr">
        <is>
          <t>Intérimaire Affecté</t>
        </is>
      </c>
      <c r="M5" s="4" t="inlineStr">
        <is>
          <t>Coût Prévisionnel (FCFA)</t>
        </is>
      </c>
      <c r="N5" s="4" t="inlineStr">
        <is>
          <t>Observations</t>
        </is>
      </c>
    </row>
    <row r="6" ht="22" customHeight="1">
      <c r="A6" s="5" t="inlineStr">
        <is>
          <t>BES-001</t>
        </is>
      </c>
      <c r="B6" s="5" t="inlineStr">
        <is>
          <t>Cuisine &amp; Restauration</t>
        </is>
      </c>
      <c r="C6" s="5" t="inlineStr">
        <is>
          <t>Serveur</t>
        </is>
      </c>
      <c r="D6" s="6" t="n">
        <v>45662</v>
      </c>
      <c r="E6" s="6" t="n">
        <v>45672</v>
      </c>
      <c r="F6" s="7" t="n">
        <v>90</v>
      </c>
      <c r="G6" s="5" t="inlineStr">
        <is>
          <t>Remplacement congé maternité</t>
        </is>
      </c>
      <c r="H6" s="5" t="inlineStr">
        <is>
          <t>E2 - Employé qualifié</t>
        </is>
      </c>
      <c r="I6" s="5" t="inlineStr">
        <is>
          <t>Haute</t>
        </is>
      </c>
      <c r="J6" s="5" t="inlineStr">
        <is>
          <t>Pourvu</t>
        </is>
      </c>
      <c r="K6" s="5" t="inlineStr">
        <is>
          <t>INTERIM PRO CI</t>
        </is>
      </c>
      <c r="L6" s="5" t="inlineStr">
        <is>
          <t>Koffi Marie</t>
        </is>
      </c>
      <c r="M6" s="7" t="n">
        <v>540000</v>
      </c>
      <c r="N6" s="5" t="inlineStr">
        <is>
          <t>Remplacement Mme Koné – poste salle Petit Déjeuner</t>
        </is>
      </c>
    </row>
    <row r="7" ht="22" customHeight="1">
      <c r="A7" s="8" t="inlineStr">
        <is>
          <t>BES-002</t>
        </is>
      </c>
      <c r="B7" s="8" t="inlineStr">
        <is>
          <t>Hébergement</t>
        </is>
      </c>
      <c r="C7" s="8" t="inlineStr">
        <is>
          <t>Femme de chambre</t>
        </is>
      </c>
      <c r="D7" s="9" t="n">
        <v>45659</v>
      </c>
      <c r="E7" s="9" t="n">
        <v>45667</v>
      </c>
      <c r="F7" s="10" t="n">
        <v>45</v>
      </c>
      <c r="G7" s="8" t="inlineStr">
        <is>
          <t>Pic saisonnier</t>
        </is>
      </c>
      <c r="H7" s="8" t="inlineStr">
        <is>
          <t>E1 - Employé non qualifié</t>
        </is>
      </c>
      <c r="I7" s="8" t="inlineStr">
        <is>
          <t>Haute</t>
        </is>
      </c>
      <c r="J7" s="8" t="inlineStr">
        <is>
          <t>Pourvu</t>
        </is>
      </c>
      <c r="K7" s="8" t="inlineStr">
        <is>
          <t>ADIA INTERNATIONAL</t>
        </is>
      </c>
      <c r="L7" s="8" t="inlineStr">
        <is>
          <t>Diallo Aminata</t>
        </is>
      </c>
      <c r="M7" s="10" t="n">
        <v>270000</v>
      </c>
      <c r="N7" s="8" t="inlineStr">
        <is>
          <t>Renfort saisonnier Noël-Nouvel An</t>
        </is>
      </c>
    </row>
    <row r="8" ht="22" customHeight="1">
      <c r="A8" s="5" t="inlineStr">
        <is>
          <t>BES-003</t>
        </is>
      </c>
      <c r="B8" s="5" t="inlineStr">
        <is>
          <t>Cuisine &amp; Restauration</t>
        </is>
      </c>
      <c r="C8" s="5" t="inlineStr">
        <is>
          <t>Plongeur</t>
        </is>
      </c>
      <c r="D8" s="6" t="n">
        <v>45621</v>
      </c>
      <c r="E8" s="6" t="n">
        <v>45627</v>
      </c>
      <c r="F8" s="7" t="n">
        <v>30</v>
      </c>
      <c r="G8" s="5" t="inlineStr">
        <is>
          <t>Surcharge ponctuelle</t>
        </is>
      </c>
      <c r="H8" s="5" t="inlineStr">
        <is>
          <t>Sans qualification</t>
        </is>
      </c>
      <c r="I8" s="5" t="inlineStr">
        <is>
          <t>Moyenne</t>
        </is>
      </c>
      <c r="J8" s="5" t="inlineStr">
        <is>
          <t>Non pourvu</t>
        </is>
      </c>
      <c r="K8" s="5" t="inlineStr"/>
      <c r="L8" s="5" t="inlineStr"/>
      <c r="M8" s="7" t="n">
        <v>144000</v>
      </c>
      <c r="N8" s="5" t="inlineStr">
        <is>
          <t>Besoin comblé en interne finalement</t>
        </is>
      </c>
    </row>
    <row r="9" ht="22" customHeight="1">
      <c r="A9" s="8" t="inlineStr">
        <is>
          <t>BES-004</t>
        </is>
      </c>
      <c r="B9" s="8" t="inlineStr">
        <is>
          <t>Entretien &amp; Maintenance</t>
        </is>
      </c>
      <c r="C9" s="8" t="inlineStr">
        <is>
          <t>Agent Entretien</t>
        </is>
      </c>
      <c r="D9" s="9" t="n">
        <v>45703</v>
      </c>
      <c r="E9" s="9" t="n">
        <v>45717</v>
      </c>
      <c r="F9" s="10" t="n">
        <v>60</v>
      </c>
      <c r="G9" s="8" t="inlineStr">
        <is>
          <t>Projet spécifique</t>
        </is>
      </c>
      <c r="H9" s="8" t="inlineStr">
        <is>
          <t>E3 - Technicien</t>
        </is>
      </c>
      <c r="I9" s="8" t="inlineStr">
        <is>
          <t>Moyenne</t>
        </is>
      </c>
      <c r="J9" s="8" t="inlineStr">
        <is>
          <t>En cours de traitement</t>
        </is>
      </c>
      <c r="K9" s="8" t="inlineStr">
        <is>
          <t>MANPOWER COTE D'IVOIRE</t>
        </is>
      </c>
      <c r="L9" s="8" t="inlineStr"/>
      <c r="M9" s="10" t="n">
        <v>396000</v>
      </c>
      <c r="N9" s="8" t="inlineStr">
        <is>
          <t>Projet rénovation piscine</t>
        </is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7">
    <dataValidation sqref="B6:B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_Lists'!$M$6:$M$14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_Lists'!$P$6:$P$11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_Lists'!$Q$6:$Q$8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_Lists'!$F$6:$F$11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_Lists'!$N$6:$N$9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0" customWidth="1" min="4" max="4"/>
    <col width="28" customWidth="1" min="5" max="5"/>
    <col width="26" customWidth="1" min="6" max="6"/>
    <col width="22" customWidth="1" min="7" max="7"/>
    <col width="14" customWidth="1" min="8" max="8"/>
    <col width="20" customWidth="1" min="9" max="9"/>
    <col width="20" customWidth="1" min="10" max="10"/>
    <col width="20" customWidth="1" min="11" max="11"/>
    <col width="12" customWidth="1" min="12" max="12"/>
    <col width="24" customWidth="1" min="13" max="13"/>
    <col width="14" customWidth="1" min="14" max="14"/>
  </cols>
  <sheetData>
    <row r="1" ht="8" customHeight="1"/>
    <row r="2" ht="30" customHeight="1">
      <c r="A2" s="1" t="inlineStr">
        <is>
          <t>4-SUIVI DES AGENCES D'INTÉRIM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Agence</t>
        </is>
      </c>
      <c r="B5" s="4" t="inlineStr">
        <is>
          <t>Raison Sociale</t>
        </is>
      </c>
      <c r="C5" s="4" t="inlineStr">
        <is>
          <t>Contact</t>
        </is>
      </c>
      <c r="D5" s="4" t="inlineStr">
        <is>
          <t>Téléphone</t>
        </is>
      </c>
      <c r="E5" s="4" t="inlineStr">
        <is>
          <t>Email</t>
        </is>
      </c>
      <c r="F5" s="4" t="inlineStr">
        <is>
          <t>Spécialité</t>
        </is>
      </c>
      <c r="G5" s="4" t="inlineStr">
        <is>
          <t>Agrément</t>
        </is>
      </c>
      <c r="H5" s="4" t="inlineStr">
        <is>
          <t>Date Convention</t>
        </is>
      </c>
      <c r="I5" s="4" t="inlineStr">
        <is>
          <t>Tarif Moyen Horaire</t>
        </is>
      </c>
      <c r="J5" s="4" t="inlineStr">
        <is>
          <t>Nb Intérimaires Fournis</t>
        </is>
      </c>
      <c r="K5" s="4" t="inlineStr">
        <is>
          <t>Satisfaction Moyenne</t>
        </is>
      </c>
      <c r="L5" s="4" t="inlineStr">
        <is>
          <t>Note (1-5)</t>
        </is>
      </c>
      <c r="M5" s="4" t="inlineStr">
        <is>
          <t>Montant Total Facturé (FCFA)</t>
        </is>
      </c>
      <c r="N5" s="4" t="inlineStr">
        <is>
          <t>Statut</t>
        </is>
      </c>
    </row>
    <row r="6" ht="22" customHeight="1">
      <c r="A6" s="5" t="inlineStr">
        <is>
          <t>AGC-001</t>
        </is>
      </c>
      <c r="B6" s="5" t="inlineStr">
        <is>
          <t>INTERIM PRO CI</t>
        </is>
      </c>
      <c r="C6" s="5" t="inlineStr">
        <is>
          <t>M. Yao Konan</t>
        </is>
      </c>
      <c r="D6" s="5" t="inlineStr">
        <is>
          <t>+225 07 08 09 10</t>
        </is>
      </c>
      <c r="E6" s="5" t="inlineStr">
        <is>
          <t>contact@interimpro.ci</t>
        </is>
      </c>
      <c r="F6" s="5" t="inlineStr">
        <is>
          <t>Hôtellerie &amp; Restauration</t>
        </is>
      </c>
      <c r="G6" s="5" t="inlineStr">
        <is>
          <t>N° AGR-2023-0145</t>
        </is>
      </c>
      <c r="H6" s="6" t="n">
        <v>45000</v>
      </c>
      <c r="I6" s="7" t="n">
        <v>2200</v>
      </c>
      <c r="J6" s="7" t="n">
        <v>15</v>
      </c>
      <c r="K6" s="7" t="n">
        <v>4.2</v>
      </c>
      <c r="L6" s="7" t="n">
        <v>4</v>
      </c>
      <c r="M6" s="7" t="n">
        <v>9600000</v>
      </c>
      <c r="N6" s="5" t="inlineStr">
        <is>
          <t>Actif</t>
        </is>
      </c>
    </row>
    <row r="7" ht="22" customHeight="1">
      <c r="A7" s="8" t="inlineStr">
        <is>
          <t>AGC-002</t>
        </is>
      </c>
      <c r="B7" s="8" t="inlineStr">
        <is>
          <t>ADIA INTERNATIONAL</t>
        </is>
      </c>
      <c r="C7" s="8" t="inlineStr">
        <is>
          <t>Mme Aka Béatrice</t>
        </is>
      </c>
      <c r="D7" s="8" t="inlineStr">
        <is>
          <t>+225 05 12 34 56</t>
        </is>
      </c>
      <c r="E7" s="8" t="inlineStr">
        <is>
          <t>abidjan@adia.ci</t>
        </is>
      </c>
      <c r="F7" s="8" t="inlineStr">
        <is>
          <t>Administratif &amp; Finance</t>
        </is>
      </c>
      <c r="G7" s="8" t="inlineStr">
        <is>
          <t>N° AGR-2022-0087</t>
        </is>
      </c>
      <c r="H7" s="9" t="n">
        <v>44713</v>
      </c>
      <c r="I7" s="10" t="n">
        <v>2400</v>
      </c>
      <c r="J7" s="10" t="n">
        <v>10</v>
      </c>
      <c r="K7" s="10" t="n">
        <v>3.8</v>
      </c>
      <c r="L7" s="10" t="n">
        <v>4</v>
      </c>
      <c r="M7" s="10" t="n">
        <v>6400000</v>
      </c>
      <c r="N7" s="8" t="inlineStr">
        <is>
          <t>Actif</t>
        </is>
      </c>
    </row>
    <row r="8" ht="22" customHeight="1">
      <c r="A8" s="5" t="inlineStr">
        <is>
          <t>AGC-003</t>
        </is>
      </c>
      <c r="B8" s="5" t="inlineStr">
        <is>
          <t>MANPOWER COTE D'IVOIRE</t>
        </is>
      </c>
      <c r="C8" s="5" t="inlineStr">
        <is>
          <t>M. Touré Ibrahim</t>
        </is>
      </c>
      <c r="D8" s="5" t="inlineStr">
        <is>
          <t>+225 01 98 76 54</t>
        </is>
      </c>
      <c r="E8" s="5" t="inlineStr">
        <is>
          <t>direction.ci@manpower.com</t>
        </is>
      </c>
      <c r="F8" s="5" t="inlineStr">
        <is>
          <t>Polyvalent</t>
        </is>
      </c>
      <c r="G8" s="5" t="inlineStr">
        <is>
          <t>N° AGR-2021-0332</t>
        </is>
      </c>
      <c r="H8" s="6" t="n">
        <v>44449</v>
      </c>
      <c r="I8" s="7" t="n">
        <v>2100</v>
      </c>
      <c r="J8" s="7" t="n">
        <v>12</v>
      </c>
      <c r="K8" s="7" t="n">
        <v>4</v>
      </c>
      <c r="L8" s="7" t="n">
        <v>4</v>
      </c>
      <c r="M8" s="7" t="n">
        <v>5800000</v>
      </c>
      <c r="N8" s="5" t="inlineStr">
        <is>
          <t>Actif</t>
        </is>
      </c>
    </row>
    <row r="9" ht="22" customHeight="1">
      <c r="A9" s="8" t="inlineStr">
        <is>
          <t>AGC-004</t>
        </is>
      </c>
      <c r="B9" s="8" t="inlineStr">
        <is>
          <t>ACTIV-INTERIM</t>
        </is>
      </c>
      <c r="C9" s="8" t="inlineStr">
        <is>
          <t>M. Kouamé Jean</t>
        </is>
      </c>
      <c r="D9" s="8" t="inlineStr">
        <is>
          <t>+225 07 65 43 21</t>
        </is>
      </c>
      <c r="E9" s="8" t="inlineStr">
        <is>
          <t>info@activinterim.ci</t>
        </is>
      </c>
      <c r="F9" s="8" t="inlineStr">
        <is>
          <t>Logistique &amp; Manutention</t>
        </is>
      </c>
      <c r="G9" s="8" t="inlineStr">
        <is>
          <t>N° AGR-2024-0521</t>
        </is>
      </c>
      <c r="H9" s="9" t="n">
        <v>45311</v>
      </c>
      <c r="I9" s="10" t="n">
        <v>1900</v>
      </c>
      <c r="J9" s="10" t="n">
        <v>5</v>
      </c>
      <c r="K9" s="10" t="n">
        <v>3.5</v>
      </c>
      <c r="L9" s="10" t="n">
        <v>3</v>
      </c>
      <c r="M9" s="10" t="n">
        <v>3200000</v>
      </c>
      <c r="N9" s="8" t="inlineStr">
        <is>
          <t>Actif</t>
        </is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F6:F115" showDropDown="0" showInputMessage="0" showErrorMessage="0" allowBlank="1" errorTitle="Erreur" error="Valeur invalide" promptTitle="" prompt="Choisir dans la liste: " type="list">
      <formula1>'F02 - _Lists'!$O$6:$O$11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_Lists'!$S$6:$S$10</formula1>
    </dataValidation>
    <dataValidation sqref="N6:N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22" customWidth="1" min="4" max="4"/>
    <col width="26" customWidth="1" min="5" max="5"/>
    <col width="14" customWidth="1" min="6" max="6"/>
    <col width="14" customWidth="1" min="7" max="7"/>
    <col width="22" customWidth="1" min="8" max="8"/>
    <col width="18" customWidth="1" min="9" max="9"/>
    <col width="22" customWidth="1" min="10" max="10"/>
    <col width="22" customWidth="1" min="11" max="11"/>
    <col width="32" customWidth="1" min="12" max="12"/>
    <col width="22" customWidth="1" min="13" max="13"/>
    <col width="14" customWidth="1" min="14" max="14"/>
  </cols>
  <sheetData>
    <row r="1" ht="8" customHeight="1"/>
    <row r="2" ht="30" customHeight="1">
      <c r="A2" s="1" t="inlineStr">
        <is>
          <t>5-CONTRATS DE MISE À DISPOSITION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N° Contrat</t>
        </is>
      </c>
      <c r="B5" s="4" t="inlineStr">
        <is>
          <t>Agence</t>
        </is>
      </c>
      <c r="C5" s="4" t="inlineStr">
        <is>
          <t>Intérimaire</t>
        </is>
      </c>
      <c r="D5" s="4" t="inlineStr">
        <is>
          <t>Poste</t>
        </is>
      </c>
      <c r="E5" s="4" t="inlineStr">
        <is>
          <t>Département</t>
        </is>
      </c>
      <c r="F5" s="4" t="inlineStr">
        <is>
          <t>Date Début</t>
        </is>
      </c>
      <c r="G5" s="4" t="inlineStr">
        <is>
          <t>Date Fin</t>
        </is>
      </c>
      <c r="H5" s="4" t="inlineStr">
        <is>
          <t>Taux Horaire (FCFA)</t>
        </is>
      </c>
      <c r="I5" s="4" t="inlineStr">
        <is>
          <t>Heures Hebdomadaires</t>
        </is>
      </c>
      <c r="J5" s="4" t="inlineStr">
        <is>
          <t>Coût Mensuel Estimé</t>
        </is>
      </c>
      <c r="K5" s="4" t="inlineStr">
        <is>
          <t>Renouvellement Possible</t>
        </is>
      </c>
      <c r="L5" s="4" t="inlineStr">
        <is>
          <t>Clause Accent</t>
        </is>
      </c>
      <c r="M5" s="4" t="inlineStr">
        <is>
          <t>Statut</t>
        </is>
      </c>
      <c r="N5" s="4" t="inlineStr">
        <is>
          <t>Date MAJ</t>
        </is>
      </c>
    </row>
    <row r="6" ht="22" customHeight="1">
      <c r="A6" s="5" t="inlineStr">
        <is>
          <t>CMD-2025-001</t>
        </is>
      </c>
      <c r="B6" s="5" t="inlineStr">
        <is>
          <t>INTERIM PRO CI</t>
        </is>
      </c>
      <c r="C6" s="5" t="inlineStr">
        <is>
          <t>Koffi Marie</t>
        </is>
      </c>
      <c r="D6" s="5" t="inlineStr">
        <is>
          <t>Serveur</t>
        </is>
      </c>
      <c r="E6" s="5" t="inlineStr">
        <is>
          <t>Cuisine &amp; Restauration</t>
        </is>
      </c>
      <c r="F6" s="6" t="n">
        <v>45672</v>
      </c>
      <c r="G6" s="6" t="n">
        <v>45762</v>
      </c>
      <c r="H6" s="7" t="n">
        <v>2000</v>
      </c>
      <c r="I6" s="7" t="n">
        <v>40</v>
      </c>
      <c r="J6" s="7">
        <f>IF(H6&lt;&gt;"",H6*I6*4.33,"")</f>
        <v/>
      </c>
      <c r="K6" s="5" t="inlineStr">
        <is>
          <t>Oui</t>
        </is>
      </c>
      <c r="L6" s="5" t="inlineStr">
        <is>
          <t>Pénalité 10% si rupture anticipée</t>
        </is>
      </c>
      <c r="M6" s="5" t="inlineStr">
        <is>
          <t>Actif</t>
        </is>
      </c>
      <c r="N6" s="6" t="n">
        <v>45672</v>
      </c>
    </row>
    <row r="7" ht="22" customHeight="1">
      <c r="A7" s="8" t="inlineStr">
        <is>
          <t>CMD-2025-002</t>
        </is>
      </c>
      <c r="B7" s="8" t="inlineStr">
        <is>
          <t>ADIA INTERNATIONAL</t>
        </is>
      </c>
      <c r="C7" s="8" t="inlineStr">
        <is>
          <t>Diallo Aminata</t>
        </is>
      </c>
      <c r="D7" s="8" t="inlineStr">
        <is>
          <t>Femme de chambre</t>
        </is>
      </c>
      <c r="E7" s="8" t="inlineStr">
        <is>
          <t>Hébergement</t>
        </is>
      </c>
      <c r="F7" s="9" t="n">
        <v>45667</v>
      </c>
      <c r="G7" s="9" t="n">
        <v>45712</v>
      </c>
      <c r="H7" s="10" t="n">
        <v>1500</v>
      </c>
      <c r="I7" s="10" t="n">
        <v>40</v>
      </c>
      <c r="J7" s="10">
        <f>IF(H7&lt;&gt;"",H7*I7*4.33,"")</f>
        <v/>
      </c>
      <c r="K7" s="8" t="inlineStr">
        <is>
          <t>Oui</t>
        </is>
      </c>
      <c r="L7" s="8" t="inlineStr">
        <is>
          <t>Clause de retour en priorité</t>
        </is>
      </c>
      <c r="M7" s="8" t="inlineStr">
        <is>
          <t>Actif</t>
        </is>
      </c>
      <c r="N7" s="9" t="n">
        <v>45667</v>
      </c>
    </row>
    <row r="8" ht="22" customHeight="1">
      <c r="A8" s="5" t="inlineStr">
        <is>
          <t>CMD-2025-003</t>
        </is>
      </c>
      <c r="B8" s="5" t="inlineStr">
        <is>
          <t>MANPOWER COTE D'IVOIRE</t>
        </is>
      </c>
      <c r="C8" s="5" t="inlineStr">
        <is>
          <t>Koné Moussa</t>
        </is>
      </c>
      <c r="D8" s="5" t="inlineStr">
        <is>
          <t>Agent Entretien</t>
        </is>
      </c>
      <c r="E8" s="5" t="inlineStr">
        <is>
          <t>Entretien &amp; Maintenance</t>
        </is>
      </c>
      <c r="F8" s="6" t="n">
        <v>45717</v>
      </c>
      <c r="G8" s="6" t="n">
        <v>45778</v>
      </c>
      <c r="H8" s="7" t="n">
        <v>2200</v>
      </c>
      <c r="I8" s="7" t="n">
        <v>40</v>
      </c>
      <c r="J8" s="7">
        <f>IF(H8&lt;&gt;"",H8*I8*4.33,"")</f>
        <v/>
      </c>
      <c r="K8" s="5" t="inlineStr">
        <is>
          <t>Non</t>
        </is>
      </c>
      <c r="L8" s="5" t="inlineStr">
        <is>
          <t>Standard</t>
        </is>
      </c>
      <c r="M8" s="5" t="inlineStr">
        <is>
          <t>En attente signature</t>
        </is>
      </c>
      <c r="N8" s="6" t="n">
        <v>45708</v>
      </c>
    </row>
    <row r="9" ht="22" customHeight="1">
      <c r="A9" s="8" t="inlineStr">
        <is>
          <t>CMD-2024-012</t>
        </is>
      </c>
      <c r="B9" s="8" t="inlineStr">
        <is>
          <t>INTERIM PRO CI</t>
        </is>
      </c>
      <c r="C9" s="8" t="inlineStr">
        <is>
          <t>Traoré Fatou</t>
        </is>
      </c>
      <c r="D9" s="8" t="inlineStr">
        <is>
          <t>Plongeur</t>
        </is>
      </c>
      <c r="E9" s="8" t="inlineStr">
        <is>
          <t>Cuisine &amp; Restauration</t>
        </is>
      </c>
      <c r="F9" s="9" t="n">
        <v>45627</v>
      </c>
      <c r="G9" s="9" t="n">
        <v>45657</v>
      </c>
      <c r="H9" s="10" t="n">
        <v>1200</v>
      </c>
      <c r="I9" s="10" t="n">
        <v>40</v>
      </c>
      <c r="J9" s="10">
        <f>IF(H9&lt;&gt;"",H9*I9*4.33,"")</f>
        <v/>
      </c>
      <c r="K9" s="8" t="inlineStr">
        <is>
          <t>Non</t>
        </is>
      </c>
      <c r="L9" s="8" t="inlineStr">
        <is>
          <t>Standard</t>
        </is>
      </c>
      <c r="M9" s="8" t="inlineStr">
        <is>
          <t>Expiré</t>
        </is>
      </c>
      <c r="N9" s="9" t="n">
        <v>45657</v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24">
        <f>IF(H10&lt;&gt;"",H10*I10*4.33,"")</f>
        <v/>
      </c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25">
        <f>IF(H11&lt;&gt;"",H11*I11*4.33,"")</f>
        <v/>
      </c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24">
        <f>IF(H12&lt;&gt;"",H12*I12*4.33,"")</f>
        <v/>
      </c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25">
        <f>IF(H13&lt;&gt;"",H13*I13*4.33,"")</f>
        <v/>
      </c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24">
        <f>IF(H14&lt;&gt;"",H14*I14*4.33,"")</f>
        <v/>
      </c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25">
        <f>IF(H15&lt;&gt;"",H15*I15*4.33,"")</f>
        <v/>
      </c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24">
        <f>IF(H16&lt;&gt;"",H16*I16*4.33,"")</f>
        <v/>
      </c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25">
        <f>IF(H17&lt;&gt;"",H17*I17*4.33,"")</f>
        <v/>
      </c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24">
        <f>IF(H18&lt;&gt;"",H18*I18*4.33,"")</f>
        <v/>
      </c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25">
        <f>IF(H19&lt;&gt;"",H19*I19*4.33,"")</f>
        <v/>
      </c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24">
        <f>IF(H20&lt;&gt;"",H20*I20*4.33,"")</f>
        <v/>
      </c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25">
        <f>IF(H21&lt;&gt;"",H21*I21*4.33,"")</f>
        <v/>
      </c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24">
        <f>IF(H22&lt;&gt;"",H22*I22*4.33,"")</f>
        <v/>
      </c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25">
        <f>IF(H23&lt;&gt;"",H23*I23*4.33,"")</f>
        <v/>
      </c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24">
        <f>IF(H24&lt;&gt;"",H24*I24*4.33,"")</f>
        <v/>
      </c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25">
        <f>IF(H25&lt;&gt;"",H25*I25*4.33,"")</f>
        <v/>
      </c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24">
        <f>IF(H26&lt;&gt;"",H26*I26*4.33,"")</f>
        <v/>
      </c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25">
        <f>IF(H27&lt;&gt;"",H27*I27*4.33,"")</f>
        <v/>
      </c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24">
        <f>IF(H28&lt;&gt;"",H28*I28*4.33,"")</f>
        <v/>
      </c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25">
        <f>IF(H29&lt;&gt;"",H29*I29*4.33,"")</f>
        <v/>
      </c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24">
        <f>IF(H30&lt;&gt;"",H30*I30*4.33,"")</f>
        <v/>
      </c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25">
        <f>IF(H31&lt;&gt;"",H31*I31*4.33,"")</f>
        <v/>
      </c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24">
        <f>IF(H32&lt;&gt;"",H32*I32*4.33,"")</f>
        <v/>
      </c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25">
        <f>IF(H33&lt;&gt;"",H33*I33*4.33,"")</f>
        <v/>
      </c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24">
        <f>IF(H34&lt;&gt;"",H34*I34*4.33,"")</f>
        <v/>
      </c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25">
        <f>IF(H35&lt;&gt;"",H35*I35*4.33,"")</f>
        <v/>
      </c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24">
        <f>IF(H36&lt;&gt;"",H36*I36*4.33,"")</f>
        <v/>
      </c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25">
        <f>IF(H37&lt;&gt;"",H37*I37*4.33,"")</f>
        <v/>
      </c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24">
        <f>IF(H38&lt;&gt;"",H38*I38*4.33,"")</f>
        <v/>
      </c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25">
        <f>IF(H39&lt;&gt;"",H39*I39*4.33,"")</f>
        <v/>
      </c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24">
        <f>IF(H40&lt;&gt;"",H40*I40*4.33,"")</f>
        <v/>
      </c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25">
        <f>IF(H41&lt;&gt;"",H41*I41*4.33,"")</f>
        <v/>
      </c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24">
        <f>IF(H42&lt;&gt;"",H42*I42*4.33,"")</f>
        <v/>
      </c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25">
        <f>IF(H43&lt;&gt;"",H43*I43*4.33,"")</f>
        <v/>
      </c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24">
        <f>IF(H44&lt;&gt;"",H44*I44*4.33,"")</f>
        <v/>
      </c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25">
        <f>IF(H45&lt;&gt;"",H45*I45*4.33,"")</f>
        <v/>
      </c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24">
        <f>IF(H46&lt;&gt;"",H46*I46*4.33,"")</f>
        <v/>
      </c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25">
        <f>IF(H47&lt;&gt;"",H47*I47*4.33,"")</f>
        <v/>
      </c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24">
        <f>IF(H48&lt;&gt;"",H48*I48*4.33,"")</f>
        <v/>
      </c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25">
        <f>IF(H49&lt;&gt;"",H49*I49*4.33,"")</f>
        <v/>
      </c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24">
        <f>IF(H50&lt;&gt;"",H50*I50*4.33,"")</f>
        <v/>
      </c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25">
        <f>IF(H51&lt;&gt;"",H51*I51*4.33,"")</f>
        <v/>
      </c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24">
        <f>IF(H52&lt;&gt;"",H52*I52*4.33,"")</f>
        <v/>
      </c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25">
        <f>IF(H53&lt;&gt;"",H53*I53*4.33,"")</f>
        <v/>
      </c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24">
        <f>IF(H54&lt;&gt;"",H54*I54*4.33,"")</f>
        <v/>
      </c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25">
        <f>IF(H55&lt;&gt;"",H55*I55*4.33,"")</f>
        <v/>
      </c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24">
        <f>IF(H56&lt;&gt;"",H56*I56*4.33,"")</f>
        <v/>
      </c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25">
        <f>IF(H57&lt;&gt;"",H57*I57*4.33,"")</f>
        <v/>
      </c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24">
        <f>IF(H58&lt;&gt;"",H58*I58*4.33,"")</f>
        <v/>
      </c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25">
        <f>IF(H59&lt;&gt;"",H59*I59*4.33,"")</f>
        <v/>
      </c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24">
        <f>IF(H60&lt;&gt;"",H60*I60*4.33,"")</f>
        <v/>
      </c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25">
        <f>IF(H61&lt;&gt;"",H61*I61*4.33,"")</f>
        <v/>
      </c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24">
        <f>IF(H62&lt;&gt;"",H62*I62*4.33,"")</f>
        <v/>
      </c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25">
        <f>IF(H63&lt;&gt;"",H63*I63*4.33,"")</f>
        <v/>
      </c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24">
        <f>IF(H64&lt;&gt;"",H64*I64*4.33,"")</f>
        <v/>
      </c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25">
        <f>IF(H65&lt;&gt;"",H65*I65*4.33,"")</f>
        <v/>
      </c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24">
        <f>IF(H66&lt;&gt;"",H66*I66*4.33,"")</f>
        <v/>
      </c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25">
        <f>IF(H67&lt;&gt;"",H67*I67*4.33,"")</f>
        <v/>
      </c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24">
        <f>IF(H68&lt;&gt;"",H68*I68*4.33,"")</f>
        <v/>
      </c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25">
        <f>IF(H69&lt;&gt;"",H69*I69*4.33,"")</f>
        <v/>
      </c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24">
        <f>IF(H70&lt;&gt;"",H70*I70*4.33,"")</f>
        <v/>
      </c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25">
        <f>IF(H71&lt;&gt;"",H71*I71*4.33,"")</f>
        <v/>
      </c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24">
        <f>IF(H72&lt;&gt;"",H72*I72*4.33,"")</f>
        <v/>
      </c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25">
        <f>IF(H73&lt;&gt;"",H73*I73*4.33,"")</f>
        <v/>
      </c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24">
        <f>IF(H74&lt;&gt;"",H74*I74*4.33,"")</f>
        <v/>
      </c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25">
        <f>IF(H75&lt;&gt;"",H75*I75*4.33,"")</f>
        <v/>
      </c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24">
        <f>IF(H76&lt;&gt;"",H76*I76*4.33,"")</f>
        <v/>
      </c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25">
        <f>IF(H77&lt;&gt;"",H77*I77*4.33,"")</f>
        <v/>
      </c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24">
        <f>IF(H78&lt;&gt;"",H78*I78*4.33,"")</f>
        <v/>
      </c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25">
        <f>IF(H79&lt;&gt;"",H79*I79*4.33,"")</f>
        <v/>
      </c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24">
        <f>IF(H80&lt;&gt;"",H80*I80*4.33,"")</f>
        <v/>
      </c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25">
        <f>IF(H81&lt;&gt;"",H81*I81*4.33,"")</f>
        <v/>
      </c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24">
        <f>IF(H82&lt;&gt;"",H82*I82*4.33,"")</f>
        <v/>
      </c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25">
        <f>IF(H83&lt;&gt;"",H83*I83*4.33,"")</f>
        <v/>
      </c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24">
        <f>IF(H84&lt;&gt;"",H84*I84*4.33,"")</f>
        <v/>
      </c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25">
        <f>IF(H85&lt;&gt;"",H85*I85*4.33,"")</f>
        <v/>
      </c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24">
        <f>IF(H86&lt;&gt;"",H86*I86*4.33,"")</f>
        <v/>
      </c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25">
        <f>IF(H87&lt;&gt;"",H87*I87*4.33,"")</f>
        <v/>
      </c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24">
        <f>IF(H88&lt;&gt;"",H88*I88*4.33,"")</f>
        <v/>
      </c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25">
        <f>IF(H89&lt;&gt;"",H89*I89*4.33,"")</f>
        <v/>
      </c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24">
        <f>IF(H90&lt;&gt;"",H90*I90*4.33,"")</f>
        <v/>
      </c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25">
        <f>IF(H91&lt;&gt;"",H91*I91*4.33,"")</f>
        <v/>
      </c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24">
        <f>IF(H92&lt;&gt;"",H92*I92*4.33,"")</f>
        <v/>
      </c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25">
        <f>IF(H93&lt;&gt;"",H93*I93*4.33,"")</f>
        <v/>
      </c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24">
        <f>IF(H94&lt;&gt;"",H94*I94*4.33,"")</f>
        <v/>
      </c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25">
        <f>IF(H95&lt;&gt;"",H95*I95*4.33,"")</f>
        <v/>
      </c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24">
        <f>IF(H96&lt;&gt;"",H96*I96*4.33,"")</f>
        <v/>
      </c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25">
        <f>IF(H97&lt;&gt;"",H97*I97*4.33,"")</f>
        <v/>
      </c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24">
        <f>IF(H98&lt;&gt;"",H98*I98*4.33,"")</f>
        <v/>
      </c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25">
        <f>IF(H99&lt;&gt;"",H99*I99*4.33,"")</f>
        <v/>
      </c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24">
        <f>IF(H100&lt;&gt;"",H100*I100*4.33,"")</f>
        <v/>
      </c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25">
        <f>IF(H101&lt;&gt;"",H101*I101*4.33,"")</f>
        <v/>
      </c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24">
        <f>IF(H102&lt;&gt;"",H102*I102*4.33,"")</f>
        <v/>
      </c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25">
        <f>IF(H103&lt;&gt;"",H103*I103*4.33,"")</f>
        <v/>
      </c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24">
        <f>IF(H104&lt;&gt;"",H104*I104*4.33,"")</f>
        <v/>
      </c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25">
        <f>IF(H105&lt;&gt;"",H105*I105*4.33,"")</f>
        <v/>
      </c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24">
        <f>IF(H106&lt;&gt;"",H106*I106*4.33,"")</f>
        <v/>
      </c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25">
        <f>IF(H107&lt;&gt;"",H107*I107*4.33,"")</f>
        <v/>
      </c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24">
        <f>IF(H108&lt;&gt;"",H108*I108*4.33,"")</f>
        <v/>
      </c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25">
        <f>IF(H109&lt;&gt;"",H109*I109*4.33,"")</f>
        <v/>
      </c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24">
        <f>IF(H110&lt;&gt;"",H110*I110*4.33,"")</f>
        <v/>
      </c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25">
        <f>IF(H111&lt;&gt;"",H111*I111*4.33,"")</f>
        <v/>
      </c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24">
        <f>IF(H112&lt;&gt;"",H112*I112*4.33,"")</f>
        <v/>
      </c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25">
        <f>IF(H113&lt;&gt;"",H113*I113*4.33,"")</f>
        <v/>
      </c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24">
        <f>IF(H114&lt;&gt;"",H114*I114*4.33,"")</f>
        <v/>
      </c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25">
        <f>IF(H115&lt;&gt;"",H115*I115*4.33,"")</f>
        <v/>
      </c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5">
    <dataValidation sqref="B6:B115" showDropDown="0" showInputMessage="0" showErrorMessage="0" allowBlank="1" errorTitle="Erreur" error="Valeur invalide" promptTitle="" prompt="Choisir dans la liste: " type="list">
      <formula1>'F02 - _Lists'!$N$6:$N$9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_Lists'!$AE$6:$AE$8</formula1>
    </dataValidation>
    <dataValidation sqref="M6:M115" showDropDown="0" showInputMessage="0" showErrorMessage="0" allowBlank="1" errorTitle="Erreur" error="Valeur invalide" promptTitle="" prompt="Choisir dans la liste: " type="list">
      <formula1>'F02 - _Lists'!$G$6:$G$11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22" customWidth="1" min="5" max="5"/>
    <col width="26" customWidth="1" min="6" max="6"/>
    <col width="14" customWidth="1" min="7" max="7"/>
    <col width="14" customWidth="1" min="8" max="8"/>
    <col width="20" customWidth="1" min="9" max="9"/>
    <col width="14" customWidth="1" min="10" max="10"/>
    <col width="22" customWidth="1" min="11" max="11"/>
    <col width="16" customWidth="1" min="12" max="12"/>
    <col width="32" customWidth="1" min="13" max="13"/>
    <col width="22" customWidth="1" min="14" max="14"/>
  </cols>
  <sheetData>
    <row r="1" ht="8" customHeight="1"/>
    <row r="2" ht="30" customHeight="1">
      <c r="A2" s="1" t="inlineStr">
        <is>
          <t>6-SUIVI DES INTÉRIMAIRES EN POSTE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 Intérim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Agence</t>
        </is>
      </c>
      <c r="E5" s="4" t="inlineStr">
        <is>
          <t>Poste</t>
        </is>
      </c>
      <c r="F5" s="4" t="inlineStr">
        <is>
          <t>Département</t>
        </is>
      </c>
      <c r="G5" s="4" t="inlineStr">
        <is>
          <t>Date Arrivée</t>
        </is>
      </c>
      <c r="H5" s="4" t="inlineStr">
        <is>
          <t>Date Fin Prévue</t>
        </is>
      </c>
      <c r="I5" s="4" t="inlineStr">
        <is>
          <t>Durée Effective (jours)</t>
        </is>
      </c>
      <c r="J5" s="4" t="inlineStr">
        <is>
          <t>Taux Horaire</t>
        </is>
      </c>
      <c r="K5" s="4" t="inlineStr">
        <is>
          <t>Coût Total Mission</t>
        </is>
      </c>
      <c r="L5" s="4" t="inlineStr">
        <is>
          <t>Évaluation</t>
        </is>
      </c>
      <c r="M5" s="4" t="inlineStr">
        <is>
          <t>Commentaire</t>
        </is>
      </c>
      <c r="N5" s="4" t="inlineStr">
        <is>
          <t>Statut</t>
        </is>
      </c>
    </row>
    <row r="6" ht="22" customHeight="1">
      <c r="A6" s="5" t="inlineStr">
        <is>
          <t>INT-001</t>
        </is>
      </c>
      <c r="B6" s="5" t="inlineStr">
        <is>
          <t>Koffi</t>
        </is>
      </c>
      <c r="C6" s="5" t="inlineStr">
        <is>
          <t>Marie</t>
        </is>
      </c>
      <c r="D6" s="5" t="inlineStr">
        <is>
          <t>INTERIM PRO CI</t>
        </is>
      </c>
      <c r="E6" s="5" t="inlineStr">
        <is>
          <t>Serveur</t>
        </is>
      </c>
      <c r="F6" s="5" t="inlineStr">
        <is>
          <t>Cuisine &amp; Restauration</t>
        </is>
      </c>
      <c r="G6" s="6" t="n">
        <v>45672</v>
      </c>
      <c r="H6" s="6" t="n">
        <v>45762</v>
      </c>
      <c r="I6" s="24">
        <f>IF(G6&lt;&gt;"",DATEDIF(G6,H6,"d"),"")</f>
        <v/>
      </c>
      <c r="J6" s="7" t="n">
        <v>2000</v>
      </c>
      <c r="K6" s="24">
        <f>IF(AND(I6&lt;&gt;"",J6&lt;&gt;""),I6*J6*8,"")</f>
        <v/>
      </c>
      <c r="L6" s="5" t="inlineStr">
        <is>
          <t>Très bon</t>
        </is>
      </c>
      <c r="M6" s="5" t="inlineStr">
        <is>
          <t>Intégration rapide, bon travail d'équipe</t>
        </is>
      </c>
      <c r="N6" s="5" t="inlineStr">
        <is>
          <t>En poste</t>
        </is>
      </c>
    </row>
    <row r="7" ht="22" customHeight="1">
      <c r="A7" s="8" t="inlineStr">
        <is>
          <t>INT-002</t>
        </is>
      </c>
      <c r="B7" s="8" t="inlineStr">
        <is>
          <t>Diallo</t>
        </is>
      </c>
      <c r="C7" s="8" t="inlineStr">
        <is>
          <t>Aminata</t>
        </is>
      </c>
      <c r="D7" s="8" t="inlineStr">
        <is>
          <t>ADIA INTERNATIONAL</t>
        </is>
      </c>
      <c r="E7" s="8" t="inlineStr">
        <is>
          <t>Femme de chambre</t>
        </is>
      </c>
      <c r="F7" s="8" t="inlineStr">
        <is>
          <t>Hébergement</t>
        </is>
      </c>
      <c r="G7" s="9" t="n">
        <v>45667</v>
      </c>
      <c r="H7" s="9" t="n">
        <v>45712</v>
      </c>
      <c r="I7" s="25">
        <f>IF(G7&lt;&gt;"",DATEDIF(G7,H7,"d"),"")</f>
        <v/>
      </c>
      <c r="J7" s="10" t="n">
        <v>1500</v>
      </c>
      <c r="K7" s="25">
        <f>IF(AND(I7&lt;&gt;"",J7&lt;&gt;""),I7*J7*8,"")</f>
        <v/>
      </c>
      <c r="L7" s="8" t="inlineStr">
        <is>
          <t>Bon</t>
        </is>
      </c>
      <c r="M7" s="8" t="inlineStr">
        <is>
          <t>Travail soigné, respect des consignes</t>
        </is>
      </c>
      <c r="N7" s="8" t="inlineStr">
        <is>
          <t>En poste</t>
        </is>
      </c>
    </row>
    <row r="8" ht="22" customHeight="1">
      <c r="A8" s="5" t="inlineStr">
        <is>
          <t>INT-003</t>
        </is>
      </c>
      <c r="B8" s="5" t="inlineStr">
        <is>
          <t>Traoré</t>
        </is>
      </c>
      <c r="C8" s="5" t="inlineStr">
        <is>
          <t>Fatou</t>
        </is>
      </c>
      <c r="D8" s="5" t="inlineStr">
        <is>
          <t>INTERIM PRO CI</t>
        </is>
      </c>
      <c r="E8" s="5" t="inlineStr">
        <is>
          <t>Plongeur</t>
        </is>
      </c>
      <c r="F8" s="5" t="inlineStr">
        <is>
          <t>Cuisine &amp; Restauration</t>
        </is>
      </c>
      <c r="G8" s="6" t="n">
        <v>45627</v>
      </c>
      <c r="H8" s="6" t="n">
        <v>45657</v>
      </c>
      <c r="I8" s="24">
        <f>IF(G8&lt;&gt;"",DATEDIF(G8,H8,"d"),"")</f>
        <v/>
      </c>
      <c r="J8" s="7" t="n">
        <v>1200</v>
      </c>
      <c r="K8" s="24">
        <f>IF(AND(I8&lt;&gt;"",J8&lt;&gt;""),I8*J8*8,"")</f>
        <v/>
      </c>
      <c r="L8" s="5" t="inlineStr">
        <is>
          <t>Satisfaisant</t>
        </is>
      </c>
      <c r="M8" s="5" t="inlineStr">
        <is>
          <t>Mission ponctuelle bien exécutée</t>
        </is>
      </c>
      <c r="N8" s="5" t="inlineStr">
        <is>
          <t>Terminé</t>
        </is>
      </c>
    </row>
    <row r="9" ht="22" customHeight="1">
      <c r="A9" s="8" t="inlineStr">
        <is>
          <t>INT-004</t>
        </is>
      </c>
      <c r="B9" s="8" t="inlineStr">
        <is>
          <t>Bamba</t>
        </is>
      </c>
      <c r="C9" s="8" t="inlineStr">
        <is>
          <t>Seydou</t>
        </is>
      </c>
      <c r="D9" s="8" t="inlineStr">
        <is>
          <t>ACTIV-INTERIM</t>
        </is>
      </c>
      <c r="E9" s="8" t="inlineStr">
        <is>
          <t>Agent Entretien</t>
        </is>
      </c>
      <c r="F9" s="8" t="inlineStr">
        <is>
          <t>Entretien &amp; Maintenance</t>
        </is>
      </c>
      <c r="G9" s="9" t="n">
        <v>45689</v>
      </c>
      <c r="H9" s="9" t="n">
        <v>45747</v>
      </c>
      <c r="I9" s="25">
        <f>IF(G9&lt;&gt;"",DATEDIF(G9,H9,"d"),"")</f>
        <v/>
      </c>
      <c r="J9" s="10" t="n">
        <v>1900</v>
      </c>
      <c r="K9" s="25">
        <f>IF(AND(I9&lt;&gt;"",J9&lt;&gt;""),I9*J9*8,"")</f>
        <v/>
      </c>
      <c r="L9" s="8" t="inlineStr"/>
      <c r="M9" s="8" t="inlineStr">
        <is>
          <t>En période d'essai</t>
        </is>
      </c>
      <c r="N9" s="8" t="inlineStr">
        <is>
          <t>En cours d'intégration</t>
        </is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24">
        <f>IF(G10&lt;&gt;"",DATEDIF(G10,H10,"d"),"")</f>
        <v/>
      </c>
      <c r="J10" s="5" t="n"/>
      <c r="K10" s="24">
        <f>IF(AND(I10&lt;&gt;"",J10&lt;&gt;""),I10*J10*8,"")</f>
        <v/>
      </c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25">
        <f>IF(G11&lt;&gt;"",DATEDIF(G11,H11,"d"),"")</f>
        <v/>
      </c>
      <c r="J11" s="8" t="n"/>
      <c r="K11" s="25">
        <f>IF(AND(I11&lt;&gt;"",J11&lt;&gt;""),I11*J11*8,"")</f>
        <v/>
      </c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24">
        <f>IF(G12&lt;&gt;"",DATEDIF(G12,H12,"d"),"")</f>
        <v/>
      </c>
      <c r="J12" s="5" t="n"/>
      <c r="K12" s="24">
        <f>IF(AND(I12&lt;&gt;"",J12&lt;&gt;""),I12*J12*8,"")</f>
        <v/>
      </c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25">
        <f>IF(G13&lt;&gt;"",DATEDIF(G13,H13,"d"),"")</f>
        <v/>
      </c>
      <c r="J13" s="8" t="n"/>
      <c r="K13" s="25">
        <f>IF(AND(I13&lt;&gt;"",J13&lt;&gt;""),I13*J13*8,"")</f>
        <v/>
      </c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24">
        <f>IF(G14&lt;&gt;"",DATEDIF(G14,H14,"d"),"")</f>
        <v/>
      </c>
      <c r="J14" s="5" t="n"/>
      <c r="K14" s="24">
        <f>IF(AND(I14&lt;&gt;"",J14&lt;&gt;""),I14*J14*8,"")</f>
        <v/>
      </c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25">
        <f>IF(G15&lt;&gt;"",DATEDIF(G15,H15,"d"),"")</f>
        <v/>
      </c>
      <c r="J15" s="8" t="n"/>
      <c r="K15" s="25">
        <f>IF(AND(I15&lt;&gt;"",J15&lt;&gt;""),I15*J15*8,"")</f>
        <v/>
      </c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24">
        <f>IF(G16&lt;&gt;"",DATEDIF(G16,H16,"d"),"")</f>
        <v/>
      </c>
      <c r="J16" s="5" t="n"/>
      <c r="K16" s="24">
        <f>IF(AND(I16&lt;&gt;"",J16&lt;&gt;""),I16*J16*8,"")</f>
        <v/>
      </c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25">
        <f>IF(G17&lt;&gt;"",DATEDIF(G17,H17,"d"),"")</f>
        <v/>
      </c>
      <c r="J17" s="8" t="n"/>
      <c r="K17" s="25">
        <f>IF(AND(I17&lt;&gt;"",J17&lt;&gt;""),I17*J17*8,"")</f>
        <v/>
      </c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24">
        <f>IF(G18&lt;&gt;"",DATEDIF(G18,H18,"d"),"")</f>
        <v/>
      </c>
      <c r="J18" s="5" t="n"/>
      <c r="K18" s="24">
        <f>IF(AND(I18&lt;&gt;"",J18&lt;&gt;""),I18*J18*8,"")</f>
        <v/>
      </c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25">
        <f>IF(G19&lt;&gt;"",DATEDIF(G19,H19,"d"),"")</f>
        <v/>
      </c>
      <c r="J19" s="8" t="n"/>
      <c r="K19" s="25">
        <f>IF(AND(I19&lt;&gt;"",J19&lt;&gt;""),I19*J19*8,"")</f>
        <v/>
      </c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24">
        <f>IF(G20&lt;&gt;"",DATEDIF(G20,H20,"d"),"")</f>
        <v/>
      </c>
      <c r="J20" s="5" t="n"/>
      <c r="K20" s="24">
        <f>IF(AND(I20&lt;&gt;"",J20&lt;&gt;""),I20*J20*8,"")</f>
        <v/>
      </c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25">
        <f>IF(G21&lt;&gt;"",DATEDIF(G21,H21,"d"),"")</f>
        <v/>
      </c>
      <c r="J21" s="8" t="n"/>
      <c r="K21" s="25">
        <f>IF(AND(I21&lt;&gt;"",J21&lt;&gt;""),I21*J21*8,"")</f>
        <v/>
      </c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24">
        <f>IF(G22&lt;&gt;"",DATEDIF(G22,H22,"d"),"")</f>
        <v/>
      </c>
      <c r="J22" s="5" t="n"/>
      <c r="K22" s="24">
        <f>IF(AND(I22&lt;&gt;"",J22&lt;&gt;""),I22*J22*8,"")</f>
        <v/>
      </c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25">
        <f>IF(G23&lt;&gt;"",DATEDIF(G23,H23,"d"),"")</f>
        <v/>
      </c>
      <c r="J23" s="8" t="n"/>
      <c r="K23" s="25">
        <f>IF(AND(I23&lt;&gt;"",J23&lt;&gt;""),I23*J23*8,"")</f>
        <v/>
      </c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24">
        <f>IF(G24&lt;&gt;"",DATEDIF(G24,H24,"d"),"")</f>
        <v/>
      </c>
      <c r="J24" s="5" t="n"/>
      <c r="K24" s="24">
        <f>IF(AND(I24&lt;&gt;"",J24&lt;&gt;""),I24*J24*8,"")</f>
        <v/>
      </c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25">
        <f>IF(G25&lt;&gt;"",DATEDIF(G25,H25,"d"),"")</f>
        <v/>
      </c>
      <c r="J25" s="8" t="n"/>
      <c r="K25" s="25">
        <f>IF(AND(I25&lt;&gt;"",J25&lt;&gt;""),I25*J25*8,"")</f>
        <v/>
      </c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24">
        <f>IF(G26&lt;&gt;"",DATEDIF(G26,H26,"d"),"")</f>
        <v/>
      </c>
      <c r="J26" s="5" t="n"/>
      <c r="K26" s="24">
        <f>IF(AND(I26&lt;&gt;"",J26&lt;&gt;""),I26*J26*8,"")</f>
        <v/>
      </c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25">
        <f>IF(G27&lt;&gt;"",DATEDIF(G27,H27,"d"),"")</f>
        <v/>
      </c>
      <c r="J27" s="8" t="n"/>
      <c r="K27" s="25">
        <f>IF(AND(I27&lt;&gt;"",J27&lt;&gt;""),I27*J27*8,"")</f>
        <v/>
      </c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24">
        <f>IF(G28&lt;&gt;"",DATEDIF(G28,H28,"d"),"")</f>
        <v/>
      </c>
      <c r="J28" s="5" t="n"/>
      <c r="K28" s="24">
        <f>IF(AND(I28&lt;&gt;"",J28&lt;&gt;""),I28*J28*8,"")</f>
        <v/>
      </c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25">
        <f>IF(G29&lt;&gt;"",DATEDIF(G29,H29,"d"),"")</f>
        <v/>
      </c>
      <c r="J29" s="8" t="n"/>
      <c r="K29" s="25">
        <f>IF(AND(I29&lt;&gt;"",J29&lt;&gt;""),I29*J29*8,"")</f>
        <v/>
      </c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24">
        <f>IF(G30&lt;&gt;"",DATEDIF(G30,H30,"d"),"")</f>
        <v/>
      </c>
      <c r="J30" s="5" t="n"/>
      <c r="K30" s="24">
        <f>IF(AND(I30&lt;&gt;"",J30&lt;&gt;""),I30*J30*8,"")</f>
        <v/>
      </c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25">
        <f>IF(G31&lt;&gt;"",DATEDIF(G31,H31,"d"),"")</f>
        <v/>
      </c>
      <c r="J31" s="8" t="n"/>
      <c r="K31" s="25">
        <f>IF(AND(I31&lt;&gt;"",J31&lt;&gt;""),I31*J31*8,"")</f>
        <v/>
      </c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24">
        <f>IF(G32&lt;&gt;"",DATEDIF(G32,H32,"d"),"")</f>
        <v/>
      </c>
      <c r="J32" s="5" t="n"/>
      <c r="K32" s="24">
        <f>IF(AND(I32&lt;&gt;"",J32&lt;&gt;""),I32*J32*8,"")</f>
        <v/>
      </c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25">
        <f>IF(G33&lt;&gt;"",DATEDIF(G33,H33,"d"),"")</f>
        <v/>
      </c>
      <c r="J33" s="8" t="n"/>
      <c r="K33" s="25">
        <f>IF(AND(I33&lt;&gt;"",J33&lt;&gt;""),I33*J33*8,"")</f>
        <v/>
      </c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24">
        <f>IF(G34&lt;&gt;"",DATEDIF(G34,H34,"d"),"")</f>
        <v/>
      </c>
      <c r="J34" s="5" t="n"/>
      <c r="K34" s="24">
        <f>IF(AND(I34&lt;&gt;"",J34&lt;&gt;""),I34*J34*8,"")</f>
        <v/>
      </c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25">
        <f>IF(G35&lt;&gt;"",DATEDIF(G35,H35,"d"),"")</f>
        <v/>
      </c>
      <c r="J35" s="8" t="n"/>
      <c r="K35" s="25">
        <f>IF(AND(I35&lt;&gt;"",J35&lt;&gt;""),I35*J35*8,"")</f>
        <v/>
      </c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24">
        <f>IF(G36&lt;&gt;"",DATEDIF(G36,H36,"d"),"")</f>
        <v/>
      </c>
      <c r="J36" s="5" t="n"/>
      <c r="K36" s="24">
        <f>IF(AND(I36&lt;&gt;"",J36&lt;&gt;""),I36*J36*8,"")</f>
        <v/>
      </c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25">
        <f>IF(G37&lt;&gt;"",DATEDIF(G37,H37,"d"),"")</f>
        <v/>
      </c>
      <c r="J37" s="8" t="n"/>
      <c r="K37" s="25">
        <f>IF(AND(I37&lt;&gt;"",J37&lt;&gt;""),I37*J37*8,"")</f>
        <v/>
      </c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24">
        <f>IF(G38&lt;&gt;"",DATEDIF(G38,H38,"d"),"")</f>
        <v/>
      </c>
      <c r="J38" s="5" t="n"/>
      <c r="K38" s="24">
        <f>IF(AND(I38&lt;&gt;"",J38&lt;&gt;""),I38*J38*8,"")</f>
        <v/>
      </c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25">
        <f>IF(G39&lt;&gt;"",DATEDIF(G39,H39,"d"),"")</f>
        <v/>
      </c>
      <c r="J39" s="8" t="n"/>
      <c r="K39" s="25">
        <f>IF(AND(I39&lt;&gt;"",J39&lt;&gt;""),I39*J39*8,"")</f>
        <v/>
      </c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24">
        <f>IF(G40&lt;&gt;"",DATEDIF(G40,H40,"d"),"")</f>
        <v/>
      </c>
      <c r="J40" s="5" t="n"/>
      <c r="K40" s="24">
        <f>IF(AND(I40&lt;&gt;"",J40&lt;&gt;""),I40*J40*8,"")</f>
        <v/>
      </c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25">
        <f>IF(G41&lt;&gt;"",DATEDIF(G41,H41,"d"),"")</f>
        <v/>
      </c>
      <c r="J41" s="8" t="n"/>
      <c r="K41" s="25">
        <f>IF(AND(I41&lt;&gt;"",J41&lt;&gt;""),I41*J41*8,"")</f>
        <v/>
      </c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24">
        <f>IF(G42&lt;&gt;"",DATEDIF(G42,H42,"d"),"")</f>
        <v/>
      </c>
      <c r="J42" s="5" t="n"/>
      <c r="K42" s="24">
        <f>IF(AND(I42&lt;&gt;"",J42&lt;&gt;""),I42*J42*8,"")</f>
        <v/>
      </c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25">
        <f>IF(G43&lt;&gt;"",DATEDIF(G43,H43,"d"),"")</f>
        <v/>
      </c>
      <c r="J43" s="8" t="n"/>
      <c r="K43" s="25">
        <f>IF(AND(I43&lt;&gt;"",J43&lt;&gt;""),I43*J43*8,"")</f>
        <v/>
      </c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24">
        <f>IF(G44&lt;&gt;"",DATEDIF(G44,H44,"d"),"")</f>
        <v/>
      </c>
      <c r="J44" s="5" t="n"/>
      <c r="K44" s="24">
        <f>IF(AND(I44&lt;&gt;"",J44&lt;&gt;""),I44*J44*8,"")</f>
        <v/>
      </c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25">
        <f>IF(G45&lt;&gt;"",DATEDIF(G45,H45,"d"),"")</f>
        <v/>
      </c>
      <c r="J45" s="8" t="n"/>
      <c r="K45" s="25">
        <f>IF(AND(I45&lt;&gt;"",J45&lt;&gt;""),I45*J45*8,"")</f>
        <v/>
      </c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24">
        <f>IF(G46&lt;&gt;"",DATEDIF(G46,H46,"d"),"")</f>
        <v/>
      </c>
      <c r="J46" s="5" t="n"/>
      <c r="K46" s="24">
        <f>IF(AND(I46&lt;&gt;"",J46&lt;&gt;""),I46*J46*8,"")</f>
        <v/>
      </c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25">
        <f>IF(G47&lt;&gt;"",DATEDIF(G47,H47,"d"),"")</f>
        <v/>
      </c>
      <c r="J47" s="8" t="n"/>
      <c r="K47" s="25">
        <f>IF(AND(I47&lt;&gt;"",J47&lt;&gt;""),I47*J47*8,"")</f>
        <v/>
      </c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24">
        <f>IF(G48&lt;&gt;"",DATEDIF(G48,H48,"d"),"")</f>
        <v/>
      </c>
      <c r="J48" s="5" t="n"/>
      <c r="K48" s="24">
        <f>IF(AND(I48&lt;&gt;"",J48&lt;&gt;""),I48*J48*8,"")</f>
        <v/>
      </c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25">
        <f>IF(G49&lt;&gt;"",DATEDIF(G49,H49,"d"),"")</f>
        <v/>
      </c>
      <c r="J49" s="8" t="n"/>
      <c r="K49" s="25">
        <f>IF(AND(I49&lt;&gt;"",J49&lt;&gt;""),I49*J49*8,"")</f>
        <v/>
      </c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24">
        <f>IF(G50&lt;&gt;"",DATEDIF(G50,H50,"d"),"")</f>
        <v/>
      </c>
      <c r="J50" s="5" t="n"/>
      <c r="K50" s="24">
        <f>IF(AND(I50&lt;&gt;"",J50&lt;&gt;""),I50*J50*8,"")</f>
        <v/>
      </c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25">
        <f>IF(G51&lt;&gt;"",DATEDIF(G51,H51,"d"),"")</f>
        <v/>
      </c>
      <c r="J51" s="8" t="n"/>
      <c r="K51" s="25">
        <f>IF(AND(I51&lt;&gt;"",J51&lt;&gt;""),I51*J51*8,"")</f>
        <v/>
      </c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24">
        <f>IF(G52&lt;&gt;"",DATEDIF(G52,H52,"d"),"")</f>
        <v/>
      </c>
      <c r="J52" s="5" t="n"/>
      <c r="K52" s="24">
        <f>IF(AND(I52&lt;&gt;"",J52&lt;&gt;""),I52*J52*8,"")</f>
        <v/>
      </c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25">
        <f>IF(G53&lt;&gt;"",DATEDIF(G53,H53,"d"),"")</f>
        <v/>
      </c>
      <c r="J53" s="8" t="n"/>
      <c r="K53" s="25">
        <f>IF(AND(I53&lt;&gt;"",J53&lt;&gt;""),I53*J53*8,"")</f>
        <v/>
      </c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24">
        <f>IF(G54&lt;&gt;"",DATEDIF(G54,H54,"d"),"")</f>
        <v/>
      </c>
      <c r="J54" s="5" t="n"/>
      <c r="K54" s="24">
        <f>IF(AND(I54&lt;&gt;"",J54&lt;&gt;""),I54*J54*8,"")</f>
        <v/>
      </c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25">
        <f>IF(G55&lt;&gt;"",DATEDIF(G55,H55,"d"),"")</f>
        <v/>
      </c>
      <c r="J55" s="8" t="n"/>
      <c r="K55" s="25">
        <f>IF(AND(I55&lt;&gt;"",J55&lt;&gt;""),I55*J55*8,"")</f>
        <v/>
      </c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24">
        <f>IF(G56&lt;&gt;"",DATEDIF(G56,H56,"d"),"")</f>
        <v/>
      </c>
      <c r="J56" s="5" t="n"/>
      <c r="K56" s="24">
        <f>IF(AND(I56&lt;&gt;"",J56&lt;&gt;""),I56*J56*8,"")</f>
        <v/>
      </c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25">
        <f>IF(G57&lt;&gt;"",DATEDIF(G57,H57,"d"),"")</f>
        <v/>
      </c>
      <c r="J57" s="8" t="n"/>
      <c r="K57" s="25">
        <f>IF(AND(I57&lt;&gt;"",J57&lt;&gt;""),I57*J57*8,"")</f>
        <v/>
      </c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24">
        <f>IF(G58&lt;&gt;"",DATEDIF(G58,H58,"d"),"")</f>
        <v/>
      </c>
      <c r="J58" s="5" t="n"/>
      <c r="K58" s="24">
        <f>IF(AND(I58&lt;&gt;"",J58&lt;&gt;""),I58*J58*8,"")</f>
        <v/>
      </c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25">
        <f>IF(G59&lt;&gt;"",DATEDIF(G59,H59,"d"),"")</f>
        <v/>
      </c>
      <c r="J59" s="8" t="n"/>
      <c r="K59" s="25">
        <f>IF(AND(I59&lt;&gt;"",J59&lt;&gt;""),I59*J59*8,"")</f>
        <v/>
      </c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24">
        <f>IF(G60&lt;&gt;"",DATEDIF(G60,H60,"d"),"")</f>
        <v/>
      </c>
      <c r="J60" s="5" t="n"/>
      <c r="K60" s="24">
        <f>IF(AND(I60&lt;&gt;"",J60&lt;&gt;""),I60*J60*8,"")</f>
        <v/>
      </c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25">
        <f>IF(G61&lt;&gt;"",DATEDIF(G61,H61,"d"),"")</f>
        <v/>
      </c>
      <c r="J61" s="8" t="n"/>
      <c r="K61" s="25">
        <f>IF(AND(I61&lt;&gt;"",J61&lt;&gt;""),I61*J61*8,"")</f>
        <v/>
      </c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24">
        <f>IF(G62&lt;&gt;"",DATEDIF(G62,H62,"d"),"")</f>
        <v/>
      </c>
      <c r="J62" s="5" t="n"/>
      <c r="K62" s="24">
        <f>IF(AND(I62&lt;&gt;"",J62&lt;&gt;""),I62*J62*8,"")</f>
        <v/>
      </c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25">
        <f>IF(G63&lt;&gt;"",DATEDIF(G63,H63,"d"),"")</f>
        <v/>
      </c>
      <c r="J63" s="8" t="n"/>
      <c r="K63" s="25">
        <f>IF(AND(I63&lt;&gt;"",J63&lt;&gt;""),I63*J63*8,"")</f>
        <v/>
      </c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24">
        <f>IF(G64&lt;&gt;"",DATEDIF(G64,H64,"d"),"")</f>
        <v/>
      </c>
      <c r="J64" s="5" t="n"/>
      <c r="K64" s="24">
        <f>IF(AND(I64&lt;&gt;"",J64&lt;&gt;""),I64*J64*8,"")</f>
        <v/>
      </c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25">
        <f>IF(G65&lt;&gt;"",DATEDIF(G65,H65,"d"),"")</f>
        <v/>
      </c>
      <c r="J65" s="8" t="n"/>
      <c r="K65" s="25">
        <f>IF(AND(I65&lt;&gt;"",J65&lt;&gt;""),I65*J65*8,"")</f>
        <v/>
      </c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24">
        <f>IF(G66&lt;&gt;"",DATEDIF(G66,H66,"d"),"")</f>
        <v/>
      </c>
      <c r="J66" s="5" t="n"/>
      <c r="K66" s="24">
        <f>IF(AND(I66&lt;&gt;"",J66&lt;&gt;""),I66*J66*8,"")</f>
        <v/>
      </c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25">
        <f>IF(G67&lt;&gt;"",DATEDIF(G67,H67,"d"),"")</f>
        <v/>
      </c>
      <c r="J67" s="8" t="n"/>
      <c r="K67" s="25">
        <f>IF(AND(I67&lt;&gt;"",J67&lt;&gt;""),I67*J67*8,"")</f>
        <v/>
      </c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24">
        <f>IF(G68&lt;&gt;"",DATEDIF(G68,H68,"d"),"")</f>
        <v/>
      </c>
      <c r="J68" s="5" t="n"/>
      <c r="K68" s="24">
        <f>IF(AND(I68&lt;&gt;"",J68&lt;&gt;""),I68*J68*8,"")</f>
        <v/>
      </c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25">
        <f>IF(G69&lt;&gt;"",DATEDIF(G69,H69,"d"),"")</f>
        <v/>
      </c>
      <c r="J69" s="8" t="n"/>
      <c r="K69" s="25">
        <f>IF(AND(I69&lt;&gt;"",J69&lt;&gt;""),I69*J69*8,"")</f>
        <v/>
      </c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24">
        <f>IF(G70&lt;&gt;"",DATEDIF(G70,H70,"d"),"")</f>
        <v/>
      </c>
      <c r="J70" s="5" t="n"/>
      <c r="K70" s="24">
        <f>IF(AND(I70&lt;&gt;"",J70&lt;&gt;""),I70*J70*8,"")</f>
        <v/>
      </c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25">
        <f>IF(G71&lt;&gt;"",DATEDIF(G71,H71,"d"),"")</f>
        <v/>
      </c>
      <c r="J71" s="8" t="n"/>
      <c r="K71" s="25">
        <f>IF(AND(I71&lt;&gt;"",J71&lt;&gt;""),I71*J71*8,"")</f>
        <v/>
      </c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24">
        <f>IF(G72&lt;&gt;"",DATEDIF(G72,H72,"d"),"")</f>
        <v/>
      </c>
      <c r="J72" s="5" t="n"/>
      <c r="K72" s="24">
        <f>IF(AND(I72&lt;&gt;"",J72&lt;&gt;""),I72*J72*8,"")</f>
        <v/>
      </c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25">
        <f>IF(G73&lt;&gt;"",DATEDIF(G73,H73,"d"),"")</f>
        <v/>
      </c>
      <c r="J73" s="8" t="n"/>
      <c r="K73" s="25">
        <f>IF(AND(I73&lt;&gt;"",J73&lt;&gt;""),I73*J73*8,"")</f>
        <v/>
      </c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24">
        <f>IF(G74&lt;&gt;"",DATEDIF(G74,H74,"d"),"")</f>
        <v/>
      </c>
      <c r="J74" s="5" t="n"/>
      <c r="K74" s="24">
        <f>IF(AND(I74&lt;&gt;"",J74&lt;&gt;""),I74*J74*8,"")</f>
        <v/>
      </c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25">
        <f>IF(G75&lt;&gt;"",DATEDIF(G75,H75,"d"),"")</f>
        <v/>
      </c>
      <c r="J75" s="8" t="n"/>
      <c r="K75" s="25">
        <f>IF(AND(I75&lt;&gt;"",J75&lt;&gt;""),I75*J75*8,"")</f>
        <v/>
      </c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24">
        <f>IF(G76&lt;&gt;"",DATEDIF(G76,H76,"d"),"")</f>
        <v/>
      </c>
      <c r="J76" s="5" t="n"/>
      <c r="K76" s="24">
        <f>IF(AND(I76&lt;&gt;"",J76&lt;&gt;""),I76*J76*8,"")</f>
        <v/>
      </c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25">
        <f>IF(G77&lt;&gt;"",DATEDIF(G77,H77,"d"),"")</f>
        <v/>
      </c>
      <c r="J77" s="8" t="n"/>
      <c r="K77" s="25">
        <f>IF(AND(I77&lt;&gt;"",J77&lt;&gt;""),I77*J77*8,"")</f>
        <v/>
      </c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24">
        <f>IF(G78&lt;&gt;"",DATEDIF(G78,H78,"d"),"")</f>
        <v/>
      </c>
      <c r="J78" s="5" t="n"/>
      <c r="K78" s="24">
        <f>IF(AND(I78&lt;&gt;"",J78&lt;&gt;""),I78*J78*8,"")</f>
        <v/>
      </c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25">
        <f>IF(G79&lt;&gt;"",DATEDIF(G79,H79,"d"),"")</f>
        <v/>
      </c>
      <c r="J79" s="8" t="n"/>
      <c r="K79" s="25">
        <f>IF(AND(I79&lt;&gt;"",J79&lt;&gt;""),I79*J79*8,"")</f>
        <v/>
      </c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24">
        <f>IF(G80&lt;&gt;"",DATEDIF(G80,H80,"d"),"")</f>
        <v/>
      </c>
      <c r="J80" s="5" t="n"/>
      <c r="K80" s="24">
        <f>IF(AND(I80&lt;&gt;"",J80&lt;&gt;""),I80*J80*8,"")</f>
        <v/>
      </c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25">
        <f>IF(G81&lt;&gt;"",DATEDIF(G81,H81,"d"),"")</f>
        <v/>
      </c>
      <c r="J81" s="8" t="n"/>
      <c r="K81" s="25">
        <f>IF(AND(I81&lt;&gt;"",J81&lt;&gt;""),I81*J81*8,"")</f>
        <v/>
      </c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24">
        <f>IF(G82&lt;&gt;"",DATEDIF(G82,H82,"d"),"")</f>
        <v/>
      </c>
      <c r="J82" s="5" t="n"/>
      <c r="K82" s="24">
        <f>IF(AND(I82&lt;&gt;"",J82&lt;&gt;""),I82*J82*8,"")</f>
        <v/>
      </c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25">
        <f>IF(G83&lt;&gt;"",DATEDIF(G83,H83,"d"),"")</f>
        <v/>
      </c>
      <c r="J83" s="8" t="n"/>
      <c r="K83" s="25">
        <f>IF(AND(I83&lt;&gt;"",J83&lt;&gt;""),I83*J83*8,"")</f>
        <v/>
      </c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24">
        <f>IF(G84&lt;&gt;"",DATEDIF(G84,H84,"d"),"")</f>
        <v/>
      </c>
      <c r="J84" s="5" t="n"/>
      <c r="K84" s="24">
        <f>IF(AND(I84&lt;&gt;"",J84&lt;&gt;""),I84*J84*8,"")</f>
        <v/>
      </c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25">
        <f>IF(G85&lt;&gt;"",DATEDIF(G85,H85,"d"),"")</f>
        <v/>
      </c>
      <c r="J85" s="8" t="n"/>
      <c r="K85" s="25">
        <f>IF(AND(I85&lt;&gt;"",J85&lt;&gt;""),I85*J85*8,"")</f>
        <v/>
      </c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24">
        <f>IF(G86&lt;&gt;"",DATEDIF(G86,H86,"d"),"")</f>
        <v/>
      </c>
      <c r="J86" s="5" t="n"/>
      <c r="K86" s="24">
        <f>IF(AND(I86&lt;&gt;"",J86&lt;&gt;""),I86*J86*8,"")</f>
        <v/>
      </c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25">
        <f>IF(G87&lt;&gt;"",DATEDIF(G87,H87,"d"),"")</f>
        <v/>
      </c>
      <c r="J87" s="8" t="n"/>
      <c r="K87" s="25">
        <f>IF(AND(I87&lt;&gt;"",J87&lt;&gt;""),I87*J87*8,"")</f>
        <v/>
      </c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24">
        <f>IF(G88&lt;&gt;"",DATEDIF(G88,H88,"d"),"")</f>
        <v/>
      </c>
      <c r="J88" s="5" t="n"/>
      <c r="K88" s="24">
        <f>IF(AND(I88&lt;&gt;"",J88&lt;&gt;""),I88*J88*8,"")</f>
        <v/>
      </c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25">
        <f>IF(G89&lt;&gt;"",DATEDIF(G89,H89,"d"),"")</f>
        <v/>
      </c>
      <c r="J89" s="8" t="n"/>
      <c r="K89" s="25">
        <f>IF(AND(I89&lt;&gt;"",J89&lt;&gt;""),I89*J89*8,"")</f>
        <v/>
      </c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24">
        <f>IF(G90&lt;&gt;"",DATEDIF(G90,H90,"d"),"")</f>
        <v/>
      </c>
      <c r="J90" s="5" t="n"/>
      <c r="K90" s="24">
        <f>IF(AND(I90&lt;&gt;"",J90&lt;&gt;""),I90*J90*8,"")</f>
        <v/>
      </c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25">
        <f>IF(G91&lt;&gt;"",DATEDIF(G91,H91,"d"),"")</f>
        <v/>
      </c>
      <c r="J91" s="8" t="n"/>
      <c r="K91" s="25">
        <f>IF(AND(I91&lt;&gt;"",J91&lt;&gt;""),I91*J91*8,"")</f>
        <v/>
      </c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24">
        <f>IF(G92&lt;&gt;"",DATEDIF(G92,H92,"d"),"")</f>
        <v/>
      </c>
      <c r="J92" s="5" t="n"/>
      <c r="K92" s="24">
        <f>IF(AND(I92&lt;&gt;"",J92&lt;&gt;""),I92*J92*8,"")</f>
        <v/>
      </c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25">
        <f>IF(G93&lt;&gt;"",DATEDIF(G93,H93,"d"),"")</f>
        <v/>
      </c>
      <c r="J93" s="8" t="n"/>
      <c r="K93" s="25">
        <f>IF(AND(I93&lt;&gt;"",J93&lt;&gt;""),I93*J93*8,"")</f>
        <v/>
      </c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24">
        <f>IF(G94&lt;&gt;"",DATEDIF(G94,H94,"d"),"")</f>
        <v/>
      </c>
      <c r="J94" s="5" t="n"/>
      <c r="K94" s="24">
        <f>IF(AND(I94&lt;&gt;"",J94&lt;&gt;""),I94*J94*8,"")</f>
        <v/>
      </c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25">
        <f>IF(G95&lt;&gt;"",DATEDIF(G95,H95,"d"),"")</f>
        <v/>
      </c>
      <c r="J95" s="8" t="n"/>
      <c r="K95" s="25">
        <f>IF(AND(I95&lt;&gt;"",J95&lt;&gt;""),I95*J95*8,"")</f>
        <v/>
      </c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24">
        <f>IF(G96&lt;&gt;"",DATEDIF(G96,H96,"d"),"")</f>
        <v/>
      </c>
      <c r="J96" s="5" t="n"/>
      <c r="K96" s="24">
        <f>IF(AND(I96&lt;&gt;"",J96&lt;&gt;""),I96*J96*8,"")</f>
        <v/>
      </c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25">
        <f>IF(G97&lt;&gt;"",DATEDIF(G97,H97,"d"),"")</f>
        <v/>
      </c>
      <c r="J97" s="8" t="n"/>
      <c r="K97" s="25">
        <f>IF(AND(I97&lt;&gt;"",J97&lt;&gt;""),I97*J97*8,"")</f>
        <v/>
      </c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24">
        <f>IF(G98&lt;&gt;"",DATEDIF(G98,H98,"d"),"")</f>
        <v/>
      </c>
      <c r="J98" s="5" t="n"/>
      <c r="K98" s="24">
        <f>IF(AND(I98&lt;&gt;"",J98&lt;&gt;""),I98*J98*8,"")</f>
        <v/>
      </c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25">
        <f>IF(G99&lt;&gt;"",DATEDIF(G99,H99,"d"),"")</f>
        <v/>
      </c>
      <c r="J99" s="8" t="n"/>
      <c r="K99" s="25">
        <f>IF(AND(I99&lt;&gt;"",J99&lt;&gt;""),I99*J99*8,"")</f>
        <v/>
      </c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4">
        <f>IF(G100&lt;&gt;"",DATEDIF(G100,H100,"d"),"")</f>
        <v/>
      </c>
      <c r="J100" s="5" t="n"/>
      <c r="K100" s="24">
        <f>IF(AND(I100&lt;&gt;"",J100&lt;&gt;""),I100*J100*8,"")</f>
        <v/>
      </c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25">
        <f>IF(G101&lt;&gt;"",DATEDIF(G101,H101,"d"),"")</f>
        <v/>
      </c>
      <c r="J101" s="8" t="n"/>
      <c r="K101" s="25">
        <f>IF(AND(I101&lt;&gt;"",J101&lt;&gt;""),I101*J101*8,"")</f>
        <v/>
      </c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4">
        <f>IF(G102&lt;&gt;"",DATEDIF(G102,H102,"d"),"")</f>
        <v/>
      </c>
      <c r="J102" s="5" t="n"/>
      <c r="K102" s="24">
        <f>IF(AND(I102&lt;&gt;"",J102&lt;&gt;""),I102*J102*8,"")</f>
        <v/>
      </c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25">
        <f>IF(G103&lt;&gt;"",DATEDIF(G103,H103,"d"),"")</f>
        <v/>
      </c>
      <c r="J103" s="8" t="n"/>
      <c r="K103" s="25">
        <f>IF(AND(I103&lt;&gt;"",J103&lt;&gt;""),I103*J103*8,"")</f>
        <v/>
      </c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4">
        <f>IF(G104&lt;&gt;"",DATEDIF(G104,H104,"d"),"")</f>
        <v/>
      </c>
      <c r="J104" s="5" t="n"/>
      <c r="K104" s="24">
        <f>IF(AND(I104&lt;&gt;"",J104&lt;&gt;""),I104*J104*8,"")</f>
        <v/>
      </c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25">
        <f>IF(G105&lt;&gt;"",DATEDIF(G105,H105,"d"),"")</f>
        <v/>
      </c>
      <c r="J105" s="8" t="n"/>
      <c r="K105" s="25">
        <f>IF(AND(I105&lt;&gt;"",J105&lt;&gt;""),I105*J105*8,"")</f>
        <v/>
      </c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4">
        <f>IF(G106&lt;&gt;"",DATEDIF(G106,H106,"d"),"")</f>
        <v/>
      </c>
      <c r="J106" s="5" t="n"/>
      <c r="K106" s="24">
        <f>IF(AND(I106&lt;&gt;"",J106&lt;&gt;""),I106*J106*8,"")</f>
        <v/>
      </c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25">
        <f>IF(G107&lt;&gt;"",DATEDIF(G107,H107,"d"),"")</f>
        <v/>
      </c>
      <c r="J107" s="8" t="n"/>
      <c r="K107" s="25">
        <f>IF(AND(I107&lt;&gt;"",J107&lt;&gt;""),I107*J107*8,"")</f>
        <v/>
      </c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4">
        <f>IF(G108&lt;&gt;"",DATEDIF(G108,H108,"d"),"")</f>
        <v/>
      </c>
      <c r="J108" s="5" t="n"/>
      <c r="K108" s="24">
        <f>IF(AND(I108&lt;&gt;"",J108&lt;&gt;""),I108*J108*8,"")</f>
        <v/>
      </c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25">
        <f>IF(G109&lt;&gt;"",DATEDIF(G109,H109,"d"),"")</f>
        <v/>
      </c>
      <c r="J109" s="8" t="n"/>
      <c r="K109" s="25">
        <f>IF(AND(I109&lt;&gt;"",J109&lt;&gt;""),I109*J109*8,"")</f>
        <v/>
      </c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4">
        <f>IF(G110&lt;&gt;"",DATEDIF(G110,H110,"d"),"")</f>
        <v/>
      </c>
      <c r="J110" s="5" t="n"/>
      <c r="K110" s="24">
        <f>IF(AND(I110&lt;&gt;"",J110&lt;&gt;""),I110*J110*8,"")</f>
        <v/>
      </c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25">
        <f>IF(G111&lt;&gt;"",DATEDIF(G111,H111,"d"),"")</f>
        <v/>
      </c>
      <c r="J111" s="8" t="n"/>
      <c r="K111" s="25">
        <f>IF(AND(I111&lt;&gt;"",J111&lt;&gt;""),I111*J111*8,"")</f>
        <v/>
      </c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4">
        <f>IF(G112&lt;&gt;"",DATEDIF(G112,H112,"d"),"")</f>
        <v/>
      </c>
      <c r="J112" s="5" t="n"/>
      <c r="K112" s="24">
        <f>IF(AND(I112&lt;&gt;"",J112&lt;&gt;""),I112*J112*8,"")</f>
        <v/>
      </c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25">
        <f>IF(G113&lt;&gt;"",DATEDIF(G113,H113,"d"),"")</f>
        <v/>
      </c>
      <c r="J113" s="8" t="n"/>
      <c r="K113" s="25">
        <f>IF(AND(I113&lt;&gt;"",J113&lt;&gt;""),I113*J113*8,"")</f>
        <v/>
      </c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4">
        <f>IF(G114&lt;&gt;"",DATEDIF(G114,H114,"d"),"")</f>
        <v/>
      </c>
      <c r="J114" s="5" t="n"/>
      <c r="K114" s="24">
        <f>IF(AND(I114&lt;&gt;"",J114&lt;&gt;""),I114*J114*8,"")</f>
        <v/>
      </c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25">
        <f>IF(G115&lt;&gt;"",DATEDIF(G115,H115,"d"),"")</f>
        <v/>
      </c>
      <c r="J115" s="8" t="n"/>
      <c r="K115" s="25">
        <f>IF(AND(I115&lt;&gt;"",J115&lt;&gt;""),I115*J115*8,"")</f>
        <v/>
      </c>
      <c r="L115" s="8" t="n"/>
      <c r="M115" s="8" t="n"/>
      <c r="N115" s="8" t="n"/>
    </row>
  </sheetData>
  <mergeCells count="2">
    <mergeCell ref="A3:N3"/>
    <mergeCell ref="A2:N2"/>
  </mergeCells>
  <dataValidations count="5">
    <dataValidation sqref="D6:D115" showDropDown="0" showInputMessage="0" showErrorMessage="0" allowBlank="1" errorTitle="Erreur" error="Valeur invalide" promptTitle="" prompt="Choisir dans la liste: " type="list">
      <formula1>'F02 - _Lists'!$N$6:$N$9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_Lists'!$R$6:$R$11</formula1>
    </dataValidation>
    <dataValidation sqref="N6:N115" showDropDown="0" showInputMessage="0" showErrorMessage="0" allowBlank="1" errorTitle="Erreur" error="Valeur invalide" promptTitle="" prompt="Choisir dans la liste: " type="list">
      <formula1>'F02 - _Lists'!$H$6:$H$10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32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7-GESTION DU TEMPS ET DES ACTIVITÉS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Semaine</t>
        </is>
      </c>
      <c r="B5" s="4" t="inlineStr">
        <is>
          <t>Intérimaire</t>
        </is>
      </c>
      <c r="C5" s="4" t="inlineStr">
        <is>
          <t>Poste</t>
        </is>
      </c>
      <c r="D5" s="4" t="inlineStr">
        <is>
          <t>Heures Prévues</t>
        </is>
      </c>
      <c r="E5" s="4" t="inlineStr">
        <is>
          <t>Heures Réalisées</t>
        </is>
      </c>
      <c r="F5" s="4" t="inlineStr">
        <is>
          <t>Écart (h)</t>
        </is>
      </c>
      <c r="G5" s="4" t="inlineStr">
        <is>
          <t>Taux Réalisation (%)</t>
        </is>
      </c>
      <c r="H5" s="4" t="inlineStr">
        <is>
          <t>Coût Prévu (FCFA)</t>
        </is>
      </c>
      <c r="I5" s="4" t="inlineStr">
        <is>
          <t>Coût Réel (FCFA)</t>
        </is>
      </c>
      <c r="J5" s="4" t="inlineStr">
        <is>
          <t>Écart Coût (FCFA)</t>
        </is>
      </c>
      <c r="K5" s="4" t="inlineStr">
        <is>
          <t>Validation</t>
        </is>
      </c>
      <c r="L5" s="4" t="inlineStr">
        <is>
          <t>Commentaire</t>
        </is>
      </c>
      <c r="M5" s="4" t="inlineStr">
        <is>
          <t>Statut</t>
        </is>
      </c>
      <c r="N5" s="4" t="inlineStr">
        <is>
          <t>Date MAJ</t>
        </is>
      </c>
    </row>
    <row r="6" ht="22" customHeight="1">
      <c r="A6" s="5" t="inlineStr">
        <is>
          <t>S05 2025</t>
        </is>
      </c>
      <c r="B6" s="5" t="inlineStr">
        <is>
          <t>Koffi Marie</t>
        </is>
      </c>
      <c r="C6" s="5" t="inlineStr">
        <is>
          <t>Serveur</t>
        </is>
      </c>
      <c r="D6" s="7" t="n">
        <v>40</v>
      </c>
      <c r="E6" s="7" t="n">
        <v>42</v>
      </c>
      <c r="F6" s="24">
        <f>IF(D6&lt;&gt;"",E6-D6,"")</f>
        <v/>
      </c>
      <c r="G6" s="26">
        <f>IF(D6&lt;&gt;0,E6/D6*100,"")</f>
        <v/>
      </c>
      <c r="H6" s="7">
        <f>IF(D6&lt;&gt;"",D6*2000,"")</f>
        <v/>
      </c>
      <c r="I6" s="7">
        <f>IF(E6&lt;&gt;"",E6*2000,"")</f>
        <v/>
      </c>
      <c r="J6" s="24">
        <f>IF(I6&lt;&gt;"",I6-H6,"")</f>
        <v/>
      </c>
      <c r="K6" s="5" t="inlineStr">
        <is>
          <t>Validé</t>
        </is>
      </c>
      <c r="L6" s="5" t="inlineStr">
        <is>
          <t>2h supplémentaires gala</t>
        </is>
      </c>
      <c r="M6" s="5" t="inlineStr">
        <is>
          <t>Validé</t>
        </is>
      </c>
      <c r="N6" s="6" t="n">
        <v>45691</v>
      </c>
    </row>
    <row r="7" ht="22" customHeight="1">
      <c r="A7" s="8" t="inlineStr">
        <is>
          <t>S05 2025</t>
        </is>
      </c>
      <c r="B7" s="8" t="inlineStr">
        <is>
          <t>Diallo Aminata</t>
        </is>
      </c>
      <c r="C7" s="8" t="inlineStr">
        <is>
          <t>Femme de chambre</t>
        </is>
      </c>
      <c r="D7" s="10" t="n">
        <v>40</v>
      </c>
      <c r="E7" s="10" t="n">
        <v>38</v>
      </c>
      <c r="F7" s="25">
        <f>IF(D7&lt;&gt;"",E7-D7,"")</f>
        <v/>
      </c>
      <c r="G7" s="27">
        <f>IF(D7&lt;&gt;0,E7/D7*100,"")</f>
        <v/>
      </c>
      <c r="H7" s="10">
        <f>IF(D7&lt;&gt;"",D7*2000,"")</f>
        <v/>
      </c>
      <c r="I7" s="10">
        <f>IF(E7&lt;&gt;"",E7*2000,"")</f>
        <v/>
      </c>
      <c r="J7" s="25">
        <f>IF(I7&lt;&gt;"",I7-H7,"")</f>
        <v/>
      </c>
      <c r="K7" s="8" t="inlineStr">
        <is>
          <t>Validé</t>
        </is>
      </c>
      <c r="L7" s="8" t="inlineStr">
        <is>
          <t>2h d'absence justifiée</t>
        </is>
      </c>
      <c r="M7" s="8" t="inlineStr">
        <is>
          <t>Validé</t>
        </is>
      </c>
      <c r="N7" s="9" t="n">
        <v>45691</v>
      </c>
    </row>
    <row r="8" ht="22" customHeight="1">
      <c r="A8" s="5" t="inlineStr">
        <is>
          <t>S04 2025</t>
        </is>
      </c>
      <c r="B8" s="5" t="inlineStr">
        <is>
          <t>Koffi Marie</t>
        </is>
      </c>
      <c r="C8" s="5" t="inlineStr">
        <is>
          <t>Serveur</t>
        </is>
      </c>
      <c r="D8" s="7" t="n">
        <v>40</v>
      </c>
      <c r="E8" s="7" t="n">
        <v>40</v>
      </c>
      <c r="F8" s="24">
        <f>IF(D8&lt;&gt;"",E8-D8,"")</f>
        <v/>
      </c>
      <c r="G8" s="26">
        <f>IF(D8&lt;&gt;0,E8/D8*100,"")</f>
        <v/>
      </c>
      <c r="H8" s="7">
        <f>IF(D8&lt;&gt;"",D8*2000,"")</f>
        <v/>
      </c>
      <c r="I8" s="7">
        <f>IF(E8&lt;&gt;"",E8*2000,"")</f>
        <v/>
      </c>
      <c r="J8" s="24">
        <f>IF(I8&lt;&gt;"",I8-H8,"")</f>
        <v/>
      </c>
      <c r="K8" s="5" t="inlineStr">
        <is>
          <t>Validé</t>
        </is>
      </c>
      <c r="L8" s="5" t="inlineStr">
        <is>
          <t>Semaine normale</t>
        </is>
      </c>
      <c r="M8" s="5" t="inlineStr">
        <is>
          <t>Validé</t>
        </is>
      </c>
      <c r="N8" s="6" t="n">
        <v>45684</v>
      </c>
    </row>
    <row r="9" ht="22" customHeight="1">
      <c r="A9" s="8" t="inlineStr">
        <is>
          <t>S04 2025</t>
        </is>
      </c>
      <c r="B9" s="8" t="inlineStr">
        <is>
          <t>Bamba Seydou</t>
        </is>
      </c>
      <c r="C9" s="8" t="inlineStr">
        <is>
          <t>Agent Entretien</t>
        </is>
      </c>
      <c r="D9" s="10" t="n">
        <v>40</v>
      </c>
      <c r="E9" s="10" t="n">
        <v>36</v>
      </c>
      <c r="F9" s="25">
        <f>IF(D9&lt;&gt;"",E9-D9,"")</f>
        <v/>
      </c>
      <c r="G9" s="27">
        <f>IF(D9&lt;&gt;0,E9/D9*100,"")</f>
        <v/>
      </c>
      <c r="H9" s="10">
        <f>IF(D9&lt;&gt;"",D9*2000,"")</f>
        <v/>
      </c>
      <c r="I9" s="10">
        <f>IF(E9&lt;&gt;"",E9*2000,"")</f>
        <v/>
      </c>
      <c r="J9" s="25">
        <f>IF(I9&lt;&gt;"",I9-H9,"")</f>
        <v/>
      </c>
      <c r="K9" s="8" t="inlineStr">
        <is>
          <t>En attente</t>
        </is>
      </c>
      <c r="L9" s="8" t="inlineStr">
        <is>
          <t>4h non effectuées – justification demandée</t>
        </is>
      </c>
      <c r="M9" s="8" t="inlineStr">
        <is>
          <t>En attente</t>
        </is>
      </c>
      <c r="N9" s="9" t="n">
        <v>45684</v>
      </c>
    </row>
    <row r="10" ht="22" customHeight="1">
      <c r="A10" s="5" t="n"/>
      <c r="B10" s="5" t="n"/>
      <c r="C10" s="5" t="n"/>
      <c r="D10" s="5" t="n"/>
      <c r="E10" s="5" t="n"/>
      <c r="F10" s="24">
        <f>IF(D10&lt;&gt;"",E10-D10,"")</f>
        <v/>
      </c>
      <c r="G10" s="26">
        <f>IF(D10&lt;&gt;0,E10/D10*100,"")</f>
        <v/>
      </c>
      <c r="H10" s="24">
        <f>IF(D10&lt;&gt;"",D10*2000,"")</f>
        <v/>
      </c>
      <c r="I10" s="24">
        <f>IF(E10&lt;&gt;"",E10*2000,"")</f>
        <v/>
      </c>
      <c r="J10" s="24">
        <f>IF(I10&lt;&gt;"",I10-H10,"")</f>
        <v/>
      </c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25">
        <f>IF(D11&lt;&gt;"",E11-D11,"")</f>
        <v/>
      </c>
      <c r="G11" s="27">
        <f>IF(D11&lt;&gt;0,E11/D11*100,"")</f>
        <v/>
      </c>
      <c r="H11" s="25">
        <f>IF(D11&lt;&gt;"",D11*2000,"")</f>
        <v/>
      </c>
      <c r="I11" s="25">
        <f>IF(E11&lt;&gt;"",E11*2000,"")</f>
        <v/>
      </c>
      <c r="J11" s="25">
        <f>IF(I11&lt;&gt;"",I11-H11,"")</f>
        <v/>
      </c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24">
        <f>IF(D12&lt;&gt;"",E12-D12,"")</f>
        <v/>
      </c>
      <c r="G12" s="26">
        <f>IF(D12&lt;&gt;0,E12/D12*100,"")</f>
        <v/>
      </c>
      <c r="H12" s="24">
        <f>IF(D12&lt;&gt;"",D12*2000,"")</f>
        <v/>
      </c>
      <c r="I12" s="24">
        <f>IF(E12&lt;&gt;"",E12*2000,"")</f>
        <v/>
      </c>
      <c r="J12" s="24">
        <f>IF(I12&lt;&gt;"",I12-H12,"")</f>
        <v/>
      </c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25">
        <f>IF(D13&lt;&gt;"",E13-D13,"")</f>
        <v/>
      </c>
      <c r="G13" s="27">
        <f>IF(D13&lt;&gt;0,E13/D13*100,"")</f>
        <v/>
      </c>
      <c r="H13" s="25">
        <f>IF(D13&lt;&gt;"",D13*2000,"")</f>
        <v/>
      </c>
      <c r="I13" s="25">
        <f>IF(E13&lt;&gt;"",E13*2000,"")</f>
        <v/>
      </c>
      <c r="J13" s="25">
        <f>IF(I13&lt;&gt;"",I13-H13,"")</f>
        <v/>
      </c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24">
        <f>IF(D14&lt;&gt;"",E14-D14,"")</f>
        <v/>
      </c>
      <c r="G14" s="26">
        <f>IF(D14&lt;&gt;0,E14/D14*100,"")</f>
        <v/>
      </c>
      <c r="H14" s="24">
        <f>IF(D14&lt;&gt;"",D14*2000,"")</f>
        <v/>
      </c>
      <c r="I14" s="24">
        <f>IF(E14&lt;&gt;"",E14*2000,"")</f>
        <v/>
      </c>
      <c r="J14" s="24">
        <f>IF(I14&lt;&gt;"",I14-H14,"")</f>
        <v/>
      </c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25">
        <f>IF(D15&lt;&gt;"",E15-D15,"")</f>
        <v/>
      </c>
      <c r="G15" s="27">
        <f>IF(D15&lt;&gt;0,E15/D15*100,"")</f>
        <v/>
      </c>
      <c r="H15" s="25">
        <f>IF(D15&lt;&gt;"",D15*2000,"")</f>
        <v/>
      </c>
      <c r="I15" s="25">
        <f>IF(E15&lt;&gt;"",E15*2000,"")</f>
        <v/>
      </c>
      <c r="J15" s="25">
        <f>IF(I15&lt;&gt;"",I15-H15,"")</f>
        <v/>
      </c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24">
        <f>IF(D16&lt;&gt;"",E16-D16,"")</f>
        <v/>
      </c>
      <c r="G16" s="26">
        <f>IF(D16&lt;&gt;0,E16/D16*100,"")</f>
        <v/>
      </c>
      <c r="H16" s="24">
        <f>IF(D16&lt;&gt;"",D16*2000,"")</f>
        <v/>
      </c>
      <c r="I16" s="24">
        <f>IF(E16&lt;&gt;"",E16*2000,"")</f>
        <v/>
      </c>
      <c r="J16" s="24">
        <f>IF(I16&lt;&gt;"",I16-H16,"")</f>
        <v/>
      </c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25">
        <f>IF(D17&lt;&gt;"",E17-D17,"")</f>
        <v/>
      </c>
      <c r="G17" s="27">
        <f>IF(D17&lt;&gt;0,E17/D17*100,"")</f>
        <v/>
      </c>
      <c r="H17" s="25">
        <f>IF(D17&lt;&gt;"",D17*2000,"")</f>
        <v/>
      </c>
      <c r="I17" s="25">
        <f>IF(E17&lt;&gt;"",E17*2000,"")</f>
        <v/>
      </c>
      <c r="J17" s="25">
        <f>IF(I17&lt;&gt;"",I17-H17,"")</f>
        <v/>
      </c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24">
        <f>IF(D18&lt;&gt;"",E18-D18,"")</f>
        <v/>
      </c>
      <c r="G18" s="26">
        <f>IF(D18&lt;&gt;0,E18/D18*100,"")</f>
        <v/>
      </c>
      <c r="H18" s="24">
        <f>IF(D18&lt;&gt;"",D18*2000,"")</f>
        <v/>
      </c>
      <c r="I18" s="24">
        <f>IF(E18&lt;&gt;"",E18*2000,"")</f>
        <v/>
      </c>
      <c r="J18" s="24">
        <f>IF(I18&lt;&gt;"",I18-H18,"")</f>
        <v/>
      </c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25">
        <f>IF(D19&lt;&gt;"",E19-D19,"")</f>
        <v/>
      </c>
      <c r="G19" s="27">
        <f>IF(D19&lt;&gt;0,E19/D19*100,"")</f>
        <v/>
      </c>
      <c r="H19" s="25">
        <f>IF(D19&lt;&gt;"",D19*2000,"")</f>
        <v/>
      </c>
      <c r="I19" s="25">
        <f>IF(E19&lt;&gt;"",E19*2000,"")</f>
        <v/>
      </c>
      <c r="J19" s="25">
        <f>IF(I19&lt;&gt;"",I19-H19,"")</f>
        <v/>
      </c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24">
        <f>IF(D20&lt;&gt;"",E20-D20,"")</f>
        <v/>
      </c>
      <c r="G20" s="26">
        <f>IF(D20&lt;&gt;0,E20/D20*100,"")</f>
        <v/>
      </c>
      <c r="H20" s="24">
        <f>IF(D20&lt;&gt;"",D20*2000,"")</f>
        <v/>
      </c>
      <c r="I20" s="24">
        <f>IF(E20&lt;&gt;"",E20*2000,"")</f>
        <v/>
      </c>
      <c r="J20" s="24">
        <f>IF(I20&lt;&gt;"",I20-H20,"")</f>
        <v/>
      </c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25">
        <f>IF(D21&lt;&gt;"",E21-D21,"")</f>
        <v/>
      </c>
      <c r="G21" s="27">
        <f>IF(D21&lt;&gt;0,E21/D21*100,"")</f>
        <v/>
      </c>
      <c r="H21" s="25">
        <f>IF(D21&lt;&gt;"",D21*2000,"")</f>
        <v/>
      </c>
      <c r="I21" s="25">
        <f>IF(E21&lt;&gt;"",E21*2000,"")</f>
        <v/>
      </c>
      <c r="J21" s="25">
        <f>IF(I21&lt;&gt;"",I21-H21,"")</f>
        <v/>
      </c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24">
        <f>IF(D22&lt;&gt;"",E22-D22,"")</f>
        <v/>
      </c>
      <c r="G22" s="26">
        <f>IF(D22&lt;&gt;0,E22/D22*100,"")</f>
        <v/>
      </c>
      <c r="H22" s="24">
        <f>IF(D22&lt;&gt;"",D22*2000,"")</f>
        <v/>
      </c>
      <c r="I22" s="24">
        <f>IF(E22&lt;&gt;"",E22*2000,"")</f>
        <v/>
      </c>
      <c r="J22" s="24">
        <f>IF(I22&lt;&gt;"",I22-H22,"")</f>
        <v/>
      </c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25">
        <f>IF(D23&lt;&gt;"",E23-D23,"")</f>
        <v/>
      </c>
      <c r="G23" s="27">
        <f>IF(D23&lt;&gt;0,E23/D23*100,"")</f>
        <v/>
      </c>
      <c r="H23" s="25">
        <f>IF(D23&lt;&gt;"",D23*2000,"")</f>
        <v/>
      </c>
      <c r="I23" s="25">
        <f>IF(E23&lt;&gt;"",E23*2000,"")</f>
        <v/>
      </c>
      <c r="J23" s="25">
        <f>IF(I23&lt;&gt;"",I23-H23,"")</f>
        <v/>
      </c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24">
        <f>IF(D24&lt;&gt;"",E24-D24,"")</f>
        <v/>
      </c>
      <c r="G24" s="26">
        <f>IF(D24&lt;&gt;0,E24/D24*100,"")</f>
        <v/>
      </c>
      <c r="H24" s="24">
        <f>IF(D24&lt;&gt;"",D24*2000,"")</f>
        <v/>
      </c>
      <c r="I24" s="24">
        <f>IF(E24&lt;&gt;"",E24*2000,"")</f>
        <v/>
      </c>
      <c r="J24" s="24">
        <f>IF(I24&lt;&gt;"",I24-H24,"")</f>
        <v/>
      </c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25">
        <f>IF(D25&lt;&gt;"",E25-D25,"")</f>
        <v/>
      </c>
      <c r="G25" s="27">
        <f>IF(D25&lt;&gt;0,E25/D25*100,"")</f>
        <v/>
      </c>
      <c r="H25" s="25">
        <f>IF(D25&lt;&gt;"",D25*2000,"")</f>
        <v/>
      </c>
      <c r="I25" s="25">
        <f>IF(E25&lt;&gt;"",E25*2000,"")</f>
        <v/>
      </c>
      <c r="J25" s="25">
        <f>IF(I25&lt;&gt;"",I25-H25,"")</f>
        <v/>
      </c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24">
        <f>IF(D26&lt;&gt;"",E26-D26,"")</f>
        <v/>
      </c>
      <c r="G26" s="26">
        <f>IF(D26&lt;&gt;0,E26/D26*100,"")</f>
        <v/>
      </c>
      <c r="H26" s="24">
        <f>IF(D26&lt;&gt;"",D26*2000,"")</f>
        <v/>
      </c>
      <c r="I26" s="24">
        <f>IF(E26&lt;&gt;"",E26*2000,"")</f>
        <v/>
      </c>
      <c r="J26" s="24">
        <f>IF(I26&lt;&gt;"",I26-H26,"")</f>
        <v/>
      </c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25">
        <f>IF(D27&lt;&gt;"",E27-D27,"")</f>
        <v/>
      </c>
      <c r="G27" s="27">
        <f>IF(D27&lt;&gt;0,E27/D27*100,"")</f>
        <v/>
      </c>
      <c r="H27" s="25">
        <f>IF(D27&lt;&gt;"",D27*2000,"")</f>
        <v/>
      </c>
      <c r="I27" s="25">
        <f>IF(E27&lt;&gt;"",E27*2000,"")</f>
        <v/>
      </c>
      <c r="J27" s="25">
        <f>IF(I27&lt;&gt;"",I27-H27,"")</f>
        <v/>
      </c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24">
        <f>IF(D28&lt;&gt;"",E28-D28,"")</f>
        <v/>
      </c>
      <c r="G28" s="26">
        <f>IF(D28&lt;&gt;0,E28/D28*100,"")</f>
        <v/>
      </c>
      <c r="H28" s="24">
        <f>IF(D28&lt;&gt;"",D28*2000,"")</f>
        <v/>
      </c>
      <c r="I28" s="24">
        <f>IF(E28&lt;&gt;"",E28*2000,"")</f>
        <v/>
      </c>
      <c r="J28" s="24">
        <f>IF(I28&lt;&gt;"",I28-H28,"")</f>
        <v/>
      </c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25">
        <f>IF(D29&lt;&gt;"",E29-D29,"")</f>
        <v/>
      </c>
      <c r="G29" s="27">
        <f>IF(D29&lt;&gt;0,E29/D29*100,"")</f>
        <v/>
      </c>
      <c r="H29" s="25">
        <f>IF(D29&lt;&gt;"",D29*2000,"")</f>
        <v/>
      </c>
      <c r="I29" s="25">
        <f>IF(E29&lt;&gt;"",E29*2000,"")</f>
        <v/>
      </c>
      <c r="J29" s="25">
        <f>IF(I29&lt;&gt;"",I29-H29,"")</f>
        <v/>
      </c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24">
        <f>IF(D30&lt;&gt;"",E30-D30,"")</f>
        <v/>
      </c>
      <c r="G30" s="26">
        <f>IF(D30&lt;&gt;0,E30/D30*100,"")</f>
        <v/>
      </c>
      <c r="H30" s="24">
        <f>IF(D30&lt;&gt;"",D30*2000,"")</f>
        <v/>
      </c>
      <c r="I30" s="24">
        <f>IF(E30&lt;&gt;"",E30*2000,"")</f>
        <v/>
      </c>
      <c r="J30" s="24">
        <f>IF(I30&lt;&gt;"",I30-H30,"")</f>
        <v/>
      </c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25">
        <f>IF(D31&lt;&gt;"",E31-D31,"")</f>
        <v/>
      </c>
      <c r="G31" s="27">
        <f>IF(D31&lt;&gt;0,E31/D31*100,"")</f>
        <v/>
      </c>
      <c r="H31" s="25">
        <f>IF(D31&lt;&gt;"",D31*2000,"")</f>
        <v/>
      </c>
      <c r="I31" s="25">
        <f>IF(E31&lt;&gt;"",E31*2000,"")</f>
        <v/>
      </c>
      <c r="J31" s="25">
        <f>IF(I31&lt;&gt;"",I31-H31,"")</f>
        <v/>
      </c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24">
        <f>IF(D32&lt;&gt;"",E32-D32,"")</f>
        <v/>
      </c>
      <c r="G32" s="26">
        <f>IF(D32&lt;&gt;0,E32/D32*100,"")</f>
        <v/>
      </c>
      <c r="H32" s="24">
        <f>IF(D32&lt;&gt;"",D32*2000,"")</f>
        <v/>
      </c>
      <c r="I32" s="24">
        <f>IF(E32&lt;&gt;"",E32*2000,"")</f>
        <v/>
      </c>
      <c r="J32" s="24">
        <f>IF(I32&lt;&gt;"",I32-H32,"")</f>
        <v/>
      </c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25">
        <f>IF(D33&lt;&gt;"",E33-D33,"")</f>
        <v/>
      </c>
      <c r="G33" s="27">
        <f>IF(D33&lt;&gt;0,E33/D33*100,"")</f>
        <v/>
      </c>
      <c r="H33" s="25">
        <f>IF(D33&lt;&gt;"",D33*2000,"")</f>
        <v/>
      </c>
      <c r="I33" s="25">
        <f>IF(E33&lt;&gt;"",E33*2000,"")</f>
        <v/>
      </c>
      <c r="J33" s="25">
        <f>IF(I33&lt;&gt;"",I33-H33,"")</f>
        <v/>
      </c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24">
        <f>IF(D34&lt;&gt;"",E34-D34,"")</f>
        <v/>
      </c>
      <c r="G34" s="26">
        <f>IF(D34&lt;&gt;0,E34/D34*100,"")</f>
        <v/>
      </c>
      <c r="H34" s="24">
        <f>IF(D34&lt;&gt;"",D34*2000,"")</f>
        <v/>
      </c>
      <c r="I34" s="24">
        <f>IF(E34&lt;&gt;"",E34*2000,"")</f>
        <v/>
      </c>
      <c r="J34" s="24">
        <f>IF(I34&lt;&gt;"",I34-H34,"")</f>
        <v/>
      </c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25">
        <f>IF(D35&lt;&gt;"",E35-D35,"")</f>
        <v/>
      </c>
      <c r="G35" s="27">
        <f>IF(D35&lt;&gt;0,E35/D35*100,"")</f>
        <v/>
      </c>
      <c r="H35" s="25">
        <f>IF(D35&lt;&gt;"",D35*2000,"")</f>
        <v/>
      </c>
      <c r="I35" s="25">
        <f>IF(E35&lt;&gt;"",E35*2000,"")</f>
        <v/>
      </c>
      <c r="J35" s="25">
        <f>IF(I35&lt;&gt;"",I35-H35,"")</f>
        <v/>
      </c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24">
        <f>IF(D36&lt;&gt;"",E36-D36,"")</f>
        <v/>
      </c>
      <c r="G36" s="26">
        <f>IF(D36&lt;&gt;0,E36/D36*100,"")</f>
        <v/>
      </c>
      <c r="H36" s="24">
        <f>IF(D36&lt;&gt;"",D36*2000,"")</f>
        <v/>
      </c>
      <c r="I36" s="24">
        <f>IF(E36&lt;&gt;"",E36*2000,"")</f>
        <v/>
      </c>
      <c r="J36" s="24">
        <f>IF(I36&lt;&gt;"",I36-H36,"")</f>
        <v/>
      </c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25">
        <f>IF(D37&lt;&gt;"",E37-D37,"")</f>
        <v/>
      </c>
      <c r="G37" s="27">
        <f>IF(D37&lt;&gt;0,E37/D37*100,"")</f>
        <v/>
      </c>
      <c r="H37" s="25">
        <f>IF(D37&lt;&gt;"",D37*2000,"")</f>
        <v/>
      </c>
      <c r="I37" s="25">
        <f>IF(E37&lt;&gt;"",E37*2000,"")</f>
        <v/>
      </c>
      <c r="J37" s="25">
        <f>IF(I37&lt;&gt;"",I37-H37,"")</f>
        <v/>
      </c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24">
        <f>IF(D38&lt;&gt;"",E38-D38,"")</f>
        <v/>
      </c>
      <c r="G38" s="26">
        <f>IF(D38&lt;&gt;0,E38/D38*100,"")</f>
        <v/>
      </c>
      <c r="H38" s="24">
        <f>IF(D38&lt;&gt;"",D38*2000,"")</f>
        <v/>
      </c>
      <c r="I38" s="24">
        <f>IF(E38&lt;&gt;"",E38*2000,"")</f>
        <v/>
      </c>
      <c r="J38" s="24">
        <f>IF(I38&lt;&gt;"",I38-H38,"")</f>
        <v/>
      </c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25">
        <f>IF(D39&lt;&gt;"",E39-D39,"")</f>
        <v/>
      </c>
      <c r="G39" s="27">
        <f>IF(D39&lt;&gt;0,E39/D39*100,"")</f>
        <v/>
      </c>
      <c r="H39" s="25">
        <f>IF(D39&lt;&gt;"",D39*2000,"")</f>
        <v/>
      </c>
      <c r="I39" s="25">
        <f>IF(E39&lt;&gt;"",E39*2000,"")</f>
        <v/>
      </c>
      <c r="J39" s="25">
        <f>IF(I39&lt;&gt;"",I39-H39,"")</f>
        <v/>
      </c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24">
        <f>IF(D40&lt;&gt;"",E40-D40,"")</f>
        <v/>
      </c>
      <c r="G40" s="26">
        <f>IF(D40&lt;&gt;0,E40/D40*100,"")</f>
        <v/>
      </c>
      <c r="H40" s="24">
        <f>IF(D40&lt;&gt;"",D40*2000,"")</f>
        <v/>
      </c>
      <c r="I40" s="24">
        <f>IF(E40&lt;&gt;"",E40*2000,"")</f>
        <v/>
      </c>
      <c r="J40" s="24">
        <f>IF(I40&lt;&gt;"",I40-H40,"")</f>
        <v/>
      </c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25">
        <f>IF(D41&lt;&gt;"",E41-D41,"")</f>
        <v/>
      </c>
      <c r="G41" s="27">
        <f>IF(D41&lt;&gt;0,E41/D41*100,"")</f>
        <v/>
      </c>
      <c r="H41" s="25">
        <f>IF(D41&lt;&gt;"",D41*2000,"")</f>
        <v/>
      </c>
      <c r="I41" s="25">
        <f>IF(E41&lt;&gt;"",E41*2000,"")</f>
        <v/>
      </c>
      <c r="J41" s="25">
        <f>IF(I41&lt;&gt;"",I41-H41,"")</f>
        <v/>
      </c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24">
        <f>IF(D42&lt;&gt;"",E42-D42,"")</f>
        <v/>
      </c>
      <c r="G42" s="26">
        <f>IF(D42&lt;&gt;0,E42/D42*100,"")</f>
        <v/>
      </c>
      <c r="H42" s="24">
        <f>IF(D42&lt;&gt;"",D42*2000,"")</f>
        <v/>
      </c>
      <c r="I42" s="24">
        <f>IF(E42&lt;&gt;"",E42*2000,"")</f>
        <v/>
      </c>
      <c r="J42" s="24">
        <f>IF(I42&lt;&gt;"",I42-H42,"")</f>
        <v/>
      </c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25">
        <f>IF(D43&lt;&gt;"",E43-D43,"")</f>
        <v/>
      </c>
      <c r="G43" s="27">
        <f>IF(D43&lt;&gt;0,E43/D43*100,"")</f>
        <v/>
      </c>
      <c r="H43" s="25">
        <f>IF(D43&lt;&gt;"",D43*2000,"")</f>
        <v/>
      </c>
      <c r="I43" s="25">
        <f>IF(E43&lt;&gt;"",E43*2000,"")</f>
        <v/>
      </c>
      <c r="J43" s="25">
        <f>IF(I43&lt;&gt;"",I43-H43,"")</f>
        <v/>
      </c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24">
        <f>IF(D44&lt;&gt;"",E44-D44,"")</f>
        <v/>
      </c>
      <c r="G44" s="26">
        <f>IF(D44&lt;&gt;0,E44/D44*100,"")</f>
        <v/>
      </c>
      <c r="H44" s="24">
        <f>IF(D44&lt;&gt;"",D44*2000,"")</f>
        <v/>
      </c>
      <c r="I44" s="24">
        <f>IF(E44&lt;&gt;"",E44*2000,"")</f>
        <v/>
      </c>
      <c r="J44" s="24">
        <f>IF(I44&lt;&gt;"",I44-H44,"")</f>
        <v/>
      </c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25">
        <f>IF(D45&lt;&gt;"",E45-D45,"")</f>
        <v/>
      </c>
      <c r="G45" s="27">
        <f>IF(D45&lt;&gt;0,E45/D45*100,"")</f>
        <v/>
      </c>
      <c r="H45" s="25">
        <f>IF(D45&lt;&gt;"",D45*2000,"")</f>
        <v/>
      </c>
      <c r="I45" s="25">
        <f>IF(E45&lt;&gt;"",E45*2000,"")</f>
        <v/>
      </c>
      <c r="J45" s="25">
        <f>IF(I45&lt;&gt;"",I45-H45,"")</f>
        <v/>
      </c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24">
        <f>IF(D46&lt;&gt;"",E46-D46,"")</f>
        <v/>
      </c>
      <c r="G46" s="26">
        <f>IF(D46&lt;&gt;0,E46/D46*100,"")</f>
        <v/>
      </c>
      <c r="H46" s="24">
        <f>IF(D46&lt;&gt;"",D46*2000,"")</f>
        <v/>
      </c>
      <c r="I46" s="24">
        <f>IF(E46&lt;&gt;"",E46*2000,"")</f>
        <v/>
      </c>
      <c r="J46" s="24">
        <f>IF(I46&lt;&gt;"",I46-H46,"")</f>
        <v/>
      </c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25">
        <f>IF(D47&lt;&gt;"",E47-D47,"")</f>
        <v/>
      </c>
      <c r="G47" s="27">
        <f>IF(D47&lt;&gt;0,E47/D47*100,"")</f>
        <v/>
      </c>
      <c r="H47" s="25">
        <f>IF(D47&lt;&gt;"",D47*2000,"")</f>
        <v/>
      </c>
      <c r="I47" s="25">
        <f>IF(E47&lt;&gt;"",E47*2000,"")</f>
        <v/>
      </c>
      <c r="J47" s="25">
        <f>IF(I47&lt;&gt;"",I47-H47,"")</f>
        <v/>
      </c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24">
        <f>IF(D48&lt;&gt;"",E48-D48,"")</f>
        <v/>
      </c>
      <c r="G48" s="26">
        <f>IF(D48&lt;&gt;0,E48/D48*100,"")</f>
        <v/>
      </c>
      <c r="H48" s="24">
        <f>IF(D48&lt;&gt;"",D48*2000,"")</f>
        <v/>
      </c>
      <c r="I48" s="24">
        <f>IF(E48&lt;&gt;"",E48*2000,"")</f>
        <v/>
      </c>
      <c r="J48" s="24">
        <f>IF(I48&lt;&gt;"",I48-H48,"")</f>
        <v/>
      </c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25">
        <f>IF(D49&lt;&gt;"",E49-D49,"")</f>
        <v/>
      </c>
      <c r="G49" s="27">
        <f>IF(D49&lt;&gt;0,E49/D49*100,"")</f>
        <v/>
      </c>
      <c r="H49" s="25">
        <f>IF(D49&lt;&gt;"",D49*2000,"")</f>
        <v/>
      </c>
      <c r="I49" s="25">
        <f>IF(E49&lt;&gt;"",E49*2000,"")</f>
        <v/>
      </c>
      <c r="J49" s="25">
        <f>IF(I49&lt;&gt;"",I49-H49,"")</f>
        <v/>
      </c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24">
        <f>IF(D50&lt;&gt;"",E50-D50,"")</f>
        <v/>
      </c>
      <c r="G50" s="26">
        <f>IF(D50&lt;&gt;0,E50/D50*100,"")</f>
        <v/>
      </c>
      <c r="H50" s="24">
        <f>IF(D50&lt;&gt;"",D50*2000,"")</f>
        <v/>
      </c>
      <c r="I50" s="24">
        <f>IF(E50&lt;&gt;"",E50*2000,"")</f>
        <v/>
      </c>
      <c r="J50" s="24">
        <f>IF(I50&lt;&gt;"",I50-H50,"")</f>
        <v/>
      </c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25">
        <f>IF(D51&lt;&gt;"",E51-D51,"")</f>
        <v/>
      </c>
      <c r="G51" s="27">
        <f>IF(D51&lt;&gt;0,E51/D51*100,"")</f>
        <v/>
      </c>
      <c r="H51" s="25">
        <f>IF(D51&lt;&gt;"",D51*2000,"")</f>
        <v/>
      </c>
      <c r="I51" s="25">
        <f>IF(E51&lt;&gt;"",E51*2000,"")</f>
        <v/>
      </c>
      <c r="J51" s="25">
        <f>IF(I51&lt;&gt;"",I51-H51,"")</f>
        <v/>
      </c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24">
        <f>IF(D52&lt;&gt;"",E52-D52,"")</f>
        <v/>
      </c>
      <c r="G52" s="26">
        <f>IF(D52&lt;&gt;0,E52/D52*100,"")</f>
        <v/>
      </c>
      <c r="H52" s="24">
        <f>IF(D52&lt;&gt;"",D52*2000,"")</f>
        <v/>
      </c>
      <c r="I52" s="24">
        <f>IF(E52&lt;&gt;"",E52*2000,"")</f>
        <v/>
      </c>
      <c r="J52" s="24">
        <f>IF(I52&lt;&gt;"",I52-H52,"")</f>
        <v/>
      </c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25">
        <f>IF(D53&lt;&gt;"",E53-D53,"")</f>
        <v/>
      </c>
      <c r="G53" s="27">
        <f>IF(D53&lt;&gt;0,E53/D53*100,"")</f>
        <v/>
      </c>
      <c r="H53" s="25">
        <f>IF(D53&lt;&gt;"",D53*2000,"")</f>
        <v/>
      </c>
      <c r="I53" s="25">
        <f>IF(E53&lt;&gt;"",E53*2000,"")</f>
        <v/>
      </c>
      <c r="J53" s="25">
        <f>IF(I53&lt;&gt;"",I53-H53,"")</f>
        <v/>
      </c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24">
        <f>IF(D54&lt;&gt;"",E54-D54,"")</f>
        <v/>
      </c>
      <c r="G54" s="26">
        <f>IF(D54&lt;&gt;0,E54/D54*100,"")</f>
        <v/>
      </c>
      <c r="H54" s="24">
        <f>IF(D54&lt;&gt;"",D54*2000,"")</f>
        <v/>
      </c>
      <c r="I54" s="24">
        <f>IF(E54&lt;&gt;"",E54*2000,"")</f>
        <v/>
      </c>
      <c r="J54" s="24">
        <f>IF(I54&lt;&gt;"",I54-H54,"")</f>
        <v/>
      </c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25">
        <f>IF(D55&lt;&gt;"",E55-D55,"")</f>
        <v/>
      </c>
      <c r="G55" s="27">
        <f>IF(D55&lt;&gt;0,E55/D55*100,"")</f>
        <v/>
      </c>
      <c r="H55" s="25">
        <f>IF(D55&lt;&gt;"",D55*2000,"")</f>
        <v/>
      </c>
      <c r="I55" s="25">
        <f>IF(E55&lt;&gt;"",E55*2000,"")</f>
        <v/>
      </c>
      <c r="J55" s="25">
        <f>IF(I55&lt;&gt;"",I55-H55,"")</f>
        <v/>
      </c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24">
        <f>IF(D56&lt;&gt;"",E56-D56,"")</f>
        <v/>
      </c>
      <c r="G56" s="26">
        <f>IF(D56&lt;&gt;0,E56/D56*100,"")</f>
        <v/>
      </c>
      <c r="H56" s="24">
        <f>IF(D56&lt;&gt;"",D56*2000,"")</f>
        <v/>
      </c>
      <c r="I56" s="24">
        <f>IF(E56&lt;&gt;"",E56*2000,"")</f>
        <v/>
      </c>
      <c r="J56" s="24">
        <f>IF(I56&lt;&gt;"",I56-H56,"")</f>
        <v/>
      </c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25">
        <f>IF(D57&lt;&gt;"",E57-D57,"")</f>
        <v/>
      </c>
      <c r="G57" s="27">
        <f>IF(D57&lt;&gt;0,E57/D57*100,"")</f>
        <v/>
      </c>
      <c r="H57" s="25">
        <f>IF(D57&lt;&gt;"",D57*2000,"")</f>
        <v/>
      </c>
      <c r="I57" s="25">
        <f>IF(E57&lt;&gt;"",E57*2000,"")</f>
        <v/>
      </c>
      <c r="J57" s="25">
        <f>IF(I57&lt;&gt;"",I57-H57,"")</f>
        <v/>
      </c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24">
        <f>IF(D58&lt;&gt;"",E58-D58,"")</f>
        <v/>
      </c>
      <c r="G58" s="26">
        <f>IF(D58&lt;&gt;0,E58/D58*100,"")</f>
        <v/>
      </c>
      <c r="H58" s="24">
        <f>IF(D58&lt;&gt;"",D58*2000,"")</f>
        <v/>
      </c>
      <c r="I58" s="24">
        <f>IF(E58&lt;&gt;"",E58*2000,"")</f>
        <v/>
      </c>
      <c r="J58" s="24">
        <f>IF(I58&lt;&gt;"",I58-H58,"")</f>
        <v/>
      </c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25">
        <f>IF(D59&lt;&gt;"",E59-D59,"")</f>
        <v/>
      </c>
      <c r="G59" s="27">
        <f>IF(D59&lt;&gt;0,E59/D59*100,"")</f>
        <v/>
      </c>
      <c r="H59" s="25">
        <f>IF(D59&lt;&gt;"",D59*2000,"")</f>
        <v/>
      </c>
      <c r="I59" s="25">
        <f>IF(E59&lt;&gt;"",E59*2000,"")</f>
        <v/>
      </c>
      <c r="J59" s="25">
        <f>IF(I59&lt;&gt;"",I59-H59,"")</f>
        <v/>
      </c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24">
        <f>IF(D60&lt;&gt;"",E60-D60,"")</f>
        <v/>
      </c>
      <c r="G60" s="26">
        <f>IF(D60&lt;&gt;0,E60/D60*100,"")</f>
        <v/>
      </c>
      <c r="H60" s="24">
        <f>IF(D60&lt;&gt;"",D60*2000,"")</f>
        <v/>
      </c>
      <c r="I60" s="24">
        <f>IF(E60&lt;&gt;"",E60*2000,"")</f>
        <v/>
      </c>
      <c r="J60" s="24">
        <f>IF(I60&lt;&gt;"",I60-H60,"")</f>
        <v/>
      </c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25">
        <f>IF(D61&lt;&gt;"",E61-D61,"")</f>
        <v/>
      </c>
      <c r="G61" s="27">
        <f>IF(D61&lt;&gt;0,E61/D61*100,"")</f>
        <v/>
      </c>
      <c r="H61" s="25">
        <f>IF(D61&lt;&gt;"",D61*2000,"")</f>
        <v/>
      </c>
      <c r="I61" s="25">
        <f>IF(E61&lt;&gt;"",E61*2000,"")</f>
        <v/>
      </c>
      <c r="J61" s="25">
        <f>IF(I61&lt;&gt;"",I61-H61,"")</f>
        <v/>
      </c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24">
        <f>IF(D62&lt;&gt;"",E62-D62,"")</f>
        <v/>
      </c>
      <c r="G62" s="26">
        <f>IF(D62&lt;&gt;0,E62/D62*100,"")</f>
        <v/>
      </c>
      <c r="H62" s="24">
        <f>IF(D62&lt;&gt;"",D62*2000,"")</f>
        <v/>
      </c>
      <c r="I62" s="24">
        <f>IF(E62&lt;&gt;"",E62*2000,"")</f>
        <v/>
      </c>
      <c r="J62" s="24">
        <f>IF(I62&lt;&gt;"",I62-H62,"")</f>
        <v/>
      </c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25">
        <f>IF(D63&lt;&gt;"",E63-D63,"")</f>
        <v/>
      </c>
      <c r="G63" s="27">
        <f>IF(D63&lt;&gt;0,E63/D63*100,"")</f>
        <v/>
      </c>
      <c r="H63" s="25">
        <f>IF(D63&lt;&gt;"",D63*2000,"")</f>
        <v/>
      </c>
      <c r="I63" s="25">
        <f>IF(E63&lt;&gt;"",E63*2000,"")</f>
        <v/>
      </c>
      <c r="J63" s="25">
        <f>IF(I63&lt;&gt;"",I63-H63,"")</f>
        <v/>
      </c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24">
        <f>IF(D64&lt;&gt;"",E64-D64,"")</f>
        <v/>
      </c>
      <c r="G64" s="26">
        <f>IF(D64&lt;&gt;0,E64/D64*100,"")</f>
        <v/>
      </c>
      <c r="H64" s="24">
        <f>IF(D64&lt;&gt;"",D64*2000,"")</f>
        <v/>
      </c>
      <c r="I64" s="24">
        <f>IF(E64&lt;&gt;"",E64*2000,"")</f>
        <v/>
      </c>
      <c r="J64" s="24">
        <f>IF(I64&lt;&gt;"",I64-H64,"")</f>
        <v/>
      </c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25">
        <f>IF(D65&lt;&gt;"",E65-D65,"")</f>
        <v/>
      </c>
      <c r="G65" s="27">
        <f>IF(D65&lt;&gt;0,E65/D65*100,"")</f>
        <v/>
      </c>
      <c r="H65" s="25">
        <f>IF(D65&lt;&gt;"",D65*2000,"")</f>
        <v/>
      </c>
      <c r="I65" s="25">
        <f>IF(E65&lt;&gt;"",E65*2000,"")</f>
        <v/>
      </c>
      <c r="J65" s="25">
        <f>IF(I65&lt;&gt;"",I65-H65,"")</f>
        <v/>
      </c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24">
        <f>IF(D66&lt;&gt;"",E66-D66,"")</f>
        <v/>
      </c>
      <c r="G66" s="26">
        <f>IF(D66&lt;&gt;0,E66/D66*100,"")</f>
        <v/>
      </c>
      <c r="H66" s="24">
        <f>IF(D66&lt;&gt;"",D66*2000,"")</f>
        <v/>
      </c>
      <c r="I66" s="24">
        <f>IF(E66&lt;&gt;"",E66*2000,"")</f>
        <v/>
      </c>
      <c r="J66" s="24">
        <f>IF(I66&lt;&gt;"",I66-H66,"")</f>
        <v/>
      </c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25">
        <f>IF(D67&lt;&gt;"",E67-D67,"")</f>
        <v/>
      </c>
      <c r="G67" s="27">
        <f>IF(D67&lt;&gt;0,E67/D67*100,"")</f>
        <v/>
      </c>
      <c r="H67" s="25">
        <f>IF(D67&lt;&gt;"",D67*2000,"")</f>
        <v/>
      </c>
      <c r="I67" s="25">
        <f>IF(E67&lt;&gt;"",E67*2000,"")</f>
        <v/>
      </c>
      <c r="J67" s="25">
        <f>IF(I67&lt;&gt;"",I67-H67,"")</f>
        <v/>
      </c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24">
        <f>IF(D68&lt;&gt;"",E68-D68,"")</f>
        <v/>
      </c>
      <c r="G68" s="26">
        <f>IF(D68&lt;&gt;0,E68/D68*100,"")</f>
        <v/>
      </c>
      <c r="H68" s="24">
        <f>IF(D68&lt;&gt;"",D68*2000,"")</f>
        <v/>
      </c>
      <c r="I68" s="24">
        <f>IF(E68&lt;&gt;"",E68*2000,"")</f>
        <v/>
      </c>
      <c r="J68" s="24">
        <f>IF(I68&lt;&gt;"",I68-H68,"")</f>
        <v/>
      </c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25">
        <f>IF(D69&lt;&gt;"",E69-D69,"")</f>
        <v/>
      </c>
      <c r="G69" s="27">
        <f>IF(D69&lt;&gt;0,E69/D69*100,"")</f>
        <v/>
      </c>
      <c r="H69" s="25">
        <f>IF(D69&lt;&gt;"",D69*2000,"")</f>
        <v/>
      </c>
      <c r="I69" s="25">
        <f>IF(E69&lt;&gt;"",E69*2000,"")</f>
        <v/>
      </c>
      <c r="J69" s="25">
        <f>IF(I69&lt;&gt;"",I69-H69,"")</f>
        <v/>
      </c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24">
        <f>IF(D70&lt;&gt;"",E70-D70,"")</f>
        <v/>
      </c>
      <c r="G70" s="26">
        <f>IF(D70&lt;&gt;0,E70/D70*100,"")</f>
        <v/>
      </c>
      <c r="H70" s="24">
        <f>IF(D70&lt;&gt;"",D70*2000,"")</f>
        <v/>
      </c>
      <c r="I70" s="24">
        <f>IF(E70&lt;&gt;"",E70*2000,"")</f>
        <v/>
      </c>
      <c r="J70" s="24">
        <f>IF(I70&lt;&gt;"",I70-H70,"")</f>
        <v/>
      </c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25">
        <f>IF(D71&lt;&gt;"",E71-D71,"")</f>
        <v/>
      </c>
      <c r="G71" s="27">
        <f>IF(D71&lt;&gt;0,E71/D71*100,"")</f>
        <v/>
      </c>
      <c r="H71" s="25">
        <f>IF(D71&lt;&gt;"",D71*2000,"")</f>
        <v/>
      </c>
      <c r="I71" s="25">
        <f>IF(E71&lt;&gt;"",E71*2000,"")</f>
        <v/>
      </c>
      <c r="J71" s="25">
        <f>IF(I71&lt;&gt;"",I71-H71,"")</f>
        <v/>
      </c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24">
        <f>IF(D72&lt;&gt;"",E72-D72,"")</f>
        <v/>
      </c>
      <c r="G72" s="26">
        <f>IF(D72&lt;&gt;0,E72/D72*100,"")</f>
        <v/>
      </c>
      <c r="H72" s="24">
        <f>IF(D72&lt;&gt;"",D72*2000,"")</f>
        <v/>
      </c>
      <c r="I72" s="24">
        <f>IF(E72&lt;&gt;"",E72*2000,"")</f>
        <v/>
      </c>
      <c r="J72" s="24">
        <f>IF(I72&lt;&gt;"",I72-H72,"")</f>
        <v/>
      </c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25">
        <f>IF(D73&lt;&gt;"",E73-D73,"")</f>
        <v/>
      </c>
      <c r="G73" s="27">
        <f>IF(D73&lt;&gt;0,E73/D73*100,"")</f>
        <v/>
      </c>
      <c r="H73" s="25">
        <f>IF(D73&lt;&gt;"",D73*2000,"")</f>
        <v/>
      </c>
      <c r="I73" s="25">
        <f>IF(E73&lt;&gt;"",E73*2000,"")</f>
        <v/>
      </c>
      <c r="J73" s="25">
        <f>IF(I73&lt;&gt;"",I73-H73,"")</f>
        <v/>
      </c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24">
        <f>IF(D74&lt;&gt;"",E74-D74,"")</f>
        <v/>
      </c>
      <c r="G74" s="26">
        <f>IF(D74&lt;&gt;0,E74/D74*100,"")</f>
        <v/>
      </c>
      <c r="H74" s="24">
        <f>IF(D74&lt;&gt;"",D74*2000,"")</f>
        <v/>
      </c>
      <c r="I74" s="24">
        <f>IF(E74&lt;&gt;"",E74*2000,"")</f>
        <v/>
      </c>
      <c r="J74" s="24">
        <f>IF(I74&lt;&gt;"",I74-H74,"")</f>
        <v/>
      </c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25">
        <f>IF(D75&lt;&gt;"",E75-D75,"")</f>
        <v/>
      </c>
      <c r="G75" s="27">
        <f>IF(D75&lt;&gt;0,E75/D75*100,"")</f>
        <v/>
      </c>
      <c r="H75" s="25">
        <f>IF(D75&lt;&gt;"",D75*2000,"")</f>
        <v/>
      </c>
      <c r="I75" s="25">
        <f>IF(E75&lt;&gt;"",E75*2000,"")</f>
        <v/>
      </c>
      <c r="J75" s="25">
        <f>IF(I75&lt;&gt;"",I75-H75,"")</f>
        <v/>
      </c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24">
        <f>IF(D76&lt;&gt;"",E76-D76,"")</f>
        <v/>
      </c>
      <c r="G76" s="26">
        <f>IF(D76&lt;&gt;0,E76/D76*100,"")</f>
        <v/>
      </c>
      <c r="H76" s="24">
        <f>IF(D76&lt;&gt;"",D76*2000,"")</f>
        <v/>
      </c>
      <c r="I76" s="24">
        <f>IF(E76&lt;&gt;"",E76*2000,"")</f>
        <v/>
      </c>
      <c r="J76" s="24">
        <f>IF(I76&lt;&gt;"",I76-H76,"")</f>
        <v/>
      </c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25">
        <f>IF(D77&lt;&gt;"",E77-D77,"")</f>
        <v/>
      </c>
      <c r="G77" s="27">
        <f>IF(D77&lt;&gt;0,E77/D77*100,"")</f>
        <v/>
      </c>
      <c r="H77" s="25">
        <f>IF(D77&lt;&gt;"",D77*2000,"")</f>
        <v/>
      </c>
      <c r="I77" s="25">
        <f>IF(E77&lt;&gt;"",E77*2000,"")</f>
        <v/>
      </c>
      <c r="J77" s="25">
        <f>IF(I77&lt;&gt;"",I77-H77,"")</f>
        <v/>
      </c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24">
        <f>IF(D78&lt;&gt;"",E78-D78,"")</f>
        <v/>
      </c>
      <c r="G78" s="26">
        <f>IF(D78&lt;&gt;0,E78/D78*100,"")</f>
        <v/>
      </c>
      <c r="H78" s="24">
        <f>IF(D78&lt;&gt;"",D78*2000,"")</f>
        <v/>
      </c>
      <c r="I78" s="24">
        <f>IF(E78&lt;&gt;"",E78*2000,"")</f>
        <v/>
      </c>
      <c r="J78" s="24">
        <f>IF(I78&lt;&gt;"",I78-H78,"")</f>
        <v/>
      </c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25">
        <f>IF(D79&lt;&gt;"",E79-D79,"")</f>
        <v/>
      </c>
      <c r="G79" s="27">
        <f>IF(D79&lt;&gt;0,E79/D79*100,"")</f>
        <v/>
      </c>
      <c r="H79" s="25">
        <f>IF(D79&lt;&gt;"",D79*2000,"")</f>
        <v/>
      </c>
      <c r="I79" s="25">
        <f>IF(E79&lt;&gt;"",E79*2000,"")</f>
        <v/>
      </c>
      <c r="J79" s="25">
        <f>IF(I79&lt;&gt;"",I79-H79,"")</f>
        <v/>
      </c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24">
        <f>IF(D80&lt;&gt;"",E80-D80,"")</f>
        <v/>
      </c>
      <c r="G80" s="26">
        <f>IF(D80&lt;&gt;0,E80/D80*100,"")</f>
        <v/>
      </c>
      <c r="H80" s="24">
        <f>IF(D80&lt;&gt;"",D80*2000,"")</f>
        <v/>
      </c>
      <c r="I80" s="24">
        <f>IF(E80&lt;&gt;"",E80*2000,"")</f>
        <v/>
      </c>
      <c r="J80" s="24">
        <f>IF(I80&lt;&gt;"",I80-H80,"")</f>
        <v/>
      </c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25">
        <f>IF(D81&lt;&gt;"",E81-D81,"")</f>
        <v/>
      </c>
      <c r="G81" s="27">
        <f>IF(D81&lt;&gt;0,E81/D81*100,"")</f>
        <v/>
      </c>
      <c r="H81" s="25">
        <f>IF(D81&lt;&gt;"",D81*2000,"")</f>
        <v/>
      </c>
      <c r="I81" s="25">
        <f>IF(E81&lt;&gt;"",E81*2000,"")</f>
        <v/>
      </c>
      <c r="J81" s="25">
        <f>IF(I81&lt;&gt;"",I81-H81,"")</f>
        <v/>
      </c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24">
        <f>IF(D82&lt;&gt;"",E82-D82,"")</f>
        <v/>
      </c>
      <c r="G82" s="26">
        <f>IF(D82&lt;&gt;0,E82/D82*100,"")</f>
        <v/>
      </c>
      <c r="H82" s="24">
        <f>IF(D82&lt;&gt;"",D82*2000,"")</f>
        <v/>
      </c>
      <c r="I82" s="24">
        <f>IF(E82&lt;&gt;"",E82*2000,"")</f>
        <v/>
      </c>
      <c r="J82" s="24">
        <f>IF(I82&lt;&gt;"",I82-H82,"")</f>
        <v/>
      </c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25">
        <f>IF(D83&lt;&gt;"",E83-D83,"")</f>
        <v/>
      </c>
      <c r="G83" s="27">
        <f>IF(D83&lt;&gt;0,E83/D83*100,"")</f>
        <v/>
      </c>
      <c r="H83" s="25">
        <f>IF(D83&lt;&gt;"",D83*2000,"")</f>
        <v/>
      </c>
      <c r="I83" s="25">
        <f>IF(E83&lt;&gt;"",E83*2000,"")</f>
        <v/>
      </c>
      <c r="J83" s="25">
        <f>IF(I83&lt;&gt;"",I83-H83,"")</f>
        <v/>
      </c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24">
        <f>IF(D84&lt;&gt;"",E84-D84,"")</f>
        <v/>
      </c>
      <c r="G84" s="26">
        <f>IF(D84&lt;&gt;0,E84/D84*100,"")</f>
        <v/>
      </c>
      <c r="H84" s="24">
        <f>IF(D84&lt;&gt;"",D84*2000,"")</f>
        <v/>
      </c>
      <c r="I84" s="24">
        <f>IF(E84&lt;&gt;"",E84*2000,"")</f>
        <v/>
      </c>
      <c r="J84" s="24">
        <f>IF(I84&lt;&gt;"",I84-H84,"")</f>
        <v/>
      </c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25">
        <f>IF(D85&lt;&gt;"",E85-D85,"")</f>
        <v/>
      </c>
      <c r="G85" s="27">
        <f>IF(D85&lt;&gt;0,E85/D85*100,"")</f>
        <v/>
      </c>
      <c r="H85" s="25">
        <f>IF(D85&lt;&gt;"",D85*2000,"")</f>
        <v/>
      </c>
      <c r="I85" s="25">
        <f>IF(E85&lt;&gt;"",E85*2000,"")</f>
        <v/>
      </c>
      <c r="J85" s="25">
        <f>IF(I85&lt;&gt;"",I85-H85,"")</f>
        <v/>
      </c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24">
        <f>IF(D86&lt;&gt;"",E86-D86,"")</f>
        <v/>
      </c>
      <c r="G86" s="26">
        <f>IF(D86&lt;&gt;0,E86/D86*100,"")</f>
        <v/>
      </c>
      <c r="H86" s="24">
        <f>IF(D86&lt;&gt;"",D86*2000,"")</f>
        <v/>
      </c>
      <c r="I86" s="24">
        <f>IF(E86&lt;&gt;"",E86*2000,"")</f>
        <v/>
      </c>
      <c r="J86" s="24">
        <f>IF(I86&lt;&gt;"",I86-H86,"")</f>
        <v/>
      </c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25">
        <f>IF(D87&lt;&gt;"",E87-D87,"")</f>
        <v/>
      </c>
      <c r="G87" s="27">
        <f>IF(D87&lt;&gt;0,E87/D87*100,"")</f>
        <v/>
      </c>
      <c r="H87" s="25">
        <f>IF(D87&lt;&gt;"",D87*2000,"")</f>
        <v/>
      </c>
      <c r="I87" s="25">
        <f>IF(E87&lt;&gt;"",E87*2000,"")</f>
        <v/>
      </c>
      <c r="J87" s="25">
        <f>IF(I87&lt;&gt;"",I87-H87,"")</f>
        <v/>
      </c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24">
        <f>IF(D88&lt;&gt;"",E88-D88,"")</f>
        <v/>
      </c>
      <c r="G88" s="26">
        <f>IF(D88&lt;&gt;0,E88/D88*100,"")</f>
        <v/>
      </c>
      <c r="H88" s="24">
        <f>IF(D88&lt;&gt;"",D88*2000,"")</f>
        <v/>
      </c>
      <c r="I88" s="24">
        <f>IF(E88&lt;&gt;"",E88*2000,"")</f>
        <v/>
      </c>
      <c r="J88" s="24">
        <f>IF(I88&lt;&gt;"",I88-H88,"")</f>
        <v/>
      </c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25">
        <f>IF(D89&lt;&gt;"",E89-D89,"")</f>
        <v/>
      </c>
      <c r="G89" s="27">
        <f>IF(D89&lt;&gt;0,E89/D89*100,"")</f>
        <v/>
      </c>
      <c r="H89" s="25">
        <f>IF(D89&lt;&gt;"",D89*2000,"")</f>
        <v/>
      </c>
      <c r="I89" s="25">
        <f>IF(E89&lt;&gt;"",E89*2000,"")</f>
        <v/>
      </c>
      <c r="J89" s="25">
        <f>IF(I89&lt;&gt;"",I89-H89,"")</f>
        <v/>
      </c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24">
        <f>IF(D90&lt;&gt;"",E90-D90,"")</f>
        <v/>
      </c>
      <c r="G90" s="26">
        <f>IF(D90&lt;&gt;0,E90/D90*100,"")</f>
        <v/>
      </c>
      <c r="H90" s="24">
        <f>IF(D90&lt;&gt;"",D90*2000,"")</f>
        <v/>
      </c>
      <c r="I90" s="24">
        <f>IF(E90&lt;&gt;"",E90*2000,"")</f>
        <v/>
      </c>
      <c r="J90" s="24">
        <f>IF(I90&lt;&gt;"",I90-H90,"")</f>
        <v/>
      </c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25">
        <f>IF(D91&lt;&gt;"",E91-D91,"")</f>
        <v/>
      </c>
      <c r="G91" s="27">
        <f>IF(D91&lt;&gt;0,E91/D91*100,"")</f>
        <v/>
      </c>
      <c r="H91" s="25">
        <f>IF(D91&lt;&gt;"",D91*2000,"")</f>
        <v/>
      </c>
      <c r="I91" s="25">
        <f>IF(E91&lt;&gt;"",E91*2000,"")</f>
        <v/>
      </c>
      <c r="J91" s="25">
        <f>IF(I91&lt;&gt;"",I91-H91,"")</f>
        <v/>
      </c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24">
        <f>IF(D92&lt;&gt;"",E92-D92,"")</f>
        <v/>
      </c>
      <c r="G92" s="26">
        <f>IF(D92&lt;&gt;0,E92/D92*100,"")</f>
        <v/>
      </c>
      <c r="H92" s="24">
        <f>IF(D92&lt;&gt;"",D92*2000,"")</f>
        <v/>
      </c>
      <c r="I92" s="24">
        <f>IF(E92&lt;&gt;"",E92*2000,"")</f>
        <v/>
      </c>
      <c r="J92" s="24">
        <f>IF(I92&lt;&gt;"",I92-H92,"")</f>
        <v/>
      </c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25">
        <f>IF(D93&lt;&gt;"",E93-D93,"")</f>
        <v/>
      </c>
      <c r="G93" s="27">
        <f>IF(D93&lt;&gt;0,E93/D93*100,"")</f>
        <v/>
      </c>
      <c r="H93" s="25">
        <f>IF(D93&lt;&gt;"",D93*2000,"")</f>
        <v/>
      </c>
      <c r="I93" s="25">
        <f>IF(E93&lt;&gt;"",E93*2000,"")</f>
        <v/>
      </c>
      <c r="J93" s="25">
        <f>IF(I93&lt;&gt;"",I93-H93,"")</f>
        <v/>
      </c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24">
        <f>IF(D94&lt;&gt;"",E94-D94,"")</f>
        <v/>
      </c>
      <c r="G94" s="26">
        <f>IF(D94&lt;&gt;0,E94/D94*100,"")</f>
        <v/>
      </c>
      <c r="H94" s="24">
        <f>IF(D94&lt;&gt;"",D94*2000,"")</f>
        <v/>
      </c>
      <c r="I94" s="24">
        <f>IF(E94&lt;&gt;"",E94*2000,"")</f>
        <v/>
      </c>
      <c r="J94" s="24">
        <f>IF(I94&lt;&gt;"",I94-H94,"")</f>
        <v/>
      </c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25">
        <f>IF(D95&lt;&gt;"",E95-D95,"")</f>
        <v/>
      </c>
      <c r="G95" s="27">
        <f>IF(D95&lt;&gt;0,E95/D95*100,"")</f>
        <v/>
      </c>
      <c r="H95" s="25">
        <f>IF(D95&lt;&gt;"",D95*2000,"")</f>
        <v/>
      </c>
      <c r="I95" s="25">
        <f>IF(E95&lt;&gt;"",E95*2000,"")</f>
        <v/>
      </c>
      <c r="J95" s="25">
        <f>IF(I95&lt;&gt;"",I95-H95,"")</f>
        <v/>
      </c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24">
        <f>IF(D96&lt;&gt;"",E96-D96,"")</f>
        <v/>
      </c>
      <c r="G96" s="26">
        <f>IF(D96&lt;&gt;0,E96/D96*100,"")</f>
        <v/>
      </c>
      <c r="H96" s="24">
        <f>IF(D96&lt;&gt;"",D96*2000,"")</f>
        <v/>
      </c>
      <c r="I96" s="24">
        <f>IF(E96&lt;&gt;"",E96*2000,"")</f>
        <v/>
      </c>
      <c r="J96" s="24">
        <f>IF(I96&lt;&gt;"",I96-H96,"")</f>
        <v/>
      </c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25">
        <f>IF(D97&lt;&gt;"",E97-D97,"")</f>
        <v/>
      </c>
      <c r="G97" s="27">
        <f>IF(D97&lt;&gt;0,E97/D97*100,"")</f>
        <v/>
      </c>
      <c r="H97" s="25">
        <f>IF(D97&lt;&gt;"",D97*2000,"")</f>
        <v/>
      </c>
      <c r="I97" s="25">
        <f>IF(E97&lt;&gt;"",E97*2000,"")</f>
        <v/>
      </c>
      <c r="J97" s="25">
        <f>IF(I97&lt;&gt;"",I97-H97,"")</f>
        <v/>
      </c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24">
        <f>IF(D98&lt;&gt;"",E98-D98,"")</f>
        <v/>
      </c>
      <c r="G98" s="26">
        <f>IF(D98&lt;&gt;0,E98/D98*100,"")</f>
        <v/>
      </c>
      <c r="H98" s="24">
        <f>IF(D98&lt;&gt;"",D98*2000,"")</f>
        <v/>
      </c>
      <c r="I98" s="24">
        <f>IF(E98&lt;&gt;"",E98*2000,"")</f>
        <v/>
      </c>
      <c r="J98" s="24">
        <f>IF(I98&lt;&gt;"",I98-H98,"")</f>
        <v/>
      </c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25">
        <f>IF(D99&lt;&gt;"",E99-D99,"")</f>
        <v/>
      </c>
      <c r="G99" s="27">
        <f>IF(D99&lt;&gt;0,E99/D99*100,"")</f>
        <v/>
      </c>
      <c r="H99" s="25">
        <f>IF(D99&lt;&gt;"",D99*2000,"")</f>
        <v/>
      </c>
      <c r="I99" s="25">
        <f>IF(E99&lt;&gt;"",E99*2000,"")</f>
        <v/>
      </c>
      <c r="J99" s="25">
        <f>IF(I99&lt;&gt;"",I99-H99,"")</f>
        <v/>
      </c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24">
        <f>IF(D100&lt;&gt;"",E100-D100,"")</f>
        <v/>
      </c>
      <c r="G100" s="26">
        <f>IF(D100&lt;&gt;0,E100/D100*100,"")</f>
        <v/>
      </c>
      <c r="H100" s="24">
        <f>IF(D100&lt;&gt;"",D100*2000,"")</f>
        <v/>
      </c>
      <c r="I100" s="24">
        <f>IF(E100&lt;&gt;"",E100*2000,"")</f>
        <v/>
      </c>
      <c r="J100" s="24">
        <f>IF(I100&lt;&gt;"",I100-H100,"")</f>
        <v/>
      </c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25">
        <f>IF(D101&lt;&gt;"",E101-D101,"")</f>
        <v/>
      </c>
      <c r="G101" s="27">
        <f>IF(D101&lt;&gt;0,E101/D101*100,"")</f>
        <v/>
      </c>
      <c r="H101" s="25">
        <f>IF(D101&lt;&gt;"",D101*2000,"")</f>
        <v/>
      </c>
      <c r="I101" s="25">
        <f>IF(E101&lt;&gt;"",E101*2000,"")</f>
        <v/>
      </c>
      <c r="J101" s="25">
        <f>IF(I101&lt;&gt;"",I101-H101,"")</f>
        <v/>
      </c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24">
        <f>IF(D102&lt;&gt;"",E102-D102,"")</f>
        <v/>
      </c>
      <c r="G102" s="26">
        <f>IF(D102&lt;&gt;0,E102/D102*100,"")</f>
        <v/>
      </c>
      <c r="H102" s="24">
        <f>IF(D102&lt;&gt;"",D102*2000,"")</f>
        <v/>
      </c>
      <c r="I102" s="24">
        <f>IF(E102&lt;&gt;"",E102*2000,"")</f>
        <v/>
      </c>
      <c r="J102" s="24">
        <f>IF(I102&lt;&gt;"",I102-H102,"")</f>
        <v/>
      </c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25">
        <f>IF(D103&lt;&gt;"",E103-D103,"")</f>
        <v/>
      </c>
      <c r="G103" s="27">
        <f>IF(D103&lt;&gt;0,E103/D103*100,"")</f>
        <v/>
      </c>
      <c r="H103" s="25">
        <f>IF(D103&lt;&gt;"",D103*2000,"")</f>
        <v/>
      </c>
      <c r="I103" s="25">
        <f>IF(E103&lt;&gt;"",E103*2000,"")</f>
        <v/>
      </c>
      <c r="J103" s="25">
        <f>IF(I103&lt;&gt;"",I103-H103,"")</f>
        <v/>
      </c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24">
        <f>IF(D104&lt;&gt;"",E104-D104,"")</f>
        <v/>
      </c>
      <c r="G104" s="26">
        <f>IF(D104&lt;&gt;0,E104/D104*100,"")</f>
        <v/>
      </c>
      <c r="H104" s="24">
        <f>IF(D104&lt;&gt;"",D104*2000,"")</f>
        <v/>
      </c>
      <c r="I104" s="24">
        <f>IF(E104&lt;&gt;"",E104*2000,"")</f>
        <v/>
      </c>
      <c r="J104" s="24">
        <f>IF(I104&lt;&gt;"",I104-H104,"")</f>
        <v/>
      </c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25">
        <f>IF(D105&lt;&gt;"",E105-D105,"")</f>
        <v/>
      </c>
      <c r="G105" s="27">
        <f>IF(D105&lt;&gt;0,E105/D105*100,"")</f>
        <v/>
      </c>
      <c r="H105" s="25">
        <f>IF(D105&lt;&gt;"",D105*2000,"")</f>
        <v/>
      </c>
      <c r="I105" s="25">
        <f>IF(E105&lt;&gt;"",E105*2000,"")</f>
        <v/>
      </c>
      <c r="J105" s="25">
        <f>IF(I105&lt;&gt;"",I105-H105,"")</f>
        <v/>
      </c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24">
        <f>IF(D106&lt;&gt;"",E106-D106,"")</f>
        <v/>
      </c>
      <c r="G106" s="26">
        <f>IF(D106&lt;&gt;0,E106/D106*100,"")</f>
        <v/>
      </c>
      <c r="H106" s="24">
        <f>IF(D106&lt;&gt;"",D106*2000,"")</f>
        <v/>
      </c>
      <c r="I106" s="24">
        <f>IF(E106&lt;&gt;"",E106*2000,"")</f>
        <v/>
      </c>
      <c r="J106" s="24">
        <f>IF(I106&lt;&gt;"",I106-H106,"")</f>
        <v/>
      </c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25">
        <f>IF(D107&lt;&gt;"",E107-D107,"")</f>
        <v/>
      </c>
      <c r="G107" s="27">
        <f>IF(D107&lt;&gt;0,E107/D107*100,"")</f>
        <v/>
      </c>
      <c r="H107" s="25">
        <f>IF(D107&lt;&gt;"",D107*2000,"")</f>
        <v/>
      </c>
      <c r="I107" s="25">
        <f>IF(E107&lt;&gt;"",E107*2000,"")</f>
        <v/>
      </c>
      <c r="J107" s="25">
        <f>IF(I107&lt;&gt;"",I107-H107,"")</f>
        <v/>
      </c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24">
        <f>IF(D108&lt;&gt;"",E108-D108,"")</f>
        <v/>
      </c>
      <c r="G108" s="26">
        <f>IF(D108&lt;&gt;0,E108/D108*100,"")</f>
        <v/>
      </c>
      <c r="H108" s="24">
        <f>IF(D108&lt;&gt;"",D108*2000,"")</f>
        <v/>
      </c>
      <c r="I108" s="24">
        <f>IF(E108&lt;&gt;"",E108*2000,"")</f>
        <v/>
      </c>
      <c r="J108" s="24">
        <f>IF(I108&lt;&gt;"",I108-H108,"")</f>
        <v/>
      </c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25">
        <f>IF(D109&lt;&gt;"",E109-D109,"")</f>
        <v/>
      </c>
      <c r="G109" s="27">
        <f>IF(D109&lt;&gt;0,E109/D109*100,"")</f>
        <v/>
      </c>
      <c r="H109" s="25">
        <f>IF(D109&lt;&gt;"",D109*2000,"")</f>
        <v/>
      </c>
      <c r="I109" s="25">
        <f>IF(E109&lt;&gt;"",E109*2000,"")</f>
        <v/>
      </c>
      <c r="J109" s="25">
        <f>IF(I109&lt;&gt;"",I109-H109,"")</f>
        <v/>
      </c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24">
        <f>IF(D110&lt;&gt;"",E110-D110,"")</f>
        <v/>
      </c>
      <c r="G110" s="26">
        <f>IF(D110&lt;&gt;0,E110/D110*100,"")</f>
        <v/>
      </c>
      <c r="H110" s="24">
        <f>IF(D110&lt;&gt;"",D110*2000,"")</f>
        <v/>
      </c>
      <c r="I110" s="24">
        <f>IF(E110&lt;&gt;"",E110*2000,"")</f>
        <v/>
      </c>
      <c r="J110" s="24">
        <f>IF(I110&lt;&gt;"",I110-H110,"")</f>
        <v/>
      </c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25">
        <f>IF(D111&lt;&gt;"",E111-D111,"")</f>
        <v/>
      </c>
      <c r="G111" s="27">
        <f>IF(D111&lt;&gt;0,E111/D111*100,"")</f>
        <v/>
      </c>
      <c r="H111" s="25">
        <f>IF(D111&lt;&gt;"",D111*2000,"")</f>
        <v/>
      </c>
      <c r="I111" s="25">
        <f>IF(E111&lt;&gt;"",E111*2000,"")</f>
        <v/>
      </c>
      <c r="J111" s="25">
        <f>IF(I111&lt;&gt;"",I111-H111,"")</f>
        <v/>
      </c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24">
        <f>IF(D112&lt;&gt;"",E112-D112,"")</f>
        <v/>
      </c>
      <c r="G112" s="26">
        <f>IF(D112&lt;&gt;0,E112/D112*100,"")</f>
        <v/>
      </c>
      <c r="H112" s="24">
        <f>IF(D112&lt;&gt;"",D112*2000,"")</f>
        <v/>
      </c>
      <c r="I112" s="24">
        <f>IF(E112&lt;&gt;"",E112*2000,"")</f>
        <v/>
      </c>
      <c r="J112" s="24">
        <f>IF(I112&lt;&gt;"",I112-H112,"")</f>
        <v/>
      </c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25">
        <f>IF(D113&lt;&gt;"",E113-D113,"")</f>
        <v/>
      </c>
      <c r="G113" s="27">
        <f>IF(D113&lt;&gt;0,E113/D113*100,"")</f>
        <v/>
      </c>
      <c r="H113" s="25">
        <f>IF(D113&lt;&gt;"",D113*2000,"")</f>
        <v/>
      </c>
      <c r="I113" s="25">
        <f>IF(E113&lt;&gt;"",E113*2000,"")</f>
        <v/>
      </c>
      <c r="J113" s="25">
        <f>IF(I113&lt;&gt;"",I113-H113,"")</f>
        <v/>
      </c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24">
        <f>IF(D114&lt;&gt;"",E114-D114,"")</f>
        <v/>
      </c>
      <c r="G114" s="26">
        <f>IF(D114&lt;&gt;0,E114/D114*100,"")</f>
        <v/>
      </c>
      <c r="H114" s="24">
        <f>IF(D114&lt;&gt;"",D114*2000,"")</f>
        <v/>
      </c>
      <c r="I114" s="24">
        <f>IF(E114&lt;&gt;"",E114*2000,"")</f>
        <v/>
      </c>
      <c r="J114" s="24">
        <f>IF(I114&lt;&gt;"",I114-H114,"")</f>
        <v/>
      </c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25">
        <f>IF(D115&lt;&gt;"",E115-D115,"")</f>
        <v/>
      </c>
      <c r="G115" s="27">
        <f>IF(D115&lt;&gt;0,E115/D115*100,"")</f>
        <v/>
      </c>
      <c r="H115" s="25">
        <f>IF(D115&lt;&gt;"",D115*2000,"")</f>
        <v/>
      </c>
      <c r="I115" s="25">
        <f>IF(E115&lt;&gt;"",E115*2000,"")</f>
        <v/>
      </c>
      <c r="J115" s="25">
        <f>IF(I115&lt;&gt;"",I115-H115,"")</f>
        <v/>
      </c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C6:C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_Lists'!$W$6:$W$9</formula1>
    </dataValidation>
    <dataValidation sqref="M6:M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2" customWidth="1" min="9" max="9"/>
    <col width="28" customWidth="1" min="10" max="10"/>
    <col width="32" customWidth="1" min="11" max="11"/>
    <col width="22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8-ÉVALUATION DES INTÉRIMAIRES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Intérimaire</t>
        </is>
      </c>
      <c r="B5" s="4" t="inlineStr">
        <is>
          <t>Poste</t>
        </is>
      </c>
      <c r="C5" s="4" t="inlineStr">
        <is>
          <t>Compétence Technique</t>
        </is>
      </c>
      <c r="D5" s="4" t="inlineStr">
        <is>
          <t>Intégration Équipe</t>
        </is>
      </c>
      <c r="E5" s="4" t="inlineStr">
        <is>
          <t>Ponctualité</t>
        </is>
      </c>
      <c r="F5" s="4" t="inlineStr">
        <is>
          <t>Qualité Travail</t>
        </is>
      </c>
      <c r="G5" s="4" t="inlineStr">
        <is>
          <t>Respect Consignes</t>
        </is>
      </c>
      <c r="H5" s="4" t="inlineStr">
        <is>
          <t>Score Global (/35)</t>
        </is>
      </c>
      <c r="I5" s="4" t="inlineStr">
        <is>
          <t>Note (1-5)</t>
        </is>
      </c>
      <c r="J5" s="4" t="inlineStr">
        <is>
          <t>Recommandation</t>
        </is>
      </c>
      <c r="K5" s="4" t="inlineStr">
        <is>
          <t>Commentaire</t>
        </is>
      </c>
      <c r="L5" s="4" t="inlineStr">
        <is>
          <t>Évaluateur</t>
        </is>
      </c>
      <c r="M5" s="4" t="inlineStr">
        <is>
          <t>Date Éval</t>
        </is>
      </c>
      <c r="N5" s="4" t="inlineStr">
        <is>
          <t>Date MAJ</t>
        </is>
      </c>
    </row>
    <row r="6" ht="22" customHeight="1">
      <c r="A6" s="5" t="inlineStr">
        <is>
          <t>Koffi Marie</t>
        </is>
      </c>
      <c r="B6" s="5" t="inlineStr">
        <is>
          <t>Serveur</t>
        </is>
      </c>
      <c r="C6" s="7" t="n">
        <v>6</v>
      </c>
      <c r="D6" s="7" t="n">
        <v>5</v>
      </c>
      <c r="E6" s="7" t="n">
        <v>6</v>
      </c>
      <c r="F6" s="7" t="n">
        <v>6</v>
      </c>
      <c r="G6" s="7" t="n">
        <v>5</v>
      </c>
      <c r="H6" s="24">
        <f>IF(C6&lt;&gt;"",SUM(C6:G6),"")</f>
        <v/>
      </c>
      <c r="I6" s="5">
        <f>IF(H6="","",IF(H6&gt;=30,5,IF(H6&gt;=25,4,IF(H6&gt;=20,3,IF(H6&gt;=15,2,1)))))</f>
        <v/>
      </c>
      <c r="J6" s="5">
        <f>IF(I6="","",IF(I6&gt;=4,"Recommandé pour CDI",IF(I6&gt;=3,"Recommandé pour renouvellement",IF(I6&gt;=2,"À retenir si besoin","Non recommandé"))))</f>
        <v/>
      </c>
      <c r="K6" s="5" t="inlineStr">
        <is>
          <t>Excellente intérimaire, très intégrée</t>
        </is>
      </c>
      <c r="L6" s="5" t="inlineStr">
        <is>
          <t>Chef Restauration</t>
        </is>
      </c>
      <c r="M6" s="6" t="n">
        <v>45703</v>
      </c>
      <c r="N6" s="6" t="n">
        <v>45703</v>
      </c>
    </row>
    <row r="7" ht="22" customHeight="1">
      <c r="A7" s="8" t="inlineStr">
        <is>
          <t>Diallo Aminata</t>
        </is>
      </c>
      <c r="B7" s="8" t="inlineStr">
        <is>
          <t>Femme de chambre</t>
        </is>
      </c>
      <c r="C7" s="10" t="n">
        <v>5</v>
      </c>
      <c r="D7" s="10" t="n">
        <v>6</v>
      </c>
      <c r="E7" s="10" t="n">
        <v>5</v>
      </c>
      <c r="F7" s="10" t="n">
        <v>6</v>
      </c>
      <c r="G7" s="10" t="n">
        <v>6</v>
      </c>
      <c r="H7" s="25">
        <f>IF(C7&lt;&gt;"",SUM(C7:G7),"")</f>
        <v/>
      </c>
      <c r="I7" s="8">
        <f>IF(H7="","",IF(H7&gt;=30,5,IF(H7&gt;=25,4,IF(H7&gt;=20,3,IF(H7&gt;=15,2,1)))))</f>
        <v/>
      </c>
      <c r="J7" s="8">
        <f>IF(I7="","",IF(I7&gt;=4,"Recommandé pour CDI",IF(I7&gt;=3,"Recommandé pour renouvellement",IF(I7&gt;=2,"À retenir si besoin","Non recommandé"))))</f>
        <v/>
      </c>
      <c r="K7" s="8" t="inlineStr">
        <is>
          <t>Travail soigné et régulier</t>
        </is>
      </c>
      <c r="L7" s="8" t="inlineStr">
        <is>
          <t>Gouvernante</t>
        </is>
      </c>
      <c r="M7" s="9" t="n">
        <v>45703</v>
      </c>
      <c r="N7" s="9" t="n">
        <v>45703</v>
      </c>
    </row>
    <row r="8" ht="22" customHeight="1">
      <c r="A8" s="5" t="inlineStr">
        <is>
          <t>Traoré Fatou</t>
        </is>
      </c>
      <c r="B8" s="5" t="inlineStr">
        <is>
          <t>Plongeur</t>
        </is>
      </c>
      <c r="C8" s="7" t="n">
        <v>4</v>
      </c>
      <c r="D8" s="7" t="n">
        <v>4</v>
      </c>
      <c r="E8" s="7" t="n">
        <v>3</v>
      </c>
      <c r="F8" s="7" t="n">
        <v>4</v>
      </c>
      <c r="G8" s="7" t="n">
        <v>4</v>
      </c>
      <c r="H8" s="24">
        <f>IF(C8&lt;&gt;"",SUM(C8:G8),"")</f>
        <v/>
      </c>
      <c r="I8" s="5">
        <f>IF(H8="","",IF(H8&gt;=30,5,IF(H8&gt;=25,4,IF(H8&gt;=20,3,IF(H8&gt;=15,2,1)))))</f>
        <v/>
      </c>
      <c r="J8" s="5">
        <f>IF(I8="","",IF(I8&gt;=4,"Recommandé pour CDI",IF(I8&gt;=3,"Recommandé pour renouvellement",IF(I8&gt;=2,"À retenir si besoin","Non recommandé"))))</f>
        <v/>
      </c>
      <c r="K8" s="5" t="inlineStr">
        <is>
          <t>Travail satisfaisant pour mission courte</t>
        </is>
      </c>
      <c r="L8" s="5" t="inlineStr">
        <is>
          <t>Chef Cuisinier</t>
        </is>
      </c>
      <c r="M8" s="6" t="n">
        <v>45662</v>
      </c>
      <c r="N8" s="6" t="n">
        <v>45662</v>
      </c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25">
        <f>IF(C9&lt;&gt;"",SUM(C9:G9),"")</f>
        <v/>
      </c>
      <c r="I9" s="8">
        <f>IF(H9="","",IF(H9&gt;=30,5,IF(H9&gt;=25,4,IF(H9&gt;=20,3,IF(H9&gt;=15,2,1)))))</f>
        <v/>
      </c>
      <c r="J9" s="8">
        <f>IF(I9="","",IF(I9&gt;=4,"Recommandé pour CDI",IF(I9&gt;=3,"Recommandé pour renouvellement",IF(I9&gt;=2,"À retenir si besoin","Non recommandé"))))</f>
        <v/>
      </c>
      <c r="K9" s="8" t="n"/>
      <c r="L9" s="8" t="n"/>
      <c r="M9" s="8" t="n"/>
      <c r="N9" s="8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24">
        <f>IF(C10&lt;&gt;"",SUM(C10:G10),"")</f>
        <v/>
      </c>
      <c r="I10" s="5">
        <f>IF(H10="","",IF(H10&gt;=30,5,IF(H10&gt;=25,4,IF(H10&gt;=20,3,IF(H10&gt;=15,2,1)))))</f>
        <v/>
      </c>
      <c r="J10" s="5">
        <f>IF(I10="","",IF(I10&gt;=4,"Recommandé pour CDI",IF(I10&gt;=3,"Recommandé pour renouvellement",IF(I10&gt;=2,"À retenir si besoin","Non recommandé"))))</f>
        <v/>
      </c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25">
        <f>IF(C11&lt;&gt;"",SUM(C11:G11),"")</f>
        <v/>
      </c>
      <c r="I11" s="8">
        <f>IF(H11="","",IF(H11&gt;=30,5,IF(H11&gt;=25,4,IF(H11&gt;=20,3,IF(H11&gt;=15,2,1)))))</f>
        <v/>
      </c>
      <c r="J11" s="8">
        <f>IF(I11="","",IF(I11&gt;=4,"Recommandé pour CDI",IF(I11&gt;=3,"Recommandé pour renouvellement",IF(I11&gt;=2,"À retenir si besoin","Non recommandé"))))</f>
        <v/>
      </c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4">
        <f>IF(C12&lt;&gt;"",SUM(C12:G12),"")</f>
        <v/>
      </c>
      <c r="I12" s="5">
        <f>IF(H12="","",IF(H12&gt;=30,5,IF(H12&gt;=25,4,IF(H12&gt;=20,3,IF(H12&gt;=15,2,1)))))</f>
        <v/>
      </c>
      <c r="J12" s="5">
        <f>IF(I12="","",IF(I12&gt;=4,"Recommandé pour CDI",IF(I12&gt;=3,"Recommandé pour renouvellement",IF(I12&gt;=2,"À retenir si besoin","Non recommandé"))))</f>
        <v/>
      </c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25">
        <f>IF(C13&lt;&gt;"",SUM(C13:G13),"")</f>
        <v/>
      </c>
      <c r="I13" s="8">
        <f>IF(H13="","",IF(H13&gt;=30,5,IF(H13&gt;=25,4,IF(H13&gt;=20,3,IF(H13&gt;=15,2,1)))))</f>
        <v/>
      </c>
      <c r="J13" s="8">
        <f>IF(I13="","",IF(I13&gt;=4,"Recommandé pour CDI",IF(I13&gt;=3,"Recommandé pour renouvellement",IF(I13&gt;=2,"À retenir si besoin","Non recommandé"))))</f>
        <v/>
      </c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4">
        <f>IF(C14&lt;&gt;"",SUM(C14:G14),"")</f>
        <v/>
      </c>
      <c r="I14" s="5">
        <f>IF(H14="","",IF(H14&gt;=30,5,IF(H14&gt;=25,4,IF(H14&gt;=20,3,IF(H14&gt;=15,2,1)))))</f>
        <v/>
      </c>
      <c r="J14" s="5">
        <f>IF(I14="","",IF(I14&gt;=4,"Recommandé pour CDI",IF(I14&gt;=3,"Recommandé pour renouvellement",IF(I14&gt;=2,"À retenir si besoin","Non recommandé"))))</f>
        <v/>
      </c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25">
        <f>IF(C15&lt;&gt;"",SUM(C15:G15),"")</f>
        <v/>
      </c>
      <c r="I15" s="8">
        <f>IF(H15="","",IF(H15&gt;=30,5,IF(H15&gt;=25,4,IF(H15&gt;=20,3,IF(H15&gt;=15,2,1)))))</f>
        <v/>
      </c>
      <c r="J15" s="8">
        <f>IF(I15="","",IF(I15&gt;=4,"Recommandé pour CDI",IF(I15&gt;=3,"Recommandé pour renouvellement",IF(I15&gt;=2,"À retenir si besoin","Non recommandé"))))</f>
        <v/>
      </c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4">
        <f>IF(C16&lt;&gt;"",SUM(C16:G16),"")</f>
        <v/>
      </c>
      <c r="I16" s="5">
        <f>IF(H16="","",IF(H16&gt;=30,5,IF(H16&gt;=25,4,IF(H16&gt;=20,3,IF(H16&gt;=15,2,1)))))</f>
        <v/>
      </c>
      <c r="J16" s="5">
        <f>IF(I16="","",IF(I16&gt;=4,"Recommandé pour CDI",IF(I16&gt;=3,"Recommandé pour renouvellement",IF(I16&gt;=2,"À retenir si besoin","Non recommandé"))))</f>
        <v/>
      </c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25">
        <f>IF(C17&lt;&gt;"",SUM(C17:G17),"")</f>
        <v/>
      </c>
      <c r="I17" s="8">
        <f>IF(H17="","",IF(H17&gt;=30,5,IF(H17&gt;=25,4,IF(H17&gt;=20,3,IF(H17&gt;=15,2,1)))))</f>
        <v/>
      </c>
      <c r="J17" s="8">
        <f>IF(I17="","",IF(I17&gt;=4,"Recommandé pour CDI",IF(I17&gt;=3,"Recommandé pour renouvellement",IF(I17&gt;=2,"À retenir si besoin","Non recommandé"))))</f>
        <v/>
      </c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4">
        <f>IF(C18&lt;&gt;"",SUM(C18:G18),"")</f>
        <v/>
      </c>
      <c r="I18" s="5">
        <f>IF(H18="","",IF(H18&gt;=30,5,IF(H18&gt;=25,4,IF(H18&gt;=20,3,IF(H18&gt;=15,2,1)))))</f>
        <v/>
      </c>
      <c r="J18" s="5">
        <f>IF(I18="","",IF(I18&gt;=4,"Recommandé pour CDI",IF(I18&gt;=3,"Recommandé pour renouvellement",IF(I18&gt;=2,"À retenir si besoin","Non recommandé"))))</f>
        <v/>
      </c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25">
        <f>IF(C19&lt;&gt;"",SUM(C19:G19),"")</f>
        <v/>
      </c>
      <c r="I19" s="8">
        <f>IF(H19="","",IF(H19&gt;=30,5,IF(H19&gt;=25,4,IF(H19&gt;=20,3,IF(H19&gt;=15,2,1)))))</f>
        <v/>
      </c>
      <c r="J19" s="8">
        <f>IF(I19="","",IF(I19&gt;=4,"Recommandé pour CDI",IF(I19&gt;=3,"Recommandé pour renouvellement",IF(I19&gt;=2,"À retenir si besoin","Non recommandé"))))</f>
        <v/>
      </c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4">
        <f>IF(C20&lt;&gt;"",SUM(C20:G20),"")</f>
        <v/>
      </c>
      <c r="I20" s="5">
        <f>IF(H20="","",IF(H20&gt;=30,5,IF(H20&gt;=25,4,IF(H20&gt;=20,3,IF(H20&gt;=15,2,1)))))</f>
        <v/>
      </c>
      <c r="J20" s="5">
        <f>IF(I20="","",IF(I20&gt;=4,"Recommandé pour CDI",IF(I20&gt;=3,"Recommandé pour renouvellement",IF(I20&gt;=2,"À retenir si besoin","Non recommandé"))))</f>
        <v/>
      </c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25">
        <f>IF(C21&lt;&gt;"",SUM(C21:G21),"")</f>
        <v/>
      </c>
      <c r="I21" s="8">
        <f>IF(H21="","",IF(H21&gt;=30,5,IF(H21&gt;=25,4,IF(H21&gt;=20,3,IF(H21&gt;=15,2,1)))))</f>
        <v/>
      </c>
      <c r="J21" s="8">
        <f>IF(I21="","",IF(I21&gt;=4,"Recommandé pour CDI",IF(I21&gt;=3,"Recommandé pour renouvellement",IF(I21&gt;=2,"À retenir si besoin","Non recommandé"))))</f>
        <v/>
      </c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4">
        <f>IF(C22&lt;&gt;"",SUM(C22:G22),"")</f>
        <v/>
      </c>
      <c r="I22" s="5">
        <f>IF(H22="","",IF(H22&gt;=30,5,IF(H22&gt;=25,4,IF(H22&gt;=20,3,IF(H22&gt;=15,2,1)))))</f>
        <v/>
      </c>
      <c r="J22" s="5">
        <f>IF(I22="","",IF(I22&gt;=4,"Recommandé pour CDI",IF(I22&gt;=3,"Recommandé pour renouvellement",IF(I22&gt;=2,"À retenir si besoin","Non recommandé"))))</f>
        <v/>
      </c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25">
        <f>IF(C23&lt;&gt;"",SUM(C23:G23),"")</f>
        <v/>
      </c>
      <c r="I23" s="8">
        <f>IF(H23="","",IF(H23&gt;=30,5,IF(H23&gt;=25,4,IF(H23&gt;=20,3,IF(H23&gt;=15,2,1)))))</f>
        <v/>
      </c>
      <c r="J23" s="8">
        <f>IF(I23="","",IF(I23&gt;=4,"Recommandé pour CDI",IF(I23&gt;=3,"Recommandé pour renouvellement",IF(I23&gt;=2,"À retenir si besoin","Non recommandé"))))</f>
        <v/>
      </c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4">
        <f>IF(C24&lt;&gt;"",SUM(C24:G24),"")</f>
        <v/>
      </c>
      <c r="I24" s="5">
        <f>IF(H24="","",IF(H24&gt;=30,5,IF(H24&gt;=25,4,IF(H24&gt;=20,3,IF(H24&gt;=15,2,1)))))</f>
        <v/>
      </c>
      <c r="J24" s="5">
        <f>IF(I24="","",IF(I24&gt;=4,"Recommandé pour CDI",IF(I24&gt;=3,"Recommandé pour renouvellement",IF(I24&gt;=2,"À retenir si besoin","Non recommandé"))))</f>
        <v/>
      </c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25">
        <f>IF(C25&lt;&gt;"",SUM(C25:G25),"")</f>
        <v/>
      </c>
      <c r="I25" s="8">
        <f>IF(H25="","",IF(H25&gt;=30,5,IF(H25&gt;=25,4,IF(H25&gt;=20,3,IF(H25&gt;=15,2,1)))))</f>
        <v/>
      </c>
      <c r="J25" s="8">
        <f>IF(I25="","",IF(I25&gt;=4,"Recommandé pour CDI",IF(I25&gt;=3,"Recommandé pour renouvellement",IF(I25&gt;=2,"À retenir si besoin","Non recommandé"))))</f>
        <v/>
      </c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4">
        <f>IF(C26&lt;&gt;"",SUM(C26:G26),"")</f>
        <v/>
      </c>
      <c r="I26" s="5">
        <f>IF(H26="","",IF(H26&gt;=30,5,IF(H26&gt;=25,4,IF(H26&gt;=20,3,IF(H26&gt;=15,2,1)))))</f>
        <v/>
      </c>
      <c r="J26" s="5">
        <f>IF(I26="","",IF(I26&gt;=4,"Recommandé pour CDI",IF(I26&gt;=3,"Recommandé pour renouvellement",IF(I26&gt;=2,"À retenir si besoin","Non recommandé"))))</f>
        <v/>
      </c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25">
        <f>IF(C27&lt;&gt;"",SUM(C27:G27),"")</f>
        <v/>
      </c>
      <c r="I27" s="8">
        <f>IF(H27="","",IF(H27&gt;=30,5,IF(H27&gt;=25,4,IF(H27&gt;=20,3,IF(H27&gt;=15,2,1)))))</f>
        <v/>
      </c>
      <c r="J27" s="8">
        <f>IF(I27="","",IF(I27&gt;=4,"Recommandé pour CDI",IF(I27&gt;=3,"Recommandé pour renouvellement",IF(I27&gt;=2,"À retenir si besoin","Non recommandé"))))</f>
        <v/>
      </c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4">
        <f>IF(C28&lt;&gt;"",SUM(C28:G28),"")</f>
        <v/>
      </c>
      <c r="I28" s="5">
        <f>IF(H28="","",IF(H28&gt;=30,5,IF(H28&gt;=25,4,IF(H28&gt;=20,3,IF(H28&gt;=15,2,1)))))</f>
        <v/>
      </c>
      <c r="J28" s="5">
        <f>IF(I28="","",IF(I28&gt;=4,"Recommandé pour CDI",IF(I28&gt;=3,"Recommandé pour renouvellement",IF(I28&gt;=2,"À retenir si besoin","Non recommandé"))))</f>
        <v/>
      </c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25">
        <f>IF(C29&lt;&gt;"",SUM(C29:G29),"")</f>
        <v/>
      </c>
      <c r="I29" s="8">
        <f>IF(H29="","",IF(H29&gt;=30,5,IF(H29&gt;=25,4,IF(H29&gt;=20,3,IF(H29&gt;=15,2,1)))))</f>
        <v/>
      </c>
      <c r="J29" s="8">
        <f>IF(I29="","",IF(I29&gt;=4,"Recommandé pour CDI",IF(I29&gt;=3,"Recommandé pour renouvellement",IF(I29&gt;=2,"À retenir si besoin","Non recommandé"))))</f>
        <v/>
      </c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4">
        <f>IF(C30&lt;&gt;"",SUM(C30:G30),"")</f>
        <v/>
      </c>
      <c r="I30" s="5">
        <f>IF(H30="","",IF(H30&gt;=30,5,IF(H30&gt;=25,4,IF(H30&gt;=20,3,IF(H30&gt;=15,2,1)))))</f>
        <v/>
      </c>
      <c r="J30" s="5">
        <f>IF(I30="","",IF(I30&gt;=4,"Recommandé pour CDI",IF(I30&gt;=3,"Recommandé pour renouvellement",IF(I30&gt;=2,"À retenir si besoin","Non recommandé"))))</f>
        <v/>
      </c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25">
        <f>IF(C31&lt;&gt;"",SUM(C31:G31),"")</f>
        <v/>
      </c>
      <c r="I31" s="8">
        <f>IF(H31="","",IF(H31&gt;=30,5,IF(H31&gt;=25,4,IF(H31&gt;=20,3,IF(H31&gt;=15,2,1)))))</f>
        <v/>
      </c>
      <c r="J31" s="8">
        <f>IF(I31="","",IF(I31&gt;=4,"Recommandé pour CDI",IF(I31&gt;=3,"Recommandé pour renouvellement",IF(I31&gt;=2,"À retenir si besoin","Non recommandé"))))</f>
        <v/>
      </c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4">
        <f>IF(C32&lt;&gt;"",SUM(C32:G32),"")</f>
        <v/>
      </c>
      <c r="I32" s="5">
        <f>IF(H32="","",IF(H32&gt;=30,5,IF(H32&gt;=25,4,IF(H32&gt;=20,3,IF(H32&gt;=15,2,1)))))</f>
        <v/>
      </c>
      <c r="J32" s="5">
        <f>IF(I32="","",IF(I32&gt;=4,"Recommandé pour CDI",IF(I32&gt;=3,"Recommandé pour renouvellement",IF(I32&gt;=2,"À retenir si besoin","Non recommandé"))))</f>
        <v/>
      </c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25">
        <f>IF(C33&lt;&gt;"",SUM(C33:G33),"")</f>
        <v/>
      </c>
      <c r="I33" s="8">
        <f>IF(H33="","",IF(H33&gt;=30,5,IF(H33&gt;=25,4,IF(H33&gt;=20,3,IF(H33&gt;=15,2,1)))))</f>
        <v/>
      </c>
      <c r="J33" s="8">
        <f>IF(I33="","",IF(I33&gt;=4,"Recommandé pour CDI",IF(I33&gt;=3,"Recommandé pour renouvellement",IF(I33&gt;=2,"À retenir si besoin","Non recommandé"))))</f>
        <v/>
      </c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4">
        <f>IF(C34&lt;&gt;"",SUM(C34:G34),"")</f>
        <v/>
      </c>
      <c r="I34" s="5">
        <f>IF(H34="","",IF(H34&gt;=30,5,IF(H34&gt;=25,4,IF(H34&gt;=20,3,IF(H34&gt;=15,2,1)))))</f>
        <v/>
      </c>
      <c r="J34" s="5">
        <f>IF(I34="","",IF(I34&gt;=4,"Recommandé pour CDI",IF(I34&gt;=3,"Recommandé pour renouvellement",IF(I34&gt;=2,"À retenir si besoin","Non recommandé"))))</f>
        <v/>
      </c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25">
        <f>IF(C35&lt;&gt;"",SUM(C35:G35),"")</f>
        <v/>
      </c>
      <c r="I35" s="8">
        <f>IF(H35="","",IF(H35&gt;=30,5,IF(H35&gt;=25,4,IF(H35&gt;=20,3,IF(H35&gt;=15,2,1)))))</f>
        <v/>
      </c>
      <c r="J35" s="8">
        <f>IF(I35="","",IF(I35&gt;=4,"Recommandé pour CDI",IF(I35&gt;=3,"Recommandé pour renouvellement",IF(I35&gt;=2,"À retenir si besoin","Non recommandé"))))</f>
        <v/>
      </c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4">
        <f>IF(C36&lt;&gt;"",SUM(C36:G36),"")</f>
        <v/>
      </c>
      <c r="I36" s="5">
        <f>IF(H36="","",IF(H36&gt;=30,5,IF(H36&gt;=25,4,IF(H36&gt;=20,3,IF(H36&gt;=15,2,1)))))</f>
        <v/>
      </c>
      <c r="J36" s="5">
        <f>IF(I36="","",IF(I36&gt;=4,"Recommandé pour CDI",IF(I36&gt;=3,"Recommandé pour renouvellement",IF(I36&gt;=2,"À retenir si besoin","Non recommandé"))))</f>
        <v/>
      </c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25">
        <f>IF(C37&lt;&gt;"",SUM(C37:G37),"")</f>
        <v/>
      </c>
      <c r="I37" s="8">
        <f>IF(H37="","",IF(H37&gt;=30,5,IF(H37&gt;=25,4,IF(H37&gt;=20,3,IF(H37&gt;=15,2,1)))))</f>
        <v/>
      </c>
      <c r="J37" s="8">
        <f>IF(I37="","",IF(I37&gt;=4,"Recommandé pour CDI",IF(I37&gt;=3,"Recommandé pour renouvellement",IF(I37&gt;=2,"À retenir si besoin","Non recommandé"))))</f>
        <v/>
      </c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4">
        <f>IF(C38&lt;&gt;"",SUM(C38:G38),"")</f>
        <v/>
      </c>
      <c r="I38" s="5">
        <f>IF(H38="","",IF(H38&gt;=30,5,IF(H38&gt;=25,4,IF(H38&gt;=20,3,IF(H38&gt;=15,2,1)))))</f>
        <v/>
      </c>
      <c r="J38" s="5">
        <f>IF(I38="","",IF(I38&gt;=4,"Recommandé pour CDI",IF(I38&gt;=3,"Recommandé pour renouvellement",IF(I38&gt;=2,"À retenir si besoin","Non recommandé"))))</f>
        <v/>
      </c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25">
        <f>IF(C39&lt;&gt;"",SUM(C39:G39),"")</f>
        <v/>
      </c>
      <c r="I39" s="8">
        <f>IF(H39="","",IF(H39&gt;=30,5,IF(H39&gt;=25,4,IF(H39&gt;=20,3,IF(H39&gt;=15,2,1)))))</f>
        <v/>
      </c>
      <c r="J39" s="8">
        <f>IF(I39="","",IF(I39&gt;=4,"Recommandé pour CDI",IF(I39&gt;=3,"Recommandé pour renouvellement",IF(I39&gt;=2,"À retenir si besoin","Non recommandé"))))</f>
        <v/>
      </c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4">
        <f>IF(C40&lt;&gt;"",SUM(C40:G40),"")</f>
        <v/>
      </c>
      <c r="I40" s="5">
        <f>IF(H40="","",IF(H40&gt;=30,5,IF(H40&gt;=25,4,IF(H40&gt;=20,3,IF(H40&gt;=15,2,1)))))</f>
        <v/>
      </c>
      <c r="J40" s="5">
        <f>IF(I40="","",IF(I40&gt;=4,"Recommandé pour CDI",IF(I40&gt;=3,"Recommandé pour renouvellement",IF(I40&gt;=2,"À retenir si besoin","Non recommandé"))))</f>
        <v/>
      </c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25">
        <f>IF(C41&lt;&gt;"",SUM(C41:G41),"")</f>
        <v/>
      </c>
      <c r="I41" s="8">
        <f>IF(H41="","",IF(H41&gt;=30,5,IF(H41&gt;=25,4,IF(H41&gt;=20,3,IF(H41&gt;=15,2,1)))))</f>
        <v/>
      </c>
      <c r="J41" s="8">
        <f>IF(I41="","",IF(I41&gt;=4,"Recommandé pour CDI",IF(I41&gt;=3,"Recommandé pour renouvellement",IF(I41&gt;=2,"À retenir si besoin","Non recommandé"))))</f>
        <v/>
      </c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4">
        <f>IF(C42&lt;&gt;"",SUM(C42:G42),"")</f>
        <v/>
      </c>
      <c r="I42" s="5">
        <f>IF(H42="","",IF(H42&gt;=30,5,IF(H42&gt;=25,4,IF(H42&gt;=20,3,IF(H42&gt;=15,2,1)))))</f>
        <v/>
      </c>
      <c r="J42" s="5">
        <f>IF(I42="","",IF(I42&gt;=4,"Recommandé pour CDI",IF(I42&gt;=3,"Recommandé pour renouvellement",IF(I42&gt;=2,"À retenir si besoin","Non recommandé"))))</f>
        <v/>
      </c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25">
        <f>IF(C43&lt;&gt;"",SUM(C43:G43),"")</f>
        <v/>
      </c>
      <c r="I43" s="8">
        <f>IF(H43="","",IF(H43&gt;=30,5,IF(H43&gt;=25,4,IF(H43&gt;=20,3,IF(H43&gt;=15,2,1)))))</f>
        <v/>
      </c>
      <c r="J43" s="8">
        <f>IF(I43="","",IF(I43&gt;=4,"Recommandé pour CDI",IF(I43&gt;=3,"Recommandé pour renouvellement",IF(I43&gt;=2,"À retenir si besoin","Non recommandé"))))</f>
        <v/>
      </c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4">
        <f>IF(C44&lt;&gt;"",SUM(C44:G44),"")</f>
        <v/>
      </c>
      <c r="I44" s="5">
        <f>IF(H44="","",IF(H44&gt;=30,5,IF(H44&gt;=25,4,IF(H44&gt;=20,3,IF(H44&gt;=15,2,1)))))</f>
        <v/>
      </c>
      <c r="J44" s="5">
        <f>IF(I44="","",IF(I44&gt;=4,"Recommandé pour CDI",IF(I44&gt;=3,"Recommandé pour renouvellement",IF(I44&gt;=2,"À retenir si besoin","Non recommandé"))))</f>
        <v/>
      </c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25">
        <f>IF(C45&lt;&gt;"",SUM(C45:G45),"")</f>
        <v/>
      </c>
      <c r="I45" s="8">
        <f>IF(H45="","",IF(H45&gt;=30,5,IF(H45&gt;=25,4,IF(H45&gt;=20,3,IF(H45&gt;=15,2,1)))))</f>
        <v/>
      </c>
      <c r="J45" s="8">
        <f>IF(I45="","",IF(I45&gt;=4,"Recommandé pour CDI",IF(I45&gt;=3,"Recommandé pour renouvellement",IF(I45&gt;=2,"À retenir si besoin","Non recommandé"))))</f>
        <v/>
      </c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4">
        <f>IF(C46&lt;&gt;"",SUM(C46:G46),"")</f>
        <v/>
      </c>
      <c r="I46" s="5">
        <f>IF(H46="","",IF(H46&gt;=30,5,IF(H46&gt;=25,4,IF(H46&gt;=20,3,IF(H46&gt;=15,2,1)))))</f>
        <v/>
      </c>
      <c r="J46" s="5">
        <f>IF(I46="","",IF(I46&gt;=4,"Recommandé pour CDI",IF(I46&gt;=3,"Recommandé pour renouvellement",IF(I46&gt;=2,"À retenir si besoin","Non recommandé"))))</f>
        <v/>
      </c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25">
        <f>IF(C47&lt;&gt;"",SUM(C47:G47),"")</f>
        <v/>
      </c>
      <c r="I47" s="8">
        <f>IF(H47="","",IF(H47&gt;=30,5,IF(H47&gt;=25,4,IF(H47&gt;=20,3,IF(H47&gt;=15,2,1)))))</f>
        <v/>
      </c>
      <c r="J47" s="8">
        <f>IF(I47="","",IF(I47&gt;=4,"Recommandé pour CDI",IF(I47&gt;=3,"Recommandé pour renouvellement",IF(I47&gt;=2,"À retenir si besoin","Non recommandé"))))</f>
        <v/>
      </c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4">
        <f>IF(C48&lt;&gt;"",SUM(C48:G48),"")</f>
        <v/>
      </c>
      <c r="I48" s="5">
        <f>IF(H48="","",IF(H48&gt;=30,5,IF(H48&gt;=25,4,IF(H48&gt;=20,3,IF(H48&gt;=15,2,1)))))</f>
        <v/>
      </c>
      <c r="J48" s="5">
        <f>IF(I48="","",IF(I48&gt;=4,"Recommandé pour CDI",IF(I48&gt;=3,"Recommandé pour renouvellement",IF(I48&gt;=2,"À retenir si besoin","Non recommandé"))))</f>
        <v/>
      </c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25">
        <f>IF(C49&lt;&gt;"",SUM(C49:G49),"")</f>
        <v/>
      </c>
      <c r="I49" s="8">
        <f>IF(H49="","",IF(H49&gt;=30,5,IF(H49&gt;=25,4,IF(H49&gt;=20,3,IF(H49&gt;=15,2,1)))))</f>
        <v/>
      </c>
      <c r="J49" s="8">
        <f>IF(I49="","",IF(I49&gt;=4,"Recommandé pour CDI",IF(I49&gt;=3,"Recommandé pour renouvellement",IF(I49&gt;=2,"À retenir si besoin","Non recommandé"))))</f>
        <v/>
      </c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4">
        <f>IF(C50&lt;&gt;"",SUM(C50:G50),"")</f>
        <v/>
      </c>
      <c r="I50" s="5">
        <f>IF(H50="","",IF(H50&gt;=30,5,IF(H50&gt;=25,4,IF(H50&gt;=20,3,IF(H50&gt;=15,2,1)))))</f>
        <v/>
      </c>
      <c r="J50" s="5">
        <f>IF(I50="","",IF(I50&gt;=4,"Recommandé pour CDI",IF(I50&gt;=3,"Recommandé pour renouvellement",IF(I50&gt;=2,"À retenir si besoin","Non recommandé"))))</f>
        <v/>
      </c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25">
        <f>IF(C51&lt;&gt;"",SUM(C51:G51),"")</f>
        <v/>
      </c>
      <c r="I51" s="8">
        <f>IF(H51="","",IF(H51&gt;=30,5,IF(H51&gt;=25,4,IF(H51&gt;=20,3,IF(H51&gt;=15,2,1)))))</f>
        <v/>
      </c>
      <c r="J51" s="8">
        <f>IF(I51="","",IF(I51&gt;=4,"Recommandé pour CDI",IF(I51&gt;=3,"Recommandé pour renouvellement",IF(I51&gt;=2,"À retenir si besoin","Non recommandé"))))</f>
        <v/>
      </c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4">
        <f>IF(C52&lt;&gt;"",SUM(C52:G52),"")</f>
        <v/>
      </c>
      <c r="I52" s="5">
        <f>IF(H52="","",IF(H52&gt;=30,5,IF(H52&gt;=25,4,IF(H52&gt;=20,3,IF(H52&gt;=15,2,1)))))</f>
        <v/>
      </c>
      <c r="J52" s="5">
        <f>IF(I52="","",IF(I52&gt;=4,"Recommandé pour CDI",IF(I52&gt;=3,"Recommandé pour renouvellement",IF(I52&gt;=2,"À retenir si besoin","Non recommandé"))))</f>
        <v/>
      </c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25">
        <f>IF(C53&lt;&gt;"",SUM(C53:G53),"")</f>
        <v/>
      </c>
      <c r="I53" s="8">
        <f>IF(H53="","",IF(H53&gt;=30,5,IF(H53&gt;=25,4,IF(H53&gt;=20,3,IF(H53&gt;=15,2,1)))))</f>
        <v/>
      </c>
      <c r="J53" s="8">
        <f>IF(I53="","",IF(I53&gt;=4,"Recommandé pour CDI",IF(I53&gt;=3,"Recommandé pour renouvellement",IF(I53&gt;=2,"À retenir si besoin","Non recommandé"))))</f>
        <v/>
      </c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4">
        <f>IF(C54&lt;&gt;"",SUM(C54:G54),"")</f>
        <v/>
      </c>
      <c r="I54" s="5">
        <f>IF(H54="","",IF(H54&gt;=30,5,IF(H54&gt;=25,4,IF(H54&gt;=20,3,IF(H54&gt;=15,2,1)))))</f>
        <v/>
      </c>
      <c r="J54" s="5">
        <f>IF(I54="","",IF(I54&gt;=4,"Recommandé pour CDI",IF(I54&gt;=3,"Recommandé pour renouvellement",IF(I54&gt;=2,"À retenir si besoin","Non recommandé"))))</f>
        <v/>
      </c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25">
        <f>IF(C55&lt;&gt;"",SUM(C55:G55),"")</f>
        <v/>
      </c>
      <c r="I55" s="8">
        <f>IF(H55="","",IF(H55&gt;=30,5,IF(H55&gt;=25,4,IF(H55&gt;=20,3,IF(H55&gt;=15,2,1)))))</f>
        <v/>
      </c>
      <c r="J55" s="8">
        <f>IF(I55="","",IF(I55&gt;=4,"Recommandé pour CDI",IF(I55&gt;=3,"Recommandé pour renouvellement",IF(I55&gt;=2,"À retenir si besoin","Non recommandé"))))</f>
        <v/>
      </c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4">
        <f>IF(C56&lt;&gt;"",SUM(C56:G56),"")</f>
        <v/>
      </c>
      <c r="I56" s="5">
        <f>IF(H56="","",IF(H56&gt;=30,5,IF(H56&gt;=25,4,IF(H56&gt;=20,3,IF(H56&gt;=15,2,1)))))</f>
        <v/>
      </c>
      <c r="J56" s="5">
        <f>IF(I56="","",IF(I56&gt;=4,"Recommandé pour CDI",IF(I56&gt;=3,"Recommandé pour renouvellement",IF(I56&gt;=2,"À retenir si besoin","Non recommandé"))))</f>
        <v/>
      </c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25">
        <f>IF(C57&lt;&gt;"",SUM(C57:G57),"")</f>
        <v/>
      </c>
      <c r="I57" s="8">
        <f>IF(H57="","",IF(H57&gt;=30,5,IF(H57&gt;=25,4,IF(H57&gt;=20,3,IF(H57&gt;=15,2,1)))))</f>
        <v/>
      </c>
      <c r="J57" s="8">
        <f>IF(I57="","",IF(I57&gt;=4,"Recommandé pour CDI",IF(I57&gt;=3,"Recommandé pour renouvellement",IF(I57&gt;=2,"À retenir si besoin","Non recommandé"))))</f>
        <v/>
      </c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4">
        <f>IF(C58&lt;&gt;"",SUM(C58:G58),"")</f>
        <v/>
      </c>
      <c r="I58" s="5">
        <f>IF(H58="","",IF(H58&gt;=30,5,IF(H58&gt;=25,4,IF(H58&gt;=20,3,IF(H58&gt;=15,2,1)))))</f>
        <v/>
      </c>
      <c r="J58" s="5">
        <f>IF(I58="","",IF(I58&gt;=4,"Recommandé pour CDI",IF(I58&gt;=3,"Recommandé pour renouvellement",IF(I58&gt;=2,"À retenir si besoin","Non recommandé"))))</f>
        <v/>
      </c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25">
        <f>IF(C59&lt;&gt;"",SUM(C59:G59),"")</f>
        <v/>
      </c>
      <c r="I59" s="8">
        <f>IF(H59="","",IF(H59&gt;=30,5,IF(H59&gt;=25,4,IF(H59&gt;=20,3,IF(H59&gt;=15,2,1)))))</f>
        <v/>
      </c>
      <c r="J59" s="8">
        <f>IF(I59="","",IF(I59&gt;=4,"Recommandé pour CDI",IF(I59&gt;=3,"Recommandé pour renouvellement",IF(I59&gt;=2,"À retenir si besoin","Non recommandé"))))</f>
        <v/>
      </c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4">
        <f>IF(C60&lt;&gt;"",SUM(C60:G60),"")</f>
        <v/>
      </c>
      <c r="I60" s="5">
        <f>IF(H60="","",IF(H60&gt;=30,5,IF(H60&gt;=25,4,IF(H60&gt;=20,3,IF(H60&gt;=15,2,1)))))</f>
        <v/>
      </c>
      <c r="J60" s="5">
        <f>IF(I60="","",IF(I60&gt;=4,"Recommandé pour CDI",IF(I60&gt;=3,"Recommandé pour renouvellement",IF(I60&gt;=2,"À retenir si besoin","Non recommandé"))))</f>
        <v/>
      </c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25">
        <f>IF(C61&lt;&gt;"",SUM(C61:G61),"")</f>
        <v/>
      </c>
      <c r="I61" s="8">
        <f>IF(H61="","",IF(H61&gt;=30,5,IF(H61&gt;=25,4,IF(H61&gt;=20,3,IF(H61&gt;=15,2,1)))))</f>
        <v/>
      </c>
      <c r="J61" s="8">
        <f>IF(I61="","",IF(I61&gt;=4,"Recommandé pour CDI",IF(I61&gt;=3,"Recommandé pour renouvellement",IF(I61&gt;=2,"À retenir si besoin","Non recommandé"))))</f>
        <v/>
      </c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4">
        <f>IF(C62&lt;&gt;"",SUM(C62:G62),"")</f>
        <v/>
      </c>
      <c r="I62" s="5">
        <f>IF(H62="","",IF(H62&gt;=30,5,IF(H62&gt;=25,4,IF(H62&gt;=20,3,IF(H62&gt;=15,2,1)))))</f>
        <v/>
      </c>
      <c r="J62" s="5">
        <f>IF(I62="","",IF(I62&gt;=4,"Recommandé pour CDI",IF(I62&gt;=3,"Recommandé pour renouvellement",IF(I62&gt;=2,"À retenir si besoin","Non recommandé"))))</f>
        <v/>
      </c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25">
        <f>IF(C63&lt;&gt;"",SUM(C63:G63),"")</f>
        <v/>
      </c>
      <c r="I63" s="8">
        <f>IF(H63="","",IF(H63&gt;=30,5,IF(H63&gt;=25,4,IF(H63&gt;=20,3,IF(H63&gt;=15,2,1)))))</f>
        <v/>
      </c>
      <c r="J63" s="8">
        <f>IF(I63="","",IF(I63&gt;=4,"Recommandé pour CDI",IF(I63&gt;=3,"Recommandé pour renouvellement",IF(I63&gt;=2,"À retenir si besoin","Non recommandé"))))</f>
        <v/>
      </c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4">
        <f>IF(C64&lt;&gt;"",SUM(C64:G64),"")</f>
        <v/>
      </c>
      <c r="I64" s="5">
        <f>IF(H64="","",IF(H64&gt;=30,5,IF(H64&gt;=25,4,IF(H64&gt;=20,3,IF(H64&gt;=15,2,1)))))</f>
        <v/>
      </c>
      <c r="J64" s="5">
        <f>IF(I64="","",IF(I64&gt;=4,"Recommandé pour CDI",IF(I64&gt;=3,"Recommandé pour renouvellement",IF(I64&gt;=2,"À retenir si besoin","Non recommandé"))))</f>
        <v/>
      </c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25">
        <f>IF(C65&lt;&gt;"",SUM(C65:G65),"")</f>
        <v/>
      </c>
      <c r="I65" s="8">
        <f>IF(H65="","",IF(H65&gt;=30,5,IF(H65&gt;=25,4,IF(H65&gt;=20,3,IF(H65&gt;=15,2,1)))))</f>
        <v/>
      </c>
      <c r="J65" s="8">
        <f>IF(I65="","",IF(I65&gt;=4,"Recommandé pour CDI",IF(I65&gt;=3,"Recommandé pour renouvellement",IF(I65&gt;=2,"À retenir si besoin","Non recommandé"))))</f>
        <v/>
      </c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4">
        <f>IF(C66&lt;&gt;"",SUM(C66:G66),"")</f>
        <v/>
      </c>
      <c r="I66" s="5">
        <f>IF(H66="","",IF(H66&gt;=30,5,IF(H66&gt;=25,4,IF(H66&gt;=20,3,IF(H66&gt;=15,2,1)))))</f>
        <v/>
      </c>
      <c r="J66" s="5">
        <f>IF(I66="","",IF(I66&gt;=4,"Recommandé pour CDI",IF(I66&gt;=3,"Recommandé pour renouvellement",IF(I66&gt;=2,"À retenir si besoin","Non recommandé"))))</f>
        <v/>
      </c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25">
        <f>IF(C67&lt;&gt;"",SUM(C67:G67),"")</f>
        <v/>
      </c>
      <c r="I67" s="8">
        <f>IF(H67="","",IF(H67&gt;=30,5,IF(H67&gt;=25,4,IF(H67&gt;=20,3,IF(H67&gt;=15,2,1)))))</f>
        <v/>
      </c>
      <c r="J67" s="8">
        <f>IF(I67="","",IF(I67&gt;=4,"Recommandé pour CDI",IF(I67&gt;=3,"Recommandé pour renouvellement",IF(I67&gt;=2,"À retenir si besoin","Non recommandé"))))</f>
        <v/>
      </c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4">
        <f>IF(C68&lt;&gt;"",SUM(C68:G68),"")</f>
        <v/>
      </c>
      <c r="I68" s="5">
        <f>IF(H68="","",IF(H68&gt;=30,5,IF(H68&gt;=25,4,IF(H68&gt;=20,3,IF(H68&gt;=15,2,1)))))</f>
        <v/>
      </c>
      <c r="J68" s="5">
        <f>IF(I68="","",IF(I68&gt;=4,"Recommandé pour CDI",IF(I68&gt;=3,"Recommandé pour renouvellement",IF(I68&gt;=2,"À retenir si besoin","Non recommandé"))))</f>
        <v/>
      </c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25">
        <f>IF(C69&lt;&gt;"",SUM(C69:G69),"")</f>
        <v/>
      </c>
      <c r="I69" s="8">
        <f>IF(H69="","",IF(H69&gt;=30,5,IF(H69&gt;=25,4,IF(H69&gt;=20,3,IF(H69&gt;=15,2,1)))))</f>
        <v/>
      </c>
      <c r="J69" s="8">
        <f>IF(I69="","",IF(I69&gt;=4,"Recommandé pour CDI",IF(I69&gt;=3,"Recommandé pour renouvellement",IF(I69&gt;=2,"À retenir si besoin","Non recommandé"))))</f>
        <v/>
      </c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4">
        <f>IF(C70&lt;&gt;"",SUM(C70:G70),"")</f>
        <v/>
      </c>
      <c r="I70" s="5">
        <f>IF(H70="","",IF(H70&gt;=30,5,IF(H70&gt;=25,4,IF(H70&gt;=20,3,IF(H70&gt;=15,2,1)))))</f>
        <v/>
      </c>
      <c r="J70" s="5">
        <f>IF(I70="","",IF(I70&gt;=4,"Recommandé pour CDI",IF(I70&gt;=3,"Recommandé pour renouvellement",IF(I70&gt;=2,"À retenir si besoin","Non recommandé"))))</f>
        <v/>
      </c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25">
        <f>IF(C71&lt;&gt;"",SUM(C71:G71),"")</f>
        <v/>
      </c>
      <c r="I71" s="8">
        <f>IF(H71="","",IF(H71&gt;=30,5,IF(H71&gt;=25,4,IF(H71&gt;=20,3,IF(H71&gt;=15,2,1)))))</f>
        <v/>
      </c>
      <c r="J71" s="8">
        <f>IF(I71="","",IF(I71&gt;=4,"Recommandé pour CDI",IF(I71&gt;=3,"Recommandé pour renouvellement",IF(I71&gt;=2,"À retenir si besoin","Non recommandé"))))</f>
        <v/>
      </c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4">
        <f>IF(C72&lt;&gt;"",SUM(C72:G72),"")</f>
        <v/>
      </c>
      <c r="I72" s="5">
        <f>IF(H72="","",IF(H72&gt;=30,5,IF(H72&gt;=25,4,IF(H72&gt;=20,3,IF(H72&gt;=15,2,1)))))</f>
        <v/>
      </c>
      <c r="J72" s="5">
        <f>IF(I72="","",IF(I72&gt;=4,"Recommandé pour CDI",IF(I72&gt;=3,"Recommandé pour renouvellement",IF(I72&gt;=2,"À retenir si besoin","Non recommandé"))))</f>
        <v/>
      </c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25">
        <f>IF(C73&lt;&gt;"",SUM(C73:G73),"")</f>
        <v/>
      </c>
      <c r="I73" s="8">
        <f>IF(H73="","",IF(H73&gt;=30,5,IF(H73&gt;=25,4,IF(H73&gt;=20,3,IF(H73&gt;=15,2,1)))))</f>
        <v/>
      </c>
      <c r="J73" s="8">
        <f>IF(I73="","",IF(I73&gt;=4,"Recommandé pour CDI",IF(I73&gt;=3,"Recommandé pour renouvellement",IF(I73&gt;=2,"À retenir si besoin","Non recommandé"))))</f>
        <v/>
      </c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4">
        <f>IF(C74&lt;&gt;"",SUM(C74:G74),"")</f>
        <v/>
      </c>
      <c r="I74" s="5">
        <f>IF(H74="","",IF(H74&gt;=30,5,IF(H74&gt;=25,4,IF(H74&gt;=20,3,IF(H74&gt;=15,2,1)))))</f>
        <v/>
      </c>
      <c r="J74" s="5">
        <f>IF(I74="","",IF(I74&gt;=4,"Recommandé pour CDI",IF(I74&gt;=3,"Recommandé pour renouvellement",IF(I74&gt;=2,"À retenir si besoin","Non recommandé"))))</f>
        <v/>
      </c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25">
        <f>IF(C75&lt;&gt;"",SUM(C75:G75),"")</f>
        <v/>
      </c>
      <c r="I75" s="8">
        <f>IF(H75="","",IF(H75&gt;=30,5,IF(H75&gt;=25,4,IF(H75&gt;=20,3,IF(H75&gt;=15,2,1)))))</f>
        <v/>
      </c>
      <c r="J75" s="8">
        <f>IF(I75="","",IF(I75&gt;=4,"Recommandé pour CDI",IF(I75&gt;=3,"Recommandé pour renouvellement",IF(I75&gt;=2,"À retenir si besoin","Non recommandé"))))</f>
        <v/>
      </c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4">
        <f>IF(C76&lt;&gt;"",SUM(C76:G76),"")</f>
        <v/>
      </c>
      <c r="I76" s="5">
        <f>IF(H76="","",IF(H76&gt;=30,5,IF(H76&gt;=25,4,IF(H76&gt;=20,3,IF(H76&gt;=15,2,1)))))</f>
        <v/>
      </c>
      <c r="J76" s="5">
        <f>IF(I76="","",IF(I76&gt;=4,"Recommandé pour CDI",IF(I76&gt;=3,"Recommandé pour renouvellement",IF(I76&gt;=2,"À retenir si besoin","Non recommandé"))))</f>
        <v/>
      </c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25">
        <f>IF(C77&lt;&gt;"",SUM(C77:G77),"")</f>
        <v/>
      </c>
      <c r="I77" s="8">
        <f>IF(H77="","",IF(H77&gt;=30,5,IF(H77&gt;=25,4,IF(H77&gt;=20,3,IF(H77&gt;=15,2,1)))))</f>
        <v/>
      </c>
      <c r="J77" s="8">
        <f>IF(I77="","",IF(I77&gt;=4,"Recommandé pour CDI",IF(I77&gt;=3,"Recommandé pour renouvellement",IF(I77&gt;=2,"À retenir si besoin","Non recommandé"))))</f>
        <v/>
      </c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4">
        <f>IF(C78&lt;&gt;"",SUM(C78:G78),"")</f>
        <v/>
      </c>
      <c r="I78" s="5">
        <f>IF(H78="","",IF(H78&gt;=30,5,IF(H78&gt;=25,4,IF(H78&gt;=20,3,IF(H78&gt;=15,2,1)))))</f>
        <v/>
      </c>
      <c r="J78" s="5">
        <f>IF(I78="","",IF(I78&gt;=4,"Recommandé pour CDI",IF(I78&gt;=3,"Recommandé pour renouvellement",IF(I78&gt;=2,"À retenir si besoin","Non recommandé"))))</f>
        <v/>
      </c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25">
        <f>IF(C79&lt;&gt;"",SUM(C79:G79),"")</f>
        <v/>
      </c>
      <c r="I79" s="8">
        <f>IF(H79="","",IF(H79&gt;=30,5,IF(H79&gt;=25,4,IF(H79&gt;=20,3,IF(H79&gt;=15,2,1)))))</f>
        <v/>
      </c>
      <c r="J79" s="8">
        <f>IF(I79="","",IF(I79&gt;=4,"Recommandé pour CDI",IF(I79&gt;=3,"Recommandé pour renouvellement",IF(I79&gt;=2,"À retenir si besoin","Non recommandé"))))</f>
        <v/>
      </c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4">
        <f>IF(C80&lt;&gt;"",SUM(C80:G80),"")</f>
        <v/>
      </c>
      <c r="I80" s="5">
        <f>IF(H80="","",IF(H80&gt;=30,5,IF(H80&gt;=25,4,IF(H80&gt;=20,3,IF(H80&gt;=15,2,1)))))</f>
        <v/>
      </c>
      <c r="J80" s="5">
        <f>IF(I80="","",IF(I80&gt;=4,"Recommandé pour CDI",IF(I80&gt;=3,"Recommandé pour renouvellement",IF(I80&gt;=2,"À retenir si besoin","Non recommandé"))))</f>
        <v/>
      </c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25">
        <f>IF(C81&lt;&gt;"",SUM(C81:G81),"")</f>
        <v/>
      </c>
      <c r="I81" s="8">
        <f>IF(H81="","",IF(H81&gt;=30,5,IF(H81&gt;=25,4,IF(H81&gt;=20,3,IF(H81&gt;=15,2,1)))))</f>
        <v/>
      </c>
      <c r="J81" s="8">
        <f>IF(I81="","",IF(I81&gt;=4,"Recommandé pour CDI",IF(I81&gt;=3,"Recommandé pour renouvellement",IF(I81&gt;=2,"À retenir si besoin","Non recommandé"))))</f>
        <v/>
      </c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4">
        <f>IF(C82&lt;&gt;"",SUM(C82:G82),"")</f>
        <v/>
      </c>
      <c r="I82" s="5">
        <f>IF(H82="","",IF(H82&gt;=30,5,IF(H82&gt;=25,4,IF(H82&gt;=20,3,IF(H82&gt;=15,2,1)))))</f>
        <v/>
      </c>
      <c r="J82" s="5">
        <f>IF(I82="","",IF(I82&gt;=4,"Recommandé pour CDI",IF(I82&gt;=3,"Recommandé pour renouvellement",IF(I82&gt;=2,"À retenir si besoin","Non recommandé"))))</f>
        <v/>
      </c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25">
        <f>IF(C83&lt;&gt;"",SUM(C83:G83),"")</f>
        <v/>
      </c>
      <c r="I83" s="8">
        <f>IF(H83="","",IF(H83&gt;=30,5,IF(H83&gt;=25,4,IF(H83&gt;=20,3,IF(H83&gt;=15,2,1)))))</f>
        <v/>
      </c>
      <c r="J83" s="8">
        <f>IF(I83="","",IF(I83&gt;=4,"Recommandé pour CDI",IF(I83&gt;=3,"Recommandé pour renouvellement",IF(I83&gt;=2,"À retenir si besoin","Non recommandé"))))</f>
        <v/>
      </c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4">
        <f>IF(C84&lt;&gt;"",SUM(C84:G84),"")</f>
        <v/>
      </c>
      <c r="I84" s="5">
        <f>IF(H84="","",IF(H84&gt;=30,5,IF(H84&gt;=25,4,IF(H84&gt;=20,3,IF(H84&gt;=15,2,1)))))</f>
        <v/>
      </c>
      <c r="J84" s="5">
        <f>IF(I84="","",IF(I84&gt;=4,"Recommandé pour CDI",IF(I84&gt;=3,"Recommandé pour renouvellement",IF(I84&gt;=2,"À retenir si besoin","Non recommandé"))))</f>
        <v/>
      </c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25">
        <f>IF(C85&lt;&gt;"",SUM(C85:G85),"")</f>
        <v/>
      </c>
      <c r="I85" s="8">
        <f>IF(H85="","",IF(H85&gt;=30,5,IF(H85&gt;=25,4,IF(H85&gt;=20,3,IF(H85&gt;=15,2,1)))))</f>
        <v/>
      </c>
      <c r="J85" s="8">
        <f>IF(I85="","",IF(I85&gt;=4,"Recommandé pour CDI",IF(I85&gt;=3,"Recommandé pour renouvellement",IF(I85&gt;=2,"À retenir si besoin","Non recommandé"))))</f>
        <v/>
      </c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4">
        <f>IF(C86&lt;&gt;"",SUM(C86:G86),"")</f>
        <v/>
      </c>
      <c r="I86" s="5">
        <f>IF(H86="","",IF(H86&gt;=30,5,IF(H86&gt;=25,4,IF(H86&gt;=20,3,IF(H86&gt;=15,2,1)))))</f>
        <v/>
      </c>
      <c r="J86" s="5">
        <f>IF(I86="","",IF(I86&gt;=4,"Recommandé pour CDI",IF(I86&gt;=3,"Recommandé pour renouvellement",IF(I86&gt;=2,"À retenir si besoin","Non recommandé"))))</f>
        <v/>
      </c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25">
        <f>IF(C87&lt;&gt;"",SUM(C87:G87),"")</f>
        <v/>
      </c>
      <c r="I87" s="8">
        <f>IF(H87="","",IF(H87&gt;=30,5,IF(H87&gt;=25,4,IF(H87&gt;=20,3,IF(H87&gt;=15,2,1)))))</f>
        <v/>
      </c>
      <c r="J87" s="8">
        <f>IF(I87="","",IF(I87&gt;=4,"Recommandé pour CDI",IF(I87&gt;=3,"Recommandé pour renouvellement",IF(I87&gt;=2,"À retenir si besoin","Non recommandé"))))</f>
        <v/>
      </c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4">
        <f>IF(C88&lt;&gt;"",SUM(C88:G88),"")</f>
        <v/>
      </c>
      <c r="I88" s="5">
        <f>IF(H88="","",IF(H88&gt;=30,5,IF(H88&gt;=25,4,IF(H88&gt;=20,3,IF(H88&gt;=15,2,1)))))</f>
        <v/>
      </c>
      <c r="J88" s="5">
        <f>IF(I88="","",IF(I88&gt;=4,"Recommandé pour CDI",IF(I88&gt;=3,"Recommandé pour renouvellement",IF(I88&gt;=2,"À retenir si besoin","Non recommandé"))))</f>
        <v/>
      </c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25">
        <f>IF(C89&lt;&gt;"",SUM(C89:G89),"")</f>
        <v/>
      </c>
      <c r="I89" s="8">
        <f>IF(H89="","",IF(H89&gt;=30,5,IF(H89&gt;=25,4,IF(H89&gt;=20,3,IF(H89&gt;=15,2,1)))))</f>
        <v/>
      </c>
      <c r="J89" s="8">
        <f>IF(I89="","",IF(I89&gt;=4,"Recommandé pour CDI",IF(I89&gt;=3,"Recommandé pour renouvellement",IF(I89&gt;=2,"À retenir si besoin","Non recommandé"))))</f>
        <v/>
      </c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4">
        <f>IF(C90&lt;&gt;"",SUM(C90:G90),"")</f>
        <v/>
      </c>
      <c r="I90" s="5">
        <f>IF(H90="","",IF(H90&gt;=30,5,IF(H90&gt;=25,4,IF(H90&gt;=20,3,IF(H90&gt;=15,2,1)))))</f>
        <v/>
      </c>
      <c r="J90" s="5">
        <f>IF(I90="","",IF(I90&gt;=4,"Recommandé pour CDI",IF(I90&gt;=3,"Recommandé pour renouvellement",IF(I90&gt;=2,"À retenir si besoin","Non recommandé"))))</f>
        <v/>
      </c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25">
        <f>IF(C91&lt;&gt;"",SUM(C91:G91),"")</f>
        <v/>
      </c>
      <c r="I91" s="8">
        <f>IF(H91="","",IF(H91&gt;=30,5,IF(H91&gt;=25,4,IF(H91&gt;=20,3,IF(H91&gt;=15,2,1)))))</f>
        <v/>
      </c>
      <c r="J91" s="8">
        <f>IF(I91="","",IF(I91&gt;=4,"Recommandé pour CDI",IF(I91&gt;=3,"Recommandé pour renouvellement",IF(I91&gt;=2,"À retenir si besoin","Non recommandé"))))</f>
        <v/>
      </c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4">
        <f>IF(C92&lt;&gt;"",SUM(C92:G92),"")</f>
        <v/>
      </c>
      <c r="I92" s="5">
        <f>IF(H92="","",IF(H92&gt;=30,5,IF(H92&gt;=25,4,IF(H92&gt;=20,3,IF(H92&gt;=15,2,1)))))</f>
        <v/>
      </c>
      <c r="J92" s="5">
        <f>IF(I92="","",IF(I92&gt;=4,"Recommandé pour CDI",IF(I92&gt;=3,"Recommandé pour renouvellement",IF(I92&gt;=2,"À retenir si besoin","Non recommandé"))))</f>
        <v/>
      </c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25">
        <f>IF(C93&lt;&gt;"",SUM(C93:G93),"")</f>
        <v/>
      </c>
      <c r="I93" s="8">
        <f>IF(H93="","",IF(H93&gt;=30,5,IF(H93&gt;=25,4,IF(H93&gt;=20,3,IF(H93&gt;=15,2,1)))))</f>
        <v/>
      </c>
      <c r="J93" s="8">
        <f>IF(I93="","",IF(I93&gt;=4,"Recommandé pour CDI",IF(I93&gt;=3,"Recommandé pour renouvellement",IF(I93&gt;=2,"À retenir si besoin","Non recommandé"))))</f>
        <v/>
      </c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4">
        <f>IF(C94&lt;&gt;"",SUM(C94:G94),"")</f>
        <v/>
      </c>
      <c r="I94" s="5">
        <f>IF(H94="","",IF(H94&gt;=30,5,IF(H94&gt;=25,4,IF(H94&gt;=20,3,IF(H94&gt;=15,2,1)))))</f>
        <v/>
      </c>
      <c r="J94" s="5">
        <f>IF(I94="","",IF(I94&gt;=4,"Recommandé pour CDI",IF(I94&gt;=3,"Recommandé pour renouvellement",IF(I94&gt;=2,"À retenir si besoin","Non recommandé"))))</f>
        <v/>
      </c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25">
        <f>IF(C95&lt;&gt;"",SUM(C95:G95),"")</f>
        <v/>
      </c>
      <c r="I95" s="8">
        <f>IF(H95="","",IF(H95&gt;=30,5,IF(H95&gt;=25,4,IF(H95&gt;=20,3,IF(H95&gt;=15,2,1)))))</f>
        <v/>
      </c>
      <c r="J95" s="8">
        <f>IF(I95="","",IF(I95&gt;=4,"Recommandé pour CDI",IF(I95&gt;=3,"Recommandé pour renouvellement",IF(I95&gt;=2,"À retenir si besoin","Non recommandé"))))</f>
        <v/>
      </c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4">
        <f>IF(C96&lt;&gt;"",SUM(C96:G96),"")</f>
        <v/>
      </c>
      <c r="I96" s="5">
        <f>IF(H96="","",IF(H96&gt;=30,5,IF(H96&gt;=25,4,IF(H96&gt;=20,3,IF(H96&gt;=15,2,1)))))</f>
        <v/>
      </c>
      <c r="J96" s="5">
        <f>IF(I96="","",IF(I96&gt;=4,"Recommandé pour CDI",IF(I96&gt;=3,"Recommandé pour renouvellement",IF(I96&gt;=2,"À retenir si besoin","Non recommandé"))))</f>
        <v/>
      </c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25">
        <f>IF(C97&lt;&gt;"",SUM(C97:G97),"")</f>
        <v/>
      </c>
      <c r="I97" s="8">
        <f>IF(H97="","",IF(H97&gt;=30,5,IF(H97&gt;=25,4,IF(H97&gt;=20,3,IF(H97&gt;=15,2,1)))))</f>
        <v/>
      </c>
      <c r="J97" s="8">
        <f>IF(I97="","",IF(I97&gt;=4,"Recommandé pour CDI",IF(I97&gt;=3,"Recommandé pour renouvellement",IF(I97&gt;=2,"À retenir si besoin","Non recommandé"))))</f>
        <v/>
      </c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4">
        <f>IF(C98&lt;&gt;"",SUM(C98:G98),"")</f>
        <v/>
      </c>
      <c r="I98" s="5">
        <f>IF(H98="","",IF(H98&gt;=30,5,IF(H98&gt;=25,4,IF(H98&gt;=20,3,IF(H98&gt;=15,2,1)))))</f>
        <v/>
      </c>
      <c r="J98" s="5">
        <f>IF(I98="","",IF(I98&gt;=4,"Recommandé pour CDI",IF(I98&gt;=3,"Recommandé pour renouvellement",IF(I98&gt;=2,"À retenir si besoin","Non recommandé"))))</f>
        <v/>
      </c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25">
        <f>IF(C99&lt;&gt;"",SUM(C99:G99),"")</f>
        <v/>
      </c>
      <c r="I99" s="8">
        <f>IF(H99="","",IF(H99&gt;=30,5,IF(H99&gt;=25,4,IF(H99&gt;=20,3,IF(H99&gt;=15,2,1)))))</f>
        <v/>
      </c>
      <c r="J99" s="8">
        <f>IF(I99="","",IF(I99&gt;=4,"Recommandé pour CDI",IF(I99&gt;=3,"Recommandé pour renouvellement",IF(I99&gt;=2,"À retenir si besoin","Non recommandé"))))</f>
        <v/>
      </c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4">
        <f>IF(C100&lt;&gt;"",SUM(C100:G100),"")</f>
        <v/>
      </c>
      <c r="I100" s="5">
        <f>IF(H100="","",IF(H100&gt;=30,5,IF(H100&gt;=25,4,IF(H100&gt;=20,3,IF(H100&gt;=15,2,1)))))</f>
        <v/>
      </c>
      <c r="J100" s="5">
        <f>IF(I100="","",IF(I100&gt;=4,"Recommandé pour CDI",IF(I100&gt;=3,"Recommandé pour renouvellement",IF(I100&gt;=2,"À retenir si besoin","Non recommandé"))))</f>
        <v/>
      </c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25">
        <f>IF(C101&lt;&gt;"",SUM(C101:G101),"")</f>
        <v/>
      </c>
      <c r="I101" s="8">
        <f>IF(H101="","",IF(H101&gt;=30,5,IF(H101&gt;=25,4,IF(H101&gt;=20,3,IF(H101&gt;=15,2,1)))))</f>
        <v/>
      </c>
      <c r="J101" s="8">
        <f>IF(I101="","",IF(I101&gt;=4,"Recommandé pour CDI",IF(I101&gt;=3,"Recommandé pour renouvellement",IF(I101&gt;=2,"À retenir si besoin","Non recommandé"))))</f>
        <v/>
      </c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4">
        <f>IF(C102&lt;&gt;"",SUM(C102:G102),"")</f>
        <v/>
      </c>
      <c r="I102" s="5">
        <f>IF(H102="","",IF(H102&gt;=30,5,IF(H102&gt;=25,4,IF(H102&gt;=20,3,IF(H102&gt;=15,2,1)))))</f>
        <v/>
      </c>
      <c r="J102" s="5">
        <f>IF(I102="","",IF(I102&gt;=4,"Recommandé pour CDI",IF(I102&gt;=3,"Recommandé pour renouvellement",IF(I102&gt;=2,"À retenir si besoin","Non recommandé"))))</f>
        <v/>
      </c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25">
        <f>IF(C103&lt;&gt;"",SUM(C103:G103),"")</f>
        <v/>
      </c>
      <c r="I103" s="8">
        <f>IF(H103="","",IF(H103&gt;=30,5,IF(H103&gt;=25,4,IF(H103&gt;=20,3,IF(H103&gt;=15,2,1)))))</f>
        <v/>
      </c>
      <c r="J103" s="8">
        <f>IF(I103="","",IF(I103&gt;=4,"Recommandé pour CDI",IF(I103&gt;=3,"Recommandé pour renouvellement",IF(I103&gt;=2,"À retenir si besoin","Non recommandé"))))</f>
        <v/>
      </c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4">
        <f>IF(C104&lt;&gt;"",SUM(C104:G104),"")</f>
        <v/>
      </c>
      <c r="I104" s="5">
        <f>IF(H104="","",IF(H104&gt;=30,5,IF(H104&gt;=25,4,IF(H104&gt;=20,3,IF(H104&gt;=15,2,1)))))</f>
        <v/>
      </c>
      <c r="J104" s="5">
        <f>IF(I104="","",IF(I104&gt;=4,"Recommandé pour CDI",IF(I104&gt;=3,"Recommandé pour renouvellement",IF(I104&gt;=2,"À retenir si besoin","Non recommandé"))))</f>
        <v/>
      </c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25">
        <f>IF(C105&lt;&gt;"",SUM(C105:G105),"")</f>
        <v/>
      </c>
      <c r="I105" s="8">
        <f>IF(H105="","",IF(H105&gt;=30,5,IF(H105&gt;=25,4,IF(H105&gt;=20,3,IF(H105&gt;=15,2,1)))))</f>
        <v/>
      </c>
      <c r="J105" s="8">
        <f>IF(I105="","",IF(I105&gt;=4,"Recommandé pour CDI",IF(I105&gt;=3,"Recommandé pour renouvellement",IF(I105&gt;=2,"À retenir si besoin","Non recommandé"))))</f>
        <v/>
      </c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4">
        <f>IF(C106&lt;&gt;"",SUM(C106:G106),"")</f>
        <v/>
      </c>
      <c r="I106" s="5">
        <f>IF(H106="","",IF(H106&gt;=30,5,IF(H106&gt;=25,4,IF(H106&gt;=20,3,IF(H106&gt;=15,2,1)))))</f>
        <v/>
      </c>
      <c r="J106" s="5">
        <f>IF(I106="","",IF(I106&gt;=4,"Recommandé pour CDI",IF(I106&gt;=3,"Recommandé pour renouvellement",IF(I106&gt;=2,"À retenir si besoin","Non recommandé"))))</f>
        <v/>
      </c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25">
        <f>IF(C107&lt;&gt;"",SUM(C107:G107),"")</f>
        <v/>
      </c>
      <c r="I107" s="8">
        <f>IF(H107="","",IF(H107&gt;=30,5,IF(H107&gt;=25,4,IF(H107&gt;=20,3,IF(H107&gt;=15,2,1)))))</f>
        <v/>
      </c>
      <c r="J107" s="8">
        <f>IF(I107="","",IF(I107&gt;=4,"Recommandé pour CDI",IF(I107&gt;=3,"Recommandé pour renouvellement",IF(I107&gt;=2,"À retenir si besoin","Non recommandé"))))</f>
        <v/>
      </c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4">
        <f>IF(C108&lt;&gt;"",SUM(C108:G108),"")</f>
        <v/>
      </c>
      <c r="I108" s="5">
        <f>IF(H108="","",IF(H108&gt;=30,5,IF(H108&gt;=25,4,IF(H108&gt;=20,3,IF(H108&gt;=15,2,1)))))</f>
        <v/>
      </c>
      <c r="J108" s="5">
        <f>IF(I108="","",IF(I108&gt;=4,"Recommandé pour CDI",IF(I108&gt;=3,"Recommandé pour renouvellement",IF(I108&gt;=2,"À retenir si besoin","Non recommandé"))))</f>
        <v/>
      </c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25">
        <f>IF(C109&lt;&gt;"",SUM(C109:G109),"")</f>
        <v/>
      </c>
      <c r="I109" s="8">
        <f>IF(H109="","",IF(H109&gt;=30,5,IF(H109&gt;=25,4,IF(H109&gt;=20,3,IF(H109&gt;=15,2,1)))))</f>
        <v/>
      </c>
      <c r="J109" s="8">
        <f>IF(I109="","",IF(I109&gt;=4,"Recommandé pour CDI",IF(I109&gt;=3,"Recommandé pour renouvellement",IF(I109&gt;=2,"À retenir si besoin","Non recommandé"))))</f>
        <v/>
      </c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4">
        <f>IF(C110&lt;&gt;"",SUM(C110:G110),"")</f>
        <v/>
      </c>
      <c r="I110" s="5">
        <f>IF(H110="","",IF(H110&gt;=30,5,IF(H110&gt;=25,4,IF(H110&gt;=20,3,IF(H110&gt;=15,2,1)))))</f>
        <v/>
      </c>
      <c r="J110" s="5">
        <f>IF(I110="","",IF(I110&gt;=4,"Recommandé pour CDI",IF(I110&gt;=3,"Recommandé pour renouvellement",IF(I110&gt;=2,"À retenir si besoin","Non recommandé"))))</f>
        <v/>
      </c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25">
        <f>IF(C111&lt;&gt;"",SUM(C111:G111),"")</f>
        <v/>
      </c>
      <c r="I111" s="8">
        <f>IF(H111="","",IF(H111&gt;=30,5,IF(H111&gt;=25,4,IF(H111&gt;=20,3,IF(H111&gt;=15,2,1)))))</f>
        <v/>
      </c>
      <c r="J111" s="8">
        <f>IF(I111="","",IF(I111&gt;=4,"Recommandé pour CDI",IF(I111&gt;=3,"Recommandé pour renouvellement",IF(I111&gt;=2,"À retenir si besoin","Non recommandé"))))</f>
        <v/>
      </c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4">
        <f>IF(C112&lt;&gt;"",SUM(C112:G112),"")</f>
        <v/>
      </c>
      <c r="I112" s="5">
        <f>IF(H112="","",IF(H112&gt;=30,5,IF(H112&gt;=25,4,IF(H112&gt;=20,3,IF(H112&gt;=15,2,1)))))</f>
        <v/>
      </c>
      <c r="J112" s="5">
        <f>IF(I112="","",IF(I112&gt;=4,"Recommandé pour CDI",IF(I112&gt;=3,"Recommandé pour renouvellement",IF(I112&gt;=2,"À retenir si besoin","Non recommandé"))))</f>
        <v/>
      </c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25">
        <f>IF(C113&lt;&gt;"",SUM(C113:G113),"")</f>
        <v/>
      </c>
      <c r="I113" s="8">
        <f>IF(H113="","",IF(H113&gt;=30,5,IF(H113&gt;=25,4,IF(H113&gt;=20,3,IF(H113&gt;=15,2,1)))))</f>
        <v/>
      </c>
      <c r="J113" s="8">
        <f>IF(I113="","",IF(I113&gt;=4,"Recommandé pour CDI",IF(I113&gt;=3,"Recommandé pour renouvellement",IF(I113&gt;=2,"À retenir si besoin","Non recommandé"))))</f>
        <v/>
      </c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4">
        <f>IF(C114&lt;&gt;"",SUM(C114:G114),"")</f>
        <v/>
      </c>
      <c r="I114" s="5">
        <f>IF(H114="","",IF(H114&gt;=30,5,IF(H114&gt;=25,4,IF(H114&gt;=20,3,IF(H114&gt;=15,2,1)))))</f>
        <v/>
      </c>
      <c r="J114" s="5">
        <f>IF(I114="","",IF(I114&gt;=4,"Recommandé pour CDI",IF(I114&gt;=3,"Recommandé pour renouvellement",IF(I114&gt;=2,"À retenir si besoin","Non recommandé"))))</f>
        <v/>
      </c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25">
        <f>IF(C115&lt;&gt;"",SUM(C115:G115),"")</f>
        <v/>
      </c>
      <c r="I115" s="8">
        <f>IF(H115="","",IF(H115&gt;=30,5,IF(H115&gt;=25,4,IF(H115&gt;=20,3,IF(H115&gt;=15,2,1)))))</f>
        <v/>
      </c>
      <c r="J115" s="8">
        <f>IF(I115="","",IF(I115&gt;=4,"Recommandé pour CDI",IF(I115&gt;=3,"Recommandé pour renouvellement",IF(I115&gt;=2,"À retenir si besoin","Non recommandé"))))</f>
        <v/>
      </c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B6:B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_Lists'!$S$6:$S$10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_Lists'!$T$6:$T$9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20" customWidth="1" min="5" max="5"/>
    <col width="18" customWidth="1" min="6" max="6"/>
    <col width="18" customWidth="1" min="7" max="7"/>
    <col width="22" customWidth="1" min="8" max="8"/>
    <col width="22" customWidth="1" min="9" max="9"/>
    <col width="18" customWidth="1" min="10" max="10"/>
    <col width="14" customWidth="1" min="11" max="11"/>
    <col width="22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9-SUIVI DES COÛTS DU TRAVAIL TEMPORAIRE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Mois</t>
        </is>
      </c>
      <c r="B5" s="4" t="inlineStr">
        <is>
          <t>Nb Intérimaires</t>
        </is>
      </c>
      <c r="C5" s="4" t="inlineStr">
        <is>
          <t>Coût Salaires (FCFA)</t>
        </is>
      </c>
      <c r="D5" s="4" t="inlineStr">
        <is>
          <t>Coût Agence (FCFA)</t>
        </is>
      </c>
      <c r="E5" s="4" t="inlineStr">
        <is>
          <t>Coût Hébergement (FCFA)</t>
        </is>
      </c>
      <c r="F5" s="4" t="inlineStr">
        <is>
          <t>Coût Transport (FCFA)</t>
        </is>
      </c>
      <c r="G5" s="4" t="inlineStr">
        <is>
          <t>Autres Coûts (FCFA)</t>
        </is>
      </c>
      <c r="H5" s="4" t="inlineStr">
        <is>
          <t>Coût Total Mois (FCFA)</t>
        </is>
      </c>
      <c r="I5" s="4" t="inlineStr">
        <is>
          <t>Budget Mensuel (FCFA)</t>
        </is>
      </c>
      <c r="J5" s="4" t="inlineStr">
        <is>
          <t>Écart (FCFA)</t>
        </is>
      </c>
      <c r="K5" s="4" t="inlineStr">
        <is>
          <t>% du Budget</t>
        </is>
      </c>
      <c r="L5" s="4" t="inlineStr">
        <is>
          <t>Cumul Annuel (FCFA)</t>
        </is>
      </c>
      <c r="M5" s="4" t="inlineStr">
        <is>
          <t>Observations</t>
        </is>
      </c>
      <c r="N5" s="4" t="inlineStr">
        <is>
          <t>Date MAJ</t>
        </is>
      </c>
    </row>
    <row r="6" ht="22" customHeight="1">
      <c r="A6" s="5" t="inlineStr">
        <is>
          <t>Janvier 2025</t>
        </is>
      </c>
      <c r="B6" s="7" t="n">
        <v>8</v>
      </c>
      <c r="C6" s="7" t="n">
        <v>2240000</v>
      </c>
      <c r="D6" s="7" t="n">
        <v>560000</v>
      </c>
      <c r="E6" s="7" t="n">
        <v>160000</v>
      </c>
      <c r="F6" s="7" t="n">
        <v>120000</v>
      </c>
      <c r="G6" s="7" t="n">
        <v>80000</v>
      </c>
      <c r="H6" s="24">
        <f>SUM(C6:G6)</f>
        <v/>
      </c>
      <c r="I6" s="7" t="n">
        <v>3500000</v>
      </c>
      <c r="J6" s="24">
        <f>IF(H6&lt;&gt;"",I6-H6,"")</f>
        <v/>
      </c>
      <c r="K6" s="28">
        <f>IF(AND(H6&lt;&gt;"",I6&lt;&gt;0),H6/I6,"")</f>
        <v/>
      </c>
      <c r="L6" s="24">
        <f>H6</f>
        <v/>
      </c>
      <c r="M6" s="5" t="inlineStr">
        <is>
          <t>Pic de saisonnalité</t>
        </is>
      </c>
      <c r="N6" s="6" t="n">
        <v>45693</v>
      </c>
    </row>
    <row r="7" ht="22" customHeight="1">
      <c r="A7" s="8" t="inlineStr">
        <is>
          <t>Février 2025</t>
        </is>
      </c>
      <c r="B7" s="10" t="n">
        <v>6</v>
      </c>
      <c r="C7" s="10" t="n">
        <v>1680000</v>
      </c>
      <c r="D7" s="10" t="n">
        <v>420000</v>
      </c>
      <c r="E7" s="10" t="n">
        <v>120000</v>
      </c>
      <c r="F7" s="10" t="n">
        <v>90000</v>
      </c>
      <c r="G7" s="10" t="n">
        <v>60000</v>
      </c>
      <c r="H7" s="25">
        <f>SUM(C7:G7)</f>
        <v/>
      </c>
      <c r="I7" s="10" t="n">
        <v>3000000</v>
      </c>
      <c r="J7" s="25">
        <f>IF(H7&lt;&gt;"",I7-H7,"")</f>
        <v/>
      </c>
      <c r="K7" s="29">
        <f>IF(AND(H7&lt;&gt;"",I7&lt;&gt;0),H7/I7,"")</f>
        <v/>
      </c>
      <c r="L7" s="25">
        <f>L6+H7</f>
        <v/>
      </c>
      <c r="M7" s="8" t="inlineStr">
        <is>
          <t>Activité normale</t>
        </is>
      </c>
      <c r="N7" s="9" t="n">
        <v>45721</v>
      </c>
    </row>
    <row r="8" ht="22" customHeight="1">
      <c r="A8" s="5" t="inlineStr">
        <is>
          <t>Mars 2025</t>
        </is>
      </c>
      <c r="B8" s="7" t="n">
        <v>7</v>
      </c>
      <c r="C8" s="7" t="n">
        <v>1960000</v>
      </c>
      <c r="D8" s="7" t="n">
        <v>490000</v>
      </c>
      <c r="E8" s="7" t="n">
        <v>140000</v>
      </c>
      <c r="F8" s="7" t="n">
        <v>105000</v>
      </c>
      <c r="G8" s="7" t="n">
        <v>70000</v>
      </c>
      <c r="H8" s="24">
        <f>SUM(C8:G8)</f>
        <v/>
      </c>
      <c r="I8" s="7" t="n">
        <v>3200000</v>
      </c>
      <c r="J8" s="24">
        <f>IF(H8&lt;&gt;"",I8-H8,"")</f>
        <v/>
      </c>
      <c r="K8" s="28">
        <f>IF(AND(H8&lt;&gt;"",I8&lt;&gt;0),H8/I8,"")</f>
        <v/>
      </c>
      <c r="L8" s="24">
        <f>L7+H8</f>
        <v/>
      </c>
      <c r="M8" s="5" t="inlineStr">
        <is>
          <t>Rénovation piscine en cours</t>
        </is>
      </c>
      <c r="N8" s="6" t="n">
        <v>45752</v>
      </c>
    </row>
    <row r="9" ht="22" customHeight="1">
      <c r="A9" s="8" t="inlineStr">
        <is>
          <t>Avril 2025</t>
        </is>
      </c>
      <c r="B9" s="10" t="n">
        <v>5</v>
      </c>
      <c r="C9" s="10" t="n">
        <v>1400000</v>
      </c>
      <c r="D9" s="10" t="n">
        <v>350000</v>
      </c>
      <c r="E9" s="10" t="n">
        <v>100000</v>
      </c>
      <c r="F9" s="10" t="n">
        <v>75000</v>
      </c>
      <c r="G9" s="10" t="n">
        <v>50000</v>
      </c>
      <c r="H9" s="25">
        <f>SUM(C9:G9)</f>
        <v/>
      </c>
      <c r="I9" s="10" t="n">
        <v>2800000</v>
      </c>
      <c r="J9" s="25">
        <f>IF(H9&lt;&gt;"",I9-H9,"")</f>
        <v/>
      </c>
      <c r="K9" s="29">
        <f>IF(AND(H9&lt;&gt;"",I9&lt;&gt;0),H9/I9,"")</f>
        <v/>
      </c>
      <c r="L9" s="25">
        <f>L8+H9</f>
        <v/>
      </c>
      <c r="M9" s="8" t="inlineStr">
        <is>
          <t>Basse saison</t>
        </is>
      </c>
      <c r="N9" s="9" t="n">
        <v>45782</v>
      </c>
    </row>
    <row r="10" ht="22" customHeight="1">
      <c r="A10" s="5" t="inlineStr">
        <is>
          <t>Mai 2025</t>
        </is>
      </c>
      <c r="B10" s="7" t="n">
        <v>5</v>
      </c>
      <c r="C10" s="7" t="n">
        <v>1400000</v>
      </c>
      <c r="D10" s="7" t="n">
        <v>350000</v>
      </c>
      <c r="E10" s="7" t="n">
        <v>100000</v>
      </c>
      <c r="F10" s="7" t="n">
        <v>75000</v>
      </c>
      <c r="G10" s="7" t="n">
        <v>50000</v>
      </c>
      <c r="H10" s="24">
        <f>SUM(C10:G10)</f>
        <v/>
      </c>
      <c r="I10" s="7" t="n">
        <v>2800000</v>
      </c>
      <c r="J10" s="24">
        <f>IF(H10&lt;&gt;"",I10-H10,"")</f>
        <v/>
      </c>
      <c r="K10" s="28">
        <f>IF(AND(H10&lt;&gt;"",I10&lt;&gt;0),H10/I10,"")</f>
        <v/>
      </c>
      <c r="L10" s="24">
        <f>L9+H10</f>
        <v/>
      </c>
      <c r="M10" s="5" t="inlineStr">
        <is>
          <t>Basse saison</t>
        </is>
      </c>
      <c r="N10" s="6" t="n">
        <v>45813</v>
      </c>
    </row>
    <row r="11" ht="22" customHeight="1">
      <c r="A11" s="8" t="inlineStr">
        <is>
          <t>Juin 2025</t>
        </is>
      </c>
      <c r="B11" s="10" t="n">
        <v>7</v>
      </c>
      <c r="C11" s="10" t="n">
        <v>1960000</v>
      </c>
      <c r="D11" s="10" t="n">
        <v>490000</v>
      </c>
      <c r="E11" s="10" t="n">
        <v>140000</v>
      </c>
      <c r="F11" s="10" t="n">
        <v>105000</v>
      </c>
      <c r="G11" s="10" t="n">
        <v>70000</v>
      </c>
      <c r="H11" s="25">
        <f>SUM(C11:G11)</f>
        <v/>
      </c>
      <c r="I11" s="10" t="n">
        <v>3200000</v>
      </c>
      <c r="J11" s="25">
        <f>IF(H11&lt;&gt;"",I11-H11,"")</f>
        <v/>
      </c>
      <c r="K11" s="29">
        <f>IF(AND(H11&lt;&gt;"",I11&lt;&gt;0),H11/I11,"")</f>
        <v/>
      </c>
      <c r="L11" s="25">
        <f>L10+H11</f>
        <v/>
      </c>
      <c r="M11" s="8" t="inlineStr">
        <is>
          <t>Reprise saison estivale</t>
        </is>
      </c>
      <c r="N11" s="9" t="n">
        <v>45843</v>
      </c>
    </row>
    <row r="12" ht="22" customHeight="1">
      <c r="A12" s="5" t="inlineStr">
        <is>
          <t>Juillet 2025</t>
        </is>
      </c>
      <c r="B12" s="7" t="n">
        <v>10</v>
      </c>
      <c r="C12" s="7" t="n">
        <v>2800000</v>
      </c>
      <c r="D12" s="7" t="n">
        <v>700000</v>
      </c>
      <c r="E12" s="7" t="n">
        <v>200000</v>
      </c>
      <c r="F12" s="7" t="n">
        <v>150000</v>
      </c>
      <c r="G12" s="7" t="n">
        <v>100000</v>
      </c>
      <c r="H12" s="24">
        <f>SUM(C12:G12)</f>
        <v/>
      </c>
      <c r="I12" s="7" t="n">
        <v>4000000</v>
      </c>
      <c r="J12" s="24">
        <f>IF(H12&lt;&gt;"",I12-H12,"")</f>
        <v/>
      </c>
      <c r="K12" s="28">
        <f>IF(AND(H12&lt;&gt;"",I12&lt;&gt;0),H12/I12,"")</f>
        <v/>
      </c>
      <c r="L12" s="24">
        <f>L11+H12</f>
        <v/>
      </c>
      <c r="M12" s="5" t="inlineStr">
        <is>
          <t>Haute saison</t>
        </is>
      </c>
      <c r="N12" s="6" t="n">
        <v>45874</v>
      </c>
    </row>
    <row r="13" ht="22" customHeight="1">
      <c r="A13" s="8" t="inlineStr">
        <is>
          <t>Août 2025</t>
        </is>
      </c>
      <c r="B13" s="10" t="n">
        <v>10</v>
      </c>
      <c r="C13" s="10" t="n">
        <v>2800000</v>
      </c>
      <c r="D13" s="10" t="n">
        <v>700000</v>
      </c>
      <c r="E13" s="10" t="n">
        <v>200000</v>
      </c>
      <c r="F13" s="10" t="n">
        <v>150000</v>
      </c>
      <c r="G13" s="10" t="n">
        <v>100000</v>
      </c>
      <c r="H13" s="25">
        <f>SUM(C13:G13)</f>
        <v/>
      </c>
      <c r="I13" s="10" t="n">
        <v>4000000</v>
      </c>
      <c r="J13" s="25">
        <f>IF(H13&lt;&gt;"",I13-H13,"")</f>
        <v/>
      </c>
      <c r="K13" s="29">
        <f>IF(AND(H13&lt;&gt;"",I13&lt;&gt;0),H13/I13,"")</f>
        <v/>
      </c>
      <c r="L13" s="25">
        <f>L12+H13</f>
        <v/>
      </c>
      <c r="M13" s="8" t="inlineStr">
        <is>
          <t>Haute saison</t>
        </is>
      </c>
      <c r="N13" s="9" t="n">
        <v>45905</v>
      </c>
    </row>
    <row r="14" ht="22" customHeight="1">
      <c r="A14" s="5" t="inlineStr">
        <is>
          <t>Septembre 2025</t>
        </is>
      </c>
      <c r="B14" s="7" t="n">
        <v>6</v>
      </c>
      <c r="C14" s="7" t="n">
        <v>1680000</v>
      </c>
      <c r="D14" s="7" t="n">
        <v>420000</v>
      </c>
      <c r="E14" s="7" t="n">
        <v>120000</v>
      </c>
      <c r="F14" s="7" t="n">
        <v>90000</v>
      </c>
      <c r="G14" s="7" t="n">
        <v>60000</v>
      </c>
      <c r="H14" s="24">
        <f>SUM(C14:G14)</f>
        <v/>
      </c>
      <c r="I14" s="7" t="n">
        <v>3000000</v>
      </c>
      <c r="J14" s="24">
        <f>IF(H14&lt;&gt;"",I14-H14,"")</f>
        <v/>
      </c>
      <c r="K14" s="28">
        <f>IF(AND(H14&lt;&gt;"",I14&lt;&gt;0),H14/I14,"")</f>
        <v/>
      </c>
      <c r="L14" s="24">
        <f>L13+H14</f>
        <v/>
      </c>
      <c r="M14" s="5" t="inlineStr">
        <is>
          <t>Fin de saison estivale</t>
        </is>
      </c>
      <c r="N14" s="6" t="n">
        <v>45935</v>
      </c>
    </row>
    <row r="15" ht="22" customHeight="1">
      <c r="A15" s="8" t="inlineStr">
        <is>
          <t>Octobre 2025</t>
        </is>
      </c>
      <c r="B15" s="10" t="n">
        <v>5</v>
      </c>
      <c r="C15" s="10" t="n">
        <v>1400000</v>
      </c>
      <c r="D15" s="10" t="n">
        <v>350000</v>
      </c>
      <c r="E15" s="10" t="n">
        <v>100000</v>
      </c>
      <c r="F15" s="10" t="n">
        <v>75000</v>
      </c>
      <c r="G15" s="10" t="n">
        <v>50000</v>
      </c>
      <c r="H15" s="25">
        <f>SUM(C15:G15)</f>
        <v/>
      </c>
      <c r="I15" s="10" t="n">
        <v>2800000</v>
      </c>
      <c r="J15" s="25">
        <f>IF(H15&lt;&gt;"",I15-H15,"")</f>
        <v/>
      </c>
      <c r="K15" s="29">
        <f>IF(AND(H15&lt;&gt;"",I15&lt;&gt;0),H15/I15,"")</f>
        <v/>
      </c>
      <c r="L15" s="25">
        <f>L14+H15</f>
        <v/>
      </c>
      <c r="M15" s="8" t="inlineStr">
        <is>
          <t>Activité normale</t>
        </is>
      </c>
      <c r="N15" s="9" t="n">
        <v>45966</v>
      </c>
    </row>
    <row r="16" ht="22" customHeight="1">
      <c r="A16" s="5" t="inlineStr">
        <is>
          <t>Novembre 2025</t>
        </is>
      </c>
      <c r="B16" s="7" t="n">
        <v>6</v>
      </c>
      <c r="C16" s="7" t="n">
        <v>1680000</v>
      </c>
      <c r="D16" s="7" t="n">
        <v>420000</v>
      </c>
      <c r="E16" s="7" t="n">
        <v>120000</v>
      </c>
      <c r="F16" s="7" t="n">
        <v>90000</v>
      </c>
      <c r="G16" s="7" t="n">
        <v>60000</v>
      </c>
      <c r="H16" s="24">
        <f>SUM(C16:G16)</f>
        <v/>
      </c>
      <c r="I16" s="7" t="n">
        <v>3000000</v>
      </c>
      <c r="J16" s="24">
        <f>IF(H16&lt;&gt;"",I16-H16,"")</f>
        <v/>
      </c>
      <c r="K16" s="28">
        <f>IF(AND(H16&lt;&gt;"",I16&lt;&gt;0),H16/I16,"")</f>
        <v/>
      </c>
      <c r="L16" s="24">
        <f>L15+H16</f>
        <v/>
      </c>
      <c r="M16" s="5" t="inlineStr">
        <is>
          <t>Préparation fêtes</t>
        </is>
      </c>
      <c r="N16" s="6" t="n">
        <v>45996</v>
      </c>
    </row>
    <row r="17" ht="22" customHeight="1">
      <c r="A17" s="8" t="inlineStr">
        <is>
          <t>Décembre 2025</t>
        </is>
      </c>
      <c r="B17" s="10" t="n">
        <v>10</v>
      </c>
      <c r="C17" s="10" t="n">
        <v>2800000</v>
      </c>
      <c r="D17" s="10" t="n">
        <v>700000</v>
      </c>
      <c r="E17" s="10" t="n">
        <v>200000</v>
      </c>
      <c r="F17" s="10" t="n">
        <v>150000</v>
      </c>
      <c r="G17" s="10" t="n">
        <v>100000</v>
      </c>
      <c r="H17" s="25">
        <f>SUM(C17:G17)</f>
        <v/>
      </c>
      <c r="I17" s="10" t="n">
        <v>4000000</v>
      </c>
      <c r="J17" s="25">
        <f>IF(H17&lt;&gt;"",I17-H17,"")</f>
        <v/>
      </c>
      <c r="K17" s="29">
        <f>IF(AND(H17&lt;&gt;"",I17&lt;&gt;0),H17/I17,"")</f>
        <v/>
      </c>
      <c r="L17" s="25">
        <f>L16+H17</f>
        <v/>
      </c>
      <c r="M17" s="8" t="inlineStr">
        <is>
          <t>Pic fêtes de fin d'année</t>
        </is>
      </c>
      <c r="N17" s="9" t="n">
        <v>46027</v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J6:J17">
    <cfRule type="cellIs" priority="1" operator="lessThan" dxfId="0">
      <formula>0</formula>
    </cfRule>
  </conditionalFormatting>
  <dataValidations count="1">
    <dataValidation sqref="A6:A115" showDropDown="0" showInputMessage="0" showErrorMessage="0" allowBlank="1" errorTitle="Erreur" error="Valeur invalide" promptTitle="" prompt="Choisir dans la liste: " type="list">
      <formula1>'F02 - _Lists'!$AA$6:$AA$17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2" customWidth="1" min="4" max="4"/>
    <col width="20" customWidth="1" min="5" max="5"/>
    <col width="18" customWidth="1" min="6" max="6"/>
    <col width="22" customWidth="1" min="7" max="7"/>
    <col width="20" customWidth="1" min="8" max="8"/>
    <col width="18" customWidth="1" min="9" max="9"/>
    <col width="18" customWidth="1" min="10" max="10"/>
    <col width="28" customWidth="1" min="11" max="11"/>
    <col width="14" customWidth="1" min="12" max="12"/>
    <col width="14" customWidth="1" min="13" max="13"/>
    <col width="28" customWidth="1" min="14" max="14"/>
  </cols>
  <sheetData>
    <row r="1" ht="8" customHeight="1"/>
    <row r="2" ht="30" customHeight="1">
      <c r="A2" s="1" t="inlineStr">
        <is>
          <t>10-BUDGET PRÉVISIONNEL INTÉRIM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Département</t>
        </is>
      </c>
      <c r="B5" s="4" t="inlineStr">
        <is>
          <t>Poste</t>
        </is>
      </c>
      <c r="C5" s="4" t="inlineStr">
        <is>
          <t>Nb Jours Estimés</t>
        </is>
      </c>
      <c r="D5" s="4" t="inlineStr">
        <is>
          <t>Taux Journalier (FCFA)</t>
        </is>
      </c>
      <c r="E5" s="4" t="inlineStr">
        <is>
          <t>Coût Estimé (FCFA)</t>
        </is>
      </c>
      <c r="F5" s="4" t="inlineStr">
        <is>
          <t>Marge Sécurité (%)</t>
        </is>
      </c>
      <c r="G5" s="4" t="inlineStr">
        <is>
          <t>Budget Prévu (FCFA)</t>
        </is>
      </c>
      <c r="H5" s="4" t="inlineStr">
        <is>
          <t>Coût Réel (FCFA)</t>
        </is>
      </c>
      <c r="I5" s="4" t="inlineStr">
        <is>
          <t>Écart (FCFA)</t>
        </is>
      </c>
      <c r="J5" s="4" t="inlineStr">
        <is>
          <t>Taux Réalisation (%)</t>
        </is>
      </c>
      <c r="K5" s="4" t="inlineStr">
        <is>
          <t>Commentaire</t>
        </is>
      </c>
      <c r="L5" s="4" t="inlineStr">
        <is>
          <t>Statut</t>
        </is>
      </c>
      <c r="M5" s="4" t="inlineStr">
        <is>
          <t>Date MAJ</t>
        </is>
      </c>
      <c r="N5" s="4" t="inlineStr">
        <is>
          <t>Observations</t>
        </is>
      </c>
    </row>
    <row r="6" ht="22" customHeight="1">
      <c r="A6" s="5" t="inlineStr">
        <is>
          <t>Cuisine &amp; Restauration</t>
        </is>
      </c>
      <c r="B6" s="5" t="inlineStr">
        <is>
          <t>Serveur</t>
        </is>
      </c>
      <c r="C6" s="7" t="n">
        <v>360</v>
      </c>
      <c r="D6" s="7" t="n">
        <v>16000</v>
      </c>
      <c r="E6" s="24">
        <f>IF(C6&lt;&gt;"",C6*D6,"")</f>
        <v/>
      </c>
      <c r="F6" s="7" t="n">
        <v>15</v>
      </c>
      <c r="G6" s="24">
        <f>IF(E6&lt;&gt;"",E6*(1+F6/100),"")</f>
        <v/>
      </c>
      <c r="H6" s="7" t="n">
        <v>540000</v>
      </c>
      <c r="I6" s="24">
        <f>IF(AND(G6&lt;&gt;"",H6&lt;&gt;""),G6-H6,"")</f>
        <v/>
      </c>
      <c r="J6" s="28">
        <f>IF(AND(E6&lt;&gt;"",H6&lt;&gt;""),H6/E6,"")</f>
        <v/>
      </c>
      <c r="K6" s="5" t="inlineStr">
        <is>
          <t>Remplacements réguliers</t>
        </is>
      </c>
      <c r="L6" s="5" t="inlineStr">
        <is>
          <t>À jour</t>
        </is>
      </c>
      <c r="M6" s="6" t="n">
        <v>45689</v>
      </c>
      <c r="N6" s="5" t="inlineStr">
        <is>
          <t>Mission Koffi Marie incluse</t>
        </is>
      </c>
    </row>
    <row r="7" ht="22" customHeight="1">
      <c r="A7" s="8" t="inlineStr">
        <is>
          <t>Hébergement</t>
        </is>
      </c>
      <c r="B7" s="8" t="inlineStr">
        <is>
          <t>Femme de chambre</t>
        </is>
      </c>
      <c r="C7" s="10" t="n">
        <v>180</v>
      </c>
      <c r="D7" s="10" t="n">
        <v>12000</v>
      </c>
      <c r="E7" s="25">
        <f>IF(C7&lt;&gt;"",C7*D7,"")</f>
        <v/>
      </c>
      <c r="F7" s="10" t="n">
        <v>10</v>
      </c>
      <c r="G7" s="25">
        <f>IF(E7&lt;&gt;"",E7*(1+F7/100),"")</f>
        <v/>
      </c>
      <c r="H7" s="10" t="n">
        <v>270000</v>
      </c>
      <c r="I7" s="25">
        <f>IF(AND(G7&lt;&gt;"",H7&lt;&gt;""),G7-H7,"")</f>
        <v/>
      </c>
      <c r="J7" s="29">
        <f>IF(AND(E7&lt;&gt;"",H7&lt;&gt;""),H7/E7,"")</f>
        <v/>
      </c>
      <c r="K7" s="8" t="inlineStr">
        <is>
          <t>Saisonnier Noël-Nouvel An</t>
        </is>
      </c>
      <c r="L7" s="8" t="inlineStr">
        <is>
          <t>À jour</t>
        </is>
      </c>
      <c r="M7" s="9" t="n">
        <v>45689</v>
      </c>
      <c r="N7" s="8" t="inlineStr">
        <is>
          <t>Mission Diallo Aminata</t>
        </is>
      </c>
    </row>
    <row r="8" ht="22" customHeight="1">
      <c r="A8" s="5" t="inlineStr">
        <is>
          <t>Cuisine &amp; Restauration</t>
        </is>
      </c>
      <c r="B8" s="5" t="inlineStr">
        <is>
          <t>Plongeur</t>
        </is>
      </c>
      <c r="C8" s="7" t="n">
        <v>120</v>
      </c>
      <c r="D8" s="7" t="n">
        <v>9600</v>
      </c>
      <c r="E8" s="24">
        <f>IF(C8&lt;&gt;"",C8*D8,"")</f>
        <v/>
      </c>
      <c r="F8" s="7" t="n">
        <v>20</v>
      </c>
      <c r="G8" s="24">
        <f>IF(E8&lt;&gt;"",E8*(1+F8/100),"")</f>
        <v/>
      </c>
      <c r="H8" s="7" t="n">
        <v>144000</v>
      </c>
      <c r="I8" s="24">
        <f>IF(AND(G8&lt;&gt;"",H8&lt;&gt;""),G8-H8,"")</f>
        <v/>
      </c>
      <c r="J8" s="28">
        <f>IF(AND(E8&lt;&gt;"",H8&lt;&gt;""),H8/E8,"")</f>
        <v/>
      </c>
      <c r="K8" s="5" t="inlineStr">
        <is>
          <t>Mission terminée</t>
        </is>
      </c>
      <c r="L8" s="5" t="inlineStr">
        <is>
          <t>À jour</t>
        </is>
      </c>
      <c r="M8" s="6" t="n">
        <v>45689</v>
      </c>
      <c r="N8" s="5" t="inlineStr"/>
    </row>
    <row r="9" ht="22" customHeight="1">
      <c r="A9" s="8" t="inlineStr">
        <is>
          <t>Entretien &amp; Maintenance</t>
        </is>
      </c>
      <c r="B9" s="8" t="inlineStr">
        <is>
          <t>Agent Entretien</t>
        </is>
      </c>
      <c r="C9" s="10" t="n">
        <v>240</v>
      </c>
      <c r="D9" s="10" t="n">
        <v>17600</v>
      </c>
      <c r="E9" s="25">
        <f>IF(C9&lt;&gt;"",C9*D9,"")</f>
        <v/>
      </c>
      <c r="F9" s="10" t="n">
        <v>15</v>
      </c>
      <c r="G9" s="25">
        <f>IF(E9&lt;&gt;"",E9*(1+F9/100),"")</f>
        <v/>
      </c>
      <c r="H9" s="8" t="n"/>
      <c r="I9" s="25">
        <f>IF(AND(G9&lt;&gt;"",H9&lt;&gt;""),G9-H9,"")</f>
        <v/>
      </c>
      <c r="J9" s="29">
        <f>IF(AND(E9&lt;&gt;"",H9&lt;&gt;""),H9/E9,"")</f>
        <v/>
      </c>
      <c r="K9" s="8" t="inlineStr">
        <is>
          <t>Projet piscine</t>
        </is>
      </c>
      <c r="L9" s="8" t="inlineStr">
        <is>
          <t>En cours</t>
        </is>
      </c>
      <c r="M9" s="9" t="n">
        <v>45689</v>
      </c>
      <c r="N9" s="8" t="inlineStr">
        <is>
          <t>En attente de réalisation</t>
        </is>
      </c>
    </row>
    <row r="10" ht="22" customHeight="1">
      <c r="A10" s="5" t="n"/>
      <c r="B10" s="5" t="n"/>
      <c r="C10" s="5" t="n"/>
      <c r="D10" s="5" t="n"/>
      <c r="E10" s="24">
        <f>IF(C10&lt;&gt;"",C10*D10,"")</f>
        <v/>
      </c>
      <c r="F10" s="5" t="n"/>
      <c r="G10" s="24">
        <f>IF(E10&lt;&gt;"",E10*(1+F10/100),"")</f>
        <v/>
      </c>
      <c r="H10" s="5" t="n"/>
      <c r="I10" s="24">
        <f>IF(AND(G10&lt;&gt;"",H10&lt;&gt;""),G10-H10,"")</f>
        <v/>
      </c>
      <c r="J10" s="28">
        <f>IF(AND(E10&lt;&gt;"",H10&lt;&gt;""),H10/E10,"")</f>
        <v/>
      </c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25">
        <f>IF(C11&lt;&gt;"",C11*D11,"")</f>
        <v/>
      </c>
      <c r="F11" s="8" t="n"/>
      <c r="G11" s="25">
        <f>IF(E11&lt;&gt;"",E11*(1+F11/100),"")</f>
        <v/>
      </c>
      <c r="H11" s="8" t="n"/>
      <c r="I11" s="25">
        <f>IF(AND(G11&lt;&gt;"",H11&lt;&gt;""),G11-H11,"")</f>
        <v/>
      </c>
      <c r="J11" s="29">
        <f>IF(AND(E11&lt;&gt;"",H11&lt;&gt;""),H11/E11,"")</f>
        <v/>
      </c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24">
        <f>IF(C12&lt;&gt;"",C12*D12,"")</f>
        <v/>
      </c>
      <c r="F12" s="5" t="n"/>
      <c r="G12" s="24">
        <f>IF(E12&lt;&gt;"",E12*(1+F12/100),"")</f>
        <v/>
      </c>
      <c r="H12" s="5" t="n"/>
      <c r="I12" s="24">
        <f>IF(AND(G12&lt;&gt;"",H12&lt;&gt;""),G12-H12,"")</f>
        <v/>
      </c>
      <c r="J12" s="28">
        <f>IF(AND(E12&lt;&gt;"",H12&lt;&gt;""),H12/E12,"")</f>
        <v/>
      </c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25">
        <f>IF(C13&lt;&gt;"",C13*D13,"")</f>
        <v/>
      </c>
      <c r="F13" s="8" t="n"/>
      <c r="G13" s="25">
        <f>IF(E13&lt;&gt;"",E13*(1+F13/100),"")</f>
        <v/>
      </c>
      <c r="H13" s="8" t="n"/>
      <c r="I13" s="25">
        <f>IF(AND(G13&lt;&gt;"",H13&lt;&gt;""),G13-H13,"")</f>
        <v/>
      </c>
      <c r="J13" s="29">
        <f>IF(AND(E13&lt;&gt;"",H13&lt;&gt;""),H13/E13,"")</f>
        <v/>
      </c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24">
        <f>IF(C14&lt;&gt;"",C14*D14,"")</f>
        <v/>
      </c>
      <c r="F14" s="5" t="n"/>
      <c r="G14" s="24">
        <f>IF(E14&lt;&gt;"",E14*(1+F14/100),"")</f>
        <v/>
      </c>
      <c r="H14" s="5" t="n"/>
      <c r="I14" s="24">
        <f>IF(AND(G14&lt;&gt;"",H14&lt;&gt;""),G14-H14,"")</f>
        <v/>
      </c>
      <c r="J14" s="28">
        <f>IF(AND(E14&lt;&gt;"",H14&lt;&gt;""),H14/E14,"")</f>
        <v/>
      </c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25">
        <f>IF(C15&lt;&gt;"",C15*D15,"")</f>
        <v/>
      </c>
      <c r="F15" s="8" t="n"/>
      <c r="G15" s="25">
        <f>IF(E15&lt;&gt;"",E15*(1+F15/100),"")</f>
        <v/>
      </c>
      <c r="H15" s="8" t="n"/>
      <c r="I15" s="25">
        <f>IF(AND(G15&lt;&gt;"",H15&lt;&gt;""),G15-H15,"")</f>
        <v/>
      </c>
      <c r="J15" s="29">
        <f>IF(AND(E15&lt;&gt;"",H15&lt;&gt;""),H15/E15,"")</f>
        <v/>
      </c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24">
        <f>IF(C16&lt;&gt;"",C16*D16,"")</f>
        <v/>
      </c>
      <c r="F16" s="5" t="n"/>
      <c r="G16" s="24">
        <f>IF(E16&lt;&gt;"",E16*(1+F16/100),"")</f>
        <v/>
      </c>
      <c r="H16" s="5" t="n"/>
      <c r="I16" s="24">
        <f>IF(AND(G16&lt;&gt;"",H16&lt;&gt;""),G16-H16,"")</f>
        <v/>
      </c>
      <c r="J16" s="28">
        <f>IF(AND(E16&lt;&gt;"",H16&lt;&gt;""),H16/E16,"")</f>
        <v/>
      </c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25">
        <f>IF(C17&lt;&gt;"",C17*D17,"")</f>
        <v/>
      </c>
      <c r="F17" s="8" t="n"/>
      <c r="G17" s="25">
        <f>IF(E17&lt;&gt;"",E17*(1+F17/100),"")</f>
        <v/>
      </c>
      <c r="H17" s="8" t="n"/>
      <c r="I17" s="25">
        <f>IF(AND(G17&lt;&gt;"",H17&lt;&gt;""),G17-H17,"")</f>
        <v/>
      </c>
      <c r="J17" s="29">
        <f>IF(AND(E17&lt;&gt;"",H17&lt;&gt;""),H17/E17,"")</f>
        <v/>
      </c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24">
        <f>IF(C18&lt;&gt;"",C18*D18,"")</f>
        <v/>
      </c>
      <c r="F18" s="5" t="n"/>
      <c r="G18" s="24">
        <f>IF(E18&lt;&gt;"",E18*(1+F18/100),"")</f>
        <v/>
      </c>
      <c r="H18" s="5" t="n"/>
      <c r="I18" s="24">
        <f>IF(AND(G18&lt;&gt;"",H18&lt;&gt;""),G18-H18,"")</f>
        <v/>
      </c>
      <c r="J18" s="28">
        <f>IF(AND(E18&lt;&gt;"",H18&lt;&gt;""),H18/E18,"")</f>
        <v/>
      </c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25">
        <f>IF(C19&lt;&gt;"",C19*D19,"")</f>
        <v/>
      </c>
      <c r="F19" s="8" t="n"/>
      <c r="G19" s="25">
        <f>IF(E19&lt;&gt;"",E19*(1+F19/100),"")</f>
        <v/>
      </c>
      <c r="H19" s="8" t="n"/>
      <c r="I19" s="25">
        <f>IF(AND(G19&lt;&gt;"",H19&lt;&gt;""),G19-H19,"")</f>
        <v/>
      </c>
      <c r="J19" s="29">
        <f>IF(AND(E19&lt;&gt;"",H19&lt;&gt;""),H19/E19,"")</f>
        <v/>
      </c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24">
        <f>IF(C20&lt;&gt;"",C20*D20,"")</f>
        <v/>
      </c>
      <c r="F20" s="5" t="n"/>
      <c r="G20" s="24">
        <f>IF(E20&lt;&gt;"",E20*(1+F20/100),"")</f>
        <v/>
      </c>
      <c r="H20" s="5" t="n"/>
      <c r="I20" s="24">
        <f>IF(AND(G20&lt;&gt;"",H20&lt;&gt;""),G20-H20,"")</f>
        <v/>
      </c>
      <c r="J20" s="28">
        <f>IF(AND(E20&lt;&gt;"",H20&lt;&gt;""),H20/E20,"")</f>
        <v/>
      </c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25">
        <f>IF(C21&lt;&gt;"",C21*D21,"")</f>
        <v/>
      </c>
      <c r="F21" s="8" t="n"/>
      <c r="G21" s="25">
        <f>IF(E21&lt;&gt;"",E21*(1+F21/100),"")</f>
        <v/>
      </c>
      <c r="H21" s="8" t="n"/>
      <c r="I21" s="25">
        <f>IF(AND(G21&lt;&gt;"",H21&lt;&gt;""),G21-H21,"")</f>
        <v/>
      </c>
      <c r="J21" s="29">
        <f>IF(AND(E21&lt;&gt;"",H21&lt;&gt;""),H21/E21,"")</f>
        <v/>
      </c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24">
        <f>IF(C22&lt;&gt;"",C22*D22,"")</f>
        <v/>
      </c>
      <c r="F22" s="5" t="n"/>
      <c r="G22" s="24">
        <f>IF(E22&lt;&gt;"",E22*(1+F22/100),"")</f>
        <v/>
      </c>
      <c r="H22" s="5" t="n"/>
      <c r="I22" s="24">
        <f>IF(AND(G22&lt;&gt;"",H22&lt;&gt;""),G22-H22,"")</f>
        <v/>
      </c>
      <c r="J22" s="28">
        <f>IF(AND(E22&lt;&gt;"",H22&lt;&gt;""),H22/E22,"")</f>
        <v/>
      </c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25">
        <f>IF(C23&lt;&gt;"",C23*D23,"")</f>
        <v/>
      </c>
      <c r="F23" s="8" t="n"/>
      <c r="G23" s="25">
        <f>IF(E23&lt;&gt;"",E23*(1+F23/100),"")</f>
        <v/>
      </c>
      <c r="H23" s="8" t="n"/>
      <c r="I23" s="25">
        <f>IF(AND(G23&lt;&gt;"",H23&lt;&gt;""),G23-H23,"")</f>
        <v/>
      </c>
      <c r="J23" s="29">
        <f>IF(AND(E23&lt;&gt;"",H23&lt;&gt;""),H23/E23,"")</f>
        <v/>
      </c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24">
        <f>IF(C24&lt;&gt;"",C24*D24,"")</f>
        <v/>
      </c>
      <c r="F24" s="5" t="n"/>
      <c r="G24" s="24">
        <f>IF(E24&lt;&gt;"",E24*(1+F24/100),"")</f>
        <v/>
      </c>
      <c r="H24" s="5" t="n"/>
      <c r="I24" s="24">
        <f>IF(AND(G24&lt;&gt;"",H24&lt;&gt;""),G24-H24,"")</f>
        <v/>
      </c>
      <c r="J24" s="28">
        <f>IF(AND(E24&lt;&gt;"",H24&lt;&gt;""),H24/E24,"")</f>
        <v/>
      </c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25">
        <f>IF(C25&lt;&gt;"",C25*D25,"")</f>
        <v/>
      </c>
      <c r="F25" s="8" t="n"/>
      <c r="G25" s="25">
        <f>IF(E25&lt;&gt;"",E25*(1+F25/100),"")</f>
        <v/>
      </c>
      <c r="H25" s="8" t="n"/>
      <c r="I25" s="25">
        <f>IF(AND(G25&lt;&gt;"",H25&lt;&gt;""),G25-H25,"")</f>
        <v/>
      </c>
      <c r="J25" s="29">
        <f>IF(AND(E25&lt;&gt;"",H25&lt;&gt;""),H25/E25,"")</f>
        <v/>
      </c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24">
        <f>IF(C26&lt;&gt;"",C26*D26,"")</f>
        <v/>
      </c>
      <c r="F26" s="5" t="n"/>
      <c r="G26" s="24">
        <f>IF(E26&lt;&gt;"",E26*(1+F26/100),"")</f>
        <v/>
      </c>
      <c r="H26" s="5" t="n"/>
      <c r="I26" s="24">
        <f>IF(AND(G26&lt;&gt;"",H26&lt;&gt;""),G26-H26,"")</f>
        <v/>
      </c>
      <c r="J26" s="28">
        <f>IF(AND(E26&lt;&gt;"",H26&lt;&gt;""),H26/E26,"")</f>
        <v/>
      </c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25">
        <f>IF(C27&lt;&gt;"",C27*D27,"")</f>
        <v/>
      </c>
      <c r="F27" s="8" t="n"/>
      <c r="G27" s="25">
        <f>IF(E27&lt;&gt;"",E27*(1+F27/100),"")</f>
        <v/>
      </c>
      <c r="H27" s="8" t="n"/>
      <c r="I27" s="25">
        <f>IF(AND(G27&lt;&gt;"",H27&lt;&gt;""),G27-H27,"")</f>
        <v/>
      </c>
      <c r="J27" s="29">
        <f>IF(AND(E27&lt;&gt;"",H27&lt;&gt;""),H27/E27,"")</f>
        <v/>
      </c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24">
        <f>IF(C28&lt;&gt;"",C28*D28,"")</f>
        <v/>
      </c>
      <c r="F28" s="5" t="n"/>
      <c r="G28" s="24">
        <f>IF(E28&lt;&gt;"",E28*(1+F28/100),"")</f>
        <v/>
      </c>
      <c r="H28" s="5" t="n"/>
      <c r="I28" s="24">
        <f>IF(AND(G28&lt;&gt;"",H28&lt;&gt;""),G28-H28,"")</f>
        <v/>
      </c>
      <c r="J28" s="28">
        <f>IF(AND(E28&lt;&gt;"",H28&lt;&gt;""),H28/E28,"")</f>
        <v/>
      </c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25">
        <f>IF(C29&lt;&gt;"",C29*D29,"")</f>
        <v/>
      </c>
      <c r="F29" s="8" t="n"/>
      <c r="G29" s="25">
        <f>IF(E29&lt;&gt;"",E29*(1+F29/100),"")</f>
        <v/>
      </c>
      <c r="H29" s="8" t="n"/>
      <c r="I29" s="25">
        <f>IF(AND(G29&lt;&gt;"",H29&lt;&gt;""),G29-H29,"")</f>
        <v/>
      </c>
      <c r="J29" s="29">
        <f>IF(AND(E29&lt;&gt;"",H29&lt;&gt;""),H29/E29,"")</f>
        <v/>
      </c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24">
        <f>IF(C30&lt;&gt;"",C30*D30,"")</f>
        <v/>
      </c>
      <c r="F30" s="5" t="n"/>
      <c r="G30" s="24">
        <f>IF(E30&lt;&gt;"",E30*(1+F30/100),"")</f>
        <v/>
      </c>
      <c r="H30" s="5" t="n"/>
      <c r="I30" s="24">
        <f>IF(AND(G30&lt;&gt;"",H30&lt;&gt;""),G30-H30,"")</f>
        <v/>
      </c>
      <c r="J30" s="28">
        <f>IF(AND(E30&lt;&gt;"",H30&lt;&gt;""),H30/E30,"")</f>
        <v/>
      </c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25">
        <f>IF(C31&lt;&gt;"",C31*D31,"")</f>
        <v/>
      </c>
      <c r="F31" s="8" t="n"/>
      <c r="G31" s="25">
        <f>IF(E31&lt;&gt;"",E31*(1+F31/100),"")</f>
        <v/>
      </c>
      <c r="H31" s="8" t="n"/>
      <c r="I31" s="25">
        <f>IF(AND(G31&lt;&gt;"",H31&lt;&gt;""),G31-H31,"")</f>
        <v/>
      </c>
      <c r="J31" s="29">
        <f>IF(AND(E31&lt;&gt;"",H31&lt;&gt;""),H31/E31,"")</f>
        <v/>
      </c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24">
        <f>IF(C32&lt;&gt;"",C32*D32,"")</f>
        <v/>
      </c>
      <c r="F32" s="5" t="n"/>
      <c r="G32" s="24">
        <f>IF(E32&lt;&gt;"",E32*(1+F32/100),"")</f>
        <v/>
      </c>
      <c r="H32" s="5" t="n"/>
      <c r="I32" s="24">
        <f>IF(AND(G32&lt;&gt;"",H32&lt;&gt;""),G32-H32,"")</f>
        <v/>
      </c>
      <c r="J32" s="28">
        <f>IF(AND(E32&lt;&gt;"",H32&lt;&gt;""),H32/E32,"")</f>
        <v/>
      </c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25">
        <f>IF(C33&lt;&gt;"",C33*D33,"")</f>
        <v/>
      </c>
      <c r="F33" s="8" t="n"/>
      <c r="G33" s="25">
        <f>IF(E33&lt;&gt;"",E33*(1+F33/100),"")</f>
        <v/>
      </c>
      <c r="H33" s="8" t="n"/>
      <c r="I33" s="25">
        <f>IF(AND(G33&lt;&gt;"",H33&lt;&gt;""),G33-H33,"")</f>
        <v/>
      </c>
      <c r="J33" s="29">
        <f>IF(AND(E33&lt;&gt;"",H33&lt;&gt;""),H33/E33,"")</f>
        <v/>
      </c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24">
        <f>IF(C34&lt;&gt;"",C34*D34,"")</f>
        <v/>
      </c>
      <c r="F34" s="5" t="n"/>
      <c r="G34" s="24">
        <f>IF(E34&lt;&gt;"",E34*(1+F34/100),"")</f>
        <v/>
      </c>
      <c r="H34" s="5" t="n"/>
      <c r="I34" s="24">
        <f>IF(AND(G34&lt;&gt;"",H34&lt;&gt;""),G34-H34,"")</f>
        <v/>
      </c>
      <c r="J34" s="28">
        <f>IF(AND(E34&lt;&gt;"",H34&lt;&gt;""),H34/E34,"")</f>
        <v/>
      </c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25">
        <f>IF(C35&lt;&gt;"",C35*D35,"")</f>
        <v/>
      </c>
      <c r="F35" s="8" t="n"/>
      <c r="G35" s="25">
        <f>IF(E35&lt;&gt;"",E35*(1+F35/100),"")</f>
        <v/>
      </c>
      <c r="H35" s="8" t="n"/>
      <c r="I35" s="25">
        <f>IF(AND(G35&lt;&gt;"",H35&lt;&gt;""),G35-H35,"")</f>
        <v/>
      </c>
      <c r="J35" s="29">
        <f>IF(AND(E35&lt;&gt;"",H35&lt;&gt;""),H35/E35,"")</f>
        <v/>
      </c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24">
        <f>IF(C36&lt;&gt;"",C36*D36,"")</f>
        <v/>
      </c>
      <c r="F36" s="5" t="n"/>
      <c r="G36" s="24">
        <f>IF(E36&lt;&gt;"",E36*(1+F36/100),"")</f>
        <v/>
      </c>
      <c r="H36" s="5" t="n"/>
      <c r="I36" s="24">
        <f>IF(AND(G36&lt;&gt;"",H36&lt;&gt;""),G36-H36,"")</f>
        <v/>
      </c>
      <c r="J36" s="28">
        <f>IF(AND(E36&lt;&gt;"",H36&lt;&gt;""),H36/E36,"")</f>
        <v/>
      </c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25">
        <f>IF(C37&lt;&gt;"",C37*D37,"")</f>
        <v/>
      </c>
      <c r="F37" s="8" t="n"/>
      <c r="G37" s="25">
        <f>IF(E37&lt;&gt;"",E37*(1+F37/100),"")</f>
        <v/>
      </c>
      <c r="H37" s="8" t="n"/>
      <c r="I37" s="25">
        <f>IF(AND(G37&lt;&gt;"",H37&lt;&gt;""),G37-H37,"")</f>
        <v/>
      </c>
      <c r="J37" s="29">
        <f>IF(AND(E37&lt;&gt;"",H37&lt;&gt;""),H37/E37,"")</f>
        <v/>
      </c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24">
        <f>IF(C38&lt;&gt;"",C38*D38,"")</f>
        <v/>
      </c>
      <c r="F38" s="5" t="n"/>
      <c r="G38" s="24">
        <f>IF(E38&lt;&gt;"",E38*(1+F38/100),"")</f>
        <v/>
      </c>
      <c r="H38" s="5" t="n"/>
      <c r="I38" s="24">
        <f>IF(AND(G38&lt;&gt;"",H38&lt;&gt;""),G38-H38,"")</f>
        <v/>
      </c>
      <c r="J38" s="28">
        <f>IF(AND(E38&lt;&gt;"",H38&lt;&gt;""),H38/E38,"")</f>
        <v/>
      </c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25">
        <f>IF(C39&lt;&gt;"",C39*D39,"")</f>
        <v/>
      </c>
      <c r="F39" s="8" t="n"/>
      <c r="G39" s="25">
        <f>IF(E39&lt;&gt;"",E39*(1+F39/100),"")</f>
        <v/>
      </c>
      <c r="H39" s="8" t="n"/>
      <c r="I39" s="25">
        <f>IF(AND(G39&lt;&gt;"",H39&lt;&gt;""),G39-H39,"")</f>
        <v/>
      </c>
      <c r="J39" s="29">
        <f>IF(AND(E39&lt;&gt;"",H39&lt;&gt;""),H39/E39,"")</f>
        <v/>
      </c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24">
        <f>IF(C40&lt;&gt;"",C40*D40,"")</f>
        <v/>
      </c>
      <c r="F40" s="5" t="n"/>
      <c r="G40" s="24">
        <f>IF(E40&lt;&gt;"",E40*(1+F40/100),"")</f>
        <v/>
      </c>
      <c r="H40" s="5" t="n"/>
      <c r="I40" s="24">
        <f>IF(AND(G40&lt;&gt;"",H40&lt;&gt;""),G40-H40,"")</f>
        <v/>
      </c>
      <c r="J40" s="28">
        <f>IF(AND(E40&lt;&gt;"",H40&lt;&gt;""),H40/E40,"")</f>
        <v/>
      </c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25">
        <f>IF(C41&lt;&gt;"",C41*D41,"")</f>
        <v/>
      </c>
      <c r="F41" s="8" t="n"/>
      <c r="G41" s="25">
        <f>IF(E41&lt;&gt;"",E41*(1+F41/100),"")</f>
        <v/>
      </c>
      <c r="H41" s="8" t="n"/>
      <c r="I41" s="25">
        <f>IF(AND(G41&lt;&gt;"",H41&lt;&gt;""),G41-H41,"")</f>
        <v/>
      </c>
      <c r="J41" s="29">
        <f>IF(AND(E41&lt;&gt;"",H41&lt;&gt;""),H41/E41,"")</f>
        <v/>
      </c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24">
        <f>IF(C42&lt;&gt;"",C42*D42,"")</f>
        <v/>
      </c>
      <c r="F42" s="5" t="n"/>
      <c r="G42" s="24">
        <f>IF(E42&lt;&gt;"",E42*(1+F42/100),"")</f>
        <v/>
      </c>
      <c r="H42" s="5" t="n"/>
      <c r="I42" s="24">
        <f>IF(AND(G42&lt;&gt;"",H42&lt;&gt;""),G42-H42,"")</f>
        <v/>
      </c>
      <c r="J42" s="28">
        <f>IF(AND(E42&lt;&gt;"",H42&lt;&gt;""),H42/E42,"")</f>
        <v/>
      </c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25">
        <f>IF(C43&lt;&gt;"",C43*D43,"")</f>
        <v/>
      </c>
      <c r="F43" s="8" t="n"/>
      <c r="G43" s="25">
        <f>IF(E43&lt;&gt;"",E43*(1+F43/100),"")</f>
        <v/>
      </c>
      <c r="H43" s="8" t="n"/>
      <c r="I43" s="25">
        <f>IF(AND(G43&lt;&gt;"",H43&lt;&gt;""),G43-H43,"")</f>
        <v/>
      </c>
      <c r="J43" s="29">
        <f>IF(AND(E43&lt;&gt;"",H43&lt;&gt;""),H43/E43,"")</f>
        <v/>
      </c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24">
        <f>IF(C44&lt;&gt;"",C44*D44,"")</f>
        <v/>
      </c>
      <c r="F44" s="5" t="n"/>
      <c r="G44" s="24">
        <f>IF(E44&lt;&gt;"",E44*(1+F44/100),"")</f>
        <v/>
      </c>
      <c r="H44" s="5" t="n"/>
      <c r="I44" s="24">
        <f>IF(AND(G44&lt;&gt;"",H44&lt;&gt;""),G44-H44,"")</f>
        <v/>
      </c>
      <c r="J44" s="28">
        <f>IF(AND(E44&lt;&gt;"",H44&lt;&gt;""),H44/E44,"")</f>
        <v/>
      </c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25">
        <f>IF(C45&lt;&gt;"",C45*D45,"")</f>
        <v/>
      </c>
      <c r="F45" s="8" t="n"/>
      <c r="G45" s="25">
        <f>IF(E45&lt;&gt;"",E45*(1+F45/100),"")</f>
        <v/>
      </c>
      <c r="H45" s="8" t="n"/>
      <c r="I45" s="25">
        <f>IF(AND(G45&lt;&gt;"",H45&lt;&gt;""),G45-H45,"")</f>
        <v/>
      </c>
      <c r="J45" s="29">
        <f>IF(AND(E45&lt;&gt;"",H45&lt;&gt;""),H45/E45,"")</f>
        <v/>
      </c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24">
        <f>IF(C46&lt;&gt;"",C46*D46,"")</f>
        <v/>
      </c>
      <c r="F46" s="5" t="n"/>
      <c r="G46" s="24">
        <f>IF(E46&lt;&gt;"",E46*(1+F46/100),"")</f>
        <v/>
      </c>
      <c r="H46" s="5" t="n"/>
      <c r="I46" s="24">
        <f>IF(AND(G46&lt;&gt;"",H46&lt;&gt;""),G46-H46,"")</f>
        <v/>
      </c>
      <c r="J46" s="28">
        <f>IF(AND(E46&lt;&gt;"",H46&lt;&gt;""),H46/E46,"")</f>
        <v/>
      </c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25">
        <f>IF(C47&lt;&gt;"",C47*D47,"")</f>
        <v/>
      </c>
      <c r="F47" s="8" t="n"/>
      <c r="G47" s="25">
        <f>IF(E47&lt;&gt;"",E47*(1+F47/100),"")</f>
        <v/>
      </c>
      <c r="H47" s="8" t="n"/>
      <c r="I47" s="25">
        <f>IF(AND(G47&lt;&gt;"",H47&lt;&gt;""),G47-H47,"")</f>
        <v/>
      </c>
      <c r="J47" s="29">
        <f>IF(AND(E47&lt;&gt;"",H47&lt;&gt;""),H47/E47,"")</f>
        <v/>
      </c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24">
        <f>IF(C48&lt;&gt;"",C48*D48,"")</f>
        <v/>
      </c>
      <c r="F48" s="5" t="n"/>
      <c r="G48" s="24">
        <f>IF(E48&lt;&gt;"",E48*(1+F48/100),"")</f>
        <v/>
      </c>
      <c r="H48" s="5" t="n"/>
      <c r="I48" s="24">
        <f>IF(AND(G48&lt;&gt;"",H48&lt;&gt;""),G48-H48,"")</f>
        <v/>
      </c>
      <c r="J48" s="28">
        <f>IF(AND(E48&lt;&gt;"",H48&lt;&gt;""),H48/E48,"")</f>
        <v/>
      </c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25">
        <f>IF(C49&lt;&gt;"",C49*D49,"")</f>
        <v/>
      </c>
      <c r="F49" s="8" t="n"/>
      <c r="G49" s="25">
        <f>IF(E49&lt;&gt;"",E49*(1+F49/100),"")</f>
        <v/>
      </c>
      <c r="H49" s="8" t="n"/>
      <c r="I49" s="25">
        <f>IF(AND(G49&lt;&gt;"",H49&lt;&gt;""),G49-H49,"")</f>
        <v/>
      </c>
      <c r="J49" s="29">
        <f>IF(AND(E49&lt;&gt;"",H49&lt;&gt;""),H49/E49,"")</f>
        <v/>
      </c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24">
        <f>IF(C50&lt;&gt;"",C50*D50,"")</f>
        <v/>
      </c>
      <c r="F50" s="5" t="n"/>
      <c r="G50" s="24">
        <f>IF(E50&lt;&gt;"",E50*(1+F50/100),"")</f>
        <v/>
      </c>
      <c r="H50" s="5" t="n"/>
      <c r="I50" s="24">
        <f>IF(AND(G50&lt;&gt;"",H50&lt;&gt;""),G50-H50,"")</f>
        <v/>
      </c>
      <c r="J50" s="28">
        <f>IF(AND(E50&lt;&gt;"",H50&lt;&gt;""),H50/E50,"")</f>
        <v/>
      </c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25">
        <f>IF(C51&lt;&gt;"",C51*D51,"")</f>
        <v/>
      </c>
      <c r="F51" s="8" t="n"/>
      <c r="G51" s="25">
        <f>IF(E51&lt;&gt;"",E51*(1+F51/100),"")</f>
        <v/>
      </c>
      <c r="H51" s="8" t="n"/>
      <c r="I51" s="25">
        <f>IF(AND(G51&lt;&gt;"",H51&lt;&gt;""),G51-H51,"")</f>
        <v/>
      </c>
      <c r="J51" s="29">
        <f>IF(AND(E51&lt;&gt;"",H51&lt;&gt;""),H51/E51,"")</f>
        <v/>
      </c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24">
        <f>IF(C52&lt;&gt;"",C52*D52,"")</f>
        <v/>
      </c>
      <c r="F52" s="5" t="n"/>
      <c r="G52" s="24">
        <f>IF(E52&lt;&gt;"",E52*(1+F52/100),"")</f>
        <v/>
      </c>
      <c r="H52" s="5" t="n"/>
      <c r="I52" s="24">
        <f>IF(AND(G52&lt;&gt;"",H52&lt;&gt;""),G52-H52,"")</f>
        <v/>
      </c>
      <c r="J52" s="28">
        <f>IF(AND(E52&lt;&gt;"",H52&lt;&gt;""),H52/E52,"")</f>
        <v/>
      </c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25">
        <f>IF(C53&lt;&gt;"",C53*D53,"")</f>
        <v/>
      </c>
      <c r="F53" s="8" t="n"/>
      <c r="G53" s="25">
        <f>IF(E53&lt;&gt;"",E53*(1+F53/100),"")</f>
        <v/>
      </c>
      <c r="H53" s="8" t="n"/>
      <c r="I53" s="25">
        <f>IF(AND(G53&lt;&gt;"",H53&lt;&gt;""),G53-H53,"")</f>
        <v/>
      </c>
      <c r="J53" s="29">
        <f>IF(AND(E53&lt;&gt;"",H53&lt;&gt;""),H53/E53,"")</f>
        <v/>
      </c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24">
        <f>IF(C54&lt;&gt;"",C54*D54,"")</f>
        <v/>
      </c>
      <c r="F54" s="5" t="n"/>
      <c r="G54" s="24">
        <f>IF(E54&lt;&gt;"",E54*(1+F54/100),"")</f>
        <v/>
      </c>
      <c r="H54" s="5" t="n"/>
      <c r="I54" s="24">
        <f>IF(AND(G54&lt;&gt;"",H54&lt;&gt;""),G54-H54,"")</f>
        <v/>
      </c>
      <c r="J54" s="28">
        <f>IF(AND(E54&lt;&gt;"",H54&lt;&gt;""),H54/E54,"")</f>
        <v/>
      </c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25">
        <f>IF(C55&lt;&gt;"",C55*D55,"")</f>
        <v/>
      </c>
      <c r="F55" s="8" t="n"/>
      <c r="G55" s="25">
        <f>IF(E55&lt;&gt;"",E55*(1+F55/100),"")</f>
        <v/>
      </c>
      <c r="H55" s="8" t="n"/>
      <c r="I55" s="25">
        <f>IF(AND(G55&lt;&gt;"",H55&lt;&gt;""),G55-H55,"")</f>
        <v/>
      </c>
      <c r="J55" s="29">
        <f>IF(AND(E55&lt;&gt;"",H55&lt;&gt;""),H55/E55,"")</f>
        <v/>
      </c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24">
        <f>IF(C56&lt;&gt;"",C56*D56,"")</f>
        <v/>
      </c>
      <c r="F56" s="5" t="n"/>
      <c r="G56" s="24">
        <f>IF(E56&lt;&gt;"",E56*(1+F56/100),"")</f>
        <v/>
      </c>
      <c r="H56" s="5" t="n"/>
      <c r="I56" s="24">
        <f>IF(AND(G56&lt;&gt;"",H56&lt;&gt;""),G56-H56,"")</f>
        <v/>
      </c>
      <c r="J56" s="28">
        <f>IF(AND(E56&lt;&gt;"",H56&lt;&gt;""),H56/E56,"")</f>
        <v/>
      </c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25">
        <f>IF(C57&lt;&gt;"",C57*D57,"")</f>
        <v/>
      </c>
      <c r="F57" s="8" t="n"/>
      <c r="G57" s="25">
        <f>IF(E57&lt;&gt;"",E57*(1+F57/100),"")</f>
        <v/>
      </c>
      <c r="H57" s="8" t="n"/>
      <c r="I57" s="25">
        <f>IF(AND(G57&lt;&gt;"",H57&lt;&gt;""),G57-H57,"")</f>
        <v/>
      </c>
      <c r="J57" s="29">
        <f>IF(AND(E57&lt;&gt;"",H57&lt;&gt;""),H57/E57,"")</f>
        <v/>
      </c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24">
        <f>IF(C58&lt;&gt;"",C58*D58,"")</f>
        <v/>
      </c>
      <c r="F58" s="5" t="n"/>
      <c r="G58" s="24">
        <f>IF(E58&lt;&gt;"",E58*(1+F58/100),"")</f>
        <v/>
      </c>
      <c r="H58" s="5" t="n"/>
      <c r="I58" s="24">
        <f>IF(AND(G58&lt;&gt;"",H58&lt;&gt;""),G58-H58,"")</f>
        <v/>
      </c>
      <c r="J58" s="28">
        <f>IF(AND(E58&lt;&gt;"",H58&lt;&gt;""),H58/E58,"")</f>
        <v/>
      </c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25">
        <f>IF(C59&lt;&gt;"",C59*D59,"")</f>
        <v/>
      </c>
      <c r="F59" s="8" t="n"/>
      <c r="G59" s="25">
        <f>IF(E59&lt;&gt;"",E59*(1+F59/100),"")</f>
        <v/>
      </c>
      <c r="H59" s="8" t="n"/>
      <c r="I59" s="25">
        <f>IF(AND(G59&lt;&gt;"",H59&lt;&gt;""),G59-H59,"")</f>
        <v/>
      </c>
      <c r="J59" s="29">
        <f>IF(AND(E59&lt;&gt;"",H59&lt;&gt;""),H59/E59,"")</f>
        <v/>
      </c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24">
        <f>IF(C60&lt;&gt;"",C60*D60,"")</f>
        <v/>
      </c>
      <c r="F60" s="5" t="n"/>
      <c r="G60" s="24">
        <f>IF(E60&lt;&gt;"",E60*(1+F60/100),"")</f>
        <v/>
      </c>
      <c r="H60" s="5" t="n"/>
      <c r="I60" s="24">
        <f>IF(AND(G60&lt;&gt;"",H60&lt;&gt;""),G60-H60,"")</f>
        <v/>
      </c>
      <c r="J60" s="28">
        <f>IF(AND(E60&lt;&gt;"",H60&lt;&gt;""),H60/E60,"")</f>
        <v/>
      </c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25">
        <f>IF(C61&lt;&gt;"",C61*D61,"")</f>
        <v/>
      </c>
      <c r="F61" s="8" t="n"/>
      <c r="G61" s="25">
        <f>IF(E61&lt;&gt;"",E61*(1+F61/100),"")</f>
        <v/>
      </c>
      <c r="H61" s="8" t="n"/>
      <c r="I61" s="25">
        <f>IF(AND(G61&lt;&gt;"",H61&lt;&gt;""),G61-H61,"")</f>
        <v/>
      </c>
      <c r="J61" s="29">
        <f>IF(AND(E61&lt;&gt;"",H61&lt;&gt;""),H61/E61,"")</f>
        <v/>
      </c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24">
        <f>IF(C62&lt;&gt;"",C62*D62,"")</f>
        <v/>
      </c>
      <c r="F62" s="5" t="n"/>
      <c r="G62" s="24">
        <f>IF(E62&lt;&gt;"",E62*(1+F62/100),"")</f>
        <v/>
      </c>
      <c r="H62" s="5" t="n"/>
      <c r="I62" s="24">
        <f>IF(AND(G62&lt;&gt;"",H62&lt;&gt;""),G62-H62,"")</f>
        <v/>
      </c>
      <c r="J62" s="28">
        <f>IF(AND(E62&lt;&gt;"",H62&lt;&gt;""),H62/E62,"")</f>
        <v/>
      </c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25">
        <f>IF(C63&lt;&gt;"",C63*D63,"")</f>
        <v/>
      </c>
      <c r="F63" s="8" t="n"/>
      <c r="G63" s="25">
        <f>IF(E63&lt;&gt;"",E63*(1+F63/100),"")</f>
        <v/>
      </c>
      <c r="H63" s="8" t="n"/>
      <c r="I63" s="25">
        <f>IF(AND(G63&lt;&gt;"",H63&lt;&gt;""),G63-H63,"")</f>
        <v/>
      </c>
      <c r="J63" s="29">
        <f>IF(AND(E63&lt;&gt;"",H63&lt;&gt;""),H63/E63,"")</f>
        <v/>
      </c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24">
        <f>IF(C64&lt;&gt;"",C64*D64,"")</f>
        <v/>
      </c>
      <c r="F64" s="5" t="n"/>
      <c r="G64" s="24">
        <f>IF(E64&lt;&gt;"",E64*(1+F64/100),"")</f>
        <v/>
      </c>
      <c r="H64" s="5" t="n"/>
      <c r="I64" s="24">
        <f>IF(AND(G64&lt;&gt;"",H64&lt;&gt;""),G64-H64,"")</f>
        <v/>
      </c>
      <c r="J64" s="28">
        <f>IF(AND(E64&lt;&gt;"",H64&lt;&gt;""),H64/E64,"")</f>
        <v/>
      </c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25">
        <f>IF(C65&lt;&gt;"",C65*D65,"")</f>
        <v/>
      </c>
      <c r="F65" s="8" t="n"/>
      <c r="G65" s="25">
        <f>IF(E65&lt;&gt;"",E65*(1+F65/100),"")</f>
        <v/>
      </c>
      <c r="H65" s="8" t="n"/>
      <c r="I65" s="25">
        <f>IF(AND(G65&lt;&gt;"",H65&lt;&gt;""),G65-H65,"")</f>
        <v/>
      </c>
      <c r="J65" s="29">
        <f>IF(AND(E65&lt;&gt;"",H65&lt;&gt;""),H65/E65,"")</f>
        <v/>
      </c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24">
        <f>IF(C66&lt;&gt;"",C66*D66,"")</f>
        <v/>
      </c>
      <c r="F66" s="5" t="n"/>
      <c r="G66" s="24">
        <f>IF(E66&lt;&gt;"",E66*(1+F66/100),"")</f>
        <v/>
      </c>
      <c r="H66" s="5" t="n"/>
      <c r="I66" s="24">
        <f>IF(AND(G66&lt;&gt;"",H66&lt;&gt;""),G66-H66,"")</f>
        <v/>
      </c>
      <c r="J66" s="28">
        <f>IF(AND(E66&lt;&gt;"",H66&lt;&gt;""),H66/E66,"")</f>
        <v/>
      </c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25">
        <f>IF(C67&lt;&gt;"",C67*D67,"")</f>
        <v/>
      </c>
      <c r="F67" s="8" t="n"/>
      <c r="G67" s="25">
        <f>IF(E67&lt;&gt;"",E67*(1+F67/100),"")</f>
        <v/>
      </c>
      <c r="H67" s="8" t="n"/>
      <c r="I67" s="25">
        <f>IF(AND(G67&lt;&gt;"",H67&lt;&gt;""),G67-H67,"")</f>
        <v/>
      </c>
      <c r="J67" s="29">
        <f>IF(AND(E67&lt;&gt;"",H67&lt;&gt;""),H67/E67,"")</f>
        <v/>
      </c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24">
        <f>IF(C68&lt;&gt;"",C68*D68,"")</f>
        <v/>
      </c>
      <c r="F68" s="5" t="n"/>
      <c r="G68" s="24">
        <f>IF(E68&lt;&gt;"",E68*(1+F68/100),"")</f>
        <v/>
      </c>
      <c r="H68" s="5" t="n"/>
      <c r="I68" s="24">
        <f>IF(AND(G68&lt;&gt;"",H68&lt;&gt;""),G68-H68,"")</f>
        <v/>
      </c>
      <c r="J68" s="28">
        <f>IF(AND(E68&lt;&gt;"",H68&lt;&gt;""),H68/E68,"")</f>
        <v/>
      </c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25">
        <f>IF(C69&lt;&gt;"",C69*D69,"")</f>
        <v/>
      </c>
      <c r="F69" s="8" t="n"/>
      <c r="G69" s="25">
        <f>IF(E69&lt;&gt;"",E69*(1+F69/100),"")</f>
        <v/>
      </c>
      <c r="H69" s="8" t="n"/>
      <c r="I69" s="25">
        <f>IF(AND(G69&lt;&gt;"",H69&lt;&gt;""),G69-H69,"")</f>
        <v/>
      </c>
      <c r="J69" s="29">
        <f>IF(AND(E69&lt;&gt;"",H69&lt;&gt;""),H69/E69,"")</f>
        <v/>
      </c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24">
        <f>IF(C70&lt;&gt;"",C70*D70,"")</f>
        <v/>
      </c>
      <c r="F70" s="5" t="n"/>
      <c r="G70" s="24">
        <f>IF(E70&lt;&gt;"",E70*(1+F70/100),"")</f>
        <v/>
      </c>
      <c r="H70" s="5" t="n"/>
      <c r="I70" s="24">
        <f>IF(AND(G70&lt;&gt;"",H70&lt;&gt;""),G70-H70,"")</f>
        <v/>
      </c>
      <c r="J70" s="28">
        <f>IF(AND(E70&lt;&gt;"",H70&lt;&gt;""),H70/E70,"")</f>
        <v/>
      </c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25">
        <f>IF(C71&lt;&gt;"",C71*D71,"")</f>
        <v/>
      </c>
      <c r="F71" s="8" t="n"/>
      <c r="G71" s="25">
        <f>IF(E71&lt;&gt;"",E71*(1+F71/100),"")</f>
        <v/>
      </c>
      <c r="H71" s="8" t="n"/>
      <c r="I71" s="25">
        <f>IF(AND(G71&lt;&gt;"",H71&lt;&gt;""),G71-H71,"")</f>
        <v/>
      </c>
      <c r="J71" s="29">
        <f>IF(AND(E71&lt;&gt;"",H71&lt;&gt;""),H71/E71,"")</f>
        <v/>
      </c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24">
        <f>IF(C72&lt;&gt;"",C72*D72,"")</f>
        <v/>
      </c>
      <c r="F72" s="5" t="n"/>
      <c r="G72" s="24">
        <f>IF(E72&lt;&gt;"",E72*(1+F72/100),"")</f>
        <v/>
      </c>
      <c r="H72" s="5" t="n"/>
      <c r="I72" s="24">
        <f>IF(AND(G72&lt;&gt;"",H72&lt;&gt;""),G72-H72,"")</f>
        <v/>
      </c>
      <c r="J72" s="28">
        <f>IF(AND(E72&lt;&gt;"",H72&lt;&gt;""),H72/E72,"")</f>
        <v/>
      </c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25">
        <f>IF(C73&lt;&gt;"",C73*D73,"")</f>
        <v/>
      </c>
      <c r="F73" s="8" t="n"/>
      <c r="G73" s="25">
        <f>IF(E73&lt;&gt;"",E73*(1+F73/100),"")</f>
        <v/>
      </c>
      <c r="H73" s="8" t="n"/>
      <c r="I73" s="25">
        <f>IF(AND(G73&lt;&gt;"",H73&lt;&gt;""),G73-H73,"")</f>
        <v/>
      </c>
      <c r="J73" s="29">
        <f>IF(AND(E73&lt;&gt;"",H73&lt;&gt;""),H73/E73,"")</f>
        <v/>
      </c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24">
        <f>IF(C74&lt;&gt;"",C74*D74,"")</f>
        <v/>
      </c>
      <c r="F74" s="5" t="n"/>
      <c r="G74" s="24">
        <f>IF(E74&lt;&gt;"",E74*(1+F74/100),"")</f>
        <v/>
      </c>
      <c r="H74" s="5" t="n"/>
      <c r="I74" s="24">
        <f>IF(AND(G74&lt;&gt;"",H74&lt;&gt;""),G74-H74,"")</f>
        <v/>
      </c>
      <c r="J74" s="28">
        <f>IF(AND(E74&lt;&gt;"",H74&lt;&gt;""),H74/E74,"")</f>
        <v/>
      </c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25">
        <f>IF(C75&lt;&gt;"",C75*D75,"")</f>
        <v/>
      </c>
      <c r="F75" s="8" t="n"/>
      <c r="G75" s="25">
        <f>IF(E75&lt;&gt;"",E75*(1+F75/100),"")</f>
        <v/>
      </c>
      <c r="H75" s="8" t="n"/>
      <c r="I75" s="25">
        <f>IF(AND(G75&lt;&gt;"",H75&lt;&gt;""),G75-H75,"")</f>
        <v/>
      </c>
      <c r="J75" s="29">
        <f>IF(AND(E75&lt;&gt;"",H75&lt;&gt;""),H75/E75,"")</f>
        <v/>
      </c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24">
        <f>IF(C76&lt;&gt;"",C76*D76,"")</f>
        <v/>
      </c>
      <c r="F76" s="5" t="n"/>
      <c r="G76" s="24">
        <f>IF(E76&lt;&gt;"",E76*(1+F76/100),"")</f>
        <v/>
      </c>
      <c r="H76" s="5" t="n"/>
      <c r="I76" s="24">
        <f>IF(AND(G76&lt;&gt;"",H76&lt;&gt;""),G76-H76,"")</f>
        <v/>
      </c>
      <c r="J76" s="28">
        <f>IF(AND(E76&lt;&gt;"",H76&lt;&gt;""),H76/E76,"")</f>
        <v/>
      </c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25">
        <f>IF(C77&lt;&gt;"",C77*D77,"")</f>
        <v/>
      </c>
      <c r="F77" s="8" t="n"/>
      <c r="G77" s="25">
        <f>IF(E77&lt;&gt;"",E77*(1+F77/100),"")</f>
        <v/>
      </c>
      <c r="H77" s="8" t="n"/>
      <c r="I77" s="25">
        <f>IF(AND(G77&lt;&gt;"",H77&lt;&gt;""),G77-H77,"")</f>
        <v/>
      </c>
      <c r="J77" s="29">
        <f>IF(AND(E77&lt;&gt;"",H77&lt;&gt;""),H77/E77,"")</f>
        <v/>
      </c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24">
        <f>IF(C78&lt;&gt;"",C78*D78,"")</f>
        <v/>
      </c>
      <c r="F78" s="5" t="n"/>
      <c r="G78" s="24">
        <f>IF(E78&lt;&gt;"",E78*(1+F78/100),"")</f>
        <v/>
      </c>
      <c r="H78" s="5" t="n"/>
      <c r="I78" s="24">
        <f>IF(AND(G78&lt;&gt;"",H78&lt;&gt;""),G78-H78,"")</f>
        <v/>
      </c>
      <c r="J78" s="28">
        <f>IF(AND(E78&lt;&gt;"",H78&lt;&gt;""),H78/E78,"")</f>
        <v/>
      </c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25">
        <f>IF(C79&lt;&gt;"",C79*D79,"")</f>
        <v/>
      </c>
      <c r="F79" s="8" t="n"/>
      <c r="G79" s="25">
        <f>IF(E79&lt;&gt;"",E79*(1+F79/100),"")</f>
        <v/>
      </c>
      <c r="H79" s="8" t="n"/>
      <c r="I79" s="25">
        <f>IF(AND(G79&lt;&gt;"",H79&lt;&gt;""),G79-H79,"")</f>
        <v/>
      </c>
      <c r="J79" s="29">
        <f>IF(AND(E79&lt;&gt;"",H79&lt;&gt;""),H79/E79,"")</f>
        <v/>
      </c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24">
        <f>IF(C80&lt;&gt;"",C80*D80,"")</f>
        <v/>
      </c>
      <c r="F80" s="5" t="n"/>
      <c r="G80" s="24">
        <f>IF(E80&lt;&gt;"",E80*(1+F80/100),"")</f>
        <v/>
      </c>
      <c r="H80" s="5" t="n"/>
      <c r="I80" s="24">
        <f>IF(AND(G80&lt;&gt;"",H80&lt;&gt;""),G80-H80,"")</f>
        <v/>
      </c>
      <c r="J80" s="28">
        <f>IF(AND(E80&lt;&gt;"",H80&lt;&gt;""),H80/E80,"")</f>
        <v/>
      </c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25">
        <f>IF(C81&lt;&gt;"",C81*D81,"")</f>
        <v/>
      </c>
      <c r="F81" s="8" t="n"/>
      <c r="G81" s="25">
        <f>IF(E81&lt;&gt;"",E81*(1+F81/100),"")</f>
        <v/>
      </c>
      <c r="H81" s="8" t="n"/>
      <c r="I81" s="25">
        <f>IF(AND(G81&lt;&gt;"",H81&lt;&gt;""),G81-H81,"")</f>
        <v/>
      </c>
      <c r="J81" s="29">
        <f>IF(AND(E81&lt;&gt;"",H81&lt;&gt;""),H81/E81,"")</f>
        <v/>
      </c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24">
        <f>IF(C82&lt;&gt;"",C82*D82,"")</f>
        <v/>
      </c>
      <c r="F82" s="5" t="n"/>
      <c r="G82" s="24">
        <f>IF(E82&lt;&gt;"",E82*(1+F82/100),"")</f>
        <v/>
      </c>
      <c r="H82" s="5" t="n"/>
      <c r="I82" s="24">
        <f>IF(AND(G82&lt;&gt;"",H82&lt;&gt;""),G82-H82,"")</f>
        <v/>
      </c>
      <c r="J82" s="28">
        <f>IF(AND(E82&lt;&gt;"",H82&lt;&gt;""),H82/E82,"")</f>
        <v/>
      </c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25">
        <f>IF(C83&lt;&gt;"",C83*D83,"")</f>
        <v/>
      </c>
      <c r="F83" s="8" t="n"/>
      <c r="G83" s="25">
        <f>IF(E83&lt;&gt;"",E83*(1+F83/100),"")</f>
        <v/>
      </c>
      <c r="H83" s="8" t="n"/>
      <c r="I83" s="25">
        <f>IF(AND(G83&lt;&gt;"",H83&lt;&gt;""),G83-H83,"")</f>
        <v/>
      </c>
      <c r="J83" s="29">
        <f>IF(AND(E83&lt;&gt;"",H83&lt;&gt;""),H83/E83,"")</f>
        <v/>
      </c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24">
        <f>IF(C84&lt;&gt;"",C84*D84,"")</f>
        <v/>
      </c>
      <c r="F84" s="5" t="n"/>
      <c r="G84" s="24">
        <f>IF(E84&lt;&gt;"",E84*(1+F84/100),"")</f>
        <v/>
      </c>
      <c r="H84" s="5" t="n"/>
      <c r="I84" s="24">
        <f>IF(AND(G84&lt;&gt;"",H84&lt;&gt;""),G84-H84,"")</f>
        <v/>
      </c>
      <c r="J84" s="28">
        <f>IF(AND(E84&lt;&gt;"",H84&lt;&gt;""),H84/E84,"")</f>
        <v/>
      </c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25">
        <f>IF(C85&lt;&gt;"",C85*D85,"")</f>
        <v/>
      </c>
      <c r="F85" s="8" t="n"/>
      <c r="G85" s="25">
        <f>IF(E85&lt;&gt;"",E85*(1+F85/100),"")</f>
        <v/>
      </c>
      <c r="H85" s="8" t="n"/>
      <c r="I85" s="25">
        <f>IF(AND(G85&lt;&gt;"",H85&lt;&gt;""),G85-H85,"")</f>
        <v/>
      </c>
      <c r="J85" s="29">
        <f>IF(AND(E85&lt;&gt;"",H85&lt;&gt;""),H85/E85,"")</f>
        <v/>
      </c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24">
        <f>IF(C86&lt;&gt;"",C86*D86,"")</f>
        <v/>
      </c>
      <c r="F86" s="5" t="n"/>
      <c r="G86" s="24">
        <f>IF(E86&lt;&gt;"",E86*(1+F86/100),"")</f>
        <v/>
      </c>
      <c r="H86" s="5" t="n"/>
      <c r="I86" s="24">
        <f>IF(AND(G86&lt;&gt;"",H86&lt;&gt;""),G86-H86,"")</f>
        <v/>
      </c>
      <c r="J86" s="28">
        <f>IF(AND(E86&lt;&gt;"",H86&lt;&gt;""),H86/E86,"")</f>
        <v/>
      </c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25">
        <f>IF(C87&lt;&gt;"",C87*D87,"")</f>
        <v/>
      </c>
      <c r="F87" s="8" t="n"/>
      <c r="G87" s="25">
        <f>IF(E87&lt;&gt;"",E87*(1+F87/100),"")</f>
        <v/>
      </c>
      <c r="H87" s="8" t="n"/>
      <c r="I87" s="25">
        <f>IF(AND(G87&lt;&gt;"",H87&lt;&gt;""),G87-H87,"")</f>
        <v/>
      </c>
      <c r="J87" s="29">
        <f>IF(AND(E87&lt;&gt;"",H87&lt;&gt;""),H87/E87,"")</f>
        <v/>
      </c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24">
        <f>IF(C88&lt;&gt;"",C88*D88,"")</f>
        <v/>
      </c>
      <c r="F88" s="5" t="n"/>
      <c r="G88" s="24">
        <f>IF(E88&lt;&gt;"",E88*(1+F88/100),"")</f>
        <v/>
      </c>
      <c r="H88" s="5" t="n"/>
      <c r="I88" s="24">
        <f>IF(AND(G88&lt;&gt;"",H88&lt;&gt;""),G88-H88,"")</f>
        <v/>
      </c>
      <c r="J88" s="28">
        <f>IF(AND(E88&lt;&gt;"",H88&lt;&gt;""),H88/E88,"")</f>
        <v/>
      </c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25">
        <f>IF(C89&lt;&gt;"",C89*D89,"")</f>
        <v/>
      </c>
      <c r="F89" s="8" t="n"/>
      <c r="G89" s="25">
        <f>IF(E89&lt;&gt;"",E89*(1+F89/100),"")</f>
        <v/>
      </c>
      <c r="H89" s="8" t="n"/>
      <c r="I89" s="25">
        <f>IF(AND(G89&lt;&gt;"",H89&lt;&gt;""),G89-H89,"")</f>
        <v/>
      </c>
      <c r="J89" s="29">
        <f>IF(AND(E89&lt;&gt;"",H89&lt;&gt;""),H89/E89,"")</f>
        <v/>
      </c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24">
        <f>IF(C90&lt;&gt;"",C90*D90,"")</f>
        <v/>
      </c>
      <c r="F90" s="5" t="n"/>
      <c r="G90" s="24">
        <f>IF(E90&lt;&gt;"",E90*(1+F90/100),"")</f>
        <v/>
      </c>
      <c r="H90" s="5" t="n"/>
      <c r="I90" s="24">
        <f>IF(AND(G90&lt;&gt;"",H90&lt;&gt;""),G90-H90,"")</f>
        <v/>
      </c>
      <c r="J90" s="28">
        <f>IF(AND(E90&lt;&gt;"",H90&lt;&gt;""),H90/E90,"")</f>
        <v/>
      </c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25">
        <f>IF(C91&lt;&gt;"",C91*D91,"")</f>
        <v/>
      </c>
      <c r="F91" s="8" t="n"/>
      <c r="G91" s="25">
        <f>IF(E91&lt;&gt;"",E91*(1+F91/100),"")</f>
        <v/>
      </c>
      <c r="H91" s="8" t="n"/>
      <c r="I91" s="25">
        <f>IF(AND(G91&lt;&gt;"",H91&lt;&gt;""),G91-H91,"")</f>
        <v/>
      </c>
      <c r="J91" s="29">
        <f>IF(AND(E91&lt;&gt;"",H91&lt;&gt;""),H91/E91,"")</f>
        <v/>
      </c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24">
        <f>IF(C92&lt;&gt;"",C92*D92,"")</f>
        <v/>
      </c>
      <c r="F92" s="5" t="n"/>
      <c r="G92" s="24">
        <f>IF(E92&lt;&gt;"",E92*(1+F92/100),"")</f>
        <v/>
      </c>
      <c r="H92" s="5" t="n"/>
      <c r="I92" s="24">
        <f>IF(AND(G92&lt;&gt;"",H92&lt;&gt;""),G92-H92,"")</f>
        <v/>
      </c>
      <c r="J92" s="28">
        <f>IF(AND(E92&lt;&gt;"",H92&lt;&gt;""),H92/E92,"")</f>
        <v/>
      </c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25">
        <f>IF(C93&lt;&gt;"",C93*D93,"")</f>
        <v/>
      </c>
      <c r="F93" s="8" t="n"/>
      <c r="G93" s="25">
        <f>IF(E93&lt;&gt;"",E93*(1+F93/100),"")</f>
        <v/>
      </c>
      <c r="H93" s="8" t="n"/>
      <c r="I93" s="25">
        <f>IF(AND(G93&lt;&gt;"",H93&lt;&gt;""),G93-H93,"")</f>
        <v/>
      </c>
      <c r="J93" s="29">
        <f>IF(AND(E93&lt;&gt;"",H93&lt;&gt;""),H93/E93,"")</f>
        <v/>
      </c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24">
        <f>IF(C94&lt;&gt;"",C94*D94,"")</f>
        <v/>
      </c>
      <c r="F94" s="5" t="n"/>
      <c r="G94" s="24">
        <f>IF(E94&lt;&gt;"",E94*(1+F94/100),"")</f>
        <v/>
      </c>
      <c r="H94" s="5" t="n"/>
      <c r="I94" s="24">
        <f>IF(AND(G94&lt;&gt;"",H94&lt;&gt;""),G94-H94,"")</f>
        <v/>
      </c>
      <c r="J94" s="28">
        <f>IF(AND(E94&lt;&gt;"",H94&lt;&gt;""),H94/E94,"")</f>
        <v/>
      </c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25">
        <f>IF(C95&lt;&gt;"",C95*D95,"")</f>
        <v/>
      </c>
      <c r="F95" s="8" t="n"/>
      <c r="G95" s="25">
        <f>IF(E95&lt;&gt;"",E95*(1+F95/100),"")</f>
        <v/>
      </c>
      <c r="H95" s="8" t="n"/>
      <c r="I95" s="25">
        <f>IF(AND(G95&lt;&gt;"",H95&lt;&gt;""),G95-H95,"")</f>
        <v/>
      </c>
      <c r="J95" s="29">
        <f>IF(AND(E95&lt;&gt;"",H95&lt;&gt;""),H95/E95,"")</f>
        <v/>
      </c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24">
        <f>IF(C96&lt;&gt;"",C96*D96,"")</f>
        <v/>
      </c>
      <c r="F96" s="5" t="n"/>
      <c r="G96" s="24">
        <f>IF(E96&lt;&gt;"",E96*(1+F96/100),"")</f>
        <v/>
      </c>
      <c r="H96" s="5" t="n"/>
      <c r="I96" s="24">
        <f>IF(AND(G96&lt;&gt;"",H96&lt;&gt;""),G96-H96,"")</f>
        <v/>
      </c>
      <c r="J96" s="28">
        <f>IF(AND(E96&lt;&gt;"",H96&lt;&gt;""),H96/E96,"")</f>
        <v/>
      </c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25">
        <f>IF(C97&lt;&gt;"",C97*D97,"")</f>
        <v/>
      </c>
      <c r="F97" s="8" t="n"/>
      <c r="G97" s="25">
        <f>IF(E97&lt;&gt;"",E97*(1+F97/100),"")</f>
        <v/>
      </c>
      <c r="H97" s="8" t="n"/>
      <c r="I97" s="25">
        <f>IF(AND(G97&lt;&gt;"",H97&lt;&gt;""),G97-H97,"")</f>
        <v/>
      </c>
      <c r="J97" s="29">
        <f>IF(AND(E97&lt;&gt;"",H97&lt;&gt;""),H97/E97,"")</f>
        <v/>
      </c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24">
        <f>IF(C98&lt;&gt;"",C98*D98,"")</f>
        <v/>
      </c>
      <c r="F98" s="5" t="n"/>
      <c r="G98" s="24">
        <f>IF(E98&lt;&gt;"",E98*(1+F98/100),"")</f>
        <v/>
      </c>
      <c r="H98" s="5" t="n"/>
      <c r="I98" s="24">
        <f>IF(AND(G98&lt;&gt;"",H98&lt;&gt;""),G98-H98,"")</f>
        <v/>
      </c>
      <c r="J98" s="28">
        <f>IF(AND(E98&lt;&gt;"",H98&lt;&gt;""),H98/E98,"")</f>
        <v/>
      </c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25">
        <f>IF(C99&lt;&gt;"",C99*D99,"")</f>
        <v/>
      </c>
      <c r="F99" s="8" t="n"/>
      <c r="G99" s="25">
        <f>IF(E99&lt;&gt;"",E99*(1+F99/100),"")</f>
        <v/>
      </c>
      <c r="H99" s="8" t="n"/>
      <c r="I99" s="25">
        <f>IF(AND(G99&lt;&gt;"",H99&lt;&gt;""),G99-H99,"")</f>
        <v/>
      </c>
      <c r="J99" s="29">
        <f>IF(AND(E99&lt;&gt;"",H99&lt;&gt;""),H99/E99,"")</f>
        <v/>
      </c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24">
        <f>IF(C100&lt;&gt;"",C100*D100,"")</f>
        <v/>
      </c>
      <c r="F100" s="5" t="n"/>
      <c r="G100" s="24">
        <f>IF(E100&lt;&gt;"",E100*(1+F100/100),"")</f>
        <v/>
      </c>
      <c r="H100" s="5" t="n"/>
      <c r="I100" s="24">
        <f>IF(AND(G100&lt;&gt;"",H100&lt;&gt;""),G100-H100,"")</f>
        <v/>
      </c>
      <c r="J100" s="28">
        <f>IF(AND(E100&lt;&gt;"",H100&lt;&gt;""),H100/E100,"")</f>
        <v/>
      </c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25">
        <f>IF(C101&lt;&gt;"",C101*D101,"")</f>
        <v/>
      </c>
      <c r="F101" s="8" t="n"/>
      <c r="G101" s="25">
        <f>IF(E101&lt;&gt;"",E101*(1+F101/100),"")</f>
        <v/>
      </c>
      <c r="H101" s="8" t="n"/>
      <c r="I101" s="25">
        <f>IF(AND(G101&lt;&gt;"",H101&lt;&gt;""),G101-H101,"")</f>
        <v/>
      </c>
      <c r="J101" s="29">
        <f>IF(AND(E101&lt;&gt;"",H101&lt;&gt;""),H101/E101,"")</f>
        <v/>
      </c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24">
        <f>IF(C102&lt;&gt;"",C102*D102,"")</f>
        <v/>
      </c>
      <c r="F102" s="5" t="n"/>
      <c r="G102" s="24">
        <f>IF(E102&lt;&gt;"",E102*(1+F102/100),"")</f>
        <v/>
      </c>
      <c r="H102" s="5" t="n"/>
      <c r="I102" s="24">
        <f>IF(AND(G102&lt;&gt;"",H102&lt;&gt;""),G102-H102,"")</f>
        <v/>
      </c>
      <c r="J102" s="28">
        <f>IF(AND(E102&lt;&gt;"",H102&lt;&gt;""),H102/E102,"")</f>
        <v/>
      </c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25">
        <f>IF(C103&lt;&gt;"",C103*D103,"")</f>
        <v/>
      </c>
      <c r="F103" s="8" t="n"/>
      <c r="G103" s="25">
        <f>IF(E103&lt;&gt;"",E103*(1+F103/100),"")</f>
        <v/>
      </c>
      <c r="H103" s="8" t="n"/>
      <c r="I103" s="25">
        <f>IF(AND(G103&lt;&gt;"",H103&lt;&gt;""),G103-H103,"")</f>
        <v/>
      </c>
      <c r="J103" s="29">
        <f>IF(AND(E103&lt;&gt;"",H103&lt;&gt;""),H103/E103,"")</f>
        <v/>
      </c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24">
        <f>IF(C104&lt;&gt;"",C104*D104,"")</f>
        <v/>
      </c>
      <c r="F104" s="5" t="n"/>
      <c r="G104" s="24">
        <f>IF(E104&lt;&gt;"",E104*(1+F104/100),"")</f>
        <v/>
      </c>
      <c r="H104" s="5" t="n"/>
      <c r="I104" s="24">
        <f>IF(AND(G104&lt;&gt;"",H104&lt;&gt;""),G104-H104,"")</f>
        <v/>
      </c>
      <c r="J104" s="28">
        <f>IF(AND(E104&lt;&gt;"",H104&lt;&gt;""),H104/E104,"")</f>
        <v/>
      </c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25">
        <f>IF(C105&lt;&gt;"",C105*D105,"")</f>
        <v/>
      </c>
      <c r="F105" s="8" t="n"/>
      <c r="G105" s="25">
        <f>IF(E105&lt;&gt;"",E105*(1+F105/100),"")</f>
        <v/>
      </c>
      <c r="H105" s="8" t="n"/>
      <c r="I105" s="25">
        <f>IF(AND(G105&lt;&gt;"",H105&lt;&gt;""),G105-H105,"")</f>
        <v/>
      </c>
      <c r="J105" s="29">
        <f>IF(AND(E105&lt;&gt;"",H105&lt;&gt;""),H105/E105,"")</f>
        <v/>
      </c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24">
        <f>IF(C106&lt;&gt;"",C106*D106,"")</f>
        <v/>
      </c>
      <c r="F106" s="5" t="n"/>
      <c r="G106" s="24">
        <f>IF(E106&lt;&gt;"",E106*(1+F106/100),"")</f>
        <v/>
      </c>
      <c r="H106" s="5" t="n"/>
      <c r="I106" s="24">
        <f>IF(AND(G106&lt;&gt;"",H106&lt;&gt;""),G106-H106,"")</f>
        <v/>
      </c>
      <c r="J106" s="28">
        <f>IF(AND(E106&lt;&gt;"",H106&lt;&gt;""),H106/E106,"")</f>
        <v/>
      </c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25">
        <f>IF(C107&lt;&gt;"",C107*D107,"")</f>
        <v/>
      </c>
      <c r="F107" s="8" t="n"/>
      <c r="G107" s="25">
        <f>IF(E107&lt;&gt;"",E107*(1+F107/100),"")</f>
        <v/>
      </c>
      <c r="H107" s="8" t="n"/>
      <c r="I107" s="25">
        <f>IF(AND(G107&lt;&gt;"",H107&lt;&gt;""),G107-H107,"")</f>
        <v/>
      </c>
      <c r="J107" s="29">
        <f>IF(AND(E107&lt;&gt;"",H107&lt;&gt;""),H107/E107,"")</f>
        <v/>
      </c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24">
        <f>IF(C108&lt;&gt;"",C108*D108,"")</f>
        <v/>
      </c>
      <c r="F108" s="5" t="n"/>
      <c r="G108" s="24">
        <f>IF(E108&lt;&gt;"",E108*(1+F108/100),"")</f>
        <v/>
      </c>
      <c r="H108" s="5" t="n"/>
      <c r="I108" s="24">
        <f>IF(AND(G108&lt;&gt;"",H108&lt;&gt;""),G108-H108,"")</f>
        <v/>
      </c>
      <c r="J108" s="28">
        <f>IF(AND(E108&lt;&gt;"",H108&lt;&gt;""),H108/E108,"")</f>
        <v/>
      </c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25">
        <f>IF(C109&lt;&gt;"",C109*D109,"")</f>
        <v/>
      </c>
      <c r="F109" s="8" t="n"/>
      <c r="G109" s="25">
        <f>IF(E109&lt;&gt;"",E109*(1+F109/100),"")</f>
        <v/>
      </c>
      <c r="H109" s="8" t="n"/>
      <c r="I109" s="25">
        <f>IF(AND(G109&lt;&gt;"",H109&lt;&gt;""),G109-H109,"")</f>
        <v/>
      </c>
      <c r="J109" s="29">
        <f>IF(AND(E109&lt;&gt;"",H109&lt;&gt;""),H109/E109,"")</f>
        <v/>
      </c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24">
        <f>IF(C110&lt;&gt;"",C110*D110,"")</f>
        <v/>
      </c>
      <c r="F110" s="5" t="n"/>
      <c r="G110" s="24">
        <f>IF(E110&lt;&gt;"",E110*(1+F110/100),"")</f>
        <v/>
      </c>
      <c r="H110" s="5" t="n"/>
      <c r="I110" s="24">
        <f>IF(AND(G110&lt;&gt;"",H110&lt;&gt;""),G110-H110,"")</f>
        <v/>
      </c>
      <c r="J110" s="28">
        <f>IF(AND(E110&lt;&gt;"",H110&lt;&gt;""),H110/E110,"")</f>
        <v/>
      </c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25">
        <f>IF(C111&lt;&gt;"",C111*D111,"")</f>
        <v/>
      </c>
      <c r="F111" s="8" t="n"/>
      <c r="G111" s="25">
        <f>IF(E111&lt;&gt;"",E111*(1+F111/100),"")</f>
        <v/>
      </c>
      <c r="H111" s="8" t="n"/>
      <c r="I111" s="25">
        <f>IF(AND(G111&lt;&gt;"",H111&lt;&gt;""),G111-H111,"")</f>
        <v/>
      </c>
      <c r="J111" s="29">
        <f>IF(AND(E111&lt;&gt;"",H111&lt;&gt;""),H111/E111,"")</f>
        <v/>
      </c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24">
        <f>IF(C112&lt;&gt;"",C112*D112,"")</f>
        <v/>
      </c>
      <c r="F112" s="5" t="n"/>
      <c r="G112" s="24">
        <f>IF(E112&lt;&gt;"",E112*(1+F112/100),"")</f>
        <v/>
      </c>
      <c r="H112" s="5" t="n"/>
      <c r="I112" s="24">
        <f>IF(AND(G112&lt;&gt;"",H112&lt;&gt;""),G112-H112,"")</f>
        <v/>
      </c>
      <c r="J112" s="28">
        <f>IF(AND(E112&lt;&gt;"",H112&lt;&gt;""),H112/E112,"")</f>
        <v/>
      </c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25">
        <f>IF(C113&lt;&gt;"",C113*D113,"")</f>
        <v/>
      </c>
      <c r="F113" s="8" t="n"/>
      <c r="G113" s="25">
        <f>IF(E113&lt;&gt;"",E113*(1+F113/100),"")</f>
        <v/>
      </c>
      <c r="H113" s="8" t="n"/>
      <c r="I113" s="25">
        <f>IF(AND(G113&lt;&gt;"",H113&lt;&gt;""),G113-H113,"")</f>
        <v/>
      </c>
      <c r="J113" s="29">
        <f>IF(AND(E113&lt;&gt;"",H113&lt;&gt;""),H113/E113,"")</f>
        <v/>
      </c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24">
        <f>IF(C114&lt;&gt;"",C114*D114,"")</f>
        <v/>
      </c>
      <c r="F114" s="5" t="n"/>
      <c r="G114" s="24">
        <f>IF(E114&lt;&gt;"",E114*(1+F114/100),"")</f>
        <v/>
      </c>
      <c r="H114" s="5" t="n"/>
      <c r="I114" s="24">
        <f>IF(AND(G114&lt;&gt;"",H114&lt;&gt;""),G114-H114,"")</f>
        <v/>
      </c>
      <c r="J114" s="28">
        <f>IF(AND(E114&lt;&gt;"",H114&lt;&gt;""),H114/E114,"")</f>
        <v/>
      </c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25">
        <f>IF(C115&lt;&gt;"",C115*D115,"")</f>
        <v/>
      </c>
      <c r="F115" s="8" t="n"/>
      <c r="G115" s="25">
        <f>IF(E115&lt;&gt;"",E115*(1+F115/100),"")</f>
        <v/>
      </c>
      <c r="H115" s="8" t="n"/>
      <c r="I115" s="25">
        <f>IF(AND(G115&lt;&gt;"",H115&lt;&gt;""),G115-H115,"")</f>
        <v/>
      </c>
      <c r="J115" s="29">
        <f>IF(AND(E115&lt;&gt;"",H115&lt;&gt;""),H115/E115,"")</f>
        <v/>
      </c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A6:A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B6:B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8" customWidth="1" min="4" max="4"/>
    <col width="22" customWidth="1" min="5" max="5"/>
    <col width="20" customWidth="1" min="6" max="6"/>
    <col width="18" customWidth="1" min="7" max="7"/>
    <col width="24" customWidth="1" min="8" max="8"/>
    <col width="28" customWidth="1" min="9" max="9"/>
    <col width="28" customWidth="1" min="10" max="10"/>
    <col width="28" customWidth="1" min="11" max="11"/>
    <col width="22" customWidth="1" min="12" max="12"/>
    <col width="14" customWidth="1" min="13" max="13"/>
    <col width="28" customWidth="1" min="14" max="14"/>
  </cols>
  <sheetData>
    <row r="1" ht="8" customHeight="1"/>
    <row r="2" ht="30" customHeight="1">
      <c r="A2" s="1" t="inlineStr">
        <is>
          <t>11-ANALYSE COMPARATIVE INTÉRIM VS CDI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Poste</t>
        </is>
      </c>
      <c r="B5" s="4" t="inlineStr">
        <is>
          <t>Coût Intérim Mensuel</t>
        </is>
      </c>
      <c r="C5" s="4" t="inlineStr">
        <is>
          <t>Coût CDI Mensuel</t>
        </is>
      </c>
      <c r="D5" s="4" t="inlineStr">
        <is>
          <t>Écart Mensuel</t>
        </is>
      </c>
      <c r="E5" s="4" t="inlineStr">
        <is>
          <t>Coût Intérim Annuel</t>
        </is>
      </c>
      <c r="F5" s="4" t="inlineStr">
        <is>
          <t>Coût CDI Annuel</t>
        </is>
      </c>
      <c r="G5" s="4" t="inlineStr">
        <is>
          <t>Écart Annuel</t>
        </is>
      </c>
      <c r="H5" s="4" t="inlineStr">
        <is>
          <t>Seuil Rentabilité (mois)</t>
        </is>
      </c>
      <c r="I5" s="4" t="inlineStr">
        <is>
          <t>Recommandation</t>
        </is>
      </c>
      <c r="J5" s="4" t="inlineStr">
        <is>
          <t>Avantage Intérim</t>
        </is>
      </c>
      <c r="K5" s="4" t="inlineStr">
        <is>
          <t>Avantage CDI</t>
        </is>
      </c>
      <c r="L5" s="4" t="inlineStr">
        <is>
          <t>Décision</t>
        </is>
      </c>
      <c r="M5" s="4" t="inlineStr">
        <is>
          <t>Date MAJ</t>
        </is>
      </c>
      <c r="N5" s="4" t="inlineStr">
        <is>
          <t>Observations</t>
        </is>
      </c>
    </row>
    <row r="6" ht="22" customHeight="1">
      <c r="A6" s="5" t="inlineStr">
        <is>
          <t>Serveur</t>
        </is>
      </c>
      <c r="B6" s="7" t="n">
        <v>400000</v>
      </c>
      <c r="C6" s="7" t="n">
        <v>350000</v>
      </c>
      <c r="D6" s="24">
        <f>IF(B6&lt;&gt;"",C6-B6,"")</f>
        <v/>
      </c>
      <c r="E6" s="24">
        <f>IF(B6&lt;&gt;"",B6*12,"")</f>
        <v/>
      </c>
      <c r="F6" s="24">
        <f>IF(C6&lt;&gt;"",C6*12,"")</f>
        <v/>
      </c>
      <c r="G6" s="24">
        <f>IF(E6&lt;&gt;"",F6-E6,"")</f>
        <v/>
      </c>
      <c r="H6" s="26">
        <f>IF(AND(B6&lt;&gt;"",B6&lt;&gt;C6),D6/(C6*0.4),"")</f>
        <v/>
      </c>
      <c r="I6" s="5" t="n"/>
      <c r="J6" s="5" t="inlineStr">
        <is>
          <t>Flexibilité, pas d'engagement</t>
        </is>
      </c>
      <c r="K6" s="5" t="inlineStr">
        <is>
          <t>Stabilité, fidélisation</t>
        </is>
      </c>
      <c r="L6" s="5">
        <f>IF(D6="","",IF(D6&gt;0,"CDI avantageux","Intérim avantageux"))</f>
        <v/>
      </c>
      <c r="M6" s="6" t="n">
        <v>45689</v>
      </c>
      <c r="N6" s="5" t="inlineStr">
        <is>
          <t>CDI + intérim pour pics</t>
        </is>
      </c>
    </row>
    <row r="7" ht="22" customHeight="1">
      <c r="A7" s="8" t="inlineStr">
        <is>
          <t>Femme de chambre</t>
        </is>
      </c>
      <c r="B7" s="10" t="n">
        <v>300000</v>
      </c>
      <c r="C7" s="10" t="n">
        <v>280000</v>
      </c>
      <c r="D7" s="25">
        <f>IF(B7&lt;&gt;"",C7-B7,"")</f>
        <v/>
      </c>
      <c r="E7" s="25">
        <f>IF(B7&lt;&gt;"",B7*12,"")</f>
        <v/>
      </c>
      <c r="F7" s="25">
        <f>IF(C7&lt;&gt;"",C7*12,"")</f>
        <v/>
      </c>
      <c r="G7" s="25">
        <f>IF(E7&lt;&gt;"",F7-E7,"")</f>
        <v/>
      </c>
      <c r="H7" s="27">
        <f>IF(AND(B7&lt;&gt;"",B7&lt;&gt;C7),D7/(C7*0.4),"")</f>
        <v/>
      </c>
      <c r="I7" s="8" t="n"/>
      <c r="J7" s="8" t="inlineStr">
        <is>
          <t>Adaptation saisonnière</t>
        </is>
      </c>
      <c r="K7" s="8" t="inlineStr">
        <is>
          <t>Qualité service constante</t>
        </is>
      </c>
      <c r="L7" s="8">
        <f>IF(D7="","",IF(D7&gt;0,"CDI avantageux","Intérim avantageux"))</f>
        <v/>
      </c>
      <c r="M7" s="9" t="n">
        <v>45689</v>
      </c>
      <c r="N7" s="8" t="inlineStr">
        <is>
          <t>Maintenir intérim saisonnier</t>
        </is>
      </c>
    </row>
    <row r="8" ht="22" customHeight="1">
      <c r="A8" s="5" t="inlineStr">
        <is>
          <t>Plongeur</t>
        </is>
      </c>
      <c r="B8" s="7" t="n">
        <v>240000</v>
      </c>
      <c r="C8" s="7" t="n">
        <v>220000</v>
      </c>
      <c r="D8" s="24">
        <f>IF(B8&lt;&gt;"",C8-B8,"")</f>
        <v/>
      </c>
      <c r="E8" s="24">
        <f>IF(B8&lt;&gt;"",B8*12,"")</f>
        <v/>
      </c>
      <c r="F8" s="24">
        <f>IF(C8&lt;&gt;"",C8*12,"")</f>
        <v/>
      </c>
      <c r="G8" s="24">
        <f>IF(E8&lt;&gt;"",F8-E8,"")</f>
        <v/>
      </c>
      <c r="H8" s="26">
        <f>IF(AND(B8&lt;&gt;"",B8&lt;&gt;C8),D8/(C8*0.4),"")</f>
        <v/>
      </c>
      <c r="I8" s="5" t="n"/>
      <c r="J8" s="5" t="inlineStr">
        <is>
          <t>Pas de charges patronales</t>
        </is>
      </c>
      <c r="K8" s="5" t="inlineStr">
        <is>
          <t>Continuité équipe</t>
        </is>
      </c>
      <c r="L8" s="5">
        <f>IF(D8="","",IF(D8&gt;0,"CDI avantageux","Intérim avantageux"))</f>
        <v/>
      </c>
      <c r="M8" s="6" t="n">
        <v>45689</v>
      </c>
      <c r="N8" s="5" t="inlineStr">
        <is>
          <t>Intérim suffisant pour ce poste</t>
        </is>
      </c>
    </row>
    <row r="9" ht="22" customHeight="1">
      <c r="A9" s="8" t="inlineStr">
        <is>
          <t>Agent Entretien</t>
        </is>
      </c>
      <c r="B9" s="10" t="n">
        <v>352000</v>
      </c>
      <c r="C9" s="10" t="n">
        <v>330000</v>
      </c>
      <c r="D9" s="25">
        <f>IF(B9&lt;&gt;"",C9-B9,"")</f>
        <v/>
      </c>
      <c r="E9" s="25">
        <f>IF(B9&lt;&gt;"",B9*12,"")</f>
        <v/>
      </c>
      <c r="F9" s="25">
        <f>IF(C9&lt;&gt;"",C9*12,"")</f>
        <v/>
      </c>
      <c r="G9" s="25">
        <f>IF(E9&lt;&gt;"",F9-E9,"")</f>
        <v/>
      </c>
      <c r="H9" s="27">
        <f>IF(AND(B9&lt;&gt;"",B9&lt;&gt;C9),D9/(C9*0.4),"")</f>
        <v/>
      </c>
      <c r="I9" s="8" t="n"/>
      <c r="J9" s="8" t="inlineStr">
        <is>
          <t>Compétence spécifique projet</t>
        </is>
      </c>
      <c r="K9" s="8" t="inlineStr">
        <is>
          <t>Polyvalence interne</t>
        </is>
      </c>
      <c r="L9" s="8">
        <f>IF(D9="","",IF(D9&gt;0,"CDI avantageux","Intérim avantageux"))</f>
        <v/>
      </c>
      <c r="M9" s="9" t="n">
        <v>45689</v>
      </c>
      <c r="N9" s="8" t="inlineStr">
        <is>
          <t>CDI recommandé si projet récurrent</t>
        </is>
      </c>
    </row>
    <row r="10" ht="22" customHeight="1">
      <c r="A10" s="5" t="n"/>
      <c r="B10" s="5" t="n"/>
      <c r="C10" s="5" t="n"/>
      <c r="D10" s="24">
        <f>IF(B10&lt;&gt;"",C10-B10,"")</f>
        <v/>
      </c>
      <c r="E10" s="24">
        <f>IF(B10&lt;&gt;"",B10*12,"")</f>
        <v/>
      </c>
      <c r="F10" s="24">
        <f>IF(C10&lt;&gt;"",C10*12,"")</f>
        <v/>
      </c>
      <c r="G10" s="24">
        <f>IF(E10&lt;&gt;"",F10-E10,"")</f>
        <v/>
      </c>
      <c r="H10" s="26">
        <f>IF(AND(B10&lt;&gt;"",B10&lt;&gt;C10),D10/(C10*0.4),"")</f>
        <v/>
      </c>
      <c r="I10" s="5" t="n"/>
      <c r="J10" s="5" t="n"/>
      <c r="K10" s="5" t="n"/>
      <c r="L10" s="5">
        <f>IF(D10="","",IF(D10&gt;0,"CDI avantageux","Intérim avantageux"))</f>
        <v/>
      </c>
      <c r="M10" s="5" t="n"/>
      <c r="N10" s="5" t="n"/>
    </row>
    <row r="11" ht="22" customHeight="1">
      <c r="A11" s="8" t="n"/>
      <c r="B11" s="8" t="n"/>
      <c r="C11" s="8" t="n"/>
      <c r="D11" s="25">
        <f>IF(B11&lt;&gt;"",C11-B11,"")</f>
        <v/>
      </c>
      <c r="E11" s="25">
        <f>IF(B11&lt;&gt;"",B11*12,"")</f>
        <v/>
      </c>
      <c r="F11" s="25">
        <f>IF(C11&lt;&gt;"",C11*12,"")</f>
        <v/>
      </c>
      <c r="G11" s="25">
        <f>IF(E11&lt;&gt;"",F11-E11,"")</f>
        <v/>
      </c>
      <c r="H11" s="27">
        <f>IF(AND(B11&lt;&gt;"",B11&lt;&gt;C11),D11/(C11*0.4),"")</f>
        <v/>
      </c>
      <c r="I11" s="8" t="n"/>
      <c r="J11" s="8" t="n"/>
      <c r="K11" s="8" t="n"/>
      <c r="L11" s="8">
        <f>IF(D11="","",IF(D11&gt;0,"CDI avantageux","Intérim avantageux"))</f>
        <v/>
      </c>
      <c r="M11" s="8" t="n"/>
      <c r="N11" s="8" t="n"/>
    </row>
    <row r="12" ht="22" customHeight="1">
      <c r="A12" s="5" t="n"/>
      <c r="B12" s="5" t="n"/>
      <c r="C12" s="5" t="n"/>
      <c r="D12" s="24">
        <f>IF(B12&lt;&gt;"",C12-B12,"")</f>
        <v/>
      </c>
      <c r="E12" s="24">
        <f>IF(B12&lt;&gt;"",B12*12,"")</f>
        <v/>
      </c>
      <c r="F12" s="24">
        <f>IF(C12&lt;&gt;"",C12*12,"")</f>
        <v/>
      </c>
      <c r="G12" s="24">
        <f>IF(E12&lt;&gt;"",F12-E12,"")</f>
        <v/>
      </c>
      <c r="H12" s="26">
        <f>IF(AND(B12&lt;&gt;"",B12&lt;&gt;C12),D12/(C12*0.4),"")</f>
        <v/>
      </c>
      <c r="I12" s="5" t="n"/>
      <c r="J12" s="5" t="n"/>
      <c r="K12" s="5" t="n"/>
      <c r="L12" s="5">
        <f>IF(D12="","",IF(D12&gt;0,"CDI avantageux","Intérim avantageux"))</f>
        <v/>
      </c>
      <c r="M12" s="5" t="n"/>
      <c r="N12" s="5" t="n"/>
    </row>
    <row r="13" ht="22" customHeight="1">
      <c r="A13" s="8" t="n"/>
      <c r="B13" s="8" t="n"/>
      <c r="C13" s="8" t="n"/>
      <c r="D13" s="25">
        <f>IF(B13&lt;&gt;"",C13-B13,"")</f>
        <v/>
      </c>
      <c r="E13" s="25">
        <f>IF(B13&lt;&gt;"",B13*12,"")</f>
        <v/>
      </c>
      <c r="F13" s="25">
        <f>IF(C13&lt;&gt;"",C13*12,"")</f>
        <v/>
      </c>
      <c r="G13" s="25">
        <f>IF(E13&lt;&gt;"",F13-E13,"")</f>
        <v/>
      </c>
      <c r="H13" s="27">
        <f>IF(AND(B13&lt;&gt;"",B13&lt;&gt;C13),D13/(C13*0.4),"")</f>
        <v/>
      </c>
      <c r="I13" s="8" t="n"/>
      <c r="J13" s="8" t="n"/>
      <c r="K13" s="8" t="n"/>
      <c r="L13" s="8">
        <f>IF(D13="","",IF(D13&gt;0,"CDI avantageux","Intérim avantageux"))</f>
        <v/>
      </c>
      <c r="M13" s="8" t="n"/>
      <c r="N13" s="8" t="n"/>
    </row>
    <row r="14" ht="22" customHeight="1">
      <c r="A14" s="5" t="n"/>
      <c r="B14" s="5" t="n"/>
      <c r="C14" s="5" t="n"/>
      <c r="D14" s="24">
        <f>IF(B14&lt;&gt;"",C14-B14,"")</f>
        <v/>
      </c>
      <c r="E14" s="24">
        <f>IF(B14&lt;&gt;"",B14*12,"")</f>
        <v/>
      </c>
      <c r="F14" s="24">
        <f>IF(C14&lt;&gt;"",C14*12,"")</f>
        <v/>
      </c>
      <c r="G14" s="24">
        <f>IF(E14&lt;&gt;"",F14-E14,"")</f>
        <v/>
      </c>
      <c r="H14" s="26">
        <f>IF(AND(B14&lt;&gt;"",B14&lt;&gt;C14),D14/(C14*0.4),"")</f>
        <v/>
      </c>
      <c r="I14" s="5" t="n"/>
      <c r="J14" s="5" t="n"/>
      <c r="K14" s="5" t="n"/>
      <c r="L14" s="5">
        <f>IF(D14="","",IF(D14&gt;0,"CDI avantageux","Intérim avantageux"))</f>
        <v/>
      </c>
      <c r="M14" s="5" t="n"/>
      <c r="N14" s="5" t="n"/>
    </row>
    <row r="15" ht="22" customHeight="1">
      <c r="A15" s="8" t="n"/>
      <c r="B15" s="8" t="n"/>
      <c r="C15" s="8" t="n"/>
      <c r="D15" s="25">
        <f>IF(B15&lt;&gt;"",C15-B15,"")</f>
        <v/>
      </c>
      <c r="E15" s="25">
        <f>IF(B15&lt;&gt;"",B15*12,"")</f>
        <v/>
      </c>
      <c r="F15" s="25">
        <f>IF(C15&lt;&gt;"",C15*12,"")</f>
        <v/>
      </c>
      <c r="G15" s="25">
        <f>IF(E15&lt;&gt;"",F15-E15,"")</f>
        <v/>
      </c>
      <c r="H15" s="27">
        <f>IF(AND(B15&lt;&gt;"",B15&lt;&gt;C15),D15/(C15*0.4),"")</f>
        <v/>
      </c>
      <c r="I15" s="8" t="n"/>
      <c r="J15" s="8" t="n"/>
      <c r="K15" s="8" t="n"/>
      <c r="L15" s="8">
        <f>IF(D15="","",IF(D15&gt;0,"CDI avantageux","Intérim avantageux"))</f>
        <v/>
      </c>
      <c r="M15" s="8" t="n"/>
      <c r="N15" s="8" t="n"/>
    </row>
    <row r="16" ht="22" customHeight="1">
      <c r="A16" s="5" t="n"/>
      <c r="B16" s="5" t="n"/>
      <c r="C16" s="5" t="n"/>
      <c r="D16" s="24">
        <f>IF(B16&lt;&gt;"",C16-B16,"")</f>
        <v/>
      </c>
      <c r="E16" s="24">
        <f>IF(B16&lt;&gt;"",B16*12,"")</f>
        <v/>
      </c>
      <c r="F16" s="24">
        <f>IF(C16&lt;&gt;"",C16*12,"")</f>
        <v/>
      </c>
      <c r="G16" s="24">
        <f>IF(E16&lt;&gt;"",F16-E16,"")</f>
        <v/>
      </c>
      <c r="H16" s="26">
        <f>IF(AND(B16&lt;&gt;"",B16&lt;&gt;C16),D16/(C16*0.4),"")</f>
        <v/>
      </c>
      <c r="I16" s="5" t="n"/>
      <c r="J16" s="5" t="n"/>
      <c r="K16" s="5" t="n"/>
      <c r="L16" s="5">
        <f>IF(D16="","",IF(D16&gt;0,"CDI avantageux","Intérim avantageux"))</f>
        <v/>
      </c>
      <c r="M16" s="5" t="n"/>
      <c r="N16" s="5" t="n"/>
    </row>
    <row r="17" ht="22" customHeight="1">
      <c r="A17" s="8" t="n"/>
      <c r="B17" s="8" t="n"/>
      <c r="C17" s="8" t="n"/>
      <c r="D17" s="25">
        <f>IF(B17&lt;&gt;"",C17-B17,"")</f>
        <v/>
      </c>
      <c r="E17" s="25">
        <f>IF(B17&lt;&gt;"",B17*12,"")</f>
        <v/>
      </c>
      <c r="F17" s="25">
        <f>IF(C17&lt;&gt;"",C17*12,"")</f>
        <v/>
      </c>
      <c r="G17" s="25">
        <f>IF(E17&lt;&gt;"",F17-E17,"")</f>
        <v/>
      </c>
      <c r="H17" s="27">
        <f>IF(AND(B17&lt;&gt;"",B17&lt;&gt;C17),D17/(C17*0.4),"")</f>
        <v/>
      </c>
      <c r="I17" s="8" t="n"/>
      <c r="J17" s="8" t="n"/>
      <c r="K17" s="8" t="n"/>
      <c r="L17" s="8">
        <f>IF(D17="","",IF(D17&gt;0,"CDI avantageux","Intérim avantageux"))</f>
        <v/>
      </c>
      <c r="M17" s="8" t="n"/>
      <c r="N17" s="8" t="n"/>
    </row>
    <row r="18" ht="22" customHeight="1">
      <c r="A18" s="5" t="n"/>
      <c r="B18" s="5" t="n"/>
      <c r="C18" s="5" t="n"/>
      <c r="D18" s="24">
        <f>IF(B18&lt;&gt;"",C18-B18,"")</f>
        <v/>
      </c>
      <c r="E18" s="24">
        <f>IF(B18&lt;&gt;"",B18*12,"")</f>
        <v/>
      </c>
      <c r="F18" s="24">
        <f>IF(C18&lt;&gt;"",C18*12,"")</f>
        <v/>
      </c>
      <c r="G18" s="24">
        <f>IF(E18&lt;&gt;"",F18-E18,"")</f>
        <v/>
      </c>
      <c r="H18" s="26">
        <f>IF(AND(B18&lt;&gt;"",B18&lt;&gt;C18),D18/(C18*0.4),"")</f>
        <v/>
      </c>
      <c r="I18" s="5" t="n"/>
      <c r="J18" s="5" t="n"/>
      <c r="K18" s="5" t="n"/>
      <c r="L18" s="5">
        <f>IF(D18="","",IF(D18&gt;0,"CDI avantageux","Intérim avantageux"))</f>
        <v/>
      </c>
      <c r="M18" s="5" t="n"/>
      <c r="N18" s="5" t="n"/>
    </row>
    <row r="19" ht="22" customHeight="1">
      <c r="A19" s="8" t="n"/>
      <c r="B19" s="8" t="n"/>
      <c r="C19" s="8" t="n"/>
      <c r="D19" s="25">
        <f>IF(B19&lt;&gt;"",C19-B19,"")</f>
        <v/>
      </c>
      <c r="E19" s="25">
        <f>IF(B19&lt;&gt;"",B19*12,"")</f>
        <v/>
      </c>
      <c r="F19" s="25">
        <f>IF(C19&lt;&gt;"",C19*12,"")</f>
        <v/>
      </c>
      <c r="G19" s="25">
        <f>IF(E19&lt;&gt;"",F19-E19,"")</f>
        <v/>
      </c>
      <c r="H19" s="27">
        <f>IF(AND(B19&lt;&gt;"",B19&lt;&gt;C19),D19/(C19*0.4),"")</f>
        <v/>
      </c>
      <c r="I19" s="8" t="n"/>
      <c r="J19" s="8" t="n"/>
      <c r="K19" s="8" t="n"/>
      <c r="L19" s="8">
        <f>IF(D19="","",IF(D19&gt;0,"CDI avantageux","Intérim avantageux"))</f>
        <v/>
      </c>
      <c r="M19" s="8" t="n"/>
      <c r="N19" s="8" t="n"/>
    </row>
    <row r="20" ht="22" customHeight="1">
      <c r="A20" s="5" t="n"/>
      <c r="B20" s="5" t="n"/>
      <c r="C20" s="5" t="n"/>
      <c r="D20" s="24">
        <f>IF(B20&lt;&gt;"",C20-B20,"")</f>
        <v/>
      </c>
      <c r="E20" s="24">
        <f>IF(B20&lt;&gt;"",B20*12,"")</f>
        <v/>
      </c>
      <c r="F20" s="24">
        <f>IF(C20&lt;&gt;"",C20*12,"")</f>
        <v/>
      </c>
      <c r="G20" s="24">
        <f>IF(E20&lt;&gt;"",F20-E20,"")</f>
        <v/>
      </c>
      <c r="H20" s="26">
        <f>IF(AND(B20&lt;&gt;"",B20&lt;&gt;C20),D20/(C20*0.4),"")</f>
        <v/>
      </c>
      <c r="I20" s="5" t="n"/>
      <c r="J20" s="5" t="n"/>
      <c r="K20" s="5" t="n"/>
      <c r="L20" s="5">
        <f>IF(D20="","",IF(D20&gt;0,"CDI avantageux","Intérim avantageux"))</f>
        <v/>
      </c>
      <c r="M20" s="5" t="n"/>
      <c r="N20" s="5" t="n"/>
    </row>
    <row r="21" ht="22" customHeight="1">
      <c r="A21" s="8" t="n"/>
      <c r="B21" s="8" t="n"/>
      <c r="C21" s="8" t="n"/>
      <c r="D21" s="25">
        <f>IF(B21&lt;&gt;"",C21-B21,"")</f>
        <v/>
      </c>
      <c r="E21" s="25">
        <f>IF(B21&lt;&gt;"",B21*12,"")</f>
        <v/>
      </c>
      <c r="F21" s="25">
        <f>IF(C21&lt;&gt;"",C21*12,"")</f>
        <v/>
      </c>
      <c r="G21" s="25">
        <f>IF(E21&lt;&gt;"",F21-E21,"")</f>
        <v/>
      </c>
      <c r="H21" s="27">
        <f>IF(AND(B21&lt;&gt;"",B21&lt;&gt;C21),D21/(C21*0.4),"")</f>
        <v/>
      </c>
      <c r="I21" s="8" t="n"/>
      <c r="J21" s="8" t="n"/>
      <c r="K21" s="8" t="n"/>
      <c r="L21" s="8">
        <f>IF(D21="","",IF(D21&gt;0,"CDI avantageux","Intérim avantageux"))</f>
        <v/>
      </c>
      <c r="M21" s="8" t="n"/>
      <c r="N21" s="8" t="n"/>
    </row>
    <row r="22" ht="22" customHeight="1">
      <c r="A22" s="5" t="n"/>
      <c r="B22" s="5" t="n"/>
      <c r="C22" s="5" t="n"/>
      <c r="D22" s="24">
        <f>IF(B22&lt;&gt;"",C22-B22,"")</f>
        <v/>
      </c>
      <c r="E22" s="24">
        <f>IF(B22&lt;&gt;"",B22*12,"")</f>
        <v/>
      </c>
      <c r="F22" s="24">
        <f>IF(C22&lt;&gt;"",C22*12,"")</f>
        <v/>
      </c>
      <c r="G22" s="24">
        <f>IF(E22&lt;&gt;"",F22-E22,"")</f>
        <v/>
      </c>
      <c r="H22" s="26">
        <f>IF(AND(B22&lt;&gt;"",B22&lt;&gt;C22),D22/(C22*0.4),"")</f>
        <v/>
      </c>
      <c r="I22" s="5" t="n"/>
      <c r="J22" s="5" t="n"/>
      <c r="K22" s="5" t="n"/>
      <c r="L22" s="5">
        <f>IF(D22="","",IF(D22&gt;0,"CDI avantageux","Intérim avantageux"))</f>
        <v/>
      </c>
      <c r="M22" s="5" t="n"/>
      <c r="N22" s="5" t="n"/>
    </row>
    <row r="23" ht="22" customHeight="1">
      <c r="A23" s="8" t="n"/>
      <c r="B23" s="8" t="n"/>
      <c r="C23" s="8" t="n"/>
      <c r="D23" s="25">
        <f>IF(B23&lt;&gt;"",C23-B23,"")</f>
        <v/>
      </c>
      <c r="E23" s="25">
        <f>IF(B23&lt;&gt;"",B23*12,"")</f>
        <v/>
      </c>
      <c r="F23" s="25">
        <f>IF(C23&lt;&gt;"",C23*12,"")</f>
        <v/>
      </c>
      <c r="G23" s="25">
        <f>IF(E23&lt;&gt;"",F23-E23,"")</f>
        <v/>
      </c>
      <c r="H23" s="27">
        <f>IF(AND(B23&lt;&gt;"",B23&lt;&gt;C23),D23/(C23*0.4),"")</f>
        <v/>
      </c>
      <c r="I23" s="8" t="n"/>
      <c r="J23" s="8" t="n"/>
      <c r="K23" s="8" t="n"/>
      <c r="L23" s="8">
        <f>IF(D23="","",IF(D23&gt;0,"CDI avantageux","Intérim avantageux"))</f>
        <v/>
      </c>
      <c r="M23" s="8" t="n"/>
      <c r="N23" s="8" t="n"/>
    </row>
    <row r="24" ht="22" customHeight="1">
      <c r="A24" s="5" t="n"/>
      <c r="B24" s="5" t="n"/>
      <c r="C24" s="5" t="n"/>
      <c r="D24" s="24">
        <f>IF(B24&lt;&gt;"",C24-B24,"")</f>
        <v/>
      </c>
      <c r="E24" s="24">
        <f>IF(B24&lt;&gt;"",B24*12,"")</f>
        <v/>
      </c>
      <c r="F24" s="24">
        <f>IF(C24&lt;&gt;"",C24*12,"")</f>
        <v/>
      </c>
      <c r="G24" s="24">
        <f>IF(E24&lt;&gt;"",F24-E24,"")</f>
        <v/>
      </c>
      <c r="H24" s="26">
        <f>IF(AND(B24&lt;&gt;"",B24&lt;&gt;C24),D24/(C24*0.4),"")</f>
        <v/>
      </c>
      <c r="I24" s="5" t="n"/>
      <c r="J24" s="5" t="n"/>
      <c r="K24" s="5" t="n"/>
      <c r="L24" s="5">
        <f>IF(D24="","",IF(D24&gt;0,"CDI avantageux","Intérim avantageux"))</f>
        <v/>
      </c>
      <c r="M24" s="5" t="n"/>
      <c r="N24" s="5" t="n"/>
    </row>
    <row r="25" ht="22" customHeight="1">
      <c r="A25" s="8" t="n"/>
      <c r="B25" s="8" t="n"/>
      <c r="C25" s="8" t="n"/>
      <c r="D25" s="25">
        <f>IF(B25&lt;&gt;"",C25-B25,"")</f>
        <v/>
      </c>
      <c r="E25" s="25">
        <f>IF(B25&lt;&gt;"",B25*12,"")</f>
        <v/>
      </c>
      <c r="F25" s="25">
        <f>IF(C25&lt;&gt;"",C25*12,"")</f>
        <v/>
      </c>
      <c r="G25" s="25">
        <f>IF(E25&lt;&gt;"",F25-E25,"")</f>
        <v/>
      </c>
      <c r="H25" s="27">
        <f>IF(AND(B25&lt;&gt;"",B25&lt;&gt;C25),D25/(C25*0.4),"")</f>
        <v/>
      </c>
      <c r="I25" s="8" t="n"/>
      <c r="J25" s="8" t="n"/>
      <c r="K25" s="8" t="n"/>
      <c r="L25" s="8">
        <f>IF(D25="","",IF(D25&gt;0,"CDI avantageux","Intérim avantageux"))</f>
        <v/>
      </c>
      <c r="M25" s="8" t="n"/>
      <c r="N25" s="8" t="n"/>
    </row>
    <row r="26" ht="22" customHeight="1">
      <c r="A26" s="5" t="n"/>
      <c r="B26" s="5" t="n"/>
      <c r="C26" s="5" t="n"/>
      <c r="D26" s="24">
        <f>IF(B26&lt;&gt;"",C26-B26,"")</f>
        <v/>
      </c>
      <c r="E26" s="24">
        <f>IF(B26&lt;&gt;"",B26*12,"")</f>
        <v/>
      </c>
      <c r="F26" s="24">
        <f>IF(C26&lt;&gt;"",C26*12,"")</f>
        <v/>
      </c>
      <c r="G26" s="24">
        <f>IF(E26&lt;&gt;"",F26-E26,"")</f>
        <v/>
      </c>
      <c r="H26" s="26">
        <f>IF(AND(B26&lt;&gt;"",B26&lt;&gt;C26),D26/(C26*0.4),"")</f>
        <v/>
      </c>
      <c r="I26" s="5" t="n"/>
      <c r="J26" s="5" t="n"/>
      <c r="K26" s="5" t="n"/>
      <c r="L26" s="5">
        <f>IF(D26="","",IF(D26&gt;0,"CDI avantageux","Intérim avantageux"))</f>
        <v/>
      </c>
      <c r="M26" s="5" t="n"/>
      <c r="N26" s="5" t="n"/>
    </row>
    <row r="27" ht="22" customHeight="1">
      <c r="A27" s="8" t="n"/>
      <c r="B27" s="8" t="n"/>
      <c r="C27" s="8" t="n"/>
      <c r="D27" s="25">
        <f>IF(B27&lt;&gt;"",C27-B27,"")</f>
        <v/>
      </c>
      <c r="E27" s="25">
        <f>IF(B27&lt;&gt;"",B27*12,"")</f>
        <v/>
      </c>
      <c r="F27" s="25">
        <f>IF(C27&lt;&gt;"",C27*12,"")</f>
        <v/>
      </c>
      <c r="G27" s="25">
        <f>IF(E27&lt;&gt;"",F27-E27,"")</f>
        <v/>
      </c>
      <c r="H27" s="27">
        <f>IF(AND(B27&lt;&gt;"",B27&lt;&gt;C27),D27/(C27*0.4),"")</f>
        <v/>
      </c>
      <c r="I27" s="8" t="n"/>
      <c r="J27" s="8" t="n"/>
      <c r="K27" s="8" t="n"/>
      <c r="L27" s="8">
        <f>IF(D27="","",IF(D27&gt;0,"CDI avantageux","Intérim avantageux"))</f>
        <v/>
      </c>
      <c r="M27" s="8" t="n"/>
      <c r="N27" s="8" t="n"/>
    </row>
    <row r="28" ht="22" customHeight="1">
      <c r="A28" s="5" t="n"/>
      <c r="B28" s="5" t="n"/>
      <c r="C28" s="5" t="n"/>
      <c r="D28" s="24">
        <f>IF(B28&lt;&gt;"",C28-B28,"")</f>
        <v/>
      </c>
      <c r="E28" s="24">
        <f>IF(B28&lt;&gt;"",B28*12,"")</f>
        <v/>
      </c>
      <c r="F28" s="24">
        <f>IF(C28&lt;&gt;"",C28*12,"")</f>
        <v/>
      </c>
      <c r="G28" s="24">
        <f>IF(E28&lt;&gt;"",F28-E28,"")</f>
        <v/>
      </c>
      <c r="H28" s="26">
        <f>IF(AND(B28&lt;&gt;"",B28&lt;&gt;C28),D28/(C28*0.4),"")</f>
        <v/>
      </c>
      <c r="I28" s="5" t="n"/>
      <c r="J28" s="5" t="n"/>
      <c r="K28" s="5" t="n"/>
      <c r="L28" s="5">
        <f>IF(D28="","",IF(D28&gt;0,"CDI avantageux","Intérim avantageux"))</f>
        <v/>
      </c>
      <c r="M28" s="5" t="n"/>
      <c r="N28" s="5" t="n"/>
    </row>
    <row r="29" ht="22" customHeight="1">
      <c r="A29" s="8" t="n"/>
      <c r="B29" s="8" t="n"/>
      <c r="C29" s="8" t="n"/>
      <c r="D29" s="25">
        <f>IF(B29&lt;&gt;"",C29-B29,"")</f>
        <v/>
      </c>
      <c r="E29" s="25">
        <f>IF(B29&lt;&gt;"",B29*12,"")</f>
        <v/>
      </c>
      <c r="F29" s="25">
        <f>IF(C29&lt;&gt;"",C29*12,"")</f>
        <v/>
      </c>
      <c r="G29" s="25">
        <f>IF(E29&lt;&gt;"",F29-E29,"")</f>
        <v/>
      </c>
      <c r="H29" s="27">
        <f>IF(AND(B29&lt;&gt;"",B29&lt;&gt;C29),D29/(C29*0.4),"")</f>
        <v/>
      </c>
      <c r="I29" s="8" t="n"/>
      <c r="J29" s="8" t="n"/>
      <c r="K29" s="8" t="n"/>
      <c r="L29" s="8">
        <f>IF(D29="","",IF(D29&gt;0,"CDI avantageux","Intérim avantageux"))</f>
        <v/>
      </c>
      <c r="M29" s="8" t="n"/>
      <c r="N29" s="8" t="n"/>
    </row>
    <row r="30" ht="22" customHeight="1">
      <c r="A30" s="5" t="n"/>
      <c r="B30" s="5" t="n"/>
      <c r="C30" s="5" t="n"/>
      <c r="D30" s="24">
        <f>IF(B30&lt;&gt;"",C30-B30,"")</f>
        <v/>
      </c>
      <c r="E30" s="24">
        <f>IF(B30&lt;&gt;"",B30*12,"")</f>
        <v/>
      </c>
      <c r="F30" s="24">
        <f>IF(C30&lt;&gt;"",C30*12,"")</f>
        <v/>
      </c>
      <c r="G30" s="24">
        <f>IF(E30&lt;&gt;"",F30-E30,"")</f>
        <v/>
      </c>
      <c r="H30" s="26">
        <f>IF(AND(B30&lt;&gt;"",B30&lt;&gt;C30),D30/(C30*0.4),"")</f>
        <v/>
      </c>
      <c r="I30" s="5" t="n"/>
      <c r="J30" s="5" t="n"/>
      <c r="K30" s="5" t="n"/>
      <c r="L30" s="5">
        <f>IF(D30="","",IF(D30&gt;0,"CDI avantageux","Intérim avantageux"))</f>
        <v/>
      </c>
      <c r="M30" s="5" t="n"/>
      <c r="N30" s="5" t="n"/>
    </row>
    <row r="31" ht="22" customHeight="1">
      <c r="A31" s="8" t="n"/>
      <c r="B31" s="8" t="n"/>
      <c r="C31" s="8" t="n"/>
      <c r="D31" s="25">
        <f>IF(B31&lt;&gt;"",C31-B31,"")</f>
        <v/>
      </c>
      <c r="E31" s="25">
        <f>IF(B31&lt;&gt;"",B31*12,"")</f>
        <v/>
      </c>
      <c r="F31" s="25">
        <f>IF(C31&lt;&gt;"",C31*12,"")</f>
        <v/>
      </c>
      <c r="G31" s="25">
        <f>IF(E31&lt;&gt;"",F31-E31,"")</f>
        <v/>
      </c>
      <c r="H31" s="27">
        <f>IF(AND(B31&lt;&gt;"",B31&lt;&gt;C31),D31/(C31*0.4),"")</f>
        <v/>
      </c>
      <c r="I31" s="8" t="n"/>
      <c r="J31" s="8" t="n"/>
      <c r="K31" s="8" t="n"/>
      <c r="L31" s="8">
        <f>IF(D31="","",IF(D31&gt;0,"CDI avantageux","Intérim avantageux"))</f>
        <v/>
      </c>
      <c r="M31" s="8" t="n"/>
      <c r="N31" s="8" t="n"/>
    </row>
    <row r="32" ht="22" customHeight="1">
      <c r="A32" s="5" t="n"/>
      <c r="B32" s="5" t="n"/>
      <c r="C32" s="5" t="n"/>
      <c r="D32" s="24">
        <f>IF(B32&lt;&gt;"",C32-B32,"")</f>
        <v/>
      </c>
      <c r="E32" s="24">
        <f>IF(B32&lt;&gt;"",B32*12,"")</f>
        <v/>
      </c>
      <c r="F32" s="24">
        <f>IF(C32&lt;&gt;"",C32*12,"")</f>
        <v/>
      </c>
      <c r="G32" s="24">
        <f>IF(E32&lt;&gt;"",F32-E32,"")</f>
        <v/>
      </c>
      <c r="H32" s="26">
        <f>IF(AND(B32&lt;&gt;"",B32&lt;&gt;C32),D32/(C32*0.4),"")</f>
        <v/>
      </c>
      <c r="I32" s="5" t="n"/>
      <c r="J32" s="5" t="n"/>
      <c r="K32" s="5" t="n"/>
      <c r="L32" s="5">
        <f>IF(D32="","",IF(D32&gt;0,"CDI avantageux","Intérim avantageux"))</f>
        <v/>
      </c>
      <c r="M32" s="5" t="n"/>
      <c r="N32" s="5" t="n"/>
    </row>
    <row r="33" ht="22" customHeight="1">
      <c r="A33" s="8" t="n"/>
      <c r="B33" s="8" t="n"/>
      <c r="C33" s="8" t="n"/>
      <c r="D33" s="25">
        <f>IF(B33&lt;&gt;"",C33-B33,"")</f>
        <v/>
      </c>
      <c r="E33" s="25">
        <f>IF(B33&lt;&gt;"",B33*12,"")</f>
        <v/>
      </c>
      <c r="F33" s="25">
        <f>IF(C33&lt;&gt;"",C33*12,"")</f>
        <v/>
      </c>
      <c r="G33" s="25">
        <f>IF(E33&lt;&gt;"",F33-E33,"")</f>
        <v/>
      </c>
      <c r="H33" s="27">
        <f>IF(AND(B33&lt;&gt;"",B33&lt;&gt;C33),D33/(C33*0.4),"")</f>
        <v/>
      </c>
      <c r="I33" s="8" t="n"/>
      <c r="J33" s="8" t="n"/>
      <c r="K33" s="8" t="n"/>
      <c r="L33" s="8">
        <f>IF(D33="","",IF(D33&gt;0,"CDI avantageux","Intérim avantageux"))</f>
        <v/>
      </c>
      <c r="M33" s="8" t="n"/>
      <c r="N33" s="8" t="n"/>
    </row>
    <row r="34" ht="22" customHeight="1">
      <c r="A34" s="5" t="n"/>
      <c r="B34" s="5" t="n"/>
      <c r="C34" s="5" t="n"/>
      <c r="D34" s="24">
        <f>IF(B34&lt;&gt;"",C34-B34,"")</f>
        <v/>
      </c>
      <c r="E34" s="24">
        <f>IF(B34&lt;&gt;"",B34*12,"")</f>
        <v/>
      </c>
      <c r="F34" s="24">
        <f>IF(C34&lt;&gt;"",C34*12,"")</f>
        <v/>
      </c>
      <c r="G34" s="24">
        <f>IF(E34&lt;&gt;"",F34-E34,"")</f>
        <v/>
      </c>
      <c r="H34" s="26">
        <f>IF(AND(B34&lt;&gt;"",B34&lt;&gt;C34),D34/(C34*0.4),"")</f>
        <v/>
      </c>
      <c r="I34" s="5" t="n"/>
      <c r="J34" s="5" t="n"/>
      <c r="K34" s="5" t="n"/>
      <c r="L34" s="5">
        <f>IF(D34="","",IF(D34&gt;0,"CDI avantageux","Intérim avantageux"))</f>
        <v/>
      </c>
      <c r="M34" s="5" t="n"/>
      <c r="N34" s="5" t="n"/>
    </row>
    <row r="35" ht="22" customHeight="1">
      <c r="A35" s="8" t="n"/>
      <c r="B35" s="8" t="n"/>
      <c r="C35" s="8" t="n"/>
      <c r="D35" s="25">
        <f>IF(B35&lt;&gt;"",C35-B35,"")</f>
        <v/>
      </c>
      <c r="E35" s="25">
        <f>IF(B35&lt;&gt;"",B35*12,"")</f>
        <v/>
      </c>
      <c r="F35" s="25">
        <f>IF(C35&lt;&gt;"",C35*12,"")</f>
        <v/>
      </c>
      <c r="G35" s="25">
        <f>IF(E35&lt;&gt;"",F35-E35,"")</f>
        <v/>
      </c>
      <c r="H35" s="27">
        <f>IF(AND(B35&lt;&gt;"",B35&lt;&gt;C35),D35/(C35*0.4),"")</f>
        <v/>
      </c>
      <c r="I35" s="8" t="n"/>
      <c r="J35" s="8" t="n"/>
      <c r="K35" s="8" t="n"/>
      <c r="L35" s="8">
        <f>IF(D35="","",IF(D35&gt;0,"CDI avantageux","Intérim avantageux"))</f>
        <v/>
      </c>
      <c r="M35" s="8" t="n"/>
      <c r="N35" s="8" t="n"/>
    </row>
    <row r="36" ht="22" customHeight="1">
      <c r="A36" s="5" t="n"/>
      <c r="B36" s="5" t="n"/>
      <c r="C36" s="5" t="n"/>
      <c r="D36" s="24">
        <f>IF(B36&lt;&gt;"",C36-B36,"")</f>
        <v/>
      </c>
      <c r="E36" s="24">
        <f>IF(B36&lt;&gt;"",B36*12,"")</f>
        <v/>
      </c>
      <c r="F36" s="24">
        <f>IF(C36&lt;&gt;"",C36*12,"")</f>
        <v/>
      </c>
      <c r="G36" s="24">
        <f>IF(E36&lt;&gt;"",F36-E36,"")</f>
        <v/>
      </c>
      <c r="H36" s="26">
        <f>IF(AND(B36&lt;&gt;"",B36&lt;&gt;C36),D36/(C36*0.4),"")</f>
        <v/>
      </c>
      <c r="I36" s="5" t="n"/>
      <c r="J36" s="5" t="n"/>
      <c r="K36" s="5" t="n"/>
      <c r="L36" s="5">
        <f>IF(D36="","",IF(D36&gt;0,"CDI avantageux","Intérim avantageux"))</f>
        <v/>
      </c>
      <c r="M36" s="5" t="n"/>
      <c r="N36" s="5" t="n"/>
    </row>
    <row r="37" ht="22" customHeight="1">
      <c r="A37" s="8" t="n"/>
      <c r="B37" s="8" t="n"/>
      <c r="C37" s="8" t="n"/>
      <c r="D37" s="25">
        <f>IF(B37&lt;&gt;"",C37-B37,"")</f>
        <v/>
      </c>
      <c r="E37" s="25">
        <f>IF(B37&lt;&gt;"",B37*12,"")</f>
        <v/>
      </c>
      <c r="F37" s="25">
        <f>IF(C37&lt;&gt;"",C37*12,"")</f>
        <v/>
      </c>
      <c r="G37" s="25">
        <f>IF(E37&lt;&gt;"",F37-E37,"")</f>
        <v/>
      </c>
      <c r="H37" s="27">
        <f>IF(AND(B37&lt;&gt;"",B37&lt;&gt;C37),D37/(C37*0.4),"")</f>
        <v/>
      </c>
      <c r="I37" s="8" t="n"/>
      <c r="J37" s="8" t="n"/>
      <c r="K37" s="8" t="n"/>
      <c r="L37" s="8">
        <f>IF(D37="","",IF(D37&gt;0,"CDI avantageux","Intérim avantageux"))</f>
        <v/>
      </c>
      <c r="M37" s="8" t="n"/>
      <c r="N37" s="8" t="n"/>
    </row>
    <row r="38" ht="22" customHeight="1">
      <c r="A38" s="5" t="n"/>
      <c r="B38" s="5" t="n"/>
      <c r="C38" s="5" t="n"/>
      <c r="D38" s="24">
        <f>IF(B38&lt;&gt;"",C38-B38,"")</f>
        <v/>
      </c>
      <c r="E38" s="24">
        <f>IF(B38&lt;&gt;"",B38*12,"")</f>
        <v/>
      </c>
      <c r="F38" s="24">
        <f>IF(C38&lt;&gt;"",C38*12,"")</f>
        <v/>
      </c>
      <c r="G38" s="24">
        <f>IF(E38&lt;&gt;"",F38-E38,"")</f>
        <v/>
      </c>
      <c r="H38" s="26">
        <f>IF(AND(B38&lt;&gt;"",B38&lt;&gt;C38),D38/(C38*0.4),"")</f>
        <v/>
      </c>
      <c r="I38" s="5" t="n"/>
      <c r="J38" s="5" t="n"/>
      <c r="K38" s="5" t="n"/>
      <c r="L38" s="5">
        <f>IF(D38="","",IF(D38&gt;0,"CDI avantageux","Intérim avantageux"))</f>
        <v/>
      </c>
      <c r="M38" s="5" t="n"/>
      <c r="N38" s="5" t="n"/>
    </row>
    <row r="39" ht="22" customHeight="1">
      <c r="A39" s="8" t="n"/>
      <c r="B39" s="8" t="n"/>
      <c r="C39" s="8" t="n"/>
      <c r="D39" s="25">
        <f>IF(B39&lt;&gt;"",C39-B39,"")</f>
        <v/>
      </c>
      <c r="E39" s="25">
        <f>IF(B39&lt;&gt;"",B39*12,"")</f>
        <v/>
      </c>
      <c r="F39" s="25">
        <f>IF(C39&lt;&gt;"",C39*12,"")</f>
        <v/>
      </c>
      <c r="G39" s="25">
        <f>IF(E39&lt;&gt;"",F39-E39,"")</f>
        <v/>
      </c>
      <c r="H39" s="27">
        <f>IF(AND(B39&lt;&gt;"",B39&lt;&gt;C39),D39/(C39*0.4),"")</f>
        <v/>
      </c>
      <c r="I39" s="8" t="n"/>
      <c r="J39" s="8" t="n"/>
      <c r="K39" s="8" t="n"/>
      <c r="L39" s="8">
        <f>IF(D39="","",IF(D39&gt;0,"CDI avantageux","Intérim avantageux"))</f>
        <v/>
      </c>
      <c r="M39" s="8" t="n"/>
      <c r="N39" s="8" t="n"/>
    </row>
    <row r="40" ht="22" customHeight="1">
      <c r="A40" s="5" t="n"/>
      <c r="B40" s="5" t="n"/>
      <c r="C40" s="5" t="n"/>
      <c r="D40" s="24">
        <f>IF(B40&lt;&gt;"",C40-B40,"")</f>
        <v/>
      </c>
      <c r="E40" s="24">
        <f>IF(B40&lt;&gt;"",B40*12,"")</f>
        <v/>
      </c>
      <c r="F40" s="24">
        <f>IF(C40&lt;&gt;"",C40*12,"")</f>
        <v/>
      </c>
      <c r="G40" s="24">
        <f>IF(E40&lt;&gt;"",F40-E40,"")</f>
        <v/>
      </c>
      <c r="H40" s="26">
        <f>IF(AND(B40&lt;&gt;"",B40&lt;&gt;C40),D40/(C40*0.4),"")</f>
        <v/>
      </c>
      <c r="I40" s="5" t="n"/>
      <c r="J40" s="5" t="n"/>
      <c r="K40" s="5" t="n"/>
      <c r="L40" s="5">
        <f>IF(D40="","",IF(D40&gt;0,"CDI avantageux","Intérim avantageux"))</f>
        <v/>
      </c>
      <c r="M40" s="5" t="n"/>
      <c r="N40" s="5" t="n"/>
    </row>
    <row r="41" ht="22" customHeight="1">
      <c r="A41" s="8" t="n"/>
      <c r="B41" s="8" t="n"/>
      <c r="C41" s="8" t="n"/>
      <c r="D41" s="25">
        <f>IF(B41&lt;&gt;"",C41-B41,"")</f>
        <v/>
      </c>
      <c r="E41" s="25">
        <f>IF(B41&lt;&gt;"",B41*12,"")</f>
        <v/>
      </c>
      <c r="F41" s="25">
        <f>IF(C41&lt;&gt;"",C41*12,"")</f>
        <v/>
      </c>
      <c r="G41" s="25">
        <f>IF(E41&lt;&gt;"",F41-E41,"")</f>
        <v/>
      </c>
      <c r="H41" s="27">
        <f>IF(AND(B41&lt;&gt;"",B41&lt;&gt;C41),D41/(C41*0.4),"")</f>
        <v/>
      </c>
      <c r="I41" s="8" t="n"/>
      <c r="J41" s="8" t="n"/>
      <c r="K41" s="8" t="n"/>
      <c r="L41" s="8">
        <f>IF(D41="","",IF(D41&gt;0,"CDI avantageux","Intérim avantageux"))</f>
        <v/>
      </c>
      <c r="M41" s="8" t="n"/>
      <c r="N41" s="8" t="n"/>
    </row>
    <row r="42" ht="22" customHeight="1">
      <c r="A42" s="5" t="n"/>
      <c r="B42" s="5" t="n"/>
      <c r="C42" s="5" t="n"/>
      <c r="D42" s="24">
        <f>IF(B42&lt;&gt;"",C42-B42,"")</f>
        <v/>
      </c>
      <c r="E42" s="24">
        <f>IF(B42&lt;&gt;"",B42*12,"")</f>
        <v/>
      </c>
      <c r="F42" s="24">
        <f>IF(C42&lt;&gt;"",C42*12,"")</f>
        <v/>
      </c>
      <c r="G42" s="24">
        <f>IF(E42&lt;&gt;"",F42-E42,"")</f>
        <v/>
      </c>
      <c r="H42" s="26">
        <f>IF(AND(B42&lt;&gt;"",B42&lt;&gt;C42),D42/(C42*0.4),"")</f>
        <v/>
      </c>
      <c r="I42" s="5" t="n"/>
      <c r="J42" s="5" t="n"/>
      <c r="K42" s="5" t="n"/>
      <c r="L42" s="5">
        <f>IF(D42="","",IF(D42&gt;0,"CDI avantageux","Intérim avantageux"))</f>
        <v/>
      </c>
      <c r="M42" s="5" t="n"/>
      <c r="N42" s="5" t="n"/>
    </row>
    <row r="43" ht="22" customHeight="1">
      <c r="A43" s="8" t="n"/>
      <c r="B43" s="8" t="n"/>
      <c r="C43" s="8" t="n"/>
      <c r="D43" s="25">
        <f>IF(B43&lt;&gt;"",C43-B43,"")</f>
        <v/>
      </c>
      <c r="E43" s="25">
        <f>IF(B43&lt;&gt;"",B43*12,"")</f>
        <v/>
      </c>
      <c r="F43" s="25">
        <f>IF(C43&lt;&gt;"",C43*12,"")</f>
        <v/>
      </c>
      <c r="G43" s="25">
        <f>IF(E43&lt;&gt;"",F43-E43,"")</f>
        <v/>
      </c>
      <c r="H43" s="27">
        <f>IF(AND(B43&lt;&gt;"",B43&lt;&gt;C43),D43/(C43*0.4),"")</f>
        <v/>
      </c>
      <c r="I43" s="8" t="n"/>
      <c r="J43" s="8" t="n"/>
      <c r="K43" s="8" t="n"/>
      <c r="L43" s="8">
        <f>IF(D43="","",IF(D43&gt;0,"CDI avantageux","Intérim avantageux"))</f>
        <v/>
      </c>
      <c r="M43" s="8" t="n"/>
      <c r="N43" s="8" t="n"/>
    </row>
    <row r="44" ht="22" customHeight="1">
      <c r="A44" s="5" t="n"/>
      <c r="B44" s="5" t="n"/>
      <c r="C44" s="5" t="n"/>
      <c r="D44" s="24">
        <f>IF(B44&lt;&gt;"",C44-B44,"")</f>
        <v/>
      </c>
      <c r="E44" s="24">
        <f>IF(B44&lt;&gt;"",B44*12,"")</f>
        <v/>
      </c>
      <c r="F44" s="24">
        <f>IF(C44&lt;&gt;"",C44*12,"")</f>
        <v/>
      </c>
      <c r="G44" s="24">
        <f>IF(E44&lt;&gt;"",F44-E44,"")</f>
        <v/>
      </c>
      <c r="H44" s="26">
        <f>IF(AND(B44&lt;&gt;"",B44&lt;&gt;C44),D44/(C44*0.4),"")</f>
        <v/>
      </c>
      <c r="I44" s="5" t="n"/>
      <c r="J44" s="5" t="n"/>
      <c r="K44" s="5" t="n"/>
      <c r="L44" s="5">
        <f>IF(D44="","",IF(D44&gt;0,"CDI avantageux","Intérim avantageux"))</f>
        <v/>
      </c>
      <c r="M44" s="5" t="n"/>
      <c r="N44" s="5" t="n"/>
    </row>
    <row r="45" ht="22" customHeight="1">
      <c r="A45" s="8" t="n"/>
      <c r="B45" s="8" t="n"/>
      <c r="C45" s="8" t="n"/>
      <c r="D45" s="25">
        <f>IF(B45&lt;&gt;"",C45-B45,"")</f>
        <v/>
      </c>
      <c r="E45" s="25">
        <f>IF(B45&lt;&gt;"",B45*12,"")</f>
        <v/>
      </c>
      <c r="F45" s="25">
        <f>IF(C45&lt;&gt;"",C45*12,"")</f>
        <v/>
      </c>
      <c r="G45" s="25">
        <f>IF(E45&lt;&gt;"",F45-E45,"")</f>
        <v/>
      </c>
      <c r="H45" s="27">
        <f>IF(AND(B45&lt;&gt;"",B45&lt;&gt;C45),D45/(C45*0.4),"")</f>
        <v/>
      </c>
      <c r="I45" s="8" t="n"/>
      <c r="J45" s="8" t="n"/>
      <c r="K45" s="8" t="n"/>
      <c r="L45" s="8">
        <f>IF(D45="","",IF(D45&gt;0,"CDI avantageux","Intérim avantageux"))</f>
        <v/>
      </c>
      <c r="M45" s="8" t="n"/>
      <c r="N45" s="8" t="n"/>
    </row>
    <row r="46" ht="22" customHeight="1">
      <c r="A46" s="5" t="n"/>
      <c r="B46" s="5" t="n"/>
      <c r="C46" s="5" t="n"/>
      <c r="D46" s="24">
        <f>IF(B46&lt;&gt;"",C46-B46,"")</f>
        <v/>
      </c>
      <c r="E46" s="24">
        <f>IF(B46&lt;&gt;"",B46*12,"")</f>
        <v/>
      </c>
      <c r="F46" s="24">
        <f>IF(C46&lt;&gt;"",C46*12,"")</f>
        <v/>
      </c>
      <c r="G46" s="24">
        <f>IF(E46&lt;&gt;"",F46-E46,"")</f>
        <v/>
      </c>
      <c r="H46" s="26">
        <f>IF(AND(B46&lt;&gt;"",B46&lt;&gt;C46),D46/(C46*0.4),"")</f>
        <v/>
      </c>
      <c r="I46" s="5" t="n"/>
      <c r="J46" s="5" t="n"/>
      <c r="K46" s="5" t="n"/>
      <c r="L46" s="5">
        <f>IF(D46="","",IF(D46&gt;0,"CDI avantageux","Intérim avantageux"))</f>
        <v/>
      </c>
      <c r="M46" s="5" t="n"/>
      <c r="N46" s="5" t="n"/>
    </row>
    <row r="47" ht="22" customHeight="1">
      <c r="A47" s="8" t="n"/>
      <c r="B47" s="8" t="n"/>
      <c r="C47" s="8" t="n"/>
      <c r="D47" s="25">
        <f>IF(B47&lt;&gt;"",C47-B47,"")</f>
        <v/>
      </c>
      <c r="E47" s="25">
        <f>IF(B47&lt;&gt;"",B47*12,"")</f>
        <v/>
      </c>
      <c r="F47" s="25">
        <f>IF(C47&lt;&gt;"",C47*12,"")</f>
        <v/>
      </c>
      <c r="G47" s="25">
        <f>IF(E47&lt;&gt;"",F47-E47,"")</f>
        <v/>
      </c>
      <c r="H47" s="27">
        <f>IF(AND(B47&lt;&gt;"",B47&lt;&gt;C47),D47/(C47*0.4),"")</f>
        <v/>
      </c>
      <c r="I47" s="8" t="n"/>
      <c r="J47" s="8" t="n"/>
      <c r="K47" s="8" t="n"/>
      <c r="L47" s="8">
        <f>IF(D47="","",IF(D47&gt;0,"CDI avantageux","Intérim avantageux"))</f>
        <v/>
      </c>
      <c r="M47" s="8" t="n"/>
      <c r="N47" s="8" t="n"/>
    </row>
    <row r="48" ht="22" customHeight="1">
      <c r="A48" s="5" t="n"/>
      <c r="B48" s="5" t="n"/>
      <c r="C48" s="5" t="n"/>
      <c r="D48" s="24">
        <f>IF(B48&lt;&gt;"",C48-B48,"")</f>
        <v/>
      </c>
      <c r="E48" s="24">
        <f>IF(B48&lt;&gt;"",B48*12,"")</f>
        <v/>
      </c>
      <c r="F48" s="24">
        <f>IF(C48&lt;&gt;"",C48*12,"")</f>
        <v/>
      </c>
      <c r="G48" s="24">
        <f>IF(E48&lt;&gt;"",F48-E48,"")</f>
        <v/>
      </c>
      <c r="H48" s="26">
        <f>IF(AND(B48&lt;&gt;"",B48&lt;&gt;C48),D48/(C48*0.4),"")</f>
        <v/>
      </c>
      <c r="I48" s="5" t="n"/>
      <c r="J48" s="5" t="n"/>
      <c r="K48" s="5" t="n"/>
      <c r="L48" s="5">
        <f>IF(D48="","",IF(D48&gt;0,"CDI avantageux","Intérim avantageux"))</f>
        <v/>
      </c>
      <c r="M48" s="5" t="n"/>
      <c r="N48" s="5" t="n"/>
    </row>
    <row r="49" ht="22" customHeight="1">
      <c r="A49" s="8" t="n"/>
      <c r="B49" s="8" t="n"/>
      <c r="C49" s="8" t="n"/>
      <c r="D49" s="25">
        <f>IF(B49&lt;&gt;"",C49-B49,"")</f>
        <v/>
      </c>
      <c r="E49" s="25">
        <f>IF(B49&lt;&gt;"",B49*12,"")</f>
        <v/>
      </c>
      <c r="F49" s="25">
        <f>IF(C49&lt;&gt;"",C49*12,"")</f>
        <v/>
      </c>
      <c r="G49" s="25">
        <f>IF(E49&lt;&gt;"",F49-E49,"")</f>
        <v/>
      </c>
      <c r="H49" s="27">
        <f>IF(AND(B49&lt;&gt;"",B49&lt;&gt;C49),D49/(C49*0.4),"")</f>
        <v/>
      </c>
      <c r="I49" s="8" t="n"/>
      <c r="J49" s="8" t="n"/>
      <c r="K49" s="8" t="n"/>
      <c r="L49" s="8">
        <f>IF(D49="","",IF(D49&gt;0,"CDI avantageux","Intérim avantageux"))</f>
        <v/>
      </c>
      <c r="M49" s="8" t="n"/>
      <c r="N49" s="8" t="n"/>
    </row>
    <row r="50" ht="22" customHeight="1">
      <c r="A50" s="5" t="n"/>
      <c r="B50" s="5" t="n"/>
      <c r="C50" s="5" t="n"/>
      <c r="D50" s="24">
        <f>IF(B50&lt;&gt;"",C50-B50,"")</f>
        <v/>
      </c>
      <c r="E50" s="24">
        <f>IF(B50&lt;&gt;"",B50*12,"")</f>
        <v/>
      </c>
      <c r="F50" s="24">
        <f>IF(C50&lt;&gt;"",C50*12,"")</f>
        <v/>
      </c>
      <c r="G50" s="24">
        <f>IF(E50&lt;&gt;"",F50-E50,"")</f>
        <v/>
      </c>
      <c r="H50" s="26">
        <f>IF(AND(B50&lt;&gt;"",B50&lt;&gt;C50),D50/(C50*0.4),"")</f>
        <v/>
      </c>
      <c r="I50" s="5" t="n"/>
      <c r="J50" s="5" t="n"/>
      <c r="K50" s="5" t="n"/>
      <c r="L50" s="5">
        <f>IF(D50="","",IF(D50&gt;0,"CDI avantageux","Intérim avantageux"))</f>
        <v/>
      </c>
      <c r="M50" s="5" t="n"/>
      <c r="N50" s="5" t="n"/>
    </row>
    <row r="51" ht="22" customHeight="1">
      <c r="A51" s="8" t="n"/>
      <c r="B51" s="8" t="n"/>
      <c r="C51" s="8" t="n"/>
      <c r="D51" s="25">
        <f>IF(B51&lt;&gt;"",C51-B51,"")</f>
        <v/>
      </c>
      <c r="E51" s="25">
        <f>IF(B51&lt;&gt;"",B51*12,"")</f>
        <v/>
      </c>
      <c r="F51" s="25">
        <f>IF(C51&lt;&gt;"",C51*12,"")</f>
        <v/>
      </c>
      <c r="G51" s="25">
        <f>IF(E51&lt;&gt;"",F51-E51,"")</f>
        <v/>
      </c>
      <c r="H51" s="27">
        <f>IF(AND(B51&lt;&gt;"",B51&lt;&gt;C51),D51/(C51*0.4),"")</f>
        <v/>
      </c>
      <c r="I51" s="8" t="n"/>
      <c r="J51" s="8" t="n"/>
      <c r="K51" s="8" t="n"/>
      <c r="L51" s="8">
        <f>IF(D51="","",IF(D51&gt;0,"CDI avantageux","Intérim avantageux"))</f>
        <v/>
      </c>
      <c r="M51" s="8" t="n"/>
      <c r="N51" s="8" t="n"/>
    </row>
    <row r="52" ht="22" customHeight="1">
      <c r="A52" s="5" t="n"/>
      <c r="B52" s="5" t="n"/>
      <c r="C52" s="5" t="n"/>
      <c r="D52" s="24">
        <f>IF(B52&lt;&gt;"",C52-B52,"")</f>
        <v/>
      </c>
      <c r="E52" s="24">
        <f>IF(B52&lt;&gt;"",B52*12,"")</f>
        <v/>
      </c>
      <c r="F52" s="24">
        <f>IF(C52&lt;&gt;"",C52*12,"")</f>
        <v/>
      </c>
      <c r="G52" s="24">
        <f>IF(E52&lt;&gt;"",F52-E52,"")</f>
        <v/>
      </c>
      <c r="H52" s="26">
        <f>IF(AND(B52&lt;&gt;"",B52&lt;&gt;C52),D52/(C52*0.4),"")</f>
        <v/>
      </c>
      <c r="I52" s="5" t="n"/>
      <c r="J52" s="5" t="n"/>
      <c r="K52" s="5" t="n"/>
      <c r="L52" s="5">
        <f>IF(D52="","",IF(D52&gt;0,"CDI avantageux","Intérim avantageux"))</f>
        <v/>
      </c>
      <c r="M52" s="5" t="n"/>
      <c r="N52" s="5" t="n"/>
    </row>
    <row r="53" ht="22" customHeight="1">
      <c r="A53" s="8" t="n"/>
      <c r="B53" s="8" t="n"/>
      <c r="C53" s="8" t="n"/>
      <c r="D53" s="25">
        <f>IF(B53&lt;&gt;"",C53-B53,"")</f>
        <v/>
      </c>
      <c r="E53" s="25">
        <f>IF(B53&lt;&gt;"",B53*12,"")</f>
        <v/>
      </c>
      <c r="F53" s="25">
        <f>IF(C53&lt;&gt;"",C53*12,"")</f>
        <v/>
      </c>
      <c r="G53" s="25">
        <f>IF(E53&lt;&gt;"",F53-E53,"")</f>
        <v/>
      </c>
      <c r="H53" s="27">
        <f>IF(AND(B53&lt;&gt;"",B53&lt;&gt;C53),D53/(C53*0.4),"")</f>
        <v/>
      </c>
      <c r="I53" s="8" t="n"/>
      <c r="J53" s="8" t="n"/>
      <c r="K53" s="8" t="n"/>
      <c r="L53" s="8">
        <f>IF(D53="","",IF(D53&gt;0,"CDI avantageux","Intérim avantageux"))</f>
        <v/>
      </c>
      <c r="M53" s="8" t="n"/>
      <c r="N53" s="8" t="n"/>
    </row>
    <row r="54" ht="22" customHeight="1">
      <c r="A54" s="5" t="n"/>
      <c r="B54" s="5" t="n"/>
      <c r="C54" s="5" t="n"/>
      <c r="D54" s="24">
        <f>IF(B54&lt;&gt;"",C54-B54,"")</f>
        <v/>
      </c>
      <c r="E54" s="24">
        <f>IF(B54&lt;&gt;"",B54*12,"")</f>
        <v/>
      </c>
      <c r="F54" s="24">
        <f>IF(C54&lt;&gt;"",C54*12,"")</f>
        <v/>
      </c>
      <c r="G54" s="24">
        <f>IF(E54&lt;&gt;"",F54-E54,"")</f>
        <v/>
      </c>
      <c r="H54" s="26">
        <f>IF(AND(B54&lt;&gt;"",B54&lt;&gt;C54),D54/(C54*0.4),"")</f>
        <v/>
      </c>
      <c r="I54" s="5" t="n"/>
      <c r="J54" s="5" t="n"/>
      <c r="K54" s="5" t="n"/>
      <c r="L54" s="5">
        <f>IF(D54="","",IF(D54&gt;0,"CDI avantageux","Intérim avantageux"))</f>
        <v/>
      </c>
      <c r="M54" s="5" t="n"/>
      <c r="N54" s="5" t="n"/>
    </row>
    <row r="55" ht="22" customHeight="1">
      <c r="A55" s="8" t="n"/>
      <c r="B55" s="8" t="n"/>
      <c r="C55" s="8" t="n"/>
      <c r="D55" s="25">
        <f>IF(B55&lt;&gt;"",C55-B55,"")</f>
        <v/>
      </c>
      <c r="E55" s="25">
        <f>IF(B55&lt;&gt;"",B55*12,"")</f>
        <v/>
      </c>
      <c r="F55" s="25">
        <f>IF(C55&lt;&gt;"",C55*12,"")</f>
        <v/>
      </c>
      <c r="G55" s="25">
        <f>IF(E55&lt;&gt;"",F55-E55,"")</f>
        <v/>
      </c>
      <c r="H55" s="27">
        <f>IF(AND(B55&lt;&gt;"",B55&lt;&gt;C55),D55/(C55*0.4),"")</f>
        <v/>
      </c>
      <c r="I55" s="8" t="n"/>
      <c r="J55" s="8" t="n"/>
      <c r="K55" s="8" t="n"/>
      <c r="L55" s="8">
        <f>IF(D55="","",IF(D55&gt;0,"CDI avantageux","Intérim avantageux"))</f>
        <v/>
      </c>
      <c r="M55" s="8" t="n"/>
      <c r="N55" s="8" t="n"/>
    </row>
    <row r="56" ht="22" customHeight="1">
      <c r="A56" s="5" t="n"/>
      <c r="B56" s="5" t="n"/>
      <c r="C56" s="5" t="n"/>
      <c r="D56" s="24">
        <f>IF(B56&lt;&gt;"",C56-B56,"")</f>
        <v/>
      </c>
      <c r="E56" s="24">
        <f>IF(B56&lt;&gt;"",B56*12,"")</f>
        <v/>
      </c>
      <c r="F56" s="24">
        <f>IF(C56&lt;&gt;"",C56*12,"")</f>
        <v/>
      </c>
      <c r="G56" s="24">
        <f>IF(E56&lt;&gt;"",F56-E56,"")</f>
        <v/>
      </c>
      <c r="H56" s="26">
        <f>IF(AND(B56&lt;&gt;"",B56&lt;&gt;C56),D56/(C56*0.4),"")</f>
        <v/>
      </c>
      <c r="I56" s="5" t="n"/>
      <c r="J56" s="5" t="n"/>
      <c r="K56" s="5" t="n"/>
      <c r="L56" s="5">
        <f>IF(D56="","",IF(D56&gt;0,"CDI avantageux","Intérim avantageux"))</f>
        <v/>
      </c>
      <c r="M56" s="5" t="n"/>
      <c r="N56" s="5" t="n"/>
    </row>
    <row r="57" ht="22" customHeight="1">
      <c r="A57" s="8" t="n"/>
      <c r="B57" s="8" t="n"/>
      <c r="C57" s="8" t="n"/>
      <c r="D57" s="25">
        <f>IF(B57&lt;&gt;"",C57-B57,"")</f>
        <v/>
      </c>
      <c r="E57" s="25">
        <f>IF(B57&lt;&gt;"",B57*12,"")</f>
        <v/>
      </c>
      <c r="F57" s="25">
        <f>IF(C57&lt;&gt;"",C57*12,"")</f>
        <v/>
      </c>
      <c r="G57" s="25">
        <f>IF(E57&lt;&gt;"",F57-E57,"")</f>
        <v/>
      </c>
      <c r="H57" s="27">
        <f>IF(AND(B57&lt;&gt;"",B57&lt;&gt;C57),D57/(C57*0.4),"")</f>
        <v/>
      </c>
      <c r="I57" s="8" t="n"/>
      <c r="J57" s="8" t="n"/>
      <c r="K57" s="8" t="n"/>
      <c r="L57" s="8">
        <f>IF(D57="","",IF(D57&gt;0,"CDI avantageux","Intérim avantageux"))</f>
        <v/>
      </c>
      <c r="M57" s="8" t="n"/>
      <c r="N57" s="8" t="n"/>
    </row>
    <row r="58" ht="22" customHeight="1">
      <c r="A58" s="5" t="n"/>
      <c r="B58" s="5" t="n"/>
      <c r="C58" s="5" t="n"/>
      <c r="D58" s="24">
        <f>IF(B58&lt;&gt;"",C58-B58,"")</f>
        <v/>
      </c>
      <c r="E58" s="24">
        <f>IF(B58&lt;&gt;"",B58*12,"")</f>
        <v/>
      </c>
      <c r="F58" s="24">
        <f>IF(C58&lt;&gt;"",C58*12,"")</f>
        <v/>
      </c>
      <c r="G58" s="24">
        <f>IF(E58&lt;&gt;"",F58-E58,"")</f>
        <v/>
      </c>
      <c r="H58" s="26">
        <f>IF(AND(B58&lt;&gt;"",B58&lt;&gt;C58),D58/(C58*0.4),"")</f>
        <v/>
      </c>
      <c r="I58" s="5" t="n"/>
      <c r="J58" s="5" t="n"/>
      <c r="K58" s="5" t="n"/>
      <c r="L58" s="5">
        <f>IF(D58="","",IF(D58&gt;0,"CDI avantageux","Intérim avantageux"))</f>
        <v/>
      </c>
      <c r="M58" s="5" t="n"/>
      <c r="N58" s="5" t="n"/>
    </row>
    <row r="59" ht="22" customHeight="1">
      <c r="A59" s="8" t="n"/>
      <c r="B59" s="8" t="n"/>
      <c r="C59" s="8" t="n"/>
      <c r="D59" s="25">
        <f>IF(B59&lt;&gt;"",C59-B59,"")</f>
        <v/>
      </c>
      <c r="E59" s="25">
        <f>IF(B59&lt;&gt;"",B59*12,"")</f>
        <v/>
      </c>
      <c r="F59" s="25">
        <f>IF(C59&lt;&gt;"",C59*12,"")</f>
        <v/>
      </c>
      <c r="G59" s="25">
        <f>IF(E59&lt;&gt;"",F59-E59,"")</f>
        <v/>
      </c>
      <c r="H59" s="27">
        <f>IF(AND(B59&lt;&gt;"",B59&lt;&gt;C59),D59/(C59*0.4),"")</f>
        <v/>
      </c>
      <c r="I59" s="8" t="n"/>
      <c r="J59" s="8" t="n"/>
      <c r="K59" s="8" t="n"/>
      <c r="L59" s="8">
        <f>IF(D59="","",IF(D59&gt;0,"CDI avantageux","Intérim avantageux"))</f>
        <v/>
      </c>
      <c r="M59" s="8" t="n"/>
      <c r="N59" s="8" t="n"/>
    </row>
    <row r="60" ht="22" customHeight="1">
      <c r="A60" s="5" t="n"/>
      <c r="B60" s="5" t="n"/>
      <c r="C60" s="5" t="n"/>
      <c r="D60" s="24">
        <f>IF(B60&lt;&gt;"",C60-B60,"")</f>
        <v/>
      </c>
      <c r="E60" s="24">
        <f>IF(B60&lt;&gt;"",B60*12,"")</f>
        <v/>
      </c>
      <c r="F60" s="24">
        <f>IF(C60&lt;&gt;"",C60*12,"")</f>
        <v/>
      </c>
      <c r="G60" s="24">
        <f>IF(E60&lt;&gt;"",F60-E60,"")</f>
        <v/>
      </c>
      <c r="H60" s="26">
        <f>IF(AND(B60&lt;&gt;"",B60&lt;&gt;C60),D60/(C60*0.4),"")</f>
        <v/>
      </c>
      <c r="I60" s="5" t="n"/>
      <c r="J60" s="5" t="n"/>
      <c r="K60" s="5" t="n"/>
      <c r="L60" s="5">
        <f>IF(D60="","",IF(D60&gt;0,"CDI avantageux","Intérim avantageux"))</f>
        <v/>
      </c>
      <c r="M60" s="5" t="n"/>
      <c r="N60" s="5" t="n"/>
    </row>
    <row r="61" ht="22" customHeight="1">
      <c r="A61" s="8" t="n"/>
      <c r="B61" s="8" t="n"/>
      <c r="C61" s="8" t="n"/>
      <c r="D61" s="25">
        <f>IF(B61&lt;&gt;"",C61-B61,"")</f>
        <v/>
      </c>
      <c r="E61" s="25">
        <f>IF(B61&lt;&gt;"",B61*12,"")</f>
        <v/>
      </c>
      <c r="F61" s="25">
        <f>IF(C61&lt;&gt;"",C61*12,"")</f>
        <v/>
      </c>
      <c r="G61" s="25">
        <f>IF(E61&lt;&gt;"",F61-E61,"")</f>
        <v/>
      </c>
      <c r="H61" s="27">
        <f>IF(AND(B61&lt;&gt;"",B61&lt;&gt;C61),D61/(C61*0.4),"")</f>
        <v/>
      </c>
      <c r="I61" s="8" t="n"/>
      <c r="J61" s="8" t="n"/>
      <c r="K61" s="8" t="n"/>
      <c r="L61" s="8">
        <f>IF(D61="","",IF(D61&gt;0,"CDI avantageux","Intérim avantageux"))</f>
        <v/>
      </c>
      <c r="M61" s="8" t="n"/>
      <c r="N61" s="8" t="n"/>
    </row>
    <row r="62" ht="22" customHeight="1">
      <c r="A62" s="5" t="n"/>
      <c r="B62" s="5" t="n"/>
      <c r="C62" s="5" t="n"/>
      <c r="D62" s="24">
        <f>IF(B62&lt;&gt;"",C62-B62,"")</f>
        <v/>
      </c>
      <c r="E62" s="24">
        <f>IF(B62&lt;&gt;"",B62*12,"")</f>
        <v/>
      </c>
      <c r="F62" s="24">
        <f>IF(C62&lt;&gt;"",C62*12,"")</f>
        <v/>
      </c>
      <c r="G62" s="24">
        <f>IF(E62&lt;&gt;"",F62-E62,"")</f>
        <v/>
      </c>
      <c r="H62" s="26">
        <f>IF(AND(B62&lt;&gt;"",B62&lt;&gt;C62),D62/(C62*0.4),"")</f>
        <v/>
      </c>
      <c r="I62" s="5" t="n"/>
      <c r="J62" s="5" t="n"/>
      <c r="K62" s="5" t="n"/>
      <c r="L62" s="5">
        <f>IF(D62="","",IF(D62&gt;0,"CDI avantageux","Intérim avantageux"))</f>
        <v/>
      </c>
      <c r="M62" s="5" t="n"/>
      <c r="N62" s="5" t="n"/>
    </row>
    <row r="63" ht="22" customHeight="1">
      <c r="A63" s="8" t="n"/>
      <c r="B63" s="8" t="n"/>
      <c r="C63" s="8" t="n"/>
      <c r="D63" s="25">
        <f>IF(B63&lt;&gt;"",C63-B63,"")</f>
        <v/>
      </c>
      <c r="E63" s="25">
        <f>IF(B63&lt;&gt;"",B63*12,"")</f>
        <v/>
      </c>
      <c r="F63" s="25">
        <f>IF(C63&lt;&gt;"",C63*12,"")</f>
        <v/>
      </c>
      <c r="G63" s="25">
        <f>IF(E63&lt;&gt;"",F63-E63,"")</f>
        <v/>
      </c>
      <c r="H63" s="27">
        <f>IF(AND(B63&lt;&gt;"",B63&lt;&gt;C63),D63/(C63*0.4),"")</f>
        <v/>
      </c>
      <c r="I63" s="8" t="n"/>
      <c r="J63" s="8" t="n"/>
      <c r="K63" s="8" t="n"/>
      <c r="L63" s="8">
        <f>IF(D63="","",IF(D63&gt;0,"CDI avantageux","Intérim avantageux"))</f>
        <v/>
      </c>
      <c r="M63" s="8" t="n"/>
      <c r="N63" s="8" t="n"/>
    </row>
    <row r="64" ht="22" customHeight="1">
      <c r="A64" s="5" t="n"/>
      <c r="B64" s="5" t="n"/>
      <c r="C64" s="5" t="n"/>
      <c r="D64" s="24">
        <f>IF(B64&lt;&gt;"",C64-B64,"")</f>
        <v/>
      </c>
      <c r="E64" s="24">
        <f>IF(B64&lt;&gt;"",B64*12,"")</f>
        <v/>
      </c>
      <c r="F64" s="24">
        <f>IF(C64&lt;&gt;"",C64*12,"")</f>
        <v/>
      </c>
      <c r="G64" s="24">
        <f>IF(E64&lt;&gt;"",F64-E64,"")</f>
        <v/>
      </c>
      <c r="H64" s="26">
        <f>IF(AND(B64&lt;&gt;"",B64&lt;&gt;C64),D64/(C64*0.4),"")</f>
        <v/>
      </c>
      <c r="I64" s="5" t="n"/>
      <c r="J64" s="5" t="n"/>
      <c r="K64" s="5" t="n"/>
      <c r="L64" s="5">
        <f>IF(D64="","",IF(D64&gt;0,"CDI avantageux","Intérim avantageux"))</f>
        <v/>
      </c>
      <c r="M64" s="5" t="n"/>
      <c r="N64" s="5" t="n"/>
    </row>
    <row r="65" ht="22" customHeight="1">
      <c r="A65" s="8" t="n"/>
      <c r="B65" s="8" t="n"/>
      <c r="C65" s="8" t="n"/>
      <c r="D65" s="25">
        <f>IF(B65&lt;&gt;"",C65-B65,"")</f>
        <v/>
      </c>
      <c r="E65" s="25">
        <f>IF(B65&lt;&gt;"",B65*12,"")</f>
        <v/>
      </c>
      <c r="F65" s="25">
        <f>IF(C65&lt;&gt;"",C65*12,"")</f>
        <v/>
      </c>
      <c r="G65" s="25">
        <f>IF(E65&lt;&gt;"",F65-E65,"")</f>
        <v/>
      </c>
      <c r="H65" s="27">
        <f>IF(AND(B65&lt;&gt;"",B65&lt;&gt;C65),D65/(C65*0.4),"")</f>
        <v/>
      </c>
      <c r="I65" s="8" t="n"/>
      <c r="J65" s="8" t="n"/>
      <c r="K65" s="8" t="n"/>
      <c r="L65" s="8">
        <f>IF(D65="","",IF(D65&gt;0,"CDI avantageux","Intérim avantageux"))</f>
        <v/>
      </c>
      <c r="M65" s="8" t="n"/>
      <c r="N65" s="8" t="n"/>
    </row>
    <row r="66" ht="22" customHeight="1">
      <c r="A66" s="5" t="n"/>
      <c r="B66" s="5" t="n"/>
      <c r="C66" s="5" t="n"/>
      <c r="D66" s="24">
        <f>IF(B66&lt;&gt;"",C66-B66,"")</f>
        <v/>
      </c>
      <c r="E66" s="24">
        <f>IF(B66&lt;&gt;"",B66*12,"")</f>
        <v/>
      </c>
      <c r="F66" s="24">
        <f>IF(C66&lt;&gt;"",C66*12,"")</f>
        <v/>
      </c>
      <c r="G66" s="24">
        <f>IF(E66&lt;&gt;"",F66-E66,"")</f>
        <v/>
      </c>
      <c r="H66" s="26">
        <f>IF(AND(B66&lt;&gt;"",B66&lt;&gt;C66),D66/(C66*0.4),"")</f>
        <v/>
      </c>
      <c r="I66" s="5" t="n"/>
      <c r="J66" s="5" t="n"/>
      <c r="K66" s="5" t="n"/>
      <c r="L66" s="5">
        <f>IF(D66="","",IF(D66&gt;0,"CDI avantageux","Intérim avantageux"))</f>
        <v/>
      </c>
      <c r="M66" s="5" t="n"/>
      <c r="N66" s="5" t="n"/>
    </row>
    <row r="67" ht="22" customHeight="1">
      <c r="A67" s="8" t="n"/>
      <c r="B67" s="8" t="n"/>
      <c r="C67" s="8" t="n"/>
      <c r="D67" s="25">
        <f>IF(B67&lt;&gt;"",C67-B67,"")</f>
        <v/>
      </c>
      <c r="E67" s="25">
        <f>IF(B67&lt;&gt;"",B67*12,"")</f>
        <v/>
      </c>
      <c r="F67" s="25">
        <f>IF(C67&lt;&gt;"",C67*12,"")</f>
        <v/>
      </c>
      <c r="G67" s="25">
        <f>IF(E67&lt;&gt;"",F67-E67,"")</f>
        <v/>
      </c>
      <c r="H67" s="27">
        <f>IF(AND(B67&lt;&gt;"",B67&lt;&gt;C67),D67/(C67*0.4),"")</f>
        <v/>
      </c>
      <c r="I67" s="8" t="n"/>
      <c r="J67" s="8" t="n"/>
      <c r="K67" s="8" t="n"/>
      <c r="L67" s="8">
        <f>IF(D67="","",IF(D67&gt;0,"CDI avantageux","Intérim avantageux"))</f>
        <v/>
      </c>
      <c r="M67" s="8" t="n"/>
      <c r="N67" s="8" t="n"/>
    </row>
    <row r="68" ht="22" customHeight="1">
      <c r="A68" s="5" t="n"/>
      <c r="B68" s="5" t="n"/>
      <c r="C68" s="5" t="n"/>
      <c r="D68" s="24">
        <f>IF(B68&lt;&gt;"",C68-B68,"")</f>
        <v/>
      </c>
      <c r="E68" s="24">
        <f>IF(B68&lt;&gt;"",B68*12,"")</f>
        <v/>
      </c>
      <c r="F68" s="24">
        <f>IF(C68&lt;&gt;"",C68*12,"")</f>
        <v/>
      </c>
      <c r="G68" s="24">
        <f>IF(E68&lt;&gt;"",F68-E68,"")</f>
        <v/>
      </c>
      <c r="H68" s="26">
        <f>IF(AND(B68&lt;&gt;"",B68&lt;&gt;C68),D68/(C68*0.4),"")</f>
        <v/>
      </c>
      <c r="I68" s="5" t="n"/>
      <c r="J68" s="5" t="n"/>
      <c r="K68" s="5" t="n"/>
      <c r="L68" s="5">
        <f>IF(D68="","",IF(D68&gt;0,"CDI avantageux","Intérim avantageux"))</f>
        <v/>
      </c>
      <c r="M68" s="5" t="n"/>
      <c r="N68" s="5" t="n"/>
    </row>
    <row r="69" ht="22" customHeight="1">
      <c r="A69" s="8" t="n"/>
      <c r="B69" s="8" t="n"/>
      <c r="C69" s="8" t="n"/>
      <c r="D69" s="25">
        <f>IF(B69&lt;&gt;"",C69-B69,"")</f>
        <v/>
      </c>
      <c r="E69" s="25">
        <f>IF(B69&lt;&gt;"",B69*12,"")</f>
        <v/>
      </c>
      <c r="F69" s="25">
        <f>IF(C69&lt;&gt;"",C69*12,"")</f>
        <v/>
      </c>
      <c r="G69" s="25">
        <f>IF(E69&lt;&gt;"",F69-E69,"")</f>
        <v/>
      </c>
      <c r="H69" s="27">
        <f>IF(AND(B69&lt;&gt;"",B69&lt;&gt;C69),D69/(C69*0.4),"")</f>
        <v/>
      </c>
      <c r="I69" s="8" t="n"/>
      <c r="J69" s="8" t="n"/>
      <c r="K69" s="8" t="n"/>
      <c r="L69" s="8">
        <f>IF(D69="","",IF(D69&gt;0,"CDI avantageux","Intérim avantageux"))</f>
        <v/>
      </c>
      <c r="M69" s="8" t="n"/>
      <c r="N69" s="8" t="n"/>
    </row>
    <row r="70" ht="22" customHeight="1">
      <c r="A70" s="5" t="n"/>
      <c r="B70" s="5" t="n"/>
      <c r="C70" s="5" t="n"/>
      <c r="D70" s="24">
        <f>IF(B70&lt;&gt;"",C70-B70,"")</f>
        <v/>
      </c>
      <c r="E70" s="24">
        <f>IF(B70&lt;&gt;"",B70*12,"")</f>
        <v/>
      </c>
      <c r="F70" s="24">
        <f>IF(C70&lt;&gt;"",C70*12,"")</f>
        <v/>
      </c>
      <c r="G70" s="24">
        <f>IF(E70&lt;&gt;"",F70-E70,"")</f>
        <v/>
      </c>
      <c r="H70" s="26">
        <f>IF(AND(B70&lt;&gt;"",B70&lt;&gt;C70),D70/(C70*0.4),"")</f>
        <v/>
      </c>
      <c r="I70" s="5" t="n"/>
      <c r="J70" s="5" t="n"/>
      <c r="K70" s="5" t="n"/>
      <c r="L70" s="5">
        <f>IF(D70="","",IF(D70&gt;0,"CDI avantageux","Intérim avantageux"))</f>
        <v/>
      </c>
      <c r="M70" s="5" t="n"/>
      <c r="N70" s="5" t="n"/>
    </row>
    <row r="71" ht="22" customHeight="1">
      <c r="A71" s="8" t="n"/>
      <c r="B71" s="8" t="n"/>
      <c r="C71" s="8" t="n"/>
      <c r="D71" s="25">
        <f>IF(B71&lt;&gt;"",C71-B71,"")</f>
        <v/>
      </c>
      <c r="E71" s="25">
        <f>IF(B71&lt;&gt;"",B71*12,"")</f>
        <v/>
      </c>
      <c r="F71" s="25">
        <f>IF(C71&lt;&gt;"",C71*12,"")</f>
        <v/>
      </c>
      <c r="G71" s="25">
        <f>IF(E71&lt;&gt;"",F71-E71,"")</f>
        <v/>
      </c>
      <c r="H71" s="27">
        <f>IF(AND(B71&lt;&gt;"",B71&lt;&gt;C71),D71/(C71*0.4),"")</f>
        <v/>
      </c>
      <c r="I71" s="8" t="n"/>
      <c r="J71" s="8" t="n"/>
      <c r="K71" s="8" t="n"/>
      <c r="L71" s="8">
        <f>IF(D71="","",IF(D71&gt;0,"CDI avantageux","Intérim avantageux"))</f>
        <v/>
      </c>
      <c r="M71" s="8" t="n"/>
      <c r="N71" s="8" t="n"/>
    </row>
    <row r="72" ht="22" customHeight="1">
      <c r="A72" s="5" t="n"/>
      <c r="B72" s="5" t="n"/>
      <c r="C72" s="5" t="n"/>
      <c r="D72" s="24">
        <f>IF(B72&lt;&gt;"",C72-B72,"")</f>
        <v/>
      </c>
      <c r="E72" s="24">
        <f>IF(B72&lt;&gt;"",B72*12,"")</f>
        <v/>
      </c>
      <c r="F72" s="24">
        <f>IF(C72&lt;&gt;"",C72*12,"")</f>
        <v/>
      </c>
      <c r="G72" s="24">
        <f>IF(E72&lt;&gt;"",F72-E72,"")</f>
        <v/>
      </c>
      <c r="H72" s="26">
        <f>IF(AND(B72&lt;&gt;"",B72&lt;&gt;C72),D72/(C72*0.4),"")</f>
        <v/>
      </c>
      <c r="I72" s="5" t="n"/>
      <c r="J72" s="5" t="n"/>
      <c r="K72" s="5" t="n"/>
      <c r="L72" s="5">
        <f>IF(D72="","",IF(D72&gt;0,"CDI avantageux","Intérim avantageux"))</f>
        <v/>
      </c>
      <c r="M72" s="5" t="n"/>
      <c r="N72" s="5" t="n"/>
    </row>
    <row r="73" ht="22" customHeight="1">
      <c r="A73" s="8" t="n"/>
      <c r="B73" s="8" t="n"/>
      <c r="C73" s="8" t="n"/>
      <c r="D73" s="25">
        <f>IF(B73&lt;&gt;"",C73-B73,"")</f>
        <v/>
      </c>
      <c r="E73" s="25">
        <f>IF(B73&lt;&gt;"",B73*12,"")</f>
        <v/>
      </c>
      <c r="F73" s="25">
        <f>IF(C73&lt;&gt;"",C73*12,"")</f>
        <v/>
      </c>
      <c r="G73" s="25">
        <f>IF(E73&lt;&gt;"",F73-E73,"")</f>
        <v/>
      </c>
      <c r="H73" s="27">
        <f>IF(AND(B73&lt;&gt;"",B73&lt;&gt;C73),D73/(C73*0.4),"")</f>
        <v/>
      </c>
      <c r="I73" s="8" t="n"/>
      <c r="J73" s="8" t="n"/>
      <c r="K73" s="8" t="n"/>
      <c r="L73" s="8">
        <f>IF(D73="","",IF(D73&gt;0,"CDI avantageux","Intérim avantageux"))</f>
        <v/>
      </c>
      <c r="M73" s="8" t="n"/>
      <c r="N73" s="8" t="n"/>
    </row>
    <row r="74" ht="22" customHeight="1">
      <c r="A74" s="5" t="n"/>
      <c r="B74" s="5" t="n"/>
      <c r="C74" s="5" t="n"/>
      <c r="D74" s="24">
        <f>IF(B74&lt;&gt;"",C74-B74,"")</f>
        <v/>
      </c>
      <c r="E74" s="24">
        <f>IF(B74&lt;&gt;"",B74*12,"")</f>
        <v/>
      </c>
      <c r="F74" s="24">
        <f>IF(C74&lt;&gt;"",C74*12,"")</f>
        <v/>
      </c>
      <c r="G74" s="24">
        <f>IF(E74&lt;&gt;"",F74-E74,"")</f>
        <v/>
      </c>
      <c r="H74" s="26">
        <f>IF(AND(B74&lt;&gt;"",B74&lt;&gt;C74),D74/(C74*0.4),"")</f>
        <v/>
      </c>
      <c r="I74" s="5" t="n"/>
      <c r="J74" s="5" t="n"/>
      <c r="K74" s="5" t="n"/>
      <c r="L74" s="5">
        <f>IF(D74="","",IF(D74&gt;0,"CDI avantageux","Intérim avantageux"))</f>
        <v/>
      </c>
      <c r="M74" s="5" t="n"/>
      <c r="N74" s="5" t="n"/>
    </row>
    <row r="75" ht="22" customHeight="1">
      <c r="A75" s="8" t="n"/>
      <c r="B75" s="8" t="n"/>
      <c r="C75" s="8" t="n"/>
      <c r="D75" s="25">
        <f>IF(B75&lt;&gt;"",C75-B75,"")</f>
        <v/>
      </c>
      <c r="E75" s="25">
        <f>IF(B75&lt;&gt;"",B75*12,"")</f>
        <v/>
      </c>
      <c r="F75" s="25">
        <f>IF(C75&lt;&gt;"",C75*12,"")</f>
        <v/>
      </c>
      <c r="G75" s="25">
        <f>IF(E75&lt;&gt;"",F75-E75,"")</f>
        <v/>
      </c>
      <c r="H75" s="27">
        <f>IF(AND(B75&lt;&gt;"",B75&lt;&gt;C75),D75/(C75*0.4),"")</f>
        <v/>
      </c>
      <c r="I75" s="8" t="n"/>
      <c r="J75" s="8" t="n"/>
      <c r="K75" s="8" t="n"/>
      <c r="L75" s="8">
        <f>IF(D75="","",IF(D75&gt;0,"CDI avantageux","Intérim avantageux"))</f>
        <v/>
      </c>
      <c r="M75" s="8" t="n"/>
      <c r="N75" s="8" t="n"/>
    </row>
    <row r="76" ht="22" customHeight="1">
      <c r="A76" s="5" t="n"/>
      <c r="B76" s="5" t="n"/>
      <c r="C76" s="5" t="n"/>
      <c r="D76" s="24">
        <f>IF(B76&lt;&gt;"",C76-B76,"")</f>
        <v/>
      </c>
      <c r="E76" s="24">
        <f>IF(B76&lt;&gt;"",B76*12,"")</f>
        <v/>
      </c>
      <c r="F76" s="24">
        <f>IF(C76&lt;&gt;"",C76*12,"")</f>
        <v/>
      </c>
      <c r="G76" s="24">
        <f>IF(E76&lt;&gt;"",F76-E76,"")</f>
        <v/>
      </c>
      <c r="H76" s="26">
        <f>IF(AND(B76&lt;&gt;"",B76&lt;&gt;C76),D76/(C76*0.4),"")</f>
        <v/>
      </c>
      <c r="I76" s="5" t="n"/>
      <c r="J76" s="5" t="n"/>
      <c r="K76" s="5" t="n"/>
      <c r="L76" s="5">
        <f>IF(D76="","",IF(D76&gt;0,"CDI avantageux","Intérim avantageux"))</f>
        <v/>
      </c>
      <c r="M76" s="5" t="n"/>
      <c r="N76" s="5" t="n"/>
    </row>
    <row r="77" ht="22" customHeight="1">
      <c r="A77" s="8" t="n"/>
      <c r="B77" s="8" t="n"/>
      <c r="C77" s="8" t="n"/>
      <c r="D77" s="25">
        <f>IF(B77&lt;&gt;"",C77-B77,"")</f>
        <v/>
      </c>
      <c r="E77" s="25">
        <f>IF(B77&lt;&gt;"",B77*12,"")</f>
        <v/>
      </c>
      <c r="F77" s="25">
        <f>IF(C77&lt;&gt;"",C77*12,"")</f>
        <v/>
      </c>
      <c r="G77" s="25">
        <f>IF(E77&lt;&gt;"",F77-E77,"")</f>
        <v/>
      </c>
      <c r="H77" s="27">
        <f>IF(AND(B77&lt;&gt;"",B77&lt;&gt;C77),D77/(C77*0.4),"")</f>
        <v/>
      </c>
      <c r="I77" s="8" t="n"/>
      <c r="J77" s="8" t="n"/>
      <c r="K77" s="8" t="n"/>
      <c r="L77" s="8">
        <f>IF(D77="","",IF(D77&gt;0,"CDI avantageux","Intérim avantageux"))</f>
        <v/>
      </c>
      <c r="M77" s="8" t="n"/>
      <c r="N77" s="8" t="n"/>
    </row>
    <row r="78" ht="22" customHeight="1">
      <c r="A78" s="5" t="n"/>
      <c r="B78" s="5" t="n"/>
      <c r="C78" s="5" t="n"/>
      <c r="D78" s="24">
        <f>IF(B78&lt;&gt;"",C78-B78,"")</f>
        <v/>
      </c>
      <c r="E78" s="24">
        <f>IF(B78&lt;&gt;"",B78*12,"")</f>
        <v/>
      </c>
      <c r="F78" s="24">
        <f>IF(C78&lt;&gt;"",C78*12,"")</f>
        <v/>
      </c>
      <c r="G78" s="24">
        <f>IF(E78&lt;&gt;"",F78-E78,"")</f>
        <v/>
      </c>
      <c r="H78" s="26">
        <f>IF(AND(B78&lt;&gt;"",B78&lt;&gt;C78),D78/(C78*0.4),"")</f>
        <v/>
      </c>
      <c r="I78" s="5" t="n"/>
      <c r="J78" s="5" t="n"/>
      <c r="K78" s="5" t="n"/>
      <c r="L78" s="5">
        <f>IF(D78="","",IF(D78&gt;0,"CDI avantageux","Intérim avantageux"))</f>
        <v/>
      </c>
      <c r="M78" s="5" t="n"/>
      <c r="N78" s="5" t="n"/>
    </row>
    <row r="79" ht="22" customHeight="1">
      <c r="A79" s="8" t="n"/>
      <c r="B79" s="8" t="n"/>
      <c r="C79" s="8" t="n"/>
      <c r="D79" s="25">
        <f>IF(B79&lt;&gt;"",C79-B79,"")</f>
        <v/>
      </c>
      <c r="E79" s="25">
        <f>IF(B79&lt;&gt;"",B79*12,"")</f>
        <v/>
      </c>
      <c r="F79" s="25">
        <f>IF(C79&lt;&gt;"",C79*12,"")</f>
        <v/>
      </c>
      <c r="G79" s="25">
        <f>IF(E79&lt;&gt;"",F79-E79,"")</f>
        <v/>
      </c>
      <c r="H79" s="27">
        <f>IF(AND(B79&lt;&gt;"",B79&lt;&gt;C79),D79/(C79*0.4),"")</f>
        <v/>
      </c>
      <c r="I79" s="8" t="n"/>
      <c r="J79" s="8" t="n"/>
      <c r="K79" s="8" t="n"/>
      <c r="L79" s="8">
        <f>IF(D79="","",IF(D79&gt;0,"CDI avantageux","Intérim avantageux"))</f>
        <v/>
      </c>
      <c r="M79" s="8" t="n"/>
      <c r="N79" s="8" t="n"/>
    </row>
    <row r="80" ht="22" customHeight="1">
      <c r="A80" s="5" t="n"/>
      <c r="B80" s="5" t="n"/>
      <c r="C80" s="5" t="n"/>
      <c r="D80" s="24">
        <f>IF(B80&lt;&gt;"",C80-B80,"")</f>
        <v/>
      </c>
      <c r="E80" s="24">
        <f>IF(B80&lt;&gt;"",B80*12,"")</f>
        <v/>
      </c>
      <c r="F80" s="24">
        <f>IF(C80&lt;&gt;"",C80*12,"")</f>
        <v/>
      </c>
      <c r="G80" s="24">
        <f>IF(E80&lt;&gt;"",F80-E80,"")</f>
        <v/>
      </c>
      <c r="H80" s="26">
        <f>IF(AND(B80&lt;&gt;"",B80&lt;&gt;C80),D80/(C80*0.4),"")</f>
        <v/>
      </c>
      <c r="I80" s="5" t="n"/>
      <c r="J80" s="5" t="n"/>
      <c r="K80" s="5" t="n"/>
      <c r="L80" s="5">
        <f>IF(D80="","",IF(D80&gt;0,"CDI avantageux","Intérim avantageux"))</f>
        <v/>
      </c>
      <c r="M80" s="5" t="n"/>
      <c r="N80" s="5" t="n"/>
    </row>
    <row r="81" ht="22" customHeight="1">
      <c r="A81" s="8" t="n"/>
      <c r="B81" s="8" t="n"/>
      <c r="C81" s="8" t="n"/>
      <c r="D81" s="25">
        <f>IF(B81&lt;&gt;"",C81-B81,"")</f>
        <v/>
      </c>
      <c r="E81" s="25">
        <f>IF(B81&lt;&gt;"",B81*12,"")</f>
        <v/>
      </c>
      <c r="F81" s="25">
        <f>IF(C81&lt;&gt;"",C81*12,"")</f>
        <v/>
      </c>
      <c r="G81" s="25">
        <f>IF(E81&lt;&gt;"",F81-E81,"")</f>
        <v/>
      </c>
      <c r="H81" s="27">
        <f>IF(AND(B81&lt;&gt;"",B81&lt;&gt;C81),D81/(C81*0.4),"")</f>
        <v/>
      </c>
      <c r="I81" s="8" t="n"/>
      <c r="J81" s="8" t="n"/>
      <c r="K81" s="8" t="n"/>
      <c r="L81" s="8">
        <f>IF(D81="","",IF(D81&gt;0,"CDI avantageux","Intérim avantageux"))</f>
        <v/>
      </c>
      <c r="M81" s="8" t="n"/>
      <c r="N81" s="8" t="n"/>
    </row>
    <row r="82" ht="22" customHeight="1">
      <c r="A82" s="5" t="n"/>
      <c r="B82" s="5" t="n"/>
      <c r="C82" s="5" t="n"/>
      <c r="D82" s="24">
        <f>IF(B82&lt;&gt;"",C82-B82,"")</f>
        <v/>
      </c>
      <c r="E82" s="24">
        <f>IF(B82&lt;&gt;"",B82*12,"")</f>
        <v/>
      </c>
      <c r="F82" s="24">
        <f>IF(C82&lt;&gt;"",C82*12,"")</f>
        <v/>
      </c>
      <c r="G82" s="24">
        <f>IF(E82&lt;&gt;"",F82-E82,"")</f>
        <v/>
      </c>
      <c r="H82" s="26">
        <f>IF(AND(B82&lt;&gt;"",B82&lt;&gt;C82),D82/(C82*0.4),"")</f>
        <v/>
      </c>
      <c r="I82" s="5" t="n"/>
      <c r="J82" s="5" t="n"/>
      <c r="K82" s="5" t="n"/>
      <c r="L82" s="5">
        <f>IF(D82="","",IF(D82&gt;0,"CDI avantageux","Intérim avantageux"))</f>
        <v/>
      </c>
      <c r="M82" s="5" t="n"/>
      <c r="N82" s="5" t="n"/>
    </row>
    <row r="83" ht="22" customHeight="1">
      <c r="A83" s="8" t="n"/>
      <c r="B83" s="8" t="n"/>
      <c r="C83" s="8" t="n"/>
      <c r="D83" s="25">
        <f>IF(B83&lt;&gt;"",C83-B83,"")</f>
        <v/>
      </c>
      <c r="E83" s="25">
        <f>IF(B83&lt;&gt;"",B83*12,"")</f>
        <v/>
      </c>
      <c r="F83" s="25">
        <f>IF(C83&lt;&gt;"",C83*12,"")</f>
        <v/>
      </c>
      <c r="G83" s="25">
        <f>IF(E83&lt;&gt;"",F83-E83,"")</f>
        <v/>
      </c>
      <c r="H83" s="27">
        <f>IF(AND(B83&lt;&gt;"",B83&lt;&gt;C83),D83/(C83*0.4),"")</f>
        <v/>
      </c>
      <c r="I83" s="8" t="n"/>
      <c r="J83" s="8" t="n"/>
      <c r="K83" s="8" t="n"/>
      <c r="L83" s="8">
        <f>IF(D83="","",IF(D83&gt;0,"CDI avantageux","Intérim avantageux"))</f>
        <v/>
      </c>
      <c r="M83" s="8" t="n"/>
      <c r="N83" s="8" t="n"/>
    </row>
    <row r="84" ht="22" customHeight="1">
      <c r="A84" s="5" t="n"/>
      <c r="B84" s="5" t="n"/>
      <c r="C84" s="5" t="n"/>
      <c r="D84" s="24">
        <f>IF(B84&lt;&gt;"",C84-B84,"")</f>
        <v/>
      </c>
      <c r="E84" s="24">
        <f>IF(B84&lt;&gt;"",B84*12,"")</f>
        <v/>
      </c>
      <c r="F84" s="24">
        <f>IF(C84&lt;&gt;"",C84*12,"")</f>
        <v/>
      </c>
      <c r="G84" s="24">
        <f>IF(E84&lt;&gt;"",F84-E84,"")</f>
        <v/>
      </c>
      <c r="H84" s="26">
        <f>IF(AND(B84&lt;&gt;"",B84&lt;&gt;C84),D84/(C84*0.4),"")</f>
        <v/>
      </c>
      <c r="I84" s="5" t="n"/>
      <c r="J84" s="5" t="n"/>
      <c r="K84" s="5" t="n"/>
      <c r="L84" s="5">
        <f>IF(D84="","",IF(D84&gt;0,"CDI avantageux","Intérim avantageux"))</f>
        <v/>
      </c>
      <c r="M84" s="5" t="n"/>
      <c r="N84" s="5" t="n"/>
    </row>
    <row r="85" ht="22" customHeight="1">
      <c r="A85" s="8" t="n"/>
      <c r="B85" s="8" t="n"/>
      <c r="C85" s="8" t="n"/>
      <c r="D85" s="25">
        <f>IF(B85&lt;&gt;"",C85-B85,"")</f>
        <v/>
      </c>
      <c r="E85" s="25">
        <f>IF(B85&lt;&gt;"",B85*12,"")</f>
        <v/>
      </c>
      <c r="F85" s="25">
        <f>IF(C85&lt;&gt;"",C85*12,"")</f>
        <v/>
      </c>
      <c r="G85" s="25">
        <f>IF(E85&lt;&gt;"",F85-E85,"")</f>
        <v/>
      </c>
      <c r="H85" s="27">
        <f>IF(AND(B85&lt;&gt;"",B85&lt;&gt;C85),D85/(C85*0.4),"")</f>
        <v/>
      </c>
      <c r="I85" s="8" t="n"/>
      <c r="J85" s="8" t="n"/>
      <c r="K85" s="8" t="n"/>
      <c r="L85" s="8">
        <f>IF(D85="","",IF(D85&gt;0,"CDI avantageux","Intérim avantageux"))</f>
        <v/>
      </c>
      <c r="M85" s="8" t="n"/>
      <c r="N85" s="8" t="n"/>
    </row>
    <row r="86" ht="22" customHeight="1">
      <c r="A86" s="5" t="n"/>
      <c r="B86" s="5" t="n"/>
      <c r="C86" s="5" t="n"/>
      <c r="D86" s="24">
        <f>IF(B86&lt;&gt;"",C86-B86,"")</f>
        <v/>
      </c>
      <c r="E86" s="24">
        <f>IF(B86&lt;&gt;"",B86*12,"")</f>
        <v/>
      </c>
      <c r="F86" s="24">
        <f>IF(C86&lt;&gt;"",C86*12,"")</f>
        <v/>
      </c>
      <c r="G86" s="24">
        <f>IF(E86&lt;&gt;"",F86-E86,"")</f>
        <v/>
      </c>
      <c r="H86" s="26">
        <f>IF(AND(B86&lt;&gt;"",B86&lt;&gt;C86),D86/(C86*0.4),"")</f>
        <v/>
      </c>
      <c r="I86" s="5" t="n"/>
      <c r="J86" s="5" t="n"/>
      <c r="K86" s="5" t="n"/>
      <c r="L86" s="5">
        <f>IF(D86="","",IF(D86&gt;0,"CDI avantageux","Intérim avantageux"))</f>
        <v/>
      </c>
      <c r="M86" s="5" t="n"/>
      <c r="N86" s="5" t="n"/>
    </row>
    <row r="87" ht="22" customHeight="1">
      <c r="A87" s="8" t="n"/>
      <c r="B87" s="8" t="n"/>
      <c r="C87" s="8" t="n"/>
      <c r="D87" s="25">
        <f>IF(B87&lt;&gt;"",C87-B87,"")</f>
        <v/>
      </c>
      <c r="E87" s="25">
        <f>IF(B87&lt;&gt;"",B87*12,"")</f>
        <v/>
      </c>
      <c r="F87" s="25">
        <f>IF(C87&lt;&gt;"",C87*12,"")</f>
        <v/>
      </c>
      <c r="G87" s="25">
        <f>IF(E87&lt;&gt;"",F87-E87,"")</f>
        <v/>
      </c>
      <c r="H87" s="27">
        <f>IF(AND(B87&lt;&gt;"",B87&lt;&gt;C87),D87/(C87*0.4),"")</f>
        <v/>
      </c>
      <c r="I87" s="8" t="n"/>
      <c r="J87" s="8" t="n"/>
      <c r="K87" s="8" t="n"/>
      <c r="L87" s="8">
        <f>IF(D87="","",IF(D87&gt;0,"CDI avantageux","Intérim avantageux"))</f>
        <v/>
      </c>
      <c r="M87" s="8" t="n"/>
      <c r="N87" s="8" t="n"/>
    </row>
    <row r="88" ht="22" customHeight="1">
      <c r="A88" s="5" t="n"/>
      <c r="B88" s="5" t="n"/>
      <c r="C88" s="5" t="n"/>
      <c r="D88" s="24">
        <f>IF(B88&lt;&gt;"",C88-B88,"")</f>
        <v/>
      </c>
      <c r="E88" s="24">
        <f>IF(B88&lt;&gt;"",B88*12,"")</f>
        <v/>
      </c>
      <c r="F88" s="24">
        <f>IF(C88&lt;&gt;"",C88*12,"")</f>
        <v/>
      </c>
      <c r="G88" s="24">
        <f>IF(E88&lt;&gt;"",F88-E88,"")</f>
        <v/>
      </c>
      <c r="H88" s="26">
        <f>IF(AND(B88&lt;&gt;"",B88&lt;&gt;C88),D88/(C88*0.4),"")</f>
        <v/>
      </c>
      <c r="I88" s="5" t="n"/>
      <c r="J88" s="5" t="n"/>
      <c r="K88" s="5" t="n"/>
      <c r="L88" s="5">
        <f>IF(D88="","",IF(D88&gt;0,"CDI avantageux","Intérim avantageux"))</f>
        <v/>
      </c>
      <c r="M88" s="5" t="n"/>
      <c r="N88" s="5" t="n"/>
    </row>
    <row r="89" ht="22" customHeight="1">
      <c r="A89" s="8" t="n"/>
      <c r="B89" s="8" t="n"/>
      <c r="C89" s="8" t="n"/>
      <c r="D89" s="25">
        <f>IF(B89&lt;&gt;"",C89-B89,"")</f>
        <v/>
      </c>
      <c r="E89" s="25">
        <f>IF(B89&lt;&gt;"",B89*12,"")</f>
        <v/>
      </c>
      <c r="F89" s="25">
        <f>IF(C89&lt;&gt;"",C89*12,"")</f>
        <v/>
      </c>
      <c r="G89" s="25">
        <f>IF(E89&lt;&gt;"",F89-E89,"")</f>
        <v/>
      </c>
      <c r="H89" s="27">
        <f>IF(AND(B89&lt;&gt;"",B89&lt;&gt;C89),D89/(C89*0.4),"")</f>
        <v/>
      </c>
      <c r="I89" s="8" t="n"/>
      <c r="J89" s="8" t="n"/>
      <c r="K89" s="8" t="n"/>
      <c r="L89" s="8">
        <f>IF(D89="","",IF(D89&gt;0,"CDI avantageux","Intérim avantageux"))</f>
        <v/>
      </c>
      <c r="M89" s="8" t="n"/>
      <c r="N89" s="8" t="n"/>
    </row>
    <row r="90" ht="22" customHeight="1">
      <c r="A90" s="5" t="n"/>
      <c r="B90" s="5" t="n"/>
      <c r="C90" s="5" t="n"/>
      <c r="D90" s="24">
        <f>IF(B90&lt;&gt;"",C90-B90,"")</f>
        <v/>
      </c>
      <c r="E90" s="24">
        <f>IF(B90&lt;&gt;"",B90*12,"")</f>
        <v/>
      </c>
      <c r="F90" s="24">
        <f>IF(C90&lt;&gt;"",C90*12,"")</f>
        <v/>
      </c>
      <c r="G90" s="24">
        <f>IF(E90&lt;&gt;"",F90-E90,"")</f>
        <v/>
      </c>
      <c r="H90" s="26">
        <f>IF(AND(B90&lt;&gt;"",B90&lt;&gt;C90),D90/(C90*0.4),"")</f>
        <v/>
      </c>
      <c r="I90" s="5" t="n"/>
      <c r="J90" s="5" t="n"/>
      <c r="K90" s="5" t="n"/>
      <c r="L90" s="5">
        <f>IF(D90="","",IF(D90&gt;0,"CDI avantageux","Intérim avantageux"))</f>
        <v/>
      </c>
      <c r="M90" s="5" t="n"/>
      <c r="N90" s="5" t="n"/>
    </row>
    <row r="91" ht="22" customHeight="1">
      <c r="A91" s="8" t="n"/>
      <c r="B91" s="8" t="n"/>
      <c r="C91" s="8" t="n"/>
      <c r="D91" s="25">
        <f>IF(B91&lt;&gt;"",C91-B91,"")</f>
        <v/>
      </c>
      <c r="E91" s="25">
        <f>IF(B91&lt;&gt;"",B91*12,"")</f>
        <v/>
      </c>
      <c r="F91" s="25">
        <f>IF(C91&lt;&gt;"",C91*12,"")</f>
        <v/>
      </c>
      <c r="G91" s="25">
        <f>IF(E91&lt;&gt;"",F91-E91,"")</f>
        <v/>
      </c>
      <c r="H91" s="27">
        <f>IF(AND(B91&lt;&gt;"",B91&lt;&gt;C91),D91/(C91*0.4),"")</f>
        <v/>
      </c>
      <c r="I91" s="8" t="n"/>
      <c r="J91" s="8" t="n"/>
      <c r="K91" s="8" t="n"/>
      <c r="L91" s="8">
        <f>IF(D91="","",IF(D91&gt;0,"CDI avantageux","Intérim avantageux"))</f>
        <v/>
      </c>
      <c r="M91" s="8" t="n"/>
      <c r="N91" s="8" t="n"/>
    </row>
    <row r="92" ht="22" customHeight="1">
      <c r="A92" s="5" t="n"/>
      <c r="B92" s="5" t="n"/>
      <c r="C92" s="5" t="n"/>
      <c r="D92" s="24">
        <f>IF(B92&lt;&gt;"",C92-B92,"")</f>
        <v/>
      </c>
      <c r="E92" s="24">
        <f>IF(B92&lt;&gt;"",B92*12,"")</f>
        <v/>
      </c>
      <c r="F92" s="24">
        <f>IF(C92&lt;&gt;"",C92*12,"")</f>
        <v/>
      </c>
      <c r="G92" s="24">
        <f>IF(E92&lt;&gt;"",F92-E92,"")</f>
        <v/>
      </c>
      <c r="H92" s="26">
        <f>IF(AND(B92&lt;&gt;"",B92&lt;&gt;C92),D92/(C92*0.4),"")</f>
        <v/>
      </c>
      <c r="I92" s="5" t="n"/>
      <c r="J92" s="5" t="n"/>
      <c r="K92" s="5" t="n"/>
      <c r="L92" s="5">
        <f>IF(D92="","",IF(D92&gt;0,"CDI avantageux","Intérim avantageux"))</f>
        <v/>
      </c>
      <c r="M92" s="5" t="n"/>
      <c r="N92" s="5" t="n"/>
    </row>
    <row r="93" ht="22" customHeight="1">
      <c r="A93" s="8" t="n"/>
      <c r="B93" s="8" t="n"/>
      <c r="C93" s="8" t="n"/>
      <c r="D93" s="25">
        <f>IF(B93&lt;&gt;"",C93-B93,"")</f>
        <v/>
      </c>
      <c r="E93" s="25">
        <f>IF(B93&lt;&gt;"",B93*12,"")</f>
        <v/>
      </c>
      <c r="F93" s="25">
        <f>IF(C93&lt;&gt;"",C93*12,"")</f>
        <v/>
      </c>
      <c r="G93" s="25">
        <f>IF(E93&lt;&gt;"",F93-E93,"")</f>
        <v/>
      </c>
      <c r="H93" s="27">
        <f>IF(AND(B93&lt;&gt;"",B93&lt;&gt;C93),D93/(C93*0.4),"")</f>
        <v/>
      </c>
      <c r="I93" s="8" t="n"/>
      <c r="J93" s="8" t="n"/>
      <c r="K93" s="8" t="n"/>
      <c r="L93" s="8">
        <f>IF(D93="","",IF(D93&gt;0,"CDI avantageux","Intérim avantageux"))</f>
        <v/>
      </c>
      <c r="M93" s="8" t="n"/>
      <c r="N93" s="8" t="n"/>
    </row>
    <row r="94" ht="22" customHeight="1">
      <c r="A94" s="5" t="n"/>
      <c r="B94" s="5" t="n"/>
      <c r="C94" s="5" t="n"/>
      <c r="D94" s="24">
        <f>IF(B94&lt;&gt;"",C94-B94,"")</f>
        <v/>
      </c>
      <c r="E94" s="24">
        <f>IF(B94&lt;&gt;"",B94*12,"")</f>
        <v/>
      </c>
      <c r="F94" s="24">
        <f>IF(C94&lt;&gt;"",C94*12,"")</f>
        <v/>
      </c>
      <c r="G94" s="24">
        <f>IF(E94&lt;&gt;"",F94-E94,"")</f>
        <v/>
      </c>
      <c r="H94" s="26">
        <f>IF(AND(B94&lt;&gt;"",B94&lt;&gt;C94),D94/(C94*0.4),"")</f>
        <v/>
      </c>
      <c r="I94" s="5" t="n"/>
      <c r="J94" s="5" t="n"/>
      <c r="K94" s="5" t="n"/>
      <c r="L94" s="5">
        <f>IF(D94="","",IF(D94&gt;0,"CDI avantageux","Intérim avantageux"))</f>
        <v/>
      </c>
      <c r="M94" s="5" t="n"/>
      <c r="N94" s="5" t="n"/>
    </row>
    <row r="95" ht="22" customHeight="1">
      <c r="A95" s="8" t="n"/>
      <c r="B95" s="8" t="n"/>
      <c r="C95" s="8" t="n"/>
      <c r="D95" s="25">
        <f>IF(B95&lt;&gt;"",C95-B95,"")</f>
        <v/>
      </c>
      <c r="E95" s="25">
        <f>IF(B95&lt;&gt;"",B95*12,"")</f>
        <v/>
      </c>
      <c r="F95" s="25">
        <f>IF(C95&lt;&gt;"",C95*12,"")</f>
        <v/>
      </c>
      <c r="G95" s="25">
        <f>IF(E95&lt;&gt;"",F95-E95,"")</f>
        <v/>
      </c>
      <c r="H95" s="27">
        <f>IF(AND(B95&lt;&gt;"",B95&lt;&gt;C95),D95/(C95*0.4),"")</f>
        <v/>
      </c>
      <c r="I95" s="8" t="n"/>
      <c r="J95" s="8" t="n"/>
      <c r="K95" s="8" t="n"/>
      <c r="L95" s="8">
        <f>IF(D95="","",IF(D95&gt;0,"CDI avantageux","Intérim avantageux"))</f>
        <v/>
      </c>
      <c r="M95" s="8" t="n"/>
      <c r="N95" s="8" t="n"/>
    </row>
    <row r="96" ht="22" customHeight="1">
      <c r="A96" s="5" t="n"/>
      <c r="B96" s="5" t="n"/>
      <c r="C96" s="5" t="n"/>
      <c r="D96" s="24">
        <f>IF(B96&lt;&gt;"",C96-B96,"")</f>
        <v/>
      </c>
      <c r="E96" s="24">
        <f>IF(B96&lt;&gt;"",B96*12,"")</f>
        <v/>
      </c>
      <c r="F96" s="24">
        <f>IF(C96&lt;&gt;"",C96*12,"")</f>
        <v/>
      </c>
      <c r="G96" s="24">
        <f>IF(E96&lt;&gt;"",F96-E96,"")</f>
        <v/>
      </c>
      <c r="H96" s="26">
        <f>IF(AND(B96&lt;&gt;"",B96&lt;&gt;C96),D96/(C96*0.4),"")</f>
        <v/>
      </c>
      <c r="I96" s="5" t="n"/>
      <c r="J96" s="5" t="n"/>
      <c r="K96" s="5" t="n"/>
      <c r="L96" s="5">
        <f>IF(D96="","",IF(D96&gt;0,"CDI avantageux","Intérim avantageux"))</f>
        <v/>
      </c>
      <c r="M96" s="5" t="n"/>
      <c r="N96" s="5" t="n"/>
    </row>
    <row r="97" ht="22" customHeight="1">
      <c r="A97" s="8" t="n"/>
      <c r="B97" s="8" t="n"/>
      <c r="C97" s="8" t="n"/>
      <c r="D97" s="25">
        <f>IF(B97&lt;&gt;"",C97-B97,"")</f>
        <v/>
      </c>
      <c r="E97" s="25">
        <f>IF(B97&lt;&gt;"",B97*12,"")</f>
        <v/>
      </c>
      <c r="F97" s="25">
        <f>IF(C97&lt;&gt;"",C97*12,"")</f>
        <v/>
      </c>
      <c r="G97" s="25">
        <f>IF(E97&lt;&gt;"",F97-E97,"")</f>
        <v/>
      </c>
      <c r="H97" s="27">
        <f>IF(AND(B97&lt;&gt;"",B97&lt;&gt;C97),D97/(C97*0.4),"")</f>
        <v/>
      </c>
      <c r="I97" s="8" t="n"/>
      <c r="J97" s="8" t="n"/>
      <c r="K97" s="8" t="n"/>
      <c r="L97" s="8">
        <f>IF(D97="","",IF(D97&gt;0,"CDI avantageux","Intérim avantageux"))</f>
        <v/>
      </c>
      <c r="M97" s="8" t="n"/>
      <c r="N97" s="8" t="n"/>
    </row>
    <row r="98" ht="22" customHeight="1">
      <c r="A98" s="5" t="n"/>
      <c r="B98" s="5" t="n"/>
      <c r="C98" s="5" t="n"/>
      <c r="D98" s="24">
        <f>IF(B98&lt;&gt;"",C98-B98,"")</f>
        <v/>
      </c>
      <c r="E98" s="24">
        <f>IF(B98&lt;&gt;"",B98*12,"")</f>
        <v/>
      </c>
      <c r="F98" s="24">
        <f>IF(C98&lt;&gt;"",C98*12,"")</f>
        <v/>
      </c>
      <c r="G98" s="24">
        <f>IF(E98&lt;&gt;"",F98-E98,"")</f>
        <v/>
      </c>
      <c r="H98" s="26">
        <f>IF(AND(B98&lt;&gt;"",B98&lt;&gt;C98),D98/(C98*0.4),"")</f>
        <v/>
      </c>
      <c r="I98" s="5" t="n"/>
      <c r="J98" s="5" t="n"/>
      <c r="K98" s="5" t="n"/>
      <c r="L98" s="5">
        <f>IF(D98="","",IF(D98&gt;0,"CDI avantageux","Intérim avantageux"))</f>
        <v/>
      </c>
      <c r="M98" s="5" t="n"/>
      <c r="N98" s="5" t="n"/>
    </row>
    <row r="99" ht="22" customHeight="1">
      <c r="A99" s="8" t="n"/>
      <c r="B99" s="8" t="n"/>
      <c r="C99" s="8" t="n"/>
      <c r="D99" s="25">
        <f>IF(B99&lt;&gt;"",C99-B99,"")</f>
        <v/>
      </c>
      <c r="E99" s="25">
        <f>IF(B99&lt;&gt;"",B99*12,"")</f>
        <v/>
      </c>
      <c r="F99" s="25">
        <f>IF(C99&lt;&gt;"",C99*12,"")</f>
        <v/>
      </c>
      <c r="G99" s="25">
        <f>IF(E99&lt;&gt;"",F99-E99,"")</f>
        <v/>
      </c>
      <c r="H99" s="27">
        <f>IF(AND(B99&lt;&gt;"",B99&lt;&gt;C99),D99/(C99*0.4),"")</f>
        <v/>
      </c>
      <c r="I99" s="8" t="n"/>
      <c r="J99" s="8" t="n"/>
      <c r="K99" s="8" t="n"/>
      <c r="L99" s="8">
        <f>IF(D99="","",IF(D99&gt;0,"CDI avantageux","Intérim avantageux"))</f>
        <v/>
      </c>
      <c r="M99" s="8" t="n"/>
      <c r="N99" s="8" t="n"/>
    </row>
    <row r="100" ht="22" customHeight="1">
      <c r="A100" s="5" t="n"/>
      <c r="B100" s="5" t="n"/>
      <c r="C100" s="5" t="n"/>
      <c r="D100" s="24">
        <f>IF(B100&lt;&gt;"",C100-B100,"")</f>
        <v/>
      </c>
      <c r="E100" s="24">
        <f>IF(B100&lt;&gt;"",B100*12,"")</f>
        <v/>
      </c>
      <c r="F100" s="24">
        <f>IF(C100&lt;&gt;"",C100*12,"")</f>
        <v/>
      </c>
      <c r="G100" s="24">
        <f>IF(E100&lt;&gt;"",F100-E100,"")</f>
        <v/>
      </c>
      <c r="H100" s="26">
        <f>IF(AND(B100&lt;&gt;"",B100&lt;&gt;C100),D100/(C100*0.4),"")</f>
        <v/>
      </c>
      <c r="I100" s="5" t="n"/>
      <c r="J100" s="5" t="n"/>
      <c r="K100" s="5" t="n"/>
      <c r="L100" s="5">
        <f>IF(D100="","",IF(D100&gt;0,"CDI avantageux","Intérim avantageux"))</f>
        <v/>
      </c>
      <c r="M100" s="5" t="n"/>
      <c r="N100" s="5" t="n"/>
    </row>
    <row r="101" ht="22" customHeight="1">
      <c r="A101" s="8" t="n"/>
      <c r="B101" s="8" t="n"/>
      <c r="C101" s="8" t="n"/>
      <c r="D101" s="25">
        <f>IF(B101&lt;&gt;"",C101-B101,"")</f>
        <v/>
      </c>
      <c r="E101" s="25">
        <f>IF(B101&lt;&gt;"",B101*12,"")</f>
        <v/>
      </c>
      <c r="F101" s="25">
        <f>IF(C101&lt;&gt;"",C101*12,"")</f>
        <v/>
      </c>
      <c r="G101" s="25">
        <f>IF(E101&lt;&gt;"",F101-E101,"")</f>
        <v/>
      </c>
      <c r="H101" s="27">
        <f>IF(AND(B101&lt;&gt;"",B101&lt;&gt;C101),D101/(C101*0.4),"")</f>
        <v/>
      </c>
      <c r="I101" s="8" t="n"/>
      <c r="J101" s="8" t="n"/>
      <c r="K101" s="8" t="n"/>
      <c r="L101" s="8">
        <f>IF(D101="","",IF(D101&gt;0,"CDI avantageux","Intérim avantageux"))</f>
        <v/>
      </c>
      <c r="M101" s="8" t="n"/>
      <c r="N101" s="8" t="n"/>
    </row>
    <row r="102" ht="22" customHeight="1">
      <c r="A102" s="5" t="n"/>
      <c r="B102" s="5" t="n"/>
      <c r="C102" s="5" t="n"/>
      <c r="D102" s="24">
        <f>IF(B102&lt;&gt;"",C102-B102,"")</f>
        <v/>
      </c>
      <c r="E102" s="24">
        <f>IF(B102&lt;&gt;"",B102*12,"")</f>
        <v/>
      </c>
      <c r="F102" s="24">
        <f>IF(C102&lt;&gt;"",C102*12,"")</f>
        <v/>
      </c>
      <c r="G102" s="24">
        <f>IF(E102&lt;&gt;"",F102-E102,"")</f>
        <v/>
      </c>
      <c r="H102" s="26">
        <f>IF(AND(B102&lt;&gt;"",B102&lt;&gt;C102),D102/(C102*0.4),"")</f>
        <v/>
      </c>
      <c r="I102" s="5" t="n"/>
      <c r="J102" s="5" t="n"/>
      <c r="K102" s="5" t="n"/>
      <c r="L102" s="5">
        <f>IF(D102="","",IF(D102&gt;0,"CDI avantageux","Intérim avantageux"))</f>
        <v/>
      </c>
      <c r="M102" s="5" t="n"/>
      <c r="N102" s="5" t="n"/>
    </row>
    <row r="103" ht="22" customHeight="1">
      <c r="A103" s="8" t="n"/>
      <c r="B103" s="8" t="n"/>
      <c r="C103" s="8" t="n"/>
      <c r="D103" s="25">
        <f>IF(B103&lt;&gt;"",C103-B103,"")</f>
        <v/>
      </c>
      <c r="E103" s="25">
        <f>IF(B103&lt;&gt;"",B103*12,"")</f>
        <v/>
      </c>
      <c r="F103" s="25">
        <f>IF(C103&lt;&gt;"",C103*12,"")</f>
        <v/>
      </c>
      <c r="G103" s="25">
        <f>IF(E103&lt;&gt;"",F103-E103,"")</f>
        <v/>
      </c>
      <c r="H103" s="27">
        <f>IF(AND(B103&lt;&gt;"",B103&lt;&gt;C103),D103/(C103*0.4),"")</f>
        <v/>
      </c>
      <c r="I103" s="8" t="n"/>
      <c r="J103" s="8" t="n"/>
      <c r="K103" s="8" t="n"/>
      <c r="L103" s="8">
        <f>IF(D103="","",IF(D103&gt;0,"CDI avantageux","Intérim avantageux"))</f>
        <v/>
      </c>
      <c r="M103" s="8" t="n"/>
      <c r="N103" s="8" t="n"/>
    </row>
    <row r="104" ht="22" customHeight="1">
      <c r="A104" s="5" t="n"/>
      <c r="B104" s="5" t="n"/>
      <c r="C104" s="5" t="n"/>
      <c r="D104" s="24">
        <f>IF(B104&lt;&gt;"",C104-B104,"")</f>
        <v/>
      </c>
      <c r="E104" s="24">
        <f>IF(B104&lt;&gt;"",B104*12,"")</f>
        <v/>
      </c>
      <c r="F104" s="24">
        <f>IF(C104&lt;&gt;"",C104*12,"")</f>
        <v/>
      </c>
      <c r="G104" s="24">
        <f>IF(E104&lt;&gt;"",F104-E104,"")</f>
        <v/>
      </c>
      <c r="H104" s="26">
        <f>IF(AND(B104&lt;&gt;"",B104&lt;&gt;C104),D104/(C104*0.4),"")</f>
        <v/>
      </c>
      <c r="I104" s="5" t="n"/>
      <c r="J104" s="5" t="n"/>
      <c r="K104" s="5" t="n"/>
      <c r="L104" s="5">
        <f>IF(D104="","",IF(D104&gt;0,"CDI avantageux","Intérim avantageux"))</f>
        <v/>
      </c>
      <c r="M104" s="5" t="n"/>
      <c r="N104" s="5" t="n"/>
    </row>
    <row r="105" ht="22" customHeight="1">
      <c r="A105" s="8" t="n"/>
      <c r="B105" s="8" t="n"/>
      <c r="C105" s="8" t="n"/>
      <c r="D105" s="25">
        <f>IF(B105&lt;&gt;"",C105-B105,"")</f>
        <v/>
      </c>
      <c r="E105" s="25">
        <f>IF(B105&lt;&gt;"",B105*12,"")</f>
        <v/>
      </c>
      <c r="F105" s="25">
        <f>IF(C105&lt;&gt;"",C105*12,"")</f>
        <v/>
      </c>
      <c r="G105" s="25">
        <f>IF(E105&lt;&gt;"",F105-E105,"")</f>
        <v/>
      </c>
      <c r="H105" s="27">
        <f>IF(AND(B105&lt;&gt;"",B105&lt;&gt;C105),D105/(C105*0.4),"")</f>
        <v/>
      </c>
      <c r="I105" s="8" t="n"/>
      <c r="J105" s="8" t="n"/>
      <c r="K105" s="8" t="n"/>
      <c r="L105" s="8">
        <f>IF(D105="","",IF(D105&gt;0,"CDI avantageux","Intérim avantageux"))</f>
        <v/>
      </c>
      <c r="M105" s="8" t="n"/>
      <c r="N105" s="8" t="n"/>
    </row>
    <row r="106" ht="22" customHeight="1">
      <c r="A106" s="5" t="n"/>
      <c r="B106" s="5" t="n"/>
      <c r="C106" s="5" t="n"/>
      <c r="D106" s="24">
        <f>IF(B106&lt;&gt;"",C106-B106,"")</f>
        <v/>
      </c>
      <c r="E106" s="24">
        <f>IF(B106&lt;&gt;"",B106*12,"")</f>
        <v/>
      </c>
      <c r="F106" s="24">
        <f>IF(C106&lt;&gt;"",C106*12,"")</f>
        <v/>
      </c>
      <c r="G106" s="24">
        <f>IF(E106&lt;&gt;"",F106-E106,"")</f>
        <v/>
      </c>
      <c r="H106" s="26">
        <f>IF(AND(B106&lt;&gt;"",B106&lt;&gt;C106),D106/(C106*0.4),"")</f>
        <v/>
      </c>
      <c r="I106" s="5" t="n"/>
      <c r="J106" s="5" t="n"/>
      <c r="K106" s="5" t="n"/>
      <c r="L106" s="5">
        <f>IF(D106="","",IF(D106&gt;0,"CDI avantageux","Intérim avantageux"))</f>
        <v/>
      </c>
      <c r="M106" s="5" t="n"/>
      <c r="N106" s="5" t="n"/>
    </row>
    <row r="107" ht="22" customHeight="1">
      <c r="A107" s="8" t="n"/>
      <c r="B107" s="8" t="n"/>
      <c r="C107" s="8" t="n"/>
      <c r="D107" s="25">
        <f>IF(B107&lt;&gt;"",C107-B107,"")</f>
        <v/>
      </c>
      <c r="E107" s="25">
        <f>IF(B107&lt;&gt;"",B107*12,"")</f>
        <v/>
      </c>
      <c r="F107" s="25">
        <f>IF(C107&lt;&gt;"",C107*12,"")</f>
        <v/>
      </c>
      <c r="G107" s="25">
        <f>IF(E107&lt;&gt;"",F107-E107,"")</f>
        <v/>
      </c>
      <c r="H107" s="27">
        <f>IF(AND(B107&lt;&gt;"",B107&lt;&gt;C107),D107/(C107*0.4),"")</f>
        <v/>
      </c>
      <c r="I107" s="8" t="n"/>
      <c r="J107" s="8" t="n"/>
      <c r="K107" s="8" t="n"/>
      <c r="L107" s="8">
        <f>IF(D107="","",IF(D107&gt;0,"CDI avantageux","Intérim avantageux"))</f>
        <v/>
      </c>
      <c r="M107" s="8" t="n"/>
      <c r="N107" s="8" t="n"/>
    </row>
    <row r="108" ht="22" customHeight="1">
      <c r="A108" s="5" t="n"/>
      <c r="B108" s="5" t="n"/>
      <c r="C108" s="5" t="n"/>
      <c r="D108" s="24">
        <f>IF(B108&lt;&gt;"",C108-B108,"")</f>
        <v/>
      </c>
      <c r="E108" s="24">
        <f>IF(B108&lt;&gt;"",B108*12,"")</f>
        <v/>
      </c>
      <c r="F108" s="24">
        <f>IF(C108&lt;&gt;"",C108*12,"")</f>
        <v/>
      </c>
      <c r="G108" s="24">
        <f>IF(E108&lt;&gt;"",F108-E108,"")</f>
        <v/>
      </c>
      <c r="H108" s="26">
        <f>IF(AND(B108&lt;&gt;"",B108&lt;&gt;C108),D108/(C108*0.4),"")</f>
        <v/>
      </c>
      <c r="I108" s="5" t="n"/>
      <c r="J108" s="5" t="n"/>
      <c r="K108" s="5" t="n"/>
      <c r="L108" s="5">
        <f>IF(D108="","",IF(D108&gt;0,"CDI avantageux","Intérim avantageux"))</f>
        <v/>
      </c>
      <c r="M108" s="5" t="n"/>
      <c r="N108" s="5" t="n"/>
    </row>
    <row r="109" ht="22" customHeight="1">
      <c r="A109" s="8" t="n"/>
      <c r="B109" s="8" t="n"/>
      <c r="C109" s="8" t="n"/>
      <c r="D109" s="25">
        <f>IF(B109&lt;&gt;"",C109-B109,"")</f>
        <v/>
      </c>
      <c r="E109" s="25">
        <f>IF(B109&lt;&gt;"",B109*12,"")</f>
        <v/>
      </c>
      <c r="F109" s="25">
        <f>IF(C109&lt;&gt;"",C109*12,"")</f>
        <v/>
      </c>
      <c r="G109" s="25">
        <f>IF(E109&lt;&gt;"",F109-E109,"")</f>
        <v/>
      </c>
      <c r="H109" s="27">
        <f>IF(AND(B109&lt;&gt;"",B109&lt;&gt;C109),D109/(C109*0.4),"")</f>
        <v/>
      </c>
      <c r="I109" s="8" t="n"/>
      <c r="J109" s="8" t="n"/>
      <c r="K109" s="8" t="n"/>
      <c r="L109" s="8">
        <f>IF(D109="","",IF(D109&gt;0,"CDI avantageux","Intérim avantageux"))</f>
        <v/>
      </c>
      <c r="M109" s="8" t="n"/>
      <c r="N109" s="8" t="n"/>
    </row>
    <row r="110" ht="22" customHeight="1">
      <c r="A110" s="5" t="n"/>
      <c r="B110" s="5" t="n"/>
      <c r="C110" s="5" t="n"/>
      <c r="D110" s="24">
        <f>IF(B110&lt;&gt;"",C110-B110,"")</f>
        <v/>
      </c>
      <c r="E110" s="24">
        <f>IF(B110&lt;&gt;"",B110*12,"")</f>
        <v/>
      </c>
      <c r="F110" s="24">
        <f>IF(C110&lt;&gt;"",C110*12,"")</f>
        <v/>
      </c>
      <c r="G110" s="24">
        <f>IF(E110&lt;&gt;"",F110-E110,"")</f>
        <v/>
      </c>
      <c r="H110" s="26">
        <f>IF(AND(B110&lt;&gt;"",B110&lt;&gt;C110),D110/(C110*0.4),"")</f>
        <v/>
      </c>
      <c r="I110" s="5" t="n"/>
      <c r="J110" s="5" t="n"/>
      <c r="K110" s="5" t="n"/>
      <c r="L110" s="5">
        <f>IF(D110="","",IF(D110&gt;0,"CDI avantageux","Intérim avantageux"))</f>
        <v/>
      </c>
      <c r="M110" s="5" t="n"/>
      <c r="N110" s="5" t="n"/>
    </row>
    <row r="111" ht="22" customHeight="1">
      <c r="A111" s="8" t="n"/>
      <c r="B111" s="8" t="n"/>
      <c r="C111" s="8" t="n"/>
      <c r="D111" s="25">
        <f>IF(B111&lt;&gt;"",C111-B111,"")</f>
        <v/>
      </c>
      <c r="E111" s="25">
        <f>IF(B111&lt;&gt;"",B111*12,"")</f>
        <v/>
      </c>
      <c r="F111" s="25">
        <f>IF(C111&lt;&gt;"",C111*12,"")</f>
        <v/>
      </c>
      <c r="G111" s="25">
        <f>IF(E111&lt;&gt;"",F111-E111,"")</f>
        <v/>
      </c>
      <c r="H111" s="27">
        <f>IF(AND(B111&lt;&gt;"",B111&lt;&gt;C111),D111/(C111*0.4),"")</f>
        <v/>
      </c>
      <c r="I111" s="8" t="n"/>
      <c r="J111" s="8" t="n"/>
      <c r="K111" s="8" t="n"/>
      <c r="L111" s="8">
        <f>IF(D111="","",IF(D111&gt;0,"CDI avantageux","Intérim avantageux"))</f>
        <v/>
      </c>
      <c r="M111" s="8" t="n"/>
      <c r="N111" s="8" t="n"/>
    </row>
    <row r="112" ht="22" customHeight="1">
      <c r="A112" s="5" t="n"/>
      <c r="B112" s="5" t="n"/>
      <c r="C112" s="5" t="n"/>
      <c r="D112" s="24">
        <f>IF(B112&lt;&gt;"",C112-B112,"")</f>
        <v/>
      </c>
      <c r="E112" s="24">
        <f>IF(B112&lt;&gt;"",B112*12,"")</f>
        <v/>
      </c>
      <c r="F112" s="24">
        <f>IF(C112&lt;&gt;"",C112*12,"")</f>
        <v/>
      </c>
      <c r="G112" s="24">
        <f>IF(E112&lt;&gt;"",F112-E112,"")</f>
        <v/>
      </c>
      <c r="H112" s="26">
        <f>IF(AND(B112&lt;&gt;"",B112&lt;&gt;C112),D112/(C112*0.4),"")</f>
        <v/>
      </c>
      <c r="I112" s="5" t="n"/>
      <c r="J112" s="5" t="n"/>
      <c r="K112" s="5" t="n"/>
      <c r="L112" s="5">
        <f>IF(D112="","",IF(D112&gt;0,"CDI avantageux","Intérim avantageux"))</f>
        <v/>
      </c>
      <c r="M112" s="5" t="n"/>
      <c r="N112" s="5" t="n"/>
    </row>
    <row r="113" ht="22" customHeight="1">
      <c r="A113" s="8" t="n"/>
      <c r="B113" s="8" t="n"/>
      <c r="C113" s="8" t="n"/>
      <c r="D113" s="25">
        <f>IF(B113&lt;&gt;"",C113-B113,"")</f>
        <v/>
      </c>
      <c r="E113" s="25">
        <f>IF(B113&lt;&gt;"",B113*12,"")</f>
        <v/>
      </c>
      <c r="F113" s="25">
        <f>IF(C113&lt;&gt;"",C113*12,"")</f>
        <v/>
      </c>
      <c r="G113" s="25">
        <f>IF(E113&lt;&gt;"",F113-E113,"")</f>
        <v/>
      </c>
      <c r="H113" s="27">
        <f>IF(AND(B113&lt;&gt;"",B113&lt;&gt;C113),D113/(C113*0.4),"")</f>
        <v/>
      </c>
      <c r="I113" s="8" t="n"/>
      <c r="J113" s="8" t="n"/>
      <c r="K113" s="8" t="n"/>
      <c r="L113" s="8">
        <f>IF(D113="","",IF(D113&gt;0,"CDI avantageux","Intérim avantageux"))</f>
        <v/>
      </c>
      <c r="M113" s="8" t="n"/>
      <c r="N113" s="8" t="n"/>
    </row>
    <row r="114" ht="22" customHeight="1">
      <c r="A114" s="5" t="n"/>
      <c r="B114" s="5" t="n"/>
      <c r="C114" s="5" t="n"/>
      <c r="D114" s="24">
        <f>IF(B114&lt;&gt;"",C114-B114,"")</f>
        <v/>
      </c>
      <c r="E114" s="24">
        <f>IF(B114&lt;&gt;"",B114*12,"")</f>
        <v/>
      </c>
      <c r="F114" s="24">
        <f>IF(C114&lt;&gt;"",C114*12,"")</f>
        <v/>
      </c>
      <c r="G114" s="24">
        <f>IF(E114&lt;&gt;"",F114-E114,"")</f>
        <v/>
      </c>
      <c r="H114" s="26">
        <f>IF(AND(B114&lt;&gt;"",B114&lt;&gt;C114),D114/(C114*0.4),"")</f>
        <v/>
      </c>
      <c r="I114" s="5" t="n"/>
      <c r="J114" s="5" t="n"/>
      <c r="K114" s="5" t="n"/>
      <c r="L114" s="5">
        <f>IF(D114="","",IF(D114&gt;0,"CDI avantageux","Intérim avantageux"))</f>
        <v/>
      </c>
      <c r="M114" s="5" t="n"/>
      <c r="N114" s="5" t="n"/>
    </row>
    <row r="115" ht="22" customHeight="1">
      <c r="A115" s="8" t="n"/>
      <c r="B115" s="8" t="n"/>
      <c r="C115" s="8" t="n"/>
      <c r="D115" s="25">
        <f>IF(B115&lt;&gt;"",C115-B115,"")</f>
        <v/>
      </c>
      <c r="E115" s="25">
        <f>IF(B115&lt;&gt;"",B115*12,"")</f>
        <v/>
      </c>
      <c r="F115" s="25">
        <f>IF(C115&lt;&gt;"",C115*12,"")</f>
        <v/>
      </c>
      <c r="G115" s="25">
        <f>IF(E115&lt;&gt;"",F115-E115,"")</f>
        <v/>
      </c>
      <c r="H115" s="27">
        <f>IF(AND(B115&lt;&gt;"",B115&lt;&gt;C115),D115/(C115*0.4),"")</f>
        <v/>
      </c>
      <c r="I115" s="8" t="n"/>
      <c r="J115" s="8" t="n"/>
      <c r="K115" s="8" t="n"/>
      <c r="L115" s="8">
        <f>IF(D115="","",IF(D115&gt;0,"CDI avantageux","Intérim avantageux"))</f>
        <v/>
      </c>
      <c r="M115" s="8" t="n"/>
      <c r="N115" s="8" t="n"/>
    </row>
  </sheetData>
  <mergeCells count="2">
    <mergeCell ref="A3:N3"/>
    <mergeCell ref="A2:N2"/>
  </mergeCells>
  <dataValidations count="3">
    <dataValidation sqref="A6:A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_Lists'!$T$6:$T$9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2" customWidth="1" min="4" max="4"/>
    <col width="36" customWidth="1" min="5" max="5"/>
    <col width="16" customWidth="1" min="6" max="6"/>
    <col width="14" customWidth="1" min="7" max="7"/>
    <col width="20" customWidth="1" min="8" max="8"/>
    <col width="32" customWidth="1" min="9" max="9"/>
    <col width="24" customWidth="1" min="10" max="10"/>
    <col width="16" customWidth="1" min="11" max="11"/>
    <col width="20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12-SUIVI DES LITIGES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N° Litige</t>
        </is>
      </c>
      <c r="B5" s="4" t="inlineStr">
        <is>
          <t>Type</t>
        </is>
      </c>
      <c r="C5" s="4" t="inlineStr">
        <is>
          <t>Agence Concernée</t>
        </is>
      </c>
      <c r="D5" s="4" t="inlineStr">
        <is>
          <t>Intérimaire</t>
        </is>
      </c>
      <c r="E5" s="4" t="inlineStr">
        <is>
          <t>Description</t>
        </is>
      </c>
      <c r="F5" s="4" t="inlineStr">
        <is>
          <t>Date Signalement</t>
        </is>
      </c>
      <c r="G5" s="4" t="inlineStr">
        <is>
          <t>Priorité</t>
        </is>
      </c>
      <c r="H5" s="4" t="inlineStr">
        <is>
          <t>Responsable Suivi</t>
        </is>
      </c>
      <c r="I5" s="4" t="inlineStr">
        <is>
          <t>Actions Envisagées</t>
        </is>
      </c>
      <c r="J5" s="4" t="inlineStr">
        <is>
          <t>Statut</t>
        </is>
      </c>
      <c r="K5" s="4" t="inlineStr">
        <is>
          <t>Date Résolution</t>
        </is>
      </c>
      <c r="L5" s="4" t="inlineStr">
        <is>
          <t>Coût Litige (FCFA)</t>
        </is>
      </c>
      <c r="M5" s="4" t="inlineStr">
        <is>
          <t>Observations</t>
        </is>
      </c>
      <c r="N5" s="4" t="inlineStr">
        <is>
          <t>Date MAJ</t>
        </is>
      </c>
    </row>
    <row r="6" ht="22" customHeight="1">
      <c r="A6" s="5" t="inlineStr">
        <is>
          <t>LIT-001</t>
        </is>
      </c>
      <c r="B6" s="5" t="inlineStr">
        <is>
          <t>Retard paiement</t>
        </is>
      </c>
      <c r="C6" s="5" t="inlineStr">
        <is>
          <t>ACTIV-INTERIM</t>
        </is>
      </c>
      <c r="D6" s="5" t="inlineStr">
        <is>
          <t>Bamba Seydou</t>
        </is>
      </c>
      <c r="E6" s="5" t="inlineStr">
        <is>
          <t>Retard de paiement de 15 jours sur facture janvier</t>
        </is>
      </c>
      <c r="F6" s="6" t="n">
        <v>45698</v>
      </c>
      <c r="G6" s="5" t="inlineStr">
        <is>
          <t>Haute</t>
        </is>
      </c>
      <c r="H6" s="5" t="inlineStr">
        <is>
          <t>DAF</t>
        </is>
      </c>
      <c r="I6" s="5" t="inlineStr">
        <is>
          <t>Relance agence, mise en demeure</t>
        </is>
      </c>
      <c r="J6" s="5" t="inlineStr">
        <is>
          <t>En cours d'instruction</t>
        </is>
      </c>
      <c r="K6" s="5" t="n"/>
      <c r="L6" s="7" t="n">
        <v>0</v>
      </c>
      <c r="M6" s="5" t="inlineStr">
        <is>
          <t>Facture N° FAC-2025-0089</t>
        </is>
      </c>
      <c r="N6" s="6" t="n">
        <v>45698</v>
      </c>
    </row>
    <row r="7" ht="22" customHeight="1">
      <c r="A7" s="8" t="inlineStr">
        <is>
          <t>LIT-002</t>
        </is>
      </c>
      <c r="B7" s="8" t="inlineStr">
        <is>
          <t>Qualité insuffisante</t>
        </is>
      </c>
      <c r="C7" s="8" t="inlineStr">
        <is>
          <t>ADIA INTERNATIONAL</t>
        </is>
      </c>
      <c r="D7" s="8" t="inlineStr">
        <is>
          <t>Coulibaly Adama</t>
        </is>
      </c>
      <c r="E7" s="8" t="inlineStr">
        <is>
          <t>Qualité du travail ne répondant pas aux standards hôtel</t>
        </is>
      </c>
      <c r="F7" s="9" t="n">
        <v>45641</v>
      </c>
      <c r="G7" s="8" t="inlineStr">
        <is>
          <t>Moyenne</t>
        </is>
      </c>
      <c r="H7" s="8" t="inlineStr">
        <is>
          <t>Chef Réception</t>
        </is>
      </c>
      <c r="I7" s="8" t="inlineStr">
        <is>
          <t>Retour agence, remplacement demandé</t>
        </is>
      </c>
      <c r="J7" s="8" t="inlineStr">
        <is>
          <t>Résolu</t>
        </is>
      </c>
      <c r="K7" s="9" t="n">
        <v>45662</v>
      </c>
      <c r="L7" s="10" t="n">
        <v>50000</v>
      </c>
      <c r="M7" s="8" t="inlineStr">
        <is>
          <t>Remplacement effectif</t>
        </is>
      </c>
      <c r="N7" s="9" t="n">
        <v>45662</v>
      </c>
    </row>
    <row r="8" ht="22" customHeight="1">
      <c r="A8" s="5" t="inlineStr">
        <is>
          <t>LIT-003</t>
        </is>
      </c>
      <c r="B8" s="5" t="inlineStr">
        <is>
          <t>Absence injustifiée</t>
        </is>
      </c>
      <c r="C8" s="5" t="inlineStr">
        <is>
          <t>INTERIM PRO CI</t>
        </is>
      </c>
      <c r="D8" s="5" t="inlineStr">
        <is>
          <t>Ouattara Drissa</t>
        </is>
      </c>
      <c r="E8" s="5" t="inlineStr">
        <is>
          <t>Absent 2 jours consécutifs sans justification</t>
        </is>
      </c>
      <c r="F8" s="6" t="n">
        <v>45677</v>
      </c>
      <c r="G8" s="5" t="inlineStr">
        <is>
          <t>Haute</t>
        </is>
      </c>
      <c r="H8" s="5" t="inlineStr">
        <is>
          <t>DRH</t>
        </is>
      </c>
      <c r="I8" s="5" t="inlineStr">
        <is>
          <t>Signalement agence, pénalité prévue au contrat</t>
        </is>
      </c>
      <c r="J8" s="5" t="inlineStr">
        <is>
          <t>En attente réponse agence</t>
        </is>
      </c>
      <c r="K8" s="5" t="n"/>
      <c r="L8" s="7" t="n">
        <v>80000</v>
      </c>
      <c r="M8" s="5" t="inlineStr">
        <is>
          <t>Clause de pénalité activée</t>
        </is>
      </c>
      <c r="N8" s="6" t="n">
        <v>45679</v>
      </c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4">
    <dataValidation sqref="B6:B115" showDropDown="0" showInputMessage="0" showErrorMessage="0" allowBlank="1" errorTitle="Erreur" error="Valeur invalide" promptTitle="" prompt="Choisir dans la liste: " type="list">
      <formula1>'F02 - _Lists'!$U$6:$U$10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_Lists'!$N$6:$N$9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_Lists'!$Q$6:$Q$8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_Lists'!$I$6:$I$11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8" customWidth="1" min="5" max="5"/>
    <col width="16" customWidth="1" min="6" max="6"/>
    <col width="22" customWidth="1" min="7" max="7"/>
    <col width="16" customWidth="1" min="8" max="8"/>
    <col width="20" customWidth="1" min="9" max="9"/>
    <col width="32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13-PLANNING DES BESOINS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Semaine</t>
        </is>
      </c>
      <c r="B5" s="4" t="inlineStr">
        <is>
          <t>Département</t>
        </is>
      </c>
      <c r="C5" s="4" t="inlineStr">
        <is>
          <t>Poste</t>
        </is>
      </c>
      <c r="D5" s="4" t="inlineStr">
        <is>
          <t>Effectif Requis</t>
        </is>
      </c>
      <c r="E5" s="4" t="inlineStr">
        <is>
          <t>Effectif Disponible</t>
        </is>
      </c>
      <c r="F5" s="4" t="inlineStr">
        <is>
          <t>Besoin Intérim</t>
        </is>
      </c>
      <c r="G5" s="4" t="inlineStr">
        <is>
          <t>Intérimaire Planifié</t>
        </is>
      </c>
      <c r="H5" s="4" t="inlineStr">
        <is>
          <t>Statut</t>
        </is>
      </c>
      <c r="I5" s="4" t="inlineStr">
        <is>
          <t>Coût Prévu (FCFA)</t>
        </is>
      </c>
      <c r="J5" s="4" t="inlineStr">
        <is>
          <t>Commentaire</t>
        </is>
      </c>
      <c r="K5" s="4" t="inlineStr">
        <is>
          <t>Validation</t>
        </is>
      </c>
      <c r="L5" s="4" t="inlineStr">
        <is>
          <t>Date MAJ</t>
        </is>
      </c>
      <c r="M5" s="4" t="inlineStr"/>
      <c r="N5" s="4" t="inlineStr"/>
    </row>
    <row r="6" ht="22" customHeight="1">
      <c r="A6" s="5" t="inlineStr">
        <is>
          <t>S07 2025</t>
        </is>
      </c>
      <c r="B6" s="5" t="inlineStr">
        <is>
          <t>Cuisine &amp; Restauration</t>
        </is>
      </c>
      <c r="C6" s="5" t="inlineStr">
        <is>
          <t>Serveur</t>
        </is>
      </c>
      <c r="D6" s="7" t="n">
        <v>6</v>
      </c>
      <c r="E6" s="7" t="n">
        <v>4</v>
      </c>
      <c r="F6" s="7">
        <f>IF(D6&lt;&gt;"",MAX(D6-E6,0),"")</f>
        <v/>
      </c>
      <c r="G6" s="5" t="inlineStr">
        <is>
          <t>Koffi Marie</t>
        </is>
      </c>
      <c r="H6" s="5" t="inlineStr">
        <is>
          <t>Pourvu</t>
        </is>
      </c>
      <c r="I6" s="7" t="n">
        <v>128000</v>
      </c>
      <c r="J6" s="5" t="inlineStr">
        <is>
          <t>Couverture semaine de Pâques</t>
        </is>
      </c>
      <c r="K6" s="5" t="inlineStr">
        <is>
          <t>Validé</t>
        </is>
      </c>
      <c r="L6" s="6" t="n">
        <v>45705</v>
      </c>
      <c r="M6" s="5" t="inlineStr"/>
      <c r="N6" s="5" t="inlineStr"/>
    </row>
    <row r="7" ht="22" customHeight="1">
      <c r="A7" s="8" t="inlineStr">
        <is>
          <t>S07 2025</t>
        </is>
      </c>
      <c r="B7" s="8" t="inlineStr">
        <is>
          <t>Hébergement</t>
        </is>
      </c>
      <c r="C7" s="8" t="inlineStr">
        <is>
          <t>Femme de chambre</t>
        </is>
      </c>
      <c r="D7" s="10" t="n">
        <v>8</v>
      </c>
      <c r="E7" s="10" t="n">
        <v>7</v>
      </c>
      <c r="F7" s="10">
        <f>IF(D7&lt;&gt;"",MAX(D7-E7,0),"")</f>
        <v/>
      </c>
      <c r="G7" s="8" t="inlineStr">
        <is>
          <t>Diallo Aminata</t>
        </is>
      </c>
      <c r="H7" s="8" t="inlineStr">
        <is>
          <t>Pourvu</t>
        </is>
      </c>
      <c r="I7" s="10" t="n">
        <v>60000</v>
      </c>
      <c r="J7" s="8" t="inlineStr">
        <is>
          <t>Maintien effectif</t>
        </is>
      </c>
      <c r="K7" s="8" t="inlineStr">
        <is>
          <t>Validé</t>
        </is>
      </c>
      <c r="L7" s="9" t="n">
        <v>45705</v>
      </c>
      <c r="M7" s="8" t="inlineStr"/>
      <c r="N7" s="8" t="inlineStr"/>
    </row>
    <row r="8" ht="22" customHeight="1">
      <c r="A8" s="5" t="inlineStr">
        <is>
          <t>S08 2025</t>
        </is>
      </c>
      <c r="B8" s="5" t="inlineStr">
        <is>
          <t>Cuisine &amp; Restauration</t>
        </is>
      </c>
      <c r="C8" s="5" t="inlineStr">
        <is>
          <t>Plongeur</t>
        </is>
      </c>
      <c r="D8" s="7" t="n">
        <v>3</v>
      </c>
      <c r="E8" s="7" t="n">
        <v>2</v>
      </c>
      <c r="F8" s="7">
        <f>IF(D8&lt;&gt;"",MAX(D8-E8,0),"")</f>
        <v/>
      </c>
      <c r="G8" s="5" t="inlineStr"/>
      <c r="H8" s="5" t="inlineStr">
        <is>
          <t>Non pourvu</t>
        </is>
      </c>
      <c r="I8" s="7" t="n">
        <v>48000</v>
      </c>
      <c r="J8" s="5" t="inlineStr">
        <is>
          <t>Recherche en cours</t>
        </is>
      </c>
      <c r="K8" s="5" t="inlineStr">
        <is>
          <t>En attente</t>
        </is>
      </c>
      <c r="L8" s="6" t="n">
        <v>45712</v>
      </c>
      <c r="M8" s="5" t="inlineStr"/>
      <c r="N8" s="5" t="inlineStr"/>
    </row>
    <row r="9" ht="22" customHeight="1">
      <c r="A9" s="8" t="inlineStr">
        <is>
          <t>S08 2025</t>
        </is>
      </c>
      <c r="B9" s="8" t="inlineStr">
        <is>
          <t>Entretien &amp; Maintenance</t>
        </is>
      </c>
      <c r="C9" s="8" t="inlineStr">
        <is>
          <t>Agent Entretien</t>
        </is>
      </c>
      <c r="D9" s="10" t="n">
        <v>4</v>
      </c>
      <c r="E9" s="10" t="n">
        <v>3</v>
      </c>
      <c r="F9" s="10">
        <f>IF(D9&lt;&gt;"",MAX(D9-E9,0),"")</f>
        <v/>
      </c>
      <c r="G9" s="8" t="inlineStr">
        <is>
          <t>Koné Moussa</t>
        </is>
      </c>
      <c r="H9" s="8" t="inlineStr">
        <is>
          <t>Planifié</t>
        </is>
      </c>
      <c r="I9" s="10" t="n">
        <v>70400</v>
      </c>
      <c r="J9" s="8" t="inlineStr">
        <is>
          <t>Début mission rénovation piscine</t>
        </is>
      </c>
      <c r="K9" s="8" t="inlineStr">
        <is>
          <t>Validé</t>
        </is>
      </c>
      <c r="L9" s="9" t="n">
        <v>45712</v>
      </c>
      <c r="M9" s="8" t="inlineStr"/>
      <c r="N9" s="8" t="inlineStr"/>
    </row>
    <row r="10" ht="22" customHeight="1">
      <c r="A10" s="5" t="n"/>
      <c r="B10" s="5" t="n"/>
      <c r="C10" s="5" t="n"/>
      <c r="D10" s="5" t="n"/>
      <c r="E10" s="5" t="n"/>
      <c r="F10" s="24">
        <f>IF(D10&lt;&gt;"",MAX(D10-E10,0),"")</f>
        <v/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25">
        <f>IF(D11&lt;&gt;"",MAX(D11-E11,0),"")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24">
        <f>IF(D12&lt;&gt;"",MAX(D12-E12,0),"")</f>
        <v/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25">
        <f>IF(D13&lt;&gt;"",MAX(D13-E13,0),"")</f>
        <v/>
      </c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24">
        <f>IF(D14&lt;&gt;"",MAX(D14-E14,0),"")</f>
        <v/>
      </c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25">
        <f>IF(D15&lt;&gt;"",MAX(D15-E15,0),"")</f>
        <v/>
      </c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24">
        <f>IF(D16&lt;&gt;"",MAX(D16-E16,0),"")</f>
        <v/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25">
        <f>IF(D17&lt;&gt;"",MAX(D17-E17,0),"")</f>
        <v/>
      </c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24">
        <f>IF(D18&lt;&gt;"",MAX(D18-E18,0),"")</f>
        <v/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25">
        <f>IF(D19&lt;&gt;"",MAX(D19-E19,0),"")</f>
        <v/>
      </c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24">
        <f>IF(D20&lt;&gt;"",MAX(D20-E20,0),"")</f>
        <v/>
      </c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25">
        <f>IF(D21&lt;&gt;"",MAX(D21-E21,0),"")</f>
        <v/>
      </c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24">
        <f>IF(D22&lt;&gt;"",MAX(D22-E22,0),"")</f>
        <v/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25">
        <f>IF(D23&lt;&gt;"",MAX(D23-E23,0),"")</f>
        <v/>
      </c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24">
        <f>IF(D24&lt;&gt;"",MAX(D24-E24,0),"")</f>
        <v/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25">
        <f>IF(D25&lt;&gt;"",MAX(D25-E25,0),"")</f>
        <v/>
      </c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24">
        <f>IF(D26&lt;&gt;"",MAX(D26-E26,0),"")</f>
        <v/>
      </c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25">
        <f>IF(D27&lt;&gt;"",MAX(D27-E27,0),"")</f>
        <v/>
      </c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24">
        <f>IF(D28&lt;&gt;"",MAX(D28-E28,0),"")</f>
        <v/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25">
        <f>IF(D29&lt;&gt;"",MAX(D29-E29,0),"")</f>
        <v/>
      </c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24">
        <f>IF(D30&lt;&gt;"",MAX(D30-E30,0),"")</f>
        <v/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25">
        <f>IF(D31&lt;&gt;"",MAX(D31-E31,0),"")</f>
        <v/>
      </c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24">
        <f>IF(D32&lt;&gt;"",MAX(D32-E32,0),"")</f>
        <v/>
      </c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25">
        <f>IF(D33&lt;&gt;"",MAX(D33-E33,0),"")</f>
        <v/>
      </c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24">
        <f>IF(D34&lt;&gt;"",MAX(D34-E34,0),"")</f>
        <v/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25">
        <f>IF(D35&lt;&gt;"",MAX(D35-E35,0),"")</f>
        <v/>
      </c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24">
        <f>IF(D36&lt;&gt;"",MAX(D36-E36,0),"")</f>
        <v/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25">
        <f>IF(D37&lt;&gt;"",MAX(D37-E37,0),"")</f>
        <v/>
      </c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24">
        <f>IF(D38&lt;&gt;"",MAX(D38-E38,0),"")</f>
        <v/>
      </c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25">
        <f>IF(D39&lt;&gt;"",MAX(D39-E39,0),"")</f>
        <v/>
      </c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24">
        <f>IF(D40&lt;&gt;"",MAX(D40-E40,0),"")</f>
        <v/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25">
        <f>IF(D41&lt;&gt;"",MAX(D41-E41,0),"")</f>
        <v/>
      </c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24">
        <f>IF(D42&lt;&gt;"",MAX(D42-E42,0),"")</f>
        <v/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25">
        <f>IF(D43&lt;&gt;"",MAX(D43-E43,0),"")</f>
        <v/>
      </c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24">
        <f>IF(D44&lt;&gt;"",MAX(D44-E44,0),"")</f>
        <v/>
      </c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25">
        <f>IF(D45&lt;&gt;"",MAX(D45-E45,0),"")</f>
        <v/>
      </c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24">
        <f>IF(D46&lt;&gt;"",MAX(D46-E46,0),"")</f>
        <v/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25">
        <f>IF(D47&lt;&gt;"",MAX(D47-E47,0),"")</f>
        <v/>
      </c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24">
        <f>IF(D48&lt;&gt;"",MAX(D48-E48,0),"")</f>
        <v/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25">
        <f>IF(D49&lt;&gt;"",MAX(D49-E49,0),"")</f>
        <v/>
      </c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24">
        <f>IF(D50&lt;&gt;"",MAX(D50-E50,0),"")</f>
        <v/>
      </c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25">
        <f>IF(D51&lt;&gt;"",MAX(D51-E51,0),"")</f>
        <v/>
      </c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24">
        <f>IF(D52&lt;&gt;"",MAX(D52-E52,0),"")</f>
        <v/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25">
        <f>IF(D53&lt;&gt;"",MAX(D53-E53,0),"")</f>
        <v/>
      </c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24">
        <f>IF(D54&lt;&gt;"",MAX(D54-E54,0),"")</f>
        <v/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25">
        <f>IF(D55&lt;&gt;"",MAX(D55-E55,0),"")</f>
        <v/>
      </c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24">
        <f>IF(D56&lt;&gt;"",MAX(D56-E56,0),"")</f>
        <v/>
      </c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25">
        <f>IF(D57&lt;&gt;"",MAX(D57-E57,0),"")</f>
        <v/>
      </c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24">
        <f>IF(D58&lt;&gt;"",MAX(D58-E58,0),"")</f>
        <v/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25">
        <f>IF(D59&lt;&gt;"",MAX(D59-E59,0),"")</f>
        <v/>
      </c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24">
        <f>IF(D60&lt;&gt;"",MAX(D60-E60,0),"")</f>
        <v/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25">
        <f>IF(D61&lt;&gt;"",MAX(D61-E61,0),"")</f>
        <v/>
      </c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24">
        <f>IF(D62&lt;&gt;"",MAX(D62-E62,0),"")</f>
        <v/>
      </c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25">
        <f>IF(D63&lt;&gt;"",MAX(D63-E63,0),"")</f>
        <v/>
      </c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24">
        <f>IF(D64&lt;&gt;"",MAX(D64-E64,0),"")</f>
        <v/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25">
        <f>IF(D65&lt;&gt;"",MAX(D65-E65,0),"")</f>
        <v/>
      </c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24">
        <f>IF(D66&lt;&gt;"",MAX(D66-E66,0),"")</f>
        <v/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25">
        <f>IF(D67&lt;&gt;"",MAX(D67-E67,0),"")</f>
        <v/>
      </c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24">
        <f>IF(D68&lt;&gt;"",MAX(D68-E68,0),"")</f>
        <v/>
      </c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25">
        <f>IF(D69&lt;&gt;"",MAX(D69-E69,0),"")</f>
        <v/>
      </c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24">
        <f>IF(D70&lt;&gt;"",MAX(D70-E70,0),"")</f>
        <v/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25">
        <f>IF(D71&lt;&gt;"",MAX(D71-E71,0),"")</f>
        <v/>
      </c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24">
        <f>IF(D72&lt;&gt;"",MAX(D72-E72,0),"")</f>
        <v/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25">
        <f>IF(D73&lt;&gt;"",MAX(D73-E73,0),"")</f>
        <v/>
      </c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24">
        <f>IF(D74&lt;&gt;"",MAX(D74-E74,0),"")</f>
        <v/>
      </c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25">
        <f>IF(D75&lt;&gt;"",MAX(D75-E75,0),"")</f>
        <v/>
      </c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24">
        <f>IF(D76&lt;&gt;"",MAX(D76-E76,0),"")</f>
        <v/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25">
        <f>IF(D77&lt;&gt;"",MAX(D77-E77,0),"")</f>
        <v/>
      </c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24">
        <f>IF(D78&lt;&gt;"",MAX(D78-E78,0),"")</f>
        <v/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25">
        <f>IF(D79&lt;&gt;"",MAX(D79-E79,0),"")</f>
        <v/>
      </c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24">
        <f>IF(D80&lt;&gt;"",MAX(D80-E80,0),"")</f>
        <v/>
      </c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25">
        <f>IF(D81&lt;&gt;"",MAX(D81-E81,0),"")</f>
        <v/>
      </c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24">
        <f>IF(D82&lt;&gt;"",MAX(D82-E82,0),"")</f>
        <v/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25">
        <f>IF(D83&lt;&gt;"",MAX(D83-E83,0),"")</f>
        <v/>
      </c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24">
        <f>IF(D84&lt;&gt;"",MAX(D84-E84,0),"")</f>
        <v/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25">
        <f>IF(D85&lt;&gt;"",MAX(D85-E85,0),"")</f>
        <v/>
      </c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24">
        <f>IF(D86&lt;&gt;"",MAX(D86-E86,0),"")</f>
        <v/>
      </c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25">
        <f>IF(D87&lt;&gt;"",MAX(D87-E87,0),"")</f>
        <v/>
      </c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24">
        <f>IF(D88&lt;&gt;"",MAX(D88-E88,0),"")</f>
        <v/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25">
        <f>IF(D89&lt;&gt;"",MAX(D89-E89,0),"")</f>
        <v/>
      </c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24">
        <f>IF(D90&lt;&gt;"",MAX(D90-E90,0),"")</f>
        <v/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25">
        <f>IF(D91&lt;&gt;"",MAX(D91-E91,0),"")</f>
        <v/>
      </c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24">
        <f>IF(D92&lt;&gt;"",MAX(D92-E92,0),"")</f>
        <v/>
      </c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25">
        <f>IF(D93&lt;&gt;"",MAX(D93-E93,0),"")</f>
        <v/>
      </c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24">
        <f>IF(D94&lt;&gt;"",MAX(D94-E94,0),"")</f>
        <v/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25">
        <f>IF(D95&lt;&gt;"",MAX(D95-E95,0),"")</f>
        <v/>
      </c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24">
        <f>IF(D96&lt;&gt;"",MAX(D96-E96,0),"")</f>
        <v/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25">
        <f>IF(D97&lt;&gt;"",MAX(D97-E97,0),"")</f>
        <v/>
      </c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24">
        <f>IF(D98&lt;&gt;"",MAX(D98-E98,0),"")</f>
        <v/>
      </c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25">
        <f>IF(D99&lt;&gt;"",MAX(D99-E99,0),"")</f>
        <v/>
      </c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24">
        <f>IF(D100&lt;&gt;"",MAX(D100-E100,0),"")</f>
        <v/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25">
        <f>IF(D101&lt;&gt;"",MAX(D101-E101,0),"")</f>
        <v/>
      </c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24">
        <f>IF(D102&lt;&gt;"",MAX(D102-E102,0),"")</f>
        <v/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25">
        <f>IF(D103&lt;&gt;"",MAX(D103-E103,0),"")</f>
        <v/>
      </c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24">
        <f>IF(D104&lt;&gt;"",MAX(D104-E104,0),"")</f>
        <v/>
      </c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25">
        <f>IF(D105&lt;&gt;"",MAX(D105-E105,0),"")</f>
        <v/>
      </c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24">
        <f>IF(D106&lt;&gt;"",MAX(D106-E106,0),"")</f>
        <v/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25">
        <f>IF(D107&lt;&gt;"",MAX(D107-E107,0),"")</f>
        <v/>
      </c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24">
        <f>IF(D108&lt;&gt;"",MAX(D108-E108,0),"")</f>
        <v/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25">
        <f>IF(D109&lt;&gt;"",MAX(D109-E109,0),"")</f>
        <v/>
      </c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24">
        <f>IF(D110&lt;&gt;"",MAX(D110-E110,0),"")</f>
        <v/>
      </c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25">
        <f>IF(D111&lt;&gt;"",MAX(D111-E111,0),"")</f>
        <v/>
      </c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24">
        <f>IF(D112&lt;&gt;"",MAX(D112-E112,0),"")</f>
        <v/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25">
        <f>IF(D113&lt;&gt;"",MAX(D113-E113,0),"")</f>
        <v/>
      </c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24">
        <f>IF(D114&lt;&gt;"",MAX(D114-E114,0),"")</f>
        <v/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25">
        <f>IF(D115&lt;&gt;"",MAX(D115-E115,0),"")</f>
        <v/>
      </c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H6:H115">
    <cfRule type="cellIs" priority="1" operator="equal" dxfId="1">
      <formula>"Pourvu"</formula>
    </cfRule>
    <cfRule type="cellIs" priority="2" operator="equal" dxfId="0">
      <formula>"Non pourvu"</formula>
    </cfRule>
    <cfRule type="cellIs" priority="3" operator="equal" dxfId="2">
      <formula>"En cours de traitement"</formula>
    </cfRule>
  </conditionalFormatting>
  <dataValidations count="4">
    <dataValidation sqref="B6:B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_Lists'!$F$6:$F$11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_Lists'!$W$6:$W$9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14" customWidth="1" min="6" max="6"/>
    <col width="36" customWidth="1" min="7" max="7"/>
    <col width="20" customWidth="1" min="8" max="8"/>
    <col width="20" customWidth="1" min="9" max="9"/>
    <col width="16" customWidth="1" min="10" max="10"/>
    <col width="14" customWidth="1" min="11" max="11"/>
    <col width="22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14-GESTION DES AVENANTS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N° Avenant</t>
        </is>
      </c>
      <c r="B5" s="4" t="inlineStr">
        <is>
          <t>N° Contrat</t>
        </is>
      </c>
      <c r="C5" s="4" t="inlineStr">
        <is>
          <t>Type Avenant</t>
        </is>
      </c>
      <c r="D5" s="4" t="inlineStr">
        <is>
          <t>Ancienne Valeur</t>
        </is>
      </c>
      <c r="E5" s="4" t="inlineStr">
        <is>
          <t>Nouvelle Valeur</t>
        </is>
      </c>
      <c r="F5" s="4" t="inlineStr">
        <is>
          <t>Date Effet</t>
        </is>
      </c>
      <c r="G5" s="4" t="inlineStr">
        <is>
          <t>Motif</t>
        </is>
      </c>
      <c r="H5" s="4" t="inlineStr">
        <is>
          <t>Responsable</t>
        </is>
      </c>
      <c r="I5" s="4" t="inlineStr">
        <is>
          <t>Impact Coût (FCFA)</t>
        </is>
      </c>
      <c r="J5" s="4" t="inlineStr">
        <is>
          <t>Statut</t>
        </is>
      </c>
      <c r="K5" s="4" t="inlineStr">
        <is>
          <t>Date MAJ</t>
        </is>
      </c>
      <c r="L5" s="4" t="inlineStr">
        <is>
          <t>Validateur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AVN-2025-001</t>
        </is>
      </c>
      <c r="B6" s="5" t="inlineStr">
        <is>
          <t>CMD-2025-001</t>
        </is>
      </c>
      <c r="C6" s="5" t="inlineStr">
        <is>
          <t>Prolongation</t>
        </is>
      </c>
      <c r="D6" s="5" t="inlineStr">
        <is>
          <t>15/04/2025</t>
        </is>
      </c>
      <c r="E6" s="5" t="inlineStr">
        <is>
          <t>15/05/2025</t>
        </is>
      </c>
      <c r="F6" s="6" t="n">
        <v>45762</v>
      </c>
      <c r="G6" s="5" t="inlineStr">
        <is>
          <t>Prolongation mission – retard congé maternité</t>
        </is>
      </c>
      <c r="H6" s="5" t="inlineStr">
        <is>
          <t>DRH</t>
        </is>
      </c>
      <c r="I6" s="7" t="n">
        <v>346667</v>
      </c>
      <c r="J6" s="5" t="inlineStr">
        <is>
          <t>En cours</t>
        </is>
      </c>
      <c r="K6" s="6" t="n">
        <v>45726</v>
      </c>
      <c r="L6" s="5" t="inlineStr">
        <is>
          <t>DAF</t>
        </is>
      </c>
      <c r="M6" s="5" t="inlineStr">
        <is>
          <t>Mme Koné prolongation congé</t>
        </is>
      </c>
      <c r="N6" s="5" t="inlineStr"/>
    </row>
    <row r="7" ht="22" customHeight="1">
      <c r="A7" s="8" t="inlineStr">
        <is>
          <t>AVN-2025-002</t>
        </is>
      </c>
      <c r="B7" s="8" t="inlineStr">
        <is>
          <t>CMD-2025-002</t>
        </is>
      </c>
      <c r="C7" s="8" t="inlineStr">
        <is>
          <t>Modification taux</t>
        </is>
      </c>
      <c r="D7" s="8" t="inlineStr">
        <is>
          <t>1 500 FCFA/h</t>
        </is>
      </c>
      <c r="E7" s="8" t="inlineStr">
        <is>
          <t>1 650 FCFA/h</t>
        </is>
      </c>
      <c r="F7" s="9" t="n">
        <v>45689</v>
      </c>
      <c r="G7" s="8" t="inlineStr">
        <is>
          <t>Révision tarifaire annuelle agence</t>
        </is>
      </c>
      <c r="H7" s="8" t="inlineStr">
        <is>
          <t>DAF</t>
        </is>
      </c>
      <c r="I7" s="10" t="n">
        <v>28600</v>
      </c>
      <c r="J7" s="8" t="inlineStr">
        <is>
          <t>Signé</t>
        </is>
      </c>
      <c r="K7" s="9" t="n">
        <v>45685</v>
      </c>
      <c r="L7" s="8" t="inlineStr">
        <is>
          <t>Directeur Général</t>
        </is>
      </c>
      <c r="M7" s="8" t="inlineStr">
        <is>
          <t>Augmentation 10% conforme convention</t>
        </is>
      </c>
      <c r="N7" s="8" t="inlineStr"/>
    </row>
    <row r="8" ht="22" customHeight="1">
      <c r="A8" s="5" t="inlineStr">
        <is>
          <t>AVN-2025-003</t>
        </is>
      </c>
      <c r="B8" s="5" t="inlineStr">
        <is>
          <t>CMD-2025-001</t>
        </is>
      </c>
      <c r="C8" s="5" t="inlineStr">
        <is>
          <t>Ajout heures</t>
        </is>
      </c>
      <c r="D8" s="5" t="inlineStr">
        <is>
          <t>40h/semaine</t>
        </is>
      </c>
      <c r="E8" s="5" t="inlineStr">
        <is>
          <t>45h/semaine</t>
        </is>
      </c>
      <c r="F8" s="6" t="n">
        <v>45698</v>
      </c>
      <c r="G8" s="5" t="inlineStr">
        <is>
          <t>Besoin service supplémentaire semaine gala</t>
        </is>
      </c>
      <c r="H8" s="5" t="inlineStr">
        <is>
          <t>Chef Restauration</t>
        </is>
      </c>
      <c r="I8" s="7" t="n">
        <v>43333</v>
      </c>
      <c r="J8" s="5" t="inlineStr">
        <is>
          <t>Signé</t>
        </is>
      </c>
      <c r="K8" s="6" t="n">
        <v>45693</v>
      </c>
      <c r="L8" s="5" t="inlineStr">
        <is>
          <t>DRH</t>
        </is>
      </c>
      <c r="M8" s="5" t="inlineStr">
        <is>
          <t>Heures supplémentaires temporaires</t>
        </is>
      </c>
      <c r="N8" s="5" t="inlineStr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C6:C115" showDropDown="0" showInputMessage="0" showErrorMessage="0" allowBlank="1" errorTitle="Erreur" error="Valeur invalide" promptTitle="" prompt="Choisir dans la liste: " type="list">
      <formula1>'F02 - _Lists'!$V$6:$V$10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_Lists'!$J$6:$J$10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6" customWidth="1" min="5" max="5"/>
    <col width="14" customWidth="1" min="6" max="6"/>
    <col width="14" customWidth="1" min="7" max="7"/>
    <col width="16" customWidth="1" min="8" max="8"/>
    <col width="18" customWidth="1" min="9" max="9"/>
    <col width="18" customWidth="1" min="10" max="10"/>
    <col width="30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15-HISTORIQUE DES MISSIONS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Mission</t>
        </is>
      </c>
      <c r="B5" s="4" t="inlineStr">
        <is>
          <t>Intérimaire</t>
        </is>
      </c>
      <c r="C5" s="4" t="inlineStr">
        <is>
          <t>Agence</t>
        </is>
      </c>
      <c r="D5" s="4" t="inlineStr">
        <is>
          <t>Poste</t>
        </is>
      </c>
      <c r="E5" s="4" t="inlineStr">
        <is>
          <t>Département</t>
        </is>
      </c>
      <c r="F5" s="4" t="inlineStr">
        <is>
          <t>Date Début</t>
        </is>
      </c>
      <c r="G5" s="4" t="inlineStr">
        <is>
          <t>Date Fin</t>
        </is>
      </c>
      <c r="H5" s="4" t="inlineStr">
        <is>
          <t>Durée (jours)</t>
        </is>
      </c>
      <c r="I5" s="4" t="inlineStr">
        <is>
          <t>Coût Total</t>
        </is>
      </c>
      <c r="J5" s="4" t="inlineStr">
        <is>
          <t>Évaluation Finale</t>
        </is>
      </c>
      <c r="K5" s="4" t="inlineStr">
        <is>
          <t>Recommandation</t>
        </is>
      </c>
      <c r="L5" s="4" t="inlineStr">
        <is>
          <t>Statut</t>
        </is>
      </c>
      <c r="M5" s="4" t="inlineStr">
        <is>
          <t>Date MAJ</t>
        </is>
      </c>
      <c r="N5" s="4" t="inlineStr"/>
    </row>
    <row r="6" ht="22" customHeight="1">
      <c r="A6" s="5" t="inlineStr">
        <is>
          <t>MIS-2024-045</t>
        </is>
      </c>
      <c r="B6" s="5" t="inlineStr">
        <is>
          <t>Koné Awa</t>
        </is>
      </c>
      <c r="C6" s="5" t="inlineStr">
        <is>
          <t>INTERIM PRO CI</t>
        </is>
      </c>
      <c r="D6" s="5" t="inlineStr">
        <is>
          <t>Serveur</t>
        </is>
      </c>
      <c r="E6" s="5" t="inlineStr">
        <is>
          <t>Cuisine &amp; Restauration</t>
        </is>
      </c>
      <c r="F6" s="6" t="n">
        <v>45474</v>
      </c>
      <c r="G6" s="6" t="n">
        <v>45565</v>
      </c>
      <c r="H6" s="24">
        <f>IF(F6&lt;&gt;"",DATEDIF(F6,G6,"d"),"")</f>
        <v/>
      </c>
      <c r="I6" s="7" t="n">
        <v>1248000</v>
      </c>
      <c r="J6" s="5" t="inlineStr">
        <is>
          <t>Très bon</t>
        </is>
      </c>
      <c r="K6" s="5" t="inlineStr">
        <is>
          <t>Recommandé pour renouvellement</t>
        </is>
      </c>
      <c r="L6" s="5" t="inlineStr">
        <is>
          <t>Terminée</t>
        </is>
      </c>
      <c r="M6" s="6" t="n">
        <v>45570</v>
      </c>
      <c r="N6" s="5" t="inlineStr"/>
    </row>
    <row r="7" ht="22" customHeight="1">
      <c r="A7" s="8" t="inlineStr">
        <is>
          <t>MIS-2024-038</t>
        </is>
      </c>
      <c r="B7" s="8" t="inlineStr">
        <is>
          <t>Diabaté Moussa</t>
        </is>
      </c>
      <c r="C7" s="8" t="inlineStr">
        <is>
          <t>ADIA INTERNATIONAL</t>
        </is>
      </c>
      <c r="D7" s="8" t="inlineStr">
        <is>
          <t>Agent Entretien</t>
        </is>
      </c>
      <c r="E7" s="8" t="inlineStr">
        <is>
          <t>Entretien &amp; Maintenance</t>
        </is>
      </c>
      <c r="F7" s="9" t="n">
        <v>45444</v>
      </c>
      <c r="G7" s="9" t="n">
        <v>45535</v>
      </c>
      <c r="H7" s="25">
        <f>IF(F7&lt;&gt;"",DATEDIF(F7,G7,"d"),"")</f>
        <v/>
      </c>
      <c r="I7" s="10" t="n">
        <v>1320000</v>
      </c>
      <c r="J7" s="8" t="inlineStr">
        <is>
          <t>Bon</t>
        </is>
      </c>
      <c r="K7" s="8" t="inlineStr">
        <is>
          <t>Recommandé pour renouvellement</t>
        </is>
      </c>
      <c r="L7" s="8" t="inlineStr">
        <is>
          <t>Terminée</t>
        </is>
      </c>
      <c r="M7" s="9" t="n">
        <v>45540</v>
      </c>
      <c r="N7" s="8" t="inlineStr"/>
    </row>
    <row r="8" ht="22" customHeight="1">
      <c r="A8" s="5" t="inlineStr">
        <is>
          <t>MIS-2024-052</t>
        </is>
      </c>
      <c r="B8" s="5" t="inlineStr">
        <is>
          <t>Sangaré Fatoumata</t>
        </is>
      </c>
      <c r="C8" s="5" t="inlineStr">
        <is>
          <t>MANPOWER COTE D'IVOIRE</t>
        </is>
      </c>
      <c r="D8" s="5" t="inlineStr">
        <is>
          <t>Femme de chambre</t>
        </is>
      </c>
      <c r="E8" s="5" t="inlineStr">
        <is>
          <t>Hébergement</t>
        </is>
      </c>
      <c r="F8" s="6" t="n">
        <v>45627</v>
      </c>
      <c r="G8" s="6" t="n">
        <v>45657</v>
      </c>
      <c r="H8" s="24">
        <f>IF(F8&lt;&gt;"",DATEDIF(F8,G8,"d"),"")</f>
        <v/>
      </c>
      <c r="I8" s="7" t="n">
        <v>374400</v>
      </c>
      <c r="J8" s="5" t="inlineStr">
        <is>
          <t>Satisfaisant</t>
        </is>
      </c>
      <c r="K8" s="5" t="inlineStr">
        <is>
          <t>À retenir si besoin</t>
        </is>
      </c>
      <c r="L8" s="5" t="inlineStr">
        <is>
          <t>Terminée</t>
        </is>
      </c>
      <c r="M8" s="6" t="n">
        <v>45662</v>
      </c>
      <c r="N8" s="5" t="inlineStr"/>
    </row>
    <row r="9" ht="22" customHeight="1">
      <c r="A9" s="8" t="inlineStr">
        <is>
          <t>MIS-2025-001</t>
        </is>
      </c>
      <c r="B9" s="8" t="inlineStr">
        <is>
          <t>Koffi Marie</t>
        </is>
      </c>
      <c r="C9" s="8" t="inlineStr">
        <is>
          <t>INTERIM PRO CI</t>
        </is>
      </c>
      <c r="D9" s="8" t="inlineStr">
        <is>
          <t>Serveur</t>
        </is>
      </c>
      <c r="E9" s="8" t="inlineStr">
        <is>
          <t>Cuisine &amp; Restauration</t>
        </is>
      </c>
      <c r="F9" s="9" t="n">
        <v>45672</v>
      </c>
      <c r="G9" s="9" t="n">
        <v>45762</v>
      </c>
      <c r="H9" s="25">
        <f>IF(F9&lt;&gt;"",DATEDIF(F9,G9,"d"),"")</f>
        <v/>
      </c>
      <c r="I9" s="8" t="n"/>
      <c r="J9" s="8" t="inlineStr"/>
      <c r="K9" s="8" t="inlineStr"/>
      <c r="L9" s="8" t="inlineStr">
        <is>
          <t>En cours</t>
        </is>
      </c>
      <c r="M9" s="9" t="n">
        <v>45703</v>
      </c>
      <c r="N9" s="8" t="inlineStr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24">
        <f>IF(F10&lt;&gt;"",DATEDIF(F10,G10,"d"),"")</f>
        <v/>
      </c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25">
        <f>IF(F11&lt;&gt;"",DATEDIF(F11,G11,"d"),"")</f>
        <v/>
      </c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4">
        <f>IF(F12&lt;&gt;"",DATEDIF(F12,G12,"d"),"")</f>
        <v/>
      </c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25">
        <f>IF(F13&lt;&gt;"",DATEDIF(F13,G13,"d"),"")</f>
        <v/>
      </c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4">
        <f>IF(F14&lt;&gt;"",DATEDIF(F14,G14,"d"),"")</f>
        <v/>
      </c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25">
        <f>IF(F15&lt;&gt;"",DATEDIF(F15,G15,"d"),"")</f>
        <v/>
      </c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4">
        <f>IF(F16&lt;&gt;"",DATEDIF(F16,G16,"d"),"")</f>
        <v/>
      </c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25">
        <f>IF(F17&lt;&gt;"",DATEDIF(F17,G17,"d"),"")</f>
        <v/>
      </c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4">
        <f>IF(F18&lt;&gt;"",DATEDIF(F18,G18,"d"),"")</f>
        <v/>
      </c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25">
        <f>IF(F19&lt;&gt;"",DATEDIF(F19,G19,"d"),"")</f>
        <v/>
      </c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4">
        <f>IF(F20&lt;&gt;"",DATEDIF(F20,G20,"d"),"")</f>
        <v/>
      </c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25">
        <f>IF(F21&lt;&gt;"",DATEDIF(F21,G21,"d"),"")</f>
        <v/>
      </c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4">
        <f>IF(F22&lt;&gt;"",DATEDIF(F22,G22,"d"),"")</f>
        <v/>
      </c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25">
        <f>IF(F23&lt;&gt;"",DATEDIF(F23,G23,"d"),"")</f>
        <v/>
      </c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4">
        <f>IF(F24&lt;&gt;"",DATEDIF(F24,G24,"d"),"")</f>
        <v/>
      </c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25">
        <f>IF(F25&lt;&gt;"",DATEDIF(F25,G25,"d"),"")</f>
        <v/>
      </c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4">
        <f>IF(F26&lt;&gt;"",DATEDIF(F26,G26,"d"),"")</f>
        <v/>
      </c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25">
        <f>IF(F27&lt;&gt;"",DATEDIF(F27,G27,"d"),"")</f>
        <v/>
      </c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4">
        <f>IF(F28&lt;&gt;"",DATEDIF(F28,G28,"d"),"")</f>
        <v/>
      </c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25">
        <f>IF(F29&lt;&gt;"",DATEDIF(F29,G29,"d"),"")</f>
        <v/>
      </c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4">
        <f>IF(F30&lt;&gt;"",DATEDIF(F30,G30,"d"),"")</f>
        <v/>
      </c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25">
        <f>IF(F31&lt;&gt;"",DATEDIF(F31,G31,"d"),"")</f>
        <v/>
      </c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4">
        <f>IF(F32&lt;&gt;"",DATEDIF(F32,G32,"d"),"")</f>
        <v/>
      </c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25">
        <f>IF(F33&lt;&gt;"",DATEDIF(F33,G33,"d"),"")</f>
        <v/>
      </c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4">
        <f>IF(F34&lt;&gt;"",DATEDIF(F34,G34,"d"),"")</f>
        <v/>
      </c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25">
        <f>IF(F35&lt;&gt;"",DATEDIF(F35,G35,"d"),"")</f>
        <v/>
      </c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4">
        <f>IF(F36&lt;&gt;"",DATEDIF(F36,G36,"d"),"")</f>
        <v/>
      </c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25">
        <f>IF(F37&lt;&gt;"",DATEDIF(F37,G37,"d"),"")</f>
        <v/>
      </c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4">
        <f>IF(F38&lt;&gt;"",DATEDIF(F38,G38,"d"),"")</f>
        <v/>
      </c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25">
        <f>IF(F39&lt;&gt;"",DATEDIF(F39,G39,"d"),"")</f>
        <v/>
      </c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4">
        <f>IF(F40&lt;&gt;"",DATEDIF(F40,G40,"d"),"")</f>
        <v/>
      </c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25">
        <f>IF(F41&lt;&gt;"",DATEDIF(F41,G41,"d"),"")</f>
        <v/>
      </c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4">
        <f>IF(F42&lt;&gt;"",DATEDIF(F42,G42,"d"),"")</f>
        <v/>
      </c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25">
        <f>IF(F43&lt;&gt;"",DATEDIF(F43,G43,"d"),"")</f>
        <v/>
      </c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4">
        <f>IF(F44&lt;&gt;"",DATEDIF(F44,G44,"d"),"")</f>
        <v/>
      </c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25">
        <f>IF(F45&lt;&gt;"",DATEDIF(F45,G45,"d"),"")</f>
        <v/>
      </c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4">
        <f>IF(F46&lt;&gt;"",DATEDIF(F46,G46,"d"),"")</f>
        <v/>
      </c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25">
        <f>IF(F47&lt;&gt;"",DATEDIF(F47,G47,"d"),"")</f>
        <v/>
      </c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4">
        <f>IF(F48&lt;&gt;"",DATEDIF(F48,G48,"d"),"")</f>
        <v/>
      </c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25">
        <f>IF(F49&lt;&gt;"",DATEDIF(F49,G49,"d"),"")</f>
        <v/>
      </c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4">
        <f>IF(F50&lt;&gt;"",DATEDIF(F50,G50,"d"),"")</f>
        <v/>
      </c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25">
        <f>IF(F51&lt;&gt;"",DATEDIF(F51,G51,"d"),"")</f>
        <v/>
      </c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4">
        <f>IF(F52&lt;&gt;"",DATEDIF(F52,G52,"d"),"")</f>
        <v/>
      </c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25">
        <f>IF(F53&lt;&gt;"",DATEDIF(F53,G53,"d"),"")</f>
        <v/>
      </c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4">
        <f>IF(F54&lt;&gt;"",DATEDIF(F54,G54,"d"),"")</f>
        <v/>
      </c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25">
        <f>IF(F55&lt;&gt;"",DATEDIF(F55,G55,"d"),"")</f>
        <v/>
      </c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4">
        <f>IF(F56&lt;&gt;"",DATEDIF(F56,G56,"d"),"")</f>
        <v/>
      </c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25">
        <f>IF(F57&lt;&gt;"",DATEDIF(F57,G57,"d"),"")</f>
        <v/>
      </c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4">
        <f>IF(F58&lt;&gt;"",DATEDIF(F58,G58,"d"),"")</f>
        <v/>
      </c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25">
        <f>IF(F59&lt;&gt;"",DATEDIF(F59,G59,"d"),"")</f>
        <v/>
      </c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4">
        <f>IF(F60&lt;&gt;"",DATEDIF(F60,G60,"d"),"")</f>
        <v/>
      </c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25">
        <f>IF(F61&lt;&gt;"",DATEDIF(F61,G61,"d"),"")</f>
        <v/>
      </c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4">
        <f>IF(F62&lt;&gt;"",DATEDIF(F62,G62,"d"),"")</f>
        <v/>
      </c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25">
        <f>IF(F63&lt;&gt;"",DATEDIF(F63,G63,"d"),"")</f>
        <v/>
      </c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4">
        <f>IF(F64&lt;&gt;"",DATEDIF(F64,G64,"d"),"")</f>
        <v/>
      </c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25">
        <f>IF(F65&lt;&gt;"",DATEDIF(F65,G65,"d"),"")</f>
        <v/>
      </c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4">
        <f>IF(F66&lt;&gt;"",DATEDIF(F66,G66,"d"),"")</f>
        <v/>
      </c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25">
        <f>IF(F67&lt;&gt;"",DATEDIF(F67,G67,"d"),"")</f>
        <v/>
      </c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4">
        <f>IF(F68&lt;&gt;"",DATEDIF(F68,G68,"d"),"")</f>
        <v/>
      </c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25">
        <f>IF(F69&lt;&gt;"",DATEDIF(F69,G69,"d"),"")</f>
        <v/>
      </c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4">
        <f>IF(F70&lt;&gt;"",DATEDIF(F70,G70,"d"),"")</f>
        <v/>
      </c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25">
        <f>IF(F71&lt;&gt;"",DATEDIF(F71,G71,"d"),"")</f>
        <v/>
      </c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4">
        <f>IF(F72&lt;&gt;"",DATEDIF(F72,G72,"d"),"")</f>
        <v/>
      </c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25">
        <f>IF(F73&lt;&gt;"",DATEDIF(F73,G73,"d"),"")</f>
        <v/>
      </c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4">
        <f>IF(F74&lt;&gt;"",DATEDIF(F74,G74,"d"),"")</f>
        <v/>
      </c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25">
        <f>IF(F75&lt;&gt;"",DATEDIF(F75,G75,"d"),"")</f>
        <v/>
      </c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4">
        <f>IF(F76&lt;&gt;"",DATEDIF(F76,G76,"d"),"")</f>
        <v/>
      </c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25">
        <f>IF(F77&lt;&gt;"",DATEDIF(F77,G77,"d"),"")</f>
        <v/>
      </c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4">
        <f>IF(F78&lt;&gt;"",DATEDIF(F78,G78,"d"),"")</f>
        <v/>
      </c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25">
        <f>IF(F79&lt;&gt;"",DATEDIF(F79,G79,"d"),"")</f>
        <v/>
      </c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4">
        <f>IF(F80&lt;&gt;"",DATEDIF(F80,G80,"d"),"")</f>
        <v/>
      </c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25">
        <f>IF(F81&lt;&gt;"",DATEDIF(F81,G81,"d"),"")</f>
        <v/>
      </c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4">
        <f>IF(F82&lt;&gt;"",DATEDIF(F82,G82,"d"),"")</f>
        <v/>
      </c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25">
        <f>IF(F83&lt;&gt;"",DATEDIF(F83,G83,"d"),"")</f>
        <v/>
      </c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4">
        <f>IF(F84&lt;&gt;"",DATEDIF(F84,G84,"d"),"")</f>
        <v/>
      </c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25">
        <f>IF(F85&lt;&gt;"",DATEDIF(F85,G85,"d"),"")</f>
        <v/>
      </c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4">
        <f>IF(F86&lt;&gt;"",DATEDIF(F86,G86,"d"),"")</f>
        <v/>
      </c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25">
        <f>IF(F87&lt;&gt;"",DATEDIF(F87,G87,"d"),"")</f>
        <v/>
      </c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4">
        <f>IF(F88&lt;&gt;"",DATEDIF(F88,G88,"d"),"")</f>
        <v/>
      </c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25">
        <f>IF(F89&lt;&gt;"",DATEDIF(F89,G89,"d"),"")</f>
        <v/>
      </c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4">
        <f>IF(F90&lt;&gt;"",DATEDIF(F90,G90,"d"),"")</f>
        <v/>
      </c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25">
        <f>IF(F91&lt;&gt;"",DATEDIF(F91,G91,"d"),"")</f>
        <v/>
      </c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4">
        <f>IF(F92&lt;&gt;"",DATEDIF(F92,G92,"d"),"")</f>
        <v/>
      </c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25">
        <f>IF(F93&lt;&gt;"",DATEDIF(F93,G93,"d"),"")</f>
        <v/>
      </c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4">
        <f>IF(F94&lt;&gt;"",DATEDIF(F94,G94,"d"),"")</f>
        <v/>
      </c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25">
        <f>IF(F95&lt;&gt;"",DATEDIF(F95,G95,"d"),"")</f>
        <v/>
      </c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4">
        <f>IF(F96&lt;&gt;"",DATEDIF(F96,G96,"d"),"")</f>
        <v/>
      </c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25">
        <f>IF(F97&lt;&gt;"",DATEDIF(F97,G97,"d"),"")</f>
        <v/>
      </c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4">
        <f>IF(F98&lt;&gt;"",DATEDIF(F98,G98,"d"),"")</f>
        <v/>
      </c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25">
        <f>IF(F99&lt;&gt;"",DATEDIF(F99,G99,"d"),"")</f>
        <v/>
      </c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4">
        <f>IF(F100&lt;&gt;"",DATEDIF(F100,G100,"d"),"")</f>
        <v/>
      </c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25">
        <f>IF(F101&lt;&gt;"",DATEDIF(F101,G101,"d"),"")</f>
        <v/>
      </c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4">
        <f>IF(F102&lt;&gt;"",DATEDIF(F102,G102,"d"),"")</f>
        <v/>
      </c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25">
        <f>IF(F103&lt;&gt;"",DATEDIF(F103,G103,"d"),"")</f>
        <v/>
      </c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4">
        <f>IF(F104&lt;&gt;"",DATEDIF(F104,G104,"d"),"")</f>
        <v/>
      </c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25">
        <f>IF(F105&lt;&gt;"",DATEDIF(F105,G105,"d"),"")</f>
        <v/>
      </c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4">
        <f>IF(F106&lt;&gt;"",DATEDIF(F106,G106,"d"),"")</f>
        <v/>
      </c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25">
        <f>IF(F107&lt;&gt;"",DATEDIF(F107,G107,"d"),"")</f>
        <v/>
      </c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4">
        <f>IF(F108&lt;&gt;"",DATEDIF(F108,G108,"d"),"")</f>
        <v/>
      </c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25">
        <f>IF(F109&lt;&gt;"",DATEDIF(F109,G109,"d"),"")</f>
        <v/>
      </c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4">
        <f>IF(F110&lt;&gt;"",DATEDIF(F110,G110,"d"),"")</f>
        <v/>
      </c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25">
        <f>IF(F111&lt;&gt;"",DATEDIF(F111,G111,"d"),"")</f>
        <v/>
      </c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4">
        <f>IF(F112&lt;&gt;"",DATEDIF(F112,G112,"d"),"")</f>
        <v/>
      </c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25">
        <f>IF(F113&lt;&gt;"",DATEDIF(F113,G113,"d"),"")</f>
        <v/>
      </c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4">
        <f>IF(F114&lt;&gt;"",DATEDIF(F114,G114,"d"),"")</f>
        <v/>
      </c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25">
        <f>IF(F115&lt;&gt;"",DATEDIF(F115,G115,"d"),"")</f>
        <v/>
      </c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6">
    <dataValidation sqref="C6:C115" showDropDown="0" showInputMessage="0" showErrorMessage="0" allowBlank="1" errorTitle="Erreur" error="Valeur invalide" promptTitle="" prompt="Choisir dans la liste: " type="list">
      <formula1>'F02 - _Lists'!$N$6:$N$9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_Lists'!$B$6:$B$29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_Lists'!$R$6:$R$11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_Lists'!$T$6:$T$9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_Lists'!$E$6:$E$11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6" customWidth="1" min="3" max="3"/>
    <col width="20" customWidth="1" min="4" max="4"/>
    <col width="16" customWidth="1" min="5" max="5"/>
    <col width="16" customWidth="1" min="6" max="6"/>
    <col width="24" customWidth="1" min="7" max="7"/>
    <col width="16" customWidth="1" min="8" max="8"/>
    <col width="32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16-SUIVI RÉGLEMENTAIRE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Exigence Réglementaire</t>
        </is>
      </c>
      <c r="B5" s="4" t="inlineStr">
        <is>
          <t>Référence Norme</t>
        </is>
      </c>
      <c r="C5" s="4" t="inlineStr">
        <is>
          <t>Domaine</t>
        </is>
      </c>
      <c r="D5" s="4" t="inlineStr">
        <is>
          <t>Fréquence Contrôle</t>
        </is>
      </c>
      <c r="E5" s="4" t="inlineStr">
        <is>
          <t>Dernier Contrôle</t>
        </is>
      </c>
      <c r="F5" s="4" t="inlineStr">
        <is>
          <t>Prochain Contrôle</t>
        </is>
      </c>
      <c r="G5" s="4" t="inlineStr">
        <is>
          <t>Conformité</t>
        </is>
      </c>
      <c r="H5" s="4" t="inlineStr">
        <is>
          <t>Responsable</t>
        </is>
      </c>
      <c r="I5" s="4" t="inlineStr">
        <is>
          <t>Actions Correctives</t>
        </is>
      </c>
      <c r="J5" s="4" t="inlineStr">
        <is>
          <t>Commentaire</t>
        </is>
      </c>
      <c r="K5" s="4" t="inlineStr">
        <is>
          <t>Statut</t>
        </is>
      </c>
      <c r="L5" s="4" t="inlineStr">
        <is>
          <t>Date MAJ</t>
        </is>
      </c>
      <c r="M5" s="4" t="inlineStr"/>
      <c r="N5" s="4" t="inlineStr"/>
    </row>
    <row r="6" ht="22" customHeight="1">
      <c r="A6" s="5" t="inlineStr">
        <is>
          <t>Contrat de mise à disposition écrit</t>
        </is>
      </c>
      <c r="B6" s="5" t="inlineStr">
        <is>
          <t>Art. L1251-11 Code du Travail CI</t>
        </is>
      </c>
      <c r="C6" s="5" t="inlineStr">
        <is>
          <t>Contrats</t>
        </is>
      </c>
      <c r="D6" s="5" t="inlineStr">
        <is>
          <t>Chaque mission</t>
        </is>
      </c>
      <c r="E6" s="6" t="n">
        <v>45672</v>
      </c>
      <c r="F6" s="6" t="n">
        <v>45762</v>
      </c>
      <c r="G6" s="5" t="inlineStr">
        <is>
          <t>Conforme</t>
        </is>
      </c>
      <c r="H6" s="5" t="inlineStr">
        <is>
          <t>DRH</t>
        </is>
      </c>
      <c r="I6" s="5" t="inlineStr"/>
      <c r="J6" s="5" t="inlineStr">
        <is>
          <t>Tous contrats vérifiés</t>
        </is>
      </c>
      <c r="K6" s="5" t="inlineStr">
        <is>
          <t>À jour</t>
        </is>
      </c>
      <c r="L6" s="6" t="n">
        <v>45689</v>
      </c>
      <c r="M6" s="5" t="inlineStr"/>
      <c r="N6" s="5" t="inlineStr"/>
    </row>
    <row r="7" ht="22" customHeight="1">
      <c r="A7" s="8" t="inlineStr">
        <is>
          <t>Déclaration CNPS intérimaires</t>
        </is>
      </c>
      <c r="B7" s="8" t="inlineStr">
        <is>
          <t>Art. 38 Code de Sécurité Sociale CI</t>
        </is>
      </c>
      <c r="C7" s="8" t="inlineStr">
        <is>
          <t>Social</t>
        </is>
      </c>
      <c r="D7" s="8" t="inlineStr">
        <is>
          <t>Mensuelle</t>
        </is>
      </c>
      <c r="E7" s="9" t="n">
        <v>45688</v>
      </c>
      <c r="F7" s="9" t="n">
        <v>45716</v>
      </c>
      <c r="G7" s="8" t="inlineStr">
        <is>
          <t>Conforme</t>
        </is>
      </c>
      <c r="H7" s="8" t="inlineStr">
        <is>
          <t>Comptable</t>
        </is>
      </c>
      <c r="I7" s="8" t="inlineStr"/>
      <c r="J7" s="8" t="inlineStr">
        <is>
          <t>Déclarations à jour</t>
        </is>
      </c>
      <c r="K7" s="8" t="inlineStr">
        <is>
          <t>À jour</t>
        </is>
      </c>
      <c r="L7" s="9" t="n">
        <v>45693</v>
      </c>
      <c r="M7" s="8" t="inlineStr"/>
      <c r="N7" s="8" t="inlineStr"/>
    </row>
    <row r="8" ht="22" customHeight="1">
      <c r="A8" s="5" t="inlineStr">
        <is>
          <t>Agrément agences d'intérim validé</t>
        </is>
      </c>
      <c r="B8" s="5" t="inlineStr">
        <is>
          <t>Arrêté n°023/METPS/CAB</t>
        </is>
      </c>
      <c r="C8" s="5" t="inlineStr">
        <is>
          <t>Agréments</t>
        </is>
      </c>
      <c r="D8" s="5" t="inlineStr">
        <is>
          <t>Annuelle</t>
        </is>
      </c>
      <c r="E8" s="6" t="n">
        <v>45667</v>
      </c>
      <c r="F8" s="6" t="n">
        <v>46032</v>
      </c>
      <c r="G8" s="5" t="inlineStr">
        <is>
          <t>Conforme</t>
        </is>
      </c>
      <c r="H8" s="5" t="inlineStr">
        <is>
          <t>DRH</t>
        </is>
      </c>
      <c r="I8" s="5" t="inlineStr"/>
      <c r="J8" s="5" t="inlineStr">
        <is>
          <t>4 agences agréées vérifiées</t>
        </is>
      </c>
      <c r="K8" s="5" t="inlineStr">
        <is>
          <t>À jour</t>
        </is>
      </c>
      <c r="L8" s="6" t="n">
        <v>45672</v>
      </c>
      <c r="M8" s="5" t="inlineStr"/>
      <c r="N8" s="5" t="inlineStr"/>
    </row>
    <row r="9" ht="22" customHeight="1">
      <c r="A9" s="8" t="inlineStr">
        <is>
          <t>Durée maximale mission (18 mois)</t>
        </is>
      </c>
      <c r="B9" s="8" t="inlineStr">
        <is>
          <t>Art. L1251-12 Code du Travail CI</t>
        </is>
      </c>
      <c r="C9" s="8" t="inlineStr">
        <is>
          <t>Durée</t>
        </is>
      </c>
      <c r="D9" s="8" t="inlineStr">
        <is>
          <t>Chaque mission</t>
        </is>
      </c>
      <c r="E9" s="9" t="n">
        <v>45689</v>
      </c>
      <c r="F9" s="9" t="n">
        <v>45778</v>
      </c>
      <c r="G9" s="8" t="inlineStr">
        <is>
          <t>Conforme</t>
        </is>
      </c>
      <c r="H9" s="8" t="inlineStr">
        <is>
          <t>DRH</t>
        </is>
      </c>
      <c r="I9" s="8" t="inlineStr"/>
      <c r="J9" s="8" t="inlineStr">
        <is>
          <t>Aucune mission &gt; 18 mois</t>
        </is>
      </c>
      <c r="K9" s="8" t="inlineStr">
        <is>
          <t>À jour</t>
        </is>
      </c>
      <c r="L9" s="9" t="n">
        <v>45689</v>
      </c>
      <c r="M9" s="8" t="inlineStr"/>
      <c r="N9" s="8" t="inlineStr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C6:C115" showDropDown="0" showInputMessage="0" showErrorMessage="0" allowBlank="1" errorTitle="Erreur" error="Valeur invalide" promptTitle="" prompt="Choisir dans la liste: " type="list">
      <formula1>'F02 - _Lists'!$X$6:$X$10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_Lists'!$K$6:$K$10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0" customWidth="1" min="3" max="3"/>
    <col width="20" customWidth="1" min="4" max="4"/>
    <col width="14" customWidth="1" min="5" max="5"/>
    <col width="26" customWidth="1" min="6" max="6"/>
    <col width="14" customWidth="1" min="7" max="7"/>
    <col width="28" customWidth="1" min="8" max="8"/>
    <col width="28" customWidth="1" min="9" max="9"/>
    <col width="16" customWidth="1" min="10" max="10"/>
    <col width="14" customWidth="1" min="11" max="11"/>
    <col width="14" customWidth="1" min="12" max="12"/>
    <col width="20" customWidth="1" min="13" max="13"/>
    <col width="14" customWidth="1" min="14" max="14"/>
  </cols>
  <sheetData>
    <row r="1" ht="8" customHeight="1"/>
    <row r="2" ht="30" customHeight="1">
      <c r="A2" s="1" t="inlineStr">
        <is>
          <t>17-INDICATEURS CLÉS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Indicateur</t>
        </is>
      </c>
      <c r="B5" s="4" t="inlineStr">
        <is>
          <t>Formule</t>
        </is>
      </c>
      <c r="C5" s="4" t="inlineStr">
        <is>
          <t>Cible</t>
        </is>
      </c>
      <c r="D5" s="4" t="inlineStr">
        <is>
          <t>Valeur Actuelle</t>
        </is>
      </c>
      <c r="E5" s="4" t="inlineStr">
        <is>
          <t>Tendance</t>
        </is>
      </c>
      <c r="F5" s="4" t="inlineStr">
        <is>
          <t>Département</t>
        </is>
      </c>
      <c r="G5" s="4" t="inlineStr">
        <is>
          <t>Période</t>
        </is>
      </c>
      <c r="H5" s="4" t="inlineStr">
        <is>
          <t>Commentaire</t>
        </is>
      </c>
      <c r="I5" s="4" t="inlineStr">
        <is>
          <t>Plan Action</t>
        </is>
      </c>
      <c r="J5" s="4" t="inlineStr">
        <is>
          <t>Responsable</t>
        </is>
      </c>
      <c r="K5" s="4" t="inlineStr">
        <is>
          <t>Statut</t>
        </is>
      </c>
      <c r="L5" s="4" t="inlineStr">
        <is>
          <t>Date MAJ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Taux de remplacement</t>
        </is>
      </c>
      <c r="B6" s="5" t="inlineStr">
        <is>
          <t>Nb postes pourvus / Nb besoins</t>
        </is>
      </c>
      <c r="C6" s="5" t="inlineStr">
        <is>
          <t>≥ 90%</t>
        </is>
      </c>
      <c r="D6" s="5" t="inlineStr">
        <is>
          <t>85%</t>
        </is>
      </c>
      <c r="E6" s="5" t="inlineStr">
        <is>
          <t>Hausse</t>
        </is>
      </c>
      <c r="F6" s="5" t="inlineStr">
        <is>
          <t>Tous</t>
        </is>
      </c>
      <c r="G6" s="5" t="inlineStr">
        <is>
          <t>S1 2025</t>
        </is>
      </c>
      <c r="H6" s="5" t="inlineStr">
        <is>
          <t>Amélioration par rapport S2 2024</t>
        </is>
      </c>
      <c r="I6" s="5" t="inlineStr">
        <is>
          <t>Diversifier agences</t>
        </is>
      </c>
      <c r="J6" s="5" t="inlineStr">
        <is>
          <t>DRH</t>
        </is>
      </c>
      <c r="K6" s="5" t="inlineStr">
        <is>
          <t>En cours</t>
        </is>
      </c>
      <c r="L6" s="6" t="n">
        <v>45689</v>
      </c>
      <c r="M6" s="5" t="inlineStr"/>
      <c r="N6" s="5" t="n"/>
    </row>
    <row r="7" ht="22" customHeight="1">
      <c r="A7" s="8" t="inlineStr">
        <is>
          <t>Délai moyen de pourvoi</t>
        </is>
      </c>
      <c r="B7" s="8" t="inlineStr">
        <is>
          <t>Nb jours entre besoin et arrivée</t>
        </is>
      </c>
      <c r="C7" s="8" t="inlineStr">
        <is>
          <t>≤ 3 jours</t>
        </is>
      </c>
      <c r="D7" s="8" t="inlineStr">
        <is>
          <t>3.2 jours</t>
        </is>
      </c>
      <c r="E7" s="8" t="inlineStr">
        <is>
          <t>Stable</t>
        </is>
      </c>
      <c r="F7" s="8" t="inlineStr">
        <is>
          <t>Tous</t>
        </is>
      </c>
      <c r="G7" s="8" t="inlineStr">
        <is>
          <t>S1 2025</t>
        </is>
      </c>
      <c r="H7" s="8" t="inlineStr">
        <is>
          <t>Légère amélioration nécessaire</t>
        </is>
      </c>
      <c r="I7" s="8" t="inlineStr">
        <is>
          <t>Pré-positionnement intérimaires</t>
        </is>
      </c>
      <c r="J7" s="8" t="inlineStr">
        <is>
          <t>DRH</t>
        </is>
      </c>
      <c r="K7" s="8" t="inlineStr">
        <is>
          <t>En cours</t>
        </is>
      </c>
      <c r="L7" s="9" t="n">
        <v>45689</v>
      </c>
      <c r="M7" s="8" t="inlineStr"/>
      <c r="N7" s="8" t="n"/>
    </row>
    <row r="8" ht="22" customHeight="1">
      <c r="A8" s="5" t="inlineStr">
        <is>
          <t>Coût moyen par intérimaire</t>
        </is>
      </c>
      <c r="B8" s="5" t="inlineStr">
        <is>
          <t>Coût total / Nb intérimaires</t>
        </is>
      </c>
      <c r="C8" s="5" t="inlineStr">
        <is>
          <t>≤ 400 000 FCFA/mois</t>
        </is>
      </c>
      <c r="D8" s="5" t="inlineStr">
        <is>
          <t>400 000 FCFA</t>
        </is>
      </c>
      <c r="E8" s="5" t="inlineStr">
        <is>
          <t>Stable</t>
        </is>
      </c>
      <c r="F8" s="5" t="inlineStr">
        <is>
          <t>Tous</t>
        </is>
      </c>
      <c r="G8" s="5" t="inlineStr">
        <is>
          <t>S1 2025</t>
        </is>
      </c>
      <c r="H8" s="5" t="inlineStr">
        <is>
          <t>Dans le budget prévu</t>
        </is>
      </c>
      <c r="I8" s="5" t="inlineStr">
        <is>
          <t>Négocier tarifs agences</t>
        </is>
      </c>
      <c r="J8" s="5" t="inlineStr">
        <is>
          <t>DAF</t>
        </is>
      </c>
      <c r="K8" s="5" t="inlineStr">
        <is>
          <t>À jour</t>
        </is>
      </c>
      <c r="L8" s="6" t="n">
        <v>45689</v>
      </c>
      <c r="M8" s="5" t="inlineStr"/>
      <c r="N8" s="5" t="n"/>
    </row>
    <row r="9" ht="22" customHeight="1">
      <c r="A9" s="8" t="inlineStr">
        <is>
          <t>Satisfaction agences</t>
        </is>
      </c>
      <c r="B9" s="8" t="inlineStr">
        <is>
          <t>Note moyenne agences (1-5)</t>
        </is>
      </c>
      <c r="C9" s="8" t="inlineStr">
        <is>
          <t>≥ 4.0</t>
        </is>
      </c>
      <c r="D9" s="8" t="inlineStr">
        <is>
          <t>3.9</t>
        </is>
      </c>
      <c r="E9" s="8" t="inlineStr">
        <is>
          <t>Hausse</t>
        </is>
      </c>
      <c r="F9" s="8" t="inlineStr">
        <is>
          <t>Tous</t>
        </is>
      </c>
      <c r="G9" s="8" t="inlineStr">
        <is>
          <t>S1 2025</t>
        </is>
      </c>
      <c r="H9" s="8" t="inlineStr">
        <is>
          <t>Proche de la cible</t>
        </is>
      </c>
      <c r="I9" s="8" t="inlineStr">
        <is>
          <t>Renforcement partenariats</t>
        </is>
      </c>
      <c r="J9" s="8" t="inlineStr">
        <is>
          <t>DRH</t>
        </is>
      </c>
      <c r="K9" s="8" t="inlineStr">
        <is>
          <t>En cours</t>
        </is>
      </c>
      <c r="L9" s="9" t="n">
        <v>45689</v>
      </c>
      <c r="M9" s="8" t="inlineStr"/>
      <c r="N9" s="8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4">
    <dataValidation sqref="E6:E115" showDropDown="0" showInputMessage="0" showErrorMessage="0" allowBlank="1" errorTitle="Erreur" error="Valeur invalide" promptTitle="" prompt="Choisir dans la liste: " type="list">
      <formula1>'F02 - _Lists'!$AB$6:$AB$8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_Lists'!$Y$6:$Y$11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4" customWidth="1" min="4" max="4"/>
    <col width="24" customWidth="1" min="5" max="5"/>
    <col width="22" customWidth="1" min="6" max="6"/>
    <col width="18" customWidth="1" min="7" max="7"/>
    <col width="14" customWidth="1" min="8" max="8"/>
    <col width="18" customWidth="1" min="9" max="9"/>
    <col width="32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18-TABLEAU DE BORD FINANCIER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Trimestre</t>
        </is>
      </c>
      <c r="B5" s="4" t="inlineStr">
        <is>
          <t>Coût Total Intérim (FCFA)</t>
        </is>
      </c>
      <c r="C5" s="4" t="inlineStr">
        <is>
          <t>Coût Moyen par Intérimaire</t>
        </is>
      </c>
      <c r="D5" s="4" t="inlineStr">
        <is>
          <t>Nb Missions</t>
        </is>
      </c>
      <c r="E5" s="4" t="inlineStr">
        <is>
          <t>Durée Moyenne Missions</t>
        </is>
      </c>
      <c r="F5" s="4" t="inlineStr">
        <is>
          <t>Budget Trimestriel</t>
        </is>
      </c>
      <c r="G5" s="4" t="inlineStr">
        <is>
          <t>Écart</t>
        </is>
      </c>
      <c r="H5" s="4" t="inlineStr">
        <is>
          <t>% Dépense</t>
        </is>
      </c>
      <c r="I5" s="4" t="inlineStr">
        <is>
          <t>Évolution vs T-1</t>
        </is>
      </c>
      <c r="J5" s="4" t="inlineStr">
        <is>
          <t>Observation</t>
        </is>
      </c>
      <c r="K5" s="4" t="inlineStr">
        <is>
          <t>Statut</t>
        </is>
      </c>
      <c r="L5" s="4" t="inlineStr">
        <is>
          <t>Date MAJ</t>
        </is>
      </c>
      <c r="M5" s="4" t="inlineStr"/>
      <c r="N5" s="4" t="inlineStr"/>
    </row>
    <row r="6" ht="22" customHeight="1">
      <c r="A6" s="5" t="inlineStr">
        <is>
          <t>T1 2025</t>
        </is>
      </c>
      <c r="B6" s="7" t="n">
        <v>9800000</v>
      </c>
      <c r="C6" s="7">
        <f>IF(B6&lt;&gt;"",B6/D6,"")</f>
        <v/>
      </c>
      <c r="D6" s="7" t="n">
        <v>18</v>
      </c>
      <c r="E6" s="7" t="n">
        <v>52</v>
      </c>
      <c r="F6" s="7" t="n">
        <v>9600000</v>
      </c>
      <c r="G6" s="24">
        <f>IF(B6&lt;&gt;"",F6-B6,"")</f>
        <v/>
      </c>
      <c r="H6" s="28">
        <f>IF(AND(B6&lt;&gt;"",F6&lt;&gt;0),B6/F6,"")</f>
        <v/>
      </c>
      <c r="I6" s="5" t="inlineStr">
        <is>
          <t>""</t>
        </is>
      </c>
      <c r="J6" s="5" t="inlineStr">
        <is>
          <t>Légèrement au-dessus du budget</t>
        </is>
      </c>
      <c r="K6" s="5" t="inlineStr">
        <is>
          <t>À surveiller</t>
        </is>
      </c>
      <c r="L6" s="6" t="n">
        <v>45752</v>
      </c>
      <c r="M6" s="5" t="inlineStr"/>
      <c r="N6" s="5" t="inlineStr"/>
    </row>
    <row r="7" ht="22" customHeight="1">
      <c r="A7" s="8" t="inlineStr">
        <is>
          <t>T2 2025</t>
        </is>
      </c>
      <c r="B7" s="10" t="n">
        <v>8400000</v>
      </c>
      <c r="C7" s="10">
        <f>IF(B7&lt;&gt;"",B7/D7,"")</f>
        <v/>
      </c>
      <c r="D7" s="10" t="n">
        <v>14</v>
      </c>
      <c r="E7" s="10" t="n">
        <v>45</v>
      </c>
      <c r="F7" s="10" t="n">
        <v>8400000</v>
      </c>
      <c r="G7" s="25">
        <f>IF(B7&lt;&gt;"",F7-B7,"")</f>
        <v/>
      </c>
      <c r="H7" s="29">
        <f>IF(AND(B7&lt;&gt;"",F7&lt;&gt;0),B7/F7,"")</f>
        <v/>
      </c>
      <c r="I7" s="29">
        <f>IF(B6&lt;&gt;0,(B7-B6)/B6,"")</f>
        <v/>
      </c>
      <c r="J7" s="8" t="inlineStr">
        <is>
          <t>Baisse saisonnière prévue</t>
        </is>
      </c>
      <c r="K7" s="8" t="inlineStr">
        <is>
          <t>Conforme</t>
        </is>
      </c>
      <c r="L7" s="9" t="n">
        <v>45843</v>
      </c>
      <c r="M7" s="8" t="inlineStr"/>
      <c r="N7" s="8" t="inlineStr"/>
    </row>
    <row r="8" ht="22" customHeight="1">
      <c r="A8" s="5" t="inlineStr">
        <is>
          <t>T3 2025</t>
        </is>
      </c>
      <c r="B8" s="7" t="n">
        <v>11200000</v>
      </c>
      <c r="C8" s="7">
        <f>IF(B8&lt;&gt;"",B8/D8,"")</f>
        <v/>
      </c>
      <c r="D8" s="7" t="n">
        <v>22</v>
      </c>
      <c r="E8" s="7" t="n">
        <v>58</v>
      </c>
      <c r="F8" s="7" t="n">
        <v>10800000</v>
      </c>
      <c r="G8" s="24">
        <f>IF(B8&lt;&gt;"",F8-B8,"")</f>
        <v/>
      </c>
      <c r="H8" s="28">
        <f>IF(AND(B8&lt;&gt;"",F8&lt;&gt;0),B8/F8,"")</f>
        <v/>
      </c>
      <c r="I8" s="28">
        <f>IF(B7&lt;&gt;0,(B8-B7)/B7,"")</f>
        <v/>
      </c>
      <c r="J8" s="5" t="inlineStr">
        <is>
          <t>Haute saison – dépassement anticipé</t>
        </is>
      </c>
      <c r="K8" s="5" t="inlineStr">
        <is>
          <t>À surveiller</t>
        </is>
      </c>
      <c r="L8" s="6" t="n">
        <v>45935</v>
      </c>
      <c r="M8" s="5" t="inlineStr"/>
      <c r="N8" s="5" t="inlineStr"/>
    </row>
    <row r="9" ht="22" customHeight="1">
      <c r="A9" s="8" t="inlineStr">
        <is>
          <t>T4 2025</t>
        </is>
      </c>
      <c r="B9" s="10" t="n">
        <v>10600000</v>
      </c>
      <c r="C9" s="10">
        <f>IF(B9&lt;&gt;"",B9/D9,"")</f>
        <v/>
      </c>
      <c r="D9" s="10" t="n">
        <v>20</v>
      </c>
      <c r="E9" s="10" t="n">
        <v>55</v>
      </c>
      <c r="F9" s="10" t="n">
        <v>10200000</v>
      </c>
      <c r="G9" s="25">
        <f>IF(B9&lt;&gt;"",F9-B9,"")</f>
        <v/>
      </c>
      <c r="H9" s="29">
        <f>IF(AND(B9&lt;&gt;"",F9&lt;&gt;0),B9/F9,"")</f>
        <v/>
      </c>
      <c r="I9" s="29">
        <f>IF(B8&lt;&gt;0,(B9-B8)/B8,"")</f>
        <v/>
      </c>
      <c r="J9" s="8" t="inlineStr">
        <is>
          <t>Fêtes de fin d'année</t>
        </is>
      </c>
      <c r="K9" s="8" t="inlineStr">
        <is>
          <t>À surveiller</t>
        </is>
      </c>
      <c r="L9" s="9" t="n">
        <v>46027</v>
      </c>
      <c r="M9" s="8" t="inlineStr"/>
      <c r="N9" s="8" t="inlineStr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G6:G9">
    <cfRule type="cellIs" priority="1" operator="lessThan" dxfId="0">
      <formula>0</formula>
    </cfRule>
    <cfRule type="cellIs" priority="2" operator="greaterThanOrEqual" dxfId="1">
      <formula>0</formula>
    </cfRule>
  </conditionalFormatting>
  <dataValidations count="2">
    <dataValidation sqref="A6:A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22" customWidth="1" min="5" max="5"/>
    <col width="20" customWidth="1" min="6" max="6"/>
    <col width="18" customWidth="1" min="7" max="7"/>
    <col width="26" customWidth="1" min="8" max="8"/>
    <col width="22" customWidth="1" min="9" max="9"/>
    <col width="40" customWidth="1" min="10" max="10"/>
    <col width="22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19-ANALYSE DES TENDANCES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Année</t>
        </is>
      </c>
      <c r="B5" s="4" t="inlineStr">
        <is>
          <t>Coût Annuel Total</t>
        </is>
      </c>
      <c r="C5" s="4" t="inlineStr">
        <is>
          <t>Nb Missions</t>
        </is>
      </c>
      <c r="D5" s="4" t="inlineStr">
        <is>
          <t>Durée Moyenne</t>
        </is>
      </c>
      <c r="E5" s="4" t="inlineStr">
        <is>
          <t>Taux de Renouvellement</t>
        </is>
      </c>
      <c r="F5" s="4" t="inlineStr">
        <is>
          <t>Satisfaction Moyenne</t>
        </is>
      </c>
      <c r="G5" s="4" t="inlineStr">
        <is>
          <t>Évolution Coût (%)</t>
        </is>
      </c>
      <c r="H5" s="4" t="inlineStr">
        <is>
          <t>Top Département</t>
        </is>
      </c>
      <c r="I5" s="4" t="inlineStr">
        <is>
          <t>Top Poste</t>
        </is>
      </c>
      <c r="J5" s="4" t="inlineStr">
        <is>
          <t>Recommandation</t>
        </is>
      </c>
      <c r="K5" s="4" t="inlineStr">
        <is>
          <t>Budget Prévisionnel</t>
        </is>
      </c>
      <c r="L5" s="4" t="inlineStr">
        <is>
          <t>Statut</t>
        </is>
      </c>
      <c r="M5" s="4" t="inlineStr">
        <is>
          <t>Date MAJ</t>
        </is>
      </c>
      <c r="N5" s="4" t="inlineStr"/>
    </row>
    <row r="6" ht="22" customHeight="1">
      <c r="A6" s="5" t="inlineStr">
        <is>
          <t>2023</t>
        </is>
      </c>
      <c r="B6" s="7" t="n">
        <v>32000000</v>
      </c>
      <c r="C6" s="7" t="n">
        <v>65</v>
      </c>
      <c r="D6" s="7" t="n">
        <v>42</v>
      </c>
      <c r="E6" s="5" t="inlineStr">
        <is>
          <t>45%</t>
        </is>
      </c>
      <c r="F6" s="7" t="n">
        <v>3.7</v>
      </c>
      <c r="G6" s="5" t="inlineStr">
        <is>
          <t>""</t>
        </is>
      </c>
      <c r="H6" s="5" t="inlineStr">
        <is>
          <t>Cuisine &amp; Restauration</t>
        </is>
      </c>
      <c r="I6" s="5" t="inlineStr">
        <is>
          <t>Serveur</t>
        </is>
      </c>
      <c r="J6" s="5" t="inlineStr">
        <is>
          <t>Optimiser le recours à l'intérim – développer CDI</t>
        </is>
      </c>
      <c r="K6" s="7" t="n">
        <v>34000000</v>
      </c>
      <c r="L6" s="5" t="inlineStr">
        <is>
          <t>Clôturé</t>
        </is>
      </c>
      <c r="M6" s="6" t="n">
        <v>45306</v>
      </c>
      <c r="N6" s="5" t="inlineStr"/>
    </row>
    <row r="7" ht="22" customHeight="1">
      <c r="A7" s="8" t="inlineStr">
        <is>
          <t>2024</t>
        </is>
      </c>
      <c r="B7" s="10" t="n">
        <v>36000000</v>
      </c>
      <c r="C7" s="10" t="n">
        <v>72</v>
      </c>
      <c r="D7" s="10" t="n">
        <v>48</v>
      </c>
      <c r="E7" s="8" t="inlineStr">
        <is>
          <t>50%</t>
        </is>
      </c>
      <c r="F7" s="10" t="n">
        <v>3.8</v>
      </c>
      <c r="G7" s="29">
        <f>IF(B6&lt;&gt;0,(B7-B6)/B6,"")</f>
        <v/>
      </c>
      <c r="H7" s="8" t="inlineStr">
        <is>
          <t>Cuisine &amp; Restauration</t>
        </is>
      </c>
      <c r="I7" s="8" t="inlineStr">
        <is>
          <t>Femme de chambre</t>
        </is>
      </c>
      <c r="J7" s="8" t="inlineStr">
        <is>
          <t>Renforcer partenariats agences, négocier tarifs groupe</t>
        </is>
      </c>
      <c r="K7" s="10" t="n">
        <v>38000000</v>
      </c>
      <c r="L7" s="8" t="inlineStr">
        <is>
          <t>Clôturé</t>
        </is>
      </c>
      <c r="M7" s="9" t="n">
        <v>45672</v>
      </c>
      <c r="N7" s="8" t="inlineStr"/>
    </row>
    <row r="8" ht="22" customHeight="1">
      <c r="A8" s="5" t="inlineStr">
        <is>
          <t>2025</t>
        </is>
      </c>
      <c r="B8" s="24" t="n"/>
      <c r="C8" s="5" t="n"/>
      <c r="D8" s="5" t="n"/>
      <c r="E8" s="5" t="n"/>
      <c r="F8" s="5" t="n"/>
      <c r="G8" s="5" t="inlineStr">
        <is>
          <t>""</t>
        </is>
      </c>
      <c r="H8" s="5" t="inlineStr"/>
      <c r="I8" s="5" t="inlineStr"/>
      <c r="J8" s="5" t="inlineStr">
        <is>
          <t>Maintenir la tendance baissière, digitaliser le suivi</t>
        </is>
      </c>
      <c r="K8" s="7" t="n">
        <v>40000000</v>
      </c>
      <c r="L8" s="5" t="inlineStr">
        <is>
          <t>En cours</t>
        </is>
      </c>
      <c r="M8" s="6" t="n">
        <v>45703</v>
      </c>
      <c r="N8" s="5" t="inlineStr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A6:A115" showDropDown="0" showInputMessage="0" showErrorMessage="0" allowBlank="1" errorTitle="Erreur" error="Valeur invalide" promptTitle="" prompt="Choisir dans la liste: " type="list">
      <formula1>'F02 - _Lists'!$AC$6:$AC$8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_Lists'!$L$6:$L$13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2026-07-15T09:20:04Z</dcterms:created>
  <dcterms:modified xmlns:dcterms="http://purl.org/dc/terms/" xmlns:xsi="http://www.w3.org/2001/XMLSchema-instance" xsi:type="dcterms:W3CDTF">2026-07-15T09:20:05Z</dcterms:modified>
</cp:coreProperties>
</file>