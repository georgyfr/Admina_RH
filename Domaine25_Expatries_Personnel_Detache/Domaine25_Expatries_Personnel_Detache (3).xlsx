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tabRatio="600" firstSheet="0" activeTab="0" autoFilterDateGrouping="1"/>
  </bookViews>
  <sheets>
    <sheet name="F01 - _Données Expatriés" sheetId="1" state="visible" r:id="rId1"/>
    <sheet name="F02 - _Lists" sheetId="2" state="visible" r:id="rId2"/>
    <sheet name="F03 - 1-Tableau de Bord" sheetId="3" state="visible" r:id="rId3"/>
    <sheet name="F04 - 2-Contrats Missions" sheetId="4" state="visible" r:id="rId4"/>
    <sheet name="F05 - 3-Permis Visa" sheetId="5" state="visible" r:id="rId5"/>
    <sheet name="F06 - 4-Suivi Presence" sheetId="6" state="visible" r:id="rId6"/>
    <sheet name="F07 - 5-Éval. Expatriés" sheetId="7" state="visible" r:id="rId7"/>
    <sheet name="F08 - 6-Plan Relocalisation" sheetId="8" state="visible" r:id="rId8"/>
    <sheet name="F09 - 7-Gestion Logement" sheetId="9" state="visible" r:id="rId9"/>
    <sheet name="F10 - 8-Suivi Remuneration" sheetId="10" state="visible" r:id="rId10"/>
    <sheet name="F11 - 9-Fiscalite Internat." sheetId="11" state="visible" r:id="rId11"/>
    <sheet name="F12 - 10-Analyse Coûts" sheetId="12" state="visible" r:id="rId12"/>
    <sheet name="F13 - 11-Assurances Couverture" sheetId="13" state="visible" r:id="rId13"/>
    <sheet name="F14 - 12-Suivi Fin Mission" sheetId="14" state="visible" r:id="rId14"/>
    <sheet name="F15 - 13-Plannings Exp." sheetId="15" state="visible" r:id="rId15"/>
    <sheet name="F16 - 14-Litiges Expatriation" sheetId="16" state="visible" r:id="rId16"/>
    <sheet name="F17 - 15-Historique Exp." sheetId="17" state="visible" r:id="rId17"/>
    <sheet name="F18 - 16-Calendrier Missions" sheetId="18" state="visible" r:id="rId18"/>
    <sheet name="F19 - 17-Matrice Exp x Dep" sheetId="19" state="visible" r:id="rId19"/>
    <sheet name="F20 - 18-TdB Financier" sheetId="20" state="visible" r:id="rId20"/>
    <sheet name="F21 - 19-Indic. Performanc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04D40"/>
      <sz val="14"/>
    </font>
    <font>
      <name val="Calibri"/>
      <color rgb="007f8c8d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4D40"/>
      <sz val="10"/>
    </font>
    <font>
      <name val="Calibri"/>
      <b val="1"/>
      <color rgb="00F57C00"/>
      <sz val="12"/>
    </font>
  </fonts>
  <fills count="5">
    <fill>
      <patternFill/>
    </fill>
    <fill>
      <patternFill patternType="gray125"/>
    </fill>
    <fill>
      <patternFill patternType="solid">
        <fgColor rgb="00004D40"/>
        <bgColor rgb="00004D40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80CBC4"/>
      </left>
      <right style="thin">
        <color rgb="0080CBC4"/>
      </right>
      <top style="thin">
        <color rgb="0080CBC4"/>
      </top>
      <bottom style="thin">
        <color rgb="0080CB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4D40"/>
    <outlinePr summaryBelow="1" summaryRight="1"/>
    <pageSetUpPr/>
  </sheetPr>
  <dimension ref="A2:N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2" customWidth="1" min="6" max="6"/>
    <col width="22" customWidth="1" min="7" max="7"/>
    <col width="20" customWidth="1" min="8" max="8"/>
    <col width="13" customWidth="1" min="9" max="9"/>
    <col width="13" customWidth="1" min="10" max="10"/>
    <col width="18" customWidth="1" min="11" max="11"/>
    <col width="12" customWidth="1" min="12" max="12"/>
  </cols>
  <sheetData>
    <row r="2" ht="25" customHeight="1">
      <c r="A2" s="1" t="inlineStr">
        <is>
          <t>DOMAINE 25 — GESTION DES EXPATRIÉS ET DU PERSONNEL DÉTACHÉ</t>
        </is>
      </c>
    </row>
    <row r="3" ht="18" customHeight="1">
      <c r="A3" s="2" t="inlineStr">
        <is>
          <t>DONNÉES EXPATRIÉS — Base de référence centrale (toutes les feuilles s'y réfèrent)</t>
        </is>
      </c>
    </row>
    <row r="4">
      <c r="A4" s="2" t="inlineStr">
        <is>
          <t>TABLEAU DYNAMIQUE — Saisissez dans la zone prévue ci-dessous</t>
        </is>
      </c>
    </row>
    <row r="5">
      <c r="A5" s="3" t="inlineStr">
        <is>
          <t>Matricule</t>
        </is>
      </c>
      <c r="B5" s="3" t="inlineStr">
        <is>
          <t>Nom</t>
        </is>
      </c>
      <c r="C5" s="3" t="inlineStr">
        <is>
          <t>Prénom</t>
        </is>
      </c>
      <c r="D5" s="3" t="inlineStr">
        <is>
          <t>Nationalité</t>
        </is>
      </c>
      <c r="E5" s="3" t="inlineStr">
        <is>
          <t>Pays Origine</t>
        </is>
      </c>
      <c r="F5" s="3" t="inlineStr">
        <is>
          <t>Département</t>
        </is>
      </c>
      <c r="G5" s="3" t="inlineStr">
        <is>
          <t>Poste</t>
        </is>
      </c>
      <c r="H5" s="3" t="inlineStr">
        <is>
          <t>Type Contrat</t>
        </is>
      </c>
      <c r="I5" s="3" t="inlineStr">
        <is>
          <t>Date Début</t>
        </is>
      </c>
      <c r="J5" s="3" t="inlineStr">
        <is>
          <t>Date Fin</t>
        </is>
      </c>
      <c r="K5" s="3" t="inlineStr">
        <is>
          <t>Salaire Base (FCFA)</t>
        </is>
      </c>
      <c r="L5" s="3" t="inlineStr">
        <is>
          <t>Statut</t>
        </is>
      </c>
    </row>
    <row r="6">
      <c r="A6" s="4" t="inlineStr">
        <is>
          <t>EXP-001</t>
        </is>
      </c>
      <c r="B6" s="4" t="inlineStr">
        <is>
          <t>Dupont</t>
        </is>
      </c>
      <c r="C6" s="4" t="inlineStr">
        <is>
          <t>Jean-Pierre</t>
        </is>
      </c>
      <c r="D6" s="4" t="inlineStr">
        <is>
          <t>Française</t>
        </is>
      </c>
      <c r="E6" s="4" t="inlineStr">
        <is>
          <t>France</t>
        </is>
      </c>
      <c r="F6" s="4" t="inlineStr">
        <is>
          <t>Direction Générale</t>
        </is>
      </c>
      <c r="G6" s="4" t="inlineStr">
        <is>
          <t>Directeur Général</t>
        </is>
      </c>
      <c r="H6" s="4" t="inlineStr">
        <is>
          <t>Contrat expatrié</t>
        </is>
      </c>
      <c r="I6" s="5" t="n">
        <v>45306</v>
      </c>
      <c r="J6" s="5" t="n">
        <v>46401</v>
      </c>
      <c r="K6" s="4" t="n">
        <v>5500000</v>
      </c>
      <c r="L6" s="4" t="inlineStr">
        <is>
          <t>En poste</t>
        </is>
      </c>
    </row>
    <row r="7">
      <c r="A7" s="6" t="inlineStr">
        <is>
          <t>EXP-002</t>
        </is>
      </c>
      <c r="B7" s="6" t="inlineStr">
        <is>
          <t>Muller</t>
        </is>
      </c>
      <c r="C7" s="6" t="inlineStr">
        <is>
          <t>Hans</t>
        </is>
      </c>
      <c r="D7" s="6" t="inlineStr">
        <is>
          <t>Allemande</t>
        </is>
      </c>
      <c r="E7" s="6" t="inlineStr">
        <is>
          <t>Allemagne</t>
        </is>
      </c>
      <c r="F7" s="6" t="inlineStr">
        <is>
          <t>Cuisine &amp; Restauration</t>
        </is>
      </c>
      <c r="G7" s="6" t="inlineStr">
        <is>
          <t>Chef Exécutif</t>
        </is>
      </c>
      <c r="H7" s="6" t="inlineStr">
        <is>
          <t>Contrat détaché</t>
        </is>
      </c>
      <c r="I7" s="7" t="n">
        <v>45352</v>
      </c>
      <c r="J7" s="7" t="n">
        <v>46081</v>
      </c>
      <c r="K7" s="6" t="n">
        <v>3800000</v>
      </c>
      <c r="L7" s="6" t="inlineStr">
        <is>
          <t>En poste</t>
        </is>
      </c>
    </row>
    <row r="8">
      <c r="A8" s="4" t="inlineStr">
        <is>
          <t>EXP-003</t>
        </is>
      </c>
      <c r="B8" s="4" t="inlineStr">
        <is>
          <t>Silva</t>
        </is>
      </c>
      <c r="C8" s="4" t="inlineStr">
        <is>
          <t>Carlos</t>
        </is>
      </c>
      <c r="D8" s="4" t="inlineStr">
        <is>
          <t>Brésilienne</t>
        </is>
      </c>
      <c r="E8" s="4" t="inlineStr">
        <is>
          <t>Brésil</t>
        </is>
      </c>
      <c r="F8" s="4" t="inlineStr">
        <is>
          <t>Finance &amp; Comptabilité</t>
        </is>
      </c>
      <c r="G8" s="4" t="inlineStr">
        <is>
          <t>Directeur Financier</t>
        </is>
      </c>
      <c r="H8" s="4" t="inlineStr">
        <is>
          <t>Contrat expatrié</t>
        </is>
      </c>
      <c r="I8" s="5" t="n">
        <v>45444</v>
      </c>
      <c r="J8" s="5" t="n">
        <v>46538</v>
      </c>
      <c r="K8" s="4" t="n">
        <v>4500000</v>
      </c>
      <c r="L8" s="4" t="inlineStr">
        <is>
          <t>En poste</t>
        </is>
      </c>
    </row>
    <row r="9">
      <c r="A9" s="6" t="inlineStr">
        <is>
          <t>EXP-004</t>
        </is>
      </c>
      <c r="B9" s="6" t="inlineStr">
        <is>
          <t>Nakamura</t>
        </is>
      </c>
      <c r="C9" s="6" t="inlineStr">
        <is>
          <t>Yuki</t>
        </is>
      </c>
      <c r="D9" s="6" t="inlineStr">
        <is>
          <t>Japonaise</t>
        </is>
      </c>
      <c r="E9" s="6" t="inlineStr">
        <is>
          <t>Japon</t>
        </is>
      </c>
      <c r="F9" s="6" t="inlineStr">
        <is>
          <t>Réception &amp; Front Office</t>
        </is>
      </c>
      <c r="G9" s="6" t="inlineStr">
        <is>
          <t>Responsable Réception</t>
        </is>
      </c>
      <c r="H9" s="6" t="inlineStr">
        <is>
          <t>Contrat expatrié</t>
        </is>
      </c>
      <c r="I9" s="7" t="n">
        <v>45536</v>
      </c>
      <c r="J9" s="7" t="n">
        <v>46265</v>
      </c>
      <c r="K9" s="6" t="n">
        <v>2800000</v>
      </c>
      <c r="L9" s="6" t="inlineStr">
        <is>
          <t>En poste</t>
        </is>
      </c>
    </row>
    <row r="10">
      <c r="A10" s="4" t="inlineStr">
        <is>
          <t>EXP-005</t>
        </is>
      </c>
      <c r="B10" s="4" t="inlineStr">
        <is>
          <t>Smith</t>
        </is>
      </c>
      <c r="C10" s="4" t="inlineStr">
        <is>
          <t>James</t>
        </is>
      </c>
      <c r="D10" s="4" t="inlineStr">
        <is>
          <t>Britannique</t>
        </is>
      </c>
      <c r="E10" s="4" t="inlineStr">
        <is>
          <t>Royaume-Uni</t>
        </is>
      </c>
      <c r="F10" s="4" t="inlineStr">
        <is>
          <t>Revenue Management</t>
        </is>
      </c>
      <c r="G10" s="4" t="inlineStr">
        <is>
          <t>Revenue Manager</t>
        </is>
      </c>
      <c r="H10" s="4" t="inlineStr">
        <is>
          <t>Contrat détaché</t>
        </is>
      </c>
      <c r="I10" s="5" t="n">
        <v>45658</v>
      </c>
      <c r="J10" s="5" t="n">
        <v>46387</v>
      </c>
      <c r="K10" s="4" t="n">
        <v>3200000</v>
      </c>
      <c r="L10" s="4" t="inlineStr">
        <is>
          <t>En poste</t>
        </is>
      </c>
    </row>
    <row r="11">
      <c r="A11" s="6" t="inlineStr">
        <is>
          <t>EXP-006</t>
        </is>
      </c>
      <c r="B11" s="6" t="inlineStr">
        <is>
          <t>Wang</t>
        </is>
      </c>
      <c r="C11" s="6" t="inlineStr">
        <is>
          <t>Mei</t>
        </is>
      </c>
      <c r="D11" s="6" t="inlineStr">
        <is>
          <t>Chinoise</t>
        </is>
      </c>
      <c r="E11" s="6" t="inlineStr">
        <is>
          <t>Chine</t>
        </is>
      </c>
      <c r="F11" s="6" t="inlineStr">
        <is>
          <t>Spa &amp; Bien-être</t>
        </is>
      </c>
      <c r="G11" s="6" t="inlineStr">
        <is>
          <t>Directrice Spa</t>
        </is>
      </c>
      <c r="H11" s="6" t="inlineStr">
        <is>
          <t>Contrat expatrié</t>
        </is>
      </c>
      <c r="I11" s="7" t="n">
        <v>45689</v>
      </c>
      <c r="J11" s="7" t="n">
        <v>46418</v>
      </c>
      <c r="K11" s="6" t="n">
        <v>2600000</v>
      </c>
      <c r="L11" s="6" t="inlineStr">
        <is>
          <t>En poste</t>
        </is>
      </c>
    </row>
    <row r="12">
      <c r="A12" s="4" t="inlineStr">
        <is>
          <t>EXP-007</t>
        </is>
      </c>
      <c r="B12" s="4" t="inlineStr">
        <is>
          <t>Kowalski</t>
        </is>
      </c>
      <c r="C12" s="4" t="inlineStr">
        <is>
          <t>Anna</t>
        </is>
      </c>
      <c r="D12" s="4" t="inlineStr">
        <is>
          <t>Polonaise</t>
        </is>
      </c>
      <c r="E12" s="4" t="inlineStr">
        <is>
          <t>Pologne</t>
        </is>
      </c>
      <c r="F12" s="4" t="inlineStr">
        <is>
          <t>Ressources Humaines</t>
        </is>
      </c>
      <c r="G12" s="4" t="inlineStr">
        <is>
          <t>DRH Adjointe</t>
        </is>
      </c>
      <c r="H12" s="4" t="inlineStr">
        <is>
          <t>Contrat détaché</t>
        </is>
      </c>
      <c r="I12" s="5" t="n">
        <v>45383</v>
      </c>
      <c r="J12" s="5" t="n">
        <v>46112</v>
      </c>
      <c r="K12" s="4" t="n">
        <v>3000000</v>
      </c>
      <c r="L12" s="4" t="inlineStr">
        <is>
          <t>En poste</t>
        </is>
      </c>
    </row>
    <row r="13">
      <c r="A13" s="6" t="inlineStr">
        <is>
          <t>EXP-008</t>
        </is>
      </c>
      <c r="B13" s="6" t="inlineStr">
        <is>
          <t>Moreau</t>
        </is>
      </c>
      <c r="C13" s="6" t="inlineStr">
        <is>
          <t>Sophie</t>
        </is>
      </c>
      <c r="D13" s="6" t="inlineStr">
        <is>
          <t>Française</t>
        </is>
      </c>
      <c r="E13" s="6" t="inlineStr">
        <is>
          <t>France</t>
        </is>
      </c>
      <c r="F13" s="6" t="inlineStr">
        <is>
          <t>Marketing &amp; Communication</t>
        </is>
      </c>
      <c r="G13" s="6" t="inlineStr">
        <is>
          <t>Directrice Marketing</t>
        </is>
      </c>
      <c r="H13" s="6" t="inlineStr">
        <is>
          <t>Contrat expatrié</t>
        </is>
      </c>
      <c r="I13" s="7" t="n">
        <v>45474</v>
      </c>
      <c r="J13" s="7" t="n">
        <v>46203</v>
      </c>
      <c r="K13" s="6" t="n">
        <v>3500000</v>
      </c>
      <c r="L13" s="6" t="inlineStr">
        <is>
          <t>En poste</t>
        </is>
      </c>
    </row>
    <row r="14">
      <c r="A14" s="4" t="inlineStr">
        <is>
          <t>EXP-009</t>
        </is>
      </c>
      <c r="B14" s="4" t="inlineStr">
        <is>
          <t>Okafor</t>
        </is>
      </c>
      <c r="C14" s="4" t="inlineStr">
        <is>
          <t>Chidi</t>
        </is>
      </c>
      <c r="D14" s="4" t="inlineStr">
        <is>
          <t>Nigériane</t>
        </is>
      </c>
      <c r="E14" s="4" t="inlineStr">
        <is>
          <t>Nigeria</t>
        </is>
      </c>
      <c r="F14" s="4" t="inlineStr">
        <is>
          <t>Maintenance &amp; Technique</t>
        </is>
      </c>
      <c r="G14" s="4" t="inlineStr">
        <is>
          <t>Directeur Technique</t>
        </is>
      </c>
      <c r="H14" s="4" t="inlineStr">
        <is>
          <t>Contrat détaché</t>
        </is>
      </c>
      <c r="I14" s="5" t="n">
        <v>45717</v>
      </c>
      <c r="J14" s="5" t="n">
        <v>46446</v>
      </c>
      <c r="K14" s="4" t="n">
        <v>2900000</v>
      </c>
      <c r="L14" s="4" t="inlineStr">
        <is>
          <t>En poste</t>
        </is>
      </c>
    </row>
    <row r="15">
      <c r="A15" s="6" t="inlineStr">
        <is>
          <t>EXP-010</t>
        </is>
      </c>
      <c r="B15" s="6" t="inlineStr">
        <is>
          <t>Rossi</t>
        </is>
      </c>
      <c r="C15" s="6" t="inlineStr">
        <is>
          <t>Marco</t>
        </is>
      </c>
      <c r="D15" s="6" t="inlineStr">
        <is>
          <t>Italienne</t>
        </is>
      </c>
      <c r="E15" s="6" t="inlineStr">
        <is>
          <t>Italie</t>
        </is>
      </c>
      <c r="F15" s="6" t="inlineStr">
        <is>
          <t>Cuisine &amp; Restauration</t>
        </is>
      </c>
      <c r="G15" s="6" t="inlineStr">
        <is>
          <t>Sous-Chef Pâtisserie</t>
        </is>
      </c>
      <c r="H15" s="6" t="inlineStr">
        <is>
          <t>Contrat expatrié</t>
        </is>
      </c>
      <c r="I15" s="7" t="n">
        <v>45672</v>
      </c>
      <c r="J15" s="7" t="n">
        <v>46036</v>
      </c>
      <c r="K15" s="6" t="n">
        <v>2200000</v>
      </c>
      <c r="L15" s="6" t="inlineStr">
        <is>
          <t>En poste</t>
        </is>
      </c>
    </row>
  </sheetData>
  <mergeCells count="2">
    <mergeCell ref="A3:N3"/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CBC4"/>
    <outlinePr summaryBelow="1" summaryRight="1"/>
    <pageSetUpPr/>
  </sheetPr>
  <dimension ref="A2:AC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2" ht="25" customHeight="1">
      <c r="A2" s="1" t="inlineStr">
        <is>
          <t>DOMAINE 25 — LISTES DE RÉFÉRENCE</t>
        </is>
      </c>
    </row>
    <row r="3" ht="18" customHeight="1">
      <c r="A3" s="2" t="inlineStr">
        <is>
          <t>Valeurs pour listes déroulantes — Saisissez vos propres valeurs</t>
        </is>
      </c>
    </row>
    <row r="5">
      <c r="A5" s="3" t="inlineStr">
        <is>
          <t>nationalites</t>
        </is>
      </c>
      <c r="B5" s="3" t="inlineStr">
        <is>
          <t>pays</t>
        </is>
      </c>
      <c r="C5" s="3" t="inlineStr">
        <is>
          <t>departements</t>
        </is>
      </c>
      <c r="D5" s="3" t="inlineStr">
        <is>
          <t>postes_exp</t>
        </is>
      </c>
      <c r="E5" s="3" t="inlineStr">
        <is>
          <t>types_contrat_exp</t>
        </is>
      </c>
      <c r="F5" s="3" t="inlineStr">
        <is>
          <t>statuts_exp</t>
        </is>
      </c>
      <c r="G5" s="3" t="inlineStr">
        <is>
          <t>types_visa</t>
        </is>
      </c>
      <c r="H5" s="3" t="inlineStr">
        <is>
          <t>statuts_visa</t>
        </is>
      </c>
      <c r="I5" s="3" t="inlineStr">
        <is>
          <t>types_permis</t>
        </is>
      </c>
      <c r="J5" s="3" t="inlineStr">
        <is>
          <t>niveaux_fiscalite</t>
        </is>
      </c>
      <c r="K5" s="3" t="inlineStr">
        <is>
          <t>types_assurance</t>
        </is>
      </c>
      <c r="L5" s="3" t="inlineStr">
        <is>
          <t>statuts_logement</t>
        </is>
      </c>
      <c r="M5" s="3" t="inlineStr">
        <is>
          <t>criteres_eval</t>
        </is>
      </c>
      <c r="N5" s="3" t="inlineStr">
        <is>
          <t>priorites</t>
        </is>
      </c>
      <c r="O5" s="3" t="inlineStr">
        <is>
          <t>types_litige_exp</t>
        </is>
      </c>
      <c r="P5" s="3" t="inlineStr">
        <is>
          <t>etapes_reloc</t>
        </is>
      </c>
      <c r="Q5" s="3" t="inlineStr">
        <is>
          <t>statuts_fin_mission</t>
        </is>
      </c>
      <c r="R5" s="3" t="inlineStr">
        <is>
          <t>modes_paiement</t>
        </is>
      </c>
      <c r="S5" s="3" t="inlineStr">
        <is>
          <t>origines</t>
        </is>
      </c>
      <c r="T5" s="3" t="inlineStr">
        <is>
          <t>tendances</t>
        </is>
      </c>
      <c r="U5" s="3" t="inlineStr">
        <is>
          <t>mois</t>
        </is>
      </c>
      <c r="V5" s="3" t="inlineStr">
        <is>
          <t>trimestres</t>
        </is>
      </c>
      <c r="W5" s="3" t="inlineStr">
        <is>
          <t>annees</t>
        </is>
      </c>
      <c r="X5" s="3" t="inlineStr">
        <is>
          <t>conformites</t>
        </is>
      </c>
      <c r="Y5" s="3" t="inlineStr">
        <is>
          <t>evaluations</t>
        </is>
      </c>
      <c r="Z5" s="3" t="inlineStr">
        <is>
          <t>recommandations</t>
        </is>
      </c>
      <c r="AA5" s="3" t="inlineStr">
        <is>
          <t>statuts_actif</t>
        </is>
      </c>
      <c r="AB5" s="3" t="inlineStr">
        <is>
          <t>statuts_litige</t>
        </is>
      </c>
      <c r="AC5" s="3" t="inlineStr">
        <is>
          <t>motifs_depart</t>
        </is>
      </c>
    </row>
    <row r="6">
      <c r="A6" s="4" t="inlineStr">
        <is>
          <t>Française</t>
        </is>
      </c>
      <c r="B6" s="4" t="inlineStr">
        <is>
          <t>France</t>
        </is>
      </c>
      <c r="C6" s="4" t="inlineStr">
        <is>
          <t>Direction Générale</t>
        </is>
      </c>
      <c r="D6" s="4" t="inlineStr">
        <is>
          <t>Directeur Général</t>
        </is>
      </c>
      <c r="E6" s="4" t="inlineStr">
        <is>
          <t>Contrat expatrié</t>
        </is>
      </c>
      <c r="F6" s="4" t="inlineStr">
        <is>
          <t>En poste</t>
        </is>
      </c>
      <c r="G6" s="4" t="inlineStr">
        <is>
          <t>Visa travail</t>
        </is>
      </c>
      <c r="H6" s="4" t="inlineStr">
        <is>
          <t>Valide</t>
        </is>
      </c>
      <c r="I6" s="4" t="inlineStr">
        <is>
          <t>Permis de travail A</t>
        </is>
      </c>
      <c r="J6" s="4" t="inlineStr">
        <is>
          <t>Exonération totale</t>
        </is>
      </c>
      <c r="K6" s="4" t="inlineStr">
        <is>
          <t>Assurance santé internationale</t>
        </is>
      </c>
      <c r="L6" s="4" t="inlineStr">
        <is>
          <t>Villa hôtel</t>
        </is>
      </c>
      <c r="M6" s="4" t="inlineStr">
        <is>
          <t>Compétence technique</t>
        </is>
      </c>
      <c r="N6" s="4" t="inlineStr">
        <is>
          <t>Haute</t>
        </is>
      </c>
      <c r="O6" s="4" t="inlineStr">
        <is>
          <t>Litige contractuel</t>
        </is>
      </c>
      <c r="P6" s="4" t="inlineStr">
        <is>
          <t>Demande initiale</t>
        </is>
      </c>
      <c r="Q6" s="4" t="inlineStr">
        <is>
          <t>Renouvellement contrat</t>
        </is>
      </c>
      <c r="R6" s="4" t="inlineStr">
        <is>
          <t>Virement international</t>
        </is>
      </c>
      <c r="S6" s="4" t="inlineStr">
        <is>
          <t>Groupe hôtelier</t>
        </is>
      </c>
      <c r="T6" s="4" t="inlineStr">
        <is>
          <t>Hausse</t>
        </is>
      </c>
      <c r="U6" s="4" t="inlineStr">
        <is>
          <t>Janvier</t>
        </is>
      </c>
      <c r="V6" s="4" t="inlineStr">
        <is>
          <t>T1</t>
        </is>
      </c>
      <c r="W6" s="4" t="inlineStr">
        <is>
          <t>2024</t>
        </is>
      </c>
      <c r="X6" s="4" t="inlineStr">
        <is>
          <t>Conforme</t>
        </is>
      </c>
      <c r="Y6" s="4" t="inlineStr">
        <is>
          <t>Excellent</t>
        </is>
      </c>
      <c r="Z6" s="4" t="inlineStr">
        <is>
          <t>Maintien en poste</t>
        </is>
      </c>
      <c r="AA6" s="4" t="inlineStr">
        <is>
          <t>Actif</t>
        </is>
      </c>
      <c r="AB6" s="4" t="inlineStr">
        <is>
          <t>En cours</t>
        </is>
      </c>
      <c r="AC6" s="4" t="inlineStr">
        <is>
          <t>Fin de contrat</t>
        </is>
      </c>
    </row>
    <row r="7">
      <c r="A7" s="6" t="inlineStr">
        <is>
          <t>Allemande</t>
        </is>
      </c>
      <c r="B7" s="6" t="inlineStr">
        <is>
          <t>Allemagne</t>
        </is>
      </c>
      <c r="C7" s="6" t="inlineStr">
        <is>
          <t>Cuisine &amp; Restauration</t>
        </is>
      </c>
      <c r="D7" s="6" t="inlineStr">
        <is>
          <t>Chef Exécutif</t>
        </is>
      </c>
      <c r="E7" s="6" t="inlineStr">
        <is>
          <t>Contrat détaché</t>
        </is>
      </c>
      <c r="F7" s="6" t="inlineStr">
        <is>
          <t>En transit</t>
        </is>
      </c>
      <c r="G7" s="6" t="inlineStr">
        <is>
          <t>Visa affaires</t>
        </is>
      </c>
      <c r="H7" s="6" t="inlineStr">
        <is>
          <t>En cours de renouvellement</t>
        </is>
      </c>
      <c r="I7" s="6" t="inlineStr">
        <is>
          <t>Permis de travail B</t>
        </is>
      </c>
      <c r="J7" s="6" t="inlineStr">
        <is>
          <t>Exonération partielle</t>
        </is>
      </c>
      <c r="K7" s="6" t="inlineStr">
        <is>
          <t>Assurance rapatriement</t>
        </is>
      </c>
      <c r="L7" s="6" t="inlineStr">
        <is>
          <t>Appartement meublé</t>
        </is>
      </c>
      <c r="M7" s="6" t="inlineStr">
        <is>
          <t>Adaptabilité culturelle</t>
        </is>
      </c>
      <c r="N7" s="6" t="inlineStr">
        <is>
          <t>Moyenne</t>
        </is>
      </c>
      <c r="O7" s="6" t="inlineStr">
        <is>
          <t>Litige fiscal</t>
        </is>
      </c>
      <c r="P7" s="6" t="inlineStr">
        <is>
          <t>Validation RH</t>
        </is>
      </c>
      <c r="Q7" s="6" t="inlineStr">
        <is>
          <t>Rapatriement</t>
        </is>
      </c>
      <c r="R7" s="6" t="inlineStr">
        <is>
          <t>Virement local</t>
        </is>
      </c>
      <c r="S7" s="6" t="inlineStr">
        <is>
          <t>Chaîne internationale</t>
        </is>
      </c>
      <c r="T7" s="6" t="inlineStr">
        <is>
          <t>Baisse</t>
        </is>
      </c>
      <c r="U7" s="6" t="inlineStr">
        <is>
          <t>Février</t>
        </is>
      </c>
      <c r="V7" s="6" t="inlineStr">
        <is>
          <t>T2</t>
        </is>
      </c>
      <c r="W7" s="6" t="inlineStr">
        <is>
          <t>2025</t>
        </is>
      </c>
      <c r="X7" s="6" t="inlineStr">
        <is>
          <t>Non conforme</t>
        </is>
      </c>
      <c r="Y7" s="6" t="inlineStr">
        <is>
          <t>Très bon</t>
        </is>
      </c>
      <c r="Z7" s="6" t="inlineStr">
        <is>
          <t>Renouvellement</t>
        </is>
      </c>
      <c r="AA7" s="6" t="inlineStr">
        <is>
          <t>Inactif</t>
        </is>
      </c>
      <c r="AB7" s="6" t="inlineStr">
        <is>
          <t>Résolu</t>
        </is>
      </c>
      <c r="AC7" s="6" t="inlineStr">
        <is>
          <t>Raison personnelle</t>
        </is>
      </c>
    </row>
    <row r="8">
      <c r="A8" s="4" t="inlineStr">
        <is>
          <t>Brésilienne</t>
        </is>
      </c>
      <c r="B8" s="4" t="inlineStr">
        <is>
          <t>Brésil</t>
        </is>
      </c>
      <c r="C8" s="4" t="inlineStr">
        <is>
          <t>Finance &amp; Comptabilité</t>
        </is>
      </c>
      <c r="D8" s="4" t="inlineStr">
        <is>
          <t>Directeur Financier</t>
        </is>
      </c>
      <c r="E8" s="4" t="inlineStr">
        <is>
          <t>Mission technique</t>
        </is>
      </c>
      <c r="F8" s="4" t="inlineStr">
        <is>
          <t>En cours de renouvellement</t>
        </is>
      </c>
      <c r="G8" s="4" t="inlineStr">
        <is>
          <t>Visa touristique</t>
        </is>
      </c>
      <c r="H8" s="4" t="inlineStr">
        <is>
          <t>Expiré</t>
        </is>
      </c>
      <c r="I8" s="4" t="inlineStr">
        <is>
          <t>Carte professionnelle</t>
        </is>
      </c>
      <c r="J8" s="4" t="inlineStr">
        <is>
          <t>Imposition complète</t>
        </is>
      </c>
      <c r="K8" s="4" t="inlineStr">
        <is>
          <t>Assurance responsabilité civile</t>
        </is>
      </c>
      <c r="L8" s="4" t="inlineStr">
        <is>
          <t>Logement de fonction</t>
        </is>
      </c>
      <c r="M8" s="4" t="inlineStr">
        <is>
          <t>Leadership</t>
        </is>
      </c>
      <c r="N8" s="4" t="inlineStr">
        <is>
          <t>Basse</t>
        </is>
      </c>
      <c r="O8" s="4" t="inlineStr">
        <is>
          <t>Problème de visa</t>
        </is>
      </c>
      <c r="P8" s="4" t="inlineStr">
        <is>
          <t>Validation DG</t>
        </is>
      </c>
      <c r="Q8" s="4" t="inlineStr">
        <is>
          <t>Mutation interne</t>
        </is>
      </c>
      <c r="R8" s="4" t="inlineStr">
        <is>
          <t>Compte offshore</t>
        </is>
      </c>
      <c r="S8" s="4" t="inlineStr">
        <is>
          <t>Recrutement direct</t>
        </is>
      </c>
      <c r="T8" s="4" t="inlineStr">
        <is>
          <t>Stable</t>
        </is>
      </c>
      <c r="U8" s="4" t="inlineStr">
        <is>
          <t>Mars</t>
        </is>
      </c>
      <c r="V8" s="4" t="inlineStr">
        <is>
          <t>T3</t>
        </is>
      </c>
      <c r="W8" s="4" t="inlineStr">
        <is>
          <t>2026</t>
        </is>
      </c>
      <c r="X8" s="4" t="inlineStr">
        <is>
          <t>En attente</t>
        </is>
      </c>
      <c r="Y8" s="4" t="inlineStr">
        <is>
          <t>Bon</t>
        </is>
      </c>
      <c r="Z8" s="4" t="inlineStr">
        <is>
          <t>Non renouvelé</t>
        </is>
      </c>
      <c r="AA8" s="4" t="inlineStr">
        <is>
          <t>Expiré</t>
        </is>
      </c>
      <c r="AB8" s="4" t="inlineStr">
        <is>
          <t>Clôturé</t>
        </is>
      </c>
      <c r="AC8" s="4" t="inlineStr">
        <is>
          <t>Mutation interne</t>
        </is>
      </c>
    </row>
    <row r="9">
      <c r="A9" s="6" t="inlineStr">
        <is>
          <t>Japonaise</t>
        </is>
      </c>
      <c r="B9" s="6" t="inlineStr">
        <is>
          <t>Japon</t>
        </is>
      </c>
      <c r="C9" s="6" t="inlineStr">
        <is>
          <t>Réception &amp; Front Office</t>
        </is>
      </c>
      <c r="D9" s="6" t="inlineStr">
        <is>
          <t>Responsable Réception</t>
        </is>
      </c>
      <c r="E9" s="6" t="inlineStr">
        <is>
          <t>Consultant international</t>
        </is>
      </c>
      <c r="F9" s="6" t="inlineStr">
        <is>
          <t>Pré-départ</t>
        </is>
      </c>
      <c r="G9" s="6" t="inlineStr">
        <is>
          <t>Carte de séjour</t>
        </is>
      </c>
      <c r="H9" s="6" t="inlineStr">
        <is>
          <t>En attente</t>
        </is>
      </c>
      <c r="I9" s="6" t="inlineStr">
        <is>
          <t>Exemption de permis</t>
        </is>
      </c>
      <c r="J9" s="6" t="inlineStr">
        <is>
          <t>Convention fiscale bilatérale</t>
        </is>
      </c>
      <c r="K9" s="6" t="inlineStr">
        <is>
          <t>Assurance voyage</t>
        </is>
      </c>
      <c r="L9" s="6" t="inlineStr">
        <is>
          <t>Indemnité logement</t>
        </is>
      </c>
      <c r="M9" s="6" t="inlineStr">
        <is>
          <t>Communication</t>
        </is>
      </c>
      <c r="N9" s="6" t="inlineStr">
        <is>
          <t>Critique</t>
        </is>
      </c>
      <c r="O9" s="6" t="inlineStr">
        <is>
          <t>Conflit avec équipe</t>
        </is>
      </c>
      <c r="P9" s="6" t="inlineStr">
        <is>
          <t>Obtention visa</t>
        </is>
      </c>
      <c r="Q9" s="6" t="inlineStr">
        <is>
          <t>Fin de mission prévue</t>
        </is>
      </c>
      <c r="R9" s="6" t="inlineStr">
        <is>
          <t>Mixte</t>
        </is>
      </c>
      <c r="S9" s="6" t="inlineStr">
        <is>
          <t>Organisme de placement</t>
        </is>
      </c>
      <c r="T9" s="6" t="inlineStr">
        <is>
          <t>En attente</t>
        </is>
      </c>
      <c r="U9" s="6" t="inlineStr">
        <is>
          <t>Avril</t>
        </is>
      </c>
      <c r="V9" s="6" t="inlineStr">
        <is>
          <t>T4</t>
        </is>
      </c>
      <c r="W9" s="6" t="inlineStr">
        <is>
          <t>2027</t>
        </is>
      </c>
      <c r="X9" s="6" t="inlineStr">
        <is>
          <t>À régulariser</t>
        </is>
      </c>
      <c r="Y9" s="6" t="inlineStr">
        <is>
          <t>Satisfaisant</t>
        </is>
      </c>
      <c r="Z9" s="6" t="inlineStr">
        <is>
          <t>Mutation</t>
        </is>
      </c>
      <c r="AA9" s="6" t="inlineStr">
        <is>
          <t>Résilié</t>
        </is>
      </c>
      <c r="AB9" s="6" t="inlineStr">
        <is>
          <t>En attente</t>
        </is>
      </c>
      <c r="AC9" s="6" t="inlineStr">
        <is>
          <t>Fin de mission</t>
        </is>
      </c>
    </row>
    <row r="10">
      <c r="A10" s="4" t="inlineStr">
        <is>
          <t>Britannique</t>
        </is>
      </c>
      <c r="B10" s="4" t="inlineStr">
        <is>
          <t>Royaume-Uni</t>
        </is>
      </c>
      <c r="C10" s="4" t="inlineStr">
        <is>
          <t>Revenue Management</t>
        </is>
      </c>
      <c r="D10" s="4" t="inlineStr">
        <is>
          <t>Revenue Manager</t>
        </is>
      </c>
      <c r="E10" s="4" t="inlineStr">
        <is>
          <t>Volontaire international</t>
        </is>
      </c>
      <c r="F10" s="4" t="inlineStr">
        <is>
          <t>En attente visa</t>
        </is>
      </c>
      <c r="G10" s="4" t="inlineStr">
        <is>
          <t>Titre de voyage</t>
        </is>
      </c>
      <c r="H10" s="4" t="inlineStr">
        <is>
          <t>Refusé</t>
        </is>
      </c>
      <c r="I10" s="4" t="inlineStr">
        <is>
          <t>En attente de délivrance</t>
        </is>
      </c>
      <c r="J10" s="4" t="inlineStr">
        <is>
          <t>Régime de droit commun</t>
        </is>
      </c>
      <c r="K10" s="4" t="inlineStr">
        <is>
          <t>Couverture CNPS locale</t>
        </is>
      </c>
      <c r="L10" s="4" t="inlineStr">
        <is>
          <t>Non pris en charge</t>
        </is>
      </c>
      <c r="M10" s="4" t="inlineStr">
        <is>
          <t>Respect des normes</t>
        </is>
      </c>
      <c r="N10" s="4" t="n"/>
      <c r="O10" s="4" t="inlineStr">
        <is>
          <t>Litige salarial</t>
        </is>
      </c>
      <c r="P10" s="4" t="inlineStr">
        <is>
          <t>Voyage</t>
        </is>
      </c>
      <c r="Q10" s="4" t="inlineStr">
        <is>
          <t>Départ anticipé</t>
        </is>
      </c>
      <c r="R10" s="4" t="n"/>
      <c r="S10" s="4" t="inlineStr">
        <is>
          <t>Mission tripartite</t>
        </is>
      </c>
      <c r="T10" s="4" t="n"/>
      <c r="U10" s="4" t="inlineStr">
        <is>
          <t>Mai</t>
        </is>
      </c>
      <c r="V10" s="4" t="n"/>
      <c r="W10" s="4" t="n"/>
      <c r="X10" s="4" t="n"/>
      <c r="Y10" s="4" t="inlineStr">
        <is>
          <t>Insuffisant</t>
        </is>
      </c>
      <c r="Z10" s="4" t="inlineStr">
        <is>
          <t>Promotion</t>
        </is>
      </c>
      <c r="AA10" s="4" t="inlineStr">
        <is>
          <t>En attente</t>
        </is>
      </c>
      <c r="AB10" s="4" t="inlineStr">
        <is>
          <t>Réouvert</t>
        </is>
      </c>
      <c r="AC10" s="4" t="inlineStr">
        <is>
          <t>Départ anticipé</t>
        </is>
      </c>
    </row>
    <row r="11">
      <c r="A11" s="6" t="inlineStr">
        <is>
          <t>Chinoise</t>
        </is>
      </c>
      <c r="B11" s="6" t="inlineStr">
        <is>
          <t>Chine</t>
        </is>
      </c>
      <c r="C11" s="6" t="inlineStr">
        <is>
          <t>Spa &amp; Bien-être</t>
        </is>
      </c>
      <c r="D11" s="6" t="inlineStr">
        <is>
          <t>Directrice Spa</t>
        </is>
      </c>
      <c r="E11" s="6" t="n"/>
      <c r="F11" s="6" t="inlineStr">
        <is>
          <t>Mission terminée</t>
        </is>
      </c>
      <c r="G11" s="6" t="n"/>
      <c r="H11" s="6" t="inlineStr">
        <is>
          <t>Non applicable</t>
        </is>
      </c>
      <c r="I11" s="6" t="n"/>
      <c r="J11" s="6" t="n"/>
      <c r="K11" s="6" t="n"/>
      <c r="L11" s="6" t="n"/>
      <c r="M11" s="6" t="inlineStr">
        <is>
          <t>Productivité</t>
        </is>
      </c>
      <c r="N11" s="6" t="n"/>
      <c r="O11" s="6" t="inlineStr">
        <is>
          <t>Litige logement</t>
        </is>
      </c>
      <c r="P11" s="6" t="inlineStr">
        <is>
          <t>Accueil à l'arrivée</t>
        </is>
      </c>
      <c r="Q11" s="6" t="inlineStr">
        <is>
          <t>Non renouvelé</t>
        </is>
      </c>
      <c r="R11" s="6" t="n"/>
      <c r="S11" s="6" t="n"/>
      <c r="T11" s="6" t="n"/>
      <c r="U11" s="6" t="inlineStr">
        <is>
          <t>Juin</t>
        </is>
      </c>
      <c r="V11" s="6" t="n"/>
      <c r="W11" s="6" t="n"/>
      <c r="X11" s="6" t="n"/>
      <c r="Y11" s="6" t="inlineStr">
        <is>
          <t>À améliorer</t>
        </is>
      </c>
      <c r="Z11" s="6" t="inlineStr">
        <is>
          <t>Rapatriement</t>
        </is>
      </c>
      <c r="AA11" s="6" t="n"/>
      <c r="AB11" s="6" t="n"/>
      <c r="AC11" s="6" t="inlineStr">
        <is>
          <t>Non renouvelé</t>
        </is>
      </c>
    </row>
    <row r="12">
      <c r="A12" s="4" t="inlineStr">
        <is>
          <t>Polonaise</t>
        </is>
      </c>
      <c r="B12" s="4" t="inlineStr">
        <is>
          <t>Pologne</t>
        </is>
      </c>
      <c r="C12" s="4" t="inlineStr">
        <is>
          <t>Ressources Humaines</t>
        </is>
      </c>
      <c r="D12" s="4" t="inlineStr">
        <is>
          <t>DRH Adjointe</t>
        </is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inlineStr">
        <is>
          <t>Esprit d'équipe</t>
        </is>
      </c>
      <c r="N12" s="4" t="n"/>
      <c r="O12" s="4" t="inlineStr">
        <is>
          <t>Problème de relocalisation</t>
        </is>
      </c>
      <c r="P12" s="4" t="inlineStr">
        <is>
          <t>Installation logement</t>
        </is>
      </c>
      <c r="Q12" s="4" t="inlineStr">
        <is>
          <t>Transformation CDI local</t>
        </is>
      </c>
      <c r="R12" s="4" t="n"/>
      <c r="S12" s="4" t="n"/>
      <c r="T12" s="4" t="n"/>
      <c r="U12" s="4" t="inlineStr">
        <is>
          <t>Juillet</t>
        </is>
      </c>
      <c r="V12" s="4" t="n"/>
      <c r="W12" s="4" t="n"/>
      <c r="X12" s="4" t="n"/>
      <c r="Y12" s="4" t="n"/>
      <c r="Z12" s="4" t="n"/>
      <c r="AA12" s="4" t="n"/>
      <c r="AB12" s="4" t="n"/>
      <c r="AC12" s="4" t="inlineStr">
        <is>
          <t>Licenciement</t>
        </is>
      </c>
    </row>
    <row r="13">
      <c r="A13" s="6" t="inlineStr">
        <is>
          <t>Italienne</t>
        </is>
      </c>
      <c r="B13" s="6" t="inlineStr">
        <is>
          <t>Italie</t>
        </is>
      </c>
      <c r="C13" s="6" t="inlineStr">
        <is>
          <t>Marketing &amp; Communication</t>
        </is>
      </c>
      <c r="D13" s="6" t="inlineStr">
        <is>
          <t>Directrice Marketing</t>
        </is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inlineStr">
        <is>
          <t>Initiative</t>
        </is>
      </c>
      <c r="N13" s="6" t="n"/>
      <c r="O13" s="6" t="inlineStr">
        <is>
          <t>Harcèlement</t>
        </is>
      </c>
      <c r="P13" s="6" t="inlineStr">
        <is>
          <t>Formation sécurité</t>
        </is>
      </c>
      <c r="Q13" s="6" t="n"/>
      <c r="R13" s="6" t="n"/>
      <c r="S13" s="6" t="n"/>
      <c r="T13" s="6" t="n"/>
      <c r="U13" s="6" t="inlineStr">
        <is>
          <t>Août</t>
        </is>
      </c>
      <c r="V13" s="6" t="n"/>
      <c r="W13" s="6" t="n"/>
      <c r="X13" s="6" t="n"/>
      <c r="Y13" s="6" t="n"/>
      <c r="Z13" s="6" t="n"/>
      <c r="AA13" s="6" t="n"/>
      <c r="AB13" s="6" t="n"/>
      <c r="AC13" s="6" t="n"/>
    </row>
    <row r="14">
      <c r="A14" s="4" t="inlineStr">
        <is>
          <t>Nigériane</t>
        </is>
      </c>
      <c r="B14" s="4" t="inlineStr">
        <is>
          <t>Nigeria</t>
        </is>
      </c>
      <c r="C14" s="4" t="inlineStr">
        <is>
          <t>Maintenance &amp; Technique</t>
        </is>
      </c>
      <c r="D14" s="4" t="inlineStr">
        <is>
          <t>Directeur Technique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inlineStr">
        <is>
          <t>Autre</t>
        </is>
      </c>
      <c r="P14" s="4" t="inlineStr">
        <is>
          <t>Démarrage mission</t>
        </is>
      </c>
      <c r="Q14" s="4" t="n"/>
      <c r="R14" s="4" t="n"/>
      <c r="S14" s="4" t="n"/>
      <c r="T14" s="4" t="n"/>
      <c r="U14" s="4" t="inlineStr">
        <is>
          <t>Septembre</t>
        </is>
      </c>
      <c r="V14" s="4" t="n"/>
      <c r="W14" s="4" t="n"/>
      <c r="X14" s="4" t="n"/>
      <c r="Y14" s="4" t="n"/>
      <c r="Z14" s="4" t="n"/>
      <c r="AA14" s="4" t="n"/>
      <c r="AB14" s="4" t="n"/>
      <c r="AC14" s="4" t="n"/>
    </row>
    <row r="15">
      <c r="A15" s="6" t="inlineStr">
        <is>
          <t>Marocaine</t>
        </is>
      </c>
      <c r="B15" s="6" t="inlineStr">
        <is>
          <t>Maroc</t>
        </is>
      </c>
      <c r="C15" s="6" t="inlineStr">
        <is>
          <t>Sécurité</t>
        </is>
      </c>
      <c r="D15" s="6" t="inlineStr">
        <is>
          <t>Sous-Chef Pâtisserie</t>
        </is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inlineStr">
        <is>
          <t>Suivi adaptation</t>
        </is>
      </c>
      <c r="Q15" s="6" t="n"/>
      <c r="R15" s="6" t="n"/>
      <c r="S15" s="6" t="n"/>
      <c r="T15" s="6" t="n"/>
      <c r="U15" s="6" t="inlineStr">
        <is>
          <t>Octobre</t>
        </is>
      </c>
      <c r="V15" s="6" t="n"/>
      <c r="W15" s="6" t="n"/>
      <c r="X15" s="6" t="n"/>
      <c r="Y15" s="6" t="n"/>
      <c r="Z15" s="6" t="n"/>
      <c r="AA15" s="6" t="n"/>
      <c r="AB15" s="6" t="n"/>
      <c r="AC15" s="6" t="n"/>
    </row>
    <row r="16">
      <c r="A16" s="4" t="inlineStr">
        <is>
          <t>Américaine</t>
        </is>
      </c>
      <c r="B16" s="4" t="inlineStr">
        <is>
          <t>États-Unis</t>
        </is>
      </c>
      <c r="C16" s="4" t="inlineStr">
        <is>
          <t>Commerce</t>
        </is>
      </c>
      <c r="D16" s="4" t="inlineStr">
        <is>
          <t>Responsable Qualite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inlineStr">
        <is>
          <t>Novembre</t>
        </is>
      </c>
      <c r="V16" s="4" t="n"/>
      <c r="W16" s="4" t="n"/>
      <c r="X16" s="4" t="n"/>
      <c r="Y16" s="4" t="n"/>
      <c r="Z16" s="4" t="n"/>
      <c r="AA16" s="4" t="n"/>
      <c r="AB16" s="4" t="n"/>
      <c r="AC16" s="4" t="n"/>
    </row>
    <row r="17">
      <c r="A17" s="6" t="inlineStr">
        <is>
          <t>Indienne</t>
        </is>
      </c>
      <c r="B17" s="6" t="inlineStr">
        <is>
          <t>Inde</t>
        </is>
      </c>
      <c r="C17" s="6" t="inlineStr">
        <is>
          <t>Gouvernance</t>
        </is>
      </c>
      <c r="D17" s="6" t="inlineStr">
        <is>
          <t>Formateur International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inlineStr">
        <is>
          <t>Décembre</t>
        </is>
      </c>
      <c r="V17" s="6" t="n"/>
      <c r="W17" s="6" t="n"/>
      <c r="X17" s="6" t="n"/>
      <c r="Y17" s="6" t="n"/>
      <c r="Z17" s="6" t="n"/>
      <c r="AA17" s="6" t="n"/>
      <c r="AB17" s="6" t="n"/>
      <c r="AC17" s="6" t="n"/>
    </row>
    <row r="18">
      <c r="A18" s="4" t="inlineStr">
        <is>
          <t>Sénégalaise</t>
        </is>
      </c>
      <c r="B18" s="4" t="inlineStr">
        <is>
          <t>Sénégal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</row>
    <row r="19">
      <c r="A19" s="6" t="inlineStr">
        <is>
          <t>Camerounaise</t>
        </is>
      </c>
      <c r="B19" s="6" t="inlineStr">
        <is>
          <t>Cameroun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</row>
    <row r="20">
      <c r="A20" s="4" t="inlineStr">
        <is>
          <t>Sud-Africaine</t>
        </is>
      </c>
      <c r="B20" s="4" t="inlineStr">
        <is>
          <t>Afrique du Sud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</sheetData>
  <mergeCells count="2">
    <mergeCell ref="A3:N3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4D40"/>
    <outlinePr summaryBelow="1" summaryRight="1"/>
    <pageSetUpPr/>
  </sheetPr>
  <dimension ref="A2:N9"/>
  <sheetViews>
    <sheetView workbookViewId="0">
      <selection activeCell="A1" sqref="A1"/>
    </sheetView>
  </sheetViews>
  <sheetFormatPr baseColWidth="8" defaultRowHeight="15"/>
  <cols>
    <col width="28" customWidth="1" min="1" max="1"/>
    <col width="4" customWidth="1" min="2" max="2"/>
    <col width="24" customWidth="1" min="3" max="3"/>
    <col width="4" customWidth="1" min="4" max="4"/>
    <col width="20" customWidth="1" min="5" max="5"/>
    <col width="4" customWidth="1" min="6" max="6"/>
    <col width="22" customWidth="1" min="7" max="7"/>
    <col width="4" customWidth="1" min="8" max="8"/>
    <col width="22" customWidth="1" min="9" max="9"/>
    <col width="4" customWidth="1" min="10" max="10"/>
    <col width="22" customWidth="1" min="11" max="11"/>
    <col width="4" customWidth="1" min="12" max="12"/>
    <col width="20" customWidth="1" min="13" max="13"/>
  </cols>
  <sheetData>
    <row r="2" ht="25" customHeight="1">
      <c r="A2" s="1" t="inlineStr">
        <is>
          <t>DOMAINE 25 — TABLEAU DE BORD SYNTHÉTIQUE</t>
        </is>
      </c>
    </row>
    <row r="3" ht="18" customHeight="1">
      <c r="A3" s="2" t="inlineStr">
        <is>
          <t>Suivi des expatriés, coûts, conformité et performance</t>
        </is>
      </c>
    </row>
    <row r="6">
      <c r="A6" s="8" t="inlineStr">
        <is>
          <t>Total Expatriés en Poste</t>
        </is>
      </c>
      <c r="B6" s="9" t="n">
        <v>10</v>
      </c>
      <c r="C6" s="8" t="inlineStr">
        <is>
          <t>Coût Mensuel Salaires (FCFA)</t>
        </is>
      </c>
      <c r="D6" s="9" t="n">
        <v>34000000</v>
      </c>
      <c r="E6" s="8" t="inlineStr">
        <is>
          <t>Contrats Actifs</t>
        </is>
      </c>
      <c r="F6" s="9" t="n">
        <v>10</v>
      </c>
      <c r="G6" s="8" t="inlineStr">
        <is>
          <t>Taux Conformité Visas</t>
        </is>
      </c>
      <c r="H6" s="9" t="inlineStr">
        <is>
          <t>90%</t>
        </is>
      </c>
      <c r="I6" s="8" t="inlineStr">
        <is>
          <t>Coût Moyen/Expatrié (FCFA)</t>
        </is>
      </c>
      <c r="J6" s="9" t="n">
        <v>3400000</v>
      </c>
      <c r="K6" s="8" t="inlineStr">
        <is>
          <t>Nationalités Représentées</t>
        </is>
      </c>
      <c r="L6" s="9" t="n">
        <v>8</v>
      </c>
    </row>
    <row r="9">
      <c r="A9" s="8" t="inlineStr">
        <is>
          <t>Alertes Visa Expirant (&lt; 30j)</t>
        </is>
      </c>
      <c r="B9" s="9" t="n">
        <v>2</v>
      </c>
      <c r="C9" s="8" t="inlineStr">
        <is>
          <t>Missions en Cours de Renouvellement</t>
        </is>
      </c>
      <c r="D9" s="9" t="n">
        <v>1</v>
      </c>
      <c r="E9" s="8" t="inlineStr">
        <is>
          <t>Dossier en Attente Permis</t>
        </is>
      </c>
      <c r="F9" s="9" t="n">
        <v>1</v>
      </c>
      <c r="G9" s="8" t="inlineStr">
        <is>
          <t>Litiges Ouverts</t>
        </is>
      </c>
      <c r="H9" s="9" t="n">
        <v>0</v>
      </c>
      <c r="I9" s="8" t="inlineStr">
        <is>
          <t>Taux Satisfaction Moyen</t>
        </is>
      </c>
      <c r="J9" s="9" t="inlineStr">
        <is>
          <t>85%</t>
        </is>
      </c>
      <c r="K9" s="8" t="inlineStr">
        <is>
          <t>Durée Moyenne Mission (mois)</t>
        </is>
      </c>
      <c r="L9" s="9" t="n">
        <v>24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  <col width="22" customWidth="1" min="5" max="5"/>
    <col width="20" customWidth="1" min="6" max="6"/>
    <col width="13" customWidth="1" min="7" max="7"/>
    <col width="13" customWidth="1" min="8" max="8"/>
    <col width="14" customWidth="1" min="9" max="9"/>
    <col width="20" customWidth="1" min="10" max="10"/>
    <col width="14" customWidth="1" min="11" max="11"/>
  </cols>
  <sheetData>
    <row r="2" ht="25" customHeight="1">
      <c r="A2" s="1" t="inlineStr">
        <is>
          <t>DOMAINE 25 — 2-CONTRATS ET MISSIONS EXPATRIÉS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Code Contrat</t>
        </is>
      </c>
      <c r="B5" s="3" t="inlineStr">
        <is>
          <t>Matricule</t>
        </is>
      </c>
      <c r="C5" s="3" t="inlineStr">
        <is>
          <t>Nom</t>
        </is>
      </c>
      <c r="D5" s="3" t="inlineStr">
        <is>
          <t>Département</t>
        </is>
      </c>
      <c r="E5" s="3" t="inlineStr">
        <is>
          <t>Poste</t>
        </is>
      </c>
      <c r="F5" s="3" t="inlineStr">
        <is>
          <t>Type Contrat</t>
        </is>
      </c>
      <c r="G5" s="3" t="inlineStr">
        <is>
          <t>Date Début</t>
        </is>
      </c>
      <c r="H5" s="3" t="inlineStr">
        <is>
          <t>Date Fin</t>
        </is>
      </c>
      <c r="I5" s="3" t="inlineStr">
        <is>
          <t>Durée (mois)</t>
        </is>
      </c>
      <c r="J5" s="3" t="inlineStr">
        <is>
          <t>Salaire Mensuel (FCFA)</t>
        </is>
      </c>
      <c r="K5" s="3" t="inlineStr">
        <is>
          <t>Statut</t>
        </is>
      </c>
    </row>
    <row r="6">
      <c r="A6" s="4" t="inlineStr">
        <is>
          <t>CTR-2024-001</t>
        </is>
      </c>
      <c r="B6" s="4" t="inlineStr">
        <is>
          <t>EXP-001</t>
        </is>
      </c>
      <c r="C6" s="4" t="inlineStr">
        <is>
          <t>Dupont Jean-Pierre</t>
        </is>
      </c>
      <c r="D6" s="4" t="inlineStr">
        <is>
          <t>Direction Générale</t>
        </is>
      </c>
      <c r="E6" s="4" t="inlineStr">
        <is>
          <t>Directeur Général</t>
        </is>
      </c>
      <c r="F6" s="4" t="inlineStr">
        <is>
          <t>Contrat expatrié</t>
        </is>
      </c>
      <c r="G6" s="5" t="n">
        <v>45306</v>
      </c>
      <c r="H6" s="5" t="n">
        <v>46401</v>
      </c>
      <c r="I6" s="4">
        <f>IF(OR(G6="",H6=""),"",IFERROR((H6-G6)/30.44,0))</f>
        <v/>
      </c>
      <c r="J6" s="4" t="n">
        <v>5500000</v>
      </c>
      <c r="K6" s="4" t="inlineStr">
        <is>
          <t>En poste</t>
        </is>
      </c>
    </row>
    <row r="7">
      <c r="A7" s="6" t="inlineStr">
        <is>
          <t>CTR-2024-002</t>
        </is>
      </c>
      <c r="B7" s="6" t="inlineStr">
        <is>
          <t>EXP-002</t>
        </is>
      </c>
      <c r="C7" s="6" t="inlineStr">
        <is>
          <t>Muller Hans</t>
        </is>
      </c>
      <c r="D7" s="6" t="inlineStr">
        <is>
          <t>Cuisine &amp; Restauration</t>
        </is>
      </c>
      <c r="E7" s="6" t="inlineStr">
        <is>
          <t>Chef Exécutif</t>
        </is>
      </c>
      <c r="F7" s="6" t="inlineStr">
        <is>
          <t>Contrat détaché</t>
        </is>
      </c>
      <c r="G7" s="7" t="n">
        <v>45352</v>
      </c>
      <c r="H7" s="7" t="n">
        <v>46081</v>
      </c>
      <c r="I7" s="6">
        <f>IF(OR(G7="",H7=""),"",IFERROR((H7-G7)/30.44,0))</f>
        <v/>
      </c>
      <c r="J7" s="6" t="n">
        <v>3800000</v>
      </c>
      <c r="K7" s="6" t="inlineStr">
        <is>
          <t>En poste</t>
        </is>
      </c>
    </row>
    <row r="8">
      <c r="A8" s="4" t="inlineStr">
        <is>
          <t>CTR-2024-003</t>
        </is>
      </c>
      <c r="B8" s="4" t="inlineStr">
        <is>
          <t>EXP-003</t>
        </is>
      </c>
      <c r="C8" s="4" t="inlineStr">
        <is>
          <t>Silva Carlos</t>
        </is>
      </c>
      <c r="D8" s="4" t="inlineStr">
        <is>
          <t>Finance &amp; Comptabilité</t>
        </is>
      </c>
      <c r="E8" s="4" t="inlineStr">
        <is>
          <t>Directeur Financier</t>
        </is>
      </c>
      <c r="F8" s="4" t="inlineStr">
        <is>
          <t>Contrat expatrié</t>
        </is>
      </c>
      <c r="G8" s="5" t="n">
        <v>45444</v>
      </c>
      <c r="H8" s="5" t="n">
        <v>46538</v>
      </c>
      <c r="I8" s="4">
        <f>IF(OR(G8="",H8=""),"",IFERROR((H8-G8)/30.44,0))</f>
        <v/>
      </c>
      <c r="J8" s="4" t="n">
        <v>4500000</v>
      </c>
      <c r="K8" s="4" t="inlineStr">
        <is>
          <t>En poste</t>
        </is>
      </c>
    </row>
    <row r="9">
      <c r="A9" s="6" t="inlineStr">
        <is>
          <t>CTR-2024-004</t>
        </is>
      </c>
      <c r="B9" s="6" t="inlineStr">
        <is>
          <t>EXP-004</t>
        </is>
      </c>
      <c r="C9" s="6" t="inlineStr">
        <is>
          <t>Nakamura Yuki</t>
        </is>
      </c>
      <c r="D9" s="6" t="inlineStr">
        <is>
          <t>Réception &amp; Front Office</t>
        </is>
      </c>
      <c r="E9" s="6" t="inlineStr">
        <is>
          <t>Responsable Réception</t>
        </is>
      </c>
      <c r="F9" s="6" t="inlineStr">
        <is>
          <t>Contrat expatrié</t>
        </is>
      </c>
      <c r="G9" s="7" t="n">
        <v>45536</v>
      </c>
      <c r="H9" s="7" t="n">
        <v>46265</v>
      </c>
      <c r="I9" s="6">
        <f>IF(OR(G9="",H9=""),"",IFERROR((H9-G9)/30.44,0))</f>
        <v/>
      </c>
      <c r="J9" s="6" t="n">
        <v>2800000</v>
      </c>
      <c r="K9" s="6" t="inlineStr">
        <is>
          <t>En poste</t>
        </is>
      </c>
    </row>
    <row r="10">
      <c r="A10" s="4" t="inlineStr">
        <is>
          <t>CTR-2025-005</t>
        </is>
      </c>
      <c r="B10" s="4" t="inlineStr">
        <is>
          <t>EXP-005</t>
        </is>
      </c>
      <c r="C10" s="4" t="inlineStr">
        <is>
          <t>Smith James</t>
        </is>
      </c>
      <c r="D10" s="4" t="inlineStr">
        <is>
          <t>Revenue Management</t>
        </is>
      </c>
      <c r="E10" s="4" t="inlineStr">
        <is>
          <t>Revenue Manager</t>
        </is>
      </c>
      <c r="F10" s="4" t="inlineStr">
        <is>
          <t>Contrat détaché</t>
        </is>
      </c>
      <c r="G10" s="5" t="n">
        <v>45658</v>
      </c>
      <c r="H10" s="5" t="n">
        <v>46387</v>
      </c>
      <c r="I10" s="4">
        <f>IF(OR(G10="",H10=""),"",IFERROR((H10-G10)/30.44,0))</f>
        <v/>
      </c>
      <c r="J10" s="4" t="n">
        <v>3200000</v>
      </c>
      <c r="K10" s="4" t="inlineStr">
        <is>
          <t>En poste</t>
        </is>
      </c>
    </row>
    <row r="11">
      <c r="A11" s="6">
        <f>IF(B11="","","CTR-"&amp;TEXT(ROW()-5,"000"))</f>
        <v/>
      </c>
      <c r="B11" s="6" t="n"/>
      <c r="C11" s="6">
        <f>IF(B11="","",VLOOKUP(B11,'F01 - _Données Expatriés'!$A$6:$L$15,2,FALSE))</f>
        <v/>
      </c>
      <c r="D11" s="6" t="n"/>
      <c r="E11" s="6" t="n"/>
      <c r="F11" s="6">
        <f>IF(B11="","",VLOOKUP(B11,'F01 - _Données Expatriés'!$A$6:$L$15,8,FALSE))</f>
        <v/>
      </c>
      <c r="G11" s="6" t="n"/>
      <c r="H11" s="6" t="n"/>
      <c r="I11" s="6">
        <f>IF(OR(G11="",H11=""),"",IFERROR((H11-G11)/30.44,0))</f>
        <v/>
      </c>
      <c r="J11" s="6">
        <f>IF(B11="","",VLOOKUP(B11,'F01 - _Données Expatriés'!$A$6:$L$15,11,FALSE))</f>
        <v/>
      </c>
      <c r="K11" s="6" t="n"/>
    </row>
    <row r="12">
      <c r="A12" s="4">
        <f>IF(B12="","","CTR-"&amp;TEXT(ROW()-5,"000"))</f>
        <v/>
      </c>
      <c r="B12" s="4" t="n"/>
      <c r="C12" s="4">
        <f>IF(B12="","",VLOOKUP(B12,'F01 - _Données Expatriés'!$A$6:$L$15,2,FALSE))</f>
        <v/>
      </c>
      <c r="D12" s="4" t="n"/>
      <c r="E12" s="4" t="n"/>
      <c r="F12" s="4">
        <f>IF(B12="","",VLOOKUP(B12,'F01 - _Données Expatriés'!$A$6:$L$15,8,FALSE))</f>
        <v/>
      </c>
      <c r="G12" s="4" t="n"/>
      <c r="H12" s="4" t="n"/>
      <c r="I12" s="4">
        <f>IF(OR(G12="",H12=""),"",IFERROR((H12-G12)/30.44,0))</f>
        <v/>
      </c>
      <c r="J12" s="4">
        <f>IF(B12="","",VLOOKUP(B12,'F01 - _Données Expatriés'!$A$6:$L$15,11,FALSE))</f>
        <v/>
      </c>
      <c r="K12" s="4" t="n"/>
    </row>
    <row r="13">
      <c r="A13" s="6">
        <f>IF(B13="","","CTR-"&amp;TEXT(ROW()-5,"000"))</f>
        <v/>
      </c>
      <c r="B13" s="6" t="n"/>
      <c r="C13" s="6">
        <f>IF(B13="","",VLOOKUP(B13,'F01 - _Données Expatriés'!$A$6:$L$15,2,FALSE))</f>
        <v/>
      </c>
      <c r="D13" s="6" t="n"/>
      <c r="E13" s="6" t="n"/>
      <c r="F13" s="6">
        <f>IF(B13="","",VLOOKUP(B13,'F01 - _Données Expatriés'!$A$6:$L$15,8,FALSE))</f>
        <v/>
      </c>
      <c r="G13" s="6" t="n"/>
      <c r="H13" s="6" t="n"/>
      <c r="I13" s="6">
        <f>IF(OR(G13="",H13=""),"",IFERROR((H13-G13)/30.44,0))</f>
        <v/>
      </c>
      <c r="J13" s="6">
        <f>IF(B13="","",VLOOKUP(B13,'F01 - _Données Expatriés'!$A$6:$L$15,11,FALSE))</f>
        <v/>
      </c>
      <c r="K13" s="6" t="n"/>
    </row>
    <row r="14">
      <c r="A14" s="4">
        <f>IF(B14="","","CTR-"&amp;TEXT(ROW()-5,"000"))</f>
        <v/>
      </c>
      <c r="B14" s="4" t="n"/>
      <c r="C14" s="4">
        <f>IF(B14="","",VLOOKUP(B14,'F01 - _Données Expatriés'!$A$6:$L$15,2,FALSE))</f>
        <v/>
      </c>
      <c r="D14" s="4" t="n"/>
      <c r="E14" s="4" t="n"/>
      <c r="F14" s="4">
        <f>IF(B14="","",VLOOKUP(B14,'F01 - _Données Expatriés'!$A$6:$L$15,8,FALSE))</f>
        <v/>
      </c>
      <c r="G14" s="4" t="n"/>
      <c r="H14" s="4" t="n"/>
      <c r="I14" s="4">
        <f>IF(OR(G14="",H14=""),"",IFERROR((H14-G14)/30.44,0))</f>
        <v/>
      </c>
      <c r="J14" s="4">
        <f>IF(B14="","",VLOOKUP(B14,'F01 - _Données Expatriés'!$A$6:$L$15,11,FALSE))</f>
        <v/>
      </c>
      <c r="K14" s="4" t="n"/>
    </row>
    <row r="15">
      <c r="A15" s="6">
        <f>IF(B15="","","CTR-"&amp;TEXT(ROW()-5,"000"))</f>
        <v/>
      </c>
      <c r="B15" s="6" t="n"/>
      <c r="C15" s="6">
        <f>IF(B15="","",VLOOKUP(B15,'F01 - _Données Expatriés'!$A$6:$L$15,2,FALSE))</f>
        <v/>
      </c>
      <c r="D15" s="6" t="n"/>
      <c r="E15" s="6" t="n"/>
      <c r="F15" s="6">
        <f>IF(B15="","",VLOOKUP(B15,'F01 - _Données Expatriés'!$A$6:$L$15,8,FALSE))</f>
        <v/>
      </c>
      <c r="G15" s="6" t="n"/>
      <c r="H15" s="6" t="n"/>
      <c r="I15" s="6">
        <f>IF(OR(G15="",H15=""),"",IFERROR((H15-G15)/30.44,0))</f>
        <v/>
      </c>
      <c r="J15" s="6">
        <f>IF(B15="","",VLOOKUP(B15,'F01 - _Données Expatriés'!$A$6:$L$15,11,FALSE))</f>
        <v/>
      </c>
      <c r="K15" s="6" t="n"/>
    </row>
    <row r="16">
      <c r="A16" s="4">
        <f>IF(B16="","","CTR-"&amp;TEXT(ROW()-5,"000"))</f>
        <v/>
      </c>
      <c r="B16" s="4" t="n"/>
      <c r="C16" s="4">
        <f>IF(B16="","",VLOOKUP(B16,'F01 - _Données Expatriés'!$A$6:$L$15,2,FALSE))</f>
        <v/>
      </c>
      <c r="D16" s="4" t="n"/>
      <c r="E16" s="4" t="n"/>
      <c r="F16" s="4">
        <f>IF(B16="","",VLOOKUP(B16,'F01 - _Données Expatriés'!$A$6:$L$15,8,FALSE))</f>
        <v/>
      </c>
      <c r="G16" s="4" t="n"/>
      <c r="H16" s="4" t="n"/>
      <c r="I16" s="4">
        <f>IF(OR(G16="",H16=""),"",IFERROR((H16-G16)/30.44,0))</f>
        <v/>
      </c>
      <c r="J16" s="4">
        <f>IF(B16="","",VLOOKUP(B16,'F01 - _Données Expatriés'!$A$6:$L$15,11,FALSE))</f>
        <v/>
      </c>
      <c r="K16" s="4" t="n"/>
    </row>
    <row r="17">
      <c r="A17" s="6">
        <f>IF(B17="","","CTR-"&amp;TEXT(ROW()-5,"000"))</f>
        <v/>
      </c>
      <c r="B17" s="6" t="n"/>
      <c r="C17" s="6">
        <f>IF(B17="","",VLOOKUP(B17,'F01 - _Données Expatriés'!$A$6:$L$15,2,FALSE))</f>
        <v/>
      </c>
      <c r="D17" s="6" t="n"/>
      <c r="E17" s="6" t="n"/>
      <c r="F17" s="6">
        <f>IF(B17="","",VLOOKUP(B17,'F01 - _Données Expatriés'!$A$6:$L$15,8,FALSE))</f>
        <v/>
      </c>
      <c r="G17" s="6" t="n"/>
      <c r="H17" s="6" t="n"/>
      <c r="I17" s="6">
        <f>IF(OR(G17="",H17=""),"",IFERROR((H17-G17)/30.44,0))</f>
        <v/>
      </c>
      <c r="J17" s="6">
        <f>IF(B17="","",VLOOKUP(B17,'F01 - _Données Expatriés'!$A$6:$L$15,11,FALSE))</f>
        <v/>
      </c>
      <c r="K17" s="6" t="n"/>
    </row>
    <row r="18">
      <c r="A18" s="4">
        <f>IF(B18="","","CTR-"&amp;TEXT(ROW()-5,"000"))</f>
        <v/>
      </c>
      <c r="B18" s="4" t="n"/>
      <c r="C18" s="4">
        <f>IF(B18="","",VLOOKUP(B18,'F01 - _Données Expatriés'!$A$6:$L$15,2,FALSE))</f>
        <v/>
      </c>
      <c r="D18" s="4" t="n"/>
      <c r="E18" s="4" t="n"/>
      <c r="F18" s="4">
        <f>IF(B18="","",VLOOKUP(B18,'F01 - _Données Expatriés'!$A$6:$L$15,8,FALSE))</f>
        <v/>
      </c>
      <c r="G18" s="4" t="n"/>
      <c r="H18" s="4" t="n"/>
      <c r="I18" s="4">
        <f>IF(OR(G18="",H18=""),"",IFERROR((H18-G18)/30.44,0))</f>
        <v/>
      </c>
      <c r="J18" s="4">
        <f>IF(B18="","",VLOOKUP(B18,'F01 - _Données Expatriés'!$A$6:$L$15,11,FALSE))</f>
        <v/>
      </c>
      <c r="K18" s="4" t="n"/>
    </row>
    <row r="19">
      <c r="A19" s="6">
        <f>IF(B19="","","CTR-"&amp;TEXT(ROW()-5,"000"))</f>
        <v/>
      </c>
      <c r="B19" s="6" t="n"/>
      <c r="C19" s="6">
        <f>IF(B19="","",VLOOKUP(B19,'F01 - _Données Expatriés'!$A$6:$L$15,2,FALSE))</f>
        <v/>
      </c>
      <c r="D19" s="6" t="n"/>
      <c r="E19" s="6" t="n"/>
      <c r="F19" s="6">
        <f>IF(B19="","",VLOOKUP(B19,'F01 - _Données Expatriés'!$A$6:$L$15,8,FALSE))</f>
        <v/>
      </c>
      <c r="G19" s="6" t="n"/>
      <c r="H19" s="6" t="n"/>
      <c r="I19" s="6">
        <f>IF(OR(G19="",H19=""),"",IFERROR((H19-G19)/30.44,0))</f>
        <v/>
      </c>
      <c r="J19" s="6">
        <f>IF(B19="","",VLOOKUP(B19,'F01 - _Données Expatriés'!$A$6:$L$15,11,FALSE))</f>
        <v/>
      </c>
      <c r="K19" s="6" t="n"/>
    </row>
    <row r="20">
      <c r="A20" s="4">
        <f>IF(B20="","","CTR-"&amp;TEXT(ROW()-5,"000"))</f>
        <v/>
      </c>
      <c r="B20" s="4" t="n"/>
      <c r="C20" s="4">
        <f>IF(B20="","",VLOOKUP(B20,'F01 - _Données Expatriés'!$A$6:$L$15,2,FALSE))</f>
        <v/>
      </c>
      <c r="D20" s="4" t="n"/>
      <c r="E20" s="4" t="n"/>
      <c r="F20" s="4">
        <f>IF(B20="","",VLOOKUP(B20,'F01 - _Données Expatriés'!$A$6:$L$15,8,FALSE))</f>
        <v/>
      </c>
      <c r="G20" s="4" t="n"/>
      <c r="H20" s="4" t="n"/>
      <c r="I20" s="4">
        <f>IF(OR(G20="",H20=""),"",IFERROR((H20-G20)/30.44,0))</f>
        <v/>
      </c>
      <c r="J20" s="4">
        <f>IF(B20="","",VLOOKUP(B20,'F01 - _Données Expatriés'!$A$6:$L$15,11,FALSE))</f>
        <v/>
      </c>
      <c r="K20" s="4" t="n"/>
    </row>
    <row r="21">
      <c r="A21" s="6">
        <f>IF(B21="","","CTR-"&amp;TEXT(ROW()-5,"000"))</f>
        <v/>
      </c>
      <c r="B21" s="6" t="n"/>
      <c r="C21" s="6">
        <f>IF(B21="","",VLOOKUP(B21,'F01 - _Données Expatriés'!$A$6:$L$15,2,FALSE))</f>
        <v/>
      </c>
      <c r="D21" s="6" t="n"/>
      <c r="E21" s="6" t="n"/>
      <c r="F21" s="6">
        <f>IF(B21="","",VLOOKUP(B21,'F01 - _Données Expatriés'!$A$6:$L$15,8,FALSE))</f>
        <v/>
      </c>
      <c r="G21" s="6" t="n"/>
      <c r="H21" s="6" t="n"/>
      <c r="I21" s="6">
        <f>IF(OR(G21="",H21=""),"",IFERROR((H21-G21)/30.44,0))</f>
        <v/>
      </c>
      <c r="J21" s="6">
        <f>IF(B21="","",VLOOKUP(B21,'F01 - _Données Expatriés'!$A$6:$L$15,11,FALSE))</f>
        <v/>
      </c>
      <c r="K21" s="6" t="n"/>
    </row>
    <row r="22">
      <c r="A22" s="4">
        <f>IF(B22="","","CTR-"&amp;TEXT(ROW()-5,"000"))</f>
        <v/>
      </c>
      <c r="B22" s="4" t="n"/>
      <c r="C22" s="4">
        <f>IF(B22="","",VLOOKUP(B22,'F01 - _Données Expatriés'!$A$6:$L$15,2,FALSE))</f>
        <v/>
      </c>
      <c r="D22" s="4" t="n"/>
      <c r="E22" s="4" t="n"/>
      <c r="F22" s="4">
        <f>IF(B22="","",VLOOKUP(B22,'F01 - _Données Expatriés'!$A$6:$L$15,8,FALSE))</f>
        <v/>
      </c>
      <c r="G22" s="4" t="n"/>
      <c r="H22" s="4" t="n"/>
      <c r="I22" s="4">
        <f>IF(OR(G22="",H22=""),"",IFERROR((H22-G22)/30.44,0))</f>
        <v/>
      </c>
      <c r="J22" s="4">
        <f>IF(B22="","",VLOOKUP(B22,'F01 - _Données Expatriés'!$A$6:$L$15,11,FALSE))</f>
        <v/>
      </c>
      <c r="K22" s="4" t="n"/>
    </row>
    <row r="23">
      <c r="A23" s="6">
        <f>IF(B23="","","CTR-"&amp;TEXT(ROW()-5,"000"))</f>
        <v/>
      </c>
      <c r="B23" s="6" t="n"/>
      <c r="C23" s="6">
        <f>IF(B23="","",VLOOKUP(B23,'F01 - _Données Expatriés'!$A$6:$L$15,2,FALSE))</f>
        <v/>
      </c>
      <c r="D23" s="6" t="n"/>
      <c r="E23" s="6" t="n"/>
      <c r="F23" s="6">
        <f>IF(B23="","",VLOOKUP(B23,'F01 - _Données Expatriés'!$A$6:$L$15,8,FALSE))</f>
        <v/>
      </c>
      <c r="G23" s="6" t="n"/>
      <c r="H23" s="6" t="n"/>
      <c r="I23" s="6">
        <f>IF(OR(G23="",H23=""),"",IFERROR((H23-G23)/30.44,0))</f>
        <v/>
      </c>
      <c r="J23" s="6">
        <f>IF(B23="","",VLOOKUP(B23,'F01 - _Données Expatriés'!$A$6:$L$15,11,FALSE))</f>
        <v/>
      </c>
      <c r="K23" s="6" t="n"/>
    </row>
    <row r="24">
      <c r="A24" s="4">
        <f>IF(B24="","","CTR-"&amp;TEXT(ROW()-5,"000"))</f>
        <v/>
      </c>
      <c r="B24" s="4" t="n"/>
      <c r="C24" s="4">
        <f>IF(B24="","",VLOOKUP(B24,'F01 - _Données Expatriés'!$A$6:$L$15,2,FALSE))</f>
        <v/>
      </c>
      <c r="D24" s="4" t="n"/>
      <c r="E24" s="4" t="n"/>
      <c r="F24" s="4">
        <f>IF(B24="","",VLOOKUP(B24,'F01 - _Données Expatriés'!$A$6:$L$15,8,FALSE))</f>
        <v/>
      </c>
      <c r="G24" s="4" t="n"/>
      <c r="H24" s="4" t="n"/>
      <c r="I24" s="4">
        <f>IF(OR(G24="",H24=""),"",IFERROR((H24-G24)/30.44,0))</f>
        <v/>
      </c>
      <c r="J24" s="4">
        <f>IF(B24="","",VLOOKUP(B24,'F01 - _Données Expatriés'!$A$6:$L$15,11,FALSE))</f>
        <v/>
      </c>
      <c r="K24" s="4" t="n"/>
    </row>
    <row r="25">
      <c r="A25" s="6">
        <f>IF(B25="","","CTR-"&amp;TEXT(ROW()-5,"000"))</f>
        <v/>
      </c>
      <c r="B25" s="6" t="n"/>
      <c r="C25" s="6">
        <f>IF(B25="","",VLOOKUP(B25,'F01 - _Données Expatriés'!$A$6:$L$15,2,FALSE))</f>
        <v/>
      </c>
      <c r="D25" s="6" t="n"/>
      <c r="E25" s="6" t="n"/>
      <c r="F25" s="6">
        <f>IF(B25="","",VLOOKUP(B25,'F01 - _Données Expatriés'!$A$6:$L$15,8,FALSE))</f>
        <v/>
      </c>
      <c r="G25" s="6" t="n"/>
      <c r="H25" s="6" t="n"/>
      <c r="I25" s="6">
        <f>IF(OR(G25="",H25=""),"",IFERROR((H25-G25)/30.44,0))</f>
        <v/>
      </c>
      <c r="J25" s="6">
        <f>IF(B25="","",VLOOKUP(B25,'F01 - _Données Expatriés'!$A$6:$L$15,11,FALSE))</f>
        <v/>
      </c>
      <c r="K25" s="6" t="n"/>
    </row>
    <row r="26">
      <c r="A26" s="4">
        <f>IF(B26="","","CTR-"&amp;TEXT(ROW()-5,"000"))</f>
        <v/>
      </c>
      <c r="B26" s="4" t="n"/>
      <c r="C26" s="4">
        <f>IF(B26="","",VLOOKUP(B26,'F01 - _Données Expatriés'!$A$6:$L$15,2,FALSE))</f>
        <v/>
      </c>
      <c r="D26" s="4" t="n"/>
      <c r="E26" s="4" t="n"/>
      <c r="F26" s="4">
        <f>IF(B26="","",VLOOKUP(B26,'F01 - _Données Expatriés'!$A$6:$L$15,8,FALSE))</f>
        <v/>
      </c>
      <c r="G26" s="4" t="n"/>
      <c r="H26" s="4" t="n"/>
      <c r="I26" s="4">
        <f>IF(OR(G26="",H26=""),"",IFERROR((H26-G26)/30.44,0))</f>
        <v/>
      </c>
      <c r="J26" s="4">
        <f>IF(B26="","",VLOOKUP(B26,'F01 - _Données Expatriés'!$A$6:$L$15,11,FALSE))</f>
        <v/>
      </c>
      <c r="K26" s="4" t="n"/>
    </row>
    <row r="27">
      <c r="A27" s="6">
        <f>IF(B27="","","CTR-"&amp;TEXT(ROW()-5,"000"))</f>
        <v/>
      </c>
      <c r="B27" s="6" t="n"/>
      <c r="C27" s="6">
        <f>IF(B27="","",VLOOKUP(B27,'F01 - _Données Expatriés'!$A$6:$L$15,2,FALSE))</f>
        <v/>
      </c>
      <c r="D27" s="6" t="n"/>
      <c r="E27" s="6" t="n"/>
      <c r="F27" s="6">
        <f>IF(B27="","",VLOOKUP(B27,'F01 - _Données Expatriés'!$A$6:$L$15,8,FALSE))</f>
        <v/>
      </c>
      <c r="G27" s="6" t="n"/>
      <c r="H27" s="6" t="n"/>
      <c r="I27" s="6">
        <f>IF(OR(G27="",H27=""),"",IFERROR((H27-G27)/30.44,0))</f>
        <v/>
      </c>
      <c r="J27" s="6">
        <f>IF(B27="","",VLOOKUP(B27,'F01 - _Données Expatriés'!$A$6:$L$15,11,FALSE))</f>
        <v/>
      </c>
      <c r="K27" s="6" t="n"/>
    </row>
    <row r="28">
      <c r="A28" s="4">
        <f>IF(B28="","","CTR-"&amp;TEXT(ROW()-5,"000"))</f>
        <v/>
      </c>
      <c r="B28" s="4" t="n"/>
      <c r="C28" s="4">
        <f>IF(B28="","",VLOOKUP(B28,'F01 - _Données Expatriés'!$A$6:$L$15,2,FALSE))</f>
        <v/>
      </c>
      <c r="D28" s="4" t="n"/>
      <c r="E28" s="4" t="n"/>
      <c r="F28" s="4">
        <f>IF(B28="","",VLOOKUP(B28,'F01 - _Données Expatriés'!$A$6:$L$15,8,FALSE))</f>
        <v/>
      </c>
      <c r="G28" s="4" t="n"/>
      <c r="H28" s="4" t="n"/>
      <c r="I28" s="4">
        <f>IF(OR(G28="",H28=""),"",IFERROR((H28-G28)/30.44,0))</f>
        <v/>
      </c>
      <c r="J28" s="4">
        <f>IF(B28="","",VLOOKUP(B28,'F01 - _Données Expatriés'!$A$6:$L$15,11,FALSE))</f>
        <v/>
      </c>
      <c r="K28" s="4" t="n"/>
    </row>
    <row r="29">
      <c r="A29" s="6">
        <f>IF(B29="","","CTR-"&amp;TEXT(ROW()-5,"000"))</f>
        <v/>
      </c>
      <c r="B29" s="6" t="n"/>
      <c r="C29" s="6">
        <f>IF(B29="","",VLOOKUP(B29,'F01 - _Données Expatriés'!$A$6:$L$15,2,FALSE))</f>
        <v/>
      </c>
      <c r="D29" s="6" t="n"/>
      <c r="E29" s="6" t="n"/>
      <c r="F29" s="6">
        <f>IF(B29="","",VLOOKUP(B29,'F01 - _Données Expatriés'!$A$6:$L$15,8,FALSE))</f>
        <v/>
      </c>
      <c r="G29" s="6" t="n"/>
      <c r="H29" s="6" t="n"/>
      <c r="I29" s="6">
        <f>IF(OR(G29="",H29=""),"",IFERROR((H29-G29)/30.44,0))</f>
        <v/>
      </c>
      <c r="J29" s="6">
        <f>IF(B29="","",VLOOKUP(B29,'F01 - _Données Expatriés'!$A$6:$L$15,11,FALSE))</f>
        <v/>
      </c>
      <c r="K29" s="6" t="n"/>
    </row>
    <row r="30">
      <c r="A30" s="4">
        <f>IF(B30="","","CTR-"&amp;TEXT(ROW()-5,"000"))</f>
        <v/>
      </c>
      <c r="B30" s="4" t="n"/>
      <c r="C30" s="4">
        <f>IF(B30="","",VLOOKUP(B30,'F01 - _Données Expatriés'!$A$6:$L$15,2,FALSE))</f>
        <v/>
      </c>
      <c r="D30" s="4" t="n"/>
      <c r="E30" s="4" t="n"/>
      <c r="F30" s="4">
        <f>IF(B30="","",VLOOKUP(B30,'F01 - _Données Expatriés'!$A$6:$L$15,8,FALSE))</f>
        <v/>
      </c>
      <c r="G30" s="4" t="n"/>
      <c r="H30" s="4" t="n"/>
      <c r="I30" s="4">
        <f>IF(OR(G30="",H30=""),"",IFERROR((H30-G30)/30.44,0))</f>
        <v/>
      </c>
      <c r="J30" s="4">
        <f>IF(B30="","",VLOOKUP(B30,'F01 - _Données Expatriés'!$A$6:$L$15,11,FALSE))</f>
        <v/>
      </c>
      <c r="K30" s="4" t="n"/>
    </row>
    <row r="31">
      <c r="A31" s="6">
        <f>IF(B31="","","CTR-"&amp;TEXT(ROW()-5,"000"))</f>
        <v/>
      </c>
      <c r="B31" s="6" t="n"/>
      <c r="C31" s="6">
        <f>IF(B31="","",VLOOKUP(B31,'F01 - _Données Expatriés'!$A$6:$L$15,2,FALSE))</f>
        <v/>
      </c>
      <c r="D31" s="6" t="n"/>
      <c r="E31" s="6" t="n"/>
      <c r="F31" s="6">
        <f>IF(B31="","",VLOOKUP(B31,'F01 - _Données Expatriés'!$A$6:$L$15,8,FALSE))</f>
        <v/>
      </c>
      <c r="G31" s="6" t="n"/>
      <c r="H31" s="6" t="n"/>
      <c r="I31" s="6">
        <f>IF(OR(G31="",H31=""),"",IFERROR((H31-G31)/30.44,0))</f>
        <v/>
      </c>
      <c r="J31" s="6">
        <f>IF(B31="","",VLOOKUP(B31,'F01 - _Données Expatriés'!$A$6:$L$15,11,FALSE))</f>
        <v/>
      </c>
      <c r="K31" s="6" t="n"/>
    </row>
    <row r="32">
      <c r="A32" s="4">
        <f>IF(B32="","","CTR-"&amp;TEXT(ROW()-5,"000"))</f>
        <v/>
      </c>
      <c r="B32" s="4" t="n"/>
      <c r="C32" s="4">
        <f>IF(B32="","",VLOOKUP(B32,'F01 - _Données Expatriés'!$A$6:$L$15,2,FALSE))</f>
        <v/>
      </c>
      <c r="D32" s="4" t="n"/>
      <c r="E32" s="4" t="n"/>
      <c r="F32" s="4">
        <f>IF(B32="","",VLOOKUP(B32,'F01 - _Données Expatriés'!$A$6:$L$15,8,FALSE))</f>
        <v/>
      </c>
      <c r="G32" s="4" t="n"/>
      <c r="H32" s="4" t="n"/>
      <c r="I32" s="4">
        <f>IF(OR(G32="",H32=""),"",IFERROR((H32-G32)/30.44,0))</f>
        <v/>
      </c>
      <c r="J32" s="4">
        <f>IF(B32="","",VLOOKUP(B32,'F01 - _Données Expatriés'!$A$6:$L$15,11,FALSE))</f>
        <v/>
      </c>
      <c r="K32" s="4" t="n"/>
    </row>
    <row r="33">
      <c r="A33" s="6">
        <f>IF(B33="","","CTR-"&amp;TEXT(ROW()-5,"000"))</f>
        <v/>
      </c>
      <c r="B33" s="6" t="n"/>
      <c r="C33" s="6">
        <f>IF(B33="","",VLOOKUP(B33,'F01 - _Données Expatriés'!$A$6:$L$15,2,FALSE))</f>
        <v/>
      </c>
      <c r="D33" s="6" t="n"/>
      <c r="E33" s="6" t="n"/>
      <c r="F33" s="6">
        <f>IF(B33="","",VLOOKUP(B33,'F01 - _Données Expatriés'!$A$6:$L$15,8,FALSE))</f>
        <v/>
      </c>
      <c r="G33" s="6" t="n"/>
      <c r="H33" s="6" t="n"/>
      <c r="I33" s="6">
        <f>IF(OR(G33="",H33=""),"",IFERROR((H33-G33)/30.44,0))</f>
        <v/>
      </c>
      <c r="J33" s="6">
        <f>IF(B33="","",VLOOKUP(B33,'F01 - _Données Expatriés'!$A$6:$L$15,11,FALSE))</f>
        <v/>
      </c>
      <c r="K33" s="6" t="n"/>
    </row>
    <row r="34">
      <c r="A34" s="4">
        <f>IF(B34="","","CTR-"&amp;TEXT(ROW()-5,"000"))</f>
        <v/>
      </c>
      <c r="B34" s="4" t="n"/>
      <c r="C34" s="4">
        <f>IF(B34="","",VLOOKUP(B34,'F01 - _Données Expatriés'!$A$6:$L$15,2,FALSE))</f>
        <v/>
      </c>
      <c r="D34" s="4" t="n"/>
      <c r="E34" s="4" t="n"/>
      <c r="F34" s="4">
        <f>IF(B34="","",VLOOKUP(B34,'F01 - _Données Expatriés'!$A$6:$L$15,8,FALSE))</f>
        <v/>
      </c>
      <c r="G34" s="4" t="n"/>
      <c r="H34" s="4" t="n"/>
      <c r="I34" s="4">
        <f>IF(OR(G34="",H34=""),"",IFERROR((H34-G34)/30.44,0))</f>
        <v/>
      </c>
      <c r="J34" s="4">
        <f>IF(B34="","",VLOOKUP(B34,'F01 - _Données Expatriés'!$A$6:$L$15,11,FALSE))</f>
        <v/>
      </c>
      <c r="K34" s="4" t="n"/>
    </row>
    <row r="35">
      <c r="A35" s="6">
        <f>IF(B35="","","CTR-"&amp;TEXT(ROW()-5,"000"))</f>
        <v/>
      </c>
      <c r="B35" s="6" t="n"/>
      <c r="C35" s="6">
        <f>IF(B35="","",VLOOKUP(B35,'F01 - _Données Expatriés'!$A$6:$L$15,2,FALSE))</f>
        <v/>
      </c>
      <c r="D35" s="6" t="n"/>
      <c r="E35" s="6" t="n"/>
      <c r="F35" s="6">
        <f>IF(B35="","",VLOOKUP(B35,'F01 - _Données Expatriés'!$A$6:$L$15,8,FALSE))</f>
        <v/>
      </c>
      <c r="G35" s="6" t="n"/>
      <c r="H35" s="6" t="n"/>
      <c r="I35" s="6">
        <f>IF(OR(G35="",H35=""),"",IFERROR((H35-G35)/30.44,0))</f>
        <v/>
      </c>
      <c r="J35" s="6">
        <f>IF(B35="","",VLOOKUP(B35,'F01 - _Données Expatriés'!$A$6:$L$15,11,FALSE))</f>
        <v/>
      </c>
      <c r="K35" s="6" t="n"/>
    </row>
    <row r="36">
      <c r="A36" s="4">
        <f>IF(B36="","","CTR-"&amp;TEXT(ROW()-5,"000"))</f>
        <v/>
      </c>
      <c r="B36" s="4" t="n"/>
      <c r="C36" s="4">
        <f>IF(B36="","",VLOOKUP(B36,'F01 - _Données Expatriés'!$A$6:$L$15,2,FALSE))</f>
        <v/>
      </c>
      <c r="D36" s="4" t="n"/>
      <c r="E36" s="4" t="n"/>
      <c r="F36" s="4">
        <f>IF(B36="","",VLOOKUP(B36,'F01 - _Données Expatriés'!$A$6:$L$15,8,FALSE))</f>
        <v/>
      </c>
      <c r="G36" s="4" t="n"/>
      <c r="H36" s="4" t="n"/>
      <c r="I36" s="4">
        <f>IF(OR(G36="",H36=""),"",IFERROR((H36-G36)/30.44,0))</f>
        <v/>
      </c>
      <c r="J36" s="4">
        <f>IF(B36="","",VLOOKUP(B36,'F01 - _Données Expatriés'!$A$6:$L$15,11,FALSE))</f>
        <v/>
      </c>
      <c r="K36" s="4" t="n"/>
    </row>
    <row r="37">
      <c r="A37" s="6">
        <f>IF(B37="","","CTR-"&amp;TEXT(ROW()-5,"000"))</f>
        <v/>
      </c>
      <c r="B37" s="6" t="n"/>
      <c r="C37" s="6">
        <f>IF(B37="","",VLOOKUP(B37,'F01 - _Données Expatriés'!$A$6:$L$15,2,FALSE))</f>
        <v/>
      </c>
      <c r="D37" s="6" t="n"/>
      <c r="E37" s="6" t="n"/>
      <c r="F37" s="6">
        <f>IF(B37="","",VLOOKUP(B37,'F01 - _Données Expatriés'!$A$6:$L$15,8,FALSE))</f>
        <v/>
      </c>
      <c r="G37" s="6" t="n"/>
      <c r="H37" s="6" t="n"/>
      <c r="I37" s="6">
        <f>IF(OR(G37="",H37=""),"",IFERROR((H37-G37)/30.44,0))</f>
        <v/>
      </c>
      <c r="J37" s="6">
        <f>IF(B37="","",VLOOKUP(B37,'F01 - _Données Expatriés'!$A$6:$L$15,11,FALSE))</f>
        <v/>
      </c>
      <c r="K37" s="6" t="n"/>
    </row>
    <row r="38">
      <c r="A38" s="4">
        <f>IF(B38="","","CTR-"&amp;TEXT(ROW()-5,"000"))</f>
        <v/>
      </c>
      <c r="B38" s="4" t="n"/>
      <c r="C38" s="4">
        <f>IF(B38="","",VLOOKUP(B38,'F01 - _Données Expatriés'!$A$6:$L$15,2,FALSE))</f>
        <v/>
      </c>
      <c r="D38" s="4" t="n"/>
      <c r="E38" s="4" t="n"/>
      <c r="F38" s="4">
        <f>IF(B38="","",VLOOKUP(B38,'F01 - _Données Expatriés'!$A$6:$L$15,8,FALSE))</f>
        <v/>
      </c>
      <c r="G38" s="4" t="n"/>
      <c r="H38" s="4" t="n"/>
      <c r="I38" s="4">
        <f>IF(OR(G38="",H38=""),"",IFERROR((H38-G38)/30.44,0))</f>
        <v/>
      </c>
      <c r="J38" s="4">
        <f>IF(B38="","",VLOOKUP(B38,'F01 - _Données Expatriés'!$A$6:$L$15,11,FALSE))</f>
        <v/>
      </c>
      <c r="K38" s="4" t="n"/>
    </row>
    <row r="39">
      <c r="A39" s="6">
        <f>IF(B39="","","CTR-"&amp;TEXT(ROW()-5,"000"))</f>
        <v/>
      </c>
      <c r="B39" s="6" t="n"/>
      <c r="C39" s="6">
        <f>IF(B39="","",VLOOKUP(B39,'F01 - _Données Expatriés'!$A$6:$L$15,2,FALSE))</f>
        <v/>
      </c>
      <c r="D39" s="6" t="n"/>
      <c r="E39" s="6" t="n"/>
      <c r="F39" s="6">
        <f>IF(B39="","",VLOOKUP(B39,'F01 - _Données Expatriés'!$A$6:$L$15,8,FALSE))</f>
        <v/>
      </c>
      <c r="G39" s="6" t="n"/>
      <c r="H39" s="6" t="n"/>
      <c r="I39" s="6">
        <f>IF(OR(G39="",H39=""),"",IFERROR((H39-G39)/30.44,0))</f>
        <v/>
      </c>
      <c r="J39" s="6">
        <f>IF(B39="","",VLOOKUP(B39,'F01 - _Données Expatriés'!$A$6:$L$15,11,FALSE))</f>
        <v/>
      </c>
      <c r="K39" s="6" t="n"/>
    </row>
    <row r="40">
      <c r="A40" s="4">
        <f>IF(B40="","","CTR-"&amp;TEXT(ROW()-5,"000"))</f>
        <v/>
      </c>
      <c r="B40" s="4" t="n"/>
      <c r="C40" s="4">
        <f>IF(B40="","",VLOOKUP(B40,'F01 - _Données Expatriés'!$A$6:$L$15,2,FALSE))</f>
        <v/>
      </c>
      <c r="D40" s="4" t="n"/>
      <c r="E40" s="4" t="n"/>
      <c r="F40" s="4">
        <f>IF(B40="","",VLOOKUP(B40,'F01 - _Données Expatriés'!$A$6:$L$15,8,FALSE))</f>
        <v/>
      </c>
      <c r="G40" s="4" t="n"/>
      <c r="H40" s="4" t="n"/>
      <c r="I40" s="4">
        <f>IF(OR(G40="",H40=""),"",IFERROR((H40-G40)/30.44,0))</f>
        <v/>
      </c>
      <c r="J40" s="4">
        <f>IF(B40="","",VLOOKUP(B40,'F01 - _Données Expatriés'!$A$6:$L$15,11,FALSE))</f>
        <v/>
      </c>
      <c r="K40" s="4" t="n"/>
    </row>
    <row r="41">
      <c r="A41" s="6">
        <f>IF(B41="","","CTR-"&amp;TEXT(ROW()-5,"000"))</f>
        <v/>
      </c>
      <c r="B41" s="6" t="n"/>
      <c r="C41" s="6">
        <f>IF(B41="","",VLOOKUP(B41,'F01 - _Données Expatriés'!$A$6:$L$15,2,FALSE))</f>
        <v/>
      </c>
      <c r="D41" s="6" t="n"/>
      <c r="E41" s="6" t="n"/>
      <c r="F41" s="6">
        <f>IF(B41="","",VLOOKUP(B41,'F01 - _Données Expatriés'!$A$6:$L$15,8,FALSE))</f>
        <v/>
      </c>
      <c r="G41" s="6" t="n"/>
      <c r="H41" s="6" t="n"/>
      <c r="I41" s="6">
        <f>IF(OR(G41="",H41=""),"",IFERROR((H41-G41)/30.44,0))</f>
        <v/>
      </c>
      <c r="J41" s="6">
        <f>IF(B41="","",VLOOKUP(B41,'F01 - _Données Expatriés'!$A$6:$L$15,11,FALSE))</f>
        <v/>
      </c>
      <c r="K41" s="6" t="n"/>
    </row>
    <row r="42">
      <c r="A42" s="4">
        <f>IF(B42="","","CTR-"&amp;TEXT(ROW()-5,"000"))</f>
        <v/>
      </c>
      <c r="B42" s="4" t="n"/>
      <c r="C42" s="4">
        <f>IF(B42="","",VLOOKUP(B42,'F01 - _Données Expatriés'!$A$6:$L$15,2,FALSE))</f>
        <v/>
      </c>
      <c r="D42" s="4" t="n"/>
      <c r="E42" s="4" t="n"/>
      <c r="F42" s="4">
        <f>IF(B42="","",VLOOKUP(B42,'F01 - _Données Expatriés'!$A$6:$L$15,8,FALSE))</f>
        <v/>
      </c>
      <c r="G42" s="4" t="n"/>
      <c r="H42" s="4" t="n"/>
      <c r="I42" s="4">
        <f>IF(OR(G42="",H42=""),"",IFERROR((H42-G42)/30.44,0))</f>
        <v/>
      </c>
      <c r="J42" s="4">
        <f>IF(B42="","",VLOOKUP(B42,'F01 - _Données Expatriés'!$A$6:$L$15,11,FALSE))</f>
        <v/>
      </c>
      <c r="K42" s="4" t="n"/>
    </row>
    <row r="43">
      <c r="A43" s="6">
        <f>IF(B43="","","CTR-"&amp;TEXT(ROW()-5,"000"))</f>
        <v/>
      </c>
      <c r="B43" s="6" t="n"/>
      <c r="C43" s="6">
        <f>IF(B43="","",VLOOKUP(B43,'F01 - _Données Expatriés'!$A$6:$L$15,2,FALSE))</f>
        <v/>
      </c>
      <c r="D43" s="6" t="n"/>
      <c r="E43" s="6" t="n"/>
      <c r="F43" s="6">
        <f>IF(B43="","",VLOOKUP(B43,'F01 - _Données Expatriés'!$A$6:$L$15,8,FALSE))</f>
        <v/>
      </c>
      <c r="G43" s="6" t="n"/>
      <c r="H43" s="6" t="n"/>
      <c r="I43" s="6">
        <f>IF(OR(G43="",H43=""),"",IFERROR((H43-G43)/30.44,0))</f>
        <v/>
      </c>
      <c r="J43" s="6">
        <f>IF(B43="","",VLOOKUP(B43,'F01 - _Données Expatriés'!$A$6:$L$15,11,FALSE))</f>
        <v/>
      </c>
      <c r="K43" s="6" t="n"/>
    </row>
    <row r="44">
      <c r="A44" s="4">
        <f>IF(B44="","","CTR-"&amp;TEXT(ROW()-5,"000"))</f>
        <v/>
      </c>
      <c r="B44" s="4" t="n"/>
      <c r="C44" s="4">
        <f>IF(B44="","",VLOOKUP(B44,'F01 - _Données Expatriés'!$A$6:$L$15,2,FALSE))</f>
        <v/>
      </c>
      <c r="D44" s="4" t="n"/>
      <c r="E44" s="4" t="n"/>
      <c r="F44" s="4">
        <f>IF(B44="","",VLOOKUP(B44,'F01 - _Données Expatriés'!$A$6:$L$15,8,FALSE))</f>
        <v/>
      </c>
      <c r="G44" s="4" t="n"/>
      <c r="H44" s="4" t="n"/>
      <c r="I44" s="4">
        <f>IF(OR(G44="",H44=""),"",IFERROR((H44-G44)/30.44,0))</f>
        <v/>
      </c>
      <c r="J44" s="4">
        <f>IF(B44="","",VLOOKUP(B44,'F01 - _Données Expatriés'!$A$6:$L$15,11,FALSE))</f>
        <v/>
      </c>
      <c r="K44" s="4" t="n"/>
    </row>
    <row r="45">
      <c r="A45" s="6">
        <f>IF(B45="","","CTR-"&amp;TEXT(ROW()-5,"000"))</f>
        <v/>
      </c>
      <c r="B45" s="6" t="n"/>
      <c r="C45" s="6">
        <f>IF(B45="","",VLOOKUP(B45,'F01 - _Données Expatriés'!$A$6:$L$15,2,FALSE))</f>
        <v/>
      </c>
      <c r="D45" s="6" t="n"/>
      <c r="E45" s="6" t="n"/>
      <c r="F45" s="6">
        <f>IF(B45="","",VLOOKUP(B45,'F01 - _Données Expatriés'!$A$6:$L$15,8,FALSE))</f>
        <v/>
      </c>
      <c r="G45" s="6" t="n"/>
      <c r="H45" s="6" t="n"/>
      <c r="I45" s="6">
        <f>IF(OR(G45="",H45=""),"",IFERROR((H45-G45)/30.44,0))</f>
        <v/>
      </c>
      <c r="J45" s="6">
        <f>IF(B45="","",VLOOKUP(B45,'F01 - _Données Expatriés'!$A$6:$L$15,11,FALSE))</f>
        <v/>
      </c>
      <c r="K45" s="6" t="n"/>
    </row>
    <row r="46">
      <c r="A46" s="4">
        <f>IF(B46="","","CTR-"&amp;TEXT(ROW()-5,"000"))</f>
        <v/>
      </c>
      <c r="B46" s="4" t="n"/>
      <c r="C46" s="4">
        <f>IF(B46="","",VLOOKUP(B46,'F01 - _Données Expatriés'!$A$6:$L$15,2,FALSE))</f>
        <v/>
      </c>
      <c r="D46" s="4" t="n"/>
      <c r="E46" s="4" t="n"/>
      <c r="F46" s="4">
        <f>IF(B46="","",VLOOKUP(B46,'F01 - _Données Expatriés'!$A$6:$L$15,8,FALSE))</f>
        <v/>
      </c>
      <c r="G46" s="4" t="n"/>
      <c r="H46" s="4" t="n"/>
      <c r="I46" s="4">
        <f>IF(OR(G46="",H46=""),"",IFERROR((H46-G46)/30.44,0))</f>
        <v/>
      </c>
      <c r="J46" s="4">
        <f>IF(B46="","",VLOOKUP(B46,'F01 - _Données Expatriés'!$A$6:$L$15,11,FALSE))</f>
        <v/>
      </c>
      <c r="K46" s="4" t="n"/>
    </row>
    <row r="47">
      <c r="A47" s="6">
        <f>IF(B47="","","CTR-"&amp;TEXT(ROW()-5,"000"))</f>
        <v/>
      </c>
      <c r="B47" s="6" t="n"/>
      <c r="C47" s="6">
        <f>IF(B47="","",VLOOKUP(B47,'F01 - _Données Expatriés'!$A$6:$L$15,2,FALSE))</f>
        <v/>
      </c>
      <c r="D47" s="6" t="n"/>
      <c r="E47" s="6" t="n"/>
      <c r="F47" s="6">
        <f>IF(B47="","",VLOOKUP(B47,'F01 - _Données Expatriés'!$A$6:$L$15,8,FALSE))</f>
        <v/>
      </c>
      <c r="G47" s="6" t="n"/>
      <c r="H47" s="6" t="n"/>
      <c r="I47" s="6">
        <f>IF(OR(G47="",H47=""),"",IFERROR((H47-G47)/30.44,0))</f>
        <v/>
      </c>
      <c r="J47" s="6">
        <f>IF(B47="","",VLOOKUP(B47,'F01 - _Données Expatriés'!$A$6:$L$15,11,FALSE))</f>
        <v/>
      </c>
      <c r="K47" s="6" t="n"/>
    </row>
    <row r="48">
      <c r="A48" s="4">
        <f>IF(B48="","","CTR-"&amp;TEXT(ROW()-5,"000"))</f>
        <v/>
      </c>
      <c r="B48" s="4" t="n"/>
      <c r="C48" s="4">
        <f>IF(B48="","",VLOOKUP(B48,'F01 - _Données Expatriés'!$A$6:$L$15,2,FALSE))</f>
        <v/>
      </c>
      <c r="D48" s="4" t="n"/>
      <c r="E48" s="4" t="n"/>
      <c r="F48" s="4">
        <f>IF(B48="","",VLOOKUP(B48,'F01 - _Données Expatriés'!$A$6:$L$15,8,FALSE))</f>
        <v/>
      </c>
      <c r="G48" s="4" t="n"/>
      <c r="H48" s="4" t="n"/>
      <c r="I48" s="4">
        <f>IF(OR(G48="",H48=""),"",IFERROR((H48-G48)/30.44,0))</f>
        <v/>
      </c>
      <c r="J48" s="4">
        <f>IF(B48="","",VLOOKUP(B48,'F01 - _Données Expatriés'!$A$6:$L$15,11,FALSE))</f>
        <v/>
      </c>
      <c r="K48" s="4" t="n"/>
    </row>
    <row r="49">
      <c r="A49" s="6">
        <f>IF(B49="","","CTR-"&amp;TEXT(ROW()-5,"000"))</f>
        <v/>
      </c>
      <c r="B49" s="6" t="n"/>
      <c r="C49" s="6">
        <f>IF(B49="","",VLOOKUP(B49,'F01 - _Données Expatriés'!$A$6:$L$15,2,FALSE))</f>
        <v/>
      </c>
      <c r="D49" s="6" t="n"/>
      <c r="E49" s="6" t="n"/>
      <c r="F49" s="6">
        <f>IF(B49="","",VLOOKUP(B49,'F01 - _Données Expatriés'!$A$6:$L$15,8,FALSE))</f>
        <v/>
      </c>
      <c r="G49" s="6" t="n"/>
      <c r="H49" s="6" t="n"/>
      <c r="I49" s="6">
        <f>IF(OR(G49="",H49=""),"",IFERROR((H49-G49)/30.44,0))</f>
        <v/>
      </c>
      <c r="J49" s="6">
        <f>IF(B49="","",VLOOKUP(B49,'F01 - _Données Expatriés'!$A$6:$L$15,11,FALSE))</f>
        <v/>
      </c>
      <c r="K49" s="6" t="n"/>
    </row>
    <row r="50">
      <c r="A50" s="4">
        <f>IF(B50="","","CTR-"&amp;TEXT(ROW()-5,"000"))</f>
        <v/>
      </c>
      <c r="B50" s="4" t="n"/>
      <c r="C50" s="4">
        <f>IF(B50="","",VLOOKUP(B50,'F01 - _Données Expatriés'!$A$6:$L$15,2,FALSE))</f>
        <v/>
      </c>
      <c r="D50" s="4" t="n"/>
      <c r="E50" s="4" t="n"/>
      <c r="F50" s="4">
        <f>IF(B50="","",VLOOKUP(B50,'F01 - _Données Expatriés'!$A$6:$L$15,8,FALSE))</f>
        <v/>
      </c>
      <c r="G50" s="4" t="n"/>
      <c r="H50" s="4" t="n"/>
      <c r="I50" s="4">
        <f>IF(OR(G50="",H50=""),"",IFERROR((H50-G50)/30.44,0))</f>
        <v/>
      </c>
      <c r="J50" s="4">
        <f>IF(B50="","",VLOOKUP(B50,'F01 - _Données Expatriés'!$A$6:$L$15,11,FALSE))</f>
        <v/>
      </c>
      <c r="K50" s="4" t="n"/>
    </row>
    <row r="51">
      <c r="A51" s="6">
        <f>IF(B51="","","CTR-"&amp;TEXT(ROW()-5,"000"))</f>
        <v/>
      </c>
      <c r="B51" s="6" t="n"/>
      <c r="C51" s="6">
        <f>IF(B51="","",VLOOKUP(B51,'F01 - _Données Expatriés'!$A$6:$L$15,2,FALSE))</f>
        <v/>
      </c>
      <c r="D51" s="6" t="n"/>
      <c r="E51" s="6" t="n"/>
      <c r="F51" s="6">
        <f>IF(B51="","",VLOOKUP(B51,'F01 - _Données Expatriés'!$A$6:$L$15,8,FALSE))</f>
        <v/>
      </c>
      <c r="G51" s="6" t="n"/>
      <c r="H51" s="6" t="n"/>
      <c r="I51" s="6">
        <f>IF(OR(G51="",H51=""),"",IFERROR((H51-G51)/30.44,0))</f>
        <v/>
      </c>
      <c r="J51" s="6">
        <f>IF(B51="","",VLOOKUP(B51,'F01 - _Données Expatriés'!$A$6:$L$15,11,FALSE))</f>
        <v/>
      </c>
      <c r="K51" s="6" t="n"/>
    </row>
    <row r="52">
      <c r="A52" s="4">
        <f>IF(B52="","","CTR-"&amp;TEXT(ROW()-5,"000"))</f>
        <v/>
      </c>
      <c r="B52" s="4" t="n"/>
      <c r="C52" s="4">
        <f>IF(B52="","",VLOOKUP(B52,'F01 - _Données Expatriés'!$A$6:$L$15,2,FALSE))</f>
        <v/>
      </c>
      <c r="D52" s="4" t="n"/>
      <c r="E52" s="4" t="n"/>
      <c r="F52" s="4">
        <f>IF(B52="","",VLOOKUP(B52,'F01 - _Données Expatriés'!$A$6:$L$15,8,FALSE))</f>
        <v/>
      </c>
      <c r="G52" s="4" t="n"/>
      <c r="H52" s="4" t="n"/>
      <c r="I52" s="4">
        <f>IF(OR(G52="",H52=""),"",IFERROR((H52-G52)/30.44,0))</f>
        <v/>
      </c>
      <c r="J52" s="4">
        <f>IF(B52="","",VLOOKUP(B52,'F01 - _Données Expatriés'!$A$6:$L$15,11,FALSE))</f>
        <v/>
      </c>
      <c r="K52" s="4" t="n"/>
    </row>
    <row r="53">
      <c r="A53" s="6">
        <f>IF(B53="","","CTR-"&amp;TEXT(ROW()-5,"000"))</f>
        <v/>
      </c>
      <c r="B53" s="6" t="n"/>
      <c r="C53" s="6">
        <f>IF(B53="","",VLOOKUP(B53,'F01 - _Données Expatriés'!$A$6:$L$15,2,FALSE))</f>
        <v/>
      </c>
      <c r="D53" s="6" t="n"/>
      <c r="E53" s="6" t="n"/>
      <c r="F53" s="6">
        <f>IF(B53="","",VLOOKUP(B53,'F01 - _Données Expatriés'!$A$6:$L$15,8,FALSE))</f>
        <v/>
      </c>
      <c r="G53" s="6" t="n"/>
      <c r="H53" s="6" t="n"/>
      <c r="I53" s="6">
        <f>IF(OR(G53="",H53=""),"",IFERROR((H53-G53)/30.44,0))</f>
        <v/>
      </c>
      <c r="J53" s="6">
        <f>IF(B53="","",VLOOKUP(B53,'F01 - _Données Expatriés'!$A$6:$L$15,11,FALSE))</f>
        <v/>
      </c>
      <c r="K53" s="6" t="n"/>
    </row>
    <row r="54">
      <c r="A54" s="4">
        <f>IF(B54="","","CTR-"&amp;TEXT(ROW()-5,"000"))</f>
        <v/>
      </c>
      <c r="B54" s="4" t="n"/>
      <c r="C54" s="4">
        <f>IF(B54="","",VLOOKUP(B54,'F01 - _Données Expatriés'!$A$6:$L$15,2,FALSE))</f>
        <v/>
      </c>
      <c r="D54" s="4" t="n"/>
      <c r="E54" s="4" t="n"/>
      <c r="F54" s="4">
        <f>IF(B54="","",VLOOKUP(B54,'F01 - _Données Expatriés'!$A$6:$L$15,8,FALSE))</f>
        <v/>
      </c>
      <c r="G54" s="4" t="n"/>
      <c r="H54" s="4" t="n"/>
      <c r="I54" s="4">
        <f>IF(OR(G54="",H54=""),"",IFERROR((H54-G54)/30.44,0))</f>
        <v/>
      </c>
      <c r="J54" s="4">
        <f>IF(B54="","",VLOOKUP(B54,'F01 - _Données Expatriés'!$A$6:$L$15,11,FALSE))</f>
        <v/>
      </c>
      <c r="K54" s="4" t="n"/>
    </row>
    <row r="55">
      <c r="A55" s="6">
        <f>IF(B55="","","CTR-"&amp;TEXT(ROW()-5,"000"))</f>
        <v/>
      </c>
      <c r="B55" s="6" t="n"/>
      <c r="C55" s="6">
        <f>IF(B55="","",VLOOKUP(B55,'F01 - _Données Expatriés'!$A$6:$L$15,2,FALSE))</f>
        <v/>
      </c>
      <c r="D55" s="6" t="n"/>
      <c r="E55" s="6" t="n"/>
      <c r="F55" s="6">
        <f>IF(B55="","",VLOOKUP(B55,'F01 - _Données Expatriés'!$A$6:$L$15,8,FALSE))</f>
        <v/>
      </c>
      <c r="G55" s="6" t="n"/>
      <c r="H55" s="6" t="n"/>
      <c r="I55" s="6">
        <f>IF(OR(G55="",H55=""),"",IFERROR((H55-G55)/30.44,0))</f>
        <v/>
      </c>
      <c r="J55" s="6">
        <f>IF(B55="","",VLOOKUP(B55,'F01 - _Données Expatriés'!$A$6:$L$15,11,FALSE))</f>
        <v/>
      </c>
      <c r="K55" s="6" t="n"/>
    </row>
    <row r="56">
      <c r="A56" s="4">
        <f>IF(B56="","","CTR-"&amp;TEXT(ROW()-5,"000"))</f>
        <v/>
      </c>
      <c r="B56" s="4" t="n"/>
      <c r="C56" s="4">
        <f>IF(B56="","",VLOOKUP(B56,'F01 - _Données Expatriés'!$A$6:$L$15,2,FALSE))</f>
        <v/>
      </c>
      <c r="D56" s="4" t="n"/>
      <c r="E56" s="4" t="n"/>
      <c r="F56" s="4">
        <f>IF(B56="","",VLOOKUP(B56,'F01 - _Données Expatriés'!$A$6:$L$15,8,FALSE))</f>
        <v/>
      </c>
      <c r="G56" s="4" t="n"/>
      <c r="H56" s="4" t="n"/>
      <c r="I56" s="4">
        <f>IF(OR(G56="",H56=""),"",IFERROR((H56-G56)/30.44,0))</f>
        <v/>
      </c>
      <c r="J56" s="4">
        <f>IF(B56="","",VLOOKUP(B56,'F01 - _Données Expatriés'!$A$6:$L$15,11,FALSE))</f>
        <v/>
      </c>
      <c r="K56" s="4" t="n"/>
    </row>
    <row r="57">
      <c r="A57" s="6">
        <f>IF(B57="","","CTR-"&amp;TEXT(ROW()-5,"000"))</f>
        <v/>
      </c>
      <c r="B57" s="6" t="n"/>
      <c r="C57" s="6">
        <f>IF(B57="","",VLOOKUP(B57,'F01 - _Données Expatriés'!$A$6:$L$15,2,FALSE))</f>
        <v/>
      </c>
      <c r="D57" s="6" t="n"/>
      <c r="E57" s="6" t="n"/>
      <c r="F57" s="6">
        <f>IF(B57="","",VLOOKUP(B57,'F01 - _Données Expatriés'!$A$6:$L$15,8,FALSE))</f>
        <v/>
      </c>
      <c r="G57" s="6" t="n"/>
      <c r="H57" s="6" t="n"/>
      <c r="I57" s="6">
        <f>IF(OR(G57="",H57=""),"",IFERROR((H57-G57)/30.44,0))</f>
        <v/>
      </c>
      <c r="J57" s="6">
        <f>IF(B57="","",VLOOKUP(B57,'F01 - _Données Expatriés'!$A$6:$L$15,11,FALSE))</f>
        <v/>
      </c>
      <c r="K57" s="6" t="n"/>
    </row>
    <row r="58">
      <c r="A58" s="4">
        <f>IF(B58="","","CTR-"&amp;TEXT(ROW()-5,"000"))</f>
        <v/>
      </c>
      <c r="B58" s="4" t="n"/>
      <c r="C58" s="4">
        <f>IF(B58="","",VLOOKUP(B58,'F01 - _Données Expatriés'!$A$6:$L$15,2,FALSE))</f>
        <v/>
      </c>
      <c r="D58" s="4" t="n"/>
      <c r="E58" s="4" t="n"/>
      <c r="F58" s="4">
        <f>IF(B58="","",VLOOKUP(B58,'F01 - _Données Expatriés'!$A$6:$L$15,8,FALSE))</f>
        <v/>
      </c>
      <c r="G58" s="4" t="n"/>
      <c r="H58" s="4" t="n"/>
      <c r="I58" s="4">
        <f>IF(OR(G58="",H58=""),"",IFERROR((H58-G58)/30.44,0))</f>
        <v/>
      </c>
      <c r="J58" s="4">
        <f>IF(B58="","",VLOOKUP(B58,'F01 - _Données Expatriés'!$A$6:$L$15,11,FALSE))</f>
        <v/>
      </c>
      <c r="K58" s="4" t="n"/>
    </row>
    <row r="59">
      <c r="A59" s="6">
        <f>IF(B59="","","CTR-"&amp;TEXT(ROW()-5,"000"))</f>
        <v/>
      </c>
      <c r="B59" s="6" t="n"/>
      <c r="C59" s="6">
        <f>IF(B59="","",VLOOKUP(B59,'F01 - _Données Expatriés'!$A$6:$L$15,2,FALSE))</f>
        <v/>
      </c>
      <c r="D59" s="6" t="n"/>
      <c r="E59" s="6" t="n"/>
      <c r="F59" s="6">
        <f>IF(B59="","",VLOOKUP(B59,'F01 - _Données Expatriés'!$A$6:$L$15,8,FALSE))</f>
        <v/>
      </c>
      <c r="G59" s="6" t="n"/>
      <c r="H59" s="6" t="n"/>
      <c r="I59" s="6">
        <f>IF(OR(G59="",H59=""),"",IFERROR((H59-G59)/30.44,0))</f>
        <v/>
      </c>
      <c r="J59" s="6">
        <f>IF(B59="","",VLOOKUP(B59,'F01 - _Données Expatriés'!$A$6:$L$15,11,FALSE))</f>
        <v/>
      </c>
      <c r="K59" s="6" t="n"/>
    </row>
    <row r="60">
      <c r="A60" s="4">
        <f>IF(B60="","","CTR-"&amp;TEXT(ROW()-5,"000"))</f>
        <v/>
      </c>
      <c r="B60" s="4" t="n"/>
      <c r="C60" s="4">
        <f>IF(B60="","",VLOOKUP(B60,'F01 - _Données Expatriés'!$A$6:$L$15,2,FALSE))</f>
        <v/>
      </c>
      <c r="D60" s="4" t="n"/>
      <c r="E60" s="4" t="n"/>
      <c r="F60" s="4">
        <f>IF(B60="","",VLOOKUP(B60,'F01 - _Données Expatriés'!$A$6:$L$15,8,FALSE))</f>
        <v/>
      </c>
      <c r="G60" s="4" t="n"/>
      <c r="H60" s="4" t="n"/>
      <c r="I60" s="4">
        <f>IF(OR(G60="",H60=""),"",IFERROR((H60-G60)/30.44,0))</f>
        <v/>
      </c>
      <c r="J60" s="4">
        <f>IF(B60="","",VLOOKUP(B60,'F01 - _Données Expatriés'!$A$6:$L$15,11,FALSE))</f>
        <v/>
      </c>
      <c r="K60" s="4" t="n"/>
    </row>
    <row r="61">
      <c r="A61" s="6">
        <f>IF(B61="","","CTR-"&amp;TEXT(ROW()-5,"000"))</f>
        <v/>
      </c>
      <c r="B61" s="6" t="n"/>
      <c r="C61" s="6">
        <f>IF(B61="","",VLOOKUP(B61,'F01 - _Données Expatriés'!$A$6:$L$15,2,FALSE))</f>
        <v/>
      </c>
      <c r="D61" s="6" t="n"/>
      <c r="E61" s="6" t="n"/>
      <c r="F61" s="6">
        <f>IF(B61="","",VLOOKUP(B61,'F01 - _Données Expatriés'!$A$6:$L$15,8,FALSE))</f>
        <v/>
      </c>
      <c r="G61" s="6" t="n"/>
      <c r="H61" s="6" t="n"/>
      <c r="I61" s="6">
        <f>IF(OR(G61="",H61=""),"",IFERROR((H61-G61)/30.44,0))</f>
        <v/>
      </c>
      <c r="J61" s="6">
        <f>IF(B61="","",VLOOKUP(B61,'F01 - _Données Expatriés'!$A$6:$L$15,11,FALSE))</f>
        <v/>
      </c>
      <c r="K61" s="6" t="n"/>
    </row>
    <row r="62">
      <c r="A62" s="4">
        <f>IF(B62="","","CTR-"&amp;TEXT(ROW()-5,"000"))</f>
        <v/>
      </c>
      <c r="B62" s="4" t="n"/>
      <c r="C62" s="4">
        <f>IF(B62="","",VLOOKUP(B62,'F01 - _Données Expatriés'!$A$6:$L$15,2,FALSE))</f>
        <v/>
      </c>
      <c r="D62" s="4" t="n"/>
      <c r="E62" s="4" t="n"/>
      <c r="F62" s="4">
        <f>IF(B62="","",VLOOKUP(B62,'F01 - _Données Expatriés'!$A$6:$L$15,8,FALSE))</f>
        <v/>
      </c>
      <c r="G62" s="4" t="n"/>
      <c r="H62" s="4" t="n"/>
      <c r="I62" s="4">
        <f>IF(OR(G62="",H62=""),"",IFERROR((H62-G62)/30.44,0))</f>
        <v/>
      </c>
      <c r="J62" s="4">
        <f>IF(B62="","",VLOOKUP(B62,'F01 - _Données Expatriés'!$A$6:$L$15,11,FALSE))</f>
        <v/>
      </c>
      <c r="K62" s="4" t="n"/>
    </row>
    <row r="63">
      <c r="A63" s="6">
        <f>IF(B63="","","CTR-"&amp;TEXT(ROW()-5,"000"))</f>
        <v/>
      </c>
      <c r="B63" s="6" t="n"/>
      <c r="C63" s="6">
        <f>IF(B63="","",VLOOKUP(B63,'F01 - _Données Expatriés'!$A$6:$L$15,2,FALSE))</f>
        <v/>
      </c>
      <c r="D63" s="6" t="n"/>
      <c r="E63" s="6" t="n"/>
      <c r="F63" s="6">
        <f>IF(B63="","",VLOOKUP(B63,'F01 - _Données Expatriés'!$A$6:$L$15,8,FALSE))</f>
        <v/>
      </c>
      <c r="G63" s="6" t="n"/>
      <c r="H63" s="6" t="n"/>
      <c r="I63" s="6">
        <f>IF(OR(G63="",H63=""),"",IFERROR((H63-G63)/30.44,0))</f>
        <v/>
      </c>
      <c r="J63" s="6">
        <f>IF(B63="","",VLOOKUP(B63,'F01 - _Données Expatriés'!$A$6:$L$15,11,FALSE))</f>
        <v/>
      </c>
      <c r="K63" s="6" t="n"/>
    </row>
    <row r="64">
      <c r="A64" s="4">
        <f>IF(B64="","","CTR-"&amp;TEXT(ROW()-5,"000"))</f>
        <v/>
      </c>
      <c r="B64" s="4" t="n"/>
      <c r="C64" s="4">
        <f>IF(B64="","",VLOOKUP(B64,'F01 - _Données Expatriés'!$A$6:$L$15,2,FALSE))</f>
        <v/>
      </c>
      <c r="D64" s="4" t="n"/>
      <c r="E64" s="4" t="n"/>
      <c r="F64" s="4">
        <f>IF(B64="","",VLOOKUP(B64,'F01 - _Données Expatriés'!$A$6:$L$15,8,FALSE))</f>
        <v/>
      </c>
      <c r="G64" s="4" t="n"/>
      <c r="H64" s="4" t="n"/>
      <c r="I64" s="4">
        <f>IF(OR(G64="",H64=""),"",IFERROR((H64-G64)/30.44,0))</f>
        <v/>
      </c>
      <c r="J64" s="4">
        <f>IF(B64="","",VLOOKUP(B64,'F01 - _Données Expatriés'!$A$6:$L$15,11,FALSE))</f>
        <v/>
      </c>
      <c r="K64" s="4" t="n"/>
    </row>
    <row r="65">
      <c r="A65" s="6">
        <f>IF(B65="","","CTR-"&amp;TEXT(ROW()-5,"000"))</f>
        <v/>
      </c>
      <c r="B65" s="6" t="n"/>
      <c r="C65" s="6">
        <f>IF(B65="","",VLOOKUP(B65,'F01 - _Données Expatriés'!$A$6:$L$15,2,FALSE))</f>
        <v/>
      </c>
      <c r="D65" s="6" t="n"/>
      <c r="E65" s="6" t="n"/>
      <c r="F65" s="6">
        <f>IF(B65="","",VLOOKUP(B65,'F01 - _Données Expatriés'!$A$6:$L$15,8,FALSE))</f>
        <v/>
      </c>
      <c r="G65" s="6" t="n"/>
      <c r="H65" s="6" t="n"/>
      <c r="I65" s="6">
        <f>IF(OR(G65="",H65=""),"",IFERROR((H65-G65)/30.44,0))</f>
        <v/>
      </c>
      <c r="J65" s="6">
        <f>IF(B65="","",VLOOKUP(B65,'F01 - _Données Expatriés'!$A$6:$L$15,11,FALSE))</f>
        <v/>
      </c>
      <c r="K65" s="6" t="n"/>
    </row>
    <row r="66">
      <c r="A66" s="4">
        <f>IF(B66="","","CTR-"&amp;TEXT(ROW()-5,"000"))</f>
        <v/>
      </c>
      <c r="B66" s="4" t="n"/>
      <c r="C66" s="4">
        <f>IF(B66="","",VLOOKUP(B66,'F01 - _Données Expatriés'!$A$6:$L$15,2,FALSE))</f>
        <v/>
      </c>
      <c r="D66" s="4" t="n"/>
      <c r="E66" s="4" t="n"/>
      <c r="F66" s="4">
        <f>IF(B66="","",VLOOKUP(B66,'F01 - _Données Expatriés'!$A$6:$L$15,8,FALSE))</f>
        <v/>
      </c>
      <c r="G66" s="4" t="n"/>
      <c r="H66" s="4" t="n"/>
      <c r="I66" s="4">
        <f>IF(OR(G66="",H66=""),"",IFERROR((H66-G66)/30.44,0))</f>
        <v/>
      </c>
      <c r="J66" s="4">
        <f>IF(B66="","",VLOOKUP(B66,'F01 - _Données Expatriés'!$A$6:$L$15,11,FALSE))</f>
        <v/>
      </c>
      <c r="K66" s="4" t="n"/>
    </row>
    <row r="67">
      <c r="A67" s="6">
        <f>IF(B67="","","CTR-"&amp;TEXT(ROW()-5,"000"))</f>
        <v/>
      </c>
      <c r="B67" s="6" t="n"/>
      <c r="C67" s="6">
        <f>IF(B67="","",VLOOKUP(B67,'F01 - _Données Expatriés'!$A$6:$L$15,2,FALSE))</f>
        <v/>
      </c>
      <c r="D67" s="6" t="n"/>
      <c r="E67" s="6" t="n"/>
      <c r="F67" s="6">
        <f>IF(B67="","",VLOOKUP(B67,'F01 - _Données Expatriés'!$A$6:$L$15,8,FALSE))</f>
        <v/>
      </c>
      <c r="G67" s="6" t="n"/>
      <c r="H67" s="6" t="n"/>
      <c r="I67" s="6">
        <f>IF(OR(G67="",H67=""),"",IFERROR((H67-G67)/30.44,0))</f>
        <v/>
      </c>
      <c r="J67" s="6">
        <f>IF(B67="","",VLOOKUP(B67,'F01 - _Données Expatriés'!$A$6:$L$15,11,FALSE))</f>
        <v/>
      </c>
      <c r="K67" s="6" t="n"/>
    </row>
    <row r="68">
      <c r="A68" s="4">
        <f>IF(B68="","","CTR-"&amp;TEXT(ROW()-5,"000"))</f>
        <v/>
      </c>
      <c r="B68" s="4" t="n"/>
      <c r="C68" s="4">
        <f>IF(B68="","",VLOOKUP(B68,'F01 - _Données Expatriés'!$A$6:$L$15,2,FALSE))</f>
        <v/>
      </c>
      <c r="D68" s="4" t="n"/>
      <c r="E68" s="4" t="n"/>
      <c r="F68" s="4">
        <f>IF(B68="","",VLOOKUP(B68,'F01 - _Données Expatriés'!$A$6:$L$15,8,FALSE))</f>
        <v/>
      </c>
      <c r="G68" s="4" t="n"/>
      <c r="H68" s="4" t="n"/>
      <c r="I68" s="4">
        <f>IF(OR(G68="",H68=""),"",IFERROR((H68-G68)/30.44,0))</f>
        <v/>
      </c>
      <c r="J68" s="4">
        <f>IF(B68="","",VLOOKUP(B68,'F01 - _Données Expatriés'!$A$6:$L$15,11,FALSE))</f>
        <v/>
      </c>
      <c r="K68" s="4" t="n"/>
    </row>
    <row r="69">
      <c r="A69" s="6">
        <f>IF(B69="","","CTR-"&amp;TEXT(ROW()-5,"000"))</f>
        <v/>
      </c>
      <c r="B69" s="6" t="n"/>
      <c r="C69" s="6">
        <f>IF(B69="","",VLOOKUP(B69,'F01 - _Données Expatriés'!$A$6:$L$15,2,FALSE))</f>
        <v/>
      </c>
      <c r="D69" s="6" t="n"/>
      <c r="E69" s="6" t="n"/>
      <c r="F69" s="6">
        <f>IF(B69="","",VLOOKUP(B69,'F01 - _Données Expatriés'!$A$6:$L$15,8,FALSE))</f>
        <v/>
      </c>
      <c r="G69" s="6" t="n"/>
      <c r="H69" s="6" t="n"/>
      <c r="I69" s="6">
        <f>IF(OR(G69="",H69=""),"",IFERROR((H69-G69)/30.44,0))</f>
        <v/>
      </c>
      <c r="J69" s="6">
        <f>IF(B69="","",VLOOKUP(B69,'F01 - _Données Expatriés'!$A$6:$L$15,11,FALSE))</f>
        <v/>
      </c>
      <c r="K69" s="6" t="n"/>
    </row>
    <row r="70">
      <c r="A70" s="4">
        <f>IF(B70="","","CTR-"&amp;TEXT(ROW()-5,"000"))</f>
        <v/>
      </c>
      <c r="B70" s="4" t="n"/>
      <c r="C70" s="4">
        <f>IF(B70="","",VLOOKUP(B70,'F01 - _Données Expatriés'!$A$6:$L$15,2,FALSE))</f>
        <v/>
      </c>
      <c r="D70" s="4" t="n"/>
      <c r="E70" s="4" t="n"/>
      <c r="F70" s="4">
        <f>IF(B70="","",VLOOKUP(B70,'F01 - _Données Expatriés'!$A$6:$L$15,8,FALSE))</f>
        <v/>
      </c>
      <c r="G70" s="4" t="n"/>
      <c r="H70" s="4" t="n"/>
      <c r="I70" s="4">
        <f>IF(OR(G70="",H70=""),"",IFERROR((H70-G70)/30.44,0))</f>
        <v/>
      </c>
      <c r="J70" s="4">
        <f>IF(B70="","",VLOOKUP(B70,'F01 - _Données Expatriés'!$A$6:$L$15,11,FALSE))</f>
        <v/>
      </c>
      <c r="K70" s="4" t="n"/>
    </row>
    <row r="71">
      <c r="A71" s="6">
        <f>IF(B71="","","CTR-"&amp;TEXT(ROW()-5,"000"))</f>
        <v/>
      </c>
      <c r="B71" s="6" t="n"/>
      <c r="C71" s="6">
        <f>IF(B71="","",VLOOKUP(B71,'F01 - _Données Expatriés'!$A$6:$L$15,2,FALSE))</f>
        <v/>
      </c>
      <c r="D71" s="6" t="n"/>
      <c r="E71" s="6" t="n"/>
      <c r="F71" s="6">
        <f>IF(B71="","",VLOOKUP(B71,'F01 - _Données Expatriés'!$A$6:$L$15,8,FALSE))</f>
        <v/>
      </c>
      <c r="G71" s="6" t="n"/>
      <c r="H71" s="6" t="n"/>
      <c r="I71" s="6">
        <f>IF(OR(G71="",H71=""),"",IFERROR((H71-G71)/30.44,0))</f>
        <v/>
      </c>
      <c r="J71" s="6">
        <f>IF(B71="","",VLOOKUP(B71,'F01 - _Données Expatriés'!$A$6:$L$15,11,FALSE))</f>
        <v/>
      </c>
      <c r="K71" s="6" t="n"/>
    </row>
    <row r="72">
      <c r="A72" s="4">
        <f>IF(B72="","","CTR-"&amp;TEXT(ROW()-5,"000"))</f>
        <v/>
      </c>
      <c r="B72" s="4" t="n"/>
      <c r="C72" s="4">
        <f>IF(B72="","",VLOOKUP(B72,'F01 - _Données Expatriés'!$A$6:$L$15,2,FALSE))</f>
        <v/>
      </c>
      <c r="D72" s="4" t="n"/>
      <c r="E72" s="4" t="n"/>
      <c r="F72" s="4">
        <f>IF(B72="","",VLOOKUP(B72,'F01 - _Données Expatriés'!$A$6:$L$15,8,FALSE))</f>
        <v/>
      </c>
      <c r="G72" s="4" t="n"/>
      <c r="H72" s="4" t="n"/>
      <c r="I72" s="4">
        <f>IF(OR(G72="",H72=""),"",IFERROR((H72-G72)/30.44,0))</f>
        <v/>
      </c>
      <c r="J72" s="4">
        <f>IF(B72="","",VLOOKUP(B72,'F01 - _Données Expatriés'!$A$6:$L$15,11,FALSE))</f>
        <v/>
      </c>
      <c r="K72" s="4" t="n"/>
    </row>
    <row r="73">
      <c r="A73" s="6">
        <f>IF(B73="","","CTR-"&amp;TEXT(ROW()-5,"000"))</f>
        <v/>
      </c>
      <c r="B73" s="6" t="n"/>
      <c r="C73" s="6">
        <f>IF(B73="","",VLOOKUP(B73,'F01 - _Données Expatriés'!$A$6:$L$15,2,FALSE))</f>
        <v/>
      </c>
      <c r="D73" s="6" t="n"/>
      <c r="E73" s="6" t="n"/>
      <c r="F73" s="6">
        <f>IF(B73="","",VLOOKUP(B73,'F01 - _Données Expatriés'!$A$6:$L$15,8,FALSE))</f>
        <v/>
      </c>
      <c r="G73" s="6" t="n"/>
      <c r="H73" s="6" t="n"/>
      <c r="I73" s="6">
        <f>IF(OR(G73="",H73=""),"",IFERROR((H73-G73)/30.44,0))</f>
        <v/>
      </c>
      <c r="J73" s="6">
        <f>IF(B73="","",VLOOKUP(B73,'F01 - _Données Expatriés'!$A$6:$L$15,11,FALSE))</f>
        <v/>
      </c>
      <c r="K73" s="6" t="n"/>
    </row>
    <row r="74">
      <c r="A74" s="4">
        <f>IF(B74="","","CTR-"&amp;TEXT(ROW()-5,"000"))</f>
        <v/>
      </c>
      <c r="B74" s="4" t="n"/>
      <c r="C74" s="4">
        <f>IF(B74="","",VLOOKUP(B74,'F01 - _Données Expatriés'!$A$6:$L$15,2,FALSE))</f>
        <v/>
      </c>
      <c r="D74" s="4" t="n"/>
      <c r="E74" s="4" t="n"/>
      <c r="F74" s="4">
        <f>IF(B74="","",VLOOKUP(B74,'F01 - _Données Expatriés'!$A$6:$L$15,8,FALSE))</f>
        <v/>
      </c>
      <c r="G74" s="4" t="n"/>
      <c r="H74" s="4" t="n"/>
      <c r="I74" s="4">
        <f>IF(OR(G74="",H74=""),"",IFERROR((H74-G74)/30.44,0))</f>
        <v/>
      </c>
      <c r="J74" s="4">
        <f>IF(B74="","",VLOOKUP(B74,'F01 - _Données Expatriés'!$A$6:$L$15,11,FALSE))</f>
        <v/>
      </c>
      <c r="K74" s="4" t="n"/>
    </row>
    <row r="75">
      <c r="A75" s="6">
        <f>IF(B75="","","CTR-"&amp;TEXT(ROW()-5,"000"))</f>
        <v/>
      </c>
      <c r="B75" s="6" t="n"/>
      <c r="C75" s="6">
        <f>IF(B75="","",VLOOKUP(B75,'F01 - _Données Expatriés'!$A$6:$L$15,2,FALSE))</f>
        <v/>
      </c>
      <c r="D75" s="6" t="n"/>
      <c r="E75" s="6" t="n"/>
      <c r="F75" s="6">
        <f>IF(B75="","",VLOOKUP(B75,'F01 - _Données Expatriés'!$A$6:$L$15,8,FALSE))</f>
        <v/>
      </c>
      <c r="G75" s="6" t="n"/>
      <c r="H75" s="6" t="n"/>
      <c r="I75" s="6">
        <f>IF(OR(G75="",H75=""),"",IFERROR((H75-G75)/30.44,0))</f>
        <v/>
      </c>
      <c r="J75" s="6">
        <f>IF(B75="","",VLOOKUP(B75,'F01 - _Données Expatriés'!$A$6:$L$15,11,FALSE))</f>
        <v/>
      </c>
      <c r="K75" s="6" t="n"/>
    </row>
    <row r="76">
      <c r="A76" s="4">
        <f>IF(B76="","","CTR-"&amp;TEXT(ROW()-5,"000"))</f>
        <v/>
      </c>
      <c r="B76" s="4" t="n"/>
      <c r="C76" s="4">
        <f>IF(B76="","",VLOOKUP(B76,'F01 - _Données Expatriés'!$A$6:$L$15,2,FALSE))</f>
        <v/>
      </c>
      <c r="D76" s="4" t="n"/>
      <c r="E76" s="4" t="n"/>
      <c r="F76" s="4">
        <f>IF(B76="","",VLOOKUP(B76,'F01 - _Données Expatriés'!$A$6:$L$15,8,FALSE))</f>
        <v/>
      </c>
      <c r="G76" s="4" t="n"/>
      <c r="H76" s="4" t="n"/>
      <c r="I76" s="4">
        <f>IF(OR(G76="",H76=""),"",IFERROR((H76-G76)/30.44,0))</f>
        <v/>
      </c>
      <c r="J76" s="4">
        <f>IF(B76="","",VLOOKUP(B76,'F01 - _Données Expatriés'!$A$6:$L$15,11,FALSE))</f>
        <v/>
      </c>
      <c r="K76" s="4" t="n"/>
    </row>
    <row r="77">
      <c r="A77" s="6">
        <f>IF(B77="","","CTR-"&amp;TEXT(ROW()-5,"000"))</f>
        <v/>
      </c>
      <c r="B77" s="6" t="n"/>
      <c r="C77" s="6">
        <f>IF(B77="","",VLOOKUP(B77,'F01 - _Données Expatriés'!$A$6:$L$15,2,FALSE))</f>
        <v/>
      </c>
      <c r="D77" s="6" t="n"/>
      <c r="E77" s="6" t="n"/>
      <c r="F77" s="6">
        <f>IF(B77="","",VLOOKUP(B77,'F01 - _Données Expatriés'!$A$6:$L$15,8,FALSE))</f>
        <v/>
      </c>
      <c r="G77" s="6" t="n"/>
      <c r="H77" s="6" t="n"/>
      <c r="I77" s="6">
        <f>IF(OR(G77="",H77=""),"",IFERROR((H77-G77)/30.44,0))</f>
        <v/>
      </c>
      <c r="J77" s="6">
        <f>IF(B77="","",VLOOKUP(B77,'F01 - _Données Expatriés'!$A$6:$L$15,11,FALSE))</f>
        <v/>
      </c>
      <c r="K77" s="6" t="n"/>
    </row>
    <row r="78">
      <c r="A78" s="4">
        <f>IF(B78="","","CTR-"&amp;TEXT(ROW()-5,"000"))</f>
        <v/>
      </c>
      <c r="B78" s="4" t="n"/>
      <c r="C78" s="4">
        <f>IF(B78="","",VLOOKUP(B78,'F01 - _Données Expatriés'!$A$6:$L$15,2,FALSE))</f>
        <v/>
      </c>
      <c r="D78" s="4" t="n"/>
      <c r="E78" s="4" t="n"/>
      <c r="F78" s="4">
        <f>IF(B78="","",VLOOKUP(B78,'F01 - _Données Expatriés'!$A$6:$L$15,8,FALSE))</f>
        <v/>
      </c>
      <c r="G78" s="4" t="n"/>
      <c r="H78" s="4" t="n"/>
      <c r="I78" s="4">
        <f>IF(OR(G78="",H78=""),"",IFERROR((H78-G78)/30.44,0))</f>
        <v/>
      </c>
      <c r="J78" s="4">
        <f>IF(B78="","",VLOOKUP(B78,'F01 - _Données Expatriés'!$A$6:$L$15,11,FALSE))</f>
        <v/>
      </c>
      <c r="K78" s="4" t="n"/>
    </row>
    <row r="79">
      <c r="A79" s="6">
        <f>IF(B79="","","CTR-"&amp;TEXT(ROW()-5,"000"))</f>
        <v/>
      </c>
      <c r="B79" s="6" t="n"/>
      <c r="C79" s="6">
        <f>IF(B79="","",VLOOKUP(B79,'F01 - _Données Expatriés'!$A$6:$L$15,2,FALSE))</f>
        <v/>
      </c>
      <c r="D79" s="6" t="n"/>
      <c r="E79" s="6" t="n"/>
      <c r="F79" s="6">
        <f>IF(B79="","",VLOOKUP(B79,'F01 - _Données Expatriés'!$A$6:$L$15,8,FALSE))</f>
        <v/>
      </c>
      <c r="G79" s="6" t="n"/>
      <c r="H79" s="6" t="n"/>
      <c r="I79" s="6">
        <f>IF(OR(G79="",H79=""),"",IFERROR((H79-G79)/30.44,0))</f>
        <v/>
      </c>
      <c r="J79" s="6">
        <f>IF(B79="","",VLOOKUP(B79,'F01 - _Données Expatriés'!$A$6:$L$15,11,FALSE))</f>
        <v/>
      </c>
      <c r="K79" s="6" t="n"/>
    </row>
    <row r="80">
      <c r="A80" s="4">
        <f>IF(B80="","","CTR-"&amp;TEXT(ROW()-5,"000"))</f>
        <v/>
      </c>
      <c r="B80" s="4" t="n"/>
      <c r="C80" s="4">
        <f>IF(B80="","",VLOOKUP(B80,'F01 - _Données Expatriés'!$A$6:$L$15,2,FALSE))</f>
        <v/>
      </c>
      <c r="D80" s="4" t="n"/>
      <c r="E80" s="4" t="n"/>
      <c r="F80" s="4">
        <f>IF(B80="","",VLOOKUP(B80,'F01 - _Données Expatriés'!$A$6:$L$15,8,FALSE))</f>
        <v/>
      </c>
      <c r="G80" s="4" t="n"/>
      <c r="H80" s="4" t="n"/>
      <c r="I80" s="4">
        <f>IF(OR(G80="",H80=""),"",IFERROR((H80-G80)/30.44,0))</f>
        <v/>
      </c>
      <c r="J80" s="4">
        <f>IF(B80="","",VLOOKUP(B80,'F01 - _Données Expatriés'!$A$6:$L$15,11,FALSE))</f>
        <v/>
      </c>
      <c r="K80" s="4" t="n"/>
    </row>
    <row r="81">
      <c r="A81" s="6">
        <f>IF(B81="","","CTR-"&amp;TEXT(ROW()-5,"000"))</f>
        <v/>
      </c>
      <c r="B81" s="6" t="n"/>
      <c r="C81" s="6">
        <f>IF(B81="","",VLOOKUP(B81,'F01 - _Données Expatriés'!$A$6:$L$15,2,FALSE))</f>
        <v/>
      </c>
      <c r="D81" s="6" t="n"/>
      <c r="E81" s="6" t="n"/>
      <c r="F81" s="6">
        <f>IF(B81="","",VLOOKUP(B81,'F01 - _Données Expatriés'!$A$6:$L$15,8,FALSE))</f>
        <v/>
      </c>
      <c r="G81" s="6" t="n"/>
      <c r="H81" s="6" t="n"/>
      <c r="I81" s="6">
        <f>IF(OR(G81="",H81=""),"",IFERROR((H81-G81)/30.44,0))</f>
        <v/>
      </c>
      <c r="J81" s="6">
        <f>IF(B81="","",VLOOKUP(B81,'F01 - _Données Expatriés'!$A$6:$L$15,11,FALSE))</f>
        <v/>
      </c>
      <c r="K81" s="6" t="n"/>
    </row>
    <row r="82">
      <c r="A82" s="4">
        <f>IF(B82="","","CTR-"&amp;TEXT(ROW()-5,"000"))</f>
        <v/>
      </c>
      <c r="B82" s="4" t="n"/>
      <c r="C82" s="4">
        <f>IF(B82="","",VLOOKUP(B82,'F01 - _Données Expatriés'!$A$6:$L$15,2,FALSE))</f>
        <v/>
      </c>
      <c r="D82" s="4" t="n"/>
      <c r="E82" s="4" t="n"/>
      <c r="F82" s="4">
        <f>IF(B82="","",VLOOKUP(B82,'F01 - _Données Expatriés'!$A$6:$L$15,8,FALSE))</f>
        <v/>
      </c>
      <c r="G82" s="4" t="n"/>
      <c r="H82" s="4" t="n"/>
      <c r="I82" s="4">
        <f>IF(OR(G82="",H82=""),"",IFERROR((H82-G82)/30.44,0))</f>
        <v/>
      </c>
      <c r="J82" s="4">
        <f>IF(B82="","",VLOOKUP(B82,'F01 - _Données Expatriés'!$A$6:$L$15,11,FALSE))</f>
        <v/>
      </c>
      <c r="K82" s="4" t="n"/>
    </row>
    <row r="83">
      <c r="A83" s="6">
        <f>IF(B83="","","CTR-"&amp;TEXT(ROW()-5,"000"))</f>
        <v/>
      </c>
      <c r="B83" s="6" t="n"/>
      <c r="C83" s="6">
        <f>IF(B83="","",VLOOKUP(B83,'F01 - _Données Expatriés'!$A$6:$L$15,2,FALSE))</f>
        <v/>
      </c>
      <c r="D83" s="6" t="n"/>
      <c r="E83" s="6" t="n"/>
      <c r="F83" s="6">
        <f>IF(B83="","",VLOOKUP(B83,'F01 - _Données Expatriés'!$A$6:$L$15,8,FALSE))</f>
        <v/>
      </c>
      <c r="G83" s="6" t="n"/>
      <c r="H83" s="6" t="n"/>
      <c r="I83" s="6">
        <f>IF(OR(G83="",H83=""),"",IFERROR((H83-G83)/30.44,0))</f>
        <v/>
      </c>
      <c r="J83" s="6">
        <f>IF(B83="","",VLOOKUP(B83,'F01 - _Données Expatriés'!$A$6:$L$15,11,FALSE))</f>
        <v/>
      </c>
      <c r="K83" s="6" t="n"/>
    </row>
    <row r="84">
      <c r="A84" s="4">
        <f>IF(B84="","","CTR-"&amp;TEXT(ROW()-5,"000"))</f>
        <v/>
      </c>
      <c r="B84" s="4" t="n"/>
      <c r="C84" s="4">
        <f>IF(B84="","",VLOOKUP(B84,'F01 - _Données Expatriés'!$A$6:$L$15,2,FALSE))</f>
        <v/>
      </c>
      <c r="D84" s="4" t="n"/>
      <c r="E84" s="4" t="n"/>
      <c r="F84" s="4">
        <f>IF(B84="","",VLOOKUP(B84,'F01 - _Données Expatriés'!$A$6:$L$15,8,FALSE))</f>
        <v/>
      </c>
      <c r="G84" s="4" t="n"/>
      <c r="H84" s="4" t="n"/>
      <c r="I84" s="4">
        <f>IF(OR(G84="",H84=""),"",IFERROR((H84-G84)/30.44,0))</f>
        <v/>
      </c>
      <c r="J84" s="4">
        <f>IF(B84="","",VLOOKUP(B84,'F01 - _Données Expatriés'!$A$6:$L$15,11,FALSE))</f>
        <v/>
      </c>
      <c r="K84" s="4" t="n"/>
    </row>
    <row r="85">
      <c r="A85" s="6">
        <f>IF(B85="","","CTR-"&amp;TEXT(ROW()-5,"000"))</f>
        <v/>
      </c>
      <c r="B85" s="6" t="n"/>
      <c r="C85" s="6">
        <f>IF(B85="","",VLOOKUP(B85,'F01 - _Données Expatriés'!$A$6:$L$15,2,FALSE))</f>
        <v/>
      </c>
      <c r="D85" s="6" t="n"/>
      <c r="E85" s="6" t="n"/>
      <c r="F85" s="6">
        <f>IF(B85="","",VLOOKUP(B85,'F01 - _Données Expatriés'!$A$6:$L$15,8,FALSE))</f>
        <v/>
      </c>
      <c r="G85" s="6" t="n"/>
      <c r="H85" s="6" t="n"/>
      <c r="I85" s="6">
        <f>IF(OR(G85="",H85=""),"",IFERROR((H85-G85)/30.44,0))</f>
        <v/>
      </c>
      <c r="J85" s="6">
        <f>IF(B85="","",VLOOKUP(B85,'F01 - _Données Expatriés'!$A$6:$L$15,11,FALSE))</f>
        <v/>
      </c>
      <c r="K85" s="6" t="n"/>
    </row>
    <row r="86">
      <c r="A86" s="4">
        <f>IF(B86="","","CTR-"&amp;TEXT(ROW()-5,"000"))</f>
        <v/>
      </c>
      <c r="B86" s="4" t="n"/>
      <c r="C86" s="4">
        <f>IF(B86="","",VLOOKUP(B86,'F01 - _Données Expatriés'!$A$6:$L$15,2,FALSE))</f>
        <v/>
      </c>
      <c r="D86" s="4" t="n"/>
      <c r="E86" s="4" t="n"/>
      <c r="F86" s="4">
        <f>IF(B86="","",VLOOKUP(B86,'F01 - _Données Expatriés'!$A$6:$L$15,8,FALSE))</f>
        <v/>
      </c>
      <c r="G86" s="4" t="n"/>
      <c r="H86" s="4" t="n"/>
      <c r="I86" s="4">
        <f>IF(OR(G86="",H86=""),"",IFERROR((H86-G86)/30.44,0))</f>
        <v/>
      </c>
      <c r="J86" s="4">
        <f>IF(B86="","",VLOOKUP(B86,'F01 - _Données Expatriés'!$A$6:$L$15,11,FALSE))</f>
        <v/>
      </c>
      <c r="K86" s="4" t="n"/>
    </row>
    <row r="87">
      <c r="A87" s="6">
        <f>IF(B87="","","CTR-"&amp;TEXT(ROW()-5,"000"))</f>
        <v/>
      </c>
      <c r="B87" s="6" t="n"/>
      <c r="C87" s="6">
        <f>IF(B87="","",VLOOKUP(B87,'F01 - _Données Expatriés'!$A$6:$L$15,2,FALSE))</f>
        <v/>
      </c>
      <c r="D87" s="6" t="n"/>
      <c r="E87" s="6" t="n"/>
      <c r="F87" s="6">
        <f>IF(B87="","",VLOOKUP(B87,'F01 - _Données Expatriés'!$A$6:$L$15,8,FALSE))</f>
        <v/>
      </c>
      <c r="G87" s="6" t="n"/>
      <c r="H87" s="6" t="n"/>
      <c r="I87" s="6">
        <f>IF(OR(G87="",H87=""),"",IFERROR((H87-G87)/30.44,0))</f>
        <v/>
      </c>
      <c r="J87" s="6">
        <f>IF(B87="","",VLOOKUP(B87,'F01 - _Données Expatriés'!$A$6:$L$15,11,FALSE))</f>
        <v/>
      </c>
      <c r="K87" s="6" t="n"/>
    </row>
    <row r="88">
      <c r="A88" s="4">
        <f>IF(B88="","","CTR-"&amp;TEXT(ROW()-5,"000"))</f>
        <v/>
      </c>
      <c r="B88" s="4" t="n"/>
      <c r="C88" s="4">
        <f>IF(B88="","",VLOOKUP(B88,'F01 - _Données Expatriés'!$A$6:$L$15,2,FALSE))</f>
        <v/>
      </c>
      <c r="D88" s="4" t="n"/>
      <c r="E88" s="4" t="n"/>
      <c r="F88" s="4">
        <f>IF(B88="","",VLOOKUP(B88,'F01 - _Données Expatriés'!$A$6:$L$15,8,FALSE))</f>
        <v/>
      </c>
      <c r="G88" s="4" t="n"/>
      <c r="H88" s="4" t="n"/>
      <c r="I88" s="4">
        <f>IF(OR(G88="",H88=""),"",IFERROR((H88-G88)/30.44,0))</f>
        <v/>
      </c>
      <c r="J88" s="4">
        <f>IF(B88="","",VLOOKUP(B88,'F01 - _Données Expatriés'!$A$6:$L$15,11,FALSE))</f>
        <v/>
      </c>
      <c r="K88" s="4" t="n"/>
    </row>
    <row r="89">
      <c r="A89" s="6">
        <f>IF(B89="","","CTR-"&amp;TEXT(ROW()-5,"000"))</f>
        <v/>
      </c>
      <c r="B89" s="6" t="n"/>
      <c r="C89" s="6">
        <f>IF(B89="","",VLOOKUP(B89,'F01 - _Données Expatriés'!$A$6:$L$15,2,FALSE))</f>
        <v/>
      </c>
      <c r="D89" s="6" t="n"/>
      <c r="E89" s="6" t="n"/>
      <c r="F89" s="6">
        <f>IF(B89="","",VLOOKUP(B89,'F01 - _Données Expatriés'!$A$6:$L$15,8,FALSE))</f>
        <v/>
      </c>
      <c r="G89" s="6" t="n"/>
      <c r="H89" s="6" t="n"/>
      <c r="I89" s="6">
        <f>IF(OR(G89="",H89=""),"",IFERROR((H89-G89)/30.44,0))</f>
        <v/>
      </c>
      <c r="J89" s="6">
        <f>IF(B89="","",VLOOKUP(B89,'F01 - _Données Expatriés'!$A$6:$L$15,11,FALSE))</f>
        <v/>
      </c>
      <c r="K89" s="6" t="n"/>
    </row>
    <row r="90">
      <c r="A90" s="4">
        <f>IF(B90="","","CTR-"&amp;TEXT(ROW()-5,"000"))</f>
        <v/>
      </c>
      <c r="B90" s="4" t="n"/>
      <c r="C90" s="4">
        <f>IF(B90="","",VLOOKUP(B90,'F01 - _Données Expatriés'!$A$6:$L$15,2,FALSE))</f>
        <v/>
      </c>
      <c r="D90" s="4" t="n"/>
      <c r="E90" s="4" t="n"/>
      <c r="F90" s="4">
        <f>IF(B90="","",VLOOKUP(B90,'F01 - _Données Expatriés'!$A$6:$L$15,8,FALSE))</f>
        <v/>
      </c>
      <c r="G90" s="4" t="n"/>
      <c r="H90" s="4" t="n"/>
      <c r="I90" s="4">
        <f>IF(OR(G90="",H90=""),"",IFERROR((H90-G90)/30.44,0))</f>
        <v/>
      </c>
      <c r="J90" s="4">
        <f>IF(B90="","",VLOOKUP(B90,'F01 - _Données Expatriés'!$A$6:$L$15,11,FALSE))</f>
        <v/>
      </c>
      <c r="K90" s="4" t="n"/>
    </row>
    <row r="91">
      <c r="A91" s="6">
        <f>IF(B91="","","CTR-"&amp;TEXT(ROW()-5,"000"))</f>
        <v/>
      </c>
      <c r="B91" s="6" t="n"/>
      <c r="C91" s="6">
        <f>IF(B91="","",VLOOKUP(B91,'F01 - _Données Expatriés'!$A$6:$L$15,2,FALSE))</f>
        <v/>
      </c>
      <c r="D91" s="6" t="n"/>
      <c r="E91" s="6" t="n"/>
      <c r="F91" s="6">
        <f>IF(B91="","",VLOOKUP(B91,'F01 - _Données Expatriés'!$A$6:$L$15,8,FALSE))</f>
        <v/>
      </c>
      <c r="G91" s="6" t="n"/>
      <c r="H91" s="6" t="n"/>
      <c r="I91" s="6">
        <f>IF(OR(G91="",H91=""),"",IFERROR((H91-G91)/30.44,0))</f>
        <v/>
      </c>
      <c r="J91" s="6">
        <f>IF(B91="","",VLOOKUP(B91,'F01 - _Données Expatriés'!$A$6:$L$15,11,FALSE))</f>
        <v/>
      </c>
      <c r="K91" s="6" t="n"/>
    </row>
    <row r="92">
      <c r="A92" s="4">
        <f>IF(B92="","","CTR-"&amp;TEXT(ROW()-5,"000"))</f>
        <v/>
      </c>
      <c r="B92" s="4" t="n"/>
      <c r="C92" s="4">
        <f>IF(B92="","",VLOOKUP(B92,'F01 - _Données Expatriés'!$A$6:$L$15,2,FALSE))</f>
        <v/>
      </c>
      <c r="D92" s="4" t="n"/>
      <c r="E92" s="4" t="n"/>
      <c r="F92" s="4">
        <f>IF(B92="","",VLOOKUP(B92,'F01 - _Données Expatriés'!$A$6:$L$15,8,FALSE))</f>
        <v/>
      </c>
      <c r="G92" s="4" t="n"/>
      <c r="H92" s="4" t="n"/>
      <c r="I92" s="4">
        <f>IF(OR(G92="",H92=""),"",IFERROR((H92-G92)/30.44,0))</f>
        <v/>
      </c>
      <c r="J92" s="4">
        <f>IF(B92="","",VLOOKUP(B92,'F01 - _Données Expatriés'!$A$6:$L$15,11,FALSE))</f>
        <v/>
      </c>
      <c r="K92" s="4" t="n"/>
    </row>
    <row r="93">
      <c r="A93" s="6">
        <f>IF(B93="","","CTR-"&amp;TEXT(ROW()-5,"000"))</f>
        <v/>
      </c>
      <c r="B93" s="6" t="n"/>
      <c r="C93" s="6">
        <f>IF(B93="","",VLOOKUP(B93,'F01 - _Données Expatriés'!$A$6:$L$15,2,FALSE))</f>
        <v/>
      </c>
      <c r="D93" s="6" t="n"/>
      <c r="E93" s="6" t="n"/>
      <c r="F93" s="6">
        <f>IF(B93="","",VLOOKUP(B93,'F01 - _Données Expatriés'!$A$6:$L$15,8,FALSE))</f>
        <v/>
      </c>
      <c r="G93" s="6" t="n"/>
      <c r="H93" s="6" t="n"/>
      <c r="I93" s="6">
        <f>IF(OR(G93="",H93=""),"",IFERROR((H93-G93)/30.44,0))</f>
        <v/>
      </c>
      <c r="J93" s="6">
        <f>IF(B93="","",VLOOKUP(B93,'F01 - _Données Expatriés'!$A$6:$L$15,11,FALSE))</f>
        <v/>
      </c>
      <c r="K93" s="6" t="n"/>
    </row>
    <row r="94">
      <c r="A94" s="4">
        <f>IF(B94="","","CTR-"&amp;TEXT(ROW()-5,"000"))</f>
        <v/>
      </c>
      <c r="B94" s="4" t="n"/>
      <c r="C94" s="4">
        <f>IF(B94="","",VLOOKUP(B94,'F01 - _Données Expatriés'!$A$6:$L$15,2,FALSE))</f>
        <v/>
      </c>
      <c r="D94" s="4" t="n"/>
      <c r="E94" s="4" t="n"/>
      <c r="F94" s="4">
        <f>IF(B94="","",VLOOKUP(B94,'F01 - _Données Expatriés'!$A$6:$L$15,8,FALSE))</f>
        <v/>
      </c>
      <c r="G94" s="4" t="n"/>
      <c r="H94" s="4" t="n"/>
      <c r="I94" s="4">
        <f>IF(OR(G94="",H94=""),"",IFERROR((H94-G94)/30.44,0))</f>
        <v/>
      </c>
      <c r="J94" s="4">
        <f>IF(B94="","",VLOOKUP(B94,'F01 - _Données Expatriés'!$A$6:$L$15,11,FALSE))</f>
        <v/>
      </c>
      <c r="K94" s="4" t="n"/>
    </row>
    <row r="95">
      <c r="A95" s="6">
        <f>IF(B95="","","CTR-"&amp;TEXT(ROW()-5,"000"))</f>
        <v/>
      </c>
      <c r="B95" s="6" t="n"/>
      <c r="C95" s="6">
        <f>IF(B95="","",VLOOKUP(B95,'F01 - _Données Expatriés'!$A$6:$L$15,2,FALSE))</f>
        <v/>
      </c>
      <c r="D95" s="6" t="n"/>
      <c r="E95" s="6" t="n"/>
      <c r="F95" s="6">
        <f>IF(B95="","",VLOOKUP(B95,'F01 - _Données Expatriés'!$A$6:$L$15,8,FALSE))</f>
        <v/>
      </c>
      <c r="G95" s="6" t="n"/>
      <c r="H95" s="6" t="n"/>
      <c r="I95" s="6">
        <f>IF(OR(G95="",H95=""),"",IFERROR((H95-G95)/30.44,0))</f>
        <v/>
      </c>
      <c r="J95" s="6">
        <f>IF(B95="","",VLOOKUP(B95,'F01 - _Données Expatriés'!$A$6:$L$15,11,FALSE))</f>
        <v/>
      </c>
      <c r="K95" s="6" t="n"/>
    </row>
    <row r="96">
      <c r="A96" s="4">
        <f>IF(B96="","","CTR-"&amp;TEXT(ROW()-5,"000"))</f>
        <v/>
      </c>
      <c r="B96" s="4" t="n"/>
      <c r="C96" s="4">
        <f>IF(B96="","",VLOOKUP(B96,'F01 - _Données Expatriés'!$A$6:$L$15,2,FALSE))</f>
        <v/>
      </c>
      <c r="D96" s="4" t="n"/>
      <c r="E96" s="4" t="n"/>
      <c r="F96" s="4">
        <f>IF(B96="","",VLOOKUP(B96,'F01 - _Données Expatriés'!$A$6:$L$15,8,FALSE))</f>
        <v/>
      </c>
      <c r="G96" s="4" t="n"/>
      <c r="H96" s="4" t="n"/>
      <c r="I96" s="4">
        <f>IF(OR(G96="",H96=""),"",IFERROR((H96-G96)/30.44,0))</f>
        <v/>
      </c>
      <c r="J96" s="4">
        <f>IF(B96="","",VLOOKUP(B96,'F01 - _Données Expatriés'!$A$6:$L$15,11,FALSE))</f>
        <v/>
      </c>
      <c r="K96" s="4" t="n"/>
    </row>
    <row r="97">
      <c r="A97" s="6">
        <f>IF(B97="","","CTR-"&amp;TEXT(ROW()-5,"000"))</f>
        <v/>
      </c>
      <c r="B97" s="6" t="n"/>
      <c r="C97" s="6">
        <f>IF(B97="","",VLOOKUP(B97,'F01 - _Données Expatriés'!$A$6:$L$15,2,FALSE))</f>
        <v/>
      </c>
      <c r="D97" s="6" t="n"/>
      <c r="E97" s="6" t="n"/>
      <c r="F97" s="6">
        <f>IF(B97="","",VLOOKUP(B97,'F01 - _Données Expatriés'!$A$6:$L$15,8,FALSE))</f>
        <v/>
      </c>
      <c r="G97" s="6" t="n"/>
      <c r="H97" s="6" t="n"/>
      <c r="I97" s="6">
        <f>IF(OR(G97="",H97=""),"",IFERROR((H97-G97)/30.44,0))</f>
        <v/>
      </c>
      <c r="J97" s="6">
        <f>IF(B97="","",VLOOKUP(B97,'F01 - _Données Expatriés'!$A$6:$L$15,11,FALSE))</f>
        <v/>
      </c>
      <c r="K97" s="6" t="n"/>
    </row>
    <row r="98">
      <c r="A98" s="4">
        <f>IF(B98="","","CTR-"&amp;TEXT(ROW()-5,"000"))</f>
        <v/>
      </c>
      <c r="B98" s="4" t="n"/>
      <c r="C98" s="4">
        <f>IF(B98="","",VLOOKUP(B98,'F01 - _Données Expatriés'!$A$6:$L$15,2,FALSE))</f>
        <v/>
      </c>
      <c r="D98" s="4" t="n"/>
      <c r="E98" s="4" t="n"/>
      <c r="F98" s="4">
        <f>IF(B98="","",VLOOKUP(B98,'F01 - _Données Expatriés'!$A$6:$L$15,8,FALSE))</f>
        <v/>
      </c>
      <c r="G98" s="4" t="n"/>
      <c r="H98" s="4" t="n"/>
      <c r="I98" s="4">
        <f>IF(OR(G98="",H98=""),"",IFERROR((H98-G98)/30.44,0))</f>
        <v/>
      </c>
      <c r="J98" s="4">
        <f>IF(B98="","",VLOOKUP(B98,'F01 - _Données Expatriés'!$A$6:$L$15,11,FALSE))</f>
        <v/>
      </c>
      <c r="K98" s="4" t="n"/>
    </row>
    <row r="99">
      <c r="A99" s="6">
        <f>IF(B99="","","CTR-"&amp;TEXT(ROW()-5,"000"))</f>
        <v/>
      </c>
      <c r="B99" s="6" t="n"/>
      <c r="C99" s="6">
        <f>IF(B99="","",VLOOKUP(B99,'F01 - _Données Expatriés'!$A$6:$L$15,2,FALSE))</f>
        <v/>
      </c>
      <c r="D99" s="6" t="n"/>
      <c r="E99" s="6" t="n"/>
      <c r="F99" s="6">
        <f>IF(B99="","",VLOOKUP(B99,'F01 - _Données Expatriés'!$A$6:$L$15,8,FALSE))</f>
        <v/>
      </c>
      <c r="G99" s="6" t="n"/>
      <c r="H99" s="6" t="n"/>
      <c r="I99" s="6">
        <f>IF(OR(G99="",H99=""),"",IFERROR((H99-G99)/30.44,0))</f>
        <v/>
      </c>
      <c r="J99" s="6">
        <f>IF(B99="","",VLOOKUP(B99,'F01 - _Données Expatriés'!$A$6:$L$15,11,FALSE))</f>
        <v/>
      </c>
      <c r="K99" s="6" t="n"/>
    </row>
    <row r="100">
      <c r="A100" s="4">
        <f>IF(B100="","","CTR-"&amp;TEXT(ROW()-5,"000"))</f>
        <v/>
      </c>
      <c r="B100" s="4" t="n"/>
      <c r="C100" s="4">
        <f>IF(B100="","",VLOOKUP(B100,'F01 - _Données Expatriés'!$A$6:$L$15,2,FALSE))</f>
        <v/>
      </c>
      <c r="D100" s="4" t="n"/>
      <c r="E100" s="4" t="n"/>
      <c r="F100" s="4">
        <f>IF(B100="","",VLOOKUP(B100,'F01 - _Données Expatriés'!$A$6:$L$15,8,FALSE))</f>
        <v/>
      </c>
      <c r="G100" s="4" t="n"/>
      <c r="H100" s="4" t="n"/>
      <c r="I100" s="4">
        <f>IF(OR(G100="",H100=""),"",IFERROR((H100-G100)/30.44,0))</f>
        <v/>
      </c>
      <c r="J100" s="4">
        <f>IF(B100="","",VLOOKUP(B100,'F01 - _Données Expatriés'!$A$6:$L$15,11,FALSE))</f>
        <v/>
      </c>
      <c r="K100" s="4" t="n"/>
    </row>
    <row r="101">
      <c r="A101" s="6">
        <f>IF(B101="","","CTR-"&amp;TEXT(ROW()-5,"000"))</f>
        <v/>
      </c>
      <c r="B101" s="6" t="n"/>
      <c r="C101" s="6">
        <f>IF(B101="","",VLOOKUP(B101,'F01 - _Données Expatriés'!$A$6:$L$15,2,FALSE))</f>
        <v/>
      </c>
      <c r="D101" s="6" t="n"/>
      <c r="E101" s="6" t="n"/>
      <c r="F101" s="6">
        <f>IF(B101="","",VLOOKUP(B101,'F01 - _Données Expatriés'!$A$6:$L$15,8,FALSE))</f>
        <v/>
      </c>
      <c r="G101" s="6" t="n"/>
      <c r="H101" s="6" t="n"/>
      <c r="I101" s="6">
        <f>IF(OR(G101="",H101=""),"",IFERROR((H101-G101)/30.44,0))</f>
        <v/>
      </c>
      <c r="J101" s="6">
        <f>IF(B101="","",VLOOKUP(B101,'F01 - _Données Expatriés'!$A$6:$L$15,11,FALSE))</f>
        <v/>
      </c>
      <c r="K101" s="6" t="n"/>
    </row>
    <row r="102">
      <c r="A102" s="4">
        <f>IF(B102="","","CTR-"&amp;TEXT(ROW()-5,"000"))</f>
        <v/>
      </c>
      <c r="B102" s="4" t="n"/>
      <c r="C102" s="4">
        <f>IF(B102="","",VLOOKUP(B102,'F01 - _Données Expatriés'!$A$6:$L$15,2,FALSE))</f>
        <v/>
      </c>
      <c r="D102" s="4" t="n"/>
      <c r="E102" s="4" t="n"/>
      <c r="F102" s="4">
        <f>IF(B102="","",VLOOKUP(B102,'F01 - _Données Expatriés'!$A$6:$L$15,8,FALSE))</f>
        <v/>
      </c>
      <c r="G102" s="4" t="n"/>
      <c r="H102" s="4" t="n"/>
      <c r="I102" s="4">
        <f>IF(OR(G102="",H102=""),"",IFERROR((H102-G102)/30.44,0))</f>
        <v/>
      </c>
      <c r="J102" s="4">
        <f>IF(B102="","",VLOOKUP(B102,'F01 - _Données Expatriés'!$A$6:$L$15,11,FALSE))</f>
        <v/>
      </c>
      <c r="K102" s="4" t="n"/>
    </row>
    <row r="103">
      <c r="A103" s="6">
        <f>IF(B103="","","CTR-"&amp;TEXT(ROW()-5,"000"))</f>
        <v/>
      </c>
      <c r="B103" s="6" t="n"/>
      <c r="C103" s="6">
        <f>IF(B103="","",VLOOKUP(B103,'F01 - _Données Expatriés'!$A$6:$L$15,2,FALSE))</f>
        <v/>
      </c>
      <c r="D103" s="6" t="n"/>
      <c r="E103" s="6" t="n"/>
      <c r="F103" s="6">
        <f>IF(B103="","",VLOOKUP(B103,'F01 - _Données Expatriés'!$A$6:$L$15,8,FALSE))</f>
        <v/>
      </c>
      <c r="G103" s="6" t="n"/>
      <c r="H103" s="6" t="n"/>
      <c r="I103" s="6">
        <f>IF(OR(G103="",H103=""),"",IFERROR((H103-G103)/30.44,0))</f>
        <v/>
      </c>
      <c r="J103" s="6">
        <f>IF(B103="","",VLOOKUP(B103,'F01 - _Données Expatriés'!$A$6:$L$15,11,FALSE))</f>
        <v/>
      </c>
      <c r="K103" s="6" t="n"/>
    </row>
    <row r="104">
      <c r="A104" s="4">
        <f>IF(B104="","","CTR-"&amp;TEXT(ROW()-5,"000"))</f>
        <v/>
      </c>
      <c r="B104" s="4" t="n"/>
      <c r="C104" s="4">
        <f>IF(B104="","",VLOOKUP(B104,'F01 - _Données Expatriés'!$A$6:$L$15,2,FALSE))</f>
        <v/>
      </c>
      <c r="D104" s="4" t="n"/>
      <c r="E104" s="4" t="n"/>
      <c r="F104" s="4">
        <f>IF(B104="","",VLOOKUP(B104,'F01 - _Données Expatriés'!$A$6:$L$15,8,FALSE))</f>
        <v/>
      </c>
      <c r="G104" s="4" t="n"/>
      <c r="H104" s="4" t="n"/>
      <c r="I104" s="4">
        <f>IF(OR(G104="",H104=""),"",IFERROR((H104-G104)/30.44,0))</f>
        <v/>
      </c>
      <c r="J104" s="4">
        <f>IF(B104="","",VLOOKUP(B104,'F01 - _Données Expatriés'!$A$6:$L$15,11,FALSE))</f>
        <v/>
      </c>
      <c r="K104" s="4" t="n"/>
    </row>
    <row r="105">
      <c r="A105" s="6">
        <f>IF(B105="","","CTR-"&amp;TEXT(ROW()-5,"000"))</f>
        <v/>
      </c>
      <c r="B105" s="6" t="n"/>
      <c r="C105" s="6">
        <f>IF(B105="","",VLOOKUP(B105,'F01 - _Données Expatriés'!$A$6:$L$15,2,FALSE))</f>
        <v/>
      </c>
      <c r="D105" s="6" t="n"/>
      <c r="E105" s="6" t="n"/>
      <c r="F105" s="6">
        <f>IF(B105="","",VLOOKUP(B105,'F01 - _Données Expatriés'!$A$6:$L$15,8,FALSE))</f>
        <v/>
      </c>
      <c r="G105" s="6" t="n"/>
      <c r="H105" s="6" t="n"/>
      <c r="I105" s="6">
        <f>IF(OR(G105="",H105=""),"",IFERROR((H105-G105)/30.44,0))</f>
        <v/>
      </c>
      <c r="J105" s="6">
        <f>IF(B105="","",VLOOKUP(B105,'F01 - _Données Expatriés'!$A$6:$L$15,11,FALSE))</f>
        <v/>
      </c>
      <c r="K105" s="6" t="n"/>
    </row>
    <row r="106">
      <c r="A106" s="4">
        <f>IF(B106="","","CTR-"&amp;TEXT(ROW()-5,"000"))</f>
        <v/>
      </c>
      <c r="B106" s="4" t="n"/>
      <c r="C106" s="4">
        <f>IF(B106="","",VLOOKUP(B106,'F01 - _Données Expatriés'!$A$6:$L$15,2,FALSE))</f>
        <v/>
      </c>
      <c r="D106" s="4" t="n"/>
      <c r="E106" s="4" t="n"/>
      <c r="F106" s="4">
        <f>IF(B106="","",VLOOKUP(B106,'F01 - _Données Expatriés'!$A$6:$L$15,8,FALSE))</f>
        <v/>
      </c>
      <c r="G106" s="4" t="n"/>
      <c r="H106" s="4" t="n"/>
      <c r="I106" s="4">
        <f>IF(OR(G106="",H106=""),"",IFERROR((H106-G106)/30.44,0))</f>
        <v/>
      </c>
      <c r="J106" s="4">
        <f>IF(B106="","",VLOOKUP(B106,'F01 - _Données Expatriés'!$A$6:$L$15,11,FALSE))</f>
        <v/>
      </c>
      <c r="K106" s="4" t="n"/>
    </row>
    <row r="107">
      <c r="A107" s="6">
        <f>IF(B107="","","CTR-"&amp;TEXT(ROW()-5,"000"))</f>
        <v/>
      </c>
      <c r="B107" s="6" t="n"/>
      <c r="C107" s="6">
        <f>IF(B107="","",VLOOKUP(B107,'F01 - _Données Expatriés'!$A$6:$L$15,2,FALSE))</f>
        <v/>
      </c>
      <c r="D107" s="6" t="n"/>
      <c r="E107" s="6" t="n"/>
      <c r="F107" s="6">
        <f>IF(B107="","",VLOOKUP(B107,'F01 - _Données Expatriés'!$A$6:$L$15,8,FALSE))</f>
        <v/>
      </c>
      <c r="G107" s="6" t="n"/>
      <c r="H107" s="6" t="n"/>
      <c r="I107" s="6">
        <f>IF(OR(G107="",H107=""),"",IFERROR((H107-G107)/30.44,0))</f>
        <v/>
      </c>
      <c r="J107" s="6">
        <f>IF(B107="","",VLOOKUP(B107,'F01 - _Données Expatriés'!$A$6:$L$15,11,FALSE))</f>
        <v/>
      </c>
      <c r="K107" s="6" t="n"/>
    </row>
    <row r="108">
      <c r="A108" s="4">
        <f>IF(B108="","","CTR-"&amp;TEXT(ROW()-5,"000"))</f>
        <v/>
      </c>
      <c r="B108" s="4" t="n"/>
      <c r="C108" s="4">
        <f>IF(B108="","",VLOOKUP(B108,'F01 - _Données Expatriés'!$A$6:$L$15,2,FALSE))</f>
        <v/>
      </c>
      <c r="D108" s="4" t="n"/>
      <c r="E108" s="4" t="n"/>
      <c r="F108" s="4">
        <f>IF(B108="","",VLOOKUP(B108,'F01 - _Données Expatriés'!$A$6:$L$15,8,FALSE))</f>
        <v/>
      </c>
      <c r="G108" s="4" t="n"/>
      <c r="H108" s="4" t="n"/>
      <c r="I108" s="4">
        <f>IF(OR(G108="",H108=""),"",IFERROR((H108-G108)/30.44,0))</f>
        <v/>
      </c>
      <c r="J108" s="4">
        <f>IF(B108="","",VLOOKUP(B108,'F01 - _Données Expatriés'!$A$6:$L$15,11,FALSE))</f>
        <v/>
      </c>
      <c r="K108" s="4" t="n"/>
    </row>
    <row r="109">
      <c r="A109" s="6">
        <f>IF(B109="","","CTR-"&amp;TEXT(ROW()-5,"000"))</f>
        <v/>
      </c>
      <c r="B109" s="6" t="n"/>
      <c r="C109" s="6">
        <f>IF(B109="","",VLOOKUP(B109,'F01 - _Données Expatriés'!$A$6:$L$15,2,FALSE))</f>
        <v/>
      </c>
      <c r="D109" s="6" t="n"/>
      <c r="E109" s="6" t="n"/>
      <c r="F109" s="6">
        <f>IF(B109="","",VLOOKUP(B109,'F01 - _Données Expatriés'!$A$6:$L$15,8,FALSE))</f>
        <v/>
      </c>
      <c r="G109" s="6" t="n"/>
      <c r="H109" s="6" t="n"/>
      <c r="I109" s="6">
        <f>IF(OR(G109="",H109=""),"",IFERROR((H109-G109)/30.44,0))</f>
        <v/>
      </c>
      <c r="J109" s="6">
        <f>IF(B109="","",VLOOKUP(B109,'F01 - _Données Expatriés'!$A$6:$L$15,11,FALSE))</f>
        <v/>
      </c>
      <c r="K109" s="6" t="n"/>
    </row>
    <row r="110">
      <c r="A110" s="4">
        <f>IF(B110="","","CTR-"&amp;TEXT(ROW()-5,"000"))</f>
        <v/>
      </c>
      <c r="B110" s="4" t="n"/>
      <c r="C110" s="4">
        <f>IF(B110="","",VLOOKUP(B110,'F01 - _Données Expatriés'!$A$6:$L$15,2,FALSE))</f>
        <v/>
      </c>
      <c r="D110" s="4" t="n"/>
      <c r="E110" s="4" t="n"/>
      <c r="F110" s="4">
        <f>IF(B110="","",VLOOKUP(B110,'F01 - _Données Expatriés'!$A$6:$L$15,8,FALSE))</f>
        <v/>
      </c>
      <c r="G110" s="4" t="n"/>
      <c r="H110" s="4" t="n"/>
      <c r="I110" s="4">
        <f>IF(OR(G110="",H110=""),"",IFERROR((H110-G110)/30.44,0))</f>
        <v/>
      </c>
      <c r="J110" s="4">
        <f>IF(B110="","",VLOOKUP(B110,'F01 - _Données Expatriés'!$A$6:$L$15,11,FALSE))</f>
        <v/>
      </c>
      <c r="K110" s="4" t="n"/>
    </row>
    <row r="111">
      <c r="A111" s="6">
        <f>IF(B111="","","CTR-"&amp;TEXT(ROW()-5,"000"))</f>
        <v/>
      </c>
      <c r="B111" s="6" t="n"/>
      <c r="C111" s="6">
        <f>IF(B111="","",VLOOKUP(B111,'F01 - _Données Expatriés'!$A$6:$L$15,2,FALSE))</f>
        <v/>
      </c>
      <c r="D111" s="6" t="n"/>
      <c r="E111" s="6" t="n"/>
      <c r="F111" s="6">
        <f>IF(B111="","",VLOOKUP(B111,'F01 - _Données Expatriés'!$A$6:$L$15,8,FALSE))</f>
        <v/>
      </c>
      <c r="G111" s="6" t="n"/>
      <c r="H111" s="6" t="n"/>
      <c r="I111" s="6">
        <f>IF(OR(G111="",H111=""),"",IFERROR((H111-G111)/30.44,0))</f>
        <v/>
      </c>
      <c r="J111" s="6">
        <f>IF(B111="","",VLOOKUP(B111,'F01 - _Données Expatriés'!$A$6:$L$15,11,FALSE))</f>
        <v/>
      </c>
      <c r="K111" s="6" t="n"/>
    </row>
    <row r="112">
      <c r="A112" s="4">
        <f>IF(B112="","","CTR-"&amp;TEXT(ROW()-5,"000"))</f>
        <v/>
      </c>
      <c r="B112" s="4" t="n"/>
      <c r="C112" s="4">
        <f>IF(B112="","",VLOOKUP(B112,'F01 - _Données Expatriés'!$A$6:$L$15,2,FALSE))</f>
        <v/>
      </c>
      <c r="D112" s="4" t="n"/>
      <c r="E112" s="4" t="n"/>
      <c r="F112" s="4">
        <f>IF(B112="","",VLOOKUP(B112,'F01 - _Données Expatriés'!$A$6:$L$15,8,FALSE))</f>
        <v/>
      </c>
      <c r="G112" s="4" t="n"/>
      <c r="H112" s="4" t="n"/>
      <c r="I112" s="4">
        <f>IF(OR(G112="",H112=""),"",IFERROR((H112-G112)/30.44,0))</f>
        <v/>
      </c>
      <c r="J112" s="4">
        <f>IF(B112="","",VLOOKUP(B112,'F01 - _Données Expatriés'!$A$6:$L$15,11,FALSE))</f>
        <v/>
      </c>
      <c r="K112" s="4" t="n"/>
    </row>
    <row r="113">
      <c r="A113" s="6">
        <f>IF(B113="","","CTR-"&amp;TEXT(ROW()-5,"000"))</f>
        <v/>
      </c>
      <c r="B113" s="6" t="n"/>
      <c r="C113" s="6">
        <f>IF(B113="","",VLOOKUP(B113,'F01 - _Données Expatriés'!$A$6:$L$15,2,FALSE))</f>
        <v/>
      </c>
      <c r="D113" s="6" t="n"/>
      <c r="E113" s="6" t="n"/>
      <c r="F113" s="6">
        <f>IF(B113="","",VLOOKUP(B113,'F01 - _Données Expatriés'!$A$6:$L$15,8,FALSE))</f>
        <v/>
      </c>
      <c r="G113" s="6" t="n"/>
      <c r="H113" s="6" t="n"/>
      <c r="I113" s="6">
        <f>IF(OR(G113="",H113=""),"",IFERROR((H113-G113)/30.44,0))</f>
        <v/>
      </c>
      <c r="J113" s="6">
        <f>IF(B113="","",VLOOKUP(B113,'F01 - _Données Expatriés'!$A$6:$L$15,11,FALSE))</f>
        <v/>
      </c>
      <c r="K113" s="6" t="n"/>
    </row>
    <row r="114">
      <c r="A114" s="4">
        <f>IF(B114="","","CTR-"&amp;TEXT(ROW()-5,"000"))</f>
        <v/>
      </c>
      <c r="B114" s="4" t="n"/>
      <c r="C114" s="4">
        <f>IF(B114="","",VLOOKUP(B114,'F01 - _Données Expatriés'!$A$6:$L$15,2,FALSE))</f>
        <v/>
      </c>
      <c r="D114" s="4" t="n"/>
      <c r="E114" s="4" t="n"/>
      <c r="F114" s="4">
        <f>IF(B114="","",VLOOKUP(B114,'F01 - _Données Expatriés'!$A$6:$L$15,8,FALSE))</f>
        <v/>
      </c>
      <c r="G114" s="4" t="n"/>
      <c r="H114" s="4" t="n"/>
      <c r="I114" s="4">
        <f>IF(OR(G114="",H114=""),"",IFERROR((H114-G114)/30.44,0))</f>
        <v/>
      </c>
      <c r="J114" s="4">
        <f>IF(B114="","",VLOOKUP(B114,'F01 - _Données Expatriés'!$A$6:$L$15,11,FALSE))</f>
        <v/>
      </c>
      <c r="K114" s="4" t="n"/>
    </row>
    <row r="115">
      <c r="A115" s="6">
        <f>IF(B115="","","CTR-"&amp;TEXT(ROW()-5,"000"))</f>
        <v/>
      </c>
      <c r="B115" s="6" t="n"/>
      <c r="C115" s="6">
        <f>IF(B115="","",VLOOKUP(B115,'F01 - _Données Expatriés'!$A$6:$L$15,2,FALSE))</f>
        <v/>
      </c>
      <c r="D115" s="6" t="n"/>
      <c r="E115" s="6" t="n"/>
      <c r="F115" s="6">
        <f>IF(B115="","",VLOOKUP(B115,'F01 - _Données Expatriés'!$A$6:$L$15,8,FALSE))</f>
        <v/>
      </c>
      <c r="G115" s="6" t="n"/>
      <c r="H115" s="6" t="n"/>
      <c r="I115" s="6">
        <f>IF(OR(G115="",H115=""),"",IFERROR((H115-G115)/30.44,0))</f>
        <v/>
      </c>
      <c r="J115" s="6">
        <f>IF(B115="","",VLOOKUP(B115,'F01 - _Données Expatriés'!$A$6:$L$15,11,FALSE))</f>
        <v/>
      </c>
      <c r="K115" s="6" t="n"/>
    </row>
  </sheetData>
  <mergeCells count="2">
    <mergeCell ref="A3:N3"/>
    <mergeCell ref="A2:N2"/>
  </mergeCells>
  <dataValidations count="3">
    <dataValidation sqref="B6:B115" showDropDown="0" showInputMessage="0" showErrorMessage="0" allowBlank="1" errorTitle="Erreur de saisie" error="Valeur non autorisée" promptTitle="Liste déroulante" prompt="Sélectionnez dans la liste" type="list">
      <formula1>'F02 - _Lists'!$A$6:$A$35</formula1>
    </dataValidation>
    <dataValidation sqref="F6:F115" showDropDown="0" showInputMessage="0" showErrorMessage="0" allowBlank="1" errorTitle="Erreur de saisie" error="Valeur non autorisée" promptTitle="Liste déroulante" prompt="Sélectionnez dans la liste" type="list">
      <formula1>'F02 - _Lists'!$E$6:$E$35</formula1>
    </dataValidation>
    <dataValidation sqref="K6:K115" showDropDown="0" showInputMessage="0" showErrorMessage="0" allowBlank="1" errorTitle="Erreur de saisie" error="Valeur non autorisée" promptTitle="Liste déroulante" prompt="Sélectionnez dans la liste" type="list">
      <formula1>'F02 - _Lists'!$F$6:$F$35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4" customWidth="1" min="5" max="5"/>
    <col width="18" customWidth="1" min="6" max="6"/>
    <col width="16" customWidth="1" min="7" max="7"/>
    <col width="18" customWidth="1" min="8" max="8"/>
    <col width="14" customWidth="1" min="9" max="9"/>
    <col width="18" customWidth="1" min="10" max="10"/>
    <col width="16" customWidth="1" min="11" max="11"/>
    <col width="16" customWidth="1" min="12" max="12"/>
  </cols>
  <sheetData>
    <row r="2" ht="25" customHeight="1">
      <c r="A2" s="1" t="inlineStr">
        <is>
          <t>DOMAINE 25 — 3-PERMIS DE TRAVAIL ET VISAS</t>
        </is>
      </c>
    </row>
    <row r="3" ht="18" customHeight="1">
      <c r="A3" s="2" t="inlineStr">
        <is>
          <t>TABLEAU DYNAMIQUE — Suivi des autorisations de travail et de séjour</t>
        </is>
      </c>
    </row>
    <row r="5">
      <c r="A5" s="3" t="inlineStr">
        <is>
          <t>Matricule</t>
        </is>
      </c>
      <c r="B5" s="3" t="inlineStr">
        <is>
          <t>Nom</t>
        </is>
      </c>
      <c r="C5" s="3" t="inlineStr">
        <is>
          <t>Nationalité</t>
        </is>
      </c>
      <c r="D5" s="3" t="inlineStr">
        <is>
          <t>Type Visa</t>
        </is>
      </c>
      <c r="E5" s="3" t="inlineStr">
        <is>
          <t>N. Visa</t>
        </is>
      </c>
      <c r="F5" s="3" t="inlineStr">
        <is>
          <t>Date Expiration Visa</t>
        </is>
      </c>
      <c r="G5" s="3" t="inlineStr">
        <is>
          <t>Jours Restants Visa</t>
        </is>
      </c>
      <c r="H5" s="3" t="inlineStr">
        <is>
          <t>Type Permis</t>
        </is>
      </c>
      <c r="I5" s="3" t="inlineStr">
        <is>
          <t>N. Permis</t>
        </is>
      </c>
      <c r="J5" s="3" t="inlineStr">
        <is>
          <t>Date Expiration Permis</t>
        </is>
      </c>
      <c r="K5" s="3" t="inlineStr">
        <is>
          <t>Jours Restants Permis</t>
        </is>
      </c>
      <c r="L5" s="3" t="inlineStr">
        <is>
          <t>Statut Conformité</t>
        </is>
      </c>
    </row>
    <row r="6">
      <c r="A6" s="4" t="inlineStr">
        <is>
          <t>EXP-001</t>
        </is>
      </c>
      <c r="B6" s="4" t="inlineStr">
        <is>
          <t>Dupont Jean-Pierre</t>
        </is>
      </c>
      <c r="C6" s="4" t="inlineStr">
        <is>
          <t>Française</t>
        </is>
      </c>
      <c r="D6" s="4" t="inlineStr">
        <is>
          <t>Visa travail</t>
        </is>
      </c>
      <c r="E6" s="4" t="inlineStr">
        <is>
          <t>V-2024-001</t>
        </is>
      </c>
      <c r="F6" s="5" t="n">
        <v>46037</v>
      </c>
      <c r="G6" s="4">
        <f>IF(F6="","",IFERROR(F6-TODAY(),0))</f>
        <v/>
      </c>
      <c r="H6" s="4" t="inlineStr">
        <is>
          <t>Permis de travail A</t>
        </is>
      </c>
      <c r="I6" s="4" t="inlineStr">
        <is>
          <t>P-2024-001</t>
        </is>
      </c>
      <c r="J6" s="5" t="n">
        <v>46037</v>
      </c>
      <c r="K6" s="4">
        <f>IF(J6="","",IFERROR(J6-TODAY(),0))</f>
        <v/>
      </c>
      <c r="L6" s="4">
        <f>IF(OR(G6="",K6=""),"",IF(AND(G6&gt;30,K6&gt;30),"Conforme",IF(OR(G6&lt;15,K6&lt;15),"CRITIQUE","A régulariser")))</f>
        <v/>
      </c>
    </row>
    <row r="7">
      <c r="A7" s="6" t="inlineStr">
        <is>
          <t>EXP-002</t>
        </is>
      </c>
      <c r="B7" s="6" t="inlineStr">
        <is>
          <t>Muller Hans</t>
        </is>
      </c>
      <c r="C7" s="6" t="inlineStr">
        <is>
          <t>Allemande</t>
        </is>
      </c>
      <c r="D7" s="6" t="inlineStr">
        <is>
          <t>Visa travail</t>
        </is>
      </c>
      <c r="E7" s="6" t="inlineStr">
        <is>
          <t>V-2024-002</t>
        </is>
      </c>
      <c r="F7" s="7" t="n">
        <v>45900</v>
      </c>
      <c r="G7" s="6">
        <f>IF(F7="","",IFERROR(F7-TODAY(),0))</f>
        <v/>
      </c>
      <c r="H7" s="6" t="inlineStr">
        <is>
          <t>Permis de travail A</t>
        </is>
      </c>
      <c r="I7" s="6" t="inlineStr">
        <is>
          <t>P-2024-002</t>
        </is>
      </c>
      <c r="J7" s="7" t="n">
        <v>45900</v>
      </c>
      <c r="K7" s="6">
        <f>IF(J7="","",IFERROR(J7-TODAY(),0))</f>
        <v/>
      </c>
      <c r="L7" s="6">
        <f>IF(OR(G7="",K7=""),"",IF(AND(G7&gt;30,K7&gt;30),"Conforme",IF(OR(G7&lt;15,K7&lt;15),"CRITIQUE","A régulariser")))</f>
        <v/>
      </c>
    </row>
    <row r="8">
      <c r="A8" s="4" t="inlineStr">
        <is>
          <t>EXP-003</t>
        </is>
      </c>
      <c r="B8" s="4" t="inlineStr">
        <is>
          <t>Silva Carlos</t>
        </is>
      </c>
      <c r="C8" s="4" t="inlineStr">
        <is>
          <t>Brésilienne</t>
        </is>
      </c>
      <c r="D8" s="4" t="inlineStr">
        <is>
          <t>Carte de séjour</t>
        </is>
      </c>
      <c r="E8" s="4" t="inlineStr">
        <is>
          <t>V-2024-003</t>
        </is>
      </c>
      <c r="F8" s="5" t="n">
        <v>46174</v>
      </c>
      <c r="G8" s="4">
        <f>IF(F8="","",IFERROR(F8-TODAY(),0))</f>
        <v/>
      </c>
      <c r="H8" s="4" t="inlineStr">
        <is>
          <t>Permis de travail B</t>
        </is>
      </c>
      <c r="I8" s="4" t="inlineStr">
        <is>
          <t>P-2024-003</t>
        </is>
      </c>
      <c r="J8" s="5" t="n">
        <v>46174</v>
      </c>
      <c r="K8" s="4">
        <f>IF(J8="","",IFERROR(J8-TODAY(),0))</f>
        <v/>
      </c>
      <c r="L8" s="4">
        <f>IF(OR(G8="",K8=""),"",IF(AND(G8&gt;30,K8&gt;30),"Conforme",IF(OR(G8&lt;15,K8&lt;15),"CRITIQUE","A régulariser")))</f>
        <v/>
      </c>
    </row>
    <row r="9">
      <c r="A9" s="6" t="inlineStr">
        <is>
          <t>EXP-004</t>
        </is>
      </c>
      <c r="B9" s="6" t="inlineStr">
        <is>
          <t>Nakamura Yuki</t>
        </is>
      </c>
      <c r="C9" s="6" t="inlineStr">
        <is>
          <t>Japonaise</t>
        </is>
      </c>
      <c r="D9" s="6" t="inlineStr">
        <is>
          <t>Visa travail</t>
        </is>
      </c>
      <c r="E9" s="6" t="inlineStr">
        <is>
          <t>V-2024-004</t>
        </is>
      </c>
      <c r="F9" s="7" t="n">
        <v>46022</v>
      </c>
      <c r="G9" s="6">
        <f>IF(F9="","",IFERROR(F9-TODAY(),0))</f>
        <v/>
      </c>
      <c r="H9" s="6" t="inlineStr">
        <is>
          <t>Carte professionnelle</t>
        </is>
      </c>
      <c r="I9" s="6" t="inlineStr">
        <is>
          <t>P-2024-004</t>
        </is>
      </c>
      <c r="J9" s="7" t="n">
        <v>46022</v>
      </c>
      <c r="K9" s="6">
        <f>IF(J9="","",IFERROR(J9-TODAY(),0))</f>
        <v/>
      </c>
      <c r="L9" s="6">
        <f>IF(OR(G9="",K9=""),"",IF(AND(G9&gt;30,K9&gt;30),"Conforme",IF(OR(G9&lt;15,K9&lt;15),"CRITIQUE","A régulariser")))</f>
        <v/>
      </c>
    </row>
    <row r="10">
      <c r="A10" s="4" t="inlineStr">
        <is>
          <t>EXP-005</t>
        </is>
      </c>
      <c r="B10" s="4" t="inlineStr">
        <is>
          <t>Smith James</t>
        </is>
      </c>
      <c r="C10" s="4" t="inlineStr">
        <is>
          <t>Britannique</t>
        </is>
      </c>
      <c r="D10" s="4" t="inlineStr">
        <is>
          <t>Visa affaires</t>
        </is>
      </c>
      <c r="E10" s="4" t="inlineStr">
        <is>
          <t>V-2025-005</t>
        </is>
      </c>
      <c r="F10" s="5" t="n">
        <v>46203</v>
      </c>
      <c r="G10" s="4">
        <f>IF(F10="","",IFERROR(F10-TODAY(),0))</f>
        <v/>
      </c>
      <c r="H10" s="4" t="inlineStr">
        <is>
          <t>Permis de travail A</t>
        </is>
      </c>
      <c r="I10" s="4" t="inlineStr">
        <is>
          <t>P-2025-005</t>
        </is>
      </c>
      <c r="J10" s="5" t="n">
        <v>46203</v>
      </c>
      <c r="K10" s="4">
        <f>IF(J10="","",IFERROR(J10-TODAY(),0))</f>
        <v/>
      </c>
      <c r="L10" s="4">
        <f>IF(OR(G10="",K10=""),"",IF(AND(G10&gt;30,K10&gt;30),"Conforme",IF(OR(G10&lt;15,K10&lt;15),"CRITIQUE","A régulariser")))</f>
        <v/>
      </c>
    </row>
    <row r="11">
      <c r="A11" s="6" t="n"/>
      <c r="B11" s="6">
        <f>IF(A11="","",VLOOKUP(A11,'F01 - _Données Expatriés'!$A$6:$L$15,2,FALSE))</f>
        <v/>
      </c>
      <c r="C11" s="6">
        <f>IF(A11="","",VLOOKUP(A11,'F01 - _Données Expatriés'!$A$6:$L$15,4,FALSE))</f>
        <v/>
      </c>
      <c r="D11" s="6" t="n"/>
      <c r="E11" s="6" t="n"/>
      <c r="F11" s="6" t="n"/>
      <c r="G11" s="6">
        <f>IF(F11="","",IFERROR(F11-TODAY(),0))</f>
        <v/>
      </c>
      <c r="H11" s="6" t="n"/>
      <c r="I11" s="6" t="n"/>
      <c r="J11" s="6" t="n"/>
      <c r="K11" s="6">
        <f>IF(J11="","",IFERROR(J11-TODAY(),0))</f>
        <v/>
      </c>
      <c r="L11" s="6">
        <f>IF(OR(G11="",K11=""),"",IF(AND(G11&gt;30,K11&gt;30),"Conforme",IF(OR(G11&lt;15,K11&lt;15),"CRITIQUE","A régulariser")))</f>
        <v/>
      </c>
    </row>
    <row r="12">
      <c r="A12" s="4" t="n"/>
      <c r="B12" s="4">
        <f>IF(A12="","",VLOOKUP(A12,'F01 - _Données Expatriés'!$A$6:$L$15,2,FALSE))</f>
        <v/>
      </c>
      <c r="C12" s="4">
        <f>IF(A12="","",VLOOKUP(A12,'F01 - _Données Expatriés'!$A$6:$L$15,4,FALSE))</f>
        <v/>
      </c>
      <c r="D12" s="4" t="n"/>
      <c r="E12" s="4" t="n"/>
      <c r="F12" s="4" t="n"/>
      <c r="G12" s="4">
        <f>IF(F12="","",IFERROR(F12-TODAY(),0))</f>
        <v/>
      </c>
      <c r="H12" s="4" t="n"/>
      <c r="I12" s="4" t="n"/>
      <c r="J12" s="4" t="n"/>
      <c r="K12" s="4">
        <f>IF(J12="","",IFERROR(J12-TODAY(),0))</f>
        <v/>
      </c>
      <c r="L12" s="4">
        <f>IF(OR(G12="",K12=""),"",IF(AND(G12&gt;30,K12&gt;30),"Conforme",IF(OR(G12&lt;15,K12&lt;15),"CRITIQUE","A régulariser")))</f>
        <v/>
      </c>
    </row>
    <row r="13">
      <c r="A13" s="6" t="n"/>
      <c r="B13" s="6">
        <f>IF(A13="","",VLOOKUP(A13,'F01 - _Données Expatriés'!$A$6:$L$15,2,FALSE))</f>
        <v/>
      </c>
      <c r="C13" s="6">
        <f>IF(A13="","",VLOOKUP(A13,'F01 - _Données Expatriés'!$A$6:$L$15,4,FALSE))</f>
        <v/>
      </c>
      <c r="D13" s="6" t="n"/>
      <c r="E13" s="6" t="n"/>
      <c r="F13" s="6" t="n"/>
      <c r="G13" s="6">
        <f>IF(F13="","",IFERROR(F13-TODAY(),0))</f>
        <v/>
      </c>
      <c r="H13" s="6" t="n"/>
      <c r="I13" s="6" t="n"/>
      <c r="J13" s="6" t="n"/>
      <c r="K13" s="6">
        <f>IF(J13="","",IFERROR(J13-TODAY(),0))</f>
        <v/>
      </c>
      <c r="L13" s="6">
        <f>IF(OR(G13="",K13=""),"",IF(AND(G13&gt;30,K13&gt;30),"Conforme",IF(OR(G13&lt;15,K13&lt;15),"CRITIQUE","A régulariser")))</f>
        <v/>
      </c>
    </row>
    <row r="14">
      <c r="A14" s="4" t="n"/>
      <c r="B14" s="4">
        <f>IF(A14="","",VLOOKUP(A14,'F01 - _Données Expatriés'!$A$6:$L$15,2,FALSE))</f>
        <v/>
      </c>
      <c r="C14" s="4">
        <f>IF(A14="","",VLOOKUP(A14,'F01 - _Données Expatriés'!$A$6:$L$15,4,FALSE))</f>
        <v/>
      </c>
      <c r="D14" s="4" t="n"/>
      <c r="E14" s="4" t="n"/>
      <c r="F14" s="4" t="n"/>
      <c r="G14" s="4">
        <f>IF(F14="","",IFERROR(F14-TODAY(),0))</f>
        <v/>
      </c>
      <c r="H14" s="4" t="n"/>
      <c r="I14" s="4" t="n"/>
      <c r="J14" s="4" t="n"/>
      <c r="K14" s="4">
        <f>IF(J14="","",IFERROR(J14-TODAY(),0))</f>
        <v/>
      </c>
      <c r="L14" s="4">
        <f>IF(OR(G14="",K14=""),"",IF(AND(G14&gt;30,K14&gt;30),"Conforme",IF(OR(G14&lt;15,K14&lt;15),"CRITIQUE","A régulariser")))</f>
        <v/>
      </c>
    </row>
    <row r="15">
      <c r="A15" s="6" t="n"/>
      <c r="B15" s="6">
        <f>IF(A15="","",VLOOKUP(A15,'F01 - _Données Expatriés'!$A$6:$L$15,2,FALSE))</f>
        <v/>
      </c>
      <c r="C15" s="6">
        <f>IF(A15="","",VLOOKUP(A15,'F01 - _Données Expatriés'!$A$6:$L$15,4,FALSE))</f>
        <v/>
      </c>
      <c r="D15" s="6" t="n"/>
      <c r="E15" s="6" t="n"/>
      <c r="F15" s="6" t="n"/>
      <c r="G15" s="6">
        <f>IF(F15="","",IFERROR(F15-TODAY(),0))</f>
        <v/>
      </c>
      <c r="H15" s="6" t="n"/>
      <c r="I15" s="6" t="n"/>
      <c r="J15" s="6" t="n"/>
      <c r="K15" s="6">
        <f>IF(J15="","",IFERROR(J15-TODAY(),0))</f>
        <v/>
      </c>
      <c r="L15" s="6">
        <f>IF(OR(G15="",K15=""),"",IF(AND(G15&gt;30,K15&gt;30),"Conforme",IF(OR(G15&lt;15,K15&lt;15),"CRITIQUE","A régulariser")))</f>
        <v/>
      </c>
    </row>
    <row r="16">
      <c r="A16" s="4" t="n"/>
      <c r="B16" s="4">
        <f>IF(A16="","",VLOOKUP(A16,'F01 - _Données Expatriés'!$A$6:$L$15,2,FALSE))</f>
        <v/>
      </c>
      <c r="C16" s="4">
        <f>IF(A16="","",VLOOKUP(A16,'F01 - _Données Expatriés'!$A$6:$L$15,4,FALSE))</f>
        <v/>
      </c>
      <c r="D16" s="4" t="n"/>
      <c r="E16" s="4" t="n"/>
      <c r="F16" s="4" t="n"/>
      <c r="G16" s="4">
        <f>IF(F16="","",IFERROR(F16-TODAY(),0))</f>
        <v/>
      </c>
      <c r="H16" s="4" t="n"/>
      <c r="I16" s="4" t="n"/>
      <c r="J16" s="4" t="n"/>
      <c r="K16" s="4">
        <f>IF(J16="","",IFERROR(J16-TODAY(),0))</f>
        <v/>
      </c>
      <c r="L16" s="4">
        <f>IF(OR(G16="",K16=""),"",IF(AND(G16&gt;30,K16&gt;30),"Conforme",IF(OR(G16&lt;15,K16&lt;15),"CRITIQUE","A régulariser")))</f>
        <v/>
      </c>
    </row>
    <row r="17">
      <c r="A17" s="6" t="n"/>
      <c r="B17" s="6">
        <f>IF(A17="","",VLOOKUP(A17,'F01 - _Données Expatriés'!$A$6:$L$15,2,FALSE))</f>
        <v/>
      </c>
      <c r="C17" s="6">
        <f>IF(A17="","",VLOOKUP(A17,'F01 - _Données Expatriés'!$A$6:$L$15,4,FALSE))</f>
        <v/>
      </c>
      <c r="D17" s="6" t="n"/>
      <c r="E17" s="6" t="n"/>
      <c r="F17" s="6" t="n"/>
      <c r="G17" s="6">
        <f>IF(F17="","",IFERROR(F17-TODAY(),0))</f>
        <v/>
      </c>
      <c r="H17" s="6" t="n"/>
      <c r="I17" s="6" t="n"/>
      <c r="J17" s="6" t="n"/>
      <c r="K17" s="6">
        <f>IF(J17="","",IFERROR(J17-TODAY(),0))</f>
        <v/>
      </c>
      <c r="L17" s="6">
        <f>IF(OR(G17="",K17=""),"",IF(AND(G17&gt;30,K17&gt;30),"Conforme",IF(OR(G17&lt;15,K17&lt;15),"CRITIQUE","A régulariser")))</f>
        <v/>
      </c>
    </row>
    <row r="18">
      <c r="A18" s="4" t="n"/>
      <c r="B18" s="4">
        <f>IF(A18="","",VLOOKUP(A18,'F01 - _Données Expatriés'!$A$6:$L$15,2,FALSE))</f>
        <v/>
      </c>
      <c r="C18" s="4">
        <f>IF(A18="","",VLOOKUP(A18,'F01 - _Données Expatriés'!$A$6:$L$15,4,FALSE))</f>
        <v/>
      </c>
      <c r="D18" s="4" t="n"/>
      <c r="E18" s="4" t="n"/>
      <c r="F18" s="4" t="n"/>
      <c r="G18" s="4">
        <f>IF(F18="","",IFERROR(F18-TODAY(),0))</f>
        <v/>
      </c>
      <c r="H18" s="4" t="n"/>
      <c r="I18" s="4" t="n"/>
      <c r="J18" s="4" t="n"/>
      <c r="K18" s="4">
        <f>IF(J18="","",IFERROR(J18-TODAY(),0))</f>
        <v/>
      </c>
      <c r="L18" s="4">
        <f>IF(OR(G18="",K18=""),"",IF(AND(G18&gt;30,K18&gt;30),"Conforme",IF(OR(G18&lt;15,K18&lt;15),"CRITIQUE","A régulariser")))</f>
        <v/>
      </c>
    </row>
    <row r="19">
      <c r="A19" s="6" t="n"/>
      <c r="B19" s="6">
        <f>IF(A19="","",VLOOKUP(A19,'F01 - _Données Expatriés'!$A$6:$L$15,2,FALSE))</f>
        <v/>
      </c>
      <c r="C19" s="6">
        <f>IF(A19="","",VLOOKUP(A19,'F01 - _Données Expatriés'!$A$6:$L$15,4,FALSE))</f>
        <v/>
      </c>
      <c r="D19" s="6" t="n"/>
      <c r="E19" s="6" t="n"/>
      <c r="F19" s="6" t="n"/>
      <c r="G19" s="6">
        <f>IF(F19="","",IFERROR(F19-TODAY(),0))</f>
        <v/>
      </c>
      <c r="H19" s="6" t="n"/>
      <c r="I19" s="6" t="n"/>
      <c r="J19" s="6" t="n"/>
      <c r="K19" s="6">
        <f>IF(J19="","",IFERROR(J19-TODAY(),0))</f>
        <v/>
      </c>
      <c r="L19" s="6">
        <f>IF(OR(G19="",K19=""),"",IF(AND(G19&gt;30,K19&gt;30),"Conforme",IF(OR(G19&lt;15,K19&lt;15),"CRITIQUE","A régulariser")))</f>
        <v/>
      </c>
    </row>
    <row r="20">
      <c r="A20" s="4" t="n"/>
      <c r="B20" s="4">
        <f>IF(A20="","",VLOOKUP(A20,'F01 - _Données Expatriés'!$A$6:$L$15,2,FALSE))</f>
        <v/>
      </c>
      <c r="C20" s="4">
        <f>IF(A20="","",VLOOKUP(A20,'F01 - _Données Expatriés'!$A$6:$L$15,4,FALSE))</f>
        <v/>
      </c>
      <c r="D20" s="4" t="n"/>
      <c r="E20" s="4" t="n"/>
      <c r="F20" s="4" t="n"/>
      <c r="G20" s="4">
        <f>IF(F20="","",IFERROR(F20-TODAY(),0))</f>
        <v/>
      </c>
      <c r="H20" s="4" t="n"/>
      <c r="I20" s="4" t="n"/>
      <c r="J20" s="4" t="n"/>
      <c r="K20" s="4">
        <f>IF(J20="","",IFERROR(J20-TODAY(),0))</f>
        <v/>
      </c>
      <c r="L20" s="4">
        <f>IF(OR(G20="",K20=""),"",IF(AND(G20&gt;30,K20&gt;30),"Conforme",IF(OR(G20&lt;15,K20&lt;15),"CRITIQUE","A régulariser")))</f>
        <v/>
      </c>
    </row>
    <row r="21">
      <c r="A21" s="6" t="n"/>
      <c r="B21" s="6">
        <f>IF(A21="","",VLOOKUP(A21,'F01 - _Données Expatriés'!$A$6:$L$15,2,FALSE))</f>
        <v/>
      </c>
      <c r="C21" s="6">
        <f>IF(A21="","",VLOOKUP(A21,'F01 - _Données Expatriés'!$A$6:$L$15,4,FALSE))</f>
        <v/>
      </c>
      <c r="D21" s="6" t="n"/>
      <c r="E21" s="6" t="n"/>
      <c r="F21" s="6" t="n"/>
      <c r="G21" s="6">
        <f>IF(F21="","",IFERROR(F21-TODAY(),0))</f>
        <v/>
      </c>
      <c r="H21" s="6" t="n"/>
      <c r="I21" s="6" t="n"/>
      <c r="J21" s="6" t="n"/>
      <c r="K21" s="6">
        <f>IF(J21="","",IFERROR(J21-TODAY(),0))</f>
        <v/>
      </c>
      <c r="L21" s="6">
        <f>IF(OR(G21="",K21=""),"",IF(AND(G21&gt;30,K21&gt;30),"Conforme",IF(OR(G21&lt;15,K21&lt;15),"CRITIQUE","A régulariser")))</f>
        <v/>
      </c>
    </row>
    <row r="22">
      <c r="A22" s="4" t="n"/>
      <c r="B22" s="4">
        <f>IF(A22="","",VLOOKUP(A22,'F01 - _Données Expatriés'!$A$6:$L$15,2,FALSE))</f>
        <v/>
      </c>
      <c r="C22" s="4">
        <f>IF(A22="","",VLOOKUP(A22,'F01 - _Données Expatriés'!$A$6:$L$15,4,FALSE))</f>
        <v/>
      </c>
      <c r="D22" s="4" t="n"/>
      <c r="E22" s="4" t="n"/>
      <c r="F22" s="4" t="n"/>
      <c r="G22" s="4">
        <f>IF(F22="","",IFERROR(F22-TODAY(),0))</f>
        <v/>
      </c>
      <c r="H22" s="4" t="n"/>
      <c r="I22" s="4" t="n"/>
      <c r="J22" s="4" t="n"/>
      <c r="K22" s="4">
        <f>IF(J22="","",IFERROR(J22-TODAY(),0))</f>
        <v/>
      </c>
      <c r="L22" s="4">
        <f>IF(OR(G22="",K22=""),"",IF(AND(G22&gt;30,K22&gt;30),"Conforme",IF(OR(G22&lt;15,K22&lt;15),"CRITIQUE","A régulariser")))</f>
        <v/>
      </c>
    </row>
    <row r="23">
      <c r="A23" s="6" t="n"/>
      <c r="B23" s="6">
        <f>IF(A23="","",VLOOKUP(A23,'F01 - _Données Expatriés'!$A$6:$L$15,2,FALSE))</f>
        <v/>
      </c>
      <c r="C23" s="6">
        <f>IF(A23="","",VLOOKUP(A23,'F01 - _Données Expatriés'!$A$6:$L$15,4,FALSE))</f>
        <v/>
      </c>
      <c r="D23" s="6" t="n"/>
      <c r="E23" s="6" t="n"/>
      <c r="F23" s="6" t="n"/>
      <c r="G23" s="6">
        <f>IF(F23="","",IFERROR(F23-TODAY(),0))</f>
        <v/>
      </c>
      <c r="H23" s="6" t="n"/>
      <c r="I23" s="6" t="n"/>
      <c r="J23" s="6" t="n"/>
      <c r="K23" s="6">
        <f>IF(J23="","",IFERROR(J23-TODAY(),0))</f>
        <v/>
      </c>
      <c r="L23" s="6">
        <f>IF(OR(G23="",K23=""),"",IF(AND(G23&gt;30,K23&gt;30),"Conforme",IF(OR(G23&lt;15,K23&lt;15),"CRITIQUE","A régulariser")))</f>
        <v/>
      </c>
    </row>
    <row r="24">
      <c r="A24" s="4" t="n"/>
      <c r="B24" s="4">
        <f>IF(A24="","",VLOOKUP(A24,'F01 - _Données Expatriés'!$A$6:$L$15,2,FALSE))</f>
        <v/>
      </c>
      <c r="C24" s="4">
        <f>IF(A24="","",VLOOKUP(A24,'F01 - _Données Expatriés'!$A$6:$L$15,4,FALSE))</f>
        <v/>
      </c>
      <c r="D24" s="4" t="n"/>
      <c r="E24" s="4" t="n"/>
      <c r="F24" s="4" t="n"/>
      <c r="G24" s="4">
        <f>IF(F24="","",IFERROR(F24-TODAY(),0))</f>
        <v/>
      </c>
      <c r="H24" s="4" t="n"/>
      <c r="I24" s="4" t="n"/>
      <c r="J24" s="4" t="n"/>
      <c r="K24" s="4">
        <f>IF(J24="","",IFERROR(J24-TODAY(),0))</f>
        <v/>
      </c>
      <c r="L24" s="4">
        <f>IF(OR(G24="",K24=""),"",IF(AND(G24&gt;30,K24&gt;30),"Conforme",IF(OR(G24&lt;15,K24&lt;15),"CRITIQUE","A régulariser")))</f>
        <v/>
      </c>
    </row>
    <row r="25">
      <c r="A25" s="6" t="n"/>
      <c r="B25" s="6">
        <f>IF(A25="","",VLOOKUP(A25,'F01 - _Données Expatriés'!$A$6:$L$15,2,FALSE))</f>
        <v/>
      </c>
      <c r="C25" s="6">
        <f>IF(A25="","",VLOOKUP(A25,'F01 - _Données Expatriés'!$A$6:$L$15,4,FALSE))</f>
        <v/>
      </c>
      <c r="D25" s="6" t="n"/>
      <c r="E25" s="6" t="n"/>
      <c r="F25" s="6" t="n"/>
      <c r="G25" s="6">
        <f>IF(F25="","",IFERROR(F25-TODAY(),0))</f>
        <v/>
      </c>
      <c r="H25" s="6" t="n"/>
      <c r="I25" s="6" t="n"/>
      <c r="J25" s="6" t="n"/>
      <c r="K25" s="6">
        <f>IF(J25="","",IFERROR(J25-TODAY(),0))</f>
        <v/>
      </c>
      <c r="L25" s="6">
        <f>IF(OR(G25="",K25=""),"",IF(AND(G25&gt;30,K25&gt;30),"Conforme",IF(OR(G25&lt;15,K25&lt;15),"CRITIQUE","A régulariser")))</f>
        <v/>
      </c>
    </row>
    <row r="26">
      <c r="A26" s="4" t="n"/>
      <c r="B26" s="4">
        <f>IF(A26="","",VLOOKUP(A26,'F01 - _Données Expatriés'!$A$6:$L$15,2,FALSE))</f>
        <v/>
      </c>
      <c r="C26" s="4">
        <f>IF(A26="","",VLOOKUP(A26,'F01 - _Données Expatriés'!$A$6:$L$15,4,FALSE))</f>
        <v/>
      </c>
      <c r="D26" s="4" t="n"/>
      <c r="E26" s="4" t="n"/>
      <c r="F26" s="4" t="n"/>
      <c r="G26" s="4">
        <f>IF(F26="","",IFERROR(F26-TODAY(),0))</f>
        <v/>
      </c>
      <c r="H26" s="4" t="n"/>
      <c r="I26" s="4" t="n"/>
      <c r="J26" s="4" t="n"/>
      <c r="K26" s="4">
        <f>IF(J26="","",IFERROR(J26-TODAY(),0))</f>
        <v/>
      </c>
      <c r="L26" s="4">
        <f>IF(OR(G26="",K26=""),"",IF(AND(G26&gt;30,K26&gt;30),"Conforme",IF(OR(G26&lt;15,K26&lt;15),"CRITIQUE","A régulariser")))</f>
        <v/>
      </c>
    </row>
    <row r="27">
      <c r="A27" s="6" t="n"/>
      <c r="B27" s="6">
        <f>IF(A27="","",VLOOKUP(A27,'F01 - _Données Expatriés'!$A$6:$L$15,2,FALSE))</f>
        <v/>
      </c>
      <c r="C27" s="6">
        <f>IF(A27="","",VLOOKUP(A27,'F01 - _Données Expatriés'!$A$6:$L$15,4,FALSE))</f>
        <v/>
      </c>
      <c r="D27" s="6" t="n"/>
      <c r="E27" s="6" t="n"/>
      <c r="F27" s="6" t="n"/>
      <c r="G27" s="6">
        <f>IF(F27="","",IFERROR(F27-TODAY(),0))</f>
        <v/>
      </c>
      <c r="H27" s="6" t="n"/>
      <c r="I27" s="6" t="n"/>
      <c r="J27" s="6" t="n"/>
      <c r="K27" s="6">
        <f>IF(J27="","",IFERROR(J27-TODAY(),0))</f>
        <v/>
      </c>
      <c r="L27" s="6">
        <f>IF(OR(G27="",K27=""),"",IF(AND(G27&gt;30,K27&gt;30),"Conforme",IF(OR(G27&lt;15,K27&lt;15),"CRITIQUE","A régulariser")))</f>
        <v/>
      </c>
    </row>
    <row r="28">
      <c r="A28" s="4" t="n"/>
      <c r="B28" s="4">
        <f>IF(A28="","",VLOOKUP(A28,'F01 - _Données Expatriés'!$A$6:$L$15,2,FALSE))</f>
        <v/>
      </c>
      <c r="C28" s="4">
        <f>IF(A28="","",VLOOKUP(A28,'F01 - _Données Expatriés'!$A$6:$L$15,4,FALSE))</f>
        <v/>
      </c>
      <c r="D28" s="4" t="n"/>
      <c r="E28" s="4" t="n"/>
      <c r="F28" s="4" t="n"/>
      <c r="G28" s="4">
        <f>IF(F28="","",IFERROR(F28-TODAY(),0))</f>
        <v/>
      </c>
      <c r="H28" s="4" t="n"/>
      <c r="I28" s="4" t="n"/>
      <c r="J28" s="4" t="n"/>
      <c r="K28" s="4">
        <f>IF(J28="","",IFERROR(J28-TODAY(),0))</f>
        <v/>
      </c>
      <c r="L28" s="4">
        <f>IF(OR(G28="",K28=""),"",IF(AND(G28&gt;30,K28&gt;30),"Conforme",IF(OR(G28&lt;15,K28&lt;15),"CRITIQUE","A régulariser")))</f>
        <v/>
      </c>
    </row>
    <row r="29">
      <c r="A29" s="6" t="n"/>
      <c r="B29" s="6">
        <f>IF(A29="","",VLOOKUP(A29,'F01 - _Données Expatriés'!$A$6:$L$15,2,FALSE))</f>
        <v/>
      </c>
      <c r="C29" s="6">
        <f>IF(A29="","",VLOOKUP(A29,'F01 - _Données Expatriés'!$A$6:$L$15,4,FALSE))</f>
        <v/>
      </c>
      <c r="D29" s="6" t="n"/>
      <c r="E29" s="6" t="n"/>
      <c r="F29" s="6" t="n"/>
      <c r="G29" s="6">
        <f>IF(F29="","",IFERROR(F29-TODAY(),0))</f>
        <v/>
      </c>
      <c r="H29" s="6" t="n"/>
      <c r="I29" s="6" t="n"/>
      <c r="J29" s="6" t="n"/>
      <c r="K29" s="6">
        <f>IF(J29="","",IFERROR(J29-TODAY(),0))</f>
        <v/>
      </c>
      <c r="L29" s="6">
        <f>IF(OR(G29="",K29=""),"",IF(AND(G29&gt;30,K29&gt;30),"Conforme",IF(OR(G29&lt;15,K29&lt;15),"CRITIQUE","A régulariser")))</f>
        <v/>
      </c>
    </row>
    <row r="30">
      <c r="A30" s="4" t="n"/>
      <c r="B30" s="4">
        <f>IF(A30="","",VLOOKUP(A30,'F01 - _Données Expatriés'!$A$6:$L$15,2,FALSE))</f>
        <v/>
      </c>
      <c r="C30" s="4">
        <f>IF(A30="","",VLOOKUP(A30,'F01 - _Données Expatriés'!$A$6:$L$15,4,FALSE))</f>
        <v/>
      </c>
      <c r="D30" s="4" t="n"/>
      <c r="E30" s="4" t="n"/>
      <c r="F30" s="4" t="n"/>
      <c r="G30" s="4">
        <f>IF(F30="","",IFERROR(F30-TODAY(),0))</f>
        <v/>
      </c>
      <c r="H30" s="4" t="n"/>
      <c r="I30" s="4" t="n"/>
      <c r="J30" s="4" t="n"/>
      <c r="K30" s="4">
        <f>IF(J30="","",IFERROR(J30-TODAY(),0))</f>
        <v/>
      </c>
      <c r="L30" s="4">
        <f>IF(OR(G30="",K30=""),"",IF(AND(G30&gt;30,K30&gt;30),"Conforme",IF(OR(G30&lt;15,K30&lt;15),"CRITIQUE","A régulariser")))</f>
        <v/>
      </c>
    </row>
    <row r="31">
      <c r="A31" s="6" t="n"/>
      <c r="B31" s="6">
        <f>IF(A31="","",VLOOKUP(A31,'F01 - _Données Expatriés'!$A$6:$L$15,2,FALSE))</f>
        <v/>
      </c>
      <c r="C31" s="6">
        <f>IF(A31="","",VLOOKUP(A31,'F01 - _Données Expatriés'!$A$6:$L$15,4,FALSE))</f>
        <v/>
      </c>
      <c r="D31" s="6" t="n"/>
      <c r="E31" s="6" t="n"/>
      <c r="F31" s="6" t="n"/>
      <c r="G31" s="6">
        <f>IF(F31="","",IFERROR(F31-TODAY(),0))</f>
        <v/>
      </c>
      <c r="H31" s="6" t="n"/>
      <c r="I31" s="6" t="n"/>
      <c r="J31" s="6" t="n"/>
      <c r="K31" s="6">
        <f>IF(J31="","",IFERROR(J31-TODAY(),0))</f>
        <v/>
      </c>
      <c r="L31" s="6">
        <f>IF(OR(G31="",K31=""),"",IF(AND(G31&gt;30,K31&gt;30),"Conforme",IF(OR(G31&lt;15,K31&lt;15),"CRITIQUE","A régulariser")))</f>
        <v/>
      </c>
    </row>
    <row r="32">
      <c r="A32" s="4" t="n"/>
      <c r="B32" s="4">
        <f>IF(A32="","",VLOOKUP(A32,'F01 - _Données Expatriés'!$A$6:$L$15,2,FALSE))</f>
        <v/>
      </c>
      <c r="C32" s="4">
        <f>IF(A32="","",VLOOKUP(A32,'F01 - _Données Expatriés'!$A$6:$L$15,4,FALSE))</f>
        <v/>
      </c>
      <c r="D32" s="4" t="n"/>
      <c r="E32" s="4" t="n"/>
      <c r="F32" s="4" t="n"/>
      <c r="G32" s="4">
        <f>IF(F32="","",IFERROR(F32-TODAY(),0))</f>
        <v/>
      </c>
      <c r="H32" s="4" t="n"/>
      <c r="I32" s="4" t="n"/>
      <c r="J32" s="4" t="n"/>
      <c r="K32" s="4">
        <f>IF(J32="","",IFERROR(J32-TODAY(),0))</f>
        <v/>
      </c>
      <c r="L32" s="4">
        <f>IF(OR(G32="",K32=""),"",IF(AND(G32&gt;30,K32&gt;30),"Conforme",IF(OR(G32&lt;15,K32&lt;15),"CRITIQUE","A régulariser")))</f>
        <v/>
      </c>
    </row>
    <row r="33">
      <c r="A33" s="6" t="n"/>
      <c r="B33" s="6">
        <f>IF(A33="","",VLOOKUP(A33,'F01 - _Données Expatriés'!$A$6:$L$15,2,FALSE))</f>
        <v/>
      </c>
      <c r="C33" s="6">
        <f>IF(A33="","",VLOOKUP(A33,'F01 - _Données Expatriés'!$A$6:$L$15,4,FALSE))</f>
        <v/>
      </c>
      <c r="D33" s="6" t="n"/>
      <c r="E33" s="6" t="n"/>
      <c r="F33" s="6" t="n"/>
      <c r="G33" s="6">
        <f>IF(F33="","",IFERROR(F33-TODAY(),0))</f>
        <v/>
      </c>
      <c r="H33" s="6" t="n"/>
      <c r="I33" s="6" t="n"/>
      <c r="J33" s="6" t="n"/>
      <c r="K33" s="6">
        <f>IF(J33="","",IFERROR(J33-TODAY(),0))</f>
        <v/>
      </c>
      <c r="L33" s="6">
        <f>IF(OR(G33="",K33=""),"",IF(AND(G33&gt;30,K33&gt;30),"Conforme",IF(OR(G33&lt;15,K33&lt;15),"CRITIQUE","A régulariser")))</f>
        <v/>
      </c>
    </row>
    <row r="34">
      <c r="A34" s="4" t="n"/>
      <c r="B34" s="4">
        <f>IF(A34="","",VLOOKUP(A34,'F01 - _Données Expatriés'!$A$6:$L$15,2,FALSE))</f>
        <v/>
      </c>
      <c r="C34" s="4">
        <f>IF(A34="","",VLOOKUP(A34,'F01 - _Données Expatriés'!$A$6:$L$15,4,FALSE))</f>
        <v/>
      </c>
      <c r="D34" s="4" t="n"/>
      <c r="E34" s="4" t="n"/>
      <c r="F34" s="4" t="n"/>
      <c r="G34" s="4">
        <f>IF(F34="","",IFERROR(F34-TODAY(),0))</f>
        <v/>
      </c>
      <c r="H34" s="4" t="n"/>
      <c r="I34" s="4" t="n"/>
      <c r="J34" s="4" t="n"/>
      <c r="K34" s="4">
        <f>IF(J34="","",IFERROR(J34-TODAY(),0))</f>
        <v/>
      </c>
      <c r="L34" s="4">
        <f>IF(OR(G34="",K34=""),"",IF(AND(G34&gt;30,K34&gt;30),"Conforme",IF(OR(G34&lt;15,K34&lt;15),"CRITIQUE","A régulariser")))</f>
        <v/>
      </c>
    </row>
    <row r="35">
      <c r="A35" s="6" t="n"/>
      <c r="B35" s="6">
        <f>IF(A35="","",VLOOKUP(A35,'F01 - _Données Expatriés'!$A$6:$L$15,2,FALSE))</f>
        <v/>
      </c>
      <c r="C35" s="6">
        <f>IF(A35="","",VLOOKUP(A35,'F01 - _Données Expatriés'!$A$6:$L$15,4,FALSE))</f>
        <v/>
      </c>
      <c r="D35" s="6" t="n"/>
      <c r="E35" s="6" t="n"/>
      <c r="F35" s="6" t="n"/>
      <c r="G35" s="6">
        <f>IF(F35="","",IFERROR(F35-TODAY(),0))</f>
        <v/>
      </c>
      <c r="H35" s="6" t="n"/>
      <c r="I35" s="6" t="n"/>
      <c r="J35" s="6" t="n"/>
      <c r="K35" s="6">
        <f>IF(J35="","",IFERROR(J35-TODAY(),0))</f>
        <v/>
      </c>
      <c r="L35" s="6">
        <f>IF(OR(G35="",K35=""),"",IF(AND(G35&gt;30,K35&gt;30),"Conforme",IF(OR(G35&lt;15,K35&lt;15),"CRITIQUE","A régulariser")))</f>
        <v/>
      </c>
    </row>
    <row r="36">
      <c r="A36" s="4" t="n"/>
      <c r="B36" s="4">
        <f>IF(A36="","",VLOOKUP(A36,'F01 - _Données Expatriés'!$A$6:$L$15,2,FALSE))</f>
        <v/>
      </c>
      <c r="C36" s="4">
        <f>IF(A36="","",VLOOKUP(A36,'F01 - _Données Expatriés'!$A$6:$L$15,4,FALSE))</f>
        <v/>
      </c>
      <c r="D36" s="4" t="n"/>
      <c r="E36" s="4" t="n"/>
      <c r="F36" s="4" t="n"/>
      <c r="G36" s="4">
        <f>IF(F36="","",IFERROR(F36-TODAY(),0))</f>
        <v/>
      </c>
      <c r="H36" s="4" t="n"/>
      <c r="I36" s="4" t="n"/>
      <c r="J36" s="4" t="n"/>
      <c r="K36" s="4">
        <f>IF(J36="","",IFERROR(J36-TODAY(),0))</f>
        <v/>
      </c>
      <c r="L36" s="4">
        <f>IF(OR(G36="",K36=""),"",IF(AND(G36&gt;30,K36&gt;30),"Conforme",IF(OR(G36&lt;15,K36&lt;15),"CRITIQUE","A régulariser")))</f>
        <v/>
      </c>
    </row>
    <row r="37">
      <c r="A37" s="6" t="n"/>
      <c r="B37" s="6">
        <f>IF(A37="","",VLOOKUP(A37,'F01 - _Données Expatriés'!$A$6:$L$15,2,FALSE))</f>
        <v/>
      </c>
      <c r="C37" s="6">
        <f>IF(A37="","",VLOOKUP(A37,'F01 - _Données Expatriés'!$A$6:$L$15,4,FALSE))</f>
        <v/>
      </c>
      <c r="D37" s="6" t="n"/>
      <c r="E37" s="6" t="n"/>
      <c r="F37" s="6" t="n"/>
      <c r="G37" s="6">
        <f>IF(F37="","",IFERROR(F37-TODAY(),0))</f>
        <v/>
      </c>
      <c r="H37" s="6" t="n"/>
      <c r="I37" s="6" t="n"/>
      <c r="J37" s="6" t="n"/>
      <c r="K37" s="6">
        <f>IF(J37="","",IFERROR(J37-TODAY(),0))</f>
        <v/>
      </c>
      <c r="L37" s="6">
        <f>IF(OR(G37="",K37=""),"",IF(AND(G37&gt;30,K37&gt;30),"Conforme",IF(OR(G37&lt;15,K37&lt;15),"CRITIQUE","A régulariser")))</f>
        <v/>
      </c>
    </row>
    <row r="38">
      <c r="A38" s="4" t="n"/>
      <c r="B38" s="4">
        <f>IF(A38="","",VLOOKUP(A38,'F01 - _Données Expatriés'!$A$6:$L$15,2,FALSE))</f>
        <v/>
      </c>
      <c r="C38" s="4">
        <f>IF(A38="","",VLOOKUP(A38,'F01 - _Données Expatriés'!$A$6:$L$15,4,FALSE))</f>
        <v/>
      </c>
      <c r="D38" s="4" t="n"/>
      <c r="E38" s="4" t="n"/>
      <c r="F38" s="4" t="n"/>
      <c r="G38" s="4">
        <f>IF(F38="","",IFERROR(F38-TODAY(),0))</f>
        <v/>
      </c>
      <c r="H38" s="4" t="n"/>
      <c r="I38" s="4" t="n"/>
      <c r="J38" s="4" t="n"/>
      <c r="K38" s="4">
        <f>IF(J38="","",IFERROR(J38-TODAY(),0))</f>
        <v/>
      </c>
      <c r="L38" s="4">
        <f>IF(OR(G38="",K38=""),"",IF(AND(G38&gt;30,K38&gt;30),"Conforme",IF(OR(G38&lt;15,K38&lt;15),"CRITIQUE","A régulariser")))</f>
        <v/>
      </c>
    </row>
    <row r="39">
      <c r="A39" s="6" t="n"/>
      <c r="B39" s="6">
        <f>IF(A39="","",VLOOKUP(A39,'F01 - _Données Expatriés'!$A$6:$L$15,2,FALSE))</f>
        <v/>
      </c>
      <c r="C39" s="6">
        <f>IF(A39="","",VLOOKUP(A39,'F01 - _Données Expatriés'!$A$6:$L$15,4,FALSE))</f>
        <v/>
      </c>
      <c r="D39" s="6" t="n"/>
      <c r="E39" s="6" t="n"/>
      <c r="F39" s="6" t="n"/>
      <c r="G39" s="6">
        <f>IF(F39="","",IFERROR(F39-TODAY(),0))</f>
        <v/>
      </c>
      <c r="H39" s="6" t="n"/>
      <c r="I39" s="6" t="n"/>
      <c r="J39" s="6" t="n"/>
      <c r="K39" s="6">
        <f>IF(J39="","",IFERROR(J39-TODAY(),0))</f>
        <v/>
      </c>
      <c r="L39" s="6">
        <f>IF(OR(G39="",K39=""),"",IF(AND(G39&gt;30,K39&gt;30),"Conforme",IF(OR(G39&lt;15,K39&lt;15),"CRITIQUE","A régulariser")))</f>
        <v/>
      </c>
    </row>
    <row r="40">
      <c r="A40" s="4" t="n"/>
      <c r="B40" s="4">
        <f>IF(A40="","",VLOOKUP(A40,'F01 - _Données Expatriés'!$A$6:$L$15,2,FALSE))</f>
        <v/>
      </c>
      <c r="C40" s="4">
        <f>IF(A40="","",VLOOKUP(A40,'F01 - _Données Expatriés'!$A$6:$L$15,4,FALSE))</f>
        <v/>
      </c>
      <c r="D40" s="4" t="n"/>
      <c r="E40" s="4" t="n"/>
      <c r="F40" s="4" t="n"/>
      <c r="G40" s="4">
        <f>IF(F40="","",IFERROR(F40-TODAY(),0))</f>
        <v/>
      </c>
      <c r="H40" s="4" t="n"/>
      <c r="I40" s="4" t="n"/>
      <c r="J40" s="4" t="n"/>
      <c r="K40" s="4">
        <f>IF(J40="","",IFERROR(J40-TODAY(),0))</f>
        <v/>
      </c>
      <c r="L40" s="4">
        <f>IF(OR(G40="",K40=""),"",IF(AND(G40&gt;30,K40&gt;30),"Conforme",IF(OR(G40&lt;15,K40&lt;15),"CRITIQUE","A régulariser")))</f>
        <v/>
      </c>
    </row>
    <row r="41">
      <c r="A41" s="6" t="n"/>
      <c r="B41" s="6">
        <f>IF(A41="","",VLOOKUP(A41,'F01 - _Données Expatriés'!$A$6:$L$15,2,FALSE))</f>
        <v/>
      </c>
      <c r="C41" s="6">
        <f>IF(A41="","",VLOOKUP(A41,'F01 - _Données Expatriés'!$A$6:$L$15,4,FALSE))</f>
        <v/>
      </c>
      <c r="D41" s="6" t="n"/>
      <c r="E41" s="6" t="n"/>
      <c r="F41" s="6" t="n"/>
      <c r="G41" s="6">
        <f>IF(F41="","",IFERROR(F41-TODAY(),0))</f>
        <v/>
      </c>
      <c r="H41" s="6" t="n"/>
      <c r="I41" s="6" t="n"/>
      <c r="J41" s="6" t="n"/>
      <c r="K41" s="6">
        <f>IF(J41="","",IFERROR(J41-TODAY(),0))</f>
        <v/>
      </c>
      <c r="L41" s="6">
        <f>IF(OR(G41="",K41=""),"",IF(AND(G41&gt;30,K41&gt;30),"Conforme",IF(OR(G41&lt;15,K41&lt;15),"CRITIQUE","A régulariser")))</f>
        <v/>
      </c>
    </row>
    <row r="42">
      <c r="A42" s="4" t="n"/>
      <c r="B42" s="4">
        <f>IF(A42="","",VLOOKUP(A42,'F01 - _Données Expatriés'!$A$6:$L$15,2,FALSE))</f>
        <v/>
      </c>
      <c r="C42" s="4">
        <f>IF(A42="","",VLOOKUP(A42,'F01 - _Données Expatriés'!$A$6:$L$15,4,FALSE))</f>
        <v/>
      </c>
      <c r="D42" s="4" t="n"/>
      <c r="E42" s="4" t="n"/>
      <c r="F42" s="4" t="n"/>
      <c r="G42" s="4">
        <f>IF(F42="","",IFERROR(F42-TODAY(),0))</f>
        <v/>
      </c>
      <c r="H42" s="4" t="n"/>
      <c r="I42" s="4" t="n"/>
      <c r="J42" s="4" t="n"/>
      <c r="K42" s="4">
        <f>IF(J42="","",IFERROR(J42-TODAY(),0))</f>
        <v/>
      </c>
      <c r="L42" s="4">
        <f>IF(OR(G42="",K42=""),"",IF(AND(G42&gt;30,K42&gt;30),"Conforme",IF(OR(G42&lt;15,K42&lt;15),"CRITIQUE","A régulariser")))</f>
        <v/>
      </c>
    </row>
    <row r="43">
      <c r="A43" s="6" t="n"/>
      <c r="B43" s="6">
        <f>IF(A43="","",VLOOKUP(A43,'F01 - _Données Expatriés'!$A$6:$L$15,2,FALSE))</f>
        <v/>
      </c>
      <c r="C43" s="6">
        <f>IF(A43="","",VLOOKUP(A43,'F01 - _Données Expatriés'!$A$6:$L$15,4,FALSE))</f>
        <v/>
      </c>
      <c r="D43" s="6" t="n"/>
      <c r="E43" s="6" t="n"/>
      <c r="F43" s="6" t="n"/>
      <c r="G43" s="6">
        <f>IF(F43="","",IFERROR(F43-TODAY(),0))</f>
        <v/>
      </c>
      <c r="H43" s="6" t="n"/>
      <c r="I43" s="6" t="n"/>
      <c r="J43" s="6" t="n"/>
      <c r="K43" s="6">
        <f>IF(J43="","",IFERROR(J43-TODAY(),0))</f>
        <v/>
      </c>
      <c r="L43" s="6">
        <f>IF(OR(G43="",K43=""),"",IF(AND(G43&gt;30,K43&gt;30),"Conforme",IF(OR(G43&lt;15,K43&lt;15),"CRITIQUE","A régulariser")))</f>
        <v/>
      </c>
    </row>
    <row r="44">
      <c r="A44" s="4" t="n"/>
      <c r="B44" s="4">
        <f>IF(A44="","",VLOOKUP(A44,'F01 - _Données Expatriés'!$A$6:$L$15,2,FALSE))</f>
        <v/>
      </c>
      <c r="C44" s="4">
        <f>IF(A44="","",VLOOKUP(A44,'F01 - _Données Expatriés'!$A$6:$L$15,4,FALSE))</f>
        <v/>
      </c>
      <c r="D44" s="4" t="n"/>
      <c r="E44" s="4" t="n"/>
      <c r="F44" s="4" t="n"/>
      <c r="G44" s="4">
        <f>IF(F44="","",IFERROR(F44-TODAY(),0))</f>
        <v/>
      </c>
      <c r="H44" s="4" t="n"/>
      <c r="I44" s="4" t="n"/>
      <c r="J44" s="4" t="n"/>
      <c r="K44" s="4">
        <f>IF(J44="","",IFERROR(J44-TODAY(),0))</f>
        <v/>
      </c>
      <c r="L44" s="4">
        <f>IF(OR(G44="",K44=""),"",IF(AND(G44&gt;30,K44&gt;30),"Conforme",IF(OR(G44&lt;15,K44&lt;15),"CRITIQUE","A régulariser")))</f>
        <v/>
      </c>
    </row>
    <row r="45">
      <c r="A45" s="6" t="n"/>
      <c r="B45" s="6">
        <f>IF(A45="","",VLOOKUP(A45,'F01 - _Données Expatriés'!$A$6:$L$15,2,FALSE))</f>
        <v/>
      </c>
      <c r="C45" s="6">
        <f>IF(A45="","",VLOOKUP(A45,'F01 - _Données Expatriés'!$A$6:$L$15,4,FALSE))</f>
        <v/>
      </c>
      <c r="D45" s="6" t="n"/>
      <c r="E45" s="6" t="n"/>
      <c r="F45" s="6" t="n"/>
      <c r="G45" s="6">
        <f>IF(F45="","",IFERROR(F45-TODAY(),0))</f>
        <v/>
      </c>
      <c r="H45" s="6" t="n"/>
      <c r="I45" s="6" t="n"/>
      <c r="J45" s="6" t="n"/>
      <c r="K45" s="6">
        <f>IF(J45="","",IFERROR(J45-TODAY(),0))</f>
        <v/>
      </c>
      <c r="L45" s="6">
        <f>IF(OR(G45="",K45=""),"",IF(AND(G45&gt;30,K45&gt;30),"Conforme",IF(OR(G45&lt;15,K45&lt;15),"CRITIQUE","A régulariser")))</f>
        <v/>
      </c>
    </row>
    <row r="46">
      <c r="A46" s="4" t="n"/>
      <c r="B46" s="4">
        <f>IF(A46="","",VLOOKUP(A46,'F01 - _Données Expatriés'!$A$6:$L$15,2,FALSE))</f>
        <v/>
      </c>
      <c r="C46" s="4">
        <f>IF(A46="","",VLOOKUP(A46,'F01 - _Données Expatriés'!$A$6:$L$15,4,FALSE))</f>
        <v/>
      </c>
      <c r="D46" s="4" t="n"/>
      <c r="E46" s="4" t="n"/>
      <c r="F46" s="4" t="n"/>
      <c r="G46" s="4">
        <f>IF(F46="","",IFERROR(F46-TODAY(),0))</f>
        <v/>
      </c>
      <c r="H46" s="4" t="n"/>
      <c r="I46" s="4" t="n"/>
      <c r="J46" s="4" t="n"/>
      <c r="K46" s="4">
        <f>IF(J46="","",IFERROR(J46-TODAY(),0))</f>
        <v/>
      </c>
      <c r="L46" s="4">
        <f>IF(OR(G46="",K46=""),"",IF(AND(G46&gt;30,K46&gt;30),"Conforme",IF(OR(G46&lt;15,K46&lt;15),"CRITIQUE","A régulariser")))</f>
        <v/>
      </c>
    </row>
    <row r="47">
      <c r="A47" s="6" t="n"/>
      <c r="B47" s="6">
        <f>IF(A47="","",VLOOKUP(A47,'F01 - _Données Expatriés'!$A$6:$L$15,2,FALSE))</f>
        <v/>
      </c>
      <c r="C47" s="6">
        <f>IF(A47="","",VLOOKUP(A47,'F01 - _Données Expatriés'!$A$6:$L$15,4,FALSE))</f>
        <v/>
      </c>
      <c r="D47" s="6" t="n"/>
      <c r="E47" s="6" t="n"/>
      <c r="F47" s="6" t="n"/>
      <c r="G47" s="6">
        <f>IF(F47="","",IFERROR(F47-TODAY(),0))</f>
        <v/>
      </c>
      <c r="H47" s="6" t="n"/>
      <c r="I47" s="6" t="n"/>
      <c r="J47" s="6" t="n"/>
      <c r="K47" s="6">
        <f>IF(J47="","",IFERROR(J47-TODAY(),0))</f>
        <v/>
      </c>
      <c r="L47" s="6">
        <f>IF(OR(G47="",K47=""),"",IF(AND(G47&gt;30,K47&gt;30),"Conforme",IF(OR(G47&lt;15,K47&lt;15),"CRITIQUE","A régulariser")))</f>
        <v/>
      </c>
    </row>
    <row r="48">
      <c r="A48" s="4" t="n"/>
      <c r="B48" s="4">
        <f>IF(A48="","",VLOOKUP(A48,'F01 - _Données Expatriés'!$A$6:$L$15,2,FALSE))</f>
        <v/>
      </c>
      <c r="C48" s="4">
        <f>IF(A48="","",VLOOKUP(A48,'F01 - _Données Expatriés'!$A$6:$L$15,4,FALSE))</f>
        <v/>
      </c>
      <c r="D48" s="4" t="n"/>
      <c r="E48" s="4" t="n"/>
      <c r="F48" s="4" t="n"/>
      <c r="G48" s="4">
        <f>IF(F48="","",IFERROR(F48-TODAY(),0))</f>
        <v/>
      </c>
      <c r="H48" s="4" t="n"/>
      <c r="I48" s="4" t="n"/>
      <c r="J48" s="4" t="n"/>
      <c r="K48" s="4">
        <f>IF(J48="","",IFERROR(J48-TODAY(),0))</f>
        <v/>
      </c>
      <c r="L48" s="4">
        <f>IF(OR(G48="",K48=""),"",IF(AND(G48&gt;30,K48&gt;30),"Conforme",IF(OR(G48&lt;15,K48&lt;15),"CRITIQUE","A régulariser")))</f>
        <v/>
      </c>
    </row>
    <row r="49">
      <c r="A49" s="6" t="n"/>
      <c r="B49" s="6">
        <f>IF(A49="","",VLOOKUP(A49,'F01 - _Données Expatriés'!$A$6:$L$15,2,FALSE))</f>
        <v/>
      </c>
      <c r="C49" s="6">
        <f>IF(A49="","",VLOOKUP(A49,'F01 - _Données Expatriés'!$A$6:$L$15,4,FALSE))</f>
        <v/>
      </c>
      <c r="D49" s="6" t="n"/>
      <c r="E49" s="6" t="n"/>
      <c r="F49" s="6" t="n"/>
      <c r="G49" s="6">
        <f>IF(F49="","",IFERROR(F49-TODAY(),0))</f>
        <v/>
      </c>
      <c r="H49" s="6" t="n"/>
      <c r="I49" s="6" t="n"/>
      <c r="J49" s="6" t="n"/>
      <c r="K49" s="6">
        <f>IF(J49="","",IFERROR(J49-TODAY(),0))</f>
        <v/>
      </c>
      <c r="L49" s="6">
        <f>IF(OR(G49="",K49=""),"",IF(AND(G49&gt;30,K49&gt;30),"Conforme",IF(OR(G49&lt;15,K49&lt;15),"CRITIQUE","A régulariser")))</f>
        <v/>
      </c>
    </row>
    <row r="50">
      <c r="A50" s="4" t="n"/>
      <c r="B50" s="4">
        <f>IF(A50="","",VLOOKUP(A50,'F01 - _Données Expatriés'!$A$6:$L$15,2,FALSE))</f>
        <v/>
      </c>
      <c r="C50" s="4">
        <f>IF(A50="","",VLOOKUP(A50,'F01 - _Données Expatriés'!$A$6:$L$15,4,FALSE))</f>
        <v/>
      </c>
      <c r="D50" s="4" t="n"/>
      <c r="E50" s="4" t="n"/>
      <c r="F50" s="4" t="n"/>
      <c r="G50" s="4">
        <f>IF(F50="","",IFERROR(F50-TODAY(),0))</f>
        <v/>
      </c>
      <c r="H50" s="4" t="n"/>
      <c r="I50" s="4" t="n"/>
      <c r="J50" s="4" t="n"/>
      <c r="K50" s="4">
        <f>IF(J50="","",IFERROR(J50-TODAY(),0))</f>
        <v/>
      </c>
      <c r="L50" s="4">
        <f>IF(OR(G50="",K50=""),"",IF(AND(G50&gt;30,K50&gt;30),"Conforme",IF(OR(G50&lt;15,K50&lt;15),"CRITIQUE","A régulariser")))</f>
        <v/>
      </c>
    </row>
    <row r="51">
      <c r="A51" s="6" t="n"/>
      <c r="B51" s="6">
        <f>IF(A51="","",VLOOKUP(A51,'F01 - _Données Expatriés'!$A$6:$L$15,2,FALSE))</f>
        <v/>
      </c>
      <c r="C51" s="6">
        <f>IF(A51="","",VLOOKUP(A51,'F01 - _Données Expatriés'!$A$6:$L$15,4,FALSE))</f>
        <v/>
      </c>
      <c r="D51" s="6" t="n"/>
      <c r="E51" s="6" t="n"/>
      <c r="F51" s="6" t="n"/>
      <c r="G51" s="6">
        <f>IF(F51="","",IFERROR(F51-TODAY(),0))</f>
        <v/>
      </c>
      <c r="H51" s="6" t="n"/>
      <c r="I51" s="6" t="n"/>
      <c r="J51" s="6" t="n"/>
      <c r="K51" s="6">
        <f>IF(J51="","",IFERROR(J51-TODAY(),0))</f>
        <v/>
      </c>
      <c r="L51" s="6">
        <f>IF(OR(G51="",K51=""),"",IF(AND(G51&gt;30,K51&gt;30),"Conforme",IF(OR(G51&lt;15,K51&lt;15),"CRITIQUE","A régulariser")))</f>
        <v/>
      </c>
    </row>
    <row r="52">
      <c r="A52" s="4" t="n"/>
      <c r="B52" s="4">
        <f>IF(A52="","",VLOOKUP(A52,'F01 - _Données Expatriés'!$A$6:$L$15,2,FALSE))</f>
        <v/>
      </c>
      <c r="C52" s="4">
        <f>IF(A52="","",VLOOKUP(A52,'F01 - _Données Expatriés'!$A$6:$L$15,4,FALSE))</f>
        <v/>
      </c>
      <c r="D52" s="4" t="n"/>
      <c r="E52" s="4" t="n"/>
      <c r="F52" s="4" t="n"/>
      <c r="G52" s="4">
        <f>IF(F52="","",IFERROR(F52-TODAY(),0))</f>
        <v/>
      </c>
      <c r="H52" s="4" t="n"/>
      <c r="I52" s="4" t="n"/>
      <c r="J52" s="4" t="n"/>
      <c r="K52" s="4">
        <f>IF(J52="","",IFERROR(J52-TODAY(),0))</f>
        <v/>
      </c>
      <c r="L52" s="4">
        <f>IF(OR(G52="",K52=""),"",IF(AND(G52&gt;30,K52&gt;30),"Conforme",IF(OR(G52&lt;15,K52&lt;15),"CRITIQUE","A régulariser")))</f>
        <v/>
      </c>
    </row>
    <row r="53">
      <c r="A53" s="6" t="n"/>
      <c r="B53" s="6">
        <f>IF(A53="","",VLOOKUP(A53,'F01 - _Données Expatriés'!$A$6:$L$15,2,FALSE))</f>
        <v/>
      </c>
      <c r="C53" s="6">
        <f>IF(A53="","",VLOOKUP(A53,'F01 - _Données Expatriés'!$A$6:$L$15,4,FALSE))</f>
        <v/>
      </c>
      <c r="D53" s="6" t="n"/>
      <c r="E53" s="6" t="n"/>
      <c r="F53" s="6" t="n"/>
      <c r="G53" s="6">
        <f>IF(F53="","",IFERROR(F53-TODAY(),0))</f>
        <v/>
      </c>
      <c r="H53" s="6" t="n"/>
      <c r="I53" s="6" t="n"/>
      <c r="J53" s="6" t="n"/>
      <c r="K53" s="6">
        <f>IF(J53="","",IFERROR(J53-TODAY(),0))</f>
        <v/>
      </c>
      <c r="L53" s="6">
        <f>IF(OR(G53="",K53=""),"",IF(AND(G53&gt;30,K53&gt;30),"Conforme",IF(OR(G53&lt;15,K53&lt;15),"CRITIQUE","A régulariser")))</f>
        <v/>
      </c>
    </row>
    <row r="54">
      <c r="A54" s="4" t="n"/>
      <c r="B54" s="4">
        <f>IF(A54="","",VLOOKUP(A54,'F01 - _Données Expatriés'!$A$6:$L$15,2,FALSE))</f>
        <v/>
      </c>
      <c r="C54" s="4">
        <f>IF(A54="","",VLOOKUP(A54,'F01 - _Données Expatriés'!$A$6:$L$15,4,FALSE))</f>
        <v/>
      </c>
      <c r="D54" s="4" t="n"/>
      <c r="E54" s="4" t="n"/>
      <c r="F54" s="4" t="n"/>
      <c r="G54" s="4">
        <f>IF(F54="","",IFERROR(F54-TODAY(),0))</f>
        <v/>
      </c>
      <c r="H54" s="4" t="n"/>
      <c r="I54" s="4" t="n"/>
      <c r="J54" s="4" t="n"/>
      <c r="K54" s="4">
        <f>IF(J54="","",IFERROR(J54-TODAY(),0))</f>
        <v/>
      </c>
      <c r="L54" s="4">
        <f>IF(OR(G54="",K54=""),"",IF(AND(G54&gt;30,K54&gt;30),"Conforme",IF(OR(G54&lt;15,K54&lt;15),"CRITIQUE","A régulariser")))</f>
        <v/>
      </c>
    </row>
    <row r="55">
      <c r="A55" s="6" t="n"/>
      <c r="B55" s="6">
        <f>IF(A55="","",VLOOKUP(A55,'F01 - _Données Expatriés'!$A$6:$L$15,2,FALSE))</f>
        <v/>
      </c>
      <c r="C55" s="6">
        <f>IF(A55="","",VLOOKUP(A55,'F01 - _Données Expatriés'!$A$6:$L$15,4,FALSE))</f>
        <v/>
      </c>
      <c r="D55" s="6" t="n"/>
      <c r="E55" s="6" t="n"/>
      <c r="F55" s="6" t="n"/>
      <c r="G55" s="6">
        <f>IF(F55="","",IFERROR(F55-TODAY(),0))</f>
        <v/>
      </c>
      <c r="H55" s="6" t="n"/>
      <c r="I55" s="6" t="n"/>
      <c r="J55" s="6" t="n"/>
      <c r="K55" s="6">
        <f>IF(J55="","",IFERROR(J55-TODAY(),0))</f>
        <v/>
      </c>
      <c r="L55" s="6">
        <f>IF(OR(G55="",K55=""),"",IF(AND(G55&gt;30,K55&gt;30),"Conforme",IF(OR(G55&lt;15,K55&lt;15),"CRITIQUE","A régulariser")))</f>
        <v/>
      </c>
    </row>
    <row r="56">
      <c r="A56" s="4" t="n"/>
      <c r="B56" s="4">
        <f>IF(A56="","",VLOOKUP(A56,'F01 - _Données Expatriés'!$A$6:$L$15,2,FALSE))</f>
        <v/>
      </c>
      <c r="C56" s="4">
        <f>IF(A56="","",VLOOKUP(A56,'F01 - _Données Expatriés'!$A$6:$L$15,4,FALSE))</f>
        <v/>
      </c>
      <c r="D56" s="4" t="n"/>
      <c r="E56" s="4" t="n"/>
      <c r="F56" s="4" t="n"/>
      <c r="G56" s="4">
        <f>IF(F56="","",IFERROR(F56-TODAY(),0))</f>
        <v/>
      </c>
      <c r="H56" s="4" t="n"/>
      <c r="I56" s="4" t="n"/>
      <c r="J56" s="4" t="n"/>
      <c r="K56" s="4">
        <f>IF(J56="","",IFERROR(J56-TODAY(),0))</f>
        <v/>
      </c>
      <c r="L56" s="4">
        <f>IF(OR(G56="",K56=""),"",IF(AND(G56&gt;30,K56&gt;30),"Conforme",IF(OR(G56&lt;15,K56&lt;15),"CRITIQUE","A régulariser")))</f>
        <v/>
      </c>
    </row>
    <row r="57">
      <c r="A57" s="6" t="n"/>
      <c r="B57" s="6">
        <f>IF(A57="","",VLOOKUP(A57,'F01 - _Données Expatriés'!$A$6:$L$15,2,FALSE))</f>
        <v/>
      </c>
      <c r="C57" s="6">
        <f>IF(A57="","",VLOOKUP(A57,'F01 - _Données Expatriés'!$A$6:$L$15,4,FALSE))</f>
        <v/>
      </c>
      <c r="D57" s="6" t="n"/>
      <c r="E57" s="6" t="n"/>
      <c r="F57" s="6" t="n"/>
      <c r="G57" s="6">
        <f>IF(F57="","",IFERROR(F57-TODAY(),0))</f>
        <v/>
      </c>
      <c r="H57" s="6" t="n"/>
      <c r="I57" s="6" t="n"/>
      <c r="J57" s="6" t="n"/>
      <c r="K57" s="6">
        <f>IF(J57="","",IFERROR(J57-TODAY(),0))</f>
        <v/>
      </c>
      <c r="L57" s="6">
        <f>IF(OR(G57="",K57=""),"",IF(AND(G57&gt;30,K57&gt;30),"Conforme",IF(OR(G57&lt;15,K57&lt;15),"CRITIQUE","A régulariser")))</f>
        <v/>
      </c>
    </row>
    <row r="58">
      <c r="A58" s="4" t="n"/>
      <c r="B58" s="4">
        <f>IF(A58="","",VLOOKUP(A58,'F01 - _Données Expatriés'!$A$6:$L$15,2,FALSE))</f>
        <v/>
      </c>
      <c r="C58" s="4">
        <f>IF(A58="","",VLOOKUP(A58,'F01 - _Données Expatriés'!$A$6:$L$15,4,FALSE))</f>
        <v/>
      </c>
      <c r="D58" s="4" t="n"/>
      <c r="E58" s="4" t="n"/>
      <c r="F58" s="4" t="n"/>
      <c r="G58" s="4">
        <f>IF(F58="","",IFERROR(F58-TODAY(),0))</f>
        <v/>
      </c>
      <c r="H58" s="4" t="n"/>
      <c r="I58" s="4" t="n"/>
      <c r="J58" s="4" t="n"/>
      <c r="K58" s="4">
        <f>IF(J58="","",IFERROR(J58-TODAY(),0))</f>
        <v/>
      </c>
      <c r="L58" s="4">
        <f>IF(OR(G58="",K58=""),"",IF(AND(G58&gt;30,K58&gt;30),"Conforme",IF(OR(G58&lt;15,K58&lt;15),"CRITIQUE","A régulariser")))</f>
        <v/>
      </c>
    </row>
    <row r="59">
      <c r="A59" s="6" t="n"/>
      <c r="B59" s="6">
        <f>IF(A59="","",VLOOKUP(A59,'F01 - _Données Expatriés'!$A$6:$L$15,2,FALSE))</f>
        <v/>
      </c>
      <c r="C59" s="6">
        <f>IF(A59="","",VLOOKUP(A59,'F01 - _Données Expatriés'!$A$6:$L$15,4,FALSE))</f>
        <v/>
      </c>
      <c r="D59" s="6" t="n"/>
      <c r="E59" s="6" t="n"/>
      <c r="F59" s="6" t="n"/>
      <c r="G59" s="6">
        <f>IF(F59="","",IFERROR(F59-TODAY(),0))</f>
        <v/>
      </c>
      <c r="H59" s="6" t="n"/>
      <c r="I59" s="6" t="n"/>
      <c r="J59" s="6" t="n"/>
      <c r="K59" s="6">
        <f>IF(J59="","",IFERROR(J59-TODAY(),0))</f>
        <v/>
      </c>
      <c r="L59" s="6">
        <f>IF(OR(G59="",K59=""),"",IF(AND(G59&gt;30,K59&gt;30),"Conforme",IF(OR(G59&lt;15,K59&lt;15),"CRITIQUE","A régulariser")))</f>
        <v/>
      </c>
    </row>
    <row r="60">
      <c r="A60" s="4" t="n"/>
      <c r="B60" s="4">
        <f>IF(A60="","",VLOOKUP(A60,'F01 - _Données Expatriés'!$A$6:$L$15,2,FALSE))</f>
        <v/>
      </c>
      <c r="C60" s="4">
        <f>IF(A60="","",VLOOKUP(A60,'F01 - _Données Expatriés'!$A$6:$L$15,4,FALSE))</f>
        <v/>
      </c>
      <c r="D60" s="4" t="n"/>
      <c r="E60" s="4" t="n"/>
      <c r="F60" s="4" t="n"/>
      <c r="G60" s="4">
        <f>IF(F60="","",IFERROR(F60-TODAY(),0))</f>
        <v/>
      </c>
      <c r="H60" s="4" t="n"/>
      <c r="I60" s="4" t="n"/>
      <c r="J60" s="4" t="n"/>
      <c r="K60" s="4">
        <f>IF(J60="","",IFERROR(J60-TODAY(),0))</f>
        <v/>
      </c>
      <c r="L60" s="4">
        <f>IF(OR(G60="",K60=""),"",IF(AND(G60&gt;30,K60&gt;30),"Conforme",IF(OR(G60&lt;15,K60&lt;15),"CRITIQUE","A régulariser")))</f>
        <v/>
      </c>
    </row>
    <row r="61">
      <c r="A61" s="6" t="n"/>
      <c r="B61" s="6">
        <f>IF(A61="","",VLOOKUP(A61,'F01 - _Données Expatriés'!$A$6:$L$15,2,FALSE))</f>
        <v/>
      </c>
      <c r="C61" s="6">
        <f>IF(A61="","",VLOOKUP(A61,'F01 - _Données Expatriés'!$A$6:$L$15,4,FALSE))</f>
        <v/>
      </c>
      <c r="D61" s="6" t="n"/>
      <c r="E61" s="6" t="n"/>
      <c r="F61" s="6" t="n"/>
      <c r="G61" s="6">
        <f>IF(F61="","",IFERROR(F61-TODAY(),0))</f>
        <v/>
      </c>
      <c r="H61" s="6" t="n"/>
      <c r="I61" s="6" t="n"/>
      <c r="J61" s="6" t="n"/>
      <c r="K61" s="6">
        <f>IF(J61="","",IFERROR(J61-TODAY(),0))</f>
        <v/>
      </c>
      <c r="L61" s="6">
        <f>IF(OR(G61="",K61=""),"",IF(AND(G61&gt;30,K61&gt;30),"Conforme",IF(OR(G61&lt;15,K61&lt;15),"CRITIQUE","A régulariser")))</f>
        <v/>
      </c>
    </row>
    <row r="62">
      <c r="A62" s="4" t="n"/>
      <c r="B62" s="4">
        <f>IF(A62="","",VLOOKUP(A62,'F01 - _Données Expatriés'!$A$6:$L$15,2,FALSE))</f>
        <v/>
      </c>
      <c r="C62" s="4">
        <f>IF(A62="","",VLOOKUP(A62,'F01 - _Données Expatriés'!$A$6:$L$15,4,FALSE))</f>
        <v/>
      </c>
      <c r="D62" s="4" t="n"/>
      <c r="E62" s="4" t="n"/>
      <c r="F62" s="4" t="n"/>
      <c r="G62" s="4">
        <f>IF(F62="","",IFERROR(F62-TODAY(),0))</f>
        <v/>
      </c>
      <c r="H62" s="4" t="n"/>
      <c r="I62" s="4" t="n"/>
      <c r="J62" s="4" t="n"/>
      <c r="K62" s="4">
        <f>IF(J62="","",IFERROR(J62-TODAY(),0))</f>
        <v/>
      </c>
      <c r="L62" s="4">
        <f>IF(OR(G62="",K62=""),"",IF(AND(G62&gt;30,K62&gt;30),"Conforme",IF(OR(G62&lt;15,K62&lt;15),"CRITIQUE","A régulariser")))</f>
        <v/>
      </c>
    </row>
    <row r="63">
      <c r="A63" s="6" t="n"/>
      <c r="B63" s="6">
        <f>IF(A63="","",VLOOKUP(A63,'F01 - _Données Expatriés'!$A$6:$L$15,2,FALSE))</f>
        <v/>
      </c>
      <c r="C63" s="6">
        <f>IF(A63="","",VLOOKUP(A63,'F01 - _Données Expatriés'!$A$6:$L$15,4,FALSE))</f>
        <v/>
      </c>
      <c r="D63" s="6" t="n"/>
      <c r="E63" s="6" t="n"/>
      <c r="F63" s="6" t="n"/>
      <c r="G63" s="6">
        <f>IF(F63="","",IFERROR(F63-TODAY(),0))</f>
        <v/>
      </c>
      <c r="H63" s="6" t="n"/>
      <c r="I63" s="6" t="n"/>
      <c r="J63" s="6" t="n"/>
      <c r="K63" s="6">
        <f>IF(J63="","",IFERROR(J63-TODAY(),0))</f>
        <v/>
      </c>
      <c r="L63" s="6">
        <f>IF(OR(G63="",K63=""),"",IF(AND(G63&gt;30,K63&gt;30),"Conforme",IF(OR(G63&lt;15,K63&lt;15),"CRITIQUE","A régulariser")))</f>
        <v/>
      </c>
    </row>
    <row r="64">
      <c r="A64" s="4" t="n"/>
      <c r="B64" s="4">
        <f>IF(A64="","",VLOOKUP(A64,'F01 - _Données Expatriés'!$A$6:$L$15,2,FALSE))</f>
        <v/>
      </c>
      <c r="C64" s="4">
        <f>IF(A64="","",VLOOKUP(A64,'F01 - _Données Expatriés'!$A$6:$L$15,4,FALSE))</f>
        <v/>
      </c>
      <c r="D64" s="4" t="n"/>
      <c r="E64" s="4" t="n"/>
      <c r="F64" s="4" t="n"/>
      <c r="G64" s="4">
        <f>IF(F64="","",IFERROR(F64-TODAY(),0))</f>
        <v/>
      </c>
      <c r="H64" s="4" t="n"/>
      <c r="I64" s="4" t="n"/>
      <c r="J64" s="4" t="n"/>
      <c r="K64" s="4">
        <f>IF(J64="","",IFERROR(J64-TODAY(),0))</f>
        <v/>
      </c>
      <c r="L64" s="4">
        <f>IF(OR(G64="",K64=""),"",IF(AND(G64&gt;30,K64&gt;30),"Conforme",IF(OR(G64&lt;15,K64&lt;15),"CRITIQUE","A régulariser")))</f>
        <v/>
      </c>
    </row>
    <row r="65">
      <c r="A65" s="6" t="n"/>
      <c r="B65" s="6">
        <f>IF(A65="","",VLOOKUP(A65,'F01 - _Données Expatriés'!$A$6:$L$15,2,FALSE))</f>
        <v/>
      </c>
      <c r="C65" s="6">
        <f>IF(A65="","",VLOOKUP(A65,'F01 - _Données Expatriés'!$A$6:$L$15,4,FALSE))</f>
        <v/>
      </c>
      <c r="D65" s="6" t="n"/>
      <c r="E65" s="6" t="n"/>
      <c r="F65" s="6" t="n"/>
      <c r="G65" s="6">
        <f>IF(F65="","",IFERROR(F65-TODAY(),0))</f>
        <v/>
      </c>
      <c r="H65" s="6" t="n"/>
      <c r="I65" s="6" t="n"/>
      <c r="J65" s="6" t="n"/>
      <c r="K65" s="6">
        <f>IF(J65="","",IFERROR(J65-TODAY(),0))</f>
        <v/>
      </c>
      <c r="L65" s="6">
        <f>IF(OR(G65="",K65=""),"",IF(AND(G65&gt;30,K65&gt;30),"Conforme",IF(OR(G65&lt;15,K65&lt;15),"CRITIQUE","A régulariser")))</f>
        <v/>
      </c>
    </row>
    <row r="66">
      <c r="A66" s="4" t="n"/>
      <c r="B66" s="4">
        <f>IF(A66="","",VLOOKUP(A66,'F01 - _Données Expatriés'!$A$6:$L$15,2,FALSE))</f>
        <v/>
      </c>
      <c r="C66" s="4">
        <f>IF(A66="","",VLOOKUP(A66,'F01 - _Données Expatriés'!$A$6:$L$15,4,FALSE))</f>
        <v/>
      </c>
      <c r="D66" s="4" t="n"/>
      <c r="E66" s="4" t="n"/>
      <c r="F66" s="4" t="n"/>
      <c r="G66" s="4">
        <f>IF(F66="","",IFERROR(F66-TODAY(),0))</f>
        <v/>
      </c>
      <c r="H66" s="4" t="n"/>
      <c r="I66" s="4" t="n"/>
      <c r="J66" s="4" t="n"/>
      <c r="K66" s="4">
        <f>IF(J66="","",IFERROR(J66-TODAY(),0))</f>
        <v/>
      </c>
      <c r="L66" s="4">
        <f>IF(OR(G66="",K66=""),"",IF(AND(G66&gt;30,K66&gt;30),"Conforme",IF(OR(G66&lt;15,K66&lt;15),"CRITIQUE","A régulariser")))</f>
        <v/>
      </c>
    </row>
    <row r="67">
      <c r="A67" s="6" t="n"/>
      <c r="B67" s="6">
        <f>IF(A67="","",VLOOKUP(A67,'F01 - _Données Expatriés'!$A$6:$L$15,2,FALSE))</f>
        <v/>
      </c>
      <c r="C67" s="6">
        <f>IF(A67="","",VLOOKUP(A67,'F01 - _Données Expatriés'!$A$6:$L$15,4,FALSE))</f>
        <v/>
      </c>
      <c r="D67" s="6" t="n"/>
      <c r="E67" s="6" t="n"/>
      <c r="F67" s="6" t="n"/>
      <c r="G67" s="6">
        <f>IF(F67="","",IFERROR(F67-TODAY(),0))</f>
        <v/>
      </c>
      <c r="H67" s="6" t="n"/>
      <c r="I67" s="6" t="n"/>
      <c r="J67" s="6" t="n"/>
      <c r="K67" s="6">
        <f>IF(J67="","",IFERROR(J67-TODAY(),0))</f>
        <v/>
      </c>
      <c r="L67" s="6">
        <f>IF(OR(G67="",K67=""),"",IF(AND(G67&gt;30,K67&gt;30),"Conforme",IF(OR(G67&lt;15,K67&lt;15),"CRITIQUE","A régulariser")))</f>
        <v/>
      </c>
    </row>
    <row r="68">
      <c r="A68" s="4" t="n"/>
      <c r="B68" s="4">
        <f>IF(A68="","",VLOOKUP(A68,'F01 - _Données Expatriés'!$A$6:$L$15,2,FALSE))</f>
        <v/>
      </c>
      <c r="C68" s="4">
        <f>IF(A68="","",VLOOKUP(A68,'F01 - _Données Expatriés'!$A$6:$L$15,4,FALSE))</f>
        <v/>
      </c>
      <c r="D68" s="4" t="n"/>
      <c r="E68" s="4" t="n"/>
      <c r="F68" s="4" t="n"/>
      <c r="G68" s="4">
        <f>IF(F68="","",IFERROR(F68-TODAY(),0))</f>
        <v/>
      </c>
      <c r="H68" s="4" t="n"/>
      <c r="I68" s="4" t="n"/>
      <c r="J68" s="4" t="n"/>
      <c r="K68" s="4">
        <f>IF(J68="","",IFERROR(J68-TODAY(),0))</f>
        <v/>
      </c>
      <c r="L68" s="4">
        <f>IF(OR(G68="",K68=""),"",IF(AND(G68&gt;30,K68&gt;30),"Conforme",IF(OR(G68&lt;15,K68&lt;15),"CRITIQUE","A régulariser")))</f>
        <v/>
      </c>
    </row>
    <row r="69">
      <c r="A69" s="6" t="n"/>
      <c r="B69" s="6">
        <f>IF(A69="","",VLOOKUP(A69,'F01 - _Données Expatriés'!$A$6:$L$15,2,FALSE))</f>
        <v/>
      </c>
      <c r="C69" s="6">
        <f>IF(A69="","",VLOOKUP(A69,'F01 - _Données Expatriés'!$A$6:$L$15,4,FALSE))</f>
        <v/>
      </c>
      <c r="D69" s="6" t="n"/>
      <c r="E69" s="6" t="n"/>
      <c r="F69" s="6" t="n"/>
      <c r="G69" s="6">
        <f>IF(F69="","",IFERROR(F69-TODAY(),0))</f>
        <v/>
      </c>
      <c r="H69" s="6" t="n"/>
      <c r="I69" s="6" t="n"/>
      <c r="J69" s="6" t="n"/>
      <c r="K69" s="6">
        <f>IF(J69="","",IFERROR(J69-TODAY(),0))</f>
        <v/>
      </c>
      <c r="L69" s="6">
        <f>IF(OR(G69="",K69=""),"",IF(AND(G69&gt;30,K69&gt;30),"Conforme",IF(OR(G69&lt;15,K69&lt;15),"CRITIQUE","A régulariser")))</f>
        <v/>
      </c>
    </row>
    <row r="70">
      <c r="A70" s="4" t="n"/>
      <c r="B70" s="4">
        <f>IF(A70="","",VLOOKUP(A70,'F01 - _Données Expatriés'!$A$6:$L$15,2,FALSE))</f>
        <v/>
      </c>
      <c r="C70" s="4">
        <f>IF(A70="","",VLOOKUP(A70,'F01 - _Données Expatriés'!$A$6:$L$15,4,FALSE))</f>
        <v/>
      </c>
      <c r="D70" s="4" t="n"/>
      <c r="E70" s="4" t="n"/>
      <c r="F70" s="4" t="n"/>
      <c r="G70" s="4">
        <f>IF(F70="","",IFERROR(F70-TODAY(),0))</f>
        <v/>
      </c>
      <c r="H70" s="4" t="n"/>
      <c r="I70" s="4" t="n"/>
      <c r="J70" s="4" t="n"/>
      <c r="K70" s="4">
        <f>IF(J70="","",IFERROR(J70-TODAY(),0))</f>
        <v/>
      </c>
      <c r="L70" s="4">
        <f>IF(OR(G70="",K70=""),"",IF(AND(G70&gt;30,K70&gt;30),"Conforme",IF(OR(G70&lt;15,K70&lt;15),"CRITIQUE","A régulariser")))</f>
        <v/>
      </c>
    </row>
    <row r="71">
      <c r="A71" s="6" t="n"/>
      <c r="B71" s="6">
        <f>IF(A71="","",VLOOKUP(A71,'F01 - _Données Expatriés'!$A$6:$L$15,2,FALSE))</f>
        <v/>
      </c>
      <c r="C71" s="6">
        <f>IF(A71="","",VLOOKUP(A71,'F01 - _Données Expatriés'!$A$6:$L$15,4,FALSE))</f>
        <v/>
      </c>
      <c r="D71" s="6" t="n"/>
      <c r="E71" s="6" t="n"/>
      <c r="F71" s="6" t="n"/>
      <c r="G71" s="6">
        <f>IF(F71="","",IFERROR(F71-TODAY(),0))</f>
        <v/>
      </c>
      <c r="H71" s="6" t="n"/>
      <c r="I71" s="6" t="n"/>
      <c r="J71" s="6" t="n"/>
      <c r="K71" s="6">
        <f>IF(J71="","",IFERROR(J71-TODAY(),0))</f>
        <v/>
      </c>
      <c r="L71" s="6">
        <f>IF(OR(G71="",K71=""),"",IF(AND(G71&gt;30,K71&gt;30),"Conforme",IF(OR(G71&lt;15,K71&lt;15),"CRITIQUE","A régulariser")))</f>
        <v/>
      </c>
    </row>
    <row r="72">
      <c r="A72" s="4" t="n"/>
      <c r="B72" s="4">
        <f>IF(A72="","",VLOOKUP(A72,'F01 - _Données Expatriés'!$A$6:$L$15,2,FALSE))</f>
        <v/>
      </c>
      <c r="C72" s="4">
        <f>IF(A72="","",VLOOKUP(A72,'F01 - _Données Expatriés'!$A$6:$L$15,4,FALSE))</f>
        <v/>
      </c>
      <c r="D72" s="4" t="n"/>
      <c r="E72" s="4" t="n"/>
      <c r="F72" s="4" t="n"/>
      <c r="G72" s="4">
        <f>IF(F72="","",IFERROR(F72-TODAY(),0))</f>
        <v/>
      </c>
      <c r="H72" s="4" t="n"/>
      <c r="I72" s="4" t="n"/>
      <c r="J72" s="4" t="n"/>
      <c r="K72" s="4">
        <f>IF(J72="","",IFERROR(J72-TODAY(),0))</f>
        <v/>
      </c>
      <c r="L72" s="4">
        <f>IF(OR(G72="",K72=""),"",IF(AND(G72&gt;30,K72&gt;30),"Conforme",IF(OR(G72&lt;15,K72&lt;15),"CRITIQUE","A régulariser")))</f>
        <v/>
      </c>
    </row>
    <row r="73">
      <c r="A73" s="6" t="n"/>
      <c r="B73" s="6">
        <f>IF(A73="","",VLOOKUP(A73,'F01 - _Données Expatriés'!$A$6:$L$15,2,FALSE))</f>
        <v/>
      </c>
      <c r="C73" s="6">
        <f>IF(A73="","",VLOOKUP(A73,'F01 - _Données Expatriés'!$A$6:$L$15,4,FALSE))</f>
        <v/>
      </c>
      <c r="D73" s="6" t="n"/>
      <c r="E73" s="6" t="n"/>
      <c r="F73" s="6" t="n"/>
      <c r="G73" s="6">
        <f>IF(F73="","",IFERROR(F73-TODAY(),0))</f>
        <v/>
      </c>
      <c r="H73" s="6" t="n"/>
      <c r="I73" s="6" t="n"/>
      <c r="J73" s="6" t="n"/>
      <c r="K73" s="6">
        <f>IF(J73="","",IFERROR(J73-TODAY(),0))</f>
        <v/>
      </c>
      <c r="L73" s="6">
        <f>IF(OR(G73="",K73=""),"",IF(AND(G73&gt;30,K73&gt;30),"Conforme",IF(OR(G73&lt;15,K73&lt;15),"CRITIQUE","A régulariser")))</f>
        <v/>
      </c>
    </row>
    <row r="74">
      <c r="A74" s="4" t="n"/>
      <c r="B74" s="4">
        <f>IF(A74="","",VLOOKUP(A74,'F01 - _Données Expatriés'!$A$6:$L$15,2,FALSE))</f>
        <v/>
      </c>
      <c r="C74" s="4">
        <f>IF(A74="","",VLOOKUP(A74,'F01 - _Données Expatriés'!$A$6:$L$15,4,FALSE))</f>
        <v/>
      </c>
      <c r="D74" s="4" t="n"/>
      <c r="E74" s="4" t="n"/>
      <c r="F74" s="4" t="n"/>
      <c r="G74" s="4">
        <f>IF(F74="","",IFERROR(F74-TODAY(),0))</f>
        <v/>
      </c>
      <c r="H74" s="4" t="n"/>
      <c r="I74" s="4" t="n"/>
      <c r="J74" s="4" t="n"/>
      <c r="K74" s="4">
        <f>IF(J74="","",IFERROR(J74-TODAY(),0))</f>
        <v/>
      </c>
      <c r="L74" s="4">
        <f>IF(OR(G74="",K74=""),"",IF(AND(G74&gt;30,K74&gt;30),"Conforme",IF(OR(G74&lt;15,K74&lt;15),"CRITIQUE","A régulariser")))</f>
        <v/>
      </c>
    </row>
    <row r="75">
      <c r="A75" s="6" t="n"/>
      <c r="B75" s="6">
        <f>IF(A75="","",VLOOKUP(A75,'F01 - _Données Expatriés'!$A$6:$L$15,2,FALSE))</f>
        <v/>
      </c>
      <c r="C75" s="6">
        <f>IF(A75="","",VLOOKUP(A75,'F01 - _Données Expatriés'!$A$6:$L$15,4,FALSE))</f>
        <v/>
      </c>
      <c r="D75" s="6" t="n"/>
      <c r="E75" s="6" t="n"/>
      <c r="F75" s="6" t="n"/>
      <c r="G75" s="6">
        <f>IF(F75="","",IFERROR(F75-TODAY(),0))</f>
        <v/>
      </c>
      <c r="H75" s="6" t="n"/>
      <c r="I75" s="6" t="n"/>
      <c r="J75" s="6" t="n"/>
      <c r="K75" s="6">
        <f>IF(J75="","",IFERROR(J75-TODAY(),0))</f>
        <v/>
      </c>
      <c r="L75" s="6">
        <f>IF(OR(G75="",K75=""),"",IF(AND(G75&gt;30,K75&gt;30),"Conforme",IF(OR(G75&lt;15,K75&lt;15),"CRITIQUE","A régulariser")))</f>
        <v/>
      </c>
    </row>
    <row r="76">
      <c r="A76" s="4" t="n"/>
      <c r="B76" s="4">
        <f>IF(A76="","",VLOOKUP(A76,'F01 - _Données Expatriés'!$A$6:$L$15,2,FALSE))</f>
        <v/>
      </c>
      <c r="C76" s="4">
        <f>IF(A76="","",VLOOKUP(A76,'F01 - _Données Expatriés'!$A$6:$L$15,4,FALSE))</f>
        <v/>
      </c>
      <c r="D76" s="4" t="n"/>
      <c r="E76" s="4" t="n"/>
      <c r="F76" s="4" t="n"/>
      <c r="G76" s="4">
        <f>IF(F76="","",IFERROR(F76-TODAY(),0))</f>
        <v/>
      </c>
      <c r="H76" s="4" t="n"/>
      <c r="I76" s="4" t="n"/>
      <c r="J76" s="4" t="n"/>
      <c r="K76" s="4">
        <f>IF(J76="","",IFERROR(J76-TODAY(),0))</f>
        <v/>
      </c>
      <c r="L76" s="4">
        <f>IF(OR(G76="",K76=""),"",IF(AND(G76&gt;30,K76&gt;30),"Conforme",IF(OR(G76&lt;15,K76&lt;15),"CRITIQUE","A régulariser")))</f>
        <v/>
      </c>
    </row>
    <row r="77">
      <c r="A77" s="6" t="n"/>
      <c r="B77" s="6">
        <f>IF(A77="","",VLOOKUP(A77,'F01 - _Données Expatriés'!$A$6:$L$15,2,FALSE))</f>
        <v/>
      </c>
      <c r="C77" s="6">
        <f>IF(A77="","",VLOOKUP(A77,'F01 - _Données Expatriés'!$A$6:$L$15,4,FALSE))</f>
        <v/>
      </c>
      <c r="D77" s="6" t="n"/>
      <c r="E77" s="6" t="n"/>
      <c r="F77" s="6" t="n"/>
      <c r="G77" s="6">
        <f>IF(F77="","",IFERROR(F77-TODAY(),0))</f>
        <v/>
      </c>
      <c r="H77" s="6" t="n"/>
      <c r="I77" s="6" t="n"/>
      <c r="J77" s="6" t="n"/>
      <c r="K77" s="6">
        <f>IF(J77="","",IFERROR(J77-TODAY(),0))</f>
        <v/>
      </c>
      <c r="L77" s="6">
        <f>IF(OR(G77="",K77=""),"",IF(AND(G77&gt;30,K77&gt;30),"Conforme",IF(OR(G77&lt;15,K77&lt;15),"CRITIQUE","A régulariser")))</f>
        <v/>
      </c>
    </row>
    <row r="78">
      <c r="A78" s="4" t="n"/>
      <c r="B78" s="4">
        <f>IF(A78="","",VLOOKUP(A78,'F01 - _Données Expatriés'!$A$6:$L$15,2,FALSE))</f>
        <v/>
      </c>
      <c r="C78" s="4">
        <f>IF(A78="","",VLOOKUP(A78,'F01 - _Données Expatriés'!$A$6:$L$15,4,FALSE))</f>
        <v/>
      </c>
      <c r="D78" s="4" t="n"/>
      <c r="E78" s="4" t="n"/>
      <c r="F78" s="4" t="n"/>
      <c r="G78" s="4">
        <f>IF(F78="","",IFERROR(F78-TODAY(),0))</f>
        <v/>
      </c>
      <c r="H78" s="4" t="n"/>
      <c r="I78" s="4" t="n"/>
      <c r="J78" s="4" t="n"/>
      <c r="K78" s="4">
        <f>IF(J78="","",IFERROR(J78-TODAY(),0))</f>
        <v/>
      </c>
      <c r="L78" s="4">
        <f>IF(OR(G78="",K78=""),"",IF(AND(G78&gt;30,K78&gt;30),"Conforme",IF(OR(G78&lt;15,K78&lt;15),"CRITIQUE","A régulariser")))</f>
        <v/>
      </c>
    </row>
    <row r="79">
      <c r="A79" s="6" t="n"/>
      <c r="B79" s="6">
        <f>IF(A79="","",VLOOKUP(A79,'F01 - _Données Expatriés'!$A$6:$L$15,2,FALSE))</f>
        <v/>
      </c>
      <c r="C79" s="6">
        <f>IF(A79="","",VLOOKUP(A79,'F01 - _Données Expatriés'!$A$6:$L$15,4,FALSE))</f>
        <v/>
      </c>
      <c r="D79" s="6" t="n"/>
      <c r="E79" s="6" t="n"/>
      <c r="F79" s="6" t="n"/>
      <c r="G79" s="6">
        <f>IF(F79="","",IFERROR(F79-TODAY(),0))</f>
        <v/>
      </c>
      <c r="H79" s="6" t="n"/>
      <c r="I79" s="6" t="n"/>
      <c r="J79" s="6" t="n"/>
      <c r="K79" s="6">
        <f>IF(J79="","",IFERROR(J79-TODAY(),0))</f>
        <v/>
      </c>
      <c r="L79" s="6">
        <f>IF(OR(G79="",K79=""),"",IF(AND(G79&gt;30,K79&gt;30),"Conforme",IF(OR(G79&lt;15,K79&lt;15),"CRITIQUE","A régulariser")))</f>
        <v/>
      </c>
    </row>
    <row r="80">
      <c r="A80" s="4" t="n"/>
      <c r="B80" s="4">
        <f>IF(A80="","",VLOOKUP(A80,'F01 - _Données Expatriés'!$A$6:$L$15,2,FALSE))</f>
        <v/>
      </c>
      <c r="C80" s="4">
        <f>IF(A80="","",VLOOKUP(A80,'F01 - _Données Expatriés'!$A$6:$L$15,4,FALSE))</f>
        <v/>
      </c>
      <c r="D80" s="4" t="n"/>
      <c r="E80" s="4" t="n"/>
      <c r="F80" s="4" t="n"/>
      <c r="G80" s="4">
        <f>IF(F80="","",IFERROR(F80-TODAY(),0))</f>
        <v/>
      </c>
      <c r="H80" s="4" t="n"/>
      <c r="I80" s="4" t="n"/>
      <c r="J80" s="4" t="n"/>
      <c r="K80" s="4">
        <f>IF(J80="","",IFERROR(J80-TODAY(),0))</f>
        <v/>
      </c>
      <c r="L80" s="4">
        <f>IF(OR(G80="",K80=""),"",IF(AND(G80&gt;30,K80&gt;30),"Conforme",IF(OR(G80&lt;15,K80&lt;15),"CRITIQUE","A régulariser")))</f>
        <v/>
      </c>
    </row>
    <row r="81">
      <c r="A81" s="6" t="n"/>
      <c r="B81" s="6">
        <f>IF(A81="","",VLOOKUP(A81,'F01 - _Données Expatriés'!$A$6:$L$15,2,FALSE))</f>
        <v/>
      </c>
      <c r="C81" s="6">
        <f>IF(A81="","",VLOOKUP(A81,'F01 - _Données Expatriés'!$A$6:$L$15,4,FALSE))</f>
        <v/>
      </c>
      <c r="D81" s="6" t="n"/>
      <c r="E81" s="6" t="n"/>
      <c r="F81" s="6" t="n"/>
      <c r="G81" s="6">
        <f>IF(F81="","",IFERROR(F81-TODAY(),0))</f>
        <v/>
      </c>
      <c r="H81" s="6" t="n"/>
      <c r="I81" s="6" t="n"/>
      <c r="J81" s="6" t="n"/>
      <c r="K81" s="6">
        <f>IF(J81="","",IFERROR(J81-TODAY(),0))</f>
        <v/>
      </c>
      <c r="L81" s="6">
        <f>IF(OR(G81="",K81=""),"",IF(AND(G81&gt;30,K81&gt;30),"Conforme",IF(OR(G81&lt;15,K81&lt;15),"CRITIQUE","A régulariser")))</f>
        <v/>
      </c>
    </row>
    <row r="82">
      <c r="A82" s="4" t="n"/>
      <c r="B82" s="4">
        <f>IF(A82="","",VLOOKUP(A82,'F01 - _Données Expatriés'!$A$6:$L$15,2,FALSE))</f>
        <v/>
      </c>
      <c r="C82" s="4">
        <f>IF(A82="","",VLOOKUP(A82,'F01 - _Données Expatriés'!$A$6:$L$15,4,FALSE))</f>
        <v/>
      </c>
      <c r="D82" s="4" t="n"/>
      <c r="E82" s="4" t="n"/>
      <c r="F82" s="4" t="n"/>
      <c r="G82" s="4">
        <f>IF(F82="","",IFERROR(F82-TODAY(),0))</f>
        <v/>
      </c>
      <c r="H82" s="4" t="n"/>
      <c r="I82" s="4" t="n"/>
      <c r="J82" s="4" t="n"/>
      <c r="K82" s="4">
        <f>IF(J82="","",IFERROR(J82-TODAY(),0))</f>
        <v/>
      </c>
      <c r="L82" s="4">
        <f>IF(OR(G82="",K82=""),"",IF(AND(G82&gt;30,K82&gt;30),"Conforme",IF(OR(G82&lt;15,K82&lt;15),"CRITIQUE","A régulariser")))</f>
        <v/>
      </c>
    </row>
    <row r="83">
      <c r="A83" s="6" t="n"/>
      <c r="B83" s="6">
        <f>IF(A83="","",VLOOKUP(A83,'F01 - _Données Expatriés'!$A$6:$L$15,2,FALSE))</f>
        <v/>
      </c>
      <c r="C83" s="6">
        <f>IF(A83="","",VLOOKUP(A83,'F01 - _Données Expatriés'!$A$6:$L$15,4,FALSE))</f>
        <v/>
      </c>
      <c r="D83" s="6" t="n"/>
      <c r="E83" s="6" t="n"/>
      <c r="F83" s="6" t="n"/>
      <c r="G83" s="6">
        <f>IF(F83="","",IFERROR(F83-TODAY(),0))</f>
        <v/>
      </c>
      <c r="H83" s="6" t="n"/>
      <c r="I83" s="6" t="n"/>
      <c r="J83" s="6" t="n"/>
      <c r="K83" s="6">
        <f>IF(J83="","",IFERROR(J83-TODAY(),0))</f>
        <v/>
      </c>
      <c r="L83" s="6">
        <f>IF(OR(G83="",K83=""),"",IF(AND(G83&gt;30,K83&gt;30),"Conforme",IF(OR(G83&lt;15,K83&lt;15),"CRITIQUE","A régulariser")))</f>
        <v/>
      </c>
    </row>
    <row r="84">
      <c r="A84" s="4" t="n"/>
      <c r="B84" s="4">
        <f>IF(A84="","",VLOOKUP(A84,'F01 - _Données Expatriés'!$A$6:$L$15,2,FALSE))</f>
        <v/>
      </c>
      <c r="C84" s="4">
        <f>IF(A84="","",VLOOKUP(A84,'F01 - _Données Expatriés'!$A$6:$L$15,4,FALSE))</f>
        <v/>
      </c>
      <c r="D84" s="4" t="n"/>
      <c r="E84" s="4" t="n"/>
      <c r="F84" s="4" t="n"/>
      <c r="G84" s="4">
        <f>IF(F84="","",IFERROR(F84-TODAY(),0))</f>
        <v/>
      </c>
      <c r="H84" s="4" t="n"/>
      <c r="I84" s="4" t="n"/>
      <c r="J84" s="4" t="n"/>
      <c r="K84" s="4">
        <f>IF(J84="","",IFERROR(J84-TODAY(),0))</f>
        <v/>
      </c>
      <c r="L84" s="4">
        <f>IF(OR(G84="",K84=""),"",IF(AND(G84&gt;30,K84&gt;30),"Conforme",IF(OR(G84&lt;15,K84&lt;15),"CRITIQUE","A régulariser")))</f>
        <v/>
      </c>
    </row>
    <row r="85">
      <c r="A85" s="6" t="n"/>
      <c r="B85" s="6">
        <f>IF(A85="","",VLOOKUP(A85,'F01 - _Données Expatriés'!$A$6:$L$15,2,FALSE))</f>
        <v/>
      </c>
      <c r="C85" s="6">
        <f>IF(A85="","",VLOOKUP(A85,'F01 - _Données Expatriés'!$A$6:$L$15,4,FALSE))</f>
        <v/>
      </c>
      <c r="D85" s="6" t="n"/>
      <c r="E85" s="6" t="n"/>
      <c r="F85" s="6" t="n"/>
      <c r="G85" s="6">
        <f>IF(F85="","",IFERROR(F85-TODAY(),0))</f>
        <v/>
      </c>
      <c r="H85" s="6" t="n"/>
      <c r="I85" s="6" t="n"/>
      <c r="J85" s="6" t="n"/>
      <c r="K85" s="6">
        <f>IF(J85="","",IFERROR(J85-TODAY(),0))</f>
        <v/>
      </c>
      <c r="L85" s="6">
        <f>IF(OR(G85="",K85=""),"",IF(AND(G85&gt;30,K85&gt;30),"Conforme",IF(OR(G85&lt;15,K85&lt;15),"CRITIQUE","A régulariser")))</f>
        <v/>
      </c>
    </row>
    <row r="86">
      <c r="A86" s="4" t="n"/>
      <c r="B86" s="4">
        <f>IF(A86="","",VLOOKUP(A86,'F01 - _Données Expatriés'!$A$6:$L$15,2,FALSE))</f>
        <v/>
      </c>
      <c r="C86" s="4">
        <f>IF(A86="","",VLOOKUP(A86,'F01 - _Données Expatriés'!$A$6:$L$15,4,FALSE))</f>
        <v/>
      </c>
      <c r="D86" s="4" t="n"/>
      <c r="E86" s="4" t="n"/>
      <c r="F86" s="4" t="n"/>
      <c r="G86" s="4">
        <f>IF(F86="","",IFERROR(F86-TODAY(),0))</f>
        <v/>
      </c>
      <c r="H86" s="4" t="n"/>
      <c r="I86" s="4" t="n"/>
      <c r="J86" s="4" t="n"/>
      <c r="K86" s="4">
        <f>IF(J86="","",IFERROR(J86-TODAY(),0))</f>
        <v/>
      </c>
      <c r="L86" s="4">
        <f>IF(OR(G86="",K86=""),"",IF(AND(G86&gt;30,K86&gt;30),"Conforme",IF(OR(G86&lt;15,K86&lt;15),"CRITIQUE","A régulariser")))</f>
        <v/>
      </c>
    </row>
    <row r="87">
      <c r="A87" s="6" t="n"/>
      <c r="B87" s="6">
        <f>IF(A87="","",VLOOKUP(A87,'F01 - _Données Expatriés'!$A$6:$L$15,2,FALSE))</f>
        <v/>
      </c>
      <c r="C87" s="6">
        <f>IF(A87="","",VLOOKUP(A87,'F01 - _Données Expatriés'!$A$6:$L$15,4,FALSE))</f>
        <v/>
      </c>
      <c r="D87" s="6" t="n"/>
      <c r="E87" s="6" t="n"/>
      <c r="F87" s="6" t="n"/>
      <c r="G87" s="6">
        <f>IF(F87="","",IFERROR(F87-TODAY(),0))</f>
        <v/>
      </c>
      <c r="H87" s="6" t="n"/>
      <c r="I87" s="6" t="n"/>
      <c r="J87" s="6" t="n"/>
      <c r="K87" s="6">
        <f>IF(J87="","",IFERROR(J87-TODAY(),0))</f>
        <v/>
      </c>
      <c r="L87" s="6">
        <f>IF(OR(G87="",K87=""),"",IF(AND(G87&gt;30,K87&gt;30),"Conforme",IF(OR(G87&lt;15,K87&lt;15),"CRITIQUE","A régulariser")))</f>
        <v/>
      </c>
    </row>
    <row r="88">
      <c r="A88" s="4" t="n"/>
      <c r="B88" s="4">
        <f>IF(A88="","",VLOOKUP(A88,'F01 - _Données Expatriés'!$A$6:$L$15,2,FALSE))</f>
        <v/>
      </c>
      <c r="C88" s="4">
        <f>IF(A88="","",VLOOKUP(A88,'F01 - _Données Expatriés'!$A$6:$L$15,4,FALSE))</f>
        <v/>
      </c>
      <c r="D88" s="4" t="n"/>
      <c r="E88" s="4" t="n"/>
      <c r="F88" s="4" t="n"/>
      <c r="G88" s="4">
        <f>IF(F88="","",IFERROR(F88-TODAY(),0))</f>
        <v/>
      </c>
      <c r="H88" s="4" t="n"/>
      <c r="I88" s="4" t="n"/>
      <c r="J88" s="4" t="n"/>
      <c r="K88" s="4">
        <f>IF(J88="","",IFERROR(J88-TODAY(),0))</f>
        <v/>
      </c>
      <c r="L88" s="4">
        <f>IF(OR(G88="",K88=""),"",IF(AND(G88&gt;30,K88&gt;30),"Conforme",IF(OR(G88&lt;15,K88&lt;15),"CRITIQUE","A régulariser")))</f>
        <v/>
      </c>
    </row>
    <row r="89">
      <c r="A89" s="6" t="n"/>
      <c r="B89" s="6">
        <f>IF(A89="","",VLOOKUP(A89,'F01 - _Données Expatriés'!$A$6:$L$15,2,FALSE))</f>
        <v/>
      </c>
      <c r="C89" s="6">
        <f>IF(A89="","",VLOOKUP(A89,'F01 - _Données Expatriés'!$A$6:$L$15,4,FALSE))</f>
        <v/>
      </c>
      <c r="D89" s="6" t="n"/>
      <c r="E89" s="6" t="n"/>
      <c r="F89" s="6" t="n"/>
      <c r="G89" s="6">
        <f>IF(F89="","",IFERROR(F89-TODAY(),0))</f>
        <v/>
      </c>
      <c r="H89" s="6" t="n"/>
      <c r="I89" s="6" t="n"/>
      <c r="J89" s="6" t="n"/>
      <c r="K89" s="6">
        <f>IF(J89="","",IFERROR(J89-TODAY(),0))</f>
        <v/>
      </c>
      <c r="L89" s="6">
        <f>IF(OR(G89="",K89=""),"",IF(AND(G89&gt;30,K89&gt;30),"Conforme",IF(OR(G89&lt;15,K89&lt;15),"CRITIQUE","A régulariser")))</f>
        <v/>
      </c>
    </row>
    <row r="90">
      <c r="A90" s="4" t="n"/>
      <c r="B90" s="4">
        <f>IF(A90="","",VLOOKUP(A90,'F01 - _Données Expatriés'!$A$6:$L$15,2,FALSE))</f>
        <v/>
      </c>
      <c r="C90" s="4">
        <f>IF(A90="","",VLOOKUP(A90,'F01 - _Données Expatriés'!$A$6:$L$15,4,FALSE))</f>
        <v/>
      </c>
      <c r="D90" s="4" t="n"/>
      <c r="E90" s="4" t="n"/>
      <c r="F90" s="4" t="n"/>
      <c r="G90" s="4">
        <f>IF(F90="","",IFERROR(F90-TODAY(),0))</f>
        <v/>
      </c>
      <c r="H90" s="4" t="n"/>
      <c r="I90" s="4" t="n"/>
      <c r="J90" s="4" t="n"/>
      <c r="K90" s="4">
        <f>IF(J90="","",IFERROR(J90-TODAY(),0))</f>
        <v/>
      </c>
      <c r="L90" s="4">
        <f>IF(OR(G90="",K90=""),"",IF(AND(G90&gt;30,K90&gt;30),"Conforme",IF(OR(G90&lt;15,K90&lt;15),"CRITIQUE","A régulariser")))</f>
        <v/>
      </c>
    </row>
    <row r="91">
      <c r="A91" s="6" t="n"/>
      <c r="B91" s="6">
        <f>IF(A91="","",VLOOKUP(A91,'F01 - _Données Expatriés'!$A$6:$L$15,2,FALSE))</f>
        <v/>
      </c>
      <c r="C91" s="6">
        <f>IF(A91="","",VLOOKUP(A91,'F01 - _Données Expatriés'!$A$6:$L$15,4,FALSE))</f>
        <v/>
      </c>
      <c r="D91" s="6" t="n"/>
      <c r="E91" s="6" t="n"/>
      <c r="F91" s="6" t="n"/>
      <c r="G91" s="6">
        <f>IF(F91="","",IFERROR(F91-TODAY(),0))</f>
        <v/>
      </c>
      <c r="H91" s="6" t="n"/>
      <c r="I91" s="6" t="n"/>
      <c r="J91" s="6" t="n"/>
      <c r="K91" s="6">
        <f>IF(J91="","",IFERROR(J91-TODAY(),0))</f>
        <v/>
      </c>
      <c r="L91" s="6">
        <f>IF(OR(G91="",K91=""),"",IF(AND(G91&gt;30,K91&gt;30),"Conforme",IF(OR(G91&lt;15,K91&lt;15),"CRITIQUE","A régulariser")))</f>
        <v/>
      </c>
    </row>
    <row r="92">
      <c r="A92" s="4" t="n"/>
      <c r="B92" s="4">
        <f>IF(A92="","",VLOOKUP(A92,'F01 - _Données Expatriés'!$A$6:$L$15,2,FALSE))</f>
        <v/>
      </c>
      <c r="C92" s="4">
        <f>IF(A92="","",VLOOKUP(A92,'F01 - _Données Expatriés'!$A$6:$L$15,4,FALSE))</f>
        <v/>
      </c>
      <c r="D92" s="4" t="n"/>
      <c r="E92" s="4" t="n"/>
      <c r="F92" s="4" t="n"/>
      <c r="G92" s="4">
        <f>IF(F92="","",IFERROR(F92-TODAY(),0))</f>
        <v/>
      </c>
      <c r="H92" s="4" t="n"/>
      <c r="I92" s="4" t="n"/>
      <c r="J92" s="4" t="n"/>
      <c r="K92" s="4">
        <f>IF(J92="","",IFERROR(J92-TODAY(),0))</f>
        <v/>
      </c>
      <c r="L92" s="4">
        <f>IF(OR(G92="",K92=""),"",IF(AND(G92&gt;30,K92&gt;30),"Conforme",IF(OR(G92&lt;15,K92&lt;15),"CRITIQUE","A régulariser")))</f>
        <v/>
      </c>
    </row>
    <row r="93">
      <c r="A93" s="6" t="n"/>
      <c r="B93" s="6">
        <f>IF(A93="","",VLOOKUP(A93,'F01 - _Données Expatriés'!$A$6:$L$15,2,FALSE))</f>
        <v/>
      </c>
      <c r="C93" s="6">
        <f>IF(A93="","",VLOOKUP(A93,'F01 - _Données Expatriés'!$A$6:$L$15,4,FALSE))</f>
        <v/>
      </c>
      <c r="D93" s="6" t="n"/>
      <c r="E93" s="6" t="n"/>
      <c r="F93" s="6" t="n"/>
      <c r="G93" s="6">
        <f>IF(F93="","",IFERROR(F93-TODAY(),0))</f>
        <v/>
      </c>
      <c r="H93" s="6" t="n"/>
      <c r="I93" s="6" t="n"/>
      <c r="J93" s="6" t="n"/>
      <c r="K93" s="6">
        <f>IF(J93="","",IFERROR(J93-TODAY(),0))</f>
        <v/>
      </c>
      <c r="L93" s="6">
        <f>IF(OR(G93="",K93=""),"",IF(AND(G93&gt;30,K93&gt;30),"Conforme",IF(OR(G93&lt;15,K93&lt;15),"CRITIQUE","A régulariser")))</f>
        <v/>
      </c>
    </row>
    <row r="94">
      <c r="A94" s="4" t="n"/>
      <c r="B94" s="4">
        <f>IF(A94="","",VLOOKUP(A94,'F01 - _Données Expatriés'!$A$6:$L$15,2,FALSE))</f>
        <v/>
      </c>
      <c r="C94" s="4">
        <f>IF(A94="","",VLOOKUP(A94,'F01 - _Données Expatriés'!$A$6:$L$15,4,FALSE))</f>
        <v/>
      </c>
      <c r="D94" s="4" t="n"/>
      <c r="E94" s="4" t="n"/>
      <c r="F94" s="4" t="n"/>
      <c r="G94" s="4">
        <f>IF(F94="","",IFERROR(F94-TODAY(),0))</f>
        <v/>
      </c>
      <c r="H94" s="4" t="n"/>
      <c r="I94" s="4" t="n"/>
      <c r="J94" s="4" t="n"/>
      <c r="K94" s="4">
        <f>IF(J94="","",IFERROR(J94-TODAY(),0))</f>
        <v/>
      </c>
      <c r="L94" s="4">
        <f>IF(OR(G94="",K94=""),"",IF(AND(G94&gt;30,K94&gt;30),"Conforme",IF(OR(G94&lt;15,K94&lt;15),"CRITIQUE","A régulariser")))</f>
        <v/>
      </c>
    </row>
    <row r="95">
      <c r="A95" s="6" t="n"/>
      <c r="B95" s="6">
        <f>IF(A95="","",VLOOKUP(A95,'F01 - _Données Expatriés'!$A$6:$L$15,2,FALSE))</f>
        <v/>
      </c>
      <c r="C95" s="6">
        <f>IF(A95="","",VLOOKUP(A95,'F01 - _Données Expatriés'!$A$6:$L$15,4,FALSE))</f>
        <v/>
      </c>
      <c r="D95" s="6" t="n"/>
      <c r="E95" s="6" t="n"/>
      <c r="F95" s="6" t="n"/>
      <c r="G95" s="6">
        <f>IF(F95="","",IFERROR(F95-TODAY(),0))</f>
        <v/>
      </c>
      <c r="H95" s="6" t="n"/>
      <c r="I95" s="6" t="n"/>
      <c r="J95" s="6" t="n"/>
      <c r="K95" s="6">
        <f>IF(J95="","",IFERROR(J95-TODAY(),0))</f>
        <v/>
      </c>
      <c r="L95" s="6">
        <f>IF(OR(G95="",K95=""),"",IF(AND(G95&gt;30,K95&gt;30),"Conforme",IF(OR(G95&lt;15,K95&lt;15),"CRITIQUE","A régulariser")))</f>
        <v/>
      </c>
    </row>
    <row r="96">
      <c r="A96" s="4" t="n"/>
      <c r="B96" s="4">
        <f>IF(A96="","",VLOOKUP(A96,'F01 - _Données Expatriés'!$A$6:$L$15,2,FALSE))</f>
        <v/>
      </c>
      <c r="C96" s="4">
        <f>IF(A96="","",VLOOKUP(A96,'F01 - _Données Expatriés'!$A$6:$L$15,4,FALSE))</f>
        <v/>
      </c>
      <c r="D96" s="4" t="n"/>
      <c r="E96" s="4" t="n"/>
      <c r="F96" s="4" t="n"/>
      <c r="G96" s="4">
        <f>IF(F96="","",IFERROR(F96-TODAY(),0))</f>
        <v/>
      </c>
      <c r="H96" s="4" t="n"/>
      <c r="I96" s="4" t="n"/>
      <c r="J96" s="4" t="n"/>
      <c r="K96" s="4">
        <f>IF(J96="","",IFERROR(J96-TODAY(),0))</f>
        <v/>
      </c>
      <c r="L96" s="4">
        <f>IF(OR(G96="",K96=""),"",IF(AND(G96&gt;30,K96&gt;30),"Conforme",IF(OR(G96&lt;15,K96&lt;15),"CRITIQUE","A régulariser")))</f>
        <v/>
      </c>
    </row>
    <row r="97">
      <c r="A97" s="6" t="n"/>
      <c r="B97" s="6">
        <f>IF(A97="","",VLOOKUP(A97,'F01 - _Données Expatriés'!$A$6:$L$15,2,FALSE))</f>
        <v/>
      </c>
      <c r="C97" s="6">
        <f>IF(A97="","",VLOOKUP(A97,'F01 - _Données Expatriés'!$A$6:$L$15,4,FALSE))</f>
        <v/>
      </c>
      <c r="D97" s="6" t="n"/>
      <c r="E97" s="6" t="n"/>
      <c r="F97" s="6" t="n"/>
      <c r="G97" s="6">
        <f>IF(F97="","",IFERROR(F97-TODAY(),0))</f>
        <v/>
      </c>
      <c r="H97" s="6" t="n"/>
      <c r="I97" s="6" t="n"/>
      <c r="J97" s="6" t="n"/>
      <c r="K97" s="6">
        <f>IF(J97="","",IFERROR(J97-TODAY(),0))</f>
        <v/>
      </c>
      <c r="L97" s="6">
        <f>IF(OR(G97="",K97=""),"",IF(AND(G97&gt;30,K97&gt;30),"Conforme",IF(OR(G97&lt;15,K97&lt;15),"CRITIQUE","A régulariser")))</f>
        <v/>
      </c>
    </row>
    <row r="98">
      <c r="A98" s="4" t="n"/>
      <c r="B98" s="4">
        <f>IF(A98="","",VLOOKUP(A98,'F01 - _Données Expatriés'!$A$6:$L$15,2,FALSE))</f>
        <v/>
      </c>
      <c r="C98" s="4">
        <f>IF(A98="","",VLOOKUP(A98,'F01 - _Données Expatriés'!$A$6:$L$15,4,FALSE))</f>
        <v/>
      </c>
      <c r="D98" s="4" t="n"/>
      <c r="E98" s="4" t="n"/>
      <c r="F98" s="4" t="n"/>
      <c r="G98" s="4">
        <f>IF(F98="","",IFERROR(F98-TODAY(),0))</f>
        <v/>
      </c>
      <c r="H98" s="4" t="n"/>
      <c r="I98" s="4" t="n"/>
      <c r="J98" s="4" t="n"/>
      <c r="K98" s="4">
        <f>IF(J98="","",IFERROR(J98-TODAY(),0))</f>
        <v/>
      </c>
      <c r="L98" s="4">
        <f>IF(OR(G98="",K98=""),"",IF(AND(G98&gt;30,K98&gt;30),"Conforme",IF(OR(G98&lt;15,K98&lt;15),"CRITIQUE","A régulariser")))</f>
        <v/>
      </c>
    </row>
    <row r="99">
      <c r="A99" s="6" t="n"/>
      <c r="B99" s="6">
        <f>IF(A99="","",VLOOKUP(A99,'F01 - _Données Expatriés'!$A$6:$L$15,2,FALSE))</f>
        <v/>
      </c>
      <c r="C99" s="6">
        <f>IF(A99="","",VLOOKUP(A99,'F01 - _Données Expatriés'!$A$6:$L$15,4,FALSE))</f>
        <v/>
      </c>
      <c r="D99" s="6" t="n"/>
      <c r="E99" s="6" t="n"/>
      <c r="F99" s="6" t="n"/>
      <c r="G99" s="6">
        <f>IF(F99="","",IFERROR(F99-TODAY(),0))</f>
        <v/>
      </c>
      <c r="H99" s="6" t="n"/>
      <c r="I99" s="6" t="n"/>
      <c r="J99" s="6" t="n"/>
      <c r="K99" s="6">
        <f>IF(J99="","",IFERROR(J99-TODAY(),0))</f>
        <v/>
      </c>
      <c r="L99" s="6">
        <f>IF(OR(G99="",K99=""),"",IF(AND(G99&gt;30,K99&gt;30),"Conforme",IF(OR(G99&lt;15,K99&lt;15),"CRITIQUE","A régulariser")))</f>
        <v/>
      </c>
    </row>
    <row r="100">
      <c r="A100" s="4" t="n"/>
      <c r="B100" s="4">
        <f>IF(A100="","",VLOOKUP(A100,'F01 - _Données Expatriés'!$A$6:$L$15,2,FALSE))</f>
        <v/>
      </c>
      <c r="C100" s="4">
        <f>IF(A100="","",VLOOKUP(A100,'F01 - _Données Expatriés'!$A$6:$L$15,4,FALSE))</f>
        <v/>
      </c>
      <c r="D100" s="4" t="n"/>
      <c r="E100" s="4" t="n"/>
      <c r="F100" s="4" t="n"/>
      <c r="G100" s="4">
        <f>IF(F100="","",IFERROR(F100-TODAY(),0))</f>
        <v/>
      </c>
      <c r="H100" s="4" t="n"/>
      <c r="I100" s="4" t="n"/>
      <c r="J100" s="4" t="n"/>
      <c r="K100" s="4">
        <f>IF(J100="","",IFERROR(J100-TODAY(),0))</f>
        <v/>
      </c>
      <c r="L100" s="4">
        <f>IF(OR(G100="",K100=""),"",IF(AND(G100&gt;30,K100&gt;30),"Conforme",IF(OR(G100&lt;15,K100&lt;15),"CRITIQUE","A régulariser")))</f>
        <v/>
      </c>
    </row>
    <row r="101">
      <c r="A101" s="6" t="n"/>
      <c r="B101" s="6">
        <f>IF(A101="","",VLOOKUP(A101,'F01 - _Données Expatriés'!$A$6:$L$15,2,FALSE))</f>
        <v/>
      </c>
      <c r="C101" s="6">
        <f>IF(A101="","",VLOOKUP(A101,'F01 - _Données Expatriés'!$A$6:$L$15,4,FALSE))</f>
        <v/>
      </c>
      <c r="D101" s="6" t="n"/>
      <c r="E101" s="6" t="n"/>
      <c r="F101" s="6" t="n"/>
      <c r="G101" s="6">
        <f>IF(F101="","",IFERROR(F101-TODAY(),0))</f>
        <v/>
      </c>
      <c r="H101" s="6" t="n"/>
      <c r="I101" s="6" t="n"/>
      <c r="J101" s="6" t="n"/>
      <c r="K101" s="6">
        <f>IF(J101="","",IFERROR(J101-TODAY(),0))</f>
        <v/>
      </c>
      <c r="L101" s="6">
        <f>IF(OR(G101="",K101=""),"",IF(AND(G101&gt;30,K101&gt;30),"Conforme",IF(OR(G101&lt;15,K101&lt;15),"CRITIQUE","A régulariser")))</f>
        <v/>
      </c>
    </row>
    <row r="102">
      <c r="A102" s="4" t="n"/>
      <c r="B102" s="4">
        <f>IF(A102="","",VLOOKUP(A102,'F01 - _Données Expatriés'!$A$6:$L$15,2,FALSE))</f>
        <v/>
      </c>
      <c r="C102" s="4">
        <f>IF(A102="","",VLOOKUP(A102,'F01 - _Données Expatriés'!$A$6:$L$15,4,FALSE))</f>
        <v/>
      </c>
      <c r="D102" s="4" t="n"/>
      <c r="E102" s="4" t="n"/>
      <c r="F102" s="4" t="n"/>
      <c r="G102" s="4">
        <f>IF(F102="","",IFERROR(F102-TODAY(),0))</f>
        <v/>
      </c>
      <c r="H102" s="4" t="n"/>
      <c r="I102" s="4" t="n"/>
      <c r="J102" s="4" t="n"/>
      <c r="K102" s="4">
        <f>IF(J102="","",IFERROR(J102-TODAY(),0))</f>
        <v/>
      </c>
      <c r="L102" s="4">
        <f>IF(OR(G102="",K102=""),"",IF(AND(G102&gt;30,K102&gt;30),"Conforme",IF(OR(G102&lt;15,K102&lt;15),"CRITIQUE","A régulariser")))</f>
        <v/>
      </c>
    </row>
    <row r="103">
      <c r="A103" s="6" t="n"/>
      <c r="B103" s="6">
        <f>IF(A103="","",VLOOKUP(A103,'F01 - _Données Expatriés'!$A$6:$L$15,2,FALSE))</f>
        <v/>
      </c>
      <c r="C103" s="6">
        <f>IF(A103="","",VLOOKUP(A103,'F01 - _Données Expatriés'!$A$6:$L$15,4,FALSE))</f>
        <v/>
      </c>
      <c r="D103" s="6" t="n"/>
      <c r="E103" s="6" t="n"/>
      <c r="F103" s="6" t="n"/>
      <c r="G103" s="6">
        <f>IF(F103="","",IFERROR(F103-TODAY(),0))</f>
        <v/>
      </c>
      <c r="H103" s="6" t="n"/>
      <c r="I103" s="6" t="n"/>
      <c r="J103" s="6" t="n"/>
      <c r="K103" s="6">
        <f>IF(J103="","",IFERROR(J103-TODAY(),0))</f>
        <v/>
      </c>
      <c r="L103" s="6">
        <f>IF(OR(G103="",K103=""),"",IF(AND(G103&gt;30,K103&gt;30),"Conforme",IF(OR(G103&lt;15,K103&lt;15),"CRITIQUE","A régulariser")))</f>
        <v/>
      </c>
    </row>
    <row r="104">
      <c r="A104" s="4" t="n"/>
      <c r="B104" s="4">
        <f>IF(A104="","",VLOOKUP(A104,'F01 - _Données Expatriés'!$A$6:$L$15,2,FALSE))</f>
        <v/>
      </c>
      <c r="C104" s="4">
        <f>IF(A104="","",VLOOKUP(A104,'F01 - _Données Expatriés'!$A$6:$L$15,4,FALSE))</f>
        <v/>
      </c>
      <c r="D104" s="4" t="n"/>
      <c r="E104" s="4" t="n"/>
      <c r="F104" s="4" t="n"/>
      <c r="G104" s="4">
        <f>IF(F104="","",IFERROR(F104-TODAY(),0))</f>
        <v/>
      </c>
      <c r="H104" s="4" t="n"/>
      <c r="I104" s="4" t="n"/>
      <c r="J104" s="4" t="n"/>
      <c r="K104" s="4">
        <f>IF(J104="","",IFERROR(J104-TODAY(),0))</f>
        <v/>
      </c>
      <c r="L104" s="4">
        <f>IF(OR(G104="",K104=""),"",IF(AND(G104&gt;30,K104&gt;30),"Conforme",IF(OR(G104&lt;15,K104&lt;15),"CRITIQUE","A régulariser")))</f>
        <v/>
      </c>
    </row>
    <row r="105">
      <c r="A105" s="6" t="n"/>
      <c r="B105" s="6">
        <f>IF(A105="","",VLOOKUP(A105,'F01 - _Données Expatriés'!$A$6:$L$15,2,FALSE))</f>
        <v/>
      </c>
      <c r="C105" s="6">
        <f>IF(A105="","",VLOOKUP(A105,'F01 - _Données Expatriés'!$A$6:$L$15,4,FALSE))</f>
        <v/>
      </c>
      <c r="D105" s="6" t="n"/>
      <c r="E105" s="6" t="n"/>
      <c r="F105" s="6" t="n"/>
      <c r="G105" s="6">
        <f>IF(F105="","",IFERROR(F105-TODAY(),0))</f>
        <v/>
      </c>
      <c r="H105" s="6" t="n"/>
      <c r="I105" s="6" t="n"/>
      <c r="J105" s="6" t="n"/>
      <c r="K105" s="6">
        <f>IF(J105="","",IFERROR(J105-TODAY(),0))</f>
        <v/>
      </c>
      <c r="L105" s="6">
        <f>IF(OR(G105="",K105=""),"",IF(AND(G105&gt;30,K105&gt;30),"Conforme",IF(OR(G105&lt;15,K105&lt;15),"CRITIQUE","A régulariser")))</f>
        <v/>
      </c>
    </row>
    <row r="106">
      <c r="A106" s="4" t="n"/>
      <c r="B106" s="4">
        <f>IF(A106="","",VLOOKUP(A106,'F01 - _Données Expatriés'!$A$6:$L$15,2,FALSE))</f>
        <v/>
      </c>
      <c r="C106" s="4">
        <f>IF(A106="","",VLOOKUP(A106,'F01 - _Données Expatriés'!$A$6:$L$15,4,FALSE))</f>
        <v/>
      </c>
      <c r="D106" s="4" t="n"/>
      <c r="E106" s="4" t="n"/>
      <c r="F106" s="4" t="n"/>
      <c r="G106" s="4">
        <f>IF(F106="","",IFERROR(F106-TODAY(),0))</f>
        <v/>
      </c>
      <c r="H106" s="4" t="n"/>
      <c r="I106" s="4" t="n"/>
      <c r="J106" s="4" t="n"/>
      <c r="K106" s="4">
        <f>IF(J106="","",IFERROR(J106-TODAY(),0))</f>
        <v/>
      </c>
      <c r="L106" s="4">
        <f>IF(OR(G106="",K106=""),"",IF(AND(G106&gt;30,K106&gt;30),"Conforme",IF(OR(G106&lt;15,K106&lt;15),"CRITIQUE","A régulariser")))</f>
        <v/>
      </c>
    </row>
    <row r="107">
      <c r="A107" s="6" t="n"/>
      <c r="B107" s="6">
        <f>IF(A107="","",VLOOKUP(A107,'F01 - _Données Expatriés'!$A$6:$L$15,2,FALSE))</f>
        <v/>
      </c>
      <c r="C107" s="6">
        <f>IF(A107="","",VLOOKUP(A107,'F01 - _Données Expatriés'!$A$6:$L$15,4,FALSE))</f>
        <v/>
      </c>
      <c r="D107" s="6" t="n"/>
      <c r="E107" s="6" t="n"/>
      <c r="F107" s="6" t="n"/>
      <c r="G107" s="6">
        <f>IF(F107="","",IFERROR(F107-TODAY(),0))</f>
        <v/>
      </c>
      <c r="H107" s="6" t="n"/>
      <c r="I107" s="6" t="n"/>
      <c r="J107" s="6" t="n"/>
      <c r="K107" s="6">
        <f>IF(J107="","",IFERROR(J107-TODAY(),0))</f>
        <v/>
      </c>
      <c r="L107" s="6">
        <f>IF(OR(G107="",K107=""),"",IF(AND(G107&gt;30,K107&gt;30),"Conforme",IF(OR(G107&lt;15,K107&lt;15),"CRITIQUE","A régulariser")))</f>
        <v/>
      </c>
    </row>
    <row r="108">
      <c r="A108" s="4" t="n"/>
      <c r="B108" s="4">
        <f>IF(A108="","",VLOOKUP(A108,'F01 - _Données Expatriés'!$A$6:$L$15,2,FALSE))</f>
        <v/>
      </c>
      <c r="C108" s="4">
        <f>IF(A108="","",VLOOKUP(A108,'F01 - _Données Expatriés'!$A$6:$L$15,4,FALSE))</f>
        <v/>
      </c>
      <c r="D108" s="4" t="n"/>
      <c r="E108" s="4" t="n"/>
      <c r="F108" s="4" t="n"/>
      <c r="G108" s="4">
        <f>IF(F108="","",IFERROR(F108-TODAY(),0))</f>
        <v/>
      </c>
      <c r="H108" s="4" t="n"/>
      <c r="I108" s="4" t="n"/>
      <c r="J108" s="4" t="n"/>
      <c r="K108" s="4">
        <f>IF(J108="","",IFERROR(J108-TODAY(),0))</f>
        <v/>
      </c>
      <c r="L108" s="4">
        <f>IF(OR(G108="",K108=""),"",IF(AND(G108&gt;30,K108&gt;30),"Conforme",IF(OR(G108&lt;15,K108&lt;15),"CRITIQUE","A régulariser")))</f>
        <v/>
      </c>
    </row>
    <row r="109">
      <c r="A109" s="6" t="n"/>
      <c r="B109" s="6">
        <f>IF(A109="","",VLOOKUP(A109,'F01 - _Données Expatriés'!$A$6:$L$15,2,FALSE))</f>
        <v/>
      </c>
      <c r="C109" s="6">
        <f>IF(A109="","",VLOOKUP(A109,'F01 - _Données Expatriés'!$A$6:$L$15,4,FALSE))</f>
        <v/>
      </c>
      <c r="D109" s="6" t="n"/>
      <c r="E109" s="6" t="n"/>
      <c r="F109" s="6" t="n"/>
      <c r="G109" s="6">
        <f>IF(F109="","",IFERROR(F109-TODAY(),0))</f>
        <v/>
      </c>
      <c r="H109" s="6" t="n"/>
      <c r="I109" s="6" t="n"/>
      <c r="J109" s="6" t="n"/>
      <c r="K109" s="6">
        <f>IF(J109="","",IFERROR(J109-TODAY(),0))</f>
        <v/>
      </c>
      <c r="L109" s="6">
        <f>IF(OR(G109="",K109=""),"",IF(AND(G109&gt;30,K109&gt;30),"Conforme",IF(OR(G109&lt;15,K109&lt;15),"CRITIQUE","A régulariser")))</f>
        <v/>
      </c>
    </row>
    <row r="110">
      <c r="A110" s="4" t="n"/>
      <c r="B110" s="4">
        <f>IF(A110="","",VLOOKUP(A110,'F01 - _Données Expatriés'!$A$6:$L$15,2,FALSE))</f>
        <v/>
      </c>
      <c r="C110" s="4">
        <f>IF(A110="","",VLOOKUP(A110,'F01 - _Données Expatriés'!$A$6:$L$15,4,FALSE))</f>
        <v/>
      </c>
      <c r="D110" s="4" t="n"/>
      <c r="E110" s="4" t="n"/>
      <c r="F110" s="4" t="n"/>
      <c r="G110" s="4">
        <f>IF(F110="","",IFERROR(F110-TODAY(),0))</f>
        <v/>
      </c>
      <c r="H110" s="4" t="n"/>
      <c r="I110" s="4" t="n"/>
      <c r="J110" s="4" t="n"/>
      <c r="K110" s="4">
        <f>IF(J110="","",IFERROR(J110-TODAY(),0))</f>
        <v/>
      </c>
      <c r="L110" s="4">
        <f>IF(OR(G110="",K110=""),"",IF(AND(G110&gt;30,K110&gt;30),"Conforme",IF(OR(G110&lt;15,K110&lt;15),"CRITIQUE","A régulariser")))</f>
        <v/>
      </c>
    </row>
    <row r="111">
      <c r="A111" s="6" t="n"/>
      <c r="B111" s="6">
        <f>IF(A111="","",VLOOKUP(A111,'F01 - _Données Expatriés'!$A$6:$L$15,2,FALSE))</f>
        <v/>
      </c>
      <c r="C111" s="6">
        <f>IF(A111="","",VLOOKUP(A111,'F01 - _Données Expatriés'!$A$6:$L$15,4,FALSE))</f>
        <v/>
      </c>
      <c r="D111" s="6" t="n"/>
      <c r="E111" s="6" t="n"/>
      <c r="F111" s="6" t="n"/>
      <c r="G111" s="6">
        <f>IF(F111="","",IFERROR(F111-TODAY(),0))</f>
        <v/>
      </c>
      <c r="H111" s="6" t="n"/>
      <c r="I111" s="6" t="n"/>
      <c r="J111" s="6" t="n"/>
      <c r="K111" s="6">
        <f>IF(J111="","",IFERROR(J111-TODAY(),0))</f>
        <v/>
      </c>
      <c r="L111" s="6">
        <f>IF(OR(G111="",K111=""),"",IF(AND(G111&gt;30,K111&gt;30),"Conforme",IF(OR(G111&lt;15,K111&lt;15),"CRITIQUE","A régulariser")))</f>
        <v/>
      </c>
    </row>
    <row r="112">
      <c r="A112" s="4" t="n"/>
      <c r="B112" s="4">
        <f>IF(A112="","",VLOOKUP(A112,'F01 - _Données Expatriés'!$A$6:$L$15,2,FALSE))</f>
        <v/>
      </c>
      <c r="C112" s="4">
        <f>IF(A112="","",VLOOKUP(A112,'F01 - _Données Expatriés'!$A$6:$L$15,4,FALSE))</f>
        <v/>
      </c>
      <c r="D112" s="4" t="n"/>
      <c r="E112" s="4" t="n"/>
      <c r="F112" s="4" t="n"/>
      <c r="G112" s="4">
        <f>IF(F112="","",IFERROR(F112-TODAY(),0))</f>
        <v/>
      </c>
      <c r="H112" s="4" t="n"/>
      <c r="I112" s="4" t="n"/>
      <c r="J112" s="4" t="n"/>
      <c r="K112" s="4">
        <f>IF(J112="","",IFERROR(J112-TODAY(),0))</f>
        <v/>
      </c>
      <c r="L112" s="4">
        <f>IF(OR(G112="",K112=""),"",IF(AND(G112&gt;30,K112&gt;30),"Conforme",IF(OR(G112&lt;15,K112&lt;15),"CRITIQUE","A régulariser")))</f>
        <v/>
      </c>
    </row>
    <row r="113">
      <c r="A113" s="6" t="n"/>
      <c r="B113" s="6">
        <f>IF(A113="","",VLOOKUP(A113,'F01 - _Données Expatriés'!$A$6:$L$15,2,FALSE))</f>
        <v/>
      </c>
      <c r="C113" s="6">
        <f>IF(A113="","",VLOOKUP(A113,'F01 - _Données Expatriés'!$A$6:$L$15,4,FALSE))</f>
        <v/>
      </c>
      <c r="D113" s="6" t="n"/>
      <c r="E113" s="6" t="n"/>
      <c r="F113" s="6" t="n"/>
      <c r="G113" s="6">
        <f>IF(F113="","",IFERROR(F113-TODAY(),0))</f>
        <v/>
      </c>
      <c r="H113" s="6" t="n"/>
      <c r="I113" s="6" t="n"/>
      <c r="J113" s="6" t="n"/>
      <c r="K113" s="6">
        <f>IF(J113="","",IFERROR(J113-TODAY(),0))</f>
        <v/>
      </c>
      <c r="L113" s="6">
        <f>IF(OR(G113="",K113=""),"",IF(AND(G113&gt;30,K113&gt;30),"Conforme",IF(OR(G113&lt;15,K113&lt;15),"CRITIQUE","A régulariser")))</f>
        <v/>
      </c>
    </row>
    <row r="114">
      <c r="A114" s="4" t="n"/>
      <c r="B114" s="4">
        <f>IF(A114="","",VLOOKUP(A114,'F01 - _Données Expatriés'!$A$6:$L$15,2,FALSE))</f>
        <v/>
      </c>
      <c r="C114" s="4">
        <f>IF(A114="","",VLOOKUP(A114,'F01 - _Données Expatriés'!$A$6:$L$15,4,FALSE))</f>
        <v/>
      </c>
      <c r="D114" s="4" t="n"/>
      <c r="E114" s="4" t="n"/>
      <c r="F114" s="4" t="n"/>
      <c r="G114" s="4">
        <f>IF(F114="","",IFERROR(F114-TODAY(),0))</f>
        <v/>
      </c>
      <c r="H114" s="4" t="n"/>
      <c r="I114" s="4" t="n"/>
      <c r="J114" s="4" t="n"/>
      <c r="K114" s="4">
        <f>IF(J114="","",IFERROR(J114-TODAY(),0))</f>
        <v/>
      </c>
      <c r="L114" s="4">
        <f>IF(OR(G114="",K114=""),"",IF(AND(G114&gt;30,K114&gt;30),"Conforme",IF(OR(G114&lt;15,K114&lt;15),"CRITIQUE","A régulariser")))</f>
        <v/>
      </c>
    </row>
    <row r="115">
      <c r="A115" s="6" t="n"/>
      <c r="B115" s="6">
        <f>IF(A115="","",VLOOKUP(A115,'F01 - _Données Expatriés'!$A$6:$L$15,2,FALSE))</f>
        <v/>
      </c>
      <c r="C115" s="6">
        <f>IF(A115="","",VLOOKUP(A115,'F01 - _Données Expatriés'!$A$6:$L$15,4,FALSE))</f>
        <v/>
      </c>
      <c r="D115" s="6" t="n"/>
      <c r="E115" s="6" t="n"/>
      <c r="F115" s="6" t="n"/>
      <c r="G115" s="6">
        <f>IF(F115="","",IFERROR(F115-TODAY(),0))</f>
        <v/>
      </c>
      <c r="H115" s="6" t="n"/>
      <c r="I115" s="6" t="n"/>
      <c r="J115" s="6" t="n"/>
      <c r="K115" s="6">
        <f>IF(J115="","",IFERROR(J115-TODAY(),0))</f>
        <v/>
      </c>
      <c r="L115" s="6">
        <f>IF(OR(G115="",K115=""),"",IF(AND(G115&gt;30,K115&gt;30),"Conforme",IF(OR(G115&lt;15,K115&lt;15),"CRITIQUE","A régulariser")))</f>
        <v/>
      </c>
    </row>
  </sheetData>
  <mergeCells count="2">
    <mergeCell ref="A3:N3"/>
    <mergeCell ref="A2:N2"/>
  </mergeCells>
  <dataValidations count="3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_Lists'!$A$6:$A$35</formula1>
    </dataValidation>
    <dataValidation sqref="D6:D115" showDropDown="0" showInputMessage="0" showErrorMessage="0" allowBlank="1" errorTitle="Erreur de saisie" error="Valeur non autorisée" promptTitle="Liste déroulante" prompt="Sélectionnez dans la liste" type="list">
      <formula1>'F02 - _Lists'!$G$6:$G$35</formula1>
    </dataValidation>
    <dataValidation sqref="H6:H115" showDropDown="0" showInputMessage="0" showErrorMessage="0" allowBlank="1" errorTitle="Erreur de saisie" error="Valeur non autorisée" promptTitle="Liste déroulante" prompt="Sélectionnez dans la liste" type="list">
      <formula1>'F02 - _Lists'!$I$6:$I$35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2" ht="25" customHeight="1">
      <c r="A2" s="1" t="inlineStr">
        <is>
          <t>DOMAINE 25 — 4-SUIVI PRÉSENCE EXPATRIÉS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Matricule</t>
        </is>
      </c>
      <c r="B5" s="3" t="inlineStr">
        <is>
          <t>Nom</t>
        </is>
      </c>
      <c r="C5" s="3" t="inlineStr">
        <is>
          <t>Prénom</t>
        </is>
      </c>
      <c r="D5" s="3" t="inlineStr">
        <is>
          <t>Département</t>
        </is>
      </c>
      <c r="E5" s="3" t="inlineStr">
        <is>
          <t>Mois</t>
        </is>
      </c>
      <c r="F5" s="3" t="inlineStr">
        <is>
          <t>Jours Ouvrés</t>
        </is>
      </c>
      <c r="G5" s="3" t="inlineStr">
        <is>
          <t>Jours Présences</t>
        </is>
      </c>
      <c r="H5" s="3" t="inlineStr">
        <is>
          <t>Jours Absences</t>
        </is>
      </c>
      <c r="I5" s="3" t="inlineStr">
        <is>
          <t>Jours Congés</t>
        </is>
      </c>
      <c r="J5" s="3" t="inlineStr">
        <is>
          <t>Taux Présence (%)</t>
        </is>
      </c>
    </row>
    <row r="6">
      <c r="A6" s="4" t="inlineStr">
        <is>
          <t>EXP-001</t>
        </is>
      </c>
      <c r="B6" s="4" t="inlineStr">
        <is>
          <t>Dupont</t>
        </is>
      </c>
      <c r="C6" s="4" t="inlineStr">
        <is>
          <t>Jean-Pierre</t>
        </is>
      </c>
      <c r="D6" s="4" t="inlineStr">
        <is>
          <t>Direction Générale</t>
        </is>
      </c>
      <c r="E6" s="4" t="inlineStr">
        <is>
          <t>Janvier 2025</t>
        </is>
      </c>
      <c r="F6" s="4" t="n">
        <v>22</v>
      </c>
      <c r="G6" s="4" t="n">
        <v>21</v>
      </c>
      <c r="H6" s="4" t="n">
        <v>1</v>
      </c>
      <c r="I6" s="4" t="n">
        <v>0</v>
      </c>
      <c r="J6" s="4">
        <f>IF(F6="","",IFERROR(G6/F6*100,0))</f>
        <v/>
      </c>
    </row>
    <row r="7">
      <c r="A7" s="6" t="inlineStr">
        <is>
          <t>EXP-002</t>
        </is>
      </c>
      <c r="B7" s="6" t="inlineStr">
        <is>
          <t>Muller</t>
        </is>
      </c>
      <c r="C7" s="6" t="inlineStr">
        <is>
          <t>Hans</t>
        </is>
      </c>
      <c r="D7" s="6" t="inlineStr">
        <is>
          <t>Cuisine &amp; Restauration</t>
        </is>
      </c>
      <c r="E7" s="6" t="inlineStr">
        <is>
          <t>Janvier 2025</t>
        </is>
      </c>
      <c r="F7" s="6" t="n">
        <v>22</v>
      </c>
      <c r="G7" s="6" t="n">
        <v>20</v>
      </c>
      <c r="H7" s="6" t="n">
        <v>0</v>
      </c>
      <c r="I7" s="6" t="n">
        <v>2</v>
      </c>
      <c r="J7" s="6">
        <f>IF(F7="","",IFERROR(G7/F7*100,0))</f>
        <v/>
      </c>
    </row>
    <row r="8">
      <c r="A8" s="4" t="inlineStr">
        <is>
          <t>EXP-003</t>
        </is>
      </c>
      <c r="B8" s="4" t="inlineStr">
        <is>
          <t>Silva</t>
        </is>
      </c>
      <c r="C8" s="4" t="inlineStr">
        <is>
          <t>Carlos</t>
        </is>
      </c>
      <c r="D8" s="4" t="inlineStr">
        <is>
          <t>Finance &amp; Comptabilité</t>
        </is>
      </c>
      <c r="E8" s="4" t="inlineStr">
        <is>
          <t>Janvier 2025</t>
        </is>
      </c>
      <c r="F8" s="4" t="n">
        <v>22</v>
      </c>
      <c r="G8" s="4" t="n">
        <v>22</v>
      </c>
      <c r="H8" s="4" t="n">
        <v>0</v>
      </c>
      <c r="I8" s="4" t="n">
        <v>0</v>
      </c>
      <c r="J8" s="4">
        <f>IF(F8="","",IFERROR(G8/F8*100,0))</f>
        <v/>
      </c>
    </row>
    <row r="9">
      <c r="A9" s="6" t="inlineStr">
        <is>
          <t>EXP-004</t>
        </is>
      </c>
      <c r="B9" s="6" t="inlineStr">
        <is>
          <t>Nakamura</t>
        </is>
      </c>
      <c r="C9" s="6" t="inlineStr">
        <is>
          <t>Yuki</t>
        </is>
      </c>
      <c r="D9" s="6" t="inlineStr">
        <is>
          <t>Réception &amp; Front Office</t>
        </is>
      </c>
      <c r="E9" s="6" t="inlineStr">
        <is>
          <t>Février 2025</t>
        </is>
      </c>
      <c r="F9" s="6" t="n">
        <v>20</v>
      </c>
      <c r="G9" s="6" t="n">
        <v>19</v>
      </c>
      <c r="H9" s="6" t="n">
        <v>0</v>
      </c>
      <c r="I9" s="6" t="n">
        <v>1</v>
      </c>
      <c r="J9" s="6">
        <f>IF(F9="","",IFERROR(G9/F9*100,0))</f>
        <v/>
      </c>
    </row>
    <row r="10">
      <c r="A10" s="4" t="inlineStr">
        <is>
          <t>EXP-005</t>
        </is>
      </c>
      <c r="B10" s="4" t="inlineStr">
        <is>
          <t>Smith</t>
        </is>
      </c>
      <c r="C10" s="4" t="inlineStr">
        <is>
          <t>James</t>
        </is>
      </c>
      <c r="D10" s="4" t="inlineStr">
        <is>
          <t>Revenue Management</t>
        </is>
      </c>
      <c r="E10" s="4" t="inlineStr">
        <is>
          <t>Février 2025</t>
        </is>
      </c>
      <c r="F10" s="4" t="n">
        <v>20</v>
      </c>
      <c r="G10" s="4" t="n">
        <v>20</v>
      </c>
      <c r="H10" s="4" t="n">
        <v>0</v>
      </c>
      <c r="I10" s="4" t="n">
        <v>0</v>
      </c>
      <c r="J10" s="4">
        <f>IF(F10="","",IFERROR(G10/F10*100,0))</f>
        <v/>
      </c>
    </row>
    <row r="11">
      <c r="A11" s="6" t="n"/>
      <c r="B11" s="6">
        <f>IF(A11="","",VLOOKUP(A11,'F01 - _Données Expatriés'!$A$6:$L$15,2,FALSE))</f>
        <v/>
      </c>
      <c r="C11" s="6">
        <f>IF(A11="","",VLOOKUP(A11,'F01 - _Données Expatriés'!$A$6:$L$15,3,FALSE))</f>
        <v/>
      </c>
      <c r="D11" s="6">
        <f>IF(A11="","",VLOOKUP(A11,'F01 - _Données Expatriés'!$A$6:$L$15,6,FALSE))</f>
        <v/>
      </c>
      <c r="E11" s="6" t="n"/>
      <c r="F11" s="6" t="n"/>
      <c r="G11" s="6" t="n"/>
      <c r="H11" s="6">
        <f>IF(F11="","",IFERROR(F11-G11-J11,0))</f>
        <v/>
      </c>
      <c r="I11" s="6" t="n"/>
      <c r="J11" s="6">
        <f>IF(F11="","",IFERROR(G11/F11*100,0))</f>
        <v/>
      </c>
    </row>
    <row r="12">
      <c r="A12" s="4" t="n"/>
      <c r="B12" s="4">
        <f>IF(A12="","",VLOOKUP(A12,'F01 - _Données Expatriés'!$A$6:$L$15,2,FALSE))</f>
        <v/>
      </c>
      <c r="C12" s="4">
        <f>IF(A12="","",VLOOKUP(A12,'F01 - _Données Expatriés'!$A$6:$L$15,3,FALSE))</f>
        <v/>
      </c>
      <c r="D12" s="4">
        <f>IF(A12="","",VLOOKUP(A12,'F01 - _Données Expatriés'!$A$6:$L$15,6,FALSE))</f>
        <v/>
      </c>
      <c r="E12" s="4" t="n"/>
      <c r="F12" s="4" t="n"/>
      <c r="G12" s="4" t="n"/>
      <c r="H12" s="4">
        <f>IF(F12="","",IFERROR(F12-G12-J12,0))</f>
        <v/>
      </c>
      <c r="I12" s="4" t="n"/>
      <c r="J12" s="4">
        <f>IF(F12="","",IFERROR(G12/F12*100,0))</f>
        <v/>
      </c>
    </row>
    <row r="13">
      <c r="A13" s="6" t="n"/>
      <c r="B13" s="6">
        <f>IF(A13="","",VLOOKUP(A13,'F01 - _Données Expatriés'!$A$6:$L$15,2,FALSE))</f>
        <v/>
      </c>
      <c r="C13" s="6">
        <f>IF(A13="","",VLOOKUP(A13,'F01 - _Données Expatriés'!$A$6:$L$15,3,FALSE))</f>
        <v/>
      </c>
      <c r="D13" s="6">
        <f>IF(A13="","",VLOOKUP(A13,'F01 - _Données Expatriés'!$A$6:$L$15,6,FALSE))</f>
        <v/>
      </c>
      <c r="E13" s="6" t="n"/>
      <c r="F13" s="6" t="n"/>
      <c r="G13" s="6" t="n"/>
      <c r="H13" s="6">
        <f>IF(F13="","",IFERROR(F13-G13-J13,0))</f>
        <v/>
      </c>
      <c r="I13" s="6" t="n"/>
      <c r="J13" s="6">
        <f>IF(F13="","",IFERROR(G13/F13*100,0))</f>
        <v/>
      </c>
    </row>
    <row r="14">
      <c r="A14" s="4" t="n"/>
      <c r="B14" s="4">
        <f>IF(A14="","",VLOOKUP(A14,'F01 - _Données Expatriés'!$A$6:$L$15,2,FALSE))</f>
        <v/>
      </c>
      <c r="C14" s="4">
        <f>IF(A14="","",VLOOKUP(A14,'F01 - _Données Expatriés'!$A$6:$L$15,3,FALSE))</f>
        <v/>
      </c>
      <c r="D14" s="4">
        <f>IF(A14="","",VLOOKUP(A14,'F01 - _Données Expatriés'!$A$6:$L$15,6,FALSE))</f>
        <v/>
      </c>
      <c r="E14" s="4" t="n"/>
      <c r="F14" s="4" t="n"/>
      <c r="G14" s="4" t="n"/>
      <c r="H14" s="4">
        <f>IF(F14="","",IFERROR(F14-G14-J14,0))</f>
        <v/>
      </c>
      <c r="I14" s="4" t="n"/>
      <c r="J14" s="4">
        <f>IF(F14="","",IFERROR(G14/F14*100,0))</f>
        <v/>
      </c>
    </row>
    <row r="15">
      <c r="A15" s="6" t="n"/>
      <c r="B15" s="6">
        <f>IF(A15="","",VLOOKUP(A15,'F01 - _Données Expatriés'!$A$6:$L$15,2,FALSE))</f>
        <v/>
      </c>
      <c r="C15" s="6">
        <f>IF(A15="","",VLOOKUP(A15,'F01 - _Données Expatriés'!$A$6:$L$15,3,FALSE))</f>
        <v/>
      </c>
      <c r="D15" s="6">
        <f>IF(A15="","",VLOOKUP(A15,'F01 - _Données Expatriés'!$A$6:$L$15,6,FALSE))</f>
        <v/>
      </c>
      <c r="E15" s="6" t="n"/>
      <c r="F15" s="6" t="n"/>
      <c r="G15" s="6" t="n"/>
      <c r="H15" s="6">
        <f>IF(F15="","",IFERROR(F15-G15-J15,0))</f>
        <v/>
      </c>
      <c r="I15" s="6" t="n"/>
      <c r="J15" s="6">
        <f>IF(F15="","",IFERROR(G15/F15*100,0))</f>
        <v/>
      </c>
    </row>
    <row r="16">
      <c r="A16" s="4" t="n"/>
      <c r="B16" s="4">
        <f>IF(A16="","",VLOOKUP(A16,'F01 - _Données Expatriés'!$A$6:$L$15,2,FALSE))</f>
        <v/>
      </c>
      <c r="C16" s="4">
        <f>IF(A16="","",VLOOKUP(A16,'F01 - _Données Expatriés'!$A$6:$L$15,3,FALSE))</f>
        <v/>
      </c>
      <c r="D16" s="4">
        <f>IF(A16="","",VLOOKUP(A16,'F01 - _Données Expatriés'!$A$6:$L$15,6,FALSE))</f>
        <v/>
      </c>
      <c r="E16" s="4" t="n"/>
      <c r="F16" s="4" t="n"/>
      <c r="G16" s="4" t="n"/>
      <c r="H16" s="4">
        <f>IF(F16="","",IFERROR(F16-G16-J16,0))</f>
        <v/>
      </c>
      <c r="I16" s="4" t="n"/>
      <c r="J16" s="4">
        <f>IF(F16="","",IFERROR(G16/F16*100,0))</f>
        <v/>
      </c>
    </row>
    <row r="17">
      <c r="A17" s="6" t="n"/>
      <c r="B17" s="6">
        <f>IF(A17="","",VLOOKUP(A17,'F01 - _Données Expatriés'!$A$6:$L$15,2,FALSE))</f>
        <v/>
      </c>
      <c r="C17" s="6">
        <f>IF(A17="","",VLOOKUP(A17,'F01 - _Données Expatriés'!$A$6:$L$15,3,FALSE))</f>
        <v/>
      </c>
      <c r="D17" s="6">
        <f>IF(A17="","",VLOOKUP(A17,'F01 - _Données Expatriés'!$A$6:$L$15,6,FALSE))</f>
        <v/>
      </c>
      <c r="E17" s="6" t="n"/>
      <c r="F17" s="6" t="n"/>
      <c r="G17" s="6" t="n"/>
      <c r="H17" s="6">
        <f>IF(F17="","",IFERROR(F17-G17-J17,0))</f>
        <v/>
      </c>
      <c r="I17" s="6" t="n"/>
      <c r="J17" s="6">
        <f>IF(F17="","",IFERROR(G17/F17*100,0))</f>
        <v/>
      </c>
    </row>
    <row r="18">
      <c r="A18" s="4" t="n"/>
      <c r="B18" s="4">
        <f>IF(A18="","",VLOOKUP(A18,'F01 - _Données Expatriés'!$A$6:$L$15,2,FALSE))</f>
        <v/>
      </c>
      <c r="C18" s="4">
        <f>IF(A18="","",VLOOKUP(A18,'F01 - _Données Expatriés'!$A$6:$L$15,3,FALSE))</f>
        <v/>
      </c>
      <c r="D18" s="4">
        <f>IF(A18="","",VLOOKUP(A18,'F01 - _Données Expatriés'!$A$6:$L$15,6,FALSE))</f>
        <v/>
      </c>
      <c r="E18" s="4" t="n"/>
      <c r="F18" s="4" t="n"/>
      <c r="G18" s="4" t="n"/>
      <c r="H18" s="4">
        <f>IF(F18="","",IFERROR(F18-G18-J18,0))</f>
        <v/>
      </c>
      <c r="I18" s="4" t="n"/>
      <c r="J18" s="4">
        <f>IF(F18="","",IFERROR(G18/F18*100,0))</f>
        <v/>
      </c>
    </row>
    <row r="19">
      <c r="A19" s="6" t="n"/>
      <c r="B19" s="6">
        <f>IF(A19="","",VLOOKUP(A19,'F01 - _Données Expatriés'!$A$6:$L$15,2,FALSE))</f>
        <v/>
      </c>
      <c r="C19" s="6">
        <f>IF(A19="","",VLOOKUP(A19,'F01 - _Données Expatriés'!$A$6:$L$15,3,FALSE))</f>
        <v/>
      </c>
      <c r="D19" s="6">
        <f>IF(A19="","",VLOOKUP(A19,'F01 - _Données Expatriés'!$A$6:$L$15,6,FALSE))</f>
        <v/>
      </c>
      <c r="E19" s="6" t="n"/>
      <c r="F19" s="6" t="n"/>
      <c r="G19" s="6" t="n"/>
      <c r="H19" s="6">
        <f>IF(F19="","",IFERROR(F19-G19-J19,0))</f>
        <v/>
      </c>
      <c r="I19" s="6" t="n"/>
      <c r="J19" s="6">
        <f>IF(F19="","",IFERROR(G19/F19*100,0))</f>
        <v/>
      </c>
    </row>
    <row r="20">
      <c r="A20" s="4" t="n"/>
      <c r="B20" s="4">
        <f>IF(A20="","",VLOOKUP(A20,'F01 - _Données Expatriés'!$A$6:$L$15,2,FALSE))</f>
        <v/>
      </c>
      <c r="C20" s="4">
        <f>IF(A20="","",VLOOKUP(A20,'F01 - _Données Expatriés'!$A$6:$L$15,3,FALSE))</f>
        <v/>
      </c>
      <c r="D20" s="4">
        <f>IF(A20="","",VLOOKUP(A20,'F01 - _Données Expatriés'!$A$6:$L$15,6,FALSE))</f>
        <v/>
      </c>
      <c r="E20" s="4" t="n"/>
      <c r="F20" s="4" t="n"/>
      <c r="G20" s="4" t="n"/>
      <c r="H20" s="4">
        <f>IF(F20="","",IFERROR(F20-G20-J20,0))</f>
        <v/>
      </c>
      <c r="I20" s="4" t="n"/>
      <c r="J20" s="4">
        <f>IF(F20="","",IFERROR(G20/F20*100,0))</f>
        <v/>
      </c>
    </row>
    <row r="21">
      <c r="A21" s="6" t="n"/>
      <c r="B21" s="6">
        <f>IF(A21="","",VLOOKUP(A21,'F01 - _Données Expatriés'!$A$6:$L$15,2,FALSE))</f>
        <v/>
      </c>
      <c r="C21" s="6">
        <f>IF(A21="","",VLOOKUP(A21,'F01 - _Données Expatriés'!$A$6:$L$15,3,FALSE))</f>
        <v/>
      </c>
      <c r="D21" s="6">
        <f>IF(A21="","",VLOOKUP(A21,'F01 - _Données Expatriés'!$A$6:$L$15,6,FALSE))</f>
        <v/>
      </c>
      <c r="E21" s="6" t="n"/>
      <c r="F21" s="6" t="n"/>
      <c r="G21" s="6" t="n"/>
      <c r="H21" s="6">
        <f>IF(F21="","",IFERROR(F21-G21-J21,0))</f>
        <v/>
      </c>
      <c r="I21" s="6" t="n"/>
      <c r="J21" s="6">
        <f>IF(F21="","",IFERROR(G21/F21*100,0))</f>
        <v/>
      </c>
    </row>
    <row r="22">
      <c r="A22" s="4" t="n"/>
      <c r="B22" s="4">
        <f>IF(A22="","",VLOOKUP(A22,'F01 - _Données Expatriés'!$A$6:$L$15,2,FALSE))</f>
        <v/>
      </c>
      <c r="C22" s="4">
        <f>IF(A22="","",VLOOKUP(A22,'F01 - _Données Expatriés'!$A$6:$L$15,3,FALSE))</f>
        <v/>
      </c>
      <c r="D22" s="4">
        <f>IF(A22="","",VLOOKUP(A22,'F01 - _Données Expatriés'!$A$6:$L$15,6,FALSE))</f>
        <v/>
      </c>
      <c r="E22" s="4" t="n"/>
      <c r="F22" s="4" t="n"/>
      <c r="G22" s="4" t="n"/>
      <c r="H22" s="4">
        <f>IF(F22="","",IFERROR(F22-G22-J22,0))</f>
        <v/>
      </c>
      <c r="I22" s="4" t="n"/>
      <c r="J22" s="4">
        <f>IF(F22="","",IFERROR(G22/F22*100,0))</f>
        <v/>
      </c>
    </row>
    <row r="23">
      <c r="A23" s="6" t="n"/>
      <c r="B23" s="6">
        <f>IF(A23="","",VLOOKUP(A23,'F01 - _Données Expatriés'!$A$6:$L$15,2,FALSE))</f>
        <v/>
      </c>
      <c r="C23" s="6">
        <f>IF(A23="","",VLOOKUP(A23,'F01 - _Données Expatriés'!$A$6:$L$15,3,FALSE))</f>
        <v/>
      </c>
      <c r="D23" s="6">
        <f>IF(A23="","",VLOOKUP(A23,'F01 - _Données Expatriés'!$A$6:$L$15,6,FALSE))</f>
        <v/>
      </c>
      <c r="E23" s="6" t="n"/>
      <c r="F23" s="6" t="n"/>
      <c r="G23" s="6" t="n"/>
      <c r="H23" s="6">
        <f>IF(F23="","",IFERROR(F23-G23-J23,0))</f>
        <v/>
      </c>
      <c r="I23" s="6" t="n"/>
      <c r="J23" s="6">
        <f>IF(F23="","",IFERROR(G23/F23*100,0))</f>
        <v/>
      </c>
    </row>
    <row r="24">
      <c r="A24" s="4" t="n"/>
      <c r="B24" s="4">
        <f>IF(A24="","",VLOOKUP(A24,'F01 - _Données Expatriés'!$A$6:$L$15,2,FALSE))</f>
        <v/>
      </c>
      <c r="C24" s="4">
        <f>IF(A24="","",VLOOKUP(A24,'F01 - _Données Expatriés'!$A$6:$L$15,3,FALSE))</f>
        <v/>
      </c>
      <c r="D24" s="4">
        <f>IF(A24="","",VLOOKUP(A24,'F01 - _Données Expatriés'!$A$6:$L$15,6,FALSE))</f>
        <v/>
      </c>
      <c r="E24" s="4" t="n"/>
      <c r="F24" s="4" t="n"/>
      <c r="G24" s="4" t="n"/>
      <c r="H24" s="4">
        <f>IF(F24="","",IFERROR(F24-G24-J24,0))</f>
        <v/>
      </c>
      <c r="I24" s="4" t="n"/>
      <c r="J24" s="4">
        <f>IF(F24="","",IFERROR(G24/F24*100,0))</f>
        <v/>
      </c>
    </row>
    <row r="25">
      <c r="A25" s="6" t="n"/>
      <c r="B25" s="6">
        <f>IF(A25="","",VLOOKUP(A25,'F01 - _Données Expatriés'!$A$6:$L$15,2,FALSE))</f>
        <v/>
      </c>
      <c r="C25" s="6">
        <f>IF(A25="","",VLOOKUP(A25,'F01 - _Données Expatriés'!$A$6:$L$15,3,FALSE))</f>
        <v/>
      </c>
      <c r="D25" s="6">
        <f>IF(A25="","",VLOOKUP(A25,'F01 - _Données Expatriés'!$A$6:$L$15,6,FALSE))</f>
        <v/>
      </c>
      <c r="E25" s="6" t="n"/>
      <c r="F25" s="6" t="n"/>
      <c r="G25" s="6" t="n"/>
      <c r="H25" s="6">
        <f>IF(F25="","",IFERROR(F25-G25-J25,0))</f>
        <v/>
      </c>
      <c r="I25" s="6" t="n"/>
      <c r="J25" s="6">
        <f>IF(F25="","",IFERROR(G25/F25*100,0))</f>
        <v/>
      </c>
    </row>
    <row r="26">
      <c r="A26" s="4" t="n"/>
      <c r="B26" s="4">
        <f>IF(A26="","",VLOOKUP(A26,'F01 - _Données Expatriés'!$A$6:$L$15,2,FALSE))</f>
        <v/>
      </c>
      <c r="C26" s="4">
        <f>IF(A26="","",VLOOKUP(A26,'F01 - _Données Expatriés'!$A$6:$L$15,3,FALSE))</f>
        <v/>
      </c>
      <c r="D26" s="4">
        <f>IF(A26="","",VLOOKUP(A26,'F01 - _Données Expatriés'!$A$6:$L$15,6,FALSE))</f>
        <v/>
      </c>
      <c r="E26" s="4" t="n"/>
      <c r="F26" s="4" t="n"/>
      <c r="G26" s="4" t="n"/>
      <c r="H26" s="4">
        <f>IF(F26="","",IFERROR(F26-G26-J26,0))</f>
        <v/>
      </c>
      <c r="I26" s="4" t="n"/>
      <c r="J26" s="4">
        <f>IF(F26="","",IFERROR(G26/F26*100,0))</f>
        <v/>
      </c>
    </row>
    <row r="27">
      <c r="A27" s="6" t="n"/>
      <c r="B27" s="6">
        <f>IF(A27="","",VLOOKUP(A27,'F01 - _Données Expatriés'!$A$6:$L$15,2,FALSE))</f>
        <v/>
      </c>
      <c r="C27" s="6">
        <f>IF(A27="","",VLOOKUP(A27,'F01 - _Données Expatriés'!$A$6:$L$15,3,FALSE))</f>
        <v/>
      </c>
      <c r="D27" s="6">
        <f>IF(A27="","",VLOOKUP(A27,'F01 - _Données Expatriés'!$A$6:$L$15,6,FALSE))</f>
        <v/>
      </c>
      <c r="E27" s="6" t="n"/>
      <c r="F27" s="6" t="n"/>
      <c r="G27" s="6" t="n"/>
      <c r="H27" s="6">
        <f>IF(F27="","",IFERROR(F27-G27-J27,0))</f>
        <v/>
      </c>
      <c r="I27" s="6" t="n"/>
      <c r="J27" s="6">
        <f>IF(F27="","",IFERROR(G27/F27*100,0))</f>
        <v/>
      </c>
    </row>
    <row r="28">
      <c r="A28" s="4" t="n"/>
      <c r="B28" s="4">
        <f>IF(A28="","",VLOOKUP(A28,'F01 - _Données Expatriés'!$A$6:$L$15,2,FALSE))</f>
        <v/>
      </c>
      <c r="C28" s="4">
        <f>IF(A28="","",VLOOKUP(A28,'F01 - _Données Expatriés'!$A$6:$L$15,3,FALSE))</f>
        <v/>
      </c>
      <c r="D28" s="4">
        <f>IF(A28="","",VLOOKUP(A28,'F01 - _Données Expatriés'!$A$6:$L$15,6,FALSE))</f>
        <v/>
      </c>
      <c r="E28" s="4" t="n"/>
      <c r="F28" s="4" t="n"/>
      <c r="G28" s="4" t="n"/>
      <c r="H28" s="4">
        <f>IF(F28="","",IFERROR(F28-G28-J28,0))</f>
        <v/>
      </c>
      <c r="I28" s="4" t="n"/>
      <c r="J28" s="4">
        <f>IF(F28="","",IFERROR(G28/F28*100,0))</f>
        <v/>
      </c>
    </row>
    <row r="29">
      <c r="A29" s="6" t="n"/>
      <c r="B29" s="6">
        <f>IF(A29="","",VLOOKUP(A29,'F01 - _Données Expatriés'!$A$6:$L$15,2,FALSE))</f>
        <v/>
      </c>
      <c r="C29" s="6">
        <f>IF(A29="","",VLOOKUP(A29,'F01 - _Données Expatriés'!$A$6:$L$15,3,FALSE))</f>
        <v/>
      </c>
      <c r="D29" s="6">
        <f>IF(A29="","",VLOOKUP(A29,'F01 - _Données Expatriés'!$A$6:$L$15,6,FALSE))</f>
        <v/>
      </c>
      <c r="E29" s="6" t="n"/>
      <c r="F29" s="6" t="n"/>
      <c r="G29" s="6" t="n"/>
      <c r="H29" s="6">
        <f>IF(F29="","",IFERROR(F29-G29-J29,0))</f>
        <v/>
      </c>
      <c r="I29" s="6" t="n"/>
      <c r="J29" s="6">
        <f>IF(F29="","",IFERROR(G29/F29*100,0))</f>
        <v/>
      </c>
    </row>
    <row r="30">
      <c r="A30" s="4" t="n"/>
      <c r="B30" s="4">
        <f>IF(A30="","",VLOOKUP(A30,'F01 - _Données Expatriés'!$A$6:$L$15,2,FALSE))</f>
        <v/>
      </c>
      <c r="C30" s="4">
        <f>IF(A30="","",VLOOKUP(A30,'F01 - _Données Expatriés'!$A$6:$L$15,3,FALSE))</f>
        <v/>
      </c>
      <c r="D30" s="4">
        <f>IF(A30="","",VLOOKUP(A30,'F01 - _Données Expatriés'!$A$6:$L$15,6,FALSE))</f>
        <v/>
      </c>
      <c r="E30" s="4" t="n"/>
      <c r="F30" s="4" t="n"/>
      <c r="G30" s="4" t="n"/>
      <c r="H30" s="4">
        <f>IF(F30="","",IFERROR(F30-G30-J30,0))</f>
        <v/>
      </c>
      <c r="I30" s="4" t="n"/>
      <c r="J30" s="4">
        <f>IF(F30="","",IFERROR(G30/F30*100,0))</f>
        <v/>
      </c>
    </row>
    <row r="31">
      <c r="A31" s="6" t="n"/>
      <c r="B31" s="6">
        <f>IF(A31="","",VLOOKUP(A31,'F01 - _Données Expatriés'!$A$6:$L$15,2,FALSE))</f>
        <v/>
      </c>
      <c r="C31" s="6">
        <f>IF(A31="","",VLOOKUP(A31,'F01 - _Données Expatriés'!$A$6:$L$15,3,FALSE))</f>
        <v/>
      </c>
      <c r="D31" s="6">
        <f>IF(A31="","",VLOOKUP(A31,'F01 - _Données Expatriés'!$A$6:$L$15,6,FALSE))</f>
        <v/>
      </c>
      <c r="E31" s="6" t="n"/>
      <c r="F31" s="6" t="n"/>
      <c r="G31" s="6" t="n"/>
      <c r="H31" s="6">
        <f>IF(F31="","",IFERROR(F31-G31-J31,0))</f>
        <v/>
      </c>
      <c r="I31" s="6" t="n"/>
      <c r="J31" s="6">
        <f>IF(F31="","",IFERROR(G31/F31*100,0))</f>
        <v/>
      </c>
    </row>
    <row r="32">
      <c r="A32" s="4" t="n"/>
      <c r="B32" s="4">
        <f>IF(A32="","",VLOOKUP(A32,'F01 - _Données Expatriés'!$A$6:$L$15,2,FALSE))</f>
        <v/>
      </c>
      <c r="C32" s="4">
        <f>IF(A32="","",VLOOKUP(A32,'F01 - _Données Expatriés'!$A$6:$L$15,3,FALSE))</f>
        <v/>
      </c>
      <c r="D32" s="4">
        <f>IF(A32="","",VLOOKUP(A32,'F01 - _Données Expatriés'!$A$6:$L$15,6,FALSE))</f>
        <v/>
      </c>
      <c r="E32" s="4" t="n"/>
      <c r="F32" s="4" t="n"/>
      <c r="G32" s="4" t="n"/>
      <c r="H32" s="4">
        <f>IF(F32="","",IFERROR(F32-G32-J32,0))</f>
        <v/>
      </c>
      <c r="I32" s="4" t="n"/>
      <c r="J32" s="4">
        <f>IF(F32="","",IFERROR(G32/F32*100,0))</f>
        <v/>
      </c>
    </row>
    <row r="33">
      <c r="A33" s="6" t="n"/>
      <c r="B33" s="6">
        <f>IF(A33="","",VLOOKUP(A33,'F01 - _Données Expatriés'!$A$6:$L$15,2,FALSE))</f>
        <v/>
      </c>
      <c r="C33" s="6">
        <f>IF(A33="","",VLOOKUP(A33,'F01 - _Données Expatriés'!$A$6:$L$15,3,FALSE))</f>
        <v/>
      </c>
      <c r="D33" s="6">
        <f>IF(A33="","",VLOOKUP(A33,'F01 - _Données Expatriés'!$A$6:$L$15,6,FALSE))</f>
        <v/>
      </c>
      <c r="E33" s="6" t="n"/>
      <c r="F33" s="6" t="n"/>
      <c r="G33" s="6" t="n"/>
      <c r="H33" s="6">
        <f>IF(F33="","",IFERROR(F33-G33-J33,0))</f>
        <v/>
      </c>
      <c r="I33" s="6" t="n"/>
      <c r="J33" s="6">
        <f>IF(F33="","",IFERROR(G33/F33*100,0))</f>
        <v/>
      </c>
    </row>
    <row r="34">
      <c r="A34" s="4" t="n"/>
      <c r="B34" s="4">
        <f>IF(A34="","",VLOOKUP(A34,'F01 - _Données Expatriés'!$A$6:$L$15,2,FALSE))</f>
        <v/>
      </c>
      <c r="C34" s="4">
        <f>IF(A34="","",VLOOKUP(A34,'F01 - _Données Expatriés'!$A$6:$L$15,3,FALSE))</f>
        <v/>
      </c>
      <c r="D34" s="4">
        <f>IF(A34="","",VLOOKUP(A34,'F01 - _Données Expatriés'!$A$6:$L$15,6,FALSE))</f>
        <v/>
      </c>
      <c r="E34" s="4" t="n"/>
      <c r="F34" s="4" t="n"/>
      <c r="G34" s="4" t="n"/>
      <c r="H34" s="4">
        <f>IF(F34="","",IFERROR(F34-G34-J34,0))</f>
        <v/>
      </c>
      <c r="I34" s="4" t="n"/>
      <c r="J34" s="4">
        <f>IF(F34="","",IFERROR(G34/F34*100,0))</f>
        <v/>
      </c>
    </row>
    <row r="35">
      <c r="A35" s="6" t="n"/>
      <c r="B35" s="6">
        <f>IF(A35="","",VLOOKUP(A35,'F01 - _Données Expatriés'!$A$6:$L$15,2,FALSE))</f>
        <v/>
      </c>
      <c r="C35" s="6">
        <f>IF(A35="","",VLOOKUP(A35,'F01 - _Données Expatriés'!$A$6:$L$15,3,FALSE))</f>
        <v/>
      </c>
      <c r="D35" s="6">
        <f>IF(A35="","",VLOOKUP(A35,'F01 - _Données Expatriés'!$A$6:$L$15,6,FALSE))</f>
        <v/>
      </c>
      <c r="E35" s="6" t="n"/>
      <c r="F35" s="6" t="n"/>
      <c r="G35" s="6" t="n"/>
      <c r="H35" s="6">
        <f>IF(F35="","",IFERROR(F35-G35-J35,0))</f>
        <v/>
      </c>
      <c r="I35" s="6" t="n"/>
      <c r="J35" s="6">
        <f>IF(F35="","",IFERROR(G35/F35*100,0))</f>
        <v/>
      </c>
    </row>
    <row r="36">
      <c r="A36" s="4" t="n"/>
      <c r="B36" s="4">
        <f>IF(A36="","",VLOOKUP(A36,'F01 - _Données Expatriés'!$A$6:$L$15,2,FALSE))</f>
        <v/>
      </c>
      <c r="C36" s="4">
        <f>IF(A36="","",VLOOKUP(A36,'F01 - _Données Expatriés'!$A$6:$L$15,3,FALSE))</f>
        <v/>
      </c>
      <c r="D36" s="4">
        <f>IF(A36="","",VLOOKUP(A36,'F01 - _Données Expatriés'!$A$6:$L$15,6,FALSE))</f>
        <v/>
      </c>
      <c r="E36" s="4" t="n"/>
      <c r="F36" s="4" t="n"/>
      <c r="G36" s="4" t="n"/>
      <c r="H36" s="4">
        <f>IF(F36="","",IFERROR(F36-G36-J36,0))</f>
        <v/>
      </c>
      <c r="I36" s="4" t="n"/>
      <c r="J36" s="4">
        <f>IF(F36="","",IFERROR(G36/F36*100,0))</f>
        <v/>
      </c>
    </row>
    <row r="37">
      <c r="A37" s="6" t="n"/>
      <c r="B37" s="6">
        <f>IF(A37="","",VLOOKUP(A37,'F01 - _Données Expatriés'!$A$6:$L$15,2,FALSE))</f>
        <v/>
      </c>
      <c r="C37" s="6">
        <f>IF(A37="","",VLOOKUP(A37,'F01 - _Données Expatriés'!$A$6:$L$15,3,FALSE))</f>
        <v/>
      </c>
      <c r="D37" s="6">
        <f>IF(A37="","",VLOOKUP(A37,'F01 - _Données Expatriés'!$A$6:$L$15,6,FALSE))</f>
        <v/>
      </c>
      <c r="E37" s="6" t="n"/>
      <c r="F37" s="6" t="n"/>
      <c r="G37" s="6" t="n"/>
      <c r="H37" s="6">
        <f>IF(F37="","",IFERROR(F37-G37-J37,0))</f>
        <v/>
      </c>
      <c r="I37" s="6" t="n"/>
      <c r="J37" s="6">
        <f>IF(F37="","",IFERROR(G37/F37*100,0))</f>
        <v/>
      </c>
    </row>
    <row r="38">
      <c r="A38" s="4" t="n"/>
      <c r="B38" s="4">
        <f>IF(A38="","",VLOOKUP(A38,'F01 - _Données Expatriés'!$A$6:$L$15,2,FALSE))</f>
        <v/>
      </c>
      <c r="C38" s="4">
        <f>IF(A38="","",VLOOKUP(A38,'F01 - _Données Expatriés'!$A$6:$L$15,3,FALSE))</f>
        <v/>
      </c>
      <c r="D38" s="4">
        <f>IF(A38="","",VLOOKUP(A38,'F01 - _Données Expatriés'!$A$6:$L$15,6,FALSE))</f>
        <v/>
      </c>
      <c r="E38" s="4" t="n"/>
      <c r="F38" s="4" t="n"/>
      <c r="G38" s="4" t="n"/>
      <c r="H38" s="4">
        <f>IF(F38="","",IFERROR(F38-G38-J38,0))</f>
        <v/>
      </c>
      <c r="I38" s="4" t="n"/>
      <c r="J38" s="4">
        <f>IF(F38="","",IFERROR(G38/F38*100,0))</f>
        <v/>
      </c>
    </row>
    <row r="39">
      <c r="A39" s="6" t="n"/>
      <c r="B39" s="6">
        <f>IF(A39="","",VLOOKUP(A39,'F01 - _Données Expatriés'!$A$6:$L$15,2,FALSE))</f>
        <v/>
      </c>
      <c r="C39" s="6">
        <f>IF(A39="","",VLOOKUP(A39,'F01 - _Données Expatriés'!$A$6:$L$15,3,FALSE))</f>
        <v/>
      </c>
      <c r="D39" s="6">
        <f>IF(A39="","",VLOOKUP(A39,'F01 - _Données Expatriés'!$A$6:$L$15,6,FALSE))</f>
        <v/>
      </c>
      <c r="E39" s="6" t="n"/>
      <c r="F39" s="6" t="n"/>
      <c r="G39" s="6" t="n"/>
      <c r="H39" s="6">
        <f>IF(F39="","",IFERROR(F39-G39-J39,0))</f>
        <v/>
      </c>
      <c r="I39" s="6" t="n"/>
      <c r="J39" s="6">
        <f>IF(F39="","",IFERROR(G39/F39*100,0))</f>
        <v/>
      </c>
    </row>
    <row r="40">
      <c r="A40" s="4" t="n"/>
      <c r="B40" s="4">
        <f>IF(A40="","",VLOOKUP(A40,'F01 - _Données Expatriés'!$A$6:$L$15,2,FALSE))</f>
        <v/>
      </c>
      <c r="C40" s="4">
        <f>IF(A40="","",VLOOKUP(A40,'F01 - _Données Expatriés'!$A$6:$L$15,3,FALSE))</f>
        <v/>
      </c>
      <c r="D40" s="4">
        <f>IF(A40="","",VLOOKUP(A40,'F01 - _Données Expatriés'!$A$6:$L$15,6,FALSE))</f>
        <v/>
      </c>
      <c r="E40" s="4" t="n"/>
      <c r="F40" s="4" t="n"/>
      <c r="G40" s="4" t="n"/>
      <c r="H40" s="4">
        <f>IF(F40="","",IFERROR(F40-G40-J40,0))</f>
        <v/>
      </c>
      <c r="I40" s="4" t="n"/>
      <c r="J40" s="4">
        <f>IF(F40="","",IFERROR(G40/F40*100,0))</f>
        <v/>
      </c>
    </row>
    <row r="41">
      <c r="A41" s="6" t="n"/>
      <c r="B41" s="6">
        <f>IF(A41="","",VLOOKUP(A41,'F01 - _Données Expatriés'!$A$6:$L$15,2,FALSE))</f>
        <v/>
      </c>
      <c r="C41" s="6">
        <f>IF(A41="","",VLOOKUP(A41,'F01 - _Données Expatriés'!$A$6:$L$15,3,FALSE))</f>
        <v/>
      </c>
      <c r="D41" s="6">
        <f>IF(A41="","",VLOOKUP(A41,'F01 - _Données Expatriés'!$A$6:$L$15,6,FALSE))</f>
        <v/>
      </c>
      <c r="E41" s="6" t="n"/>
      <c r="F41" s="6" t="n"/>
      <c r="G41" s="6" t="n"/>
      <c r="H41" s="6">
        <f>IF(F41="","",IFERROR(F41-G41-J41,0))</f>
        <v/>
      </c>
      <c r="I41" s="6" t="n"/>
      <c r="J41" s="6">
        <f>IF(F41="","",IFERROR(G41/F41*100,0))</f>
        <v/>
      </c>
    </row>
    <row r="42">
      <c r="A42" s="4" t="n"/>
      <c r="B42" s="4">
        <f>IF(A42="","",VLOOKUP(A42,'F01 - _Données Expatriés'!$A$6:$L$15,2,FALSE))</f>
        <v/>
      </c>
      <c r="C42" s="4">
        <f>IF(A42="","",VLOOKUP(A42,'F01 - _Données Expatriés'!$A$6:$L$15,3,FALSE))</f>
        <v/>
      </c>
      <c r="D42" s="4">
        <f>IF(A42="","",VLOOKUP(A42,'F01 - _Données Expatriés'!$A$6:$L$15,6,FALSE))</f>
        <v/>
      </c>
      <c r="E42" s="4" t="n"/>
      <c r="F42" s="4" t="n"/>
      <c r="G42" s="4" t="n"/>
      <c r="H42" s="4">
        <f>IF(F42="","",IFERROR(F42-G42-J42,0))</f>
        <v/>
      </c>
      <c r="I42" s="4" t="n"/>
      <c r="J42" s="4">
        <f>IF(F42="","",IFERROR(G42/F42*100,0))</f>
        <v/>
      </c>
    </row>
    <row r="43">
      <c r="A43" s="6" t="n"/>
      <c r="B43" s="6">
        <f>IF(A43="","",VLOOKUP(A43,'F01 - _Données Expatriés'!$A$6:$L$15,2,FALSE))</f>
        <v/>
      </c>
      <c r="C43" s="6">
        <f>IF(A43="","",VLOOKUP(A43,'F01 - _Données Expatriés'!$A$6:$L$15,3,FALSE))</f>
        <v/>
      </c>
      <c r="D43" s="6">
        <f>IF(A43="","",VLOOKUP(A43,'F01 - _Données Expatriés'!$A$6:$L$15,6,FALSE))</f>
        <v/>
      </c>
      <c r="E43" s="6" t="n"/>
      <c r="F43" s="6" t="n"/>
      <c r="G43" s="6" t="n"/>
      <c r="H43" s="6">
        <f>IF(F43="","",IFERROR(F43-G43-J43,0))</f>
        <v/>
      </c>
      <c r="I43" s="6" t="n"/>
      <c r="J43" s="6">
        <f>IF(F43="","",IFERROR(G43/F43*100,0))</f>
        <v/>
      </c>
    </row>
    <row r="44">
      <c r="A44" s="4" t="n"/>
      <c r="B44" s="4">
        <f>IF(A44="","",VLOOKUP(A44,'F01 - _Données Expatriés'!$A$6:$L$15,2,FALSE))</f>
        <v/>
      </c>
      <c r="C44" s="4">
        <f>IF(A44="","",VLOOKUP(A44,'F01 - _Données Expatriés'!$A$6:$L$15,3,FALSE))</f>
        <v/>
      </c>
      <c r="D44" s="4">
        <f>IF(A44="","",VLOOKUP(A44,'F01 - _Données Expatriés'!$A$6:$L$15,6,FALSE))</f>
        <v/>
      </c>
      <c r="E44" s="4" t="n"/>
      <c r="F44" s="4" t="n"/>
      <c r="G44" s="4" t="n"/>
      <c r="H44" s="4">
        <f>IF(F44="","",IFERROR(F44-G44-J44,0))</f>
        <v/>
      </c>
      <c r="I44" s="4" t="n"/>
      <c r="J44" s="4">
        <f>IF(F44="","",IFERROR(G44/F44*100,0))</f>
        <v/>
      </c>
    </row>
    <row r="45">
      <c r="A45" s="6" t="n"/>
      <c r="B45" s="6">
        <f>IF(A45="","",VLOOKUP(A45,'F01 - _Données Expatriés'!$A$6:$L$15,2,FALSE))</f>
        <v/>
      </c>
      <c r="C45" s="6">
        <f>IF(A45="","",VLOOKUP(A45,'F01 - _Données Expatriés'!$A$6:$L$15,3,FALSE))</f>
        <v/>
      </c>
      <c r="D45" s="6">
        <f>IF(A45="","",VLOOKUP(A45,'F01 - _Données Expatriés'!$A$6:$L$15,6,FALSE))</f>
        <v/>
      </c>
      <c r="E45" s="6" t="n"/>
      <c r="F45" s="6" t="n"/>
      <c r="G45" s="6" t="n"/>
      <c r="H45" s="6">
        <f>IF(F45="","",IFERROR(F45-G45-J45,0))</f>
        <v/>
      </c>
      <c r="I45" s="6" t="n"/>
      <c r="J45" s="6">
        <f>IF(F45="","",IFERROR(G45/F45*100,0))</f>
        <v/>
      </c>
    </row>
    <row r="46">
      <c r="A46" s="4" t="n"/>
      <c r="B46" s="4">
        <f>IF(A46="","",VLOOKUP(A46,'F01 - _Données Expatriés'!$A$6:$L$15,2,FALSE))</f>
        <v/>
      </c>
      <c r="C46" s="4">
        <f>IF(A46="","",VLOOKUP(A46,'F01 - _Données Expatriés'!$A$6:$L$15,3,FALSE))</f>
        <v/>
      </c>
      <c r="D46" s="4">
        <f>IF(A46="","",VLOOKUP(A46,'F01 - _Données Expatriés'!$A$6:$L$15,6,FALSE))</f>
        <v/>
      </c>
      <c r="E46" s="4" t="n"/>
      <c r="F46" s="4" t="n"/>
      <c r="G46" s="4" t="n"/>
      <c r="H46" s="4">
        <f>IF(F46="","",IFERROR(F46-G46-J46,0))</f>
        <v/>
      </c>
      <c r="I46" s="4" t="n"/>
      <c r="J46" s="4">
        <f>IF(F46="","",IFERROR(G46/F46*100,0))</f>
        <v/>
      </c>
    </row>
    <row r="47">
      <c r="A47" s="6" t="n"/>
      <c r="B47" s="6">
        <f>IF(A47="","",VLOOKUP(A47,'F01 - _Données Expatriés'!$A$6:$L$15,2,FALSE))</f>
        <v/>
      </c>
      <c r="C47" s="6">
        <f>IF(A47="","",VLOOKUP(A47,'F01 - _Données Expatriés'!$A$6:$L$15,3,FALSE))</f>
        <v/>
      </c>
      <c r="D47" s="6">
        <f>IF(A47="","",VLOOKUP(A47,'F01 - _Données Expatriés'!$A$6:$L$15,6,FALSE))</f>
        <v/>
      </c>
      <c r="E47" s="6" t="n"/>
      <c r="F47" s="6" t="n"/>
      <c r="G47" s="6" t="n"/>
      <c r="H47" s="6">
        <f>IF(F47="","",IFERROR(F47-G47-J47,0))</f>
        <v/>
      </c>
      <c r="I47" s="6" t="n"/>
      <c r="J47" s="6">
        <f>IF(F47="","",IFERROR(G47/F47*100,0))</f>
        <v/>
      </c>
    </row>
    <row r="48">
      <c r="A48" s="4" t="n"/>
      <c r="B48" s="4">
        <f>IF(A48="","",VLOOKUP(A48,'F01 - _Données Expatriés'!$A$6:$L$15,2,FALSE))</f>
        <v/>
      </c>
      <c r="C48" s="4">
        <f>IF(A48="","",VLOOKUP(A48,'F01 - _Données Expatriés'!$A$6:$L$15,3,FALSE))</f>
        <v/>
      </c>
      <c r="D48" s="4">
        <f>IF(A48="","",VLOOKUP(A48,'F01 - _Données Expatriés'!$A$6:$L$15,6,FALSE))</f>
        <v/>
      </c>
      <c r="E48" s="4" t="n"/>
      <c r="F48" s="4" t="n"/>
      <c r="G48" s="4" t="n"/>
      <c r="H48" s="4">
        <f>IF(F48="","",IFERROR(F48-G48-J48,0))</f>
        <v/>
      </c>
      <c r="I48" s="4" t="n"/>
      <c r="J48" s="4">
        <f>IF(F48="","",IFERROR(G48/F48*100,0))</f>
        <v/>
      </c>
    </row>
    <row r="49">
      <c r="A49" s="6" t="n"/>
      <c r="B49" s="6">
        <f>IF(A49="","",VLOOKUP(A49,'F01 - _Données Expatriés'!$A$6:$L$15,2,FALSE))</f>
        <v/>
      </c>
      <c r="C49" s="6">
        <f>IF(A49="","",VLOOKUP(A49,'F01 - _Données Expatriés'!$A$6:$L$15,3,FALSE))</f>
        <v/>
      </c>
      <c r="D49" s="6">
        <f>IF(A49="","",VLOOKUP(A49,'F01 - _Données Expatriés'!$A$6:$L$15,6,FALSE))</f>
        <v/>
      </c>
      <c r="E49" s="6" t="n"/>
      <c r="F49" s="6" t="n"/>
      <c r="G49" s="6" t="n"/>
      <c r="H49" s="6">
        <f>IF(F49="","",IFERROR(F49-G49-J49,0))</f>
        <v/>
      </c>
      <c r="I49" s="6" t="n"/>
      <c r="J49" s="6">
        <f>IF(F49="","",IFERROR(G49/F49*100,0))</f>
        <v/>
      </c>
    </row>
    <row r="50">
      <c r="A50" s="4" t="n"/>
      <c r="B50" s="4">
        <f>IF(A50="","",VLOOKUP(A50,'F01 - _Données Expatriés'!$A$6:$L$15,2,FALSE))</f>
        <v/>
      </c>
      <c r="C50" s="4">
        <f>IF(A50="","",VLOOKUP(A50,'F01 - _Données Expatriés'!$A$6:$L$15,3,FALSE))</f>
        <v/>
      </c>
      <c r="D50" s="4">
        <f>IF(A50="","",VLOOKUP(A50,'F01 - _Données Expatriés'!$A$6:$L$15,6,FALSE))</f>
        <v/>
      </c>
      <c r="E50" s="4" t="n"/>
      <c r="F50" s="4" t="n"/>
      <c r="G50" s="4" t="n"/>
      <c r="H50" s="4">
        <f>IF(F50="","",IFERROR(F50-G50-J50,0))</f>
        <v/>
      </c>
      <c r="I50" s="4" t="n"/>
      <c r="J50" s="4">
        <f>IF(F50="","",IFERROR(G50/F50*100,0))</f>
        <v/>
      </c>
    </row>
    <row r="51">
      <c r="A51" s="6" t="n"/>
      <c r="B51" s="6">
        <f>IF(A51="","",VLOOKUP(A51,'F01 - _Données Expatriés'!$A$6:$L$15,2,FALSE))</f>
        <v/>
      </c>
      <c r="C51" s="6">
        <f>IF(A51="","",VLOOKUP(A51,'F01 - _Données Expatriés'!$A$6:$L$15,3,FALSE))</f>
        <v/>
      </c>
      <c r="D51" s="6">
        <f>IF(A51="","",VLOOKUP(A51,'F01 - _Données Expatriés'!$A$6:$L$15,6,FALSE))</f>
        <v/>
      </c>
      <c r="E51" s="6" t="n"/>
      <c r="F51" s="6" t="n"/>
      <c r="G51" s="6" t="n"/>
      <c r="H51" s="6">
        <f>IF(F51="","",IFERROR(F51-G51-J51,0))</f>
        <v/>
      </c>
      <c r="I51" s="6" t="n"/>
      <c r="J51" s="6">
        <f>IF(F51="","",IFERROR(G51/F51*100,0))</f>
        <v/>
      </c>
    </row>
    <row r="52">
      <c r="A52" s="4" t="n"/>
      <c r="B52" s="4">
        <f>IF(A52="","",VLOOKUP(A52,'F01 - _Données Expatriés'!$A$6:$L$15,2,FALSE))</f>
        <v/>
      </c>
      <c r="C52" s="4">
        <f>IF(A52="","",VLOOKUP(A52,'F01 - _Données Expatriés'!$A$6:$L$15,3,FALSE))</f>
        <v/>
      </c>
      <c r="D52" s="4">
        <f>IF(A52="","",VLOOKUP(A52,'F01 - _Données Expatriés'!$A$6:$L$15,6,FALSE))</f>
        <v/>
      </c>
      <c r="E52" s="4" t="n"/>
      <c r="F52" s="4" t="n"/>
      <c r="G52" s="4" t="n"/>
      <c r="H52" s="4">
        <f>IF(F52="","",IFERROR(F52-G52-J52,0))</f>
        <v/>
      </c>
      <c r="I52" s="4" t="n"/>
      <c r="J52" s="4">
        <f>IF(F52="","",IFERROR(G52/F52*100,0))</f>
        <v/>
      </c>
    </row>
    <row r="53">
      <c r="A53" s="6" t="n"/>
      <c r="B53" s="6">
        <f>IF(A53="","",VLOOKUP(A53,'F01 - _Données Expatriés'!$A$6:$L$15,2,FALSE))</f>
        <v/>
      </c>
      <c r="C53" s="6">
        <f>IF(A53="","",VLOOKUP(A53,'F01 - _Données Expatriés'!$A$6:$L$15,3,FALSE))</f>
        <v/>
      </c>
      <c r="D53" s="6">
        <f>IF(A53="","",VLOOKUP(A53,'F01 - _Données Expatriés'!$A$6:$L$15,6,FALSE))</f>
        <v/>
      </c>
      <c r="E53" s="6" t="n"/>
      <c r="F53" s="6" t="n"/>
      <c r="G53" s="6" t="n"/>
      <c r="H53" s="6">
        <f>IF(F53="","",IFERROR(F53-G53-J53,0))</f>
        <v/>
      </c>
      <c r="I53" s="6" t="n"/>
      <c r="J53" s="6">
        <f>IF(F53="","",IFERROR(G53/F53*100,0))</f>
        <v/>
      </c>
    </row>
    <row r="54">
      <c r="A54" s="4" t="n"/>
      <c r="B54" s="4">
        <f>IF(A54="","",VLOOKUP(A54,'F01 - _Données Expatriés'!$A$6:$L$15,2,FALSE))</f>
        <v/>
      </c>
      <c r="C54" s="4">
        <f>IF(A54="","",VLOOKUP(A54,'F01 - _Données Expatriés'!$A$6:$L$15,3,FALSE))</f>
        <v/>
      </c>
      <c r="D54" s="4">
        <f>IF(A54="","",VLOOKUP(A54,'F01 - _Données Expatriés'!$A$6:$L$15,6,FALSE))</f>
        <v/>
      </c>
      <c r="E54" s="4" t="n"/>
      <c r="F54" s="4" t="n"/>
      <c r="G54" s="4" t="n"/>
      <c r="H54" s="4">
        <f>IF(F54="","",IFERROR(F54-G54-J54,0))</f>
        <v/>
      </c>
      <c r="I54" s="4" t="n"/>
      <c r="J54" s="4">
        <f>IF(F54="","",IFERROR(G54/F54*100,0))</f>
        <v/>
      </c>
    </row>
    <row r="55">
      <c r="A55" s="6" t="n"/>
      <c r="B55" s="6">
        <f>IF(A55="","",VLOOKUP(A55,'F01 - _Données Expatriés'!$A$6:$L$15,2,FALSE))</f>
        <v/>
      </c>
      <c r="C55" s="6">
        <f>IF(A55="","",VLOOKUP(A55,'F01 - _Données Expatriés'!$A$6:$L$15,3,FALSE))</f>
        <v/>
      </c>
      <c r="D55" s="6">
        <f>IF(A55="","",VLOOKUP(A55,'F01 - _Données Expatriés'!$A$6:$L$15,6,FALSE))</f>
        <v/>
      </c>
      <c r="E55" s="6" t="n"/>
      <c r="F55" s="6" t="n"/>
      <c r="G55" s="6" t="n"/>
      <c r="H55" s="6">
        <f>IF(F55="","",IFERROR(F55-G55-J55,0))</f>
        <v/>
      </c>
      <c r="I55" s="6" t="n"/>
      <c r="J55" s="6">
        <f>IF(F55="","",IFERROR(G55/F55*100,0))</f>
        <v/>
      </c>
    </row>
    <row r="56">
      <c r="A56" s="4" t="n"/>
      <c r="B56" s="4">
        <f>IF(A56="","",VLOOKUP(A56,'F01 - _Données Expatriés'!$A$6:$L$15,2,FALSE))</f>
        <v/>
      </c>
      <c r="C56" s="4">
        <f>IF(A56="","",VLOOKUP(A56,'F01 - _Données Expatriés'!$A$6:$L$15,3,FALSE))</f>
        <v/>
      </c>
      <c r="D56" s="4">
        <f>IF(A56="","",VLOOKUP(A56,'F01 - _Données Expatriés'!$A$6:$L$15,6,FALSE))</f>
        <v/>
      </c>
      <c r="E56" s="4" t="n"/>
      <c r="F56" s="4" t="n"/>
      <c r="G56" s="4" t="n"/>
      <c r="H56" s="4">
        <f>IF(F56="","",IFERROR(F56-G56-J56,0))</f>
        <v/>
      </c>
      <c r="I56" s="4" t="n"/>
      <c r="J56" s="4">
        <f>IF(F56="","",IFERROR(G56/F56*100,0))</f>
        <v/>
      </c>
    </row>
    <row r="57">
      <c r="A57" s="6" t="n"/>
      <c r="B57" s="6">
        <f>IF(A57="","",VLOOKUP(A57,'F01 - _Données Expatriés'!$A$6:$L$15,2,FALSE))</f>
        <v/>
      </c>
      <c r="C57" s="6">
        <f>IF(A57="","",VLOOKUP(A57,'F01 - _Données Expatriés'!$A$6:$L$15,3,FALSE))</f>
        <v/>
      </c>
      <c r="D57" s="6">
        <f>IF(A57="","",VLOOKUP(A57,'F01 - _Données Expatriés'!$A$6:$L$15,6,FALSE))</f>
        <v/>
      </c>
      <c r="E57" s="6" t="n"/>
      <c r="F57" s="6" t="n"/>
      <c r="G57" s="6" t="n"/>
      <c r="H57" s="6">
        <f>IF(F57="","",IFERROR(F57-G57-J57,0))</f>
        <v/>
      </c>
      <c r="I57" s="6" t="n"/>
      <c r="J57" s="6">
        <f>IF(F57="","",IFERROR(G57/F57*100,0))</f>
        <v/>
      </c>
    </row>
    <row r="58">
      <c r="A58" s="4" t="n"/>
      <c r="B58" s="4">
        <f>IF(A58="","",VLOOKUP(A58,'F01 - _Données Expatriés'!$A$6:$L$15,2,FALSE))</f>
        <v/>
      </c>
      <c r="C58" s="4">
        <f>IF(A58="","",VLOOKUP(A58,'F01 - _Données Expatriés'!$A$6:$L$15,3,FALSE))</f>
        <v/>
      </c>
      <c r="D58" s="4">
        <f>IF(A58="","",VLOOKUP(A58,'F01 - _Données Expatriés'!$A$6:$L$15,6,FALSE))</f>
        <v/>
      </c>
      <c r="E58" s="4" t="n"/>
      <c r="F58" s="4" t="n"/>
      <c r="G58" s="4" t="n"/>
      <c r="H58" s="4">
        <f>IF(F58="","",IFERROR(F58-G58-J58,0))</f>
        <v/>
      </c>
      <c r="I58" s="4" t="n"/>
      <c r="J58" s="4">
        <f>IF(F58="","",IFERROR(G58/F58*100,0))</f>
        <v/>
      </c>
    </row>
    <row r="59">
      <c r="A59" s="6" t="n"/>
      <c r="B59" s="6">
        <f>IF(A59="","",VLOOKUP(A59,'F01 - _Données Expatriés'!$A$6:$L$15,2,FALSE))</f>
        <v/>
      </c>
      <c r="C59" s="6">
        <f>IF(A59="","",VLOOKUP(A59,'F01 - _Données Expatriés'!$A$6:$L$15,3,FALSE))</f>
        <v/>
      </c>
      <c r="D59" s="6">
        <f>IF(A59="","",VLOOKUP(A59,'F01 - _Données Expatriés'!$A$6:$L$15,6,FALSE))</f>
        <v/>
      </c>
      <c r="E59" s="6" t="n"/>
      <c r="F59" s="6" t="n"/>
      <c r="G59" s="6" t="n"/>
      <c r="H59" s="6">
        <f>IF(F59="","",IFERROR(F59-G59-J59,0))</f>
        <v/>
      </c>
      <c r="I59" s="6" t="n"/>
      <c r="J59" s="6">
        <f>IF(F59="","",IFERROR(G59/F59*100,0))</f>
        <v/>
      </c>
    </row>
    <row r="60">
      <c r="A60" s="4" t="n"/>
      <c r="B60" s="4">
        <f>IF(A60="","",VLOOKUP(A60,'F01 - _Données Expatriés'!$A$6:$L$15,2,FALSE))</f>
        <v/>
      </c>
      <c r="C60" s="4">
        <f>IF(A60="","",VLOOKUP(A60,'F01 - _Données Expatriés'!$A$6:$L$15,3,FALSE))</f>
        <v/>
      </c>
      <c r="D60" s="4">
        <f>IF(A60="","",VLOOKUP(A60,'F01 - _Données Expatriés'!$A$6:$L$15,6,FALSE))</f>
        <v/>
      </c>
      <c r="E60" s="4" t="n"/>
      <c r="F60" s="4" t="n"/>
      <c r="G60" s="4" t="n"/>
      <c r="H60" s="4">
        <f>IF(F60="","",IFERROR(F60-G60-J60,0))</f>
        <v/>
      </c>
      <c r="I60" s="4" t="n"/>
      <c r="J60" s="4">
        <f>IF(F60="","",IFERROR(G60/F60*100,0))</f>
        <v/>
      </c>
    </row>
    <row r="61">
      <c r="A61" s="6" t="n"/>
      <c r="B61" s="6">
        <f>IF(A61="","",VLOOKUP(A61,'F01 - _Données Expatriés'!$A$6:$L$15,2,FALSE))</f>
        <v/>
      </c>
      <c r="C61" s="6">
        <f>IF(A61="","",VLOOKUP(A61,'F01 - _Données Expatriés'!$A$6:$L$15,3,FALSE))</f>
        <v/>
      </c>
      <c r="D61" s="6">
        <f>IF(A61="","",VLOOKUP(A61,'F01 - _Données Expatriés'!$A$6:$L$15,6,FALSE))</f>
        <v/>
      </c>
      <c r="E61" s="6" t="n"/>
      <c r="F61" s="6" t="n"/>
      <c r="G61" s="6" t="n"/>
      <c r="H61" s="6">
        <f>IF(F61="","",IFERROR(F61-G61-J61,0))</f>
        <v/>
      </c>
      <c r="I61" s="6" t="n"/>
      <c r="J61" s="6">
        <f>IF(F61="","",IFERROR(G61/F61*100,0))</f>
        <v/>
      </c>
    </row>
    <row r="62">
      <c r="A62" s="4" t="n"/>
      <c r="B62" s="4">
        <f>IF(A62="","",VLOOKUP(A62,'F01 - _Données Expatriés'!$A$6:$L$15,2,FALSE))</f>
        <v/>
      </c>
      <c r="C62" s="4">
        <f>IF(A62="","",VLOOKUP(A62,'F01 - _Données Expatriés'!$A$6:$L$15,3,FALSE))</f>
        <v/>
      </c>
      <c r="D62" s="4">
        <f>IF(A62="","",VLOOKUP(A62,'F01 - _Données Expatriés'!$A$6:$L$15,6,FALSE))</f>
        <v/>
      </c>
      <c r="E62" s="4" t="n"/>
      <c r="F62" s="4" t="n"/>
      <c r="G62" s="4" t="n"/>
      <c r="H62" s="4">
        <f>IF(F62="","",IFERROR(F62-G62-J62,0))</f>
        <v/>
      </c>
      <c r="I62" s="4" t="n"/>
      <c r="J62" s="4">
        <f>IF(F62="","",IFERROR(G62/F62*100,0))</f>
        <v/>
      </c>
    </row>
    <row r="63">
      <c r="A63" s="6" t="n"/>
      <c r="B63" s="6">
        <f>IF(A63="","",VLOOKUP(A63,'F01 - _Données Expatriés'!$A$6:$L$15,2,FALSE))</f>
        <v/>
      </c>
      <c r="C63" s="6">
        <f>IF(A63="","",VLOOKUP(A63,'F01 - _Données Expatriés'!$A$6:$L$15,3,FALSE))</f>
        <v/>
      </c>
      <c r="D63" s="6">
        <f>IF(A63="","",VLOOKUP(A63,'F01 - _Données Expatriés'!$A$6:$L$15,6,FALSE))</f>
        <v/>
      </c>
      <c r="E63" s="6" t="n"/>
      <c r="F63" s="6" t="n"/>
      <c r="G63" s="6" t="n"/>
      <c r="H63" s="6">
        <f>IF(F63="","",IFERROR(F63-G63-J63,0))</f>
        <v/>
      </c>
      <c r="I63" s="6" t="n"/>
      <c r="J63" s="6">
        <f>IF(F63="","",IFERROR(G63/F63*100,0))</f>
        <v/>
      </c>
    </row>
    <row r="64">
      <c r="A64" s="4" t="n"/>
      <c r="B64" s="4">
        <f>IF(A64="","",VLOOKUP(A64,'F01 - _Données Expatriés'!$A$6:$L$15,2,FALSE))</f>
        <v/>
      </c>
      <c r="C64" s="4">
        <f>IF(A64="","",VLOOKUP(A64,'F01 - _Données Expatriés'!$A$6:$L$15,3,FALSE))</f>
        <v/>
      </c>
      <c r="D64" s="4">
        <f>IF(A64="","",VLOOKUP(A64,'F01 - _Données Expatriés'!$A$6:$L$15,6,FALSE))</f>
        <v/>
      </c>
      <c r="E64" s="4" t="n"/>
      <c r="F64" s="4" t="n"/>
      <c r="G64" s="4" t="n"/>
      <c r="H64" s="4">
        <f>IF(F64="","",IFERROR(F64-G64-J64,0))</f>
        <v/>
      </c>
      <c r="I64" s="4" t="n"/>
      <c r="J64" s="4">
        <f>IF(F64="","",IFERROR(G64/F64*100,0))</f>
        <v/>
      </c>
    </row>
    <row r="65">
      <c r="A65" s="6" t="n"/>
      <c r="B65" s="6">
        <f>IF(A65="","",VLOOKUP(A65,'F01 - _Données Expatriés'!$A$6:$L$15,2,FALSE))</f>
        <v/>
      </c>
      <c r="C65" s="6">
        <f>IF(A65="","",VLOOKUP(A65,'F01 - _Données Expatriés'!$A$6:$L$15,3,FALSE))</f>
        <v/>
      </c>
      <c r="D65" s="6">
        <f>IF(A65="","",VLOOKUP(A65,'F01 - _Données Expatriés'!$A$6:$L$15,6,FALSE))</f>
        <v/>
      </c>
      <c r="E65" s="6" t="n"/>
      <c r="F65" s="6" t="n"/>
      <c r="G65" s="6" t="n"/>
      <c r="H65" s="6">
        <f>IF(F65="","",IFERROR(F65-G65-J65,0))</f>
        <v/>
      </c>
      <c r="I65" s="6" t="n"/>
      <c r="J65" s="6">
        <f>IF(F65="","",IFERROR(G65/F65*100,0))</f>
        <v/>
      </c>
    </row>
    <row r="66">
      <c r="A66" s="4" t="n"/>
      <c r="B66" s="4">
        <f>IF(A66="","",VLOOKUP(A66,'F01 - _Données Expatriés'!$A$6:$L$15,2,FALSE))</f>
        <v/>
      </c>
      <c r="C66" s="4">
        <f>IF(A66="","",VLOOKUP(A66,'F01 - _Données Expatriés'!$A$6:$L$15,3,FALSE))</f>
        <v/>
      </c>
      <c r="D66" s="4">
        <f>IF(A66="","",VLOOKUP(A66,'F01 - _Données Expatriés'!$A$6:$L$15,6,FALSE))</f>
        <v/>
      </c>
      <c r="E66" s="4" t="n"/>
      <c r="F66" s="4" t="n"/>
      <c r="G66" s="4" t="n"/>
      <c r="H66" s="4">
        <f>IF(F66="","",IFERROR(F66-G66-J66,0))</f>
        <v/>
      </c>
      <c r="I66" s="4" t="n"/>
      <c r="J66" s="4">
        <f>IF(F66="","",IFERROR(G66/F66*100,0))</f>
        <v/>
      </c>
    </row>
    <row r="67">
      <c r="A67" s="6" t="n"/>
      <c r="B67" s="6">
        <f>IF(A67="","",VLOOKUP(A67,'F01 - _Données Expatriés'!$A$6:$L$15,2,FALSE))</f>
        <v/>
      </c>
      <c r="C67" s="6">
        <f>IF(A67="","",VLOOKUP(A67,'F01 - _Données Expatriés'!$A$6:$L$15,3,FALSE))</f>
        <v/>
      </c>
      <c r="D67" s="6">
        <f>IF(A67="","",VLOOKUP(A67,'F01 - _Données Expatriés'!$A$6:$L$15,6,FALSE))</f>
        <v/>
      </c>
      <c r="E67" s="6" t="n"/>
      <c r="F67" s="6" t="n"/>
      <c r="G67" s="6" t="n"/>
      <c r="H67" s="6">
        <f>IF(F67="","",IFERROR(F67-G67-J67,0))</f>
        <v/>
      </c>
      <c r="I67" s="6" t="n"/>
      <c r="J67" s="6">
        <f>IF(F67="","",IFERROR(G67/F67*100,0))</f>
        <v/>
      </c>
    </row>
    <row r="68">
      <c r="A68" s="4" t="n"/>
      <c r="B68" s="4">
        <f>IF(A68="","",VLOOKUP(A68,'F01 - _Données Expatriés'!$A$6:$L$15,2,FALSE))</f>
        <v/>
      </c>
      <c r="C68" s="4">
        <f>IF(A68="","",VLOOKUP(A68,'F01 - _Données Expatriés'!$A$6:$L$15,3,FALSE))</f>
        <v/>
      </c>
      <c r="D68" s="4">
        <f>IF(A68="","",VLOOKUP(A68,'F01 - _Données Expatriés'!$A$6:$L$15,6,FALSE))</f>
        <v/>
      </c>
      <c r="E68" s="4" t="n"/>
      <c r="F68" s="4" t="n"/>
      <c r="G68" s="4" t="n"/>
      <c r="H68" s="4">
        <f>IF(F68="","",IFERROR(F68-G68-J68,0))</f>
        <v/>
      </c>
      <c r="I68" s="4" t="n"/>
      <c r="J68" s="4">
        <f>IF(F68="","",IFERROR(G68/F68*100,0))</f>
        <v/>
      </c>
    </row>
    <row r="69">
      <c r="A69" s="6" t="n"/>
      <c r="B69" s="6">
        <f>IF(A69="","",VLOOKUP(A69,'F01 - _Données Expatriés'!$A$6:$L$15,2,FALSE))</f>
        <v/>
      </c>
      <c r="C69" s="6">
        <f>IF(A69="","",VLOOKUP(A69,'F01 - _Données Expatriés'!$A$6:$L$15,3,FALSE))</f>
        <v/>
      </c>
      <c r="D69" s="6">
        <f>IF(A69="","",VLOOKUP(A69,'F01 - _Données Expatriés'!$A$6:$L$15,6,FALSE))</f>
        <v/>
      </c>
      <c r="E69" s="6" t="n"/>
      <c r="F69" s="6" t="n"/>
      <c r="G69" s="6" t="n"/>
      <c r="H69" s="6">
        <f>IF(F69="","",IFERROR(F69-G69-J69,0))</f>
        <v/>
      </c>
      <c r="I69" s="6" t="n"/>
      <c r="J69" s="6">
        <f>IF(F69="","",IFERROR(G69/F69*100,0))</f>
        <v/>
      </c>
    </row>
    <row r="70">
      <c r="A70" s="4" t="n"/>
      <c r="B70" s="4">
        <f>IF(A70="","",VLOOKUP(A70,'F01 - _Données Expatriés'!$A$6:$L$15,2,FALSE))</f>
        <v/>
      </c>
      <c r="C70" s="4">
        <f>IF(A70="","",VLOOKUP(A70,'F01 - _Données Expatriés'!$A$6:$L$15,3,FALSE))</f>
        <v/>
      </c>
      <c r="D70" s="4">
        <f>IF(A70="","",VLOOKUP(A70,'F01 - _Données Expatriés'!$A$6:$L$15,6,FALSE))</f>
        <v/>
      </c>
      <c r="E70" s="4" t="n"/>
      <c r="F70" s="4" t="n"/>
      <c r="G70" s="4" t="n"/>
      <c r="H70" s="4">
        <f>IF(F70="","",IFERROR(F70-G70-J70,0))</f>
        <v/>
      </c>
      <c r="I70" s="4" t="n"/>
      <c r="J70" s="4">
        <f>IF(F70="","",IFERROR(G70/F70*100,0))</f>
        <v/>
      </c>
    </row>
    <row r="71">
      <c r="A71" s="6" t="n"/>
      <c r="B71" s="6">
        <f>IF(A71="","",VLOOKUP(A71,'F01 - _Données Expatriés'!$A$6:$L$15,2,FALSE))</f>
        <v/>
      </c>
      <c r="C71" s="6">
        <f>IF(A71="","",VLOOKUP(A71,'F01 - _Données Expatriés'!$A$6:$L$15,3,FALSE))</f>
        <v/>
      </c>
      <c r="D71" s="6">
        <f>IF(A71="","",VLOOKUP(A71,'F01 - _Données Expatriés'!$A$6:$L$15,6,FALSE))</f>
        <v/>
      </c>
      <c r="E71" s="6" t="n"/>
      <c r="F71" s="6" t="n"/>
      <c r="G71" s="6" t="n"/>
      <c r="H71" s="6">
        <f>IF(F71="","",IFERROR(F71-G71-J71,0))</f>
        <v/>
      </c>
      <c r="I71" s="6" t="n"/>
      <c r="J71" s="6">
        <f>IF(F71="","",IFERROR(G71/F71*100,0))</f>
        <v/>
      </c>
    </row>
    <row r="72">
      <c r="A72" s="4" t="n"/>
      <c r="B72" s="4">
        <f>IF(A72="","",VLOOKUP(A72,'F01 - _Données Expatriés'!$A$6:$L$15,2,FALSE))</f>
        <v/>
      </c>
      <c r="C72" s="4">
        <f>IF(A72="","",VLOOKUP(A72,'F01 - _Données Expatriés'!$A$6:$L$15,3,FALSE))</f>
        <v/>
      </c>
      <c r="D72" s="4">
        <f>IF(A72="","",VLOOKUP(A72,'F01 - _Données Expatriés'!$A$6:$L$15,6,FALSE))</f>
        <v/>
      </c>
      <c r="E72" s="4" t="n"/>
      <c r="F72" s="4" t="n"/>
      <c r="G72" s="4" t="n"/>
      <c r="H72" s="4">
        <f>IF(F72="","",IFERROR(F72-G72-J72,0))</f>
        <v/>
      </c>
      <c r="I72" s="4" t="n"/>
      <c r="J72" s="4">
        <f>IF(F72="","",IFERROR(G72/F72*100,0))</f>
        <v/>
      </c>
    </row>
    <row r="73">
      <c r="A73" s="6" t="n"/>
      <c r="B73" s="6">
        <f>IF(A73="","",VLOOKUP(A73,'F01 - _Données Expatriés'!$A$6:$L$15,2,FALSE))</f>
        <v/>
      </c>
      <c r="C73" s="6">
        <f>IF(A73="","",VLOOKUP(A73,'F01 - _Données Expatriés'!$A$6:$L$15,3,FALSE))</f>
        <v/>
      </c>
      <c r="D73" s="6">
        <f>IF(A73="","",VLOOKUP(A73,'F01 - _Données Expatriés'!$A$6:$L$15,6,FALSE))</f>
        <v/>
      </c>
      <c r="E73" s="6" t="n"/>
      <c r="F73" s="6" t="n"/>
      <c r="G73" s="6" t="n"/>
      <c r="H73" s="6">
        <f>IF(F73="","",IFERROR(F73-G73-J73,0))</f>
        <v/>
      </c>
      <c r="I73" s="6" t="n"/>
      <c r="J73" s="6">
        <f>IF(F73="","",IFERROR(G73/F73*100,0))</f>
        <v/>
      </c>
    </row>
    <row r="74">
      <c r="A74" s="4" t="n"/>
      <c r="B74" s="4">
        <f>IF(A74="","",VLOOKUP(A74,'F01 - _Données Expatriés'!$A$6:$L$15,2,FALSE))</f>
        <v/>
      </c>
      <c r="C74" s="4">
        <f>IF(A74="","",VLOOKUP(A74,'F01 - _Données Expatriés'!$A$6:$L$15,3,FALSE))</f>
        <v/>
      </c>
      <c r="D74" s="4">
        <f>IF(A74="","",VLOOKUP(A74,'F01 - _Données Expatriés'!$A$6:$L$15,6,FALSE))</f>
        <v/>
      </c>
      <c r="E74" s="4" t="n"/>
      <c r="F74" s="4" t="n"/>
      <c r="G74" s="4" t="n"/>
      <c r="H74" s="4">
        <f>IF(F74="","",IFERROR(F74-G74-J74,0))</f>
        <v/>
      </c>
      <c r="I74" s="4" t="n"/>
      <c r="J74" s="4">
        <f>IF(F74="","",IFERROR(G74/F74*100,0))</f>
        <v/>
      </c>
    </row>
    <row r="75">
      <c r="A75" s="6" t="n"/>
      <c r="B75" s="6">
        <f>IF(A75="","",VLOOKUP(A75,'F01 - _Données Expatriés'!$A$6:$L$15,2,FALSE))</f>
        <v/>
      </c>
      <c r="C75" s="6">
        <f>IF(A75="","",VLOOKUP(A75,'F01 - _Données Expatriés'!$A$6:$L$15,3,FALSE))</f>
        <v/>
      </c>
      <c r="D75" s="6">
        <f>IF(A75="","",VLOOKUP(A75,'F01 - _Données Expatriés'!$A$6:$L$15,6,FALSE))</f>
        <v/>
      </c>
      <c r="E75" s="6" t="n"/>
      <c r="F75" s="6" t="n"/>
      <c r="G75" s="6" t="n"/>
      <c r="H75" s="6">
        <f>IF(F75="","",IFERROR(F75-G75-J75,0))</f>
        <v/>
      </c>
      <c r="I75" s="6" t="n"/>
      <c r="J75" s="6">
        <f>IF(F75="","",IFERROR(G75/F75*100,0))</f>
        <v/>
      </c>
    </row>
    <row r="76">
      <c r="A76" s="4" t="n"/>
      <c r="B76" s="4">
        <f>IF(A76="","",VLOOKUP(A76,'F01 - _Données Expatriés'!$A$6:$L$15,2,FALSE))</f>
        <v/>
      </c>
      <c r="C76" s="4">
        <f>IF(A76="","",VLOOKUP(A76,'F01 - _Données Expatriés'!$A$6:$L$15,3,FALSE))</f>
        <v/>
      </c>
      <c r="D76" s="4">
        <f>IF(A76="","",VLOOKUP(A76,'F01 - _Données Expatriés'!$A$6:$L$15,6,FALSE))</f>
        <v/>
      </c>
      <c r="E76" s="4" t="n"/>
      <c r="F76" s="4" t="n"/>
      <c r="G76" s="4" t="n"/>
      <c r="H76" s="4">
        <f>IF(F76="","",IFERROR(F76-G76-J76,0))</f>
        <v/>
      </c>
      <c r="I76" s="4" t="n"/>
      <c r="J76" s="4">
        <f>IF(F76="","",IFERROR(G76/F76*100,0))</f>
        <v/>
      </c>
    </row>
    <row r="77">
      <c r="A77" s="6" t="n"/>
      <c r="B77" s="6">
        <f>IF(A77="","",VLOOKUP(A77,'F01 - _Données Expatriés'!$A$6:$L$15,2,FALSE))</f>
        <v/>
      </c>
      <c r="C77" s="6">
        <f>IF(A77="","",VLOOKUP(A77,'F01 - _Données Expatriés'!$A$6:$L$15,3,FALSE))</f>
        <v/>
      </c>
      <c r="D77" s="6">
        <f>IF(A77="","",VLOOKUP(A77,'F01 - _Données Expatriés'!$A$6:$L$15,6,FALSE))</f>
        <v/>
      </c>
      <c r="E77" s="6" t="n"/>
      <c r="F77" s="6" t="n"/>
      <c r="G77" s="6" t="n"/>
      <c r="H77" s="6">
        <f>IF(F77="","",IFERROR(F77-G77-J77,0))</f>
        <v/>
      </c>
      <c r="I77" s="6" t="n"/>
      <c r="J77" s="6">
        <f>IF(F77="","",IFERROR(G77/F77*100,0))</f>
        <v/>
      </c>
    </row>
    <row r="78">
      <c r="A78" s="4" t="n"/>
      <c r="B78" s="4">
        <f>IF(A78="","",VLOOKUP(A78,'F01 - _Données Expatriés'!$A$6:$L$15,2,FALSE))</f>
        <v/>
      </c>
      <c r="C78" s="4">
        <f>IF(A78="","",VLOOKUP(A78,'F01 - _Données Expatriés'!$A$6:$L$15,3,FALSE))</f>
        <v/>
      </c>
      <c r="D78" s="4">
        <f>IF(A78="","",VLOOKUP(A78,'F01 - _Données Expatriés'!$A$6:$L$15,6,FALSE))</f>
        <v/>
      </c>
      <c r="E78" s="4" t="n"/>
      <c r="F78" s="4" t="n"/>
      <c r="G78" s="4" t="n"/>
      <c r="H78" s="4">
        <f>IF(F78="","",IFERROR(F78-G78-J78,0))</f>
        <v/>
      </c>
      <c r="I78" s="4" t="n"/>
      <c r="J78" s="4">
        <f>IF(F78="","",IFERROR(G78/F78*100,0))</f>
        <v/>
      </c>
    </row>
    <row r="79">
      <c r="A79" s="6" t="n"/>
      <c r="B79" s="6">
        <f>IF(A79="","",VLOOKUP(A79,'F01 - _Données Expatriés'!$A$6:$L$15,2,FALSE))</f>
        <v/>
      </c>
      <c r="C79" s="6">
        <f>IF(A79="","",VLOOKUP(A79,'F01 - _Données Expatriés'!$A$6:$L$15,3,FALSE))</f>
        <v/>
      </c>
      <c r="D79" s="6">
        <f>IF(A79="","",VLOOKUP(A79,'F01 - _Données Expatriés'!$A$6:$L$15,6,FALSE))</f>
        <v/>
      </c>
      <c r="E79" s="6" t="n"/>
      <c r="F79" s="6" t="n"/>
      <c r="G79" s="6" t="n"/>
      <c r="H79" s="6">
        <f>IF(F79="","",IFERROR(F79-G79-J79,0))</f>
        <v/>
      </c>
      <c r="I79" s="6" t="n"/>
      <c r="J79" s="6">
        <f>IF(F79="","",IFERROR(G79/F79*100,0))</f>
        <v/>
      </c>
    </row>
    <row r="80">
      <c r="A80" s="4" t="n"/>
      <c r="B80" s="4">
        <f>IF(A80="","",VLOOKUP(A80,'F01 - _Données Expatriés'!$A$6:$L$15,2,FALSE))</f>
        <v/>
      </c>
      <c r="C80" s="4">
        <f>IF(A80="","",VLOOKUP(A80,'F01 - _Données Expatriés'!$A$6:$L$15,3,FALSE))</f>
        <v/>
      </c>
      <c r="D80" s="4">
        <f>IF(A80="","",VLOOKUP(A80,'F01 - _Données Expatriés'!$A$6:$L$15,6,FALSE))</f>
        <v/>
      </c>
      <c r="E80" s="4" t="n"/>
      <c r="F80" s="4" t="n"/>
      <c r="G80" s="4" t="n"/>
      <c r="H80" s="4">
        <f>IF(F80="","",IFERROR(F80-G80-J80,0))</f>
        <v/>
      </c>
      <c r="I80" s="4" t="n"/>
      <c r="J80" s="4">
        <f>IF(F80="","",IFERROR(G80/F80*100,0))</f>
        <v/>
      </c>
    </row>
    <row r="81">
      <c r="A81" s="6" t="n"/>
      <c r="B81" s="6">
        <f>IF(A81="","",VLOOKUP(A81,'F01 - _Données Expatriés'!$A$6:$L$15,2,FALSE))</f>
        <v/>
      </c>
      <c r="C81" s="6">
        <f>IF(A81="","",VLOOKUP(A81,'F01 - _Données Expatriés'!$A$6:$L$15,3,FALSE))</f>
        <v/>
      </c>
      <c r="D81" s="6">
        <f>IF(A81="","",VLOOKUP(A81,'F01 - _Données Expatriés'!$A$6:$L$15,6,FALSE))</f>
        <v/>
      </c>
      <c r="E81" s="6" t="n"/>
      <c r="F81" s="6" t="n"/>
      <c r="G81" s="6" t="n"/>
      <c r="H81" s="6">
        <f>IF(F81="","",IFERROR(F81-G81-J81,0))</f>
        <v/>
      </c>
      <c r="I81" s="6" t="n"/>
      <c r="J81" s="6">
        <f>IF(F81="","",IFERROR(G81/F81*100,0))</f>
        <v/>
      </c>
    </row>
    <row r="82">
      <c r="A82" s="4" t="n"/>
      <c r="B82" s="4">
        <f>IF(A82="","",VLOOKUP(A82,'F01 - _Données Expatriés'!$A$6:$L$15,2,FALSE))</f>
        <v/>
      </c>
      <c r="C82" s="4">
        <f>IF(A82="","",VLOOKUP(A82,'F01 - _Données Expatriés'!$A$6:$L$15,3,FALSE))</f>
        <v/>
      </c>
      <c r="D82" s="4">
        <f>IF(A82="","",VLOOKUP(A82,'F01 - _Données Expatriés'!$A$6:$L$15,6,FALSE))</f>
        <v/>
      </c>
      <c r="E82" s="4" t="n"/>
      <c r="F82" s="4" t="n"/>
      <c r="G82" s="4" t="n"/>
      <c r="H82" s="4">
        <f>IF(F82="","",IFERROR(F82-G82-J82,0))</f>
        <v/>
      </c>
      <c r="I82" s="4" t="n"/>
      <c r="J82" s="4">
        <f>IF(F82="","",IFERROR(G82/F82*100,0))</f>
        <v/>
      </c>
    </row>
    <row r="83">
      <c r="A83" s="6" t="n"/>
      <c r="B83" s="6">
        <f>IF(A83="","",VLOOKUP(A83,'F01 - _Données Expatriés'!$A$6:$L$15,2,FALSE))</f>
        <v/>
      </c>
      <c r="C83" s="6">
        <f>IF(A83="","",VLOOKUP(A83,'F01 - _Données Expatriés'!$A$6:$L$15,3,FALSE))</f>
        <v/>
      </c>
      <c r="D83" s="6">
        <f>IF(A83="","",VLOOKUP(A83,'F01 - _Données Expatriés'!$A$6:$L$15,6,FALSE))</f>
        <v/>
      </c>
      <c r="E83" s="6" t="n"/>
      <c r="F83" s="6" t="n"/>
      <c r="G83" s="6" t="n"/>
      <c r="H83" s="6">
        <f>IF(F83="","",IFERROR(F83-G83-J83,0))</f>
        <v/>
      </c>
      <c r="I83" s="6" t="n"/>
      <c r="J83" s="6">
        <f>IF(F83="","",IFERROR(G83/F83*100,0))</f>
        <v/>
      </c>
    </row>
    <row r="84">
      <c r="A84" s="4" t="n"/>
      <c r="B84" s="4">
        <f>IF(A84="","",VLOOKUP(A84,'F01 - _Données Expatriés'!$A$6:$L$15,2,FALSE))</f>
        <v/>
      </c>
      <c r="C84" s="4">
        <f>IF(A84="","",VLOOKUP(A84,'F01 - _Données Expatriés'!$A$6:$L$15,3,FALSE))</f>
        <v/>
      </c>
      <c r="D84" s="4">
        <f>IF(A84="","",VLOOKUP(A84,'F01 - _Données Expatriés'!$A$6:$L$15,6,FALSE))</f>
        <v/>
      </c>
      <c r="E84" s="4" t="n"/>
      <c r="F84" s="4" t="n"/>
      <c r="G84" s="4" t="n"/>
      <c r="H84" s="4">
        <f>IF(F84="","",IFERROR(F84-G84-J84,0))</f>
        <v/>
      </c>
      <c r="I84" s="4" t="n"/>
      <c r="J84" s="4">
        <f>IF(F84="","",IFERROR(G84/F84*100,0))</f>
        <v/>
      </c>
    </row>
    <row r="85">
      <c r="A85" s="6" t="n"/>
      <c r="B85" s="6">
        <f>IF(A85="","",VLOOKUP(A85,'F01 - _Données Expatriés'!$A$6:$L$15,2,FALSE))</f>
        <v/>
      </c>
      <c r="C85" s="6">
        <f>IF(A85="","",VLOOKUP(A85,'F01 - _Données Expatriés'!$A$6:$L$15,3,FALSE))</f>
        <v/>
      </c>
      <c r="D85" s="6">
        <f>IF(A85="","",VLOOKUP(A85,'F01 - _Données Expatriés'!$A$6:$L$15,6,FALSE))</f>
        <v/>
      </c>
      <c r="E85" s="6" t="n"/>
      <c r="F85" s="6" t="n"/>
      <c r="G85" s="6" t="n"/>
      <c r="H85" s="6">
        <f>IF(F85="","",IFERROR(F85-G85-J85,0))</f>
        <v/>
      </c>
      <c r="I85" s="6" t="n"/>
      <c r="J85" s="6">
        <f>IF(F85="","",IFERROR(G85/F85*100,0))</f>
        <v/>
      </c>
    </row>
    <row r="86">
      <c r="A86" s="4" t="n"/>
      <c r="B86" s="4">
        <f>IF(A86="","",VLOOKUP(A86,'F01 - _Données Expatriés'!$A$6:$L$15,2,FALSE))</f>
        <v/>
      </c>
      <c r="C86" s="4">
        <f>IF(A86="","",VLOOKUP(A86,'F01 - _Données Expatriés'!$A$6:$L$15,3,FALSE))</f>
        <v/>
      </c>
      <c r="D86" s="4">
        <f>IF(A86="","",VLOOKUP(A86,'F01 - _Données Expatriés'!$A$6:$L$15,6,FALSE))</f>
        <v/>
      </c>
      <c r="E86" s="4" t="n"/>
      <c r="F86" s="4" t="n"/>
      <c r="G86" s="4" t="n"/>
      <c r="H86" s="4">
        <f>IF(F86="","",IFERROR(F86-G86-J86,0))</f>
        <v/>
      </c>
      <c r="I86" s="4" t="n"/>
      <c r="J86" s="4">
        <f>IF(F86="","",IFERROR(G86/F86*100,0))</f>
        <v/>
      </c>
    </row>
    <row r="87">
      <c r="A87" s="6" t="n"/>
      <c r="B87" s="6">
        <f>IF(A87="","",VLOOKUP(A87,'F01 - _Données Expatriés'!$A$6:$L$15,2,FALSE))</f>
        <v/>
      </c>
      <c r="C87" s="6">
        <f>IF(A87="","",VLOOKUP(A87,'F01 - _Données Expatriés'!$A$6:$L$15,3,FALSE))</f>
        <v/>
      </c>
      <c r="D87" s="6">
        <f>IF(A87="","",VLOOKUP(A87,'F01 - _Données Expatriés'!$A$6:$L$15,6,FALSE))</f>
        <v/>
      </c>
      <c r="E87" s="6" t="n"/>
      <c r="F87" s="6" t="n"/>
      <c r="G87" s="6" t="n"/>
      <c r="H87" s="6">
        <f>IF(F87="","",IFERROR(F87-G87-J87,0))</f>
        <v/>
      </c>
      <c r="I87" s="6" t="n"/>
      <c r="J87" s="6">
        <f>IF(F87="","",IFERROR(G87/F87*100,0))</f>
        <v/>
      </c>
    </row>
    <row r="88">
      <c r="A88" s="4" t="n"/>
      <c r="B88" s="4">
        <f>IF(A88="","",VLOOKUP(A88,'F01 - _Données Expatriés'!$A$6:$L$15,2,FALSE))</f>
        <v/>
      </c>
      <c r="C88" s="4">
        <f>IF(A88="","",VLOOKUP(A88,'F01 - _Données Expatriés'!$A$6:$L$15,3,FALSE))</f>
        <v/>
      </c>
      <c r="D88" s="4">
        <f>IF(A88="","",VLOOKUP(A88,'F01 - _Données Expatriés'!$A$6:$L$15,6,FALSE))</f>
        <v/>
      </c>
      <c r="E88" s="4" t="n"/>
      <c r="F88" s="4" t="n"/>
      <c r="G88" s="4" t="n"/>
      <c r="H88" s="4">
        <f>IF(F88="","",IFERROR(F88-G88-J88,0))</f>
        <v/>
      </c>
      <c r="I88" s="4" t="n"/>
      <c r="J88" s="4">
        <f>IF(F88="","",IFERROR(G88/F88*100,0))</f>
        <v/>
      </c>
    </row>
    <row r="89">
      <c r="A89" s="6" t="n"/>
      <c r="B89" s="6">
        <f>IF(A89="","",VLOOKUP(A89,'F01 - _Données Expatriés'!$A$6:$L$15,2,FALSE))</f>
        <v/>
      </c>
      <c r="C89" s="6">
        <f>IF(A89="","",VLOOKUP(A89,'F01 - _Données Expatriés'!$A$6:$L$15,3,FALSE))</f>
        <v/>
      </c>
      <c r="D89" s="6">
        <f>IF(A89="","",VLOOKUP(A89,'F01 - _Données Expatriés'!$A$6:$L$15,6,FALSE))</f>
        <v/>
      </c>
      <c r="E89" s="6" t="n"/>
      <c r="F89" s="6" t="n"/>
      <c r="G89" s="6" t="n"/>
      <c r="H89" s="6">
        <f>IF(F89="","",IFERROR(F89-G89-J89,0))</f>
        <v/>
      </c>
      <c r="I89" s="6" t="n"/>
      <c r="J89" s="6">
        <f>IF(F89="","",IFERROR(G89/F89*100,0))</f>
        <v/>
      </c>
    </row>
    <row r="90">
      <c r="A90" s="4" t="n"/>
      <c r="B90" s="4">
        <f>IF(A90="","",VLOOKUP(A90,'F01 - _Données Expatriés'!$A$6:$L$15,2,FALSE))</f>
        <v/>
      </c>
      <c r="C90" s="4">
        <f>IF(A90="","",VLOOKUP(A90,'F01 - _Données Expatriés'!$A$6:$L$15,3,FALSE))</f>
        <v/>
      </c>
      <c r="D90" s="4">
        <f>IF(A90="","",VLOOKUP(A90,'F01 - _Données Expatriés'!$A$6:$L$15,6,FALSE))</f>
        <v/>
      </c>
      <c r="E90" s="4" t="n"/>
      <c r="F90" s="4" t="n"/>
      <c r="G90" s="4" t="n"/>
      <c r="H90" s="4">
        <f>IF(F90="","",IFERROR(F90-G90-J90,0))</f>
        <v/>
      </c>
      <c r="I90" s="4" t="n"/>
      <c r="J90" s="4">
        <f>IF(F90="","",IFERROR(G90/F90*100,0))</f>
        <v/>
      </c>
    </row>
    <row r="91">
      <c r="A91" s="6" t="n"/>
      <c r="B91" s="6">
        <f>IF(A91="","",VLOOKUP(A91,'F01 - _Données Expatriés'!$A$6:$L$15,2,FALSE))</f>
        <v/>
      </c>
      <c r="C91" s="6">
        <f>IF(A91="","",VLOOKUP(A91,'F01 - _Données Expatriés'!$A$6:$L$15,3,FALSE))</f>
        <v/>
      </c>
      <c r="D91" s="6">
        <f>IF(A91="","",VLOOKUP(A91,'F01 - _Données Expatriés'!$A$6:$L$15,6,FALSE))</f>
        <v/>
      </c>
      <c r="E91" s="6" t="n"/>
      <c r="F91" s="6" t="n"/>
      <c r="G91" s="6" t="n"/>
      <c r="H91" s="6">
        <f>IF(F91="","",IFERROR(F91-G91-J91,0))</f>
        <v/>
      </c>
      <c r="I91" s="6" t="n"/>
      <c r="J91" s="6">
        <f>IF(F91="","",IFERROR(G91/F91*100,0))</f>
        <v/>
      </c>
    </row>
    <row r="92">
      <c r="A92" s="4" t="n"/>
      <c r="B92" s="4">
        <f>IF(A92="","",VLOOKUP(A92,'F01 - _Données Expatriés'!$A$6:$L$15,2,FALSE))</f>
        <v/>
      </c>
      <c r="C92" s="4">
        <f>IF(A92="","",VLOOKUP(A92,'F01 - _Données Expatriés'!$A$6:$L$15,3,FALSE))</f>
        <v/>
      </c>
      <c r="D92" s="4">
        <f>IF(A92="","",VLOOKUP(A92,'F01 - _Données Expatriés'!$A$6:$L$15,6,FALSE))</f>
        <v/>
      </c>
      <c r="E92" s="4" t="n"/>
      <c r="F92" s="4" t="n"/>
      <c r="G92" s="4" t="n"/>
      <c r="H92" s="4">
        <f>IF(F92="","",IFERROR(F92-G92-J92,0))</f>
        <v/>
      </c>
      <c r="I92" s="4" t="n"/>
      <c r="J92" s="4">
        <f>IF(F92="","",IFERROR(G92/F92*100,0))</f>
        <v/>
      </c>
    </row>
    <row r="93">
      <c r="A93" s="6" t="n"/>
      <c r="B93" s="6">
        <f>IF(A93="","",VLOOKUP(A93,'F01 - _Données Expatriés'!$A$6:$L$15,2,FALSE))</f>
        <v/>
      </c>
      <c r="C93" s="6">
        <f>IF(A93="","",VLOOKUP(A93,'F01 - _Données Expatriés'!$A$6:$L$15,3,FALSE))</f>
        <v/>
      </c>
      <c r="D93" s="6">
        <f>IF(A93="","",VLOOKUP(A93,'F01 - _Données Expatriés'!$A$6:$L$15,6,FALSE))</f>
        <v/>
      </c>
      <c r="E93" s="6" t="n"/>
      <c r="F93" s="6" t="n"/>
      <c r="G93" s="6" t="n"/>
      <c r="H93" s="6">
        <f>IF(F93="","",IFERROR(F93-G93-J93,0))</f>
        <v/>
      </c>
      <c r="I93" s="6" t="n"/>
      <c r="J93" s="6">
        <f>IF(F93="","",IFERROR(G93/F93*100,0))</f>
        <v/>
      </c>
    </row>
    <row r="94">
      <c r="A94" s="4" t="n"/>
      <c r="B94" s="4">
        <f>IF(A94="","",VLOOKUP(A94,'F01 - _Données Expatriés'!$A$6:$L$15,2,FALSE))</f>
        <v/>
      </c>
      <c r="C94" s="4">
        <f>IF(A94="","",VLOOKUP(A94,'F01 - _Données Expatriés'!$A$6:$L$15,3,FALSE))</f>
        <v/>
      </c>
      <c r="D94" s="4">
        <f>IF(A94="","",VLOOKUP(A94,'F01 - _Données Expatriés'!$A$6:$L$15,6,FALSE))</f>
        <v/>
      </c>
      <c r="E94" s="4" t="n"/>
      <c r="F94" s="4" t="n"/>
      <c r="G94" s="4" t="n"/>
      <c r="H94" s="4">
        <f>IF(F94="","",IFERROR(F94-G94-J94,0))</f>
        <v/>
      </c>
      <c r="I94" s="4" t="n"/>
      <c r="J94" s="4">
        <f>IF(F94="","",IFERROR(G94/F94*100,0))</f>
        <v/>
      </c>
    </row>
    <row r="95">
      <c r="A95" s="6" t="n"/>
      <c r="B95" s="6">
        <f>IF(A95="","",VLOOKUP(A95,'F01 - _Données Expatriés'!$A$6:$L$15,2,FALSE))</f>
        <v/>
      </c>
      <c r="C95" s="6">
        <f>IF(A95="","",VLOOKUP(A95,'F01 - _Données Expatriés'!$A$6:$L$15,3,FALSE))</f>
        <v/>
      </c>
      <c r="D95" s="6">
        <f>IF(A95="","",VLOOKUP(A95,'F01 - _Données Expatriés'!$A$6:$L$15,6,FALSE))</f>
        <v/>
      </c>
      <c r="E95" s="6" t="n"/>
      <c r="F95" s="6" t="n"/>
      <c r="G95" s="6" t="n"/>
      <c r="H95" s="6">
        <f>IF(F95="","",IFERROR(F95-G95-J95,0))</f>
        <v/>
      </c>
      <c r="I95" s="6" t="n"/>
      <c r="J95" s="6">
        <f>IF(F95="","",IFERROR(G95/F95*100,0))</f>
        <v/>
      </c>
    </row>
    <row r="96">
      <c r="A96" s="4" t="n"/>
      <c r="B96" s="4">
        <f>IF(A96="","",VLOOKUP(A96,'F01 - _Données Expatriés'!$A$6:$L$15,2,FALSE))</f>
        <v/>
      </c>
      <c r="C96" s="4">
        <f>IF(A96="","",VLOOKUP(A96,'F01 - _Données Expatriés'!$A$6:$L$15,3,FALSE))</f>
        <v/>
      </c>
      <c r="D96" s="4">
        <f>IF(A96="","",VLOOKUP(A96,'F01 - _Données Expatriés'!$A$6:$L$15,6,FALSE))</f>
        <v/>
      </c>
      <c r="E96" s="4" t="n"/>
      <c r="F96" s="4" t="n"/>
      <c r="G96" s="4" t="n"/>
      <c r="H96" s="4">
        <f>IF(F96="","",IFERROR(F96-G96-J96,0))</f>
        <v/>
      </c>
      <c r="I96" s="4" t="n"/>
      <c r="J96" s="4">
        <f>IF(F96="","",IFERROR(G96/F96*100,0))</f>
        <v/>
      </c>
    </row>
    <row r="97">
      <c r="A97" s="6" t="n"/>
      <c r="B97" s="6">
        <f>IF(A97="","",VLOOKUP(A97,'F01 - _Données Expatriés'!$A$6:$L$15,2,FALSE))</f>
        <v/>
      </c>
      <c r="C97" s="6">
        <f>IF(A97="","",VLOOKUP(A97,'F01 - _Données Expatriés'!$A$6:$L$15,3,FALSE))</f>
        <v/>
      </c>
      <c r="D97" s="6">
        <f>IF(A97="","",VLOOKUP(A97,'F01 - _Données Expatriés'!$A$6:$L$15,6,FALSE))</f>
        <v/>
      </c>
      <c r="E97" s="6" t="n"/>
      <c r="F97" s="6" t="n"/>
      <c r="G97" s="6" t="n"/>
      <c r="H97" s="6">
        <f>IF(F97="","",IFERROR(F97-G97-J97,0))</f>
        <v/>
      </c>
      <c r="I97" s="6" t="n"/>
      <c r="J97" s="6">
        <f>IF(F97="","",IFERROR(G97/F97*100,0))</f>
        <v/>
      </c>
    </row>
    <row r="98">
      <c r="A98" s="4" t="n"/>
      <c r="B98" s="4">
        <f>IF(A98="","",VLOOKUP(A98,'F01 - _Données Expatriés'!$A$6:$L$15,2,FALSE))</f>
        <v/>
      </c>
      <c r="C98" s="4">
        <f>IF(A98="","",VLOOKUP(A98,'F01 - _Données Expatriés'!$A$6:$L$15,3,FALSE))</f>
        <v/>
      </c>
      <c r="D98" s="4">
        <f>IF(A98="","",VLOOKUP(A98,'F01 - _Données Expatriés'!$A$6:$L$15,6,FALSE))</f>
        <v/>
      </c>
      <c r="E98" s="4" t="n"/>
      <c r="F98" s="4" t="n"/>
      <c r="G98" s="4" t="n"/>
      <c r="H98" s="4">
        <f>IF(F98="","",IFERROR(F98-G98-J98,0))</f>
        <v/>
      </c>
      <c r="I98" s="4" t="n"/>
      <c r="J98" s="4">
        <f>IF(F98="","",IFERROR(G98/F98*100,0))</f>
        <v/>
      </c>
    </row>
    <row r="99">
      <c r="A99" s="6" t="n"/>
      <c r="B99" s="6">
        <f>IF(A99="","",VLOOKUP(A99,'F01 - _Données Expatriés'!$A$6:$L$15,2,FALSE))</f>
        <v/>
      </c>
      <c r="C99" s="6">
        <f>IF(A99="","",VLOOKUP(A99,'F01 - _Données Expatriés'!$A$6:$L$15,3,FALSE))</f>
        <v/>
      </c>
      <c r="D99" s="6">
        <f>IF(A99="","",VLOOKUP(A99,'F01 - _Données Expatriés'!$A$6:$L$15,6,FALSE))</f>
        <v/>
      </c>
      <c r="E99" s="6" t="n"/>
      <c r="F99" s="6" t="n"/>
      <c r="G99" s="6" t="n"/>
      <c r="H99" s="6">
        <f>IF(F99="","",IFERROR(F99-G99-J99,0))</f>
        <v/>
      </c>
      <c r="I99" s="6" t="n"/>
      <c r="J99" s="6">
        <f>IF(F99="","",IFERROR(G99/F99*100,0))</f>
        <v/>
      </c>
    </row>
    <row r="100">
      <c r="A100" s="4" t="n"/>
      <c r="B100" s="4">
        <f>IF(A100="","",VLOOKUP(A100,'F01 - _Données Expatriés'!$A$6:$L$15,2,FALSE))</f>
        <v/>
      </c>
      <c r="C100" s="4">
        <f>IF(A100="","",VLOOKUP(A100,'F01 - _Données Expatriés'!$A$6:$L$15,3,FALSE))</f>
        <v/>
      </c>
      <c r="D100" s="4">
        <f>IF(A100="","",VLOOKUP(A100,'F01 - _Données Expatriés'!$A$6:$L$15,6,FALSE))</f>
        <v/>
      </c>
      <c r="E100" s="4" t="n"/>
      <c r="F100" s="4" t="n"/>
      <c r="G100" s="4" t="n"/>
      <c r="H100" s="4">
        <f>IF(F100="","",IFERROR(F100-G100-J100,0))</f>
        <v/>
      </c>
      <c r="I100" s="4" t="n"/>
      <c r="J100" s="4">
        <f>IF(F100="","",IFERROR(G100/F100*100,0))</f>
        <v/>
      </c>
    </row>
    <row r="101">
      <c r="A101" s="6" t="n"/>
      <c r="B101" s="6">
        <f>IF(A101="","",VLOOKUP(A101,'F01 - _Données Expatriés'!$A$6:$L$15,2,FALSE))</f>
        <v/>
      </c>
      <c r="C101" s="6">
        <f>IF(A101="","",VLOOKUP(A101,'F01 - _Données Expatriés'!$A$6:$L$15,3,FALSE))</f>
        <v/>
      </c>
      <c r="D101" s="6">
        <f>IF(A101="","",VLOOKUP(A101,'F01 - _Données Expatriés'!$A$6:$L$15,6,FALSE))</f>
        <v/>
      </c>
      <c r="E101" s="6" t="n"/>
      <c r="F101" s="6" t="n"/>
      <c r="G101" s="6" t="n"/>
      <c r="H101" s="6">
        <f>IF(F101="","",IFERROR(F101-G101-J101,0))</f>
        <v/>
      </c>
      <c r="I101" s="6" t="n"/>
      <c r="J101" s="6">
        <f>IF(F101="","",IFERROR(G101/F101*100,0))</f>
        <v/>
      </c>
    </row>
    <row r="102">
      <c r="A102" s="4" t="n"/>
      <c r="B102" s="4">
        <f>IF(A102="","",VLOOKUP(A102,'F01 - _Données Expatriés'!$A$6:$L$15,2,FALSE))</f>
        <v/>
      </c>
      <c r="C102" s="4">
        <f>IF(A102="","",VLOOKUP(A102,'F01 - _Données Expatriés'!$A$6:$L$15,3,FALSE))</f>
        <v/>
      </c>
      <c r="D102" s="4">
        <f>IF(A102="","",VLOOKUP(A102,'F01 - _Données Expatriés'!$A$6:$L$15,6,FALSE))</f>
        <v/>
      </c>
      <c r="E102" s="4" t="n"/>
      <c r="F102" s="4" t="n"/>
      <c r="G102" s="4" t="n"/>
      <c r="H102" s="4">
        <f>IF(F102="","",IFERROR(F102-G102-J102,0))</f>
        <v/>
      </c>
      <c r="I102" s="4" t="n"/>
      <c r="J102" s="4">
        <f>IF(F102="","",IFERROR(G102/F102*100,0))</f>
        <v/>
      </c>
    </row>
    <row r="103">
      <c r="A103" s="6" t="n"/>
      <c r="B103" s="6">
        <f>IF(A103="","",VLOOKUP(A103,'F01 - _Données Expatriés'!$A$6:$L$15,2,FALSE))</f>
        <v/>
      </c>
      <c r="C103" s="6">
        <f>IF(A103="","",VLOOKUP(A103,'F01 - _Données Expatriés'!$A$6:$L$15,3,FALSE))</f>
        <v/>
      </c>
      <c r="D103" s="6">
        <f>IF(A103="","",VLOOKUP(A103,'F01 - _Données Expatriés'!$A$6:$L$15,6,FALSE))</f>
        <v/>
      </c>
      <c r="E103" s="6" t="n"/>
      <c r="F103" s="6" t="n"/>
      <c r="G103" s="6" t="n"/>
      <c r="H103" s="6">
        <f>IF(F103="","",IFERROR(F103-G103-J103,0))</f>
        <v/>
      </c>
      <c r="I103" s="6" t="n"/>
      <c r="J103" s="6">
        <f>IF(F103="","",IFERROR(G103/F103*100,0))</f>
        <v/>
      </c>
    </row>
    <row r="104">
      <c r="A104" s="4" t="n"/>
      <c r="B104" s="4">
        <f>IF(A104="","",VLOOKUP(A104,'F01 - _Données Expatriés'!$A$6:$L$15,2,FALSE))</f>
        <v/>
      </c>
      <c r="C104" s="4">
        <f>IF(A104="","",VLOOKUP(A104,'F01 - _Données Expatriés'!$A$6:$L$15,3,FALSE))</f>
        <v/>
      </c>
      <c r="D104" s="4">
        <f>IF(A104="","",VLOOKUP(A104,'F01 - _Données Expatriés'!$A$6:$L$15,6,FALSE))</f>
        <v/>
      </c>
      <c r="E104" s="4" t="n"/>
      <c r="F104" s="4" t="n"/>
      <c r="G104" s="4" t="n"/>
      <c r="H104" s="4">
        <f>IF(F104="","",IFERROR(F104-G104-J104,0))</f>
        <v/>
      </c>
      <c r="I104" s="4" t="n"/>
      <c r="J104" s="4">
        <f>IF(F104="","",IFERROR(G104/F104*100,0))</f>
        <v/>
      </c>
    </row>
    <row r="105">
      <c r="A105" s="6" t="n"/>
      <c r="B105" s="6">
        <f>IF(A105="","",VLOOKUP(A105,'F01 - _Données Expatriés'!$A$6:$L$15,2,FALSE))</f>
        <v/>
      </c>
      <c r="C105" s="6">
        <f>IF(A105="","",VLOOKUP(A105,'F01 - _Données Expatriés'!$A$6:$L$15,3,FALSE))</f>
        <v/>
      </c>
      <c r="D105" s="6">
        <f>IF(A105="","",VLOOKUP(A105,'F01 - _Données Expatriés'!$A$6:$L$15,6,FALSE))</f>
        <v/>
      </c>
      <c r="E105" s="6" t="n"/>
      <c r="F105" s="6" t="n"/>
      <c r="G105" s="6" t="n"/>
      <c r="H105" s="6">
        <f>IF(F105="","",IFERROR(F105-G105-J105,0))</f>
        <v/>
      </c>
      <c r="I105" s="6" t="n"/>
      <c r="J105" s="6">
        <f>IF(F105="","",IFERROR(G105/F105*100,0))</f>
        <v/>
      </c>
    </row>
    <row r="106">
      <c r="A106" s="4" t="n"/>
      <c r="B106" s="4">
        <f>IF(A106="","",VLOOKUP(A106,'F01 - _Données Expatriés'!$A$6:$L$15,2,FALSE))</f>
        <v/>
      </c>
      <c r="C106" s="4">
        <f>IF(A106="","",VLOOKUP(A106,'F01 - _Données Expatriés'!$A$6:$L$15,3,FALSE))</f>
        <v/>
      </c>
      <c r="D106" s="4">
        <f>IF(A106="","",VLOOKUP(A106,'F01 - _Données Expatriés'!$A$6:$L$15,6,FALSE))</f>
        <v/>
      </c>
      <c r="E106" s="4" t="n"/>
      <c r="F106" s="4" t="n"/>
      <c r="G106" s="4" t="n"/>
      <c r="H106" s="4">
        <f>IF(F106="","",IFERROR(F106-G106-J106,0))</f>
        <v/>
      </c>
      <c r="I106" s="4" t="n"/>
      <c r="J106" s="4">
        <f>IF(F106="","",IFERROR(G106/F106*100,0))</f>
        <v/>
      </c>
    </row>
    <row r="107">
      <c r="A107" s="6" t="n"/>
      <c r="B107" s="6">
        <f>IF(A107="","",VLOOKUP(A107,'F01 - _Données Expatriés'!$A$6:$L$15,2,FALSE))</f>
        <v/>
      </c>
      <c r="C107" s="6">
        <f>IF(A107="","",VLOOKUP(A107,'F01 - _Données Expatriés'!$A$6:$L$15,3,FALSE))</f>
        <v/>
      </c>
      <c r="D107" s="6">
        <f>IF(A107="","",VLOOKUP(A107,'F01 - _Données Expatriés'!$A$6:$L$15,6,FALSE))</f>
        <v/>
      </c>
      <c r="E107" s="6" t="n"/>
      <c r="F107" s="6" t="n"/>
      <c r="G107" s="6" t="n"/>
      <c r="H107" s="6">
        <f>IF(F107="","",IFERROR(F107-G107-J107,0))</f>
        <v/>
      </c>
      <c r="I107" s="6" t="n"/>
      <c r="J107" s="6">
        <f>IF(F107="","",IFERROR(G107/F107*100,0))</f>
        <v/>
      </c>
    </row>
    <row r="108">
      <c r="A108" s="4" t="n"/>
      <c r="B108" s="4">
        <f>IF(A108="","",VLOOKUP(A108,'F01 - _Données Expatriés'!$A$6:$L$15,2,FALSE))</f>
        <v/>
      </c>
      <c r="C108" s="4">
        <f>IF(A108="","",VLOOKUP(A108,'F01 - _Données Expatriés'!$A$6:$L$15,3,FALSE))</f>
        <v/>
      </c>
      <c r="D108" s="4">
        <f>IF(A108="","",VLOOKUP(A108,'F01 - _Données Expatriés'!$A$6:$L$15,6,FALSE))</f>
        <v/>
      </c>
      <c r="E108" s="4" t="n"/>
      <c r="F108" s="4" t="n"/>
      <c r="G108" s="4" t="n"/>
      <c r="H108" s="4">
        <f>IF(F108="","",IFERROR(F108-G108-J108,0))</f>
        <v/>
      </c>
      <c r="I108" s="4" t="n"/>
      <c r="J108" s="4">
        <f>IF(F108="","",IFERROR(G108/F108*100,0))</f>
        <v/>
      </c>
    </row>
    <row r="109">
      <c r="A109" s="6" t="n"/>
      <c r="B109" s="6">
        <f>IF(A109="","",VLOOKUP(A109,'F01 - _Données Expatriés'!$A$6:$L$15,2,FALSE))</f>
        <v/>
      </c>
      <c r="C109" s="6">
        <f>IF(A109="","",VLOOKUP(A109,'F01 - _Données Expatriés'!$A$6:$L$15,3,FALSE))</f>
        <v/>
      </c>
      <c r="D109" s="6">
        <f>IF(A109="","",VLOOKUP(A109,'F01 - _Données Expatriés'!$A$6:$L$15,6,FALSE))</f>
        <v/>
      </c>
      <c r="E109" s="6" t="n"/>
      <c r="F109" s="6" t="n"/>
      <c r="G109" s="6" t="n"/>
      <c r="H109" s="6">
        <f>IF(F109="","",IFERROR(F109-G109-J109,0))</f>
        <v/>
      </c>
      <c r="I109" s="6" t="n"/>
      <c r="J109" s="6">
        <f>IF(F109="","",IFERROR(G109/F109*100,0))</f>
        <v/>
      </c>
    </row>
    <row r="110">
      <c r="A110" s="4" t="n"/>
      <c r="B110" s="4">
        <f>IF(A110="","",VLOOKUP(A110,'F01 - _Données Expatriés'!$A$6:$L$15,2,FALSE))</f>
        <v/>
      </c>
      <c r="C110" s="4">
        <f>IF(A110="","",VLOOKUP(A110,'F01 - _Données Expatriés'!$A$6:$L$15,3,FALSE))</f>
        <v/>
      </c>
      <c r="D110" s="4">
        <f>IF(A110="","",VLOOKUP(A110,'F01 - _Données Expatriés'!$A$6:$L$15,6,FALSE))</f>
        <v/>
      </c>
      <c r="E110" s="4" t="n"/>
      <c r="F110" s="4" t="n"/>
      <c r="G110" s="4" t="n"/>
      <c r="H110" s="4">
        <f>IF(F110="","",IFERROR(F110-G110-J110,0))</f>
        <v/>
      </c>
      <c r="I110" s="4" t="n"/>
      <c r="J110" s="4">
        <f>IF(F110="","",IFERROR(G110/F110*100,0))</f>
        <v/>
      </c>
    </row>
    <row r="111">
      <c r="A111" s="6" t="n"/>
      <c r="B111" s="6">
        <f>IF(A111="","",VLOOKUP(A111,'F01 - _Données Expatriés'!$A$6:$L$15,2,FALSE))</f>
        <v/>
      </c>
      <c r="C111" s="6">
        <f>IF(A111="","",VLOOKUP(A111,'F01 - _Données Expatriés'!$A$6:$L$15,3,FALSE))</f>
        <v/>
      </c>
      <c r="D111" s="6">
        <f>IF(A111="","",VLOOKUP(A111,'F01 - _Données Expatriés'!$A$6:$L$15,6,FALSE))</f>
        <v/>
      </c>
      <c r="E111" s="6" t="n"/>
      <c r="F111" s="6" t="n"/>
      <c r="G111" s="6" t="n"/>
      <c r="H111" s="6">
        <f>IF(F111="","",IFERROR(F111-G111-J111,0))</f>
        <v/>
      </c>
      <c r="I111" s="6" t="n"/>
      <c r="J111" s="6">
        <f>IF(F111="","",IFERROR(G111/F111*100,0))</f>
        <v/>
      </c>
    </row>
    <row r="112">
      <c r="A112" s="4" t="n"/>
      <c r="B112" s="4">
        <f>IF(A112="","",VLOOKUP(A112,'F01 - _Données Expatriés'!$A$6:$L$15,2,FALSE))</f>
        <v/>
      </c>
      <c r="C112" s="4">
        <f>IF(A112="","",VLOOKUP(A112,'F01 - _Données Expatriés'!$A$6:$L$15,3,FALSE))</f>
        <v/>
      </c>
      <c r="D112" s="4">
        <f>IF(A112="","",VLOOKUP(A112,'F01 - _Données Expatriés'!$A$6:$L$15,6,FALSE))</f>
        <v/>
      </c>
      <c r="E112" s="4" t="n"/>
      <c r="F112" s="4" t="n"/>
      <c r="G112" s="4" t="n"/>
      <c r="H112" s="4">
        <f>IF(F112="","",IFERROR(F112-G112-J112,0))</f>
        <v/>
      </c>
      <c r="I112" s="4" t="n"/>
      <c r="J112" s="4">
        <f>IF(F112="","",IFERROR(G112/F112*100,0))</f>
        <v/>
      </c>
    </row>
    <row r="113">
      <c r="A113" s="6" t="n"/>
      <c r="B113" s="6">
        <f>IF(A113="","",VLOOKUP(A113,'F01 - _Données Expatriés'!$A$6:$L$15,2,FALSE))</f>
        <v/>
      </c>
      <c r="C113" s="6">
        <f>IF(A113="","",VLOOKUP(A113,'F01 - _Données Expatriés'!$A$6:$L$15,3,FALSE))</f>
        <v/>
      </c>
      <c r="D113" s="6">
        <f>IF(A113="","",VLOOKUP(A113,'F01 - _Données Expatriés'!$A$6:$L$15,6,FALSE))</f>
        <v/>
      </c>
      <c r="E113" s="6" t="n"/>
      <c r="F113" s="6" t="n"/>
      <c r="G113" s="6" t="n"/>
      <c r="H113" s="6">
        <f>IF(F113="","",IFERROR(F113-G113-J113,0))</f>
        <v/>
      </c>
      <c r="I113" s="6" t="n"/>
      <c r="J113" s="6">
        <f>IF(F113="","",IFERROR(G113/F113*100,0))</f>
        <v/>
      </c>
    </row>
    <row r="114">
      <c r="A114" s="4" t="n"/>
      <c r="B114" s="4">
        <f>IF(A114="","",VLOOKUP(A114,'F01 - _Données Expatriés'!$A$6:$L$15,2,FALSE))</f>
        <v/>
      </c>
      <c r="C114" s="4">
        <f>IF(A114="","",VLOOKUP(A114,'F01 - _Données Expatriés'!$A$6:$L$15,3,FALSE))</f>
        <v/>
      </c>
      <c r="D114" s="4">
        <f>IF(A114="","",VLOOKUP(A114,'F01 - _Données Expatriés'!$A$6:$L$15,6,FALSE))</f>
        <v/>
      </c>
      <c r="E114" s="4" t="n"/>
      <c r="F114" s="4" t="n"/>
      <c r="G114" s="4" t="n"/>
      <c r="H114" s="4">
        <f>IF(F114="","",IFERROR(F114-G114-J114,0))</f>
        <v/>
      </c>
      <c r="I114" s="4" t="n"/>
      <c r="J114" s="4">
        <f>IF(F114="","",IFERROR(G114/F114*100,0))</f>
        <v/>
      </c>
    </row>
    <row r="115">
      <c r="A115" s="6" t="n"/>
      <c r="B115" s="6">
        <f>IF(A115="","",VLOOKUP(A115,'F01 - _Données Expatriés'!$A$6:$L$15,2,FALSE))</f>
        <v/>
      </c>
      <c r="C115" s="6">
        <f>IF(A115="","",VLOOKUP(A115,'F01 - _Données Expatriés'!$A$6:$L$15,3,FALSE))</f>
        <v/>
      </c>
      <c r="D115" s="6">
        <f>IF(A115="","",VLOOKUP(A115,'F01 - _Données Expatriés'!$A$6:$L$15,6,FALSE))</f>
        <v/>
      </c>
      <c r="E115" s="6" t="n"/>
      <c r="F115" s="6" t="n"/>
      <c r="G115" s="6" t="n"/>
      <c r="H115" s="6">
        <f>IF(F115="","",IFERROR(F115-G115-J115,0))</f>
        <v/>
      </c>
      <c r="I115" s="6" t="n"/>
      <c r="J115" s="6">
        <f>IF(F115="","",IFERROR(G115/F115*100,0))</f>
        <v/>
      </c>
    </row>
  </sheetData>
  <mergeCells count="2">
    <mergeCell ref="A3:N3"/>
    <mergeCell ref="A2:N2"/>
  </mergeCells>
  <dataValidations count="2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_Lists'!$A$6:$A$35</formula1>
    </dataValidation>
    <dataValidation sqref="E6:E115" showDropDown="0" showInputMessage="0" showErrorMessage="0" allowBlank="1" errorTitle="Erreur de saisie" error="Valeur non autorisée" promptTitle="Liste déroulante" prompt="Sélectionnez dans la liste" type="list">
      <formula1>'F02 - _Lists'!$V$6:$V$35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0" customWidth="1" min="5" max="5"/>
    <col width="10" customWidth="1" min="6" max="6"/>
    <col width="30" customWidth="1" min="7" max="7"/>
    <col width="13" customWidth="1" min="8" max="8"/>
    <col width="20" customWidth="1" min="9" max="9"/>
    <col width="18" customWidth="1" min="10" max="10"/>
  </cols>
  <sheetData>
    <row r="2" ht="25" customHeight="1">
      <c r="A2" s="1" t="inlineStr">
        <is>
          <t>DOMAINE 25 — 5-ÉVALUATION EXPATRIÉS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Code Eval.</t>
        </is>
      </c>
      <c r="B5" s="3" t="inlineStr">
        <is>
          <t>Matricule</t>
        </is>
      </c>
      <c r="C5" s="3" t="inlineStr">
        <is>
          <t>Nom</t>
        </is>
      </c>
      <c r="D5" s="3" t="inlineStr">
        <is>
          <t>Département</t>
        </is>
      </c>
      <c r="E5" s="3" t="inlineStr">
        <is>
          <t>Critère</t>
        </is>
      </c>
      <c r="F5" s="3" t="inlineStr">
        <is>
          <t>Note (1-5)</t>
        </is>
      </c>
      <c r="G5" s="3" t="inlineStr">
        <is>
          <t>Commentaire</t>
        </is>
      </c>
      <c r="H5" s="3" t="inlineStr">
        <is>
          <t>Date Éval.</t>
        </is>
      </c>
      <c r="I5" s="3" t="inlineStr">
        <is>
          <t>Évaluateur</t>
        </is>
      </c>
      <c r="J5" s="3" t="inlineStr">
        <is>
          <t>Recommandation</t>
        </is>
      </c>
    </row>
    <row r="6">
      <c r="A6" s="4" t="inlineStr">
        <is>
          <t>EVA-E-001</t>
        </is>
      </c>
      <c r="B6" s="4" t="inlineStr">
        <is>
          <t>EXP-001</t>
        </is>
      </c>
      <c r="C6" s="4" t="inlineStr">
        <is>
          <t>Dupont Jean-Pierre</t>
        </is>
      </c>
      <c r="D6" s="4" t="inlineStr">
        <is>
          <t>Direction Générale</t>
        </is>
      </c>
      <c r="E6" s="4" t="inlineStr">
        <is>
          <t>Leadership</t>
        </is>
      </c>
      <c r="F6" s="4" t="n">
        <v>5</v>
      </c>
      <c r="G6" s="4" t="inlineStr">
        <is>
          <t>Leadership exceptionnel, vision stratégique claire</t>
        </is>
      </c>
      <c r="H6" s="5" t="n">
        <v>45677</v>
      </c>
      <c r="I6" s="4" t="inlineStr">
        <is>
          <t>Conseil de Surveillance</t>
        </is>
      </c>
      <c r="J6" s="4" t="inlineStr">
        <is>
          <t>Maintien en poste</t>
        </is>
      </c>
    </row>
    <row r="7">
      <c r="A7" s="6" t="inlineStr">
        <is>
          <t>EVA-E-002</t>
        </is>
      </c>
      <c r="B7" s="6" t="inlineStr">
        <is>
          <t>EXP-002</t>
        </is>
      </c>
      <c r="C7" s="6" t="inlineStr">
        <is>
          <t>Muller Hans</t>
        </is>
      </c>
      <c r="D7" s="6" t="inlineStr">
        <is>
          <t>Cuisine &amp; Restauration</t>
        </is>
      </c>
      <c r="E7" s="6" t="inlineStr">
        <is>
          <t>Compétence technique</t>
        </is>
      </c>
      <c r="F7" s="6" t="n">
        <v>5</v>
      </c>
      <c r="G7" s="6" t="inlineStr">
        <is>
          <t>Maîtrise parfaite de la cuisine internationale</t>
        </is>
      </c>
      <c r="H7" s="7" t="n">
        <v>45679</v>
      </c>
      <c r="I7" s="6" t="inlineStr">
        <is>
          <t>DG Adjoint</t>
        </is>
      </c>
      <c r="J7" s="6" t="inlineStr">
        <is>
          <t>Maintien en poste</t>
        </is>
      </c>
    </row>
    <row r="8">
      <c r="A8" s="4" t="inlineStr">
        <is>
          <t>EVA-E-003</t>
        </is>
      </c>
      <c r="B8" s="4" t="inlineStr">
        <is>
          <t>EXP-003</t>
        </is>
      </c>
      <c r="C8" s="4" t="inlineStr">
        <is>
          <t>Silva Carlos</t>
        </is>
      </c>
      <c r="D8" s="4" t="inlineStr">
        <is>
          <t>Finance &amp; Comptabilité</t>
        </is>
      </c>
      <c r="E8" s="4" t="inlineStr">
        <is>
          <t>Productivité</t>
        </is>
      </c>
      <c r="F8" s="4" t="n">
        <v>4</v>
      </c>
      <c r="G8" s="4" t="inlineStr">
        <is>
          <t>Bon travail, en progression sur les normes locales</t>
        </is>
      </c>
      <c r="H8" s="5" t="n">
        <v>45682</v>
      </c>
      <c r="I8" s="4" t="inlineStr">
        <is>
          <t>DG</t>
        </is>
      </c>
      <c r="J8" s="4" t="inlineStr">
        <is>
          <t>Maintien en poste</t>
        </is>
      </c>
    </row>
    <row r="9">
      <c r="A9" s="6" t="inlineStr">
        <is>
          <t>EVA-E-004</t>
        </is>
      </c>
      <c r="B9" s="6" t="inlineStr">
        <is>
          <t>EXP-004</t>
        </is>
      </c>
      <c r="C9" s="6" t="inlineStr">
        <is>
          <t>Nakamura Yuki</t>
        </is>
      </c>
      <c r="D9" s="6" t="inlineStr">
        <is>
          <t>Réception &amp; Front Office</t>
        </is>
      </c>
      <c r="E9" s="6" t="inlineStr">
        <is>
          <t>Adaptabilité culturelle</t>
        </is>
      </c>
      <c r="F9" s="6" t="n">
        <v>4</v>
      </c>
      <c r="G9" s="6" t="inlineStr">
        <is>
          <t>Bonne intégration dans l'équipe ivoirienne</t>
        </is>
      </c>
      <c r="H9" s="7" t="n">
        <v>45693</v>
      </c>
      <c r="I9" s="6" t="inlineStr">
        <is>
          <t>DRH</t>
        </is>
      </c>
      <c r="J9" s="6" t="inlineStr">
        <is>
          <t>Renouvellement</t>
        </is>
      </c>
    </row>
    <row r="10">
      <c r="A10" s="4" t="inlineStr">
        <is>
          <t>EVA-E-005</t>
        </is>
      </c>
      <c r="B10" s="4" t="inlineStr">
        <is>
          <t>EXP-005</t>
        </is>
      </c>
      <c r="C10" s="4" t="inlineStr">
        <is>
          <t>Smith James</t>
        </is>
      </c>
      <c r="D10" s="4" t="inlineStr">
        <is>
          <t>Revenue Management</t>
        </is>
      </c>
      <c r="E10" s="4" t="inlineStr">
        <is>
          <t>Communication</t>
        </is>
      </c>
      <c r="F10" s="4" t="n">
        <v>5</v>
      </c>
      <c r="G10" s="4" t="inlineStr">
        <is>
          <t>Excellente communication avec les équipes locales</t>
        </is>
      </c>
      <c r="H10" s="5" t="n">
        <v>45698</v>
      </c>
      <c r="I10" s="4" t="inlineStr">
        <is>
          <t>DG</t>
        </is>
      </c>
      <c r="J10" s="4" t="inlineStr">
        <is>
          <t>Maintien en poste</t>
        </is>
      </c>
    </row>
    <row r="11">
      <c r="A11" s="6" t="n"/>
      <c r="B11" s="6" t="n"/>
      <c r="C11" s="6">
        <f>IF(B11="","",VLOOKUP(B11,'F01 - _Données Expatriés'!$A$6:$L$15,2,FALSE))</f>
        <v/>
      </c>
      <c r="D11" s="6">
        <f>IF(B11="","",VLOOKUP(B11,'F01 - _Données Expatriés'!$A$6:$L$15,6,FALSE))</f>
        <v/>
      </c>
      <c r="E11" s="6" t="n"/>
      <c r="F11" s="6" t="n"/>
      <c r="G11" s="6" t="n"/>
      <c r="H11" s="6" t="n"/>
      <c r="I11" s="6" t="n"/>
      <c r="J11" s="6" t="n"/>
    </row>
    <row r="12">
      <c r="A12" s="4" t="n"/>
      <c r="B12" s="4" t="n"/>
      <c r="C12" s="4">
        <f>IF(B12="","",VLOOKUP(B12,'F01 - _Données Expatriés'!$A$6:$L$15,2,FALSE))</f>
        <v/>
      </c>
      <c r="D12" s="4">
        <f>IF(B12="","",VLOOKUP(B12,'F01 - _Données Expatriés'!$A$6:$L$15,6,FALSE))</f>
        <v/>
      </c>
      <c r="E12" s="4" t="n"/>
      <c r="F12" s="4" t="n"/>
      <c r="G12" s="4" t="n"/>
      <c r="H12" s="4" t="n"/>
      <c r="I12" s="4" t="n"/>
      <c r="J12" s="4" t="n"/>
    </row>
    <row r="13">
      <c r="A13" s="6" t="n"/>
      <c r="B13" s="6" t="n"/>
      <c r="C13" s="6">
        <f>IF(B13="","",VLOOKUP(B13,'F01 - _Données Expatriés'!$A$6:$L$15,2,FALSE))</f>
        <v/>
      </c>
      <c r="D13" s="6">
        <f>IF(B13="","",VLOOKUP(B13,'F01 - _Données Expatriés'!$A$6:$L$15,6,FALSE))</f>
        <v/>
      </c>
      <c r="E13" s="6" t="n"/>
      <c r="F13" s="6" t="n"/>
      <c r="G13" s="6" t="n"/>
      <c r="H13" s="6" t="n"/>
      <c r="I13" s="6" t="n"/>
      <c r="J13" s="6" t="n"/>
    </row>
    <row r="14">
      <c r="A14" s="4" t="n"/>
      <c r="B14" s="4" t="n"/>
      <c r="C14" s="4">
        <f>IF(B14="","",VLOOKUP(B14,'F01 - _Données Expatriés'!$A$6:$L$15,2,FALSE))</f>
        <v/>
      </c>
      <c r="D14" s="4">
        <f>IF(B14="","",VLOOKUP(B14,'F01 - _Données Expatriés'!$A$6:$L$15,6,FALSE))</f>
        <v/>
      </c>
      <c r="E14" s="4" t="n"/>
      <c r="F14" s="4" t="n"/>
      <c r="G14" s="4" t="n"/>
      <c r="H14" s="4" t="n"/>
      <c r="I14" s="4" t="n"/>
      <c r="J14" s="4" t="n"/>
    </row>
    <row r="15">
      <c r="A15" s="6" t="n"/>
      <c r="B15" s="6" t="n"/>
      <c r="C15" s="6">
        <f>IF(B15="","",VLOOKUP(B15,'F01 - _Données Expatriés'!$A$6:$L$15,2,FALSE))</f>
        <v/>
      </c>
      <c r="D15" s="6">
        <f>IF(B15="","",VLOOKUP(B15,'F01 - _Données Expatriés'!$A$6:$L$15,6,FALSE))</f>
        <v/>
      </c>
      <c r="E15" s="6" t="n"/>
      <c r="F15" s="6" t="n"/>
      <c r="G15" s="6" t="n"/>
      <c r="H15" s="6" t="n"/>
      <c r="I15" s="6" t="n"/>
      <c r="J15" s="6" t="n"/>
    </row>
    <row r="16">
      <c r="A16" s="4" t="n"/>
      <c r="B16" s="4" t="n"/>
      <c r="C16" s="4">
        <f>IF(B16="","",VLOOKUP(B16,'F01 - _Données Expatriés'!$A$6:$L$15,2,FALSE))</f>
        <v/>
      </c>
      <c r="D16" s="4">
        <f>IF(B16="","",VLOOKUP(B16,'F01 - _Données Expatriés'!$A$6:$L$15,6,FALSE))</f>
        <v/>
      </c>
      <c r="E16" s="4" t="n"/>
      <c r="F16" s="4" t="n"/>
      <c r="G16" s="4" t="n"/>
      <c r="H16" s="4" t="n"/>
      <c r="I16" s="4" t="n"/>
      <c r="J16" s="4" t="n"/>
    </row>
    <row r="17">
      <c r="A17" s="6" t="n"/>
      <c r="B17" s="6" t="n"/>
      <c r="C17" s="6">
        <f>IF(B17="","",VLOOKUP(B17,'F01 - _Données Expatriés'!$A$6:$L$15,2,FALSE))</f>
        <v/>
      </c>
      <c r="D17" s="6">
        <f>IF(B17="","",VLOOKUP(B17,'F01 - _Données Expatriés'!$A$6:$L$15,6,FALSE))</f>
        <v/>
      </c>
      <c r="E17" s="6" t="n"/>
      <c r="F17" s="6" t="n"/>
      <c r="G17" s="6" t="n"/>
      <c r="H17" s="6" t="n"/>
      <c r="I17" s="6" t="n"/>
      <c r="J17" s="6" t="n"/>
    </row>
    <row r="18">
      <c r="A18" s="4" t="n"/>
      <c r="B18" s="4" t="n"/>
      <c r="C18" s="4">
        <f>IF(B18="","",VLOOKUP(B18,'F01 - _Données Expatriés'!$A$6:$L$15,2,FALSE))</f>
        <v/>
      </c>
      <c r="D18" s="4">
        <f>IF(B18="","",VLOOKUP(B18,'F01 - _Données Expatriés'!$A$6:$L$15,6,FALSE))</f>
        <v/>
      </c>
      <c r="E18" s="4" t="n"/>
      <c r="F18" s="4" t="n"/>
      <c r="G18" s="4" t="n"/>
      <c r="H18" s="4" t="n"/>
      <c r="I18" s="4" t="n"/>
      <c r="J18" s="4" t="n"/>
    </row>
    <row r="19">
      <c r="A19" s="6" t="n"/>
      <c r="B19" s="6" t="n"/>
      <c r="C19" s="6">
        <f>IF(B19="","",VLOOKUP(B19,'F01 - _Données Expatriés'!$A$6:$L$15,2,FALSE))</f>
        <v/>
      </c>
      <c r="D19" s="6">
        <f>IF(B19="","",VLOOKUP(B19,'F01 - _Données Expatriés'!$A$6:$L$15,6,FALSE))</f>
        <v/>
      </c>
      <c r="E19" s="6" t="n"/>
      <c r="F19" s="6" t="n"/>
      <c r="G19" s="6" t="n"/>
      <c r="H19" s="6" t="n"/>
      <c r="I19" s="6" t="n"/>
      <c r="J19" s="6" t="n"/>
    </row>
    <row r="20">
      <c r="A20" s="4" t="n"/>
      <c r="B20" s="4" t="n"/>
      <c r="C20" s="4">
        <f>IF(B20="","",VLOOKUP(B20,'F01 - _Données Expatriés'!$A$6:$L$15,2,FALSE))</f>
        <v/>
      </c>
      <c r="D20" s="4">
        <f>IF(B20="","",VLOOKUP(B20,'F01 - _Données Expatriés'!$A$6:$L$15,6,FALSE))</f>
        <v/>
      </c>
      <c r="E20" s="4" t="n"/>
      <c r="F20" s="4" t="n"/>
      <c r="G20" s="4" t="n"/>
      <c r="H20" s="4" t="n"/>
      <c r="I20" s="4" t="n"/>
      <c r="J20" s="4" t="n"/>
    </row>
    <row r="21">
      <c r="A21" s="6" t="n"/>
      <c r="B21" s="6" t="n"/>
      <c r="C21" s="6">
        <f>IF(B21="","",VLOOKUP(B21,'F01 - _Données Expatriés'!$A$6:$L$15,2,FALSE))</f>
        <v/>
      </c>
      <c r="D21" s="6">
        <f>IF(B21="","",VLOOKUP(B21,'F01 - _Données Expatriés'!$A$6:$L$15,6,FALSE))</f>
        <v/>
      </c>
      <c r="E21" s="6" t="n"/>
      <c r="F21" s="6" t="n"/>
      <c r="G21" s="6" t="n"/>
      <c r="H21" s="6" t="n"/>
      <c r="I21" s="6" t="n"/>
      <c r="J21" s="6" t="n"/>
    </row>
    <row r="22">
      <c r="A22" s="4" t="n"/>
      <c r="B22" s="4" t="n"/>
      <c r="C22" s="4">
        <f>IF(B22="","",VLOOKUP(B22,'F01 - _Données Expatriés'!$A$6:$L$15,2,FALSE))</f>
        <v/>
      </c>
      <c r="D22" s="4">
        <f>IF(B22="","",VLOOKUP(B22,'F01 - _Données Expatriés'!$A$6:$L$15,6,FALSE))</f>
        <v/>
      </c>
      <c r="E22" s="4" t="n"/>
      <c r="F22" s="4" t="n"/>
      <c r="G22" s="4" t="n"/>
      <c r="H22" s="4" t="n"/>
      <c r="I22" s="4" t="n"/>
      <c r="J22" s="4" t="n"/>
    </row>
    <row r="23">
      <c r="A23" s="6" t="n"/>
      <c r="B23" s="6" t="n"/>
      <c r="C23" s="6">
        <f>IF(B23="","",VLOOKUP(B23,'F01 - _Données Expatriés'!$A$6:$L$15,2,FALSE))</f>
        <v/>
      </c>
      <c r="D23" s="6">
        <f>IF(B23="","",VLOOKUP(B23,'F01 - _Données Expatriés'!$A$6:$L$15,6,FALSE))</f>
        <v/>
      </c>
      <c r="E23" s="6" t="n"/>
      <c r="F23" s="6" t="n"/>
      <c r="G23" s="6" t="n"/>
      <c r="H23" s="6" t="n"/>
      <c r="I23" s="6" t="n"/>
      <c r="J23" s="6" t="n"/>
    </row>
    <row r="24">
      <c r="A24" s="4" t="n"/>
      <c r="B24" s="4" t="n"/>
      <c r="C24" s="4">
        <f>IF(B24="","",VLOOKUP(B24,'F01 - _Données Expatriés'!$A$6:$L$15,2,FALSE))</f>
        <v/>
      </c>
      <c r="D24" s="4">
        <f>IF(B24="","",VLOOKUP(B24,'F01 - _Données Expatriés'!$A$6:$L$15,6,FALSE))</f>
        <v/>
      </c>
      <c r="E24" s="4" t="n"/>
      <c r="F24" s="4" t="n"/>
      <c r="G24" s="4" t="n"/>
      <c r="H24" s="4" t="n"/>
      <c r="I24" s="4" t="n"/>
      <c r="J24" s="4" t="n"/>
    </row>
    <row r="25">
      <c r="A25" s="6" t="n"/>
      <c r="B25" s="6" t="n"/>
      <c r="C25" s="6">
        <f>IF(B25="","",VLOOKUP(B25,'F01 - _Données Expatriés'!$A$6:$L$15,2,FALSE))</f>
        <v/>
      </c>
      <c r="D25" s="6">
        <f>IF(B25="","",VLOOKUP(B25,'F01 - _Données Expatriés'!$A$6:$L$15,6,FALSE))</f>
        <v/>
      </c>
      <c r="E25" s="6" t="n"/>
      <c r="F25" s="6" t="n"/>
      <c r="G25" s="6" t="n"/>
      <c r="H25" s="6" t="n"/>
      <c r="I25" s="6" t="n"/>
      <c r="J25" s="6" t="n"/>
    </row>
    <row r="26">
      <c r="A26" s="4" t="n"/>
      <c r="B26" s="4" t="n"/>
      <c r="C26" s="4">
        <f>IF(B26="","",VLOOKUP(B26,'F01 - _Données Expatriés'!$A$6:$L$15,2,FALSE))</f>
        <v/>
      </c>
      <c r="D26" s="4">
        <f>IF(B26="","",VLOOKUP(B26,'F01 - _Données Expatriés'!$A$6:$L$15,6,FALSE))</f>
        <v/>
      </c>
      <c r="E26" s="4" t="n"/>
      <c r="F26" s="4" t="n"/>
      <c r="G26" s="4" t="n"/>
      <c r="H26" s="4" t="n"/>
      <c r="I26" s="4" t="n"/>
      <c r="J26" s="4" t="n"/>
    </row>
    <row r="27">
      <c r="A27" s="6" t="n"/>
      <c r="B27" s="6" t="n"/>
      <c r="C27" s="6">
        <f>IF(B27="","",VLOOKUP(B27,'F01 - _Données Expatriés'!$A$6:$L$15,2,FALSE))</f>
        <v/>
      </c>
      <c r="D27" s="6">
        <f>IF(B27="","",VLOOKUP(B27,'F01 - _Données Expatriés'!$A$6:$L$15,6,FALSE))</f>
        <v/>
      </c>
      <c r="E27" s="6" t="n"/>
      <c r="F27" s="6" t="n"/>
      <c r="G27" s="6" t="n"/>
      <c r="H27" s="6" t="n"/>
      <c r="I27" s="6" t="n"/>
      <c r="J27" s="6" t="n"/>
    </row>
    <row r="28">
      <c r="A28" s="4" t="n"/>
      <c r="B28" s="4" t="n"/>
      <c r="C28" s="4">
        <f>IF(B28="","",VLOOKUP(B28,'F01 - _Données Expatriés'!$A$6:$L$15,2,FALSE))</f>
        <v/>
      </c>
      <c r="D28" s="4">
        <f>IF(B28="","",VLOOKUP(B28,'F01 - _Données Expatriés'!$A$6:$L$15,6,FALSE))</f>
        <v/>
      </c>
      <c r="E28" s="4" t="n"/>
      <c r="F28" s="4" t="n"/>
      <c r="G28" s="4" t="n"/>
      <c r="H28" s="4" t="n"/>
      <c r="I28" s="4" t="n"/>
      <c r="J28" s="4" t="n"/>
    </row>
    <row r="29">
      <c r="A29" s="6" t="n"/>
      <c r="B29" s="6" t="n"/>
      <c r="C29" s="6">
        <f>IF(B29="","",VLOOKUP(B29,'F01 - _Données Expatriés'!$A$6:$L$15,2,FALSE))</f>
        <v/>
      </c>
      <c r="D29" s="6">
        <f>IF(B29="","",VLOOKUP(B29,'F01 - _Données Expatriés'!$A$6:$L$15,6,FALSE))</f>
        <v/>
      </c>
      <c r="E29" s="6" t="n"/>
      <c r="F29" s="6" t="n"/>
      <c r="G29" s="6" t="n"/>
      <c r="H29" s="6" t="n"/>
      <c r="I29" s="6" t="n"/>
      <c r="J29" s="6" t="n"/>
    </row>
    <row r="30">
      <c r="A30" s="4" t="n"/>
      <c r="B30" s="4" t="n"/>
      <c r="C30" s="4">
        <f>IF(B30="","",VLOOKUP(B30,'F01 - _Données Expatriés'!$A$6:$L$15,2,FALSE))</f>
        <v/>
      </c>
      <c r="D30" s="4">
        <f>IF(B30="","",VLOOKUP(B30,'F01 - _Données Expatriés'!$A$6:$L$15,6,FALSE))</f>
        <v/>
      </c>
      <c r="E30" s="4" t="n"/>
      <c r="F30" s="4" t="n"/>
      <c r="G30" s="4" t="n"/>
      <c r="H30" s="4" t="n"/>
      <c r="I30" s="4" t="n"/>
      <c r="J30" s="4" t="n"/>
    </row>
    <row r="31">
      <c r="A31" s="6" t="n"/>
      <c r="B31" s="6" t="n"/>
      <c r="C31" s="6">
        <f>IF(B31="","",VLOOKUP(B31,'F01 - _Données Expatriés'!$A$6:$L$15,2,FALSE))</f>
        <v/>
      </c>
      <c r="D31" s="6">
        <f>IF(B31="","",VLOOKUP(B31,'F01 - _Données Expatriés'!$A$6:$L$15,6,FALSE))</f>
        <v/>
      </c>
      <c r="E31" s="6" t="n"/>
      <c r="F31" s="6" t="n"/>
      <c r="G31" s="6" t="n"/>
      <c r="H31" s="6" t="n"/>
      <c r="I31" s="6" t="n"/>
      <c r="J31" s="6" t="n"/>
    </row>
    <row r="32">
      <c r="A32" s="4" t="n"/>
      <c r="B32" s="4" t="n"/>
      <c r="C32" s="4">
        <f>IF(B32="","",VLOOKUP(B32,'F01 - _Données Expatriés'!$A$6:$L$15,2,FALSE))</f>
        <v/>
      </c>
      <c r="D32" s="4">
        <f>IF(B32="","",VLOOKUP(B32,'F01 - _Données Expatriés'!$A$6:$L$15,6,FALSE))</f>
        <v/>
      </c>
      <c r="E32" s="4" t="n"/>
      <c r="F32" s="4" t="n"/>
      <c r="G32" s="4" t="n"/>
      <c r="H32" s="4" t="n"/>
      <c r="I32" s="4" t="n"/>
      <c r="J32" s="4" t="n"/>
    </row>
    <row r="33">
      <c r="A33" s="6" t="n"/>
      <c r="B33" s="6" t="n"/>
      <c r="C33" s="6">
        <f>IF(B33="","",VLOOKUP(B33,'F01 - _Données Expatriés'!$A$6:$L$15,2,FALSE))</f>
        <v/>
      </c>
      <c r="D33" s="6">
        <f>IF(B33="","",VLOOKUP(B33,'F01 - _Données Expatriés'!$A$6:$L$15,6,FALSE))</f>
        <v/>
      </c>
      <c r="E33" s="6" t="n"/>
      <c r="F33" s="6" t="n"/>
      <c r="G33" s="6" t="n"/>
      <c r="H33" s="6" t="n"/>
      <c r="I33" s="6" t="n"/>
      <c r="J33" s="6" t="n"/>
    </row>
    <row r="34">
      <c r="A34" s="4" t="n"/>
      <c r="B34" s="4" t="n"/>
      <c r="C34" s="4">
        <f>IF(B34="","",VLOOKUP(B34,'F01 - _Données Expatriés'!$A$6:$L$15,2,FALSE))</f>
        <v/>
      </c>
      <c r="D34" s="4">
        <f>IF(B34="","",VLOOKUP(B34,'F01 - _Données Expatriés'!$A$6:$L$15,6,FALSE))</f>
        <v/>
      </c>
      <c r="E34" s="4" t="n"/>
      <c r="F34" s="4" t="n"/>
      <c r="G34" s="4" t="n"/>
      <c r="H34" s="4" t="n"/>
      <c r="I34" s="4" t="n"/>
      <c r="J34" s="4" t="n"/>
    </row>
    <row r="35">
      <c r="A35" s="6" t="n"/>
      <c r="B35" s="6" t="n"/>
      <c r="C35" s="6">
        <f>IF(B35="","",VLOOKUP(B35,'F01 - _Données Expatriés'!$A$6:$L$15,2,FALSE))</f>
        <v/>
      </c>
      <c r="D35" s="6">
        <f>IF(B35="","",VLOOKUP(B35,'F01 - _Données Expatriés'!$A$6:$L$15,6,FALSE))</f>
        <v/>
      </c>
      <c r="E35" s="6" t="n"/>
      <c r="F35" s="6" t="n"/>
      <c r="G35" s="6" t="n"/>
      <c r="H35" s="6" t="n"/>
      <c r="I35" s="6" t="n"/>
      <c r="J35" s="6" t="n"/>
    </row>
    <row r="36">
      <c r="A36" s="4" t="n"/>
      <c r="B36" s="4" t="n"/>
      <c r="C36" s="4">
        <f>IF(B36="","",VLOOKUP(B36,'F01 - _Données Expatriés'!$A$6:$L$15,2,FALSE))</f>
        <v/>
      </c>
      <c r="D36" s="4">
        <f>IF(B36="","",VLOOKUP(B36,'F01 - _Données Expatriés'!$A$6:$L$15,6,FALSE))</f>
        <v/>
      </c>
      <c r="E36" s="4" t="n"/>
      <c r="F36" s="4" t="n"/>
      <c r="G36" s="4" t="n"/>
      <c r="H36" s="4" t="n"/>
      <c r="I36" s="4" t="n"/>
      <c r="J36" s="4" t="n"/>
    </row>
    <row r="37">
      <c r="A37" s="6" t="n"/>
      <c r="B37" s="6" t="n"/>
      <c r="C37" s="6">
        <f>IF(B37="","",VLOOKUP(B37,'F01 - _Données Expatriés'!$A$6:$L$15,2,FALSE))</f>
        <v/>
      </c>
      <c r="D37" s="6">
        <f>IF(B37="","",VLOOKUP(B37,'F01 - _Données Expatriés'!$A$6:$L$15,6,FALSE))</f>
        <v/>
      </c>
      <c r="E37" s="6" t="n"/>
      <c r="F37" s="6" t="n"/>
      <c r="G37" s="6" t="n"/>
      <c r="H37" s="6" t="n"/>
      <c r="I37" s="6" t="n"/>
      <c r="J37" s="6" t="n"/>
    </row>
    <row r="38">
      <c r="A38" s="4" t="n"/>
      <c r="B38" s="4" t="n"/>
      <c r="C38" s="4">
        <f>IF(B38="","",VLOOKUP(B38,'F01 - _Données Expatriés'!$A$6:$L$15,2,FALSE))</f>
        <v/>
      </c>
      <c r="D38" s="4">
        <f>IF(B38="","",VLOOKUP(B38,'F01 - _Données Expatriés'!$A$6:$L$15,6,FALSE))</f>
        <v/>
      </c>
      <c r="E38" s="4" t="n"/>
      <c r="F38" s="4" t="n"/>
      <c r="G38" s="4" t="n"/>
      <c r="H38" s="4" t="n"/>
      <c r="I38" s="4" t="n"/>
      <c r="J38" s="4" t="n"/>
    </row>
    <row r="39">
      <c r="A39" s="6" t="n"/>
      <c r="B39" s="6" t="n"/>
      <c r="C39" s="6">
        <f>IF(B39="","",VLOOKUP(B39,'F01 - _Données Expatriés'!$A$6:$L$15,2,FALSE))</f>
        <v/>
      </c>
      <c r="D39" s="6">
        <f>IF(B39="","",VLOOKUP(B39,'F01 - _Données Expatriés'!$A$6:$L$15,6,FALSE))</f>
        <v/>
      </c>
      <c r="E39" s="6" t="n"/>
      <c r="F39" s="6" t="n"/>
      <c r="G39" s="6" t="n"/>
      <c r="H39" s="6" t="n"/>
      <c r="I39" s="6" t="n"/>
      <c r="J39" s="6" t="n"/>
    </row>
    <row r="40">
      <c r="A40" s="4" t="n"/>
      <c r="B40" s="4" t="n"/>
      <c r="C40" s="4">
        <f>IF(B40="","",VLOOKUP(B40,'F01 - _Données Expatriés'!$A$6:$L$15,2,FALSE))</f>
        <v/>
      </c>
      <c r="D40" s="4">
        <f>IF(B40="","",VLOOKUP(B40,'F01 - _Données Expatriés'!$A$6:$L$15,6,FALSE))</f>
        <v/>
      </c>
      <c r="E40" s="4" t="n"/>
      <c r="F40" s="4" t="n"/>
      <c r="G40" s="4" t="n"/>
      <c r="H40" s="4" t="n"/>
      <c r="I40" s="4" t="n"/>
      <c r="J40" s="4" t="n"/>
    </row>
    <row r="41">
      <c r="A41" s="6" t="n"/>
      <c r="B41" s="6" t="n"/>
      <c r="C41" s="6">
        <f>IF(B41="","",VLOOKUP(B41,'F01 - _Données Expatriés'!$A$6:$L$15,2,FALSE))</f>
        <v/>
      </c>
      <c r="D41" s="6">
        <f>IF(B41="","",VLOOKUP(B41,'F01 - _Données Expatriés'!$A$6:$L$15,6,FALSE))</f>
        <v/>
      </c>
      <c r="E41" s="6" t="n"/>
      <c r="F41" s="6" t="n"/>
      <c r="G41" s="6" t="n"/>
      <c r="H41" s="6" t="n"/>
      <c r="I41" s="6" t="n"/>
      <c r="J41" s="6" t="n"/>
    </row>
    <row r="42">
      <c r="A42" s="4" t="n"/>
      <c r="B42" s="4" t="n"/>
      <c r="C42" s="4">
        <f>IF(B42="","",VLOOKUP(B42,'F01 - _Données Expatriés'!$A$6:$L$15,2,FALSE))</f>
        <v/>
      </c>
      <c r="D42" s="4">
        <f>IF(B42="","",VLOOKUP(B42,'F01 - _Données Expatriés'!$A$6:$L$15,6,FALSE))</f>
        <v/>
      </c>
      <c r="E42" s="4" t="n"/>
      <c r="F42" s="4" t="n"/>
      <c r="G42" s="4" t="n"/>
      <c r="H42" s="4" t="n"/>
      <c r="I42" s="4" t="n"/>
      <c r="J42" s="4" t="n"/>
    </row>
    <row r="43">
      <c r="A43" s="6" t="n"/>
      <c r="B43" s="6" t="n"/>
      <c r="C43" s="6">
        <f>IF(B43="","",VLOOKUP(B43,'F01 - _Données Expatriés'!$A$6:$L$15,2,FALSE))</f>
        <v/>
      </c>
      <c r="D43" s="6">
        <f>IF(B43="","",VLOOKUP(B43,'F01 - _Données Expatriés'!$A$6:$L$15,6,FALSE))</f>
        <v/>
      </c>
      <c r="E43" s="6" t="n"/>
      <c r="F43" s="6" t="n"/>
      <c r="G43" s="6" t="n"/>
      <c r="H43" s="6" t="n"/>
      <c r="I43" s="6" t="n"/>
      <c r="J43" s="6" t="n"/>
    </row>
    <row r="44">
      <c r="A44" s="4" t="n"/>
      <c r="B44" s="4" t="n"/>
      <c r="C44" s="4">
        <f>IF(B44="","",VLOOKUP(B44,'F01 - _Données Expatriés'!$A$6:$L$15,2,FALSE))</f>
        <v/>
      </c>
      <c r="D44" s="4">
        <f>IF(B44="","",VLOOKUP(B44,'F01 - _Données Expatriés'!$A$6:$L$15,6,FALSE))</f>
        <v/>
      </c>
      <c r="E44" s="4" t="n"/>
      <c r="F44" s="4" t="n"/>
      <c r="G44" s="4" t="n"/>
      <c r="H44" s="4" t="n"/>
      <c r="I44" s="4" t="n"/>
      <c r="J44" s="4" t="n"/>
    </row>
    <row r="45">
      <c r="A45" s="6" t="n"/>
      <c r="B45" s="6" t="n"/>
      <c r="C45" s="6">
        <f>IF(B45="","",VLOOKUP(B45,'F01 - _Données Expatriés'!$A$6:$L$15,2,FALSE))</f>
        <v/>
      </c>
      <c r="D45" s="6">
        <f>IF(B45="","",VLOOKUP(B45,'F01 - _Données Expatriés'!$A$6:$L$15,6,FALSE))</f>
        <v/>
      </c>
      <c r="E45" s="6" t="n"/>
      <c r="F45" s="6" t="n"/>
      <c r="G45" s="6" t="n"/>
      <c r="H45" s="6" t="n"/>
      <c r="I45" s="6" t="n"/>
      <c r="J45" s="6" t="n"/>
    </row>
    <row r="46">
      <c r="A46" s="4" t="n"/>
      <c r="B46" s="4" t="n"/>
      <c r="C46" s="4">
        <f>IF(B46="","",VLOOKUP(B46,'F01 - _Données Expatriés'!$A$6:$L$15,2,FALSE))</f>
        <v/>
      </c>
      <c r="D46" s="4">
        <f>IF(B46="","",VLOOKUP(B46,'F01 - _Données Expatriés'!$A$6:$L$15,6,FALSE))</f>
        <v/>
      </c>
      <c r="E46" s="4" t="n"/>
      <c r="F46" s="4" t="n"/>
      <c r="G46" s="4" t="n"/>
      <c r="H46" s="4" t="n"/>
      <c r="I46" s="4" t="n"/>
      <c r="J46" s="4" t="n"/>
    </row>
    <row r="47">
      <c r="A47" s="6" t="n"/>
      <c r="B47" s="6" t="n"/>
      <c r="C47" s="6">
        <f>IF(B47="","",VLOOKUP(B47,'F01 - _Données Expatriés'!$A$6:$L$15,2,FALSE))</f>
        <v/>
      </c>
      <c r="D47" s="6">
        <f>IF(B47="","",VLOOKUP(B47,'F01 - _Données Expatriés'!$A$6:$L$15,6,FALSE))</f>
        <v/>
      </c>
      <c r="E47" s="6" t="n"/>
      <c r="F47" s="6" t="n"/>
      <c r="G47" s="6" t="n"/>
      <c r="H47" s="6" t="n"/>
      <c r="I47" s="6" t="n"/>
      <c r="J47" s="6" t="n"/>
    </row>
    <row r="48">
      <c r="A48" s="4" t="n"/>
      <c r="B48" s="4" t="n"/>
      <c r="C48" s="4">
        <f>IF(B48="","",VLOOKUP(B48,'F01 - _Données Expatriés'!$A$6:$L$15,2,FALSE))</f>
        <v/>
      </c>
      <c r="D48" s="4">
        <f>IF(B48="","",VLOOKUP(B48,'F01 - _Données Expatriés'!$A$6:$L$15,6,FALSE))</f>
        <v/>
      </c>
      <c r="E48" s="4" t="n"/>
      <c r="F48" s="4" t="n"/>
      <c r="G48" s="4" t="n"/>
      <c r="H48" s="4" t="n"/>
      <c r="I48" s="4" t="n"/>
      <c r="J48" s="4" t="n"/>
    </row>
    <row r="49">
      <c r="A49" s="6" t="n"/>
      <c r="B49" s="6" t="n"/>
      <c r="C49" s="6">
        <f>IF(B49="","",VLOOKUP(B49,'F01 - _Données Expatriés'!$A$6:$L$15,2,FALSE))</f>
        <v/>
      </c>
      <c r="D49" s="6">
        <f>IF(B49="","",VLOOKUP(B49,'F01 - _Données Expatriés'!$A$6:$L$15,6,FALSE))</f>
        <v/>
      </c>
      <c r="E49" s="6" t="n"/>
      <c r="F49" s="6" t="n"/>
      <c r="G49" s="6" t="n"/>
      <c r="H49" s="6" t="n"/>
      <c r="I49" s="6" t="n"/>
      <c r="J49" s="6" t="n"/>
    </row>
    <row r="50">
      <c r="A50" s="4" t="n"/>
      <c r="B50" s="4" t="n"/>
      <c r="C50" s="4">
        <f>IF(B50="","",VLOOKUP(B50,'F01 - _Données Expatriés'!$A$6:$L$15,2,FALSE))</f>
        <v/>
      </c>
      <c r="D50" s="4">
        <f>IF(B50="","",VLOOKUP(B50,'F01 - _Données Expatriés'!$A$6:$L$15,6,FALSE))</f>
        <v/>
      </c>
      <c r="E50" s="4" t="n"/>
      <c r="F50" s="4" t="n"/>
      <c r="G50" s="4" t="n"/>
      <c r="H50" s="4" t="n"/>
      <c r="I50" s="4" t="n"/>
      <c r="J50" s="4" t="n"/>
    </row>
    <row r="51">
      <c r="A51" s="6" t="n"/>
      <c r="B51" s="6" t="n"/>
      <c r="C51" s="6">
        <f>IF(B51="","",VLOOKUP(B51,'F01 - _Données Expatriés'!$A$6:$L$15,2,FALSE))</f>
        <v/>
      </c>
      <c r="D51" s="6">
        <f>IF(B51="","",VLOOKUP(B51,'F01 - _Données Expatriés'!$A$6:$L$15,6,FALSE))</f>
        <v/>
      </c>
      <c r="E51" s="6" t="n"/>
      <c r="F51" s="6" t="n"/>
      <c r="G51" s="6" t="n"/>
      <c r="H51" s="6" t="n"/>
      <c r="I51" s="6" t="n"/>
      <c r="J51" s="6" t="n"/>
    </row>
    <row r="52">
      <c r="A52" s="4" t="n"/>
      <c r="B52" s="4" t="n"/>
      <c r="C52" s="4">
        <f>IF(B52="","",VLOOKUP(B52,'F01 - _Données Expatriés'!$A$6:$L$15,2,FALSE))</f>
        <v/>
      </c>
      <c r="D52" s="4">
        <f>IF(B52="","",VLOOKUP(B52,'F01 - _Données Expatriés'!$A$6:$L$15,6,FALSE))</f>
        <v/>
      </c>
      <c r="E52" s="4" t="n"/>
      <c r="F52" s="4" t="n"/>
      <c r="G52" s="4" t="n"/>
      <c r="H52" s="4" t="n"/>
      <c r="I52" s="4" t="n"/>
      <c r="J52" s="4" t="n"/>
    </row>
    <row r="53">
      <c r="A53" s="6" t="n"/>
      <c r="B53" s="6" t="n"/>
      <c r="C53" s="6">
        <f>IF(B53="","",VLOOKUP(B53,'F01 - _Données Expatriés'!$A$6:$L$15,2,FALSE))</f>
        <v/>
      </c>
      <c r="D53" s="6">
        <f>IF(B53="","",VLOOKUP(B53,'F01 - _Données Expatriés'!$A$6:$L$15,6,FALSE))</f>
        <v/>
      </c>
      <c r="E53" s="6" t="n"/>
      <c r="F53" s="6" t="n"/>
      <c r="G53" s="6" t="n"/>
      <c r="H53" s="6" t="n"/>
      <c r="I53" s="6" t="n"/>
      <c r="J53" s="6" t="n"/>
    </row>
    <row r="54">
      <c r="A54" s="4" t="n"/>
      <c r="B54" s="4" t="n"/>
      <c r="C54" s="4">
        <f>IF(B54="","",VLOOKUP(B54,'F01 - _Données Expatriés'!$A$6:$L$15,2,FALSE))</f>
        <v/>
      </c>
      <c r="D54" s="4">
        <f>IF(B54="","",VLOOKUP(B54,'F01 - _Données Expatriés'!$A$6:$L$15,6,FALSE))</f>
        <v/>
      </c>
      <c r="E54" s="4" t="n"/>
      <c r="F54" s="4" t="n"/>
      <c r="G54" s="4" t="n"/>
      <c r="H54" s="4" t="n"/>
      <c r="I54" s="4" t="n"/>
      <c r="J54" s="4" t="n"/>
    </row>
    <row r="55">
      <c r="A55" s="6" t="n"/>
      <c r="B55" s="6" t="n"/>
      <c r="C55" s="6">
        <f>IF(B55="","",VLOOKUP(B55,'F01 - _Données Expatriés'!$A$6:$L$15,2,FALSE))</f>
        <v/>
      </c>
      <c r="D55" s="6">
        <f>IF(B55="","",VLOOKUP(B55,'F01 - _Données Expatriés'!$A$6:$L$15,6,FALSE))</f>
        <v/>
      </c>
      <c r="E55" s="6" t="n"/>
      <c r="F55" s="6" t="n"/>
      <c r="G55" s="6" t="n"/>
      <c r="H55" s="6" t="n"/>
      <c r="I55" s="6" t="n"/>
      <c r="J55" s="6" t="n"/>
    </row>
    <row r="56">
      <c r="A56" s="4" t="n"/>
      <c r="B56" s="4" t="n"/>
      <c r="C56" s="4">
        <f>IF(B56="","",VLOOKUP(B56,'F01 - _Données Expatriés'!$A$6:$L$15,2,FALSE))</f>
        <v/>
      </c>
      <c r="D56" s="4">
        <f>IF(B56="","",VLOOKUP(B56,'F01 - _Données Expatriés'!$A$6:$L$15,6,FALSE))</f>
        <v/>
      </c>
      <c r="E56" s="4" t="n"/>
      <c r="F56" s="4" t="n"/>
      <c r="G56" s="4" t="n"/>
      <c r="H56" s="4" t="n"/>
      <c r="I56" s="4" t="n"/>
      <c r="J56" s="4" t="n"/>
    </row>
    <row r="57">
      <c r="A57" s="6" t="n"/>
      <c r="B57" s="6" t="n"/>
      <c r="C57" s="6">
        <f>IF(B57="","",VLOOKUP(B57,'F01 - _Données Expatriés'!$A$6:$L$15,2,FALSE))</f>
        <v/>
      </c>
      <c r="D57" s="6">
        <f>IF(B57="","",VLOOKUP(B57,'F01 - _Données Expatriés'!$A$6:$L$15,6,FALSE))</f>
        <v/>
      </c>
      <c r="E57" s="6" t="n"/>
      <c r="F57" s="6" t="n"/>
      <c r="G57" s="6" t="n"/>
      <c r="H57" s="6" t="n"/>
      <c r="I57" s="6" t="n"/>
      <c r="J57" s="6" t="n"/>
    </row>
    <row r="58">
      <c r="A58" s="4" t="n"/>
      <c r="B58" s="4" t="n"/>
      <c r="C58" s="4">
        <f>IF(B58="","",VLOOKUP(B58,'F01 - _Données Expatriés'!$A$6:$L$15,2,FALSE))</f>
        <v/>
      </c>
      <c r="D58" s="4">
        <f>IF(B58="","",VLOOKUP(B58,'F01 - _Données Expatriés'!$A$6:$L$15,6,FALSE))</f>
        <v/>
      </c>
      <c r="E58" s="4" t="n"/>
      <c r="F58" s="4" t="n"/>
      <c r="G58" s="4" t="n"/>
      <c r="H58" s="4" t="n"/>
      <c r="I58" s="4" t="n"/>
      <c r="J58" s="4" t="n"/>
    </row>
    <row r="59">
      <c r="A59" s="6" t="n"/>
      <c r="B59" s="6" t="n"/>
      <c r="C59" s="6">
        <f>IF(B59="","",VLOOKUP(B59,'F01 - _Données Expatriés'!$A$6:$L$15,2,FALSE))</f>
        <v/>
      </c>
      <c r="D59" s="6">
        <f>IF(B59="","",VLOOKUP(B59,'F01 - _Données Expatriés'!$A$6:$L$15,6,FALSE))</f>
        <v/>
      </c>
      <c r="E59" s="6" t="n"/>
      <c r="F59" s="6" t="n"/>
      <c r="G59" s="6" t="n"/>
      <c r="H59" s="6" t="n"/>
      <c r="I59" s="6" t="n"/>
      <c r="J59" s="6" t="n"/>
    </row>
    <row r="60">
      <c r="A60" s="4" t="n"/>
      <c r="B60" s="4" t="n"/>
      <c r="C60" s="4">
        <f>IF(B60="","",VLOOKUP(B60,'F01 - _Données Expatriés'!$A$6:$L$15,2,FALSE))</f>
        <v/>
      </c>
      <c r="D60" s="4">
        <f>IF(B60="","",VLOOKUP(B60,'F01 - _Données Expatriés'!$A$6:$L$15,6,FALSE))</f>
        <v/>
      </c>
      <c r="E60" s="4" t="n"/>
      <c r="F60" s="4" t="n"/>
      <c r="G60" s="4" t="n"/>
      <c r="H60" s="4" t="n"/>
      <c r="I60" s="4" t="n"/>
      <c r="J60" s="4" t="n"/>
    </row>
    <row r="61">
      <c r="A61" s="6" t="n"/>
      <c r="B61" s="6" t="n"/>
      <c r="C61" s="6">
        <f>IF(B61="","",VLOOKUP(B61,'F01 - _Données Expatriés'!$A$6:$L$15,2,FALSE))</f>
        <v/>
      </c>
      <c r="D61" s="6">
        <f>IF(B61="","",VLOOKUP(B61,'F01 - _Données Expatriés'!$A$6:$L$15,6,FALSE))</f>
        <v/>
      </c>
      <c r="E61" s="6" t="n"/>
      <c r="F61" s="6" t="n"/>
      <c r="G61" s="6" t="n"/>
      <c r="H61" s="6" t="n"/>
      <c r="I61" s="6" t="n"/>
      <c r="J61" s="6" t="n"/>
    </row>
    <row r="62">
      <c r="A62" s="4" t="n"/>
      <c r="B62" s="4" t="n"/>
      <c r="C62" s="4">
        <f>IF(B62="","",VLOOKUP(B62,'F01 - _Données Expatriés'!$A$6:$L$15,2,FALSE))</f>
        <v/>
      </c>
      <c r="D62" s="4">
        <f>IF(B62="","",VLOOKUP(B62,'F01 - _Données Expatriés'!$A$6:$L$15,6,FALSE))</f>
        <v/>
      </c>
      <c r="E62" s="4" t="n"/>
      <c r="F62" s="4" t="n"/>
      <c r="G62" s="4" t="n"/>
      <c r="H62" s="4" t="n"/>
      <c r="I62" s="4" t="n"/>
      <c r="J62" s="4" t="n"/>
    </row>
    <row r="63">
      <c r="A63" s="6" t="n"/>
      <c r="B63" s="6" t="n"/>
      <c r="C63" s="6">
        <f>IF(B63="","",VLOOKUP(B63,'F01 - _Données Expatriés'!$A$6:$L$15,2,FALSE))</f>
        <v/>
      </c>
      <c r="D63" s="6">
        <f>IF(B63="","",VLOOKUP(B63,'F01 - _Données Expatriés'!$A$6:$L$15,6,FALSE))</f>
        <v/>
      </c>
      <c r="E63" s="6" t="n"/>
      <c r="F63" s="6" t="n"/>
      <c r="G63" s="6" t="n"/>
      <c r="H63" s="6" t="n"/>
      <c r="I63" s="6" t="n"/>
      <c r="J63" s="6" t="n"/>
    </row>
    <row r="64">
      <c r="A64" s="4" t="n"/>
      <c r="B64" s="4" t="n"/>
      <c r="C64" s="4">
        <f>IF(B64="","",VLOOKUP(B64,'F01 - _Données Expatriés'!$A$6:$L$15,2,FALSE))</f>
        <v/>
      </c>
      <c r="D64" s="4">
        <f>IF(B64="","",VLOOKUP(B64,'F01 - _Données Expatriés'!$A$6:$L$15,6,FALSE))</f>
        <v/>
      </c>
      <c r="E64" s="4" t="n"/>
      <c r="F64" s="4" t="n"/>
      <c r="G64" s="4" t="n"/>
      <c r="H64" s="4" t="n"/>
      <c r="I64" s="4" t="n"/>
      <c r="J64" s="4" t="n"/>
    </row>
    <row r="65">
      <c r="A65" s="6" t="n"/>
      <c r="B65" s="6" t="n"/>
      <c r="C65" s="6">
        <f>IF(B65="","",VLOOKUP(B65,'F01 - _Données Expatriés'!$A$6:$L$15,2,FALSE))</f>
        <v/>
      </c>
      <c r="D65" s="6">
        <f>IF(B65="","",VLOOKUP(B65,'F01 - _Données Expatriés'!$A$6:$L$15,6,FALSE))</f>
        <v/>
      </c>
      <c r="E65" s="6" t="n"/>
      <c r="F65" s="6" t="n"/>
      <c r="G65" s="6" t="n"/>
      <c r="H65" s="6" t="n"/>
      <c r="I65" s="6" t="n"/>
      <c r="J65" s="6" t="n"/>
    </row>
    <row r="66">
      <c r="A66" s="4" t="n"/>
      <c r="B66" s="4" t="n"/>
      <c r="C66" s="4">
        <f>IF(B66="","",VLOOKUP(B66,'F01 - _Données Expatriés'!$A$6:$L$15,2,FALSE))</f>
        <v/>
      </c>
      <c r="D66" s="4">
        <f>IF(B66="","",VLOOKUP(B66,'F01 - _Données Expatriés'!$A$6:$L$15,6,FALSE))</f>
        <v/>
      </c>
      <c r="E66" s="4" t="n"/>
      <c r="F66" s="4" t="n"/>
      <c r="G66" s="4" t="n"/>
      <c r="H66" s="4" t="n"/>
      <c r="I66" s="4" t="n"/>
      <c r="J66" s="4" t="n"/>
    </row>
    <row r="67">
      <c r="A67" s="6" t="n"/>
      <c r="B67" s="6" t="n"/>
      <c r="C67" s="6">
        <f>IF(B67="","",VLOOKUP(B67,'F01 - _Données Expatriés'!$A$6:$L$15,2,FALSE))</f>
        <v/>
      </c>
      <c r="D67" s="6">
        <f>IF(B67="","",VLOOKUP(B67,'F01 - _Données Expatriés'!$A$6:$L$15,6,FALSE))</f>
        <v/>
      </c>
      <c r="E67" s="6" t="n"/>
      <c r="F67" s="6" t="n"/>
      <c r="G67" s="6" t="n"/>
      <c r="H67" s="6" t="n"/>
      <c r="I67" s="6" t="n"/>
      <c r="J67" s="6" t="n"/>
    </row>
    <row r="68">
      <c r="A68" s="4" t="n"/>
      <c r="B68" s="4" t="n"/>
      <c r="C68" s="4">
        <f>IF(B68="","",VLOOKUP(B68,'F01 - _Données Expatriés'!$A$6:$L$15,2,FALSE))</f>
        <v/>
      </c>
      <c r="D68" s="4">
        <f>IF(B68="","",VLOOKUP(B68,'F01 - _Données Expatriés'!$A$6:$L$15,6,FALSE))</f>
        <v/>
      </c>
      <c r="E68" s="4" t="n"/>
      <c r="F68" s="4" t="n"/>
      <c r="G68" s="4" t="n"/>
      <c r="H68" s="4" t="n"/>
      <c r="I68" s="4" t="n"/>
      <c r="J68" s="4" t="n"/>
    </row>
    <row r="69">
      <c r="A69" s="6" t="n"/>
      <c r="B69" s="6" t="n"/>
      <c r="C69" s="6">
        <f>IF(B69="","",VLOOKUP(B69,'F01 - _Données Expatriés'!$A$6:$L$15,2,FALSE))</f>
        <v/>
      </c>
      <c r="D69" s="6">
        <f>IF(B69="","",VLOOKUP(B69,'F01 - _Données Expatriés'!$A$6:$L$15,6,FALSE))</f>
        <v/>
      </c>
      <c r="E69" s="6" t="n"/>
      <c r="F69" s="6" t="n"/>
      <c r="G69" s="6" t="n"/>
      <c r="H69" s="6" t="n"/>
      <c r="I69" s="6" t="n"/>
      <c r="J69" s="6" t="n"/>
    </row>
    <row r="70">
      <c r="A70" s="4" t="n"/>
      <c r="B70" s="4" t="n"/>
      <c r="C70" s="4">
        <f>IF(B70="","",VLOOKUP(B70,'F01 - _Données Expatriés'!$A$6:$L$15,2,FALSE))</f>
        <v/>
      </c>
      <c r="D70" s="4">
        <f>IF(B70="","",VLOOKUP(B70,'F01 - _Données Expatriés'!$A$6:$L$15,6,FALSE))</f>
        <v/>
      </c>
      <c r="E70" s="4" t="n"/>
      <c r="F70" s="4" t="n"/>
      <c r="G70" s="4" t="n"/>
      <c r="H70" s="4" t="n"/>
      <c r="I70" s="4" t="n"/>
      <c r="J70" s="4" t="n"/>
    </row>
    <row r="71">
      <c r="A71" s="6" t="n"/>
      <c r="B71" s="6" t="n"/>
      <c r="C71" s="6">
        <f>IF(B71="","",VLOOKUP(B71,'F01 - _Données Expatriés'!$A$6:$L$15,2,FALSE))</f>
        <v/>
      </c>
      <c r="D71" s="6">
        <f>IF(B71="","",VLOOKUP(B71,'F01 - _Données Expatriés'!$A$6:$L$15,6,FALSE))</f>
        <v/>
      </c>
      <c r="E71" s="6" t="n"/>
      <c r="F71" s="6" t="n"/>
      <c r="G71" s="6" t="n"/>
      <c r="H71" s="6" t="n"/>
      <c r="I71" s="6" t="n"/>
      <c r="J71" s="6" t="n"/>
    </row>
    <row r="72">
      <c r="A72" s="4" t="n"/>
      <c r="B72" s="4" t="n"/>
      <c r="C72" s="4">
        <f>IF(B72="","",VLOOKUP(B72,'F01 - _Données Expatriés'!$A$6:$L$15,2,FALSE))</f>
        <v/>
      </c>
      <c r="D72" s="4">
        <f>IF(B72="","",VLOOKUP(B72,'F01 - _Données Expatriés'!$A$6:$L$15,6,FALSE))</f>
        <v/>
      </c>
      <c r="E72" s="4" t="n"/>
      <c r="F72" s="4" t="n"/>
      <c r="G72" s="4" t="n"/>
      <c r="H72" s="4" t="n"/>
      <c r="I72" s="4" t="n"/>
      <c r="J72" s="4" t="n"/>
    </row>
    <row r="73">
      <c r="A73" s="6" t="n"/>
      <c r="B73" s="6" t="n"/>
      <c r="C73" s="6">
        <f>IF(B73="","",VLOOKUP(B73,'F01 - _Données Expatriés'!$A$6:$L$15,2,FALSE))</f>
        <v/>
      </c>
      <c r="D73" s="6">
        <f>IF(B73="","",VLOOKUP(B73,'F01 - _Données Expatriés'!$A$6:$L$15,6,FALSE))</f>
        <v/>
      </c>
      <c r="E73" s="6" t="n"/>
      <c r="F73" s="6" t="n"/>
      <c r="G73" s="6" t="n"/>
      <c r="H73" s="6" t="n"/>
      <c r="I73" s="6" t="n"/>
      <c r="J73" s="6" t="n"/>
    </row>
    <row r="74">
      <c r="A74" s="4" t="n"/>
      <c r="B74" s="4" t="n"/>
      <c r="C74" s="4">
        <f>IF(B74="","",VLOOKUP(B74,'F01 - _Données Expatriés'!$A$6:$L$15,2,FALSE))</f>
        <v/>
      </c>
      <c r="D74" s="4">
        <f>IF(B74="","",VLOOKUP(B74,'F01 - _Données Expatriés'!$A$6:$L$15,6,FALSE))</f>
        <v/>
      </c>
      <c r="E74" s="4" t="n"/>
      <c r="F74" s="4" t="n"/>
      <c r="G74" s="4" t="n"/>
      <c r="H74" s="4" t="n"/>
      <c r="I74" s="4" t="n"/>
      <c r="J74" s="4" t="n"/>
    </row>
    <row r="75">
      <c r="A75" s="6" t="n"/>
      <c r="B75" s="6" t="n"/>
      <c r="C75" s="6">
        <f>IF(B75="","",VLOOKUP(B75,'F01 - _Données Expatriés'!$A$6:$L$15,2,FALSE))</f>
        <v/>
      </c>
      <c r="D75" s="6">
        <f>IF(B75="","",VLOOKUP(B75,'F01 - _Données Expatriés'!$A$6:$L$15,6,FALSE))</f>
        <v/>
      </c>
      <c r="E75" s="6" t="n"/>
      <c r="F75" s="6" t="n"/>
      <c r="G75" s="6" t="n"/>
      <c r="H75" s="6" t="n"/>
      <c r="I75" s="6" t="n"/>
      <c r="J75" s="6" t="n"/>
    </row>
    <row r="76">
      <c r="A76" s="4" t="n"/>
      <c r="B76" s="4" t="n"/>
      <c r="C76" s="4">
        <f>IF(B76="","",VLOOKUP(B76,'F01 - _Données Expatriés'!$A$6:$L$15,2,FALSE))</f>
        <v/>
      </c>
      <c r="D76" s="4">
        <f>IF(B76="","",VLOOKUP(B76,'F01 - _Données Expatriés'!$A$6:$L$15,6,FALSE))</f>
        <v/>
      </c>
      <c r="E76" s="4" t="n"/>
      <c r="F76" s="4" t="n"/>
      <c r="G76" s="4" t="n"/>
      <c r="H76" s="4" t="n"/>
      <c r="I76" s="4" t="n"/>
      <c r="J76" s="4" t="n"/>
    </row>
    <row r="77">
      <c r="A77" s="6" t="n"/>
      <c r="B77" s="6" t="n"/>
      <c r="C77" s="6">
        <f>IF(B77="","",VLOOKUP(B77,'F01 - _Données Expatriés'!$A$6:$L$15,2,FALSE))</f>
        <v/>
      </c>
      <c r="D77" s="6">
        <f>IF(B77="","",VLOOKUP(B77,'F01 - _Données Expatriés'!$A$6:$L$15,6,FALSE))</f>
        <v/>
      </c>
      <c r="E77" s="6" t="n"/>
      <c r="F77" s="6" t="n"/>
      <c r="G77" s="6" t="n"/>
      <c r="H77" s="6" t="n"/>
      <c r="I77" s="6" t="n"/>
      <c r="J77" s="6" t="n"/>
    </row>
    <row r="78">
      <c r="A78" s="4" t="n"/>
      <c r="B78" s="4" t="n"/>
      <c r="C78" s="4">
        <f>IF(B78="","",VLOOKUP(B78,'F01 - _Données Expatriés'!$A$6:$L$15,2,FALSE))</f>
        <v/>
      </c>
      <c r="D78" s="4">
        <f>IF(B78="","",VLOOKUP(B78,'F01 - _Données Expatriés'!$A$6:$L$15,6,FALSE))</f>
        <v/>
      </c>
      <c r="E78" s="4" t="n"/>
      <c r="F78" s="4" t="n"/>
      <c r="G78" s="4" t="n"/>
      <c r="H78" s="4" t="n"/>
      <c r="I78" s="4" t="n"/>
      <c r="J78" s="4" t="n"/>
    </row>
    <row r="79">
      <c r="A79" s="6" t="n"/>
      <c r="B79" s="6" t="n"/>
      <c r="C79" s="6">
        <f>IF(B79="","",VLOOKUP(B79,'F01 - _Données Expatriés'!$A$6:$L$15,2,FALSE))</f>
        <v/>
      </c>
      <c r="D79" s="6">
        <f>IF(B79="","",VLOOKUP(B79,'F01 - _Données Expatriés'!$A$6:$L$15,6,FALSE))</f>
        <v/>
      </c>
      <c r="E79" s="6" t="n"/>
      <c r="F79" s="6" t="n"/>
      <c r="G79" s="6" t="n"/>
      <c r="H79" s="6" t="n"/>
      <c r="I79" s="6" t="n"/>
      <c r="J79" s="6" t="n"/>
    </row>
    <row r="80">
      <c r="A80" s="4" t="n"/>
      <c r="B80" s="4" t="n"/>
      <c r="C80" s="4">
        <f>IF(B80="","",VLOOKUP(B80,'F01 - _Données Expatriés'!$A$6:$L$15,2,FALSE))</f>
        <v/>
      </c>
      <c r="D80" s="4">
        <f>IF(B80="","",VLOOKUP(B80,'F01 - _Données Expatriés'!$A$6:$L$15,6,FALSE))</f>
        <v/>
      </c>
      <c r="E80" s="4" t="n"/>
      <c r="F80" s="4" t="n"/>
      <c r="G80" s="4" t="n"/>
      <c r="H80" s="4" t="n"/>
      <c r="I80" s="4" t="n"/>
      <c r="J80" s="4" t="n"/>
    </row>
    <row r="81">
      <c r="A81" s="6" t="n"/>
      <c r="B81" s="6" t="n"/>
      <c r="C81" s="6">
        <f>IF(B81="","",VLOOKUP(B81,'F01 - _Données Expatriés'!$A$6:$L$15,2,FALSE))</f>
        <v/>
      </c>
      <c r="D81" s="6">
        <f>IF(B81="","",VLOOKUP(B81,'F01 - _Données Expatriés'!$A$6:$L$15,6,FALSE))</f>
        <v/>
      </c>
      <c r="E81" s="6" t="n"/>
      <c r="F81" s="6" t="n"/>
      <c r="G81" s="6" t="n"/>
      <c r="H81" s="6" t="n"/>
      <c r="I81" s="6" t="n"/>
      <c r="J81" s="6" t="n"/>
    </row>
    <row r="82">
      <c r="A82" s="4" t="n"/>
      <c r="B82" s="4" t="n"/>
      <c r="C82" s="4">
        <f>IF(B82="","",VLOOKUP(B82,'F01 - _Données Expatriés'!$A$6:$L$15,2,FALSE))</f>
        <v/>
      </c>
      <c r="D82" s="4">
        <f>IF(B82="","",VLOOKUP(B82,'F01 - _Données Expatriés'!$A$6:$L$15,6,FALSE))</f>
        <v/>
      </c>
      <c r="E82" s="4" t="n"/>
      <c r="F82" s="4" t="n"/>
      <c r="G82" s="4" t="n"/>
      <c r="H82" s="4" t="n"/>
      <c r="I82" s="4" t="n"/>
      <c r="J82" s="4" t="n"/>
    </row>
    <row r="83">
      <c r="A83" s="6" t="n"/>
      <c r="B83" s="6" t="n"/>
      <c r="C83" s="6">
        <f>IF(B83="","",VLOOKUP(B83,'F01 - _Données Expatriés'!$A$6:$L$15,2,FALSE))</f>
        <v/>
      </c>
      <c r="D83" s="6">
        <f>IF(B83="","",VLOOKUP(B83,'F01 - _Données Expatriés'!$A$6:$L$15,6,FALSE))</f>
        <v/>
      </c>
      <c r="E83" s="6" t="n"/>
      <c r="F83" s="6" t="n"/>
      <c r="G83" s="6" t="n"/>
      <c r="H83" s="6" t="n"/>
      <c r="I83" s="6" t="n"/>
      <c r="J83" s="6" t="n"/>
    </row>
    <row r="84">
      <c r="A84" s="4" t="n"/>
      <c r="B84" s="4" t="n"/>
      <c r="C84" s="4">
        <f>IF(B84="","",VLOOKUP(B84,'F01 - _Données Expatriés'!$A$6:$L$15,2,FALSE))</f>
        <v/>
      </c>
      <c r="D84" s="4">
        <f>IF(B84="","",VLOOKUP(B84,'F01 - _Données Expatriés'!$A$6:$L$15,6,FALSE))</f>
        <v/>
      </c>
      <c r="E84" s="4" t="n"/>
      <c r="F84" s="4" t="n"/>
      <c r="G84" s="4" t="n"/>
      <c r="H84" s="4" t="n"/>
      <c r="I84" s="4" t="n"/>
      <c r="J84" s="4" t="n"/>
    </row>
    <row r="85">
      <c r="A85" s="6" t="n"/>
      <c r="B85" s="6" t="n"/>
      <c r="C85" s="6">
        <f>IF(B85="","",VLOOKUP(B85,'F01 - _Données Expatriés'!$A$6:$L$15,2,FALSE))</f>
        <v/>
      </c>
      <c r="D85" s="6">
        <f>IF(B85="","",VLOOKUP(B85,'F01 - _Données Expatriés'!$A$6:$L$15,6,FALSE))</f>
        <v/>
      </c>
      <c r="E85" s="6" t="n"/>
      <c r="F85" s="6" t="n"/>
      <c r="G85" s="6" t="n"/>
      <c r="H85" s="6" t="n"/>
      <c r="I85" s="6" t="n"/>
      <c r="J85" s="6" t="n"/>
    </row>
    <row r="86">
      <c r="A86" s="4" t="n"/>
      <c r="B86" s="4" t="n"/>
      <c r="C86" s="4">
        <f>IF(B86="","",VLOOKUP(B86,'F01 - _Données Expatriés'!$A$6:$L$15,2,FALSE))</f>
        <v/>
      </c>
      <c r="D86" s="4">
        <f>IF(B86="","",VLOOKUP(B86,'F01 - _Données Expatriés'!$A$6:$L$15,6,FALSE))</f>
        <v/>
      </c>
      <c r="E86" s="4" t="n"/>
      <c r="F86" s="4" t="n"/>
      <c r="G86" s="4" t="n"/>
      <c r="H86" s="4" t="n"/>
      <c r="I86" s="4" t="n"/>
      <c r="J86" s="4" t="n"/>
    </row>
    <row r="87">
      <c r="A87" s="6" t="n"/>
      <c r="B87" s="6" t="n"/>
      <c r="C87" s="6">
        <f>IF(B87="","",VLOOKUP(B87,'F01 - _Données Expatriés'!$A$6:$L$15,2,FALSE))</f>
        <v/>
      </c>
      <c r="D87" s="6">
        <f>IF(B87="","",VLOOKUP(B87,'F01 - _Données Expatriés'!$A$6:$L$15,6,FALSE))</f>
        <v/>
      </c>
      <c r="E87" s="6" t="n"/>
      <c r="F87" s="6" t="n"/>
      <c r="G87" s="6" t="n"/>
      <c r="H87" s="6" t="n"/>
      <c r="I87" s="6" t="n"/>
      <c r="J87" s="6" t="n"/>
    </row>
    <row r="88">
      <c r="A88" s="4" t="n"/>
      <c r="B88" s="4" t="n"/>
      <c r="C88" s="4">
        <f>IF(B88="","",VLOOKUP(B88,'F01 - _Données Expatriés'!$A$6:$L$15,2,FALSE))</f>
        <v/>
      </c>
      <c r="D88" s="4">
        <f>IF(B88="","",VLOOKUP(B88,'F01 - _Données Expatriés'!$A$6:$L$15,6,FALSE))</f>
        <v/>
      </c>
      <c r="E88" s="4" t="n"/>
      <c r="F88" s="4" t="n"/>
      <c r="G88" s="4" t="n"/>
      <c r="H88" s="4" t="n"/>
      <c r="I88" s="4" t="n"/>
      <c r="J88" s="4" t="n"/>
    </row>
    <row r="89">
      <c r="A89" s="6" t="n"/>
      <c r="B89" s="6" t="n"/>
      <c r="C89" s="6">
        <f>IF(B89="","",VLOOKUP(B89,'F01 - _Données Expatriés'!$A$6:$L$15,2,FALSE))</f>
        <v/>
      </c>
      <c r="D89" s="6">
        <f>IF(B89="","",VLOOKUP(B89,'F01 - _Données Expatriés'!$A$6:$L$15,6,FALSE))</f>
        <v/>
      </c>
      <c r="E89" s="6" t="n"/>
      <c r="F89" s="6" t="n"/>
      <c r="G89" s="6" t="n"/>
      <c r="H89" s="6" t="n"/>
      <c r="I89" s="6" t="n"/>
      <c r="J89" s="6" t="n"/>
    </row>
    <row r="90">
      <c r="A90" s="4" t="n"/>
      <c r="B90" s="4" t="n"/>
      <c r="C90" s="4">
        <f>IF(B90="","",VLOOKUP(B90,'F01 - _Données Expatriés'!$A$6:$L$15,2,FALSE))</f>
        <v/>
      </c>
      <c r="D90" s="4">
        <f>IF(B90="","",VLOOKUP(B90,'F01 - _Données Expatriés'!$A$6:$L$15,6,FALSE))</f>
        <v/>
      </c>
      <c r="E90" s="4" t="n"/>
      <c r="F90" s="4" t="n"/>
      <c r="G90" s="4" t="n"/>
      <c r="H90" s="4" t="n"/>
      <c r="I90" s="4" t="n"/>
      <c r="J90" s="4" t="n"/>
    </row>
    <row r="91">
      <c r="A91" s="6" t="n"/>
      <c r="B91" s="6" t="n"/>
      <c r="C91" s="6">
        <f>IF(B91="","",VLOOKUP(B91,'F01 - _Données Expatriés'!$A$6:$L$15,2,FALSE))</f>
        <v/>
      </c>
      <c r="D91" s="6">
        <f>IF(B91="","",VLOOKUP(B91,'F01 - _Données Expatriés'!$A$6:$L$15,6,FALSE))</f>
        <v/>
      </c>
      <c r="E91" s="6" t="n"/>
      <c r="F91" s="6" t="n"/>
      <c r="G91" s="6" t="n"/>
      <c r="H91" s="6" t="n"/>
      <c r="I91" s="6" t="n"/>
      <c r="J91" s="6" t="n"/>
    </row>
    <row r="92">
      <c r="A92" s="4" t="n"/>
      <c r="B92" s="4" t="n"/>
      <c r="C92" s="4">
        <f>IF(B92="","",VLOOKUP(B92,'F01 - _Données Expatriés'!$A$6:$L$15,2,FALSE))</f>
        <v/>
      </c>
      <c r="D92" s="4">
        <f>IF(B92="","",VLOOKUP(B92,'F01 - _Données Expatriés'!$A$6:$L$15,6,FALSE))</f>
        <v/>
      </c>
      <c r="E92" s="4" t="n"/>
      <c r="F92" s="4" t="n"/>
      <c r="G92" s="4" t="n"/>
      <c r="H92" s="4" t="n"/>
      <c r="I92" s="4" t="n"/>
      <c r="J92" s="4" t="n"/>
    </row>
    <row r="93">
      <c r="A93" s="6" t="n"/>
      <c r="B93" s="6" t="n"/>
      <c r="C93" s="6">
        <f>IF(B93="","",VLOOKUP(B93,'F01 - _Données Expatriés'!$A$6:$L$15,2,FALSE))</f>
        <v/>
      </c>
      <c r="D93" s="6">
        <f>IF(B93="","",VLOOKUP(B93,'F01 - _Données Expatriés'!$A$6:$L$15,6,FALSE))</f>
        <v/>
      </c>
      <c r="E93" s="6" t="n"/>
      <c r="F93" s="6" t="n"/>
      <c r="G93" s="6" t="n"/>
      <c r="H93" s="6" t="n"/>
      <c r="I93" s="6" t="n"/>
      <c r="J93" s="6" t="n"/>
    </row>
    <row r="94">
      <c r="A94" s="4" t="n"/>
      <c r="B94" s="4" t="n"/>
      <c r="C94" s="4">
        <f>IF(B94="","",VLOOKUP(B94,'F01 - _Données Expatriés'!$A$6:$L$15,2,FALSE))</f>
        <v/>
      </c>
      <c r="D94" s="4">
        <f>IF(B94="","",VLOOKUP(B94,'F01 - _Données Expatriés'!$A$6:$L$15,6,FALSE))</f>
        <v/>
      </c>
      <c r="E94" s="4" t="n"/>
      <c r="F94" s="4" t="n"/>
      <c r="G94" s="4" t="n"/>
      <c r="H94" s="4" t="n"/>
      <c r="I94" s="4" t="n"/>
      <c r="J94" s="4" t="n"/>
    </row>
    <row r="95">
      <c r="A95" s="6" t="n"/>
      <c r="B95" s="6" t="n"/>
      <c r="C95" s="6">
        <f>IF(B95="","",VLOOKUP(B95,'F01 - _Données Expatriés'!$A$6:$L$15,2,FALSE))</f>
        <v/>
      </c>
      <c r="D95" s="6">
        <f>IF(B95="","",VLOOKUP(B95,'F01 - _Données Expatriés'!$A$6:$L$15,6,FALSE))</f>
        <v/>
      </c>
      <c r="E95" s="6" t="n"/>
      <c r="F95" s="6" t="n"/>
      <c r="G95" s="6" t="n"/>
      <c r="H95" s="6" t="n"/>
      <c r="I95" s="6" t="n"/>
      <c r="J95" s="6" t="n"/>
    </row>
    <row r="96">
      <c r="A96" s="4" t="n"/>
      <c r="B96" s="4" t="n"/>
      <c r="C96" s="4">
        <f>IF(B96="","",VLOOKUP(B96,'F01 - _Données Expatriés'!$A$6:$L$15,2,FALSE))</f>
        <v/>
      </c>
      <c r="D96" s="4">
        <f>IF(B96="","",VLOOKUP(B96,'F01 - _Données Expatriés'!$A$6:$L$15,6,FALSE))</f>
        <v/>
      </c>
      <c r="E96" s="4" t="n"/>
      <c r="F96" s="4" t="n"/>
      <c r="G96" s="4" t="n"/>
      <c r="H96" s="4" t="n"/>
      <c r="I96" s="4" t="n"/>
      <c r="J96" s="4" t="n"/>
    </row>
    <row r="97">
      <c r="A97" s="6" t="n"/>
      <c r="B97" s="6" t="n"/>
      <c r="C97" s="6">
        <f>IF(B97="","",VLOOKUP(B97,'F01 - _Données Expatriés'!$A$6:$L$15,2,FALSE))</f>
        <v/>
      </c>
      <c r="D97" s="6">
        <f>IF(B97="","",VLOOKUP(B97,'F01 - _Données Expatriés'!$A$6:$L$15,6,FALSE))</f>
        <v/>
      </c>
      <c r="E97" s="6" t="n"/>
      <c r="F97" s="6" t="n"/>
      <c r="G97" s="6" t="n"/>
      <c r="H97" s="6" t="n"/>
      <c r="I97" s="6" t="n"/>
      <c r="J97" s="6" t="n"/>
    </row>
    <row r="98">
      <c r="A98" s="4" t="n"/>
      <c r="B98" s="4" t="n"/>
      <c r="C98" s="4">
        <f>IF(B98="","",VLOOKUP(B98,'F01 - _Données Expatriés'!$A$6:$L$15,2,FALSE))</f>
        <v/>
      </c>
      <c r="D98" s="4">
        <f>IF(B98="","",VLOOKUP(B98,'F01 - _Données Expatriés'!$A$6:$L$15,6,FALSE))</f>
        <v/>
      </c>
      <c r="E98" s="4" t="n"/>
      <c r="F98" s="4" t="n"/>
      <c r="G98" s="4" t="n"/>
      <c r="H98" s="4" t="n"/>
      <c r="I98" s="4" t="n"/>
      <c r="J98" s="4" t="n"/>
    </row>
    <row r="99">
      <c r="A99" s="6" t="n"/>
      <c r="B99" s="6" t="n"/>
      <c r="C99" s="6">
        <f>IF(B99="","",VLOOKUP(B99,'F01 - _Données Expatriés'!$A$6:$L$15,2,FALSE))</f>
        <v/>
      </c>
      <c r="D99" s="6">
        <f>IF(B99="","",VLOOKUP(B99,'F01 - _Données Expatriés'!$A$6:$L$15,6,FALSE))</f>
        <v/>
      </c>
      <c r="E99" s="6" t="n"/>
      <c r="F99" s="6" t="n"/>
      <c r="G99" s="6" t="n"/>
      <c r="H99" s="6" t="n"/>
      <c r="I99" s="6" t="n"/>
      <c r="J99" s="6" t="n"/>
    </row>
    <row r="100">
      <c r="A100" s="4" t="n"/>
      <c r="B100" s="4" t="n"/>
      <c r="C100" s="4">
        <f>IF(B100="","",VLOOKUP(B100,'F01 - _Données Expatriés'!$A$6:$L$15,2,FALSE))</f>
        <v/>
      </c>
      <c r="D100" s="4">
        <f>IF(B100="","",VLOOKUP(B100,'F01 - _Données Expatriés'!$A$6:$L$15,6,FALSE))</f>
        <v/>
      </c>
      <c r="E100" s="4" t="n"/>
      <c r="F100" s="4" t="n"/>
      <c r="G100" s="4" t="n"/>
      <c r="H100" s="4" t="n"/>
      <c r="I100" s="4" t="n"/>
      <c r="J100" s="4" t="n"/>
    </row>
    <row r="101">
      <c r="A101" s="6" t="n"/>
      <c r="B101" s="6" t="n"/>
      <c r="C101" s="6">
        <f>IF(B101="","",VLOOKUP(B101,'F01 - _Données Expatriés'!$A$6:$L$15,2,FALSE))</f>
        <v/>
      </c>
      <c r="D101" s="6">
        <f>IF(B101="","",VLOOKUP(B101,'F01 - _Données Expatriés'!$A$6:$L$15,6,FALSE))</f>
        <v/>
      </c>
      <c r="E101" s="6" t="n"/>
      <c r="F101" s="6" t="n"/>
      <c r="G101" s="6" t="n"/>
      <c r="H101" s="6" t="n"/>
      <c r="I101" s="6" t="n"/>
      <c r="J101" s="6" t="n"/>
    </row>
    <row r="102">
      <c r="A102" s="4" t="n"/>
      <c r="B102" s="4" t="n"/>
      <c r="C102" s="4">
        <f>IF(B102="","",VLOOKUP(B102,'F01 - _Données Expatriés'!$A$6:$L$15,2,FALSE))</f>
        <v/>
      </c>
      <c r="D102" s="4">
        <f>IF(B102="","",VLOOKUP(B102,'F01 - _Données Expatriés'!$A$6:$L$15,6,FALSE))</f>
        <v/>
      </c>
      <c r="E102" s="4" t="n"/>
      <c r="F102" s="4" t="n"/>
      <c r="G102" s="4" t="n"/>
      <c r="H102" s="4" t="n"/>
      <c r="I102" s="4" t="n"/>
      <c r="J102" s="4" t="n"/>
    </row>
    <row r="103">
      <c r="A103" s="6" t="n"/>
      <c r="B103" s="6" t="n"/>
      <c r="C103" s="6">
        <f>IF(B103="","",VLOOKUP(B103,'F01 - _Données Expatriés'!$A$6:$L$15,2,FALSE))</f>
        <v/>
      </c>
      <c r="D103" s="6">
        <f>IF(B103="","",VLOOKUP(B103,'F01 - _Données Expatriés'!$A$6:$L$15,6,FALSE))</f>
        <v/>
      </c>
      <c r="E103" s="6" t="n"/>
      <c r="F103" s="6" t="n"/>
      <c r="G103" s="6" t="n"/>
      <c r="H103" s="6" t="n"/>
      <c r="I103" s="6" t="n"/>
      <c r="J103" s="6" t="n"/>
    </row>
    <row r="104">
      <c r="A104" s="4" t="n"/>
      <c r="B104" s="4" t="n"/>
      <c r="C104" s="4">
        <f>IF(B104="","",VLOOKUP(B104,'F01 - _Données Expatriés'!$A$6:$L$15,2,FALSE))</f>
        <v/>
      </c>
      <c r="D104" s="4">
        <f>IF(B104="","",VLOOKUP(B104,'F01 - _Données Expatriés'!$A$6:$L$15,6,FALSE))</f>
        <v/>
      </c>
      <c r="E104" s="4" t="n"/>
      <c r="F104" s="4" t="n"/>
      <c r="G104" s="4" t="n"/>
      <c r="H104" s="4" t="n"/>
      <c r="I104" s="4" t="n"/>
      <c r="J104" s="4" t="n"/>
    </row>
    <row r="105">
      <c r="A105" s="6" t="n"/>
      <c r="B105" s="6" t="n"/>
      <c r="C105" s="6">
        <f>IF(B105="","",VLOOKUP(B105,'F01 - _Données Expatriés'!$A$6:$L$15,2,FALSE))</f>
        <v/>
      </c>
      <c r="D105" s="6">
        <f>IF(B105="","",VLOOKUP(B105,'F01 - _Données Expatriés'!$A$6:$L$15,6,FALSE))</f>
        <v/>
      </c>
      <c r="E105" s="6" t="n"/>
      <c r="F105" s="6" t="n"/>
      <c r="G105" s="6" t="n"/>
      <c r="H105" s="6" t="n"/>
      <c r="I105" s="6" t="n"/>
      <c r="J105" s="6" t="n"/>
    </row>
    <row r="106">
      <c r="A106" s="4" t="n"/>
      <c r="B106" s="4" t="n"/>
      <c r="C106" s="4">
        <f>IF(B106="","",VLOOKUP(B106,'F01 - _Données Expatriés'!$A$6:$L$15,2,FALSE))</f>
        <v/>
      </c>
      <c r="D106" s="4">
        <f>IF(B106="","",VLOOKUP(B106,'F01 - _Données Expatriés'!$A$6:$L$15,6,FALSE))</f>
        <v/>
      </c>
      <c r="E106" s="4" t="n"/>
      <c r="F106" s="4" t="n"/>
      <c r="G106" s="4" t="n"/>
      <c r="H106" s="4" t="n"/>
      <c r="I106" s="4" t="n"/>
      <c r="J106" s="4" t="n"/>
    </row>
    <row r="107">
      <c r="A107" s="6" t="n"/>
      <c r="B107" s="6" t="n"/>
      <c r="C107" s="6">
        <f>IF(B107="","",VLOOKUP(B107,'F01 - _Données Expatriés'!$A$6:$L$15,2,FALSE))</f>
        <v/>
      </c>
      <c r="D107" s="6">
        <f>IF(B107="","",VLOOKUP(B107,'F01 - _Données Expatriés'!$A$6:$L$15,6,FALSE))</f>
        <v/>
      </c>
      <c r="E107" s="6" t="n"/>
      <c r="F107" s="6" t="n"/>
      <c r="G107" s="6" t="n"/>
      <c r="H107" s="6" t="n"/>
      <c r="I107" s="6" t="n"/>
      <c r="J107" s="6" t="n"/>
    </row>
    <row r="108">
      <c r="A108" s="4" t="n"/>
      <c r="B108" s="4" t="n"/>
      <c r="C108" s="4">
        <f>IF(B108="","",VLOOKUP(B108,'F01 - _Données Expatriés'!$A$6:$L$15,2,FALSE))</f>
        <v/>
      </c>
      <c r="D108" s="4">
        <f>IF(B108="","",VLOOKUP(B108,'F01 - _Données Expatriés'!$A$6:$L$15,6,FALSE))</f>
        <v/>
      </c>
      <c r="E108" s="4" t="n"/>
      <c r="F108" s="4" t="n"/>
      <c r="G108" s="4" t="n"/>
      <c r="H108" s="4" t="n"/>
      <c r="I108" s="4" t="n"/>
      <c r="J108" s="4" t="n"/>
    </row>
    <row r="109">
      <c r="A109" s="6" t="n"/>
      <c r="B109" s="6" t="n"/>
      <c r="C109" s="6">
        <f>IF(B109="","",VLOOKUP(B109,'F01 - _Données Expatriés'!$A$6:$L$15,2,FALSE))</f>
        <v/>
      </c>
      <c r="D109" s="6">
        <f>IF(B109="","",VLOOKUP(B109,'F01 - _Données Expatriés'!$A$6:$L$15,6,FALSE))</f>
        <v/>
      </c>
      <c r="E109" s="6" t="n"/>
      <c r="F109" s="6" t="n"/>
      <c r="G109" s="6" t="n"/>
      <c r="H109" s="6" t="n"/>
      <c r="I109" s="6" t="n"/>
      <c r="J109" s="6" t="n"/>
    </row>
    <row r="110">
      <c r="A110" s="4" t="n"/>
      <c r="B110" s="4" t="n"/>
      <c r="C110" s="4">
        <f>IF(B110="","",VLOOKUP(B110,'F01 - _Données Expatriés'!$A$6:$L$15,2,FALSE))</f>
        <v/>
      </c>
      <c r="D110" s="4">
        <f>IF(B110="","",VLOOKUP(B110,'F01 - _Données Expatriés'!$A$6:$L$15,6,FALSE))</f>
        <v/>
      </c>
      <c r="E110" s="4" t="n"/>
      <c r="F110" s="4" t="n"/>
      <c r="G110" s="4" t="n"/>
      <c r="H110" s="4" t="n"/>
      <c r="I110" s="4" t="n"/>
      <c r="J110" s="4" t="n"/>
    </row>
    <row r="111">
      <c r="A111" s="6" t="n"/>
      <c r="B111" s="6" t="n"/>
      <c r="C111" s="6">
        <f>IF(B111="","",VLOOKUP(B111,'F01 - _Données Expatriés'!$A$6:$L$15,2,FALSE))</f>
        <v/>
      </c>
      <c r="D111" s="6">
        <f>IF(B111="","",VLOOKUP(B111,'F01 - _Données Expatriés'!$A$6:$L$15,6,FALSE))</f>
        <v/>
      </c>
      <c r="E111" s="6" t="n"/>
      <c r="F111" s="6" t="n"/>
      <c r="G111" s="6" t="n"/>
      <c r="H111" s="6" t="n"/>
      <c r="I111" s="6" t="n"/>
      <c r="J111" s="6" t="n"/>
    </row>
    <row r="112">
      <c r="A112" s="4" t="n"/>
      <c r="B112" s="4" t="n"/>
      <c r="C112" s="4">
        <f>IF(B112="","",VLOOKUP(B112,'F01 - _Données Expatriés'!$A$6:$L$15,2,FALSE))</f>
        <v/>
      </c>
      <c r="D112" s="4">
        <f>IF(B112="","",VLOOKUP(B112,'F01 - _Données Expatriés'!$A$6:$L$15,6,FALSE))</f>
        <v/>
      </c>
      <c r="E112" s="4" t="n"/>
      <c r="F112" s="4" t="n"/>
      <c r="G112" s="4" t="n"/>
      <c r="H112" s="4" t="n"/>
      <c r="I112" s="4" t="n"/>
      <c r="J112" s="4" t="n"/>
    </row>
    <row r="113">
      <c r="A113" s="6" t="n"/>
      <c r="B113" s="6" t="n"/>
      <c r="C113" s="6">
        <f>IF(B113="","",VLOOKUP(B113,'F01 - _Données Expatriés'!$A$6:$L$15,2,FALSE))</f>
        <v/>
      </c>
      <c r="D113" s="6">
        <f>IF(B113="","",VLOOKUP(B113,'F01 - _Données Expatriés'!$A$6:$L$15,6,FALSE))</f>
        <v/>
      </c>
      <c r="E113" s="6" t="n"/>
      <c r="F113" s="6" t="n"/>
      <c r="G113" s="6" t="n"/>
      <c r="H113" s="6" t="n"/>
      <c r="I113" s="6" t="n"/>
      <c r="J113" s="6" t="n"/>
    </row>
    <row r="114">
      <c r="A114" s="4" t="n"/>
      <c r="B114" s="4" t="n"/>
      <c r="C114" s="4">
        <f>IF(B114="","",VLOOKUP(B114,'F01 - _Données Expatriés'!$A$6:$L$15,2,FALSE))</f>
        <v/>
      </c>
      <c r="D114" s="4">
        <f>IF(B114="","",VLOOKUP(B114,'F01 - _Données Expatriés'!$A$6:$L$15,6,FALSE))</f>
        <v/>
      </c>
      <c r="E114" s="4" t="n"/>
      <c r="F114" s="4" t="n"/>
      <c r="G114" s="4" t="n"/>
      <c r="H114" s="4" t="n"/>
      <c r="I114" s="4" t="n"/>
      <c r="J114" s="4" t="n"/>
    </row>
    <row r="115">
      <c r="A115" s="6" t="n"/>
      <c r="B115" s="6" t="n"/>
      <c r="C115" s="6">
        <f>IF(B115="","",VLOOKUP(B115,'F01 - _Données Expatriés'!$A$6:$L$15,2,FALSE))</f>
        <v/>
      </c>
      <c r="D115" s="6">
        <f>IF(B115="","",VLOOKUP(B115,'F01 - _Données Expatriés'!$A$6:$L$15,6,FALSE))</f>
        <v/>
      </c>
      <c r="E115" s="6" t="n"/>
      <c r="F115" s="6" t="n"/>
      <c r="G115" s="6" t="n"/>
      <c r="H115" s="6" t="n"/>
      <c r="I115" s="6" t="n"/>
      <c r="J115" s="6" t="n"/>
    </row>
  </sheetData>
  <mergeCells count="2">
    <mergeCell ref="A3:N3"/>
    <mergeCell ref="A2:N2"/>
  </mergeCells>
  <dataValidations count="3">
    <dataValidation sqref="B6:B115" showDropDown="0" showInputMessage="0" showErrorMessage="0" allowBlank="1" errorTitle="Erreur de saisie" error="Valeur non autorisée" promptTitle="Liste déroulante" prompt="Sélectionnez dans la liste" type="list">
      <formula1>'F02 - _Lists'!$A$6:$A$35</formula1>
    </dataValidation>
    <dataValidation sqref="E6:E115" showDropDown="0" showInputMessage="0" showErrorMessage="0" allowBlank="1" errorTitle="Erreur de saisie" error="Valeur non autorisée" promptTitle="Liste déroulante" prompt="Sélectionnez dans la liste" type="list">
      <formula1>'F02 - _Lists'!$M$6:$M$35</formula1>
    </dataValidation>
    <dataValidation sqref="J6:J115" showDropDown="0" showInputMessage="0" showErrorMessage="0" allowBlank="1" errorTitle="Erreur de saisie" error="Valeur non autorisée" promptTitle="Liste déroulante" prompt="Sélectionnez dans la liste" type="list">
      <formula1>'F02 - _Lists'!$Y$6:$Y$35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8" customWidth="1" min="4" max="4"/>
    <col width="34" customWidth="1" min="5" max="5"/>
    <col width="18" customWidth="1" min="6" max="6"/>
    <col width="13" customWidth="1" min="7" max="7"/>
    <col width="13" customWidth="1" min="8" max="8"/>
    <col width="14" customWidth="1" min="9" max="9"/>
    <col width="14" customWidth="1" min="10" max="10"/>
  </cols>
  <sheetData>
    <row r="2" ht="25" customHeight="1">
      <c r="A2" s="1" t="inlineStr">
        <is>
          <t>DOMAINE 25 — 6-PLAN DE RELOCALISATION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Matricule</t>
        </is>
      </c>
      <c r="B5" s="3" t="inlineStr">
        <is>
          <t>Nom</t>
        </is>
      </c>
      <c r="C5" s="3" t="inlineStr">
        <is>
          <t>Département</t>
        </is>
      </c>
      <c r="D5" s="3" t="inlineStr">
        <is>
          <t>Étape</t>
        </is>
      </c>
      <c r="E5" s="3" t="inlineStr">
        <is>
          <t>Activité</t>
        </is>
      </c>
      <c r="F5" s="3" t="inlineStr">
        <is>
          <t>Responsable</t>
        </is>
      </c>
      <c r="G5" s="3" t="inlineStr">
        <is>
          <t>Date Début</t>
        </is>
      </c>
      <c r="H5" s="3" t="inlineStr">
        <is>
          <t>Date Fin</t>
        </is>
      </c>
      <c r="I5" s="3" t="inlineStr">
        <is>
          <t>Statut</t>
        </is>
      </c>
      <c r="J5" s="3" t="inlineStr">
        <is>
          <t>Coût (FCFA)</t>
        </is>
      </c>
    </row>
    <row r="6">
      <c r="A6" s="4" t="inlineStr">
        <is>
          <t>EXP-001</t>
        </is>
      </c>
      <c r="B6" s="4" t="inlineStr">
        <is>
          <t>Dupont Jean-Pierre</t>
        </is>
      </c>
      <c r="C6" s="4" t="inlineStr">
        <is>
          <t>Direction Générale</t>
        </is>
      </c>
      <c r="D6" s="4" t="inlineStr">
        <is>
          <t>Demande initiale</t>
        </is>
      </c>
      <c r="E6" s="4" t="inlineStr">
        <is>
          <t>Validation contrat par siège social</t>
        </is>
      </c>
      <c r="F6" s="4" t="inlineStr">
        <is>
          <t>Siège Paris</t>
        </is>
      </c>
      <c r="G6" s="5" t="n">
        <v>45231</v>
      </c>
      <c r="H6" s="5" t="n">
        <v>45275</v>
      </c>
      <c r="I6" s="4" t="inlineStr">
        <is>
          <t>Terminée</t>
        </is>
      </c>
      <c r="J6" s="4" t="n">
        <v>150000</v>
      </c>
    </row>
    <row r="7">
      <c r="A7" s="6" t="inlineStr">
        <is>
          <t>EXP-001</t>
        </is>
      </c>
      <c r="B7" s="6" t="inlineStr">
        <is>
          <t>Dupont Jean-Pierre</t>
        </is>
      </c>
      <c r="C7" s="6" t="inlineStr">
        <is>
          <t>Direction Générale</t>
        </is>
      </c>
      <c r="D7" s="6" t="inlineStr">
        <is>
          <t>Obtention visa</t>
        </is>
      </c>
      <c r="E7" s="6" t="inlineStr">
        <is>
          <t>Dépôt dossier visa travail ambassade</t>
        </is>
      </c>
      <c r="F7" s="6" t="inlineStr">
        <is>
          <t>DRH</t>
        </is>
      </c>
      <c r="G7" s="7" t="n">
        <v>45276</v>
      </c>
      <c r="H7" s="7" t="n">
        <v>45301</v>
      </c>
      <c r="I7" s="6" t="inlineStr">
        <is>
          <t>Terminée</t>
        </is>
      </c>
      <c r="J7" s="6" t="n">
        <v>350000</v>
      </c>
    </row>
    <row r="8">
      <c r="A8" s="4" t="inlineStr">
        <is>
          <t>EXP-001</t>
        </is>
      </c>
      <c r="B8" s="4" t="inlineStr">
        <is>
          <t>Dupont Jean-Pierre</t>
        </is>
      </c>
      <c r="C8" s="4" t="inlineStr">
        <is>
          <t>Direction Générale</t>
        </is>
      </c>
      <c r="D8" s="4" t="inlineStr">
        <is>
          <t>Installation logement</t>
        </is>
      </c>
      <c r="E8" s="4" t="inlineStr">
        <is>
          <t>Aménagement villa et meubles</t>
        </is>
      </c>
      <c r="F8" s="4" t="inlineStr">
        <is>
          <t>Service Technique</t>
        </is>
      </c>
      <c r="G8" s="5" t="n">
        <v>45296</v>
      </c>
      <c r="H8" s="5" t="n">
        <v>45305</v>
      </c>
      <c r="I8" s="4" t="inlineStr">
        <is>
          <t>Terminée</t>
        </is>
      </c>
      <c r="J8" s="4" t="n">
        <v>2500000</v>
      </c>
    </row>
    <row r="9">
      <c r="A9" s="6" t="inlineStr">
        <is>
          <t>EXP-002</t>
        </is>
      </c>
      <c r="B9" s="6" t="inlineStr">
        <is>
          <t>Muller Hans</t>
        </is>
      </c>
      <c r="C9" s="6" t="inlineStr">
        <is>
          <t>Cuisine &amp; Restauration</t>
        </is>
      </c>
      <c r="D9" s="6" t="inlineStr">
        <is>
          <t>Demande initiale</t>
        </is>
      </c>
      <c r="E9" s="6" t="inlineStr">
        <is>
          <t>Validation contrat par siège Berlin</t>
        </is>
      </c>
      <c r="F9" s="6" t="inlineStr">
        <is>
          <t>Siège Berlin</t>
        </is>
      </c>
      <c r="G9" s="7" t="n">
        <v>45292</v>
      </c>
      <c r="H9" s="7" t="n">
        <v>45337</v>
      </c>
      <c r="I9" s="6" t="inlineStr">
        <is>
          <t>Terminée</t>
        </is>
      </c>
      <c r="J9" s="6" t="n">
        <v>120000</v>
      </c>
    </row>
    <row r="10">
      <c r="A10" s="4" t="inlineStr">
        <is>
          <t>EXP-002</t>
        </is>
      </c>
      <c r="B10" s="4" t="inlineStr">
        <is>
          <t>Muller Hans</t>
        </is>
      </c>
      <c r="C10" s="4" t="inlineStr">
        <is>
          <t>Cuisine &amp; Restauration</t>
        </is>
      </c>
      <c r="D10" s="4" t="inlineStr">
        <is>
          <t>Voyage</t>
        </is>
      </c>
      <c r="E10" s="4" t="inlineStr">
        <is>
          <t>Billet avion et accueil aéroport</t>
        </is>
      </c>
      <c r="F10" s="4" t="inlineStr">
        <is>
          <t>DRH</t>
        </is>
      </c>
      <c r="G10" s="5" t="n">
        <v>45347</v>
      </c>
      <c r="H10" s="5" t="n">
        <v>45350</v>
      </c>
      <c r="I10" s="4" t="inlineStr">
        <is>
          <t>Terminée</t>
        </is>
      </c>
      <c r="J10" s="4" t="n">
        <v>850000</v>
      </c>
    </row>
    <row r="11">
      <c r="A11" s="6" t="n"/>
      <c r="B11" s="6">
        <f>IF(A11="","",VLOOKUP(A11,'F01 - _Données Expatriés'!$A$6:$L$15,2,FALSE))</f>
        <v/>
      </c>
      <c r="C11" s="6">
        <f>IF(A11="","",VLOOKUP(A11,'F01 - _Données Expatriés'!$A$6:$L$15,6,FALSE))</f>
        <v/>
      </c>
      <c r="D11" s="6" t="n"/>
      <c r="E11" s="6" t="n"/>
      <c r="F11" s="6" t="n"/>
      <c r="G11" s="6" t="n"/>
      <c r="H11" s="6" t="n"/>
      <c r="I11" s="6" t="n"/>
      <c r="J11" s="6" t="n"/>
    </row>
    <row r="12">
      <c r="A12" s="4" t="n"/>
      <c r="B12" s="4">
        <f>IF(A12="","",VLOOKUP(A12,'F01 - _Données Expatriés'!$A$6:$L$15,2,FALSE))</f>
        <v/>
      </c>
      <c r="C12" s="4">
        <f>IF(A12="","",VLOOKUP(A12,'F01 - _Données Expatriés'!$A$6:$L$15,6,FALSE))</f>
        <v/>
      </c>
      <c r="D12" s="4" t="n"/>
      <c r="E12" s="4" t="n"/>
      <c r="F12" s="4" t="n"/>
      <c r="G12" s="4" t="n"/>
      <c r="H12" s="4" t="n"/>
      <c r="I12" s="4" t="n"/>
      <c r="J12" s="4" t="n"/>
    </row>
    <row r="13">
      <c r="A13" s="6" t="n"/>
      <c r="B13" s="6">
        <f>IF(A13="","",VLOOKUP(A13,'F01 - _Données Expatriés'!$A$6:$L$15,2,FALSE))</f>
        <v/>
      </c>
      <c r="C13" s="6">
        <f>IF(A13="","",VLOOKUP(A13,'F01 - _Données Expatriés'!$A$6:$L$15,6,FALSE))</f>
        <v/>
      </c>
      <c r="D13" s="6" t="n"/>
      <c r="E13" s="6" t="n"/>
      <c r="F13" s="6" t="n"/>
      <c r="G13" s="6" t="n"/>
      <c r="H13" s="6" t="n"/>
      <c r="I13" s="6" t="n"/>
      <c r="J13" s="6" t="n"/>
    </row>
    <row r="14">
      <c r="A14" s="4" t="n"/>
      <c r="B14" s="4">
        <f>IF(A14="","",VLOOKUP(A14,'F01 - _Données Expatriés'!$A$6:$L$15,2,FALSE))</f>
        <v/>
      </c>
      <c r="C14" s="4">
        <f>IF(A14="","",VLOOKUP(A14,'F01 - _Données Expatriés'!$A$6:$L$15,6,FALSE))</f>
        <v/>
      </c>
      <c r="D14" s="4" t="n"/>
      <c r="E14" s="4" t="n"/>
      <c r="F14" s="4" t="n"/>
      <c r="G14" s="4" t="n"/>
      <c r="H14" s="4" t="n"/>
      <c r="I14" s="4" t="n"/>
      <c r="J14" s="4" t="n"/>
    </row>
    <row r="15">
      <c r="A15" s="6" t="n"/>
      <c r="B15" s="6">
        <f>IF(A15="","",VLOOKUP(A15,'F01 - _Données Expatriés'!$A$6:$L$15,2,FALSE))</f>
        <v/>
      </c>
      <c r="C15" s="6">
        <f>IF(A15="","",VLOOKUP(A15,'F01 - _Données Expatriés'!$A$6:$L$15,6,FALSE))</f>
        <v/>
      </c>
      <c r="D15" s="6" t="n"/>
      <c r="E15" s="6" t="n"/>
      <c r="F15" s="6" t="n"/>
      <c r="G15" s="6" t="n"/>
      <c r="H15" s="6" t="n"/>
      <c r="I15" s="6" t="n"/>
      <c r="J15" s="6" t="n"/>
    </row>
    <row r="16">
      <c r="A16" s="4" t="n"/>
      <c r="B16" s="4">
        <f>IF(A16="","",VLOOKUP(A16,'F01 - _Données Expatriés'!$A$6:$L$15,2,FALSE))</f>
        <v/>
      </c>
      <c r="C16" s="4">
        <f>IF(A16="","",VLOOKUP(A16,'F01 - _Données Expatriés'!$A$6:$L$15,6,FALSE))</f>
        <v/>
      </c>
      <c r="D16" s="4" t="n"/>
      <c r="E16" s="4" t="n"/>
      <c r="F16" s="4" t="n"/>
      <c r="G16" s="4" t="n"/>
      <c r="H16" s="4" t="n"/>
      <c r="I16" s="4" t="n"/>
      <c r="J16" s="4" t="n"/>
    </row>
    <row r="17">
      <c r="A17" s="6" t="n"/>
      <c r="B17" s="6">
        <f>IF(A17="","",VLOOKUP(A17,'F01 - _Données Expatriés'!$A$6:$L$15,2,FALSE))</f>
        <v/>
      </c>
      <c r="C17" s="6">
        <f>IF(A17="","",VLOOKUP(A17,'F01 - _Données Expatriés'!$A$6:$L$15,6,FALSE))</f>
        <v/>
      </c>
      <c r="D17" s="6" t="n"/>
      <c r="E17" s="6" t="n"/>
      <c r="F17" s="6" t="n"/>
      <c r="G17" s="6" t="n"/>
      <c r="H17" s="6" t="n"/>
      <c r="I17" s="6" t="n"/>
      <c r="J17" s="6" t="n"/>
    </row>
    <row r="18">
      <c r="A18" s="4" t="n"/>
      <c r="B18" s="4">
        <f>IF(A18="","",VLOOKUP(A18,'F01 - _Données Expatriés'!$A$6:$L$15,2,FALSE))</f>
        <v/>
      </c>
      <c r="C18" s="4">
        <f>IF(A18="","",VLOOKUP(A18,'F01 - _Données Expatriés'!$A$6:$L$15,6,FALSE))</f>
        <v/>
      </c>
      <c r="D18" s="4" t="n"/>
      <c r="E18" s="4" t="n"/>
      <c r="F18" s="4" t="n"/>
      <c r="G18" s="4" t="n"/>
      <c r="H18" s="4" t="n"/>
      <c r="I18" s="4" t="n"/>
      <c r="J18" s="4" t="n"/>
    </row>
    <row r="19">
      <c r="A19" s="6" t="n"/>
      <c r="B19" s="6">
        <f>IF(A19="","",VLOOKUP(A19,'F01 - _Données Expatriés'!$A$6:$L$15,2,FALSE))</f>
        <v/>
      </c>
      <c r="C19" s="6">
        <f>IF(A19="","",VLOOKUP(A19,'F01 - _Données Expatriés'!$A$6:$L$15,6,FALSE))</f>
        <v/>
      </c>
      <c r="D19" s="6" t="n"/>
      <c r="E19" s="6" t="n"/>
      <c r="F19" s="6" t="n"/>
      <c r="G19" s="6" t="n"/>
      <c r="H19" s="6" t="n"/>
      <c r="I19" s="6" t="n"/>
      <c r="J19" s="6" t="n"/>
    </row>
    <row r="20">
      <c r="A20" s="4" t="n"/>
      <c r="B20" s="4">
        <f>IF(A20="","",VLOOKUP(A20,'F01 - _Données Expatriés'!$A$6:$L$15,2,FALSE))</f>
        <v/>
      </c>
      <c r="C20" s="4">
        <f>IF(A20="","",VLOOKUP(A20,'F01 - _Données Expatriés'!$A$6:$L$15,6,FALSE))</f>
        <v/>
      </c>
      <c r="D20" s="4" t="n"/>
      <c r="E20" s="4" t="n"/>
      <c r="F20" s="4" t="n"/>
      <c r="G20" s="4" t="n"/>
      <c r="H20" s="4" t="n"/>
      <c r="I20" s="4" t="n"/>
      <c r="J20" s="4" t="n"/>
    </row>
    <row r="21">
      <c r="A21" s="6" t="n"/>
      <c r="B21" s="6">
        <f>IF(A21="","",VLOOKUP(A21,'F01 - _Données Expatriés'!$A$6:$L$15,2,FALSE))</f>
        <v/>
      </c>
      <c r="C21" s="6">
        <f>IF(A21="","",VLOOKUP(A21,'F01 - _Données Expatriés'!$A$6:$L$15,6,FALSE))</f>
        <v/>
      </c>
      <c r="D21" s="6" t="n"/>
      <c r="E21" s="6" t="n"/>
      <c r="F21" s="6" t="n"/>
      <c r="G21" s="6" t="n"/>
      <c r="H21" s="6" t="n"/>
      <c r="I21" s="6" t="n"/>
      <c r="J21" s="6" t="n"/>
    </row>
    <row r="22">
      <c r="A22" s="4" t="n"/>
      <c r="B22" s="4">
        <f>IF(A22="","",VLOOKUP(A22,'F01 - _Données Expatriés'!$A$6:$L$15,2,FALSE))</f>
        <v/>
      </c>
      <c r="C22" s="4">
        <f>IF(A22="","",VLOOKUP(A22,'F01 - _Données Expatriés'!$A$6:$L$15,6,FALSE))</f>
        <v/>
      </c>
      <c r="D22" s="4" t="n"/>
      <c r="E22" s="4" t="n"/>
      <c r="F22" s="4" t="n"/>
      <c r="G22" s="4" t="n"/>
      <c r="H22" s="4" t="n"/>
      <c r="I22" s="4" t="n"/>
      <c r="J22" s="4" t="n"/>
    </row>
    <row r="23">
      <c r="A23" s="6" t="n"/>
      <c r="B23" s="6">
        <f>IF(A23="","",VLOOKUP(A23,'F01 - _Données Expatriés'!$A$6:$L$15,2,FALSE))</f>
        <v/>
      </c>
      <c r="C23" s="6">
        <f>IF(A23="","",VLOOKUP(A23,'F01 - _Données Expatriés'!$A$6:$L$15,6,FALSE))</f>
        <v/>
      </c>
      <c r="D23" s="6" t="n"/>
      <c r="E23" s="6" t="n"/>
      <c r="F23" s="6" t="n"/>
      <c r="G23" s="6" t="n"/>
      <c r="H23" s="6" t="n"/>
      <c r="I23" s="6" t="n"/>
      <c r="J23" s="6" t="n"/>
    </row>
    <row r="24">
      <c r="A24" s="4" t="n"/>
      <c r="B24" s="4">
        <f>IF(A24="","",VLOOKUP(A24,'F01 - _Données Expatriés'!$A$6:$L$15,2,FALSE))</f>
        <v/>
      </c>
      <c r="C24" s="4">
        <f>IF(A24="","",VLOOKUP(A24,'F01 - _Données Expatriés'!$A$6:$L$15,6,FALSE))</f>
        <v/>
      </c>
      <c r="D24" s="4" t="n"/>
      <c r="E24" s="4" t="n"/>
      <c r="F24" s="4" t="n"/>
      <c r="G24" s="4" t="n"/>
      <c r="H24" s="4" t="n"/>
      <c r="I24" s="4" t="n"/>
      <c r="J24" s="4" t="n"/>
    </row>
    <row r="25">
      <c r="A25" s="6" t="n"/>
      <c r="B25" s="6">
        <f>IF(A25="","",VLOOKUP(A25,'F01 - _Données Expatriés'!$A$6:$L$15,2,FALSE))</f>
        <v/>
      </c>
      <c r="C25" s="6">
        <f>IF(A25="","",VLOOKUP(A25,'F01 - _Données Expatriés'!$A$6:$L$15,6,FALSE))</f>
        <v/>
      </c>
      <c r="D25" s="6" t="n"/>
      <c r="E25" s="6" t="n"/>
      <c r="F25" s="6" t="n"/>
      <c r="G25" s="6" t="n"/>
      <c r="H25" s="6" t="n"/>
      <c r="I25" s="6" t="n"/>
      <c r="J25" s="6" t="n"/>
    </row>
    <row r="26">
      <c r="A26" s="4" t="n"/>
      <c r="B26" s="4">
        <f>IF(A26="","",VLOOKUP(A26,'F01 - _Données Expatriés'!$A$6:$L$15,2,FALSE))</f>
        <v/>
      </c>
      <c r="C26" s="4">
        <f>IF(A26="","",VLOOKUP(A26,'F01 - _Données Expatriés'!$A$6:$L$15,6,FALSE))</f>
        <v/>
      </c>
      <c r="D26" s="4" t="n"/>
      <c r="E26" s="4" t="n"/>
      <c r="F26" s="4" t="n"/>
      <c r="G26" s="4" t="n"/>
      <c r="H26" s="4" t="n"/>
      <c r="I26" s="4" t="n"/>
      <c r="J26" s="4" t="n"/>
    </row>
    <row r="27">
      <c r="A27" s="6" t="n"/>
      <c r="B27" s="6">
        <f>IF(A27="","",VLOOKUP(A27,'F01 - _Données Expatriés'!$A$6:$L$15,2,FALSE))</f>
        <v/>
      </c>
      <c r="C27" s="6">
        <f>IF(A27="","",VLOOKUP(A27,'F01 - _Données Expatriés'!$A$6:$L$15,6,FALSE))</f>
        <v/>
      </c>
      <c r="D27" s="6" t="n"/>
      <c r="E27" s="6" t="n"/>
      <c r="F27" s="6" t="n"/>
      <c r="G27" s="6" t="n"/>
      <c r="H27" s="6" t="n"/>
      <c r="I27" s="6" t="n"/>
      <c r="J27" s="6" t="n"/>
    </row>
    <row r="28">
      <c r="A28" s="4" t="n"/>
      <c r="B28" s="4">
        <f>IF(A28="","",VLOOKUP(A28,'F01 - _Données Expatriés'!$A$6:$L$15,2,FALSE))</f>
        <v/>
      </c>
      <c r="C28" s="4">
        <f>IF(A28="","",VLOOKUP(A28,'F01 - _Données Expatriés'!$A$6:$L$15,6,FALSE))</f>
        <v/>
      </c>
      <c r="D28" s="4" t="n"/>
      <c r="E28" s="4" t="n"/>
      <c r="F28" s="4" t="n"/>
      <c r="G28" s="4" t="n"/>
      <c r="H28" s="4" t="n"/>
      <c r="I28" s="4" t="n"/>
      <c r="J28" s="4" t="n"/>
    </row>
    <row r="29">
      <c r="A29" s="6" t="n"/>
      <c r="B29" s="6">
        <f>IF(A29="","",VLOOKUP(A29,'F01 - _Données Expatriés'!$A$6:$L$15,2,FALSE))</f>
        <v/>
      </c>
      <c r="C29" s="6">
        <f>IF(A29="","",VLOOKUP(A29,'F01 - _Données Expatriés'!$A$6:$L$15,6,FALSE))</f>
        <v/>
      </c>
      <c r="D29" s="6" t="n"/>
      <c r="E29" s="6" t="n"/>
      <c r="F29" s="6" t="n"/>
      <c r="G29" s="6" t="n"/>
      <c r="H29" s="6" t="n"/>
      <c r="I29" s="6" t="n"/>
      <c r="J29" s="6" t="n"/>
    </row>
    <row r="30">
      <c r="A30" s="4" t="n"/>
      <c r="B30" s="4">
        <f>IF(A30="","",VLOOKUP(A30,'F01 - _Données Expatriés'!$A$6:$L$15,2,FALSE))</f>
        <v/>
      </c>
      <c r="C30" s="4">
        <f>IF(A30="","",VLOOKUP(A30,'F01 - _Données Expatriés'!$A$6:$L$15,6,FALSE))</f>
        <v/>
      </c>
      <c r="D30" s="4" t="n"/>
      <c r="E30" s="4" t="n"/>
      <c r="F30" s="4" t="n"/>
      <c r="G30" s="4" t="n"/>
      <c r="H30" s="4" t="n"/>
      <c r="I30" s="4" t="n"/>
      <c r="J30" s="4" t="n"/>
    </row>
    <row r="31">
      <c r="A31" s="6" t="n"/>
      <c r="B31" s="6">
        <f>IF(A31="","",VLOOKUP(A31,'F01 - _Données Expatriés'!$A$6:$L$15,2,FALSE))</f>
        <v/>
      </c>
      <c r="C31" s="6">
        <f>IF(A31="","",VLOOKUP(A31,'F01 - _Données Expatriés'!$A$6:$L$15,6,FALSE))</f>
        <v/>
      </c>
      <c r="D31" s="6" t="n"/>
      <c r="E31" s="6" t="n"/>
      <c r="F31" s="6" t="n"/>
      <c r="G31" s="6" t="n"/>
      <c r="H31" s="6" t="n"/>
      <c r="I31" s="6" t="n"/>
      <c r="J31" s="6" t="n"/>
    </row>
    <row r="32">
      <c r="A32" s="4" t="n"/>
      <c r="B32" s="4">
        <f>IF(A32="","",VLOOKUP(A32,'F01 - _Données Expatriés'!$A$6:$L$15,2,FALSE))</f>
        <v/>
      </c>
      <c r="C32" s="4">
        <f>IF(A32="","",VLOOKUP(A32,'F01 - _Données Expatriés'!$A$6:$L$15,6,FALSE))</f>
        <v/>
      </c>
      <c r="D32" s="4" t="n"/>
      <c r="E32" s="4" t="n"/>
      <c r="F32" s="4" t="n"/>
      <c r="G32" s="4" t="n"/>
      <c r="H32" s="4" t="n"/>
      <c r="I32" s="4" t="n"/>
      <c r="J32" s="4" t="n"/>
    </row>
    <row r="33">
      <c r="A33" s="6" t="n"/>
      <c r="B33" s="6">
        <f>IF(A33="","",VLOOKUP(A33,'F01 - _Données Expatriés'!$A$6:$L$15,2,FALSE))</f>
        <v/>
      </c>
      <c r="C33" s="6">
        <f>IF(A33="","",VLOOKUP(A33,'F01 - _Données Expatriés'!$A$6:$L$15,6,FALSE))</f>
        <v/>
      </c>
      <c r="D33" s="6" t="n"/>
      <c r="E33" s="6" t="n"/>
      <c r="F33" s="6" t="n"/>
      <c r="G33" s="6" t="n"/>
      <c r="H33" s="6" t="n"/>
      <c r="I33" s="6" t="n"/>
      <c r="J33" s="6" t="n"/>
    </row>
    <row r="34">
      <c r="A34" s="4" t="n"/>
      <c r="B34" s="4">
        <f>IF(A34="","",VLOOKUP(A34,'F01 - _Données Expatriés'!$A$6:$L$15,2,FALSE))</f>
        <v/>
      </c>
      <c r="C34" s="4">
        <f>IF(A34="","",VLOOKUP(A34,'F01 - _Données Expatriés'!$A$6:$L$15,6,FALSE))</f>
        <v/>
      </c>
      <c r="D34" s="4" t="n"/>
      <c r="E34" s="4" t="n"/>
      <c r="F34" s="4" t="n"/>
      <c r="G34" s="4" t="n"/>
      <c r="H34" s="4" t="n"/>
      <c r="I34" s="4" t="n"/>
      <c r="J34" s="4" t="n"/>
    </row>
    <row r="35">
      <c r="A35" s="6" t="n"/>
      <c r="B35" s="6">
        <f>IF(A35="","",VLOOKUP(A35,'F01 - _Données Expatriés'!$A$6:$L$15,2,FALSE))</f>
        <v/>
      </c>
      <c r="C35" s="6">
        <f>IF(A35="","",VLOOKUP(A35,'F01 - _Données Expatriés'!$A$6:$L$15,6,FALSE))</f>
        <v/>
      </c>
      <c r="D35" s="6" t="n"/>
      <c r="E35" s="6" t="n"/>
      <c r="F35" s="6" t="n"/>
      <c r="G35" s="6" t="n"/>
      <c r="H35" s="6" t="n"/>
      <c r="I35" s="6" t="n"/>
      <c r="J35" s="6" t="n"/>
    </row>
    <row r="36">
      <c r="A36" s="4" t="n"/>
      <c r="B36" s="4">
        <f>IF(A36="","",VLOOKUP(A36,'F01 - _Données Expatriés'!$A$6:$L$15,2,FALSE))</f>
        <v/>
      </c>
      <c r="C36" s="4">
        <f>IF(A36="","",VLOOKUP(A36,'F01 - _Données Expatriés'!$A$6:$L$15,6,FALSE))</f>
        <v/>
      </c>
      <c r="D36" s="4" t="n"/>
      <c r="E36" s="4" t="n"/>
      <c r="F36" s="4" t="n"/>
      <c r="G36" s="4" t="n"/>
      <c r="H36" s="4" t="n"/>
      <c r="I36" s="4" t="n"/>
      <c r="J36" s="4" t="n"/>
    </row>
    <row r="37">
      <c r="A37" s="6" t="n"/>
      <c r="B37" s="6">
        <f>IF(A37="","",VLOOKUP(A37,'F01 - _Données Expatriés'!$A$6:$L$15,2,FALSE))</f>
        <v/>
      </c>
      <c r="C37" s="6">
        <f>IF(A37="","",VLOOKUP(A37,'F01 - _Données Expatriés'!$A$6:$L$15,6,FALSE))</f>
        <v/>
      </c>
      <c r="D37" s="6" t="n"/>
      <c r="E37" s="6" t="n"/>
      <c r="F37" s="6" t="n"/>
      <c r="G37" s="6" t="n"/>
      <c r="H37" s="6" t="n"/>
      <c r="I37" s="6" t="n"/>
      <c r="J37" s="6" t="n"/>
    </row>
    <row r="38">
      <c r="A38" s="4" t="n"/>
      <c r="B38" s="4">
        <f>IF(A38="","",VLOOKUP(A38,'F01 - _Données Expatriés'!$A$6:$L$15,2,FALSE))</f>
        <v/>
      </c>
      <c r="C38" s="4">
        <f>IF(A38="","",VLOOKUP(A38,'F01 - _Données Expatriés'!$A$6:$L$15,6,FALSE))</f>
        <v/>
      </c>
      <c r="D38" s="4" t="n"/>
      <c r="E38" s="4" t="n"/>
      <c r="F38" s="4" t="n"/>
      <c r="G38" s="4" t="n"/>
      <c r="H38" s="4" t="n"/>
      <c r="I38" s="4" t="n"/>
      <c r="J38" s="4" t="n"/>
    </row>
    <row r="39">
      <c r="A39" s="6" t="n"/>
      <c r="B39" s="6">
        <f>IF(A39="","",VLOOKUP(A39,'F01 - _Données Expatriés'!$A$6:$L$15,2,FALSE))</f>
        <v/>
      </c>
      <c r="C39" s="6">
        <f>IF(A39="","",VLOOKUP(A39,'F01 - _Données Expatriés'!$A$6:$L$15,6,FALSE))</f>
        <v/>
      </c>
      <c r="D39" s="6" t="n"/>
      <c r="E39" s="6" t="n"/>
      <c r="F39" s="6" t="n"/>
      <c r="G39" s="6" t="n"/>
      <c r="H39" s="6" t="n"/>
      <c r="I39" s="6" t="n"/>
      <c r="J39" s="6" t="n"/>
    </row>
    <row r="40">
      <c r="A40" s="4" t="n"/>
      <c r="B40" s="4">
        <f>IF(A40="","",VLOOKUP(A40,'F01 - _Données Expatriés'!$A$6:$L$15,2,FALSE))</f>
        <v/>
      </c>
      <c r="C40" s="4">
        <f>IF(A40="","",VLOOKUP(A40,'F01 - _Données Expatriés'!$A$6:$L$15,6,FALSE))</f>
        <v/>
      </c>
      <c r="D40" s="4" t="n"/>
      <c r="E40" s="4" t="n"/>
      <c r="F40" s="4" t="n"/>
      <c r="G40" s="4" t="n"/>
      <c r="H40" s="4" t="n"/>
      <c r="I40" s="4" t="n"/>
      <c r="J40" s="4" t="n"/>
    </row>
    <row r="41">
      <c r="A41" s="6" t="n"/>
      <c r="B41" s="6">
        <f>IF(A41="","",VLOOKUP(A41,'F01 - _Données Expatriés'!$A$6:$L$15,2,FALSE))</f>
        <v/>
      </c>
      <c r="C41" s="6">
        <f>IF(A41="","",VLOOKUP(A41,'F01 - _Données Expatriés'!$A$6:$L$15,6,FALSE))</f>
        <v/>
      </c>
      <c r="D41" s="6" t="n"/>
      <c r="E41" s="6" t="n"/>
      <c r="F41" s="6" t="n"/>
      <c r="G41" s="6" t="n"/>
      <c r="H41" s="6" t="n"/>
      <c r="I41" s="6" t="n"/>
      <c r="J41" s="6" t="n"/>
    </row>
    <row r="42">
      <c r="A42" s="4" t="n"/>
      <c r="B42" s="4">
        <f>IF(A42="","",VLOOKUP(A42,'F01 - _Données Expatriés'!$A$6:$L$15,2,FALSE))</f>
        <v/>
      </c>
      <c r="C42" s="4">
        <f>IF(A42="","",VLOOKUP(A42,'F01 - _Données Expatriés'!$A$6:$L$15,6,FALSE))</f>
        <v/>
      </c>
      <c r="D42" s="4" t="n"/>
      <c r="E42" s="4" t="n"/>
      <c r="F42" s="4" t="n"/>
      <c r="G42" s="4" t="n"/>
      <c r="H42" s="4" t="n"/>
      <c r="I42" s="4" t="n"/>
      <c r="J42" s="4" t="n"/>
    </row>
    <row r="43">
      <c r="A43" s="6" t="n"/>
      <c r="B43" s="6">
        <f>IF(A43="","",VLOOKUP(A43,'F01 - _Données Expatriés'!$A$6:$L$15,2,FALSE))</f>
        <v/>
      </c>
      <c r="C43" s="6">
        <f>IF(A43="","",VLOOKUP(A43,'F01 - _Données Expatriés'!$A$6:$L$15,6,FALSE))</f>
        <v/>
      </c>
      <c r="D43" s="6" t="n"/>
      <c r="E43" s="6" t="n"/>
      <c r="F43" s="6" t="n"/>
      <c r="G43" s="6" t="n"/>
      <c r="H43" s="6" t="n"/>
      <c r="I43" s="6" t="n"/>
      <c r="J43" s="6" t="n"/>
    </row>
    <row r="44">
      <c r="A44" s="4" t="n"/>
      <c r="B44" s="4">
        <f>IF(A44="","",VLOOKUP(A44,'F01 - _Données Expatriés'!$A$6:$L$15,2,FALSE))</f>
        <v/>
      </c>
      <c r="C44" s="4">
        <f>IF(A44="","",VLOOKUP(A44,'F01 - _Données Expatriés'!$A$6:$L$15,6,FALSE))</f>
        <v/>
      </c>
      <c r="D44" s="4" t="n"/>
      <c r="E44" s="4" t="n"/>
      <c r="F44" s="4" t="n"/>
      <c r="G44" s="4" t="n"/>
      <c r="H44" s="4" t="n"/>
      <c r="I44" s="4" t="n"/>
      <c r="J44" s="4" t="n"/>
    </row>
    <row r="45">
      <c r="A45" s="6" t="n"/>
      <c r="B45" s="6">
        <f>IF(A45="","",VLOOKUP(A45,'F01 - _Données Expatriés'!$A$6:$L$15,2,FALSE))</f>
        <v/>
      </c>
      <c r="C45" s="6">
        <f>IF(A45="","",VLOOKUP(A45,'F01 - _Données Expatriés'!$A$6:$L$15,6,FALSE))</f>
        <v/>
      </c>
      <c r="D45" s="6" t="n"/>
      <c r="E45" s="6" t="n"/>
      <c r="F45" s="6" t="n"/>
      <c r="G45" s="6" t="n"/>
      <c r="H45" s="6" t="n"/>
      <c r="I45" s="6" t="n"/>
      <c r="J45" s="6" t="n"/>
    </row>
    <row r="46">
      <c r="A46" s="4" t="n"/>
      <c r="B46" s="4">
        <f>IF(A46="","",VLOOKUP(A46,'F01 - _Données Expatriés'!$A$6:$L$15,2,FALSE))</f>
        <v/>
      </c>
      <c r="C46" s="4">
        <f>IF(A46="","",VLOOKUP(A46,'F01 - _Données Expatriés'!$A$6:$L$15,6,FALSE))</f>
        <v/>
      </c>
      <c r="D46" s="4" t="n"/>
      <c r="E46" s="4" t="n"/>
      <c r="F46" s="4" t="n"/>
      <c r="G46" s="4" t="n"/>
      <c r="H46" s="4" t="n"/>
      <c r="I46" s="4" t="n"/>
      <c r="J46" s="4" t="n"/>
    </row>
    <row r="47">
      <c r="A47" s="6" t="n"/>
      <c r="B47" s="6">
        <f>IF(A47="","",VLOOKUP(A47,'F01 - _Données Expatriés'!$A$6:$L$15,2,FALSE))</f>
        <v/>
      </c>
      <c r="C47" s="6">
        <f>IF(A47="","",VLOOKUP(A47,'F01 - _Données Expatriés'!$A$6:$L$15,6,FALSE))</f>
        <v/>
      </c>
      <c r="D47" s="6" t="n"/>
      <c r="E47" s="6" t="n"/>
      <c r="F47" s="6" t="n"/>
      <c r="G47" s="6" t="n"/>
      <c r="H47" s="6" t="n"/>
      <c r="I47" s="6" t="n"/>
      <c r="J47" s="6" t="n"/>
    </row>
    <row r="48">
      <c r="A48" s="4" t="n"/>
      <c r="B48" s="4">
        <f>IF(A48="","",VLOOKUP(A48,'F01 - _Données Expatriés'!$A$6:$L$15,2,FALSE))</f>
        <v/>
      </c>
      <c r="C48" s="4">
        <f>IF(A48="","",VLOOKUP(A48,'F01 - _Données Expatriés'!$A$6:$L$15,6,FALSE))</f>
        <v/>
      </c>
      <c r="D48" s="4" t="n"/>
      <c r="E48" s="4" t="n"/>
      <c r="F48" s="4" t="n"/>
      <c r="G48" s="4" t="n"/>
      <c r="H48" s="4" t="n"/>
      <c r="I48" s="4" t="n"/>
      <c r="J48" s="4" t="n"/>
    </row>
    <row r="49">
      <c r="A49" s="6" t="n"/>
      <c r="B49" s="6">
        <f>IF(A49="","",VLOOKUP(A49,'F01 - _Données Expatriés'!$A$6:$L$15,2,FALSE))</f>
        <v/>
      </c>
      <c r="C49" s="6">
        <f>IF(A49="","",VLOOKUP(A49,'F01 - _Données Expatriés'!$A$6:$L$15,6,FALSE))</f>
        <v/>
      </c>
      <c r="D49" s="6" t="n"/>
      <c r="E49" s="6" t="n"/>
      <c r="F49" s="6" t="n"/>
      <c r="G49" s="6" t="n"/>
      <c r="H49" s="6" t="n"/>
      <c r="I49" s="6" t="n"/>
      <c r="J49" s="6" t="n"/>
    </row>
    <row r="50">
      <c r="A50" s="4" t="n"/>
      <c r="B50" s="4">
        <f>IF(A50="","",VLOOKUP(A50,'F01 - _Données Expatriés'!$A$6:$L$15,2,FALSE))</f>
        <v/>
      </c>
      <c r="C50" s="4">
        <f>IF(A50="","",VLOOKUP(A50,'F01 - _Données Expatriés'!$A$6:$L$15,6,FALSE))</f>
        <v/>
      </c>
      <c r="D50" s="4" t="n"/>
      <c r="E50" s="4" t="n"/>
      <c r="F50" s="4" t="n"/>
      <c r="G50" s="4" t="n"/>
      <c r="H50" s="4" t="n"/>
      <c r="I50" s="4" t="n"/>
      <c r="J50" s="4" t="n"/>
    </row>
    <row r="51">
      <c r="A51" s="6" t="n"/>
      <c r="B51" s="6">
        <f>IF(A51="","",VLOOKUP(A51,'F01 - _Données Expatriés'!$A$6:$L$15,2,FALSE))</f>
        <v/>
      </c>
      <c r="C51" s="6">
        <f>IF(A51="","",VLOOKUP(A51,'F01 - _Données Expatriés'!$A$6:$L$15,6,FALSE))</f>
        <v/>
      </c>
      <c r="D51" s="6" t="n"/>
      <c r="E51" s="6" t="n"/>
      <c r="F51" s="6" t="n"/>
      <c r="G51" s="6" t="n"/>
      <c r="H51" s="6" t="n"/>
      <c r="I51" s="6" t="n"/>
      <c r="J51" s="6" t="n"/>
    </row>
    <row r="52">
      <c r="A52" s="4" t="n"/>
      <c r="B52" s="4">
        <f>IF(A52="","",VLOOKUP(A52,'F01 - _Données Expatriés'!$A$6:$L$15,2,FALSE))</f>
        <v/>
      </c>
      <c r="C52" s="4">
        <f>IF(A52="","",VLOOKUP(A52,'F01 - _Données Expatriés'!$A$6:$L$15,6,FALSE))</f>
        <v/>
      </c>
      <c r="D52" s="4" t="n"/>
      <c r="E52" s="4" t="n"/>
      <c r="F52" s="4" t="n"/>
      <c r="G52" s="4" t="n"/>
      <c r="H52" s="4" t="n"/>
      <c r="I52" s="4" t="n"/>
      <c r="J52" s="4" t="n"/>
    </row>
    <row r="53">
      <c r="A53" s="6" t="n"/>
      <c r="B53" s="6">
        <f>IF(A53="","",VLOOKUP(A53,'F01 - _Données Expatriés'!$A$6:$L$15,2,FALSE))</f>
        <v/>
      </c>
      <c r="C53" s="6">
        <f>IF(A53="","",VLOOKUP(A53,'F01 - _Données Expatriés'!$A$6:$L$15,6,FALSE))</f>
        <v/>
      </c>
      <c r="D53" s="6" t="n"/>
      <c r="E53" s="6" t="n"/>
      <c r="F53" s="6" t="n"/>
      <c r="G53" s="6" t="n"/>
      <c r="H53" s="6" t="n"/>
      <c r="I53" s="6" t="n"/>
      <c r="J53" s="6" t="n"/>
    </row>
    <row r="54">
      <c r="A54" s="4" t="n"/>
      <c r="B54" s="4">
        <f>IF(A54="","",VLOOKUP(A54,'F01 - _Données Expatriés'!$A$6:$L$15,2,FALSE))</f>
        <v/>
      </c>
      <c r="C54" s="4">
        <f>IF(A54="","",VLOOKUP(A54,'F01 - _Données Expatriés'!$A$6:$L$15,6,FALSE))</f>
        <v/>
      </c>
      <c r="D54" s="4" t="n"/>
      <c r="E54" s="4" t="n"/>
      <c r="F54" s="4" t="n"/>
      <c r="G54" s="4" t="n"/>
      <c r="H54" s="4" t="n"/>
      <c r="I54" s="4" t="n"/>
      <c r="J54" s="4" t="n"/>
    </row>
    <row r="55">
      <c r="A55" s="6" t="n"/>
      <c r="B55" s="6">
        <f>IF(A55="","",VLOOKUP(A55,'F01 - _Données Expatriés'!$A$6:$L$15,2,FALSE))</f>
        <v/>
      </c>
      <c r="C55" s="6">
        <f>IF(A55="","",VLOOKUP(A55,'F01 - _Données Expatriés'!$A$6:$L$15,6,FALSE))</f>
        <v/>
      </c>
      <c r="D55" s="6" t="n"/>
      <c r="E55" s="6" t="n"/>
      <c r="F55" s="6" t="n"/>
      <c r="G55" s="6" t="n"/>
      <c r="H55" s="6" t="n"/>
      <c r="I55" s="6" t="n"/>
      <c r="J55" s="6" t="n"/>
    </row>
    <row r="56">
      <c r="A56" s="4" t="n"/>
      <c r="B56" s="4">
        <f>IF(A56="","",VLOOKUP(A56,'F01 - _Données Expatriés'!$A$6:$L$15,2,FALSE))</f>
        <v/>
      </c>
      <c r="C56" s="4">
        <f>IF(A56="","",VLOOKUP(A56,'F01 - _Données Expatriés'!$A$6:$L$15,6,FALSE))</f>
        <v/>
      </c>
      <c r="D56" s="4" t="n"/>
      <c r="E56" s="4" t="n"/>
      <c r="F56" s="4" t="n"/>
      <c r="G56" s="4" t="n"/>
      <c r="H56" s="4" t="n"/>
      <c r="I56" s="4" t="n"/>
      <c r="J56" s="4" t="n"/>
    </row>
    <row r="57">
      <c r="A57" s="6" t="n"/>
      <c r="B57" s="6">
        <f>IF(A57="","",VLOOKUP(A57,'F01 - _Données Expatriés'!$A$6:$L$15,2,FALSE))</f>
        <v/>
      </c>
      <c r="C57" s="6">
        <f>IF(A57="","",VLOOKUP(A57,'F01 - _Données Expatriés'!$A$6:$L$15,6,FALSE))</f>
        <v/>
      </c>
      <c r="D57" s="6" t="n"/>
      <c r="E57" s="6" t="n"/>
      <c r="F57" s="6" t="n"/>
      <c r="G57" s="6" t="n"/>
      <c r="H57" s="6" t="n"/>
      <c r="I57" s="6" t="n"/>
      <c r="J57" s="6" t="n"/>
    </row>
    <row r="58">
      <c r="A58" s="4" t="n"/>
      <c r="B58" s="4">
        <f>IF(A58="","",VLOOKUP(A58,'F01 - _Données Expatriés'!$A$6:$L$15,2,FALSE))</f>
        <v/>
      </c>
      <c r="C58" s="4">
        <f>IF(A58="","",VLOOKUP(A58,'F01 - _Données Expatriés'!$A$6:$L$15,6,FALSE))</f>
        <v/>
      </c>
      <c r="D58" s="4" t="n"/>
      <c r="E58" s="4" t="n"/>
      <c r="F58" s="4" t="n"/>
      <c r="G58" s="4" t="n"/>
      <c r="H58" s="4" t="n"/>
      <c r="I58" s="4" t="n"/>
      <c r="J58" s="4" t="n"/>
    </row>
    <row r="59">
      <c r="A59" s="6" t="n"/>
      <c r="B59" s="6">
        <f>IF(A59="","",VLOOKUP(A59,'F01 - _Données Expatriés'!$A$6:$L$15,2,FALSE))</f>
        <v/>
      </c>
      <c r="C59" s="6">
        <f>IF(A59="","",VLOOKUP(A59,'F01 - _Données Expatriés'!$A$6:$L$15,6,FALSE))</f>
        <v/>
      </c>
      <c r="D59" s="6" t="n"/>
      <c r="E59" s="6" t="n"/>
      <c r="F59" s="6" t="n"/>
      <c r="G59" s="6" t="n"/>
      <c r="H59" s="6" t="n"/>
      <c r="I59" s="6" t="n"/>
      <c r="J59" s="6" t="n"/>
    </row>
    <row r="60">
      <c r="A60" s="4" t="n"/>
      <c r="B60" s="4">
        <f>IF(A60="","",VLOOKUP(A60,'F01 - _Données Expatriés'!$A$6:$L$15,2,FALSE))</f>
        <v/>
      </c>
      <c r="C60" s="4">
        <f>IF(A60="","",VLOOKUP(A60,'F01 - _Données Expatriés'!$A$6:$L$15,6,FALSE))</f>
        <v/>
      </c>
      <c r="D60" s="4" t="n"/>
      <c r="E60" s="4" t="n"/>
      <c r="F60" s="4" t="n"/>
      <c r="G60" s="4" t="n"/>
      <c r="H60" s="4" t="n"/>
      <c r="I60" s="4" t="n"/>
      <c r="J60" s="4" t="n"/>
    </row>
    <row r="61">
      <c r="A61" s="6" t="n"/>
      <c r="B61" s="6">
        <f>IF(A61="","",VLOOKUP(A61,'F01 - _Données Expatriés'!$A$6:$L$15,2,FALSE))</f>
        <v/>
      </c>
      <c r="C61" s="6">
        <f>IF(A61="","",VLOOKUP(A61,'F01 - _Données Expatriés'!$A$6:$L$15,6,FALSE))</f>
        <v/>
      </c>
      <c r="D61" s="6" t="n"/>
      <c r="E61" s="6" t="n"/>
      <c r="F61" s="6" t="n"/>
      <c r="G61" s="6" t="n"/>
      <c r="H61" s="6" t="n"/>
      <c r="I61" s="6" t="n"/>
      <c r="J61" s="6" t="n"/>
    </row>
    <row r="62">
      <c r="A62" s="4" t="n"/>
      <c r="B62" s="4">
        <f>IF(A62="","",VLOOKUP(A62,'F01 - _Données Expatriés'!$A$6:$L$15,2,FALSE))</f>
        <v/>
      </c>
      <c r="C62" s="4">
        <f>IF(A62="","",VLOOKUP(A62,'F01 - _Données Expatriés'!$A$6:$L$15,6,FALSE))</f>
        <v/>
      </c>
      <c r="D62" s="4" t="n"/>
      <c r="E62" s="4" t="n"/>
      <c r="F62" s="4" t="n"/>
      <c r="G62" s="4" t="n"/>
      <c r="H62" s="4" t="n"/>
      <c r="I62" s="4" t="n"/>
      <c r="J62" s="4" t="n"/>
    </row>
    <row r="63">
      <c r="A63" s="6" t="n"/>
      <c r="B63" s="6">
        <f>IF(A63="","",VLOOKUP(A63,'F01 - _Données Expatriés'!$A$6:$L$15,2,FALSE))</f>
        <v/>
      </c>
      <c r="C63" s="6">
        <f>IF(A63="","",VLOOKUP(A63,'F01 - _Données Expatriés'!$A$6:$L$15,6,FALSE))</f>
        <v/>
      </c>
      <c r="D63" s="6" t="n"/>
      <c r="E63" s="6" t="n"/>
      <c r="F63" s="6" t="n"/>
      <c r="G63" s="6" t="n"/>
      <c r="H63" s="6" t="n"/>
      <c r="I63" s="6" t="n"/>
      <c r="J63" s="6" t="n"/>
    </row>
    <row r="64">
      <c r="A64" s="4" t="n"/>
      <c r="B64" s="4">
        <f>IF(A64="","",VLOOKUP(A64,'F01 - _Données Expatriés'!$A$6:$L$15,2,FALSE))</f>
        <v/>
      </c>
      <c r="C64" s="4">
        <f>IF(A64="","",VLOOKUP(A64,'F01 - _Données Expatriés'!$A$6:$L$15,6,FALSE))</f>
        <v/>
      </c>
      <c r="D64" s="4" t="n"/>
      <c r="E64" s="4" t="n"/>
      <c r="F64" s="4" t="n"/>
      <c r="G64" s="4" t="n"/>
      <c r="H64" s="4" t="n"/>
      <c r="I64" s="4" t="n"/>
      <c r="J64" s="4" t="n"/>
    </row>
    <row r="65">
      <c r="A65" s="6" t="n"/>
      <c r="B65" s="6">
        <f>IF(A65="","",VLOOKUP(A65,'F01 - _Données Expatriés'!$A$6:$L$15,2,FALSE))</f>
        <v/>
      </c>
      <c r="C65" s="6">
        <f>IF(A65="","",VLOOKUP(A65,'F01 - _Données Expatriés'!$A$6:$L$15,6,FALSE))</f>
        <v/>
      </c>
      <c r="D65" s="6" t="n"/>
      <c r="E65" s="6" t="n"/>
      <c r="F65" s="6" t="n"/>
      <c r="G65" s="6" t="n"/>
      <c r="H65" s="6" t="n"/>
      <c r="I65" s="6" t="n"/>
      <c r="J65" s="6" t="n"/>
    </row>
    <row r="66">
      <c r="A66" s="4" t="n"/>
      <c r="B66" s="4">
        <f>IF(A66="","",VLOOKUP(A66,'F01 - _Données Expatriés'!$A$6:$L$15,2,FALSE))</f>
        <v/>
      </c>
      <c r="C66" s="4">
        <f>IF(A66="","",VLOOKUP(A66,'F01 - _Données Expatriés'!$A$6:$L$15,6,FALSE))</f>
        <v/>
      </c>
      <c r="D66" s="4" t="n"/>
      <c r="E66" s="4" t="n"/>
      <c r="F66" s="4" t="n"/>
      <c r="G66" s="4" t="n"/>
      <c r="H66" s="4" t="n"/>
      <c r="I66" s="4" t="n"/>
      <c r="J66" s="4" t="n"/>
    </row>
    <row r="67">
      <c r="A67" s="6" t="n"/>
      <c r="B67" s="6">
        <f>IF(A67="","",VLOOKUP(A67,'F01 - _Données Expatriés'!$A$6:$L$15,2,FALSE))</f>
        <v/>
      </c>
      <c r="C67" s="6">
        <f>IF(A67="","",VLOOKUP(A67,'F01 - _Données Expatriés'!$A$6:$L$15,6,FALSE))</f>
        <v/>
      </c>
      <c r="D67" s="6" t="n"/>
      <c r="E67" s="6" t="n"/>
      <c r="F67" s="6" t="n"/>
      <c r="G67" s="6" t="n"/>
      <c r="H67" s="6" t="n"/>
      <c r="I67" s="6" t="n"/>
      <c r="J67" s="6" t="n"/>
    </row>
    <row r="68">
      <c r="A68" s="4" t="n"/>
      <c r="B68" s="4">
        <f>IF(A68="","",VLOOKUP(A68,'F01 - _Données Expatriés'!$A$6:$L$15,2,FALSE))</f>
        <v/>
      </c>
      <c r="C68" s="4">
        <f>IF(A68="","",VLOOKUP(A68,'F01 - _Données Expatriés'!$A$6:$L$15,6,FALSE))</f>
        <v/>
      </c>
      <c r="D68" s="4" t="n"/>
      <c r="E68" s="4" t="n"/>
      <c r="F68" s="4" t="n"/>
      <c r="G68" s="4" t="n"/>
      <c r="H68" s="4" t="n"/>
      <c r="I68" s="4" t="n"/>
      <c r="J68" s="4" t="n"/>
    </row>
    <row r="69">
      <c r="A69" s="6" t="n"/>
      <c r="B69" s="6">
        <f>IF(A69="","",VLOOKUP(A69,'F01 - _Données Expatriés'!$A$6:$L$15,2,FALSE))</f>
        <v/>
      </c>
      <c r="C69" s="6">
        <f>IF(A69="","",VLOOKUP(A69,'F01 - _Données Expatriés'!$A$6:$L$15,6,FALSE))</f>
        <v/>
      </c>
      <c r="D69" s="6" t="n"/>
      <c r="E69" s="6" t="n"/>
      <c r="F69" s="6" t="n"/>
      <c r="G69" s="6" t="n"/>
      <c r="H69" s="6" t="n"/>
      <c r="I69" s="6" t="n"/>
      <c r="J69" s="6" t="n"/>
    </row>
    <row r="70">
      <c r="A70" s="4" t="n"/>
      <c r="B70" s="4">
        <f>IF(A70="","",VLOOKUP(A70,'F01 - _Données Expatriés'!$A$6:$L$15,2,FALSE))</f>
        <v/>
      </c>
      <c r="C70" s="4">
        <f>IF(A70="","",VLOOKUP(A70,'F01 - _Données Expatriés'!$A$6:$L$15,6,FALSE))</f>
        <v/>
      </c>
      <c r="D70" s="4" t="n"/>
      <c r="E70" s="4" t="n"/>
      <c r="F70" s="4" t="n"/>
      <c r="G70" s="4" t="n"/>
      <c r="H70" s="4" t="n"/>
      <c r="I70" s="4" t="n"/>
      <c r="J70" s="4" t="n"/>
    </row>
    <row r="71">
      <c r="A71" s="6" t="n"/>
      <c r="B71" s="6">
        <f>IF(A71="","",VLOOKUP(A71,'F01 - _Données Expatriés'!$A$6:$L$15,2,FALSE))</f>
        <v/>
      </c>
      <c r="C71" s="6">
        <f>IF(A71="","",VLOOKUP(A71,'F01 - _Données Expatriés'!$A$6:$L$15,6,FALSE))</f>
        <v/>
      </c>
      <c r="D71" s="6" t="n"/>
      <c r="E71" s="6" t="n"/>
      <c r="F71" s="6" t="n"/>
      <c r="G71" s="6" t="n"/>
      <c r="H71" s="6" t="n"/>
      <c r="I71" s="6" t="n"/>
      <c r="J71" s="6" t="n"/>
    </row>
    <row r="72">
      <c r="A72" s="4" t="n"/>
      <c r="B72" s="4">
        <f>IF(A72="","",VLOOKUP(A72,'F01 - _Données Expatriés'!$A$6:$L$15,2,FALSE))</f>
        <v/>
      </c>
      <c r="C72" s="4">
        <f>IF(A72="","",VLOOKUP(A72,'F01 - _Données Expatriés'!$A$6:$L$15,6,FALSE))</f>
        <v/>
      </c>
      <c r="D72" s="4" t="n"/>
      <c r="E72" s="4" t="n"/>
      <c r="F72" s="4" t="n"/>
      <c r="G72" s="4" t="n"/>
      <c r="H72" s="4" t="n"/>
      <c r="I72" s="4" t="n"/>
      <c r="J72" s="4" t="n"/>
    </row>
    <row r="73">
      <c r="A73" s="6" t="n"/>
      <c r="B73" s="6">
        <f>IF(A73="","",VLOOKUP(A73,'F01 - _Données Expatriés'!$A$6:$L$15,2,FALSE))</f>
        <v/>
      </c>
      <c r="C73" s="6">
        <f>IF(A73="","",VLOOKUP(A73,'F01 - _Données Expatriés'!$A$6:$L$15,6,FALSE))</f>
        <v/>
      </c>
      <c r="D73" s="6" t="n"/>
      <c r="E73" s="6" t="n"/>
      <c r="F73" s="6" t="n"/>
      <c r="G73" s="6" t="n"/>
      <c r="H73" s="6" t="n"/>
      <c r="I73" s="6" t="n"/>
      <c r="J73" s="6" t="n"/>
    </row>
    <row r="74">
      <c r="A74" s="4" t="n"/>
      <c r="B74" s="4">
        <f>IF(A74="","",VLOOKUP(A74,'F01 - _Données Expatriés'!$A$6:$L$15,2,FALSE))</f>
        <v/>
      </c>
      <c r="C74" s="4">
        <f>IF(A74="","",VLOOKUP(A74,'F01 - _Données Expatriés'!$A$6:$L$15,6,FALSE))</f>
        <v/>
      </c>
      <c r="D74" s="4" t="n"/>
      <c r="E74" s="4" t="n"/>
      <c r="F74" s="4" t="n"/>
      <c r="G74" s="4" t="n"/>
      <c r="H74" s="4" t="n"/>
      <c r="I74" s="4" t="n"/>
      <c r="J74" s="4" t="n"/>
    </row>
    <row r="75">
      <c r="A75" s="6" t="n"/>
      <c r="B75" s="6">
        <f>IF(A75="","",VLOOKUP(A75,'F01 - _Données Expatriés'!$A$6:$L$15,2,FALSE))</f>
        <v/>
      </c>
      <c r="C75" s="6">
        <f>IF(A75="","",VLOOKUP(A75,'F01 - _Données Expatriés'!$A$6:$L$15,6,FALSE))</f>
        <v/>
      </c>
      <c r="D75" s="6" t="n"/>
      <c r="E75" s="6" t="n"/>
      <c r="F75" s="6" t="n"/>
      <c r="G75" s="6" t="n"/>
      <c r="H75" s="6" t="n"/>
      <c r="I75" s="6" t="n"/>
      <c r="J75" s="6" t="n"/>
    </row>
    <row r="76">
      <c r="A76" s="4" t="n"/>
      <c r="B76" s="4">
        <f>IF(A76="","",VLOOKUP(A76,'F01 - _Données Expatriés'!$A$6:$L$15,2,FALSE))</f>
        <v/>
      </c>
      <c r="C76" s="4">
        <f>IF(A76="","",VLOOKUP(A76,'F01 - _Données Expatriés'!$A$6:$L$15,6,FALSE))</f>
        <v/>
      </c>
      <c r="D76" s="4" t="n"/>
      <c r="E76" s="4" t="n"/>
      <c r="F76" s="4" t="n"/>
      <c r="G76" s="4" t="n"/>
      <c r="H76" s="4" t="n"/>
      <c r="I76" s="4" t="n"/>
      <c r="J76" s="4" t="n"/>
    </row>
    <row r="77">
      <c r="A77" s="6" t="n"/>
      <c r="B77" s="6">
        <f>IF(A77="","",VLOOKUP(A77,'F01 - _Données Expatriés'!$A$6:$L$15,2,FALSE))</f>
        <v/>
      </c>
      <c r="C77" s="6">
        <f>IF(A77="","",VLOOKUP(A77,'F01 - _Données Expatriés'!$A$6:$L$15,6,FALSE))</f>
        <v/>
      </c>
      <c r="D77" s="6" t="n"/>
      <c r="E77" s="6" t="n"/>
      <c r="F77" s="6" t="n"/>
      <c r="G77" s="6" t="n"/>
      <c r="H77" s="6" t="n"/>
      <c r="I77" s="6" t="n"/>
      <c r="J77" s="6" t="n"/>
    </row>
    <row r="78">
      <c r="A78" s="4" t="n"/>
      <c r="B78" s="4">
        <f>IF(A78="","",VLOOKUP(A78,'F01 - _Données Expatriés'!$A$6:$L$15,2,FALSE))</f>
        <v/>
      </c>
      <c r="C78" s="4">
        <f>IF(A78="","",VLOOKUP(A78,'F01 - _Données Expatriés'!$A$6:$L$15,6,FALSE))</f>
        <v/>
      </c>
      <c r="D78" s="4" t="n"/>
      <c r="E78" s="4" t="n"/>
      <c r="F78" s="4" t="n"/>
      <c r="G78" s="4" t="n"/>
      <c r="H78" s="4" t="n"/>
      <c r="I78" s="4" t="n"/>
      <c r="J78" s="4" t="n"/>
    </row>
    <row r="79">
      <c r="A79" s="6" t="n"/>
      <c r="B79" s="6">
        <f>IF(A79="","",VLOOKUP(A79,'F01 - _Données Expatriés'!$A$6:$L$15,2,FALSE))</f>
        <v/>
      </c>
      <c r="C79" s="6">
        <f>IF(A79="","",VLOOKUP(A79,'F01 - _Données Expatriés'!$A$6:$L$15,6,FALSE))</f>
        <v/>
      </c>
      <c r="D79" s="6" t="n"/>
      <c r="E79" s="6" t="n"/>
      <c r="F79" s="6" t="n"/>
      <c r="G79" s="6" t="n"/>
      <c r="H79" s="6" t="n"/>
      <c r="I79" s="6" t="n"/>
      <c r="J79" s="6" t="n"/>
    </row>
    <row r="80">
      <c r="A80" s="4" t="n"/>
      <c r="B80" s="4">
        <f>IF(A80="","",VLOOKUP(A80,'F01 - _Données Expatriés'!$A$6:$L$15,2,FALSE))</f>
        <v/>
      </c>
      <c r="C80" s="4">
        <f>IF(A80="","",VLOOKUP(A80,'F01 - _Données Expatriés'!$A$6:$L$15,6,FALSE))</f>
        <v/>
      </c>
      <c r="D80" s="4" t="n"/>
      <c r="E80" s="4" t="n"/>
      <c r="F80" s="4" t="n"/>
      <c r="G80" s="4" t="n"/>
      <c r="H80" s="4" t="n"/>
      <c r="I80" s="4" t="n"/>
      <c r="J80" s="4" t="n"/>
    </row>
    <row r="81">
      <c r="A81" s="6" t="n"/>
      <c r="B81" s="6">
        <f>IF(A81="","",VLOOKUP(A81,'F01 - _Données Expatriés'!$A$6:$L$15,2,FALSE))</f>
        <v/>
      </c>
      <c r="C81" s="6">
        <f>IF(A81="","",VLOOKUP(A81,'F01 - _Données Expatriés'!$A$6:$L$15,6,FALSE))</f>
        <v/>
      </c>
      <c r="D81" s="6" t="n"/>
      <c r="E81" s="6" t="n"/>
      <c r="F81" s="6" t="n"/>
      <c r="G81" s="6" t="n"/>
      <c r="H81" s="6" t="n"/>
      <c r="I81" s="6" t="n"/>
      <c r="J81" s="6" t="n"/>
    </row>
    <row r="82">
      <c r="A82" s="4" t="n"/>
      <c r="B82" s="4">
        <f>IF(A82="","",VLOOKUP(A82,'F01 - _Données Expatriés'!$A$6:$L$15,2,FALSE))</f>
        <v/>
      </c>
      <c r="C82" s="4">
        <f>IF(A82="","",VLOOKUP(A82,'F01 - _Données Expatriés'!$A$6:$L$15,6,FALSE))</f>
        <v/>
      </c>
      <c r="D82" s="4" t="n"/>
      <c r="E82" s="4" t="n"/>
      <c r="F82" s="4" t="n"/>
      <c r="G82" s="4" t="n"/>
      <c r="H82" s="4" t="n"/>
      <c r="I82" s="4" t="n"/>
      <c r="J82" s="4" t="n"/>
    </row>
    <row r="83">
      <c r="A83" s="6" t="n"/>
      <c r="B83" s="6">
        <f>IF(A83="","",VLOOKUP(A83,'F01 - _Données Expatriés'!$A$6:$L$15,2,FALSE))</f>
        <v/>
      </c>
      <c r="C83" s="6">
        <f>IF(A83="","",VLOOKUP(A83,'F01 - _Données Expatriés'!$A$6:$L$15,6,FALSE))</f>
        <v/>
      </c>
      <c r="D83" s="6" t="n"/>
      <c r="E83" s="6" t="n"/>
      <c r="F83" s="6" t="n"/>
      <c r="G83" s="6" t="n"/>
      <c r="H83" s="6" t="n"/>
      <c r="I83" s="6" t="n"/>
      <c r="J83" s="6" t="n"/>
    </row>
    <row r="84">
      <c r="A84" s="4" t="n"/>
      <c r="B84" s="4">
        <f>IF(A84="","",VLOOKUP(A84,'F01 - _Données Expatriés'!$A$6:$L$15,2,FALSE))</f>
        <v/>
      </c>
      <c r="C84" s="4">
        <f>IF(A84="","",VLOOKUP(A84,'F01 - _Données Expatriés'!$A$6:$L$15,6,FALSE))</f>
        <v/>
      </c>
      <c r="D84" s="4" t="n"/>
      <c r="E84" s="4" t="n"/>
      <c r="F84" s="4" t="n"/>
      <c r="G84" s="4" t="n"/>
      <c r="H84" s="4" t="n"/>
      <c r="I84" s="4" t="n"/>
      <c r="J84" s="4" t="n"/>
    </row>
    <row r="85">
      <c r="A85" s="6" t="n"/>
      <c r="B85" s="6">
        <f>IF(A85="","",VLOOKUP(A85,'F01 - _Données Expatriés'!$A$6:$L$15,2,FALSE))</f>
        <v/>
      </c>
      <c r="C85" s="6">
        <f>IF(A85="","",VLOOKUP(A85,'F01 - _Données Expatriés'!$A$6:$L$15,6,FALSE))</f>
        <v/>
      </c>
      <c r="D85" s="6" t="n"/>
      <c r="E85" s="6" t="n"/>
      <c r="F85" s="6" t="n"/>
      <c r="G85" s="6" t="n"/>
      <c r="H85" s="6" t="n"/>
      <c r="I85" s="6" t="n"/>
      <c r="J85" s="6" t="n"/>
    </row>
    <row r="86">
      <c r="A86" s="4" t="n"/>
      <c r="B86" s="4">
        <f>IF(A86="","",VLOOKUP(A86,'F01 - _Données Expatriés'!$A$6:$L$15,2,FALSE))</f>
        <v/>
      </c>
      <c r="C86" s="4">
        <f>IF(A86="","",VLOOKUP(A86,'F01 - _Données Expatriés'!$A$6:$L$15,6,FALSE))</f>
        <v/>
      </c>
      <c r="D86" s="4" t="n"/>
      <c r="E86" s="4" t="n"/>
      <c r="F86" s="4" t="n"/>
      <c r="G86" s="4" t="n"/>
      <c r="H86" s="4" t="n"/>
      <c r="I86" s="4" t="n"/>
      <c r="J86" s="4" t="n"/>
    </row>
    <row r="87">
      <c r="A87" s="6" t="n"/>
      <c r="B87" s="6">
        <f>IF(A87="","",VLOOKUP(A87,'F01 - _Données Expatriés'!$A$6:$L$15,2,FALSE))</f>
        <v/>
      </c>
      <c r="C87" s="6">
        <f>IF(A87="","",VLOOKUP(A87,'F01 - _Données Expatriés'!$A$6:$L$15,6,FALSE))</f>
        <v/>
      </c>
      <c r="D87" s="6" t="n"/>
      <c r="E87" s="6" t="n"/>
      <c r="F87" s="6" t="n"/>
      <c r="G87" s="6" t="n"/>
      <c r="H87" s="6" t="n"/>
      <c r="I87" s="6" t="n"/>
      <c r="J87" s="6" t="n"/>
    </row>
    <row r="88">
      <c r="A88" s="4" t="n"/>
      <c r="B88" s="4">
        <f>IF(A88="","",VLOOKUP(A88,'F01 - _Données Expatriés'!$A$6:$L$15,2,FALSE))</f>
        <v/>
      </c>
      <c r="C88" s="4">
        <f>IF(A88="","",VLOOKUP(A88,'F01 - _Données Expatriés'!$A$6:$L$15,6,FALSE))</f>
        <v/>
      </c>
      <c r="D88" s="4" t="n"/>
      <c r="E88" s="4" t="n"/>
      <c r="F88" s="4" t="n"/>
      <c r="G88" s="4" t="n"/>
      <c r="H88" s="4" t="n"/>
      <c r="I88" s="4" t="n"/>
      <c r="J88" s="4" t="n"/>
    </row>
    <row r="89">
      <c r="A89" s="6" t="n"/>
      <c r="B89" s="6">
        <f>IF(A89="","",VLOOKUP(A89,'F01 - _Données Expatriés'!$A$6:$L$15,2,FALSE))</f>
        <v/>
      </c>
      <c r="C89" s="6">
        <f>IF(A89="","",VLOOKUP(A89,'F01 - _Données Expatriés'!$A$6:$L$15,6,FALSE))</f>
        <v/>
      </c>
      <c r="D89" s="6" t="n"/>
      <c r="E89" s="6" t="n"/>
      <c r="F89" s="6" t="n"/>
      <c r="G89" s="6" t="n"/>
      <c r="H89" s="6" t="n"/>
      <c r="I89" s="6" t="n"/>
      <c r="J89" s="6" t="n"/>
    </row>
    <row r="90">
      <c r="A90" s="4" t="n"/>
      <c r="B90" s="4">
        <f>IF(A90="","",VLOOKUP(A90,'F01 - _Données Expatriés'!$A$6:$L$15,2,FALSE))</f>
        <v/>
      </c>
      <c r="C90" s="4">
        <f>IF(A90="","",VLOOKUP(A90,'F01 - _Données Expatriés'!$A$6:$L$15,6,FALSE))</f>
        <v/>
      </c>
      <c r="D90" s="4" t="n"/>
      <c r="E90" s="4" t="n"/>
      <c r="F90" s="4" t="n"/>
      <c r="G90" s="4" t="n"/>
      <c r="H90" s="4" t="n"/>
      <c r="I90" s="4" t="n"/>
      <c r="J90" s="4" t="n"/>
    </row>
    <row r="91">
      <c r="A91" s="6" t="n"/>
      <c r="B91" s="6">
        <f>IF(A91="","",VLOOKUP(A91,'F01 - _Données Expatriés'!$A$6:$L$15,2,FALSE))</f>
        <v/>
      </c>
      <c r="C91" s="6">
        <f>IF(A91="","",VLOOKUP(A91,'F01 - _Données Expatriés'!$A$6:$L$15,6,FALSE))</f>
        <v/>
      </c>
      <c r="D91" s="6" t="n"/>
      <c r="E91" s="6" t="n"/>
      <c r="F91" s="6" t="n"/>
      <c r="G91" s="6" t="n"/>
      <c r="H91" s="6" t="n"/>
      <c r="I91" s="6" t="n"/>
      <c r="J91" s="6" t="n"/>
    </row>
    <row r="92">
      <c r="A92" s="4" t="n"/>
      <c r="B92" s="4">
        <f>IF(A92="","",VLOOKUP(A92,'F01 - _Données Expatriés'!$A$6:$L$15,2,FALSE))</f>
        <v/>
      </c>
      <c r="C92" s="4">
        <f>IF(A92="","",VLOOKUP(A92,'F01 - _Données Expatriés'!$A$6:$L$15,6,FALSE))</f>
        <v/>
      </c>
      <c r="D92" s="4" t="n"/>
      <c r="E92" s="4" t="n"/>
      <c r="F92" s="4" t="n"/>
      <c r="G92" s="4" t="n"/>
      <c r="H92" s="4" t="n"/>
      <c r="I92" s="4" t="n"/>
      <c r="J92" s="4" t="n"/>
    </row>
    <row r="93">
      <c r="A93" s="6" t="n"/>
      <c r="B93" s="6">
        <f>IF(A93="","",VLOOKUP(A93,'F01 - _Données Expatriés'!$A$6:$L$15,2,FALSE))</f>
        <v/>
      </c>
      <c r="C93" s="6">
        <f>IF(A93="","",VLOOKUP(A93,'F01 - _Données Expatriés'!$A$6:$L$15,6,FALSE))</f>
        <v/>
      </c>
      <c r="D93" s="6" t="n"/>
      <c r="E93" s="6" t="n"/>
      <c r="F93" s="6" t="n"/>
      <c r="G93" s="6" t="n"/>
      <c r="H93" s="6" t="n"/>
      <c r="I93" s="6" t="n"/>
      <c r="J93" s="6" t="n"/>
    </row>
    <row r="94">
      <c r="A94" s="4" t="n"/>
      <c r="B94" s="4">
        <f>IF(A94="","",VLOOKUP(A94,'F01 - _Données Expatriés'!$A$6:$L$15,2,FALSE))</f>
        <v/>
      </c>
      <c r="C94" s="4">
        <f>IF(A94="","",VLOOKUP(A94,'F01 - _Données Expatriés'!$A$6:$L$15,6,FALSE))</f>
        <v/>
      </c>
      <c r="D94" s="4" t="n"/>
      <c r="E94" s="4" t="n"/>
      <c r="F94" s="4" t="n"/>
      <c r="G94" s="4" t="n"/>
      <c r="H94" s="4" t="n"/>
      <c r="I94" s="4" t="n"/>
      <c r="J94" s="4" t="n"/>
    </row>
    <row r="95">
      <c r="A95" s="6" t="n"/>
      <c r="B95" s="6">
        <f>IF(A95="","",VLOOKUP(A95,'F01 - _Données Expatriés'!$A$6:$L$15,2,FALSE))</f>
        <v/>
      </c>
      <c r="C95" s="6">
        <f>IF(A95="","",VLOOKUP(A95,'F01 - _Données Expatriés'!$A$6:$L$15,6,FALSE))</f>
        <v/>
      </c>
      <c r="D95" s="6" t="n"/>
      <c r="E95" s="6" t="n"/>
      <c r="F95" s="6" t="n"/>
      <c r="G95" s="6" t="n"/>
      <c r="H95" s="6" t="n"/>
      <c r="I95" s="6" t="n"/>
      <c r="J95" s="6" t="n"/>
    </row>
    <row r="96">
      <c r="A96" s="4" t="n"/>
      <c r="B96" s="4">
        <f>IF(A96="","",VLOOKUP(A96,'F01 - _Données Expatriés'!$A$6:$L$15,2,FALSE))</f>
        <v/>
      </c>
      <c r="C96" s="4">
        <f>IF(A96="","",VLOOKUP(A96,'F01 - _Données Expatriés'!$A$6:$L$15,6,FALSE))</f>
        <v/>
      </c>
      <c r="D96" s="4" t="n"/>
      <c r="E96" s="4" t="n"/>
      <c r="F96" s="4" t="n"/>
      <c r="G96" s="4" t="n"/>
      <c r="H96" s="4" t="n"/>
      <c r="I96" s="4" t="n"/>
      <c r="J96" s="4" t="n"/>
    </row>
    <row r="97">
      <c r="A97" s="6" t="n"/>
      <c r="B97" s="6">
        <f>IF(A97="","",VLOOKUP(A97,'F01 - _Données Expatriés'!$A$6:$L$15,2,FALSE))</f>
        <v/>
      </c>
      <c r="C97" s="6">
        <f>IF(A97="","",VLOOKUP(A97,'F01 - _Données Expatriés'!$A$6:$L$15,6,FALSE))</f>
        <v/>
      </c>
      <c r="D97" s="6" t="n"/>
      <c r="E97" s="6" t="n"/>
      <c r="F97" s="6" t="n"/>
      <c r="G97" s="6" t="n"/>
      <c r="H97" s="6" t="n"/>
      <c r="I97" s="6" t="n"/>
      <c r="J97" s="6" t="n"/>
    </row>
    <row r="98">
      <c r="A98" s="4" t="n"/>
      <c r="B98" s="4">
        <f>IF(A98="","",VLOOKUP(A98,'F01 - _Données Expatriés'!$A$6:$L$15,2,FALSE))</f>
        <v/>
      </c>
      <c r="C98" s="4">
        <f>IF(A98="","",VLOOKUP(A98,'F01 - _Données Expatriés'!$A$6:$L$15,6,FALSE))</f>
        <v/>
      </c>
      <c r="D98" s="4" t="n"/>
      <c r="E98" s="4" t="n"/>
      <c r="F98" s="4" t="n"/>
      <c r="G98" s="4" t="n"/>
      <c r="H98" s="4" t="n"/>
      <c r="I98" s="4" t="n"/>
      <c r="J98" s="4" t="n"/>
    </row>
    <row r="99">
      <c r="A99" s="6" t="n"/>
      <c r="B99" s="6">
        <f>IF(A99="","",VLOOKUP(A99,'F01 - _Données Expatriés'!$A$6:$L$15,2,FALSE))</f>
        <v/>
      </c>
      <c r="C99" s="6">
        <f>IF(A99="","",VLOOKUP(A99,'F01 - _Données Expatriés'!$A$6:$L$15,6,FALSE))</f>
        <v/>
      </c>
      <c r="D99" s="6" t="n"/>
      <c r="E99" s="6" t="n"/>
      <c r="F99" s="6" t="n"/>
      <c r="G99" s="6" t="n"/>
      <c r="H99" s="6" t="n"/>
      <c r="I99" s="6" t="n"/>
      <c r="J99" s="6" t="n"/>
    </row>
    <row r="100">
      <c r="A100" s="4" t="n"/>
      <c r="B100" s="4">
        <f>IF(A100="","",VLOOKUP(A100,'F01 - _Données Expatriés'!$A$6:$L$15,2,FALSE))</f>
        <v/>
      </c>
      <c r="C100" s="4">
        <f>IF(A100="","",VLOOKUP(A100,'F01 - _Données Expatriés'!$A$6:$L$15,6,FALSE))</f>
        <v/>
      </c>
      <c r="D100" s="4" t="n"/>
      <c r="E100" s="4" t="n"/>
      <c r="F100" s="4" t="n"/>
      <c r="G100" s="4" t="n"/>
      <c r="H100" s="4" t="n"/>
      <c r="I100" s="4" t="n"/>
      <c r="J100" s="4" t="n"/>
    </row>
    <row r="101">
      <c r="A101" s="6" t="n"/>
      <c r="B101" s="6">
        <f>IF(A101="","",VLOOKUP(A101,'F01 - _Données Expatriés'!$A$6:$L$15,2,FALSE))</f>
        <v/>
      </c>
      <c r="C101" s="6">
        <f>IF(A101="","",VLOOKUP(A101,'F01 - _Données Expatriés'!$A$6:$L$15,6,FALSE))</f>
        <v/>
      </c>
      <c r="D101" s="6" t="n"/>
      <c r="E101" s="6" t="n"/>
      <c r="F101" s="6" t="n"/>
      <c r="G101" s="6" t="n"/>
      <c r="H101" s="6" t="n"/>
      <c r="I101" s="6" t="n"/>
      <c r="J101" s="6" t="n"/>
    </row>
    <row r="102">
      <c r="A102" s="4" t="n"/>
      <c r="B102" s="4">
        <f>IF(A102="","",VLOOKUP(A102,'F01 - _Données Expatriés'!$A$6:$L$15,2,FALSE))</f>
        <v/>
      </c>
      <c r="C102" s="4">
        <f>IF(A102="","",VLOOKUP(A102,'F01 - _Données Expatriés'!$A$6:$L$15,6,FALSE))</f>
        <v/>
      </c>
      <c r="D102" s="4" t="n"/>
      <c r="E102" s="4" t="n"/>
      <c r="F102" s="4" t="n"/>
      <c r="G102" s="4" t="n"/>
      <c r="H102" s="4" t="n"/>
      <c r="I102" s="4" t="n"/>
      <c r="J102" s="4" t="n"/>
    </row>
    <row r="103">
      <c r="A103" s="6" t="n"/>
      <c r="B103" s="6">
        <f>IF(A103="","",VLOOKUP(A103,'F01 - _Données Expatriés'!$A$6:$L$15,2,FALSE))</f>
        <v/>
      </c>
      <c r="C103" s="6">
        <f>IF(A103="","",VLOOKUP(A103,'F01 - _Données Expatriés'!$A$6:$L$15,6,FALSE))</f>
        <v/>
      </c>
      <c r="D103" s="6" t="n"/>
      <c r="E103" s="6" t="n"/>
      <c r="F103" s="6" t="n"/>
      <c r="G103" s="6" t="n"/>
      <c r="H103" s="6" t="n"/>
      <c r="I103" s="6" t="n"/>
      <c r="J103" s="6" t="n"/>
    </row>
    <row r="104">
      <c r="A104" s="4" t="n"/>
      <c r="B104" s="4">
        <f>IF(A104="","",VLOOKUP(A104,'F01 - _Données Expatriés'!$A$6:$L$15,2,FALSE))</f>
        <v/>
      </c>
      <c r="C104" s="4">
        <f>IF(A104="","",VLOOKUP(A104,'F01 - _Données Expatriés'!$A$6:$L$15,6,FALSE))</f>
        <v/>
      </c>
      <c r="D104" s="4" t="n"/>
      <c r="E104" s="4" t="n"/>
      <c r="F104" s="4" t="n"/>
      <c r="G104" s="4" t="n"/>
      <c r="H104" s="4" t="n"/>
      <c r="I104" s="4" t="n"/>
      <c r="J104" s="4" t="n"/>
    </row>
    <row r="105">
      <c r="A105" s="6" t="n"/>
      <c r="B105" s="6">
        <f>IF(A105="","",VLOOKUP(A105,'F01 - _Données Expatriés'!$A$6:$L$15,2,FALSE))</f>
        <v/>
      </c>
      <c r="C105" s="6">
        <f>IF(A105="","",VLOOKUP(A105,'F01 - _Données Expatriés'!$A$6:$L$15,6,FALSE))</f>
        <v/>
      </c>
      <c r="D105" s="6" t="n"/>
      <c r="E105" s="6" t="n"/>
      <c r="F105" s="6" t="n"/>
      <c r="G105" s="6" t="n"/>
      <c r="H105" s="6" t="n"/>
      <c r="I105" s="6" t="n"/>
      <c r="J105" s="6" t="n"/>
    </row>
    <row r="106">
      <c r="A106" s="4" t="n"/>
      <c r="B106" s="4">
        <f>IF(A106="","",VLOOKUP(A106,'F01 - _Données Expatriés'!$A$6:$L$15,2,FALSE))</f>
        <v/>
      </c>
      <c r="C106" s="4">
        <f>IF(A106="","",VLOOKUP(A106,'F01 - _Données Expatriés'!$A$6:$L$15,6,FALSE))</f>
        <v/>
      </c>
      <c r="D106" s="4" t="n"/>
      <c r="E106" s="4" t="n"/>
      <c r="F106" s="4" t="n"/>
      <c r="G106" s="4" t="n"/>
      <c r="H106" s="4" t="n"/>
      <c r="I106" s="4" t="n"/>
      <c r="J106" s="4" t="n"/>
    </row>
    <row r="107">
      <c r="A107" s="6" t="n"/>
      <c r="B107" s="6">
        <f>IF(A107="","",VLOOKUP(A107,'F01 - _Données Expatriés'!$A$6:$L$15,2,FALSE))</f>
        <v/>
      </c>
      <c r="C107" s="6">
        <f>IF(A107="","",VLOOKUP(A107,'F01 - _Données Expatriés'!$A$6:$L$15,6,FALSE))</f>
        <v/>
      </c>
      <c r="D107" s="6" t="n"/>
      <c r="E107" s="6" t="n"/>
      <c r="F107" s="6" t="n"/>
      <c r="G107" s="6" t="n"/>
      <c r="H107" s="6" t="n"/>
      <c r="I107" s="6" t="n"/>
      <c r="J107" s="6" t="n"/>
    </row>
    <row r="108">
      <c r="A108" s="4" t="n"/>
      <c r="B108" s="4">
        <f>IF(A108="","",VLOOKUP(A108,'F01 - _Données Expatriés'!$A$6:$L$15,2,FALSE))</f>
        <v/>
      </c>
      <c r="C108" s="4">
        <f>IF(A108="","",VLOOKUP(A108,'F01 - _Données Expatriés'!$A$6:$L$15,6,FALSE))</f>
        <v/>
      </c>
      <c r="D108" s="4" t="n"/>
      <c r="E108" s="4" t="n"/>
      <c r="F108" s="4" t="n"/>
      <c r="G108" s="4" t="n"/>
      <c r="H108" s="4" t="n"/>
      <c r="I108" s="4" t="n"/>
      <c r="J108" s="4" t="n"/>
    </row>
    <row r="109">
      <c r="A109" s="6" t="n"/>
      <c r="B109" s="6">
        <f>IF(A109="","",VLOOKUP(A109,'F01 - _Données Expatriés'!$A$6:$L$15,2,FALSE))</f>
        <v/>
      </c>
      <c r="C109" s="6">
        <f>IF(A109="","",VLOOKUP(A109,'F01 - _Données Expatriés'!$A$6:$L$15,6,FALSE))</f>
        <v/>
      </c>
      <c r="D109" s="6" t="n"/>
      <c r="E109" s="6" t="n"/>
      <c r="F109" s="6" t="n"/>
      <c r="G109" s="6" t="n"/>
      <c r="H109" s="6" t="n"/>
      <c r="I109" s="6" t="n"/>
      <c r="J109" s="6" t="n"/>
    </row>
    <row r="110">
      <c r="A110" s="4" t="n"/>
      <c r="B110" s="4">
        <f>IF(A110="","",VLOOKUP(A110,'F01 - _Données Expatriés'!$A$6:$L$15,2,FALSE))</f>
        <v/>
      </c>
      <c r="C110" s="4">
        <f>IF(A110="","",VLOOKUP(A110,'F01 - _Données Expatriés'!$A$6:$L$15,6,FALSE))</f>
        <v/>
      </c>
      <c r="D110" s="4" t="n"/>
      <c r="E110" s="4" t="n"/>
      <c r="F110" s="4" t="n"/>
      <c r="G110" s="4" t="n"/>
      <c r="H110" s="4" t="n"/>
      <c r="I110" s="4" t="n"/>
      <c r="J110" s="4" t="n"/>
    </row>
    <row r="111">
      <c r="A111" s="6" t="n"/>
      <c r="B111" s="6">
        <f>IF(A111="","",VLOOKUP(A111,'F01 - _Données Expatriés'!$A$6:$L$15,2,FALSE))</f>
        <v/>
      </c>
      <c r="C111" s="6">
        <f>IF(A111="","",VLOOKUP(A111,'F01 - _Données Expatriés'!$A$6:$L$15,6,FALSE))</f>
        <v/>
      </c>
      <c r="D111" s="6" t="n"/>
      <c r="E111" s="6" t="n"/>
      <c r="F111" s="6" t="n"/>
      <c r="G111" s="6" t="n"/>
      <c r="H111" s="6" t="n"/>
      <c r="I111" s="6" t="n"/>
      <c r="J111" s="6" t="n"/>
    </row>
    <row r="112">
      <c r="A112" s="4" t="n"/>
      <c r="B112" s="4">
        <f>IF(A112="","",VLOOKUP(A112,'F01 - _Données Expatriés'!$A$6:$L$15,2,FALSE))</f>
        <v/>
      </c>
      <c r="C112" s="4">
        <f>IF(A112="","",VLOOKUP(A112,'F01 - _Données Expatriés'!$A$6:$L$15,6,FALSE))</f>
        <v/>
      </c>
      <c r="D112" s="4" t="n"/>
      <c r="E112" s="4" t="n"/>
      <c r="F112" s="4" t="n"/>
      <c r="G112" s="4" t="n"/>
      <c r="H112" s="4" t="n"/>
      <c r="I112" s="4" t="n"/>
      <c r="J112" s="4" t="n"/>
    </row>
    <row r="113">
      <c r="A113" s="6" t="n"/>
      <c r="B113" s="6">
        <f>IF(A113="","",VLOOKUP(A113,'F01 - _Données Expatriés'!$A$6:$L$15,2,FALSE))</f>
        <v/>
      </c>
      <c r="C113" s="6">
        <f>IF(A113="","",VLOOKUP(A113,'F01 - _Données Expatriés'!$A$6:$L$15,6,FALSE))</f>
        <v/>
      </c>
      <c r="D113" s="6" t="n"/>
      <c r="E113" s="6" t="n"/>
      <c r="F113" s="6" t="n"/>
      <c r="G113" s="6" t="n"/>
      <c r="H113" s="6" t="n"/>
      <c r="I113" s="6" t="n"/>
      <c r="J113" s="6" t="n"/>
    </row>
    <row r="114">
      <c r="A114" s="4" t="n"/>
      <c r="B114" s="4">
        <f>IF(A114="","",VLOOKUP(A114,'F01 - _Données Expatriés'!$A$6:$L$15,2,FALSE))</f>
        <v/>
      </c>
      <c r="C114" s="4">
        <f>IF(A114="","",VLOOKUP(A114,'F01 - _Données Expatriés'!$A$6:$L$15,6,FALSE))</f>
        <v/>
      </c>
      <c r="D114" s="4" t="n"/>
      <c r="E114" s="4" t="n"/>
      <c r="F114" s="4" t="n"/>
      <c r="G114" s="4" t="n"/>
      <c r="H114" s="4" t="n"/>
      <c r="I114" s="4" t="n"/>
      <c r="J114" s="4" t="n"/>
    </row>
    <row r="115">
      <c r="A115" s="6" t="n"/>
      <c r="B115" s="6">
        <f>IF(A115="","",VLOOKUP(A115,'F01 - _Données Expatriés'!$A$6:$L$15,2,FALSE))</f>
        <v/>
      </c>
      <c r="C115" s="6">
        <f>IF(A115="","",VLOOKUP(A115,'F01 - _Données Expatriés'!$A$6:$L$15,6,FALSE))</f>
        <v/>
      </c>
      <c r="D115" s="6" t="n"/>
      <c r="E115" s="6" t="n"/>
      <c r="F115" s="6" t="n"/>
      <c r="G115" s="6" t="n"/>
      <c r="H115" s="6" t="n"/>
      <c r="I115" s="6" t="n"/>
      <c r="J115" s="6" t="n"/>
    </row>
  </sheetData>
  <mergeCells count="2">
    <mergeCell ref="A3:N3"/>
    <mergeCell ref="A2:N2"/>
  </mergeCells>
  <dataValidations count="2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_Lists'!$A$6:$A$35</formula1>
    </dataValidation>
    <dataValidation sqref="I6:I115" showDropDown="0" showInputMessage="0" showErrorMessage="0" allowBlank="1" errorTitle="Erreur de saisie" error="Valeur non autorisée" promptTitle="Liste déroulante" prompt="Sélectionnez dans la liste" type="list">
      <formula1>'F02 - _Lists'!$W$6:$W$35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0" customWidth="1" min="4" max="4"/>
    <col width="28" customWidth="1" min="5" max="5"/>
    <col width="18" customWidth="1" min="6" max="6"/>
    <col width="14" customWidth="1" min="7" max="7"/>
    <col width="18" customWidth="1" min="8" max="8"/>
    <col width="13" customWidth="1" min="9" max="9"/>
    <col width="13" customWidth="1" min="10" max="10"/>
    <col width="12" customWidth="1" min="11" max="11"/>
  </cols>
  <sheetData>
    <row r="2" ht="25" customHeight="1">
      <c r="A2" s="1" t="inlineStr">
        <is>
          <t>DOMAINE 25 — 7-GESTION LOGEMENT EXPATRIÉS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Matricule</t>
        </is>
      </c>
      <c r="B5" s="3" t="inlineStr">
        <is>
          <t>Nom</t>
        </is>
      </c>
      <c r="C5" s="3" t="inlineStr">
        <is>
          <t>Département</t>
        </is>
      </c>
      <c r="D5" s="3" t="inlineStr">
        <is>
          <t>Type Logement</t>
        </is>
      </c>
      <c r="E5" s="3" t="inlineStr">
        <is>
          <t>Adresse</t>
        </is>
      </c>
      <c r="F5" s="3" t="inlineStr">
        <is>
          <t>Loyer Mensuel (FCFA)</t>
        </is>
      </c>
      <c r="G5" s="3" t="inlineStr">
        <is>
          <t>Charges (FCFA)</t>
        </is>
      </c>
      <c r="H5" s="3" t="inlineStr">
        <is>
          <t>Total Mensuel (FCFA)</t>
        </is>
      </c>
      <c r="I5" s="3" t="inlineStr">
        <is>
          <t>Date Début Bail</t>
        </is>
      </c>
      <c r="J5" s="3" t="inlineStr">
        <is>
          <t>Date Fin Bail</t>
        </is>
      </c>
      <c r="K5" s="3" t="inlineStr">
        <is>
          <t>Statut</t>
        </is>
      </c>
    </row>
    <row r="6">
      <c r="A6" s="4" t="inlineStr">
        <is>
          <t>EXP-001</t>
        </is>
      </c>
      <c r="B6" s="4" t="inlineStr">
        <is>
          <t>Dupont Jean-Pierre</t>
        </is>
      </c>
      <c r="C6" s="4" t="inlineStr">
        <is>
          <t>Direction Générale</t>
        </is>
      </c>
      <c r="D6" s="4" t="inlineStr">
        <is>
          <t>Villa hôtel</t>
        </is>
      </c>
      <c r="E6" s="4" t="inlineStr">
        <is>
          <t>Cocody Riviera 3, Abidjan</t>
        </is>
      </c>
      <c r="F6" s="4" t="n">
        <v>1500000</v>
      </c>
      <c r="G6" s="4" t="n">
        <v>250000</v>
      </c>
      <c r="H6" s="4">
        <f>F6+G6</f>
        <v/>
      </c>
      <c r="I6" s="5" t="n">
        <v>45306</v>
      </c>
      <c r="J6" s="5" t="n">
        <v>46401</v>
      </c>
      <c r="K6" s="4" t="inlineStr">
        <is>
          <t>Actif</t>
        </is>
      </c>
    </row>
    <row r="7">
      <c r="A7" s="6" t="inlineStr">
        <is>
          <t>EXP-002</t>
        </is>
      </c>
      <c r="B7" s="6" t="inlineStr">
        <is>
          <t>Muller Hans</t>
        </is>
      </c>
      <c r="C7" s="6" t="inlineStr">
        <is>
          <t>Cuisine &amp; Restauration</t>
        </is>
      </c>
      <c r="D7" s="6" t="inlineStr">
        <is>
          <t>Appartement meublé</t>
        </is>
      </c>
      <c r="E7" s="6" t="inlineStr">
        <is>
          <t>Plateau, Abidjan</t>
        </is>
      </c>
      <c r="F7" s="6" t="n">
        <v>800000</v>
      </c>
      <c r="G7" s="6" t="n">
        <v>120000</v>
      </c>
      <c r="H7" s="6">
        <f>F7+G7</f>
        <v/>
      </c>
      <c r="I7" s="7" t="n">
        <v>45352</v>
      </c>
      <c r="J7" s="7" t="n">
        <v>46081</v>
      </c>
      <c r="K7" s="6" t="inlineStr">
        <is>
          <t>Actif</t>
        </is>
      </c>
    </row>
    <row r="8">
      <c r="A8" s="4" t="inlineStr">
        <is>
          <t>EXP-003</t>
        </is>
      </c>
      <c r="B8" s="4" t="inlineStr">
        <is>
          <t>Silva Carlos</t>
        </is>
      </c>
      <c r="C8" s="4" t="inlineStr">
        <is>
          <t>Finance &amp; Comptabilité</t>
        </is>
      </c>
      <c r="D8" s="4" t="inlineStr">
        <is>
          <t>Villa hôtel</t>
        </is>
      </c>
      <c r="E8" s="4" t="inlineStr">
        <is>
          <t>Cocody Palmeraie, Abidjan</t>
        </is>
      </c>
      <c r="F8" s="4" t="n">
        <v>1200000</v>
      </c>
      <c r="G8" s="4" t="n">
        <v>200000</v>
      </c>
      <c r="H8" s="4">
        <f>F8+G8</f>
        <v/>
      </c>
      <c r="I8" s="5" t="n">
        <v>45444</v>
      </c>
      <c r="J8" s="5" t="n">
        <v>46538</v>
      </c>
      <c r="K8" s="4" t="inlineStr">
        <is>
          <t>Actif</t>
        </is>
      </c>
    </row>
    <row r="9">
      <c r="A9" s="6" t="inlineStr">
        <is>
          <t>EXP-004</t>
        </is>
      </c>
      <c r="B9" s="6" t="inlineStr">
        <is>
          <t>Nakamura Yuki</t>
        </is>
      </c>
      <c r="C9" s="6" t="inlineStr">
        <is>
          <t>Réception &amp; Front Office</t>
        </is>
      </c>
      <c r="D9" s="6" t="inlineStr">
        <is>
          <t>Appartement meublé</t>
        </is>
      </c>
      <c r="E9" s="6" t="inlineStr">
        <is>
          <t>Marcory Zone 4, Abidjan</t>
        </is>
      </c>
      <c r="F9" s="6" t="n">
        <v>600000</v>
      </c>
      <c r="G9" s="6" t="n">
        <v>100000</v>
      </c>
      <c r="H9" s="6">
        <f>F9+G9</f>
        <v/>
      </c>
      <c r="I9" s="7" t="n">
        <v>45536</v>
      </c>
      <c r="J9" s="7" t="n">
        <v>46265</v>
      </c>
      <c r="K9" s="6" t="inlineStr">
        <is>
          <t>Actif</t>
        </is>
      </c>
    </row>
    <row r="10">
      <c r="A10" s="4" t="inlineStr">
        <is>
          <t>EXP-005</t>
        </is>
      </c>
      <c r="B10" s="4" t="inlineStr">
        <is>
          <t>Smith James</t>
        </is>
      </c>
      <c r="C10" s="4" t="inlineStr">
        <is>
          <t>Revenue Management</t>
        </is>
      </c>
      <c r="D10" s="4" t="inlineStr">
        <is>
          <t>Logement de fonction</t>
        </is>
      </c>
      <c r="E10" s="4" t="inlineStr">
        <is>
          <t>Hotel (suite exec.), Abidjan</t>
        </is>
      </c>
      <c r="F10" s="4" t="n">
        <v>0</v>
      </c>
      <c r="G10" s="4" t="n">
        <v>0</v>
      </c>
      <c r="H10" s="4">
        <f>F10+G10</f>
        <v/>
      </c>
      <c r="I10" s="5" t="n">
        <v>45658</v>
      </c>
      <c r="J10" s="5" t="n">
        <v>46387</v>
      </c>
      <c r="K10" s="4" t="inlineStr">
        <is>
          <t>Actif</t>
        </is>
      </c>
    </row>
    <row r="11">
      <c r="A11" s="6" t="n"/>
      <c r="B11" s="6">
        <f>IF(A11="","",VLOOKUP(A11,'F01 - _Données Expatriés'!$A$6:$L$15,2,FALSE))</f>
        <v/>
      </c>
      <c r="C11" s="6">
        <f>IF(A11="","",VLOOKUP(A11,'F01 - _Données Expatriés'!$A$6:$L$15,6,FALSE))</f>
        <v/>
      </c>
      <c r="D11" s="6" t="n"/>
      <c r="E11" s="6" t="n"/>
      <c r="F11" s="6" t="n"/>
      <c r="G11" s="6" t="n"/>
      <c r="H11" s="6">
        <f>IF(F11="","",F11+G11)</f>
        <v/>
      </c>
      <c r="I11" s="6" t="n"/>
      <c r="J11" s="6" t="n"/>
      <c r="K11" s="6" t="n"/>
    </row>
    <row r="12">
      <c r="A12" s="4" t="n"/>
      <c r="B12" s="4">
        <f>IF(A12="","",VLOOKUP(A12,'F01 - _Données Expatriés'!$A$6:$L$15,2,FALSE))</f>
        <v/>
      </c>
      <c r="C12" s="4">
        <f>IF(A12="","",VLOOKUP(A12,'F01 - _Données Expatriés'!$A$6:$L$15,6,FALSE))</f>
        <v/>
      </c>
      <c r="D12" s="4" t="n"/>
      <c r="E12" s="4" t="n"/>
      <c r="F12" s="4" t="n"/>
      <c r="G12" s="4" t="n"/>
      <c r="H12" s="4">
        <f>IF(F12="","",F12+G12)</f>
        <v/>
      </c>
      <c r="I12" s="4" t="n"/>
      <c r="J12" s="4" t="n"/>
      <c r="K12" s="4" t="n"/>
    </row>
    <row r="13">
      <c r="A13" s="6" t="n"/>
      <c r="B13" s="6">
        <f>IF(A13="","",VLOOKUP(A13,'F01 - _Données Expatriés'!$A$6:$L$15,2,FALSE))</f>
        <v/>
      </c>
      <c r="C13" s="6">
        <f>IF(A13="","",VLOOKUP(A13,'F01 - _Données Expatriés'!$A$6:$L$15,6,FALSE))</f>
        <v/>
      </c>
      <c r="D13" s="6" t="n"/>
      <c r="E13" s="6" t="n"/>
      <c r="F13" s="6" t="n"/>
      <c r="G13" s="6" t="n"/>
      <c r="H13" s="6">
        <f>IF(F13="","",F13+G13)</f>
        <v/>
      </c>
      <c r="I13" s="6" t="n"/>
      <c r="J13" s="6" t="n"/>
      <c r="K13" s="6" t="n"/>
    </row>
    <row r="14">
      <c r="A14" s="4" t="n"/>
      <c r="B14" s="4">
        <f>IF(A14="","",VLOOKUP(A14,'F01 - _Données Expatriés'!$A$6:$L$15,2,FALSE))</f>
        <v/>
      </c>
      <c r="C14" s="4">
        <f>IF(A14="","",VLOOKUP(A14,'F01 - _Données Expatriés'!$A$6:$L$15,6,FALSE))</f>
        <v/>
      </c>
      <c r="D14" s="4" t="n"/>
      <c r="E14" s="4" t="n"/>
      <c r="F14" s="4" t="n"/>
      <c r="G14" s="4" t="n"/>
      <c r="H14" s="4">
        <f>IF(F14="","",F14+G14)</f>
        <v/>
      </c>
      <c r="I14" s="4" t="n"/>
      <c r="J14" s="4" t="n"/>
      <c r="K14" s="4" t="n"/>
    </row>
    <row r="15">
      <c r="A15" s="6" t="n"/>
      <c r="B15" s="6">
        <f>IF(A15="","",VLOOKUP(A15,'F01 - _Données Expatriés'!$A$6:$L$15,2,FALSE))</f>
        <v/>
      </c>
      <c r="C15" s="6">
        <f>IF(A15="","",VLOOKUP(A15,'F01 - _Données Expatriés'!$A$6:$L$15,6,FALSE))</f>
        <v/>
      </c>
      <c r="D15" s="6" t="n"/>
      <c r="E15" s="6" t="n"/>
      <c r="F15" s="6" t="n"/>
      <c r="G15" s="6" t="n"/>
      <c r="H15" s="6">
        <f>IF(F15="","",F15+G15)</f>
        <v/>
      </c>
      <c r="I15" s="6" t="n"/>
      <c r="J15" s="6" t="n"/>
      <c r="K15" s="6" t="n"/>
    </row>
    <row r="16">
      <c r="A16" s="4" t="n"/>
      <c r="B16" s="4">
        <f>IF(A16="","",VLOOKUP(A16,'F01 - _Données Expatriés'!$A$6:$L$15,2,FALSE))</f>
        <v/>
      </c>
      <c r="C16" s="4">
        <f>IF(A16="","",VLOOKUP(A16,'F01 - _Données Expatriés'!$A$6:$L$15,6,FALSE))</f>
        <v/>
      </c>
      <c r="D16" s="4" t="n"/>
      <c r="E16" s="4" t="n"/>
      <c r="F16" s="4" t="n"/>
      <c r="G16" s="4" t="n"/>
      <c r="H16" s="4">
        <f>IF(F16="","",F16+G16)</f>
        <v/>
      </c>
      <c r="I16" s="4" t="n"/>
      <c r="J16" s="4" t="n"/>
      <c r="K16" s="4" t="n"/>
    </row>
    <row r="17">
      <c r="A17" s="6" t="n"/>
      <c r="B17" s="6">
        <f>IF(A17="","",VLOOKUP(A17,'F01 - _Données Expatriés'!$A$6:$L$15,2,FALSE))</f>
        <v/>
      </c>
      <c r="C17" s="6">
        <f>IF(A17="","",VLOOKUP(A17,'F01 - _Données Expatriés'!$A$6:$L$15,6,FALSE))</f>
        <v/>
      </c>
      <c r="D17" s="6" t="n"/>
      <c r="E17" s="6" t="n"/>
      <c r="F17" s="6" t="n"/>
      <c r="G17" s="6" t="n"/>
      <c r="H17" s="6">
        <f>IF(F17="","",F17+G17)</f>
        <v/>
      </c>
      <c r="I17" s="6" t="n"/>
      <c r="J17" s="6" t="n"/>
      <c r="K17" s="6" t="n"/>
    </row>
    <row r="18">
      <c r="A18" s="4" t="n"/>
      <c r="B18" s="4">
        <f>IF(A18="","",VLOOKUP(A18,'F01 - _Données Expatriés'!$A$6:$L$15,2,FALSE))</f>
        <v/>
      </c>
      <c r="C18" s="4">
        <f>IF(A18="","",VLOOKUP(A18,'F01 - _Données Expatriés'!$A$6:$L$15,6,FALSE))</f>
        <v/>
      </c>
      <c r="D18" s="4" t="n"/>
      <c r="E18" s="4" t="n"/>
      <c r="F18" s="4" t="n"/>
      <c r="G18" s="4" t="n"/>
      <c r="H18" s="4">
        <f>IF(F18="","",F18+G18)</f>
        <v/>
      </c>
      <c r="I18" s="4" t="n"/>
      <c r="J18" s="4" t="n"/>
      <c r="K18" s="4" t="n"/>
    </row>
    <row r="19">
      <c r="A19" s="6" t="n"/>
      <c r="B19" s="6">
        <f>IF(A19="","",VLOOKUP(A19,'F01 - _Données Expatriés'!$A$6:$L$15,2,FALSE))</f>
        <v/>
      </c>
      <c r="C19" s="6">
        <f>IF(A19="","",VLOOKUP(A19,'F01 - _Données Expatriés'!$A$6:$L$15,6,FALSE))</f>
        <v/>
      </c>
      <c r="D19" s="6" t="n"/>
      <c r="E19" s="6" t="n"/>
      <c r="F19" s="6" t="n"/>
      <c r="G19" s="6" t="n"/>
      <c r="H19" s="6">
        <f>IF(F19="","",F19+G19)</f>
        <v/>
      </c>
      <c r="I19" s="6" t="n"/>
      <c r="J19" s="6" t="n"/>
      <c r="K19" s="6" t="n"/>
    </row>
    <row r="20">
      <c r="A20" s="4" t="n"/>
      <c r="B20" s="4">
        <f>IF(A20="","",VLOOKUP(A20,'F01 - _Données Expatriés'!$A$6:$L$15,2,FALSE))</f>
        <v/>
      </c>
      <c r="C20" s="4">
        <f>IF(A20="","",VLOOKUP(A20,'F01 - _Données Expatriés'!$A$6:$L$15,6,FALSE))</f>
        <v/>
      </c>
      <c r="D20" s="4" t="n"/>
      <c r="E20" s="4" t="n"/>
      <c r="F20" s="4" t="n"/>
      <c r="G20" s="4" t="n"/>
      <c r="H20" s="4">
        <f>IF(F20="","",F20+G20)</f>
        <v/>
      </c>
      <c r="I20" s="4" t="n"/>
      <c r="J20" s="4" t="n"/>
      <c r="K20" s="4" t="n"/>
    </row>
    <row r="21">
      <c r="A21" s="6" t="n"/>
      <c r="B21" s="6">
        <f>IF(A21="","",VLOOKUP(A21,'F01 - _Données Expatriés'!$A$6:$L$15,2,FALSE))</f>
        <v/>
      </c>
      <c r="C21" s="6">
        <f>IF(A21="","",VLOOKUP(A21,'F01 - _Données Expatriés'!$A$6:$L$15,6,FALSE))</f>
        <v/>
      </c>
      <c r="D21" s="6" t="n"/>
      <c r="E21" s="6" t="n"/>
      <c r="F21" s="6" t="n"/>
      <c r="G21" s="6" t="n"/>
      <c r="H21" s="6">
        <f>IF(F21="","",F21+G21)</f>
        <v/>
      </c>
      <c r="I21" s="6" t="n"/>
      <c r="J21" s="6" t="n"/>
      <c r="K21" s="6" t="n"/>
    </row>
    <row r="22">
      <c r="A22" s="4" t="n"/>
      <c r="B22" s="4">
        <f>IF(A22="","",VLOOKUP(A22,'F01 - _Données Expatriés'!$A$6:$L$15,2,FALSE))</f>
        <v/>
      </c>
      <c r="C22" s="4">
        <f>IF(A22="","",VLOOKUP(A22,'F01 - _Données Expatriés'!$A$6:$L$15,6,FALSE))</f>
        <v/>
      </c>
      <c r="D22" s="4" t="n"/>
      <c r="E22" s="4" t="n"/>
      <c r="F22" s="4" t="n"/>
      <c r="G22" s="4" t="n"/>
      <c r="H22" s="4">
        <f>IF(F22="","",F22+G22)</f>
        <v/>
      </c>
      <c r="I22" s="4" t="n"/>
      <c r="J22" s="4" t="n"/>
      <c r="K22" s="4" t="n"/>
    </row>
    <row r="23">
      <c r="A23" s="6" t="n"/>
      <c r="B23" s="6">
        <f>IF(A23="","",VLOOKUP(A23,'F01 - _Données Expatriés'!$A$6:$L$15,2,FALSE))</f>
        <v/>
      </c>
      <c r="C23" s="6">
        <f>IF(A23="","",VLOOKUP(A23,'F01 - _Données Expatriés'!$A$6:$L$15,6,FALSE))</f>
        <v/>
      </c>
      <c r="D23" s="6" t="n"/>
      <c r="E23" s="6" t="n"/>
      <c r="F23" s="6" t="n"/>
      <c r="G23" s="6" t="n"/>
      <c r="H23" s="6">
        <f>IF(F23="","",F23+G23)</f>
        <v/>
      </c>
      <c r="I23" s="6" t="n"/>
      <c r="J23" s="6" t="n"/>
      <c r="K23" s="6" t="n"/>
    </row>
    <row r="24">
      <c r="A24" s="4" t="n"/>
      <c r="B24" s="4">
        <f>IF(A24="","",VLOOKUP(A24,'F01 - _Données Expatriés'!$A$6:$L$15,2,FALSE))</f>
        <v/>
      </c>
      <c r="C24" s="4">
        <f>IF(A24="","",VLOOKUP(A24,'F01 - _Données Expatriés'!$A$6:$L$15,6,FALSE))</f>
        <v/>
      </c>
      <c r="D24" s="4" t="n"/>
      <c r="E24" s="4" t="n"/>
      <c r="F24" s="4" t="n"/>
      <c r="G24" s="4" t="n"/>
      <c r="H24" s="4">
        <f>IF(F24="","",F24+G24)</f>
        <v/>
      </c>
      <c r="I24" s="4" t="n"/>
      <c r="J24" s="4" t="n"/>
      <c r="K24" s="4" t="n"/>
    </row>
    <row r="25">
      <c r="A25" s="6" t="n"/>
      <c r="B25" s="6">
        <f>IF(A25="","",VLOOKUP(A25,'F01 - _Données Expatriés'!$A$6:$L$15,2,FALSE))</f>
        <v/>
      </c>
      <c r="C25" s="6">
        <f>IF(A25="","",VLOOKUP(A25,'F01 - _Données Expatriés'!$A$6:$L$15,6,FALSE))</f>
        <v/>
      </c>
      <c r="D25" s="6" t="n"/>
      <c r="E25" s="6" t="n"/>
      <c r="F25" s="6" t="n"/>
      <c r="G25" s="6" t="n"/>
      <c r="H25" s="6">
        <f>IF(F25="","",F25+G25)</f>
        <v/>
      </c>
      <c r="I25" s="6" t="n"/>
      <c r="J25" s="6" t="n"/>
      <c r="K25" s="6" t="n"/>
    </row>
    <row r="26">
      <c r="A26" s="4" t="n"/>
      <c r="B26" s="4">
        <f>IF(A26="","",VLOOKUP(A26,'F01 - _Données Expatriés'!$A$6:$L$15,2,FALSE))</f>
        <v/>
      </c>
      <c r="C26" s="4">
        <f>IF(A26="","",VLOOKUP(A26,'F01 - _Données Expatriés'!$A$6:$L$15,6,FALSE))</f>
        <v/>
      </c>
      <c r="D26" s="4" t="n"/>
      <c r="E26" s="4" t="n"/>
      <c r="F26" s="4" t="n"/>
      <c r="G26" s="4" t="n"/>
      <c r="H26" s="4">
        <f>IF(F26="","",F26+G26)</f>
        <v/>
      </c>
      <c r="I26" s="4" t="n"/>
      <c r="J26" s="4" t="n"/>
      <c r="K26" s="4" t="n"/>
    </row>
    <row r="27">
      <c r="A27" s="6" t="n"/>
      <c r="B27" s="6">
        <f>IF(A27="","",VLOOKUP(A27,'F01 - _Données Expatriés'!$A$6:$L$15,2,FALSE))</f>
        <v/>
      </c>
      <c r="C27" s="6">
        <f>IF(A27="","",VLOOKUP(A27,'F01 - _Données Expatriés'!$A$6:$L$15,6,FALSE))</f>
        <v/>
      </c>
      <c r="D27" s="6" t="n"/>
      <c r="E27" s="6" t="n"/>
      <c r="F27" s="6" t="n"/>
      <c r="G27" s="6" t="n"/>
      <c r="H27" s="6">
        <f>IF(F27="","",F27+G27)</f>
        <v/>
      </c>
      <c r="I27" s="6" t="n"/>
      <c r="J27" s="6" t="n"/>
      <c r="K27" s="6" t="n"/>
    </row>
    <row r="28">
      <c r="A28" s="4" t="n"/>
      <c r="B28" s="4">
        <f>IF(A28="","",VLOOKUP(A28,'F01 - _Données Expatriés'!$A$6:$L$15,2,FALSE))</f>
        <v/>
      </c>
      <c r="C28" s="4">
        <f>IF(A28="","",VLOOKUP(A28,'F01 - _Données Expatriés'!$A$6:$L$15,6,FALSE))</f>
        <v/>
      </c>
      <c r="D28" s="4" t="n"/>
      <c r="E28" s="4" t="n"/>
      <c r="F28" s="4" t="n"/>
      <c r="G28" s="4" t="n"/>
      <c r="H28" s="4">
        <f>IF(F28="","",F28+G28)</f>
        <v/>
      </c>
      <c r="I28" s="4" t="n"/>
      <c r="J28" s="4" t="n"/>
      <c r="K28" s="4" t="n"/>
    </row>
    <row r="29">
      <c r="A29" s="6" t="n"/>
      <c r="B29" s="6">
        <f>IF(A29="","",VLOOKUP(A29,'F01 - _Données Expatriés'!$A$6:$L$15,2,FALSE))</f>
        <v/>
      </c>
      <c r="C29" s="6">
        <f>IF(A29="","",VLOOKUP(A29,'F01 - _Données Expatriés'!$A$6:$L$15,6,FALSE))</f>
        <v/>
      </c>
      <c r="D29" s="6" t="n"/>
      <c r="E29" s="6" t="n"/>
      <c r="F29" s="6" t="n"/>
      <c r="G29" s="6" t="n"/>
      <c r="H29" s="6">
        <f>IF(F29="","",F29+G29)</f>
        <v/>
      </c>
      <c r="I29" s="6" t="n"/>
      <c r="J29" s="6" t="n"/>
      <c r="K29" s="6" t="n"/>
    </row>
    <row r="30">
      <c r="A30" s="4" t="n"/>
      <c r="B30" s="4">
        <f>IF(A30="","",VLOOKUP(A30,'F01 - _Données Expatriés'!$A$6:$L$15,2,FALSE))</f>
        <v/>
      </c>
      <c r="C30" s="4">
        <f>IF(A30="","",VLOOKUP(A30,'F01 - _Données Expatriés'!$A$6:$L$15,6,FALSE))</f>
        <v/>
      </c>
      <c r="D30" s="4" t="n"/>
      <c r="E30" s="4" t="n"/>
      <c r="F30" s="4" t="n"/>
      <c r="G30" s="4" t="n"/>
      <c r="H30" s="4">
        <f>IF(F30="","",F30+G30)</f>
        <v/>
      </c>
      <c r="I30" s="4" t="n"/>
      <c r="J30" s="4" t="n"/>
      <c r="K30" s="4" t="n"/>
    </row>
    <row r="31">
      <c r="A31" s="6" t="n"/>
      <c r="B31" s="6">
        <f>IF(A31="","",VLOOKUP(A31,'F01 - _Données Expatriés'!$A$6:$L$15,2,FALSE))</f>
        <v/>
      </c>
      <c r="C31" s="6">
        <f>IF(A31="","",VLOOKUP(A31,'F01 - _Données Expatriés'!$A$6:$L$15,6,FALSE))</f>
        <v/>
      </c>
      <c r="D31" s="6" t="n"/>
      <c r="E31" s="6" t="n"/>
      <c r="F31" s="6" t="n"/>
      <c r="G31" s="6" t="n"/>
      <c r="H31" s="6">
        <f>IF(F31="","",F31+G31)</f>
        <v/>
      </c>
      <c r="I31" s="6" t="n"/>
      <c r="J31" s="6" t="n"/>
      <c r="K31" s="6" t="n"/>
    </row>
    <row r="32">
      <c r="A32" s="4" t="n"/>
      <c r="B32" s="4">
        <f>IF(A32="","",VLOOKUP(A32,'F01 - _Données Expatriés'!$A$6:$L$15,2,FALSE))</f>
        <v/>
      </c>
      <c r="C32" s="4">
        <f>IF(A32="","",VLOOKUP(A32,'F01 - _Données Expatriés'!$A$6:$L$15,6,FALSE))</f>
        <v/>
      </c>
      <c r="D32" s="4" t="n"/>
      <c r="E32" s="4" t="n"/>
      <c r="F32" s="4" t="n"/>
      <c r="G32" s="4" t="n"/>
      <c r="H32" s="4">
        <f>IF(F32="","",F32+G32)</f>
        <v/>
      </c>
      <c r="I32" s="4" t="n"/>
      <c r="J32" s="4" t="n"/>
      <c r="K32" s="4" t="n"/>
    </row>
    <row r="33">
      <c r="A33" s="6" t="n"/>
      <c r="B33" s="6">
        <f>IF(A33="","",VLOOKUP(A33,'F01 - _Données Expatriés'!$A$6:$L$15,2,FALSE))</f>
        <v/>
      </c>
      <c r="C33" s="6">
        <f>IF(A33="","",VLOOKUP(A33,'F01 - _Données Expatriés'!$A$6:$L$15,6,FALSE))</f>
        <v/>
      </c>
      <c r="D33" s="6" t="n"/>
      <c r="E33" s="6" t="n"/>
      <c r="F33" s="6" t="n"/>
      <c r="G33" s="6" t="n"/>
      <c r="H33" s="6">
        <f>IF(F33="","",F33+G33)</f>
        <v/>
      </c>
      <c r="I33" s="6" t="n"/>
      <c r="J33" s="6" t="n"/>
      <c r="K33" s="6" t="n"/>
    </row>
    <row r="34">
      <c r="A34" s="4" t="n"/>
      <c r="B34" s="4">
        <f>IF(A34="","",VLOOKUP(A34,'F01 - _Données Expatriés'!$A$6:$L$15,2,FALSE))</f>
        <v/>
      </c>
      <c r="C34" s="4">
        <f>IF(A34="","",VLOOKUP(A34,'F01 - _Données Expatriés'!$A$6:$L$15,6,FALSE))</f>
        <v/>
      </c>
      <c r="D34" s="4" t="n"/>
      <c r="E34" s="4" t="n"/>
      <c r="F34" s="4" t="n"/>
      <c r="G34" s="4" t="n"/>
      <c r="H34" s="4">
        <f>IF(F34="","",F34+G34)</f>
        <v/>
      </c>
      <c r="I34" s="4" t="n"/>
      <c r="J34" s="4" t="n"/>
      <c r="K34" s="4" t="n"/>
    </row>
    <row r="35">
      <c r="A35" s="6" t="n"/>
      <c r="B35" s="6">
        <f>IF(A35="","",VLOOKUP(A35,'F01 - _Données Expatriés'!$A$6:$L$15,2,FALSE))</f>
        <v/>
      </c>
      <c r="C35" s="6">
        <f>IF(A35="","",VLOOKUP(A35,'F01 - _Données Expatriés'!$A$6:$L$15,6,FALSE))</f>
        <v/>
      </c>
      <c r="D35" s="6" t="n"/>
      <c r="E35" s="6" t="n"/>
      <c r="F35" s="6" t="n"/>
      <c r="G35" s="6" t="n"/>
      <c r="H35" s="6">
        <f>IF(F35="","",F35+G35)</f>
        <v/>
      </c>
      <c r="I35" s="6" t="n"/>
      <c r="J35" s="6" t="n"/>
      <c r="K35" s="6" t="n"/>
    </row>
    <row r="36">
      <c r="A36" s="4" t="n"/>
      <c r="B36" s="4">
        <f>IF(A36="","",VLOOKUP(A36,'F01 - _Données Expatriés'!$A$6:$L$15,2,FALSE))</f>
        <v/>
      </c>
      <c r="C36" s="4">
        <f>IF(A36="","",VLOOKUP(A36,'F01 - _Données Expatriés'!$A$6:$L$15,6,FALSE))</f>
        <v/>
      </c>
      <c r="D36" s="4" t="n"/>
      <c r="E36" s="4" t="n"/>
      <c r="F36" s="4" t="n"/>
      <c r="G36" s="4" t="n"/>
      <c r="H36" s="4">
        <f>IF(F36="","",F36+G36)</f>
        <v/>
      </c>
      <c r="I36" s="4" t="n"/>
      <c r="J36" s="4" t="n"/>
      <c r="K36" s="4" t="n"/>
    </row>
    <row r="37">
      <c r="A37" s="6" t="n"/>
      <c r="B37" s="6">
        <f>IF(A37="","",VLOOKUP(A37,'F01 - _Données Expatriés'!$A$6:$L$15,2,FALSE))</f>
        <v/>
      </c>
      <c r="C37" s="6">
        <f>IF(A37="","",VLOOKUP(A37,'F01 - _Données Expatriés'!$A$6:$L$15,6,FALSE))</f>
        <v/>
      </c>
      <c r="D37" s="6" t="n"/>
      <c r="E37" s="6" t="n"/>
      <c r="F37" s="6" t="n"/>
      <c r="G37" s="6" t="n"/>
      <c r="H37" s="6">
        <f>IF(F37="","",F37+G37)</f>
        <v/>
      </c>
      <c r="I37" s="6" t="n"/>
      <c r="J37" s="6" t="n"/>
      <c r="K37" s="6" t="n"/>
    </row>
    <row r="38">
      <c r="A38" s="4" t="n"/>
      <c r="B38" s="4">
        <f>IF(A38="","",VLOOKUP(A38,'F01 - _Données Expatriés'!$A$6:$L$15,2,FALSE))</f>
        <v/>
      </c>
      <c r="C38" s="4">
        <f>IF(A38="","",VLOOKUP(A38,'F01 - _Données Expatriés'!$A$6:$L$15,6,FALSE))</f>
        <v/>
      </c>
      <c r="D38" s="4" t="n"/>
      <c r="E38" s="4" t="n"/>
      <c r="F38" s="4" t="n"/>
      <c r="G38" s="4" t="n"/>
      <c r="H38" s="4">
        <f>IF(F38="","",F38+G38)</f>
        <v/>
      </c>
      <c r="I38" s="4" t="n"/>
      <c r="J38" s="4" t="n"/>
      <c r="K38" s="4" t="n"/>
    </row>
    <row r="39">
      <c r="A39" s="6" t="n"/>
      <c r="B39" s="6">
        <f>IF(A39="","",VLOOKUP(A39,'F01 - _Données Expatriés'!$A$6:$L$15,2,FALSE))</f>
        <v/>
      </c>
      <c r="C39" s="6">
        <f>IF(A39="","",VLOOKUP(A39,'F01 - _Données Expatriés'!$A$6:$L$15,6,FALSE))</f>
        <v/>
      </c>
      <c r="D39" s="6" t="n"/>
      <c r="E39" s="6" t="n"/>
      <c r="F39" s="6" t="n"/>
      <c r="G39" s="6" t="n"/>
      <c r="H39" s="6">
        <f>IF(F39="","",F39+G39)</f>
        <v/>
      </c>
      <c r="I39" s="6" t="n"/>
      <c r="J39" s="6" t="n"/>
      <c r="K39" s="6" t="n"/>
    </row>
    <row r="40">
      <c r="A40" s="4" t="n"/>
      <c r="B40" s="4">
        <f>IF(A40="","",VLOOKUP(A40,'F01 - _Données Expatriés'!$A$6:$L$15,2,FALSE))</f>
        <v/>
      </c>
      <c r="C40" s="4">
        <f>IF(A40="","",VLOOKUP(A40,'F01 - _Données Expatriés'!$A$6:$L$15,6,FALSE))</f>
        <v/>
      </c>
      <c r="D40" s="4" t="n"/>
      <c r="E40" s="4" t="n"/>
      <c r="F40" s="4" t="n"/>
      <c r="G40" s="4" t="n"/>
      <c r="H40" s="4">
        <f>IF(F40="","",F40+G40)</f>
        <v/>
      </c>
      <c r="I40" s="4" t="n"/>
      <c r="J40" s="4" t="n"/>
      <c r="K40" s="4" t="n"/>
    </row>
    <row r="41">
      <c r="A41" s="6" t="n"/>
      <c r="B41" s="6">
        <f>IF(A41="","",VLOOKUP(A41,'F01 - _Données Expatriés'!$A$6:$L$15,2,FALSE))</f>
        <v/>
      </c>
      <c r="C41" s="6">
        <f>IF(A41="","",VLOOKUP(A41,'F01 - _Données Expatriés'!$A$6:$L$15,6,FALSE))</f>
        <v/>
      </c>
      <c r="D41" s="6" t="n"/>
      <c r="E41" s="6" t="n"/>
      <c r="F41" s="6" t="n"/>
      <c r="G41" s="6" t="n"/>
      <c r="H41" s="6">
        <f>IF(F41="","",F41+G41)</f>
        <v/>
      </c>
      <c r="I41" s="6" t="n"/>
      <c r="J41" s="6" t="n"/>
      <c r="K41" s="6" t="n"/>
    </row>
    <row r="42">
      <c r="A42" s="4" t="n"/>
      <c r="B42" s="4">
        <f>IF(A42="","",VLOOKUP(A42,'F01 - _Données Expatriés'!$A$6:$L$15,2,FALSE))</f>
        <v/>
      </c>
      <c r="C42" s="4">
        <f>IF(A42="","",VLOOKUP(A42,'F01 - _Données Expatriés'!$A$6:$L$15,6,FALSE))</f>
        <v/>
      </c>
      <c r="D42" s="4" t="n"/>
      <c r="E42" s="4" t="n"/>
      <c r="F42" s="4" t="n"/>
      <c r="G42" s="4" t="n"/>
      <c r="H42" s="4">
        <f>IF(F42="","",F42+G42)</f>
        <v/>
      </c>
      <c r="I42" s="4" t="n"/>
      <c r="J42" s="4" t="n"/>
      <c r="K42" s="4" t="n"/>
    </row>
    <row r="43">
      <c r="A43" s="6" t="n"/>
      <c r="B43" s="6">
        <f>IF(A43="","",VLOOKUP(A43,'F01 - _Données Expatriés'!$A$6:$L$15,2,FALSE))</f>
        <v/>
      </c>
      <c r="C43" s="6">
        <f>IF(A43="","",VLOOKUP(A43,'F01 - _Données Expatriés'!$A$6:$L$15,6,FALSE))</f>
        <v/>
      </c>
      <c r="D43" s="6" t="n"/>
      <c r="E43" s="6" t="n"/>
      <c r="F43" s="6" t="n"/>
      <c r="G43" s="6" t="n"/>
      <c r="H43" s="6">
        <f>IF(F43="","",F43+G43)</f>
        <v/>
      </c>
      <c r="I43" s="6" t="n"/>
      <c r="J43" s="6" t="n"/>
      <c r="K43" s="6" t="n"/>
    </row>
    <row r="44">
      <c r="A44" s="4" t="n"/>
      <c r="B44" s="4">
        <f>IF(A44="","",VLOOKUP(A44,'F01 - _Données Expatriés'!$A$6:$L$15,2,FALSE))</f>
        <v/>
      </c>
      <c r="C44" s="4">
        <f>IF(A44="","",VLOOKUP(A44,'F01 - _Données Expatriés'!$A$6:$L$15,6,FALSE))</f>
        <v/>
      </c>
      <c r="D44" s="4" t="n"/>
      <c r="E44" s="4" t="n"/>
      <c r="F44" s="4" t="n"/>
      <c r="G44" s="4" t="n"/>
      <c r="H44" s="4">
        <f>IF(F44="","",F44+G44)</f>
        <v/>
      </c>
      <c r="I44" s="4" t="n"/>
      <c r="J44" s="4" t="n"/>
      <c r="K44" s="4" t="n"/>
    </row>
    <row r="45">
      <c r="A45" s="6" t="n"/>
      <c r="B45" s="6">
        <f>IF(A45="","",VLOOKUP(A45,'F01 - _Données Expatriés'!$A$6:$L$15,2,FALSE))</f>
        <v/>
      </c>
      <c r="C45" s="6">
        <f>IF(A45="","",VLOOKUP(A45,'F01 - _Données Expatriés'!$A$6:$L$15,6,FALSE))</f>
        <v/>
      </c>
      <c r="D45" s="6" t="n"/>
      <c r="E45" s="6" t="n"/>
      <c r="F45" s="6" t="n"/>
      <c r="G45" s="6" t="n"/>
      <c r="H45" s="6">
        <f>IF(F45="","",F45+G45)</f>
        <v/>
      </c>
      <c r="I45" s="6" t="n"/>
      <c r="J45" s="6" t="n"/>
      <c r="K45" s="6" t="n"/>
    </row>
    <row r="46">
      <c r="A46" s="4" t="n"/>
      <c r="B46" s="4">
        <f>IF(A46="","",VLOOKUP(A46,'F01 - _Données Expatriés'!$A$6:$L$15,2,FALSE))</f>
        <v/>
      </c>
      <c r="C46" s="4">
        <f>IF(A46="","",VLOOKUP(A46,'F01 - _Données Expatriés'!$A$6:$L$15,6,FALSE))</f>
        <v/>
      </c>
      <c r="D46" s="4" t="n"/>
      <c r="E46" s="4" t="n"/>
      <c r="F46" s="4" t="n"/>
      <c r="G46" s="4" t="n"/>
      <c r="H46" s="4">
        <f>IF(F46="","",F46+G46)</f>
        <v/>
      </c>
      <c r="I46" s="4" t="n"/>
      <c r="J46" s="4" t="n"/>
      <c r="K46" s="4" t="n"/>
    </row>
    <row r="47">
      <c r="A47" s="6" t="n"/>
      <c r="B47" s="6">
        <f>IF(A47="","",VLOOKUP(A47,'F01 - _Données Expatriés'!$A$6:$L$15,2,FALSE))</f>
        <v/>
      </c>
      <c r="C47" s="6">
        <f>IF(A47="","",VLOOKUP(A47,'F01 - _Données Expatriés'!$A$6:$L$15,6,FALSE))</f>
        <v/>
      </c>
      <c r="D47" s="6" t="n"/>
      <c r="E47" s="6" t="n"/>
      <c r="F47" s="6" t="n"/>
      <c r="G47" s="6" t="n"/>
      <c r="H47" s="6">
        <f>IF(F47="","",F47+G47)</f>
        <v/>
      </c>
      <c r="I47" s="6" t="n"/>
      <c r="J47" s="6" t="n"/>
      <c r="K47" s="6" t="n"/>
    </row>
    <row r="48">
      <c r="A48" s="4" t="n"/>
      <c r="B48" s="4">
        <f>IF(A48="","",VLOOKUP(A48,'F01 - _Données Expatriés'!$A$6:$L$15,2,FALSE))</f>
        <v/>
      </c>
      <c r="C48" s="4">
        <f>IF(A48="","",VLOOKUP(A48,'F01 - _Données Expatriés'!$A$6:$L$15,6,FALSE))</f>
        <v/>
      </c>
      <c r="D48" s="4" t="n"/>
      <c r="E48" s="4" t="n"/>
      <c r="F48" s="4" t="n"/>
      <c r="G48" s="4" t="n"/>
      <c r="H48" s="4">
        <f>IF(F48="","",F48+G48)</f>
        <v/>
      </c>
      <c r="I48" s="4" t="n"/>
      <c r="J48" s="4" t="n"/>
      <c r="K48" s="4" t="n"/>
    </row>
    <row r="49">
      <c r="A49" s="6" t="n"/>
      <c r="B49" s="6">
        <f>IF(A49="","",VLOOKUP(A49,'F01 - _Données Expatriés'!$A$6:$L$15,2,FALSE))</f>
        <v/>
      </c>
      <c r="C49" s="6">
        <f>IF(A49="","",VLOOKUP(A49,'F01 - _Données Expatriés'!$A$6:$L$15,6,FALSE))</f>
        <v/>
      </c>
      <c r="D49" s="6" t="n"/>
      <c r="E49" s="6" t="n"/>
      <c r="F49" s="6" t="n"/>
      <c r="G49" s="6" t="n"/>
      <c r="H49" s="6">
        <f>IF(F49="","",F49+G49)</f>
        <v/>
      </c>
      <c r="I49" s="6" t="n"/>
      <c r="J49" s="6" t="n"/>
      <c r="K49" s="6" t="n"/>
    </row>
    <row r="50">
      <c r="A50" s="4" t="n"/>
      <c r="B50" s="4">
        <f>IF(A50="","",VLOOKUP(A50,'F01 - _Données Expatriés'!$A$6:$L$15,2,FALSE))</f>
        <v/>
      </c>
      <c r="C50" s="4">
        <f>IF(A50="","",VLOOKUP(A50,'F01 - _Données Expatriés'!$A$6:$L$15,6,FALSE))</f>
        <v/>
      </c>
      <c r="D50" s="4" t="n"/>
      <c r="E50" s="4" t="n"/>
      <c r="F50" s="4" t="n"/>
      <c r="G50" s="4" t="n"/>
      <c r="H50" s="4">
        <f>IF(F50="","",F50+G50)</f>
        <v/>
      </c>
      <c r="I50" s="4" t="n"/>
      <c r="J50" s="4" t="n"/>
      <c r="K50" s="4" t="n"/>
    </row>
    <row r="51">
      <c r="A51" s="6" t="n"/>
      <c r="B51" s="6">
        <f>IF(A51="","",VLOOKUP(A51,'F01 - _Données Expatriés'!$A$6:$L$15,2,FALSE))</f>
        <v/>
      </c>
      <c r="C51" s="6">
        <f>IF(A51="","",VLOOKUP(A51,'F01 - _Données Expatriés'!$A$6:$L$15,6,FALSE))</f>
        <v/>
      </c>
      <c r="D51" s="6" t="n"/>
      <c r="E51" s="6" t="n"/>
      <c r="F51" s="6" t="n"/>
      <c r="G51" s="6" t="n"/>
      <c r="H51" s="6">
        <f>IF(F51="","",F51+G51)</f>
        <v/>
      </c>
      <c r="I51" s="6" t="n"/>
      <c r="J51" s="6" t="n"/>
      <c r="K51" s="6" t="n"/>
    </row>
    <row r="52">
      <c r="A52" s="4" t="n"/>
      <c r="B52" s="4">
        <f>IF(A52="","",VLOOKUP(A52,'F01 - _Données Expatriés'!$A$6:$L$15,2,FALSE))</f>
        <v/>
      </c>
      <c r="C52" s="4">
        <f>IF(A52="","",VLOOKUP(A52,'F01 - _Données Expatriés'!$A$6:$L$15,6,FALSE))</f>
        <v/>
      </c>
      <c r="D52" s="4" t="n"/>
      <c r="E52" s="4" t="n"/>
      <c r="F52" s="4" t="n"/>
      <c r="G52" s="4" t="n"/>
      <c r="H52" s="4">
        <f>IF(F52="","",F52+G52)</f>
        <v/>
      </c>
      <c r="I52" s="4" t="n"/>
      <c r="J52" s="4" t="n"/>
      <c r="K52" s="4" t="n"/>
    </row>
    <row r="53">
      <c r="A53" s="6" t="n"/>
      <c r="B53" s="6">
        <f>IF(A53="","",VLOOKUP(A53,'F01 - _Données Expatriés'!$A$6:$L$15,2,FALSE))</f>
        <v/>
      </c>
      <c r="C53" s="6">
        <f>IF(A53="","",VLOOKUP(A53,'F01 - _Données Expatriés'!$A$6:$L$15,6,FALSE))</f>
        <v/>
      </c>
      <c r="D53" s="6" t="n"/>
      <c r="E53" s="6" t="n"/>
      <c r="F53" s="6" t="n"/>
      <c r="G53" s="6" t="n"/>
      <c r="H53" s="6">
        <f>IF(F53="","",F53+G53)</f>
        <v/>
      </c>
      <c r="I53" s="6" t="n"/>
      <c r="J53" s="6" t="n"/>
      <c r="K53" s="6" t="n"/>
    </row>
    <row r="54">
      <c r="A54" s="4" t="n"/>
      <c r="B54" s="4">
        <f>IF(A54="","",VLOOKUP(A54,'F01 - _Données Expatriés'!$A$6:$L$15,2,FALSE))</f>
        <v/>
      </c>
      <c r="C54" s="4">
        <f>IF(A54="","",VLOOKUP(A54,'F01 - _Données Expatriés'!$A$6:$L$15,6,FALSE))</f>
        <v/>
      </c>
      <c r="D54" s="4" t="n"/>
      <c r="E54" s="4" t="n"/>
      <c r="F54" s="4" t="n"/>
      <c r="G54" s="4" t="n"/>
      <c r="H54" s="4">
        <f>IF(F54="","",F54+G54)</f>
        <v/>
      </c>
      <c r="I54" s="4" t="n"/>
      <c r="J54" s="4" t="n"/>
      <c r="K54" s="4" t="n"/>
    </row>
    <row r="55">
      <c r="A55" s="6" t="n"/>
      <c r="B55" s="6">
        <f>IF(A55="","",VLOOKUP(A55,'F01 - _Données Expatriés'!$A$6:$L$15,2,FALSE))</f>
        <v/>
      </c>
      <c r="C55" s="6">
        <f>IF(A55="","",VLOOKUP(A55,'F01 - _Données Expatriés'!$A$6:$L$15,6,FALSE))</f>
        <v/>
      </c>
      <c r="D55" s="6" t="n"/>
      <c r="E55" s="6" t="n"/>
      <c r="F55" s="6" t="n"/>
      <c r="G55" s="6" t="n"/>
      <c r="H55" s="6">
        <f>IF(F55="","",F55+G55)</f>
        <v/>
      </c>
      <c r="I55" s="6" t="n"/>
      <c r="J55" s="6" t="n"/>
      <c r="K55" s="6" t="n"/>
    </row>
    <row r="56">
      <c r="A56" s="4" t="n"/>
      <c r="B56" s="4">
        <f>IF(A56="","",VLOOKUP(A56,'F01 - _Données Expatriés'!$A$6:$L$15,2,FALSE))</f>
        <v/>
      </c>
      <c r="C56" s="4">
        <f>IF(A56="","",VLOOKUP(A56,'F01 - _Données Expatriés'!$A$6:$L$15,6,FALSE))</f>
        <v/>
      </c>
      <c r="D56" s="4" t="n"/>
      <c r="E56" s="4" t="n"/>
      <c r="F56" s="4" t="n"/>
      <c r="G56" s="4" t="n"/>
      <c r="H56" s="4">
        <f>IF(F56="","",F56+G56)</f>
        <v/>
      </c>
      <c r="I56" s="4" t="n"/>
      <c r="J56" s="4" t="n"/>
      <c r="K56" s="4" t="n"/>
    </row>
    <row r="57">
      <c r="A57" s="6" t="n"/>
      <c r="B57" s="6">
        <f>IF(A57="","",VLOOKUP(A57,'F01 - _Données Expatriés'!$A$6:$L$15,2,FALSE))</f>
        <v/>
      </c>
      <c r="C57" s="6">
        <f>IF(A57="","",VLOOKUP(A57,'F01 - _Données Expatriés'!$A$6:$L$15,6,FALSE))</f>
        <v/>
      </c>
      <c r="D57" s="6" t="n"/>
      <c r="E57" s="6" t="n"/>
      <c r="F57" s="6" t="n"/>
      <c r="G57" s="6" t="n"/>
      <c r="H57" s="6">
        <f>IF(F57="","",F57+G57)</f>
        <v/>
      </c>
      <c r="I57" s="6" t="n"/>
      <c r="J57" s="6" t="n"/>
      <c r="K57" s="6" t="n"/>
    </row>
    <row r="58">
      <c r="A58" s="4" t="n"/>
      <c r="B58" s="4">
        <f>IF(A58="","",VLOOKUP(A58,'F01 - _Données Expatriés'!$A$6:$L$15,2,FALSE))</f>
        <v/>
      </c>
      <c r="C58" s="4">
        <f>IF(A58="","",VLOOKUP(A58,'F01 - _Données Expatriés'!$A$6:$L$15,6,FALSE))</f>
        <v/>
      </c>
      <c r="D58" s="4" t="n"/>
      <c r="E58" s="4" t="n"/>
      <c r="F58" s="4" t="n"/>
      <c r="G58" s="4" t="n"/>
      <c r="H58" s="4">
        <f>IF(F58="","",F58+G58)</f>
        <v/>
      </c>
      <c r="I58" s="4" t="n"/>
      <c r="J58" s="4" t="n"/>
      <c r="K58" s="4" t="n"/>
    </row>
    <row r="59">
      <c r="A59" s="6" t="n"/>
      <c r="B59" s="6">
        <f>IF(A59="","",VLOOKUP(A59,'F01 - _Données Expatriés'!$A$6:$L$15,2,FALSE))</f>
        <v/>
      </c>
      <c r="C59" s="6">
        <f>IF(A59="","",VLOOKUP(A59,'F01 - _Données Expatriés'!$A$6:$L$15,6,FALSE))</f>
        <v/>
      </c>
      <c r="D59" s="6" t="n"/>
      <c r="E59" s="6" t="n"/>
      <c r="F59" s="6" t="n"/>
      <c r="G59" s="6" t="n"/>
      <c r="H59" s="6">
        <f>IF(F59="","",F59+G59)</f>
        <v/>
      </c>
      <c r="I59" s="6" t="n"/>
      <c r="J59" s="6" t="n"/>
      <c r="K59" s="6" t="n"/>
    </row>
    <row r="60">
      <c r="A60" s="4" t="n"/>
      <c r="B60" s="4">
        <f>IF(A60="","",VLOOKUP(A60,'F01 - _Données Expatriés'!$A$6:$L$15,2,FALSE))</f>
        <v/>
      </c>
      <c r="C60" s="4">
        <f>IF(A60="","",VLOOKUP(A60,'F01 - _Données Expatriés'!$A$6:$L$15,6,FALSE))</f>
        <v/>
      </c>
      <c r="D60" s="4" t="n"/>
      <c r="E60" s="4" t="n"/>
      <c r="F60" s="4" t="n"/>
      <c r="G60" s="4" t="n"/>
      <c r="H60" s="4">
        <f>IF(F60="","",F60+G60)</f>
        <v/>
      </c>
      <c r="I60" s="4" t="n"/>
      <c r="J60" s="4" t="n"/>
      <c r="K60" s="4" t="n"/>
    </row>
    <row r="61">
      <c r="A61" s="6" t="n"/>
      <c r="B61" s="6">
        <f>IF(A61="","",VLOOKUP(A61,'F01 - _Données Expatriés'!$A$6:$L$15,2,FALSE))</f>
        <v/>
      </c>
      <c r="C61" s="6">
        <f>IF(A61="","",VLOOKUP(A61,'F01 - _Données Expatriés'!$A$6:$L$15,6,FALSE))</f>
        <v/>
      </c>
      <c r="D61" s="6" t="n"/>
      <c r="E61" s="6" t="n"/>
      <c r="F61" s="6" t="n"/>
      <c r="G61" s="6" t="n"/>
      <c r="H61" s="6">
        <f>IF(F61="","",F61+G61)</f>
        <v/>
      </c>
      <c r="I61" s="6" t="n"/>
      <c r="J61" s="6" t="n"/>
      <c r="K61" s="6" t="n"/>
    </row>
    <row r="62">
      <c r="A62" s="4" t="n"/>
      <c r="B62" s="4">
        <f>IF(A62="","",VLOOKUP(A62,'F01 - _Données Expatriés'!$A$6:$L$15,2,FALSE))</f>
        <v/>
      </c>
      <c r="C62" s="4">
        <f>IF(A62="","",VLOOKUP(A62,'F01 - _Données Expatriés'!$A$6:$L$15,6,FALSE))</f>
        <v/>
      </c>
      <c r="D62" s="4" t="n"/>
      <c r="E62" s="4" t="n"/>
      <c r="F62" s="4" t="n"/>
      <c r="G62" s="4" t="n"/>
      <c r="H62" s="4">
        <f>IF(F62="","",F62+G62)</f>
        <v/>
      </c>
      <c r="I62" s="4" t="n"/>
      <c r="J62" s="4" t="n"/>
      <c r="K62" s="4" t="n"/>
    </row>
    <row r="63">
      <c r="A63" s="6" t="n"/>
      <c r="B63" s="6">
        <f>IF(A63="","",VLOOKUP(A63,'F01 - _Données Expatriés'!$A$6:$L$15,2,FALSE))</f>
        <v/>
      </c>
      <c r="C63" s="6">
        <f>IF(A63="","",VLOOKUP(A63,'F01 - _Données Expatriés'!$A$6:$L$15,6,FALSE))</f>
        <v/>
      </c>
      <c r="D63" s="6" t="n"/>
      <c r="E63" s="6" t="n"/>
      <c r="F63" s="6" t="n"/>
      <c r="G63" s="6" t="n"/>
      <c r="H63" s="6">
        <f>IF(F63="","",F63+G63)</f>
        <v/>
      </c>
      <c r="I63" s="6" t="n"/>
      <c r="J63" s="6" t="n"/>
      <c r="K63" s="6" t="n"/>
    </row>
    <row r="64">
      <c r="A64" s="4" t="n"/>
      <c r="B64" s="4">
        <f>IF(A64="","",VLOOKUP(A64,'F01 - _Données Expatriés'!$A$6:$L$15,2,FALSE))</f>
        <v/>
      </c>
      <c r="C64" s="4">
        <f>IF(A64="","",VLOOKUP(A64,'F01 - _Données Expatriés'!$A$6:$L$15,6,FALSE))</f>
        <v/>
      </c>
      <c r="D64" s="4" t="n"/>
      <c r="E64" s="4" t="n"/>
      <c r="F64" s="4" t="n"/>
      <c r="G64" s="4" t="n"/>
      <c r="H64" s="4">
        <f>IF(F64="","",F64+G64)</f>
        <v/>
      </c>
      <c r="I64" s="4" t="n"/>
      <c r="J64" s="4" t="n"/>
      <c r="K64" s="4" t="n"/>
    </row>
    <row r="65">
      <c r="A65" s="6" t="n"/>
      <c r="B65" s="6">
        <f>IF(A65="","",VLOOKUP(A65,'F01 - _Données Expatriés'!$A$6:$L$15,2,FALSE))</f>
        <v/>
      </c>
      <c r="C65" s="6">
        <f>IF(A65="","",VLOOKUP(A65,'F01 - _Données Expatriés'!$A$6:$L$15,6,FALSE))</f>
        <v/>
      </c>
      <c r="D65" s="6" t="n"/>
      <c r="E65" s="6" t="n"/>
      <c r="F65" s="6" t="n"/>
      <c r="G65" s="6" t="n"/>
      <c r="H65" s="6">
        <f>IF(F65="","",F65+G65)</f>
        <v/>
      </c>
      <c r="I65" s="6" t="n"/>
      <c r="J65" s="6" t="n"/>
      <c r="K65" s="6" t="n"/>
    </row>
    <row r="66">
      <c r="A66" s="4" t="n"/>
      <c r="B66" s="4">
        <f>IF(A66="","",VLOOKUP(A66,'F01 - _Données Expatriés'!$A$6:$L$15,2,FALSE))</f>
        <v/>
      </c>
      <c r="C66" s="4">
        <f>IF(A66="","",VLOOKUP(A66,'F01 - _Données Expatriés'!$A$6:$L$15,6,FALSE))</f>
        <v/>
      </c>
      <c r="D66" s="4" t="n"/>
      <c r="E66" s="4" t="n"/>
      <c r="F66" s="4" t="n"/>
      <c r="G66" s="4" t="n"/>
      <c r="H66" s="4">
        <f>IF(F66="","",F66+G66)</f>
        <v/>
      </c>
      <c r="I66" s="4" t="n"/>
      <c r="J66" s="4" t="n"/>
      <c r="K66" s="4" t="n"/>
    </row>
    <row r="67">
      <c r="A67" s="6" t="n"/>
      <c r="B67" s="6">
        <f>IF(A67="","",VLOOKUP(A67,'F01 - _Données Expatriés'!$A$6:$L$15,2,FALSE))</f>
        <v/>
      </c>
      <c r="C67" s="6">
        <f>IF(A67="","",VLOOKUP(A67,'F01 - _Données Expatriés'!$A$6:$L$15,6,FALSE))</f>
        <v/>
      </c>
      <c r="D67" s="6" t="n"/>
      <c r="E67" s="6" t="n"/>
      <c r="F67" s="6" t="n"/>
      <c r="G67" s="6" t="n"/>
      <c r="H67" s="6">
        <f>IF(F67="","",F67+G67)</f>
        <v/>
      </c>
      <c r="I67" s="6" t="n"/>
      <c r="J67" s="6" t="n"/>
      <c r="K67" s="6" t="n"/>
    </row>
    <row r="68">
      <c r="A68" s="4" t="n"/>
      <c r="B68" s="4">
        <f>IF(A68="","",VLOOKUP(A68,'F01 - _Données Expatriés'!$A$6:$L$15,2,FALSE))</f>
        <v/>
      </c>
      <c r="C68" s="4">
        <f>IF(A68="","",VLOOKUP(A68,'F01 - _Données Expatriés'!$A$6:$L$15,6,FALSE))</f>
        <v/>
      </c>
      <c r="D68" s="4" t="n"/>
      <c r="E68" s="4" t="n"/>
      <c r="F68" s="4" t="n"/>
      <c r="G68" s="4" t="n"/>
      <c r="H68" s="4">
        <f>IF(F68="","",F68+G68)</f>
        <v/>
      </c>
      <c r="I68" s="4" t="n"/>
      <c r="J68" s="4" t="n"/>
      <c r="K68" s="4" t="n"/>
    </row>
    <row r="69">
      <c r="A69" s="6" t="n"/>
      <c r="B69" s="6">
        <f>IF(A69="","",VLOOKUP(A69,'F01 - _Données Expatriés'!$A$6:$L$15,2,FALSE))</f>
        <v/>
      </c>
      <c r="C69" s="6">
        <f>IF(A69="","",VLOOKUP(A69,'F01 - _Données Expatriés'!$A$6:$L$15,6,FALSE))</f>
        <v/>
      </c>
      <c r="D69" s="6" t="n"/>
      <c r="E69" s="6" t="n"/>
      <c r="F69" s="6" t="n"/>
      <c r="G69" s="6" t="n"/>
      <c r="H69" s="6">
        <f>IF(F69="","",F69+G69)</f>
        <v/>
      </c>
      <c r="I69" s="6" t="n"/>
      <c r="J69" s="6" t="n"/>
      <c r="K69" s="6" t="n"/>
    </row>
    <row r="70">
      <c r="A70" s="4" t="n"/>
      <c r="B70" s="4">
        <f>IF(A70="","",VLOOKUP(A70,'F01 - _Données Expatriés'!$A$6:$L$15,2,FALSE))</f>
        <v/>
      </c>
      <c r="C70" s="4">
        <f>IF(A70="","",VLOOKUP(A70,'F01 - _Données Expatriés'!$A$6:$L$15,6,FALSE))</f>
        <v/>
      </c>
      <c r="D70" s="4" t="n"/>
      <c r="E70" s="4" t="n"/>
      <c r="F70" s="4" t="n"/>
      <c r="G70" s="4" t="n"/>
      <c r="H70" s="4">
        <f>IF(F70="","",F70+G70)</f>
        <v/>
      </c>
      <c r="I70" s="4" t="n"/>
      <c r="J70" s="4" t="n"/>
      <c r="K70" s="4" t="n"/>
    </row>
    <row r="71">
      <c r="A71" s="6" t="n"/>
      <c r="B71" s="6">
        <f>IF(A71="","",VLOOKUP(A71,'F01 - _Données Expatriés'!$A$6:$L$15,2,FALSE))</f>
        <v/>
      </c>
      <c r="C71" s="6">
        <f>IF(A71="","",VLOOKUP(A71,'F01 - _Données Expatriés'!$A$6:$L$15,6,FALSE))</f>
        <v/>
      </c>
      <c r="D71" s="6" t="n"/>
      <c r="E71" s="6" t="n"/>
      <c r="F71" s="6" t="n"/>
      <c r="G71" s="6" t="n"/>
      <c r="H71" s="6">
        <f>IF(F71="","",F71+G71)</f>
        <v/>
      </c>
      <c r="I71" s="6" t="n"/>
      <c r="J71" s="6" t="n"/>
      <c r="K71" s="6" t="n"/>
    </row>
    <row r="72">
      <c r="A72" s="4" t="n"/>
      <c r="B72" s="4">
        <f>IF(A72="","",VLOOKUP(A72,'F01 - _Données Expatriés'!$A$6:$L$15,2,FALSE))</f>
        <v/>
      </c>
      <c r="C72" s="4">
        <f>IF(A72="","",VLOOKUP(A72,'F01 - _Données Expatriés'!$A$6:$L$15,6,FALSE))</f>
        <v/>
      </c>
      <c r="D72" s="4" t="n"/>
      <c r="E72" s="4" t="n"/>
      <c r="F72" s="4" t="n"/>
      <c r="G72" s="4" t="n"/>
      <c r="H72" s="4">
        <f>IF(F72="","",F72+G72)</f>
        <v/>
      </c>
      <c r="I72" s="4" t="n"/>
      <c r="J72" s="4" t="n"/>
      <c r="K72" s="4" t="n"/>
    </row>
    <row r="73">
      <c r="A73" s="6" t="n"/>
      <c r="B73" s="6">
        <f>IF(A73="","",VLOOKUP(A73,'F01 - _Données Expatriés'!$A$6:$L$15,2,FALSE))</f>
        <v/>
      </c>
      <c r="C73" s="6">
        <f>IF(A73="","",VLOOKUP(A73,'F01 - _Données Expatriés'!$A$6:$L$15,6,FALSE))</f>
        <v/>
      </c>
      <c r="D73" s="6" t="n"/>
      <c r="E73" s="6" t="n"/>
      <c r="F73" s="6" t="n"/>
      <c r="G73" s="6" t="n"/>
      <c r="H73" s="6">
        <f>IF(F73="","",F73+G73)</f>
        <v/>
      </c>
      <c r="I73" s="6" t="n"/>
      <c r="J73" s="6" t="n"/>
      <c r="K73" s="6" t="n"/>
    </row>
    <row r="74">
      <c r="A74" s="4" t="n"/>
      <c r="B74" s="4">
        <f>IF(A74="","",VLOOKUP(A74,'F01 - _Données Expatriés'!$A$6:$L$15,2,FALSE))</f>
        <v/>
      </c>
      <c r="C74" s="4">
        <f>IF(A74="","",VLOOKUP(A74,'F01 - _Données Expatriés'!$A$6:$L$15,6,FALSE))</f>
        <v/>
      </c>
      <c r="D74" s="4" t="n"/>
      <c r="E74" s="4" t="n"/>
      <c r="F74" s="4" t="n"/>
      <c r="G74" s="4" t="n"/>
      <c r="H74" s="4">
        <f>IF(F74="","",F74+G74)</f>
        <v/>
      </c>
      <c r="I74" s="4" t="n"/>
      <c r="J74" s="4" t="n"/>
      <c r="K74" s="4" t="n"/>
    </row>
    <row r="75">
      <c r="A75" s="6" t="n"/>
      <c r="B75" s="6">
        <f>IF(A75="","",VLOOKUP(A75,'F01 - _Données Expatriés'!$A$6:$L$15,2,FALSE))</f>
        <v/>
      </c>
      <c r="C75" s="6">
        <f>IF(A75="","",VLOOKUP(A75,'F01 - _Données Expatriés'!$A$6:$L$15,6,FALSE))</f>
        <v/>
      </c>
      <c r="D75" s="6" t="n"/>
      <c r="E75" s="6" t="n"/>
      <c r="F75" s="6" t="n"/>
      <c r="G75" s="6" t="n"/>
      <c r="H75" s="6">
        <f>IF(F75="","",F75+G75)</f>
        <v/>
      </c>
      <c r="I75" s="6" t="n"/>
      <c r="J75" s="6" t="n"/>
      <c r="K75" s="6" t="n"/>
    </row>
    <row r="76">
      <c r="A76" s="4" t="n"/>
      <c r="B76" s="4">
        <f>IF(A76="","",VLOOKUP(A76,'F01 - _Données Expatriés'!$A$6:$L$15,2,FALSE))</f>
        <v/>
      </c>
      <c r="C76" s="4">
        <f>IF(A76="","",VLOOKUP(A76,'F01 - _Données Expatriés'!$A$6:$L$15,6,FALSE))</f>
        <v/>
      </c>
      <c r="D76" s="4" t="n"/>
      <c r="E76" s="4" t="n"/>
      <c r="F76" s="4" t="n"/>
      <c r="G76" s="4" t="n"/>
      <c r="H76" s="4">
        <f>IF(F76="","",F76+G76)</f>
        <v/>
      </c>
      <c r="I76" s="4" t="n"/>
      <c r="J76" s="4" t="n"/>
      <c r="K76" s="4" t="n"/>
    </row>
    <row r="77">
      <c r="A77" s="6" t="n"/>
      <c r="B77" s="6">
        <f>IF(A77="","",VLOOKUP(A77,'F01 - _Données Expatriés'!$A$6:$L$15,2,FALSE))</f>
        <v/>
      </c>
      <c r="C77" s="6">
        <f>IF(A77="","",VLOOKUP(A77,'F01 - _Données Expatriés'!$A$6:$L$15,6,FALSE))</f>
        <v/>
      </c>
      <c r="D77" s="6" t="n"/>
      <c r="E77" s="6" t="n"/>
      <c r="F77" s="6" t="n"/>
      <c r="G77" s="6" t="n"/>
      <c r="H77" s="6">
        <f>IF(F77="","",F77+G77)</f>
        <v/>
      </c>
      <c r="I77" s="6" t="n"/>
      <c r="J77" s="6" t="n"/>
      <c r="K77" s="6" t="n"/>
    </row>
    <row r="78">
      <c r="A78" s="4" t="n"/>
      <c r="B78" s="4">
        <f>IF(A78="","",VLOOKUP(A78,'F01 - _Données Expatriés'!$A$6:$L$15,2,FALSE))</f>
        <v/>
      </c>
      <c r="C78" s="4">
        <f>IF(A78="","",VLOOKUP(A78,'F01 - _Données Expatriés'!$A$6:$L$15,6,FALSE))</f>
        <v/>
      </c>
      <c r="D78" s="4" t="n"/>
      <c r="E78" s="4" t="n"/>
      <c r="F78" s="4" t="n"/>
      <c r="G78" s="4" t="n"/>
      <c r="H78" s="4">
        <f>IF(F78="","",F78+G78)</f>
        <v/>
      </c>
      <c r="I78" s="4" t="n"/>
      <c r="J78" s="4" t="n"/>
      <c r="K78" s="4" t="n"/>
    </row>
    <row r="79">
      <c r="A79" s="6" t="n"/>
      <c r="B79" s="6">
        <f>IF(A79="","",VLOOKUP(A79,'F01 - _Données Expatriés'!$A$6:$L$15,2,FALSE))</f>
        <v/>
      </c>
      <c r="C79" s="6">
        <f>IF(A79="","",VLOOKUP(A79,'F01 - _Données Expatriés'!$A$6:$L$15,6,FALSE))</f>
        <v/>
      </c>
      <c r="D79" s="6" t="n"/>
      <c r="E79" s="6" t="n"/>
      <c r="F79" s="6" t="n"/>
      <c r="G79" s="6" t="n"/>
      <c r="H79" s="6">
        <f>IF(F79="","",F79+G79)</f>
        <v/>
      </c>
      <c r="I79" s="6" t="n"/>
      <c r="J79" s="6" t="n"/>
      <c r="K79" s="6" t="n"/>
    </row>
    <row r="80">
      <c r="A80" s="4" t="n"/>
      <c r="B80" s="4">
        <f>IF(A80="","",VLOOKUP(A80,'F01 - _Données Expatriés'!$A$6:$L$15,2,FALSE))</f>
        <v/>
      </c>
      <c r="C80" s="4">
        <f>IF(A80="","",VLOOKUP(A80,'F01 - _Données Expatriés'!$A$6:$L$15,6,FALSE))</f>
        <v/>
      </c>
      <c r="D80" s="4" t="n"/>
      <c r="E80" s="4" t="n"/>
      <c r="F80" s="4" t="n"/>
      <c r="G80" s="4" t="n"/>
      <c r="H80" s="4">
        <f>IF(F80="","",F80+G80)</f>
        <v/>
      </c>
      <c r="I80" s="4" t="n"/>
      <c r="J80" s="4" t="n"/>
      <c r="K80" s="4" t="n"/>
    </row>
    <row r="81">
      <c r="A81" s="6" t="n"/>
      <c r="B81" s="6">
        <f>IF(A81="","",VLOOKUP(A81,'F01 - _Données Expatriés'!$A$6:$L$15,2,FALSE))</f>
        <v/>
      </c>
      <c r="C81" s="6">
        <f>IF(A81="","",VLOOKUP(A81,'F01 - _Données Expatriés'!$A$6:$L$15,6,FALSE))</f>
        <v/>
      </c>
      <c r="D81" s="6" t="n"/>
      <c r="E81" s="6" t="n"/>
      <c r="F81" s="6" t="n"/>
      <c r="G81" s="6" t="n"/>
      <c r="H81" s="6">
        <f>IF(F81="","",F81+G81)</f>
        <v/>
      </c>
      <c r="I81" s="6" t="n"/>
      <c r="J81" s="6" t="n"/>
      <c r="K81" s="6" t="n"/>
    </row>
    <row r="82">
      <c r="A82" s="4" t="n"/>
      <c r="B82" s="4">
        <f>IF(A82="","",VLOOKUP(A82,'F01 - _Données Expatriés'!$A$6:$L$15,2,FALSE))</f>
        <v/>
      </c>
      <c r="C82" s="4">
        <f>IF(A82="","",VLOOKUP(A82,'F01 - _Données Expatriés'!$A$6:$L$15,6,FALSE))</f>
        <v/>
      </c>
      <c r="D82" s="4" t="n"/>
      <c r="E82" s="4" t="n"/>
      <c r="F82" s="4" t="n"/>
      <c r="G82" s="4" t="n"/>
      <c r="H82" s="4">
        <f>IF(F82="","",F82+G82)</f>
        <v/>
      </c>
      <c r="I82" s="4" t="n"/>
      <c r="J82" s="4" t="n"/>
      <c r="K82" s="4" t="n"/>
    </row>
    <row r="83">
      <c r="A83" s="6" t="n"/>
      <c r="B83" s="6">
        <f>IF(A83="","",VLOOKUP(A83,'F01 - _Données Expatriés'!$A$6:$L$15,2,FALSE))</f>
        <v/>
      </c>
      <c r="C83" s="6">
        <f>IF(A83="","",VLOOKUP(A83,'F01 - _Données Expatriés'!$A$6:$L$15,6,FALSE))</f>
        <v/>
      </c>
      <c r="D83" s="6" t="n"/>
      <c r="E83" s="6" t="n"/>
      <c r="F83" s="6" t="n"/>
      <c r="G83" s="6" t="n"/>
      <c r="H83" s="6">
        <f>IF(F83="","",F83+G83)</f>
        <v/>
      </c>
      <c r="I83" s="6" t="n"/>
      <c r="J83" s="6" t="n"/>
      <c r="K83" s="6" t="n"/>
    </row>
    <row r="84">
      <c r="A84" s="4" t="n"/>
      <c r="B84" s="4">
        <f>IF(A84="","",VLOOKUP(A84,'F01 - _Données Expatriés'!$A$6:$L$15,2,FALSE))</f>
        <v/>
      </c>
      <c r="C84" s="4">
        <f>IF(A84="","",VLOOKUP(A84,'F01 - _Données Expatriés'!$A$6:$L$15,6,FALSE))</f>
        <v/>
      </c>
      <c r="D84" s="4" t="n"/>
      <c r="E84" s="4" t="n"/>
      <c r="F84" s="4" t="n"/>
      <c r="G84" s="4" t="n"/>
      <c r="H84" s="4">
        <f>IF(F84="","",F84+G84)</f>
        <v/>
      </c>
      <c r="I84" s="4" t="n"/>
      <c r="J84" s="4" t="n"/>
      <c r="K84" s="4" t="n"/>
    </row>
    <row r="85">
      <c r="A85" s="6" t="n"/>
      <c r="B85" s="6">
        <f>IF(A85="","",VLOOKUP(A85,'F01 - _Données Expatriés'!$A$6:$L$15,2,FALSE))</f>
        <v/>
      </c>
      <c r="C85" s="6">
        <f>IF(A85="","",VLOOKUP(A85,'F01 - _Données Expatriés'!$A$6:$L$15,6,FALSE))</f>
        <v/>
      </c>
      <c r="D85" s="6" t="n"/>
      <c r="E85" s="6" t="n"/>
      <c r="F85" s="6" t="n"/>
      <c r="G85" s="6" t="n"/>
      <c r="H85" s="6">
        <f>IF(F85="","",F85+G85)</f>
        <v/>
      </c>
      <c r="I85" s="6" t="n"/>
      <c r="J85" s="6" t="n"/>
      <c r="K85" s="6" t="n"/>
    </row>
    <row r="86">
      <c r="A86" s="4" t="n"/>
      <c r="B86" s="4">
        <f>IF(A86="","",VLOOKUP(A86,'F01 - _Données Expatriés'!$A$6:$L$15,2,FALSE))</f>
        <v/>
      </c>
      <c r="C86" s="4">
        <f>IF(A86="","",VLOOKUP(A86,'F01 - _Données Expatriés'!$A$6:$L$15,6,FALSE))</f>
        <v/>
      </c>
      <c r="D86" s="4" t="n"/>
      <c r="E86" s="4" t="n"/>
      <c r="F86" s="4" t="n"/>
      <c r="G86" s="4" t="n"/>
      <c r="H86" s="4">
        <f>IF(F86="","",F86+G86)</f>
        <v/>
      </c>
      <c r="I86" s="4" t="n"/>
      <c r="J86" s="4" t="n"/>
      <c r="K86" s="4" t="n"/>
    </row>
    <row r="87">
      <c r="A87" s="6" t="n"/>
      <c r="B87" s="6">
        <f>IF(A87="","",VLOOKUP(A87,'F01 - _Données Expatriés'!$A$6:$L$15,2,FALSE))</f>
        <v/>
      </c>
      <c r="C87" s="6">
        <f>IF(A87="","",VLOOKUP(A87,'F01 - _Données Expatriés'!$A$6:$L$15,6,FALSE))</f>
        <v/>
      </c>
      <c r="D87" s="6" t="n"/>
      <c r="E87" s="6" t="n"/>
      <c r="F87" s="6" t="n"/>
      <c r="G87" s="6" t="n"/>
      <c r="H87" s="6">
        <f>IF(F87="","",F87+G87)</f>
        <v/>
      </c>
      <c r="I87" s="6" t="n"/>
      <c r="J87" s="6" t="n"/>
      <c r="K87" s="6" t="n"/>
    </row>
    <row r="88">
      <c r="A88" s="4" t="n"/>
      <c r="B88" s="4">
        <f>IF(A88="","",VLOOKUP(A88,'F01 - _Données Expatriés'!$A$6:$L$15,2,FALSE))</f>
        <v/>
      </c>
      <c r="C88" s="4">
        <f>IF(A88="","",VLOOKUP(A88,'F01 - _Données Expatriés'!$A$6:$L$15,6,FALSE))</f>
        <v/>
      </c>
      <c r="D88" s="4" t="n"/>
      <c r="E88" s="4" t="n"/>
      <c r="F88" s="4" t="n"/>
      <c r="G88" s="4" t="n"/>
      <c r="H88" s="4">
        <f>IF(F88="","",F88+G88)</f>
        <v/>
      </c>
      <c r="I88" s="4" t="n"/>
      <c r="J88" s="4" t="n"/>
      <c r="K88" s="4" t="n"/>
    </row>
    <row r="89">
      <c r="A89" s="6" t="n"/>
      <c r="B89" s="6">
        <f>IF(A89="","",VLOOKUP(A89,'F01 - _Données Expatriés'!$A$6:$L$15,2,FALSE))</f>
        <v/>
      </c>
      <c r="C89" s="6">
        <f>IF(A89="","",VLOOKUP(A89,'F01 - _Données Expatriés'!$A$6:$L$15,6,FALSE))</f>
        <v/>
      </c>
      <c r="D89" s="6" t="n"/>
      <c r="E89" s="6" t="n"/>
      <c r="F89" s="6" t="n"/>
      <c r="G89" s="6" t="n"/>
      <c r="H89" s="6">
        <f>IF(F89="","",F89+G89)</f>
        <v/>
      </c>
      <c r="I89" s="6" t="n"/>
      <c r="J89" s="6" t="n"/>
      <c r="K89" s="6" t="n"/>
    </row>
    <row r="90">
      <c r="A90" s="4" t="n"/>
      <c r="B90" s="4">
        <f>IF(A90="","",VLOOKUP(A90,'F01 - _Données Expatriés'!$A$6:$L$15,2,FALSE))</f>
        <v/>
      </c>
      <c r="C90" s="4">
        <f>IF(A90="","",VLOOKUP(A90,'F01 - _Données Expatriés'!$A$6:$L$15,6,FALSE))</f>
        <v/>
      </c>
      <c r="D90" s="4" t="n"/>
      <c r="E90" s="4" t="n"/>
      <c r="F90" s="4" t="n"/>
      <c r="G90" s="4" t="n"/>
      <c r="H90" s="4">
        <f>IF(F90="","",F90+G90)</f>
        <v/>
      </c>
      <c r="I90" s="4" t="n"/>
      <c r="J90" s="4" t="n"/>
      <c r="K90" s="4" t="n"/>
    </row>
    <row r="91">
      <c r="A91" s="6" t="n"/>
      <c r="B91" s="6">
        <f>IF(A91="","",VLOOKUP(A91,'F01 - _Données Expatriés'!$A$6:$L$15,2,FALSE))</f>
        <v/>
      </c>
      <c r="C91" s="6">
        <f>IF(A91="","",VLOOKUP(A91,'F01 - _Données Expatriés'!$A$6:$L$15,6,FALSE))</f>
        <v/>
      </c>
      <c r="D91" s="6" t="n"/>
      <c r="E91" s="6" t="n"/>
      <c r="F91" s="6" t="n"/>
      <c r="G91" s="6" t="n"/>
      <c r="H91" s="6">
        <f>IF(F91="","",F91+G91)</f>
        <v/>
      </c>
      <c r="I91" s="6" t="n"/>
      <c r="J91" s="6" t="n"/>
      <c r="K91" s="6" t="n"/>
    </row>
    <row r="92">
      <c r="A92" s="4" t="n"/>
      <c r="B92" s="4">
        <f>IF(A92="","",VLOOKUP(A92,'F01 - _Données Expatriés'!$A$6:$L$15,2,FALSE))</f>
        <v/>
      </c>
      <c r="C92" s="4">
        <f>IF(A92="","",VLOOKUP(A92,'F01 - _Données Expatriés'!$A$6:$L$15,6,FALSE))</f>
        <v/>
      </c>
      <c r="D92" s="4" t="n"/>
      <c r="E92" s="4" t="n"/>
      <c r="F92" s="4" t="n"/>
      <c r="G92" s="4" t="n"/>
      <c r="H92" s="4">
        <f>IF(F92="","",F92+G92)</f>
        <v/>
      </c>
      <c r="I92" s="4" t="n"/>
      <c r="J92" s="4" t="n"/>
      <c r="K92" s="4" t="n"/>
    </row>
    <row r="93">
      <c r="A93" s="6" t="n"/>
      <c r="B93" s="6">
        <f>IF(A93="","",VLOOKUP(A93,'F01 - _Données Expatriés'!$A$6:$L$15,2,FALSE))</f>
        <v/>
      </c>
      <c r="C93" s="6">
        <f>IF(A93="","",VLOOKUP(A93,'F01 - _Données Expatriés'!$A$6:$L$15,6,FALSE))</f>
        <v/>
      </c>
      <c r="D93" s="6" t="n"/>
      <c r="E93" s="6" t="n"/>
      <c r="F93" s="6" t="n"/>
      <c r="G93" s="6" t="n"/>
      <c r="H93" s="6">
        <f>IF(F93="","",F93+G93)</f>
        <v/>
      </c>
      <c r="I93" s="6" t="n"/>
      <c r="J93" s="6" t="n"/>
      <c r="K93" s="6" t="n"/>
    </row>
    <row r="94">
      <c r="A94" s="4" t="n"/>
      <c r="B94" s="4">
        <f>IF(A94="","",VLOOKUP(A94,'F01 - _Données Expatriés'!$A$6:$L$15,2,FALSE))</f>
        <v/>
      </c>
      <c r="C94" s="4">
        <f>IF(A94="","",VLOOKUP(A94,'F01 - _Données Expatriés'!$A$6:$L$15,6,FALSE))</f>
        <v/>
      </c>
      <c r="D94" s="4" t="n"/>
      <c r="E94" s="4" t="n"/>
      <c r="F94" s="4" t="n"/>
      <c r="G94" s="4" t="n"/>
      <c r="H94" s="4">
        <f>IF(F94="","",F94+G94)</f>
        <v/>
      </c>
      <c r="I94" s="4" t="n"/>
      <c r="J94" s="4" t="n"/>
      <c r="K94" s="4" t="n"/>
    </row>
    <row r="95">
      <c r="A95" s="6" t="n"/>
      <c r="B95" s="6">
        <f>IF(A95="","",VLOOKUP(A95,'F01 - _Données Expatriés'!$A$6:$L$15,2,FALSE))</f>
        <v/>
      </c>
      <c r="C95" s="6">
        <f>IF(A95="","",VLOOKUP(A95,'F01 - _Données Expatriés'!$A$6:$L$15,6,FALSE))</f>
        <v/>
      </c>
      <c r="D95" s="6" t="n"/>
      <c r="E95" s="6" t="n"/>
      <c r="F95" s="6" t="n"/>
      <c r="G95" s="6" t="n"/>
      <c r="H95" s="6">
        <f>IF(F95="","",F95+G95)</f>
        <v/>
      </c>
      <c r="I95" s="6" t="n"/>
      <c r="J95" s="6" t="n"/>
      <c r="K95" s="6" t="n"/>
    </row>
    <row r="96">
      <c r="A96" s="4" t="n"/>
      <c r="B96" s="4">
        <f>IF(A96="","",VLOOKUP(A96,'F01 - _Données Expatriés'!$A$6:$L$15,2,FALSE))</f>
        <v/>
      </c>
      <c r="C96" s="4">
        <f>IF(A96="","",VLOOKUP(A96,'F01 - _Données Expatriés'!$A$6:$L$15,6,FALSE))</f>
        <v/>
      </c>
      <c r="D96" s="4" t="n"/>
      <c r="E96" s="4" t="n"/>
      <c r="F96" s="4" t="n"/>
      <c r="G96" s="4" t="n"/>
      <c r="H96" s="4">
        <f>IF(F96="","",F96+G96)</f>
        <v/>
      </c>
      <c r="I96" s="4" t="n"/>
      <c r="J96" s="4" t="n"/>
      <c r="K96" s="4" t="n"/>
    </row>
    <row r="97">
      <c r="A97" s="6" t="n"/>
      <c r="B97" s="6">
        <f>IF(A97="","",VLOOKUP(A97,'F01 - _Données Expatriés'!$A$6:$L$15,2,FALSE))</f>
        <v/>
      </c>
      <c r="C97" s="6">
        <f>IF(A97="","",VLOOKUP(A97,'F01 - _Données Expatriés'!$A$6:$L$15,6,FALSE))</f>
        <v/>
      </c>
      <c r="D97" s="6" t="n"/>
      <c r="E97" s="6" t="n"/>
      <c r="F97" s="6" t="n"/>
      <c r="G97" s="6" t="n"/>
      <c r="H97" s="6">
        <f>IF(F97="","",F97+G97)</f>
        <v/>
      </c>
      <c r="I97" s="6" t="n"/>
      <c r="J97" s="6" t="n"/>
      <c r="K97" s="6" t="n"/>
    </row>
    <row r="98">
      <c r="A98" s="4" t="n"/>
      <c r="B98" s="4">
        <f>IF(A98="","",VLOOKUP(A98,'F01 - _Données Expatriés'!$A$6:$L$15,2,FALSE))</f>
        <v/>
      </c>
      <c r="C98" s="4">
        <f>IF(A98="","",VLOOKUP(A98,'F01 - _Données Expatriés'!$A$6:$L$15,6,FALSE))</f>
        <v/>
      </c>
      <c r="D98" s="4" t="n"/>
      <c r="E98" s="4" t="n"/>
      <c r="F98" s="4" t="n"/>
      <c r="G98" s="4" t="n"/>
      <c r="H98" s="4">
        <f>IF(F98="","",F98+G98)</f>
        <v/>
      </c>
      <c r="I98" s="4" t="n"/>
      <c r="J98" s="4" t="n"/>
      <c r="K98" s="4" t="n"/>
    </row>
    <row r="99">
      <c r="A99" s="6" t="n"/>
      <c r="B99" s="6">
        <f>IF(A99="","",VLOOKUP(A99,'F01 - _Données Expatriés'!$A$6:$L$15,2,FALSE))</f>
        <v/>
      </c>
      <c r="C99" s="6">
        <f>IF(A99="","",VLOOKUP(A99,'F01 - _Données Expatriés'!$A$6:$L$15,6,FALSE))</f>
        <v/>
      </c>
      <c r="D99" s="6" t="n"/>
      <c r="E99" s="6" t="n"/>
      <c r="F99" s="6" t="n"/>
      <c r="G99" s="6" t="n"/>
      <c r="H99" s="6">
        <f>IF(F99="","",F99+G99)</f>
        <v/>
      </c>
      <c r="I99" s="6" t="n"/>
      <c r="J99" s="6" t="n"/>
      <c r="K99" s="6" t="n"/>
    </row>
    <row r="100">
      <c r="A100" s="4" t="n"/>
      <c r="B100" s="4">
        <f>IF(A100="","",VLOOKUP(A100,'F01 - _Données Expatriés'!$A$6:$L$15,2,FALSE))</f>
        <v/>
      </c>
      <c r="C100" s="4">
        <f>IF(A100="","",VLOOKUP(A100,'F01 - _Données Expatriés'!$A$6:$L$15,6,FALSE))</f>
        <v/>
      </c>
      <c r="D100" s="4" t="n"/>
      <c r="E100" s="4" t="n"/>
      <c r="F100" s="4" t="n"/>
      <c r="G100" s="4" t="n"/>
      <c r="H100" s="4">
        <f>IF(F100="","",F100+G100)</f>
        <v/>
      </c>
      <c r="I100" s="4" t="n"/>
      <c r="J100" s="4" t="n"/>
      <c r="K100" s="4" t="n"/>
    </row>
    <row r="101">
      <c r="A101" s="6" t="n"/>
      <c r="B101" s="6">
        <f>IF(A101="","",VLOOKUP(A101,'F01 - _Données Expatriés'!$A$6:$L$15,2,FALSE))</f>
        <v/>
      </c>
      <c r="C101" s="6">
        <f>IF(A101="","",VLOOKUP(A101,'F01 - _Données Expatriés'!$A$6:$L$15,6,FALSE))</f>
        <v/>
      </c>
      <c r="D101" s="6" t="n"/>
      <c r="E101" s="6" t="n"/>
      <c r="F101" s="6" t="n"/>
      <c r="G101" s="6" t="n"/>
      <c r="H101" s="6">
        <f>IF(F101="","",F101+G101)</f>
        <v/>
      </c>
      <c r="I101" s="6" t="n"/>
      <c r="J101" s="6" t="n"/>
      <c r="K101" s="6" t="n"/>
    </row>
    <row r="102">
      <c r="A102" s="4" t="n"/>
      <c r="B102" s="4">
        <f>IF(A102="","",VLOOKUP(A102,'F01 - _Données Expatriés'!$A$6:$L$15,2,FALSE))</f>
        <v/>
      </c>
      <c r="C102" s="4">
        <f>IF(A102="","",VLOOKUP(A102,'F01 - _Données Expatriés'!$A$6:$L$15,6,FALSE))</f>
        <v/>
      </c>
      <c r="D102" s="4" t="n"/>
      <c r="E102" s="4" t="n"/>
      <c r="F102" s="4" t="n"/>
      <c r="G102" s="4" t="n"/>
      <c r="H102" s="4">
        <f>IF(F102="","",F102+G102)</f>
        <v/>
      </c>
      <c r="I102" s="4" t="n"/>
      <c r="J102" s="4" t="n"/>
      <c r="K102" s="4" t="n"/>
    </row>
    <row r="103">
      <c r="A103" s="6" t="n"/>
      <c r="B103" s="6">
        <f>IF(A103="","",VLOOKUP(A103,'F01 - _Données Expatriés'!$A$6:$L$15,2,FALSE))</f>
        <v/>
      </c>
      <c r="C103" s="6">
        <f>IF(A103="","",VLOOKUP(A103,'F01 - _Données Expatriés'!$A$6:$L$15,6,FALSE))</f>
        <v/>
      </c>
      <c r="D103" s="6" t="n"/>
      <c r="E103" s="6" t="n"/>
      <c r="F103" s="6" t="n"/>
      <c r="G103" s="6" t="n"/>
      <c r="H103" s="6">
        <f>IF(F103="","",F103+G103)</f>
        <v/>
      </c>
      <c r="I103" s="6" t="n"/>
      <c r="J103" s="6" t="n"/>
      <c r="K103" s="6" t="n"/>
    </row>
    <row r="104">
      <c r="A104" s="4" t="n"/>
      <c r="B104" s="4">
        <f>IF(A104="","",VLOOKUP(A104,'F01 - _Données Expatriés'!$A$6:$L$15,2,FALSE))</f>
        <v/>
      </c>
      <c r="C104" s="4">
        <f>IF(A104="","",VLOOKUP(A104,'F01 - _Données Expatriés'!$A$6:$L$15,6,FALSE))</f>
        <v/>
      </c>
      <c r="D104" s="4" t="n"/>
      <c r="E104" s="4" t="n"/>
      <c r="F104" s="4" t="n"/>
      <c r="G104" s="4" t="n"/>
      <c r="H104" s="4">
        <f>IF(F104="","",F104+G104)</f>
        <v/>
      </c>
      <c r="I104" s="4" t="n"/>
      <c r="J104" s="4" t="n"/>
      <c r="K104" s="4" t="n"/>
    </row>
    <row r="105">
      <c r="A105" s="6" t="n"/>
      <c r="B105" s="6">
        <f>IF(A105="","",VLOOKUP(A105,'F01 - _Données Expatriés'!$A$6:$L$15,2,FALSE))</f>
        <v/>
      </c>
      <c r="C105" s="6">
        <f>IF(A105="","",VLOOKUP(A105,'F01 - _Données Expatriés'!$A$6:$L$15,6,FALSE))</f>
        <v/>
      </c>
      <c r="D105" s="6" t="n"/>
      <c r="E105" s="6" t="n"/>
      <c r="F105" s="6" t="n"/>
      <c r="G105" s="6" t="n"/>
      <c r="H105" s="6">
        <f>IF(F105="","",F105+G105)</f>
        <v/>
      </c>
      <c r="I105" s="6" t="n"/>
      <c r="J105" s="6" t="n"/>
      <c r="K105" s="6" t="n"/>
    </row>
    <row r="106">
      <c r="A106" s="4" t="n"/>
      <c r="B106" s="4">
        <f>IF(A106="","",VLOOKUP(A106,'F01 - _Données Expatriés'!$A$6:$L$15,2,FALSE))</f>
        <v/>
      </c>
      <c r="C106" s="4">
        <f>IF(A106="","",VLOOKUP(A106,'F01 - _Données Expatriés'!$A$6:$L$15,6,FALSE))</f>
        <v/>
      </c>
      <c r="D106" s="4" t="n"/>
      <c r="E106" s="4" t="n"/>
      <c r="F106" s="4" t="n"/>
      <c r="G106" s="4" t="n"/>
      <c r="H106" s="4">
        <f>IF(F106="","",F106+G106)</f>
        <v/>
      </c>
      <c r="I106" s="4" t="n"/>
      <c r="J106" s="4" t="n"/>
      <c r="K106" s="4" t="n"/>
    </row>
    <row r="107">
      <c r="A107" s="6" t="n"/>
      <c r="B107" s="6">
        <f>IF(A107="","",VLOOKUP(A107,'F01 - _Données Expatriés'!$A$6:$L$15,2,FALSE))</f>
        <v/>
      </c>
      <c r="C107" s="6">
        <f>IF(A107="","",VLOOKUP(A107,'F01 - _Données Expatriés'!$A$6:$L$15,6,FALSE))</f>
        <v/>
      </c>
      <c r="D107" s="6" t="n"/>
      <c r="E107" s="6" t="n"/>
      <c r="F107" s="6" t="n"/>
      <c r="G107" s="6" t="n"/>
      <c r="H107" s="6">
        <f>IF(F107="","",F107+G107)</f>
        <v/>
      </c>
      <c r="I107" s="6" t="n"/>
      <c r="J107" s="6" t="n"/>
      <c r="K107" s="6" t="n"/>
    </row>
    <row r="108">
      <c r="A108" s="4" t="n"/>
      <c r="B108" s="4">
        <f>IF(A108="","",VLOOKUP(A108,'F01 - _Données Expatriés'!$A$6:$L$15,2,FALSE))</f>
        <v/>
      </c>
      <c r="C108" s="4">
        <f>IF(A108="","",VLOOKUP(A108,'F01 - _Données Expatriés'!$A$6:$L$15,6,FALSE))</f>
        <v/>
      </c>
      <c r="D108" s="4" t="n"/>
      <c r="E108" s="4" t="n"/>
      <c r="F108" s="4" t="n"/>
      <c r="G108" s="4" t="n"/>
      <c r="H108" s="4">
        <f>IF(F108="","",F108+G108)</f>
        <v/>
      </c>
      <c r="I108" s="4" t="n"/>
      <c r="J108" s="4" t="n"/>
      <c r="K108" s="4" t="n"/>
    </row>
    <row r="109">
      <c r="A109" s="6" t="n"/>
      <c r="B109" s="6">
        <f>IF(A109="","",VLOOKUP(A109,'F01 - _Données Expatriés'!$A$6:$L$15,2,FALSE))</f>
        <v/>
      </c>
      <c r="C109" s="6">
        <f>IF(A109="","",VLOOKUP(A109,'F01 - _Données Expatriés'!$A$6:$L$15,6,FALSE))</f>
        <v/>
      </c>
      <c r="D109" s="6" t="n"/>
      <c r="E109" s="6" t="n"/>
      <c r="F109" s="6" t="n"/>
      <c r="G109" s="6" t="n"/>
      <c r="H109" s="6">
        <f>IF(F109="","",F109+G109)</f>
        <v/>
      </c>
      <c r="I109" s="6" t="n"/>
      <c r="J109" s="6" t="n"/>
      <c r="K109" s="6" t="n"/>
    </row>
    <row r="110">
      <c r="A110" s="4" t="n"/>
      <c r="B110" s="4">
        <f>IF(A110="","",VLOOKUP(A110,'F01 - _Données Expatriés'!$A$6:$L$15,2,FALSE))</f>
        <v/>
      </c>
      <c r="C110" s="4">
        <f>IF(A110="","",VLOOKUP(A110,'F01 - _Données Expatriés'!$A$6:$L$15,6,FALSE))</f>
        <v/>
      </c>
      <c r="D110" s="4" t="n"/>
      <c r="E110" s="4" t="n"/>
      <c r="F110" s="4" t="n"/>
      <c r="G110" s="4" t="n"/>
      <c r="H110" s="4">
        <f>IF(F110="","",F110+G110)</f>
        <v/>
      </c>
      <c r="I110" s="4" t="n"/>
      <c r="J110" s="4" t="n"/>
      <c r="K110" s="4" t="n"/>
    </row>
    <row r="111">
      <c r="A111" s="6" t="n"/>
      <c r="B111" s="6">
        <f>IF(A111="","",VLOOKUP(A111,'F01 - _Données Expatriés'!$A$6:$L$15,2,FALSE))</f>
        <v/>
      </c>
      <c r="C111" s="6">
        <f>IF(A111="","",VLOOKUP(A111,'F01 - _Données Expatriés'!$A$6:$L$15,6,FALSE))</f>
        <v/>
      </c>
      <c r="D111" s="6" t="n"/>
      <c r="E111" s="6" t="n"/>
      <c r="F111" s="6" t="n"/>
      <c r="G111" s="6" t="n"/>
      <c r="H111" s="6">
        <f>IF(F111="","",F111+G111)</f>
        <v/>
      </c>
      <c r="I111" s="6" t="n"/>
      <c r="J111" s="6" t="n"/>
      <c r="K111" s="6" t="n"/>
    </row>
    <row r="112">
      <c r="A112" s="4" t="n"/>
      <c r="B112" s="4">
        <f>IF(A112="","",VLOOKUP(A112,'F01 - _Données Expatriés'!$A$6:$L$15,2,FALSE))</f>
        <v/>
      </c>
      <c r="C112" s="4">
        <f>IF(A112="","",VLOOKUP(A112,'F01 - _Données Expatriés'!$A$6:$L$15,6,FALSE))</f>
        <v/>
      </c>
      <c r="D112" s="4" t="n"/>
      <c r="E112" s="4" t="n"/>
      <c r="F112" s="4" t="n"/>
      <c r="G112" s="4" t="n"/>
      <c r="H112" s="4">
        <f>IF(F112="","",F112+G112)</f>
        <v/>
      </c>
      <c r="I112" s="4" t="n"/>
      <c r="J112" s="4" t="n"/>
      <c r="K112" s="4" t="n"/>
    </row>
    <row r="113">
      <c r="A113" s="6" t="n"/>
      <c r="B113" s="6">
        <f>IF(A113="","",VLOOKUP(A113,'F01 - _Données Expatriés'!$A$6:$L$15,2,FALSE))</f>
        <v/>
      </c>
      <c r="C113" s="6">
        <f>IF(A113="","",VLOOKUP(A113,'F01 - _Données Expatriés'!$A$6:$L$15,6,FALSE))</f>
        <v/>
      </c>
      <c r="D113" s="6" t="n"/>
      <c r="E113" s="6" t="n"/>
      <c r="F113" s="6" t="n"/>
      <c r="G113" s="6" t="n"/>
      <c r="H113" s="6">
        <f>IF(F113="","",F113+G113)</f>
        <v/>
      </c>
      <c r="I113" s="6" t="n"/>
      <c r="J113" s="6" t="n"/>
      <c r="K113" s="6" t="n"/>
    </row>
    <row r="114">
      <c r="A114" s="4" t="n"/>
      <c r="B114" s="4">
        <f>IF(A114="","",VLOOKUP(A114,'F01 - _Données Expatriés'!$A$6:$L$15,2,FALSE))</f>
        <v/>
      </c>
      <c r="C114" s="4">
        <f>IF(A114="","",VLOOKUP(A114,'F01 - _Données Expatriés'!$A$6:$L$15,6,FALSE))</f>
        <v/>
      </c>
      <c r="D114" s="4" t="n"/>
      <c r="E114" s="4" t="n"/>
      <c r="F114" s="4" t="n"/>
      <c r="G114" s="4" t="n"/>
      <c r="H114" s="4">
        <f>IF(F114="","",F114+G114)</f>
        <v/>
      </c>
      <c r="I114" s="4" t="n"/>
      <c r="J114" s="4" t="n"/>
      <c r="K114" s="4" t="n"/>
    </row>
    <row r="115">
      <c r="A115" s="6" t="n"/>
      <c r="B115" s="6">
        <f>IF(A115="","",VLOOKUP(A115,'F01 - _Données Expatriés'!$A$6:$L$15,2,FALSE))</f>
        <v/>
      </c>
      <c r="C115" s="6">
        <f>IF(A115="","",VLOOKUP(A115,'F01 - _Données Expatriés'!$A$6:$L$15,6,FALSE))</f>
        <v/>
      </c>
      <c r="D115" s="6" t="n"/>
      <c r="E115" s="6" t="n"/>
      <c r="F115" s="6" t="n"/>
      <c r="G115" s="6" t="n"/>
      <c r="H115" s="6">
        <f>IF(F115="","",F115+G115)</f>
        <v/>
      </c>
      <c r="I115" s="6" t="n"/>
      <c r="J115" s="6" t="n"/>
      <c r="K115" s="6" t="n"/>
    </row>
  </sheetData>
  <mergeCells count="2">
    <mergeCell ref="A3:N3"/>
    <mergeCell ref="A2:N2"/>
  </mergeCells>
  <dataValidations count="3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_Lists'!$A$6:$A$35</formula1>
    </dataValidation>
    <dataValidation sqref="D6:D115" showDropDown="0" showInputMessage="0" showErrorMessage="0" allowBlank="1" errorTitle="Erreur de saisie" error="Valeur non autorisée" promptTitle="Liste déroulante" prompt="Sélectionnez dans la liste" type="list">
      <formula1>'F02 - _Lists'!$L$6:$L$35</formula1>
    </dataValidation>
    <dataValidation sqref="K6:K115" showDropDown="0" showInputMessage="0" showErrorMessage="0" allowBlank="1" errorTitle="Erreur de saisie" error="Valeur non autorisée" promptTitle="Liste déroulante" prompt="Sélectionnez dans la liste" type="list">
      <formula1>'F02 - _Lists'!$AA$6:$AA$35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16" customWidth="1" min="4" max="4"/>
    <col width="18" customWidth="1" min="5" max="5"/>
    <col width="20" customWidth="1" min="6" max="6"/>
    <col width="20" customWidth="1" min="7" max="7"/>
    <col width="20" customWidth="1" min="8" max="8"/>
    <col width="14" customWidth="1" min="9" max="9"/>
    <col width="18" customWidth="1" min="10" max="10"/>
    <col width="20" customWidth="1" min="11" max="11"/>
  </cols>
  <sheetData>
    <row r="2" ht="25" customHeight="1">
      <c r="A2" s="1" t="inlineStr">
        <is>
          <t>DOMAINE 25 — 8-SUIVI RÉMUNÉRATION EXPATRIÉS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Code Paiement</t>
        </is>
      </c>
      <c r="B5" s="3" t="inlineStr">
        <is>
          <t>Matricule</t>
        </is>
      </c>
      <c r="C5" s="3" t="inlineStr">
        <is>
          <t>Nom</t>
        </is>
      </c>
      <c r="D5" s="3" t="inlineStr">
        <is>
          <t>Mois</t>
        </is>
      </c>
      <c r="E5" s="3" t="inlineStr">
        <is>
          <t>Salaire Base (FCFA)</t>
        </is>
      </c>
      <c r="F5" s="3" t="inlineStr">
        <is>
          <t>Prime Expatriation (FCFA)</t>
        </is>
      </c>
      <c r="G5" s="3" t="inlineStr">
        <is>
          <t>Indemnité Logement (FCFA)</t>
        </is>
      </c>
      <c r="H5" s="3" t="inlineStr">
        <is>
          <t>Indemnité Scolarité (FCFA)</t>
        </is>
      </c>
      <c r="I5" s="3" t="inlineStr">
        <is>
          <t>Retenues (FCFA)</t>
        </is>
      </c>
      <c r="J5" s="3" t="inlineStr">
        <is>
          <t>Net à Payer (FCFA)</t>
        </is>
      </c>
      <c r="K5" s="3" t="inlineStr">
        <is>
          <t>Mode Paiement</t>
        </is>
      </c>
    </row>
    <row r="6">
      <c r="A6" s="4" t="inlineStr">
        <is>
          <t>PAY-E-2025-001</t>
        </is>
      </c>
      <c r="B6" s="4" t="inlineStr">
        <is>
          <t>EXP-001</t>
        </is>
      </c>
      <c r="C6" s="4" t="inlineStr">
        <is>
          <t>Dupont Jean-Pierre</t>
        </is>
      </c>
      <c r="D6" s="4" t="inlineStr">
        <is>
          <t>Janvier 2025</t>
        </is>
      </c>
      <c r="E6" s="4" t="n">
        <v>5500000</v>
      </c>
      <c r="F6" s="4" t="n">
        <v>1100000</v>
      </c>
      <c r="G6" s="4" t="n">
        <v>350000</v>
      </c>
      <c r="H6" s="4" t="n">
        <v>500000</v>
      </c>
      <c r="I6" s="4">
        <f>IF(E6="","",IFERROR((E6+F6+G6+H6)*0.08,0))</f>
        <v/>
      </c>
      <c r="J6" s="4">
        <f>IF(E6="","",E6+F6+G6+H6-I6)</f>
        <v/>
      </c>
      <c r="K6" s="4" t="inlineStr">
        <is>
          <t>Virement international</t>
        </is>
      </c>
    </row>
    <row r="7">
      <c r="A7" s="6" t="inlineStr">
        <is>
          <t>PAY-E-2025-002</t>
        </is>
      </c>
      <c r="B7" s="6" t="inlineStr">
        <is>
          <t>EXP-002</t>
        </is>
      </c>
      <c r="C7" s="6" t="inlineStr">
        <is>
          <t>Muller Hans</t>
        </is>
      </c>
      <c r="D7" s="6" t="inlineStr">
        <is>
          <t>Janvier 2025</t>
        </is>
      </c>
      <c r="E7" s="6" t="n">
        <v>3800000</v>
      </c>
      <c r="F7" s="6" t="n">
        <v>760000</v>
      </c>
      <c r="G7" s="6" t="n">
        <v>250000</v>
      </c>
      <c r="H7" s="6" t="n">
        <v>300000</v>
      </c>
      <c r="I7" s="6">
        <f>IF(E7="","",IFERROR((E7+F7+G7+H7)*0.08,0))</f>
        <v/>
      </c>
      <c r="J7" s="6">
        <f>IF(E7="","",E7+F7+G7+H7-I7)</f>
        <v/>
      </c>
      <c r="K7" s="6" t="inlineStr">
        <is>
          <t>Virement international</t>
        </is>
      </c>
    </row>
    <row r="8">
      <c r="A8" s="4" t="inlineStr">
        <is>
          <t>PAY-E-2025-003</t>
        </is>
      </c>
      <c r="B8" s="4" t="inlineStr">
        <is>
          <t>EXP-003</t>
        </is>
      </c>
      <c r="C8" s="4" t="inlineStr">
        <is>
          <t>Silva Carlos</t>
        </is>
      </c>
      <c r="D8" s="4" t="inlineStr">
        <is>
          <t>Janvier 2025</t>
        </is>
      </c>
      <c r="E8" s="4" t="n">
        <v>4500000</v>
      </c>
      <c r="F8" s="4" t="n">
        <v>900000</v>
      </c>
      <c r="G8" s="4" t="n">
        <v>300000</v>
      </c>
      <c r="H8" s="4" t="n">
        <v>400000</v>
      </c>
      <c r="I8" s="4">
        <f>IF(E8="","",IFERROR((E8+F8+G8+H8)*0.08,0))</f>
        <v/>
      </c>
      <c r="J8" s="4">
        <f>IF(E8="","",E8+F8+G8+H8-I8)</f>
        <v/>
      </c>
      <c r="K8" s="4" t="inlineStr">
        <is>
          <t>Compte offshore</t>
        </is>
      </c>
    </row>
    <row r="9">
      <c r="A9" s="6" t="inlineStr">
        <is>
          <t>PAY-E-2025-004</t>
        </is>
      </c>
      <c r="B9" s="6" t="inlineStr">
        <is>
          <t>EXP-004</t>
        </is>
      </c>
      <c r="C9" s="6" t="inlineStr">
        <is>
          <t>Nakamura Yuki</t>
        </is>
      </c>
      <c r="D9" s="6" t="inlineStr">
        <is>
          <t>Janvier 2025</t>
        </is>
      </c>
      <c r="E9" s="6" t="n">
        <v>2800000</v>
      </c>
      <c r="F9" s="6" t="n">
        <v>560000</v>
      </c>
      <c r="G9" s="6" t="n">
        <v>200000</v>
      </c>
      <c r="H9" s="6" t="n">
        <v>0</v>
      </c>
      <c r="I9" s="6">
        <f>IF(E9="","",IFERROR((E9+F9+G9+H9)*0.08,0))</f>
        <v/>
      </c>
      <c r="J9" s="6">
        <f>IF(E9="","",E9+F9+G9+H9-I9)</f>
        <v/>
      </c>
      <c r="K9" s="6" t="inlineStr">
        <is>
          <t>Mixte</t>
        </is>
      </c>
    </row>
    <row r="10">
      <c r="A10" s="4" t="inlineStr">
        <is>
          <t>PAY-E-2025-005</t>
        </is>
      </c>
      <c r="B10" s="4" t="inlineStr">
        <is>
          <t>EXP-005</t>
        </is>
      </c>
      <c r="C10" s="4" t="inlineStr">
        <is>
          <t>Smith James</t>
        </is>
      </c>
      <c r="D10" s="4" t="inlineStr">
        <is>
          <t>Janvier 2025</t>
        </is>
      </c>
      <c r="E10" s="4" t="n">
        <v>3200000</v>
      </c>
      <c r="F10" s="4" t="n">
        <v>640000</v>
      </c>
      <c r="G10" s="4" t="n">
        <v>0</v>
      </c>
      <c r="H10" s="4" t="n">
        <v>350000</v>
      </c>
      <c r="I10" s="4">
        <f>IF(E10="","",IFERROR((E10+F10+G10+H10)*0.08,0))</f>
        <v/>
      </c>
      <c r="J10" s="4">
        <f>IF(E10="","",E10+F10+G10+H10-I10)</f>
        <v/>
      </c>
      <c r="K10" s="4" t="inlineStr">
        <is>
          <t>Virement international</t>
        </is>
      </c>
    </row>
    <row r="11">
      <c r="A11" s="6" t="n"/>
      <c r="B11" s="6" t="n"/>
      <c r="C11" s="6">
        <f>IF(B11="","",VLOOKUP(B11,'F01 - _Données Expatriés'!$A$6:$L$15,2,FALSE))</f>
        <v/>
      </c>
      <c r="D11" s="6" t="n"/>
      <c r="E11" s="6" t="n"/>
      <c r="F11" s="6" t="n"/>
      <c r="G11" s="6" t="n"/>
      <c r="H11" s="6" t="n"/>
      <c r="I11" s="6">
        <f>IF(E11="","",IFERROR((E11+F11+G11+H11)*0.08,0))</f>
        <v/>
      </c>
      <c r="J11" s="6">
        <f>IF(E11="","",E11+F11+G11+H11-I11)</f>
        <v/>
      </c>
      <c r="K11" s="6" t="n"/>
    </row>
    <row r="12">
      <c r="A12" s="4" t="n"/>
      <c r="B12" s="4" t="n"/>
      <c r="C12" s="4">
        <f>IF(B12="","",VLOOKUP(B12,'F01 - _Données Expatriés'!$A$6:$L$15,2,FALSE))</f>
        <v/>
      </c>
      <c r="D12" s="4" t="n"/>
      <c r="E12" s="4" t="n"/>
      <c r="F12" s="4" t="n"/>
      <c r="G12" s="4" t="n"/>
      <c r="H12" s="4" t="n"/>
      <c r="I12" s="4">
        <f>IF(E12="","",IFERROR((E12+F12+G12+H12)*0.08,0))</f>
        <v/>
      </c>
      <c r="J12" s="4">
        <f>IF(E12="","",E12+F12+G12+H12-I12)</f>
        <v/>
      </c>
      <c r="K12" s="4" t="n"/>
    </row>
    <row r="13">
      <c r="A13" s="6" t="n"/>
      <c r="B13" s="6" t="n"/>
      <c r="C13" s="6">
        <f>IF(B13="","",VLOOKUP(B13,'F01 - _Données Expatriés'!$A$6:$L$15,2,FALSE))</f>
        <v/>
      </c>
      <c r="D13" s="6" t="n"/>
      <c r="E13" s="6" t="n"/>
      <c r="F13" s="6" t="n"/>
      <c r="G13" s="6" t="n"/>
      <c r="H13" s="6" t="n"/>
      <c r="I13" s="6">
        <f>IF(E13="","",IFERROR((E13+F13+G13+H13)*0.08,0))</f>
        <v/>
      </c>
      <c r="J13" s="6">
        <f>IF(E13="","",E13+F13+G13+H13-I13)</f>
        <v/>
      </c>
      <c r="K13" s="6" t="n"/>
    </row>
    <row r="14">
      <c r="A14" s="4" t="n"/>
      <c r="B14" s="4" t="n"/>
      <c r="C14" s="4">
        <f>IF(B14="","",VLOOKUP(B14,'F01 - _Données Expatriés'!$A$6:$L$15,2,FALSE))</f>
        <v/>
      </c>
      <c r="D14" s="4" t="n"/>
      <c r="E14" s="4" t="n"/>
      <c r="F14" s="4" t="n"/>
      <c r="G14" s="4" t="n"/>
      <c r="H14" s="4" t="n"/>
      <c r="I14" s="4">
        <f>IF(E14="","",IFERROR((E14+F14+G14+H14)*0.08,0))</f>
        <v/>
      </c>
      <c r="J14" s="4">
        <f>IF(E14="","",E14+F14+G14+H14-I14)</f>
        <v/>
      </c>
      <c r="K14" s="4" t="n"/>
    </row>
    <row r="15">
      <c r="A15" s="6" t="n"/>
      <c r="B15" s="6" t="n"/>
      <c r="C15" s="6">
        <f>IF(B15="","",VLOOKUP(B15,'F01 - _Données Expatriés'!$A$6:$L$15,2,FALSE))</f>
        <v/>
      </c>
      <c r="D15" s="6" t="n"/>
      <c r="E15" s="6" t="n"/>
      <c r="F15" s="6" t="n"/>
      <c r="G15" s="6" t="n"/>
      <c r="H15" s="6" t="n"/>
      <c r="I15" s="6">
        <f>IF(E15="","",IFERROR((E15+F15+G15+H15)*0.08,0))</f>
        <v/>
      </c>
      <c r="J15" s="6">
        <f>IF(E15="","",E15+F15+G15+H15-I15)</f>
        <v/>
      </c>
      <c r="K15" s="6" t="n"/>
    </row>
    <row r="16">
      <c r="A16" s="4" t="n"/>
      <c r="B16" s="4" t="n"/>
      <c r="C16" s="4">
        <f>IF(B16="","",VLOOKUP(B16,'F01 - _Données Expatriés'!$A$6:$L$15,2,FALSE))</f>
        <v/>
      </c>
      <c r="D16" s="4" t="n"/>
      <c r="E16" s="4" t="n"/>
      <c r="F16" s="4" t="n"/>
      <c r="G16" s="4" t="n"/>
      <c r="H16" s="4" t="n"/>
      <c r="I16" s="4">
        <f>IF(E16="","",IFERROR((E16+F16+G16+H16)*0.08,0))</f>
        <v/>
      </c>
      <c r="J16" s="4">
        <f>IF(E16="","",E16+F16+G16+H16-I16)</f>
        <v/>
      </c>
      <c r="K16" s="4" t="n"/>
    </row>
    <row r="17">
      <c r="A17" s="6" t="n"/>
      <c r="B17" s="6" t="n"/>
      <c r="C17" s="6">
        <f>IF(B17="","",VLOOKUP(B17,'F01 - _Données Expatriés'!$A$6:$L$15,2,FALSE))</f>
        <v/>
      </c>
      <c r="D17" s="6" t="n"/>
      <c r="E17" s="6" t="n"/>
      <c r="F17" s="6" t="n"/>
      <c r="G17" s="6" t="n"/>
      <c r="H17" s="6" t="n"/>
      <c r="I17" s="6">
        <f>IF(E17="","",IFERROR((E17+F17+G17+H17)*0.08,0))</f>
        <v/>
      </c>
      <c r="J17" s="6">
        <f>IF(E17="","",E17+F17+G17+H17-I17)</f>
        <v/>
      </c>
      <c r="K17" s="6" t="n"/>
    </row>
    <row r="18">
      <c r="A18" s="4" t="n"/>
      <c r="B18" s="4" t="n"/>
      <c r="C18" s="4">
        <f>IF(B18="","",VLOOKUP(B18,'F01 - _Données Expatriés'!$A$6:$L$15,2,FALSE))</f>
        <v/>
      </c>
      <c r="D18" s="4" t="n"/>
      <c r="E18" s="4" t="n"/>
      <c r="F18" s="4" t="n"/>
      <c r="G18" s="4" t="n"/>
      <c r="H18" s="4" t="n"/>
      <c r="I18" s="4">
        <f>IF(E18="","",IFERROR((E18+F18+G18+H18)*0.08,0))</f>
        <v/>
      </c>
      <c r="J18" s="4">
        <f>IF(E18="","",E18+F18+G18+H18-I18)</f>
        <v/>
      </c>
      <c r="K18" s="4" t="n"/>
    </row>
    <row r="19">
      <c r="A19" s="6" t="n"/>
      <c r="B19" s="6" t="n"/>
      <c r="C19" s="6">
        <f>IF(B19="","",VLOOKUP(B19,'F01 - _Données Expatriés'!$A$6:$L$15,2,FALSE))</f>
        <v/>
      </c>
      <c r="D19" s="6" t="n"/>
      <c r="E19" s="6" t="n"/>
      <c r="F19" s="6" t="n"/>
      <c r="G19" s="6" t="n"/>
      <c r="H19" s="6" t="n"/>
      <c r="I19" s="6">
        <f>IF(E19="","",IFERROR((E19+F19+G19+H19)*0.08,0))</f>
        <v/>
      </c>
      <c r="J19" s="6">
        <f>IF(E19="","",E19+F19+G19+H19-I19)</f>
        <v/>
      </c>
      <c r="K19" s="6" t="n"/>
    </row>
    <row r="20">
      <c r="A20" s="4" t="n"/>
      <c r="B20" s="4" t="n"/>
      <c r="C20" s="4">
        <f>IF(B20="","",VLOOKUP(B20,'F01 - _Données Expatriés'!$A$6:$L$15,2,FALSE))</f>
        <v/>
      </c>
      <c r="D20" s="4" t="n"/>
      <c r="E20" s="4" t="n"/>
      <c r="F20" s="4" t="n"/>
      <c r="G20" s="4" t="n"/>
      <c r="H20" s="4" t="n"/>
      <c r="I20" s="4">
        <f>IF(E20="","",IFERROR((E20+F20+G20+H20)*0.08,0))</f>
        <v/>
      </c>
      <c r="J20" s="4">
        <f>IF(E20="","",E20+F20+G20+H20-I20)</f>
        <v/>
      </c>
      <c r="K20" s="4" t="n"/>
    </row>
    <row r="21">
      <c r="A21" s="6" t="n"/>
      <c r="B21" s="6" t="n"/>
      <c r="C21" s="6">
        <f>IF(B21="","",VLOOKUP(B21,'F01 - _Données Expatriés'!$A$6:$L$15,2,FALSE))</f>
        <v/>
      </c>
      <c r="D21" s="6" t="n"/>
      <c r="E21" s="6" t="n"/>
      <c r="F21" s="6" t="n"/>
      <c r="G21" s="6" t="n"/>
      <c r="H21" s="6" t="n"/>
      <c r="I21" s="6">
        <f>IF(E21="","",IFERROR((E21+F21+G21+H21)*0.08,0))</f>
        <v/>
      </c>
      <c r="J21" s="6">
        <f>IF(E21="","",E21+F21+G21+H21-I21)</f>
        <v/>
      </c>
      <c r="K21" s="6" t="n"/>
    </row>
    <row r="22">
      <c r="A22" s="4" t="n"/>
      <c r="B22" s="4" t="n"/>
      <c r="C22" s="4">
        <f>IF(B22="","",VLOOKUP(B22,'F01 - _Données Expatriés'!$A$6:$L$15,2,FALSE))</f>
        <v/>
      </c>
      <c r="D22" s="4" t="n"/>
      <c r="E22" s="4" t="n"/>
      <c r="F22" s="4" t="n"/>
      <c r="G22" s="4" t="n"/>
      <c r="H22" s="4" t="n"/>
      <c r="I22" s="4">
        <f>IF(E22="","",IFERROR((E22+F22+G22+H22)*0.08,0))</f>
        <v/>
      </c>
      <c r="J22" s="4">
        <f>IF(E22="","",E22+F22+G22+H22-I22)</f>
        <v/>
      </c>
      <c r="K22" s="4" t="n"/>
    </row>
    <row r="23">
      <c r="A23" s="6" t="n"/>
      <c r="B23" s="6" t="n"/>
      <c r="C23" s="6">
        <f>IF(B23="","",VLOOKUP(B23,'F01 - _Données Expatriés'!$A$6:$L$15,2,FALSE))</f>
        <v/>
      </c>
      <c r="D23" s="6" t="n"/>
      <c r="E23" s="6" t="n"/>
      <c r="F23" s="6" t="n"/>
      <c r="G23" s="6" t="n"/>
      <c r="H23" s="6" t="n"/>
      <c r="I23" s="6">
        <f>IF(E23="","",IFERROR((E23+F23+G23+H23)*0.08,0))</f>
        <v/>
      </c>
      <c r="J23" s="6">
        <f>IF(E23="","",E23+F23+G23+H23-I23)</f>
        <v/>
      </c>
      <c r="K23" s="6" t="n"/>
    </row>
    <row r="24">
      <c r="A24" s="4" t="n"/>
      <c r="B24" s="4" t="n"/>
      <c r="C24" s="4">
        <f>IF(B24="","",VLOOKUP(B24,'F01 - _Données Expatriés'!$A$6:$L$15,2,FALSE))</f>
        <v/>
      </c>
      <c r="D24" s="4" t="n"/>
      <c r="E24" s="4" t="n"/>
      <c r="F24" s="4" t="n"/>
      <c r="G24" s="4" t="n"/>
      <c r="H24" s="4" t="n"/>
      <c r="I24" s="4">
        <f>IF(E24="","",IFERROR((E24+F24+G24+H24)*0.08,0))</f>
        <v/>
      </c>
      <c r="J24" s="4">
        <f>IF(E24="","",E24+F24+G24+H24-I24)</f>
        <v/>
      </c>
      <c r="K24" s="4" t="n"/>
    </row>
    <row r="25">
      <c r="A25" s="6" t="n"/>
      <c r="B25" s="6" t="n"/>
      <c r="C25" s="6">
        <f>IF(B25="","",VLOOKUP(B25,'F01 - _Données Expatriés'!$A$6:$L$15,2,FALSE))</f>
        <v/>
      </c>
      <c r="D25" s="6" t="n"/>
      <c r="E25" s="6" t="n"/>
      <c r="F25" s="6" t="n"/>
      <c r="G25" s="6" t="n"/>
      <c r="H25" s="6" t="n"/>
      <c r="I25" s="6">
        <f>IF(E25="","",IFERROR((E25+F25+G25+H25)*0.08,0))</f>
        <v/>
      </c>
      <c r="J25" s="6">
        <f>IF(E25="","",E25+F25+G25+H25-I25)</f>
        <v/>
      </c>
      <c r="K25" s="6" t="n"/>
    </row>
    <row r="26">
      <c r="A26" s="4" t="n"/>
      <c r="B26" s="4" t="n"/>
      <c r="C26" s="4">
        <f>IF(B26="","",VLOOKUP(B26,'F01 - _Données Expatriés'!$A$6:$L$15,2,FALSE))</f>
        <v/>
      </c>
      <c r="D26" s="4" t="n"/>
      <c r="E26" s="4" t="n"/>
      <c r="F26" s="4" t="n"/>
      <c r="G26" s="4" t="n"/>
      <c r="H26" s="4" t="n"/>
      <c r="I26" s="4">
        <f>IF(E26="","",IFERROR((E26+F26+G26+H26)*0.08,0))</f>
        <v/>
      </c>
      <c r="J26" s="4">
        <f>IF(E26="","",E26+F26+G26+H26-I26)</f>
        <v/>
      </c>
      <c r="K26" s="4" t="n"/>
    </row>
    <row r="27">
      <c r="A27" s="6" t="n"/>
      <c r="B27" s="6" t="n"/>
      <c r="C27" s="6">
        <f>IF(B27="","",VLOOKUP(B27,'F01 - _Données Expatriés'!$A$6:$L$15,2,FALSE))</f>
        <v/>
      </c>
      <c r="D27" s="6" t="n"/>
      <c r="E27" s="6" t="n"/>
      <c r="F27" s="6" t="n"/>
      <c r="G27" s="6" t="n"/>
      <c r="H27" s="6" t="n"/>
      <c r="I27" s="6">
        <f>IF(E27="","",IFERROR((E27+F27+G27+H27)*0.08,0))</f>
        <v/>
      </c>
      <c r="J27" s="6">
        <f>IF(E27="","",E27+F27+G27+H27-I27)</f>
        <v/>
      </c>
      <c r="K27" s="6" t="n"/>
    </row>
    <row r="28">
      <c r="A28" s="4" t="n"/>
      <c r="B28" s="4" t="n"/>
      <c r="C28" s="4">
        <f>IF(B28="","",VLOOKUP(B28,'F01 - _Données Expatriés'!$A$6:$L$15,2,FALSE))</f>
        <v/>
      </c>
      <c r="D28" s="4" t="n"/>
      <c r="E28" s="4" t="n"/>
      <c r="F28" s="4" t="n"/>
      <c r="G28" s="4" t="n"/>
      <c r="H28" s="4" t="n"/>
      <c r="I28" s="4">
        <f>IF(E28="","",IFERROR((E28+F28+G28+H28)*0.08,0))</f>
        <v/>
      </c>
      <c r="J28" s="4">
        <f>IF(E28="","",E28+F28+G28+H28-I28)</f>
        <v/>
      </c>
      <c r="K28" s="4" t="n"/>
    </row>
    <row r="29">
      <c r="A29" s="6" t="n"/>
      <c r="B29" s="6" t="n"/>
      <c r="C29" s="6">
        <f>IF(B29="","",VLOOKUP(B29,'F01 - _Données Expatriés'!$A$6:$L$15,2,FALSE))</f>
        <v/>
      </c>
      <c r="D29" s="6" t="n"/>
      <c r="E29" s="6" t="n"/>
      <c r="F29" s="6" t="n"/>
      <c r="G29" s="6" t="n"/>
      <c r="H29" s="6" t="n"/>
      <c r="I29" s="6">
        <f>IF(E29="","",IFERROR((E29+F29+G29+H29)*0.08,0))</f>
        <v/>
      </c>
      <c r="J29" s="6">
        <f>IF(E29="","",E29+F29+G29+H29-I29)</f>
        <v/>
      </c>
      <c r="K29" s="6" t="n"/>
    </row>
    <row r="30">
      <c r="A30" s="4" t="n"/>
      <c r="B30" s="4" t="n"/>
      <c r="C30" s="4">
        <f>IF(B30="","",VLOOKUP(B30,'F01 - _Données Expatriés'!$A$6:$L$15,2,FALSE))</f>
        <v/>
      </c>
      <c r="D30" s="4" t="n"/>
      <c r="E30" s="4" t="n"/>
      <c r="F30" s="4" t="n"/>
      <c r="G30" s="4" t="n"/>
      <c r="H30" s="4" t="n"/>
      <c r="I30" s="4">
        <f>IF(E30="","",IFERROR((E30+F30+G30+H30)*0.08,0))</f>
        <v/>
      </c>
      <c r="J30" s="4">
        <f>IF(E30="","",E30+F30+G30+H30-I30)</f>
        <v/>
      </c>
      <c r="K30" s="4" t="n"/>
    </row>
    <row r="31">
      <c r="A31" s="6" t="n"/>
      <c r="B31" s="6" t="n"/>
      <c r="C31" s="6">
        <f>IF(B31="","",VLOOKUP(B31,'F01 - _Données Expatriés'!$A$6:$L$15,2,FALSE))</f>
        <v/>
      </c>
      <c r="D31" s="6" t="n"/>
      <c r="E31" s="6" t="n"/>
      <c r="F31" s="6" t="n"/>
      <c r="G31" s="6" t="n"/>
      <c r="H31" s="6" t="n"/>
      <c r="I31" s="6">
        <f>IF(E31="","",IFERROR((E31+F31+G31+H31)*0.08,0))</f>
        <v/>
      </c>
      <c r="J31" s="6">
        <f>IF(E31="","",E31+F31+G31+H31-I31)</f>
        <v/>
      </c>
      <c r="K31" s="6" t="n"/>
    </row>
    <row r="32">
      <c r="A32" s="4" t="n"/>
      <c r="B32" s="4" t="n"/>
      <c r="C32" s="4">
        <f>IF(B32="","",VLOOKUP(B32,'F01 - _Données Expatriés'!$A$6:$L$15,2,FALSE))</f>
        <v/>
      </c>
      <c r="D32" s="4" t="n"/>
      <c r="E32" s="4" t="n"/>
      <c r="F32" s="4" t="n"/>
      <c r="G32" s="4" t="n"/>
      <c r="H32" s="4" t="n"/>
      <c r="I32" s="4">
        <f>IF(E32="","",IFERROR((E32+F32+G32+H32)*0.08,0))</f>
        <v/>
      </c>
      <c r="J32" s="4">
        <f>IF(E32="","",E32+F32+G32+H32-I32)</f>
        <v/>
      </c>
      <c r="K32" s="4" t="n"/>
    </row>
    <row r="33">
      <c r="A33" s="6" t="n"/>
      <c r="B33" s="6" t="n"/>
      <c r="C33" s="6">
        <f>IF(B33="","",VLOOKUP(B33,'F01 - _Données Expatriés'!$A$6:$L$15,2,FALSE))</f>
        <v/>
      </c>
      <c r="D33" s="6" t="n"/>
      <c r="E33" s="6" t="n"/>
      <c r="F33" s="6" t="n"/>
      <c r="G33" s="6" t="n"/>
      <c r="H33" s="6" t="n"/>
      <c r="I33" s="6">
        <f>IF(E33="","",IFERROR((E33+F33+G33+H33)*0.08,0))</f>
        <v/>
      </c>
      <c r="J33" s="6">
        <f>IF(E33="","",E33+F33+G33+H33-I33)</f>
        <v/>
      </c>
      <c r="K33" s="6" t="n"/>
    </row>
    <row r="34">
      <c r="A34" s="4" t="n"/>
      <c r="B34" s="4" t="n"/>
      <c r="C34" s="4">
        <f>IF(B34="","",VLOOKUP(B34,'F01 - _Données Expatriés'!$A$6:$L$15,2,FALSE))</f>
        <v/>
      </c>
      <c r="D34" s="4" t="n"/>
      <c r="E34" s="4" t="n"/>
      <c r="F34" s="4" t="n"/>
      <c r="G34" s="4" t="n"/>
      <c r="H34" s="4" t="n"/>
      <c r="I34" s="4">
        <f>IF(E34="","",IFERROR((E34+F34+G34+H34)*0.08,0))</f>
        <v/>
      </c>
      <c r="J34" s="4">
        <f>IF(E34="","",E34+F34+G34+H34-I34)</f>
        <v/>
      </c>
      <c r="K34" s="4" t="n"/>
    </row>
    <row r="35">
      <c r="A35" s="6" t="n"/>
      <c r="B35" s="6" t="n"/>
      <c r="C35" s="6">
        <f>IF(B35="","",VLOOKUP(B35,'F01 - _Données Expatriés'!$A$6:$L$15,2,FALSE))</f>
        <v/>
      </c>
      <c r="D35" s="6" t="n"/>
      <c r="E35" s="6" t="n"/>
      <c r="F35" s="6" t="n"/>
      <c r="G35" s="6" t="n"/>
      <c r="H35" s="6" t="n"/>
      <c r="I35" s="6">
        <f>IF(E35="","",IFERROR((E35+F35+G35+H35)*0.08,0))</f>
        <v/>
      </c>
      <c r="J35" s="6">
        <f>IF(E35="","",E35+F35+G35+H35-I35)</f>
        <v/>
      </c>
      <c r="K35" s="6" t="n"/>
    </row>
    <row r="36">
      <c r="A36" s="4" t="n"/>
      <c r="B36" s="4" t="n"/>
      <c r="C36" s="4">
        <f>IF(B36="","",VLOOKUP(B36,'F01 - _Données Expatriés'!$A$6:$L$15,2,FALSE))</f>
        <v/>
      </c>
      <c r="D36" s="4" t="n"/>
      <c r="E36" s="4" t="n"/>
      <c r="F36" s="4" t="n"/>
      <c r="G36" s="4" t="n"/>
      <c r="H36" s="4" t="n"/>
      <c r="I36" s="4">
        <f>IF(E36="","",IFERROR((E36+F36+G36+H36)*0.08,0))</f>
        <v/>
      </c>
      <c r="J36" s="4">
        <f>IF(E36="","",E36+F36+G36+H36-I36)</f>
        <v/>
      </c>
      <c r="K36" s="4" t="n"/>
    </row>
    <row r="37">
      <c r="A37" s="6" t="n"/>
      <c r="B37" s="6" t="n"/>
      <c r="C37" s="6">
        <f>IF(B37="","",VLOOKUP(B37,'F01 - _Données Expatriés'!$A$6:$L$15,2,FALSE))</f>
        <v/>
      </c>
      <c r="D37" s="6" t="n"/>
      <c r="E37" s="6" t="n"/>
      <c r="F37" s="6" t="n"/>
      <c r="G37" s="6" t="n"/>
      <c r="H37" s="6" t="n"/>
      <c r="I37" s="6">
        <f>IF(E37="","",IFERROR((E37+F37+G37+H37)*0.08,0))</f>
        <v/>
      </c>
      <c r="J37" s="6">
        <f>IF(E37="","",E37+F37+G37+H37-I37)</f>
        <v/>
      </c>
      <c r="K37" s="6" t="n"/>
    </row>
    <row r="38">
      <c r="A38" s="4" t="n"/>
      <c r="B38" s="4" t="n"/>
      <c r="C38" s="4">
        <f>IF(B38="","",VLOOKUP(B38,'F01 - _Données Expatriés'!$A$6:$L$15,2,FALSE))</f>
        <v/>
      </c>
      <c r="D38" s="4" t="n"/>
      <c r="E38" s="4" t="n"/>
      <c r="F38" s="4" t="n"/>
      <c r="G38" s="4" t="n"/>
      <c r="H38" s="4" t="n"/>
      <c r="I38" s="4">
        <f>IF(E38="","",IFERROR((E38+F38+G38+H38)*0.08,0))</f>
        <v/>
      </c>
      <c r="J38" s="4">
        <f>IF(E38="","",E38+F38+G38+H38-I38)</f>
        <v/>
      </c>
      <c r="K38" s="4" t="n"/>
    </row>
    <row r="39">
      <c r="A39" s="6" t="n"/>
      <c r="B39" s="6" t="n"/>
      <c r="C39" s="6">
        <f>IF(B39="","",VLOOKUP(B39,'F01 - _Données Expatriés'!$A$6:$L$15,2,FALSE))</f>
        <v/>
      </c>
      <c r="D39" s="6" t="n"/>
      <c r="E39" s="6" t="n"/>
      <c r="F39" s="6" t="n"/>
      <c r="G39" s="6" t="n"/>
      <c r="H39" s="6" t="n"/>
      <c r="I39" s="6">
        <f>IF(E39="","",IFERROR((E39+F39+G39+H39)*0.08,0))</f>
        <v/>
      </c>
      <c r="J39" s="6">
        <f>IF(E39="","",E39+F39+G39+H39-I39)</f>
        <v/>
      </c>
      <c r="K39" s="6" t="n"/>
    </row>
    <row r="40">
      <c r="A40" s="4" t="n"/>
      <c r="B40" s="4" t="n"/>
      <c r="C40" s="4">
        <f>IF(B40="","",VLOOKUP(B40,'F01 - _Données Expatriés'!$A$6:$L$15,2,FALSE))</f>
        <v/>
      </c>
      <c r="D40" s="4" t="n"/>
      <c r="E40" s="4" t="n"/>
      <c r="F40" s="4" t="n"/>
      <c r="G40" s="4" t="n"/>
      <c r="H40" s="4" t="n"/>
      <c r="I40" s="4">
        <f>IF(E40="","",IFERROR((E40+F40+G40+H40)*0.08,0))</f>
        <v/>
      </c>
      <c r="J40" s="4">
        <f>IF(E40="","",E40+F40+G40+H40-I40)</f>
        <v/>
      </c>
      <c r="K40" s="4" t="n"/>
    </row>
    <row r="41">
      <c r="A41" s="6" t="n"/>
      <c r="B41" s="6" t="n"/>
      <c r="C41" s="6">
        <f>IF(B41="","",VLOOKUP(B41,'F01 - _Données Expatriés'!$A$6:$L$15,2,FALSE))</f>
        <v/>
      </c>
      <c r="D41" s="6" t="n"/>
      <c r="E41" s="6" t="n"/>
      <c r="F41" s="6" t="n"/>
      <c r="G41" s="6" t="n"/>
      <c r="H41" s="6" t="n"/>
      <c r="I41" s="6">
        <f>IF(E41="","",IFERROR((E41+F41+G41+H41)*0.08,0))</f>
        <v/>
      </c>
      <c r="J41" s="6">
        <f>IF(E41="","",E41+F41+G41+H41-I41)</f>
        <v/>
      </c>
      <c r="K41" s="6" t="n"/>
    </row>
    <row r="42">
      <c r="A42" s="4" t="n"/>
      <c r="B42" s="4" t="n"/>
      <c r="C42" s="4">
        <f>IF(B42="","",VLOOKUP(B42,'F01 - _Données Expatriés'!$A$6:$L$15,2,FALSE))</f>
        <v/>
      </c>
      <c r="D42" s="4" t="n"/>
      <c r="E42" s="4" t="n"/>
      <c r="F42" s="4" t="n"/>
      <c r="G42" s="4" t="n"/>
      <c r="H42" s="4" t="n"/>
      <c r="I42" s="4">
        <f>IF(E42="","",IFERROR((E42+F42+G42+H42)*0.08,0))</f>
        <v/>
      </c>
      <c r="J42" s="4">
        <f>IF(E42="","",E42+F42+G42+H42-I42)</f>
        <v/>
      </c>
      <c r="K42" s="4" t="n"/>
    </row>
    <row r="43">
      <c r="A43" s="6" t="n"/>
      <c r="B43" s="6" t="n"/>
      <c r="C43" s="6">
        <f>IF(B43="","",VLOOKUP(B43,'F01 - _Données Expatriés'!$A$6:$L$15,2,FALSE))</f>
        <v/>
      </c>
      <c r="D43" s="6" t="n"/>
      <c r="E43" s="6" t="n"/>
      <c r="F43" s="6" t="n"/>
      <c r="G43" s="6" t="n"/>
      <c r="H43" s="6" t="n"/>
      <c r="I43" s="6">
        <f>IF(E43="","",IFERROR((E43+F43+G43+H43)*0.08,0))</f>
        <v/>
      </c>
      <c r="J43" s="6">
        <f>IF(E43="","",E43+F43+G43+H43-I43)</f>
        <v/>
      </c>
      <c r="K43" s="6" t="n"/>
    </row>
    <row r="44">
      <c r="A44" s="4" t="n"/>
      <c r="B44" s="4" t="n"/>
      <c r="C44" s="4">
        <f>IF(B44="","",VLOOKUP(B44,'F01 - _Données Expatriés'!$A$6:$L$15,2,FALSE))</f>
        <v/>
      </c>
      <c r="D44" s="4" t="n"/>
      <c r="E44" s="4" t="n"/>
      <c r="F44" s="4" t="n"/>
      <c r="G44" s="4" t="n"/>
      <c r="H44" s="4" t="n"/>
      <c r="I44" s="4">
        <f>IF(E44="","",IFERROR((E44+F44+G44+H44)*0.08,0))</f>
        <v/>
      </c>
      <c r="J44" s="4">
        <f>IF(E44="","",E44+F44+G44+H44-I44)</f>
        <v/>
      </c>
      <c r="K44" s="4" t="n"/>
    </row>
    <row r="45">
      <c r="A45" s="6" t="n"/>
      <c r="B45" s="6" t="n"/>
      <c r="C45" s="6">
        <f>IF(B45="","",VLOOKUP(B45,'F01 - _Données Expatriés'!$A$6:$L$15,2,FALSE))</f>
        <v/>
      </c>
      <c r="D45" s="6" t="n"/>
      <c r="E45" s="6" t="n"/>
      <c r="F45" s="6" t="n"/>
      <c r="G45" s="6" t="n"/>
      <c r="H45" s="6" t="n"/>
      <c r="I45" s="6">
        <f>IF(E45="","",IFERROR((E45+F45+G45+H45)*0.08,0))</f>
        <v/>
      </c>
      <c r="J45" s="6">
        <f>IF(E45="","",E45+F45+G45+H45-I45)</f>
        <v/>
      </c>
      <c r="K45" s="6" t="n"/>
    </row>
    <row r="46">
      <c r="A46" s="4" t="n"/>
      <c r="B46" s="4" t="n"/>
      <c r="C46" s="4">
        <f>IF(B46="","",VLOOKUP(B46,'F01 - _Données Expatriés'!$A$6:$L$15,2,FALSE))</f>
        <v/>
      </c>
      <c r="D46" s="4" t="n"/>
      <c r="E46" s="4" t="n"/>
      <c r="F46" s="4" t="n"/>
      <c r="G46" s="4" t="n"/>
      <c r="H46" s="4" t="n"/>
      <c r="I46" s="4">
        <f>IF(E46="","",IFERROR((E46+F46+G46+H46)*0.08,0))</f>
        <v/>
      </c>
      <c r="J46" s="4">
        <f>IF(E46="","",E46+F46+G46+H46-I46)</f>
        <v/>
      </c>
      <c r="K46" s="4" t="n"/>
    </row>
    <row r="47">
      <c r="A47" s="6" t="n"/>
      <c r="B47" s="6" t="n"/>
      <c r="C47" s="6">
        <f>IF(B47="","",VLOOKUP(B47,'F01 - _Données Expatriés'!$A$6:$L$15,2,FALSE))</f>
        <v/>
      </c>
      <c r="D47" s="6" t="n"/>
      <c r="E47" s="6" t="n"/>
      <c r="F47" s="6" t="n"/>
      <c r="G47" s="6" t="n"/>
      <c r="H47" s="6" t="n"/>
      <c r="I47" s="6">
        <f>IF(E47="","",IFERROR((E47+F47+G47+H47)*0.08,0))</f>
        <v/>
      </c>
      <c r="J47" s="6">
        <f>IF(E47="","",E47+F47+G47+H47-I47)</f>
        <v/>
      </c>
      <c r="K47" s="6" t="n"/>
    </row>
    <row r="48">
      <c r="A48" s="4" t="n"/>
      <c r="B48" s="4" t="n"/>
      <c r="C48" s="4">
        <f>IF(B48="","",VLOOKUP(B48,'F01 - _Données Expatriés'!$A$6:$L$15,2,FALSE))</f>
        <v/>
      </c>
      <c r="D48" s="4" t="n"/>
      <c r="E48" s="4" t="n"/>
      <c r="F48" s="4" t="n"/>
      <c r="G48" s="4" t="n"/>
      <c r="H48" s="4" t="n"/>
      <c r="I48" s="4">
        <f>IF(E48="","",IFERROR((E48+F48+G48+H48)*0.08,0))</f>
        <v/>
      </c>
      <c r="J48" s="4">
        <f>IF(E48="","",E48+F48+G48+H48-I48)</f>
        <v/>
      </c>
      <c r="K48" s="4" t="n"/>
    </row>
    <row r="49">
      <c r="A49" s="6" t="n"/>
      <c r="B49" s="6" t="n"/>
      <c r="C49" s="6">
        <f>IF(B49="","",VLOOKUP(B49,'F01 - _Données Expatriés'!$A$6:$L$15,2,FALSE))</f>
        <v/>
      </c>
      <c r="D49" s="6" t="n"/>
      <c r="E49" s="6" t="n"/>
      <c r="F49" s="6" t="n"/>
      <c r="G49" s="6" t="n"/>
      <c r="H49" s="6" t="n"/>
      <c r="I49" s="6">
        <f>IF(E49="","",IFERROR((E49+F49+G49+H49)*0.08,0))</f>
        <v/>
      </c>
      <c r="J49" s="6">
        <f>IF(E49="","",E49+F49+G49+H49-I49)</f>
        <v/>
      </c>
      <c r="K49" s="6" t="n"/>
    </row>
    <row r="50">
      <c r="A50" s="4" t="n"/>
      <c r="B50" s="4" t="n"/>
      <c r="C50" s="4">
        <f>IF(B50="","",VLOOKUP(B50,'F01 - _Données Expatriés'!$A$6:$L$15,2,FALSE))</f>
        <v/>
      </c>
      <c r="D50" s="4" t="n"/>
      <c r="E50" s="4" t="n"/>
      <c r="F50" s="4" t="n"/>
      <c r="G50" s="4" t="n"/>
      <c r="H50" s="4" t="n"/>
      <c r="I50" s="4">
        <f>IF(E50="","",IFERROR((E50+F50+G50+H50)*0.08,0))</f>
        <v/>
      </c>
      <c r="J50" s="4">
        <f>IF(E50="","",E50+F50+G50+H50-I50)</f>
        <v/>
      </c>
      <c r="K50" s="4" t="n"/>
    </row>
    <row r="51">
      <c r="A51" s="6" t="n"/>
      <c r="B51" s="6" t="n"/>
      <c r="C51" s="6">
        <f>IF(B51="","",VLOOKUP(B51,'F01 - _Données Expatriés'!$A$6:$L$15,2,FALSE))</f>
        <v/>
      </c>
      <c r="D51" s="6" t="n"/>
      <c r="E51" s="6" t="n"/>
      <c r="F51" s="6" t="n"/>
      <c r="G51" s="6" t="n"/>
      <c r="H51" s="6" t="n"/>
      <c r="I51" s="6">
        <f>IF(E51="","",IFERROR((E51+F51+G51+H51)*0.08,0))</f>
        <v/>
      </c>
      <c r="J51" s="6">
        <f>IF(E51="","",E51+F51+G51+H51-I51)</f>
        <v/>
      </c>
      <c r="K51" s="6" t="n"/>
    </row>
    <row r="52">
      <c r="A52" s="4" t="n"/>
      <c r="B52" s="4" t="n"/>
      <c r="C52" s="4">
        <f>IF(B52="","",VLOOKUP(B52,'F01 - _Données Expatriés'!$A$6:$L$15,2,FALSE))</f>
        <v/>
      </c>
      <c r="D52" s="4" t="n"/>
      <c r="E52" s="4" t="n"/>
      <c r="F52" s="4" t="n"/>
      <c r="G52" s="4" t="n"/>
      <c r="H52" s="4" t="n"/>
      <c r="I52" s="4">
        <f>IF(E52="","",IFERROR((E52+F52+G52+H52)*0.08,0))</f>
        <v/>
      </c>
      <c r="J52" s="4">
        <f>IF(E52="","",E52+F52+G52+H52-I52)</f>
        <v/>
      </c>
      <c r="K52" s="4" t="n"/>
    </row>
    <row r="53">
      <c r="A53" s="6" t="n"/>
      <c r="B53" s="6" t="n"/>
      <c r="C53" s="6">
        <f>IF(B53="","",VLOOKUP(B53,'F01 - _Données Expatriés'!$A$6:$L$15,2,FALSE))</f>
        <v/>
      </c>
      <c r="D53" s="6" t="n"/>
      <c r="E53" s="6" t="n"/>
      <c r="F53" s="6" t="n"/>
      <c r="G53" s="6" t="n"/>
      <c r="H53" s="6" t="n"/>
      <c r="I53" s="6">
        <f>IF(E53="","",IFERROR((E53+F53+G53+H53)*0.08,0))</f>
        <v/>
      </c>
      <c r="J53" s="6">
        <f>IF(E53="","",E53+F53+G53+H53-I53)</f>
        <v/>
      </c>
      <c r="K53" s="6" t="n"/>
    </row>
    <row r="54">
      <c r="A54" s="4" t="n"/>
      <c r="B54" s="4" t="n"/>
      <c r="C54" s="4">
        <f>IF(B54="","",VLOOKUP(B54,'F01 - _Données Expatriés'!$A$6:$L$15,2,FALSE))</f>
        <v/>
      </c>
      <c r="D54" s="4" t="n"/>
      <c r="E54" s="4" t="n"/>
      <c r="F54" s="4" t="n"/>
      <c r="G54" s="4" t="n"/>
      <c r="H54" s="4" t="n"/>
      <c r="I54" s="4">
        <f>IF(E54="","",IFERROR((E54+F54+G54+H54)*0.08,0))</f>
        <v/>
      </c>
      <c r="J54" s="4">
        <f>IF(E54="","",E54+F54+G54+H54-I54)</f>
        <v/>
      </c>
      <c r="K54" s="4" t="n"/>
    </row>
    <row r="55">
      <c r="A55" s="6" t="n"/>
      <c r="B55" s="6" t="n"/>
      <c r="C55" s="6">
        <f>IF(B55="","",VLOOKUP(B55,'F01 - _Données Expatriés'!$A$6:$L$15,2,FALSE))</f>
        <v/>
      </c>
      <c r="D55" s="6" t="n"/>
      <c r="E55" s="6" t="n"/>
      <c r="F55" s="6" t="n"/>
      <c r="G55" s="6" t="n"/>
      <c r="H55" s="6" t="n"/>
      <c r="I55" s="6">
        <f>IF(E55="","",IFERROR((E55+F55+G55+H55)*0.08,0))</f>
        <v/>
      </c>
      <c r="J55" s="6">
        <f>IF(E55="","",E55+F55+G55+H55-I55)</f>
        <v/>
      </c>
      <c r="K55" s="6" t="n"/>
    </row>
    <row r="56">
      <c r="A56" s="4" t="n"/>
      <c r="B56" s="4" t="n"/>
      <c r="C56" s="4">
        <f>IF(B56="","",VLOOKUP(B56,'F01 - _Données Expatriés'!$A$6:$L$15,2,FALSE))</f>
        <v/>
      </c>
      <c r="D56" s="4" t="n"/>
      <c r="E56" s="4" t="n"/>
      <c r="F56" s="4" t="n"/>
      <c r="G56" s="4" t="n"/>
      <c r="H56" s="4" t="n"/>
      <c r="I56" s="4">
        <f>IF(E56="","",IFERROR((E56+F56+G56+H56)*0.08,0))</f>
        <v/>
      </c>
      <c r="J56" s="4">
        <f>IF(E56="","",E56+F56+G56+H56-I56)</f>
        <v/>
      </c>
      <c r="K56" s="4" t="n"/>
    </row>
    <row r="57">
      <c r="A57" s="6" t="n"/>
      <c r="B57" s="6" t="n"/>
      <c r="C57" s="6">
        <f>IF(B57="","",VLOOKUP(B57,'F01 - _Données Expatriés'!$A$6:$L$15,2,FALSE))</f>
        <v/>
      </c>
      <c r="D57" s="6" t="n"/>
      <c r="E57" s="6" t="n"/>
      <c r="F57" s="6" t="n"/>
      <c r="G57" s="6" t="n"/>
      <c r="H57" s="6" t="n"/>
      <c r="I57" s="6">
        <f>IF(E57="","",IFERROR((E57+F57+G57+H57)*0.08,0))</f>
        <v/>
      </c>
      <c r="J57" s="6">
        <f>IF(E57="","",E57+F57+G57+H57-I57)</f>
        <v/>
      </c>
      <c r="K57" s="6" t="n"/>
    </row>
    <row r="58">
      <c r="A58" s="4" t="n"/>
      <c r="B58" s="4" t="n"/>
      <c r="C58" s="4">
        <f>IF(B58="","",VLOOKUP(B58,'F01 - _Données Expatriés'!$A$6:$L$15,2,FALSE))</f>
        <v/>
      </c>
      <c r="D58" s="4" t="n"/>
      <c r="E58" s="4" t="n"/>
      <c r="F58" s="4" t="n"/>
      <c r="G58" s="4" t="n"/>
      <c r="H58" s="4" t="n"/>
      <c r="I58" s="4">
        <f>IF(E58="","",IFERROR((E58+F58+G58+H58)*0.08,0))</f>
        <v/>
      </c>
      <c r="J58" s="4">
        <f>IF(E58="","",E58+F58+G58+H58-I58)</f>
        <v/>
      </c>
      <c r="K58" s="4" t="n"/>
    </row>
    <row r="59">
      <c r="A59" s="6" t="n"/>
      <c r="B59" s="6" t="n"/>
      <c r="C59" s="6">
        <f>IF(B59="","",VLOOKUP(B59,'F01 - _Données Expatriés'!$A$6:$L$15,2,FALSE))</f>
        <v/>
      </c>
      <c r="D59" s="6" t="n"/>
      <c r="E59" s="6" t="n"/>
      <c r="F59" s="6" t="n"/>
      <c r="G59" s="6" t="n"/>
      <c r="H59" s="6" t="n"/>
      <c r="I59" s="6">
        <f>IF(E59="","",IFERROR((E59+F59+G59+H59)*0.08,0))</f>
        <v/>
      </c>
      <c r="J59" s="6">
        <f>IF(E59="","",E59+F59+G59+H59-I59)</f>
        <v/>
      </c>
      <c r="K59" s="6" t="n"/>
    </row>
    <row r="60">
      <c r="A60" s="4" t="n"/>
      <c r="B60" s="4" t="n"/>
      <c r="C60" s="4">
        <f>IF(B60="","",VLOOKUP(B60,'F01 - _Données Expatriés'!$A$6:$L$15,2,FALSE))</f>
        <v/>
      </c>
      <c r="D60" s="4" t="n"/>
      <c r="E60" s="4" t="n"/>
      <c r="F60" s="4" t="n"/>
      <c r="G60" s="4" t="n"/>
      <c r="H60" s="4" t="n"/>
      <c r="I60" s="4">
        <f>IF(E60="","",IFERROR((E60+F60+G60+H60)*0.08,0))</f>
        <v/>
      </c>
      <c r="J60" s="4">
        <f>IF(E60="","",E60+F60+G60+H60-I60)</f>
        <v/>
      </c>
      <c r="K60" s="4" t="n"/>
    </row>
    <row r="61">
      <c r="A61" s="6" t="n"/>
      <c r="B61" s="6" t="n"/>
      <c r="C61" s="6">
        <f>IF(B61="","",VLOOKUP(B61,'F01 - _Données Expatriés'!$A$6:$L$15,2,FALSE))</f>
        <v/>
      </c>
      <c r="D61" s="6" t="n"/>
      <c r="E61" s="6" t="n"/>
      <c r="F61" s="6" t="n"/>
      <c r="G61" s="6" t="n"/>
      <c r="H61" s="6" t="n"/>
      <c r="I61" s="6">
        <f>IF(E61="","",IFERROR((E61+F61+G61+H61)*0.08,0))</f>
        <v/>
      </c>
      <c r="J61" s="6">
        <f>IF(E61="","",E61+F61+G61+H61-I61)</f>
        <v/>
      </c>
      <c r="K61" s="6" t="n"/>
    </row>
    <row r="62">
      <c r="A62" s="4" t="n"/>
      <c r="B62" s="4" t="n"/>
      <c r="C62" s="4">
        <f>IF(B62="","",VLOOKUP(B62,'F01 - _Données Expatriés'!$A$6:$L$15,2,FALSE))</f>
        <v/>
      </c>
      <c r="D62" s="4" t="n"/>
      <c r="E62" s="4" t="n"/>
      <c r="F62" s="4" t="n"/>
      <c r="G62" s="4" t="n"/>
      <c r="H62" s="4" t="n"/>
      <c r="I62" s="4">
        <f>IF(E62="","",IFERROR((E62+F62+G62+H62)*0.08,0))</f>
        <v/>
      </c>
      <c r="J62" s="4">
        <f>IF(E62="","",E62+F62+G62+H62-I62)</f>
        <v/>
      </c>
      <c r="K62" s="4" t="n"/>
    </row>
    <row r="63">
      <c r="A63" s="6" t="n"/>
      <c r="B63" s="6" t="n"/>
      <c r="C63" s="6">
        <f>IF(B63="","",VLOOKUP(B63,'F01 - _Données Expatriés'!$A$6:$L$15,2,FALSE))</f>
        <v/>
      </c>
      <c r="D63" s="6" t="n"/>
      <c r="E63" s="6" t="n"/>
      <c r="F63" s="6" t="n"/>
      <c r="G63" s="6" t="n"/>
      <c r="H63" s="6" t="n"/>
      <c r="I63" s="6">
        <f>IF(E63="","",IFERROR((E63+F63+G63+H63)*0.08,0))</f>
        <v/>
      </c>
      <c r="J63" s="6">
        <f>IF(E63="","",E63+F63+G63+H63-I63)</f>
        <v/>
      </c>
      <c r="K63" s="6" t="n"/>
    </row>
    <row r="64">
      <c r="A64" s="4" t="n"/>
      <c r="B64" s="4" t="n"/>
      <c r="C64" s="4">
        <f>IF(B64="","",VLOOKUP(B64,'F01 - _Données Expatriés'!$A$6:$L$15,2,FALSE))</f>
        <v/>
      </c>
      <c r="D64" s="4" t="n"/>
      <c r="E64" s="4" t="n"/>
      <c r="F64" s="4" t="n"/>
      <c r="G64" s="4" t="n"/>
      <c r="H64" s="4" t="n"/>
      <c r="I64" s="4">
        <f>IF(E64="","",IFERROR((E64+F64+G64+H64)*0.08,0))</f>
        <v/>
      </c>
      <c r="J64" s="4">
        <f>IF(E64="","",E64+F64+G64+H64-I64)</f>
        <v/>
      </c>
      <c r="K64" s="4" t="n"/>
    </row>
    <row r="65">
      <c r="A65" s="6" t="n"/>
      <c r="B65" s="6" t="n"/>
      <c r="C65" s="6">
        <f>IF(B65="","",VLOOKUP(B65,'F01 - _Données Expatriés'!$A$6:$L$15,2,FALSE))</f>
        <v/>
      </c>
      <c r="D65" s="6" t="n"/>
      <c r="E65" s="6" t="n"/>
      <c r="F65" s="6" t="n"/>
      <c r="G65" s="6" t="n"/>
      <c r="H65" s="6" t="n"/>
      <c r="I65" s="6">
        <f>IF(E65="","",IFERROR((E65+F65+G65+H65)*0.08,0))</f>
        <v/>
      </c>
      <c r="J65" s="6">
        <f>IF(E65="","",E65+F65+G65+H65-I65)</f>
        <v/>
      </c>
      <c r="K65" s="6" t="n"/>
    </row>
    <row r="66">
      <c r="A66" s="4" t="n"/>
      <c r="B66" s="4" t="n"/>
      <c r="C66" s="4">
        <f>IF(B66="","",VLOOKUP(B66,'F01 - _Données Expatriés'!$A$6:$L$15,2,FALSE))</f>
        <v/>
      </c>
      <c r="D66" s="4" t="n"/>
      <c r="E66" s="4" t="n"/>
      <c r="F66" s="4" t="n"/>
      <c r="G66" s="4" t="n"/>
      <c r="H66" s="4" t="n"/>
      <c r="I66" s="4">
        <f>IF(E66="","",IFERROR((E66+F66+G66+H66)*0.08,0))</f>
        <v/>
      </c>
      <c r="J66" s="4">
        <f>IF(E66="","",E66+F66+G66+H66-I66)</f>
        <v/>
      </c>
      <c r="K66" s="4" t="n"/>
    </row>
    <row r="67">
      <c r="A67" s="6" t="n"/>
      <c r="B67" s="6" t="n"/>
      <c r="C67" s="6">
        <f>IF(B67="","",VLOOKUP(B67,'F01 - _Données Expatriés'!$A$6:$L$15,2,FALSE))</f>
        <v/>
      </c>
      <c r="D67" s="6" t="n"/>
      <c r="E67" s="6" t="n"/>
      <c r="F67" s="6" t="n"/>
      <c r="G67" s="6" t="n"/>
      <c r="H67" s="6" t="n"/>
      <c r="I67" s="6">
        <f>IF(E67="","",IFERROR((E67+F67+G67+H67)*0.08,0))</f>
        <v/>
      </c>
      <c r="J67" s="6">
        <f>IF(E67="","",E67+F67+G67+H67-I67)</f>
        <v/>
      </c>
      <c r="K67" s="6" t="n"/>
    </row>
    <row r="68">
      <c r="A68" s="4" t="n"/>
      <c r="B68" s="4" t="n"/>
      <c r="C68" s="4">
        <f>IF(B68="","",VLOOKUP(B68,'F01 - _Données Expatriés'!$A$6:$L$15,2,FALSE))</f>
        <v/>
      </c>
      <c r="D68" s="4" t="n"/>
      <c r="E68" s="4" t="n"/>
      <c r="F68" s="4" t="n"/>
      <c r="G68" s="4" t="n"/>
      <c r="H68" s="4" t="n"/>
      <c r="I68" s="4">
        <f>IF(E68="","",IFERROR((E68+F68+G68+H68)*0.08,0))</f>
        <v/>
      </c>
      <c r="J68" s="4">
        <f>IF(E68="","",E68+F68+G68+H68-I68)</f>
        <v/>
      </c>
      <c r="K68" s="4" t="n"/>
    </row>
    <row r="69">
      <c r="A69" s="6" t="n"/>
      <c r="B69" s="6" t="n"/>
      <c r="C69" s="6">
        <f>IF(B69="","",VLOOKUP(B69,'F01 - _Données Expatriés'!$A$6:$L$15,2,FALSE))</f>
        <v/>
      </c>
      <c r="D69" s="6" t="n"/>
      <c r="E69" s="6" t="n"/>
      <c r="F69" s="6" t="n"/>
      <c r="G69" s="6" t="n"/>
      <c r="H69" s="6" t="n"/>
      <c r="I69" s="6">
        <f>IF(E69="","",IFERROR((E69+F69+G69+H69)*0.08,0))</f>
        <v/>
      </c>
      <c r="J69" s="6">
        <f>IF(E69="","",E69+F69+G69+H69-I69)</f>
        <v/>
      </c>
      <c r="K69" s="6" t="n"/>
    </row>
    <row r="70">
      <c r="A70" s="4" t="n"/>
      <c r="B70" s="4" t="n"/>
      <c r="C70" s="4">
        <f>IF(B70="","",VLOOKUP(B70,'F01 - _Données Expatriés'!$A$6:$L$15,2,FALSE))</f>
        <v/>
      </c>
      <c r="D70" s="4" t="n"/>
      <c r="E70" s="4" t="n"/>
      <c r="F70" s="4" t="n"/>
      <c r="G70" s="4" t="n"/>
      <c r="H70" s="4" t="n"/>
      <c r="I70" s="4">
        <f>IF(E70="","",IFERROR((E70+F70+G70+H70)*0.08,0))</f>
        <v/>
      </c>
      <c r="J70" s="4">
        <f>IF(E70="","",E70+F70+G70+H70-I70)</f>
        <v/>
      </c>
      <c r="K70" s="4" t="n"/>
    </row>
    <row r="71">
      <c r="A71" s="6" t="n"/>
      <c r="B71" s="6" t="n"/>
      <c r="C71" s="6">
        <f>IF(B71="","",VLOOKUP(B71,'F01 - _Données Expatriés'!$A$6:$L$15,2,FALSE))</f>
        <v/>
      </c>
      <c r="D71" s="6" t="n"/>
      <c r="E71" s="6" t="n"/>
      <c r="F71" s="6" t="n"/>
      <c r="G71" s="6" t="n"/>
      <c r="H71" s="6" t="n"/>
      <c r="I71" s="6">
        <f>IF(E71="","",IFERROR((E71+F71+G71+H71)*0.08,0))</f>
        <v/>
      </c>
      <c r="J71" s="6">
        <f>IF(E71="","",E71+F71+G71+H71-I71)</f>
        <v/>
      </c>
      <c r="K71" s="6" t="n"/>
    </row>
    <row r="72">
      <c r="A72" s="4" t="n"/>
      <c r="B72" s="4" t="n"/>
      <c r="C72" s="4">
        <f>IF(B72="","",VLOOKUP(B72,'F01 - _Données Expatriés'!$A$6:$L$15,2,FALSE))</f>
        <v/>
      </c>
      <c r="D72" s="4" t="n"/>
      <c r="E72" s="4" t="n"/>
      <c r="F72" s="4" t="n"/>
      <c r="G72" s="4" t="n"/>
      <c r="H72" s="4" t="n"/>
      <c r="I72" s="4">
        <f>IF(E72="","",IFERROR((E72+F72+G72+H72)*0.08,0))</f>
        <v/>
      </c>
      <c r="J72" s="4">
        <f>IF(E72="","",E72+F72+G72+H72-I72)</f>
        <v/>
      </c>
      <c r="K72" s="4" t="n"/>
    </row>
    <row r="73">
      <c r="A73" s="6" t="n"/>
      <c r="B73" s="6" t="n"/>
      <c r="C73" s="6">
        <f>IF(B73="","",VLOOKUP(B73,'F01 - _Données Expatriés'!$A$6:$L$15,2,FALSE))</f>
        <v/>
      </c>
      <c r="D73" s="6" t="n"/>
      <c r="E73" s="6" t="n"/>
      <c r="F73" s="6" t="n"/>
      <c r="G73" s="6" t="n"/>
      <c r="H73" s="6" t="n"/>
      <c r="I73" s="6">
        <f>IF(E73="","",IFERROR((E73+F73+G73+H73)*0.08,0))</f>
        <v/>
      </c>
      <c r="J73" s="6">
        <f>IF(E73="","",E73+F73+G73+H73-I73)</f>
        <v/>
      </c>
      <c r="K73" s="6" t="n"/>
    </row>
    <row r="74">
      <c r="A74" s="4" t="n"/>
      <c r="B74" s="4" t="n"/>
      <c r="C74" s="4">
        <f>IF(B74="","",VLOOKUP(B74,'F01 - _Données Expatriés'!$A$6:$L$15,2,FALSE))</f>
        <v/>
      </c>
      <c r="D74" s="4" t="n"/>
      <c r="E74" s="4" t="n"/>
      <c r="F74" s="4" t="n"/>
      <c r="G74" s="4" t="n"/>
      <c r="H74" s="4" t="n"/>
      <c r="I74" s="4">
        <f>IF(E74="","",IFERROR((E74+F74+G74+H74)*0.08,0))</f>
        <v/>
      </c>
      <c r="J74" s="4">
        <f>IF(E74="","",E74+F74+G74+H74-I74)</f>
        <v/>
      </c>
      <c r="K74" s="4" t="n"/>
    </row>
    <row r="75">
      <c r="A75" s="6" t="n"/>
      <c r="B75" s="6" t="n"/>
      <c r="C75" s="6">
        <f>IF(B75="","",VLOOKUP(B75,'F01 - _Données Expatriés'!$A$6:$L$15,2,FALSE))</f>
        <v/>
      </c>
      <c r="D75" s="6" t="n"/>
      <c r="E75" s="6" t="n"/>
      <c r="F75" s="6" t="n"/>
      <c r="G75" s="6" t="n"/>
      <c r="H75" s="6" t="n"/>
      <c r="I75" s="6">
        <f>IF(E75="","",IFERROR((E75+F75+G75+H75)*0.08,0))</f>
        <v/>
      </c>
      <c r="J75" s="6">
        <f>IF(E75="","",E75+F75+G75+H75-I75)</f>
        <v/>
      </c>
      <c r="K75" s="6" t="n"/>
    </row>
    <row r="76">
      <c r="A76" s="4" t="n"/>
      <c r="B76" s="4" t="n"/>
      <c r="C76" s="4">
        <f>IF(B76="","",VLOOKUP(B76,'F01 - _Données Expatriés'!$A$6:$L$15,2,FALSE))</f>
        <v/>
      </c>
      <c r="D76" s="4" t="n"/>
      <c r="E76" s="4" t="n"/>
      <c r="F76" s="4" t="n"/>
      <c r="G76" s="4" t="n"/>
      <c r="H76" s="4" t="n"/>
      <c r="I76" s="4">
        <f>IF(E76="","",IFERROR((E76+F76+G76+H76)*0.08,0))</f>
        <v/>
      </c>
      <c r="J76" s="4">
        <f>IF(E76="","",E76+F76+G76+H76-I76)</f>
        <v/>
      </c>
      <c r="K76" s="4" t="n"/>
    </row>
    <row r="77">
      <c r="A77" s="6" t="n"/>
      <c r="B77" s="6" t="n"/>
      <c r="C77" s="6">
        <f>IF(B77="","",VLOOKUP(B77,'F01 - _Données Expatriés'!$A$6:$L$15,2,FALSE))</f>
        <v/>
      </c>
      <c r="D77" s="6" t="n"/>
      <c r="E77" s="6" t="n"/>
      <c r="F77" s="6" t="n"/>
      <c r="G77" s="6" t="n"/>
      <c r="H77" s="6" t="n"/>
      <c r="I77" s="6">
        <f>IF(E77="","",IFERROR((E77+F77+G77+H77)*0.08,0))</f>
        <v/>
      </c>
      <c r="J77" s="6">
        <f>IF(E77="","",E77+F77+G77+H77-I77)</f>
        <v/>
      </c>
      <c r="K77" s="6" t="n"/>
    </row>
    <row r="78">
      <c r="A78" s="4" t="n"/>
      <c r="B78" s="4" t="n"/>
      <c r="C78" s="4">
        <f>IF(B78="","",VLOOKUP(B78,'F01 - _Données Expatriés'!$A$6:$L$15,2,FALSE))</f>
        <v/>
      </c>
      <c r="D78" s="4" t="n"/>
      <c r="E78" s="4" t="n"/>
      <c r="F78" s="4" t="n"/>
      <c r="G78" s="4" t="n"/>
      <c r="H78" s="4" t="n"/>
      <c r="I78" s="4">
        <f>IF(E78="","",IFERROR((E78+F78+G78+H78)*0.08,0))</f>
        <v/>
      </c>
      <c r="J78" s="4">
        <f>IF(E78="","",E78+F78+G78+H78-I78)</f>
        <v/>
      </c>
      <c r="K78" s="4" t="n"/>
    </row>
    <row r="79">
      <c r="A79" s="6" t="n"/>
      <c r="B79" s="6" t="n"/>
      <c r="C79" s="6">
        <f>IF(B79="","",VLOOKUP(B79,'F01 - _Données Expatriés'!$A$6:$L$15,2,FALSE))</f>
        <v/>
      </c>
      <c r="D79" s="6" t="n"/>
      <c r="E79" s="6" t="n"/>
      <c r="F79" s="6" t="n"/>
      <c r="G79" s="6" t="n"/>
      <c r="H79" s="6" t="n"/>
      <c r="I79" s="6">
        <f>IF(E79="","",IFERROR((E79+F79+G79+H79)*0.08,0))</f>
        <v/>
      </c>
      <c r="J79" s="6">
        <f>IF(E79="","",E79+F79+G79+H79-I79)</f>
        <v/>
      </c>
      <c r="K79" s="6" t="n"/>
    </row>
    <row r="80">
      <c r="A80" s="4" t="n"/>
      <c r="B80" s="4" t="n"/>
      <c r="C80" s="4">
        <f>IF(B80="","",VLOOKUP(B80,'F01 - _Données Expatriés'!$A$6:$L$15,2,FALSE))</f>
        <v/>
      </c>
      <c r="D80" s="4" t="n"/>
      <c r="E80" s="4" t="n"/>
      <c r="F80" s="4" t="n"/>
      <c r="G80" s="4" t="n"/>
      <c r="H80" s="4" t="n"/>
      <c r="I80" s="4">
        <f>IF(E80="","",IFERROR((E80+F80+G80+H80)*0.08,0))</f>
        <v/>
      </c>
      <c r="J80" s="4">
        <f>IF(E80="","",E80+F80+G80+H80-I80)</f>
        <v/>
      </c>
      <c r="K80" s="4" t="n"/>
    </row>
    <row r="81">
      <c r="A81" s="6" t="n"/>
      <c r="B81" s="6" t="n"/>
      <c r="C81" s="6">
        <f>IF(B81="","",VLOOKUP(B81,'F01 - _Données Expatriés'!$A$6:$L$15,2,FALSE))</f>
        <v/>
      </c>
      <c r="D81" s="6" t="n"/>
      <c r="E81" s="6" t="n"/>
      <c r="F81" s="6" t="n"/>
      <c r="G81" s="6" t="n"/>
      <c r="H81" s="6" t="n"/>
      <c r="I81" s="6">
        <f>IF(E81="","",IFERROR((E81+F81+G81+H81)*0.08,0))</f>
        <v/>
      </c>
      <c r="J81" s="6">
        <f>IF(E81="","",E81+F81+G81+H81-I81)</f>
        <v/>
      </c>
      <c r="K81" s="6" t="n"/>
    </row>
    <row r="82">
      <c r="A82" s="4" t="n"/>
      <c r="B82" s="4" t="n"/>
      <c r="C82" s="4">
        <f>IF(B82="","",VLOOKUP(B82,'F01 - _Données Expatriés'!$A$6:$L$15,2,FALSE))</f>
        <v/>
      </c>
      <c r="D82" s="4" t="n"/>
      <c r="E82" s="4" t="n"/>
      <c r="F82" s="4" t="n"/>
      <c r="G82" s="4" t="n"/>
      <c r="H82" s="4" t="n"/>
      <c r="I82" s="4">
        <f>IF(E82="","",IFERROR((E82+F82+G82+H82)*0.08,0))</f>
        <v/>
      </c>
      <c r="J82" s="4">
        <f>IF(E82="","",E82+F82+G82+H82-I82)</f>
        <v/>
      </c>
      <c r="K82" s="4" t="n"/>
    </row>
    <row r="83">
      <c r="A83" s="6" t="n"/>
      <c r="B83" s="6" t="n"/>
      <c r="C83" s="6">
        <f>IF(B83="","",VLOOKUP(B83,'F01 - _Données Expatriés'!$A$6:$L$15,2,FALSE))</f>
        <v/>
      </c>
      <c r="D83" s="6" t="n"/>
      <c r="E83" s="6" t="n"/>
      <c r="F83" s="6" t="n"/>
      <c r="G83" s="6" t="n"/>
      <c r="H83" s="6" t="n"/>
      <c r="I83" s="6">
        <f>IF(E83="","",IFERROR((E83+F83+G83+H83)*0.08,0))</f>
        <v/>
      </c>
      <c r="J83" s="6">
        <f>IF(E83="","",E83+F83+G83+H83-I83)</f>
        <v/>
      </c>
      <c r="K83" s="6" t="n"/>
    </row>
    <row r="84">
      <c r="A84" s="4" t="n"/>
      <c r="B84" s="4" t="n"/>
      <c r="C84" s="4">
        <f>IF(B84="","",VLOOKUP(B84,'F01 - _Données Expatriés'!$A$6:$L$15,2,FALSE))</f>
        <v/>
      </c>
      <c r="D84" s="4" t="n"/>
      <c r="E84" s="4" t="n"/>
      <c r="F84" s="4" t="n"/>
      <c r="G84" s="4" t="n"/>
      <c r="H84" s="4" t="n"/>
      <c r="I84" s="4">
        <f>IF(E84="","",IFERROR((E84+F84+G84+H84)*0.08,0))</f>
        <v/>
      </c>
      <c r="J84" s="4">
        <f>IF(E84="","",E84+F84+G84+H84-I84)</f>
        <v/>
      </c>
      <c r="K84" s="4" t="n"/>
    </row>
    <row r="85">
      <c r="A85" s="6" t="n"/>
      <c r="B85" s="6" t="n"/>
      <c r="C85" s="6">
        <f>IF(B85="","",VLOOKUP(B85,'F01 - _Données Expatriés'!$A$6:$L$15,2,FALSE))</f>
        <v/>
      </c>
      <c r="D85" s="6" t="n"/>
      <c r="E85" s="6" t="n"/>
      <c r="F85" s="6" t="n"/>
      <c r="G85" s="6" t="n"/>
      <c r="H85" s="6" t="n"/>
      <c r="I85" s="6">
        <f>IF(E85="","",IFERROR((E85+F85+G85+H85)*0.08,0))</f>
        <v/>
      </c>
      <c r="J85" s="6">
        <f>IF(E85="","",E85+F85+G85+H85-I85)</f>
        <v/>
      </c>
      <c r="K85" s="6" t="n"/>
    </row>
    <row r="86">
      <c r="A86" s="4" t="n"/>
      <c r="B86" s="4" t="n"/>
      <c r="C86" s="4">
        <f>IF(B86="","",VLOOKUP(B86,'F01 - _Données Expatriés'!$A$6:$L$15,2,FALSE))</f>
        <v/>
      </c>
      <c r="D86" s="4" t="n"/>
      <c r="E86" s="4" t="n"/>
      <c r="F86" s="4" t="n"/>
      <c r="G86" s="4" t="n"/>
      <c r="H86" s="4" t="n"/>
      <c r="I86" s="4">
        <f>IF(E86="","",IFERROR((E86+F86+G86+H86)*0.08,0))</f>
        <v/>
      </c>
      <c r="J86" s="4">
        <f>IF(E86="","",E86+F86+G86+H86-I86)</f>
        <v/>
      </c>
      <c r="K86" s="4" t="n"/>
    </row>
    <row r="87">
      <c r="A87" s="6" t="n"/>
      <c r="B87" s="6" t="n"/>
      <c r="C87" s="6">
        <f>IF(B87="","",VLOOKUP(B87,'F01 - _Données Expatriés'!$A$6:$L$15,2,FALSE))</f>
        <v/>
      </c>
      <c r="D87" s="6" t="n"/>
      <c r="E87" s="6" t="n"/>
      <c r="F87" s="6" t="n"/>
      <c r="G87" s="6" t="n"/>
      <c r="H87" s="6" t="n"/>
      <c r="I87" s="6">
        <f>IF(E87="","",IFERROR((E87+F87+G87+H87)*0.08,0))</f>
        <v/>
      </c>
      <c r="J87" s="6">
        <f>IF(E87="","",E87+F87+G87+H87-I87)</f>
        <v/>
      </c>
      <c r="K87" s="6" t="n"/>
    </row>
    <row r="88">
      <c r="A88" s="4" t="n"/>
      <c r="B88" s="4" t="n"/>
      <c r="C88" s="4">
        <f>IF(B88="","",VLOOKUP(B88,'F01 - _Données Expatriés'!$A$6:$L$15,2,FALSE))</f>
        <v/>
      </c>
      <c r="D88" s="4" t="n"/>
      <c r="E88" s="4" t="n"/>
      <c r="F88" s="4" t="n"/>
      <c r="G88" s="4" t="n"/>
      <c r="H88" s="4" t="n"/>
      <c r="I88" s="4">
        <f>IF(E88="","",IFERROR((E88+F88+G88+H88)*0.08,0))</f>
        <v/>
      </c>
      <c r="J88" s="4">
        <f>IF(E88="","",E88+F88+G88+H88-I88)</f>
        <v/>
      </c>
      <c r="K88" s="4" t="n"/>
    </row>
    <row r="89">
      <c r="A89" s="6" t="n"/>
      <c r="B89" s="6" t="n"/>
      <c r="C89" s="6">
        <f>IF(B89="","",VLOOKUP(B89,'F01 - _Données Expatriés'!$A$6:$L$15,2,FALSE))</f>
        <v/>
      </c>
      <c r="D89" s="6" t="n"/>
      <c r="E89" s="6" t="n"/>
      <c r="F89" s="6" t="n"/>
      <c r="G89" s="6" t="n"/>
      <c r="H89" s="6" t="n"/>
      <c r="I89" s="6">
        <f>IF(E89="","",IFERROR((E89+F89+G89+H89)*0.08,0))</f>
        <v/>
      </c>
      <c r="J89" s="6">
        <f>IF(E89="","",E89+F89+G89+H89-I89)</f>
        <v/>
      </c>
      <c r="K89" s="6" t="n"/>
    </row>
    <row r="90">
      <c r="A90" s="4" t="n"/>
      <c r="B90" s="4" t="n"/>
      <c r="C90" s="4">
        <f>IF(B90="","",VLOOKUP(B90,'F01 - _Données Expatriés'!$A$6:$L$15,2,FALSE))</f>
        <v/>
      </c>
      <c r="D90" s="4" t="n"/>
      <c r="E90" s="4" t="n"/>
      <c r="F90" s="4" t="n"/>
      <c r="G90" s="4" t="n"/>
      <c r="H90" s="4" t="n"/>
      <c r="I90" s="4">
        <f>IF(E90="","",IFERROR((E90+F90+G90+H90)*0.08,0))</f>
        <v/>
      </c>
      <c r="J90" s="4">
        <f>IF(E90="","",E90+F90+G90+H90-I90)</f>
        <v/>
      </c>
      <c r="K90" s="4" t="n"/>
    </row>
    <row r="91">
      <c r="A91" s="6" t="n"/>
      <c r="B91" s="6" t="n"/>
      <c r="C91" s="6">
        <f>IF(B91="","",VLOOKUP(B91,'F01 - _Données Expatriés'!$A$6:$L$15,2,FALSE))</f>
        <v/>
      </c>
      <c r="D91" s="6" t="n"/>
      <c r="E91" s="6" t="n"/>
      <c r="F91" s="6" t="n"/>
      <c r="G91" s="6" t="n"/>
      <c r="H91" s="6" t="n"/>
      <c r="I91" s="6">
        <f>IF(E91="","",IFERROR((E91+F91+G91+H91)*0.08,0))</f>
        <v/>
      </c>
      <c r="J91" s="6">
        <f>IF(E91="","",E91+F91+G91+H91-I91)</f>
        <v/>
      </c>
      <c r="K91" s="6" t="n"/>
    </row>
    <row r="92">
      <c r="A92" s="4" t="n"/>
      <c r="B92" s="4" t="n"/>
      <c r="C92" s="4">
        <f>IF(B92="","",VLOOKUP(B92,'F01 - _Données Expatriés'!$A$6:$L$15,2,FALSE))</f>
        <v/>
      </c>
      <c r="D92" s="4" t="n"/>
      <c r="E92" s="4" t="n"/>
      <c r="F92" s="4" t="n"/>
      <c r="G92" s="4" t="n"/>
      <c r="H92" s="4" t="n"/>
      <c r="I92" s="4">
        <f>IF(E92="","",IFERROR((E92+F92+G92+H92)*0.08,0))</f>
        <v/>
      </c>
      <c r="J92" s="4">
        <f>IF(E92="","",E92+F92+G92+H92-I92)</f>
        <v/>
      </c>
      <c r="K92" s="4" t="n"/>
    </row>
    <row r="93">
      <c r="A93" s="6" t="n"/>
      <c r="B93" s="6" t="n"/>
      <c r="C93" s="6">
        <f>IF(B93="","",VLOOKUP(B93,'F01 - _Données Expatriés'!$A$6:$L$15,2,FALSE))</f>
        <v/>
      </c>
      <c r="D93" s="6" t="n"/>
      <c r="E93" s="6" t="n"/>
      <c r="F93" s="6" t="n"/>
      <c r="G93" s="6" t="n"/>
      <c r="H93" s="6" t="n"/>
      <c r="I93" s="6">
        <f>IF(E93="","",IFERROR((E93+F93+G93+H93)*0.08,0))</f>
        <v/>
      </c>
      <c r="J93" s="6">
        <f>IF(E93="","",E93+F93+G93+H93-I93)</f>
        <v/>
      </c>
      <c r="K93" s="6" t="n"/>
    </row>
    <row r="94">
      <c r="A94" s="4" t="n"/>
      <c r="B94" s="4" t="n"/>
      <c r="C94" s="4">
        <f>IF(B94="","",VLOOKUP(B94,'F01 - _Données Expatriés'!$A$6:$L$15,2,FALSE))</f>
        <v/>
      </c>
      <c r="D94" s="4" t="n"/>
      <c r="E94" s="4" t="n"/>
      <c r="F94" s="4" t="n"/>
      <c r="G94" s="4" t="n"/>
      <c r="H94" s="4" t="n"/>
      <c r="I94" s="4">
        <f>IF(E94="","",IFERROR((E94+F94+G94+H94)*0.08,0))</f>
        <v/>
      </c>
      <c r="J94" s="4">
        <f>IF(E94="","",E94+F94+G94+H94-I94)</f>
        <v/>
      </c>
      <c r="K94" s="4" t="n"/>
    </row>
    <row r="95">
      <c r="A95" s="6" t="n"/>
      <c r="B95" s="6" t="n"/>
      <c r="C95" s="6">
        <f>IF(B95="","",VLOOKUP(B95,'F01 - _Données Expatriés'!$A$6:$L$15,2,FALSE))</f>
        <v/>
      </c>
      <c r="D95" s="6" t="n"/>
      <c r="E95" s="6" t="n"/>
      <c r="F95" s="6" t="n"/>
      <c r="G95" s="6" t="n"/>
      <c r="H95" s="6" t="n"/>
      <c r="I95" s="6">
        <f>IF(E95="","",IFERROR((E95+F95+G95+H95)*0.08,0))</f>
        <v/>
      </c>
      <c r="J95" s="6">
        <f>IF(E95="","",E95+F95+G95+H95-I95)</f>
        <v/>
      </c>
      <c r="K95" s="6" t="n"/>
    </row>
    <row r="96">
      <c r="A96" s="4" t="n"/>
      <c r="B96" s="4" t="n"/>
      <c r="C96" s="4">
        <f>IF(B96="","",VLOOKUP(B96,'F01 - _Données Expatriés'!$A$6:$L$15,2,FALSE))</f>
        <v/>
      </c>
      <c r="D96" s="4" t="n"/>
      <c r="E96" s="4" t="n"/>
      <c r="F96" s="4" t="n"/>
      <c r="G96" s="4" t="n"/>
      <c r="H96" s="4" t="n"/>
      <c r="I96" s="4">
        <f>IF(E96="","",IFERROR((E96+F96+G96+H96)*0.08,0))</f>
        <v/>
      </c>
      <c r="J96" s="4">
        <f>IF(E96="","",E96+F96+G96+H96-I96)</f>
        <v/>
      </c>
      <c r="K96" s="4" t="n"/>
    </row>
    <row r="97">
      <c r="A97" s="6" t="n"/>
      <c r="B97" s="6" t="n"/>
      <c r="C97" s="6">
        <f>IF(B97="","",VLOOKUP(B97,'F01 - _Données Expatriés'!$A$6:$L$15,2,FALSE))</f>
        <v/>
      </c>
      <c r="D97" s="6" t="n"/>
      <c r="E97" s="6" t="n"/>
      <c r="F97" s="6" t="n"/>
      <c r="G97" s="6" t="n"/>
      <c r="H97" s="6" t="n"/>
      <c r="I97" s="6">
        <f>IF(E97="","",IFERROR((E97+F97+G97+H97)*0.08,0))</f>
        <v/>
      </c>
      <c r="J97" s="6">
        <f>IF(E97="","",E97+F97+G97+H97-I97)</f>
        <v/>
      </c>
      <c r="K97" s="6" t="n"/>
    </row>
    <row r="98">
      <c r="A98" s="4" t="n"/>
      <c r="B98" s="4" t="n"/>
      <c r="C98" s="4">
        <f>IF(B98="","",VLOOKUP(B98,'F01 - _Données Expatriés'!$A$6:$L$15,2,FALSE))</f>
        <v/>
      </c>
      <c r="D98" s="4" t="n"/>
      <c r="E98" s="4" t="n"/>
      <c r="F98" s="4" t="n"/>
      <c r="G98" s="4" t="n"/>
      <c r="H98" s="4" t="n"/>
      <c r="I98" s="4">
        <f>IF(E98="","",IFERROR((E98+F98+G98+H98)*0.08,0))</f>
        <v/>
      </c>
      <c r="J98" s="4">
        <f>IF(E98="","",E98+F98+G98+H98-I98)</f>
        <v/>
      </c>
      <c r="K98" s="4" t="n"/>
    </row>
    <row r="99">
      <c r="A99" s="6" t="n"/>
      <c r="B99" s="6" t="n"/>
      <c r="C99" s="6">
        <f>IF(B99="","",VLOOKUP(B99,'F01 - _Données Expatriés'!$A$6:$L$15,2,FALSE))</f>
        <v/>
      </c>
      <c r="D99" s="6" t="n"/>
      <c r="E99" s="6" t="n"/>
      <c r="F99" s="6" t="n"/>
      <c r="G99" s="6" t="n"/>
      <c r="H99" s="6" t="n"/>
      <c r="I99" s="6">
        <f>IF(E99="","",IFERROR((E99+F99+G99+H99)*0.08,0))</f>
        <v/>
      </c>
      <c r="J99" s="6">
        <f>IF(E99="","",E99+F99+G99+H99-I99)</f>
        <v/>
      </c>
      <c r="K99" s="6" t="n"/>
    </row>
    <row r="100">
      <c r="A100" s="4" t="n"/>
      <c r="B100" s="4" t="n"/>
      <c r="C100" s="4">
        <f>IF(B100="","",VLOOKUP(B100,'F01 - _Données Expatriés'!$A$6:$L$15,2,FALSE))</f>
        <v/>
      </c>
      <c r="D100" s="4" t="n"/>
      <c r="E100" s="4" t="n"/>
      <c r="F100" s="4" t="n"/>
      <c r="G100" s="4" t="n"/>
      <c r="H100" s="4" t="n"/>
      <c r="I100" s="4">
        <f>IF(E100="","",IFERROR((E100+F100+G100+H100)*0.08,0))</f>
        <v/>
      </c>
      <c r="J100" s="4">
        <f>IF(E100="","",E100+F100+G100+H100-I100)</f>
        <v/>
      </c>
      <c r="K100" s="4" t="n"/>
    </row>
    <row r="101">
      <c r="A101" s="6" t="n"/>
      <c r="B101" s="6" t="n"/>
      <c r="C101" s="6">
        <f>IF(B101="","",VLOOKUP(B101,'F01 - _Données Expatriés'!$A$6:$L$15,2,FALSE))</f>
        <v/>
      </c>
      <c r="D101" s="6" t="n"/>
      <c r="E101" s="6" t="n"/>
      <c r="F101" s="6" t="n"/>
      <c r="G101" s="6" t="n"/>
      <c r="H101" s="6" t="n"/>
      <c r="I101" s="6">
        <f>IF(E101="","",IFERROR((E101+F101+G101+H101)*0.08,0))</f>
        <v/>
      </c>
      <c r="J101" s="6">
        <f>IF(E101="","",E101+F101+G101+H101-I101)</f>
        <v/>
      </c>
      <c r="K101" s="6" t="n"/>
    </row>
    <row r="102">
      <c r="A102" s="4" t="n"/>
      <c r="B102" s="4" t="n"/>
      <c r="C102" s="4">
        <f>IF(B102="","",VLOOKUP(B102,'F01 - _Données Expatriés'!$A$6:$L$15,2,FALSE))</f>
        <v/>
      </c>
      <c r="D102" s="4" t="n"/>
      <c r="E102" s="4" t="n"/>
      <c r="F102" s="4" t="n"/>
      <c r="G102" s="4" t="n"/>
      <c r="H102" s="4" t="n"/>
      <c r="I102" s="4">
        <f>IF(E102="","",IFERROR((E102+F102+G102+H102)*0.08,0))</f>
        <v/>
      </c>
      <c r="J102" s="4">
        <f>IF(E102="","",E102+F102+G102+H102-I102)</f>
        <v/>
      </c>
      <c r="K102" s="4" t="n"/>
    </row>
    <row r="103">
      <c r="A103" s="6" t="n"/>
      <c r="B103" s="6" t="n"/>
      <c r="C103" s="6">
        <f>IF(B103="","",VLOOKUP(B103,'F01 - _Données Expatriés'!$A$6:$L$15,2,FALSE))</f>
        <v/>
      </c>
      <c r="D103" s="6" t="n"/>
      <c r="E103" s="6" t="n"/>
      <c r="F103" s="6" t="n"/>
      <c r="G103" s="6" t="n"/>
      <c r="H103" s="6" t="n"/>
      <c r="I103" s="6">
        <f>IF(E103="","",IFERROR((E103+F103+G103+H103)*0.08,0))</f>
        <v/>
      </c>
      <c r="J103" s="6">
        <f>IF(E103="","",E103+F103+G103+H103-I103)</f>
        <v/>
      </c>
      <c r="K103" s="6" t="n"/>
    </row>
    <row r="104">
      <c r="A104" s="4" t="n"/>
      <c r="B104" s="4" t="n"/>
      <c r="C104" s="4">
        <f>IF(B104="","",VLOOKUP(B104,'F01 - _Données Expatriés'!$A$6:$L$15,2,FALSE))</f>
        <v/>
      </c>
      <c r="D104" s="4" t="n"/>
      <c r="E104" s="4" t="n"/>
      <c r="F104" s="4" t="n"/>
      <c r="G104" s="4" t="n"/>
      <c r="H104" s="4" t="n"/>
      <c r="I104" s="4">
        <f>IF(E104="","",IFERROR((E104+F104+G104+H104)*0.08,0))</f>
        <v/>
      </c>
      <c r="J104" s="4">
        <f>IF(E104="","",E104+F104+G104+H104-I104)</f>
        <v/>
      </c>
      <c r="K104" s="4" t="n"/>
    </row>
    <row r="105">
      <c r="A105" s="6" t="n"/>
      <c r="B105" s="6" t="n"/>
      <c r="C105" s="6">
        <f>IF(B105="","",VLOOKUP(B105,'F01 - _Données Expatriés'!$A$6:$L$15,2,FALSE))</f>
        <v/>
      </c>
      <c r="D105" s="6" t="n"/>
      <c r="E105" s="6" t="n"/>
      <c r="F105" s="6" t="n"/>
      <c r="G105" s="6" t="n"/>
      <c r="H105" s="6" t="n"/>
      <c r="I105" s="6">
        <f>IF(E105="","",IFERROR((E105+F105+G105+H105)*0.08,0))</f>
        <v/>
      </c>
      <c r="J105" s="6">
        <f>IF(E105="","",E105+F105+G105+H105-I105)</f>
        <v/>
      </c>
      <c r="K105" s="6" t="n"/>
    </row>
    <row r="106">
      <c r="A106" s="4" t="n"/>
      <c r="B106" s="4" t="n"/>
      <c r="C106" s="4">
        <f>IF(B106="","",VLOOKUP(B106,'F01 - _Données Expatriés'!$A$6:$L$15,2,FALSE))</f>
        <v/>
      </c>
      <c r="D106" s="4" t="n"/>
      <c r="E106" s="4" t="n"/>
      <c r="F106" s="4" t="n"/>
      <c r="G106" s="4" t="n"/>
      <c r="H106" s="4" t="n"/>
      <c r="I106" s="4">
        <f>IF(E106="","",IFERROR((E106+F106+G106+H106)*0.08,0))</f>
        <v/>
      </c>
      <c r="J106" s="4">
        <f>IF(E106="","",E106+F106+G106+H106-I106)</f>
        <v/>
      </c>
      <c r="K106" s="4" t="n"/>
    </row>
    <row r="107">
      <c r="A107" s="6" t="n"/>
      <c r="B107" s="6" t="n"/>
      <c r="C107" s="6">
        <f>IF(B107="","",VLOOKUP(B107,'F01 - _Données Expatriés'!$A$6:$L$15,2,FALSE))</f>
        <v/>
      </c>
      <c r="D107" s="6" t="n"/>
      <c r="E107" s="6" t="n"/>
      <c r="F107" s="6" t="n"/>
      <c r="G107" s="6" t="n"/>
      <c r="H107" s="6" t="n"/>
      <c r="I107" s="6">
        <f>IF(E107="","",IFERROR((E107+F107+G107+H107)*0.08,0))</f>
        <v/>
      </c>
      <c r="J107" s="6">
        <f>IF(E107="","",E107+F107+G107+H107-I107)</f>
        <v/>
      </c>
      <c r="K107" s="6" t="n"/>
    </row>
    <row r="108">
      <c r="A108" s="4" t="n"/>
      <c r="B108" s="4" t="n"/>
      <c r="C108" s="4">
        <f>IF(B108="","",VLOOKUP(B108,'F01 - _Données Expatriés'!$A$6:$L$15,2,FALSE))</f>
        <v/>
      </c>
      <c r="D108" s="4" t="n"/>
      <c r="E108" s="4" t="n"/>
      <c r="F108" s="4" t="n"/>
      <c r="G108" s="4" t="n"/>
      <c r="H108" s="4" t="n"/>
      <c r="I108" s="4">
        <f>IF(E108="","",IFERROR((E108+F108+G108+H108)*0.08,0))</f>
        <v/>
      </c>
      <c r="J108" s="4">
        <f>IF(E108="","",E108+F108+G108+H108-I108)</f>
        <v/>
      </c>
      <c r="K108" s="4" t="n"/>
    </row>
    <row r="109">
      <c r="A109" s="6" t="n"/>
      <c r="B109" s="6" t="n"/>
      <c r="C109" s="6">
        <f>IF(B109="","",VLOOKUP(B109,'F01 - _Données Expatriés'!$A$6:$L$15,2,FALSE))</f>
        <v/>
      </c>
      <c r="D109" s="6" t="n"/>
      <c r="E109" s="6" t="n"/>
      <c r="F109" s="6" t="n"/>
      <c r="G109" s="6" t="n"/>
      <c r="H109" s="6" t="n"/>
      <c r="I109" s="6">
        <f>IF(E109="","",IFERROR((E109+F109+G109+H109)*0.08,0))</f>
        <v/>
      </c>
      <c r="J109" s="6">
        <f>IF(E109="","",E109+F109+G109+H109-I109)</f>
        <v/>
      </c>
      <c r="K109" s="6" t="n"/>
    </row>
    <row r="110">
      <c r="A110" s="4" t="n"/>
      <c r="B110" s="4" t="n"/>
      <c r="C110" s="4">
        <f>IF(B110="","",VLOOKUP(B110,'F01 - _Données Expatriés'!$A$6:$L$15,2,FALSE))</f>
        <v/>
      </c>
      <c r="D110" s="4" t="n"/>
      <c r="E110" s="4" t="n"/>
      <c r="F110" s="4" t="n"/>
      <c r="G110" s="4" t="n"/>
      <c r="H110" s="4" t="n"/>
      <c r="I110" s="4">
        <f>IF(E110="","",IFERROR((E110+F110+G110+H110)*0.08,0))</f>
        <v/>
      </c>
      <c r="J110" s="4">
        <f>IF(E110="","",E110+F110+G110+H110-I110)</f>
        <v/>
      </c>
      <c r="K110" s="4" t="n"/>
    </row>
    <row r="111">
      <c r="A111" s="6" t="n"/>
      <c r="B111" s="6" t="n"/>
      <c r="C111" s="6">
        <f>IF(B111="","",VLOOKUP(B111,'F01 - _Données Expatriés'!$A$6:$L$15,2,FALSE))</f>
        <v/>
      </c>
      <c r="D111" s="6" t="n"/>
      <c r="E111" s="6" t="n"/>
      <c r="F111" s="6" t="n"/>
      <c r="G111" s="6" t="n"/>
      <c r="H111" s="6" t="n"/>
      <c r="I111" s="6">
        <f>IF(E111="","",IFERROR((E111+F111+G111+H111)*0.08,0))</f>
        <v/>
      </c>
      <c r="J111" s="6">
        <f>IF(E111="","",E111+F111+G111+H111-I111)</f>
        <v/>
      </c>
      <c r="K111" s="6" t="n"/>
    </row>
    <row r="112">
      <c r="A112" s="4" t="n"/>
      <c r="B112" s="4" t="n"/>
      <c r="C112" s="4">
        <f>IF(B112="","",VLOOKUP(B112,'F01 - _Données Expatriés'!$A$6:$L$15,2,FALSE))</f>
        <v/>
      </c>
      <c r="D112" s="4" t="n"/>
      <c r="E112" s="4" t="n"/>
      <c r="F112" s="4" t="n"/>
      <c r="G112" s="4" t="n"/>
      <c r="H112" s="4" t="n"/>
      <c r="I112" s="4">
        <f>IF(E112="","",IFERROR((E112+F112+G112+H112)*0.08,0))</f>
        <v/>
      </c>
      <c r="J112" s="4">
        <f>IF(E112="","",E112+F112+G112+H112-I112)</f>
        <v/>
      </c>
      <c r="K112" s="4" t="n"/>
    </row>
    <row r="113">
      <c r="A113" s="6" t="n"/>
      <c r="B113" s="6" t="n"/>
      <c r="C113" s="6">
        <f>IF(B113="","",VLOOKUP(B113,'F01 - _Données Expatriés'!$A$6:$L$15,2,FALSE))</f>
        <v/>
      </c>
      <c r="D113" s="6" t="n"/>
      <c r="E113" s="6" t="n"/>
      <c r="F113" s="6" t="n"/>
      <c r="G113" s="6" t="n"/>
      <c r="H113" s="6" t="n"/>
      <c r="I113" s="6">
        <f>IF(E113="","",IFERROR((E113+F113+G113+H113)*0.08,0))</f>
        <v/>
      </c>
      <c r="J113" s="6">
        <f>IF(E113="","",E113+F113+G113+H113-I113)</f>
        <v/>
      </c>
      <c r="K113" s="6" t="n"/>
    </row>
    <row r="114">
      <c r="A114" s="4" t="n"/>
      <c r="B114" s="4" t="n"/>
      <c r="C114" s="4">
        <f>IF(B114="","",VLOOKUP(B114,'F01 - _Données Expatriés'!$A$6:$L$15,2,FALSE))</f>
        <v/>
      </c>
      <c r="D114" s="4" t="n"/>
      <c r="E114" s="4" t="n"/>
      <c r="F114" s="4" t="n"/>
      <c r="G114" s="4" t="n"/>
      <c r="H114" s="4" t="n"/>
      <c r="I114" s="4">
        <f>IF(E114="","",IFERROR((E114+F114+G114+H114)*0.08,0))</f>
        <v/>
      </c>
      <c r="J114" s="4">
        <f>IF(E114="","",E114+F114+G114+H114-I114)</f>
        <v/>
      </c>
      <c r="K114" s="4" t="n"/>
    </row>
    <row r="115">
      <c r="A115" s="6" t="n"/>
      <c r="B115" s="6" t="n"/>
      <c r="C115" s="6">
        <f>IF(B115="","",VLOOKUP(B115,'F01 - _Données Expatriés'!$A$6:$L$15,2,FALSE))</f>
        <v/>
      </c>
      <c r="D115" s="6" t="n"/>
      <c r="E115" s="6" t="n"/>
      <c r="F115" s="6" t="n"/>
      <c r="G115" s="6" t="n"/>
      <c r="H115" s="6" t="n"/>
      <c r="I115" s="6">
        <f>IF(E115="","",IFERROR((E115+F115+G115+H115)*0.08,0))</f>
        <v/>
      </c>
      <c r="J115" s="6">
        <f>IF(E115="","",E115+F115+G115+H115-I115)</f>
        <v/>
      </c>
      <c r="K115" s="6" t="n"/>
    </row>
  </sheetData>
  <mergeCells count="2">
    <mergeCell ref="A3:N3"/>
    <mergeCell ref="A2:N2"/>
  </mergeCells>
  <dataValidations count="3">
    <dataValidation sqref="B6:B115" showDropDown="0" showInputMessage="0" showErrorMessage="0" allowBlank="1" errorTitle="Erreur de saisie" error="Valeur non autorisée" promptTitle="Liste déroulante" prompt="Sélectionnez dans la liste" type="list">
      <formula1>'F02 - _Lists'!$A$6:$A$35</formula1>
    </dataValidation>
    <dataValidation sqref="D6:D115" showDropDown="0" showInputMessage="0" showErrorMessage="0" allowBlank="1" errorTitle="Erreur de saisie" error="Valeur non autorisée" promptTitle="Liste déroulante" prompt="Sélectionnez dans la liste" type="list">
      <formula1>'F02 - _Lists'!$V$6:$V$35</formula1>
    </dataValidation>
    <dataValidation sqref="K6:K115" showDropDown="0" showInputMessage="0" showErrorMessage="0" allowBlank="1" errorTitle="Erreur de saisie" error="Valeur non autorisée" promptTitle="Liste déroulante" prompt="Sélectionnez dans la liste" type="list">
      <formula1>'F02 - _Lists'!$R$6:$R$35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24" customWidth="1" min="5" max="5"/>
    <col width="18" customWidth="1" min="6" max="6"/>
    <col width="16" customWidth="1" min="7" max="7"/>
    <col width="20" customWidth="1" min="8" max="8"/>
    <col width="14" customWidth="1" min="9" max="9"/>
    <col width="32" customWidth="1" min="10" max="10"/>
  </cols>
  <sheetData>
    <row r="2" ht="25" customHeight="1">
      <c r="A2" s="1" t="inlineStr">
        <is>
          <t>DOMAINE 25 — 9-FISCALITÉ INTERNATIONALE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Matricule</t>
        </is>
      </c>
      <c r="B5" s="3" t="inlineStr">
        <is>
          <t>Nom</t>
        </is>
      </c>
      <c r="C5" s="3" t="inlineStr">
        <is>
          <t>Nationalité</t>
        </is>
      </c>
      <c r="D5" s="3" t="inlineStr">
        <is>
          <t>Pays Imposition</t>
        </is>
      </c>
      <c r="E5" s="3" t="inlineStr">
        <is>
          <t>Régime Fiscal</t>
        </is>
      </c>
      <c r="F5" s="3" t="inlineStr">
        <is>
          <t>Revenu Imposable (FCFA)</t>
        </is>
      </c>
      <c r="G5" s="3" t="inlineStr">
        <is>
          <t>Impôt Estimé (FCFA)</t>
        </is>
      </c>
      <c r="H5" s="3" t="inlineStr">
        <is>
          <t>Convention Bilatérale</t>
        </is>
      </c>
      <c r="I5" s="3" t="inlineStr">
        <is>
          <t>Taux Effectif (%)</t>
        </is>
      </c>
      <c r="J5" s="3" t="inlineStr">
        <is>
          <t>Commentaire</t>
        </is>
      </c>
    </row>
    <row r="6">
      <c r="A6" s="4" t="inlineStr">
        <is>
          <t>EXP-001</t>
        </is>
      </c>
      <c r="B6" s="4" t="inlineStr">
        <is>
          <t>Dupont Jean-Pierre</t>
        </is>
      </c>
      <c r="C6" s="4" t="inlineStr">
        <is>
          <t>Française</t>
        </is>
      </c>
      <c r="D6" s="4" t="inlineStr">
        <is>
          <t>France/Côte d'Ivoire</t>
        </is>
      </c>
      <c r="E6" s="4" t="inlineStr">
        <is>
          <t>Convention fiscale bilaterale</t>
        </is>
      </c>
      <c r="F6" s="4" t="n">
        <v>7450000</v>
      </c>
      <c r="G6" s="4">
        <f>IF(F6="","",IFERROR(F6*0.16,0))</f>
        <v/>
      </c>
      <c r="H6" s="4" t="inlineStr">
        <is>
          <t>Oui (France-CI)</t>
        </is>
      </c>
      <c r="I6" s="4">
        <f>IF(OR(F6="",G6=""),"",IFERROR(G6/F6*100,0))</f>
        <v/>
      </c>
      <c r="J6" s="4" t="inlineStr">
        <is>
          <t>Élimination double imposition article 15</t>
        </is>
      </c>
    </row>
    <row r="7">
      <c r="A7" s="6" t="inlineStr">
        <is>
          <t>EXP-002</t>
        </is>
      </c>
      <c r="B7" s="6" t="inlineStr">
        <is>
          <t>Muller Hans</t>
        </is>
      </c>
      <c r="C7" s="6" t="inlineStr">
        <is>
          <t>Allemande</t>
        </is>
      </c>
      <c r="D7" s="6" t="inlineStr">
        <is>
          <t>Allemagne/Côte d'Ivoire</t>
        </is>
      </c>
      <c r="E7" s="6" t="inlineStr">
        <is>
          <t>Exonération partielle</t>
        </is>
      </c>
      <c r="F7" s="6" t="n">
        <v>5110000</v>
      </c>
      <c r="G7" s="6">
        <f>IF(F7="","",IFERROR(F7*0.16,0))</f>
        <v/>
      </c>
      <c r="H7" s="6" t="inlineStr">
        <is>
          <t>Oui (Allemagne-CI)</t>
        </is>
      </c>
      <c r="I7" s="6">
        <f>IF(OR(F7="",G7=""),"",IFERROR(G7/F7*100,0))</f>
        <v/>
      </c>
      <c r="J7" s="6" t="inlineStr">
        <is>
          <t>Exonération 2 premières années</t>
        </is>
      </c>
    </row>
    <row r="8">
      <c r="A8" s="4" t="inlineStr">
        <is>
          <t>EXP-003</t>
        </is>
      </c>
      <c r="B8" s="4" t="inlineStr">
        <is>
          <t>Silva Carlos</t>
        </is>
      </c>
      <c r="C8" s="4" t="inlineStr">
        <is>
          <t>Brésilienne</t>
        </is>
      </c>
      <c r="D8" s="4" t="inlineStr">
        <is>
          <t>Côte d'Ivoire</t>
        </is>
      </c>
      <c r="E8" s="4" t="inlineStr">
        <is>
          <t>Imposition complète</t>
        </is>
      </c>
      <c r="F8" s="4" t="n">
        <v>6100000</v>
      </c>
      <c r="G8" s="4">
        <f>IF(F8="","",IFERROR(F8*0.16,0))</f>
        <v/>
      </c>
      <c r="H8" s="4" t="inlineStr">
        <is>
          <t>Non</t>
        </is>
      </c>
      <c r="I8" s="4">
        <f>IF(OR(F8="",G8=""),"",IFERROR(G8/F8*100,0))</f>
        <v/>
      </c>
      <c r="J8" s="4" t="inlineStr">
        <is>
          <t>Imposition selon droit commun ivoirien</t>
        </is>
      </c>
    </row>
    <row r="9">
      <c r="A9" s="6" t="inlineStr">
        <is>
          <t>EXP-004</t>
        </is>
      </c>
      <c r="B9" s="6" t="inlineStr">
        <is>
          <t>Nakamura Yuki</t>
        </is>
      </c>
      <c r="C9" s="6" t="inlineStr">
        <is>
          <t>Japonaise</t>
        </is>
      </c>
      <c r="D9" s="6" t="inlineStr">
        <is>
          <t>Japon/Côte d'Ivoire</t>
        </is>
      </c>
      <c r="E9" s="6" t="inlineStr">
        <is>
          <t>Convention fiscale bilaterale</t>
        </is>
      </c>
      <c r="F9" s="6" t="n">
        <v>3560000</v>
      </c>
      <c r="G9" s="6">
        <f>IF(F9="","",IFERROR(F9*0.16,0))</f>
        <v/>
      </c>
      <c r="H9" s="6" t="inlineStr">
        <is>
          <t>Oui (Japon-CI)</t>
        </is>
      </c>
      <c r="I9" s="6">
        <f>IF(OR(F9="",G9=""),"",IFERROR(G9/F9*100,0))</f>
        <v/>
      </c>
      <c r="J9" s="6" t="inlineStr">
        <is>
          <t>Crédit d'impôt applicable</t>
        </is>
      </c>
    </row>
    <row r="10">
      <c r="A10" s="4" t="inlineStr">
        <is>
          <t>EXP-005</t>
        </is>
      </c>
      <c r="B10" s="4" t="inlineStr">
        <is>
          <t>Smith James</t>
        </is>
      </c>
      <c r="C10" s="4" t="inlineStr">
        <is>
          <t>Britannique</t>
        </is>
      </c>
      <c r="D10" s="4" t="inlineStr">
        <is>
          <t>Royaume-Uni/Côte d'Ivoire</t>
        </is>
      </c>
      <c r="E10" s="4" t="inlineStr">
        <is>
          <t>Exonération partielle</t>
        </is>
      </c>
      <c r="F10" s="4" t="n">
        <v>4190000</v>
      </c>
      <c r="G10" s="4">
        <f>IF(F10="","",IFERROR(F10*0.16,0))</f>
        <v/>
      </c>
      <c r="H10" s="4" t="inlineStr">
        <is>
          <t>Oui (UK-CI)</t>
        </is>
      </c>
      <c r="I10" s="4">
        <f>IF(OR(F10="",G10=""),"",IFERROR(G10/F10*100,0))</f>
        <v/>
      </c>
      <c r="J10" s="4" t="inlineStr">
        <is>
          <t>Exonération sur prime expatriation</t>
        </is>
      </c>
    </row>
    <row r="11">
      <c r="A11" s="6" t="n"/>
      <c r="B11" s="6">
        <f>IF(A11="","",VLOOKUP(A11,'F01 - _Données Expatriés'!$A$6:$L$15,2,FALSE))</f>
        <v/>
      </c>
      <c r="C11" s="6">
        <f>IF(A11="","",VLOOKUP(A11,'F01 - _Données Expatriés'!$A$6:$L$15,4,FALSE))</f>
        <v/>
      </c>
      <c r="D11" s="6" t="n"/>
      <c r="E11" s="6" t="n"/>
      <c r="F11" s="6" t="n"/>
      <c r="G11" s="6">
        <f>IF(F11="","",IFERROR(F11*0.16,0))</f>
        <v/>
      </c>
      <c r="H11" s="6" t="n"/>
      <c r="I11" s="6">
        <f>IF(OR(F11="",G11=""),"",IFERROR(G11/F11*100,0))</f>
        <v/>
      </c>
      <c r="J11" s="6" t="n"/>
    </row>
    <row r="12">
      <c r="A12" s="4" t="n"/>
      <c r="B12" s="4">
        <f>IF(A12="","",VLOOKUP(A12,'F01 - _Données Expatriés'!$A$6:$L$15,2,FALSE))</f>
        <v/>
      </c>
      <c r="C12" s="4">
        <f>IF(A12="","",VLOOKUP(A12,'F01 - _Données Expatriés'!$A$6:$L$15,4,FALSE))</f>
        <v/>
      </c>
      <c r="D12" s="4" t="n"/>
      <c r="E12" s="4" t="n"/>
      <c r="F12" s="4" t="n"/>
      <c r="G12" s="4">
        <f>IF(F12="","",IFERROR(F12*0.16,0))</f>
        <v/>
      </c>
      <c r="H12" s="4" t="n"/>
      <c r="I12" s="4">
        <f>IF(OR(F12="",G12=""),"",IFERROR(G12/F12*100,0))</f>
        <v/>
      </c>
      <c r="J12" s="4" t="n"/>
    </row>
    <row r="13">
      <c r="A13" s="6" t="n"/>
      <c r="B13" s="6">
        <f>IF(A13="","",VLOOKUP(A13,'F01 - _Données Expatriés'!$A$6:$L$15,2,FALSE))</f>
        <v/>
      </c>
      <c r="C13" s="6">
        <f>IF(A13="","",VLOOKUP(A13,'F01 - _Données Expatriés'!$A$6:$L$15,4,FALSE))</f>
        <v/>
      </c>
      <c r="D13" s="6" t="n"/>
      <c r="E13" s="6" t="n"/>
      <c r="F13" s="6" t="n"/>
      <c r="G13" s="6">
        <f>IF(F13="","",IFERROR(F13*0.16,0))</f>
        <v/>
      </c>
      <c r="H13" s="6" t="n"/>
      <c r="I13" s="6">
        <f>IF(OR(F13="",G13=""),"",IFERROR(G13/F13*100,0))</f>
        <v/>
      </c>
      <c r="J13" s="6" t="n"/>
    </row>
    <row r="14">
      <c r="A14" s="4" t="n"/>
      <c r="B14" s="4">
        <f>IF(A14="","",VLOOKUP(A14,'F01 - _Données Expatriés'!$A$6:$L$15,2,FALSE))</f>
        <v/>
      </c>
      <c r="C14" s="4">
        <f>IF(A14="","",VLOOKUP(A14,'F01 - _Données Expatriés'!$A$6:$L$15,4,FALSE))</f>
        <v/>
      </c>
      <c r="D14" s="4" t="n"/>
      <c r="E14" s="4" t="n"/>
      <c r="F14" s="4" t="n"/>
      <c r="G14" s="4">
        <f>IF(F14="","",IFERROR(F14*0.16,0))</f>
        <v/>
      </c>
      <c r="H14" s="4" t="n"/>
      <c r="I14" s="4">
        <f>IF(OR(F14="",G14=""),"",IFERROR(G14/F14*100,0))</f>
        <v/>
      </c>
      <c r="J14" s="4" t="n"/>
    </row>
    <row r="15">
      <c r="A15" s="6" t="n"/>
      <c r="B15" s="6">
        <f>IF(A15="","",VLOOKUP(A15,'F01 - _Données Expatriés'!$A$6:$L$15,2,FALSE))</f>
        <v/>
      </c>
      <c r="C15" s="6">
        <f>IF(A15="","",VLOOKUP(A15,'F01 - _Données Expatriés'!$A$6:$L$15,4,FALSE))</f>
        <v/>
      </c>
      <c r="D15" s="6" t="n"/>
      <c r="E15" s="6" t="n"/>
      <c r="F15" s="6" t="n"/>
      <c r="G15" s="6">
        <f>IF(F15="","",IFERROR(F15*0.16,0))</f>
        <v/>
      </c>
      <c r="H15" s="6" t="n"/>
      <c r="I15" s="6">
        <f>IF(OR(F15="",G15=""),"",IFERROR(G15/F15*100,0))</f>
        <v/>
      </c>
      <c r="J15" s="6" t="n"/>
    </row>
    <row r="16">
      <c r="A16" s="4" t="n"/>
      <c r="B16" s="4">
        <f>IF(A16="","",VLOOKUP(A16,'F01 - _Données Expatriés'!$A$6:$L$15,2,FALSE))</f>
        <v/>
      </c>
      <c r="C16" s="4">
        <f>IF(A16="","",VLOOKUP(A16,'F01 - _Données Expatriés'!$A$6:$L$15,4,FALSE))</f>
        <v/>
      </c>
      <c r="D16" s="4" t="n"/>
      <c r="E16" s="4" t="n"/>
      <c r="F16" s="4" t="n"/>
      <c r="G16" s="4">
        <f>IF(F16="","",IFERROR(F16*0.16,0))</f>
        <v/>
      </c>
      <c r="H16" s="4" t="n"/>
      <c r="I16" s="4">
        <f>IF(OR(F16="",G16=""),"",IFERROR(G16/F16*100,0))</f>
        <v/>
      </c>
      <c r="J16" s="4" t="n"/>
    </row>
    <row r="17">
      <c r="A17" s="6" t="n"/>
      <c r="B17" s="6">
        <f>IF(A17="","",VLOOKUP(A17,'F01 - _Données Expatriés'!$A$6:$L$15,2,FALSE))</f>
        <v/>
      </c>
      <c r="C17" s="6">
        <f>IF(A17="","",VLOOKUP(A17,'F01 - _Données Expatriés'!$A$6:$L$15,4,FALSE))</f>
        <v/>
      </c>
      <c r="D17" s="6" t="n"/>
      <c r="E17" s="6" t="n"/>
      <c r="F17" s="6" t="n"/>
      <c r="G17" s="6">
        <f>IF(F17="","",IFERROR(F17*0.16,0))</f>
        <v/>
      </c>
      <c r="H17" s="6" t="n"/>
      <c r="I17" s="6">
        <f>IF(OR(F17="",G17=""),"",IFERROR(G17/F17*100,0))</f>
        <v/>
      </c>
      <c r="J17" s="6" t="n"/>
    </row>
    <row r="18">
      <c r="A18" s="4" t="n"/>
      <c r="B18" s="4">
        <f>IF(A18="","",VLOOKUP(A18,'F01 - _Données Expatriés'!$A$6:$L$15,2,FALSE))</f>
        <v/>
      </c>
      <c r="C18" s="4">
        <f>IF(A18="","",VLOOKUP(A18,'F01 - _Données Expatriés'!$A$6:$L$15,4,FALSE))</f>
        <v/>
      </c>
      <c r="D18" s="4" t="n"/>
      <c r="E18" s="4" t="n"/>
      <c r="F18" s="4" t="n"/>
      <c r="G18" s="4">
        <f>IF(F18="","",IFERROR(F18*0.16,0))</f>
        <v/>
      </c>
      <c r="H18" s="4" t="n"/>
      <c r="I18" s="4">
        <f>IF(OR(F18="",G18=""),"",IFERROR(G18/F18*100,0))</f>
        <v/>
      </c>
      <c r="J18" s="4" t="n"/>
    </row>
    <row r="19">
      <c r="A19" s="6" t="n"/>
      <c r="B19" s="6">
        <f>IF(A19="","",VLOOKUP(A19,'F01 - _Données Expatriés'!$A$6:$L$15,2,FALSE))</f>
        <v/>
      </c>
      <c r="C19" s="6">
        <f>IF(A19="","",VLOOKUP(A19,'F01 - _Données Expatriés'!$A$6:$L$15,4,FALSE))</f>
        <v/>
      </c>
      <c r="D19" s="6" t="n"/>
      <c r="E19" s="6" t="n"/>
      <c r="F19" s="6" t="n"/>
      <c r="G19" s="6">
        <f>IF(F19="","",IFERROR(F19*0.16,0))</f>
        <v/>
      </c>
      <c r="H19" s="6" t="n"/>
      <c r="I19" s="6">
        <f>IF(OR(F19="",G19=""),"",IFERROR(G19/F19*100,0))</f>
        <v/>
      </c>
      <c r="J19" s="6" t="n"/>
    </row>
    <row r="20">
      <c r="A20" s="4" t="n"/>
      <c r="B20" s="4">
        <f>IF(A20="","",VLOOKUP(A20,'F01 - _Données Expatriés'!$A$6:$L$15,2,FALSE))</f>
        <v/>
      </c>
      <c r="C20" s="4">
        <f>IF(A20="","",VLOOKUP(A20,'F01 - _Données Expatriés'!$A$6:$L$15,4,FALSE))</f>
        <v/>
      </c>
      <c r="D20" s="4" t="n"/>
      <c r="E20" s="4" t="n"/>
      <c r="F20" s="4" t="n"/>
      <c r="G20" s="4">
        <f>IF(F20="","",IFERROR(F20*0.16,0))</f>
        <v/>
      </c>
      <c r="H20" s="4" t="n"/>
      <c r="I20" s="4">
        <f>IF(OR(F20="",G20=""),"",IFERROR(G20/F20*100,0))</f>
        <v/>
      </c>
      <c r="J20" s="4" t="n"/>
    </row>
    <row r="21">
      <c r="A21" s="6" t="n"/>
      <c r="B21" s="6">
        <f>IF(A21="","",VLOOKUP(A21,'F01 - _Données Expatriés'!$A$6:$L$15,2,FALSE))</f>
        <v/>
      </c>
      <c r="C21" s="6">
        <f>IF(A21="","",VLOOKUP(A21,'F01 - _Données Expatriés'!$A$6:$L$15,4,FALSE))</f>
        <v/>
      </c>
      <c r="D21" s="6" t="n"/>
      <c r="E21" s="6" t="n"/>
      <c r="F21" s="6" t="n"/>
      <c r="G21" s="6">
        <f>IF(F21="","",IFERROR(F21*0.16,0))</f>
        <v/>
      </c>
      <c r="H21" s="6" t="n"/>
      <c r="I21" s="6">
        <f>IF(OR(F21="",G21=""),"",IFERROR(G21/F21*100,0))</f>
        <v/>
      </c>
      <c r="J21" s="6" t="n"/>
    </row>
    <row r="22">
      <c r="A22" s="4" t="n"/>
      <c r="B22" s="4">
        <f>IF(A22="","",VLOOKUP(A22,'F01 - _Données Expatriés'!$A$6:$L$15,2,FALSE))</f>
        <v/>
      </c>
      <c r="C22" s="4">
        <f>IF(A22="","",VLOOKUP(A22,'F01 - _Données Expatriés'!$A$6:$L$15,4,FALSE))</f>
        <v/>
      </c>
      <c r="D22" s="4" t="n"/>
      <c r="E22" s="4" t="n"/>
      <c r="F22" s="4" t="n"/>
      <c r="G22" s="4">
        <f>IF(F22="","",IFERROR(F22*0.16,0))</f>
        <v/>
      </c>
      <c r="H22" s="4" t="n"/>
      <c r="I22" s="4">
        <f>IF(OR(F22="",G22=""),"",IFERROR(G22/F22*100,0))</f>
        <v/>
      </c>
      <c r="J22" s="4" t="n"/>
    </row>
    <row r="23">
      <c r="A23" s="6" t="n"/>
      <c r="B23" s="6">
        <f>IF(A23="","",VLOOKUP(A23,'F01 - _Données Expatriés'!$A$6:$L$15,2,FALSE))</f>
        <v/>
      </c>
      <c r="C23" s="6">
        <f>IF(A23="","",VLOOKUP(A23,'F01 - _Données Expatriés'!$A$6:$L$15,4,FALSE))</f>
        <v/>
      </c>
      <c r="D23" s="6" t="n"/>
      <c r="E23" s="6" t="n"/>
      <c r="F23" s="6" t="n"/>
      <c r="G23" s="6">
        <f>IF(F23="","",IFERROR(F23*0.16,0))</f>
        <v/>
      </c>
      <c r="H23" s="6" t="n"/>
      <c r="I23" s="6">
        <f>IF(OR(F23="",G23=""),"",IFERROR(G23/F23*100,0))</f>
        <v/>
      </c>
      <c r="J23" s="6" t="n"/>
    </row>
    <row r="24">
      <c r="A24" s="4" t="n"/>
      <c r="B24" s="4">
        <f>IF(A24="","",VLOOKUP(A24,'F01 - _Données Expatriés'!$A$6:$L$15,2,FALSE))</f>
        <v/>
      </c>
      <c r="C24" s="4">
        <f>IF(A24="","",VLOOKUP(A24,'F01 - _Données Expatriés'!$A$6:$L$15,4,FALSE))</f>
        <v/>
      </c>
      <c r="D24" s="4" t="n"/>
      <c r="E24" s="4" t="n"/>
      <c r="F24" s="4" t="n"/>
      <c r="G24" s="4">
        <f>IF(F24="","",IFERROR(F24*0.16,0))</f>
        <v/>
      </c>
      <c r="H24" s="4" t="n"/>
      <c r="I24" s="4">
        <f>IF(OR(F24="",G24=""),"",IFERROR(G24/F24*100,0))</f>
        <v/>
      </c>
      <c r="J24" s="4" t="n"/>
    </row>
    <row r="25">
      <c r="A25" s="6" t="n"/>
      <c r="B25" s="6">
        <f>IF(A25="","",VLOOKUP(A25,'F01 - _Données Expatriés'!$A$6:$L$15,2,FALSE))</f>
        <v/>
      </c>
      <c r="C25" s="6">
        <f>IF(A25="","",VLOOKUP(A25,'F01 - _Données Expatriés'!$A$6:$L$15,4,FALSE))</f>
        <v/>
      </c>
      <c r="D25" s="6" t="n"/>
      <c r="E25" s="6" t="n"/>
      <c r="F25" s="6" t="n"/>
      <c r="G25" s="6">
        <f>IF(F25="","",IFERROR(F25*0.16,0))</f>
        <v/>
      </c>
      <c r="H25" s="6" t="n"/>
      <c r="I25" s="6">
        <f>IF(OR(F25="",G25=""),"",IFERROR(G25/F25*100,0))</f>
        <v/>
      </c>
      <c r="J25" s="6" t="n"/>
    </row>
    <row r="26">
      <c r="A26" s="4" t="n"/>
      <c r="B26" s="4">
        <f>IF(A26="","",VLOOKUP(A26,'F01 - _Données Expatriés'!$A$6:$L$15,2,FALSE))</f>
        <v/>
      </c>
      <c r="C26" s="4">
        <f>IF(A26="","",VLOOKUP(A26,'F01 - _Données Expatriés'!$A$6:$L$15,4,FALSE))</f>
        <v/>
      </c>
      <c r="D26" s="4" t="n"/>
      <c r="E26" s="4" t="n"/>
      <c r="F26" s="4" t="n"/>
      <c r="G26" s="4">
        <f>IF(F26="","",IFERROR(F26*0.16,0))</f>
        <v/>
      </c>
      <c r="H26" s="4" t="n"/>
      <c r="I26" s="4">
        <f>IF(OR(F26="",G26=""),"",IFERROR(G26/F26*100,0))</f>
        <v/>
      </c>
      <c r="J26" s="4" t="n"/>
    </row>
    <row r="27">
      <c r="A27" s="6" t="n"/>
      <c r="B27" s="6">
        <f>IF(A27="","",VLOOKUP(A27,'F01 - _Données Expatriés'!$A$6:$L$15,2,FALSE))</f>
        <v/>
      </c>
      <c r="C27" s="6">
        <f>IF(A27="","",VLOOKUP(A27,'F01 - _Données Expatriés'!$A$6:$L$15,4,FALSE))</f>
        <v/>
      </c>
      <c r="D27" s="6" t="n"/>
      <c r="E27" s="6" t="n"/>
      <c r="F27" s="6" t="n"/>
      <c r="G27" s="6">
        <f>IF(F27="","",IFERROR(F27*0.16,0))</f>
        <v/>
      </c>
      <c r="H27" s="6" t="n"/>
      <c r="I27" s="6">
        <f>IF(OR(F27="",G27=""),"",IFERROR(G27/F27*100,0))</f>
        <v/>
      </c>
      <c r="J27" s="6" t="n"/>
    </row>
    <row r="28">
      <c r="A28" s="4" t="n"/>
      <c r="B28" s="4">
        <f>IF(A28="","",VLOOKUP(A28,'F01 - _Données Expatriés'!$A$6:$L$15,2,FALSE))</f>
        <v/>
      </c>
      <c r="C28" s="4">
        <f>IF(A28="","",VLOOKUP(A28,'F01 - _Données Expatriés'!$A$6:$L$15,4,FALSE))</f>
        <v/>
      </c>
      <c r="D28" s="4" t="n"/>
      <c r="E28" s="4" t="n"/>
      <c r="F28" s="4" t="n"/>
      <c r="G28" s="4">
        <f>IF(F28="","",IFERROR(F28*0.16,0))</f>
        <v/>
      </c>
      <c r="H28" s="4" t="n"/>
      <c r="I28" s="4">
        <f>IF(OR(F28="",G28=""),"",IFERROR(G28/F28*100,0))</f>
        <v/>
      </c>
      <c r="J28" s="4" t="n"/>
    </row>
    <row r="29">
      <c r="A29" s="6" t="n"/>
      <c r="B29" s="6">
        <f>IF(A29="","",VLOOKUP(A29,'F01 - _Données Expatriés'!$A$6:$L$15,2,FALSE))</f>
        <v/>
      </c>
      <c r="C29" s="6">
        <f>IF(A29="","",VLOOKUP(A29,'F01 - _Données Expatriés'!$A$6:$L$15,4,FALSE))</f>
        <v/>
      </c>
      <c r="D29" s="6" t="n"/>
      <c r="E29" s="6" t="n"/>
      <c r="F29" s="6" t="n"/>
      <c r="G29" s="6">
        <f>IF(F29="","",IFERROR(F29*0.16,0))</f>
        <v/>
      </c>
      <c r="H29" s="6" t="n"/>
      <c r="I29" s="6">
        <f>IF(OR(F29="",G29=""),"",IFERROR(G29/F29*100,0))</f>
        <v/>
      </c>
      <c r="J29" s="6" t="n"/>
    </row>
    <row r="30">
      <c r="A30" s="4" t="n"/>
      <c r="B30" s="4">
        <f>IF(A30="","",VLOOKUP(A30,'F01 - _Données Expatriés'!$A$6:$L$15,2,FALSE))</f>
        <v/>
      </c>
      <c r="C30" s="4">
        <f>IF(A30="","",VLOOKUP(A30,'F01 - _Données Expatriés'!$A$6:$L$15,4,FALSE))</f>
        <v/>
      </c>
      <c r="D30" s="4" t="n"/>
      <c r="E30" s="4" t="n"/>
      <c r="F30" s="4" t="n"/>
      <c r="G30" s="4">
        <f>IF(F30="","",IFERROR(F30*0.16,0))</f>
        <v/>
      </c>
      <c r="H30" s="4" t="n"/>
      <c r="I30" s="4">
        <f>IF(OR(F30="",G30=""),"",IFERROR(G30/F30*100,0))</f>
        <v/>
      </c>
      <c r="J30" s="4" t="n"/>
    </row>
    <row r="31">
      <c r="A31" s="6" t="n"/>
      <c r="B31" s="6">
        <f>IF(A31="","",VLOOKUP(A31,'F01 - _Données Expatriés'!$A$6:$L$15,2,FALSE))</f>
        <v/>
      </c>
      <c r="C31" s="6">
        <f>IF(A31="","",VLOOKUP(A31,'F01 - _Données Expatriés'!$A$6:$L$15,4,FALSE))</f>
        <v/>
      </c>
      <c r="D31" s="6" t="n"/>
      <c r="E31" s="6" t="n"/>
      <c r="F31" s="6" t="n"/>
      <c r="G31" s="6">
        <f>IF(F31="","",IFERROR(F31*0.16,0))</f>
        <v/>
      </c>
      <c r="H31" s="6" t="n"/>
      <c r="I31" s="6">
        <f>IF(OR(F31="",G31=""),"",IFERROR(G31/F31*100,0))</f>
        <v/>
      </c>
      <c r="J31" s="6" t="n"/>
    </row>
    <row r="32">
      <c r="A32" s="4" t="n"/>
      <c r="B32" s="4">
        <f>IF(A32="","",VLOOKUP(A32,'F01 - _Données Expatriés'!$A$6:$L$15,2,FALSE))</f>
        <v/>
      </c>
      <c r="C32" s="4">
        <f>IF(A32="","",VLOOKUP(A32,'F01 - _Données Expatriés'!$A$6:$L$15,4,FALSE))</f>
        <v/>
      </c>
      <c r="D32" s="4" t="n"/>
      <c r="E32" s="4" t="n"/>
      <c r="F32" s="4" t="n"/>
      <c r="G32" s="4">
        <f>IF(F32="","",IFERROR(F32*0.16,0))</f>
        <v/>
      </c>
      <c r="H32" s="4" t="n"/>
      <c r="I32" s="4">
        <f>IF(OR(F32="",G32=""),"",IFERROR(G32/F32*100,0))</f>
        <v/>
      </c>
      <c r="J32" s="4" t="n"/>
    </row>
    <row r="33">
      <c r="A33" s="6" t="n"/>
      <c r="B33" s="6">
        <f>IF(A33="","",VLOOKUP(A33,'F01 - _Données Expatriés'!$A$6:$L$15,2,FALSE))</f>
        <v/>
      </c>
      <c r="C33" s="6">
        <f>IF(A33="","",VLOOKUP(A33,'F01 - _Données Expatriés'!$A$6:$L$15,4,FALSE))</f>
        <v/>
      </c>
      <c r="D33" s="6" t="n"/>
      <c r="E33" s="6" t="n"/>
      <c r="F33" s="6" t="n"/>
      <c r="G33" s="6">
        <f>IF(F33="","",IFERROR(F33*0.16,0))</f>
        <v/>
      </c>
      <c r="H33" s="6" t="n"/>
      <c r="I33" s="6">
        <f>IF(OR(F33="",G33=""),"",IFERROR(G33/F33*100,0))</f>
        <v/>
      </c>
      <c r="J33" s="6" t="n"/>
    </row>
    <row r="34">
      <c r="A34" s="4" t="n"/>
      <c r="B34" s="4">
        <f>IF(A34="","",VLOOKUP(A34,'F01 - _Données Expatriés'!$A$6:$L$15,2,FALSE))</f>
        <v/>
      </c>
      <c r="C34" s="4">
        <f>IF(A34="","",VLOOKUP(A34,'F01 - _Données Expatriés'!$A$6:$L$15,4,FALSE))</f>
        <v/>
      </c>
      <c r="D34" s="4" t="n"/>
      <c r="E34" s="4" t="n"/>
      <c r="F34" s="4" t="n"/>
      <c r="G34" s="4">
        <f>IF(F34="","",IFERROR(F34*0.16,0))</f>
        <v/>
      </c>
      <c r="H34" s="4" t="n"/>
      <c r="I34" s="4">
        <f>IF(OR(F34="",G34=""),"",IFERROR(G34/F34*100,0))</f>
        <v/>
      </c>
      <c r="J34" s="4" t="n"/>
    </row>
    <row r="35">
      <c r="A35" s="6" t="n"/>
      <c r="B35" s="6">
        <f>IF(A35="","",VLOOKUP(A35,'F01 - _Données Expatriés'!$A$6:$L$15,2,FALSE))</f>
        <v/>
      </c>
      <c r="C35" s="6">
        <f>IF(A35="","",VLOOKUP(A35,'F01 - _Données Expatriés'!$A$6:$L$15,4,FALSE))</f>
        <v/>
      </c>
      <c r="D35" s="6" t="n"/>
      <c r="E35" s="6" t="n"/>
      <c r="F35" s="6" t="n"/>
      <c r="G35" s="6">
        <f>IF(F35="","",IFERROR(F35*0.16,0))</f>
        <v/>
      </c>
      <c r="H35" s="6" t="n"/>
      <c r="I35" s="6">
        <f>IF(OR(F35="",G35=""),"",IFERROR(G35/F35*100,0))</f>
        <v/>
      </c>
      <c r="J35" s="6" t="n"/>
    </row>
    <row r="36">
      <c r="A36" s="4" t="n"/>
      <c r="B36" s="4">
        <f>IF(A36="","",VLOOKUP(A36,'F01 - _Données Expatriés'!$A$6:$L$15,2,FALSE))</f>
        <v/>
      </c>
      <c r="C36" s="4">
        <f>IF(A36="","",VLOOKUP(A36,'F01 - _Données Expatriés'!$A$6:$L$15,4,FALSE))</f>
        <v/>
      </c>
      <c r="D36" s="4" t="n"/>
      <c r="E36" s="4" t="n"/>
      <c r="F36" s="4" t="n"/>
      <c r="G36" s="4">
        <f>IF(F36="","",IFERROR(F36*0.16,0))</f>
        <v/>
      </c>
      <c r="H36" s="4" t="n"/>
      <c r="I36" s="4">
        <f>IF(OR(F36="",G36=""),"",IFERROR(G36/F36*100,0))</f>
        <v/>
      </c>
      <c r="J36" s="4" t="n"/>
    </row>
    <row r="37">
      <c r="A37" s="6" t="n"/>
      <c r="B37" s="6">
        <f>IF(A37="","",VLOOKUP(A37,'F01 - _Données Expatriés'!$A$6:$L$15,2,FALSE))</f>
        <v/>
      </c>
      <c r="C37" s="6">
        <f>IF(A37="","",VLOOKUP(A37,'F01 - _Données Expatriés'!$A$6:$L$15,4,FALSE))</f>
        <v/>
      </c>
      <c r="D37" s="6" t="n"/>
      <c r="E37" s="6" t="n"/>
      <c r="F37" s="6" t="n"/>
      <c r="G37" s="6">
        <f>IF(F37="","",IFERROR(F37*0.16,0))</f>
        <v/>
      </c>
      <c r="H37" s="6" t="n"/>
      <c r="I37" s="6">
        <f>IF(OR(F37="",G37=""),"",IFERROR(G37/F37*100,0))</f>
        <v/>
      </c>
      <c r="J37" s="6" t="n"/>
    </row>
    <row r="38">
      <c r="A38" s="4" t="n"/>
      <c r="B38" s="4">
        <f>IF(A38="","",VLOOKUP(A38,'F01 - _Données Expatriés'!$A$6:$L$15,2,FALSE))</f>
        <v/>
      </c>
      <c r="C38" s="4">
        <f>IF(A38="","",VLOOKUP(A38,'F01 - _Données Expatriés'!$A$6:$L$15,4,FALSE))</f>
        <v/>
      </c>
      <c r="D38" s="4" t="n"/>
      <c r="E38" s="4" t="n"/>
      <c r="F38" s="4" t="n"/>
      <c r="G38" s="4">
        <f>IF(F38="","",IFERROR(F38*0.16,0))</f>
        <v/>
      </c>
      <c r="H38" s="4" t="n"/>
      <c r="I38" s="4">
        <f>IF(OR(F38="",G38=""),"",IFERROR(G38/F38*100,0))</f>
        <v/>
      </c>
      <c r="J38" s="4" t="n"/>
    </row>
    <row r="39">
      <c r="A39" s="6" t="n"/>
      <c r="B39" s="6">
        <f>IF(A39="","",VLOOKUP(A39,'F01 - _Données Expatriés'!$A$6:$L$15,2,FALSE))</f>
        <v/>
      </c>
      <c r="C39" s="6">
        <f>IF(A39="","",VLOOKUP(A39,'F01 - _Données Expatriés'!$A$6:$L$15,4,FALSE))</f>
        <v/>
      </c>
      <c r="D39" s="6" t="n"/>
      <c r="E39" s="6" t="n"/>
      <c r="F39" s="6" t="n"/>
      <c r="G39" s="6">
        <f>IF(F39="","",IFERROR(F39*0.16,0))</f>
        <v/>
      </c>
      <c r="H39" s="6" t="n"/>
      <c r="I39" s="6">
        <f>IF(OR(F39="",G39=""),"",IFERROR(G39/F39*100,0))</f>
        <v/>
      </c>
      <c r="J39" s="6" t="n"/>
    </row>
    <row r="40">
      <c r="A40" s="4" t="n"/>
      <c r="B40" s="4">
        <f>IF(A40="","",VLOOKUP(A40,'F01 - _Données Expatriés'!$A$6:$L$15,2,FALSE))</f>
        <v/>
      </c>
      <c r="C40" s="4">
        <f>IF(A40="","",VLOOKUP(A40,'F01 - _Données Expatriés'!$A$6:$L$15,4,FALSE))</f>
        <v/>
      </c>
      <c r="D40" s="4" t="n"/>
      <c r="E40" s="4" t="n"/>
      <c r="F40" s="4" t="n"/>
      <c r="G40" s="4">
        <f>IF(F40="","",IFERROR(F40*0.16,0))</f>
        <v/>
      </c>
      <c r="H40" s="4" t="n"/>
      <c r="I40" s="4">
        <f>IF(OR(F40="",G40=""),"",IFERROR(G40/F40*100,0))</f>
        <v/>
      </c>
      <c r="J40" s="4" t="n"/>
    </row>
    <row r="41">
      <c r="A41" s="6" t="n"/>
      <c r="B41" s="6">
        <f>IF(A41="","",VLOOKUP(A41,'F01 - _Données Expatriés'!$A$6:$L$15,2,FALSE))</f>
        <v/>
      </c>
      <c r="C41" s="6">
        <f>IF(A41="","",VLOOKUP(A41,'F01 - _Données Expatriés'!$A$6:$L$15,4,FALSE))</f>
        <v/>
      </c>
      <c r="D41" s="6" t="n"/>
      <c r="E41" s="6" t="n"/>
      <c r="F41" s="6" t="n"/>
      <c r="G41" s="6">
        <f>IF(F41="","",IFERROR(F41*0.16,0))</f>
        <v/>
      </c>
      <c r="H41" s="6" t="n"/>
      <c r="I41" s="6">
        <f>IF(OR(F41="",G41=""),"",IFERROR(G41/F41*100,0))</f>
        <v/>
      </c>
      <c r="J41" s="6" t="n"/>
    </row>
    <row r="42">
      <c r="A42" s="4" t="n"/>
      <c r="B42" s="4">
        <f>IF(A42="","",VLOOKUP(A42,'F01 - _Données Expatriés'!$A$6:$L$15,2,FALSE))</f>
        <v/>
      </c>
      <c r="C42" s="4">
        <f>IF(A42="","",VLOOKUP(A42,'F01 - _Données Expatriés'!$A$6:$L$15,4,FALSE))</f>
        <v/>
      </c>
      <c r="D42" s="4" t="n"/>
      <c r="E42" s="4" t="n"/>
      <c r="F42" s="4" t="n"/>
      <c r="G42" s="4">
        <f>IF(F42="","",IFERROR(F42*0.16,0))</f>
        <v/>
      </c>
      <c r="H42" s="4" t="n"/>
      <c r="I42" s="4">
        <f>IF(OR(F42="",G42=""),"",IFERROR(G42/F42*100,0))</f>
        <v/>
      </c>
      <c r="J42" s="4" t="n"/>
    </row>
    <row r="43">
      <c r="A43" s="6" t="n"/>
      <c r="B43" s="6">
        <f>IF(A43="","",VLOOKUP(A43,'F01 - _Données Expatriés'!$A$6:$L$15,2,FALSE))</f>
        <v/>
      </c>
      <c r="C43" s="6">
        <f>IF(A43="","",VLOOKUP(A43,'F01 - _Données Expatriés'!$A$6:$L$15,4,FALSE))</f>
        <v/>
      </c>
      <c r="D43" s="6" t="n"/>
      <c r="E43" s="6" t="n"/>
      <c r="F43" s="6" t="n"/>
      <c r="G43" s="6">
        <f>IF(F43="","",IFERROR(F43*0.16,0))</f>
        <v/>
      </c>
      <c r="H43" s="6" t="n"/>
      <c r="I43" s="6">
        <f>IF(OR(F43="",G43=""),"",IFERROR(G43/F43*100,0))</f>
        <v/>
      </c>
      <c r="J43" s="6" t="n"/>
    </row>
    <row r="44">
      <c r="A44" s="4" t="n"/>
      <c r="B44" s="4">
        <f>IF(A44="","",VLOOKUP(A44,'F01 - _Données Expatriés'!$A$6:$L$15,2,FALSE))</f>
        <v/>
      </c>
      <c r="C44" s="4">
        <f>IF(A44="","",VLOOKUP(A44,'F01 - _Données Expatriés'!$A$6:$L$15,4,FALSE))</f>
        <v/>
      </c>
      <c r="D44" s="4" t="n"/>
      <c r="E44" s="4" t="n"/>
      <c r="F44" s="4" t="n"/>
      <c r="G44" s="4">
        <f>IF(F44="","",IFERROR(F44*0.16,0))</f>
        <v/>
      </c>
      <c r="H44" s="4" t="n"/>
      <c r="I44" s="4">
        <f>IF(OR(F44="",G44=""),"",IFERROR(G44/F44*100,0))</f>
        <v/>
      </c>
      <c r="J44" s="4" t="n"/>
    </row>
    <row r="45">
      <c r="A45" s="6" t="n"/>
      <c r="B45" s="6">
        <f>IF(A45="","",VLOOKUP(A45,'F01 - _Données Expatriés'!$A$6:$L$15,2,FALSE))</f>
        <v/>
      </c>
      <c r="C45" s="6">
        <f>IF(A45="","",VLOOKUP(A45,'F01 - _Données Expatriés'!$A$6:$L$15,4,FALSE))</f>
        <v/>
      </c>
      <c r="D45" s="6" t="n"/>
      <c r="E45" s="6" t="n"/>
      <c r="F45" s="6" t="n"/>
      <c r="G45" s="6">
        <f>IF(F45="","",IFERROR(F45*0.16,0))</f>
        <v/>
      </c>
      <c r="H45" s="6" t="n"/>
      <c r="I45" s="6">
        <f>IF(OR(F45="",G45=""),"",IFERROR(G45/F45*100,0))</f>
        <v/>
      </c>
      <c r="J45" s="6" t="n"/>
    </row>
    <row r="46">
      <c r="A46" s="4" t="n"/>
      <c r="B46" s="4">
        <f>IF(A46="","",VLOOKUP(A46,'F01 - _Données Expatriés'!$A$6:$L$15,2,FALSE))</f>
        <v/>
      </c>
      <c r="C46" s="4">
        <f>IF(A46="","",VLOOKUP(A46,'F01 - _Données Expatriés'!$A$6:$L$15,4,FALSE))</f>
        <v/>
      </c>
      <c r="D46" s="4" t="n"/>
      <c r="E46" s="4" t="n"/>
      <c r="F46" s="4" t="n"/>
      <c r="G46" s="4">
        <f>IF(F46="","",IFERROR(F46*0.16,0))</f>
        <v/>
      </c>
      <c r="H46" s="4" t="n"/>
      <c r="I46" s="4">
        <f>IF(OR(F46="",G46=""),"",IFERROR(G46/F46*100,0))</f>
        <v/>
      </c>
      <c r="J46" s="4" t="n"/>
    </row>
    <row r="47">
      <c r="A47" s="6" t="n"/>
      <c r="B47" s="6">
        <f>IF(A47="","",VLOOKUP(A47,'F01 - _Données Expatriés'!$A$6:$L$15,2,FALSE))</f>
        <v/>
      </c>
      <c r="C47" s="6">
        <f>IF(A47="","",VLOOKUP(A47,'F01 - _Données Expatriés'!$A$6:$L$15,4,FALSE))</f>
        <v/>
      </c>
      <c r="D47" s="6" t="n"/>
      <c r="E47" s="6" t="n"/>
      <c r="F47" s="6" t="n"/>
      <c r="G47" s="6">
        <f>IF(F47="","",IFERROR(F47*0.16,0))</f>
        <v/>
      </c>
      <c r="H47" s="6" t="n"/>
      <c r="I47" s="6">
        <f>IF(OR(F47="",G47=""),"",IFERROR(G47/F47*100,0))</f>
        <v/>
      </c>
      <c r="J47" s="6" t="n"/>
    </row>
    <row r="48">
      <c r="A48" s="4" t="n"/>
      <c r="B48" s="4">
        <f>IF(A48="","",VLOOKUP(A48,'F01 - _Données Expatriés'!$A$6:$L$15,2,FALSE))</f>
        <v/>
      </c>
      <c r="C48" s="4">
        <f>IF(A48="","",VLOOKUP(A48,'F01 - _Données Expatriés'!$A$6:$L$15,4,FALSE))</f>
        <v/>
      </c>
      <c r="D48" s="4" t="n"/>
      <c r="E48" s="4" t="n"/>
      <c r="F48" s="4" t="n"/>
      <c r="G48" s="4">
        <f>IF(F48="","",IFERROR(F48*0.16,0))</f>
        <v/>
      </c>
      <c r="H48" s="4" t="n"/>
      <c r="I48" s="4">
        <f>IF(OR(F48="",G48=""),"",IFERROR(G48/F48*100,0))</f>
        <v/>
      </c>
      <c r="J48" s="4" t="n"/>
    </row>
    <row r="49">
      <c r="A49" s="6" t="n"/>
      <c r="B49" s="6">
        <f>IF(A49="","",VLOOKUP(A49,'F01 - _Données Expatriés'!$A$6:$L$15,2,FALSE))</f>
        <v/>
      </c>
      <c r="C49" s="6">
        <f>IF(A49="","",VLOOKUP(A49,'F01 - _Données Expatriés'!$A$6:$L$15,4,FALSE))</f>
        <v/>
      </c>
      <c r="D49" s="6" t="n"/>
      <c r="E49" s="6" t="n"/>
      <c r="F49" s="6" t="n"/>
      <c r="G49" s="6">
        <f>IF(F49="","",IFERROR(F49*0.16,0))</f>
        <v/>
      </c>
      <c r="H49" s="6" t="n"/>
      <c r="I49" s="6">
        <f>IF(OR(F49="",G49=""),"",IFERROR(G49/F49*100,0))</f>
        <v/>
      </c>
      <c r="J49" s="6" t="n"/>
    </row>
    <row r="50">
      <c r="A50" s="4" t="n"/>
      <c r="B50" s="4">
        <f>IF(A50="","",VLOOKUP(A50,'F01 - _Données Expatriés'!$A$6:$L$15,2,FALSE))</f>
        <v/>
      </c>
      <c r="C50" s="4">
        <f>IF(A50="","",VLOOKUP(A50,'F01 - _Données Expatriés'!$A$6:$L$15,4,FALSE))</f>
        <v/>
      </c>
      <c r="D50" s="4" t="n"/>
      <c r="E50" s="4" t="n"/>
      <c r="F50" s="4" t="n"/>
      <c r="G50" s="4">
        <f>IF(F50="","",IFERROR(F50*0.16,0))</f>
        <v/>
      </c>
      <c r="H50" s="4" t="n"/>
      <c r="I50" s="4">
        <f>IF(OR(F50="",G50=""),"",IFERROR(G50/F50*100,0))</f>
        <v/>
      </c>
      <c r="J50" s="4" t="n"/>
    </row>
    <row r="51">
      <c r="A51" s="6" t="n"/>
      <c r="B51" s="6">
        <f>IF(A51="","",VLOOKUP(A51,'F01 - _Données Expatriés'!$A$6:$L$15,2,FALSE))</f>
        <v/>
      </c>
      <c r="C51" s="6">
        <f>IF(A51="","",VLOOKUP(A51,'F01 - _Données Expatriés'!$A$6:$L$15,4,FALSE))</f>
        <v/>
      </c>
      <c r="D51" s="6" t="n"/>
      <c r="E51" s="6" t="n"/>
      <c r="F51" s="6" t="n"/>
      <c r="G51" s="6">
        <f>IF(F51="","",IFERROR(F51*0.16,0))</f>
        <v/>
      </c>
      <c r="H51" s="6" t="n"/>
      <c r="I51" s="6">
        <f>IF(OR(F51="",G51=""),"",IFERROR(G51/F51*100,0))</f>
        <v/>
      </c>
      <c r="J51" s="6" t="n"/>
    </row>
    <row r="52">
      <c r="A52" s="4" t="n"/>
      <c r="B52" s="4">
        <f>IF(A52="","",VLOOKUP(A52,'F01 - _Données Expatriés'!$A$6:$L$15,2,FALSE))</f>
        <v/>
      </c>
      <c r="C52" s="4">
        <f>IF(A52="","",VLOOKUP(A52,'F01 - _Données Expatriés'!$A$6:$L$15,4,FALSE))</f>
        <v/>
      </c>
      <c r="D52" s="4" t="n"/>
      <c r="E52" s="4" t="n"/>
      <c r="F52" s="4" t="n"/>
      <c r="G52" s="4">
        <f>IF(F52="","",IFERROR(F52*0.16,0))</f>
        <v/>
      </c>
      <c r="H52" s="4" t="n"/>
      <c r="I52" s="4">
        <f>IF(OR(F52="",G52=""),"",IFERROR(G52/F52*100,0))</f>
        <v/>
      </c>
      <c r="J52" s="4" t="n"/>
    </row>
    <row r="53">
      <c r="A53" s="6" t="n"/>
      <c r="B53" s="6">
        <f>IF(A53="","",VLOOKUP(A53,'F01 - _Données Expatriés'!$A$6:$L$15,2,FALSE))</f>
        <v/>
      </c>
      <c r="C53" s="6">
        <f>IF(A53="","",VLOOKUP(A53,'F01 - _Données Expatriés'!$A$6:$L$15,4,FALSE))</f>
        <v/>
      </c>
      <c r="D53" s="6" t="n"/>
      <c r="E53" s="6" t="n"/>
      <c r="F53" s="6" t="n"/>
      <c r="G53" s="6">
        <f>IF(F53="","",IFERROR(F53*0.16,0))</f>
        <v/>
      </c>
      <c r="H53" s="6" t="n"/>
      <c r="I53" s="6">
        <f>IF(OR(F53="",G53=""),"",IFERROR(G53/F53*100,0))</f>
        <v/>
      </c>
      <c r="J53" s="6" t="n"/>
    </row>
    <row r="54">
      <c r="A54" s="4" t="n"/>
      <c r="B54" s="4">
        <f>IF(A54="","",VLOOKUP(A54,'F01 - _Données Expatriés'!$A$6:$L$15,2,FALSE))</f>
        <v/>
      </c>
      <c r="C54" s="4">
        <f>IF(A54="","",VLOOKUP(A54,'F01 - _Données Expatriés'!$A$6:$L$15,4,FALSE))</f>
        <v/>
      </c>
      <c r="D54" s="4" t="n"/>
      <c r="E54" s="4" t="n"/>
      <c r="F54" s="4" t="n"/>
      <c r="G54" s="4">
        <f>IF(F54="","",IFERROR(F54*0.16,0))</f>
        <v/>
      </c>
      <c r="H54" s="4" t="n"/>
      <c r="I54" s="4">
        <f>IF(OR(F54="",G54=""),"",IFERROR(G54/F54*100,0))</f>
        <v/>
      </c>
      <c r="J54" s="4" t="n"/>
    </row>
    <row r="55">
      <c r="A55" s="6" t="n"/>
      <c r="B55" s="6">
        <f>IF(A55="","",VLOOKUP(A55,'F01 - _Données Expatriés'!$A$6:$L$15,2,FALSE))</f>
        <v/>
      </c>
      <c r="C55" s="6">
        <f>IF(A55="","",VLOOKUP(A55,'F01 - _Données Expatriés'!$A$6:$L$15,4,FALSE))</f>
        <v/>
      </c>
      <c r="D55" s="6" t="n"/>
      <c r="E55" s="6" t="n"/>
      <c r="F55" s="6" t="n"/>
      <c r="G55" s="6">
        <f>IF(F55="","",IFERROR(F55*0.16,0))</f>
        <v/>
      </c>
      <c r="H55" s="6" t="n"/>
      <c r="I55" s="6">
        <f>IF(OR(F55="",G55=""),"",IFERROR(G55/F55*100,0))</f>
        <v/>
      </c>
      <c r="J55" s="6" t="n"/>
    </row>
    <row r="56">
      <c r="A56" s="4" t="n"/>
      <c r="B56" s="4">
        <f>IF(A56="","",VLOOKUP(A56,'F01 - _Données Expatriés'!$A$6:$L$15,2,FALSE))</f>
        <v/>
      </c>
      <c r="C56" s="4">
        <f>IF(A56="","",VLOOKUP(A56,'F01 - _Données Expatriés'!$A$6:$L$15,4,FALSE))</f>
        <v/>
      </c>
      <c r="D56" s="4" t="n"/>
      <c r="E56" s="4" t="n"/>
      <c r="F56" s="4" t="n"/>
      <c r="G56" s="4">
        <f>IF(F56="","",IFERROR(F56*0.16,0))</f>
        <v/>
      </c>
      <c r="H56" s="4" t="n"/>
      <c r="I56" s="4">
        <f>IF(OR(F56="",G56=""),"",IFERROR(G56/F56*100,0))</f>
        <v/>
      </c>
      <c r="J56" s="4" t="n"/>
    </row>
    <row r="57">
      <c r="A57" s="6" t="n"/>
      <c r="B57" s="6">
        <f>IF(A57="","",VLOOKUP(A57,'F01 - _Données Expatriés'!$A$6:$L$15,2,FALSE))</f>
        <v/>
      </c>
      <c r="C57" s="6">
        <f>IF(A57="","",VLOOKUP(A57,'F01 - _Données Expatriés'!$A$6:$L$15,4,FALSE))</f>
        <v/>
      </c>
      <c r="D57" s="6" t="n"/>
      <c r="E57" s="6" t="n"/>
      <c r="F57" s="6" t="n"/>
      <c r="G57" s="6">
        <f>IF(F57="","",IFERROR(F57*0.16,0))</f>
        <v/>
      </c>
      <c r="H57" s="6" t="n"/>
      <c r="I57" s="6">
        <f>IF(OR(F57="",G57=""),"",IFERROR(G57/F57*100,0))</f>
        <v/>
      </c>
      <c r="J57" s="6" t="n"/>
    </row>
    <row r="58">
      <c r="A58" s="4" t="n"/>
      <c r="B58" s="4">
        <f>IF(A58="","",VLOOKUP(A58,'F01 - _Données Expatriés'!$A$6:$L$15,2,FALSE))</f>
        <v/>
      </c>
      <c r="C58" s="4">
        <f>IF(A58="","",VLOOKUP(A58,'F01 - _Données Expatriés'!$A$6:$L$15,4,FALSE))</f>
        <v/>
      </c>
      <c r="D58" s="4" t="n"/>
      <c r="E58" s="4" t="n"/>
      <c r="F58" s="4" t="n"/>
      <c r="G58" s="4">
        <f>IF(F58="","",IFERROR(F58*0.16,0))</f>
        <v/>
      </c>
      <c r="H58" s="4" t="n"/>
      <c r="I58" s="4">
        <f>IF(OR(F58="",G58=""),"",IFERROR(G58/F58*100,0))</f>
        <v/>
      </c>
      <c r="J58" s="4" t="n"/>
    </row>
    <row r="59">
      <c r="A59" s="6" t="n"/>
      <c r="B59" s="6">
        <f>IF(A59="","",VLOOKUP(A59,'F01 - _Données Expatriés'!$A$6:$L$15,2,FALSE))</f>
        <v/>
      </c>
      <c r="C59" s="6">
        <f>IF(A59="","",VLOOKUP(A59,'F01 - _Données Expatriés'!$A$6:$L$15,4,FALSE))</f>
        <v/>
      </c>
      <c r="D59" s="6" t="n"/>
      <c r="E59" s="6" t="n"/>
      <c r="F59" s="6" t="n"/>
      <c r="G59" s="6">
        <f>IF(F59="","",IFERROR(F59*0.16,0))</f>
        <v/>
      </c>
      <c r="H59" s="6" t="n"/>
      <c r="I59" s="6">
        <f>IF(OR(F59="",G59=""),"",IFERROR(G59/F59*100,0))</f>
        <v/>
      </c>
      <c r="J59" s="6" t="n"/>
    </row>
    <row r="60">
      <c r="A60" s="4" t="n"/>
      <c r="B60" s="4">
        <f>IF(A60="","",VLOOKUP(A60,'F01 - _Données Expatriés'!$A$6:$L$15,2,FALSE))</f>
        <v/>
      </c>
      <c r="C60" s="4">
        <f>IF(A60="","",VLOOKUP(A60,'F01 - _Données Expatriés'!$A$6:$L$15,4,FALSE))</f>
        <v/>
      </c>
      <c r="D60" s="4" t="n"/>
      <c r="E60" s="4" t="n"/>
      <c r="F60" s="4" t="n"/>
      <c r="G60" s="4">
        <f>IF(F60="","",IFERROR(F60*0.16,0))</f>
        <v/>
      </c>
      <c r="H60" s="4" t="n"/>
      <c r="I60" s="4">
        <f>IF(OR(F60="",G60=""),"",IFERROR(G60/F60*100,0))</f>
        <v/>
      </c>
      <c r="J60" s="4" t="n"/>
    </row>
    <row r="61">
      <c r="A61" s="6" t="n"/>
      <c r="B61" s="6">
        <f>IF(A61="","",VLOOKUP(A61,'F01 - _Données Expatriés'!$A$6:$L$15,2,FALSE))</f>
        <v/>
      </c>
      <c r="C61" s="6">
        <f>IF(A61="","",VLOOKUP(A61,'F01 - _Données Expatriés'!$A$6:$L$15,4,FALSE))</f>
        <v/>
      </c>
      <c r="D61" s="6" t="n"/>
      <c r="E61" s="6" t="n"/>
      <c r="F61" s="6" t="n"/>
      <c r="G61" s="6">
        <f>IF(F61="","",IFERROR(F61*0.16,0))</f>
        <v/>
      </c>
      <c r="H61" s="6" t="n"/>
      <c r="I61" s="6">
        <f>IF(OR(F61="",G61=""),"",IFERROR(G61/F61*100,0))</f>
        <v/>
      </c>
      <c r="J61" s="6" t="n"/>
    </row>
    <row r="62">
      <c r="A62" s="4" t="n"/>
      <c r="B62" s="4">
        <f>IF(A62="","",VLOOKUP(A62,'F01 - _Données Expatriés'!$A$6:$L$15,2,FALSE))</f>
        <v/>
      </c>
      <c r="C62" s="4">
        <f>IF(A62="","",VLOOKUP(A62,'F01 - _Données Expatriés'!$A$6:$L$15,4,FALSE))</f>
        <v/>
      </c>
      <c r="D62" s="4" t="n"/>
      <c r="E62" s="4" t="n"/>
      <c r="F62" s="4" t="n"/>
      <c r="G62" s="4">
        <f>IF(F62="","",IFERROR(F62*0.16,0))</f>
        <v/>
      </c>
      <c r="H62" s="4" t="n"/>
      <c r="I62" s="4">
        <f>IF(OR(F62="",G62=""),"",IFERROR(G62/F62*100,0))</f>
        <v/>
      </c>
      <c r="J62" s="4" t="n"/>
    </row>
    <row r="63">
      <c r="A63" s="6" t="n"/>
      <c r="B63" s="6">
        <f>IF(A63="","",VLOOKUP(A63,'F01 - _Données Expatriés'!$A$6:$L$15,2,FALSE))</f>
        <v/>
      </c>
      <c r="C63" s="6">
        <f>IF(A63="","",VLOOKUP(A63,'F01 - _Données Expatriés'!$A$6:$L$15,4,FALSE))</f>
        <v/>
      </c>
      <c r="D63" s="6" t="n"/>
      <c r="E63" s="6" t="n"/>
      <c r="F63" s="6" t="n"/>
      <c r="G63" s="6">
        <f>IF(F63="","",IFERROR(F63*0.16,0))</f>
        <v/>
      </c>
      <c r="H63" s="6" t="n"/>
      <c r="I63" s="6">
        <f>IF(OR(F63="",G63=""),"",IFERROR(G63/F63*100,0))</f>
        <v/>
      </c>
      <c r="J63" s="6" t="n"/>
    </row>
    <row r="64">
      <c r="A64" s="4" t="n"/>
      <c r="B64" s="4">
        <f>IF(A64="","",VLOOKUP(A64,'F01 - _Données Expatriés'!$A$6:$L$15,2,FALSE))</f>
        <v/>
      </c>
      <c r="C64" s="4">
        <f>IF(A64="","",VLOOKUP(A64,'F01 - _Données Expatriés'!$A$6:$L$15,4,FALSE))</f>
        <v/>
      </c>
      <c r="D64" s="4" t="n"/>
      <c r="E64" s="4" t="n"/>
      <c r="F64" s="4" t="n"/>
      <c r="G64" s="4">
        <f>IF(F64="","",IFERROR(F64*0.16,0))</f>
        <v/>
      </c>
      <c r="H64" s="4" t="n"/>
      <c r="I64" s="4">
        <f>IF(OR(F64="",G64=""),"",IFERROR(G64/F64*100,0))</f>
        <v/>
      </c>
      <c r="J64" s="4" t="n"/>
    </row>
    <row r="65">
      <c r="A65" s="6" t="n"/>
      <c r="B65" s="6">
        <f>IF(A65="","",VLOOKUP(A65,'F01 - _Données Expatriés'!$A$6:$L$15,2,FALSE))</f>
        <v/>
      </c>
      <c r="C65" s="6">
        <f>IF(A65="","",VLOOKUP(A65,'F01 - _Données Expatriés'!$A$6:$L$15,4,FALSE))</f>
        <v/>
      </c>
      <c r="D65" s="6" t="n"/>
      <c r="E65" s="6" t="n"/>
      <c r="F65" s="6" t="n"/>
      <c r="G65" s="6">
        <f>IF(F65="","",IFERROR(F65*0.16,0))</f>
        <v/>
      </c>
      <c r="H65" s="6" t="n"/>
      <c r="I65" s="6">
        <f>IF(OR(F65="",G65=""),"",IFERROR(G65/F65*100,0))</f>
        <v/>
      </c>
      <c r="J65" s="6" t="n"/>
    </row>
    <row r="66">
      <c r="A66" s="4" t="n"/>
      <c r="B66" s="4">
        <f>IF(A66="","",VLOOKUP(A66,'F01 - _Données Expatriés'!$A$6:$L$15,2,FALSE))</f>
        <v/>
      </c>
      <c r="C66" s="4">
        <f>IF(A66="","",VLOOKUP(A66,'F01 - _Données Expatriés'!$A$6:$L$15,4,FALSE))</f>
        <v/>
      </c>
      <c r="D66" s="4" t="n"/>
      <c r="E66" s="4" t="n"/>
      <c r="F66" s="4" t="n"/>
      <c r="G66" s="4">
        <f>IF(F66="","",IFERROR(F66*0.16,0))</f>
        <v/>
      </c>
      <c r="H66" s="4" t="n"/>
      <c r="I66" s="4">
        <f>IF(OR(F66="",G66=""),"",IFERROR(G66/F66*100,0))</f>
        <v/>
      </c>
      <c r="J66" s="4" t="n"/>
    </row>
    <row r="67">
      <c r="A67" s="6" t="n"/>
      <c r="B67" s="6">
        <f>IF(A67="","",VLOOKUP(A67,'F01 - _Données Expatriés'!$A$6:$L$15,2,FALSE))</f>
        <v/>
      </c>
      <c r="C67" s="6">
        <f>IF(A67="","",VLOOKUP(A67,'F01 - _Données Expatriés'!$A$6:$L$15,4,FALSE))</f>
        <v/>
      </c>
      <c r="D67" s="6" t="n"/>
      <c r="E67" s="6" t="n"/>
      <c r="F67" s="6" t="n"/>
      <c r="G67" s="6">
        <f>IF(F67="","",IFERROR(F67*0.16,0))</f>
        <v/>
      </c>
      <c r="H67" s="6" t="n"/>
      <c r="I67" s="6">
        <f>IF(OR(F67="",G67=""),"",IFERROR(G67/F67*100,0))</f>
        <v/>
      </c>
      <c r="J67" s="6" t="n"/>
    </row>
    <row r="68">
      <c r="A68" s="4" t="n"/>
      <c r="B68" s="4">
        <f>IF(A68="","",VLOOKUP(A68,'F01 - _Données Expatriés'!$A$6:$L$15,2,FALSE))</f>
        <v/>
      </c>
      <c r="C68" s="4">
        <f>IF(A68="","",VLOOKUP(A68,'F01 - _Données Expatriés'!$A$6:$L$15,4,FALSE))</f>
        <v/>
      </c>
      <c r="D68" s="4" t="n"/>
      <c r="E68" s="4" t="n"/>
      <c r="F68" s="4" t="n"/>
      <c r="G68" s="4">
        <f>IF(F68="","",IFERROR(F68*0.16,0))</f>
        <v/>
      </c>
      <c r="H68" s="4" t="n"/>
      <c r="I68" s="4">
        <f>IF(OR(F68="",G68=""),"",IFERROR(G68/F68*100,0))</f>
        <v/>
      </c>
      <c r="J68" s="4" t="n"/>
    </row>
    <row r="69">
      <c r="A69" s="6" t="n"/>
      <c r="B69" s="6">
        <f>IF(A69="","",VLOOKUP(A69,'F01 - _Données Expatriés'!$A$6:$L$15,2,FALSE))</f>
        <v/>
      </c>
      <c r="C69" s="6">
        <f>IF(A69="","",VLOOKUP(A69,'F01 - _Données Expatriés'!$A$6:$L$15,4,FALSE))</f>
        <v/>
      </c>
      <c r="D69" s="6" t="n"/>
      <c r="E69" s="6" t="n"/>
      <c r="F69" s="6" t="n"/>
      <c r="G69" s="6">
        <f>IF(F69="","",IFERROR(F69*0.16,0))</f>
        <v/>
      </c>
      <c r="H69" s="6" t="n"/>
      <c r="I69" s="6">
        <f>IF(OR(F69="",G69=""),"",IFERROR(G69/F69*100,0))</f>
        <v/>
      </c>
      <c r="J69" s="6" t="n"/>
    </row>
    <row r="70">
      <c r="A70" s="4" t="n"/>
      <c r="B70" s="4">
        <f>IF(A70="","",VLOOKUP(A70,'F01 - _Données Expatriés'!$A$6:$L$15,2,FALSE))</f>
        <v/>
      </c>
      <c r="C70" s="4">
        <f>IF(A70="","",VLOOKUP(A70,'F01 - _Données Expatriés'!$A$6:$L$15,4,FALSE))</f>
        <v/>
      </c>
      <c r="D70" s="4" t="n"/>
      <c r="E70" s="4" t="n"/>
      <c r="F70" s="4" t="n"/>
      <c r="G70" s="4">
        <f>IF(F70="","",IFERROR(F70*0.16,0))</f>
        <v/>
      </c>
      <c r="H70" s="4" t="n"/>
      <c r="I70" s="4">
        <f>IF(OR(F70="",G70=""),"",IFERROR(G70/F70*100,0))</f>
        <v/>
      </c>
      <c r="J70" s="4" t="n"/>
    </row>
    <row r="71">
      <c r="A71" s="6" t="n"/>
      <c r="B71" s="6">
        <f>IF(A71="","",VLOOKUP(A71,'F01 - _Données Expatriés'!$A$6:$L$15,2,FALSE))</f>
        <v/>
      </c>
      <c r="C71" s="6">
        <f>IF(A71="","",VLOOKUP(A71,'F01 - _Données Expatriés'!$A$6:$L$15,4,FALSE))</f>
        <v/>
      </c>
      <c r="D71" s="6" t="n"/>
      <c r="E71" s="6" t="n"/>
      <c r="F71" s="6" t="n"/>
      <c r="G71" s="6">
        <f>IF(F71="","",IFERROR(F71*0.16,0))</f>
        <v/>
      </c>
      <c r="H71" s="6" t="n"/>
      <c r="I71" s="6">
        <f>IF(OR(F71="",G71=""),"",IFERROR(G71/F71*100,0))</f>
        <v/>
      </c>
      <c r="J71" s="6" t="n"/>
    </row>
    <row r="72">
      <c r="A72" s="4" t="n"/>
      <c r="B72" s="4">
        <f>IF(A72="","",VLOOKUP(A72,'F01 - _Données Expatriés'!$A$6:$L$15,2,FALSE))</f>
        <v/>
      </c>
      <c r="C72" s="4">
        <f>IF(A72="","",VLOOKUP(A72,'F01 - _Données Expatriés'!$A$6:$L$15,4,FALSE))</f>
        <v/>
      </c>
      <c r="D72" s="4" t="n"/>
      <c r="E72" s="4" t="n"/>
      <c r="F72" s="4" t="n"/>
      <c r="G72" s="4">
        <f>IF(F72="","",IFERROR(F72*0.16,0))</f>
        <v/>
      </c>
      <c r="H72" s="4" t="n"/>
      <c r="I72" s="4">
        <f>IF(OR(F72="",G72=""),"",IFERROR(G72/F72*100,0))</f>
        <v/>
      </c>
      <c r="J72" s="4" t="n"/>
    </row>
    <row r="73">
      <c r="A73" s="6" t="n"/>
      <c r="B73" s="6">
        <f>IF(A73="","",VLOOKUP(A73,'F01 - _Données Expatriés'!$A$6:$L$15,2,FALSE))</f>
        <v/>
      </c>
      <c r="C73" s="6">
        <f>IF(A73="","",VLOOKUP(A73,'F01 - _Données Expatriés'!$A$6:$L$15,4,FALSE))</f>
        <v/>
      </c>
      <c r="D73" s="6" t="n"/>
      <c r="E73" s="6" t="n"/>
      <c r="F73" s="6" t="n"/>
      <c r="G73" s="6">
        <f>IF(F73="","",IFERROR(F73*0.16,0))</f>
        <v/>
      </c>
      <c r="H73" s="6" t="n"/>
      <c r="I73" s="6">
        <f>IF(OR(F73="",G73=""),"",IFERROR(G73/F73*100,0))</f>
        <v/>
      </c>
      <c r="J73" s="6" t="n"/>
    </row>
    <row r="74">
      <c r="A74" s="4" t="n"/>
      <c r="B74" s="4">
        <f>IF(A74="","",VLOOKUP(A74,'F01 - _Données Expatriés'!$A$6:$L$15,2,FALSE))</f>
        <v/>
      </c>
      <c r="C74" s="4">
        <f>IF(A74="","",VLOOKUP(A74,'F01 - _Données Expatriés'!$A$6:$L$15,4,FALSE))</f>
        <v/>
      </c>
      <c r="D74" s="4" t="n"/>
      <c r="E74" s="4" t="n"/>
      <c r="F74" s="4" t="n"/>
      <c r="G74" s="4">
        <f>IF(F74="","",IFERROR(F74*0.16,0))</f>
        <v/>
      </c>
      <c r="H74" s="4" t="n"/>
      <c r="I74" s="4">
        <f>IF(OR(F74="",G74=""),"",IFERROR(G74/F74*100,0))</f>
        <v/>
      </c>
      <c r="J74" s="4" t="n"/>
    </row>
    <row r="75">
      <c r="A75" s="6" t="n"/>
      <c r="B75" s="6">
        <f>IF(A75="","",VLOOKUP(A75,'F01 - _Données Expatriés'!$A$6:$L$15,2,FALSE))</f>
        <v/>
      </c>
      <c r="C75" s="6">
        <f>IF(A75="","",VLOOKUP(A75,'F01 - _Données Expatriés'!$A$6:$L$15,4,FALSE))</f>
        <v/>
      </c>
      <c r="D75" s="6" t="n"/>
      <c r="E75" s="6" t="n"/>
      <c r="F75" s="6" t="n"/>
      <c r="G75" s="6">
        <f>IF(F75="","",IFERROR(F75*0.16,0))</f>
        <v/>
      </c>
      <c r="H75" s="6" t="n"/>
      <c r="I75" s="6">
        <f>IF(OR(F75="",G75=""),"",IFERROR(G75/F75*100,0))</f>
        <v/>
      </c>
      <c r="J75" s="6" t="n"/>
    </row>
    <row r="76">
      <c r="A76" s="4" t="n"/>
      <c r="B76" s="4">
        <f>IF(A76="","",VLOOKUP(A76,'F01 - _Données Expatriés'!$A$6:$L$15,2,FALSE))</f>
        <v/>
      </c>
      <c r="C76" s="4">
        <f>IF(A76="","",VLOOKUP(A76,'F01 - _Données Expatriés'!$A$6:$L$15,4,FALSE))</f>
        <v/>
      </c>
      <c r="D76" s="4" t="n"/>
      <c r="E76" s="4" t="n"/>
      <c r="F76" s="4" t="n"/>
      <c r="G76" s="4">
        <f>IF(F76="","",IFERROR(F76*0.16,0))</f>
        <v/>
      </c>
      <c r="H76" s="4" t="n"/>
      <c r="I76" s="4">
        <f>IF(OR(F76="",G76=""),"",IFERROR(G76/F76*100,0))</f>
        <v/>
      </c>
      <c r="J76" s="4" t="n"/>
    </row>
    <row r="77">
      <c r="A77" s="6" t="n"/>
      <c r="B77" s="6">
        <f>IF(A77="","",VLOOKUP(A77,'F01 - _Données Expatriés'!$A$6:$L$15,2,FALSE))</f>
        <v/>
      </c>
      <c r="C77" s="6">
        <f>IF(A77="","",VLOOKUP(A77,'F01 - _Données Expatriés'!$A$6:$L$15,4,FALSE))</f>
        <v/>
      </c>
      <c r="D77" s="6" t="n"/>
      <c r="E77" s="6" t="n"/>
      <c r="F77" s="6" t="n"/>
      <c r="G77" s="6">
        <f>IF(F77="","",IFERROR(F77*0.16,0))</f>
        <v/>
      </c>
      <c r="H77" s="6" t="n"/>
      <c r="I77" s="6">
        <f>IF(OR(F77="",G77=""),"",IFERROR(G77/F77*100,0))</f>
        <v/>
      </c>
      <c r="J77" s="6" t="n"/>
    </row>
    <row r="78">
      <c r="A78" s="4" t="n"/>
      <c r="B78" s="4">
        <f>IF(A78="","",VLOOKUP(A78,'F01 - _Données Expatriés'!$A$6:$L$15,2,FALSE))</f>
        <v/>
      </c>
      <c r="C78" s="4">
        <f>IF(A78="","",VLOOKUP(A78,'F01 - _Données Expatriés'!$A$6:$L$15,4,FALSE))</f>
        <v/>
      </c>
      <c r="D78" s="4" t="n"/>
      <c r="E78" s="4" t="n"/>
      <c r="F78" s="4" t="n"/>
      <c r="G78" s="4">
        <f>IF(F78="","",IFERROR(F78*0.16,0))</f>
        <v/>
      </c>
      <c r="H78" s="4" t="n"/>
      <c r="I78" s="4">
        <f>IF(OR(F78="",G78=""),"",IFERROR(G78/F78*100,0))</f>
        <v/>
      </c>
      <c r="J78" s="4" t="n"/>
    </row>
    <row r="79">
      <c r="A79" s="6" t="n"/>
      <c r="B79" s="6">
        <f>IF(A79="","",VLOOKUP(A79,'F01 - _Données Expatriés'!$A$6:$L$15,2,FALSE))</f>
        <v/>
      </c>
      <c r="C79" s="6">
        <f>IF(A79="","",VLOOKUP(A79,'F01 - _Données Expatriés'!$A$6:$L$15,4,FALSE))</f>
        <v/>
      </c>
      <c r="D79" s="6" t="n"/>
      <c r="E79" s="6" t="n"/>
      <c r="F79" s="6" t="n"/>
      <c r="G79" s="6">
        <f>IF(F79="","",IFERROR(F79*0.16,0))</f>
        <v/>
      </c>
      <c r="H79" s="6" t="n"/>
      <c r="I79" s="6">
        <f>IF(OR(F79="",G79=""),"",IFERROR(G79/F79*100,0))</f>
        <v/>
      </c>
      <c r="J79" s="6" t="n"/>
    </row>
    <row r="80">
      <c r="A80" s="4" t="n"/>
      <c r="B80" s="4">
        <f>IF(A80="","",VLOOKUP(A80,'F01 - _Données Expatriés'!$A$6:$L$15,2,FALSE))</f>
        <v/>
      </c>
      <c r="C80" s="4">
        <f>IF(A80="","",VLOOKUP(A80,'F01 - _Données Expatriés'!$A$6:$L$15,4,FALSE))</f>
        <v/>
      </c>
      <c r="D80" s="4" t="n"/>
      <c r="E80" s="4" t="n"/>
      <c r="F80" s="4" t="n"/>
      <c r="G80" s="4">
        <f>IF(F80="","",IFERROR(F80*0.16,0))</f>
        <v/>
      </c>
      <c r="H80" s="4" t="n"/>
      <c r="I80" s="4">
        <f>IF(OR(F80="",G80=""),"",IFERROR(G80/F80*100,0))</f>
        <v/>
      </c>
      <c r="J80" s="4" t="n"/>
    </row>
    <row r="81">
      <c r="A81" s="6" t="n"/>
      <c r="B81" s="6">
        <f>IF(A81="","",VLOOKUP(A81,'F01 - _Données Expatriés'!$A$6:$L$15,2,FALSE))</f>
        <v/>
      </c>
      <c r="C81" s="6">
        <f>IF(A81="","",VLOOKUP(A81,'F01 - _Données Expatriés'!$A$6:$L$15,4,FALSE))</f>
        <v/>
      </c>
      <c r="D81" s="6" t="n"/>
      <c r="E81" s="6" t="n"/>
      <c r="F81" s="6" t="n"/>
      <c r="G81" s="6">
        <f>IF(F81="","",IFERROR(F81*0.16,0))</f>
        <v/>
      </c>
      <c r="H81" s="6" t="n"/>
      <c r="I81" s="6">
        <f>IF(OR(F81="",G81=""),"",IFERROR(G81/F81*100,0))</f>
        <v/>
      </c>
      <c r="J81" s="6" t="n"/>
    </row>
    <row r="82">
      <c r="A82" s="4" t="n"/>
      <c r="B82" s="4">
        <f>IF(A82="","",VLOOKUP(A82,'F01 - _Données Expatriés'!$A$6:$L$15,2,FALSE))</f>
        <v/>
      </c>
      <c r="C82" s="4">
        <f>IF(A82="","",VLOOKUP(A82,'F01 - _Données Expatriés'!$A$6:$L$15,4,FALSE))</f>
        <v/>
      </c>
      <c r="D82" s="4" t="n"/>
      <c r="E82" s="4" t="n"/>
      <c r="F82" s="4" t="n"/>
      <c r="G82" s="4">
        <f>IF(F82="","",IFERROR(F82*0.16,0))</f>
        <v/>
      </c>
      <c r="H82" s="4" t="n"/>
      <c r="I82" s="4">
        <f>IF(OR(F82="",G82=""),"",IFERROR(G82/F82*100,0))</f>
        <v/>
      </c>
      <c r="J82" s="4" t="n"/>
    </row>
    <row r="83">
      <c r="A83" s="6" t="n"/>
      <c r="B83" s="6">
        <f>IF(A83="","",VLOOKUP(A83,'F01 - _Données Expatriés'!$A$6:$L$15,2,FALSE))</f>
        <v/>
      </c>
      <c r="C83" s="6">
        <f>IF(A83="","",VLOOKUP(A83,'F01 - _Données Expatriés'!$A$6:$L$15,4,FALSE))</f>
        <v/>
      </c>
      <c r="D83" s="6" t="n"/>
      <c r="E83" s="6" t="n"/>
      <c r="F83" s="6" t="n"/>
      <c r="G83" s="6">
        <f>IF(F83="","",IFERROR(F83*0.16,0))</f>
        <v/>
      </c>
      <c r="H83" s="6" t="n"/>
      <c r="I83" s="6">
        <f>IF(OR(F83="",G83=""),"",IFERROR(G83/F83*100,0))</f>
        <v/>
      </c>
      <c r="J83" s="6" t="n"/>
    </row>
    <row r="84">
      <c r="A84" s="4" t="n"/>
      <c r="B84" s="4">
        <f>IF(A84="","",VLOOKUP(A84,'F01 - _Données Expatriés'!$A$6:$L$15,2,FALSE))</f>
        <v/>
      </c>
      <c r="C84" s="4">
        <f>IF(A84="","",VLOOKUP(A84,'F01 - _Données Expatriés'!$A$6:$L$15,4,FALSE))</f>
        <v/>
      </c>
      <c r="D84" s="4" t="n"/>
      <c r="E84" s="4" t="n"/>
      <c r="F84" s="4" t="n"/>
      <c r="G84" s="4">
        <f>IF(F84="","",IFERROR(F84*0.16,0))</f>
        <v/>
      </c>
      <c r="H84" s="4" t="n"/>
      <c r="I84" s="4">
        <f>IF(OR(F84="",G84=""),"",IFERROR(G84/F84*100,0))</f>
        <v/>
      </c>
      <c r="J84" s="4" t="n"/>
    </row>
    <row r="85">
      <c r="A85" s="6" t="n"/>
      <c r="B85" s="6">
        <f>IF(A85="","",VLOOKUP(A85,'F01 - _Données Expatriés'!$A$6:$L$15,2,FALSE))</f>
        <v/>
      </c>
      <c r="C85" s="6">
        <f>IF(A85="","",VLOOKUP(A85,'F01 - _Données Expatriés'!$A$6:$L$15,4,FALSE))</f>
        <v/>
      </c>
      <c r="D85" s="6" t="n"/>
      <c r="E85" s="6" t="n"/>
      <c r="F85" s="6" t="n"/>
      <c r="G85" s="6">
        <f>IF(F85="","",IFERROR(F85*0.16,0))</f>
        <v/>
      </c>
      <c r="H85" s="6" t="n"/>
      <c r="I85" s="6">
        <f>IF(OR(F85="",G85=""),"",IFERROR(G85/F85*100,0))</f>
        <v/>
      </c>
      <c r="J85" s="6" t="n"/>
    </row>
    <row r="86">
      <c r="A86" s="4" t="n"/>
      <c r="B86" s="4">
        <f>IF(A86="","",VLOOKUP(A86,'F01 - _Données Expatriés'!$A$6:$L$15,2,FALSE))</f>
        <v/>
      </c>
      <c r="C86" s="4">
        <f>IF(A86="","",VLOOKUP(A86,'F01 - _Données Expatriés'!$A$6:$L$15,4,FALSE))</f>
        <v/>
      </c>
      <c r="D86" s="4" t="n"/>
      <c r="E86" s="4" t="n"/>
      <c r="F86" s="4" t="n"/>
      <c r="G86" s="4">
        <f>IF(F86="","",IFERROR(F86*0.16,0))</f>
        <v/>
      </c>
      <c r="H86" s="4" t="n"/>
      <c r="I86" s="4">
        <f>IF(OR(F86="",G86=""),"",IFERROR(G86/F86*100,0))</f>
        <v/>
      </c>
      <c r="J86" s="4" t="n"/>
    </row>
    <row r="87">
      <c r="A87" s="6" t="n"/>
      <c r="B87" s="6">
        <f>IF(A87="","",VLOOKUP(A87,'F01 - _Données Expatriés'!$A$6:$L$15,2,FALSE))</f>
        <v/>
      </c>
      <c r="C87" s="6">
        <f>IF(A87="","",VLOOKUP(A87,'F01 - _Données Expatriés'!$A$6:$L$15,4,FALSE))</f>
        <v/>
      </c>
      <c r="D87" s="6" t="n"/>
      <c r="E87" s="6" t="n"/>
      <c r="F87" s="6" t="n"/>
      <c r="G87" s="6">
        <f>IF(F87="","",IFERROR(F87*0.16,0))</f>
        <v/>
      </c>
      <c r="H87" s="6" t="n"/>
      <c r="I87" s="6">
        <f>IF(OR(F87="",G87=""),"",IFERROR(G87/F87*100,0))</f>
        <v/>
      </c>
      <c r="J87" s="6" t="n"/>
    </row>
    <row r="88">
      <c r="A88" s="4" t="n"/>
      <c r="B88" s="4">
        <f>IF(A88="","",VLOOKUP(A88,'F01 - _Données Expatriés'!$A$6:$L$15,2,FALSE))</f>
        <v/>
      </c>
      <c r="C88" s="4">
        <f>IF(A88="","",VLOOKUP(A88,'F01 - _Données Expatriés'!$A$6:$L$15,4,FALSE))</f>
        <v/>
      </c>
      <c r="D88" s="4" t="n"/>
      <c r="E88" s="4" t="n"/>
      <c r="F88" s="4" t="n"/>
      <c r="G88" s="4">
        <f>IF(F88="","",IFERROR(F88*0.16,0))</f>
        <v/>
      </c>
      <c r="H88" s="4" t="n"/>
      <c r="I88" s="4">
        <f>IF(OR(F88="",G88=""),"",IFERROR(G88/F88*100,0))</f>
        <v/>
      </c>
      <c r="J88" s="4" t="n"/>
    </row>
    <row r="89">
      <c r="A89" s="6" t="n"/>
      <c r="B89" s="6">
        <f>IF(A89="","",VLOOKUP(A89,'F01 - _Données Expatriés'!$A$6:$L$15,2,FALSE))</f>
        <v/>
      </c>
      <c r="C89" s="6">
        <f>IF(A89="","",VLOOKUP(A89,'F01 - _Données Expatriés'!$A$6:$L$15,4,FALSE))</f>
        <v/>
      </c>
      <c r="D89" s="6" t="n"/>
      <c r="E89" s="6" t="n"/>
      <c r="F89" s="6" t="n"/>
      <c r="G89" s="6">
        <f>IF(F89="","",IFERROR(F89*0.16,0))</f>
        <v/>
      </c>
      <c r="H89" s="6" t="n"/>
      <c r="I89" s="6">
        <f>IF(OR(F89="",G89=""),"",IFERROR(G89/F89*100,0))</f>
        <v/>
      </c>
      <c r="J89" s="6" t="n"/>
    </row>
    <row r="90">
      <c r="A90" s="4" t="n"/>
      <c r="B90" s="4">
        <f>IF(A90="","",VLOOKUP(A90,'F01 - _Données Expatriés'!$A$6:$L$15,2,FALSE))</f>
        <v/>
      </c>
      <c r="C90" s="4">
        <f>IF(A90="","",VLOOKUP(A90,'F01 - _Données Expatriés'!$A$6:$L$15,4,FALSE))</f>
        <v/>
      </c>
      <c r="D90" s="4" t="n"/>
      <c r="E90" s="4" t="n"/>
      <c r="F90" s="4" t="n"/>
      <c r="G90" s="4">
        <f>IF(F90="","",IFERROR(F90*0.16,0))</f>
        <v/>
      </c>
      <c r="H90" s="4" t="n"/>
      <c r="I90" s="4">
        <f>IF(OR(F90="",G90=""),"",IFERROR(G90/F90*100,0))</f>
        <v/>
      </c>
      <c r="J90" s="4" t="n"/>
    </row>
    <row r="91">
      <c r="A91" s="6" t="n"/>
      <c r="B91" s="6">
        <f>IF(A91="","",VLOOKUP(A91,'F01 - _Données Expatriés'!$A$6:$L$15,2,FALSE))</f>
        <v/>
      </c>
      <c r="C91" s="6">
        <f>IF(A91="","",VLOOKUP(A91,'F01 - _Données Expatriés'!$A$6:$L$15,4,FALSE))</f>
        <v/>
      </c>
      <c r="D91" s="6" t="n"/>
      <c r="E91" s="6" t="n"/>
      <c r="F91" s="6" t="n"/>
      <c r="G91" s="6">
        <f>IF(F91="","",IFERROR(F91*0.16,0))</f>
        <v/>
      </c>
      <c r="H91" s="6" t="n"/>
      <c r="I91" s="6">
        <f>IF(OR(F91="",G91=""),"",IFERROR(G91/F91*100,0))</f>
        <v/>
      </c>
      <c r="J91" s="6" t="n"/>
    </row>
    <row r="92">
      <c r="A92" s="4" t="n"/>
      <c r="B92" s="4">
        <f>IF(A92="","",VLOOKUP(A92,'F01 - _Données Expatriés'!$A$6:$L$15,2,FALSE))</f>
        <v/>
      </c>
      <c r="C92" s="4">
        <f>IF(A92="","",VLOOKUP(A92,'F01 - _Données Expatriés'!$A$6:$L$15,4,FALSE))</f>
        <v/>
      </c>
      <c r="D92" s="4" t="n"/>
      <c r="E92" s="4" t="n"/>
      <c r="F92" s="4" t="n"/>
      <c r="G92" s="4">
        <f>IF(F92="","",IFERROR(F92*0.16,0))</f>
        <v/>
      </c>
      <c r="H92" s="4" t="n"/>
      <c r="I92" s="4">
        <f>IF(OR(F92="",G92=""),"",IFERROR(G92/F92*100,0))</f>
        <v/>
      </c>
      <c r="J92" s="4" t="n"/>
    </row>
    <row r="93">
      <c r="A93" s="6" t="n"/>
      <c r="B93" s="6">
        <f>IF(A93="","",VLOOKUP(A93,'F01 - _Données Expatriés'!$A$6:$L$15,2,FALSE))</f>
        <v/>
      </c>
      <c r="C93" s="6">
        <f>IF(A93="","",VLOOKUP(A93,'F01 - _Données Expatriés'!$A$6:$L$15,4,FALSE))</f>
        <v/>
      </c>
      <c r="D93" s="6" t="n"/>
      <c r="E93" s="6" t="n"/>
      <c r="F93" s="6" t="n"/>
      <c r="G93" s="6">
        <f>IF(F93="","",IFERROR(F93*0.16,0))</f>
        <v/>
      </c>
      <c r="H93" s="6" t="n"/>
      <c r="I93" s="6">
        <f>IF(OR(F93="",G93=""),"",IFERROR(G93/F93*100,0))</f>
        <v/>
      </c>
      <c r="J93" s="6" t="n"/>
    </row>
    <row r="94">
      <c r="A94" s="4" t="n"/>
      <c r="B94" s="4">
        <f>IF(A94="","",VLOOKUP(A94,'F01 - _Données Expatriés'!$A$6:$L$15,2,FALSE))</f>
        <v/>
      </c>
      <c r="C94" s="4">
        <f>IF(A94="","",VLOOKUP(A94,'F01 - _Données Expatriés'!$A$6:$L$15,4,FALSE))</f>
        <v/>
      </c>
      <c r="D94" s="4" t="n"/>
      <c r="E94" s="4" t="n"/>
      <c r="F94" s="4" t="n"/>
      <c r="G94" s="4">
        <f>IF(F94="","",IFERROR(F94*0.16,0))</f>
        <v/>
      </c>
      <c r="H94" s="4" t="n"/>
      <c r="I94" s="4">
        <f>IF(OR(F94="",G94=""),"",IFERROR(G94/F94*100,0))</f>
        <v/>
      </c>
      <c r="J94" s="4" t="n"/>
    </row>
    <row r="95">
      <c r="A95" s="6" t="n"/>
      <c r="B95" s="6">
        <f>IF(A95="","",VLOOKUP(A95,'F01 - _Données Expatriés'!$A$6:$L$15,2,FALSE))</f>
        <v/>
      </c>
      <c r="C95" s="6">
        <f>IF(A95="","",VLOOKUP(A95,'F01 - _Données Expatriés'!$A$6:$L$15,4,FALSE))</f>
        <v/>
      </c>
      <c r="D95" s="6" t="n"/>
      <c r="E95" s="6" t="n"/>
      <c r="F95" s="6" t="n"/>
      <c r="G95" s="6">
        <f>IF(F95="","",IFERROR(F95*0.16,0))</f>
        <v/>
      </c>
      <c r="H95" s="6" t="n"/>
      <c r="I95" s="6">
        <f>IF(OR(F95="",G95=""),"",IFERROR(G95/F95*100,0))</f>
        <v/>
      </c>
      <c r="J95" s="6" t="n"/>
    </row>
    <row r="96">
      <c r="A96" s="4" t="n"/>
      <c r="B96" s="4">
        <f>IF(A96="","",VLOOKUP(A96,'F01 - _Données Expatriés'!$A$6:$L$15,2,FALSE))</f>
        <v/>
      </c>
      <c r="C96" s="4">
        <f>IF(A96="","",VLOOKUP(A96,'F01 - _Données Expatriés'!$A$6:$L$15,4,FALSE))</f>
        <v/>
      </c>
      <c r="D96" s="4" t="n"/>
      <c r="E96" s="4" t="n"/>
      <c r="F96" s="4" t="n"/>
      <c r="G96" s="4">
        <f>IF(F96="","",IFERROR(F96*0.16,0))</f>
        <v/>
      </c>
      <c r="H96" s="4" t="n"/>
      <c r="I96" s="4">
        <f>IF(OR(F96="",G96=""),"",IFERROR(G96/F96*100,0))</f>
        <v/>
      </c>
      <c r="J96" s="4" t="n"/>
    </row>
    <row r="97">
      <c r="A97" s="6" t="n"/>
      <c r="B97" s="6">
        <f>IF(A97="","",VLOOKUP(A97,'F01 - _Données Expatriés'!$A$6:$L$15,2,FALSE))</f>
        <v/>
      </c>
      <c r="C97" s="6">
        <f>IF(A97="","",VLOOKUP(A97,'F01 - _Données Expatriés'!$A$6:$L$15,4,FALSE))</f>
        <v/>
      </c>
      <c r="D97" s="6" t="n"/>
      <c r="E97" s="6" t="n"/>
      <c r="F97" s="6" t="n"/>
      <c r="G97" s="6">
        <f>IF(F97="","",IFERROR(F97*0.16,0))</f>
        <v/>
      </c>
      <c r="H97" s="6" t="n"/>
      <c r="I97" s="6">
        <f>IF(OR(F97="",G97=""),"",IFERROR(G97/F97*100,0))</f>
        <v/>
      </c>
      <c r="J97" s="6" t="n"/>
    </row>
    <row r="98">
      <c r="A98" s="4" t="n"/>
      <c r="B98" s="4">
        <f>IF(A98="","",VLOOKUP(A98,'F01 - _Données Expatriés'!$A$6:$L$15,2,FALSE))</f>
        <v/>
      </c>
      <c r="C98" s="4">
        <f>IF(A98="","",VLOOKUP(A98,'F01 - _Données Expatriés'!$A$6:$L$15,4,FALSE))</f>
        <v/>
      </c>
      <c r="D98" s="4" t="n"/>
      <c r="E98" s="4" t="n"/>
      <c r="F98" s="4" t="n"/>
      <c r="G98" s="4">
        <f>IF(F98="","",IFERROR(F98*0.16,0))</f>
        <v/>
      </c>
      <c r="H98" s="4" t="n"/>
      <c r="I98" s="4">
        <f>IF(OR(F98="",G98=""),"",IFERROR(G98/F98*100,0))</f>
        <v/>
      </c>
      <c r="J98" s="4" t="n"/>
    </row>
    <row r="99">
      <c r="A99" s="6" t="n"/>
      <c r="B99" s="6">
        <f>IF(A99="","",VLOOKUP(A99,'F01 - _Données Expatriés'!$A$6:$L$15,2,FALSE))</f>
        <v/>
      </c>
      <c r="C99" s="6">
        <f>IF(A99="","",VLOOKUP(A99,'F01 - _Données Expatriés'!$A$6:$L$15,4,FALSE))</f>
        <v/>
      </c>
      <c r="D99" s="6" t="n"/>
      <c r="E99" s="6" t="n"/>
      <c r="F99" s="6" t="n"/>
      <c r="G99" s="6">
        <f>IF(F99="","",IFERROR(F99*0.16,0))</f>
        <v/>
      </c>
      <c r="H99" s="6" t="n"/>
      <c r="I99" s="6">
        <f>IF(OR(F99="",G99=""),"",IFERROR(G99/F99*100,0))</f>
        <v/>
      </c>
      <c r="J99" s="6" t="n"/>
    </row>
    <row r="100">
      <c r="A100" s="4" t="n"/>
      <c r="B100" s="4">
        <f>IF(A100="","",VLOOKUP(A100,'F01 - _Données Expatriés'!$A$6:$L$15,2,FALSE))</f>
        <v/>
      </c>
      <c r="C100" s="4">
        <f>IF(A100="","",VLOOKUP(A100,'F01 - _Données Expatriés'!$A$6:$L$15,4,FALSE))</f>
        <v/>
      </c>
      <c r="D100" s="4" t="n"/>
      <c r="E100" s="4" t="n"/>
      <c r="F100" s="4" t="n"/>
      <c r="G100" s="4">
        <f>IF(F100="","",IFERROR(F100*0.16,0))</f>
        <v/>
      </c>
      <c r="H100" s="4" t="n"/>
      <c r="I100" s="4">
        <f>IF(OR(F100="",G100=""),"",IFERROR(G100/F100*100,0))</f>
        <v/>
      </c>
      <c r="J100" s="4" t="n"/>
    </row>
    <row r="101">
      <c r="A101" s="6" t="n"/>
      <c r="B101" s="6">
        <f>IF(A101="","",VLOOKUP(A101,'F01 - _Données Expatriés'!$A$6:$L$15,2,FALSE))</f>
        <v/>
      </c>
      <c r="C101" s="6">
        <f>IF(A101="","",VLOOKUP(A101,'F01 - _Données Expatriés'!$A$6:$L$15,4,FALSE))</f>
        <v/>
      </c>
      <c r="D101" s="6" t="n"/>
      <c r="E101" s="6" t="n"/>
      <c r="F101" s="6" t="n"/>
      <c r="G101" s="6">
        <f>IF(F101="","",IFERROR(F101*0.16,0))</f>
        <v/>
      </c>
      <c r="H101" s="6" t="n"/>
      <c r="I101" s="6">
        <f>IF(OR(F101="",G101=""),"",IFERROR(G101/F101*100,0))</f>
        <v/>
      </c>
      <c r="J101" s="6" t="n"/>
    </row>
    <row r="102">
      <c r="A102" s="4" t="n"/>
      <c r="B102" s="4">
        <f>IF(A102="","",VLOOKUP(A102,'F01 - _Données Expatriés'!$A$6:$L$15,2,FALSE))</f>
        <v/>
      </c>
      <c r="C102" s="4">
        <f>IF(A102="","",VLOOKUP(A102,'F01 - _Données Expatriés'!$A$6:$L$15,4,FALSE))</f>
        <v/>
      </c>
      <c r="D102" s="4" t="n"/>
      <c r="E102" s="4" t="n"/>
      <c r="F102" s="4" t="n"/>
      <c r="G102" s="4">
        <f>IF(F102="","",IFERROR(F102*0.16,0))</f>
        <v/>
      </c>
      <c r="H102" s="4" t="n"/>
      <c r="I102" s="4">
        <f>IF(OR(F102="",G102=""),"",IFERROR(G102/F102*100,0))</f>
        <v/>
      </c>
      <c r="J102" s="4" t="n"/>
    </row>
    <row r="103">
      <c r="A103" s="6" t="n"/>
      <c r="B103" s="6">
        <f>IF(A103="","",VLOOKUP(A103,'F01 - _Données Expatriés'!$A$6:$L$15,2,FALSE))</f>
        <v/>
      </c>
      <c r="C103" s="6">
        <f>IF(A103="","",VLOOKUP(A103,'F01 - _Données Expatriés'!$A$6:$L$15,4,FALSE))</f>
        <v/>
      </c>
      <c r="D103" s="6" t="n"/>
      <c r="E103" s="6" t="n"/>
      <c r="F103" s="6" t="n"/>
      <c r="G103" s="6">
        <f>IF(F103="","",IFERROR(F103*0.16,0))</f>
        <v/>
      </c>
      <c r="H103" s="6" t="n"/>
      <c r="I103" s="6">
        <f>IF(OR(F103="",G103=""),"",IFERROR(G103/F103*100,0))</f>
        <v/>
      </c>
      <c r="J103" s="6" t="n"/>
    </row>
    <row r="104">
      <c r="A104" s="4" t="n"/>
      <c r="B104" s="4">
        <f>IF(A104="","",VLOOKUP(A104,'F01 - _Données Expatriés'!$A$6:$L$15,2,FALSE))</f>
        <v/>
      </c>
      <c r="C104" s="4">
        <f>IF(A104="","",VLOOKUP(A104,'F01 - _Données Expatriés'!$A$6:$L$15,4,FALSE))</f>
        <v/>
      </c>
      <c r="D104" s="4" t="n"/>
      <c r="E104" s="4" t="n"/>
      <c r="F104" s="4" t="n"/>
      <c r="G104" s="4">
        <f>IF(F104="","",IFERROR(F104*0.16,0))</f>
        <v/>
      </c>
      <c r="H104" s="4" t="n"/>
      <c r="I104" s="4">
        <f>IF(OR(F104="",G104=""),"",IFERROR(G104/F104*100,0))</f>
        <v/>
      </c>
      <c r="J104" s="4" t="n"/>
    </row>
    <row r="105">
      <c r="A105" s="6" t="n"/>
      <c r="B105" s="6">
        <f>IF(A105="","",VLOOKUP(A105,'F01 - _Données Expatriés'!$A$6:$L$15,2,FALSE))</f>
        <v/>
      </c>
      <c r="C105" s="6">
        <f>IF(A105="","",VLOOKUP(A105,'F01 - _Données Expatriés'!$A$6:$L$15,4,FALSE))</f>
        <v/>
      </c>
      <c r="D105" s="6" t="n"/>
      <c r="E105" s="6" t="n"/>
      <c r="F105" s="6" t="n"/>
      <c r="G105" s="6">
        <f>IF(F105="","",IFERROR(F105*0.16,0))</f>
        <v/>
      </c>
      <c r="H105" s="6" t="n"/>
      <c r="I105" s="6">
        <f>IF(OR(F105="",G105=""),"",IFERROR(G105/F105*100,0))</f>
        <v/>
      </c>
      <c r="J105" s="6" t="n"/>
    </row>
    <row r="106">
      <c r="A106" s="4" t="n"/>
      <c r="B106" s="4">
        <f>IF(A106="","",VLOOKUP(A106,'F01 - _Données Expatriés'!$A$6:$L$15,2,FALSE))</f>
        <v/>
      </c>
      <c r="C106" s="4">
        <f>IF(A106="","",VLOOKUP(A106,'F01 - _Données Expatriés'!$A$6:$L$15,4,FALSE))</f>
        <v/>
      </c>
      <c r="D106" s="4" t="n"/>
      <c r="E106" s="4" t="n"/>
      <c r="F106" s="4" t="n"/>
      <c r="G106" s="4">
        <f>IF(F106="","",IFERROR(F106*0.16,0))</f>
        <v/>
      </c>
      <c r="H106" s="4" t="n"/>
      <c r="I106" s="4">
        <f>IF(OR(F106="",G106=""),"",IFERROR(G106/F106*100,0))</f>
        <v/>
      </c>
      <c r="J106" s="4" t="n"/>
    </row>
    <row r="107">
      <c r="A107" s="6" t="n"/>
      <c r="B107" s="6">
        <f>IF(A107="","",VLOOKUP(A107,'F01 - _Données Expatriés'!$A$6:$L$15,2,FALSE))</f>
        <v/>
      </c>
      <c r="C107" s="6">
        <f>IF(A107="","",VLOOKUP(A107,'F01 - _Données Expatriés'!$A$6:$L$15,4,FALSE))</f>
        <v/>
      </c>
      <c r="D107" s="6" t="n"/>
      <c r="E107" s="6" t="n"/>
      <c r="F107" s="6" t="n"/>
      <c r="G107" s="6">
        <f>IF(F107="","",IFERROR(F107*0.16,0))</f>
        <v/>
      </c>
      <c r="H107" s="6" t="n"/>
      <c r="I107" s="6">
        <f>IF(OR(F107="",G107=""),"",IFERROR(G107/F107*100,0))</f>
        <v/>
      </c>
      <c r="J107" s="6" t="n"/>
    </row>
    <row r="108">
      <c r="A108" s="4" t="n"/>
      <c r="B108" s="4">
        <f>IF(A108="","",VLOOKUP(A108,'F01 - _Données Expatriés'!$A$6:$L$15,2,FALSE))</f>
        <v/>
      </c>
      <c r="C108" s="4">
        <f>IF(A108="","",VLOOKUP(A108,'F01 - _Données Expatriés'!$A$6:$L$15,4,FALSE))</f>
        <v/>
      </c>
      <c r="D108" s="4" t="n"/>
      <c r="E108" s="4" t="n"/>
      <c r="F108" s="4" t="n"/>
      <c r="G108" s="4">
        <f>IF(F108="","",IFERROR(F108*0.16,0))</f>
        <v/>
      </c>
      <c r="H108" s="4" t="n"/>
      <c r="I108" s="4">
        <f>IF(OR(F108="",G108=""),"",IFERROR(G108/F108*100,0))</f>
        <v/>
      </c>
      <c r="J108" s="4" t="n"/>
    </row>
    <row r="109">
      <c r="A109" s="6" t="n"/>
      <c r="B109" s="6">
        <f>IF(A109="","",VLOOKUP(A109,'F01 - _Données Expatriés'!$A$6:$L$15,2,FALSE))</f>
        <v/>
      </c>
      <c r="C109" s="6">
        <f>IF(A109="","",VLOOKUP(A109,'F01 - _Données Expatriés'!$A$6:$L$15,4,FALSE))</f>
        <v/>
      </c>
      <c r="D109" s="6" t="n"/>
      <c r="E109" s="6" t="n"/>
      <c r="F109" s="6" t="n"/>
      <c r="G109" s="6">
        <f>IF(F109="","",IFERROR(F109*0.16,0))</f>
        <v/>
      </c>
      <c r="H109" s="6" t="n"/>
      <c r="I109" s="6">
        <f>IF(OR(F109="",G109=""),"",IFERROR(G109/F109*100,0))</f>
        <v/>
      </c>
      <c r="J109" s="6" t="n"/>
    </row>
    <row r="110">
      <c r="A110" s="4" t="n"/>
      <c r="B110" s="4">
        <f>IF(A110="","",VLOOKUP(A110,'F01 - _Données Expatriés'!$A$6:$L$15,2,FALSE))</f>
        <v/>
      </c>
      <c r="C110" s="4">
        <f>IF(A110="","",VLOOKUP(A110,'F01 - _Données Expatriés'!$A$6:$L$15,4,FALSE))</f>
        <v/>
      </c>
      <c r="D110" s="4" t="n"/>
      <c r="E110" s="4" t="n"/>
      <c r="F110" s="4" t="n"/>
      <c r="G110" s="4">
        <f>IF(F110="","",IFERROR(F110*0.16,0))</f>
        <v/>
      </c>
      <c r="H110" s="4" t="n"/>
      <c r="I110" s="4">
        <f>IF(OR(F110="",G110=""),"",IFERROR(G110/F110*100,0))</f>
        <v/>
      </c>
      <c r="J110" s="4" t="n"/>
    </row>
    <row r="111">
      <c r="A111" s="6" t="n"/>
      <c r="B111" s="6">
        <f>IF(A111="","",VLOOKUP(A111,'F01 - _Données Expatriés'!$A$6:$L$15,2,FALSE))</f>
        <v/>
      </c>
      <c r="C111" s="6">
        <f>IF(A111="","",VLOOKUP(A111,'F01 - _Données Expatriés'!$A$6:$L$15,4,FALSE))</f>
        <v/>
      </c>
      <c r="D111" s="6" t="n"/>
      <c r="E111" s="6" t="n"/>
      <c r="F111" s="6" t="n"/>
      <c r="G111" s="6">
        <f>IF(F111="","",IFERROR(F111*0.16,0))</f>
        <v/>
      </c>
      <c r="H111" s="6" t="n"/>
      <c r="I111" s="6">
        <f>IF(OR(F111="",G111=""),"",IFERROR(G111/F111*100,0))</f>
        <v/>
      </c>
      <c r="J111" s="6" t="n"/>
    </row>
    <row r="112">
      <c r="A112" s="4" t="n"/>
      <c r="B112" s="4">
        <f>IF(A112="","",VLOOKUP(A112,'F01 - _Données Expatriés'!$A$6:$L$15,2,FALSE))</f>
        <v/>
      </c>
      <c r="C112" s="4">
        <f>IF(A112="","",VLOOKUP(A112,'F01 - _Données Expatriés'!$A$6:$L$15,4,FALSE))</f>
        <v/>
      </c>
      <c r="D112" s="4" t="n"/>
      <c r="E112" s="4" t="n"/>
      <c r="F112" s="4" t="n"/>
      <c r="G112" s="4">
        <f>IF(F112="","",IFERROR(F112*0.16,0))</f>
        <v/>
      </c>
      <c r="H112" s="4" t="n"/>
      <c r="I112" s="4">
        <f>IF(OR(F112="",G112=""),"",IFERROR(G112/F112*100,0))</f>
        <v/>
      </c>
      <c r="J112" s="4" t="n"/>
    </row>
    <row r="113">
      <c r="A113" s="6" t="n"/>
      <c r="B113" s="6">
        <f>IF(A113="","",VLOOKUP(A113,'F01 - _Données Expatriés'!$A$6:$L$15,2,FALSE))</f>
        <v/>
      </c>
      <c r="C113" s="6">
        <f>IF(A113="","",VLOOKUP(A113,'F01 - _Données Expatriés'!$A$6:$L$15,4,FALSE))</f>
        <v/>
      </c>
      <c r="D113" s="6" t="n"/>
      <c r="E113" s="6" t="n"/>
      <c r="F113" s="6" t="n"/>
      <c r="G113" s="6">
        <f>IF(F113="","",IFERROR(F113*0.16,0))</f>
        <v/>
      </c>
      <c r="H113" s="6" t="n"/>
      <c r="I113" s="6">
        <f>IF(OR(F113="",G113=""),"",IFERROR(G113/F113*100,0))</f>
        <v/>
      </c>
      <c r="J113" s="6" t="n"/>
    </row>
    <row r="114">
      <c r="A114" s="4" t="n"/>
      <c r="B114" s="4">
        <f>IF(A114="","",VLOOKUP(A114,'F01 - _Données Expatriés'!$A$6:$L$15,2,FALSE))</f>
        <v/>
      </c>
      <c r="C114" s="4">
        <f>IF(A114="","",VLOOKUP(A114,'F01 - _Données Expatriés'!$A$6:$L$15,4,FALSE))</f>
        <v/>
      </c>
      <c r="D114" s="4" t="n"/>
      <c r="E114" s="4" t="n"/>
      <c r="F114" s="4" t="n"/>
      <c r="G114" s="4">
        <f>IF(F114="","",IFERROR(F114*0.16,0))</f>
        <v/>
      </c>
      <c r="H114" s="4" t="n"/>
      <c r="I114" s="4">
        <f>IF(OR(F114="",G114=""),"",IFERROR(G114/F114*100,0))</f>
        <v/>
      </c>
      <c r="J114" s="4" t="n"/>
    </row>
    <row r="115">
      <c r="A115" s="6" t="n"/>
      <c r="B115" s="6">
        <f>IF(A115="","",VLOOKUP(A115,'F01 - _Données Expatriés'!$A$6:$L$15,2,FALSE))</f>
        <v/>
      </c>
      <c r="C115" s="6">
        <f>IF(A115="","",VLOOKUP(A115,'F01 - _Données Expatriés'!$A$6:$L$15,4,FALSE))</f>
        <v/>
      </c>
      <c r="D115" s="6" t="n"/>
      <c r="E115" s="6" t="n"/>
      <c r="F115" s="6" t="n"/>
      <c r="G115" s="6">
        <f>IF(F115="","",IFERROR(F115*0.16,0))</f>
        <v/>
      </c>
      <c r="H115" s="6" t="n"/>
      <c r="I115" s="6">
        <f>IF(OR(F115="",G115=""),"",IFERROR(G115/F115*100,0))</f>
        <v/>
      </c>
      <c r="J115" s="6" t="n"/>
    </row>
  </sheetData>
  <mergeCells count="2">
    <mergeCell ref="A3:N3"/>
    <mergeCell ref="A2:N2"/>
  </mergeCells>
  <dataValidations count="2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_Lists'!$A$6:$A$35</formula1>
    </dataValidation>
    <dataValidation sqref="E6:E115" showDropDown="0" showInputMessage="0" showErrorMessage="0" allowBlank="1" errorTitle="Erreur de saisie" error="Valeur non autorisée" promptTitle="Liste déroulante" prompt="Sélectionnez dans la liste" type="list">
      <formula1>'F02 - _Lists'!$J$6:$J$35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</cols>
  <sheetData>
    <row r="2" ht="25" customHeight="1">
      <c r="A2" s="1" t="inlineStr">
        <is>
          <t>DOMAINE 25 — 10-ANALYSE COÛTS EXPATRIATION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Mois</t>
        </is>
      </c>
      <c r="B5" s="3" t="inlineStr">
        <is>
          <t>Nb Expatriés</t>
        </is>
      </c>
      <c r="C5" s="3" t="inlineStr">
        <is>
          <t>Total Salaires (FCFA)</t>
        </is>
      </c>
      <c r="D5" s="3" t="inlineStr">
        <is>
          <t>Total Primes (FCFA)</t>
        </is>
      </c>
      <c r="E5" s="3" t="inlineStr">
        <is>
          <t>Total Logement (FCFA)</t>
        </is>
      </c>
      <c r="F5" s="3" t="inlineStr">
        <is>
          <t>Total Scolarité (FCFA)</t>
        </is>
      </c>
      <c r="G5" s="3" t="inlineStr">
        <is>
          <t>Total Coûts (FCFA)</t>
        </is>
      </c>
      <c r="H5" s="3" t="inlineStr">
        <is>
          <t>Budget Prévu (FCFA)</t>
        </is>
      </c>
      <c r="I5" s="3" t="inlineStr">
        <is>
          <t>Écart (FCFA)</t>
        </is>
      </c>
      <c r="J5" s="3" t="inlineStr">
        <is>
          <t>Coût Moyen/Expatrié</t>
        </is>
      </c>
    </row>
    <row r="6">
      <c r="A6" s="4" t="inlineStr">
        <is>
          <t>Janvier 2025</t>
        </is>
      </c>
      <c r="B6" s="4" t="n">
        <v>10</v>
      </c>
      <c r="C6" s="4" t="n">
        <v>34000000</v>
      </c>
      <c r="D6" s="4" t="n">
        <v>5800000</v>
      </c>
      <c r="E6" s="4" t="n">
        <v>3200000</v>
      </c>
      <c r="F6" s="4" t="n">
        <v>1550000</v>
      </c>
      <c r="G6" s="4">
        <f>SUM(C6:F6)</f>
        <v/>
      </c>
      <c r="H6" s="4" t="n">
        <v>48000000</v>
      </c>
      <c r="I6" s="4">
        <f>IF(H6="","",H6-G6)</f>
        <v/>
      </c>
      <c r="J6" s="4">
        <f>IF(B6="","",IFERROR(G6/B6,0))</f>
        <v/>
      </c>
    </row>
    <row r="7">
      <c r="A7" s="6" t="inlineStr">
        <is>
          <t>Février 2025</t>
        </is>
      </c>
      <c r="B7" s="6" t="n">
        <v>10</v>
      </c>
      <c r="C7" s="6" t="n">
        <v>34000000</v>
      </c>
      <c r="D7" s="6" t="n">
        <v>5800000</v>
      </c>
      <c r="E7" s="6" t="n">
        <v>3200000</v>
      </c>
      <c r="F7" s="6" t="n">
        <v>1550000</v>
      </c>
      <c r="G7" s="6">
        <f>SUM(C7:F7)</f>
        <v/>
      </c>
      <c r="H7" s="6" t="n">
        <v>48000000</v>
      </c>
      <c r="I7" s="6">
        <f>IF(H7="","",H7-G7)</f>
        <v/>
      </c>
      <c r="J7" s="6">
        <f>IF(B7="","",IFERROR(G7/B7,0))</f>
        <v/>
      </c>
    </row>
    <row r="8">
      <c r="A8" s="4" t="inlineStr">
        <is>
          <t>Mars 2025</t>
        </is>
      </c>
      <c r="B8" s="4" t="n">
        <v>10</v>
      </c>
      <c r="C8" s="4" t="n">
        <v>34000000</v>
      </c>
      <c r="D8" s="4" t="n">
        <v>5800000</v>
      </c>
      <c r="E8" s="4" t="n">
        <v>3200000</v>
      </c>
      <c r="F8" s="4" t="n">
        <v>1550000</v>
      </c>
      <c r="G8" s="4">
        <f>SUM(C8:F8)</f>
        <v/>
      </c>
      <c r="H8" s="4" t="n">
        <v>48000000</v>
      </c>
      <c r="I8" s="4">
        <f>IF(H8="","",H8-G8)</f>
        <v/>
      </c>
      <c r="J8" s="4">
        <f>IF(B8="","",IFERROR(G8/B8,0))</f>
        <v/>
      </c>
    </row>
    <row r="9">
      <c r="A9" s="6" t="n"/>
      <c r="B9" s="6" t="n"/>
      <c r="C9" s="6" t="n"/>
      <c r="D9" s="6" t="n"/>
      <c r="E9" s="6" t="n"/>
      <c r="F9" s="6" t="n"/>
      <c r="G9" s="6">
        <f>SUM(C9:F9)</f>
        <v/>
      </c>
      <c r="H9" s="6" t="n"/>
      <c r="I9" s="6">
        <f>IF(H9="","",H9-G9)</f>
        <v/>
      </c>
      <c r="J9" s="6">
        <f>IF(B9="","",IFERROR(G9/B9,0))</f>
        <v/>
      </c>
    </row>
    <row r="10">
      <c r="A10" s="4" t="n"/>
      <c r="B10" s="4" t="n"/>
      <c r="C10" s="4" t="n"/>
      <c r="D10" s="4" t="n"/>
      <c r="E10" s="4" t="n"/>
      <c r="F10" s="4" t="n"/>
      <c r="G10" s="4">
        <f>SUM(C10:F10)</f>
        <v/>
      </c>
      <c r="H10" s="4" t="n"/>
      <c r="I10" s="4">
        <f>IF(H10="","",H10-G10)</f>
        <v/>
      </c>
      <c r="J10" s="4">
        <f>IF(B10="","",IFERROR(G10/B10,0))</f>
        <v/>
      </c>
    </row>
    <row r="11">
      <c r="A11" s="6" t="n"/>
      <c r="B11" s="6" t="n"/>
      <c r="C11" s="6" t="n"/>
      <c r="D11" s="6" t="n"/>
      <c r="E11" s="6" t="n"/>
      <c r="F11" s="6" t="n"/>
      <c r="G11" s="6">
        <f>SUM(C11:F11)</f>
        <v/>
      </c>
      <c r="H11" s="6" t="n"/>
      <c r="I11" s="6">
        <f>IF(H11="","",H11-G11)</f>
        <v/>
      </c>
      <c r="J11" s="6">
        <f>IF(B11="","",IFERROR(G11/B11,0))</f>
        <v/>
      </c>
    </row>
    <row r="12">
      <c r="A12" s="4" t="n"/>
      <c r="B12" s="4" t="n"/>
      <c r="C12" s="4" t="n"/>
      <c r="D12" s="4" t="n"/>
      <c r="E12" s="4" t="n"/>
      <c r="F12" s="4" t="n"/>
      <c r="G12" s="4">
        <f>SUM(C12:F12)</f>
        <v/>
      </c>
      <c r="H12" s="4" t="n"/>
      <c r="I12" s="4">
        <f>IF(H12="","",H12-G12)</f>
        <v/>
      </c>
      <c r="J12" s="4">
        <f>IF(B12="","",IFERROR(G12/B12,0))</f>
        <v/>
      </c>
    </row>
    <row r="13">
      <c r="A13" s="6" t="n"/>
      <c r="B13" s="6" t="n"/>
      <c r="C13" s="6" t="n"/>
      <c r="D13" s="6" t="n"/>
      <c r="E13" s="6" t="n"/>
      <c r="F13" s="6" t="n"/>
      <c r="G13" s="6">
        <f>SUM(C13:F13)</f>
        <v/>
      </c>
      <c r="H13" s="6" t="n"/>
      <c r="I13" s="6">
        <f>IF(H13="","",H13-G13)</f>
        <v/>
      </c>
      <c r="J13" s="6">
        <f>IF(B13="","",IFERROR(G13/B13,0))</f>
        <v/>
      </c>
    </row>
    <row r="14">
      <c r="A14" s="4" t="n"/>
      <c r="B14" s="4" t="n"/>
      <c r="C14" s="4" t="n"/>
      <c r="D14" s="4" t="n"/>
      <c r="E14" s="4" t="n"/>
      <c r="F14" s="4" t="n"/>
      <c r="G14" s="4">
        <f>SUM(C14:F14)</f>
        <v/>
      </c>
      <c r="H14" s="4" t="n"/>
      <c r="I14" s="4">
        <f>IF(H14="","",H14-G14)</f>
        <v/>
      </c>
      <c r="J14" s="4">
        <f>IF(B14="","",IFERROR(G14/B14,0))</f>
        <v/>
      </c>
    </row>
    <row r="15">
      <c r="A15" s="6" t="n"/>
      <c r="B15" s="6" t="n"/>
      <c r="C15" s="6" t="n"/>
      <c r="D15" s="6" t="n"/>
      <c r="E15" s="6" t="n"/>
      <c r="F15" s="6" t="n"/>
      <c r="G15" s="6">
        <f>SUM(C15:F15)</f>
        <v/>
      </c>
      <c r="H15" s="6" t="n"/>
      <c r="I15" s="6">
        <f>IF(H15="","",H15-G15)</f>
        <v/>
      </c>
      <c r="J15" s="6">
        <f>IF(B15="","",IFERROR(G15/B15,0))</f>
        <v/>
      </c>
    </row>
    <row r="16">
      <c r="A16" s="4" t="n"/>
      <c r="B16" s="4" t="n"/>
      <c r="C16" s="4" t="n"/>
      <c r="D16" s="4" t="n"/>
      <c r="E16" s="4" t="n"/>
      <c r="F16" s="4" t="n"/>
      <c r="G16" s="4">
        <f>SUM(C16:F16)</f>
        <v/>
      </c>
      <c r="H16" s="4" t="n"/>
      <c r="I16" s="4">
        <f>IF(H16="","",H16-G16)</f>
        <v/>
      </c>
      <c r="J16" s="4">
        <f>IF(B16="","",IFERROR(G16/B16,0))</f>
        <v/>
      </c>
    </row>
    <row r="17">
      <c r="A17" s="6" t="n"/>
      <c r="B17" s="6" t="n"/>
      <c r="C17" s="6" t="n"/>
      <c r="D17" s="6" t="n"/>
      <c r="E17" s="6" t="n"/>
      <c r="F17" s="6" t="n"/>
      <c r="G17" s="6">
        <f>SUM(C17:F17)</f>
        <v/>
      </c>
      <c r="H17" s="6" t="n"/>
      <c r="I17" s="6">
        <f>IF(H17="","",H17-G17)</f>
        <v/>
      </c>
      <c r="J17" s="6">
        <f>IF(B17="","",IFERROR(G17/B17,0))</f>
        <v/>
      </c>
    </row>
    <row r="18">
      <c r="A18" s="4" t="n"/>
      <c r="B18" s="4" t="n"/>
      <c r="C18" s="4" t="n"/>
      <c r="D18" s="4" t="n"/>
      <c r="E18" s="4" t="n"/>
      <c r="F18" s="4" t="n"/>
      <c r="G18" s="4">
        <f>SUM(C18:F18)</f>
        <v/>
      </c>
      <c r="H18" s="4" t="n"/>
      <c r="I18" s="4">
        <f>IF(H18="","",H18-G18)</f>
        <v/>
      </c>
      <c r="J18" s="4">
        <f>IF(B18="","",IFERROR(G18/B18,0))</f>
        <v/>
      </c>
    </row>
    <row r="19">
      <c r="A19" s="6" t="n"/>
      <c r="B19" s="6" t="n"/>
      <c r="C19" s="6" t="n"/>
      <c r="D19" s="6" t="n"/>
      <c r="E19" s="6" t="n"/>
      <c r="F19" s="6" t="n"/>
      <c r="G19" s="6">
        <f>SUM(C19:F19)</f>
        <v/>
      </c>
      <c r="H19" s="6" t="n"/>
      <c r="I19" s="6">
        <f>IF(H19="","",H19-G19)</f>
        <v/>
      </c>
      <c r="J19" s="6">
        <f>IF(B19="","",IFERROR(G19/B19,0))</f>
        <v/>
      </c>
    </row>
    <row r="20">
      <c r="A20" s="4" t="n"/>
      <c r="B20" s="4" t="n"/>
      <c r="C20" s="4" t="n"/>
      <c r="D20" s="4" t="n"/>
      <c r="E20" s="4" t="n"/>
      <c r="F20" s="4" t="n"/>
      <c r="G20" s="4">
        <f>SUM(C20:F20)</f>
        <v/>
      </c>
      <c r="H20" s="4" t="n"/>
      <c r="I20" s="4">
        <f>IF(H20="","",H20-G20)</f>
        <v/>
      </c>
      <c r="J20" s="4">
        <f>IF(B20="","",IFERROR(G20/B20,0))</f>
        <v/>
      </c>
    </row>
    <row r="21">
      <c r="A21" s="6" t="n"/>
      <c r="B21" s="6" t="n"/>
      <c r="C21" s="6" t="n"/>
      <c r="D21" s="6" t="n"/>
      <c r="E21" s="6" t="n"/>
      <c r="F21" s="6" t="n"/>
      <c r="G21" s="6">
        <f>SUM(C21:F21)</f>
        <v/>
      </c>
      <c r="H21" s="6" t="n"/>
      <c r="I21" s="6">
        <f>IF(H21="","",H21-G21)</f>
        <v/>
      </c>
      <c r="J21" s="6">
        <f>IF(B21="","",IFERROR(G21/B21,0))</f>
        <v/>
      </c>
    </row>
    <row r="22">
      <c r="A22" s="4" t="n"/>
      <c r="B22" s="4" t="n"/>
      <c r="C22" s="4" t="n"/>
      <c r="D22" s="4" t="n"/>
      <c r="E22" s="4" t="n"/>
      <c r="F22" s="4" t="n"/>
      <c r="G22" s="4">
        <f>SUM(C22:F22)</f>
        <v/>
      </c>
      <c r="H22" s="4" t="n"/>
      <c r="I22" s="4">
        <f>IF(H22="","",H22-G22)</f>
        <v/>
      </c>
      <c r="J22" s="4">
        <f>IF(B22="","",IFERROR(G22/B22,0))</f>
        <v/>
      </c>
    </row>
    <row r="23">
      <c r="A23" s="6" t="n"/>
      <c r="B23" s="6" t="n"/>
      <c r="C23" s="6" t="n"/>
      <c r="D23" s="6" t="n"/>
      <c r="E23" s="6" t="n"/>
      <c r="F23" s="6" t="n"/>
      <c r="G23" s="6">
        <f>SUM(C23:F23)</f>
        <v/>
      </c>
      <c r="H23" s="6" t="n"/>
      <c r="I23" s="6">
        <f>IF(H23="","",H23-G23)</f>
        <v/>
      </c>
      <c r="J23" s="6">
        <f>IF(B23="","",IFERROR(G23/B23,0))</f>
        <v/>
      </c>
    </row>
    <row r="24">
      <c r="A24" s="4" t="n"/>
      <c r="B24" s="4" t="n"/>
      <c r="C24" s="4" t="n"/>
      <c r="D24" s="4" t="n"/>
      <c r="E24" s="4" t="n"/>
      <c r="F24" s="4" t="n"/>
      <c r="G24" s="4">
        <f>SUM(C24:F24)</f>
        <v/>
      </c>
      <c r="H24" s="4" t="n"/>
      <c r="I24" s="4">
        <f>IF(H24="","",H24-G24)</f>
        <v/>
      </c>
      <c r="J24" s="4">
        <f>IF(B24="","",IFERROR(G24/B24,0))</f>
        <v/>
      </c>
    </row>
    <row r="25">
      <c r="A25" s="6" t="n"/>
      <c r="B25" s="6" t="n"/>
      <c r="C25" s="6" t="n"/>
      <c r="D25" s="6" t="n"/>
      <c r="E25" s="6" t="n"/>
      <c r="F25" s="6" t="n"/>
      <c r="G25" s="6">
        <f>SUM(C25:F25)</f>
        <v/>
      </c>
      <c r="H25" s="6" t="n"/>
      <c r="I25" s="6">
        <f>IF(H25="","",H25-G25)</f>
        <v/>
      </c>
      <c r="J25" s="6">
        <f>IF(B25="","",IFERROR(G25/B25,0))</f>
        <v/>
      </c>
    </row>
    <row r="26">
      <c r="A26" s="4" t="n"/>
      <c r="B26" s="4" t="n"/>
      <c r="C26" s="4" t="n"/>
      <c r="D26" s="4" t="n"/>
      <c r="E26" s="4" t="n"/>
      <c r="F26" s="4" t="n"/>
      <c r="G26" s="4">
        <f>SUM(C26:F26)</f>
        <v/>
      </c>
      <c r="H26" s="4" t="n"/>
      <c r="I26" s="4">
        <f>IF(H26="","",H26-G26)</f>
        <v/>
      </c>
      <c r="J26" s="4">
        <f>IF(B26="","",IFERROR(G26/B26,0))</f>
        <v/>
      </c>
    </row>
    <row r="27">
      <c r="A27" s="6" t="n"/>
      <c r="B27" s="6" t="n"/>
      <c r="C27" s="6" t="n"/>
      <c r="D27" s="6" t="n"/>
      <c r="E27" s="6" t="n"/>
      <c r="F27" s="6" t="n"/>
      <c r="G27" s="6">
        <f>SUM(C27:F27)</f>
        <v/>
      </c>
      <c r="H27" s="6" t="n"/>
      <c r="I27" s="6">
        <f>IF(H27="","",H27-G27)</f>
        <v/>
      </c>
      <c r="J27" s="6">
        <f>IF(B27="","",IFERROR(G27/B27,0))</f>
        <v/>
      </c>
    </row>
    <row r="28">
      <c r="A28" s="4" t="n"/>
      <c r="B28" s="4" t="n"/>
      <c r="C28" s="4" t="n"/>
      <c r="D28" s="4" t="n"/>
      <c r="E28" s="4" t="n"/>
      <c r="F28" s="4" t="n"/>
      <c r="G28" s="4">
        <f>SUM(C28:F28)</f>
        <v/>
      </c>
      <c r="H28" s="4" t="n"/>
      <c r="I28" s="4">
        <f>IF(H28="","",H28-G28)</f>
        <v/>
      </c>
      <c r="J28" s="4">
        <f>IF(B28="","",IFERROR(G28/B28,0))</f>
        <v/>
      </c>
    </row>
    <row r="29">
      <c r="A29" s="6" t="n"/>
      <c r="B29" s="6" t="n"/>
      <c r="C29" s="6" t="n"/>
      <c r="D29" s="6" t="n"/>
      <c r="E29" s="6" t="n"/>
      <c r="F29" s="6" t="n"/>
      <c r="G29" s="6">
        <f>SUM(C29:F29)</f>
        <v/>
      </c>
      <c r="H29" s="6" t="n"/>
      <c r="I29" s="6">
        <f>IF(H29="","",H29-G29)</f>
        <v/>
      </c>
      <c r="J29" s="6">
        <f>IF(B29="","",IFERROR(G29/B29,0))</f>
        <v/>
      </c>
    </row>
    <row r="30">
      <c r="A30" s="4" t="n"/>
      <c r="B30" s="4" t="n"/>
      <c r="C30" s="4" t="n"/>
      <c r="D30" s="4" t="n"/>
      <c r="E30" s="4" t="n"/>
      <c r="F30" s="4" t="n"/>
      <c r="G30" s="4">
        <f>SUM(C30:F30)</f>
        <v/>
      </c>
      <c r="H30" s="4" t="n"/>
      <c r="I30" s="4">
        <f>IF(H30="","",H30-G30)</f>
        <v/>
      </c>
      <c r="J30" s="4">
        <f>IF(B30="","",IFERROR(G30/B30,0))</f>
        <v/>
      </c>
    </row>
    <row r="31">
      <c r="A31" s="6" t="n"/>
      <c r="B31" s="6" t="n"/>
      <c r="C31" s="6" t="n"/>
      <c r="D31" s="6" t="n"/>
      <c r="E31" s="6" t="n"/>
      <c r="F31" s="6" t="n"/>
      <c r="G31" s="6">
        <f>SUM(C31:F31)</f>
        <v/>
      </c>
      <c r="H31" s="6" t="n"/>
      <c r="I31" s="6">
        <f>IF(H31="","",H31-G31)</f>
        <v/>
      </c>
      <c r="J31" s="6">
        <f>IF(B31="","",IFERROR(G31/B31,0))</f>
        <v/>
      </c>
    </row>
    <row r="32">
      <c r="A32" s="4" t="n"/>
      <c r="B32" s="4" t="n"/>
      <c r="C32" s="4" t="n"/>
      <c r="D32" s="4" t="n"/>
      <c r="E32" s="4" t="n"/>
      <c r="F32" s="4" t="n"/>
      <c r="G32" s="4">
        <f>SUM(C32:F32)</f>
        <v/>
      </c>
      <c r="H32" s="4" t="n"/>
      <c r="I32" s="4">
        <f>IF(H32="","",H32-G32)</f>
        <v/>
      </c>
      <c r="J32" s="4">
        <f>IF(B32="","",IFERROR(G32/B32,0))</f>
        <v/>
      </c>
    </row>
    <row r="33">
      <c r="A33" s="6" t="n"/>
      <c r="B33" s="6" t="n"/>
      <c r="C33" s="6" t="n"/>
      <c r="D33" s="6" t="n"/>
      <c r="E33" s="6" t="n"/>
      <c r="F33" s="6" t="n"/>
      <c r="G33" s="6">
        <f>SUM(C33:F33)</f>
        <v/>
      </c>
      <c r="H33" s="6" t="n"/>
      <c r="I33" s="6">
        <f>IF(H33="","",H33-G33)</f>
        <v/>
      </c>
      <c r="J33" s="6">
        <f>IF(B33="","",IFERROR(G33/B33,0))</f>
        <v/>
      </c>
    </row>
    <row r="34">
      <c r="A34" s="4" t="n"/>
      <c r="B34" s="4" t="n"/>
      <c r="C34" s="4" t="n"/>
      <c r="D34" s="4" t="n"/>
      <c r="E34" s="4" t="n"/>
      <c r="F34" s="4" t="n"/>
      <c r="G34" s="4">
        <f>SUM(C34:F34)</f>
        <v/>
      </c>
      <c r="H34" s="4" t="n"/>
      <c r="I34" s="4">
        <f>IF(H34="","",H34-G34)</f>
        <v/>
      </c>
      <c r="J34" s="4">
        <f>IF(B34="","",IFERROR(G34/B34,0))</f>
        <v/>
      </c>
    </row>
    <row r="35">
      <c r="A35" s="6" t="n"/>
      <c r="B35" s="6" t="n"/>
      <c r="C35" s="6" t="n"/>
      <c r="D35" s="6" t="n"/>
      <c r="E35" s="6" t="n"/>
      <c r="F35" s="6" t="n"/>
      <c r="G35" s="6">
        <f>SUM(C35:F35)</f>
        <v/>
      </c>
      <c r="H35" s="6" t="n"/>
      <c r="I35" s="6">
        <f>IF(H35="","",H35-G35)</f>
        <v/>
      </c>
      <c r="J35" s="6">
        <f>IF(B35="","",IFERROR(G35/B35,0))</f>
        <v/>
      </c>
    </row>
    <row r="36">
      <c r="A36" s="4" t="n"/>
      <c r="B36" s="4" t="n"/>
      <c r="C36" s="4" t="n"/>
      <c r="D36" s="4" t="n"/>
      <c r="E36" s="4" t="n"/>
      <c r="F36" s="4" t="n"/>
      <c r="G36" s="4">
        <f>SUM(C36:F36)</f>
        <v/>
      </c>
      <c r="H36" s="4" t="n"/>
      <c r="I36" s="4">
        <f>IF(H36="","",H36-G36)</f>
        <v/>
      </c>
      <c r="J36" s="4">
        <f>IF(B36="","",IFERROR(G36/B36,0))</f>
        <v/>
      </c>
    </row>
    <row r="37">
      <c r="A37" s="6" t="n"/>
      <c r="B37" s="6" t="n"/>
      <c r="C37" s="6" t="n"/>
      <c r="D37" s="6" t="n"/>
      <c r="E37" s="6" t="n"/>
      <c r="F37" s="6" t="n"/>
      <c r="G37" s="6">
        <f>SUM(C37:F37)</f>
        <v/>
      </c>
      <c r="H37" s="6" t="n"/>
      <c r="I37" s="6">
        <f>IF(H37="","",H37-G37)</f>
        <v/>
      </c>
      <c r="J37" s="6">
        <f>IF(B37="","",IFERROR(G37/B37,0))</f>
        <v/>
      </c>
    </row>
    <row r="38">
      <c r="A38" s="4" t="n"/>
      <c r="B38" s="4" t="n"/>
      <c r="C38" s="4" t="n"/>
      <c r="D38" s="4" t="n"/>
      <c r="E38" s="4" t="n"/>
      <c r="F38" s="4" t="n"/>
      <c r="G38" s="4">
        <f>SUM(C38:F38)</f>
        <v/>
      </c>
      <c r="H38" s="4" t="n"/>
      <c r="I38" s="4">
        <f>IF(H38="","",H38-G38)</f>
        <v/>
      </c>
      <c r="J38" s="4">
        <f>IF(B38="","",IFERROR(G38/B38,0))</f>
        <v/>
      </c>
    </row>
    <row r="39">
      <c r="A39" s="6" t="n"/>
      <c r="B39" s="6" t="n"/>
      <c r="C39" s="6" t="n"/>
      <c r="D39" s="6" t="n"/>
      <c r="E39" s="6" t="n"/>
      <c r="F39" s="6" t="n"/>
      <c r="G39" s="6">
        <f>SUM(C39:F39)</f>
        <v/>
      </c>
      <c r="H39" s="6" t="n"/>
      <c r="I39" s="6">
        <f>IF(H39="","",H39-G39)</f>
        <v/>
      </c>
      <c r="J39" s="6">
        <f>IF(B39="","",IFERROR(G39/B39,0))</f>
        <v/>
      </c>
    </row>
    <row r="40">
      <c r="A40" s="4" t="n"/>
      <c r="B40" s="4" t="n"/>
      <c r="C40" s="4" t="n"/>
      <c r="D40" s="4" t="n"/>
      <c r="E40" s="4" t="n"/>
      <c r="F40" s="4" t="n"/>
      <c r="G40" s="4">
        <f>SUM(C40:F40)</f>
        <v/>
      </c>
      <c r="H40" s="4" t="n"/>
      <c r="I40" s="4">
        <f>IF(H40="","",H40-G40)</f>
        <v/>
      </c>
      <c r="J40" s="4">
        <f>IF(B40="","",IFERROR(G40/B40,0))</f>
        <v/>
      </c>
    </row>
    <row r="41">
      <c r="A41" s="6" t="n"/>
      <c r="B41" s="6" t="n"/>
      <c r="C41" s="6" t="n"/>
      <c r="D41" s="6" t="n"/>
      <c r="E41" s="6" t="n"/>
      <c r="F41" s="6" t="n"/>
      <c r="G41" s="6">
        <f>SUM(C41:F41)</f>
        <v/>
      </c>
      <c r="H41" s="6" t="n"/>
      <c r="I41" s="6">
        <f>IF(H41="","",H41-G41)</f>
        <v/>
      </c>
      <c r="J41" s="6">
        <f>IF(B41="","",IFERROR(G41/B41,0))</f>
        <v/>
      </c>
    </row>
    <row r="42">
      <c r="A42" s="4" t="n"/>
      <c r="B42" s="4" t="n"/>
      <c r="C42" s="4" t="n"/>
      <c r="D42" s="4" t="n"/>
      <c r="E42" s="4" t="n"/>
      <c r="F42" s="4" t="n"/>
      <c r="G42" s="4">
        <f>SUM(C42:F42)</f>
        <v/>
      </c>
      <c r="H42" s="4" t="n"/>
      <c r="I42" s="4">
        <f>IF(H42="","",H42-G42)</f>
        <v/>
      </c>
      <c r="J42" s="4">
        <f>IF(B42="","",IFERROR(G42/B42,0))</f>
        <v/>
      </c>
    </row>
    <row r="43">
      <c r="A43" s="6" t="n"/>
      <c r="B43" s="6" t="n"/>
      <c r="C43" s="6" t="n"/>
      <c r="D43" s="6" t="n"/>
      <c r="E43" s="6" t="n"/>
      <c r="F43" s="6" t="n"/>
      <c r="G43" s="6">
        <f>SUM(C43:F43)</f>
        <v/>
      </c>
      <c r="H43" s="6" t="n"/>
      <c r="I43" s="6">
        <f>IF(H43="","",H43-G43)</f>
        <v/>
      </c>
      <c r="J43" s="6">
        <f>IF(B43="","",IFERROR(G43/B43,0))</f>
        <v/>
      </c>
    </row>
    <row r="44">
      <c r="A44" s="4" t="n"/>
      <c r="B44" s="4" t="n"/>
      <c r="C44" s="4" t="n"/>
      <c r="D44" s="4" t="n"/>
      <c r="E44" s="4" t="n"/>
      <c r="F44" s="4" t="n"/>
      <c r="G44" s="4">
        <f>SUM(C44:F44)</f>
        <v/>
      </c>
      <c r="H44" s="4" t="n"/>
      <c r="I44" s="4">
        <f>IF(H44="","",H44-G44)</f>
        <v/>
      </c>
      <c r="J44" s="4">
        <f>IF(B44="","",IFERROR(G44/B44,0))</f>
        <v/>
      </c>
    </row>
    <row r="45">
      <c r="A45" s="6" t="n"/>
      <c r="B45" s="6" t="n"/>
      <c r="C45" s="6" t="n"/>
      <c r="D45" s="6" t="n"/>
      <c r="E45" s="6" t="n"/>
      <c r="F45" s="6" t="n"/>
      <c r="G45" s="6">
        <f>SUM(C45:F45)</f>
        <v/>
      </c>
      <c r="H45" s="6" t="n"/>
      <c r="I45" s="6">
        <f>IF(H45="","",H45-G45)</f>
        <v/>
      </c>
      <c r="J45" s="6">
        <f>IF(B45="","",IFERROR(G45/B45,0))</f>
        <v/>
      </c>
    </row>
    <row r="46">
      <c r="A46" s="4" t="n"/>
      <c r="B46" s="4" t="n"/>
      <c r="C46" s="4" t="n"/>
      <c r="D46" s="4" t="n"/>
      <c r="E46" s="4" t="n"/>
      <c r="F46" s="4" t="n"/>
      <c r="G46" s="4">
        <f>SUM(C46:F46)</f>
        <v/>
      </c>
      <c r="H46" s="4" t="n"/>
      <c r="I46" s="4">
        <f>IF(H46="","",H46-G46)</f>
        <v/>
      </c>
      <c r="J46" s="4">
        <f>IF(B46="","",IFERROR(G46/B46,0))</f>
        <v/>
      </c>
    </row>
    <row r="47">
      <c r="A47" s="6" t="n"/>
      <c r="B47" s="6" t="n"/>
      <c r="C47" s="6" t="n"/>
      <c r="D47" s="6" t="n"/>
      <c r="E47" s="6" t="n"/>
      <c r="F47" s="6" t="n"/>
      <c r="G47" s="6">
        <f>SUM(C47:F47)</f>
        <v/>
      </c>
      <c r="H47" s="6" t="n"/>
      <c r="I47" s="6">
        <f>IF(H47="","",H47-G47)</f>
        <v/>
      </c>
      <c r="J47" s="6">
        <f>IF(B47="","",IFERROR(G47/B47,0))</f>
        <v/>
      </c>
    </row>
    <row r="48">
      <c r="A48" s="4" t="n"/>
      <c r="B48" s="4" t="n"/>
      <c r="C48" s="4" t="n"/>
      <c r="D48" s="4" t="n"/>
      <c r="E48" s="4" t="n"/>
      <c r="F48" s="4" t="n"/>
      <c r="G48" s="4">
        <f>SUM(C48:F48)</f>
        <v/>
      </c>
      <c r="H48" s="4" t="n"/>
      <c r="I48" s="4">
        <f>IF(H48="","",H48-G48)</f>
        <v/>
      </c>
      <c r="J48" s="4">
        <f>IF(B48="","",IFERROR(G48/B48,0))</f>
        <v/>
      </c>
    </row>
    <row r="49">
      <c r="A49" s="6" t="n"/>
      <c r="B49" s="6" t="n"/>
      <c r="C49" s="6" t="n"/>
      <c r="D49" s="6" t="n"/>
      <c r="E49" s="6" t="n"/>
      <c r="F49" s="6" t="n"/>
      <c r="G49" s="6">
        <f>SUM(C49:F49)</f>
        <v/>
      </c>
      <c r="H49" s="6" t="n"/>
      <c r="I49" s="6">
        <f>IF(H49="","",H49-G49)</f>
        <v/>
      </c>
      <c r="J49" s="6">
        <f>IF(B49="","",IFERROR(G49/B49,0))</f>
        <v/>
      </c>
    </row>
    <row r="50">
      <c r="A50" s="4" t="n"/>
      <c r="B50" s="4" t="n"/>
      <c r="C50" s="4" t="n"/>
      <c r="D50" s="4" t="n"/>
      <c r="E50" s="4" t="n"/>
      <c r="F50" s="4" t="n"/>
      <c r="G50" s="4">
        <f>SUM(C50:F50)</f>
        <v/>
      </c>
      <c r="H50" s="4" t="n"/>
      <c r="I50" s="4">
        <f>IF(H50="","",H50-G50)</f>
        <v/>
      </c>
      <c r="J50" s="4">
        <f>IF(B50="","",IFERROR(G50/B50,0))</f>
        <v/>
      </c>
    </row>
    <row r="51">
      <c r="A51" s="6" t="n"/>
      <c r="B51" s="6" t="n"/>
      <c r="C51" s="6" t="n"/>
      <c r="D51" s="6" t="n"/>
      <c r="E51" s="6" t="n"/>
      <c r="F51" s="6" t="n"/>
      <c r="G51" s="6">
        <f>SUM(C51:F51)</f>
        <v/>
      </c>
      <c r="H51" s="6" t="n"/>
      <c r="I51" s="6">
        <f>IF(H51="","",H51-G51)</f>
        <v/>
      </c>
      <c r="J51" s="6">
        <f>IF(B51="","",IFERROR(G51/B51,0))</f>
        <v/>
      </c>
    </row>
    <row r="52">
      <c r="A52" s="4" t="n"/>
      <c r="B52" s="4" t="n"/>
      <c r="C52" s="4" t="n"/>
      <c r="D52" s="4" t="n"/>
      <c r="E52" s="4" t="n"/>
      <c r="F52" s="4" t="n"/>
      <c r="G52" s="4">
        <f>SUM(C52:F52)</f>
        <v/>
      </c>
      <c r="H52" s="4" t="n"/>
      <c r="I52" s="4">
        <f>IF(H52="","",H52-G52)</f>
        <v/>
      </c>
      <c r="J52" s="4">
        <f>IF(B52="","",IFERROR(G52/B52,0))</f>
        <v/>
      </c>
    </row>
    <row r="53">
      <c r="A53" s="6" t="n"/>
      <c r="B53" s="6" t="n"/>
      <c r="C53" s="6" t="n"/>
      <c r="D53" s="6" t="n"/>
      <c r="E53" s="6" t="n"/>
      <c r="F53" s="6" t="n"/>
      <c r="G53" s="6">
        <f>SUM(C53:F53)</f>
        <v/>
      </c>
      <c r="H53" s="6" t="n"/>
      <c r="I53" s="6">
        <f>IF(H53="","",H53-G53)</f>
        <v/>
      </c>
      <c r="J53" s="6">
        <f>IF(B53="","",IFERROR(G53/B53,0))</f>
        <v/>
      </c>
    </row>
    <row r="54">
      <c r="A54" s="4" t="n"/>
      <c r="B54" s="4" t="n"/>
      <c r="C54" s="4" t="n"/>
      <c r="D54" s="4" t="n"/>
      <c r="E54" s="4" t="n"/>
      <c r="F54" s="4" t="n"/>
      <c r="G54" s="4">
        <f>SUM(C54:F54)</f>
        <v/>
      </c>
      <c r="H54" s="4" t="n"/>
      <c r="I54" s="4">
        <f>IF(H54="","",H54-G54)</f>
        <v/>
      </c>
      <c r="J54" s="4">
        <f>IF(B54="","",IFERROR(G54/B54,0))</f>
        <v/>
      </c>
    </row>
    <row r="55">
      <c r="A55" s="6" t="n"/>
      <c r="B55" s="6" t="n"/>
      <c r="C55" s="6" t="n"/>
      <c r="D55" s="6" t="n"/>
      <c r="E55" s="6" t="n"/>
      <c r="F55" s="6" t="n"/>
      <c r="G55" s="6">
        <f>SUM(C55:F55)</f>
        <v/>
      </c>
      <c r="H55" s="6" t="n"/>
      <c r="I55" s="6">
        <f>IF(H55="","",H55-G55)</f>
        <v/>
      </c>
      <c r="J55" s="6">
        <f>IF(B55="","",IFERROR(G55/B55,0))</f>
        <v/>
      </c>
    </row>
    <row r="56">
      <c r="A56" s="4" t="n"/>
      <c r="B56" s="4" t="n"/>
      <c r="C56" s="4" t="n"/>
      <c r="D56" s="4" t="n"/>
      <c r="E56" s="4" t="n"/>
      <c r="F56" s="4" t="n"/>
      <c r="G56" s="4">
        <f>SUM(C56:F56)</f>
        <v/>
      </c>
      <c r="H56" s="4" t="n"/>
      <c r="I56" s="4">
        <f>IF(H56="","",H56-G56)</f>
        <v/>
      </c>
      <c r="J56" s="4">
        <f>IF(B56="","",IFERROR(G56/B56,0))</f>
        <v/>
      </c>
    </row>
    <row r="57">
      <c r="A57" s="6" t="n"/>
      <c r="B57" s="6" t="n"/>
      <c r="C57" s="6" t="n"/>
      <c r="D57" s="6" t="n"/>
      <c r="E57" s="6" t="n"/>
      <c r="F57" s="6" t="n"/>
      <c r="G57" s="6">
        <f>SUM(C57:F57)</f>
        <v/>
      </c>
      <c r="H57" s="6" t="n"/>
      <c r="I57" s="6">
        <f>IF(H57="","",H57-G57)</f>
        <v/>
      </c>
      <c r="J57" s="6">
        <f>IF(B57="","",IFERROR(G57/B57,0))</f>
        <v/>
      </c>
    </row>
    <row r="58">
      <c r="A58" s="4" t="n"/>
      <c r="B58" s="4" t="n"/>
      <c r="C58" s="4" t="n"/>
      <c r="D58" s="4" t="n"/>
      <c r="E58" s="4" t="n"/>
      <c r="F58" s="4" t="n"/>
      <c r="G58" s="4">
        <f>SUM(C58:F58)</f>
        <v/>
      </c>
      <c r="H58" s="4" t="n"/>
      <c r="I58" s="4">
        <f>IF(H58="","",H58-G58)</f>
        <v/>
      </c>
      <c r="J58" s="4">
        <f>IF(B58="","",IFERROR(G58/B58,0))</f>
        <v/>
      </c>
    </row>
    <row r="59">
      <c r="A59" s="6" t="n"/>
      <c r="B59" s="6" t="n"/>
      <c r="C59" s="6" t="n"/>
      <c r="D59" s="6" t="n"/>
      <c r="E59" s="6" t="n"/>
      <c r="F59" s="6" t="n"/>
      <c r="G59" s="6">
        <f>SUM(C59:F59)</f>
        <v/>
      </c>
      <c r="H59" s="6" t="n"/>
      <c r="I59" s="6">
        <f>IF(H59="","",H59-G59)</f>
        <v/>
      </c>
      <c r="J59" s="6">
        <f>IF(B59="","",IFERROR(G59/B59,0))</f>
        <v/>
      </c>
    </row>
    <row r="60">
      <c r="A60" s="4" t="n"/>
      <c r="B60" s="4" t="n"/>
      <c r="C60" s="4" t="n"/>
      <c r="D60" s="4" t="n"/>
      <c r="E60" s="4" t="n"/>
      <c r="F60" s="4" t="n"/>
      <c r="G60" s="4">
        <f>SUM(C60:F60)</f>
        <v/>
      </c>
      <c r="H60" s="4" t="n"/>
      <c r="I60" s="4">
        <f>IF(H60="","",H60-G60)</f>
        <v/>
      </c>
      <c r="J60" s="4">
        <f>IF(B60="","",IFERROR(G60/B60,0))</f>
        <v/>
      </c>
    </row>
    <row r="61">
      <c r="A61" s="6" t="n"/>
      <c r="B61" s="6" t="n"/>
      <c r="C61" s="6" t="n"/>
      <c r="D61" s="6" t="n"/>
      <c r="E61" s="6" t="n"/>
      <c r="F61" s="6" t="n"/>
      <c r="G61" s="6">
        <f>SUM(C61:F61)</f>
        <v/>
      </c>
      <c r="H61" s="6" t="n"/>
      <c r="I61" s="6">
        <f>IF(H61="","",H61-G61)</f>
        <v/>
      </c>
      <c r="J61" s="6">
        <f>IF(B61="","",IFERROR(G61/B61,0))</f>
        <v/>
      </c>
    </row>
    <row r="62">
      <c r="A62" s="4" t="n"/>
      <c r="B62" s="4" t="n"/>
      <c r="C62" s="4" t="n"/>
      <c r="D62" s="4" t="n"/>
      <c r="E62" s="4" t="n"/>
      <c r="F62" s="4" t="n"/>
      <c r="G62" s="4">
        <f>SUM(C62:F62)</f>
        <v/>
      </c>
      <c r="H62" s="4" t="n"/>
      <c r="I62" s="4">
        <f>IF(H62="","",H62-G62)</f>
        <v/>
      </c>
      <c r="J62" s="4">
        <f>IF(B62="","",IFERROR(G62/B62,0))</f>
        <v/>
      </c>
    </row>
    <row r="63">
      <c r="A63" s="6" t="n"/>
      <c r="B63" s="6" t="n"/>
      <c r="C63" s="6" t="n"/>
      <c r="D63" s="6" t="n"/>
      <c r="E63" s="6" t="n"/>
      <c r="F63" s="6" t="n"/>
      <c r="G63" s="6">
        <f>SUM(C63:F63)</f>
        <v/>
      </c>
      <c r="H63" s="6" t="n"/>
      <c r="I63" s="6">
        <f>IF(H63="","",H63-G63)</f>
        <v/>
      </c>
      <c r="J63" s="6">
        <f>IF(B63="","",IFERROR(G63/B63,0))</f>
        <v/>
      </c>
    </row>
    <row r="64">
      <c r="A64" s="4" t="n"/>
      <c r="B64" s="4" t="n"/>
      <c r="C64" s="4" t="n"/>
      <c r="D64" s="4" t="n"/>
      <c r="E64" s="4" t="n"/>
      <c r="F64" s="4" t="n"/>
      <c r="G64" s="4">
        <f>SUM(C64:F64)</f>
        <v/>
      </c>
      <c r="H64" s="4" t="n"/>
      <c r="I64" s="4">
        <f>IF(H64="","",H64-G64)</f>
        <v/>
      </c>
      <c r="J64" s="4">
        <f>IF(B64="","",IFERROR(G64/B64,0))</f>
        <v/>
      </c>
    </row>
    <row r="65">
      <c r="A65" s="6" t="n"/>
      <c r="B65" s="6" t="n"/>
      <c r="C65" s="6" t="n"/>
      <c r="D65" s="6" t="n"/>
      <c r="E65" s="6" t="n"/>
      <c r="F65" s="6" t="n"/>
      <c r="G65" s="6">
        <f>SUM(C65:F65)</f>
        <v/>
      </c>
      <c r="H65" s="6" t="n"/>
      <c r="I65" s="6">
        <f>IF(H65="","",H65-G65)</f>
        <v/>
      </c>
      <c r="J65" s="6">
        <f>IF(B65="","",IFERROR(G65/B65,0))</f>
        <v/>
      </c>
    </row>
    <row r="66">
      <c r="A66" s="4" t="n"/>
      <c r="B66" s="4" t="n"/>
      <c r="C66" s="4" t="n"/>
      <c r="D66" s="4" t="n"/>
      <c r="E66" s="4" t="n"/>
      <c r="F66" s="4" t="n"/>
      <c r="G66" s="4">
        <f>SUM(C66:F66)</f>
        <v/>
      </c>
      <c r="H66" s="4" t="n"/>
      <c r="I66" s="4">
        <f>IF(H66="","",H66-G66)</f>
        <v/>
      </c>
      <c r="J66" s="4">
        <f>IF(B66="","",IFERROR(G66/B66,0))</f>
        <v/>
      </c>
    </row>
    <row r="67">
      <c r="A67" s="6" t="n"/>
      <c r="B67" s="6" t="n"/>
      <c r="C67" s="6" t="n"/>
      <c r="D67" s="6" t="n"/>
      <c r="E67" s="6" t="n"/>
      <c r="F67" s="6" t="n"/>
      <c r="G67" s="6">
        <f>SUM(C67:F67)</f>
        <v/>
      </c>
      <c r="H67" s="6" t="n"/>
      <c r="I67" s="6">
        <f>IF(H67="","",H67-G67)</f>
        <v/>
      </c>
      <c r="J67" s="6">
        <f>IF(B67="","",IFERROR(G67/B67,0))</f>
        <v/>
      </c>
    </row>
    <row r="68">
      <c r="A68" s="4" t="n"/>
      <c r="B68" s="4" t="n"/>
      <c r="C68" s="4" t="n"/>
      <c r="D68" s="4" t="n"/>
      <c r="E68" s="4" t="n"/>
      <c r="F68" s="4" t="n"/>
      <c r="G68" s="4">
        <f>SUM(C68:F68)</f>
        <v/>
      </c>
      <c r="H68" s="4" t="n"/>
      <c r="I68" s="4">
        <f>IF(H68="","",H68-G68)</f>
        <v/>
      </c>
      <c r="J68" s="4">
        <f>IF(B68="","",IFERROR(G68/B68,0))</f>
        <v/>
      </c>
    </row>
    <row r="69">
      <c r="A69" s="6" t="n"/>
      <c r="B69" s="6" t="n"/>
      <c r="C69" s="6" t="n"/>
      <c r="D69" s="6" t="n"/>
      <c r="E69" s="6" t="n"/>
      <c r="F69" s="6" t="n"/>
      <c r="G69" s="6">
        <f>SUM(C69:F69)</f>
        <v/>
      </c>
      <c r="H69" s="6" t="n"/>
      <c r="I69" s="6">
        <f>IF(H69="","",H69-G69)</f>
        <v/>
      </c>
      <c r="J69" s="6">
        <f>IF(B69="","",IFERROR(G69/B69,0))</f>
        <v/>
      </c>
    </row>
    <row r="70">
      <c r="A70" s="4" t="n"/>
      <c r="B70" s="4" t="n"/>
      <c r="C70" s="4" t="n"/>
      <c r="D70" s="4" t="n"/>
      <c r="E70" s="4" t="n"/>
      <c r="F70" s="4" t="n"/>
      <c r="G70" s="4">
        <f>SUM(C70:F70)</f>
        <v/>
      </c>
      <c r="H70" s="4" t="n"/>
      <c r="I70" s="4">
        <f>IF(H70="","",H70-G70)</f>
        <v/>
      </c>
      <c r="J70" s="4">
        <f>IF(B70="","",IFERROR(G70/B70,0))</f>
        <v/>
      </c>
    </row>
    <row r="71">
      <c r="A71" s="6" t="n"/>
      <c r="B71" s="6" t="n"/>
      <c r="C71" s="6" t="n"/>
      <c r="D71" s="6" t="n"/>
      <c r="E71" s="6" t="n"/>
      <c r="F71" s="6" t="n"/>
      <c r="G71" s="6">
        <f>SUM(C71:F71)</f>
        <v/>
      </c>
      <c r="H71" s="6" t="n"/>
      <c r="I71" s="6">
        <f>IF(H71="","",H71-G71)</f>
        <v/>
      </c>
      <c r="J71" s="6">
        <f>IF(B71="","",IFERROR(G71/B71,0))</f>
        <v/>
      </c>
    </row>
    <row r="72">
      <c r="A72" s="4" t="n"/>
      <c r="B72" s="4" t="n"/>
      <c r="C72" s="4" t="n"/>
      <c r="D72" s="4" t="n"/>
      <c r="E72" s="4" t="n"/>
      <c r="F72" s="4" t="n"/>
      <c r="G72" s="4">
        <f>SUM(C72:F72)</f>
        <v/>
      </c>
      <c r="H72" s="4" t="n"/>
      <c r="I72" s="4">
        <f>IF(H72="","",H72-G72)</f>
        <v/>
      </c>
      <c r="J72" s="4">
        <f>IF(B72="","",IFERROR(G72/B72,0))</f>
        <v/>
      </c>
    </row>
    <row r="73">
      <c r="A73" s="6" t="n"/>
      <c r="B73" s="6" t="n"/>
      <c r="C73" s="6" t="n"/>
      <c r="D73" s="6" t="n"/>
      <c r="E73" s="6" t="n"/>
      <c r="F73" s="6" t="n"/>
      <c r="G73" s="6">
        <f>SUM(C73:F73)</f>
        <v/>
      </c>
      <c r="H73" s="6" t="n"/>
      <c r="I73" s="6">
        <f>IF(H73="","",H73-G73)</f>
        <v/>
      </c>
      <c r="J73" s="6">
        <f>IF(B73="","",IFERROR(G73/B73,0))</f>
        <v/>
      </c>
    </row>
    <row r="74">
      <c r="A74" s="4" t="n"/>
      <c r="B74" s="4" t="n"/>
      <c r="C74" s="4" t="n"/>
      <c r="D74" s="4" t="n"/>
      <c r="E74" s="4" t="n"/>
      <c r="F74" s="4" t="n"/>
      <c r="G74" s="4">
        <f>SUM(C74:F74)</f>
        <v/>
      </c>
      <c r="H74" s="4" t="n"/>
      <c r="I74" s="4">
        <f>IF(H74="","",H74-G74)</f>
        <v/>
      </c>
      <c r="J74" s="4">
        <f>IF(B74="","",IFERROR(G74/B74,0))</f>
        <v/>
      </c>
    </row>
    <row r="75">
      <c r="A75" s="6" t="n"/>
      <c r="B75" s="6" t="n"/>
      <c r="C75" s="6" t="n"/>
      <c r="D75" s="6" t="n"/>
      <c r="E75" s="6" t="n"/>
      <c r="F75" s="6" t="n"/>
      <c r="G75" s="6">
        <f>SUM(C75:F75)</f>
        <v/>
      </c>
      <c r="H75" s="6" t="n"/>
      <c r="I75" s="6">
        <f>IF(H75="","",H75-G75)</f>
        <v/>
      </c>
      <c r="J75" s="6">
        <f>IF(B75="","",IFERROR(G75/B75,0))</f>
        <v/>
      </c>
    </row>
    <row r="76">
      <c r="A76" s="4" t="n"/>
      <c r="B76" s="4" t="n"/>
      <c r="C76" s="4" t="n"/>
      <c r="D76" s="4" t="n"/>
      <c r="E76" s="4" t="n"/>
      <c r="F76" s="4" t="n"/>
      <c r="G76" s="4">
        <f>SUM(C76:F76)</f>
        <v/>
      </c>
      <c r="H76" s="4" t="n"/>
      <c r="I76" s="4">
        <f>IF(H76="","",H76-G76)</f>
        <v/>
      </c>
      <c r="J76" s="4">
        <f>IF(B76="","",IFERROR(G76/B76,0))</f>
        <v/>
      </c>
    </row>
    <row r="77">
      <c r="A77" s="6" t="n"/>
      <c r="B77" s="6" t="n"/>
      <c r="C77" s="6" t="n"/>
      <c r="D77" s="6" t="n"/>
      <c r="E77" s="6" t="n"/>
      <c r="F77" s="6" t="n"/>
      <c r="G77" s="6">
        <f>SUM(C77:F77)</f>
        <v/>
      </c>
      <c r="H77" s="6" t="n"/>
      <c r="I77" s="6">
        <f>IF(H77="","",H77-G77)</f>
        <v/>
      </c>
      <c r="J77" s="6">
        <f>IF(B77="","",IFERROR(G77/B77,0))</f>
        <v/>
      </c>
    </row>
    <row r="78">
      <c r="A78" s="4" t="n"/>
      <c r="B78" s="4" t="n"/>
      <c r="C78" s="4" t="n"/>
      <c r="D78" s="4" t="n"/>
      <c r="E78" s="4" t="n"/>
      <c r="F78" s="4" t="n"/>
      <c r="G78" s="4">
        <f>SUM(C78:F78)</f>
        <v/>
      </c>
      <c r="H78" s="4" t="n"/>
      <c r="I78" s="4">
        <f>IF(H78="","",H78-G78)</f>
        <v/>
      </c>
      <c r="J78" s="4">
        <f>IF(B78="","",IFERROR(G78/B78,0))</f>
        <v/>
      </c>
    </row>
    <row r="79">
      <c r="A79" s="6" t="n"/>
      <c r="B79" s="6" t="n"/>
      <c r="C79" s="6" t="n"/>
      <c r="D79" s="6" t="n"/>
      <c r="E79" s="6" t="n"/>
      <c r="F79" s="6" t="n"/>
      <c r="G79" s="6">
        <f>SUM(C79:F79)</f>
        <v/>
      </c>
      <c r="H79" s="6" t="n"/>
      <c r="I79" s="6">
        <f>IF(H79="","",H79-G79)</f>
        <v/>
      </c>
      <c r="J79" s="6">
        <f>IF(B79="","",IFERROR(G79/B79,0))</f>
        <v/>
      </c>
    </row>
    <row r="80">
      <c r="A80" s="4" t="n"/>
      <c r="B80" s="4" t="n"/>
      <c r="C80" s="4" t="n"/>
      <c r="D80" s="4" t="n"/>
      <c r="E80" s="4" t="n"/>
      <c r="F80" s="4" t="n"/>
      <c r="G80" s="4">
        <f>SUM(C80:F80)</f>
        <v/>
      </c>
      <c r="H80" s="4" t="n"/>
      <c r="I80" s="4">
        <f>IF(H80="","",H80-G80)</f>
        <v/>
      </c>
      <c r="J80" s="4">
        <f>IF(B80="","",IFERROR(G80/B80,0))</f>
        <v/>
      </c>
    </row>
    <row r="81">
      <c r="A81" s="6" t="n"/>
      <c r="B81" s="6" t="n"/>
      <c r="C81" s="6" t="n"/>
      <c r="D81" s="6" t="n"/>
      <c r="E81" s="6" t="n"/>
      <c r="F81" s="6" t="n"/>
      <c r="G81" s="6">
        <f>SUM(C81:F81)</f>
        <v/>
      </c>
      <c r="H81" s="6" t="n"/>
      <c r="I81" s="6">
        <f>IF(H81="","",H81-G81)</f>
        <v/>
      </c>
      <c r="J81" s="6">
        <f>IF(B81="","",IFERROR(G81/B81,0))</f>
        <v/>
      </c>
    </row>
    <row r="82">
      <c r="A82" s="4" t="n"/>
      <c r="B82" s="4" t="n"/>
      <c r="C82" s="4" t="n"/>
      <c r="D82" s="4" t="n"/>
      <c r="E82" s="4" t="n"/>
      <c r="F82" s="4" t="n"/>
      <c r="G82" s="4">
        <f>SUM(C82:F82)</f>
        <v/>
      </c>
      <c r="H82" s="4" t="n"/>
      <c r="I82" s="4">
        <f>IF(H82="","",H82-G82)</f>
        <v/>
      </c>
      <c r="J82" s="4">
        <f>IF(B82="","",IFERROR(G82/B82,0))</f>
        <v/>
      </c>
    </row>
    <row r="83">
      <c r="A83" s="6" t="n"/>
      <c r="B83" s="6" t="n"/>
      <c r="C83" s="6" t="n"/>
      <c r="D83" s="6" t="n"/>
      <c r="E83" s="6" t="n"/>
      <c r="F83" s="6" t="n"/>
      <c r="G83" s="6">
        <f>SUM(C83:F83)</f>
        <v/>
      </c>
      <c r="H83" s="6" t="n"/>
      <c r="I83" s="6">
        <f>IF(H83="","",H83-G83)</f>
        <v/>
      </c>
      <c r="J83" s="6">
        <f>IF(B83="","",IFERROR(G83/B83,0))</f>
        <v/>
      </c>
    </row>
    <row r="84">
      <c r="A84" s="4" t="n"/>
      <c r="B84" s="4" t="n"/>
      <c r="C84" s="4" t="n"/>
      <c r="D84" s="4" t="n"/>
      <c r="E84" s="4" t="n"/>
      <c r="F84" s="4" t="n"/>
      <c r="G84" s="4">
        <f>SUM(C84:F84)</f>
        <v/>
      </c>
      <c r="H84" s="4" t="n"/>
      <c r="I84" s="4">
        <f>IF(H84="","",H84-G84)</f>
        <v/>
      </c>
      <c r="J84" s="4">
        <f>IF(B84="","",IFERROR(G84/B84,0))</f>
        <v/>
      </c>
    </row>
    <row r="85">
      <c r="A85" s="6" t="n"/>
      <c r="B85" s="6" t="n"/>
      <c r="C85" s="6" t="n"/>
      <c r="D85" s="6" t="n"/>
      <c r="E85" s="6" t="n"/>
      <c r="F85" s="6" t="n"/>
      <c r="G85" s="6">
        <f>SUM(C85:F85)</f>
        <v/>
      </c>
      <c r="H85" s="6" t="n"/>
      <c r="I85" s="6">
        <f>IF(H85="","",H85-G85)</f>
        <v/>
      </c>
      <c r="J85" s="6">
        <f>IF(B85="","",IFERROR(G85/B85,0))</f>
        <v/>
      </c>
    </row>
    <row r="86">
      <c r="A86" s="4" t="n"/>
      <c r="B86" s="4" t="n"/>
      <c r="C86" s="4" t="n"/>
      <c r="D86" s="4" t="n"/>
      <c r="E86" s="4" t="n"/>
      <c r="F86" s="4" t="n"/>
      <c r="G86" s="4">
        <f>SUM(C86:F86)</f>
        <v/>
      </c>
      <c r="H86" s="4" t="n"/>
      <c r="I86" s="4">
        <f>IF(H86="","",H86-G86)</f>
        <v/>
      </c>
      <c r="J86" s="4">
        <f>IF(B86="","",IFERROR(G86/B86,0))</f>
        <v/>
      </c>
    </row>
    <row r="87">
      <c r="A87" s="6" t="n"/>
      <c r="B87" s="6" t="n"/>
      <c r="C87" s="6" t="n"/>
      <c r="D87" s="6" t="n"/>
      <c r="E87" s="6" t="n"/>
      <c r="F87" s="6" t="n"/>
      <c r="G87" s="6">
        <f>SUM(C87:F87)</f>
        <v/>
      </c>
      <c r="H87" s="6" t="n"/>
      <c r="I87" s="6">
        <f>IF(H87="","",H87-G87)</f>
        <v/>
      </c>
      <c r="J87" s="6">
        <f>IF(B87="","",IFERROR(G87/B87,0))</f>
        <v/>
      </c>
    </row>
    <row r="88">
      <c r="A88" s="4" t="n"/>
      <c r="B88" s="4" t="n"/>
      <c r="C88" s="4" t="n"/>
      <c r="D88" s="4" t="n"/>
      <c r="E88" s="4" t="n"/>
      <c r="F88" s="4" t="n"/>
      <c r="G88" s="4">
        <f>SUM(C88:F88)</f>
        <v/>
      </c>
      <c r="H88" s="4" t="n"/>
      <c r="I88" s="4">
        <f>IF(H88="","",H88-G88)</f>
        <v/>
      </c>
      <c r="J88" s="4">
        <f>IF(B88="","",IFERROR(G88/B88,0))</f>
        <v/>
      </c>
    </row>
    <row r="89">
      <c r="A89" s="6" t="n"/>
      <c r="B89" s="6" t="n"/>
      <c r="C89" s="6" t="n"/>
      <c r="D89" s="6" t="n"/>
      <c r="E89" s="6" t="n"/>
      <c r="F89" s="6" t="n"/>
      <c r="G89" s="6">
        <f>SUM(C89:F89)</f>
        <v/>
      </c>
      <c r="H89" s="6" t="n"/>
      <c r="I89" s="6">
        <f>IF(H89="","",H89-G89)</f>
        <v/>
      </c>
      <c r="J89" s="6">
        <f>IF(B89="","",IFERROR(G89/B89,0))</f>
        <v/>
      </c>
    </row>
    <row r="90">
      <c r="A90" s="4" t="n"/>
      <c r="B90" s="4" t="n"/>
      <c r="C90" s="4" t="n"/>
      <c r="D90" s="4" t="n"/>
      <c r="E90" s="4" t="n"/>
      <c r="F90" s="4" t="n"/>
      <c r="G90" s="4">
        <f>SUM(C90:F90)</f>
        <v/>
      </c>
      <c r="H90" s="4" t="n"/>
      <c r="I90" s="4">
        <f>IF(H90="","",H90-G90)</f>
        <v/>
      </c>
      <c r="J90" s="4">
        <f>IF(B90="","",IFERROR(G90/B90,0))</f>
        <v/>
      </c>
    </row>
    <row r="91">
      <c r="A91" s="6" t="n"/>
      <c r="B91" s="6" t="n"/>
      <c r="C91" s="6" t="n"/>
      <c r="D91" s="6" t="n"/>
      <c r="E91" s="6" t="n"/>
      <c r="F91" s="6" t="n"/>
      <c r="G91" s="6">
        <f>SUM(C91:F91)</f>
        <v/>
      </c>
      <c r="H91" s="6" t="n"/>
      <c r="I91" s="6">
        <f>IF(H91="","",H91-G91)</f>
        <v/>
      </c>
      <c r="J91" s="6">
        <f>IF(B91="","",IFERROR(G91/B91,0))</f>
        <v/>
      </c>
    </row>
    <row r="92">
      <c r="A92" s="4" t="n"/>
      <c r="B92" s="4" t="n"/>
      <c r="C92" s="4" t="n"/>
      <c r="D92" s="4" t="n"/>
      <c r="E92" s="4" t="n"/>
      <c r="F92" s="4" t="n"/>
      <c r="G92" s="4">
        <f>SUM(C92:F92)</f>
        <v/>
      </c>
      <c r="H92" s="4" t="n"/>
      <c r="I92" s="4">
        <f>IF(H92="","",H92-G92)</f>
        <v/>
      </c>
      <c r="J92" s="4">
        <f>IF(B92="","",IFERROR(G92/B92,0))</f>
        <v/>
      </c>
    </row>
    <row r="93">
      <c r="A93" s="6" t="n"/>
      <c r="B93" s="6" t="n"/>
      <c r="C93" s="6" t="n"/>
      <c r="D93" s="6" t="n"/>
      <c r="E93" s="6" t="n"/>
      <c r="F93" s="6" t="n"/>
      <c r="G93" s="6">
        <f>SUM(C93:F93)</f>
        <v/>
      </c>
      <c r="H93" s="6" t="n"/>
      <c r="I93" s="6">
        <f>IF(H93="","",H93-G93)</f>
        <v/>
      </c>
      <c r="J93" s="6">
        <f>IF(B93="","",IFERROR(G93/B93,0))</f>
        <v/>
      </c>
    </row>
    <row r="94">
      <c r="A94" s="4" t="n"/>
      <c r="B94" s="4" t="n"/>
      <c r="C94" s="4" t="n"/>
      <c r="D94" s="4" t="n"/>
      <c r="E94" s="4" t="n"/>
      <c r="F94" s="4" t="n"/>
      <c r="G94" s="4">
        <f>SUM(C94:F94)</f>
        <v/>
      </c>
      <c r="H94" s="4" t="n"/>
      <c r="I94" s="4">
        <f>IF(H94="","",H94-G94)</f>
        <v/>
      </c>
      <c r="J94" s="4">
        <f>IF(B94="","",IFERROR(G94/B94,0))</f>
        <v/>
      </c>
    </row>
    <row r="95">
      <c r="A95" s="6" t="n"/>
      <c r="B95" s="6" t="n"/>
      <c r="C95" s="6" t="n"/>
      <c r="D95" s="6" t="n"/>
      <c r="E95" s="6" t="n"/>
      <c r="F95" s="6" t="n"/>
      <c r="G95" s="6">
        <f>SUM(C95:F95)</f>
        <v/>
      </c>
      <c r="H95" s="6" t="n"/>
      <c r="I95" s="6">
        <f>IF(H95="","",H95-G95)</f>
        <v/>
      </c>
      <c r="J95" s="6">
        <f>IF(B95="","",IFERROR(G95/B95,0))</f>
        <v/>
      </c>
    </row>
    <row r="96">
      <c r="A96" s="4" t="n"/>
      <c r="B96" s="4" t="n"/>
      <c r="C96" s="4" t="n"/>
      <c r="D96" s="4" t="n"/>
      <c r="E96" s="4" t="n"/>
      <c r="F96" s="4" t="n"/>
      <c r="G96" s="4">
        <f>SUM(C96:F96)</f>
        <v/>
      </c>
      <c r="H96" s="4" t="n"/>
      <c r="I96" s="4">
        <f>IF(H96="","",H96-G96)</f>
        <v/>
      </c>
      <c r="J96" s="4">
        <f>IF(B96="","",IFERROR(G96/B96,0))</f>
        <v/>
      </c>
    </row>
    <row r="97">
      <c r="A97" s="6" t="n"/>
      <c r="B97" s="6" t="n"/>
      <c r="C97" s="6" t="n"/>
      <c r="D97" s="6" t="n"/>
      <c r="E97" s="6" t="n"/>
      <c r="F97" s="6" t="n"/>
      <c r="G97" s="6">
        <f>SUM(C97:F97)</f>
        <v/>
      </c>
      <c r="H97" s="6" t="n"/>
      <c r="I97" s="6">
        <f>IF(H97="","",H97-G97)</f>
        <v/>
      </c>
      <c r="J97" s="6">
        <f>IF(B97="","",IFERROR(G97/B97,0))</f>
        <v/>
      </c>
    </row>
    <row r="98">
      <c r="A98" s="4" t="n"/>
      <c r="B98" s="4" t="n"/>
      <c r="C98" s="4" t="n"/>
      <c r="D98" s="4" t="n"/>
      <c r="E98" s="4" t="n"/>
      <c r="F98" s="4" t="n"/>
      <c r="G98" s="4">
        <f>SUM(C98:F98)</f>
        <v/>
      </c>
      <c r="H98" s="4" t="n"/>
      <c r="I98" s="4">
        <f>IF(H98="","",H98-G98)</f>
        <v/>
      </c>
      <c r="J98" s="4">
        <f>IF(B98="","",IFERROR(G98/B98,0))</f>
        <v/>
      </c>
    </row>
    <row r="99">
      <c r="A99" s="6" t="n"/>
      <c r="B99" s="6" t="n"/>
      <c r="C99" s="6" t="n"/>
      <c r="D99" s="6" t="n"/>
      <c r="E99" s="6" t="n"/>
      <c r="F99" s="6" t="n"/>
      <c r="G99" s="6">
        <f>SUM(C99:F99)</f>
        <v/>
      </c>
      <c r="H99" s="6" t="n"/>
      <c r="I99" s="6">
        <f>IF(H99="","",H99-G99)</f>
        <v/>
      </c>
      <c r="J99" s="6">
        <f>IF(B99="","",IFERROR(G99/B99,0))</f>
        <v/>
      </c>
    </row>
    <row r="100">
      <c r="A100" s="4" t="n"/>
      <c r="B100" s="4" t="n"/>
      <c r="C100" s="4" t="n"/>
      <c r="D100" s="4" t="n"/>
      <c r="E100" s="4" t="n"/>
      <c r="F100" s="4" t="n"/>
      <c r="G100" s="4">
        <f>SUM(C100:F100)</f>
        <v/>
      </c>
      <c r="H100" s="4" t="n"/>
      <c r="I100" s="4">
        <f>IF(H100="","",H100-G100)</f>
        <v/>
      </c>
      <c r="J100" s="4">
        <f>IF(B100="","",IFERROR(G100/B100,0))</f>
        <v/>
      </c>
    </row>
    <row r="101">
      <c r="A101" s="6" t="n"/>
      <c r="B101" s="6" t="n"/>
      <c r="C101" s="6" t="n"/>
      <c r="D101" s="6" t="n"/>
      <c r="E101" s="6" t="n"/>
      <c r="F101" s="6" t="n"/>
      <c r="G101" s="6">
        <f>SUM(C101:F101)</f>
        <v/>
      </c>
      <c r="H101" s="6" t="n"/>
      <c r="I101" s="6">
        <f>IF(H101="","",H101-G101)</f>
        <v/>
      </c>
      <c r="J101" s="6">
        <f>IF(B101="","",IFERROR(G101/B101,0))</f>
        <v/>
      </c>
    </row>
    <row r="102">
      <c r="A102" s="4" t="n"/>
      <c r="B102" s="4" t="n"/>
      <c r="C102" s="4" t="n"/>
      <c r="D102" s="4" t="n"/>
      <c r="E102" s="4" t="n"/>
      <c r="F102" s="4" t="n"/>
      <c r="G102" s="4">
        <f>SUM(C102:F102)</f>
        <v/>
      </c>
      <c r="H102" s="4" t="n"/>
      <c r="I102" s="4">
        <f>IF(H102="","",H102-G102)</f>
        <v/>
      </c>
      <c r="J102" s="4">
        <f>IF(B102="","",IFERROR(G102/B102,0))</f>
        <v/>
      </c>
    </row>
    <row r="103">
      <c r="A103" s="6" t="n"/>
      <c r="B103" s="6" t="n"/>
      <c r="C103" s="6" t="n"/>
      <c r="D103" s="6" t="n"/>
      <c r="E103" s="6" t="n"/>
      <c r="F103" s="6" t="n"/>
      <c r="G103" s="6">
        <f>SUM(C103:F103)</f>
        <v/>
      </c>
      <c r="H103" s="6" t="n"/>
      <c r="I103" s="6">
        <f>IF(H103="","",H103-G103)</f>
        <v/>
      </c>
      <c r="J103" s="6">
        <f>IF(B103="","",IFERROR(G103/B103,0))</f>
        <v/>
      </c>
    </row>
    <row r="104">
      <c r="A104" s="4" t="n"/>
      <c r="B104" s="4" t="n"/>
      <c r="C104" s="4" t="n"/>
      <c r="D104" s="4" t="n"/>
      <c r="E104" s="4" t="n"/>
      <c r="F104" s="4" t="n"/>
      <c r="G104" s="4">
        <f>SUM(C104:F104)</f>
        <v/>
      </c>
      <c r="H104" s="4" t="n"/>
      <c r="I104" s="4">
        <f>IF(H104="","",H104-G104)</f>
        <v/>
      </c>
      <c r="J104" s="4">
        <f>IF(B104="","",IFERROR(G104/B104,0))</f>
        <v/>
      </c>
    </row>
    <row r="105">
      <c r="A105" s="6" t="n"/>
      <c r="B105" s="6" t="n"/>
      <c r="C105" s="6" t="n"/>
      <c r="D105" s="6" t="n"/>
      <c r="E105" s="6" t="n"/>
      <c r="F105" s="6" t="n"/>
      <c r="G105" s="6">
        <f>SUM(C105:F105)</f>
        <v/>
      </c>
      <c r="H105" s="6" t="n"/>
      <c r="I105" s="6">
        <f>IF(H105="","",H105-G105)</f>
        <v/>
      </c>
      <c r="J105" s="6">
        <f>IF(B105="","",IFERROR(G105/B105,0))</f>
        <v/>
      </c>
    </row>
    <row r="106">
      <c r="A106" s="4" t="n"/>
      <c r="B106" s="4" t="n"/>
      <c r="C106" s="4" t="n"/>
      <c r="D106" s="4" t="n"/>
      <c r="E106" s="4" t="n"/>
      <c r="F106" s="4" t="n"/>
      <c r="G106" s="4">
        <f>SUM(C106:F106)</f>
        <v/>
      </c>
      <c r="H106" s="4" t="n"/>
      <c r="I106" s="4">
        <f>IF(H106="","",H106-G106)</f>
        <v/>
      </c>
      <c r="J106" s="4">
        <f>IF(B106="","",IFERROR(G106/B106,0))</f>
        <v/>
      </c>
    </row>
    <row r="107">
      <c r="A107" s="6" t="n"/>
      <c r="B107" s="6" t="n"/>
      <c r="C107" s="6" t="n"/>
      <c r="D107" s="6" t="n"/>
      <c r="E107" s="6" t="n"/>
      <c r="F107" s="6" t="n"/>
      <c r="G107" s="6">
        <f>SUM(C107:F107)</f>
        <v/>
      </c>
      <c r="H107" s="6" t="n"/>
      <c r="I107" s="6">
        <f>IF(H107="","",H107-G107)</f>
        <v/>
      </c>
      <c r="J107" s="6">
        <f>IF(B107="","",IFERROR(G107/B107,0))</f>
        <v/>
      </c>
    </row>
    <row r="108">
      <c r="A108" s="4" t="n"/>
      <c r="B108" s="4" t="n"/>
      <c r="C108" s="4" t="n"/>
      <c r="D108" s="4" t="n"/>
      <c r="E108" s="4" t="n"/>
      <c r="F108" s="4" t="n"/>
      <c r="G108" s="4">
        <f>SUM(C108:F108)</f>
        <v/>
      </c>
      <c r="H108" s="4" t="n"/>
      <c r="I108" s="4">
        <f>IF(H108="","",H108-G108)</f>
        <v/>
      </c>
      <c r="J108" s="4">
        <f>IF(B108="","",IFERROR(G108/B108,0))</f>
        <v/>
      </c>
    </row>
    <row r="109">
      <c r="A109" s="6" t="n"/>
      <c r="B109" s="6" t="n"/>
      <c r="C109" s="6" t="n"/>
      <c r="D109" s="6" t="n"/>
      <c r="E109" s="6" t="n"/>
      <c r="F109" s="6" t="n"/>
      <c r="G109" s="6">
        <f>SUM(C109:F109)</f>
        <v/>
      </c>
      <c r="H109" s="6" t="n"/>
      <c r="I109" s="6">
        <f>IF(H109="","",H109-G109)</f>
        <v/>
      </c>
      <c r="J109" s="6">
        <f>IF(B109="","",IFERROR(G109/B109,0))</f>
        <v/>
      </c>
    </row>
    <row r="110">
      <c r="A110" s="4" t="n"/>
      <c r="B110" s="4" t="n"/>
      <c r="C110" s="4" t="n"/>
      <c r="D110" s="4" t="n"/>
      <c r="E110" s="4" t="n"/>
      <c r="F110" s="4" t="n"/>
      <c r="G110" s="4">
        <f>SUM(C110:F110)</f>
        <v/>
      </c>
      <c r="H110" s="4" t="n"/>
      <c r="I110" s="4">
        <f>IF(H110="","",H110-G110)</f>
        <v/>
      </c>
      <c r="J110" s="4">
        <f>IF(B110="","",IFERROR(G110/B110,0))</f>
        <v/>
      </c>
    </row>
    <row r="111">
      <c r="A111" s="6" t="n"/>
      <c r="B111" s="6" t="n"/>
      <c r="C111" s="6" t="n"/>
      <c r="D111" s="6" t="n"/>
      <c r="E111" s="6" t="n"/>
      <c r="F111" s="6" t="n"/>
      <c r="G111" s="6">
        <f>SUM(C111:F111)</f>
        <v/>
      </c>
      <c r="H111" s="6" t="n"/>
      <c r="I111" s="6">
        <f>IF(H111="","",H111-G111)</f>
        <v/>
      </c>
      <c r="J111" s="6">
        <f>IF(B111="","",IFERROR(G111/B111,0))</f>
        <v/>
      </c>
    </row>
    <row r="112">
      <c r="A112" s="4" t="n"/>
      <c r="B112" s="4" t="n"/>
      <c r="C112" s="4" t="n"/>
      <c r="D112" s="4" t="n"/>
      <c r="E112" s="4" t="n"/>
      <c r="F112" s="4" t="n"/>
      <c r="G112" s="4">
        <f>SUM(C112:F112)</f>
        <v/>
      </c>
      <c r="H112" s="4" t="n"/>
      <c r="I112" s="4">
        <f>IF(H112="","",H112-G112)</f>
        <v/>
      </c>
      <c r="J112" s="4">
        <f>IF(B112="","",IFERROR(G112/B112,0))</f>
        <v/>
      </c>
    </row>
    <row r="113">
      <c r="A113" s="6" t="n"/>
      <c r="B113" s="6" t="n"/>
      <c r="C113" s="6" t="n"/>
      <c r="D113" s="6" t="n"/>
      <c r="E113" s="6" t="n"/>
      <c r="F113" s="6" t="n"/>
      <c r="G113" s="6">
        <f>SUM(C113:F113)</f>
        <v/>
      </c>
      <c r="H113" s="6" t="n"/>
      <c r="I113" s="6">
        <f>IF(H113="","",H113-G113)</f>
        <v/>
      </c>
      <c r="J113" s="6">
        <f>IF(B113="","",IFERROR(G113/B113,0))</f>
        <v/>
      </c>
    </row>
    <row r="114">
      <c r="A114" s="4" t="n"/>
      <c r="B114" s="4" t="n"/>
      <c r="C114" s="4" t="n"/>
      <c r="D114" s="4" t="n"/>
      <c r="E114" s="4" t="n"/>
      <c r="F114" s="4" t="n"/>
      <c r="G114" s="4">
        <f>SUM(C114:F114)</f>
        <v/>
      </c>
      <c r="H114" s="4" t="n"/>
      <c r="I114" s="4">
        <f>IF(H114="","",H114-G114)</f>
        <v/>
      </c>
      <c r="J114" s="4">
        <f>IF(B114="","",IFERROR(G114/B114,0))</f>
        <v/>
      </c>
    </row>
    <row r="115">
      <c r="A115" s="6" t="n"/>
      <c r="B115" s="6" t="n"/>
      <c r="C115" s="6" t="n"/>
      <c r="D115" s="6" t="n"/>
      <c r="E115" s="6" t="n"/>
      <c r="F115" s="6" t="n"/>
      <c r="G115" s="6">
        <f>SUM(C115:F115)</f>
        <v/>
      </c>
      <c r="H115" s="6" t="n"/>
      <c r="I115" s="6">
        <f>IF(H115="","",H115-G115)</f>
        <v/>
      </c>
      <c r="J115" s="6">
        <f>IF(B115="","",IFERROR(G115/B115,0))</f>
        <v/>
      </c>
    </row>
  </sheetData>
  <mergeCells count="2">
    <mergeCell ref="A3:N3"/>
    <mergeCell ref="A2:N2"/>
  </mergeCells>
  <dataValidations count="1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_Lists'!$V$6:$V$35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2" ht="25" customHeight="1">
      <c r="A2" s="1" t="inlineStr">
        <is>
          <t>DOMAINE 25 — 11-ASSURANCES ET COUVERTURE SOCIALE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Matricule</t>
        </is>
      </c>
      <c r="B5" s="3" t="inlineStr">
        <is>
          <t>Nom</t>
        </is>
      </c>
      <c r="C5" s="3" t="inlineStr">
        <is>
          <t>Type Assurance</t>
        </is>
      </c>
      <c r="D5" s="3" t="inlineStr">
        <is>
          <t>Compagnie</t>
        </is>
      </c>
      <c r="E5" s="3" t="inlineStr">
        <is>
          <t>N. Police</t>
        </is>
      </c>
      <c r="F5" s="3" t="inlineStr">
        <is>
          <t>Coût Annuel (FCFA)</t>
        </is>
      </c>
      <c r="G5" s="3" t="inlineStr">
        <is>
          <t>Date Expiration</t>
        </is>
      </c>
      <c r="H5" s="3" t="inlineStr">
        <is>
          <t>Jours Restants</t>
        </is>
      </c>
      <c r="I5" s="3" t="inlineStr">
        <is>
          <t>Couverture CNPS</t>
        </is>
      </c>
      <c r="J5" s="3" t="inlineStr">
        <is>
          <t>Statut</t>
        </is>
      </c>
    </row>
    <row r="6">
      <c r="A6" s="4" t="inlineStr">
        <is>
          <t>EXP-001</t>
        </is>
      </c>
      <c r="B6" s="4" t="inlineStr">
        <is>
          <t>Dupont Jean-Pierre</t>
        </is>
      </c>
      <c r="C6" s="4" t="inlineStr">
        <is>
          <t>Assurance santé internationale</t>
        </is>
      </c>
      <c r="D6" s="4" t="inlineStr">
        <is>
          <t>AXA Côte d'Ivoire</t>
        </is>
      </c>
      <c r="E6" s="4" t="inlineStr">
        <is>
          <t>POL-AXA-001</t>
        </is>
      </c>
      <c r="F6" s="4" t="n">
        <v>2800000</v>
      </c>
      <c r="G6" s="5" t="n">
        <v>46036</v>
      </c>
      <c r="H6" s="4">
        <f>IF(G6="","",IFERROR(G6-TODAY(),0))</f>
        <v/>
      </c>
      <c r="I6" s="4" t="inlineStr">
        <is>
          <t>Non</t>
        </is>
      </c>
      <c r="J6" s="4" t="inlineStr">
        <is>
          <t>Actif</t>
        </is>
      </c>
    </row>
    <row r="7">
      <c r="A7" s="6" t="inlineStr">
        <is>
          <t>EXP-002</t>
        </is>
      </c>
      <c r="B7" s="6" t="inlineStr">
        <is>
          <t>Muller Hans</t>
        </is>
      </c>
      <c r="C7" s="6" t="inlineStr">
        <is>
          <t>Assurance santé internationale</t>
        </is>
      </c>
      <c r="D7" s="6" t="inlineStr">
        <is>
          <t>Allianz CI</t>
        </is>
      </c>
      <c r="E7" s="6" t="inlineStr">
        <is>
          <t>POL-ALZ-002</t>
        </is>
      </c>
      <c r="F7" s="6" t="n">
        <v>2200000</v>
      </c>
      <c r="G7" s="7" t="n">
        <v>46081</v>
      </c>
      <c r="H7" s="6">
        <f>IF(G7="","",IFERROR(G7-TODAY(),0))</f>
        <v/>
      </c>
      <c r="I7" s="6" t="inlineStr">
        <is>
          <t>Non</t>
        </is>
      </c>
      <c r="J7" s="6" t="inlineStr">
        <is>
          <t>Actif</t>
        </is>
      </c>
    </row>
    <row r="8">
      <c r="A8" s="4" t="inlineStr">
        <is>
          <t>EXP-003</t>
        </is>
      </c>
      <c r="B8" s="4" t="inlineStr">
        <is>
          <t>Silva Carlos</t>
        </is>
      </c>
      <c r="C8" s="4" t="inlineStr">
        <is>
          <t>Assurance rapatriement</t>
        </is>
      </c>
      <c r="D8" s="4" t="inlineStr">
        <is>
          <t>MAPFRE CI</t>
        </is>
      </c>
      <c r="E8" s="4" t="inlineStr">
        <is>
          <t>POL-MPF-003</t>
        </is>
      </c>
      <c r="F8" s="4" t="n">
        <v>1800000</v>
      </c>
      <c r="G8" s="5" t="n">
        <v>46173</v>
      </c>
      <c r="H8" s="4">
        <f>IF(G8="","",IFERROR(G8-TODAY(),0))</f>
        <v/>
      </c>
      <c r="I8" s="4" t="inlineStr">
        <is>
          <t>Oui</t>
        </is>
      </c>
      <c r="J8" s="4" t="inlineStr">
        <is>
          <t>Actif</t>
        </is>
      </c>
    </row>
    <row r="9">
      <c r="A9" s="6" t="inlineStr">
        <is>
          <t>EXP-004</t>
        </is>
      </c>
      <c r="B9" s="6" t="inlineStr">
        <is>
          <t>Nakamura Yuki</t>
        </is>
      </c>
      <c r="C9" s="6" t="inlineStr">
        <is>
          <t>Assurance santé internationale</t>
        </is>
      </c>
      <c r="D9" s="6" t="inlineStr">
        <is>
          <t>AXA Côte d'Ivoire</t>
        </is>
      </c>
      <c r="E9" s="6" t="inlineStr">
        <is>
          <t>POL-AXA-004</t>
        </is>
      </c>
      <c r="F9" s="6" t="n">
        <v>1900000</v>
      </c>
      <c r="G9" s="7" t="n">
        <v>46265</v>
      </c>
      <c r="H9" s="6">
        <f>IF(G9="","",IFERROR(G9-TODAY(),0))</f>
        <v/>
      </c>
      <c r="I9" s="6" t="inlineStr">
        <is>
          <t>Non</t>
        </is>
      </c>
      <c r="J9" s="6" t="inlineStr">
        <is>
          <t>Actif</t>
        </is>
      </c>
    </row>
    <row r="10">
      <c r="A10" s="4" t="inlineStr">
        <is>
          <t>EXP-005</t>
        </is>
      </c>
      <c r="B10" s="4" t="inlineStr">
        <is>
          <t>Smith James</t>
        </is>
      </c>
      <c r="C10" s="4" t="inlineStr">
        <is>
          <t>Assurance voyage</t>
        </is>
      </c>
      <c r="D10" s="4" t="inlineStr">
        <is>
          <t>AIG CI</t>
        </is>
      </c>
      <c r="E10" s="4" t="inlineStr">
        <is>
          <t>POL-AIG-005</t>
        </is>
      </c>
      <c r="F10" s="4" t="n">
        <v>1500000</v>
      </c>
      <c r="G10" s="5" t="n">
        <v>46387</v>
      </c>
      <c r="H10" s="4">
        <f>IF(G10="","",IFERROR(G10-TODAY(),0))</f>
        <v/>
      </c>
      <c r="I10" s="4" t="inlineStr">
        <is>
          <t>Non</t>
        </is>
      </c>
      <c r="J10" s="4" t="inlineStr">
        <is>
          <t>Actif</t>
        </is>
      </c>
    </row>
    <row r="11">
      <c r="A11" s="6" t="n"/>
      <c r="B11" s="6">
        <f>IF(A11="","",VLOOKUP(A11,'F01 - _Données Expatriés'!$A$6:$L$15,2,FALSE))</f>
        <v/>
      </c>
      <c r="C11" s="6" t="n"/>
      <c r="D11" s="6" t="n"/>
      <c r="E11" s="6" t="n"/>
      <c r="F11" s="6" t="n"/>
      <c r="G11" s="6" t="n"/>
      <c r="H11" s="6">
        <f>IF(G11="","",IFERROR(G11-TODAY(),0))</f>
        <v/>
      </c>
      <c r="I11" s="6" t="n"/>
      <c r="J11" s="6" t="n"/>
    </row>
    <row r="12">
      <c r="A12" s="4" t="n"/>
      <c r="B12" s="4">
        <f>IF(A12="","",VLOOKUP(A12,'F01 - _Données Expatriés'!$A$6:$L$15,2,FALSE))</f>
        <v/>
      </c>
      <c r="C12" s="4" t="n"/>
      <c r="D12" s="4" t="n"/>
      <c r="E12" s="4" t="n"/>
      <c r="F12" s="4" t="n"/>
      <c r="G12" s="4" t="n"/>
      <c r="H12" s="4">
        <f>IF(G12="","",IFERROR(G12-TODAY(),0))</f>
        <v/>
      </c>
      <c r="I12" s="4" t="n"/>
      <c r="J12" s="4" t="n"/>
    </row>
    <row r="13">
      <c r="A13" s="6" t="n"/>
      <c r="B13" s="6">
        <f>IF(A13="","",VLOOKUP(A13,'F01 - _Données Expatriés'!$A$6:$L$15,2,FALSE))</f>
        <v/>
      </c>
      <c r="C13" s="6" t="n"/>
      <c r="D13" s="6" t="n"/>
      <c r="E13" s="6" t="n"/>
      <c r="F13" s="6" t="n"/>
      <c r="G13" s="6" t="n"/>
      <c r="H13" s="6">
        <f>IF(G13="","",IFERROR(G13-TODAY(),0))</f>
        <v/>
      </c>
      <c r="I13" s="6" t="n"/>
      <c r="J13" s="6" t="n"/>
    </row>
    <row r="14">
      <c r="A14" s="4" t="n"/>
      <c r="B14" s="4">
        <f>IF(A14="","",VLOOKUP(A14,'F01 - _Données Expatriés'!$A$6:$L$15,2,FALSE))</f>
        <v/>
      </c>
      <c r="C14" s="4" t="n"/>
      <c r="D14" s="4" t="n"/>
      <c r="E14" s="4" t="n"/>
      <c r="F14" s="4" t="n"/>
      <c r="G14" s="4" t="n"/>
      <c r="H14" s="4">
        <f>IF(G14="","",IFERROR(G14-TODAY(),0))</f>
        <v/>
      </c>
      <c r="I14" s="4" t="n"/>
      <c r="J14" s="4" t="n"/>
    </row>
    <row r="15">
      <c r="A15" s="6" t="n"/>
      <c r="B15" s="6">
        <f>IF(A15="","",VLOOKUP(A15,'F01 - _Données Expatriés'!$A$6:$L$15,2,FALSE))</f>
        <v/>
      </c>
      <c r="C15" s="6" t="n"/>
      <c r="D15" s="6" t="n"/>
      <c r="E15" s="6" t="n"/>
      <c r="F15" s="6" t="n"/>
      <c r="G15" s="6" t="n"/>
      <c r="H15" s="6">
        <f>IF(G15="","",IFERROR(G15-TODAY(),0))</f>
        <v/>
      </c>
      <c r="I15" s="6" t="n"/>
      <c r="J15" s="6" t="n"/>
    </row>
    <row r="16">
      <c r="A16" s="4" t="n"/>
      <c r="B16" s="4">
        <f>IF(A16="","",VLOOKUP(A16,'F01 - _Données Expatriés'!$A$6:$L$15,2,FALSE))</f>
        <v/>
      </c>
      <c r="C16" s="4" t="n"/>
      <c r="D16" s="4" t="n"/>
      <c r="E16" s="4" t="n"/>
      <c r="F16" s="4" t="n"/>
      <c r="G16" s="4" t="n"/>
      <c r="H16" s="4">
        <f>IF(G16="","",IFERROR(G16-TODAY(),0))</f>
        <v/>
      </c>
      <c r="I16" s="4" t="n"/>
      <c r="J16" s="4" t="n"/>
    </row>
    <row r="17">
      <c r="A17" s="6" t="n"/>
      <c r="B17" s="6">
        <f>IF(A17="","",VLOOKUP(A17,'F01 - _Données Expatriés'!$A$6:$L$15,2,FALSE))</f>
        <v/>
      </c>
      <c r="C17" s="6" t="n"/>
      <c r="D17" s="6" t="n"/>
      <c r="E17" s="6" t="n"/>
      <c r="F17" s="6" t="n"/>
      <c r="G17" s="6" t="n"/>
      <c r="H17" s="6">
        <f>IF(G17="","",IFERROR(G17-TODAY(),0))</f>
        <v/>
      </c>
      <c r="I17" s="6" t="n"/>
      <c r="J17" s="6" t="n"/>
    </row>
    <row r="18">
      <c r="A18" s="4" t="n"/>
      <c r="B18" s="4">
        <f>IF(A18="","",VLOOKUP(A18,'F01 - _Données Expatriés'!$A$6:$L$15,2,FALSE))</f>
        <v/>
      </c>
      <c r="C18" s="4" t="n"/>
      <c r="D18" s="4" t="n"/>
      <c r="E18" s="4" t="n"/>
      <c r="F18" s="4" t="n"/>
      <c r="G18" s="4" t="n"/>
      <c r="H18" s="4">
        <f>IF(G18="","",IFERROR(G18-TODAY(),0))</f>
        <v/>
      </c>
      <c r="I18" s="4" t="n"/>
      <c r="J18" s="4" t="n"/>
    </row>
    <row r="19">
      <c r="A19" s="6" t="n"/>
      <c r="B19" s="6">
        <f>IF(A19="","",VLOOKUP(A19,'F01 - _Données Expatriés'!$A$6:$L$15,2,FALSE))</f>
        <v/>
      </c>
      <c r="C19" s="6" t="n"/>
      <c r="D19" s="6" t="n"/>
      <c r="E19" s="6" t="n"/>
      <c r="F19" s="6" t="n"/>
      <c r="G19" s="6" t="n"/>
      <c r="H19" s="6">
        <f>IF(G19="","",IFERROR(G19-TODAY(),0))</f>
        <v/>
      </c>
      <c r="I19" s="6" t="n"/>
      <c r="J19" s="6" t="n"/>
    </row>
    <row r="20">
      <c r="A20" s="4" t="n"/>
      <c r="B20" s="4">
        <f>IF(A20="","",VLOOKUP(A20,'F01 - _Données Expatriés'!$A$6:$L$15,2,FALSE))</f>
        <v/>
      </c>
      <c r="C20" s="4" t="n"/>
      <c r="D20" s="4" t="n"/>
      <c r="E20" s="4" t="n"/>
      <c r="F20" s="4" t="n"/>
      <c r="G20" s="4" t="n"/>
      <c r="H20" s="4">
        <f>IF(G20="","",IFERROR(G20-TODAY(),0))</f>
        <v/>
      </c>
      <c r="I20" s="4" t="n"/>
      <c r="J20" s="4" t="n"/>
    </row>
    <row r="21">
      <c r="A21" s="6" t="n"/>
      <c r="B21" s="6">
        <f>IF(A21="","",VLOOKUP(A21,'F01 - _Données Expatriés'!$A$6:$L$15,2,FALSE))</f>
        <v/>
      </c>
      <c r="C21" s="6" t="n"/>
      <c r="D21" s="6" t="n"/>
      <c r="E21" s="6" t="n"/>
      <c r="F21" s="6" t="n"/>
      <c r="G21" s="6" t="n"/>
      <c r="H21" s="6">
        <f>IF(G21="","",IFERROR(G21-TODAY(),0))</f>
        <v/>
      </c>
      <c r="I21" s="6" t="n"/>
      <c r="J21" s="6" t="n"/>
    </row>
    <row r="22">
      <c r="A22" s="4" t="n"/>
      <c r="B22" s="4">
        <f>IF(A22="","",VLOOKUP(A22,'F01 - _Données Expatriés'!$A$6:$L$15,2,FALSE))</f>
        <v/>
      </c>
      <c r="C22" s="4" t="n"/>
      <c r="D22" s="4" t="n"/>
      <c r="E22" s="4" t="n"/>
      <c r="F22" s="4" t="n"/>
      <c r="G22" s="4" t="n"/>
      <c r="H22" s="4">
        <f>IF(G22="","",IFERROR(G22-TODAY(),0))</f>
        <v/>
      </c>
      <c r="I22" s="4" t="n"/>
      <c r="J22" s="4" t="n"/>
    </row>
    <row r="23">
      <c r="A23" s="6" t="n"/>
      <c r="B23" s="6">
        <f>IF(A23="","",VLOOKUP(A23,'F01 - _Données Expatriés'!$A$6:$L$15,2,FALSE))</f>
        <v/>
      </c>
      <c r="C23" s="6" t="n"/>
      <c r="D23" s="6" t="n"/>
      <c r="E23" s="6" t="n"/>
      <c r="F23" s="6" t="n"/>
      <c r="G23" s="6" t="n"/>
      <c r="H23" s="6">
        <f>IF(G23="","",IFERROR(G23-TODAY(),0))</f>
        <v/>
      </c>
      <c r="I23" s="6" t="n"/>
      <c r="J23" s="6" t="n"/>
    </row>
    <row r="24">
      <c r="A24" s="4" t="n"/>
      <c r="B24" s="4">
        <f>IF(A24="","",VLOOKUP(A24,'F01 - _Données Expatriés'!$A$6:$L$15,2,FALSE))</f>
        <v/>
      </c>
      <c r="C24" s="4" t="n"/>
      <c r="D24" s="4" t="n"/>
      <c r="E24" s="4" t="n"/>
      <c r="F24" s="4" t="n"/>
      <c r="G24" s="4" t="n"/>
      <c r="H24" s="4">
        <f>IF(G24="","",IFERROR(G24-TODAY(),0))</f>
        <v/>
      </c>
      <c r="I24" s="4" t="n"/>
      <c r="J24" s="4" t="n"/>
    </row>
    <row r="25">
      <c r="A25" s="6" t="n"/>
      <c r="B25" s="6">
        <f>IF(A25="","",VLOOKUP(A25,'F01 - _Données Expatriés'!$A$6:$L$15,2,FALSE))</f>
        <v/>
      </c>
      <c r="C25" s="6" t="n"/>
      <c r="D25" s="6" t="n"/>
      <c r="E25" s="6" t="n"/>
      <c r="F25" s="6" t="n"/>
      <c r="G25" s="6" t="n"/>
      <c r="H25" s="6">
        <f>IF(G25="","",IFERROR(G25-TODAY(),0))</f>
        <v/>
      </c>
      <c r="I25" s="6" t="n"/>
      <c r="J25" s="6" t="n"/>
    </row>
    <row r="26">
      <c r="A26" s="4" t="n"/>
      <c r="B26" s="4">
        <f>IF(A26="","",VLOOKUP(A26,'F01 - _Données Expatriés'!$A$6:$L$15,2,FALSE))</f>
        <v/>
      </c>
      <c r="C26" s="4" t="n"/>
      <c r="D26" s="4" t="n"/>
      <c r="E26" s="4" t="n"/>
      <c r="F26" s="4" t="n"/>
      <c r="G26" s="4" t="n"/>
      <c r="H26" s="4">
        <f>IF(G26="","",IFERROR(G26-TODAY(),0))</f>
        <v/>
      </c>
      <c r="I26" s="4" t="n"/>
      <c r="J26" s="4" t="n"/>
    </row>
    <row r="27">
      <c r="A27" s="6" t="n"/>
      <c r="B27" s="6">
        <f>IF(A27="","",VLOOKUP(A27,'F01 - _Données Expatriés'!$A$6:$L$15,2,FALSE))</f>
        <v/>
      </c>
      <c r="C27" s="6" t="n"/>
      <c r="D27" s="6" t="n"/>
      <c r="E27" s="6" t="n"/>
      <c r="F27" s="6" t="n"/>
      <c r="G27" s="6" t="n"/>
      <c r="H27" s="6">
        <f>IF(G27="","",IFERROR(G27-TODAY(),0))</f>
        <v/>
      </c>
      <c r="I27" s="6" t="n"/>
      <c r="J27" s="6" t="n"/>
    </row>
    <row r="28">
      <c r="A28" s="4" t="n"/>
      <c r="B28" s="4">
        <f>IF(A28="","",VLOOKUP(A28,'F01 - _Données Expatriés'!$A$6:$L$15,2,FALSE))</f>
        <v/>
      </c>
      <c r="C28" s="4" t="n"/>
      <c r="D28" s="4" t="n"/>
      <c r="E28" s="4" t="n"/>
      <c r="F28" s="4" t="n"/>
      <c r="G28" s="4" t="n"/>
      <c r="H28" s="4">
        <f>IF(G28="","",IFERROR(G28-TODAY(),0))</f>
        <v/>
      </c>
      <c r="I28" s="4" t="n"/>
      <c r="J28" s="4" t="n"/>
    </row>
    <row r="29">
      <c r="A29" s="6" t="n"/>
      <c r="B29" s="6">
        <f>IF(A29="","",VLOOKUP(A29,'F01 - _Données Expatriés'!$A$6:$L$15,2,FALSE))</f>
        <v/>
      </c>
      <c r="C29" s="6" t="n"/>
      <c r="D29" s="6" t="n"/>
      <c r="E29" s="6" t="n"/>
      <c r="F29" s="6" t="n"/>
      <c r="G29" s="6" t="n"/>
      <c r="H29" s="6">
        <f>IF(G29="","",IFERROR(G29-TODAY(),0))</f>
        <v/>
      </c>
      <c r="I29" s="6" t="n"/>
      <c r="J29" s="6" t="n"/>
    </row>
    <row r="30">
      <c r="A30" s="4" t="n"/>
      <c r="B30" s="4">
        <f>IF(A30="","",VLOOKUP(A30,'F01 - _Données Expatriés'!$A$6:$L$15,2,FALSE))</f>
        <v/>
      </c>
      <c r="C30" s="4" t="n"/>
      <c r="D30" s="4" t="n"/>
      <c r="E30" s="4" t="n"/>
      <c r="F30" s="4" t="n"/>
      <c r="G30" s="4" t="n"/>
      <c r="H30" s="4">
        <f>IF(G30="","",IFERROR(G30-TODAY(),0))</f>
        <v/>
      </c>
      <c r="I30" s="4" t="n"/>
      <c r="J30" s="4" t="n"/>
    </row>
    <row r="31">
      <c r="A31" s="6" t="n"/>
      <c r="B31" s="6">
        <f>IF(A31="","",VLOOKUP(A31,'F01 - _Données Expatriés'!$A$6:$L$15,2,FALSE))</f>
        <v/>
      </c>
      <c r="C31" s="6" t="n"/>
      <c r="D31" s="6" t="n"/>
      <c r="E31" s="6" t="n"/>
      <c r="F31" s="6" t="n"/>
      <c r="G31" s="6" t="n"/>
      <c r="H31" s="6">
        <f>IF(G31="","",IFERROR(G31-TODAY(),0))</f>
        <v/>
      </c>
      <c r="I31" s="6" t="n"/>
      <c r="J31" s="6" t="n"/>
    </row>
    <row r="32">
      <c r="A32" s="4" t="n"/>
      <c r="B32" s="4">
        <f>IF(A32="","",VLOOKUP(A32,'F01 - _Données Expatriés'!$A$6:$L$15,2,FALSE))</f>
        <v/>
      </c>
      <c r="C32" s="4" t="n"/>
      <c r="D32" s="4" t="n"/>
      <c r="E32" s="4" t="n"/>
      <c r="F32" s="4" t="n"/>
      <c r="G32" s="4" t="n"/>
      <c r="H32" s="4">
        <f>IF(G32="","",IFERROR(G32-TODAY(),0))</f>
        <v/>
      </c>
      <c r="I32" s="4" t="n"/>
      <c r="J32" s="4" t="n"/>
    </row>
    <row r="33">
      <c r="A33" s="6" t="n"/>
      <c r="B33" s="6">
        <f>IF(A33="","",VLOOKUP(A33,'F01 - _Données Expatriés'!$A$6:$L$15,2,FALSE))</f>
        <v/>
      </c>
      <c r="C33" s="6" t="n"/>
      <c r="D33" s="6" t="n"/>
      <c r="E33" s="6" t="n"/>
      <c r="F33" s="6" t="n"/>
      <c r="G33" s="6" t="n"/>
      <c r="H33" s="6">
        <f>IF(G33="","",IFERROR(G33-TODAY(),0))</f>
        <v/>
      </c>
      <c r="I33" s="6" t="n"/>
      <c r="J33" s="6" t="n"/>
    </row>
    <row r="34">
      <c r="A34" s="4" t="n"/>
      <c r="B34" s="4">
        <f>IF(A34="","",VLOOKUP(A34,'F01 - _Données Expatriés'!$A$6:$L$15,2,FALSE))</f>
        <v/>
      </c>
      <c r="C34" s="4" t="n"/>
      <c r="D34" s="4" t="n"/>
      <c r="E34" s="4" t="n"/>
      <c r="F34" s="4" t="n"/>
      <c r="G34" s="4" t="n"/>
      <c r="H34" s="4">
        <f>IF(G34="","",IFERROR(G34-TODAY(),0))</f>
        <v/>
      </c>
      <c r="I34" s="4" t="n"/>
      <c r="J34" s="4" t="n"/>
    </row>
    <row r="35">
      <c r="A35" s="6" t="n"/>
      <c r="B35" s="6">
        <f>IF(A35="","",VLOOKUP(A35,'F01 - _Données Expatriés'!$A$6:$L$15,2,FALSE))</f>
        <v/>
      </c>
      <c r="C35" s="6" t="n"/>
      <c r="D35" s="6" t="n"/>
      <c r="E35" s="6" t="n"/>
      <c r="F35" s="6" t="n"/>
      <c r="G35" s="6" t="n"/>
      <c r="H35" s="6">
        <f>IF(G35="","",IFERROR(G35-TODAY(),0))</f>
        <v/>
      </c>
      <c r="I35" s="6" t="n"/>
      <c r="J35" s="6" t="n"/>
    </row>
    <row r="36">
      <c r="A36" s="4" t="n"/>
      <c r="B36" s="4">
        <f>IF(A36="","",VLOOKUP(A36,'F01 - _Données Expatriés'!$A$6:$L$15,2,FALSE))</f>
        <v/>
      </c>
      <c r="C36" s="4" t="n"/>
      <c r="D36" s="4" t="n"/>
      <c r="E36" s="4" t="n"/>
      <c r="F36" s="4" t="n"/>
      <c r="G36" s="4" t="n"/>
      <c r="H36" s="4">
        <f>IF(G36="","",IFERROR(G36-TODAY(),0))</f>
        <v/>
      </c>
      <c r="I36" s="4" t="n"/>
      <c r="J36" s="4" t="n"/>
    </row>
    <row r="37">
      <c r="A37" s="6" t="n"/>
      <c r="B37" s="6">
        <f>IF(A37="","",VLOOKUP(A37,'F01 - _Données Expatriés'!$A$6:$L$15,2,FALSE))</f>
        <v/>
      </c>
      <c r="C37" s="6" t="n"/>
      <c r="D37" s="6" t="n"/>
      <c r="E37" s="6" t="n"/>
      <c r="F37" s="6" t="n"/>
      <c r="G37" s="6" t="n"/>
      <c r="H37" s="6">
        <f>IF(G37="","",IFERROR(G37-TODAY(),0))</f>
        <v/>
      </c>
      <c r="I37" s="6" t="n"/>
      <c r="J37" s="6" t="n"/>
    </row>
    <row r="38">
      <c r="A38" s="4" t="n"/>
      <c r="B38" s="4">
        <f>IF(A38="","",VLOOKUP(A38,'F01 - _Données Expatriés'!$A$6:$L$15,2,FALSE))</f>
        <v/>
      </c>
      <c r="C38" s="4" t="n"/>
      <c r="D38" s="4" t="n"/>
      <c r="E38" s="4" t="n"/>
      <c r="F38" s="4" t="n"/>
      <c r="G38" s="4" t="n"/>
      <c r="H38" s="4">
        <f>IF(G38="","",IFERROR(G38-TODAY(),0))</f>
        <v/>
      </c>
      <c r="I38" s="4" t="n"/>
      <c r="J38" s="4" t="n"/>
    </row>
    <row r="39">
      <c r="A39" s="6" t="n"/>
      <c r="B39" s="6">
        <f>IF(A39="","",VLOOKUP(A39,'F01 - _Données Expatriés'!$A$6:$L$15,2,FALSE))</f>
        <v/>
      </c>
      <c r="C39" s="6" t="n"/>
      <c r="D39" s="6" t="n"/>
      <c r="E39" s="6" t="n"/>
      <c r="F39" s="6" t="n"/>
      <c r="G39" s="6" t="n"/>
      <c r="H39" s="6">
        <f>IF(G39="","",IFERROR(G39-TODAY(),0))</f>
        <v/>
      </c>
      <c r="I39" s="6" t="n"/>
      <c r="J39" s="6" t="n"/>
    </row>
    <row r="40">
      <c r="A40" s="4" t="n"/>
      <c r="B40" s="4">
        <f>IF(A40="","",VLOOKUP(A40,'F01 - _Données Expatriés'!$A$6:$L$15,2,FALSE))</f>
        <v/>
      </c>
      <c r="C40" s="4" t="n"/>
      <c r="D40" s="4" t="n"/>
      <c r="E40" s="4" t="n"/>
      <c r="F40" s="4" t="n"/>
      <c r="G40" s="4" t="n"/>
      <c r="H40" s="4">
        <f>IF(G40="","",IFERROR(G40-TODAY(),0))</f>
        <v/>
      </c>
      <c r="I40" s="4" t="n"/>
      <c r="J40" s="4" t="n"/>
    </row>
    <row r="41">
      <c r="A41" s="6" t="n"/>
      <c r="B41" s="6">
        <f>IF(A41="","",VLOOKUP(A41,'F01 - _Données Expatriés'!$A$6:$L$15,2,FALSE))</f>
        <v/>
      </c>
      <c r="C41" s="6" t="n"/>
      <c r="D41" s="6" t="n"/>
      <c r="E41" s="6" t="n"/>
      <c r="F41" s="6" t="n"/>
      <c r="G41" s="6" t="n"/>
      <c r="H41" s="6">
        <f>IF(G41="","",IFERROR(G41-TODAY(),0))</f>
        <v/>
      </c>
      <c r="I41" s="6" t="n"/>
      <c r="J41" s="6" t="n"/>
    </row>
    <row r="42">
      <c r="A42" s="4" t="n"/>
      <c r="B42" s="4">
        <f>IF(A42="","",VLOOKUP(A42,'F01 - _Données Expatriés'!$A$6:$L$15,2,FALSE))</f>
        <v/>
      </c>
      <c r="C42" s="4" t="n"/>
      <c r="D42" s="4" t="n"/>
      <c r="E42" s="4" t="n"/>
      <c r="F42" s="4" t="n"/>
      <c r="G42" s="4" t="n"/>
      <c r="H42" s="4">
        <f>IF(G42="","",IFERROR(G42-TODAY(),0))</f>
        <v/>
      </c>
      <c r="I42" s="4" t="n"/>
      <c r="J42" s="4" t="n"/>
    </row>
    <row r="43">
      <c r="A43" s="6" t="n"/>
      <c r="B43" s="6">
        <f>IF(A43="","",VLOOKUP(A43,'F01 - _Données Expatriés'!$A$6:$L$15,2,FALSE))</f>
        <v/>
      </c>
      <c r="C43" s="6" t="n"/>
      <c r="D43" s="6" t="n"/>
      <c r="E43" s="6" t="n"/>
      <c r="F43" s="6" t="n"/>
      <c r="G43" s="6" t="n"/>
      <c r="H43" s="6">
        <f>IF(G43="","",IFERROR(G43-TODAY(),0))</f>
        <v/>
      </c>
      <c r="I43" s="6" t="n"/>
      <c r="J43" s="6" t="n"/>
    </row>
    <row r="44">
      <c r="A44" s="4" t="n"/>
      <c r="B44" s="4">
        <f>IF(A44="","",VLOOKUP(A44,'F01 - _Données Expatriés'!$A$6:$L$15,2,FALSE))</f>
        <v/>
      </c>
      <c r="C44" s="4" t="n"/>
      <c r="D44" s="4" t="n"/>
      <c r="E44" s="4" t="n"/>
      <c r="F44" s="4" t="n"/>
      <c r="G44" s="4" t="n"/>
      <c r="H44" s="4">
        <f>IF(G44="","",IFERROR(G44-TODAY(),0))</f>
        <v/>
      </c>
      <c r="I44" s="4" t="n"/>
      <c r="J44" s="4" t="n"/>
    </row>
    <row r="45">
      <c r="A45" s="6" t="n"/>
      <c r="B45" s="6">
        <f>IF(A45="","",VLOOKUP(A45,'F01 - _Données Expatriés'!$A$6:$L$15,2,FALSE))</f>
        <v/>
      </c>
      <c r="C45" s="6" t="n"/>
      <c r="D45" s="6" t="n"/>
      <c r="E45" s="6" t="n"/>
      <c r="F45" s="6" t="n"/>
      <c r="G45" s="6" t="n"/>
      <c r="H45" s="6">
        <f>IF(G45="","",IFERROR(G45-TODAY(),0))</f>
        <v/>
      </c>
      <c r="I45" s="6" t="n"/>
      <c r="J45" s="6" t="n"/>
    </row>
    <row r="46">
      <c r="A46" s="4" t="n"/>
      <c r="B46" s="4">
        <f>IF(A46="","",VLOOKUP(A46,'F01 - _Données Expatriés'!$A$6:$L$15,2,FALSE))</f>
        <v/>
      </c>
      <c r="C46" s="4" t="n"/>
      <c r="D46" s="4" t="n"/>
      <c r="E46" s="4" t="n"/>
      <c r="F46" s="4" t="n"/>
      <c r="G46" s="4" t="n"/>
      <c r="H46" s="4">
        <f>IF(G46="","",IFERROR(G46-TODAY(),0))</f>
        <v/>
      </c>
      <c r="I46" s="4" t="n"/>
      <c r="J46" s="4" t="n"/>
    </row>
    <row r="47">
      <c r="A47" s="6" t="n"/>
      <c r="B47" s="6">
        <f>IF(A47="","",VLOOKUP(A47,'F01 - _Données Expatriés'!$A$6:$L$15,2,FALSE))</f>
        <v/>
      </c>
      <c r="C47" s="6" t="n"/>
      <c r="D47" s="6" t="n"/>
      <c r="E47" s="6" t="n"/>
      <c r="F47" s="6" t="n"/>
      <c r="G47" s="6" t="n"/>
      <c r="H47" s="6">
        <f>IF(G47="","",IFERROR(G47-TODAY(),0))</f>
        <v/>
      </c>
      <c r="I47" s="6" t="n"/>
      <c r="J47" s="6" t="n"/>
    </row>
    <row r="48">
      <c r="A48" s="4" t="n"/>
      <c r="B48" s="4">
        <f>IF(A48="","",VLOOKUP(A48,'F01 - _Données Expatriés'!$A$6:$L$15,2,FALSE))</f>
        <v/>
      </c>
      <c r="C48" s="4" t="n"/>
      <c r="D48" s="4" t="n"/>
      <c r="E48" s="4" t="n"/>
      <c r="F48" s="4" t="n"/>
      <c r="G48" s="4" t="n"/>
      <c r="H48" s="4">
        <f>IF(G48="","",IFERROR(G48-TODAY(),0))</f>
        <v/>
      </c>
      <c r="I48" s="4" t="n"/>
      <c r="J48" s="4" t="n"/>
    </row>
    <row r="49">
      <c r="A49" s="6" t="n"/>
      <c r="B49" s="6">
        <f>IF(A49="","",VLOOKUP(A49,'F01 - _Données Expatriés'!$A$6:$L$15,2,FALSE))</f>
        <v/>
      </c>
      <c r="C49" s="6" t="n"/>
      <c r="D49" s="6" t="n"/>
      <c r="E49" s="6" t="n"/>
      <c r="F49" s="6" t="n"/>
      <c r="G49" s="6" t="n"/>
      <c r="H49" s="6">
        <f>IF(G49="","",IFERROR(G49-TODAY(),0))</f>
        <v/>
      </c>
      <c r="I49" s="6" t="n"/>
      <c r="J49" s="6" t="n"/>
    </row>
    <row r="50">
      <c r="A50" s="4" t="n"/>
      <c r="B50" s="4">
        <f>IF(A50="","",VLOOKUP(A50,'F01 - _Données Expatriés'!$A$6:$L$15,2,FALSE))</f>
        <v/>
      </c>
      <c r="C50" s="4" t="n"/>
      <c r="D50" s="4" t="n"/>
      <c r="E50" s="4" t="n"/>
      <c r="F50" s="4" t="n"/>
      <c r="G50" s="4" t="n"/>
      <c r="H50" s="4">
        <f>IF(G50="","",IFERROR(G50-TODAY(),0))</f>
        <v/>
      </c>
      <c r="I50" s="4" t="n"/>
      <c r="J50" s="4" t="n"/>
    </row>
    <row r="51">
      <c r="A51" s="6" t="n"/>
      <c r="B51" s="6">
        <f>IF(A51="","",VLOOKUP(A51,'F01 - _Données Expatriés'!$A$6:$L$15,2,FALSE))</f>
        <v/>
      </c>
      <c r="C51" s="6" t="n"/>
      <c r="D51" s="6" t="n"/>
      <c r="E51" s="6" t="n"/>
      <c r="F51" s="6" t="n"/>
      <c r="G51" s="6" t="n"/>
      <c r="H51" s="6">
        <f>IF(G51="","",IFERROR(G51-TODAY(),0))</f>
        <v/>
      </c>
      <c r="I51" s="6" t="n"/>
      <c r="J51" s="6" t="n"/>
    </row>
    <row r="52">
      <c r="A52" s="4" t="n"/>
      <c r="B52" s="4">
        <f>IF(A52="","",VLOOKUP(A52,'F01 - _Données Expatriés'!$A$6:$L$15,2,FALSE))</f>
        <v/>
      </c>
      <c r="C52" s="4" t="n"/>
      <c r="D52" s="4" t="n"/>
      <c r="E52" s="4" t="n"/>
      <c r="F52" s="4" t="n"/>
      <c r="G52" s="4" t="n"/>
      <c r="H52" s="4">
        <f>IF(G52="","",IFERROR(G52-TODAY(),0))</f>
        <v/>
      </c>
      <c r="I52" s="4" t="n"/>
      <c r="J52" s="4" t="n"/>
    </row>
    <row r="53">
      <c r="A53" s="6" t="n"/>
      <c r="B53" s="6">
        <f>IF(A53="","",VLOOKUP(A53,'F01 - _Données Expatriés'!$A$6:$L$15,2,FALSE))</f>
        <v/>
      </c>
      <c r="C53" s="6" t="n"/>
      <c r="D53" s="6" t="n"/>
      <c r="E53" s="6" t="n"/>
      <c r="F53" s="6" t="n"/>
      <c r="G53" s="6" t="n"/>
      <c r="H53" s="6">
        <f>IF(G53="","",IFERROR(G53-TODAY(),0))</f>
        <v/>
      </c>
      <c r="I53" s="6" t="n"/>
      <c r="J53" s="6" t="n"/>
    </row>
    <row r="54">
      <c r="A54" s="4" t="n"/>
      <c r="B54" s="4">
        <f>IF(A54="","",VLOOKUP(A54,'F01 - _Données Expatriés'!$A$6:$L$15,2,FALSE))</f>
        <v/>
      </c>
      <c r="C54" s="4" t="n"/>
      <c r="D54" s="4" t="n"/>
      <c r="E54" s="4" t="n"/>
      <c r="F54" s="4" t="n"/>
      <c r="G54" s="4" t="n"/>
      <c r="H54" s="4">
        <f>IF(G54="","",IFERROR(G54-TODAY(),0))</f>
        <v/>
      </c>
      <c r="I54" s="4" t="n"/>
      <c r="J54" s="4" t="n"/>
    </row>
    <row r="55">
      <c r="A55" s="6" t="n"/>
      <c r="B55" s="6">
        <f>IF(A55="","",VLOOKUP(A55,'F01 - _Données Expatriés'!$A$6:$L$15,2,FALSE))</f>
        <v/>
      </c>
      <c r="C55" s="6" t="n"/>
      <c r="D55" s="6" t="n"/>
      <c r="E55" s="6" t="n"/>
      <c r="F55" s="6" t="n"/>
      <c r="G55" s="6" t="n"/>
      <c r="H55" s="6">
        <f>IF(G55="","",IFERROR(G55-TODAY(),0))</f>
        <v/>
      </c>
      <c r="I55" s="6" t="n"/>
      <c r="J55" s="6" t="n"/>
    </row>
    <row r="56">
      <c r="A56" s="4" t="n"/>
      <c r="B56" s="4">
        <f>IF(A56="","",VLOOKUP(A56,'F01 - _Données Expatriés'!$A$6:$L$15,2,FALSE))</f>
        <v/>
      </c>
      <c r="C56" s="4" t="n"/>
      <c r="D56" s="4" t="n"/>
      <c r="E56" s="4" t="n"/>
      <c r="F56" s="4" t="n"/>
      <c r="G56" s="4" t="n"/>
      <c r="H56" s="4">
        <f>IF(G56="","",IFERROR(G56-TODAY(),0))</f>
        <v/>
      </c>
      <c r="I56" s="4" t="n"/>
      <c r="J56" s="4" t="n"/>
    </row>
    <row r="57">
      <c r="A57" s="6" t="n"/>
      <c r="B57" s="6">
        <f>IF(A57="","",VLOOKUP(A57,'F01 - _Données Expatriés'!$A$6:$L$15,2,FALSE))</f>
        <v/>
      </c>
      <c r="C57" s="6" t="n"/>
      <c r="D57" s="6" t="n"/>
      <c r="E57" s="6" t="n"/>
      <c r="F57" s="6" t="n"/>
      <c r="G57" s="6" t="n"/>
      <c r="H57" s="6">
        <f>IF(G57="","",IFERROR(G57-TODAY(),0))</f>
        <v/>
      </c>
      <c r="I57" s="6" t="n"/>
      <c r="J57" s="6" t="n"/>
    </row>
    <row r="58">
      <c r="A58" s="4" t="n"/>
      <c r="B58" s="4">
        <f>IF(A58="","",VLOOKUP(A58,'F01 - _Données Expatriés'!$A$6:$L$15,2,FALSE))</f>
        <v/>
      </c>
      <c r="C58" s="4" t="n"/>
      <c r="D58" s="4" t="n"/>
      <c r="E58" s="4" t="n"/>
      <c r="F58" s="4" t="n"/>
      <c r="G58" s="4" t="n"/>
      <c r="H58" s="4">
        <f>IF(G58="","",IFERROR(G58-TODAY(),0))</f>
        <v/>
      </c>
      <c r="I58" s="4" t="n"/>
      <c r="J58" s="4" t="n"/>
    </row>
    <row r="59">
      <c r="A59" s="6" t="n"/>
      <c r="B59" s="6">
        <f>IF(A59="","",VLOOKUP(A59,'F01 - _Données Expatriés'!$A$6:$L$15,2,FALSE))</f>
        <v/>
      </c>
      <c r="C59" s="6" t="n"/>
      <c r="D59" s="6" t="n"/>
      <c r="E59" s="6" t="n"/>
      <c r="F59" s="6" t="n"/>
      <c r="G59" s="6" t="n"/>
      <c r="H59" s="6">
        <f>IF(G59="","",IFERROR(G59-TODAY(),0))</f>
        <v/>
      </c>
      <c r="I59" s="6" t="n"/>
      <c r="J59" s="6" t="n"/>
    </row>
    <row r="60">
      <c r="A60" s="4" t="n"/>
      <c r="B60" s="4">
        <f>IF(A60="","",VLOOKUP(A60,'F01 - _Données Expatriés'!$A$6:$L$15,2,FALSE))</f>
        <v/>
      </c>
      <c r="C60" s="4" t="n"/>
      <c r="D60" s="4" t="n"/>
      <c r="E60" s="4" t="n"/>
      <c r="F60" s="4" t="n"/>
      <c r="G60" s="4" t="n"/>
      <c r="H60" s="4">
        <f>IF(G60="","",IFERROR(G60-TODAY(),0))</f>
        <v/>
      </c>
      <c r="I60" s="4" t="n"/>
      <c r="J60" s="4" t="n"/>
    </row>
    <row r="61">
      <c r="A61" s="6" t="n"/>
      <c r="B61" s="6">
        <f>IF(A61="","",VLOOKUP(A61,'F01 - _Données Expatriés'!$A$6:$L$15,2,FALSE))</f>
        <v/>
      </c>
      <c r="C61" s="6" t="n"/>
      <c r="D61" s="6" t="n"/>
      <c r="E61" s="6" t="n"/>
      <c r="F61" s="6" t="n"/>
      <c r="G61" s="6" t="n"/>
      <c r="H61" s="6">
        <f>IF(G61="","",IFERROR(G61-TODAY(),0))</f>
        <v/>
      </c>
      <c r="I61" s="6" t="n"/>
      <c r="J61" s="6" t="n"/>
    </row>
    <row r="62">
      <c r="A62" s="4" t="n"/>
      <c r="B62" s="4">
        <f>IF(A62="","",VLOOKUP(A62,'F01 - _Données Expatriés'!$A$6:$L$15,2,FALSE))</f>
        <v/>
      </c>
      <c r="C62" s="4" t="n"/>
      <c r="D62" s="4" t="n"/>
      <c r="E62" s="4" t="n"/>
      <c r="F62" s="4" t="n"/>
      <c r="G62" s="4" t="n"/>
      <c r="H62" s="4">
        <f>IF(G62="","",IFERROR(G62-TODAY(),0))</f>
        <v/>
      </c>
      <c r="I62" s="4" t="n"/>
      <c r="J62" s="4" t="n"/>
    </row>
    <row r="63">
      <c r="A63" s="6" t="n"/>
      <c r="B63" s="6">
        <f>IF(A63="","",VLOOKUP(A63,'F01 - _Données Expatriés'!$A$6:$L$15,2,FALSE))</f>
        <v/>
      </c>
      <c r="C63" s="6" t="n"/>
      <c r="D63" s="6" t="n"/>
      <c r="E63" s="6" t="n"/>
      <c r="F63" s="6" t="n"/>
      <c r="G63" s="6" t="n"/>
      <c r="H63" s="6">
        <f>IF(G63="","",IFERROR(G63-TODAY(),0))</f>
        <v/>
      </c>
      <c r="I63" s="6" t="n"/>
      <c r="J63" s="6" t="n"/>
    </row>
    <row r="64">
      <c r="A64" s="4" t="n"/>
      <c r="B64" s="4">
        <f>IF(A64="","",VLOOKUP(A64,'F01 - _Données Expatriés'!$A$6:$L$15,2,FALSE))</f>
        <v/>
      </c>
      <c r="C64" s="4" t="n"/>
      <c r="D64" s="4" t="n"/>
      <c r="E64" s="4" t="n"/>
      <c r="F64" s="4" t="n"/>
      <c r="G64" s="4" t="n"/>
      <c r="H64" s="4">
        <f>IF(G64="","",IFERROR(G64-TODAY(),0))</f>
        <v/>
      </c>
      <c r="I64" s="4" t="n"/>
      <c r="J64" s="4" t="n"/>
    </row>
    <row r="65">
      <c r="A65" s="6" t="n"/>
      <c r="B65" s="6">
        <f>IF(A65="","",VLOOKUP(A65,'F01 - _Données Expatriés'!$A$6:$L$15,2,FALSE))</f>
        <v/>
      </c>
      <c r="C65" s="6" t="n"/>
      <c r="D65" s="6" t="n"/>
      <c r="E65" s="6" t="n"/>
      <c r="F65" s="6" t="n"/>
      <c r="G65" s="6" t="n"/>
      <c r="H65" s="6">
        <f>IF(G65="","",IFERROR(G65-TODAY(),0))</f>
        <v/>
      </c>
      <c r="I65" s="6" t="n"/>
      <c r="J65" s="6" t="n"/>
    </row>
    <row r="66">
      <c r="A66" s="4" t="n"/>
      <c r="B66" s="4">
        <f>IF(A66="","",VLOOKUP(A66,'F01 - _Données Expatriés'!$A$6:$L$15,2,FALSE))</f>
        <v/>
      </c>
      <c r="C66" s="4" t="n"/>
      <c r="D66" s="4" t="n"/>
      <c r="E66" s="4" t="n"/>
      <c r="F66" s="4" t="n"/>
      <c r="G66" s="4" t="n"/>
      <c r="H66" s="4">
        <f>IF(G66="","",IFERROR(G66-TODAY(),0))</f>
        <v/>
      </c>
      <c r="I66" s="4" t="n"/>
      <c r="J66" s="4" t="n"/>
    </row>
    <row r="67">
      <c r="A67" s="6" t="n"/>
      <c r="B67" s="6">
        <f>IF(A67="","",VLOOKUP(A67,'F01 - _Données Expatriés'!$A$6:$L$15,2,FALSE))</f>
        <v/>
      </c>
      <c r="C67" s="6" t="n"/>
      <c r="D67" s="6" t="n"/>
      <c r="E67" s="6" t="n"/>
      <c r="F67" s="6" t="n"/>
      <c r="G67" s="6" t="n"/>
      <c r="H67" s="6">
        <f>IF(G67="","",IFERROR(G67-TODAY(),0))</f>
        <v/>
      </c>
      <c r="I67" s="6" t="n"/>
      <c r="J67" s="6" t="n"/>
    </row>
    <row r="68">
      <c r="A68" s="4" t="n"/>
      <c r="B68" s="4">
        <f>IF(A68="","",VLOOKUP(A68,'F01 - _Données Expatriés'!$A$6:$L$15,2,FALSE))</f>
        <v/>
      </c>
      <c r="C68" s="4" t="n"/>
      <c r="D68" s="4" t="n"/>
      <c r="E68" s="4" t="n"/>
      <c r="F68" s="4" t="n"/>
      <c r="G68" s="4" t="n"/>
      <c r="H68" s="4">
        <f>IF(G68="","",IFERROR(G68-TODAY(),0))</f>
        <v/>
      </c>
      <c r="I68" s="4" t="n"/>
      <c r="J68" s="4" t="n"/>
    </row>
    <row r="69">
      <c r="A69" s="6" t="n"/>
      <c r="B69" s="6">
        <f>IF(A69="","",VLOOKUP(A69,'F01 - _Données Expatriés'!$A$6:$L$15,2,FALSE))</f>
        <v/>
      </c>
      <c r="C69" s="6" t="n"/>
      <c r="D69" s="6" t="n"/>
      <c r="E69" s="6" t="n"/>
      <c r="F69" s="6" t="n"/>
      <c r="G69" s="6" t="n"/>
      <c r="H69" s="6">
        <f>IF(G69="","",IFERROR(G69-TODAY(),0))</f>
        <v/>
      </c>
      <c r="I69" s="6" t="n"/>
      <c r="J69" s="6" t="n"/>
    </row>
    <row r="70">
      <c r="A70" s="4" t="n"/>
      <c r="B70" s="4">
        <f>IF(A70="","",VLOOKUP(A70,'F01 - _Données Expatriés'!$A$6:$L$15,2,FALSE))</f>
        <v/>
      </c>
      <c r="C70" s="4" t="n"/>
      <c r="D70" s="4" t="n"/>
      <c r="E70" s="4" t="n"/>
      <c r="F70" s="4" t="n"/>
      <c r="G70" s="4" t="n"/>
      <c r="H70" s="4">
        <f>IF(G70="","",IFERROR(G70-TODAY(),0))</f>
        <v/>
      </c>
      <c r="I70" s="4" t="n"/>
      <c r="J70" s="4" t="n"/>
    </row>
    <row r="71">
      <c r="A71" s="6" t="n"/>
      <c r="B71" s="6">
        <f>IF(A71="","",VLOOKUP(A71,'F01 - _Données Expatriés'!$A$6:$L$15,2,FALSE))</f>
        <v/>
      </c>
      <c r="C71" s="6" t="n"/>
      <c r="D71" s="6" t="n"/>
      <c r="E71" s="6" t="n"/>
      <c r="F71" s="6" t="n"/>
      <c r="G71" s="6" t="n"/>
      <c r="H71" s="6">
        <f>IF(G71="","",IFERROR(G71-TODAY(),0))</f>
        <v/>
      </c>
      <c r="I71" s="6" t="n"/>
      <c r="J71" s="6" t="n"/>
    </row>
    <row r="72">
      <c r="A72" s="4" t="n"/>
      <c r="B72" s="4">
        <f>IF(A72="","",VLOOKUP(A72,'F01 - _Données Expatriés'!$A$6:$L$15,2,FALSE))</f>
        <v/>
      </c>
      <c r="C72" s="4" t="n"/>
      <c r="D72" s="4" t="n"/>
      <c r="E72" s="4" t="n"/>
      <c r="F72" s="4" t="n"/>
      <c r="G72" s="4" t="n"/>
      <c r="H72" s="4">
        <f>IF(G72="","",IFERROR(G72-TODAY(),0))</f>
        <v/>
      </c>
      <c r="I72" s="4" t="n"/>
      <c r="J72" s="4" t="n"/>
    </row>
    <row r="73">
      <c r="A73" s="6" t="n"/>
      <c r="B73" s="6">
        <f>IF(A73="","",VLOOKUP(A73,'F01 - _Données Expatriés'!$A$6:$L$15,2,FALSE))</f>
        <v/>
      </c>
      <c r="C73" s="6" t="n"/>
      <c r="D73" s="6" t="n"/>
      <c r="E73" s="6" t="n"/>
      <c r="F73" s="6" t="n"/>
      <c r="G73" s="6" t="n"/>
      <c r="H73" s="6">
        <f>IF(G73="","",IFERROR(G73-TODAY(),0))</f>
        <v/>
      </c>
      <c r="I73" s="6" t="n"/>
      <c r="J73" s="6" t="n"/>
    </row>
    <row r="74">
      <c r="A74" s="4" t="n"/>
      <c r="B74" s="4">
        <f>IF(A74="","",VLOOKUP(A74,'F01 - _Données Expatriés'!$A$6:$L$15,2,FALSE))</f>
        <v/>
      </c>
      <c r="C74" s="4" t="n"/>
      <c r="D74" s="4" t="n"/>
      <c r="E74" s="4" t="n"/>
      <c r="F74" s="4" t="n"/>
      <c r="G74" s="4" t="n"/>
      <c r="H74" s="4">
        <f>IF(G74="","",IFERROR(G74-TODAY(),0))</f>
        <v/>
      </c>
      <c r="I74" s="4" t="n"/>
      <c r="J74" s="4" t="n"/>
    </row>
    <row r="75">
      <c r="A75" s="6" t="n"/>
      <c r="B75" s="6">
        <f>IF(A75="","",VLOOKUP(A75,'F01 - _Données Expatriés'!$A$6:$L$15,2,FALSE))</f>
        <v/>
      </c>
      <c r="C75" s="6" t="n"/>
      <c r="D75" s="6" t="n"/>
      <c r="E75" s="6" t="n"/>
      <c r="F75" s="6" t="n"/>
      <c r="G75" s="6" t="n"/>
      <c r="H75" s="6">
        <f>IF(G75="","",IFERROR(G75-TODAY(),0))</f>
        <v/>
      </c>
      <c r="I75" s="6" t="n"/>
      <c r="J75" s="6" t="n"/>
    </row>
    <row r="76">
      <c r="A76" s="4" t="n"/>
      <c r="B76" s="4">
        <f>IF(A76="","",VLOOKUP(A76,'F01 - _Données Expatriés'!$A$6:$L$15,2,FALSE))</f>
        <v/>
      </c>
      <c r="C76" s="4" t="n"/>
      <c r="D76" s="4" t="n"/>
      <c r="E76" s="4" t="n"/>
      <c r="F76" s="4" t="n"/>
      <c r="G76" s="4" t="n"/>
      <c r="H76" s="4">
        <f>IF(G76="","",IFERROR(G76-TODAY(),0))</f>
        <v/>
      </c>
      <c r="I76" s="4" t="n"/>
      <c r="J76" s="4" t="n"/>
    </row>
    <row r="77">
      <c r="A77" s="6" t="n"/>
      <c r="B77" s="6">
        <f>IF(A77="","",VLOOKUP(A77,'F01 - _Données Expatriés'!$A$6:$L$15,2,FALSE))</f>
        <v/>
      </c>
      <c r="C77" s="6" t="n"/>
      <c r="D77" s="6" t="n"/>
      <c r="E77" s="6" t="n"/>
      <c r="F77" s="6" t="n"/>
      <c r="G77" s="6" t="n"/>
      <c r="H77" s="6">
        <f>IF(G77="","",IFERROR(G77-TODAY(),0))</f>
        <v/>
      </c>
      <c r="I77" s="6" t="n"/>
      <c r="J77" s="6" t="n"/>
    </row>
    <row r="78">
      <c r="A78" s="4" t="n"/>
      <c r="B78" s="4">
        <f>IF(A78="","",VLOOKUP(A78,'F01 - _Données Expatriés'!$A$6:$L$15,2,FALSE))</f>
        <v/>
      </c>
      <c r="C78" s="4" t="n"/>
      <c r="D78" s="4" t="n"/>
      <c r="E78" s="4" t="n"/>
      <c r="F78" s="4" t="n"/>
      <c r="G78" s="4" t="n"/>
      <c r="H78" s="4">
        <f>IF(G78="","",IFERROR(G78-TODAY(),0))</f>
        <v/>
      </c>
      <c r="I78" s="4" t="n"/>
      <c r="J78" s="4" t="n"/>
    </row>
    <row r="79">
      <c r="A79" s="6" t="n"/>
      <c r="B79" s="6">
        <f>IF(A79="","",VLOOKUP(A79,'F01 - _Données Expatriés'!$A$6:$L$15,2,FALSE))</f>
        <v/>
      </c>
      <c r="C79" s="6" t="n"/>
      <c r="D79" s="6" t="n"/>
      <c r="E79" s="6" t="n"/>
      <c r="F79" s="6" t="n"/>
      <c r="G79" s="6" t="n"/>
      <c r="H79" s="6">
        <f>IF(G79="","",IFERROR(G79-TODAY(),0))</f>
        <v/>
      </c>
      <c r="I79" s="6" t="n"/>
      <c r="J79" s="6" t="n"/>
    </row>
    <row r="80">
      <c r="A80" s="4" t="n"/>
      <c r="B80" s="4">
        <f>IF(A80="","",VLOOKUP(A80,'F01 - _Données Expatriés'!$A$6:$L$15,2,FALSE))</f>
        <v/>
      </c>
      <c r="C80" s="4" t="n"/>
      <c r="D80" s="4" t="n"/>
      <c r="E80" s="4" t="n"/>
      <c r="F80" s="4" t="n"/>
      <c r="G80" s="4" t="n"/>
      <c r="H80" s="4">
        <f>IF(G80="","",IFERROR(G80-TODAY(),0))</f>
        <v/>
      </c>
      <c r="I80" s="4" t="n"/>
      <c r="J80" s="4" t="n"/>
    </row>
    <row r="81">
      <c r="A81" s="6" t="n"/>
      <c r="B81" s="6">
        <f>IF(A81="","",VLOOKUP(A81,'F01 - _Données Expatriés'!$A$6:$L$15,2,FALSE))</f>
        <v/>
      </c>
      <c r="C81" s="6" t="n"/>
      <c r="D81" s="6" t="n"/>
      <c r="E81" s="6" t="n"/>
      <c r="F81" s="6" t="n"/>
      <c r="G81" s="6" t="n"/>
      <c r="H81" s="6">
        <f>IF(G81="","",IFERROR(G81-TODAY(),0))</f>
        <v/>
      </c>
      <c r="I81" s="6" t="n"/>
      <c r="J81" s="6" t="n"/>
    </row>
    <row r="82">
      <c r="A82" s="4" t="n"/>
      <c r="B82" s="4">
        <f>IF(A82="","",VLOOKUP(A82,'F01 - _Données Expatriés'!$A$6:$L$15,2,FALSE))</f>
        <v/>
      </c>
      <c r="C82" s="4" t="n"/>
      <c r="D82" s="4" t="n"/>
      <c r="E82" s="4" t="n"/>
      <c r="F82" s="4" t="n"/>
      <c r="G82" s="4" t="n"/>
      <c r="H82" s="4">
        <f>IF(G82="","",IFERROR(G82-TODAY(),0))</f>
        <v/>
      </c>
      <c r="I82" s="4" t="n"/>
      <c r="J82" s="4" t="n"/>
    </row>
    <row r="83">
      <c r="A83" s="6" t="n"/>
      <c r="B83" s="6">
        <f>IF(A83="","",VLOOKUP(A83,'F01 - _Données Expatriés'!$A$6:$L$15,2,FALSE))</f>
        <v/>
      </c>
      <c r="C83" s="6" t="n"/>
      <c r="D83" s="6" t="n"/>
      <c r="E83" s="6" t="n"/>
      <c r="F83" s="6" t="n"/>
      <c r="G83" s="6" t="n"/>
      <c r="H83" s="6">
        <f>IF(G83="","",IFERROR(G83-TODAY(),0))</f>
        <v/>
      </c>
      <c r="I83" s="6" t="n"/>
      <c r="J83" s="6" t="n"/>
    </row>
    <row r="84">
      <c r="A84" s="4" t="n"/>
      <c r="B84" s="4">
        <f>IF(A84="","",VLOOKUP(A84,'F01 - _Données Expatriés'!$A$6:$L$15,2,FALSE))</f>
        <v/>
      </c>
      <c r="C84" s="4" t="n"/>
      <c r="D84" s="4" t="n"/>
      <c r="E84" s="4" t="n"/>
      <c r="F84" s="4" t="n"/>
      <c r="G84" s="4" t="n"/>
      <c r="H84" s="4">
        <f>IF(G84="","",IFERROR(G84-TODAY(),0))</f>
        <v/>
      </c>
      <c r="I84" s="4" t="n"/>
      <c r="J84" s="4" t="n"/>
    </row>
    <row r="85">
      <c r="A85" s="6" t="n"/>
      <c r="B85" s="6">
        <f>IF(A85="","",VLOOKUP(A85,'F01 - _Données Expatriés'!$A$6:$L$15,2,FALSE))</f>
        <v/>
      </c>
      <c r="C85" s="6" t="n"/>
      <c r="D85" s="6" t="n"/>
      <c r="E85" s="6" t="n"/>
      <c r="F85" s="6" t="n"/>
      <c r="G85" s="6" t="n"/>
      <c r="H85" s="6">
        <f>IF(G85="","",IFERROR(G85-TODAY(),0))</f>
        <v/>
      </c>
      <c r="I85" s="6" t="n"/>
      <c r="J85" s="6" t="n"/>
    </row>
    <row r="86">
      <c r="A86" s="4" t="n"/>
      <c r="B86" s="4">
        <f>IF(A86="","",VLOOKUP(A86,'F01 - _Données Expatriés'!$A$6:$L$15,2,FALSE))</f>
        <v/>
      </c>
      <c r="C86" s="4" t="n"/>
      <c r="D86" s="4" t="n"/>
      <c r="E86" s="4" t="n"/>
      <c r="F86" s="4" t="n"/>
      <c r="G86" s="4" t="n"/>
      <c r="H86" s="4">
        <f>IF(G86="","",IFERROR(G86-TODAY(),0))</f>
        <v/>
      </c>
      <c r="I86" s="4" t="n"/>
      <c r="J86" s="4" t="n"/>
    </row>
    <row r="87">
      <c r="A87" s="6" t="n"/>
      <c r="B87" s="6">
        <f>IF(A87="","",VLOOKUP(A87,'F01 - _Données Expatriés'!$A$6:$L$15,2,FALSE))</f>
        <v/>
      </c>
      <c r="C87" s="6" t="n"/>
      <c r="D87" s="6" t="n"/>
      <c r="E87" s="6" t="n"/>
      <c r="F87" s="6" t="n"/>
      <c r="G87" s="6" t="n"/>
      <c r="H87" s="6">
        <f>IF(G87="","",IFERROR(G87-TODAY(),0))</f>
        <v/>
      </c>
      <c r="I87" s="6" t="n"/>
      <c r="J87" s="6" t="n"/>
    </row>
    <row r="88">
      <c r="A88" s="4" t="n"/>
      <c r="B88" s="4">
        <f>IF(A88="","",VLOOKUP(A88,'F01 - _Données Expatriés'!$A$6:$L$15,2,FALSE))</f>
        <v/>
      </c>
      <c r="C88" s="4" t="n"/>
      <c r="D88" s="4" t="n"/>
      <c r="E88" s="4" t="n"/>
      <c r="F88" s="4" t="n"/>
      <c r="G88" s="4" t="n"/>
      <c r="H88" s="4">
        <f>IF(G88="","",IFERROR(G88-TODAY(),0))</f>
        <v/>
      </c>
      <c r="I88" s="4" t="n"/>
      <c r="J88" s="4" t="n"/>
    </row>
    <row r="89">
      <c r="A89" s="6" t="n"/>
      <c r="B89" s="6">
        <f>IF(A89="","",VLOOKUP(A89,'F01 - _Données Expatriés'!$A$6:$L$15,2,FALSE))</f>
        <v/>
      </c>
      <c r="C89" s="6" t="n"/>
      <c r="D89" s="6" t="n"/>
      <c r="E89" s="6" t="n"/>
      <c r="F89" s="6" t="n"/>
      <c r="G89" s="6" t="n"/>
      <c r="H89" s="6">
        <f>IF(G89="","",IFERROR(G89-TODAY(),0))</f>
        <v/>
      </c>
      <c r="I89" s="6" t="n"/>
      <c r="J89" s="6" t="n"/>
    </row>
    <row r="90">
      <c r="A90" s="4" t="n"/>
      <c r="B90" s="4">
        <f>IF(A90="","",VLOOKUP(A90,'F01 - _Données Expatriés'!$A$6:$L$15,2,FALSE))</f>
        <v/>
      </c>
      <c r="C90" s="4" t="n"/>
      <c r="D90" s="4" t="n"/>
      <c r="E90" s="4" t="n"/>
      <c r="F90" s="4" t="n"/>
      <c r="G90" s="4" t="n"/>
      <c r="H90" s="4">
        <f>IF(G90="","",IFERROR(G90-TODAY(),0))</f>
        <v/>
      </c>
      <c r="I90" s="4" t="n"/>
      <c r="J90" s="4" t="n"/>
    </row>
    <row r="91">
      <c r="A91" s="6" t="n"/>
      <c r="B91" s="6">
        <f>IF(A91="","",VLOOKUP(A91,'F01 - _Données Expatriés'!$A$6:$L$15,2,FALSE))</f>
        <v/>
      </c>
      <c r="C91" s="6" t="n"/>
      <c r="D91" s="6" t="n"/>
      <c r="E91" s="6" t="n"/>
      <c r="F91" s="6" t="n"/>
      <c r="G91" s="6" t="n"/>
      <c r="H91" s="6">
        <f>IF(G91="","",IFERROR(G91-TODAY(),0))</f>
        <v/>
      </c>
      <c r="I91" s="6" t="n"/>
      <c r="J91" s="6" t="n"/>
    </row>
    <row r="92">
      <c r="A92" s="4" t="n"/>
      <c r="B92" s="4">
        <f>IF(A92="","",VLOOKUP(A92,'F01 - _Données Expatriés'!$A$6:$L$15,2,FALSE))</f>
        <v/>
      </c>
      <c r="C92" s="4" t="n"/>
      <c r="D92" s="4" t="n"/>
      <c r="E92" s="4" t="n"/>
      <c r="F92" s="4" t="n"/>
      <c r="G92" s="4" t="n"/>
      <c r="H92" s="4">
        <f>IF(G92="","",IFERROR(G92-TODAY(),0))</f>
        <v/>
      </c>
      <c r="I92" s="4" t="n"/>
      <c r="J92" s="4" t="n"/>
    </row>
    <row r="93">
      <c r="A93" s="6" t="n"/>
      <c r="B93" s="6">
        <f>IF(A93="","",VLOOKUP(A93,'F01 - _Données Expatriés'!$A$6:$L$15,2,FALSE))</f>
        <v/>
      </c>
      <c r="C93" s="6" t="n"/>
      <c r="D93" s="6" t="n"/>
      <c r="E93" s="6" t="n"/>
      <c r="F93" s="6" t="n"/>
      <c r="G93" s="6" t="n"/>
      <c r="H93" s="6">
        <f>IF(G93="","",IFERROR(G93-TODAY(),0))</f>
        <v/>
      </c>
      <c r="I93" s="6" t="n"/>
      <c r="J93" s="6" t="n"/>
    </row>
    <row r="94">
      <c r="A94" s="4" t="n"/>
      <c r="B94" s="4">
        <f>IF(A94="","",VLOOKUP(A94,'F01 - _Données Expatriés'!$A$6:$L$15,2,FALSE))</f>
        <v/>
      </c>
      <c r="C94" s="4" t="n"/>
      <c r="D94" s="4" t="n"/>
      <c r="E94" s="4" t="n"/>
      <c r="F94" s="4" t="n"/>
      <c r="G94" s="4" t="n"/>
      <c r="H94" s="4">
        <f>IF(G94="","",IFERROR(G94-TODAY(),0))</f>
        <v/>
      </c>
      <c r="I94" s="4" t="n"/>
      <c r="J94" s="4" t="n"/>
    </row>
    <row r="95">
      <c r="A95" s="6" t="n"/>
      <c r="B95" s="6">
        <f>IF(A95="","",VLOOKUP(A95,'F01 - _Données Expatriés'!$A$6:$L$15,2,FALSE))</f>
        <v/>
      </c>
      <c r="C95" s="6" t="n"/>
      <c r="D95" s="6" t="n"/>
      <c r="E95" s="6" t="n"/>
      <c r="F95" s="6" t="n"/>
      <c r="G95" s="6" t="n"/>
      <c r="H95" s="6">
        <f>IF(G95="","",IFERROR(G95-TODAY(),0))</f>
        <v/>
      </c>
      <c r="I95" s="6" t="n"/>
      <c r="J95" s="6" t="n"/>
    </row>
    <row r="96">
      <c r="A96" s="4" t="n"/>
      <c r="B96" s="4">
        <f>IF(A96="","",VLOOKUP(A96,'F01 - _Données Expatriés'!$A$6:$L$15,2,FALSE))</f>
        <v/>
      </c>
      <c r="C96" s="4" t="n"/>
      <c r="D96" s="4" t="n"/>
      <c r="E96" s="4" t="n"/>
      <c r="F96" s="4" t="n"/>
      <c r="G96" s="4" t="n"/>
      <c r="H96" s="4">
        <f>IF(G96="","",IFERROR(G96-TODAY(),0))</f>
        <v/>
      </c>
      <c r="I96" s="4" t="n"/>
      <c r="J96" s="4" t="n"/>
    </row>
    <row r="97">
      <c r="A97" s="6" t="n"/>
      <c r="B97" s="6">
        <f>IF(A97="","",VLOOKUP(A97,'F01 - _Données Expatriés'!$A$6:$L$15,2,FALSE))</f>
        <v/>
      </c>
      <c r="C97" s="6" t="n"/>
      <c r="D97" s="6" t="n"/>
      <c r="E97" s="6" t="n"/>
      <c r="F97" s="6" t="n"/>
      <c r="G97" s="6" t="n"/>
      <c r="H97" s="6">
        <f>IF(G97="","",IFERROR(G97-TODAY(),0))</f>
        <v/>
      </c>
      <c r="I97" s="6" t="n"/>
      <c r="J97" s="6" t="n"/>
    </row>
    <row r="98">
      <c r="A98" s="4" t="n"/>
      <c r="B98" s="4">
        <f>IF(A98="","",VLOOKUP(A98,'F01 - _Données Expatriés'!$A$6:$L$15,2,FALSE))</f>
        <v/>
      </c>
      <c r="C98" s="4" t="n"/>
      <c r="D98" s="4" t="n"/>
      <c r="E98" s="4" t="n"/>
      <c r="F98" s="4" t="n"/>
      <c r="G98" s="4" t="n"/>
      <c r="H98" s="4">
        <f>IF(G98="","",IFERROR(G98-TODAY(),0))</f>
        <v/>
      </c>
      <c r="I98" s="4" t="n"/>
      <c r="J98" s="4" t="n"/>
    </row>
    <row r="99">
      <c r="A99" s="6" t="n"/>
      <c r="B99" s="6">
        <f>IF(A99="","",VLOOKUP(A99,'F01 - _Données Expatriés'!$A$6:$L$15,2,FALSE))</f>
        <v/>
      </c>
      <c r="C99" s="6" t="n"/>
      <c r="D99" s="6" t="n"/>
      <c r="E99" s="6" t="n"/>
      <c r="F99" s="6" t="n"/>
      <c r="G99" s="6" t="n"/>
      <c r="H99" s="6">
        <f>IF(G99="","",IFERROR(G99-TODAY(),0))</f>
        <v/>
      </c>
      <c r="I99" s="6" t="n"/>
      <c r="J99" s="6" t="n"/>
    </row>
    <row r="100">
      <c r="A100" s="4" t="n"/>
      <c r="B100" s="4">
        <f>IF(A100="","",VLOOKUP(A100,'F01 - _Données Expatriés'!$A$6:$L$15,2,FALSE))</f>
        <v/>
      </c>
      <c r="C100" s="4" t="n"/>
      <c r="D100" s="4" t="n"/>
      <c r="E100" s="4" t="n"/>
      <c r="F100" s="4" t="n"/>
      <c r="G100" s="4" t="n"/>
      <c r="H100" s="4">
        <f>IF(G100="","",IFERROR(G100-TODAY(),0))</f>
        <v/>
      </c>
      <c r="I100" s="4" t="n"/>
      <c r="J100" s="4" t="n"/>
    </row>
    <row r="101">
      <c r="A101" s="6" t="n"/>
      <c r="B101" s="6">
        <f>IF(A101="","",VLOOKUP(A101,'F01 - _Données Expatriés'!$A$6:$L$15,2,FALSE))</f>
        <v/>
      </c>
      <c r="C101" s="6" t="n"/>
      <c r="D101" s="6" t="n"/>
      <c r="E101" s="6" t="n"/>
      <c r="F101" s="6" t="n"/>
      <c r="G101" s="6" t="n"/>
      <c r="H101" s="6">
        <f>IF(G101="","",IFERROR(G101-TODAY(),0))</f>
        <v/>
      </c>
      <c r="I101" s="6" t="n"/>
      <c r="J101" s="6" t="n"/>
    </row>
    <row r="102">
      <c r="A102" s="4" t="n"/>
      <c r="B102" s="4">
        <f>IF(A102="","",VLOOKUP(A102,'F01 - _Données Expatriés'!$A$6:$L$15,2,FALSE))</f>
        <v/>
      </c>
      <c r="C102" s="4" t="n"/>
      <c r="D102" s="4" t="n"/>
      <c r="E102" s="4" t="n"/>
      <c r="F102" s="4" t="n"/>
      <c r="G102" s="4" t="n"/>
      <c r="H102" s="4">
        <f>IF(G102="","",IFERROR(G102-TODAY(),0))</f>
        <v/>
      </c>
      <c r="I102" s="4" t="n"/>
      <c r="J102" s="4" t="n"/>
    </row>
    <row r="103">
      <c r="A103" s="6" t="n"/>
      <c r="B103" s="6">
        <f>IF(A103="","",VLOOKUP(A103,'F01 - _Données Expatriés'!$A$6:$L$15,2,FALSE))</f>
        <v/>
      </c>
      <c r="C103" s="6" t="n"/>
      <c r="D103" s="6" t="n"/>
      <c r="E103" s="6" t="n"/>
      <c r="F103" s="6" t="n"/>
      <c r="G103" s="6" t="n"/>
      <c r="H103" s="6">
        <f>IF(G103="","",IFERROR(G103-TODAY(),0))</f>
        <v/>
      </c>
      <c r="I103" s="6" t="n"/>
      <c r="J103" s="6" t="n"/>
    </row>
    <row r="104">
      <c r="A104" s="4" t="n"/>
      <c r="B104" s="4">
        <f>IF(A104="","",VLOOKUP(A104,'F01 - _Données Expatriés'!$A$6:$L$15,2,FALSE))</f>
        <v/>
      </c>
      <c r="C104" s="4" t="n"/>
      <c r="D104" s="4" t="n"/>
      <c r="E104" s="4" t="n"/>
      <c r="F104" s="4" t="n"/>
      <c r="G104" s="4" t="n"/>
      <c r="H104" s="4">
        <f>IF(G104="","",IFERROR(G104-TODAY(),0))</f>
        <v/>
      </c>
      <c r="I104" s="4" t="n"/>
      <c r="J104" s="4" t="n"/>
    </row>
    <row r="105">
      <c r="A105" s="6" t="n"/>
      <c r="B105" s="6">
        <f>IF(A105="","",VLOOKUP(A105,'F01 - _Données Expatriés'!$A$6:$L$15,2,FALSE))</f>
        <v/>
      </c>
      <c r="C105" s="6" t="n"/>
      <c r="D105" s="6" t="n"/>
      <c r="E105" s="6" t="n"/>
      <c r="F105" s="6" t="n"/>
      <c r="G105" s="6" t="n"/>
      <c r="H105" s="6">
        <f>IF(G105="","",IFERROR(G105-TODAY(),0))</f>
        <v/>
      </c>
      <c r="I105" s="6" t="n"/>
      <c r="J105" s="6" t="n"/>
    </row>
    <row r="106">
      <c r="A106" s="4" t="n"/>
      <c r="B106" s="4">
        <f>IF(A106="","",VLOOKUP(A106,'F01 - _Données Expatriés'!$A$6:$L$15,2,FALSE))</f>
        <v/>
      </c>
      <c r="C106" s="4" t="n"/>
      <c r="D106" s="4" t="n"/>
      <c r="E106" s="4" t="n"/>
      <c r="F106" s="4" t="n"/>
      <c r="G106" s="4" t="n"/>
      <c r="H106" s="4">
        <f>IF(G106="","",IFERROR(G106-TODAY(),0))</f>
        <v/>
      </c>
      <c r="I106" s="4" t="n"/>
      <c r="J106" s="4" t="n"/>
    </row>
    <row r="107">
      <c r="A107" s="6" t="n"/>
      <c r="B107" s="6">
        <f>IF(A107="","",VLOOKUP(A107,'F01 - _Données Expatriés'!$A$6:$L$15,2,FALSE))</f>
        <v/>
      </c>
      <c r="C107" s="6" t="n"/>
      <c r="D107" s="6" t="n"/>
      <c r="E107" s="6" t="n"/>
      <c r="F107" s="6" t="n"/>
      <c r="G107" s="6" t="n"/>
      <c r="H107" s="6">
        <f>IF(G107="","",IFERROR(G107-TODAY(),0))</f>
        <v/>
      </c>
      <c r="I107" s="6" t="n"/>
      <c r="J107" s="6" t="n"/>
    </row>
    <row r="108">
      <c r="A108" s="4" t="n"/>
      <c r="B108" s="4">
        <f>IF(A108="","",VLOOKUP(A108,'F01 - _Données Expatriés'!$A$6:$L$15,2,FALSE))</f>
        <v/>
      </c>
      <c r="C108" s="4" t="n"/>
      <c r="D108" s="4" t="n"/>
      <c r="E108" s="4" t="n"/>
      <c r="F108" s="4" t="n"/>
      <c r="G108" s="4" t="n"/>
      <c r="H108" s="4">
        <f>IF(G108="","",IFERROR(G108-TODAY(),0))</f>
        <v/>
      </c>
      <c r="I108" s="4" t="n"/>
      <c r="J108" s="4" t="n"/>
    </row>
    <row r="109">
      <c r="A109" s="6" t="n"/>
      <c r="B109" s="6">
        <f>IF(A109="","",VLOOKUP(A109,'F01 - _Données Expatriés'!$A$6:$L$15,2,FALSE))</f>
        <v/>
      </c>
      <c r="C109" s="6" t="n"/>
      <c r="D109" s="6" t="n"/>
      <c r="E109" s="6" t="n"/>
      <c r="F109" s="6" t="n"/>
      <c r="G109" s="6" t="n"/>
      <c r="H109" s="6">
        <f>IF(G109="","",IFERROR(G109-TODAY(),0))</f>
        <v/>
      </c>
      <c r="I109" s="6" t="n"/>
      <c r="J109" s="6" t="n"/>
    </row>
    <row r="110">
      <c r="A110" s="4" t="n"/>
      <c r="B110" s="4">
        <f>IF(A110="","",VLOOKUP(A110,'F01 - _Données Expatriés'!$A$6:$L$15,2,FALSE))</f>
        <v/>
      </c>
      <c r="C110" s="4" t="n"/>
      <c r="D110" s="4" t="n"/>
      <c r="E110" s="4" t="n"/>
      <c r="F110" s="4" t="n"/>
      <c r="G110" s="4" t="n"/>
      <c r="H110" s="4">
        <f>IF(G110="","",IFERROR(G110-TODAY(),0))</f>
        <v/>
      </c>
      <c r="I110" s="4" t="n"/>
      <c r="J110" s="4" t="n"/>
    </row>
    <row r="111">
      <c r="A111" s="6" t="n"/>
      <c r="B111" s="6">
        <f>IF(A111="","",VLOOKUP(A111,'F01 - _Données Expatriés'!$A$6:$L$15,2,FALSE))</f>
        <v/>
      </c>
      <c r="C111" s="6" t="n"/>
      <c r="D111" s="6" t="n"/>
      <c r="E111" s="6" t="n"/>
      <c r="F111" s="6" t="n"/>
      <c r="G111" s="6" t="n"/>
      <c r="H111" s="6">
        <f>IF(G111="","",IFERROR(G111-TODAY(),0))</f>
        <v/>
      </c>
      <c r="I111" s="6" t="n"/>
      <c r="J111" s="6" t="n"/>
    </row>
    <row r="112">
      <c r="A112" s="4" t="n"/>
      <c r="B112" s="4">
        <f>IF(A112="","",VLOOKUP(A112,'F01 - _Données Expatriés'!$A$6:$L$15,2,FALSE))</f>
        <v/>
      </c>
      <c r="C112" s="4" t="n"/>
      <c r="D112" s="4" t="n"/>
      <c r="E112" s="4" t="n"/>
      <c r="F112" s="4" t="n"/>
      <c r="G112" s="4" t="n"/>
      <c r="H112" s="4">
        <f>IF(G112="","",IFERROR(G112-TODAY(),0))</f>
        <v/>
      </c>
      <c r="I112" s="4" t="n"/>
      <c r="J112" s="4" t="n"/>
    </row>
    <row r="113">
      <c r="A113" s="6" t="n"/>
      <c r="B113" s="6">
        <f>IF(A113="","",VLOOKUP(A113,'F01 - _Données Expatriés'!$A$6:$L$15,2,FALSE))</f>
        <v/>
      </c>
      <c r="C113" s="6" t="n"/>
      <c r="D113" s="6" t="n"/>
      <c r="E113" s="6" t="n"/>
      <c r="F113" s="6" t="n"/>
      <c r="G113" s="6" t="n"/>
      <c r="H113" s="6">
        <f>IF(G113="","",IFERROR(G113-TODAY(),0))</f>
        <v/>
      </c>
      <c r="I113" s="6" t="n"/>
      <c r="J113" s="6" t="n"/>
    </row>
    <row r="114">
      <c r="A114" s="4" t="n"/>
      <c r="B114" s="4">
        <f>IF(A114="","",VLOOKUP(A114,'F01 - _Données Expatriés'!$A$6:$L$15,2,FALSE))</f>
        <v/>
      </c>
      <c r="C114" s="4" t="n"/>
      <c r="D114" s="4" t="n"/>
      <c r="E114" s="4" t="n"/>
      <c r="F114" s="4" t="n"/>
      <c r="G114" s="4" t="n"/>
      <c r="H114" s="4">
        <f>IF(G114="","",IFERROR(G114-TODAY(),0))</f>
        <v/>
      </c>
      <c r="I114" s="4" t="n"/>
      <c r="J114" s="4" t="n"/>
    </row>
    <row r="115">
      <c r="A115" s="6" t="n"/>
      <c r="B115" s="6">
        <f>IF(A115="","",VLOOKUP(A115,'F01 - _Données Expatriés'!$A$6:$L$15,2,FALSE))</f>
        <v/>
      </c>
      <c r="C115" s="6" t="n"/>
      <c r="D115" s="6" t="n"/>
      <c r="E115" s="6" t="n"/>
      <c r="F115" s="6" t="n"/>
      <c r="G115" s="6" t="n"/>
      <c r="H115" s="6">
        <f>IF(G115="","",IFERROR(G115-TODAY(),0))</f>
        <v/>
      </c>
      <c r="I115" s="6" t="n"/>
      <c r="J115" s="6" t="n"/>
    </row>
  </sheetData>
  <mergeCells count="2">
    <mergeCell ref="A3:N3"/>
    <mergeCell ref="A2:N2"/>
  </mergeCells>
  <dataValidations count="2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_Lists'!$A$6:$A$35</formula1>
    </dataValidation>
    <dataValidation sqref="C6:C115" showDropDown="0" showInputMessage="0" showErrorMessage="0" allowBlank="1" errorTitle="Erreur de saisie" error="Valeur non autorisée" promptTitle="Liste déroulante" prompt="Sélectionnez dans la liste" type="list">
      <formula1>'F02 - _Lists'!$K$6:$K$35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0" customWidth="1" min="5" max="5"/>
    <col width="14" customWidth="1" min="6" max="6"/>
    <col width="18" customWidth="1" min="7" max="7"/>
    <col width="16" customWidth="1" min="8" max="8"/>
    <col width="14" customWidth="1" min="9" max="9"/>
    <col width="32" customWidth="1" min="10" max="10"/>
  </cols>
  <sheetData>
    <row r="2" ht="25" customHeight="1">
      <c r="A2" s="1" t="inlineStr">
        <is>
          <t>DOMAINE 25 — 12-SUIVI FIN DE MISSION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Matricule</t>
        </is>
      </c>
      <c r="B5" s="3" t="inlineStr">
        <is>
          <t>Nom</t>
        </is>
      </c>
      <c r="C5" s="3" t="inlineStr">
        <is>
          <t>Département</t>
        </is>
      </c>
      <c r="D5" s="3" t="inlineStr">
        <is>
          <t>Date Fin Prévue</t>
        </is>
      </c>
      <c r="E5" s="3" t="inlineStr">
        <is>
          <t>Statut Fin Mission</t>
        </is>
      </c>
      <c r="F5" s="3" t="inlineStr">
        <is>
          <t>Date Réelle Fin</t>
        </is>
      </c>
      <c r="G5" s="3" t="inlineStr">
        <is>
          <t>Motif Départ</t>
        </is>
      </c>
      <c r="H5" s="3" t="inlineStr">
        <is>
          <t>Handover Réalisé</t>
        </is>
      </c>
      <c r="I5" s="3" t="inlineStr">
        <is>
          <t>Documents Rendus</t>
        </is>
      </c>
      <c r="J5" s="3" t="inlineStr">
        <is>
          <t>Commentaire</t>
        </is>
      </c>
    </row>
    <row r="6">
      <c r="A6" s="4" t="inlineStr">
        <is>
          <t>EXP-011</t>
        </is>
      </c>
      <c r="B6" s="4" t="inlineStr">
        <is>
          <t>Laurent Marie</t>
        </is>
      </c>
      <c r="C6" s="4" t="inlineStr">
        <is>
          <t>Marketing &amp; Communication</t>
        </is>
      </c>
      <c r="D6" s="5" t="n">
        <v>45657</v>
      </c>
      <c r="E6" s="4" t="inlineStr">
        <is>
          <t>Fin de mission prévue</t>
        </is>
      </c>
      <c r="F6" s="5" t="n">
        <v>45656</v>
      </c>
      <c r="G6" s="4" t="inlineStr">
        <is>
          <t>Fin de contrat</t>
        </is>
      </c>
      <c r="H6" s="4" t="inlineStr">
        <is>
          <t>Oui</t>
        </is>
      </c>
      <c r="I6" s="4" t="inlineStr">
        <is>
          <t>Oui</t>
        </is>
      </c>
      <c r="J6" s="4" t="inlineStr">
        <is>
          <t>Excellente mission, remplacée par Moreau</t>
        </is>
      </c>
    </row>
    <row r="7">
      <c r="A7" s="6" t="inlineStr">
        <is>
          <t>EXP-012</t>
        </is>
      </c>
      <c r="B7" s="6" t="inlineStr">
        <is>
          <t>Fischer Klaus</t>
        </is>
      </c>
      <c r="C7" s="6" t="inlineStr">
        <is>
          <t>Maintenance &amp; Technique</t>
        </is>
      </c>
      <c r="D7" s="7" t="n">
        <v>45596</v>
      </c>
      <c r="E7" s="6" t="inlineStr">
        <is>
          <t>Départ anticipé</t>
        </is>
      </c>
      <c r="F7" s="7" t="n">
        <v>45550</v>
      </c>
      <c r="G7" s="6" t="inlineStr">
        <is>
          <t>Raison personnelle</t>
        </is>
      </c>
      <c r="H7" s="6" t="inlineStr">
        <is>
          <t>Partiel</t>
        </is>
      </c>
      <c r="I7" s="6" t="inlineStr">
        <is>
          <t>Non</t>
        </is>
      </c>
      <c r="J7" s="6" t="inlineStr">
        <is>
          <t>Départ urgent, handover incomplet</t>
        </is>
      </c>
    </row>
    <row r="8">
      <c r="A8" s="4" t="n"/>
      <c r="B8" s="4" t="n"/>
      <c r="C8" s="4">
        <f>IF(A8="","",VLOOKUP(A8,'F01 - _Données Expatriés'!$A$6:$L$15,6,FALSE))</f>
        <v/>
      </c>
      <c r="D8" s="4" t="n"/>
      <c r="E8" s="4" t="n"/>
      <c r="F8" s="4" t="n"/>
      <c r="G8" s="4" t="n"/>
      <c r="H8" s="4" t="n"/>
      <c r="I8" s="4" t="n"/>
      <c r="J8" s="4" t="n"/>
    </row>
    <row r="9">
      <c r="A9" s="6" t="n"/>
      <c r="B9" s="6" t="n"/>
      <c r="C9" s="6">
        <f>IF(A9="","",VLOOKUP(A9,'F01 - _Données Expatriés'!$A$6:$L$15,6,FALSE))</f>
        <v/>
      </c>
      <c r="D9" s="6" t="n"/>
      <c r="E9" s="6" t="n"/>
      <c r="F9" s="6" t="n"/>
      <c r="G9" s="6" t="n"/>
      <c r="H9" s="6" t="n"/>
      <c r="I9" s="6" t="n"/>
      <c r="J9" s="6" t="n"/>
    </row>
    <row r="10">
      <c r="A10" s="4" t="n"/>
      <c r="B10" s="4" t="n"/>
      <c r="C10" s="4">
        <f>IF(A10="","",VLOOKUP(A10,'F01 - _Données Expatriés'!$A$6:$L$15,6,FALSE))</f>
        <v/>
      </c>
      <c r="D10" s="4" t="n"/>
      <c r="E10" s="4" t="n"/>
      <c r="F10" s="4" t="n"/>
      <c r="G10" s="4" t="n"/>
      <c r="H10" s="4" t="n"/>
      <c r="I10" s="4" t="n"/>
      <c r="J10" s="4" t="n"/>
    </row>
    <row r="11">
      <c r="A11" s="6" t="n"/>
      <c r="B11" s="6" t="n"/>
      <c r="C11" s="6">
        <f>IF(A11="","",VLOOKUP(A11,'F01 - _Données Expatriés'!$A$6:$L$15,6,FALSE))</f>
        <v/>
      </c>
      <c r="D11" s="6" t="n"/>
      <c r="E11" s="6" t="n"/>
      <c r="F11" s="6" t="n"/>
      <c r="G11" s="6" t="n"/>
      <c r="H11" s="6" t="n"/>
      <c r="I11" s="6" t="n"/>
      <c r="J11" s="6" t="n"/>
    </row>
    <row r="12">
      <c r="A12" s="4" t="n"/>
      <c r="B12" s="4" t="n"/>
      <c r="C12" s="4">
        <f>IF(A12="","",VLOOKUP(A12,'F01 - _Données Expatriés'!$A$6:$L$15,6,FALSE))</f>
        <v/>
      </c>
      <c r="D12" s="4" t="n"/>
      <c r="E12" s="4" t="n"/>
      <c r="F12" s="4" t="n"/>
      <c r="G12" s="4" t="n"/>
      <c r="H12" s="4" t="n"/>
      <c r="I12" s="4" t="n"/>
      <c r="J12" s="4" t="n"/>
    </row>
    <row r="13">
      <c r="A13" s="6" t="n"/>
      <c r="B13" s="6" t="n"/>
      <c r="C13" s="6">
        <f>IF(A13="","",VLOOKUP(A13,'F01 - _Données Expatriés'!$A$6:$L$15,6,FALSE))</f>
        <v/>
      </c>
      <c r="D13" s="6" t="n"/>
      <c r="E13" s="6" t="n"/>
      <c r="F13" s="6" t="n"/>
      <c r="G13" s="6" t="n"/>
      <c r="H13" s="6" t="n"/>
      <c r="I13" s="6" t="n"/>
      <c r="J13" s="6" t="n"/>
    </row>
    <row r="14">
      <c r="A14" s="4" t="n"/>
      <c r="B14" s="4" t="n"/>
      <c r="C14" s="4">
        <f>IF(A14="","",VLOOKUP(A14,'F01 - _Données Expatriés'!$A$6:$L$15,6,FALSE))</f>
        <v/>
      </c>
      <c r="D14" s="4" t="n"/>
      <c r="E14" s="4" t="n"/>
      <c r="F14" s="4" t="n"/>
      <c r="G14" s="4" t="n"/>
      <c r="H14" s="4" t="n"/>
      <c r="I14" s="4" t="n"/>
      <c r="J14" s="4" t="n"/>
    </row>
    <row r="15">
      <c r="A15" s="6" t="n"/>
      <c r="B15" s="6" t="n"/>
      <c r="C15" s="6">
        <f>IF(A15="","",VLOOKUP(A15,'F01 - _Données Expatriés'!$A$6:$L$15,6,FALSE))</f>
        <v/>
      </c>
      <c r="D15" s="6" t="n"/>
      <c r="E15" s="6" t="n"/>
      <c r="F15" s="6" t="n"/>
      <c r="G15" s="6" t="n"/>
      <c r="H15" s="6" t="n"/>
      <c r="I15" s="6" t="n"/>
      <c r="J15" s="6" t="n"/>
    </row>
    <row r="16">
      <c r="A16" s="4" t="n"/>
      <c r="B16" s="4" t="n"/>
      <c r="C16" s="4">
        <f>IF(A16="","",VLOOKUP(A16,'F01 - _Données Expatriés'!$A$6:$L$15,6,FALSE))</f>
        <v/>
      </c>
      <c r="D16" s="4" t="n"/>
      <c r="E16" s="4" t="n"/>
      <c r="F16" s="4" t="n"/>
      <c r="G16" s="4" t="n"/>
      <c r="H16" s="4" t="n"/>
      <c r="I16" s="4" t="n"/>
      <c r="J16" s="4" t="n"/>
    </row>
    <row r="17">
      <c r="A17" s="6" t="n"/>
      <c r="B17" s="6" t="n"/>
      <c r="C17" s="6">
        <f>IF(A17="","",VLOOKUP(A17,'F01 - _Données Expatriés'!$A$6:$L$15,6,FALSE))</f>
        <v/>
      </c>
      <c r="D17" s="6" t="n"/>
      <c r="E17" s="6" t="n"/>
      <c r="F17" s="6" t="n"/>
      <c r="G17" s="6" t="n"/>
      <c r="H17" s="6" t="n"/>
      <c r="I17" s="6" t="n"/>
      <c r="J17" s="6" t="n"/>
    </row>
    <row r="18">
      <c r="A18" s="4" t="n"/>
      <c r="B18" s="4" t="n"/>
      <c r="C18" s="4">
        <f>IF(A18="","",VLOOKUP(A18,'F01 - _Données Expatriés'!$A$6:$L$15,6,FALSE))</f>
        <v/>
      </c>
      <c r="D18" s="4" t="n"/>
      <c r="E18" s="4" t="n"/>
      <c r="F18" s="4" t="n"/>
      <c r="G18" s="4" t="n"/>
      <c r="H18" s="4" t="n"/>
      <c r="I18" s="4" t="n"/>
      <c r="J18" s="4" t="n"/>
    </row>
    <row r="19">
      <c r="A19" s="6" t="n"/>
      <c r="B19" s="6" t="n"/>
      <c r="C19" s="6">
        <f>IF(A19="","",VLOOKUP(A19,'F01 - _Données Expatriés'!$A$6:$L$15,6,FALSE))</f>
        <v/>
      </c>
      <c r="D19" s="6" t="n"/>
      <c r="E19" s="6" t="n"/>
      <c r="F19" s="6" t="n"/>
      <c r="G19" s="6" t="n"/>
      <c r="H19" s="6" t="n"/>
      <c r="I19" s="6" t="n"/>
      <c r="J19" s="6" t="n"/>
    </row>
    <row r="20">
      <c r="A20" s="4" t="n"/>
      <c r="B20" s="4" t="n"/>
      <c r="C20" s="4">
        <f>IF(A20="","",VLOOKUP(A20,'F01 - _Données Expatriés'!$A$6:$L$15,6,FALSE))</f>
        <v/>
      </c>
      <c r="D20" s="4" t="n"/>
      <c r="E20" s="4" t="n"/>
      <c r="F20" s="4" t="n"/>
      <c r="G20" s="4" t="n"/>
      <c r="H20" s="4" t="n"/>
      <c r="I20" s="4" t="n"/>
      <c r="J20" s="4" t="n"/>
    </row>
    <row r="21">
      <c r="A21" s="6" t="n"/>
      <c r="B21" s="6" t="n"/>
      <c r="C21" s="6">
        <f>IF(A21="","",VLOOKUP(A21,'F01 - _Données Expatriés'!$A$6:$L$15,6,FALSE))</f>
        <v/>
      </c>
      <c r="D21" s="6" t="n"/>
      <c r="E21" s="6" t="n"/>
      <c r="F21" s="6" t="n"/>
      <c r="G21" s="6" t="n"/>
      <c r="H21" s="6" t="n"/>
      <c r="I21" s="6" t="n"/>
      <c r="J21" s="6" t="n"/>
    </row>
    <row r="22">
      <c r="A22" s="4" t="n"/>
      <c r="B22" s="4" t="n"/>
      <c r="C22" s="4">
        <f>IF(A22="","",VLOOKUP(A22,'F01 - _Données Expatriés'!$A$6:$L$15,6,FALSE))</f>
        <v/>
      </c>
      <c r="D22" s="4" t="n"/>
      <c r="E22" s="4" t="n"/>
      <c r="F22" s="4" t="n"/>
      <c r="G22" s="4" t="n"/>
      <c r="H22" s="4" t="n"/>
      <c r="I22" s="4" t="n"/>
      <c r="J22" s="4" t="n"/>
    </row>
    <row r="23">
      <c r="A23" s="6" t="n"/>
      <c r="B23" s="6" t="n"/>
      <c r="C23" s="6">
        <f>IF(A23="","",VLOOKUP(A23,'F01 - _Données Expatriés'!$A$6:$L$15,6,FALSE))</f>
        <v/>
      </c>
      <c r="D23" s="6" t="n"/>
      <c r="E23" s="6" t="n"/>
      <c r="F23" s="6" t="n"/>
      <c r="G23" s="6" t="n"/>
      <c r="H23" s="6" t="n"/>
      <c r="I23" s="6" t="n"/>
      <c r="J23" s="6" t="n"/>
    </row>
    <row r="24">
      <c r="A24" s="4" t="n"/>
      <c r="B24" s="4" t="n"/>
      <c r="C24" s="4">
        <f>IF(A24="","",VLOOKUP(A24,'F01 - _Données Expatriés'!$A$6:$L$15,6,FALSE))</f>
        <v/>
      </c>
      <c r="D24" s="4" t="n"/>
      <c r="E24" s="4" t="n"/>
      <c r="F24" s="4" t="n"/>
      <c r="G24" s="4" t="n"/>
      <c r="H24" s="4" t="n"/>
      <c r="I24" s="4" t="n"/>
      <c r="J24" s="4" t="n"/>
    </row>
    <row r="25">
      <c r="A25" s="6" t="n"/>
      <c r="B25" s="6" t="n"/>
      <c r="C25" s="6">
        <f>IF(A25="","",VLOOKUP(A25,'F01 - _Données Expatriés'!$A$6:$L$15,6,FALSE))</f>
        <v/>
      </c>
      <c r="D25" s="6" t="n"/>
      <c r="E25" s="6" t="n"/>
      <c r="F25" s="6" t="n"/>
      <c r="G25" s="6" t="n"/>
      <c r="H25" s="6" t="n"/>
      <c r="I25" s="6" t="n"/>
      <c r="J25" s="6" t="n"/>
    </row>
    <row r="26">
      <c r="A26" s="4" t="n"/>
      <c r="B26" s="4" t="n"/>
      <c r="C26" s="4">
        <f>IF(A26="","",VLOOKUP(A26,'F01 - _Données Expatriés'!$A$6:$L$15,6,FALSE))</f>
        <v/>
      </c>
      <c r="D26" s="4" t="n"/>
      <c r="E26" s="4" t="n"/>
      <c r="F26" s="4" t="n"/>
      <c r="G26" s="4" t="n"/>
      <c r="H26" s="4" t="n"/>
      <c r="I26" s="4" t="n"/>
      <c r="J26" s="4" t="n"/>
    </row>
    <row r="27">
      <c r="A27" s="6" t="n"/>
      <c r="B27" s="6" t="n"/>
      <c r="C27" s="6">
        <f>IF(A27="","",VLOOKUP(A27,'F01 - _Données Expatriés'!$A$6:$L$15,6,FALSE))</f>
        <v/>
      </c>
      <c r="D27" s="6" t="n"/>
      <c r="E27" s="6" t="n"/>
      <c r="F27" s="6" t="n"/>
      <c r="G27" s="6" t="n"/>
      <c r="H27" s="6" t="n"/>
      <c r="I27" s="6" t="n"/>
      <c r="J27" s="6" t="n"/>
    </row>
    <row r="28">
      <c r="A28" s="4" t="n"/>
      <c r="B28" s="4" t="n"/>
      <c r="C28" s="4">
        <f>IF(A28="","",VLOOKUP(A28,'F01 - _Données Expatriés'!$A$6:$L$15,6,FALSE))</f>
        <v/>
      </c>
      <c r="D28" s="4" t="n"/>
      <c r="E28" s="4" t="n"/>
      <c r="F28" s="4" t="n"/>
      <c r="G28" s="4" t="n"/>
      <c r="H28" s="4" t="n"/>
      <c r="I28" s="4" t="n"/>
      <c r="J28" s="4" t="n"/>
    </row>
    <row r="29">
      <c r="A29" s="6" t="n"/>
      <c r="B29" s="6" t="n"/>
      <c r="C29" s="6">
        <f>IF(A29="","",VLOOKUP(A29,'F01 - _Données Expatriés'!$A$6:$L$15,6,FALSE))</f>
        <v/>
      </c>
      <c r="D29" s="6" t="n"/>
      <c r="E29" s="6" t="n"/>
      <c r="F29" s="6" t="n"/>
      <c r="G29" s="6" t="n"/>
      <c r="H29" s="6" t="n"/>
      <c r="I29" s="6" t="n"/>
      <c r="J29" s="6" t="n"/>
    </row>
    <row r="30">
      <c r="A30" s="4" t="n"/>
      <c r="B30" s="4" t="n"/>
      <c r="C30" s="4">
        <f>IF(A30="","",VLOOKUP(A30,'F01 - _Données Expatriés'!$A$6:$L$15,6,FALSE))</f>
        <v/>
      </c>
      <c r="D30" s="4" t="n"/>
      <c r="E30" s="4" t="n"/>
      <c r="F30" s="4" t="n"/>
      <c r="G30" s="4" t="n"/>
      <c r="H30" s="4" t="n"/>
      <c r="I30" s="4" t="n"/>
      <c r="J30" s="4" t="n"/>
    </row>
    <row r="31">
      <c r="A31" s="6" t="n"/>
      <c r="B31" s="6" t="n"/>
      <c r="C31" s="6">
        <f>IF(A31="","",VLOOKUP(A31,'F01 - _Données Expatriés'!$A$6:$L$15,6,FALSE))</f>
        <v/>
      </c>
      <c r="D31" s="6" t="n"/>
      <c r="E31" s="6" t="n"/>
      <c r="F31" s="6" t="n"/>
      <c r="G31" s="6" t="n"/>
      <c r="H31" s="6" t="n"/>
      <c r="I31" s="6" t="n"/>
      <c r="J31" s="6" t="n"/>
    </row>
    <row r="32">
      <c r="A32" s="4" t="n"/>
      <c r="B32" s="4" t="n"/>
      <c r="C32" s="4">
        <f>IF(A32="","",VLOOKUP(A32,'F01 - _Données Expatriés'!$A$6:$L$15,6,FALSE))</f>
        <v/>
      </c>
      <c r="D32" s="4" t="n"/>
      <c r="E32" s="4" t="n"/>
      <c r="F32" s="4" t="n"/>
      <c r="G32" s="4" t="n"/>
      <c r="H32" s="4" t="n"/>
      <c r="I32" s="4" t="n"/>
      <c r="J32" s="4" t="n"/>
    </row>
    <row r="33">
      <c r="A33" s="6" t="n"/>
      <c r="B33" s="6" t="n"/>
      <c r="C33" s="6">
        <f>IF(A33="","",VLOOKUP(A33,'F01 - _Données Expatriés'!$A$6:$L$15,6,FALSE))</f>
        <v/>
      </c>
      <c r="D33" s="6" t="n"/>
      <c r="E33" s="6" t="n"/>
      <c r="F33" s="6" t="n"/>
      <c r="G33" s="6" t="n"/>
      <c r="H33" s="6" t="n"/>
      <c r="I33" s="6" t="n"/>
      <c r="J33" s="6" t="n"/>
    </row>
    <row r="34">
      <c r="A34" s="4" t="n"/>
      <c r="B34" s="4" t="n"/>
      <c r="C34" s="4">
        <f>IF(A34="","",VLOOKUP(A34,'F01 - _Données Expatriés'!$A$6:$L$15,6,FALSE))</f>
        <v/>
      </c>
      <c r="D34" s="4" t="n"/>
      <c r="E34" s="4" t="n"/>
      <c r="F34" s="4" t="n"/>
      <c r="G34" s="4" t="n"/>
      <c r="H34" s="4" t="n"/>
      <c r="I34" s="4" t="n"/>
      <c r="J34" s="4" t="n"/>
    </row>
    <row r="35">
      <c r="A35" s="6" t="n"/>
      <c r="B35" s="6" t="n"/>
      <c r="C35" s="6">
        <f>IF(A35="","",VLOOKUP(A35,'F01 - _Données Expatriés'!$A$6:$L$15,6,FALSE))</f>
        <v/>
      </c>
      <c r="D35" s="6" t="n"/>
      <c r="E35" s="6" t="n"/>
      <c r="F35" s="6" t="n"/>
      <c r="G35" s="6" t="n"/>
      <c r="H35" s="6" t="n"/>
      <c r="I35" s="6" t="n"/>
      <c r="J35" s="6" t="n"/>
    </row>
    <row r="36">
      <c r="A36" s="4" t="n"/>
      <c r="B36" s="4" t="n"/>
      <c r="C36" s="4">
        <f>IF(A36="","",VLOOKUP(A36,'F01 - _Données Expatriés'!$A$6:$L$15,6,FALSE))</f>
        <v/>
      </c>
      <c r="D36" s="4" t="n"/>
      <c r="E36" s="4" t="n"/>
      <c r="F36" s="4" t="n"/>
      <c r="G36" s="4" t="n"/>
      <c r="H36" s="4" t="n"/>
      <c r="I36" s="4" t="n"/>
      <c r="J36" s="4" t="n"/>
    </row>
    <row r="37">
      <c r="A37" s="6" t="n"/>
      <c r="B37" s="6" t="n"/>
      <c r="C37" s="6">
        <f>IF(A37="","",VLOOKUP(A37,'F01 - _Données Expatriés'!$A$6:$L$15,6,FALSE))</f>
        <v/>
      </c>
      <c r="D37" s="6" t="n"/>
      <c r="E37" s="6" t="n"/>
      <c r="F37" s="6" t="n"/>
      <c r="G37" s="6" t="n"/>
      <c r="H37" s="6" t="n"/>
      <c r="I37" s="6" t="n"/>
      <c r="J37" s="6" t="n"/>
    </row>
    <row r="38">
      <c r="A38" s="4" t="n"/>
      <c r="B38" s="4" t="n"/>
      <c r="C38" s="4">
        <f>IF(A38="","",VLOOKUP(A38,'F01 - _Données Expatriés'!$A$6:$L$15,6,FALSE))</f>
        <v/>
      </c>
      <c r="D38" s="4" t="n"/>
      <c r="E38" s="4" t="n"/>
      <c r="F38" s="4" t="n"/>
      <c r="G38" s="4" t="n"/>
      <c r="H38" s="4" t="n"/>
      <c r="I38" s="4" t="n"/>
      <c r="J38" s="4" t="n"/>
    </row>
    <row r="39">
      <c r="A39" s="6" t="n"/>
      <c r="B39" s="6" t="n"/>
      <c r="C39" s="6">
        <f>IF(A39="","",VLOOKUP(A39,'F01 - _Données Expatriés'!$A$6:$L$15,6,FALSE))</f>
        <v/>
      </c>
      <c r="D39" s="6" t="n"/>
      <c r="E39" s="6" t="n"/>
      <c r="F39" s="6" t="n"/>
      <c r="G39" s="6" t="n"/>
      <c r="H39" s="6" t="n"/>
      <c r="I39" s="6" t="n"/>
      <c r="J39" s="6" t="n"/>
    </row>
    <row r="40">
      <c r="A40" s="4" t="n"/>
      <c r="B40" s="4" t="n"/>
      <c r="C40" s="4">
        <f>IF(A40="","",VLOOKUP(A40,'F01 - _Données Expatriés'!$A$6:$L$15,6,FALSE))</f>
        <v/>
      </c>
      <c r="D40" s="4" t="n"/>
      <c r="E40" s="4" t="n"/>
      <c r="F40" s="4" t="n"/>
      <c r="G40" s="4" t="n"/>
      <c r="H40" s="4" t="n"/>
      <c r="I40" s="4" t="n"/>
      <c r="J40" s="4" t="n"/>
    </row>
    <row r="41">
      <c r="A41" s="6" t="n"/>
      <c r="B41" s="6" t="n"/>
      <c r="C41" s="6">
        <f>IF(A41="","",VLOOKUP(A41,'F01 - _Données Expatriés'!$A$6:$L$15,6,FALSE))</f>
        <v/>
      </c>
      <c r="D41" s="6" t="n"/>
      <c r="E41" s="6" t="n"/>
      <c r="F41" s="6" t="n"/>
      <c r="G41" s="6" t="n"/>
      <c r="H41" s="6" t="n"/>
      <c r="I41" s="6" t="n"/>
      <c r="J41" s="6" t="n"/>
    </row>
    <row r="42">
      <c r="A42" s="4" t="n"/>
      <c r="B42" s="4" t="n"/>
      <c r="C42" s="4">
        <f>IF(A42="","",VLOOKUP(A42,'F01 - _Données Expatriés'!$A$6:$L$15,6,FALSE))</f>
        <v/>
      </c>
      <c r="D42" s="4" t="n"/>
      <c r="E42" s="4" t="n"/>
      <c r="F42" s="4" t="n"/>
      <c r="G42" s="4" t="n"/>
      <c r="H42" s="4" t="n"/>
      <c r="I42" s="4" t="n"/>
      <c r="J42" s="4" t="n"/>
    </row>
    <row r="43">
      <c r="A43" s="6" t="n"/>
      <c r="B43" s="6" t="n"/>
      <c r="C43" s="6">
        <f>IF(A43="","",VLOOKUP(A43,'F01 - _Données Expatriés'!$A$6:$L$15,6,FALSE))</f>
        <v/>
      </c>
      <c r="D43" s="6" t="n"/>
      <c r="E43" s="6" t="n"/>
      <c r="F43" s="6" t="n"/>
      <c r="G43" s="6" t="n"/>
      <c r="H43" s="6" t="n"/>
      <c r="I43" s="6" t="n"/>
      <c r="J43" s="6" t="n"/>
    </row>
    <row r="44">
      <c r="A44" s="4" t="n"/>
      <c r="B44" s="4" t="n"/>
      <c r="C44" s="4">
        <f>IF(A44="","",VLOOKUP(A44,'F01 - _Données Expatriés'!$A$6:$L$15,6,FALSE))</f>
        <v/>
      </c>
      <c r="D44" s="4" t="n"/>
      <c r="E44" s="4" t="n"/>
      <c r="F44" s="4" t="n"/>
      <c r="G44" s="4" t="n"/>
      <c r="H44" s="4" t="n"/>
      <c r="I44" s="4" t="n"/>
      <c r="J44" s="4" t="n"/>
    </row>
    <row r="45">
      <c r="A45" s="6" t="n"/>
      <c r="B45" s="6" t="n"/>
      <c r="C45" s="6">
        <f>IF(A45="","",VLOOKUP(A45,'F01 - _Données Expatriés'!$A$6:$L$15,6,FALSE))</f>
        <v/>
      </c>
      <c r="D45" s="6" t="n"/>
      <c r="E45" s="6" t="n"/>
      <c r="F45" s="6" t="n"/>
      <c r="G45" s="6" t="n"/>
      <c r="H45" s="6" t="n"/>
      <c r="I45" s="6" t="n"/>
      <c r="J45" s="6" t="n"/>
    </row>
    <row r="46">
      <c r="A46" s="4" t="n"/>
      <c r="B46" s="4" t="n"/>
      <c r="C46" s="4">
        <f>IF(A46="","",VLOOKUP(A46,'F01 - _Données Expatriés'!$A$6:$L$15,6,FALSE))</f>
        <v/>
      </c>
      <c r="D46" s="4" t="n"/>
      <c r="E46" s="4" t="n"/>
      <c r="F46" s="4" t="n"/>
      <c r="G46" s="4" t="n"/>
      <c r="H46" s="4" t="n"/>
      <c r="I46" s="4" t="n"/>
      <c r="J46" s="4" t="n"/>
    </row>
    <row r="47">
      <c r="A47" s="6" t="n"/>
      <c r="B47" s="6" t="n"/>
      <c r="C47" s="6">
        <f>IF(A47="","",VLOOKUP(A47,'F01 - _Données Expatriés'!$A$6:$L$15,6,FALSE))</f>
        <v/>
      </c>
      <c r="D47" s="6" t="n"/>
      <c r="E47" s="6" t="n"/>
      <c r="F47" s="6" t="n"/>
      <c r="G47" s="6" t="n"/>
      <c r="H47" s="6" t="n"/>
      <c r="I47" s="6" t="n"/>
      <c r="J47" s="6" t="n"/>
    </row>
    <row r="48">
      <c r="A48" s="4" t="n"/>
      <c r="B48" s="4" t="n"/>
      <c r="C48" s="4">
        <f>IF(A48="","",VLOOKUP(A48,'F01 - _Données Expatriés'!$A$6:$L$15,6,FALSE))</f>
        <v/>
      </c>
      <c r="D48" s="4" t="n"/>
      <c r="E48" s="4" t="n"/>
      <c r="F48" s="4" t="n"/>
      <c r="G48" s="4" t="n"/>
      <c r="H48" s="4" t="n"/>
      <c r="I48" s="4" t="n"/>
      <c r="J48" s="4" t="n"/>
    </row>
    <row r="49">
      <c r="A49" s="6" t="n"/>
      <c r="B49" s="6" t="n"/>
      <c r="C49" s="6">
        <f>IF(A49="","",VLOOKUP(A49,'F01 - _Données Expatriés'!$A$6:$L$15,6,FALSE))</f>
        <v/>
      </c>
      <c r="D49" s="6" t="n"/>
      <c r="E49" s="6" t="n"/>
      <c r="F49" s="6" t="n"/>
      <c r="G49" s="6" t="n"/>
      <c r="H49" s="6" t="n"/>
      <c r="I49" s="6" t="n"/>
      <c r="J49" s="6" t="n"/>
    </row>
    <row r="50">
      <c r="A50" s="4" t="n"/>
      <c r="B50" s="4" t="n"/>
      <c r="C50" s="4">
        <f>IF(A50="","",VLOOKUP(A50,'F01 - _Données Expatriés'!$A$6:$L$15,6,FALSE))</f>
        <v/>
      </c>
      <c r="D50" s="4" t="n"/>
      <c r="E50" s="4" t="n"/>
      <c r="F50" s="4" t="n"/>
      <c r="G50" s="4" t="n"/>
      <c r="H50" s="4" t="n"/>
      <c r="I50" s="4" t="n"/>
      <c r="J50" s="4" t="n"/>
    </row>
    <row r="51">
      <c r="A51" s="6" t="n"/>
      <c r="B51" s="6" t="n"/>
      <c r="C51" s="6">
        <f>IF(A51="","",VLOOKUP(A51,'F01 - _Données Expatriés'!$A$6:$L$15,6,FALSE))</f>
        <v/>
      </c>
      <c r="D51" s="6" t="n"/>
      <c r="E51" s="6" t="n"/>
      <c r="F51" s="6" t="n"/>
      <c r="G51" s="6" t="n"/>
      <c r="H51" s="6" t="n"/>
      <c r="I51" s="6" t="n"/>
      <c r="J51" s="6" t="n"/>
    </row>
    <row r="52">
      <c r="A52" s="4" t="n"/>
      <c r="B52" s="4" t="n"/>
      <c r="C52" s="4">
        <f>IF(A52="","",VLOOKUP(A52,'F01 - _Données Expatriés'!$A$6:$L$15,6,FALSE))</f>
        <v/>
      </c>
      <c r="D52" s="4" t="n"/>
      <c r="E52" s="4" t="n"/>
      <c r="F52" s="4" t="n"/>
      <c r="G52" s="4" t="n"/>
      <c r="H52" s="4" t="n"/>
      <c r="I52" s="4" t="n"/>
      <c r="J52" s="4" t="n"/>
    </row>
    <row r="53">
      <c r="A53" s="6" t="n"/>
      <c r="B53" s="6" t="n"/>
      <c r="C53" s="6">
        <f>IF(A53="","",VLOOKUP(A53,'F01 - _Données Expatriés'!$A$6:$L$15,6,FALSE))</f>
        <v/>
      </c>
      <c r="D53" s="6" t="n"/>
      <c r="E53" s="6" t="n"/>
      <c r="F53" s="6" t="n"/>
      <c r="G53" s="6" t="n"/>
      <c r="H53" s="6" t="n"/>
      <c r="I53" s="6" t="n"/>
      <c r="J53" s="6" t="n"/>
    </row>
    <row r="54">
      <c r="A54" s="4" t="n"/>
      <c r="B54" s="4" t="n"/>
      <c r="C54" s="4">
        <f>IF(A54="","",VLOOKUP(A54,'F01 - _Données Expatriés'!$A$6:$L$15,6,FALSE))</f>
        <v/>
      </c>
      <c r="D54" s="4" t="n"/>
      <c r="E54" s="4" t="n"/>
      <c r="F54" s="4" t="n"/>
      <c r="G54" s="4" t="n"/>
      <c r="H54" s="4" t="n"/>
      <c r="I54" s="4" t="n"/>
      <c r="J54" s="4" t="n"/>
    </row>
    <row r="55">
      <c r="A55" s="6" t="n"/>
      <c r="B55" s="6" t="n"/>
      <c r="C55" s="6">
        <f>IF(A55="","",VLOOKUP(A55,'F01 - _Données Expatriés'!$A$6:$L$15,6,FALSE))</f>
        <v/>
      </c>
      <c r="D55" s="6" t="n"/>
      <c r="E55" s="6" t="n"/>
      <c r="F55" s="6" t="n"/>
      <c r="G55" s="6" t="n"/>
      <c r="H55" s="6" t="n"/>
      <c r="I55" s="6" t="n"/>
      <c r="J55" s="6" t="n"/>
    </row>
    <row r="56">
      <c r="A56" s="4" t="n"/>
      <c r="B56" s="4" t="n"/>
      <c r="C56" s="4">
        <f>IF(A56="","",VLOOKUP(A56,'F01 - _Données Expatriés'!$A$6:$L$15,6,FALSE))</f>
        <v/>
      </c>
      <c r="D56" s="4" t="n"/>
      <c r="E56" s="4" t="n"/>
      <c r="F56" s="4" t="n"/>
      <c r="G56" s="4" t="n"/>
      <c r="H56" s="4" t="n"/>
      <c r="I56" s="4" t="n"/>
      <c r="J56" s="4" t="n"/>
    </row>
    <row r="57">
      <c r="A57" s="6" t="n"/>
      <c r="B57" s="6" t="n"/>
      <c r="C57" s="6">
        <f>IF(A57="","",VLOOKUP(A57,'F01 - _Données Expatriés'!$A$6:$L$15,6,FALSE))</f>
        <v/>
      </c>
      <c r="D57" s="6" t="n"/>
      <c r="E57" s="6" t="n"/>
      <c r="F57" s="6" t="n"/>
      <c r="G57" s="6" t="n"/>
      <c r="H57" s="6" t="n"/>
      <c r="I57" s="6" t="n"/>
      <c r="J57" s="6" t="n"/>
    </row>
    <row r="58">
      <c r="A58" s="4" t="n"/>
      <c r="B58" s="4" t="n"/>
      <c r="C58" s="4">
        <f>IF(A58="","",VLOOKUP(A58,'F01 - _Données Expatriés'!$A$6:$L$15,6,FALSE))</f>
        <v/>
      </c>
      <c r="D58" s="4" t="n"/>
      <c r="E58" s="4" t="n"/>
      <c r="F58" s="4" t="n"/>
      <c r="G58" s="4" t="n"/>
      <c r="H58" s="4" t="n"/>
      <c r="I58" s="4" t="n"/>
      <c r="J58" s="4" t="n"/>
    </row>
    <row r="59">
      <c r="A59" s="6" t="n"/>
      <c r="B59" s="6" t="n"/>
      <c r="C59" s="6">
        <f>IF(A59="","",VLOOKUP(A59,'F01 - _Données Expatriés'!$A$6:$L$15,6,FALSE))</f>
        <v/>
      </c>
      <c r="D59" s="6" t="n"/>
      <c r="E59" s="6" t="n"/>
      <c r="F59" s="6" t="n"/>
      <c r="G59" s="6" t="n"/>
      <c r="H59" s="6" t="n"/>
      <c r="I59" s="6" t="n"/>
      <c r="J59" s="6" t="n"/>
    </row>
    <row r="60">
      <c r="A60" s="4" t="n"/>
      <c r="B60" s="4" t="n"/>
      <c r="C60" s="4">
        <f>IF(A60="","",VLOOKUP(A60,'F01 - _Données Expatriés'!$A$6:$L$15,6,FALSE))</f>
        <v/>
      </c>
      <c r="D60" s="4" t="n"/>
      <c r="E60" s="4" t="n"/>
      <c r="F60" s="4" t="n"/>
      <c r="G60" s="4" t="n"/>
      <c r="H60" s="4" t="n"/>
      <c r="I60" s="4" t="n"/>
      <c r="J60" s="4" t="n"/>
    </row>
    <row r="61">
      <c r="A61" s="6" t="n"/>
      <c r="B61" s="6" t="n"/>
      <c r="C61" s="6">
        <f>IF(A61="","",VLOOKUP(A61,'F01 - _Données Expatriés'!$A$6:$L$15,6,FALSE))</f>
        <v/>
      </c>
      <c r="D61" s="6" t="n"/>
      <c r="E61" s="6" t="n"/>
      <c r="F61" s="6" t="n"/>
      <c r="G61" s="6" t="n"/>
      <c r="H61" s="6" t="n"/>
      <c r="I61" s="6" t="n"/>
      <c r="J61" s="6" t="n"/>
    </row>
    <row r="62">
      <c r="A62" s="4" t="n"/>
      <c r="B62" s="4" t="n"/>
      <c r="C62" s="4">
        <f>IF(A62="","",VLOOKUP(A62,'F01 - _Données Expatriés'!$A$6:$L$15,6,FALSE))</f>
        <v/>
      </c>
      <c r="D62" s="4" t="n"/>
      <c r="E62" s="4" t="n"/>
      <c r="F62" s="4" t="n"/>
      <c r="G62" s="4" t="n"/>
      <c r="H62" s="4" t="n"/>
      <c r="I62" s="4" t="n"/>
      <c r="J62" s="4" t="n"/>
    </row>
    <row r="63">
      <c r="A63" s="6" t="n"/>
      <c r="B63" s="6" t="n"/>
      <c r="C63" s="6">
        <f>IF(A63="","",VLOOKUP(A63,'F01 - _Données Expatriés'!$A$6:$L$15,6,FALSE))</f>
        <v/>
      </c>
      <c r="D63" s="6" t="n"/>
      <c r="E63" s="6" t="n"/>
      <c r="F63" s="6" t="n"/>
      <c r="G63" s="6" t="n"/>
      <c r="H63" s="6" t="n"/>
      <c r="I63" s="6" t="n"/>
      <c r="J63" s="6" t="n"/>
    </row>
    <row r="64">
      <c r="A64" s="4" t="n"/>
      <c r="B64" s="4" t="n"/>
      <c r="C64" s="4">
        <f>IF(A64="","",VLOOKUP(A64,'F01 - _Données Expatriés'!$A$6:$L$15,6,FALSE))</f>
        <v/>
      </c>
      <c r="D64" s="4" t="n"/>
      <c r="E64" s="4" t="n"/>
      <c r="F64" s="4" t="n"/>
      <c r="G64" s="4" t="n"/>
      <c r="H64" s="4" t="n"/>
      <c r="I64" s="4" t="n"/>
      <c r="J64" s="4" t="n"/>
    </row>
    <row r="65">
      <c r="A65" s="6" t="n"/>
      <c r="B65" s="6" t="n"/>
      <c r="C65" s="6">
        <f>IF(A65="","",VLOOKUP(A65,'F01 - _Données Expatriés'!$A$6:$L$15,6,FALSE))</f>
        <v/>
      </c>
      <c r="D65" s="6" t="n"/>
      <c r="E65" s="6" t="n"/>
      <c r="F65" s="6" t="n"/>
      <c r="G65" s="6" t="n"/>
      <c r="H65" s="6" t="n"/>
      <c r="I65" s="6" t="n"/>
      <c r="J65" s="6" t="n"/>
    </row>
    <row r="66">
      <c r="A66" s="4" t="n"/>
      <c r="B66" s="4" t="n"/>
      <c r="C66" s="4">
        <f>IF(A66="","",VLOOKUP(A66,'F01 - _Données Expatriés'!$A$6:$L$15,6,FALSE))</f>
        <v/>
      </c>
      <c r="D66" s="4" t="n"/>
      <c r="E66" s="4" t="n"/>
      <c r="F66" s="4" t="n"/>
      <c r="G66" s="4" t="n"/>
      <c r="H66" s="4" t="n"/>
      <c r="I66" s="4" t="n"/>
      <c r="J66" s="4" t="n"/>
    </row>
    <row r="67">
      <c r="A67" s="6" t="n"/>
      <c r="B67" s="6" t="n"/>
      <c r="C67" s="6">
        <f>IF(A67="","",VLOOKUP(A67,'F01 - _Données Expatriés'!$A$6:$L$15,6,FALSE))</f>
        <v/>
      </c>
      <c r="D67" s="6" t="n"/>
      <c r="E67" s="6" t="n"/>
      <c r="F67" s="6" t="n"/>
      <c r="G67" s="6" t="n"/>
      <c r="H67" s="6" t="n"/>
      <c r="I67" s="6" t="n"/>
      <c r="J67" s="6" t="n"/>
    </row>
    <row r="68">
      <c r="A68" s="4" t="n"/>
      <c r="B68" s="4" t="n"/>
      <c r="C68" s="4">
        <f>IF(A68="","",VLOOKUP(A68,'F01 - _Données Expatriés'!$A$6:$L$15,6,FALSE))</f>
        <v/>
      </c>
      <c r="D68" s="4" t="n"/>
      <c r="E68" s="4" t="n"/>
      <c r="F68" s="4" t="n"/>
      <c r="G68" s="4" t="n"/>
      <c r="H68" s="4" t="n"/>
      <c r="I68" s="4" t="n"/>
      <c r="J68" s="4" t="n"/>
    </row>
    <row r="69">
      <c r="A69" s="6" t="n"/>
      <c r="B69" s="6" t="n"/>
      <c r="C69" s="6">
        <f>IF(A69="","",VLOOKUP(A69,'F01 - _Données Expatriés'!$A$6:$L$15,6,FALSE))</f>
        <v/>
      </c>
      <c r="D69" s="6" t="n"/>
      <c r="E69" s="6" t="n"/>
      <c r="F69" s="6" t="n"/>
      <c r="G69" s="6" t="n"/>
      <c r="H69" s="6" t="n"/>
      <c r="I69" s="6" t="n"/>
      <c r="J69" s="6" t="n"/>
    </row>
    <row r="70">
      <c r="A70" s="4" t="n"/>
      <c r="B70" s="4" t="n"/>
      <c r="C70" s="4">
        <f>IF(A70="","",VLOOKUP(A70,'F01 - _Données Expatriés'!$A$6:$L$15,6,FALSE))</f>
        <v/>
      </c>
      <c r="D70" s="4" t="n"/>
      <c r="E70" s="4" t="n"/>
      <c r="F70" s="4" t="n"/>
      <c r="G70" s="4" t="n"/>
      <c r="H70" s="4" t="n"/>
      <c r="I70" s="4" t="n"/>
      <c r="J70" s="4" t="n"/>
    </row>
    <row r="71">
      <c r="A71" s="6" t="n"/>
      <c r="B71" s="6" t="n"/>
      <c r="C71" s="6">
        <f>IF(A71="","",VLOOKUP(A71,'F01 - _Données Expatriés'!$A$6:$L$15,6,FALSE))</f>
        <v/>
      </c>
      <c r="D71" s="6" t="n"/>
      <c r="E71" s="6" t="n"/>
      <c r="F71" s="6" t="n"/>
      <c r="G71" s="6" t="n"/>
      <c r="H71" s="6" t="n"/>
      <c r="I71" s="6" t="n"/>
      <c r="J71" s="6" t="n"/>
    </row>
    <row r="72">
      <c r="A72" s="4" t="n"/>
      <c r="B72" s="4" t="n"/>
      <c r="C72" s="4">
        <f>IF(A72="","",VLOOKUP(A72,'F01 - _Données Expatriés'!$A$6:$L$15,6,FALSE))</f>
        <v/>
      </c>
      <c r="D72" s="4" t="n"/>
      <c r="E72" s="4" t="n"/>
      <c r="F72" s="4" t="n"/>
      <c r="G72" s="4" t="n"/>
      <c r="H72" s="4" t="n"/>
      <c r="I72" s="4" t="n"/>
      <c r="J72" s="4" t="n"/>
    </row>
    <row r="73">
      <c r="A73" s="6" t="n"/>
      <c r="B73" s="6" t="n"/>
      <c r="C73" s="6">
        <f>IF(A73="","",VLOOKUP(A73,'F01 - _Données Expatriés'!$A$6:$L$15,6,FALSE))</f>
        <v/>
      </c>
      <c r="D73" s="6" t="n"/>
      <c r="E73" s="6" t="n"/>
      <c r="F73" s="6" t="n"/>
      <c r="G73" s="6" t="n"/>
      <c r="H73" s="6" t="n"/>
      <c r="I73" s="6" t="n"/>
      <c r="J73" s="6" t="n"/>
    </row>
    <row r="74">
      <c r="A74" s="4" t="n"/>
      <c r="B74" s="4" t="n"/>
      <c r="C74" s="4">
        <f>IF(A74="","",VLOOKUP(A74,'F01 - _Données Expatriés'!$A$6:$L$15,6,FALSE))</f>
        <v/>
      </c>
      <c r="D74" s="4" t="n"/>
      <c r="E74" s="4" t="n"/>
      <c r="F74" s="4" t="n"/>
      <c r="G74" s="4" t="n"/>
      <c r="H74" s="4" t="n"/>
      <c r="I74" s="4" t="n"/>
      <c r="J74" s="4" t="n"/>
    </row>
    <row r="75">
      <c r="A75" s="6" t="n"/>
      <c r="B75" s="6" t="n"/>
      <c r="C75" s="6">
        <f>IF(A75="","",VLOOKUP(A75,'F01 - _Données Expatriés'!$A$6:$L$15,6,FALSE))</f>
        <v/>
      </c>
      <c r="D75" s="6" t="n"/>
      <c r="E75" s="6" t="n"/>
      <c r="F75" s="6" t="n"/>
      <c r="G75" s="6" t="n"/>
      <c r="H75" s="6" t="n"/>
      <c r="I75" s="6" t="n"/>
      <c r="J75" s="6" t="n"/>
    </row>
    <row r="76">
      <c r="A76" s="4" t="n"/>
      <c r="B76" s="4" t="n"/>
      <c r="C76" s="4">
        <f>IF(A76="","",VLOOKUP(A76,'F01 - _Données Expatriés'!$A$6:$L$15,6,FALSE))</f>
        <v/>
      </c>
      <c r="D76" s="4" t="n"/>
      <c r="E76" s="4" t="n"/>
      <c r="F76" s="4" t="n"/>
      <c r="G76" s="4" t="n"/>
      <c r="H76" s="4" t="n"/>
      <c r="I76" s="4" t="n"/>
      <c r="J76" s="4" t="n"/>
    </row>
    <row r="77">
      <c r="A77" s="6" t="n"/>
      <c r="B77" s="6" t="n"/>
      <c r="C77" s="6">
        <f>IF(A77="","",VLOOKUP(A77,'F01 - _Données Expatriés'!$A$6:$L$15,6,FALSE))</f>
        <v/>
      </c>
      <c r="D77" s="6" t="n"/>
      <c r="E77" s="6" t="n"/>
      <c r="F77" s="6" t="n"/>
      <c r="G77" s="6" t="n"/>
      <c r="H77" s="6" t="n"/>
      <c r="I77" s="6" t="n"/>
      <c r="J77" s="6" t="n"/>
    </row>
    <row r="78">
      <c r="A78" s="4" t="n"/>
      <c r="B78" s="4" t="n"/>
      <c r="C78" s="4">
        <f>IF(A78="","",VLOOKUP(A78,'F01 - _Données Expatriés'!$A$6:$L$15,6,FALSE))</f>
        <v/>
      </c>
      <c r="D78" s="4" t="n"/>
      <c r="E78" s="4" t="n"/>
      <c r="F78" s="4" t="n"/>
      <c r="G78" s="4" t="n"/>
      <c r="H78" s="4" t="n"/>
      <c r="I78" s="4" t="n"/>
      <c r="J78" s="4" t="n"/>
    </row>
    <row r="79">
      <c r="A79" s="6" t="n"/>
      <c r="B79" s="6" t="n"/>
      <c r="C79" s="6">
        <f>IF(A79="","",VLOOKUP(A79,'F01 - _Données Expatriés'!$A$6:$L$15,6,FALSE))</f>
        <v/>
      </c>
      <c r="D79" s="6" t="n"/>
      <c r="E79" s="6" t="n"/>
      <c r="F79" s="6" t="n"/>
      <c r="G79" s="6" t="n"/>
      <c r="H79" s="6" t="n"/>
      <c r="I79" s="6" t="n"/>
      <c r="J79" s="6" t="n"/>
    </row>
    <row r="80">
      <c r="A80" s="4" t="n"/>
      <c r="B80" s="4" t="n"/>
      <c r="C80" s="4">
        <f>IF(A80="","",VLOOKUP(A80,'F01 - _Données Expatriés'!$A$6:$L$15,6,FALSE))</f>
        <v/>
      </c>
      <c r="D80" s="4" t="n"/>
      <c r="E80" s="4" t="n"/>
      <c r="F80" s="4" t="n"/>
      <c r="G80" s="4" t="n"/>
      <c r="H80" s="4" t="n"/>
      <c r="I80" s="4" t="n"/>
      <c r="J80" s="4" t="n"/>
    </row>
    <row r="81">
      <c r="A81" s="6" t="n"/>
      <c r="B81" s="6" t="n"/>
      <c r="C81" s="6">
        <f>IF(A81="","",VLOOKUP(A81,'F01 - _Données Expatriés'!$A$6:$L$15,6,FALSE))</f>
        <v/>
      </c>
      <c r="D81" s="6" t="n"/>
      <c r="E81" s="6" t="n"/>
      <c r="F81" s="6" t="n"/>
      <c r="G81" s="6" t="n"/>
      <c r="H81" s="6" t="n"/>
      <c r="I81" s="6" t="n"/>
      <c r="J81" s="6" t="n"/>
    </row>
    <row r="82">
      <c r="A82" s="4" t="n"/>
      <c r="B82" s="4" t="n"/>
      <c r="C82" s="4">
        <f>IF(A82="","",VLOOKUP(A82,'F01 - _Données Expatriés'!$A$6:$L$15,6,FALSE))</f>
        <v/>
      </c>
      <c r="D82" s="4" t="n"/>
      <c r="E82" s="4" t="n"/>
      <c r="F82" s="4" t="n"/>
      <c r="G82" s="4" t="n"/>
      <c r="H82" s="4" t="n"/>
      <c r="I82" s="4" t="n"/>
      <c r="J82" s="4" t="n"/>
    </row>
    <row r="83">
      <c r="A83" s="6" t="n"/>
      <c r="B83" s="6" t="n"/>
      <c r="C83" s="6">
        <f>IF(A83="","",VLOOKUP(A83,'F01 - _Données Expatriés'!$A$6:$L$15,6,FALSE))</f>
        <v/>
      </c>
      <c r="D83" s="6" t="n"/>
      <c r="E83" s="6" t="n"/>
      <c r="F83" s="6" t="n"/>
      <c r="G83" s="6" t="n"/>
      <c r="H83" s="6" t="n"/>
      <c r="I83" s="6" t="n"/>
      <c r="J83" s="6" t="n"/>
    </row>
    <row r="84">
      <c r="A84" s="4" t="n"/>
      <c r="B84" s="4" t="n"/>
      <c r="C84" s="4">
        <f>IF(A84="","",VLOOKUP(A84,'F01 - _Données Expatriés'!$A$6:$L$15,6,FALSE))</f>
        <v/>
      </c>
      <c r="D84" s="4" t="n"/>
      <c r="E84" s="4" t="n"/>
      <c r="F84" s="4" t="n"/>
      <c r="G84" s="4" t="n"/>
      <c r="H84" s="4" t="n"/>
      <c r="I84" s="4" t="n"/>
      <c r="J84" s="4" t="n"/>
    </row>
    <row r="85">
      <c r="A85" s="6" t="n"/>
      <c r="B85" s="6" t="n"/>
      <c r="C85" s="6">
        <f>IF(A85="","",VLOOKUP(A85,'F01 - _Données Expatriés'!$A$6:$L$15,6,FALSE))</f>
        <v/>
      </c>
      <c r="D85" s="6" t="n"/>
      <c r="E85" s="6" t="n"/>
      <c r="F85" s="6" t="n"/>
      <c r="G85" s="6" t="n"/>
      <c r="H85" s="6" t="n"/>
      <c r="I85" s="6" t="n"/>
      <c r="J85" s="6" t="n"/>
    </row>
    <row r="86">
      <c r="A86" s="4" t="n"/>
      <c r="B86" s="4" t="n"/>
      <c r="C86" s="4">
        <f>IF(A86="","",VLOOKUP(A86,'F01 - _Données Expatriés'!$A$6:$L$15,6,FALSE))</f>
        <v/>
      </c>
      <c r="D86" s="4" t="n"/>
      <c r="E86" s="4" t="n"/>
      <c r="F86" s="4" t="n"/>
      <c r="G86" s="4" t="n"/>
      <c r="H86" s="4" t="n"/>
      <c r="I86" s="4" t="n"/>
      <c r="J86" s="4" t="n"/>
    </row>
    <row r="87">
      <c r="A87" s="6" t="n"/>
      <c r="B87" s="6" t="n"/>
      <c r="C87" s="6">
        <f>IF(A87="","",VLOOKUP(A87,'F01 - _Données Expatriés'!$A$6:$L$15,6,FALSE))</f>
        <v/>
      </c>
      <c r="D87" s="6" t="n"/>
      <c r="E87" s="6" t="n"/>
      <c r="F87" s="6" t="n"/>
      <c r="G87" s="6" t="n"/>
      <c r="H87" s="6" t="n"/>
      <c r="I87" s="6" t="n"/>
      <c r="J87" s="6" t="n"/>
    </row>
    <row r="88">
      <c r="A88" s="4" t="n"/>
      <c r="B88" s="4" t="n"/>
      <c r="C88" s="4">
        <f>IF(A88="","",VLOOKUP(A88,'F01 - _Données Expatriés'!$A$6:$L$15,6,FALSE))</f>
        <v/>
      </c>
      <c r="D88" s="4" t="n"/>
      <c r="E88" s="4" t="n"/>
      <c r="F88" s="4" t="n"/>
      <c r="G88" s="4" t="n"/>
      <c r="H88" s="4" t="n"/>
      <c r="I88" s="4" t="n"/>
      <c r="J88" s="4" t="n"/>
    </row>
    <row r="89">
      <c r="A89" s="6" t="n"/>
      <c r="B89" s="6" t="n"/>
      <c r="C89" s="6">
        <f>IF(A89="","",VLOOKUP(A89,'F01 - _Données Expatriés'!$A$6:$L$15,6,FALSE))</f>
        <v/>
      </c>
      <c r="D89" s="6" t="n"/>
      <c r="E89" s="6" t="n"/>
      <c r="F89" s="6" t="n"/>
      <c r="G89" s="6" t="n"/>
      <c r="H89" s="6" t="n"/>
      <c r="I89" s="6" t="n"/>
      <c r="J89" s="6" t="n"/>
    </row>
    <row r="90">
      <c r="A90" s="4" t="n"/>
      <c r="B90" s="4" t="n"/>
      <c r="C90" s="4">
        <f>IF(A90="","",VLOOKUP(A90,'F01 - _Données Expatriés'!$A$6:$L$15,6,FALSE))</f>
        <v/>
      </c>
      <c r="D90" s="4" t="n"/>
      <c r="E90" s="4" t="n"/>
      <c r="F90" s="4" t="n"/>
      <c r="G90" s="4" t="n"/>
      <c r="H90" s="4" t="n"/>
      <c r="I90" s="4" t="n"/>
      <c r="J90" s="4" t="n"/>
    </row>
    <row r="91">
      <c r="A91" s="6" t="n"/>
      <c r="B91" s="6" t="n"/>
      <c r="C91" s="6">
        <f>IF(A91="","",VLOOKUP(A91,'F01 - _Données Expatriés'!$A$6:$L$15,6,FALSE))</f>
        <v/>
      </c>
      <c r="D91" s="6" t="n"/>
      <c r="E91" s="6" t="n"/>
      <c r="F91" s="6" t="n"/>
      <c r="G91" s="6" t="n"/>
      <c r="H91" s="6" t="n"/>
      <c r="I91" s="6" t="n"/>
      <c r="J91" s="6" t="n"/>
    </row>
    <row r="92">
      <c r="A92" s="4" t="n"/>
      <c r="B92" s="4" t="n"/>
      <c r="C92" s="4">
        <f>IF(A92="","",VLOOKUP(A92,'F01 - _Données Expatriés'!$A$6:$L$15,6,FALSE))</f>
        <v/>
      </c>
      <c r="D92" s="4" t="n"/>
      <c r="E92" s="4" t="n"/>
      <c r="F92" s="4" t="n"/>
      <c r="G92" s="4" t="n"/>
      <c r="H92" s="4" t="n"/>
      <c r="I92" s="4" t="n"/>
      <c r="J92" s="4" t="n"/>
    </row>
    <row r="93">
      <c r="A93" s="6" t="n"/>
      <c r="B93" s="6" t="n"/>
      <c r="C93" s="6">
        <f>IF(A93="","",VLOOKUP(A93,'F01 - _Données Expatriés'!$A$6:$L$15,6,FALSE))</f>
        <v/>
      </c>
      <c r="D93" s="6" t="n"/>
      <c r="E93" s="6" t="n"/>
      <c r="F93" s="6" t="n"/>
      <c r="G93" s="6" t="n"/>
      <c r="H93" s="6" t="n"/>
      <c r="I93" s="6" t="n"/>
      <c r="J93" s="6" t="n"/>
    </row>
    <row r="94">
      <c r="A94" s="4" t="n"/>
      <c r="B94" s="4" t="n"/>
      <c r="C94" s="4">
        <f>IF(A94="","",VLOOKUP(A94,'F01 - _Données Expatriés'!$A$6:$L$15,6,FALSE))</f>
        <v/>
      </c>
      <c r="D94" s="4" t="n"/>
      <c r="E94" s="4" t="n"/>
      <c r="F94" s="4" t="n"/>
      <c r="G94" s="4" t="n"/>
      <c r="H94" s="4" t="n"/>
      <c r="I94" s="4" t="n"/>
      <c r="J94" s="4" t="n"/>
    </row>
    <row r="95">
      <c r="A95" s="6" t="n"/>
      <c r="B95" s="6" t="n"/>
      <c r="C95" s="6">
        <f>IF(A95="","",VLOOKUP(A95,'F01 - _Données Expatriés'!$A$6:$L$15,6,FALSE))</f>
        <v/>
      </c>
      <c r="D95" s="6" t="n"/>
      <c r="E95" s="6" t="n"/>
      <c r="F95" s="6" t="n"/>
      <c r="G95" s="6" t="n"/>
      <c r="H95" s="6" t="n"/>
      <c r="I95" s="6" t="n"/>
      <c r="J95" s="6" t="n"/>
    </row>
    <row r="96">
      <c r="A96" s="4" t="n"/>
      <c r="B96" s="4" t="n"/>
      <c r="C96" s="4">
        <f>IF(A96="","",VLOOKUP(A96,'F01 - _Données Expatriés'!$A$6:$L$15,6,FALSE))</f>
        <v/>
      </c>
      <c r="D96" s="4" t="n"/>
      <c r="E96" s="4" t="n"/>
      <c r="F96" s="4" t="n"/>
      <c r="G96" s="4" t="n"/>
      <c r="H96" s="4" t="n"/>
      <c r="I96" s="4" t="n"/>
      <c r="J96" s="4" t="n"/>
    </row>
    <row r="97">
      <c r="A97" s="6" t="n"/>
      <c r="B97" s="6" t="n"/>
      <c r="C97" s="6">
        <f>IF(A97="","",VLOOKUP(A97,'F01 - _Données Expatriés'!$A$6:$L$15,6,FALSE))</f>
        <v/>
      </c>
      <c r="D97" s="6" t="n"/>
      <c r="E97" s="6" t="n"/>
      <c r="F97" s="6" t="n"/>
      <c r="G97" s="6" t="n"/>
      <c r="H97" s="6" t="n"/>
      <c r="I97" s="6" t="n"/>
      <c r="J97" s="6" t="n"/>
    </row>
    <row r="98">
      <c r="A98" s="4" t="n"/>
      <c r="B98" s="4" t="n"/>
      <c r="C98" s="4">
        <f>IF(A98="","",VLOOKUP(A98,'F01 - _Données Expatriés'!$A$6:$L$15,6,FALSE))</f>
        <v/>
      </c>
      <c r="D98" s="4" t="n"/>
      <c r="E98" s="4" t="n"/>
      <c r="F98" s="4" t="n"/>
      <c r="G98" s="4" t="n"/>
      <c r="H98" s="4" t="n"/>
      <c r="I98" s="4" t="n"/>
      <c r="J98" s="4" t="n"/>
    </row>
    <row r="99">
      <c r="A99" s="6" t="n"/>
      <c r="B99" s="6" t="n"/>
      <c r="C99" s="6">
        <f>IF(A99="","",VLOOKUP(A99,'F01 - _Données Expatriés'!$A$6:$L$15,6,FALSE))</f>
        <v/>
      </c>
      <c r="D99" s="6" t="n"/>
      <c r="E99" s="6" t="n"/>
      <c r="F99" s="6" t="n"/>
      <c r="G99" s="6" t="n"/>
      <c r="H99" s="6" t="n"/>
      <c r="I99" s="6" t="n"/>
      <c r="J99" s="6" t="n"/>
    </row>
    <row r="100">
      <c r="A100" s="4" t="n"/>
      <c r="B100" s="4" t="n"/>
      <c r="C100" s="4">
        <f>IF(A100="","",VLOOKUP(A100,'F01 - _Données Expatriés'!$A$6:$L$15,6,FALSE))</f>
        <v/>
      </c>
      <c r="D100" s="4" t="n"/>
      <c r="E100" s="4" t="n"/>
      <c r="F100" s="4" t="n"/>
      <c r="G100" s="4" t="n"/>
      <c r="H100" s="4" t="n"/>
      <c r="I100" s="4" t="n"/>
      <c r="J100" s="4" t="n"/>
    </row>
    <row r="101">
      <c r="A101" s="6" t="n"/>
      <c r="B101" s="6" t="n"/>
      <c r="C101" s="6">
        <f>IF(A101="","",VLOOKUP(A101,'F01 - _Données Expatriés'!$A$6:$L$15,6,FALSE))</f>
        <v/>
      </c>
      <c r="D101" s="6" t="n"/>
      <c r="E101" s="6" t="n"/>
      <c r="F101" s="6" t="n"/>
      <c r="G101" s="6" t="n"/>
      <c r="H101" s="6" t="n"/>
      <c r="I101" s="6" t="n"/>
      <c r="J101" s="6" t="n"/>
    </row>
    <row r="102">
      <c r="A102" s="4" t="n"/>
      <c r="B102" s="4" t="n"/>
      <c r="C102" s="4">
        <f>IF(A102="","",VLOOKUP(A102,'F01 - _Données Expatriés'!$A$6:$L$15,6,FALSE))</f>
        <v/>
      </c>
      <c r="D102" s="4" t="n"/>
      <c r="E102" s="4" t="n"/>
      <c r="F102" s="4" t="n"/>
      <c r="G102" s="4" t="n"/>
      <c r="H102" s="4" t="n"/>
      <c r="I102" s="4" t="n"/>
      <c r="J102" s="4" t="n"/>
    </row>
    <row r="103">
      <c r="A103" s="6" t="n"/>
      <c r="B103" s="6" t="n"/>
      <c r="C103" s="6">
        <f>IF(A103="","",VLOOKUP(A103,'F01 - _Données Expatriés'!$A$6:$L$15,6,FALSE))</f>
        <v/>
      </c>
      <c r="D103" s="6" t="n"/>
      <c r="E103" s="6" t="n"/>
      <c r="F103" s="6" t="n"/>
      <c r="G103" s="6" t="n"/>
      <c r="H103" s="6" t="n"/>
      <c r="I103" s="6" t="n"/>
      <c r="J103" s="6" t="n"/>
    </row>
    <row r="104">
      <c r="A104" s="4" t="n"/>
      <c r="B104" s="4" t="n"/>
      <c r="C104" s="4">
        <f>IF(A104="","",VLOOKUP(A104,'F01 - _Données Expatriés'!$A$6:$L$15,6,FALSE))</f>
        <v/>
      </c>
      <c r="D104" s="4" t="n"/>
      <c r="E104" s="4" t="n"/>
      <c r="F104" s="4" t="n"/>
      <c r="G104" s="4" t="n"/>
      <c r="H104" s="4" t="n"/>
      <c r="I104" s="4" t="n"/>
      <c r="J104" s="4" t="n"/>
    </row>
    <row r="105">
      <c r="A105" s="6" t="n"/>
      <c r="B105" s="6" t="n"/>
      <c r="C105" s="6">
        <f>IF(A105="","",VLOOKUP(A105,'F01 - _Données Expatriés'!$A$6:$L$15,6,FALSE))</f>
        <v/>
      </c>
      <c r="D105" s="6" t="n"/>
      <c r="E105" s="6" t="n"/>
      <c r="F105" s="6" t="n"/>
      <c r="G105" s="6" t="n"/>
      <c r="H105" s="6" t="n"/>
      <c r="I105" s="6" t="n"/>
      <c r="J105" s="6" t="n"/>
    </row>
    <row r="106">
      <c r="A106" s="4" t="n"/>
      <c r="B106" s="4" t="n"/>
      <c r="C106" s="4">
        <f>IF(A106="","",VLOOKUP(A106,'F01 - _Données Expatriés'!$A$6:$L$15,6,FALSE))</f>
        <v/>
      </c>
      <c r="D106" s="4" t="n"/>
      <c r="E106" s="4" t="n"/>
      <c r="F106" s="4" t="n"/>
      <c r="G106" s="4" t="n"/>
      <c r="H106" s="4" t="n"/>
      <c r="I106" s="4" t="n"/>
      <c r="J106" s="4" t="n"/>
    </row>
    <row r="107">
      <c r="A107" s="6" t="n"/>
      <c r="B107" s="6" t="n"/>
      <c r="C107" s="6">
        <f>IF(A107="","",VLOOKUP(A107,'F01 - _Données Expatriés'!$A$6:$L$15,6,FALSE))</f>
        <v/>
      </c>
      <c r="D107" s="6" t="n"/>
      <c r="E107" s="6" t="n"/>
      <c r="F107" s="6" t="n"/>
      <c r="G107" s="6" t="n"/>
      <c r="H107" s="6" t="n"/>
      <c r="I107" s="6" t="n"/>
      <c r="J107" s="6" t="n"/>
    </row>
    <row r="108">
      <c r="A108" s="4" t="n"/>
      <c r="B108" s="4" t="n"/>
      <c r="C108" s="4">
        <f>IF(A108="","",VLOOKUP(A108,'F01 - _Données Expatriés'!$A$6:$L$15,6,FALSE))</f>
        <v/>
      </c>
      <c r="D108" s="4" t="n"/>
      <c r="E108" s="4" t="n"/>
      <c r="F108" s="4" t="n"/>
      <c r="G108" s="4" t="n"/>
      <c r="H108" s="4" t="n"/>
      <c r="I108" s="4" t="n"/>
      <c r="J108" s="4" t="n"/>
    </row>
    <row r="109">
      <c r="A109" s="6" t="n"/>
      <c r="B109" s="6" t="n"/>
      <c r="C109" s="6">
        <f>IF(A109="","",VLOOKUP(A109,'F01 - _Données Expatriés'!$A$6:$L$15,6,FALSE))</f>
        <v/>
      </c>
      <c r="D109" s="6" t="n"/>
      <c r="E109" s="6" t="n"/>
      <c r="F109" s="6" t="n"/>
      <c r="G109" s="6" t="n"/>
      <c r="H109" s="6" t="n"/>
      <c r="I109" s="6" t="n"/>
      <c r="J109" s="6" t="n"/>
    </row>
    <row r="110">
      <c r="A110" s="4" t="n"/>
      <c r="B110" s="4" t="n"/>
      <c r="C110" s="4">
        <f>IF(A110="","",VLOOKUP(A110,'F01 - _Données Expatriés'!$A$6:$L$15,6,FALSE))</f>
        <v/>
      </c>
      <c r="D110" s="4" t="n"/>
      <c r="E110" s="4" t="n"/>
      <c r="F110" s="4" t="n"/>
      <c r="G110" s="4" t="n"/>
      <c r="H110" s="4" t="n"/>
      <c r="I110" s="4" t="n"/>
      <c r="J110" s="4" t="n"/>
    </row>
    <row r="111">
      <c r="A111" s="6" t="n"/>
      <c r="B111" s="6" t="n"/>
      <c r="C111" s="6">
        <f>IF(A111="","",VLOOKUP(A111,'F01 - _Données Expatriés'!$A$6:$L$15,6,FALSE))</f>
        <v/>
      </c>
      <c r="D111" s="6" t="n"/>
      <c r="E111" s="6" t="n"/>
      <c r="F111" s="6" t="n"/>
      <c r="G111" s="6" t="n"/>
      <c r="H111" s="6" t="n"/>
      <c r="I111" s="6" t="n"/>
      <c r="J111" s="6" t="n"/>
    </row>
    <row r="112">
      <c r="A112" s="4" t="n"/>
      <c r="B112" s="4" t="n"/>
      <c r="C112" s="4">
        <f>IF(A112="","",VLOOKUP(A112,'F01 - _Données Expatriés'!$A$6:$L$15,6,FALSE))</f>
        <v/>
      </c>
      <c r="D112" s="4" t="n"/>
      <c r="E112" s="4" t="n"/>
      <c r="F112" s="4" t="n"/>
      <c r="G112" s="4" t="n"/>
      <c r="H112" s="4" t="n"/>
      <c r="I112" s="4" t="n"/>
      <c r="J112" s="4" t="n"/>
    </row>
    <row r="113">
      <c r="A113" s="6" t="n"/>
      <c r="B113" s="6" t="n"/>
      <c r="C113" s="6">
        <f>IF(A113="","",VLOOKUP(A113,'F01 - _Données Expatriés'!$A$6:$L$15,6,FALSE))</f>
        <v/>
      </c>
      <c r="D113" s="6" t="n"/>
      <c r="E113" s="6" t="n"/>
      <c r="F113" s="6" t="n"/>
      <c r="G113" s="6" t="n"/>
      <c r="H113" s="6" t="n"/>
      <c r="I113" s="6" t="n"/>
      <c r="J113" s="6" t="n"/>
    </row>
    <row r="114">
      <c r="A114" s="4" t="n"/>
      <c r="B114" s="4" t="n"/>
      <c r="C114" s="4">
        <f>IF(A114="","",VLOOKUP(A114,'F01 - _Données Expatriés'!$A$6:$L$15,6,FALSE))</f>
        <v/>
      </c>
      <c r="D114" s="4" t="n"/>
      <c r="E114" s="4" t="n"/>
      <c r="F114" s="4" t="n"/>
      <c r="G114" s="4" t="n"/>
      <c r="H114" s="4" t="n"/>
      <c r="I114" s="4" t="n"/>
      <c r="J114" s="4" t="n"/>
    </row>
    <row r="115">
      <c r="A115" s="6" t="n"/>
      <c r="B115" s="6" t="n"/>
      <c r="C115" s="6">
        <f>IF(A115="","",VLOOKUP(A115,'F01 - _Données Expatriés'!$A$6:$L$15,6,FALSE))</f>
        <v/>
      </c>
      <c r="D115" s="6" t="n"/>
      <c r="E115" s="6" t="n"/>
      <c r="F115" s="6" t="n"/>
      <c r="G115" s="6" t="n"/>
      <c r="H115" s="6" t="n"/>
      <c r="I115" s="6" t="n"/>
      <c r="J115" s="6" t="n"/>
    </row>
  </sheetData>
  <mergeCells count="2">
    <mergeCell ref="A3:N3"/>
    <mergeCell ref="A2:N2"/>
  </mergeCells>
  <dataValidations count="3">
    <dataValidation sqref="E6:E115" showDropDown="0" showInputMessage="0" showErrorMessage="0" allowBlank="1" errorTitle="Erreur de saisie" error="Valeur non autorisée" promptTitle="Liste déroulante" prompt="Sélectionnez dans la liste" type="list">
      <formula1>'F02 - _Lists'!$Q$6:$Q$35</formula1>
    </dataValidation>
    <dataValidation sqref="H6:H115" showDropDown="0" showInputMessage="0" showErrorMessage="0" allowBlank="1" errorTitle="Erreur de saisie" error="Valeur non autorisée" promptTitle="Liste déroulante" prompt="Sélectionnez dans la liste" type="list">
      <formula1>'F02 - _Lists'!$X$6:$X$35</formula1>
    </dataValidation>
    <dataValidation sqref="I6:I115" showDropDown="0" showInputMessage="0" showErrorMessage="0" allowBlank="1" errorTitle="Erreur de saisie" error="Valeur non autorisée" promptTitle="Liste déroulante" prompt="Sélectionnez dans la liste" type="list">
      <formula1>'F02 - _Lists'!$X$6:$X$35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8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8" customWidth="1" min="10" max="10"/>
    <col width="12" customWidth="1" min="11" max="11"/>
    <col width="14" customWidth="1" min="12" max="12"/>
  </cols>
  <sheetData>
    <row r="2" ht="25" customHeight="1">
      <c r="A2" s="1" t="inlineStr">
        <is>
          <t>DOMAINE 25 — 13-PLANNINGS EXPATRIÉS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Matricule</t>
        </is>
      </c>
      <c r="B5" s="3" t="inlineStr">
        <is>
          <t>Nom</t>
        </is>
      </c>
      <c r="C5" s="3" t="inlineStr">
        <is>
          <t>Département</t>
        </is>
      </c>
      <c r="D5" s="3" t="inlineStr">
        <is>
          <t>Lundi</t>
        </is>
      </c>
      <c r="E5" s="3" t="inlineStr">
        <is>
          <t>Mardi</t>
        </is>
      </c>
      <c r="F5" s="3" t="inlineStr">
        <is>
          <t>Mercredi</t>
        </is>
      </c>
      <c r="G5" s="3" t="inlineStr">
        <is>
          <t>Jeudi</t>
        </is>
      </c>
      <c r="H5" s="3" t="inlineStr">
        <is>
          <t>Vendredi</t>
        </is>
      </c>
      <c r="I5" s="3" t="inlineStr">
        <is>
          <t>Samedi</t>
        </is>
      </c>
      <c r="J5" s="3" t="inlineStr">
        <is>
          <t>Dimanche</t>
        </is>
      </c>
      <c r="K5" s="3" t="inlineStr">
        <is>
          <t>Total Hebdo</t>
        </is>
      </c>
      <c r="L5" s="3" t="inlineStr">
        <is>
          <t>Alerte</t>
        </is>
      </c>
    </row>
    <row r="6">
      <c r="A6" s="4" t="inlineStr">
        <is>
          <t>EXP-001</t>
        </is>
      </c>
      <c r="B6" s="4" t="inlineStr">
        <is>
          <t>Dupont Jean-Pierre</t>
        </is>
      </c>
      <c r="C6" s="4" t="inlineStr">
        <is>
          <t>Direction Générale</t>
        </is>
      </c>
      <c r="D6" s="4" t="n">
        <v>9</v>
      </c>
      <c r="E6" s="4" t="n">
        <v>9</v>
      </c>
      <c r="F6" s="4" t="n">
        <v>9</v>
      </c>
      <c r="G6" s="4" t="n">
        <v>9</v>
      </c>
      <c r="H6" s="4" t="n">
        <v>9</v>
      </c>
      <c r="I6" s="4" t="n">
        <v>4</v>
      </c>
      <c r="J6" s="4" t="n">
        <v>0</v>
      </c>
      <c r="K6" s="4">
        <f>SUM(D6:J6)</f>
        <v/>
      </c>
      <c r="L6" s="4">
        <f>IF(K6="","",IF(K6&gt;55,"Dépassement",IF(K6&gt;48,"Attention","")))</f>
        <v/>
      </c>
    </row>
    <row r="7">
      <c r="A7" s="6" t="inlineStr">
        <is>
          <t>EXP-002</t>
        </is>
      </c>
      <c r="B7" s="6" t="inlineStr">
        <is>
          <t>Muller Hans</t>
        </is>
      </c>
      <c r="C7" s="6" t="inlineStr">
        <is>
          <t>Cuisine &amp; Restauration</t>
        </is>
      </c>
      <c r="D7" s="6" t="n">
        <v>10</v>
      </c>
      <c r="E7" s="6" t="n">
        <v>10</v>
      </c>
      <c r="F7" s="6" t="n">
        <v>10</v>
      </c>
      <c r="G7" s="6" t="n">
        <v>10</v>
      </c>
      <c r="H7" s="6" t="n">
        <v>10</v>
      </c>
      <c r="I7" s="6" t="n">
        <v>10</v>
      </c>
      <c r="J7" s="6" t="n">
        <v>0</v>
      </c>
      <c r="K7" s="6">
        <f>SUM(D7:J7)</f>
        <v/>
      </c>
      <c r="L7" s="6">
        <f>IF(K7="","",IF(K7&gt;55,"Dépassement",IF(K7&gt;48,"Attention","")))</f>
        <v/>
      </c>
    </row>
    <row r="8">
      <c r="A8" s="4" t="inlineStr">
        <is>
          <t>EXP-003</t>
        </is>
      </c>
      <c r="B8" s="4" t="inlineStr">
        <is>
          <t>Silva Carlos</t>
        </is>
      </c>
      <c r="C8" s="4" t="inlineStr">
        <is>
          <t>Finance &amp; Comptabilité</t>
        </is>
      </c>
      <c r="D8" s="4" t="n">
        <v>8</v>
      </c>
      <c r="E8" s="4" t="n">
        <v>8</v>
      </c>
      <c r="F8" s="4" t="n">
        <v>8</v>
      </c>
      <c r="G8" s="4" t="n">
        <v>8</v>
      </c>
      <c r="H8" s="4" t="n">
        <v>8</v>
      </c>
      <c r="I8" s="4" t="n">
        <v>0</v>
      </c>
      <c r="J8" s="4" t="n">
        <v>0</v>
      </c>
      <c r="K8" s="4">
        <f>SUM(D8:J8)</f>
        <v/>
      </c>
      <c r="L8" s="4">
        <f>IF(K8="","",IF(K8&gt;55,"Dépassement",IF(K8&gt;48,"Attention","")))</f>
        <v/>
      </c>
    </row>
    <row r="9">
      <c r="A9" s="6" t="inlineStr">
        <is>
          <t>EXP-004</t>
        </is>
      </c>
      <c r="B9" s="6" t="inlineStr">
        <is>
          <t>Nakamura Yuki</t>
        </is>
      </c>
      <c r="C9" s="6" t="inlineStr">
        <is>
          <t>Réception &amp; Front Office</t>
        </is>
      </c>
      <c r="D9" s="6" t="n">
        <v>8</v>
      </c>
      <c r="E9" s="6" t="n">
        <v>8</v>
      </c>
      <c r="F9" s="6" t="n">
        <v>8</v>
      </c>
      <c r="G9" s="6" t="n">
        <v>8</v>
      </c>
      <c r="H9" s="6" t="n">
        <v>8</v>
      </c>
      <c r="I9" s="6" t="n">
        <v>4</v>
      </c>
      <c r="J9" s="6" t="n">
        <v>0</v>
      </c>
      <c r="K9" s="6">
        <f>SUM(D9:J9)</f>
        <v/>
      </c>
      <c r="L9" s="6">
        <f>IF(K9="","",IF(K9&gt;55,"Dépassement",IF(K9&gt;48,"Attention","")))</f>
        <v/>
      </c>
    </row>
    <row r="10">
      <c r="A10" s="4" t="inlineStr">
        <is>
          <t>EXP-005</t>
        </is>
      </c>
      <c r="B10" s="4" t="inlineStr">
        <is>
          <t>Smith James</t>
        </is>
      </c>
      <c r="C10" s="4" t="inlineStr">
        <is>
          <t>Revenue Management</t>
        </is>
      </c>
      <c r="D10" s="4" t="n">
        <v>8</v>
      </c>
      <c r="E10" s="4" t="n">
        <v>8</v>
      </c>
      <c r="F10" s="4" t="n">
        <v>8</v>
      </c>
      <c r="G10" s="4" t="n">
        <v>8</v>
      </c>
      <c r="H10" s="4" t="n">
        <v>8</v>
      </c>
      <c r="I10" s="4" t="n">
        <v>0</v>
      </c>
      <c r="J10" s="4" t="n">
        <v>0</v>
      </c>
      <c r="K10" s="4">
        <f>SUM(D10:J10)</f>
        <v/>
      </c>
      <c r="L10" s="4">
        <f>IF(K10="","",IF(K10&gt;55,"Dépassement",IF(K10&gt;48,"Attention","")))</f>
        <v/>
      </c>
    </row>
    <row r="11">
      <c r="A11" s="6" t="n"/>
      <c r="B11" s="6">
        <f>IF(A11="","",VLOOKUP(A11,'F01 - _Données Expatriés'!$A$6:$L$15,2,FALSE))</f>
        <v/>
      </c>
      <c r="C11" s="6">
        <f>IF(A11="","",VLOOKUP(A11,'F01 - _Données Expatriés'!$A$6:$L$15,6,FALSE))</f>
        <v/>
      </c>
      <c r="D11" s="6" t="n"/>
      <c r="E11" s="6" t="n"/>
      <c r="F11" s="6" t="n"/>
      <c r="G11" s="6" t="n"/>
      <c r="H11" s="6" t="n"/>
      <c r="I11" s="6" t="n"/>
      <c r="J11" s="6" t="n"/>
      <c r="K11" s="6">
        <f>SUM(D11:J11)</f>
        <v/>
      </c>
      <c r="L11" s="6">
        <f>IF(K11="","",IF(K11&gt;55,"Dépassement",IF(K11&gt;48,"Attention","")))</f>
        <v/>
      </c>
    </row>
    <row r="12">
      <c r="A12" s="4" t="n"/>
      <c r="B12" s="4">
        <f>IF(A12="","",VLOOKUP(A12,'F01 - _Données Expatriés'!$A$6:$L$15,2,FALSE))</f>
        <v/>
      </c>
      <c r="C12" s="4">
        <f>IF(A12="","",VLOOKUP(A12,'F01 - _Données Expatriés'!$A$6:$L$15,6,FALSE))</f>
        <v/>
      </c>
      <c r="D12" s="4" t="n"/>
      <c r="E12" s="4" t="n"/>
      <c r="F12" s="4" t="n"/>
      <c r="G12" s="4" t="n"/>
      <c r="H12" s="4" t="n"/>
      <c r="I12" s="4" t="n"/>
      <c r="J12" s="4" t="n"/>
      <c r="K12" s="4">
        <f>SUM(D12:J12)</f>
        <v/>
      </c>
      <c r="L12" s="4">
        <f>IF(K12="","",IF(K12&gt;55,"Dépassement",IF(K12&gt;48,"Attention","")))</f>
        <v/>
      </c>
    </row>
    <row r="13">
      <c r="A13" s="6" t="n"/>
      <c r="B13" s="6">
        <f>IF(A13="","",VLOOKUP(A13,'F01 - _Données Expatriés'!$A$6:$L$15,2,FALSE))</f>
        <v/>
      </c>
      <c r="C13" s="6">
        <f>IF(A13="","",VLOOKUP(A13,'F01 - _Données Expatriés'!$A$6:$L$15,6,FALSE))</f>
        <v/>
      </c>
      <c r="D13" s="6" t="n"/>
      <c r="E13" s="6" t="n"/>
      <c r="F13" s="6" t="n"/>
      <c r="G13" s="6" t="n"/>
      <c r="H13" s="6" t="n"/>
      <c r="I13" s="6" t="n"/>
      <c r="J13" s="6" t="n"/>
      <c r="K13" s="6">
        <f>SUM(D13:J13)</f>
        <v/>
      </c>
      <c r="L13" s="6">
        <f>IF(K13="","",IF(K13&gt;55,"Dépassement",IF(K13&gt;48,"Attention","")))</f>
        <v/>
      </c>
    </row>
    <row r="14">
      <c r="A14" s="4" t="n"/>
      <c r="B14" s="4">
        <f>IF(A14="","",VLOOKUP(A14,'F01 - _Données Expatriés'!$A$6:$L$15,2,FALSE))</f>
        <v/>
      </c>
      <c r="C14" s="4">
        <f>IF(A14="","",VLOOKUP(A14,'F01 - _Données Expatriés'!$A$6:$L$15,6,FALSE))</f>
        <v/>
      </c>
      <c r="D14" s="4" t="n"/>
      <c r="E14" s="4" t="n"/>
      <c r="F14" s="4" t="n"/>
      <c r="G14" s="4" t="n"/>
      <c r="H14" s="4" t="n"/>
      <c r="I14" s="4" t="n"/>
      <c r="J14" s="4" t="n"/>
      <c r="K14" s="4">
        <f>SUM(D14:J14)</f>
        <v/>
      </c>
      <c r="L14" s="4">
        <f>IF(K14="","",IF(K14&gt;55,"Dépassement",IF(K14&gt;48,"Attention","")))</f>
        <v/>
      </c>
    </row>
    <row r="15">
      <c r="A15" s="6" t="n"/>
      <c r="B15" s="6">
        <f>IF(A15="","",VLOOKUP(A15,'F01 - _Données Expatriés'!$A$6:$L$15,2,FALSE))</f>
        <v/>
      </c>
      <c r="C15" s="6">
        <f>IF(A15="","",VLOOKUP(A15,'F01 - _Données Expatriés'!$A$6:$L$15,6,FALSE))</f>
        <v/>
      </c>
      <c r="D15" s="6" t="n"/>
      <c r="E15" s="6" t="n"/>
      <c r="F15" s="6" t="n"/>
      <c r="G15" s="6" t="n"/>
      <c r="H15" s="6" t="n"/>
      <c r="I15" s="6" t="n"/>
      <c r="J15" s="6" t="n"/>
      <c r="K15" s="6">
        <f>SUM(D15:J15)</f>
        <v/>
      </c>
      <c r="L15" s="6">
        <f>IF(K15="","",IF(K15&gt;55,"Dépassement",IF(K15&gt;48,"Attention","")))</f>
        <v/>
      </c>
    </row>
    <row r="16">
      <c r="A16" s="4" t="n"/>
      <c r="B16" s="4">
        <f>IF(A16="","",VLOOKUP(A16,'F01 - _Données Expatriés'!$A$6:$L$15,2,FALSE))</f>
        <v/>
      </c>
      <c r="C16" s="4">
        <f>IF(A16="","",VLOOKUP(A16,'F01 - _Données Expatriés'!$A$6:$L$15,6,FALSE))</f>
        <v/>
      </c>
      <c r="D16" s="4" t="n"/>
      <c r="E16" s="4" t="n"/>
      <c r="F16" s="4" t="n"/>
      <c r="G16" s="4" t="n"/>
      <c r="H16" s="4" t="n"/>
      <c r="I16" s="4" t="n"/>
      <c r="J16" s="4" t="n"/>
      <c r="K16" s="4">
        <f>SUM(D16:J16)</f>
        <v/>
      </c>
      <c r="L16" s="4">
        <f>IF(K16="","",IF(K16&gt;55,"Dépassement",IF(K16&gt;48,"Attention","")))</f>
        <v/>
      </c>
    </row>
    <row r="17">
      <c r="A17" s="6" t="n"/>
      <c r="B17" s="6">
        <f>IF(A17="","",VLOOKUP(A17,'F01 - _Données Expatriés'!$A$6:$L$15,2,FALSE))</f>
        <v/>
      </c>
      <c r="C17" s="6">
        <f>IF(A17="","",VLOOKUP(A17,'F01 - _Données Expatriés'!$A$6:$L$15,6,FALSE))</f>
        <v/>
      </c>
      <c r="D17" s="6" t="n"/>
      <c r="E17" s="6" t="n"/>
      <c r="F17" s="6" t="n"/>
      <c r="G17" s="6" t="n"/>
      <c r="H17" s="6" t="n"/>
      <c r="I17" s="6" t="n"/>
      <c r="J17" s="6" t="n"/>
      <c r="K17" s="6">
        <f>SUM(D17:J17)</f>
        <v/>
      </c>
      <c r="L17" s="6">
        <f>IF(K17="","",IF(K17&gt;55,"Dépassement",IF(K17&gt;48,"Attention","")))</f>
        <v/>
      </c>
    </row>
    <row r="18">
      <c r="A18" s="4" t="n"/>
      <c r="B18" s="4">
        <f>IF(A18="","",VLOOKUP(A18,'F01 - _Données Expatriés'!$A$6:$L$15,2,FALSE))</f>
        <v/>
      </c>
      <c r="C18" s="4">
        <f>IF(A18="","",VLOOKUP(A18,'F01 - _Données Expatriés'!$A$6:$L$15,6,FALSE))</f>
        <v/>
      </c>
      <c r="D18" s="4" t="n"/>
      <c r="E18" s="4" t="n"/>
      <c r="F18" s="4" t="n"/>
      <c r="G18" s="4" t="n"/>
      <c r="H18" s="4" t="n"/>
      <c r="I18" s="4" t="n"/>
      <c r="J18" s="4" t="n"/>
      <c r="K18" s="4">
        <f>SUM(D18:J18)</f>
        <v/>
      </c>
      <c r="L18" s="4">
        <f>IF(K18="","",IF(K18&gt;55,"Dépassement",IF(K18&gt;48,"Attention","")))</f>
        <v/>
      </c>
    </row>
    <row r="19">
      <c r="A19" s="6" t="n"/>
      <c r="B19" s="6">
        <f>IF(A19="","",VLOOKUP(A19,'F01 - _Données Expatriés'!$A$6:$L$15,2,FALSE))</f>
        <v/>
      </c>
      <c r="C19" s="6">
        <f>IF(A19="","",VLOOKUP(A19,'F01 - _Données Expatriés'!$A$6:$L$15,6,FALSE))</f>
        <v/>
      </c>
      <c r="D19" s="6" t="n"/>
      <c r="E19" s="6" t="n"/>
      <c r="F19" s="6" t="n"/>
      <c r="G19" s="6" t="n"/>
      <c r="H19" s="6" t="n"/>
      <c r="I19" s="6" t="n"/>
      <c r="J19" s="6" t="n"/>
      <c r="K19" s="6">
        <f>SUM(D19:J19)</f>
        <v/>
      </c>
      <c r="L19" s="6">
        <f>IF(K19="","",IF(K19&gt;55,"Dépassement",IF(K19&gt;48,"Attention","")))</f>
        <v/>
      </c>
    </row>
    <row r="20">
      <c r="A20" s="4" t="n"/>
      <c r="B20" s="4">
        <f>IF(A20="","",VLOOKUP(A20,'F01 - _Données Expatriés'!$A$6:$L$15,2,FALSE))</f>
        <v/>
      </c>
      <c r="C20" s="4">
        <f>IF(A20="","",VLOOKUP(A20,'F01 - _Données Expatriés'!$A$6:$L$15,6,FALSE))</f>
        <v/>
      </c>
      <c r="D20" s="4" t="n"/>
      <c r="E20" s="4" t="n"/>
      <c r="F20" s="4" t="n"/>
      <c r="G20" s="4" t="n"/>
      <c r="H20" s="4" t="n"/>
      <c r="I20" s="4" t="n"/>
      <c r="J20" s="4" t="n"/>
      <c r="K20" s="4">
        <f>SUM(D20:J20)</f>
        <v/>
      </c>
      <c r="L20" s="4">
        <f>IF(K20="","",IF(K20&gt;55,"Dépassement",IF(K20&gt;48,"Attention","")))</f>
        <v/>
      </c>
    </row>
    <row r="21">
      <c r="A21" s="6" t="n"/>
      <c r="B21" s="6">
        <f>IF(A21="","",VLOOKUP(A21,'F01 - _Données Expatriés'!$A$6:$L$15,2,FALSE))</f>
        <v/>
      </c>
      <c r="C21" s="6">
        <f>IF(A21="","",VLOOKUP(A21,'F01 - _Données Expatriés'!$A$6:$L$15,6,FALSE))</f>
        <v/>
      </c>
      <c r="D21" s="6" t="n"/>
      <c r="E21" s="6" t="n"/>
      <c r="F21" s="6" t="n"/>
      <c r="G21" s="6" t="n"/>
      <c r="H21" s="6" t="n"/>
      <c r="I21" s="6" t="n"/>
      <c r="J21" s="6" t="n"/>
      <c r="K21" s="6">
        <f>SUM(D21:J21)</f>
        <v/>
      </c>
      <c r="L21" s="6">
        <f>IF(K21="","",IF(K21&gt;55,"Dépassement",IF(K21&gt;48,"Attention","")))</f>
        <v/>
      </c>
    </row>
    <row r="22">
      <c r="A22" s="4" t="n"/>
      <c r="B22" s="4">
        <f>IF(A22="","",VLOOKUP(A22,'F01 - _Données Expatriés'!$A$6:$L$15,2,FALSE))</f>
        <v/>
      </c>
      <c r="C22" s="4">
        <f>IF(A22="","",VLOOKUP(A22,'F01 - _Données Expatriés'!$A$6:$L$15,6,FALSE))</f>
        <v/>
      </c>
      <c r="D22" s="4" t="n"/>
      <c r="E22" s="4" t="n"/>
      <c r="F22" s="4" t="n"/>
      <c r="G22" s="4" t="n"/>
      <c r="H22" s="4" t="n"/>
      <c r="I22" s="4" t="n"/>
      <c r="J22" s="4" t="n"/>
      <c r="K22" s="4">
        <f>SUM(D22:J22)</f>
        <v/>
      </c>
      <c r="L22" s="4">
        <f>IF(K22="","",IF(K22&gt;55,"Dépassement",IF(K22&gt;48,"Attention","")))</f>
        <v/>
      </c>
    </row>
    <row r="23">
      <c r="A23" s="6" t="n"/>
      <c r="B23" s="6">
        <f>IF(A23="","",VLOOKUP(A23,'F01 - _Données Expatriés'!$A$6:$L$15,2,FALSE))</f>
        <v/>
      </c>
      <c r="C23" s="6">
        <f>IF(A23="","",VLOOKUP(A23,'F01 - _Données Expatriés'!$A$6:$L$15,6,FALSE))</f>
        <v/>
      </c>
      <c r="D23" s="6" t="n"/>
      <c r="E23" s="6" t="n"/>
      <c r="F23" s="6" t="n"/>
      <c r="G23" s="6" t="n"/>
      <c r="H23" s="6" t="n"/>
      <c r="I23" s="6" t="n"/>
      <c r="J23" s="6" t="n"/>
      <c r="K23" s="6">
        <f>SUM(D23:J23)</f>
        <v/>
      </c>
      <c r="L23" s="6">
        <f>IF(K23="","",IF(K23&gt;55,"Dépassement",IF(K23&gt;48,"Attention","")))</f>
        <v/>
      </c>
    </row>
    <row r="24">
      <c r="A24" s="4" t="n"/>
      <c r="B24" s="4">
        <f>IF(A24="","",VLOOKUP(A24,'F01 - _Données Expatriés'!$A$6:$L$15,2,FALSE))</f>
        <v/>
      </c>
      <c r="C24" s="4">
        <f>IF(A24="","",VLOOKUP(A24,'F01 - _Données Expatriés'!$A$6:$L$15,6,FALSE))</f>
        <v/>
      </c>
      <c r="D24" s="4" t="n"/>
      <c r="E24" s="4" t="n"/>
      <c r="F24" s="4" t="n"/>
      <c r="G24" s="4" t="n"/>
      <c r="H24" s="4" t="n"/>
      <c r="I24" s="4" t="n"/>
      <c r="J24" s="4" t="n"/>
      <c r="K24" s="4">
        <f>SUM(D24:J24)</f>
        <v/>
      </c>
      <c r="L24" s="4">
        <f>IF(K24="","",IF(K24&gt;55,"Dépassement",IF(K24&gt;48,"Attention","")))</f>
        <v/>
      </c>
    </row>
    <row r="25">
      <c r="A25" s="6" t="n"/>
      <c r="B25" s="6">
        <f>IF(A25="","",VLOOKUP(A25,'F01 - _Données Expatriés'!$A$6:$L$15,2,FALSE))</f>
        <v/>
      </c>
      <c r="C25" s="6">
        <f>IF(A25="","",VLOOKUP(A25,'F01 - _Données Expatriés'!$A$6:$L$15,6,FALSE))</f>
        <v/>
      </c>
      <c r="D25" s="6" t="n"/>
      <c r="E25" s="6" t="n"/>
      <c r="F25" s="6" t="n"/>
      <c r="G25" s="6" t="n"/>
      <c r="H25" s="6" t="n"/>
      <c r="I25" s="6" t="n"/>
      <c r="J25" s="6" t="n"/>
      <c r="K25" s="6">
        <f>SUM(D25:J25)</f>
        <v/>
      </c>
      <c r="L25" s="6">
        <f>IF(K25="","",IF(K25&gt;55,"Dépassement",IF(K25&gt;48,"Attention","")))</f>
        <v/>
      </c>
    </row>
    <row r="26">
      <c r="A26" s="4" t="n"/>
      <c r="B26" s="4">
        <f>IF(A26="","",VLOOKUP(A26,'F01 - _Données Expatriés'!$A$6:$L$15,2,FALSE))</f>
        <v/>
      </c>
      <c r="C26" s="4">
        <f>IF(A26="","",VLOOKUP(A26,'F01 - _Données Expatriés'!$A$6:$L$15,6,FALSE))</f>
        <v/>
      </c>
      <c r="D26" s="4" t="n"/>
      <c r="E26" s="4" t="n"/>
      <c r="F26" s="4" t="n"/>
      <c r="G26" s="4" t="n"/>
      <c r="H26" s="4" t="n"/>
      <c r="I26" s="4" t="n"/>
      <c r="J26" s="4" t="n"/>
      <c r="K26" s="4">
        <f>SUM(D26:J26)</f>
        <v/>
      </c>
      <c r="L26" s="4">
        <f>IF(K26="","",IF(K26&gt;55,"Dépassement",IF(K26&gt;48,"Attention","")))</f>
        <v/>
      </c>
    </row>
    <row r="27">
      <c r="A27" s="6" t="n"/>
      <c r="B27" s="6">
        <f>IF(A27="","",VLOOKUP(A27,'F01 - _Données Expatriés'!$A$6:$L$15,2,FALSE))</f>
        <v/>
      </c>
      <c r="C27" s="6">
        <f>IF(A27="","",VLOOKUP(A27,'F01 - _Données Expatriés'!$A$6:$L$15,6,FALSE))</f>
        <v/>
      </c>
      <c r="D27" s="6" t="n"/>
      <c r="E27" s="6" t="n"/>
      <c r="F27" s="6" t="n"/>
      <c r="G27" s="6" t="n"/>
      <c r="H27" s="6" t="n"/>
      <c r="I27" s="6" t="n"/>
      <c r="J27" s="6" t="n"/>
      <c r="K27" s="6">
        <f>SUM(D27:J27)</f>
        <v/>
      </c>
      <c r="L27" s="6">
        <f>IF(K27="","",IF(K27&gt;55,"Dépassement",IF(K27&gt;48,"Attention","")))</f>
        <v/>
      </c>
    </row>
    <row r="28">
      <c r="A28" s="4" t="n"/>
      <c r="B28" s="4">
        <f>IF(A28="","",VLOOKUP(A28,'F01 - _Données Expatriés'!$A$6:$L$15,2,FALSE))</f>
        <v/>
      </c>
      <c r="C28" s="4">
        <f>IF(A28="","",VLOOKUP(A28,'F01 - _Données Expatriés'!$A$6:$L$15,6,FALSE))</f>
        <v/>
      </c>
      <c r="D28" s="4" t="n"/>
      <c r="E28" s="4" t="n"/>
      <c r="F28" s="4" t="n"/>
      <c r="G28" s="4" t="n"/>
      <c r="H28" s="4" t="n"/>
      <c r="I28" s="4" t="n"/>
      <c r="J28" s="4" t="n"/>
      <c r="K28" s="4">
        <f>SUM(D28:J28)</f>
        <v/>
      </c>
      <c r="L28" s="4">
        <f>IF(K28="","",IF(K28&gt;55,"Dépassement",IF(K28&gt;48,"Attention","")))</f>
        <v/>
      </c>
    </row>
    <row r="29">
      <c r="A29" s="6" t="n"/>
      <c r="B29" s="6">
        <f>IF(A29="","",VLOOKUP(A29,'F01 - _Données Expatriés'!$A$6:$L$15,2,FALSE))</f>
        <v/>
      </c>
      <c r="C29" s="6">
        <f>IF(A29="","",VLOOKUP(A29,'F01 - _Données Expatriés'!$A$6:$L$15,6,FALSE))</f>
        <v/>
      </c>
      <c r="D29" s="6" t="n"/>
      <c r="E29" s="6" t="n"/>
      <c r="F29" s="6" t="n"/>
      <c r="G29" s="6" t="n"/>
      <c r="H29" s="6" t="n"/>
      <c r="I29" s="6" t="n"/>
      <c r="J29" s="6" t="n"/>
      <c r="K29" s="6">
        <f>SUM(D29:J29)</f>
        <v/>
      </c>
      <c r="L29" s="6">
        <f>IF(K29="","",IF(K29&gt;55,"Dépassement",IF(K29&gt;48,"Attention","")))</f>
        <v/>
      </c>
    </row>
    <row r="30">
      <c r="A30" s="4" t="n"/>
      <c r="B30" s="4">
        <f>IF(A30="","",VLOOKUP(A30,'F01 - _Données Expatriés'!$A$6:$L$15,2,FALSE))</f>
        <v/>
      </c>
      <c r="C30" s="4">
        <f>IF(A30="","",VLOOKUP(A30,'F01 - _Données Expatriés'!$A$6:$L$15,6,FALSE))</f>
        <v/>
      </c>
      <c r="D30" s="4" t="n"/>
      <c r="E30" s="4" t="n"/>
      <c r="F30" s="4" t="n"/>
      <c r="G30" s="4" t="n"/>
      <c r="H30" s="4" t="n"/>
      <c r="I30" s="4" t="n"/>
      <c r="J30" s="4" t="n"/>
      <c r="K30" s="4">
        <f>SUM(D30:J30)</f>
        <v/>
      </c>
      <c r="L30" s="4">
        <f>IF(K30="","",IF(K30&gt;55,"Dépassement",IF(K30&gt;48,"Attention","")))</f>
        <v/>
      </c>
    </row>
    <row r="31">
      <c r="A31" s="6" t="n"/>
      <c r="B31" s="6">
        <f>IF(A31="","",VLOOKUP(A31,'F01 - _Données Expatriés'!$A$6:$L$15,2,FALSE))</f>
        <v/>
      </c>
      <c r="C31" s="6">
        <f>IF(A31="","",VLOOKUP(A31,'F01 - _Données Expatriés'!$A$6:$L$15,6,FALSE))</f>
        <v/>
      </c>
      <c r="D31" s="6" t="n"/>
      <c r="E31" s="6" t="n"/>
      <c r="F31" s="6" t="n"/>
      <c r="G31" s="6" t="n"/>
      <c r="H31" s="6" t="n"/>
      <c r="I31" s="6" t="n"/>
      <c r="J31" s="6" t="n"/>
      <c r="K31" s="6">
        <f>SUM(D31:J31)</f>
        <v/>
      </c>
      <c r="L31" s="6">
        <f>IF(K31="","",IF(K31&gt;55,"Dépassement",IF(K31&gt;48,"Attention","")))</f>
        <v/>
      </c>
    </row>
    <row r="32">
      <c r="A32" s="4" t="n"/>
      <c r="B32" s="4">
        <f>IF(A32="","",VLOOKUP(A32,'F01 - _Données Expatriés'!$A$6:$L$15,2,FALSE))</f>
        <v/>
      </c>
      <c r="C32" s="4">
        <f>IF(A32="","",VLOOKUP(A32,'F01 - _Données Expatriés'!$A$6:$L$15,6,FALSE))</f>
        <v/>
      </c>
      <c r="D32" s="4" t="n"/>
      <c r="E32" s="4" t="n"/>
      <c r="F32" s="4" t="n"/>
      <c r="G32" s="4" t="n"/>
      <c r="H32" s="4" t="n"/>
      <c r="I32" s="4" t="n"/>
      <c r="J32" s="4" t="n"/>
      <c r="K32" s="4">
        <f>SUM(D32:J32)</f>
        <v/>
      </c>
      <c r="L32" s="4">
        <f>IF(K32="","",IF(K32&gt;55,"Dépassement",IF(K32&gt;48,"Attention","")))</f>
        <v/>
      </c>
    </row>
    <row r="33">
      <c r="A33" s="6" t="n"/>
      <c r="B33" s="6">
        <f>IF(A33="","",VLOOKUP(A33,'F01 - _Données Expatriés'!$A$6:$L$15,2,FALSE))</f>
        <v/>
      </c>
      <c r="C33" s="6">
        <f>IF(A33="","",VLOOKUP(A33,'F01 - _Données Expatriés'!$A$6:$L$15,6,FALSE))</f>
        <v/>
      </c>
      <c r="D33" s="6" t="n"/>
      <c r="E33" s="6" t="n"/>
      <c r="F33" s="6" t="n"/>
      <c r="G33" s="6" t="n"/>
      <c r="H33" s="6" t="n"/>
      <c r="I33" s="6" t="n"/>
      <c r="J33" s="6" t="n"/>
      <c r="K33" s="6">
        <f>SUM(D33:J33)</f>
        <v/>
      </c>
      <c r="L33" s="6">
        <f>IF(K33="","",IF(K33&gt;55,"Dépassement",IF(K33&gt;48,"Attention","")))</f>
        <v/>
      </c>
    </row>
    <row r="34">
      <c r="A34" s="4" t="n"/>
      <c r="B34" s="4">
        <f>IF(A34="","",VLOOKUP(A34,'F01 - _Données Expatriés'!$A$6:$L$15,2,FALSE))</f>
        <v/>
      </c>
      <c r="C34" s="4">
        <f>IF(A34="","",VLOOKUP(A34,'F01 - _Données Expatriés'!$A$6:$L$15,6,FALSE))</f>
        <v/>
      </c>
      <c r="D34" s="4" t="n"/>
      <c r="E34" s="4" t="n"/>
      <c r="F34" s="4" t="n"/>
      <c r="G34" s="4" t="n"/>
      <c r="H34" s="4" t="n"/>
      <c r="I34" s="4" t="n"/>
      <c r="J34" s="4" t="n"/>
      <c r="K34" s="4">
        <f>SUM(D34:J34)</f>
        <v/>
      </c>
      <c r="L34" s="4">
        <f>IF(K34="","",IF(K34&gt;55,"Dépassement",IF(K34&gt;48,"Attention","")))</f>
        <v/>
      </c>
    </row>
    <row r="35">
      <c r="A35" s="6" t="n"/>
      <c r="B35" s="6">
        <f>IF(A35="","",VLOOKUP(A35,'F01 - _Données Expatriés'!$A$6:$L$15,2,FALSE))</f>
        <v/>
      </c>
      <c r="C35" s="6">
        <f>IF(A35="","",VLOOKUP(A35,'F01 - _Données Expatriés'!$A$6:$L$15,6,FALSE))</f>
        <v/>
      </c>
      <c r="D35" s="6" t="n"/>
      <c r="E35" s="6" t="n"/>
      <c r="F35" s="6" t="n"/>
      <c r="G35" s="6" t="n"/>
      <c r="H35" s="6" t="n"/>
      <c r="I35" s="6" t="n"/>
      <c r="J35" s="6" t="n"/>
      <c r="K35" s="6">
        <f>SUM(D35:J35)</f>
        <v/>
      </c>
      <c r="L35" s="6">
        <f>IF(K35="","",IF(K35&gt;55,"Dépassement",IF(K35&gt;48,"Attention","")))</f>
        <v/>
      </c>
    </row>
    <row r="36">
      <c r="A36" s="4" t="n"/>
      <c r="B36" s="4">
        <f>IF(A36="","",VLOOKUP(A36,'F01 - _Données Expatriés'!$A$6:$L$15,2,FALSE))</f>
        <v/>
      </c>
      <c r="C36" s="4">
        <f>IF(A36="","",VLOOKUP(A36,'F01 - _Données Expatriés'!$A$6:$L$15,6,FALSE))</f>
        <v/>
      </c>
      <c r="D36" s="4" t="n"/>
      <c r="E36" s="4" t="n"/>
      <c r="F36" s="4" t="n"/>
      <c r="G36" s="4" t="n"/>
      <c r="H36" s="4" t="n"/>
      <c r="I36" s="4" t="n"/>
      <c r="J36" s="4" t="n"/>
      <c r="K36" s="4">
        <f>SUM(D36:J36)</f>
        <v/>
      </c>
      <c r="L36" s="4">
        <f>IF(K36="","",IF(K36&gt;55,"Dépassement",IF(K36&gt;48,"Attention","")))</f>
        <v/>
      </c>
    </row>
    <row r="37">
      <c r="A37" s="6" t="n"/>
      <c r="B37" s="6">
        <f>IF(A37="","",VLOOKUP(A37,'F01 - _Données Expatriés'!$A$6:$L$15,2,FALSE))</f>
        <v/>
      </c>
      <c r="C37" s="6">
        <f>IF(A37="","",VLOOKUP(A37,'F01 - _Données Expatriés'!$A$6:$L$15,6,FALSE))</f>
        <v/>
      </c>
      <c r="D37" s="6" t="n"/>
      <c r="E37" s="6" t="n"/>
      <c r="F37" s="6" t="n"/>
      <c r="G37" s="6" t="n"/>
      <c r="H37" s="6" t="n"/>
      <c r="I37" s="6" t="n"/>
      <c r="J37" s="6" t="n"/>
      <c r="K37" s="6">
        <f>SUM(D37:J37)</f>
        <v/>
      </c>
      <c r="L37" s="6">
        <f>IF(K37="","",IF(K37&gt;55,"Dépassement",IF(K37&gt;48,"Attention","")))</f>
        <v/>
      </c>
    </row>
    <row r="38">
      <c r="A38" s="4" t="n"/>
      <c r="B38" s="4">
        <f>IF(A38="","",VLOOKUP(A38,'F01 - _Données Expatriés'!$A$6:$L$15,2,FALSE))</f>
        <v/>
      </c>
      <c r="C38" s="4">
        <f>IF(A38="","",VLOOKUP(A38,'F01 - _Données Expatriés'!$A$6:$L$15,6,FALSE))</f>
        <v/>
      </c>
      <c r="D38" s="4" t="n"/>
      <c r="E38" s="4" t="n"/>
      <c r="F38" s="4" t="n"/>
      <c r="G38" s="4" t="n"/>
      <c r="H38" s="4" t="n"/>
      <c r="I38" s="4" t="n"/>
      <c r="J38" s="4" t="n"/>
      <c r="K38" s="4">
        <f>SUM(D38:J38)</f>
        <v/>
      </c>
      <c r="L38" s="4">
        <f>IF(K38="","",IF(K38&gt;55,"Dépassement",IF(K38&gt;48,"Attention","")))</f>
        <v/>
      </c>
    </row>
    <row r="39">
      <c r="A39" s="6" t="n"/>
      <c r="B39" s="6">
        <f>IF(A39="","",VLOOKUP(A39,'F01 - _Données Expatriés'!$A$6:$L$15,2,FALSE))</f>
        <v/>
      </c>
      <c r="C39" s="6">
        <f>IF(A39="","",VLOOKUP(A39,'F01 - _Données Expatriés'!$A$6:$L$15,6,FALSE))</f>
        <v/>
      </c>
      <c r="D39" s="6" t="n"/>
      <c r="E39" s="6" t="n"/>
      <c r="F39" s="6" t="n"/>
      <c r="G39" s="6" t="n"/>
      <c r="H39" s="6" t="n"/>
      <c r="I39" s="6" t="n"/>
      <c r="J39" s="6" t="n"/>
      <c r="K39" s="6">
        <f>SUM(D39:J39)</f>
        <v/>
      </c>
      <c r="L39" s="6">
        <f>IF(K39="","",IF(K39&gt;55,"Dépassement",IF(K39&gt;48,"Attention","")))</f>
        <v/>
      </c>
    </row>
    <row r="40">
      <c r="A40" s="4" t="n"/>
      <c r="B40" s="4">
        <f>IF(A40="","",VLOOKUP(A40,'F01 - _Données Expatriés'!$A$6:$L$15,2,FALSE))</f>
        <v/>
      </c>
      <c r="C40" s="4">
        <f>IF(A40="","",VLOOKUP(A40,'F01 - _Données Expatriés'!$A$6:$L$15,6,FALSE))</f>
        <v/>
      </c>
      <c r="D40" s="4" t="n"/>
      <c r="E40" s="4" t="n"/>
      <c r="F40" s="4" t="n"/>
      <c r="G40" s="4" t="n"/>
      <c r="H40" s="4" t="n"/>
      <c r="I40" s="4" t="n"/>
      <c r="J40" s="4" t="n"/>
      <c r="K40" s="4">
        <f>SUM(D40:J40)</f>
        <v/>
      </c>
      <c r="L40" s="4">
        <f>IF(K40="","",IF(K40&gt;55,"Dépassement",IF(K40&gt;48,"Attention","")))</f>
        <v/>
      </c>
    </row>
    <row r="41">
      <c r="A41" s="6" t="n"/>
      <c r="B41" s="6">
        <f>IF(A41="","",VLOOKUP(A41,'F01 - _Données Expatriés'!$A$6:$L$15,2,FALSE))</f>
        <v/>
      </c>
      <c r="C41" s="6">
        <f>IF(A41="","",VLOOKUP(A41,'F01 - _Données Expatriés'!$A$6:$L$15,6,FALSE))</f>
        <v/>
      </c>
      <c r="D41" s="6" t="n"/>
      <c r="E41" s="6" t="n"/>
      <c r="F41" s="6" t="n"/>
      <c r="G41" s="6" t="n"/>
      <c r="H41" s="6" t="n"/>
      <c r="I41" s="6" t="n"/>
      <c r="J41" s="6" t="n"/>
      <c r="K41" s="6">
        <f>SUM(D41:J41)</f>
        <v/>
      </c>
      <c r="L41" s="6">
        <f>IF(K41="","",IF(K41&gt;55,"Dépassement",IF(K41&gt;48,"Attention","")))</f>
        <v/>
      </c>
    </row>
    <row r="42">
      <c r="A42" s="4" t="n"/>
      <c r="B42" s="4">
        <f>IF(A42="","",VLOOKUP(A42,'F01 - _Données Expatriés'!$A$6:$L$15,2,FALSE))</f>
        <v/>
      </c>
      <c r="C42" s="4">
        <f>IF(A42="","",VLOOKUP(A42,'F01 - _Données Expatriés'!$A$6:$L$15,6,FALSE))</f>
        <v/>
      </c>
      <c r="D42" s="4" t="n"/>
      <c r="E42" s="4" t="n"/>
      <c r="F42" s="4" t="n"/>
      <c r="G42" s="4" t="n"/>
      <c r="H42" s="4" t="n"/>
      <c r="I42" s="4" t="n"/>
      <c r="J42" s="4" t="n"/>
      <c r="K42" s="4">
        <f>SUM(D42:J42)</f>
        <v/>
      </c>
      <c r="L42" s="4">
        <f>IF(K42="","",IF(K42&gt;55,"Dépassement",IF(K42&gt;48,"Attention","")))</f>
        <v/>
      </c>
    </row>
    <row r="43">
      <c r="A43" s="6" t="n"/>
      <c r="B43" s="6">
        <f>IF(A43="","",VLOOKUP(A43,'F01 - _Données Expatriés'!$A$6:$L$15,2,FALSE))</f>
        <v/>
      </c>
      <c r="C43" s="6">
        <f>IF(A43="","",VLOOKUP(A43,'F01 - _Données Expatriés'!$A$6:$L$15,6,FALSE))</f>
        <v/>
      </c>
      <c r="D43" s="6" t="n"/>
      <c r="E43" s="6" t="n"/>
      <c r="F43" s="6" t="n"/>
      <c r="G43" s="6" t="n"/>
      <c r="H43" s="6" t="n"/>
      <c r="I43" s="6" t="n"/>
      <c r="J43" s="6" t="n"/>
      <c r="K43" s="6">
        <f>SUM(D43:J43)</f>
        <v/>
      </c>
      <c r="L43" s="6">
        <f>IF(K43="","",IF(K43&gt;55,"Dépassement",IF(K43&gt;48,"Attention","")))</f>
        <v/>
      </c>
    </row>
    <row r="44">
      <c r="A44" s="4" t="n"/>
      <c r="B44" s="4">
        <f>IF(A44="","",VLOOKUP(A44,'F01 - _Données Expatriés'!$A$6:$L$15,2,FALSE))</f>
        <v/>
      </c>
      <c r="C44" s="4">
        <f>IF(A44="","",VLOOKUP(A44,'F01 - _Données Expatriés'!$A$6:$L$15,6,FALSE))</f>
        <v/>
      </c>
      <c r="D44" s="4" t="n"/>
      <c r="E44" s="4" t="n"/>
      <c r="F44" s="4" t="n"/>
      <c r="G44" s="4" t="n"/>
      <c r="H44" s="4" t="n"/>
      <c r="I44" s="4" t="n"/>
      <c r="J44" s="4" t="n"/>
      <c r="K44" s="4">
        <f>SUM(D44:J44)</f>
        <v/>
      </c>
      <c r="L44" s="4">
        <f>IF(K44="","",IF(K44&gt;55,"Dépassement",IF(K44&gt;48,"Attention","")))</f>
        <v/>
      </c>
    </row>
    <row r="45">
      <c r="A45" s="6" t="n"/>
      <c r="B45" s="6">
        <f>IF(A45="","",VLOOKUP(A45,'F01 - _Données Expatriés'!$A$6:$L$15,2,FALSE))</f>
        <v/>
      </c>
      <c r="C45" s="6">
        <f>IF(A45="","",VLOOKUP(A45,'F01 - _Données Expatriés'!$A$6:$L$15,6,FALSE))</f>
        <v/>
      </c>
      <c r="D45" s="6" t="n"/>
      <c r="E45" s="6" t="n"/>
      <c r="F45" s="6" t="n"/>
      <c r="G45" s="6" t="n"/>
      <c r="H45" s="6" t="n"/>
      <c r="I45" s="6" t="n"/>
      <c r="J45" s="6" t="n"/>
      <c r="K45" s="6">
        <f>SUM(D45:J45)</f>
        <v/>
      </c>
      <c r="L45" s="6">
        <f>IF(K45="","",IF(K45&gt;55,"Dépassement",IF(K45&gt;48,"Attention","")))</f>
        <v/>
      </c>
    </row>
    <row r="46">
      <c r="A46" s="4" t="n"/>
      <c r="B46" s="4">
        <f>IF(A46="","",VLOOKUP(A46,'F01 - _Données Expatriés'!$A$6:$L$15,2,FALSE))</f>
        <v/>
      </c>
      <c r="C46" s="4">
        <f>IF(A46="","",VLOOKUP(A46,'F01 - _Données Expatriés'!$A$6:$L$15,6,FALSE))</f>
        <v/>
      </c>
      <c r="D46" s="4" t="n"/>
      <c r="E46" s="4" t="n"/>
      <c r="F46" s="4" t="n"/>
      <c r="G46" s="4" t="n"/>
      <c r="H46" s="4" t="n"/>
      <c r="I46" s="4" t="n"/>
      <c r="J46" s="4" t="n"/>
      <c r="K46" s="4">
        <f>SUM(D46:J46)</f>
        <v/>
      </c>
      <c r="L46" s="4">
        <f>IF(K46="","",IF(K46&gt;55,"Dépassement",IF(K46&gt;48,"Attention","")))</f>
        <v/>
      </c>
    </row>
    <row r="47">
      <c r="A47" s="6" t="n"/>
      <c r="B47" s="6">
        <f>IF(A47="","",VLOOKUP(A47,'F01 - _Données Expatriés'!$A$6:$L$15,2,FALSE))</f>
        <v/>
      </c>
      <c r="C47" s="6">
        <f>IF(A47="","",VLOOKUP(A47,'F01 - _Données Expatriés'!$A$6:$L$15,6,FALSE))</f>
        <v/>
      </c>
      <c r="D47" s="6" t="n"/>
      <c r="E47" s="6" t="n"/>
      <c r="F47" s="6" t="n"/>
      <c r="G47" s="6" t="n"/>
      <c r="H47" s="6" t="n"/>
      <c r="I47" s="6" t="n"/>
      <c r="J47" s="6" t="n"/>
      <c r="K47" s="6">
        <f>SUM(D47:J47)</f>
        <v/>
      </c>
      <c r="L47" s="6">
        <f>IF(K47="","",IF(K47&gt;55,"Dépassement",IF(K47&gt;48,"Attention","")))</f>
        <v/>
      </c>
    </row>
    <row r="48">
      <c r="A48" s="4" t="n"/>
      <c r="B48" s="4">
        <f>IF(A48="","",VLOOKUP(A48,'F01 - _Données Expatriés'!$A$6:$L$15,2,FALSE))</f>
        <v/>
      </c>
      <c r="C48" s="4">
        <f>IF(A48="","",VLOOKUP(A48,'F01 - _Données Expatriés'!$A$6:$L$15,6,FALSE))</f>
        <v/>
      </c>
      <c r="D48" s="4" t="n"/>
      <c r="E48" s="4" t="n"/>
      <c r="F48" s="4" t="n"/>
      <c r="G48" s="4" t="n"/>
      <c r="H48" s="4" t="n"/>
      <c r="I48" s="4" t="n"/>
      <c r="J48" s="4" t="n"/>
      <c r="K48" s="4">
        <f>SUM(D48:J48)</f>
        <v/>
      </c>
      <c r="L48" s="4">
        <f>IF(K48="","",IF(K48&gt;55,"Dépassement",IF(K48&gt;48,"Attention","")))</f>
        <v/>
      </c>
    </row>
    <row r="49">
      <c r="A49" s="6" t="n"/>
      <c r="B49" s="6">
        <f>IF(A49="","",VLOOKUP(A49,'F01 - _Données Expatriés'!$A$6:$L$15,2,FALSE))</f>
        <v/>
      </c>
      <c r="C49" s="6">
        <f>IF(A49="","",VLOOKUP(A49,'F01 - _Données Expatriés'!$A$6:$L$15,6,FALSE))</f>
        <v/>
      </c>
      <c r="D49" s="6" t="n"/>
      <c r="E49" s="6" t="n"/>
      <c r="F49" s="6" t="n"/>
      <c r="G49" s="6" t="n"/>
      <c r="H49" s="6" t="n"/>
      <c r="I49" s="6" t="n"/>
      <c r="J49" s="6" t="n"/>
      <c r="K49" s="6">
        <f>SUM(D49:J49)</f>
        <v/>
      </c>
      <c r="L49" s="6">
        <f>IF(K49="","",IF(K49&gt;55,"Dépassement",IF(K49&gt;48,"Attention","")))</f>
        <v/>
      </c>
    </row>
    <row r="50">
      <c r="A50" s="4" t="n"/>
      <c r="B50" s="4">
        <f>IF(A50="","",VLOOKUP(A50,'F01 - _Données Expatriés'!$A$6:$L$15,2,FALSE))</f>
        <v/>
      </c>
      <c r="C50" s="4">
        <f>IF(A50="","",VLOOKUP(A50,'F01 - _Données Expatriés'!$A$6:$L$15,6,FALSE))</f>
        <v/>
      </c>
      <c r="D50" s="4" t="n"/>
      <c r="E50" s="4" t="n"/>
      <c r="F50" s="4" t="n"/>
      <c r="G50" s="4" t="n"/>
      <c r="H50" s="4" t="n"/>
      <c r="I50" s="4" t="n"/>
      <c r="J50" s="4" t="n"/>
      <c r="K50" s="4">
        <f>SUM(D50:J50)</f>
        <v/>
      </c>
      <c r="L50" s="4">
        <f>IF(K50="","",IF(K50&gt;55,"Dépassement",IF(K50&gt;48,"Attention","")))</f>
        <v/>
      </c>
    </row>
    <row r="51">
      <c r="A51" s="6" t="n"/>
      <c r="B51" s="6">
        <f>IF(A51="","",VLOOKUP(A51,'F01 - _Données Expatriés'!$A$6:$L$15,2,FALSE))</f>
        <v/>
      </c>
      <c r="C51" s="6">
        <f>IF(A51="","",VLOOKUP(A51,'F01 - _Données Expatriés'!$A$6:$L$15,6,FALSE))</f>
        <v/>
      </c>
      <c r="D51" s="6" t="n"/>
      <c r="E51" s="6" t="n"/>
      <c r="F51" s="6" t="n"/>
      <c r="G51" s="6" t="n"/>
      <c r="H51" s="6" t="n"/>
      <c r="I51" s="6" t="n"/>
      <c r="J51" s="6" t="n"/>
      <c r="K51" s="6">
        <f>SUM(D51:J51)</f>
        <v/>
      </c>
      <c r="L51" s="6">
        <f>IF(K51="","",IF(K51&gt;55,"Dépassement",IF(K51&gt;48,"Attention","")))</f>
        <v/>
      </c>
    </row>
    <row r="52">
      <c r="A52" s="4" t="n"/>
      <c r="B52" s="4">
        <f>IF(A52="","",VLOOKUP(A52,'F01 - _Données Expatriés'!$A$6:$L$15,2,FALSE))</f>
        <v/>
      </c>
      <c r="C52" s="4">
        <f>IF(A52="","",VLOOKUP(A52,'F01 - _Données Expatriés'!$A$6:$L$15,6,FALSE))</f>
        <v/>
      </c>
      <c r="D52" s="4" t="n"/>
      <c r="E52" s="4" t="n"/>
      <c r="F52" s="4" t="n"/>
      <c r="G52" s="4" t="n"/>
      <c r="H52" s="4" t="n"/>
      <c r="I52" s="4" t="n"/>
      <c r="J52" s="4" t="n"/>
      <c r="K52" s="4">
        <f>SUM(D52:J52)</f>
        <v/>
      </c>
      <c r="L52" s="4">
        <f>IF(K52="","",IF(K52&gt;55,"Dépassement",IF(K52&gt;48,"Attention","")))</f>
        <v/>
      </c>
    </row>
    <row r="53">
      <c r="A53" s="6" t="n"/>
      <c r="B53" s="6">
        <f>IF(A53="","",VLOOKUP(A53,'F01 - _Données Expatriés'!$A$6:$L$15,2,FALSE))</f>
        <v/>
      </c>
      <c r="C53" s="6">
        <f>IF(A53="","",VLOOKUP(A53,'F01 - _Données Expatriés'!$A$6:$L$15,6,FALSE))</f>
        <v/>
      </c>
      <c r="D53" s="6" t="n"/>
      <c r="E53" s="6" t="n"/>
      <c r="F53" s="6" t="n"/>
      <c r="G53" s="6" t="n"/>
      <c r="H53" s="6" t="n"/>
      <c r="I53" s="6" t="n"/>
      <c r="J53" s="6" t="n"/>
      <c r="K53" s="6">
        <f>SUM(D53:J53)</f>
        <v/>
      </c>
      <c r="L53" s="6">
        <f>IF(K53="","",IF(K53&gt;55,"Dépassement",IF(K53&gt;48,"Attention","")))</f>
        <v/>
      </c>
    </row>
    <row r="54">
      <c r="A54" s="4" t="n"/>
      <c r="B54" s="4">
        <f>IF(A54="","",VLOOKUP(A54,'F01 - _Données Expatriés'!$A$6:$L$15,2,FALSE))</f>
        <v/>
      </c>
      <c r="C54" s="4">
        <f>IF(A54="","",VLOOKUP(A54,'F01 - _Données Expatriés'!$A$6:$L$15,6,FALSE))</f>
        <v/>
      </c>
      <c r="D54" s="4" t="n"/>
      <c r="E54" s="4" t="n"/>
      <c r="F54" s="4" t="n"/>
      <c r="G54" s="4" t="n"/>
      <c r="H54" s="4" t="n"/>
      <c r="I54" s="4" t="n"/>
      <c r="J54" s="4" t="n"/>
      <c r="K54" s="4">
        <f>SUM(D54:J54)</f>
        <v/>
      </c>
      <c r="L54" s="4">
        <f>IF(K54="","",IF(K54&gt;55,"Dépassement",IF(K54&gt;48,"Attention","")))</f>
        <v/>
      </c>
    </row>
    <row r="55">
      <c r="A55" s="6" t="n"/>
      <c r="B55" s="6">
        <f>IF(A55="","",VLOOKUP(A55,'F01 - _Données Expatriés'!$A$6:$L$15,2,FALSE))</f>
        <v/>
      </c>
      <c r="C55" s="6">
        <f>IF(A55="","",VLOOKUP(A55,'F01 - _Données Expatriés'!$A$6:$L$15,6,FALSE))</f>
        <v/>
      </c>
      <c r="D55" s="6" t="n"/>
      <c r="E55" s="6" t="n"/>
      <c r="F55" s="6" t="n"/>
      <c r="G55" s="6" t="n"/>
      <c r="H55" s="6" t="n"/>
      <c r="I55" s="6" t="n"/>
      <c r="J55" s="6" t="n"/>
      <c r="K55" s="6">
        <f>SUM(D55:J55)</f>
        <v/>
      </c>
      <c r="L55" s="6">
        <f>IF(K55="","",IF(K55&gt;55,"Dépassement",IF(K55&gt;48,"Attention","")))</f>
        <v/>
      </c>
    </row>
    <row r="56">
      <c r="A56" s="4" t="n"/>
      <c r="B56" s="4">
        <f>IF(A56="","",VLOOKUP(A56,'F01 - _Données Expatriés'!$A$6:$L$15,2,FALSE))</f>
        <v/>
      </c>
      <c r="C56" s="4">
        <f>IF(A56="","",VLOOKUP(A56,'F01 - _Données Expatriés'!$A$6:$L$15,6,FALSE))</f>
        <v/>
      </c>
      <c r="D56" s="4" t="n"/>
      <c r="E56" s="4" t="n"/>
      <c r="F56" s="4" t="n"/>
      <c r="G56" s="4" t="n"/>
      <c r="H56" s="4" t="n"/>
      <c r="I56" s="4" t="n"/>
      <c r="J56" s="4" t="n"/>
      <c r="K56" s="4">
        <f>SUM(D56:J56)</f>
        <v/>
      </c>
      <c r="L56" s="4">
        <f>IF(K56="","",IF(K56&gt;55,"Dépassement",IF(K56&gt;48,"Attention","")))</f>
        <v/>
      </c>
    </row>
    <row r="57">
      <c r="A57" s="6" t="n"/>
      <c r="B57" s="6">
        <f>IF(A57="","",VLOOKUP(A57,'F01 - _Données Expatriés'!$A$6:$L$15,2,FALSE))</f>
        <v/>
      </c>
      <c r="C57" s="6">
        <f>IF(A57="","",VLOOKUP(A57,'F01 - _Données Expatriés'!$A$6:$L$15,6,FALSE))</f>
        <v/>
      </c>
      <c r="D57" s="6" t="n"/>
      <c r="E57" s="6" t="n"/>
      <c r="F57" s="6" t="n"/>
      <c r="G57" s="6" t="n"/>
      <c r="H57" s="6" t="n"/>
      <c r="I57" s="6" t="n"/>
      <c r="J57" s="6" t="n"/>
      <c r="K57" s="6">
        <f>SUM(D57:J57)</f>
        <v/>
      </c>
      <c r="L57" s="6">
        <f>IF(K57="","",IF(K57&gt;55,"Dépassement",IF(K57&gt;48,"Attention","")))</f>
        <v/>
      </c>
    </row>
    <row r="58">
      <c r="A58" s="4" t="n"/>
      <c r="B58" s="4">
        <f>IF(A58="","",VLOOKUP(A58,'F01 - _Données Expatriés'!$A$6:$L$15,2,FALSE))</f>
        <v/>
      </c>
      <c r="C58" s="4">
        <f>IF(A58="","",VLOOKUP(A58,'F01 - _Données Expatriés'!$A$6:$L$15,6,FALSE))</f>
        <v/>
      </c>
      <c r="D58" s="4" t="n"/>
      <c r="E58" s="4" t="n"/>
      <c r="F58" s="4" t="n"/>
      <c r="G58" s="4" t="n"/>
      <c r="H58" s="4" t="n"/>
      <c r="I58" s="4" t="n"/>
      <c r="J58" s="4" t="n"/>
      <c r="K58" s="4">
        <f>SUM(D58:J58)</f>
        <v/>
      </c>
      <c r="L58" s="4">
        <f>IF(K58="","",IF(K58&gt;55,"Dépassement",IF(K58&gt;48,"Attention","")))</f>
        <v/>
      </c>
    </row>
    <row r="59">
      <c r="A59" s="6" t="n"/>
      <c r="B59" s="6">
        <f>IF(A59="","",VLOOKUP(A59,'F01 - _Données Expatriés'!$A$6:$L$15,2,FALSE))</f>
        <v/>
      </c>
      <c r="C59" s="6">
        <f>IF(A59="","",VLOOKUP(A59,'F01 - _Données Expatriés'!$A$6:$L$15,6,FALSE))</f>
        <v/>
      </c>
      <c r="D59" s="6" t="n"/>
      <c r="E59" s="6" t="n"/>
      <c r="F59" s="6" t="n"/>
      <c r="G59" s="6" t="n"/>
      <c r="H59" s="6" t="n"/>
      <c r="I59" s="6" t="n"/>
      <c r="J59" s="6" t="n"/>
      <c r="K59" s="6">
        <f>SUM(D59:J59)</f>
        <v/>
      </c>
      <c r="L59" s="6">
        <f>IF(K59="","",IF(K59&gt;55,"Dépassement",IF(K59&gt;48,"Attention","")))</f>
        <v/>
      </c>
    </row>
    <row r="60">
      <c r="A60" s="4" t="n"/>
      <c r="B60" s="4">
        <f>IF(A60="","",VLOOKUP(A60,'F01 - _Données Expatriés'!$A$6:$L$15,2,FALSE))</f>
        <v/>
      </c>
      <c r="C60" s="4">
        <f>IF(A60="","",VLOOKUP(A60,'F01 - _Données Expatriés'!$A$6:$L$15,6,FALSE))</f>
        <v/>
      </c>
      <c r="D60" s="4" t="n"/>
      <c r="E60" s="4" t="n"/>
      <c r="F60" s="4" t="n"/>
      <c r="G60" s="4" t="n"/>
      <c r="H60" s="4" t="n"/>
      <c r="I60" s="4" t="n"/>
      <c r="J60" s="4" t="n"/>
      <c r="K60" s="4">
        <f>SUM(D60:J60)</f>
        <v/>
      </c>
      <c r="L60" s="4">
        <f>IF(K60="","",IF(K60&gt;55,"Dépassement",IF(K60&gt;48,"Attention","")))</f>
        <v/>
      </c>
    </row>
    <row r="61">
      <c r="A61" s="6" t="n"/>
      <c r="B61" s="6">
        <f>IF(A61="","",VLOOKUP(A61,'F01 - _Données Expatriés'!$A$6:$L$15,2,FALSE))</f>
        <v/>
      </c>
      <c r="C61" s="6">
        <f>IF(A61="","",VLOOKUP(A61,'F01 - _Données Expatriés'!$A$6:$L$15,6,FALSE))</f>
        <v/>
      </c>
      <c r="D61" s="6" t="n"/>
      <c r="E61" s="6" t="n"/>
      <c r="F61" s="6" t="n"/>
      <c r="G61" s="6" t="n"/>
      <c r="H61" s="6" t="n"/>
      <c r="I61" s="6" t="n"/>
      <c r="J61" s="6" t="n"/>
      <c r="K61" s="6">
        <f>SUM(D61:J61)</f>
        <v/>
      </c>
      <c r="L61" s="6">
        <f>IF(K61="","",IF(K61&gt;55,"Dépassement",IF(K61&gt;48,"Attention","")))</f>
        <v/>
      </c>
    </row>
    <row r="62">
      <c r="A62" s="4" t="n"/>
      <c r="B62" s="4">
        <f>IF(A62="","",VLOOKUP(A62,'F01 - _Données Expatriés'!$A$6:$L$15,2,FALSE))</f>
        <v/>
      </c>
      <c r="C62" s="4">
        <f>IF(A62="","",VLOOKUP(A62,'F01 - _Données Expatriés'!$A$6:$L$15,6,FALSE))</f>
        <v/>
      </c>
      <c r="D62" s="4" t="n"/>
      <c r="E62" s="4" t="n"/>
      <c r="F62" s="4" t="n"/>
      <c r="G62" s="4" t="n"/>
      <c r="H62" s="4" t="n"/>
      <c r="I62" s="4" t="n"/>
      <c r="J62" s="4" t="n"/>
      <c r="K62" s="4">
        <f>SUM(D62:J62)</f>
        <v/>
      </c>
      <c r="L62" s="4">
        <f>IF(K62="","",IF(K62&gt;55,"Dépassement",IF(K62&gt;48,"Attention","")))</f>
        <v/>
      </c>
    </row>
    <row r="63">
      <c r="A63" s="6" t="n"/>
      <c r="B63" s="6">
        <f>IF(A63="","",VLOOKUP(A63,'F01 - _Données Expatriés'!$A$6:$L$15,2,FALSE))</f>
        <v/>
      </c>
      <c r="C63" s="6">
        <f>IF(A63="","",VLOOKUP(A63,'F01 - _Données Expatriés'!$A$6:$L$15,6,FALSE))</f>
        <v/>
      </c>
      <c r="D63" s="6" t="n"/>
      <c r="E63" s="6" t="n"/>
      <c r="F63" s="6" t="n"/>
      <c r="G63" s="6" t="n"/>
      <c r="H63" s="6" t="n"/>
      <c r="I63" s="6" t="n"/>
      <c r="J63" s="6" t="n"/>
      <c r="K63" s="6">
        <f>SUM(D63:J63)</f>
        <v/>
      </c>
      <c r="L63" s="6">
        <f>IF(K63="","",IF(K63&gt;55,"Dépassement",IF(K63&gt;48,"Attention","")))</f>
        <v/>
      </c>
    </row>
    <row r="64">
      <c r="A64" s="4" t="n"/>
      <c r="B64" s="4">
        <f>IF(A64="","",VLOOKUP(A64,'F01 - _Données Expatriés'!$A$6:$L$15,2,FALSE))</f>
        <v/>
      </c>
      <c r="C64" s="4">
        <f>IF(A64="","",VLOOKUP(A64,'F01 - _Données Expatriés'!$A$6:$L$15,6,FALSE))</f>
        <v/>
      </c>
      <c r="D64" s="4" t="n"/>
      <c r="E64" s="4" t="n"/>
      <c r="F64" s="4" t="n"/>
      <c r="G64" s="4" t="n"/>
      <c r="H64" s="4" t="n"/>
      <c r="I64" s="4" t="n"/>
      <c r="J64" s="4" t="n"/>
      <c r="K64" s="4">
        <f>SUM(D64:J64)</f>
        <v/>
      </c>
      <c r="L64" s="4">
        <f>IF(K64="","",IF(K64&gt;55,"Dépassement",IF(K64&gt;48,"Attention","")))</f>
        <v/>
      </c>
    </row>
    <row r="65">
      <c r="A65" s="6" t="n"/>
      <c r="B65" s="6">
        <f>IF(A65="","",VLOOKUP(A65,'F01 - _Données Expatriés'!$A$6:$L$15,2,FALSE))</f>
        <v/>
      </c>
      <c r="C65" s="6">
        <f>IF(A65="","",VLOOKUP(A65,'F01 - _Données Expatriés'!$A$6:$L$15,6,FALSE))</f>
        <v/>
      </c>
      <c r="D65" s="6" t="n"/>
      <c r="E65" s="6" t="n"/>
      <c r="F65" s="6" t="n"/>
      <c r="G65" s="6" t="n"/>
      <c r="H65" s="6" t="n"/>
      <c r="I65" s="6" t="n"/>
      <c r="J65" s="6" t="n"/>
      <c r="K65" s="6">
        <f>SUM(D65:J65)</f>
        <v/>
      </c>
      <c r="L65" s="6">
        <f>IF(K65="","",IF(K65&gt;55,"Dépassement",IF(K65&gt;48,"Attention","")))</f>
        <v/>
      </c>
    </row>
    <row r="66">
      <c r="A66" s="4" t="n"/>
      <c r="B66" s="4">
        <f>IF(A66="","",VLOOKUP(A66,'F01 - _Données Expatriés'!$A$6:$L$15,2,FALSE))</f>
        <v/>
      </c>
      <c r="C66" s="4">
        <f>IF(A66="","",VLOOKUP(A66,'F01 - _Données Expatriés'!$A$6:$L$15,6,FALSE))</f>
        <v/>
      </c>
      <c r="D66" s="4" t="n"/>
      <c r="E66" s="4" t="n"/>
      <c r="F66" s="4" t="n"/>
      <c r="G66" s="4" t="n"/>
      <c r="H66" s="4" t="n"/>
      <c r="I66" s="4" t="n"/>
      <c r="J66" s="4" t="n"/>
      <c r="K66" s="4">
        <f>SUM(D66:J66)</f>
        <v/>
      </c>
      <c r="L66" s="4">
        <f>IF(K66="","",IF(K66&gt;55,"Dépassement",IF(K66&gt;48,"Attention","")))</f>
        <v/>
      </c>
    </row>
    <row r="67">
      <c r="A67" s="6" t="n"/>
      <c r="B67" s="6">
        <f>IF(A67="","",VLOOKUP(A67,'F01 - _Données Expatriés'!$A$6:$L$15,2,FALSE))</f>
        <v/>
      </c>
      <c r="C67" s="6">
        <f>IF(A67="","",VLOOKUP(A67,'F01 - _Données Expatriés'!$A$6:$L$15,6,FALSE))</f>
        <v/>
      </c>
      <c r="D67" s="6" t="n"/>
      <c r="E67" s="6" t="n"/>
      <c r="F67" s="6" t="n"/>
      <c r="G67" s="6" t="n"/>
      <c r="H67" s="6" t="n"/>
      <c r="I67" s="6" t="n"/>
      <c r="J67" s="6" t="n"/>
      <c r="K67" s="6">
        <f>SUM(D67:J67)</f>
        <v/>
      </c>
      <c r="L67" s="6">
        <f>IF(K67="","",IF(K67&gt;55,"Dépassement",IF(K67&gt;48,"Attention","")))</f>
        <v/>
      </c>
    </row>
    <row r="68">
      <c r="A68" s="4" t="n"/>
      <c r="B68" s="4">
        <f>IF(A68="","",VLOOKUP(A68,'F01 - _Données Expatriés'!$A$6:$L$15,2,FALSE))</f>
        <v/>
      </c>
      <c r="C68" s="4">
        <f>IF(A68="","",VLOOKUP(A68,'F01 - _Données Expatriés'!$A$6:$L$15,6,FALSE))</f>
        <v/>
      </c>
      <c r="D68" s="4" t="n"/>
      <c r="E68" s="4" t="n"/>
      <c r="F68" s="4" t="n"/>
      <c r="G68" s="4" t="n"/>
      <c r="H68" s="4" t="n"/>
      <c r="I68" s="4" t="n"/>
      <c r="J68" s="4" t="n"/>
      <c r="K68" s="4">
        <f>SUM(D68:J68)</f>
        <v/>
      </c>
      <c r="L68" s="4">
        <f>IF(K68="","",IF(K68&gt;55,"Dépassement",IF(K68&gt;48,"Attention","")))</f>
        <v/>
      </c>
    </row>
    <row r="69">
      <c r="A69" s="6" t="n"/>
      <c r="B69" s="6">
        <f>IF(A69="","",VLOOKUP(A69,'F01 - _Données Expatriés'!$A$6:$L$15,2,FALSE))</f>
        <v/>
      </c>
      <c r="C69" s="6">
        <f>IF(A69="","",VLOOKUP(A69,'F01 - _Données Expatriés'!$A$6:$L$15,6,FALSE))</f>
        <v/>
      </c>
      <c r="D69" s="6" t="n"/>
      <c r="E69" s="6" t="n"/>
      <c r="F69" s="6" t="n"/>
      <c r="G69" s="6" t="n"/>
      <c r="H69" s="6" t="n"/>
      <c r="I69" s="6" t="n"/>
      <c r="J69" s="6" t="n"/>
      <c r="K69" s="6">
        <f>SUM(D69:J69)</f>
        <v/>
      </c>
      <c r="L69" s="6">
        <f>IF(K69="","",IF(K69&gt;55,"Dépassement",IF(K69&gt;48,"Attention","")))</f>
        <v/>
      </c>
    </row>
    <row r="70">
      <c r="A70" s="4" t="n"/>
      <c r="B70" s="4">
        <f>IF(A70="","",VLOOKUP(A70,'F01 - _Données Expatriés'!$A$6:$L$15,2,FALSE))</f>
        <v/>
      </c>
      <c r="C70" s="4">
        <f>IF(A70="","",VLOOKUP(A70,'F01 - _Données Expatriés'!$A$6:$L$15,6,FALSE))</f>
        <v/>
      </c>
      <c r="D70" s="4" t="n"/>
      <c r="E70" s="4" t="n"/>
      <c r="F70" s="4" t="n"/>
      <c r="G70" s="4" t="n"/>
      <c r="H70" s="4" t="n"/>
      <c r="I70" s="4" t="n"/>
      <c r="J70" s="4" t="n"/>
      <c r="K70" s="4">
        <f>SUM(D70:J70)</f>
        <v/>
      </c>
      <c r="L70" s="4">
        <f>IF(K70="","",IF(K70&gt;55,"Dépassement",IF(K70&gt;48,"Attention","")))</f>
        <v/>
      </c>
    </row>
    <row r="71">
      <c r="A71" s="6" t="n"/>
      <c r="B71" s="6">
        <f>IF(A71="","",VLOOKUP(A71,'F01 - _Données Expatriés'!$A$6:$L$15,2,FALSE))</f>
        <v/>
      </c>
      <c r="C71" s="6">
        <f>IF(A71="","",VLOOKUP(A71,'F01 - _Données Expatriés'!$A$6:$L$15,6,FALSE))</f>
        <v/>
      </c>
      <c r="D71" s="6" t="n"/>
      <c r="E71" s="6" t="n"/>
      <c r="F71" s="6" t="n"/>
      <c r="G71" s="6" t="n"/>
      <c r="H71" s="6" t="n"/>
      <c r="I71" s="6" t="n"/>
      <c r="J71" s="6" t="n"/>
      <c r="K71" s="6">
        <f>SUM(D71:J71)</f>
        <v/>
      </c>
      <c r="L71" s="6">
        <f>IF(K71="","",IF(K71&gt;55,"Dépassement",IF(K71&gt;48,"Attention","")))</f>
        <v/>
      </c>
    </row>
    <row r="72">
      <c r="A72" s="4" t="n"/>
      <c r="B72" s="4">
        <f>IF(A72="","",VLOOKUP(A72,'F01 - _Données Expatriés'!$A$6:$L$15,2,FALSE))</f>
        <v/>
      </c>
      <c r="C72" s="4">
        <f>IF(A72="","",VLOOKUP(A72,'F01 - _Données Expatriés'!$A$6:$L$15,6,FALSE))</f>
        <v/>
      </c>
      <c r="D72" s="4" t="n"/>
      <c r="E72" s="4" t="n"/>
      <c r="F72" s="4" t="n"/>
      <c r="G72" s="4" t="n"/>
      <c r="H72" s="4" t="n"/>
      <c r="I72" s="4" t="n"/>
      <c r="J72" s="4" t="n"/>
      <c r="K72" s="4">
        <f>SUM(D72:J72)</f>
        <v/>
      </c>
      <c r="L72" s="4">
        <f>IF(K72="","",IF(K72&gt;55,"Dépassement",IF(K72&gt;48,"Attention","")))</f>
        <v/>
      </c>
    </row>
    <row r="73">
      <c r="A73" s="6" t="n"/>
      <c r="B73" s="6">
        <f>IF(A73="","",VLOOKUP(A73,'F01 - _Données Expatriés'!$A$6:$L$15,2,FALSE))</f>
        <v/>
      </c>
      <c r="C73" s="6">
        <f>IF(A73="","",VLOOKUP(A73,'F01 - _Données Expatriés'!$A$6:$L$15,6,FALSE))</f>
        <v/>
      </c>
      <c r="D73" s="6" t="n"/>
      <c r="E73" s="6" t="n"/>
      <c r="F73" s="6" t="n"/>
      <c r="G73" s="6" t="n"/>
      <c r="H73" s="6" t="n"/>
      <c r="I73" s="6" t="n"/>
      <c r="J73" s="6" t="n"/>
      <c r="K73" s="6">
        <f>SUM(D73:J73)</f>
        <v/>
      </c>
      <c r="L73" s="6">
        <f>IF(K73="","",IF(K73&gt;55,"Dépassement",IF(K73&gt;48,"Attention","")))</f>
        <v/>
      </c>
    </row>
    <row r="74">
      <c r="A74" s="4" t="n"/>
      <c r="B74" s="4">
        <f>IF(A74="","",VLOOKUP(A74,'F01 - _Données Expatriés'!$A$6:$L$15,2,FALSE))</f>
        <v/>
      </c>
      <c r="C74" s="4">
        <f>IF(A74="","",VLOOKUP(A74,'F01 - _Données Expatriés'!$A$6:$L$15,6,FALSE))</f>
        <v/>
      </c>
      <c r="D74" s="4" t="n"/>
      <c r="E74" s="4" t="n"/>
      <c r="F74" s="4" t="n"/>
      <c r="G74" s="4" t="n"/>
      <c r="H74" s="4" t="n"/>
      <c r="I74" s="4" t="n"/>
      <c r="J74" s="4" t="n"/>
      <c r="K74" s="4">
        <f>SUM(D74:J74)</f>
        <v/>
      </c>
      <c r="L74" s="4">
        <f>IF(K74="","",IF(K74&gt;55,"Dépassement",IF(K74&gt;48,"Attention","")))</f>
        <v/>
      </c>
    </row>
    <row r="75">
      <c r="A75" s="6" t="n"/>
      <c r="B75" s="6">
        <f>IF(A75="","",VLOOKUP(A75,'F01 - _Données Expatriés'!$A$6:$L$15,2,FALSE))</f>
        <v/>
      </c>
      <c r="C75" s="6">
        <f>IF(A75="","",VLOOKUP(A75,'F01 - _Données Expatriés'!$A$6:$L$15,6,FALSE))</f>
        <v/>
      </c>
      <c r="D75" s="6" t="n"/>
      <c r="E75" s="6" t="n"/>
      <c r="F75" s="6" t="n"/>
      <c r="G75" s="6" t="n"/>
      <c r="H75" s="6" t="n"/>
      <c r="I75" s="6" t="n"/>
      <c r="J75" s="6" t="n"/>
      <c r="K75" s="6">
        <f>SUM(D75:J75)</f>
        <v/>
      </c>
      <c r="L75" s="6">
        <f>IF(K75="","",IF(K75&gt;55,"Dépassement",IF(K75&gt;48,"Attention","")))</f>
        <v/>
      </c>
    </row>
    <row r="76">
      <c r="A76" s="4" t="n"/>
      <c r="B76" s="4">
        <f>IF(A76="","",VLOOKUP(A76,'F01 - _Données Expatriés'!$A$6:$L$15,2,FALSE))</f>
        <v/>
      </c>
      <c r="C76" s="4">
        <f>IF(A76="","",VLOOKUP(A76,'F01 - _Données Expatriés'!$A$6:$L$15,6,FALSE))</f>
        <v/>
      </c>
      <c r="D76" s="4" t="n"/>
      <c r="E76" s="4" t="n"/>
      <c r="F76" s="4" t="n"/>
      <c r="G76" s="4" t="n"/>
      <c r="H76" s="4" t="n"/>
      <c r="I76" s="4" t="n"/>
      <c r="J76" s="4" t="n"/>
      <c r="K76" s="4">
        <f>SUM(D76:J76)</f>
        <v/>
      </c>
      <c r="L76" s="4">
        <f>IF(K76="","",IF(K76&gt;55,"Dépassement",IF(K76&gt;48,"Attention","")))</f>
        <v/>
      </c>
    </row>
    <row r="77">
      <c r="A77" s="6" t="n"/>
      <c r="B77" s="6">
        <f>IF(A77="","",VLOOKUP(A77,'F01 - _Données Expatriés'!$A$6:$L$15,2,FALSE))</f>
        <v/>
      </c>
      <c r="C77" s="6">
        <f>IF(A77="","",VLOOKUP(A77,'F01 - _Données Expatriés'!$A$6:$L$15,6,FALSE))</f>
        <v/>
      </c>
      <c r="D77" s="6" t="n"/>
      <c r="E77" s="6" t="n"/>
      <c r="F77" s="6" t="n"/>
      <c r="G77" s="6" t="n"/>
      <c r="H77" s="6" t="n"/>
      <c r="I77" s="6" t="n"/>
      <c r="J77" s="6" t="n"/>
      <c r="K77" s="6">
        <f>SUM(D77:J77)</f>
        <v/>
      </c>
      <c r="L77" s="6">
        <f>IF(K77="","",IF(K77&gt;55,"Dépassement",IF(K77&gt;48,"Attention","")))</f>
        <v/>
      </c>
    </row>
    <row r="78">
      <c r="A78" s="4" t="n"/>
      <c r="B78" s="4">
        <f>IF(A78="","",VLOOKUP(A78,'F01 - _Données Expatriés'!$A$6:$L$15,2,FALSE))</f>
        <v/>
      </c>
      <c r="C78" s="4">
        <f>IF(A78="","",VLOOKUP(A78,'F01 - _Données Expatriés'!$A$6:$L$15,6,FALSE))</f>
        <v/>
      </c>
      <c r="D78" s="4" t="n"/>
      <c r="E78" s="4" t="n"/>
      <c r="F78" s="4" t="n"/>
      <c r="G78" s="4" t="n"/>
      <c r="H78" s="4" t="n"/>
      <c r="I78" s="4" t="n"/>
      <c r="J78" s="4" t="n"/>
      <c r="K78" s="4">
        <f>SUM(D78:J78)</f>
        <v/>
      </c>
      <c r="L78" s="4">
        <f>IF(K78="","",IF(K78&gt;55,"Dépassement",IF(K78&gt;48,"Attention","")))</f>
        <v/>
      </c>
    </row>
    <row r="79">
      <c r="A79" s="6" t="n"/>
      <c r="B79" s="6">
        <f>IF(A79="","",VLOOKUP(A79,'F01 - _Données Expatriés'!$A$6:$L$15,2,FALSE))</f>
        <v/>
      </c>
      <c r="C79" s="6">
        <f>IF(A79="","",VLOOKUP(A79,'F01 - _Données Expatriés'!$A$6:$L$15,6,FALSE))</f>
        <v/>
      </c>
      <c r="D79" s="6" t="n"/>
      <c r="E79" s="6" t="n"/>
      <c r="F79" s="6" t="n"/>
      <c r="G79" s="6" t="n"/>
      <c r="H79" s="6" t="n"/>
      <c r="I79" s="6" t="n"/>
      <c r="J79" s="6" t="n"/>
      <c r="K79" s="6">
        <f>SUM(D79:J79)</f>
        <v/>
      </c>
      <c r="L79" s="6">
        <f>IF(K79="","",IF(K79&gt;55,"Dépassement",IF(K79&gt;48,"Attention","")))</f>
        <v/>
      </c>
    </row>
    <row r="80">
      <c r="A80" s="4" t="n"/>
      <c r="B80" s="4">
        <f>IF(A80="","",VLOOKUP(A80,'F01 - _Données Expatriés'!$A$6:$L$15,2,FALSE))</f>
        <v/>
      </c>
      <c r="C80" s="4">
        <f>IF(A80="","",VLOOKUP(A80,'F01 - _Données Expatriés'!$A$6:$L$15,6,FALSE))</f>
        <v/>
      </c>
      <c r="D80" s="4" t="n"/>
      <c r="E80" s="4" t="n"/>
      <c r="F80" s="4" t="n"/>
      <c r="G80" s="4" t="n"/>
      <c r="H80" s="4" t="n"/>
      <c r="I80" s="4" t="n"/>
      <c r="J80" s="4" t="n"/>
      <c r="K80" s="4">
        <f>SUM(D80:J80)</f>
        <v/>
      </c>
      <c r="L80" s="4">
        <f>IF(K80="","",IF(K80&gt;55,"Dépassement",IF(K80&gt;48,"Attention","")))</f>
        <v/>
      </c>
    </row>
    <row r="81">
      <c r="A81" s="6" t="n"/>
      <c r="B81" s="6">
        <f>IF(A81="","",VLOOKUP(A81,'F01 - _Données Expatriés'!$A$6:$L$15,2,FALSE))</f>
        <v/>
      </c>
      <c r="C81" s="6">
        <f>IF(A81="","",VLOOKUP(A81,'F01 - _Données Expatriés'!$A$6:$L$15,6,FALSE))</f>
        <v/>
      </c>
      <c r="D81" s="6" t="n"/>
      <c r="E81" s="6" t="n"/>
      <c r="F81" s="6" t="n"/>
      <c r="G81" s="6" t="n"/>
      <c r="H81" s="6" t="n"/>
      <c r="I81" s="6" t="n"/>
      <c r="J81" s="6" t="n"/>
      <c r="K81" s="6">
        <f>SUM(D81:J81)</f>
        <v/>
      </c>
      <c r="L81" s="6">
        <f>IF(K81="","",IF(K81&gt;55,"Dépassement",IF(K81&gt;48,"Attention","")))</f>
        <v/>
      </c>
    </row>
    <row r="82">
      <c r="A82" s="4" t="n"/>
      <c r="B82" s="4">
        <f>IF(A82="","",VLOOKUP(A82,'F01 - _Données Expatriés'!$A$6:$L$15,2,FALSE))</f>
        <v/>
      </c>
      <c r="C82" s="4">
        <f>IF(A82="","",VLOOKUP(A82,'F01 - _Données Expatriés'!$A$6:$L$15,6,FALSE))</f>
        <v/>
      </c>
      <c r="D82" s="4" t="n"/>
      <c r="E82" s="4" t="n"/>
      <c r="F82" s="4" t="n"/>
      <c r="G82" s="4" t="n"/>
      <c r="H82" s="4" t="n"/>
      <c r="I82" s="4" t="n"/>
      <c r="J82" s="4" t="n"/>
      <c r="K82" s="4">
        <f>SUM(D82:J82)</f>
        <v/>
      </c>
      <c r="L82" s="4">
        <f>IF(K82="","",IF(K82&gt;55,"Dépassement",IF(K82&gt;48,"Attention","")))</f>
        <v/>
      </c>
    </row>
    <row r="83">
      <c r="A83" s="6" t="n"/>
      <c r="B83" s="6">
        <f>IF(A83="","",VLOOKUP(A83,'F01 - _Données Expatriés'!$A$6:$L$15,2,FALSE))</f>
        <v/>
      </c>
      <c r="C83" s="6">
        <f>IF(A83="","",VLOOKUP(A83,'F01 - _Données Expatriés'!$A$6:$L$15,6,FALSE))</f>
        <v/>
      </c>
      <c r="D83" s="6" t="n"/>
      <c r="E83" s="6" t="n"/>
      <c r="F83" s="6" t="n"/>
      <c r="G83" s="6" t="n"/>
      <c r="H83" s="6" t="n"/>
      <c r="I83" s="6" t="n"/>
      <c r="J83" s="6" t="n"/>
      <c r="K83" s="6">
        <f>SUM(D83:J83)</f>
        <v/>
      </c>
      <c r="L83" s="6">
        <f>IF(K83="","",IF(K83&gt;55,"Dépassement",IF(K83&gt;48,"Attention","")))</f>
        <v/>
      </c>
    </row>
    <row r="84">
      <c r="A84" s="4" t="n"/>
      <c r="B84" s="4">
        <f>IF(A84="","",VLOOKUP(A84,'F01 - _Données Expatriés'!$A$6:$L$15,2,FALSE))</f>
        <v/>
      </c>
      <c r="C84" s="4">
        <f>IF(A84="","",VLOOKUP(A84,'F01 - _Données Expatriés'!$A$6:$L$15,6,FALSE))</f>
        <v/>
      </c>
      <c r="D84" s="4" t="n"/>
      <c r="E84" s="4" t="n"/>
      <c r="F84" s="4" t="n"/>
      <c r="G84" s="4" t="n"/>
      <c r="H84" s="4" t="n"/>
      <c r="I84" s="4" t="n"/>
      <c r="J84" s="4" t="n"/>
      <c r="K84" s="4">
        <f>SUM(D84:J84)</f>
        <v/>
      </c>
      <c r="L84" s="4">
        <f>IF(K84="","",IF(K84&gt;55,"Dépassement",IF(K84&gt;48,"Attention","")))</f>
        <v/>
      </c>
    </row>
    <row r="85">
      <c r="A85" s="6" t="n"/>
      <c r="B85" s="6">
        <f>IF(A85="","",VLOOKUP(A85,'F01 - _Données Expatriés'!$A$6:$L$15,2,FALSE))</f>
        <v/>
      </c>
      <c r="C85" s="6">
        <f>IF(A85="","",VLOOKUP(A85,'F01 - _Données Expatriés'!$A$6:$L$15,6,FALSE))</f>
        <v/>
      </c>
      <c r="D85" s="6" t="n"/>
      <c r="E85" s="6" t="n"/>
      <c r="F85" s="6" t="n"/>
      <c r="G85" s="6" t="n"/>
      <c r="H85" s="6" t="n"/>
      <c r="I85" s="6" t="n"/>
      <c r="J85" s="6" t="n"/>
      <c r="K85" s="6">
        <f>SUM(D85:J85)</f>
        <v/>
      </c>
      <c r="L85" s="6">
        <f>IF(K85="","",IF(K85&gt;55,"Dépassement",IF(K85&gt;48,"Attention","")))</f>
        <v/>
      </c>
    </row>
    <row r="86">
      <c r="A86" s="4" t="n"/>
      <c r="B86" s="4">
        <f>IF(A86="","",VLOOKUP(A86,'F01 - _Données Expatriés'!$A$6:$L$15,2,FALSE))</f>
        <v/>
      </c>
      <c r="C86" s="4">
        <f>IF(A86="","",VLOOKUP(A86,'F01 - _Données Expatriés'!$A$6:$L$15,6,FALSE))</f>
        <v/>
      </c>
      <c r="D86" s="4" t="n"/>
      <c r="E86" s="4" t="n"/>
      <c r="F86" s="4" t="n"/>
      <c r="G86" s="4" t="n"/>
      <c r="H86" s="4" t="n"/>
      <c r="I86" s="4" t="n"/>
      <c r="J86" s="4" t="n"/>
      <c r="K86" s="4">
        <f>SUM(D86:J86)</f>
        <v/>
      </c>
      <c r="L86" s="4">
        <f>IF(K86="","",IF(K86&gt;55,"Dépassement",IF(K86&gt;48,"Attention","")))</f>
        <v/>
      </c>
    </row>
    <row r="87">
      <c r="A87" s="6" t="n"/>
      <c r="B87" s="6">
        <f>IF(A87="","",VLOOKUP(A87,'F01 - _Données Expatriés'!$A$6:$L$15,2,FALSE))</f>
        <v/>
      </c>
      <c r="C87" s="6">
        <f>IF(A87="","",VLOOKUP(A87,'F01 - _Données Expatriés'!$A$6:$L$15,6,FALSE))</f>
        <v/>
      </c>
      <c r="D87" s="6" t="n"/>
      <c r="E87" s="6" t="n"/>
      <c r="F87" s="6" t="n"/>
      <c r="G87" s="6" t="n"/>
      <c r="H87" s="6" t="n"/>
      <c r="I87" s="6" t="n"/>
      <c r="J87" s="6" t="n"/>
      <c r="K87" s="6">
        <f>SUM(D87:J87)</f>
        <v/>
      </c>
      <c r="L87" s="6">
        <f>IF(K87="","",IF(K87&gt;55,"Dépassement",IF(K87&gt;48,"Attention","")))</f>
        <v/>
      </c>
    </row>
    <row r="88">
      <c r="A88" s="4" t="n"/>
      <c r="B88" s="4">
        <f>IF(A88="","",VLOOKUP(A88,'F01 - _Données Expatriés'!$A$6:$L$15,2,FALSE))</f>
        <v/>
      </c>
      <c r="C88" s="4">
        <f>IF(A88="","",VLOOKUP(A88,'F01 - _Données Expatriés'!$A$6:$L$15,6,FALSE))</f>
        <v/>
      </c>
      <c r="D88" s="4" t="n"/>
      <c r="E88" s="4" t="n"/>
      <c r="F88" s="4" t="n"/>
      <c r="G88" s="4" t="n"/>
      <c r="H88" s="4" t="n"/>
      <c r="I88" s="4" t="n"/>
      <c r="J88" s="4" t="n"/>
      <c r="K88" s="4">
        <f>SUM(D88:J88)</f>
        <v/>
      </c>
      <c r="L88" s="4">
        <f>IF(K88="","",IF(K88&gt;55,"Dépassement",IF(K88&gt;48,"Attention","")))</f>
        <v/>
      </c>
    </row>
    <row r="89">
      <c r="A89" s="6" t="n"/>
      <c r="B89" s="6">
        <f>IF(A89="","",VLOOKUP(A89,'F01 - _Données Expatriés'!$A$6:$L$15,2,FALSE))</f>
        <v/>
      </c>
      <c r="C89" s="6">
        <f>IF(A89="","",VLOOKUP(A89,'F01 - _Données Expatriés'!$A$6:$L$15,6,FALSE))</f>
        <v/>
      </c>
      <c r="D89" s="6" t="n"/>
      <c r="E89" s="6" t="n"/>
      <c r="F89" s="6" t="n"/>
      <c r="G89" s="6" t="n"/>
      <c r="H89" s="6" t="n"/>
      <c r="I89" s="6" t="n"/>
      <c r="J89" s="6" t="n"/>
      <c r="K89" s="6">
        <f>SUM(D89:J89)</f>
        <v/>
      </c>
      <c r="L89" s="6">
        <f>IF(K89="","",IF(K89&gt;55,"Dépassement",IF(K89&gt;48,"Attention","")))</f>
        <v/>
      </c>
    </row>
    <row r="90">
      <c r="A90" s="4" t="n"/>
      <c r="B90" s="4">
        <f>IF(A90="","",VLOOKUP(A90,'F01 - _Données Expatriés'!$A$6:$L$15,2,FALSE))</f>
        <v/>
      </c>
      <c r="C90" s="4">
        <f>IF(A90="","",VLOOKUP(A90,'F01 - _Données Expatriés'!$A$6:$L$15,6,FALSE))</f>
        <v/>
      </c>
      <c r="D90" s="4" t="n"/>
      <c r="E90" s="4" t="n"/>
      <c r="F90" s="4" t="n"/>
      <c r="G90" s="4" t="n"/>
      <c r="H90" s="4" t="n"/>
      <c r="I90" s="4" t="n"/>
      <c r="J90" s="4" t="n"/>
      <c r="K90" s="4">
        <f>SUM(D90:J90)</f>
        <v/>
      </c>
      <c r="L90" s="4">
        <f>IF(K90="","",IF(K90&gt;55,"Dépassement",IF(K90&gt;48,"Attention","")))</f>
        <v/>
      </c>
    </row>
    <row r="91">
      <c r="A91" s="6" t="n"/>
      <c r="B91" s="6">
        <f>IF(A91="","",VLOOKUP(A91,'F01 - _Données Expatriés'!$A$6:$L$15,2,FALSE))</f>
        <v/>
      </c>
      <c r="C91" s="6">
        <f>IF(A91="","",VLOOKUP(A91,'F01 - _Données Expatriés'!$A$6:$L$15,6,FALSE))</f>
        <v/>
      </c>
      <c r="D91" s="6" t="n"/>
      <c r="E91" s="6" t="n"/>
      <c r="F91" s="6" t="n"/>
      <c r="G91" s="6" t="n"/>
      <c r="H91" s="6" t="n"/>
      <c r="I91" s="6" t="n"/>
      <c r="J91" s="6" t="n"/>
      <c r="K91" s="6">
        <f>SUM(D91:J91)</f>
        <v/>
      </c>
      <c r="L91" s="6">
        <f>IF(K91="","",IF(K91&gt;55,"Dépassement",IF(K91&gt;48,"Attention","")))</f>
        <v/>
      </c>
    </row>
    <row r="92">
      <c r="A92" s="4" t="n"/>
      <c r="B92" s="4">
        <f>IF(A92="","",VLOOKUP(A92,'F01 - _Données Expatriés'!$A$6:$L$15,2,FALSE))</f>
        <v/>
      </c>
      <c r="C92" s="4">
        <f>IF(A92="","",VLOOKUP(A92,'F01 - _Données Expatriés'!$A$6:$L$15,6,FALSE))</f>
        <v/>
      </c>
      <c r="D92" s="4" t="n"/>
      <c r="E92" s="4" t="n"/>
      <c r="F92" s="4" t="n"/>
      <c r="G92" s="4" t="n"/>
      <c r="H92" s="4" t="n"/>
      <c r="I92" s="4" t="n"/>
      <c r="J92" s="4" t="n"/>
      <c r="K92" s="4">
        <f>SUM(D92:J92)</f>
        <v/>
      </c>
      <c r="L92" s="4">
        <f>IF(K92="","",IF(K92&gt;55,"Dépassement",IF(K92&gt;48,"Attention","")))</f>
        <v/>
      </c>
    </row>
    <row r="93">
      <c r="A93" s="6" t="n"/>
      <c r="B93" s="6">
        <f>IF(A93="","",VLOOKUP(A93,'F01 - _Données Expatriés'!$A$6:$L$15,2,FALSE))</f>
        <v/>
      </c>
      <c r="C93" s="6">
        <f>IF(A93="","",VLOOKUP(A93,'F01 - _Données Expatriés'!$A$6:$L$15,6,FALSE))</f>
        <v/>
      </c>
      <c r="D93" s="6" t="n"/>
      <c r="E93" s="6" t="n"/>
      <c r="F93" s="6" t="n"/>
      <c r="G93" s="6" t="n"/>
      <c r="H93" s="6" t="n"/>
      <c r="I93" s="6" t="n"/>
      <c r="J93" s="6" t="n"/>
      <c r="K93" s="6">
        <f>SUM(D93:J93)</f>
        <v/>
      </c>
      <c r="L93" s="6">
        <f>IF(K93="","",IF(K93&gt;55,"Dépassement",IF(K93&gt;48,"Attention","")))</f>
        <v/>
      </c>
    </row>
    <row r="94">
      <c r="A94" s="4" t="n"/>
      <c r="B94" s="4">
        <f>IF(A94="","",VLOOKUP(A94,'F01 - _Données Expatriés'!$A$6:$L$15,2,FALSE))</f>
        <v/>
      </c>
      <c r="C94" s="4">
        <f>IF(A94="","",VLOOKUP(A94,'F01 - _Données Expatriés'!$A$6:$L$15,6,FALSE))</f>
        <v/>
      </c>
      <c r="D94" s="4" t="n"/>
      <c r="E94" s="4" t="n"/>
      <c r="F94" s="4" t="n"/>
      <c r="G94" s="4" t="n"/>
      <c r="H94" s="4" t="n"/>
      <c r="I94" s="4" t="n"/>
      <c r="J94" s="4" t="n"/>
      <c r="K94" s="4">
        <f>SUM(D94:J94)</f>
        <v/>
      </c>
      <c r="L94" s="4">
        <f>IF(K94="","",IF(K94&gt;55,"Dépassement",IF(K94&gt;48,"Attention","")))</f>
        <v/>
      </c>
    </row>
    <row r="95">
      <c r="A95" s="6" t="n"/>
      <c r="B95" s="6">
        <f>IF(A95="","",VLOOKUP(A95,'F01 - _Données Expatriés'!$A$6:$L$15,2,FALSE))</f>
        <v/>
      </c>
      <c r="C95" s="6">
        <f>IF(A95="","",VLOOKUP(A95,'F01 - _Données Expatriés'!$A$6:$L$15,6,FALSE))</f>
        <v/>
      </c>
      <c r="D95" s="6" t="n"/>
      <c r="E95" s="6" t="n"/>
      <c r="F95" s="6" t="n"/>
      <c r="G95" s="6" t="n"/>
      <c r="H95" s="6" t="n"/>
      <c r="I95" s="6" t="n"/>
      <c r="J95" s="6" t="n"/>
      <c r="K95" s="6">
        <f>SUM(D95:J95)</f>
        <v/>
      </c>
      <c r="L95" s="6">
        <f>IF(K95="","",IF(K95&gt;55,"Dépassement",IF(K95&gt;48,"Attention","")))</f>
        <v/>
      </c>
    </row>
    <row r="96">
      <c r="A96" s="4" t="n"/>
      <c r="B96" s="4">
        <f>IF(A96="","",VLOOKUP(A96,'F01 - _Données Expatriés'!$A$6:$L$15,2,FALSE))</f>
        <v/>
      </c>
      <c r="C96" s="4">
        <f>IF(A96="","",VLOOKUP(A96,'F01 - _Données Expatriés'!$A$6:$L$15,6,FALSE))</f>
        <v/>
      </c>
      <c r="D96" s="4" t="n"/>
      <c r="E96" s="4" t="n"/>
      <c r="F96" s="4" t="n"/>
      <c r="G96" s="4" t="n"/>
      <c r="H96" s="4" t="n"/>
      <c r="I96" s="4" t="n"/>
      <c r="J96" s="4" t="n"/>
      <c r="K96" s="4">
        <f>SUM(D96:J96)</f>
        <v/>
      </c>
      <c r="L96" s="4">
        <f>IF(K96="","",IF(K96&gt;55,"Dépassement",IF(K96&gt;48,"Attention","")))</f>
        <v/>
      </c>
    </row>
    <row r="97">
      <c r="A97" s="6" t="n"/>
      <c r="B97" s="6">
        <f>IF(A97="","",VLOOKUP(A97,'F01 - _Données Expatriés'!$A$6:$L$15,2,FALSE))</f>
        <v/>
      </c>
      <c r="C97" s="6">
        <f>IF(A97="","",VLOOKUP(A97,'F01 - _Données Expatriés'!$A$6:$L$15,6,FALSE))</f>
        <v/>
      </c>
      <c r="D97" s="6" t="n"/>
      <c r="E97" s="6" t="n"/>
      <c r="F97" s="6" t="n"/>
      <c r="G97" s="6" t="n"/>
      <c r="H97" s="6" t="n"/>
      <c r="I97" s="6" t="n"/>
      <c r="J97" s="6" t="n"/>
      <c r="K97" s="6">
        <f>SUM(D97:J97)</f>
        <v/>
      </c>
      <c r="L97" s="6">
        <f>IF(K97="","",IF(K97&gt;55,"Dépassement",IF(K97&gt;48,"Attention","")))</f>
        <v/>
      </c>
    </row>
    <row r="98">
      <c r="A98" s="4" t="n"/>
      <c r="B98" s="4">
        <f>IF(A98="","",VLOOKUP(A98,'F01 - _Données Expatriés'!$A$6:$L$15,2,FALSE))</f>
        <v/>
      </c>
      <c r="C98" s="4">
        <f>IF(A98="","",VLOOKUP(A98,'F01 - _Données Expatriés'!$A$6:$L$15,6,FALSE))</f>
        <v/>
      </c>
      <c r="D98" s="4" t="n"/>
      <c r="E98" s="4" t="n"/>
      <c r="F98" s="4" t="n"/>
      <c r="G98" s="4" t="n"/>
      <c r="H98" s="4" t="n"/>
      <c r="I98" s="4" t="n"/>
      <c r="J98" s="4" t="n"/>
      <c r="K98" s="4">
        <f>SUM(D98:J98)</f>
        <v/>
      </c>
      <c r="L98" s="4">
        <f>IF(K98="","",IF(K98&gt;55,"Dépassement",IF(K98&gt;48,"Attention","")))</f>
        <v/>
      </c>
    </row>
    <row r="99">
      <c r="A99" s="6" t="n"/>
      <c r="B99" s="6">
        <f>IF(A99="","",VLOOKUP(A99,'F01 - _Données Expatriés'!$A$6:$L$15,2,FALSE))</f>
        <v/>
      </c>
      <c r="C99" s="6">
        <f>IF(A99="","",VLOOKUP(A99,'F01 - _Données Expatriés'!$A$6:$L$15,6,FALSE))</f>
        <v/>
      </c>
      <c r="D99" s="6" t="n"/>
      <c r="E99" s="6" t="n"/>
      <c r="F99" s="6" t="n"/>
      <c r="G99" s="6" t="n"/>
      <c r="H99" s="6" t="n"/>
      <c r="I99" s="6" t="n"/>
      <c r="J99" s="6" t="n"/>
      <c r="K99" s="6">
        <f>SUM(D99:J99)</f>
        <v/>
      </c>
      <c r="L99" s="6">
        <f>IF(K99="","",IF(K99&gt;55,"Dépassement",IF(K99&gt;48,"Attention","")))</f>
        <v/>
      </c>
    </row>
    <row r="100">
      <c r="A100" s="4" t="n"/>
      <c r="B100" s="4">
        <f>IF(A100="","",VLOOKUP(A100,'F01 - _Données Expatriés'!$A$6:$L$15,2,FALSE))</f>
        <v/>
      </c>
      <c r="C100" s="4">
        <f>IF(A100="","",VLOOKUP(A100,'F01 - _Données Expatriés'!$A$6:$L$15,6,FALSE))</f>
        <v/>
      </c>
      <c r="D100" s="4" t="n"/>
      <c r="E100" s="4" t="n"/>
      <c r="F100" s="4" t="n"/>
      <c r="G100" s="4" t="n"/>
      <c r="H100" s="4" t="n"/>
      <c r="I100" s="4" t="n"/>
      <c r="J100" s="4" t="n"/>
      <c r="K100" s="4">
        <f>SUM(D100:J100)</f>
        <v/>
      </c>
      <c r="L100" s="4">
        <f>IF(K100="","",IF(K100&gt;55,"Dépassement",IF(K100&gt;48,"Attention","")))</f>
        <v/>
      </c>
    </row>
    <row r="101">
      <c r="A101" s="6" t="n"/>
      <c r="B101" s="6">
        <f>IF(A101="","",VLOOKUP(A101,'F01 - _Données Expatriés'!$A$6:$L$15,2,FALSE))</f>
        <v/>
      </c>
      <c r="C101" s="6">
        <f>IF(A101="","",VLOOKUP(A101,'F01 - _Données Expatriés'!$A$6:$L$15,6,FALSE))</f>
        <v/>
      </c>
      <c r="D101" s="6" t="n"/>
      <c r="E101" s="6" t="n"/>
      <c r="F101" s="6" t="n"/>
      <c r="G101" s="6" t="n"/>
      <c r="H101" s="6" t="n"/>
      <c r="I101" s="6" t="n"/>
      <c r="J101" s="6" t="n"/>
      <c r="K101" s="6">
        <f>SUM(D101:J101)</f>
        <v/>
      </c>
      <c r="L101" s="6">
        <f>IF(K101="","",IF(K101&gt;55,"Dépassement",IF(K101&gt;48,"Attention","")))</f>
        <v/>
      </c>
    </row>
    <row r="102">
      <c r="A102" s="4" t="n"/>
      <c r="B102" s="4">
        <f>IF(A102="","",VLOOKUP(A102,'F01 - _Données Expatriés'!$A$6:$L$15,2,FALSE))</f>
        <v/>
      </c>
      <c r="C102" s="4">
        <f>IF(A102="","",VLOOKUP(A102,'F01 - _Données Expatriés'!$A$6:$L$15,6,FALSE))</f>
        <v/>
      </c>
      <c r="D102" s="4" t="n"/>
      <c r="E102" s="4" t="n"/>
      <c r="F102" s="4" t="n"/>
      <c r="G102" s="4" t="n"/>
      <c r="H102" s="4" t="n"/>
      <c r="I102" s="4" t="n"/>
      <c r="J102" s="4" t="n"/>
      <c r="K102" s="4">
        <f>SUM(D102:J102)</f>
        <v/>
      </c>
      <c r="L102" s="4">
        <f>IF(K102="","",IF(K102&gt;55,"Dépassement",IF(K102&gt;48,"Attention","")))</f>
        <v/>
      </c>
    </row>
    <row r="103">
      <c r="A103" s="6" t="n"/>
      <c r="B103" s="6">
        <f>IF(A103="","",VLOOKUP(A103,'F01 - _Données Expatriés'!$A$6:$L$15,2,FALSE))</f>
        <v/>
      </c>
      <c r="C103" s="6">
        <f>IF(A103="","",VLOOKUP(A103,'F01 - _Données Expatriés'!$A$6:$L$15,6,FALSE))</f>
        <v/>
      </c>
      <c r="D103" s="6" t="n"/>
      <c r="E103" s="6" t="n"/>
      <c r="F103" s="6" t="n"/>
      <c r="G103" s="6" t="n"/>
      <c r="H103" s="6" t="n"/>
      <c r="I103" s="6" t="n"/>
      <c r="J103" s="6" t="n"/>
      <c r="K103" s="6">
        <f>SUM(D103:J103)</f>
        <v/>
      </c>
      <c r="L103" s="6">
        <f>IF(K103="","",IF(K103&gt;55,"Dépassement",IF(K103&gt;48,"Attention","")))</f>
        <v/>
      </c>
    </row>
    <row r="104">
      <c r="A104" s="4" t="n"/>
      <c r="B104" s="4">
        <f>IF(A104="","",VLOOKUP(A104,'F01 - _Données Expatriés'!$A$6:$L$15,2,FALSE))</f>
        <v/>
      </c>
      <c r="C104" s="4">
        <f>IF(A104="","",VLOOKUP(A104,'F01 - _Données Expatriés'!$A$6:$L$15,6,FALSE))</f>
        <v/>
      </c>
      <c r="D104" s="4" t="n"/>
      <c r="E104" s="4" t="n"/>
      <c r="F104" s="4" t="n"/>
      <c r="G104" s="4" t="n"/>
      <c r="H104" s="4" t="n"/>
      <c r="I104" s="4" t="n"/>
      <c r="J104" s="4" t="n"/>
      <c r="K104" s="4">
        <f>SUM(D104:J104)</f>
        <v/>
      </c>
      <c r="L104" s="4">
        <f>IF(K104="","",IF(K104&gt;55,"Dépassement",IF(K104&gt;48,"Attention","")))</f>
        <v/>
      </c>
    </row>
    <row r="105">
      <c r="A105" s="6" t="n"/>
      <c r="B105" s="6">
        <f>IF(A105="","",VLOOKUP(A105,'F01 - _Données Expatriés'!$A$6:$L$15,2,FALSE))</f>
        <v/>
      </c>
      <c r="C105" s="6">
        <f>IF(A105="","",VLOOKUP(A105,'F01 - _Données Expatriés'!$A$6:$L$15,6,FALSE))</f>
        <v/>
      </c>
      <c r="D105" s="6" t="n"/>
      <c r="E105" s="6" t="n"/>
      <c r="F105" s="6" t="n"/>
      <c r="G105" s="6" t="n"/>
      <c r="H105" s="6" t="n"/>
      <c r="I105" s="6" t="n"/>
      <c r="J105" s="6" t="n"/>
      <c r="K105" s="6">
        <f>SUM(D105:J105)</f>
        <v/>
      </c>
      <c r="L105" s="6">
        <f>IF(K105="","",IF(K105&gt;55,"Dépassement",IF(K105&gt;48,"Attention","")))</f>
        <v/>
      </c>
    </row>
    <row r="106">
      <c r="A106" s="4" t="n"/>
      <c r="B106" s="4">
        <f>IF(A106="","",VLOOKUP(A106,'F01 - _Données Expatriés'!$A$6:$L$15,2,FALSE))</f>
        <v/>
      </c>
      <c r="C106" s="4">
        <f>IF(A106="","",VLOOKUP(A106,'F01 - _Données Expatriés'!$A$6:$L$15,6,FALSE))</f>
        <v/>
      </c>
      <c r="D106" s="4" t="n"/>
      <c r="E106" s="4" t="n"/>
      <c r="F106" s="4" t="n"/>
      <c r="G106" s="4" t="n"/>
      <c r="H106" s="4" t="n"/>
      <c r="I106" s="4" t="n"/>
      <c r="J106" s="4" t="n"/>
      <c r="K106" s="4">
        <f>SUM(D106:J106)</f>
        <v/>
      </c>
      <c r="L106" s="4">
        <f>IF(K106="","",IF(K106&gt;55,"Dépassement",IF(K106&gt;48,"Attention","")))</f>
        <v/>
      </c>
    </row>
    <row r="107">
      <c r="A107" s="6" t="n"/>
      <c r="B107" s="6">
        <f>IF(A107="","",VLOOKUP(A107,'F01 - _Données Expatriés'!$A$6:$L$15,2,FALSE))</f>
        <v/>
      </c>
      <c r="C107" s="6">
        <f>IF(A107="","",VLOOKUP(A107,'F01 - _Données Expatriés'!$A$6:$L$15,6,FALSE))</f>
        <v/>
      </c>
      <c r="D107" s="6" t="n"/>
      <c r="E107" s="6" t="n"/>
      <c r="F107" s="6" t="n"/>
      <c r="G107" s="6" t="n"/>
      <c r="H107" s="6" t="n"/>
      <c r="I107" s="6" t="n"/>
      <c r="J107" s="6" t="n"/>
      <c r="K107" s="6">
        <f>SUM(D107:J107)</f>
        <v/>
      </c>
      <c r="L107" s="6">
        <f>IF(K107="","",IF(K107&gt;55,"Dépassement",IF(K107&gt;48,"Attention","")))</f>
        <v/>
      </c>
    </row>
    <row r="108">
      <c r="A108" s="4" t="n"/>
      <c r="B108" s="4">
        <f>IF(A108="","",VLOOKUP(A108,'F01 - _Données Expatriés'!$A$6:$L$15,2,FALSE))</f>
        <v/>
      </c>
      <c r="C108" s="4">
        <f>IF(A108="","",VLOOKUP(A108,'F01 - _Données Expatriés'!$A$6:$L$15,6,FALSE))</f>
        <v/>
      </c>
      <c r="D108" s="4" t="n"/>
      <c r="E108" s="4" t="n"/>
      <c r="F108" s="4" t="n"/>
      <c r="G108" s="4" t="n"/>
      <c r="H108" s="4" t="n"/>
      <c r="I108" s="4" t="n"/>
      <c r="J108" s="4" t="n"/>
      <c r="K108" s="4">
        <f>SUM(D108:J108)</f>
        <v/>
      </c>
      <c r="L108" s="4">
        <f>IF(K108="","",IF(K108&gt;55,"Dépassement",IF(K108&gt;48,"Attention","")))</f>
        <v/>
      </c>
    </row>
    <row r="109">
      <c r="A109" s="6" t="n"/>
      <c r="B109" s="6">
        <f>IF(A109="","",VLOOKUP(A109,'F01 - _Données Expatriés'!$A$6:$L$15,2,FALSE))</f>
        <v/>
      </c>
      <c r="C109" s="6">
        <f>IF(A109="","",VLOOKUP(A109,'F01 - _Données Expatriés'!$A$6:$L$15,6,FALSE))</f>
        <v/>
      </c>
      <c r="D109" s="6" t="n"/>
      <c r="E109" s="6" t="n"/>
      <c r="F109" s="6" t="n"/>
      <c r="G109" s="6" t="n"/>
      <c r="H109" s="6" t="n"/>
      <c r="I109" s="6" t="n"/>
      <c r="J109" s="6" t="n"/>
      <c r="K109" s="6">
        <f>SUM(D109:J109)</f>
        <v/>
      </c>
      <c r="L109" s="6">
        <f>IF(K109="","",IF(K109&gt;55,"Dépassement",IF(K109&gt;48,"Attention","")))</f>
        <v/>
      </c>
    </row>
    <row r="110">
      <c r="A110" s="4" t="n"/>
      <c r="B110" s="4">
        <f>IF(A110="","",VLOOKUP(A110,'F01 - _Données Expatriés'!$A$6:$L$15,2,FALSE))</f>
        <v/>
      </c>
      <c r="C110" s="4">
        <f>IF(A110="","",VLOOKUP(A110,'F01 - _Données Expatriés'!$A$6:$L$15,6,FALSE))</f>
        <v/>
      </c>
      <c r="D110" s="4" t="n"/>
      <c r="E110" s="4" t="n"/>
      <c r="F110" s="4" t="n"/>
      <c r="G110" s="4" t="n"/>
      <c r="H110" s="4" t="n"/>
      <c r="I110" s="4" t="n"/>
      <c r="J110" s="4" t="n"/>
      <c r="K110" s="4">
        <f>SUM(D110:J110)</f>
        <v/>
      </c>
      <c r="L110" s="4">
        <f>IF(K110="","",IF(K110&gt;55,"Dépassement",IF(K110&gt;48,"Attention","")))</f>
        <v/>
      </c>
    </row>
    <row r="111">
      <c r="A111" s="6" t="n"/>
      <c r="B111" s="6">
        <f>IF(A111="","",VLOOKUP(A111,'F01 - _Données Expatriés'!$A$6:$L$15,2,FALSE))</f>
        <v/>
      </c>
      <c r="C111" s="6">
        <f>IF(A111="","",VLOOKUP(A111,'F01 - _Données Expatriés'!$A$6:$L$15,6,FALSE))</f>
        <v/>
      </c>
      <c r="D111" s="6" t="n"/>
      <c r="E111" s="6" t="n"/>
      <c r="F111" s="6" t="n"/>
      <c r="G111" s="6" t="n"/>
      <c r="H111" s="6" t="n"/>
      <c r="I111" s="6" t="n"/>
      <c r="J111" s="6" t="n"/>
      <c r="K111" s="6">
        <f>SUM(D111:J111)</f>
        <v/>
      </c>
      <c r="L111" s="6">
        <f>IF(K111="","",IF(K111&gt;55,"Dépassement",IF(K111&gt;48,"Attention","")))</f>
        <v/>
      </c>
    </row>
    <row r="112">
      <c r="A112" s="4" t="n"/>
      <c r="B112" s="4">
        <f>IF(A112="","",VLOOKUP(A112,'F01 - _Données Expatriés'!$A$6:$L$15,2,FALSE))</f>
        <v/>
      </c>
      <c r="C112" s="4">
        <f>IF(A112="","",VLOOKUP(A112,'F01 - _Données Expatriés'!$A$6:$L$15,6,FALSE))</f>
        <v/>
      </c>
      <c r="D112" s="4" t="n"/>
      <c r="E112" s="4" t="n"/>
      <c r="F112" s="4" t="n"/>
      <c r="G112" s="4" t="n"/>
      <c r="H112" s="4" t="n"/>
      <c r="I112" s="4" t="n"/>
      <c r="J112" s="4" t="n"/>
      <c r="K112" s="4">
        <f>SUM(D112:J112)</f>
        <v/>
      </c>
      <c r="L112" s="4">
        <f>IF(K112="","",IF(K112&gt;55,"Dépassement",IF(K112&gt;48,"Attention","")))</f>
        <v/>
      </c>
    </row>
    <row r="113">
      <c r="A113" s="6" t="n"/>
      <c r="B113" s="6">
        <f>IF(A113="","",VLOOKUP(A113,'F01 - _Données Expatriés'!$A$6:$L$15,2,FALSE))</f>
        <v/>
      </c>
      <c r="C113" s="6">
        <f>IF(A113="","",VLOOKUP(A113,'F01 - _Données Expatriés'!$A$6:$L$15,6,FALSE))</f>
        <v/>
      </c>
      <c r="D113" s="6" t="n"/>
      <c r="E113" s="6" t="n"/>
      <c r="F113" s="6" t="n"/>
      <c r="G113" s="6" t="n"/>
      <c r="H113" s="6" t="n"/>
      <c r="I113" s="6" t="n"/>
      <c r="J113" s="6" t="n"/>
      <c r="K113" s="6">
        <f>SUM(D113:J113)</f>
        <v/>
      </c>
      <c r="L113" s="6">
        <f>IF(K113="","",IF(K113&gt;55,"Dépassement",IF(K113&gt;48,"Attention","")))</f>
        <v/>
      </c>
    </row>
    <row r="114">
      <c r="A114" s="4" t="n"/>
      <c r="B114" s="4">
        <f>IF(A114="","",VLOOKUP(A114,'F01 - _Données Expatriés'!$A$6:$L$15,2,FALSE))</f>
        <v/>
      </c>
      <c r="C114" s="4">
        <f>IF(A114="","",VLOOKUP(A114,'F01 - _Données Expatriés'!$A$6:$L$15,6,FALSE))</f>
        <v/>
      </c>
      <c r="D114" s="4" t="n"/>
      <c r="E114" s="4" t="n"/>
      <c r="F114" s="4" t="n"/>
      <c r="G114" s="4" t="n"/>
      <c r="H114" s="4" t="n"/>
      <c r="I114" s="4" t="n"/>
      <c r="J114" s="4" t="n"/>
      <c r="K114" s="4">
        <f>SUM(D114:J114)</f>
        <v/>
      </c>
      <c r="L114" s="4">
        <f>IF(K114="","",IF(K114&gt;55,"Dépassement",IF(K114&gt;48,"Attention","")))</f>
        <v/>
      </c>
    </row>
    <row r="115">
      <c r="A115" s="6" t="n"/>
      <c r="B115" s="6">
        <f>IF(A115="","",VLOOKUP(A115,'F01 - _Données Expatriés'!$A$6:$L$15,2,FALSE))</f>
        <v/>
      </c>
      <c r="C115" s="6">
        <f>IF(A115="","",VLOOKUP(A115,'F01 - _Données Expatriés'!$A$6:$L$15,6,FALSE))</f>
        <v/>
      </c>
      <c r="D115" s="6" t="n"/>
      <c r="E115" s="6" t="n"/>
      <c r="F115" s="6" t="n"/>
      <c r="G115" s="6" t="n"/>
      <c r="H115" s="6" t="n"/>
      <c r="I115" s="6" t="n"/>
      <c r="J115" s="6" t="n"/>
      <c r="K115" s="6">
        <f>SUM(D115:J115)</f>
        <v/>
      </c>
      <c r="L115" s="6">
        <f>IF(K115="","",IF(K115&gt;55,"Dépassement",IF(K115&gt;48,"Attention","")))</f>
        <v/>
      </c>
    </row>
  </sheetData>
  <mergeCells count="2">
    <mergeCell ref="A3:N3"/>
    <mergeCell ref="A2:N2"/>
  </mergeCells>
  <dataValidations count="1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_Lists'!$A$6:$A$35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4" customWidth="1" min="5" max="5"/>
    <col width="36" customWidth="1" min="6" max="6"/>
    <col width="12" customWidth="1" min="7" max="7"/>
    <col width="12" customWidth="1" min="8" max="8"/>
    <col width="18" customWidth="1" min="9" max="9"/>
    <col width="30" customWidth="1" min="10" max="10"/>
  </cols>
  <sheetData>
    <row r="2" ht="25" customHeight="1">
      <c r="A2" s="1" t="inlineStr">
        <is>
          <t>DOMAINE 25 — 14-LITIGES EXPATRIATION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Code Litige</t>
        </is>
      </c>
      <c r="B5" s="3" t="inlineStr">
        <is>
          <t>Matricule</t>
        </is>
      </c>
      <c r="C5" s="3" t="inlineStr">
        <is>
          <t>Nom</t>
        </is>
      </c>
      <c r="D5" s="3" t="inlineStr">
        <is>
          <t>Type Litige</t>
        </is>
      </c>
      <c r="E5" s="3" t="inlineStr">
        <is>
          <t>Date Signalement</t>
        </is>
      </c>
      <c r="F5" s="3" t="inlineStr">
        <is>
          <t>Description</t>
        </is>
      </c>
      <c r="G5" s="3" t="inlineStr">
        <is>
          <t>Priorité</t>
        </is>
      </c>
      <c r="H5" s="3" t="inlineStr">
        <is>
          <t>Statut</t>
        </is>
      </c>
      <c r="I5" s="3" t="inlineStr">
        <is>
          <t>Montant en Jeu (FCFA)</t>
        </is>
      </c>
      <c r="J5" s="3" t="inlineStr">
        <is>
          <t>Commentaire</t>
        </is>
      </c>
    </row>
    <row r="6">
      <c r="A6" s="4" t="inlineStr">
        <is>
          <t>LIT-E-001</t>
        </is>
      </c>
      <c r="B6" s="4" t="inlineStr">
        <is>
          <t>EXP-012</t>
        </is>
      </c>
      <c r="C6" s="4" t="inlineStr">
        <is>
          <t>Fischer Klaus</t>
        </is>
      </c>
      <c r="D6" s="4" t="inlineStr">
        <is>
          <t>Litige salarial</t>
        </is>
      </c>
      <c r="E6" s="5" t="n">
        <v>45555</v>
      </c>
      <c r="F6" s="4" t="inlineStr">
        <is>
          <t>Différentiel de salaire non versé sur août-septembre</t>
        </is>
      </c>
      <c r="G6" s="4" t="inlineStr">
        <is>
          <t>Haute</t>
        </is>
      </c>
      <c r="H6" s="4" t="inlineStr">
        <is>
          <t>Résolu</t>
        </is>
      </c>
      <c r="I6" s="4" t="n">
        <v>1200000</v>
      </c>
      <c r="J6" s="4" t="inlineStr">
        <is>
          <t>Règlement amiable trouvé</t>
        </is>
      </c>
    </row>
    <row r="7">
      <c r="A7" s="6" t="inlineStr">
        <is>
          <t>LIT-E-002</t>
        </is>
      </c>
      <c r="B7" s="6" t="inlineStr">
        <is>
          <t>EXP-003</t>
        </is>
      </c>
      <c r="C7" s="6" t="inlineStr">
        <is>
          <t>Silva Carlos</t>
        </is>
      </c>
      <c r="D7" s="6" t="inlineStr">
        <is>
          <t>Problème de visa</t>
        </is>
      </c>
      <c r="E7" s="7" t="n">
        <v>45667</v>
      </c>
      <c r="F7" s="6" t="inlineStr">
        <is>
          <t>Retard de renouvellement carte de séjour de 3 semaines</t>
        </is>
      </c>
      <c r="G7" s="6" t="inlineStr">
        <is>
          <t>Moyenne</t>
        </is>
      </c>
      <c r="H7" s="6" t="inlineStr">
        <is>
          <t>En cours</t>
        </is>
      </c>
      <c r="I7" s="6" t="n">
        <v>0</v>
      </c>
      <c r="J7" s="6" t="inlineStr">
        <is>
          <t>Dossier en cours à la DDE</t>
        </is>
      </c>
    </row>
    <row r="8">
      <c r="A8" s="4" t="inlineStr">
        <is>
          <t>LIT-E-003</t>
        </is>
      </c>
      <c r="B8" s="4" t="inlineStr">
        <is>
          <t>EXP-004</t>
        </is>
      </c>
      <c r="C8" s="4" t="inlineStr">
        <is>
          <t>Nakamura Yuki</t>
        </is>
      </c>
      <c r="D8" s="4" t="inlineStr">
        <is>
          <t>Litige logement</t>
        </is>
      </c>
      <c r="E8" s="5" t="n">
        <v>45693</v>
      </c>
      <c r="F8" s="4" t="inlineStr">
        <is>
          <t>Travaux non réalisés dans l'appartement</t>
        </is>
      </c>
      <c r="G8" s="4" t="inlineStr">
        <is>
          <t>Moyenne</t>
        </is>
      </c>
      <c r="H8" s="4" t="inlineStr">
        <is>
          <t>En cours</t>
        </is>
      </c>
      <c r="I8" s="4" t="n">
        <v>800000</v>
      </c>
      <c r="J8" s="4" t="inlineStr">
        <is>
          <t>Propriétaire contacté</t>
        </is>
      </c>
    </row>
    <row r="9">
      <c r="A9" s="6" t="n"/>
      <c r="B9" s="6" t="n"/>
      <c r="C9" s="6">
        <f>IF(B9="","",VLOOKUP(B9,'F01 - _Données Expatriés'!$A$6:$L$15,2,FALSE))</f>
        <v/>
      </c>
      <c r="D9" s="6" t="n"/>
      <c r="E9" s="6" t="n"/>
      <c r="F9" s="6" t="n"/>
      <c r="G9" s="6" t="n"/>
      <c r="H9" s="6" t="n"/>
      <c r="I9" s="6" t="n"/>
      <c r="J9" s="6" t="n"/>
    </row>
    <row r="10">
      <c r="A10" s="4" t="n"/>
      <c r="B10" s="4" t="n"/>
      <c r="C10" s="4">
        <f>IF(B10="","",VLOOKUP(B10,'F01 - _Données Expatriés'!$A$6:$L$15,2,FALSE))</f>
        <v/>
      </c>
      <c r="D10" s="4" t="n"/>
      <c r="E10" s="4" t="n"/>
      <c r="F10" s="4" t="n"/>
      <c r="G10" s="4" t="n"/>
      <c r="H10" s="4" t="n"/>
      <c r="I10" s="4" t="n"/>
      <c r="J10" s="4" t="n"/>
    </row>
    <row r="11">
      <c r="A11" s="6" t="n"/>
      <c r="B11" s="6" t="n"/>
      <c r="C11" s="6">
        <f>IF(B11="","",VLOOKUP(B11,'F01 - _Données Expatriés'!$A$6:$L$15,2,FALSE))</f>
        <v/>
      </c>
      <c r="D11" s="6" t="n"/>
      <c r="E11" s="6" t="n"/>
      <c r="F11" s="6" t="n"/>
      <c r="G11" s="6" t="n"/>
      <c r="H11" s="6" t="n"/>
      <c r="I11" s="6" t="n"/>
      <c r="J11" s="6" t="n"/>
    </row>
    <row r="12">
      <c r="A12" s="4" t="n"/>
      <c r="B12" s="4" t="n"/>
      <c r="C12" s="4">
        <f>IF(B12="","",VLOOKUP(B12,'F01 - _Données Expatriés'!$A$6:$L$15,2,FALSE))</f>
        <v/>
      </c>
      <c r="D12" s="4" t="n"/>
      <c r="E12" s="4" t="n"/>
      <c r="F12" s="4" t="n"/>
      <c r="G12" s="4" t="n"/>
      <c r="H12" s="4" t="n"/>
      <c r="I12" s="4" t="n"/>
      <c r="J12" s="4" t="n"/>
    </row>
    <row r="13">
      <c r="A13" s="6" t="n"/>
      <c r="B13" s="6" t="n"/>
      <c r="C13" s="6">
        <f>IF(B13="","",VLOOKUP(B13,'F01 - _Données Expatriés'!$A$6:$L$15,2,FALSE))</f>
        <v/>
      </c>
      <c r="D13" s="6" t="n"/>
      <c r="E13" s="6" t="n"/>
      <c r="F13" s="6" t="n"/>
      <c r="G13" s="6" t="n"/>
      <c r="H13" s="6" t="n"/>
      <c r="I13" s="6" t="n"/>
      <c r="J13" s="6" t="n"/>
    </row>
    <row r="14">
      <c r="A14" s="4" t="n"/>
      <c r="B14" s="4" t="n"/>
      <c r="C14" s="4">
        <f>IF(B14="","",VLOOKUP(B14,'F01 - _Données Expatriés'!$A$6:$L$15,2,FALSE))</f>
        <v/>
      </c>
      <c r="D14" s="4" t="n"/>
      <c r="E14" s="4" t="n"/>
      <c r="F14" s="4" t="n"/>
      <c r="G14" s="4" t="n"/>
      <c r="H14" s="4" t="n"/>
      <c r="I14" s="4" t="n"/>
      <c r="J14" s="4" t="n"/>
    </row>
    <row r="15">
      <c r="A15" s="6" t="n"/>
      <c r="B15" s="6" t="n"/>
      <c r="C15" s="6">
        <f>IF(B15="","",VLOOKUP(B15,'F01 - _Données Expatriés'!$A$6:$L$15,2,FALSE))</f>
        <v/>
      </c>
      <c r="D15" s="6" t="n"/>
      <c r="E15" s="6" t="n"/>
      <c r="F15" s="6" t="n"/>
      <c r="G15" s="6" t="n"/>
      <c r="H15" s="6" t="n"/>
      <c r="I15" s="6" t="n"/>
      <c r="J15" s="6" t="n"/>
    </row>
    <row r="16">
      <c r="A16" s="4" t="n"/>
      <c r="B16" s="4" t="n"/>
      <c r="C16" s="4">
        <f>IF(B16="","",VLOOKUP(B16,'F01 - _Données Expatriés'!$A$6:$L$15,2,FALSE))</f>
        <v/>
      </c>
      <c r="D16" s="4" t="n"/>
      <c r="E16" s="4" t="n"/>
      <c r="F16" s="4" t="n"/>
      <c r="G16" s="4" t="n"/>
      <c r="H16" s="4" t="n"/>
      <c r="I16" s="4" t="n"/>
      <c r="J16" s="4" t="n"/>
    </row>
    <row r="17">
      <c r="A17" s="6" t="n"/>
      <c r="B17" s="6" t="n"/>
      <c r="C17" s="6">
        <f>IF(B17="","",VLOOKUP(B17,'F01 - _Données Expatriés'!$A$6:$L$15,2,FALSE))</f>
        <v/>
      </c>
      <c r="D17" s="6" t="n"/>
      <c r="E17" s="6" t="n"/>
      <c r="F17" s="6" t="n"/>
      <c r="G17" s="6" t="n"/>
      <c r="H17" s="6" t="n"/>
      <c r="I17" s="6" t="n"/>
      <c r="J17" s="6" t="n"/>
    </row>
    <row r="18">
      <c r="A18" s="4" t="n"/>
      <c r="B18" s="4" t="n"/>
      <c r="C18" s="4">
        <f>IF(B18="","",VLOOKUP(B18,'F01 - _Données Expatriés'!$A$6:$L$15,2,FALSE))</f>
        <v/>
      </c>
      <c r="D18" s="4" t="n"/>
      <c r="E18" s="4" t="n"/>
      <c r="F18" s="4" t="n"/>
      <c r="G18" s="4" t="n"/>
      <c r="H18" s="4" t="n"/>
      <c r="I18" s="4" t="n"/>
      <c r="J18" s="4" t="n"/>
    </row>
    <row r="19">
      <c r="A19" s="6" t="n"/>
      <c r="B19" s="6" t="n"/>
      <c r="C19" s="6">
        <f>IF(B19="","",VLOOKUP(B19,'F01 - _Données Expatriés'!$A$6:$L$15,2,FALSE))</f>
        <v/>
      </c>
      <c r="D19" s="6" t="n"/>
      <c r="E19" s="6" t="n"/>
      <c r="F19" s="6" t="n"/>
      <c r="G19" s="6" t="n"/>
      <c r="H19" s="6" t="n"/>
      <c r="I19" s="6" t="n"/>
      <c r="J19" s="6" t="n"/>
    </row>
    <row r="20">
      <c r="A20" s="4" t="n"/>
      <c r="B20" s="4" t="n"/>
      <c r="C20" s="4">
        <f>IF(B20="","",VLOOKUP(B20,'F01 - _Données Expatriés'!$A$6:$L$15,2,FALSE))</f>
        <v/>
      </c>
      <c r="D20" s="4" t="n"/>
      <c r="E20" s="4" t="n"/>
      <c r="F20" s="4" t="n"/>
      <c r="G20" s="4" t="n"/>
      <c r="H20" s="4" t="n"/>
      <c r="I20" s="4" t="n"/>
      <c r="J20" s="4" t="n"/>
    </row>
    <row r="21">
      <c r="A21" s="6" t="n"/>
      <c r="B21" s="6" t="n"/>
      <c r="C21" s="6">
        <f>IF(B21="","",VLOOKUP(B21,'F01 - _Données Expatriés'!$A$6:$L$15,2,FALSE))</f>
        <v/>
      </c>
      <c r="D21" s="6" t="n"/>
      <c r="E21" s="6" t="n"/>
      <c r="F21" s="6" t="n"/>
      <c r="G21" s="6" t="n"/>
      <c r="H21" s="6" t="n"/>
      <c r="I21" s="6" t="n"/>
      <c r="J21" s="6" t="n"/>
    </row>
    <row r="22">
      <c r="A22" s="4" t="n"/>
      <c r="B22" s="4" t="n"/>
      <c r="C22" s="4">
        <f>IF(B22="","",VLOOKUP(B22,'F01 - _Données Expatriés'!$A$6:$L$15,2,FALSE))</f>
        <v/>
      </c>
      <c r="D22" s="4" t="n"/>
      <c r="E22" s="4" t="n"/>
      <c r="F22" s="4" t="n"/>
      <c r="G22" s="4" t="n"/>
      <c r="H22" s="4" t="n"/>
      <c r="I22" s="4" t="n"/>
      <c r="J22" s="4" t="n"/>
    </row>
    <row r="23">
      <c r="A23" s="6" t="n"/>
      <c r="B23" s="6" t="n"/>
      <c r="C23" s="6">
        <f>IF(B23="","",VLOOKUP(B23,'F01 - _Données Expatriés'!$A$6:$L$15,2,FALSE))</f>
        <v/>
      </c>
      <c r="D23" s="6" t="n"/>
      <c r="E23" s="6" t="n"/>
      <c r="F23" s="6" t="n"/>
      <c r="G23" s="6" t="n"/>
      <c r="H23" s="6" t="n"/>
      <c r="I23" s="6" t="n"/>
      <c r="J23" s="6" t="n"/>
    </row>
    <row r="24">
      <c r="A24" s="4" t="n"/>
      <c r="B24" s="4" t="n"/>
      <c r="C24" s="4">
        <f>IF(B24="","",VLOOKUP(B24,'F01 - _Données Expatriés'!$A$6:$L$15,2,FALSE))</f>
        <v/>
      </c>
      <c r="D24" s="4" t="n"/>
      <c r="E24" s="4" t="n"/>
      <c r="F24" s="4" t="n"/>
      <c r="G24" s="4" t="n"/>
      <c r="H24" s="4" t="n"/>
      <c r="I24" s="4" t="n"/>
      <c r="J24" s="4" t="n"/>
    </row>
    <row r="25">
      <c r="A25" s="6" t="n"/>
      <c r="B25" s="6" t="n"/>
      <c r="C25" s="6">
        <f>IF(B25="","",VLOOKUP(B25,'F01 - _Données Expatriés'!$A$6:$L$15,2,FALSE))</f>
        <v/>
      </c>
      <c r="D25" s="6" t="n"/>
      <c r="E25" s="6" t="n"/>
      <c r="F25" s="6" t="n"/>
      <c r="G25" s="6" t="n"/>
      <c r="H25" s="6" t="n"/>
      <c r="I25" s="6" t="n"/>
      <c r="J25" s="6" t="n"/>
    </row>
    <row r="26">
      <c r="A26" s="4" t="n"/>
      <c r="B26" s="4" t="n"/>
      <c r="C26" s="4">
        <f>IF(B26="","",VLOOKUP(B26,'F01 - _Données Expatriés'!$A$6:$L$15,2,FALSE))</f>
        <v/>
      </c>
      <c r="D26" s="4" t="n"/>
      <c r="E26" s="4" t="n"/>
      <c r="F26" s="4" t="n"/>
      <c r="G26" s="4" t="n"/>
      <c r="H26" s="4" t="n"/>
      <c r="I26" s="4" t="n"/>
      <c r="J26" s="4" t="n"/>
    </row>
    <row r="27">
      <c r="A27" s="6" t="n"/>
      <c r="B27" s="6" t="n"/>
      <c r="C27" s="6">
        <f>IF(B27="","",VLOOKUP(B27,'F01 - _Données Expatriés'!$A$6:$L$15,2,FALSE))</f>
        <v/>
      </c>
      <c r="D27" s="6" t="n"/>
      <c r="E27" s="6" t="n"/>
      <c r="F27" s="6" t="n"/>
      <c r="G27" s="6" t="n"/>
      <c r="H27" s="6" t="n"/>
      <c r="I27" s="6" t="n"/>
      <c r="J27" s="6" t="n"/>
    </row>
    <row r="28">
      <c r="A28" s="4" t="n"/>
      <c r="B28" s="4" t="n"/>
      <c r="C28" s="4">
        <f>IF(B28="","",VLOOKUP(B28,'F01 - _Données Expatriés'!$A$6:$L$15,2,FALSE))</f>
        <v/>
      </c>
      <c r="D28" s="4" t="n"/>
      <c r="E28" s="4" t="n"/>
      <c r="F28" s="4" t="n"/>
      <c r="G28" s="4" t="n"/>
      <c r="H28" s="4" t="n"/>
      <c r="I28" s="4" t="n"/>
      <c r="J28" s="4" t="n"/>
    </row>
    <row r="29">
      <c r="A29" s="6" t="n"/>
      <c r="B29" s="6" t="n"/>
      <c r="C29" s="6">
        <f>IF(B29="","",VLOOKUP(B29,'F01 - _Données Expatriés'!$A$6:$L$15,2,FALSE))</f>
        <v/>
      </c>
      <c r="D29" s="6" t="n"/>
      <c r="E29" s="6" t="n"/>
      <c r="F29" s="6" t="n"/>
      <c r="G29" s="6" t="n"/>
      <c r="H29" s="6" t="n"/>
      <c r="I29" s="6" t="n"/>
      <c r="J29" s="6" t="n"/>
    </row>
    <row r="30">
      <c r="A30" s="4" t="n"/>
      <c r="B30" s="4" t="n"/>
      <c r="C30" s="4">
        <f>IF(B30="","",VLOOKUP(B30,'F01 - _Données Expatriés'!$A$6:$L$15,2,FALSE))</f>
        <v/>
      </c>
      <c r="D30" s="4" t="n"/>
      <c r="E30" s="4" t="n"/>
      <c r="F30" s="4" t="n"/>
      <c r="G30" s="4" t="n"/>
      <c r="H30" s="4" t="n"/>
      <c r="I30" s="4" t="n"/>
      <c r="J30" s="4" t="n"/>
    </row>
    <row r="31">
      <c r="A31" s="6" t="n"/>
      <c r="B31" s="6" t="n"/>
      <c r="C31" s="6">
        <f>IF(B31="","",VLOOKUP(B31,'F01 - _Données Expatriés'!$A$6:$L$15,2,FALSE))</f>
        <v/>
      </c>
      <c r="D31" s="6" t="n"/>
      <c r="E31" s="6" t="n"/>
      <c r="F31" s="6" t="n"/>
      <c r="G31" s="6" t="n"/>
      <c r="H31" s="6" t="n"/>
      <c r="I31" s="6" t="n"/>
      <c r="J31" s="6" t="n"/>
    </row>
    <row r="32">
      <c r="A32" s="4" t="n"/>
      <c r="B32" s="4" t="n"/>
      <c r="C32" s="4">
        <f>IF(B32="","",VLOOKUP(B32,'F01 - _Données Expatriés'!$A$6:$L$15,2,FALSE))</f>
        <v/>
      </c>
      <c r="D32" s="4" t="n"/>
      <c r="E32" s="4" t="n"/>
      <c r="F32" s="4" t="n"/>
      <c r="G32" s="4" t="n"/>
      <c r="H32" s="4" t="n"/>
      <c r="I32" s="4" t="n"/>
      <c r="J32" s="4" t="n"/>
    </row>
    <row r="33">
      <c r="A33" s="6" t="n"/>
      <c r="B33" s="6" t="n"/>
      <c r="C33" s="6">
        <f>IF(B33="","",VLOOKUP(B33,'F01 - _Données Expatriés'!$A$6:$L$15,2,FALSE))</f>
        <v/>
      </c>
      <c r="D33" s="6" t="n"/>
      <c r="E33" s="6" t="n"/>
      <c r="F33" s="6" t="n"/>
      <c r="G33" s="6" t="n"/>
      <c r="H33" s="6" t="n"/>
      <c r="I33" s="6" t="n"/>
      <c r="J33" s="6" t="n"/>
    </row>
    <row r="34">
      <c r="A34" s="4" t="n"/>
      <c r="B34" s="4" t="n"/>
      <c r="C34" s="4">
        <f>IF(B34="","",VLOOKUP(B34,'F01 - _Données Expatriés'!$A$6:$L$15,2,FALSE))</f>
        <v/>
      </c>
      <c r="D34" s="4" t="n"/>
      <c r="E34" s="4" t="n"/>
      <c r="F34" s="4" t="n"/>
      <c r="G34" s="4" t="n"/>
      <c r="H34" s="4" t="n"/>
      <c r="I34" s="4" t="n"/>
      <c r="J34" s="4" t="n"/>
    </row>
    <row r="35">
      <c r="A35" s="6" t="n"/>
      <c r="B35" s="6" t="n"/>
      <c r="C35" s="6">
        <f>IF(B35="","",VLOOKUP(B35,'F01 - _Données Expatriés'!$A$6:$L$15,2,FALSE))</f>
        <v/>
      </c>
      <c r="D35" s="6" t="n"/>
      <c r="E35" s="6" t="n"/>
      <c r="F35" s="6" t="n"/>
      <c r="G35" s="6" t="n"/>
      <c r="H35" s="6" t="n"/>
      <c r="I35" s="6" t="n"/>
      <c r="J35" s="6" t="n"/>
    </row>
    <row r="36">
      <c r="A36" s="4" t="n"/>
      <c r="B36" s="4" t="n"/>
      <c r="C36" s="4">
        <f>IF(B36="","",VLOOKUP(B36,'F01 - _Données Expatriés'!$A$6:$L$15,2,FALSE))</f>
        <v/>
      </c>
      <c r="D36" s="4" t="n"/>
      <c r="E36" s="4" t="n"/>
      <c r="F36" s="4" t="n"/>
      <c r="G36" s="4" t="n"/>
      <c r="H36" s="4" t="n"/>
      <c r="I36" s="4" t="n"/>
      <c r="J36" s="4" t="n"/>
    </row>
    <row r="37">
      <c r="A37" s="6" t="n"/>
      <c r="B37" s="6" t="n"/>
      <c r="C37" s="6">
        <f>IF(B37="","",VLOOKUP(B37,'F01 - _Données Expatriés'!$A$6:$L$15,2,FALSE))</f>
        <v/>
      </c>
      <c r="D37" s="6" t="n"/>
      <c r="E37" s="6" t="n"/>
      <c r="F37" s="6" t="n"/>
      <c r="G37" s="6" t="n"/>
      <c r="H37" s="6" t="n"/>
      <c r="I37" s="6" t="n"/>
      <c r="J37" s="6" t="n"/>
    </row>
    <row r="38">
      <c r="A38" s="4" t="n"/>
      <c r="B38" s="4" t="n"/>
      <c r="C38" s="4">
        <f>IF(B38="","",VLOOKUP(B38,'F01 - _Données Expatriés'!$A$6:$L$15,2,FALSE))</f>
        <v/>
      </c>
      <c r="D38" s="4" t="n"/>
      <c r="E38" s="4" t="n"/>
      <c r="F38" s="4" t="n"/>
      <c r="G38" s="4" t="n"/>
      <c r="H38" s="4" t="n"/>
      <c r="I38" s="4" t="n"/>
      <c r="J38" s="4" t="n"/>
    </row>
    <row r="39">
      <c r="A39" s="6" t="n"/>
      <c r="B39" s="6" t="n"/>
      <c r="C39" s="6">
        <f>IF(B39="","",VLOOKUP(B39,'F01 - _Données Expatriés'!$A$6:$L$15,2,FALSE))</f>
        <v/>
      </c>
      <c r="D39" s="6" t="n"/>
      <c r="E39" s="6" t="n"/>
      <c r="F39" s="6" t="n"/>
      <c r="G39" s="6" t="n"/>
      <c r="H39" s="6" t="n"/>
      <c r="I39" s="6" t="n"/>
      <c r="J39" s="6" t="n"/>
    </row>
    <row r="40">
      <c r="A40" s="4" t="n"/>
      <c r="B40" s="4" t="n"/>
      <c r="C40" s="4">
        <f>IF(B40="","",VLOOKUP(B40,'F01 - _Données Expatriés'!$A$6:$L$15,2,FALSE))</f>
        <v/>
      </c>
      <c r="D40" s="4" t="n"/>
      <c r="E40" s="4" t="n"/>
      <c r="F40" s="4" t="n"/>
      <c r="G40" s="4" t="n"/>
      <c r="H40" s="4" t="n"/>
      <c r="I40" s="4" t="n"/>
      <c r="J40" s="4" t="n"/>
    </row>
    <row r="41">
      <c r="A41" s="6" t="n"/>
      <c r="B41" s="6" t="n"/>
      <c r="C41" s="6">
        <f>IF(B41="","",VLOOKUP(B41,'F01 - _Données Expatriés'!$A$6:$L$15,2,FALSE))</f>
        <v/>
      </c>
      <c r="D41" s="6" t="n"/>
      <c r="E41" s="6" t="n"/>
      <c r="F41" s="6" t="n"/>
      <c r="G41" s="6" t="n"/>
      <c r="H41" s="6" t="n"/>
      <c r="I41" s="6" t="n"/>
      <c r="J41" s="6" t="n"/>
    </row>
    <row r="42">
      <c r="A42" s="4" t="n"/>
      <c r="B42" s="4" t="n"/>
      <c r="C42" s="4">
        <f>IF(B42="","",VLOOKUP(B42,'F01 - _Données Expatriés'!$A$6:$L$15,2,FALSE))</f>
        <v/>
      </c>
      <c r="D42" s="4" t="n"/>
      <c r="E42" s="4" t="n"/>
      <c r="F42" s="4" t="n"/>
      <c r="G42" s="4" t="n"/>
      <c r="H42" s="4" t="n"/>
      <c r="I42" s="4" t="n"/>
      <c r="J42" s="4" t="n"/>
    </row>
    <row r="43">
      <c r="A43" s="6" t="n"/>
      <c r="B43" s="6" t="n"/>
      <c r="C43" s="6">
        <f>IF(B43="","",VLOOKUP(B43,'F01 - _Données Expatriés'!$A$6:$L$15,2,FALSE))</f>
        <v/>
      </c>
      <c r="D43" s="6" t="n"/>
      <c r="E43" s="6" t="n"/>
      <c r="F43" s="6" t="n"/>
      <c r="G43" s="6" t="n"/>
      <c r="H43" s="6" t="n"/>
      <c r="I43" s="6" t="n"/>
      <c r="J43" s="6" t="n"/>
    </row>
    <row r="44">
      <c r="A44" s="4" t="n"/>
      <c r="B44" s="4" t="n"/>
      <c r="C44" s="4">
        <f>IF(B44="","",VLOOKUP(B44,'F01 - _Données Expatriés'!$A$6:$L$15,2,FALSE))</f>
        <v/>
      </c>
      <c r="D44" s="4" t="n"/>
      <c r="E44" s="4" t="n"/>
      <c r="F44" s="4" t="n"/>
      <c r="G44" s="4" t="n"/>
      <c r="H44" s="4" t="n"/>
      <c r="I44" s="4" t="n"/>
      <c r="J44" s="4" t="n"/>
    </row>
    <row r="45">
      <c r="A45" s="6" t="n"/>
      <c r="B45" s="6" t="n"/>
      <c r="C45" s="6">
        <f>IF(B45="","",VLOOKUP(B45,'F01 - _Données Expatriés'!$A$6:$L$15,2,FALSE))</f>
        <v/>
      </c>
      <c r="D45" s="6" t="n"/>
      <c r="E45" s="6" t="n"/>
      <c r="F45" s="6" t="n"/>
      <c r="G45" s="6" t="n"/>
      <c r="H45" s="6" t="n"/>
      <c r="I45" s="6" t="n"/>
      <c r="J45" s="6" t="n"/>
    </row>
    <row r="46">
      <c r="A46" s="4" t="n"/>
      <c r="B46" s="4" t="n"/>
      <c r="C46" s="4">
        <f>IF(B46="","",VLOOKUP(B46,'F01 - _Données Expatriés'!$A$6:$L$15,2,FALSE))</f>
        <v/>
      </c>
      <c r="D46" s="4" t="n"/>
      <c r="E46" s="4" t="n"/>
      <c r="F46" s="4" t="n"/>
      <c r="G46" s="4" t="n"/>
      <c r="H46" s="4" t="n"/>
      <c r="I46" s="4" t="n"/>
      <c r="J46" s="4" t="n"/>
    </row>
    <row r="47">
      <c r="A47" s="6" t="n"/>
      <c r="B47" s="6" t="n"/>
      <c r="C47" s="6">
        <f>IF(B47="","",VLOOKUP(B47,'F01 - _Données Expatriés'!$A$6:$L$15,2,FALSE))</f>
        <v/>
      </c>
      <c r="D47" s="6" t="n"/>
      <c r="E47" s="6" t="n"/>
      <c r="F47" s="6" t="n"/>
      <c r="G47" s="6" t="n"/>
      <c r="H47" s="6" t="n"/>
      <c r="I47" s="6" t="n"/>
      <c r="J47" s="6" t="n"/>
    </row>
    <row r="48">
      <c r="A48" s="4" t="n"/>
      <c r="B48" s="4" t="n"/>
      <c r="C48" s="4">
        <f>IF(B48="","",VLOOKUP(B48,'F01 - _Données Expatriés'!$A$6:$L$15,2,FALSE))</f>
        <v/>
      </c>
      <c r="D48" s="4" t="n"/>
      <c r="E48" s="4" t="n"/>
      <c r="F48" s="4" t="n"/>
      <c r="G48" s="4" t="n"/>
      <c r="H48" s="4" t="n"/>
      <c r="I48" s="4" t="n"/>
      <c r="J48" s="4" t="n"/>
    </row>
    <row r="49">
      <c r="A49" s="6" t="n"/>
      <c r="B49" s="6" t="n"/>
      <c r="C49" s="6">
        <f>IF(B49="","",VLOOKUP(B49,'F01 - _Données Expatriés'!$A$6:$L$15,2,FALSE))</f>
        <v/>
      </c>
      <c r="D49" s="6" t="n"/>
      <c r="E49" s="6" t="n"/>
      <c r="F49" s="6" t="n"/>
      <c r="G49" s="6" t="n"/>
      <c r="H49" s="6" t="n"/>
      <c r="I49" s="6" t="n"/>
      <c r="J49" s="6" t="n"/>
    </row>
    <row r="50">
      <c r="A50" s="4" t="n"/>
      <c r="B50" s="4" t="n"/>
      <c r="C50" s="4">
        <f>IF(B50="","",VLOOKUP(B50,'F01 - _Données Expatriés'!$A$6:$L$15,2,FALSE))</f>
        <v/>
      </c>
      <c r="D50" s="4" t="n"/>
      <c r="E50" s="4" t="n"/>
      <c r="F50" s="4" t="n"/>
      <c r="G50" s="4" t="n"/>
      <c r="H50" s="4" t="n"/>
      <c r="I50" s="4" t="n"/>
      <c r="J50" s="4" t="n"/>
    </row>
    <row r="51">
      <c r="A51" s="6" t="n"/>
      <c r="B51" s="6" t="n"/>
      <c r="C51" s="6">
        <f>IF(B51="","",VLOOKUP(B51,'F01 - _Données Expatriés'!$A$6:$L$15,2,FALSE))</f>
        <v/>
      </c>
      <c r="D51" s="6" t="n"/>
      <c r="E51" s="6" t="n"/>
      <c r="F51" s="6" t="n"/>
      <c r="G51" s="6" t="n"/>
      <c r="H51" s="6" t="n"/>
      <c r="I51" s="6" t="n"/>
      <c r="J51" s="6" t="n"/>
    </row>
    <row r="52">
      <c r="A52" s="4" t="n"/>
      <c r="B52" s="4" t="n"/>
      <c r="C52" s="4">
        <f>IF(B52="","",VLOOKUP(B52,'F01 - _Données Expatriés'!$A$6:$L$15,2,FALSE))</f>
        <v/>
      </c>
      <c r="D52" s="4" t="n"/>
      <c r="E52" s="4" t="n"/>
      <c r="F52" s="4" t="n"/>
      <c r="G52" s="4" t="n"/>
      <c r="H52" s="4" t="n"/>
      <c r="I52" s="4" t="n"/>
      <c r="J52" s="4" t="n"/>
    </row>
    <row r="53">
      <c r="A53" s="6" t="n"/>
      <c r="B53" s="6" t="n"/>
      <c r="C53" s="6">
        <f>IF(B53="","",VLOOKUP(B53,'F01 - _Données Expatriés'!$A$6:$L$15,2,FALSE))</f>
        <v/>
      </c>
      <c r="D53" s="6" t="n"/>
      <c r="E53" s="6" t="n"/>
      <c r="F53" s="6" t="n"/>
      <c r="G53" s="6" t="n"/>
      <c r="H53" s="6" t="n"/>
      <c r="I53" s="6" t="n"/>
      <c r="J53" s="6" t="n"/>
    </row>
    <row r="54">
      <c r="A54" s="4" t="n"/>
      <c r="B54" s="4" t="n"/>
      <c r="C54" s="4">
        <f>IF(B54="","",VLOOKUP(B54,'F01 - _Données Expatriés'!$A$6:$L$15,2,FALSE))</f>
        <v/>
      </c>
      <c r="D54" s="4" t="n"/>
      <c r="E54" s="4" t="n"/>
      <c r="F54" s="4" t="n"/>
      <c r="G54" s="4" t="n"/>
      <c r="H54" s="4" t="n"/>
      <c r="I54" s="4" t="n"/>
      <c r="J54" s="4" t="n"/>
    </row>
    <row r="55">
      <c r="A55" s="6" t="n"/>
      <c r="B55" s="6" t="n"/>
      <c r="C55" s="6">
        <f>IF(B55="","",VLOOKUP(B55,'F01 - _Données Expatriés'!$A$6:$L$15,2,FALSE))</f>
        <v/>
      </c>
      <c r="D55" s="6" t="n"/>
      <c r="E55" s="6" t="n"/>
      <c r="F55" s="6" t="n"/>
      <c r="G55" s="6" t="n"/>
      <c r="H55" s="6" t="n"/>
      <c r="I55" s="6" t="n"/>
      <c r="J55" s="6" t="n"/>
    </row>
    <row r="56">
      <c r="A56" s="4" t="n"/>
      <c r="B56" s="4" t="n"/>
      <c r="C56" s="4">
        <f>IF(B56="","",VLOOKUP(B56,'F01 - _Données Expatriés'!$A$6:$L$15,2,FALSE))</f>
        <v/>
      </c>
      <c r="D56" s="4" t="n"/>
      <c r="E56" s="4" t="n"/>
      <c r="F56" s="4" t="n"/>
      <c r="G56" s="4" t="n"/>
      <c r="H56" s="4" t="n"/>
      <c r="I56" s="4" t="n"/>
      <c r="J56" s="4" t="n"/>
    </row>
    <row r="57">
      <c r="A57" s="6" t="n"/>
      <c r="B57" s="6" t="n"/>
      <c r="C57" s="6">
        <f>IF(B57="","",VLOOKUP(B57,'F01 - _Données Expatriés'!$A$6:$L$15,2,FALSE))</f>
        <v/>
      </c>
      <c r="D57" s="6" t="n"/>
      <c r="E57" s="6" t="n"/>
      <c r="F57" s="6" t="n"/>
      <c r="G57" s="6" t="n"/>
      <c r="H57" s="6" t="n"/>
      <c r="I57" s="6" t="n"/>
      <c r="J57" s="6" t="n"/>
    </row>
    <row r="58">
      <c r="A58" s="4" t="n"/>
      <c r="B58" s="4" t="n"/>
      <c r="C58" s="4">
        <f>IF(B58="","",VLOOKUP(B58,'F01 - _Données Expatriés'!$A$6:$L$15,2,FALSE))</f>
        <v/>
      </c>
      <c r="D58" s="4" t="n"/>
      <c r="E58" s="4" t="n"/>
      <c r="F58" s="4" t="n"/>
      <c r="G58" s="4" t="n"/>
      <c r="H58" s="4" t="n"/>
      <c r="I58" s="4" t="n"/>
      <c r="J58" s="4" t="n"/>
    </row>
    <row r="59">
      <c r="A59" s="6" t="n"/>
      <c r="B59" s="6" t="n"/>
      <c r="C59" s="6">
        <f>IF(B59="","",VLOOKUP(B59,'F01 - _Données Expatriés'!$A$6:$L$15,2,FALSE))</f>
        <v/>
      </c>
      <c r="D59" s="6" t="n"/>
      <c r="E59" s="6" t="n"/>
      <c r="F59" s="6" t="n"/>
      <c r="G59" s="6" t="n"/>
      <c r="H59" s="6" t="n"/>
      <c r="I59" s="6" t="n"/>
      <c r="J59" s="6" t="n"/>
    </row>
    <row r="60">
      <c r="A60" s="4" t="n"/>
      <c r="B60" s="4" t="n"/>
      <c r="C60" s="4">
        <f>IF(B60="","",VLOOKUP(B60,'F01 - _Données Expatriés'!$A$6:$L$15,2,FALSE))</f>
        <v/>
      </c>
      <c r="D60" s="4" t="n"/>
      <c r="E60" s="4" t="n"/>
      <c r="F60" s="4" t="n"/>
      <c r="G60" s="4" t="n"/>
      <c r="H60" s="4" t="n"/>
      <c r="I60" s="4" t="n"/>
      <c r="J60" s="4" t="n"/>
    </row>
    <row r="61">
      <c r="A61" s="6" t="n"/>
      <c r="B61" s="6" t="n"/>
      <c r="C61" s="6">
        <f>IF(B61="","",VLOOKUP(B61,'F01 - _Données Expatriés'!$A$6:$L$15,2,FALSE))</f>
        <v/>
      </c>
      <c r="D61" s="6" t="n"/>
      <c r="E61" s="6" t="n"/>
      <c r="F61" s="6" t="n"/>
      <c r="G61" s="6" t="n"/>
      <c r="H61" s="6" t="n"/>
      <c r="I61" s="6" t="n"/>
      <c r="J61" s="6" t="n"/>
    </row>
    <row r="62">
      <c r="A62" s="4" t="n"/>
      <c r="B62" s="4" t="n"/>
      <c r="C62" s="4">
        <f>IF(B62="","",VLOOKUP(B62,'F01 - _Données Expatriés'!$A$6:$L$15,2,FALSE))</f>
        <v/>
      </c>
      <c r="D62" s="4" t="n"/>
      <c r="E62" s="4" t="n"/>
      <c r="F62" s="4" t="n"/>
      <c r="G62" s="4" t="n"/>
      <c r="H62" s="4" t="n"/>
      <c r="I62" s="4" t="n"/>
      <c r="J62" s="4" t="n"/>
    </row>
    <row r="63">
      <c r="A63" s="6" t="n"/>
      <c r="B63" s="6" t="n"/>
      <c r="C63" s="6">
        <f>IF(B63="","",VLOOKUP(B63,'F01 - _Données Expatriés'!$A$6:$L$15,2,FALSE))</f>
        <v/>
      </c>
      <c r="D63" s="6" t="n"/>
      <c r="E63" s="6" t="n"/>
      <c r="F63" s="6" t="n"/>
      <c r="G63" s="6" t="n"/>
      <c r="H63" s="6" t="n"/>
      <c r="I63" s="6" t="n"/>
      <c r="J63" s="6" t="n"/>
    </row>
    <row r="64">
      <c r="A64" s="4" t="n"/>
      <c r="B64" s="4" t="n"/>
      <c r="C64" s="4">
        <f>IF(B64="","",VLOOKUP(B64,'F01 - _Données Expatriés'!$A$6:$L$15,2,FALSE))</f>
        <v/>
      </c>
      <c r="D64" s="4" t="n"/>
      <c r="E64" s="4" t="n"/>
      <c r="F64" s="4" t="n"/>
      <c r="G64" s="4" t="n"/>
      <c r="H64" s="4" t="n"/>
      <c r="I64" s="4" t="n"/>
      <c r="J64" s="4" t="n"/>
    </row>
    <row r="65">
      <c r="A65" s="6" t="n"/>
      <c r="B65" s="6" t="n"/>
      <c r="C65" s="6">
        <f>IF(B65="","",VLOOKUP(B65,'F01 - _Données Expatriés'!$A$6:$L$15,2,FALSE))</f>
        <v/>
      </c>
      <c r="D65" s="6" t="n"/>
      <c r="E65" s="6" t="n"/>
      <c r="F65" s="6" t="n"/>
      <c r="G65" s="6" t="n"/>
      <c r="H65" s="6" t="n"/>
      <c r="I65" s="6" t="n"/>
      <c r="J65" s="6" t="n"/>
    </row>
    <row r="66">
      <c r="A66" s="4" t="n"/>
      <c r="B66" s="4" t="n"/>
      <c r="C66" s="4">
        <f>IF(B66="","",VLOOKUP(B66,'F01 - _Données Expatriés'!$A$6:$L$15,2,FALSE))</f>
        <v/>
      </c>
      <c r="D66" s="4" t="n"/>
      <c r="E66" s="4" t="n"/>
      <c r="F66" s="4" t="n"/>
      <c r="G66" s="4" t="n"/>
      <c r="H66" s="4" t="n"/>
      <c r="I66" s="4" t="n"/>
      <c r="J66" s="4" t="n"/>
    </row>
    <row r="67">
      <c r="A67" s="6" t="n"/>
      <c r="B67" s="6" t="n"/>
      <c r="C67" s="6">
        <f>IF(B67="","",VLOOKUP(B67,'F01 - _Données Expatriés'!$A$6:$L$15,2,FALSE))</f>
        <v/>
      </c>
      <c r="D67" s="6" t="n"/>
      <c r="E67" s="6" t="n"/>
      <c r="F67" s="6" t="n"/>
      <c r="G67" s="6" t="n"/>
      <c r="H67" s="6" t="n"/>
      <c r="I67" s="6" t="n"/>
      <c r="J67" s="6" t="n"/>
    </row>
    <row r="68">
      <c r="A68" s="4" t="n"/>
      <c r="B68" s="4" t="n"/>
      <c r="C68" s="4">
        <f>IF(B68="","",VLOOKUP(B68,'F01 - _Données Expatriés'!$A$6:$L$15,2,FALSE))</f>
        <v/>
      </c>
      <c r="D68" s="4" t="n"/>
      <c r="E68" s="4" t="n"/>
      <c r="F68" s="4" t="n"/>
      <c r="G68" s="4" t="n"/>
      <c r="H68" s="4" t="n"/>
      <c r="I68" s="4" t="n"/>
      <c r="J68" s="4" t="n"/>
    </row>
    <row r="69">
      <c r="A69" s="6" t="n"/>
      <c r="B69" s="6" t="n"/>
      <c r="C69" s="6">
        <f>IF(B69="","",VLOOKUP(B69,'F01 - _Données Expatriés'!$A$6:$L$15,2,FALSE))</f>
        <v/>
      </c>
      <c r="D69" s="6" t="n"/>
      <c r="E69" s="6" t="n"/>
      <c r="F69" s="6" t="n"/>
      <c r="G69" s="6" t="n"/>
      <c r="H69" s="6" t="n"/>
      <c r="I69" s="6" t="n"/>
      <c r="J69" s="6" t="n"/>
    </row>
    <row r="70">
      <c r="A70" s="4" t="n"/>
      <c r="B70" s="4" t="n"/>
      <c r="C70" s="4">
        <f>IF(B70="","",VLOOKUP(B70,'F01 - _Données Expatriés'!$A$6:$L$15,2,FALSE))</f>
        <v/>
      </c>
      <c r="D70" s="4" t="n"/>
      <c r="E70" s="4" t="n"/>
      <c r="F70" s="4" t="n"/>
      <c r="G70" s="4" t="n"/>
      <c r="H70" s="4" t="n"/>
      <c r="I70" s="4" t="n"/>
      <c r="J70" s="4" t="n"/>
    </row>
    <row r="71">
      <c r="A71" s="6" t="n"/>
      <c r="B71" s="6" t="n"/>
      <c r="C71" s="6">
        <f>IF(B71="","",VLOOKUP(B71,'F01 - _Données Expatriés'!$A$6:$L$15,2,FALSE))</f>
        <v/>
      </c>
      <c r="D71" s="6" t="n"/>
      <c r="E71" s="6" t="n"/>
      <c r="F71" s="6" t="n"/>
      <c r="G71" s="6" t="n"/>
      <c r="H71" s="6" t="n"/>
      <c r="I71" s="6" t="n"/>
      <c r="J71" s="6" t="n"/>
    </row>
    <row r="72">
      <c r="A72" s="4" t="n"/>
      <c r="B72" s="4" t="n"/>
      <c r="C72" s="4">
        <f>IF(B72="","",VLOOKUP(B72,'F01 - _Données Expatriés'!$A$6:$L$15,2,FALSE))</f>
        <v/>
      </c>
      <c r="D72" s="4" t="n"/>
      <c r="E72" s="4" t="n"/>
      <c r="F72" s="4" t="n"/>
      <c r="G72" s="4" t="n"/>
      <c r="H72" s="4" t="n"/>
      <c r="I72" s="4" t="n"/>
      <c r="J72" s="4" t="n"/>
    </row>
    <row r="73">
      <c r="A73" s="6" t="n"/>
      <c r="B73" s="6" t="n"/>
      <c r="C73" s="6">
        <f>IF(B73="","",VLOOKUP(B73,'F01 - _Données Expatriés'!$A$6:$L$15,2,FALSE))</f>
        <v/>
      </c>
      <c r="D73" s="6" t="n"/>
      <c r="E73" s="6" t="n"/>
      <c r="F73" s="6" t="n"/>
      <c r="G73" s="6" t="n"/>
      <c r="H73" s="6" t="n"/>
      <c r="I73" s="6" t="n"/>
      <c r="J73" s="6" t="n"/>
    </row>
    <row r="74">
      <c r="A74" s="4" t="n"/>
      <c r="B74" s="4" t="n"/>
      <c r="C74" s="4">
        <f>IF(B74="","",VLOOKUP(B74,'F01 - _Données Expatriés'!$A$6:$L$15,2,FALSE))</f>
        <v/>
      </c>
      <c r="D74" s="4" t="n"/>
      <c r="E74" s="4" t="n"/>
      <c r="F74" s="4" t="n"/>
      <c r="G74" s="4" t="n"/>
      <c r="H74" s="4" t="n"/>
      <c r="I74" s="4" t="n"/>
      <c r="J74" s="4" t="n"/>
    </row>
    <row r="75">
      <c r="A75" s="6" t="n"/>
      <c r="B75" s="6" t="n"/>
      <c r="C75" s="6">
        <f>IF(B75="","",VLOOKUP(B75,'F01 - _Données Expatriés'!$A$6:$L$15,2,FALSE))</f>
        <v/>
      </c>
      <c r="D75" s="6" t="n"/>
      <c r="E75" s="6" t="n"/>
      <c r="F75" s="6" t="n"/>
      <c r="G75" s="6" t="n"/>
      <c r="H75" s="6" t="n"/>
      <c r="I75" s="6" t="n"/>
      <c r="J75" s="6" t="n"/>
    </row>
    <row r="76">
      <c r="A76" s="4" t="n"/>
      <c r="B76" s="4" t="n"/>
      <c r="C76" s="4">
        <f>IF(B76="","",VLOOKUP(B76,'F01 - _Données Expatriés'!$A$6:$L$15,2,FALSE))</f>
        <v/>
      </c>
      <c r="D76" s="4" t="n"/>
      <c r="E76" s="4" t="n"/>
      <c r="F76" s="4" t="n"/>
      <c r="G76" s="4" t="n"/>
      <c r="H76" s="4" t="n"/>
      <c r="I76" s="4" t="n"/>
      <c r="J76" s="4" t="n"/>
    </row>
    <row r="77">
      <c r="A77" s="6" t="n"/>
      <c r="B77" s="6" t="n"/>
      <c r="C77" s="6">
        <f>IF(B77="","",VLOOKUP(B77,'F01 - _Données Expatriés'!$A$6:$L$15,2,FALSE))</f>
        <v/>
      </c>
      <c r="D77" s="6" t="n"/>
      <c r="E77" s="6" t="n"/>
      <c r="F77" s="6" t="n"/>
      <c r="G77" s="6" t="n"/>
      <c r="H77" s="6" t="n"/>
      <c r="I77" s="6" t="n"/>
      <c r="J77" s="6" t="n"/>
    </row>
    <row r="78">
      <c r="A78" s="4" t="n"/>
      <c r="B78" s="4" t="n"/>
      <c r="C78" s="4">
        <f>IF(B78="","",VLOOKUP(B78,'F01 - _Données Expatriés'!$A$6:$L$15,2,FALSE))</f>
        <v/>
      </c>
      <c r="D78" s="4" t="n"/>
      <c r="E78" s="4" t="n"/>
      <c r="F78" s="4" t="n"/>
      <c r="G78" s="4" t="n"/>
      <c r="H78" s="4" t="n"/>
      <c r="I78" s="4" t="n"/>
      <c r="J78" s="4" t="n"/>
    </row>
    <row r="79">
      <c r="A79" s="6" t="n"/>
      <c r="B79" s="6" t="n"/>
      <c r="C79" s="6">
        <f>IF(B79="","",VLOOKUP(B79,'F01 - _Données Expatriés'!$A$6:$L$15,2,FALSE))</f>
        <v/>
      </c>
      <c r="D79" s="6" t="n"/>
      <c r="E79" s="6" t="n"/>
      <c r="F79" s="6" t="n"/>
      <c r="G79" s="6" t="n"/>
      <c r="H79" s="6" t="n"/>
      <c r="I79" s="6" t="n"/>
      <c r="J79" s="6" t="n"/>
    </row>
    <row r="80">
      <c r="A80" s="4" t="n"/>
      <c r="B80" s="4" t="n"/>
      <c r="C80" s="4">
        <f>IF(B80="","",VLOOKUP(B80,'F01 - _Données Expatriés'!$A$6:$L$15,2,FALSE))</f>
        <v/>
      </c>
      <c r="D80" s="4" t="n"/>
      <c r="E80" s="4" t="n"/>
      <c r="F80" s="4" t="n"/>
      <c r="G80" s="4" t="n"/>
      <c r="H80" s="4" t="n"/>
      <c r="I80" s="4" t="n"/>
      <c r="J80" s="4" t="n"/>
    </row>
    <row r="81">
      <c r="A81" s="6" t="n"/>
      <c r="B81" s="6" t="n"/>
      <c r="C81" s="6">
        <f>IF(B81="","",VLOOKUP(B81,'F01 - _Données Expatriés'!$A$6:$L$15,2,FALSE))</f>
        <v/>
      </c>
      <c r="D81" s="6" t="n"/>
      <c r="E81" s="6" t="n"/>
      <c r="F81" s="6" t="n"/>
      <c r="G81" s="6" t="n"/>
      <c r="H81" s="6" t="n"/>
      <c r="I81" s="6" t="n"/>
      <c r="J81" s="6" t="n"/>
    </row>
    <row r="82">
      <c r="A82" s="4" t="n"/>
      <c r="B82" s="4" t="n"/>
      <c r="C82" s="4">
        <f>IF(B82="","",VLOOKUP(B82,'F01 - _Données Expatriés'!$A$6:$L$15,2,FALSE))</f>
        <v/>
      </c>
      <c r="D82" s="4" t="n"/>
      <c r="E82" s="4" t="n"/>
      <c r="F82" s="4" t="n"/>
      <c r="G82" s="4" t="n"/>
      <c r="H82" s="4" t="n"/>
      <c r="I82" s="4" t="n"/>
      <c r="J82" s="4" t="n"/>
    </row>
    <row r="83">
      <c r="A83" s="6" t="n"/>
      <c r="B83" s="6" t="n"/>
      <c r="C83" s="6">
        <f>IF(B83="","",VLOOKUP(B83,'F01 - _Données Expatriés'!$A$6:$L$15,2,FALSE))</f>
        <v/>
      </c>
      <c r="D83" s="6" t="n"/>
      <c r="E83" s="6" t="n"/>
      <c r="F83" s="6" t="n"/>
      <c r="G83" s="6" t="n"/>
      <c r="H83" s="6" t="n"/>
      <c r="I83" s="6" t="n"/>
      <c r="J83" s="6" t="n"/>
    </row>
    <row r="84">
      <c r="A84" s="4" t="n"/>
      <c r="B84" s="4" t="n"/>
      <c r="C84" s="4">
        <f>IF(B84="","",VLOOKUP(B84,'F01 - _Données Expatriés'!$A$6:$L$15,2,FALSE))</f>
        <v/>
      </c>
      <c r="D84" s="4" t="n"/>
      <c r="E84" s="4" t="n"/>
      <c r="F84" s="4" t="n"/>
      <c r="G84" s="4" t="n"/>
      <c r="H84" s="4" t="n"/>
      <c r="I84" s="4" t="n"/>
      <c r="J84" s="4" t="n"/>
    </row>
    <row r="85">
      <c r="A85" s="6" t="n"/>
      <c r="B85" s="6" t="n"/>
      <c r="C85" s="6">
        <f>IF(B85="","",VLOOKUP(B85,'F01 - _Données Expatriés'!$A$6:$L$15,2,FALSE))</f>
        <v/>
      </c>
      <c r="D85" s="6" t="n"/>
      <c r="E85" s="6" t="n"/>
      <c r="F85" s="6" t="n"/>
      <c r="G85" s="6" t="n"/>
      <c r="H85" s="6" t="n"/>
      <c r="I85" s="6" t="n"/>
      <c r="J85" s="6" t="n"/>
    </row>
    <row r="86">
      <c r="A86" s="4" t="n"/>
      <c r="B86" s="4" t="n"/>
      <c r="C86" s="4">
        <f>IF(B86="","",VLOOKUP(B86,'F01 - _Données Expatriés'!$A$6:$L$15,2,FALSE))</f>
        <v/>
      </c>
      <c r="D86" s="4" t="n"/>
      <c r="E86" s="4" t="n"/>
      <c r="F86" s="4" t="n"/>
      <c r="G86" s="4" t="n"/>
      <c r="H86" s="4" t="n"/>
      <c r="I86" s="4" t="n"/>
      <c r="J86" s="4" t="n"/>
    </row>
    <row r="87">
      <c r="A87" s="6" t="n"/>
      <c r="B87" s="6" t="n"/>
      <c r="C87" s="6">
        <f>IF(B87="","",VLOOKUP(B87,'F01 - _Données Expatriés'!$A$6:$L$15,2,FALSE))</f>
        <v/>
      </c>
      <c r="D87" s="6" t="n"/>
      <c r="E87" s="6" t="n"/>
      <c r="F87" s="6" t="n"/>
      <c r="G87" s="6" t="n"/>
      <c r="H87" s="6" t="n"/>
      <c r="I87" s="6" t="n"/>
      <c r="J87" s="6" t="n"/>
    </row>
    <row r="88">
      <c r="A88" s="4" t="n"/>
      <c r="B88" s="4" t="n"/>
      <c r="C88" s="4">
        <f>IF(B88="","",VLOOKUP(B88,'F01 - _Données Expatriés'!$A$6:$L$15,2,FALSE))</f>
        <v/>
      </c>
      <c r="D88" s="4" t="n"/>
      <c r="E88" s="4" t="n"/>
      <c r="F88" s="4" t="n"/>
      <c r="G88" s="4" t="n"/>
      <c r="H88" s="4" t="n"/>
      <c r="I88" s="4" t="n"/>
      <c r="J88" s="4" t="n"/>
    </row>
    <row r="89">
      <c r="A89" s="6" t="n"/>
      <c r="B89" s="6" t="n"/>
      <c r="C89" s="6">
        <f>IF(B89="","",VLOOKUP(B89,'F01 - _Données Expatriés'!$A$6:$L$15,2,FALSE))</f>
        <v/>
      </c>
      <c r="D89" s="6" t="n"/>
      <c r="E89" s="6" t="n"/>
      <c r="F89" s="6" t="n"/>
      <c r="G89" s="6" t="n"/>
      <c r="H89" s="6" t="n"/>
      <c r="I89" s="6" t="n"/>
      <c r="J89" s="6" t="n"/>
    </row>
    <row r="90">
      <c r="A90" s="4" t="n"/>
      <c r="B90" s="4" t="n"/>
      <c r="C90" s="4">
        <f>IF(B90="","",VLOOKUP(B90,'F01 - _Données Expatriés'!$A$6:$L$15,2,FALSE))</f>
        <v/>
      </c>
      <c r="D90" s="4" t="n"/>
      <c r="E90" s="4" t="n"/>
      <c r="F90" s="4" t="n"/>
      <c r="G90" s="4" t="n"/>
      <c r="H90" s="4" t="n"/>
      <c r="I90" s="4" t="n"/>
      <c r="J90" s="4" t="n"/>
    </row>
    <row r="91">
      <c r="A91" s="6" t="n"/>
      <c r="B91" s="6" t="n"/>
      <c r="C91" s="6">
        <f>IF(B91="","",VLOOKUP(B91,'F01 - _Données Expatriés'!$A$6:$L$15,2,FALSE))</f>
        <v/>
      </c>
      <c r="D91" s="6" t="n"/>
      <c r="E91" s="6" t="n"/>
      <c r="F91" s="6" t="n"/>
      <c r="G91" s="6" t="n"/>
      <c r="H91" s="6" t="n"/>
      <c r="I91" s="6" t="n"/>
      <c r="J91" s="6" t="n"/>
    </row>
    <row r="92">
      <c r="A92" s="4" t="n"/>
      <c r="B92" s="4" t="n"/>
      <c r="C92" s="4">
        <f>IF(B92="","",VLOOKUP(B92,'F01 - _Données Expatriés'!$A$6:$L$15,2,FALSE))</f>
        <v/>
      </c>
      <c r="D92" s="4" t="n"/>
      <c r="E92" s="4" t="n"/>
      <c r="F92" s="4" t="n"/>
      <c r="G92" s="4" t="n"/>
      <c r="H92" s="4" t="n"/>
      <c r="I92" s="4" t="n"/>
      <c r="J92" s="4" t="n"/>
    </row>
    <row r="93">
      <c r="A93" s="6" t="n"/>
      <c r="B93" s="6" t="n"/>
      <c r="C93" s="6">
        <f>IF(B93="","",VLOOKUP(B93,'F01 - _Données Expatriés'!$A$6:$L$15,2,FALSE))</f>
        <v/>
      </c>
      <c r="D93" s="6" t="n"/>
      <c r="E93" s="6" t="n"/>
      <c r="F93" s="6" t="n"/>
      <c r="G93" s="6" t="n"/>
      <c r="H93" s="6" t="n"/>
      <c r="I93" s="6" t="n"/>
      <c r="J93" s="6" t="n"/>
    </row>
    <row r="94">
      <c r="A94" s="4" t="n"/>
      <c r="B94" s="4" t="n"/>
      <c r="C94" s="4">
        <f>IF(B94="","",VLOOKUP(B94,'F01 - _Données Expatriés'!$A$6:$L$15,2,FALSE))</f>
        <v/>
      </c>
      <c r="D94" s="4" t="n"/>
      <c r="E94" s="4" t="n"/>
      <c r="F94" s="4" t="n"/>
      <c r="G94" s="4" t="n"/>
      <c r="H94" s="4" t="n"/>
      <c r="I94" s="4" t="n"/>
      <c r="J94" s="4" t="n"/>
    </row>
    <row r="95">
      <c r="A95" s="6" t="n"/>
      <c r="B95" s="6" t="n"/>
      <c r="C95" s="6">
        <f>IF(B95="","",VLOOKUP(B95,'F01 - _Données Expatriés'!$A$6:$L$15,2,FALSE))</f>
        <v/>
      </c>
      <c r="D95" s="6" t="n"/>
      <c r="E95" s="6" t="n"/>
      <c r="F95" s="6" t="n"/>
      <c r="G95" s="6" t="n"/>
      <c r="H95" s="6" t="n"/>
      <c r="I95" s="6" t="n"/>
      <c r="J95" s="6" t="n"/>
    </row>
    <row r="96">
      <c r="A96" s="4" t="n"/>
      <c r="B96" s="4" t="n"/>
      <c r="C96" s="4">
        <f>IF(B96="","",VLOOKUP(B96,'F01 - _Données Expatriés'!$A$6:$L$15,2,FALSE))</f>
        <v/>
      </c>
      <c r="D96" s="4" t="n"/>
      <c r="E96" s="4" t="n"/>
      <c r="F96" s="4" t="n"/>
      <c r="G96" s="4" t="n"/>
      <c r="H96" s="4" t="n"/>
      <c r="I96" s="4" t="n"/>
      <c r="J96" s="4" t="n"/>
    </row>
    <row r="97">
      <c r="A97" s="6" t="n"/>
      <c r="B97" s="6" t="n"/>
      <c r="C97" s="6">
        <f>IF(B97="","",VLOOKUP(B97,'F01 - _Données Expatriés'!$A$6:$L$15,2,FALSE))</f>
        <v/>
      </c>
      <c r="D97" s="6" t="n"/>
      <c r="E97" s="6" t="n"/>
      <c r="F97" s="6" t="n"/>
      <c r="G97" s="6" t="n"/>
      <c r="H97" s="6" t="n"/>
      <c r="I97" s="6" t="n"/>
      <c r="J97" s="6" t="n"/>
    </row>
    <row r="98">
      <c r="A98" s="4" t="n"/>
      <c r="B98" s="4" t="n"/>
      <c r="C98" s="4">
        <f>IF(B98="","",VLOOKUP(B98,'F01 - _Données Expatriés'!$A$6:$L$15,2,FALSE))</f>
        <v/>
      </c>
      <c r="D98" s="4" t="n"/>
      <c r="E98" s="4" t="n"/>
      <c r="F98" s="4" t="n"/>
      <c r="G98" s="4" t="n"/>
      <c r="H98" s="4" t="n"/>
      <c r="I98" s="4" t="n"/>
      <c r="J98" s="4" t="n"/>
    </row>
    <row r="99">
      <c r="A99" s="6" t="n"/>
      <c r="B99" s="6" t="n"/>
      <c r="C99" s="6">
        <f>IF(B99="","",VLOOKUP(B99,'F01 - _Données Expatriés'!$A$6:$L$15,2,FALSE))</f>
        <v/>
      </c>
      <c r="D99" s="6" t="n"/>
      <c r="E99" s="6" t="n"/>
      <c r="F99" s="6" t="n"/>
      <c r="G99" s="6" t="n"/>
      <c r="H99" s="6" t="n"/>
      <c r="I99" s="6" t="n"/>
      <c r="J99" s="6" t="n"/>
    </row>
    <row r="100">
      <c r="A100" s="4" t="n"/>
      <c r="B100" s="4" t="n"/>
      <c r="C100" s="4">
        <f>IF(B100="","",VLOOKUP(B100,'F01 - _Données Expatriés'!$A$6:$L$15,2,FALSE))</f>
        <v/>
      </c>
      <c r="D100" s="4" t="n"/>
      <c r="E100" s="4" t="n"/>
      <c r="F100" s="4" t="n"/>
      <c r="G100" s="4" t="n"/>
      <c r="H100" s="4" t="n"/>
      <c r="I100" s="4" t="n"/>
      <c r="J100" s="4" t="n"/>
    </row>
    <row r="101">
      <c r="A101" s="6" t="n"/>
      <c r="B101" s="6" t="n"/>
      <c r="C101" s="6">
        <f>IF(B101="","",VLOOKUP(B101,'F01 - _Données Expatriés'!$A$6:$L$15,2,FALSE))</f>
        <v/>
      </c>
      <c r="D101" s="6" t="n"/>
      <c r="E101" s="6" t="n"/>
      <c r="F101" s="6" t="n"/>
      <c r="G101" s="6" t="n"/>
      <c r="H101" s="6" t="n"/>
      <c r="I101" s="6" t="n"/>
      <c r="J101" s="6" t="n"/>
    </row>
    <row r="102">
      <c r="A102" s="4" t="n"/>
      <c r="B102" s="4" t="n"/>
      <c r="C102" s="4">
        <f>IF(B102="","",VLOOKUP(B102,'F01 - _Données Expatriés'!$A$6:$L$15,2,FALSE))</f>
        <v/>
      </c>
      <c r="D102" s="4" t="n"/>
      <c r="E102" s="4" t="n"/>
      <c r="F102" s="4" t="n"/>
      <c r="G102" s="4" t="n"/>
      <c r="H102" s="4" t="n"/>
      <c r="I102" s="4" t="n"/>
      <c r="J102" s="4" t="n"/>
    </row>
    <row r="103">
      <c r="A103" s="6" t="n"/>
      <c r="B103" s="6" t="n"/>
      <c r="C103" s="6">
        <f>IF(B103="","",VLOOKUP(B103,'F01 - _Données Expatriés'!$A$6:$L$15,2,FALSE))</f>
        <v/>
      </c>
      <c r="D103" s="6" t="n"/>
      <c r="E103" s="6" t="n"/>
      <c r="F103" s="6" t="n"/>
      <c r="G103" s="6" t="n"/>
      <c r="H103" s="6" t="n"/>
      <c r="I103" s="6" t="n"/>
      <c r="J103" s="6" t="n"/>
    </row>
    <row r="104">
      <c r="A104" s="4" t="n"/>
      <c r="B104" s="4" t="n"/>
      <c r="C104" s="4">
        <f>IF(B104="","",VLOOKUP(B104,'F01 - _Données Expatriés'!$A$6:$L$15,2,FALSE))</f>
        <v/>
      </c>
      <c r="D104" s="4" t="n"/>
      <c r="E104" s="4" t="n"/>
      <c r="F104" s="4" t="n"/>
      <c r="G104" s="4" t="n"/>
      <c r="H104" s="4" t="n"/>
      <c r="I104" s="4" t="n"/>
      <c r="J104" s="4" t="n"/>
    </row>
    <row r="105">
      <c r="A105" s="6" t="n"/>
      <c r="B105" s="6" t="n"/>
      <c r="C105" s="6">
        <f>IF(B105="","",VLOOKUP(B105,'F01 - _Données Expatriés'!$A$6:$L$15,2,FALSE))</f>
        <v/>
      </c>
      <c r="D105" s="6" t="n"/>
      <c r="E105" s="6" t="n"/>
      <c r="F105" s="6" t="n"/>
      <c r="G105" s="6" t="n"/>
      <c r="H105" s="6" t="n"/>
      <c r="I105" s="6" t="n"/>
      <c r="J105" s="6" t="n"/>
    </row>
    <row r="106">
      <c r="A106" s="4" t="n"/>
      <c r="B106" s="4" t="n"/>
      <c r="C106" s="4">
        <f>IF(B106="","",VLOOKUP(B106,'F01 - _Données Expatriés'!$A$6:$L$15,2,FALSE))</f>
        <v/>
      </c>
      <c r="D106" s="4" t="n"/>
      <c r="E106" s="4" t="n"/>
      <c r="F106" s="4" t="n"/>
      <c r="G106" s="4" t="n"/>
      <c r="H106" s="4" t="n"/>
      <c r="I106" s="4" t="n"/>
      <c r="J106" s="4" t="n"/>
    </row>
    <row r="107">
      <c r="A107" s="6" t="n"/>
      <c r="B107" s="6" t="n"/>
      <c r="C107" s="6">
        <f>IF(B107="","",VLOOKUP(B107,'F01 - _Données Expatriés'!$A$6:$L$15,2,FALSE))</f>
        <v/>
      </c>
      <c r="D107" s="6" t="n"/>
      <c r="E107" s="6" t="n"/>
      <c r="F107" s="6" t="n"/>
      <c r="G107" s="6" t="n"/>
      <c r="H107" s="6" t="n"/>
      <c r="I107" s="6" t="n"/>
      <c r="J107" s="6" t="n"/>
    </row>
    <row r="108">
      <c r="A108" s="4" t="n"/>
      <c r="B108" s="4" t="n"/>
      <c r="C108" s="4">
        <f>IF(B108="","",VLOOKUP(B108,'F01 - _Données Expatriés'!$A$6:$L$15,2,FALSE))</f>
        <v/>
      </c>
      <c r="D108" s="4" t="n"/>
      <c r="E108" s="4" t="n"/>
      <c r="F108" s="4" t="n"/>
      <c r="G108" s="4" t="n"/>
      <c r="H108" s="4" t="n"/>
      <c r="I108" s="4" t="n"/>
      <c r="J108" s="4" t="n"/>
    </row>
    <row r="109">
      <c r="A109" s="6" t="n"/>
      <c r="B109" s="6" t="n"/>
      <c r="C109" s="6">
        <f>IF(B109="","",VLOOKUP(B109,'F01 - _Données Expatriés'!$A$6:$L$15,2,FALSE))</f>
        <v/>
      </c>
      <c r="D109" s="6" t="n"/>
      <c r="E109" s="6" t="n"/>
      <c r="F109" s="6" t="n"/>
      <c r="G109" s="6" t="n"/>
      <c r="H109" s="6" t="n"/>
      <c r="I109" s="6" t="n"/>
      <c r="J109" s="6" t="n"/>
    </row>
    <row r="110">
      <c r="A110" s="4" t="n"/>
      <c r="B110" s="4" t="n"/>
      <c r="C110" s="4">
        <f>IF(B110="","",VLOOKUP(B110,'F01 - _Données Expatriés'!$A$6:$L$15,2,FALSE))</f>
        <v/>
      </c>
      <c r="D110" s="4" t="n"/>
      <c r="E110" s="4" t="n"/>
      <c r="F110" s="4" t="n"/>
      <c r="G110" s="4" t="n"/>
      <c r="H110" s="4" t="n"/>
      <c r="I110" s="4" t="n"/>
      <c r="J110" s="4" t="n"/>
    </row>
    <row r="111">
      <c r="A111" s="6" t="n"/>
      <c r="B111" s="6" t="n"/>
      <c r="C111" s="6">
        <f>IF(B111="","",VLOOKUP(B111,'F01 - _Données Expatriés'!$A$6:$L$15,2,FALSE))</f>
        <v/>
      </c>
      <c r="D111" s="6" t="n"/>
      <c r="E111" s="6" t="n"/>
      <c r="F111" s="6" t="n"/>
      <c r="G111" s="6" t="n"/>
      <c r="H111" s="6" t="n"/>
      <c r="I111" s="6" t="n"/>
      <c r="J111" s="6" t="n"/>
    </row>
    <row r="112">
      <c r="A112" s="4" t="n"/>
      <c r="B112" s="4" t="n"/>
      <c r="C112" s="4">
        <f>IF(B112="","",VLOOKUP(B112,'F01 - _Données Expatriés'!$A$6:$L$15,2,FALSE))</f>
        <v/>
      </c>
      <c r="D112" s="4" t="n"/>
      <c r="E112" s="4" t="n"/>
      <c r="F112" s="4" t="n"/>
      <c r="G112" s="4" t="n"/>
      <c r="H112" s="4" t="n"/>
      <c r="I112" s="4" t="n"/>
      <c r="J112" s="4" t="n"/>
    </row>
    <row r="113">
      <c r="A113" s="6" t="n"/>
      <c r="B113" s="6" t="n"/>
      <c r="C113" s="6">
        <f>IF(B113="","",VLOOKUP(B113,'F01 - _Données Expatriés'!$A$6:$L$15,2,FALSE))</f>
        <v/>
      </c>
      <c r="D113" s="6" t="n"/>
      <c r="E113" s="6" t="n"/>
      <c r="F113" s="6" t="n"/>
      <c r="G113" s="6" t="n"/>
      <c r="H113" s="6" t="n"/>
      <c r="I113" s="6" t="n"/>
      <c r="J113" s="6" t="n"/>
    </row>
    <row r="114">
      <c r="A114" s="4" t="n"/>
      <c r="B114" s="4" t="n"/>
      <c r="C114" s="4">
        <f>IF(B114="","",VLOOKUP(B114,'F01 - _Données Expatriés'!$A$6:$L$15,2,FALSE))</f>
        <v/>
      </c>
      <c r="D114" s="4" t="n"/>
      <c r="E114" s="4" t="n"/>
      <c r="F114" s="4" t="n"/>
      <c r="G114" s="4" t="n"/>
      <c r="H114" s="4" t="n"/>
      <c r="I114" s="4" t="n"/>
      <c r="J114" s="4" t="n"/>
    </row>
    <row r="115">
      <c r="A115" s="6" t="n"/>
      <c r="B115" s="6" t="n"/>
      <c r="C115" s="6">
        <f>IF(B115="","",VLOOKUP(B115,'F01 - _Données Expatriés'!$A$6:$L$15,2,FALSE))</f>
        <v/>
      </c>
      <c r="D115" s="6" t="n"/>
      <c r="E115" s="6" t="n"/>
      <c r="F115" s="6" t="n"/>
      <c r="G115" s="6" t="n"/>
      <c r="H115" s="6" t="n"/>
      <c r="I115" s="6" t="n"/>
      <c r="J115" s="6" t="n"/>
    </row>
  </sheetData>
  <mergeCells count="2">
    <mergeCell ref="A3:N3"/>
    <mergeCell ref="A2:N2"/>
  </mergeCells>
  <dataValidations count="3">
    <dataValidation sqref="D6:D115" showDropDown="0" showInputMessage="0" showErrorMessage="0" allowBlank="1" errorTitle="Erreur de saisie" error="Valeur non autorisée" promptTitle="Liste déroulante" prompt="Sélectionnez dans la liste" type="list">
      <formula1>'F02 - _Lists'!$O$6:$O$35</formula1>
    </dataValidation>
    <dataValidation sqref="G6:G115" showDropDown="0" showInputMessage="0" showErrorMessage="0" allowBlank="1" errorTitle="Erreur de saisie" error="Valeur non autorisée" promptTitle="Liste déroulante" prompt="Sélectionnez dans la liste" type="list">
      <formula1>'F02 - _Lists'!$N$6:$N$35</formula1>
    </dataValidation>
    <dataValidation sqref="H6:H115" showDropDown="0" showInputMessage="0" showErrorMessage="0" allowBlank="1" errorTitle="Erreur de saisie" error="Valeur non autorisée" promptTitle="Liste déroulante" prompt="Sélectionnez dans la liste" type="list">
      <formula1>'F02 - _Lists'!$AB$6:$AB$35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13" customWidth="1" min="6" max="6"/>
    <col width="13" customWidth="1" min="7" max="7"/>
    <col width="14" customWidth="1" min="8" max="8"/>
    <col width="18" customWidth="1" min="9" max="9"/>
    <col width="14" customWidth="1" min="10" max="10"/>
  </cols>
  <sheetData>
    <row r="2" ht="25" customHeight="1">
      <c r="A2" s="1" t="inlineStr">
        <is>
          <t>DOMAINE 25 — 15-HISTORIQUE EXPATRIÉS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Nom</t>
        </is>
      </c>
      <c r="B5" s="3" t="inlineStr">
        <is>
          <t>Prénom</t>
        </is>
      </c>
      <c r="C5" s="3" t="inlineStr">
        <is>
          <t>Nationalité</t>
        </is>
      </c>
      <c r="D5" s="3" t="inlineStr">
        <is>
          <t>Département</t>
        </is>
      </c>
      <c r="E5" s="3" t="inlineStr">
        <is>
          <t>Poste</t>
        </is>
      </c>
      <c r="F5" s="3" t="inlineStr">
        <is>
          <t>Date Début</t>
        </is>
      </c>
      <c r="G5" s="3" t="inlineStr">
        <is>
          <t>Date Fin</t>
        </is>
      </c>
      <c r="H5" s="3" t="inlineStr">
        <is>
          <t>Durée (mois)</t>
        </is>
      </c>
      <c r="I5" s="3" t="inlineStr">
        <is>
          <t>Motif Départ</t>
        </is>
      </c>
      <c r="J5" s="3" t="inlineStr">
        <is>
          <t>Satisfaction</t>
        </is>
      </c>
    </row>
    <row r="6">
      <c r="A6" s="4" t="inlineStr">
        <is>
          <t>Laurent</t>
        </is>
      </c>
      <c r="B6" s="4" t="inlineStr">
        <is>
          <t>Marie</t>
        </is>
      </c>
      <c r="C6" s="4" t="inlineStr">
        <is>
          <t>Française</t>
        </is>
      </c>
      <c r="D6" s="4" t="inlineStr">
        <is>
          <t>Marketing &amp; Communication</t>
        </is>
      </c>
      <c r="E6" s="4" t="inlineStr">
        <is>
          <t>Directrice Marketing</t>
        </is>
      </c>
      <c r="F6" s="5" t="n">
        <v>44621</v>
      </c>
      <c r="G6" s="5" t="n">
        <v>45656</v>
      </c>
      <c r="H6" s="4">
        <f>IF(OR(G6="",F6=""),"",IFERROR((G6-F6)/30.44,0))</f>
        <v/>
      </c>
      <c r="I6" s="4" t="inlineStr">
        <is>
          <t>Fin de contrat</t>
        </is>
      </c>
      <c r="J6" s="4" t="inlineStr">
        <is>
          <t>Très bon</t>
        </is>
      </c>
    </row>
    <row r="7">
      <c r="A7" s="6" t="inlineStr">
        <is>
          <t>Fischer</t>
        </is>
      </c>
      <c r="B7" s="6" t="inlineStr">
        <is>
          <t>Klaus</t>
        </is>
      </c>
      <c r="C7" s="6" t="inlineStr">
        <is>
          <t>Allemand</t>
        </is>
      </c>
      <c r="D7" s="6" t="inlineStr">
        <is>
          <t>Maintenance &amp; Technique</t>
        </is>
      </c>
      <c r="E7" s="6" t="inlineStr">
        <is>
          <t>Directeur Technique</t>
        </is>
      </c>
      <c r="F7" s="7" t="n">
        <v>44941</v>
      </c>
      <c r="G7" s="7" t="n">
        <v>45550</v>
      </c>
      <c r="H7" s="6">
        <f>IF(OR(G7="",F7=""),"",IFERROR((G7-F7)/30.44,0))</f>
        <v/>
      </c>
      <c r="I7" s="6" t="inlineStr">
        <is>
          <t>Raison personnelle</t>
        </is>
      </c>
      <c r="J7" s="6" t="inlineStr">
        <is>
          <t>Satisfaisant</t>
        </is>
      </c>
    </row>
    <row r="8">
      <c r="A8" s="4" t="inlineStr">
        <is>
          <t>Dubois</t>
        </is>
      </c>
      <c r="B8" s="4" t="inlineStr">
        <is>
          <t>Pierre</t>
        </is>
      </c>
      <c r="C8" s="4" t="inlineStr">
        <is>
          <t>Français</t>
        </is>
      </c>
      <c r="D8" s="4" t="inlineStr">
        <is>
          <t>Cuisine &amp; Restauration</t>
        </is>
      </c>
      <c r="E8" s="4" t="inlineStr">
        <is>
          <t>Chef Pâtisserie</t>
        </is>
      </c>
      <c r="F8" s="5" t="n">
        <v>44713</v>
      </c>
      <c r="G8" s="5" t="n">
        <v>45443</v>
      </c>
      <c r="H8" s="4">
        <f>IF(OR(G8="",F8=""),"",IFERROR((G8-F8)/30.44,0))</f>
        <v/>
      </c>
      <c r="I8" s="4" t="inlineStr">
        <is>
          <t>Mutation interne groupe</t>
        </is>
      </c>
      <c r="J8" s="4" t="inlineStr">
        <is>
          <t>Bon</t>
        </is>
      </c>
    </row>
    <row r="9">
      <c r="A9" s="6" t="inlineStr">
        <is>
          <t>Tanaka</t>
        </is>
      </c>
      <c r="B9" s="6" t="inlineStr">
        <is>
          <t>Akira</t>
        </is>
      </c>
      <c r="C9" s="6" t="inlineStr">
        <is>
          <t>Japonais</t>
        </is>
      </c>
      <c r="D9" s="6" t="inlineStr">
        <is>
          <t>Réception &amp; Front Office</t>
        </is>
      </c>
      <c r="E9" s="6" t="inlineStr">
        <is>
          <t>Responsable Réception</t>
        </is>
      </c>
      <c r="F9" s="7" t="n">
        <v>44440</v>
      </c>
      <c r="G9" s="7" t="n">
        <v>45169</v>
      </c>
      <c r="H9" s="6">
        <f>IF(OR(G9="",F9=""),"",IFERROR((G9-F9)/30.44,0))</f>
        <v/>
      </c>
      <c r="I9" s="6" t="inlineStr">
        <is>
          <t>Fin de mission</t>
        </is>
      </c>
      <c r="J9" s="6" t="inlineStr">
        <is>
          <t>Excellent</t>
        </is>
      </c>
    </row>
    <row r="10">
      <c r="A10" s="4" t="inlineStr">
        <is>
          <t>Brown</t>
        </is>
      </c>
      <c r="B10" s="4" t="inlineStr">
        <is>
          <t>David</t>
        </is>
      </c>
      <c r="C10" s="4" t="inlineStr">
        <is>
          <t>Américain</t>
        </is>
      </c>
      <c r="D10" s="4" t="inlineStr">
        <is>
          <t>Revenue Management</t>
        </is>
      </c>
      <c r="E10" s="4" t="inlineStr">
        <is>
          <t>Revenue Manager</t>
        </is>
      </c>
      <c r="F10" s="5" t="n">
        <v>44986</v>
      </c>
      <c r="G10" s="5" t="n">
        <v>45657</v>
      </c>
      <c r="H10" s="4">
        <f>IF(OR(G10="",F10=""),"",IFERROR((G10-F10)/30.44,0))</f>
        <v/>
      </c>
      <c r="I10" s="4" t="inlineStr">
        <is>
          <t>Non renouvelé</t>
        </is>
      </c>
      <c r="J10" s="4" t="inlineStr">
        <is>
          <t>Satisfaisant</t>
        </is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>
        <f>IF(OR(G11="",F11=""),"",IFERROR((G11-F11)/30.44,0))</f>
        <v/>
      </c>
      <c r="I11" s="6" t="n"/>
      <c r="J11" s="6" t="n"/>
    </row>
    <row r="12">
      <c r="A12" s="4" t="n"/>
      <c r="B12" s="4" t="n"/>
      <c r="C12" s="4" t="n"/>
      <c r="D12" s="4" t="n"/>
      <c r="E12" s="4" t="n"/>
      <c r="F12" s="4" t="n"/>
      <c r="G12" s="4" t="n"/>
      <c r="H12" s="4">
        <f>IF(OR(G12="",F12=""),"",IFERROR((G12-F12)/30.44,0))</f>
        <v/>
      </c>
      <c r="I12" s="4" t="n"/>
      <c r="J12" s="4" t="n"/>
    </row>
    <row r="13">
      <c r="A13" s="6" t="n"/>
      <c r="B13" s="6" t="n"/>
      <c r="C13" s="6" t="n"/>
      <c r="D13" s="6" t="n"/>
      <c r="E13" s="6" t="n"/>
      <c r="F13" s="6" t="n"/>
      <c r="G13" s="6" t="n"/>
      <c r="H13" s="6">
        <f>IF(OR(G13="",F13=""),"",IFERROR((G13-F13)/30.44,0))</f>
        <v/>
      </c>
      <c r="I13" s="6" t="n"/>
      <c r="J13" s="6" t="n"/>
    </row>
    <row r="14">
      <c r="A14" s="4" t="n"/>
      <c r="B14" s="4" t="n"/>
      <c r="C14" s="4" t="n"/>
      <c r="D14" s="4" t="n"/>
      <c r="E14" s="4" t="n"/>
      <c r="F14" s="4" t="n"/>
      <c r="G14" s="4" t="n"/>
      <c r="H14" s="4">
        <f>IF(OR(G14="",F14=""),"",IFERROR((G14-F14)/30.44,0))</f>
        <v/>
      </c>
      <c r="I14" s="4" t="n"/>
      <c r="J14" s="4" t="n"/>
    </row>
    <row r="15">
      <c r="A15" s="6" t="n"/>
      <c r="B15" s="6" t="n"/>
      <c r="C15" s="6" t="n"/>
      <c r="D15" s="6" t="n"/>
      <c r="E15" s="6" t="n"/>
      <c r="F15" s="6" t="n"/>
      <c r="G15" s="6" t="n"/>
      <c r="H15" s="6">
        <f>IF(OR(G15="",F15=""),"",IFERROR((G15-F15)/30.44,0))</f>
        <v/>
      </c>
      <c r="I15" s="6" t="n"/>
      <c r="J15" s="6" t="n"/>
    </row>
    <row r="16">
      <c r="A16" s="4" t="n"/>
      <c r="B16" s="4" t="n"/>
      <c r="C16" s="4" t="n"/>
      <c r="D16" s="4" t="n"/>
      <c r="E16" s="4" t="n"/>
      <c r="F16" s="4" t="n"/>
      <c r="G16" s="4" t="n"/>
      <c r="H16" s="4">
        <f>IF(OR(G16="",F16=""),"",IFERROR((G16-F16)/30.44,0))</f>
        <v/>
      </c>
      <c r="I16" s="4" t="n"/>
      <c r="J16" s="4" t="n"/>
    </row>
    <row r="17">
      <c r="A17" s="6" t="n"/>
      <c r="B17" s="6" t="n"/>
      <c r="C17" s="6" t="n"/>
      <c r="D17" s="6" t="n"/>
      <c r="E17" s="6" t="n"/>
      <c r="F17" s="6" t="n"/>
      <c r="G17" s="6" t="n"/>
      <c r="H17" s="6">
        <f>IF(OR(G17="",F17=""),"",IFERROR((G17-F17)/30.44,0))</f>
        <v/>
      </c>
      <c r="I17" s="6" t="n"/>
      <c r="J17" s="6" t="n"/>
    </row>
    <row r="18">
      <c r="A18" s="4" t="n"/>
      <c r="B18" s="4" t="n"/>
      <c r="C18" s="4" t="n"/>
      <c r="D18" s="4" t="n"/>
      <c r="E18" s="4" t="n"/>
      <c r="F18" s="4" t="n"/>
      <c r="G18" s="4" t="n"/>
      <c r="H18" s="4">
        <f>IF(OR(G18="",F18=""),"",IFERROR((G18-F18)/30.44,0))</f>
        <v/>
      </c>
      <c r="I18" s="4" t="n"/>
      <c r="J18" s="4" t="n"/>
    </row>
    <row r="19">
      <c r="A19" s="6" t="n"/>
      <c r="B19" s="6" t="n"/>
      <c r="C19" s="6" t="n"/>
      <c r="D19" s="6" t="n"/>
      <c r="E19" s="6" t="n"/>
      <c r="F19" s="6" t="n"/>
      <c r="G19" s="6" t="n"/>
      <c r="H19" s="6">
        <f>IF(OR(G19="",F19=""),"",IFERROR((G19-F19)/30.44,0))</f>
        <v/>
      </c>
      <c r="I19" s="6" t="n"/>
      <c r="J19" s="6" t="n"/>
    </row>
    <row r="20">
      <c r="A20" s="4" t="n"/>
      <c r="B20" s="4" t="n"/>
      <c r="C20" s="4" t="n"/>
      <c r="D20" s="4" t="n"/>
      <c r="E20" s="4" t="n"/>
      <c r="F20" s="4" t="n"/>
      <c r="G20" s="4" t="n"/>
      <c r="H20" s="4">
        <f>IF(OR(G20="",F20=""),"",IFERROR((G20-F20)/30.44,0))</f>
        <v/>
      </c>
      <c r="I20" s="4" t="n"/>
      <c r="J20" s="4" t="n"/>
    </row>
    <row r="21">
      <c r="A21" s="6" t="n"/>
      <c r="B21" s="6" t="n"/>
      <c r="C21" s="6" t="n"/>
      <c r="D21" s="6" t="n"/>
      <c r="E21" s="6" t="n"/>
      <c r="F21" s="6" t="n"/>
      <c r="G21" s="6" t="n"/>
      <c r="H21" s="6">
        <f>IF(OR(G21="",F21=""),"",IFERROR((G21-F21)/30.44,0))</f>
        <v/>
      </c>
      <c r="I21" s="6" t="n"/>
      <c r="J21" s="6" t="n"/>
    </row>
    <row r="22">
      <c r="A22" s="4" t="n"/>
      <c r="B22" s="4" t="n"/>
      <c r="C22" s="4" t="n"/>
      <c r="D22" s="4" t="n"/>
      <c r="E22" s="4" t="n"/>
      <c r="F22" s="4" t="n"/>
      <c r="G22" s="4" t="n"/>
      <c r="H22" s="4">
        <f>IF(OR(G22="",F22=""),"",IFERROR((G22-F22)/30.44,0))</f>
        <v/>
      </c>
      <c r="I22" s="4" t="n"/>
      <c r="J22" s="4" t="n"/>
    </row>
    <row r="23">
      <c r="A23" s="6" t="n"/>
      <c r="B23" s="6" t="n"/>
      <c r="C23" s="6" t="n"/>
      <c r="D23" s="6" t="n"/>
      <c r="E23" s="6" t="n"/>
      <c r="F23" s="6" t="n"/>
      <c r="G23" s="6" t="n"/>
      <c r="H23" s="6">
        <f>IF(OR(G23="",F23=""),"",IFERROR((G23-F23)/30.44,0))</f>
        <v/>
      </c>
      <c r="I23" s="6" t="n"/>
      <c r="J23" s="6" t="n"/>
    </row>
    <row r="24">
      <c r="A24" s="4" t="n"/>
      <c r="B24" s="4" t="n"/>
      <c r="C24" s="4" t="n"/>
      <c r="D24" s="4" t="n"/>
      <c r="E24" s="4" t="n"/>
      <c r="F24" s="4" t="n"/>
      <c r="G24" s="4" t="n"/>
      <c r="H24" s="4">
        <f>IF(OR(G24="",F24=""),"",IFERROR((G24-F24)/30.44,0))</f>
        <v/>
      </c>
      <c r="I24" s="4" t="n"/>
      <c r="J24" s="4" t="n"/>
    </row>
    <row r="25">
      <c r="A25" s="6" t="n"/>
      <c r="B25" s="6" t="n"/>
      <c r="C25" s="6" t="n"/>
      <c r="D25" s="6" t="n"/>
      <c r="E25" s="6" t="n"/>
      <c r="F25" s="6" t="n"/>
      <c r="G25" s="6" t="n"/>
      <c r="H25" s="6">
        <f>IF(OR(G25="",F25=""),"",IFERROR((G25-F25)/30.44,0))</f>
        <v/>
      </c>
      <c r="I25" s="6" t="n"/>
      <c r="J25" s="6" t="n"/>
    </row>
    <row r="26">
      <c r="A26" s="4" t="n"/>
      <c r="B26" s="4" t="n"/>
      <c r="C26" s="4" t="n"/>
      <c r="D26" s="4" t="n"/>
      <c r="E26" s="4" t="n"/>
      <c r="F26" s="4" t="n"/>
      <c r="G26" s="4" t="n"/>
      <c r="H26" s="4">
        <f>IF(OR(G26="",F26=""),"",IFERROR((G26-F26)/30.44,0))</f>
        <v/>
      </c>
      <c r="I26" s="4" t="n"/>
      <c r="J26" s="4" t="n"/>
    </row>
    <row r="27">
      <c r="A27" s="6" t="n"/>
      <c r="B27" s="6" t="n"/>
      <c r="C27" s="6" t="n"/>
      <c r="D27" s="6" t="n"/>
      <c r="E27" s="6" t="n"/>
      <c r="F27" s="6" t="n"/>
      <c r="G27" s="6" t="n"/>
      <c r="H27" s="6">
        <f>IF(OR(G27="",F27=""),"",IFERROR((G27-F27)/30.44,0))</f>
        <v/>
      </c>
      <c r="I27" s="6" t="n"/>
      <c r="J27" s="6" t="n"/>
    </row>
    <row r="28">
      <c r="A28" s="4" t="n"/>
      <c r="B28" s="4" t="n"/>
      <c r="C28" s="4" t="n"/>
      <c r="D28" s="4" t="n"/>
      <c r="E28" s="4" t="n"/>
      <c r="F28" s="4" t="n"/>
      <c r="G28" s="4" t="n"/>
      <c r="H28" s="4">
        <f>IF(OR(G28="",F28=""),"",IFERROR((G28-F28)/30.44,0))</f>
        <v/>
      </c>
      <c r="I28" s="4" t="n"/>
      <c r="J28" s="4" t="n"/>
    </row>
    <row r="29">
      <c r="A29" s="6" t="n"/>
      <c r="B29" s="6" t="n"/>
      <c r="C29" s="6" t="n"/>
      <c r="D29" s="6" t="n"/>
      <c r="E29" s="6" t="n"/>
      <c r="F29" s="6" t="n"/>
      <c r="G29" s="6" t="n"/>
      <c r="H29" s="6">
        <f>IF(OR(G29="",F29=""),"",IFERROR((G29-F29)/30.44,0))</f>
        <v/>
      </c>
      <c r="I29" s="6" t="n"/>
      <c r="J29" s="6" t="n"/>
    </row>
    <row r="30">
      <c r="A30" s="4" t="n"/>
      <c r="B30" s="4" t="n"/>
      <c r="C30" s="4" t="n"/>
      <c r="D30" s="4" t="n"/>
      <c r="E30" s="4" t="n"/>
      <c r="F30" s="4" t="n"/>
      <c r="G30" s="4" t="n"/>
      <c r="H30" s="4">
        <f>IF(OR(G30="",F30=""),"",IFERROR((G30-F30)/30.44,0))</f>
        <v/>
      </c>
      <c r="I30" s="4" t="n"/>
      <c r="J30" s="4" t="n"/>
    </row>
    <row r="31">
      <c r="A31" s="6" t="n"/>
      <c r="B31" s="6" t="n"/>
      <c r="C31" s="6" t="n"/>
      <c r="D31" s="6" t="n"/>
      <c r="E31" s="6" t="n"/>
      <c r="F31" s="6" t="n"/>
      <c r="G31" s="6" t="n"/>
      <c r="H31" s="6">
        <f>IF(OR(G31="",F31=""),"",IFERROR((G31-F31)/30.44,0))</f>
        <v/>
      </c>
      <c r="I31" s="6" t="n"/>
      <c r="J31" s="6" t="n"/>
    </row>
    <row r="32">
      <c r="A32" s="4" t="n"/>
      <c r="B32" s="4" t="n"/>
      <c r="C32" s="4" t="n"/>
      <c r="D32" s="4" t="n"/>
      <c r="E32" s="4" t="n"/>
      <c r="F32" s="4" t="n"/>
      <c r="G32" s="4" t="n"/>
      <c r="H32" s="4">
        <f>IF(OR(G32="",F32=""),"",IFERROR((G32-F32)/30.44,0))</f>
        <v/>
      </c>
      <c r="I32" s="4" t="n"/>
      <c r="J32" s="4" t="n"/>
    </row>
    <row r="33">
      <c r="A33" s="6" t="n"/>
      <c r="B33" s="6" t="n"/>
      <c r="C33" s="6" t="n"/>
      <c r="D33" s="6" t="n"/>
      <c r="E33" s="6" t="n"/>
      <c r="F33" s="6" t="n"/>
      <c r="G33" s="6" t="n"/>
      <c r="H33" s="6">
        <f>IF(OR(G33="",F33=""),"",IFERROR((G33-F33)/30.44,0))</f>
        <v/>
      </c>
      <c r="I33" s="6" t="n"/>
      <c r="J33" s="6" t="n"/>
    </row>
    <row r="34">
      <c r="A34" s="4" t="n"/>
      <c r="B34" s="4" t="n"/>
      <c r="C34" s="4" t="n"/>
      <c r="D34" s="4" t="n"/>
      <c r="E34" s="4" t="n"/>
      <c r="F34" s="4" t="n"/>
      <c r="G34" s="4" t="n"/>
      <c r="H34" s="4">
        <f>IF(OR(G34="",F34=""),"",IFERROR((G34-F34)/30.44,0))</f>
        <v/>
      </c>
      <c r="I34" s="4" t="n"/>
      <c r="J34" s="4" t="n"/>
    </row>
    <row r="35">
      <c r="A35" s="6" t="n"/>
      <c r="B35" s="6" t="n"/>
      <c r="C35" s="6" t="n"/>
      <c r="D35" s="6" t="n"/>
      <c r="E35" s="6" t="n"/>
      <c r="F35" s="6" t="n"/>
      <c r="G35" s="6" t="n"/>
      <c r="H35" s="6">
        <f>IF(OR(G35="",F35=""),"",IFERROR((G35-F35)/30.44,0))</f>
        <v/>
      </c>
      <c r="I35" s="6" t="n"/>
      <c r="J35" s="6" t="n"/>
    </row>
    <row r="36">
      <c r="A36" s="4" t="n"/>
      <c r="B36" s="4" t="n"/>
      <c r="C36" s="4" t="n"/>
      <c r="D36" s="4" t="n"/>
      <c r="E36" s="4" t="n"/>
      <c r="F36" s="4" t="n"/>
      <c r="G36" s="4" t="n"/>
      <c r="H36" s="4">
        <f>IF(OR(G36="",F36=""),"",IFERROR((G36-F36)/30.44,0))</f>
        <v/>
      </c>
      <c r="I36" s="4" t="n"/>
      <c r="J36" s="4" t="n"/>
    </row>
    <row r="37">
      <c r="A37" s="6" t="n"/>
      <c r="B37" s="6" t="n"/>
      <c r="C37" s="6" t="n"/>
      <c r="D37" s="6" t="n"/>
      <c r="E37" s="6" t="n"/>
      <c r="F37" s="6" t="n"/>
      <c r="G37" s="6" t="n"/>
      <c r="H37" s="6">
        <f>IF(OR(G37="",F37=""),"",IFERROR((G37-F37)/30.44,0))</f>
        <v/>
      </c>
      <c r="I37" s="6" t="n"/>
      <c r="J37" s="6" t="n"/>
    </row>
    <row r="38">
      <c r="A38" s="4" t="n"/>
      <c r="B38" s="4" t="n"/>
      <c r="C38" s="4" t="n"/>
      <c r="D38" s="4" t="n"/>
      <c r="E38" s="4" t="n"/>
      <c r="F38" s="4" t="n"/>
      <c r="G38" s="4" t="n"/>
      <c r="H38" s="4">
        <f>IF(OR(G38="",F38=""),"",IFERROR((G38-F38)/30.44,0))</f>
        <v/>
      </c>
      <c r="I38" s="4" t="n"/>
      <c r="J38" s="4" t="n"/>
    </row>
    <row r="39">
      <c r="A39" s="6" t="n"/>
      <c r="B39" s="6" t="n"/>
      <c r="C39" s="6" t="n"/>
      <c r="D39" s="6" t="n"/>
      <c r="E39" s="6" t="n"/>
      <c r="F39" s="6" t="n"/>
      <c r="G39" s="6" t="n"/>
      <c r="H39" s="6">
        <f>IF(OR(G39="",F39=""),"",IFERROR((G39-F39)/30.44,0))</f>
        <v/>
      </c>
      <c r="I39" s="6" t="n"/>
      <c r="J39" s="6" t="n"/>
    </row>
    <row r="40">
      <c r="A40" s="4" t="n"/>
      <c r="B40" s="4" t="n"/>
      <c r="C40" s="4" t="n"/>
      <c r="D40" s="4" t="n"/>
      <c r="E40" s="4" t="n"/>
      <c r="F40" s="4" t="n"/>
      <c r="G40" s="4" t="n"/>
      <c r="H40" s="4">
        <f>IF(OR(G40="",F40=""),"",IFERROR((G40-F40)/30.44,0))</f>
        <v/>
      </c>
      <c r="I40" s="4" t="n"/>
      <c r="J40" s="4" t="n"/>
    </row>
    <row r="41">
      <c r="A41" s="6" t="n"/>
      <c r="B41" s="6" t="n"/>
      <c r="C41" s="6" t="n"/>
      <c r="D41" s="6" t="n"/>
      <c r="E41" s="6" t="n"/>
      <c r="F41" s="6" t="n"/>
      <c r="G41" s="6" t="n"/>
      <c r="H41" s="6">
        <f>IF(OR(G41="",F41=""),"",IFERROR((G41-F41)/30.44,0))</f>
        <v/>
      </c>
      <c r="I41" s="6" t="n"/>
      <c r="J41" s="6" t="n"/>
    </row>
    <row r="42">
      <c r="A42" s="4" t="n"/>
      <c r="B42" s="4" t="n"/>
      <c r="C42" s="4" t="n"/>
      <c r="D42" s="4" t="n"/>
      <c r="E42" s="4" t="n"/>
      <c r="F42" s="4" t="n"/>
      <c r="G42" s="4" t="n"/>
      <c r="H42" s="4">
        <f>IF(OR(G42="",F42=""),"",IFERROR((G42-F42)/30.44,0))</f>
        <v/>
      </c>
      <c r="I42" s="4" t="n"/>
      <c r="J42" s="4" t="n"/>
    </row>
    <row r="43">
      <c r="A43" s="6" t="n"/>
      <c r="B43" s="6" t="n"/>
      <c r="C43" s="6" t="n"/>
      <c r="D43" s="6" t="n"/>
      <c r="E43" s="6" t="n"/>
      <c r="F43" s="6" t="n"/>
      <c r="G43" s="6" t="n"/>
      <c r="H43" s="6">
        <f>IF(OR(G43="",F43=""),"",IFERROR((G43-F43)/30.44,0))</f>
        <v/>
      </c>
      <c r="I43" s="6" t="n"/>
      <c r="J43" s="6" t="n"/>
    </row>
    <row r="44">
      <c r="A44" s="4" t="n"/>
      <c r="B44" s="4" t="n"/>
      <c r="C44" s="4" t="n"/>
      <c r="D44" s="4" t="n"/>
      <c r="E44" s="4" t="n"/>
      <c r="F44" s="4" t="n"/>
      <c r="G44" s="4" t="n"/>
      <c r="H44" s="4">
        <f>IF(OR(G44="",F44=""),"",IFERROR((G44-F44)/30.44,0))</f>
        <v/>
      </c>
      <c r="I44" s="4" t="n"/>
      <c r="J44" s="4" t="n"/>
    </row>
    <row r="45">
      <c r="A45" s="6" t="n"/>
      <c r="B45" s="6" t="n"/>
      <c r="C45" s="6" t="n"/>
      <c r="D45" s="6" t="n"/>
      <c r="E45" s="6" t="n"/>
      <c r="F45" s="6" t="n"/>
      <c r="G45" s="6" t="n"/>
      <c r="H45" s="6">
        <f>IF(OR(G45="",F45=""),"",IFERROR((G45-F45)/30.44,0))</f>
        <v/>
      </c>
      <c r="I45" s="6" t="n"/>
      <c r="J45" s="6" t="n"/>
    </row>
    <row r="46">
      <c r="A46" s="4" t="n"/>
      <c r="B46" s="4" t="n"/>
      <c r="C46" s="4" t="n"/>
      <c r="D46" s="4" t="n"/>
      <c r="E46" s="4" t="n"/>
      <c r="F46" s="4" t="n"/>
      <c r="G46" s="4" t="n"/>
      <c r="H46" s="4">
        <f>IF(OR(G46="",F46=""),"",IFERROR((G46-F46)/30.44,0))</f>
        <v/>
      </c>
      <c r="I46" s="4" t="n"/>
      <c r="J46" s="4" t="n"/>
    </row>
    <row r="47">
      <c r="A47" s="6" t="n"/>
      <c r="B47" s="6" t="n"/>
      <c r="C47" s="6" t="n"/>
      <c r="D47" s="6" t="n"/>
      <c r="E47" s="6" t="n"/>
      <c r="F47" s="6" t="n"/>
      <c r="G47" s="6" t="n"/>
      <c r="H47" s="6">
        <f>IF(OR(G47="",F47=""),"",IFERROR((G47-F47)/30.44,0))</f>
        <v/>
      </c>
      <c r="I47" s="6" t="n"/>
      <c r="J47" s="6" t="n"/>
    </row>
    <row r="48">
      <c r="A48" s="4" t="n"/>
      <c r="B48" s="4" t="n"/>
      <c r="C48" s="4" t="n"/>
      <c r="D48" s="4" t="n"/>
      <c r="E48" s="4" t="n"/>
      <c r="F48" s="4" t="n"/>
      <c r="G48" s="4" t="n"/>
      <c r="H48" s="4">
        <f>IF(OR(G48="",F48=""),"",IFERROR((G48-F48)/30.44,0))</f>
        <v/>
      </c>
      <c r="I48" s="4" t="n"/>
      <c r="J48" s="4" t="n"/>
    </row>
    <row r="49">
      <c r="A49" s="6" t="n"/>
      <c r="B49" s="6" t="n"/>
      <c r="C49" s="6" t="n"/>
      <c r="D49" s="6" t="n"/>
      <c r="E49" s="6" t="n"/>
      <c r="F49" s="6" t="n"/>
      <c r="G49" s="6" t="n"/>
      <c r="H49" s="6">
        <f>IF(OR(G49="",F49=""),"",IFERROR((G49-F49)/30.44,0))</f>
        <v/>
      </c>
      <c r="I49" s="6" t="n"/>
      <c r="J49" s="6" t="n"/>
    </row>
    <row r="50">
      <c r="A50" s="4" t="n"/>
      <c r="B50" s="4" t="n"/>
      <c r="C50" s="4" t="n"/>
      <c r="D50" s="4" t="n"/>
      <c r="E50" s="4" t="n"/>
      <c r="F50" s="4" t="n"/>
      <c r="G50" s="4" t="n"/>
      <c r="H50" s="4">
        <f>IF(OR(G50="",F50=""),"",IFERROR((G50-F50)/30.44,0))</f>
        <v/>
      </c>
      <c r="I50" s="4" t="n"/>
      <c r="J50" s="4" t="n"/>
    </row>
    <row r="51">
      <c r="A51" s="6" t="n"/>
      <c r="B51" s="6" t="n"/>
      <c r="C51" s="6" t="n"/>
      <c r="D51" s="6" t="n"/>
      <c r="E51" s="6" t="n"/>
      <c r="F51" s="6" t="n"/>
      <c r="G51" s="6" t="n"/>
      <c r="H51" s="6">
        <f>IF(OR(G51="",F51=""),"",IFERROR((G51-F51)/30.44,0))</f>
        <v/>
      </c>
      <c r="I51" s="6" t="n"/>
      <c r="J51" s="6" t="n"/>
    </row>
    <row r="52">
      <c r="A52" s="4" t="n"/>
      <c r="B52" s="4" t="n"/>
      <c r="C52" s="4" t="n"/>
      <c r="D52" s="4" t="n"/>
      <c r="E52" s="4" t="n"/>
      <c r="F52" s="4" t="n"/>
      <c r="G52" s="4" t="n"/>
      <c r="H52" s="4">
        <f>IF(OR(G52="",F52=""),"",IFERROR((G52-F52)/30.44,0))</f>
        <v/>
      </c>
      <c r="I52" s="4" t="n"/>
      <c r="J52" s="4" t="n"/>
    </row>
    <row r="53">
      <c r="A53" s="6" t="n"/>
      <c r="B53" s="6" t="n"/>
      <c r="C53" s="6" t="n"/>
      <c r="D53" s="6" t="n"/>
      <c r="E53" s="6" t="n"/>
      <c r="F53" s="6" t="n"/>
      <c r="G53" s="6" t="n"/>
      <c r="H53" s="6">
        <f>IF(OR(G53="",F53=""),"",IFERROR((G53-F53)/30.44,0))</f>
        <v/>
      </c>
      <c r="I53" s="6" t="n"/>
      <c r="J53" s="6" t="n"/>
    </row>
    <row r="54">
      <c r="A54" s="4" t="n"/>
      <c r="B54" s="4" t="n"/>
      <c r="C54" s="4" t="n"/>
      <c r="D54" s="4" t="n"/>
      <c r="E54" s="4" t="n"/>
      <c r="F54" s="4" t="n"/>
      <c r="G54" s="4" t="n"/>
      <c r="H54" s="4">
        <f>IF(OR(G54="",F54=""),"",IFERROR((G54-F54)/30.44,0))</f>
        <v/>
      </c>
      <c r="I54" s="4" t="n"/>
      <c r="J54" s="4" t="n"/>
    </row>
    <row r="55">
      <c r="A55" s="6" t="n"/>
      <c r="B55" s="6" t="n"/>
      <c r="C55" s="6" t="n"/>
      <c r="D55" s="6" t="n"/>
      <c r="E55" s="6" t="n"/>
      <c r="F55" s="6" t="n"/>
      <c r="G55" s="6" t="n"/>
      <c r="H55" s="6">
        <f>IF(OR(G55="",F55=""),"",IFERROR((G55-F55)/30.44,0))</f>
        <v/>
      </c>
      <c r="I55" s="6" t="n"/>
      <c r="J55" s="6" t="n"/>
    </row>
    <row r="56">
      <c r="A56" s="4" t="n"/>
      <c r="B56" s="4" t="n"/>
      <c r="C56" s="4" t="n"/>
      <c r="D56" s="4" t="n"/>
      <c r="E56" s="4" t="n"/>
      <c r="F56" s="4" t="n"/>
      <c r="G56" s="4" t="n"/>
      <c r="H56" s="4">
        <f>IF(OR(G56="",F56=""),"",IFERROR((G56-F56)/30.44,0))</f>
        <v/>
      </c>
      <c r="I56" s="4" t="n"/>
      <c r="J56" s="4" t="n"/>
    </row>
    <row r="57">
      <c r="A57" s="6" t="n"/>
      <c r="B57" s="6" t="n"/>
      <c r="C57" s="6" t="n"/>
      <c r="D57" s="6" t="n"/>
      <c r="E57" s="6" t="n"/>
      <c r="F57" s="6" t="n"/>
      <c r="G57" s="6" t="n"/>
      <c r="H57" s="6">
        <f>IF(OR(G57="",F57=""),"",IFERROR((G57-F57)/30.44,0))</f>
        <v/>
      </c>
      <c r="I57" s="6" t="n"/>
      <c r="J57" s="6" t="n"/>
    </row>
    <row r="58">
      <c r="A58" s="4" t="n"/>
      <c r="B58" s="4" t="n"/>
      <c r="C58" s="4" t="n"/>
      <c r="D58" s="4" t="n"/>
      <c r="E58" s="4" t="n"/>
      <c r="F58" s="4" t="n"/>
      <c r="G58" s="4" t="n"/>
      <c r="H58" s="4">
        <f>IF(OR(G58="",F58=""),"",IFERROR((G58-F58)/30.44,0))</f>
        <v/>
      </c>
      <c r="I58" s="4" t="n"/>
      <c r="J58" s="4" t="n"/>
    </row>
    <row r="59">
      <c r="A59" s="6" t="n"/>
      <c r="B59" s="6" t="n"/>
      <c r="C59" s="6" t="n"/>
      <c r="D59" s="6" t="n"/>
      <c r="E59" s="6" t="n"/>
      <c r="F59" s="6" t="n"/>
      <c r="G59" s="6" t="n"/>
      <c r="H59" s="6">
        <f>IF(OR(G59="",F59=""),"",IFERROR((G59-F59)/30.44,0))</f>
        <v/>
      </c>
      <c r="I59" s="6" t="n"/>
      <c r="J59" s="6" t="n"/>
    </row>
    <row r="60">
      <c r="A60" s="4" t="n"/>
      <c r="B60" s="4" t="n"/>
      <c r="C60" s="4" t="n"/>
      <c r="D60" s="4" t="n"/>
      <c r="E60" s="4" t="n"/>
      <c r="F60" s="4" t="n"/>
      <c r="G60" s="4" t="n"/>
      <c r="H60" s="4">
        <f>IF(OR(G60="",F60=""),"",IFERROR((G60-F60)/30.44,0))</f>
        <v/>
      </c>
      <c r="I60" s="4" t="n"/>
      <c r="J60" s="4" t="n"/>
    </row>
    <row r="61">
      <c r="A61" s="6" t="n"/>
      <c r="B61" s="6" t="n"/>
      <c r="C61" s="6" t="n"/>
      <c r="D61" s="6" t="n"/>
      <c r="E61" s="6" t="n"/>
      <c r="F61" s="6" t="n"/>
      <c r="G61" s="6" t="n"/>
      <c r="H61" s="6">
        <f>IF(OR(G61="",F61=""),"",IFERROR((G61-F61)/30.44,0))</f>
        <v/>
      </c>
      <c r="I61" s="6" t="n"/>
      <c r="J61" s="6" t="n"/>
    </row>
    <row r="62">
      <c r="A62" s="4" t="n"/>
      <c r="B62" s="4" t="n"/>
      <c r="C62" s="4" t="n"/>
      <c r="D62" s="4" t="n"/>
      <c r="E62" s="4" t="n"/>
      <c r="F62" s="4" t="n"/>
      <c r="G62" s="4" t="n"/>
      <c r="H62" s="4">
        <f>IF(OR(G62="",F62=""),"",IFERROR((G62-F62)/30.44,0))</f>
        <v/>
      </c>
      <c r="I62" s="4" t="n"/>
      <c r="J62" s="4" t="n"/>
    </row>
    <row r="63">
      <c r="A63" s="6" t="n"/>
      <c r="B63" s="6" t="n"/>
      <c r="C63" s="6" t="n"/>
      <c r="D63" s="6" t="n"/>
      <c r="E63" s="6" t="n"/>
      <c r="F63" s="6" t="n"/>
      <c r="G63" s="6" t="n"/>
      <c r="H63" s="6">
        <f>IF(OR(G63="",F63=""),"",IFERROR((G63-F63)/30.44,0))</f>
        <v/>
      </c>
      <c r="I63" s="6" t="n"/>
      <c r="J63" s="6" t="n"/>
    </row>
    <row r="64">
      <c r="A64" s="4" t="n"/>
      <c r="B64" s="4" t="n"/>
      <c r="C64" s="4" t="n"/>
      <c r="D64" s="4" t="n"/>
      <c r="E64" s="4" t="n"/>
      <c r="F64" s="4" t="n"/>
      <c r="G64" s="4" t="n"/>
      <c r="H64" s="4">
        <f>IF(OR(G64="",F64=""),"",IFERROR((G64-F64)/30.44,0))</f>
        <v/>
      </c>
      <c r="I64" s="4" t="n"/>
      <c r="J64" s="4" t="n"/>
    </row>
    <row r="65">
      <c r="A65" s="6" t="n"/>
      <c r="B65" s="6" t="n"/>
      <c r="C65" s="6" t="n"/>
      <c r="D65" s="6" t="n"/>
      <c r="E65" s="6" t="n"/>
      <c r="F65" s="6" t="n"/>
      <c r="G65" s="6" t="n"/>
      <c r="H65" s="6">
        <f>IF(OR(G65="",F65=""),"",IFERROR((G65-F65)/30.44,0))</f>
        <v/>
      </c>
      <c r="I65" s="6" t="n"/>
      <c r="J65" s="6" t="n"/>
    </row>
    <row r="66">
      <c r="A66" s="4" t="n"/>
      <c r="B66" s="4" t="n"/>
      <c r="C66" s="4" t="n"/>
      <c r="D66" s="4" t="n"/>
      <c r="E66" s="4" t="n"/>
      <c r="F66" s="4" t="n"/>
      <c r="G66" s="4" t="n"/>
      <c r="H66" s="4">
        <f>IF(OR(G66="",F66=""),"",IFERROR((G66-F66)/30.44,0))</f>
        <v/>
      </c>
      <c r="I66" s="4" t="n"/>
      <c r="J66" s="4" t="n"/>
    </row>
    <row r="67">
      <c r="A67" s="6" t="n"/>
      <c r="B67" s="6" t="n"/>
      <c r="C67" s="6" t="n"/>
      <c r="D67" s="6" t="n"/>
      <c r="E67" s="6" t="n"/>
      <c r="F67" s="6" t="n"/>
      <c r="G67" s="6" t="n"/>
      <c r="H67" s="6">
        <f>IF(OR(G67="",F67=""),"",IFERROR((G67-F67)/30.44,0))</f>
        <v/>
      </c>
      <c r="I67" s="6" t="n"/>
      <c r="J67" s="6" t="n"/>
    </row>
    <row r="68">
      <c r="A68" s="4" t="n"/>
      <c r="B68" s="4" t="n"/>
      <c r="C68" s="4" t="n"/>
      <c r="D68" s="4" t="n"/>
      <c r="E68" s="4" t="n"/>
      <c r="F68" s="4" t="n"/>
      <c r="G68" s="4" t="n"/>
      <c r="H68" s="4">
        <f>IF(OR(G68="",F68=""),"",IFERROR((G68-F68)/30.44,0))</f>
        <v/>
      </c>
      <c r="I68" s="4" t="n"/>
      <c r="J68" s="4" t="n"/>
    </row>
    <row r="69">
      <c r="A69" s="6" t="n"/>
      <c r="B69" s="6" t="n"/>
      <c r="C69" s="6" t="n"/>
      <c r="D69" s="6" t="n"/>
      <c r="E69" s="6" t="n"/>
      <c r="F69" s="6" t="n"/>
      <c r="G69" s="6" t="n"/>
      <c r="H69" s="6">
        <f>IF(OR(G69="",F69=""),"",IFERROR((G69-F69)/30.44,0))</f>
        <v/>
      </c>
      <c r="I69" s="6" t="n"/>
      <c r="J69" s="6" t="n"/>
    </row>
    <row r="70">
      <c r="A70" s="4" t="n"/>
      <c r="B70" s="4" t="n"/>
      <c r="C70" s="4" t="n"/>
      <c r="D70" s="4" t="n"/>
      <c r="E70" s="4" t="n"/>
      <c r="F70" s="4" t="n"/>
      <c r="G70" s="4" t="n"/>
      <c r="H70" s="4">
        <f>IF(OR(G70="",F70=""),"",IFERROR((G70-F70)/30.44,0))</f>
        <v/>
      </c>
      <c r="I70" s="4" t="n"/>
      <c r="J70" s="4" t="n"/>
    </row>
    <row r="71">
      <c r="A71" s="6" t="n"/>
      <c r="B71" s="6" t="n"/>
      <c r="C71" s="6" t="n"/>
      <c r="D71" s="6" t="n"/>
      <c r="E71" s="6" t="n"/>
      <c r="F71" s="6" t="n"/>
      <c r="G71" s="6" t="n"/>
      <c r="H71" s="6">
        <f>IF(OR(G71="",F71=""),"",IFERROR((G71-F71)/30.44,0))</f>
        <v/>
      </c>
      <c r="I71" s="6" t="n"/>
      <c r="J71" s="6" t="n"/>
    </row>
    <row r="72">
      <c r="A72" s="4" t="n"/>
      <c r="B72" s="4" t="n"/>
      <c r="C72" s="4" t="n"/>
      <c r="D72" s="4" t="n"/>
      <c r="E72" s="4" t="n"/>
      <c r="F72" s="4" t="n"/>
      <c r="G72" s="4" t="n"/>
      <c r="H72" s="4">
        <f>IF(OR(G72="",F72=""),"",IFERROR((G72-F72)/30.44,0))</f>
        <v/>
      </c>
      <c r="I72" s="4" t="n"/>
      <c r="J72" s="4" t="n"/>
    </row>
    <row r="73">
      <c r="A73" s="6" t="n"/>
      <c r="B73" s="6" t="n"/>
      <c r="C73" s="6" t="n"/>
      <c r="D73" s="6" t="n"/>
      <c r="E73" s="6" t="n"/>
      <c r="F73" s="6" t="n"/>
      <c r="G73" s="6" t="n"/>
      <c r="H73" s="6">
        <f>IF(OR(G73="",F73=""),"",IFERROR((G73-F73)/30.44,0))</f>
        <v/>
      </c>
      <c r="I73" s="6" t="n"/>
      <c r="J73" s="6" t="n"/>
    </row>
    <row r="74">
      <c r="A74" s="4" t="n"/>
      <c r="B74" s="4" t="n"/>
      <c r="C74" s="4" t="n"/>
      <c r="D74" s="4" t="n"/>
      <c r="E74" s="4" t="n"/>
      <c r="F74" s="4" t="n"/>
      <c r="G74" s="4" t="n"/>
      <c r="H74" s="4">
        <f>IF(OR(G74="",F74=""),"",IFERROR((G74-F74)/30.44,0))</f>
        <v/>
      </c>
      <c r="I74" s="4" t="n"/>
      <c r="J74" s="4" t="n"/>
    </row>
    <row r="75">
      <c r="A75" s="6" t="n"/>
      <c r="B75" s="6" t="n"/>
      <c r="C75" s="6" t="n"/>
      <c r="D75" s="6" t="n"/>
      <c r="E75" s="6" t="n"/>
      <c r="F75" s="6" t="n"/>
      <c r="G75" s="6" t="n"/>
      <c r="H75" s="6">
        <f>IF(OR(G75="",F75=""),"",IFERROR((G75-F75)/30.44,0))</f>
        <v/>
      </c>
      <c r="I75" s="6" t="n"/>
      <c r="J75" s="6" t="n"/>
    </row>
    <row r="76">
      <c r="A76" s="4" t="n"/>
      <c r="B76" s="4" t="n"/>
      <c r="C76" s="4" t="n"/>
      <c r="D76" s="4" t="n"/>
      <c r="E76" s="4" t="n"/>
      <c r="F76" s="4" t="n"/>
      <c r="G76" s="4" t="n"/>
      <c r="H76" s="4">
        <f>IF(OR(G76="",F76=""),"",IFERROR((G76-F76)/30.44,0))</f>
        <v/>
      </c>
      <c r="I76" s="4" t="n"/>
      <c r="J76" s="4" t="n"/>
    </row>
    <row r="77">
      <c r="A77" s="6" t="n"/>
      <c r="B77" s="6" t="n"/>
      <c r="C77" s="6" t="n"/>
      <c r="D77" s="6" t="n"/>
      <c r="E77" s="6" t="n"/>
      <c r="F77" s="6" t="n"/>
      <c r="G77" s="6" t="n"/>
      <c r="H77" s="6">
        <f>IF(OR(G77="",F77=""),"",IFERROR((G77-F77)/30.44,0))</f>
        <v/>
      </c>
      <c r="I77" s="6" t="n"/>
      <c r="J77" s="6" t="n"/>
    </row>
    <row r="78">
      <c r="A78" s="4" t="n"/>
      <c r="B78" s="4" t="n"/>
      <c r="C78" s="4" t="n"/>
      <c r="D78" s="4" t="n"/>
      <c r="E78" s="4" t="n"/>
      <c r="F78" s="4" t="n"/>
      <c r="G78" s="4" t="n"/>
      <c r="H78" s="4">
        <f>IF(OR(G78="",F78=""),"",IFERROR((G78-F78)/30.44,0))</f>
        <v/>
      </c>
      <c r="I78" s="4" t="n"/>
      <c r="J78" s="4" t="n"/>
    </row>
    <row r="79">
      <c r="A79" s="6" t="n"/>
      <c r="B79" s="6" t="n"/>
      <c r="C79" s="6" t="n"/>
      <c r="D79" s="6" t="n"/>
      <c r="E79" s="6" t="n"/>
      <c r="F79" s="6" t="n"/>
      <c r="G79" s="6" t="n"/>
      <c r="H79" s="6">
        <f>IF(OR(G79="",F79=""),"",IFERROR((G79-F79)/30.44,0))</f>
        <v/>
      </c>
      <c r="I79" s="6" t="n"/>
      <c r="J79" s="6" t="n"/>
    </row>
    <row r="80">
      <c r="A80" s="4" t="n"/>
      <c r="B80" s="4" t="n"/>
      <c r="C80" s="4" t="n"/>
      <c r="D80" s="4" t="n"/>
      <c r="E80" s="4" t="n"/>
      <c r="F80" s="4" t="n"/>
      <c r="G80" s="4" t="n"/>
      <c r="H80" s="4">
        <f>IF(OR(G80="",F80=""),"",IFERROR((G80-F80)/30.44,0))</f>
        <v/>
      </c>
      <c r="I80" s="4" t="n"/>
      <c r="J80" s="4" t="n"/>
    </row>
    <row r="81">
      <c r="A81" s="6" t="n"/>
      <c r="B81" s="6" t="n"/>
      <c r="C81" s="6" t="n"/>
      <c r="D81" s="6" t="n"/>
      <c r="E81" s="6" t="n"/>
      <c r="F81" s="6" t="n"/>
      <c r="G81" s="6" t="n"/>
      <c r="H81" s="6">
        <f>IF(OR(G81="",F81=""),"",IFERROR((G81-F81)/30.44,0))</f>
        <v/>
      </c>
      <c r="I81" s="6" t="n"/>
      <c r="J81" s="6" t="n"/>
    </row>
    <row r="82">
      <c r="A82" s="4" t="n"/>
      <c r="B82" s="4" t="n"/>
      <c r="C82" s="4" t="n"/>
      <c r="D82" s="4" t="n"/>
      <c r="E82" s="4" t="n"/>
      <c r="F82" s="4" t="n"/>
      <c r="G82" s="4" t="n"/>
      <c r="H82" s="4">
        <f>IF(OR(G82="",F82=""),"",IFERROR((G82-F82)/30.44,0))</f>
        <v/>
      </c>
      <c r="I82" s="4" t="n"/>
      <c r="J82" s="4" t="n"/>
    </row>
    <row r="83">
      <c r="A83" s="6" t="n"/>
      <c r="B83" s="6" t="n"/>
      <c r="C83" s="6" t="n"/>
      <c r="D83" s="6" t="n"/>
      <c r="E83" s="6" t="n"/>
      <c r="F83" s="6" t="n"/>
      <c r="G83" s="6" t="n"/>
      <c r="H83" s="6">
        <f>IF(OR(G83="",F83=""),"",IFERROR((G83-F83)/30.44,0))</f>
        <v/>
      </c>
      <c r="I83" s="6" t="n"/>
      <c r="J83" s="6" t="n"/>
    </row>
    <row r="84">
      <c r="A84" s="4" t="n"/>
      <c r="B84" s="4" t="n"/>
      <c r="C84" s="4" t="n"/>
      <c r="D84" s="4" t="n"/>
      <c r="E84" s="4" t="n"/>
      <c r="F84" s="4" t="n"/>
      <c r="G84" s="4" t="n"/>
      <c r="H84" s="4">
        <f>IF(OR(G84="",F84=""),"",IFERROR((G84-F84)/30.44,0))</f>
        <v/>
      </c>
      <c r="I84" s="4" t="n"/>
      <c r="J84" s="4" t="n"/>
    </row>
    <row r="85">
      <c r="A85" s="6" t="n"/>
      <c r="B85" s="6" t="n"/>
      <c r="C85" s="6" t="n"/>
      <c r="D85" s="6" t="n"/>
      <c r="E85" s="6" t="n"/>
      <c r="F85" s="6" t="n"/>
      <c r="G85" s="6" t="n"/>
      <c r="H85" s="6">
        <f>IF(OR(G85="",F85=""),"",IFERROR((G85-F85)/30.44,0))</f>
        <v/>
      </c>
      <c r="I85" s="6" t="n"/>
      <c r="J85" s="6" t="n"/>
    </row>
    <row r="86">
      <c r="A86" s="4" t="n"/>
      <c r="B86" s="4" t="n"/>
      <c r="C86" s="4" t="n"/>
      <c r="D86" s="4" t="n"/>
      <c r="E86" s="4" t="n"/>
      <c r="F86" s="4" t="n"/>
      <c r="G86" s="4" t="n"/>
      <c r="H86" s="4">
        <f>IF(OR(G86="",F86=""),"",IFERROR((G86-F86)/30.44,0))</f>
        <v/>
      </c>
      <c r="I86" s="4" t="n"/>
      <c r="J86" s="4" t="n"/>
    </row>
    <row r="87">
      <c r="A87" s="6" t="n"/>
      <c r="B87" s="6" t="n"/>
      <c r="C87" s="6" t="n"/>
      <c r="D87" s="6" t="n"/>
      <c r="E87" s="6" t="n"/>
      <c r="F87" s="6" t="n"/>
      <c r="G87" s="6" t="n"/>
      <c r="H87" s="6">
        <f>IF(OR(G87="",F87=""),"",IFERROR((G87-F87)/30.44,0))</f>
        <v/>
      </c>
      <c r="I87" s="6" t="n"/>
      <c r="J87" s="6" t="n"/>
    </row>
    <row r="88">
      <c r="A88" s="4" t="n"/>
      <c r="B88" s="4" t="n"/>
      <c r="C88" s="4" t="n"/>
      <c r="D88" s="4" t="n"/>
      <c r="E88" s="4" t="n"/>
      <c r="F88" s="4" t="n"/>
      <c r="G88" s="4" t="n"/>
      <c r="H88" s="4">
        <f>IF(OR(G88="",F88=""),"",IFERROR((G88-F88)/30.44,0))</f>
        <v/>
      </c>
      <c r="I88" s="4" t="n"/>
      <c r="J88" s="4" t="n"/>
    </row>
    <row r="89">
      <c r="A89" s="6" t="n"/>
      <c r="B89" s="6" t="n"/>
      <c r="C89" s="6" t="n"/>
      <c r="D89" s="6" t="n"/>
      <c r="E89" s="6" t="n"/>
      <c r="F89" s="6" t="n"/>
      <c r="G89" s="6" t="n"/>
      <c r="H89" s="6">
        <f>IF(OR(G89="",F89=""),"",IFERROR((G89-F89)/30.44,0))</f>
        <v/>
      </c>
      <c r="I89" s="6" t="n"/>
      <c r="J89" s="6" t="n"/>
    </row>
    <row r="90">
      <c r="A90" s="4" t="n"/>
      <c r="B90" s="4" t="n"/>
      <c r="C90" s="4" t="n"/>
      <c r="D90" s="4" t="n"/>
      <c r="E90" s="4" t="n"/>
      <c r="F90" s="4" t="n"/>
      <c r="G90" s="4" t="n"/>
      <c r="H90" s="4">
        <f>IF(OR(G90="",F90=""),"",IFERROR((G90-F90)/30.44,0))</f>
        <v/>
      </c>
      <c r="I90" s="4" t="n"/>
      <c r="J90" s="4" t="n"/>
    </row>
    <row r="91">
      <c r="A91" s="6" t="n"/>
      <c r="B91" s="6" t="n"/>
      <c r="C91" s="6" t="n"/>
      <c r="D91" s="6" t="n"/>
      <c r="E91" s="6" t="n"/>
      <c r="F91" s="6" t="n"/>
      <c r="G91" s="6" t="n"/>
      <c r="H91" s="6">
        <f>IF(OR(G91="",F91=""),"",IFERROR((G91-F91)/30.44,0))</f>
        <v/>
      </c>
      <c r="I91" s="6" t="n"/>
      <c r="J91" s="6" t="n"/>
    </row>
    <row r="92">
      <c r="A92" s="4" t="n"/>
      <c r="B92" s="4" t="n"/>
      <c r="C92" s="4" t="n"/>
      <c r="D92" s="4" t="n"/>
      <c r="E92" s="4" t="n"/>
      <c r="F92" s="4" t="n"/>
      <c r="G92" s="4" t="n"/>
      <c r="H92" s="4">
        <f>IF(OR(G92="",F92=""),"",IFERROR((G92-F92)/30.44,0))</f>
        <v/>
      </c>
      <c r="I92" s="4" t="n"/>
      <c r="J92" s="4" t="n"/>
    </row>
    <row r="93">
      <c r="A93" s="6" t="n"/>
      <c r="B93" s="6" t="n"/>
      <c r="C93" s="6" t="n"/>
      <c r="D93" s="6" t="n"/>
      <c r="E93" s="6" t="n"/>
      <c r="F93" s="6" t="n"/>
      <c r="G93" s="6" t="n"/>
      <c r="H93" s="6">
        <f>IF(OR(G93="",F93=""),"",IFERROR((G93-F93)/30.44,0))</f>
        <v/>
      </c>
      <c r="I93" s="6" t="n"/>
      <c r="J93" s="6" t="n"/>
    </row>
    <row r="94">
      <c r="A94" s="4" t="n"/>
      <c r="B94" s="4" t="n"/>
      <c r="C94" s="4" t="n"/>
      <c r="D94" s="4" t="n"/>
      <c r="E94" s="4" t="n"/>
      <c r="F94" s="4" t="n"/>
      <c r="G94" s="4" t="n"/>
      <c r="H94" s="4">
        <f>IF(OR(G94="",F94=""),"",IFERROR((G94-F94)/30.44,0))</f>
        <v/>
      </c>
      <c r="I94" s="4" t="n"/>
      <c r="J94" s="4" t="n"/>
    </row>
    <row r="95">
      <c r="A95" s="6" t="n"/>
      <c r="B95" s="6" t="n"/>
      <c r="C95" s="6" t="n"/>
      <c r="D95" s="6" t="n"/>
      <c r="E95" s="6" t="n"/>
      <c r="F95" s="6" t="n"/>
      <c r="G95" s="6" t="n"/>
      <c r="H95" s="6">
        <f>IF(OR(G95="",F95=""),"",IFERROR((G95-F95)/30.44,0))</f>
        <v/>
      </c>
      <c r="I95" s="6" t="n"/>
      <c r="J95" s="6" t="n"/>
    </row>
    <row r="96">
      <c r="A96" s="4" t="n"/>
      <c r="B96" s="4" t="n"/>
      <c r="C96" s="4" t="n"/>
      <c r="D96" s="4" t="n"/>
      <c r="E96" s="4" t="n"/>
      <c r="F96" s="4" t="n"/>
      <c r="G96" s="4" t="n"/>
      <c r="H96" s="4">
        <f>IF(OR(G96="",F96=""),"",IFERROR((G96-F96)/30.44,0))</f>
        <v/>
      </c>
      <c r="I96" s="4" t="n"/>
      <c r="J96" s="4" t="n"/>
    </row>
    <row r="97">
      <c r="A97" s="6" t="n"/>
      <c r="B97" s="6" t="n"/>
      <c r="C97" s="6" t="n"/>
      <c r="D97" s="6" t="n"/>
      <c r="E97" s="6" t="n"/>
      <c r="F97" s="6" t="n"/>
      <c r="G97" s="6" t="n"/>
      <c r="H97" s="6">
        <f>IF(OR(G97="",F97=""),"",IFERROR((G97-F97)/30.44,0))</f>
        <v/>
      </c>
      <c r="I97" s="6" t="n"/>
      <c r="J97" s="6" t="n"/>
    </row>
    <row r="98">
      <c r="A98" s="4" t="n"/>
      <c r="B98" s="4" t="n"/>
      <c r="C98" s="4" t="n"/>
      <c r="D98" s="4" t="n"/>
      <c r="E98" s="4" t="n"/>
      <c r="F98" s="4" t="n"/>
      <c r="G98" s="4" t="n"/>
      <c r="H98" s="4">
        <f>IF(OR(G98="",F98=""),"",IFERROR((G98-F98)/30.44,0))</f>
        <v/>
      </c>
      <c r="I98" s="4" t="n"/>
      <c r="J98" s="4" t="n"/>
    </row>
    <row r="99">
      <c r="A99" s="6" t="n"/>
      <c r="B99" s="6" t="n"/>
      <c r="C99" s="6" t="n"/>
      <c r="D99" s="6" t="n"/>
      <c r="E99" s="6" t="n"/>
      <c r="F99" s="6" t="n"/>
      <c r="G99" s="6" t="n"/>
      <c r="H99" s="6">
        <f>IF(OR(G99="",F99=""),"",IFERROR((G99-F99)/30.44,0))</f>
        <v/>
      </c>
      <c r="I99" s="6" t="n"/>
      <c r="J99" s="6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>
        <f>IF(OR(G100="",F100=""),"",IFERROR((G100-F100)/30.44,0))</f>
        <v/>
      </c>
      <c r="I100" s="4" t="n"/>
      <c r="J100" s="4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>
        <f>IF(OR(G101="",F101=""),"",IFERROR((G101-F101)/30.44,0))</f>
        <v/>
      </c>
      <c r="I101" s="6" t="n"/>
      <c r="J101" s="6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>
        <f>IF(OR(G102="",F102=""),"",IFERROR((G102-F102)/30.44,0))</f>
        <v/>
      </c>
      <c r="I102" s="4" t="n"/>
      <c r="J102" s="4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>
        <f>IF(OR(G103="",F103=""),"",IFERROR((G103-F103)/30.44,0))</f>
        <v/>
      </c>
      <c r="I103" s="6" t="n"/>
      <c r="J103" s="6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>
        <f>IF(OR(G104="",F104=""),"",IFERROR((G104-F104)/30.44,0))</f>
        <v/>
      </c>
      <c r="I104" s="4" t="n"/>
      <c r="J104" s="4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>
        <f>IF(OR(G105="",F105=""),"",IFERROR((G105-F105)/30.44,0))</f>
        <v/>
      </c>
      <c r="I105" s="6" t="n"/>
      <c r="J105" s="6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>
        <f>IF(OR(G106="",F106=""),"",IFERROR((G106-F106)/30.44,0))</f>
        <v/>
      </c>
      <c r="I106" s="4" t="n"/>
      <c r="J106" s="4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>
        <f>IF(OR(G107="",F107=""),"",IFERROR((G107-F107)/30.44,0))</f>
        <v/>
      </c>
      <c r="I107" s="6" t="n"/>
      <c r="J107" s="6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>
        <f>IF(OR(G108="",F108=""),"",IFERROR((G108-F108)/30.44,0))</f>
        <v/>
      </c>
      <c r="I108" s="4" t="n"/>
      <c r="J108" s="4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>
        <f>IF(OR(G109="",F109=""),"",IFERROR((G109-F109)/30.44,0))</f>
        <v/>
      </c>
      <c r="I109" s="6" t="n"/>
      <c r="J109" s="6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>
        <f>IF(OR(G110="",F110=""),"",IFERROR((G110-F110)/30.44,0))</f>
        <v/>
      </c>
      <c r="I110" s="4" t="n"/>
      <c r="J110" s="4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>
        <f>IF(OR(G111="",F111=""),"",IFERROR((G111-F111)/30.44,0))</f>
        <v/>
      </c>
      <c r="I111" s="6" t="n"/>
      <c r="J111" s="6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>
        <f>IF(OR(G112="",F112=""),"",IFERROR((G112-F112)/30.44,0))</f>
        <v/>
      </c>
      <c r="I112" s="4" t="n"/>
      <c r="J112" s="4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>
        <f>IF(OR(G113="",F113=""),"",IFERROR((G113-F113)/30.44,0))</f>
        <v/>
      </c>
      <c r="I113" s="6" t="n"/>
      <c r="J113" s="6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>
        <f>IF(OR(G114="",F114=""),"",IFERROR((G114-F114)/30.44,0))</f>
        <v/>
      </c>
      <c r="I114" s="4" t="n"/>
      <c r="J114" s="4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>
        <f>IF(OR(G115="",F115=""),"",IFERROR((G115-F115)/30.44,0))</f>
        <v/>
      </c>
      <c r="I115" s="6" t="n"/>
      <c r="J115" s="6" t="n"/>
    </row>
  </sheetData>
  <mergeCells count="2">
    <mergeCell ref="A3:N3"/>
    <mergeCell ref="A2:N2"/>
  </mergeCells>
  <dataValidations count="1">
    <dataValidation sqref="I6:I115" showDropDown="0" showInputMessage="0" showErrorMessage="0" allowBlank="1" errorTitle="Erreur de saisie" error="Valeur non autorisée" promptTitle="Liste déroulante" prompt="Sélectionnez dans la liste" type="list">
      <formula1>'F02 - _Lists'!$AC$6:$AC$35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3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25" customHeight="1">
      <c r="A2" s="1" t="inlineStr">
        <is>
          <t>DOMAINE 25 — 16-CALENDRIER MISSIONS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Matricule</t>
        </is>
      </c>
      <c r="B5" s="3" t="inlineStr">
        <is>
          <t>Nom</t>
        </is>
      </c>
      <c r="C5" s="3" t="inlineStr">
        <is>
          <t>Département</t>
        </is>
      </c>
      <c r="D5" s="3" t="inlineStr">
        <is>
          <t>Date Début</t>
        </is>
      </c>
      <c r="E5" s="3" t="inlineStr">
        <is>
          <t>Date Fin</t>
        </is>
      </c>
      <c r="F5" s="3" t="inlineStr">
        <is>
          <t>Jours Restants</t>
        </is>
      </c>
      <c r="G5" s="3" t="inlineStr">
        <is>
          <t>Jours Écoulés</t>
        </is>
      </c>
      <c r="H5" s="3" t="inlineStr">
        <is>
          <t>Progression (%)</t>
        </is>
      </c>
      <c r="I5" s="3" t="inlineStr">
        <is>
          <t>Alerte</t>
        </is>
      </c>
    </row>
    <row r="6">
      <c r="A6" s="4" t="n"/>
      <c r="B6" s="4">
        <f>IF(A6="","",VLOOKUP(A6,'F01 - _Données Expatriés'!$A$6:$L$15,2,FALSE))</f>
        <v/>
      </c>
      <c r="C6" s="4">
        <f>IF(A6="","",VLOOKUP(A6,'F01 - _Données Expatriés'!$A$6:$L$15,6,FALSE))</f>
        <v/>
      </c>
      <c r="D6" s="4">
        <f>IF(A6="","",VLOOKUP(A6,'F01 - _Données Expatriés'!$A$6:$L$15,9,FALSE))</f>
        <v/>
      </c>
      <c r="E6" s="4">
        <f>IF(A6="","",VLOOKUP(A6,'F01 - _Données Expatriés'!$A$6:$L$15,10,FALSE))</f>
        <v/>
      </c>
      <c r="F6" s="4">
        <f>IF(E6="","",IFERROR(E6-TODAY(),0))</f>
        <v/>
      </c>
      <c r="G6" s="4">
        <f>IF(D6="","",IFERROR(TODAY()-D6,0))</f>
        <v/>
      </c>
      <c r="H6" s="4">
        <f>IF(OR(D6="",E6=""),"",IFERROR(G6/(E6-D6)*100,0))</f>
        <v/>
      </c>
      <c r="I6" s="4">
        <f>IF(F6="","",IF(F6&lt;30,"URGENT",IF(F6&lt;90,"Attention","")))</f>
        <v/>
      </c>
    </row>
    <row r="7">
      <c r="A7" s="6" t="n"/>
      <c r="B7" s="6">
        <f>IF(A7="","",VLOOKUP(A7,'F01 - _Données Expatriés'!$A$6:$L$15,2,FALSE))</f>
        <v/>
      </c>
      <c r="C7" s="6">
        <f>IF(A7="","",VLOOKUP(A7,'F01 - _Données Expatriés'!$A$6:$L$15,6,FALSE))</f>
        <v/>
      </c>
      <c r="D7" s="6">
        <f>IF(A7="","",VLOOKUP(A7,'F01 - _Données Expatriés'!$A$6:$L$15,9,FALSE))</f>
        <v/>
      </c>
      <c r="E7" s="6">
        <f>IF(A7="","",VLOOKUP(A7,'F01 - _Données Expatriés'!$A$6:$L$15,10,FALSE))</f>
        <v/>
      </c>
      <c r="F7" s="6">
        <f>IF(E7="","",IFERROR(E7-TODAY(),0))</f>
        <v/>
      </c>
      <c r="G7" s="6">
        <f>IF(D7="","",IFERROR(TODAY()-D7,0))</f>
        <v/>
      </c>
      <c r="H7" s="6">
        <f>IF(OR(D7="",E7=""),"",IFERROR(G7/(E7-D7)*100,0))</f>
        <v/>
      </c>
      <c r="I7" s="6">
        <f>IF(F7="","",IF(F7&lt;30,"URGENT",IF(F7&lt;90,"Attention","")))</f>
        <v/>
      </c>
    </row>
    <row r="8">
      <c r="A8" s="4" t="n"/>
      <c r="B8" s="4">
        <f>IF(A8="","",VLOOKUP(A8,'F01 - _Données Expatriés'!$A$6:$L$15,2,FALSE))</f>
        <v/>
      </c>
      <c r="C8" s="4">
        <f>IF(A8="","",VLOOKUP(A8,'F01 - _Données Expatriés'!$A$6:$L$15,6,FALSE))</f>
        <v/>
      </c>
      <c r="D8" s="4">
        <f>IF(A8="","",VLOOKUP(A8,'F01 - _Données Expatriés'!$A$6:$L$15,9,FALSE))</f>
        <v/>
      </c>
      <c r="E8" s="4">
        <f>IF(A8="","",VLOOKUP(A8,'F01 - _Données Expatriés'!$A$6:$L$15,10,FALSE))</f>
        <v/>
      </c>
      <c r="F8" s="4">
        <f>IF(E8="","",IFERROR(E8-TODAY(),0))</f>
        <v/>
      </c>
      <c r="G8" s="4">
        <f>IF(D8="","",IFERROR(TODAY()-D8,0))</f>
        <v/>
      </c>
      <c r="H8" s="4">
        <f>IF(OR(D8="",E8=""),"",IFERROR(G8/(E8-D8)*100,0))</f>
        <v/>
      </c>
      <c r="I8" s="4">
        <f>IF(F8="","",IF(F8&lt;30,"URGENT",IF(F8&lt;90,"Attention","")))</f>
        <v/>
      </c>
    </row>
    <row r="9">
      <c r="A9" s="6" t="n"/>
      <c r="B9" s="6">
        <f>IF(A9="","",VLOOKUP(A9,'F01 - _Données Expatriés'!$A$6:$L$15,2,FALSE))</f>
        <v/>
      </c>
      <c r="C9" s="6">
        <f>IF(A9="","",VLOOKUP(A9,'F01 - _Données Expatriés'!$A$6:$L$15,6,FALSE))</f>
        <v/>
      </c>
      <c r="D9" s="6">
        <f>IF(A9="","",VLOOKUP(A9,'F01 - _Données Expatriés'!$A$6:$L$15,9,FALSE))</f>
        <v/>
      </c>
      <c r="E9" s="6">
        <f>IF(A9="","",VLOOKUP(A9,'F01 - _Données Expatriés'!$A$6:$L$15,10,FALSE))</f>
        <v/>
      </c>
      <c r="F9" s="6">
        <f>IF(E9="","",IFERROR(E9-TODAY(),0))</f>
        <v/>
      </c>
      <c r="G9" s="6">
        <f>IF(D9="","",IFERROR(TODAY()-D9,0))</f>
        <v/>
      </c>
      <c r="H9" s="6">
        <f>IF(OR(D9="",E9=""),"",IFERROR(G9/(E9-D9)*100,0))</f>
        <v/>
      </c>
      <c r="I9" s="6">
        <f>IF(F9="","",IF(F9&lt;30,"URGENT",IF(F9&lt;90,"Attention","")))</f>
        <v/>
      </c>
    </row>
    <row r="10">
      <c r="A10" s="4" t="n"/>
      <c r="B10" s="4">
        <f>IF(A10="","",VLOOKUP(A10,'F01 - _Données Expatriés'!$A$6:$L$15,2,FALSE))</f>
        <v/>
      </c>
      <c r="C10" s="4">
        <f>IF(A10="","",VLOOKUP(A10,'F01 - _Données Expatriés'!$A$6:$L$15,6,FALSE))</f>
        <v/>
      </c>
      <c r="D10" s="4">
        <f>IF(A10="","",VLOOKUP(A10,'F01 - _Données Expatriés'!$A$6:$L$15,9,FALSE))</f>
        <v/>
      </c>
      <c r="E10" s="4">
        <f>IF(A10="","",VLOOKUP(A10,'F01 - _Données Expatriés'!$A$6:$L$15,10,FALSE))</f>
        <v/>
      </c>
      <c r="F10" s="4">
        <f>IF(E10="","",IFERROR(E10-TODAY(),0))</f>
        <v/>
      </c>
      <c r="G10" s="4">
        <f>IF(D10="","",IFERROR(TODAY()-D10,0))</f>
        <v/>
      </c>
      <c r="H10" s="4">
        <f>IF(OR(D10="",E10=""),"",IFERROR(G10/(E10-D10)*100,0))</f>
        <v/>
      </c>
      <c r="I10" s="4">
        <f>IF(F10="","",IF(F10&lt;30,"URGENT",IF(F10&lt;90,"Attention","")))</f>
        <v/>
      </c>
    </row>
    <row r="11">
      <c r="A11" s="6" t="n"/>
      <c r="B11" s="6">
        <f>IF(A11="","",VLOOKUP(A11,'F01 - _Données Expatriés'!$A$6:$L$15,2,FALSE))</f>
        <v/>
      </c>
      <c r="C11" s="6">
        <f>IF(A11="","",VLOOKUP(A11,'F01 - _Données Expatriés'!$A$6:$L$15,6,FALSE))</f>
        <v/>
      </c>
      <c r="D11" s="6">
        <f>IF(A11="","",VLOOKUP(A11,'F01 - _Données Expatriés'!$A$6:$L$15,9,FALSE))</f>
        <v/>
      </c>
      <c r="E11" s="6">
        <f>IF(A11="","",VLOOKUP(A11,'F01 - _Données Expatriés'!$A$6:$L$15,10,FALSE))</f>
        <v/>
      </c>
      <c r="F11" s="6">
        <f>IF(E11="","",IFERROR(E11-TODAY(),0))</f>
        <v/>
      </c>
      <c r="G11" s="6">
        <f>IF(D11="","",IFERROR(TODAY()-D11,0))</f>
        <v/>
      </c>
      <c r="H11" s="6">
        <f>IF(OR(D11="",E11=""),"",IFERROR(G11/(E11-D11)*100,0))</f>
        <v/>
      </c>
      <c r="I11" s="6">
        <f>IF(F11="","",IF(F11&lt;30,"URGENT",IF(F11&lt;90,"Attention","")))</f>
        <v/>
      </c>
    </row>
    <row r="12">
      <c r="A12" s="4" t="n"/>
      <c r="B12" s="4">
        <f>IF(A12="","",VLOOKUP(A12,'F01 - _Données Expatriés'!$A$6:$L$15,2,FALSE))</f>
        <v/>
      </c>
      <c r="C12" s="4">
        <f>IF(A12="","",VLOOKUP(A12,'F01 - _Données Expatriés'!$A$6:$L$15,6,FALSE))</f>
        <v/>
      </c>
      <c r="D12" s="4">
        <f>IF(A12="","",VLOOKUP(A12,'F01 - _Données Expatriés'!$A$6:$L$15,9,FALSE))</f>
        <v/>
      </c>
      <c r="E12" s="4">
        <f>IF(A12="","",VLOOKUP(A12,'F01 - _Données Expatriés'!$A$6:$L$15,10,FALSE))</f>
        <v/>
      </c>
      <c r="F12" s="4">
        <f>IF(E12="","",IFERROR(E12-TODAY(),0))</f>
        <v/>
      </c>
      <c r="G12" s="4">
        <f>IF(D12="","",IFERROR(TODAY()-D12,0))</f>
        <v/>
      </c>
      <c r="H12" s="4">
        <f>IF(OR(D12="",E12=""),"",IFERROR(G12/(E12-D12)*100,0))</f>
        <v/>
      </c>
      <c r="I12" s="4">
        <f>IF(F12="","",IF(F12&lt;30,"URGENT",IF(F12&lt;90,"Attention","")))</f>
        <v/>
      </c>
    </row>
    <row r="13">
      <c r="A13" s="6" t="n"/>
      <c r="B13" s="6">
        <f>IF(A13="","",VLOOKUP(A13,'F01 - _Données Expatriés'!$A$6:$L$15,2,FALSE))</f>
        <v/>
      </c>
      <c r="C13" s="6">
        <f>IF(A13="","",VLOOKUP(A13,'F01 - _Données Expatriés'!$A$6:$L$15,6,FALSE))</f>
        <v/>
      </c>
      <c r="D13" s="6">
        <f>IF(A13="","",VLOOKUP(A13,'F01 - _Données Expatriés'!$A$6:$L$15,9,FALSE))</f>
        <v/>
      </c>
      <c r="E13" s="6">
        <f>IF(A13="","",VLOOKUP(A13,'F01 - _Données Expatriés'!$A$6:$L$15,10,FALSE))</f>
        <v/>
      </c>
      <c r="F13" s="6">
        <f>IF(E13="","",IFERROR(E13-TODAY(),0))</f>
        <v/>
      </c>
      <c r="G13" s="6">
        <f>IF(D13="","",IFERROR(TODAY()-D13,0))</f>
        <v/>
      </c>
      <c r="H13" s="6">
        <f>IF(OR(D13="",E13=""),"",IFERROR(G13/(E13-D13)*100,0))</f>
        <v/>
      </c>
      <c r="I13" s="6">
        <f>IF(F13="","",IF(F13&lt;30,"URGENT",IF(F13&lt;90,"Attention","")))</f>
        <v/>
      </c>
    </row>
    <row r="14">
      <c r="A14" s="4" t="n"/>
      <c r="B14" s="4">
        <f>IF(A14="","",VLOOKUP(A14,'F01 - _Données Expatriés'!$A$6:$L$15,2,FALSE))</f>
        <v/>
      </c>
      <c r="C14" s="4">
        <f>IF(A14="","",VLOOKUP(A14,'F01 - _Données Expatriés'!$A$6:$L$15,6,FALSE))</f>
        <v/>
      </c>
      <c r="D14" s="4">
        <f>IF(A14="","",VLOOKUP(A14,'F01 - _Données Expatriés'!$A$6:$L$15,9,FALSE))</f>
        <v/>
      </c>
      <c r="E14" s="4">
        <f>IF(A14="","",VLOOKUP(A14,'F01 - _Données Expatriés'!$A$6:$L$15,10,FALSE))</f>
        <v/>
      </c>
      <c r="F14" s="4">
        <f>IF(E14="","",IFERROR(E14-TODAY(),0))</f>
        <v/>
      </c>
      <c r="G14" s="4">
        <f>IF(D14="","",IFERROR(TODAY()-D14,0))</f>
        <v/>
      </c>
      <c r="H14" s="4">
        <f>IF(OR(D14="",E14=""),"",IFERROR(G14/(E14-D14)*100,0))</f>
        <v/>
      </c>
      <c r="I14" s="4">
        <f>IF(F14="","",IF(F14&lt;30,"URGENT",IF(F14&lt;90,"Attention","")))</f>
        <v/>
      </c>
    </row>
    <row r="15">
      <c r="A15" s="6" t="n"/>
      <c r="B15" s="6">
        <f>IF(A15="","",VLOOKUP(A15,'F01 - _Données Expatriés'!$A$6:$L$15,2,FALSE))</f>
        <v/>
      </c>
      <c r="C15" s="6">
        <f>IF(A15="","",VLOOKUP(A15,'F01 - _Données Expatriés'!$A$6:$L$15,6,FALSE))</f>
        <v/>
      </c>
      <c r="D15" s="6">
        <f>IF(A15="","",VLOOKUP(A15,'F01 - _Données Expatriés'!$A$6:$L$15,9,FALSE))</f>
        <v/>
      </c>
      <c r="E15" s="6">
        <f>IF(A15="","",VLOOKUP(A15,'F01 - _Données Expatriés'!$A$6:$L$15,10,FALSE))</f>
        <v/>
      </c>
      <c r="F15" s="6">
        <f>IF(E15="","",IFERROR(E15-TODAY(),0))</f>
        <v/>
      </c>
      <c r="G15" s="6">
        <f>IF(D15="","",IFERROR(TODAY()-D15,0))</f>
        <v/>
      </c>
      <c r="H15" s="6">
        <f>IF(OR(D15="",E15=""),"",IFERROR(G15/(E15-D15)*100,0))</f>
        <v/>
      </c>
      <c r="I15" s="6">
        <f>IF(F15="","",IF(F15&lt;30,"URGENT",IF(F15&lt;90,"Attention","")))</f>
        <v/>
      </c>
    </row>
    <row r="16">
      <c r="A16" s="4" t="n"/>
      <c r="B16" s="4">
        <f>IF(A16="","",VLOOKUP(A16,'F01 - _Données Expatriés'!$A$6:$L$15,2,FALSE))</f>
        <v/>
      </c>
      <c r="C16" s="4">
        <f>IF(A16="","",VLOOKUP(A16,'F01 - _Données Expatriés'!$A$6:$L$15,6,FALSE))</f>
        <v/>
      </c>
      <c r="D16" s="4">
        <f>IF(A16="","",VLOOKUP(A16,'F01 - _Données Expatriés'!$A$6:$L$15,9,FALSE))</f>
        <v/>
      </c>
      <c r="E16" s="4">
        <f>IF(A16="","",VLOOKUP(A16,'F01 - _Données Expatriés'!$A$6:$L$15,10,FALSE))</f>
        <v/>
      </c>
      <c r="F16" s="4">
        <f>IF(E16="","",IFERROR(E16-TODAY(),0))</f>
        <v/>
      </c>
      <c r="G16" s="4">
        <f>IF(D16="","",IFERROR(TODAY()-D16,0))</f>
        <v/>
      </c>
      <c r="H16" s="4">
        <f>IF(OR(D16="",E16=""),"",IFERROR(G16/(E16-D16)*100,0))</f>
        <v/>
      </c>
      <c r="I16" s="4">
        <f>IF(F16="","",IF(F16&lt;30,"URGENT",IF(F16&lt;90,"Attention","")))</f>
        <v/>
      </c>
    </row>
    <row r="17">
      <c r="A17" s="6" t="n"/>
      <c r="B17" s="6">
        <f>IF(A17="","",VLOOKUP(A17,'F01 - _Données Expatriés'!$A$6:$L$15,2,FALSE))</f>
        <v/>
      </c>
      <c r="C17" s="6">
        <f>IF(A17="","",VLOOKUP(A17,'F01 - _Données Expatriés'!$A$6:$L$15,6,FALSE))</f>
        <v/>
      </c>
      <c r="D17" s="6">
        <f>IF(A17="","",VLOOKUP(A17,'F01 - _Données Expatriés'!$A$6:$L$15,9,FALSE))</f>
        <v/>
      </c>
      <c r="E17" s="6">
        <f>IF(A17="","",VLOOKUP(A17,'F01 - _Données Expatriés'!$A$6:$L$15,10,FALSE))</f>
        <v/>
      </c>
      <c r="F17" s="6">
        <f>IF(E17="","",IFERROR(E17-TODAY(),0))</f>
        <v/>
      </c>
      <c r="G17" s="6">
        <f>IF(D17="","",IFERROR(TODAY()-D17,0))</f>
        <v/>
      </c>
      <c r="H17" s="6">
        <f>IF(OR(D17="",E17=""),"",IFERROR(G17/(E17-D17)*100,0))</f>
        <v/>
      </c>
      <c r="I17" s="6">
        <f>IF(F17="","",IF(F17&lt;30,"URGENT",IF(F17&lt;90,"Attention","")))</f>
        <v/>
      </c>
    </row>
    <row r="18">
      <c r="A18" s="4" t="n"/>
      <c r="B18" s="4">
        <f>IF(A18="","",VLOOKUP(A18,'F01 - _Données Expatriés'!$A$6:$L$15,2,FALSE))</f>
        <v/>
      </c>
      <c r="C18" s="4">
        <f>IF(A18="","",VLOOKUP(A18,'F01 - _Données Expatriés'!$A$6:$L$15,6,FALSE))</f>
        <v/>
      </c>
      <c r="D18" s="4">
        <f>IF(A18="","",VLOOKUP(A18,'F01 - _Données Expatriés'!$A$6:$L$15,9,FALSE))</f>
        <v/>
      </c>
      <c r="E18" s="4">
        <f>IF(A18="","",VLOOKUP(A18,'F01 - _Données Expatriés'!$A$6:$L$15,10,FALSE))</f>
        <v/>
      </c>
      <c r="F18" s="4">
        <f>IF(E18="","",IFERROR(E18-TODAY(),0))</f>
        <v/>
      </c>
      <c r="G18" s="4">
        <f>IF(D18="","",IFERROR(TODAY()-D18,0))</f>
        <v/>
      </c>
      <c r="H18" s="4">
        <f>IF(OR(D18="",E18=""),"",IFERROR(G18/(E18-D18)*100,0))</f>
        <v/>
      </c>
      <c r="I18" s="4">
        <f>IF(F18="","",IF(F18&lt;30,"URGENT",IF(F18&lt;90,"Attention","")))</f>
        <v/>
      </c>
    </row>
    <row r="19">
      <c r="A19" s="6" t="n"/>
      <c r="B19" s="6">
        <f>IF(A19="","",VLOOKUP(A19,'F01 - _Données Expatriés'!$A$6:$L$15,2,FALSE))</f>
        <v/>
      </c>
      <c r="C19" s="6">
        <f>IF(A19="","",VLOOKUP(A19,'F01 - _Données Expatriés'!$A$6:$L$15,6,FALSE))</f>
        <v/>
      </c>
      <c r="D19" s="6">
        <f>IF(A19="","",VLOOKUP(A19,'F01 - _Données Expatriés'!$A$6:$L$15,9,FALSE))</f>
        <v/>
      </c>
      <c r="E19" s="6">
        <f>IF(A19="","",VLOOKUP(A19,'F01 - _Données Expatriés'!$A$6:$L$15,10,FALSE))</f>
        <v/>
      </c>
      <c r="F19" s="6">
        <f>IF(E19="","",IFERROR(E19-TODAY(),0))</f>
        <v/>
      </c>
      <c r="G19" s="6">
        <f>IF(D19="","",IFERROR(TODAY()-D19,0))</f>
        <v/>
      </c>
      <c r="H19" s="6">
        <f>IF(OR(D19="",E19=""),"",IFERROR(G19/(E19-D19)*100,0))</f>
        <v/>
      </c>
      <c r="I19" s="6">
        <f>IF(F19="","",IF(F19&lt;30,"URGENT",IF(F19&lt;90,"Attention","")))</f>
        <v/>
      </c>
    </row>
    <row r="20">
      <c r="A20" s="4" t="n"/>
      <c r="B20" s="4">
        <f>IF(A20="","",VLOOKUP(A20,'F01 - _Données Expatriés'!$A$6:$L$15,2,FALSE))</f>
        <v/>
      </c>
      <c r="C20" s="4">
        <f>IF(A20="","",VLOOKUP(A20,'F01 - _Données Expatriés'!$A$6:$L$15,6,FALSE))</f>
        <v/>
      </c>
      <c r="D20" s="4">
        <f>IF(A20="","",VLOOKUP(A20,'F01 - _Données Expatriés'!$A$6:$L$15,9,FALSE))</f>
        <v/>
      </c>
      <c r="E20" s="4">
        <f>IF(A20="","",VLOOKUP(A20,'F01 - _Données Expatriés'!$A$6:$L$15,10,FALSE))</f>
        <v/>
      </c>
      <c r="F20" s="4">
        <f>IF(E20="","",IFERROR(E20-TODAY(),0))</f>
        <v/>
      </c>
      <c r="G20" s="4">
        <f>IF(D20="","",IFERROR(TODAY()-D20,0))</f>
        <v/>
      </c>
      <c r="H20" s="4">
        <f>IF(OR(D20="",E20=""),"",IFERROR(G20/(E20-D20)*100,0))</f>
        <v/>
      </c>
      <c r="I20" s="4">
        <f>IF(F20="","",IF(F20&lt;30,"URGENT",IF(F20&lt;90,"Attention","")))</f>
        <v/>
      </c>
    </row>
    <row r="21">
      <c r="A21" s="6" t="n"/>
      <c r="B21" s="6">
        <f>IF(A21="","",VLOOKUP(A21,'F01 - _Données Expatriés'!$A$6:$L$15,2,FALSE))</f>
        <v/>
      </c>
      <c r="C21" s="6">
        <f>IF(A21="","",VLOOKUP(A21,'F01 - _Données Expatriés'!$A$6:$L$15,6,FALSE))</f>
        <v/>
      </c>
      <c r="D21" s="6">
        <f>IF(A21="","",VLOOKUP(A21,'F01 - _Données Expatriés'!$A$6:$L$15,9,FALSE))</f>
        <v/>
      </c>
      <c r="E21" s="6">
        <f>IF(A21="","",VLOOKUP(A21,'F01 - _Données Expatriés'!$A$6:$L$15,10,FALSE))</f>
        <v/>
      </c>
      <c r="F21" s="6">
        <f>IF(E21="","",IFERROR(E21-TODAY(),0))</f>
        <v/>
      </c>
      <c r="G21" s="6">
        <f>IF(D21="","",IFERROR(TODAY()-D21,0))</f>
        <v/>
      </c>
      <c r="H21" s="6">
        <f>IF(OR(D21="",E21=""),"",IFERROR(G21/(E21-D21)*100,0))</f>
        <v/>
      </c>
      <c r="I21" s="6">
        <f>IF(F21="","",IF(F21&lt;30,"URGENT",IF(F21&lt;90,"Attention","")))</f>
        <v/>
      </c>
    </row>
    <row r="22">
      <c r="A22" s="4" t="n"/>
      <c r="B22" s="4">
        <f>IF(A22="","",VLOOKUP(A22,'F01 - _Données Expatriés'!$A$6:$L$15,2,FALSE))</f>
        <v/>
      </c>
      <c r="C22" s="4">
        <f>IF(A22="","",VLOOKUP(A22,'F01 - _Données Expatriés'!$A$6:$L$15,6,FALSE))</f>
        <v/>
      </c>
      <c r="D22" s="4">
        <f>IF(A22="","",VLOOKUP(A22,'F01 - _Données Expatriés'!$A$6:$L$15,9,FALSE))</f>
        <v/>
      </c>
      <c r="E22" s="4">
        <f>IF(A22="","",VLOOKUP(A22,'F01 - _Données Expatriés'!$A$6:$L$15,10,FALSE))</f>
        <v/>
      </c>
      <c r="F22" s="4">
        <f>IF(E22="","",IFERROR(E22-TODAY(),0))</f>
        <v/>
      </c>
      <c r="G22" s="4">
        <f>IF(D22="","",IFERROR(TODAY()-D22,0))</f>
        <v/>
      </c>
      <c r="H22" s="4">
        <f>IF(OR(D22="",E22=""),"",IFERROR(G22/(E22-D22)*100,0))</f>
        <v/>
      </c>
      <c r="I22" s="4">
        <f>IF(F22="","",IF(F22&lt;30,"URGENT",IF(F22&lt;90,"Attention","")))</f>
        <v/>
      </c>
    </row>
    <row r="23">
      <c r="A23" s="6" t="n"/>
      <c r="B23" s="6">
        <f>IF(A23="","",VLOOKUP(A23,'F01 - _Données Expatriés'!$A$6:$L$15,2,FALSE))</f>
        <v/>
      </c>
      <c r="C23" s="6">
        <f>IF(A23="","",VLOOKUP(A23,'F01 - _Données Expatriés'!$A$6:$L$15,6,FALSE))</f>
        <v/>
      </c>
      <c r="D23" s="6">
        <f>IF(A23="","",VLOOKUP(A23,'F01 - _Données Expatriés'!$A$6:$L$15,9,FALSE))</f>
        <v/>
      </c>
      <c r="E23" s="6">
        <f>IF(A23="","",VLOOKUP(A23,'F01 - _Données Expatriés'!$A$6:$L$15,10,FALSE))</f>
        <v/>
      </c>
      <c r="F23" s="6">
        <f>IF(E23="","",IFERROR(E23-TODAY(),0))</f>
        <v/>
      </c>
      <c r="G23" s="6">
        <f>IF(D23="","",IFERROR(TODAY()-D23,0))</f>
        <v/>
      </c>
      <c r="H23" s="6">
        <f>IF(OR(D23="",E23=""),"",IFERROR(G23/(E23-D23)*100,0))</f>
        <v/>
      </c>
      <c r="I23" s="6">
        <f>IF(F23="","",IF(F23&lt;30,"URGENT",IF(F23&lt;90,"Attention","")))</f>
        <v/>
      </c>
    </row>
    <row r="24">
      <c r="A24" s="4" t="n"/>
      <c r="B24" s="4">
        <f>IF(A24="","",VLOOKUP(A24,'F01 - _Données Expatriés'!$A$6:$L$15,2,FALSE))</f>
        <v/>
      </c>
      <c r="C24" s="4">
        <f>IF(A24="","",VLOOKUP(A24,'F01 - _Données Expatriés'!$A$6:$L$15,6,FALSE))</f>
        <v/>
      </c>
      <c r="D24" s="4">
        <f>IF(A24="","",VLOOKUP(A24,'F01 - _Données Expatriés'!$A$6:$L$15,9,FALSE))</f>
        <v/>
      </c>
      <c r="E24" s="4">
        <f>IF(A24="","",VLOOKUP(A24,'F01 - _Données Expatriés'!$A$6:$L$15,10,FALSE))</f>
        <v/>
      </c>
      <c r="F24" s="4">
        <f>IF(E24="","",IFERROR(E24-TODAY(),0))</f>
        <v/>
      </c>
      <c r="G24" s="4">
        <f>IF(D24="","",IFERROR(TODAY()-D24,0))</f>
        <v/>
      </c>
      <c r="H24" s="4">
        <f>IF(OR(D24="",E24=""),"",IFERROR(G24/(E24-D24)*100,0))</f>
        <v/>
      </c>
      <c r="I24" s="4">
        <f>IF(F24="","",IF(F24&lt;30,"URGENT",IF(F24&lt;90,"Attention","")))</f>
        <v/>
      </c>
    </row>
    <row r="25">
      <c r="A25" s="6" t="n"/>
      <c r="B25" s="6">
        <f>IF(A25="","",VLOOKUP(A25,'F01 - _Données Expatriés'!$A$6:$L$15,2,FALSE))</f>
        <v/>
      </c>
      <c r="C25" s="6">
        <f>IF(A25="","",VLOOKUP(A25,'F01 - _Données Expatriés'!$A$6:$L$15,6,FALSE))</f>
        <v/>
      </c>
      <c r="D25" s="6">
        <f>IF(A25="","",VLOOKUP(A25,'F01 - _Données Expatriés'!$A$6:$L$15,9,FALSE))</f>
        <v/>
      </c>
      <c r="E25" s="6">
        <f>IF(A25="","",VLOOKUP(A25,'F01 - _Données Expatriés'!$A$6:$L$15,10,FALSE))</f>
        <v/>
      </c>
      <c r="F25" s="6">
        <f>IF(E25="","",IFERROR(E25-TODAY(),0))</f>
        <v/>
      </c>
      <c r="G25" s="6">
        <f>IF(D25="","",IFERROR(TODAY()-D25,0))</f>
        <v/>
      </c>
      <c r="H25" s="6">
        <f>IF(OR(D25="",E25=""),"",IFERROR(G25/(E25-D25)*100,0))</f>
        <v/>
      </c>
      <c r="I25" s="6">
        <f>IF(F25="","",IF(F25&lt;30,"URGENT",IF(F25&lt;90,"Attention","")))</f>
        <v/>
      </c>
    </row>
    <row r="26">
      <c r="A26" s="4" t="n"/>
      <c r="B26" s="4">
        <f>IF(A26="","",VLOOKUP(A26,'F01 - _Données Expatriés'!$A$6:$L$15,2,FALSE))</f>
        <v/>
      </c>
      <c r="C26" s="4">
        <f>IF(A26="","",VLOOKUP(A26,'F01 - _Données Expatriés'!$A$6:$L$15,6,FALSE))</f>
        <v/>
      </c>
      <c r="D26" s="4">
        <f>IF(A26="","",VLOOKUP(A26,'F01 - _Données Expatriés'!$A$6:$L$15,9,FALSE))</f>
        <v/>
      </c>
      <c r="E26" s="4">
        <f>IF(A26="","",VLOOKUP(A26,'F01 - _Données Expatriés'!$A$6:$L$15,10,FALSE))</f>
        <v/>
      </c>
      <c r="F26" s="4">
        <f>IF(E26="","",IFERROR(E26-TODAY(),0))</f>
        <v/>
      </c>
      <c r="G26" s="4">
        <f>IF(D26="","",IFERROR(TODAY()-D26,0))</f>
        <v/>
      </c>
      <c r="H26" s="4">
        <f>IF(OR(D26="",E26=""),"",IFERROR(G26/(E26-D26)*100,0))</f>
        <v/>
      </c>
      <c r="I26" s="4">
        <f>IF(F26="","",IF(F26&lt;30,"URGENT",IF(F26&lt;90,"Attention","")))</f>
        <v/>
      </c>
    </row>
    <row r="27">
      <c r="A27" s="6" t="n"/>
      <c r="B27" s="6">
        <f>IF(A27="","",VLOOKUP(A27,'F01 - _Données Expatriés'!$A$6:$L$15,2,FALSE))</f>
        <v/>
      </c>
      <c r="C27" s="6">
        <f>IF(A27="","",VLOOKUP(A27,'F01 - _Données Expatriés'!$A$6:$L$15,6,FALSE))</f>
        <v/>
      </c>
      <c r="D27" s="6">
        <f>IF(A27="","",VLOOKUP(A27,'F01 - _Données Expatriés'!$A$6:$L$15,9,FALSE))</f>
        <v/>
      </c>
      <c r="E27" s="6">
        <f>IF(A27="","",VLOOKUP(A27,'F01 - _Données Expatriés'!$A$6:$L$15,10,FALSE))</f>
        <v/>
      </c>
      <c r="F27" s="6">
        <f>IF(E27="","",IFERROR(E27-TODAY(),0))</f>
        <v/>
      </c>
      <c r="G27" s="6">
        <f>IF(D27="","",IFERROR(TODAY()-D27,0))</f>
        <v/>
      </c>
      <c r="H27" s="6">
        <f>IF(OR(D27="",E27=""),"",IFERROR(G27/(E27-D27)*100,0))</f>
        <v/>
      </c>
      <c r="I27" s="6">
        <f>IF(F27="","",IF(F27&lt;30,"URGENT",IF(F27&lt;90,"Attention","")))</f>
        <v/>
      </c>
    </row>
    <row r="28">
      <c r="A28" s="4" t="n"/>
      <c r="B28" s="4">
        <f>IF(A28="","",VLOOKUP(A28,'F01 - _Données Expatriés'!$A$6:$L$15,2,FALSE))</f>
        <v/>
      </c>
      <c r="C28" s="4">
        <f>IF(A28="","",VLOOKUP(A28,'F01 - _Données Expatriés'!$A$6:$L$15,6,FALSE))</f>
        <v/>
      </c>
      <c r="D28" s="4">
        <f>IF(A28="","",VLOOKUP(A28,'F01 - _Données Expatriés'!$A$6:$L$15,9,FALSE))</f>
        <v/>
      </c>
      <c r="E28" s="4">
        <f>IF(A28="","",VLOOKUP(A28,'F01 - _Données Expatriés'!$A$6:$L$15,10,FALSE))</f>
        <v/>
      </c>
      <c r="F28" s="4">
        <f>IF(E28="","",IFERROR(E28-TODAY(),0))</f>
        <v/>
      </c>
      <c r="G28" s="4">
        <f>IF(D28="","",IFERROR(TODAY()-D28,0))</f>
        <v/>
      </c>
      <c r="H28" s="4">
        <f>IF(OR(D28="",E28=""),"",IFERROR(G28/(E28-D28)*100,0))</f>
        <v/>
      </c>
      <c r="I28" s="4">
        <f>IF(F28="","",IF(F28&lt;30,"URGENT",IF(F28&lt;90,"Attention","")))</f>
        <v/>
      </c>
    </row>
    <row r="29">
      <c r="A29" s="6" t="n"/>
      <c r="B29" s="6">
        <f>IF(A29="","",VLOOKUP(A29,'F01 - _Données Expatriés'!$A$6:$L$15,2,FALSE))</f>
        <v/>
      </c>
      <c r="C29" s="6">
        <f>IF(A29="","",VLOOKUP(A29,'F01 - _Données Expatriés'!$A$6:$L$15,6,FALSE))</f>
        <v/>
      </c>
      <c r="D29" s="6">
        <f>IF(A29="","",VLOOKUP(A29,'F01 - _Données Expatriés'!$A$6:$L$15,9,FALSE))</f>
        <v/>
      </c>
      <c r="E29" s="6">
        <f>IF(A29="","",VLOOKUP(A29,'F01 - _Données Expatriés'!$A$6:$L$15,10,FALSE))</f>
        <v/>
      </c>
      <c r="F29" s="6">
        <f>IF(E29="","",IFERROR(E29-TODAY(),0))</f>
        <v/>
      </c>
      <c r="G29" s="6">
        <f>IF(D29="","",IFERROR(TODAY()-D29,0))</f>
        <v/>
      </c>
      <c r="H29" s="6">
        <f>IF(OR(D29="",E29=""),"",IFERROR(G29/(E29-D29)*100,0))</f>
        <v/>
      </c>
      <c r="I29" s="6">
        <f>IF(F29="","",IF(F29&lt;30,"URGENT",IF(F29&lt;90,"Attention","")))</f>
        <v/>
      </c>
    </row>
    <row r="30">
      <c r="A30" s="4" t="n"/>
      <c r="B30" s="4">
        <f>IF(A30="","",VLOOKUP(A30,'F01 - _Données Expatriés'!$A$6:$L$15,2,FALSE))</f>
        <v/>
      </c>
      <c r="C30" s="4">
        <f>IF(A30="","",VLOOKUP(A30,'F01 - _Données Expatriés'!$A$6:$L$15,6,FALSE))</f>
        <v/>
      </c>
      <c r="D30" s="4">
        <f>IF(A30="","",VLOOKUP(A30,'F01 - _Données Expatriés'!$A$6:$L$15,9,FALSE))</f>
        <v/>
      </c>
      <c r="E30" s="4">
        <f>IF(A30="","",VLOOKUP(A30,'F01 - _Données Expatriés'!$A$6:$L$15,10,FALSE))</f>
        <v/>
      </c>
      <c r="F30" s="4">
        <f>IF(E30="","",IFERROR(E30-TODAY(),0))</f>
        <v/>
      </c>
      <c r="G30" s="4">
        <f>IF(D30="","",IFERROR(TODAY()-D30,0))</f>
        <v/>
      </c>
      <c r="H30" s="4">
        <f>IF(OR(D30="",E30=""),"",IFERROR(G30/(E30-D30)*100,0))</f>
        <v/>
      </c>
      <c r="I30" s="4">
        <f>IF(F30="","",IF(F30&lt;30,"URGENT",IF(F30&lt;90,"Attention","")))</f>
        <v/>
      </c>
    </row>
    <row r="31">
      <c r="A31" s="6" t="n"/>
      <c r="B31" s="6">
        <f>IF(A31="","",VLOOKUP(A31,'F01 - _Données Expatriés'!$A$6:$L$15,2,FALSE))</f>
        <v/>
      </c>
      <c r="C31" s="6">
        <f>IF(A31="","",VLOOKUP(A31,'F01 - _Données Expatriés'!$A$6:$L$15,6,FALSE))</f>
        <v/>
      </c>
      <c r="D31" s="6">
        <f>IF(A31="","",VLOOKUP(A31,'F01 - _Données Expatriés'!$A$6:$L$15,9,FALSE))</f>
        <v/>
      </c>
      <c r="E31" s="6">
        <f>IF(A31="","",VLOOKUP(A31,'F01 - _Données Expatriés'!$A$6:$L$15,10,FALSE))</f>
        <v/>
      </c>
      <c r="F31" s="6">
        <f>IF(E31="","",IFERROR(E31-TODAY(),0))</f>
        <v/>
      </c>
      <c r="G31" s="6">
        <f>IF(D31="","",IFERROR(TODAY()-D31,0))</f>
        <v/>
      </c>
      <c r="H31" s="6">
        <f>IF(OR(D31="",E31=""),"",IFERROR(G31/(E31-D31)*100,0))</f>
        <v/>
      </c>
      <c r="I31" s="6">
        <f>IF(F31="","",IF(F31&lt;30,"URGENT",IF(F31&lt;90,"Attention","")))</f>
        <v/>
      </c>
    </row>
    <row r="32">
      <c r="A32" s="4" t="n"/>
      <c r="B32" s="4">
        <f>IF(A32="","",VLOOKUP(A32,'F01 - _Données Expatriés'!$A$6:$L$15,2,FALSE))</f>
        <v/>
      </c>
      <c r="C32" s="4">
        <f>IF(A32="","",VLOOKUP(A32,'F01 - _Données Expatriés'!$A$6:$L$15,6,FALSE))</f>
        <v/>
      </c>
      <c r="D32" s="4">
        <f>IF(A32="","",VLOOKUP(A32,'F01 - _Données Expatriés'!$A$6:$L$15,9,FALSE))</f>
        <v/>
      </c>
      <c r="E32" s="4">
        <f>IF(A32="","",VLOOKUP(A32,'F01 - _Données Expatriés'!$A$6:$L$15,10,FALSE))</f>
        <v/>
      </c>
      <c r="F32" s="4">
        <f>IF(E32="","",IFERROR(E32-TODAY(),0))</f>
        <v/>
      </c>
      <c r="G32" s="4">
        <f>IF(D32="","",IFERROR(TODAY()-D32,0))</f>
        <v/>
      </c>
      <c r="H32" s="4">
        <f>IF(OR(D32="",E32=""),"",IFERROR(G32/(E32-D32)*100,0))</f>
        <v/>
      </c>
      <c r="I32" s="4">
        <f>IF(F32="","",IF(F32&lt;30,"URGENT",IF(F32&lt;90,"Attention","")))</f>
        <v/>
      </c>
    </row>
    <row r="33">
      <c r="A33" s="6" t="n"/>
      <c r="B33" s="6">
        <f>IF(A33="","",VLOOKUP(A33,'F01 - _Données Expatriés'!$A$6:$L$15,2,FALSE))</f>
        <v/>
      </c>
      <c r="C33" s="6">
        <f>IF(A33="","",VLOOKUP(A33,'F01 - _Données Expatriés'!$A$6:$L$15,6,FALSE))</f>
        <v/>
      </c>
      <c r="D33" s="6">
        <f>IF(A33="","",VLOOKUP(A33,'F01 - _Données Expatriés'!$A$6:$L$15,9,FALSE))</f>
        <v/>
      </c>
      <c r="E33" s="6">
        <f>IF(A33="","",VLOOKUP(A33,'F01 - _Données Expatriés'!$A$6:$L$15,10,FALSE))</f>
        <v/>
      </c>
      <c r="F33" s="6">
        <f>IF(E33="","",IFERROR(E33-TODAY(),0))</f>
        <v/>
      </c>
      <c r="G33" s="6">
        <f>IF(D33="","",IFERROR(TODAY()-D33,0))</f>
        <v/>
      </c>
      <c r="H33" s="6">
        <f>IF(OR(D33="",E33=""),"",IFERROR(G33/(E33-D33)*100,0))</f>
        <v/>
      </c>
      <c r="I33" s="6">
        <f>IF(F33="","",IF(F33&lt;30,"URGENT",IF(F33&lt;90,"Attention","")))</f>
        <v/>
      </c>
    </row>
    <row r="34">
      <c r="A34" s="4" t="n"/>
      <c r="B34" s="4">
        <f>IF(A34="","",VLOOKUP(A34,'F01 - _Données Expatriés'!$A$6:$L$15,2,FALSE))</f>
        <v/>
      </c>
      <c r="C34" s="4">
        <f>IF(A34="","",VLOOKUP(A34,'F01 - _Données Expatriés'!$A$6:$L$15,6,FALSE))</f>
        <v/>
      </c>
      <c r="D34" s="4">
        <f>IF(A34="","",VLOOKUP(A34,'F01 - _Données Expatriés'!$A$6:$L$15,9,FALSE))</f>
        <v/>
      </c>
      <c r="E34" s="4">
        <f>IF(A34="","",VLOOKUP(A34,'F01 - _Données Expatriés'!$A$6:$L$15,10,FALSE))</f>
        <v/>
      </c>
      <c r="F34" s="4">
        <f>IF(E34="","",IFERROR(E34-TODAY(),0))</f>
        <v/>
      </c>
      <c r="G34" s="4">
        <f>IF(D34="","",IFERROR(TODAY()-D34,0))</f>
        <v/>
      </c>
      <c r="H34" s="4">
        <f>IF(OR(D34="",E34=""),"",IFERROR(G34/(E34-D34)*100,0))</f>
        <v/>
      </c>
      <c r="I34" s="4">
        <f>IF(F34="","",IF(F34&lt;30,"URGENT",IF(F34&lt;90,"Attention","")))</f>
        <v/>
      </c>
    </row>
    <row r="35">
      <c r="A35" s="6" t="n"/>
      <c r="B35" s="6">
        <f>IF(A35="","",VLOOKUP(A35,'F01 - _Données Expatriés'!$A$6:$L$15,2,FALSE))</f>
        <v/>
      </c>
      <c r="C35" s="6">
        <f>IF(A35="","",VLOOKUP(A35,'F01 - _Données Expatriés'!$A$6:$L$15,6,FALSE))</f>
        <v/>
      </c>
      <c r="D35" s="6">
        <f>IF(A35="","",VLOOKUP(A35,'F01 - _Données Expatriés'!$A$6:$L$15,9,FALSE))</f>
        <v/>
      </c>
      <c r="E35" s="6">
        <f>IF(A35="","",VLOOKUP(A35,'F01 - _Données Expatriés'!$A$6:$L$15,10,FALSE))</f>
        <v/>
      </c>
      <c r="F35" s="6">
        <f>IF(E35="","",IFERROR(E35-TODAY(),0))</f>
        <v/>
      </c>
      <c r="G35" s="6">
        <f>IF(D35="","",IFERROR(TODAY()-D35,0))</f>
        <v/>
      </c>
      <c r="H35" s="6">
        <f>IF(OR(D35="",E35=""),"",IFERROR(G35/(E35-D35)*100,0))</f>
        <v/>
      </c>
      <c r="I35" s="6">
        <f>IF(F35="","",IF(F35&lt;30,"URGENT",IF(F35&lt;90,"Attention","")))</f>
        <v/>
      </c>
    </row>
    <row r="36">
      <c r="A36" s="4" t="n"/>
      <c r="B36" s="4">
        <f>IF(A36="","",VLOOKUP(A36,'F01 - _Données Expatriés'!$A$6:$L$15,2,FALSE))</f>
        <v/>
      </c>
      <c r="C36" s="4">
        <f>IF(A36="","",VLOOKUP(A36,'F01 - _Données Expatriés'!$A$6:$L$15,6,FALSE))</f>
        <v/>
      </c>
      <c r="D36" s="4">
        <f>IF(A36="","",VLOOKUP(A36,'F01 - _Données Expatriés'!$A$6:$L$15,9,FALSE))</f>
        <v/>
      </c>
      <c r="E36" s="4">
        <f>IF(A36="","",VLOOKUP(A36,'F01 - _Données Expatriés'!$A$6:$L$15,10,FALSE))</f>
        <v/>
      </c>
      <c r="F36" s="4">
        <f>IF(E36="","",IFERROR(E36-TODAY(),0))</f>
        <v/>
      </c>
      <c r="G36" s="4">
        <f>IF(D36="","",IFERROR(TODAY()-D36,0))</f>
        <v/>
      </c>
      <c r="H36" s="4">
        <f>IF(OR(D36="",E36=""),"",IFERROR(G36/(E36-D36)*100,0))</f>
        <v/>
      </c>
      <c r="I36" s="4">
        <f>IF(F36="","",IF(F36&lt;30,"URGENT",IF(F36&lt;90,"Attention","")))</f>
        <v/>
      </c>
    </row>
    <row r="37">
      <c r="A37" s="6" t="n"/>
      <c r="B37" s="6">
        <f>IF(A37="","",VLOOKUP(A37,'F01 - _Données Expatriés'!$A$6:$L$15,2,FALSE))</f>
        <v/>
      </c>
      <c r="C37" s="6">
        <f>IF(A37="","",VLOOKUP(A37,'F01 - _Données Expatriés'!$A$6:$L$15,6,FALSE))</f>
        <v/>
      </c>
      <c r="D37" s="6">
        <f>IF(A37="","",VLOOKUP(A37,'F01 - _Données Expatriés'!$A$6:$L$15,9,FALSE))</f>
        <v/>
      </c>
      <c r="E37" s="6">
        <f>IF(A37="","",VLOOKUP(A37,'F01 - _Données Expatriés'!$A$6:$L$15,10,FALSE))</f>
        <v/>
      </c>
      <c r="F37" s="6">
        <f>IF(E37="","",IFERROR(E37-TODAY(),0))</f>
        <v/>
      </c>
      <c r="G37" s="6">
        <f>IF(D37="","",IFERROR(TODAY()-D37,0))</f>
        <v/>
      </c>
      <c r="H37" s="6">
        <f>IF(OR(D37="",E37=""),"",IFERROR(G37/(E37-D37)*100,0))</f>
        <v/>
      </c>
      <c r="I37" s="6">
        <f>IF(F37="","",IF(F37&lt;30,"URGENT",IF(F37&lt;90,"Attention","")))</f>
        <v/>
      </c>
    </row>
    <row r="38">
      <c r="A38" s="4" t="n"/>
      <c r="B38" s="4">
        <f>IF(A38="","",VLOOKUP(A38,'F01 - _Données Expatriés'!$A$6:$L$15,2,FALSE))</f>
        <v/>
      </c>
      <c r="C38" s="4">
        <f>IF(A38="","",VLOOKUP(A38,'F01 - _Données Expatriés'!$A$6:$L$15,6,FALSE))</f>
        <v/>
      </c>
      <c r="D38" s="4">
        <f>IF(A38="","",VLOOKUP(A38,'F01 - _Données Expatriés'!$A$6:$L$15,9,FALSE))</f>
        <v/>
      </c>
      <c r="E38" s="4">
        <f>IF(A38="","",VLOOKUP(A38,'F01 - _Données Expatriés'!$A$6:$L$15,10,FALSE))</f>
        <v/>
      </c>
      <c r="F38" s="4">
        <f>IF(E38="","",IFERROR(E38-TODAY(),0))</f>
        <v/>
      </c>
      <c r="G38" s="4">
        <f>IF(D38="","",IFERROR(TODAY()-D38,0))</f>
        <v/>
      </c>
      <c r="H38" s="4">
        <f>IF(OR(D38="",E38=""),"",IFERROR(G38/(E38-D38)*100,0))</f>
        <v/>
      </c>
      <c r="I38" s="4">
        <f>IF(F38="","",IF(F38&lt;30,"URGENT",IF(F38&lt;90,"Attention","")))</f>
        <v/>
      </c>
    </row>
    <row r="39">
      <c r="A39" s="6" t="n"/>
      <c r="B39" s="6">
        <f>IF(A39="","",VLOOKUP(A39,'F01 - _Données Expatriés'!$A$6:$L$15,2,FALSE))</f>
        <v/>
      </c>
      <c r="C39" s="6">
        <f>IF(A39="","",VLOOKUP(A39,'F01 - _Données Expatriés'!$A$6:$L$15,6,FALSE))</f>
        <v/>
      </c>
      <c r="D39" s="6">
        <f>IF(A39="","",VLOOKUP(A39,'F01 - _Données Expatriés'!$A$6:$L$15,9,FALSE))</f>
        <v/>
      </c>
      <c r="E39" s="6">
        <f>IF(A39="","",VLOOKUP(A39,'F01 - _Données Expatriés'!$A$6:$L$15,10,FALSE))</f>
        <v/>
      </c>
      <c r="F39" s="6">
        <f>IF(E39="","",IFERROR(E39-TODAY(),0))</f>
        <v/>
      </c>
      <c r="G39" s="6">
        <f>IF(D39="","",IFERROR(TODAY()-D39,0))</f>
        <v/>
      </c>
      <c r="H39" s="6">
        <f>IF(OR(D39="",E39=""),"",IFERROR(G39/(E39-D39)*100,0))</f>
        <v/>
      </c>
      <c r="I39" s="6">
        <f>IF(F39="","",IF(F39&lt;30,"URGENT",IF(F39&lt;90,"Attention","")))</f>
        <v/>
      </c>
    </row>
    <row r="40">
      <c r="A40" s="4" t="n"/>
      <c r="B40" s="4">
        <f>IF(A40="","",VLOOKUP(A40,'F01 - _Données Expatriés'!$A$6:$L$15,2,FALSE))</f>
        <v/>
      </c>
      <c r="C40" s="4">
        <f>IF(A40="","",VLOOKUP(A40,'F01 - _Données Expatriés'!$A$6:$L$15,6,FALSE))</f>
        <v/>
      </c>
      <c r="D40" s="4">
        <f>IF(A40="","",VLOOKUP(A40,'F01 - _Données Expatriés'!$A$6:$L$15,9,FALSE))</f>
        <v/>
      </c>
      <c r="E40" s="4">
        <f>IF(A40="","",VLOOKUP(A40,'F01 - _Données Expatriés'!$A$6:$L$15,10,FALSE))</f>
        <v/>
      </c>
      <c r="F40" s="4">
        <f>IF(E40="","",IFERROR(E40-TODAY(),0))</f>
        <v/>
      </c>
      <c r="G40" s="4">
        <f>IF(D40="","",IFERROR(TODAY()-D40,0))</f>
        <v/>
      </c>
      <c r="H40" s="4">
        <f>IF(OR(D40="",E40=""),"",IFERROR(G40/(E40-D40)*100,0))</f>
        <v/>
      </c>
      <c r="I40" s="4">
        <f>IF(F40="","",IF(F40&lt;30,"URGENT",IF(F40&lt;90,"Attention","")))</f>
        <v/>
      </c>
    </row>
    <row r="41">
      <c r="A41" s="6" t="n"/>
      <c r="B41" s="6">
        <f>IF(A41="","",VLOOKUP(A41,'F01 - _Données Expatriés'!$A$6:$L$15,2,FALSE))</f>
        <v/>
      </c>
      <c r="C41" s="6">
        <f>IF(A41="","",VLOOKUP(A41,'F01 - _Données Expatriés'!$A$6:$L$15,6,FALSE))</f>
        <v/>
      </c>
      <c r="D41" s="6">
        <f>IF(A41="","",VLOOKUP(A41,'F01 - _Données Expatriés'!$A$6:$L$15,9,FALSE))</f>
        <v/>
      </c>
      <c r="E41" s="6">
        <f>IF(A41="","",VLOOKUP(A41,'F01 - _Données Expatriés'!$A$6:$L$15,10,FALSE))</f>
        <v/>
      </c>
      <c r="F41" s="6">
        <f>IF(E41="","",IFERROR(E41-TODAY(),0))</f>
        <v/>
      </c>
      <c r="G41" s="6">
        <f>IF(D41="","",IFERROR(TODAY()-D41,0))</f>
        <v/>
      </c>
      <c r="H41" s="6">
        <f>IF(OR(D41="",E41=""),"",IFERROR(G41/(E41-D41)*100,0))</f>
        <v/>
      </c>
      <c r="I41" s="6">
        <f>IF(F41="","",IF(F41&lt;30,"URGENT",IF(F41&lt;90,"Attention","")))</f>
        <v/>
      </c>
    </row>
    <row r="42">
      <c r="A42" s="4" t="n"/>
      <c r="B42" s="4">
        <f>IF(A42="","",VLOOKUP(A42,'F01 - _Données Expatriés'!$A$6:$L$15,2,FALSE))</f>
        <v/>
      </c>
      <c r="C42" s="4">
        <f>IF(A42="","",VLOOKUP(A42,'F01 - _Données Expatriés'!$A$6:$L$15,6,FALSE))</f>
        <v/>
      </c>
      <c r="D42" s="4">
        <f>IF(A42="","",VLOOKUP(A42,'F01 - _Données Expatriés'!$A$6:$L$15,9,FALSE))</f>
        <v/>
      </c>
      <c r="E42" s="4">
        <f>IF(A42="","",VLOOKUP(A42,'F01 - _Données Expatriés'!$A$6:$L$15,10,FALSE))</f>
        <v/>
      </c>
      <c r="F42" s="4">
        <f>IF(E42="","",IFERROR(E42-TODAY(),0))</f>
        <v/>
      </c>
      <c r="G42" s="4">
        <f>IF(D42="","",IFERROR(TODAY()-D42,0))</f>
        <v/>
      </c>
      <c r="H42" s="4">
        <f>IF(OR(D42="",E42=""),"",IFERROR(G42/(E42-D42)*100,0))</f>
        <v/>
      </c>
      <c r="I42" s="4">
        <f>IF(F42="","",IF(F42&lt;30,"URGENT",IF(F42&lt;90,"Attention","")))</f>
        <v/>
      </c>
    </row>
    <row r="43">
      <c r="A43" s="6" t="n"/>
      <c r="B43" s="6">
        <f>IF(A43="","",VLOOKUP(A43,'F01 - _Données Expatriés'!$A$6:$L$15,2,FALSE))</f>
        <v/>
      </c>
      <c r="C43" s="6">
        <f>IF(A43="","",VLOOKUP(A43,'F01 - _Données Expatriés'!$A$6:$L$15,6,FALSE))</f>
        <v/>
      </c>
      <c r="D43" s="6">
        <f>IF(A43="","",VLOOKUP(A43,'F01 - _Données Expatriés'!$A$6:$L$15,9,FALSE))</f>
        <v/>
      </c>
      <c r="E43" s="6">
        <f>IF(A43="","",VLOOKUP(A43,'F01 - _Données Expatriés'!$A$6:$L$15,10,FALSE))</f>
        <v/>
      </c>
      <c r="F43" s="6">
        <f>IF(E43="","",IFERROR(E43-TODAY(),0))</f>
        <v/>
      </c>
      <c r="G43" s="6">
        <f>IF(D43="","",IFERROR(TODAY()-D43,0))</f>
        <v/>
      </c>
      <c r="H43" s="6">
        <f>IF(OR(D43="",E43=""),"",IFERROR(G43/(E43-D43)*100,0))</f>
        <v/>
      </c>
      <c r="I43" s="6">
        <f>IF(F43="","",IF(F43&lt;30,"URGENT",IF(F43&lt;90,"Attention","")))</f>
        <v/>
      </c>
    </row>
    <row r="44">
      <c r="A44" s="4" t="n"/>
      <c r="B44" s="4">
        <f>IF(A44="","",VLOOKUP(A44,'F01 - _Données Expatriés'!$A$6:$L$15,2,FALSE))</f>
        <v/>
      </c>
      <c r="C44" s="4">
        <f>IF(A44="","",VLOOKUP(A44,'F01 - _Données Expatriés'!$A$6:$L$15,6,FALSE))</f>
        <v/>
      </c>
      <c r="D44" s="4">
        <f>IF(A44="","",VLOOKUP(A44,'F01 - _Données Expatriés'!$A$6:$L$15,9,FALSE))</f>
        <v/>
      </c>
      <c r="E44" s="4">
        <f>IF(A44="","",VLOOKUP(A44,'F01 - _Données Expatriés'!$A$6:$L$15,10,FALSE))</f>
        <v/>
      </c>
      <c r="F44" s="4">
        <f>IF(E44="","",IFERROR(E44-TODAY(),0))</f>
        <v/>
      </c>
      <c r="G44" s="4">
        <f>IF(D44="","",IFERROR(TODAY()-D44,0))</f>
        <v/>
      </c>
      <c r="H44" s="4">
        <f>IF(OR(D44="",E44=""),"",IFERROR(G44/(E44-D44)*100,0))</f>
        <v/>
      </c>
      <c r="I44" s="4">
        <f>IF(F44="","",IF(F44&lt;30,"URGENT",IF(F44&lt;90,"Attention","")))</f>
        <v/>
      </c>
    </row>
    <row r="45">
      <c r="A45" s="6" t="n"/>
      <c r="B45" s="6">
        <f>IF(A45="","",VLOOKUP(A45,'F01 - _Données Expatriés'!$A$6:$L$15,2,FALSE))</f>
        <v/>
      </c>
      <c r="C45" s="6">
        <f>IF(A45="","",VLOOKUP(A45,'F01 - _Données Expatriés'!$A$6:$L$15,6,FALSE))</f>
        <v/>
      </c>
      <c r="D45" s="6">
        <f>IF(A45="","",VLOOKUP(A45,'F01 - _Données Expatriés'!$A$6:$L$15,9,FALSE))</f>
        <v/>
      </c>
      <c r="E45" s="6">
        <f>IF(A45="","",VLOOKUP(A45,'F01 - _Données Expatriés'!$A$6:$L$15,10,FALSE))</f>
        <v/>
      </c>
      <c r="F45" s="6">
        <f>IF(E45="","",IFERROR(E45-TODAY(),0))</f>
        <v/>
      </c>
      <c r="G45" s="6">
        <f>IF(D45="","",IFERROR(TODAY()-D45,0))</f>
        <v/>
      </c>
      <c r="H45" s="6">
        <f>IF(OR(D45="",E45=""),"",IFERROR(G45/(E45-D45)*100,0))</f>
        <v/>
      </c>
      <c r="I45" s="6">
        <f>IF(F45="","",IF(F45&lt;30,"URGENT",IF(F45&lt;90,"Attention","")))</f>
        <v/>
      </c>
    </row>
    <row r="46">
      <c r="A46" s="4" t="n"/>
      <c r="B46" s="4">
        <f>IF(A46="","",VLOOKUP(A46,'F01 - _Données Expatriés'!$A$6:$L$15,2,FALSE))</f>
        <v/>
      </c>
      <c r="C46" s="4">
        <f>IF(A46="","",VLOOKUP(A46,'F01 - _Données Expatriés'!$A$6:$L$15,6,FALSE))</f>
        <v/>
      </c>
      <c r="D46" s="4">
        <f>IF(A46="","",VLOOKUP(A46,'F01 - _Données Expatriés'!$A$6:$L$15,9,FALSE))</f>
        <v/>
      </c>
      <c r="E46" s="4">
        <f>IF(A46="","",VLOOKUP(A46,'F01 - _Données Expatriés'!$A$6:$L$15,10,FALSE))</f>
        <v/>
      </c>
      <c r="F46" s="4">
        <f>IF(E46="","",IFERROR(E46-TODAY(),0))</f>
        <v/>
      </c>
      <c r="G46" s="4">
        <f>IF(D46="","",IFERROR(TODAY()-D46,0))</f>
        <v/>
      </c>
      <c r="H46" s="4">
        <f>IF(OR(D46="",E46=""),"",IFERROR(G46/(E46-D46)*100,0))</f>
        <v/>
      </c>
      <c r="I46" s="4">
        <f>IF(F46="","",IF(F46&lt;30,"URGENT",IF(F46&lt;90,"Attention","")))</f>
        <v/>
      </c>
    </row>
    <row r="47">
      <c r="A47" s="6" t="n"/>
      <c r="B47" s="6">
        <f>IF(A47="","",VLOOKUP(A47,'F01 - _Données Expatriés'!$A$6:$L$15,2,FALSE))</f>
        <v/>
      </c>
      <c r="C47" s="6">
        <f>IF(A47="","",VLOOKUP(A47,'F01 - _Données Expatriés'!$A$6:$L$15,6,FALSE))</f>
        <v/>
      </c>
      <c r="D47" s="6">
        <f>IF(A47="","",VLOOKUP(A47,'F01 - _Données Expatriés'!$A$6:$L$15,9,FALSE))</f>
        <v/>
      </c>
      <c r="E47" s="6">
        <f>IF(A47="","",VLOOKUP(A47,'F01 - _Données Expatriés'!$A$6:$L$15,10,FALSE))</f>
        <v/>
      </c>
      <c r="F47" s="6">
        <f>IF(E47="","",IFERROR(E47-TODAY(),0))</f>
        <v/>
      </c>
      <c r="G47" s="6">
        <f>IF(D47="","",IFERROR(TODAY()-D47,0))</f>
        <v/>
      </c>
      <c r="H47" s="6">
        <f>IF(OR(D47="",E47=""),"",IFERROR(G47/(E47-D47)*100,0))</f>
        <v/>
      </c>
      <c r="I47" s="6">
        <f>IF(F47="","",IF(F47&lt;30,"URGENT",IF(F47&lt;90,"Attention","")))</f>
        <v/>
      </c>
    </row>
    <row r="48">
      <c r="A48" s="4" t="n"/>
      <c r="B48" s="4">
        <f>IF(A48="","",VLOOKUP(A48,'F01 - _Données Expatriés'!$A$6:$L$15,2,FALSE))</f>
        <v/>
      </c>
      <c r="C48" s="4">
        <f>IF(A48="","",VLOOKUP(A48,'F01 - _Données Expatriés'!$A$6:$L$15,6,FALSE))</f>
        <v/>
      </c>
      <c r="D48" s="4">
        <f>IF(A48="","",VLOOKUP(A48,'F01 - _Données Expatriés'!$A$6:$L$15,9,FALSE))</f>
        <v/>
      </c>
      <c r="E48" s="4">
        <f>IF(A48="","",VLOOKUP(A48,'F01 - _Données Expatriés'!$A$6:$L$15,10,FALSE))</f>
        <v/>
      </c>
      <c r="F48" s="4">
        <f>IF(E48="","",IFERROR(E48-TODAY(),0))</f>
        <v/>
      </c>
      <c r="G48" s="4">
        <f>IF(D48="","",IFERROR(TODAY()-D48,0))</f>
        <v/>
      </c>
      <c r="H48" s="4">
        <f>IF(OR(D48="",E48=""),"",IFERROR(G48/(E48-D48)*100,0))</f>
        <v/>
      </c>
      <c r="I48" s="4">
        <f>IF(F48="","",IF(F48&lt;30,"URGENT",IF(F48&lt;90,"Attention","")))</f>
        <v/>
      </c>
    </row>
    <row r="49">
      <c r="A49" s="6" t="n"/>
      <c r="B49" s="6">
        <f>IF(A49="","",VLOOKUP(A49,'F01 - _Données Expatriés'!$A$6:$L$15,2,FALSE))</f>
        <v/>
      </c>
      <c r="C49" s="6">
        <f>IF(A49="","",VLOOKUP(A49,'F01 - _Données Expatriés'!$A$6:$L$15,6,FALSE))</f>
        <v/>
      </c>
      <c r="D49" s="6">
        <f>IF(A49="","",VLOOKUP(A49,'F01 - _Données Expatriés'!$A$6:$L$15,9,FALSE))</f>
        <v/>
      </c>
      <c r="E49" s="6">
        <f>IF(A49="","",VLOOKUP(A49,'F01 - _Données Expatriés'!$A$6:$L$15,10,FALSE))</f>
        <v/>
      </c>
      <c r="F49" s="6">
        <f>IF(E49="","",IFERROR(E49-TODAY(),0))</f>
        <v/>
      </c>
      <c r="G49" s="6">
        <f>IF(D49="","",IFERROR(TODAY()-D49,0))</f>
        <v/>
      </c>
      <c r="H49" s="6">
        <f>IF(OR(D49="",E49=""),"",IFERROR(G49/(E49-D49)*100,0))</f>
        <v/>
      </c>
      <c r="I49" s="6">
        <f>IF(F49="","",IF(F49&lt;30,"URGENT",IF(F49&lt;90,"Attention","")))</f>
        <v/>
      </c>
    </row>
    <row r="50">
      <c r="A50" s="4" t="n"/>
      <c r="B50" s="4">
        <f>IF(A50="","",VLOOKUP(A50,'F01 - _Données Expatriés'!$A$6:$L$15,2,FALSE))</f>
        <v/>
      </c>
      <c r="C50" s="4">
        <f>IF(A50="","",VLOOKUP(A50,'F01 - _Données Expatriés'!$A$6:$L$15,6,FALSE))</f>
        <v/>
      </c>
      <c r="D50" s="4">
        <f>IF(A50="","",VLOOKUP(A50,'F01 - _Données Expatriés'!$A$6:$L$15,9,FALSE))</f>
        <v/>
      </c>
      <c r="E50" s="4">
        <f>IF(A50="","",VLOOKUP(A50,'F01 - _Données Expatriés'!$A$6:$L$15,10,FALSE))</f>
        <v/>
      </c>
      <c r="F50" s="4">
        <f>IF(E50="","",IFERROR(E50-TODAY(),0))</f>
        <v/>
      </c>
      <c r="G50" s="4">
        <f>IF(D50="","",IFERROR(TODAY()-D50,0))</f>
        <v/>
      </c>
      <c r="H50" s="4">
        <f>IF(OR(D50="",E50=""),"",IFERROR(G50/(E50-D50)*100,0))</f>
        <v/>
      </c>
      <c r="I50" s="4">
        <f>IF(F50="","",IF(F50&lt;30,"URGENT",IF(F50&lt;90,"Attention","")))</f>
        <v/>
      </c>
    </row>
    <row r="51">
      <c r="A51" s="6" t="n"/>
      <c r="B51" s="6">
        <f>IF(A51="","",VLOOKUP(A51,'F01 - _Données Expatriés'!$A$6:$L$15,2,FALSE))</f>
        <v/>
      </c>
      <c r="C51" s="6">
        <f>IF(A51="","",VLOOKUP(A51,'F01 - _Données Expatriés'!$A$6:$L$15,6,FALSE))</f>
        <v/>
      </c>
      <c r="D51" s="6">
        <f>IF(A51="","",VLOOKUP(A51,'F01 - _Données Expatriés'!$A$6:$L$15,9,FALSE))</f>
        <v/>
      </c>
      <c r="E51" s="6">
        <f>IF(A51="","",VLOOKUP(A51,'F01 - _Données Expatriés'!$A$6:$L$15,10,FALSE))</f>
        <v/>
      </c>
      <c r="F51" s="6">
        <f>IF(E51="","",IFERROR(E51-TODAY(),0))</f>
        <v/>
      </c>
      <c r="G51" s="6">
        <f>IF(D51="","",IFERROR(TODAY()-D51,0))</f>
        <v/>
      </c>
      <c r="H51" s="6">
        <f>IF(OR(D51="",E51=""),"",IFERROR(G51/(E51-D51)*100,0))</f>
        <v/>
      </c>
      <c r="I51" s="6">
        <f>IF(F51="","",IF(F51&lt;30,"URGENT",IF(F51&lt;90,"Attention","")))</f>
        <v/>
      </c>
    </row>
    <row r="52">
      <c r="A52" s="4" t="n"/>
      <c r="B52" s="4">
        <f>IF(A52="","",VLOOKUP(A52,'F01 - _Données Expatriés'!$A$6:$L$15,2,FALSE))</f>
        <v/>
      </c>
      <c r="C52" s="4">
        <f>IF(A52="","",VLOOKUP(A52,'F01 - _Données Expatriés'!$A$6:$L$15,6,FALSE))</f>
        <v/>
      </c>
      <c r="D52" s="4">
        <f>IF(A52="","",VLOOKUP(A52,'F01 - _Données Expatriés'!$A$6:$L$15,9,FALSE))</f>
        <v/>
      </c>
      <c r="E52" s="4">
        <f>IF(A52="","",VLOOKUP(A52,'F01 - _Données Expatriés'!$A$6:$L$15,10,FALSE))</f>
        <v/>
      </c>
      <c r="F52" s="4">
        <f>IF(E52="","",IFERROR(E52-TODAY(),0))</f>
        <v/>
      </c>
      <c r="G52" s="4">
        <f>IF(D52="","",IFERROR(TODAY()-D52,0))</f>
        <v/>
      </c>
      <c r="H52" s="4">
        <f>IF(OR(D52="",E52=""),"",IFERROR(G52/(E52-D52)*100,0))</f>
        <v/>
      </c>
      <c r="I52" s="4">
        <f>IF(F52="","",IF(F52&lt;30,"URGENT",IF(F52&lt;90,"Attention","")))</f>
        <v/>
      </c>
    </row>
    <row r="53">
      <c r="A53" s="6" t="n"/>
      <c r="B53" s="6">
        <f>IF(A53="","",VLOOKUP(A53,'F01 - _Données Expatriés'!$A$6:$L$15,2,FALSE))</f>
        <v/>
      </c>
      <c r="C53" s="6">
        <f>IF(A53="","",VLOOKUP(A53,'F01 - _Données Expatriés'!$A$6:$L$15,6,FALSE))</f>
        <v/>
      </c>
      <c r="D53" s="6">
        <f>IF(A53="","",VLOOKUP(A53,'F01 - _Données Expatriés'!$A$6:$L$15,9,FALSE))</f>
        <v/>
      </c>
      <c r="E53" s="6">
        <f>IF(A53="","",VLOOKUP(A53,'F01 - _Données Expatriés'!$A$6:$L$15,10,FALSE))</f>
        <v/>
      </c>
      <c r="F53" s="6">
        <f>IF(E53="","",IFERROR(E53-TODAY(),0))</f>
        <v/>
      </c>
      <c r="G53" s="6">
        <f>IF(D53="","",IFERROR(TODAY()-D53,0))</f>
        <v/>
      </c>
      <c r="H53" s="6">
        <f>IF(OR(D53="",E53=""),"",IFERROR(G53/(E53-D53)*100,0))</f>
        <v/>
      </c>
      <c r="I53" s="6">
        <f>IF(F53="","",IF(F53&lt;30,"URGENT",IF(F53&lt;90,"Attention","")))</f>
        <v/>
      </c>
    </row>
    <row r="54">
      <c r="A54" s="4" t="n"/>
      <c r="B54" s="4">
        <f>IF(A54="","",VLOOKUP(A54,'F01 - _Données Expatriés'!$A$6:$L$15,2,FALSE))</f>
        <v/>
      </c>
      <c r="C54" s="4">
        <f>IF(A54="","",VLOOKUP(A54,'F01 - _Données Expatriés'!$A$6:$L$15,6,FALSE))</f>
        <v/>
      </c>
      <c r="D54" s="4">
        <f>IF(A54="","",VLOOKUP(A54,'F01 - _Données Expatriés'!$A$6:$L$15,9,FALSE))</f>
        <v/>
      </c>
      <c r="E54" s="4">
        <f>IF(A54="","",VLOOKUP(A54,'F01 - _Données Expatriés'!$A$6:$L$15,10,FALSE))</f>
        <v/>
      </c>
      <c r="F54" s="4">
        <f>IF(E54="","",IFERROR(E54-TODAY(),0))</f>
        <v/>
      </c>
      <c r="G54" s="4">
        <f>IF(D54="","",IFERROR(TODAY()-D54,0))</f>
        <v/>
      </c>
      <c r="H54" s="4">
        <f>IF(OR(D54="",E54=""),"",IFERROR(G54/(E54-D54)*100,0))</f>
        <v/>
      </c>
      <c r="I54" s="4">
        <f>IF(F54="","",IF(F54&lt;30,"URGENT",IF(F54&lt;90,"Attention","")))</f>
        <v/>
      </c>
    </row>
    <row r="55">
      <c r="A55" s="6" t="n"/>
      <c r="B55" s="6">
        <f>IF(A55="","",VLOOKUP(A55,'F01 - _Données Expatriés'!$A$6:$L$15,2,FALSE))</f>
        <v/>
      </c>
      <c r="C55" s="6">
        <f>IF(A55="","",VLOOKUP(A55,'F01 - _Données Expatriés'!$A$6:$L$15,6,FALSE))</f>
        <v/>
      </c>
      <c r="D55" s="6">
        <f>IF(A55="","",VLOOKUP(A55,'F01 - _Données Expatriés'!$A$6:$L$15,9,FALSE))</f>
        <v/>
      </c>
      <c r="E55" s="6">
        <f>IF(A55="","",VLOOKUP(A55,'F01 - _Données Expatriés'!$A$6:$L$15,10,FALSE))</f>
        <v/>
      </c>
      <c r="F55" s="6">
        <f>IF(E55="","",IFERROR(E55-TODAY(),0))</f>
        <v/>
      </c>
      <c r="G55" s="6">
        <f>IF(D55="","",IFERROR(TODAY()-D55,0))</f>
        <v/>
      </c>
      <c r="H55" s="6">
        <f>IF(OR(D55="",E55=""),"",IFERROR(G55/(E55-D55)*100,0))</f>
        <v/>
      </c>
      <c r="I55" s="6">
        <f>IF(F55="","",IF(F55&lt;30,"URGENT",IF(F55&lt;90,"Attention","")))</f>
        <v/>
      </c>
    </row>
    <row r="56">
      <c r="A56" s="4" t="n"/>
      <c r="B56" s="4">
        <f>IF(A56="","",VLOOKUP(A56,'F01 - _Données Expatriés'!$A$6:$L$15,2,FALSE))</f>
        <v/>
      </c>
      <c r="C56" s="4">
        <f>IF(A56="","",VLOOKUP(A56,'F01 - _Données Expatriés'!$A$6:$L$15,6,FALSE))</f>
        <v/>
      </c>
      <c r="D56" s="4">
        <f>IF(A56="","",VLOOKUP(A56,'F01 - _Données Expatriés'!$A$6:$L$15,9,FALSE))</f>
        <v/>
      </c>
      <c r="E56" s="4">
        <f>IF(A56="","",VLOOKUP(A56,'F01 - _Données Expatriés'!$A$6:$L$15,10,FALSE))</f>
        <v/>
      </c>
      <c r="F56" s="4">
        <f>IF(E56="","",IFERROR(E56-TODAY(),0))</f>
        <v/>
      </c>
      <c r="G56" s="4">
        <f>IF(D56="","",IFERROR(TODAY()-D56,0))</f>
        <v/>
      </c>
      <c r="H56" s="4">
        <f>IF(OR(D56="",E56=""),"",IFERROR(G56/(E56-D56)*100,0))</f>
        <v/>
      </c>
      <c r="I56" s="4">
        <f>IF(F56="","",IF(F56&lt;30,"URGENT",IF(F56&lt;90,"Attention","")))</f>
        <v/>
      </c>
    </row>
    <row r="57">
      <c r="A57" s="6" t="n"/>
      <c r="B57" s="6">
        <f>IF(A57="","",VLOOKUP(A57,'F01 - _Données Expatriés'!$A$6:$L$15,2,FALSE))</f>
        <v/>
      </c>
      <c r="C57" s="6">
        <f>IF(A57="","",VLOOKUP(A57,'F01 - _Données Expatriés'!$A$6:$L$15,6,FALSE))</f>
        <v/>
      </c>
      <c r="D57" s="6">
        <f>IF(A57="","",VLOOKUP(A57,'F01 - _Données Expatriés'!$A$6:$L$15,9,FALSE))</f>
        <v/>
      </c>
      <c r="E57" s="6">
        <f>IF(A57="","",VLOOKUP(A57,'F01 - _Données Expatriés'!$A$6:$L$15,10,FALSE))</f>
        <v/>
      </c>
      <c r="F57" s="6">
        <f>IF(E57="","",IFERROR(E57-TODAY(),0))</f>
        <v/>
      </c>
      <c r="G57" s="6">
        <f>IF(D57="","",IFERROR(TODAY()-D57,0))</f>
        <v/>
      </c>
      <c r="H57" s="6">
        <f>IF(OR(D57="",E57=""),"",IFERROR(G57/(E57-D57)*100,0))</f>
        <v/>
      </c>
      <c r="I57" s="6">
        <f>IF(F57="","",IF(F57&lt;30,"URGENT",IF(F57&lt;90,"Attention","")))</f>
        <v/>
      </c>
    </row>
    <row r="58">
      <c r="A58" s="4" t="n"/>
      <c r="B58" s="4">
        <f>IF(A58="","",VLOOKUP(A58,'F01 - _Données Expatriés'!$A$6:$L$15,2,FALSE))</f>
        <v/>
      </c>
      <c r="C58" s="4">
        <f>IF(A58="","",VLOOKUP(A58,'F01 - _Données Expatriés'!$A$6:$L$15,6,FALSE))</f>
        <v/>
      </c>
      <c r="D58" s="4">
        <f>IF(A58="","",VLOOKUP(A58,'F01 - _Données Expatriés'!$A$6:$L$15,9,FALSE))</f>
        <v/>
      </c>
      <c r="E58" s="4">
        <f>IF(A58="","",VLOOKUP(A58,'F01 - _Données Expatriés'!$A$6:$L$15,10,FALSE))</f>
        <v/>
      </c>
      <c r="F58" s="4">
        <f>IF(E58="","",IFERROR(E58-TODAY(),0))</f>
        <v/>
      </c>
      <c r="G58" s="4">
        <f>IF(D58="","",IFERROR(TODAY()-D58,0))</f>
        <v/>
      </c>
      <c r="H58" s="4">
        <f>IF(OR(D58="",E58=""),"",IFERROR(G58/(E58-D58)*100,0))</f>
        <v/>
      </c>
      <c r="I58" s="4">
        <f>IF(F58="","",IF(F58&lt;30,"URGENT",IF(F58&lt;90,"Attention","")))</f>
        <v/>
      </c>
    </row>
    <row r="59">
      <c r="A59" s="6" t="n"/>
      <c r="B59" s="6">
        <f>IF(A59="","",VLOOKUP(A59,'F01 - _Données Expatriés'!$A$6:$L$15,2,FALSE))</f>
        <v/>
      </c>
      <c r="C59" s="6">
        <f>IF(A59="","",VLOOKUP(A59,'F01 - _Données Expatriés'!$A$6:$L$15,6,FALSE))</f>
        <v/>
      </c>
      <c r="D59" s="6">
        <f>IF(A59="","",VLOOKUP(A59,'F01 - _Données Expatriés'!$A$6:$L$15,9,FALSE))</f>
        <v/>
      </c>
      <c r="E59" s="6">
        <f>IF(A59="","",VLOOKUP(A59,'F01 - _Données Expatriés'!$A$6:$L$15,10,FALSE))</f>
        <v/>
      </c>
      <c r="F59" s="6">
        <f>IF(E59="","",IFERROR(E59-TODAY(),0))</f>
        <v/>
      </c>
      <c r="G59" s="6">
        <f>IF(D59="","",IFERROR(TODAY()-D59,0))</f>
        <v/>
      </c>
      <c r="H59" s="6">
        <f>IF(OR(D59="",E59=""),"",IFERROR(G59/(E59-D59)*100,0))</f>
        <v/>
      </c>
      <c r="I59" s="6">
        <f>IF(F59="","",IF(F59&lt;30,"URGENT",IF(F59&lt;90,"Attention","")))</f>
        <v/>
      </c>
    </row>
    <row r="60">
      <c r="A60" s="4" t="n"/>
      <c r="B60" s="4">
        <f>IF(A60="","",VLOOKUP(A60,'F01 - _Données Expatriés'!$A$6:$L$15,2,FALSE))</f>
        <v/>
      </c>
      <c r="C60" s="4">
        <f>IF(A60="","",VLOOKUP(A60,'F01 - _Données Expatriés'!$A$6:$L$15,6,FALSE))</f>
        <v/>
      </c>
      <c r="D60" s="4">
        <f>IF(A60="","",VLOOKUP(A60,'F01 - _Données Expatriés'!$A$6:$L$15,9,FALSE))</f>
        <v/>
      </c>
      <c r="E60" s="4">
        <f>IF(A60="","",VLOOKUP(A60,'F01 - _Données Expatriés'!$A$6:$L$15,10,FALSE))</f>
        <v/>
      </c>
      <c r="F60" s="4">
        <f>IF(E60="","",IFERROR(E60-TODAY(),0))</f>
        <v/>
      </c>
      <c r="G60" s="4">
        <f>IF(D60="","",IFERROR(TODAY()-D60,0))</f>
        <v/>
      </c>
      <c r="H60" s="4">
        <f>IF(OR(D60="",E60=""),"",IFERROR(G60/(E60-D60)*100,0))</f>
        <v/>
      </c>
      <c r="I60" s="4">
        <f>IF(F60="","",IF(F60&lt;30,"URGENT",IF(F60&lt;90,"Attention","")))</f>
        <v/>
      </c>
    </row>
    <row r="61">
      <c r="A61" s="6" t="n"/>
      <c r="B61" s="6">
        <f>IF(A61="","",VLOOKUP(A61,'F01 - _Données Expatriés'!$A$6:$L$15,2,FALSE))</f>
        <v/>
      </c>
      <c r="C61" s="6">
        <f>IF(A61="","",VLOOKUP(A61,'F01 - _Données Expatriés'!$A$6:$L$15,6,FALSE))</f>
        <v/>
      </c>
      <c r="D61" s="6">
        <f>IF(A61="","",VLOOKUP(A61,'F01 - _Données Expatriés'!$A$6:$L$15,9,FALSE))</f>
        <v/>
      </c>
      <c r="E61" s="6">
        <f>IF(A61="","",VLOOKUP(A61,'F01 - _Données Expatriés'!$A$6:$L$15,10,FALSE))</f>
        <v/>
      </c>
      <c r="F61" s="6">
        <f>IF(E61="","",IFERROR(E61-TODAY(),0))</f>
        <v/>
      </c>
      <c r="G61" s="6">
        <f>IF(D61="","",IFERROR(TODAY()-D61,0))</f>
        <v/>
      </c>
      <c r="H61" s="6">
        <f>IF(OR(D61="",E61=""),"",IFERROR(G61/(E61-D61)*100,0))</f>
        <v/>
      </c>
      <c r="I61" s="6">
        <f>IF(F61="","",IF(F61&lt;30,"URGENT",IF(F61&lt;90,"Attention","")))</f>
        <v/>
      </c>
    </row>
    <row r="62">
      <c r="A62" s="4" t="n"/>
      <c r="B62" s="4">
        <f>IF(A62="","",VLOOKUP(A62,'F01 - _Données Expatriés'!$A$6:$L$15,2,FALSE))</f>
        <v/>
      </c>
      <c r="C62" s="4">
        <f>IF(A62="","",VLOOKUP(A62,'F01 - _Données Expatriés'!$A$6:$L$15,6,FALSE))</f>
        <v/>
      </c>
      <c r="D62" s="4">
        <f>IF(A62="","",VLOOKUP(A62,'F01 - _Données Expatriés'!$A$6:$L$15,9,FALSE))</f>
        <v/>
      </c>
      <c r="E62" s="4">
        <f>IF(A62="","",VLOOKUP(A62,'F01 - _Données Expatriés'!$A$6:$L$15,10,FALSE))</f>
        <v/>
      </c>
      <c r="F62" s="4">
        <f>IF(E62="","",IFERROR(E62-TODAY(),0))</f>
        <v/>
      </c>
      <c r="G62" s="4">
        <f>IF(D62="","",IFERROR(TODAY()-D62,0))</f>
        <v/>
      </c>
      <c r="H62" s="4">
        <f>IF(OR(D62="",E62=""),"",IFERROR(G62/(E62-D62)*100,0))</f>
        <v/>
      </c>
      <c r="I62" s="4">
        <f>IF(F62="","",IF(F62&lt;30,"URGENT",IF(F62&lt;90,"Attention","")))</f>
        <v/>
      </c>
    </row>
    <row r="63">
      <c r="A63" s="6" t="n"/>
      <c r="B63" s="6">
        <f>IF(A63="","",VLOOKUP(A63,'F01 - _Données Expatriés'!$A$6:$L$15,2,FALSE))</f>
        <v/>
      </c>
      <c r="C63" s="6">
        <f>IF(A63="","",VLOOKUP(A63,'F01 - _Données Expatriés'!$A$6:$L$15,6,FALSE))</f>
        <v/>
      </c>
      <c r="D63" s="6">
        <f>IF(A63="","",VLOOKUP(A63,'F01 - _Données Expatriés'!$A$6:$L$15,9,FALSE))</f>
        <v/>
      </c>
      <c r="E63" s="6">
        <f>IF(A63="","",VLOOKUP(A63,'F01 - _Données Expatriés'!$A$6:$L$15,10,FALSE))</f>
        <v/>
      </c>
      <c r="F63" s="6">
        <f>IF(E63="","",IFERROR(E63-TODAY(),0))</f>
        <v/>
      </c>
      <c r="G63" s="6">
        <f>IF(D63="","",IFERROR(TODAY()-D63,0))</f>
        <v/>
      </c>
      <c r="H63" s="6">
        <f>IF(OR(D63="",E63=""),"",IFERROR(G63/(E63-D63)*100,0))</f>
        <v/>
      </c>
      <c r="I63" s="6">
        <f>IF(F63="","",IF(F63&lt;30,"URGENT",IF(F63&lt;90,"Attention","")))</f>
        <v/>
      </c>
    </row>
    <row r="64">
      <c r="A64" s="4" t="n"/>
      <c r="B64" s="4">
        <f>IF(A64="","",VLOOKUP(A64,'F01 - _Données Expatriés'!$A$6:$L$15,2,FALSE))</f>
        <v/>
      </c>
      <c r="C64" s="4">
        <f>IF(A64="","",VLOOKUP(A64,'F01 - _Données Expatriés'!$A$6:$L$15,6,FALSE))</f>
        <v/>
      </c>
      <c r="D64" s="4">
        <f>IF(A64="","",VLOOKUP(A64,'F01 - _Données Expatriés'!$A$6:$L$15,9,FALSE))</f>
        <v/>
      </c>
      <c r="E64" s="4">
        <f>IF(A64="","",VLOOKUP(A64,'F01 - _Données Expatriés'!$A$6:$L$15,10,FALSE))</f>
        <v/>
      </c>
      <c r="F64" s="4">
        <f>IF(E64="","",IFERROR(E64-TODAY(),0))</f>
        <v/>
      </c>
      <c r="G64" s="4">
        <f>IF(D64="","",IFERROR(TODAY()-D64,0))</f>
        <v/>
      </c>
      <c r="H64" s="4">
        <f>IF(OR(D64="",E64=""),"",IFERROR(G64/(E64-D64)*100,0))</f>
        <v/>
      </c>
      <c r="I64" s="4">
        <f>IF(F64="","",IF(F64&lt;30,"URGENT",IF(F64&lt;90,"Attention","")))</f>
        <v/>
      </c>
    </row>
    <row r="65">
      <c r="A65" s="6" t="n"/>
      <c r="B65" s="6">
        <f>IF(A65="","",VLOOKUP(A65,'F01 - _Données Expatriés'!$A$6:$L$15,2,FALSE))</f>
        <v/>
      </c>
      <c r="C65" s="6">
        <f>IF(A65="","",VLOOKUP(A65,'F01 - _Données Expatriés'!$A$6:$L$15,6,FALSE))</f>
        <v/>
      </c>
      <c r="D65" s="6">
        <f>IF(A65="","",VLOOKUP(A65,'F01 - _Données Expatriés'!$A$6:$L$15,9,FALSE))</f>
        <v/>
      </c>
      <c r="E65" s="6">
        <f>IF(A65="","",VLOOKUP(A65,'F01 - _Données Expatriés'!$A$6:$L$15,10,FALSE))</f>
        <v/>
      </c>
      <c r="F65" s="6">
        <f>IF(E65="","",IFERROR(E65-TODAY(),0))</f>
        <v/>
      </c>
      <c r="G65" s="6">
        <f>IF(D65="","",IFERROR(TODAY()-D65,0))</f>
        <v/>
      </c>
      <c r="H65" s="6">
        <f>IF(OR(D65="",E65=""),"",IFERROR(G65/(E65-D65)*100,0))</f>
        <v/>
      </c>
      <c r="I65" s="6">
        <f>IF(F65="","",IF(F65&lt;30,"URGENT",IF(F65&lt;90,"Attention","")))</f>
        <v/>
      </c>
    </row>
    <row r="66">
      <c r="A66" s="4" t="n"/>
      <c r="B66" s="4">
        <f>IF(A66="","",VLOOKUP(A66,'F01 - _Données Expatriés'!$A$6:$L$15,2,FALSE))</f>
        <v/>
      </c>
      <c r="C66" s="4">
        <f>IF(A66="","",VLOOKUP(A66,'F01 - _Données Expatriés'!$A$6:$L$15,6,FALSE))</f>
        <v/>
      </c>
      <c r="D66" s="4">
        <f>IF(A66="","",VLOOKUP(A66,'F01 - _Données Expatriés'!$A$6:$L$15,9,FALSE))</f>
        <v/>
      </c>
      <c r="E66" s="4">
        <f>IF(A66="","",VLOOKUP(A66,'F01 - _Données Expatriés'!$A$6:$L$15,10,FALSE))</f>
        <v/>
      </c>
      <c r="F66" s="4">
        <f>IF(E66="","",IFERROR(E66-TODAY(),0))</f>
        <v/>
      </c>
      <c r="G66" s="4">
        <f>IF(D66="","",IFERROR(TODAY()-D66,0))</f>
        <v/>
      </c>
      <c r="H66" s="4">
        <f>IF(OR(D66="",E66=""),"",IFERROR(G66/(E66-D66)*100,0))</f>
        <v/>
      </c>
      <c r="I66" s="4">
        <f>IF(F66="","",IF(F66&lt;30,"URGENT",IF(F66&lt;90,"Attention","")))</f>
        <v/>
      </c>
    </row>
    <row r="67">
      <c r="A67" s="6" t="n"/>
      <c r="B67" s="6">
        <f>IF(A67="","",VLOOKUP(A67,'F01 - _Données Expatriés'!$A$6:$L$15,2,FALSE))</f>
        <v/>
      </c>
      <c r="C67" s="6">
        <f>IF(A67="","",VLOOKUP(A67,'F01 - _Données Expatriés'!$A$6:$L$15,6,FALSE))</f>
        <v/>
      </c>
      <c r="D67" s="6">
        <f>IF(A67="","",VLOOKUP(A67,'F01 - _Données Expatriés'!$A$6:$L$15,9,FALSE))</f>
        <v/>
      </c>
      <c r="E67" s="6">
        <f>IF(A67="","",VLOOKUP(A67,'F01 - _Données Expatriés'!$A$6:$L$15,10,FALSE))</f>
        <v/>
      </c>
      <c r="F67" s="6">
        <f>IF(E67="","",IFERROR(E67-TODAY(),0))</f>
        <v/>
      </c>
      <c r="G67" s="6">
        <f>IF(D67="","",IFERROR(TODAY()-D67,0))</f>
        <v/>
      </c>
      <c r="H67" s="6">
        <f>IF(OR(D67="",E67=""),"",IFERROR(G67/(E67-D67)*100,0))</f>
        <v/>
      </c>
      <c r="I67" s="6">
        <f>IF(F67="","",IF(F67&lt;30,"URGENT",IF(F67&lt;90,"Attention","")))</f>
        <v/>
      </c>
    </row>
    <row r="68">
      <c r="A68" s="4" t="n"/>
      <c r="B68" s="4">
        <f>IF(A68="","",VLOOKUP(A68,'F01 - _Données Expatriés'!$A$6:$L$15,2,FALSE))</f>
        <v/>
      </c>
      <c r="C68" s="4">
        <f>IF(A68="","",VLOOKUP(A68,'F01 - _Données Expatriés'!$A$6:$L$15,6,FALSE))</f>
        <v/>
      </c>
      <c r="D68" s="4">
        <f>IF(A68="","",VLOOKUP(A68,'F01 - _Données Expatriés'!$A$6:$L$15,9,FALSE))</f>
        <v/>
      </c>
      <c r="E68" s="4">
        <f>IF(A68="","",VLOOKUP(A68,'F01 - _Données Expatriés'!$A$6:$L$15,10,FALSE))</f>
        <v/>
      </c>
      <c r="F68" s="4">
        <f>IF(E68="","",IFERROR(E68-TODAY(),0))</f>
        <v/>
      </c>
      <c r="G68" s="4">
        <f>IF(D68="","",IFERROR(TODAY()-D68,0))</f>
        <v/>
      </c>
      <c r="H68" s="4">
        <f>IF(OR(D68="",E68=""),"",IFERROR(G68/(E68-D68)*100,0))</f>
        <v/>
      </c>
      <c r="I68" s="4">
        <f>IF(F68="","",IF(F68&lt;30,"URGENT",IF(F68&lt;90,"Attention","")))</f>
        <v/>
      </c>
    </row>
    <row r="69">
      <c r="A69" s="6" t="n"/>
      <c r="B69" s="6">
        <f>IF(A69="","",VLOOKUP(A69,'F01 - _Données Expatriés'!$A$6:$L$15,2,FALSE))</f>
        <v/>
      </c>
      <c r="C69" s="6">
        <f>IF(A69="","",VLOOKUP(A69,'F01 - _Données Expatriés'!$A$6:$L$15,6,FALSE))</f>
        <v/>
      </c>
      <c r="D69" s="6">
        <f>IF(A69="","",VLOOKUP(A69,'F01 - _Données Expatriés'!$A$6:$L$15,9,FALSE))</f>
        <v/>
      </c>
      <c r="E69" s="6">
        <f>IF(A69="","",VLOOKUP(A69,'F01 - _Données Expatriés'!$A$6:$L$15,10,FALSE))</f>
        <v/>
      </c>
      <c r="F69" s="6">
        <f>IF(E69="","",IFERROR(E69-TODAY(),0))</f>
        <v/>
      </c>
      <c r="G69" s="6">
        <f>IF(D69="","",IFERROR(TODAY()-D69,0))</f>
        <v/>
      </c>
      <c r="H69" s="6">
        <f>IF(OR(D69="",E69=""),"",IFERROR(G69/(E69-D69)*100,0))</f>
        <v/>
      </c>
      <c r="I69" s="6">
        <f>IF(F69="","",IF(F69&lt;30,"URGENT",IF(F69&lt;90,"Attention","")))</f>
        <v/>
      </c>
    </row>
    <row r="70">
      <c r="A70" s="4" t="n"/>
      <c r="B70" s="4">
        <f>IF(A70="","",VLOOKUP(A70,'F01 - _Données Expatriés'!$A$6:$L$15,2,FALSE))</f>
        <v/>
      </c>
      <c r="C70" s="4">
        <f>IF(A70="","",VLOOKUP(A70,'F01 - _Données Expatriés'!$A$6:$L$15,6,FALSE))</f>
        <v/>
      </c>
      <c r="D70" s="4">
        <f>IF(A70="","",VLOOKUP(A70,'F01 - _Données Expatriés'!$A$6:$L$15,9,FALSE))</f>
        <v/>
      </c>
      <c r="E70" s="4">
        <f>IF(A70="","",VLOOKUP(A70,'F01 - _Données Expatriés'!$A$6:$L$15,10,FALSE))</f>
        <v/>
      </c>
      <c r="F70" s="4">
        <f>IF(E70="","",IFERROR(E70-TODAY(),0))</f>
        <v/>
      </c>
      <c r="G70" s="4">
        <f>IF(D70="","",IFERROR(TODAY()-D70,0))</f>
        <v/>
      </c>
      <c r="H70" s="4">
        <f>IF(OR(D70="",E70=""),"",IFERROR(G70/(E70-D70)*100,0))</f>
        <v/>
      </c>
      <c r="I70" s="4">
        <f>IF(F70="","",IF(F70&lt;30,"URGENT",IF(F70&lt;90,"Attention","")))</f>
        <v/>
      </c>
    </row>
    <row r="71">
      <c r="A71" s="6" t="n"/>
      <c r="B71" s="6">
        <f>IF(A71="","",VLOOKUP(A71,'F01 - _Données Expatriés'!$A$6:$L$15,2,FALSE))</f>
        <v/>
      </c>
      <c r="C71" s="6">
        <f>IF(A71="","",VLOOKUP(A71,'F01 - _Données Expatriés'!$A$6:$L$15,6,FALSE))</f>
        <v/>
      </c>
      <c r="D71" s="6">
        <f>IF(A71="","",VLOOKUP(A71,'F01 - _Données Expatriés'!$A$6:$L$15,9,FALSE))</f>
        <v/>
      </c>
      <c r="E71" s="6">
        <f>IF(A71="","",VLOOKUP(A71,'F01 - _Données Expatriés'!$A$6:$L$15,10,FALSE))</f>
        <v/>
      </c>
      <c r="F71" s="6">
        <f>IF(E71="","",IFERROR(E71-TODAY(),0))</f>
        <v/>
      </c>
      <c r="G71" s="6">
        <f>IF(D71="","",IFERROR(TODAY()-D71,0))</f>
        <v/>
      </c>
      <c r="H71" s="6">
        <f>IF(OR(D71="",E71=""),"",IFERROR(G71/(E71-D71)*100,0))</f>
        <v/>
      </c>
      <c r="I71" s="6">
        <f>IF(F71="","",IF(F71&lt;30,"URGENT",IF(F71&lt;90,"Attention","")))</f>
        <v/>
      </c>
    </row>
    <row r="72">
      <c r="A72" s="4" t="n"/>
      <c r="B72" s="4">
        <f>IF(A72="","",VLOOKUP(A72,'F01 - _Données Expatriés'!$A$6:$L$15,2,FALSE))</f>
        <v/>
      </c>
      <c r="C72" s="4">
        <f>IF(A72="","",VLOOKUP(A72,'F01 - _Données Expatriés'!$A$6:$L$15,6,FALSE))</f>
        <v/>
      </c>
      <c r="D72" s="4">
        <f>IF(A72="","",VLOOKUP(A72,'F01 - _Données Expatriés'!$A$6:$L$15,9,FALSE))</f>
        <v/>
      </c>
      <c r="E72" s="4">
        <f>IF(A72="","",VLOOKUP(A72,'F01 - _Données Expatriés'!$A$6:$L$15,10,FALSE))</f>
        <v/>
      </c>
      <c r="F72" s="4">
        <f>IF(E72="","",IFERROR(E72-TODAY(),0))</f>
        <v/>
      </c>
      <c r="G72" s="4">
        <f>IF(D72="","",IFERROR(TODAY()-D72,0))</f>
        <v/>
      </c>
      <c r="H72" s="4">
        <f>IF(OR(D72="",E72=""),"",IFERROR(G72/(E72-D72)*100,0))</f>
        <v/>
      </c>
      <c r="I72" s="4">
        <f>IF(F72="","",IF(F72&lt;30,"URGENT",IF(F72&lt;90,"Attention","")))</f>
        <v/>
      </c>
    </row>
    <row r="73">
      <c r="A73" s="6" t="n"/>
      <c r="B73" s="6">
        <f>IF(A73="","",VLOOKUP(A73,'F01 - _Données Expatriés'!$A$6:$L$15,2,FALSE))</f>
        <v/>
      </c>
      <c r="C73" s="6">
        <f>IF(A73="","",VLOOKUP(A73,'F01 - _Données Expatriés'!$A$6:$L$15,6,FALSE))</f>
        <v/>
      </c>
      <c r="D73" s="6">
        <f>IF(A73="","",VLOOKUP(A73,'F01 - _Données Expatriés'!$A$6:$L$15,9,FALSE))</f>
        <v/>
      </c>
      <c r="E73" s="6">
        <f>IF(A73="","",VLOOKUP(A73,'F01 - _Données Expatriés'!$A$6:$L$15,10,FALSE))</f>
        <v/>
      </c>
      <c r="F73" s="6">
        <f>IF(E73="","",IFERROR(E73-TODAY(),0))</f>
        <v/>
      </c>
      <c r="G73" s="6">
        <f>IF(D73="","",IFERROR(TODAY()-D73,0))</f>
        <v/>
      </c>
      <c r="H73" s="6">
        <f>IF(OR(D73="",E73=""),"",IFERROR(G73/(E73-D73)*100,0))</f>
        <v/>
      </c>
      <c r="I73" s="6">
        <f>IF(F73="","",IF(F73&lt;30,"URGENT",IF(F73&lt;90,"Attention","")))</f>
        <v/>
      </c>
    </row>
    <row r="74">
      <c r="A74" s="4" t="n"/>
      <c r="B74" s="4">
        <f>IF(A74="","",VLOOKUP(A74,'F01 - _Données Expatriés'!$A$6:$L$15,2,FALSE))</f>
        <v/>
      </c>
      <c r="C74" s="4">
        <f>IF(A74="","",VLOOKUP(A74,'F01 - _Données Expatriés'!$A$6:$L$15,6,FALSE))</f>
        <v/>
      </c>
      <c r="D74" s="4">
        <f>IF(A74="","",VLOOKUP(A74,'F01 - _Données Expatriés'!$A$6:$L$15,9,FALSE))</f>
        <v/>
      </c>
      <c r="E74" s="4">
        <f>IF(A74="","",VLOOKUP(A74,'F01 - _Données Expatriés'!$A$6:$L$15,10,FALSE))</f>
        <v/>
      </c>
      <c r="F74" s="4">
        <f>IF(E74="","",IFERROR(E74-TODAY(),0))</f>
        <v/>
      </c>
      <c r="G74" s="4">
        <f>IF(D74="","",IFERROR(TODAY()-D74,0))</f>
        <v/>
      </c>
      <c r="H74" s="4">
        <f>IF(OR(D74="",E74=""),"",IFERROR(G74/(E74-D74)*100,0))</f>
        <v/>
      </c>
      <c r="I74" s="4">
        <f>IF(F74="","",IF(F74&lt;30,"URGENT",IF(F74&lt;90,"Attention","")))</f>
        <v/>
      </c>
    </row>
    <row r="75">
      <c r="A75" s="6" t="n"/>
      <c r="B75" s="6">
        <f>IF(A75="","",VLOOKUP(A75,'F01 - _Données Expatriés'!$A$6:$L$15,2,FALSE))</f>
        <v/>
      </c>
      <c r="C75" s="6">
        <f>IF(A75="","",VLOOKUP(A75,'F01 - _Données Expatriés'!$A$6:$L$15,6,FALSE))</f>
        <v/>
      </c>
      <c r="D75" s="6">
        <f>IF(A75="","",VLOOKUP(A75,'F01 - _Données Expatriés'!$A$6:$L$15,9,FALSE))</f>
        <v/>
      </c>
      <c r="E75" s="6">
        <f>IF(A75="","",VLOOKUP(A75,'F01 - _Données Expatriés'!$A$6:$L$15,10,FALSE))</f>
        <v/>
      </c>
      <c r="F75" s="6">
        <f>IF(E75="","",IFERROR(E75-TODAY(),0))</f>
        <v/>
      </c>
      <c r="G75" s="6">
        <f>IF(D75="","",IFERROR(TODAY()-D75,0))</f>
        <v/>
      </c>
      <c r="H75" s="6">
        <f>IF(OR(D75="",E75=""),"",IFERROR(G75/(E75-D75)*100,0))</f>
        <v/>
      </c>
      <c r="I75" s="6">
        <f>IF(F75="","",IF(F75&lt;30,"URGENT",IF(F75&lt;90,"Attention","")))</f>
        <v/>
      </c>
    </row>
    <row r="76">
      <c r="A76" s="4" t="n"/>
      <c r="B76" s="4">
        <f>IF(A76="","",VLOOKUP(A76,'F01 - _Données Expatriés'!$A$6:$L$15,2,FALSE))</f>
        <v/>
      </c>
      <c r="C76" s="4">
        <f>IF(A76="","",VLOOKUP(A76,'F01 - _Données Expatriés'!$A$6:$L$15,6,FALSE))</f>
        <v/>
      </c>
      <c r="D76" s="4">
        <f>IF(A76="","",VLOOKUP(A76,'F01 - _Données Expatriés'!$A$6:$L$15,9,FALSE))</f>
        <v/>
      </c>
      <c r="E76" s="4">
        <f>IF(A76="","",VLOOKUP(A76,'F01 - _Données Expatriés'!$A$6:$L$15,10,FALSE))</f>
        <v/>
      </c>
      <c r="F76" s="4">
        <f>IF(E76="","",IFERROR(E76-TODAY(),0))</f>
        <v/>
      </c>
      <c r="G76" s="4">
        <f>IF(D76="","",IFERROR(TODAY()-D76,0))</f>
        <v/>
      </c>
      <c r="H76" s="4">
        <f>IF(OR(D76="",E76=""),"",IFERROR(G76/(E76-D76)*100,0))</f>
        <v/>
      </c>
      <c r="I76" s="4">
        <f>IF(F76="","",IF(F76&lt;30,"URGENT",IF(F76&lt;90,"Attention","")))</f>
        <v/>
      </c>
    </row>
    <row r="77">
      <c r="A77" s="6" t="n"/>
      <c r="B77" s="6">
        <f>IF(A77="","",VLOOKUP(A77,'F01 - _Données Expatriés'!$A$6:$L$15,2,FALSE))</f>
        <v/>
      </c>
      <c r="C77" s="6">
        <f>IF(A77="","",VLOOKUP(A77,'F01 - _Données Expatriés'!$A$6:$L$15,6,FALSE))</f>
        <v/>
      </c>
      <c r="D77" s="6">
        <f>IF(A77="","",VLOOKUP(A77,'F01 - _Données Expatriés'!$A$6:$L$15,9,FALSE))</f>
        <v/>
      </c>
      <c r="E77" s="6">
        <f>IF(A77="","",VLOOKUP(A77,'F01 - _Données Expatriés'!$A$6:$L$15,10,FALSE))</f>
        <v/>
      </c>
      <c r="F77" s="6">
        <f>IF(E77="","",IFERROR(E77-TODAY(),0))</f>
        <v/>
      </c>
      <c r="G77" s="6">
        <f>IF(D77="","",IFERROR(TODAY()-D77,0))</f>
        <v/>
      </c>
      <c r="H77" s="6">
        <f>IF(OR(D77="",E77=""),"",IFERROR(G77/(E77-D77)*100,0))</f>
        <v/>
      </c>
      <c r="I77" s="6">
        <f>IF(F77="","",IF(F77&lt;30,"URGENT",IF(F77&lt;90,"Attention","")))</f>
        <v/>
      </c>
    </row>
    <row r="78">
      <c r="A78" s="4" t="n"/>
      <c r="B78" s="4">
        <f>IF(A78="","",VLOOKUP(A78,'F01 - _Données Expatriés'!$A$6:$L$15,2,FALSE))</f>
        <v/>
      </c>
      <c r="C78" s="4">
        <f>IF(A78="","",VLOOKUP(A78,'F01 - _Données Expatriés'!$A$6:$L$15,6,FALSE))</f>
        <v/>
      </c>
      <c r="D78" s="4">
        <f>IF(A78="","",VLOOKUP(A78,'F01 - _Données Expatriés'!$A$6:$L$15,9,FALSE))</f>
        <v/>
      </c>
      <c r="E78" s="4">
        <f>IF(A78="","",VLOOKUP(A78,'F01 - _Données Expatriés'!$A$6:$L$15,10,FALSE))</f>
        <v/>
      </c>
      <c r="F78" s="4">
        <f>IF(E78="","",IFERROR(E78-TODAY(),0))</f>
        <v/>
      </c>
      <c r="G78" s="4">
        <f>IF(D78="","",IFERROR(TODAY()-D78,0))</f>
        <v/>
      </c>
      <c r="H78" s="4">
        <f>IF(OR(D78="",E78=""),"",IFERROR(G78/(E78-D78)*100,0))</f>
        <v/>
      </c>
      <c r="I78" s="4">
        <f>IF(F78="","",IF(F78&lt;30,"URGENT",IF(F78&lt;90,"Attention","")))</f>
        <v/>
      </c>
    </row>
    <row r="79">
      <c r="A79" s="6" t="n"/>
      <c r="B79" s="6">
        <f>IF(A79="","",VLOOKUP(A79,'F01 - _Données Expatriés'!$A$6:$L$15,2,FALSE))</f>
        <v/>
      </c>
      <c r="C79" s="6">
        <f>IF(A79="","",VLOOKUP(A79,'F01 - _Données Expatriés'!$A$6:$L$15,6,FALSE))</f>
        <v/>
      </c>
      <c r="D79" s="6">
        <f>IF(A79="","",VLOOKUP(A79,'F01 - _Données Expatriés'!$A$6:$L$15,9,FALSE))</f>
        <v/>
      </c>
      <c r="E79" s="6">
        <f>IF(A79="","",VLOOKUP(A79,'F01 - _Données Expatriés'!$A$6:$L$15,10,FALSE))</f>
        <v/>
      </c>
      <c r="F79" s="6">
        <f>IF(E79="","",IFERROR(E79-TODAY(),0))</f>
        <v/>
      </c>
      <c r="G79" s="6">
        <f>IF(D79="","",IFERROR(TODAY()-D79,0))</f>
        <v/>
      </c>
      <c r="H79" s="6">
        <f>IF(OR(D79="",E79=""),"",IFERROR(G79/(E79-D79)*100,0))</f>
        <v/>
      </c>
      <c r="I79" s="6">
        <f>IF(F79="","",IF(F79&lt;30,"URGENT",IF(F79&lt;90,"Attention","")))</f>
        <v/>
      </c>
    </row>
    <row r="80">
      <c r="A80" s="4" t="n"/>
      <c r="B80" s="4">
        <f>IF(A80="","",VLOOKUP(A80,'F01 - _Données Expatriés'!$A$6:$L$15,2,FALSE))</f>
        <v/>
      </c>
      <c r="C80" s="4">
        <f>IF(A80="","",VLOOKUP(A80,'F01 - _Données Expatriés'!$A$6:$L$15,6,FALSE))</f>
        <v/>
      </c>
      <c r="D80" s="4">
        <f>IF(A80="","",VLOOKUP(A80,'F01 - _Données Expatriés'!$A$6:$L$15,9,FALSE))</f>
        <v/>
      </c>
      <c r="E80" s="4">
        <f>IF(A80="","",VLOOKUP(A80,'F01 - _Données Expatriés'!$A$6:$L$15,10,FALSE))</f>
        <v/>
      </c>
      <c r="F80" s="4">
        <f>IF(E80="","",IFERROR(E80-TODAY(),0))</f>
        <v/>
      </c>
      <c r="G80" s="4">
        <f>IF(D80="","",IFERROR(TODAY()-D80,0))</f>
        <v/>
      </c>
      <c r="H80" s="4">
        <f>IF(OR(D80="",E80=""),"",IFERROR(G80/(E80-D80)*100,0))</f>
        <v/>
      </c>
      <c r="I80" s="4">
        <f>IF(F80="","",IF(F80&lt;30,"URGENT",IF(F80&lt;90,"Attention","")))</f>
        <v/>
      </c>
    </row>
    <row r="81">
      <c r="A81" s="6" t="n"/>
      <c r="B81" s="6">
        <f>IF(A81="","",VLOOKUP(A81,'F01 - _Données Expatriés'!$A$6:$L$15,2,FALSE))</f>
        <v/>
      </c>
      <c r="C81" s="6">
        <f>IF(A81="","",VLOOKUP(A81,'F01 - _Données Expatriés'!$A$6:$L$15,6,FALSE))</f>
        <v/>
      </c>
      <c r="D81" s="6">
        <f>IF(A81="","",VLOOKUP(A81,'F01 - _Données Expatriés'!$A$6:$L$15,9,FALSE))</f>
        <v/>
      </c>
      <c r="E81" s="6">
        <f>IF(A81="","",VLOOKUP(A81,'F01 - _Données Expatriés'!$A$6:$L$15,10,FALSE))</f>
        <v/>
      </c>
      <c r="F81" s="6">
        <f>IF(E81="","",IFERROR(E81-TODAY(),0))</f>
        <v/>
      </c>
      <c r="G81" s="6">
        <f>IF(D81="","",IFERROR(TODAY()-D81,0))</f>
        <v/>
      </c>
      <c r="H81" s="6">
        <f>IF(OR(D81="",E81=""),"",IFERROR(G81/(E81-D81)*100,0))</f>
        <v/>
      </c>
      <c r="I81" s="6">
        <f>IF(F81="","",IF(F81&lt;30,"URGENT",IF(F81&lt;90,"Attention","")))</f>
        <v/>
      </c>
    </row>
    <row r="82">
      <c r="A82" s="4" t="n"/>
      <c r="B82" s="4">
        <f>IF(A82="","",VLOOKUP(A82,'F01 - _Données Expatriés'!$A$6:$L$15,2,FALSE))</f>
        <v/>
      </c>
      <c r="C82" s="4">
        <f>IF(A82="","",VLOOKUP(A82,'F01 - _Données Expatriés'!$A$6:$L$15,6,FALSE))</f>
        <v/>
      </c>
      <c r="D82" s="4">
        <f>IF(A82="","",VLOOKUP(A82,'F01 - _Données Expatriés'!$A$6:$L$15,9,FALSE))</f>
        <v/>
      </c>
      <c r="E82" s="4">
        <f>IF(A82="","",VLOOKUP(A82,'F01 - _Données Expatriés'!$A$6:$L$15,10,FALSE))</f>
        <v/>
      </c>
      <c r="F82" s="4">
        <f>IF(E82="","",IFERROR(E82-TODAY(),0))</f>
        <v/>
      </c>
      <c r="G82" s="4">
        <f>IF(D82="","",IFERROR(TODAY()-D82,0))</f>
        <v/>
      </c>
      <c r="H82" s="4">
        <f>IF(OR(D82="",E82=""),"",IFERROR(G82/(E82-D82)*100,0))</f>
        <v/>
      </c>
      <c r="I82" s="4">
        <f>IF(F82="","",IF(F82&lt;30,"URGENT",IF(F82&lt;90,"Attention","")))</f>
        <v/>
      </c>
    </row>
    <row r="83">
      <c r="A83" s="6" t="n"/>
      <c r="B83" s="6">
        <f>IF(A83="","",VLOOKUP(A83,'F01 - _Données Expatriés'!$A$6:$L$15,2,FALSE))</f>
        <v/>
      </c>
      <c r="C83" s="6">
        <f>IF(A83="","",VLOOKUP(A83,'F01 - _Données Expatriés'!$A$6:$L$15,6,FALSE))</f>
        <v/>
      </c>
      <c r="D83" s="6">
        <f>IF(A83="","",VLOOKUP(A83,'F01 - _Données Expatriés'!$A$6:$L$15,9,FALSE))</f>
        <v/>
      </c>
      <c r="E83" s="6">
        <f>IF(A83="","",VLOOKUP(A83,'F01 - _Données Expatriés'!$A$6:$L$15,10,FALSE))</f>
        <v/>
      </c>
      <c r="F83" s="6">
        <f>IF(E83="","",IFERROR(E83-TODAY(),0))</f>
        <v/>
      </c>
      <c r="G83" s="6">
        <f>IF(D83="","",IFERROR(TODAY()-D83,0))</f>
        <v/>
      </c>
      <c r="H83" s="6">
        <f>IF(OR(D83="",E83=""),"",IFERROR(G83/(E83-D83)*100,0))</f>
        <v/>
      </c>
      <c r="I83" s="6">
        <f>IF(F83="","",IF(F83&lt;30,"URGENT",IF(F83&lt;90,"Attention","")))</f>
        <v/>
      </c>
    </row>
    <row r="84">
      <c r="A84" s="4" t="n"/>
      <c r="B84" s="4">
        <f>IF(A84="","",VLOOKUP(A84,'F01 - _Données Expatriés'!$A$6:$L$15,2,FALSE))</f>
        <v/>
      </c>
      <c r="C84" s="4">
        <f>IF(A84="","",VLOOKUP(A84,'F01 - _Données Expatriés'!$A$6:$L$15,6,FALSE))</f>
        <v/>
      </c>
      <c r="D84" s="4">
        <f>IF(A84="","",VLOOKUP(A84,'F01 - _Données Expatriés'!$A$6:$L$15,9,FALSE))</f>
        <v/>
      </c>
      <c r="E84" s="4">
        <f>IF(A84="","",VLOOKUP(A84,'F01 - _Données Expatriés'!$A$6:$L$15,10,FALSE))</f>
        <v/>
      </c>
      <c r="F84" s="4">
        <f>IF(E84="","",IFERROR(E84-TODAY(),0))</f>
        <v/>
      </c>
      <c r="G84" s="4">
        <f>IF(D84="","",IFERROR(TODAY()-D84,0))</f>
        <v/>
      </c>
      <c r="H84" s="4">
        <f>IF(OR(D84="",E84=""),"",IFERROR(G84/(E84-D84)*100,0))</f>
        <v/>
      </c>
      <c r="I84" s="4">
        <f>IF(F84="","",IF(F84&lt;30,"URGENT",IF(F84&lt;90,"Attention","")))</f>
        <v/>
      </c>
    </row>
    <row r="85">
      <c r="A85" s="6" t="n"/>
      <c r="B85" s="6">
        <f>IF(A85="","",VLOOKUP(A85,'F01 - _Données Expatriés'!$A$6:$L$15,2,FALSE))</f>
        <v/>
      </c>
      <c r="C85" s="6">
        <f>IF(A85="","",VLOOKUP(A85,'F01 - _Données Expatriés'!$A$6:$L$15,6,FALSE))</f>
        <v/>
      </c>
      <c r="D85" s="6">
        <f>IF(A85="","",VLOOKUP(A85,'F01 - _Données Expatriés'!$A$6:$L$15,9,FALSE))</f>
        <v/>
      </c>
      <c r="E85" s="6">
        <f>IF(A85="","",VLOOKUP(A85,'F01 - _Données Expatriés'!$A$6:$L$15,10,FALSE))</f>
        <v/>
      </c>
      <c r="F85" s="6">
        <f>IF(E85="","",IFERROR(E85-TODAY(),0))</f>
        <v/>
      </c>
      <c r="G85" s="6">
        <f>IF(D85="","",IFERROR(TODAY()-D85,0))</f>
        <v/>
      </c>
      <c r="H85" s="6">
        <f>IF(OR(D85="",E85=""),"",IFERROR(G85/(E85-D85)*100,0))</f>
        <v/>
      </c>
      <c r="I85" s="6">
        <f>IF(F85="","",IF(F85&lt;30,"URGENT",IF(F85&lt;90,"Attention","")))</f>
        <v/>
      </c>
    </row>
    <row r="86">
      <c r="A86" s="4" t="n"/>
      <c r="B86" s="4">
        <f>IF(A86="","",VLOOKUP(A86,'F01 - _Données Expatriés'!$A$6:$L$15,2,FALSE))</f>
        <v/>
      </c>
      <c r="C86" s="4">
        <f>IF(A86="","",VLOOKUP(A86,'F01 - _Données Expatriés'!$A$6:$L$15,6,FALSE))</f>
        <v/>
      </c>
      <c r="D86" s="4">
        <f>IF(A86="","",VLOOKUP(A86,'F01 - _Données Expatriés'!$A$6:$L$15,9,FALSE))</f>
        <v/>
      </c>
      <c r="E86" s="4">
        <f>IF(A86="","",VLOOKUP(A86,'F01 - _Données Expatriés'!$A$6:$L$15,10,FALSE))</f>
        <v/>
      </c>
      <c r="F86" s="4">
        <f>IF(E86="","",IFERROR(E86-TODAY(),0))</f>
        <v/>
      </c>
      <c r="G86" s="4">
        <f>IF(D86="","",IFERROR(TODAY()-D86,0))</f>
        <v/>
      </c>
      <c r="H86" s="4">
        <f>IF(OR(D86="",E86=""),"",IFERROR(G86/(E86-D86)*100,0))</f>
        <v/>
      </c>
      <c r="I86" s="4">
        <f>IF(F86="","",IF(F86&lt;30,"URGENT",IF(F86&lt;90,"Attention","")))</f>
        <v/>
      </c>
    </row>
    <row r="87">
      <c r="A87" s="6" t="n"/>
      <c r="B87" s="6">
        <f>IF(A87="","",VLOOKUP(A87,'F01 - _Données Expatriés'!$A$6:$L$15,2,FALSE))</f>
        <v/>
      </c>
      <c r="C87" s="6">
        <f>IF(A87="","",VLOOKUP(A87,'F01 - _Données Expatriés'!$A$6:$L$15,6,FALSE))</f>
        <v/>
      </c>
      <c r="D87" s="6">
        <f>IF(A87="","",VLOOKUP(A87,'F01 - _Données Expatriés'!$A$6:$L$15,9,FALSE))</f>
        <v/>
      </c>
      <c r="E87" s="6">
        <f>IF(A87="","",VLOOKUP(A87,'F01 - _Données Expatriés'!$A$6:$L$15,10,FALSE))</f>
        <v/>
      </c>
      <c r="F87" s="6">
        <f>IF(E87="","",IFERROR(E87-TODAY(),0))</f>
        <v/>
      </c>
      <c r="G87" s="6">
        <f>IF(D87="","",IFERROR(TODAY()-D87,0))</f>
        <v/>
      </c>
      <c r="H87" s="6">
        <f>IF(OR(D87="",E87=""),"",IFERROR(G87/(E87-D87)*100,0))</f>
        <v/>
      </c>
      <c r="I87" s="6">
        <f>IF(F87="","",IF(F87&lt;30,"URGENT",IF(F87&lt;90,"Attention","")))</f>
        <v/>
      </c>
    </row>
    <row r="88">
      <c r="A88" s="4" t="n"/>
      <c r="B88" s="4">
        <f>IF(A88="","",VLOOKUP(A88,'F01 - _Données Expatriés'!$A$6:$L$15,2,FALSE))</f>
        <v/>
      </c>
      <c r="C88" s="4">
        <f>IF(A88="","",VLOOKUP(A88,'F01 - _Données Expatriés'!$A$6:$L$15,6,FALSE))</f>
        <v/>
      </c>
      <c r="D88" s="4">
        <f>IF(A88="","",VLOOKUP(A88,'F01 - _Données Expatriés'!$A$6:$L$15,9,FALSE))</f>
        <v/>
      </c>
      <c r="E88" s="4">
        <f>IF(A88="","",VLOOKUP(A88,'F01 - _Données Expatriés'!$A$6:$L$15,10,FALSE))</f>
        <v/>
      </c>
      <c r="F88" s="4">
        <f>IF(E88="","",IFERROR(E88-TODAY(),0))</f>
        <v/>
      </c>
      <c r="G88" s="4">
        <f>IF(D88="","",IFERROR(TODAY()-D88,0))</f>
        <v/>
      </c>
      <c r="H88" s="4">
        <f>IF(OR(D88="",E88=""),"",IFERROR(G88/(E88-D88)*100,0))</f>
        <v/>
      </c>
      <c r="I88" s="4">
        <f>IF(F88="","",IF(F88&lt;30,"URGENT",IF(F88&lt;90,"Attention","")))</f>
        <v/>
      </c>
    </row>
    <row r="89">
      <c r="A89" s="6" t="n"/>
      <c r="B89" s="6">
        <f>IF(A89="","",VLOOKUP(A89,'F01 - _Données Expatriés'!$A$6:$L$15,2,FALSE))</f>
        <v/>
      </c>
      <c r="C89" s="6">
        <f>IF(A89="","",VLOOKUP(A89,'F01 - _Données Expatriés'!$A$6:$L$15,6,FALSE))</f>
        <v/>
      </c>
      <c r="D89" s="6">
        <f>IF(A89="","",VLOOKUP(A89,'F01 - _Données Expatriés'!$A$6:$L$15,9,FALSE))</f>
        <v/>
      </c>
      <c r="E89" s="6">
        <f>IF(A89="","",VLOOKUP(A89,'F01 - _Données Expatriés'!$A$6:$L$15,10,FALSE))</f>
        <v/>
      </c>
      <c r="F89" s="6">
        <f>IF(E89="","",IFERROR(E89-TODAY(),0))</f>
        <v/>
      </c>
      <c r="G89" s="6">
        <f>IF(D89="","",IFERROR(TODAY()-D89,0))</f>
        <v/>
      </c>
      <c r="H89" s="6">
        <f>IF(OR(D89="",E89=""),"",IFERROR(G89/(E89-D89)*100,0))</f>
        <v/>
      </c>
      <c r="I89" s="6">
        <f>IF(F89="","",IF(F89&lt;30,"URGENT",IF(F89&lt;90,"Attention","")))</f>
        <v/>
      </c>
    </row>
    <row r="90">
      <c r="A90" s="4" t="n"/>
      <c r="B90" s="4">
        <f>IF(A90="","",VLOOKUP(A90,'F01 - _Données Expatriés'!$A$6:$L$15,2,FALSE))</f>
        <v/>
      </c>
      <c r="C90" s="4">
        <f>IF(A90="","",VLOOKUP(A90,'F01 - _Données Expatriés'!$A$6:$L$15,6,FALSE))</f>
        <v/>
      </c>
      <c r="D90" s="4">
        <f>IF(A90="","",VLOOKUP(A90,'F01 - _Données Expatriés'!$A$6:$L$15,9,FALSE))</f>
        <v/>
      </c>
      <c r="E90" s="4">
        <f>IF(A90="","",VLOOKUP(A90,'F01 - _Données Expatriés'!$A$6:$L$15,10,FALSE))</f>
        <v/>
      </c>
      <c r="F90" s="4">
        <f>IF(E90="","",IFERROR(E90-TODAY(),0))</f>
        <v/>
      </c>
      <c r="G90" s="4">
        <f>IF(D90="","",IFERROR(TODAY()-D90,0))</f>
        <v/>
      </c>
      <c r="H90" s="4">
        <f>IF(OR(D90="",E90=""),"",IFERROR(G90/(E90-D90)*100,0))</f>
        <v/>
      </c>
      <c r="I90" s="4">
        <f>IF(F90="","",IF(F90&lt;30,"URGENT",IF(F90&lt;90,"Attention","")))</f>
        <v/>
      </c>
    </row>
    <row r="91">
      <c r="A91" s="6" t="n"/>
      <c r="B91" s="6">
        <f>IF(A91="","",VLOOKUP(A91,'F01 - _Données Expatriés'!$A$6:$L$15,2,FALSE))</f>
        <v/>
      </c>
      <c r="C91" s="6">
        <f>IF(A91="","",VLOOKUP(A91,'F01 - _Données Expatriés'!$A$6:$L$15,6,FALSE))</f>
        <v/>
      </c>
      <c r="D91" s="6">
        <f>IF(A91="","",VLOOKUP(A91,'F01 - _Données Expatriés'!$A$6:$L$15,9,FALSE))</f>
        <v/>
      </c>
      <c r="E91" s="6">
        <f>IF(A91="","",VLOOKUP(A91,'F01 - _Données Expatriés'!$A$6:$L$15,10,FALSE))</f>
        <v/>
      </c>
      <c r="F91" s="6">
        <f>IF(E91="","",IFERROR(E91-TODAY(),0))</f>
        <v/>
      </c>
      <c r="G91" s="6">
        <f>IF(D91="","",IFERROR(TODAY()-D91,0))</f>
        <v/>
      </c>
      <c r="H91" s="6">
        <f>IF(OR(D91="",E91=""),"",IFERROR(G91/(E91-D91)*100,0))</f>
        <v/>
      </c>
      <c r="I91" s="6">
        <f>IF(F91="","",IF(F91&lt;30,"URGENT",IF(F91&lt;90,"Attention","")))</f>
        <v/>
      </c>
    </row>
    <row r="92">
      <c r="A92" s="4" t="n"/>
      <c r="B92" s="4">
        <f>IF(A92="","",VLOOKUP(A92,'F01 - _Données Expatriés'!$A$6:$L$15,2,FALSE))</f>
        <v/>
      </c>
      <c r="C92" s="4">
        <f>IF(A92="","",VLOOKUP(A92,'F01 - _Données Expatriés'!$A$6:$L$15,6,FALSE))</f>
        <v/>
      </c>
      <c r="D92" s="4">
        <f>IF(A92="","",VLOOKUP(A92,'F01 - _Données Expatriés'!$A$6:$L$15,9,FALSE))</f>
        <v/>
      </c>
      <c r="E92" s="4">
        <f>IF(A92="","",VLOOKUP(A92,'F01 - _Données Expatriés'!$A$6:$L$15,10,FALSE))</f>
        <v/>
      </c>
      <c r="F92" s="4">
        <f>IF(E92="","",IFERROR(E92-TODAY(),0))</f>
        <v/>
      </c>
      <c r="G92" s="4">
        <f>IF(D92="","",IFERROR(TODAY()-D92,0))</f>
        <v/>
      </c>
      <c r="H92" s="4">
        <f>IF(OR(D92="",E92=""),"",IFERROR(G92/(E92-D92)*100,0))</f>
        <v/>
      </c>
      <c r="I92" s="4">
        <f>IF(F92="","",IF(F92&lt;30,"URGENT",IF(F92&lt;90,"Attention","")))</f>
        <v/>
      </c>
    </row>
    <row r="93">
      <c r="A93" s="6" t="n"/>
      <c r="B93" s="6">
        <f>IF(A93="","",VLOOKUP(A93,'F01 - _Données Expatriés'!$A$6:$L$15,2,FALSE))</f>
        <v/>
      </c>
      <c r="C93" s="6">
        <f>IF(A93="","",VLOOKUP(A93,'F01 - _Données Expatriés'!$A$6:$L$15,6,FALSE))</f>
        <v/>
      </c>
      <c r="D93" s="6">
        <f>IF(A93="","",VLOOKUP(A93,'F01 - _Données Expatriés'!$A$6:$L$15,9,FALSE))</f>
        <v/>
      </c>
      <c r="E93" s="6">
        <f>IF(A93="","",VLOOKUP(A93,'F01 - _Données Expatriés'!$A$6:$L$15,10,FALSE))</f>
        <v/>
      </c>
      <c r="F93" s="6">
        <f>IF(E93="","",IFERROR(E93-TODAY(),0))</f>
        <v/>
      </c>
      <c r="G93" s="6">
        <f>IF(D93="","",IFERROR(TODAY()-D93,0))</f>
        <v/>
      </c>
      <c r="H93" s="6">
        <f>IF(OR(D93="",E93=""),"",IFERROR(G93/(E93-D93)*100,0))</f>
        <v/>
      </c>
      <c r="I93" s="6">
        <f>IF(F93="","",IF(F93&lt;30,"URGENT",IF(F93&lt;90,"Attention","")))</f>
        <v/>
      </c>
    </row>
    <row r="94">
      <c r="A94" s="4" t="n"/>
      <c r="B94" s="4">
        <f>IF(A94="","",VLOOKUP(A94,'F01 - _Données Expatriés'!$A$6:$L$15,2,FALSE))</f>
        <v/>
      </c>
      <c r="C94" s="4">
        <f>IF(A94="","",VLOOKUP(A94,'F01 - _Données Expatriés'!$A$6:$L$15,6,FALSE))</f>
        <v/>
      </c>
      <c r="D94" s="4">
        <f>IF(A94="","",VLOOKUP(A94,'F01 - _Données Expatriés'!$A$6:$L$15,9,FALSE))</f>
        <v/>
      </c>
      <c r="E94" s="4">
        <f>IF(A94="","",VLOOKUP(A94,'F01 - _Données Expatriés'!$A$6:$L$15,10,FALSE))</f>
        <v/>
      </c>
      <c r="F94" s="4">
        <f>IF(E94="","",IFERROR(E94-TODAY(),0))</f>
        <v/>
      </c>
      <c r="G94" s="4">
        <f>IF(D94="","",IFERROR(TODAY()-D94,0))</f>
        <v/>
      </c>
      <c r="H94" s="4">
        <f>IF(OR(D94="",E94=""),"",IFERROR(G94/(E94-D94)*100,0))</f>
        <v/>
      </c>
      <c r="I94" s="4">
        <f>IF(F94="","",IF(F94&lt;30,"URGENT",IF(F94&lt;90,"Attention","")))</f>
        <v/>
      </c>
    </row>
    <row r="95">
      <c r="A95" s="6" t="n"/>
      <c r="B95" s="6">
        <f>IF(A95="","",VLOOKUP(A95,'F01 - _Données Expatriés'!$A$6:$L$15,2,FALSE))</f>
        <v/>
      </c>
      <c r="C95" s="6">
        <f>IF(A95="","",VLOOKUP(A95,'F01 - _Données Expatriés'!$A$6:$L$15,6,FALSE))</f>
        <v/>
      </c>
      <c r="D95" s="6">
        <f>IF(A95="","",VLOOKUP(A95,'F01 - _Données Expatriés'!$A$6:$L$15,9,FALSE))</f>
        <v/>
      </c>
      <c r="E95" s="6">
        <f>IF(A95="","",VLOOKUP(A95,'F01 - _Données Expatriés'!$A$6:$L$15,10,FALSE))</f>
        <v/>
      </c>
      <c r="F95" s="6">
        <f>IF(E95="","",IFERROR(E95-TODAY(),0))</f>
        <v/>
      </c>
      <c r="G95" s="6">
        <f>IF(D95="","",IFERROR(TODAY()-D95,0))</f>
        <v/>
      </c>
      <c r="H95" s="6">
        <f>IF(OR(D95="",E95=""),"",IFERROR(G95/(E95-D95)*100,0))</f>
        <v/>
      </c>
      <c r="I95" s="6">
        <f>IF(F95="","",IF(F95&lt;30,"URGENT",IF(F95&lt;90,"Attention","")))</f>
        <v/>
      </c>
    </row>
    <row r="96">
      <c r="A96" s="4" t="n"/>
      <c r="B96" s="4">
        <f>IF(A96="","",VLOOKUP(A96,'F01 - _Données Expatriés'!$A$6:$L$15,2,FALSE))</f>
        <v/>
      </c>
      <c r="C96" s="4">
        <f>IF(A96="","",VLOOKUP(A96,'F01 - _Données Expatriés'!$A$6:$L$15,6,FALSE))</f>
        <v/>
      </c>
      <c r="D96" s="4">
        <f>IF(A96="","",VLOOKUP(A96,'F01 - _Données Expatriés'!$A$6:$L$15,9,FALSE))</f>
        <v/>
      </c>
      <c r="E96" s="4">
        <f>IF(A96="","",VLOOKUP(A96,'F01 - _Données Expatriés'!$A$6:$L$15,10,FALSE))</f>
        <v/>
      </c>
      <c r="F96" s="4">
        <f>IF(E96="","",IFERROR(E96-TODAY(),0))</f>
        <v/>
      </c>
      <c r="G96" s="4">
        <f>IF(D96="","",IFERROR(TODAY()-D96,0))</f>
        <v/>
      </c>
      <c r="H96" s="4">
        <f>IF(OR(D96="",E96=""),"",IFERROR(G96/(E96-D96)*100,0))</f>
        <v/>
      </c>
      <c r="I96" s="4">
        <f>IF(F96="","",IF(F96&lt;30,"URGENT",IF(F96&lt;90,"Attention","")))</f>
        <v/>
      </c>
    </row>
    <row r="97">
      <c r="A97" s="6" t="n"/>
      <c r="B97" s="6">
        <f>IF(A97="","",VLOOKUP(A97,'F01 - _Données Expatriés'!$A$6:$L$15,2,FALSE))</f>
        <v/>
      </c>
      <c r="C97" s="6">
        <f>IF(A97="","",VLOOKUP(A97,'F01 - _Données Expatriés'!$A$6:$L$15,6,FALSE))</f>
        <v/>
      </c>
      <c r="D97" s="6">
        <f>IF(A97="","",VLOOKUP(A97,'F01 - _Données Expatriés'!$A$6:$L$15,9,FALSE))</f>
        <v/>
      </c>
      <c r="E97" s="6">
        <f>IF(A97="","",VLOOKUP(A97,'F01 - _Données Expatriés'!$A$6:$L$15,10,FALSE))</f>
        <v/>
      </c>
      <c r="F97" s="6">
        <f>IF(E97="","",IFERROR(E97-TODAY(),0))</f>
        <v/>
      </c>
      <c r="G97" s="6">
        <f>IF(D97="","",IFERROR(TODAY()-D97,0))</f>
        <v/>
      </c>
      <c r="H97" s="6">
        <f>IF(OR(D97="",E97=""),"",IFERROR(G97/(E97-D97)*100,0))</f>
        <v/>
      </c>
      <c r="I97" s="6">
        <f>IF(F97="","",IF(F97&lt;30,"URGENT",IF(F97&lt;90,"Attention","")))</f>
        <v/>
      </c>
    </row>
    <row r="98">
      <c r="A98" s="4" t="n"/>
      <c r="B98" s="4">
        <f>IF(A98="","",VLOOKUP(A98,'F01 - _Données Expatriés'!$A$6:$L$15,2,FALSE))</f>
        <v/>
      </c>
      <c r="C98" s="4">
        <f>IF(A98="","",VLOOKUP(A98,'F01 - _Données Expatriés'!$A$6:$L$15,6,FALSE))</f>
        <v/>
      </c>
      <c r="D98" s="4">
        <f>IF(A98="","",VLOOKUP(A98,'F01 - _Données Expatriés'!$A$6:$L$15,9,FALSE))</f>
        <v/>
      </c>
      <c r="E98" s="4">
        <f>IF(A98="","",VLOOKUP(A98,'F01 - _Données Expatriés'!$A$6:$L$15,10,FALSE))</f>
        <v/>
      </c>
      <c r="F98" s="4">
        <f>IF(E98="","",IFERROR(E98-TODAY(),0))</f>
        <v/>
      </c>
      <c r="G98" s="4">
        <f>IF(D98="","",IFERROR(TODAY()-D98,0))</f>
        <v/>
      </c>
      <c r="H98" s="4">
        <f>IF(OR(D98="",E98=""),"",IFERROR(G98/(E98-D98)*100,0))</f>
        <v/>
      </c>
      <c r="I98" s="4">
        <f>IF(F98="","",IF(F98&lt;30,"URGENT",IF(F98&lt;90,"Attention","")))</f>
        <v/>
      </c>
    </row>
    <row r="99">
      <c r="A99" s="6" t="n"/>
      <c r="B99" s="6">
        <f>IF(A99="","",VLOOKUP(A99,'F01 - _Données Expatriés'!$A$6:$L$15,2,FALSE))</f>
        <v/>
      </c>
      <c r="C99" s="6">
        <f>IF(A99="","",VLOOKUP(A99,'F01 - _Données Expatriés'!$A$6:$L$15,6,FALSE))</f>
        <v/>
      </c>
      <c r="D99" s="6">
        <f>IF(A99="","",VLOOKUP(A99,'F01 - _Données Expatriés'!$A$6:$L$15,9,FALSE))</f>
        <v/>
      </c>
      <c r="E99" s="6">
        <f>IF(A99="","",VLOOKUP(A99,'F01 - _Données Expatriés'!$A$6:$L$15,10,FALSE))</f>
        <v/>
      </c>
      <c r="F99" s="6">
        <f>IF(E99="","",IFERROR(E99-TODAY(),0))</f>
        <v/>
      </c>
      <c r="G99" s="6">
        <f>IF(D99="","",IFERROR(TODAY()-D99,0))</f>
        <v/>
      </c>
      <c r="H99" s="6">
        <f>IF(OR(D99="",E99=""),"",IFERROR(G99/(E99-D99)*100,0))</f>
        <v/>
      </c>
      <c r="I99" s="6">
        <f>IF(F99="","",IF(F99&lt;30,"URGENT",IF(F99&lt;90,"Attention","")))</f>
        <v/>
      </c>
    </row>
    <row r="100">
      <c r="A100" s="4" t="n"/>
      <c r="B100" s="4">
        <f>IF(A100="","",VLOOKUP(A100,'F01 - _Données Expatriés'!$A$6:$L$15,2,FALSE))</f>
        <v/>
      </c>
      <c r="C100" s="4">
        <f>IF(A100="","",VLOOKUP(A100,'F01 - _Données Expatriés'!$A$6:$L$15,6,FALSE))</f>
        <v/>
      </c>
      <c r="D100" s="4">
        <f>IF(A100="","",VLOOKUP(A100,'F01 - _Données Expatriés'!$A$6:$L$15,9,FALSE))</f>
        <v/>
      </c>
      <c r="E100" s="4">
        <f>IF(A100="","",VLOOKUP(A100,'F01 - _Données Expatriés'!$A$6:$L$15,10,FALSE))</f>
        <v/>
      </c>
      <c r="F100" s="4">
        <f>IF(E100="","",IFERROR(E100-TODAY(),0))</f>
        <v/>
      </c>
      <c r="G100" s="4">
        <f>IF(D100="","",IFERROR(TODAY()-D100,0))</f>
        <v/>
      </c>
      <c r="H100" s="4">
        <f>IF(OR(D100="",E100=""),"",IFERROR(G100/(E100-D100)*100,0))</f>
        <v/>
      </c>
      <c r="I100" s="4">
        <f>IF(F100="","",IF(F100&lt;30,"URGENT",IF(F100&lt;90,"Attention","")))</f>
        <v/>
      </c>
    </row>
    <row r="101">
      <c r="A101" s="6" t="n"/>
      <c r="B101" s="6">
        <f>IF(A101="","",VLOOKUP(A101,'F01 - _Données Expatriés'!$A$6:$L$15,2,FALSE))</f>
        <v/>
      </c>
      <c r="C101" s="6">
        <f>IF(A101="","",VLOOKUP(A101,'F01 - _Données Expatriés'!$A$6:$L$15,6,FALSE))</f>
        <v/>
      </c>
      <c r="D101" s="6">
        <f>IF(A101="","",VLOOKUP(A101,'F01 - _Données Expatriés'!$A$6:$L$15,9,FALSE))</f>
        <v/>
      </c>
      <c r="E101" s="6">
        <f>IF(A101="","",VLOOKUP(A101,'F01 - _Données Expatriés'!$A$6:$L$15,10,FALSE))</f>
        <v/>
      </c>
      <c r="F101" s="6">
        <f>IF(E101="","",IFERROR(E101-TODAY(),0))</f>
        <v/>
      </c>
      <c r="G101" s="6">
        <f>IF(D101="","",IFERROR(TODAY()-D101,0))</f>
        <v/>
      </c>
      <c r="H101" s="6">
        <f>IF(OR(D101="",E101=""),"",IFERROR(G101/(E101-D101)*100,0))</f>
        <v/>
      </c>
      <c r="I101" s="6">
        <f>IF(F101="","",IF(F101&lt;30,"URGENT",IF(F101&lt;90,"Attention","")))</f>
        <v/>
      </c>
    </row>
    <row r="102">
      <c r="A102" s="4" t="n"/>
      <c r="B102" s="4">
        <f>IF(A102="","",VLOOKUP(A102,'F01 - _Données Expatriés'!$A$6:$L$15,2,FALSE))</f>
        <v/>
      </c>
      <c r="C102" s="4">
        <f>IF(A102="","",VLOOKUP(A102,'F01 - _Données Expatriés'!$A$6:$L$15,6,FALSE))</f>
        <v/>
      </c>
      <c r="D102" s="4">
        <f>IF(A102="","",VLOOKUP(A102,'F01 - _Données Expatriés'!$A$6:$L$15,9,FALSE))</f>
        <v/>
      </c>
      <c r="E102" s="4">
        <f>IF(A102="","",VLOOKUP(A102,'F01 - _Données Expatriés'!$A$6:$L$15,10,FALSE))</f>
        <v/>
      </c>
      <c r="F102" s="4">
        <f>IF(E102="","",IFERROR(E102-TODAY(),0))</f>
        <v/>
      </c>
      <c r="G102" s="4">
        <f>IF(D102="","",IFERROR(TODAY()-D102,0))</f>
        <v/>
      </c>
      <c r="H102" s="4">
        <f>IF(OR(D102="",E102=""),"",IFERROR(G102/(E102-D102)*100,0))</f>
        <v/>
      </c>
      <c r="I102" s="4">
        <f>IF(F102="","",IF(F102&lt;30,"URGENT",IF(F102&lt;90,"Attention","")))</f>
        <v/>
      </c>
    </row>
    <row r="103">
      <c r="A103" s="6" t="n"/>
      <c r="B103" s="6">
        <f>IF(A103="","",VLOOKUP(A103,'F01 - _Données Expatriés'!$A$6:$L$15,2,FALSE))</f>
        <v/>
      </c>
      <c r="C103" s="6">
        <f>IF(A103="","",VLOOKUP(A103,'F01 - _Données Expatriés'!$A$6:$L$15,6,FALSE))</f>
        <v/>
      </c>
      <c r="D103" s="6">
        <f>IF(A103="","",VLOOKUP(A103,'F01 - _Données Expatriés'!$A$6:$L$15,9,FALSE))</f>
        <v/>
      </c>
      <c r="E103" s="6">
        <f>IF(A103="","",VLOOKUP(A103,'F01 - _Données Expatriés'!$A$6:$L$15,10,FALSE))</f>
        <v/>
      </c>
      <c r="F103" s="6">
        <f>IF(E103="","",IFERROR(E103-TODAY(),0))</f>
        <v/>
      </c>
      <c r="G103" s="6">
        <f>IF(D103="","",IFERROR(TODAY()-D103,0))</f>
        <v/>
      </c>
      <c r="H103" s="6">
        <f>IF(OR(D103="",E103=""),"",IFERROR(G103/(E103-D103)*100,0))</f>
        <v/>
      </c>
      <c r="I103" s="6">
        <f>IF(F103="","",IF(F103&lt;30,"URGENT",IF(F103&lt;90,"Attention","")))</f>
        <v/>
      </c>
    </row>
    <row r="104">
      <c r="A104" s="4" t="n"/>
      <c r="B104" s="4">
        <f>IF(A104="","",VLOOKUP(A104,'F01 - _Données Expatriés'!$A$6:$L$15,2,FALSE))</f>
        <v/>
      </c>
      <c r="C104" s="4">
        <f>IF(A104="","",VLOOKUP(A104,'F01 - _Données Expatriés'!$A$6:$L$15,6,FALSE))</f>
        <v/>
      </c>
      <c r="D104" s="4">
        <f>IF(A104="","",VLOOKUP(A104,'F01 - _Données Expatriés'!$A$6:$L$15,9,FALSE))</f>
        <v/>
      </c>
      <c r="E104" s="4">
        <f>IF(A104="","",VLOOKUP(A104,'F01 - _Données Expatriés'!$A$6:$L$15,10,FALSE))</f>
        <v/>
      </c>
      <c r="F104" s="4">
        <f>IF(E104="","",IFERROR(E104-TODAY(),0))</f>
        <v/>
      </c>
      <c r="G104" s="4">
        <f>IF(D104="","",IFERROR(TODAY()-D104,0))</f>
        <v/>
      </c>
      <c r="H104" s="4">
        <f>IF(OR(D104="",E104=""),"",IFERROR(G104/(E104-D104)*100,0))</f>
        <v/>
      </c>
      <c r="I104" s="4">
        <f>IF(F104="","",IF(F104&lt;30,"URGENT",IF(F104&lt;90,"Attention","")))</f>
        <v/>
      </c>
    </row>
    <row r="105">
      <c r="A105" s="6" t="n"/>
      <c r="B105" s="6">
        <f>IF(A105="","",VLOOKUP(A105,'F01 - _Données Expatriés'!$A$6:$L$15,2,FALSE))</f>
        <v/>
      </c>
      <c r="C105" s="6">
        <f>IF(A105="","",VLOOKUP(A105,'F01 - _Données Expatriés'!$A$6:$L$15,6,FALSE))</f>
        <v/>
      </c>
      <c r="D105" s="6">
        <f>IF(A105="","",VLOOKUP(A105,'F01 - _Données Expatriés'!$A$6:$L$15,9,FALSE))</f>
        <v/>
      </c>
      <c r="E105" s="6">
        <f>IF(A105="","",VLOOKUP(A105,'F01 - _Données Expatriés'!$A$6:$L$15,10,FALSE))</f>
        <v/>
      </c>
      <c r="F105" s="6">
        <f>IF(E105="","",IFERROR(E105-TODAY(),0))</f>
        <v/>
      </c>
      <c r="G105" s="6">
        <f>IF(D105="","",IFERROR(TODAY()-D105,0))</f>
        <v/>
      </c>
      <c r="H105" s="6">
        <f>IF(OR(D105="",E105=""),"",IFERROR(G105/(E105-D105)*100,0))</f>
        <v/>
      </c>
      <c r="I105" s="6">
        <f>IF(F105="","",IF(F105&lt;30,"URGENT",IF(F105&lt;90,"Attention","")))</f>
        <v/>
      </c>
    </row>
    <row r="106">
      <c r="A106" s="4" t="n"/>
      <c r="B106" s="4">
        <f>IF(A106="","",VLOOKUP(A106,'F01 - _Données Expatriés'!$A$6:$L$15,2,FALSE))</f>
        <v/>
      </c>
      <c r="C106" s="4">
        <f>IF(A106="","",VLOOKUP(A106,'F01 - _Données Expatriés'!$A$6:$L$15,6,FALSE))</f>
        <v/>
      </c>
      <c r="D106" s="4">
        <f>IF(A106="","",VLOOKUP(A106,'F01 - _Données Expatriés'!$A$6:$L$15,9,FALSE))</f>
        <v/>
      </c>
      <c r="E106" s="4">
        <f>IF(A106="","",VLOOKUP(A106,'F01 - _Données Expatriés'!$A$6:$L$15,10,FALSE))</f>
        <v/>
      </c>
      <c r="F106" s="4">
        <f>IF(E106="","",IFERROR(E106-TODAY(),0))</f>
        <v/>
      </c>
      <c r="G106" s="4">
        <f>IF(D106="","",IFERROR(TODAY()-D106,0))</f>
        <v/>
      </c>
      <c r="H106" s="4">
        <f>IF(OR(D106="",E106=""),"",IFERROR(G106/(E106-D106)*100,0))</f>
        <v/>
      </c>
      <c r="I106" s="4">
        <f>IF(F106="","",IF(F106&lt;30,"URGENT",IF(F106&lt;90,"Attention","")))</f>
        <v/>
      </c>
    </row>
    <row r="107">
      <c r="A107" s="6" t="n"/>
      <c r="B107" s="6">
        <f>IF(A107="","",VLOOKUP(A107,'F01 - _Données Expatriés'!$A$6:$L$15,2,FALSE))</f>
        <v/>
      </c>
      <c r="C107" s="6">
        <f>IF(A107="","",VLOOKUP(A107,'F01 - _Données Expatriés'!$A$6:$L$15,6,FALSE))</f>
        <v/>
      </c>
      <c r="D107" s="6">
        <f>IF(A107="","",VLOOKUP(A107,'F01 - _Données Expatriés'!$A$6:$L$15,9,FALSE))</f>
        <v/>
      </c>
      <c r="E107" s="6">
        <f>IF(A107="","",VLOOKUP(A107,'F01 - _Données Expatriés'!$A$6:$L$15,10,FALSE))</f>
        <v/>
      </c>
      <c r="F107" s="6">
        <f>IF(E107="","",IFERROR(E107-TODAY(),0))</f>
        <v/>
      </c>
      <c r="G107" s="6">
        <f>IF(D107="","",IFERROR(TODAY()-D107,0))</f>
        <v/>
      </c>
      <c r="H107" s="6">
        <f>IF(OR(D107="",E107=""),"",IFERROR(G107/(E107-D107)*100,0))</f>
        <v/>
      </c>
      <c r="I107" s="6">
        <f>IF(F107="","",IF(F107&lt;30,"URGENT",IF(F107&lt;90,"Attention","")))</f>
        <v/>
      </c>
    </row>
    <row r="108">
      <c r="A108" s="4" t="n"/>
      <c r="B108" s="4">
        <f>IF(A108="","",VLOOKUP(A108,'F01 - _Données Expatriés'!$A$6:$L$15,2,FALSE))</f>
        <v/>
      </c>
      <c r="C108" s="4">
        <f>IF(A108="","",VLOOKUP(A108,'F01 - _Données Expatriés'!$A$6:$L$15,6,FALSE))</f>
        <v/>
      </c>
      <c r="D108" s="4">
        <f>IF(A108="","",VLOOKUP(A108,'F01 - _Données Expatriés'!$A$6:$L$15,9,FALSE))</f>
        <v/>
      </c>
      <c r="E108" s="4">
        <f>IF(A108="","",VLOOKUP(A108,'F01 - _Données Expatriés'!$A$6:$L$15,10,FALSE))</f>
        <v/>
      </c>
      <c r="F108" s="4">
        <f>IF(E108="","",IFERROR(E108-TODAY(),0))</f>
        <v/>
      </c>
      <c r="G108" s="4">
        <f>IF(D108="","",IFERROR(TODAY()-D108,0))</f>
        <v/>
      </c>
      <c r="H108" s="4">
        <f>IF(OR(D108="",E108=""),"",IFERROR(G108/(E108-D108)*100,0))</f>
        <v/>
      </c>
      <c r="I108" s="4">
        <f>IF(F108="","",IF(F108&lt;30,"URGENT",IF(F108&lt;90,"Attention","")))</f>
        <v/>
      </c>
    </row>
    <row r="109">
      <c r="A109" s="6" t="n"/>
      <c r="B109" s="6">
        <f>IF(A109="","",VLOOKUP(A109,'F01 - _Données Expatriés'!$A$6:$L$15,2,FALSE))</f>
        <v/>
      </c>
      <c r="C109" s="6">
        <f>IF(A109="","",VLOOKUP(A109,'F01 - _Données Expatriés'!$A$6:$L$15,6,FALSE))</f>
        <v/>
      </c>
      <c r="D109" s="6">
        <f>IF(A109="","",VLOOKUP(A109,'F01 - _Données Expatriés'!$A$6:$L$15,9,FALSE))</f>
        <v/>
      </c>
      <c r="E109" s="6">
        <f>IF(A109="","",VLOOKUP(A109,'F01 - _Données Expatriés'!$A$6:$L$15,10,FALSE))</f>
        <v/>
      </c>
      <c r="F109" s="6">
        <f>IF(E109="","",IFERROR(E109-TODAY(),0))</f>
        <v/>
      </c>
      <c r="G109" s="6">
        <f>IF(D109="","",IFERROR(TODAY()-D109,0))</f>
        <v/>
      </c>
      <c r="H109" s="6">
        <f>IF(OR(D109="",E109=""),"",IFERROR(G109/(E109-D109)*100,0))</f>
        <v/>
      </c>
      <c r="I109" s="6">
        <f>IF(F109="","",IF(F109&lt;30,"URGENT",IF(F109&lt;90,"Attention","")))</f>
        <v/>
      </c>
    </row>
    <row r="110">
      <c r="A110" s="4" t="n"/>
      <c r="B110" s="4">
        <f>IF(A110="","",VLOOKUP(A110,'F01 - _Données Expatriés'!$A$6:$L$15,2,FALSE))</f>
        <v/>
      </c>
      <c r="C110" s="4">
        <f>IF(A110="","",VLOOKUP(A110,'F01 - _Données Expatriés'!$A$6:$L$15,6,FALSE))</f>
        <v/>
      </c>
      <c r="D110" s="4">
        <f>IF(A110="","",VLOOKUP(A110,'F01 - _Données Expatriés'!$A$6:$L$15,9,FALSE))</f>
        <v/>
      </c>
      <c r="E110" s="4">
        <f>IF(A110="","",VLOOKUP(A110,'F01 - _Données Expatriés'!$A$6:$L$15,10,FALSE))</f>
        <v/>
      </c>
      <c r="F110" s="4">
        <f>IF(E110="","",IFERROR(E110-TODAY(),0))</f>
        <v/>
      </c>
      <c r="G110" s="4">
        <f>IF(D110="","",IFERROR(TODAY()-D110,0))</f>
        <v/>
      </c>
      <c r="H110" s="4">
        <f>IF(OR(D110="",E110=""),"",IFERROR(G110/(E110-D110)*100,0))</f>
        <v/>
      </c>
      <c r="I110" s="4">
        <f>IF(F110="","",IF(F110&lt;30,"URGENT",IF(F110&lt;90,"Attention","")))</f>
        <v/>
      </c>
    </row>
    <row r="111">
      <c r="A111" s="6" t="n"/>
      <c r="B111" s="6">
        <f>IF(A111="","",VLOOKUP(A111,'F01 - _Données Expatriés'!$A$6:$L$15,2,FALSE))</f>
        <v/>
      </c>
      <c r="C111" s="6">
        <f>IF(A111="","",VLOOKUP(A111,'F01 - _Données Expatriés'!$A$6:$L$15,6,FALSE))</f>
        <v/>
      </c>
      <c r="D111" s="6">
        <f>IF(A111="","",VLOOKUP(A111,'F01 - _Données Expatriés'!$A$6:$L$15,9,FALSE))</f>
        <v/>
      </c>
      <c r="E111" s="6">
        <f>IF(A111="","",VLOOKUP(A111,'F01 - _Données Expatriés'!$A$6:$L$15,10,FALSE))</f>
        <v/>
      </c>
      <c r="F111" s="6">
        <f>IF(E111="","",IFERROR(E111-TODAY(),0))</f>
        <v/>
      </c>
      <c r="G111" s="6">
        <f>IF(D111="","",IFERROR(TODAY()-D111,0))</f>
        <v/>
      </c>
      <c r="H111" s="6">
        <f>IF(OR(D111="",E111=""),"",IFERROR(G111/(E111-D111)*100,0))</f>
        <v/>
      </c>
      <c r="I111" s="6">
        <f>IF(F111="","",IF(F111&lt;30,"URGENT",IF(F111&lt;90,"Attention","")))</f>
        <v/>
      </c>
    </row>
    <row r="112">
      <c r="A112" s="4" t="n"/>
      <c r="B112" s="4">
        <f>IF(A112="","",VLOOKUP(A112,'F01 - _Données Expatriés'!$A$6:$L$15,2,FALSE))</f>
        <v/>
      </c>
      <c r="C112" s="4">
        <f>IF(A112="","",VLOOKUP(A112,'F01 - _Données Expatriés'!$A$6:$L$15,6,FALSE))</f>
        <v/>
      </c>
      <c r="D112" s="4">
        <f>IF(A112="","",VLOOKUP(A112,'F01 - _Données Expatriés'!$A$6:$L$15,9,FALSE))</f>
        <v/>
      </c>
      <c r="E112" s="4">
        <f>IF(A112="","",VLOOKUP(A112,'F01 - _Données Expatriés'!$A$6:$L$15,10,FALSE))</f>
        <v/>
      </c>
      <c r="F112" s="4">
        <f>IF(E112="","",IFERROR(E112-TODAY(),0))</f>
        <v/>
      </c>
      <c r="G112" s="4">
        <f>IF(D112="","",IFERROR(TODAY()-D112,0))</f>
        <v/>
      </c>
      <c r="H112" s="4">
        <f>IF(OR(D112="",E112=""),"",IFERROR(G112/(E112-D112)*100,0))</f>
        <v/>
      </c>
      <c r="I112" s="4">
        <f>IF(F112="","",IF(F112&lt;30,"URGENT",IF(F112&lt;90,"Attention","")))</f>
        <v/>
      </c>
    </row>
    <row r="113">
      <c r="A113" s="6" t="n"/>
      <c r="B113" s="6">
        <f>IF(A113="","",VLOOKUP(A113,'F01 - _Données Expatriés'!$A$6:$L$15,2,FALSE))</f>
        <v/>
      </c>
      <c r="C113" s="6">
        <f>IF(A113="","",VLOOKUP(A113,'F01 - _Données Expatriés'!$A$6:$L$15,6,FALSE))</f>
        <v/>
      </c>
      <c r="D113" s="6">
        <f>IF(A113="","",VLOOKUP(A113,'F01 - _Données Expatriés'!$A$6:$L$15,9,FALSE))</f>
        <v/>
      </c>
      <c r="E113" s="6">
        <f>IF(A113="","",VLOOKUP(A113,'F01 - _Données Expatriés'!$A$6:$L$15,10,FALSE))</f>
        <v/>
      </c>
      <c r="F113" s="6">
        <f>IF(E113="","",IFERROR(E113-TODAY(),0))</f>
        <v/>
      </c>
      <c r="G113" s="6">
        <f>IF(D113="","",IFERROR(TODAY()-D113,0))</f>
        <v/>
      </c>
      <c r="H113" s="6">
        <f>IF(OR(D113="",E113=""),"",IFERROR(G113/(E113-D113)*100,0))</f>
        <v/>
      </c>
      <c r="I113" s="6">
        <f>IF(F113="","",IF(F113&lt;30,"URGENT",IF(F113&lt;90,"Attention","")))</f>
        <v/>
      </c>
    </row>
    <row r="114">
      <c r="A114" s="4" t="n"/>
      <c r="B114" s="4">
        <f>IF(A114="","",VLOOKUP(A114,'F01 - _Données Expatriés'!$A$6:$L$15,2,FALSE))</f>
        <v/>
      </c>
      <c r="C114" s="4">
        <f>IF(A114="","",VLOOKUP(A114,'F01 - _Données Expatriés'!$A$6:$L$15,6,FALSE))</f>
        <v/>
      </c>
      <c r="D114" s="4">
        <f>IF(A114="","",VLOOKUP(A114,'F01 - _Données Expatriés'!$A$6:$L$15,9,FALSE))</f>
        <v/>
      </c>
      <c r="E114" s="4">
        <f>IF(A114="","",VLOOKUP(A114,'F01 - _Données Expatriés'!$A$6:$L$15,10,FALSE))</f>
        <v/>
      </c>
      <c r="F114" s="4">
        <f>IF(E114="","",IFERROR(E114-TODAY(),0))</f>
        <v/>
      </c>
      <c r="G114" s="4">
        <f>IF(D114="","",IFERROR(TODAY()-D114,0))</f>
        <v/>
      </c>
      <c r="H114" s="4">
        <f>IF(OR(D114="",E114=""),"",IFERROR(G114/(E114-D114)*100,0))</f>
        <v/>
      </c>
      <c r="I114" s="4">
        <f>IF(F114="","",IF(F114&lt;30,"URGENT",IF(F114&lt;90,"Attention","")))</f>
        <v/>
      </c>
    </row>
    <row r="115">
      <c r="A115" s="6" t="n"/>
      <c r="B115" s="6">
        <f>IF(A115="","",VLOOKUP(A115,'F01 - _Données Expatriés'!$A$6:$L$15,2,FALSE))</f>
        <v/>
      </c>
      <c r="C115" s="6">
        <f>IF(A115="","",VLOOKUP(A115,'F01 - _Données Expatriés'!$A$6:$L$15,6,FALSE))</f>
        <v/>
      </c>
      <c r="D115" s="6">
        <f>IF(A115="","",VLOOKUP(A115,'F01 - _Données Expatriés'!$A$6:$L$15,9,FALSE))</f>
        <v/>
      </c>
      <c r="E115" s="6">
        <f>IF(A115="","",VLOOKUP(A115,'F01 - _Données Expatriés'!$A$6:$L$15,10,FALSE))</f>
        <v/>
      </c>
      <c r="F115" s="6">
        <f>IF(E115="","",IFERROR(E115-TODAY(),0))</f>
        <v/>
      </c>
      <c r="G115" s="6">
        <f>IF(D115="","",IFERROR(TODAY()-D115,0))</f>
        <v/>
      </c>
      <c r="H115" s="6">
        <f>IF(OR(D115="",E115=""),"",IFERROR(G115/(E115-D115)*100,0))</f>
        <v/>
      </c>
      <c r="I115" s="6">
        <f>IF(F115="","",IF(F115&lt;30,"URGENT",IF(F115&lt;90,"Attention","")))</f>
        <v/>
      </c>
    </row>
  </sheetData>
  <mergeCells count="2">
    <mergeCell ref="A3:N3"/>
    <mergeCell ref="A2:N2"/>
  </mergeCells>
  <dataValidations count="1">
    <dataValidation sqref="A6:A115" showDropDown="0" showInputMessage="0" showErrorMessage="0" allowBlank="1" errorTitle="Erreur de saisie" error="Valeur non autorisée" promptTitle="Liste déroulante" prompt="Sélectionnez dans la liste" type="list">
      <formula1>'F02 - _Lists'!$A$6:$A$35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695C"/>
    <outlinePr summaryBelow="1" summaryRight="1"/>
    <pageSetUpPr/>
  </sheetPr>
  <dimension ref="A2:N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2" ht="25" customHeight="1">
      <c r="A2" s="1" t="inlineStr">
        <is>
          <t>DOMAINE 25 — 17-MATRICE EXPATRIÉS x DÉPARTEMENTS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Département</t>
        </is>
      </c>
      <c r="B5" s="3" t="inlineStr">
        <is>
          <t>Total</t>
        </is>
      </c>
      <c r="C5" s="3" t="inlineStr">
        <is>
          <t>Janv.</t>
        </is>
      </c>
      <c r="D5" s="3" t="inlineStr">
        <is>
          <t>Fév.</t>
        </is>
      </c>
      <c r="E5" s="3" t="inlineStr">
        <is>
          <t>Mars</t>
        </is>
      </c>
      <c r="F5" s="3" t="inlineStr">
        <is>
          <t>Avr.</t>
        </is>
      </c>
      <c r="G5" s="3" t="inlineStr">
        <is>
          <t>Mai</t>
        </is>
      </c>
      <c r="H5" s="3" t="inlineStr">
        <is>
          <t>Juin</t>
        </is>
      </c>
      <c r="I5" s="3" t="inlineStr">
        <is>
          <t>Juil.</t>
        </is>
      </c>
      <c r="J5" s="3" t="inlineStr">
        <is>
          <t>Août</t>
        </is>
      </c>
      <c r="K5" s="3" t="inlineStr">
        <is>
          <t>Sept.</t>
        </is>
      </c>
      <c r="L5" s="3" t="inlineStr">
        <is>
          <t>Oct.</t>
        </is>
      </c>
      <c r="M5" s="3" t="inlineStr">
        <is>
          <t>Nov.</t>
        </is>
      </c>
      <c r="N5" s="3" t="inlineStr">
        <is>
          <t>Déc.</t>
        </is>
      </c>
    </row>
    <row r="6">
      <c r="A6" s="4" t="inlineStr">
        <is>
          <t>Direction Générale</t>
        </is>
      </c>
      <c r="B6" s="4">
        <f>SUM(C6:N6)</f>
        <v/>
      </c>
      <c r="C6" s="4" t="n">
        <v>1</v>
      </c>
      <c r="D6" s="4" t="n">
        <v>1</v>
      </c>
      <c r="E6" s="4" t="n">
        <v>1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</row>
    <row r="7">
      <c r="A7" s="6" t="inlineStr">
        <is>
          <t>Cuisine &amp; Restauration</t>
        </is>
      </c>
      <c r="B7" s="6">
        <f>SUM(C7:N7)</f>
        <v/>
      </c>
      <c r="C7" s="6" t="n">
        <v>2</v>
      </c>
      <c r="D7" s="6" t="n">
        <v>2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</row>
    <row r="8">
      <c r="A8" s="4" t="inlineStr">
        <is>
          <t>Finance &amp; Comptabilité</t>
        </is>
      </c>
      <c r="B8" s="4">
        <f>SUM(C8:N8)</f>
        <v/>
      </c>
      <c r="C8" s="4" t="n">
        <v>1</v>
      </c>
      <c r="D8" s="4" t="n">
        <v>1</v>
      </c>
      <c r="E8" s="4" t="n">
        <v>1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1</v>
      </c>
      <c r="N8" s="4" t="n">
        <v>1</v>
      </c>
    </row>
    <row r="9">
      <c r="A9" s="6" t="inlineStr">
        <is>
          <t>Réception &amp; Front Office</t>
        </is>
      </c>
      <c r="B9" s="6">
        <f>SUM(C9:N9)</f>
        <v/>
      </c>
      <c r="C9" s="6" t="n">
        <v>1</v>
      </c>
      <c r="D9" s="6" t="n">
        <v>1</v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1</v>
      </c>
      <c r="J9" s="6" t="n">
        <v>1</v>
      </c>
      <c r="K9" s="6" t="n">
        <v>1</v>
      </c>
      <c r="L9" s="6" t="n">
        <v>1</v>
      </c>
      <c r="M9" s="6" t="n">
        <v>1</v>
      </c>
      <c r="N9" s="6" t="n">
        <v>1</v>
      </c>
    </row>
    <row r="10">
      <c r="A10" s="4" t="inlineStr">
        <is>
          <t>Revenue Management</t>
        </is>
      </c>
      <c r="B10" s="4">
        <f>SUM(C10:N10)</f>
        <v/>
      </c>
      <c r="C10" s="4" t="n">
        <v>1</v>
      </c>
      <c r="D10" s="4" t="n">
        <v>1</v>
      </c>
      <c r="E10" s="4" t="n">
        <v>1</v>
      </c>
      <c r="F10" s="4" t="n">
        <v>1</v>
      </c>
      <c r="G10" s="4" t="n">
        <v>1</v>
      </c>
      <c r="H10" s="4" t="n">
        <v>1</v>
      </c>
      <c r="I10" s="4" t="n">
        <v>1</v>
      </c>
      <c r="J10" s="4" t="n">
        <v>1</v>
      </c>
      <c r="K10" s="4" t="n">
        <v>1</v>
      </c>
      <c r="L10" s="4" t="n">
        <v>1</v>
      </c>
      <c r="M10" s="4" t="n">
        <v>1</v>
      </c>
      <c r="N10" s="4" t="n">
        <v>1</v>
      </c>
    </row>
    <row r="11">
      <c r="A11" s="6" t="inlineStr">
        <is>
          <t>Spa &amp; Bien-être</t>
        </is>
      </c>
      <c r="B11" s="6">
        <f>SUM(C11:N11)</f>
        <v/>
      </c>
      <c r="C11" s="6" t="n">
        <v>1</v>
      </c>
      <c r="D11" s="6" t="n">
        <v>1</v>
      </c>
      <c r="E11" s="6" t="n">
        <v>1</v>
      </c>
      <c r="F11" s="6" t="n">
        <v>1</v>
      </c>
      <c r="G11" s="6" t="n">
        <v>1</v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</row>
    <row r="12">
      <c r="A12" s="4" t="inlineStr">
        <is>
          <t>Ressources Humaines</t>
        </is>
      </c>
      <c r="B12" s="4">
        <f>SUM(C12:N12)</f>
        <v/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4" t="n">
        <v>1</v>
      </c>
      <c r="I12" s="4" t="n">
        <v>1</v>
      </c>
      <c r="J12" s="4" t="n">
        <v>1</v>
      </c>
      <c r="K12" s="4" t="n">
        <v>1</v>
      </c>
      <c r="L12" s="4" t="n">
        <v>1</v>
      </c>
      <c r="M12" s="4" t="n">
        <v>1</v>
      </c>
      <c r="N12" s="4" t="n">
        <v>1</v>
      </c>
    </row>
    <row r="13">
      <c r="A13" s="6" t="inlineStr">
        <is>
          <t>Marketing &amp; Communication</t>
        </is>
      </c>
      <c r="B13" s="6">
        <f>SUM(C13:N13)</f>
        <v/>
      </c>
      <c r="C13" s="6" t="n">
        <v>1</v>
      </c>
      <c r="D13" s="6" t="n">
        <v>1</v>
      </c>
      <c r="E13" s="6" t="n">
        <v>1</v>
      </c>
      <c r="F13" s="6" t="n">
        <v>1</v>
      </c>
      <c r="G13" s="6" t="n">
        <v>1</v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</row>
    <row r="14">
      <c r="A14" s="4" t="inlineStr">
        <is>
          <t>Maintenance &amp; Technique</t>
        </is>
      </c>
      <c r="B14" s="4">
        <f>SUM(C14:N14)</f>
        <v/>
      </c>
      <c r="C14" s="4" t="n">
        <v>1</v>
      </c>
      <c r="D14" s="4" t="n">
        <v>1</v>
      </c>
      <c r="E14" s="4" t="n">
        <v>1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1</v>
      </c>
      <c r="L14" s="4" t="n">
        <v>1</v>
      </c>
      <c r="M14" s="4" t="n">
        <v>1</v>
      </c>
      <c r="N14" s="4" t="n">
        <v>1</v>
      </c>
    </row>
    <row r="15">
      <c r="A15" s="6" t="inlineStr">
        <is>
          <t>Sécurité</t>
        </is>
      </c>
      <c r="B15" s="6">
        <f>SUM(C15:N15)</f>
        <v/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</row>
    <row r="16">
      <c r="A16" s="4" t="inlineStr">
        <is>
          <t>Commerce</t>
        </is>
      </c>
      <c r="B16" s="4">
        <f>SUM(C16:N16)</f>
        <v/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</row>
    <row r="17">
      <c r="A17" s="6" t="inlineStr">
        <is>
          <t>Gouvernance</t>
        </is>
      </c>
      <c r="B17" s="6">
        <f>SUM(C17:N17)</f>
        <v/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</cols>
  <sheetData>
    <row r="2" ht="25" customHeight="1">
      <c r="A2" s="1" t="inlineStr">
        <is>
          <t>DOMAINE 25 — 18-TABLEAU DE BORD FINANCIER EXPATRIATION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Mois</t>
        </is>
      </c>
      <c r="B5" s="3" t="inlineStr">
        <is>
          <t>Salaires Expatriés</t>
        </is>
      </c>
      <c r="C5" s="3" t="inlineStr">
        <is>
          <t>Primes Expatriation</t>
        </is>
      </c>
      <c r="D5" s="3" t="inlineStr">
        <is>
          <t>Coûts Logement</t>
        </is>
      </c>
      <c r="E5" s="3" t="inlineStr">
        <is>
          <t>Coûts Scolarité</t>
        </is>
      </c>
      <c r="F5" s="3" t="inlineStr">
        <is>
          <t>Assurances</t>
        </is>
      </c>
      <c r="G5" s="3" t="inlineStr">
        <is>
          <t>Fiscalité</t>
        </is>
      </c>
      <c r="H5" s="3" t="inlineStr">
        <is>
          <t>Relocalisation</t>
        </is>
      </c>
      <c r="I5" s="3" t="inlineStr">
        <is>
          <t>Total Coûts (FCFA)</t>
        </is>
      </c>
      <c r="J5" s="3" t="inlineStr">
        <is>
          <t>Coût/Expatrié</t>
        </is>
      </c>
      <c r="K5" s="3" t="inlineStr">
        <is>
          <t>Budget</t>
        </is>
      </c>
      <c r="L5" s="3" t="inlineStr">
        <is>
          <t>Écart</t>
        </is>
      </c>
    </row>
    <row r="6">
      <c r="A6" s="4" t="inlineStr">
        <is>
          <t>Janvier 2025</t>
        </is>
      </c>
      <c r="B6" s="4" t="n">
        <v>34000000</v>
      </c>
      <c r="C6" s="4" t="n">
        <v>5800000</v>
      </c>
      <c r="D6" s="4" t="n">
        <v>3200000</v>
      </c>
      <c r="E6" s="4" t="n">
        <v>1550000</v>
      </c>
      <c r="F6" s="4" t="n">
        <v>450000</v>
      </c>
      <c r="G6" s="4" t="n">
        <v>1200000</v>
      </c>
      <c r="H6" s="4" t="n">
        <v>0</v>
      </c>
      <c r="I6" s="4">
        <f>SUM(B6:H6)</f>
        <v/>
      </c>
      <c r="J6" s="4">
        <f>IF(OR(B6="",I6=""),"",IFERROR(I6/B6,0))</f>
        <v/>
      </c>
      <c r="K6" s="4" t="n">
        <v>48000000</v>
      </c>
      <c r="L6" s="4">
        <f>K6-I6</f>
        <v/>
      </c>
    </row>
    <row r="7">
      <c r="A7" s="6" t="inlineStr">
        <is>
          <t>Février 2025</t>
        </is>
      </c>
      <c r="B7" s="6" t="n">
        <v>34000000</v>
      </c>
      <c r="C7" s="6" t="n">
        <v>5800000</v>
      </c>
      <c r="D7" s="6" t="n">
        <v>3200000</v>
      </c>
      <c r="E7" s="6" t="n">
        <v>1550000</v>
      </c>
      <c r="F7" s="6" t="n">
        <v>450000</v>
      </c>
      <c r="G7" s="6" t="n">
        <v>1200000</v>
      </c>
      <c r="H7" s="6" t="n">
        <v>0</v>
      </c>
      <c r="I7" s="6">
        <f>SUM(B7:H7)</f>
        <v/>
      </c>
      <c r="J7" s="6">
        <f>IF(OR(B7="",I7=""),"",IFERROR(I7/B7,0))</f>
        <v/>
      </c>
      <c r="K7" s="6" t="n">
        <v>48000000</v>
      </c>
      <c r="L7" s="6">
        <f>K7-I7</f>
        <v/>
      </c>
    </row>
    <row r="8">
      <c r="A8" s="4" t="inlineStr">
        <is>
          <t>Mars 2025</t>
        </is>
      </c>
      <c r="B8" s="4" t="n">
        <v>34000000</v>
      </c>
      <c r="C8" s="4" t="n">
        <v>5800000</v>
      </c>
      <c r="D8" s="4" t="n">
        <v>3200000</v>
      </c>
      <c r="E8" s="4" t="n">
        <v>1550000</v>
      </c>
      <c r="F8" s="4" t="n">
        <v>450000</v>
      </c>
      <c r="G8" s="4" t="n">
        <v>1200000</v>
      </c>
      <c r="H8" s="4" t="n">
        <v>200000</v>
      </c>
      <c r="I8" s="4">
        <f>SUM(B8:H8)</f>
        <v/>
      </c>
      <c r="J8" s="4">
        <f>IF(OR(B8="",I8=""),"",IFERROR(I8/B8,0))</f>
        <v/>
      </c>
      <c r="K8" s="4" t="n">
        <v>50000000</v>
      </c>
      <c r="L8" s="4">
        <f>K8-I8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>
        <f>SUM(B9:H9)</f>
        <v/>
      </c>
      <c r="J9" s="6">
        <f>IF(OR(B9="",I9=""),"",IFERROR(I9/B9,0))</f>
        <v/>
      </c>
      <c r="K9" s="6" t="n"/>
      <c r="L9" s="6">
        <f>IF(K9="","",K9-I9)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>
        <f>SUM(B10:H10)</f>
        <v/>
      </c>
      <c r="J10" s="4">
        <f>IF(OR(B10="",I10=""),"",IFERROR(I10/B10,0))</f>
        <v/>
      </c>
      <c r="K10" s="4" t="n"/>
      <c r="L10" s="4">
        <f>IF(K10="","",K10-I10)</f>
        <v/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>
        <f>SUM(B11:H11)</f>
        <v/>
      </c>
      <c r="J11" s="6">
        <f>IF(OR(B11="",I11=""),"",IFERROR(I11/B11,0))</f>
        <v/>
      </c>
      <c r="K11" s="6" t="n"/>
      <c r="L11" s="6">
        <f>IF(K11="","",K11-I11)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>
        <f>SUM(B12:H12)</f>
        <v/>
      </c>
      <c r="J12" s="4">
        <f>IF(OR(B12="",I12=""),"",IFERROR(I12/B12,0))</f>
        <v/>
      </c>
      <c r="K12" s="4" t="n"/>
      <c r="L12" s="4">
        <f>IF(K12="","",K12-I12)</f>
        <v/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>
        <f>SUM(B13:H13)</f>
        <v/>
      </c>
      <c r="J13" s="6">
        <f>IF(OR(B13="",I13=""),"",IFERROR(I13/B13,0))</f>
        <v/>
      </c>
      <c r="K13" s="6" t="n"/>
      <c r="L13" s="6">
        <f>IF(K13="","",K13-I13)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>
        <f>SUM(B14:H14)</f>
        <v/>
      </c>
      <c r="J14" s="4">
        <f>IF(OR(B14="",I14=""),"",IFERROR(I14/B14,0))</f>
        <v/>
      </c>
      <c r="K14" s="4" t="n"/>
      <c r="L14" s="4">
        <f>IF(K14="","",K14-I14)</f>
        <v/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>
        <f>SUM(B15:H15)</f>
        <v/>
      </c>
      <c r="J15" s="6">
        <f>IF(OR(B15="",I15=""),"",IFERROR(I15/B15,0))</f>
        <v/>
      </c>
      <c r="K15" s="6" t="n"/>
      <c r="L15" s="6">
        <f>IF(K15="","",K15-I15)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>
        <f>SUM(B16:H16)</f>
        <v/>
      </c>
      <c r="J16" s="4">
        <f>IF(OR(B16="",I16=""),"",IFERROR(I16/B16,0))</f>
        <v/>
      </c>
      <c r="K16" s="4" t="n"/>
      <c r="L16" s="4">
        <f>IF(K16="","",K16-I16)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>
        <f>SUM(B17:H17)</f>
        <v/>
      </c>
      <c r="J17" s="6">
        <f>IF(OR(B17="",I17=""),"",IFERROR(I17/B17,0))</f>
        <v/>
      </c>
      <c r="K17" s="6" t="n"/>
      <c r="L17" s="6">
        <f>IF(K17="","",K17-I17)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>
        <f>SUM(B18:H18)</f>
        <v/>
      </c>
      <c r="J18" s="4">
        <f>IF(OR(B18="",I18=""),"",IFERROR(I18/B18,0))</f>
        <v/>
      </c>
      <c r="K18" s="4" t="n"/>
      <c r="L18" s="4">
        <f>IF(K18="","",K18-I18)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>
        <f>SUM(B19:H19)</f>
        <v/>
      </c>
      <c r="J19" s="6">
        <f>IF(OR(B19="",I19=""),"",IFERROR(I19/B19,0))</f>
        <v/>
      </c>
      <c r="K19" s="6" t="n"/>
      <c r="L19" s="6">
        <f>IF(K19="","",K19-I19)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>
        <f>SUM(B20:H20)</f>
        <v/>
      </c>
      <c r="J20" s="4">
        <f>IF(OR(B20="",I20=""),"",IFERROR(I20/B20,0))</f>
        <v/>
      </c>
      <c r="K20" s="4" t="n"/>
      <c r="L20" s="4">
        <f>IF(K20="","",K20-I20)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>
        <f>SUM(B21:H21)</f>
        <v/>
      </c>
      <c r="J21" s="6">
        <f>IF(OR(B21="",I21=""),"",IFERROR(I21/B21,0))</f>
        <v/>
      </c>
      <c r="K21" s="6" t="n"/>
      <c r="L21" s="6">
        <f>IF(K21="","",K21-I21)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>
        <f>SUM(B22:H22)</f>
        <v/>
      </c>
      <c r="J22" s="4">
        <f>IF(OR(B22="",I22=""),"",IFERROR(I22/B22,0))</f>
        <v/>
      </c>
      <c r="K22" s="4" t="n"/>
      <c r="L22" s="4">
        <f>IF(K22="","",K22-I22)</f>
        <v/>
      </c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>
        <f>SUM(B23:H23)</f>
        <v/>
      </c>
      <c r="J23" s="6">
        <f>IF(OR(B23="",I23=""),"",IFERROR(I23/B23,0))</f>
        <v/>
      </c>
      <c r="K23" s="6" t="n"/>
      <c r="L23" s="6">
        <f>IF(K23="","",K23-I23)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>
        <f>SUM(B24:H24)</f>
        <v/>
      </c>
      <c r="J24" s="4">
        <f>IF(OR(B24="",I24=""),"",IFERROR(I24/B24,0))</f>
        <v/>
      </c>
      <c r="K24" s="4" t="n"/>
      <c r="L24" s="4">
        <f>IF(K24="","",K24-I24)</f>
        <v/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>
        <f>SUM(B25:H25)</f>
        <v/>
      </c>
      <c r="J25" s="6">
        <f>IF(OR(B25="",I25=""),"",IFERROR(I25/B25,0))</f>
        <v/>
      </c>
      <c r="K25" s="6" t="n"/>
      <c r="L25" s="6">
        <f>IF(K25="","",K25-I25)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>
        <f>SUM(B26:H26)</f>
        <v/>
      </c>
      <c r="J26" s="4">
        <f>IF(OR(B26="",I26=""),"",IFERROR(I26/B26,0))</f>
        <v/>
      </c>
      <c r="K26" s="4" t="n"/>
      <c r="L26" s="4">
        <f>IF(K26="","",K26-I26)</f>
        <v/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>
        <f>SUM(B27:H27)</f>
        <v/>
      </c>
      <c r="J27" s="6">
        <f>IF(OR(B27="",I27=""),"",IFERROR(I27/B27,0))</f>
        <v/>
      </c>
      <c r="K27" s="6" t="n"/>
      <c r="L27" s="6">
        <f>IF(K27="","",K27-I27)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>
        <f>SUM(B28:H28)</f>
        <v/>
      </c>
      <c r="J28" s="4">
        <f>IF(OR(B28="",I28=""),"",IFERROR(I28/B28,0))</f>
        <v/>
      </c>
      <c r="K28" s="4" t="n"/>
      <c r="L28" s="4">
        <f>IF(K28="","",K28-I28)</f>
        <v/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>
        <f>SUM(B29:H29)</f>
        <v/>
      </c>
      <c r="J29" s="6">
        <f>IF(OR(B29="",I29=""),"",IFERROR(I29/B29,0))</f>
        <v/>
      </c>
      <c r="K29" s="6" t="n"/>
      <c r="L29" s="6">
        <f>IF(K29="","",K29-I29)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>
        <f>SUM(B30:H30)</f>
        <v/>
      </c>
      <c r="J30" s="4">
        <f>IF(OR(B30="",I30=""),"",IFERROR(I30/B30,0))</f>
        <v/>
      </c>
      <c r="K30" s="4" t="n"/>
      <c r="L30" s="4">
        <f>IF(K30="","",K30-I30)</f>
        <v/>
      </c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>
        <f>SUM(B31:H31)</f>
        <v/>
      </c>
      <c r="J31" s="6">
        <f>IF(OR(B31="",I31=""),"",IFERROR(I31/B31,0))</f>
        <v/>
      </c>
      <c r="K31" s="6" t="n"/>
      <c r="L31" s="6">
        <f>IF(K31="","",K31-I31)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>
        <f>SUM(B32:H32)</f>
        <v/>
      </c>
      <c r="J32" s="4">
        <f>IF(OR(B32="",I32=""),"",IFERROR(I32/B32,0))</f>
        <v/>
      </c>
      <c r="K32" s="4" t="n"/>
      <c r="L32" s="4">
        <f>IF(K32="","",K32-I32)</f>
        <v/>
      </c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>
        <f>SUM(B33:H33)</f>
        <v/>
      </c>
      <c r="J33" s="6">
        <f>IF(OR(B33="",I33=""),"",IFERROR(I33/B33,0))</f>
        <v/>
      </c>
      <c r="K33" s="6" t="n"/>
      <c r="L33" s="6">
        <f>IF(K33="","",K33-I33)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>
        <f>SUM(B34:H34)</f>
        <v/>
      </c>
      <c r="J34" s="4">
        <f>IF(OR(B34="",I34=""),"",IFERROR(I34/B34,0))</f>
        <v/>
      </c>
      <c r="K34" s="4" t="n"/>
      <c r="L34" s="4">
        <f>IF(K34="","",K34-I34)</f>
        <v/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>
        <f>SUM(B35:H35)</f>
        <v/>
      </c>
      <c r="J35" s="6">
        <f>IF(OR(B35="",I35=""),"",IFERROR(I35/B35,0))</f>
        <v/>
      </c>
      <c r="K35" s="6" t="n"/>
      <c r="L35" s="6">
        <f>IF(K35="","",K35-I35)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>
        <f>SUM(B36:H36)</f>
        <v/>
      </c>
      <c r="J36" s="4">
        <f>IF(OR(B36="",I36=""),"",IFERROR(I36/B36,0))</f>
        <v/>
      </c>
      <c r="K36" s="4" t="n"/>
      <c r="L36" s="4">
        <f>IF(K36="","",K36-I36)</f>
        <v/>
      </c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>
        <f>SUM(B37:H37)</f>
        <v/>
      </c>
      <c r="J37" s="6">
        <f>IF(OR(B37="",I37=""),"",IFERROR(I37/B37,0))</f>
        <v/>
      </c>
      <c r="K37" s="6" t="n"/>
      <c r="L37" s="6">
        <f>IF(K37="","",K37-I37)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>
        <f>SUM(B38:H38)</f>
        <v/>
      </c>
      <c r="J38" s="4">
        <f>IF(OR(B38="",I38=""),"",IFERROR(I38/B38,0))</f>
        <v/>
      </c>
      <c r="K38" s="4" t="n"/>
      <c r="L38" s="4">
        <f>IF(K38="","",K38-I38)</f>
        <v/>
      </c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>
        <f>SUM(B39:H39)</f>
        <v/>
      </c>
      <c r="J39" s="6">
        <f>IF(OR(B39="",I39=""),"",IFERROR(I39/B39,0))</f>
        <v/>
      </c>
      <c r="K39" s="6" t="n"/>
      <c r="L39" s="6">
        <f>IF(K39="","",K39-I39)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>
        <f>SUM(B40:H40)</f>
        <v/>
      </c>
      <c r="J40" s="4">
        <f>IF(OR(B40="",I40=""),"",IFERROR(I40/B40,0))</f>
        <v/>
      </c>
      <c r="K40" s="4" t="n"/>
      <c r="L40" s="4">
        <f>IF(K40="","",K40-I40)</f>
        <v/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>
        <f>SUM(B41:H41)</f>
        <v/>
      </c>
      <c r="J41" s="6">
        <f>IF(OR(B41="",I41=""),"",IFERROR(I41/B41,0))</f>
        <v/>
      </c>
      <c r="K41" s="6" t="n"/>
      <c r="L41" s="6">
        <f>IF(K41="","",K41-I41)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>
        <f>SUM(B42:H42)</f>
        <v/>
      </c>
      <c r="J42" s="4">
        <f>IF(OR(B42="",I42=""),"",IFERROR(I42/B42,0))</f>
        <v/>
      </c>
      <c r="K42" s="4" t="n"/>
      <c r="L42" s="4">
        <f>IF(K42="","",K42-I42)</f>
        <v/>
      </c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>
        <f>SUM(B43:H43)</f>
        <v/>
      </c>
      <c r="J43" s="6">
        <f>IF(OR(B43="",I43=""),"",IFERROR(I43/B43,0))</f>
        <v/>
      </c>
      <c r="K43" s="6" t="n"/>
      <c r="L43" s="6">
        <f>IF(K43="","",K43-I43)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>
        <f>SUM(B44:H44)</f>
        <v/>
      </c>
      <c r="J44" s="4">
        <f>IF(OR(B44="",I44=""),"",IFERROR(I44/B44,0))</f>
        <v/>
      </c>
      <c r="K44" s="4" t="n"/>
      <c r="L44" s="4">
        <f>IF(K44="","",K44-I44)</f>
        <v/>
      </c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>
        <f>SUM(B45:H45)</f>
        <v/>
      </c>
      <c r="J45" s="6">
        <f>IF(OR(B45="",I45=""),"",IFERROR(I45/B45,0))</f>
        <v/>
      </c>
      <c r="K45" s="6" t="n"/>
      <c r="L45" s="6">
        <f>IF(K45="","",K45-I45)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>
        <f>SUM(B46:H46)</f>
        <v/>
      </c>
      <c r="J46" s="4">
        <f>IF(OR(B46="",I46=""),"",IFERROR(I46/B46,0))</f>
        <v/>
      </c>
      <c r="K46" s="4" t="n"/>
      <c r="L46" s="4">
        <f>IF(K46="","",K46-I46)</f>
        <v/>
      </c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>
        <f>SUM(B47:H47)</f>
        <v/>
      </c>
      <c r="J47" s="6">
        <f>IF(OR(B47="",I47=""),"",IFERROR(I47/B47,0))</f>
        <v/>
      </c>
      <c r="K47" s="6" t="n"/>
      <c r="L47" s="6">
        <f>IF(K47="","",K47-I47)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>
        <f>SUM(B48:H48)</f>
        <v/>
      </c>
      <c r="J48" s="4">
        <f>IF(OR(B48="",I48=""),"",IFERROR(I48/B48,0))</f>
        <v/>
      </c>
      <c r="K48" s="4" t="n"/>
      <c r="L48" s="4">
        <f>IF(K48="","",K48-I48)</f>
        <v/>
      </c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>
        <f>SUM(B49:H49)</f>
        <v/>
      </c>
      <c r="J49" s="6">
        <f>IF(OR(B49="",I49=""),"",IFERROR(I49/B49,0))</f>
        <v/>
      </c>
      <c r="K49" s="6" t="n"/>
      <c r="L49" s="6">
        <f>IF(K49="","",K49-I49)</f>
        <v/>
      </c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>
        <f>SUM(B50:H50)</f>
        <v/>
      </c>
      <c r="J50" s="4">
        <f>IF(OR(B50="",I50=""),"",IFERROR(I50/B50,0))</f>
        <v/>
      </c>
      <c r="K50" s="4" t="n"/>
      <c r="L50" s="4">
        <f>IF(K50="","",K50-I50)</f>
        <v/>
      </c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>
        <f>SUM(B51:H51)</f>
        <v/>
      </c>
      <c r="J51" s="6">
        <f>IF(OR(B51="",I51=""),"",IFERROR(I51/B51,0))</f>
        <v/>
      </c>
      <c r="K51" s="6" t="n"/>
      <c r="L51" s="6">
        <f>IF(K51="","",K51-I51)</f>
        <v/>
      </c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>
        <f>SUM(B52:H52)</f>
        <v/>
      </c>
      <c r="J52" s="4">
        <f>IF(OR(B52="",I52=""),"",IFERROR(I52/B52,0))</f>
        <v/>
      </c>
      <c r="K52" s="4" t="n"/>
      <c r="L52" s="4">
        <f>IF(K52="","",K52-I52)</f>
        <v/>
      </c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>
        <f>SUM(B53:H53)</f>
        <v/>
      </c>
      <c r="J53" s="6">
        <f>IF(OR(B53="",I53=""),"",IFERROR(I53/B53,0))</f>
        <v/>
      </c>
      <c r="K53" s="6" t="n"/>
      <c r="L53" s="6">
        <f>IF(K53="","",K53-I53)</f>
        <v/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>
        <f>SUM(B54:H54)</f>
        <v/>
      </c>
      <c r="J54" s="4">
        <f>IF(OR(B54="",I54=""),"",IFERROR(I54/B54,0))</f>
        <v/>
      </c>
      <c r="K54" s="4" t="n"/>
      <c r="L54" s="4">
        <f>IF(K54="","",K54-I54)</f>
        <v/>
      </c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>
        <f>SUM(B55:H55)</f>
        <v/>
      </c>
      <c r="J55" s="6">
        <f>IF(OR(B55="",I55=""),"",IFERROR(I55/B55,0))</f>
        <v/>
      </c>
      <c r="K55" s="6" t="n"/>
      <c r="L55" s="6">
        <f>IF(K55="","",K55-I55)</f>
        <v/>
      </c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>
        <f>SUM(B56:H56)</f>
        <v/>
      </c>
      <c r="J56" s="4">
        <f>IF(OR(B56="",I56=""),"",IFERROR(I56/B56,0))</f>
        <v/>
      </c>
      <c r="K56" s="4" t="n"/>
      <c r="L56" s="4">
        <f>IF(K56="","",K56-I56)</f>
        <v/>
      </c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>
        <f>SUM(B57:H57)</f>
        <v/>
      </c>
      <c r="J57" s="6">
        <f>IF(OR(B57="",I57=""),"",IFERROR(I57/B57,0))</f>
        <v/>
      </c>
      <c r="K57" s="6" t="n"/>
      <c r="L57" s="6">
        <f>IF(K57="","",K57-I57)</f>
        <v/>
      </c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>
        <f>SUM(B58:H58)</f>
        <v/>
      </c>
      <c r="J58" s="4">
        <f>IF(OR(B58="",I58=""),"",IFERROR(I58/B58,0))</f>
        <v/>
      </c>
      <c r="K58" s="4" t="n"/>
      <c r="L58" s="4">
        <f>IF(K58="","",K58-I58)</f>
        <v/>
      </c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>
        <f>SUM(B59:H59)</f>
        <v/>
      </c>
      <c r="J59" s="6">
        <f>IF(OR(B59="",I59=""),"",IFERROR(I59/B59,0))</f>
        <v/>
      </c>
      <c r="K59" s="6" t="n"/>
      <c r="L59" s="6">
        <f>IF(K59="","",K59-I59)</f>
        <v/>
      </c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>
        <f>SUM(B60:H60)</f>
        <v/>
      </c>
      <c r="J60" s="4">
        <f>IF(OR(B60="",I60=""),"",IFERROR(I60/B60,0))</f>
        <v/>
      </c>
      <c r="K60" s="4" t="n"/>
      <c r="L60" s="4">
        <f>IF(K60="","",K60-I60)</f>
        <v/>
      </c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>
        <f>SUM(B61:H61)</f>
        <v/>
      </c>
      <c r="J61" s="6">
        <f>IF(OR(B61="",I61=""),"",IFERROR(I61/B61,0))</f>
        <v/>
      </c>
      <c r="K61" s="6" t="n"/>
      <c r="L61" s="6">
        <f>IF(K61="","",K61-I61)</f>
        <v/>
      </c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>
        <f>SUM(B62:H62)</f>
        <v/>
      </c>
      <c r="J62" s="4">
        <f>IF(OR(B62="",I62=""),"",IFERROR(I62/B62,0))</f>
        <v/>
      </c>
      <c r="K62" s="4" t="n"/>
      <c r="L62" s="4">
        <f>IF(K62="","",K62-I62)</f>
        <v/>
      </c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>
        <f>SUM(B63:H63)</f>
        <v/>
      </c>
      <c r="J63" s="6">
        <f>IF(OR(B63="",I63=""),"",IFERROR(I63/B63,0))</f>
        <v/>
      </c>
      <c r="K63" s="6" t="n"/>
      <c r="L63" s="6">
        <f>IF(K63="","",K63-I63)</f>
        <v/>
      </c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>
        <f>SUM(B64:H64)</f>
        <v/>
      </c>
      <c r="J64" s="4">
        <f>IF(OR(B64="",I64=""),"",IFERROR(I64/B64,0))</f>
        <v/>
      </c>
      <c r="K64" s="4" t="n"/>
      <c r="L64" s="4">
        <f>IF(K64="","",K64-I64)</f>
        <v/>
      </c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>
        <f>SUM(B65:H65)</f>
        <v/>
      </c>
      <c r="J65" s="6">
        <f>IF(OR(B65="",I65=""),"",IFERROR(I65/B65,0))</f>
        <v/>
      </c>
      <c r="K65" s="6" t="n"/>
      <c r="L65" s="6">
        <f>IF(K65="","",K65-I65)</f>
        <v/>
      </c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>
        <f>SUM(B66:H66)</f>
        <v/>
      </c>
      <c r="J66" s="4">
        <f>IF(OR(B66="",I66=""),"",IFERROR(I66/B66,0))</f>
        <v/>
      </c>
      <c r="K66" s="4" t="n"/>
      <c r="L66" s="4">
        <f>IF(K66="","",K66-I66)</f>
        <v/>
      </c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>
        <f>SUM(B67:H67)</f>
        <v/>
      </c>
      <c r="J67" s="6">
        <f>IF(OR(B67="",I67=""),"",IFERROR(I67/B67,0))</f>
        <v/>
      </c>
      <c r="K67" s="6" t="n"/>
      <c r="L67" s="6">
        <f>IF(K67="","",K67-I67)</f>
        <v/>
      </c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>
        <f>SUM(B68:H68)</f>
        <v/>
      </c>
      <c r="J68" s="4">
        <f>IF(OR(B68="",I68=""),"",IFERROR(I68/B68,0))</f>
        <v/>
      </c>
      <c r="K68" s="4" t="n"/>
      <c r="L68" s="4">
        <f>IF(K68="","",K68-I68)</f>
        <v/>
      </c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>
        <f>SUM(B69:H69)</f>
        <v/>
      </c>
      <c r="J69" s="6">
        <f>IF(OR(B69="",I69=""),"",IFERROR(I69/B69,0))</f>
        <v/>
      </c>
      <c r="K69" s="6" t="n"/>
      <c r="L69" s="6">
        <f>IF(K69="","",K69-I69)</f>
        <v/>
      </c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>
        <f>SUM(B70:H70)</f>
        <v/>
      </c>
      <c r="J70" s="4">
        <f>IF(OR(B70="",I70=""),"",IFERROR(I70/B70,0))</f>
        <v/>
      </c>
      <c r="K70" s="4" t="n"/>
      <c r="L70" s="4">
        <f>IF(K70="","",K70-I70)</f>
        <v/>
      </c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>
        <f>SUM(B71:H71)</f>
        <v/>
      </c>
      <c r="J71" s="6">
        <f>IF(OR(B71="",I71=""),"",IFERROR(I71/B71,0))</f>
        <v/>
      </c>
      <c r="K71" s="6" t="n"/>
      <c r="L71" s="6">
        <f>IF(K71="","",K71-I71)</f>
        <v/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>
        <f>SUM(B72:H72)</f>
        <v/>
      </c>
      <c r="J72" s="4">
        <f>IF(OR(B72="",I72=""),"",IFERROR(I72/B72,0))</f>
        <v/>
      </c>
      <c r="K72" s="4" t="n"/>
      <c r="L72" s="4">
        <f>IF(K72="","",K72-I72)</f>
        <v/>
      </c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>
        <f>SUM(B73:H73)</f>
        <v/>
      </c>
      <c r="J73" s="6">
        <f>IF(OR(B73="",I73=""),"",IFERROR(I73/B73,0))</f>
        <v/>
      </c>
      <c r="K73" s="6" t="n"/>
      <c r="L73" s="6">
        <f>IF(K73="","",K73-I73)</f>
        <v/>
      </c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>
        <f>SUM(B74:H74)</f>
        <v/>
      </c>
      <c r="J74" s="4">
        <f>IF(OR(B74="",I74=""),"",IFERROR(I74/B74,0))</f>
        <v/>
      </c>
      <c r="K74" s="4" t="n"/>
      <c r="L74" s="4">
        <f>IF(K74="","",K74-I74)</f>
        <v/>
      </c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>
        <f>SUM(B75:H75)</f>
        <v/>
      </c>
      <c r="J75" s="6">
        <f>IF(OR(B75="",I75=""),"",IFERROR(I75/B75,0))</f>
        <v/>
      </c>
      <c r="K75" s="6" t="n"/>
      <c r="L75" s="6">
        <f>IF(K75="","",K75-I75)</f>
        <v/>
      </c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>
        <f>SUM(B76:H76)</f>
        <v/>
      </c>
      <c r="J76" s="4">
        <f>IF(OR(B76="",I76=""),"",IFERROR(I76/B76,0))</f>
        <v/>
      </c>
      <c r="K76" s="4" t="n"/>
      <c r="L76" s="4">
        <f>IF(K76="","",K76-I76)</f>
        <v/>
      </c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>
        <f>SUM(B77:H77)</f>
        <v/>
      </c>
      <c r="J77" s="6">
        <f>IF(OR(B77="",I77=""),"",IFERROR(I77/B77,0))</f>
        <v/>
      </c>
      <c r="K77" s="6" t="n"/>
      <c r="L77" s="6">
        <f>IF(K77="","",K77-I77)</f>
        <v/>
      </c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>
        <f>SUM(B78:H78)</f>
        <v/>
      </c>
      <c r="J78" s="4">
        <f>IF(OR(B78="",I78=""),"",IFERROR(I78/B78,0))</f>
        <v/>
      </c>
      <c r="K78" s="4" t="n"/>
      <c r="L78" s="4">
        <f>IF(K78="","",K78-I78)</f>
        <v/>
      </c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>
        <f>SUM(B79:H79)</f>
        <v/>
      </c>
      <c r="J79" s="6">
        <f>IF(OR(B79="",I79=""),"",IFERROR(I79/B79,0))</f>
        <v/>
      </c>
      <c r="K79" s="6" t="n"/>
      <c r="L79" s="6">
        <f>IF(K79="","",K79-I79)</f>
        <v/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>
        <f>SUM(B80:H80)</f>
        <v/>
      </c>
      <c r="J80" s="4">
        <f>IF(OR(B80="",I80=""),"",IFERROR(I80/B80,0))</f>
        <v/>
      </c>
      <c r="K80" s="4" t="n"/>
      <c r="L80" s="4">
        <f>IF(K80="","",K80-I80)</f>
        <v/>
      </c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>
        <f>SUM(B81:H81)</f>
        <v/>
      </c>
      <c r="J81" s="6">
        <f>IF(OR(B81="",I81=""),"",IFERROR(I81/B81,0))</f>
        <v/>
      </c>
      <c r="K81" s="6" t="n"/>
      <c r="L81" s="6">
        <f>IF(K81="","",K81-I81)</f>
        <v/>
      </c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>
        <f>SUM(B82:H82)</f>
        <v/>
      </c>
      <c r="J82" s="4">
        <f>IF(OR(B82="",I82=""),"",IFERROR(I82/B82,0))</f>
        <v/>
      </c>
      <c r="K82" s="4" t="n"/>
      <c r="L82" s="4">
        <f>IF(K82="","",K82-I82)</f>
        <v/>
      </c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>
        <f>SUM(B83:H83)</f>
        <v/>
      </c>
      <c r="J83" s="6">
        <f>IF(OR(B83="",I83=""),"",IFERROR(I83/B83,0))</f>
        <v/>
      </c>
      <c r="K83" s="6" t="n"/>
      <c r="L83" s="6">
        <f>IF(K83="","",K83-I83)</f>
        <v/>
      </c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>
        <f>SUM(B84:H84)</f>
        <v/>
      </c>
      <c r="J84" s="4">
        <f>IF(OR(B84="",I84=""),"",IFERROR(I84/B84,0))</f>
        <v/>
      </c>
      <c r="K84" s="4" t="n"/>
      <c r="L84" s="4">
        <f>IF(K84="","",K84-I84)</f>
        <v/>
      </c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>
        <f>SUM(B85:H85)</f>
        <v/>
      </c>
      <c r="J85" s="6">
        <f>IF(OR(B85="",I85=""),"",IFERROR(I85/B85,0))</f>
        <v/>
      </c>
      <c r="K85" s="6" t="n"/>
      <c r="L85" s="6">
        <f>IF(K85="","",K85-I85)</f>
        <v/>
      </c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>
        <f>SUM(B86:H86)</f>
        <v/>
      </c>
      <c r="J86" s="4">
        <f>IF(OR(B86="",I86=""),"",IFERROR(I86/B86,0))</f>
        <v/>
      </c>
      <c r="K86" s="4" t="n"/>
      <c r="L86" s="4">
        <f>IF(K86="","",K86-I86)</f>
        <v/>
      </c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>
        <f>SUM(B87:H87)</f>
        <v/>
      </c>
      <c r="J87" s="6">
        <f>IF(OR(B87="",I87=""),"",IFERROR(I87/B87,0))</f>
        <v/>
      </c>
      <c r="K87" s="6" t="n"/>
      <c r="L87" s="6">
        <f>IF(K87="","",K87-I87)</f>
        <v/>
      </c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>
        <f>SUM(B88:H88)</f>
        <v/>
      </c>
      <c r="J88" s="4">
        <f>IF(OR(B88="",I88=""),"",IFERROR(I88/B88,0))</f>
        <v/>
      </c>
      <c r="K88" s="4" t="n"/>
      <c r="L88" s="4">
        <f>IF(K88="","",K88-I88)</f>
        <v/>
      </c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>
        <f>SUM(B89:H89)</f>
        <v/>
      </c>
      <c r="J89" s="6">
        <f>IF(OR(B89="",I89=""),"",IFERROR(I89/B89,0))</f>
        <v/>
      </c>
      <c r="K89" s="6" t="n"/>
      <c r="L89" s="6">
        <f>IF(K89="","",K89-I89)</f>
        <v/>
      </c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>
        <f>SUM(B90:H90)</f>
        <v/>
      </c>
      <c r="J90" s="4">
        <f>IF(OR(B90="",I90=""),"",IFERROR(I90/B90,0))</f>
        <v/>
      </c>
      <c r="K90" s="4" t="n"/>
      <c r="L90" s="4">
        <f>IF(K90="","",K90-I90)</f>
        <v/>
      </c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>
        <f>SUM(B91:H91)</f>
        <v/>
      </c>
      <c r="J91" s="6">
        <f>IF(OR(B91="",I91=""),"",IFERROR(I91/B91,0))</f>
        <v/>
      </c>
      <c r="K91" s="6" t="n"/>
      <c r="L91" s="6">
        <f>IF(K91="","",K91-I91)</f>
        <v/>
      </c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>
        <f>SUM(B92:H92)</f>
        <v/>
      </c>
      <c r="J92" s="4">
        <f>IF(OR(B92="",I92=""),"",IFERROR(I92/B92,0))</f>
        <v/>
      </c>
      <c r="K92" s="4" t="n"/>
      <c r="L92" s="4">
        <f>IF(K92="","",K92-I92)</f>
        <v/>
      </c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>
        <f>SUM(B93:H93)</f>
        <v/>
      </c>
      <c r="J93" s="6">
        <f>IF(OR(B93="",I93=""),"",IFERROR(I93/B93,0))</f>
        <v/>
      </c>
      <c r="K93" s="6" t="n"/>
      <c r="L93" s="6">
        <f>IF(K93="","",K93-I93)</f>
        <v/>
      </c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>
        <f>SUM(B94:H94)</f>
        <v/>
      </c>
      <c r="J94" s="4">
        <f>IF(OR(B94="",I94=""),"",IFERROR(I94/B94,0))</f>
        <v/>
      </c>
      <c r="K94" s="4" t="n"/>
      <c r="L94" s="4">
        <f>IF(K94="","",K94-I94)</f>
        <v/>
      </c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>
        <f>SUM(B95:H95)</f>
        <v/>
      </c>
      <c r="J95" s="6">
        <f>IF(OR(B95="",I95=""),"",IFERROR(I95/B95,0))</f>
        <v/>
      </c>
      <c r="K95" s="6" t="n"/>
      <c r="L95" s="6">
        <f>IF(K95="","",K95-I95)</f>
        <v/>
      </c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>
        <f>SUM(B96:H96)</f>
        <v/>
      </c>
      <c r="J96" s="4">
        <f>IF(OR(B96="",I96=""),"",IFERROR(I96/B96,0))</f>
        <v/>
      </c>
      <c r="K96" s="4" t="n"/>
      <c r="L96" s="4">
        <f>IF(K96="","",K96-I96)</f>
        <v/>
      </c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>
        <f>SUM(B97:H97)</f>
        <v/>
      </c>
      <c r="J97" s="6">
        <f>IF(OR(B97="",I97=""),"",IFERROR(I97/B97,0))</f>
        <v/>
      </c>
      <c r="K97" s="6" t="n"/>
      <c r="L97" s="6">
        <f>IF(K97="","",K97-I97)</f>
        <v/>
      </c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>
        <f>SUM(B98:H98)</f>
        <v/>
      </c>
      <c r="J98" s="4">
        <f>IF(OR(B98="",I98=""),"",IFERROR(I98/B98,0))</f>
        <v/>
      </c>
      <c r="K98" s="4" t="n"/>
      <c r="L98" s="4">
        <f>IF(K98="","",K98-I98)</f>
        <v/>
      </c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>
        <f>SUM(B99:H99)</f>
        <v/>
      </c>
      <c r="J99" s="6">
        <f>IF(OR(B99="",I99=""),"",IFERROR(I99/B99,0))</f>
        <v/>
      </c>
      <c r="K99" s="6" t="n"/>
      <c r="L99" s="6">
        <f>IF(K99="","",K99-I99)</f>
        <v/>
      </c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>
        <f>SUM(B100:H100)</f>
        <v/>
      </c>
      <c r="J100" s="4">
        <f>IF(OR(B100="",I100=""),"",IFERROR(I100/B100,0))</f>
        <v/>
      </c>
      <c r="K100" s="4" t="n"/>
      <c r="L100" s="4">
        <f>IF(K100="","",K100-I100)</f>
        <v/>
      </c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>
        <f>SUM(B101:H101)</f>
        <v/>
      </c>
      <c r="J101" s="6">
        <f>IF(OR(B101="",I101=""),"",IFERROR(I101/B101,0))</f>
        <v/>
      </c>
      <c r="K101" s="6" t="n"/>
      <c r="L101" s="6">
        <f>IF(K101="","",K101-I101)</f>
        <v/>
      </c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>
        <f>SUM(B102:H102)</f>
        <v/>
      </c>
      <c r="J102" s="4">
        <f>IF(OR(B102="",I102=""),"",IFERROR(I102/B102,0))</f>
        <v/>
      </c>
      <c r="K102" s="4" t="n"/>
      <c r="L102" s="4">
        <f>IF(K102="","",K102-I102)</f>
        <v/>
      </c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>
        <f>SUM(B103:H103)</f>
        <v/>
      </c>
      <c r="J103" s="6">
        <f>IF(OR(B103="",I103=""),"",IFERROR(I103/B103,0))</f>
        <v/>
      </c>
      <c r="K103" s="6" t="n"/>
      <c r="L103" s="6">
        <f>IF(K103="","",K103-I103)</f>
        <v/>
      </c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>
        <f>SUM(B104:H104)</f>
        <v/>
      </c>
      <c r="J104" s="4">
        <f>IF(OR(B104="",I104=""),"",IFERROR(I104/B104,0))</f>
        <v/>
      </c>
      <c r="K104" s="4" t="n"/>
      <c r="L104" s="4">
        <f>IF(K104="","",K104-I104)</f>
        <v/>
      </c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>
        <f>SUM(B105:H105)</f>
        <v/>
      </c>
      <c r="J105" s="6">
        <f>IF(OR(B105="",I105=""),"",IFERROR(I105/B105,0))</f>
        <v/>
      </c>
      <c r="K105" s="6" t="n"/>
      <c r="L105" s="6">
        <f>IF(K105="","",K105-I105)</f>
        <v/>
      </c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>
        <f>SUM(B106:H106)</f>
        <v/>
      </c>
      <c r="J106" s="4">
        <f>IF(OR(B106="",I106=""),"",IFERROR(I106/B106,0))</f>
        <v/>
      </c>
      <c r="K106" s="4" t="n"/>
      <c r="L106" s="4">
        <f>IF(K106="","",K106-I106)</f>
        <v/>
      </c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>
        <f>SUM(B107:H107)</f>
        <v/>
      </c>
      <c r="J107" s="6">
        <f>IF(OR(B107="",I107=""),"",IFERROR(I107/B107,0))</f>
        <v/>
      </c>
      <c r="K107" s="6" t="n"/>
      <c r="L107" s="6">
        <f>IF(K107="","",K107-I107)</f>
        <v/>
      </c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>
        <f>SUM(B108:H108)</f>
        <v/>
      </c>
      <c r="J108" s="4">
        <f>IF(OR(B108="",I108=""),"",IFERROR(I108/B108,0))</f>
        <v/>
      </c>
      <c r="K108" s="4" t="n"/>
      <c r="L108" s="4">
        <f>IF(K108="","",K108-I108)</f>
        <v/>
      </c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>
        <f>SUM(B109:H109)</f>
        <v/>
      </c>
      <c r="J109" s="6">
        <f>IF(OR(B109="",I109=""),"",IFERROR(I109/B109,0))</f>
        <v/>
      </c>
      <c r="K109" s="6" t="n"/>
      <c r="L109" s="6">
        <f>IF(K109="","",K109-I109)</f>
        <v/>
      </c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>
        <f>SUM(B110:H110)</f>
        <v/>
      </c>
      <c r="J110" s="4">
        <f>IF(OR(B110="",I110=""),"",IFERROR(I110/B110,0))</f>
        <v/>
      </c>
      <c r="K110" s="4" t="n"/>
      <c r="L110" s="4">
        <f>IF(K110="","",K110-I110)</f>
        <v/>
      </c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>
        <f>SUM(B111:H111)</f>
        <v/>
      </c>
      <c r="J111" s="6">
        <f>IF(OR(B111="",I111=""),"",IFERROR(I111/B111,0))</f>
        <v/>
      </c>
      <c r="K111" s="6" t="n"/>
      <c r="L111" s="6">
        <f>IF(K111="","",K111-I111)</f>
        <v/>
      </c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>
        <f>SUM(B112:H112)</f>
        <v/>
      </c>
      <c r="J112" s="4">
        <f>IF(OR(B112="",I112=""),"",IFERROR(I112/B112,0))</f>
        <v/>
      </c>
      <c r="K112" s="4" t="n"/>
      <c r="L112" s="4">
        <f>IF(K112="","",K112-I112)</f>
        <v/>
      </c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>
        <f>SUM(B113:H113)</f>
        <v/>
      </c>
      <c r="J113" s="6">
        <f>IF(OR(B113="",I113=""),"",IFERROR(I113/B113,0))</f>
        <v/>
      </c>
      <c r="K113" s="6" t="n"/>
      <c r="L113" s="6">
        <f>IF(K113="","",K113-I113)</f>
        <v/>
      </c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>
        <f>SUM(B114:H114)</f>
        <v/>
      </c>
      <c r="J114" s="4">
        <f>IF(OR(B114="",I114=""),"",IFERROR(I114/B114,0))</f>
        <v/>
      </c>
      <c r="K114" s="4" t="n"/>
      <c r="L114" s="4">
        <f>IF(K114="","",K114-I114)</f>
        <v/>
      </c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>
        <f>SUM(B115:H115)</f>
        <v/>
      </c>
      <c r="J115" s="6">
        <f>IF(OR(B115="",I115=""),"",IFERROR(I115/B115,0))</f>
        <v/>
      </c>
      <c r="K115" s="6" t="n"/>
      <c r="L115" s="6">
        <f>IF(K115="","",K115-I115)</f>
        <v/>
      </c>
    </row>
  </sheetData>
  <mergeCells count="2">
    <mergeCell ref="A3:N3"/>
    <mergeCell ref="A2:N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0695C"/>
    <outlinePr summaryBelow="1" summaryRight="1"/>
    <pageSetUpPr/>
  </sheetPr>
  <dimension ref="A2:N11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6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2" ht="25" customHeight="1">
      <c r="A2" s="1" t="inlineStr">
        <is>
          <t>DOMAINE 25 — 19-INDICATEURS DE PERFORMANCE EXPATRIATION</t>
        </is>
      </c>
    </row>
    <row r="3" ht="18" customHeight="1">
      <c r="A3" s="2" t="inlineStr">
        <is>
          <t>TABLEAU DYNAMIQUE — Saisissez dans la zone prévue ci-dessous</t>
        </is>
      </c>
    </row>
    <row r="5">
      <c r="A5" s="3" t="inlineStr">
        <is>
          <t>Code Indic.</t>
        </is>
      </c>
      <c r="B5" s="3" t="inlineStr">
        <is>
          <t>Indicateur</t>
        </is>
      </c>
      <c r="C5" s="3" t="inlineStr">
        <is>
          <t>Cible</t>
        </is>
      </c>
      <c r="D5" s="3" t="inlineStr">
        <is>
          <t>Valeur Actuelle</t>
        </is>
      </c>
      <c r="E5" s="3" t="inlineStr">
        <is>
          <t>Écart</t>
        </is>
      </c>
      <c r="F5" s="3" t="inlineStr">
        <is>
          <t>Tendance</t>
        </is>
      </c>
      <c r="G5" s="3" t="inlineStr">
        <is>
          <t>Fréquence</t>
        </is>
      </c>
      <c r="H5" s="3" t="inlineStr">
        <is>
          <t>Responsable</t>
        </is>
      </c>
    </row>
    <row r="6">
      <c r="A6" s="4" t="inlineStr">
        <is>
          <t>EXP-01</t>
        </is>
      </c>
      <c r="B6" s="4" t="inlineStr">
        <is>
          <t>Taux de conformité visas/permis</t>
        </is>
      </c>
      <c r="C6" s="4" t="n">
        <v>100</v>
      </c>
      <c r="D6" s="4" t="n">
        <v>90</v>
      </c>
      <c r="E6" s="4">
        <f>IF(OR(C6="",D6=""),"",D6-C6)</f>
        <v/>
      </c>
      <c r="F6" s="4">
        <f>IF(E6="","",IF(E6&gt;0,"Hausse",IF(E6&lt;0,"Baisse","Stable")))</f>
        <v/>
      </c>
      <c r="G6" s="4" t="inlineStr">
        <is>
          <t>Mensuel</t>
        </is>
      </c>
      <c r="H6" s="4" t="inlineStr">
        <is>
          <t>DRH</t>
        </is>
      </c>
    </row>
    <row r="7">
      <c r="A7" s="6" t="inlineStr">
        <is>
          <t>EXP-02</t>
        </is>
      </c>
      <c r="B7" s="6" t="inlineStr">
        <is>
          <t>Taux de rétention expatriés</t>
        </is>
      </c>
      <c r="C7" s="6" t="n">
        <v>80</v>
      </c>
      <c r="D7" s="6" t="n">
        <v>85</v>
      </c>
      <c r="E7" s="6">
        <f>IF(OR(C7="",D7=""),"",D7-C7)</f>
        <v/>
      </c>
      <c r="F7" s="6">
        <f>IF(E7="","",IF(E7&gt;0,"Hausse",IF(E7&lt;0,"Baisse","Stable")))</f>
        <v/>
      </c>
      <c r="G7" s="6" t="inlineStr">
        <is>
          <t>Annuel</t>
        </is>
      </c>
      <c r="H7" s="6" t="inlineStr">
        <is>
          <t>DG</t>
        </is>
      </c>
    </row>
    <row r="8">
      <c r="A8" s="4" t="inlineStr">
        <is>
          <t>EXP-03</t>
        </is>
      </c>
      <c r="B8" s="4" t="inlineStr">
        <is>
          <t>Délai moyen obtention visa (jours)</t>
        </is>
      </c>
      <c r="C8" s="4" t="n">
        <v>30</v>
      </c>
      <c r="D8" s="4" t="n">
        <v>25</v>
      </c>
      <c r="E8" s="4">
        <f>IF(OR(C8="",D8=""),"",D8-C8)</f>
        <v/>
      </c>
      <c r="F8" s="4">
        <f>IF(E8="","",IF(E8&gt;0,"Hausse",IF(E8&lt;0,"Baisse","Stable")))</f>
        <v/>
      </c>
      <c r="G8" s="4" t="inlineStr">
        <is>
          <t>Trimestriel</t>
        </is>
      </c>
      <c r="H8" s="4" t="inlineStr">
        <is>
          <t>DRH</t>
        </is>
      </c>
    </row>
    <row r="9">
      <c r="A9" s="6" t="inlineStr">
        <is>
          <t>EXP-04</t>
        </is>
      </c>
      <c r="B9" s="6" t="inlineStr">
        <is>
          <t>Coût moyen/expatrié (FCFA/mois)</t>
        </is>
      </c>
      <c r="C9" s="6" t="n">
        <v>4000000</v>
      </c>
      <c r="D9" s="6" t="n">
        <v>3850000</v>
      </c>
      <c r="E9" s="6">
        <f>IF(OR(C9="",D9=""),"",D9-C9)</f>
        <v/>
      </c>
      <c r="F9" s="6">
        <f>IF(E9="","",IF(E9&gt;0,"Hausse",IF(E9&lt;0,"Baisse","Stable")))</f>
        <v/>
      </c>
      <c r="G9" s="6" t="inlineStr">
        <is>
          <t>Mensuel</t>
        </is>
      </c>
      <c r="H9" s="6" t="inlineStr">
        <is>
          <t>DAF</t>
        </is>
      </c>
    </row>
    <row r="10">
      <c r="A10" s="4" t="inlineStr">
        <is>
          <t>EXP-05</t>
        </is>
      </c>
      <c r="B10" s="4" t="inlineStr">
        <is>
          <t>Taux satisfaction expatriés</t>
        </is>
      </c>
      <c r="C10" s="4" t="n">
        <v>85</v>
      </c>
      <c r="D10" s="4" t="n">
        <v>85</v>
      </c>
      <c r="E10" s="4">
        <f>IF(OR(C10="",D10=""),"",D10-C10)</f>
        <v/>
      </c>
      <c r="F10" s="4">
        <f>IF(E10="","",IF(E10&gt;0,"Hausse",IF(E10&lt;0,"Baisse","Stable")))</f>
        <v/>
      </c>
      <c r="G10" s="4" t="inlineStr">
        <is>
          <t>Semestriel</t>
        </is>
      </c>
      <c r="H10" s="4" t="inlineStr">
        <is>
          <t>DRH</t>
        </is>
      </c>
    </row>
    <row r="11">
      <c r="A11" s="6" t="inlineStr">
        <is>
          <t>EXP-06</t>
        </is>
      </c>
      <c r="B11" s="6" t="inlineStr">
        <is>
          <t>Délai moyen relocalisation (jours)</t>
        </is>
      </c>
      <c r="C11" s="6" t="n">
        <v>45</v>
      </c>
      <c r="D11" s="6" t="n">
        <v>38</v>
      </c>
      <c r="E11" s="6">
        <f>IF(OR(C11="",D11=""),"",D11-C11)</f>
        <v/>
      </c>
      <c r="F11" s="6">
        <f>IF(E11="","",IF(E11&gt;0,"Hausse",IF(E11&lt;0,"Baisse","Stable")))</f>
        <v/>
      </c>
      <c r="G11" s="6" t="inlineStr">
        <is>
          <t>Par mission</t>
        </is>
      </c>
      <c r="H11" s="6" t="inlineStr">
        <is>
          <t>DRH</t>
        </is>
      </c>
    </row>
    <row r="12">
      <c r="A12" s="4" t="inlineStr">
        <is>
          <t>EXP-07</t>
        </is>
      </c>
      <c r="B12" s="4" t="inlineStr">
        <is>
          <t>Nb litiges ouverts</t>
        </is>
      </c>
      <c r="C12" s="4" t="n">
        <v>2</v>
      </c>
      <c r="D12" s="4" t="n">
        <v>1</v>
      </c>
      <c r="E12" s="4">
        <f>IF(OR(C12="",D12=""),"",D12-C12)</f>
        <v/>
      </c>
      <c r="F12" s="4">
        <f>IF(E12="","",IF(E12&gt;0,"Hausse",IF(E12&lt;0,"Baisse","Stable")))</f>
        <v/>
      </c>
      <c r="G12" s="4" t="inlineStr">
        <is>
          <t>Mensuel</t>
        </is>
      </c>
      <c r="H12" s="4" t="inlineStr">
        <is>
          <t>DRH</t>
        </is>
      </c>
    </row>
    <row r="13">
      <c r="A13" s="6" t="inlineStr">
        <is>
          <t>EXP-08</t>
        </is>
      </c>
      <c r="B13" s="6" t="inlineStr">
        <is>
          <t>Taux handover complet à fin de mission</t>
        </is>
      </c>
      <c r="C13" s="6" t="n">
        <v>100</v>
      </c>
      <c r="D13" s="6" t="n">
        <v>90</v>
      </c>
      <c r="E13" s="6">
        <f>IF(OR(C13="",D13=""),"",D13-C13)</f>
        <v/>
      </c>
      <c r="F13" s="6">
        <f>IF(E13="","",IF(E13&gt;0,"Hausse",IF(E13&lt;0,"Baisse","Stable")))</f>
        <v/>
      </c>
      <c r="G13" s="6" t="inlineStr">
        <is>
          <t>Par départ</t>
        </is>
      </c>
      <c r="H13" s="6" t="inlineStr">
        <is>
          <t>DRH</t>
        </is>
      </c>
    </row>
    <row r="14">
      <c r="A14" s="4" t="n"/>
      <c r="B14" s="4" t="n"/>
      <c r="C14" s="4" t="n"/>
      <c r="D14" s="4" t="n"/>
      <c r="E14" s="4">
        <f>IF(OR(C14="",D14=""),"",D14-C14)</f>
        <v/>
      </c>
      <c r="F14" s="4">
        <f>IF(E14="","",IF(E14&gt;0,"Hausse",IF(E14&lt;0,"Baisse","Stable")))</f>
        <v/>
      </c>
      <c r="G14" s="4" t="n"/>
      <c r="H14" s="4" t="n"/>
    </row>
    <row r="15">
      <c r="A15" s="6" t="n"/>
      <c r="B15" s="6" t="n"/>
      <c r="C15" s="6" t="n"/>
      <c r="D15" s="6" t="n"/>
      <c r="E15" s="6">
        <f>IF(OR(C15="",D15=""),"",D15-C15)</f>
        <v/>
      </c>
      <c r="F15" s="6">
        <f>IF(E15="","",IF(E15&gt;0,"Hausse",IF(E15&lt;0,"Baisse","Stable")))</f>
        <v/>
      </c>
      <c r="G15" s="6" t="n"/>
      <c r="H15" s="6" t="n"/>
    </row>
    <row r="16">
      <c r="A16" s="4" t="n"/>
      <c r="B16" s="4" t="n"/>
      <c r="C16" s="4" t="n"/>
      <c r="D16" s="4" t="n"/>
      <c r="E16" s="4">
        <f>IF(OR(C16="",D16=""),"",D16-C16)</f>
        <v/>
      </c>
      <c r="F16" s="4">
        <f>IF(E16="","",IF(E16&gt;0,"Hausse",IF(E16&lt;0,"Baisse","Stable")))</f>
        <v/>
      </c>
      <c r="G16" s="4" t="n"/>
      <c r="H16" s="4" t="n"/>
    </row>
    <row r="17">
      <c r="A17" s="6" t="n"/>
      <c r="B17" s="6" t="n"/>
      <c r="C17" s="6" t="n"/>
      <c r="D17" s="6" t="n"/>
      <c r="E17" s="6">
        <f>IF(OR(C17="",D17=""),"",D17-C17)</f>
        <v/>
      </c>
      <c r="F17" s="6">
        <f>IF(E17="","",IF(E17&gt;0,"Hausse",IF(E17&lt;0,"Baisse","Stable")))</f>
        <v/>
      </c>
      <c r="G17" s="6" t="n"/>
      <c r="H17" s="6" t="n"/>
    </row>
    <row r="18">
      <c r="A18" s="4" t="n"/>
      <c r="B18" s="4" t="n"/>
      <c r="C18" s="4" t="n"/>
      <c r="D18" s="4" t="n"/>
      <c r="E18" s="4">
        <f>IF(OR(C18="",D18=""),"",D18-C18)</f>
        <v/>
      </c>
      <c r="F18" s="4">
        <f>IF(E18="","",IF(E18&gt;0,"Hausse",IF(E18&lt;0,"Baisse","Stable")))</f>
        <v/>
      </c>
      <c r="G18" s="4" t="n"/>
      <c r="H18" s="4" t="n"/>
    </row>
    <row r="19">
      <c r="A19" s="6" t="n"/>
      <c r="B19" s="6" t="n"/>
      <c r="C19" s="6" t="n"/>
      <c r="D19" s="6" t="n"/>
      <c r="E19" s="6">
        <f>IF(OR(C19="",D19=""),"",D19-C19)</f>
        <v/>
      </c>
      <c r="F19" s="6">
        <f>IF(E19="","",IF(E19&gt;0,"Hausse",IF(E19&lt;0,"Baisse","Stable")))</f>
        <v/>
      </c>
      <c r="G19" s="6" t="n"/>
      <c r="H19" s="6" t="n"/>
    </row>
    <row r="20">
      <c r="A20" s="4" t="n"/>
      <c r="B20" s="4" t="n"/>
      <c r="C20" s="4" t="n"/>
      <c r="D20" s="4" t="n"/>
      <c r="E20" s="4">
        <f>IF(OR(C20="",D20=""),"",D20-C20)</f>
        <v/>
      </c>
      <c r="F20" s="4">
        <f>IF(E20="","",IF(E20&gt;0,"Hausse",IF(E20&lt;0,"Baisse","Stable")))</f>
        <v/>
      </c>
      <c r="G20" s="4" t="n"/>
      <c r="H20" s="4" t="n"/>
    </row>
    <row r="21">
      <c r="A21" s="6" t="n"/>
      <c r="B21" s="6" t="n"/>
      <c r="C21" s="6" t="n"/>
      <c r="D21" s="6" t="n"/>
      <c r="E21" s="6">
        <f>IF(OR(C21="",D21=""),"",D21-C21)</f>
        <v/>
      </c>
      <c r="F21" s="6">
        <f>IF(E21="","",IF(E21&gt;0,"Hausse",IF(E21&lt;0,"Baisse","Stable")))</f>
        <v/>
      </c>
      <c r="G21" s="6" t="n"/>
      <c r="H21" s="6" t="n"/>
    </row>
    <row r="22">
      <c r="A22" s="4" t="n"/>
      <c r="B22" s="4" t="n"/>
      <c r="C22" s="4" t="n"/>
      <c r="D22" s="4" t="n"/>
      <c r="E22" s="4">
        <f>IF(OR(C22="",D22=""),"",D22-C22)</f>
        <v/>
      </c>
      <c r="F22" s="4">
        <f>IF(E22="","",IF(E22&gt;0,"Hausse",IF(E22&lt;0,"Baisse","Stable")))</f>
        <v/>
      </c>
      <c r="G22" s="4" t="n"/>
      <c r="H22" s="4" t="n"/>
    </row>
    <row r="23">
      <c r="A23" s="6" t="n"/>
      <c r="B23" s="6" t="n"/>
      <c r="C23" s="6" t="n"/>
      <c r="D23" s="6" t="n"/>
      <c r="E23" s="6">
        <f>IF(OR(C23="",D23=""),"",D23-C23)</f>
        <v/>
      </c>
      <c r="F23" s="6">
        <f>IF(E23="","",IF(E23&gt;0,"Hausse",IF(E23&lt;0,"Baisse","Stable")))</f>
        <v/>
      </c>
      <c r="G23" s="6" t="n"/>
      <c r="H23" s="6" t="n"/>
    </row>
    <row r="24">
      <c r="A24" s="4" t="n"/>
      <c r="B24" s="4" t="n"/>
      <c r="C24" s="4" t="n"/>
      <c r="D24" s="4" t="n"/>
      <c r="E24" s="4">
        <f>IF(OR(C24="",D24=""),"",D24-C24)</f>
        <v/>
      </c>
      <c r="F24" s="4">
        <f>IF(E24="","",IF(E24&gt;0,"Hausse",IF(E24&lt;0,"Baisse","Stable")))</f>
        <v/>
      </c>
      <c r="G24" s="4" t="n"/>
      <c r="H24" s="4" t="n"/>
    </row>
    <row r="25">
      <c r="A25" s="6" t="n"/>
      <c r="B25" s="6" t="n"/>
      <c r="C25" s="6" t="n"/>
      <c r="D25" s="6" t="n"/>
      <c r="E25" s="6">
        <f>IF(OR(C25="",D25=""),"",D25-C25)</f>
        <v/>
      </c>
      <c r="F25" s="6">
        <f>IF(E25="","",IF(E25&gt;0,"Hausse",IF(E25&lt;0,"Baisse","Stable")))</f>
        <v/>
      </c>
      <c r="G25" s="6" t="n"/>
      <c r="H25" s="6" t="n"/>
    </row>
    <row r="26">
      <c r="A26" s="4" t="n"/>
      <c r="B26" s="4" t="n"/>
      <c r="C26" s="4" t="n"/>
      <c r="D26" s="4" t="n"/>
      <c r="E26" s="4">
        <f>IF(OR(C26="",D26=""),"",D26-C26)</f>
        <v/>
      </c>
      <c r="F26" s="4">
        <f>IF(E26="","",IF(E26&gt;0,"Hausse",IF(E26&lt;0,"Baisse","Stable")))</f>
        <v/>
      </c>
      <c r="G26" s="4" t="n"/>
      <c r="H26" s="4" t="n"/>
    </row>
    <row r="27">
      <c r="A27" s="6" t="n"/>
      <c r="B27" s="6" t="n"/>
      <c r="C27" s="6" t="n"/>
      <c r="D27" s="6" t="n"/>
      <c r="E27" s="6">
        <f>IF(OR(C27="",D27=""),"",D27-C27)</f>
        <v/>
      </c>
      <c r="F27" s="6">
        <f>IF(E27="","",IF(E27&gt;0,"Hausse",IF(E27&lt;0,"Baisse","Stable")))</f>
        <v/>
      </c>
      <c r="G27" s="6" t="n"/>
      <c r="H27" s="6" t="n"/>
    </row>
    <row r="28">
      <c r="A28" s="4" t="n"/>
      <c r="B28" s="4" t="n"/>
      <c r="C28" s="4" t="n"/>
      <c r="D28" s="4" t="n"/>
      <c r="E28" s="4">
        <f>IF(OR(C28="",D28=""),"",D28-C28)</f>
        <v/>
      </c>
      <c r="F28" s="4">
        <f>IF(E28="","",IF(E28&gt;0,"Hausse",IF(E28&lt;0,"Baisse","Stable")))</f>
        <v/>
      </c>
      <c r="G28" s="4" t="n"/>
      <c r="H28" s="4" t="n"/>
    </row>
    <row r="29">
      <c r="A29" s="6" t="n"/>
      <c r="B29" s="6" t="n"/>
      <c r="C29" s="6" t="n"/>
      <c r="D29" s="6" t="n"/>
      <c r="E29" s="6">
        <f>IF(OR(C29="",D29=""),"",D29-C29)</f>
        <v/>
      </c>
      <c r="F29" s="6">
        <f>IF(E29="","",IF(E29&gt;0,"Hausse",IF(E29&lt;0,"Baisse","Stable")))</f>
        <v/>
      </c>
      <c r="G29" s="6" t="n"/>
      <c r="H29" s="6" t="n"/>
    </row>
    <row r="30">
      <c r="A30" s="4" t="n"/>
      <c r="B30" s="4" t="n"/>
      <c r="C30" s="4" t="n"/>
      <c r="D30" s="4" t="n"/>
      <c r="E30" s="4">
        <f>IF(OR(C30="",D30=""),"",D30-C30)</f>
        <v/>
      </c>
      <c r="F30" s="4">
        <f>IF(E30="","",IF(E30&gt;0,"Hausse",IF(E30&lt;0,"Baisse","Stable")))</f>
        <v/>
      </c>
      <c r="G30" s="4" t="n"/>
      <c r="H30" s="4" t="n"/>
    </row>
    <row r="31">
      <c r="A31" s="6" t="n"/>
      <c r="B31" s="6" t="n"/>
      <c r="C31" s="6" t="n"/>
      <c r="D31" s="6" t="n"/>
      <c r="E31" s="6">
        <f>IF(OR(C31="",D31=""),"",D31-C31)</f>
        <v/>
      </c>
      <c r="F31" s="6">
        <f>IF(E31="","",IF(E31&gt;0,"Hausse",IF(E31&lt;0,"Baisse","Stable")))</f>
        <v/>
      </c>
      <c r="G31" s="6" t="n"/>
      <c r="H31" s="6" t="n"/>
    </row>
    <row r="32">
      <c r="A32" s="4" t="n"/>
      <c r="B32" s="4" t="n"/>
      <c r="C32" s="4" t="n"/>
      <c r="D32" s="4" t="n"/>
      <c r="E32" s="4">
        <f>IF(OR(C32="",D32=""),"",D32-C32)</f>
        <v/>
      </c>
      <c r="F32" s="4">
        <f>IF(E32="","",IF(E32&gt;0,"Hausse",IF(E32&lt;0,"Baisse","Stable")))</f>
        <v/>
      </c>
      <c r="G32" s="4" t="n"/>
      <c r="H32" s="4" t="n"/>
    </row>
    <row r="33">
      <c r="A33" s="6" t="n"/>
      <c r="B33" s="6" t="n"/>
      <c r="C33" s="6" t="n"/>
      <c r="D33" s="6" t="n"/>
      <c r="E33" s="6">
        <f>IF(OR(C33="",D33=""),"",D33-C33)</f>
        <v/>
      </c>
      <c r="F33" s="6">
        <f>IF(E33="","",IF(E33&gt;0,"Hausse",IF(E33&lt;0,"Baisse","Stable")))</f>
        <v/>
      </c>
      <c r="G33" s="6" t="n"/>
      <c r="H33" s="6" t="n"/>
    </row>
    <row r="34">
      <c r="A34" s="4" t="n"/>
      <c r="B34" s="4" t="n"/>
      <c r="C34" s="4" t="n"/>
      <c r="D34" s="4" t="n"/>
      <c r="E34" s="4">
        <f>IF(OR(C34="",D34=""),"",D34-C34)</f>
        <v/>
      </c>
      <c r="F34" s="4">
        <f>IF(E34="","",IF(E34&gt;0,"Hausse",IF(E34&lt;0,"Baisse","Stable")))</f>
        <v/>
      </c>
      <c r="G34" s="4" t="n"/>
      <c r="H34" s="4" t="n"/>
    </row>
    <row r="35">
      <c r="A35" s="6" t="n"/>
      <c r="B35" s="6" t="n"/>
      <c r="C35" s="6" t="n"/>
      <c r="D35" s="6" t="n"/>
      <c r="E35" s="6">
        <f>IF(OR(C35="",D35=""),"",D35-C35)</f>
        <v/>
      </c>
      <c r="F35" s="6">
        <f>IF(E35="","",IF(E35&gt;0,"Hausse",IF(E35&lt;0,"Baisse","Stable")))</f>
        <v/>
      </c>
      <c r="G35" s="6" t="n"/>
      <c r="H35" s="6" t="n"/>
    </row>
    <row r="36">
      <c r="A36" s="4" t="n"/>
      <c r="B36" s="4" t="n"/>
      <c r="C36" s="4" t="n"/>
      <c r="D36" s="4" t="n"/>
      <c r="E36" s="4">
        <f>IF(OR(C36="",D36=""),"",D36-C36)</f>
        <v/>
      </c>
      <c r="F36" s="4">
        <f>IF(E36="","",IF(E36&gt;0,"Hausse",IF(E36&lt;0,"Baisse","Stable")))</f>
        <v/>
      </c>
      <c r="G36" s="4" t="n"/>
      <c r="H36" s="4" t="n"/>
    </row>
    <row r="37">
      <c r="A37" s="6" t="n"/>
      <c r="B37" s="6" t="n"/>
      <c r="C37" s="6" t="n"/>
      <c r="D37" s="6" t="n"/>
      <c r="E37" s="6">
        <f>IF(OR(C37="",D37=""),"",D37-C37)</f>
        <v/>
      </c>
      <c r="F37" s="6">
        <f>IF(E37="","",IF(E37&gt;0,"Hausse",IF(E37&lt;0,"Baisse","Stable")))</f>
        <v/>
      </c>
      <c r="G37" s="6" t="n"/>
      <c r="H37" s="6" t="n"/>
    </row>
    <row r="38">
      <c r="A38" s="4" t="n"/>
      <c r="B38" s="4" t="n"/>
      <c r="C38" s="4" t="n"/>
      <c r="D38" s="4" t="n"/>
      <c r="E38" s="4">
        <f>IF(OR(C38="",D38=""),"",D38-C38)</f>
        <v/>
      </c>
      <c r="F38" s="4">
        <f>IF(E38="","",IF(E38&gt;0,"Hausse",IF(E38&lt;0,"Baisse","Stable")))</f>
        <v/>
      </c>
      <c r="G38" s="4" t="n"/>
      <c r="H38" s="4" t="n"/>
    </row>
    <row r="39">
      <c r="A39" s="6" t="n"/>
      <c r="B39" s="6" t="n"/>
      <c r="C39" s="6" t="n"/>
      <c r="D39" s="6" t="n"/>
      <c r="E39" s="6">
        <f>IF(OR(C39="",D39=""),"",D39-C39)</f>
        <v/>
      </c>
      <c r="F39" s="6">
        <f>IF(E39="","",IF(E39&gt;0,"Hausse",IF(E39&lt;0,"Baisse","Stable")))</f>
        <v/>
      </c>
      <c r="G39" s="6" t="n"/>
      <c r="H39" s="6" t="n"/>
    </row>
    <row r="40">
      <c r="A40" s="4" t="n"/>
      <c r="B40" s="4" t="n"/>
      <c r="C40" s="4" t="n"/>
      <c r="D40" s="4" t="n"/>
      <c r="E40" s="4">
        <f>IF(OR(C40="",D40=""),"",D40-C40)</f>
        <v/>
      </c>
      <c r="F40" s="4">
        <f>IF(E40="","",IF(E40&gt;0,"Hausse",IF(E40&lt;0,"Baisse","Stable")))</f>
        <v/>
      </c>
      <c r="G40" s="4" t="n"/>
      <c r="H40" s="4" t="n"/>
    </row>
    <row r="41">
      <c r="A41" s="6" t="n"/>
      <c r="B41" s="6" t="n"/>
      <c r="C41" s="6" t="n"/>
      <c r="D41" s="6" t="n"/>
      <c r="E41" s="6">
        <f>IF(OR(C41="",D41=""),"",D41-C41)</f>
        <v/>
      </c>
      <c r="F41" s="6">
        <f>IF(E41="","",IF(E41&gt;0,"Hausse",IF(E41&lt;0,"Baisse","Stable")))</f>
        <v/>
      </c>
      <c r="G41" s="6" t="n"/>
      <c r="H41" s="6" t="n"/>
    </row>
    <row r="42">
      <c r="A42" s="4" t="n"/>
      <c r="B42" s="4" t="n"/>
      <c r="C42" s="4" t="n"/>
      <c r="D42" s="4" t="n"/>
      <c r="E42" s="4">
        <f>IF(OR(C42="",D42=""),"",D42-C42)</f>
        <v/>
      </c>
      <c r="F42" s="4">
        <f>IF(E42="","",IF(E42&gt;0,"Hausse",IF(E42&lt;0,"Baisse","Stable")))</f>
        <v/>
      </c>
      <c r="G42" s="4" t="n"/>
      <c r="H42" s="4" t="n"/>
    </row>
    <row r="43">
      <c r="A43" s="6" t="n"/>
      <c r="B43" s="6" t="n"/>
      <c r="C43" s="6" t="n"/>
      <c r="D43" s="6" t="n"/>
      <c r="E43" s="6">
        <f>IF(OR(C43="",D43=""),"",D43-C43)</f>
        <v/>
      </c>
      <c r="F43" s="6">
        <f>IF(E43="","",IF(E43&gt;0,"Hausse",IF(E43&lt;0,"Baisse","Stable")))</f>
        <v/>
      </c>
      <c r="G43" s="6" t="n"/>
      <c r="H43" s="6" t="n"/>
    </row>
    <row r="44">
      <c r="A44" s="4" t="n"/>
      <c r="B44" s="4" t="n"/>
      <c r="C44" s="4" t="n"/>
      <c r="D44" s="4" t="n"/>
      <c r="E44" s="4">
        <f>IF(OR(C44="",D44=""),"",D44-C44)</f>
        <v/>
      </c>
      <c r="F44" s="4">
        <f>IF(E44="","",IF(E44&gt;0,"Hausse",IF(E44&lt;0,"Baisse","Stable")))</f>
        <v/>
      </c>
      <c r="G44" s="4" t="n"/>
      <c r="H44" s="4" t="n"/>
    </row>
    <row r="45">
      <c r="A45" s="6" t="n"/>
      <c r="B45" s="6" t="n"/>
      <c r="C45" s="6" t="n"/>
      <c r="D45" s="6" t="n"/>
      <c r="E45" s="6">
        <f>IF(OR(C45="",D45=""),"",D45-C45)</f>
        <v/>
      </c>
      <c r="F45" s="6">
        <f>IF(E45="","",IF(E45&gt;0,"Hausse",IF(E45&lt;0,"Baisse","Stable")))</f>
        <v/>
      </c>
      <c r="G45" s="6" t="n"/>
      <c r="H45" s="6" t="n"/>
    </row>
    <row r="46">
      <c r="A46" s="4" t="n"/>
      <c r="B46" s="4" t="n"/>
      <c r="C46" s="4" t="n"/>
      <c r="D46" s="4" t="n"/>
      <c r="E46" s="4">
        <f>IF(OR(C46="",D46=""),"",D46-C46)</f>
        <v/>
      </c>
      <c r="F46" s="4">
        <f>IF(E46="","",IF(E46&gt;0,"Hausse",IF(E46&lt;0,"Baisse","Stable")))</f>
        <v/>
      </c>
      <c r="G46" s="4" t="n"/>
      <c r="H46" s="4" t="n"/>
    </row>
    <row r="47">
      <c r="A47" s="6" t="n"/>
      <c r="B47" s="6" t="n"/>
      <c r="C47" s="6" t="n"/>
      <c r="D47" s="6" t="n"/>
      <c r="E47" s="6">
        <f>IF(OR(C47="",D47=""),"",D47-C47)</f>
        <v/>
      </c>
      <c r="F47" s="6">
        <f>IF(E47="","",IF(E47&gt;0,"Hausse",IF(E47&lt;0,"Baisse","Stable")))</f>
        <v/>
      </c>
      <c r="G47" s="6" t="n"/>
      <c r="H47" s="6" t="n"/>
    </row>
    <row r="48">
      <c r="A48" s="4" t="n"/>
      <c r="B48" s="4" t="n"/>
      <c r="C48" s="4" t="n"/>
      <c r="D48" s="4" t="n"/>
      <c r="E48" s="4">
        <f>IF(OR(C48="",D48=""),"",D48-C48)</f>
        <v/>
      </c>
      <c r="F48" s="4">
        <f>IF(E48="","",IF(E48&gt;0,"Hausse",IF(E48&lt;0,"Baisse","Stable")))</f>
        <v/>
      </c>
      <c r="G48" s="4" t="n"/>
      <c r="H48" s="4" t="n"/>
    </row>
    <row r="49">
      <c r="A49" s="6" t="n"/>
      <c r="B49" s="6" t="n"/>
      <c r="C49" s="6" t="n"/>
      <c r="D49" s="6" t="n"/>
      <c r="E49" s="6">
        <f>IF(OR(C49="",D49=""),"",D49-C49)</f>
        <v/>
      </c>
      <c r="F49" s="6">
        <f>IF(E49="","",IF(E49&gt;0,"Hausse",IF(E49&lt;0,"Baisse","Stable")))</f>
        <v/>
      </c>
      <c r="G49" s="6" t="n"/>
      <c r="H49" s="6" t="n"/>
    </row>
    <row r="50">
      <c r="A50" s="4" t="n"/>
      <c r="B50" s="4" t="n"/>
      <c r="C50" s="4" t="n"/>
      <c r="D50" s="4" t="n"/>
      <c r="E50" s="4">
        <f>IF(OR(C50="",D50=""),"",D50-C50)</f>
        <v/>
      </c>
      <c r="F50" s="4">
        <f>IF(E50="","",IF(E50&gt;0,"Hausse",IF(E50&lt;0,"Baisse","Stable")))</f>
        <v/>
      </c>
      <c r="G50" s="4" t="n"/>
      <c r="H50" s="4" t="n"/>
    </row>
    <row r="51">
      <c r="A51" s="6" t="n"/>
      <c r="B51" s="6" t="n"/>
      <c r="C51" s="6" t="n"/>
      <c r="D51" s="6" t="n"/>
      <c r="E51" s="6">
        <f>IF(OR(C51="",D51=""),"",D51-C51)</f>
        <v/>
      </c>
      <c r="F51" s="6">
        <f>IF(E51="","",IF(E51&gt;0,"Hausse",IF(E51&lt;0,"Baisse","Stable")))</f>
        <v/>
      </c>
      <c r="G51" s="6" t="n"/>
      <c r="H51" s="6" t="n"/>
    </row>
    <row r="52">
      <c r="A52" s="4" t="n"/>
      <c r="B52" s="4" t="n"/>
      <c r="C52" s="4" t="n"/>
      <c r="D52" s="4" t="n"/>
      <c r="E52" s="4">
        <f>IF(OR(C52="",D52=""),"",D52-C52)</f>
        <v/>
      </c>
      <c r="F52" s="4">
        <f>IF(E52="","",IF(E52&gt;0,"Hausse",IF(E52&lt;0,"Baisse","Stable")))</f>
        <v/>
      </c>
      <c r="G52" s="4" t="n"/>
      <c r="H52" s="4" t="n"/>
    </row>
    <row r="53">
      <c r="A53" s="6" t="n"/>
      <c r="B53" s="6" t="n"/>
      <c r="C53" s="6" t="n"/>
      <c r="D53" s="6" t="n"/>
      <c r="E53" s="6">
        <f>IF(OR(C53="",D53=""),"",D53-C53)</f>
        <v/>
      </c>
      <c r="F53" s="6">
        <f>IF(E53="","",IF(E53&gt;0,"Hausse",IF(E53&lt;0,"Baisse","Stable")))</f>
        <v/>
      </c>
      <c r="G53" s="6" t="n"/>
      <c r="H53" s="6" t="n"/>
    </row>
    <row r="54">
      <c r="A54" s="4" t="n"/>
      <c r="B54" s="4" t="n"/>
      <c r="C54" s="4" t="n"/>
      <c r="D54" s="4" t="n"/>
      <c r="E54" s="4">
        <f>IF(OR(C54="",D54=""),"",D54-C54)</f>
        <v/>
      </c>
      <c r="F54" s="4">
        <f>IF(E54="","",IF(E54&gt;0,"Hausse",IF(E54&lt;0,"Baisse","Stable")))</f>
        <v/>
      </c>
      <c r="G54" s="4" t="n"/>
      <c r="H54" s="4" t="n"/>
    </row>
    <row r="55">
      <c r="A55" s="6" t="n"/>
      <c r="B55" s="6" t="n"/>
      <c r="C55" s="6" t="n"/>
      <c r="D55" s="6" t="n"/>
      <c r="E55" s="6">
        <f>IF(OR(C55="",D55=""),"",D55-C55)</f>
        <v/>
      </c>
      <c r="F55" s="6">
        <f>IF(E55="","",IF(E55&gt;0,"Hausse",IF(E55&lt;0,"Baisse","Stable")))</f>
        <v/>
      </c>
      <c r="G55" s="6" t="n"/>
      <c r="H55" s="6" t="n"/>
    </row>
    <row r="56">
      <c r="A56" s="4" t="n"/>
      <c r="B56" s="4" t="n"/>
      <c r="C56" s="4" t="n"/>
      <c r="D56" s="4" t="n"/>
      <c r="E56" s="4">
        <f>IF(OR(C56="",D56=""),"",D56-C56)</f>
        <v/>
      </c>
      <c r="F56" s="4">
        <f>IF(E56="","",IF(E56&gt;0,"Hausse",IF(E56&lt;0,"Baisse","Stable")))</f>
        <v/>
      </c>
      <c r="G56" s="4" t="n"/>
      <c r="H56" s="4" t="n"/>
    </row>
    <row r="57">
      <c r="A57" s="6" t="n"/>
      <c r="B57" s="6" t="n"/>
      <c r="C57" s="6" t="n"/>
      <c r="D57" s="6" t="n"/>
      <c r="E57" s="6">
        <f>IF(OR(C57="",D57=""),"",D57-C57)</f>
        <v/>
      </c>
      <c r="F57" s="6">
        <f>IF(E57="","",IF(E57&gt;0,"Hausse",IF(E57&lt;0,"Baisse","Stable")))</f>
        <v/>
      </c>
      <c r="G57" s="6" t="n"/>
      <c r="H57" s="6" t="n"/>
    </row>
    <row r="58">
      <c r="A58" s="4" t="n"/>
      <c r="B58" s="4" t="n"/>
      <c r="C58" s="4" t="n"/>
      <c r="D58" s="4" t="n"/>
      <c r="E58" s="4">
        <f>IF(OR(C58="",D58=""),"",D58-C58)</f>
        <v/>
      </c>
      <c r="F58" s="4">
        <f>IF(E58="","",IF(E58&gt;0,"Hausse",IF(E58&lt;0,"Baisse","Stable")))</f>
        <v/>
      </c>
      <c r="G58" s="4" t="n"/>
      <c r="H58" s="4" t="n"/>
    </row>
    <row r="59">
      <c r="A59" s="6" t="n"/>
      <c r="B59" s="6" t="n"/>
      <c r="C59" s="6" t="n"/>
      <c r="D59" s="6" t="n"/>
      <c r="E59" s="6">
        <f>IF(OR(C59="",D59=""),"",D59-C59)</f>
        <v/>
      </c>
      <c r="F59" s="6">
        <f>IF(E59="","",IF(E59&gt;0,"Hausse",IF(E59&lt;0,"Baisse","Stable")))</f>
        <v/>
      </c>
      <c r="G59" s="6" t="n"/>
      <c r="H59" s="6" t="n"/>
    </row>
    <row r="60">
      <c r="A60" s="4" t="n"/>
      <c r="B60" s="4" t="n"/>
      <c r="C60" s="4" t="n"/>
      <c r="D60" s="4" t="n"/>
      <c r="E60" s="4">
        <f>IF(OR(C60="",D60=""),"",D60-C60)</f>
        <v/>
      </c>
      <c r="F60" s="4">
        <f>IF(E60="","",IF(E60&gt;0,"Hausse",IF(E60&lt;0,"Baisse","Stable")))</f>
        <v/>
      </c>
      <c r="G60" s="4" t="n"/>
      <c r="H60" s="4" t="n"/>
    </row>
    <row r="61">
      <c r="A61" s="6" t="n"/>
      <c r="B61" s="6" t="n"/>
      <c r="C61" s="6" t="n"/>
      <c r="D61" s="6" t="n"/>
      <c r="E61" s="6">
        <f>IF(OR(C61="",D61=""),"",D61-C61)</f>
        <v/>
      </c>
      <c r="F61" s="6">
        <f>IF(E61="","",IF(E61&gt;0,"Hausse",IF(E61&lt;0,"Baisse","Stable")))</f>
        <v/>
      </c>
      <c r="G61" s="6" t="n"/>
      <c r="H61" s="6" t="n"/>
    </row>
    <row r="62">
      <c r="A62" s="4" t="n"/>
      <c r="B62" s="4" t="n"/>
      <c r="C62" s="4" t="n"/>
      <c r="D62" s="4" t="n"/>
      <c r="E62" s="4">
        <f>IF(OR(C62="",D62=""),"",D62-C62)</f>
        <v/>
      </c>
      <c r="F62" s="4">
        <f>IF(E62="","",IF(E62&gt;0,"Hausse",IF(E62&lt;0,"Baisse","Stable")))</f>
        <v/>
      </c>
      <c r="G62" s="4" t="n"/>
      <c r="H62" s="4" t="n"/>
    </row>
    <row r="63">
      <c r="A63" s="6" t="n"/>
      <c r="B63" s="6" t="n"/>
      <c r="C63" s="6" t="n"/>
      <c r="D63" s="6" t="n"/>
      <c r="E63" s="6">
        <f>IF(OR(C63="",D63=""),"",D63-C63)</f>
        <v/>
      </c>
      <c r="F63" s="6">
        <f>IF(E63="","",IF(E63&gt;0,"Hausse",IF(E63&lt;0,"Baisse","Stable")))</f>
        <v/>
      </c>
      <c r="G63" s="6" t="n"/>
      <c r="H63" s="6" t="n"/>
    </row>
    <row r="64">
      <c r="A64" s="4" t="n"/>
      <c r="B64" s="4" t="n"/>
      <c r="C64" s="4" t="n"/>
      <c r="D64" s="4" t="n"/>
      <c r="E64" s="4">
        <f>IF(OR(C64="",D64=""),"",D64-C64)</f>
        <v/>
      </c>
      <c r="F64" s="4">
        <f>IF(E64="","",IF(E64&gt;0,"Hausse",IF(E64&lt;0,"Baisse","Stable")))</f>
        <v/>
      </c>
      <c r="G64" s="4" t="n"/>
      <c r="H64" s="4" t="n"/>
    </row>
    <row r="65">
      <c r="A65" s="6" t="n"/>
      <c r="B65" s="6" t="n"/>
      <c r="C65" s="6" t="n"/>
      <c r="D65" s="6" t="n"/>
      <c r="E65" s="6">
        <f>IF(OR(C65="",D65=""),"",D65-C65)</f>
        <v/>
      </c>
      <c r="F65" s="6">
        <f>IF(E65="","",IF(E65&gt;0,"Hausse",IF(E65&lt;0,"Baisse","Stable")))</f>
        <v/>
      </c>
      <c r="G65" s="6" t="n"/>
      <c r="H65" s="6" t="n"/>
    </row>
    <row r="66">
      <c r="A66" s="4" t="n"/>
      <c r="B66" s="4" t="n"/>
      <c r="C66" s="4" t="n"/>
      <c r="D66" s="4" t="n"/>
      <c r="E66" s="4">
        <f>IF(OR(C66="",D66=""),"",D66-C66)</f>
        <v/>
      </c>
      <c r="F66" s="4">
        <f>IF(E66="","",IF(E66&gt;0,"Hausse",IF(E66&lt;0,"Baisse","Stable")))</f>
        <v/>
      </c>
      <c r="G66" s="4" t="n"/>
      <c r="H66" s="4" t="n"/>
    </row>
    <row r="67">
      <c r="A67" s="6" t="n"/>
      <c r="B67" s="6" t="n"/>
      <c r="C67" s="6" t="n"/>
      <c r="D67" s="6" t="n"/>
      <c r="E67" s="6">
        <f>IF(OR(C67="",D67=""),"",D67-C67)</f>
        <v/>
      </c>
      <c r="F67" s="6">
        <f>IF(E67="","",IF(E67&gt;0,"Hausse",IF(E67&lt;0,"Baisse","Stable")))</f>
        <v/>
      </c>
      <c r="G67" s="6" t="n"/>
      <c r="H67" s="6" t="n"/>
    </row>
    <row r="68">
      <c r="A68" s="4" t="n"/>
      <c r="B68" s="4" t="n"/>
      <c r="C68" s="4" t="n"/>
      <c r="D68" s="4" t="n"/>
      <c r="E68" s="4">
        <f>IF(OR(C68="",D68=""),"",D68-C68)</f>
        <v/>
      </c>
      <c r="F68" s="4">
        <f>IF(E68="","",IF(E68&gt;0,"Hausse",IF(E68&lt;0,"Baisse","Stable")))</f>
        <v/>
      </c>
      <c r="G68" s="4" t="n"/>
      <c r="H68" s="4" t="n"/>
    </row>
    <row r="69">
      <c r="A69" s="6" t="n"/>
      <c r="B69" s="6" t="n"/>
      <c r="C69" s="6" t="n"/>
      <c r="D69" s="6" t="n"/>
      <c r="E69" s="6">
        <f>IF(OR(C69="",D69=""),"",D69-C69)</f>
        <v/>
      </c>
      <c r="F69" s="6">
        <f>IF(E69="","",IF(E69&gt;0,"Hausse",IF(E69&lt;0,"Baisse","Stable")))</f>
        <v/>
      </c>
      <c r="G69" s="6" t="n"/>
      <c r="H69" s="6" t="n"/>
    </row>
    <row r="70">
      <c r="A70" s="4" t="n"/>
      <c r="B70" s="4" t="n"/>
      <c r="C70" s="4" t="n"/>
      <c r="D70" s="4" t="n"/>
      <c r="E70" s="4">
        <f>IF(OR(C70="",D70=""),"",D70-C70)</f>
        <v/>
      </c>
      <c r="F70" s="4">
        <f>IF(E70="","",IF(E70&gt;0,"Hausse",IF(E70&lt;0,"Baisse","Stable")))</f>
        <v/>
      </c>
      <c r="G70" s="4" t="n"/>
      <c r="H70" s="4" t="n"/>
    </row>
    <row r="71">
      <c r="A71" s="6" t="n"/>
      <c r="B71" s="6" t="n"/>
      <c r="C71" s="6" t="n"/>
      <c r="D71" s="6" t="n"/>
      <c r="E71" s="6">
        <f>IF(OR(C71="",D71=""),"",D71-C71)</f>
        <v/>
      </c>
      <c r="F71" s="6">
        <f>IF(E71="","",IF(E71&gt;0,"Hausse",IF(E71&lt;0,"Baisse","Stable")))</f>
        <v/>
      </c>
      <c r="G71" s="6" t="n"/>
      <c r="H71" s="6" t="n"/>
    </row>
    <row r="72">
      <c r="A72" s="4" t="n"/>
      <c r="B72" s="4" t="n"/>
      <c r="C72" s="4" t="n"/>
      <c r="D72" s="4" t="n"/>
      <c r="E72" s="4">
        <f>IF(OR(C72="",D72=""),"",D72-C72)</f>
        <v/>
      </c>
      <c r="F72" s="4">
        <f>IF(E72="","",IF(E72&gt;0,"Hausse",IF(E72&lt;0,"Baisse","Stable")))</f>
        <v/>
      </c>
      <c r="G72" s="4" t="n"/>
      <c r="H72" s="4" t="n"/>
    </row>
    <row r="73">
      <c r="A73" s="6" t="n"/>
      <c r="B73" s="6" t="n"/>
      <c r="C73" s="6" t="n"/>
      <c r="D73" s="6" t="n"/>
      <c r="E73" s="6">
        <f>IF(OR(C73="",D73=""),"",D73-C73)</f>
        <v/>
      </c>
      <c r="F73" s="6">
        <f>IF(E73="","",IF(E73&gt;0,"Hausse",IF(E73&lt;0,"Baisse","Stable")))</f>
        <v/>
      </c>
      <c r="G73" s="6" t="n"/>
      <c r="H73" s="6" t="n"/>
    </row>
    <row r="74">
      <c r="A74" s="4" t="n"/>
      <c r="B74" s="4" t="n"/>
      <c r="C74" s="4" t="n"/>
      <c r="D74" s="4" t="n"/>
      <c r="E74" s="4">
        <f>IF(OR(C74="",D74=""),"",D74-C74)</f>
        <v/>
      </c>
      <c r="F74" s="4">
        <f>IF(E74="","",IF(E74&gt;0,"Hausse",IF(E74&lt;0,"Baisse","Stable")))</f>
        <v/>
      </c>
      <c r="G74" s="4" t="n"/>
      <c r="H74" s="4" t="n"/>
    </row>
    <row r="75">
      <c r="A75" s="6" t="n"/>
      <c r="B75" s="6" t="n"/>
      <c r="C75" s="6" t="n"/>
      <c r="D75" s="6" t="n"/>
      <c r="E75" s="6">
        <f>IF(OR(C75="",D75=""),"",D75-C75)</f>
        <v/>
      </c>
      <c r="F75" s="6">
        <f>IF(E75="","",IF(E75&gt;0,"Hausse",IF(E75&lt;0,"Baisse","Stable")))</f>
        <v/>
      </c>
      <c r="G75" s="6" t="n"/>
      <c r="H75" s="6" t="n"/>
    </row>
    <row r="76">
      <c r="A76" s="4" t="n"/>
      <c r="B76" s="4" t="n"/>
      <c r="C76" s="4" t="n"/>
      <c r="D76" s="4" t="n"/>
      <c r="E76" s="4">
        <f>IF(OR(C76="",D76=""),"",D76-C76)</f>
        <v/>
      </c>
      <c r="F76" s="4">
        <f>IF(E76="","",IF(E76&gt;0,"Hausse",IF(E76&lt;0,"Baisse","Stable")))</f>
        <v/>
      </c>
      <c r="G76" s="4" t="n"/>
      <c r="H76" s="4" t="n"/>
    </row>
    <row r="77">
      <c r="A77" s="6" t="n"/>
      <c r="B77" s="6" t="n"/>
      <c r="C77" s="6" t="n"/>
      <c r="D77" s="6" t="n"/>
      <c r="E77" s="6">
        <f>IF(OR(C77="",D77=""),"",D77-C77)</f>
        <v/>
      </c>
      <c r="F77" s="6">
        <f>IF(E77="","",IF(E77&gt;0,"Hausse",IF(E77&lt;0,"Baisse","Stable")))</f>
        <v/>
      </c>
      <c r="G77" s="6" t="n"/>
      <c r="H77" s="6" t="n"/>
    </row>
    <row r="78">
      <c r="A78" s="4" t="n"/>
      <c r="B78" s="4" t="n"/>
      <c r="C78" s="4" t="n"/>
      <c r="D78" s="4" t="n"/>
      <c r="E78" s="4">
        <f>IF(OR(C78="",D78=""),"",D78-C78)</f>
        <v/>
      </c>
      <c r="F78" s="4">
        <f>IF(E78="","",IF(E78&gt;0,"Hausse",IF(E78&lt;0,"Baisse","Stable")))</f>
        <v/>
      </c>
      <c r="G78" s="4" t="n"/>
      <c r="H78" s="4" t="n"/>
    </row>
    <row r="79">
      <c r="A79" s="6" t="n"/>
      <c r="B79" s="6" t="n"/>
      <c r="C79" s="6" t="n"/>
      <c r="D79" s="6" t="n"/>
      <c r="E79" s="6">
        <f>IF(OR(C79="",D79=""),"",D79-C79)</f>
        <v/>
      </c>
      <c r="F79" s="6">
        <f>IF(E79="","",IF(E79&gt;0,"Hausse",IF(E79&lt;0,"Baisse","Stable")))</f>
        <v/>
      </c>
      <c r="G79" s="6" t="n"/>
      <c r="H79" s="6" t="n"/>
    </row>
    <row r="80">
      <c r="A80" s="4" t="n"/>
      <c r="B80" s="4" t="n"/>
      <c r="C80" s="4" t="n"/>
      <c r="D80" s="4" t="n"/>
      <c r="E80" s="4">
        <f>IF(OR(C80="",D80=""),"",D80-C80)</f>
        <v/>
      </c>
      <c r="F80" s="4">
        <f>IF(E80="","",IF(E80&gt;0,"Hausse",IF(E80&lt;0,"Baisse","Stable")))</f>
        <v/>
      </c>
      <c r="G80" s="4" t="n"/>
      <c r="H80" s="4" t="n"/>
    </row>
    <row r="81">
      <c r="A81" s="6" t="n"/>
      <c r="B81" s="6" t="n"/>
      <c r="C81" s="6" t="n"/>
      <c r="D81" s="6" t="n"/>
      <c r="E81" s="6">
        <f>IF(OR(C81="",D81=""),"",D81-C81)</f>
        <v/>
      </c>
      <c r="F81" s="6">
        <f>IF(E81="","",IF(E81&gt;0,"Hausse",IF(E81&lt;0,"Baisse","Stable")))</f>
        <v/>
      </c>
      <c r="G81" s="6" t="n"/>
      <c r="H81" s="6" t="n"/>
    </row>
    <row r="82">
      <c r="A82" s="4" t="n"/>
      <c r="B82" s="4" t="n"/>
      <c r="C82" s="4" t="n"/>
      <c r="D82" s="4" t="n"/>
      <c r="E82" s="4">
        <f>IF(OR(C82="",D82=""),"",D82-C82)</f>
        <v/>
      </c>
      <c r="F82" s="4">
        <f>IF(E82="","",IF(E82&gt;0,"Hausse",IF(E82&lt;0,"Baisse","Stable")))</f>
        <v/>
      </c>
      <c r="G82" s="4" t="n"/>
      <c r="H82" s="4" t="n"/>
    </row>
    <row r="83">
      <c r="A83" s="6" t="n"/>
      <c r="B83" s="6" t="n"/>
      <c r="C83" s="6" t="n"/>
      <c r="D83" s="6" t="n"/>
      <c r="E83" s="6">
        <f>IF(OR(C83="",D83=""),"",D83-C83)</f>
        <v/>
      </c>
      <c r="F83" s="6">
        <f>IF(E83="","",IF(E83&gt;0,"Hausse",IF(E83&lt;0,"Baisse","Stable")))</f>
        <v/>
      </c>
      <c r="G83" s="6" t="n"/>
      <c r="H83" s="6" t="n"/>
    </row>
    <row r="84">
      <c r="A84" s="4" t="n"/>
      <c r="B84" s="4" t="n"/>
      <c r="C84" s="4" t="n"/>
      <c r="D84" s="4" t="n"/>
      <c r="E84" s="4">
        <f>IF(OR(C84="",D84=""),"",D84-C84)</f>
        <v/>
      </c>
      <c r="F84" s="4">
        <f>IF(E84="","",IF(E84&gt;0,"Hausse",IF(E84&lt;0,"Baisse","Stable")))</f>
        <v/>
      </c>
      <c r="G84" s="4" t="n"/>
      <c r="H84" s="4" t="n"/>
    </row>
    <row r="85">
      <c r="A85" s="6" t="n"/>
      <c r="B85" s="6" t="n"/>
      <c r="C85" s="6" t="n"/>
      <c r="D85" s="6" t="n"/>
      <c r="E85" s="6">
        <f>IF(OR(C85="",D85=""),"",D85-C85)</f>
        <v/>
      </c>
      <c r="F85" s="6">
        <f>IF(E85="","",IF(E85&gt;0,"Hausse",IF(E85&lt;0,"Baisse","Stable")))</f>
        <v/>
      </c>
      <c r="G85" s="6" t="n"/>
      <c r="H85" s="6" t="n"/>
    </row>
    <row r="86">
      <c r="A86" s="4" t="n"/>
      <c r="B86" s="4" t="n"/>
      <c r="C86" s="4" t="n"/>
      <c r="D86" s="4" t="n"/>
      <c r="E86" s="4">
        <f>IF(OR(C86="",D86=""),"",D86-C86)</f>
        <v/>
      </c>
      <c r="F86" s="4">
        <f>IF(E86="","",IF(E86&gt;0,"Hausse",IF(E86&lt;0,"Baisse","Stable")))</f>
        <v/>
      </c>
      <c r="G86" s="4" t="n"/>
      <c r="H86" s="4" t="n"/>
    </row>
    <row r="87">
      <c r="A87" s="6" t="n"/>
      <c r="B87" s="6" t="n"/>
      <c r="C87" s="6" t="n"/>
      <c r="D87" s="6" t="n"/>
      <c r="E87" s="6">
        <f>IF(OR(C87="",D87=""),"",D87-C87)</f>
        <v/>
      </c>
      <c r="F87" s="6">
        <f>IF(E87="","",IF(E87&gt;0,"Hausse",IF(E87&lt;0,"Baisse","Stable")))</f>
        <v/>
      </c>
      <c r="G87" s="6" t="n"/>
      <c r="H87" s="6" t="n"/>
    </row>
    <row r="88">
      <c r="A88" s="4" t="n"/>
      <c r="B88" s="4" t="n"/>
      <c r="C88" s="4" t="n"/>
      <c r="D88" s="4" t="n"/>
      <c r="E88" s="4">
        <f>IF(OR(C88="",D88=""),"",D88-C88)</f>
        <v/>
      </c>
      <c r="F88" s="4">
        <f>IF(E88="","",IF(E88&gt;0,"Hausse",IF(E88&lt;0,"Baisse","Stable")))</f>
        <v/>
      </c>
      <c r="G88" s="4" t="n"/>
      <c r="H88" s="4" t="n"/>
    </row>
    <row r="89">
      <c r="A89" s="6" t="n"/>
      <c r="B89" s="6" t="n"/>
      <c r="C89" s="6" t="n"/>
      <c r="D89" s="6" t="n"/>
      <c r="E89" s="6">
        <f>IF(OR(C89="",D89=""),"",D89-C89)</f>
        <v/>
      </c>
      <c r="F89" s="6">
        <f>IF(E89="","",IF(E89&gt;0,"Hausse",IF(E89&lt;0,"Baisse","Stable")))</f>
        <v/>
      </c>
      <c r="G89" s="6" t="n"/>
      <c r="H89" s="6" t="n"/>
    </row>
    <row r="90">
      <c r="A90" s="4" t="n"/>
      <c r="B90" s="4" t="n"/>
      <c r="C90" s="4" t="n"/>
      <c r="D90" s="4" t="n"/>
      <c r="E90" s="4">
        <f>IF(OR(C90="",D90=""),"",D90-C90)</f>
        <v/>
      </c>
      <c r="F90" s="4">
        <f>IF(E90="","",IF(E90&gt;0,"Hausse",IF(E90&lt;0,"Baisse","Stable")))</f>
        <v/>
      </c>
      <c r="G90" s="4" t="n"/>
      <c r="H90" s="4" t="n"/>
    </row>
    <row r="91">
      <c r="A91" s="6" t="n"/>
      <c r="B91" s="6" t="n"/>
      <c r="C91" s="6" t="n"/>
      <c r="D91" s="6" t="n"/>
      <c r="E91" s="6">
        <f>IF(OR(C91="",D91=""),"",D91-C91)</f>
        <v/>
      </c>
      <c r="F91" s="6">
        <f>IF(E91="","",IF(E91&gt;0,"Hausse",IF(E91&lt;0,"Baisse","Stable")))</f>
        <v/>
      </c>
      <c r="G91" s="6" t="n"/>
      <c r="H91" s="6" t="n"/>
    </row>
    <row r="92">
      <c r="A92" s="4" t="n"/>
      <c r="B92" s="4" t="n"/>
      <c r="C92" s="4" t="n"/>
      <c r="D92" s="4" t="n"/>
      <c r="E92" s="4">
        <f>IF(OR(C92="",D92=""),"",D92-C92)</f>
        <v/>
      </c>
      <c r="F92" s="4">
        <f>IF(E92="","",IF(E92&gt;0,"Hausse",IF(E92&lt;0,"Baisse","Stable")))</f>
        <v/>
      </c>
      <c r="G92" s="4" t="n"/>
      <c r="H92" s="4" t="n"/>
    </row>
    <row r="93">
      <c r="A93" s="6" t="n"/>
      <c r="B93" s="6" t="n"/>
      <c r="C93" s="6" t="n"/>
      <c r="D93" s="6" t="n"/>
      <c r="E93" s="6">
        <f>IF(OR(C93="",D93=""),"",D93-C93)</f>
        <v/>
      </c>
      <c r="F93" s="6">
        <f>IF(E93="","",IF(E93&gt;0,"Hausse",IF(E93&lt;0,"Baisse","Stable")))</f>
        <v/>
      </c>
      <c r="G93" s="6" t="n"/>
      <c r="H93" s="6" t="n"/>
    </row>
    <row r="94">
      <c r="A94" s="4" t="n"/>
      <c r="B94" s="4" t="n"/>
      <c r="C94" s="4" t="n"/>
      <c r="D94" s="4" t="n"/>
      <c r="E94" s="4">
        <f>IF(OR(C94="",D94=""),"",D94-C94)</f>
        <v/>
      </c>
      <c r="F94" s="4">
        <f>IF(E94="","",IF(E94&gt;0,"Hausse",IF(E94&lt;0,"Baisse","Stable")))</f>
        <v/>
      </c>
      <c r="G94" s="4" t="n"/>
      <c r="H94" s="4" t="n"/>
    </row>
    <row r="95">
      <c r="A95" s="6" t="n"/>
      <c r="B95" s="6" t="n"/>
      <c r="C95" s="6" t="n"/>
      <c r="D95" s="6" t="n"/>
      <c r="E95" s="6">
        <f>IF(OR(C95="",D95=""),"",D95-C95)</f>
        <v/>
      </c>
      <c r="F95" s="6">
        <f>IF(E95="","",IF(E95&gt;0,"Hausse",IF(E95&lt;0,"Baisse","Stable")))</f>
        <v/>
      </c>
      <c r="G95" s="6" t="n"/>
      <c r="H95" s="6" t="n"/>
    </row>
    <row r="96">
      <c r="A96" s="4" t="n"/>
      <c r="B96" s="4" t="n"/>
      <c r="C96" s="4" t="n"/>
      <c r="D96" s="4" t="n"/>
      <c r="E96" s="4">
        <f>IF(OR(C96="",D96=""),"",D96-C96)</f>
        <v/>
      </c>
      <c r="F96" s="4">
        <f>IF(E96="","",IF(E96&gt;0,"Hausse",IF(E96&lt;0,"Baisse","Stable")))</f>
        <v/>
      </c>
      <c r="G96" s="4" t="n"/>
      <c r="H96" s="4" t="n"/>
    </row>
    <row r="97">
      <c r="A97" s="6" t="n"/>
      <c r="B97" s="6" t="n"/>
      <c r="C97" s="6" t="n"/>
      <c r="D97" s="6" t="n"/>
      <c r="E97" s="6">
        <f>IF(OR(C97="",D97=""),"",D97-C97)</f>
        <v/>
      </c>
      <c r="F97" s="6">
        <f>IF(E97="","",IF(E97&gt;0,"Hausse",IF(E97&lt;0,"Baisse","Stable")))</f>
        <v/>
      </c>
      <c r="G97" s="6" t="n"/>
      <c r="H97" s="6" t="n"/>
    </row>
    <row r="98">
      <c r="A98" s="4" t="n"/>
      <c r="B98" s="4" t="n"/>
      <c r="C98" s="4" t="n"/>
      <c r="D98" s="4" t="n"/>
      <c r="E98" s="4">
        <f>IF(OR(C98="",D98=""),"",D98-C98)</f>
        <v/>
      </c>
      <c r="F98" s="4">
        <f>IF(E98="","",IF(E98&gt;0,"Hausse",IF(E98&lt;0,"Baisse","Stable")))</f>
        <v/>
      </c>
      <c r="G98" s="4" t="n"/>
      <c r="H98" s="4" t="n"/>
    </row>
    <row r="99">
      <c r="A99" s="6" t="n"/>
      <c r="B99" s="6" t="n"/>
      <c r="C99" s="6" t="n"/>
      <c r="D99" s="6" t="n"/>
      <c r="E99" s="6">
        <f>IF(OR(C99="",D99=""),"",D99-C99)</f>
        <v/>
      </c>
      <c r="F99" s="6">
        <f>IF(E99="","",IF(E99&gt;0,"Hausse",IF(E99&lt;0,"Baisse","Stable")))</f>
        <v/>
      </c>
      <c r="G99" s="6" t="n"/>
      <c r="H99" s="6" t="n"/>
    </row>
    <row r="100">
      <c r="A100" s="4" t="n"/>
      <c r="B100" s="4" t="n"/>
      <c r="C100" s="4" t="n"/>
      <c r="D100" s="4" t="n"/>
      <c r="E100" s="4">
        <f>IF(OR(C100="",D100=""),"",D100-C100)</f>
        <v/>
      </c>
      <c r="F100" s="4">
        <f>IF(E100="","",IF(E100&gt;0,"Hausse",IF(E100&lt;0,"Baisse","Stable")))</f>
        <v/>
      </c>
      <c r="G100" s="4" t="n"/>
      <c r="H100" s="4" t="n"/>
    </row>
    <row r="101">
      <c r="A101" s="6" t="n"/>
      <c r="B101" s="6" t="n"/>
      <c r="C101" s="6" t="n"/>
      <c r="D101" s="6" t="n"/>
      <c r="E101" s="6">
        <f>IF(OR(C101="",D101=""),"",D101-C101)</f>
        <v/>
      </c>
      <c r="F101" s="6">
        <f>IF(E101="","",IF(E101&gt;0,"Hausse",IF(E101&lt;0,"Baisse","Stable")))</f>
        <v/>
      </c>
      <c r="G101" s="6" t="n"/>
      <c r="H101" s="6" t="n"/>
    </row>
    <row r="102">
      <c r="A102" s="4" t="n"/>
      <c r="B102" s="4" t="n"/>
      <c r="C102" s="4" t="n"/>
      <c r="D102" s="4" t="n"/>
      <c r="E102" s="4">
        <f>IF(OR(C102="",D102=""),"",D102-C102)</f>
        <v/>
      </c>
      <c r="F102" s="4">
        <f>IF(E102="","",IF(E102&gt;0,"Hausse",IF(E102&lt;0,"Baisse","Stable")))</f>
        <v/>
      </c>
      <c r="G102" s="4" t="n"/>
      <c r="H102" s="4" t="n"/>
    </row>
    <row r="103">
      <c r="A103" s="6" t="n"/>
      <c r="B103" s="6" t="n"/>
      <c r="C103" s="6" t="n"/>
      <c r="D103" s="6" t="n"/>
      <c r="E103" s="6">
        <f>IF(OR(C103="",D103=""),"",D103-C103)</f>
        <v/>
      </c>
      <c r="F103" s="6">
        <f>IF(E103="","",IF(E103&gt;0,"Hausse",IF(E103&lt;0,"Baisse","Stable")))</f>
        <v/>
      </c>
      <c r="G103" s="6" t="n"/>
      <c r="H103" s="6" t="n"/>
    </row>
    <row r="104">
      <c r="A104" s="4" t="n"/>
      <c r="B104" s="4" t="n"/>
      <c r="C104" s="4" t="n"/>
      <c r="D104" s="4" t="n"/>
      <c r="E104" s="4">
        <f>IF(OR(C104="",D104=""),"",D104-C104)</f>
        <v/>
      </c>
      <c r="F104" s="4">
        <f>IF(E104="","",IF(E104&gt;0,"Hausse",IF(E104&lt;0,"Baisse","Stable")))</f>
        <v/>
      </c>
      <c r="G104" s="4" t="n"/>
      <c r="H104" s="4" t="n"/>
    </row>
    <row r="105">
      <c r="A105" s="6" t="n"/>
      <c r="B105" s="6" t="n"/>
      <c r="C105" s="6" t="n"/>
      <c r="D105" s="6" t="n"/>
      <c r="E105" s="6">
        <f>IF(OR(C105="",D105=""),"",D105-C105)</f>
        <v/>
      </c>
      <c r="F105" s="6">
        <f>IF(E105="","",IF(E105&gt;0,"Hausse",IF(E105&lt;0,"Baisse","Stable")))</f>
        <v/>
      </c>
      <c r="G105" s="6" t="n"/>
      <c r="H105" s="6" t="n"/>
    </row>
    <row r="106">
      <c r="A106" s="4" t="n"/>
      <c r="B106" s="4" t="n"/>
      <c r="C106" s="4" t="n"/>
      <c r="D106" s="4" t="n"/>
      <c r="E106" s="4">
        <f>IF(OR(C106="",D106=""),"",D106-C106)</f>
        <v/>
      </c>
      <c r="F106" s="4">
        <f>IF(E106="","",IF(E106&gt;0,"Hausse",IF(E106&lt;0,"Baisse","Stable")))</f>
        <v/>
      </c>
      <c r="G106" s="4" t="n"/>
      <c r="H106" s="4" t="n"/>
    </row>
    <row r="107">
      <c r="A107" s="6" t="n"/>
      <c r="B107" s="6" t="n"/>
      <c r="C107" s="6" t="n"/>
      <c r="D107" s="6" t="n"/>
      <c r="E107" s="6">
        <f>IF(OR(C107="",D107=""),"",D107-C107)</f>
        <v/>
      </c>
      <c r="F107" s="6">
        <f>IF(E107="","",IF(E107&gt;0,"Hausse",IF(E107&lt;0,"Baisse","Stable")))</f>
        <v/>
      </c>
      <c r="G107" s="6" t="n"/>
      <c r="H107" s="6" t="n"/>
    </row>
    <row r="108">
      <c r="A108" s="4" t="n"/>
      <c r="B108" s="4" t="n"/>
      <c r="C108" s="4" t="n"/>
      <c r="D108" s="4" t="n"/>
      <c r="E108" s="4">
        <f>IF(OR(C108="",D108=""),"",D108-C108)</f>
        <v/>
      </c>
      <c r="F108" s="4">
        <f>IF(E108="","",IF(E108&gt;0,"Hausse",IF(E108&lt;0,"Baisse","Stable")))</f>
        <v/>
      </c>
      <c r="G108" s="4" t="n"/>
      <c r="H108" s="4" t="n"/>
    </row>
    <row r="109">
      <c r="A109" s="6" t="n"/>
      <c r="B109" s="6" t="n"/>
      <c r="C109" s="6" t="n"/>
      <c r="D109" s="6" t="n"/>
      <c r="E109" s="6">
        <f>IF(OR(C109="",D109=""),"",D109-C109)</f>
        <v/>
      </c>
      <c r="F109" s="6">
        <f>IF(E109="","",IF(E109&gt;0,"Hausse",IF(E109&lt;0,"Baisse","Stable")))</f>
        <v/>
      </c>
      <c r="G109" s="6" t="n"/>
      <c r="H109" s="6" t="n"/>
    </row>
    <row r="110">
      <c r="A110" s="4" t="n"/>
      <c r="B110" s="4" t="n"/>
      <c r="C110" s="4" t="n"/>
      <c r="D110" s="4" t="n"/>
      <c r="E110" s="4">
        <f>IF(OR(C110="",D110=""),"",D110-C110)</f>
        <v/>
      </c>
      <c r="F110" s="4">
        <f>IF(E110="","",IF(E110&gt;0,"Hausse",IF(E110&lt;0,"Baisse","Stable")))</f>
        <v/>
      </c>
      <c r="G110" s="4" t="n"/>
      <c r="H110" s="4" t="n"/>
    </row>
    <row r="111">
      <c r="A111" s="6" t="n"/>
      <c r="B111" s="6" t="n"/>
      <c r="C111" s="6" t="n"/>
      <c r="D111" s="6" t="n"/>
      <c r="E111" s="6">
        <f>IF(OR(C111="",D111=""),"",D111-C111)</f>
        <v/>
      </c>
      <c r="F111" s="6">
        <f>IF(E111="","",IF(E111&gt;0,"Hausse",IF(E111&lt;0,"Baisse","Stable")))</f>
        <v/>
      </c>
      <c r="G111" s="6" t="n"/>
      <c r="H111" s="6" t="n"/>
    </row>
    <row r="112">
      <c r="A112" s="4" t="n"/>
      <c r="B112" s="4" t="n"/>
      <c r="C112" s="4" t="n"/>
      <c r="D112" s="4" t="n"/>
      <c r="E112" s="4">
        <f>IF(OR(C112="",D112=""),"",D112-C112)</f>
        <v/>
      </c>
      <c r="F112" s="4">
        <f>IF(E112="","",IF(E112&gt;0,"Hausse",IF(E112&lt;0,"Baisse","Stable")))</f>
        <v/>
      </c>
      <c r="G112" s="4" t="n"/>
      <c r="H112" s="4" t="n"/>
    </row>
    <row r="113">
      <c r="A113" s="6" t="n"/>
      <c r="B113" s="6" t="n"/>
      <c r="C113" s="6" t="n"/>
      <c r="D113" s="6" t="n"/>
      <c r="E113" s="6">
        <f>IF(OR(C113="",D113=""),"",D113-C113)</f>
        <v/>
      </c>
      <c r="F113" s="6">
        <f>IF(E113="","",IF(E113&gt;0,"Hausse",IF(E113&lt;0,"Baisse","Stable")))</f>
        <v/>
      </c>
      <c r="G113" s="6" t="n"/>
      <c r="H113" s="6" t="n"/>
    </row>
    <row r="114">
      <c r="A114" s="4" t="n"/>
      <c r="B114" s="4" t="n"/>
      <c r="C114" s="4" t="n"/>
      <c r="D114" s="4" t="n"/>
      <c r="E114" s="4">
        <f>IF(OR(C114="",D114=""),"",D114-C114)</f>
        <v/>
      </c>
      <c r="F114" s="4">
        <f>IF(E114="","",IF(E114&gt;0,"Hausse",IF(E114&lt;0,"Baisse","Stable")))</f>
        <v/>
      </c>
      <c r="G114" s="4" t="n"/>
      <c r="H114" s="4" t="n"/>
    </row>
    <row r="115">
      <c r="A115" s="6" t="n"/>
      <c r="B115" s="6" t="n"/>
      <c r="C115" s="6" t="n"/>
      <c r="D115" s="6" t="n"/>
      <c r="E115" s="6">
        <f>IF(OR(C115="",D115=""),"",D115-C115)</f>
        <v/>
      </c>
      <c r="F115" s="6">
        <f>IF(E115="","",IF(E115&gt;0,"Hausse",IF(E115&lt;0,"Baisse","Stable")))</f>
        <v/>
      </c>
      <c r="G115" s="6" t="n"/>
      <c r="H115" s="6" t="n"/>
    </row>
  </sheetData>
  <mergeCells count="2">
    <mergeCell ref="A3:N3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2026-07-16T08:04:33Z</dcterms:created>
  <dcterms:modified xmlns:dcterms="http://purl.org/dc/terms/" xmlns:xsi="http://www.w3.org/2001/XMLSchema-instance" xsi:type="dcterms:W3CDTF">2026-07-16T08:04:34Z</dcterms:modified>
</cp:coreProperties>
</file>