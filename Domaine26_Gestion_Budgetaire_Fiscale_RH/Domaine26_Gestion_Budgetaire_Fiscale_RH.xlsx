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tabRatio="600" firstSheet="0" activeTab="0" autoFilterDateGrouping="1"/>
  </bookViews>
  <sheets>
    <sheet name="F01 - _Données Centrales" sheetId="1" state="visible" r:id="rId1"/>
    <sheet name="F02 - _Lists" sheetId="2" state="visible" r:id="rId2"/>
    <sheet name="F03 - 1-Tableau de Bord" sheetId="3" state="visible" r:id="rId3"/>
    <sheet name="F04 - 2-Budget Prévis. Annuel" sheetId="4" state="visible" r:id="rId4"/>
    <sheet name="F05 - 3-Suivi Masse Salariale" sheetId="5" state="visible" r:id="rId5"/>
    <sheet name="F06 - 4-Charges Patronales" sheetId="6" state="visible" r:id="rId6"/>
    <sheet name="F07 - 5-Fiscalité Rémunération" sheetId="7" state="visible" r:id="rId7"/>
    <sheet name="F08 - 6-Épargne Salariale" sheetId="8" state="visible" r:id="rId8"/>
    <sheet name="F09 - 7-Avantages Nature" sheetId="9" state="visible" r:id="rId9"/>
    <sheet name="F10 - 8-Fiscalité Internat." sheetId="10" state="visible" r:id="rId10"/>
    <sheet name="F11 - 9-Déclarations Fiscales" sheetId="11" state="visible" r:id="rId11"/>
    <sheet name="F12 - 10-Suivi Écarts Budget." sheetId="12" state="visible" r:id="rId12"/>
    <sheet name="F13 - 11-Optimisation Coûts" sheetId="13" state="visible" r:id="rId13"/>
    <sheet name="F14 - 12-Taxes CRDS CSG" sheetId="14" state="visible" r:id="rId14"/>
    <sheet name="F15 - 13-Charges Diverses RH" sheetId="15" state="visible" r:id="rId15"/>
    <sheet name="F16 - 14-Reporting Mensuel" sheetId="16" state="visible" r:id="rId16"/>
    <sheet name="F17 - 15-Analyse Coûts Départ." sheetId="17" state="visible" r:id="rId17"/>
    <sheet name="F18 - 16-Simulations Fiscales" sheetId="18" state="visible" r:id="rId18"/>
    <sheet name="F19 - 17-TdB Financier Global" sheetId="19" state="visible" r:id="rId19"/>
    <sheet name="F20 - 18-Indic. Performance" sheetId="20" state="visible" r:id="rId20"/>
    <sheet name="F21 - 19-Audit Conformité Fisc.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1A237E"/>
      <sz val="14"/>
    </font>
    <font>
      <name val="Calibri"/>
      <color rgb="007f8c8d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A237E"/>
      <sz val="10"/>
    </font>
    <font>
      <name val="Calibri"/>
      <b val="1"/>
      <color rgb="00FF8F00"/>
      <sz val="12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7986CB"/>
      </left>
      <right style="thin">
        <color rgb="007986CB"/>
      </right>
      <top style="thin">
        <color rgb="007986CB"/>
      </top>
      <bottom style="thin">
        <color rgb="007986C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3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FFF9C4"/>
          <bgColor rgb="00FFF9C4"/>
        </patternFill>
      </fill>
    </dxf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E8EAF6"/>
          <bgColor rgb="00E8EA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2:P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6" customWidth="1" min="4" max="4"/>
    <col width="24" customWidth="1" min="5" max="5"/>
    <col width="10" customWidth="1" min="6" max="6"/>
    <col width="20" customWidth="1" min="7" max="7"/>
    <col width="20" customWidth="1" min="8" max="8"/>
    <col width="20" customWidth="1" min="9" max="9"/>
    <col width="18" customWidth="1" min="10" max="10"/>
    <col width="18" customWidth="1" min="11" max="11"/>
    <col width="14" customWidth="1" min="12" max="12"/>
  </cols>
  <sheetData>
    <row r="2" ht="25" customHeight="1">
      <c r="A2" s="1" t="inlineStr">
        <is>
          <t>DOMAINE 26 — GESTION BUDGÉTAIRE ET FISCALE DES RH</t>
        </is>
      </c>
    </row>
    <row r="3" ht="18" customHeight="1">
      <c r="A3" s="2" t="inlineStr">
        <is>
          <t>DONNÉES CENTRALES — Base de référence (toutes les feuilles s'y réfèrent)</t>
        </is>
      </c>
    </row>
    <row r="5">
      <c r="A5" s="3" t="inlineStr">
        <is>
          <t>Code Budget</t>
        </is>
      </c>
      <c r="B5" s="3" t="inlineStr">
        <is>
          <t>Centre de Coût</t>
        </is>
      </c>
      <c r="C5" s="3" t="inlineStr">
        <is>
          <t>Département</t>
        </is>
      </c>
      <c r="D5" s="3" t="inlineStr">
        <is>
          <t>Rubrique Budgétaire</t>
        </is>
      </c>
      <c r="E5" s="3" t="inlineStr">
        <is>
          <t>Nature Comptable</t>
        </is>
      </c>
      <c r="F5" s="3" t="inlineStr">
        <is>
          <t>Exercice</t>
        </is>
      </c>
      <c r="G5" s="3" t="inlineStr">
        <is>
          <t>Budget Alloué (FCFA)</t>
        </is>
      </c>
      <c r="H5" s="3" t="inlineStr">
        <is>
          <t>Budget Consommé (FCFA)</t>
        </is>
      </c>
      <c r="I5" s="3" t="inlineStr">
        <is>
          <t>Reste à Consommer (FCFA)</t>
        </is>
      </c>
      <c r="J5" s="3" t="inlineStr">
        <is>
          <t>Taux Consommation (%)</t>
        </is>
      </c>
      <c r="K5" s="3" t="inlineStr">
        <is>
          <t>Responsable</t>
        </is>
      </c>
      <c r="L5" s="3" t="inlineStr">
        <is>
          <t>Statut</t>
        </is>
      </c>
    </row>
    <row r="6">
      <c r="A6" s="4" t="inlineStr">
        <is>
          <t>BUD-001</t>
        </is>
      </c>
      <c r="B6" s="4" t="inlineStr">
        <is>
          <t>CC-100</t>
        </is>
      </c>
      <c r="C6" s="4" t="inlineStr">
        <is>
          <t>Direction Générale</t>
        </is>
      </c>
      <c r="D6" s="4" t="inlineStr">
        <is>
          <t>Masse salariale DG</t>
        </is>
      </c>
      <c r="E6" s="4" t="inlineStr">
        <is>
          <t>Charges de personnel</t>
        </is>
      </c>
      <c r="F6" s="4" t="n">
        <v>2025</v>
      </c>
      <c r="G6" s="5" t="n">
        <v>85000000</v>
      </c>
      <c r="H6" s="5" t="n">
        <v>72500000</v>
      </c>
      <c r="I6" s="5">
        <f>G6-H6</f>
        <v/>
      </c>
      <c r="J6" s="6">
        <f>IFERROR(H6/G6,0)</f>
        <v/>
      </c>
      <c r="K6" s="4" t="inlineStr">
        <is>
          <t>M. Nkoulou</t>
        </is>
      </c>
      <c r="L6" s="4" t="inlineStr">
        <is>
          <t>En cours</t>
        </is>
      </c>
    </row>
    <row r="7">
      <c r="A7" s="7" t="inlineStr">
        <is>
          <t>BUD-002</t>
        </is>
      </c>
      <c r="B7" s="7" t="inlineStr">
        <is>
          <t>CC-101</t>
        </is>
      </c>
      <c r="C7" s="7" t="inlineStr">
        <is>
          <t>Ressources Humaines</t>
        </is>
      </c>
      <c r="D7" s="7" t="inlineStr">
        <is>
          <t>Masse salariale RH</t>
        </is>
      </c>
      <c r="E7" s="7" t="inlineStr">
        <is>
          <t>Charges de personnel</t>
        </is>
      </c>
      <c r="F7" s="7" t="n">
        <v>2025</v>
      </c>
      <c r="G7" s="8" t="n">
        <v>42000000</v>
      </c>
      <c r="H7" s="8" t="n">
        <v>35800000</v>
      </c>
      <c r="I7" s="8">
        <f>G7-H7</f>
        <v/>
      </c>
      <c r="J7" s="9">
        <f>IFERROR(H7/G7,0)</f>
        <v/>
      </c>
      <c r="K7" s="7" t="inlineStr">
        <is>
          <t>Mme. Mbarga</t>
        </is>
      </c>
      <c r="L7" s="7" t="inlineStr">
        <is>
          <t>En cours</t>
        </is>
      </c>
    </row>
    <row r="8">
      <c r="A8" s="4" t="inlineStr">
        <is>
          <t>BUD-003</t>
        </is>
      </c>
      <c r="B8" s="4" t="inlineStr">
        <is>
          <t>CC-102</t>
        </is>
      </c>
      <c r="C8" s="4" t="inlineStr">
        <is>
          <t>Finance &amp; Comptabilité</t>
        </is>
      </c>
      <c r="D8" s="4" t="inlineStr">
        <is>
          <t>Masse salariale Fin</t>
        </is>
      </c>
      <c r="E8" s="4" t="inlineStr">
        <is>
          <t>Charges de personnel</t>
        </is>
      </c>
      <c r="F8" s="4" t="n">
        <v>2025</v>
      </c>
      <c r="G8" s="5" t="n">
        <v>38000000</v>
      </c>
      <c r="H8" s="5" t="n">
        <v>31200000</v>
      </c>
      <c r="I8" s="5">
        <f>G8-H8</f>
        <v/>
      </c>
      <c r="J8" s="6">
        <f>IFERROR(H8/G8,0)</f>
        <v/>
      </c>
      <c r="K8" s="4" t="inlineStr">
        <is>
          <t>M. Eyenga</t>
        </is>
      </c>
      <c r="L8" s="4" t="inlineStr">
        <is>
          <t>En cours</t>
        </is>
      </c>
    </row>
    <row r="9">
      <c r="A9" s="7" t="inlineStr">
        <is>
          <t>BUD-004</t>
        </is>
      </c>
      <c r="B9" s="7" t="inlineStr">
        <is>
          <t>CC-103</t>
        </is>
      </c>
      <c r="C9" s="7" t="inlineStr">
        <is>
          <t>Cuisine &amp; Restauration</t>
        </is>
      </c>
      <c r="D9" s="7" t="inlineStr">
        <is>
          <t>Masse salariale Rest.</t>
        </is>
      </c>
      <c r="E9" s="7" t="inlineStr">
        <is>
          <t>Charges de personnel</t>
        </is>
      </c>
      <c r="F9" s="7" t="n">
        <v>2025</v>
      </c>
      <c r="G9" s="8" t="n">
        <v>120000000</v>
      </c>
      <c r="H9" s="8" t="n">
        <v>98500000</v>
      </c>
      <c r="I9" s="8">
        <f>G9-H9</f>
        <v/>
      </c>
      <c r="J9" s="9">
        <f>IFERROR(H9/G9,0)</f>
        <v/>
      </c>
      <c r="K9" s="7" t="inlineStr">
        <is>
          <t>M. Tchinda</t>
        </is>
      </c>
      <c r="L9" s="7" t="inlineStr">
        <is>
          <t>En cours</t>
        </is>
      </c>
    </row>
    <row r="10">
      <c r="A10" s="4" t="inlineStr">
        <is>
          <t>BUD-005</t>
        </is>
      </c>
      <c r="B10" s="4" t="inlineStr">
        <is>
          <t>CC-104</t>
        </is>
      </c>
      <c r="C10" s="4" t="inlineStr">
        <is>
          <t>Réception &amp; Front Office</t>
        </is>
      </c>
      <c r="D10" s="4" t="inlineStr">
        <is>
          <t>Masse salariale Récept.</t>
        </is>
      </c>
      <c r="E10" s="4" t="inlineStr">
        <is>
          <t>Charges de personnel</t>
        </is>
      </c>
      <c r="F10" s="4" t="n">
        <v>2025</v>
      </c>
      <c r="G10" s="5" t="n">
        <v>65000000</v>
      </c>
      <c r="H10" s="5" t="n">
        <v>54200000</v>
      </c>
      <c r="I10" s="5">
        <f>G10-H10</f>
        <v/>
      </c>
      <c r="J10" s="6">
        <f>IFERROR(H10/G10,0)</f>
        <v/>
      </c>
      <c r="K10" s="4" t="inlineStr">
        <is>
          <t>Mme. Ngassa</t>
        </is>
      </c>
      <c r="L10" s="4" t="inlineStr">
        <is>
          <t>En cours</t>
        </is>
      </c>
    </row>
    <row r="11">
      <c r="A11" s="7" t="inlineStr">
        <is>
          <t>BUD-006</t>
        </is>
      </c>
      <c r="B11" s="7" t="inlineStr">
        <is>
          <t>CC-105</t>
        </is>
      </c>
      <c r="C11" s="7" t="inlineStr">
        <is>
          <t>Maintenance &amp; Technique</t>
        </is>
      </c>
      <c r="D11" s="7" t="inlineStr">
        <is>
          <t>Masse salariale Maint.</t>
        </is>
      </c>
      <c r="E11" s="7" t="inlineStr">
        <is>
          <t>Charges de personnel</t>
        </is>
      </c>
      <c r="F11" s="7" t="n">
        <v>2025</v>
      </c>
      <c r="G11" s="8" t="n">
        <v>55000000</v>
      </c>
      <c r="H11" s="8" t="n">
        <v>46800000</v>
      </c>
      <c r="I11" s="8">
        <f>G11-H11</f>
        <v/>
      </c>
      <c r="J11" s="9">
        <f>IFERROR(H11/G11,0)</f>
        <v/>
      </c>
      <c r="K11" s="7" t="inlineStr">
        <is>
          <t>M. Ondo</t>
        </is>
      </c>
      <c r="L11" s="7" t="inlineStr">
        <is>
          <t>En cours</t>
        </is>
      </c>
    </row>
    <row r="12">
      <c r="A12" s="4" t="inlineStr">
        <is>
          <t>BUD-007</t>
        </is>
      </c>
      <c r="B12" s="4" t="inlineStr">
        <is>
          <t>CC-200</t>
        </is>
      </c>
      <c r="C12" s="4" t="inlineStr">
        <is>
          <t>Ressources Humaines</t>
        </is>
      </c>
      <c r="D12" s="4" t="inlineStr">
        <is>
          <t>Charges patronales</t>
        </is>
      </c>
      <c r="E12" s="4" t="inlineStr">
        <is>
          <t>Charges sociales</t>
        </is>
      </c>
      <c r="F12" s="4" t="n">
        <v>2025</v>
      </c>
      <c r="G12" s="5" t="n">
        <v>35000000</v>
      </c>
      <c r="H12" s="5" t="n">
        <v>28500000</v>
      </c>
      <c r="I12" s="5">
        <f>G12-H12</f>
        <v/>
      </c>
      <c r="J12" s="6">
        <f>IFERROR(H12/G12,0)</f>
        <v/>
      </c>
      <c r="K12" s="4" t="inlineStr">
        <is>
          <t>Mme. Mbarga</t>
        </is>
      </c>
      <c r="L12" s="4" t="inlineStr">
        <is>
          <t>En cours</t>
        </is>
      </c>
    </row>
    <row r="13">
      <c r="A13" s="7" t="inlineStr">
        <is>
          <t>BUD-008</t>
        </is>
      </c>
      <c r="B13" s="7" t="inlineStr">
        <is>
          <t>CC-201</t>
        </is>
      </c>
      <c r="C13" s="7" t="inlineStr">
        <is>
          <t>Ressources Humaines</t>
        </is>
      </c>
      <c r="D13" s="7" t="inlineStr">
        <is>
          <t>Formation &amp; développement</t>
        </is>
      </c>
      <c r="E13" s="7" t="inlineStr">
        <is>
          <t>Charges de formation</t>
        </is>
      </c>
      <c r="F13" s="7" t="n">
        <v>2025</v>
      </c>
      <c r="G13" s="8" t="n">
        <v>15000000</v>
      </c>
      <c r="H13" s="8" t="n">
        <v>8700000</v>
      </c>
      <c r="I13" s="8">
        <f>G13-H13</f>
        <v/>
      </c>
      <c r="J13" s="9">
        <f>IFERROR(H13/G13,0)</f>
        <v/>
      </c>
      <c r="K13" s="7" t="inlineStr">
        <is>
          <t>M. Fotso</t>
        </is>
      </c>
      <c r="L13" s="7" t="inlineStr">
        <is>
          <t>En cours</t>
        </is>
      </c>
    </row>
    <row r="14">
      <c r="A14" s="4" t="inlineStr">
        <is>
          <t>BUD-009</t>
        </is>
      </c>
      <c r="B14" s="4" t="inlineStr">
        <is>
          <t>CC-202</t>
        </is>
      </c>
      <c r="C14" s="4" t="inlineStr">
        <is>
          <t>Ressources Humaines</t>
        </is>
      </c>
      <c r="D14" s="4" t="inlineStr">
        <is>
          <t>Recrutement &amp; intégration</t>
        </is>
      </c>
      <c r="E14" s="4" t="inlineStr">
        <is>
          <t>Charges recrutement</t>
        </is>
      </c>
      <c r="F14" s="4" t="n">
        <v>2025</v>
      </c>
      <c r="G14" s="5" t="n">
        <v>8000000</v>
      </c>
      <c r="H14" s="5" t="n">
        <v>6200000</v>
      </c>
      <c r="I14" s="5">
        <f>G14-H14</f>
        <v/>
      </c>
      <c r="J14" s="6">
        <f>IFERROR(H14/G14,0)</f>
        <v/>
      </c>
      <c r="K14" s="4" t="inlineStr">
        <is>
          <t>Mme. Essomba</t>
        </is>
      </c>
      <c r="L14" s="4" t="inlineStr">
        <is>
          <t>En cours</t>
        </is>
      </c>
    </row>
    <row r="15">
      <c r="A15" s="7" t="inlineStr">
        <is>
          <t>BUD-010</t>
        </is>
      </c>
      <c r="B15" s="7" t="inlineStr">
        <is>
          <t>CC-203</t>
        </is>
      </c>
      <c r="C15" s="7" t="inlineStr">
        <is>
          <t>Ressources Humaines</t>
        </is>
      </c>
      <c r="D15" s="7" t="inlineStr">
        <is>
          <t>Avantages sociaux</t>
        </is>
      </c>
      <c r="E15" s="7" t="inlineStr">
        <is>
          <t>Avantages en nature</t>
        </is>
      </c>
      <c r="F15" s="7" t="n">
        <v>2025</v>
      </c>
      <c r="G15" s="8" t="n">
        <v>22000000</v>
      </c>
      <c r="H15" s="8" t="n">
        <v>16400000</v>
      </c>
      <c r="I15" s="8">
        <f>G15-H15</f>
        <v/>
      </c>
      <c r="J15" s="9">
        <f>IFERROR(H15/G15,0)</f>
        <v/>
      </c>
      <c r="K15" s="7" t="inlineStr">
        <is>
          <t>Mme. Mbarga</t>
        </is>
      </c>
      <c r="L15" s="7" t="inlineStr">
        <is>
          <t>En cours</t>
        </is>
      </c>
    </row>
    <row r="16">
      <c r="A16" s="4" t="inlineStr">
        <is>
          <t>BUD-011</t>
        </is>
      </c>
      <c r="B16" s="4" t="inlineStr">
        <is>
          <t>CC-204</t>
        </is>
      </c>
      <c r="C16" s="4" t="inlineStr">
        <is>
          <t>Ressources Humaines</t>
        </is>
      </c>
      <c r="D16" s="4" t="inlineStr">
        <is>
          <t>Épargne salariale</t>
        </is>
      </c>
      <c r="E16" s="4" t="inlineStr">
        <is>
          <t>Participation/Intéressement</t>
        </is>
      </c>
      <c r="F16" s="4" t="n">
        <v>2025</v>
      </c>
      <c r="G16" s="5" t="n">
        <v>18000000</v>
      </c>
      <c r="H16" s="5" t="n">
        <v>9500000</v>
      </c>
      <c r="I16" s="5">
        <f>G16-H16</f>
        <v/>
      </c>
      <c r="J16" s="6">
        <f>IFERROR(H16/G16,0)</f>
        <v/>
      </c>
      <c r="K16" s="4" t="inlineStr">
        <is>
          <t>M. Eyenga</t>
        </is>
      </c>
      <c r="L16" s="4" t="inlineStr">
        <is>
          <t>En cours</t>
        </is>
      </c>
    </row>
    <row r="17">
      <c r="A17" s="7" t="inlineStr">
        <is>
          <t>BUD-012</t>
        </is>
      </c>
      <c r="B17" s="7" t="inlineStr">
        <is>
          <t>CC-205</t>
        </is>
      </c>
      <c r="C17" s="7" t="inlineStr">
        <is>
          <t>Finance &amp; Comptabilité</t>
        </is>
      </c>
      <c r="D17" s="7" t="inlineStr">
        <is>
          <t>Fiscalité salariale</t>
        </is>
      </c>
      <c r="E17" s="7" t="inlineStr">
        <is>
          <t>Impôts et taxes</t>
        </is>
      </c>
      <c r="F17" s="7" t="n">
        <v>2025</v>
      </c>
      <c r="G17" s="8" t="n">
        <v>25000000</v>
      </c>
      <c r="H17" s="8" t="n">
        <v>19800000</v>
      </c>
      <c r="I17" s="8">
        <f>G17-H17</f>
        <v/>
      </c>
      <c r="J17" s="9">
        <f>IFERROR(H17/G17,0)</f>
        <v/>
      </c>
      <c r="K17" s="7" t="inlineStr">
        <is>
          <t>M. Eyenga</t>
        </is>
      </c>
      <c r="L17" s="7" t="inlineStr">
        <is>
          <t>En cours</t>
        </is>
      </c>
    </row>
    <row r="18">
      <c r="A18" s="4" t="inlineStr">
        <is>
          <t>BUD-013</t>
        </is>
      </c>
      <c r="B18" s="4" t="inlineStr">
        <is>
          <t>CC-206</t>
        </is>
      </c>
      <c r="C18" s="4" t="inlineStr">
        <is>
          <t>Direction Générale</t>
        </is>
      </c>
      <c r="D18" s="4" t="inlineStr">
        <is>
          <t>Primes &amp; indemnités</t>
        </is>
      </c>
      <c r="E18" s="4" t="inlineStr">
        <is>
          <t>Rémunération accessoire</t>
        </is>
      </c>
      <c r="F18" s="4" t="n">
        <v>2025</v>
      </c>
      <c r="G18" s="5" t="n">
        <v>30000000</v>
      </c>
      <c r="H18" s="5" t="n">
        <v>22400000</v>
      </c>
      <c r="I18" s="5">
        <f>G18-H18</f>
        <v/>
      </c>
      <c r="J18" s="6">
        <f>IFERROR(H18/G18,0)</f>
        <v/>
      </c>
      <c r="K18" s="4" t="inlineStr">
        <is>
          <t>M. Nkoulou</t>
        </is>
      </c>
      <c r="L18" s="4" t="inlineStr">
        <is>
          <t>En cours</t>
        </is>
      </c>
    </row>
    <row r="19">
      <c r="A19" s="7" t="inlineStr">
        <is>
          <t>BUD-014</t>
        </is>
      </c>
      <c r="B19" s="7" t="inlineStr">
        <is>
          <t>CC-207</t>
        </is>
      </c>
      <c r="C19" s="7" t="inlineStr">
        <is>
          <t>Tous départements</t>
        </is>
      </c>
      <c r="D19" s="7" t="inlineStr">
        <is>
          <t>Santé &amp; sécurité au travail</t>
        </is>
      </c>
      <c r="E19" s="7" t="inlineStr">
        <is>
          <t>Charges SST</t>
        </is>
      </c>
      <c r="F19" s="7" t="n">
        <v>2025</v>
      </c>
      <c r="G19" s="8" t="n">
        <v>12000000</v>
      </c>
      <c r="H19" s="8" t="n">
        <v>7800000</v>
      </c>
      <c r="I19" s="8">
        <f>G19-H19</f>
        <v/>
      </c>
      <c r="J19" s="9">
        <f>IFERROR(H19/G19,0)</f>
        <v/>
      </c>
      <c r="K19" s="7" t="inlineStr">
        <is>
          <t>M. Ondo</t>
        </is>
      </c>
      <c r="L19" s="7" t="inlineStr">
        <is>
          <t>En cours</t>
        </is>
      </c>
    </row>
    <row r="20">
      <c r="A20" s="4" t="inlineStr">
        <is>
          <t>BUD-015</t>
        </is>
      </c>
      <c r="B20" s="4" t="inlineStr">
        <is>
          <t>CC-208</t>
        </is>
      </c>
      <c r="C20" s="4" t="inlineStr">
        <is>
          <t>Tous départements</t>
        </is>
      </c>
      <c r="D20" s="4" t="inlineStr">
        <is>
          <t>Mobilité &amp; relocalisation</t>
        </is>
      </c>
      <c r="E20" s="4" t="inlineStr">
        <is>
          <t>Charges de mobilité</t>
        </is>
      </c>
      <c r="F20" s="4" t="n">
        <v>2025</v>
      </c>
      <c r="G20" s="5" t="n">
        <v>10000000</v>
      </c>
      <c r="H20" s="5" t="n">
        <v>5400000</v>
      </c>
      <c r="I20" s="5">
        <f>G20-H20</f>
        <v/>
      </c>
      <c r="J20" s="6">
        <f>IFERROR(H20/G20,0)</f>
        <v/>
      </c>
      <c r="K20" s="4" t="inlineStr">
        <is>
          <t>Mme. Essomba</t>
        </is>
      </c>
      <c r="L20" s="4" t="inlineStr">
        <is>
          <t>En cours</t>
        </is>
      </c>
    </row>
  </sheetData>
  <mergeCells count="2">
    <mergeCell ref="A3:P3"/>
    <mergeCell ref="A2:P2"/>
  </mergeCells>
  <conditionalFormatting sqref="L6:L20">
    <cfRule type="cellIs" priority="1" operator="equal" dxfId="0">
      <formula>"En cours"</formula>
    </cfRule>
    <cfRule type="cellIs" priority="2" operator="equal" dxfId="1">
      <formula>"Clôturé"</formula>
    </cfRule>
    <cfRule type="cellIs" priority="3" operator="equal" dxfId="2">
      <formula>"Dépassé"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986CB"/>
    <outlinePr summaryBelow="1" summaryRight="1"/>
    <pageSetUpPr/>
  </sheetPr>
  <dimension ref="A2:T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2" ht="25" customHeight="1">
      <c r="A2" s="1" t="inlineStr">
        <is>
          <t>DOMAINE 26 — LISTES DE RÉFÉRENCE</t>
        </is>
      </c>
    </row>
    <row r="3" ht="18" customHeight="1">
      <c r="A3" s="2" t="inlineStr">
        <is>
          <t>Valeurs pour listes déroulantes — Saisissez vos propres valeurs</t>
        </is>
      </c>
    </row>
    <row r="5">
      <c r="A5" s="3" t="inlineStr">
        <is>
          <t>centres_cout</t>
        </is>
      </c>
      <c r="B5" s="3" t="inlineStr">
        <is>
          <t>departements</t>
        </is>
      </c>
      <c r="C5" s="3" t="inlineStr">
        <is>
          <t>rubriques_budget</t>
        </is>
      </c>
      <c r="D5" s="3" t="inlineStr">
        <is>
          <t>natures_comptables</t>
        </is>
      </c>
      <c r="E5" s="3" t="inlineStr">
        <is>
          <t>exercices</t>
        </is>
      </c>
      <c r="F5" s="3" t="inlineStr">
        <is>
          <t>statuts_budget</t>
        </is>
      </c>
      <c r="G5" s="3" t="inlineStr">
        <is>
          <t>types_charges</t>
        </is>
      </c>
      <c r="H5" s="3" t="inlineStr">
        <is>
          <t>regimes_fiscaux</t>
        </is>
      </c>
      <c r="I5" s="3" t="inlineStr">
        <is>
          <t>types_impots</t>
        </is>
      </c>
      <c r="J5" s="3" t="inlineStr">
        <is>
          <t>periodes</t>
        </is>
      </c>
      <c r="K5" s="3" t="inlineStr">
        <is>
          <t>trimestres</t>
        </is>
      </c>
      <c r="L5" s="3" t="inlineStr">
        <is>
          <t>mois</t>
        </is>
      </c>
      <c r="M5" s="3" t="inlineStr">
        <is>
          <t>priorites</t>
        </is>
      </c>
      <c r="N5" s="3" t="inlineStr">
        <is>
          <t>conformites</t>
        </is>
      </c>
      <c r="O5" s="3" t="inlineStr">
        <is>
          <t>types_declaration</t>
        </is>
      </c>
      <c r="P5" s="3" t="inlineStr">
        <is>
          <t>regimes_tva</t>
        </is>
      </c>
      <c r="Q5" s="3" t="inlineStr">
        <is>
          <t>statuts_paiement</t>
        </is>
      </c>
      <c r="R5" s="3" t="inlineStr">
        <is>
          <t>categories_rh</t>
        </is>
      </c>
      <c r="S5" s="3" t="inlineStr">
        <is>
          <t>tendances</t>
        </is>
      </c>
      <c r="T5" s="3" t="inlineStr">
        <is>
          <t>evaluations</t>
        </is>
      </c>
    </row>
    <row r="6">
      <c r="A6" s="4" t="inlineStr">
        <is>
          <t>CC-100</t>
        </is>
      </c>
      <c r="B6" s="4" t="inlineStr">
        <is>
          <t>Direction Générale</t>
        </is>
      </c>
      <c r="C6" s="4" t="inlineStr">
        <is>
          <t>Masse salariale</t>
        </is>
      </c>
      <c r="D6" s="4" t="inlineStr">
        <is>
          <t>Charges de personnel</t>
        </is>
      </c>
      <c r="E6" s="4" t="inlineStr">
        <is>
          <t>2024</t>
        </is>
      </c>
      <c r="F6" s="4" t="inlineStr">
        <is>
          <t>En cours</t>
        </is>
      </c>
      <c r="G6" s="4" t="inlineStr">
        <is>
          <t>Fixes</t>
        </is>
      </c>
      <c r="H6" s="4" t="inlineStr">
        <is>
          <t>Réel normal</t>
        </is>
      </c>
      <c r="I6" s="4" t="inlineStr">
        <is>
          <t>IR sur salaires</t>
        </is>
      </c>
      <c r="J6" s="4" t="inlineStr">
        <is>
          <t>Janvier</t>
        </is>
      </c>
      <c r="K6" s="4" t="inlineStr">
        <is>
          <t>T1</t>
        </is>
      </c>
      <c r="L6" s="4" t="inlineStr">
        <is>
          <t>Janvier</t>
        </is>
      </c>
      <c r="M6" s="4" t="inlineStr">
        <is>
          <t>Haute</t>
        </is>
      </c>
      <c r="N6" s="4" t="inlineStr">
        <is>
          <t>Conforme</t>
        </is>
      </c>
      <c r="O6" s="4" t="inlineStr">
        <is>
          <t>DSF mensuelle</t>
        </is>
      </c>
      <c r="P6" s="4" t="inlineStr">
        <is>
          <t>TVA 19,25%</t>
        </is>
      </c>
      <c r="Q6" s="4" t="inlineStr">
        <is>
          <t>Payé</t>
        </is>
      </c>
      <c r="R6" s="4" t="inlineStr">
        <is>
          <t>Cadres</t>
        </is>
      </c>
      <c r="S6" s="4" t="inlineStr">
        <is>
          <t>Hausse</t>
        </is>
      </c>
      <c r="T6" s="4" t="inlineStr">
        <is>
          <t>Excellent</t>
        </is>
      </c>
    </row>
    <row r="7">
      <c r="A7" s="7" t="inlineStr">
        <is>
          <t>CC-101</t>
        </is>
      </c>
      <c r="B7" s="7" t="inlineStr">
        <is>
          <t>Ressources Humaines</t>
        </is>
      </c>
      <c r="C7" s="7" t="inlineStr">
        <is>
          <t>Charges patronales</t>
        </is>
      </c>
      <c r="D7" s="7" t="inlineStr">
        <is>
          <t>Charges sociales</t>
        </is>
      </c>
      <c r="E7" s="7" t="inlineStr">
        <is>
          <t>2025</t>
        </is>
      </c>
      <c r="F7" s="7" t="inlineStr">
        <is>
          <t>Clôturé</t>
        </is>
      </c>
      <c r="G7" s="7" t="inlineStr">
        <is>
          <t>Variables</t>
        </is>
      </c>
      <c r="H7" s="7" t="inlineStr">
        <is>
          <t>Réel simplifié</t>
        </is>
      </c>
      <c r="I7" s="7" t="inlineStr">
        <is>
          <t>Taxe sur les salaires</t>
        </is>
      </c>
      <c r="J7" s="7" t="inlineStr">
        <is>
          <t>Février</t>
        </is>
      </c>
      <c r="K7" s="7" t="inlineStr">
        <is>
          <t>T2</t>
        </is>
      </c>
      <c r="L7" s="7" t="inlineStr">
        <is>
          <t>Février</t>
        </is>
      </c>
      <c r="M7" s="7" t="inlineStr">
        <is>
          <t>Moyenne</t>
        </is>
      </c>
      <c r="N7" s="7" t="inlineStr">
        <is>
          <t>Non conforme</t>
        </is>
      </c>
      <c r="O7" s="7" t="inlineStr">
        <is>
          <t>DSF annuelle</t>
        </is>
      </c>
      <c r="P7" s="7" t="inlineStr">
        <is>
          <t>TVA 0%</t>
        </is>
      </c>
      <c r="Q7" s="7" t="inlineStr">
        <is>
          <t>En attente</t>
        </is>
      </c>
      <c r="R7" s="7" t="inlineStr">
        <is>
          <t>Non cadres</t>
        </is>
      </c>
      <c r="S7" s="7" t="inlineStr">
        <is>
          <t>Baisse</t>
        </is>
      </c>
      <c r="T7" s="7" t="inlineStr">
        <is>
          <t>Très bon</t>
        </is>
      </c>
    </row>
    <row r="8">
      <c r="A8" s="4" t="inlineStr">
        <is>
          <t>CC-102</t>
        </is>
      </c>
      <c r="B8" s="4" t="inlineStr">
        <is>
          <t>Finance &amp; Comptabilité</t>
        </is>
      </c>
      <c r="C8" s="4" t="inlineStr">
        <is>
          <t>Formation &amp; développement</t>
        </is>
      </c>
      <c r="D8" s="4" t="inlineStr">
        <is>
          <t>Charges de formation</t>
        </is>
      </c>
      <c r="E8" s="4" t="inlineStr">
        <is>
          <t>2026</t>
        </is>
      </c>
      <c r="F8" s="4" t="inlineStr">
        <is>
          <t>Dépassé</t>
        </is>
      </c>
      <c r="G8" s="4" t="inlineStr">
        <is>
          <t>Exceptionnelles</t>
        </is>
      </c>
      <c r="H8" s="4" t="inlineStr">
        <is>
          <t>Synthèse</t>
        </is>
      </c>
      <c r="I8" s="4" t="inlineStr">
        <is>
          <t>CRDS</t>
        </is>
      </c>
      <c r="J8" s="4" t="inlineStr">
        <is>
          <t>Mars</t>
        </is>
      </c>
      <c r="K8" s="4" t="inlineStr">
        <is>
          <t>T3</t>
        </is>
      </c>
      <c r="L8" s="4" t="inlineStr">
        <is>
          <t>Mars</t>
        </is>
      </c>
      <c r="M8" s="4" t="inlineStr">
        <is>
          <t>Basse</t>
        </is>
      </c>
      <c r="N8" s="4" t="inlineStr">
        <is>
          <t>En attente</t>
        </is>
      </c>
      <c r="O8" s="4" t="inlineStr">
        <is>
          <t>DSF rectificative</t>
        </is>
      </c>
      <c r="P8" s="4" t="inlineStr">
        <is>
          <t>TVA 5,5%</t>
        </is>
      </c>
      <c r="Q8" s="4" t="inlineStr">
        <is>
          <t>Partiellement payé</t>
        </is>
      </c>
      <c r="R8" s="4" t="inlineStr">
        <is>
          <t>Expatriés</t>
        </is>
      </c>
      <c r="S8" s="4" t="inlineStr">
        <is>
          <t>Stable</t>
        </is>
      </c>
      <c r="T8" s="4" t="inlineStr">
        <is>
          <t>Bon</t>
        </is>
      </c>
    </row>
    <row r="9">
      <c r="A9" s="7" t="inlineStr">
        <is>
          <t>CC-103</t>
        </is>
      </c>
      <c r="B9" s="7" t="inlineStr">
        <is>
          <t>Cuisine &amp; Restauration</t>
        </is>
      </c>
      <c r="C9" s="7" t="inlineStr">
        <is>
          <t>Recrutement &amp; intégration</t>
        </is>
      </c>
      <c r="D9" s="7" t="inlineStr">
        <is>
          <t>Charges recrutement</t>
        </is>
      </c>
      <c r="E9" s="7" t="inlineStr">
        <is>
          <t>2027</t>
        </is>
      </c>
      <c r="F9" s="7" t="inlineStr">
        <is>
          <t>En attente validation</t>
        </is>
      </c>
      <c r="G9" s="7" t="inlineStr">
        <is>
          <t>Récurrentes</t>
        </is>
      </c>
      <c r="H9" s="7" t="inlineStr">
        <is>
          <t>Régime des micro-entreprises</t>
        </is>
      </c>
      <c r="I9" s="7" t="inlineStr">
        <is>
          <t>CSG</t>
        </is>
      </c>
      <c r="J9" s="7" t="inlineStr">
        <is>
          <t>Avril</t>
        </is>
      </c>
      <c r="K9" s="7" t="inlineStr">
        <is>
          <t>T4</t>
        </is>
      </c>
      <c r="L9" s="7" t="inlineStr">
        <is>
          <t>Avril</t>
        </is>
      </c>
      <c r="M9" s="7" t="inlineStr">
        <is>
          <t>Critique</t>
        </is>
      </c>
      <c r="N9" s="7" t="inlineStr">
        <is>
          <t>À régulariser</t>
        </is>
      </c>
      <c r="O9" s="7" t="inlineStr">
        <is>
          <t>DSN mensuelle</t>
        </is>
      </c>
      <c r="P9" s="7" t="inlineStr">
        <is>
          <t>TVA 10%</t>
        </is>
      </c>
      <c r="Q9" s="7" t="inlineStr">
        <is>
          <t>Impayé</t>
        </is>
      </c>
      <c r="R9" s="7" t="inlineStr">
        <is>
          <t>Stagiaires</t>
        </is>
      </c>
      <c r="S9" s="7" t="inlineStr">
        <is>
          <t>En attente</t>
        </is>
      </c>
      <c r="T9" s="7" t="inlineStr">
        <is>
          <t>Satisfaisant</t>
        </is>
      </c>
    </row>
    <row r="10">
      <c r="A10" s="4" t="inlineStr">
        <is>
          <t>CC-104</t>
        </is>
      </c>
      <c r="B10" s="4" t="inlineStr">
        <is>
          <t>Réception &amp; Front Office</t>
        </is>
      </c>
      <c r="C10" s="4" t="inlineStr">
        <is>
          <t>Avantages sociaux</t>
        </is>
      </c>
      <c r="D10" s="4" t="inlineStr">
        <is>
          <t>Avantages en nature</t>
        </is>
      </c>
      <c r="E10" s="4" t="n"/>
      <c r="F10" s="4" t="inlineStr">
        <is>
          <t>Reporté</t>
        </is>
      </c>
      <c r="G10" s="4" t="inlineStr">
        <is>
          <t>Non récurrentes</t>
        </is>
      </c>
      <c r="H10" s="4" t="inlineStr">
        <is>
          <t>Exonération totale</t>
        </is>
      </c>
      <c r="I10" s="4" t="inlineStr">
        <is>
          <t>Cotisations ASSEDIC</t>
        </is>
      </c>
      <c r="J10" s="4" t="inlineStr">
        <is>
          <t>Mai</t>
        </is>
      </c>
      <c r="K10" s="4" t="n"/>
      <c r="L10" s="4" t="inlineStr">
        <is>
          <t>Mai</t>
        </is>
      </c>
      <c r="M10" s="4" t="n"/>
      <c r="N10" s="4" t="inlineStr">
        <is>
          <t>En cours de vérification</t>
        </is>
      </c>
      <c r="O10" s="4" t="inlineStr">
        <is>
          <t>TVA mensuelle</t>
        </is>
      </c>
      <c r="P10" s="4" t="inlineStr">
        <is>
          <t>Exonéré</t>
        </is>
      </c>
      <c r="Q10" s="4" t="inlineStr">
        <is>
          <t>Litige</t>
        </is>
      </c>
      <c r="R10" s="4" t="inlineStr">
        <is>
          <t>Temporaires</t>
        </is>
      </c>
      <c r="S10" s="4" t="n"/>
      <c r="T10" s="4" t="inlineStr">
        <is>
          <t>Insuffisant</t>
        </is>
      </c>
    </row>
    <row r="11">
      <c r="A11" s="7" t="inlineStr">
        <is>
          <t>CC-105</t>
        </is>
      </c>
      <c r="B11" s="7" t="inlineStr">
        <is>
          <t>Maintenance &amp; Technique</t>
        </is>
      </c>
      <c r="C11" s="7" t="inlineStr">
        <is>
          <t>Épargne salariale</t>
        </is>
      </c>
      <c r="D11" s="7" t="inlineStr">
        <is>
          <t>Participation/Intéressement</t>
        </is>
      </c>
      <c r="E11" s="7" t="n"/>
      <c r="F11" s="7" t="inlineStr">
        <is>
          <t>Annulé</t>
        </is>
      </c>
      <c r="G11" s="7" t="n"/>
      <c r="H11" s="7" t="inlineStr">
        <is>
          <t>Convention fiscale</t>
        </is>
      </c>
      <c r="I11" s="7" t="inlineStr">
        <is>
          <t>Cotisations retraite</t>
        </is>
      </c>
      <c r="J11" s="7" t="inlineStr">
        <is>
          <t>Juin</t>
        </is>
      </c>
      <c r="K11" s="7" t="n"/>
      <c r="L11" s="7" t="inlineStr">
        <is>
          <t>Juin</t>
        </is>
      </c>
      <c r="M11" s="7" t="n"/>
      <c r="N11" s="7" t="n"/>
      <c r="O11" s="7" t="inlineStr">
        <is>
          <t>TVA annuelle</t>
        </is>
      </c>
      <c r="P11" s="7" t="inlineStr">
        <is>
          <t>Non applicable</t>
        </is>
      </c>
      <c r="Q11" s="7" t="inlineStr">
        <is>
          <t>Reporté</t>
        </is>
      </c>
      <c r="R11" s="7" t="inlineStr">
        <is>
          <t>Consultants</t>
        </is>
      </c>
      <c r="S11" s="7" t="n"/>
      <c r="T11" s="7" t="inlineStr">
        <is>
          <t>À améliorer</t>
        </is>
      </c>
    </row>
    <row r="12">
      <c r="A12" s="4" t="inlineStr">
        <is>
          <t>CC-200</t>
        </is>
      </c>
      <c r="B12" s="4" t="inlineStr">
        <is>
          <t>Marketing &amp; Communication</t>
        </is>
      </c>
      <c r="C12" s="4" t="inlineStr">
        <is>
          <t>Fiscalité salariale</t>
        </is>
      </c>
      <c r="D12" s="4" t="inlineStr">
        <is>
          <t>Impôts et taxes</t>
        </is>
      </c>
      <c r="E12" s="4" t="n"/>
      <c r="F12" s="4" t="n"/>
      <c r="G12" s="4" t="n"/>
      <c r="H12" s="4" t="n"/>
      <c r="I12" s="4" t="inlineStr">
        <is>
          <t>Cotisations maladie</t>
        </is>
      </c>
      <c r="J12" s="4" t="inlineStr">
        <is>
          <t>Juillet</t>
        </is>
      </c>
      <c r="K12" s="4" t="n"/>
      <c r="L12" s="4" t="inlineStr">
        <is>
          <t>Juillet</t>
        </is>
      </c>
      <c r="M12" s="4" t="n"/>
      <c r="N12" s="4" t="n"/>
      <c r="O12" s="4" t="inlineStr">
        <is>
          <t>Déclaration IS</t>
        </is>
      </c>
      <c r="P12" s="4" t="n"/>
      <c r="Q12" s="4" t="n"/>
      <c r="R12" s="4" t="n"/>
      <c r="S12" s="4" t="n"/>
      <c r="T12" s="4" t="n"/>
    </row>
    <row r="13">
      <c r="A13" s="7" t="inlineStr">
        <is>
          <t>CC-201</t>
        </is>
      </c>
      <c r="B13" s="7" t="inlineStr">
        <is>
          <t>Revenue Management</t>
        </is>
      </c>
      <c r="C13" s="7" t="inlineStr">
        <is>
          <t>Primes &amp; indemnités</t>
        </is>
      </c>
      <c r="D13" s="7" t="inlineStr">
        <is>
          <t>Rémunération accessoire</t>
        </is>
      </c>
      <c r="E13" s="7" t="n"/>
      <c r="F13" s="7" t="n"/>
      <c r="G13" s="7" t="n"/>
      <c r="H13" s="7" t="n"/>
      <c r="I13" s="7" t="inlineStr">
        <is>
          <t>Cotisations AT/MP</t>
        </is>
      </c>
      <c r="J13" s="7" t="inlineStr">
        <is>
          <t>Août</t>
        </is>
      </c>
      <c r="K13" s="7" t="n"/>
      <c r="L13" s="7" t="inlineStr">
        <is>
          <t>Août</t>
        </is>
      </c>
      <c r="M13" s="7" t="n"/>
      <c r="N13" s="7" t="n"/>
      <c r="O13" s="7" t="inlineStr">
        <is>
          <t>Déclaration TVA CA</t>
        </is>
      </c>
      <c r="P13" s="7" t="n"/>
      <c r="Q13" s="7" t="n"/>
      <c r="R13" s="7" t="n"/>
      <c r="S13" s="7" t="n"/>
      <c r="T13" s="7" t="n"/>
    </row>
    <row r="14">
      <c r="A14" s="4" t="inlineStr">
        <is>
          <t>CC-202</t>
        </is>
      </c>
      <c r="B14" s="4" t="inlineStr">
        <is>
          <t>Spa &amp; Bien-être</t>
        </is>
      </c>
      <c r="C14" s="4" t="inlineStr">
        <is>
          <t>Santé &amp; sécurité</t>
        </is>
      </c>
      <c r="D14" s="4" t="inlineStr">
        <is>
          <t>Charges SST</t>
        </is>
      </c>
      <c r="E14" s="4" t="n"/>
      <c r="F14" s="4" t="n"/>
      <c r="G14" s="4" t="n"/>
      <c r="H14" s="4" t="n"/>
      <c r="I14" s="4" t="inlineStr">
        <is>
          <t>Taxe d'apprentissage</t>
        </is>
      </c>
      <c r="J14" s="4" t="inlineStr">
        <is>
          <t>Septembre</t>
        </is>
      </c>
      <c r="K14" s="4" t="n"/>
      <c r="L14" s="4" t="inlineStr">
        <is>
          <t>Septembre</t>
        </is>
      </c>
      <c r="M14" s="4" t="n"/>
      <c r="N14" s="4" t="n"/>
      <c r="O14" s="4" t="inlineStr">
        <is>
          <t>Liasse fiscale</t>
        </is>
      </c>
      <c r="P14" s="4" t="n"/>
      <c r="Q14" s="4" t="n"/>
      <c r="R14" s="4" t="n"/>
      <c r="S14" s="4" t="n"/>
      <c r="T14" s="4" t="n"/>
    </row>
    <row r="15">
      <c r="A15" s="7" t="inlineStr">
        <is>
          <t>CC-203</t>
        </is>
      </c>
      <c r="B15" s="7" t="inlineStr">
        <is>
          <t>Sécurité</t>
        </is>
      </c>
      <c r="C15" s="7" t="inlineStr">
        <is>
          <t>Mobilité &amp; relocalisation</t>
        </is>
      </c>
      <c r="D15" s="7" t="inlineStr">
        <is>
          <t>Charges de mobilité</t>
        </is>
      </c>
      <c r="E15" s="7" t="n"/>
      <c r="F15" s="7" t="n"/>
      <c r="G15" s="7" t="n"/>
      <c r="H15" s="7" t="n"/>
      <c r="I15" s="7" t="inlineStr">
        <is>
          <t>Versement transport</t>
        </is>
      </c>
      <c r="J15" s="7" t="inlineStr">
        <is>
          <t>Octobre</t>
        </is>
      </c>
      <c r="K15" s="7" t="n"/>
      <c r="L15" s="7" t="inlineStr">
        <is>
          <t>Octobre</t>
        </is>
      </c>
      <c r="M15" s="7" t="n"/>
      <c r="N15" s="7" t="n"/>
      <c r="O15" s="7" t="inlineStr">
        <is>
          <t>IBAN declaration</t>
        </is>
      </c>
      <c r="P15" s="7" t="n"/>
      <c r="Q15" s="7" t="n"/>
      <c r="R15" s="7" t="n"/>
      <c r="S15" s="7" t="n"/>
      <c r="T15" s="7" t="n"/>
    </row>
    <row r="16">
      <c r="A16" s="4" t="inlineStr">
        <is>
          <t>CC-204</t>
        </is>
      </c>
      <c r="B16" s="4" t="inlineStr">
        <is>
          <t>Commerce</t>
        </is>
      </c>
      <c r="C16" s="4" t="inlineStr">
        <is>
          <t>Audit fiscal</t>
        </is>
      </c>
      <c r="D16" s="4" t="n"/>
      <c r="E16" s="4" t="n"/>
      <c r="F16" s="4" t="n"/>
      <c r="G16" s="4" t="n"/>
      <c r="H16" s="4" t="n"/>
      <c r="I16" s="4" t="inlineStr">
        <is>
          <t>Forfait social</t>
        </is>
      </c>
      <c r="J16" s="4" t="inlineStr">
        <is>
          <t>Novembre</t>
        </is>
      </c>
      <c r="K16" s="4" t="n"/>
      <c r="L16" s="4" t="inlineStr">
        <is>
          <t>Novembre</t>
        </is>
      </c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7" t="inlineStr">
        <is>
          <t>CC-205</t>
        </is>
      </c>
      <c r="B17" s="7" t="inlineStr">
        <is>
          <t>Gouvernance</t>
        </is>
      </c>
      <c r="C17" s="7" t="inlineStr">
        <is>
          <t>Reporting budgétaire</t>
        </is>
      </c>
      <c r="D17" s="7" t="n"/>
      <c r="E17" s="7" t="n"/>
      <c r="F17" s="7" t="n"/>
      <c r="G17" s="7" t="n"/>
      <c r="H17" s="7" t="n"/>
      <c r="I17" s="7" t="inlineStr">
        <is>
          <t>Contribution solidarité</t>
        </is>
      </c>
      <c r="J17" s="7" t="inlineStr">
        <is>
          <t>Décembre</t>
        </is>
      </c>
      <c r="K17" s="7" t="n"/>
      <c r="L17" s="7" t="inlineStr">
        <is>
          <t>Décembre</t>
        </is>
      </c>
      <c r="M17" s="7" t="n"/>
      <c r="N17" s="7" t="n"/>
      <c r="O17" s="7" t="n"/>
      <c r="P17" s="7" t="n"/>
      <c r="Q17" s="7" t="n"/>
      <c r="R17" s="7" t="n"/>
      <c r="S17" s="7" t="n"/>
      <c r="T17" s="7" t="n"/>
    </row>
    <row r="18">
      <c r="A18" s="4" t="inlineStr">
        <is>
          <t>CC-206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7" t="inlineStr">
        <is>
          <t>CC-207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</row>
    <row r="20">
      <c r="A20" s="4" t="inlineStr">
        <is>
          <t>CC-208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</row>
  </sheetData>
  <mergeCells count="2">
    <mergeCell ref="A3:P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237E"/>
    <outlinePr summaryBelow="1" summaryRight="1"/>
    <pageSetUpPr/>
  </sheetPr>
  <dimension ref="A2:P9"/>
  <sheetViews>
    <sheetView workbookViewId="0">
      <selection activeCell="A1" sqref="A1"/>
    </sheetView>
  </sheetViews>
  <sheetFormatPr baseColWidth="8" defaultRowHeight="15"/>
  <cols>
    <col width="28" customWidth="1" min="1" max="1"/>
    <col width="4" customWidth="1" min="2" max="2"/>
    <col width="24" customWidth="1" min="3" max="3"/>
    <col width="4" customWidth="1" min="4" max="4"/>
    <col width="22" customWidth="1" min="5" max="5"/>
    <col width="4" customWidth="1" min="6" max="6"/>
    <col width="22" customWidth="1" min="7" max="7"/>
    <col width="4" customWidth="1" min="8" max="8"/>
    <col width="22" customWidth="1" min="9" max="9"/>
    <col width="4" customWidth="1" min="10" max="10"/>
    <col width="22" customWidth="1" min="11" max="11"/>
    <col width="4" customWidth="1" min="12" max="12"/>
    <col width="22" customWidth="1" min="13" max="13"/>
  </cols>
  <sheetData>
    <row r="2" ht="25" customHeight="1">
      <c r="A2" s="1" t="inlineStr">
        <is>
          <t>DOMAINE 26 — TABLEAU DE BORD SYNTHÉTIQUE</t>
        </is>
      </c>
    </row>
    <row r="3" ht="18" customHeight="1">
      <c r="A3" s="2" t="inlineStr">
        <is>
          <t>Vue globale du budget RH, fiscalité et écarts</t>
        </is>
      </c>
    </row>
    <row r="6">
      <c r="A6" s="10" t="inlineStr">
        <is>
          <t>Budget Total Alloué (FCFA)</t>
        </is>
      </c>
      <c r="B6" s="11">
        <f>SUM('F01 - _Données Centrales'!G6:G20)</f>
        <v/>
      </c>
      <c r="C6" s="10" t="inlineStr">
        <is>
          <t>Budget Consommé (FCFA)</t>
        </is>
      </c>
      <c r="D6" s="11">
        <f>SUM('F01 - _Données Centrales'!H6:H20)</f>
        <v/>
      </c>
      <c r="E6" s="10" t="inlineStr">
        <is>
          <t>Taux Consommation Global</t>
        </is>
      </c>
      <c r="F6" s="12">
        <f>IFERROR(SUM('F01 - _Données Centrales'!H6:H20)/SUM('F01 - _Données Centrales'!G6:G20),0)</f>
        <v/>
      </c>
      <c r="G6" s="10" t="inlineStr">
        <is>
          <t>Écart Budgétaire (FCFA)</t>
        </is>
      </c>
      <c r="H6" s="11">
        <f>SUM('F01 - _Données Centrales'!G6:G20)-SUM('F01 - _Données Centrales'!H6:H20)</f>
        <v/>
      </c>
      <c r="I6" s="10" t="inlineStr">
        <is>
          <t>Charges Patronales Totales</t>
        </is>
      </c>
      <c r="J6" s="13">
        <f>SUMIF('F01 - _Données Centrales'!E6:E20,"Charges sociales",'F01 - _Données Centrales'!H6:H20)</f>
        <v/>
      </c>
      <c r="K6" s="10" t="inlineStr">
        <is>
          <t>Fiscalité Salariale Totale</t>
        </is>
      </c>
      <c r="L6" s="13">
        <f>SUMIF('F01 - _Données Centrales'!E6:E20,"Impôts et taxes",'F01 - _Données Centrales'!H6:H20)</f>
        <v/>
      </c>
    </row>
    <row r="9">
      <c r="A9" s="10" t="inlineStr">
        <is>
          <t>Nb Rubriques Budgétaires</t>
        </is>
      </c>
      <c r="B9" s="13">
        <f>COUNTA('F01 - _Données Centrales'!D6:D20)</f>
        <v/>
      </c>
      <c r="C9" s="10" t="inlineStr">
        <is>
          <t>Rubriques Dépassées</t>
        </is>
      </c>
      <c r="D9" s="13">
        <f>COUNTIF('F01 - _Données Centrales'!L6:L20,"Dépassé")</f>
        <v/>
      </c>
      <c r="E9" s="10" t="inlineStr">
        <is>
          <t>Coût Moyen/Département</t>
        </is>
      </c>
      <c r="F9" s="13">
        <f>IFERROR(SUM('F01 - _Données Centrales'!G6:G20)/COUNTIF('F01 - _Données Centrales'!C6:C20,"&lt;&gt;"&amp;""),0)</f>
        <v/>
      </c>
      <c r="G9" s="10" t="inlineStr">
        <is>
          <t>Taux Conformité Fiscale</t>
        </is>
      </c>
      <c r="H9" s="12" t="inlineStr">
        <is>
          <t>92%</t>
        </is>
      </c>
      <c r="I9" s="10" t="inlineStr">
        <is>
          <t>Déclarations en Retard</t>
        </is>
      </c>
      <c r="J9" s="13" t="n">
        <v>0</v>
      </c>
      <c r="K9" s="10" t="inlineStr">
        <is>
          <t>Épargne Salariale Versée</t>
        </is>
      </c>
      <c r="L9" s="13">
        <f>SUMIF('F01 - _Données Centrales'!E6:E20,"Participation/Intéressement",'F01 - _Données Centrales'!H6:H20)</f>
        <v/>
      </c>
    </row>
  </sheetData>
  <mergeCells count="2">
    <mergeCell ref="A3:P3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83593"/>
    <outlinePr summaryBelow="1" summaryRight="1"/>
    <pageSetUpPr/>
  </sheetPr>
  <dimension ref="A2:W1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6" customWidth="1" min="21" max="21"/>
    <col width="16" customWidth="1" min="22" max="22"/>
    <col width="14" customWidth="1" min="23" max="23"/>
  </cols>
  <sheetData>
    <row r="2" ht="25" customHeight="1">
      <c r="A2" s="1" t="inlineStr">
        <is>
          <t>DOMAINE 26 — 2-BUDGET PRÉVISIONNEL ANNUEL RH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Code Budget</t>
        </is>
      </c>
      <c r="B5" s="3" t="inlineStr">
        <is>
          <t>Centre de Coût</t>
        </is>
      </c>
      <c r="C5" s="3" t="inlineStr">
        <is>
          <t>Département</t>
        </is>
      </c>
      <c r="D5" s="3" t="inlineStr">
        <is>
          <t>Rubrique</t>
        </is>
      </c>
      <c r="E5" s="3" t="inlineStr">
        <is>
          <t>Janvier</t>
        </is>
      </c>
      <c r="F5" s="3" t="inlineStr">
        <is>
          <t>Février</t>
        </is>
      </c>
      <c r="G5" s="3" t="inlineStr">
        <is>
          <t>Mars</t>
        </is>
      </c>
      <c r="H5" s="3" t="inlineStr">
        <is>
          <t>T1</t>
        </is>
      </c>
      <c r="I5" s="3" t="inlineStr">
        <is>
          <t>Avril</t>
        </is>
      </c>
      <c r="J5" s="3" t="inlineStr">
        <is>
          <t>Mai</t>
        </is>
      </c>
      <c r="K5" s="3" t="inlineStr">
        <is>
          <t>Juin</t>
        </is>
      </c>
      <c r="L5" s="3" t="inlineStr">
        <is>
          <t>T2</t>
        </is>
      </c>
      <c r="M5" s="3" t="inlineStr">
        <is>
          <t>Juillet</t>
        </is>
      </c>
      <c r="N5" s="3" t="inlineStr">
        <is>
          <t>Août</t>
        </is>
      </c>
      <c r="O5" s="3" t="inlineStr">
        <is>
          <t>Septembre</t>
        </is>
      </c>
      <c r="P5" s="3" t="inlineStr">
        <is>
          <t>T3</t>
        </is>
      </c>
      <c r="Q5" s="3" t="inlineStr">
        <is>
          <t>Octobre</t>
        </is>
      </c>
      <c r="R5" s="3" t="inlineStr">
        <is>
          <t>Novembre</t>
        </is>
      </c>
      <c r="S5" s="3" t="inlineStr">
        <is>
          <t>Décembre</t>
        </is>
      </c>
      <c r="T5" s="3" t="inlineStr">
        <is>
          <t>T4</t>
        </is>
      </c>
      <c r="U5" s="3" t="inlineStr">
        <is>
          <t>Total Annuel</t>
        </is>
      </c>
      <c r="V5" s="3" t="inlineStr">
        <is>
          <t>Budget Alloué</t>
        </is>
      </c>
      <c r="W5" s="3" t="inlineStr">
        <is>
          <t>Écart</t>
        </is>
      </c>
    </row>
    <row r="6">
      <c r="A6" s="4" t="inlineStr">
        <is>
          <t>BUD-001</t>
        </is>
      </c>
      <c r="B6" s="4" t="inlineStr">
        <is>
          <t>CC-100</t>
        </is>
      </c>
      <c r="C6" s="4" t="inlineStr">
        <is>
          <t>Direction Générale</t>
        </is>
      </c>
      <c r="D6" s="4" t="inlineStr">
        <is>
          <t>Masse salariale DG</t>
        </is>
      </c>
      <c r="E6" s="5" t="n">
        <v>7000000</v>
      </c>
      <c r="F6" s="5" t="n">
        <v>7000000</v>
      </c>
      <c r="G6" s="5" t="n">
        <v>7000000</v>
      </c>
      <c r="H6" s="5">
        <f>SUM(E6:G6)</f>
        <v/>
      </c>
      <c r="I6" s="5" t="n">
        <v>7000000</v>
      </c>
      <c r="J6" s="5" t="n">
        <v>7000000</v>
      </c>
      <c r="K6" s="5" t="n">
        <v>7200000</v>
      </c>
      <c r="L6" s="5">
        <f>SUM(I6:K6)</f>
        <v/>
      </c>
      <c r="M6" s="5" t="n">
        <v>7200000</v>
      </c>
      <c r="N6" s="5" t="n">
        <v>7200000</v>
      </c>
      <c r="O6" s="5" t="n">
        <v>7200000</v>
      </c>
      <c r="P6" s="5">
        <f>SUM(M6:O6)</f>
        <v/>
      </c>
      <c r="Q6" s="5" t="n">
        <v>7200000</v>
      </c>
      <c r="R6" s="5" t="n">
        <v>7200000</v>
      </c>
      <c r="S6" s="5" t="n">
        <v>7200000</v>
      </c>
      <c r="T6" s="5">
        <f>SUM(Q6:S6)</f>
        <v/>
      </c>
      <c r="U6" s="5">
        <f>H6+L6+P6+T6</f>
        <v/>
      </c>
      <c r="V6" s="5">
        <f>IFERROR(VLOOKUP(A6,'F01 - _Données Centrales'!$A$6:$L$20,7,FALSE),0)</f>
        <v/>
      </c>
      <c r="W6" s="5">
        <f>V6-U6</f>
        <v/>
      </c>
    </row>
    <row r="7">
      <c r="A7" s="7" t="inlineStr">
        <is>
          <t>BUD-007</t>
        </is>
      </c>
      <c r="B7" s="7" t="inlineStr">
        <is>
          <t>CC-200</t>
        </is>
      </c>
      <c r="C7" s="7" t="inlineStr">
        <is>
          <t>Ressources Humaines</t>
        </is>
      </c>
      <c r="D7" s="7" t="inlineStr">
        <is>
          <t>Charges patronales</t>
        </is>
      </c>
      <c r="E7" s="8" t="n">
        <v>2800000</v>
      </c>
      <c r="F7" s="8" t="n">
        <v>2800000</v>
      </c>
      <c r="G7" s="8" t="n">
        <v>2800000</v>
      </c>
      <c r="H7" s="8">
        <f>SUM(E7:G7)</f>
        <v/>
      </c>
      <c r="I7" s="8" t="n">
        <v>2800000</v>
      </c>
      <c r="J7" s="8" t="n">
        <v>2800000</v>
      </c>
      <c r="K7" s="8" t="n">
        <v>2800000</v>
      </c>
      <c r="L7" s="8">
        <f>SUM(I7:K7)</f>
        <v/>
      </c>
      <c r="M7" s="8" t="n">
        <v>2800000</v>
      </c>
      <c r="N7" s="8" t="n">
        <v>2800000</v>
      </c>
      <c r="O7" s="8" t="n">
        <v>2800000</v>
      </c>
      <c r="P7" s="8">
        <f>SUM(M7:O7)</f>
        <v/>
      </c>
      <c r="Q7" s="8" t="n">
        <v>2800000</v>
      </c>
      <c r="R7" s="8" t="n">
        <v>2800000</v>
      </c>
      <c r="S7" s="8" t="n">
        <v>2800000</v>
      </c>
      <c r="T7" s="8">
        <f>SUM(Q7:S7)</f>
        <v/>
      </c>
      <c r="U7" s="8">
        <f>H7+L7+P7+T7</f>
        <v/>
      </c>
      <c r="V7" s="8">
        <f>IFERROR(VLOOKUP(A7,'F01 - _Données Centrales'!$A$6:$L$20,7,FALSE),0)</f>
        <v/>
      </c>
      <c r="W7" s="8">
        <f>V7-U7</f>
        <v/>
      </c>
    </row>
    <row r="8">
      <c r="A8" s="4" t="inlineStr">
        <is>
          <t>BUD-012</t>
        </is>
      </c>
      <c r="B8" s="4" t="inlineStr">
        <is>
          <t>CC-205</t>
        </is>
      </c>
      <c r="C8" s="4" t="inlineStr">
        <is>
          <t>Finance &amp; Comptabilité</t>
        </is>
      </c>
      <c r="D8" s="4" t="inlineStr">
        <is>
          <t>Fiscalité salariale</t>
        </is>
      </c>
      <c r="E8" s="5" t="n">
        <v>1800000</v>
      </c>
      <c r="F8" s="5" t="n">
        <v>1800000</v>
      </c>
      <c r="G8" s="5" t="n">
        <v>1800000</v>
      </c>
      <c r="H8" s="5">
        <f>SUM(E8:G8)</f>
        <v/>
      </c>
      <c r="I8" s="5" t="n">
        <v>1800000</v>
      </c>
      <c r="J8" s="5" t="n">
        <v>1800000</v>
      </c>
      <c r="K8" s="5" t="n">
        <v>1800000</v>
      </c>
      <c r="L8" s="5">
        <f>SUM(I8:K8)</f>
        <v/>
      </c>
      <c r="M8" s="5" t="n">
        <v>1800000</v>
      </c>
      <c r="N8" s="5" t="n">
        <v>1800000</v>
      </c>
      <c r="O8" s="5" t="n">
        <v>1800000</v>
      </c>
      <c r="P8" s="5">
        <f>SUM(M8:O8)</f>
        <v/>
      </c>
      <c r="Q8" s="5" t="n">
        <v>1800000</v>
      </c>
      <c r="R8" s="5" t="n">
        <v>1800000</v>
      </c>
      <c r="S8" s="5" t="n">
        <v>1800000</v>
      </c>
      <c r="T8" s="5">
        <f>SUM(Q8:S8)</f>
        <v/>
      </c>
      <c r="U8" s="5">
        <f>H8+L8+P8+T8</f>
        <v/>
      </c>
      <c r="V8" s="5">
        <f>IFERROR(VLOOKUP(A8,'F01 - _Données Centrales'!$A$6:$L$20,7,FALSE),0)</f>
        <v/>
      </c>
      <c r="W8" s="5">
        <f>V8-U8</f>
        <v/>
      </c>
    </row>
    <row r="9">
      <c r="A9" s="7" t="inlineStr">
        <is>
          <t>BUD-010</t>
        </is>
      </c>
      <c r="B9" s="7" t="inlineStr">
        <is>
          <t>CC-203</t>
        </is>
      </c>
      <c r="C9" s="7" t="inlineStr">
        <is>
          <t>Ressources Humaines</t>
        </is>
      </c>
      <c r="D9" s="7" t="inlineStr">
        <is>
          <t>Avantages sociaux</t>
        </is>
      </c>
      <c r="E9" s="8" t="n">
        <v>1500000</v>
      </c>
      <c r="F9" s="8" t="n">
        <v>1500000</v>
      </c>
      <c r="G9" s="8" t="n">
        <v>1500000</v>
      </c>
      <c r="H9" s="8">
        <f>SUM(E9:G9)</f>
        <v/>
      </c>
      <c r="I9" s="8" t="n">
        <v>1500000</v>
      </c>
      <c r="J9" s="8" t="n">
        <v>1500000</v>
      </c>
      <c r="K9" s="8" t="n">
        <v>1500000</v>
      </c>
      <c r="L9" s="8">
        <f>SUM(I9:K9)</f>
        <v/>
      </c>
      <c r="M9" s="8" t="n">
        <v>1500000</v>
      </c>
      <c r="N9" s="8" t="n">
        <v>1500000</v>
      </c>
      <c r="O9" s="8" t="n">
        <v>1500000</v>
      </c>
      <c r="P9" s="8">
        <f>SUM(M9:O9)</f>
        <v/>
      </c>
      <c r="Q9" s="8" t="n">
        <v>1500000</v>
      </c>
      <c r="R9" s="8" t="n">
        <v>1500000</v>
      </c>
      <c r="S9" s="8" t="n">
        <v>1500000</v>
      </c>
      <c r="T9" s="8">
        <f>SUM(Q9:S9)</f>
        <v/>
      </c>
      <c r="U9" s="8">
        <f>H9+L9+P9+T9</f>
        <v/>
      </c>
      <c r="V9" s="8">
        <f>IFERROR(VLOOKUP(A9,'F01 - _Données Centrales'!$A$6:$L$20,7,FALSE),0)</f>
        <v/>
      </c>
      <c r="W9" s="8">
        <f>V9-U9</f>
        <v/>
      </c>
    </row>
    <row r="10">
      <c r="A10" s="4" t="inlineStr">
        <is>
          <t>BUD-008</t>
        </is>
      </c>
      <c r="B10" s="4" t="inlineStr">
        <is>
          <t>CC-201</t>
        </is>
      </c>
      <c r="C10" s="4" t="inlineStr">
        <is>
          <t>Ressources Humaines</t>
        </is>
      </c>
      <c r="D10" s="4" t="inlineStr">
        <is>
          <t>Formation</t>
        </is>
      </c>
      <c r="E10" s="5" t="n">
        <v>800000</v>
      </c>
      <c r="F10" s="5" t="n">
        <v>800000</v>
      </c>
      <c r="G10" s="5" t="n">
        <v>1200000</v>
      </c>
      <c r="H10" s="5">
        <f>SUM(E10:G10)</f>
        <v/>
      </c>
      <c r="I10" s="5" t="n">
        <v>1000000</v>
      </c>
      <c r="J10" s="5" t="n">
        <v>1000000</v>
      </c>
      <c r="K10" s="5" t="n">
        <v>800000</v>
      </c>
      <c r="L10" s="5">
        <f>SUM(I10:K10)</f>
        <v/>
      </c>
      <c r="M10" s="5" t="n">
        <v>600000</v>
      </c>
      <c r="N10" s="5" t="n">
        <v>600000</v>
      </c>
      <c r="O10" s="5" t="n">
        <v>600000</v>
      </c>
      <c r="P10" s="5">
        <f>SUM(M10:O10)</f>
        <v/>
      </c>
      <c r="Q10" s="5" t="n">
        <v>600000</v>
      </c>
      <c r="R10" s="5" t="n">
        <v>600000</v>
      </c>
      <c r="S10" s="5" t="n">
        <v>600000</v>
      </c>
      <c r="T10" s="5">
        <f>SUM(Q10:S10)</f>
        <v/>
      </c>
      <c r="U10" s="5">
        <f>H10+L10+P10+T10</f>
        <v/>
      </c>
      <c r="V10" s="5">
        <f>IFERROR(VLOOKUP(A10,'F01 - _Données Centrales'!$A$6:$L$20,7,FALSE),0)</f>
        <v/>
      </c>
      <c r="W10" s="5">
        <f>V10-U10</f>
        <v/>
      </c>
    </row>
    <row r="11">
      <c r="A11" s="7" t="n"/>
      <c r="B11" s="7" t="n"/>
      <c r="C11" s="7" t="n"/>
      <c r="D11" s="7" t="n"/>
      <c r="E11" s="8" t="n"/>
      <c r="F11" s="8" t="n"/>
      <c r="G11" s="8" t="n"/>
      <c r="H11" s="8">
        <f>IF(A11="","",SUM(E11:G11))</f>
        <v/>
      </c>
      <c r="I11" s="8" t="n"/>
      <c r="J11" s="8" t="n"/>
      <c r="K11" s="8" t="n"/>
      <c r="L11" s="8">
        <f>IF(A11="","",SUM(I11:K11))</f>
        <v/>
      </c>
      <c r="M11" s="8" t="n"/>
      <c r="N11" s="8" t="n"/>
      <c r="O11" s="8" t="n"/>
      <c r="P11" s="8">
        <f>IF(A11="","",SUM(M11:O11))</f>
        <v/>
      </c>
      <c r="Q11" s="8" t="n"/>
      <c r="R11" s="8" t="n"/>
      <c r="S11" s="8" t="n"/>
      <c r="T11" s="8">
        <f>IF(A11="","",SUM(Q11:S11))</f>
        <v/>
      </c>
      <c r="U11" s="8">
        <f>IF(A11="","",H11+L11+P11+T11)</f>
        <v/>
      </c>
      <c r="V11" s="8">
        <f>IF(A11="","",IFERROR(VLOOKUP(A11,'F01 - _Données Centrales'!$A$6:$L$20,7,FALSE),0))</f>
        <v/>
      </c>
      <c r="W11" s="8">
        <f>IF(A11="","",V11-U11)</f>
        <v/>
      </c>
    </row>
    <row r="12">
      <c r="A12" s="4" t="n"/>
      <c r="B12" s="4" t="n"/>
      <c r="C12" s="4" t="n"/>
      <c r="D12" s="4" t="n"/>
      <c r="E12" s="5" t="n"/>
      <c r="F12" s="5" t="n"/>
      <c r="G12" s="5" t="n"/>
      <c r="H12" s="5">
        <f>IF(A12="","",SUM(E12:G12))</f>
        <v/>
      </c>
      <c r="I12" s="5" t="n"/>
      <c r="J12" s="5" t="n"/>
      <c r="K12" s="5" t="n"/>
      <c r="L12" s="5">
        <f>IF(A12="","",SUM(I12:K12))</f>
        <v/>
      </c>
      <c r="M12" s="5" t="n"/>
      <c r="N12" s="5" t="n"/>
      <c r="O12" s="5" t="n"/>
      <c r="P12" s="5">
        <f>IF(A12="","",SUM(M12:O12))</f>
        <v/>
      </c>
      <c r="Q12" s="5" t="n"/>
      <c r="R12" s="5" t="n"/>
      <c r="S12" s="5" t="n"/>
      <c r="T12" s="5">
        <f>IF(A12="","",SUM(Q12:S12))</f>
        <v/>
      </c>
      <c r="U12" s="5">
        <f>IF(A12="","",H12+L12+P12+T12)</f>
        <v/>
      </c>
      <c r="V12" s="5">
        <f>IF(A12="","",IFERROR(VLOOKUP(A12,'F01 - _Données Centrales'!$A$6:$L$20,7,FALSE),0))</f>
        <v/>
      </c>
      <c r="W12" s="5">
        <f>IF(A12="","",V12-U12)</f>
        <v/>
      </c>
    </row>
    <row r="13">
      <c r="A13" s="7" t="n"/>
      <c r="B13" s="7" t="n"/>
      <c r="C13" s="7" t="n"/>
      <c r="D13" s="7" t="n"/>
      <c r="E13" s="8" t="n"/>
      <c r="F13" s="8" t="n"/>
      <c r="G13" s="8" t="n"/>
      <c r="H13" s="8">
        <f>IF(A13="","",SUM(E13:G13))</f>
        <v/>
      </c>
      <c r="I13" s="8" t="n"/>
      <c r="J13" s="8" t="n"/>
      <c r="K13" s="8" t="n"/>
      <c r="L13" s="8">
        <f>IF(A13="","",SUM(I13:K13))</f>
        <v/>
      </c>
      <c r="M13" s="8" t="n"/>
      <c r="N13" s="8" t="n"/>
      <c r="O13" s="8" t="n"/>
      <c r="P13" s="8">
        <f>IF(A13="","",SUM(M13:O13))</f>
        <v/>
      </c>
      <c r="Q13" s="8" t="n"/>
      <c r="R13" s="8" t="n"/>
      <c r="S13" s="8" t="n"/>
      <c r="T13" s="8">
        <f>IF(A13="","",SUM(Q13:S13))</f>
        <v/>
      </c>
      <c r="U13" s="8">
        <f>IF(A13="","",H13+L13+P13+T13)</f>
        <v/>
      </c>
      <c r="V13" s="8">
        <f>IF(A13="","",IFERROR(VLOOKUP(A13,'F01 - _Données Centrales'!$A$6:$L$20,7,FALSE),0))</f>
        <v/>
      </c>
      <c r="W13" s="8">
        <f>IF(A13="","",V13-U13)</f>
        <v/>
      </c>
    </row>
    <row r="14">
      <c r="A14" s="4" t="n"/>
      <c r="B14" s="4" t="n"/>
      <c r="C14" s="4" t="n"/>
      <c r="D14" s="4" t="n"/>
      <c r="E14" s="5" t="n"/>
      <c r="F14" s="5" t="n"/>
      <c r="G14" s="5" t="n"/>
      <c r="H14" s="5">
        <f>IF(A14="","",SUM(E14:G14))</f>
        <v/>
      </c>
      <c r="I14" s="5" t="n"/>
      <c r="J14" s="5" t="n"/>
      <c r="K14" s="5" t="n"/>
      <c r="L14" s="5">
        <f>IF(A14="","",SUM(I14:K14))</f>
        <v/>
      </c>
      <c r="M14" s="5" t="n"/>
      <c r="N14" s="5" t="n"/>
      <c r="O14" s="5" t="n"/>
      <c r="P14" s="5">
        <f>IF(A14="","",SUM(M14:O14))</f>
        <v/>
      </c>
      <c r="Q14" s="5" t="n"/>
      <c r="R14" s="5" t="n"/>
      <c r="S14" s="5" t="n"/>
      <c r="T14" s="5">
        <f>IF(A14="","",SUM(Q14:S14))</f>
        <v/>
      </c>
      <c r="U14" s="5">
        <f>IF(A14="","",H14+L14+P14+T14)</f>
        <v/>
      </c>
      <c r="V14" s="5">
        <f>IF(A14="","",IFERROR(VLOOKUP(A14,'F01 - _Données Centrales'!$A$6:$L$20,7,FALSE),0))</f>
        <v/>
      </c>
      <c r="W14" s="5">
        <f>IF(A14="","",V14-U14)</f>
        <v/>
      </c>
    </row>
    <row r="15">
      <c r="A15" s="7" t="n"/>
      <c r="B15" s="7" t="n"/>
      <c r="C15" s="7" t="n"/>
      <c r="D15" s="7" t="n"/>
      <c r="E15" s="8" t="n"/>
      <c r="F15" s="8" t="n"/>
      <c r="G15" s="8" t="n"/>
      <c r="H15" s="8">
        <f>IF(A15="","",SUM(E15:G15))</f>
        <v/>
      </c>
      <c r="I15" s="8" t="n"/>
      <c r="J15" s="8" t="n"/>
      <c r="K15" s="8" t="n"/>
      <c r="L15" s="8">
        <f>IF(A15="","",SUM(I15:K15))</f>
        <v/>
      </c>
      <c r="M15" s="8" t="n"/>
      <c r="N15" s="8" t="n"/>
      <c r="O15" s="8" t="n"/>
      <c r="P15" s="8">
        <f>IF(A15="","",SUM(M15:O15))</f>
        <v/>
      </c>
      <c r="Q15" s="8" t="n"/>
      <c r="R15" s="8" t="n"/>
      <c r="S15" s="8" t="n"/>
      <c r="T15" s="8">
        <f>IF(A15="","",SUM(Q15:S15))</f>
        <v/>
      </c>
      <c r="U15" s="8">
        <f>IF(A15="","",H15+L15+P15+T15)</f>
        <v/>
      </c>
      <c r="V15" s="8">
        <f>IF(A15="","",IFERROR(VLOOKUP(A15,'F01 - _Données Centrales'!$A$6:$L$20,7,FALSE),0))</f>
        <v/>
      </c>
      <c r="W15" s="8">
        <f>IF(A15="","",V15-U15)</f>
        <v/>
      </c>
    </row>
    <row r="16">
      <c r="A16" s="4" t="n"/>
      <c r="B16" s="4" t="n"/>
      <c r="C16" s="4" t="n"/>
      <c r="D16" s="4" t="n"/>
      <c r="E16" s="5" t="n"/>
      <c r="F16" s="5" t="n"/>
      <c r="G16" s="5" t="n"/>
      <c r="H16" s="5">
        <f>IF(A16="","",SUM(E16:G16))</f>
        <v/>
      </c>
      <c r="I16" s="5" t="n"/>
      <c r="J16" s="5" t="n"/>
      <c r="K16" s="5" t="n"/>
      <c r="L16" s="5">
        <f>IF(A16="","",SUM(I16:K16))</f>
        <v/>
      </c>
      <c r="M16" s="5" t="n"/>
      <c r="N16" s="5" t="n"/>
      <c r="O16" s="5" t="n"/>
      <c r="P16" s="5">
        <f>IF(A16="","",SUM(M16:O16))</f>
        <v/>
      </c>
      <c r="Q16" s="5" t="n"/>
      <c r="R16" s="5" t="n"/>
      <c r="S16" s="5" t="n"/>
      <c r="T16" s="5">
        <f>IF(A16="","",SUM(Q16:S16))</f>
        <v/>
      </c>
      <c r="U16" s="5">
        <f>IF(A16="","",H16+L16+P16+T16)</f>
        <v/>
      </c>
      <c r="V16" s="5">
        <f>IF(A16="","",IFERROR(VLOOKUP(A16,'F01 - _Données Centrales'!$A$6:$L$20,7,FALSE),0))</f>
        <v/>
      </c>
      <c r="W16" s="5">
        <f>IF(A16="","",V16-U16)</f>
        <v/>
      </c>
    </row>
    <row r="17">
      <c r="A17" s="7" t="n"/>
      <c r="B17" s="7" t="n"/>
      <c r="C17" s="7" t="n"/>
      <c r="D17" s="7" t="n"/>
      <c r="E17" s="8" t="n"/>
      <c r="F17" s="8" t="n"/>
      <c r="G17" s="8" t="n"/>
      <c r="H17" s="8">
        <f>IF(A17="","",SUM(E17:G17))</f>
        <v/>
      </c>
      <c r="I17" s="8" t="n"/>
      <c r="J17" s="8" t="n"/>
      <c r="K17" s="8" t="n"/>
      <c r="L17" s="8">
        <f>IF(A17="","",SUM(I17:K17))</f>
        <v/>
      </c>
      <c r="M17" s="8" t="n"/>
      <c r="N17" s="8" t="n"/>
      <c r="O17" s="8" t="n"/>
      <c r="P17" s="8">
        <f>IF(A17="","",SUM(M17:O17))</f>
        <v/>
      </c>
      <c r="Q17" s="8" t="n"/>
      <c r="R17" s="8" t="n"/>
      <c r="S17" s="8" t="n"/>
      <c r="T17" s="8">
        <f>IF(A17="","",SUM(Q17:S17))</f>
        <v/>
      </c>
      <c r="U17" s="8">
        <f>IF(A17="","",H17+L17+P17+T17)</f>
        <v/>
      </c>
      <c r="V17" s="8">
        <f>IF(A17="","",IFERROR(VLOOKUP(A17,'F01 - _Données Centrales'!$A$6:$L$20,7,FALSE),0))</f>
        <v/>
      </c>
      <c r="W17" s="8">
        <f>IF(A17="","",V17-U17)</f>
        <v/>
      </c>
    </row>
    <row r="18">
      <c r="A18" s="4" t="n"/>
      <c r="B18" s="4" t="n"/>
      <c r="C18" s="4" t="n"/>
      <c r="D18" s="4" t="n"/>
      <c r="E18" s="5" t="n"/>
      <c r="F18" s="5" t="n"/>
      <c r="G18" s="5" t="n"/>
      <c r="H18" s="5">
        <f>IF(A18="","",SUM(E18:G18))</f>
        <v/>
      </c>
      <c r="I18" s="5" t="n"/>
      <c r="J18" s="5" t="n"/>
      <c r="K18" s="5" t="n"/>
      <c r="L18" s="5">
        <f>IF(A18="","",SUM(I18:K18))</f>
        <v/>
      </c>
      <c r="M18" s="5" t="n"/>
      <c r="N18" s="5" t="n"/>
      <c r="O18" s="5" t="n"/>
      <c r="P18" s="5">
        <f>IF(A18="","",SUM(M18:O18))</f>
        <v/>
      </c>
      <c r="Q18" s="5" t="n"/>
      <c r="R18" s="5" t="n"/>
      <c r="S18" s="5" t="n"/>
      <c r="T18" s="5">
        <f>IF(A18="","",SUM(Q18:S18))</f>
        <v/>
      </c>
      <c r="U18" s="5">
        <f>IF(A18="","",H18+L18+P18+T18)</f>
        <v/>
      </c>
      <c r="V18" s="5">
        <f>IF(A18="","",IFERROR(VLOOKUP(A18,'F01 - _Données Centrales'!$A$6:$L$20,7,FALSE),0))</f>
        <v/>
      </c>
      <c r="W18" s="5">
        <f>IF(A18="","",V18-U18)</f>
        <v/>
      </c>
    </row>
    <row r="19">
      <c r="A19" s="7" t="n"/>
      <c r="B19" s="7" t="n"/>
      <c r="C19" s="7" t="n"/>
      <c r="D19" s="7" t="n"/>
      <c r="E19" s="8" t="n"/>
      <c r="F19" s="8" t="n"/>
      <c r="G19" s="8" t="n"/>
      <c r="H19" s="8">
        <f>IF(A19="","",SUM(E19:G19))</f>
        <v/>
      </c>
      <c r="I19" s="8" t="n"/>
      <c r="J19" s="8" t="n"/>
      <c r="K19" s="8" t="n"/>
      <c r="L19" s="8">
        <f>IF(A19="","",SUM(I19:K19))</f>
        <v/>
      </c>
      <c r="M19" s="8" t="n"/>
      <c r="N19" s="8" t="n"/>
      <c r="O19" s="8" t="n"/>
      <c r="P19" s="8">
        <f>IF(A19="","",SUM(M19:O19))</f>
        <v/>
      </c>
      <c r="Q19" s="8" t="n"/>
      <c r="R19" s="8" t="n"/>
      <c r="S19" s="8" t="n"/>
      <c r="T19" s="8">
        <f>IF(A19="","",SUM(Q19:S19))</f>
        <v/>
      </c>
      <c r="U19" s="8">
        <f>IF(A19="","",H19+L19+P19+T19)</f>
        <v/>
      </c>
      <c r="V19" s="8">
        <f>IF(A19="","",IFERROR(VLOOKUP(A19,'F01 - _Données Centrales'!$A$6:$L$20,7,FALSE),0))</f>
        <v/>
      </c>
      <c r="W19" s="8">
        <f>IF(A19="","",V19-U19)</f>
        <v/>
      </c>
    </row>
    <row r="20">
      <c r="A20" s="4" t="n"/>
      <c r="B20" s="4" t="n"/>
      <c r="C20" s="4" t="n"/>
      <c r="D20" s="4" t="n"/>
      <c r="E20" s="5" t="n"/>
      <c r="F20" s="5" t="n"/>
      <c r="G20" s="5" t="n"/>
      <c r="H20" s="5">
        <f>IF(A20="","",SUM(E20:G20))</f>
        <v/>
      </c>
      <c r="I20" s="5" t="n"/>
      <c r="J20" s="5" t="n"/>
      <c r="K20" s="5" t="n"/>
      <c r="L20" s="5">
        <f>IF(A20="","",SUM(I20:K20))</f>
        <v/>
      </c>
      <c r="M20" s="5" t="n"/>
      <c r="N20" s="5" t="n"/>
      <c r="O20" s="5" t="n"/>
      <c r="P20" s="5">
        <f>IF(A20="","",SUM(M20:O20))</f>
        <v/>
      </c>
      <c r="Q20" s="5" t="n"/>
      <c r="R20" s="5" t="n"/>
      <c r="S20" s="5" t="n"/>
      <c r="T20" s="5">
        <f>IF(A20="","",SUM(Q20:S20))</f>
        <v/>
      </c>
      <c r="U20" s="5">
        <f>IF(A20="","",H20+L20+P20+T20)</f>
        <v/>
      </c>
      <c r="V20" s="5">
        <f>IF(A20="","",IFERROR(VLOOKUP(A20,'F01 - _Données Centrales'!$A$6:$L$20,7,FALSE),0))</f>
        <v/>
      </c>
      <c r="W20" s="5">
        <f>IF(A20="","",V20-U20)</f>
        <v/>
      </c>
    </row>
    <row r="21">
      <c r="A21" s="7" t="n"/>
      <c r="B21" s="7" t="n"/>
      <c r="C21" s="7" t="n"/>
      <c r="D21" s="7" t="n"/>
      <c r="E21" s="8" t="n"/>
      <c r="F21" s="8" t="n"/>
      <c r="G21" s="8" t="n"/>
      <c r="H21" s="8">
        <f>IF(A21="","",SUM(E21:G21))</f>
        <v/>
      </c>
      <c r="I21" s="8" t="n"/>
      <c r="J21" s="8" t="n"/>
      <c r="K21" s="8" t="n"/>
      <c r="L21" s="8">
        <f>IF(A21="","",SUM(I21:K21))</f>
        <v/>
      </c>
      <c r="M21" s="8" t="n"/>
      <c r="N21" s="8" t="n"/>
      <c r="O21" s="8" t="n"/>
      <c r="P21" s="8">
        <f>IF(A21="","",SUM(M21:O21))</f>
        <v/>
      </c>
      <c r="Q21" s="8" t="n"/>
      <c r="R21" s="8" t="n"/>
      <c r="S21" s="8" t="n"/>
      <c r="T21" s="8">
        <f>IF(A21="","",SUM(Q21:S21))</f>
        <v/>
      </c>
      <c r="U21" s="8">
        <f>IF(A21="","",H21+L21+P21+T21)</f>
        <v/>
      </c>
      <c r="V21" s="8">
        <f>IF(A21="","",IFERROR(VLOOKUP(A21,'F01 - _Données Centrales'!$A$6:$L$20,7,FALSE),0))</f>
        <v/>
      </c>
      <c r="W21" s="8">
        <f>IF(A21="","",V21-U21)</f>
        <v/>
      </c>
    </row>
    <row r="22">
      <c r="A22" s="4" t="n"/>
      <c r="B22" s="4" t="n"/>
      <c r="C22" s="4" t="n"/>
      <c r="D22" s="4" t="n"/>
      <c r="E22" s="5" t="n"/>
      <c r="F22" s="5" t="n"/>
      <c r="G22" s="5" t="n"/>
      <c r="H22" s="5">
        <f>IF(A22="","",SUM(E22:G22))</f>
        <v/>
      </c>
      <c r="I22" s="5" t="n"/>
      <c r="J22" s="5" t="n"/>
      <c r="K22" s="5" t="n"/>
      <c r="L22" s="5">
        <f>IF(A22="","",SUM(I22:K22))</f>
        <v/>
      </c>
      <c r="M22" s="5" t="n"/>
      <c r="N22" s="5" t="n"/>
      <c r="O22" s="5" t="n"/>
      <c r="P22" s="5">
        <f>IF(A22="","",SUM(M22:O22))</f>
        <v/>
      </c>
      <c r="Q22" s="5" t="n"/>
      <c r="R22" s="5" t="n"/>
      <c r="S22" s="5" t="n"/>
      <c r="T22" s="5">
        <f>IF(A22="","",SUM(Q22:S22))</f>
        <v/>
      </c>
      <c r="U22" s="5">
        <f>IF(A22="","",H22+L22+P22+T22)</f>
        <v/>
      </c>
      <c r="V22" s="5">
        <f>IF(A22="","",IFERROR(VLOOKUP(A22,'F01 - _Données Centrales'!$A$6:$L$20,7,FALSE),0))</f>
        <v/>
      </c>
      <c r="W22" s="5">
        <f>IF(A22="","",V22-U22)</f>
        <v/>
      </c>
    </row>
    <row r="23">
      <c r="A23" s="7" t="n"/>
      <c r="B23" s="7" t="n"/>
      <c r="C23" s="7" t="n"/>
      <c r="D23" s="7" t="n"/>
      <c r="E23" s="8" t="n"/>
      <c r="F23" s="8" t="n"/>
      <c r="G23" s="8" t="n"/>
      <c r="H23" s="8">
        <f>IF(A23="","",SUM(E23:G23))</f>
        <v/>
      </c>
      <c r="I23" s="8" t="n"/>
      <c r="J23" s="8" t="n"/>
      <c r="K23" s="8" t="n"/>
      <c r="L23" s="8">
        <f>IF(A23="","",SUM(I23:K23))</f>
        <v/>
      </c>
      <c r="M23" s="8" t="n"/>
      <c r="N23" s="8" t="n"/>
      <c r="O23" s="8" t="n"/>
      <c r="P23" s="8">
        <f>IF(A23="","",SUM(M23:O23))</f>
        <v/>
      </c>
      <c r="Q23" s="8" t="n"/>
      <c r="R23" s="8" t="n"/>
      <c r="S23" s="8" t="n"/>
      <c r="T23" s="8">
        <f>IF(A23="","",SUM(Q23:S23))</f>
        <v/>
      </c>
      <c r="U23" s="8">
        <f>IF(A23="","",H23+L23+P23+T23)</f>
        <v/>
      </c>
      <c r="V23" s="8">
        <f>IF(A23="","",IFERROR(VLOOKUP(A23,'F01 - _Données Centrales'!$A$6:$L$20,7,FALSE),0))</f>
        <v/>
      </c>
      <c r="W23" s="8">
        <f>IF(A23="","",V23-U23)</f>
        <v/>
      </c>
    </row>
    <row r="24">
      <c r="A24" s="4" t="n"/>
      <c r="B24" s="4" t="n"/>
      <c r="C24" s="4" t="n"/>
      <c r="D24" s="4" t="n"/>
      <c r="E24" s="5" t="n"/>
      <c r="F24" s="5" t="n"/>
      <c r="G24" s="5" t="n"/>
      <c r="H24" s="5">
        <f>IF(A24="","",SUM(E24:G24))</f>
        <v/>
      </c>
      <c r="I24" s="5" t="n"/>
      <c r="J24" s="5" t="n"/>
      <c r="K24" s="5" t="n"/>
      <c r="L24" s="5">
        <f>IF(A24="","",SUM(I24:K24))</f>
        <v/>
      </c>
      <c r="M24" s="5" t="n"/>
      <c r="N24" s="5" t="n"/>
      <c r="O24" s="5" t="n"/>
      <c r="P24" s="5">
        <f>IF(A24="","",SUM(M24:O24))</f>
        <v/>
      </c>
      <c r="Q24" s="5" t="n"/>
      <c r="R24" s="5" t="n"/>
      <c r="S24" s="5" t="n"/>
      <c r="T24" s="5">
        <f>IF(A24="","",SUM(Q24:S24))</f>
        <v/>
      </c>
      <c r="U24" s="5">
        <f>IF(A24="","",H24+L24+P24+T24)</f>
        <v/>
      </c>
      <c r="V24" s="5">
        <f>IF(A24="","",IFERROR(VLOOKUP(A24,'F01 - _Données Centrales'!$A$6:$L$20,7,FALSE),0))</f>
        <v/>
      </c>
      <c r="W24" s="5">
        <f>IF(A24="","",V24-U24)</f>
        <v/>
      </c>
    </row>
    <row r="25">
      <c r="A25" s="7" t="n"/>
      <c r="B25" s="7" t="n"/>
      <c r="C25" s="7" t="n"/>
      <c r="D25" s="7" t="n"/>
      <c r="E25" s="8" t="n"/>
      <c r="F25" s="8" t="n"/>
      <c r="G25" s="8" t="n"/>
      <c r="H25" s="8">
        <f>IF(A25="","",SUM(E25:G25))</f>
        <v/>
      </c>
      <c r="I25" s="8" t="n"/>
      <c r="J25" s="8" t="n"/>
      <c r="K25" s="8" t="n"/>
      <c r="L25" s="8">
        <f>IF(A25="","",SUM(I25:K25))</f>
        <v/>
      </c>
      <c r="M25" s="8" t="n"/>
      <c r="N25" s="8" t="n"/>
      <c r="O25" s="8" t="n"/>
      <c r="P25" s="8">
        <f>IF(A25="","",SUM(M25:O25))</f>
        <v/>
      </c>
      <c r="Q25" s="8" t="n"/>
      <c r="R25" s="8" t="n"/>
      <c r="S25" s="8" t="n"/>
      <c r="T25" s="8">
        <f>IF(A25="","",SUM(Q25:S25))</f>
        <v/>
      </c>
      <c r="U25" s="8">
        <f>IF(A25="","",H25+L25+P25+T25)</f>
        <v/>
      </c>
      <c r="V25" s="8">
        <f>IF(A25="","",IFERROR(VLOOKUP(A25,'F01 - _Données Centrales'!$A$6:$L$20,7,FALSE),0))</f>
        <v/>
      </c>
      <c r="W25" s="8">
        <f>IF(A25="","",V25-U25)</f>
        <v/>
      </c>
    </row>
    <row r="26">
      <c r="A26" s="4" t="n"/>
      <c r="B26" s="4" t="n"/>
      <c r="C26" s="4" t="n"/>
      <c r="D26" s="4" t="n"/>
      <c r="E26" s="5" t="n"/>
      <c r="F26" s="5" t="n"/>
      <c r="G26" s="5" t="n"/>
      <c r="H26" s="5">
        <f>IF(A26="","",SUM(E26:G26))</f>
        <v/>
      </c>
      <c r="I26" s="5" t="n"/>
      <c r="J26" s="5" t="n"/>
      <c r="K26" s="5" t="n"/>
      <c r="L26" s="5">
        <f>IF(A26="","",SUM(I26:K26))</f>
        <v/>
      </c>
      <c r="M26" s="5" t="n"/>
      <c r="N26" s="5" t="n"/>
      <c r="O26" s="5" t="n"/>
      <c r="P26" s="5">
        <f>IF(A26="","",SUM(M26:O26))</f>
        <v/>
      </c>
      <c r="Q26" s="5" t="n"/>
      <c r="R26" s="5" t="n"/>
      <c r="S26" s="5" t="n"/>
      <c r="T26" s="5">
        <f>IF(A26="","",SUM(Q26:S26))</f>
        <v/>
      </c>
      <c r="U26" s="5">
        <f>IF(A26="","",H26+L26+P26+T26)</f>
        <v/>
      </c>
      <c r="V26" s="5">
        <f>IF(A26="","",IFERROR(VLOOKUP(A26,'F01 - _Données Centrales'!$A$6:$L$20,7,FALSE),0))</f>
        <v/>
      </c>
      <c r="W26" s="5">
        <f>IF(A26="","",V26-U26)</f>
        <v/>
      </c>
    </row>
    <row r="27">
      <c r="A27" s="7" t="n"/>
      <c r="B27" s="7" t="n"/>
      <c r="C27" s="7" t="n"/>
      <c r="D27" s="7" t="n"/>
      <c r="E27" s="8" t="n"/>
      <c r="F27" s="8" t="n"/>
      <c r="G27" s="8" t="n"/>
      <c r="H27" s="8">
        <f>IF(A27="","",SUM(E27:G27))</f>
        <v/>
      </c>
      <c r="I27" s="8" t="n"/>
      <c r="J27" s="8" t="n"/>
      <c r="K27" s="8" t="n"/>
      <c r="L27" s="8">
        <f>IF(A27="","",SUM(I27:K27))</f>
        <v/>
      </c>
      <c r="M27" s="8" t="n"/>
      <c r="N27" s="8" t="n"/>
      <c r="O27" s="8" t="n"/>
      <c r="P27" s="8">
        <f>IF(A27="","",SUM(M27:O27))</f>
        <v/>
      </c>
      <c r="Q27" s="8" t="n"/>
      <c r="R27" s="8" t="n"/>
      <c r="S27" s="8" t="n"/>
      <c r="T27" s="8">
        <f>IF(A27="","",SUM(Q27:S27))</f>
        <v/>
      </c>
      <c r="U27" s="8">
        <f>IF(A27="","",H27+L27+P27+T27)</f>
        <v/>
      </c>
      <c r="V27" s="8">
        <f>IF(A27="","",IFERROR(VLOOKUP(A27,'F01 - _Données Centrales'!$A$6:$L$20,7,FALSE),0))</f>
        <v/>
      </c>
      <c r="W27" s="8">
        <f>IF(A27="","",V27-U27)</f>
        <v/>
      </c>
    </row>
    <row r="28">
      <c r="A28" s="4" t="n"/>
      <c r="B28" s="4" t="n"/>
      <c r="C28" s="4" t="n"/>
      <c r="D28" s="4" t="n"/>
      <c r="E28" s="5" t="n"/>
      <c r="F28" s="5" t="n"/>
      <c r="G28" s="5" t="n"/>
      <c r="H28" s="5">
        <f>IF(A28="","",SUM(E28:G28))</f>
        <v/>
      </c>
      <c r="I28" s="5" t="n"/>
      <c r="J28" s="5" t="n"/>
      <c r="K28" s="5" t="n"/>
      <c r="L28" s="5">
        <f>IF(A28="","",SUM(I28:K28))</f>
        <v/>
      </c>
      <c r="M28" s="5" t="n"/>
      <c r="N28" s="5" t="n"/>
      <c r="O28" s="5" t="n"/>
      <c r="P28" s="5">
        <f>IF(A28="","",SUM(M28:O28))</f>
        <v/>
      </c>
      <c r="Q28" s="5" t="n"/>
      <c r="R28" s="5" t="n"/>
      <c r="S28" s="5" t="n"/>
      <c r="T28" s="5">
        <f>IF(A28="","",SUM(Q28:S28))</f>
        <v/>
      </c>
      <c r="U28" s="5">
        <f>IF(A28="","",H28+L28+P28+T28)</f>
        <v/>
      </c>
      <c r="V28" s="5">
        <f>IF(A28="","",IFERROR(VLOOKUP(A28,'F01 - _Données Centrales'!$A$6:$L$20,7,FALSE),0))</f>
        <v/>
      </c>
      <c r="W28" s="5">
        <f>IF(A28="","",V28-U28)</f>
        <v/>
      </c>
    </row>
    <row r="29">
      <c r="A29" s="7" t="n"/>
      <c r="B29" s="7" t="n"/>
      <c r="C29" s="7" t="n"/>
      <c r="D29" s="7" t="n"/>
      <c r="E29" s="8" t="n"/>
      <c r="F29" s="8" t="n"/>
      <c r="G29" s="8" t="n"/>
      <c r="H29" s="8">
        <f>IF(A29="","",SUM(E29:G29))</f>
        <v/>
      </c>
      <c r="I29" s="8" t="n"/>
      <c r="J29" s="8" t="n"/>
      <c r="K29" s="8" t="n"/>
      <c r="L29" s="8">
        <f>IF(A29="","",SUM(I29:K29))</f>
        <v/>
      </c>
      <c r="M29" s="8" t="n"/>
      <c r="N29" s="8" t="n"/>
      <c r="O29" s="8" t="n"/>
      <c r="P29" s="8">
        <f>IF(A29="","",SUM(M29:O29))</f>
        <v/>
      </c>
      <c r="Q29" s="8" t="n"/>
      <c r="R29" s="8" t="n"/>
      <c r="S29" s="8" t="n"/>
      <c r="T29" s="8">
        <f>IF(A29="","",SUM(Q29:S29))</f>
        <v/>
      </c>
      <c r="U29" s="8">
        <f>IF(A29="","",H29+L29+P29+T29)</f>
        <v/>
      </c>
      <c r="V29" s="8">
        <f>IF(A29="","",IFERROR(VLOOKUP(A29,'F01 - _Données Centrales'!$A$6:$L$20,7,FALSE),0))</f>
        <v/>
      </c>
      <c r="W29" s="8">
        <f>IF(A29="","",V29-U29)</f>
        <v/>
      </c>
    </row>
    <row r="30">
      <c r="A30" s="4" t="n"/>
      <c r="B30" s="4" t="n"/>
      <c r="C30" s="4" t="n"/>
      <c r="D30" s="4" t="n"/>
      <c r="E30" s="5" t="n"/>
      <c r="F30" s="5" t="n"/>
      <c r="G30" s="5" t="n"/>
      <c r="H30" s="5">
        <f>IF(A30="","",SUM(E30:G30))</f>
        <v/>
      </c>
      <c r="I30" s="5" t="n"/>
      <c r="J30" s="5" t="n"/>
      <c r="K30" s="5" t="n"/>
      <c r="L30" s="5">
        <f>IF(A30="","",SUM(I30:K30))</f>
        <v/>
      </c>
      <c r="M30" s="5" t="n"/>
      <c r="N30" s="5" t="n"/>
      <c r="O30" s="5" t="n"/>
      <c r="P30" s="5">
        <f>IF(A30="","",SUM(M30:O30))</f>
        <v/>
      </c>
      <c r="Q30" s="5" t="n"/>
      <c r="R30" s="5" t="n"/>
      <c r="S30" s="5" t="n"/>
      <c r="T30" s="5">
        <f>IF(A30="","",SUM(Q30:S30))</f>
        <v/>
      </c>
      <c r="U30" s="5">
        <f>IF(A30="","",H30+L30+P30+T30)</f>
        <v/>
      </c>
      <c r="V30" s="5">
        <f>IF(A30="","",IFERROR(VLOOKUP(A30,'F01 - _Données Centrales'!$A$6:$L$20,7,FALSE),0))</f>
        <v/>
      </c>
      <c r="W30" s="5">
        <f>IF(A30="","",V30-U30)</f>
        <v/>
      </c>
    </row>
    <row r="31">
      <c r="A31" s="7" t="n"/>
      <c r="B31" s="7" t="n"/>
      <c r="C31" s="7" t="n"/>
      <c r="D31" s="7" t="n"/>
      <c r="E31" s="8" t="n"/>
      <c r="F31" s="8" t="n"/>
      <c r="G31" s="8" t="n"/>
      <c r="H31" s="8">
        <f>IF(A31="","",SUM(E31:G31))</f>
        <v/>
      </c>
      <c r="I31" s="8" t="n"/>
      <c r="J31" s="8" t="n"/>
      <c r="K31" s="8" t="n"/>
      <c r="L31" s="8">
        <f>IF(A31="","",SUM(I31:K31))</f>
        <v/>
      </c>
      <c r="M31" s="8" t="n"/>
      <c r="N31" s="8" t="n"/>
      <c r="O31" s="8" t="n"/>
      <c r="P31" s="8">
        <f>IF(A31="","",SUM(M31:O31))</f>
        <v/>
      </c>
      <c r="Q31" s="8" t="n"/>
      <c r="R31" s="8" t="n"/>
      <c r="S31" s="8" t="n"/>
      <c r="T31" s="8">
        <f>IF(A31="","",SUM(Q31:S31))</f>
        <v/>
      </c>
      <c r="U31" s="8">
        <f>IF(A31="","",H31+L31+P31+T31)</f>
        <v/>
      </c>
      <c r="V31" s="8">
        <f>IF(A31="","",IFERROR(VLOOKUP(A31,'F01 - _Données Centrales'!$A$6:$L$20,7,FALSE),0))</f>
        <v/>
      </c>
      <c r="W31" s="8">
        <f>IF(A31="","",V31-U31)</f>
        <v/>
      </c>
    </row>
    <row r="32">
      <c r="A32" s="4" t="n"/>
      <c r="B32" s="4" t="n"/>
      <c r="C32" s="4" t="n"/>
      <c r="D32" s="4" t="n"/>
      <c r="E32" s="5" t="n"/>
      <c r="F32" s="5" t="n"/>
      <c r="G32" s="5" t="n"/>
      <c r="H32" s="5">
        <f>IF(A32="","",SUM(E32:G32))</f>
        <v/>
      </c>
      <c r="I32" s="5" t="n"/>
      <c r="J32" s="5" t="n"/>
      <c r="K32" s="5" t="n"/>
      <c r="L32" s="5">
        <f>IF(A32="","",SUM(I32:K32))</f>
        <v/>
      </c>
      <c r="M32" s="5" t="n"/>
      <c r="N32" s="5" t="n"/>
      <c r="O32" s="5" t="n"/>
      <c r="P32" s="5">
        <f>IF(A32="","",SUM(M32:O32))</f>
        <v/>
      </c>
      <c r="Q32" s="5" t="n"/>
      <c r="R32" s="5" t="n"/>
      <c r="S32" s="5" t="n"/>
      <c r="T32" s="5">
        <f>IF(A32="","",SUM(Q32:S32))</f>
        <v/>
      </c>
      <c r="U32" s="5">
        <f>IF(A32="","",H32+L32+P32+T32)</f>
        <v/>
      </c>
      <c r="V32" s="5">
        <f>IF(A32="","",IFERROR(VLOOKUP(A32,'F01 - _Données Centrales'!$A$6:$L$20,7,FALSE),0))</f>
        <v/>
      </c>
      <c r="W32" s="5">
        <f>IF(A32="","",V32-U32)</f>
        <v/>
      </c>
    </row>
    <row r="33">
      <c r="A33" s="7" t="n"/>
      <c r="B33" s="7" t="n"/>
      <c r="C33" s="7" t="n"/>
      <c r="D33" s="7" t="n"/>
      <c r="E33" s="8" t="n"/>
      <c r="F33" s="8" t="n"/>
      <c r="G33" s="8" t="n"/>
      <c r="H33" s="8">
        <f>IF(A33="","",SUM(E33:G33))</f>
        <v/>
      </c>
      <c r="I33" s="8" t="n"/>
      <c r="J33" s="8" t="n"/>
      <c r="K33" s="8" t="n"/>
      <c r="L33" s="8">
        <f>IF(A33="","",SUM(I33:K33))</f>
        <v/>
      </c>
      <c r="M33" s="8" t="n"/>
      <c r="N33" s="8" t="n"/>
      <c r="O33" s="8" t="n"/>
      <c r="P33" s="8">
        <f>IF(A33="","",SUM(M33:O33))</f>
        <v/>
      </c>
      <c r="Q33" s="8" t="n"/>
      <c r="R33" s="8" t="n"/>
      <c r="S33" s="8" t="n"/>
      <c r="T33" s="8">
        <f>IF(A33="","",SUM(Q33:S33))</f>
        <v/>
      </c>
      <c r="U33" s="8">
        <f>IF(A33="","",H33+L33+P33+T33)</f>
        <v/>
      </c>
      <c r="V33" s="8">
        <f>IF(A33="","",IFERROR(VLOOKUP(A33,'F01 - _Données Centrales'!$A$6:$L$20,7,FALSE),0))</f>
        <v/>
      </c>
      <c r="W33" s="8">
        <f>IF(A33="","",V33-U33)</f>
        <v/>
      </c>
    </row>
    <row r="34">
      <c r="A34" s="4" t="n"/>
      <c r="B34" s="4" t="n"/>
      <c r="C34" s="4" t="n"/>
      <c r="D34" s="4" t="n"/>
      <c r="E34" s="5" t="n"/>
      <c r="F34" s="5" t="n"/>
      <c r="G34" s="5" t="n"/>
      <c r="H34" s="5">
        <f>IF(A34="","",SUM(E34:G34))</f>
        <v/>
      </c>
      <c r="I34" s="5" t="n"/>
      <c r="J34" s="5" t="n"/>
      <c r="K34" s="5" t="n"/>
      <c r="L34" s="5">
        <f>IF(A34="","",SUM(I34:K34))</f>
        <v/>
      </c>
      <c r="M34" s="5" t="n"/>
      <c r="N34" s="5" t="n"/>
      <c r="O34" s="5" t="n"/>
      <c r="P34" s="5">
        <f>IF(A34="","",SUM(M34:O34))</f>
        <v/>
      </c>
      <c r="Q34" s="5" t="n"/>
      <c r="R34" s="5" t="n"/>
      <c r="S34" s="5" t="n"/>
      <c r="T34" s="5">
        <f>IF(A34="","",SUM(Q34:S34))</f>
        <v/>
      </c>
      <c r="U34" s="5">
        <f>IF(A34="","",H34+L34+P34+T34)</f>
        <v/>
      </c>
      <c r="V34" s="5">
        <f>IF(A34="","",IFERROR(VLOOKUP(A34,'F01 - _Données Centrales'!$A$6:$L$20,7,FALSE),0))</f>
        <v/>
      </c>
      <c r="W34" s="5">
        <f>IF(A34="","",V34-U34)</f>
        <v/>
      </c>
    </row>
    <row r="35">
      <c r="A35" s="7" t="n"/>
      <c r="B35" s="7" t="n"/>
      <c r="C35" s="7" t="n"/>
      <c r="D35" s="7" t="n"/>
      <c r="E35" s="8" t="n"/>
      <c r="F35" s="8" t="n"/>
      <c r="G35" s="8" t="n"/>
      <c r="H35" s="8">
        <f>IF(A35="","",SUM(E35:G35))</f>
        <v/>
      </c>
      <c r="I35" s="8" t="n"/>
      <c r="J35" s="8" t="n"/>
      <c r="K35" s="8" t="n"/>
      <c r="L35" s="8">
        <f>IF(A35="","",SUM(I35:K35))</f>
        <v/>
      </c>
      <c r="M35" s="8" t="n"/>
      <c r="N35" s="8" t="n"/>
      <c r="O35" s="8" t="n"/>
      <c r="P35" s="8">
        <f>IF(A35="","",SUM(M35:O35))</f>
        <v/>
      </c>
      <c r="Q35" s="8" t="n"/>
      <c r="R35" s="8" t="n"/>
      <c r="S35" s="8" t="n"/>
      <c r="T35" s="8">
        <f>IF(A35="","",SUM(Q35:S35))</f>
        <v/>
      </c>
      <c r="U35" s="8">
        <f>IF(A35="","",H35+L35+P35+T35)</f>
        <v/>
      </c>
      <c r="V35" s="8">
        <f>IF(A35="","",IFERROR(VLOOKUP(A35,'F01 - _Données Centrales'!$A$6:$L$20,7,FALSE),0))</f>
        <v/>
      </c>
      <c r="W35" s="8">
        <f>IF(A35="","",V35-U35)</f>
        <v/>
      </c>
    </row>
    <row r="36">
      <c r="A36" s="4" t="n"/>
      <c r="B36" s="4" t="n"/>
      <c r="C36" s="4" t="n"/>
      <c r="D36" s="4" t="n"/>
      <c r="E36" s="5" t="n"/>
      <c r="F36" s="5" t="n"/>
      <c r="G36" s="5" t="n"/>
      <c r="H36" s="5">
        <f>IF(A36="","",SUM(E36:G36))</f>
        <v/>
      </c>
      <c r="I36" s="5" t="n"/>
      <c r="J36" s="5" t="n"/>
      <c r="K36" s="5" t="n"/>
      <c r="L36" s="5">
        <f>IF(A36="","",SUM(I36:K36))</f>
        <v/>
      </c>
      <c r="M36" s="5" t="n"/>
      <c r="N36" s="5" t="n"/>
      <c r="O36" s="5" t="n"/>
      <c r="P36" s="5">
        <f>IF(A36="","",SUM(M36:O36))</f>
        <v/>
      </c>
      <c r="Q36" s="5" t="n"/>
      <c r="R36" s="5" t="n"/>
      <c r="S36" s="5" t="n"/>
      <c r="T36" s="5">
        <f>IF(A36="","",SUM(Q36:S36))</f>
        <v/>
      </c>
      <c r="U36" s="5">
        <f>IF(A36="","",H36+L36+P36+T36)</f>
        <v/>
      </c>
      <c r="V36" s="5">
        <f>IF(A36="","",IFERROR(VLOOKUP(A36,'F01 - _Données Centrales'!$A$6:$L$20,7,FALSE),0))</f>
        <v/>
      </c>
      <c r="W36" s="5">
        <f>IF(A36="","",V36-U36)</f>
        <v/>
      </c>
    </row>
    <row r="37">
      <c r="A37" s="7" t="n"/>
      <c r="B37" s="7" t="n"/>
      <c r="C37" s="7" t="n"/>
      <c r="D37" s="7" t="n"/>
      <c r="E37" s="8" t="n"/>
      <c r="F37" s="8" t="n"/>
      <c r="G37" s="8" t="n"/>
      <c r="H37" s="8">
        <f>IF(A37="","",SUM(E37:G37))</f>
        <v/>
      </c>
      <c r="I37" s="8" t="n"/>
      <c r="J37" s="8" t="n"/>
      <c r="K37" s="8" t="n"/>
      <c r="L37" s="8">
        <f>IF(A37="","",SUM(I37:K37))</f>
        <v/>
      </c>
      <c r="M37" s="8" t="n"/>
      <c r="N37" s="8" t="n"/>
      <c r="O37" s="8" t="n"/>
      <c r="P37" s="8">
        <f>IF(A37="","",SUM(M37:O37))</f>
        <v/>
      </c>
      <c r="Q37" s="8" t="n"/>
      <c r="R37" s="8" t="n"/>
      <c r="S37" s="8" t="n"/>
      <c r="T37" s="8">
        <f>IF(A37="","",SUM(Q37:S37))</f>
        <v/>
      </c>
      <c r="U37" s="8">
        <f>IF(A37="","",H37+L37+P37+T37)</f>
        <v/>
      </c>
      <c r="V37" s="8">
        <f>IF(A37="","",IFERROR(VLOOKUP(A37,'F01 - _Données Centrales'!$A$6:$L$20,7,FALSE),0))</f>
        <v/>
      </c>
      <c r="W37" s="8">
        <f>IF(A37="","",V37-U37)</f>
        <v/>
      </c>
    </row>
    <row r="38">
      <c r="A38" s="4" t="n"/>
      <c r="B38" s="4" t="n"/>
      <c r="C38" s="4" t="n"/>
      <c r="D38" s="4" t="n"/>
      <c r="E38" s="5" t="n"/>
      <c r="F38" s="5" t="n"/>
      <c r="G38" s="5" t="n"/>
      <c r="H38" s="5">
        <f>IF(A38="","",SUM(E38:G38))</f>
        <v/>
      </c>
      <c r="I38" s="5" t="n"/>
      <c r="J38" s="5" t="n"/>
      <c r="K38" s="5" t="n"/>
      <c r="L38" s="5">
        <f>IF(A38="","",SUM(I38:K38))</f>
        <v/>
      </c>
      <c r="M38" s="5" t="n"/>
      <c r="N38" s="5" t="n"/>
      <c r="O38" s="5" t="n"/>
      <c r="P38" s="5">
        <f>IF(A38="","",SUM(M38:O38))</f>
        <v/>
      </c>
      <c r="Q38" s="5" t="n"/>
      <c r="R38" s="5" t="n"/>
      <c r="S38" s="5" t="n"/>
      <c r="T38" s="5">
        <f>IF(A38="","",SUM(Q38:S38))</f>
        <v/>
      </c>
      <c r="U38" s="5">
        <f>IF(A38="","",H38+L38+P38+T38)</f>
        <v/>
      </c>
      <c r="V38" s="5">
        <f>IF(A38="","",IFERROR(VLOOKUP(A38,'F01 - _Données Centrales'!$A$6:$L$20,7,FALSE),0))</f>
        <v/>
      </c>
      <c r="W38" s="5">
        <f>IF(A38="","",V38-U38)</f>
        <v/>
      </c>
    </row>
    <row r="39">
      <c r="A39" s="7" t="n"/>
      <c r="B39" s="7" t="n"/>
      <c r="C39" s="7" t="n"/>
      <c r="D39" s="7" t="n"/>
      <c r="E39" s="8" t="n"/>
      <c r="F39" s="8" t="n"/>
      <c r="G39" s="8" t="n"/>
      <c r="H39" s="8">
        <f>IF(A39="","",SUM(E39:G39))</f>
        <v/>
      </c>
      <c r="I39" s="8" t="n"/>
      <c r="J39" s="8" t="n"/>
      <c r="K39" s="8" t="n"/>
      <c r="L39" s="8">
        <f>IF(A39="","",SUM(I39:K39))</f>
        <v/>
      </c>
      <c r="M39" s="8" t="n"/>
      <c r="N39" s="8" t="n"/>
      <c r="O39" s="8" t="n"/>
      <c r="P39" s="8">
        <f>IF(A39="","",SUM(M39:O39))</f>
        <v/>
      </c>
      <c r="Q39" s="8" t="n"/>
      <c r="R39" s="8" t="n"/>
      <c r="S39" s="8" t="n"/>
      <c r="T39" s="8">
        <f>IF(A39="","",SUM(Q39:S39))</f>
        <v/>
      </c>
      <c r="U39" s="8">
        <f>IF(A39="","",H39+L39+P39+T39)</f>
        <v/>
      </c>
      <c r="V39" s="8">
        <f>IF(A39="","",IFERROR(VLOOKUP(A39,'F01 - _Données Centrales'!$A$6:$L$20,7,FALSE),0))</f>
        <v/>
      </c>
      <c r="W39" s="8">
        <f>IF(A39="","",V39-U39)</f>
        <v/>
      </c>
    </row>
    <row r="40">
      <c r="A40" s="4" t="n"/>
      <c r="B40" s="4" t="n"/>
      <c r="C40" s="4" t="n"/>
      <c r="D40" s="4" t="n"/>
      <c r="E40" s="5" t="n"/>
      <c r="F40" s="5" t="n"/>
      <c r="G40" s="5" t="n"/>
      <c r="H40" s="5">
        <f>IF(A40="","",SUM(E40:G40))</f>
        <v/>
      </c>
      <c r="I40" s="5" t="n"/>
      <c r="J40" s="5" t="n"/>
      <c r="K40" s="5" t="n"/>
      <c r="L40" s="5">
        <f>IF(A40="","",SUM(I40:K40))</f>
        <v/>
      </c>
      <c r="M40" s="5" t="n"/>
      <c r="N40" s="5" t="n"/>
      <c r="O40" s="5" t="n"/>
      <c r="P40" s="5">
        <f>IF(A40="","",SUM(M40:O40))</f>
        <v/>
      </c>
      <c r="Q40" s="5" t="n"/>
      <c r="R40" s="5" t="n"/>
      <c r="S40" s="5" t="n"/>
      <c r="T40" s="5">
        <f>IF(A40="","",SUM(Q40:S40))</f>
        <v/>
      </c>
      <c r="U40" s="5">
        <f>IF(A40="","",H40+L40+P40+T40)</f>
        <v/>
      </c>
      <c r="V40" s="5">
        <f>IF(A40="","",IFERROR(VLOOKUP(A40,'F01 - _Données Centrales'!$A$6:$L$20,7,FALSE),0))</f>
        <v/>
      </c>
      <c r="W40" s="5">
        <f>IF(A40="","",V40-U40)</f>
        <v/>
      </c>
    </row>
    <row r="41">
      <c r="A41" s="7" t="n"/>
      <c r="B41" s="7" t="n"/>
      <c r="C41" s="7" t="n"/>
      <c r="D41" s="7" t="n"/>
      <c r="E41" s="8" t="n"/>
      <c r="F41" s="8" t="n"/>
      <c r="G41" s="8" t="n"/>
      <c r="H41" s="8">
        <f>IF(A41="","",SUM(E41:G41))</f>
        <v/>
      </c>
      <c r="I41" s="8" t="n"/>
      <c r="J41" s="8" t="n"/>
      <c r="K41" s="8" t="n"/>
      <c r="L41" s="8">
        <f>IF(A41="","",SUM(I41:K41))</f>
        <v/>
      </c>
      <c r="M41" s="8" t="n"/>
      <c r="N41" s="8" t="n"/>
      <c r="O41" s="8" t="n"/>
      <c r="P41" s="8">
        <f>IF(A41="","",SUM(M41:O41))</f>
        <v/>
      </c>
      <c r="Q41" s="8" t="n"/>
      <c r="R41" s="8" t="n"/>
      <c r="S41" s="8" t="n"/>
      <c r="T41" s="8">
        <f>IF(A41="","",SUM(Q41:S41))</f>
        <v/>
      </c>
      <c r="U41" s="8">
        <f>IF(A41="","",H41+L41+P41+T41)</f>
        <v/>
      </c>
      <c r="V41" s="8">
        <f>IF(A41="","",IFERROR(VLOOKUP(A41,'F01 - _Données Centrales'!$A$6:$L$20,7,FALSE),0))</f>
        <v/>
      </c>
      <c r="W41" s="8">
        <f>IF(A41="","",V41-U41)</f>
        <v/>
      </c>
    </row>
    <row r="42">
      <c r="A42" s="4" t="n"/>
      <c r="B42" s="4" t="n"/>
      <c r="C42" s="4" t="n"/>
      <c r="D42" s="4" t="n"/>
      <c r="E42" s="5" t="n"/>
      <c r="F42" s="5" t="n"/>
      <c r="G42" s="5" t="n"/>
      <c r="H42" s="5">
        <f>IF(A42="","",SUM(E42:G42))</f>
        <v/>
      </c>
      <c r="I42" s="5" t="n"/>
      <c r="J42" s="5" t="n"/>
      <c r="K42" s="5" t="n"/>
      <c r="L42" s="5">
        <f>IF(A42="","",SUM(I42:K42))</f>
        <v/>
      </c>
      <c r="M42" s="5" t="n"/>
      <c r="N42" s="5" t="n"/>
      <c r="O42" s="5" t="n"/>
      <c r="P42" s="5">
        <f>IF(A42="","",SUM(M42:O42))</f>
        <v/>
      </c>
      <c r="Q42" s="5" t="n"/>
      <c r="R42" s="5" t="n"/>
      <c r="S42" s="5" t="n"/>
      <c r="T42" s="5">
        <f>IF(A42="","",SUM(Q42:S42))</f>
        <v/>
      </c>
      <c r="U42" s="5">
        <f>IF(A42="","",H42+L42+P42+T42)</f>
        <v/>
      </c>
      <c r="V42" s="5">
        <f>IF(A42="","",IFERROR(VLOOKUP(A42,'F01 - _Données Centrales'!$A$6:$L$20,7,FALSE),0))</f>
        <v/>
      </c>
      <c r="W42" s="5">
        <f>IF(A42="","",V42-U42)</f>
        <v/>
      </c>
    </row>
    <row r="43">
      <c r="A43" s="7" t="n"/>
      <c r="B43" s="7" t="n"/>
      <c r="C43" s="7" t="n"/>
      <c r="D43" s="7" t="n"/>
      <c r="E43" s="8" t="n"/>
      <c r="F43" s="8" t="n"/>
      <c r="G43" s="8" t="n"/>
      <c r="H43" s="8">
        <f>IF(A43="","",SUM(E43:G43))</f>
        <v/>
      </c>
      <c r="I43" s="8" t="n"/>
      <c r="J43" s="8" t="n"/>
      <c r="K43" s="8" t="n"/>
      <c r="L43" s="8">
        <f>IF(A43="","",SUM(I43:K43))</f>
        <v/>
      </c>
      <c r="M43" s="8" t="n"/>
      <c r="N43" s="8" t="n"/>
      <c r="O43" s="8" t="n"/>
      <c r="P43" s="8">
        <f>IF(A43="","",SUM(M43:O43))</f>
        <v/>
      </c>
      <c r="Q43" s="8" t="n"/>
      <c r="R43" s="8" t="n"/>
      <c r="S43" s="8" t="n"/>
      <c r="T43" s="8">
        <f>IF(A43="","",SUM(Q43:S43))</f>
        <v/>
      </c>
      <c r="U43" s="8">
        <f>IF(A43="","",H43+L43+P43+T43)</f>
        <v/>
      </c>
      <c r="V43" s="8">
        <f>IF(A43="","",IFERROR(VLOOKUP(A43,'F01 - _Données Centrales'!$A$6:$L$20,7,FALSE),0))</f>
        <v/>
      </c>
      <c r="W43" s="8">
        <f>IF(A43="","",V43-U43)</f>
        <v/>
      </c>
    </row>
    <row r="44">
      <c r="A44" s="4" t="n"/>
      <c r="B44" s="4" t="n"/>
      <c r="C44" s="4" t="n"/>
      <c r="D44" s="4" t="n"/>
      <c r="E44" s="5" t="n"/>
      <c r="F44" s="5" t="n"/>
      <c r="G44" s="5" t="n"/>
      <c r="H44" s="5">
        <f>IF(A44="","",SUM(E44:G44))</f>
        <v/>
      </c>
      <c r="I44" s="5" t="n"/>
      <c r="J44" s="5" t="n"/>
      <c r="K44" s="5" t="n"/>
      <c r="L44" s="5">
        <f>IF(A44="","",SUM(I44:K44))</f>
        <v/>
      </c>
      <c r="M44" s="5" t="n"/>
      <c r="N44" s="5" t="n"/>
      <c r="O44" s="5" t="n"/>
      <c r="P44" s="5">
        <f>IF(A44="","",SUM(M44:O44))</f>
        <v/>
      </c>
      <c r="Q44" s="5" t="n"/>
      <c r="R44" s="5" t="n"/>
      <c r="S44" s="5" t="n"/>
      <c r="T44" s="5">
        <f>IF(A44="","",SUM(Q44:S44))</f>
        <v/>
      </c>
      <c r="U44" s="5">
        <f>IF(A44="","",H44+L44+P44+T44)</f>
        <v/>
      </c>
      <c r="V44" s="5">
        <f>IF(A44="","",IFERROR(VLOOKUP(A44,'F01 - _Données Centrales'!$A$6:$L$20,7,FALSE),0))</f>
        <v/>
      </c>
      <c r="W44" s="5">
        <f>IF(A44="","",V44-U44)</f>
        <v/>
      </c>
    </row>
    <row r="45">
      <c r="A45" s="7" t="n"/>
      <c r="B45" s="7" t="n"/>
      <c r="C45" s="7" t="n"/>
      <c r="D45" s="7" t="n"/>
      <c r="E45" s="8" t="n"/>
      <c r="F45" s="8" t="n"/>
      <c r="G45" s="8" t="n"/>
      <c r="H45" s="8">
        <f>IF(A45="","",SUM(E45:G45))</f>
        <v/>
      </c>
      <c r="I45" s="8" t="n"/>
      <c r="J45" s="8" t="n"/>
      <c r="K45" s="8" t="n"/>
      <c r="L45" s="8">
        <f>IF(A45="","",SUM(I45:K45))</f>
        <v/>
      </c>
      <c r="M45" s="8" t="n"/>
      <c r="N45" s="8" t="n"/>
      <c r="O45" s="8" t="n"/>
      <c r="P45" s="8">
        <f>IF(A45="","",SUM(M45:O45))</f>
        <v/>
      </c>
      <c r="Q45" s="8" t="n"/>
      <c r="R45" s="8" t="n"/>
      <c r="S45" s="8" t="n"/>
      <c r="T45" s="8">
        <f>IF(A45="","",SUM(Q45:S45))</f>
        <v/>
      </c>
      <c r="U45" s="8">
        <f>IF(A45="","",H45+L45+P45+T45)</f>
        <v/>
      </c>
      <c r="V45" s="8">
        <f>IF(A45="","",IFERROR(VLOOKUP(A45,'F01 - _Données Centrales'!$A$6:$L$20,7,FALSE),0))</f>
        <v/>
      </c>
      <c r="W45" s="8">
        <f>IF(A45="","",V45-U45)</f>
        <v/>
      </c>
    </row>
    <row r="46">
      <c r="A46" s="4" t="n"/>
      <c r="B46" s="4" t="n"/>
      <c r="C46" s="4" t="n"/>
      <c r="D46" s="4" t="n"/>
      <c r="E46" s="5" t="n"/>
      <c r="F46" s="5" t="n"/>
      <c r="G46" s="5" t="n"/>
      <c r="H46" s="5">
        <f>IF(A46="","",SUM(E46:G46))</f>
        <v/>
      </c>
      <c r="I46" s="5" t="n"/>
      <c r="J46" s="5" t="n"/>
      <c r="K46" s="5" t="n"/>
      <c r="L46" s="5">
        <f>IF(A46="","",SUM(I46:K46))</f>
        <v/>
      </c>
      <c r="M46" s="5" t="n"/>
      <c r="N46" s="5" t="n"/>
      <c r="O46" s="5" t="n"/>
      <c r="P46" s="5">
        <f>IF(A46="","",SUM(M46:O46))</f>
        <v/>
      </c>
      <c r="Q46" s="5" t="n"/>
      <c r="R46" s="5" t="n"/>
      <c r="S46" s="5" t="n"/>
      <c r="T46" s="5">
        <f>IF(A46="","",SUM(Q46:S46))</f>
        <v/>
      </c>
      <c r="U46" s="5">
        <f>IF(A46="","",H46+L46+P46+T46)</f>
        <v/>
      </c>
      <c r="V46" s="5">
        <f>IF(A46="","",IFERROR(VLOOKUP(A46,'F01 - _Données Centrales'!$A$6:$L$20,7,FALSE),0))</f>
        <v/>
      </c>
      <c r="W46" s="5">
        <f>IF(A46="","",V46-U46)</f>
        <v/>
      </c>
    </row>
    <row r="47">
      <c r="A47" s="7" t="n"/>
      <c r="B47" s="7" t="n"/>
      <c r="C47" s="7" t="n"/>
      <c r="D47" s="7" t="n"/>
      <c r="E47" s="8" t="n"/>
      <c r="F47" s="8" t="n"/>
      <c r="G47" s="8" t="n"/>
      <c r="H47" s="8">
        <f>IF(A47="","",SUM(E47:G47))</f>
        <v/>
      </c>
      <c r="I47" s="8" t="n"/>
      <c r="J47" s="8" t="n"/>
      <c r="K47" s="8" t="n"/>
      <c r="L47" s="8">
        <f>IF(A47="","",SUM(I47:K47))</f>
        <v/>
      </c>
      <c r="M47" s="8" t="n"/>
      <c r="N47" s="8" t="n"/>
      <c r="O47" s="8" t="n"/>
      <c r="P47" s="8">
        <f>IF(A47="","",SUM(M47:O47))</f>
        <v/>
      </c>
      <c r="Q47" s="8" t="n"/>
      <c r="R47" s="8" t="n"/>
      <c r="S47" s="8" t="n"/>
      <c r="T47" s="8">
        <f>IF(A47="","",SUM(Q47:S47))</f>
        <v/>
      </c>
      <c r="U47" s="8">
        <f>IF(A47="","",H47+L47+P47+T47)</f>
        <v/>
      </c>
      <c r="V47" s="8">
        <f>IF(A47="","",IFERROR(VLOOKUP(A47,'F01 - _Données Centrales'!$A$6:$L$20,7,FALSE),0))</f>
        <v/>
      </c>
      <c r="W47" s="8">
        <f>IF(A47="","",V47-U47)</f>
        <v/>
      </c>
    </row>
    <row r="48">
      <c r="A48" s="4" t="n"/>
      <c r="B48" s="4" t="n"/>
      <c r="C48" s="4" t="n"/>
      <c r="D48" s="4" t="n"/>
      <c r="E48" s="5" t="n"/>
      <c r="F48" s="5" t="n"/>
      <c r="G48" s="5" t="n"/>
      <c r="H48" s="5">
        <f>IF(A48="","",SUM(E48:G48))</f>
        <v/>
      </c>
      <c r="I48" s="5" t="n"/>
      <c r="J48" s="5" t="n"/>
      <c r="K48" s="5" t="n"/>
      <c r="L48" s="5">
        <f>IF(A48="","",SUM(I48:K48))</f>
        <v/>
      </c>
      <c r="M48" s="5" t="n"/>
      <c r="N48" s="5" t="n"/>
      <c r="O48" s="5" t="n"/>
      <c r="P48" s="5">
        <f>IF(A48="","",SUM(M48:O48))</f>
        <v/>
      </c>
      <c r="Q48" s="5" t="n"/>
      <c r="R48" s="5" t="n"/>
      <c r="S48" s="5" t="n"/>
      <c r="T48" s="5">
        <f>IF(A48="","",SUM(Q48:S48))</f>
        <v/>
      </c>
      <c r="U48" s="5">
        <f>IF(A48="","",H48+L48+P48+T48)</f>
        <v/>
      </c>
      <c r="V48" s="5">
        <f>IF(A48="","",IFERROR(VLOOKUP(A48,'F01 - _Données Centrales'!$A$6:$L$20,7,FALSE),0))</f>
        <v/>
      </c>
      <c r="W48" s="5">
        <f>IF(A48="","",V48-U48)</f>
        <v/>
      </c>
    </row>
    <row r="49">
      <c r="A49" s="7" t="n"/>
      <c r="B49" s="7" t="n"/>
      <c r="C49" s="7" t="n"/>
      <c r="D49" s="7" t="n"/>
      <c r="E49" s="8" t="n"/>
      <c r="F49" s="8" t="n"/>
      <c r="G49" s="8" t="n"/>
      <c r="H49" s="8">
        <f>IF(A49="","",SUM(E49:G49))</f>
        <v/>
      </c>
      <c r="I49" s="8" t="n"/>
      <c r="J49" s="8" t="n"/>
      <c r="K49" s="8" t="n"/>
      <c r="L49" s="8">
        <f>IF(A49="","",SUM(I49:K49))</f>
        <v/>
      </c>
      <c r="M49" s="8" t="n"/>
      <c r="N49" s="8" t="n"/>
      <c r="O49" s="8" t="n"/>
      <c r="P49" s="8">
        <f>IF(A49="","",SUM(M49:O49))</f>
        <v/>
      </c>
      <c r="Q49" s="8" t="n"/>
      <c r="R49" s="8" t="n"/>
      <c r="S49" s="8" t="n"/>
      <c r="T49" s="8">
        <f>IF(A49="","",SUM(Q49:S49))</f>
        <v/>
      </c>
      <c r="U49" s="8">
        <f>IF(A49="","",H49+L49+P49+T49)</f>
        <v/>
      </c>
      <c r="V49" s="8">
        <f>IF(A49="","",IFERROR(VLOOKUP(A49,'F01 - _Données Centrales'!$A$6:$L$20,7,FALSE),0))</f>
        <v/>
      </c>
      <c r="W49" s="8">
        <f>IF(A49="","",V49-U49)</f>
        <v/>
      </c>
    </row>
    <row r="50">
      <c r="A50" s="4" t="n"/>
      <c r="B50" s="4" t="n"/>
      <c r="C50" s="4" t="n"/>
      <c r="D50" s="4" t="n"/>
      <c r="E50" s="5" t="n"/>
      <c r="F50" s="5" t="n"/>
      <c r="G50" s="5" t="n"/>
      <c r="H50" s="5">
        <f>IF(A50="","",SUM(E50:G50))</f>
        <v/>
      </c>
      <c r="I50" s="5" t="n"/>
      <c r="J50" s="5" t="n"/>
      <c r="K50" s="5" t="n"/>
      <c r="L50" s="5">
        <f>IF(A50="","",SUM(I50:K50))</f>
        <v/>
      </c>
      <c r="M50" s="5" t="n"/>
      <c r="N50" s="5" t="n"/>
      <c r="O50" s="5" t="n"/>
      <c r="P50" s="5">
        <f>IF(A50="","",SUM(M50:O50))</f>
        <v/>
      </c>
      <c r="Q50" s="5" t="n"/>
      <c r="R50" s="5" t="n"/>
      <c r="S50" s="5" t="n"/>
      <c r="T50" s="5">
        <f>IF(A50="","",SUM(Q50:S50))</f>
        <v/>
      </c>
      <c r="U50" s="5">
        <f>IF(A50="","",H50+L50+P50+T50)</f>
        <v/>
      </c>
      <c r="V50" s="5">
        <f>IF(A50="","",IFERROR(VLOOKUP(A50,'F01 - _Données Centrales'!$A$6:$L$20,7,FALSE),0))</f>
        <v/>
      </c>
      <c r="W50" s="5">
        <f>IF(A50="","",V50-U50)</f>
        <v/>
      </c>
    </row>
    <row r="51">
      <c r="A51" s="7" t="n"/>
      <c r="B51" s="7" t="n"/>
      <c r="C51" s="7" t="n"/>
      <c r="D51" s="7" t="n"/>
      <c r="E51" s="8" t="n"/>
      <c r="F51" s="8" t="n"/>
      <c r="G51" s="8" t="n"/>
      <c r="H51" s="8">
        <f>IF(A51="","",SUM(E51:G51))</f>
        <v/>
      </c>
      <c r="I51" s="8" t="n"/>
      <c r="J51" s="8" t="n"/>
      <c r="K51" s="8" t="n"/>
      <c r="L51" s="8">
        <f>IF(A51="","",SUM(I51:K51))</f>
        <v/>
      </c>
      <c r="M51" s="8" t="n"/>
      <c r="N51" s="8" t="n"/>
      <c r="O51" s="8" t="n"/>
      <c r="P51" s="8">
        <f>IF(A51="","",SUM(M51:O51))</f>
        <v/>
      </c>
      <c r="Q51" s="8" t="n"/>
      <c r="R51" s="8" t="n"/>
      <c r="S51" s="8" t="n"/>
      <c r="T51" s="8">
        <f>IF(A51="","",SUM(Q51:S51))</f>
        <v/>
      </c>
      <c r="U51" s="8">
        <f>IF(A51="","",H51+L51+P51+T51)</f>
        <v/>
      </c>
      <c r="V51" s="8">
        <f>IF(A51="","",IFERROR(VLOOKUP(A51,'F01 - _Données Centrales'!$A$6:$L$20,7,FALSE),0))</f>
        <v/>
      </c>
      <c r="W51" s="8">
        <f>IF(A51="","",V51-U51)</f>
        <v/>
      </c>
    </row>
    <row r="52">
      <c r="A52" s="4" t="n"/>
      <c r="B52" s="4" t="n"/>
      <c r="C52" s="4" t="n"/>
      <c r="D52" s="4" t="n"/>
      <c r="E52" s="5" t="n"/>
      <c r="F52" s="5" t="n"/>
      <c r="G52" s="5" t="n"/>
      <c r="H52" s="5">
        <f>IF(A52="","",SUM(E52:G52))</f>
        <v/>
      </c>
      <c r="I52" s="5" t="n"/>
      <c r="J52" s="5" t="n"/>
      <c r="K52" s="5" t="n"/>
      <c r="L52" s="5">
        <f>IF(A52="","",SUM(I52:K52))</f>
        <v/>
      </c>
      <c r="M52" s="5" t="n"/>
      <c r="N52" s="5" t="n"/>
      <c r="O52" s="5" t="n"/>
      <c r="P52" s="5">
        <f>IF(A52="","",SUM(M52:O52))</f>
        <v/>
      </c>
      <c r="Q52" s="5" t="n"/>
      <c r="R52" s="5" t="n"/>
      <c r="S52" s="5" t="n"/>
      <c r="T52" s="5">
        <f>IF(A52="","",SUM(Q52:S52))</f>
        <v/>
      </c>
      <c r="U52" s="5">
        <f>IF(A52="","",H52+L52+P52+T52)</f>
        <v/>
      </c>
      <c r="V52" s="5">
        <f>IF(A52="","",IFERROR(VLOOKUP(A52,'F01 - _Données Centrales'!$A$6:$L$20,7,FALSE),0))</f>
        <v/>
      </c>
      <c r="W52" s="5">
        <f>IF(A52="","",V52-U52)</f>
        <v/>
      </c>
    </row>
    <row r="53">
      <c r="A53" s="7" t="n"/>
      <c r="B53" s="7" t="n"/>
      <c r="C53" s="7" t="n"/>
      <c r="D53" s="7" t="n"/>
      <c r="E53" s="8" t="n"/>
      <c r="F53" s="8" t="n"/>
      <c r="G53" s="8" t="n"/>
      <c r="H53" s="8">
        <f>IF(A53="","",SUM(E53:G53))</f>
        <v/>
      </c>
      <c r="I53" s="8" t="n"/>
      <c r="J53" s="8" t="n"/>
      <c r="K53" s="8" t="n"/>
      <c r="L53" s="8">
        <f>IF(A53="","",SUM(I53:K53))</f>
        <v/>
      </c>
      <c r="M53" s="8" t="n"/>
      <c r="N53" s="8" t="n"/>
      <c r="O53" s="8" t="n"/>
      <c r="P53" s="8">
        <f>IF(A53="","",SUM(M53:O53))</f>
        <v/>
      </c>
      <c r="Q53" s="8" t="n"/>
      <c r="R53" s="8" t="n"/>
      <c r="S53" s="8" t="n"/>
      <c r="T53" s="8">
        <f>IF(A53="","",SUM(Q53:S53))</f>
        <v/>
      </c>
      <c r="U53" s="8">
        <f>IF(A53="","",H53+L53+P53+T53)</f>
        <v/>
      </c>
      <c r="V53" s="8">
        <f>IF(A53="","",IFERROR(VLOOKUP(A53,'F01 - _Données Centrales'!$A$6:$L$20,7,FALSE),0))</f>
        <v/>
      </c>
      <c r="W53" s="8">
        <f>IF(A53="","",V53-U53)</f>
        <v/>
      </c>
    </row>
    <row r="54">
      <c r="A54" s="4" t="n"/>
      <c r="B54" s="4" t="n"/>
      <c r="C54" s="4" t="n"/>
      <c r="D54" s="4" t="n"/>
      <c r="E54" s="5" t="n"/>
      <c r="F54" s="5" t="n"/>
      <c r="G54" s="5" t="n"/>
      <c r="H54" s="5">
        <f>IF(A54="","",SUM(E54:G54))</f>
        <v/>
      </c>
      <c r="I54" s="5" t="n"/>
      <c r="J54" s="5" t="n"/>
      <c r="K54" s="5" t="n"/>
      <c r="L54" s="5">
        <f>IF(A54="","",SUM(I54:K54))</f>
        <v/>
      </c>
      <c r="M54" s="5" t="n"/>
      <c r="N54" s="5" t="n"/>
      <c r="O54" s="5" t="n"/>
      <c r="P54" s="5">
        <f>IF(A54="","",SUM(M54:O54))</f>
        <v/>
      </c>
      <c r="Q54" s="5" t="n"/>
      <c r="R54" s="5" t="n"/>
      <c r="S54" s="5" t="n"/>
      <c r="T54" s="5">
        <f>IF(A54="","",SUM(Q54:S54))</f>
        <v/>
      </c>
      <c r="U54" s="5">
        <f>IF(A54="","",H54+L54+P54+T54)</f>
        <v/>
      </c>
      <c r="V54" s="5">
        <f>IF(A54="","",IFERROR(VLOOKUP(A54,'F01 - _Données Centrales'!$A$6:$L$20,7,FALSE),0))</f>
        <v/>
      </c>
      <c r="W54" s="5">
        <f>IF(A54="","",V54-U54)</f>
        <v/>
      </c>
    </row>
    <row r="55">
      <c r="A55" s="7" t="n"/>
      <c r="B55" s="7" t="n"/>
      <c r="C55" s="7" t="n"/>
      <c r="D55" s="7" t="n"/>
      <c r="E55" s="8" t="n"/>
      <c r="F55" s="8" t="n"/>
      <c r="G55" s="8" t="n"/>
      <c r="H55" s="8">
        <f>IF(A55="","",SUM(E55:G55))</f>
        <v/>
      </c>
      <c r="I55" s="8" t="n"/>
      <c r="J55" s="8" t="n"/>
      <c r="K55" s="8" t="n"/>
      <c r="L55" s="8">
        <f>IF(A55="","",SUM(I55:K55))</f>
        <v/>
      </c>
      <c r="M55" s="8" t="n"/>
      <c r="N55" s="8" t="n"/>
      <c r="O55" s="8" t="n"/>
      <c r="P55" s="8">
        <f>IF(A55="","",SUM(M55:O55))</f>
        <v/>
      </c>
      <c r="Q55" s="8" t="n"/>
      <c r="R55" s="8" t="n"/>
      <c r="S55" s="8" t="n"/>
      <c r="T55" s="8">
        <f>IF(A55="","",SUM(Q55:S55))</f>
        <v/>
      </c>
      <c r="U55" s="8">
        <f>IF(A55="","",H55+L55+P55+T55)</f>
        <v/>
      </c>
      <c r="V55" s="8">
        <f>IF(A55="","",IFERROR(VLOOKUP(A55,'F01 - _Données Centrales'!$A$6:$L$20,7,FALSE),0))</f>
        <v/>
      </c>
      <c r="W55" s="8">
        <f>IF(A55="","",V55-U55)</f>
        <v/>
      </c>
    </row>
    <row r="56">
      <c r="A56" s="4" t="n"/>
      <c r="B56" s="4" t="n"/>
      <c r="C56" s="4" t="n"/>
      <c r="D56" s="4" t="n"/>
      <c r="E56" s="5" t="n"/>
      <c r="F56" s="5" t="n"/>
      <c r="G56" s="5" t="n"/>
      <c r="H56" s="5">
        <f>IF(A56="","",SUM(E56:G56))</f>
        <v/>
      </c>
      <c r="I56" s="5" t="n"/>
      <c r="J56" s="5" t="n"/>
      <c r="K56" s="5" t="n"/>
      <c r="L56" s="5">
        <f>IF(A56="","",SUM(I56:K56))</f>
        <v/>
      </c>
      <c r="M56" s="5" t="n"/>
      <c r="N56" s="5" t="n"/>
      <c r="O56" s="5" t="n"/>
      <c r="P56" s="5">
        <f>IF(A56="","",SUM(M56:O56))</f>
        <v/>
      </c>
      <c r="Q56" s="5" t="n"/>
      <c r="R56" s="5" t="n"/>
      <c r="S56" s="5" t="n"/>
      <c r="T56" s="5">
        <f>IF(A56="","",SUM(Q56:S56))</f>
        <v/>
      </c>
      <c r="U56" s="5">
        <f>IF(A56="","",H56+L56+P56+T56)</f>
        <v/>
      </c>
      <c r="V56" s="5">
        <f>IF(A56="","",IFERROR(VLOOKUP(A56,'F01 - _Données Centrales'!$A$6:$L$20,7,FALSE),0))</f>
        <v/>
      </c>
      <c r="W56" s="5">
        <f>IF(A56="","",V56-U56)</f>
        <v/>
      </c>
    </row>
    <row r="57">
      <c r="A57" s="7" t="n"/>
      <c r="B57" s="7" t="n"/>
      <c r="C57" s="7" t="n"/>
      <c r="D57" s="7" t="n"/>
      <c r="E57" s="8" t="n"/>
      <c r="F57" s="8" t="n"/>
      <c r="G57" s="8" t="n"/>
      <c r="H57" s="8">
        <f>IF(A57="","",SUM(E57:G57))</f>
        <v/>
      </c>
      <c r="I57" s="8" t="n"/>
      <c r="J57" s="8" t="n"/>
      <c r="K57" s="8" t="n"/>
      <c r="L57" s="8">
        <f>IF(A57="","",SUM(I57:K57))</f>
        <v/>
      </c>
      <c r="M57" s="8" t="n"/>
      <c r="N57" s="8" t="n"/>
      <c r="O57" s="8" t="n"/>
      <c r="P57" s="8">
        <f>IF(A57="","",SUM(M57:O57))</f>
        <v/>
      </c>
      <c r="Q57" s="8" t="n"/>
      <c r="R57" s="8" t="n"/>
      <c r="S57" s="8" t="n"/>
      <c r="T57" s="8">
        <f>IF(A57="","",SUM(Q57:S57))</f>
        <v/>
      </c>
      <c r="U57" s="8">
        <f>IF(A57="","",H57+L57+P57+T57)</f>
        <v/>
      </c>
      <c r="V57" s="8">
        <f>IF(A57="","",IFERROR(VLOOKUP(A57,'F01 - _Données Centrales'!$A$6:$L$20,7,FALSE),0))</f>
        <v/>
      </c>
      <c r="W57" s="8">
        <f>IF(A57="","",V57-U57)</f>
        <v/>
      </c>
    </row>
    <row r="58">
      <c r="A58" s="4" t="n"/>
      <c r="B58" s="4" t="n"/>
      <c r="C58" s="4" t="n"/>
      <c r="D58" s="4" t="n"/>
      <c r="E58" s="5" t="n"/>
      <c r="F58" s="5" t="n"/>
      <c r="G58" s="5" t="n"/>
      <c r="H58" s="5">
        <f>IF(A58="","",SUM(E58:G58))</f>
        <v/>
      </c>
      <c r="I58" s="5" t="n"/>
      <c r="J58" s="5" t="n"/>
      <c r="K58" s="5" t="n"/>
      <c r="L58" s="5">
        <f>IF(A58="","",SUM(I58:K58))</f>
        <v/>
      </c>
      <c r="M58" s="5" t="n"/>
      <c r="N58" s="5" t="n"/>
      <c r="O58" s="5" t="n"/>
      <c r="P58" s="5">
        <f>IF(A58="","",SUM(M58:O58))</f>
        <v/>
      </c>
      <c r="Q58" s="5" t="n"/>
      <c r="R58" s="5" t="n"/>
      <c r="S58" s="5" t="n"/>
      <c r="T58" s="5">
        <f>IF(A58="","",SUM(Q58:S58))</f>
        <v/>
      </c>
      <c r="U58" s="5">
        <f>IF(A58="","",H58+L58+P58+T58)</f>
        <v/>
      </c>
      <c r="V58" s="5">
        <f>IF(A58="","",IFERROR(VLOOKUP(A58,'F01 - _Données Centrales'!$A$6:$L$20,7,FALSE),0))</f>
        <v/>
      </c>
      <c r="W58" s="5">
        <f>IF(A58="","",V58-U58)</f>
        <v/>
      </c>
    </row>
    <row r="59">
      <c r="A59" s="7" t="n"/>
      <c r="B59" s="7" t="n"/>
      <c r="C59" s="7" t="n"/>
      <c r="D59" s="7" t="n"/>
      <c r="E59" s="8" t="n"/>
      <c r="F59" s="8" t="n"/>
      <c r="G59" s="8" t="n"/>
      <c r="H59" s="8">
        <f>IF(A59="","",SUM(E59:G59))</f>
        <v/>
      </c>
      <c r="I59" s="8" t="n"/>
      <c r="J59" s="8" t="n"/>
      <c r="K59" s="8" t="n"/>
      <c r="L59" s="8">
        <f>IF(A59="","",SUM(I59:K59))</f>
        <v/>
      </c>
      <c r="M59" s="8" t="n"/>
      <c r="N59" s="8" t="n"/>
      <c r="O59" s="8" t="n"/>
      <c r="P59" s="8">
        <f>IF(A59="","",SUM(M59:O59))</f>
        <v/>
      </c>
      <c r="Q59" s="8" t="n"/>
      <c r="R59" s="8" t="n"/>
      <c r="S59" s="8" t="n"/>
      <c r="T59" s="8">
        <f>IF(A59="","",SUM(Q59:S59))</f>
        <v/>
      </c>
      <c r="U59" s="8">
        <f>IF(A59="","",H59+L59+P59+T59)</f>
        <v/>
      </c>
      <c r="V59" s="8">
        <f>IF(A59="","",IFERROR(VLOOKUP(A59,'F01 - _Données Centrales'!$A$6:$L$20,7,FALSE),0))</f>
        <v/>
      </c>
      <c r="W59" s="8">
        <f>IF(A59="","",V59-U59)</f>
        <v/>
      </c>
    </row>
    <row r="60">
      <c r="A60" s="4" t="n"/>
      <c r="B60" s="4" t="n"/>
      <c r="C60" s="4" t="n"/>
      <c r="D60" s="4" t="n"/>
      <c r="E60" s="5" t="n"/>
      <c r="F60" s="5" t="n"/>
      <c r="G60" s="5" t="n"/>
      <c r="H60" s="5">
        <f>IF(A60="","",SUM(E60:G60))</f>
        <v/>
      </c>
      <c r="I60" s="5" t="n"/>
      <c r="J60" s="5" t="n"/>
      <c r="K60" s="5" t="n"/>
      <c r="L60" s="5">
        <f>IF(A60="","",SUM(I60:K60))</f>
        <v/>
      </c>
      <c r="M60" s="5" t="n"/>
      <c r="N60" s="5" t="n"/>
      <c r="O60" s="5" t="n"/>
      <c r="P60" s="5">
        <f>IF(A60="","",SUM(M60:O60))</f>
        <v/>
      </c>
      <c r="Q60" s="5" t="n"/>
      <c r="R60" s="5" t="n"/>
      <c r="S60" s="5" t="n"/>
      <c r="T60" s="5">
        <f>IF(A60="","",SUM(Q60:S60))</f>
        <v/>
      </c>
      <c r="U60" s="5">
        <f>IF(A60="","",H60+L60+P60+T60)</f>
        <v/>
      </c>
      <c r="V60" s="5">
        <f>IF(A60="","",IFERROR(VLOOKUP(A60,'F01 - _Données Centrales'!$A$6:$L$20,7,FALSE),0))</f>
        <v/>
      </c>
      <c r="W60" s="5">
        <f>IF(A60="","",V60-U60)</f>
        <v/>
      </c>
    </row>
    <row r="61">
      <c r="A61" s="7" t="n"/>
      <c r="B61" s="7" t="n"/>
      <c r="C61" s="7" t="n"/>
      <c r="D61" s="7" t="n"/>
      <c r="E61" s="8" t="n"/>
      <c r="F61" s="8" t="n"/>
      <c r="G61" s="8" t="n"/>
      <c r="H61" s="8">
        <f>IF(A61="","",SUM(E61:G61))</f>
        <v/>
      </c>
      <c r="I61" s="8" t="n"/>
      <c r="J61" s="8" t="n"/>
      <c r="K61" s="8" t="n"/>
      <c r="L61" s="8">
        <f>IF(A61="","",SUM(I61:K61))</f>
        <v/>
      </c>
      <c r="M61" s="8" t="n"/>
      <c r="N61" s="8" t="n"/>
      <c r="O61" s="8" t="n"/>
      <c r="P61" s="8">
        <f>IF(A61="","",SUM(M61:O61))</f>
        <v/>
      </c>
      <c r="Q61" s="8" t="n"/>
      <c r="R61" s="8" t="n"/>
      <c r="S61" s="8" t="n"/>
      <c r="T61" s="8">
        <f>IF(A61="","",SUM(Q61:S61))</f>
        <v/>
      </c>
      <c r="U61" s="8">
        <f>IF(A61="","",H61+L61+P61+T61)</f>
        <v/>
      </c>
      <c r="V61" s="8">
        <f>IF(A61="","",IFERROR(VLOOKUP(A61,'F01 - _Données Centrales'!$A$6:$L$20,7,FALSE),0))</f>
        <v/>
      </c>
      <c r="W61" s="8">
        <f>IF(A61="","",V61-U61)</f>
        <v/>
      </c>
    </row>
    <row r="62">
      <c r="A62" s="4" t="n"/>
      <c r="B62" s="4" t="n"/>
      <c r="C62" s="4" t="n"/>
      <c r="D62" s="4" t="n"/>
      <c r="E62" s="5" t="n"/>
      <c r="F62" s="5" t="n"/>
      <c r="G62" s="5" t="n"/>
      <c r="H62" s="5">
        <f>IF(A62="","",SUM(E62:G62))</f>
        <v/>
      </c>
      <c r="I62" s="5" t="n"/>
      <c r="J62" s="5" t="n"/>
      <c r="K62" s="5" t="n"/>
      <c r="L62" s="5">
        <f>IF(A62="","",SUM(I62:K62))</f>
        <v/>
      </c>
      <c r="M62" s="5" t="n"/>
      <c r="N62" s="5" t="n"/>
      <c r="O62" s="5" t="n"/>
      <c r="P62" s="5">
        <f>IF(A62="","",SUM(M62:O62))</f>
        <v/>
      </c>
      <c r="Q62" s="5" t="n"/>
      <c r="R62" s="5" t="n"/>
      <c r="S62" s="5" t="n"/>
      <c r="T62" s="5">
        <f>IF(A62="","",SUM(Q62:S62))</f>
        <v/>
      </c>
      <c r="U62" s="5">
        <f>IF(A62="","",H62+L62+P62+T62)</f>
        <v/>
      </c>
      <c r="V62" s="5">
        <f>IF(A62="","",IFERROR(VLOOKUP(A62,'F01 - _Données Centrales'!$A$6:$L$20,7,FALSE),0))</f>
        <v/>
      </c>
      <c r="W62" s="5">
        <f>IF(A62="","",V62-U62)</f>
        <v/>
      </c>
    </row>
    <row r="63">
      <c r="A63" s="7" t="n"/>
      <c r="B63" s="7" t="n"/>
      <c r="C63" s="7" t="n"/>
      <c r="D63" s="7" t="n"/>
      <c r="E63" s="8" t="n"/>
      <c r="F63" s="8" t="n"/>
      <c r="G63" s="8" t="n"/>
      <c r="H63" s="8">
        <f>IF(A63="","",SUM(E63:G63))</f>
        <v/>
      </c>
      <c r="I63" s="8" t="n"/>
      <c r="J63" s="8" t="n"/>
      <c r="K63" s="8" t="n"/>
      <c r="L63" s="8">
        <f>IF(A63="","",SUM(I63:K63))</f>
        <v/>
      </c>
      <c r="M63" s="8" t="n"/>
      <c r="N63" s="8" t="n"/>
      <c r="O63" s="8" t="n"/>
      <c r="P63" s="8">
        <f>IF(A63="","",SUM(M63:O63))</f>
        <v/>
      </c>
      <c r="Q63" s="8" t="n"/>
      <c r="R63" s="8" t="n"/>
      <c r="S63" s="8" t="n"/>
      <c r="T63" s="8">
        <f>IF(A63="","",SUM(Q63:S63))</f>
        <v/>
      </c>
      <c r="U63" s="8">
        <f>IF(A63="","",H63+L63+P63+T63)</f>
        <v/>
      </c>
      <c r="V63" s="8">
        <f>IF(A63="","",IFERROR(VLOOKUP(A63,'F01 - _Données Centrales'!$A$6:$L$20,7,FALSE),0))</f>
        <v/>
      </c>
      <c r="W63" s="8">
        <f>IF(A63="","",V63-U63)</f>
        <v/>
      </c>
    </row>
    <row r="64">
      <c r="A64" s="4" t="n"/>
      <c r="B64" s="4" t="n"/>
      <c r="C64" s="4" t="n"/>
      <c r="D64" s="4" t="n"/>
      <c r="E64" s="5" t="n"/>
      <c r="F64" s="5" t="n"/>
      <c r="G64" s="5" t="n"/>
      <c r="H64" s="5">
        <f>IF(A64="","",SUM(E64:G64))</f>
        <v/>
      </c>
      <c r="I64" s="5" t="n"/>
      <c r="J64" s="5" t="n"/>
      <c r="K64" s="5" t="n"/>
      <c r="L64" s="5">
        <f>IF(A64="","",SUM(I64:K64))</f>
        <v/>
      </c>
      <c r="M64" s="5" t="n"/>
      <c r="N64" s="5" t="n"/>
      <c r="O64" s="5" t="n"/>
      <c r="P64" s="5">
        <f>IF(A64="","",SUM(M64:O64))</f>
        <v/>
      </c>
      <c r="Q64" s="5" t="n"/>
      <c r="R64" s="5" t="n"/>
      <c r="S64" s="5" t="n"/>
      <c r="T64" s="5">
        <f>IF(A64="","",SUM(Q64:S64))</f>
        <v/>
      </c>
      <c r="U64" s="5">
        <f>IF(A64="","",H64+L64+P64+T64)</f>
        <v/>
      </c>
      <c r="V64" s="5">
        <f>IF(A64="","",IFERROR(VLOOKUP(A64,'F01 - _Données Centrales'!$A$6:$L$20,7,FALSE),0))</f>
        <v/>
      </c>
      <c r="W64" s="5">
        <f>IF(A64="","",V64-U64)</f>
        <v/>
      </c>
    </row>
    <row r="65">
      <c r="A65" s="7" t="n"/>
      <c r="B65" s="7" t="n"/>
      <c r="C65" s="7" t="n"/>
      <c r="D65" s="7" t="n"/>
      <c r="E65" s="8" t="n"/>
      <c r="F65" s="8" t="n"/>
      <c r="G65" s="8" t="n"/>
      <c r="H65" s="8">
        <f>IF(A65="","",SUM(E65:G65))</f>
        <v/>
      </c>
      <c r="I65" s="8" t="n"/>
      <c r="J65" s="8" t="n"/>
      <c r="K65" s="8" t="n"/>
      <c r="L65" s="8">
        <f>IF(A65="","",SUM(I65:K65))</f>
        <v/>
      </c>
      <c r="M65" s="8" t="n"/>
      <c r="N65" s="8" t="n"/>
      <c r="O65" s="8" t="n"/>
      <c r="P65" s="8">
        <f>IF(A65="","",SUM(M65:O65))</f>
        <v/>
      </c>
      <c r="Q65" s="8" t="n"/>
      <c r="R65" s="8" t="n"/>
      <c r="S65" s="8" t="n"/>
      <c r="T65" s="8">
        <f>IF(A65="","",SUM(Q65:S65))</f>
        <v/>
      </c>
      <c r="U65" s="8">
        <f>IF(A65="","",H65+L65+P65+T65)</f>
        <v/>
      </c>
      <c r="V65" s="8">
        <f>IF(A65="","",IFERROR(VLOOKUP(A65,'F01 - _Données Centrales'!$A$6:$L$20,7,FALSE),0))</f>
        <v/>
      </c>
      <c r="W65" s="8">
        <f>IF(A65="","",V65-U65)</f>
        <v/>
      </c>
    </row>
    <row r="66">
      <c r="A66" s="4" t="n"/>
      <c r="B66" s="4" t="n"/>
      <c r="C66" s="4" t="n"/>
      <c r="D66" s="4" t="n"/>
      <c r="E66" s="5" t="n"/>
      <c r="F66" s="5" t="n"/>
      <c r="G66" s="5" t="n"/>
      <c r="H66" s="5">
        <f>IF(A66="","",SUM(E66:G66))</f>
        <v/>
      </c>
      <c r="I66" s="5" t="n"/>
      <c r="J66" s="5" t="n"/>
      <c r="K66" s="5" t="n"/>
      <c r="L66" s="5">
        <f>IF(A66="","",SUM(I66:K66))</f>
        <v/>
      </c>
      <c r="M66" s="5" t="n"/>
      <c r="N66" s="5" t="n"/>
      <c r="O66" s="5" t="n"/>
      <c r="P66" s="5">
        <f>IF(A66="","",SUM(M66:O66))</f>
        <v/>
      </c>
      <c r="Q66" s="5" t="n"/>
      <c r="R66" s="5" t="n"/>
      <c r="S66" s="5" t="n"/>
      <c r="T66" s="5">
        <f>IF(A66="","",SUM(Q66:S66))</f>
        <v/>
      </c>
      <c r="U66" s="5">
        <f>IF(A66="","",H66+L66+P66+T66)</f>
        <v/>
      </c>
      <c r="V66" s="5">
        <f>IF(A66="","",IFERROR(VLOOKUP(A66,'F01 - _Données Centrales'!$A$6:$L$20,7,FALSE),0))</f>
        <v/>
      </c>
      <c r="W66" s="5">
        <f>IF(A66="","",V66-U66)</f>
        <v/>
      </c>
    </row>
    <row r="67">
      <c r="A67" s="7" t="n"/>
      <c r="B67" s="7" t="n"/>
      <c r="C67" s="7" t="n"/>
      <c r="D67" s="7" t="n"/>
      <c r="E67" s="8" t="n"/>
      <c r="F67" s="8" t="n"/>
      <c r="G67" s="8" t="n"/>
      <c r="H67" s="8">
        <f>IF(A67="","",SUM(E67:G67))</f>
        <v/>
      </c>
      <c r="I67" s="8" t="n"/>
      <c r="J67" s="8" t="n"/>
      <c r="K67" s="8" t="n"/>
      <c r="L67" s="8">
        <f>IF(A67="","",SUM(I67:K67))</f>
        <v/>
      </c>
      <c r="M67" s="8" t="n"/>
      <c r="N67" s="8" t="n"/>
      <c r="O67" s="8" t="n"/>
      <c r="P67" s="8">
        <f>IF(A67="","",SUM(M67:O67))</f>
        <v/>
      </c>
      <c r="Q67" s="8" t="n"/>
      <c r="R67" s="8" t="n"/>
      <c r="S67" s="8" t="n"/>
      <c r="T67" s="8">
        <f>IF(A67="","",SUM(Q67:S67))</f>
        <v/>
      </c>
      <c r="U67" s="8">
        <f>IF(A67="","",H67+L67+P67+T67)</f>
        <v/>
      </c>
      <c r="V67" s="8">
        <f>IF(A67="","",IFERROR(VLOOKUP(A67,'F01 - _Données Centrales'!$A$6:$L$20,7,FALSE),0))</f>
        <v/>
      </c>
      <c r="W67" s="8">
        <f>IF(A67="","",V67-U67)</f>
        <v/>
      </c>
    </row>
    <row r="68">
      <c r="A68" s="4" t="n"/>
      <c r="B68" s="4" t="n"/>
      <c r="C68" s="4" t="n"/>
      <c r="D68" s="4" t="n"/>
      <c r="E68" s="5" t="n"/>
      <c r="F68" s="5" t="n"/>
      <c r="G68" s="5" t="n"/>
      <c r="H68" s="5">
        <f>IF(A68="","",SUM(E68:G68))</f>
        <v/>
      </c>
      <c r="I68" s="5" t="n"/>
      <c r="J68" s="5" t="n"/>
      <c r="K68" s="5" t="n"/>
      <c r="L68" s="5">
        <f>IF(A68="","",SUM(I68:K68))</f>
        <v/>
      </c>
      <c r="M68" s="5" t="n"/>
      <c r="N68" s="5" t="n"/>
      <c r="O68" s="5" t="n"/>
      <c r="P68" s="5">
        <f>IF(A68="","",SUM(M68:O68))</f>
        <v/>
      </c>
      <c r="Q68" s="5" t="n"/>
      <c r="R68" s="5" t="n"/>
      <c r="S68" s="5" t="n"/>
      <c r="T68" s="5">
        <f>IF(A68="","",SUM(Q68:S68))</f>
        <v/>
      </c>
      <c r="U68" s="5">
        <f>IF(A68="","",H68+L68+P68+T68)</f>
        <v/>
      </c>
      <c r="V68" s="5">
        <f>IF(A68="","",IFERROR(VLOOKUP(A68,'F01 - _Données Centrales'!$A$6:$L$20,7,FALSE),0))</f>
        <v/>
      </c>
      <c r="W68" s="5">
        <f>IF(A68="","",V68-U68)</f>
        <v/>
      </c>
    </row>
    <row r="69">
      <c r="A69" s="7" t="n"/>
      <c r="B69" s="7" t="n"/>
      <c r="C69" s="7" t="n"/>
      <c r="D69" s="7" t="n"/>
      <c r="E69" s="8" t="n"/>
      <c r="F69" s="8" t="n"/>
      <c r="G69" s="8" t="n"/>
      <c r="H69" s="8">
        <f>IF(A69="","",SUM(E69:G69))</f>
        <v/>
      </c>
      <c r="I69" s="8" t="n"/>
      <c r="J69" s="8" t="n"/>
      <c r="K69" s="8" t="n"/>
      <c r="L69" s="8">
        <f>IF(A69="","",SUM(I69:K69))</f>
        <v/>
      </c>
      <c r="M69" s="8" t="n"/>
      <c r="N69" s="8" t="n"/>
      <c r="O69" s="8" t="n"/>
      <c r="P69" s="8">
        <f>IF(A69="","",SUM(M69:O69))</f>
        <v/>
      </c>
      <c r="Q69" s="8" t="n"/>
      <c r="R69" s="8" t="n"/>
      <c r="S69" s="8" t="n"/>
      <c r="T69" s="8">
        <f>IF(A69="","",SUM(Q69:S69))</f>
        <v/>
      </c>
      <c r="U69" s="8">
        <f>IF(A69="","",H69+L69+P69+T69)</f>
        <v/>
      </c>
      <c r="V69" s="8">
        <f>IF(A69="","",IFERROR(VLOOKUP(A69,'F01 - _Données Centrales'!$A$6:$L$20,7,FALSE),0))</f>
        <v/>
      </c>
      <c r="W69" s="8">
        <f>IF(A69="","",V69-U69)</f>
        <v/>
      </c>
    </row>
    <row r="70">
      <c r="A70" s="4" t="n"/>
      <c r="B70" s="4" t="n"/>
      <c r="C70" s="4" t="n"/>
      <c r="D70" s="4" t="n"/>
      <c r="E70" s="5" t="n"/>
      <c r="F70" s="5" t="n"/>
      <c r="G70" s="5" t="n"/>
      <c r="H70" s="5">
        <f>IF(A70="","",SUM(E70:G70))</f>
        <v/>
      </c>
      <c r="I70" s="5" t="n"/>
      <c r="J70" s="5" t="n"/>
      <c r="K70" s="5" t="n"/>
      <c r="L70" s="5">
        <f>IF(A70="","",SUM(I70:K70))</f>
        <v/>
      </c>
      <c r="M70" s="5" t="n"/>
      <c r="N70" s="5" t="n"/>
      <c r="O70" s="5" t="n"/>
      <c r="P70" s="5">
        <f>IF(A70="","",SUM(M70:O70))</f>
        <v/>
      </c>
      <c r="Q70" s="5" t="n"/>
      <c r="R70" s="5" t="n"/>
      <c r="S70" s="5" t="n"/>
      <c r="T70" s="5">
        <f>IF(A70="","",SUM(Q70:S70))</f>
        <v/>
      </c>
      <c r="U70" s="5">
        <f>IF(A70="","",H70+L70+P70+T70)</f>
        <v/>
      </c>
      <c r="V70" s="5">
        <f>IF(A70="","",IFERROR(VLOOKUP(A70,'F01 - _Données Centrales'!$A$6:$L$20,7,FALSE),0))</f>
        <v/>
      </c>
      <c r="W70" s="5">
        <f>IF(A70="","",V70-U70)</f>
        <v/>
      </c>
    </row>
    <row r="71">
      <c r="A71" s="7" t="n"/>
      <c r="B71" s="7" t="n"/>
      <c r="C71" s="7" t="n"/>
      <c r="D71" s="7" t="n"/>
      <c r="E71" s="8" t="n"/>
      <c r="F71" s="8" t="n"/>
      <c r="G71" s="8" t="n"/>
      <c r="H71" s="8">
        <f>IF(A71="","",SUM(E71:G71))</f>
        <v/>
      </c>
      <c r="I71" s="8" t="n"/>
      <c r="J71" s="8" t="n"/>
      <c r="K71" s="8" t="n"/>
      <c r="L71" s="8">
        <f>IF(A71="","",SUM(I71:K71))</f>
        <v/>
      </c>
      <c r="M71" s="8" t="n"/>
      <c r="N71" s="8" t="n"/>
      <c r="O71" s="8" t="n"/>
      <c r="P71" s="8">
        <f>IF(A71="","",SUM(M71:O71))</f>
        <v/>
      </c>
      <c r="Q71" s="8" t="n"/>
      <c r="R71" s="8" t="n"/>
      <c r="S71" s="8" t="n"/>
      <c r="T71" s="8">
        <f>IF(A71="","",SUM(Q71:S71))</f>
        <v/>
      </c>
      <c r="U71" s="8">
        <f>IF(A71="","",H71+L71+P71+T71)</f>
        <v/>
      </c>
      <c r="V71" s="8">
        <f>IF(A71="","",IFERROR(VLOOKUP(A71,'F01 - _Données Centrales'!$A$6:$L$20,7,FALSE),0))</f>
        <v/>
      </c>
      <c r="W71" s="8">
        <f>IF(A71="","",V71-U71)</f>
        <v/>
      </c>
    </row>
    <row r="72">
      <c r="A72" s="4" t="n"/>
      <c r="B72" s="4" t="n"/>
      <c r="C72" s="4" t="n"/>
      <c r="D72" s="4" t="n"/>
      <c r="E72" s="5" t="n"/>
      <c r="F72" s="5" t="n"/>
      <c r="G72" s="5" t="n"/>
      <c r="H72" s="5">
        <f>IF(A72="","",SUM(E72:G72))</f>
        <v/>
      </c>
      <c r="I72" s="5" t="n"/>
      <c r="J72" s="5" t="n"/>
      <c r="K72" s="5" t="n"/>
      <c r="L72" s="5">
        <f>IF(A72="","",SUM(I72:K72))</f>
        <v/>
      </c>
      <c r="M72" s="5" t="n"/>
      <c r="N72" s="5" t="n"/>
      <c r="O72" s="5" t="n"/>
      <c r="P72" s="5">
        <f>IF(A72="","",SUM(M72:O72))</f>
        <v/>
      </c>
      <c r="Q72" s="5" t="n"/>
      <c r="R72" s="5" t="n"/>
      <c r="S72" s="5" t="n"/>
      <c r="T72" s="5">
        <f>IF(A72="","",SUM(Q72:S72))</f>
        <v/>
      </c>
      <c r="U72" s="5">
        <f>IF(A72="","",H72+L72+P72+T72)</f>
        <v/>
      </c>
      <c r="V72" s="5">
        <f>IF(A72="","",IFERROR(VLOOKUP(A72,'F01 - _Données Centrales'!$A$6:$L$20,7,FALSE),0))</f>
        <v/>
      </c>
      <c r="W72" s="5">
        <f>IF(A72="","",V72-U72)</f>
        <v/>
      </c>
    </row>
    <row r="73">
      <c r="A73" s="7" t="n"/>
      <c r="B73" s="7" t="n"/>
      <c r="C73" s="7" t="n"/>
      <c r="D73" s="7" t="n"/>
      <c r="E73" s="8" t="n"/>
      <c r="F73" s="8" t="n"/>
      <c r="G73" s="8" t="n"/>
      <c r="H73" s="8">
        <f>IF(A73="","",SUM(E73:G73))</f>
        <v/>
      </c>
      <c r="I73" s="8" t="n"/>
      <c r="J73" s="8" t="n"/>
      <c r="K73" s="8" t="n"/>
      <c r="L73" s="8">
        <f>IF(A73="","",SUM(I73:K73))</f>
        <v/>
      </c>
      <c r="M73" s="8" t="n"/>
      <c r="N73" s="8" t="n"/>
      <c r="O73" s="8" t="n"/>
      <c r="P73" s="8">
        <f>IF(A73="","",SUM(M73:O73))</f>
        <v/>
      </c>
      <c r="Q73" s="8" t="n"/>
      <c r="R73" s="8" t="n"/>
      <c r="S73" s="8" t="n"/>
      <c r="T73" s="8">
        <f>IF(A73="","",SUM(Q73:S73))</f>
        <v/>
      </c>
      <c r="U73" s="8">
        <f>IF(A73="","",H73+L73+P73+T73)</f>
        <v/>
      </c>
      <c r="V73" s="8">
        <f>IF(A73="","",IFERROR(VLOOKUP(A73,'F01 - _Données Centrales'!$A$6:$L$20,7,FALSE),0))</f>
        <v/>
      </c>
      <c r="W73" s="8">
        <f>IF(A73="","",V73-U73)</f>
        <v/>
      </c>
    </row>
    <row r="74">
      <c r="A74" s="4" t="n"/>
      <c r="B74" s="4" t="n"/>
      <c r="C74" s="4" t="n"/>
      <c r="D74" s="4" t="n"/>
      <c r="E74" s="5" t="n"/>
      <c r="F74" s="5" t="n"/>
      <c r="G74" s="5" t="n"/>
      <c r="H74" s="5">
        <f>IF(A74="","",SUM(E74:G74))</f>
        <v/>
      </c>
      <c r="I74" s="5" t="n"/>
      <c r="J74" s="5" t="n"/>
      <c r="K74" s="5" t="n"/>
      <c r="L74" s="5">
        <f>IF(A74="","",SUM(I74:K74))</f>
        <v/>
      </c>
      <c r="M74" s="5" t="n"/>
      <c r="N74" s="5" t="n"/>
      <c r="O74" s="5" t="n"/>
      <c r="P74" s="5">
        <f>IF(A74="","",SUM(M74:O74))</f>
        <v/>
      </c>
      <c r="Q74" s="5" t="n"/>
      <c r="R74" s="5" t="n"/>
      <c r="S74" s="5" t="n"/>
      <c r="T74" s="5">
        <f>IF(A74="","",SUM(Q74:S74))</f>
        <v/>
      </c>
      <c r="U74" s="5">
        <f>IF(A74="","",H74+L74+P74+T74)</f>
        <v/>
      </c>
      <c r="V74" s="5">
        <f>IF(A74="","",IFERROR(VLOOKUP(A74,'F01 - _Données Centrales'!$A$6:$L$20,7,FALSE),0))</f>
        <v/>
      </c>
      <c r="W74" s="5">
        <f>IF(A74="","",V74-U74)</f>
        <v/>
      </c>
    </row>
    <row r="75">
      <c r="A75" s="7" t="n"/>
      <c r="B75" s="7" t="n"/>
      <c r="C75" s="7" t="n"/>
      <c r="D75" s="7" t="n"/>
      <c r="E75" s="8" t="n"/>
      <c r="F75" s="8" t="n"/>
      <c r="G75" s="8" t="n"/>
      <c r="H75" s="8">
        <f>IF(A75="","",SUM(E75:G75))</f>
        <v/>
      </c>
      <c r="I75" s="8" t="n"/>
      <c r="J75" s="8" t="n"/>
      <c r="K75" s="8" t="n"/>
      <c r="L75" s="8">
        <f>IF(A75="","",SUM(I75:K75))</f>
        <v/>
      </c>
      <c r="M75" s="8" t="n"/>
      <c r="N75" s="8" t="n"/>
      <c r="O75" s="8" t="n"/>
      <c r="P75" s="8">
        <f>IF(A75="","",SUM(M75:O75))</f>
        <v/>
      </c>
      <c r="Q75" s="8" t="n"/>
      <c r="R75" s="8" t="n"/>
      <c r="S75" s="8" t="n"/>
      <c r="T75" s="8">
        <f>IF(A75="","",SUM(Q75:S75))</f>
        <v/>
      </c>
      <c r="U75" s="8">
        <f>IF(A75="","",H75+L75+P75+T75)</f>
        <v/>
      </c>
      <c r="V75" s="8">
        <f>IF(A75="","",IFERROR(VLOOKUP(A75,'F01 - _Données Centrales'!$A$6:$L$20,7,FALSE),0))</f>
        <v/>
      </c>
      <c r="W75" s="8">
        <f>IF(A75="","",V75-U75)</f>
        <v/>
      </c>
    </row>
    <row r="76">
      <c r="A76" s="4" t="n"/>
      <c r="B76" s="4" t="n"/>
      <c r="C76" s="4" t="n"/>
      <c r="D76" s="4" t="n"/>
      <c r="E76" s="5" t="n"/>
      <c r="F76" s="5" t="n"/>
      <c r="G76" s="5" t="n"/>
      <c r="H76" s="5">
        <f>IF(A76="","",SUM(E76:G76))</f>
        <v/>
      </c>
      <c r="I76" s="5" t="n"/>
      <c r="J76" s="5" t="n"/>
      <c r="K76" s="5" t="n"/>
      <c r="L76" s="5">
        <f>IF(A76="","",SUM(I76:K76))</f>
        <v/>
      </c>
      <c r="M76" s="5" t="n"/>
      <c r="N76" s="5" t="n"/>
      <c r="O76" s="5" t="n"/>
      <c r="P76" s="5">
        <f>IF(A76="","",SUM(M76:O76))</f>
        <v/>
      </c>
      <c r="Q76" s="5" t="n"/>
      <c r="R76" s="5" t="n"/>
      <c r="S76" s="5" t="n"/>
      <c r="T76" s="5">
        <f>IF(A76="","",SUM(Q76:S76))</f>
        <v/>
      </c>
      <c r="U76" s="5">
        <f>IF(A76="","",H76+L76+P76+T76)</f>
        <v/>
      </c>
      <c r="V76" s="5">
        <f>IF(A76="","",IFERROR(VLOOKUP(A76,'F01 - _Données Centrales'!$A$6:$L$20,7,FALSE),0))</f>
        <v/>
      </c>
      <c r="W76" s="5">
        <f>IF(A76="","",V76-U76)</f>
        <v/>
      </c>
    </row>
    <row r="77">
      <c r="A77" s="7" t="n"/>
      <c r="B77" s="7" t="n"/>
      <c r="C77" s="7" t="n"/>
      <c r="D77" s="7" t="n"/>
      <c r="E77" s="8" t="n"/>
      <c r="F77" s="8" t="n"/>
      <c r="G77" s="8" t="n"/>
      <c r="H77" s="8">
        <f>IF(A77="","",SUM(E77:G77))</f>
        <v/>
      </c>
      <c r="I77" s="8" t="n"/>
      <c r="J77" s="8" t="n"/>
      <c r="K77" s="8" t="n"/>
      <c r="L77" s="8">
        <f>IF(A77="","",SUM(I77:K77))</f>
        <v/>
      </c>
      <c r="M77" s="8" t="n"/>
      <c r="N77" s="8" t="n"/>
      <c r="O77" s="8" t="n"/>
      <c r="P77" s="8">
        <f>IF(A77="","",SUM(M77:O77))</f>
        <v/>
      </c>
      <c r="Q77" s="8" t="n"/>
      <c r="R77" s="8" t="n"/>
      <c r="S77" s="8" t="n"/>
      <c r="T77" s="8">
        <f>IF(A77="","",SUM(Q77:S77))</f>
        <v/>
      </c>
      <c r="U77" s="8">
        <f>IF(A77="","",H77+L77+P77+T77)</f>
        <v/>
      </c>
      <c r="V77" s="8">
        <f>IF(A77="","",IFERROR(VLOOKUP(A77,'F01 - _Données Centrales'!$A$6:$L$20,7,FALSE),0))</f>
        <v/>
      </c>
      <c r="W77" s="8">
        <f>IF(A77="","",V77-U77)</f>
        <v/>
      </c>
    </row>
    <row r="78">
      <c r="A78" s="4" t="n"/>
      <c r="B78" s="4" t="n"/>
      <c r="C78" s="4" t="n"/>
      <c r="D78" s="4" t="n"/>
      <c r="E78" s="5" t="n"/>
      <c r="F78" s="5" t="n"/>
      <c r="G78" s="5" t="n"/>
      <c r="H78" s="5">
        <f>IF(A78="","",SUM(E78:G78))</f>
        <v/>
      </c>
      <c r="I78" s="5" t="n"/>
      <c r="J78" s="5" t="n"/>
      <c r="K78" s="5" t="n"/>
      <c r="L78" s="5">
        <f>IF(A78="","",SUM(I78:K78))</f>
        <v/>
      </c>
      <c r="M78" s="5" t="n"/>
      <c r="N78" s="5" t="n"/>
      <c r="O78" s="5" t="n"/>
      <c r="P78" s="5">
        <f>IF(A78="","",SUM(M78:O78))</f>
        <v/>
      </c>
      <c r="Q78" s="5" t="n"/>
      <c r="R78" s="5" t="n"/>
      <c r="S78" s="5" t="n"/>
      <c r="T78" s="5">
        <f>IF(A78="","",SUM(Q78:S78))</f>
        <v/>
      </c>
      <c r="U78" s="5">
        <f>IF(A78="","",H78+L78+P78+T78)</f>
        <v/>
      </c>
      <c r="V78" s="5">
        <f>IF(A78="","",IFERROR(VLOOKUP(A78,'F01 - _Données Centrales'!$A$6:$L$20,7,FALSE),0))</f>
        <v/>
      </c>
      <c r="W78" s="5">
        <f>IF(A78="","",V78-U78)</f>
        <v/>
      </c>
    </row>
    <row r="79">
      <c r="A79" s="7" t="n"/>
      <c r="B79" s="7" t="n"/>
      <c r="C79" s="7" t="n"/>
      <c r="D79" s="7" t="n"/>
      <c r="E79" s="8" t="n"/>
      <c r="F79" s="8" t="n"/>
      <c r="G79" s="8" t="n"/>
      <c r="H79" s="8">
        <f>IF(A79="","",SUM(E79:G79))</f>
        <v/>
      </c>
      <c r="I79" s="8" t="n"/>
      <c r="J79" s="8" t="n"/>
      <c r="K79" s="8" t="n"/>
      <c r="L79" s="8">
        <f>IF(A79="","",SUM(I79:K79))</f>
        <v/>
      </c>
      <c r="M79" s="8" t="n"/>
      <c r="N79" s="8" t="n"/>
      <c r="O79" s="8" t="n"/>
      <c r="P79" s="8">
        <f>IF(A79="","",SUM(M79:O79))</f>
        <v/>
      </c>
      <c r="Q79" s="8" t="n"/>
      <c r="R79" s="8" t="n"/>
      <c r="S79" s="8" t="n"/>
      <c r="T79" s="8">
        <f>IF(A79="","",SUM(Q79:S79))</f>
        <v/>
      </c>
      <c r="U79" s="8">
        <f>IF(A79="","",H79+L79+P79+T79)</f>
        <v/>
      </c>
      <c r="V79" s="8">
        <f>IF(A79="","",IFERROR(VLOOKUP(A79,'F01 - _Données Centrales'!$A$6:$L$20,7,FALSE),0))</f>
        <v/>
      </c>
      <c r="W79" s="8">
        <f>IF(A79="","",V79-U79)</f>
        <v/>
      </c>
    </row>
    <row r="80">
      <c r="A80" s="4" t="n"/>
      <c r="B80" s="4" t="n"/>
      <c r="C80" s="4" t="n"/>
      <c r="D80" s="4" t="n"/>
      <c r="E80" s="5" t="n"/>
      <c r="F80" s="5" t="n"/>
      <c r="G80" s="5" t="n"/>
      <c r="H80" s="5">
        <f>IF(A80="","",SUM(E80:G80))</f>
        <v/>
      </c>
      <c r="I80" s="5" t="n"/>
      <c r="J80" s="5" t="n"/>
      <c r="K80" s="5" t="n"/>
      <c r="L80" s="5">
        <f>IF(A80="","",SUM(I80:K80))</f>
        <v/>
      </c>
      <c r="M80" s="5" t="n"/>
      <c r="N80" s="5" t="n"/>
      <c r="O80" s="5" t="n"/>
      <c r="P80" s="5">
        <f>IF(A80="","",SUM(M80:O80))</f>
        <v/>
      </c>
      <c r="Q80" s="5" t="n"/>
      <c r="R80" s="5" t="n"/>
      <c r="S80" s="5" t="n"/>
      <c r="T80" s="5">
        <f>IF(A80="","",SUM(Q80:S80))</f>
        <v/>
      </c>
      <c r="U80" s="5">
        <f>IF(A80="","",H80+L80+P80+T80)</f>
        <v/>
      </c>
      <c r="V80" s="5">
        <f>IF(A80="","",IFERROR(VLOOKUP(A80,'F01 - _Données Centrales'!$A$6:$L$20,7,FALSE),0))</f>
        <v/>
      </c>
      <c r="W80" s="5">
        <f>IF(A80="","",V80-U80)</f>
        <v/>
      </c>
    </row>
    <row r="81">
      <c r="A81" s="7" t="n"/>
      <c r="B81" s="7" t="n"/>
      <c r="C81" s="7" t="n"/>
      <c r="D81" s="7" t="n"/>
      <c r="E81" s="8" t="n"/>
      <c r="F81" s="8" t="n"/>
      <c r="G81" s="8" t="n"/>
      <c r="H81" s="8">
        <f>IF(A81="","",SUM(E81:G81))</f>
        <v/>
      </c>
      <c r="I81" s="8" t="n"/>
      <c r="J81" s="8" t="n"/>
      <c r="K81" s="8" t="n"/>
      <c r="L81" s="8">
        <f>IF(A81="","",SUM(I81:K81))</f>
        <v/>
      </c>
      <c r="M81" s="8" t="n"/>
      <c r="N81" s="8" t="n"/>
      <c r="O81" s="8" t="n"/>
      <c r="P81" s="8">
        <f>IF(A81="","",SUM(M81:O81))</f>
        <v/>
      </c>
      <c r="Q81" s="8" t="n"/>
      <c r="R81" s="8" t="n"/>
      <c r="S81" s="8" t="n"/>
      <c r="T81" s="8">
        <f>IF(A81="","",SUM(Q81:S81))</f>
        <v/>
      </c>
      <c r="U81" s="8">
        <f>IF(A81="","",H81+L81+P81+T81)</f>
        <v/>
      </c>
      <c r="V81" s="8">
        <f>IF(A81="","",IFERROR(VLOOKUP(A81,'F01 - _Données Centrales'!$A$6:$L$20,7,FALSE),0))</f>
        <v/>
      </c>
      <c r="W81" s="8">
        <f>IF(A81="","",V81-U81)</f>
        <v/>
      </c>
    </row>
    <row r="82">
      <c r="A82" s="4" t="n"/>
      <c r="B82" s="4" t="n"/>
      <c r="C82" s="4" t="n"/>
      <c r="D82" s="4" t="n"/>
      <c r="E82" s="5" t="n"/>
      <c r="F82" s="5" t="n"/>
      <c r="G82" s="5" t="n"/>
      <c r="H82" s="5">
        <f>IF(A82="","",SUM(E82:G82))</f>
        <v/>
      </c>
      <c r="I82" s="5" t="n"/>
      <c r="J82" s="5" t="n"/>
      <c r="K82" s="5" t="n"/>
      <c r="L82" s="5">
        <f>IF(A82="","",SUM(I82:K82))</f>
        <v/>
      </c>
      <c r="M82" s="5" t="n"/>
      <c r="N82" s="5" t="n"/>
      <c r="O82" s="5" t="n"/>
      <c r="P82" s="5">
        <f>IF(A82="","",SUM(M82:O82))</f>
        <v/>
      </c>
      <c r="Q82" s="5" t="n"/>
      <c r="R82" s="5" t="n"/>
      <c r="S82" s="5" t="n"/>
      <c r="T82" s="5">
        <f>IF(A82="","",SUM(Q82:S82))</f>
        <v/>
      </c>
      <c r="U82" s="5">
        <f>IF(A82="","",H82+L82+P82+T82)</f>
        <v/>
      </c>
      <c r="V82" s="5">
        <f>IF(A82="","",IFERROR(VLOOKUP(A82,'F01 - _Données Centrales'!$A$6:$L$20,7,FALSE),0))</f>
        <v/>
      </c>
      <c r="W82" s="5">
        <f>IF(A82="","",V82-U82)</f>
        <v/>
      </c>
    </row>
    <row r="83">
      <c r="A83" s="7" t="n"/>
      <c r="B83" s="7" t="n"/>
      <c r="C83" s="7" t="n"/>
      <c r="D83" s="7" t="n"/>
      <c r="E83" s="8" t="n"/>
      <c r="F83" s="8" t="n"/>
      <c r="G83" s="8" t="n"/>
      <c r="H83" s="8">
        <f>IF(A83="","",SUM(E83:G83))</f>
        <v/>
      </c>
      <c r="I83" s="8" t="n"/>
      <c r="J83" s="8" t="n"/>
      <c r="K83" s="8" t="n"/>
      <c r="L83" s="8">
        <f>IF(A83="","",SUM(I83:K83))</f>
        <v/>
      </c>
      <c r="M83" s="8" t="n"/>
      <c r="N83" s="8" t="n"/>
      <c r="O83" s="8" t="n"/>
      <c r="P83" s="8">
        <f>IF(A83="","",SUM(M83:O83))</f>
        <v/>
      </c>
      <c r="Q83" s="8" t="n"/>
      <c r="R83" s="8" t="n"/>
      <c r="S83" s="8" t="n"/>
      <c r="T83" s="8">
        <f>IF(A83="","",SUM(Q83:S83))</f>
        <v/>
      </c>
      <c r="U83" s="8">
        <f>IF(A83="","",H83+L83+P83+T83)</f>
        <v/>
      </c>
      <c r="V83" s="8">
        <f>IF(A83="","",IFERROR(VLOOKUP(A83,'F01 - _Données Centrales'!$A$6:$L$20,7,FALSE),0))</f>
        <v/>
      </c>
      <c r="W83" s="8">
        <f>IF(A83="","",V83-U83)</f>
        <v/>
      </c>
    </row>
    <row r="84">
      <c r="A84" s="4" t="n"/>
      <c r="B84" s="4" t="n"/>
      <c r="C84" s="4" t="n"/>
      <c r="D84" s="4" t="n"/>
      <c r="E84" s="5" t="n"/>
      <c r="F84" s="5" t="n"/>
      <c r="G84" s="5" t="n"/>
      <c r="H84" s="5">
        <f>IF(A84="","",SUM(E84:G84))</f>
        <v/>
      </c>
      <c r="I84" s="5" t="n"/>
      <c r="J84" s="5" t="n"/>
      <c r="K84" s="5" t="n"/>
      <c r="L84" s="5">
        <f>IF(A84="","",SUM(I84:K84))</f>
        <v/>
      </c>
      <c r="M84" s="5" t="n"/>
      <c r="N84" s="5" t="n"/>
      <c r="O84" s="5" t="n"/>
      <c r="P84" s="5">
        <f>IF(A84="","",SUM(M84:O84))</f>
        <v/>
      </c>
      <c r="Q84" s="5" t="n"/>
      <c r="R84" s="5" t="n"/>
      <c r="S84" s="5" t="n"/>
      <c r="T84" s="5">
        <f>IF(A84="","",SUM(Q84:S84))</f>
        <v/>
      </c>
      <c r="U84" s="5">
        <f>IF(A84="","",H84+L84+P84+T84)</f>
        <v/>
      </c>
      <c r="V84" s="5">
        <f>IF(A84="","",IFERROR(VLOOKUP(A84,'F01 - _Données Centrales'!$A$6:$L$20,7,FALSE),0))</f>
        <v/>
      </c>
      <c r="W84" s="5">
        <f>IF(A84="","",V84-U84)</f>
        <v/>
      </c>
    </row>
    <row r="85">
      <c r="A85" s="7" t="n"/>
      <c r="B85" s="7" t="n"/>
      <c r="C85" s="7" t="n"/>
      <c r="D85" s="7" t="n"/>
      <c r="E85" s="8" t="n"/>
      <c r="F85" s="8" t="n"/>
      <c r="G85" s="8" t="n"/>
      <c r="H85" s="8">
        <f>IF(A85="","",SUM(E85:G85))</f>
        <v/>
      </c>
      <c r="I85" s="8" t="n"/>
      <c r="J85" s="8" t="n"/>
      <c r="K85" s="8" t="n"/>
      <c r="L85" s="8">
        <f>IF(A85="","",SUM(I85:K85))</f>
        <v/>
      </c>
      <c r="M85" s="8" t="n"/>
      <c r="N85" s="8" t="n"/>
      <c r="O85" s="8" t="n"/>
      <c r="P85" s="8">
        <f>IF(A85="","",SUM(M85:O85))</f>
        <v/>
      </c>
      <c r="Q85" s="8" t="n"/>
      <c r="R85" s="8" t="n"/>
      <c r="S85" s="8" t="n"/>
      <c r="T85" s="8">
        <f>IF(A85="","",SUM(Q85:S85))</f>
        <v/>
      </c>
      <c r="U85" s="8">
        <f>IF(A85="","",H85+L85+P85+T85)</f>
        <v/>
      </c>
      <c r="V85" s="8">
        <f>IF(A85="","",IFERROR(VLOOKUP(A85,'F01 - _Données Centrales'!$A$6:$L$20,7,FALSE),0))</f>
        <v/>
      </c>
      <c r="W85" s="8">
        <f>IF(A85="","",V85-U85)</f>
        <v/>
      </c>
    </row>
    <row r="86">
      <c r="A86" s="4" t="n"/>
      <c r="B86" s="4" t="n"/>
      <c r="C86" s="4" t="n"/>
      <c r="D86" s="4" t="n"/>
      <c r="E86" s="5" t="n"/>
      <c r="F86" s="5" t="n"/>
      <c r="G86" s="5" t="n"/>
      <c r="H86" s="5">
        <f>IF(A86="","",SUM(E86:G86))</f>
        <v/>
      </c>
      <c r="I86" s="5" t="n"/>
      <c r="J86" s="5" t="n"/>
      <c r="K86" s="5" t="n"/>
      <c r="L86" s="5">
        <f>IF(A86="","",SUM(I86:K86))</f>
        <v/>
      </c>
      <c r="M86" s="5" t="n"/>
      <c r="N86" s="5" t="n"/>
      <c r="O86" s="5" t="n"/>
      <c r="P86" s="5">
        <f>IF(A86="","",SUM(M86:O86))</f>
        <v/>
      </c>
      <c r="Q86" s="5" t="n"/>
      <c r="R86" s="5" t="n"/>
      <c r="S86" s="5" t="n"/>
      <c r="T86" s="5">
        <f>IF(A86="","",SUM(Q86:S86))</f>
        <v/>
      </c>
      <c r="U86" s="5">
        <f>IF(A86="","",H86+L86+P86+T86)</f>
        <v/>
      </c>
      <c r="V86" s="5">
        <f>IF(A86="","",IFERROR(VLOOKUP(A86,'F01 - _Données Centrales'!$A$6:$L$20,7,FALSE),0))</f>
        <v/>
      </c>
      <c r="W86" s="5">
        <f>IF(A86="","",V86-U86)</f>
        <v/>
      </c>
    </row>
    <row r="87">
      <c r="A87" s="7" t="n"/>
      <c r="B87" s="7" t="n"/>
      <c r="C87" s="7" t="n"/>
      <c r="D87" s="7" t="n"/>
      <c r="E87" s="8" t="n"/>
      <c r="F87" s="8" t="n"/>
      <c r="G87" s="8" t="n"/>
      <c r="H87" s="8">
        <f>IF(A87="","",SUM(E87:G87))</f>
        <v/>
      </c>
      <c r="I87" s="8" t="n"/>
      <c r="J87" s="8" t="n"/>
      <c r="K87" s="8" t="n"/>
      <c r="L87" s="8">
        <f>IF(A87="","",SUM(I87:K87))</f>
        <v/>
      </c>
      <c r="M87" s="8" t="n"/>
      <c r="N87" s="8" t="n"/>
      <c r="O87" s="8" t="n"/>
      <c r="P87" s="8">
        <f>IF(A87="","",SUM(M87:O87))</f>
        <v/>
      </c>
      <c r="Q87" s="8" t="n"/>
      <c r="R87" s="8" t="n"/>
      <c r="S87" s="8" t="n"/>
      <c r="T87" s="8">
        <f>IF(A87="","",SUM(Q87:S87))</f>
        <v/>
      </c>
      <c r="U87" s="8">
        <f>IF(A87="","",H87+L87+P87+T87)</f>
        <v/>
      </c>
      <c r="V87" s="8">
        <f>IF(A87="","",IFERROR(VLOOKUP(A87,'F01 - _Données Centrales'!$A$6:$L$20,7,FALSE),0))</f>
        <v/>
      </c>
      <c r="W87" s="8">
        <f>IF(A87="","",V87-U87)</f>
        <v/>
      </c>
    </row>
    <row r="88">
      <c r="A88" s="4" t="n"/>
      <c r="B88" s="4" t="n"/>
      <c r="C88" s="4" t="n"/>
      <c r="D88" s="4" t="n"/>
      <c r="E88" s="5" t="n"/>
      <c r="F88" s="5" t="n"/>
      <c r="G88" s="5" t="n"/>
      <c r="H88" s="5">
        <f>IF(A88="","",SUM(E88:G88))</f>
        <v/>
      </c>
      <c r="I88" s="5" t="n"/>
      <c r="J88" s="5" t="n"/>
      <c r="K88" s="5" t="n"/>
      <c r="L88" s="5">
        <f>IF(A88="","",SUM(I88:K88))</f>
        <v/>
      </c>
      <c r="M88" s="5" t="n"/>
      <c r="N88" s="5" t="n"/>
      <c r="O88" s="5" t="n"/>
      <c r="P88" s="5">
        <f>IF(A88="","",SUM(M88:O88))</f>
        <v/>
      </c>
      <c r="Q88" s="5" t="n"/>
      <c r="R88" s="5" t="n"/>
      <c r="S88" s="5" t="n"/>
      <c r="T88" s="5">
        <f>IF(A88="","",SUM(Q88:S88))</f>
        <v/>
      </c>
      <c r="U88" s="5">
        <f>IF(A88="","",H88+L88+P88+T88)</f>
        <v/>
      </c>
      <c r="V88" s="5">
        <f>IF(A88="","",IFERROR(VLOOKUP(A88,'F01 - _Données Centrales'!$A$6:$L$20,7,FALSE),0))</f>
        <v/>
      </c>
      <c r="W88" s="5">
        <f>IF(A88="","",V88-U88)</f>
        <v/>
      </c>
    </row>
    <row r="89">
      <c r="A89" s="7" t="n"/>
      <c r="B89" s="7" t="n"/>
      <c r="C89" s="7" t="n"/>
      <c r="D89" s="7" t="n"/>
      <c r="E89" s="8" t="n"/>
      <c r="F89" s="8" t="n"/>
      <c r="G89" s="8" t="n"/>
      <c r="H89" s="8">
        <f>IF(A89="","",SUM(E89:G89))</f>
        <v/>
      </c>
      <c r="I89" s="8" t="n"/>
      <c r="J89" s="8" t="n"/>
      <c r="K89" s="8" t="n"/>
      <c r="L89" s="8">
        <f>IF(A89="","",SUM(I89:K89))</f>
        <v/>
      </c>
      <c r="M89" s="8" t="n"/>
      <c r="N89" s="8" t="n"/>
      <c r="O89" s="8" t="n"/>
      <c r="P89" s="8">
        <f>IF(A89="","",SUM(M89:O89))</f>
        <v/>
      </c>
      <c r="Q89" s="8" t="n"/>
      <c r="R89" s="8" t="n"/>
      <c r="S89" s="8" t="n"/>
      <c r="T89" s="8">
        <f>IF(A89="","",SUM(Q89:S89))</f>
        <v/>
      </c>
      <c r="U89" s="8">
        <f>IF(A89="","",H89+L89+P89+T89)</f>
        <v/>
      </c>
      <c r="V89" s="8">
        <f>IF(A89="","",IFERROR(VLOOKUP(A89,'F01 - _Données Centrales'!$A$6:$L$20,7,FALSE),0))</f>
        <v/>
      </c>
      <c r="W89" s="8">
        <f>IF(A89="","",V89-U89)</f>
        <v/>
      </c>
    </row>
    <row r="90">
      <c r="A90" s="4" t="n"/>
      <c r="B90" s="4" t="n"/>
      <c r="C90" s="4" t="n"/>
      <c r="D90" s="4" t="n"/>
      <c r="E90" s="5" t="n"/>
      <c r="F90" s="5" t="n"/>
      <c r="G90" s="5" t="n"/>
      <c r="H90" s="5">
        <f>IF(A90="","",SUM(E90:G90))</f>
        <v/>
      </c>
      <c r="I90" s="5" t="n"/>
      <c r="J90" s="5" t="n"/>
      <c r="K90" s="5" t="n"/>
      <c r="L90" s="5">
        <f>IF(A90="","",SUM(I90:K90))</f>
        <v/>
      </c>
      <c r="M90" s="5" t="n"/>
      <c r="N90" s="5" t="n"/>
      <c r="O90" s="5" t="n"/>
      <c r="P90" s="5">
        <f>IF(A90="","",SUM(M90:O90))</f>
        <v/>
      </c>
      <c r="Q90" s="5" t="n"/>
      <c r="R90" s="5" t="n"/>
      <c r="S90" s="5" t="n"/>
      <c r="T90" s="5">
        <f>IF(A90="","",SUM(Q90:S90))</f>
        <v/>
      </c>
      <c r="U90" s="5">
        <f>IF(A90="","",H90+L90+P90+T90)</f>
        <v/>
      </c>
      <c r="V90" s="5">
        <f>IF(A90="","",IFERROR(VLOOKUP(A90,'F01 - _Données Centrales'!$A$6:$L$20,7,FALSE),0))</f>
        <v/>
      </c>
      <c r="W90" s="5">
        <f>IF(A90="","",V90-U90)</f>
        <v/>
      </c>
    </row>
    <row r="91">
      <c r="A91" s="7" t="n"/>
      <c r="B91" s="7" t="n"/>
      <c r="C91" s="7" t="n"/>
      <c r="D91" s="7" t="n"/>
      <c r="E91" s="8" t="n"/>
      <c r="F91" s="8" t="n"/>
      <c r="G91" s="8" t="n"/>
      <c r="H91" s="8">
        <f>IF(A91="","",SUM(E91:G91))</f>
        <v/>
      </c>
      <c r="I91" s="8" t="n"/>
      <c r="J91" s="8" t="n"/>
      <c r="K91" s="8" t="n"/>
      <c r="L91" s="8">
        <f>IF(A91="","",SUM(I91:K91))</f>
        <v/>
      </c>
      <c r="M91" s="8" t="n"/>
      <c r="N91" s="8" t="n"/>
      <c r="O91" s="8" t="n"/>
      <c r="P91" s="8">
        <f>IF(A91="","",SUM(M91:O91))</f>
        <v/>
      </c>
      <c r="Q91" s="8" t="n"/>
      <c r="R91" s="8" t="n"/>
      <c r="S91" s="8" t="n"/>
      <c r="T91" s="8">
        <f>IF(A91="","",SUM(Q91:S91))</f>
        <v/>
      </c>
      <c r="U91" s="8">
        <f>IF(A91="","",H91+L91+P91+T91)</f>
        <v/>
      </c>
      <c r="V91" s="8">
        <f>IF(A91="","",IFERROR(VLOOKUP(A91,'F01 - _Données Centrales'!$A$6:$L$20,7,FALSE),0))</f>
        <v/>
      </c>
      <c r="W91" s="8">
        <f>IF(A91="","",V91-U91)</f>
        <v/>
      </c>
    </row>
    <row r="92">
      <c r="A92" s="4" t="n"/>
      <c r="B92" s="4" t="n"/>
      <c r="C92" s="4" t="n"/>
      <c r="D92" s="4" t="n"/>
      <c r="E92" s="5" t="n"/>
      <c r="F92" s="5" t="n"/>
      <c r="G92" s="5" t="n"/>
      <c r="H92" s="5">
        <f>IF(A92="","",SUM(E92:G92))</f>
        <v/>
      </c>
      <c r="I92" s="5" t="n"/>
      <c r="J92" s="5" t="n"/>
      <c r="K92" s="5" t="n"/>
      <c r="L92" s="5">
        <f>IF(A92="","",SUM(I92:K92))</f>
        <v/>
      </c>
      <c r="M92" s="5" t="n"/>
      <c r="N92" s="5" t="n"/>
      <c r="O92" s="5" t="n"/>
      <c r="P92" s="5">
        <f>IF(A92="","",SUM(M92:O92))</f>
        <v/>
      </c>
      <c r="Q92" s="5" t="n"/>
      <c r="R92" s="5" t="n"/>
      <c r="S92" s="5" t="n"/>
      <c r="T92" s="5">
        <f>IF(A92="","",SUM(Q92:S92))</f>
        <v/>
      </c>
      <c r="U92" s="5">
        <f>IF(A92="","",H92+L92+P92+T92)</f>
        <v/>
      </c>
      <c r="V92" s="5">
        <f>IF(A92="","",IFERROR(VLOOKUP(A92,'F01 - _Données Centrales'!$A$6:$L$20,7,FALSE),0))</f>
        <v/>
      </c>
      <c r="W92" s="5">
        <f>IF(A92="","",V92-U92)</f>
        <v/>
      </c>
    </row>
    <row r="93">
      <c r="A93" s="7" t="n"/>
      <c r="B93" s="7" t="n"/>
      <c r="C93" s="7" t="n"/>
      <c r="D93" s="7" t="n"/>
      <c r="E93" s="8" t="n"/>
      <c r="F93" s="8" t="n"/>
      <c r="G93" s="8" t="n"/>
      <c r="H93" s="8">
        <f>IF(A93="","",SUM(E93:G93))</f>
        <v/>
      </c>
      <c r="I93" s="8" t="n"/>
      <c r="J93" s="8" t="n"/>
      <c r="K93" s="8" t="n"/>
      <c r="L93" s="8">
        <f>IF(A93="","",SUM(I93:K93))</f>
        <v/>
      </c>
      <c r="M93" s="8" t="n"/>
      <c r="N93" s="8" t="n"/>
      <c r="O93" s="8" t="n"/>
      <c r="P93" s="8">
        <f>IF(A93="","",SUM(M93:O93))</f>
        <v/>
      </c>
      <c r="Q93" s="8" t="n"/>
      <c r="R93" s="8" t="n"/>
      <c r="S93" s="8" t="n"/>
      <c r="T93" s="8">
        <f>IF(A93="","",SUM(Q93:S93))</f>
        <v/>
      </c>
      <c r="U93" s="8">
        <f>IF(A93="","",H93+L93+P93+T93)</f>
        <v/>
      </c>
      <c r="V93" s="8">
        <f>IF(A93="","",IFERROR(VLOOKUP(A93,'F01 - _Données Centrales'!$A$6:$L$20,7,FALSE),0))</f>
        <v/>
      </c>
      <c r="W93" s="8">
        <f>IF(A93="","",V93-U93)</f>
        <v/>
      </c>
    </row>
    <row r="94">
      <c r="A94" s="4" t="n"/>
      <c r="B94" s="4" t="n"/>
      <c r="C94" s="4" t="n"/>
      <c r="D94" s="4" t="n"/>
      <c r="E94" s="5" t="n"/>
      <c r="F94" s="5" t="n"/>
      <c r="G94" s="5" t="n"/>
      <c r="H94" s="5">
        <f>IF(A94="","",SUM(E94:G94))</f>
        <v/>
      </c>
      <c r="I94" s="5" t="n"/>
      <c r="J94" s="5" t="n"/>
      <c r="K94" s="5" t="n"/>
      <c r="L94" s="5">
        <f>IF(A94="","",SUM(I94:K94))</f>
        <v/>
      </c>
      <c r="M94" s="5" t="n"/>
      <c r="N94" s="5" t="n"/>
      <c r="O94" s="5" t="n"/>
      <c r="P94" s="5">
        <f>IF(A94="","",SUM(M94:O94))</f>
        <v/>
      </c>
      <c r="Q94" s="5" t="n"/>
      <c r="R94" s="5" t="n"/>
      <c r="S94" s="5" t="n"/>
      <c r="T94" s="5">
        <f>IF(A94="","",SUM(Q94:S94))</f>
        <v/>
      </c>
      <c r="U94" s="5">
        <f>IF(A94="","",H94+L94+P94+T94)</f>
        <v/>
      </c>
      <c r="V94" s="5">
        <f>IF(A94="","",IFERROR(VLOOKUP(A94,'F01 - _Données Centrales'!$A$6:$L$20,7,FALSE),0))</f>
        <v/>
      </c>
      <c r="W94" s="5">
        <f>IF(A94="","",V94-U94)</f>
        <v/>
      </c>
    </row>
    <row r="95">
      <c r="A95" s="7" t="n"/>
      <c r="B95" s="7" t="n"/>
      <c r="C95" s="7" t="n"/>
      <c r="D95" s="7" t="n"/>
      <c r="E95" s="8" t="n"/>
      <c r="F95" s="8" t="n"/>
      <c r="G95" s="8" t="n"/>
      <c r="H95" s="8">
        <f>IF(A95="","",SUM(E95:G95))</f>
        <v/>
      </c>
      <c r="I95" s="8" t="n"/>
      <c r="J95" s="8" t="n"/>
      <c r="K95" s="8" t="n"/>
      <c r="L95" s="8">
        <f>IF(A95="","",SUM(I95:K95))</f>
        <v/>
      </c>
      <c r="M95" s="8" t="n"/>
      <c r="N95" s="8" t="n"/>
      <c r="O95" s="8" t="n"/>
      <c r="P95" s="8">
        <f>IF(A95="","",SUM(M95:O95))</f>
        <v/>
      </c>
      <c r="Q95" s="8" t="n"/>
      <c r="R95" s="8" t="n"/>
      <c r="S95" s="8" t="n"/>
      <c r="T95" s="8">
        <f>IF(A95="","",SUM(Q95:S95))</f>
        <v/>
      </c>
      <c r="U95" s="8">
        <f>IF(A95="","",H95+L95+P95+T95)</f>
        <v/>
      </c>
      <c r="V95" s="8">
        <f>IF(A95="","",IFERROR(VLOOKUP(A95,'F01 - _Données Centrales'!$A$6:$L$20,7,FALSE),0))</f>
        <v/>
      </c>
      <c r="W95" s="8">
        <f>IF(A95="","",V95-U95)</f>
        <v/>
      </c>
    </row>
    <row r="96">
      <c r="A96" s="4" t="n"/>
      <c r="B96" s="4" t="n"/>
      <c r="C96" s="4" t="n"/>
      <c r="D96" s="4" t="n"/>
      <c r="E96" s="5" t="n"/>
      <c r="F96" s="5" t="n"/>
      <c r="G96" s="5" t="n"/>
      <c r="H96" s="5">
        <f>IF(A96="","",SUM(E96:G96))</f>
        <v/>
      </c>
      <c r="I96" s="5" t="n"/>
      <c r="J96" s="5" t="n"/>
      <c r="K96" s="5" t="n"/>
      <c r="L96" s="5">
        <f>IF(A96="","",SUM(I96:K96))</f>
        <v/>
      </c>
      <c r="M96" s="5" t="n"/>
      <c r="N96" s="5" t="n"/>
      <c r="O96" s="5" t="n"/>
      <c r="P96" s="5">
        <f>IF(A96="","",SUM(M96:O96))</f>
        <v/>
      </c>
      <c r="Q96" s="5" t="n"/>
      <c r="R96" s="5" t="n"/>
      <c r="S96" s="5" t="n"/>
      <c r="T96" s="5">
        <f>IF(A96="","",SUM(Q96:S96))</f>
        <v/>
      </c>
      <c r="U96" s="5">
        <f>IF(A96="","",H96+L96+P96+T96)</f>
        <v/>
      </c>
      <c r="V96" s="5">
        <f>IF(A96="","",IFERROR(VLOOKUP(A96,'F01 - _Données Centrales'!$A$6:$L$20,7,FALSE),0))</f>
        <v/>
      </c>
      <c r="W96" s="5">
        <f>IF(A96="","",V96-U96)</f>
        <v/>
      </c>
    </row>
    <row r="97">
      <c r="A97" s="7" t="n"/>
      <c r="B97" s="7" t="n"/>
      <c r="C97" s="7" t="n"/>
      <c r="D97" s="7" t="n"/>
      <c r="E97" s="8" t="n"/>
      <c r="F97" s="8" t="n"/>
      <c r="G97" s="8" t="n"/>
      <c r="H97" s="8">
        <f>IF(A97="","",SUM(E97:G97))</f>
        <v/>
      </c>
      <c r="I97" s="8" t="n"/>
      <c r="J97" s="8" t="n"/>
      <c r="K97" s="8" t="n"/>
      <c r="L97" s="8">
        <f>IF(A97="","",SUM(I97:K97))</f>
        <v/>
      </c>
      <c r="M97" s="8" t="n"/>
      <c r="N97" s="8" t="n"/>
      <c r="O97" s="8" t="n"/>
      <c r="P97" s="8">
        <f>IF(A97="","",SUM(M97:O97))</f>
        <v/>
      </c>
      <c r="Q97" s="8" t="n"/>
      <c r="R97" s="8" t="n"/>
      <c r="S97" s="8" t="n"/>
      <c r="T97" s="8">
        <f>IF(A97="","",SUM(Q97:S97))</f>
        <v/>
      </c>
      <c r="U97" s="8">
        <f>IF(A97="","",H97+L97+P97+T97)</f>
        <v/>
      </c>
      <c r="V97" s="8">
        <f>IF(A97="","",IFERROR(VLOOKUP(A97,'F01 - _Données Centrales'!$A$6:$L$20,7,FALSE),0))</f>
        <v/>
      </c>
      <c r="W97" s="8">
        <f>IF(A97="","",V97-U97)</f>
        <v/>
      </c>
    </row>
    <row r="98">
      <c r="A98" s="4" t="n"/>
      <c r="B98" s="4" t="n"/>
      <c r="C98" s="4" t="n"/>
      <c r="D98" s="4" t="n"/>
      <c r="E98" s="5" t="n"/>
      <c r="F98" s="5" t="n"/>
      <c r="G98" s="5" t="n"/>
      <c r="H98" s="5">
        <f>IF(A98="","",SUM(E98:G98))</f>
        <v/>
      </c>
      <c r="I98" s="5" t="n"/>
      <c r="J98" s="5" t="n"/>
      <c r="K98" s="5" t="n"/>
      <c r="L98" s="5">
        <f>IF(A98="","",SUM(I98:K98))</f>
        <v/>
      </c>
      <c r="M98" s="5" t="n"/>
      <c r="N98" s="5" t="n"/>
      <c r="O98" s="5" t="n"/>
      <c r="P98" s="5">
        <f>IF(A98="","",SUM(M98:O98))</f>
        <v/>
      </c>
      <c r="Q98" s="5" t="n"/>
      <c r="R98" s="5" t="n"/>
      <c r="S98" s="5" t="n"/>
      <c r="T98" s="5">
        <f>IF(A98="","",SUM(Q98:S98))</f>
        <v/>
      </c>
      <c r="U98" s="5">
        <f>IF(A98="","",H98+L98+P98+T98)</f>
        <v/>
      </c>
      <c r="V98" s="5">
        <f>IF(A98="","",IFERROR(VLOOKUP(A98,'F01 - _Données Centrales'!$A$6:$L$20,7,FALSE),0))</f>
        <v/>
      </c>
      <c r="W98" s="5">
        <f>IF(A98="","",V98-U98)</f>
        <v/>
      </c>
    </row>
    <row r="99">
      <c r="A99" s="7" t="n"/>
      <c r="B99" s="7" t="n"/>
      <c r="C99" s="7" t="n"/>
      <c r="D99" s="7" t="n"/>
      <c r="E99" s="8" t="n"/>
      <c r="F99" s="8" t="n"/>
      <c r="G99" s="8" t="n"/>
      <c r="H99" s="8">
        <f>IF(A99="","",SUM(E99:G99))</f>
        <v/>
      </c>
      <c r="I99" s="8" t="n"/>
      <c r="J99" s="8" t="n"/>
      <c r="K99" s="8" t="n"/>
      <c r="L99" s="8">
        <f>IF(A99="","",SUM(I99:K99))</f>
        <v/>
      </c>
      <c r="M99" s="8" t="n"/>
      <c r="N99" s="8" t="n"/>
      <c r="O99" s="8" t="n"/>
      <c r="P99" s="8">
        <f>IF(A99="","",SUM(M99:O99))</f>
        <v/>
      </c>
      <c r="Q99" s="8" t="n"/>
      <c r="R99" s="8" t="n"/>
      <c r="S99" s="8" t="n"/>
      <c r="T99" s="8">
        <f>IF(A99="","",SUM(Q99:S99))</f>
        <v/>
      </c>
      <c r="U99" s="8">
        <f>IF(A99="","",H99+L99+P99+T99)</f>
        <v/>
      </c>
      <c r="V99" s="8">
        <f>IF(A99="","",IFERROR(VLOOKUP(A99,'F01 - _Données Centrales'!$A$6:$L$20,7,FALSE),0))</f>
        <v/>
      </c>
      <c r="W99" s="8">
        <f>IF(A99="","",V99-U99)</f>
        <v/>
      </c>
    </row>
    <row r="100">
      <c r="A100" s="4" t="n"/>
      <c r="B100" s="4" t="n"/>
      <c r="C100" s="4" t="n"/>
      <c r="D100" s="4" t="n"/>
      <c r="E100" s="5" t="n"/>
      <c r="F100" s="5" t="n"/>
      <c r="G100" s="5" t="n"/>
      <c r="H100" s="5">
        <f>IF(A100="","",SUM(E100:G100))</f>
        <v/>
      </c>
      <c r="I100" s="5" t="n"/>
      <c r="J100" s="5" t="n"/>
      <c r="K100" s="5" t="n"/>
      <c r="L100" s="5">
        <f>IF(A100="","",SUM(I100:K100))</f>
        <v/>
      </c>
      <c r="M100" s="5" t="n"/>
      <c r="N100" s="5" t="n"/>
      <c r="O100" s="5" t="n"/>
      <c r="P100" s="5">
        <f>IF(A100="","",SUM(M100:O100))</f>
        <v/>
      </c>
      <c r="Q100" s="5" t="n"/>
      <c r="R100" s="5" t="n"/>
      <c r="S100" s="5" t="n"/>
      <c r="T100" s="5">
        <f>IF(A100="","",SUM(Q100:S100))</f>
        <v/>
      </c>
      <c r="U100" s="5">
        <f>IF(A100="","",H100+L100+P100+T100)</f>
        <v/>
      </c>
      <c r="V100" s="5">
        <f>IF(A100="","",IFERROR(VLOOKUP(A100,'F01 - _Données Centrales'!$A$6:$L$20,7,FALSE),0))</f>
        <v/>
      </c>
      <c r="W100" s="5">
        <f>IF(A100="","",V100-U100)</f>
        <v/>
      </c>
    </row>
    <row r="101">
      <c r="A101" s="7" t="n"/>
      <c r="B101" s="7" t="n"/>
      <c r="C101" s="7" t="n"/>
      <c r="D101" s="7" t="n"/>
      <c r="E101" s="8" t="n"/>
      <c r="F101" s="8" t="n"/>
      <c r="G101" s="8" t="n"/>
      <c r="H101" s="8">
        <f>IF(A101="","",SUM(E101:G101))</f>
        <v/>
      </c>
      <c r="I101" s="8" t="n"/>
      <c r="J101" s="8" t="n"/>
      <c r="K101" s="8" t="n"/>
      <c r="L101" s="8">
        <f>IF(A101="","",SUM(I101:K101))</f>
        <v/>
      </c>
      <c r="M101" s="8" t="n"/>
      <c r="N101" s="8" t="n"/>
      <c r="O101" s="8" t="n"/>
      <c r="P101" s="8">
        <f>IF(A101="","",SUM(M101:O101))</f>
        <v/>
      </c>
      <c r="Q101" s="8" t="n"/>
      <c r="R101" s="8" t="n"/>
      <c r="S101" s="8" t="n"/>
      <c r="T101" s="8">
        <f>IF(A101="","",SUM(Q101:S101))</f>
        <v/>
      </c>
      <c r="U101" s="8">
        <f>IF(A101="","",H101+L101+P101+T101)</f>
        <v/>
      </c>
      <c r="V101" s="8">
        <f>IF(A101="","",IFERROR(VLOOKUP(A101,'F01 - _Données Centrales'!$A$6:$L$20,7,FALSE),0))</f>
        <v/>
      </c>
      <c r="W101" s="8">
        <f>IF(A101="","",V101-U101)</f>
        <v/>
      </c>
    </row>
    <row r="102">
      <c r="A102" s="4" t="n"/>
      <c r="B102" s="4" t="n"/>
      <c r="C102" s="4" t="n"/>
      <c r="D102" s="4" t="n"/>
      <c r="E102" s="5" t="n"/>
      <c r="F102" s="5" t="n"/>
      <c r="G102" s="5" t="n"/>
      <c r="H102" s="5">
        <f>IF(A102="","",SUM(E102:G102))</f>
        <v/>
      </c>
      <c r="I102" s="5" t="n"/>
      <c r="J102" s="5" t="n"/>
      <c r="K102" s="5" t="n"/>
      <c r="L102" s="5">
        <f>IF(A102="","",SUM(I102:K102))</f>
        <v/>
      </c>
      <c r="M102" s="5" t="n"/>
      <c r="N102" s="5" t="n"/>
      <c r="O102" s="5" t="n"/>
      <c r="P102" s="5">
        <f>IF(A102="","",SUM(M102:O102))</f>
        <v/>
      </c>
      <c r="Q102" s="5" t="n"/>
      <c r="R102" s="5" t="n"/>
      <c r="S102" s="5" t="n"/>
      <c r="T102" s="5">
        <f>IF(A102="","",SUM(Q102:S102))</f>
        <v/>
      </c>
      <c r="U102" s="5">
        <f>IF(A102="","",H102+L102+P102+T102)</f>
        <v/>
      </c>
      <c r="V102" s="5">
        <f>IF(A102="","",IFERROR(VLOOKUP(A102,'F01 - _Données Centrales'!$A$6:$L$20,7,FALSE),0))</f>
        <v/>
      </c>
      <c r="W102" s="5">
        <f>IF(A102="","",V102-U102)</f>
        <v/>
      </c>
    </row>
    <row r="103">
      <c r="A103" s="7" t="n"/>
      <c r="B103" s="7" t="n"/>
      <c r="C103" s="7" t="n"/>
      <c r="D103" s="7" t="n"/>
      <c r="E103" s="8" t="n"/>
      <c r="F103" s="8" t="n"/>
      <c r="G103" s="8" t="n"/>
      <c r="H103" s="8">
        <f>IF(A103="","",SUM(E103:G103))</f>
        <v/>
      </c>
      <c r="I103" s="8" t="n"/>
      <c r="J103" s="8" t="n"/>
      <c r="K103" s="8" t="n"/>
      <c r="L103" s="8">
        <f>IF(A103="","",SUM(I103:K103))</f>
        <v/>
      </c>
      <c r="M103" s="8" t="n"/>
      <c r="N103" s="8" t="n"/>
      <c r="O103" s="8" t="n"/>
      <c r="P103" s="8">
        <f>IF(A103="","",SUM(M103:O103))</f>
        <v/>
      </c>
      <c r="Q103" s="8" t="n"/>
      <c r="R103" s="8" t="n"/>
      <c r="S103" s="8" t="n"/>
      <c r="T103" s="8">
        <f>IF(A103="","",SUM(Q103:S103))</f>
        <v/>
      </c>
      <c r="U103" s="8">
        <f>IF(A103="","",H103+L103+P103+T103)</f>
        <v/>
      </c>
      <c r="V103" s="8">
        <f>IF(A103="","",IFERROR(VLOOKUP(A103,'F01 - _Données Centrales'!$A$6:$L$20,7,FALSE),0))</f>
        <v/>
      </c>
      <c r="W103" s="8">
        <f>IF(A103="","",V103-U103)</f>
        <v/>
      </c>
    </row>
    <row r="104">
      <c r="A104" s="4" t="n"/>
      <c r="B104" s="4" t="n"/>
      <c r="C104" s="4" t="n"/>
      <c r="D104" s="4" t="n"/>
      <c r="E104" s="5" t="n"/>
      <c r="F104" s="5" t="n"/>
      <c r="G104" s="5" t="n"/>
      <c r="H104" s="5">
        <f>IF(A104="","",SUM(E104:G104))</f>
        <v/>
      </c>
      <c r="I104" s="5" t="n"/>
      <c r="J104" s="5" t="n"/>
      <c r="K104" s="5" t="n"/>
      <c r="L104" s="5">
        <f>IF(A104="","",SUM(I104:K104))</f>
        <v/>
      </c>
      <c r="M104" s="5" t="n"/>
      <c r="N104" s="5" t="n"/>
      <c r="O104" s="5" t="n"/>
      <c r="P104" s="5">
        <f>IF(A104="","",SUM(M104:O104))</f>
        <v/>
      </c>
      <c r="Q104" s="5" t="n"/>
      <c r="R104" s="5" t="n"/>
      <c r="S104" s="5" t="n"/>
      <c r="T104" s="5">
        <f>IF(A104="","",SUM(Q104:S104))</f>
        <v/>
      </c>
      <c r="U104" s="5">
        <f>IF(A104="","",H104+L104+P104+T104)</f>
        <v/>
      </c>
      <c r="V104" s="5">
        <f>IF(A104="","",IFERROR(VLOOKUP(A104,'F01 - _Données Centrales'!$A$6:$L$20,7,FALSE),0))</f>
        <v/>
      </c>
      <c r="W104" s="5">
        <f>IF(A104="","",V104-U104)</f>
        <v/>
      </c>
    </row>
    <row r="105">
      <c r="A105" s="7" t="n"/>
      <c r="B105" s="7" t="n"/>
      <c r="C105" s="7" t="n"/>
      <c r="D105" s="7" t="n"/>
      <c r="E105" s="8" t="n"/>
      <c r="F105" s="8" t="n"/>
      <c r="G105" s="8" t="n"/>
      <c r="H105" s="8">
        <f>IF(A105="","",SUM(E105:G105))</f>
        <v/>
      </c>
      <c r="I105" s="8" t="n"/>
      <c r="J105" s="8" t="n"/>
      <c r="K105" s="8" t="n"/>
      <c r="L105" s="8">
        <f>IF(A105="","",SUM(I105:K105))</f>
        <v/>
      </c>
      <c r="M105" s="8" t="n"/>
      <c r="N105" s="8" t="n"/>
      <c r="O105" s="8" t="n"/>
      <c r="P105" s="8">
        <f>IF(A105="","",SUM(M105:O105))</f>
        <v/>
      </c>
      <c r="Q105" s="8" t="n"/>
      <c r="R105" s="8" t="n"/>
      <c r="S105" s="8" t="n"/>
      <c r="T105" s="8">
        <f>IF(A105="","",SUM(Q105:S105))</f>
        <v/>
      </c>
      <c r="U105" s="8">
        <f>IF(A105="","",H105+L105+P105+T105)</f>
        <v/>
      </c>
      <c r="V105" s="8">
        <f>IF(A105="","",IFERROR(VLOOKUP(A105,'F01 - _Données Centrales'!$A$6:$L$20,7,FALSE),0))</f>
        <v/>
      </c>
      <c r="W105" s="8">
        <f>IF(A105="","",V105-U105)</f>
        <v/>
      </c>
    </row>
    <row r="106">
      <c r="A106" s="4" t="n"/>
      <c r="B106" s="4" t="n"/>
      <c r="C106" s="4" t="n"/>
      <c r="D106" s="4" t="n"/>
      <c r="E106" s="5" t="n"/>
      <c r="F106" s="5" t="n"/>
      <c r="G106" s="5" t="n"/>
      <c r="H106" s="5">
        <f>IF(A106="","",SUM(E106:G106))</f>
        <v/>
      </c>
      <c r="I106" s="5" t="n"/>
      <c r="J106" s="5" t="n"/>
      <c r="K106" s="5" t="n"/>
      <c r="L106" s="5">
        <f>IF(A106="","",SUM(I106:K106))</f>
        <v/>
      </c>
      <c r="M106" s="5" t="n"/>
      <c r="N106" s="5" t="n"/>
      <c r="O106" s="5" t="n"/>
      <c r="P106" s="5">
        <f>IF(A106="","",SUM(M106:O106))</f>
        <v/>
      </c>
      <c r="Q106" s="5" t="n"/>
      <c r="R106" s="5" t="n"/>
      <c r="S106" s="5" t="n"/>
      <c r="T106" s="5">
        <f>IF(A106="","",SUM(Q106:S106))</f>
        <v/>
      </c>
      <c r="U106" s="5">
        <f>IF(A106="","",H106+L106+P106+T106)</f>
        <v/>
      </c>
      <c r="V106" s="5">
        <f>IF(A106="","",IFERROR(VLOOKUP(A106,'F01 - _Données Centrales'!$A$6:$L$20,7,FALSE),0))</f>
        <v/>
      </c>
      <c r="W106" s="5">
        <f>IF(A106="","",V106-U106)</f>
        <v/>
      </c>
    </row>
    <row r="107">
      <c r="A107" s="7" t="n"/>
      <c r="B107" s="7" t="n"/>
      <c r="C107" s="7" t="n"/>
      <c r="D107" s="7" t="n"/>
      <c r="E107" s="8" t="n"/>
      <c r="F107" s="8" t="n"/>
      <c r="G107" s="8" t="n"/>
      <c r="H107" s="8">
        <f>IF(A107="","",SUM(E107:G107))</f>
        <v/>
      </c>
      <c r="I107" s="8" t="n"/>
      <c r="J107" s="8" t="n"/>
      <c r="K107" s="8" t="n"/>
      <c r="L107" s="8">
        <f>IF(A107="","",SUM(I107:K107))</f>
        <v/>
      </c>
      <c r="M107" s="8" t="n"/>
      <c r="N107" s="8" t="n"/>
      <c r="O107" s="8" t="n"/>
      <c r="P107" s="8">
        <f>IF(A107="","",SUM(M107:O107))</f>
        <v/>
      </c>
      <c r="Q107" s="8" t="n"/>
      <c r="R107" s="8" t="n"/>
      <c r="S107" s="8" t="n"/>
      <c r="T107" s="8">
        <f>IF(A107="","",SUM(Q107:S107))</f>
        <v/>
      </c>
      <c r="U107" s="8">
        <f>IF(A107="","",H107+L107+P107+T107)</f>
        <v/>
      </c>
      <c r="V107" s="8">
        <f>IF(A107="","",IFERROR(VLOOKUP(A107,'F01 - _Données Centrales'!$A$6:$L$20,7,FALSE),0))</f>
        <v/>
      </c>
      <c r="W107" s="8">
        <f>IF(A107="","",V107-U107)</f>
        <v/>
      </c>
    </row>
    <row r="108">
      <c r="A108" s="4" t="n"/>
      <c r="B108" s="4" t="n"/>
      <c r="C108" s="4" t="n"/>
      <c r="D108" s="4" t="n"/>
      <c r="E108" s="5" t="n"/>
      <c r="F108" s="5" t="n"/>
      <c r="G108" s="5" t="n"/>
      <c r="H108" s="5">
        <f>IF(A108="","",SUM(E108:G108))</f>
        <v/>
      </c>
      <c r="I108" s="5" t="n"/>
      <c r="J108" s="5" t="n"/>
      <c r="K108" s="5" t="n"/>
      <c r="L108" s="5">
        <f>IF(A108="","",SUM(I108:K108))</f>
        <v/>
      </c>
      <c r="M108" s="5" t="n"/>
      <c r="N108" s="5" t="n"/>
      <c r="O108" s="5" t="n"/>
      <c r="P108" s="5">
        <f>IF(A108="","",SUM(M108:O108))</f>
        <v/>
      </c>
      <c r="Q108" s="5" t="n"/>
      <c r="R108" s="5" t="n"/>
      <c r="S108" s="5" t="n"/>
      <c r="T108" s="5">
        <f>IF(A108="","",SUM(Q108:S108))</f>
        <v/>
      </c>
      <c r="U108" s="5">
        <f>IF(A108="","",H108+L108+P108+T108)</f>
        <v/>
      </c>
      <c r="V108" s="5">
        <f>IF(A108="","",IFERROR(VLOOKUP(A108,'F01 - _Données Centrales'!$A$6:$L$20,7,FALSE),0))</f>
        <v/>
      </c>
      <c r="W108" s="5">
        <f>IF(A108="","",V108-U108)</f>
        <v/>
      </c>
    </row>
    <row r="109">
      <c r="A109" s="7" t="n"/>
      <c r="B109" s="7" t="n"/>
      <c r="C109" s="7" t="n"/>
      <c r="D109" s="7" t="n"/>
      <c r="E109" s="8" t="n"/>
      <c r="F109" s="8" t="n"/>
      <c r="G109" s="8" t="n"/>
      <c r="H109" s="8">
        <f>IF(A109="","",SUM(E109:G109))</f>
        <v/>
      </c>
      <c r="I109" s="8" t="n"/>
      <c r="J109" s="8" t="n"/>
      <c r="K109" s="8" t="n"/>
      <c r="L109" s="8">
        <f>IF(A109="","",SUM(I109:K109))</f>
        <v/>
      </c>
      <c r="M109" s="8" t="n"/>
      <c r="N109" s="8" t="n"/>
      <c r="O109" s="8" t="n"/>
      <c r="P109" s="8">
        <f>IF(A109="","",SUM(M109:O109))</f>
        <v/>
      </c>
      <c r="Q109" s="8" t="n"/>
      <c r="R109" s="8" t="n"/>
      <c r="S109" s="8" t="n"/>
      <c r="T109" s="8">
        <f>IF(A109="","",SUM(Q109:S109))</f>
        <v/>
      </c>
      <c r="U109" s="8">
        <f>IF(A109="","",H109+L109+P109+T109)</f>
        <v/>
      </c>
      <c r="V109" s="8">
        <f>IF(A109="","",IFERROR(VLOOKUP(A109,'F01 - _Données Centrales'!$A$6:$L$20,7,FALSE),0))</f>
        <v/>
      </c>
      <c r="W109" s="8">
        <f>IF(A109="","",V109-U109)</f>
        <v/>
      </c>
    </row>
    <row r="110">
      <c r="A110" s="4" t="n"/>
      <c r="B110" s="4" t="n"/>
      <c r="C110" s="4" t="n"/>
      <c r="D110" s="4" t="n"/>
      <c r="E110" s="5" t="n"/>
      <c r="F110" s="5" t="n"/>
      <c r="G110" s="5" t="n"/>
      <c r="H110" s="5">
        <f>IF(A110="","",SUM(E110:G110))</f>
        <v/>
      </c>
      <c r="I110" s="5" t="n"/>
      <c r="J110" s="5" t="n"/>
      <c r="K110" s="5" t="n"/>
      <c r="L110" s="5">
        <f>IF(A110="","",SUM(I110:K110))</f>
        <v/>
      </c>
      <c r="M110" s="5" t="n"/>
      <c r="N110" s="5" t="n"/>
      <c r="O110" s="5" t="n"/>
      <c r="P110" s="5">
        <f>IF(A110="","",SUM(M110:O110))</f>
        <v/>
      </c>
      <c r="Q110" s="5" t="n"/>
      <c r="R110" s="5" t="n"/>
      <c r="S110" s="5" t="n"/>
      <c r="T110" s="5">
        <f>IF(A110="","",SUM(Q110:S110))</f>
        <v/>
      </c>
      <c r="U110" s="5">
        <f>IF(A110="","",H110+L110+P110+T110)</f>
        <v/>
      </c>
      <c r="V110" s="5">
        <f>IF(A110="","",IFERROR(VLOOKUP(A110,'F01 - _Données Centrales'!$A$6:$L$20,7,FALSE),0))</f>
        <v/>
      </c>
      <c r="W110" s="5">
        <f>IF(A110="","",V110-U110)</f>
        <v/>
      </c>
    </row>
    <row r="111">
      <c r="A111" s="7" t="n"/>
      <c r="B111" s="7" t="n"/>
      <c r="C111" s="7" t="n"/>
      <c r="D111" s="7" t="n"/>
      <c r="E111" s="8" t="n"/>
      <c r="F111" s="8" t="n"/>
      <c r="G111" s="8" t="n"/>
      <c r="H111" s="8">
        <f>IF(A111="","",SUM(E111:G111))</f>
        <v/>
      </c>
      <c r="I111" s="8" t="n"/>
      <c r="J111" s="8" t="n"/>
      <c r="K111" s="8" t="n"/>
      <c r="L111" s="8">
        <f>IF(A111="","",SUM(I111:K111))</f>
        <v/>
      </c>
      <c r="M111" s="8" t="n"/>
      <c r="N111" s="8" t="n"/>
      <c r="O111" s="8" t="n"/>
      <c r="P111" s="8">
        <f>IF(A111="","",SUM(M111:O111))</f>
        <v/>
      </c>
      <c r="Q111" s="8" t="n"/>
      <c r="R111" s="8" t="n"/>
      <c r="S111" s="8" t="n"/>
      <c r="T111" s="8">
        <f>IF(A111="","",SUM(Q111:S111))</f>
        <v/>
      </c>
      <c r="U111" s="8">
        <f>IF(A111="","",H111+L111+P111+T111)</f>
        <v/>
      </c>
      <c r="V111" s="8">
        <f>IF(A111="","",IFERROR(VLOOKUP(A111,'F01 - _Données Centrales'!$A$6:$L$20,7,FALSE),0))</f>
        <v/>
      </c>
      <c r="W111" s="8">
        <f>IF(A111="","",V111-U111)</f>
        <v/>
      </c>
    </row>
    <row r="112">
      <c r="A112" s="4" t="n"/>
      <c r="B112" s="4" t="n"/>
      <c r="C112" s="4" t="n"/>
      <c r="D112" s="4" t="n"/>
      <c r="E112" s="5" t="n"/>
      <c r="F112" s="5" t="n"/>
      <c r="G112" s="5" t="n"/>
      <c r="H112" s="5">
        <f>IF(A112="","",SUM(E112:G112))</f>
        <v/>
      </c>
      <c r="I112" s="5" t="n"/>
      <c r="J112" s="5" t="n"/>
      <c r="K112" s="5" t="n"/>
      <c r="L112" s="5">
        <f>IF(A112="","",SUM(I112:K112))</f>
        <v/>
      </c>
      <c r="M112" s="5" t="n"/>
      <c r="N112" s="5" t="n"/>
      <c r="O112" s="5" t="n"/>
      <c r="P112" s="5">
        <f>IF(A112="","",SUM(M112:O112))</f>
        <v/>
      </c>
      <c r="Q112" s="5" t="n"/>
      <c r="R112" s="5" t="n"/>
      <c r="S112" s="5" t="n"/>
      <c r="T112" s="5">
        <f>IF(A112="","",SUM(Q112:S112))</f>
        <v/>
      </c>
      <c r="U112" s="5">
        <f>IF(A112="","",H112+L112+P112+T112)</f>
        <v/>
      </c>
      <c r="V112" s="5">
        <f>IF(A112="","",IFERROR(VLOOKUP(A112,'F01 - _Données Centrales'!$A$6:$L$20,7,FALSE),0))</f>
        <v/>
      </c>
      <c r="W112" s="5">
        <f>IF(A112="","",V112-U112)</f>
        <v/>
      </c>
    </row>
    <row r="113">
      <c r="A113" s="7" t="n"/>
      <c r="B113" s="7" t="n"/>
      <c r="C113" s="7" t="n"/>
      <c r="D113" s="7" t="n"/>
      <c r="E113" s="8" t="n"/>
      <c r="F113" s="8" t="n"/>
      <c r="G113" s="8" t="n"/>
      <c r="H113" s="8">
        <f>IF(A113="","",SUM(E113:G113))</f>
        <v/>
      </c>
      <c r="I113" s="8" t="n"/>
      <c r="J113" s="8" t="n"/>
      <c r="K113" s="8" t="n"/>
      <c r="L113" s="8">
        <f>IF(A113="","",SUM(I113:K113))</f>
        <v/>
      </c>
      <c r="M113" s="8" t="n"/>
      <c r="N113" s="8" t="n"/>
      <c r="O113" s="8" t="n"/>
      <c r="P113" s="8">
        <f>IF(A113="","",SUM(M113:O113))</f>
        <v/>
      </c>
      <c r="Q113" s="8" t="n"/>
      <c r="R113" s="8" t="n"/>
      <c r="S113" s="8" t="n"/>
      <c r="T113" s="8">
        <f>IF(A113="","",SUM(Q113:S113))</f>
        <v/>
      </c>
      <c r="U113" s="8">
        <f>IF(A113="","",H113+L113+P113+T113)</f>
        <v/>
      </c>
      <c r="V113" s="8">
        <f>IF(A113="","",IFERROR(VLOOKUP(A113,'F01 - _Données Centrales'!$A$6:$L$20,7,FALSE),0))</f>
        <v/>
      </c>
      <c r="W113" s="8">
        <f>IF(A113="","",V113-U113)</f>
        <v/>
      </c>
    </row>
    <row r="114">
      <c r="A114" s="4" t="n"/>
      <c r="B114" s="4" t="n"/>
      <c r="C114" s="4" t="n"/>
      <c r="D114" s="4" t="n"/>
      <c r="E114" s="5" t="n"/>
      <c r="F114" s="5" t="n"/>
      <c r="G114" s="5" t="n"/>
      <c r="H114" s="5">
        <f>IF(A114="","",SUM(E114:G114))</f>
        <v/>
      </c>
      <c r="I114" s="5" t="n"/>
      <c r="J114" s="5" t="n"/>
      <c r="K114" s="5" t="n"/>
      <c r="L114" s="5">
        <f>IF(A114="","",SUM(I114:K114))</f>
        <v/>
      </c>
      <c r="M114" s="5" t="n"/>
      <c r="N114" s="5" t="n"/>
      <c r="O114" s="5" t="n"/>
      <c r="P114" s="5">
        <f>IF(A114="","",SUM(M114:O114))</f>
        <v/>
      </c>
      <c r="Q114" s="5" t="n"/>
      <c r="R114" s="5" t="n"/>
      <c r="S114" s="5" t="n"/>
      <c r="T114" s="5">
        <f>IF(A114="","",SUM(Q114:S114))</f>
        <v/>
      </c>
      <c r="U114" s="5">
        <f>IF(A114="","",H114+L114+P114+T114)</f>
        <v/>
      </c>
      <c r="V114" s="5">
        <f>IF(A114="","",IFERROR(VLOOKUP(A114,'F01 - _Données Centrales'!$A$6:$L$20,7,FALSE),0))</f>
        <v/>
      </c>
      <c r="W114" s="5">
        <f>IF(A114="","",V114-U114)</f>
        <v/>
      </c>
    </row>
    <row r="115">
      <c r="A115" s="7" t="n"/>
      <c r="B115" s="7" t="n"/>
      <c r="C115" s="7" t="n"/>
      <c r="D115" s="7" t="n"/>
      <c r="E115" s="8" t="n"/>
      <c r="F115" s="8" t="n"/>
      <c r="G115" s="8" t="n"/>
      <c r="H115" s="8">
        <f>IF(A115="","",SUM(E115:G115))</f>
        <v/>
      </c>
      <c r="I115" s="8" t="n"/>
      <c r="J115" s="8" t="n"/>
      <c r="K115" s="8" t="n"/>
      <c r="L115" s="8">
        <f>IF(A115="","",SUM(I115:K115))</f>
        <v/>
      </c>
      <c r="M115" s="8" t="n"/>
      <c r="N115" s="8" t="n"/>
      <c r="O115" s="8" t="n"/>
      <c r="P115" s="8">
        <f>IF(A115="","",SUM(M115:O115))</f>
        <v/>
      </c>
      <c r="Q115" s="8" t="n"/>
      <c r="R115" s="8" t="n"/>
      <c r="S115" s="8" t="n"/>
      <c r="T115" s="8">
        <f>IF(A115="","",SUM(Q115:S115))</f>
        <v/>
      </c>
      <c r="U115" s="8">
        <f>IF(A115="","",H115+L115+P115+T115)</f>
        <v/>
      </c>
      <c r="V115" s="8">
        <f>IF(A115="","",IFERROR(VLOOKUP(A115,'F01 - _Données Centrales'!$A$6:$L$20,7,FALSE),0))</f>
        <v/>
      </c>
      <c r="W115" s="8">
        <f>IF(A115="","",V115-U115)</f>
        <v/>
      </c>
    </row>
  </sheetData>
  <mergeCells count="2">
    <mergeCell ref="A3:P3"/>
    <mergeCell ref="A2:P2"/>
  </mergeCells>
  <dataValidations count="1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_Lists'!$A$6:$A$35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3593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2" customWidth="1" min="4" max="4"/>
    <col width="22" customWidth="1" min="5" max="5"/>
    <col width="20" customWidth="1" min="6" max="6"/>
    <col width="14" customWidth="1" min="7" max="7"/>
    <col width="16" customWidth="1" min="8" max="8"/>
  </cols>
  <sheetData>
    <row r="2" ht="25" customHeight="1">
      <c r="A2" s="1" t="inlineStr">
        <is>
          <t>DOMAINE 26 — 3-SUIVI DE LA MASSE SALARIALE</t>
        </is>
      </c>
    </row>
    <row r="3" ht="18" customHeight="1">
      <c r="A3" s="2" t="inlineStr">
        <is>
          <t>TABLEAU DYNAMIQUE — Suivi mensuel et cumul de la masse salariale par département</t>
        </is>
      </c>
    </row>
    <row r="5">
      <c r="A5" s="3" t="inlineStr">
        <is>
          <t>Département</t>
        </is>
      </c>
      <c r="B5" s="3" t="inlineStr">
        <is>
          <t>Effectif</t>
        </is>
      </c>
      <c r="C5" s="3" t="inlineStr">
        <is>
          <t>Salaire Brut Total (FCFA)</t>
        </is>
      </c>
      <c r="D5" s="3" t="inlineStr">
        <is>
          <t>Charges Patronales (FCFA)</t>
        </is>
      </c>
      <c r="E5" s="3" t="inlineStr">
        <is>
          <t>Coût Total Employeur (FCFA)</t>
        </is>
      </c>
      <c r="F5" s="3" t="inlineStr">
        <is>
          <t>Salaire Moyen (FCFA)</t>
        </is>
      </c>
      <c r="G5" s="3" t="inlineStr">
        <is>
          <t>% du Total RH</t>
        </is>
      </c>
      <c r="H5" s="3" t="inlineStr">
        <is>
          <t>Mois</t>
        </is>
      </c>
    </row>
    <row r="6">
      <c r="A6" s="4" t="inlineStr">
        <is>
          <t>Direction Générale</t>
        </is>
      </c>
      <c r="B6" s="4" t="n">
        <v>5</v>
      </c>
      <c r="C6" s="5" t="n">
        <v>42500000</v>
      </c>
      <c r="D6" s="5" t="n">
        <v>12750000</v>
      </c>
      <c r="E6" s="5">
        <f>C6+D6</f>
        <v/>
      </c>
      <c r="F6" s="5">
        <f>IFERROR(C6/B6,0)</f>
        <v/>
      </c>
      <c r="G6" s="6">
        <f>IFERROR(C6/SUM($C$6:$C$15),0)</f>
        <v/>
      </c>
      <c r="H6" s="4" t="inlineStr">
        <is>
          <t>Janvier 2025</t>
        </is>
      </c>
    </row>
    <row r="7">
      <c r="A7" s="7" t="inlineStr">
        <is>
          <t>Ressources Humaines</t>
        </is>
      </c>
      <c r="B7" s="7" t="n">
        <v>12</v>
      </c>
      <c r="C7" s="8" t="n">
        <v>18000000</v>
      </c>
      <c r="D7" s="8" t="n">
        <v>5400000</v>
      </c>
      <c r="E7" s="8">
        <f>C7+D7</f>
        <v/>
      </c>
      <c r="F7" s="8">
        <f>IFERROR(C7/B7,0)</f>
        <v/>
      </c>
      <c r="G7" s="9">
        <f>IFERROR(C7/SUM($C$6:$C$15),0)</f>
        <v/>
      </c>
      <c r="H7" s="7" t="inlineStr">
        <is>
          <t>Janvier 2025</t>
        </is>
      </c>
    </row>
    <row r="8">
      <c r="A8" s="4" t="inlineStr">
        <is>
          <t>Finance &amp; Comptabilité</t>
        </is>
      </c>
      <c r="B8" s="4" t="n">
        <v>10</v>
      </c>
      <c r="C8" s="5" t="n">
        <v>15200000</v>
      </c>
      <c r="D8" s="5" t="n">
        <v>4560000</v>
      </c>
      <c r="E8" s="5">
        <f>C8+D8</f>
        <v/>
      </c>
      <c r="F8" s="5">
        <f>IFERROR(C8/B8,0)</f>
        <v/>
      </c>
      <c r="G8" s="6">
        <f>IFERROR(C8/SUM($C$6:$C$15),0)</f>
        <v/>
      </c>
      <c r="H8" s="4" t="inlineStr">
        <is>
          <t>Janvier 2025</t>
        </is>
      </c>
    </row>
    <row r="9">
      <c r="A9" s="7" t="inlineStr">
        <is>
          <t>Cuisine &amp; Restauration</t>
        </is>
      </c>
      <c r="B9" s="7" t="n">
        <v>45</v>
      </c>
      <c r="C9" s="8" t="n">
        <v>27000000</v>
      </c>
      <c r="D9" s="8" t="n">
        <v>8100000</v>
      </c>
      <c r="E9" s="8">
        <f>C9+D9</f>
        <v/>
      </c>
      <c r="F9" s="8">
        <f>IFERROR(C9/B9,0)</f>
        <v/>
      </c>
      <c r="G9" s="9">
        <f>IFERROR(C9/SUM($C$6:$C$15),0)</f>
        <v/>
      </c>
      <c r="H9" s="7" t="inlineStr">
        <is>
          <t>Janvier 2025</t>
        </is>
      </c>
    </row>
    <row r="10">
      <c r="A10" s="4" t="inlineStr">
        <is>
          <t>Réception &amp; Front Office</t>
        </is>
      </c>
      <c r="B10" s="4" t="n">
        <v>25</v>
      </c>
      <c r="C10" s="5" t="n">
        <v>17500000</v>
      </c>
      <c r="D10" s="5" t="n">
        <v>5250000</v>
      </c>
      <c r="E10" s="5">
        <f>C10+D10</f>
        <v/>
      </c>
      <c r="F10" s="5">
        <f>IFERROR(C10/B10,0)</f>
        <v/>
      </c>
      <c r="G10" s="6">
        <f>IFERROR(C10/SUM($C$6:$C$15),0)</f>
        <v/>
      </c>
      <c r="H10" s="4" t="inlineStr">
        <is>
          <t>Janvier 2025</t>
        </is>
      </c>
    </row>
    <row r="11">
      <c r="A11" s="7" t="inlineStr">
        <is>
          <t>Maintenance &amp; Technique</t>
        </is>
      </c>
      <c r="B11" s="7" t="n">
        <v>18</v>
      </c>
      <c r="C11" s="8" t="n">
        <v>14400000</v>
      </c>
      <c r="D11" s="8" t="n">
        <v>4320000</v>
      </c>
      <c r="E11" s="8">
        <f>C11+D11</f>
        <v/>
      </c>
      <c r="F11" s="8">
        <f>IFERROR(C11/B11,0)</f>
        <v/>
      </c>
      <c r="G11" s="9">
        <f>IFERROR(C11/SUM($C$6:$C$15),0)</f>
        <v/>
      </c>
      <c r="H11" s="7" t="inlineStr">
        <is>
          <t>Janvier 2025</t>
        </is>
      </c>
    </row>
    <row r="12">
      <c r="A12" s="4" t="inlineStr">
        <is>
          <t>Marketing &amp; Communication</t>
        </is>
      </c>
      <c r="B12" s="4" t="n">
        <v>8</v>
      </c>
      <c r="C12" s="5" t="n">
        <v>9600000</v>
      </c>
      <c r="D12" s="5" t="n">
        <v>2880000</v>
      </c>
      <c r="E12" s="5">
        <f>C12+D12</f>
        <v/>
      </c>
      <c r="F12" s="5">
        <f>IFERROR(C12/B12,0)</f>
        <v/>
      </c>
      <c r="G12" s="6">
        <f>IFERROR(C12/SUM($C$6:$C$15),0)</f>
        <v/>
      </c>
      <c r="H12" s="4" t="inlineStr">
        <is>
          <t>Janvier 2025</t>
        </is>
      </c>
    </row>
    <row r="13">
      <c r="A13" s="7" t="inlineStr">
        <is>
          <t>Revenue Management</t>
        </is>
      </c>
      <c r="B13" s="7" t="n">
        <v>6</v>
      </c>
      <c r="C13" s="8" t="n">
        <v>7800000</v>
      </c>
      <c r="D13" s="8" t="n">
        <v>2340000</v>
      </c>
      <c r="E13" s="8">
        <f>C13+D13</f>
        <v/>
      </c>
      <c r="F13" s="8">
        <f>IFERROR(C13/B13,0)</f>
        <v/>
      </c>
      <c r="G13" s="9">
        <f>IFERROR(C13/SUM($C$6:$C$15),0)</f>
        <v/>
      </c>
      <c r="H13" s="7" t="inlineStr">
        <is>
          <t>Janvier 2025</t>
        </is>
      </c>
    </row>
    <row r="14">
      <c r="A14" s="4" t="inlineStr">
        <is>
          <t>Sécurité</t>
        </is>
      </c>
      <c r="B14" s="4" t="n">
        <v>15</v>
      </c>
      <c r="C14" s="5" t="n">
        <v>7500000</v>
      </c>
      <c r="D14" s="5" t="n">
        <v>2250000</v>
      </c>
      <c r="E14" s="5">
        <f>C14+D14</f>
        <v/>
      </c>
      <c r="F14" s="5">
        <f>IFERROR(C14/B14,0)</f>
        <v/>
      </c>
      <c r="G14" s="6">
        <f>IFERROR(C14/SUM($C$6:$C$15),0)</f>
        <v/>
      </c>
      <c r="H14" s="4" t="inlineStr">
        <is>
          <t>Janvier 2025</t>
        </is>
      </c>
    </row>
    <row r="15">
      <c r="A15" s="7" t="inlineStr">
        <is>
          <t>Commerce</t>
        </is>
      </c>
      <c r="B15" s="7" t="n">
        <v>10</v>
      </c>
      <c r="C15" s="8" t="n">
        <v>9000000</v>
      </c>
      <c r="D15" s="8" t="n">
        <v>2700000</v>
      </c>
      <c r="E15" s="8">
        <f>C15+D15</f>
        <v/>
      </c>
      <c r="F15" s="8">
        <f>IFERROR(C15/B15,0)</f>
        <v/>
      </c>
      <c r="G15" s="9">
        <f>IFERROR(C15/SUM($C$6:$C$15),0)</f>
        <v/>
      </c>
      <c r="H15" s="7" t="inlineStr">
        <is>
          <t>Janvier 2025</t>
        </is>
      </c>
    </row>
    <row r="16">
      <c r="A16" s="4" t="n"/>
      <c r="B16" s="4" t="n"/>
      <c r="C16" s="5" t="n"/>
      <c r="D16" s="5" t="n"/>
      <c r="E16" s="5">
        <f>IF(A16="","",C16+D16)</f>
        <v/>
      </c>
      <c r="F16" s="5">
        <f>IF(OR(A16="",B16=""),"",IFERROR(C16/B16,0))</f>
        <v/>
      </c>
      <c r="G16" s="6">
        <f>IF(A16="","",IFERROR(C16/SUM($C$6:$C$115),0))</f>
        <v/>
      </c>
      <c r="H16" s="4" t="n"/>
    </row>
    <row r="17">
      <c r="A17" s="7" t="n"/>
      <c r="B17" s="7" t="n"/>
      <c r="C17" s="8" t="n"/>
      <c r="D17" s="8" t="n"/>
      <c r="E17" s="8">
        <f>IF(A17="","",C17+D17)</f>
        <v/>
      </c>
      <c r="F17" s="8">
        <f>IF(OR(A17="",B17=""),"",IFERROR(C17/B17,0))</f>
        <v/>
      </c>
      <c r="G17" s="9">
        <f>IF(A17="","",IFERROR(C17/SUM($C$6:$C$115),0))</f>
        <v/>
      </c>
      <c r="H17" s="7" t="n"/>
    </row>
    <row r="18">
      <c r="A18" s="4" t="n"/>
      <c r="B18" s="4" t="n"/>
      <c r="C18" s="5" t="n"/>
      <c r="D18" s="5" t="n"/>
      <c r="E18" s="5">
        <f>IF(A18="","",C18+D18)</f>
        <v/>
      </c>
      <c r="F18" s="5">
        <f>IF(OR(A18="",B18=""),"",IFERROR(C18/B18,0))</f>
        <v/>
      </c>
      <c r="G18" s="6">
        <f>IF(A18="","",IFERROR(C18/SUM($C$6:$C$115),0))</f>
        <v/>
      </c>
      <c r="H18" s="4" t="n"/>
    </row>
    <row r="19">
      <c r="A19" s="7" t="n"/>
      <c r="B19" s="7" t="n"/>
      <c r="C19" s="8" t="n"/>
      <c r="D19" s="8" t="n"/>
      <c r="E19" s="8">
        <f>IF(A19="","",C19+D19)</f>
        <v/>
      </c>
      <c r="F19" s="8">
        <f>IF(OR(A19="",B19=""),"",IFERROR(C19/B19,0))</f>
        <v/>
      </c>
      <c r="G19" s="9">
        <f>IF(A19="","",IFERROR(C19/SUM($C$6:$C$115),0))</f>
        <v/>
      </c>
      <c r="H19" s="7" t="n"/>
    </row>
    <row r="20">
      <c r="A20" s="4" t="n"/>
      <c r="B20" s="4" t="n"/>
      <c r="C20" s="5" t="n"/>
      <c r="D20" s="5" t="n"/>
      <c r="E20" s="5">
        <f>IF(A20="","",C20+D20)</f>
        <v/>
      </c>
      <c r="F20" s="5">
        <f>IF(OR(A20="",B20=""),"",IFERROR(C20/B20,0))</f>
        <v/>
      </c>
      <c r="G20" s="6">
        <f>IF(A20="","",IFERROR(C20/SUM($C$6:$C$115),0))</f>
        <v/>
      </c>
      <c r="H20" s="4" t="n"/>
    </row>
    <row r="21">
      <c r="A21" s="7" t="n"/>
      <c r="B21" s="7" t="n"/>
      <c r="C21" s="8" t="n"/>
      <c r="D21" s="8" t="n"/>
      <c r="E21" s="8">
        <f>IF(A21="","",C21+D21)</f>
        <v/>
      </c>
      <c r="F21" s="8">
        <f>IF(OR(A21="",B21=""),"",IFERROR(C21/B21,0))</f>
        <v/>
      </c>
      <c r="G21" s="9">
        <f>IF(A21="","",IFERROR(C21/SUM($C$6:$C$115),0))</f>
        <v/>
      </c>
      <c r="H21" s="7" t="n"/>
    </row>
    <row r="22">
      <c r="A22" s="4" t="n"/>
      <c r="B22" s="4" t="n"/>
      <c r="C22" s="5" t="n"/>
      <c r="D22" s="5" t="n"/>
      <c r="E22" s="5">
        <f>IF(A22="","",C22+D22)</f>
        <v/>
      </c>
      <c r="F22" s="5">
        <f>IF(OR(A22="",B22=""),"",IFERROR(C22/B22,0))</f>
        <v/>
      </c>
      <c r="G22" s="6">
        <f>IF(A22="","",IFERROR(C22/SUM($C$6:$C$115),0))</f>
        <v/>
      </c>
      <c r="H22" s="4" t="n"/>
    </row>
    <row r="23">
      <c r="A23" s="7" t="n"/>
      <c r="B23" s="7" t="n"/>
      <c r="C23" s="8" t="n"/>
      <c r="D23" s="8" t="n"/>
      <c r="E23" s="8">
        <f>IF(A23="","",C23+D23)</f>
        <v/>
      </c>
      <c r="F23" s="8">
        <f>IF(OR(A23="",B23=""),"",IFERROR(C23/B23,0))</f>
        <v/>
      </c>
      <c r="G23" s="9">
        <f>IF(A23="","",IFERROR(C23/SUM($C$6:$C$115),0))</f>
        <v/>
      </c>
      <c r="H23" s="7" t="n"/>
    </row>
    <row r="24">
      <c r="A24" s="4" t="n"/>
      <c r="B24" s="4" t="n"/>
      <c r="C24" s="5" t="n"/>
      <c r="D24" s="5" t="n"/>
      <c r="E24" s="5">
        <f>IF(A24="","",C24+D24)</f>
        <v/>
      </c>
      <c r="F24" s="5">
        <f>IF(OR(A24="",B24=""),"",IFERROR(C24/B24,0))</f>
        <v/>
      </c>
      <c r="G24" s="6">
        <f>IF(A24="","",IFERROR(C24/SUM($C$6:$C$115),0))</f>
        <v/>
      </c>
      <c r="H24" s="4" t="n"/>
    </row>
    <row r="25">
      <c r="A25" s="7" t="n"/>
      <c r="B25" s="7" t="n"/>
      <c r="C25" s="8" t="n"/>
      <c r="D25" s="8" t="n"/>
      <c r="E25" s="8">
        <f>IF(A25="","",C25+D25)</f>
        <v/>
      </c>
      <c r="F25" s="8">
        <f>IF(OR(A25="",B25=""),"",IFERROR(C25/B25,0))</f>
        <v/>
      </c>
      <c r="G25" s="9">
        <f>IF(A25="","",IFERROR(C25/SUM($C$6:$C$115),0))</f>
        <v/>
      </c>
      <c r="H25" s="7" t="n"/>
    </row>
    <row r="26">
      <c r="A26" s="4" t="n"/>
      <c r="B26" s="4" t="n"/>
      <c r="C26" s="5" t="n"/>
      <c r="D26" s="5" t="n"/>
      <c r="E26" s="5">
        <f>IF(A26="","",C26+D26)</f>
        <v/>
      </c>
      <c r="F26" s="5">
        <f>IF(OR(A26="",B26=""),"",IFERROR(C26/B26,0))</f>
        <v/>
      </c>
      <c r="G26" s="6">
        <f>IF(A26="","",IFERROR(C26/SUM($C$6:$C$115),0))</f>
        <v/>
      </c>
      <c r="H26" s="4" t="n"/>
    </row>
    <row r="27">
      <c r="A27" s="7" t="n"/>
      <c r="B27" s="7" t="n"/>
      <c r="C27" s="8" t="n"/>
      <c r="D27" s="8" t="n"/>
      <c r="E27" s="8">
        <f>IF(A27="","",C27+D27)</f>
        <v/>
      </c>
      <c r="F27" s="8">
        <f>IF(OR(A27="",B27=""),"",IFERROR(C27/B27,0))</f>
        <v/>
      </c>
      <c r="G27" s="9">
        <f>IF(A27="","",IFERROR(C27/SUM($C$6:$C$115),0))</f>
        <v/>
      </c>
      <c r="H27" s="7" t="n"/>
    </row>
    <row r="28">
      <c r="A28" s="4" t="n"/>
      <c r="B28" s="4" t="n"/>
      <c r="C28" s="5" t="n"/>
      <c r="D28" s="5" t="n"/>
      <c r="E28" s="5">
        <f>IF(A28="","",C28+D28)</f>
        <v/>
      </c>
      <c r="F28" s="5">
        <f>IF(OR(A28="",B28=""),"",IFERROR(C28/B28,0))</f>
        <v/>
      </c>
      <c r="G28" s="6">
        <f>IF(A28="","",IFERROR(C28/SUM($C$6:$C$115),0))</f>
        <v/>
      </c>
      <c r="H28" s="4" t="n"/>
    </row>
    <row r="29">
      <c r="A29" s="7" t="n"/>
      <c r="B29" s="7" t="n"/>
      <c r="C29" s="8" t="n"/>
      <c r="D29" s="8" t="n"/>
      <c r="E29" s="8">
        <f>IF(A29="","",C29+D29)</f>
        <v/>
      </c>
      <c r="F29" s="8">
        <f>IF(OR(A29="",B29=""),"",IFERROR(C29/B29,0))</f>
        <v/>
      </c>
      <c r="G29" s="9">
        <f>IF(A29="","",IFERROR(C29/SUM($C$6:$C$115),0))</f>
        <v/>
      </c>
      <c r="H29" s="7" t="n"/>
    </row>
    <row r="30">
      <c r="A30" s="4" t="n"/>
      <c r="B30" s="4" t="n"/>
      <c r="C30" s="5" t="n"/>
      <c r="D30" s="5" t="n"/>
      <c r="E30" s="5">
        <f>IF(A30="","",C30+D30)</f>
        <v/>
      </c>
      <c r="F30" s="5">
        <f>IF(OR(A30="",B30=""),"",IFERROR(C30/B30,0))</f>
        <v/>
      </c>
      <c r="G30" s="6">
        <f>IF(A30="","",IFERROR(C30/SUM($C$6:$C$115),0))</f>
        <v/>
      </c>
      <c r="H30" s="4" t="n"/>
    </row>
    <row r="31">
      <c r="A31" s="7" t="n"/>
      <c r="B31" s="7" t="n"/>
      <c r="C31" s="8" t="n"/>
      <c r="D31" s="8" t="n"/>
      <c r="E31" s="8">
        <f>IF(A31="","",C31+D31)</f>
        <v/>
      </c>
      <c r="F31" s="8">
        <f>IF(OR(A31="",B31=""),"",IFERROR(C31/B31,0))</f>
        <v/>
      </c>
      <c r="G31" s="9">
        <f>IF(A31="","",IFERROR(C31/SUM($C$6:$C$115),0))</f>
        <v/>
      </c>
      <c r="H31" s="7" t="n"/>
    </row>
    <row r="32">
      <c r="A32" s="4" t="n"/>
      <c r="B32" s="4" t="n"/>
      <c r="C32" s="5" t="n"/>
      <c r="D32" s="5" t="n"/>
      <c r="E32" s="5">
        <f>IF(A32="","",C32+D32)</f>
        <v/>
      </c>
      <c r="F32" s="5">
        <f>IF(OR(A32="",B32=""),"",IFERROR(C32/B32,0))</f>
        <v/>
      </c>
      <c r="G32" s="6">
        <f>IF(A32="","",IFERROR(C32/SUM($C$6:$C$115),0))</f>
        <v/>
      </c>
      <c r="H32" s="4" t="n"/>
    </row>
    <row r="33">
      <c r="A33" s="7" t="n"/>
      <c r="B33" s="7" t="n"/>
      <c r="C33" s="8" t="n"/>
      <c r="D33" s="8" t="n"/>
      <c r="E33" s="8">
        <f>IF(A33="","",C33+D33)</f>
        <v/>
      </c>
      <c r="F33" s="8">
        <f>IF(OR(A33="",B33=""),"",IFERROR(C33/B33,0))</f>
        <v/>
      </c>
      <c r="G33" s="9">
        <f>IF(A33="","",IFERROR(C33/SUM($C$6:$C$115),0))</f>
        <v/>
      </c>
      <c r="H33" s="7" t="n"/>
    </row>
    <row r="34">
      <c r="A34" s="4" t="n"/>
      <c r="B34" s="4" t="n"/>
      <c r="C34" s="5" t="n"/>
      <c r="D34" s="5" t="n"/>
      <c r="E34" s="5">
        <f>IF(A34="","",C34+D34)</f>
        <v/>
      </c>
      <c r="F34" s="5">
        <f>IF(OR(A34="",B34=""),"",IFERROR(C34/B34,0))</f>
        <v/>
      </c>
      <c r="G34" s="6">
        <f>IF(A34="","",IFERROR(C34/SUM($C$6:$C$115),0))</f>
        <v/>
      </c>
      <c r="H34" s="4" t="n"/>
    </row>
    <row r="35">
      <c r="A35" s="7" t="n"/>
      <c r="B35" s="7" t="n"/>
      <c r="C35" s="8" t="n"/>
      <c r="D35" s="8" t="n"/>
      <c r="E35" s="8">
        <f>IF(A35="","",C35+D35)</f>
        <v/>
      </c>
      <c r="F35" s="8">
        <f>IF(OR(A35="",B35=""),"",IFERROR(C35/B35,0))</f>
        <v/>
      </c>
      <c r="G35" s="9">
        <f>IF(A35="","",IFERROR(C35/SUM($C$6:$C$115),0))</f>
        <v/>
      </c>
      <c r="H35" s="7" t="n"/>
    </row>
    <row r="36">
      <c r="A36" s="4" t="n"/>
      <c r="B36" s="4" t="n"/>
      <c r="C36" s="5" t="n"/>
      <c r="D36" s="5" t="n"/>
      <c r="E36" s="5">
        <f>IF(A36="","",C36+D36)</f>
        <v/>
      </c>
      <c r="F36" s="5">
        <f>IF(OR(A36="",B36=""),"",IFERROR(C36/B36,0))</f>
        <v/>
      </c>
      <c r="G36" s="6">
        <f>IF(A36="","",IFERROR(C36/SUM($C$6:$C$115),0))</f>
        <v/>
      </c>
      <c r="H36" s="4" t="n"/>
    </row>
    <row r="37">
      <c r="A37" s="7" t="n"/>
      <c r="B37" s="7" t="n"/>
      <c r="C37" s="8" t="n"/>
      <c r="D37" s="8" t="n"/>
      <c r="E37" s="8">
        <f>IF(A37="","",C37+D37)</f>
        <v/>
      </c>
      <c r="F37" s="8">
        <f>IF(OR(A37="",B37=""),"",IFERROR(C37/B37,0))</f>
        <v/>
      </c>
      <c r="G37" s="9">
        <f>IF(A37="","",IFERROR(C37/SUM($C$6:$C$115),0))</f>
        <v/>
      </c>
      <c r="H37" s="7" t="n"/>
    </row>
    <row r="38">
      <c r="A38" s="4" t="n"/>
      <c r="B38" s="4" t="n"/>
      <c r="C38" s="5" t="n"/>
      <c r="D38" s="5" t="n"/>
      <c r="E38" s="5">
        <f>IF(A38="","",C38+D38)</f>
        <v/>
      </c>
      <c r="F38" s="5">
        <f>IF(OR(A38="",B38=""),"",IFERROR(C38/B38,0))</f>
        <v/>
      </c>
      <c r="G38" s="6">
        <f>IF(A38="","",IFERROR(C38/SUM($C$6:$C$115),0))</f>
        <v/>
      </c>
      <c r="H38" s="4" t="n"/>
    </row>
    <row r="39">
      <c r="A39" s="7" t="n"/>
      <c r="B39" s="7" t="n"/>
      <c r="C39" s="8" t="n"/>
      <c r="D39" s="8" t="n"/>
      <c r="E39" s="8">
        <f>IF(A39="","",C39+D39)</f>
        <v/>
      </c>
      <c r="F39" s="8">
        <f>IF(OR(A39="",B39=""),"",IFERROR(C39/B39,0))</f>
        <v/>
      </c>
      <c r="G39" s="9">
        <f>IF(A39="","",IFERROR(C39/SUM($C$6:$C$115),0))</f>
        <v/>
      </c>
      <c r="H39" s="7" t="n"/>
    </row>
    <row r="40">
      <c r="A40" s="4" t="n"/>
      <c r="B40" s="4" t="n"/>
      <c r="C40" s="5" t="n"/>
      <c r="D40" s="5" t="n"/>
      <c r="E40" s="5">
        <f>IF(A40="","",C40+D40)</f>
        <v/>
      </c>
      <c r="F40" s="5">
        <f>IF(OR(A40="",B40=""),"",IFERROR(C40/B40,0))</f>
        <v/>
      </c>
      <c r="G40" s="6">
        <f>IF(A40="","",IFERROR(C40/SUM($C$6:$C$115),0))</f>
        <v/>
      </c>
      <c r="H40" s="4" t="n"/>
    </row>
    <row r="41">
      <c r="A41" s="7" t="n"/>
      <c r="B41" s="7" t="n"/>
      <c r="C41" s="8" t="n"/>
      <c r="D41" s="8" t="n"/>
      <c r="E41" s="8">
        <f>IF(A41="","",C41+D41)</f>
        <v/>
      </c>
      <c r="F41" s="8">
        <f>IF(OR(A41="",B41=""),"",IFERROR(C41/B41,0))</f>
        <v/>
      </c>
      <c r="G41" s="9">
        <f>IF(A41="","",IFERROR(C41/SUM($C$6:$C$115),0))</f>
        <v/>
      </c>
      <c r="H41" s="7" t="n"/>
    </row>
    <row r="42">
      <c r="A42" s="4" t="n"/>
      <c r="B42" s="4" t="n"/>
      <c r="C42" s="5" t="n"/>
      <c r="D42" s="5" t="n"/>
      <c r="E42" s="5">
        <f>IF(A42="","",C42+D42)</f>
        <v/>
      </c>
      <c r="F42" s="5">
        <f>IF(OR(A42="",B42=""),"",IFERROR(C42/B42,0))</f>
        <v/>
      </c>
      <c r="G42" s="6">
        <f>IF(A42="","",IFERROR(C42/SUM($C$6:$C$115),0))</f>
        <v/>
      </c>
      <c r="H42" s="4" t="n"/>
    </row>
    <row r="43">
      <c r="A43" s="7" t="n"/>
      <c r="B43" s="7" t="n"/>
      <c r="C43" s="8" t="n"/>
      <c r="D43" s="8" t="n"/>
      <c r="E43" s="8">
        <f>IF(A43="","",C43+D43)</f>
        <v/>
      </c>
      <c r="F43" s="8">
        <f>IF(OR(A43="",B43=""),"",IFERROR(C43/B43,0))</f>
        <v/>
      </c>
      <c r="G43" s="9">
        <f>IF(A43="","",IFERROR(C43/SUM($C$6:$C$115),0))</f>
        <v/>
      </c>
      <c r="H43" s="7" t="n"/>
    </row>
    <row r="44">
      <c r="A44" s="4" t="n"/>
      <c r="B44" s="4" t="n"/>
      <c r="C44" s="5" t="n"/>
      <c r="D44" s="5" t="n"/>
      <c r="E44" s="5">
        <f>IF(A44="","",C44+D44)</f>
        <v/>
      </c>
      <c r="F44" s="5">
        <f>IF(OR(A44="",B44=""),"",IFERROR(C44/B44,0))</f>
        <v/>
      </c>
      <c r="G44" s="6">
        <f>IF(A44="","",IFERROR(C44/SUM($C$6:$C$115),0))</f>
        <v/>
      </c>
      <c r="H44" s="4" t="n"/>
    </row>
    <row r="45">
      <c r="A45" s="7" t="n"/>
      <c r="B45" s="7" t="n"/>
      <c r="C45" s="8" t="n"/>
      <c r="D45" s="8" t="n"/>
      <c r="E45" s="8">
        <f>IF(A45="","",C45+D45)</f>
        <v/>
      </c>
      <c r="F45" s="8">
        <f>IF(OR(A45="",B45=""),"",IFERROR(C45/B45,0))</f>
        <v/>
      </c>
      <c r="G45" s="9">
        <f>IF(A45="","",IFERROR(C45/SUM($C$6:$C$115),0))</f>
        <v/>
      </c>
      <c r="H45" s="7" t="n"/>
    </row>
    <row r="46">
      <c r="A46" s="4" t="n"/>
      <c r="B46" s="4" t="n"/>
      <c r="C46" s="5" t="n"/>
      <c r="D46" s="5" t="n"/>
      <c r="E46" s="5">
        <f>IF(A46="","",C46+D46)</f>
        <v/>
      </c>
      <c r="F46" s="5">
        <f>IF(OR(A46="",B46=""),"",IFERROR(C46/B46,0))</f>
        <v/>
      </c>
      <c r="G46" s="6">
        <f>IF(A46="","",IFERROR(C46/SUM($C$6:$C$115),0))</f>
        <v/>
      </c>
      <c r="H46" s="4" t="n"/>
    </row>
    <row r="47">
      <c r="A47" s="7" t="n"/>
      <c r="B47" s="7" t="n"/>
      <c r="C47" s="8" t="n"/>
      <c r="D47" s="8" t="n"/>
      <c r="E47" s="8">
        <f>IF(A47="","",C47+D47)</f>
        <v/>
      </c>
      <c r="F47" s="8">
        <f>IF(OR(A47="",B47=""),"",IFERROR(C47/B47,0))</f>
        <v/>
      </c>
      <c r="G47" s="9">
        <f>IF(A47="","",IFERROR(C47/SUM($C$6:$C$115),0))</f>
        <v/>
      </c>
      <c r="H47" s="7" t="n"/>
    </row>
    <row r="48">
      <c r="A48" s="4" t="n"/>
      <c r="B48" s="4" t="n"/>
      <c r="C48" s="5" t="n"/>
      <c r="D48" s="5" t="n"/>
      <c r="E48" s="5">
        <f>IF(A48="","",C48+D48)</f>
        <v/>
      </c>
      <c r="F48" s="5">
        <f>IF(OR(A48="",B48=""),"",IFERROR(C48/B48,0))</f>
        <v/>
      </c>
      <c r="G48" s="6">
        <f>IF(A48="","",IFERROR(C48/SUM($C$6:$C$115),0))</f>
        <v/>
      </c>
      <c r="H48" s="4" t="n"/>
    </row>
    <row r="49">
      <c r="A49" s="7" t="n"/>
      <c r="B49" s="7" t="n"/>
      <c r="C49" s="8" t="n"/>
      <c r="D49" s="8" t="n"/>
      <c r="E49" s="8">
        <f>IF(A49="","",C49+D49)</f>
        <v/>
      </c>
      <c r="F49" s="8">
        <f>IF(OR(A49="",B49=""),"",IFERROR(C49/B49,0))</f>
        <v/>
      </c>
      <c r="G49" s="9">
        <f>IF(A49="","",IFERROR(C49/SUM($C$6:$C$115),0))</f>
        <v/>
      </c>
      <c r="H49" s="7" t="n"/>
    </row>
    <row r="50">
      <c r="A50" s="4" t="n"/>
      <c r="B50" s="4" t="n"/>
      <c r="C50" s="5" t="n"/>
      <c r="D50" s="5" t="n"/>
      <c r="E50" s="5">
        <f>IF(A50="","",C50+D50)</f>
        <v/>
      </c>
      <c r="F50" s="5">
        <f>IF(OR(A50="",B50=""),"",IFERROR(C50/B50,0))</f>
        <v/>
      </c>
      <c r="G50" s="6">
        <f>IF(A50="","",IFERROR(C50/SUM($C$6:$C$115),0))</f>
        <v/>
      </c>
      <c r="H50" s="4" t="n"/>
    </row>
    <row r="51">
      <c r="A51" s="7" t="n"/>
      <c r="B51" s="7" t="n"/>
      <c r="C51" s="8" t="n"/>
      <c r="D51" s="8" t="n"/>
      <c r="E51" s="8">
        <f>IF(A51="","",C51+D51)</f>
        <v/>
      </c>
      <c r="F51" s="8">
        <f>IF(OR(A51="",B51=""),"",IFERROR(C51/B51,0))</f>
        <v/>
      </c>
      <c r="G51" s="9">
        <f>IF(A51="","",IFERROR(C51/SUM($C$6:$C$115),0))</f>
        <v/>
      </c>
      <c r="H51" s="7" t="n"/>
    </row>
    <row r="52">
      <c r="A52" s="4" t="n"/>
      <c r="B52" s="4" t="n"/>
      <c r="C52" s="5" t="n"/>
      <c r="D52" s="5" t="n"/>
      <c r="E52" s="5">
        <f>IF(A52="","",C52+D52)</f>
        <v/>
      </c>
      <c r="F52" s="5">
        <f>IF(OR(A52="",B52=""),"",IFERROR(C52/B52,0))</f>
        <v/>
      </c>
      <c r="G52" s="6">
        <f>IF(A52="","",IFERROR(C52/SUM($C$6:$C$115),0))</f>
        <v/>
      </c>
      <c r="H52" s="4" t="n"/>
    </row>
    <row r="53">
      <c r="A53" s="7" t="n"/>
      <c r="B53" s="7" t="n"/>
      <c r="C53" s="8" t="n"/>
      <c r="D53" s="8" t="n"/>
      <c r="E53" s="8">
        <f>IF(A53="","",C53+D53)</f>
        <v/>
      </c>
      <c r="F53" s="8">
        <f>IF(OR(A53="",B53=""),"",IFERROR(C53/B53,0))</f>
        <v/>
      </c>
      <c r="G53" s="9">
        <f>IF(A53="","",IFERROR(C53/SUM($C$6:$C$115),0))</f>
        <v/>
      </c>
      <c r="H53" s="7" t="n"/>
    </row>
    <row r="54">
      <c r="A54" s="4" t="n"/>
      <c r="B54" s="4" t="n"/>
      <c r="C54" s="5" t="n"/>
      <c r="D54" s="5" t="n"/>
      <c r="E54" s="5">
        <f>IF(A54="","",C54+D54)</f>
        <v/>
      </c>
      <c r="F54" s="5">
        <f>IF(OR(A54="",B54=""),"",IFERROR(C54/B54,0))</f>
        <v/>
      </c>
      <c r="G54" s="6">
        <f>IF(A54="","",IFERROR(C54/SUM($C$6:$C$115),0))</f>
        <v/>
      </c>
      <c r="H54" s="4" t="n"/>
    </row>
    <row r="55">
      <c r="A55" s="7" t="n"/>
      <c r="B55" s="7" t="n"/>
      <c r="C55" s="8" t="n"/>
      <c r="D55" s="8" t="n"/>
      <c r="E55" s="8">
        <f>IF(A55="","",C55+D55)</f>
        <v/>
      </c>
      <c r="F55" s="8">
        <f>IF(OR(A55="",B55=""),"",IFERROR(C55/B55,0))</f>
        <v/>
      </c>
      <c r="G55" s="9">
        <f>IF(A55="","",IFERROR(C55/SUM($C$6:$C$115),0))</f>
        <v/>
      </c>
      <c r="H55" s="7" t="n"/>
    </row>
    <row r="56">
      <c r="A56" s="4" t="n"/>
      <c r="B56" s="4" t="n"/>
      <c r="C56" s="5" t="n"/>
      <c r="D56" s="5" t="n"/>
      <c r="E56" s="5">
        <f>IF(A56="","",C56+D56)</f>
        <v/>
      </c>
      <c r="F56" s="5">
        <f>IF(OR(A56="",B56=""),"",IFERROR(C56/B56,0))</f>
        <v/>
      </c>
      <c r="G56" s="6">
        <f>IF(A56="","",IFERROR(C56/SUM($C$6:$C$115),0))</f>
        <v/>
      </c>
      <c r="H56" s="4" t="n"/>
    </row>
    <row r="57">
      <c r="A57" s="7" t="n"/>
      <c r="B57" s="7" t="n"/>
      <c r="C57" s="8" t="n"/>
      <c r="D57" s="8" t="n"/>
      <c r="E57" s="8">
        <f>IF(A57="","",C57+D57)</f>
        <v/>
      </c>
      <c r="F57" s="8">
        <f>IF(OR(A57="",B57=""),"",IFERROR(C57/B57,0))</f>
        <v/>
      </c>
      <c r="G57" s="9">
        <f>IF(A57="","",IFERROR(C57/SUM($C$6:$C$115),0))</f>
        <v/>
      </c>
      <c r="H57" s="7" t="n"/>
    </row>
    <row r="58">
      <c r="A58" s="4" t="n"/>
      <c r="B58" s="4" t="n"/>
      <c r="C58" s="5" t="n"/>
      <c r="D58" s="5" t="n"/>
      <c r="E58" s="5">
        <f>IF(A58="","",C58+D58)</f>
        <v/>
      </c>
      <c r="F58" s="5">
        <f>IF(OR(A58="",B58=""),"",IFERROR(C58/B58,0))</f>
        <v/>
      </c>
      <c r="G58" s="6">
        <f>IF(A58="","",IFERROR(C58/SUM($C$6:$C$115),0))</f>
        <v/>
      </c>
      <c r="H58" s="4" t="n"/>
    </row>
    <row r="59">
      <c r="A59" s="7" t="n"/>
      <c r="B59" s="7" t="n"/>
      <c r="C59" s="8" t="n"/>
      <c r="D59" s="8" t="n"/>
      <c r="E59" s="8">
        <f>IF(A59="","",C59+D59)</f>
        <v/>
      </c>
      <c r="F59" s="8">
        <f>IF(OR(A59="",B59=""),"",IFERROR(C59/B59,0))</f>
        <v/>
      </c>
      <c r="G59" s="9">
        <f>IF(A59="","",IFERROR(C59/SUM($C$6:$C$115),0))</f>
        <v/>
      </c>
      <c r="H59" s="7" t="n"/>
    </row>
    <row r="60">
      <c r="A60" s="4" t="n"/>
      <c r="B60" s="4" t="n"/>
      <c r="C60" s="5" t="n"/>
      <c r="D60" s="5" t="n"/>
      <c r="E60" s="5">
        <f>IF(A60="","",C60+D60)</f>
        <v/>
      </c>
      <c r="F60" s="5">
        <f>IF(OR(A60="",B60=""),"",IFERROR(C60/B60,0))</f>
        <v/>
      </c>
      <c r="G60" s="6">
        <f>IF(A60="","",IFERROR(C60/SUM($C$6:$C$115),0))</f>
        <v/>
      </c>
      <c r="H60" s="4" t="n"/>
    </row>
    <row r="61">
      <c r="A61" s="7" t="n"/>
      <c r="B61" s="7" t="n"/>
      <c r="C61" s="8" t="n"/>
      <c r="D61" s="8" t="n"/>
      <c r="E61" s="8">
        <f>IF(A61="","",C61+D61)</f>
        <v/>
      </c>
      <c r="F61" s="8">
        <f>IF(OR(A61="",B61=""),"",IFERROR(C61/B61,0))</f>
        <v/>
      </c>
      <c r="G61" s="9">
        <f>IF(A61="","",IFERROR(C61/SUM($C$6:$C$115),0))</f>
        <v/>
      </c>
      <c r="H61" s="7" t="n"/>
    </row>
    <row r="62">
      <c r="A62" s="4" t="n"/>
      <c r="B62" s="4" t="n"/>
      <c r="C62" s="5" t="n"/>
      <c r="D62" s="5" t="n"/>
      <c r="E62" s="5">
        <f>IF(A62="","",C62+D62)</f>
        <v/>
      </c>
      <c r="F62" s="5">
        <f>IF(OR(A62="",B62=""),"",IFERROR(C62/B62,0))</f>
        <v/>
      </c>
      <c r="G62" s="6">
        <f>IF(A62="","",IFERROR(C62/SUM($C$6:$C$115),0))</f>
        <v/>
      </c>
      <c r="H62" s="4" t="n"/>
    </row>
    <row r="63">
      <c r="A63" s="7" t="n"/>
      <c r="B63" s="7" t="n"/>
      <c r="C63" s="8" t="n"/>
      <c r="D63" s="8" t="n"/>
      <c r="E63" s="8">
        <f>IF(A63="","",C63+D63)</f>
        <v/>
      </c>
      <c r="F63" s="8">
        <f>IF(OR(A63="",B63=""),"",IFERROR(C63/B63,0))</f>
        <v/>
      </c>
      <c r="G63" s="9">
        <f>IF(A63="","",IFERROR(C63/SUM($C$6:$C$115),0))</f>
        <v/>
      </c>
      <c r="H63" s="7" t="n"/>
    </row>
    <row r="64">
      <c r="A64" s="4" t="n"/>
      <c r="B64" s="4" t="n"/>
      <c r="C64" s="5" t="n"/>
      <c r="D64" s="5" t="n"/>
      <c r="E64" s="5">
        <f>IF(A64="","",C64+D64)</f>
        <v/>
      </c>
      <c r="F64" s="5">
        <f>IF(OR(A64="",B64=""),"",IFERROR(C64/B64,0))</f>
        <v/>
      </c>
      <c r="G64" s="6">
        <f>IF(A64="","",IFERROR(C64/SUM($C$6:$C$115),0))</f>
        <v/>
      </c>
      <c r="H64" s="4" t="n"/>
    </row>
    <row r="65">
      <c r="A65" s="7" t="n"/>
      <c r="B65" s="7" t="n"/>
      <c r="C65" s="8" t="n"/>
      <c r="D65" s="8" t="n"/>
      <c r="E65" s="8">
        <f>IF(A65="","",C65+D65)</f>
        <v/>
      </c>
      <c r="F65" s="8">
        <f>IF(OR(A65="",B65=""),"",IFERROR(C65/B65,0))</f>
        <v/>
      </c>
      <c r="G65" s="9">
        <f>IF(A65="","",IFERROR(C65/SUM($C$6:$C$115),0))</f>
        <v/>
      </c>
      <c r="H65" s="7" t="n"/>
    </row>
    <row r="66">
      <c r="A66" s="4" t="n"/>
      <c r="B66" s="4" t="n"/>
      <c r="C66" s="5" t="n"/>
      <c r="D66" s="5" t="n"/>
      <c r="E66" s="5">
        <f>IF(A66="","",C66+D66)</f>
        <v/>
      </c>
      <c r="F66" s="5">
        <f>IF(OR(A66="",B66=""),"",IFERROR(C66/B66,0))</f>
        <v/>
      </c>
      <c r="G66" s="6">
        <f>IF(A66="","",IFERROR(C66/SUM($C$6:$C$115),0))</f>
        <v/>
      </c>
      <c r="H66" s="4" t="n"/>
    </row>
    <row r="67">
      <c r="A67" s="7" t="n"/>
      <c r="B67" s="7" t="n"/>
      <c r="C67" s="8" t="n"/>
      <c r="D67" s="8" t="n"/>
      <c r="E67" s="8">
        <f>IF(A67="","",C67+D67)</f>
        <v/>
      </c>
      <c r="F67" s="8">
        <f>IF(OR(A67="",B67=""),"",IFERROR(C67/B67,0))</f>
        <v/>
      </c>
      <c r="G67" s="9">
        <f>IF(A67="","",IFERROR(C67/SUM($C$6:$C$115),0))</f>
        <v/>
      </c>
      <c r="H67" s="7" t="n"/>
    </row>
    <row r="68">
      <c r="A68" s="4" t="n"/>
      <c r="B68" s="4" t="n"/>
      <c r="C68" s="5" t="n"/>
      <c r="D68" s="5" t="n"/>
      <c r="E68" s="5">
        <f>IF(A68="","",C68+D68)</f>
        <v/>
      </c>
      <c r="F68" s="5">
        <f>IF(OR(A68="",B68=""),"",IFERROR(C68/B68,0))</f>
        <v/>
      </c>
      <c r="G68" s="6">
        <f>IF(A68="","",IFERROR(C68/SUM($C$6:$C$115),0))</f>
        <v/>
      </c>
      <c r="H68" s="4" t="n"/>
    </row>
    <row r="69">
      <c r="A69" s="7" t="n"/>
      <c r="B69" s="7" t="n"/>
      <c r="C69" s="8" t="n"/>
      <c r="D69" s="8" t="n"/>
      <c r="E69" s="8">
        <f>IF(A69="","",C69+D69)</f>
        <v/>
      </c>
      <c r="F69" s="8">
        <f>IF(OR(A69="",B69=""),"",IFERROR(C69/B69,0))</f>
        <v/>
      </c>
      <c r="G69" s="9">
        <f>IF(A69="","",IFERROR(C69/SUM($C$6:$C$115),0))</f>
        <v/>
      </c>
      <c r="H69" s="7" t="n"/>
    </row>
    <row r="70">
      <c r="A70" s="4" t="n"/>
      <c r="B70" s="4" t="n"/>
      <c r="C70" s="5" t="n"/>
      <c r="D70" s="5" t="n"/>
      <c r="E70" s="5">
        <f>IF(A70="","",C70+D70)</f>
        <v/>
      </c>
      <c r="F70" s="5">
        <f>IF(OR(A70="",B70=""),"",IFERROR(C70/B70,0))</f>
        <v/>
      </c>
      <c r="G70" s="6">
        <f>IF(A70="","",IFERROR(C70/SUM($C$6:$C$115),0))</f>
        <v/>
      </c>
      <c r="H70" s="4" t="n"/>
    </row>
    <row r="71">
      <c r="A71" s="7" t="n"/>
      <c r="B71" s="7" t="n"/>
      <c r="C71" s="8" t="n"/>
      <c r="D71" s="8" t="n"/>
      <c r="E71" s="8">
        <f>IF(A71="","",C71+D71)</f>
        <v/>
      </c>
      <c r="F71" s="8">
        <f>IF(OR(A71="",B71=""),"",IFERROR(C71/B71,0))</f>
        <v/>
      </c>
      <c r="G71" s="9">
        <f>IF(A71="","",IFERROR(C71/SUM($C$6:$C$115),0))</f>
        <v/>
      </c>
      <c r="H71" s="7" t="n"/>
    </row>
    <row r="72">
      <c r="A72" s="4" t="n"/>
      <c r="B72" s="4" t="n"/>
      <c r="C72" s="5" t="n"/>
      <c r="D72" s="5" t="n"/>
      <c r="E72" s="5">
        <f>IF(A72="","",C72+D72)</f>
        <v/>
      </c>
      <c r="F72" s="5">
        <f>IF(OR(A72="",B72=""),"",IFERROR(C72/B72,0))</f>
        <v/>
      </c>
      <c r="G72" s="6">
        <f>IF(A72="","",IFERROR(C72/SUM($C$6:$C$115),0))</f>
        <v/>
      </c>
      <c r="H72" s="4" t="n"/>
    </row>
    <row r="73">
      <c r="A73" s="7" t="n"/>
      <c r="B73" s="7" t="n"/>
      <c r="C73" s="8" t="n"/>
      <c r="D73" s="8" t="n"/>
      <c r="E73" s="8">
        <f>IF(A73="","",C73+D73)</f>
        <v/>
      </c>
      <c r="F73" s="8">
        <f>IF(OR(A73="",B73=""),"",IFERROR(C73/B73,0))</f>
        <v/>
      </c>
      <c r="G73" s="9">
        <f>IF(A73="","",IFERROR(C73/SUM($C$6:$C$115),0))</f>
        <v/>
      </c>
      <c r="H73" s="7" t="n"/>
    </row>
    <row r="74">
      <c r="A74" s="4" t="n"/>
      <c r="B74" s="4" t="n"/>
      <c r="C74" s="5" t="n"/>
      <c r="D74" s="5" t="n"/>
      <c r="E74" s="5">
        <f>IF(A74="","",C74+D74)</f>
        <v/>
      </c>
      <c r="F74" s="5">
        <f>IF(OR(A74="",B74=""),"",IFERROR(C74/B74,0))</f>
        <v/>
      </c>
      <c r="G74" s="6">
        <f>IF(A74="","",IFERROR(C74/SUM($C$6:$C$115),0))</f>
        <v/>
      </c>
      <c r="H74" s="4" t="n"/>
    </row>
    <row r="75">
      <c r="A75" s="7" t="n"/>
      <c r="B75" s="7" t="n"/>
      <c r="C75" s="8" t="n"/>
      <c r="D75" s="8" t="n"/>
      <c r="E75" s="8">
        <f>IF(A75="","",C75+D75)</f>
        <v/>
      </c>
      <c r="F75" s="8">
        <f>IF(OR(A75="",B75=""),"",IFERROR(C75/B75,0))</f>
        <v/>
      </c>
      <c r="G75" s="9">
        <f>IF(A75="","",IFERROR(C75/SUM($C$6:$C$115),0))</f>
        <v/>
      </c>
      <c r="H75" s="7" t="n"/>
    </row>
    <row r="76">
      <c r="A76" s="4" t="n"/>
      <c r="B76" s="4" t="n"/>
      <c r="C76" s="5" t="n"/>
      <c r="D76" s="5" t="n"/>
      <c r="E76" s="5">
        <f>IF(A76="","",C76+D76)</f>
        <v/>
      </c>
      <c r="F76" s="5">
        <f>IF(OR(A76="",B76=""),"",IFERROR(C76/B76,0))</f>
        <v/>
      </c>
      <c r="G76" s="6">
        <f>IF(A76="","",IFERROR(C76/SUM($C$6:$C$115),0))</f>
        <v/>
      </c>
      <c r="H76" s="4" t="n"/>
    </row>
    <row r="77">
      <c r="A77" s="7" t="n"/>
      <c r="B77" s="7" t="n"/>
      <c r="C77" s="8" t="n"/>
      <c r="D77" s="8" t="n"/>
      <c r="E77" s="8">
        <f>IF(A77="","",C77+D77)</f>
        <v/>
      </c>
      <c r="F77" s="8">
        <f>IF(OR(A77="",B77=""),"",IFERROR(C77/B77,0))</f>
        <v/>
      </c>
      <c r="G77" s="9">
        <f>IF(A77="","",IFERROR(C77/SUM($C$6:$C$115),0))</f>
        <v/>
      </c>
      <c r="H77" s="7" t="n"/>
    </row>
    <row r="78">
      <c r="A78" s="4" t="n"/>
      <c r="B78" s="4" t="n"/>
      <c r="C78" s="5" t="n"/>
      <c r="D78" s="5" t="n"/>
      <c r="E78" s="5">
        <f>IF(A78="","",C78+D78)</f>
        <v/>
      </c>
      <c r="F78" s="5">
        <f>IF(OR(A78="",B78=""),"",IFERROR(C78/B78,0))</f>
        <v/>
      </c>
      <c r="G78" s="6">
        <f>IF(A78="","",IFERROR(C78/SUM($C$6:$C$115),0))</f>
        <v/>
      </c>
      <c r="H78" s="4" t="n"/>
    </row>
    <row r="79">
      <c r="A79" s="7" t="n"/>
      <c r="B79" s="7" t="n"/>
      <c r="C79" s="8" t="n"/>
      <c r="D79" s="8" t="n"/>
      <c r="E79" s="8">
        <f>IF(A79="","",C79+D79)</f>
        <v/>
      </c>
      <c r="F79" s="8">
        <f>IF(OR(A79="",B79=""),"",IFERROR(C79/B79,0))</f>
        <v/>
      </c>
      <c r="G79" s="9">
        <f>IF(A79="","",IFERROR(C79/SUM($C$6:$C$115),0))</f>
        <v/>
      </c>
      <c r="H79" s="7" t="n"/>
    </row>
    <row r="80">
      <c r="A80" s="4" t="n"/>
      <c r="B80" s="4" t="n"/>
      <c r="C80" s="5" t="n"/>
      <c r="D80" s="5" t="n"/>
      <c r="E80" s="5">
        <f>IF(A80="","",C80+D80)</f>
        <v/>
      </c>
      <c r="F80" s="5">
        <f>IF(OR(A80="",B80=""),"",IFERROR(C80/B80,0))</f>
        <v/>
      </c>
      <c r="G80" s="6">
        <f>IF(A80="","",IFERROR(C80/SUM($C$6:$C$115),0))</f>
        <v/>
      </c>
      <c r="H80" s="4" t="n"/>
    </row>
    <row r="81">
      <c r="A81" s="7" t="n"/>
      <c r="B81" s="7" t="n"/>
      <c r="C81" s="8" t="n"/>
      <c r="D81" s="8" t="n"/>
      <c r="E81" s="8">
        <f>IF(A81="","",C81+D81)</f>
        <v/>
      </c>
      <c r="F81" s="8">
        <f>IF(OR(A81="",B81=""),"",IFERROR(C81/B81,0))</f>
        <v/>
      </c>
      <c r="G81" s="9">
        <f>IF(A81="","",IFERROR(C81/SUM($C$6:$C$115),0))</f>
        <v/>
      </c>
      <c r="H81" s="7" t="n"/>
    </row>
    <row r="82">
      <c r="A82" s="4" t="n"/>
      <c r="B82" s="4" t="n"/>
      <c r="C82" s="5" t="n"/>
      <c r="D82" s="5" t="n"/>
      <c r="E82" s="5">
        <f>IF(A82="","",C82+D82)</f>
        <v/>
      </c>
      <c r="F82" s="5">
        <f>IF(OR(A82="",B82=""),"",IFERROR(C82/B82,0))</f>
        <v/>
      </c>
      <c r="G82" s="6">
        <f>IF(A82="","",IFERROR(C82/SUM($C$6:$C$115),0))</f>
        <v/>
      </c>
      <c r="H82" s="4" t="n"/>
    </row>
    <row r="83">
      <c r="A83" s="7" t="n"/>
      <c r="B83" s="7" t="n"/>
      <c r="C83" s="8" t="n"/>
      <c r="D83" s="8" t="n"/>
      <c r="E83" s="8">
        <f>IF(A83="","",C83+D83)</f>
        <v/>
      </c>
      <c r="F83" s="8">
        <f>IF(OR(A83="",B83=""),"",IFERROR(C83/B83,0))</f>
        <v/>
      </c>
      <c r="G83" s="9">
        <f>IF(A83="","",IFERROR(C83/SUM($C$6:$C$115),0))</f>
        <v/>
      </c>
      <c r="H83" s="7" t="n"/>
    </row>
    <row r="84">
      <c r="A84" s="4" t="n"/>
      <c r="B84" s="4" t="n"/>
      <c r="C84" s="5" t="n"/>
      <c r="D84" s="5" t="n"/>
      <c r="E84" s="5">
        <f>IF(A84="","",C84+D84)</f>
        <v/>
      </c>
      <c r="F84" s="5">
        <f>IF(OR(A84="",B84=""),"",IFERROR(C84/B84,0))</f>
        <v/>
      </c>
      <c r="G84" s="6">
        <f>IF(A84="","",IFERROR(C84/SUM($C$6:$C$115),0))</f>
        <v/>
      </c>
      <c r="H84" s="4" t="n"/>
    </row>
    <row r="85">
      <c r="A85" s="7" t="n"/>
      <c r="B85" s="7" t="n"/>
      <c r="C85" s="8" t="n"/>
      <c r="D85" s="8" t="n"/>
      <c r="E85" s="8">
        <f>IF(A85="","",C85+D85)</f>
        <v/>
      </c>
      <c r="F85" s="8">
        <f>IF(OR(A85="",B85=""),"",IFERROR(C85/B85,0))</f>
        <v/>
      </c>
      <c r="G85" s="9">
        <f>IF(A85="","",IFERROR(C85/SUM($C$6:$C$115),0))</f>
        <v/>
      </c>
      <c r="H85" s="7" t="n"/>
    </row>
    <row r="86">
      <c r="A86" s="4" t="n"/>
      <c r="B86" s="4" t="n"/>
      <c r="C86" s="5" t="n"/>
      <c r="D86" s="5" t="n"/>
      <c r="E86" s="5">
        <f>IF(A86="","",C86+D86)</f>
        <v/>
      </c>
      <c r="F86" s="5">
        <f>IF(OR(A86="",B86=""),"",IFERROR(C86/B86,0))</f>
        <v/>
      </c>
      <c r="G86" s="6">
        <f>IF(A86="","",IFERROR(C86/SUM($C$6:$C$115),0))</f>
        <v/>
      </c>
      <c r="H86" s="4" t="n"/>
    </row>
    <row r="87">
      <c r="A87" s="7" t="n"/>
      <c r="B87" s="7" t="n"/>
      <c r="C87" s="8" t="n"/>
      <c r="D87" s="8" t="n"/>
      <c r="E87" s="8">
        <f>IF(A87="","",C87+D87)</f>
        <v/>
      </c>
      <c r="F87" s="8">
        <f>IF(OR(A87="",B87=""),"",IFERROR(C87/B87,0))</f>
        <v/>
      </c>
      <c r="G87" s="9">
        <f>IF(A87="","",IFERROR(C87/SUM($C$6:$C$115),0))</f>
        <v/>
      </c>
      <c r="H87" s="7" t="n"/>
    </row>
    <row r="88">
      <c r="A88" s="4" t="n"/>
      <c r="B88" s="4" t="n"/>
      <c r="C88" s="5" t="n"/>
      <c r="D88" s="5" t="n"/>
      <c r="E88" s="5">
        <f>IF(A88="","",C88+D88)</f>
        <v/>
      </c>
      <c r="F88" s="5">
        <f>IF(OR(A88="",B88=""),"",IFERROR(C88/B88,0))</f>
        <v/>
      </c>
      <c r="G88" s="6">
        <f>IF(A88="","",IFERROR(C88/SUM($C$6:$C$115),0))</f>
        <v/>
      </c>
      <c r="H88" s="4" t="n"/>
    </row>
    <row r="89">
      <c r="A89" s="7" t="n"/>
      <c r="B89" s="7" t="n"/>
      <c r="C89" s="8" t="n"/>
      <c r="D89" s="8" t="n"/>
      <c r="E89" s="8">
        <f>IF(A89="","",C89+D89)</f>
        <v/>
      </c>
      <c r="F89" s="8">
        <f>IF(OR(A89="",B89=""),"",IFERROR(C89/B89,0))</f>
        <v/>
      </c>
      <c r="G89" s="9">
        <f>IF(A89="","",IFERROR(C89/SUM($C$6:$C$115),0))</f>
        <v/>
      </c>
      <c r="H89" s="7" t="n"/>
    </row>
    <row r="90">
      <c r="A90" s="4" t="n"/>
      <c r="B90" s="4" t="n"/>
      <c r="C90" s="5" t="n"/>
      <c r="D90" s="5" t="n"/>
      <c r="E90" s="5">
        <f>IF(A90="","",C90+D90)</f>
        <v/>
      </c>
      <c r="F90" s="5">
        <f>IF(OR(A90="",B90=""),"",IFERROR(C90/B90,0))</f>
        <v/>
      </c>
      <c r="G90" s="6">
        <f>IF(A90="","",IFERROR(C90/SUM($C$6:$C$115),0))</f>
        <v/>
      </c>
      <c r="H90" s="4" t="n"/>
    </row>
    <row r="91">
      <c r="A91" s="7" t="n"/>
      <c r="B91" s="7" t="n"/>
      <c r="C91" s="8" t="n"/>
      <c r="D91" s="8" t="n"/>
      <c r="E91" s="8">
        <f>IF(A91="","",C91+D91)</f>
        <v/>
      </c>
      <c r="F91" s="8">
        <f>IF(OR(A91="",B91=""),"",IFERROR(C91/B91,0))</f>
        <v/>
      </c>
      <c r="G91" s="9">
        <f>IF(A91="","",IFERROR(C91/SUM($C$6:$C$115),0))</f>
        <v/>
      </c>
      <c r="H91" s="7" t="n"/>
    </row>
    <row r="92">
      <c r="A92" s="4" t="n"/>
      <c r="B92" s="4" t="n"/>
      <c r="C92" s="5" t="n"/>
      <c r="D92" s="5" t="n"/>
      <c r="E92" s="5">
        <f>IF(A92="","",C92+D92)</f>
        <v/>
      </c>
      <c r="F92" s="5">
        <f>IF(OR(A92="",B92=""),"",IFERROR(C92/B92,0))</f>
        <v/>
      </c>
      <c r="G92" s="6">
        <f>IF(A92="","",IFERROR(C92/SUM($C$6:$C$115),0))</f>
        <v/>
      </c>
      <c r="H92" s="4" t="n"/>
    </row>
    <row r="93">
      <c r="A93" s="7" t="n"/>
      <c r="B93" s="7" t="n"/>
      <c r="C93" s="8" t="n"/>
      <c r="D93" s="8" t="n"/>
      <c r="E93" s="8">
        <f>IF(A93="","",C93+D93)</f>
        <v/>
      </c>
      <c r="F93" s="8">
        <f>IF(OR(A93="",B93=""),"",IFERROR(C93/B93,0))</f>
        <v/>
      </c>
      <c r="G93" s="9">
        <f>IF(A93="","",IFERROR(C93/SUM($C$6:$C$115),0))</f>
        <v/>
      </c>
      <c r="H93" s="7" t="n"/>
    </row>
    <row r="94">
      <c r="A94" s="4" t="n"/>
      <c r="B94" s="4" t="n"/>
      <c r="C94" s="5" t="n"/>
      <c r="D94" s="5" t="n"/>
      <c r="E94" s="5">
        <f>IF(A94="","",C94+D94)</f>
        <v/>
      </c>
      <c r="F94" s="5">
        <f>IF(OR(A94="",B94=""),"",IFERROR(C94/B94,0))</f>
        <v/>
      </c>
      <c r="G94" s="6">
        <f>IF(A94="","",IFERROR(C94/SUM($C$6:$C$115),0))</f>
        <v/>
      </c>
      <c r="H94" s="4" t="n"/>
    </row>
    <row r="95">
      <c r="A95" s="7" t="n"/>
      <c r="B95" s="7" t="n"/>
      <c r="C95" s="8" t="n"/>
      <c r="D95" s="8" t="n"/>
      <c r="E95" s="8">
        <f>IF(A95="","",C95+D95)</f>
        <v/>
      </c>
      <c r="F95" s="8">
        <f>IF(OR(A95="",B95=""),"",IFERROR(C95/B95,0))</f>
        <v/>
      </c>
      <c r="G95" s="9">
        <f>IF(A95="","",IFERROR(C95/SUM($C$6:$C$115),0))</f>
        <v/>
      </c>
      <c r="H95" s="7" t="n"/>
    </row>
    <row r="96">
      <c r="A96" s="4" t="n"/>
      <c r="B96" s="4" t="n"/>
      <c r="C96" s="5" t="n"/>
      <c r="D96" s="5" t="n"/>
      <c r="E96" s="5">
        <f>IF(A96="","",C96+D96)</f>
        <v/>
      </c>
      <c r="F96" s="5">
        <f>IF(OR(A96="",B96=""),"",IFERROR(C96/B96,0))</f>
        <v/>
      </c>
      <c r="G96" s="6">
        <f>IF(A96="","",IFERROR(C96/SUM($C$6:$C$115),0))</f>
        <v/>
      </c>
      <c r="H96" s="4" t="n"/>
    </row>
    <row r="97">
      <c r="A97" s="7" t="n"/>
      <c r="B97" s="7" t="n"/>
      <c r="C97" s="8" t="n"/>
      <c r="D97" s="8" t="n"/>
      <c r="E97" s="8">
        <f>IF(A97="","",C97+D97)</f>
        <v/>
      </c>
      <c r="F97" s="8">
        <f>IF(OR(A97="",B97=""),"",IFERROR(C97/B97,0))</f>
        <v/>
      </c>
      <c r="G97" s="9">
        <f>IF(A97="","",IFERROR(C97/SUM($C$6:$C$115),0))</f>
        <v/>
      </c>
      <c r="H97" s="7" t="n"/>
    </row>
    <row r="98">
      <c r="A98" s="4" t="n"/>
      <c r="B98" s="4" t="n"/>
      <c r="C98" s="5" t="n"/>
      <c r="D98" s="5" t="n"/>
      <c r="E98" s="5">
        <f>IF(A98="","",C98+D98)</f>
        <v/>
      </c>
      <c r="F98" s="5">
        <f>IF(OR(A98="",B98=""),"",IFERROR(C98/B98,0))</f>
        <v/>
      </c>
      <c r="G98" s="6">
        <f>IF(A98="","",IFERROR(C98/SUM($C$6:$C$115),0))</f>
        <v/>
      </c>
      <c r="H98" s="4" t="n"/>
    </row>
    <row r="99">
      <c r="A99" s="7" t="n"/>
      <c r="B99" s="7" t="n"/>
      <c r="C99" s="8" t="n"/>
      <c r="D99" s="8" t="n"/>
      <c r="E99" s="8">
        <f>IF(A99="","",C99+D99)</f>
        <v/>
      </c>
      <c r="F99" s="8">
        <f>IF(OR(A99="",B99=""),"",IFERROR(C99/B99,0))</f>
        <v/>
      </c>
      <c r="G99" s="9">
        <f>IF(A99="","",IFERROR(C99/SUM($C$6:$C$115),0))</f>
        <v/>
      </c>
      <c r="H99" s="7" t="n"/>
    </row>
    <row r="100">
      <c r="A100" s="4" t="n"/>
      <c r="B100" s="4" t="n"/>
      <c r="C100" s="5" t="n"/>
      <c r="D100" s="5" t="n"/>
      <c r="E100" s="5">
        <f>IF(A100="","",C100+D100)</f>
        <v/>
      </c>
      <c r="F100" s="5">
        <f>IF(OR(A100="",B100=""),"",IFERROR(C100/B100,0))</f>
        <v/>
      </c>
      <c r="G100" s="6">
        <f>IF(A100="","",IFERROR(C100/SUM($C$6:$C$115),0))</f>
        <v/>
      </c>
      <c r="H100" s="4" t="n"/>
    </row>
    <row r="101">
      <c r="A101" s="7" t="n"/>
      <c r="B101" s="7" t="n"/>
      <c r="C101" s="8" t="n"/>
      <c r="D101" s="8" t="n"/>
      <c r="E101" s="8">
        <f>IF(A101="","",C101+D101)</f>
        <v/>
      </c>
      <c r="F101" s="8">
        <f>IF(OR(A101="",B101=""),"",IFERROR(C101/B101,0))</f>
        <v/>
      </c>
      <c r="G101" s="9">
        <f>IF(A101="","",IFERROR(C101/SUM($C$6:$C$115),0))</f>
        <v/>
      </c>
      <c r="H101" s="7" t="n"/>
    </row>
    <row r="102">
      <c r="A102" s="4" t="n"/>
      <c r="B102" s="4" t="n"/>
      <c r="C102" s="5" t="n"/>
      <c r="D102" s="5" t="n"/>
      <c r="E102" s="5">
        <f>IF(A102="","",C102+D102)</f>
        <v/>
      </c>
      <c r="F102" s="5">
        <f>IF(OR(A102="",B102=""),"",IFERROR(C102/B102,0))</f>
        <v/>
      </c>
      <c r="G102" s="6">
        <f>IF(A102="","",IFERROR(C102/SUM($C$6:$C$115),0))</f>
        <v/>
      </c>
      <c r="H102" s="4" t="n"/>
    </row>
    <row r="103">
      <c r="A103" s="7" t="n"/>
      <c r="B103" s="7" t="n"/>
      <c r="C103" s="8" t="n"/>
      <c r="D103" s="8" t="n"/>
      <c r="E103" s="8">
        <f>IF(A103="","",C103+D103)</f>
        <v/>
      </c>
      <c r="F103" s="8">
        <f>IF(OR(A103="",B103=""),"",IFERROR(C103/B103,0))</f>
        <v/>
      </c>
      <c r="G103" s="9">
        <f>IF(A103="","",IFERROR(C103/SUM($C$6:$C$115),0))</f>
        <v/>
      </c>
      <c r="H103" s="7" t="n"/>
    </row>
    <row r="104">
      <c r="A104" s="4" t="n"/>
      <c r="B104" s="4" t="n"/>
      <c r="C104" s="5" t="n"/>
      <c r="D104" s="5" t="n"/>
      <c r="E104" s="5">
        <f>IF(A104="","",C104+D104)</f>
        <v/>
      </c>
      <c r="F104" s="5">
        <f>IF(OR(A104="",B104=""),"",IFERROR(C104/B104,0))</f>
        <v/>
      </c>
      <c r="G104" s="6">
        <f>IF(A104="","",IFERROR(C104/SUM($C$6:$C$115),0))</f>
        <v/>
      </c>
      <c r="H104" s="4" t="n"/>
    </row>
    <row r="105">
      <c r="A105" s="7" t="n"/>
      <c r="B105" s="7" t="n"/>
      <c r="C105" s="8" t="n"/>
      <c r="D105" s="8" t="n"/>
      <c r="E105" s="8">
        <f>IF(A105="","",C105+D105)</f>
        <v/>
      </c>
      <c r="F105" s="8">
        <f>IF(OR(A105="",B105=""),"",IFERROR(C105/B105,0))</f>
        <v/>
      </c>
      <c r="G105" s="9">
        <f>IF(A105="","",IFERROR(C105/SUM($C$6:$C$115),0))</f>
        <v/>
      </c>
      <c r="H105" s="7" t="n"/>
    </row>
    <row r="106">
      <c r="A106" s="4" t="n"/>
      <c r="B106" s="4" t="n"/>
      <c r="C106" s="5" t="n"/>
      <c r="D106" s="5" t="n"/>
      <c r="E106" s="5">
        <f>IF(A106="","",C106+D106)</f>
        <v/>
      </c>
      <c r="F106" s="5">
        <f>IF(OR(A106="",B106=""),"",IFERROR(C106/B106,0))</f>
        <v/>
      </c>
      <c r="G106" s="6">
        <f>IF(A106="","",IFERROR(C106/SUM($C$6:$C$115),0))</f>
        <v/>
      </c>
      <c r="H106" s="4" t="n"/>
    </row>
    <row r="107">
      <c r="A107" s="7" t="n"/>
      <c r="B107" s="7" t="n"/>
      <c r="C107" s="8" t="n"/>
      <c r="D107" s="8" t="n"/>
      <c r="E107" s="8">
        <f>IF(A107="","",C107+D107)</f>
        <v/>
      </c>
      <c r="F107" s="8">
        <f>IF(OR(A107="",B107=""),"",IFERROR(C107/B107,0))</f>
        <v/>
      </c>
      <c r="G107" s="9">
        <f>IF(A107="","",IFERROR(C107/SUM($C$6:$C$115),0))</f>
        <v/>
      </c>
      <c r="H107" s="7" t="n"/>
    </row>
    <row r="108">
      <c r="A108" s="4" t="n"/>
      <c r="B108" s="4" t="n"/>
      <c r="C108" s="5" t="n"/>
      <c r="D108" s="5" t="n"/>
      <c r="E108" s="5">
        <f>IF(A108="","",C108+D108)</f>
        <v/>
      </c>
      <c r="F108" s="5">
        <f>IF(OR(A108="",B108=""),"",IFERROR(C108/B108,0))</f>
        <v/>
      </c>
      <c r="G108" s="6">
        <f>IF(A108="","",IFERROR(C108/SUM($C$6:$C$115),0))</f>
        <v/>
      </c>
      <c r="H108" s="4" t="n"/>
    </row>
    <row r="109">
      <c r="A109" s="7" t="n"/>
      <c r="B109" s="7" t="n"/>
      <c r="C109" s="8" t="n"/>
      <c r="D109" s="8" t="n"/>
      <c r="E109" s="8">
        <f>IF(A109="","",C109+D109)</f>
        <v/>
      </c>
      <c r="F109" s="8">
        <f>IF(OR(A109="",B109=""),"",IFERROR(C109/B109,0))</f>
        <v/>
      </c>
      <c r="G109" s="9">
        <f>IF(A109="","",IFERROR(C109/SUM($C$6:$C$115),0))</f>
        <v/>
      </c>
      <c r="H109" s="7" t="n"/>
    </row>
    <row r="110">
      <c r="A110" s="4" t="n"/>
      <c r="B110" s="4" t="n"/>
      <c r="C110" s="5" t="n"/>
      <c r="D110" s="5" t="n"/>
      <c r="E110" s="5">
        <f>IF(A110="","",C110+D110)</f>
        <v/>
      </c>
      <c r="F110" s="5">
        <f>IF(OR(A110="",B110=""),"",IFERROR(C110/B110,0))</f>
        <v/>
      </c>
      <c r="G110" s="6">
        <f>IF(A110="","",IFERROR(C110/SUM($C$6:$C$115),0))</f>
        <v/>
      </c>
      <c r="H110" s="4" t="n"/>
    </row>
    <row r="111">
      <c r="A111" s="7" t="n"/>
      <c r="B111" s="7" t="n"/>
      <c r="C111" s="8" t="n"/>
      <c r="D111" s="8" t="n"/>
      <c r="E111" s="8">
        <f>IF(A111="","",C111+D111)</f>
        <v/>
      </c>
      <c r="F111" s="8">
        <f>IF(OR(A111="",B111=""),"",IFERROR(C111/B111,0))</f>
        <v/>
      </c>
      <c r="G111" s="9">
        <f>IF(A111="","",IFERROR(C111/SUM($C$6:$C$115),0))</f>
        <v/>
      </c>
      <c r="H111" s="7" t="n"/>
    </row>
    <row r="112">
      <c r="A112" s="4" t="n"/>
      <c r="B112" s="4" t="n"/>
      <c r="C112" s="5" t="n"/>
      <c r="D112" s="5" t="n"/>
      <c r="E112" s="5">
        <f>IF(A112="","",C112+D112)</f>
        <v/>
      </c>
      <c r="F112" s="5">
        <f>IF(OR(A112="",B112=""),"",IFERROR(C112/B112,0))</f>
        <v/>
      </c>
      <c r="G112" s="6">
        <f>IF(A112="","",IFERROR(C112/SUM($C$6:$C$115),0))</f>
        <v/>
      </c>
      <c r="H112" s="4" t="n"/>
    </row>
    <row r="113">
      <c r="A113" s="7" t="n"/>
      <c r="B113" s="7" t="n"/>
      <c r="C113" s="8" t="n"/>
      <c r="D113" s="8" t="n"/>
      <c r="E113" s="8">
        <f>IF(A113="","",C113+D113)</f>
        <v/>
      </c>
      <c r="F113" s="8">
        <f>IF(OR(A113="",B113=""),"",IFERROR(C113/B113,0))</f>
        <v/>
      </c>
      <c r="G113" s="9">
        <f>IF(A113="","",IFERROR(C113/SUM($C$6:$C$115),0))</f>
        <v/>
      </c>
      <c r="H113" s="7" t="n"/>
    </row>
    <row r="114">
      <c r="A114" s="4" t="n"/>
      <c r="B114" s="4" t="n"/>
      <c r="C114" s="5" t="n"/>
      <c r="D114" s="5" t="n"/>
      <c r="E114" s="5">
        <f>IF(A114="","",C114+D114)</f>
        <v/>
      </c>
      <c r="F114" s="5">
        <f>IF(OR(A114="",B114=""),"",IFERROR(C114/B114,0))</f>
        <v/>
      </c>
      <c r="G114" s="6">
        <f>IF(A114="","",IFERROR(C114/SUM($C$6:$C$115),0))</f>
        <v/>
      </c>
      <c r="H114" s="4" t="n"/>
    </row>
    <row r="115">
      <c r="A115" s="7" t="n"/>
      <c r="B115" s="7" t="n"/>
      <c r="C115" s="8" t="n"/>
      <c r="D115" s="8" t="n"/>
      <c r="E115" s="8">
        <f>IF(A115="","",C115+D115)</f>
        <v/>
      </c>
      <c r="F115" s="8">
        <f>IF(OR(A115="",B115=""),"",IFERROR(C115/B115,0))</f>
        <v/>
      </c>
      <c r="G115" s="9">
        <f>IF(A115="","",IFERROR(C115/SUM($C$6:$C$115),0))</f>
        <v/>
      </c>
      <c r="H115" s="7" t="n"/>
    </row>
  </sheetData>
  <mergeCells count="2">
    <mergeCell ref="A3:P3"/>
    <mergeCell ref="A2:P2"/>
  </mergeCells>
  <dataValidations count="1">
    <dataValidation sqref="H6:H115" showDropDown="0" showInputMessage="0" showErrorMessage="0" allowBlank="1" errorTitle="Erreur de saisie" error="Valeur non autorisée" promptTitle="Liste déroulante" prompt="Sélectionnez dans la liste" type="list">
      <formula1>'F02 - _Lists'!$M$6:$M$35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03F9F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22" customWidth="1" min="4" max="4"/>
    <col width="16" customWidth="1" min="5" max="5"/>
    <col width="22" customWidth="1" min="6" max="6"/>
    <col width="22" customWidth="1" min="7" max="7"/>
    <col width="18" customWidth="1" min="8" max="8"/>
    <col width="14" customWidth="1" min="9" max="9"/>
    <col width="14" customWidth="1" min="10" max="10"/>
  </cols>
  <sheetData>
    <row r="2" ht="25" customHeight="1">
      <c r="A2" s="1" t="inlineStr">
        <is>
          <t>DOMAINE 26 — 4-CHARGES PATRONALES ET COTISATIONS SOCIALES</t>
        </is>
      </c>
    </row>
    <row r="3" ht="18" customHeight="1">
      <c r="A3" s="2" t="inlineStr">
        <is>
          <t>TABLEAU DYNAMIQUE — Détail des cotisations par type et taux</t>
        </is>
      </c>
    </row>
    <row r="5">
      <c r="A5" s="3" t="inlineStr">
        <is>
          <t>Type Cotisation</t>
        </is>
      </c>
      <c r="B5" s="3" t="inlineStr">
        <is>
          <t>Base de Calcul (FCFA)</t>
        </is>
      </c>
      <c r="C5" s="3" t="inlineStr">
        <is>
          <t>Taux Patronal (%)</t>
        </is>
      </c>
      <c r="D5" s="3" t="inlineStr">
        <is>
          <t>Montant Patronal (FCFA)</t>
        </is>
      </c>
      <c r="E5" s="3" t="inlineStr">
        <is>
          <t>Taux Salarial (%)</t>
        </is>
      </c>
      <c r="F5" s="3" t="inlineStr">
        <is>
          <t>Montant Salarial (FCFA)</t>
        </is>
      </c>
      <c r="G5" s="3" t="inlineStr">
        <is>
          <t>Total Part Patronale (FCFA)</t>
        </is>
      </c>
      <c r="H5" s="3" t="inlineStr">
        <is>
          <t>Déclaration</t>
        </is>
      </c>
      <c r="I5" s="3" t="inlineStr">
        <is>
          <t>Périodicité</t>
        </is>
      </c>
      <c r="J5" s="3" t="inlineStr">
        <is>
          <t>Statut</t>
        </is>
      </c>
    </row>
    <row r="6">
      <c r="A6" s="4" t="inlineStr">
        <is>
          <t>Cotisation retraite CNPS</t>
        </is>
      </c>
      <c r="B6" s="5" t="n">
        <v>128500000</v>
      </c>
      <c r="C6" s="4" t="n">
        <v>8.4</v>
      </c>
      <c r="D6" s="5">
        <f>IFERROR(B6*C6/100,0)</f>
        <v/>
      </c>
      <c r="E6" s="4" t="n">
        <v>4.8</v>
      </c>
      <c r="F6" s="5">
        <f>IFERROR(B6*E6/100,0)</f>
        <v/>
      </c>
      <c r="G6" s="5">
        <f>D6+F6</f>
        <v/>
      </c>
      <c r="H6" s="4" t="inlineStr">
        <is>
          <t>DSN mensuelle</t>
        </is>
      </c>
      <c r="I6" s="4" t="inlineStr">
        <is>
          <t>Mensuelle</t>
        </is>
      </c>
      <c r="J6" s="4" t="inlineStr">
        <is>
          <t>Conforme</t>
        </is>
      </c>
    </row>
    <row r="7">
      <c r="A7" s="7" t="inlineStr">
        <is>
          <t>Cotisation maladie CNPS</t>
        </is>
      </c>
      <c r="B7" s="8" t="n">
        <v>128500000</v>
      </c>
      <c r="C7" s="7" t="n">
        <v>4.2</v>
      </c>
      <c r="D7" s="8">
        <f>IFERROR(B7*C7/100,0)</f>
        <v/>
      </c>
      <c r="E7" s="7" t="n">
        <v>1.75</v>
      </c>
      <c r="F7" s="8">
        <f>IFERROR(B7*E7/100,0)</f>
        <v/>
      </c>
      <c r="G7" s="8">
        <f>D7+F7</f>
        <v/>
      </c>
      <c r="H7" s="7" t="inlineStr">
        <is>
          <t>DSN mensuelle</t>
        </is>
      </c>
      <c r="I7" s="7" t="inlineStr">
        <is>
          <t>Mensuelle</t>
        </is>
      </c>
      <c r="J7" s="7" t="inlineStr">
        <is>
          <t>Conforme</t>
        </is>
      </c>
    </row>
    <row r="8">
      <c r="A8" s="4" t="inlineStr">
        <is>
          <t>Cotisation AT/MP</t>
        </is>
      </c>
      <c r="B8" s="5" t="n">
        <v>128500000</v>
      </c>
      <c r="C8" s="4" t="n">
        <v>3.5</v>
      </c>
      <c r="D8" s="5">
        <f>IFERROR(B8*C8/100,0)</f>
        <v/>
      </c>
      <c r="E8" s="4" t="n">
        <v>0</v>
      </c>
      <c r="F8" s="5">
        <f>IFERROR(B8*E8/100,0)</f>
        <v/>
      </c>
      <c r="G8" s="5">
        <f>D8+F8</f>
        <v/>
      </c>
      <c r="H8" s="4" t="inlineStr">
        <is>
          <t>DSN mensuelle</t>
        </is>
      </c>
      <c r="I8" s="4" t="inlineStr">
        <is>
          <t>Mensuelle</t>
        </is>
      </c>
      <c r="J8" s="4" t="inlineStr">
        <is>
          <t>Conforme</t>
        </is>
      </c>
    </row>
    <row r="9">
      <c r="A9" s="7" t="inlineStr">
        <is>
          <t>Allocations familiales</t>
        </is>
      </c>
      <c r="B9" s="8" t="n">
        <v>128500000</v>
      </c>
      <c r="C9" s="7" t="n">
        <v>6.5</v>
      </c>
      <c r="D9" s="8">
        <f>IFERROR(B9*C9/100,0)</f>
        <v/>
      </c>
      <c r="E9" s="7" t="n">
        <v>0</v>
      </c>
      <c r="F9" s="8">
        <f>IFERROR(B9*E9/100,0)</f>
        <v/>
      </c>
      <c r="G9" s="8">
        <f>D9+F9</f>
        <v/>
      </c>
      <c r="H9" s="7" t="inlineStr">
        <is>
          <t>DSN mensuelle</t>
        </is>
      </c>
      <c r="I9" s="7" t="inlineStr">
        <is>
          <t>Mensuelle</t>
        </is>
      </c>
      <c r="J9" s="7" t="inlineStr">
        <is>
          <t>Conforme</t>
        </is>
      </c>
    </row>
    <row r="10">
      <c r="A10" s="4" t="inlineStr">
        <is>
          <t>Taxe d'apprentissage</t>
        </is>
      </c>
      <c r="B10" s="5" t="n">
        <v>128500000</v>
      </c>
      <c r="C10" s="4" t="n">
        <v>0.68</v>
      </c>
      <c r="D10" s="5">
        <f>IFERROR(B10*C10/100,0)</f>
        <v/>
      </c>
      <c r="E10" s="4" t="n">
        <v>0</v>
      </c>
      <c r="F10" s="5">
        <f>IFERROR(B10*E10/100,0)</f>
        <v/>
      </c>
      <c r="G10" s="5">
        <f>D10+F10</f>
        <v/>
      </c>
      <c r="H10" s="4" t="inlineStr">
        <is>
          <t>DSF annuelle</t>
        </is>
      </c>
      <c r="I10" s="4" t="inlineStr">
        <is>
          <t>Annuelle</t>
        </is>
      </c>
      <c r="J10" s="4" t="inlineStr">
        <is>
          <t>En attente</t>
        </is>
      </c>
    </row>
    <row r="11">
      <c r="A11" s="7" t="inlineStr">
        <is>
          <t>Formation professionnelle</t>
        </is>
      </c>
      <c r="B11" s="8" t="n">
        <v>128500000</v>
      </c>
      <c r="C11" s="7" t="n">
        <v>1.6</v>
      </c>
      <c r="D11" s="8">
        <f>IFERROR(B11*C11/100,0)</f>
        <v/>
      </c>
      <c r="E11" s="7" t="n">
        <v>0</v>
      </c>
      <c r="F11" s="8">
        <f>IFERROR(B11*E11/100,0)</f>
        <v/>
      </c>
      <c r="G11" s="8">
        <f>D11+F11</f>
        <v/>
      </c>
      <c r="H11" s="7" t="inlineStr">
        <is>
          <t>DSF annuelle</t>
        </is>
      </c>
      <c r="I11" s="7" t="inlineStr">
        <is>
          <t>Annuelle</t>
        </is>
      </c>
      <c r="J11" s="7" t="inlineStr">
        <is>
          <t>En attente</t>
        </is>
      </c>
    </row>
    <row r="12">
      <c r="A12" s="4" t="inlineStr">
        <is>
          <t>Versement transport</t>
        </is>
      </c>
      <c r="B12" s="5" t="n">
        <v>128500000</v>
      </c>
      <c r="C12" s="4" t="n">
        <v>2</v>
      </c>
      <c r="D12" s="5">
        <f>IFERROR(B12*C12/100,0)</f>
        <v/>
      </c>
      <c r="E12" s="4" t="n">
        <v>0</v>
      </c>
      <c r="F12" s="5">
        <f>IFERROR(B12*E12/100,0)</f>
        <v/>
      </c>
      <c r="G12" s="5">
        <f>D12+F12</f>
        <v/>
      </c>
      <c r="H12" s="4" t="inlineStr">
        <is>
          <t>DSN mensuelle</t>
        </is>
      </c>
      <c r="I12" s="4" t="inlineStr">
        <is>
          <t>Mensuelle</t>
        </is>
      </c>
      <c r="J12" s="4" t="inlineStr">
        <is>
          <t>Conforme</t>
        </is>
      </c>
    </row>
    <row r="13">
      <c r="A13" s="7" t="inlineStr">
        <is>
          <t>Forfait social (20%)</t>
        </is>
      </c>
      <c r="B13" s="8" t="n">
        <v>15000000</v>
      </c>
      <c r="C13" s="7" t="n">
        <v>20</v>
      </c>
      <c r="D13" s="8">
        <f>IFERROR(B13*C13/100,0)</f>
        <v/>
      </c>
      <c r="E13" s="7" t="n">
        <v>0</v>
      </c>
      <c r="F13" s="8">
        <f>IFERROR(B13*E13/100,0)</f>
        <v/>
      </c>
      <c r="G13" s="8">
        <f>D13+F13</f>
        <v/>
      </c>
      <c r="H13" s="7" t="inlineStr">
        <is>
          <t>DSN mensuelle</t>
        </is>
      </c>
      <c r="I13" s="7" t="inlineStr">
        <is>
          <t>Mensuelle</t>
        </is>
      </c>
      <c r="J13" s="7" t="inlineStr">
        <is>
          <t>Conforme</t>
        </is>
      </c>
    </row>
    <row r="14">
      <c r="A14" s="4" t="inlineStr">
        <is>
          <t>Mutuelle entreprise</t>
        </is>
      </c>
      <c r="B14" s="5" t="n">
        <v>154</v>
      </c>
      <c r="C14" s="4" t="n">
        <v>50</v>
      </c>
      <c r="D14" s="5">
        <f>IFERROR(B14*C14/100,0)</f>
        <v/>
      </c>
      <c r="E14" s="4" t="n">
        <v>50</v>
      </c>
      <c r="F14" s="5">
        <f>IFERROR(B14*E14/100,0)</f>
        <v/>
      </c>
      <c r="G14" s="5">
        <f>D14+F14</f>
        <v/>
      </c>
      <c r="H14" s="4" t="inlineStr">
        <is>
          <t>Déclaration propre</t>
        </is>
      </c>
      <c r="I14" s="4" t="inlineStr">
        <is>
          <t>Mensuelle</t>
        </is>
      </c>
      <c r="J14" s="4" t="inlineStr">
        <is>
          <t>Conforme</t>
        </is>
      </c>
    </row>
    <row r="15">
      <c r="A15" s="7" t="inlineStr">
        <is>
          <t>Prévoyance décès</t>
        </is>
      </c>
      <c r="B15" s="8" t="n">
        <v>128500000</v>
      </c>
      <c r="C15" s="7" t="n">
        <v>0.5</v>
      </c>
      <c r="D15" s="8">
        <f>IFERROR(B15*C15/100,0)</f>
        <v/>
      </c>
      <c r="E15" s="7" t="n">
        <v>0</v>
      </c>
      <c r="F15" s="8">
        <f>IFERROR(B15*E15/100,0)</f>
        <v/>
      </c>
      <c r="G15" s="8">
        <f>D15+F15</f>
        <v/>
      </c>
      <c r="H15" s="7" t="inlineStr">
        <is>
          <t>DSN mensuelle</t>
        </is>
      </c>
      <c r="I15" s="7" t="inlineStr">
        <is>
          <t>Mensuelle</t>
        </is>
      </c>
      <c r="J15" s="7" t="inlineStr">
        <is>
          <t>Conforme</t>
        </is>
      </c>
    </row>
    <row r="16">
      <c r="A16" s="4" t="n"/>
      <c r="B16" s="5" t="n"/>
      <c r="C16" s="4" t="n"/>
      <c r="D16" s="5">
        <f>IF(B16="","",IFERROR(B16*C16/100,0))</f>
        <v/>
      </c>
      <c r="E16" s="4" t="n"/>
      <c r="F16" s="5">
        <f>IF(B16="","",IFERROR(B16*E16/100,0))</f>
        <v/>
      </c>
      <c r="G16" s="5">
        <f>IF(B16="","",D16+F16)</f>
        <v/>
      </c>
      <c r="H16" s="4" t="n"/>
      <c r="I16" s="4" t="n"/>
      <c r="J16" s="4" t="n"/>
    </row>
    <row r="17">
      <c r="A17" s="7" t="n"/>
      <c r="B17" s="8" t="n"/>
      <c r="C17" s="7" t="n"/>
      <c r="D17" s="8">
        <f>IF(B17="","",IFERROR(B17*C17/100,0))</f>
        <v/>
      </c>
      <c r="E17" s="7" t="n"/>
      <c r="F17" s="8">
        <f>IF(B17="","",IFERROR(B17*E17/100,0))</f>
        <v/>
      </c>
      <c r="G17" s="8">
        <f>IF(B17="","",D17+F17)</f>
        <v/>
      </c>
      <c r="H17" s="7" t="n"/>
      <c r="I17" s="7" t="n"/>
      <c r="J17" s="7" t="n"/>
    </row>
    <row r="18">
      <c r="A18" s="4" t="n"/>
      <c r="B18" s="5" t="n"/>
      <c r="C18" s="4" t="n"/>
      <c r="D18" s="5">
        <f>IF(B18="","",IFERROR(B18*C18/100,0))</f>
        <v/>
      </c>
      <c r="E18" s="4" t="n"/>
      <c r="F18" s="5">
        <f>IF(B18="","",IFERROR(B18*E18/100,0))</f>
        <v/>
      </c>
      <c r="G18" s="5">
        <f>IF(B18="","",D18+F18)</f>
        <v/>
      </c>
      <c r="H18" s="4" t="n"/>
      <c r="I18" s="4" t="n"/>
      <c r="J18" s="4" t="n"/>
    </row>
    <row r="19">
      <c r="A19" s="7" t="n"/>
      <c r="B19" s="8" t="n"/>
      <c r="C19" s="7" t="n"/>
      <c r="D19" s="8">
        <f>IF(B19="","",IFERROR(B19*C19/100,0))</f>
        <v/>
      </c>
      <c r="E19" s="7" t="n"/>
      <c r="F19" s="8">
        <f>IF(B19="","",IFERROR(B19*E19/100,0))</f>
        <v/>
      </c>
      <c r="G19" s="8">
        <f>IF(B19="","",D19+F19)</f>
        <v/>
      </c>
      <c r="H19" s="7" t="n"/>
      <c r="I19" s="7" t="n"/>
      <c r="J19" s="7" t="n"/>
    </row>
    <row r="20">
      <c r="A20" s="4" t="n"/>
      <c r="B20" s="5" t="n"/>
      <c r="C20" s="4" t="n"/>
      <c r="D20" s="5">
        <f>IF(B20="","",IFERROR(B20*C20/100,0))</f>
        <v/>
      </c>
      <c r="E20" s="4" t="n"/>
      <c r="F20" s="5">
        <f>IF(B20="","",IFERROR(B20*E20/100,0))</f>
        <v/>
      </c>
      <c r="G20" s="5">
        <f>IF(B20="","",D20+F20)</f>
        <v/>
      </c>
      <c r="H20" s="4" t="n"/>
      <c r="I20" s="4" t="n"/>
      <c r="J20" s="4" t="n"/>
    </row>
    <row r="21">
      <c r="A21" s="7" t="n"/>
      <c r="B21" s="8" t="n"/>
      <c r="C21" s="7" t="n"/>
      <c r="D21" s="8">
        <f>IF(B21="","",IFERROR(B21*C21/100,0))</f>
        <v/>
      </c>
      <c r="E21" s="7" t="n"/>
      <c r="F21" s="8">
        <f>IF(B21="","",IFERROR(B21*E21/100,0))</f>
        <v/>
      </c>
      <c r="G21" s="8">
        <f>IF(B21="","",D21+F21)</f>
        <v/>
      </c>
      <c r="H21" s="7" t="n"/>
      <c r="I21" s="7" t="n"/>
      <c r="J21" s="7" t="n"/>
    </row>
    <row r="22">
      <c r="A22" s="4" t="n"/>
      <c r="B22" s="5" t="n"/>
      <c r="C22" s="4" t="n"/>
      <c r="D22" s="5">
        <f>IF(B22="","",IFERROR(B22*C22/100,0))</f>
        <v/>
      </c>
      <c r="E22" s="4" t="n"/>
      <c r="F22" s="5">
        <f>IF(B22="","",IFERROR(B22*E22/100,0))</f>
        <v/>
      </c>
      <c r="G22" s="5">
        <f>IF(B22="","",D22+F22)</f>
        <v/>
      </c>
      <c r="H22" s="4" t="n"/>
      <c r="I22" s="4" t="n"/>
      <c r="J22" s="4" t="n"/>
    </row>
    <row r="23">
      <c r="A23" s="7" t="n"/>
      <c r="B23" s="8" t="n"/>
      <c r="C23" s="7" t="n"/>
      <c r="D23" s="8">
        <f>IF(B23="","",IFERROR(B23*C23/100,0))</f>
        <v/>
      </c>
      <c r="E23" s="7" t="n"/>
      <c r="F23" s="8">
        <f>IF(B23="","",IFERROR(B23*E23/100,0))</f>
        <v/>
      </c>
      <c r="G23" s="8">
        <f>IF(B23="","",D23+F23)</f>
        <v/>
      </c>
      <c r="H23" s="7" t="n"/>
      <c r="I23" s="7" t="n"/>
      <c r="J23" s="7" t="n"/>
    </row>
    <row r="24">
      <c r="A24" s="4" t="n"/>
      <c r="B24" s="5" t="n"/>
      <c r="C24" s="4" t="n"/>
      <c r="D24" s="5">
        <f>IF(B24="","",IFERROR(B24*C24/100,0))</f>
        <v/>
      </c>
      <c r="E24" s="4" t="n"/>
      <c r="F24" s="5">
        <f>IF(B24="","",IFERROR(B24*E24/100,0))</f>
        <v/>
      </c>
      <c r="G24" s="5">
        <f>IF(B24="","",D24+F24)</f>
        <v/>
      </c>
      <c r="H24" s="4" t="n"/>
      <c r="I24" s="4" t="n"/>
      <c r="J24" s="4" t="n"/>
    </row>
    <row r="25">
      <c r="A25" s="7" t="n"/>
      <c r="B25" s="8" t="n"/>
      <c r="C25" s="7" t="n"/>
      <c r="D25" s="8">
        <f>IF(B25="","",IFERROR(B25*C25/100,0))</f>
        <v/>
      </c>
      <c r="E25" s="7" t="n"/>
      <c r="F25" s="8">
        <f>IF(B25="","",IFERROR(B25*E25/100,0))</f>
        <v/>
      </c>
      <c r="G25" s="8">
        <f>IF(B25="","",D25+F25)</f>
        <v/>
      </c>
      <c r="H25" s="7" t="n"/>
      <c r="I25" s="7" t="n"/>
      <c r="J25" s="7" t="n"/>
    </row>
    <row r="26">
      <c r="A26" s="4" t="n"/>
      <c r="B26" s="5" t="n"/>
      <c r="C26" s="4" t="n"/>
      <c r="D26" s="5">
        <f>IF(B26="","",IFERROR(B26*C26/100,0))</f>
        <v/>
      </c>
      <c r="E26" s="4" t="n"/>
      <c r="F26" s="5">
        <f>IF(B26="","",IFERROR(B26*E26/100,0))</f>
        <v/>
      </c>
      <c r="G26" s="5">
        <f>IF(B26="","",D26+F26)</f>
        <v/>
      </c>
      <c r="H26" s="4" t="n"/>
      <c r="I26" s="4" t="n"/>
      <c r="J26" s="4" t="n"/>
    </row>
    <row r="27">
      <c r="A27" s="7" t="n"/>
      <c r="B27" s="8" t="n"/>
      <c r="C27" s="7" t="n"/>
      <c r="D27" s="8">
        <f>IF(B27="","",IFERROR(B27*C27/100,0))</f>
        <v/>
      </c>
      <c r="E27" s="7" t="n"/>
      <c r="F27" s="8">
        <f>IF(B27="","",IFERROR(B27*E27/100,0))</f>
        <v/>
      </c>
      <c r="G27" s="8">
        <f>IF(B27="","",D27+F27)</f>
        <v/>
      </c>
      <c r="H27" s="7" t="n"/>
      <c r="I27" s="7" t="n"/>
      <c r="J27" s="7" t="n"/>
    </row>
    <row r="28">
      <c r="A28" s="4" t="n"/>
      <c r="B28" s="5" t="n"/>
      <c r="C28" s="4" t="n"/>
      <c r="D28" s="5">
        <f>IF(B28="","",IFERROR(B28*C28/100,0))</f>
        <v/>
      </c>
      <c r="E28" s="4" t="n"/>
      <c r="F28" s="5">
        <f>IF(B28="","",IFERROR(B28*E28/100,0))</f>
        <v/>
      </c>
      <c r="G28" s="5">
        <f>IF(B28="","",D28+F28)</f>
        <v/>
      </c>
      <c r="H28" s="4" t="n"/>
      <c r="I28" s="4" t="n"/>
      <c r="J28" s="4" t="n"/>
    </row>
    <row r="29">
      <c r="A29" s="7" t="n"/>
      <c r="B29" s="8" t="n"/>
      <c r="C29" s="7" t="n"/>
      <c r="D29" s="8">
        <f>IF(B29="","",IFERROR(B29*C29/100,0))</f>
        <v/>
      </c>
      <c r="E29" s="7" t="n"/>
      <c r="F29" s="8">
        <f>IF(B29="","",IFERROR(B29*E29/100,0))</f>
        <v/>
      </c>
      <c r="G29" s="8">
        <f>IF(B29="","",D29+F29)</f>
        <v/>
      </c>
      <c r="H29" s="7" t="n"/>
      <c r="I29" s="7" t="n"/>
      <c r="J29" s="7" t="n"/>
    </row>
    <row r="30">
      <c r="A30" s="4" t="n"/>
      <c r="B30" s="5" t="n"/>
      <c r="C30" s="4" t="n"/>
      <c r="D30" s="5">
        <f>IF(B30="","",IFERROR(B30*C30/100,0))</f>
        <v/>
      </c>
      <c r="E30" s="4" t="n"/>
      <c r="F30" s="5">
        <f>IF(B30="","",IFERROR(B30*E30/100,0))</f>
        <v/>
      </c>
      <c r="G30" s="5">
        <f>IF(B30="","",D30+F30)</f>
        <v/>
      </c>
      <c r="H30" s="4" t="n"/>
      <c r="I30" s="4" t="n"/>
      <c r="J30" s="4" t="n"/>
    </row>
    <row r="31">
      <c r="A31" s="7" t="n"/>
      <c r="B31" s="8" t="n"/>
      <c r="C31" s="7" t="n"/>
      <c r="D31" s="8">
        <f>IF(B31="","",IFERROR(B31*C31/100,0))</f>
        <v/>
      </c>
      <c r="E31" s="7" t="n"/>
      <c r="F31" s="8">
        <f>IF(B31="","",IFERROR(B31*E31/100,0))</f>
        <v/>
      </c>
      <c r="G31" s="8">
        <f>IF(B31="","",D31+F31)</f>
        <v/>
      </c>
      <c r="H31" s="7" t="n"/>
      <c r="I31" s="7" t="n"/>
      <c r="J31" s="7" t="n"/>
    </row>
    <row r="32">
      <c r="A32" s="4" t="n"/>
      <c r="B32" s="5" t="n"/>
      <c r="C32" s="4" t="n"/>
      <c r="D32" s="5">
        <f>IF(B32="","",IFERROR(B32*C32/100,0))</f>
        <v/>
      </c>
      <c r="E32" s="4" t="n"/>
      <c r="F32" s="5">
        <f>IF(B32="","",IFERROR(B32*E32/100,0))</f>
        <v/>
      </c>
      <c r="G32" s="5">
        <f>IF(B32="","",D32+F32)</f>
        <v/>
      </c>
      <c r="H32" s="4" t="n"/>
      <c r="I32" s="4" t="n"/>
      <c r="J32" s="4" t="n"/>
    </row>
    <row r="33">
      <c r="A33" s="7" t="n"/>
      <c r="B33" s="8" t="n"/>
      <c r="C33" s="7" t="n"/>
      <c r="D33" s="8">
        <f>IF(B33="","",IFERROR(B33*C33/100,0))</f>
        <v/>
      </c>
      <c r="E33" s="7" t="n"/>
      <c r="F33" s="8">
        <f>IF(B33="","",IFERROR(B33*E33/100,0))</f>
        <v/>
      </c>
      <c r="G33" s="8">
        <f>IF(B33="","",D33+F33)</f>
        <v/>
      </c>
      <c r="H33" s="7" t="n"/>
      <c r="I33" s="7" t="n"/>
      <c r="J33" s="7" t="n"/>
    </row>
    <row r="34">
      <c r="A34" s="4" t="n"/>
      <c r="B34" s="5" t="n"/>
      <c r="C34" s="4" t="n"/>
      <c r="D34" s="5">
        <f>IF(B34="","",IFERROR(B34*C34/100,0))</f>
        <v/>
      </c>
      <c r="E34" s="4" t="n"/>
      <c r="F34" s="5">
        <f>IF(B34="","",IFERROR(B34*E34/100,0))</f>
        <v/>
      </c>
      <c r="G34" s="5">
        <f>IF(B34="","",D34+F34)</f>
        <v/>
      </c>
      <c r="H34" s="4" t="n"/>
      <c r="I34" s="4" t="n"/>
      <c r="J34" s="4" t="n"/>
    </row>
    <row r="35">
      <c r="A35" s="7" t="n"/>
      <c r="B35" s="8" t="n"/>
      <c r="C35" s="7" t="n"/>
      <c r="D35" s="8">
        <f>IF(B35="","",IFERROR(B35*C35/100,0))</f>
        <v/>
      </c>
      <c r="E35" s="7" t="n"/>
      <c r="F35" s="8">
        <f>IF(B35="","",IFERROR(B35*E35/100,0))</f>
        <v/>
      </c>
      <c r="G35" s="8">
        <f>IF(B35="","",D35+F35)</f>
        <v/>
      </c>
      <c r="H35" s="7" t="n"/>
      <c r="I35" s="7" t="n"/>
      <c r="J35" s="7" t="n"/>
    </row>
    <row r="36">
      <c r="A36" s="4" t="n"/>
      <c r="B36" s="5" t="n"/>
      <c r="C36" s="4" t="n"/>
      <c r="D36" s="5">
        <f>IF(B36="","",IFERROR(B36*C36/100,0))</f>
        <v/>
      </c>
      <c r="E36" s="4" t="n"/>
      <c r="F36" s="5">
        <f>IF(B36="","",IFERROR(B36*E36/100,0))</f>
        <v/>
      </c>
      <c r="G36" s="5">
        <f>IF(B36="","",D36+F36)</f>
        <v/>
      </c>
      <c r="H36" s="4" t="n"/>
      <c r="I36" s="4" t="n"/>
      <c r="J36" s="4" t="n"/>
    </row>
    <row r="37">
      <c r="A37" s="7" t="n"/>
      <c r="B37" s="8" t="n"/>
      <c r="C37" s="7" t="n"/>
      <c r="D37" s="8">
        <f>IF(B37="","",IFERROR(B37*C37/100,0))</f>
        <v/>
      </c>
      <c r="E37" s="7" t="n"/>
      <c r="F37" s="8">
        <f>IF(B37="","",IFERROR(B37*E37/100,0))</f>
        <v/>
      </c>
      <c r="G37" s="8">
        <f>IF(B37="","",D37+F37)</f>
        <v/>
      </c>
      <c r="H37" s="7" t="n"/>
      <c r="I37" s="7" t="n"/>
      <c r="J37" s="7" t="n"/>
    </row>
    <row r="38">
      <c r="A38" s="4" t="n"/>
      <c r="B38" s="5" t="n"/>
      <c r="C38" s="4" t="n"/>
      <c r="D38" s="5">
        <f>IF(B38="","",IFERROR(B38*C38/100,0))</f>
        <v/>
      </c>
      <c r="E38" s="4" t="n"/>
      <c r="F38" s="5">
        <f>IF(B38="","",IFERROR(B38*E38/100,0))</f>
        <v/>
      </c>
      <c r="G38" s="5">
        <f>IF(B38="","",D38+F38)</f>
        <v/>
      </c>
      <c r="H38" s="4" t="n"/>
      <c r="I38" s="4" t="n"/>
      <c r="J38" s="4" t="n"/>
    </row>
    <row r="39">
      <c r="A39" s="7" t="n"/>
      <c r="B39" s="8" t="n"/>
      <c r="C39" s="7" t="n"/>
      <c r="D39" s="8">
        <f>IF(B39="","",IFERROR(B39*C39/100,0))</f>
        <v/>
      </c>
      <c r="E39" s="7" t="n"/>
      <c r="F39" s="8">
        <f>IF(B39="","",IFERROR(B39*E39/100,0))</f>
        <v/>
      </c>
      <c r="G39" s="8">
        <f>IF(B39="","",D39+F39)</f>
        <v/>
      </c>
      <c r="H39" s="7" t="n"/>
      <c r="I39" s="7" t="n"/>
      <c r="J39" s="7" t="n"/>
    </row>
    <row r="40">
      <c r="A40" s="4" t="n"/>
      <c r="B40" s="5" t="n"/>
      <c r="C40" s="4" t="n"/>
      <c r="D40" s="5">
        <f>IF(B40="","",IFERROR(B40*C40/100,0))</f>
        <v/>
      </c>
      <c r="E40" s="4" t="n"/>
      <c r="F40" s="5">
        <f>IF(B40="","",IFERROR(B40*E40/100,0))</f>
        <v/>
      </c>
      <c r="G40" s="5">
        <f>IF(B40="","",D40+F40)</f>
        <v/>
      </c>
      <c r="H40" s="4" t="n"/>
      <c r="I40" s="4" t="n"/>
      <c r="J40" s="4" t="n"/>
    </row>
    <row r="41">
      <c r="A41" s="7" t="n"/>
      <c r="B41" s="8" t="n"/>
      <c r="C41" s="7" t="n"/>
      <c r="D41" s="8">
        <f>IF(B41="","",IFERROR(B41*C41/100,0))</f>
        <v/>
      </c>
      <c r="E41" s="7" t="n"/>
      <c r="F41" s="8">
        <f>IF(B41="","",IFERROR(B41*E41/100,0))</f>
        <v/>
      </c>
      <c r="G41" s="8">
        <f>IF(B41="","",D41+F41)</f>
        <v/>
      </c>
      <c r="H41" s="7" t="n"/>
      <c r="I41" s="7" t="n"/>
      <c r="J41" s="7" t="n"/>
    </row>
    <row r="42">
      <c r="A42" s="4" t="n"/>
      <c r="B42" s="5" t="n"/>
      <c r="C42" s="4" t="n"/>
      <c r="D42" s="5">
        <f>IF(B42="","",IFERROR(B42*C42/100,0))</f>
        <v/>
      </c>
      <c r="E42" s="4" t="n"/>
      <c r="F42" s="5">
        <f>IF(B42="","",IFERROR(B42*E42/100,0))</f>
        <v/>
      </c>
      <c r="G42" s="5">
        <f>IF(B42="","",D42+F42)</f>
        <v/>
      </c>
      <c r="H42" s="4" t="n"/>
      <c r="I42" s="4" t="n"/>
      <c r="J42" s="4" t="n"/>
    </row>
    <row r="43">
      <c r="A43" s="7" t="n"/>
      <c r="B43" s="8" t="n"/>
      <c r="C43" s="7" t="n"/>
      <c r="D43" s="8">
        <f>IF(B43="","",IFERROR(B43*C43/100,0))</f>
        <v/>
      </c>
      <c r="E43" s="7" t="n"/>
      <c r="F43" s="8">
        <f>IF(B43="","",IFERROR(B43*E43/100,0))</f>
        <v/>
      </c>
      <c r="G43" s="8">
        <f>IF(B43="","",D43+F43)</f>
        <v/>
      </c>
      <c r="H43" s="7" t="n"/>
      <c r="I43" s="7" t="n"/>
      <c r="J43" s="7" t="n"/>
    </row>
    <row r="44">
      <c r="A44" s="4" t="n"/>
      <c r="B44" s="5" t="n"/>
      <c r="C44" s="4" t="n"/>
      <c r="D44" s="5">
        <f>IF(B44="","",IFERROR(B44*C44/100,0))</f>
        <v/>
      </c>
      <c r="E44" s="4" t="n"/>
      <c r="F44" s="5">
        <f>IF(B44="","",IFERROR(B44*E44/100,0))</f>
        <v/>
      </c>
      <c r="G44" s="5">
        <f>IF(B44="","",D44+F44)</f>
        <v/>
      </c>
      <c r="H44" s="4" t="n"/>
      <c r="I44" s="4" t="n"/>
      <c r="J44" s="4" t="n"/>
    </row>
    <row r="45">
      <c r="A45" s="7" t="n"/>
      <c r="B45" s="8" t="n"/>
      <c r="C45" s="7" t="n"/>
      <c r="D45" s="8">
        <f>IF(B45="","",IFERROR(B45*C45/100,0))</f>
        <v/>
      </c>
      <c r="E45" s="7" t="n"/>
      <c r="F45" s="8">
        <f>IF(B45="","",IFERROR(B45*E45/100,0))</f>
        <v/>
      </c>
      <c r="G45" s="8">
        <f>IF(B45="","",D45+F45)</f>
        <v/>
      </c>
      <c r="H45" s="7" t="n"/>
      <c r="I45" s="7" t="n"/>
      <c r="J45" s="7" t="n"/>
    </row>
    <row r="46">
      <c r="A46" s="4" t="n"/>
      <c r="B46" s="5" t="n"/>
      <c r="C46" s="4" t="n"/>
      <c r="D46" s="5">
        <f>IF(B46="","",IFERROR(B46*C46/100,0))</f>
        <v/>
      </c>
      <c r="E46" s="4" t="n"/>
      <c r="F46" s="5">
        <f>IF(B46="","",IFERROR(B46*E46/100,0))</f>
        <v/>
      </c>
      <c r="G46" s="5">
        <f>IF(B46="","",D46+F46)</f>
        <v/>
      </c>
      <c r="H46" s="4" t="n"/>
      <c r="I46" s="4" t="n"/>
      <c r="J46" s="4" t="n"/>
    </row>
    <row r="47">
      <c r="A47" s="7" t="n"/>
      <c r="B47" s="8" t="n"/>
      <c r="C47" s="7" t="n"/>
      <c r="D47" s="8">
        <f>IF(B47="","",IFERROR(B47*C47/100,0))</f>
        <v/>
      </c>
      <c r="E47" s="7" t="n"/>
      <c r="F47" s="8">
        <f>IF(B47="","",IFERROR(B47*E47/100,0))</f>
        <v/>
      </c>
      <c r="G47" s="8">
        <f>IF(B47="","",D47+F47)</f>
        <v/>
      </c>
      <c r="H47" s="7" t="n"/>
      <c r="I47" s="7" t="n"/>
      <c r="J47" s="7" t="n"/>
    </row>
    <row r="48">
      <c r="A48" s="4" t="n"/>
      <c r="B48" s="5" t="n"/>
      <c r="C48" s="4" t="n"/>
      <c r="D48" s="5">
        <f>IF(B48="","",IFERROR(B48*C48/100,0))</f>
        <v/>
      </c>
      <c r="E48" s="4" t="n"/>
      <c r="F48" s="5">
        <f>IF(B48="","",IFERROR(B48*E48/100,0))</f>
        <v/>
      </c>
      <c r="G48" s="5">
        <f>IF(B48="","",D48+F48)</f>
        <v/>
      </c>
      <c r="H48" s="4" t="n"/>
      <c r="I48" s="4" t="n"/>
      <c r="J48" s="4" t="n"/>
    </row>
    <row r="49">
      <c r="A49" s="7" t="n"/>
      <c r="B49" s="8" t="n"/>
      <c r="C49" s="7" t="n"/>
      <c r="D49" s="8">
        <f>IF(B49="","",IFERROR(B49*C49/100,0))</f>
        <v/>
      </c>
      <c r="E49" s="7" t="n"/>
      <c r="F49" s="8">
        <f>IF(B49="","",IFERROR(B49*E49/100,0))</f>
        <v/>
      </c>
      <c r="G49" s="8">
        <f>IF(B49="","",D49+F49)</f>
        <v/>
      </c>
      <c r="H49" s="7" t="n"/>
      <c r="I49" s="7" t="n"/>
      <c r="J49" s="7" t="n"/>
    </row>
    <row r="50">
      <c r="A50" s="4" t="n"/>
      <c r="B50" s="5" t="n"/>
      <c r="C50" s="4" t="n"/>
      <c r="D50" s="5">
        <f>IF(B50="","",IFERROR(B50*C50/100,0))</f>
        <v/>
      </c>
      <c r="E50" s="4" t="n"/>
      <c r="F50" s="5">
        <f>IF(B50="","",IFERROR(B50*E50/100,0))</f>
        <v/>
      </c>
      <c r="G50" s="5">
        <f>IF(B50="","",D50+F50)</f>
        <v/>
      </c>
      <c r="H50" s="4" t="n"/>
      <c r="I50" s="4" t="n"/>
      <c r="J50" s="4" t="n"/>
    </row>
    <row r="51">
      <c r="A51" s="7" t="n"/>
      <c r="B51" s="8" t="n"/>
      <c r="C51" s="7" t="n"/>
      <c r="D51" s="8">
        <f>IF(B51="","",IFERROR(B51*C51/100,0))</f>
        <v/>
      </c>
      <c r="E51" s="7" t="n"/>
      <c r="F51" s="8">
        <f>IF(B51="","",IFERROR(B51*E51/100,0))</f>
        <v/>
      </c>
      <c r="G51" s="8">
        <f>IF(B51="","",D51+F51)</f>
        <v/>
      </c>
      <c r="H51" s="7" t="n"/>
      <c r="I51" s="7" t="n"/>
      <c r="J51" s="7" t="n"/>
    </row>
    <row r="52">
      <c r="A52" s="4" t="n"/>
      <c r="B52" s="5" t="n"/>
      <c r="C52" s="4" t="n"/>
      <c r="D52" s="5">
        <f>IF(B52="","",IFERROR(B52*C52/100,0))</f>
        <v/>
      </c>
      <c r="E52" s="4" t="n"/>
      <c r="F52" s="5">
        <f>IF(B52="","",IFERROR(B52*E52/100,0))</f>
        <v/>
      </c>
      <c r="G52" s="5">
        <f>IF(B52="","",D52+F52)</f>
        <v/>
      </c>
      <c r="H52" s="4" t="n"/>
      <c r="I52" s="4" t="n"/>
      <c r="J52" s="4" t="n"/>
    </row>
    <row r="53">
      <c r="A53" s="7" t="n"/>
      <c r="B53" s="8" t="n"/>
      <c r="C53" s="7" t="n"/>
      <c r="D53" s="8">
        <f>IF(B53="","",IFERROR(B53*C53/100,0))</f>
        <v/>
      </c>
      <c r="E53" s="7" t="n"/>
      <c r="F53" s="8">
        <f>IF(B53="","",IFERROR(B53*E53/100,0))</f>
        <v/>
      </c>
      <c r="G53" s="8">
        <f>IF(B53="","",D53+F53)</f>
        <v/>
      </c>
      <c r="H53" s="7" t="n"/>
      <c r="I53" s="7" t="n"/>
      <c r="J53" s="7" t="n"/>
    </row>
    <row r="54">
      <c r="A54" s="4" t="n"/>
      <c r="B54" s="5" t="n"/>
      <c r="C54" s="4" t="n"/>
      <c r="D54" s="5">
        <f>IF(B54="","",IFERROR(B54*C54/100,0))</f>
        <v/>
      </c>
      <c r="E54" s="4" t="n"/>
      <c r="F54" s="5">
        <f>IF(B54="","",IFERROR(B54*E54/100,0))</f>
        <v/>
      </c>
      <c r="G54" s="5">
        <f>IF(B54="","",D54+F54)</f>
        <v/>
      </c>
      <c r="H54" s="4" t="n"/>
      <c r="I54" s="4" t="n"/>
      <c r="J54" s="4" t="n"/>
    </row>
    <row r="55">
      <c r="A55" s="7" t="n"/>
      <c r="B55" s="8" t="n"/>
      <c r="C55" s="7" t="n"/>
      <c r="D55" s="8">
        <f>IF(B55="","",IFERROR(B55*C55/100,0))</f>
        <v/>
      </c>
      <c r="E55" s="7" t="n"/>
      <c r="F55" s="8">
        <f>IF(B55="","",IFERROR(B55*E55/100,0))</f>
        <v/>
      </c>
      <c r="G55" s="8">
        <f>IF(B55="","",D55+F55)</f>
        <v/>
      </c>
      <c r="H55" s="7" t="n"/>
      <c r="I55" s="7" t="n"/>
      <c r="J55" s="7" t="n"/>
    </row>
    <row r="56">
      <c r="A56" s="4" t="n"/>
      <c r="B56" s="5" t="n"/>
      <c r="C56" s="4" t="n"/>
      <c r="D56" s="5">
        <f>IF(B56="","",IFERROR(B56*C56/100,0))</f>
        <v/>
      </c>
      <c r="E56" s="4" t="n"/>
      <c r="F56" s="5">
        <f>IF(B56="","",IFERROR(B56*E56/100,0))</f>
        <v/>
      </c>
      <c r="G56" s="5">
        <f>IF(B56="","",D56+F56)</f>
        <v/>
      </c>
      <c r="H56" s="4" t="n"/>
      <c r="I56" s="4" t="n"/>
      <c r="J56" s="4" t="n"/>
    </row>
    <row r="57">
      <c r="A57" s="7" t="n"/>
      <c r="B57" s="8" t="n"/>
      <c r="C57" s="7" t="n"/>
      <c r="D57" s="8">
        <f>IF(B57="","",IFERROR(B57*C57/100,0))</f>
        <v/>
      </c>
      <c r="E57" s="7" t="n"/>
      <c r="F57" s="8">
        <f>IF(B57="","",IFERROR(B57*E57/100,0))</f>
        <v/>
      </c>
      <c r="G57" s="8">
        <f>IF(B57="","",D57+F57)</f>
        <v/>
      </c>
      <c r="H57" s="7" t="n"/>
      <c r="I57" s="7" t="n"/>
      <c r="J57" s="7" t="n"/>
    </row>
    <row r="58">
      <c r="A58" s="4" t="n"/>
      <c r="B58" s="5" t="n"/>
      <c r="C58" s="4" t="n"/>
      <c r="D58" s="5">
        <f>IF(B58="","",IFERROR(B58*C58/100,0))</f>
        <v/>
      </c>
      <c r="E58" s="4" t="n"/>
      <c r="F58" s="5">
        <f>IF(B58="","",IFERROR(B58*E58/100,0))</f>
        <v/>
      </c>
      <c r="G58" s="5">
        <f>IF(B58="","",D58+F58)</f>
        <v/>
      </c>
      <c r="H58" s="4" t="n"/>
      <c r="I58" s="4" t="n"/>
      <c r="J58" s="4" t="n"/>
    </row>
    <row r="59">
      <c r="A59" s="7" t="n"/>
      <c r="B59" s="8" t="n"/>
      <c r="C59" s="7" t="n"/>
      <c r="D59" s="8">
        <f>IF(B59="","",IFERROR(B59*C59/100,0))</f>
        <v/>
      </c>
      <c r="E59" s="7" t="n"/>
      <c r="F59" s="8">
        <f>IF(B59="","",IFERROR(B59*E59/100,0))</f>
        <v/>
      </c>
      <c r="G59" s="8">
        <f>IF(B59="","",D59+F59)</f>
        <v/>
      </c>
      <c r="H59" s="7" t="n"/>
      <c r="I59" s="7" t="n"/>
      <c r="J59" s="7" t="n"/>
    </row>
    <row r="60">
      <c r="A60" s="4" t="n"/>
      <c r="B60" s="5" t="n"/>
      <c r="C60" s="4" t="n"/>
      <c r="D60" s="5">
        <f>IF(B60="","",IFERROR(B60*C60/100,0))</f>
        <v/>
      </c>
      <c r="E60" s="4" t="n"/>
      <c r="F60" s="5">
        <f>IF(B60="","",IFERROR(B60*E60/100,0))</f>
        <v/>
      </c>
      <c r="G60" s="5">
        <f>IF(B60="","",D60+F60)</f>
        <v/>
      </c>
      <c r="H60" s="4" t="n"/>
      <c r="I60" s="4" t="n"/>
      <c r="J60" s="4" t="n"/>
    </row>
    <row r="61">
      <c r="A61" s="7" t="n"/>
      <c r="B61" s="8" t="n"/>
      <c r="C61" s="7" t="n"/>
      <c r="D61" s="8">
        <f>IF(B61="","",IFERROR(B61*C61/100,0))</f>
        <v/>
      </c>
      <c r="E61" s="7" t="n"/>
      <c r="F61" s="8">
        <f>IF(B61="","",IFERROR(B61*E61/100,0))</f>
        <v/>
      </c>
      <c r="G61" s="8">
        <f>IF(B61="","",D61+F61)</f>
        <v/>
      </c>
      <c r="H61" s="7" t="n"/>
      <c r="I61" s="7" t="n"/>
      <c r="J61" s="7" t="n"/>
    </row>
    <row r="62">
      <c r="A62" s="4" t="n"/>
      <c r="B62" s="5" t="n"/>
      <c r="C62" s="4" t="n"/>
      <c r="D62" s="5">
        <f>IF(B62="","",IFERROR(B62*C62/100,0))</f>
        <v/>
      </c>
      <c r="E62" s="4" t="n"/>
      <c r="F62" s="5">
        <f>IF(B62="","",IFERROR(B62*E62/100,0))</f>
        <v/>
      </c>
      <c r="G62" s="5">
        <f>IF(B62="","",D62+F62)</f>
        <v/>
      </c>
      <c r="H62" s="4" t="n"/>
      <c r="I62" s="4" t="n"/>
      <c r="J62" s="4" t="n"/>
    </row>
    <row r="63">
      <c r="A63" s="7" t="n"/>
      <c r="B63" s="8" t="n"/>
      <c r="C63" s="7" t="n"/>
      <c r="D63" s="8">
        <f>IF(B63="","",IFERROR(B63*C63/100,0))</f>
        <v/>
      </c>
      <c r="E63" s="7" t="n"/>
      <c r="F63" s="8">
        <f>IF(B63="","",IFERROR(B63*E63/100,0))</f>
        <v/>
      </c>
      <c r="G63" s="8">
        <f>IF(B63="","",D63+F63)</f>
        <v/>
      </c>
      <c r="H63" s="7" t="n"/>
      <c r="I63" s="7" t="n"/>
      <c r="J63" s="7" t="n"/>
    </row>
    <row r="64">
      <c r="A64" s="4" t="n"/>
      <c r="B64" s="5" t="n"/>
      <c r="C64" s="4" t="n"/>
      <c r="D64" s="5">
        <f>IF(B64="","",IFERROR(B64*C64/100,0))</f>
        <v/>
      </c>
      <c r="E64" s="4" t="n"/>
      <c r="F64" s="5">
        <f>IF(B64="","",IFERROR(B64*E64/100,0))</f>
        <v/>
      </c>
      <c r="G64" s="5">
        <f>IF(B64="","",D64+F64)</f>
        <v/>
      </c>
      <c r="H64" s="4" t="n"/>
      <c r="I64" s="4" t="n"/>
      <c r="J64" s="4" t="n"/>
    </row>
    <row r="65">
      <c r="A65" s="7" t="n"/>
      <c r="B65" s="8" t="n"/>
      <c r="C65" s="7" t="n"/>
      <c r="D65" s="8">
        <f>IF(B65="","",IFERROR(B65*C65/100,0))</f>
        <v/>
      </c>
      <c r="E65" s="7" t="n"/>
      <c r="F65" s="8">
        <f>IF(B65="","",IFERROR(B65*E65/100,0))</f>
        <v/>
      </c>
      <c r="G65" s="8">
        <f>IF(B65="","",D65+F65)</f>
        <v/>
      </c>
      <c r="H65" s="7" t="n"/>
      <c r="I65" s="7" t="n"/>
      <c r="J65" s="7" t="n"/>
    </row>
    <row r="66">
      <c r="A66" s="4" t="n"/>
      <c r="B66" s="5" t="n"/>
      <c r="C66" s="4" t="n"/>
      <c r="D66" s="5">
        <f>IF(B66="","",IFERROR(B66*C66/100,0))</f>
        <v/>
      </c>
      <c r="E66" s="4" t="n"/>
      <c r="F66" s="5">
        <f>IF(B66="","",IFERROR(B66*E66/100,0))</f>
        <v/>
      </c>
      <c r="G66" s="5">
        <f>IF(B66="","",D66+F66)</f>
        <v/>
      </c>
      <c r="H66" s="4" t="n"/>
      <c r="I66" s="4" t="n"/>
      <c r="J66" s="4" t="n"/>
    </row>
    <row r="67">
      <c r="A67" s="7" t="n"/>
      <c r="B67" s="8" t="n"/>
      <c r="C67" s="7" t="n"/>
      <c r="D67" s="8">
        <f>IF(B67="","",IFERROR(B67*C67/100,0))</f>
        <v/>
      </c>
      <c r="E67" s="7" t="n"/>
      <c r="F67" s="8">
        <f>IF(B67="","",IFERROR(B67*E67/100,0))</f>
        <v/>
      </c>
      <c r="G67" s="8">
        <f>IF(B67="","",D67+F67)</f>
        <v/>
      </c>
      <c r="H67" s="7" t="n"/>
      <c r="I67" s="7" t="n"/>
      <c r="J67" s="7" t="n"/>
    </row>
    <row r="68">
      <c r="A68" s="4" t="n"/>
      <c r="B68" s="5" t="n"/>
      <c r="C68" s="4" t="n"/>
      <c r="D68" s="5">
        <f>IF(B68="","",IFERROR(B68*C68/100,0))</f>
        <v/>
      </c>
      <c r="E68" s="4" t="n"/>
      <c r="F68" s="5">
        <f>IF(B68="","",IFERROR(B68*E68/100,0))</f>
        <v/>
      </c>
      <c r="G68" s="5">
        <f>IF(B68="","",D68+F68)</f>
        <v/>
      </c>
      <c r="H68" s="4" t="n"/>
      <c r="I68" s="4" t="n"/>
      <c r="J68" s="4" t="n"/>
    </row>
    <row r="69">
      <c r="A69" s="7" t="n"/>
      <c r="B69" s="8" t="n"/>
      <c r="C69" s="7" t="n"/>
      <c r="D69" s="8">
        <f>IF(B69="","",IFERROR(B69*C69/100,0))</f>
        <v/>
      </c>
      <c r="E69" s="7" t="n"/>
      <c r="F69" s="8">
        <f>IF(B69="","",IFERROR(B69*E69/100,0))</f>
        <v/>
      </c>
      <c r="G69" s="8">
        <f>IF(B69="","",D69+F69)</f>
        <v/>
      </c>
      <c r="H69" s="7" t="n"/>
      <c r="I69" s="7" t="n"/>
      <c r="J69" s="7" t="n"/>
    </row>
    <row r="70">
      <c r="A70" s="4" t="n"/>
      <c r="B70" s="5" t="n"/>
      <c r="C70" s="4" t="n"/>
      <c r="D70" s="5">
        <f>IF(B70="","",IFERROR(B70*C70/100,0))</f>
        <v/>
      </c>
      <c r="E70" s="4" t="n"/>
      <c r="F70" s="5">
        <f>IF(B70="","",IFERROR(B70*E70/100,0))</f>
        <v/>
      </c>
      <c r="G70" s="5">
        <f>IF(B70="","",D70+F70)</f>
        <v/>
      </c>
      <c r="H70" s="4" t="n"/>
      <c r="I70" s="4" t="n"/>
      <c r="J70" s="4" t="n"/>
    </row>
    <row r="71">
      <c r="A71" s="7" t="n"/>
      <c r="B71" s="8" t="n"/>
      <c r="C71" s="7" t="n"/>
      <c r="D71" s="8">
        <f>IF(B71="","",IFERROR(B71*C71/100,0))</f>
        <v/>
      </c>
      <c r="E71" s="7" t="n"/>
      <c r="F71" s="8">
        <f>IF(B71="","",IFERROR(B71*E71/100,0))</f>
        <v/>
      </c>
      <c r="G71" s="8">
        <f>IF(B71="","",D71+F71)</f>
        <v/>
      </c>
      <c r="H71" s="7" t="n"/>
      <c r="I71" s="7" t="n"/>
      <c r="J71" s="7" t="n"/>
    </row>
    <row r="72">
      <c r="A72" s="4" t="n"/>
      <c r="B72" s="5" t="n"/>
      <c r="C72" s="4" t="n"/>
      <c r="D72" s="5">
        <f>IF(B72="","",IFERROR(B72*C72/100,0))</f>
        <v/>
      </c>
      <c r="E72" s="4" t="n"/>
      <c r="F72" s="5">
        <f>IF(B72="","",IFERROR(B72*E72/100,0))</f>
        <v/>
      </c>
      <c r="G72" s="5">
        <f>IF(B72="","",D72+F72)</f>
        <v/>
      </c>
      <c r="H72" s="4" t="n"/>
      <c r="I72" s="4" t="n"/>
      <c r="J72" s="4" t="n"/>
    </row>
    <row r="73">
      <c r="A73" s="7" t="n"/>
      <c r="B73" s="8" t="n"/>
      <c r="C73" s="7" t="n"/>
      <c r="D73" s="8">
        <f>IF(B73="","",IFERROR(B73*C73/100,0))</f>
        <v/>
      </c>
      <c r="E73" s="7" t="n"/>
      <c r="F73" s="8">
        <f>IF(B73="","",IFERROR(B73*E73/100,0))</f>
        <v/>
      </c>
      <c r="G73" s="8">
        <f>IF(B73="","",D73+F73)</f>
        <v/>
      </c>
      <c r="H73" s="7" t="n"/>
      <c r="I73" s="7" t="n"/>
      <c r="J73" s="7" t="n"/>
    </row>
    <row r="74">
      <c r="A74" s="4" t="n"/>
      <c r="B74" s="5" t="n"/>
      <c r="C74" s="4" t="n"/>
      <c r="D74" s="5">
        <f>IF(B74="","",IFERROR(B74*C74/100,0))</f>
        <v/>
      </c>
      <c r="E74" s="4" t="n"/>
      <c r="F74" s="5">
        <f>IF(B74="","",IFERROR(B74*E74/100,0))</f>
        <v/>
      </c>
      <c r="G74" s="5">
        <f>IF(B74="","",D74+F74)</f>
        <v/>
      </c>
      <c r="H74" s="4" t="n"/>
      <c r="I74" s="4" t="n"/>
      <c r="J74" s="4" t="n"/>
    </row>
    <row r="75">
      <c r="A75" s="7" t="n"/>
      <c r="B75" s="8" t="n"/>
      <c r="C75" s="7" t="n"/>
      <c r="D75" s="8">
        <f>IF(B75="","",IFERROR(B75*C75/100,0))</f>
        <v/>
      </c>
      <c r="E75" s="7" t="n"/>
      <c r="F75" s="8">
        <f>IF(B75="","",IFERROR(B75*E75/100,0))</f>
        <v/>
      </c>
      <c r="G75" s="8">
        <f>IF(B75="","",D75+F75)</f>
        <v/>
      </c>
      <c r="H75" s="7" t="n"/>
      <c r="I75" s="7" t="n"/>
      <c r="J75" s="7" t="n"/>
    </row>
    <row r="76">
      <c r="A76" s="4" t="n"/>
      <c r="B76" s="5" t="n"/>
      <c r="C76" s="4" t="n"/>
      <c r="D76" s="5">
        <f>IF(B76="","",IFERROR(B76*C76/100,0))</f>
        <v/>
      </c>
      <c r="E76" s="4" t="n"/>
      <c r="F76" s="5">
        <f>IF(B76="","",IFERROR(B76*E76/100,0))</f>
        <v/>
      </c>
      <c r="G76" s="5">
        <f>IF(B76="","",D76+F76)</f>
        <v/>
      </c>
      <c r="H76" s="4" t="n"/>
      <c r="I76" s="4" t="n"/>
      <c r="J76" s="4" t="n"/>
    </row>
    <row r="77">
      <c r="A77" s="7" t="n"/>
      <c r="B77" s="8" t="n"/>
      <c r="C77" s="7" t="n"/>
      <c r="D77" s="8">
        <f>IF(B77="","",IFERROR(B77*C77/100,0))</f>
        <v/>
      </c>
      <c r="E77" s="7" t="n"/>
      <c r="F77" s="8">
        <f>IF(B77="","",IFERROR(B77*E77/100,0))</f>
        <v/>
      </c>
      <c r="G77" s="8">
        <f>IF(B77="","",D77+F77)</f>
        <v/>
      </c>
      <c r="H77" s="7" t="n"/>
      <c r="I77" s="7" t="n"/>
      <c r="J77" s="7" t="n"/>
    </row>
    <row r="78">
      <c r="A78" s="4" t="n"/>
      <c r="B78" s="5" t="n"/>
      <c r="C78" s="4" t="n"/>
      <c r="D78" s="5">
        <f>IF(B78="","",IFERROR(B78*C78/100,0))</f>
        <v/>
      </c>
      <c r="E78" s="4" t="n"/>
      <c r="F78" s="5">
        <f>IF(B78="","",IFERROR(B78*E78/100,0))</f>
        <v/>
      </c>
      <c r="G78" s="5">
        <f>IF(B78="","",D78+F78)</f>
        <v/>
      </c>
      <c r="H78" s="4" t="n"/>
      <c r="I78" s="4" t="n"/>
      <c r="J78" s="4" t="n"/>
    </row>
    <row r="79">
      <c r="A79" s="7" t="n"/>
      <c r="B79" s="8" t="n"/>
      <c r="C79" s="7" t="n"/>
      <c r="D79" s="8">
        <f>IF(B79="","",IFERROR(B79*C79/100,0))</f>
        <v/>
      </c>
      <c r="E79" s="7" t="n"/>
      <c r="F79" s="8">
        <f>IF(B79="","",IFERROR(B79*E79/100,0))</f>
        <v/>
      </c>
      <c r="G79" s="8">
        <f>IF(B79="","",D79+F79)</f>
        <v/>
      </c>
      <c r="H79" s="7" t="n"/>
      <c r="I79" s="7" t="n"/>
      <c r="J79" s="7" t="n"/>
    </row>
    <row r="80">
      <c r="A80" s="4" t="n"/>
      <c r="B80" s="5" t="n"/>
      <c r="C80" s="4" t="n"/>
      <c r="D80" s="5">
        <f>IF(B80="","",IFERROR(B80*C80/100,0))</f>
        <v/>
      </c>
      <c r="E80" s="4" t="n"/>
      <c r="F80" s="5">
        <f>IF(B80="","",IFERROR(B80*E80/100,0))</f>
        <v/>
      </c>
      <c r="G80" s="5">
        <f>IF(B80="","",D80+F80)</f>
        <v/>
      </c>
      <c r="H80" s="4" t="n"/>
      <c r="I80" s="4" t="n"/>
      <c r="J80" s="4" t="n"/>
    </row>
    <row r="81">
      <c r="A81" s="7" t="n"/>
      <c r="B81" s="8" t="n"/>
      <c r="C81" s="7" t="n"/>
      <c r="D81" s="8">
        <f>IF(B81="","",IFERROR(B81*C81/100,0))</f>
        <v/>
      </c>
      <c r="E81" s="7" t="n"/>
      <c r="F81" s="8">
        <f>IF(B81="","",IFERROR(B81*E81/100,0))</f>
        <v/>
      </c>
      <c r="G81" s="8">
        <f>IF(B81="","",D81+F81)</f>
        <v/>
      </c>
      <c r="H81" s="7" t="n"/>
      <c r="I81" s="7" t="n"/>
      <c r="J81" s="7" t="n"/>
    </row>
    <row r="82">
      <c r="A82" s="4" t="n"/>
      <c r="B82" s="5" t="n"/>
      <c r="C82" s="4" t="n"/>
      <c r="D82" s="5">
        <f>IF(B82="","",IFERROR(B82*C82/100,0))</f>
        <v/>
      </c>
      <c r="E82" s="4" t="n"/>
      <c r="F82" s="5">
        <f>IF(B82="","",IFERROR(B82*E82/100,0))</f>
        <v/>
      </c>
      <c r="G82" s="5">
        <f>IF(B82="","",D82+F82)</f>
        <v/>
      </c>
      <c r="H82" s="4" t="n"/>
      <c r="I82" s="4" t="n"/>
      <c r="J82" s="4" t="n"/>
    </row>
    <row r="83">
      <c r="A83" s="7" t="n"/>
      <c r="B83" s="8" t="n"/>
      <c r="C83" s="7" t="n"/>
      <c r="D83" s="8">
        <f>IF(B83="","",IFERROR(B83*C83/100,0))</f>
        <v/>
      </c>
      <c r="E83" s="7" t="n"/>
      <c r="F83" s="8">
        <f>IF(B83="","",IFERROR(B83*E83/100,0))</f>
        <v/>
      </c>
      <c r="G83" s="8">
        <f>IF(B83="","",D83+F83)</f>
        <v/>
      </c>
      <c r="H83" s="7" t="n"/>
      <c r="I83" s="7" t="n"/>
      <c r="J83" s="7" t="n"/>
    </row>
    <row r="84">
      <c r="A84" s="4" t="n"/>
      <c r="B84" s="5" t="n"/>
      <c r="C84" s="4" t="n"/>
      <c r="D84" s="5">
        <f>IF(B84="","",IFERROR(B84*C84/100,0))</f>
        <v/>
      </c>
      <c r="E84" s="4" t="n"/>
      <c r="F84" s="5">
        <f>IF(B84="","",IFERROR(B84*E84/100,0))</f>
        <v/>
      </c>
      <c r="G84" s="5">
        <f>IF(B84="","",D84+F84)</f>
        <v/>
      </c>
      <c r="H84" s="4" t="n"/>
      <c r="I84" s="4" t="n"/>
      <c r="J84" s="4" t="n"/>
    </row>
    <row r="85">
      <c r="A85" s="7" t="n"/>
      <c r="B85" s="8" t="n"/>
      <c r="C85" s="7" t="n"/>
      <c r="D85" s="8">
        <f>IF(B85="","",IFERROR(B85*C85/100,0))</f>
        <v/>
      </c>
      <c r="E85" s="7" t="n"/>
      <c r="F85" s="8">
        <f>IF(B85="","",IFERROR(B85*E85/100,0))</f>
        <v/>
      </c>
      <c r="G85" s="8">
        <f>IF(B85="","",D85+F85)</f>
        <v/>
      </c>
      <c r="H85" s="7" t="n"/>
      <c r="I85" s="7" t="n"/>
      <c r="J85" s="7" t="n"/>
    </row>
    <row r="86">
      <c r="A86" s="4" t="n"/>
      <c r="B86" s="5" t="n"/>
      <c r="C86" s="4" t="n"/>
      <c r="D86" s="5">
        <f>IF(B86="","",IFERROR(B86*C86/100,0))</f>
        <v/>
      </c>
      <c r="E86" s="4" t="n"/>
      <c r="F86" s="5">
        <f>IF(B86="","",IFERROR(B86*E86/100,0))</f>
        <v/>
      </c>
      <c r="G86" s="5">
        <f>IF(B86="","",D86+F86)</f>
        <v/>
      </c>
      <c r="H86" s="4" t="n"/>
      <c r="I86" s="4" t="n"/>
      <c r="J86" s="4" t="n"/>
    </row>
    <row r="87">
      <c r="A87" s="7" t="n"/>
      <c r="B87" s="8" t="n"/>
      <c r="C87" s="7" t="n"/>
      <c r="D87" s="8">
        <f>IF(B87="","",IFERROR(B87*C87/100,0))</f>
        <v/>
      </c>
      <c r="E87" s="7" t="n"/>
      <c r="F87" s="8">
        <f>IF(B87="","",IFERROR(B87*E87/100,0))</f>
        <v/>
      </c>
      <c r="G87" s="8">
        <f>IF(B87="","",D87+F87)</f>
        <v/>
      </c>
      <c r="H87" s="7" t="n"/>
      <c r="I87" s="7" t="n"/>
      <c r="J87" s="7" t="n"/>
    </row>
    <row r="88">
      <c r="A88" s="4" t="n"/>
      <c r="B88" s="5" t="n"/>
      <c r="C88" s="4" t="n"/>
      <c r="D88" s="5">
        <f>IF(B88="","",IFERROR(B88*C88/100,0))</f>
        <v/>
      </c>
      <c r="E88" s="4" t="n"/>
      <c r="F88" s="5">
        <f>IF(B88="","",IFERROR(B88*E88/100,0))</f>
        <v/>
      </c>
      <c r="G88" s="5">
        <f>IF(B88="","",D88+F88)</f>
        <v/>
      </c>
      <c r="H88" s="4" t="n"/>
      <c r="I88" s="4" t="n"/>
      <c r="J88" s="4" t="n"/>
    </row>
    <row r="89">
      <c r="A89" s="7" t="n"/>
      <c r="B89" s="8" t="n"/>
      <c r="C89" s="7" t="n"/>
      <c r="D89" s="8">
        <f>IF(B89="","",IFERROR(B89*C89/100,0))</f>
        <v/>
      </c>
      <c r="E89" s="7" t="n"/>
      <c r="F89" s="8">
        <f>IF(B89="","",IFERROR(B89*E89/100,0))</f>
        <v/>
      </c>
      <c r="G89" s="8">
        <f>IF(B89="","",D89+F89)</f>
        <v/>
      </c>
      <c r="H89" s="7" t="n"/>
      <c r="I89" s="7" t="n"/>
      <c r="J89" s="7" t="n"/>
    </row>
    <row r="90">
      <c r="A90" s="4" t="n"/>
      <c r="B90" s="5" t="n"/>
      <c r="C90" s="4" t="n"/>
      <c r="D90" s="5">
        <f>IF(B90="","",IFERROR(B90*C90/100,0))</f>
        <v/>
      </c>
      <c r="E90" s="4" t="n"/>
      <c r="F90" s="5">
        <f>IF(B90="","",IFERROR(B90*E90/100,0))</f>
        <v/>
      </c>
      <c r="G90" s="5">
        <f>IF(B90="","",D90+F90)</f>
        <v/>
      </c>
      <c r="H90" s="4" t="n"/>
      <c r="I90" s="4" t="n"/>
      <c r="J90" s="4" t="n"/>
    </row>
    <row r="91">
      <c r="A91" s="7" t="n"/>
      <c r="B91" s="8" t="n"/>
      <c r="C91" s="7" t="n"/>
      <c r="D91" s="8">
        <f>IF(B91="","",IFERROR(B91*C91/100,0))</f>
        <v/>
      </c>
      <c r="E91" s="7" t="n"/>
      <c r="F91" s="8">
        <f>IF(B91="","",IFERROR(B91*E91/100,0))</f>
        <v/>
      </c>
      <c r="G91" s="8">
        <f>IF(B91="","",D91+F91)</f>
        <v/>
      </c>
      <c r="H91" s="7" t="n"/>
      <c r="I91" s="7" t="n"/>
      <c r="J91" s="7" t="n"/>
    </row>
    <row r="92">
      <c r="A92" s="4" t="n"/>
      <c r="B92" s="5" t="n"/>
      <c r="C92" s="4" t="n"/>
      <c r="D92" s="5">
        <f>IF(B92="","",IFERROR(B92*C92/100,0))</f>
        <v/>
      </c>
      <c r="E92" s="4" t="n"/>
      <c r="F92" s="5">
        <f>IF(B92="","",IFERROR(B92*E92/100,0))</f>
        <v/>
      </c>
      <c r="G92" s="5">
        <f>IF(B92="","",D92+F92)</f>
        <v/>
      </c>
      <c r="H92" s="4" t="n"/>
      <c r="I92" s="4" t="n"/>
      <c r="J92" s="4" t="n"/>
    </row>
    <row r="93">
      <c r="A93" s="7" t="n"/>
      <c r="B93" s="8" t="n"/>
      <c r="C93" s="7" t="n"/>
      <c r="D93" s="8">
        <f>IF(B93="","",IFERROR(B93*C93/100,0))</f>
        <v/>
      </c>
      <c r="E93" s="7" t="n"/>
      <c r="F93" s="8">
        <f>IF(B93="","",IFERROR(B93*E93/100,0))</f>
        <v/>
      </c>
      <c r="G93" s="8">
        <f>IF(B93="","",D93+F93)</f>
        <v/>
      </c>
      <c r="H93" s="7" t="n"/>
      <c r="I93" s="7" t="n"/>
      <c r="J93" s="7" t="n"/>
    </row>
    <row r="94">
      <c r="A94" s="4" t="n"/>
      <c r="B94" s="5" t="n"/>
      <c r="C94" s="4" t="n"/>
      <c r="D94" s="5">
        <f>IF(B94="","",IFERROR(B94*C94/100,0))</f>
        <v/>
      </c>
      <c r="E94" s="4" t="n"/>
      <c r="F94" s="5">
        <f>IF(B94="","",IFERROR(B94*E94/100,0))</f>
        <v/>
      </c>
      <c r="G94" s="5">
        <f>IF(B94="","",D94+F94)</f>
        <v/>
      </c>
      <c r="H94" s="4" t="n"/>
      <c r="I94" s="4" t="n"/>
      <c r="J94" s="4" t="n"/>
    </row>
    <row r="95">
      <c r="A95" s="7" t="n"/>
      <c r="B95" s="8" t="n"/>
      <c r="C95" s="7" t="n"/>
      <c r="D95" s="8">
        <f>IF(B95="","",IFERROR(B95*C95/100,0))</f>
        <v/>
      </c>
      <c r="E95" s="7" t="n"/>
      <c r="F95" s="8">
        <f>IF(B95="","",IFERROR(B95*E95/100,0))</f>
        <v/>
      </c>
      <c r="G95" s="8">
        <f>IF(B95="","",D95+F95)</f>
        <v/>
      </c>
      <c r="H95" s="7" t="n"/>
      <c r="I95" s="7" t="n"/>
      <c r="J95" s="7" t="n"/>
    </row>
    <row r="96">
      <c r="A96" s="4" t="n"/>
      <c r="B96" s="5" t="n"/>
      <c r="C96" s="4" t="n"/>
      <c r="D96" s="5">
        <f>IF(B96="","",IFERROR(B96*C96/100,0))</f>
        <v/>
      </c>
      <c r="E96" s="4" t="n"/>
      <c r="F96" s="5">
        <f>IF(B96="","",IFERROR(B96*E96/100,0))</f>
        <v/>
      </c>
      <c r="G96" s="5">
        <f>IF(B96="","",D96+F96)</f>
        <v/>
      </c>
      <c r="H96" s="4" t="n"/>
      <c r="I96" s="4" t="n"/>
      <c r="J96" s="4" t="n"/>
    </row>
    <row r="97">
      <c r="A97" s="7" t="n"/>
      <c r="B97" s="8" t="n"/>
      <c r="C97" s="7" t="n"/>
      <c r="D97" s="8">
        <f>IF(B97="","",IFERROR(B97*C97/100,0))</f>
        <v/>
      </c>
      <c r="E97" s="7" t="n"/>
      <c r="F97" s="8">
        <f>IF(B97="","",IFERROR(B97*E97/100,0))</f>
        <v/>
      </c>
      <c r="G97" s="8">
        <f>IF(B97="","",D97+F97)</f>
        <v/>
      </c>
      <c r="H97" s="7" t="n"/>
      <c r="I97" s="7" t="n"/>
      <c r="J97" s="7" t="n"/>
    </row>
    <row r="98">
      <c r="A98" s="4" t="n"/>
      <c r="B98" s="5" t="n"/>
      <c r="C98" s="4" t="n"/>
      <c r="D98" s="5">
        <f>IF(B98="","",IFERROR(B98*C98/100,0))</f>
        <v/>
      </c>
      <c r="E98" s="4" t="n"/>
      <c r="F98" s="5">
        <f>IF(B98="","",IFERROR(B98*E98/100,0))</f>
        <v/>
      </c>
      <c r="G98" s="5">
        <f>IF(B98="","",D98+F98)</f>
        <v/>
      </c>
      <c r="H98" s="4" t="n"/>
      <c r="I98" s="4" t="n"/>
      <c r="J98" s="4" t="n"/>
    </row>
    <row r="99">
      <c r="A99" s="7" t="n"/>
      <c r="B99" s="8" t="n"/>
      <c r="C99" s="7" t="n"/>
      <c r="D99" s="8">
        <f>IF(B99="","",IFERROR(B99*C99/100,0))</f>
        <v/>
      </c>
      <c r="E99" s="7" t="n"/>
      <c r="F99" s="8">
        <f>IF(B99="","",IFERROR(B99*E99/100,0))</f>
        <v/>
      </c>
      <c r="G99" s="8">
        <f>IF(B99="","",D99+F99)</f>
        <v/>
      </c>
      <c r="H99" s="7" t="n"/>
      <c r="I99" s="7" t="n"/>
      <c r="J99" s="7" t="n"/>
    </row>
    <row r="100">
      <c r="A100" s="4" t="n"/>
      <c r="B100" s="5" t="n"/>
      <c r="C100" s="4" t="n"/>
      <c r="D100" s="5">
        <f>IF(B100="","",IFERROR(B100*C100/100,0))</f>
        <v/>
      </c>
      <c r="E100" s="4" t="n"/>
      <c r="F100" s="5">
        <f>IF(B100="","",IFERROR(B100*E100/100,0))</f>
        <v/>
      </c>
      <c r="G100" s="5">
        <f>IF(B100="","",D100+F100)</f>
        <v/>
      </c>
      <c r="H100" s="4" t="n"/>
      <c r="I100" s="4" t="n"/>
      <c r="J100" s="4" t="n"/>
    </row>
    <row r="101">
      <c r="A101" s="7" t="n"/>
      <c r="B101" s="8" t="n"/>
      <c r="C101" s="7" t="n"/>
      <c r="D101" s="8">
        <f>IF(B101="","",IFERROR(B101*C101/100,0))</f>
        <v/>
      </c>
      <c r="E101" s="7" t="n"/>
      <c r="F101" s="8">
        <f>IF(B101="","",IFERROR(B101*E101/100,0))</f>
        <v/>
      </c>
      <c r="G101" s="8">
        <f>IF(B101="","",D101+F101)</f>
        <v/>
      </c>
      <c r="H101" s="7" t="n"/>
      <c r="I101" s="7" t="n"/>
      <c r="J101" s="7" t="n"/>
    </row>
    <row r="102">
      <c r="A102" s="4" t="n"/>
      <c r="B102" s="5" t="n"/>
      <c r="C102" s="4" t="n"/>
      <c r="D102" s="5">
        <f>IF(B102="","",IFERROR(B102*C102/100,0))</f>
        <v/>
      </c>
      <c r="E102" s="4" t="n"/>
      <c r="F102" s="5">
        <f>IF(B102="","",IFERROR(B102*E102/100,0))</f>
        <v/>
      </c>
      <c r="G102" s="5">
        <f>IF(B102="","",D102+F102)</f>
        <v/>
      </c>
      <c r="H102" s="4" t="n"/>
      <c r="I102" s="4" t="n"/>
      <c r="J102" s="4" t="n"/>
    </row>
    <row r="103">
      <c r="A103" s="7" t="n"/>
      <c r="B103" s="8" t="n"/>
      <c r="C103" s="7" t="n"/>
      <c r="D103" s="8">
        <f>IF(B103="","",IFERROR(B103*C103/100,0))</f>
        <v/>
      </c>
      <c r="E103" s="7" t="n"/>
      <c r="F103" s="8">
        <f>IF(B103="","",IFERROR(B103*E103/100,0))</f>
        <v/>
      </c>
      <c r="G103" s="8">
        <f>IF(B103="","",D103+F103)</f>
        <v/>
      </c>
      <c r="H103" s="7" t="n"/>
      <c r="I103" s="7" t="n"/>
      <c r="J103" s="7" t="n"/>
    </row>
    <row r="104">
      <c r="A104" s="4" t="n"/>
      <c r="B104" s="5" t="n"/>
      <c r="C104" s="4" t="n"/>
      <c r="D104" s="5">
        <f>IF(B104="","",IFERROR(B104*C104/100,0))</f>
        <v/>
      </c>
      <c r="E104" s="4" t="n"/>
      <c r="F104" s="5">
        <f>IF(B104="","",IFERROR(B104*E104/100,0))</f>
        <v/>
      </c>
      <c r="G104" s="5">
        <f>IF(B104="","",D104+F104)</f>
        <v/>
      </c>
      <c r="H104" s="4" t="n"/>
      <c r="I104" s="4" t="n"/>
      <c r="J104" s="4" t="n"/>
    </row>
    <row r="105">
      <c r="A105" s="7" t="n"/>
      <c r="B105" s="8" t="n"/>
      <c r="C105" s="7" t="n"/>
      <c r="D105" s="8">
        <f>IF(B105="","",IFERROR(B105*C105/100,0))</f>
        <v/>
      </c>
      <c r="E105" s="7" t="n"/>
      <c r="F105" s="8">
        <f>IF(B105="","",IFERROR(B105*E105/100,0))</f>
        <v/>
      </c>
      <c r="G105" s="8">
        <f>IF(B105="","",D105+F105)</f>
        <v/>
      </c>
      <c r="H105" s="7" t="n"/>
      <c r="I105" s="7" t="n"/>
      <c r="J105" s="7" t="n"/>
    </row>
    <row r="106">
      <c r="A106" s="4" t="n"/>
      <c r="B106" s="5" t="n"/>
      <c r="C106" s="4" t="n"/>
      <c r="D106" s="5">
        <f>IF(B106="","",IFERROR(B106*C106/100,0))</f>
        <v/>
      </c>
      <c r="E106" s="4" t="n"/>
      <c r="F106" s="5">
        <f>IF(B106="","",IFERROR(B106*E106/100,0))</f>
        <v/>
      </c>
      <c r="G106" s="5">
        <f>IF(B106="","",D106+F106)</f>
        <v/>
      </c>
      <c r="H106" s="4" t="n"/>
      <c r="I106" s="4" t="n"/>
      <c r="J106" s="4" t="n"/>
    </row>
    <row r="107">
      <c r="A107" s="7" t="n"/>
      <c r="B107" s="8" t="n"/>
      <c r="C107" s="7" t="n"/>
      <c r="D107" s="8">
        <f>IF(B107="","",IFERROR(B107*C107/100,0))</f>
        <v/>
      </c>
      <c r="E107" s="7" t="n"/>
      <c r="F107" s="8">
        <f>IF(B107="","",IFERROR(B107*E107/100,0))</f>
        <v/>
      </c>
      <c r="G107" s="8">
        <f>IF(B107="","",D107+F107)</f>
        <v/>
      </c>
      <c r="H107" s="7" t="n"/>
      <c r="I107" s="7" t="n"/>
      <c r="J107" s="7" t="n"/>
    </row>
    <row r="108">
      <c r="A108" s="4" t="n"/>
      <c r="B108" s="5" t="n"/>
      <c r="C108" s="4" t="n"/>
      <c r="D108" s="5">
        <f>IF(B108="","",IFERROR(B108*C108/100,0))</f>
        <v/>
      </c>
      <c r="E108" s="4" t="n"/>
      <c r="F108" s="5">
        <f>IF(B108="","",IFERROR(B108*E108/100,0))</f>
        <v/>
      </c>
      <c r="G108" s="5">
        <f>IF(B108="","",D108+F108)</f>
        <v/>
      </c>
      <c r="H108" s="4" t="n"/>
      <c r="I108" s="4" t="n"/>
      <c r="J108" s="4" t="n"/>
    </row>
    <row r="109">
      <c r="A109" s="7" t="n"/>
      <c r="B109" s="8" t="n"/>
      <c r="C109" s="7" t="n"/>
      <c r="D109" s="8">
        <f>IF(B109="","",IFERROR(B109*C109/100,0))</f>
        <v/>
      </c>
      <c r="E109" s="7" t="n"/>
      <c r="F109" s="8">
        <f>IF(B109="","",IFERROR(B109*E109/100,0))</f>
        <v/>
      </c>
      <c r="G109" s="8">
        <f>IF(B109="","",D109+F109)</f>
        <v/>
      </c>
      <c r="H109" s="7" t="n"/>
      <c r="I109" s="7" t="n"/>
      <c r="J109" s="7" t="n"/>
    </row>
    <row r="110">
      <c r="A110" s="4" t="n"/>
      <c r="B110" s="5" t="n"/>
      <c r="C110" s="4" t="n"/>
      <c r="D110" s="5">
        <f>IF(B110="","",IFERROR(B110*C110/100,0))</f>
        <v/>
      </c>
      <c r="E110" s="4" t="n"/>
      <c r="F110" s="5">
        <f>IF(B110="","",IFERROR(B110*E110/100,0))</f>
        <v/>
      </c>
      <c r="G110" s="5">
        <f>IF(B110="","",D110+F110)</f>
        <v/>
      </c>
      <c r="H110" s="4" t="n"/>
      <c r="I110" s="4" t="n"/>
      <c r="J110" s="4" t="n"/>
    </row>
    <row r="111">
      <c r="A111" s="7" t="n"/>
      <c r="B111" s="8" t="n"/>
      <c r="C111" s="7" t="n"/>
      <c r="D111" s="8">
        <f>IF(B111="","",IFERROR(B111*C111/100,0))</f>
        <v/>
      </c>
      <c r="E111" s="7" t="n"/>
      <c r="F111" s="8">
        <f>IF(B111="","",IFERROR(B111*E111/100,0))</f>
        <v/>
      </c>
      <c r="G111" s="8">
        <f>IF(B111="","",D111+F111)</f>
        <v/>
      </c>
      <c r="H111" s="7" t="n"/>
      <c r="I111" s="7" t="n"/>
      <c r="J111" s="7" t="n"/>
    </row>
    <row r="112">
      <c r="A112" s="4" t="n"/>
      <c r="B112" s="5" t="n"/>
      <c r="C112" s="4" t="n"/>
      <c r="D112" s="5">
        <f>IF(B112="","",IFERROR(B112*C112/100,0))</f>
        <v/>
      </c>
      <c r="E112" s="4" t="n"/>
      <c r="F112" s="5">
        <f>IF(B112="","",IFERROR(B112*E112/100,0))</f>
        <v/>
      </c>
      <c r="G112" s="5">
        <f>IF(B112="","",D112+F112)</f>
        <v/>
      </c>
      <c r="H112" s="4" t="n"/>
      <c r="I112" s="4" t="n"/>
      <c r="J112" s="4" t="n"/>
    </row>
    <row r="113">
      <c r="A113" s="7" t="n"/>
      <c r="B113" s="8" t="n"/>
      <c r="C113" s="7" t="n"/>
      <c r="D113" s="8">
        <f>IF(B113="","",IFERROR(B113*C113/100,0))</f>
        <v/>
      </c>
      <c r="E113" s="7" t="n"/>
      <c r="F113" s="8">
        <f>IF(B113="","",IFERROR(B113*E113/100,0))</f>
        <v/>
      </c>
      <c r="G113" s="8">
        <f>IF(B113="","",D113+F113)</f>
        <v/>
      </c>
      <c r="H113" s="7" t="n"/>
      <c r="I113" s="7" t="n"/>
      <c r="J113" s="7" t="n"/>
    </row>
    <row r="114">
      <c r="A114" s="4" t="n"/>
      <c r="B114" s="5" t="n"/>
      <c r="C114" s="4" t="n"/>
      <c r="D114" s="5">
        <f>IF(B114="","",IFERROR(B114*C114/100,0))</f>
        <v/>
      </c>
      <c r="E114" s="4" t="n"/>
      <c r="F114" s="5">
        <f>IF(B114="","",IFERROR(B114*E114/100,0))</f>
        <v/>
      </c>
      <c r="G114" s="5">
        <f>IF(B114="","",D114+F114)</f>
        <v/>
      </c>
      <c r="H114" s="4" t="n"/>
      <c r="I114" s="4" t="n"/>
      <c r="J114" s="4" t="n"/>
    </row>
    <row r="115">
      <c r="A115" s="7" t="n"/>
      <c r="B115" s="8" t="n"/>
      <c r="C115" s="7" t="n"/>
      <c r="D115" s="8">
        <f>IF(B115="","",IFERROR(B115*C115/100,0))</f>
        <v/>
      </c>
      <c r="E115" s="7" t="n"/>
      <c r="F115" s="8">
        <f>IF(B115="","",IFERROR(B115*E115/100,0))</f>
        <v/>
      </c>
      <c r="G115" s="8">
        <f>IF(B115="","",D115+F115)</f>
        <v/>
      </c>
      <c r="H115" s="7" t="n"/>
      <c r="I115" s="7" t="n"/>
      <c r="J115" s="7" t="n"/>
    </row>
  </sheetData>
  <mergeCells count="2">
    <mergeCell ref="A3:P3"/>
    <mergeCell ref="A2:P2"/>
  </mergeCells>
  <conditionalFormatting sqref="J6:J115">
    <cfRule type="cellIs" priority="1" operator="equal" dxfId="1">
      <formula>"Conforme"</formula>
    </cfRule>
    <cfRule type="cellIs" priority="2" operator="equal" dxfId="2">
      <formula>"Non conforme"</formula>
    </cfRule>
    <cfRule type="cellIs" priority="3" operator="equal" dxfId="0">
      <formula>"En attente"</formula>
    </cfRule>
  </conditionalFormatting>
  <dataValidations count="2">
    <dataValidation sqref="I6:I115" showDropDown="0" showInputMessage="0" showErrorMessage="0" allowBlank="1" errorTitle="Erreur de saisie" error="Valeur non autorisée" promptTitle="Liste déroulante" prompt="Sélectionnez dans la liste" type="list">
      <formula1>'F02 - _Lists'!$I$6:$I$35</formula1>
    </dataValidation>
    <dataValidation sqref="J6:J115" showDropDown="0" showInputMessage="0" showErrorMessage="0" allowBlank="1" errorTitle="Erreur de saisie" error="Valeur non autorisée" promptTitle="Liste déroulante" prompt="Sélectionnez dans la liste" type="list">
      <formula1>'F02 - _Lists'!$N$6:$N$35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03F9F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4" customWidth="1" min="4" max="4"/>
    <col width="18" customWidth="1" min="5" max="5"/>
    <col width="14" customWidth="1" min="6" max="6"/>
    <col width="14" customWidth="1" min="7" max="7"/>
    <col width="18" customWidth="1" min="8" max="8"/>
    <col width="20" customWidth="1" min="9" max="9"/>
    <col width="20" customWidth="1" min="10" max="10"/>
  </cols>
  <sheetData>
    <row r="2" ht="25" customHeight="1">
      <c r="A2" s="1" t="inlineStr">
        <is>
          <t>DOMAINE 26 — 5-FISCALITÉ DE LA RÉMUNÉRATION</t>
        </is>
      </c>
    </row>
    <row r="3" ht="18" customHeight="1">
      <c r="A3" s="2" t="inlineStr">
        <is>
          <t>TABLEAU DYNAMIQUE — IR, taxe sur salaires, CRDS/CSG</t>
        </is>
      </c>
    </row>
    <row r="5">
      <c r="A5" s="3" t="inlineStr">
        <is>
          <t>Catégorie Employé</t>
        </is>
      </c>
      <c r="B5" s="3" t="inlineStr">
        <is>
          <t>Effectif</t>
        </is>
      </c>
      <c r="C5" s="3" t="inlineStr">
        <is>
          <t>Base Imposable (FCFA)</t>
        </is>
      </c>
      <c r="D5" s="3" t="inlineStr">
        <is>
          <t>Tranche IR (%)</t>
        </is>
      </c>
      <c r="E5" s="3" t="inlineStr">
        <is>
          <t>IR Calculé (FCFA)</t>
        </is>
      </c>
      <c r="F5" s="3" t="inlineStr">
        <is>
          <t>CRDS (FCFA)</t>
        </is>
      </c>
      <c r="G5" s="3" t="inlineStr">
        <is>
          <t>CSG (FCFA)</t>
        </is>
      </c>
      <c r="H5" s="3" t="inlineStr">
        <is>
          <t>Taxe Salaires (FCFA)</t>
        </is>
      </c>
      <c r="I5" s="3" t="inlineStr">
        <is>
          <t>Total Fiscalité (FCFA)</t>
        </is>
      </c>
      <c r="J5" s="3" t="inlineStr">
        <is>
          <t>Fiscalité Moy./Employé</t>
        </is>
      </c>
    </row>
    <row r="6">
      <c r="A6" s="4" t="inlineStr">
        <is>
          <t>Cadres supérieurs</t>
        </is>
      </c>
      <c r="B6" s="4" t="n">
        <v>5</v>
      </c>
      <c r="C6" s="5" t="n">
        <v>42500000</v>
      </c>
      <c r="D6" s="4" t="n">
        <v>35</v>
      </c>
      <c r="E6" s="5">
        <f>IFERROR(C6*D6/100,0)</f>
        <v/>
      </c>
      <c r="F6" s="5">
        <f>IFERROR(C6*0.5/100,0)</f>
        <v/>
      </c>
      <c r="G6" s="5">
        <f>IFERROR(C6*0.98/100,0)</f>
        <v/>
      </c>
      <c r="H6" s="5">
        <f>IFERROR(C6*2.5/100,0)</f>
        <v/>
      </c>
      <c r="I6" s="5">
        <f>E6+F6+G6+H6</f>
        <v/>
      </c>
      <c r="J6" s="5">
        <f>IFERROR(I6/B6,0)</f>
        <v/>
      </c>
    </row>
    <row r="7">
      <c r="A7" s="7" t="inlineStr">
        <is>
          <t>Cadres</t>
        </is>
      </c>
      <c r="B7" s="7" t="n">
        <v>15</v>
      </c>
      <c r="C7" s="8" t="n">
        <v>54000000</v>
      </c>
      <c r="D7" s="7" t="n">
        <v>30</v>
      </c>
      <c r="E7" s="8">
        <f>IFERROR(C7*D7/100,0)</f>
        <v/>
      </c>
      <c r="F7" s="8">
        <f>IFERROR(C7*0.5/100,0)</f>
        <v/>
      </c>
      <c r="G7" s="8">
        <f>IFERROR(C7*0.98/100,0)</f>
        <v/>
      </c>
      <c r="H7" s="8">
        <f>IFERROR(C7*2.5/100,0)</f>
        <v/>
      </c>
      <c r="I7" s="8">
        <f>E7+F7+G7+H7</f>
        <v/>
      </c>
      <c r="J7" s="8">
        <f>IFERROR(I7/B7,0)</f>
        <v/>
      </c>
    </row>
    <row r="8">
      <c r="A8" s="4" t="inlineStr">
        <is>
          <t>Agents de maîtrise</t>
        </is>
      </c>
      <c r="B8" s="4" t="n">
        <v>30</v>
      </c>
      <c r="C8" s="5" t="n">
        <v>54000000</v>
      </c>
      <c r="D8" s="4" t="n">
        <v>20</v>
      </c>
      <c r="E8" s="5">
        <f>IFERROR(C8*D8/100,0)</f>
        <v/>
      </c>
      <c r="F8" s="5">
        <f>IFERROR(C8*0.5/100,0)</f>
        <v/>
      </c>
      <c r="G8" s="5">
        <f>IFERROR(C8*0.98/100,0)</f>
        <v/>
      </c>
      <c r="H8" s="5">
        <f>IFERROR(C8*2.5/100,0)</f>
        <v/>
      </c>
      <c r="I8" s="5">
        <f>E8+F8+G8+H8</f>
        <v/>
      </c>
      <c r="J8" s="5">
        <f>IFERROR(I8/B8,0)</f>
        <v/>
      </c>
    </row>
    <row r="9">
      <c r="A9" s="7" t="inlineStr">
        <is>
          <t>Employés</t>
        </is>
      </c>
      <c r="B9" s="7" t="n">
        <v>50</v>
      </c>
      <c r="C9" s="8" t="n">
        <v>45000000</v>
      </c>
      <c r="D9" s="7" t="n">
        <v>11</v>
      </c>
      <c r="E9" s="8">
        <f>IFERROR(C9*D9/100,0)</f>
        <v/>
      </c>
      <c r="F9" s="8">
        <f>IFERROR(C9*0.5/100,0)</f>
        <v/>
      </c>
      <c r="G9" s="8">
        <f>IFERROR(C9*0.98/100,0)</f>
        <v/>
      </c>
      <c r="H9" s="8">
        <f>IFERROR(C9*2.5/100,0)</f>
        <v/>
      </c>
      <c r="I9" s="8">
        <f>E9+F9+G9+H9</f>
        <v/>
      </c>
      <c r="J9" s="8">
        <f>IFERROR(I9/B9,0)</f>
        <v/>
      </c>
    </row>
    <row r="10">
      <c r="A10" s="4" t="inlineStr">
        <is>
          <t>Agents d'exécution</t>
        </is>
      </c>
      <c r="B10" s="4" t="n">
        <v>40</v>
      </c>
      <c r="C10" s="5" t="n">
        <v>24000000</v>
      </c>
      <c r="D10" s="4" t="n">
        <v>5</v>
      </c>
      <c r="E10" s="5">
        <f>IFERROR(C10*D10/100,0)</f>
        <v/>
      </c>
      <c r="F10" s="5">
        <f>IFERROR(C10*0.5/100,0)</f>
        <v/>
      </c>
      <c r="G10" s="5">
        <f>IFERROR(C10*0.98/100,0)</f>
        <v/>
      </c>
      <c r="H10" s="5">
        <f>IFERROR(C10*2.5/100,0)</f>
        <v/>
      </c>
      <c r="I10" s="5">
        <f>E10+F10+G10+H10</f>
        <v/>
      </c>
      <c r="J10" s="5">
        <f>IFERROR(I10/B10,0)</f>
        <v/>
      </c>
    </row>
    <row r="11">
      <c r="A11" s="7" t="inlineStr">
        <is>
          <t>Stagiaires</t>
        </is>
      </c>
      <c r="B11" s="7" t="n">
        <v>8</v>
      </c>
      <c r="C11" s="8" t="n">
        <v>1600000</v>
      </c>
      <c r="D11" s="7" t="n">
        <v>0</v>
      </c>
      <c r="E11" s="8">
        <f>IFERROR(C11*D11/100,0)</f>
        <v/>
      </c>
      <c r="F11" s="8">
        <f>IFERROR(C11*0.5/100,0)</f>
        <v/>
      </c>
      <c r="G11" s="8">
        <f>IFERROR(C11*0.98/100,0)</f>
        <v/>
      </c>
      <c r="H11" s="8">
        <f>IFERROR(C11*2.5/100,0)</f>
        <v/>
      </c>
      <c r="I11" s="8">
        <f>E11+F11+G11+H11</f>
        <v/>
      </c>
      <c r="J11" s="8">
        <f>IFERROR(I11/B11,0)</f>
        <v/>
      </c>
    </row>
    <row r="12">
      <c r="A12" s="4" t="inlineStr">
        <is>
          <t>Temporaires</t>
        </is>
      </c>
      <c r="B12" s="4" t="n">
        <v>10</v>
      </c>
      <c r="C12" s="5" t="n">
        <v>5000000</v>
      </c>
      <c r="D12" s="4" t="n">
        <v>15</v>
      </c>
      <c r="E12" s="5">
        <f>IFERROR(C12*D12/100,0)</f>
        <v/>
      </c>
      <c r="F12" s="5">
        <f>IFERROR(C12*0.5/100,0)</f>
        <v/>
      </c>
      <c r="G12" s="5">
        <f>IFERROR(C12*0.98/100,0)</f>
        <v/>
      </c>
      <c r="H12" s="5">
        <f>IFERROR(C12*2.5/100,0)</f>
        <v/>
      </c>
      <c r="I12" s="5">
        <f>E12+F12+G12+H12</f>
        <v/>
      </c>
      <c r="J12" s="5">
        <f>IFERROR(I12/B12,0)</f>
        <v/>
      </c>
    </row>
    <row r="13">
      <c r="A13" s="7" t="inlineStr">
        <is>
          <t>Expatriés</t>
        </is>
      </c>
      <c r="B13" s="7" t="n">
        <v>5</v>
      </c>
      <c r="C13" s="8" t="n">
        <v>20000000</v>
      </c>
      <c r="D13" s="7" t="n">
        <v>40</v>
      </c>
      <c r="E13" s="8">
        <f>IFERROR(C13*D13/100,0)</f>
        <v/>
      </c>
      <c r="F13" s="8">
        <f>IFERROR(C13*0.5/100,0)</f>
        <v/>
      </c>
      <c r="G13" s="8">
        <f>IFERROR(C13*0.98/100,0)</f>
        <v/>
      </c>
      <c r="H13" s="8">
        <f>IFERROR(C13*2.5/100,0)</f>
        <v/>
      </c>
      <c r="I13" s="8">
        <f>E13+F13+G13+H13</f>
        <v/>
      </c>
      <c r="J13" s="8">
        <f>IFERROR(I13/B13,0)</f>
        <v/>
      </c>
    </row>
    <row r="14">
      <c r="A14" s="4" t="n"/>
      <c r="B14" s="4" t="n"/>
      <c r="C14" s="5" t="n"/>
      <c r="D14" s="4" t="n"/>
      <c r="E14" s="5">
        <f>IF(C14="","",IFERROR(C14*D14/100,0))</f>
        <v/>
      </c>
      <c r="F14" s="5">
        <f>IF(C14="","",IFERROR(C14*0.5/100,0))</f>
        <v/>
      </c>
      <c r="G14" s="5">
        <f>IF(C14="","",IFERROR(C14*0.98/100,0))</f>
        <v/>
      </c>
      <c r="H14" s="5">
        <f>IF(C14="","",IFERROR(C14*2.5/100,0))</f>
        <v/>
      </c>
      <c r="I14" s="5">
        <f>IF(C14="","",E14+F14+G14+H14)</f>
        <v/>
      </c>
      <c r="J14" s="5">
        <f>IF(OR(C14="",B14=""),"",IFERROR(I14/B14,0))</f>
        <v/>
      </c>
    </row>
    <row r="15">
      <c r="A15" s="7" t="n"/>
      <c r="B15" s="7" t="n"/>
      <c r="C15" s="8" t="n"/>
      <c r="D15" s="7" t="n"/>
      <c r="E15" s="8">
        <f>IF(C15="","",IFERROR(C15*D15/100,0))</f>
        <v/>
      </c>
      <c r="F15" s="8">
        <f>IF(C15="","",IFERROR(C15*0.5/100,0))</f>
        <v/>
      </c>
      <c r="G15" s="8">
        <f>IF(C15="","",IFERROR(C15*0.98/100,0))</f>
        <v/>
      </c>
      <c r="H15" s="8">
        <f>IF(C15="","",IFERROR(C15*2.5/100,0))</f>
        <v/>
      </c>
      <c r="I15" s="8">
        <f>IF(C15="","",E15+F15+G15+H15)</f>
        <v/>
      </c>
      <c r="J15" s="8">
        <f>IF(OR(C15="",B15=""),"",IFERROR(I15/B15,0))</f>
        <v/>
      </c>
    </row>
    <row r="16">
      <c r="A16" s="4" t="n"/>
      <c r="B16" s="4" t="n"/>
      <c r="C16" s="5" t="n"/>
      <c r="D16" s="4" t="n"/>
      <c r="E16" s="5">
        <f>IF(C16="","",IFERROR(C16*D16/100,0))</f>
        <v/>
      </c>
      <c r="F16" s="5">
        <f>IF(C16="","",IFERROR(C16*0.5/100,0))</f>
        <v/>
      </c>
      <c r="G16" s="5">
        <f>IF(C16="","",IFERROR(C16*0.98/100,0))</f>
        <v/>
      </c>
      <c r="H16" s="5">
        <f>IF(C16="","",IFERROR(C16*2.5/100,0))</f>
        <v/>
      </c>
      <c r="I16" s="5">
        <f>IF(C16="","",E16+F16+G16+H16)</f>
        <v/>
      </c>
      <c r="J16" s="5">
        <f>IF(OR(C16="",B16=""),"",IFERROR(I16/B16,0))</f>
        <v/>
      </c>
    </row>
    <row r="17">
      <c r="A17" s="7" t="n"/>
      <c r="B17" s="7" t="n"/>
      <c r="C17" s="8" t="n"/>
      <c r="D17" s="7" t="n"/>
      <c r="E17" s="8">
        <f>IF(C17="","",IFERROR(C17*D17/100,0))</f>
        <v/>
      </c>
      <c r="F17" s="8">
        <f>IF(C17="","",IFERROR(C17*0.5/100,0))</f>
        <v/>
      </c>
      <c r="G17" s="8">
        <f>IF(C17="","",IFERROR(C17*0.98/100,0))</f>
        <v/>
      </c>
      <c r="H17" s="8">
        <f>IF(C17="","",IFERROR(C17*2.5/100,0))</f>
        <v/>
      </c>
      <c r="I17" s="8">
        <f>IF(C17="","",E17+F17+G17+H17)</f>
        <v/>
      </c>
      <c r="J17" s="8">
        <f>IF(OR(C17="",B17=""),"",IFERROR(I17/B17,0))</f>
        <v/>
      </c>
    </row>
    <row r="18">
      <c r="A18" s="4" t="n"/>
      <c r="B18" s="4" t="n"/>
      <c r="C18" s="5" t="n"/>
      <c r="D18" s="4" t="n"/>
      <c r="E18" s="5">
        <f>IF(C18="","",IFERROR(C18*D18/100,0))</f>
        <v/>
      </c>
      <c r="F18" s="5">
        <f>IF(C18="","",IFERROR(C18*0.5/100,0))</f>
        <v/>
      </c>
      <c r="G18" s="5">
        <f>IF(C18="","",IFERROR(C18*0.98/100,0))</f>
        <v/>
      </c>
      <c r="H18" s="5">
        <f>IF(C18="","",IFERROR(C18*2.5/100,0))</f>
        <v/>
      </c>
      <c r="I18" s="5">
        <f>IF(C18="","",E18+F18+G18+H18)</f>
        <v/>
      </c>
      <c r="J18" s="5">
        <f>IF(OR(C18="",B18=""),"",IFERROR(I18/B18,0))</f>
        <v/>
      </c>
    </row>
    <row r="19">
      <c r="A19" s="7" t="n"/>
      <c r="B19" s="7" t="n"/>
      <c r="C19" s="8" t="n"/>
      <c r="D19" s="7" t="n"/>
      <c r="E19" s="8">
        <f>IF(C19="","",IFERROR(C19*D19/100,0))</f>
        <v/>
      </c>
      <c r="F19" s="8">
        <f>IF(C19="","",IFERROR(C19*0.5/100,0))</f>
        <v/>
      </c>
      <c r="G19" s="8">
        <f>IF(C19="","",IFERROR(C19*0.98/100,0))</f>
        <v/>
      </c>
      <c r="H19" s="8">
        <f>IF(C19="","",IFERROR(C19*2.5/100,0))</f>
        <v/>
      </c>
      <c r="I19" s="8">
        <f>IF(C19="","",E19+F19+G19+H19)</f>
        <v/>
      </c>
      <c r="J19" s="8">
        <f>IF(OR(C19="",B19=""),"",IFERROR(I19/B19,0))</f>
        <v/>
      </c>
    </row>
    <row r="20">
      <c r="A20" s="4" t="n"/>
      <c r="B20" s="4" t="n"/>
      <c r="C20" s="5" t="n"/>
      <c r="D20" s="4" t="n"/>
      <c r="E20" s="5">
        <f>IF(C20="","",IFERROR(C20*D20/100,0))</f>
        <v/>
      </c>
      <c r="F20" s="5">
        <f>IF(C20="","",IFERROR(C20*0.5/100,0))</f>
        <v/>
      </c>
      <c r="G20" s="5">
        <f>IF(C20="","",IFERROR(C20*0.98/100,0))</f>
        <v/>
      </c>
      <c r="H20" s="5">
        <f>IF(C20="","",IFERROR(C20*2.5/100,0))</f>
        <v/>
      </c>
      <c r="I20" s="5">
        <f>IF(C20="","",E20+F20+G20+H20)</f>
        <v/>
      </c>
      <c r="J20" s="5">
        <f>IF(OR(C20="",B20=""),"",IFERROR(I20/B20,0))</f>
        <v/>
      </c>
    </row>
    <row r="21">
      <c r="A21" s="7" t="n"/>
      <c r="B21" s="7" t="n"/>
      <c r="C21" s="8" t="n"/>
      <c r="D21" s="7" t="n"/>
      <c r="E21" s="8">
        <f>IF(C21="","",IFERROR(C21*D21/100,0))</f>
        <v/>
      </c>
      <c r="F21" s="8">
        <f>IF(C21="","",IFERROR(C21*0.5/100,0))</f>
        <v/>
      </c>
      <c r="G21" s="8">
        <f>IF(C21="","",IFERROR(C21*0.98/100,0))</f>
        <v/>
      </c>
      <c r="H21" s="8">
        <f>IF(C21="","",IFERROR(C21*2.5/100,0))</f>
        <v/>
      </c>
      <c r="I21" s="8">
        <f>IF(C21="","",E21+F21+G21+H21)</f>
        <v/>
      </c>
      <c r="J21" s="8">
        <f>IF(OR(C21="",B21=""),"",IFERROR(I21/B21,0))</f>
        <v/>
      </c>
    </row>
    <row r="22">
      <c r="A22" s="4" t="n"/>
      <c r="B22" s="4" t="n"/>
      <c r="C22" s="5" t="n"/>
      <c r="D22" s="4" t="n"/>
      <c r="E22" s="5">
        <f>IF(C22="","",IFERROR(C22*D22/100,0))</f>
        <v/>
      </c>
      <c r="F22" s="5">
        <f>IF(C22="","",IFERROR(C22*0.5/100,0))</f>
        <v/>
      </c>
      <c r="G22" s="5">
        <f>IF(C22="","",IFERROR(C22*0.98/100,0))</f>
        <v/>
      </c>
      <c r="H22" s="5">
        <f>IF(C22="","",IFERROR(C22*2.5/100,0))</f>
        <v/>
      </c>
      <c r="I22" s="5">
        <f>IF(C22="","",E22+F22+G22+H22)</f>
        <v/>
      </c>
      <c r="J22" s="5">
        <f>IF(OR(C22="",B22=""),"",IFERROR(I22/B22,0))</f>
        <v/>
      </c>
    </row>
    <row r="23">
      <c r="A23" s="7" t="n"/>
      <c r="B23" s="7" t="n"/>
      <c r="C23" s="8" t="n"/>
      <c r="D23" s="7" t="n"/>
      <c r="E23" s="8">
        <f>IF(C23="","",IFERROR(C23*D23/100,0))</f>
        <v/>
      </c>
      <c r="F23" s="8">
        <f>IF(C23="","",IFERROR(C23*0.5/100,0))</f>
        <v/>
      </c>
      <c r="G23" s="8">
        <f>IF(C23="","",IFERROR(C23*0.98/100,0))</f>
        <v/>
      </c>
      <c r="H23" s="8">
        <f>IF(C23="","",IFERROR(C23*2.5/100,0))</f>
        <v/>
      </c>
      <c r="I23" s="8">
        <f>IF(C23="","",E23+F23+G23+H23)</f>
        <v/>
      </c>
      <c r="J23" s="8">
        <f>IF(OR(C23="",B23=""),"",IFERROR(I23/B23,0))</f>
        <v/>
      </c>
    </row>
    <row r="24">
      <c r="A24" s="4" t="n"/>
      <c r="B24" s="4" t="n"/>
      <c r="C24" s="5" t="n"/>
      <c r="D24" s="4" t="n"/>
      <c r="E24" s="5">
        <f>IF(C24="","",IFERROR(C24*D24/100,0))</f>
        <v/>
      </c>
      <c r="F24" s="5">
        <f>IF(C24="","",IFERROR(C24*0.5/100,0))</f>
        <v/>
      </c>
      <c r="G24" s="5">
        <f>IF(C24="","",IFERROR(C24*0.98/100,0))</f>
        <v/>
      </c>
      <c r="H24" s="5">
        <f>IF(C24="","",IFERROR(C24*2.5/100,0))</f>
        <v/>
      </c>
      <c r="I24" s="5">
        <f>IF(C24="","",E24+F24+G24+H24)</f>
        <v/>
      </c>
      <c r="J24" s="5">
        <f>IF(OR(C24="",B24=""),"",IFERROR(I24/B24,0))</f>
        <v/>
      </c>
    </row>
    <row r="25">
      <c r="A25" s="7" t="n"/>
      <c r="B25" s="7" t="n"/>
      <c r="C25" s="8" t="n"/>
      <c r="D25" s="7" t="n"/>
      <c r="E25" s="8">
        <f>IF(C25="","",IFERROR(C25*D25/100,0))</f>
        <v/>
      </c>
      <c r="F25" s="8">
        <f>IF(C25="","",IFERROR(C25*0.5/100,0))</f>
        <v/>
      </c>
      <c r="G25" s="8">
        <f>IF(C25="","",IFERROR(C25*0.98/100,0))</f>
        <v/>
      </c>
      <c r="H25" s="8">
        <f>IF(C25="","",IFERROR(C25*2.5/100,0))</f>
        <v/>
      </c>
      <c r="I25" s="8">
        <f>IF(C25="","",E25+F25+G25+H25)</f>
        <v/>
      </c>
      <c r="J25" s="8">
        <f>IF(OR(C25="",B25=""),"",IFERROR(I25/B25,0))</f>
        <v/>
      </c>
    </row>
    <row r="26">
      <c r="A26" s="4" t="n"/>
      <c r="B26" s="4" t="n"/>
      <c r="C26" s="5" t="n"/>
      <c r="D26" s="4" t="n"/>
      <c r="E26" s="5">
        <f>IF(C26="","",IFERROR(C26*D26/100,0))</f>
        <v/>
      </c>
      <c r="F26" s="5">
        <f>IF(C26="","",IFERROR(C26*0.5/100,0))</f>
        <v/>
      </c>
      <c r="G26" s="5">
        <f>IF(C26="","",IFERROR(C26*0.98/100,0))</f>
        <v/>
      </c>
      <c r="H26" s="5">
        <f>IF(C26="","",IFERROR(C26*2.5/100,0))</f>
        <v/>
      </c>
      <c r="I26" s="5">
        <f>IF(C26="","",E26+F26+G26+H26)</f>
        <v/>
      </c>
      <c r="J26" s="5">
        <f>IF(OR(C26="",B26=""),"",IFERROR(I26/B26,0))</f>
        <v/>
      </c>
    </row>
    <row r="27">
      <c r="A27" s="7" t="n"/>
      <c r="B27" s="7" t="n"/>
      <c r="C27" s="8" t="n"/>
      <c r="D27" s="7" t="n"/>
      <c r="E27" s="8">
        <f>IF(C27="","",IFERROR(C27*D27/100,0))</f>
        <v/>
      </c>
      <c r="F27" s="8">
        <f>IF(C27="","",IFERROR(C27*0.5/100,0))</f>
        <v/>
      </c>
      <c r="G27" s="8">
        <f>IF(C27="","",IFERROR(C27*0.98/100,0))</f>
        <v/>
      </c>
      <c r="H27" s="8">
        <f>IF(C27="","",IFERROR(C27*2.5/100,0))</f>
        <v/>
      </c>
      <c r="I27" s="8">
        <f>IF(C27="","",E27+F27+G27+H27)</f>
        <v/>
      </c>
      <c r="J27" s="8">
        <f>IF(OR(C27="",B27=""),"",IFERROR(I27/B27,0))</f>
        <v/>
      </c>
    </row>
    <row r="28">
      <c r="A28" s="4" t="n"/>
      <c r="B28" s="4" t="n"/>
      <c r="C28" s="5" t="n"/>
      <c r="D28" s="4" t="n"/>
      <c r="E28" s="5">
        <f>IF(C28="","",IFERROR(C28*D28/100,0))</f>
        <v/>
      </c>
      <c r="F28" s="5">
        <f>IF(C28="","",IFERROR(C28*0.5/100,0))</f>
        <v/>
      </c>
      <c r="G28" s="5">
        <f>IF(C28="","",IFERROR(C28*0.98/100,0))</f>
        <v/>
      </c>
      <c r="H28" s="5">
        <f>IF(C28="","",IFERROR(C28*2.5/100,0))</f>
        <v/>
      </c>
      <c r="I28" s="5">
        <f>IF(C28="","",E28+F28+G28+H28)</f>
        <v/>
      </c>
      <c r="J28" s="5">
        <f>IF(OR(C28="",B28=""),"",IFERROR(I28/B28,0))</f>
        <v/>
      </c>
    </row>
    <row r="29">
      <c r="A29" s="7" t="n"/>
      <c r="B29" s="7" t="n"/>
      <c r="C29" s="8" t="n"/>
      <c r="D29" s="7" t="n"/>
      <c r="E29" s="8">
        <f>IF(C29="","",IFERROR(C29*D29/100,0))</f>
        <v/>
      </c>
      <c r="F29" s="8">
        <f>IF(C29="","",IFERROR(C29*0.5/100,0))</f>
        <v/>
      </c>
      <c r="G29" s="8">
        <f>IF(C29="","",IFERROR(C29*0.98/100,0))</f>
        <v/>
      </c>
      <c r="H29" s="8">
        <f>IF(C29="","",IFERROR(C29*2.5/100,0))</f>
        <v/>
      </c>
      <c r="I29" s="8">
        <f>IF(C29="","",E29+F29+G29+H29)</f>
        <v/>
      </c>
      <c r="J29" s="8">
        <f>IF(OR(C29="",B29=""),"",IFERROR(I29/B29,0))</f>
        <v/>
      </c>
    </row>
    <row r="30">
      <c r="A30" s="4" t="n"/>
      <c r="B30" s="4" t="n"/>
      <c r="C30" s="5" t="n"/>
      <c r="D30" s="4" t="n"/>
      <c r="E30" s="5">
        <f>IF(C30="","",IFERROR(C30*D30/100,0))</f>
        <v/>
      </c>
      <c r="F30" s="5">
        <f>IF(C30="","",IFERROR(C30*0.5/100,0))</f>
        <v/>
      </c>
      <c r="G30" s="5">
        <f>IF(C30="","",IFERROR(C30*0.98/100,0))</f>
        <v/>
      </c>
      <c r="H30" s="5">
        <f>IF(C30="","",IFERROR(C30*2.5/100,0))</f>
        <v/>
      </c>
      <c r="I30" s="5">
        <f>IF(C30="","",E30+F30+G30+H30)</f>
        <v/>
      </c>
      <c r="J30" s="5">
        <f>IF(OR(C30="",B30=""),"",IFERROR(I30/B30,0))</f>
        <v/>
      </c>
    </row>
    <row r="31">
      <c r="A31" s="7" t="n"/>
      <c r="B31" s="7" t="n"/>
      <c r="C31" s="8" t="n"/>
      <c r="D31" s="7" t="n"/>
      <c r="E31" s="8">
        <f>IF(C31="","",IFERROR(C31*D31/100,0))</f>
        <v/>
      </c>
      <c r="F31" s="8">
        <f>IF(C31="","",IFERROR(C31*0.5/100,0))</f>
        <v/>
      </c>
      <c r="G31" s="8">
        <f>IF(C31="","",IFERROR(C31*0.98/100,0))</f>
        <v/>
      </c>
      <c r="H31" s="8">
        <f>IF(C31="","",IFERROR(C31*2.5/100,0))</f>
        <v/>
      </c>
      <c r="I31" s="8">
        <f>IF(C31="","",E31+F31+G31+H31)</f>
        <v/>
      </c>
      <c r="J31" s="8">
        <f>IF(OR(C31="",B31=""),"",IFERROR(I31/B31,0))</f>
        <v/>
      </c>
    </row>
    <row r="32">
      <c r="A32" s="4" t="n"/>
      <c r="B32" s="4" t="n"/>
      <c r="C32" s="5" t="n"/>
      <c r="D32" s="4" t="n"/>
      <c r="E32" s="5">
        <f>IF(C32="","",IFERROR(C32*D32/100,0))</f>
        <v/>
      </c>
      <c r="F32" s="5">
        <f>IF(C32="","",IFERROR(C32*0.5/100,0))</f>
        <v/>
      </c>
      <c r="G32" s="5">
        <f>IF(C32="","",IFERROR(C32*0.98/100,0))</f>
        <v/>
      </c>
      <c r="H32" s="5">
        <f>IF(C32="","",IFERROR(C32*2.5/100,0))</f>
        <v/>
      </c>
      <c r="I32" s="5">
        <f>IF(C32="","",E32+F32+G32+H32)</f>
        <v/>
      </c>
      <c r="J32" s="5">
        <f>IF(OR(C32="",B32=""),"",IFERROR(I32/B32,0))</f>
        <v/>
      </c>
    </row>
    <row r="33">
      <c r="A33" s="7" t="n"/>
      <c r="B33" s="7" t="n"/>
      <c r="C33" s="8" t="n"/>
      <c r="D33" s="7" t="n"/>
      <c r="E33" s="8">
        <f>IF(C33="","",IFERROR(C33*D33/100,0))</f>
        <v/>
      </c>
      <c r="F33" s="8">
        <f>IF(C33="","",IFERROR(C33*0.5/100,0))</f>
        <v/>
      </c>
      <c r="G33" s="8">
        <f>IF(C33="","",IFERROR(C33*0.98/100,0))</f>
        <v/>
      </c>
      <c r="H33" s="8">
        <f>IF(C33="","",IFERROR(C33*2.5/100,0))</f>
        <v/>
      </c>
      <c r="I33" s="8">
        <f>IF(C33="","",E33+F33+G33+H33)</f>
        <v/>
      </c>
      <c r="J33" s="8">
        <f>IF(OR(C33="",B33=""),"",IFERROR(I33/B33,0))</f>
        <v/>
      </c>
    </row>
    <row r="34">
      <c r="A34" s="4" t="n"/>
      <c r="B34" s="4" t="n"/>
      <c r="C34" s="5" t="n"/>
      <c r="D34" s="4" t="n"/>
      <c r="E34" s="5">
        <f>IF(C34="","",IFERROR(C34*D34/100,0))</f>
        <v/>
      </c>
      <c r="F34" s="5">
        <f>IF(C34="","",IFERROR(C34*0.5/100,0))</f>
        <v/>
      </c>
      <c r="G34" s="5">
        <f>IF(C34="","",IFERROR(C34*0.98/100,0))</f>
        <v/>
      </c>
      <c r="H34" s="5">
        <f>IF(C34="","",IFERROR(C34*2.5/100,0))</f>
        <v/>
      </c>
      <c r="I34" s="5">
        <f>IF(C34="","",E34+F34+G34+H34)</f>
        <v/>
      </c>
      <c r="J34" s="5">
        <f>IF(OR(C34="",B34=""),"",IFERROR(I34/B34,0))</f>
        <v/>
      </c>
    </row>
    <row r="35">
      <c r="A35" s="7" t="n"/>
      <c r="B35" s="7" t="n"/>
      <c r="C35" s="8" t="n"/>
      <c r="D35" s="7" t="n"/>
      <c r="E35" s="8">
        <f>IF(C35="","",IFERROR(C35*D35/100,0))</f>
        <v/>
      </c>
      <c r="F35" s="8">
        <f>IF(C35="","",IFERROR(C35*0.5/100,0))</f>
        <v/>
      </c>
      <c r="G35" s="8">
        <f>IF(C35="","",IFERROR(C35*0.98/100,0))</f>
        <v/>
      </c>
      <c r="H35" s="8">
        <f>IF(C35="","",IFERROR(C35*2.5/100,0))</f>
        <v/>
      </c>
      <c r="I35" s="8">
        <f>IF(C35="","",E35+F35+G35+H35)</f>
        <v/>
      </c>
      <c r="J35" s="8">
        <f>IF(OR(C35="",B35=""),"",IFERROR(I35/B35,0))</f>
        <v/>
      </c>
    </row>
    <row r="36">
      <c r="A36" s="4" t="n"/>
      <c r="B36" s="4" t="n"/>
      <c r="C36" s="5" t="n"/>
      <c r="D36" s="4" t="n"/>
      <c r="E36" s="5">
        <f>IF(C36="","",IFERROR(C36*D36/100,0))</f>
        <v/>
      </c>
      <c r="F36" s="5">
        <f>IF(C36="","",IFERROR(C36*0.5/100,0))</f>
        <v/>
      </c>
      <c r="G36" s="5">
        <f>IF(C36="","",IFERROR(C36*0.98/100,0))</f>
        <v/>
      </c>
      <c r="H36" s="5">
        <f>IF(C36="","",IFERROR(C36*2.5/100,0))</f>
        <v/>
      </c>
      <c r="I36" s="5">
        <f>IF(C36="","",E36+F36+G36+H36)</f>
        <v/>
      </c>
      <c r="J36" s="5">
        <f>IF(OR(C36="",B36=""),"",IFERROR(I36/B36,0))</f>
        <v/>
      </c>
    </row>
    <row r="37">
      <c r="A37" s="7" t="n"/>
      <c r="B37" s="7" t="n"/>
      <c r="C37" s="8" t="n"/>
      <c r="D37" s="7" t="n"/>
      <c r="E37" s="8">
        <f>IF(C37="","",IFERROR(C37*D37/100,0))</f>
        <v/>
      </c>
      <c r="F37" s="8">
        <f>IF(C37="","",IFERROR(C37*0.5/100,0))</f>
        <v/>
      </c>
      <c r="G37" s="8">
        <f>IF(C37="","",IFERROR(C37*0.98/100,0))</f>
        <v/>
      </c>
      <c r="H37" s="8">
        <f>IF(C37="","",IFERROR(C37*2.5/100,0))</f>
        <v/>
      </c>
      <c r="I37" s="8">
        <f>IF(C37="","",E37+F37+G37+H37)</f>
        <v/>
      </c>
      <c r="J37" s="8">
        <f>IF(OR(C37="",B37=""),"",IFERROR(I37/B37,0))</f>
        <v/>
      </c>
    </row>
    <row r="38">
      <c r="A38" s="4" t="n"/>
      <c r="B38" s="4" t="n"/>
      <c r="C38" s="5" t="n"/>
      <c r="D38" s="4" t="n"/>
      <c r="E38" s="5">
        <f>IF(C38="","",IFERROR(C38*D38/100,0))</f>
        <v/>
      </c>
      <c r="F38" s="5">
        <f>IF(C38="","",IFERROR(C38*0.5/100,0))</f>
        <v/>
      </c>
      <c r="G38" s="5">
        <f>IF(C38="","",IFERROR(C38*0.98/100,0))</f>
        <v/>
      </c>
      <c r="H38" s="5">
        <f>IF(C38="","",IFERROR(C38*2.5/100,0))</f>
        <v/>
      </c>
      <c r="I38" s="5">
        <f>IF(C38="","",E38+F38+G38+H38)</f>
        <v/>
      </c>
      <c r="J38" s="5">
        <f>IF(OR(C38="",B38=""),"",IFERROR(I38/B38,0))</f>
        <v/>
      </c>
    </row>
    <row r="39">
      <c r="A39" s="7" t="n"/>
      <c r="B39" s="7" t="n"/>
      <c r="C39" s="8" t="n"/>
      <c r="D39" s="7" t="n"/>
      <c r="E39" s="8">
        <f>IF(C39="","",IFERROR(C39*D39/100,0))</f>
        <v/>
      </c>
      <c r="F39" s="8">
        <f>IF(C39="","",IFERROR(C39*0.5/100,0))</f>
        <v/>
      </c>
      <c r="G39" s="8">
        <f>IF(C39="","",IFERROR(C39*0.98/100,0))</f>
        <v/>
      </c>
      <c r="H39" s="8">
        <f>IF(C39="","",IFERROR(C39*2.5/100,0))</f>
        <v/>
      </c>
      <c r="I39" s="8">
        <f>IF(C39="","",E39+F39+G39+H39)</f>
        <v/>
      </c>
      <c r="J39" s="8">
        <f>IF(OR(C39="",B39=""),"",IFERROR(I39/B39,0))</f>
        <v/>
      </c>
    </row>
    <row r="40">
      <c r="A40" s="4" t="n"/>
      <c r="B40" s="4" t="n"/>
      <c r="C40" s="5" t="n"/>
      <c r="D40" s="4" t="n"/>
      <c r="E40" s="5">
        <f>IF(C40="","",IFERROR(C40*D40/100,0))</f>
        <v/>
      </c>
      <c r="F40" s="5">
        <f>IF(C40="","",IFERROR(C40*0.5/100,0))</f>
        <v/>
      </c>
      <c r="G40" s="5">
        <f>IF(C40="","",IFERROR(C40*0.98/100,0))</f>
        <v/>
      </c>
      <c r="H40" s="5">
        <f>IF(C40="","",IFERROR(C40*2.5/100,0))</f>
        <v/>
      </c>
      <c r="I40" s="5">
        <f>IF(C40="","",E40+F40+G40+H40)</f>
        <v/>
      </c>
      <c r="J40" s="5">
        <f>IF(OR(C40="",B40=""),"",IFERROR(I40/B40,0))</f>
        <v/>
      </c>
    </row>
    <row r="41">
      <c r="A41" s="7" t="n"/>
      <c r="B41" s="7" t="n"/>
      <c r="C41" s="8" t="n"/>
      <c r="D41" s="7" t="n"/>
      <c r="E41" s="8">
        <f>IF(C41="","",IFERROR(C41*D41/100,0))</f>
        <v/>
      </c>
      <c r="F41" s="8">
        <f>IF(C41="","",IFERROR(C41*0.5/100,0))</f>
        <v/>
      </c>
      <c r="G41" s="8">
        <f>IF(C41="","",IFERROR(C41*0.98/100,0))</f>
        <v/>
      </c>
      <c r="H41" s="8">
        <f>IF(C41="","",IFERROR(C41*2.5/100,0))</f>
        <v/>
      </c>
      <c r="I41" s="8">
        <f>IF(C41="","",E41+F41+G41+H41)</f>
        <v/>
      </c>
      <c r="J41" s="8">
        <f>IF(OR(C41="",B41=""),"",IFERROR(I41/B41,0))</f>
        <v/>
      </c>
    </row>
    <row r="42">
      <c r="A42" s="4" t="n"/>
      <c r="B42" s="4" t="n"/>
      <c r="C42" s="5" t="n"/>
      <c r="D42" s="4" t="n"/>
      <c r="E42" s="5">
        <f>IF(C42="","",IFERROR(C42*D42/100,0))</f>
        <v/>
      </c>
      <c r="F42" s="5">
        <f>IF(C42="","",IFERROR(C42*0.5/100,0))</f>
        <v/>
      </c>
      <c r="G42" s="5">
        <f>IF(C42="","",IFERROR(C42*0.98/100,0))</f>
        <v/>
      </c>
      <c r="H42" s="5">
        <f>IF(C42="","",IFERROR(C42*2.5/100,0))</f>
        <v/>
      </c>
      <c r="I42" s="5">
        <f>IF(C42="","",E42+F42+G42+H42)</f>
        <v/>
      </c>
      <c r="J42" s="5">
        <f>IF(OR(C42="",B42=""),"",IFERROR(I42/B42,0))</f>
        <v/>
      </c>
    </row>
    <row r="43">
      <c r="A43" s="7" t="n"/>
      <c r="B43" s="7" t="n"/>
      <c r="C43" s="8" t="n"/>
      <c r="D43" s="7" t="n"/>
      <c r="E43" s="8">
        <f>IF(C43="","",IFERROR(C43*D43/100,0))</f>
        <v/>
      </c>
      <c r="F43" s="8">
        <f>IF(C43="","",IFERROR(C43*0.5/100,0))</f>
        <v/>
      </c>
      <c r="G43" s="8">
        <f>IF(C43="","",IFERROR(C43*0.98/100,0))</f>
        <v/>
      </c>
      <c r="H43" s="8">
        <f>IF(C43="","",IFERROR(C43*2.5/100,0))</f>
        <v/>
      </c>
      <c r="I43" s="8">
        <f>IF(C43="","",E43+F43+G43+H43)</f>
        <v/>
      </c>
      <c r="J43" s="8">
        <f>IF(OR(C43="",B43=""),"",IFERROR(I43/B43,0))</f>
        <v/>
      </c>
    </row>
    <row r="44">
      <c r="A44" s="4" t="n"/>
      <c r="B44" s="4" t="n"/>
      <c r="C44" s="5" t="n"/>
      <c r="D44" s="4" t="n"/>
      <c r="E44" s="5">
        <f>IF(C44="","",IFERROR(C44*D44/100,0))</f>
        <v/>
      </c>
      <c r="F44" s="5">
        <f>IF(C44="","",IFERROR(C44*0.5/100,0))</f>
        <v/>
      </c>
      <c r="G44" s="5">
        <f>IF(C44="","",IFERROR(C44*0.98/100,0))</f>
        <v/>
      </c>
      <c r="H44" s="5">
        <f>IF(C44="","",IFERROR(C44*2.5/100,0))</f>
        <v/>
      </c>
      <c r="I44" s="5">
        <f>IF(C44="","",E44+F44+G44+H44)</f>
        <v/>
      </c>
      <c r="J44" s="5">
        <f>IF(OR(C44="",B44=""),"",IFERROR(I44/B44,0))</f>
        <v/>
      </c>
    </row>
    <row r="45">
      <c r="A45" s="7" t="n"/>
      <c r="B45" s="7" t="n"/>
      <c r="C45" s="8" t="n"/>
      <c r="D45" s="7" t="n"/>
      <c r="E45" s="8">
        <f>IF(C45="","",IFERROR(C45*D45/100,0))</f>
        <v/>
      </c>
      <c r="F45" s="8">
        <f>IF(C45="","",IFERROR(C45*0.5/100,0))</f>
        <v/>
      </c>
      <c r="G45" s="8">
        <f>IF(C45="","",IFERROR(C45*0.98/100,0))</f>
        <v/>
      </c>
      <c r="H45" s="8">
        <f>IF(C45="","",IFERROR(C45*2.5/100,0))</f>
        <v/>
      </c>
      <c r="I45" s="8">
        <f>IF(C45="","",E45+F45+G45+H45)</f>
        <v/>
      </c>
      <c r="J45" s="8">
        <f>IF(OR(C45="",B45=""),"",IFERROR(I45/B45,0))</f>
        <v/>
      </c>
    </row>
    <row r="46">
      <c r="A46" s="4" t="n"/>
      <c r="B46" s="4" t="n"/>
      <c r="C46" s="5" t="n"/>
      <c r="D46" s="4" t="n"/>
      <c r="E46" s="5">
        <f>IF(C46="","",IFERROR(C46*D46/100,0))</f>
        <v/>
      </c>
      <c r="F46" s="5">
        <f>IF(C46="","",IFERROR(C46*0.5/100,0))</f>
        <v/>
      </c>
      <c r="G46" s="5">
        <f>IF(C46="","",IFERROR(C46*0.98/100,0))</f>
        <v/>
      </c>
      <c r="H46" s="5">
        <f>IF(C46="","",IFERROR(C46*2.5/100,0))</f>
        <v/>
      </c>
      <c r="I46" s="5">
        <f>IF(C46="","",E46+F46+G46+H46)</f>
        <v/>
      </c>
      <c r="J46" s="5">
        <f>IF(OR(C46="",B46=""),"",IFERROR(I46/B46,0))</f>
        <v/>
      </c>
    </row>
    <row r="47">
      <c r="A47" s="7" t="n"/>
      <c r="B47" s="7" t="n"/>
      <c r="C47" s="8" t="n"/>
      <c r="D47" s="7" t="n"/>
      <c r="E47" s="8">
        <f>IF(C47="","",IFERROR(C47*D47/100,0))</f>
        <v/>
      </c>
      <c r="F47" s="8">
        <f>IF(C47="","",IFERROR(C47*0.5/100,0))</f>
        <v/>
      </c>
      <c r="G47" s="8">
        <f>IF(C47="","",IFERROR(C47*0.98/100,0))</f>
        <v/>
      </c>
      <c r="H47" s="8">
        <f>IF(C47="","",IFERROR(C47*2.5/100,0))</f>
        <v/>
      </c>
      <c r="I47" s="8">
        <f>IF(C47="","",E47+F47+G47+H47)</f>
        <v/>
      </c>
      <c r="J47" s="8">
        <f>IF(OR(C47="",B47=""),"",IFERROR(I47/B47,0))</f>
        <v/>
      </c>
    </row>
    <row r="48">
      <c r="A48" s="4" t="n"/>
      <c r="B48" s="4" t="n"/>
      <c r="C48" s="5" t="n"/>
      <c r="D48" s="4" t="n"/>
      <c r="E48" s="5">
        <f>IF(C48="","",IFERROR(C48*D48/100,0))</f>
        <v/>
      </c>
      <c r="F48" s="5">
        <f>IF(C48="","",IFERROR(C48*0.5/100,0))</f>
        <v/>
      </c>
      <c r="G48" s="5">
        <f>IF(C48="","",IFERROR(C48*0.98/100,0))</f>
        <v/>
      </c>
      <c r="H48" s="5">
        <f>IF(C48="","",IFERROR(C48*2.5/100,0))</f>
        <v/>
      </c>
      <c r="I48" s="5">
        <f>IF(C48="","",E48+F48+G48+H48)</f>
        <v/>
      </c>
      <c r="J48" s="5">
        <f>IF(OR(C48="",B48=""),"",IFERROR(I48/B48,0))</f>
        <v/>
      </c>
    </row>
    <row r="49">
      <c r="A49" s="7" t="n"/>
      <c r="B49" s="7" t="n"/>
      <c r="C49" s="8" t="n"/>
      <c r="D49" s="7" t="n"/>
      <c r="E49" s="8">
        <f>IF(C49="","",IFERROR(C49*D49/100,0))</f>
        <v/>
      </c>
      <c r="F49" s="8">
        <f>IF(C49="","",IFERROR(C49*0.5/100,0))</f>
        <v/>
      </c>
      <c r="G49" s="8">
        <f>IF(C49="","",IFERROR(C49*0.98/100,0))</f>
        <v/>
      </c>
      <c r="H49" s="8">
        <f>IF(C49="","",IFERROR(C49*2.5/100,0))</f>
        <v/>
      </c>
      <c r="I49" s="8">
        <f>IF(C49="","",E49+F49+G49+H49)</f>
        <v/>
      </c>
      <c r="J49" s="8">
        <f>IF(OR(C49="",B49=""),"",IFERROR(I49/B49,0))</f>
        <v/>
      </c>
    </row>
    <row r="50">
      <c r="A50" s="4" t="n"/>
      <c r="B50" s="4" t="n"/>
      <c r="C50" s="5" t="n"/>
      <c r="D50" s="4" t="n"/>
      <c r="E50" s="5">
        <f>IF(C50="","",IFERROR(C50*D50/100,0))</f>
        <v/>
      </c>
      <c r="F50" s="5">
        <f>IF(C50="","",IFERROR(C50*0.5/100,0))</f>
        <v/>
      </c>
      <c r="G50" s="5">
        <f>IF(C50="","",IFERROR(C50*0.98/100,0))</f>
        <v/>
      </c>
      <c r="H50" s="5">
        <f>IF(C50="","",IFERROR(C50*2.5/100,0))</f>
        <v/>
      </c>
      <c r="I50" s="5">
        <f>IF(C50="","",E50+F50+G50+H50)</f>
        <v/>
      </c>
      <c r="J50" s="5">
        <f>IF(OR(C50="",B50=""),"",IFERROR(I50/B50,0))</f>
        <v/>
      </c>
    </row>
    <row r="51">
      <c r="A51" s="7" t="n"/>
      <c r="B51" s="7" t="n"/>
      <c r="C51" s="8" t="n"/>
      <c r="D51" s="7" t="n"/>
      <c r="E51" s="8">
        <f>IF(C51="","",IFERROR(C51*D51/100,0))</f>
        <v/>
      </c>
      <c r="F51" s="8">
        <f>IF(C51="","",IFERROR(C51*0.5/100,0))</f>
        <v/>
      </c>
      <c r="G51" s="8">
        <f>IF(C51="","",IFERROR(C51*0.98/100,0))</f>
        <v/>
      </c>
      <c r="H51" s="8">
        <f>IF(C51="","",IFERROR(C51*2.5/100,0))</f>
        <v/>
      </c>
      <c r="I51" s="8">
        <f>IF(C51="","",E51+F51+G51+H51)</f>
        <v/>
      </c>
      <c r="J51" s="8">
        <f>IF(OR(C51="",B51=""),"",IFERROR(I51/B51,0))</f>
        <v/>
      </c>
    </row>
    <row r="52">
      <c r="A52" s="4" t="n"/>
      <c r="B52" s="4" t="n"/>
      <c r="C52" s="5" t="n"/>
      <c r="D52" s="4" t="n"/>
      <c r="E52" s="5">
        <f>IF(C52="","",IFERROR(C52*D52/100,0))</f>
        <v/>
      </c>
      <c r="F52" s="5">
        <f>IF(C52="","",IFERROR(C52*0.5/100,0))</f>
        <v/>
      </c>
      <c r="G52" s="5">
        <f>IF(C52="","",IFERROR(C52*0.98/100,0))</f>
        <v/>
      </c>
      <c r="H52" s="5">
        <f>IF(C52="","",IFERROR(C52*2.5/100,0))</f>
        <v/>
      </c>
      <c r="I52" s="5">
        <f>IF(C52="","",E52+F52+G52+H52)</f>
        <v/>
      </c>
      <c r="J52" s="5">
        <f>IF(OR(C52="",B52=""),"",IFERROR(I52/B52,0))</f>
        <v/>
      </c>
    </row>
    <row r="53">
      <c r="A53" s="7" t="n"/>
      <c r="B53" s="7" t="n"/>
      <c r="C53" s="8" t="n"/>
      <c r="D53" s="7" t="n"/>
      <c r="E53" s="8">
        <f>IF(C53="","",IFERROR(C53*D53/100,0))</f>
        <v/>
      </c>
      <c r="F53" s="8">
        <f>IF(C53="","",IFERROR(C53*0.5/100,0))</f>
        <v/>
      </c>
      <c r="G53" s="8">
        <f>IF(C53="","",IFERROR(C53*0.98/100,0))</f>
        <v/>
      </c>
      <c r="H53" s="8">
        <f>IF(C53="","",IFERROR(C53*2.5/100,0))</f>
        <v/>
      </c>
      <c r="I53" s="8">
        <f>IF(C53="","",E53+F53+G53+H53)</f>
        <v/>
      </c>
      <c r="J53" s="8">
        <f>IF(OR(C53="",B53=""),"",IFERROR(I53/B53,0))</f>
        <v/>
      </c>
    </row>
    <row r="54">
      <c r="A54" s="4" t="n"/>
      <c r="B54" s="4" t="n"/>
      <c r="C54" s="5" t="n"/>
      <c r="D54" s="4" t="n"/>
      <c r="E54" s="5">
        <f>IF(C54="","",IFERROR(C54*D54/100,0))</f>
        <v/>
      </c>
      <c r="F54" s="5">
        <f>IF(C54="","",IFERROR(C54*0.5/100,0))</f>
        <v/>
      </c>
      <c r="G54" s="5">
        <f>IF(C54="","",IFERROR(C54*0.98/100,0))</f>
        <v/>
      </c>
      <c r="H54" s="5">
        <f>IF(C54="","",IFERROR(C54*2.5/100,0))</f>
        <v/>
      </c>
      <c r="I54" s="5">
        <f>IF(C54="","",E54+F54+G54+H54)</f>
        <v/>
      </c>
      <c r="J54" s="5">
        <f>IF(OR(C54="",B54=""),"",IFERROR(I54/B54,0))</f>
        <v/>
      </c>
    </row>
    <row r="55">
      <c r="A55" s="7" t="n"/>
      <c r="B55" s="7" t="n"/>
      <c r="C55" s="8" t="n"/>
      <c r="D55" s="7" t="n"/>
      <c r="E55" s="8">
        <f>IF(C55="","",IFERROR(C55*D55/100,0))</f>
        <v/>
      </c>
      <c r="F55" s="8">
        <f>IF(C55="","",IFERROR(C55*0.5/100,0))</f>
        <v/>
      </c>
      <c r="G55" s="8">
        <f>IF(C55="","",IFERROR(C55*0.98/100,0))</f>
        <v/>
      </c>
      <c r="H55" s="8">
        <f>IF(C55="","",IFERROR(C55*2.5/100,0))</f>
        <v/>
      </c>
      <c r="I55" s="8">
        <f>IF(C55="","",E55+F55+G55+H55)</f>
        <v/>
      </c>
      <c r="J55" s="8">
        <f>IF(OR(C55="",B55=""),"",IFERROR(I55/B55,0))</f>
        <v/>
      </c>
    </row>
    <row r="56">
      <c r="A56" s="4" t="n"/>
      <c r="B56" s="4" t="n"/>
      <c r="C56" s="5" t="n"/>
      <c r="D56" s="4" t="n"/>
      <c r="E56" s="5">
        <f>IF(C56="","",IFERROR(C56*D56/100,0))</f>
        <v/>
      </c>
      <c r="F56" s="5">
        <f>IF(C56="","",IFERROR(C56*0.5/100,0))</f>
        <v/>
      </c>
      <c r="G56" s="5">
        <f>IF(C56="","",IFERROR(C56*0.98/100,0))</f>
        <v/>
      </c>
      <c r="H56" s="5">
        <f>IF(C56="","",IFERROR(C56*2.5/100,0))</f>
        <v/>
      </c>
      <c r="I56" s="5">
        <f>IF(C56="","",E56+F56+G56+H56)</f>
        <v/>
      </c>
      <c r="J56" s="5">
        <f>IF(OR(C56="",B56=""),"",IFERROR(I56/B56,0))</f>
        <v/>
      </c>
    </row>
    <row r="57">
      <c r="A57" s="7" t="n"/>
      <c r="B57" s="7" t="n"/>
      <c r="C57" s="8" t="n"/>
      <c r="D57" s="7" t="n"/>
      <c r="E57" s="8">
        <f>IF(C57="","",IFERROR(C57*D57/100,0))</f>
        <v/>
      </c>
      <c r="F57" s="8">
        <f>IF(C57="","",IFERROR(C57*0.5/100,0))</f>
        <v/>
      </c>
      <c r="G57" s="8">
        <f>IF(C57="","",IFERROR(C57*0.98/100,0))</f>
        <v/>
      </c>
      <c r="H57" s="8">
        <f>IF(C57="","",IFERROR(C57*2.5/100,0))</f>
        <v/>
      </c>
      <c r="I57" s="8">
        <f>IF(C57="","",E57+F57+G57+H57)</f>
        <v/>
      </c>
      <c r="J57" s="8">
        <f>IF(OR(C57="",B57=""),"",IFERROR(I57/B57,0))</f>
        <v/>
      </c>
    </row>
    <row r="58">
      <c r="A58" s="4" t="n"/>
      <c r="B58" s="4" t="n"/>
      <c r="C58" s="5" t="n"/>
      <c r="D58" s="4" t="n"/>
      <c r="E58" s="5">
        <f>IF(C58="","",IFERROR(C58*D58/100,0))</f>
        <v/>
      </c>
      <c r="F58" s="5">
        <f>IF(C58="","",IFERROR(C58*0.5/100,0))</f>
        <v/>
      </c>
      <c r="G58" s="5">
        <f>IF(C58="","",IFERROR(C58*0.98/100,0))</f>
        <v/>
      </c>
      <c r="H58" s="5">
        <f>IF(C58="","",IFERROR(C58*2.5/100,0))</f>
        <v/>
      </c>
      <c r="I58" s="5">
        <f>IF(C58="","",E58+F58+G58+H58)</f>
        <v/>
      </c>
      <c r="J58" s="5">
        <f>IF(OR(C58="",B58=""),"",IFERROR(I58/B58,0))</f>
        <v/>
      </c>
    </row>
    <row r="59">
      <c r="A59" s="7" t="n"/>
      <c r="B59" s="7" t="n"/>
      <c r="C59" s="8" t="n"/>
      <c r="D59" s="7" t="n"/>
      <c r="E59" s="8">
        <f>IF(C59="","",IFERROR(C59*D59/100,0))</f>
        <v/>
      </c>
      <c r="F59" s="8">
        <f>IF(C59="","",IFERROR(C59*0.5/100,0))</f>
        <v/>
      </c>
      <c r="G59" s="8">
        <f>IF(C59="","",IFERROR(C59*0.98/100,0))</f>
        <v/>
      </c>
      <c r="H59" s="8">
        <f>IF(C59="","",IFERROR(C59*2.5/100,0))</f>
        <v/>
      </c>
      <c r="I59" s="8">
        <f>IF(C59="","",E59+F59+G59+H59)</f>
        <v/>
      </c>
      <c r="J59" s="8">
        <f>IF(OR(C59="",B59=""),"",IFERROR(I59/B59,0))</f>
        <v/>
      </c>
    </row>
    <row r="60">
      <c r="A60" s="4" t="n"/>
      <c r="B60" s="4" t="n"/>
      <c r="C60" s="5" t="n"/>
      <c r="D60" s="4" t="n"/>
      <c r="E60" s="5">
        <f>IF(C60="","",IFERROR(C60*D60/100,0))</f>
        <v/>
      </c>
      <c r="F60" s="5">
        <f>IF(C60="","",IFERROR(C60*0.5/100,0))</f>
        <v/>
      </c>
      <c r="G60" s="5">
        <f>IF(C60="","",IFERROR(C60*0.98/100,0))</f>
        <v/>
      </c>
      <c r="H60" s="5">
        <f>IF(C60="","",IFERROR(C60*2.5/100,0))</f>
        <v/>
      </c>
      <c r="I60" s="5">
        <f>IF(C60="","",E60+F60+G60+H60)</f>
        <v/>
      </c>
      <c r="J60" s="5">
        <f>IF(OR(C60="",B60=""),"",IFERROR(I60/B60,0))</f>
        <v/>
      </c>
    </row>
    <row r="61">
      <c r="A61" s="7" t="n"/>
      <c r="B61" s="7" t="n"/>
      <c r="C61" s="8" t="n"/>
      <c r="D61" s="7" t="n"/>
      <c r="E61" s="8">
        <f>IF(C61="","",IFERROR(C61*D61/100,0))</f>
        <v/>
      </c>
      <c r="F61" s="8">
        <f>IF(C61="","",IFERROR(C61*0.5/100,0))</f>
        <v/>
      </c>
      <c r="G61" s="8">
        <f>IF(C61="","",IFERROR(C61*0.98/100,0))</f>
        <v/>
      </c>
      <c r="H61" s="8">
        <f>IF(C61="","",IFERROR(C61*2.5/100,0))</f>
        <v/>
      </c>
      <c r="I61" s="8">
        <f>IF(C61="","",E61+F61+G61+H61)</f>
        <v/>
      </c>
      <c r="J61" s="8">
        <f>IF(OR(C61="",B61=""),"",IFERROR(I61/B61,0))</f>
        <v/>
      </c>
    </row>
    <row r="62">
      <c r="A62" s="4" t="n"/>
      <c r="B62" s="4" t="n"/>
      <c r="C62" s="5" t="n"/>
      <c r="D62" s="4" t="n"/>
      <c r="E62" s="5">
        <f>IF(C62="","",IFERROR(C62*D62/100,0))</f>
        <v/>
      </c>
      <c r="F62" s="5">
        <f>IF(C62="","",IFERROR(C62*0.5/100,0))</f>
        <v/>
      </c>
      <c r="G62" s="5">
        <f>IF(C62="","",IFERROR(C62*0.98/100,0))</f>
        <v/>
      </c>
      <c r="H62" s="5">
        <f>IF(C62="","",IFERROR(C62*2.5/100,0))</f>
        <v/>
      </c>
      <c r="I62" s="5">
        <f>IF(C62="","",E62+F62+G62+H62)</f>
        <v/>
      </c>
      <c r="J62" s="5">
        <f>IF(OR(C62="",B62=""),"",IFERROR(I62/B62,0))</f>
        <v/>
      </c>
    </row>
    <row r="63">
      <c r="A63" s="7" t="n"/>
      <c r="B63" s="7" t="n"/>
      <c r="C63" s="8" t="n"/>
      <c r="D63" s="7" t="n"/>
      <c r="E63" s="8">
        <f>IF(C63="","",IFERROR(C63*D63/100,0))</f>
        <v/>
      </c>
      <c r="F63" s="8">
        <f>IF(C63="","",IFERROR(C63*0.5/100,0))</f>
        <v/>
      </c>
      <c r="G63" s="8">
        <f>IF(C63="","",IFERROR(C63*0.98/100,0))</f>
        <v/>
      </c>
      <c r="H63" s="8">
        <f>IF(C63="","",IFERROR(C63*2.5/100,0))</f>
        <v/>
      </c>
      <c r="I63" s="8">
        <f>IF(C63="","",E63+F63+G63+H63)</f>
        <v/>
      </c>
      <c r="J63" s="8">
        <f>IF(OR(C63="",B63=""),"",IFERROR(I63/B63,0))</f>
        <v/>
      </c>
    </row>
    <row r="64">
      <c r="A64" s="4" t="n"/>
      <c r="B64" s="4" t="n"/>
      <c r="C64" s="5" t="n"/>
      <c r="D64" s="4" t="n"/>
      <c r="E64" s="5">
        <f>IF(C64="","",IFERROR(C64*D64/100,0))</f>
        <v/>
      </c>
      <c r="F64" s="5">
        <f>IF(C64="","",IFERROR(C64*0.5/100,0))</f>
        <v/>
      </c>
      <c r="G64" s="5">
        <f>IF(C64="","",IFERROR(C64*0.98/100,0))</f>
        <v/>
      </c>
      <c r="H64" s="5">
        <f>IF(C64="","",IFERROR(C64*2.5/100,0))</f>
        <v/>
      </c>
      <c r="I64" s="5">
        <f>IF(C64="","",E64+F64+G64+H64)</f>
        <v/>
      </c>
      <c r="J64" s="5">
        <f>IF(OR(C64="",B64=""),"",IFERROR(I64/B64,0))</f>
        <v/>
      </c>
    </row>
    <row r="65">
      <c r="A65" s="7" t="n"/>
      <c r="B65" s="7" t="n"/>
      <c r="C65" s="8" t="n"/>
      <c r="D65" s="7" t="n"/>
      <c r="E65" s="8">
        <f>IF(C65="","",IFERROR(C65*D65/100,0))</f>
        <v/>
      </c>
      <c r="F65" s="8">
        <f>IF(C65="","",IFERROR(C65*0.5/100,0))</f>
        <v/>
      </c>
      <c r="G65" s="8">
        <f>IF(C65="","",IFERROR(C65*0.98/100,0))</f>
        <v/>
      </c>
      <c r="H65" s="8">
        <f>IF(C65="","",IFERROR(C65*2.5/100,0))</f>
        <v/>
      </c>
      <c r="I65" s="8">
        <f>IF(C65="","",E65+F65+G65+H65)</f>
        <v/>
      </c>
      <c r="J65" s="8">
        <f>IF(OR(C65="",B65=""),"",IFERROR(I65/B65,0))</f>
        <v/>
      </c>
    </row>
    <row r="66">
      <c r="A66" s="4" t="n"/>
      <c r="B66" s="4" t="n"/>
      <c r="C66" s="5" t="n"/>
      <c r="D66" s="4" t="n"/>
      <c r="E66" s="5">
        <f>IF(C66="","",IFERROR(C66*D66/100,0))</f>
        <v/>
      </c>
      <c r="F66" s="5">
        <f>IF(C66="","",IFERROR(C66*0.5/100,0))</f>
        <v/>
      </c>
      <c r="G66" s="5">
        <f>IF(C66="","",IFERROR(C66*0.98/100,0))</f>
        <v/>
      </c>
      <c r="H66" s="5">
        <f>IF(C66="","",IFERROR(C66*2.5/100,0))</f>
        <v/>
      </c>
      <c r="I66" s="5">
        <f>IF(C66="","",E66+F66+G66+H66)</f>
        <v/>
      </c>
      <c r="J66" s="5">
        <f>IF(OR(C66="",B66=""),"",IFERROR(I66/B66,0))</f>
        <v/>
      </c>
    </row>
    <row r="67">
      <c r="A67" s="7" t="n"/>
      <c r="B67" s="7" t="n"/>
      <c r="C67" s="8" t="n"/>
      <c r="D67" s="7" t="n"/>
      <c r="E67" s="8">
        <f>IF(C67="","",IFERROR(C67*D67/100,0))</f>
        <v/>
      </c>
      <c r="F67" s="8">
        <f>IF(C67="","",IFERROR(C67*0.5/100,0))</f>
        <v/>
      </c>
      <c r="G67" s="8">
        <f>IF(C67="","",IFERROR(C67*0.98/100,0))</f>
        <v/>
      </c>
      <c r="H67" s="8">
        <f>IF(C67="","",IFERROR(C67*2.5/100,0))</f>
        <v/>
      </c>
      <c r="I67" s="8">
        <f>IF(C67="","",E67+F67+G67+H67)</f>
        <v/>
      </c>
      <c r="J67" s="8">
        <f>IF(OR(C67="",B67=""),"",IFERROR(I67/B67,0))</f>
        <v/>
      </c>
    </row>
    <row r="68">
      <c r="A68" s="4" t="n"/>
      <c r="B68" s="4" t="n"/>
      <c r="C68" s="5" t="n"/>
      <c r="D68" s="4" t="n"/>
      <c r="E68" s="5">
        <f>IF(C68="","",IFERROR(C68*D68/100,0))</f>
        <v/>
      </c>
      <c r="F68" s="5">
        <f>IF(C68="","",IFERROR(C68*0.5/100,0))</f>
        <v/>
      </c>
      <c r="G68" s="5">
        <f>IF(C68="","",IFERROR(C68*0.98/100,0))</f>
        <v/>
      </c>
      <c r="H68" s="5">
        <f>IF(C68="","",IFERROR(C68*2.5/100,0))</f>
        <v/>
      </c>
      <c r="I68" s="5">
        <f>IF(C68="","",E68+F68+G68+H68)</f>
        <v/>
      </c>
      <c r="J68" s="5">
        <f>IF(OR(C68="",B68=""),"",IFERROR(I68/B68,0))</f>
        <v/>
      </c>
    </row>
    <row r="69">
      <c r="A69" s="7" t="n"/>
      <c r="B69" s="7" t="n"/>
      <c r="C69" s="8" t="n"/>
      <c r="D69" s="7" t="n"/>
      <c r="E69" s="8">
        <f>IF(C69="","",IFERROR(C69*D69/100,0))</f>
        <v/>
      </c>
      <c r="F69" s="8">
        <f>IF(C69="","",IFERROR(C69*0.5/100,0))</f>
        <v/>
      </c>
      <c r="G69" s="8">
        <f>IF(C69="","",IFERROR(C69*0.98/100,0))</f>
        <v/>
      </c>
      <c r="H69" s="8">
        <f>IF(C69="","",IFERROR(C69*2.5/100,0))</f>
        <v/>
      </c>
      <c r="I69" s="8">
        <f>IF(C69="","",E69+F69+G69+H69)</f>
        <v/>
      </c>
      <c r="J69" s="8">
        <f>IF(OR(C69="",B69=""),"",IFERROR(I69/B69,0))</f>
        <v/>
      </c>
    </row>
    <row r="70">
      <c r="A70" s="4" t="n"/>
      <c r="B70" s="4" t="n"/>
      <c r="C70" s="5" t="n"/>
      <c r="D70" s="4" t="n"/>
      <c r="E70" s="5">
        <f>IF(C70="","",IFERROR(C70*D70/100,0))</f>
        <v/>
      </c>
      <c r="F70" s="5">
        <f>IF(C70="","",IFERROR(C70*0.5/100,0))</f>
        <v/>
      </c>
      <c r="G70" s="5">
        <f>IF(C70="","",IFERROR(C70*0.98/100,0))</f>
        <v/>
      </c>
      <c r="H70" s="5">
        <f>IF(C70="","",IFERROR(C70*2.5/100,0))</f>
        <v/>
      </c>
      <c r="I70" s="5">
        <f>IF(C70="","",E70+F70+G70+H70)</f>
        <v/>
      </c>
      <c r="J70" s="5">
        <f>IF(OR(C70="",B70=""),"",IFERROR(I70/B70,0))</f>
        <v/>
      </c>
    </row>
    <row r="71">
      <c r="A71" s="7" t="n"/>
      <c r="B71" s="7" t="n"/>
      <c r="C71" s="8" t="n"/>
      <c r="D71" s="7" t="n"/>
      <c r="E71" s="8">
        <f>IF(C71="","",IFERROR(C71*D71/100,0))</f>
        <v/>
      </c>
      <c r="F71" s="8">
        <f>IF(C71="","",IFERROR(C71*0.5/100,0))</f>
        <v/>
      </c>
      <c r="G71" s="8">
        <f>IF(C71="","",IFERROR(C71*0.98/100,0))</f>
        <v/>
      </c>
      <c r="H71" s="8">
        <f>IF(C71="","",IFERROR(C71*2.5/100,0))</f>
        <v/>
      </c>
      <c r="I71" s="8">
        <f>IF(C71="","",E71+F71+G71+H71)</f>
        <v/>
      </c>
      <c r="J71" s="8">
        <f>IF(OR(C71="",B71=""),"",IFERROR(I71/B71,0))</f>
        <v/>
      </c>
    </row>
    <row r="72">
      <c r="A72" s="4" t="n"/>
      <c r="B72" s="4" t="n"/>
      <c r="C72" s="5" t="n"/>
      <c r="D72" s="4" t="n"/>
      <c r="E72" s="5">
        <f>IF(C72="","",IFERROR(C72*D72/100,0))</f>
        <v/>
      </c>
      <c r="F72" s="5">
        <f>IF(C72="","",IFERROR(C72*0.5/100,0))</f>
        <v/>
      </c>
      <c r="G72" s="5">
        <f>IF(C72="","",IFERROR(C72*0.98/100,0))</f>
        <v/>
      </c>
      <c r="H72" s="5">
        <f>IF(C72="","",IFERROR(C72*2.5/100,0))</f>
        <v/>
      </c>
      <c r="I72" s="5">
        <f>IF(C72="","",E72+F72+G72+H72)</f>
        <v/>
      </c>
      <c r="J72" s="5">
        <f>IF(OR(C72="",B72=""),"",IFERROR(I72/B72,0))</f>
        <v/>
      </c>
    </row>
    <row r="73">
      <c r="A73" s="7" t="n"/>
      <c r="B73" s="7" t="n"/>
      <c r="C73" s="8" t="n"/>
      <c r="D73" s="7" t="n"/>
      <c r="E73" s="8">
        <f>IF(C73="","",IFERROR(C73*D73/100,0))</f>
        <v/>
      </c>
      <c r="F73" s="8">
        <f>IF(C73="","",IFERROR(C73*0.5/100,0))</f>
        <v/>
      </c>
      <c r="G73" s="8">
        <f>IF(C73="","",IFERROR(C73*0.98/100,0))</f>
        <v/>
      </c>
      <c r="H73" s="8">
        <f>IF(C73="","",IFERROR(C73*2.5/100,0))</f>
        <v/>
      </c>
      <c r="I73" s="8">
        <f>IF(C73="","",E73+F73+G73+H73)</f>
        <v/>
      </c>
      <c r="J73" s="8">
        <f>IF(OR(C73="",B73=""),"",IFERROR(I73/B73,0))</f>
        <v/>
      </c>
    </row>
    <row r="74">
      <c r="A74" s="4" t="n"/>
      <c r="B74" s="4" t="n"/>
      <c r="C74" s="5" t="n"/>
      <c r="D74" s="4" t="n"/>
      <c r="E74" s="5">
        <f>IF(C74="","",IFERROR(C74*D74/100,0))</f>
        <v/>
      </c>
      <c r="F74" s="5">
        <f>IF(C74="","",IFERROR(C74*0.5/100,0))</f>
        <v/>
      </c>
      <c r="G74" s="5">
        <f>IF(C74="","",IFERROR(C74*0.98/100,0))</f>
        <v/>
      </c>
      <c r="H74" s="5">
        <f>IF(C74="","",IFERROR(C74*2.5/100,0))</f>
        <v/>
      </c>
      <c r="I74" s="5">
        <f>IF(C74="","",E74+F74+G74+H74)</f>
        <v/>
      </c>
      <c r="J74" s="5">
        <f>IF(OR(C74="",B74=""),"",IFERROR(I74/B74,0))</f>
        <v/>
      </c>
    </row>
    <row r="75">
      <c r="A75" s="7" t="n"/>
      <c r="B75" s="7" t="n"/>
      <c r="C75" s="8" t="n"/>
      <c r="D75" s="7" t="n"/>
      <c r="E75" s="8">
        <f>IF(C75="","",IFERROR(C75*D75/100,0))</f>
        <v/>
      </c>
      <c r="F75" s="8">
        <f>IF(C75="","",IFERROR(C75*0.5/100,0))</f>
        <v/>
      </c>
      <c r="G75" s="8">
        <f>IF(C75="","",IFERROR(C75*0.98/100,0))</f>
        <v/>
      </c>
      <c r="H75" s="8">
        <f>IF(C75="","",IFERROR(C75*2.5/100,0))</f>
        <v/>
      </c>
      <c r="I75" s="8">
        <f>IF(C75="","",E75+F75+G75+H75)</f>
        <v/>
      </c>
      <c r="J75" s="8">
        <f>IF(OR(C75="",B75=""),"",IFERROR(I75/B75,0))</f>
        <v/>
      </c>
    </row>
    <row r="76">
      <c r="A76" s="4" t="n"/>
      <c r="B76" s="4" t="n"/>
      <c r="C76" s="5" t="n"/>
      <c r="D76" s="4" t="n"/>
      <c r="E76" s="5">
        <f>IF(C76="","",IFERROR(C76*D76/100,0))</f>
        <v/>
      </c>
      <c r="F76" s="5">
        <f>IF(C76="","",IFERROR(C76*0.5/100,0))</f>
        <v/>
      </c>
      <c r="G76" s="5">
        <f>IF(C76="","",IFERROR(C76*0.98/100,0))</f>
        <v/>
      </c>
      <c r="H76" s="5">
        <f>IF(C76="","",IFERROR(C76*2.5/100,0))</f>
        <v/>
      </c>
      <c r="I76" s="5">
        <f>IF(C76="","",E76+F76+G76+H76)</f>
        <v/>
      </c>
      <c r="J76" s="5">
        <f>IF(OR(C76="",B76=""),"",IFERROR(I76/B76,0))</f>
        <v/>
      </c>
    </row>
    <row r="77">
      <c r="A77" s="7" t="n"/>
      <c r="B77" s="7" t="n"/>
      <c r="C77" s="8" t="n"/>
      <c r="D77" s="7" t="n"/>
      <c r="E77" s="8">
        <f>IF(C77="","",IFERROR(C77*D77/100,0))</f>
        <v/>
      </c>
      <c r="F77" s="8">
        <f>IF(C77="","",IFERROR(C77*0.5/100,0))</f>
        <v/>
      </c>
      <c r="G77" s="8">
        <f>IF(C77="","",IFERROR(C77*0.98/100,0))</f>
        <v/>
      </c>
      <c r="H77" s="8">
        <f>IF(C77="","",IFERROR(C77*2.5/100,0))</f>
        <v/>
      </c>
      <c r="I77" s="8">
        <f>IF(C77="","",E77+F77+G77+H77)</f>
        <v/>
      </c>
      <c r="J77" s="8">
        <f>IF(OR(C77="",B77=""),"",IFERROR(I77/B77,0))</f>
        <v/>
      </c>
    </row>
    <row r="78">
      <c r="A78" s="4" t="n"/>
      <c r="B78" s="4" t="n"/>
      <c r="C78" s="5" t="n"/>
      <c r="D78" s="4" t="n"/>
      <c r="E78" s="5">
        <f>IF(C78="","",IFERROR(C78*D78/100,0))</f>
        <v/>
      </c>
      <c r="F78" s="5">
        <f>IF(C78="","",IFERROR(C78*0.5/100,0))</f>
        <v/>
      </c>
      <c r="G78" s="5">
        <f>IF(C78="","",IFERROR(C78*0.98/100,0))</f>
        <v/>
      </c>
      <c r="H78" s="5">
        <f>IF(C78="","",IFERROR(C78*2.5/100,0))</f>
        <v/>
      </c>
      <c r="I78" s="5">
        <f>IF(C78="","",E78+F78+G78+H78)</f>
        <v/>
      </c>
      <c r="J78" s="5">
        <f>IF(OR(C78="",B78=""),"",IFERROR(I78/B78,0))</f>
        <v/>
      </c>
    </row>
    <row r="79">
      <c r="A79" s="7" t="n"/>
      <c r="B79" s="7" t="n"/>
      <c r="C79" s="8" t="n"/>
      <c r="D79" s="7" t="n"/>
      <c r="E79" s="8">
        <f>IF(C79="","",IFERROR(C79*D79/100,0))</f>
        <v/>
      </c>
      <c r="F79" s="8">
        <f>IF(C79="","",IFERROR(C79*0.5/100,0))</f>
        <v/>
      </c>
      <c r="G79" s="8">
        <f>IF(C79="","",IFERROR(C79*0.98/100,0))</f>
        <v/>
      </c>
      <c r="H79" s="8">
        <f>IF(C79="","",IFERROR(C79*2.5/100,0))</f>
        <v/>
      </c>
      <c r="I79" s="8">
        <f>IF(C79="","",E79+F79+G79+H79)</f>
        <v/>
      </c>
      <c r="J79" s="8">
        <f>IF(OR(C79="",B79=""),"",IFERROR(I79/B79,0))</f>
        <v/>
      </c>
    </row>
    <row r="80">
      <c r="A80" s="4" t="n"/>
      <c r="B80" s="4" t="n"/>
      <c r="C80" s="5" t="n"/>
      <c r="D80" s="4" t="n"/>
      <c r="E80" s="5">
        <f>IF(C80="","",IFERROR(C80*D80/100,0))</f>
        <v/>
      </c>
      <c r="F80" s="5">
        <f>IF(C80="","",IFERROR(C80*0.5/100,0))</f>
        <v/>
      </c>
      <c r="G80" s="5">
        <f>IF(C80="","",IFERROR(C80*0.98/100,0))</f>
        <v/>
      </c>
      <c r="H80" s="5">
        <f>IF(C80="","",IFERROR(C80*2.5/100,0))</f>
        <v/>
      </c>
      <c r="I80" s="5">
        <f>IF(C80="","",E80+F80+G80+H80)</f>
        <v/>
      </c>
      <c r="J80" s="5">
        <f>IF(OR(C80="",B80=""),"",IFERROR(I80/B80,0))</f>
        <v/>
      </c>
    </row>
    <row r="81">
      <c r="A81" s="7" t="n"/>
      <c r="B81" s="7" t="n"/>
      <c r="C81" s="8" t="n"/>
      <c r="D81" s="7" t="n"/>
      <c r="E81" s="8">
        <f>IF(C81="","",IFERROR(C81*D81/100,0))</f>
        <v/>
      </c>
      <c r="F81" s="8">
        <f>IF(C81="","",IFERROR(C81*0.5/100,0))</f>
        <v/>
      </c>
      <c r="G81" s="8">
        <f>IF(C81="","",IFERROR(C81*0.98/100,0))</f>
        <v/>
      </c>
      <c r="H81" s="8">
        <f>IF(C81="","",IFERROR(C81*2.5/100,0))</f>
        <v/>
      </c>
      <c r="I81" s="8">
        <f>IF(C81="","",E81+F81+G81+H81)</f>
        <v/>
      </c>
      <c r="J81" s="8">
        <f>IF(OR(C81="",B81=""),"",IFERROR(I81/B81,0))</f>
        <v/>
      </c>
    </row>
    <row r="82">
      <c r="A82" s="4" t="n"/>
      <c r="B82" s="4" t="n"/>
      <c r="C82" s="5" t="n"/>
      <c r="D82" s="4" t="n"/>
      <c r="E82" s="5">
        <f>IF(C82="","",IFERROR(C82*D82/100,0))</f>
        <v/>
      </c>
      <c r="F82" s="5">
        <f>IF(C82="","",IFERROR(C82*0.5/100,0))</f>
        <v/>
      </c>
      <c r="G82" s="5">
        <f>IF(C82="","",IFERROR(C82*0.98/100,0))</f>
        <v/>
      </c>
      <c r="H82" s="5">
        <f>IF(C82="","",IFERROR(C82*2.5/100,0))</f>
        <v/>
      </c>
      <c r="I82" s="5">
        <f>IF(C82="","",E82+F82+G82+H82)</f>
        <v/>
      </c>
      <c r="J82" s="5">
        <f>IF(OR(C82="",B82=""),"",IFERROR(I82/B82,0))</f>
        <v/>
      </c>
    </row>
    <row r="83">
      <c r="A83" s="7" t="n"/>
      <c r="B83" s="7" t="n"/>
      <c r="C83" s="8" t="n"/>
      <c r="D83" s="7" t="n"/>
      <c r="E83" s="8">
        <f>IF(C83="","",IFERROR(C83*D83/100,0))</f>
        <v/>
      </c>
      <c r="F83" s="8">
        <f>IF(C83="","",IFERROR(C83*0.5/100,0))</f>
        <v/>
      </c>
      <c r="G83" s="8">
        <f>IF(C83="","",IFERROR(C83*0.98/100,0))</f>
        <v/>
      </c>
      <c r="H83" s="8">
        <f>IF(C83="","",IFERROR(C83*2.5/100,0))</f>
        <v/>
      </c>
      <c r="I83" s="8">
        <f>IF(C83="","",E83+F83+G83+H83)</f>
        <v/>
      </c>
      <c r="J83" s="8">
        <f>IF(OR(C83="",B83=""),"",IFERROR(I83/B83,0))</f>
        <v/>
      </c>
    </row>
    <row r="84">
      <c r="A84" s="4" t="n"/>
      <c r="B84" s="4" t="n"/>
      <c r="C84" s="5" t="n"/>
      <c r="D84" s="4" t="n"/>
      <c r="E84" s="5">
        <f>IF(C84="","",IFERROR(C84*D84/100,0))</f>
        <v/>
      </c>
      <c r="F84" s="5">
        <f>IF(C84="","",IFERROR(C84*0.5/100,0))</f>
        <v/>
      </c>
      <c r="G84" s="5">
        <f>IF(C84="","",IFERROR(C84*0.98/100,0))</f>
        <v/>
      </c>
      <c r="H84" s="5">
        <f>IF(C84="","",IFERROR(C84*2.5/100,0))</f>
        <v/>
      </c>
      <c r="I84" s="5">
        <f>IF(C84="","",E84+F84+G84+H84)</f>
        <v/>
      </c>
      <c r="J84" s="5">
        <f>IF(OR(C84="",B84=""),"",IFERROR(I84/B84,0))</f>
        <v/>
      </c>
    </row>
    <row r="85">
      <c r="A85" s="7" t="n"/>
      <c r="B85" s="7" t="n"/>
      <c r="C85" s="8" t="n"/>
      <c r="D85" s="7" t="n"/>
      <c r="E85" s="8">
        <f>IF(C85="","",IFERROR(C85*D85/100,0))</f>
        <v/>
      </c>
      <c r="F85" s="8">
        <f>IF(C85="","",IFERROR(C85*0.5/100,0))</f>
        <v/>
      </c>
      <c r="G85" s="8">
        <f>IF(C85="","",IFERROR(C85*0.98/100,0))</f>
        <v/>
      </c>
      <c r="H85" s="8">
        <f>IF(C85="","",IFERROR(C85*2.5/100,0))</f>
        <v/>
      </c>
      <c r="I85" s="8">
        <f>IF(C85="","",E85+F85+G85+H85)</f>
        <v/>
      </c>
      <c r="J85" s="8">
        <f>IF(OR(C85="",B85=""),"",IFERROR(I85/B85,0))</f>
        <v/>
      </c>
    </row>
    <row r="86">
      <c r="A86" s="4" t="n"/>
      <c r="B86" s="4" t="n"/>
      <c r="C86" s="5" t="n"/>
      <c r="D86" s="4" t="n"/>
      <c r="E86" s="5">
        <f>IF(C86="","",IFERROR(C86*D86/100,0))</f>
        <v/>
      </c>
      <c r="F86" s="5">
        <f>IF(C86="","",IFERROR(C86*0.5/100,0))</f>
        <v/>
      </c>
      <c r="G86" s="5">
        <f>IF(C86="","",IFERROR(C86*0.98/100,0))</f>
        <v/>
      </c>
      <c r="H86" s="5">
        <f>IF(C86="","",IFERROR(C86*2.5/100,0))</f>
        <v/>
      </c>
      <c r="I86" s="5">
        <f>IF(C86="","",E86+F86+G86+H86)</f>
        <v/>
      </c>
      <c r="J86" s="5">
        <f>IF(OR(C86="",B86=""),"",IFERROR(I86/B86,0))</f>
        <v/>
      </c>
    </row>
    <row r="87">
      <c r="A87" s="7" t="n"/>
      <c r="B87" s="7" t="n"/>
      <c r="C87" s="8" t="n"/>
      <c r="D87" s="7" t="n"/>
      <c r="E87" s="8">
        <f>IF(C87="","",IFERROR(C87*D87/100,0))</f>
        <v/>
      </c>
      <c r="F87" s="8">
        <f>IF(C87="","",IFERROR(C87*0.5/100,0))</f>
        <v/>
      </c>
      <c r="G87" s="8">
        <f>IF(C87="","",IFERROR(C87*0.98/100,0))</f>
        <v/>
      </c>
      <c r="H87" s="8">
        <f>IF(C87="","",IFERROR(C87*2.5/100,0))</f>
        <v/>
      </c>
      <c r="I87" s="8">
        <f>IF(C87="","",E87+F87+G87+H87)</f>
        <v/>
      </c>
      <c r="J87" s="8">
        <f>IF(OR(C87="",B87=""),"",IFERROR(I87/B87,0))</f>
        <v/>
      </c>
    </row>
    <row r="88">
      <c r="A88" s="4" t="n"/>
      <c r="B88" s="4" t="n"/>
      <c r="C88" s="5" t="n"/>
      <c r="D88" s="4" t="n"/>
      <c r="E88" s="5">
        <f>IF(C88="","",IFERROR(C88*D88/100,0))</f>
        <v/>
      </c>
      <c r="F88" s="5">
        <f>IF(C88="","",IFERROR(C88*0.5/100,0))</f>
        <v/>
      </c>
      <c r="G88" s="5">
        <f>IF(C88="","",IFERROR(C88*0.98/100,0))</f>
        <v/>
      </c>
      <c r="H88" s="5">
        <f>IF(C88="","",IFERROR(C88*2.5/100,0))</f>
        <v/>
      </c>
      <c r="I88" s="5">
        <f>IF(C88="","",E88+F88+G88+H88)</f>
        <v/>
      </c>
      <c r="J88" s="5">
        <f>IF(OR(C88="",B88=""),"",IFERROR(I88/B88,0))</f>
        <v/>
      </c>
    </row>
    <row r="89">
      <c r="A89" s="7" t="n"/>
      <c r="B89" s="7" t="n"/>
      <c r="C89" s="8" t="n"/>
      <c r="D89" s="7" t="n"/>
      <c r="E89" s="8">
        <f>IF(C89="","",IFERROR(C89*D89/100,0))</f>
        <v/>
      </c>
      <c r="F89" s="8">
        <f>IF(C89="","",IFERROR(C89*0.5/100,0))</f>
        <v/>
      </c>
      <c r="G89" s="8">
        <f>IF(C89="","",IFERROR(C89*0.98/100,0))</f>
        <v/>
      </c>
      <c r="H89" s="8">
        <f>IF(C89="","",IFERROR(C89*2.5/100,0))</f>
        <v/>
      </c>
      <c r="I89" s="8">
        <f>IF(C89="","",E89+F89+G89+H89)</f>
        <v/>
      </c>
      <c r="J89" s="8">
        <f>IF(OR(C89="",B89=""),"",IFERROR(I89/B89,0))</f>
        <v/>
      </c>
    </row>
    <row r="90">
      <c r="A90" s="4" t="n"/>
      <c r="B90" s="4" t="n"/>
      <c r="C90" s="5" t="n"/>
      <c r="D90" s="4" t="n"/>
      <c r="E90" s="5">
        <f>IF(C90="","",IFERROR(C90*D90/100,0))</f>
        <v/>
      </c>
      <c r="F90" s="5">
        <f>IF(C90="","",IFERROR(C90*0.5/100,0))</f>
        <v/>
      </c>
      <c r="G90" s="5">
        <f>IF(C90="","",IFERROR(C90*0.98/100,0))</f>
        <v/>
      </c>
      <c r="H90" s="5">
        <f>IF(C90="","",IFERROR(C90*2.5/100,0))</f>
        <v/>
      </c>
      <c r="I90" s="5">
        <f>IF(C90="","",E90+F90+G90+H90)</f>
        <v/>
      </c>
      <c r="J90" s="5">
        <f>IF(OR(C90="",B90=""),"",IFERROR(I90/B90,0))</f>
        <v/>
      </c>
    </row>
    <row r="91">
      <c r="A91" s="7" t="n"/>
      <c r="B91" s="7" t="n"/>
      <c r="C91" s="8" t="n"/>
      <c r="D91" s="7" t="n"/>
      <c r="E91" s="8">
        <f>IF(C91="","",IFERROR(C91*D91/100,0))</f>
        <v/>
      </c>
      <c r="F91" s="8">
        <f>IF(C91="","",IFERROR(C91*0.5/100,0))</f>
        <v/>
      </c>
      <c r="G91" s="8">
        <f>IF(C91="","",IFERROR(C91*0.98/100,0))</f>
        <v/>
      </c>
      <c r="H91" s="8">
        <f>IF(C91="","",IFERROR(C91*2.5/100,0))</f>
        <v/>
      </c>
      <c r="I91" s="8">
        <f>IF(C91="","",E91+F91+G91+H91)</f>
        <v/>
      </c>
      <c r="J91" s="8">
        <f>IF(OR(C91="",B91=""),"",IFERROR(I91/B91,0))</f>
        <v/>
      </c>
    </row>
    <row r="92">
      <c r="A92" s="4" t="n"/>
      <c r="B92" s="4" t="n"/>
      <c r="C92" s="5" t="n"/>
      <c r="D92" s="4" t="n"/>
      <c r="E92" s="5">
        <f>IF(C92="","",IFERROR(C92*D92/100,0))</f>
        <v/>
      </c>
      <c r="F92" s="5">
        <f>IF(C92="","",IFERROR(C92*0.5/100,0))</f>
        <v/>
      </c>
      <c r="G92" s="5">
        <f>IF(C92="","",IFERROR(C92*0.98/100,0))</f>
        <v/>
      </c>
      <c r="H92" s="5">
        <f>IF(C92="","",IFERROR(C92*2.5/100,0))</f>
        <v/>
      </c>
      <c r="I92" s="5">
        <f>IF(C92="","",E92+F92+G92+H92)</f>
        <v/>
      </c>
      <c r="J92" s="5">
        <f>IF(OR(C92="",B92=""),"",IFERROR(I92/B92,0))</f>
        <v/>
      </c>
    </row>
    <row r="93">
      <c r="A93" s="7" t="n"/>
      <c r="B93" s="7" t="n"/>
      <c r="C93" s="8" t="n"/>
      <c r="D93" s="7" t="n"/>
      <c r="E93" s="8">
        <f>IF(C93="","",IFERROR(C93*D93/100,0))</f>
        <v/>
      </c>
      <c r="F93" s="8">
        <f>IF(C93="","",IFERROR(C93*0.5/100,0))</f>
        <v/>
      </c>
      <c r="G93" s="8">
        <f>IF(C93="","",IFERROR(C93*0.98/100,0))</f>
        <v/>
      </c>
      <c r="H93" s="8">
        <f>IF(C93="","",IFERROR(C93*2.5/100,0))</f>
        <v/>
      </c>
      <c r="I93" s="8">
        <f>IF(C93="","",E93+F93+G93+H93)</f>
        <v/>
      </c>
      <c r="J93" s="8">
        <f>IF(OR(C93="",B93=""),"",IFERROR(I93/B93,0))</f>
        <v/>
      </c>
    </row>
    <row r="94">
      <c r="A94" s="4" t="n"/>
      <c r="B94" s="4" t="n"/>
      <c r="C94" s="5" t="n"/>
      <c r="D94" s="4" t="n"/>
      <c r="E94" s="5">
        <f>IF(C94="","",IFERROR(C94*D94/100,0))</f>
        <v/>
      </c>
      <c r="F94" s="5">
        <f>IF(C94="","",IFERROR(C94*0.5/100,0))</f>
        <v/>
      </c>
      <c r="G94" s="5">
        <f>IF(C94="","",IFERROR(C94*0.98/100,0))</f>
        <v/>
      </c>
      <c r="H94" s="5">
        <f>IF(C94="","",IFERROR(C94*2.5/100,0))</f>
        <v/>
      </c>
      <c r="I94" s="5">
        <f>IF(C94="","",E94+F94+G94+H94)</f>
        <v/>
      </c>
      <c r="J94" s="5">
        <f>IF(OR(C94="",B94=""),"",IFERROR(I94/B94,0))</f>
        <v/>
      </c>
    </row>
    <row r="95">
      <c r="A95" s="7" t="n"/>
      <c r="B95" s="7" t="n"/>
      <c r="C95" s="8" t="n"/>
      <c r="D95" s="7" t="n"/>
      <c r="E95" s="8">
        <f>IF(C95="","",IFERROR(C95*D95/100,0))</f>
        <v/>
      </c>
      <c r="F95" s="8">
        <f>IF(C95="","",IFERROR(C95*0.5/100,0))</f>
        <v/>
      </c>
      <c r="G95" s="8">
        <f>IF(C95="","",IFERROR(C95*0.98/100,0))</f>
        <v/>
      </c>
      <c r="H95" s="8">
        <f>IF(C95="","",IFERROR(C95*2.5/100,0))</f>
        <v/>
      </c>
      <c r="I95" s="8">
        <f>IF(C95="","",E95+F95+G95+H95)</f>
        <v/>
      </c>
      <c r="J95" s="8">
        <f>IF(OR(C95="",B95=""),"",IFERROR(I95/B95,0))</f>
        <v/>
      </c>
    </row>
    <row r="96">
      <c r="A96" s="4" t="n"/>
      <c r="B96" s="4" t="n"/>
      <c r="C96" s="5" t="n"/>
      <c r="D96" s="4" t="n"/>
      <c r="E96" s="5">
        <f>IF(C96="","",IFERROR(C96*D96/100,0))</f>
        <v/>
      </c>
      <c r="F96" s="5">
        <f>IF(C96="","",IFERROR(C96*0.5/100,0))</f>
        <v/>
      </c>
      <c r="G96" s="5">
        <f>IF(C96="","",IFERROR(C96*0.98/100,0))</f>
        <v/>
      </c>
      <c r="H96" s="5">
        <f>IF(C96="","",IFERROR(C96*2.5/100,0))</f>
        <v/>
      </c>
      <c r="I96" s="5">
        <f>IF(C96="","",E96+F96+G96+H96)</f>
        <v/>
      </c>
      <c r="J96" s="5">
        <f>IF(OR(C96="",B96=""),"",IFERROR(I96/B96,0))</f>
        <v/>
      </c>
    </row>
    <row r="97">
      <c r="A97" s="7" t="n"/>
      <c r="B97" s="7" t="n"/>
      <c r="C97" s="8" t="n"/>
      <c r="D97" s="7" t="n"/>
      <c r="E97" s="8">
        <f>IF(C97="","",IFERROR(C97*D97/100,0))</f>
        <v/>
      </c>
      <c r="F97" s="8">
        <f>IF(C97="","",IFERROR(C97*0.5/100,0))</f>
        <v/>
      </c>
      <c r="G97" s="8">
        <f>IF(C97="","",IFERROR(C97*0.98/100,0))</f>
        <v/>
      </c>
      <c r="H97" s="8">
        <f>IF(C97="","",IFERROR(C97*2.5/100,0))</f>
        <v/>
      </c>
      <c r="I97" s="8">
        <f>IF(C97="","",E97+F97+G97+H97)</f>
        <v/>
      </c>
      <c r="J97" s="8">
        <f>IF(OR(C97="",B97=""),"",IFERROR(I97/B97,0))</f>
        <v/>
      </c>
    </row>
    <row r="98">
      <c r="A98" s="4" t="n"/>
      <c r="B98" s="4" t="n"/>
      <c r="C98" s="5" t="n"/>
      <c r="D98" s="4" t="n"/>
      <c r="E98" s="5">
        <f>IF(C98="","",IFERROR(C98*D98/100,0))</f>
        <v/>
      </c>
      <c r="F98" s="5">
        <f>IF(C98="","",IFERROR(C98*0.5/100,0))</f>
        <v/>
      </c>
      <c r="G98" s="5">
        <f>IF(C98="","",IFERROR(C98*0.98/100,0))</f>
        <v/>
      </c>
      <c r="H98" s="5">
        <f>IF(C98="","",IFERROR(C98*2.5/100,0))</f>
        <v/>
      </c>
      <c r="I98" s="5">
        <f>IF(C98="","",E98+F98+G98+H98)</f>
        <v/>
      </c>
      <c r="J98" s="5">
        <f>IF(OR(C98="",B98=""),"",IFERROR(I98/B98,0))</f>
        <v/>
      </c>
    </row>
    <row r="99">
      <c r="A99" s="7" t="n"/>
      <c r="B99" s="7" t="n"/>
      <c r="C99" s="8" t="n"/>
      <c r="D99" s="7" t="n"/>
      <c r="E99" s="8">
        <f>IF(C99="","",IFERROR(C99*D99/100,0))</f>
        <v/>
      </c>
      <c r="F99" s="8">
        <f>IF(C99="","",IFERROR(C99*0.5/100,0))</f>
        <v/>
      </c>
      <c r="G99" s="8">
        <f>IF(C99="","",IFERROR(C99*0.98/100,0))</f>
        <v/>
      </c>
      <c r="H99" s="8">
        <f>IF(C99="","",IFERROR(C99*2.5/100,0))</f>
        <v/>
      </c>
      <c r="I99" s="8">
        <f>IF(C99="","",E99+F99+G99+H99)</f>
        <v/>
      </c>
      <c r="J99" s="8">
        <f>IF(OR(C99="",B99=""),"",IFERROR(I99/B99,0))</f>
        <v/>
      </c>
    </row>
    <row r="100">
      <c r="A100" s="4" t="n"/>
      <c r="B100" s="4" t="n"/>
      <c r="C100" s="5" t="n"/>
      <c r="D100" s="4" t="n"/>
      <c r="E100" s="5">
        <f>IF(C100="","",IFERROR(C100*D100/100,0))</f>
        <v/>
      </c>
      <c r="F100" s="5">
        <f>IF(C100="","",IFERROR(C100*0.5/100,0))</f>
        <v/>
      </c>
      <c r="G100" s="5">
        <f>IF(C100="","",IFERROR(C100*0.98/100,0))</f>
        <v/>
      </c>
      <c r="H100" s="5">
        <f>IF(C100="","",IFERROR(C100*2.5/100,0))</f>
        <v/>
      </c>
      <c r="I100" s="5">
        <f>IF(C100="","",E100+F100+G100+H100)</f>
        <v/>
      </c>
      <c r="J100" s="5">
        <f>IF(OR(C100="",B100=""),"",IFERROR(I100/B100,0))</f>
        <v/>
      </c>
    </row>
    <row r="101">
      <c r="A101" s="7" t="n"/>
      <c r="B101" s="7" t="n"/>
      <c r="C101" s="8" t="n"/>
      <c r="D101" s="7" t="n"/>
      <c r="E101" s="8">
        <f>IF(C101="","",IFERROR(C101*D101/100,0))</f>
        <v/>
      </c>
      <c r="F101" s="8">
        <f>IF(C101="","",IFERROR(C101*0.5/100,0))</f>
        <v/>
      </c>
      <c r="G101" s="8">
        <f>IF(C101="","",IFERROR(C101*0.98/100,0))</f>
        <v/>
      </c>
      <c r="H101" s="8">
        <f>IF(C101="","",IFERROR(C101*2.5/100,0))</f>
        <v/>
      </c>
      <c r="I101" s="8">
        <f>IF(C101="","",E101+F101+G101+H101)</f>
        <v/>
      </c>
      <c r="J101" s="8">
        <f>IF(OR(C101="",B101=""),"",IFERROR(I101/B101,0))</f>
        <v/>
      </c>
    </row>
    <row r="102">
      <c r="A102" s="4" t="n"/>
      <c r="B102" s="4" t="n"/>
      <c r="C102" s="5" t="n"/>
      <c r="D102" s="4" t="n"/>
      <c r="E102" s="5">
        <f>IF(C102="","",IFERROR(C102*D102/100,0))</f>
        <v/>
      </c>
      <c r="F102" s="5">
        <f>IF(C102="","",IFERROR(C102*0.5/100,0))</f>
        <v/>
      </c>
      <c r="G102" s="5">
        <f>IF(C102="","",IFERROR(C102*0.98/100,0))</f>
        <v/>
      </c>
      <c r="H102" s="5">
        <f>IF(C102="","",IFERROR(C102*2.5/100,0))</f>
        <v/>
      </c>
      <c r="I102" s="5">
        <f>IF(C102="","",E102+F102+G102+H102)</f>
        <v/>
      </c>
      <c r="J102" s="5">
        <f>IF(OR(C102="",B102=""),"",IFERROR(I102/B102,0))</f>
        <v/>
      </c>
    </row>
    <row r="103">
      <c r="A103" s="7" t="n"/>
      <c r="B103" s="7" t="n"/>
      <c r="C103" s="8" t="n"/>
      <c r="D103" s="7" t="n"/>
      <c r="E103" s="8">
        <f>IF(C103="","",IFERROR(C103*D103/100,0))</f>
        <v/>
      </c>
      <c r="F103" s="8">
        <f>IF(C103="","",IFERROR(C103*0.5/100,0))</f>
        <v/>
      </c>
      <c r="G103" s="8">
        <f>IF(C103="","",IFERROR(C103*0.98/100,0))</f>
        <v/>
      </c>
      <c r="H103" s="8">
        <f>IF(C103="","",IFERROR(C103*2.5/100,0))</f>
        <v/>
      </c>
      <c r="I103" s="8">
        <f>IF(C103="","",E103+F103+G103+H103)</f>
        <v/>
      </c>
      <c r="J103" s="8">
        <f>IF(OR(C103="",B103=""),"",IFERROR(I103/B103,0))</f>
        <v/>
      </c>
    </row>
    <row r="104">
      <c r="A104" s="4" t="n"/>
      <c r="B104" s="4" t="n"/>
      <c r="C104" s="5" t="n"/>
      <c r="D104" s="4" t="n"/>
      <c r="E104" s="5">
        <f>IF(C104="","",IFERROR(C104*D104/100,0))</f>
        <v/>
      </c>
      <c r="F104" s="5">
        <f>IF(C104="","",IFERROR(C104*0.5/100,0))</f>
        <v/>
      </c>
      <c r="G104" s="5">
        <f>IF(C104="","",IFERROR(C104*0.98/100,0))</f>
        <v/>
      </c>
      <c r="H104" s="5">
        <f>IF(C104="","",IFERROR(C104*2.5/100,0))</f>
        <v/>
      </c>
      <c r="I104" s="5">
        <f>IF(C104="","",E104+F104+G104+H104)</f>
        <v/>
      </c>
      <c r="J104" s="5">
        <f>IF(OR(C104="",B104=""),"",IFERROR(I104/B104,0))</f>
        <v/>
      </c>
    </row>
    <row r="105">
      <c r="A105" s="7" t="n"/>
      <c r="B105" s="7" t="n"/>
      <c r="C105" s="8" t="n"/>
      <c r="D105" s="7" t="n"/>
      <c r="E105" s="8">
        <f>IF(C105="","",IFERROR(C105*D105/100,0))</f>
        <v/>
      </c>
      <c r="F105" s="8">
        <f>IF(C105="","",IFERROR(C105*0.5/100,0))</f>
        <v/>
      </c>
      <c r="G105" s="8">
        <f>IF(C105="","",IFERROR(C105*0.98/100,0))</f>
        <v/>
      </c>
      <c r="H105" s="8">
        <f>IF(C105="","",IFERROR(C105*2.5/100,0))</f>
        <v/>
      </c>
      <c r="I105" s="8">
        <f>IF(C105="","",E105+F105+G105+H105)</f>
        <v/>
      </c>
      <c r="J105" s="8">
        <f>IF(OR(C105="",B105=""),"",IFERROR(I105/B105,0))</f>
        <v/>
      </c>
    </row>
    <row r="106">
      <c r="A106" s="4" t="n"/>
      <c r="B106" s="4" t="n"/>
      <c r="C106" s="5" t="n"/>
      <c r="D106" s="4" t="n"/>
      <c r="E106" s="5">
        <f>IF(C106="","",IFERROR(C106*D106/100,0))</f>
        <v/>
      </c>
      <c r="F106" s="5">
        <f>IF(C106="","",IFERROR(C106*0.5/100,0))</f>
        <v/>
      </c>
      <c r="G106" s="5">
        <f>IF(C106="","",IFERROR(C106*0.98/100,0))</f>
        <v/>
      </c>
      <c r="H106" s="5">
        <f>IF(C106="","",IFERROR(C106*2.5/100,0))</f>
        <v/>
      </c>
      <c r="I106" s="5">
        <f>IF(C106="","",E106+F106+G106+H106)</f>
        <v/>
      </c>
      <c r="J106" s="5">
        <f>IF(OR(C106="",B106=""),"",IFERROR(I106/B106,0))</f>
        <v/>
      </c>
    </row>
    <row r="107">
      <c r="A107" s="7" t="n"/>
      <c r="B107" s="7" t="n"/>
      <c r="C107" s="8" t="n"/>
      <c r="D107" s="7" t="n"/>
      <c r="E107" s="8">
        <f>IF(C107="","",IFERROR(C107*D107/100,0))</f>
        <v/>
      </c>
      <c r="F107" s="8">
        <f>IF(C107="","",IFERROR(C107*0.5/100,0))</f>
        <v/>
      </c>
      <c r="G107" s="8">
        <f>IF(C107="","",IFERROR(C107*0.98/100,0))</f>
        <v/>
      </c>
      <c r="H107" s="8">
        <f>IF(C107="","",IFERROR(C107*2.5/100,0))</f>
        <v/>
      </c>
      <c r="I107" s="8">
        <f>IF(C107="","",E107+F107+G107+H107)</f>
        <v/>
      </c>
      <c r="J107" s="8">
        <f>IF(OR(C107="",B107=""),"",IFERROR(I107/B107,0))</f>
        <v/>
      </c>
    </row>
    <row r="108">
      <c r="A108" s="4" t="n"/>
      <c r="B108" s="4" t="n"/>
      <c r="C108" s="5" t="n"/>
      <c r="D108" s="4" t="n"/>
      <c r="E108" s="5">
        <f>IF(C108="","",IFERROR(C108*D108/100,0))</f>
        <v/>
      </c>
      <c r="F108" s="5">
        <f>IF(C108="","",IFERROR(C108*0.5/100,0))</f>
        <v/>
      </c>
      <c r="G108" s="5">
        <f>IF(C108="","",IFERROR(C108*0.98/100,0))</f>
        <v/>
      </c>
      <c r="H108" s="5">
        <f>IF(C108="","",IFERROR(C108*2.5/100,0))</f>
        <v/>
      </c>
      <c r="I108" s="5">
        <f>IF(C108="","",E108+F108+G108+H108)</f>
        <v/>
      </c>
      <c r="J108" s="5">
        <f>IF(OR(C108="",B108=""),"",IFERROR(I108/B108,0))</f>
        <v/>
      </c>
    </row>
    <row r="109">
      <c r="A109" s="7" t="n"/>
      <c r="B109" s="7" t="n"/>
      <c r="C109" s="8" t="n"/>
      <c r="D109" s="7" t="n"/>
      <c r="E109" s="8">
        <f>IF(C109="","",IFERROR(C109*D109/100,0))</f>
        <v/>
      </c>
      <c r="F109" s="8">
        <f>IF(C109="","",IFERROR(C109*0.5/100,0))</f>
        <v/>
      </c>
      <c r="G109" s="8">
        <f>IF(C109="","",IFERROR(C109*0.98/100,0))</f>
        <v/>
      </c>
      <c r="H109" s="8">
        <f>IF(C109="","",IFERROR(C109*2.5/100,0))</f>
        <v/>
      </c>
      <c r="I109" s="8">
        <f>IF(C109="","",E109+F109+G109+H109)</f>
        <v/>
      </c>
      <c r="J109" s="8">
        <f>IF(OR(C109="",B109=""),"",IFERROR(I109/B109,0))</f>
        <v/>
      </c>
    </row>
    <row r="110">
      <c r="A110" s="4" t="n"/>
      <c r="B110" s="4" t="n"/>
      <c r="C110" s="5" t="n"/>
      <c r="D110" s="4" t="n"/>
      <c r="E110" s="5">
        <f>IF(C110="","",IFERROR(C110*D110/100,0))</f>
        <v/>
      </c>
      <c r="F110" s="5">
        <f>IF(C110="","",IFERROR(C110*0.5/100,0))</f>
        <v/>
      </c>
      <c r="G110" s="5">
        <f>IF(C110="","",IFERROR(C110*0.98/100,0))</f>
        <v/>
      </c>
      <c r="H110" s="5">
        <f>IF(C110="","",IFERROR(C110*2.5/100,0))</f>
        <v/>
      </c>
      <c r="I110" s="5">
        <f>IF(C110="","",E110+F110+G110+H110)</f>
        <v/>
      </c>
      <c r="J110" s="5">
        <f>IF(OR(C110="",B110=""),"",IFERROR(I110/B110,0))</f>
        <v/>
      </c>
    </row>
    <row r="111">
      <c r="A111" s="7" t="n"/>
      <c r="B111" s="7" t="n"/>
      <c r="C111" s="8" t="n"/>
      <c r="D111" s="7" t="n"/>
      <c r="E111" s="8">
        <f>IF(C111="","",IFERROR(C111*D111/100,0))</f>
        <v/>
      </c>
      <c r="F111" s="8">
        <f>IF(C111="","",IFERROR(C111*0.5/100,0))</f>
        <v/>
      </c>
      <c r="G111" s="8">
        <f>IF(C111="","",IFERROR(C111*0.98/100,0))</f>
        <v/>
      </c>
      <c r="H111" s="8">
        <f>IF(C111="","",IFERROR(C111*2.5/100,0))</f>
        <v/>
      </c>
      <c r="I111" s="8">
        <f>IF(C111="","",E111+F111+G111+H111)</f>
        <v/>
      </c>
      <c r="J111" s="8">
        <f>IF(OR(C111="",B111=""),"",IFERROR(I111/B111,0))</f>
        <v/>
      </c>
    </row>
    <row r="112">
      <c r="A112" s="4" t="n"/>
      <c r="B112" s="4" t="n"/>
      <c r="C112" s="5" t="n"/>
      <c r="D112" s="4" t="n"/>
      <c r="E112" s="5">
        <f>IF(C112="","",IFERROR(C112*D112/100,0))</f>
        <v/>
      </c>
      <c r="F112" s="5">
        <f>IF(C112="","",IFERROR(C112*0.5/100,0))</f>
        <v/>
      </c>
      <c r="G112" s="5">
        <f>IF(C112="","",IFERROR(C112*0.98/100,0))</f>
        <v/>
      </c>
      <c r="H112" s="5">
        <f>IF(C112="","",IFERROR(C112*2.5/100,0))</f>
        <v/>
      </c>
      <c r="I112" s="5">
        <f>IF(C112="","",E112+F112+G112+H112)</f>
        <v/>
      </c>
      <c r="J112" s="5">
        <f>IF(OR(C112="",B112=""),"",IFERROR(I112/B112,0))</f>
        <v/>
      </c>
    </row>
    <row r="113">
      <c r="A113" s="7" t="n"/>
      <c r="B113" s="7" t="n"/>
      <c r="C113" s="8" t="n"/>
      <c r="D113" s="7" t="n"/>
      <c r="E113" s="8">
        <f>IF(C113="","",IFERROR(C113*D113/100,0))</f>
        <v/>
      </c>
      <c r="F113" s="8">
        <f>IF(C113="","",IFERROR(C113*0.5/100,0))</f>
        <v/>
      </c>
      <c r="G113" s="8">
        <f>IF(C113="","",IFERROR(C113*0.98/100,0))</f>
        <v/>
      </c>
      <c r="H113" s="8">
        <f>IF(C113="","",IFERROR(C113*2.5/100,0))</f>
        <v/>
      </c>
      <c r="I113" s="8">
        <f>IF(C113="","",E113+F113+G113+H113)</f>
        <v/>
      </c>
      <c r="J113" s="8">
        <f>IF(OR(C113="",B113=""),"",IFERROR(I113/B113,0))</f>
        <v/>
      </c>
    </row>
    <row r="114">
      <c r="A114" s="4" t="n"/>
      <c r="B114" s="4" t="n"/>
      <c r="C114" s="5" t="n"/>
      <c r="D114" s="4" t="n"/>
      <c r="E114" s="5">
        <f>IF(C114="","",IFERROR(C114*D114/100,0))</f>
        <v/>
      </c>
      <c r="F114" s="5">
        <f>IF(C114="","",IFERROR(C114*0.5/100,0))</f>
        <v/>
      </c>
      <c r="G114" s="5">
        <f>IF(C114="","",IFERROR(C114*0.98/100,0))</f>
        <v/>
      </c>
      <c r="H114" s="5">
        <f>IF(C114="","",IFERROR(C114*2.5/100,0))</f>
        <v/>
      </c>
      <c r="I114" s="5">
        <f>IF(C114="","",E114+F114+G114+H114)</f>
        <v/>
      </c>
      <c r="J114" s="5">
        <f>IF(OR(C114="",B114=""),"",IFERROR(I114/B114,0))</f>
        <v/>
      </c>
    </row>
    <row r="115">
      <c r="A115" s="7" t="n"/>
      <c r="B115" s="7" t="n"/>
      <c r="C115" s="8" t="n"/>
      <c r="D115" s="7" t="n"/>
      <c r="E115" s="8">
        <f>IF(C115="","",IFERROR(C115*D115/100,0))</f>
        <v/>
      </c>
      <c r="F115" s="8">
        <f>IF(C115="","",IFERROR(C115*0.5/100,0))</f>
        <v/>
      </c>
      <c r="G115" s="8">
        <f>IF(C115="","",IFERROR(C115*0.98/100,0))</f>
        <v/>
      </c>
      <c r="H115" s="8">
        <f>IF(C115="","",IFERROR(C115*2.5/100,0))</f>
        <v/>
      </c>
      <c r="I115" s="8">
        <f>IF(C115="","",E115+F115+G115+H115)</f>
        <v/>
      </c>
      <c r="J115" s="8">
        <f>IF(OR(C115="",B115=""),"",IFERROR(I115/B115,0))</f>
        <v/>
      </c>
    </row>
  </sheetData>
  <mergeCells count="2">
    <mergeCell ref="A3:P3"/>
    <mergeCell ref="A2:P2"/>
  </mergeCells>
  <dataValidations count="1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_Lists'!$S$6:$S$35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949AB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10" customWidth="1" min="4" max="4"/>
    <col width="18" customWidth="1" min="5" max="5"/>
    <col width="22" customWidth="1" min="6" max="6"/>
    <col width="20" customWidth="1" min="7" max="7"/>
    <col width="18" customWidth="1" min="8" max="8"/>
    <col width="10" customWidth="1" min="9" max="9"/>
    <col width="14" customWidth="1" min="10" max="10"/>
  </cols>
  <sheetData>
    <row r="2" ht="25" customHeight="1">
      <c r="A2" s="1" t="inlineStr">
        <is>
          <t>DOMAINE 26 — 6-ÉPARGNE SALARIALE (PEE/PEREI/Participation/Intéressement)</t>
        </is>
      </c>
    </row>
    <row r="3" ht="18" customHeight="1">
      <c r="A3" s="2" t="inlineStr">
        <is>
          <t>TABLEAU DYNAMIQUE — Dispositifs d'épargne et impacts fiscaux</t>
        </is>
      </c>
    </row>
    <row r="5">
      <c r="A5" s="3" t="inlineStr">
        <is>
          <t>Dispositif</t>
        </is>
      </c>
      <c r="B5" s="3" t="inlineStr">
        <is>
          <t>Nb Bénéficiaires</t>
        </is>
      </c>
      <c r="C5" s="3" t="inlineStr">
        <is>
          <t>Base de Calcul (FCFA)</t>
        </is>
      </c>
      <c r="D5" s="3" t="inlineStr">
        <is>
          <t>Taux (%)</t>
        </is>
      </c>
      <c r="E5" s="3" t="inlineStr">
        <is>
          <t>Montant Brut (FCFA)</t>
        </is>
      </c>
      <c r="F5" s="3" t="inlineStr">
        <is>
          <t>Cotisation Employeur (FCFA)</t>
        </is>
      </c>
      <c r="G5" s="3" t="inlineStr">
        <is>
          <t>Avantage Fiscal (FCFA)</t>
        </is>
      </c>
      <c r="H5" s="3" t="inlineStr">
        <is>
          <t>Coût Net (FCFA)</t>
        </is>
      </c>
      <c r="I5" s="3" t="inlineStr">
        <is>
          <t>Exercice</t>
        </is>
      </c>
      <c r="J5" s="3" t="inlineStr">
        <is>
          <t>Statut</t>
        </is>
      </c>
    </row>
    <row r="6">
      <c r="A6" s="4" t="inlineStr">
        <is>
          <t>PEE (Plan Épargne Entreprise)</t>
        </is>
      </c>
      <c r="B6" s="4" t="n">
        <v>80</v>
      </c>
      <c r="C6" s="5" t="n">
        <v>128500000</v>
      </c>
      <c r="D6" s="4" t="n">
        <v>3</v>
      </c>
      <c r="E6" s="5">
        <f>IFERROR(C6*D6/100,0)</f>
        <v/>
      </c>
      <c r="F6" s="5">
        <f>IFERROR(E6*0.6,0)</f>
        <v/>
      </c>
      <c r="G6" s="5">
        <f>IFERROR(E6*0.25,0)</f>
        <v/>
      </c>
      <c r="H6" s="5">
        <f>F6-G6</f>
        <v/>
      </c>
      <c r="I6" s="4" t="n">
        <v>2025</v>
      </c>
      <c r="J6" s="4" t="inlineStr">
        <is>
          <t>Actif</t>
        </is>
      </c>
    </row>
    <row r="7">
      <c r="A7" s="7" t="inlineStr">
        <is>
          <t>PEREI</t>
        </is>
      </c>
      <c r="B7" s="7" t="n">
        <v>60</v>
      </c>
      <c r="C7" s="8" t="n">
        <v>96000000</v>
      </c>
      <c r="D7" s="7" t="n">
        <v>2</v>
      </c>
      <c r="E7" s="8">
        <f>IFERROR(C7*D7/100,0)</f>
        <v/>
      </c>
      <c r="F7" s="8">
        <f>IFERROR(E7*0.6,0)</f>
        <v/>
      </c>
      <c r="G7" s="8">
        <f>IFERROR(E7*0.25,0)</f>
        <v/>
      </c>
      <c r="H7" s="8">
        <f>F7-G7</f>
        <v/>
      </c>
      <c r="I7" s="7" t="n">
        <v>2025</v>
      </c>
      <c r="J7" s="7" t="inlineStr">
        <is>
          <t>Actif</t>
        </is>
      </c>
    </row>
    <row r="8">
      <c r="A8" s="4" t="inlineStr">
        <is>
          <t>Participation aux résultats</t>
        </is>
      </c>
      <c r="B8" s="4" t="n">
        <v>120</v>
      </c>
      <c r="C8" s="5" t="n">
        <v>256000000</v>
      </c>
      <c r="D8" s="4" t="n">
        <v>5</v>
      </c>
      <c r="E8" s="5">
        <f>IFERROR(C8*D8/100,0)</f>
        <v/>
      </c>
      <c r="F8" s="5">
        <f>IFERROR(E8*0.6,0)</f>
        <v/>
      </c>
      <c r="G8" s="5">
        <f>IFERROR(E8*0.25,0)</f>
        <v/>
      </c>
      <c r="H8" s="5">
        <f>F8-G8</f>
        <v/>
      </c>
      <c r="I8" s="4" t="n">
        <v>2025</v>
      </c>
      <c r="J8" s="4" t="inlineStr">
        <is>
          <t>En cours</t>
        </is>
      </c>
    </row>
    <row r="9">
      <c r="A9" s="7" t="inlineStr">
        <is>
          <t>Intéressement</t>
        </is>
      </c>
      <c r="B9" s="7" t="n">
        <v>100</v>
      </c>
      <c r="C9" s="8" t="n">
        <v>200000000</v>
      </c>
      <c r="D9" s="7" t="n">
        <v>4</v>
      </c>
      <c r="E9" s="8">
        <f>IFERROR(C9*D9/100,0)</f>
        <v/>
      </c>
      <c r="F9" s="8">
        <f>IFERROR(E9*0.6,0)</f>
        <v/>
      </c>
      <c r="G9" s="8">
        <f>IFERROR(E9*0.25,0)</f>
        <v/>
      </c>
      <c r="H9" s="8">
        <f>F9-G9</f>
        <v/>
      </c>
      <c r="I9" s="7" t="n">
        <v>2025</v>
      </c>
      <c r="J9" s="7" t="inlineStr">
        <is>
          <t>Actif</t>
        </is>
      </c>
    </row>
    <row r="10">
      <c r="A10" s="4" t="inlineStr">
        <is>
          <t>Abondement PEE</t>
        </is>
      </c>
      <c r="B10" s="4" t="n">
        <v>50</v>
      </c>
      <c r="C10" s="5" t="n">
        <v>40000000</v>
      </c>
      <c r="D10" s="4" t="n">
        <v>50</v>
      </c>
      <c r="E10" s="5">
        <f>IFERROR(C10*D10/100,0)</f>
        <v/>
      </c>
      <c r="F10" s="5">
        <f>IFERROR(E10*0.6,0)</f>
        <v/>
      </c>
      <c r="G10" s="5">
        <f>IFERROR(E10*0.25,0)</f>
        <v/>
      </c>
      <c r="H10" s="5">
        <f>F10-G10</f>
        <v/>
      </c>
      <c r="I10" s="4" t="n">
        <v>2025</v>
      </c>
      <c r="J10" s="4" t="inlineStr">
        <is>
          <t>Actif</t>
        </is>
      </c>
    </row>
    <row r="11">
      <c r="A11" s="7" t="inlineStr">
        <is>
          <t>Abondement PEREI</t>
        </is>
      </c>
      <c r="B11" s="7" t="n">
        <v>30</v>
      </c>
      <c r="C11" s="8" t="n">
        <v>24000000</v>
      </c>
      <c r="D11" s="7" t="n">
        <v>50</v>
      </c>
      <c r="E11" s="8">
        <f>IFERROR(C11*D11/100,0)</f>
        <v/>
      </c>
      <c r="F11" s="8">
        <f>IFERROR(E11*0.6,0)</f>
        <v/>
      </c>
      <c r="G11" s="8">
        <f>IFERROR(E11*0.25,0)</f>
        <v/>
      </c>
      <c r="H11" s="8">
        <f>F11-G11</f>
        <v/>
      </c>
      <c r="I11" s="7" t="n">
        <v>2025</v>
      </c>
      <c r="J11" s="7" t="inlineStr">
        <is>
          <t>Actif</t>
        </is>
      </c>
    </row>
    <row r="12">
      <c r="A12" s="4" t="n"/>
      <c r="B12" s="4" t="n"/>
      <c r="C12" s="5" t="n"/>
      <c r="D12" s="4" t="n"/>
      <c r="E12" s="5">
        <f>IF(C12="","",IFERROR(C12*D12/100,0))</f>
        <v/>
      </c>
      <c r="F12" s="5">
        <f>IF(C12="","",IFERROR(E12*0.6,0))</f>
        <v/>
      </c>
      <c r="G12" s="5">
        <f>IF(C12="","",IFERROR(E12*0.25,0))</f>
        <v/>
      </c>
      <c r="H12" s="5">
        <f>IF(C12="","",F12-G12)</f>
        <v/>
      </c>
      <c r="I12" s="4" t="n"/>
      <c r="J12" s="4" t="n"/>
    </row>
    <row r="13">
      <c r="A13" s="7" t="n"/>
      <c r="B13" s="7" t="n"/>
      <c r="C13" s="8" t="n"/>
      <c r="D13" s="7" t="n"/>
      <c r="E13" s="8">
        <f>IF(C13="","",IFERROR(C13*D13/100,0))</f>
        <v/>
      </c>
      <c r="F13" s="8">
        <f>IF(C13="","",IFERROR(E13*0.6,0))</f>
        <v/>
      </c>
      <c r="G13" s="8">
        <f>IF(C13="","",IFERROR(E13*0.25,0))</f>
        <v/>
      </c>
      <c r="H13" s="8">
        <f>IF(C13="","",F13-G13)</f>
        <v/>
      </c>
      <c r="I13" s="7" t="n"/>
      <c r="J13" s="7" t="n"/>
    </row>
    <row r="14">
      <c r="A14" s="4" t="n"/>
      <c r="B14" s="4" t="n"/>
      <c r="C14" s="5" t="n"/>
      <c r="D14" s="4" t="n"/>
      <c r="E14" s="5">
        <f>IF(C14="","",IFERROR(C14*D14/100,0))</f>
        <v/>
      </c>
      <c r="F14" s="5">
        <f>IF(C14="","",IFERROR(E14*0.6,0))</f>
        <v/>
      </c>
      <c r="G14" s="5">
        <f>IF(C14="","",IFERROR(E14*0.25,0))</f>
        <v/>
      </c>
      <c r="H14" s="5">
        <f>IF(C14="","",F14-G14)</f>
        <v/>
      </c>
      <c r="I14" s="4" t="n"/>
      <c r="J14" s="4" t="n"/>
    </row>
    <row r="15">
      <c r="A15" s="7" t="n"/>
      <c r="B15" s="7" t="n"/>
      <c r="C15" s="8" t="n"/>
      <c r="D15" s="7" t="n"/>
      <c r="E15" s="8">
        <f>IF(C15="","",IFERROR(C15*D15/100,0))</f>
        <v/>
      </c>
      <c r="F15" s="8">
        <f>IF(C15="","",IFERROR(E15*0.6,0))</f>
        <v/>
      </c>
      <c r="G15" s="8">
        <f>IF(C15="","",IFERROR(E15*0.25,0))</f>
        <v/>
      </c>
      <c r="H15" s="8">
        <f>IF(C15="","",F15-G15)</f>
        <v/>
      </c>
      <c r="I15" s="7" t="n"/>
      <c r="J15" s="7" t="n"/>
    </row>
    <row r="16">
      <c r="A16" s="4" t="n"/>
      <c r="B16" s="4" t="n"/>
      <c r="C16" s="5" t="n"/>
      <c r="D16" s="4" t="n"/>
      <c r="E16" s="5">
        <f>IF(C16="","",IFERROR(C16*D16/100,0))</f>
        <v/>
      </c>
      <c r="F16" s="5">
        <f>IF(C16="","",IFERROR(E16*0.6,0))</f>
        <v/>
      </c>
      <c r="G16" s="5">
        <f>IF(C16="","",IFERROR(E16*0.25,0))</f>
        <v/>
      </c>
      <c r="H16" s="5">
        <f>IF(C16="","",F16-G16)</f>
        <v/>
      </c>
      <c r="I16" s="4" t="n"/>
      <c r="J16" s="4" t="n"/>
    </row>
    <row r="17">
      <c r="A17" s="7" t="n"/>
      <c r="B17" s="7" t="n"/>
      <c r="C17" s="8" t="n"/>
      <c r="D17" s="7" t="n"/>
      <c r="E17" s="8">
        <f>IF(C17="","",IFERROR(C17*D17/100,0))</f>
        <v/>
      </c>
      <c r="F17" s="8">
        <f>IF(C17="","",IFERROR(E17*0.6,0))</f>
        <v/>
      </c>
      <c r="G17" s="8">
        <f>IF(C17="","",IFERROR(E17*0.25,0))</f>
        <v/>
      </c>
      <c r="H17" s="8">
        <f>IF(C17="","",F17-G17)</f>
        <v/>
      </c>
      <c r="I17" s="7" t="n"/>
      <c r="J17" s="7" t="n"/>
    </row>
    <row r="18">
      <c r="A18" s="4" t="n"/>
      <c r="B18" s="4" t="n"/>
      <c r="C18" s="5" t="n"/>
      <c r="D18" s="4" t="n"/>
      <c r="E18" s="5">
        <f>IF(C18="","",IFERROR(C18*D18/100,0))</f>
        <v/>
      </c>
      <c r="F18" s="5">
        <f>IF(C18="","",IFERROR(E18*0.6,0))</f>
        <v/>
      </c>
      <c r="G18" s="5">
        <f>IF(C18="","",IFERROR(E18*0.25,0))</f>
        <v/>
      </c>
      <c r="H18" s="5">
        <f>IF(C18="","",F18-G18)</f>
        <v/>
      </c>
      <c r="I18" s="4" t="n"/>
      <c r="J18" s="4" t="n"/>
    </row>
    <row r="19">
      <c r="A19" s="7" t="n"/>
      <c r="B19" s="7" t="n"/>
      <c r="C19" s="8" t="n"/>
      <c r="D19" s="7" t="n"/>
      <c r="E19" s="8">
        <f>IF(C19="","",IFERROR(C19*D19/100,0))</f>
        <v/>
      </c>
      <c r="F19" s="8">
        <f>IF(C19="","",IFERROR(E19*0.6,0))</f>
        <v/>
      </c>
      <c r="G19" s="8">
        <f>IF(C19="","",IFERROR(E19*0.25,0))</f>
        <v/>
      </c>
      <c r="H19" s="8">
        <f>IF(C19="","",F19-G19)</f>
        <v/>
      </c>
      <c r="I19" s="7" t="n"/>
      <c r="J19" s="7" t="n"/>
    </row>
    <row r="20">
      <c r="A20" s="4" t="n"/>
      <c r="B20" s="4" t="n"/>
      <c r="C20" s="5" t="n"/>
      <c r="D20" s="4" t="n"/>
      <c r="E20" s="5">
        <f>IF(C20="","",IFERROR(C20*D20/100,0))</f>
        <v/>
      </c>
      <c r="F20" s="5">
        <f>IF(C20="","",IFERROR(E20*0.6,0))</f>
        <v/>
      </c>
      <c r="G20" s="5">
        <f>IF(C20="","",IFERROR(E20*0.25,0))</f>
        <v/>
      </c>
      <c r="H20" s="5">
        <f>IF(C20="","",F20-G20)</f>
        <v/>
      </c>
      <c r="I20" s="4" t="n"/>
      <c r="J20" s="4" t="n"/>
    </row>
    <row r="21">
      <c r="A21" s="7" t="n"/>
      <c r="B21" s="7" t="n"/>
      <c r="C21" s="8" t="n"/>
      <c r="D21" s="7" t="n"/>
      <c r="E21" s="8">
        <f>IF(C21="","",IFERROR(C21*D21/100,0))</f>
        <v/>
      </c>
      <c r="F21" s="8">
        <f>IF(C21="","",IFERROR(E21*0.6,0))</f>
        <v/>
      </c>
      <c r="G21" s="8">
        <f>IF(C21="","",IFERROR(E21*0.25,0))</f>
        <v/>
      </c>
      <c r="H21" s="8">
        <f>IF(C21="","",F21-G21)</f>
        <v/>
      </c>
      <c r="I21" s="7" t="n"/>
      <c r="J21" s="7" t="n"/>
    </row>
    <row r="22">
      <c r="A22" s="4" t="n"/>
      <c r="B22" s="4" t="n"/>
      <c r="C22" s="5" t="n"/>
      <c r="D22" s="4" t="n"/>
      <c r="E22" s="5">
        <f>IF(C22="","",IFERROR(C22*D22/100,0))</f>
        <v/>
      </c>
      <c r="F22" s="5">
        <f>IF(C22="","",IFERROR(E22*0.6,0))</f>
        <v/>
      </c>
      <c r="G22" s="5">
        <f>IF(C22="","",IFERROR(E22*0.25,0))</f>
        <v/>
      </c>
      <c r="H22" s="5">
        <f>IF(C22="","",F22-G22)</f>
        <v/>
      </c>
      <c r="I22" s="4" t="n"/>
      <c r="J22" s="4" t="n"/>
    </row>
    <row r="23">
      <c r="A23" s="7" t="n"/>
      <c r="B23" s="7" t="n"/>
      <c r="C23" s="8" t="n"/>
      <c r="D23" s="7" t="n"/>
      <c r="E23" s="8">
        <f>IF(C23="","",IFERROR(C23*D23/100,0))</f>
        <v/>
      </c>
      <c r="F23" s="8">
        <f>IF(C23="","",IFERROR(E23*0.6,0))</f>
        <v/>
      </c>
      <c r="G23" s="8">
        <f>IF(C23="","",IFERROR(E23*0.25,0))</f>
        <v/>
      </c>
      <c r="H23" s="8">
        <f>IF(C23="","",F23-G23)</f>
        <v/>
      </c>
      <c r="I23" s="7" t="n"/>
      <c r="J23" s="7" t="n"/>
    </row>
    <row r="24">
      <c r="A24" s="4" t="n"/>
      <c r="B24" s="4" t="n"/>
      <c r="C24" s="5" t="n"/>
      <c r="D24" s="4" t="n"/>
      <c r="E24" s="5">
        <f>IF(C24="","",IFERROR(C24*D24/100,0))</f>
        <v/>
      </c>
      <c r="F24" s="5">
        <f>IF(C24="","",IFERROR(E24*0.6,0))</f>
        <v/>
      </c>
      <c r="G24" s="5">
        <f>IF(C24="","",IFERROR(E24*0.25,0))</f>
        <v/>
      </c>
      <c r="H24" s="5">
        <f>IF(C24="","",F24-G24)</f>
        <v/>
      </c>
      <c r="I24" s="4" t="n"/>
      <c r="J24" s="4" t="n"/>
    </row>
    <row r="25">
      <c r="A25" s="7" t="n"/>
      <c r="B25" s="7" t="n"/>
      <c r="C25" s="8" t="n"/>
      <c r="D25" s="7" t="n"/>
      <c r="E25" s="8">
        <f>IF(C25="","",IFERROR(C25*D25/100,0))</f>
        <v/>
      </c>
      <c r="F25" s="8">
        <f>IF(C25="","",IFERROR(E25*0.6,0))</f>
        <v/>
      </c>
      <c r="G25" s="8">
        <f>IF(C25="","",IFERROR(E25*0.25,0))</f>
        <v/>
      </c>
      <c r="H25" s="8">
        <f>IF(C25="","",F25-G25)</f>
        <v/>
      </c>
      <c r="I25" s="7" t="n"/>
      <c r="J25" s="7" t="n"/>
    </row>
    <row r="26">
      <c r="A26" s="4" t="n"/>
      <c r="B26" s="4" t="n"/>
      <c r="C26" s="5" t="n"/>
      <c r="D26" s="4" t="n"/>
      <c r="E26" s="5">
        <f>IF(C26="","",IFERROR(C26*D26/100,0))</f>
        <v/>
      </c>
      <c r="F26" s="5">
        <f>IF(C26="","",IFERROR(E26*0.6,0))</f>
        <v/>
      </c>
      <c r="G26" s="5">
        <f>IF(C26="","",IFERROR(E26*0.25,0))</f>
        <v/>
      </c>
      <c r="H26" s="5">
        <f>IF(C26="","",F26-G26)</f>
        <v/>
      </c>
      <c r="I26" s="4" t="n"/>
      <c r="J26" s="4" t="n"/>
    </row>
    <row r="27">
      <c r="A27" s="7" t="n"/>
      <c r="B27" s="7" t="n"/>
      <c r="C27" s="8" t="n"/>
      <c r="D27" s="7" t="n"/>
      <c r="E27" s="8">
        <f>IF(C27="","",IFERROR(C27*D27/100,0))</f>
        <v/>
      </c>
      <c r="F27" s="8">
        <f>IF(C27="","",IFERROR(E27*0.6,0))</f>
        <v/>
      </c>
      <c r="G27" s="8">
        <f>IF(C27="","",IFERROR(E27*0.25,0))</f>
        <v/>
      </c>
      <c r="H27" s="8">
        <f>IF(C27="","",F27-G27)</f>
        <v/>
      </c>
      <c r="I27" s="7" t="n"/>
      <c r="J27" s="7" t="n"/>
    </row>
    <row r="28">
      <c r="A28" s="4" t="n"/>
      <c r="B28" s="4" t="n"/>
      <c r="C28" s="5" t="n"/>
      <c r="D28" s="4" t="n"/>
      <c r="E28" s="5">
        <f>IF(C28="","",IFERROR(C28*D28/100,0))</f>
        <v/>
      </c>
      <c r="F28" s="5">
        <f>IF(C28="","",IFERROR(E28*0.6,0))</f>
        <v/>
      </c>
      <c r="G28" s="5">
        <f>IF(C28="","",IFERROR(E28*0.25,0))</f>
        <v/>
      </c>
      <c r="H28" s="5">
        <f>IF(C28="","",F28-G28)</f>
        <v/>
      </c>
      <c r="I28" s="4" t="n"/>
      <c r="J28" s="4" t="n"/>
    </row>
    <row r="29">
      <c r="A29" s="7" t="n"/>
      <c r="B29" s="7" t="n"/>
      <c r="C29" s="8" t="n"/>
      <c r="D29" s="7" t="n"/>
      <c r="E29" s="8">
        <f>IF(C29="","",IFERROR(C29*D29/100,0))</f>
        <v/>
      </c>
      <c r="F29" s="8">
        <f>IF(C29="","",IFERROR(E29*0.6,0))</f>
        <v/>
      </c>
      <c r="G29" s="8">
        <f>IF(C29="","",IFERROR(E29*0.25,0))</f>
        <v/>
      </c>
      <c r="H29" s="8">
        <f>IF(C29="","",F29-G29)</f>
        <v/>
      </c>
      <c r="I29" s="7" t="n"/>
      <c r="J29" s="7" t="n"/>
    </row>
    <row r="30">
      <c r="A30" s="4" t="n"/>
      <c r="B30" s="4" t="n"/>
      <c r="C30" s="5" t="n"/>
      <c r="D30" s="4" t="n"/>
      <c r="E30" s="5">
        <f>IF(C30="","",IFERROR(C30*D30/100,0))</f>
        <v/>
      </c>
      <c r="F30" s="5">
        <f>IF(C30="","",IFERROR(E30*0.6,0))</f>
        <v/>
      </c>
      <c r="G30" s="5">
        <f>IF(C30="","",IFERROR(E30*0.25,0))</f>
        <v/>
      </c>
      <c r="H30" s="5">
        <f>IF(C30="","",F30-G30)</f>
        <v/>
      </c>
      <c r="I30" s="4" t="n"/>
      <c r="J30" s="4" t="n"/>
    </row>
    <row r="31">
      <c r="A31" s="7" t="n"/>
      <c r="B31" s="7" t="n"/>
      <c r="C31" s="8" t="n"/>
      <c r="D31" s="7" t="n"/>
      <c r="E31" s="8">
        <f>IF(C31="","",IFERROR(C31*D31/100,0))</f>
        <v/>
      </c>
      <c r="F31" s="8">
        <f>IF(C31="","",IFERROR(E31*0.6,0))</f>
        <v/>
      </c>
      <c r="G31" s="8">
        <f>IF(C31="","",IFERROR(E31*0.25,0))</f>
        <v/>
      </c>
      <c r="H31" s="8">
        <f>IF(C31="","",F31-G31)</f>
        <v/>
      </c>
      <c r="I31" s="7" t="n"/>
      <c r="J31" s="7" t="n"/>
    </row>
    <row r="32">
      <c r="A32" s="4" t="n"/>
      <c r="B32" s="4" t="n"/>
      <c r="C32" s="5" t="n"/>
      <c r="D32" s="4" t="n"/>
      <c r="E32" s="5">
        <f>IF(C32="","",IFERROR(C32*D32/100,0))</f>
        <v/>
      </c>
      <c r="F32" s="5">
        <f>IF(C32="","",IFERROR(E32*0.6,0))</f>
        <v/>
      </c>
      <c r="G32" s="5">
        <f>IF(C32="","",IFERROR(E32*0.25,0))</f>
        <v/>
      </c>
      <c r="H32" s="5">
        <f>IF(C32="","",F32-G32)</f>
        <v/>
      </c>
      <c r="I32" s="4" t="n"/>
      <c r="J32" s="4" t="n"/>
    </row>
    <row r="33">
      <c r="A33" s="7" t="n"/>
      <c r="B33" s="7" t="n"/>
      <c r="C33" s="8" t="n"/>
      <c r="D33" s="7" t="n"/>
      <c r="E33" s="8">
        <f>IF(C33="","",IFERROR(C33*D33/100,0))</f>
        <v/>
      </c>
      <c r="F33" s="8">
        <f>IF(C33="","",IFERROR(E33*0.6,0))</f>
        <v/>
      </c>
      <c r="G33" s="8">
        <f>IF(C33="","",IFERROR(E33*0.25,0))</f>
        <v/>
      </c>
      <c r="H33" s="8">
        <f>IF(C33="","",F33-G33)</f>
        <v/>
      </c>
      <c r="I33" s="7" t="n"/>
      <c r="J33" s="7" t="n"/>
    </row>
    <row r="34">
      <c r="A34" s="4" t="n"/>
      <c r="B34" s="4" t="n"/>
      <c r="C34" s="5" t="n"/>
      <c r="D34" s="4" t="n"/>
      <c r="E34" s="5">
        <f>IF(C34="","",IFERROR(C34*D34/100,0))</f>
        <v/>
      </c>
      <c r="F34" s="5">
        <f>IF(C34="","",IFERROR(E34*0.6,0))</f>
        <v/>
      </c>
      <c r="G34" s="5">
        <f>IF(C34="","",IFERROR(E34*0.25,0))</f>
        <v/>
      </c>
      <c r="H34" s="5">
        <f>IF(C34="","",F34-G34)</f>
        <v/>
      </c>
      <c r="I34" s="4" t="n"/>
      <c r="J34" s="4" t="n"/>
    </row>
    <row r="35">
      <c r="A35" s="7" t="n"/>
      <c r="B35" s="7" t="n"/>
      <c r="C35" s="8" t="n"/>
      <c r="D35" s="7" t="n"/>
      <c r="E35" s="8">
        <f>IF(C35="","",IFERROR(C35*D35/100,0))</f>
        <v/>
      </c>
      <c r="F35" s="8">
        <f>IF(C35="","",IFERROR(E35*0.6,0))</f>
        <v/>
      </c>
      <c r="G35" s="8">
        <f>IF(C35="","",IFERROR(E35*0.25,0))</f>
        <v/>
      </c>
      <c r="H35" s="8">
        <f>IF(C35="","",F35-G35)</f>
        <v/>
      </c>
      <c r="I35" s="7" t="n"/>
      <c r="J35" s="7" t="n"/>
    </row>
    <row r="36">
      <c r="A36" s="4" t="n"/>
      <c r="B36" s="4" t="n"/>
      <c r="C36" s="5" t="n"/>
      <c r="D36" s="4" t="n"/>
      <c r="E36" s="5">
        <f>IF(C36="","",IFERROR(C36*D36/100,0))</f>
        <v/>
      </c>
      <c r="F36" s="5">
        <f>IF(C36="","",IFERROR(E36*0.6,0))</f>
        <v/>
      </c>
      <c r="G36" s="5">
        <f>IF(C36="","",IFERROR(E36*0.25,0))</f>
        <v/>
      </c>
      <c r="H36" s="5">
        <f>IF(C36="","",F36-G36)</f>
        <v/>
      </c>
      <c r="I36" s="4" t="n"/>
      <c r="J36" s="4" t="n"/>
    </row>
    <row r="37">
      <c r="A37" s="7" t="n"/>
      <c r="B37" s="7" t="n"/>
      <c r="C37" s="8" t="n"/>
      <c r="D37" s="7" t="n"/>
      <c r="E37" s="8">
        <f>IF(C37="","",IFERROR(C37*D37/100,0))</f>
        <v/>
      </c>
      <c r="F37" s="8">
        <f>IF(C37="","",IFERROR(E37*0.6,0))</f>
        <v/>
      </c>
      <c r="G37" s="8">
        <f>IF(C37="","",IFERROR(E37*0.25,0))</f>
        <v/>
      </c>
      <c r="H37" s="8">
        <f>IF(C37="","",F37-G37)</f>
        <v/>
      </c>
      <c r="I37" s="7" t="n"/>
      <c r="J37" s="7" t="n"/>
    </row>
    <row r="38">
      <c r="A38" s="4" t="n"/>
      <c r="B38" s="4" t="n"/>
      <c r="C38" s="5" t="n"/>
      <c r="D38" s="4" t="n"/>
      <c r="E38" s="5">
        <f>IF(C38="","",IFERROR(C38*D38/100,0))</f>
        <v/>
      </c>
      <c r="F38" s="5">
        <f>IF(C38="","",IFERROR(E38*0.6,0))</f>
        <v/>
      </c>
      <c r="G38" s="5">
        <f>IF(C38="","",IFERROR(E38*0.25,0))</f>
        <v/>
      </c>
      <c r="H38" s="5">
        <f>IF(C38="","",F38-G38)</f>
        <v/>
      </c>
      <c r="I38" s="4" t="n"/>
      <c r="J38" s="4" t="n"/>
    </row>
    <row r="39">
      <c r="A39" s="7" t="n"/>
      <c r="B39" s="7" t="n"/>
      <c r="C39" s="8" t="n"/>
      <c r="D39" s="7" t="n"/>
      <c r="E39" s="8">
        <f>IF(C39="","",IFERROR(C39*D39/100,0))</f>
        <v/>
      </c>
      <c r="F39" s="8">
        <f>IF(C39="","",IFERROR(E39*0.6,0))</f>
        <v/>
      </c>
      <c r="G39" s="8">
        <f>IF(C39="","",IFERROR(E39*0.25,0))</f>
        <v/>
      </c>
      <c r="H39" s="8">
        <f>IF(C39="","",F39-G39)</f>
        <v/>
      </c>
      <c r="I39" s="7" t="n"/>
      <c r="J39" s="7" t="n"/>
    </row>
    <row r="40">
      <c r="A40" s="4" t="n"/>
      <c r="B40" s="4" t="n"/>
      <c r="C40" s="5" t="n"/>
      <c r="D40" s="4" t="n"/>
      <c r="E40" s="5">
        <f>IF(C40="","",IFERROR(C40*D40/100,0))</f>
        <v/>
      </c>
      <c r="F40" s="5">
        <f>IF(C40="","",IFERROR(E40*0.6,0))</f>
        <v/>
      </c>
      <c r="G40" s="5">
        <f>IF(C40="","",IFERROR(E40*0.25,0))</f>
        <v/>
      </c>
      <c r="H40" s="5">
        <f>IF(C40="","",F40-G40)</f>
        <v/>
      </c>
      <c r="I40" s="4" t="n"/>
      <c r="J40" s="4" t="n"/>
    </row>
    <row r="41">
      <c r="A41" s="7" t="n"/>
      <c r="B41" s="7" t="n"/>
      <c r="C41" s="8" t="n"/>
      <c r="D41" s="7" t="n"/>
      <c r="E41" s="8">
        <f>IF(C41="","",IFERROR(C41*D41/100,0))</f>
        <v/>
      </c>
      <c r="F41" s="8">
        <f>IF(C41="","",IFERROR(E41*0.6,0))</f>
        <v/>
      </c>
      <c r="G41" s="8">
        <f>IF(C41="","",IFERROR(E41*0.25,0))</f>
        <v/>
      </c>
      <c r="H41" s="8">
        <f>IF(C41="","",F41-G41)</f>
        <v/>
      </c>
      <c r="I41" s="7" t="n"/>
      <c r="J41" s="7" t="n"/>
    </row>
    <row r="42">
      <c r="A42" s="4" t="n"/>
      <c r="B42" s="4" t="n"/>
      <c r="C42" s="5" t="n"/>
      <c r="D42" s="4" t="n"/>
      <c r="E42" s="5">
        <f>IF(C42="","",IFERROR(C42*D42/100,0))</f>
        <v/>
      </c>
      <c r="F42" s="5">
        <f>IF(C42="","",IFERROR(E42*0.6,0))</f>
        <v/>
      </c>
      <c r="G42" s="5">
        <f>IF(C42="","",IFERROR(E42*0.25,0))</f>
        <v/>
      </c>
      <c r="H42" s="5">
        <f>IF(C42="","",F42-G42)</f>
        <v/>
      </c>
      <c r="I42" s="4" t="n"/>
      <c r="J42" s="4" t="n"/>
    </row>
    <row r="43">
      <c r="A43" s="7" t="n"/>
      <c r="B43" s="7" t="n"/>
      <c r="C43" s="8" t="n"/>
      <c r="D43" s="7" t="n"/>
      <c r="E43" s="8">
        <f>IF(C43="","",IFERROR(C43*D43/100,0))</f>
        <v/>
      </c>
      <c r="F43" s="8">
        <f>IF(C43="","",IFERROR(E43*0.6,0))</f>
        <v/>
      </c>
      <c r="G43" s="8">
        <f>IF(C43="","",IFERROR(E43*0.25,0))</f>
        <v/>
      </c>
      <c r="H43" s="8">
        <f>IF(C43="","",F43-G43)</f>
        <v/>
      </c>
      <c r="I43" s="7" t="n"/>
      <c r="J43" s="7" t="n"/>
    </row>
    <row r="44">
      <c r="A44" s="4" t="n"/>
      <c r="B44" s="4" t="n"/>
      <c r="C44" s="5" t="n"/>
      <c r="D44" s="4" t="n"/>
      <c r="E44" s="5">
        <f>IF(C44="","",IFERROR(C44*D44/100,0))</f>
        <v/>
      </c>
      <c r="F44" s="5">
        <f>IF(C44="","",IFERROR(E44*0.6,0))</f>
        <v/>
      </c>
      <c r="G44" s="5">
        <f>IF(C44="","",IFERROR(E44*0.25,0))</f>
        <v/>
      </c>
      <c r="H44" s="5">
        <f>IF(C44="","",F44-G44)</f>
        <v/>
      </c>
      <c r="I44" s="4" t="n"/>
      <c r="J44" s="4" t="n"/>
    </row>
    <row r="45">
      <c r="A45" s="7" t="n"/>
      <c r="B45" s="7" t="n"/>
      <c r="C45" s="8" t="n"/>
      <c r="D45" s="7" t="n"/>
      <c r="E45" s="8">
        <f>IF(C45="","",IFERROR(C45*D45/100,0))</f>
        <v/>
      </c>
      <c r="F45" s="8">
        <f>IF(C45="","",IFERROR(E45*0.6,0))</f>
        <v/>
      </c>
      <c r="G45" s="8">
        <f>IF(C45="","",IFERROR(E45*0.25,0))</f>
        <v/>
      </c>
      <c r="H45" s="8">
        <f>IF(C45="","",F45-G45)</f>
        <v/>
      </c>
      <c r="I45" s="7" t="n"/>
      <c r="J45" s="7" t="n"/>
    </row>
    <row r="46">
      <c r="A46" s="4" t="n"/>
      <c r="B46" s="4" t="n"/>
      <c r="C46" s="5" t="n"/>
      <c r="D46" s="4" t="n"/>
      <c r="E46" s="5">
        <f>IF(C46="","",IFERROR(C46*D46/100,0))</f>
        <v/>
      </c>
      <c r="F46" s="5">
        <f>IF(C46="","",IFERROR(E46*0.6,0))</f>
        <v/>
      </c>
      <c r="G46" s="5">
        <f>IF(C46="","",IFERROR(E46*0.25,0))</f>
        <v/>
      </c>
      <c r="H46" s="5">
        <f>IF(C46="","",F46-G46)</f>
        <v/>
      </c>
      <c r="I46" s="4" t="n"/>
      <c r="J46" s="4" t="n"/>
    </row>
    <row r="47">
      <c r="A47" s="7" t="n"/>
      <c r="B47" s="7" t="n"/>
      <c r="C47" s="8" t="n"/>
      <c r="D47" s="7" t="n"/>
      <c r="E47" s="8">
        <f>IF(C47="","",IFERROR(C47*D47/100,0))</f>
        <v/>
      </c>
      <c r="F47" s="8">
        <f>IF(C47="","",IFERROR(E47*0.6,0))</f>
        <v/>
      </c>
      <c r="G47" s="8">
        <f>IF(C47="","",IFERROR(E47*0.25,0))</f>
        <v/>
      </c>
      <c r="H47" s="8">
        <f>IF(C47="","",F47-G47)</f>
        <v/>
      </c>
      <c r="I47" s="7" t="n"/>
      <c r="J47" s="7" t="n"/>
    </row>
    <row r="48">
      <c r="A48" s="4" t="n"/>
      <c r="B48" s="4" t="n"/>
      <c r="C48" s="5" t="n"/>
      <c r="D48" s="4" t="n"/>
      <c r="E48" s="5">
        <f>IF(C48="","",IFERROR(C48*D48/100,0))</f>
        <v/>
      </c>
      <c r="F48" s="5">
        <f>IF(C48="","",IFERROR(E48*0.6,0))</f>
        <v/>
      </c>
      <c r="G48" s="5">
        <f>IF(C48="","",IFERROR(E48*0.25,0))</f>
        <v/>
      </c>
      <c r="H48" s="5">
        <f>IF(C48="","",F48-G48)</f>
        <v/>
      </c>
      <c r="I48" s="4" t="n"/>
      <c r="J48" s="4" t="n"/>
    </row>
    <row r="49">
      <c r="A49" s="7" t="n"/>
      <c r="B49" s="7" t="n"/>
      <c r="C49" s="8" t="n"/>
      <c r="D49" s="7" t="n"/>
      <c r="E49" s="8">
        <f>IF(C49="","",IFERROR(C49*D49/100,0))</f>
        <v/>
      </c>
      <c r="F49" s="8">
        <f>IF(C49="","",IFERROR(E49*0.6,0))</f>
        <v/>
      </c>
      <c r="G49" s="8">
        <f>IF(C49="","",IFERROR(E49*0.25,0))</f>
        <v/>
      </c>
      <c r="H49" s="8">
        <f>IF(C49="","",F49-G49)</f>
        <v/>
      </c>
      <c r="I49" s="7" t="n"/>
      <c r="J49" s="7" t="n"/>
    </row>
    <row r="50">
      <c r="A50" s="4" t="n"/>
      <c r="B50" s="4" t="n"/>
      <c r="C50" s="5" t="n"/>
      <c r="D50" s="4" t="n"/>
      <c r="E50" s="5">
        <f>IF(C50="","",IFERROR(C50*D50/100,0))</f>
        <v/>
      </c>
      <c r="F50" s="5">
        <f>IF(C50="","",IFERROR(E50*0.6,0))</f>
        <v/>
      </c>
      <c r="G50" s="5">
        <f>IF(C50="","",IFERROR(E50*0.25,0))</f>
        <v/>
      </c>
      <c r="H50" s="5">
        <f>IF(C50="","",F50-G50)</f>
        <v/>
      </c>
      <c r="I50" s="4" t="n"/>
      <c r="J50" s="4" t="n"/>
    </row>
    <row r="51">
      <c r="A51" s="7" t="n"/>
      <c r="B51" s="7" t="n"/>
      <c r="C51" s="8" t="n"/>
      <c r="D51" s="7" t="n"/>
      <c r="E51" s="8">
        <f>IF(C51="","",IFERROR(C51*D51/100,0))</f>
        <v/>
      </c>
      <c r="F51" s="8">
        <f>IF(C51="","",IFERROR(E51*0.6,0))</f>
        <v/>
      </c>
      <c r="G51" s="8">
        <f>IF(C51="","",IFERROR(E51*0.25,0))</f>
        <v/>
      </c>
      <c r="H51" s="8">
        <f>IF(C51="","",F51-G51)</f>
        <v/>
      </c>
      <c r="I51" s="7" t="n"/>
      <c r="J51" s="7" t="n"/>
    </row>
    <row r="52">
      <c r="A52" s="4" t="n"/>
      <c r="B52" s="4" t="n"/>
      <c r="C52" s="5" t="n"/>
      <c r="D52" s="4" t="n"/>
      <c r="E52" s="5">
        <f>IF(C52="","",IFERROR(C52*D52/100,0))</f>
        <v/>
      </c>
      <c r="F52" s="5">
        <f>IF(C52="","",IFERROR(E52*0.6,0))</f>
        <v/>
      </c>
      <c r="G52" s="5">
        <f>IF(C52="","",IFERROR(E52*0.25,0))</f>
        <v/>
      </c>
      <c r="H52" s="5">
        <f>IF(C52="","",F52-G52)</f>
        <v/>
      </c>
      <c r="I52" s="4" t="n"/>
      <c r="J52" s="4" t="n"/>
    </row>
    <row r="53">
      <c r="A53" s="7" t="n"/>
      <c r="B53" s="7" t="n"/>
      <c r="C53" s="8" t="n"/>
      <c r="D53" s="7" t="n"/>
      <c r="E53" s="8">
        <f>IF(C53="","",IFERROR(C53*D53/100,0))</f>
        <v/>
      </c>
      <c r="F53" s="8">
        <f>IF(C53="","",IFERROR(E53*0.6,0))</f>
        <v/>
      </c>
      <c r="G53" s="8">
        <f>IF(C53="","",IFERROR(E53*0.25,0))</f>
        <v/>
      </c>
      <c r="H53" s="8">
        <f>IF(C53="","",F53-G53)</f>
        <v/>
      </c>
      <c r="I53" s="7" t="n"/>
      <c r="J53" s="7" t="n"/>
    </row>
    <row r="54">
      <c r="A54" s="4" t="n"/>
      <c r="B54" s="4" t="n"/>
      <c r="C54" s="5" t="n"/>
      <c r="D54" s="4" t="n"/>
      <c r="E54" s="5">
        <f>IF(C54="","",IFERROR(C54*D54/100,0))</f>
        <v/>
      </c>
      <c r="F54" s="5">
        <f>IF(C54="","",IFERROR(E54*0.6,0))</f>
        <v/>
      </c>
      <c r="G54" s="5">
        <f>IF(C54="","",IFERROR(E54*0.25,0))</f>
        <v/>
      </c>
      <c r="H54" s="5">
        <f>IF(C54="","",F54-G54)</f>
        <v/>
      </c>
      <c r="I54" s="4" t="n"/>
      <c r="J54" s="4" t="n"/>
    </row>
    <row r="55">
      <c r="A55" s="7" t="n"/>
      <c r="B55" s="7" t="n"/>
      <c r="C55" s="8" t="n"/>
      <c r="D55" s="7" t="n"/>
      <c r="E55" s="8">
        <f>IF(C55="","",IFERROR(C55*D55/100,0))</f>
        <v/>
      </c>
      <c r="F55" s="8">
        <f>IF(C55="","",IFERROR(E55*0.6,0))</f>
        <v/>
      </c>
      <c r="G55" s="8">
        <f>IF(C55="","",IFERROR(E55*0.25,0))</f>
        <v/>
      </c>
      <c r="H55" s="8">
        <f>IF(C55="","",F55-G55)</f>
        <v/>
      </c>
      <c r="I55" s="7" t="n"/>
      <c r="J55" s="7" t="n"/>
    </row>
    <row r="56">
      <c r="A56" s="4" t="n"/>
      <c r="B56" s="4" t="n"/>
      <c r="C56" s="5" t="n"/>
      <c r="D56" s="4" t="n"/>
      <c r="E56" s="5">
        <f>IF(C56="","",IFERROR(C56*D56/100,0))</f>
        <v/>
      </c>
      <c r="F56" s="5">
        <f>IF(C56="","",IFERROR(E56*0.6,0))</f>
        <v/>
      </c>
      <c r="G56" s="5">
        <f>IF(C56="","",IFERROR(E56*0.25,0))</f>
        <v/>
      </c>
      <c r="H56" s="5">
        <f>IF(C56="","",F56-G56)</f>
        <v/>
      </c>
      <c r="I56" s="4" t="n"/>
      <c r="J56" s="4" t="n"/>
    </row>
    <row r="57">
      <c r="A57" s="7" t="n"/>
      <c r="B57" s="7" t="n"/>
      <c r="C57" s="8" t="n"/>
      <c r="D57" s="7" t="n"/>
      <c r="E57" s="8">
        <f>IF(C57="","",IFERROR(C57*D57/100,0))</f>
        <v/>
      </c>
      <c r="F57" s="8">
        <f>IF(C57="","",IFERROR(E57*0.6,0))</f>
        <v/>
      </c>
      <c r="G57" s="8">
        <f>IF(C57="","",IFERROR(E57*0.25,0))</f>
        <v/>
      </c>
      <c r="H57" s="8">
        <f>IF(C57="","",F57-G57)</f>
        <v/>
      </c>
      <c r="I57" s="7" t="n"/>
      <c r="J57" s="7" t="n"/>
    </row>
    <row r="58">
      <c r="A58" s="4" t="n"/>
      <c r="B58" s="4" t="n"/>
      <c r="C58" s="5" t="n"/>
      <c r="D58" s="4" t="n"/>
      <c r="E58" s="5">
        <f>IF(C58="","",IFERROR(C58*D58/100,0))</f>
        <v/>
      </c>
      <c r="F58" s="5">
        <f>IF(C58="","",IFERROR(E58*0.6,0))</f>
        <v/>
      </c>
      <c r="G58" s="5">
        <f>IF(C58="","",IFERROR(E58*0.25,0))</f>
        <v/>
      </c>
      <c r="H58" s="5">
        <f>IF(C58="","",F58-G58)</f>
        <v/>
      </c>
      <c r="I58" s="4" t="n"/>
      <c r="J58" s="4" t="n"/>
    </row>
    <row r="59">
      <c r="A59" s="7" t="n"/>
      <c r="B59" s="7" t="n"/>
      <c r="C59" s="8" t="n"/>
      <c r="D59" s="7" t="n"/>
      <c r="E59" s="8">
        <f>IF(C59="","",IFERROR(C59*D59/100,0))</f>
        <v/>
      </c>
      <c r="F59" s="8">
        <f>IF(C59="","",IFERROR(E59*0.6,0))</f>
        <v/>
      </c>
      <c r="G59" s="8">
        <f>IF(C59="","",IFERROR(E59*0.25,0))</f>
        <v/>
      </c>
      <c r="H59" s="8">
        <f>IF(C59="","",F59-G59)</f>
        <v/>
      </c>
      <c r="I59" s="7" t="n"/>
      <c r="J59" s="7" t="n"/>
    </row>
    <row r="60">
      <c r="A60" s="4" t="n"/>
      <c r="B60" s="4" t="n"/>
      <c r="C60" s="5" t="n"/>
      <c r="D60" s="4" t="n"/>
      <c r="E60" s="5">
        <f>IF(C60="","",IFERROR(C60*D60/100,0))</f>
        <v/>
      </c>
      <c r="F60" s="5">
        <f>IF(C60="","",IFERROR(E60*0.6,0))</f>
        <v/>
      </c>
      <c r="G60" s="5">
        <f>IF(C60="","",IFERROR(E60*0.25,0))</f>
        <v/>
      </c>
      <c r="H60" s="5">
        <f>IF(C60="","",F60-G60)</f>
        <v/>
      </c>
      <c r="I60" s="4" t="n"/>
      <c r="J60" s="4" t="n"/>
    </row>
    <row r="61">
      <c r="A61" s="7" t="n"/>
      <c r="B61" s="7" t="n"/>
      <c r="C61" s="8" t="n"/>
      <c r="D61" s="7" t="n"/>
      <c r="E61" s="8">
        <f>IF(C61="","",IFERROR(C61*D61/100,0))</f>
        <v/>
      </c>
      <c r="F61" s="8">
        <f>IF(C61="","",IFERROR(E61*0.6,0))</f>
        <v/>
      </c>
      <c r="G61" s="8">
        <f>IF(C61="","",IFERROR(E61*0.25,0))</f>
        <v/>
      </c>
      <c r="H61" s="8">
        <f>IF(C61="","",F61-G61)</f>
        <v/>
      </c>
      <c r="I61" s="7" t="n"/>
      <c r="J61" s="7" t="n"/>
    </row>
    <row r="62">
      <c r="A62" s="4" t="n"/>
      <c r="B62" s="4" t="n"/>
      <c r="C62" s="5" t="n"/>
      <c r="D62" s="4" t="n"/>
      <c r="E62" s="5">
        <f>IF(C62="","",IFERROR(C62*D62/100,0))</f>
        <v/>
      </c>
      <c r="F62" s="5">
        <f>IF(C62="","",IFERROR(E62*0.6,0))</f>
        <v/>
      </c>
      <c r="G62" s="5">
        <f>IF(C62="","",IFERROR(E62*0.25,0))</f>
        <v/>
      </c>
      <c r="H62" s="5">
        <f>IF(C62="","",F62-G62)</f>
        <v/>
      </c>
      <c r="I62" s="4" t="n"/>
      <c r="J62" s="4" t="n"/>
    </row>
    <row r="63">
      <c r="A63" s="7" t="n"/>
      <c r="B63" s="7" t="n"/>
      <c r="C63" s="8" t="n"/>
      <c r="D63" s="7" t="n"/>
      <c r="E63" s="8">
        <f>IF(C63="","",IFERROR(C63*D63/100,0))</f>
        <v/>
      </c>
      <c r="F63" s="8">
        <f>IF(C63="","",IFERROR(E63*0.6,0))</f>
        <v/>
      </c>
      <c r="G63" s="8">
        <f>IF(C63="","",IFERROR(E63*0.25,0))</f>
        <v/>
      </c>
      <c r="H63" s="8">
        <f>IF(C63="","",F63-G63)</f>
        <v/>
      </c>
      <c r="I63" s="7" t="n"/>
      <c r="J63" s="7" t="n"/>
    </row>
    <row r="64">
      <c r="A64" s="4" t="n"/>
      <c r="B64" s="4" t="n"/>
      <c r="C64" s="5" t="n"/>
      <c r="D64" s="4" t="n"/>
      <c r="E64" s="5">
        <f>IF(C64="","",IFERROR(C64*D64/100,0))</f>
        <v/>
      </c>
      <c r="F64" s="5">
        <f>IF(C64="","",IFERROR(E64*0.6,0))</f>
        <v/>
      </c>
      <c r="G64" s="5">
        <f>IF(C64="","",IFERROR(E64*0.25,0))</f>
        <v/>
      </c>
      <c r="H64" s="5">
        <f>IF(C64="","",F64-G64)</f>
        <v/>
      </c>
      <c r="I64" s="4" t="n"/>
      <c r="J64" s="4" t="n"/>
    </row>
    <row r="65">
      <c r="A65" s="7" t="n"/>
      <c r="B65" s="7" t="n"/>
      <c r="C65" s="8" t="n"/>
      <c r="D65" s="7" t="n"/>
      <c r="E65" s="8">
        <f>IF(C65="","",IFERROR(C65*D65/100,0))</f>
        <v/>
      </c>
      <c r="F65" s="8">
        <f>IF(C65="","",IFERROR(E65*0.6,0))</f>
        <v/>
      </c>
      <c r="G65" s="8">
        <f>IF(C65="","",IFERROR(E65*0.25,0))</f>
        <v/>
      </c>
      <c r="H65" s="8">
        <f>IF(C65="","",F65-G65)</f>
        <v/>
      </c>
      <c r="I65" s="7" t="n"/>
      <c r="J65" s="7" t="n"/>
    </row>
    <row r="66">
      <c r="A66" s="4" t="n"/>
      <c r="B66" s="4" t="n"/>
      <c r="C66" s="5" t="n"/>
      <c r="D66" s="4" t="n"/>
      <c r="E66" s="5">
        <f>IF(C66="","",IFERROR(C66*D66/100,0))</f>
        <v/>
      </c>
      <c r="F66" s="5">
        <f>IF(C66="","",IFERROR(E66*0.6,0))</f>
        <v/>
      </c>
      <c r="G66" s="5">
        <f>IF(C66="","",IFERROR(E66*0.25,0))</f>
        <v/>
      </c>
      <c r="H66" s="5">
        <f>IF(C66="","",F66-G66)</f>
        <v/>
      </c>
      <c r="I66" s="4" t="n"/>
      <c r="J66" s="4" t="n"/>
    </row>
    <row r="67">
      <c r="A67" s="7" t="n"/>
      <c r="B67" s="7" t="n"/>
      <c r="C67" s="8" t="n"/>
      <c r="D67" s="7" t="n"/>
      <c r="E67" s="8">
        <f>IF(C67="","",IFERROR(C67*D67/100,0))</f>
        <v/>
      </c>
      <c r="F67" s="8">
        <f>IF(C67="","",IFERROR(E67*0.6,0))</f>
        <v/>
      </c>
      <c r="G67" s="8">
        <f>IF(C67="","",IFERROR(E67*0.25,0))</f>
        <v/>
      </c>
      <c r="H67" s="8">
        <f>IF(C67="","",F67-G67)</f>
        <v/>
      </c>
      <c r="I67" s="7" t="n"/>
      <c r="J67" s="7" t="n"/>
    </row>
    <row r="68">
      <c r="A68" s="4" t="n"/>
      <c r="B68" s="4" t="n"/>
      <c r="C68" s="5" t="n"/>
      <c r="D68" s="4" t="n"/>
      <c r="E68" s="5">
        <f>IF(C68="","",IFERROR(C68*D68/100,0))</f>
        <v/>
      </c>
      <c r="F68" s="5">
        <f>IF(C68="","",IFERROR(E68*0.6,0))</f>
        <v/>
      </c>
      <c r="G68" s="5">
        <f>IF(C68="","",IFERROR(E68*0.25,0))</f>
        <v/>
      </c>
      <c r="H68" s="5">
        <f>IF(C68="","",F68-G68)</f>
        <v/>
      </c>
      <c r="I68" s="4" t="n"/>
      <c r="J68" s="4" t="n"/>
    </row>
    <row r="69">
      <c r="A69" s="7" t="n"/>
      <c r="B69" s="7" t="n"/>
      <c r="C69" s="8" t="n"/>
      <c r="D69" s="7" t="n"/>
      <c r="E69" s="8">
        <f>IF(C69="","",IFERROR(C69*D69/100,0))</f>
        <v/>
      </c>
      <c r="F69" s="8">
        <f>IF(C69="","",IFERROR(E69*0.6,0))</f>
        <v/>
      </c>
      <c r="G69" s="8">
        <f>IF(C69="","",IFERROR(E69*0.25,0))</f>
        <v/>
      </c>
      <c r="H69" s="8">
        <f>IF(C69="","",F69-G69)</f>
        <v/>
      </c>
      <c r="I69" s="7" t="n"/>
      <c r="J69" s="7" t="n"/>
    </row>
    <row r="70">
      <c r="A70" s="4" t="n"/>
      <c r="B70" s="4" t="n"/>
      <c r="C70" s="5" t="n"/>
      <c r="D70" s="4" t="n"/>
      <c r="E70" s="5">
        <f>IF(C70="","",IFERROR(C70*D70/100,0))</f>
        <v/>
      </c>
      <c r="F70" s="5">
        <f>IF(C70="","",IFERROR(E70*0.6,0))</f>
        <v/>
      </c>
      <c r="G70" s="5">
        <f>IF(C70="","",IFERROR(E70*0.25,0))</f>
        <v/>
      </c>
      <c r="H70" s="5">
        <f>IF(C70="","",F70-G70)</f>
        <v/>
      </c>
      <c r="I70" s="4" t="n"/>
      <c r="J70" s="4" t="n"/>
    </row>
    <row r="71">
      <c r="A71" s="7" t="n"/>
      <c r="B71" s="7" t="n"/>
      <c r="C71" s="8" t="n"/>
      <c r="D71" s="7" t="n"/>
      <c r="E71" s="8">
        <f>IF(C71="","",IFERROR(C71*D71/100,0))</f>
        <v/>
      </c>
      <c r="F71" s="8">
        <f>IF(C71="","",IFERROR(E71*0.6,0))</f>
        <v/>
      </c>
      <c r="G71" s="8">
        <f>IF(C71="","",IFERROR(E71*0.25,0))</f>
        <v/>
      </c>
      <c r="H71" s="8">
        <f>IF(C71="","",F71-G71)</f>
        <v/>
      </c>
      <c r="I71" s="7" t="n"/>
      <c r="J71" s="7" t="n"/>
    </row>
    <row r="72">
      <c r="A72" s="4" t="n"/>
      <c r="B72" s="4" t="n"/>
      <c r="C72" s="5" t="n"/>
      <c r="D72" s="4" t="n"/>
      <c r="E72" s="5">
        <f>IF(C72="","",IFERROR(C72*D72/100,0))</f>
        <v/>
      </c>
      <c r="F72" s="5">
        <f>IF(C72="","",IFERROR(E72*0.6,0))</f>
        <v/>
      </c>
      <c r="G72" s="5">
        <f>IF(C72="","",IFERROR(E72*0.25,0))</f>
        <v/>
      </c>
      <c r="H72" s="5">
        <f>IF(C72="","",F72-G72)</f>
        <v/>
      </c>
      <c r="I72" s="4" t="n"/>
      <c r="J72" s="4" t="n"/>
    </row>
    <row r="73">
      <c r="A73" s="7" t="n"/>
      <c r="B73" s="7" t="n"/>
      <c r="C73" s="8" t="n"/>
      <c r="D73" s="7" t="n"/>
      <c r="E73" s="8">
        <f>IF(C73="","",IFERROR(C73*D73/100,0))</f>
        <v/>
      </c>
      <c r="F73" s="8">
        <f>IF(C73="","",IFERROR(E73*0.6,0))</f>
        <v/>
      </c>
      <c r="G73" s="8">
        <f>IF(C73="","",IFERROR(E73*0.25,0))</f>
        <v/>
      </c>
      <c r="H73" s="8">
        <f>IF(C73="","",F73-G73)</f>
        <v/>
      </c>
      <c r="I73" s="7" t="n"/>
      <c r="J73" s="7" t="n"/>
    </row>
    <row r="74">
      <c r="A74" s="4" t="n"/>
      <c r="B74" s="4" t="n"/>
      <c r="C74" s="5" t="n"/>
      <c r="D74" s="4" t="n"/>
      <c r="E74" s="5">
        <f>IF(C74="","",IFERROR(C74*D74/100,0))</f>
        <v/>
      </c>
      <c r="F74" s="5">
        <f>IF(C74="","",IFERROR(E74*0.6,0))</f>
        <v/>
      </c>
      <c r="G74" s="5">
        <f>IF(C74="","",IFERROR(E74*0.25,0))</f>
        <v/>
      </c>
      <c r="H74" s="5">
        <f>IF(C74="","",F74-G74)</f>
        <v/>
      </c>
      <c r="I74" s="4" t="n"/>
      <c r="J74" s="4" t="n"/>
    </row>
    <row r="75">
      <c r="A75" s="7" t="n"/>
      <c r="B75" s="7" t="n"/>
      <c r="C75" s="8" t="n"/>
      <c r="D75" s="7" t="n"/>
      <c r="E75" s="8">
        <f>IF(C75="","",IFERROR(C75*D75/100,0))</f>
        <v/>
      </c>
      <c r="F75" s="8">
        <f>IF(C75="","",IFERROR(E75*0.6,0))</f>
        <v/>
      </c>
      <c r="G75" s="8">
        <f>IF(C75="","",IFERROR(E75*0.25,0))</f>
        <v/>
      </c>
      <c r="H75" s="8">
        <f>IF(C75="","",F75-G75)</f>
        <v/>
      </c>
      <c r="I75" s="7" t="n"/>
      <c r="J75" s="7" t="n"/>
    </row>
    <row r="76">
      <c r="A76" s="4" t="n"/>
      <c r="B76" s="4" t="n"/>
      <c r="C76" s="5" t="n"/>
      <c r="D76" s="4" t="n"/>
      <c r="E76" s="5">
        <f>IF(C76="","",IFERROR(C76*D76/100,0))</f>
        <v/>
      </c>
      <c r="F76" s="5">
        <f>IF(C76="","",IFERROR(E76*0.6,0))</f>
        <v/>
      </c>
      <c r="G76" s="5">
        <f>IF(C76="","",IFERROR(E76*0.25,0))</f>
        <v/>
      </c>
      <c r="H76" s="5">
        <f>IF(C76="","",F76-G76)</f>
        <v/>
      </c>
      <c r="I76" s="4" t="n"/>
      <c r="J76" s="4" t="n"/>
    </row>
    <row r="77">
      <c r="A77" s="7" t="n"/>
      <c r="B77" s="7" t="n"/>
      <c r="C77" s="8" t="n"/>
      <c r="D77" s="7" t="n"/>
      <c r="E77" s="8">
        <f>IF(C77="","",IFERROR(C77*D77/100,0))</f>
        <v/>
      </c>
      <c r="F77" s="8">
        <f>IF(C77="","",IFERROR(E77*0.6,0))</f>
        <v/>
      </c>
      <c r="G77" s="8">
        <f>IF(C77="","",IFERROR(E77*0.25,0))</f>
        <v/>
      </c>
      <c r="H77" s="8">
        <f>IF(C77="","",F77-G77)</f>
        <v/>
      </c>
      <c r="I77" s="7" t="n"/>
      <c r="J77" s="7" t="n"/>
    </row>
    <row r="78">
      <c r="A78" s="4" t="n"/>
      <c r="B78" s="4" t="n"/>
      <c r="C78" s="5" t="n"/>
      <c r="D78" s="4" t="n"/>
      <c r="E78" s="5">
        <f>IF(C78="","",IFERROR(C78*D78/100,0))</f>
        <v/>
      </c>
      <c r="F78" s="5">
        <f>IF(C78="","",IFERROR(E78*0.6,0))</f>
        <v/>
      </c>
      <c r="G78" s="5">
        <f>IF(C78="","",IFERROR(E78*0.25,0))</f>
        <v/>
      </c>
      <c r="H78" s="5">
        <f>IF(C78="","",F78-G78)</f>
        <v/>
      </c>
      <c r="I78" s="4" t="n"/>
      <c r="J78" s="4" t="n"/>
    </row>
    <row r="79">
      <c r="A79" s="7" t="n"/>
      <c r="B79" s="7" t="n"/>
      <c r="C79" s="8" t="n"/>
      <c r="D79" s="7" t="n"/>
      <c r="E79" s="8">
        <f>IF(C79="","",IFERROR(C79*D79/100,0))</f>
        <v/>
      </c>
      <c r="F79" s="8">
        <f>IF(C79="","",IFERROR(E79*0.6,0))</f>
        <v/>
      </c>
      <c r="G79" s="8">
        <f>IF(C79="","",IFERROR(E79*0.25,0))</f>
        <v/>
      </c>
      <c r="H79" s="8">
        <f>IF(C79="","",F79-G79)</f>
        <v/>
      </c>
      <c r="I79" s="7" t="n"/>
      <c r="J79" s="7" t="n"/>
    </row>
    <row r="80">
      <c r="A80" s="4" t="n"/>
      <c r="B80" s="4" t="n"/>
      <c r="C80" s="5" t="n"/>
      <c r="D80" s="4" t="n"/>
      <c r="E80" s="5">
        <f>IF(C80="","",IFERROR(C80*D80/100,0))</f>
        <v/>
      </c>
      <c r="F80" s="5">
        <f>IF(C80="","",IFERROR(E80*0.6,0))</f>
        <v/>
      </c>
      <c r="G80" s="5">
        <f>IF(C80="","",IFERROR(E80*0.25,0))</f>
        <v/>
      </c>
      <c r="H80" s="5">
        <f>IF(C80="","",F80-G80)</f>
        <v/>
      </c>
      <c r="I80" s="4" t="n"/>
      <c r="J80" s="4" t="n"/>
    </row>
    <row r="81">
      <c r="A81" s="7" t="n"/>
      <c r="B81" s="7" t="n"/>
      <c r="C81" s="8" t="n"/>
      <c r="D81" s="7" t="n"/>
      <c r="E81" s="8">
        <f>IF(C81="","",IFERROR(C81*D81/100,0))</f>
        <v/>
      </c>
      <c r="F81" s="8">
        <f>IF(C81="","",IFERROR(E81*0.6,0))</f>
        <v/>
      </c>
      <c r="G81" s="8">
        <f>IF(C81="","",IFERROR(E81*0.25,0))</f>
        <v/>
      </c>
      <c r="H81" s="8">
        <f>IF(C81="","",F81-G81)</f>
        <v/>
      </c>
      <c r="I81" s="7" t="n"/>
      <c r="J81" s="7" t="n"/>
    </row>
    <row r="82">
      <c r="A82" s="4" t="n"/>
      <c r="B82" s="4" t="n"/>
      <c r="C82" s="5" t="n"/>
      <c r="D82" s="4" t="n"/>
      <c r="E82" s="5">
        <f>IF(C82="","",IFERROR(C82*D82/100,0))</f>
        <v/>
      </c>
      <c r="F82" s="5">
        <f>IF(C82="","",IFERROR(E82*0.6,0))</f>
        <v/>
      </c>
      <c r="G82" s="5">
        <f>IF(C82="","",IFERROR(E82*0.25,0))</f>
        <v/>
      </c>
      <c r="H82" s="5">
        <f>IF(C82="","",F82-G82)</f>
        <v/>
      </c>
      <c r="I82" s="4" t="n"/>
      <c r="J82" s="4" t="n"/>
    </row>
    <row r="83">
      <c r="A83" s="7" t="n"/>
      <c r="B83" s="7" t="n"/>
      <c r="C83" s="8" t="n"/>
      <c r="D83" s="7" t="n"/>
      <c r="E83" s="8">
        <f>IF(C83="","",IFERROR(C83*D83/100,0))</f>
        <v/>
      </c>
      <c r="F83" s="8">
        <f>IF(C83="","",IFERROR(E83*0.6,0))</f>
        <v/>
      </c>
      <c r="G83" s="8">
        <f>IF(C83="","",IFERROR(E83*0.25,0))</f>
        <v/>
      </c>
      <c r="H83" s="8">
        <f>IF(C83="","",F83-G83)</f>
        <v/>
      </c>
      <c r="I83" s="7" t="n"/>
      <c r="J83" s="7" t="n"/>
    </row>
    <row r="84">
      <c r="A84" s="4" t="n"/>
      <c r="B84" s="4" t="n"/>
      <c r="C84" s="5" t="n"/>
      <c r="D84" s="4" t="n"/>
      <c r="E84" s="5">
        <f>IF(C84="","",IFERROR(C84*D84/100,0))</f>
        <v/>
      </c>
      <c r="F84" s="5">
        <f>IF(C84="","",IFERROR(E84*0.6,0))</f>
        <v/>
      </c>
      <c r="G84" s="5">
        <f>IF(C84="","",IFERROR(E84*0.25,0))</f>
        <v/>
      </c>
      <c r="H84" s="5">
        <f>IF(C84="","",F84-G84)</f>
        <v/>
      </c>
      <c r="I84" s="4" t="n"/>
      <c r="J84" s="4" t="n"/>
    </row>
    <row r="85">
      <c r="A85" s="7" t="n"/>
      <c r="B85" s="7" t="n"/>
      <c r="C85" s="8" t="n"/>
      <c r="D85" s="7" t="n"/>
      <c r="E85" s="8">
        <f>IF(C85="","",IFERROR(C85*D85/100,0))</f>
        <v/>
      </c>
      <c r="F85" s="8">
        <f>IF(C85="","",IFERROR(E85*0.6,0))</f>
        <v/>
      </c>
      <c r="G85" s="8">
        <f>IF(C85="","",IFERROR(E85*0.25,0))</f>
        <v/>
      </c>
      <c r="H85" s="8">
        <f>IF(C85="","",F85-G85)</f>
        <v/>
      </c>
      <c r="I85" s="7" t="n"/>
      <c r="J85" s="7" t="n"/>
    </row>
    <row r="86">
      <c r="A86" s="4" t="n"/>
      <c r="B86" s="4" t="n"/>
      <c r="C86" s="5" t="n"/>
      <c r="D86" s="4" t="n"/>
      <c r="E86" s="5">
        <f>IF(C86="","",IFERROR(C86*D86/100,0))</f>
        <v/>
      </c>
      <c r="F86" s="5">
        <f>IF(C86="","",IFERROR(E86*0.6,0))</f>
        <v/>
      </c>
      <c r="G86" s="5">
        <f>IF(C86="","",IFERROR(E86*0.25,0))</f>
        <v/>
      </c>
      <c r="H86" s="5">
        <f>IF(C86="","",F86-G86)</f>
        <v/>
      </c>
      <c r="I86" s="4" t="n"/>
      <c r="J86" s="4" t="n"/>
    </row>
    <row r="87">
      <c r="A87" s="7" t="n"/>
      <c r="B87" s="7" t="n"/>
      <c r="C87" s="8" t="n"/>
      <c r="D87" s="7" t="n"/>
      <c r="E87" s="8">
        <f>IF(C87="","",IFERROR(C87*D87/100,0))</f>
        <v/>
      </c>
      <c r="F87" s="8">
        <f>IF(C87="","",IFERROR(E87*0.6,0))</f>
        <v/>
      </c>
      <c r="G87" s="8">
        <f>IF(C87="","",IFERROR(E87*0.25,0))</f>
        <v/>
      </c>
      <c r="H87" s="8">
        <f>IF(C87="","",F87-G87)</f>
        <v/>
      </c>
      <c r="I87" s="7" t="n"/>
      <c r="J87" s="7" t="n"/>
    </row>
    <row r="88">
      <c r="A88" s="4" t="n"/>
      <c r="B88" s="4" t="n"/>
      <c r="C88" s="5" t="n"/>
      <c r="D88" s="4" t="n"/>
      <c r="E88" s="5">
        <f>IF(C88="","",IFERROR(C88*D88/100,0))</f>
        <v/>
      </c>
      <c r="F88" s="5">
        <f>IF(C88="","",IFERROR(E88*0.6,0))</f>
        <v/>
      </c>
      <c r="G88" s="5">
        <f>IF(C88="","",IFERROR(E88*0.25,0))</f>
        <v/>
      </c>
      <c r="H88" s="5">
        <f>IF(C88="","",F88-G88)</f>
        <v/>
      </c>
      <c r="I88" s="4" t="n"/>
      <c r="J88" s="4" t="n"/>
    </row>
    <row r="89">
      <c r="A89" s="7" t="n"/>
      <c r="B89" s="7" t="n"/>
      <c r="C89" s="8" t="n"/>
      <c r="D89" s="7" t="n"/>
      <c r="E89" s="8">
        <f>IF(C89="","",IFERROR(C89*D89/100,0))</f>
        <v/>
      </c>
      <c r="F89" s="8">
        <f>IF(C89="","",IFERROR(E89*0.6,0))</f>
        <v/>
      </c>
      <c r="G89" s="8">
        <f>IF(C89="","",IFERROR(E89*0.25,0))</f>
        <v/>
      </c>
      <c r="H89" s="8">
        <f>IF(C89="","",F89-G89)</f>
        <v/>
      </c>
      <c r="I89" s="7" t="n"/>
      <c r="J89" s="7" t="n"/>
    </row>
    <row r="90">
      <c r="A90" s="4" t="n"/>
      <c r="B90" s="4" t="n"/>
      <c r="C90" s="5" t="n"/>
      <c r="D90" s="4" t="n"/>
      <c r="E90" s="5">
        <f>IF(C90="","",IFERROR(C90*D90/100,0))</f>
        <v/>
      </c>
      <c r="F90" s="5">
        <f>IF(C90="","",IFERROR(E90*0.6,0))</f>
        <v/>
      </c>
      <c r="G90" s="5">
        <f>IF(C90="","",IFERROR(E90*0.25,0))</f>
        <v/>
      </c>
      <c r="H90" s="5">
        <f>IF(C90="","",F90-G90)</f>
        <v/>
      </c>
      <c r="I90" s="4" t="n"/>
      <c r="J90" s="4" t="n"/>
    </row>
    <row r="91">
      <c r="A91" s="7" t="n"/>
      <c r="B91" s="7" t="n"/>
      <c r="C91" s="8" t="n"/>
      <c r="D91" s="7" t="n"/>
      <c r="E91" s="8">
        <f>IF(C91="","",IFERROR(C91*D91/100,0))</f>
        <v/>
      </c>
      <c r="F91" s="8">
        <f>IF(C91="","",IFERROR(E91*0.6,0))</f>
        <v/>
      </c>
      <c r="G91" s="8">
        <f>IF(C91="","",IFERROR(E91*0.25,0))</f>
        <v/>
      </c>
      <c r="H91" s="8">
        <f>IF(C91="","",F91-G91)</f>
        <v/>
      </c>
      <c r="I91" s="7" t="n"/>
      <c r="J91" s="7" t="n"/>
    </row>
    <row r="92">
      <c r="A92" s="4" t="n"/>
      <c r="B92" s="4" t="n"/>
      <c r="C92" s="5" t="n"/>
      <c r="D92" s="4" t="n"/>
      <c r="E92" s="5">
        <f>IF(C92="","",IFERROR(C92*D92/100,0))</f>
        <v/>
      </c>
      <c r="F92" s="5">
        <f>IF(C92="","",IFERROR(E92*0.6,0))</f>
        <v/>
      </c>
      <c r="G92" s="5">
        <f>IF(C92="","",IFERROR(E92*0.25,0))</f>
        <v/>
      </c>
      <c r="H92" s="5">
        <f>IF(C92="","",F92-G92)</f>
        <v/>
      </c>
      <c r="I92" s="4" t="n"/>
      <c r="J92" s="4" t="n"/>
    </row>
    <row r="93">
      <c r="A93" s="7" t="n"/>
      <c r="B93" s="7" t="n"/>
      <c r="C93" s="8" t="n"/>
      <c r="D93" s="7" t="n"/>
      <c r="E93" s="8">
        <f>IF(C93="","",IFERROR(C93*D93/100,0))</f>
        <v/>
      </c>
      <c r="F93" s="8">
        <f>IF(C93="","",IFERROR(E93*0.6,0))</f>
        <v/>
      </c>
      <c r="G93" s="8">
        <f>IF(C93="","",IFERROR(E93*0.25,0))</f>
        <v/>
      </c>
      <c r="H93" s="8">
        <f>IF(C93="","",F93-G93)</f>
        <v/>
      </c>
      <c r="I93" s="7" t="n"/>
      <c r="J93" s="7" t="n"/>
    </row>
    <row r="94">
      <c r="A94" s="4" t="n"/>
      <c r="B94" s="4" t="n"/>
      <c r="C94" s="5" t="n"/>
      <c r="D94" s="4" t="n"/>
      <c r="E94" s="5">
        <f>IF(C94="","",IFERROR(C94*D94/100,0))</f>
        <v/>
      </c>
      <c r="F94" s="5">
        <f>IF(C94="","",IFERROR(E94*0.6,0))</f>
        <v/>
      </c>
      <c r="G94" s="5">
        <f>IF(C94="","",IFERROR(E94*0.25,0))</f>
        <v/>
      </c>
      <c r="H94" s="5">
        <f>IF(C94="","",F94-G94)</f>
        <v/>
      </c>
      <c r="I94" s="4" t="n"/>
      <c r="J94" s="4" t="n"/>
    </row>
    <row r="95">
      <c r="A95" s="7" t="n"/>
      <c r="B95" s="7" t="n"/>
      <c r="C95" s="8" t="n"/>
      <c r="D95" s="7" t="n"/>
      <c r="E95" s="8">
        <f>IF(C95="","",IFERROR(C95*D95/100,0))</f>
        <v/>
      </c>
      <c r="F95" s="8">
        <f>IF(C95="","",IFERROR(E95*0.6,0))</f>
        <v/>
      </c>
      <c r="G95" s="8">
        <f>IF(C95="","",IFERROR(E95*0.25,0))</f>
        <v/>
      </c>
      <c r="H95" s="8">
        <f>IF(C95="","",F95-G95)</f>
        <v/>
      </c>
      <c r="I95" s="7" t="n"/>
      <c r="J95" s="7" t="n"/>
    </row>
    <row r="96">
      <c r="A96" s="4" t="n"/>
      <c r="B96" s="4" t="n"/>
      <c r="C96" s="5" t="n"/>
      <c r="D96" s="4" t="n"/>
      <c r="E96" s="5">
        <f>IF(C96="","",IFERROR(C96*D96/100,0))</f>
        <v/>
      </c>
      <c r="F96" s="5">
        <f>IF(C96="","",IFERROR(E96*0.6,0))</f>
        <v/>
      </c>
      <c r="G96" s="5">
        <f>IF(C96="","",IFERROR(E96*0.25,0))</f>
        <v/>
      </c>
      <c r="H96" s="5">
        <f>IF(C96="","",F96-G96)</f>
        <v/>
      </c>
      <c r="I96" s="4" t="n"/>
      <c r="J96" s="4" t="n"/>
    </row>
    <row r="97">
      <c r="A97" s="7" t="n"/>
      <c r="B97" s="7" t="n"/>
      <c r="C97" s="8" t="n"/>
      <c r="D97" s="7" t="n"/>
      <c r="E97" s="8">
        <f>IF(C97="","",IFERROR(C97*D97/100,0))</f>
        <v/>
      </c>
      <c r="F97" s="8">
        <f>IF(C97="","",IFERROR(E97*0.6,0))</f>
        <v/>
      </c>
      <c r="G97" s="8">
        <f>IF(C97="","",IFERROR(E97*0.25,0))</f>
        <v/>
      </c>
      <c r="H97" s="8">
        <f>IF(C97="","",F97-G97)</f>
        <v/>
      </c>
      <c r="I97" s="7" t="n"/>
      <c r="J97" s="7" t="n"/>
    </row>
    <row r="98">
      <c r="A98" s="4" t="n"/>
      <c r="B98" s="4" t="n"/>
      <c r="C98" s="5" t="n"/>
      <c r="D98" s="4" t="n"/>
      <c r="E98" s="5">
        <f>IF(C98="","",IFERROR(C98*D98/100,0))</f>
        <v/>
      </c>
      <c r="F98" s="5">
        <f>IF(C98="","",IFERROR(E98*0.6,0))</f>
        <v/>
      </c>
      <c r="G98" s="5">
        <f>IF(C98="","",IFERROR(E98*0.25,0))</f>
        <v/>
      </c>
      <c r="H98" s="5">
        <f>IF(C98="","",F98-G98)</f>
        <v/>
      </c>
      <c r="I98" s="4" t="n"/>
      <c r="J98" s="4" t="n"/>
    </row>
    <row r="99">
      <c r="A99" s="7" t="n"/>
      <c r="B99" s="7" t="n"/>
      <c r="C99" s="8" t="n"/>
      <c r="D99" s="7" t="n"/>
      <c r="E99" s="8">
        <f>IF(C99="","",IFERROR(C99*D99/100,0))</f>
        <v/>
      </c>
      <c r="F99" s="8">
        <f>IF(C99="","",IFERROR(E99*0.6,0))</f>
        <v/>
      </c>
      <c r="G99" s="8">
        <f>IF(C99="","",IFERROR(E99*0.25,0))</f>
        <v/>
      </c>
      <c r="H99" s="8">
        <f>IF(C99="","",F99-G99)</f>
        <v/>
      </c>
      <c r="I99" s="7" t="n"/>
      <c r="J99" s="7" t="n"/>
    </row>
    <row r="100">
      <c r="A100" s="4" t="n"/>
      <c r="B100" s="4" t="n"/>
      <c r="C100" s="5" t="n"/>
      <c r="D100" s="4" t="n"/>
      <c r="E100" s="5">
        <f>IF(C100="","",IFERROR(C100*D100/100,0))</f>
        <v/>
      </c>
      <c r="F100" s="5">
        <f>IF(C100="","",IFERROR(E100*0.6,0))</f>
        <v/>
      </c>
      <c r="G100" s="5">
        <f>IF(C100="","",IFERROR(E100*0.25,0))</f>
        <v/>
      </c>
      <c r="H100" s="5">
        <f>IF(C100="","",F100-G100)</f>
        <v/>
      </c>
      <c r="I100" s="4" t="n"/>
      <c r="J100" s="4" t="n"/>
    </row>
    <row r="101">
      <c r="A101" s="7" t="n"/>
      <c r="B101" s="7" t="n"/>
      <c r="C101" s="8" t="n"/>
      <c r="D101" s="7" t="n"/>
      <c r="E101" s="8">
        <f>IF(C101="","",IFERROR(C101*D101/100,0))</f>
        <v/>
      </c>
      <c r="F101" s="8">
        <f>IF(C101="","",IFERROR(E101*0.6,0))</f>
        <v/>
      </c>
      <c r="G101" s="8">
        <f>IF(C101="","",IFERROR(E101*0.25,0))</f>
        <v/>
      </c>
      <c r="H101" s="8">
        <f>IF(C101="","",F101-G101)</f>
        <v/>
      </c>
      <c r="I101" s="7" t="n"/>
      <c r="J101" s="7" t="n"/>
    </row>
    <row r="102">
      <c r="A102" s="4" t="n"/>
      <c r="B102" s="4" t="n"/>
      <c r="C102" s="5" t="n"/>
      <c r="D102" s="4" t="n"/>
      <c r="E102" s="5">
        <f>IF(C102="","",IFERROR(C102*D102/100,0))</f>
        <v/>
      </c>
      <c r="F102" s="5">
        <f>IF(C102="","",IFERROR(E102*0.6,0))</f>
        <v/>
      </c>
      <c r="G102" s="5">
        <f>IF(C102="","",IFERROR(E102*0.25,0))</f>
        <v/>
      </c>
      <c r="H102" s="5">
        <f>IF(C102="","",F102-G102)</f>
        <v/>
      </c>
      <c r="I102" s="4" t="n"/>
      <c r="J102" s="4" t="n"/>
    </row>
    <row r="103">
      <c r="A103" s="7" t="n"/>
      <c r="B103" s="7" t="n"/>
      <c r="C103" s="8" t="n"/>
      <c r="D103" s="7" t="n"/>
      <c r="E103" s="8">
        <f>IF(C103="","",IFERROR(C103*D103/100,0))</f>
        <v/>
      </c>
      <c r="F103" s="8">
        <f>IF(C103="","",IFERROR(E103*0.6,0))</f>
        <v/>
      </c>
      <c r="G103" s="8">
        <f>IF(C103="","",IFERROR(E103*0.25,0))</f>
        <v/>
      </c>
      <c r="H103" s="8">
        <f>IF(C103="","",F103-G103)</f>
        <v/>
      </c>
      <c r="I103" s="7" t="n"/>
      <c r="J103" s="7" t="n"/>
    </row>
    <row r="104">
      <c r="A104" s="4" t="n"/>
      <c r="B104" s="4" t="n"/>
      <c r="C104" s="5" t="n"/>
      <c r="D104" s="4" t="n"/>
      <c r="E104" s="5">
        <f>IF(C104="","",IFERROR(C104*D104/100,0))</f>
        <v/>
      </c>
      <c r="F104" s="5">
        <f>IF(C104="","",IFERROR(E104*0.6,0))</f>
        <v/>
      </c>
      <c r="G104" s="5">
        <f>IF(C104="","",IFERROR(E104*0.25,0))</f>
        <v/>
      </c>
      <c r="H104" s="5">
        <f>IF(C104="","",F104-G104)</f>
        <v/>
      </c>
      <c r="I104" s="4" t="n"/>
      <c r="J104" s="4" t="n"/>
    </row>
    <row r="105">
      <c r="A105" s="7" t="n"/>
      <c r="B105" s="7" t="n"/>
      <c r="C105" s="8" t="n"/>
      <c r="D105" s="7" t="n"/>
      <c r="E105" s="8">
        <f>IF(C105="","",IFERROR(C105*D105/100,0))</f>
        <v/>
      </c>
      <c r="F105" s="8">
        <f>IF(C105="","",IFERROR(E105*0.6,0))</f>
        <v/>
      </c>
      <c r="G105" s="8">
        <f>IF(C105="","",IFERROR(E105*0.25,0))</f>
        <v/>
      </c>
      <c r="H105" s="8">
        <f>IF(C105="","",F105-G105)</f>
        <v/>
      </c>
      <c r="I105" s="7" t="n"/>
      <c r="J105" s="7" t="n"/>
    </row>
    <row r="106">
      <c r="A106" s="4" t="n"/>
      <c r="B106" s="4" t="n"/>
      <c r="C106" s="5" t="n"/>
      <c r="D106" s="4" t="n"/>
      <c r="E106" s="5">
        <f>IF(C106="","",IFERROR(C106*D106/100,0))</f>
        <v/>
      </c>
      <c r="F106" s="5">
        <f>IF(C106="","",IFERROR(E106*0.6,0))</f>
        <v/>
      </c>
      <c r="G106" s="5">
        <f>IF(C106="","",IFERROR(E106*0.25,0))</f>
        <v/>
      </c>
      <c r="H106" s="5">
        <f>IF(C106="","",F106-G106)</f>
        <v/>
      </c>
      <c r="I106" s="4" t="n"/>
      <c r="J106" s="4" t="n"/>
    </row>
    <row r="107">
      <c r="A107" s="7" t="n"/>
      <c r="B107" s="7" t="n"/>
      <c r="C107" s="8" t="n"/>
      <c r="D107" s="7" t="n"/>
      <c r="E107" s="8">
        <f>IF(C107="","",IFERROR(C107*D107/100,0))</f>
        <v/>
      </c>
      <c r="F107" s="8">
        <f>IF(C107="","",IFERROR(E107*0.6,0))</f>
        <v/>
      </c>
      <c r="G107" s="8">
        <f>IF(C107="","",IFERROR(E107*0.25,0))</f>
        <v/>
      </c>
      <c r="H107" s="8">
        <f>IF(C107="","",F107-G107)</f>
        <v/>
      </c>
      <c r="I107" s="7" t="n"/>
      <c r="J107" s="7" t="n"/>
    </row>
    <row r="108">
      <c r="A108" s="4" t="n"/>
      <c r="B108" s="4" t="n"/>
      <c r="C108" s="5" t="n"/>
      <c r="D108" s="4" t="n"/>
      <c r="E108" s="5">
        <f>IF(C108="","",IFERROR(C108*D108/100,0))</f>
        <v/>
      </c>
      <c r="F108" s="5">
        <f>IF(C108="","",IFERROR(E108*0.6,0))</f>
        <v/>
      </c>
      <c r="G108" s="5">
        <f>IF(C108="","",IFERROR(E108*0.25,0))</f>
        <v/>
      </c>
      <c r="H108" s="5">
        <f>IF(C108="","",F108-G108)</f>
        <v/>
      </c>
      <c r="I108" s="4" t="n"/>
      <c r="J108" s="4" t="n"/>
    </row>
    <row r="109">
      <c r="A109" s="7" t="n"/>
      <c r="B109" s="7" t="n"/>
      <c r="C109" s="8" t="n"/>
      <c r="D109" s="7" t="n"/>
      <c r="E109" s="8">
        <f>IF(C109="","",IFERROR(C109*D109/100,0))</f>
        <v/>
      </c>
      <c r="F109" s="8">
        <f>IF(C109="","",IFERROR(E109*0.6,0))</f>
        <v/>
      </c>
      <c r="G109" s="8">
        <f>IF(C109="","",IFERROR(E109*0.25,0))</f>
        <v/>
      </c>
      <c r="H109" s="8">
        <f>IF(C109="","",F109-G109)</f>
        <v/>
      </c>
      <c r="I109" s="7" t="n"/>
      <c r="J109" s="7" t="n"/>
    </row>
    <row r="110">
      <c r="A110" s="4" t="n"/>
      <c r="B110" s="4" t="n"/>
      <c r="C110" s="5" t="n"/>
      <c r="D110" s="4" t="n"/>
      <c r="E110" s="5">
        <f>IF(C110="","",IFERROR(C110*D110/100,0))</f>
        <v/>
      </c>
      <c r="F110" s="5">
        <f>IF(C110="","",IFERROR(E110*0.6,0))</f>
        <v/>
      </c>
      <c r="G110" s="5">
        <f>IF(C110="","",IFERROR(E110*0.25,0))</f>
        <v/>
      </c>
      <c r="H110" s="5">
        <f>IF(C110="","",F110-G110)</f>
        <v/>
      </c>
      <c r="I110" s="4" t="n"/>
      <c r="J110" s="4" t="n"/>
    </row>
    <row r="111">
      <c r="A111" s="7" t="n"/>
      <c r="B111" s="7" t="n"/>
      <c r="C111" s="8" t="n"/>
      <c r="D111" s="7" t="n"/>
      <c r="E111" s="8">
        <f>IF(C111="","",IFERROR(C111*D111/100,0))</f>
        <v/>
      </c>
      <c r="F111" s="8">
        <f>IF(C111="","",IFERROR(E111*0.6,0))</f>
        <v/>
      </c>
      <c r="G111" s="8">
        <f>IF(C111="","",IFERROR(E111*0.25,0))</f>
        <v/>
      </c>
      <c r="H111" s="8">
        <f>IF(C111="","",F111-G111)</f>
        <v/>
      </c>
      <c r="I111" s="7" t="n"/>
      <c r="J111" s="7" t="n"/>
    </row>
    <row r="112">
      <c r="A112" s="4" t="n"/>
      <c r="B112" s="4" t="n"/>
      <c r="C112" s="5" t="n"/>
      <c r="D112" s="4" t="n"/>
      <c r="E112" s="5">
        <f>IF(C112="","",IFERROR(C112*D112/100,0))</f>
        <v/>
      </c>
      <c r="F112" s="5">
        <f>IF(C112="","",IFERROR(E112*0.6,0))</f>
        <v/>
      </c>
      <c r="G112" s="5">
        <f>IF(C112="","",IFERROR(E112*0.25,0))</f>
        <v/>
      </c>
      <c r="H112" s="5">
        <f>IF(C112="","",F112-G112)</f>
        <v/>
      </c>
      <c r="I112" s="4" t="n"/>
      <c r="J112" s="4" t="n"/>
    </row>
    <row r="113">
      <c r="A113" s="7" t="n"/>
      <c r="B113" s="7" t="n"/>
      <c r="C113" s="8" t="n"/>
      <c r="D113" s="7" t="n"/>
      <c r="E113" s="8">
        <f>IF(C113="","",IFERROR(C113*D113/100,0))</f>
        <v/>
      </c>
      <c r="F113" s="8">
        <f>IF(C113="","",IFERROR(E113*0.6,0))</f>
        <v/>
      </c>
      <c r="G113" s="8">
        <f>IF(C113="","",IFERROR(E113*0.25,0))</f>
        <v/>
      </c>
      <c r="H113" s="8">
        <f>IF(C113="","",F113-G113)</f>
        <v/>
      </c>
      <c r="I113" s="7" t="n"/>
      <c r="J113" s="7" t="n"/>
    </row>
    <row r="114">
      <c r="A114" s="4" t="n"/>
      <c r="B114" s="4" t="n"/>
      <c r="C114" s="5" t="n"/>
      <c r="D114" s="4" t="n"/>
      <c r="E114" s="5">
        <f>IF(C114="","",IFERROR(C114*D114/100,0))</f>
        <v/>
      </c>
      <c r="F114" s="5">
        <f>IF(C114="","",IFERROR(E114*0.6,0))</f>
        <v/>
      </c>
      <c r="G114" s="5">
        <f>IF(C114="","",IFERROR(E114*0.25,0))</f>
        <v/>
      </c>
      <c r="H114" s="5">
        <f>IF(C114="","",F114-G114)</f>
        <v/>
      </c>
      <c r="I114" s="4" t="n"/>
      <c r="J114" s="4" t="n"/>
    </row>
    <row r="115">
      <c r="A115" s="7" t="n"/>
      <c r="B115" s="7" t="n"/>
      <c r="C115" s="8" t="n"/>
      <c r="D115" s="7" t="n"/>
      <c r="E115" s="8">
        <f>IF(C115="","",IFERROR(C115*D115/100,0))</f>
        <v/>
      </c>
      <c r="F115" s="8">
        <f>IF(C115="","",IFERROR(E115*0.6,0))</f>
        <v/>
      </c>
      <c r="G115" s="8">
        <f>IF(C115="","",IFERROR(E115*0.25,0))</f>
        <v/>
      </c>
      <c r="H115" s="8">
        <f>IF(C115="","",F115-G115)</f>
        <v/>
      </c>
      <c r="I115" s="7" t="n"/>
      <c r="J115" s="7" t="n"/>
    </row>
  </sheetData>
  <mergeCells count="2">
    <mergeCell ref="A3:P3"/>
    <mergeCell ref="A2:P2"/>
  </mergeCells>
  <dataValidations count="2">
    <dataValidation sqref="I6:I115" showDropDown="0" showInputMessage="0" showErrorMessage="0" allowBlank="1" errorTitle="Erreur de saisie" error="Valeur non autorisée" promptTitle="Liste déroulante" prompt="Sélectionnez dans la liste" type="list">
      <formula1>'F02 - _Lists'!$E$6:$E$35</formula1>
    </dataValidation>
    <dataValidation sqref="J6:J115" showDropDown="0" showInputMessage="0" showErrorMessage="0" allowBlank="1" errorTitle="Erreur de saisie" error="Valeur non autorisée" promptTitle="Liste déroulante" prompt="Sélectionnez dans la liste" type="list">
      <formula1>'F02 - _Lists'!$S$6:$S$35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949AB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20" customWidth="1" min="4" max="4"/>
    <col width="18" customWidth="1" min="5" max="5"/>
    <col width="20" customWidth="1" min="6" max="6"/>
    <col width="18" customWidth="1" min="7" max="7"/>
    <col width="18" customWidth="1" min="8" max="8"/>
    <col width="20" customWidth="1" min="9" max="9"/>
    <col width="24" customWidth="1" min="10" max="10"/>
  </cols>
  <sheetData>
    <row r="2" ht="25" customHeight="1">
      <c r="A2" s="1" t="inlineStr">
        <is>
          <t>DOMAINE 26 — 7-AVANTAGES EN NATURE ET INDEMNITÉS</t>
        </is>
      </c>
    </row>
    <row r="3" ht="18" customHeight="1">
      <c r="A3" s="2" t="inlineStr">
        <is>
          <t>TABLEAU DYNAMIQUE — Évaluation et traitement fiscal des avantages</t>
        </is>
      </c>
    </row>
    <row r="5">
      <c r="A5" s="3" t="inlineStr">
        <is>
          <t>Type Avantage</t>
        </is>
      </c>
      <c r="B5" s="3" t="inlineStr">
        <is>
          <t>Nb Bénéficiaires</t>
        </is>
      </c>
      <c r="C5" s="3" t="inlineStr">
        <is>
          <t>Valeur Unitaire (FCFA)</t>
        </is>
      </c>
      <c r="D5" s="3" t="inlineStr">
        <is>
          <t>Valeur Totale (FCFA)</t>
        </is>
      </c>
      <c r="E5" s="3" t="inlineStr">
        <is>
          <t>TVA Associée (FCFA)</t>
        </is>
      </c>
      <c r="F5" s="3" t="inlineStr">
        <is>
          <t>Base Imposable (FCFA)</t>
        </is>
      </c>
      <c r="G5" s="3" t="inlineStr">
        <is>
          <t>Fiscalité Dues (FCFA)</t>
        </is>
      </c>
      <c r="H5" s="3" t="inlineStr">
        <is>
          <t>Taux Imposition (%)</t>
        </is>
      </c>
      <c r="I5" s="3" t="inlineStr">
        <is>
          <t>Coût Employeur Net (FCFA)</t>
        </is>
      </c>
      <c r="J5" s="3" t="inlineStr">
        <is>
          <t>Département</t>
        </is>
      </c>
    </row>
    <row r="6">
      <c r="A6" s="4" t="inlineStr">
        <is>
          <t>Logement de fonction</t>
        </is>
      </c>
      <c r="B6" s="4" t="n">
        <v>8</v>
      </c>
      <c r="C6" s="5" t="n">
        <v>350000</v>
      </c>
      <c r="D6" s="5">
        <f>B6*C6</f>
        <v/>
      </c>
      <c r="E6" s="5">
        <f>IFERROR(D6*0.1925,0)</f>
        <v/>
      </c>
      <c r="F6" s="5">
        <f>D6+E6</f>
        <v/>
      </c>
      <c r="G6" s="5">
        <f>IFERROR(F6*H6/100,0)</f>
        <v/>
      </c>
      <c r="H6" s="4" t="n">
        <v>10</v>
      </c>
      <c r="I6" s="5">
        <f>D6+G6</f>
        <v/>
      </c>
      <c r="J6" s="4" t="inlineStr">
        <is>
          <t>Direction Générale</t>
        </is>
      </c>
    </row>
    <row r="7">
      <c r="A7" s="7" t="inlineStr">
        <is>
          <t>Véhicule de fonction</t>
        </is>
      </c>
      <c r="B7" s="7" t="n">
        <v>12</v>
      </c>
      <c r="C7" s="8" t="n">
        <v>180000</v>
      </c>
      <c r="D7" s="8">
        <f>B7*C7</f>
        <v/>
      </c>
      <c r="E7" s="8">
        <f>IFERROR(D7*0.1925,0)</f>
        <v/>
      </c>
      <c r="F7" s="8">
        <f>D7+E7</f>
        <v/>
      </c>
      <c r="G7" s="8">
        <f>IFERROR(F7*H7/100,0)</f>
        <v/>
      </c>
      <c r="H7" s="7" t="n">
        <v>10</v>
      </c>
      <c r="I7" s="8">
        <f>D7+G7</f>
        <v/>
      </c>
      <c r="J7" s="7" t="inlineStr">
        <is>
          <t>Tous départements</t>
        </is>
      </c>
    </row>
    <row r="8">
      <c r="A8" s="4" t="inlineStr">
        <is>
          <t>Téléphone professionnel</t>
        </is>
      </c>
      <c r="B8" s="4" t="n">
        <v>50</v>
      </c>
      <c r="C8" s="5" t="n">
        <v>25000</v>
      </c>
      <c r="D8" s="5">
        <f>B8*C8</f>
        <v/>
      </c>
      <c r="E8" s="5">
        <f>IFERROR(D8*0.1925,0)</f>
        <v/>
      </c>
      <c r="F8" s="5">
        <f>D8+E8</f>
        <v/>
      </c>
      <c r="G8" s="5">
        <f>IFERROR(F8*H8/100,0)</f>
        <v/>
      </c>
      <c r="H8" s="4" t="n">
        <v>0</v>
      </c>
      <c r="I8" s="5">
        <f>D8+G8</f>
        <v/>
      </c>
      <c r="J8" s="4" t="inlineStr">
        <is>
          <t>Tous départements</t>
        </is>
      </c>
    </row>
    <row r="9">
      <c r="A9" s="7" t="inlineStr">
        <is>
          <t>Repas cantine</t>
        </is>
      </c>
      <c r="B9" s="7" t="n">
        <v>120</v>
      </c>
      <c r="C9" s="8" t="n">
        <v>45000</v>
      </c>
      <c r="D9" s="8">
        <f>B9*C9</f>
        <v/>
      </c>
      <c r="E9" s="8">
        <f>IFERROR(D9*0.1925,0)</f>
        <v/>
      </c>
      <c r="F9" s="8">
        <f>D9+E9</f>
        <v/>
      </c>
      <c r="G9" s="8">
        <f>IFERROR(F9*H9/100,0)</f>
        <v/>
      </c>
      <c r="H9" s="7" t="n">
        <v>0</v>
      </c>
      <c r="I9" s="8">
        <f>D9+G9</f>
        <v/>
      </c>
      <c r="J9" s="7" t="inlineStr">
        <is>
          <t>Tous départements</t>
        </is>
      </c>
    </row>
    <row r="10">
      <c r="A10" s="4" t="inlineStr">
        <is>
          <t>Indemnité transport</t>
        </is>
      </c>
      <c r="B10" s="4" t="n">
        <v>120</v>
      </c>
      <c r="C10" s="5" t="n">
        <v>30000</v>
      </c>
      <c r="D10" s="5">
        <f>B10*C10</f>
        <v/>
      </c>
      <c r="E10" s="5">
        <f>IFERROR(D10*0.1925,0)</f>
        <v/>
      </c>
      <c r="F10" s="5">
        <f>D10+E10</f>
        <v/>
      </c>
      <c r="G10" s="5">
        <f>IFERROR(F10*H10/100,0)</f>
        <v/>
      </c>
      <c r="H10" s="4" t="n">
        <v>0</v>
      </c>
      <c r="I10" s="5">
        <f>D10+G10</f>
        <v/>
      </c>
      <c r="J10" s="4" t="inlineStr">
        <is>
          <t>Tous départements</t>
        </is>
      </c>
    </row>
    <row r="11">
      <c r="A11" s="7" t="inlineStr">
        <is>
          <t>Indemnité logement</t>
        </is>
      </c>
      <c r="B11" s="7" t="n">
        <v>35</v>
      </c>
      <c r="C11" s="8" t="n">
        <v>150000</v>
      </c>
      <c r="D11" s="8">
        <f>B11*C11</f>
        <v/>
      </c>
      <c r="E11" s="8">
        <f>IFERROR(D11*0.1925,0)</f>
        <v/>
      </c>
      <c r="F11" s="8">
        <f>D11+E11</f>
        <v/>
      </c>
      <c r="G11" s="8">
        <f>IFERROR(F11*H11/100,0)</f>
        <v/>
      </c>
      <c r="H11" s="7" t="n">
        <v>15</v>
      </c>
      <c r="I11" s="8">
        <f>D11+G11</f>
        <v/>
      </c>
      <c r="J11" s="7" t="inlineStr">
        <is>
          <t>Cuisine &amp; Restauration</t>
        </is>
      </c>
    </row>
    <row r="12">
      <c r="A12" s="4" t="inlineStr">
        <is>
          <t>Abonnement mutuelle</t>
        </is>
      </c>
      <c r="B12" s="4" t="n">
        <v>154</v>
      </c>
      <c r="C12" s="5" t="n">
        <v>12000</v>
      </c>
      <c r="D12" s="5">
        <f>B12*C12</f>
        <v/>
      </c>
      <c r="E12" s="5">
        <f>IFERROR(D12*0.1925,0)</f>
        <v/>
      </c>
      <c r="F12" s="5">
        <f>D12+E12</f>
        <v/>
      </c>
      <c r="G12" s="5">
        <f>IFERROR(F12*H12/100,0)</f>
        <v/>
      </c>
      <c r="H12" s="4" t="n">
        <v>0</v>
      </c>
      <c r="I12" s="5">
        <f>D12+G12</f>
        <v/>
      </c>
      <c r="J12" s="4" t="inlineStr">
        <is>
          <t>Tous départements</t>
        </is>
      </c>
    </row>
    <row r="13">
      <c r="A13" s="7" t="inlineStr">
        <is>
          <t>Indemnité scolarité</t>
        </is>
      </c>
      <c r="B13" s="7" t="n">
        <v>5</v>
      </c>
      <c r="C13" s="8" t="n">
        <v>200000</v>
      </c>
      <c r="D13" s="8">
        <f>B13*C13</f>
        <v/>
      </c>
      <c r="E13" s="8">
        <f>IFERROR(D13*0.1925,0)</f>
        <v/>
      </c>
      <c r="F13" s="8">
        <f>D13+E13</f>
        <v/>
      </c>
      <c r="G13" s="8">
        <f>IFERROR(F13*H13/100,0)</f>
        <v/>
      </c>
      <c r="H13" s="7" t="n">
        <v>0</v>
      </c>
      <c r="I13" s="8">
        <f>D13+G13</f>
        <v/>
      </c>
      <c r="J13" s="7" t="inlineStr">
        <is>
          <t>Direction Générale</t>
        </is>
      </c>
    </row>
    <row r="14">
      <c r="A14" s="4" t="inlineStr">
        <is>
          <t>Frais médicaux</t>
        </is>
      </c>
      <c r="B14" s="4" t="n">
        <v>80</v>
      </c>
      <c r="C14" s="5" t="n">
        <v>20000</v>
      </c>
      <c r="D14" s="5">
        <f>B14*C14</f>
        <v/>
      </c>
      <c r="E14" s="5">
        <f>IFERROR(D14*0.1925,0)</f>
        <v/>
      </c>
      <c r="F14" s="5">
        <f>D14+E14</f>
        <v/>
      </c>
      <c r="G14" s="5">
        <f>IFERROR(F14*H14/100,0)</f>
        <v/>
      </c>
      <c r="H14" s="4" t="n">
        <v>0</v>
      </c>
      <c r="I14" s="5">
        <f>D14+G14</f>
        <v/>
      </c>
      <c r="J14" s="4" t="inlineStr">
        <is>
          <t>Tous départements</t>
        </is>
      </c>
    </row>
    <row r="15">
      <c r="A15" s="7" t="inlineStr">
        <is>
          <t>Indemnité expatriation</t>
        </is>
      </c>
      <c r="B15" s="7" t="n">
        <v>5</v>
      </c>
      <c r="C15" s="8" t="n">
        <v>500000</v>
      </c>
      <c r="D15" s="8">
        <f>B15*C15</f>
        <v/>
      </c>
      <c r="E15" s="8">
        <f>IFERROR(D15*0.1925,0)</f>
        <v/>
      </c>
      <c r="F15" s="8">
        <f>D15+E15</f>
        <v/>
      </c>
      <c r="G15" s="8">
        <f>IFERROR(F15*H15/100,0)</f>
        <v/>
      </c>
      <c r="H15" s="7" t="n">
        <v>20</v>
      </c>
      <c r="I15" s="8">
        <f>D15+G15</f>
        <v/>
      </c>
      <c r="J15" s="7" t="inlineStr">
        <is>
          <t>Tous départements</t>
        </is>
      </c>
    </row>
    <row r="16">
      <c r="A16" s="4" t="n"/>
      <c r="B16" s="4" t="n"/>
      <c r="C16" s="5" t="n"/>
      <c r="D16" s="5">
        <f>IF(B16="","",B16*C16)</f>
        <v/>
      </c>
      <c r="E16" s="5">
        <f>IF(D16="","",IFERROR(D16*0.1925,0))</f>
        <v/>
      </c>
      <c r="F16" s="5">
        <f>IF(D16="","",D16+E16)</f>
        <v/>
      </c>
      <c r="G16" s="5">
        <f>IF(F16="","",IFERROR(F16*H16/100,0))</f>
        <v/>
      </c>
      <c r="H16" s="4" t="n"/>
      <c r="I16" s="5">
        <f>IF(D16="","",D16+G16)</f>
        <v/>
      </c>
      <c r="J16" s="4" t="n"/>
    </row>
    <row r="17">
      <c r="A17" s="7" t="n"/>
      <c r="B17" s="7" t="n"/>
      <c r="C17" s="8" t="n"/>
      <c r="D17" s="8">
        <f>IF(B17="","",B17*C17)</f>
        <v/>
      </c>
      <c r="E17" s="8">
        <f>IF(D17="","",IFERROR(D17*0.1925,0))</f>
        <v/>
      </c>
      <c r="F17" s="8">
        <f>IF(D17="","",D17+E17)</f>
        <v/>
      </c>
      <c r="G17" s="8">
        <f>IF(F17="","",IFERROR(F17*H17/100,0))</f>
        <v/>
      </c>
      <c r="H17" s="7" t="n"/>
      <c r="I17" s="8">
        <f>IF(D17="","",D17+G17)</f>
        <v/>
      </c>
      <c r="J17" s="7" t="n"/>
    </row>
    <row r="18">
      <c r="A18" s="4" t="n"/>
      <c r="B18" s="4" t="n"/>
      <c r="C18" s="5" t="n"/>
      <c r="D18" s="5">
        <f>IF(B18="","",B18*C18)</f>
        <v/>
      </c>
      <c r="E18" s="5">
        <f>IF(D18="","",IFERROR(D18*0.1925,0))</f>
        <v/>
      </c>
      <c r="F18" s="5">
        <f>IF(D18="","",D18+E18)</f>
        <v/>
      </c>
      <c r="G18" s="5">
        <f>IF(F18="","",IFERROR(F18*H18/100,0))</f>
        <v/>
      </c>
      <c r="H18" s="4" t="n"/>
      <c r="I18" s="5">
        <f>IF(D18="","",D18+G18)</f>
        <v/>
      </c>
      <c r="J18" s="4" t="n"/>
    </row>
    <row r="19">
      <c r="A19" s="7" t="n"/>
      <c r="B19" s="7" t="n"/>
      <c r="C19" s="8" t="n"/>
      <c r="D19" s="8">
        <f>IF(B19="","",B19*C19)</f>
        <v/>
      </c>
      <c r="E19" s="8">
        <f>IF(D19="","",IFERROR(D19*0.1925,0))</f>
        <v/>
      </c>
      <c r="F19" s="8">
        <f>IF(D19="","",D19+E19)</f>
        <v/>
      </c>
      <c r="G19" s="8">
        <f>IF(F19="","",IFERROR(F19*H19/100,0))</f>
        <v/>
      </c>
      <c r="H19" s="7" t="n"/>
      <c r="I19" s="8">
        <f>IF(D19="","",D19+G19)</f>
        <v/>
      </c>
      <c r="J19" s="7" t="n"/>
    </row>
    <row r="20">
      <c r="A20" s="4" t="n"/>
      <c r="B20" s="4" t="n"/>
      <c r="C20" s="5" t="n"/>
      <c r="D20" s="5">
        <f>IF(B20="","",B20*C20)</f>
        <v/>
      </c>
      <c r="E20" s="5">
        <f>IF(D20="","",IFERROR(D20*0.1925,0))</f>
        <v/>
      </c>
      <c r="F20" s="5">
        <f>IF(D20="","",D20+E20)</f>
        <v/>
      </c>
      <c r="G20" s="5">
        <f>IF(F20="","",IFERROR(F20*H20/100,0))</f>
        <v/>
      </c>
      <c r="H20" s="4" t="n"/>
      <c r="I20" s="5">
        <f>IF(D20="","",D20+G20)</f>
        <v/>
      </c>
      <c r="J20" s="4" t="n"/>
    </row>
    <row r="21">
      <c r="A21" s="7" t="n"/>
      <c r="B21" s="7" t="n"/>
      <c r="C21" s="8" t="n"/>
      <c r="D21" s="8">
        <f>IF(B21="","",B21*C21)</f>
        <v/>
      </c>
      <c r="E21" s="8">
        <f>IF(D21="","",IFERROR(D21*0.1925,0))</f>
        <v/>
      </c>
      <c r="F21" s="8">
        <f>IF(D21="","",D21+E21)</f>
        <v/>
      </c>
      <c r="G21" s="8">
        <f>IF(F21="","",IFERROR(F21*H21/100,0))</f>
        <v/>
      </c>
      <c r="H21" s="7" t="n"/>
      <c r="I21" s="8">
        <f>IF(D21="","",D21+G21)</f>
        <v/>
      </c>
      <c r="J21" s="7" t="n"/>
    </row>
    <row r="22">
      <c r="A22" s="4" t="n"/>
      <c r="B22" s="4" t="n"/>
      <c r="C22" s="5" t="n"/>
      <c r="D22" s="5">
        <f>IF(B22="","",B22*C22)</f>
        <v/>
      </c>
      <c r="E22" s="5">
        <f>IF(D22="","",IFERROR(D22*0.1925,0))</f>
        <v/>
      </c>
      <c r="F22" s="5">
        <f>IF(D22="","",D22+E22)</f>
        <v/>
      </c>
      <c r="G22" s="5">
        <f>IF(F22="","",IFERROR(F22*H22/100,0))</f>
        <v/>
      </c>
      <c r="H22" s="4" t="n"/>
      <c r="I22" s="5">
        <f>IF(D22="","",D22+G22)</f>
        <v/>
      </c>
      <c r="J22" s="4" t="n"/>
    </row>
    <row r="23">
      <c r="A23" s="7" t="n"/>
      <c r="B23" s="7" t="n"/>
      <c r="C23" s="8" t="n"/>
      <c r="D23" s="8">
        <f>IF(B23="","",B23*C23)</f>
        <v/>
      </c>
      <c r="E23" s="8">
        <f>IF(D23="","",IFERROR(D23*0.1925,0))</f>
        <v/>
      </c>
      <c r="F23" s="8">
        <f>IF(D23="","",D23+E23)</f>
        <v/>
      </c>
      <c r="G23" s="8">
        <f>IF(F23="","",IFERROR(F23*H23/100,0))</f>
        <v/>
      </c>
      <c r="H23" s="7" t="n"/>
      <c r="I23" s="8">
        <f>IF(D23="","",D23+G23)</f>
        <v/>
      </c>
      <c r="J23" s="7" t="n"/>
    </row>
    <row r="24">
      <c r="A24" s="4" t="n"/>
      <c r="B24" s="4" t="n"/>
      <c r="C24" s="5" t="n"/>
      <c r="D24" s="5">
        <f>IF(B24="","",B24*C24)</f>
        <v/>
      </c>
      <c r="E24" s="5">
        <f>IF(D24="","",IFERROR(D24*0.1925,0))</f>
        <v/>
      </c>
      <c r="F24" s="5">
        <f>IF(D24="","",D24+E24)</f>
        <v/>
      </c>
      <c r="G24" s="5">
        <f>IF(F24="","",IFERROR(F24*H24/100,0))</f>
        <v/>
      </c>
      <c r="H24" s="4" t="n"/>
      <c r="I24" s="5">
        <f>IF(D24="","",D24+G24)</f>
        <v/>
      </c>
      <c r="J24" s="4" t="n"/>
    </row>
    <row r="25">
      <c r="A25" s="7" t="n"/>
      <c r="B25" s="7" t="n"/>
      <c r="C25" s="8" t="n"/>
      <c r="D25" s="8">
        <f>IF(B25="","",B25*C25)</f>
        <v/>
      </c>
      <c r="E25" s="8">
        <f>IF(D25="","",IFERROR(D25*0.1925,0))</f>
        <v/>
      </c>
      <c r="F25" s="8">
        <f>IF(D25="","",D25+E25)</f>
        <v/>
      </c>
      <c r="G25" s="8">
        <f>IF(F25="","",IFERROR(F25*H25/100,0))</f>
        <v/>
      </c>
      <c r="H25" s="7" t="n"/>
      <c r="I25" s="8">
        <f>IF(D25="","",D25+G25)</f>
        <v/>
      </c>
      <c r="J25" s="7" t="n"/>
    </row>
    <row r="26">
      <c r="A26" s="4" t="n"/>
      <c r="B26" s="4" t="n"/>
      <c r="C26" s="5" t="n"/>
      <c r="D26" s="5">
        <f>IF(B26="","",B26*C26)</f>
        <v/>
      </c>
      <c r="E26" s="5">
        <f>IF(D26="","",IFERROR(D26*0.1925,0))</f>
        <v/>
      </c>
      <c r="F26" s="5">
        <f>IF(D26="","",D26+E26)</f>
        <v/>
      </c>
      <c r="G26" s="5">
        <f>IF(F26="","",IFERROR(F26*H26/100,0))</f>
        <v/>
      </c>
      <c r="H26" s="4" t="n"/>
      <c r="I26" s="5">
        <f>IF(D26="","",D26+G26)</f>
        <v/>
      </c>
      <c r="J26" s="4" t="n"/>
    </row>
    <row r="27">
      <c r="A27" s="7" t="n"/>
      <c r="B27" s="7" t="n"/>
      <c r="C27" s="8" t="n"/>
      <c r="D27" s="8">
        <f>IF(B27="","",B27*C27)</f>
        <v/>
      </c>
      <c r="E27" s="8">
        <f>IF(D27="","",IFERROR(D27*0.1925,0))</f>
        <v/>
      </c>
      <c r="F27" s="8">
        <f>IF(D27="","",D27+E27)</f>
        <v/>
      </c>
      <c r="G27" s="8">
        <f>IF(F27="","",IFERROR(F27*H27/100,0))</f>
        <v/>
      </c>
      <c r="H27" s="7" t="n"/>
      <c r="I27" s="8">
        <f>IF(D27="","",D27+G27)</f>
        <v/>
      </c>
      <c r="J27" s="7" t="n"/>
    </row>
    <row r="28">
      <c r="A28" s="4" t="n"/>
      <c r="B28" s="4" t="n"/>
      <c r="C28" s="5" t="n"/>
      <c r="D28" s="5">
        <f>IF(B28="","",B28*C28)</f>
        <v/>
      </c>
      <c r="E28" s="5">
        <f>IF(D28="","",IFERROR(D28*0.1925,0))</f>
        <v/>
      </c>
      <c r="F28" s="5">
        <f>IF(D28="","",D28+E28)</f>
        <v/>
      </c>
      <c r="G28" s="5">
        <f>IF(F28="","",IFERROR(F28*H28/100,0))</f>
        <v/>
      </c>
      <c r="H28" s="4" t="n"/>
      <c r="I28" s="5">
        <f>IF(D28="","",D28+G28)</f>
        <v/>
      </c>
      <c r="J28" s="4" t="n"/>
    </row>
    <row r="29">
      <c r="A29" s="7" t="n"/>
      <c r="B29" s="7" t="n"/>
      <c r="C29" s="8" t="n"/>
      <c r="D29" s="8">
        <f>IF(B29="","",B29*C29)</f>
        <v/>
      </c>
      <c r="E29" s="8">
        <f>IF(D29="","",IFERROR(D29*0.1925,0))</f>
        <v/>
      </c>
      <c r="F29" s="8">
        <f>IF(D29="","",D29+E29)</f>
        <v/>
      </c>
      <c r="G29" s="8">
        <f>IF(F29="","",IFERROR(F29*H29/100,0))</f>
        <v/>
      </c>
      <c r="H29" s="7" t="n"/>
      <c r="I29" s="8">
        <f>IF(D29="","",D29+G29)</f>
        <v/>
      </c>
      <c r="J29" s="7" t="n"/>
    </row>
    <row r="30">
      <c r="A30" s="4" t="n"/>
      <c r="B30" s="4" t="n"/>
      <c r="C30" s="5" t="n"/>
      <c r="D30" s="5">
        <f>IF(B30="","",B30*C30)</f>
        <v/>
      </c>
      <c r="E30" s="5">
        <f>IF(D30="","",IFERROR(D30*0.1925,0))</f>
        <v/>
      </c>
      <c r="F30" s="5">
        <f>IF(D30="","",D30+E30)</f>
        <v/>
      </c>
      <c r="G30" s="5">
        <f>IF(F30="","",IFERROR(F30*H30/100,0))</f>
        <v/>
      </c>
      <c r="H30" s="4" t="n"/>
      <c r="I30" s="5">
        <f>IF(D30="","",D30+G30)</f>
        <v/>
      </c>
      <c r="J30" s="4" t="n"/>
    </row>
    <row r="31">
      <c r="A31" s="7" t="n"/>
      <c r="B31" s="7" t="n"/>
      <c r="C31" s="8" t="n"/>
      <c r="D31" s="8">
        <f>IF(B31="","",B31*C31)</f>
        <v/>
      </c>
      <c r="E31" s="8">
        <f>IF(D31="","",IFERROR(D31*0.1925,0))</f>
        <v/>
      </c>
      <c r="F31" s="8">
        <f>IF(D31="","",D31+E31)</f>
        <v/>
      </c>
      <c r="G31" s="8">
        <f>IF(F31="","",IFERROR(F31*H31/100,0))</f>
        <v/>
      </c>
      <c r="H31" s="7" t="n"/>
      <c r="I31" s="8">
        <f>IF(D31="","",D31+G31)</f>
        <v/>
      </c>
      <c r="J31" s="7" t="n"/>
    </row>
    <row r="32">
      <c r="A32" s="4" t="n"/>
      <c r="B32" s="4" t="n"/>
      <c r="C32" s="5" t="n"/>
      <c r="D32" s="5">
        <f>IF(B32="","",B32*C32)</f>
        <v/>
      </c>
      <c r="E32" s="5">
        <f>IF(D32="","",IFERROR(D32*0.1925,0))</f>
        <v/>
      </c>
      <c r="F32" s="5">
        <f>IF(D32="","",D32+E32)</f>
        <v/>
      </c>
      <c r="G32" s="5">
        <f>IF(F32="","",IFERROR(F32*H32/100,0))</f>
        <v/>
      </c>
      <c r="H32" s="4" t="n"/>
      <c r="I32" s="5">
        <f>IF(D32="","",D32+G32)</f>
        <v/>
      </c>
      <c r="J32" s="4" t="n"/>
    </row>
    <row r="33">
      <c r="A33" s="7" t="n"/>
      <c r="B33" s="7" t="n"/>
      <c r="C33" s="8" t="n"/>
      <c r="D33" s="8">
        <f>IF(B33="","",B33*C33)</f>
        <v/>
      </c>
      <c r="E33" s="8">
        <f>IF(D33="","",IFERROR(D33*0.1925,0))</f>
        <v/>
      </c>
      <c r="F33" s="8">
        <f>IF(D33="","",D33+E33)</f>
        <v/>
      </c>
      <c r="G33" s="8">
        <f>IF(F33="","",IFERROR(F33*H33/100,0))</f>
        <v/>
      </c>
      <c r="H33" s="7" t="n"/>
      <c r="I33" s="8">
        <f>IF(D33="","",D33+G33)</f>
        <v/>
      </c>
      <c r="J33" s="7" t="n"/>
    </row>
    <row r="34">
      <c r="A34" s="4" t="n"/>
      <c r="B34" s="4" t="n"/>
      <c r="C34" s="5" t="n"/>
      <c r="D34" s="5">
        <f>IF(B34="","",B34*C34)</f>
        <v/>
      </c>
      <c r="E34" s="5">
        <f>IF(D34="","",IFERROR(D34*0.1925,0))</f>
        <v/>
      </c>
      <c r="F34" s="5">
        <f>IF(D34="","",D34+E34)</f>
        <v/>
      </c>
      <c r="G34" s="5">
        <f>IF(F34="","",IFERROR(F34*H34/100,0))</f>
        <v/>
      </c>
      <c r="H34" s="4" t="n"/>
      <c r="I34" s="5">
        <f>IF(D34="","",D34+G34)</f>
        <v/>
      </c>
      <c r="J34" s="4" t="n"/>
    </row>
    <row r="35">
      <c r="A35" s="7" t="n"/>
      <c r="B35" s="7" t="n"/>
      <c r="C35" s="8" t="n"/>
      <c r="D35" s="8">
        <f>IF(B35="","",B35*C35)</f>
        <v/>
      </c>
      <c r="E35" s="8">
        <f>IF(D35="","",IFERROR(D35*0.1925,0))</f>
        <v/>
      </c>
      <c r="F35" s="8">
        <f>IF(D35="","",D35+E35)</f>
        <v/>
      </c>
      <c r="G35" s="8">
        <f>IF(F35="","",IFERROR(F35*H35/100,0))</f>
        <v/>
      </c>
      <c r="H35" s="7" t="n"/>
      <c r="I35" s="8">
        <f>IF(D35="","",D35+G35)</f>
        <v/>
      </c>
      <c r="J35" s="7" t="n"/>
    </row>
    <row r="36">
      <c r="A36" s="4" t="n"/>
      <c r="B36" s="4" t="n"/>
      <c r="C36" s="5" t="n"/>
      <c r="D36" s="5">
        <f>IF(B36="","",B36*C36)</f>
        <v/>
      </c>
      <c r="E36" s="5">
        <f>IF(D36="","",IFERROR(D36*0.1925,0))</f>
        <v/>
      </c>
      <c r="F36" s="5">
        <f>IF(D36="","",D36+E36)</f>
        <v/>
      </c>
      <c r="G36" s="5">
        <f>IF(F36="","",IFERROR(F36*H36/100,0))</f>
        <v/>
      </c>
      <c r="H36" s="4" t="n"/>
      <c r="I36" s="5">
        <f>IF(D36="","",D36+G36)</f>
        <v/>
      </c>
      <c r="J36" s="4" t="n"/>
    </row>
    <row r="37">
      <c r="A37" s="7" t="n"/>
      <c r="B37" s="7" t="n"/>
      <c r="C37" s="8" t="n"/>
      <c r="D37" s="8">
        <f>IF(B37="","",B37*C37)</f>
        <v/>
      </c>
      <c r="E37" s="8">
        <f>IF(D37="","",IFERROR(D37*0.1925,0))</f>
        <v/>
      </c>
      <c r="F37" s="8">
        <f>IF(D37="","",D37+E37)</f>
        <v/>
      </c>
      <c r="G37" s="8">
        <f>IF(F37="","",IFERROR(F37*H37/100,0))</f>
        <v/>
      </c>
      <c r="H37" s="7" t="n"/>
      <c r="I37" s="8">
        <f>IF(D37="","",D37+G37)</f>
        <v/>
      </c>
      <c r="J37" s="7" t="n"/>
    </row>
    <row r="38">
      <c r="A38" s="4" t="n"/>
      <c r="B38" s="4" t="n"/>
      <c r="C38" s="5" t="n"/>
      <c r="D38" s="5">
        <f>IF(B38="","",B38*C38)</f>
        <v/>
      </c>
      <c r="E38" s="5">
        <f>IF(D38="","",IFERROR(D38*0.1925,0))</f>
        <v/>
      </c>
      <c r="F38" s="5">
        <f>IF(D38="","",D38+E38)</f>
        <v/>
      </c>
      <c r="G38" s="5">
        <f>IF(F38="","",IFERROR(F38*H38/100,0))</f>
        <v/>
      </c>
      <c r="H38" s="4" t="n"/>
      <c r="I38" s="5">
        <f>IF(D38="","",D38+G38)</f>
        <v/>
      </c>
      <c r="J38" s="4" t="n"/>
    </row>
    <row r="39">
      <c r="A39" s="7" t="n"/>
      <c r="B39" s="7" t="n"/>
      <c r="C39" s="8" t="n"/>
      <c r="D39" s="8">
        <f>IF(B39="","",B39*C39)</f>
        <v/>
      </c>
      <c r="E39" s="8">
        <f>IF(D39="","",IFERROR(D39*0.1925,0))</f>
        <v/>
      </c>
      <c r="F39" s="8">
        <f>IF(D39="","",D39+E39)</f>
        <v/>
      </c>
      <c r="G39" s="8">
        <f>IF(F39="","",IFERROR(F39*H39/100,0))</f>
        <v/>
      </c>
      <c r="H39" s="7" t="n"/>
      <c r="I39" s="8">
        <f>IF(D39="","",D39+G39)</f>
        <v/>
      </c>
      <c r="J39" s="7" t="n"/>
    </row>
    <row r="40">
      <c r="A40" s="4" t="n"/>
      <c r="B40" s="4" t="n"/>
      <c r="C40" s="5" t="n"/>
      <c r="D40" s="5">
        <f>IF(B40="","",B40*C40)</f>
        <v/>
      </c>
      <c r="E40" s="5">
        <f>IF(D40="","",IFERROR(D40*0.1925,0))</f>
        <v/>
      </c>
      <c r="F40" s="5">
        <f>IF(D40="","",D40+E40)</f>
        <v/>
      </c>
      <c r="G40" s="5">
        <f>IF(F40="","",IFERROR(F40*H40/100,0))</f>
        <v/>
      </c>
      <c r="H40" s="4" t="n"/>
      <c r="I40" s="5">
        <f>IF(D40="","",D40+G40)</f>
        <v/>
      </c>
      <c r="J40" s="4" t="n"/>
    </row>
    <row r="41">
      <c r="A41" s="7" t="n"/>
      <c r="B41" s="7" t="n"/>
      <c r="C41" s="8" t="n"/>
      <c r="D41" s="8">
        <f>IF(B41="","",B41*C41)</f>
        <v/>
      </c>
      <c r="E41" s="8">
        <f>IF(D41="","",IFERROR(D41*0.1925,0))</f>
        <v/>
      </c>
      <c r="F41" s="8">
        <f>IF(D41="","",D41+E41)</f>
        <v/>
      </c>
      <c r="G41" s="8">
        <f>IF(F41="","",IFERROR(F41*H41/100,0))</f>
        <v/>
      </c>
      <c r="H41" s="7" t="n"/>
      <c r="I41" s="8">
        <f>IF(D41="","",D41+G41)</f>
        <v/>
      </c>
      <c r="J41" s="7" t="n"/>
    </row>
    <row r="42">
      <c r="A42" s="4" t="n"/>
      <c r="B42" s="4" t="n"/>
      <c r="C42" s="5" t="n"/>
      <c r="D42" s="5">
        <f>IF(B42="","",B42*C42)</f>
        <v/>
      </c>
      <c r="E42" s="5">
        <f>IF(D42="","",IFERROR(D42*0.1925,0))</f>
        <v/>
      </c>
      <c r="F42" s="5">
        <f>IF(D42="","",D42+E42)</f>
        <v/>
      </c>
      <c r="G42" s="5">
        <f>IF(F42="","",IFERROR(F42*H42/100,0))</f>
        <v/>
      </c>
      <c r="H42" s="4" t="n"/>
      <c r="I42" s="5">
        <f>IF(D42="","",D42+G42)</f>
        <v/>
      </c>
      <c r="J42" s="4" t="n"/>
    </row>
    <row r="43">
      <c r="A43" s="7" t="n"/>
      <c r="B43" s="7" t="n"/>
      <c r="C43" s="8" t="n"/>
      <c r="D43" s="8">
        <f>IF(B43="","",B43*C43)</f>
        <v/>
      </c>
      <c r="E43" s="8">
        <f>IF(D43="","",IFERROR(D43*0.1925,0))</f>
        <v/>
      </c>
      <c r="F43" s="8">
        <f>IF(D43="","",D43+E43)</f>
        <v/>
      </c>
      <c r="G43" s="8">
        <f>IF(F43="","",IFERROR(F43*H43/100,0))</f>
        <v/>
      </c>
      <c r="H43" s="7" t="n"/>
      <c r="I43" s="8">
        <f>IF(D43="","",D43+G43)</f>
        <v/>
      </c>
      <c r="J43" s="7" t="n"/>
    </row>
    <row r="44">
      <c r="A44" s="4" t="n"/>
      <c r="B44" s="4" t="n"/>
      <c r="C44" s="5" t="n"/>
      <c r="D44" s="5">
        <f>IF(B44="","",B44*C44)</f>
        <v/>
      </c>
      <c r="E44" s="5">
        <f>IF(D44="","",IFERROR(D44*0.1925,0))</f>
        <v/>
      </c>
      <c r="F44" s="5">
        <f>IF(D44="","",D44+E44)</f>
        <v/>
      </c>
      <c r="G44" s="5">
        <f>IF(F44="","",IFERROR(F44*H44/100,0))</f>
        <v/>
      </c>
      <c r="H44" s="4" t="n"/>
      <c r="I44" s="5">
        <f>IF(D44="","",D44+G44)</f>
        <v/>
      </c>
      <c r="J44" s="4" t="n"/>
    </row>
    <row r="45">
      <c r="A45" s="7" t="n"/>
      <c r="B45" s="7" t="n"/>
      <c r="C45" s="8" t="n"/>
      <c r="D45" s="8">
        <f>IF(B45="","",B45*C45)</f>
        <v/>
      </c>
      <c r="E45" s="8">
        <f>IF(D45="","",IFERROR(D45*0.1925,0))</f>
        <v/>
      </c>
      <c r="F45" s="8">
        <f>IF(D45="","",D45+E45)</f>
        <v/>
      </c>
      <c r="G45" s="8">
        <f>IF(F45="","",IFERROR(F45*H45/100,0))</f>
        <v/>
      </c>
      <c r="H45" s="7" t="n"/>
      <c r="I45" s="8">
        <f>IF(D45="","",D45+G45)</f>
        <v/>
      </c>
      <c r="J45" s="7" t="n"/>
    </row>
    <row r="46">
      <c r="A46" s="4" t="n"/>
      <c r="B46" s="4" t="n"/>
      <c r="C46" s="5" t="n"/>
      <c r="D46" s="5">
        <f>IF(B46="","",B46*C46)</f>
        <v/>
      </c>
      <c r="E46" s="5">
        <f>IF(D46="","",IFERROR(D46*0.1925,0))</f>
        <v/>
      </c>
      <c r="F46" s="5">
        <f>IF(D46="","",D46+E46)</f>
        <v/>
      </c>
      <c r="G46" s="5">
        <f>IF(F46="","",IFERROR(F46*H46/100,0))</f>
        <v/>
      </c>
      <c r="H46" s="4" t="n"/>
      <c r="I46" s="5">
        <f>IF(D46="","",D46+G46)</f>
        <v/>
      </c>
      <c r="J46" s="4" t="n"/>
    </row>
    <row r="47">
      <c r="A47" s="7" t="n"/>
      <c r="B47" s="7" t="n"/>
      <c r="C47" s="8" t="n"/>
      <c r="D47" s="8">
        <f>IF(B47="","",B47*C47)</f>
        <v/>
      </c>
      <c r="E47" s="8">
        <f>IF(D47="","",IFERROR(D47*0.1925,0))</f>
        <v/>
      </c>
      <c r="F47" s="8">
        <f>IF(D47="","",D47+E47)</f>
        <v/>
      </c>
      <c r="G47" s="8">
        <f>IF(F47="","",IFERROR(F47*H47/100,0))</f>
        <v/>
      </c>
      <c r="H47" s="7" t="n"/>
      <c r="I47" s="8">
        <f>IF(D47="","",D47+G47)</f>
        <v/>
      </c>
      <c r="J47" s="7" t="n"/>
    </row>
    <row r="48">
      <c r="A48" s="4" t="n"/>
      <c r="B48" s="4" t="n"/>
      <c r="C48" s="5" t="n"/>
      <c r="D48" s="5">
        <f>IF(B48="","",B48*C48)</f>
        <v/>
      </c>
      <c r="E48" s="5">
        <f>IF(D48="","",IFERROR(D48*0.1925,0))</f>
        <v/>
      </c>
      <c r="F48" s="5">
        <f>IF(D48="","",D48+E48)</f>
        <v/>
      </c>
      <c r="G48" s="5">
        <f>IF(F48="","",IFERROR(F48*H48/100,0))</f>
        <v/>
      </c>
      <c r="H48" s="4" t="n"/>
      <c r="I48" s="5">
        <f>IF(D48="","",D48+G48)</f>
        <v/>
      </c>
      <c r="J48" s="4" t="n"/>
    </row>
    <row r="49">
      <c r="A49" s="7" t="n"/>
      <c r="B49" s="7" t="n"/>
      <c r="C49" s="8" t="n"/>
      <c r="D49" s="8">
        <f>IF(B49="","",B49*C49)</f>
        <v/>
      </c>
      <c r="E49" s="8">
        <f>IF(D49="","",IFERROR(D49*0.1925,0))</f>
        <v/>
      </c>
      <c r="F49" s="8">
        <f>IF(D49="","",D49+E49)</f>
        <v/>
      </c>
      <c r="G49" s="8">
        <f>IF(F49="","",IFERROR(F49*H49/100,0))</f>
        <v/>
      </c>
      <c r="H49" s="7" t="n"/>
      <c r="I49" s="8">
        <f>IF(D49="","",D49+G49)</f>
        <v/>
      </c>
      <c r="J49" s="7" t="n"/>
    </row>
    <row r="50">
      <c r="A50" s="4" t="n"/>
      <c r="B50" s="4" t="n"/>
      <c r="C50" s="5" t="n"/>
      <c r="D50" s="5">
        <f>IF(B50="","",B50*C50)</f>
        <v/>
      </c>
      <c r="E50" s="5">
        <f>IF(D50="","",IFERROR(D50*0.1925,0))</f>
        <v/>
      </c>
      <c r="F50" s="5">
        <f>IF(D50="","",D50+E50)</f>
        <v/>
      </c>
      <c r="G50" s="5">
        <f>IF(F50="","",IFERROR(F50*H50/100,0))</f>
        <v/>
      </c>
      <c r="H50" s="4" t="n"/>
      <c r="I50" s="5">
        <f>IF(D50="","",D50+G50)</f>
        <v/>
      </c>
      <c r="J50" s="4" t="n"/>
    </row>
    <row r="51">
      <c r="A51" s="7" t="n"/>
      <c r="B51" s="7" t="n"/>
      <c r="C51" s="8" t="n"/>
      <c r="D51" s="8">
        <f>IF(B51="","",B51*C51)</f>
        <v/>
      </c>
      <c r="E51" s="8">
        <f>IF(D51="","",IFERROR(D51*0.1925,0))</f>
        <v/>
      </c>
      <c r="F51" s="8">
        <f>IF(D51="","",D51+E51)</f>
        <v/>
      </c>
      <c r="G51" s="8">
        <f>IF(F51="","",IFERROR(F51*H51/100,0))</f>
        <v/>
      </c>
      <c r="H51" s="7" t="n"/>
      <c r="I51" s="8">
        <f>IF(D51="","",D51+G51)</f>
        <v/>
      </c>
      <c r="J51" s="7" t="n"/>
    </row>
    <row r="52">
      <c r="A52" s="4" t="n"/>
      <c r="B52" s="4" t="n"/>
      <c r="C52" s="5" t="n"/>
      <c r="D52" s="5">
        <f>IF(B52="","",B52*C52)</f>
        <v/>
      </c>
      <c r="E52" s="5">
        <f>IF(D52="","",IFERROR(D52*0.1925,0))</f>
        <v/>
      </c>
      <c r="F52" s="5">
        <f>IF(D52="","",D52+E52)</f>
        <v/>
      </c>
      <c r="G52" s="5">
        <f>IF(F52="","",IFERROR(F52*H52/100,0))</f>
        <v/>
      </c>
      <c r="H52" s="4" t="n"/>
      <c r="I52" s="5">
        <f>IF(D52="","",D52+G52)</f>
        <v/>
      </c>
      <c r="J52" s="4" t="n"/>
    </row>
    <row r="53">
      <c r="A53" s="7" t="n"/>
      <c r="B53" s="7" t="n"/>
      <c r="C53" s="8" t="n"/>
      <c r="D53" s="8">
        <f>IF(B53="","",B53*C53)</f>
        <v/>
      </c>
      <c r="E53" s="8">
        <f>IF(D53="","",IFERROR(D53*0.1925,0))</f>
        <v/>
      </c>
      <c r="F53" s="8">
        <f>IF(D53="","",D53+E53)</f>
        <v/>
      </c>
      <c r="G53" s="8">
        <f>IF(F53="","",IFERROR(F53*H53/100,0))</f>
        <v/>
      </c>
      <c r="H53" s="7" t="n"/>
      <c r="I53" s="8">
        <f>IF(D53="","",D53+G53)</f>
        <v/>
      </c>
      <c r="J53" s="7" t="n"/>
    </row>
    <row r="54">
      <c r="A54" s="4" t="n"/>
      <c r="B54" s="4" t="n"/>
      <c r="C54" s="5" t="n"/>
      <c r="D54" s="5">
        <f>IF(B54="","",B54*C54)</f>
        <v/>
      </c>
      <c r="E54" s="5">
        <f>IF(D54="","",IFERROR(D54*0.1925,0))</f>
        <v/>
      </c>
      <c r="F54" s="5">
        <f>IF(D54="","",D54+E54)</f>
        <v/>
      </c>
      <c r="G54" s="5">
        <f>IF(F54="","",IFERROR(F54*H54/100,0))</f>
        <v/>
      </c>
      <c r="H54" s="4" t="n"/>
      <c r="I54" s="5">
        <f>IF(D54="","",D54+G54)</f>
        <v/>
      </c>
      <c r="J54" s="4" t="n"/>
    </row>
    <row r="55">
      <c r="A55" s="7" t="n"/>
      <c r="B55" s="7" t="n"/>
      <c r="C55" s="8" t="n"/>
      <c r="D55" s="8">
        <f>IF(B55="","",B55*C55)</f>
        <v/>
      </c>
      <c r="E55" s="8">
        <f>IF(D55="","",IFERROR(D55*0.1925,0))</f>
        <v/>
      </c>
      <c r="F55" s="8">
        <f>IF(D55="","",D55+E55)</f>
        <v/>
      </c>
      <c r="G55" s="8">
        <f>IF(F55="","",IFERROR(F55*H55/100,0))</f>
        <v/>
      </c>
      <c r="H55" s="7" t="n"/>
      <c r="I55" s="8">
        <f>IF(D55="","",D55+G55)</f>
        <v/>
      </c>
      <c r="J55" s="7" t="n"/>
    </row>
    <row r="56">
      <c r="A56" s="4" t="n"/>
      <c r="B56" s="4" t="n"/>
      <c r="C56" s="5" t="n"/>
      <c r="D56" s="5">
        <f>IF(B56="","",B56*C56)</f>
        <v/>
      </c>
      <c r="E56" s="5">
        <f>IF(D56="","",IFERROR(D56*0.1925,0))</f>
        <v/>
      </c>
      <c r="F56" s="5">
        <f>IF(D56="","",D56+E56)</f>
        <v/>
      </c>
      <c r="G56" s="5">
        <f>IF(F56="","",IFERROR(F56*H56/100,0))</f>
        <v/>
      </c>
      <c r="H56" s="4" t="n"/>
      <c r="I56" s="5">
        <f>IF(D56="","",D56+G56)</f>
        <v/>
      </c>
      <c r="J56" s="4" t="n"/>
    </row>
    <row r="57">
      <c r="A57" s="7" t="n"/>
      <c r="B57" s="7" t="n"/>
      <c r="C57" s="8" t="n"/>
      <c r="D57" s="8">
        <f>IF(B57="","",B57*C57)</f>
        <v/>
      </c>
      <c r="E57" s="8">
        <f>IF(D57="","",IFERROR(D57*0.1925,0))</f>
        <v/>
      </c>
      <c r="F57" s="8">
        <f>IF(D57="","",D57+E57)</f>
        <v/>
      </c>
      <c r="G57" s="8">
        <f>IF(F57="","",IFERROR(F57*H57/100,0))</f>
        <v/>
      </c>
      <c r="H57" s="7" t="n"/>
      <c r="I57" s="8">
        <f>IF(D57="","",D57+G57)</f>
        <v/>
      </c>
      <c r="J57" s="7" t="n"/>
    </row>
    <row r="58">
      <c r="A58" s="4" t="n"/>
      <c r="B58" s="4" t="n"/>
      <c r="C58" s="5" t="n"/>
      <c r="D58" s="5">
        <f>IF(B58="","",B58*C58)</f>
        <v/>
      </c>
      <c r="E58" s="5">
        <f>IF(D58="","",IFERROR(D58*0.1925,0))</f>
        <v/>
      </c>
      <c r="F58" s="5">
        <f>IF(D58="","",D58+E58)</f>
        <v/>
      </c>
      <c r="G58" s="5">
        <f>IF(F58="","",IFERROR(F58*H58/100,0))</f>
        <v/>
      </c>
      <c r="H58" s="4" t="n"/>
      <c r="I58" s="5">
        <f>IF(D58="","",D58+G58)</f>
        <v/>
      </c>
      <c r="J58" s="4" t="n"/>
    </row>
    <row r="59">
      <c r="A59" s="7" t="n"/>
      <c r="B59" s="7" t="n"/>
      <c r="C59" s="8" t="n"/>
      <c r="D59" s="8">
        <f>IF(B59="","",B59*C59)</f>
        <v/>
      </c>
      <c r="E59" s="8">
        <f>IF(D59="","",IFERROR(D59*0.1925,0))</f>
        <v/>
      </c>
      <c r="F59" s="8">
        <f>IF(D59="","",D59+E59)</f>
        <v/>
      </c>
      <c r="G59" s="8">
        <f>IF(F59="","",IFERROR(F59*H59/100,0))</f>
        <v/>
      </c>
      <c r="H59" s="7" t="n"/>
      <c r="I59" s="8">
        <f>IF(D59="","",D59+G59)</f>
        <v/>
      </c>
      <c r="J59" s="7" t="n"/>
    </row>
    <row r="60">
      <c r="A60" s="4" t="n"/>
      <c r="B60" s="4" t="n"/>
      <c r="C60" s="5" t="n"/>
      <c r="D60" s="5">
        <f>IF(B60="","",B60*C60)</f>
        <v/>
      </c>
      <c r="E60" s="5">
        <f>IF(D60="","",IFERROR(D60*0.1925,0))</f>
        <v/>
      </c>
      <c r="F60" s="5">
        <f>IF(D60="","",D60+E60)</f>
        <v/>
      </c>
      <c r="G60" s="5">
        <f>IF(F60="","",IFERROR(F60*H60/100,0))</f>
        <v/>
      </c>
      <c r="H60" s="4" t="n"/>
      <c r="I60" s="5">
        <f>IF(D60="","",D60+G60)</f>
        <v/>
      </c>
      <c r="J60" s="4" t="n"/>
    </row>
    <row r="61">
      <c r="A61" s="7" t="n"/>
      <c r="B61" s="7" t="n"/>
      <c r="C61" s="8" t="n"/>
      <c r="D61" s="8">
        <f>IF(B61="","",B61*C61)</f>
        <v/>
      </c>
      <c r="E61" s="8">
        <f>IF(D61="","",IFERROR(D61*0.1925,0))</f>
        <v/>
      </c>
      <c r="F61" s="8">
        <f>IF(D61="","",D61+E61)</f>
        <v/>
      </c>
      <c r="G61" s="8">
        <f>IF(F61="","",IFERROR(F61*H61/100,0))</f>
        <v/>
      </c>
      <c r="H61" s="7" t="n"/>
      <c r="I61" s="8">
        <f>IF(D61="","",D61+G61)</f>
        <v/>
      </c>
      <c r="J61" s="7" t="n"/>
    </row>
    <row r="62">
      <c r="A62" s="4" t="n"/>
      <c r="B62" s="4" t="n"/>
      <c r="C62" s="5" t="n"/>
      <c r="D62" s="5">
        <f>IF(B62="","",B62*C62)</f>
        <v/>
      </c>
      <c r="E62" s="5">
        <f>IF(D62="","",IFERROR(D62*0.1925,0))</f>
        <v/>
      </c>
      <c r="F62" s="5">
        <f>IF(D62="","",D62+E62)</f>
        <v/>
      </c>
      <c r="G62" s="5">
        <f>IF(F62="","",IFERROR(F62*H62/100,0))</f>
        <v/>
      </c>
      <c r="H62" s="4" t="n"/>
      <c r="I62" s="5">
        <f>IF(D62="","",D62+G62)</f>
        <v/>
      </c>
      <c r="J62" s="4" t="n"/>
    </row>
    <row r="63">
      <c r="A63" s="7" t="n"/>
      <c r="B63" s="7" t="n"/>
      <c r="C63" s="8" t="n"/>
      <c r="D63" s="8">
        <f>IF(B63="","",B63*C63)</f>
        <v/>
      </c>
      <c r="E63" s="8">
        <f>IF(D63="","",IFERROR(D63*0.1925,0))</f>
        <v/>
      </c>
      <c r="F63" s="8">
        <f>IF(D63="","",D63+E63)</f>
        <v/>
      </c>
      <c r="G63" s="8">
        <f>IF(F63="","",IFERROR(F63*H63/100,0))</f>
        <v/>
      </c>
      <c r="H63" s="7" t="n"/>
      <c r="I63" s="8">
        <f>IF(D63="","",D63+G63)</f>
        <v/>
      </c>
      <c r="J63" s="7" t="n"/>
    </row>
    <row r="64">
      <c r="A64" s="4" t="n"/>
      <c r="B64" s="4" t="n"/>
      <c r="C64" s="5" t="n"/>
      <c r="D64" s="5">
        <f>IF(B64="","",B64*C64)</f>
        <v/>
      </c>
      <c r="E64" s="5">
        <f>IF(D64="","",IFERROR(D64*0.1925,0))</f>
        <v/>
      </c>
      <c r="F64" s="5">
        <f>IF(D64="","",D64+E64)</f>
        <v/>
      </c>
      <c r="G64" s="5">
        <f>IF(F64="","",IFERROR(F64*H64/100,0))</f>
        <v/>
      </c>
      <c r="H64" s="4" t="n"/>
      <c r="I64" s="5">
        <f>IF(D64="","",D64+G64)</f>
        <v/>
      </c>
      <c r="J64" s="4" t="n"/>
    </row>
    <row r="65">
      <c r="A65" s="7" t="n"/>
      <c r="B65" s="7" t="n"/>
      <c r="C65" s="8" t="n"/>
      <c r="D65" s="8">
        <f>IF(B65="","",B65*C65)</f>
        <v/>
      </c>
      <c r="E65" s="8">
        <f>IF(D65="","",IFERROR(D65*0.1925,0))</f>
        <v/>
      </c>
      <c r="F65" s="8">
        <f>IF(D65="","",D65+E65)</f>
        <v/>
      </c>
      <c r="G65" s="8">
        <f>IF(F65="","",IFERROR(F65*H65/100,0))</f>
        <v/>
      </c>
      <c r="H65" s="7" t="n"/>
      <c r="I65" s="8">
        <f>IF(D65="","",D65+G65)</f>
        <v/>
      </c>
      <c r="J65" s="7" t="n"/>
    </row>
    <row r="66">
      <c r="A66" s="4" t="n"/>
      <c r="B66" s="4" t="n"/>
      <c r="C66" s="5" t="n"/>
      <c r="D66" s="5">
        <f>IF(B66="","",B66*C66)</f>
        <v/>
      </c>
      <c r="E66" s="5">
        <f>IF(D66="","",IFERROR(D66*0.1925,0))</f>
        <v/>
      </c>
      <c r="F66" s="5">
        <f>IF(D66="","",D66+E66)</f>
        <v/>
      </c>
      <c r="G66" s="5">
        <f>IF(F66="","",IFERROR(F66*H66/100,0))</f>
        <v/>
      </c>
      <c r="H66" s="4" t="n"/>
      <c r="I66" s="5">
        <f>IF(D66="","",D66+G66)</f>
        <v/>
      </c>
      <c r="J66" s="4" t="n"/>
    </row>
    <row r="67">
      <c r="A67" s="7" t="n"/>
      <c r="B67" s="7" t="n"/>
      <c r="C67" s="8" t="n"/>
      <c r="D67" s="8">
        <f>IF(B67="","",B67*C67)</f>
        <v/>
      </c>
      <c r="E67" s="8">
        <f>IF(D67="","",IFERROR(D67*0.1925,0))</f>
        <v/>
      </c>
      <c r="F67" s="8">
        <f>IF(D67="","",D67+E67)</f>
        <v/>
      </c>
      <c r="G67" s="8">
        <f>IF(F67="","",IFERROR(F67*H67/100,0))</f>
        <v/>
      </c>
      <c r="H67" s="7" t="n"/>
      <c r="I67" s="8">
        <f>IF(D67="","",D67+G67)</f>
        <v/>
      </c>
      <c r="J67" s="7" t="n"/>
    </row>
    <row r="68">
      <c r="A68" s="4" t="n"/>
      <c r="B68" s="4" t="n"/>
      <c r="C68" s="5" t="n"/>
      <c r="D68" s="5">
        <f>IF(B68="","",B68*C68)</f>
        <v/>
      </c>
      <c r="E68" s="5">
        <f>IF(D68="","",IFERROR(D68*0.1925,0))</f>
        <v/>
      </c>
      <c r="F68" s="5">
        <f>IF(D68="","",D68+E68)</f>
        <v/>
      </c>
      <c r="G68" s="5">
        <f>IF(F68="","",IFERROR(F68*H68/100,0))</f>
        <v/>
      </c>
      <c r="H68" s="4" t="n"/>
      <c r="I68" s="5">
        <f>IF(D68="","",D68+G68)</f>
        <v/>
      </c>
      <c r="J68" s="4" t="n"/>
    </row>
    <row r="69">
      <c r="A69" s="7" t="n"/>
      <c r="B69" s="7" t="n"/>
      <c r="C69" s="8" t="n"/>
      <c r="D69" s="8">
        <f>IF(B69="","",B69*C69)</f>
        <v/>
      </c>
      <c r="E69" s="8">
        <f>IF(D69="","",IFERROR(D69*0.1925,0))</f>
        <v/>
      </c>
      <c r="F69" s="8">
        <f>IF(D69="","",D69+E69)</f>
        <v/>
      </c>
      <c r="G69" s="8">
        <f>IF(F69="","",IFERROR(F69*H69/100,0))</f>
        <v/>
      </c>
      <c r="H69" s="7" t="n"/>
      <c r="I69" s="8">
        <f>IF(D69="","",D69+G69)</f>
        <v/>
      </c>
      <c r="J69" s="7" t="n"/>
    </row>
    <row r="70">
      <c r="A70" s="4" t="n"/>
      <c r="B70" s="4" t="n"/>
      <c r="C70" s="5" t="n"/>
      <c r="D70" s="5">
        <f>IF(B70="","",B70*C70)</f>
        <v/>
      </c>
      <c r="E70" s="5">
        <f>IF(D70="","",IFERROR(D70*0.1925,0))</f>
        <v/>
      </c>
      <c r="F70" s="5">
        <f>IF(D70="","",D70+E70)</f>
        <v/>
      </c>
      <c r="G70" s="5">
        <f>IF(F70="","",IFERROR(F70*H70/100,0))</f>
        <v/>
      </c>
      <c r="H70" s="4" t="n"/>
      <c r="I70" s="5">
        <f>IF(D70="","",D70+G70)</f>
        <v/>
      </c>
      <c r="J70" s="4" t="n"/>
    </row>
    <row r="71">
      <c r="A71" s="7" t="n"/>
      <c r="B71" s="7" t="n"/>
      <c r="C71" s="8" t="n"/>
      <c r="D71" s="8">
        <f>IF(B71="","",B71*C71)</f>
        <v/>
      </c>
      <c r="E71" s="8">
        <f>IF(D71="","",IFERROR(D71*0.1925,0))</f>
        <v/>
      </c>
      <c r="F71" s="8">
        <f>IF(D71="","",D71+E71)</f>
        <v/>
      </c>
      <c r="G71" s="8">
        <f>IF(F71="","",IFERROR(F71*H71/100,0))</f>
        <v/>
      </c>
      <c r="H71" s="7" t="n"/>
      <c r="I71" s="8">
        <f>IF(D71="","",D71+G71)</f>
        <v/>
      </c>
      <c r="J71" s="7" t="n"/>
    </row>
    <row r="72">
      <c r="A72" s="4" t="n"/>
      <c r="B72" s="4" t="n"/>
      <c r="C72" s="5" t="n"/>
      <c r="D72" s="5">
        <f>IF(B72="","",B72*C72)</f>
        <v/>
      </c>
      <c r="E72" s="5">
        <f>IF(D72="","",IFERROR(D72*0.1925,0))</f>
        <v/>
      </c>
      <c r="F72" s="5">
        <f>IF(D72="","",D72+E72)</f>
        <v/>
      </c>
      <c r="G72" s="5">
        <f>IF(F72="","",IFERROR(F72*H72/100,0))</f>
        <v/>
      </c>
      <c r="H72" s="4" t="n"/>
      <c r="I72" s="5">
        <f>IF(D72="","",D72+G72)</f>
        <v/>
      </c>
      <c r="J72" s="4" t="n"/>
    </row>
    <row r="73">
      <c r="A73" s="7" t="n"/>
      <c r="B73" s="7" t="n"/>
      <c r="C73" s="8" t="n"/>
      <c r="D73" s="8">
        <f>IF(B73="","",B73*C73)</f>
        <v/>
      </c>
      <c r="E73" s="8">
        <f>IF(D73="","",IFERROR(D73*0.1925,0))</f>
        <v/>
      </c>
      <c r="F73" s="8">
        <f>IF(D73="","",D73+E73)</f>
        <v/>
      </c>
      <c r="G73" s="8">
        <f>IF(F73="","",IFERROR(F73*H73/100,0))</f>
        <v/>
      </c>
      <c r="H73" s="7" t="n"/>
      <c r="I73" s="8">
        <f>IF(D73="","",D73+G73)</f>
        <v/>
      </c>
      <c r="J73" s="7" t="n"/>
    </row>
    <row r="74">
      <c r="A74" s="4" t="n"/>
      <c r="B74" s="4" t="n"/>
      <c r="C74" s="5" t="n"/>
      <c r="D74" s="5">
        <f>IF(B74="","",B74*C74)</f>
        <v/>
      </c>
      <c r="E74" s="5">
        <f>IF(D74="","",IFERROR(D74*0.1925,0))</f>
        <v/>
      </c>
      <c r="F74" s="5">
        <f>IF(D74="","",D74+E74)</f>
        <v/>
      </c>
      <c r="G74" s="5">
        <f>IF(F74="","",IFERROR(F74*H74/100,0))</f>
        <v/>
      </c>
      <c r="H74" s="4" t="n"/>
      <c r="I74" s="5">
        <f>IF(D74="","",D74+G74)</f>
        <v/>
      </c>
      <c r="J74" s="4" t="n"/>
    </row>
    <row r="75">
      <c r="A75" s="7" t="n"/>
      <c r="B75" s="7" t="n"/>
      <c r="C75" s="8" t="n"/>
      <c r="D75" s="8">
        <f>IF(B75="","",B75*C75)</f>
        <v/>
      </c>
      <c r="E75" s="8">
        <f>IF(D75="","",IFERROR(D75*0.1925,0))</f>
        <v/>
      </c>
      <c r="F75" s="8">
        <f>IF(D75="","",D75+E75)</f>
        <v/>
      </c>
      <c r="G75" s="8">
        <f>IF(F75="","",IFERROR(F75*H75/100,0))</f>
        <v/>
      </c>
      <c r="H75" s="7" t="n"/>
      <c r="I75" s="8">
        <f>IF(D75="","",D75+G75)</f>
        <v/>
      </c>
      <c r="J75" s="7" t="n"/>
    </row>
    <row r="76">
      <c r="A76" s="4" t="n"/>
      <c r="B76" s="4" t="n"/>
      <c r="C76" s="5" t="n"/>
      <c r="D76" s="5">
        <f>IF(B76="","",B76*C76)</f>
        <v/>
      </c>
      <c r="E76" s="5">
        <f>IF(D76="","",IFERROR(D76*0.1925,0))</f>
        <v/>
      </c>
      <c r="F76" s="5">
        <f>IF(D76="","",D76+E76)</f>
        <v/>
      </c>
      <c r="G76" s="5">
        <f>IF(F76="","",IFERROR(F76*H76/100,0))</f>
        <v/>
      </c>
      <c r="H76" s="4" t="n"/>
      <c r="I76" s="5">
        <f>IF(D76="","",D76+G76)</f>
        <v/>
      </c>
      <c r="J76" s="4" t="n"/>
    </row>
    <row r="77">
      <c r="A77" s="7" t="n"/>
      <c r="B77" s="7" t="n"/>
      <c r="C77" s="8" t="n"/>
      <c r="D77" s="8">
        <f>IF(B77="","",B77*C77)</f>
        <v/>
      </c>
      <c r="E77" s="8">
        <f>IF(D77="","",IFERROR(D77*0.1925,0))</f>
        <v/>
      </c>
      <c r="F77" s="8">
        <f>IF(D77="","",D77+E77)</f>
        <v/>
      </c>
      <c r="G77" s="8">
        <f>IF(F77="","",IFERROR(F77*H77/100,0))</f>
        <v/>
      </c>
      <c r="H77" s="7" t="n"/>
      <c r="I77" s="8">
        <f>IF(D77="","",D77+G77)</f>
        <v/>
      </c>
      <c r="J77" s="7" t="n"/>
    </row>
    <row r="78">
      <c r="A78" s="4" t="n"/>
      <c r="B78" s="4" t="n"/>
      <c r="C78" s="5" t="n"/>
      <c r="D78" s="5">
        <f>IF(B78="","",B78*C78)</f>
        <v/>
      </c>
      <c r="E78" s="5">
        <f>IF(D78="","",IFERROR(D78*0.1925,0))</f>
        <v/>
      </c>
      <c r="F78" s="5">
        <f>IF(D78="","",D78+E78)</f>
        <v/>
      </c>
      <c r="G78" s="5">
        <f>IF(F78="","",IFERROR(F78*H78/100,0))</f>
        <v/>
      </c>
      <c r="H78" s="4" t="n"/>
      <c r="I78" s="5">
        <f>IF(D78="","",D78+G78)</f>
        <v/>
      </c>
      <c r="J78" s="4" t="n"/>
    </row>
    <row r="79">
      <c r="A79" s="7" t="n"/>
      <c r="B79" s="7" t="n"/>
      <c r="C79" s="8" t="n"/>
      <c r="D79" s="8">
        <f>IF(B79="","",B79*C79)</f>
        <v/>
      </c>
      <c r="E79" s="8">
        <f>IF(D79="","",IFERROR(D79*0.1925,0))</f>
        <v/>
      </c>
      <c r="F79" s="8">
        <f>IF(D79="","",D79+E79)</f>
        <v/>
      </c>
      <c r="G79" s="8">
        <f>IF(F79="","",IFERROR(F79*H79/100,0))</f>
        <v/>
      </c>
      <c r="H79" s="7" t="n"/>
      <c r="I79" s="8">
        <f>IF(D79="","",D79+G79)</f>
        <v/>
      </c>
      <c r="J79" s="7" t="n"/>
    </row>
    <row r="80">
      <c r="A80" s="4" t="n"/>
      <c r="B80" s="4" t="n"/>
      <c r="C80" s="5" t="n"/>
      <c r="D80" s="5">
        <f>IF(B80="","",B80*C80)</f>
        <v/>
      </c>
      <c r="E80" s="5">
        <f>IF(D80="","",IFERROR(D80*0.1925,0))</f>
        <v/>
      </c>
      <c r="F80" s="5">
        <f>IF(D80="","",D80+E80)</f>
        <v/>
      </c>
      <c r="G80" s="5">
        <f>IF(F80="","",IFERROR(F80*H80/100,0))</f>
        <v/>
      </c>
      <c r="H80" s="4" t="n"/>
      <c r="I80" s="5">
        <f>IF(D80="","",D80+G80)</f>
        <v/>
      </c>
      <c r="J80" s="4" t="n"/>
    </row>
    <row r="81">
      <c r="A81" s="7" t="n"/>
      <c r="B81" s="7" t="n"/>
      <c r="C81" s="8" t="n"/>
      <c r="D81" s="8">
        <f>IF(B81="","",B81*C81)</f>
        <v/>
      </c>
      <c r="E81" s="8">
        <f>IF(D81="","",IFERROR(D81*0.1925,0))</f>
        <v/>
      </c>
      <c r="F81" s="8">
        <f>IF(D81="","",D81+E81)</f>
        <v/>
      </c>
      <c r="G81" s="8">
        <f>IF(F81="","",IFERROR(F81*H81/100,0))</f>
        <v/>
      </c>
      <c r="H81" s="7" t="n"/>
      <c r="I81" s="8">
        <f>IF(D81="","",D81+G81)</f>
        <v/>
      </c>
      <c r="J81" s="7" t="n"/>
    </row>
    <row r="82">
      <c r="A82" s="4" t="n"/>
      <c r="B82" s="4" t="n"/>
      <c r="C82" s="5" t="n"/>
      <c r="D82" s="5">
        <f>IF(B82="","",B82*C82)</f>
        <v/>
      </c>
      <c r="E82" s="5">
        <f>IF(D82="","",IFERROR(D82*0.1925,0))</f>
        <v/>
      </c>
      <c r="F82" s="5">
        <f>IF(D82="","",D82+E82)</f>
        <v/>
      </c>
      <c r="G82" s="5">
        <f>IF(F82="","",IFERROR(F82*H82/100,0))</f>
        <v/>
      </c>
      <c r="H82" s="4" t="n"/>
      <c r="I82" s="5">
        <f>IF(D82="","",D82+G82)</f>
        <v/>
      </c>
      <c r="J82" s="4" t="n"/>
    </row>
    <row r="83">
      <c r="A83" s="7" t="n"/>
      <c r="B83" s="7" t="n"/>
      <c r="C83" s="8" t="n"/>
      <c r="D83" s="8">
        <f>IF(B83="","",B83*C83)</f>
        <v/>
      </c>
      <c r="E83" s="8">
        <f>IF(D83="","",IFERROR(D83*0.1925,0))</f>
        <v/>
      </c>
      <c r="F83" s="8">
        <f>IF(D83="","",D83+E83)</f>
        <v/>
      </c>
      <c r="G83" s="8">
        <f>IF(F83="","",IFERROR(F83*H83/100,0))</f>
        <v/>
      </c>
      <c r="H83" s="7" t="n"/>
      <c r="I83" s="8">
        <f>IF(D83="","",D83+G83)</f>
        <v/>
      </c>
      <c r="J83" s="7" t="n"/>
    </row>
    <row r="84">
      <c r="A84" s="4" t="n"/>
      <c r="B84" s="4" t="n"/>
      <c r="C84" s="5" t="n"/>
      <c r="D84" s="5">
        <f>IF(B84="","",B84*C84)</f>
        <v/>
      </c>
      <c r="E84" s="5">
        <f>IF(D84="","",IFERROR(D84*0.1925,0))</f>
        <v/>
      </c>
      <c r="F84" s="5">
        <f>IF(D84="","",D84+E84)</f>
        <v/>
      </c>
      <c r="G84" s="5">
        <f>IF(F84="","",IFERROR(F84*H84/100,0))</f>
        <v/>
      </c>
      <c r="H84" s="4" t="n"/>
      <c r="I84" s="5">
        <f>IF(D84="","",D84+G84)</f>
        <v/>
      </c>
      <c r="J84" s="4" t="n"/>
    </row>
    <row r="85">
      <c r="A85" s="7" t="n"/>
      <c r="B85" s="7" t="n"/>
      <c r="C85" s="8" t="n"/>
      <c r="D85" s="8">
        <f>IF(B85="","",B85*C85)</f>
        <v/>
      </c>
      <c r="E85" s="8">
        <f>IF(D85="","",IFERROR(D85*0.1925,0))</f>
        <v/>
      </c>
      <c r="F85" s="8">
        <f>IF(D85="","",D85+E85)</f>
        <v/>
      </c>
      <c r="G85" s="8">
        <f>IF(F85="","",IFERROR(F85*H85/100,0))</f>
        <v/>
      </c>
      <c r="H85" s="7" t="n"/>
      <c r="I85" s="8">
        <f>IF(D85="","",D85+G85)</f>
        <v/>
      </c>
      <c r="J85" s="7" t="n"/>
    </row>
    <row r="86">
      <c r="A86" s="4" t="n"/>
      <c r="B86" s="4" t="n"/>
      <c r="C86" s="5" t="n"/>
      <c r="D86" s="5">
        <f>IF(B86="","",B86*C86)</f>
        <v/>
      </c>
      <c r="E86" s="5">
        <f>IF(D86="","",IFERROR(D86*0.1925,0))</f>
        <v/>
      </c>
      <c r="F86" s="5">
        <f>IF(D86="","",D86+E86)</f>
        <v/>
      </c>
      <c r="G86" s="5">
        <f>IF(F86="","",IFERROR(F86*H86/100,0))</f>
        <v/>
      </c>
      <c r="H86" s="4" t="n"/>
      <c r="I86" s="5">
        <f>IF(D86="","",D86+G86)</f>
        <v/>
      </c>
      <c r="J86" s="4" t="n"/>
    </row>
    <row r="87">
      <c r="A87" s="7" t="n"/>
      <c r="B87" s="7" t="n"/>
      <c r="C87" s="8" t="n"/>
      <c r="D87" s="8">
        <f>IF(B87="","",B87*C87)</f>
        <v/>
      </c>
      <c r="E87" s="8">
        <f>IF(D87="","",IFERROR(D87*0.1925,0))</f>
        <v/>
      </c>
      <c r="F87" s="8">
        <f>IF(D87="","",D87+E87)</f>
        <v/>
      </c>
      <c r="G87" s="8">
        <f>IF(F87="","",IFERROR(F87*H87/100,0))</f>
        <v/>
      </c>
      <c r="H87" s="7" t="n"/>
      <c r="I87" s="8">
        <f>IF(D87="","",D87+G87)</f>
        <v/>
      </c>
      <c r="J87" s="7" t="n"/>
    </row>
    <row r="88">
      <c r="A88" s="4" t="n"/>
      <c r="B88" s="4" t="n"/>
      <c r="C88" s="5" t="n"/>
      <c r="D88" s="5">
        <f>IF(B88="","",B88*C88)</f>
        <v/>
      </c>
      <c r="E88" s="5">
        <f>IF(D88="","",IFERROR(D88*0.1925,0))</f>
        <v/>
      </c>
      <c r="F88" s="5">
        <f>IF(D88="","",D88+E88)</f>
        <v/>
      </c>
      <c r="G88" s="5">
        <f>IF(F88="","",IFERROR(F88*H88/100,0))</f>
        <v/>
      </c>
      <c r="H88" s="4" t="n"/>
      <c r="I88" s="5">
        <f>IF(D88="","",D88+G88)</f>
        <v/>
      </c>
      <c r="J88" s="4" t="n"/>
    </row>
    <row r="89">
      <c r="A89" s="7" t="n"/>
      <c r="B89" s="7" t="n"/>
      <c r="C89" s="8" t="n"/>
      <c r="D89" s="8">
        <f>IF(B89="","",B89*C89)</f>
        <v/>
      </c>
      <c r="E89" s="8">
        <f>IF(D89="","",IFERROR(D89*0.1925,0))</f>
        <v/>
      </c>
      <c r="F89" s="8">
        <f>IF(D89="","",D89+E89)</f>
        <v/>
      </c>
      <c r="G89" s="8">
        <f>IF(F89="","",IFERROR(F89*H89/100,0))</f>
        <v/>
      </c>
      <c r="H89" s="7" t="n"/>
      <c r="I89" s="8">
        <f>IF(D89="","",D89+G89)</f>
        <v/>
      </c>
      <c r="J89" s="7" t="n"/>
    </row>
    <row r="90">
      <c r="A90" s="4" t="n"/>
      <c r="B90" s="4" t="n"/>
      <c r="C90" s="5" t="n"/>
      <c r="D90" s="5">
        <f>IF(B90="","",B90*C90)</f>
        <v/>
      </c>
      <c r="E90" s="5">
        <f>IF(D90="","",IFERROR(D90*0.1925,0))</f>
        <v/>
      </c>
      <c r="F90" s="5">
        <f>IF(D90="","",D90+E90)</f>
        <v/>
      </c>
      <c r="G90" s="5">
        <f>IF(F90="","",IFERROR(F90*H90/100,0))</f>
        <v/>
      </c>
      <c r="H90" s="4" t="n"/>
      <c r="I90" s="5">
        <f>IF(D90="","",D90+G90)</f>
        <v/>
      </c>
      <c r="J90" s="4" t="n"/>
    </row>
    <row r="91">
      <c r="A91" s="7" t="n"/>
      <c r="B91" s="7" t="n"/>
      <c r="C91" s="8" t="n"/>
      <c r="D91" s="8">
        <f>IF(B91="","",B91*C91)</f>
        <v/>
      </c>
      <c r="E91" s="8">
        <f>IF(D91="","",IFERROR(D91*0.1925,0))</f>
        <v/>
      </c>
      <c r="F91" s="8">
        <f>IF(D91="","",D91+E91)</f>
        <v/>
      </c>
      <c r="G91" s="8">
        <f>IF(F91="","",IFERROR(F91*H91/100,0))</f>
        <v/>
      </c>
      <c r="H91" s="7" t="n"/>
      <c r="I91" s="8">
        <f>IF(D91="","",D91+G91)</f>
        <v/>
      </c>
      <c r="J91" s="7" t="n"/>
    </row>
    <row r="92">
      <c r="A92" s="4" t="n"/>
      <c r="B92" s="4" t="n"/>
      <c r="C92" s="5" t="n"/>
      <c r="D92" s="5">
        <f>IF(B92="","",B92*C92)</f>
        <v/>
      </c>
      <c r="E92" s="5">
        <f>IF(D92="","",IFERROR(D92*0.1925,0))</f>
        <v/>
      </c>
      <c r="F92" s="5">
        <f>IF(D92="","",D92+E92)</f>
        <v/>
      </c>
      <c r="G92" s="5">
        <f>IF(F92="","",IFERROR(F92*H92/100,0))</f>
        <v/>
      </c>
      <c r="H92" s="4" t="n"/>
      <c r="I92" s="5">
        <f>IF(D92="","",D92+G92)</f>
        <v/>
      </c>
      <c r="J92" s="4" t="n"/>
    </row>
    <row r="93">
      <c r="A93" s="7" t="n"/>
      <c r="B93" s="7" t="n"/>
      <c r="C93" s="8" t="n"/>
      <c r="D93" s="8">
        <f>IF(B93="","",B93*C93)</f>
        <v/>
      </c>
      <c r="E93" s="8">
        <f>IF(D93="","",IFERROR(D93*0.1925,0))</f>
        <v/>
      </c>
      <c r="F93" s="8">
        <f>IF(D93="","",D93+E93)</f>
        <v/>
      </c>
      <c r="G93" s="8">
        <f>IF(F93="","",IFERROR(F93*H93/100,0))</f>
        <v/>
      </c>
      <c r="H93" s="7" t="n"/>
      <c r="I93" s="8">
        <f>IF(D93="","",D93+G93)</f>
        <v/>
      </c>
      <c r="J93" s="7" t="n"/>
    </row>
    <row r="94">
      <c r="A94" s="4" t="n"/>
      <c r="B94" s="4" t="n"/>
      <c r="C94" s="5" t="n"/>
      <c r="D94" s="5">
        <f>IF(B94="","",B94*C94)</f>
        <v/>
      </c>
      <c r="E94" s="5">
        <f>IF(D94="","",IFERROR(D94*0.1925,0))</f>
        <v/>
      </c>
      <c r="F94" s="5">
        <f>IF(D94="","",D94+E94)</f>
        <v/>
      </c>
      <c r="G94" s="5">
        <f>IF(F94="","",IFERROR(F94*H94/100,0))</f>
        <v/>
      </c>
      <c r="H94" s="4" t="n"/>
      <c r="I94" s="5">
        <f>IF(D94="","",D94+G94)</f>
        <v/>
      </c>
      <c r="J94" s="4" t="n"/>
    </row>
    <row r="95">
      <c r="A95" s="7" t="n"/>
      <c r="B95" s="7" t="n"/>
      <c r="C95" s="8" t="n"/>
      <c r="D95" s="8">
        <f>IF(B95="","",B95*C95)</f>
        <v/>
      </c>
      <c r="E95" s="8">
        <f>IF(D95="","",IFERROR(D95*0.1925,0))</f>
        <v/>
      </c>
      <c r="F95" s="8">
        <f>IF(D95="","",D95+E95)</f>
        <v/>
      </c>
      <c r="G95" s="8">
        <f>IF(F95="","",IFERROR(F95*H95/100,0))</f>
        <v/>
      </c>
      <c r="H95" s="7" t="n"/>
      <c r="I95" s="8">
        <f>IF(D95="","",D95+G95)</f>
        <v/>
      </c>
      <c r="J95" s="7" t="n"/>
    </row>
    <row r="96">
      <c r="A96" s="4" t="n"/>
      <c r="B96" s="4" t="n"/>
      <c r="C96" s="5" t="n"/>
      <c r="D96" s="5">
        <f>IF(B96="","",B96*C96)</f>
        <v/>
      </c>
      <c r="E96" s="5">
        <f>IF(D96="","",IFERROR(D96*0.1925,0))</f>
        <v/>
      </c>
      <c r="F96" s="5">
        <f>IF(D96="","",D96+E96)</f>
        <v/>
      </c>
      <c r="G96" s="5">
        <f>IF(F96="","",IFERROR(F96*H96/100,0))</f>
        <v/>
      </c>
      <c r="H96" s="4" t="n"/>
      <c r="I96" s="5">
        <f>IF(D96="","",D96+G96)</f>
        <v/>
      </c>
      <c r="J96" s="4" t="n"/>
    </row>
    <row r="97">
      <c r="A97" s="7" t="n"/>
      <c r="B97" s="7" t="n"/>
      <c r="C97" s="8" t="n"/>
      <c r="D97" s="8">
        <f>IF(B97="","",B97*C97)</f>
        <v/>
      </c>
      <c r="E97" s="8">
        <f>IF(D97="","",IFERROR(D97*0.1925,0))</f>
        <v/>
      </c>
      <c r="F97" s="8">
        <f>IF(D97="","",D97+E97)</f>
        <v/>
      </c>
      <c r="G97" s="8">
        <f>IF(F97="","",IFERROR(F97*H97/100,0))</f>
        <v/>
      </c>
      <c r="H97" s="7" t="n"/>
      <c r="I97" s="8">
        <f>IF(D97="","",D97+G97)</f>
        <v/>
      </c>
      <c r="J97" s="7" t="n"/>
    </row>
    <row r="98">
      <c r="A98" s="4" t="n"/>
      <c r="B98" s="4" t="n"/>
      <c r="C98" s="5" t="n"/>
      <c r="D98" s="5">
        <f>IF(B98="","",B98*C98)</f>
        <v/>
      </c>
      <c r="E98" s="5">
        <f>IF(D98="","",IFERROR(D98*0.1925,0))</f>
        <v/>
      </c>
      <c r="F98" s="5">
        <f>IF(D98="","",D98+E98)</f>
        <v/>
      </c>
      <c r="G98" s="5">
        <f>IF(F98="","",IFERROR(F98*H98/100,0))</f>
        <v/>
      </c>
      <c r="H98" s="4" t="n"/>
      <c r="I98" s="5">
        <f>IF(D98="","",D98+G98)</f>
        <v/>
      </c>
      <c r="J98" s="4" t="n"/>
    </row>
    <row r="99">
      <c r="A99" s="7" t="n"/>
      <c r="B99" s="7" t="n"/>
      <c r="C99" s="8" t="n"/>
      <c r="D99" s="8">
        <f>IF(B99="","",B99*C99)</f>
        <v/>
      </c>
      <c r="E99" s="8">
        <f>IF(D99="","",IFERROR(D99*0.1925,0))</f>
        <v/>
      </c>
      <c r="F99" s="8">
        <f>IF(D99="","",D99+E99)</f>
        <v/>
      </c>
      <c r="G99" s="8">
        <f>IF(F99="","",IFERROR(F99*H99/100,0))</f>
        <v/>
      </c>
      <c r="H99" s="7" t="n"/>
      <c r="I99" s="8">
        <f>IF(D99="","",D99+G99)</f>
        <v/>
      </c>
      <c r="J99" s="7" t="n"/>
    </row>
    <row r="100">
      <c r="A100" s="4" t="n"/>
      <c r="B100" s="4" t="n"/>
      <c r="C100" s="5" t="n"/>
      <c r="D100" s="5">
        <f>IF(B100="","",B100*C100)</f>
        <v/>
      </c>
      <c r="E100" s="5">
        <f>IF(D100="","",IFERROR(D100*0.1925,0))</f>
        <v/>
      </c>
      <c r="F100" s="5">
        <f>IF(D100="","",D100+E100)</f>
        <v/>
      </c>
      <c r="G100" s="5">
        <f>IF(F100="","",IFERROR(F100*H100/100,0))</f>
        <v/>
      </c>
      <c r="H100" s="4" t="n"/>
      <c r="I100" s="5">
        <f>IF(D100="","",D100+G100)</f>
        <v/>
      </c>
      <c r="J100" s="4" t="n"/>
    </row>
    <row r="101">
      <c r="A101" s="7" t="n"/>
      <c r="B101" s="7" t="n"/>
      <c r="C101" s="8" t="n"/>
      <c r="D101" s="8">
        <f>IF(B101="","",B101*C101)</f>
        <v/>
      </c>
      <c r="E101" s="8">
        <f>IF(D101="","",IFERROR(D101*0.1925,0))</f>
        <v/>
      </c>
      <c r="F101" s="8">
        <f>IF(D101="","",D101+E101)</f>
        <v/>
      </c>
      <c r="G101" s="8">
        <f>IF(F101="","",IFERROR(F101*H101/100,0))</f>
        <v/>
      </c>
      <c r="H101" s="7" t="n"/>
      <c r="I101" s="8">
        <f>IF(D101="","",D101+G101)</f>
        <v/>
      </c>
      <c r="J101" s="7" t="n"/>
    </row>
    <row r="102">
      <c r="A102" s="4" t="n"/>
      <c r="B102" s="4" t="n"/>
      <c r="C102" s="5" t="n"/>
      <c r="D102" s="5">
        <f>IF(B102="","",B102*C102)</f>
        <v/>
      </c>
      <c r="E102" s="5">
        <f>IF(D102="","",IFERROR(D102*0.1925,0))</f>
        <v/>
      </c>
      <c r="F102" s="5">
        <f>IF(D102="","",D102+E102)</f>
        <v/>
      </c>
      <c r="G102" s="5">
        <f>IF(F102="","",IFERROR(F102*H102/100,0))</f>
        <v/>
      </c>
      <c r="H102" s="4" t="n"/>
      <c r="I102" s="5">
        <f>IF(D102="","",D102+G102)</f>
        <v/>
      </c>
      <c r="J102" s="4" t="n"/>
    </row>
    <row r="103">
      <c r="A103" s="7" t="n"/>
      <c r="B103" s="7" t="n"/>
      <c r="C103" s="8" t="n"/>
      <c r="D103" s="8">
        <f>IF(B103="","",B103*C103)</f>
        <v/>
      </c>
      <c r="E103" s="8">
        <f>IF(D103="","",IFERROR(D103*0.1925,0))</f>
        <v/>
      </c>
      <c r="F103" s="8">
        <f>IF(D103="","",D103+E103)</f>
        <v/>
      </c>
      <c r="G103" s="8">
        <f>IF(F103="","",IFERROR(F103*H103/100,0))</f>
        <v/>
      </c>
      <c r="H103" s="7" t="n"/>
      <c r="I103" s="8">
        <f>IF(D103="","",D103+G103)</f>
        <v/>
      </c>
      <c r="J103" s="7" t="n"/>
    </row>
    <row r="104">
      <c r="A104" s="4" t="n"/>
      <c r="B104" s="4" t="n"/>
      <c r="C104" s="5" t="n"/>
      <c r="D104" s="5">
        <f>IF(B104="","",B104*C104)</f>
        <v/>
      </c>
      <c r="E104" s="5">
        <f>IF(D104="","",IFERROR(D104*0.1925,0))</f>
        <v/>
      </c>
      <c r="F104" s="5">
        <f>IF(D104="","",D104+E104)</f>
        <v/>
      </c>
      <c r="G104" s="5">
        <f>IF(F104="","",IFERROR(F104*H104/100,0))</f>
        <v/>
      </c>
      <c r="H104" s="4" t="n"/>
      <c r="I104" s="5">
        <f>IF(D104="","",D104+G104)</f>
        <v/>
      </c>
      <c r="J104" s="4" t="n"/>
    </row>
    <row r="105">
      <c r="A105" s="7" t="n"/>
      <c r="B105" s="7" t="n"/>
      <c r="C105" s="8" t="n"/>
      <c r="D105" s="8">
        <f>IF(B105="","",B105*C105)</f>
        <v/>
      </c>
      <c r="E105" s="8">
        <f>IF(D105="","",IFERROR(D105*0.1925,0))</f>
        <v/>
      </c>
      <c r="F105" s="8">
        <f>IF(D105="","",D105+E105)</f>
        <v/>
      </c>
      <c r="G105" s="8">
        <f>IF(F105="","",IFERROR(F105*H105/100,0))</f>
        <v/>
      </c>
      <c r="H105" s="7" t="n"/>
      <c r="I105" s="8">
        <f>IF(D105="","",D105+G105)</f>
        <v/>
      </c>
      <c r="J105" s="7" t="n"/>
    </row>
    <row r="106">
      <c r="A106" s="4" t="n"/>
      <c r="B106" s="4" t="n"/>
      <c r="C106" s="5" t="n"/>
      <c r="D106" s="5">
        <f>IF(B106="","",B106*C106)</f>
        <v/>
      </c>
      <c r="E106" s="5">
        <f>IF(D106="","",IFERROR(D106*0.1925,0))</f>
        <v/>
      </c>
      <c r="F106" s="5">
        <f>IF(D106="","",D106+E106)</f>
        <v/>
      </c>
      <c r="G106" s="5">
        <f>IF(F106="","",IFERROR(F106*H106/100,0))</f>
        <v/>
      </c>
      <c r="H106" s="4" t="n"/>
      <c r="I106" s="5">
        <f>IF(D106="","",D106+G106)</f>
        <v/>
      </c>
      <c r="J106" s="4" t="n"/>
    </row>
    <row r="107">
      <c r="A107" s="7" t="n"/>
      <c r="B107" s="7" t="n"/>
      <c r="C107" s="8" t="n"/>
      <c r="D107" s="8">
        <f>IF(B107="","",B107*C107)</f>
        <v/>
      </c>
      <c r="E107" s="8">
        <f>IF(D107="","",IFERROR(D107*0.1925,0))</f>
        <v/>
      </c>
      <c r="F107" s="8">
        <f>IF(D107="","",D107+E107)</f>
        <v/>
      </c>
      <c r="G107" s="8">
        <f>IF(F107="","",IFERROR(F107*H107/100,0))</f>
        <v/>
      </c>
      <c r="H107" s="7" t="n"/>
      <c r="I107" s="8">
        <f>IF(D107="","",D107+G107)</f>
        <v/>
      </c>
      <c r="J107" s="7" t="n"/>
    </row>
    <row r="108">
      <c r="A108" s="4" t="n"/>
      <c r="B108" s="4" t="n"/>
      <c r="C108" s="5" t="n"/>
      <c r="D108" s="5">
        <f>IF(B108="","",B108*C108)</f>
        <v/>
      </c>
      <c r="E108" s="5">
        <f>IF(D108="","",IFERROR(D108*0.1925,0))</f>
        <v/>
      </c>
      <c r="F108" s="5">
        <f>IF(D108="","",D108+E108)</f>
        <v/>
      </c>
      <c r="G108" s="5">
        <f>IF(F108="","",IFERROR(F108*H108/100,0))</f>
        <v/>
      </c>
      <c r="H108" s="4" t="n"/>
      <c r="I108" s="5">
        <f>IF(D108="","",D108+G108)</f>
        <v/>
      </c>
      <c r="J108" s="4" t="n"/>
    </row>
    <row r="109">
      <c r="A109" s="7" t="n"/>
      <c r="B109" s="7" t="n"/>
      <c r="C109" s="8" t="n"/>
      <c r="D109" s="8">
        <f>IF(B109="","",B109*C109)</f>
        <v/>
      </c>
      <c r="E109" s="8">
        <f>IF(D109="","",IFERROR(D109*0.1925,0))</f>
        <v/>
      </c>
      <c r="F109" s="8">
        <f>IF(D109="","",D109+E109)</f>
        <v/>
      </c>
      <c r="G109" s="8">
        <f>IF(F109="","",IFERROR(F109*H109/100,0))</f>
        <v/>
      </c>
      <c r="H109" s="7" t="n"/>
      <c r="I109" s="8">
        <f>IF(D109="","",D109+G109)</f>
        <v/>
      </c>
      <c r="J109" s="7" t="n"/>
    </row>
    <row r="110">
      <c r="A110" s="4" t="n"/>
      <c r="B110" s="4" t="n"/>
      <c r="C110" s="5" t="n"/>
      <c r="D110" s="5">
        <f>IF(B110="","",B110*C110)</f>
        <v/>
      </c>
      <c r="E110" s="5">
        <f>IF(D110="","",IFERROR(D110*0.1925,0))</f>
        <v/>
      </c>
      <c r="F110" s="5">
        <f>IF(D110="","",D110+E110)</f>
        <v/>
      </c>
      <c r="G110" s="5">
        <f>IF(F110="","",IFERROR(F110*H110/100,0))</f>
        <v/>
      </c>
      <c r="H110" s="4" t="n"/>
      <c r="I110" s="5">
        <f>IF(D110="","",D110+G110)</f>
        <v/>
      </c>
      <c r="J110" s="4" t="n"/>
    </row>
    <row r="111">
      <c r="A111" s="7" t="n"/>
      <c r="B111" s="7" t="n"/>
      <c r="C111" s="8" t="n"/>
      <c r="D111" s="8">
        <f>IF(B111="","",B111*C111)</f>
        <v/>
      </c>
      <c r="E111" s="8">
        <f>IF(D111="","",IFERROR(D111*0.1925,0))</f>
        <v/>
      </c>
      <c r="F111" s="8">
        <f>IF(D111="","",D111+E111)</f>
        <v/>
      </c>
      <c r="G111" s="8">
        <f>IF(F111="","",IFERROR(F111*H111/100,0))</f>
        <v/>
      </c>
      <c r="H111" s="7" t="n"/>
      <c r="I111" s="8">
        <f>IF(D111="","",D111+G111)</f>
        <v/>
      </c>
      <c r="J111" s="7" t="n"/>
    </row>
    <row r="112">
      <c r="A112" s="4" t="n"/>
      <c r="B112" s="4" t="n"/>
      <c r="C112" s="5" t="n"/>
      <c r="D112" s="5">
        <f>IF(B112="","",B112*C112)</f>
        <v/>
      </c>
      <c r="E112" s="5">
        <f>IF(D112="","",IFERROR(D112*0.1925,0))</f>
        <v/>
      </c>
      <c r="F112" s="5">
        <f>IF(D112="","",D112+E112)</f>
        <v/>
      </c>
      <c r="G112" s="5">
        <f>IF(F112="","",IFERROR(F112*H112/100,0))</f>
        <v/>
      </c>
      <c r="H112" s="4" t="n"/>
      <c r="I112" s="5">
        <f>IF(D112="","",D112+G112)</f>
        <v/>
      </c>
      <c r="J112" s="4" t="n"/>
    </row>
    <row r="113">
      <c r="A113" s="7" t="n"/>
      <c r="B113" s="7" t="n"/>
      <c r="C113" s="8" t="n"/>
      <c r="D113" s="8">
        <f>IF(B113="","",B113*C113)</f>
        <v/>
      </c>
      <c r="E113" s="8">
        <f>IF(D113="","",IFERROR(D113*0.1925,0))</f>
        <v/>
      </c>
      <c r="F113" s="8">
        <f>IF(D113="","",D113+E113)</f>
        <v/>
      </c>
      <c r="G113" s="8">
        <f>IF(F113="","",IFERROR(F113*H113/100,0))</f>
        <v/>
      </c>
      <c r="H113" s="7" t="n"/>
      <c r="I113" s="8">
        <f>IF(D113="","",D113+G113)</f>
        <v/>
      </c>
      <c r="J113" s="7" t="n"/>
    </row>
    <row r="114">
      <c r="A114" s="4" t="n"/>
      <c r="B114" s="4" t="n"/>
      <c r="C114" s="5" t="n"/>
      <c r="D114" s="5">
        <f>IF(B114="","",B114*C114)</f>
        <v/>
      </c>
      <c r="E114" s="5">
        <f>IF(D114="","",IFERROR(D114*0.1925,0))</f>
        <v/>
      </c>
      <c r="F114" s="5">
        <f>IF(D114="","",D114+E114)</f>
        <v/>
      </c>
      <c r="G114" s="5">
        <f>IF(F114="","",IFERROR(F114*H114/100,0))</f>
        <v/>
      </c>
      <c r="H114" s="4" t="n"/>
      <c r="I114" s="5">
        <f>IF(D114="","",D114+G114)</f>
        <v/>
      </c>
      <c r="J114" s="4" t="n"/>
    </row>
    <row r="115">
      <c r="A115" s="7" t="n"/>
      <c r="B115" s="7" t="n"/>
      <c r="C115" s="8" t="n"/>
      <c r="D115" s="8">
        <f>IF(B115="","",B115*C115)</f>
        <v/>
      </c>
      <c r="E115" s="8">
        <f>IF(D115="","",IFERROR(D115*0.1925,0))</f>
        <v/>
      </c>
      <c r="F115" s="8">
        <f>IF(D115="","",D115+E115)</f>
        <v/>
      </c>
      <c r="G115" s="8">
        <f>IF(F115="","",IFERROR(F115*H115/100,0))</f>
        <v/>
      </c>
      <c r="H115" s="7" t="n"/>
      <c r="I115" s="8">
        <f>IF(D115="","",D115+G115)</f>
        <v/>
      </c>
      <c r="J115" s="7" t="n"/>
    </row>
  </sheetData>
  <mergeCells count="2">
    <mergeCell ref="A3:P3"/>
    <mergeCell ref="A2:P2"/>
  </mergeCells>
  <dataValidations count="1">
    <dataValidation sqref="J6:J115" showDropDown="0" showInputMessage="0" showErrorMessage="0" allowBlank="1" errorTitle="Erreur de saisie" error="Valeur non autorisée" promptTitle="Liste déroulante" prompt="Sélectionnez dans la liste" type="list">
      <formula1>'F02 - _Lists'!$B$6:$B$35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F51B5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24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18" customWidth="1" min="11" max="11"/>
  </cols>
  <sheetData>
    <row r="2" ht="25" customHeight="1">
      <c r="A2" s="1" t="inlineStr">
        <is>
          <t>DOMAINE 26 — 8-FISCALITÉ INTERNATIONALE (IMPATRIATION/EXPATRIATION)</t>
        </is>
      </c>
    </row>
    <row r="3" ht="18" customHeight="1">
      <c r="A3" s="2" t="inlineStr">
        <is>
          <t>TABLEAU DYNAMIQUE — Régimes fiscaux, conventions de non-double imposition</t>
        </is>
      </c>
    </row>
    <row r="5">
      <c r="A5" s="3" t="inlineStr">
        <is>
          <t>Pays</t>
        </is>
      </c>
      <c r="B5" s="3" t="inlineStr">
        <is>
          <t>Convention Fiscale</t>
        </is>
      </c>
      <c r="C5" s="3" t="inlineStr">
        <is>
          <t>Régime Imposition</t>
        </is>
      </c>
      <c r="D5" s="3" t="inlineStr">
        <is>
          <t>Taux Effectif (%)</t>
        </is>
      </c>
      <c r="E5" s="3" t="inlineStr">
        <is>
          <t>Revenus Imposables Locaux (FCFA)</t>
        </is>
      </c>
      <c r="F5" s="3" t="inlineStr">
        <is>
          <t>Revenus Exonérés (FCFA)</t>
        </is>
      </c>
      <c r="G5" s="3" t="inlineStr">
        <is>
          <t>Crédit d'Impôt (FCFA)</t>
        </is>
      </c>
      <c r="H5" s="3" t="inlineStr">
        <is>
          <t>Impôt Étranger (FCFA)</t>
        </is>
      </c>
      <c r="I5" s="3" t="inlineStr">
        <is>
          <t>Impôt Local Dû (FCFA)</t>
        </is>
      </c>
      <c r="J5" s="3" t="inlineStr">
        <is>
          <t>Économie Réalisée (FCFA)</t>
        </is>
      </c>
      <c r="K5" s="3" t="inlineStr">
        <is>
          <t>Statut Conformité</t>
        </is>
      </c>
    </row>
    <row r="6">
      <c r="A6" s="4" t="inlineStr">
        <is>
          <t>France</t>
        </is>
      </c>
      <c r="B6" s="4" t="inlineStr">
        <is>
          <t>Oui</t>
        </is>
      </c>
      <c r="C6" s="4" t="inlineStr">
        <is>
          <t>Régime de non-double imposition</t>
        </is>
      </c>
      <c r="D6" s="4" t="n">
        <v>30</v>
      </c>
      <c r="E6" s="5" t="n">
        <v>15000000</v>
      </c>
      <c r="F6" s="5" t="n">
        <v>8000000</v>
      </c>
      <c r="G6" s="5">
        <f>IFERROR(E6*D6/100,0)</f>
        <v/>
      </c>
      <c r="H6" s="5" t="n">
        <v>2400000</v>
      </c>
      <c r="I6" s="5">
        <f>IFERROR((E6-F6)*D6/100,0)</f>
        <v/>
      </c>
      <c r="J6" s="5">
        <f>IFERROR(G6-H6,0)</f>
        <v/>
      </c>
      <c r="K6" s="4" t="inlineStr">
        <is>
          <t>Conforme</t>
        </is>
      </c>
    </row>
    <row r="7">
      <c r="A7" s="7" t="inlineStr">
        <is>
          <t>Allemagne</t>
        </is>
      </c>
      <c r="B7" s="7" t="inlineStr">
        <is>
          <t>Oui</t>
        </is>
      </c>
      <c r="C7" s="7" t="inlineStr">
        <is>
          <t>Crédit d'impôt</t>
        </is>
      </c>
      <c r="D7" s="7" t="n">
        <v>28</v>
      </c>
      <c r="E7" s="8" t="n">
        <v>8000000</v>
      </c>
      <c r="F7" s="8" t="n">
        <v>4000000</v>
      </c>
      <c r="G7" s="8">
        <f>IFERROR(E7*D7/100,0)</f>
        <v/>
      </c>
      <c r="H7" s="8" t="n">
        <v>1120000</v>
      </c>
      <c r="I7" s="8">
        <f>IFERROR((E7-F7)*D7/100,0)</f>
        <v/>
      </c>
      <c r="J7" s="8">
        <f>IFERROR(G7-H7,0)</f>
        <v/>
      </c>
      <c r="K7" s="7" t="inlineStr">
        <is>
          <t>Conforme</t>
        </is>
      </c>
    </row>
    <row r="8">
      <c r="A8" s="4" t="inlineStr">
        <is>
          <t>Brésil</t>
        </is>
      </c>
      <c r="B8" s="4" t="inlineStr">
        <is>
          <t>Non</t>
        </is>
      </c>
      <c r="C8" s="4" t="inlineStr">
        <is>
          <t>Imposition complète</t>
        </is>
      </c>
      <c r="D8" s="4" t="n">
        <v>35</v>
      </c>
      <c r="E8" s="5" t="n">
        <v>6000000</v>
      </c>
      <c r="F8" s="5" t="n">
        <v>0</v>
      </c>
      <c r="G8" s="5">
        <f>IFERROR(E8*D8/100,0)</f>
        <v/>
      </c>
      <c r="H8" s="5" t="n">
        <v>0</v>
      </c>
      <c r="I8" s="5">
        <f>IFERROR((E8-F8)*D8/100,0)</f>
        <v/>
      </c>
      <c r="J8" s="5">
        <f>IFERROR(G8-H8,0)</f>
        <v/>
      </c>
      <c r="K8" s="4" t="inlineStr">
        <is>
          <t>En attente</t>
        </is>
      </c>
    </row>
    <row r="9">
      <c r="A9" s="7" t="inlineStr">
        <is>
          <t>Japon</t>
        </is>
      </c>
      <c r="B9" s="7" t="inlineStr">
        <is>
          <t>Oui</t>
        </is>
      </c>
      <c r="C9" s="7" t="inlineStr">
        <is>
          <t>Régime dérogatoire</t>
        </is>
      </c>
      <c r="D9" s="7" t="n">
        <v>33</v>
      </c>
      <c r="E9" s="8" t="n">
        <v>4000000</v>
      </c>
      <c r="F9" s="8" t="n">
        <v>2000000</v>
      </c>
      <c r="G9" s="8">
        <f>IFERROR(E9*D9/100,0)</f>
        <v/>
      </c>
      <c r="H9" s="8" t="n">
        <v>660000</v>
      </c>
      <c r="I9" s="8">
        <f>IFERROR((E9-F9)*D9/100,0)</f>
        <v/>
      </c>
      <c r="J9" s="8">
        <f>IFERROR(G9-H9,0)</f>
        <v/>
      </c>
      <c r="K9" s="7" t="inlineStr">
        <is>
          <t>Conforme</t>
        </is>
      </c>
    </row>
    <row r="10">
      <c r="A10" s="4" t="inlineStr">
        <is>
          <t>Royaume-Uni</t>
        </is>
      </c>
      <c r="B10" s="4" t="inlineStr">
        <is>
          <t>Oui</t>
        </is>
      </c>
      <c r="C10" s="4" t="inlineStr">
        <is>
          <t>Split payroll</t>
        </is>
      </c>
      <c r="D10" s="4" t="n">
        <v>32</v>
      </c>
      <c r="E10" s="5" t="n">
        <v>5000000</v>
      </c>
      <c r="F10" s="5" t="n">
        <v>2500000</v>
      </c>
      <c r="G10" s="5">
        <f>IFERROR(E10*D10/100,0)</f>
        <v/>
      </c>
      <c r="H10" s="5" t="n">
        <v>800000</v>
      </c>
      <c r="I10" s="5">
        <f>IFERROR((E10-F10)*D10/100,0)</f>
        <v/>
      </c>
      <c r="J10" s="5">
        <f>IFERROR(G10-H10,0)</f>
        <v/>
      </c>
      <c r="K10" s="4" t="inlineStr">
        <is>
          <t>Conforme</t>
        </is>
      </c>
    </row>
    <row r="11">
      <c r="A11" s="7" t="inlineStr">
        <is>
          <t>Chine</t>
        </is>
      </c>
      <c r="B11" s="7" t="inlineStr">
        <is>
          <t>Non</t>
        </is>
      </c>
      <c r="C11" s="7" t="inlineStr">
        <is>
          <t>Imposition source</t>
        </is>
      </c>
      <c r="D11" s="7" t="n">
        <v>25</v>
      </c>
      <c r="E11" s="8" t="n">
        <v>3500000</v>
      </c>
      <c r="F11" s="8" t="n">
        <v>0</v>
      </c>
      <c r="G11" s="8">
        <f>IFERROR(E11*D11/100,0)</f>
        <v/>
      </c>
      <c r="H11" s="8" t="n">
        <v>0</v>
      </c>
      <c r="I11" s="8">
        <f>IFERROR((E11-F11)*D11/100,0)</f>
        <v/>
      </c>
      <c r="J11" s="8">
        <f>IFERROR(G11-H11,0)</f>
        <v/>
      </c>
      <c r="K11" s="7" t="inlineStr">
        <is>
          <t>En attente</t>
        </is>
      </c>
    </row>
    <row r="12">
      <c r="A12" s="4" t="inlineStr">
        <is>
          <t>Maroc</t>
        </is>
      </c>
      <c r="B12" s="4" t="inlineStr">
        <is>
          <t>Oui</t>
        </is>
      </c>
      <c r="C12" s="4" t="inlineStr">
        <is>
          <t>Non-double imposition</t>
        </is>
      </c>
      <c r="D12" s="4" t="n">
        <v>30</v>
      </c>
      <c r="E12" s="5" t="n">
        <v>3000000</v>
      </c>
      <c r="F12" s="5" t="n">
        <v>1500000</v>
      </c>
      <c r="G12" s="5">
        <f>IFERROR(E12*D12/100,0)</f>
        <v/>
      </c>
      <c r="H12" s="5" t="n">
        <v>450000</v>
      </c>
      <c r="I12" s="5">
        <f>IFERROR((E12-F12)*D12/100,0)</f>
        <v/>
      </c>
      <c r="J12" s="5">
        <f>IFERROR(G12-H12,0)</f>
        <v/>
      </c>
      <c r="K12" s="4" t="inlineStr">
        <is>
          <t>Conforme</t>
        </is>
      </c>
    </row>
    <row r="13">
      <c r="A13" s="7" t="inlineStr">
        <is>
          <t>États-Unis</t>
        </is>
      </c>
      <c r="B13" s="7" t="inlineStr">
        <is>
          <t>Oui</t>
        </is>
      </c>
      <c r="C13" s="7" t="inlineStr">
        <is>
          <t>Régime FATCA</t>
        </is>
      </c>
      <c r="D13" s="7" t="n">
        <v>35</v>
      </c>
      <c r="E13" s="8" t="n">
        <v>4000000</v>
      </c>
      <c r="F13" s="8" t="n">
        <v>2000000</v>
      </c>
      <c r="G13" s="8">
        <f>IFERROR(E13*D13/100,0)</f>
        <v/>
      </c>
      <c r="H13" s="8" t="n">
        <v>700000</v>
      </c>
      <c r="I13" s="8">
        <f>IFERROR((E13-F13)*D13/100,0)</f>
        <v/>
      </c>
      <c r="J13" s="8">
        <f>IFERROR(G13-H13,0)</f>
        <v/>
      </c>
      <c r="K13" s="7" t="inlineStr">
        <is>
          <t>À régulariser</t>
        </is>
      </c>
    </row>
    <row r="14">
      <c r="A14" s="4" t="n"/>
      <c r="B14" s="4" t="n"/>
      <c r="C14" s="4" t="n"/>
      <c r="D14" s="4" t="n"/>
      <c r="E14" s="5" t="n"/>
      <c r="F14" s="5" t="n"/>
      <c r="G14" s="5">
        <f>IF(E14="","",IFERROR(E14*D14/100,0))</f>
        <v/>
      </c>
      <c r="H14" s="5" t="n"/>
      <c r="I14" s="5">
        <f>IF(E14="","",IFERROR((E14-F14)*D14/100,0))</f>
        <v/>
      </c>
      <c r="J14" s="5">
        <f>IF(E14="","",IFERROR(G14-H14,0))</f>
        <v/>
      </c>
      <c r="K14" s="4" t="n"/>
    </row>
    <row r="15">
      <c r="A15" s="7" t="n"/>
      <c r="B15" s="7" t="n"/>
      <c r="C15" s="7" t="n"/>
      <c r="D15" s="7" t="n"/>
      <c r="E15" s="8" t="n"/>
      <c r="F15" s="8" t="n"/>
      <c r="G15" s="8">
        <f>IF(E15="","",IFERROR(E15*D15/100,0))</f>
        <v/>
      </c>
      <c r="H15" s="8" t="n"/>
      <c r="I15" s="8">
        <f>IF(E15="","",IFERROR((E15-F15)*D15/100,0))</f>
        <v/>
      </c>
      <c r="J15" s="8">
        <f>IF(E15="","",IFERROR(G15-H15,0))</f>
        <v/>
      </c>
      <c r="K15" s="7" t="n"/>
    </row>
    <row r="16">
      <c r="A16" s="4" t="n"/>
      <c r="B16" s="4" t="n"/>
      <c r="C16" s="4" t="n"/>
      <c r="D16" s="4" t="n"/>
      <c r="E16" s="5" t="n"/>
      <c r="F16" s="5" t="n"/>
      <c r="G16" s="5">
        <f>IF(E16="","",IFERROR(E16*D16/100,0))</f>
        <v/>
      </c>
      <c r="H16" s="5" t="n"/>
      <c r="I16" s="5">
        <f>IF(E16="","",IFERROR((E16-F16)*D16/100,0))</f>
        <v/>
      </c>
      <c r="J16" s="5">
        <f>IF(E16="","",IFERROR(G16-H16,0))</f>
        <v/>
      </c>
      <c r="K16" s="4" t="n"/>
    </row>
    <row r="17">
      <c r="A17" s="7" t="n"/>
      <c r="B17" s="7" t="n"/>
      <c r="C17" s="7" t="n"/>
      <c r="D17" s="7" t="n"/>
      <c r="E17" s="8" t="n"/>
      <c r="F17" s="8" t="n"/>
      <c r="G17" s="8">
        <f>IF(E17="","",IFERROR(E17*D17/100,0))</f>
        <v/>
      </c>
      <c r="H17" s="8" t="n"/>
      <c r="I17" s="8">
        <f>IF(E17="","",IFERROR((E17-F17)*D17/100,0))</f>
        <v/>
      </c>
      <c r="J17" s="8">
        <f>IF(E17="","",IFERROR(G17-H17,0))</f>
        <v/>
      </c>
      <c r="K17" s="7" t="n"/>
    </row>
    <row r="18">
      <c r="A18" s="4" t="n"/>
      <c r="B18" s="4" t="n"/>
      <c r="C18" s="4" t="n"/>
      <c r="D18" s="4" t="n"/>
      <c r="E18" s="5" t="n"/>
      <c r="F18" s="5" t="n"/>
      <c r="G18" s="5">
        <f>IF(E18="","",IFERROR(E18*D18/100,0))</f>
        <v/>
      </c>
      <c r="H18" s="5" t="n"/>
      <c r="I18" s="5">
        <f>IF(E18="","",IFERROR((E18-F18)*D18/100,0))</f>
        <v/>
      </c>
      <c r="J18" s="5">
        <f>IF(E18="","",IFERROR(G18-H18,0))</f>
        <v/>
      </c>
      <c r="K18" s="4" t="n"/>
    </row>
    <row r="19">
      <c r="A19" s="7" t="n"/>
      <c r="B19" s="7" t="n"/>
      <c r="C19" s="7" t="n"/>
      <c r="D19" s="7" t="n"/>
      <c r="E19" s="8" t="n"/>
      <c r="F19" s="8" t="n"/>
      <c r="G19" s="8">
        <f>IF(E19="","",IFERROR(E19*D19/100,0))</f>
        <v/>
      </c>
      <c r="H19" s="8" t="n"/>
      <c r="I19" s="8">
        <f>IF(E19="","",IFERROR((E19-F19)*D19/100,0))</f>
        <v/>
      </c>
      <c r="J19" s="8">
        <f>IF(E19="","",IFERROR(G19-H19,0))</f>
        <v/>
      </c>
      <c r="K19" s="7" t="n"/>
    </row>
    <row r="20">
      <c r="A20" s="4" t="n"/>
      <c r="B20" s="4" t="n"/>
      <c r="C20" s="4" t="n"/>
      <c r="D20" s="4" t="n"/>
      <c r="E20" s="5" t="n"/>
      <c r="F20" s="5" t="n"/>
      <c r="G20" s="5">
        <f>IF(E20="","",IFERROR(E20*D20/100,0))</f>
        <v/>
      </c>
      <c r="H20" s="5" t="n"/>
      <c r="I20" s="5">
        <f>IF(E20="","",IFERROR((E20-F20)*D20/100,0))</f>
        <v/>
      </c>
      <c r="J20" s="5">
        <f>IF(E20="","",IFERROR(G20-H20,0))</f>
        <v/>
      </c>
      <c r="K20" s="4" t="n"/>
    </row>
    <row r="21">
      <c r="A21" s="7" t="n"/>
      <c r="B21" s="7" t="n"/>
      <c r="C21" s="7" t="n"/>
      <c r="D21" s="7" t="n"/>
      <c r="E21" s="8" t="n"/>
      <c r="F21" s="8" t="n"/>
      <c r="G21" s="8">
        <f>IF(E21="","",IFERROR(E21*D21/100,0))</f>
        <v/>
      </c>
      <c r="H21" s="8" t="n"/>
      <c r="I21" s="8">
        <f>IF(E21="","",IFERROR((E21-F21)*D21/100,0))</f>
        <v/>
      </c>
      <c r="J21" s="8">
        <f>IF(E21="","",IFERROR(G21-H21,0))</f>
        <v/>
      </c>
      <c r="K21" s="7" t="n"/>
    </row>
    <row r="22">
      <c r="A22" s="4" t="n"/>
      <c r="B22" s="4" t="n"/>
      <c r="C22" s="4" t="n"/>
      <c r="D22" s="4" t="n"/>
      <c r="E22" s="5" t="n"/>
      <c r="F22" s="5" t="n"/>
      <c r="G22" s="5">
        <f>IF(E22="","",IFERROR(E22*D22/100,0))</f>
        <v/>
      </c>
      <c r="H22" s="5" t="n"/>
      <c r="I22" s="5">
        <f>IF(E22="","",IFERROR((E22-F22)*D22/100,0))</f>
        <v/>
      </c>
      <c r="J22" s="5">
        <f>IF(E22="","",IFERROR(G22-H22,0))</f>
        <v/>
      </c>
      <c r="K22" s="4" t="n"/>
    </row>
    <row r="23">
      <c r="A23" s="7" t="n"/>
      <c r="B23" s="7" t="n"/>
      <c r="C23" s="7" t="n"/>
      <c r="D23" s="7" t="n"/>
      <c r="E23" s="8" t="n"/>
      <c r="F23" s="8" t="n"/>
      <c r="G23" s="8">
        <f>IF(E23="","",IFERROR(E23*D23/100,0))</f>
        <v/>
      </c>
      <c r="H23" s="8" t="n"/>
      <c r="I23" s="8">
        <f>IF(E23="","",IFERROR((E23-F23)*D23/100,0))</f>
        <v/>
      </c>
      <c r="J23" s="8">
        <f>IF(E23="","",IFERROR(G23-H23,0))</f>
        <v/>
      </c>
      <c r="K23" s="7" t="n"/>
    </row>
    <row r="24">
      <c r="A24" s="4" t="n"/>
      <c r="B24" s="4" t="n"/>
      <c r="C24" s="4" t="n"/>
      <c r="D24" s="4" t="n"/>
      <c r="E24" s="5" t="n"/>
      <c r="F24" s="5" t="n"/>
      <c r="G24" s="5">
        <f>IF(E24="","",IFERROR(E24*D24/100,0))</f>
        <v/>
      </c>
      <c r="H24" s="5" t="n"/>
      <c r="I24" s="5">
        <f>IF(E24="","",IFERROR((E24-F24)*D24/100,0))</f>
        <v/>
      </c>
      <c r="J24" s="5">
        <f>IF(E24="","",IFERROR(G24-H24,0))</f>
        <v/>
      </c>
      <c r="K24" s="4" t="n"/>
    </row>
    <row r="25">
      <c r="A25" s="7" t="n"/>
      <c r="B25" s="7" t="n"/>
      <c r="C25" s="7" t="n"/>
      <c r="D25" s="7" t="n"/>
      <c r="E25" s="8" t="n"/>
      <c r="F25" s="8" t="n"/>
      <c r="G25" s="8">
        <f>IF(E25="","",IFERROR(E25*D25/100,0))</f>
        <v/>
      </c>
      <c r="H25" s="8" t="n"/>
      <c r="I25" s="8">
        <f>IF(E25="","",IFERROR((E25-F25)*D25/100,0))</f>
        <v/>
      </c>
      <c r="J25" s="8">
        <f>IF(E25="","",IFERROR(G25-H25,0))</f>
        <v/>
      </c>
      <c r="K25" s="7" t="n"/>
    </row>
    <row r="26">
      <c r="A26" s="4" t="n"/>
      <c r="B26" s="4" t="n"/>
      <c r="C26" s="4" t="n"/>
      <c r="D26" s="4" t="n"/>
      <c r="E26" s="5" t="n"/>
      <c r="F26" s="5" t="n"/>
      <c r="G26" s="5">
        <f>IF(E26="","",IFERROR(E26*D26/100,0))</f>
        <v/>
      </c>
      <c r="H26" s="5" t="n"/>
      <c r="I26" s="5">
        <f>IF(E26="","",IFERROR((E26-F26)*D26/100,0))</f>
        <v/>
      </c>
      <c r="J26" s="5">
        <f>IF(E26="","",IFERROR(G26-H26,0))</f>
        <v/>
      </c>
      <c r="K26" s="4" t="n"/>
    </row>
    <row r="27">
      <c r="A27" s="7" t="n"/>
      <c r="B27" s="7" t="n"/>
      <c r="C27" s="7" t="n"/>
      <c r="D27" s="7" t="n"/>
      <c r="E27" s="8" t="n"/>
      <c r="F27" s="8" t="n"/>
      <c r="G27" s="8">
        <f>IF(E27="","",IFERROR(E27*D27/100,0))</f>
        <v/>
      </c>
      <c r="H27" s="8" t="n"/>
      <c r="I27" s="8">
        <f>IF(E27="","",IFERROR((E27-F27)*D27/100,0))</f>
        <v/>
      </c>
      <c r="J27" s="8">
        <f>IF(E27="","",IFERROR(G27-H27,0))</f>
        <v/>
      </c>
      <c r="K27" s="7" t="n"/>
    </row>
    <row r="28">
      <c r="A28" s="4" t="n"/>
      <c r="B28" s="4" t="n"/>
      <c r="C28" s="4" t="n"/>
      <c r="D28" s="4" t="n"/>
      <c r="E28" s="5" t="n"/>
      <c r="F28" s="5" t="n"/>
      <c r="G28" s="5">
        <f>IF(E28="","",IFERROR(E28*D28/100,0))</f>
        <v/>
      </c>
      <c r="H28" s="5" t="n"/>
      <c r="I28" s="5">
        <f>IF(E28="","",IFERROR((E28-F28)*D28/100,0))</f>
        <v/>
      </c>
      <c r="J28" s="5">
        <f>IF(E28="","",IFERROR(G28-H28,0))</f>
        <v/>
      </c>
      <c r="K28" s="4" t="n"/>
    </row>
    <row r="29">
      <c r="A29" s="7" t="n"/>
      <c r="B29" s="7" t="n"/>
      <c r="C29" s="7" t="n"/>
      <c r="D29" s="7" t="n"/>
      <c r="E29" s="8" t="n"/>
      <c r="F29" s="8" t="n"/>
      <c r="G29" s="8">
        <f>IF(E29="","",IFERROR(E29*D29/100,0))</f>
        <v/>
      </c>
      <c r="H29" s="8" t="n"/>
      <c r="I29" s="8">
        <f>IF(E29="","",IFERROR((E29-F29)*D29/100,0))</f>
        <v/>
      </c>
      <c r="J29" s="8">
        <f>IF(E29="","",IFERROR(G29-H29,0))</f>
        <v/>
      </c>
      <c r="K29" s="7" t="n"/>
    </row>
    <row r="30">
      <c r="A30" s="4" t="n"/>
      <c r="B30" s="4" t="n"/>
      <c r="C30" s="4" t="n"/>
      <c r="D30" s="4" t="n"/>
      <c r="E30" s="5" t="n"/>
      <c r="F30" s="5" t="n"/>
      <c r="G30" s="5">
        <f>IF(E30="","",IFERROR(E30*D30/100,0))</f>
        <v/>
      </c>
      <c r="H30" s="5" t="n"/>
      <c r="I30" s="5">
        <f>IF(E30="","",IFERROR((E30-F30)*D30/100,0))</f>
        <v/>
      </c>
      <c r="J30" s="5">
        <f>IF(E30="","",IFERROR(G30-H30,0))</f>
        <v/>
      </c>
      <c r="K30" s="4" t="n"/>
    </row>
    <row r="31">
      <c r="A31" s="7" t="n"/>
      <c r="B31" s="7" t="n"/>
      <c r="C31" s="7" t="n"/>
      <c r="D31" s="7" t="n"/>
      <c r="E31" s="8" t="n"/>
      <c r="F31" s="8" t="n"/>
      <c r="G31" s="8">
        <f>IF(E31="","",IFERROR(E31*D31/100,0))</f>
        <v/>
      </c>
      <c r="H31" s="8" t="n"/>
      <c r="I31" s="8">
        <f>IF(E31="","",IFERROR((E31-F31)*D31/100,0))</f>
        <v/>
      </c>
      <c r="J31" s="8">
        <f>IF(E31="","",IFERROR(G31-H31,0))</f>
        <v/>
      </c>
      <c r="K31" s="7" t="n"/>
    </row>
    <row r="32">
      <c r="A32" s="4" t="n"/>
      <c r="B32" s="4" t="n"/>
      <c r="C32" s="4" t="n"/>
      <c r="D32" s="4" t="n"/>
      <c r="E32" s="5" t="n"/>
      <c r="F32" s="5" t="n"/>
      <c r="G32" s="5">
        <f>IF(E32="","",IFERROR(E32*D32/100,0))</f>
        <v/>
      </c>
      <c r="H32" s="5" t="n"/>
      <c r="I32" s="5">
        <f>IF(E32="","",IFERROR((E32-F32)*D32/100,0))</f>
        <v/>
      </c>
      <c r="J32" s="5">
        <f>IF(E32="","",IFERROR(G32-H32,0))</f>
        <v/>
      </c>
      <c r="K32" s="4" t="n"/>
    </row>
    <row r="33">
      <c r="A33" s="7" t="n"/>
      <c r="B33" s="7" t="n"/>
      <c r="C33" s="7" t="n"/>
      <c r="D33" s="7" t="n"/>
      <c r="E33" s="8" t="n"/>
      <c r="F33" s="8" t="n"/>
      <c r="G33" s="8">
        <f>IF(E33="","",IFERROR(E33*D33/100,0))</f>
        <v/>
      </c>
      <c r="H33" s="8" t="n"/>
      <c r="I33" s="8">
        <f>IF(E33="","",IFERROR((E33-F33)*D33/100,0))</f>
        <v/>
      </c>
      <c r="J33" s="8">
        <f>IF(E33="","",IFERROR(G33-H33,0))</f>
        <v/>
      </c>
      <c r="K33" s="7" t="n"/>
    </row>
    <row r="34">
      <c r="A34" s="4" t="n"/>
      <c r="B34" s="4" t="n"/>
      <c r="C34" s="4" t="n"/>
      <c r="D34" s="4" t="n"/>
      <c r="E34" s="5" t="n"/>
      <c r="F34" s="5" t="n"/>
      <c r="G34" s="5">
        <f>IF(E34="","",IFERROR(E34*D34/100,0))</f>
        <v/>
      </c>
      <c r="H34" s="5" t="n"/>
      <c r="I34" s="5">
        <f>IF(E34="","",IFERROR((E34-F34)*D34/100,0))</f>
        <v/>
      </c>
      <c r="J34" s="5">
        <f>IF(E34="","",IFERROR(G34-H34,0))</f>
        <v/>
      </c>
      <c r="K34" s="4" t="n"/>
    </row>
    <row r="35">
      <c r="A35" s="7" t="n"/>
      <c r="B35" s="7" t="n"/>
      <c r="C35" s="7" t="n"/>
      <c r="D35" s="7" t="n"/>
      <c r="E35" s="8" t="n"/>
      <c r="F35" s="8" t="n"/>
      <c r="G35" s="8">
        <f>IF(E35="","",IFERROR(E35*D35/100,0))</f>
        <v/>
      </c>
      <c r="H35" s="8" t="n"/>
      <c r="I35" s="8">
        <f>IF(E35="","",IFERROR((E35-F35)*D35/100,0))</f>
        <v/>
      </c>
      <c r="J35" s="8">
        <f>IF(E35="","",IFERROR(G35-H35,0))</f>
        <v/>
      </c>
      <c r="K35" s="7" t="n"/>
    </row>
    <row r="36">
      <c r="A36" s="4" t="n"/>
      <c r="B36" s="4" t="n"/>
      <c r="C36" s="4" t="n"/>
      <c r="D36" s="4" t="n"/>
      <c r="E36" s="5" t="n"/>
      <c r="F36" s="5" t="n"/>
      <c r="G36" s="5">
        <f>IF(E36="","",IFERROR(E36*D36/100,0))</f>
        <v/>
      </c>
      <c r="H36" s="5" t="n"/>
      <c r="I36" s="5">
        <f>IF(E36="","",IFERROR((E36-F36)*D36/100,0))</f>
        <v/>
      </c>
      <c r="J36" s="5">
        <f>IF(E36="","",IFERROR(G36-H36,0))</f>
        <v/>
      </c>
      <c r="K36" s="4" t="n"/>
    </row>
    <row r="37">
      <c r="A37" s="7" t="n"/>
      <c r="B37" s="7" t="n"/>
      <c r="C37" s="7" t="n"/>
      <c r="D37" s="7" t="n"/>
      <c r="E37" s="8" t="n"/>
      <c r="F37" s="8" t="n"/>
      <c r="G37" s="8">
        <f>IF(E37="","",IFERROR(E37*D37/100,0))</f>
        <v/>
      </c>
      <c r="H37" s="8" t="n"/>
      <c r="I37" s="8">
        <f>IF(E37="","",IFERROR((E37-F37)*D37/100,0))</f>
        <v/>
      </c>
      <c r="J37" s="8">
        <f>IF(E37="","",IFERROR(G37-H37,0))</f>
        <v/>
      </c>
      <c r="K37" s="7" t="n"/>
    </row>
    <row r="38">
      <c r="A38" s="4" t="n"/>
      <c r="B38" s="4" t="n"/>
      <c r="C38" s="4" t="n"/>
      <c r="D38" s="4" t="n"/>
      <c r="E38" s="5" t="n"/>
      <c r="F38" s="5" t="n"/>
      <c r="G38" s="5">
        <f>IF(E38="","",IFERROR(E38*D38/100,0))</f>
        <v/>
      </c>
      <c r="H38" s="5" t="n"/>
      <c r="I38" s="5">
        <f>IF(E38="","",IFERROR((E38-F38)*D38/100,0))</f>
        <v/>
      </c>
      <c r="J38" s="5">
        <f>IF(E38="","",IFERROR(G38-H38,0))</f>
        <v/>
      </c>
      <c r="K38" s="4" t="n"/>
    </row>
    <row r="39">
      <c r="A39" s="7" t="n"/>
      <c r="B39" s="7" t="n"/>
      <c r="C39" s="7" t="n"/>
      <c r="D39" s="7" t="n"/>
      <c r="E39" s="8" t="n"/>
      <c r="F39" s="8" t="n"/>
      <c r="G39" s="8">
        <f>IF(E39="","",IFERROR(E39*D39/100,0))</f>
        <v/>
      </c>
      <c r="H39" s="8" t="n"/>
      <c r="I39" s="8">
        <f>IF(E39="","",IFERROR((E39-F39)*D39/100,0))</f>
        <v/>
      </c>
      <c r="J39" s="8">
        <f>IF(E39="","",IFERROR(G39-H39,0))</f>
        <v/>
      </c>
      <c r="K39" s="7" t="n"/>
    </row>
    <row r="40">
      <c r="A40" s="4" t="n"/>
      <c r="B40" s="4" t="n"/>
      <c r="C40" s="4" t="n"/>
      <c r="D40" s="4" t="n"/>
      <c r="E40" s="5" t="n"/>
      <c r="F40" s="5" t="n"/>
      <c r="G40" s="5">
        <f>IF(E40="","",IFERROR(E40*D40/100,0))</f>
        <v/>
      </c>
      <c r="H40" s="5" t="n"/>
      <c r="I40" s="5">
        <f>IF(E40="","",IFERROR((E40-F40)*D40/100,0))</f>
        <v/>
      </c>
      <c r="J40" s="5">
        <f>IF(E40="","",IFERROR(G40-H40,0))</f>
        <v/>
      </c>
      <c r="K40" s="4" t="n"/>
    </row>
    <row r="41">
      <c r="A41" s="7" t="n"/>
      <c r="B41" s="7" t="n"/>
      <c r="C41" s="7" t="n"/>
      <c r="D41" s="7" t="n"/>
      <c r="E41" s="8" t="n"/>
      <c r="F41" s="8" t="n"/>
      <c r="G41" s="8">
        <f>IF(E41="","",IFERROR(E41*D41/100,0))</f>
        <v/>
      </c>
      <c r="H41" s="8" t="n"/>
      <c r="I41" s="8">
        <f>IF(E41="","",IFERROR((E41-F41)*D41/100,0))</f>
        <v/>
      </c>
      <c r="J41" s="8">
        <f>IF(E41="","",IFERROR(G41-H41,0))</f>
        <v/>
      </c>
      <c r="K41" s="7" t="n"/>
    </row>
    <row r="42">
      <c r="A42" s="4" t="n"/>
      <c r="B42" s="4" t="n"/>
      <c r="C42" s="4" t="n"/>
      <c r="D42" s="4" t="n"/>
      <c r="E42" s="5" t="n"/>
      <c r="F42" s="5" t="n"/>
      <c r="G42" s="5">
        <f>IF(E42="","",IFERROR(E42*D42/100,0))</f>
        <v/>
      </c>
      <c r="H42" s="5" t="n"/>
      <c r="I42" s="5">
        <f>IF(E42="","",IFERROR((E42-F42)*D42/100,0))</f>
        <v/>
      </c>
      <c r="J42" s="5">
        <f>IF(E42="","",IFERROR(G42-H42,0))</f>
        <v/>
      </c>
      <c r="K42" s="4" t="n"/>
    </row>
    <row r="43">
      <c r="A43" s="7" t="n"/>
      <c r="B43" s="7" t="n"/>
      <c r="C43" s="7" t="n"/>
      <c r="D43" s="7" t="n"/>
      <c r="E43" s="8" t="n"/>
      <c r="F43" s="8" t="n"/>
      <c r="G43" s="8">
        <f>IF(E43="","",IFERROR(E43*D43/100,0))</f>
        <v/>
      </c>
      <c r="H43" s="8" t="n"/>
      <c r="I43" s="8">
        <f>IF(E43="","",IFERROR((E43-F43)*D43/100,0))</f>
        <v/>
      </c>
      <c r="J43" s="8">
        <f>IF(E43="","",IFERROR(G43-H43,0))</f>
        <v/>
      </c>
      <c r="K43" s="7" t="n"/>
    </row>
    <row r="44">
      <c r="A44" s="4" t="n"/>
      <c r="B44" s="4" t="n"/>
      <c r="C44" s="4" t="n"/>
      <c r="D44" s="4" t="n"/>
      <c r="E44" s="5" t="n"/>
      <c r="F44" s="5" t="n"/>
      <c r="G44" s="5">
        <f>IF(E44="","",IFERROR(E44*D44/100,0))</f>
        <v/>
      </c>
      <c r="H44" s="5" t="n"/>
      <c r="I44" s="5">
        <f>IF(E44="","",IFERROR((E44-F44)*D44/100,0))</f>
        <v/>
      </c>
      <c r="J44" s="5">
        <f>IF(E44="","",IFERROR(G44-H44,0))</f>
        <v/>
      </c>
      <c r="K44" s="4" t="n"/>
    </row>
    <row r="45">
      <c r="A45" s="7" t="n"/>
      <c r="B45" s="7" t="n"/>
      <c r="C45" s="7" t="n"/>
      <c r="D45" s="7" t="n"/>
      <c r="E45" s="8" t="n"/>
      <c r="F45" s="8" t="n"/>
      <c r="G45" s="8">
        <f>IF(E45="","",IFERROR(E45*D45/100,0))</f>
        <v/>
      </c>
      <c r="H45" s="8" t="n"/>
      <c r="I45" s="8">
        <f>IF(E45="","",IFERROR((E45-F45)*D45/100,0))</f>
        <v/>
      </c>
      <c r="J45" s="8">
        <f>IF(E45="","",IFERROR(G45-H45,0))</f>
        <v/>
      </c>
      <c r="K45" s="7" t="n"/>
    </row>
    <row r="46">
      <c r="A46" s="4" t="n"/>
      <c r="B46" s="4" t="n"/>
      <c r="C46" s="4" t="n"/>
      <c r="D46" s="4" t="n"/>
      <c r="E46" s="5" t="n"/>
      <c r="F46" s="5" t="n"/>
      <c r="G46" s="5">
        <f>IF(E46="","",IFERROR(E46*D46/100,0))</f>
        <v/>
      </c>
      <c r="H46" s="5" t="n"/>
      <c r="I46" s="5">
        <f>IF(E46="","",IFERROR((E46-F46)*D46/100,0))</f>
        <v/>
      </c>
      <c r="J46" s="5">
        <f>IF(E46="","",IFERROR(G46-H46,0))</f>
        <v/>
      </c>
      <c r="K46" s="4" t="n"/>
    </row>
    <row r="47">
      <c r="A47" s="7" t="n"/>
      <c r="B47" s="7" t="n"/>
      <c r="C47" s="7" t="n"/>
      <c r="D47" s="7" t="n"/>
      <c r="E47" s="8" t="n"/>
      <c r="F47" s="8" t="n"/>
      <c r="G47" s="8">
        <f>IF(E47="","",IFERROR(E47*D47/100,0))</f>
        <v/>
      </c>
      <c r="H47" s="8" t="n"/>
      <c r="I47" s="8">
        <f>IF(E47="","",IFERROR((E47-F47)*D47/100,0))</f>
        <v/>
      </c>
      <c r="J47" s="8">
        <f>IF(E47="","",IFERROR(G47-H47,0))</f>
        <v/>
      </c>
      <c r="K47" s="7" t="n"/>
    </row>
    <row r="48">
      <c r="A48" s="4" t="n"/>
      <c r="B48" s="4" t="n"/>
      <c r="C48" s="4" t="n"/>
      <c r="D48" s="4" t="n"/>
      <c r="E48" s="5" t="n"/>
      <c r="F48" s="5" t="n"/>
      <c r="G48" s="5">
        <f>IF(E48="","",IFERROR(E48*D48/100,0))</f>
        <v/>
      </c>
      <c r="H48" s="5" t="n"/>
      <c r="I48" s="5">
        <f>IF(E48="","",IFERROR((E48-F48)*D48/100,0))</f>
        <v/>
      </c>
      <c r="J48" s="5">
        <f>IF(E48="","",IFERROR(G48-H48,0))</f>
        <v/>
      </c>
      <c r="K48" s="4" t="n"/>
    </row>
    <row r="49">
      <c r="A49" s="7" t="n"/>
      <c r="B49" s="7" t="n"/>
      <c r="C49" s="7" t="n"/>
      <c r="D49" s="7" t="n"/>
      <c r="E49" s="8" t="n"/>
      <c r="F49" s="8" t="n"/>
      <c r="G49" s="8">
        <f>IF(E49="","",IFERROR(E49*D49/100,0))</f>
        <v/>
      </c>
      <c r="H49" s="8" t="n"/>
      <c r="I49" s="8">
        <f>IF(E49="","",IFERROR((E49-F49)*D49/100,0))</f>
        <v/>
      </c>
      <c r="J49" s="8">
        <f>IF(E49="","",IFERROR(G49-H49,0))</f>
        <v/>
      </c>
      <c r="K49" s="7" t="n"/>
    </row>
    <row r="50">
      <c r="A50" s="4" t="n"/>
      <c r="B50" s="4" t="n"/>
      <c r="C50" s="4" t="n"/>
      <c r="D50" s="4" t="n"/>
      <c r="E50" s="5" t="n"/>
      <c r="F50" s="5" t="n"/>
      <c r="G50" s="5">
        <f>IF(E50="","",IFERROR(E50*D50/100,0))</f>
        <v/>
      </c>
      <c r="H50" s="5" t="n"/>
      <c r="I50" s="5">
        <f>IF(E50="","",IFERROR((E50-F50)*D50/100,0))</f>
        <v/>
      </c>
      <c r="J50" s="5">
        <f>IF(E50="","",IFERROR(G50-H50,0))</f>
        <v/>
      </c>
      <c r="K50" s="4" t="n"/>
    </row>
    <row r="51">
      <c r="A51" s="7" t="n"/>
      <c r="B51" s="7" t="n"/>
      <c r="C51" s="7" t="n"/>
      <c r="D51" s="7" t="n"/>
      <c r="E51" s="8" t="n"/>
      <c r="F51" s="8" t="n"/>
      <c r="G51" s="8">
        <f>IF(E51="","",IFERROR(E51*D51/100,0))</f>
        <v/>
      </c>
      <c r="H51" s="8" t="n"/>
      <c r="I51" s="8">
        <f>IF(E51="","",IFERROR((E51-F51)*D51/100,0))</f>
        <v/>
      </c>
      <c r="J51" s="8">
        <f>IF(E51="","",IFERROR(G51-H51,0))</f>
        <v/>
      </c>
      <c r="K51" s="7" t="n"/>
    </row>
    <row r="52">
      <c r="A52" s="4" t="n"/>
      <c r="B52" s="4" t="n"/>
      <c r="C52" s="4" t="n"/>
      <c r="D52" s="4" t="n"/>
      <c r="E52" s="5" t="n"/>
      <c r="F52" s="5" t="n"/>
      <c r="G52" s="5">
        <f>IF(E52="","",IFERROR(E52*D52/100,0))</f>
        <v/>
      </c>
      <c r="H52" s="5" t="n"/>
      <c r="I52" s="5">
        <f>IF(E52="","",IFERROR((E52-F52)*D52/100,0))</f>
        <v/>
      </c>
      <c r="J52" s="5">
        <f>IF(E52="","",IFERROR(G52-H52,0))</f>
        <v/>
      </c>
      <c r="K52" s="4" t="n"/>
    </row>
    <row r="53">
      <c r="A53" s="7" t="n"/>
      <c r="B53" s="7" t="n"/>
      <c r="C53" s="7" t="n"/>
      <c r="D53" s="7" t="n"/>
      <c r="E53" s="8" t="n"/>
      <c r="F53" s="8" t="n"/>
      <c r="G53" s="8">
        <f>IF(E53="","",IFERROR(E53*D53/100,0))</f>
        <v/>
      </c>
      <c r="H53" s="8" t="n"/>
      <c r="I53" s="8">
        <f>IF(E53="","",IFERROR((E53-F53)*D53/100,0))</f>
        <v/>
      </c>
      <c r="J53" s="8">
        <f>IF(E53="","",IFERROR(G53-H53,0))</f>
        <v/>
      </c>
      <c r="K53" s="7" t="n"/>
    </row>
    <row r="54">
      <c r="A54" s="4" t="n"/>
      <c r="B54" s="4" t="n"/>
      <c r="C54" s="4" t="n"/>
      <c r="D54" s="4" t="n"/>
      <c r="E54" s="5" t="n"/>
      <c r="F54" s="5" t="n"/>
      <c r="G54" s="5">
        <f>IF(E54="","",IFERROR(E54*D54/100,0))</f>
        <v/>
      </c>
      <c r="H54" s="5" t="n"/>
      <c r="I54" s="5">
        <f>IF(E54="","",IFERROR((E54-F54)*D54/100,0))</f>
        <v/>
      </c>
      <c r="J54" s="5">
        <f>IF(E54="","",IFERROR(G54-H54,0))</f>
        <v/>
      </c>
      <c r="K54" s="4" t="n"/>
    </row>
    <row r="55">
      <c r="A55" s="7" t="n"/>
      <c r="B55" s="7" t="n"/>
      <c r="C55" s="7" t="n"/>
      <c r="D55" s="7" t="n"/>
      <c r="E55" s="8" t="n"/>
      <c r="F55" s="8" t="n"/>
      <c r="G55" s="8">
        <f>IF(E55="","",IFERROR(E55*D55/100,0))</f>
        <v/>
      </c>
      <c r="H55" s="8" t="n"/>
      <c r="I55" s="8">
        <f>IF(E55="","",IFERROR((E55-F55)*D55/100,0))</f>
        <v/>
      </c>
      <c r="J55" s="8">
        <f>IF(E55="","",IFERROR(G55-H55,0))</f>
        <v/>
      </c>
      <c r="K55" s="7" t="n"/>
    </row>
    <row r="56">
      <c r="A56" s="4" t="n"/>
      <c r="B56" s="4" t="n"/>
      <c r="C56" s="4" t="n"/>
      <c r="D56" s="4" t="n"/>
      <c r="E56" s="5" t="n"/>
      <c r="F56" s="5" t="n"/>
      <c r="G56" s="5">
        <f>IF(E56="","",IFERROR(E56*D56/100,0))</f>
        <v/>
      </c>
      <c r="H56" s="5" t="n"/>
      <c r="I56" s="5">
        <f>IF(E56="","",IFERROR((E56-F56)*D56/100,0))</f>
        <v/>
      </c>
      <c r="J56" s="5">
        <f>IF(E56="","",IFERROR(G56-H56,0))</f>
        <v/>
      </c>
      <c r="K56" s="4" t="n"/>
    </row>
    <row r="57">
      <c r="A57" s="7" t="n"/>
      <c r="B57" s="7" t="n"/>
      <c r="C57" s="7" t="n"/>
      <c r="D57" s="7" t="n"/>
      <c r="E57" s="8" t="n"/>
      <c r="F57" s="8" t="n"/>
      <c r="G57" s="8">
        <f>IF(E57="","",IFERROR(E57*D57/100,0))</f>
        <v/>
      </c>
      <c r="H57" s="8" t="n"/>
      <c r="I57" s="8">
        <f>IF(E57="","",IFERROR((E57-F57)*D57/100,0))</f>
        <v/>
      </c>
      <c r="J57" s="8">
        <f>IF(E57="","",IFERROR(G57-H57,0))</f>
        <v/>
      </c>
      <c r="K57" s="7" t="n"/>
    </row>
    <row r="58">
      <c r="A58" s="4" t="n"/>
      <c r="B58" s="4" t="n"/>
      <c r="C58" s="4" t="n"/>
      <c r="D58" s="4" t="n"/>
      <c r="E58" s="5" t="n"/>
      <c r="F58" s="5" t="n"/>
      <c r="G58" s="5">
        <f>IF(E58="","",IFERROR(E58*D58/100,0))</f>
        <v/>
      </c>
      <c r="H58" s="5" t="n"/>
      <c r="I58" s="5">
        <f>IF(E58="","",IFERROR((E58-F58)*D58/100,0))</f>
        <v/>
      </c>
      <c r="J58" s="5">
        <f>IF(E58="","",IFERROR(G58-H58,0))</f>
        <v/>
      </c>
      <c r="K58" s="4" t="n"/>
    </row>
    <row r="59">
      <c r="A59" s="7" t="n"/>
      <c r="B59" s="7" t="n"/>
      <c r="C59" s="7" t="n"/>
      <c r="D59" s="7" t="n"/>
      <c r="E59" s="8" t="n"/>
      <c r="F59" s="8" t="n"/>
      <c r="G59" s="8">
        <f>IF(E59="","",IFERROR(E59*D59/100,0))</f>
        <v/>
      </c>
      <c r="H59" s="8" t="n"/>
      <c r="I59" s="8">
        <f>IF(E59="","",IFERROR((E59-F59)*D59/100,0))</f>
        <v/>
      </c>
      <c r="J59" s="8">
        <f>IF(E59="","",IFERROR(G59-H59,0))</f>
        <v/>
      </c>
      <c r="K59" s="7" t="n"/>
    </row>
    <row r="60">
      <c r="A60" s="4" t="n"/>
      <c r="B60" s="4" t="n"/>
      <c r="C60" s="4" t="n"/>
      <c r="D60" s="4" t="n"/>
      <c r="E60" s="5" t="n"/>
      <c r="F60" s="5" t="n"/>
      <c r="G60" s="5">
        <f>IF(E60="","",IFERROR(E60*D60/100,0))</f>
        <v/>
      </c>
      <c r="H60" s="5" t="n"/>
      <c r="I60" s="5">
        <f>IF(E60="","",IFERROR((E60-F60)*D60/100,0))</f>
        <v/>
      </c>
      <c r="J60" s="5">
        <f>IF(E60="","",IFERROR(G60-H60,0))</f>
        <v/>
      </c>
      <c r="K60" s="4" t="n"/>
    </row>
    <row r="61">
      <c r="A61" s="7" t="n"/>
      <c r="B61" s="7" t="n"/>
      <c r="C61" s="7" t="n"/>
      <c r="D61" s="7" t="n"/>
      <c r="E61" s="8" t="n"/>
      <c r="F61" s="8" t="n"/>
      <c r="G61" s="8">
        <f>IF(E61="","",IFERROR(E61*D61/100,0))</f>
        <v/>
      </c>
      <c r="H61" s="8" t="n"/>
      <c r="I61" s="8">
        <f>IF(E61="","",IFERROR((E61-F61)*D61/100,0))</f>
        <v/>
      </c>
      <c r="J61" s="8">
        <f>IF(E61="","",IFERROR(G61-H61,0))</f>
        <v/>
      </c>
      <c r="K61" s="7" t="n"/>
    </row>
    <row r="62">
      <c r="A62" s="4" t="n"/>
      <c r="B62" s="4" t="n"/>
      <c r="C62" s="4" t="n"/>
      <c r="D62" s="4" t="n"/>
      <c r="E62" s="5" t="n"/>
      <c r="F62" s="5" t="n"/>
      <c r="G62" s="5">
        <f>IF(E62="","",IFERROR(E62*D62/100,0))</f>
        <v/>
      </c>
      <c r="H62" s="5" t="n"/>
      <c r="I62" s="5">
        <f>IF(E62="","",IFERROR((E62-F62)*D62/100,0))</f>
        <v/>
      </c>
      <c r="J62" s="5">
        <f>IF(E62="","",IFERROR(G62-H62,0))</f>
        <v/>
      </c>
      <c r="K62" s="4" t="n"/>
    </row>
    <row r="63">
      <c r="A63" s="7" t="n"/>
      <c r="B63" s="7" t="n"/>
      <c r="C63" s="7" t="n"/>
      <c r="D63" s="7" t="n"/>
      <c r="E63" s="8" t="n"/>
      <c r="F63" s="8" t="n"/>
      <c r="G63" s="8">
        <f>IF(E63="","",IFERROR(E63*D63/100,0))</f>
        <v/>
      </c>
      <c r="H63" s="8" t="n"/>
      <c r="I63" s="8">
        <f>IF(E63="","",IFERROR((E63-F63)*D63/100,0))</f>
        <v/>
      </c>
      <c r="J63" s="8">
        <f>IF(E63="","",IFERROR(G63-H63,0))</f>
        <v/>
      </c>
      <c r="K63" s="7" t="n"/>
    </row>
    <row r="64">
      <c r="A64" s="4" t="n"/>
      <c r="B64" s="4" t="n"/>
      <c r="C64" s="4" t="n"/>
      <c r="D64" s="4" t="n"/>
      <c r="E64" s="5" t="n"/>
      <c r="F64" s="5" t="n"/>
      <c r="G64" s="5">
        <f>IF(E64="","",IFERROR(E64*D64/100,0))</f>
        <v/>
      </c>
      <c r="H64" s="5" t="n"/>
      <c r="I64" s="5">
        <f>IF(E64="","",IFERROR((E64-F64)*D64/100,0))</f>
        <v/>
      </c>
      <c r="J64" s="5">
        <f>IF(E64="","",IFERROR(G64-H64,0))</f>
        <v/>
      </c>
      <c r="K64" s="4" t="n"/>
    </row>
    <row r="65">
      <c r="A65" s="7" t="n"/>
      <c r="B65" s="7" t="n"/>
      <c r="C65" s="7" t="n"/>
      <c r="D65" s="7" t="n"/>
      <c r="E65" s="8" t="n"/>
      <c r="F65" s="8" t="n"/>
      <c r="G65" s="8">
        <f>IF(E65="","",IFERROR(E65*D65/100,0))</f>
        <v/>
      </c>
      <c r="H65" s="8" t="n"/>
      <c r="I65" s="8">
        <f>IF(E65="","",IFERROR((E65-F65)*D65/100,0))</f>
        <v/>
      </c>
      <c r="J65" s="8">
        <f>IF(E65="","",IFERROR(G65-H65,0))</f>
        <v/>
      </c>
      <c r="K65" s="7" t="n"/>
    </row>
    <row r="66">
      <c r="A66" s="4" t="n"/>
      <c r="B66" s="4" t="n"/>
      <c r="C66" s="4" t="n"/>
      <c r="D66" s="4" t="n"/>
      <c r="E66" s="5" t="n"/>
      <c r="F66" s="5" t="n"/>
      <c r="G66" s="5">
        <f>IF(E66="","",IFERROR(E66*D66/100,0))</f>
        <v/>
      </c>
      <c r="H66" s="5" t="n"/>
      <c r="I66" s="5">
        <f>IF(E66="","",IFERROR((E66-F66)*D66/100,0))</f>
        <v/>
      </c>
      <c r="J66" s="5">
        <f>IF(E66="","",IFERROR(G66-H66,0))</f>
        <v/>
      </c>
      <c r="K66" s="4" t="n"/>
    </row>
    <row r="67">
      <c r="A67" s="7" t="n"/>
      <c r="B67" s="7" t="n"/>
      <c r="C67" s="7" t="n"/>
      <c r="D67" s="7" t="n"/>
      <c r="E67" s="8" t="n"/>
      <c r="F67" s="8" t="n"/>
      <c r="G67" s="8">
        <f>IF(E67="","",IFERROR(E67*D67/100,0))</f>
        <v/>
      </c>
      <c r="H67" s="8" t="n"/>
      <c r="I67" s="8">
        <f>IF(E67="","",IFERROR((E67-F67)*D67/100,0))</f>
        <v/>
      </c>
      <c r="J67" s="8">
        <f>IF(E67="","",IFERROR(G67-H67,0))</f>
        <v/>
      </c>
      <c r="K67" s="7" t="n"/>
    </row>
    <row r="68">
      <c r="A68" s="4" t="n"/>
      <c r="B68" s="4" t="n"/>
      <c r="C68" s="4" t="n"/>
      <c r="D68" s="4" t="n"/>
      <c r="E68" s="5" t="n"/>
      <c r="F68" s="5" t="n"/>
      <c r="G68" s="5">
        <f>IF(E68="","",IFERROR(E68*D68/100,0))</f>
        <v/>
      </c>
      <c r="H68" s="5" t="n"/>
      <c r="I68" s="5">
        <f>IF(E68="","",IFERROR((E68-F68)*D68/100,0))</f>
        <v/>
      </c>
      <c r="J68" s="5">
        <f>IF(E68="","",IFERROR(G68-H68,0))</f>
        <v/>
      </c>
      <c r="K68" s="4" t="n"/>
    </row>
    <row r="69">
      <c r="A69" s="7" t="n"/>
      <c r="B69" s="7" t="n"/>
      <c r="C69" s="7" t="n"/>
      <c r="D69" s="7" t="n"/>
      <c r="E69" s="8" t="n"/>
      <c r="F69" s="8" t="n"/>
      <c r="G69" s="8">
        <f>IF(E69="","",IFERROR(E69*D69/100,0))</f>
        <v/>
      </c>
      <c r="H69" s="8" t="n"/>
      <c r="I69" s="8">
        <f>IF(E69="","",IFERROR((E69-F69)*D69/100,0))</f>
        <v/>
      </c>
      <c r="J69" s="8">
        <f>IF(E69="","",IFERROR(G69-H69,0))</f>
        <v/>
      </c>
      <c r="K69" s="7" t="n"/>
    </row>
    <row r="70">
      <c r="A70" s="4" t="n"/>
      <c r="B70" s="4" t="n"/>
      <c r="C70" s="4" t="n"/>
      <c r="D70" s="4" t="n"/>
      <c r="E70" s="5" t="n"/>
      <c r="F70" s="5" t="n"/>
      <c r="G70" s="5">
        <f>IF(E70="","",IFERROR(E70*D70/100,0))</f>
        <v/>
      </c>
      <c r="H70" s="5" t="n"/>
      <c r="I70" s="5">
        <f>IF(E70="","",IFERROR((E70-F70)*D70/100,0))</f>
        <v/>
      </c>
      <c r="J70" s="5">
        <f>IF(E70="","",IFERROR(G70-H70,0))</f>
        <v/>
      </c>
      <c r="K70" s="4" t="n"/>
    </row>
    <row r="71">
      <c r="A71" s="7" t="n"/>
      <c r="B71" s="7" t="n"/>
      <c r="C71" s="7" t="n"/>
      <c r="D71" s="7" t="n"/>
      <c r="E71" s="8" t="n"/>
      <c r="F71" s="8" t="n"/>
      <c r="G71" s="8">
        <f>IF(E71="","",IFERROR(E71*D71/100,0))</f>
        <v/>
      </c>
      <c r="H71" s="8" t="n"/>
      <c r="I71" s="8">
        <f>IF(E71="","",IFERROR((E71-F71)*D71/100,0))</f>
        <v/>
      </c>
      <c r="J71" s="8">
        <f>IF(E71="","",IFERROR(G71-H71,0))</f>
        <v/>
      </c>
      <c r="K71" s="7" t="n"/>
    </row>
    <row r="72">
      <c r="A72" s="4" t="n"/>
      <c r="B72" s="4" t="n"/>
      <c r="C72" s="4" t="n"/>
      <c r="D72" s="4" t="n"/>
      <c r="E72" s="5" t="n"/>
      <c r="F72" s="5" t="n"/>
      <c r="G72" s="5">
        <f>IF(E72="","",IFERROR(E72*D72/100,0))</f>
        <v/>
      </c>
      <c r="H72" s="5" t="n"/>
      <c r="I72" s="5">
        <f>IF(E72="","",IFERROR((E72-F72)*D72/100,0))</f>
        <v/>
      </c>
      <c r="J72" s="5">
        <f>IF(E72="","",IFERROR(G72-H72,0))</f>
        <v/>
      </c>
      <c r="K72" s="4" t="n"/>
    </row>
    <row r="73">
      <c r="A73" s="7" t="n"/>
      <c r="B73" s="7" t="n"/>
      <c r="C73" s="7" t="n"/>
      <c r="D73" s="7" t="n"/>
      <c r="E73" s="8" t="n"/>
      <c r="F73" s="8" t="n"/>
      <c r="G73" s="8">
        <f>IF(E73="","",IFERROR(E73*D73/100,0))</f>
        <v/>
      </c>
      <c r="H73" s="8" t="n"/>
      <c r="I73" s="8">
        <f>IF(E73="","",IFERROR((E73-F73)*D73/100,0))</f>
        <v/>
      </c>
      <c r="J73" s="8">
        <f>IF(E73="","",IFERROR(G73-H73,0))</f>
        <v/>
      </c>
      <c r="K73" s="7" t="n"/>
    </row>
    <row r="74">
      <c r="A74" s="4" t="n"/>
      <c r="B74" s="4" t="n"/>
      <c r="C74" s="4" t="n"/>
      <c r="D74" s="4" t="n"/>
      <c r="E74" s="5" t="n"/>
      <c r="F74" s="5" t="n"/>
      <c r="G74" s="5">
        <f>IF(E74="","",IFERROR(E74*D74/100,0))</f>
        <v/>
      </c>
      <c r="H74" s="5" t="n"/>
      <c r="I74" s="5">
        <f>IF(E74="","",IFERROR((E74-F74)*D74/100,0))</f>
        <v/>
      </c>
      <c r="J74" s="5">
        <f>IF(E74="","",IFERROR(G74-H74,0))</f>
        <v/>
      </c>
      <c r="K74" s="4" t="n"/>
    </row>
    <row r="75">
      <c r="A75" s="7" t="n"/>
      <c r="B75" s="7" t="n"/>
      <c r="C75" s="7" t="n"/>
      <c r="D75" s="7" t="n"/>
      <c r="E75" s="8" t="n"/>
      <c r="F75" s="8" t="n"/>
      <c r="G75" s="8">
        <f>IF(E75="","",IFERROR(E75*D75/100,0))</f>
        <v/>
      </c>
      <c r="H75" s="8" t="n"/>
      <c r="I75" s="8">
        <f>IF(E75="","",IFERROR((E75-F75)*D75/100,0))</f>
        <v/>
      </c>
      <c r="J75" s="8">
        <f>IF(E75="","",IFERROR(G75-H75,0))</f>
        <v/>
      </c>
      <c r="K75" s="7" t="n"/>
    </row>
    <row r="76">
      <c r="A76" s="4" t="n"/>
      <c r="B76" s="4" t="n"/>
      <c r="C76" s="4" t="n"/>
      <c r="D76" s="4" t="n"/>
      <c r="E76" s="5" t="n"/>
      <c r="F76" s="5" t="n"/>
      <c r="G76" s="5">
        <f>IF(E76="","",IFERROR(E76*D76/100,0))</f>
        <v/>
      </c>
      <c r="H76" s="5" t="n"/>
      <c r="I76" s="5">
        <f>IF(E76="","",IFERROR((E76-F76)*D76/100,0))</f>
        <v/>
      </c>
      <c r="J76" s="5">
        <f>IF(E76="","",IFERROR(G76-H76,0))</f>
        <v/>
      </c>
      <c r="K76" s="4" t="n"/>
    </row>
    <row r="77">
      <c r="A77" s="7" t="n"/>
      <c r="B77" s="7" t="n"/>
      <c r="C77" s="7" t="n"/>
      <c r="D77" s="7" t="n"/>
      <c r="E77" s="8" t="n"/>
      <c r="F77" s="8" t="n"/>
      <c r="G77" s="8">
        <f>IF(E77="","",IFERROR(E77*D77/100,0))</f>
        <v/>
      </c>
      <c r="H77" s="8" t="n"/>
      <c r="I77" s="8">
        <f>IF(E77="","",IFERROR((E77-F77)*D77/100,0))</f>
        <v/>
      </c>
      <c r="J77" s="8">
        <f>IF(E77="","",IFERROR(G77-H77,0))</f>
        <v/>
      </c>
      <c r="K77" s="7" t="n"/>
    </row>
    <row r="78">
      <c r="A78" s="4" t="n"/>
      <c r="B78" s="4" t="n"/>
      <c r="C78" s="4" t="n"/>
      <c r="D78" s="4" t="n"/>
      <c r="E78" s="5" t="n"/>
      <c r="F78" s="5" t="n"/>
      <c r="G78" s="5">
        <f>IF(E78="","",IFERROR(E78*D78/100,0))</f>
        <v/>
      </c>
      <c r="H78" s="5" t="n"/>
      <c r="I78" s="5">
        <f>IF(E78="","",IFERROR((E78-F78)*D78/100,0))</f>
        <v/>
      </c>
      <c r="J78" s="5">
        <f>IF(E78="","",IFERROR(G78-H78,0))</f>
        <v/>
      </c>
      <c r="K78" s="4" t="n"/>
    </row>
    <row r="79">
      <c r="A79" s="7" t="n"/>
      <c r="B79" s="7" t="n"/>
      <c r="C79" s="7" t="n"/>
      <c r="D79" s="7" t="n"/>
      <c r="E79" s="8" t="n"/>
      <c r="F79" s="8" t="n"/>
      <c r="G79" s="8">
        <f>IF(E79="","",IFERROR(E79*D79/100,0))</f>
        <v/>
      </c>
      <c r="H79" s="8" t="n"/>
      <c r="I79" s="8">
        <f>IF(E79="","",IFERROR((E79-F79)*D79/100,0))</f>
        <v/>
      </c>
      <c r="J79" s="8">
        <f>IF(E79="","",IFERROR(G79-H79,0))</f>
        <v/>
      </c>
      <c r="K79" s="7" t="n"/>
    </row>
    <row r="80">
      <c r="A80" s="4" t="n"/>
      <c r="B80" s="4" t="n"/>
      <c r="C80" s="4" t="n"/>
      <c r="D80" s="4" t="n"/>
      <c r="E80" s="5" t="n"/>
      <c r="F80" s="5" t="n"/>
      <c r="G80" s="5">
        <f>IF(E80="","",IFERROR(E80*D80/100,0))</f>
        <v/>
      </c>
      <c r="H80" s="5" t="n"/>
      <c r="I80" s="5">
        <f>IF(E80="","",IFERROR((E80-F80)*D80/100,0))</f>
        <v/>
      </c>
      <c r="J80" s="5">
        <f>IF(E80="","",IFERROR(G80-H80,0))</f>
        <v/>
      </c>
      <c r="K80" s="4" t="n"/>
    </row>
    <row r="81">
      <c r="A81" s="7" t="n"/>
      <c r="B81" s="7" t="n"/>
      <c r="C81" s="7" t="n"/>
      <c r="D81" s="7" t="n"/>
      <c r="E81" s="8" t="n"/>
      <c r="F81" s="8" t="n"/>
      <c r="G81" s="8">
        <f>IF(E81="","",IFERROR(E81*D81/100,0))</f>
        <v/>
      </c>
      <c r="H81" s="8" t="n"/>
      <c r="I81" s="8">
        <f>IF(E81="","",IFERROR((E81-F81)*D81/100,0))</f>
        <v/>
      </c>
      <c r="J81" s="8">
        <f>IF(E81="","",IFERROR(G81-H81,0))</f>
        <v/>
      </c>
      <c r="K81" s="7" t="n"/>
    </row>
    <row r="82">
      <c r="A82" s="4" t="n"/>
      <c r="B82" s="4" t="n"/>
      <c r="C82" s="4" t="n"/>
      <c r="D82" s="4" t="n"/>
      <c r="E82" s="5" t="n"/>
      <c r="F82" s="5" t="n"/>
      <c r="G82" s="5">
        <f>IF(E82="","",IFERROR(E82*D82/100,0))</f>
        <v/>
      </c>
      <c r="H82" s="5" t="n"/>
      <c r="I82" s="5">
        <f>IF(E82="","",IFERROR((E82-F82)*D82/100,0))</f>
        <v/>
      </c>
      <c r="J82" s="5">
        <f>IF(E82="","",IFERROR(G82-H82,0))</f>
        <v/>
      </c>
      <c r="K82" s="4" t="n"/>
    </row>
    <row r="83">
      <c r="A83" s="7" t="n"/>
      <c r="B83" s="7" t="n"/>
      <c r="C83" s="7" t="n"/>
      <c r="D83" s="7" t="n"/>
      <c r="E83" s="8" t="n"/>
      <c r="F83" s="8" t="n"/>
      <c r="G83" s="8">
        <f>IF(E83="","",IFERROR(E83*D83/100,0))</f>
        <v/>
      </c>
      <c r="H83" s="8" t="n"/>
      <c r="I83" s="8">
        <f>IF(E83="","",IFERROR((E83-F83)*D83/100,0))</f>
        <v/>
      </c>
      <c r="J83" s="8">
        <f>IF(E83="","",IFERROR(G83-H83,0))</f>
        <v/>
      </c>
      <c r="K83" s="7" t="n"/>
    </row>
    <row r="84">
      <c r="A84" s="4" t="n"/>
      <c r="B84" s="4" t="n"/>
      <c r="C84" s="4" t="n"/>
      <c r="D84" s="4" t="n"/>
      <c r="E84" s="5" t="n"/>
      <c r="F84" s="5" t="n"/>
      <c r="G84" s="5">
        <f>IF(E84="","",IFERROR(E84*D84/100,0))</f>
        <v/>
      </c>
      <c r="H84" s="5" t="n"/>
      <c r="I84" s="5">
        <f>IF(E84="","",IFERROR((E84-F84)*D84/100,0))</f>
        <v/>
      </c>
      <c r="J84" s="5">
        <f>IF(E84="","",IFERROR(G84-H84,0))</f>
        <v/>
      </c>
      <c r="K84" s="4" t="n"/>
    </row>
    <row r="85">
      <c r="A85" s="7" t="n"/>
      <c r="B85" s="7" t="n"/>
      <c r="C85" s="7" t="n"/>
      <c r="D85" s="7" t="n"/>
      <c r="E85" s="8" t="n"/>
      <c r="F85" s="8" t="n"/>
      <c r="G85" s="8">
        <f>IF(E85="","",IFERROR(E85*D85/100,0))</f>
        <v/>
      </c>
      <c r="H85" s="8" t="n"/>
      <c r="I85" s="8">
        <f>IF(E85="","",IFERROR((E85-F85)*D85/100,0))</f>
        <v/>
      </c>
      <c r="J85" s="8">
        <f>IF(E85="","",IFERROR(G85-H85,0))</f>
        <v/>
      </c>
      <c r="K85" s="7" t="n"/>
    </row>
    <row r="86">
      <c r="A86" s="4" t="n"/>
      <c r="B86" s="4" t="n"/>
      <c r="C86" s="4" t="n"/>
      <c r="D86" s="4" t="n"/>
      <c r="E86" s="5" t="n"/>
      <c r="F86" s="5" t="n"/>
      <c r="G86" s="5">
        <f>IF(E86="","",IFERROR(E86*D86/100,0))</f>
        <v/>
      </c>
      <c r="H86" s="5" t="n"/>
      <c r="I86" s="5">
        <f>IF(E86="","",IFERROR((E86-F86)*D86/100,0))</f>
        <v/>
      </c>
      <c r="J86" s="5">
        <f>IF(E86="","",IFERROR(G86-H86,0))</f>
        <v/>
      </c>
      <c r="K86" s="4" t="n"/>
    </row>
    <row r="87">
      <c r="A87" s="7" t="n"/>
      <c r="B87" s="7" t="n"/>
      <c r="C87" s="7" t="n"/>
      <c r="D87" s="7" t="n"/>
      <c r="E87" s="8" t="n"/>
      <c r="F87" s="8" t="n"/>
      <c r="G87" s="8">
        <f>IF(E87="","",IFERROR(E87*D87/100,0))</f>
        <v/>
      </c>
      <c r="H87" s="8" t="n"/>
      <c r="I87" s="8">
        <f>IF(E87="","",IFERROR((E87-F87)*D87/100,0))</f>
        <v/>
      </c>
      <c r="J87" s="8">
        <f>IF(E87="","",IFERROR(G87-H87,0))</f>
        <v/>
      </c>
      <c r="K87" s="7" t="n"/>
    </row>
    <row r="88">
      <c r="A88" s="4" t="n"/>
      <c r="B88" s="4" t="n"/>
      <c r="C88" s="4" t="n"/>
      <c r="D88" s="4" t="n"/>
      <c r="E88" s="5" t="n"/>
      <c r="F88" s="5" t="n"/>
      <c r="G88" s="5">
        <f>IF(E88="","",IFERROR(E88*D88/100,0))</f>
        <v/>
      </c>
      <c r="H88" s="5" t="n"/>
      <c r="I88" s="5">
        <f>IF(E88="","",IFERROR((E88-F88)*D88/100,0))</f>
        <v/>
      </c>
      <c r="J88" s="5">
        <f>IF(E88="","",IFERROR(G88-H88,0))</f>
        <v/>
      </c>
      <c r="K88" s="4" t="n"/>
    </row>
    <row r="89">
      <c r="A89" s="7" t="n"/>
      <c r="B89" s="7" t="n"/>
      <c r="C89" s="7" t="n"/>
      <c r="D89" s="7" t="n"/>
      <c r="E89" s="8" t="n"/>
      <c r="F89" s="8" t="n"/>
      <c r="G89" s="8">
        <f>IF(E89="","",IFERROR(E89*D89/100,0))</f>
        <v/>
      </c>
      <c r="H89" s="8" t="n"/>
      <c r="I89" s="8">
        <f>IF(E89="","",IFERROR((E89-F89)*D89/100,0))</f>
        <v/>
      </c>
      <c r="J89" s="8">
        <f>IF(E89="","",IFERROR(G89-H89,0))</f>
        <v/>
      </c>
      <c r="K89" s="7" t="n"/>
    </row>
    <row r="90">
      <c r="A90" s="4" t="n"/>
      <c r="B90" s="4" t="n"/>
      <c r="C90" s="4" t="n"/>
      <c r="D90" s="4" t="n"/>
      <c r="E90" s="5" t="n"/>
      <c r="F90" s="5" t="n"/>
      <c r="G90" s="5">
        <f>IF(E90="","",IFERROR(E90*D90/100,0))</f>
        <v/>
      </c>
      <c r="H90" s="5" t="n"/>
      <c r="I90" s="5">
        <f>IF(E90="","",IFERROR((E90-F90)*D90/100,0))</f>
        <v/>
      </c>
      <c r="J90" s="5">
        <f>IF(E90="","",IFERROR(G90-H90,0))</f>
        <v/>
      </c>
      <c r="K90" s="4" t="n"/>
    </row>
    <row r="91">
      <c r="A91" s="7" t="n"/>
      <c r="B91" s="7" t="n"/>
      <c r="C91" s="7" t="n"/>
      <c r="D91" s="7" t="n"/>
      <c r="E91" s="8" t="n"/>
      <c r="F91" s="8" t="n"/>
      <c r="G91" s="8">
        <f>IF(E91="","",IFERROR(E91*D91/100,0))</f>
        <v/>
      </c>
      <c r="H91" s="8" t="n"/>
      <c r="I91" s="8">
        <f>IF(E91="","",IFERROR((E91-F91)*D91/100,0))</f>
        <v/>
      </c>
      <c r="J91" s="8">
        <f>IF(E91="","",IFERROR(G91-H91,0))</f>
        <v/>
      </c>
      <c r="K91" s="7" t="n"/>
    </row>
    <row r="92">
      <c r="A92" s="4" t="n"/>
      <c r="B92" s="4" t="n"/>
      <c r="C92" s="4" t="n"/>
      <c r="D92" s="4" t="n"/>
      <c r="E92" s="5" t="n"/>
      <c r="F92" s="5" t="n"/>
      <c r="G92" s="5">
        <f>IF(E92="","",IFERROR(E92*D92/100,0))</f>
        <v/>
      </c>
      <c r="H92" s="5" t="n"/>
      <c r="I92" s="5">
        <f>IF(E92="","",IFERROR((E92-F92)*D92/100,0))</f>
        <v/>
      </c>
      <c r="J92" s="5">
        <f>IF(E92="","",IFERROR(G92-H92,0))</f>
        <v/>
      </c>
      <c r="K92" s="4" t="n"/>
    </row>
    <row r="93">
      <c r="A93" s="7" t="n"/>
      <c r="B93" s="7" t="n"/>
      <c r="C93" s="7" t="n"/>
      <c r="D93" s="7" t="n"/>
      <c r="E93" s="8" t="n"/>
      <c r="F93" s="8" t="n"/>
      <c r="G93" s="8">
        <f>IF(E93="","",IFERROR(E93*D93/100,0))</f>
        <v/>
      </c>
      <c r="H93" s="8" t="n"/>
      <c r="I93" s="8">
        <f>IF(E93="","",IFERROR((E93-F93)*D93/100,0))</f>
        <v/>
      </c>
      <c r="J93" s="8">
        <f>IF(E93="","",IFERROR(G93-H93,0))</f>
        <v/>
      </c>
      <c r="K93" s="7" t="n"/>
    </row>
    <row r="94">
      <c r="A94" s="4" t="n"/>
      <c r="B94" s="4" t="n"/>
      <c r="C94" s="4" t="n"/>
      <c r="D94" s="4" t="n"/>
      <c r="E94" s="5" t="n"/>
      <c r="F94" s="5" t="n"/>
      <c r="G94" s="5">
        <f>IF(E94="","",IFERROR(E94*D94/100,0))</f>
        <v/>
      </c>
      <c r="H94" s="5" t="n"/>
      <c r="I94" s="5">
        <f>IF(E94="","",IFERROR((E94-F94)*D94/100,0))</f>
        <v/>
      </c>
      <c r="J94" s="5">
        <f>IF(E94="","",IFERROR(G94-H94,0))</f>
        <v/>
      </c>
      <c r="K94" s="4" t="n"/>
    </row>
    <row r="95">
      <c r="A95" s="7" t="n"/>
      <c r="B95" s="7" t="n"/>
      <c r="C95" s="7" t="n"/>
      <c r="D95" s="7" t="n"/>
      <c r="E95" s="8" t="n"/>
      <c r="F95" s="8" t="n"/>
      <c r="G95" s="8">
        <f>IF(E95="","",IFERROR(E95*D95/100,0))</f>
        <v/>
      </c>
      <c r="H95" s="8" t="n"/>
      <c r="I95" s="8">
        <f>IF(E95="","",IFERROR((E95-F95)*D95/100,0))</f>
        <v/>
      </c>
      <c r="J95" s="8">
        <f>IF(E95="","",IFERROR(G95-H95,0))</f>
        <v/>
      </c>
      <c r="K95" s="7" t="n"/>
    </row>
    <row r="96">
      <c r="A96" s="4" t="n"/>
      <c r="B96" s="4" t="n"/>
      <c r="C96" s="4" t="n"/>
      <c r="D96" s="4" t="n"/>
      <c r="E96" s="5" t="n"/>
      <c r="F96" s="5" t="n"/>
      <c r="G96" s="5">
        <f>IF(E96="","",IFERROR(E96*D96/100,0))</f>
        <v/>
      </c>
      <c r="H96" s="5" t="n"/>
      <c r="I96" s="5">
        <f>IF(E96="","",IFERROR((E96-F96)*D96/100,0))</f>
        <v/>
      </c>
      <c r="J96" s="5">
        <f>IF(E96="","",IFERROR(G96-H96,0))</f>
        <v/>
      </c>
      <c r="K96" s="4" t="n"/>
    </row>
    <row r="97">
      <c r="A97" s="7" t="n"/>
      <c r="B97" s="7" t="n"/>
      <c r="C97" s="7" t="n"/>
      <c r="D97" s="7" t="n"/>
      <c r="E97" s="8" t="n"/>
      <c r="F97" s="8" t="n"/>
      <c r="G97" s="8">
        <f>IF(E97="","",IFERROR(E97*D97/100,0))</f>
        <v/>
      </c>
      <c r="H97" s="8" t="n"/>
      <c r="I97" s="8">
        <f>IF(E97="","",IFERROR((E97-F97)*D97/100,0))</f>
        <v/>
      </c>
      <c r="J97" s="8">
        <f>IF(E97="","",IFERROR(G97-H97,0))</f>
        <v/>
      </c>
      <c r="K97" s="7" t="n"/>
    </row>
    <row r="98">
      <c r="A98" s="4" t="n"/>
      <c r="B98" s="4" t="n"/>
      <c r="C98" s="4" t="n"/>
      <c r="D98" s="4" t="n"/>
      <c r="E98" s="5" t="n"/>
      <c r="F98" s="5" t="n"/>
      <c r="G98" s="5">
        <f>IF(E98="","",IFERROR(E98*D98/100,0))</f>
        <v/>
      </c>
      <c r="H98" s="5" t="n"/>
      <c r="I98" s="5">
        <f>IF(E98="","",IFERROR((E98-F98)*D98/100,0))</f>
        <v/>
      </c>
      <c r="J98" s="5">
        <f>IF(E98="","",IFERROR(G98-H98,0))</f>
        <v/>
      </c>
      <c r="K98" s="4" t="n"/>
    </row>
    <row r="99">
      <c r="A99" s="7" t="n"/>
      <c r="B99" s="7" t="n"/>
      <c r="C99" s="7" t="n"/>
      <c r="D99" s="7" t="n"/>
      <c r="E99" s="8" t="n"/>
      <c r="F99" s="8" t="n"/>
      <c r="G99" s="8">
        <f>IF(E99="","",IFERROR(E99*D99/100,0))</f>
        <v/>
      </c>
      <c r="H99" s="8" t="n"/>
      <c r="I99" s="8">
        <f>IF(E99="","",IFERROR((E99-F99)*D99/100,0))</f>
        <v/>
      </c>
      <c r="J99" s="8">
        <f>IF(E99="","",IFERROR(G99-H99,0))</f>
        <v/>
      </c>
      <c r="K99" s="7" t="n"/>
    </row>
    <row r="100">
      <c r="A100" s="4" t="n"/>
      <c r="B100" s="4" t="n"/>
      <c r="C100" s="4" t="n"/>
      <c r="D100" s="4" t="n"/>
      <c r="E100" s="5" t="n"/>
      <c r="F100" s="5" t="n"/>
      <c r="G100" s="5">
        <f>IF(E100="","",IFERROR(E100*D100/100,0))</f>
        <v/>
      </c>
      <c r="H100" s="5" t="n"/>
      <c r="I100" s="5">
        <f>IF(E100="","",IFERROR((E100-F100)*D100/100,0))</f>
        <v/>
      </c>
      <c r="J100" s="5">
        <f>IF(E100="","",IFERROR(G100-H100,0))</f>
        <v/>
      </c>
      <c r="K100" s="4" t="n"/>
    </row>
    <row r="101">
      <c r="A101" s="7" t="n"/>
      <c r="B101" s="7" t="n"/>
      <c r="C101" s="7" t="n"/>
      <c r="D101" s="7" t="n"/>
      <c r="E101" s="8" t="n"/>
      <c r="F101" s="8" t="n"/>
      <c r="G101" s="8">
        <f>IF(E101="","",IFERROR(E101*D101/100,0))</f>
        <v/>
      </c>
      <c r="H101" s="8" t="n"/>
      <c r="I101" s="8">
        <f>IF(E101="","",IFERROR((E101-F101)*D101/100,0))</f>
        <v/>
      </c>
      <c r="J101" s="8">
        <f>IF(E101="","",IFERROR(G101-H101,0))</f>
        <v/>
      </c>
      <c r="K101" s="7" t="n"/>
    </row>
    <row r="102">
      <c r="A102" s="4" t="n"/>
      <c r="B102" s="4" t="n"/>
      <c r="C102" s="4" t="n"/>
      <c r="D102" s="4" t="n"/>
      <c r="E102" s="5" t="n"/>
      <c r="F102" s="5" t="n"/>
      <c r="G102" s="5">
        <f>IF(E102="","",IFERROR(E102*D102/100,0))</f>
        <v/>
      </c>
      <c r="H102" s="5" t="n"/>
      <c r="I102" s="5">
        <f>IF(E102="","",IFERROR((E102-F102)*D102/100,0))</f>
        <v/>
      </c>
      <c r="J102" s="5">
        <f>IF(E102="","",IFERROR(G102-H102,0))</f>
        <v/>
      </c>
      <c r="K102" s="4" t="n"/>
    </row>
    <row r="103">
      <c r="A103" s="7" t="n"/>
      <c r="B103" s="7" t="n"/>
      <c r="C103" s="7" t="n"/>
      <c r="D103" s="7" t="n"/>
      <c r="E103" s="8" t="n"/>
      <c r="F103" s="8" t="n"/>
      <c r="G103" s="8">
        <f>IF(E103="","",IFERROR(E103*D103/100,0))</f>
        <v/>
      </c>
      <c r="H103" s="8" t="n"/>
      <c r="I103" s="8">
        <f>IF(E103="","",IFERROR((E103-F103)*D103/100,0))</f>
        <v/>
      </c>
      <c r="J103" s="8">
        <f>IF(E103="","",IFERROR(G103-H103,0))</f>
        <v/>
      </c>
      <c r="K103" s="7" t="n"/>
    </row>
    <row r="104">
      <c r="A104" s="4" t="n"/>
      <c r="B104" s="4" t="n"/>
      <c r="C104" s="4" t="n"/>
      <c r="D104" s="4" t="n"/>
      <c r="E104" s="5" t="n"/>
      <c r="F104" s="5" t="n"/>
      <c r="G104" s="5">
        <f>IF(E104="","",IFERROR(E104*D104/100,0))</f>
        <v/>
      </c>
      <c r="H104" s="5" t="n"/>
      <c r="I104" s="5">
        <f>IF(E104="","",IFERROR((E104-F104)*D104/100,0))</f>
        <v/>
      </c>
      <c r="J104" s="5">
        <f>IF(E104="","",IFERROR(G104-H104,0))</f>
        <v/>
      </c>
      <c r="K104" s="4" t="n"/>
    </row>
    <row r="105">
      <c r="A105" s="7" t="n"/>
      <c r="B105" s="7" t="n"/>
      <c r="C105" s="7" t="n"/>
      <c r="D105" s="7" t="n"/>
      <c r="E105" s="8" t="n"/>
      <c r="F105" s="8" t="n"/>
      <c r="G105" s="8">
        <f>IF(E105="","",IFERROR(E105*D105/100,0))</f>
        <v/>
      </c>
      <c r="H105" s="8" t="n"/>
      <c r="I105" s="8">
        <f>IF(E105="","",IFERROR((E105-F105)*D105/100,0))</f>
        <v/>
      </c>
      <c r="J105" s="8">
        <f>IF(E105="","",IFERROR(G105-H105,0))</f>
        <v/>
      </c>
      <c r="K105" s="7" t="n"/>
    </row>
    <row r="106">
      <c r="A106" s="4" t="n"/>
      <c r="B106" s="4" t="n"/>
      <c r="C106" s="4" t="n"/>
      <c r="D106" s="4" t="n"/>
      <c r="E106" s="5" t="n"/>
      <c r="F106" s="5" t="n"/>
      <c r="G106" s="5">
        <f>IF(E106="","",IFERROR(E106*D106/100,0))</f>
        <v/>
      </c>
      <c r="H106" s="5" t="n"/>
      <c r="I106" s="5">
        <f>IF(E106="","",IFERROR((E106-F106)*D106/100,0))</f>
        <v/>
      </c>
      <c r="J106" s="5">
        <f>IF(E106="","",IFERROR(G106-H106,0))</f>
        <v/>
      </c>
      <c r="K106" s="4" t="n"/>
    </row>
    <row r="107">
      <c r="A107" s="7" t="n"/>
      <c r="B107" s="7" t="n"/>
      <c r="C107" s="7" t="n"/>
      <c r="D107" s="7" t="n"/>
      <c r="E107" s="8" t="n"/>
      <c r="F107" s="8" t="n"/>
      <c r="G107" s="8">
        <f>IF(E107="","",IFERROR(E107*D107/100,0))</f>
        <v/>
      </c>
      <c r="H107" s="8" t="n"/>
      <c r="I107" s="8">
        <f>IF(E107="","",IFERROR((E107-F107)*D107/100,0))</f>
        <v/>
      </c>
      <c r="J107" s="8">
        <f>IF(E107="","",IFERROR(G107-H107,0))</f>
        <v/>
      </c>
      <c r="K107" s="7" t="n"/>
    </row>
    <row r="108">
      <c r="A108" s="4" t="n"/>
      <c r="B108" s="4" t="n"/>
      <c r="C108" s="4" t="n"/>
      <c r="D108" s="4" t="n"/>
      <c r="E108" s="5" t="n"/>
      <c r="F108" s="5" t="n"/>
      <c r="G108" s="5">
        <f>IF(E108="","",IFERROR(E108*D108/100,0))</f>
        <v/>
      </c>
      <c r="H108" s="5" t="n"/>
      <c r="I108" s="5">
        <f>IF(E108="","",IFERROR((E108-F108)*D108/100,0))</f>
        <v/>
      </c>
      <c r="J108" s="5">
        <f>IF(E108="","",IFERROR(G108-H108,0))</f>
        <v/>
      </c>
      <c r="K108" s="4" t="n"/>
    </row>
    <row r="109">
      <c r="A109" s="7" t="n"/>
      <c r="B109" s="7" t="n"/>
      <c r="C109" s="7" t="n"/>
      <c r="D109" s="7" t="n"/>
      <c r="E109" s="8" t="n"/>
      <c r="F109" s="8" t="n"/>
      <c r="G109" s="8">
        <f>IF(E109="","",IFERROR(E109*D109/100,0))</f>
        <v/>
      </c>
      <c r="H109" s="8" t="n"/>
      <c r="I109" s="8">
        <f>IF(E109="","",IFERROR((E109-F109)*D109/100,0))</f>
        <v/>
      </c>
      <c r="J109" s="8">
        <f>IF(E109="","",IFERROR(G109-H109,0))</f>
        <v/>
      </c>
      <c r="K109" s="7" t="n"/>
    </row>
    <row r="110">
      <c r="A110" s="4" t="n"/>
      <c r="B110" s="4" t="n"/>
      <c r="C110" s="4" t="n"/>
      <c r="D110" s="4" t="n"/>
      <c r="E110" s="5" t="n"/>
      <c r="F110" s="5" t="n"/>
      <c r="G110" s="5">
        <f>IF(E110="","",IFERROR(E110*D110/100,0))</f>
        <v/>
      </c>
      <c r="H110" s="5" t="n"/>
      <c r="I110" s="5">
        <f>IF(E110="","",IFERROR((E110-F110)*D110/100,0))</f>
        <v/>
      </c>
      <c r="J110" s="5">
        <f>IF(E110="","",IFERROR(G110-H110,0))</f>
        <v/>
      </c>
      <c r="K110" s="4" t="n"/>
    </row>
    <row r="111">
      <c r="A111" s="7" t="n"/>
      <c r="B111" s="7" t="n"/>
      <c r="C111" s="7" t="n"/>
      <c r="D111" s="7" t="n"/>
      <c r="E111" s="8" t="n"/>
      <c r="F111" s="8" t="n"/>
      <c r="G111" s="8">
        <f>IF(E111="","",IFERROR(E111*D111/100,0))</f>
        <v/>
      </c>
      <c r="H111" s="8" t="n"/>
      <c r="I111" s="8">
        <f>IF(E111="","",IFERROR((E111-F111)*D111/100,0))</f>
        <v/>
      </c>
      <c r="J111" s="8">
        <f>IF(E111="","",IFERROR(G111-H111,0))</f>
        <v/>
      </c>
      <c r="K111" s="7" t="n"/>
    </row>
    <row r="112">
      <c r="A112" s="4" t="n"/>
      <c r="B112" s="4" t="n"/>
      <c r="C112" s="4" t="n"/>
      <c r="D112" s="4" t="n"/>
      <c r="E112" s="5" t="n"/>
      <c r="F112" s="5" t="n"/>
      <c r="G112" s="5">
        <f>IF(E112="","",IFERROR(E112*D112/100,0))</f>
        <v/>
      </c>
      <c r="H112" s="5" t="n"/>
      <c r="I112" s="5">
        <f>IF(E112="","",IFERROR((E112-F112)*D112/100,0))</f>
        <v/>
      </c>
      <c r="J112" s="5">
        <f>IF(E112="","",IFERROR(G112-H112,0))</f>
        <v/>
      </c>
      <c r="K112" s="4" t="n"/>
    </row>
    <row r="113">
      <c r="A113" s="7" t="n"/>
      <c r="B113" s="7" t="n"/>
      <c r="C113" s="7" t="n"/>
      <c r="D113" s="7" t="n"/>
      <c r="E113" s="8" t="n"/>
      <c r="F113" s="8" t="n"/>
      <c r="G113" s="8">
        <f>IF(E113="","",IFERROR(E113*D113/100,0))</f>
        <v/>
      </c>
      <c r="H113" s="8" t="n"/>
      <c r="I113" s="8">
        <f>IF(E113="","",IFERROR((E113-F113)*D113/100,0))</f>
        <v/>
      </c>
      <c r="J113" s="8">
        <f>IF(E113="","",IFERROR(G113-H113,0))</f>
        <v/>
      </c>
      <c r="K113" s="7" t="n"/>
    </row>
    <row r="114">
      <c r="A114" s="4" t="n"/>
      <c r="B114" s="4" t="n"/>
      <c r="C114" s="4" t="n"/>
      <c r="D114" s="4" t="n"/>
      <c r="E114" s="5" t="n"/>
      <c r="F114" s="5" t="n"/>
      <c r="G114" s="5">
        <f>IF(E114="","",IFERROR(E114*D114/100,0))</f>
        <v/>
      </c>
      <c r="H114" s="5" t="n"/>
      <c r="I114" s="5">
        <f>IF(E114="","",IFERROR((E114-F114)*D114/100,0))</f>
        <v/>
      </c>
      <c r="J114" s="5">
        <f>IF(E114="","",IFERROR(G114-H114,0))</f>
        <v/>
      </c>
      <c r="K114" s="4" t="n"/>
    </row>
    <row r="115">
      <c r="A115" s="7" t="n"/>
      <c r="B115" s="7" t="n"/>
      <c r="C115" s="7" t="n"/>
      <c r="D115" s="7" t="n"/>
      <c r="E115" s="8" t="n"/>
      <c r="F115" s="8" t="n"/>
      <c r="G115" s="8">
        <f>IF(E115="","",IFERROR(E115*D115/100,0))</f>
        <v/>
      </c>
      <c r="H115" s="8" t="n"/>
      <c r="I115" s="8">
        <f>IF(E115="","",IFERROR((E115-F115)*D115/100,0))</f>
        <v/>
      </c>
      <c r="J115" s="8">
        <f>IF(E115="","",IFERROR(G115-H115,0))</f>
        <v/>
      </c>
      <c r="K115" s="7" t="n"/>
    </row>
  </sheetData>
  <mergeCells count="2">
    <mergeCell ref="A3:P3"/>
    <mergeCell ref="A2:P2"/>
  </mergeCells>
  <conditionalFormatting sqref="K6:K115">
    <cfRule type="cellIs" priority="1" operator="equal" dxfId="1">
      <formula>"Conforme"</formula>
    </cfRule>
    <cfRule type="cellIs" priority="2" operator="equal" dxfId="2">
      <formula>"Non conforme"</formula>
    </cfRule>
    <cfRule type="cellIs" priority="3" operator="equal" dxfId="0">
      <formula>"En attente"</formula>
    </cfRule>
    <cfRule type="cellIs" priority="4" operator="equal" dxfId="0">
      <formula>"À régulariser"</formula>
    </cfRule>
  </conditionalFormatting>
  <dataValidations count="1">
    <dataValidation sqref="K6:K115" showDropDown="0" showInputMessage="0" showErrorMessage="0" allowBlank="1" errorTitle="Erreur de saisie" error="Valeur non autorisée" promptTitle="Liste déroulante" prompt="Sélectionnez dans la liste" type="list">
      <formula1>'F02 - _Lists'!$N$6:$N$35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F51B5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4" customWidth="1" min="5" max="5"/>
    <col width="20" customWidth="1" min="6" max="6"/>
    <col width="20" customWidth="1" min="7" max="7"/>
    <col width="18" customWidth="1" min="8" max="8"/>
    <col width="14" customWidth="1" min="9" max="9"/>
    <col width="14" customWidth="1" min="10" max="10"/>
    <col width="16" customWidth="1" min="11" max="11"/>
  </cols>
  <sheetData>
    <row r="2" ht="25" customHeight="1">
      <c r="A2" s="1" t="inlineStr">
        <is>
          <t>DOMAINE 26 — 9-DÉCLARATIONS FISCALES RH</t>
        </is>
      </c>
    </row>
    <row r="3" ht="18" customHeight="1">
      <c r="A3" s="2" t="inlineStr">
        <is>
          <t>TABLEAU DYNAMIQUE — Calendrier, suivi et conformité des déclarations</t>
        </is>
      </c>
    </row>
    <row r="5">
      <c r="A5" s="3" t="inlineStr">
        <is>
          <t>Code Décl.</t>
        </is>
      </c>
      <c r="B5" s="3" t="inlineStr">
        <is>
          <t>Type Déclaration</t>
        </is>
      </c>
      <c r="C5" s="3" t="inlineStr">
        <is>
          <t>Période</t>
        </is>
      </c>
      <c r="D5" s="3" t="inlineStr">
        <is>
          <t>Date Échéance</t>
        </is>
      </c>
      <c r="E5" s="3" t="inlineStr">
        <is>
          <t>Date Soumission</t>
        </is>
      </c>
      <c r="F5" s="3" t="inlineStr">
        <is>
          <t>Montant Déclaré (FCFA)</t>
        </is>
      </c>
      <c r="G5" s="3" t="inlineStr">
        <is>
          <t>Montant Versé (FCFA)</t>
        </is>
      </c>
      <c r="H5" s="3" t="inlineStr">
        <is>
          <t>Reste à Verser (FCFA)</t>
        </is>
      </c>
      <c r="I5" s="3" t="inlineStr">
        <is>
          <t>Pénalités (FCFA)</t>
        </is>
      </c>
      <c r="J5" s="3" t="inlineStr">
        <is>
          <t>Statut</t>
        </is>
      </c>
      <c r="K5" s="3" t="inlineStr">
        <is>
          <t>Responsable</t>
        </is>
      </c>
    </row>
    <row r="6">
      <c r="A6" s="4" t="inlineStr">
        <is>
          <t>DF-2025-001</t>
        </is>
      </c>
      <c r="B6" s="4" t="inlineStr">
        <is>
          <t>DSN mensuelle</t>
        </is>
      </c>
      <c r="C6" s="4" t="inlineStr">
        <is>
          <t>Janvier 2025</t>
        </is>
      </c>
      <c r="D6" s="14" t="n">
        <v>45703</v>
      </c>
      <c r="E6" s="14" t="n">
        <v>45702</v>
      </c>
      <c r="F6" s="5" t="n">
        <v>18500000</v>
      </c>
      <c r="G6" s="5" t="n">
        <v>18500000</v>
      </c>
      <c r="H6" s="5">
        <f>F6-G6</f>
        <v/>
      </c>
      <c r="I6" s="5" t="n">
        <v>0</v>
      </c>
      <c r="J6" s="4" t="inlineStr">
        <is>
          <t>Payé</t>
        </is>
      </c>
      <c r="K6" s="4" t="inlineStr">
        <is>
          <t>M. Eyenga</t>
        </is>
      </c>
    </row>
    <row r="7">
      <c r="A7" s="7" t="inlineStr">
        <is>
          <t>DF-2025-002</t>
        </is>
      </c>
      <c r="B7" s="7" t="inlineStr">
        <is>
          <t>DSN mensuelle</t>
        </is>
      </c>
      <c r="C7" s="7" t="inlineStr">
        <is>
          <t>Février 2025</t>
        </is>
      </c>
      <c r="D7" s="15" t="n">
        <v>45731</v>
      </c>
      <c r="E7" s="15" t="n">
        <v>45731</v>
      </c>
      <c r="F7" s="8" t="n">
        <v>18500000</v>
      </c>
      <c r="G7" s="8" t="n">
        <v>18500000</v>
      </c>
      <c r="H7" s="8">
        <f>F7-G7</f>
        <v/>
      </c>
      <c r="I7" s="8" t="n">
        <v>0</v>
      </c>
      <c r="J7" s="7" t="inlineStr">
        <is>
          <t>Payé</t>
        </is>
      </c>
      <c r="K7" s="7" t="inlineStr">
        <is>
          <t>M. Eyenga</t>
        </is>
      </c>
    </row>
    <row r="8">
      <c r="A8" s="4" t="inlineStr">
        <is>
          <t>DF-2025-003</t>
        </is>
      </c>
      <c r="B8" s="4" t="inlineStr">
        <is>
          <t>DSN mensuelle</t>
        </is>
      </c>
      <c r="C8" s="4" t="inlineStr">
        <is>
          <t>Mars 2025</t>
        </is>
      </c>
      <c r="D8" s="14" t="n">
        <v>45762</v>
      </c>
      <c r="E8" s="14" t="n">
        <v>45762</v>
      </c>
      <c r="F8" s="5" t="n">
        <v>19200000</v>
      </c>
      <c r="G8" s="5" t="n">
        <v>19200000</v>
      </c>
      <c r="H8" s="5">
        <f>F8-G8</f>
        <v/>
      </c>
      <c r="I8" s="5" t="n">
        <v>0</v>
      </c>
      <c r="J8" s="4" t="inlineStr">
        <is>
          <t>Payé</t>
        </is>
      </c>
      <c r="K8" s="4" t="inlineStr">
        <is>
          <t>M. Eyenga</t>
        </is>
      </c>
    </row>
    <row r="9">
      <c r="A9" s="7" t="inlineStr">
        <is>
          <t>DF-2025-004</t>
        </is>
      </c>
      <c r="B9" s="7" t="inlineStr">
        <is>
          <t>DSN mensuelle</t>
        </is>
      </c>
      <c r="C9" s="7" t="inlineStr">
        <is>
          <t>Avril 2025</t>
        </is>
      </c>
      <c r="D9" s="15" t="n">
        <v>45792</v>
      </c>
      <c r="E9" s="15" t="n">
        <v>45795</v>
      </c>
      <c r="F9" s="8" t="n">
        <v>19200000</v>
      </c>
      <c r="G9" s="8" t="n">
        <v>19200000</v>
      </c>
      <c r="H9" s="8">
        <f>F9-G9</f>
        <v/>
      </c>
      <c r="I9" s="8" t="n">
        <v>50000</v>
      </c>
      <c r="J9" s="7" t="inlineStr">
        <is>
          <t>Payé</t>
        </is>
      </c>
      <c r="K9" s="7" t="inlineStr">
        <is>
          <t>M. Eyenga</t>
        </is>
      </c>
    </row>
    <row r="10">
      <c r="A10" s="4" t="inlineStr">
        <is>
          <t>DF-2025-005</t>
        </is>
      </c>
      <c r="B10" s="4" t="inlineStr">
        <is>
          <t>DSN mensuelle</t>
        </is>
      </c>
      <c r="C10" s="4" t="inlineStr">
        <is>
          <t>Mai 2025</t>
        </is>
      </c>
      <c r="D10" s="14" t="n">
        <v>45823</v>
      </c>
      <c r="E10" s="14" t="n">
        <v>45820</v>
      </c>
      <c r="F10" s="5" t="n">
        <v>18800000</v>
      </c>
      <c r="G10" s="5" t="n">
        <v>18800000</v>
      </c>
      <c r="H10" s="5">
        <f>F10-G10</f>
        <v/>
      </c>
      <c r="I10" s="5" t="n">
        <v>0</v>
      </c>
      <c r="J10" s="4" t="inlineStr">
        <is>
          <t>Payé</t>
        </is>
      </c>
      <c r="K10" s="4" t="inlineStr">
        <is>
          <t>M. Eyenga</t>
        </is>
      </c>
    </row>
    <row r="11">
      <c r="A11" s="7" t="inlineStr">
        <is>
          <t>DF-2025-006</t>
        </is>
      </c>
      <c r="B11" s="7" t="inlineStr">
        <is>
          <t>DSF annuelle</t>
        </is>
      </c>
      <c r="C11" s="7" t="inlineStr">
        <is>
          <t>Année 2024</t>
        </is>
      </c>
      <c r="D11" s="15" t="n">
        <v>45777</v>
      </c>
      <c r="E11" s="15" t="n">
        <v>45775</v>
      </c>
      <c r="F11" s="8" t="n">
        <v>250000000</v>
      </c>
      <c r="G11" s="8" t="n">
        <v>250000000</v>
      </c>
      <c r="H11" s="8">
        <f>F11-G11</f>
        <v/>
      </c>
      <c r="I11" s="8" t="n">
        <v>0</v>
      </c>
      <c r="J11" s="7" t="inlineStr">
        <is>
          <t>Payé</t>
        </is>
      </c>
      <c r="K11" s="7" t="inlineStr">
        <is>
          <t>M. Eyenga</t>
        </is>
      </c>
    </row>
    <row r="12">
      <c r="A12" s="4" t="inlineStr">
        <is>
          <t>DF-2025-007</t>
        </is>
      </c>
      <c r="B12" s="4" t="inlineStr">
        <is>
          <t>TVA mensuelle</t>
        </is>
      </c>
      <c r="C12" s="4" t="inlineStr">
        <is>
          <t>Janvier 2025</t>
        </is>
      </c>
      <c r="D12" s="14" t="n">
        <v>45703</v>
      </c>
      <c r="E12" s="14" t="n">
        <v>45702</v>
      </c>
      <c r="F12" s="5" t="n">
        <v>3200000</v>
      </c>
      <c r="G12" s="5" t="n">
        <v>3200000</v>
      </c>
      <c r="H12" s="5">
        <f>F12-G12</f>
        <v/>
      </c>
      <c r="I12" s="5" t="n">
        <v>0</v>
      </c>
      <c r="J12" s="4" t="inlineStr">
        <is>
          <t>Payé</t>
        </is>
      </c>
      <c r="K12" s="4" t="inlineStr">
        <is>
          <t>M. Fotso</t>
        </is>
      </c>
    </row>
    <row r="13">
      <c r="A13" s="7" t="inlineStr">
        <is>
          <t>DF-2025-008</t>
        </is>
      </c>
      <c r="B13" s="7" t="inlineStr">
        <is>
          <t>Déclaration IS</t>
        </is>
      </c>
      <c r="C13" s="7" t="inlineStr">
        <is>
          <t>Année 2024</t>
        </is>
      </c>
      <c r="D13" s="15" t="n">
        <v>45747</v>
      </c>
      <c r="E13" s="15" t="n">
        <v>45746</v>
      </c>
      <c r="F13" s="8" t="n">
        <v>45000000</v>
      </c>
      <c r="G13" s="8" t="n">
        <v>45000000</v>
      </c>
      <c r="H13" s="8">
        <f>F13-G13</f>
        <v/>
      </c>
      <c r="I13" s="8" t="n">
        <v>0</v>
      </c>
      <c r="J13" s="7" t="inlineStr">
        <is>
          <t>Payé</t>
        </is>
      </c>
      <c r="K13" s="7" t="inlineStr">
        <is>
          <t>M. Eyenga</t>
        </is>
      </c>
    </row>
    <row r="14">
      <c r="A14" s="4" t="inlineStr">
        <is>
          <t>DF-2025-009</t>
        </is>
      </c>
      <c r="B14" s="4" t="inlineStr">
        <is>
          <t>DSN mensuelle</t>
        </is>
      </c>
      <c r="C14" s="4" t="inlineStr">
        <is>
          <t>Juin 2025</t>
        </is>
      </c>
      <c r="D14" s="14" t="n">
        <v>45853</v>
      </c>
      <c r="E14" s="14" t="n">
        <v>45848</v>
      </c>
      <c r="F14" s="5" t="n">
        <v>19500000</v>
      </c>
      <c r="G14" s="5" t="n">
        <v>0</v>
      </c>
      <c r="H14" s="5">
        <f>F14-G14</f>
        <v/>
      </c>
      <c r="I14" s="5" t="n">
        <v>0</v>
      </c>
      <c r="J14" s="4" t="inlineStr">
        <is>
          <t>En attente</t>
        </is>
      </c>
      <c r="K14" s="4" t="inlineStr">
        <is>
          <t>M. Eyenga</t>
        </is>
      </c>
    </row>
    <row r="15">
      <c r="A15" s="7" t="inlineStr">
        <is>
          <t>DF-2025-010</t>
        </is>
      </c>
      <c r="B15" s="7" t="inlineStr">
        <is>
          <t>TVA mensuelle</t>
        </is>
      </c>
      <c r="C15" s="7" t="inlineStr">
        <is>
          <t>Juin 2025</t>
        </is>
      </c>
      <c r="D15" s="15" t="n">
        <v>45853</v>
      </c>
      <c r="E15" s="7" t="n"/>
      <c r="F15" s="8" t="n">
        <v>3400000</v>
      </c>
      <c r="G15" s="8" t="n">
        <v>0</v>
      </c>
      <c r="H15" s="8">
        <f>F15-G15</f>
        <v/>
      </c>
      <c r="I15" s="8" t="n">
        <v>0</v>
      </c>
      <c r="J15" s="7" t="inlineStr">
        <is>
          <t>En attente</t>
        </is>
      </c>
      <c r="K15" s="7" t="inlineStr">
        <is>
          <t>M. Fotso</t>
        </is>
      </c>
    </row>
    <row r="16">
      <c r="A16" s="4" t="n"/>
      <c r="B16" s="4" t="n"/>
      <c r="C16" s="4" t="n"/>
      <c r="D16" s="4" t="n"/>
      <c r="E16" s="4" t="n"/>
      <c r="F16" s="5" t="n"/>
      <c r="G16" s="5" t="n"/>
      <c r="H16" s="5">
        <f>IF(F16="","",F16-G16)</f>
        <v/>
      </c>
      <c r="I16" s="5" t="n"/>
      <c r="J16" s="4" t="n"/>
      <c r="K16" s="4" t="n"/>
    </row>
    <row r="17">
      <c r="A17" s="7" t="n"/>
      <c r="B17" s="7" t="n"/>
      <c r="C17" s="7" t="n"/>
      <c r="D17" s="7" t="n"/>
      <c r="E17" s="7" t="n"/>
      <c r="F17" s="8" t="n"/>
      <c r="G17" s="8" t="n"/>
      <c r="H17" s="8">
        <f>IF(F17="","",F17-G17)</f>
        <v/>
      </c>
      <c r="I17" s="8" t="n"/>
      <c r="J17" s="7" t="n"/>
      <c r="K17" s="7" t="n"/>
    </row>
    <row r="18">
      <c r="A18" s="4" t="n"/>
      <c r="B18" s="4" t="n"/>
      <c r="C18" s="4" t="n"/>
      <c r="D18" s="4" t="n"/>
      <c r="E18" s="4" t="n"/>
      <c r="F18" s="5" t="n"/>
      <c r="G18" s="5" t="n"/>
      <c r="H18" s="5">
        <f>IF(F18="","",F18-G18)</f>
        <v/>
      </c>
      <c r="I18" s="5" t="n"/>
      <c r="J18" s="4" t="n"/>
      <c r="K18" s="4" t="n"/>
    </row>
    <row r="19">
      <c r="A19" s="7" t="n"/>
      <c r="B19" s="7" t="n"/>
      <c r="C19" s="7" t="n"/>
      <c r="D19" s="7" t="n"/>
      <c r="E19" s="7" t="n"/>
      <c r="F19" s="8" t="n"/>
      <c r="G19" s="8" t="n"/>
      <c r="H19" s="8">
        <f>IF(F19="","",F19-G19)</f>
        <v/>
      </c>
      <c r="I19" s="8" t="n"/>
      <c r="J19" s="7" t="n"/>
      <c r="K19" s="7" t="n"/>
    </row>
    <row r="20">
      <c r="A20" s="4" t="n"/>
      <c r="B20" s="4" t="n"/>
      <c r="C20" s="4" t="n"/>
      <c r="D20" s="4" t="n"/>
      <c r="E20" s="4" t="n"/>
      <c r="F20" s="5" t="n"/>
      <c r="G20" s="5" t="n"/>
      <c r="H20" s="5">
        <f>IF(F20="","",F20-G20)</f>
        <v/>
      </c>
      <c r="I20" s="5" t="n"/>
      <c r="J20" s="4" t="n"/>
      <c r="K20" s="4" t="n"/>
    </row>
    <row r="21">
      <c r="A21" s="7" t="n"/>
      <c r="B21" s="7" t="n"/>
      <c r="C21" s="7" t="n"/>
      <c r="D21" s="7" t="n"/>
      <c r="E21" s="7" t="n"/>
      <c r="F21" s="8" t="n"/>
      <c r="G21" s="8" t="n"/>
      <c r="H21" s="8">
        <f>IF(F21="","",F21-G21)</f>
        <v/>
      </c>
      <c r="I21" s="8" t="n"/>
      <c r="J21" s="7" t="n"/>
      <c r="K21" s="7" t="n"/>
    </row>
    <row r="22">
      <c r="A22" s="4" t="n"/>
      <c r="B22" s="4" t="n"/>
      <c r="C22" s="4" t="n"/>
      <c r="D22" s="4" t="n"/>
      <c r="E22" s="4" t="n"/>
      <c r="F22" s="5" t="n"/>
      <c r="G22" s="5" t="n"/>
      <c r="H22" s="5">
        <f>IF(F22="","",F22-G22)</f>
        <v/>
      </c>
      <c r="I22" s="5" t="n"/>
      <c r="J22" s="4" t="n"/>
      <c r="K22" s="4" t="n"/>
    </row>
    <row r="23">
      <c r="A23" s="7" t="n"/>
      <c r="B23" s="7" t="n"/>
      <c r="C23" s="7" t="n"/>
      <c r="D23" s="7" t="n"/>
      <c r="E23" s="7" t="n"/>
      <c r="F23" s="8" t="n"/>
      <c r="G23" s="8" t="n"/>
      <c r="H23" s="8">
        <f>IF(F23="","",F23-G23)</f>
        <v/>
      </c>
      <c r="I23" s="8" t="n"/>
      <c r="J23" s="7" t="n"/>
      <c r="K23" s="7" t="n"/>
    </row>
    <row r="24">
      <c r="A24" s="4" t="n"/>
      <c r="B24" s="4" t="n"/>
      <c r="C24" s="4" t="n"/>
      <c r="D24" s="4" t="n"/>
      <c r="E24" s="4" t="n"/>
      <c r="F24" s="5" t="n"/>
      <c r="G24" s="5" t="n"/>
      <c r="H24" s="5">
        <f>IF(F24="","",F24-G24)</f>
        <v/>
      </c>
      <c r="I24" s="5" t="n"/>
      <c r="J24" s="4" t="n"/>
      <c r="K24" s="4" t="n"/>
    </row>
    <row r="25">
      <c r="A25" s="7" t="n"/>
      <c r="B25" s="7" t="n"/>
      <c r="C25" s="7" t="n"/>
      <c r="D25" s="7" t="n"/>
      <c r="E25" s="7" t="n"/>
      <c r="F25" s="8" t="n"/>
      <c r="G25" s="8" t="n"/>
      <c r="H25" s="8">
        <f>IF(F25="","",F25-G25)</f>
        <v/>
      </c>
      <c r="I25" s="8" t="n"/>
      <c r="J25" s="7" t="n"/>
      <c r="K25" s="7" t="n"/>
    </row>
    <row r="26">
      <c r="A26" s="4" t="n"/>
      <c r="B26" s="4" t="n"/>
      <c r="C26" s="4" t="n"/>
      <c r="D26" s="4" t="n"/>
      <c r="E26" s="4" t="n"/>
      <c r="F26" s="5" t="n"/>
      <c r="G26" s="5" t="n"/>
      <c r="H26" s="5">
        <f>IF(F26="","",F26-G26)</f>
        <v/>
      </c>
      <c r="I26" s="5" t="n"/>
      <c r="J26" s="4" t="n"/>
      <c r="K26" s="4" t="n"/>
    </row>
    <row r="27">
      <c r="A27" s="7" t="n"/>
      <c r="B27" s="7" t="n"/>
      <c r="C27" s="7" t="n"/>
      <c r="D27" s="7" t="n"/>
      <c r="E27" s="7" t="n"/>
      <c r="F27" s="8" t="n"/>
      <c r="G27" s="8" t="n"/>
      <c r="H27" s="8">
        <f>IF(F27="","",F27-G27)</f>
        <v/>
      </c>
      <c r="I27" s="8" t="n"/>
      <c r="J27" s="7" t="n"/>
      <c r="K27" s="7" t="n"/>
    </row>
    <row r="28">
      <c r="A28" s="4" t="n"/>
      <c r="B28" s="4" t="n"/>
      <c r="C28" s="4" t="n"/>
      <c r="D28" s="4" t="n"/>
      <c r="E28" s="4" t="n"/>
      <c r="F28" s="5" t="n"/>
      <c r="G28" s="5" t="n"/>
      <c r="H28" s="5">
        <f>IF(F28="","",F28-G28)</f>
        <v/>
      </c>
      <c r="I28" s="5" t="n"/>
      <c r="J28" s="4" t="n"/>
      <c r="K28" s="4" t="n"/>
    </row>
    <row r="29">
      <c r="A29" s="7" t="n"/>
      <c r="B29" s="7" t="n"/>
      <c r="C29" s="7" t="n"/>
      <c r="D29" s="7" t="n"/>
      <c r="E29" s="7" t="n"/>
      <c r="F29" s="8" t="n"/>
      <c r="G29" s="8" t="n"/>
      <c r="H29" s="8">
        <f>IF(F29="","",F29-G29)</f>
        <v/>
      </c>
      <c r="I29" s="8" t="n"/>
      <c r="J29" s="7" t="n"/>
      <c r="K29" s="7" t="n"/>
    </row>
    <row r="30">
      <c r="A30" s="4" t="n"/>
      <c r="B30" s="4" t="n"/>
      <c r="C30" s="4" t="n"/>
      <c r="D30" s="4" t="n"/>
      <c r="E30" s="4" t="n"/>
      <c r="F30" s="5" t="n"/>
      <c r="G30" s="5" t="n"/>
      <c r="H30" s="5">
        <f>IF(F30="","",F30-G30)</f>
        <v/>
      </c>
      <c r="I30" s="5" t="n"/>
      <c r="J30" s="4" t="n"/>
      <c r="K30" s="4" t="n"/>
    </row>
    <row r="31">
      <c r="A31" s="7" t="n"/>
      <c r="B31" s="7" t="n"/>
      <c r="C31" s="7" t="n"/>
      <c r="D31" s="7" t="n"/>
      <c r="E31" s="7" t="n"/>
      <c r="F31" s="8" t="n"/>
      <c r="G31" s="8" t="n"/>
      <c r="H31" s="8">
        <f>IF(F31="","",F31-G31)</f>
        <v/>
      </c>
      <c r="I31" s="8" t="n"/>
      <c r="J31" s="7" t="n"/>
      <c r="K31" s="7" t="n"/>
    </row>
    <row r="32">
      <c r="A32" s="4" t="n"/>
      <c r="B32" s="4" t="n"/>
      <c r="C32" s="4" t="n"/>
      <c r="D32" s="4" t="n"/>
      <c r="E32" s="4" t="n"/>
      <c r="F32" s="5" t="n"/>
      <c r="G32" s="5" t="n"/>
      <c r="H32" s="5">
        <f>IF(F32="","",F32-G32)</f>
        <v/>
      </c>
      <c r="I32" s="5" t="n"/>
      <c r="J32" s="4" t="n"/>
      <c r="K32" s="4" t="n"/>
    </row>
    <row r="33">
      <c r="A33" s="7" t="n"/>
      <c r="B33" s="7" t="n"/>
      <c r="C33" s="7" t="n"/>
      <c r="D33" s="7" t="n"/>
      <c r="E33" s="7" t="n"/>
      <c r="F33" s="8" t="n"/>
      <c r="G33" s="8" t="n"/>
      <c r="H33" s="8">
        <f>IF(F33="","",F33-G33)</f>
        <v/>
      </c>
      <c r="I33" s="8" t="n"/>
      <c r="J33" s="7" t="n"/>
      <c r="K33" s="7" t="n"/>
    </row>
    <row r="34">
      <c r="A34" s="4" t="n"/>
      <c r="B34" s="4" t="n"/>
      <c r="C34" s="4" t="n"/>
      <c r="D34" s="4" t="n"/>
      <c r="E34" s="4" t="n"/>
      <c r="F34" s="5" t="n"/>
      <c r="G34" s="5" t="n"/>
      <c r="H34" s="5">
        <f>IF(F34="","",F34-G34)</f>
        <v/>
      </c>
      <c r="I34" s="5" t="n"/>
      <c r="J34" s="4" t="n"/>
      <c r="K34" s="4" t="n"/>
    </row>
    <row r="35">
      <c r="A35" s="7" t="n"/>
      <c r="B35" s="7" t="n"/>
      <c r="C35" s="7" t="n"/>
      <c r="D35" s="7" t="n"/>
      <c r="E35" s="7" t="n"/>
      <c r="F35" s="8" t="n"/>
      <c r="G35" s="8" t="n"/>
      <c r="H35" s="8">
        <f>IF(F35="","",F35-G35)</f>
        <v/>
      </c>
      <c r="I35" s="8" t="n"/>
      <c r="J35" s="7" t="n"/>
      <c r="K35" s="7" t="n"/>
    </row>
    <row r="36">
      <c r="A36" s="4" t="n"/>
      <c r="B36" s="4" t="n"/>
      <c r="C36" s="4" t="n"/>
      <c r="D36" s="4" t="n"/>
      <c r="E36" s="4" t="n"/>
      <c r="F36" s="5" t="n"/>
      <c r="G36" s="5" t="n"/>
      <c r="H36" s="5">
        <f>IF(F36="","",F36-G36)</f>
        <v/>
      </c>
      <c r="I36" s="5" t="n"/>
      <c r="J36" s="4" t="n"/>
      <c r="K36" s="4" t="n"/>
    </row>
    <row r="37">
      <c r="A37" s="7" t="n"/>
      <c r="B37" s="7" t="n"/>
      <c r="C37" s="7" t="n"/>
      <c r="D37" s="7" t="n"/>
      <c r="E37" s="7" t="n"/>
      <c r="F37" s="8" t="n"/>
      <c r="G37" s="8" t="n"/>
      <c r="H37" s="8">
        <f>IF(F37="","",F37-G37)</f>
        <v/>
      </c>
      <c r="I37" s="8" t="n"/>
      <c r="J37" s="7" t="n"/>
      <c r="K37" s="7" t="n"/>
    </row>
    <row r="38">
      <c r="A38" s="4" t="n"/>
      <c r="B38" s="4" t="n"/>
      <c r="C38" s="4" t="n"/>
      <c r="D38" s="4" t="n"/>
      <c r="E38" s="4" t="n"/>
      <c r="F38" s="5" t="n"/>
      <c r="G38" s="5" t="n"/>
      <c r="H38" s="5">
        <f>IF(F38="","",F38-G38)</f>
        <v/>
      </c>
      <c r="I38" s="5" t="n"/>
      <c r="J38" s="4" t="n"/>
      <c r="K38" s="4" t="n"/>
    </row>
    <row r="39">
      <c r="A39" s="7" t="n"/>
      <c r="B39" s="7" t="n"/>
      <c r="C39" s="7" t="n"/>
      <c r="D39" s="7" t="n"/>
      <c r="E39" s="7" t="n"/>
      <c r="F39" s="8" t="n"/>
      <c r="G39" s="8" t="n"/>
      <c r="H39" s="8">
        <f>IF(F39="","",F39-G39)</f>
        <v/>
      </c>
      <c r="I39" s="8" t="n"/>
      <c r="J39" s="7" t="n"/>
      <c r="K39" s="7" t="n"/>
    </row>
    <row r="40">
      <c r="A40" s="4" t="n"/>
      <c r="B40" s="4" t="n"/>
      <c r="C40" s="4" t="n"/>
      <c r="D40" s="4" t="n"/>
      <c r="E40" s="4" t="n"/>
      <c r="F40" s="5" t="n"/>
      <c r="G40" s="5" t="n"/>
      <c r="H40" s="5">
        <f>IF(F40="","",F40-G40)</f>
        <v/>
      </c>
      <c r="I40" s="5" t="n"/>
      <c r="J40" s="4" t="n"/>
      <c r="K40" s="4" t="n"/>
    </row>
    <row r="41">
      <c r="A41" s="7" t="n"/>
      <c r="B41" s="7" t="n"/>
      <c r="C41" s="7" t="n"/>
      <c r="D41" s="7" t="n"/>
      <c r="E41" s="7" t="n"/>
      <c r="F41" s="8" t="n"/>
      <c r="G41" s="8" t="n"/>
      <c r="H41" s="8">
        <f>IF(F41="","",F41-G41)</f>
        <v/>
      </c>
      <c r="I41" s="8" t="n"/>
      <c r="J41" s="7" t="n"/>
      <c r="K41" s="7" t="n"/>
    </row>
    <row r="42">
      <c r="A42" s="4" t="n"/>
      <c r="B42" s="4" t="n"/>
      <c r="C42" s="4" t="n"/>
      <c r="D42" s="4" t="n"/>
      <c r="E42" s="4" t="n"/>
      <c r="F42" s="5" t="n"/>
      <c r="G42" s="5" t="n"/>
      <c r="H42" s="5">
        <f>IF(F42="","",F42-G42)</f>
        <v/>
      </c>
      <c r="I42" s="5" t="n"/>
      <c r="J42" s="4" t="n"/>
      <c r="K42" s="4" t="n"/>
    </row>
    <row r="43">
      <c r="A43" s="7" t="n"/>
      <c r="B43" s="7" t="n"/>
      <c r="C43" s="7" t="n"/>
      <c r="D43" s="7" t="n"/>
      <c r="E43" s="7" t="n"/>
      <c r="F43" s="8" t="n"/>
      <c r="G43" s="8" t="n"/>
      <c r="H43" s="8">
        <f>IF(F43="","",F43-G43)</f>
        <v/>
      </c>
      <c r="I43" s="8" t="n"/>
      <c r="J43" s="7" t="n"/>
      <c r="K43" s="7" t="n"/>
    </row>
    <row r="44">
      <c r="A44" s="4" t="n"/>
      <c r="B44" s="4" t="n"/>
      <c r="C44" s="4" t="n"/>
      <c r="D44" s="4" t="n"/>
      <c r="E44" s="4" t="n"/>
      <c r="F44" s="5" t="n"/>
      <c r="G44" s="5" t="n"/>
      <c r="H44" s="5">
        <f>IF(F44="","",F44-G44)</f>
        <v/>
      </c>
      <c r="I44" s="5" t="n"/>
      <c r="J44" s="4" t="n"/>
      <c r="K44" s="4" t="n"/>
    </row>
    <row r="45">
      <c r="A45" s="7" t="n"/>
      <c r="B45" s="7" t="n"/>
      <c r="C45" s="7" t="n"/>
      <c r="D45" s="7" t="n"/>
      <c r="E45" s="7" t="n"/>
      <c r="F45" s="8" t="n"/>
      <c r="G45" s="8" t="n"/>
      <c r="H45" s="8">
        <f>IF(F45="","",F45-G45)</f>
        <v/>
      </c>
      <c r="I45" s="8" t="n"/>
      <c r="J45" s="7" t="n"/>
      <c r="K45" s="7" t="n"/>
    </row>
    <row r="46">
      <c r="A46" s="4" t="n"/>
      <c r="B46" s="4" t="n"/>
      <c r="C46" s="4" t="n"/>
      <c r="D46" s="4" t="n"/>
      <c r="E46" s="4" t="n"/>
      <c r="F46" s="5" t="n"/>
      <c r="G46" s="5" t="n"/>
      <c r="H46" s="5">
        <f>IF(F46="","",F46-G46)</f>
        <v/>
      </c>
      <c r="I46" s="5" t="n"/>
      <c r="J46" s="4" t="n"/>
      <c r="K46" s="4" t="n"/>
    </row>
    <row r="47">
      <c r="A47" s="7" t="n"/>
      <c r="B47" s="7" t="n"/>
      <c r="C47" s="7" t="n"/>
      <c r="D47" s="7" t="n"/>
      <c r="E47" s="7" t="n"/>
      <c r="F47" s="8" t="n"/>
      <c r="G47" s="8" t="n"/>
      <c r="H47" s="8">
        <f>IF(F47="","",F47-G47)</f>
        <v/>
      </c>
      <c r="I47" s="8" t="n"/>
      <c r="J47" s="7" t="n"/>
      <c r="K47" s="7" t="n"/>
    </row>
    <row r="48">
      <c r="A48" s="4" t="n"/>
      <c r="B48" s="4" t="n"/>
      <c r="C48" s="4" t="n"/>
      <c r="D48" s="4" t="n"/>
      <c r="E48" s="4" t="n"/>
      <c r="F48" s="5" t="n"/>
      <c r="G48" s="5" t="n"/>
      <c r="H48" s="5">
        <f>IF(F48="","",F48-G48)</f>
        <v/>
      </c>
      <c r="I48" s="5" t="n"/>
      <c r="J48" s="4" t="n"/>
      <c r="K48" s="4" t="n"/>
    </row>
    <row r="49">
      <c r="A49" s="7" t="n"/>
      <c r="B49" s="7" t="n"/>
      <c r="C49" s="7" t="n"/>
      <c r="D49" s="7" t="n"/>
      <c r="E49" s="7" t="n"/>
      <c r="F49" s="8" t="n"/>
      <c r="G49" s="8" t="n"/>
      <c r="H49" s="8">
        <f>IF(F49="","",F49-G49)</f>
        <v/>
      </c>
      <c r="I49" s="8" t="n"/>
      <c r="J49" s="7" t="n"/>
      <c r="K49" s="7" t="n"/>
    </row>
    <row r="50">
      <c r="A50" s="4" t="n"/>
      <c r="B50" s="4" t="n"/>
      <c r="C50" s="4" t="n"/>
      <c r="D50" s="4" t="n"/>
      <c r="E50" s="4" t="n"/>
      <c r="F50" s="5" t="n"/>
      <c r="G50" s="5" t="n"/>
      <c r="H50" s="5">
        <f>IF(F50="","",F50-G50)</f>
        <v/>
      </c>
      <c r="I50" s="5" t="n"/>
      <c r="J50" s="4" t="n"/>
      <c r="K50" s="4" t="n"/>
    </row>
    <row r="51">
      <c r="A51" s="7" t="n"/>
      <c r="B51" s="7" t="n"/>
      <c r="C51" s="7" t="n"/>
      <c r="D51" s="7" t="n"/>
      <c r="E51" s="7" t="n"/>
      <c r="F51" s="8" t="n"/>
      <c r="G51" s="8" t="n"/>
      <c r="H51" s="8">
        <f>IF(F51="","",F51-G51)</f>
        <v/>
      </c>
      <c r="I51" s="8" t="n"/>
      <c r="J51" s="7" t="n"/>
      <c r="K51" s="7" t="n"/>
    </row>
    <row r="52">
      <c r="A52" s="4" t="n"/>
      <c r="B52" s="4" t="n"/>
      <c r="C52" s="4" t="n"/>
      <c r="D52" s="4" t="n"/>
      <c r="E52" s="4" t="n"/>
      <c r="F52" s="5" t="n"/>
      <c r="G52" s="5" t="n"/>
      <c r="H52" s="5">
        <f>IF(F52="","",F52-G52)</f>
        <v/>
      </c>
      <c r="I52" s="5" t="n"/>
      <c r="J52" s="4" t="n"/>
      <c r="K52" s="4" t="n"/>
    </row>
    <row r="53">
      <c r="A53" s="7" t="n"/>
      <c r="B53" s="7" t="n"/>
      <c r="C53" s="7" t="n"/>
      <c r="D53" s="7" t="n"/>
      <c r="E53" s="7" t="n"/>
      <c r="F53" s="8" t="n"/>
      <c r="G53" s="8" t="n"/>
      <c r="H53" s="8">
        <f>IF(F53="","",F53-G53)</f>
        <v/>
      </c>
      <c r="I53" s="8" t="n"/>
      <c r="J53" s="7" t="n"/>
      <c r="K53" s="7" t="n"/>
    </row>
    <row r="54">
      <c r="A54" s="4" t="n"/>
      <c r="B54" s="4" t="n"/>
      <c r="C54" s="4" t="n"/>
      <c r="D54" s="4" t="n"/>
      <c r="E54" s="4" t="n"/>
      <c r="F54" s="5" t="n"/>
      <c r="G54" s="5" t="n"/>
      <c r="H54" s="5">
        <f>IF(F54="","",F54-G54)</f>
        <v/>
      </c>
      <c r="I54" s="5" t="n"/>
      <c r="J54" s="4" t="n"/>
      <c r="K54" s="4" t="n"/>
    </row>
    <row r="55">
      <c r="A55" s="7" t="n"/>
      <c r="B55" s="7" t="n"/>
      <c r="C55" s="7" t="n"/>
      <c r="D55" s="7" t="n"/>
      <c r="E55" s="7" t="n"/>
      <c r="F55" s="8" t="n"/>
      <c r="G55" s="8" t="n"/>
      <c r="H55" s="8">
        <f>IF(F55="","",F55-G55)</f>
        <v/>
      </c>
      <c r="I55" s="8" t="n"/>
      <c r="J55" s="7" t="n"/>
      <c r="K55" s="7" t="n"/>
    </row>
    <row r="56">
      <c r="A56" s="4" t="n"/>
      <c r="B56" s="4" t="n"/>
      <c r="C56" s="4" t="n"/>
      <c r="D56" s="4" t="n"/>
      <c r="E56" s="4" t="n"/>
      <c r="F56" s="5" t="n"/>
      <c r="G56" s="5" t="n"/>
      <c r="H56" s="5">
        <f>IF(F56="","",F56-G56)</f>
        <v/>
      </c>
      <c r="I56" s="5" t="n"/>
      <c r="J56" s="4" t="n"/>
      <c r="K56" s="4" t="n"/>
    </row>
    <row r="57">
      <c r="A57" s="7" t="n"/>
      <c r="B57" s="7" t="n"/>
      <c r="C57" s="7" t="n"/>
      <c r="D57" s="7" t="n"/>
      <c r="E57" s="7" t="n"/>
      <c r="F57" s="8" t="n"/>
      <c r="G57" s="8" t="n"/>
      <c r="H57" s="8">
        <f>IF(F57="","",F57-G57)</f>
        <v/>
      </c>
      <c r="I57" s="8" t="n"/>
      <c r="J57" s="7" t="n"/>
      <c r="K57" s="7" t="n"/>
    </row>
    <row r="58">
      <c r="A58" s="4" t="n"/>
      <c r="B58" s="4" t="n"/>
      <c r="C58" s="4" t="n"/>
      <c r="D58" s="4" t="n"/>
      <c r="E58" s="4" t="n"/>
      <c r="F58" s="5" t="n"/>
      <c r="G58" s="5" t="n"/>
      <c r="H58" s="5">
        <f>IF(F58="","",F58-G58)</f>
        <v/>
      </c>
      <c r="I58" s="5" t="n"/>
      <c r="J58" s="4" t="n"/>
      <c r="K58" s="4" t="n"/>
    </row>
    <row r="59">
      <c r="A59" s="7" t="n"/>
      <c r="B59" s="7" t="n"/>
      <c r="C59" s="7" t="n"/>
      <c r="D59" s="7" t="n"/>
      <c r="E59" s="7" t="n"/>
      <c r="F59" s="8" t="n"/>
      <c r="G59" s="8" t="n"/>
      <c r="H59" s="8">
        <f>IF(F59="","",F59-G59)</f>
        <v/>
      </c>
      <c r="I59" s="8" t="n"/>
      <c r="J59" s="7" t="n"/>
      <c r="K59" s="7" t="n"/>
    </row>
    <row r="60">
      <c r="A60" s="4" t="n"/>
      <c r="B60" s="4" t="n"/>
      <c r="C60" s="4" t="n"/>
      <c r="D60" s="4" t="n"/>
      <c r="E60" s="4" t="n"/>
      <c r="F60" s="5" t="n"/>
      <c r="G60" s="5" t="n"/>
      <c r="H60" s="5">
        <f>IF(F60="","",F60-G60)</f>
        <v/>
      </c>
      <c r="I60" s="5" t="n"/>
      <c r="J60" s="4" t="n"/>
      <c r="K60" s="4" t="n"/>
    </row>
    <row r="61">
      <c r="A61" s="7" t="n"/>
      <c r="B61" s="7" t="n"/>
      <c r="C61" s="7" t="n"/>
      <c r="D61" s="7" t="n"/>
      <c r="E61" s="7" t="n"/>
      <c r="F61" s="8" t="n"/>
      <c r="G61" s="8" t="n"/>
      <c r="H61" s="8">
        <f>IF(F61="","",F61-G61)</f>
        <v/>
      </c>
      <c r="I61" s="8" t="n"/>
      <c r="J61" s="7" t="n"/>
      <c r="K61" s="7" t="n"/>
    </row>
    <row r="62">
      <c r="A62" s="4" t="n"/>
      <c r="B62" s="4" t="n"/>
      <c r="C62" s="4" t="n"/>
      <c r="D62" s="4" t="n"/>
      <c r="E62" s="4" t="n"/>
      <c r="F62" s="5" t="n"/>
      <c r="G62" s="5" t="n"/>
      <c r="H62" s="5">
        <f>IF(F62="","",F62-G62)</f>
        <v/>
      </c>
      <c r="I62" s="5" t="n"/>
      <c r="J62" s="4" t="n"/>
      <c r="K62" s="4" t="n"/>
    </row>
    <row r="63">
      <c r="A63" s="7" t="n"/>
      <c r="B63" s="7" t="n"/>
      <c r="C63" s="7" t="n"/>
      <c r="D63" s="7" t="n"/>
      <c r="E63" s="7" t="n"/>
      <c r="F63" s="8" t="n"/>
      <c r="G63" s="8" t="n"/>
      <c r="H63" s="8">
        <f>IF(F63="","",F63-G63)</f>
        <v/>
      </c>
      <c r="I63" s="8" t="n"/>
      <c r="J63" s="7" t="n"/>
      <c r="K63" s="7" t="n"/>
    </row>
    <row r="64">
      <c r="A64" s="4" t="n"/>
      <c r="B64" s="4" t="n"/>
      <c r="C64" s="4" t="n"/>
      <c r="D64" s="4" t="n"/>
      <c r="E64" s="4" t="n"/>
      <c r="F64" s="5" t="n"/>
      <c r="G64" s="5" t="n"/>
      <c r="H64" s="5">
        <f>IF(F64="","",F64-G64)</f>
        <v/>
      </c>
      <c r="I64" s="5" t="n"/>
      <c r="J64" s="4" t="n"/>
      <c r="K64" s="4" t="n"/>
    </row>
    <row r="65">
      <c r="A65" s="7" t="n"/>
      <c r="B65" s="7" t="n"/>
      <c r="C65" s="7" t="n"/>
      <c r="D65" s="7" t="n"/>
      <c r="E65" s="7" t="n"/>
      <c r="F65" s="8" t="n"/>
      <c r="G65" s="8" t="n"/>
      <c r="H65" s="8">
        <f>IF(F65="","",F65-G65)</f>
        <v/>
      </c>
      <c r="I65" s="8" t="n"/>
      <c r="J65" s="7" t="n"/>
      <c r="K65" s="7" t="n"/>
    </row>
    <row r="66">
      <c r="A66" s="4" t="n"/>
      <c r="B66" s="4" t="n"/>
      <c r="C66" s="4" t="n"/>
      <c r="D66" s="4" t="n"/>
      <c r="E66" s="4" t="n"/>
      <c r="F66" s="5" t="n"/>
      <c r="G66" s="5" t="n"/>
      <c r="H66" s="5">
        <f>IF(F66="","",F66-G66)</f>
        <v/>
      </c>
      <c r="I66" s="5" t="n"/>
      <c r="J66" s="4" t="n"/>
      <c r="K66" s="4" t="n"/>
    </row>
    <row r="67">
      <c r="A67" s="7" t="n"/>
      <c r="B67" s="7" t="n"/>
      <c r="C67" s="7" t="n"/>
      <c r="D67" s="7" t="n"/>
      <c r="E67" s="7" t="n"/>
      <c r="F67" s="8" t="n"/>
      <c r="G67" s="8" t="n"/>
      <c r="H67" s="8">
        <f>IF(F67="","",F67-G67)</f>
        <v/>
      </c>
      <c r="I67" s="8" t="n"/>
      <c r="J67" s="7" t="n"/>
      <c r="K67" s="7" t="n"/>
    </row>
    <row r="68">
      <c r="A68" s="4" t="n"/>
      <c r="B68" s="4" t="n"/>
      <c r="C68" s="4" t="n"/>
      <c r="D68" s="4" t="n"/>
      <c r="E68" s="4" t="n"/>
      <c r="F68" s="5" t="n"/>
      <c r="G68" s="5" t="n"/>
      <c r="H68" s="5">
        <f>IF(F68="","",F68-G68)</f>
        <v/>
      </c>
      <c r="I68" s="5" t="n"/>
      <c r="J68" s="4" t="n"/>
      <c r="K68" s="4" t="n"/>
    </row>
    <row r="69">
      <c r="A69" s="7" t="n"/>
      <c r="B69" s="7" t="n"/>
      <c r="C69" s="7" t="n"/>
      <c r="D69" s="7" t="n"/>
      <c r="E69" s="7" t="n"/>
      <c r="F69" s="8" t="n"/>
      <c r="G69" s="8" t="n"/>
      <c r="H69" s="8">
        <f>IF(F69="","",F69-G69)</f>
        <v/>
      </c>
      <c r="I69" s="8" t="n"/>
      <c r="J69" s="7" t="n"/>
      <c r="K69" s="7" t="n"/>
    </row>
    <row r="70">
      <c r="A70" s="4" t="n"/>
      <c r="B70" s="4" t="n"/>
      <c r="C70" s="4" t="n"/>
      <c r="D70" s="4" t="n"/>
      <c r="E70" s="4" t="n"/>
      <c r="F70" s="5" t="n"/>
      <c r="G70" s="5" t="n"/>
      <c r="H70" s="5">
        <f>IF(F70="","",F70-G70)</f>
        <v/>
      </c>
      <c r="I70" s="5" t="n"/>
      <c r="J70" s="4" t="n"/>
      <c r="K70" s="4" t="n"/>
    </row>
    <row r="71">
      <c r="A71" s="7" t="n"/>
      <c r="B71" s="7" t="n"/>
      <c r="C71" s="7" t="n"/>
      <c r="D71" s="7" t="n"/>
      <c r="E71" s="7" t="n"/>
      <c r="F71" s="8" t="n"/>
      <c r="G71" s="8" t="n"/>
      <c r="H71" s="8">
        <f>IF(F71="","",F71-G71)</f>
        <v/>
      </c>
      <c r="I71" s="8" t="n"/>
      <c r="J71" s="7" t="n"/>
      <c r="K71" s="7" t="n"/>
    </row>
    <row r="72">
      <c r="A72" s="4" t="n"/>
      <c r="B72" s="4" t="n"/>
      <c r="C72" s="4" t="n"/>
      <c r="D72" s="4" t="n"/>
      <c r="E72" s="4" t="n"/>
      <c r="F72" s="5" t="n"/>
      <c r="G72" s="5" t="n"/>
      <c r="H72" s="5">
        <f>IF(F72="","",F72-G72)</f>
        <v/>
      </c>
      <c r="I72" s="5" t="n"/>
      <c r="J72" s="4" t="n"/>
      <c r="K72" s="4" t="n"/>
    </row>
    <row r="73">
      <c r="A73" s="7" t="n"/>
      <c r="B73" s="7" t="n"/>
      <c r="C73" s="7" t="n"/>
      <c r="D73" s="7" t="n"/>
      <c r="E73" s="7" t="n"/>
      <c r="F73" s="8" t="n"/>
      <c r="G73" s="8" t="n"/>
      <c r="H73" s="8">
        <f>IF(F73="","",F73-G73)</f>
        <v/>
      </c>
      <c r="I73" s="8" t="n"/>
      <c r="J73" s="7" t="n"/>
      <c r="K73" s="7" t="n"/>
    </row>
    <row r="74">
      <c r="A74" s="4" t="n"/>
      <c r="B74" s="4" t="n"/>
      <c r="C74" s="4" t="n"/>
      <c r="D74" s="4" t="n"/>
      <c r="E74" s="4" t="n"/>
      <c r="F74" s="5" t="n"/>
      <c r="G74" s="5" t="n"/>
      <c r="H74" s="5">
        <f>IF(F74="","",F74-G74)</f>
        <v/>
      </c>
      <c r="I74" s="5" t="n"/>
      <c r="J74" s="4" t="n"/>
      <c r="K74" s="4" t="n"/>
    </row>
    <row r="75">
      <c r="A75" s="7" t="n"/>
      <c r="B75" s="7" t="n"/>
      <c r="C75" s="7" t="n"/>
      <c r="D75" s="7" t="n"/>
      <c r="E75" s="7" t="n"/>
      <c r="F75" s="8" t="n"/>
      <c r="G75" s="8" t="n"/>
      <c r="H75" s="8">
        <f>IF(F75="","",F75-G75)</f>
        <v/>
      </c>
      <c r="I75" s="8" t="n"/>
      <c r="J75" s="7" t="n"/>
      <c r="K75" s="7" t="n"/>
    </row>
    <row r="76">
      <c r="A76" s="4" t="n"/>
      <c r="B76" s="4" t="n"/>
      <c r="C76" s="4" t="n"/>
      <c r="D76" s="4" t="n"/>
      <c r="E76" s="4" t="n"/>
      <c r="F76" s="5" t="n"/>
      <c r="G76" s="5" t="n"/>
      <c r="H76" s="5">
        <f>IF(F76="","",F76-G76)</f>
        <v/>
      </c>
      <c r="I76" s="5" t="n"/>
      <c r="J76" s="4" t="n"/>
      <c r="K76" s="4" t="n"/>
    </row>
    <row r="77">
      <c r="A77" s="7" t="n"/>
      <c r="B77" s="7" t="n"/>
      <c r="C77" s="7" t="n"/>
      <c r="D77" s="7" t="n"/>
      <c r="E77" s="7" t="n"/>
      <c r="F77" s="8" t="n"/>
      <c r="G77" s="8" t="n"/>
      <c r="H77" s="8">
        <f>IF(F77="","",F77-G77)</f>
        <v/>
      </c>
      <c r="I77" s="8" t="n"/>
      <c r="J77" s="7" t="n"/>
      <c r="K77" s="7" t="n"/>
    </row>
    <row r="78">
      <c r="A78" s="4" t="n"/>
      <c r="B78" s="4" t="n"/>
      <c r="C78" s="4" t="n"/>
      <c r="D78" s="4" t="n"/>
      <c r="E78" s="4" t="n"/>
      <c r="F78" s="5" t="n"/>
      <c r="G78" s="5" t="n"/>
      <c r="H78" s="5">
        <f>IF(F78="","",F78-G78)</f>
        <v/>
      </c>
      <c r="I78" s="5" t="n"/>
      <c r="J78" s="4" t="n"/>
      <c r="K78" s="4" t="n"/>
    </row>
    <row r="79">
      <c r="A79" s="7" t="n"/>
      <c r="B79" s="7" t="n"/>
      <c r="C79" s="7" t="n"/>
      <c r="D79" s="7" t="n"/>
      <c r="E79" s="7" t="n"/>
      <c r="F79" s="8" t="n"/>
      <c r="G79" s="8" t="n"/>
      <c r="H79" s="8">
        <f>IF(F79="","",F79-G79)</f>
        <v/>
      </c>
      <c r="I79" s="8" t="n"/>
      <c r="J79" s="7" t="n"/>
      <c r="K79" s="7" t="n"/>
    </row>
    <row r="80">
      <c r="A80" s="4" t="n"/>
      <c r="B80" s="4" t="n"/>
      <c r="C80" s="4" t="n"/>
      <c r="D80" s="4" t="n"/>
      <c r="E80" s="4" t="n"/>
      <c r="F80" s="5" t="n"/>
      <c r="G80" s="5" t="n"/>
      <c r="H80" s="5">
        <f>IF(F80="","",F80-G80)</f>
        <v/>
      </c>
      <c r="I80" s="5" t="n"/>
      <c r="J80" s="4" t="n"/>
      <c r="K80" s="4" t="n"/>
    </row>
    <row r="81">
      <c r="A81" s="7" t="n"/>
      <c r="B81" s="7" t="n"/>
      <c r="C81" s="7" t="n"/>
      <c r="D81" s="7" t="n"/>
      <c r="E81" s="7" t="n"/>
      <c r="F81" s="8" t="n"/>
      <c r="G81" s="8" t="n"/>
      <c r="H81" s="8">
        <f>IF(F81="","",F81-G81)</f>
        <v/>
      </c>
      <c r="I81" s="8" t="n"/>
      <c r="J81" s="7" t="n"/>
      <c r="K81" s="7" t="n"/>
    </row>
    <row r="82">
      <c r="A82" s="4" t="n"/>
      <c r="B82" s="4" t="n"/>
      <c r="C82" s="4" t="n"/>
      <c r="D82" s="4" t="n"/>
      <c r="E82" s="4" t="n"/>
      <c r="F82" s="5" t="n"/>
      <c r="G82" s="5" t="n"/>
      <c r="H82" s="5">
        <f>IF(F82="","",F82-G82)</f>
        <v/>
      </c>
      <c r="I82" s="5" t="n"/>
      <c r="J82" s="4" t="n"/>
      <c r="K82" s="4" t="n"/>
    </row>
    <row r="83">
      <c r="A83" s="7" t="n"/>
      <c r="B83" s="7" t="n"/>
      <c r="C83" s="7" t="n"/>
      <c r="D83" s="7" t="n"/>
      <c r="E83" s="7" t="n"/>
      <c r="F83" s="8" t="n"/>
      <c r="G83" s="8" t="n"/>
      <c r="H83" s="8">
        <f>IF(F83="","",F83-G83)</f>
        <v/>
      </c>
      <c r="I83" s="8" t="n"/>
      <c r="J83" s="7" t="n"/>
      <c r="K83" s="7" t="n"/>
    </row>
    <row r="84">
      <c r="A84" s="4" t="n"/>
      <c r="B84" s="4" t="n"/>
      <c r="C84" s="4" t="n"/>
      <c r="D84" s="4" t="n"/>
      <c r="E84" s="4" t="n"/>
      <c r="F84" s="5" t="n"/>
      <c r="G84" s="5" t="n"/>
      <c r="H84" s="5">
        <f>IF(F84="","",F84-G84)</f>
        <v/>
      </c>
      <c r="I84" s="5" t="n"/>
      <c r="J84" s="4" t="n"/>
      <c r="K84" s="4" t="n"/>
    </row>
    <row r="85">
      <c r="A85" s="7" t="n"/>
      <c r="B85" s="7" t="n"/>
      <c r="C85" s="7" t="n"/>
      <c r="D85" s="7" t="n"/>
      <c r="E85" s="7" t="n"/>
      <c r="F85" s="8" t="n"/>
      <c r="G85" s="8" t="n"/>
      <c r="H85" s="8">
        <f>IF(F85="","",F85-G85)</f>
        <v/>
      </c>
      <c r="I85" s="8" t="n"/>
      <c r="J85" s="7" t="n"/>
      <c r="K85" s="7" t="n"/>
    </row>
    <row r="86">
      <c r="A86" s="4" t="n"/>
      <c r="B86" s="4" t="n"/>
      <c r="C86" s="4" t="n"/>
      <c r="D86" s="4" t="n"/>
      <c r="E86" s="4" t="n"/>
      <c r="F86" s="5" t="n"/>
      <c r="G86" s="5" t="n"/>
      <c r="H86" s="5">
        <f>IF(F86="","",F86-G86)</f>
        <v/>
      </c>
      <c r="I86" s="5" t="n"/>
      <c r="J86" s="4" t="n"/>
      <c r="K86" s="4" t="n"/>
    </row>
    <row r="87">
      <c r="A87" s="7" t="n"/>
      <c r="B87" s="7" t="n"/>
      <c r="C87" s="7" t="n"/>
      <c r="D87" s="7" t="n"/>
      <c r="E87" s="7" t="n"/>
      <c r="F87" s="8" t="n"/>
      <c r="G87" s="8" t="n"/>
      <c r="H87" s="8">
        <f>IF(F87="","",F87-G87)</f>
        <v/>
      </c>
      <c r="I87" s="8" t="n"/>
      <c r="J87" s="7" t="n"/>
      <c r="K87" s="7" t="n"/>
    </row>
    <row r="88">
      <c r="A88" s="4" t="n"/>
      <c r="B88" s="4" t="n"/>
      <c r="C88" s="4" t="n"/>
      <c r="D88" s="4" t="n"/>
      <c r="E88" s="4" t="n"/>
      <c r="F88" s="5" t="n"/>
      <c r="G88" s="5" t="n"/>
      <c r="H88" s="5">
        <f>IF(F88="","",F88-G88)</f>
        <v/>
      </c>
      <c r="I88" s="5" t="n"/>
      <c r="J88" s="4" t="n"/>
      <c r="K88" s="4" t="n"/>
    </row>
    <row r="89">
      <c r="A89" s="7" t="n"/>
      <c r="B89" s="7" t="n"/>
      <c r="C89" s="7" t="n"/>
      <c r="D89" s="7" t="n"/>
      <c r="E89" s="7" t="n"/>
      <c r="F89" s="8" t="n"/>
      <c r="G89" s="8" t="n"/>
      <c r="H89" s="8">
        <f>IF(F89="","",F89-G89)</f>
        <v/>
      </c>
      <c r="I89" s="8" t="n"/>
      <c r="J89" s="7" t="n"/>
      <c r="K89" s="7" t="n"/>
    </row>
    <row r="90">
      <c r="A90" s="4" t="n"/>
      <c r="B90" s="4" t="n"/>
      <c r="C90" s="4" t="n"/>
      <c r="D90" s="4" t="n"/>
      <c r="E90" s="4" t="n"/>
      <c r="F90" s="5" t="n"/>
      <c r="G90" s="5" t="n"/>
      <c r="H90" s="5">
        <f>IF(F90="","",F90-G90)</f>
        <v/>
      </c>
      <c r="I90" s="5" t="n"/>
      <c r="J90" s="4" t="n"/>
      <c r="K90" s="4" t="n"/>
    </row>
    <row r="91">
      <c r="A91" s="7" t="n"/>
      <c r="B91" s="7" t="n"/>
      <c r="C91" s="7" t="n"/>
      <c r="D91" s="7" t="n"/>
      <c r="E91" s="7" t="n"/>
      <c r="F91" s="8" t="n"/>
      <c r="G91" s="8" t="n"/>
      <c r="H91" s="8">
        <f>IF(F91="","",F91-G91)</f>
        <v/>
      </c>
      <c r="I91" s="8" t="n"/>
      <c r="J91" s="7" t="n"/>
      <c r="K91" s="7" t="n"/>
    </row>
    <row r="92">
      <c r="A92" s="4" t="n"/>
      <c r="B92" s="4" t="n"/>
      <c r="C92" s="4" t="n"/>
      <c r="D92" s="4" t="n"/>
      <c r="E92" s="4" t="n"/>
      <c r="F92" s="5" t="n"/>
      <c r="G92" s="5" t="n"/>
      <c r="H92" s="5">
        <f>IF(F92="","",F92-G92)</f>
        <v/>
      </c>
      <c r="I92" s="5" t="n"/>
      <c r="J92" s="4" t="n"/>
      <c r="K92" s="4" t="n"/>
    </row>
    <row r="93">
      <c r="A93" s="7" t="n"/>
      <c r="B93" s="7" t="n"/>
      <c r="C93" s="7" t="n"/>
      <c r="D93" s="7" t="n"/>
      <c r="E93" s="7" t="n"/>
      <c r="F93" s="8" t="n"/>
      <c r="G93" s="8" t="n"/>
      <c r="H93" s="8">
        <f>IF(F93="","",F93-G93)</f>
        <v/>
      </c>
      <c r="I93" s="8" t="n"/>
      <c r="J93" s="7" t="n"/>
      <c r="K93" s="7" t="n"/>
    </row>
    <row r="94">
      <c r="A94" s="4" t="n"/>
      <c r="B94" s="4" t="n"/>
      <c r="C94" s="4" t="n"/>
      <c r="D94" s="4" t="n"/>
      <c r="E94" s="4" t="n"/>
      <c r="F94" s="5" t="n"/>
      <c r="G94" s="5" t="n"/>
      <c r="H94" s="5">
        <f>IF(F94="","",F94-G94)</f>
        <v/>
      </c>
      <c r="I94" s="5" t="n"/>
      <c r="J94" s="4" t="n"/>
      <c r="K94" s="4" t="n"/>
    </row>
    <row r="95">
      <c r="A95" s="7" t="n"/>
      <c r="B95" s="7" t="n"/>
      <c r="C95" s="7" t="n"/>
      <c r="D95" s="7" t="n"/>
      <c r="E95" s="7" t="n"/>
      <c r="F95" s="8" t="n"/>
      <c r="G95" s="8" t="n"/>
      <c r="H95" s="8">
        <f>IF(F95="","",F95-G95)</f>
        <v/>
      </c>
      <c r="I95" s="8" t="n"/>
      <c r="J95" s="7" t="n"/>
      <c r="K95" s="7" t="n"/>
    </row>
    <row r="96">
      <c r="A96" s="4" t="n"/>
      <c r="B96" s="4" t="n"/>
      <c r="C96" s="4" t="n"/>
      <c r="D96" s="4" t="n"/>
      <c r="E96" s="4" t="n"/>
      <c r="F96" s="5" t="n"/>
      <c r="G96" s="5" t="n"/>
      <c r="H96" s="5">
        <f>IF(F96="","",F96-G96)</f>
        <v/>
      </c>
      <c r="I96" s="5" t="n"/>
      <c r="J96" s="4" t="n"/>
      <c r="K96" s="4" t="n"/>
    </row>
    <row r="97">
      <c r="A97" s="7" t="n"/>
      <c r="B97" s="7" t="n"/>
      <c r="C97" s="7" t="n"/>
      <c r="D97" s="7" t="n"/>
      <c r="E97" s="7" t="n"/>
      <c r="F97" s="8" t="n"/>
      <c r="G97" s="8" t="n"/>
      <c r="H97" s="8">
        <f>IF(F97="","",F97-G97)</f>
        <v/>
      </c>
      <c r="I97" s="8" t="n"/>
      <c r="J97" s="7" t="n"/>
      <c r="K97" s="7" t="n"/>
    </row>
    <row r="98">
      <c r="A98" s="4" t="n"/>
      <c r="B98" s="4" t="n"/>
      <c r="C98" s="4" t="n"/>
      <c r="D98" s="4" t="n"/>
      <c r="E98" s="4" t="n"/>
      <c r="F98" s="5" t="n"/>
      <c r="G98" s="5" t="n"/>
      <c r="H98" s="5">
        <f>IF(F98="","",F98-G98)</f>
        <v/>
      </c>
      <c r="I98" s="5" t="n"/>
      <c r="J98" s="4" t="n"/>
      <c r="K98" s="4" t="n"/>
    </row>
    <row r="99">
      <c r="A99" s="7" t="n"/>
      <c r="B99" s="7" t="n"/>
      <c r="C99" s="7" t="n"/>
      <c r="D99" s="7" t="n"/>
      <c r="E99" s="7" t="n"/>
      <c r="F99" s="8" t="n"/>
      <c r="G99" s="8" t="n"/>
      <c r="H99" s="8">
        <f>IF(F99="","",F99-G99)</f>
        <v/>
      </c>
      <c r="I99" s="8" t="n"/>
      <c r="J99" s="7" t="n"/>
      <c r="K99" s="7" t="n"/>
    </row>
    <row r="100">
      <c r="A100" s="4" t="n"/>
      <c r="B100" s="4" t="n"/>
      <c r="C100" s="4" t="n"/>
      <c r="D100" s="4" t="n"/>
      <c r="E100" s="4" t="n"/>
      <c r="F100" s="5" t="n"/>
      <c r="G100" s="5" t="n"/>
      <c r="H100" s="5">
        <f>IF(F100="","",F100-G100)</f>
        <v/>
      </c>
      <c r="I100" s="5" t="n"/>
      <c r="J100" s="4" t="n"/>
      <c r="K100" s="4" t="n"/>
    </row>
    <row r="101">
      <c r="A101" s="7" t="n"/>
      <c r="B101" s="7" t="n"/>
      <c r="C101" s="7" t="n"/>
      <c r="D101" s="7" t="n"/>
      <c r="E101" s="7" t="n"/>
      <c r="F101" s="8" t="n"/>
      <c r="G101" s="8" t="n"/>
      <c r="H101" s="8">
        <f>IF(F101="","",F101-G101)</f>
        <v/>
      </c>
      <c r="I101" s="8" t="n"/>
      <c r="J101" s="7" t="n"/>
      <c r="K101" s="7" t="n"/>
    </row>
    <row r="102">
      <c r="A102" s="4" t="n"/>
      <c r="B102" s="4" t="n"/>
      <c r="C102" s="4" t="n"/>
      <c r="D102" s="4" t="n"/>
      <c r="E102" s="4" t="n"/>
      <c r="F102" s="5" t="n"/>
      <c r="G102" s="5" t="n"/>
      <c r="H102" s="5">
        <f>IF(F102="","",F102-G102)</f>
        <v/>
      </c>
      <c r="I102" s="5" t="n"/>
      <c r="J102" s="4" t="n"/>
      <c r="K102" s="4" t="n"/>
    </row>
    <row r="103">
      <c r="A103" s="7" t="n"/>
      <c r="B103" s="7" t="n"/>
      <c r="C103" s="7" t="n"/>
      <c r="D103" s="7" t="n"/>
      <c r="E103" s="7" t="n"/>
      <c r="F103" s="8" t="n"/>
      <c r="G103" s="8" t="n"/>
      <c r="H103" s="8">
        <f>IF(F103="","",F103-G103)</f>
        <v/>
      </c>
      <c r="I103" s="8" t="n"/>
      <c r="J103" s="7" t="n"/>
      <c r="K103" s="7" t="n"/>
    </row>
    <row r="104">
      <c r="A104" s="4" t="n"/>
      <c r="B104" s="4" t="n"/>
      <c r="C104" s="4" t="n"/>
      <c r="D104" s="4" t="n"/>
      <c r="E104" s="4" t="n"/>
      <c r="F104" s="5" t="n"/>
      <c r="G104" s="5" t="n"/>
      <c r="H104" s="5">
        <f>IF(F104="","",F104-G104)</f>
        <v/>
      </c>
      <c r="I104" s="5" t="n"/>
      <c r="J104" s="4" t="n"/>
      <c r="K104" s="4" t="n"/>
    </row>
    <row r="105">
      <c r="A105" s="7" t="n"/>
      <c r="B105" s="7" t="n"/>
      <c r="C105" s="7" t="n"/>
      <c r="D105" s="7" t="n"/>
      <c r="E105" s="7" t="n"/>
      <c r="F105" s="8" t="n"/>
      <c r="G105" s="8" t="n"/>
      <c r="H105" s="8">
        <f>IF(F105="","",F105-G105)</f>
        <v/>
      </c>
      <c r="I105" s="8" t="n"/>
      <c r="J105" s="7" t="n"/>
      <c r="K105" s="7" t="n"/>
    </row>
    <row r="106">
      <c r="A106" s="4" t="n"/>
      <c r="B106" s="4" t="n"/>
      <c r="C106" s="4" t="n"/>
      <c r="D106" s="4" t="n"/>
      <c r="E106" s="4" t="n"/>
      <c r="F106" s="5" t="n"/>
      <c r="G106" s="5" t="n"/>
      <c r="H106" s="5">
        <f>IF(F106="","",F106-G106)</f>
        <v/>
      </c>
      <c r="I106" s="5" t="n"/>
      <c r="J106" s="4" t="n"/>
      <c r="K106" s="4" t="n"/>
    </row>
    <row r="107">
      <c r="A107" s="7" t="n"/>
      <c r="B107" s="7" t="n"/>
      <c r="C107" s="7" t="n"/>
      <c r="D107" s="7" t="n"/>
      <c r="E107" s="7" t="n"/>
      <c r="F107" s="8" t="n"/>
      <c r="G107" s="8" t="n"/>
      <c r="H107" s="8">
        <f>IF(F107="","",F107-G107)</f>
        <v/>
      </c>
      <c r="I107" s="8" t="n"/>
      <c r="J107" s="7" t="n"/>
      <c r="K107" s="7" t="n"/>
    </row>
    <row r="108">
      <c r="A108" s="4" t="n"/>
      <c r="B108" s="4" t="n"/>
      <c r="C108" s="4" t="n"/>
      <c r="D108" s="4" t="n"/>
      <c r="E108" s="4" t="n"/>
      <c r="F108" s="5" t="n"/>
      <c r="G108" s="5" t="n"/>
      <c r="H108" s="5">
        <f>IF(F108="","",F108-G108)</f>
        <v/>
      </c>
      <c r="I108" s="5" t="n"/>
      <c r="J108" s="4" t="n"/>
      <c r="K108" s="4" t="n"/>
    </row>
    <row r="109">
      <c r="A109" s="7" t="n"/>
      <c r="B109" s="7" t="n"/>
      <c r="C109" s="7" t="n"/>
      <c r="D109" s="7" t="n"/>
      <c r="E109" s="7" t="n"/>
      <c r="F109" s="8" t="n"/>
      <c r="G109" s="8" t="n"/>
      <c r="H109" s="8">
        <f>IF(F109="","",F109-G109)</f>
        <v/>
      </c>
      <c r="I109" s="8" t="n"/>
      <c r="J109" s="7" t="n"/>
      <c r="K109" s="7" t="n"/>
    </row>
    <row r="110">
      <c r="A110" s="4" t="n"/>
      <c r="B110" s="4" t="n"/>
      <c r="C110" s="4" t="n"/>
      <c r="D110" s="4" t="n"/>
      <c r="E110" s="4" t="n"/>
      <c r="F110" s="5" t="n"/>
      <c r="G110" s="5" t="n"/>
      <c r="H110" s="5">
        <f>IF(F110="","",F110-G110)</f>
        <v/>
      </c>
      <c r="I110" s="5" t="n"/>
      <c r="J110" s="4" t="n"/>
      <c r="K110" s="4" t="n"/>
    </row>
    <row r="111">
      <c r="A111" s="7" t="n"/>
      <c r="B111" s="7" t="n"/>
      <c r="C111" s="7" t="n"/>
      <c r="D111" s="7" t="n"/>
      <c r="E111" s="7" t="n"/>
      <c r="F111" s="8" t="n"/>
      <c r="G111" s="8" t="n"/>
      <c r="H111" s="8">
        <f>IF(F111="","",F111-G111)</f>
        <v/>
      </c>
      <c r="I111" s="8" t="n"/>
      <c r="J111" s="7" t="n"/>
      <c r="K111" s="7" t="n"/>
    </row>
    <row r="112">
      <c r="A112" s="4" t="n"/>
      <c r="B112" s="4" t="n"/>
      <c r="C112" s="4" t="n"/>
      <c r="D112" s="4" t="n"/>
      <c r="E112" s="4" t="n"/>
      <c r="F112" s="5" t="n"/>
      <c r="G112" s="5" t="n"/>
      <c r="H112" s="5">
        <f>IF(F112="","",F112-G112)</f>
        <v/>
      </c>
      <c r="I112" s="5" t="n"/>
      <c r="J112" s="4" t="n"/>
      <c r="K112" s="4" t="n"/>
    </row>
    <row r="113">
      <c r="A113" s="7" t="n"/>
      <c r="B113" s="7" t="n"/>
      <c r="C113" s="7" t="n"/>
      <c r="D113" s="7" t="n"/>
      <c r="E113" s="7" t="n"/>
      <c r="F113" s="8" t="n"/>
      <c r="G113" s="8" t="n"/>
      <c r="H113" s="8">
        <f>IF(F113="","",F113-G113)</f>
        <v/>
      </c>
      <c r="I113" s="8" t="n"/>
      <c r="J113" s="7" t="n"/>
      <c r="K113" s="7" t="n"/>
    </row>
    <row r="114">
      <c r="A114" s="4" t="n"/>
      <c r="B114" s="4" t="n"/>
      <c r="C114" s="4" t="n"/>
      <c r="D114" s="4" t="n"/>
      <c r="E114" s="4" t="n"/>
      <c r="F114" s="5" t="n"/>
      <c r="G114" s="5" t="n"/>
      <c r="H114" s="5">
        <f>IF(F114="","",F114-G114)</f>
        <v/>
      </c>
      <c r="I114" s="5" t="n"/>
      <c r="J114" s="4" t="n"/>
      <c r="K114" s="4" t="n"/>
    </row>
    <row r="115">
      <c r="A115" s="7" t="n"/>
      <c r="B115" s="7" t="n"/>
      <c r="C115" s="7" t="n"/>
      <c r="D115" s="7" t="n"/>
      <c r="E115" s="7" t="n"/>
      <c r="F115" s="8" t="n"/>
      <c r="G115" s="8" t="n"/>
      <c r="H115" s="8">
        <f>IF(F115="","",F115-G115)</f>
        <v/>
      </c>
      <c r="I115" s="8" t="n"/>
      <c r="J115" s="7" t="n"/>
      <c r="K115" s="7" t="n"/>
    </row>
  </sheetData>
  <mergeCells count="2">
    <mergeCell ref="A3:P3"/>
    <mergeCell ref="A2:P2"/>
  </mergeCells>
  <conditionalFormatting sqref="J6:J115">
    <cfRule type="cellIs" priority="1" operator="equal" dxfId="1">
      <formula>"Payé"</formula>
    </cfRule>
    <cfRule type="cellIs" priority="2" operator="equal" dxfId="2">
      <formula>"Impayé"</formula>
    </cfRule>
    <cfRule type="cellIs" priority="3" operator="equal" dxfId="0">
      <formula>"En attente"</formula>
    </cfRule>
    <cfRule type="cellIs" priority="4" operator="equal" dxfId="2">
      <formula>"Litige"</formula>
    </cfRule>
  </conditionalFormatting>
  <dataValidations count="2">
    <dataValidation sqref="B6:B115" showDropDown="0" showInputMessage="0" showErrorMessage="0" allowBlank="1" errorTitle="Erreur de saisie" error="Valeur non autorisée" promptTitle="Liste déroulante" prompt="Sélectionnez dans la liste" type="list">
      <formula1>'F02 - _Lists'!$O$6:$O$35</formula1>
    </dataValidation>
    <dataValidation sqref="J6:J115" showDropDown="0" showInputMessage="0" showErrorMessage="0" allowBlank="1" errorTitle="Erreur de saisie" error="Valeur non autorisée" promptTitle="Liste déroulante" prompt="Sélectionnez dans la liste" type="list">
      <formula1>'F02 - _Lists'!$Q$6:$Q$35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C6BC0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20" customWidth="1" min="4" max="4"/>
    <col width="18" customWidth="1" min="5" max="5"/>
    <col width="16" customWidth="1" min="6" max="6"/>
    <col width="14" customWidth="1" min="7" max="7"/>
    <col width="14" customWidth="1" min="8" max="8"/>
    <col width="26" customWidth="1" min="9" max="9"/>
    <col width="24" customWidth="1" min="10" max="10"/>
    <col width="16" customWidth="1" min="11" max="11"/>
  </cols>
  <sheetData>
    <row r="2" ht="25" customHeight="1">
      <c r="A2" s="1" t="inlineStr">
        <is>
          <t>DOMAINE 26 — 10-SUIVI DES ÉCARTS BUDGÉTAIRES</t>
        </is>
      </c>
    </row>
    <row r="3" ht="18" customHeight="1">
      <c r="A3" s="2" t="inlineStr">
        <is>
          <t>TABLEAU DYNAMIQUE — Analyse des décalages prévision/réalisation</t>
        </is>
      </c>
    </row>
    <row r="5">
      <c r="A5" s="3" t="inlineStr">
        <is>
          <t>Code Budget</t>
        </is>
      </c>
      <c r="B5" s="3" t="inlineStr">
        <is>
          <t>Rubrique</t>
        </is>
      </c>
      <c r="C5" s="3" t="inlineStr">
        <is>
          <t>Budget Prévu (FCFA)</t>
        </is>
      </c>
      <c r="D5" s="3" t="inlineStr">
        <is>
          <t>Budget Réalisé (FCFA)</t>
        </is>
      </c>
      <c r="E5" s="3" t="inlineStr">
        <is>
          <t>Écart Absolu (FCFA)</t>
        </is>
      </c>
      <c r="F5" s="3" t="inlineStr">
        <is>
          <t>Écart Relatif (%)</t>
        </is>
      </c>
      <c r="G5" s="3" t="inlineStr">
        <is>
          <t>Sens Écart</t>
        </is>
      </c>
      <c r="H5" s="3" t="inlineStr">
        <is>
          <t>Niveau Alerte</t>
        </is>
      </c>
      <c r="I5" s="3" t="inlineStr">
        <is>
          <t>Analyse Causes</t>
        </is>
      </c>
      <c r="J5" s="3" t="inlineStr">
        <is>
          <t>Action Corrective</t>
        </is>
      </c>
      <c r="K5" s="3" t="inlineStr">
        <is>
          <t>Responsable</t>
        </is>
      </c>
    </row>
    <row r="6">
      <c r="A6" s="4" t="inlineStr">
        <is>
          <t>BUD-001</t>
        </is>
      </c>
      <c r="B6" s="4" t="inlineStr">
        <is>
          <t>Masse salariale DG</t>
        </is>
      </c>
      <c r="C6" s="5" t="n">
        <v>85000000</v>
      </c>
      <c r="D6" s="5" t="n">
        <v>72500000</v>
      </c>
      <c r="E6" s="5">
        <f>C6-D6</f>
        <v/>
      </c>
      <c r="F6" s="6">
        <f>IFERROR(E6/C6,0)</f>
        <v/>
      </c>
      <c r="G6" s="4">
        <f>IF(E6&gt;0,"Favorable",IF(E6&lt;0,"Défavorable","Néant"))</f>
        <v/>
      </c>
      <c r="H6" s="4">
        <f>IF(ABS(F6)&gt;0.15,"Haute",IF(ABS(F6)&gt;0.05,"Moyenne","Basse"))</f>
        <v/>
      </c>
      <c r="I6" s="4" t="inlineStr">
        <is>
          <t>Poste DG vacant 3 mois</t>
        </is>
      </c>
      <c r="J6" s="4" t="inlineStr">
        <is>
          <t>Recrutement en cours</t>
        </is>
      </c>
      <c r="K6" s="4" t="inlineStr">
        <is>
          <t>M. Nkoulou</t>
        </is>
      </c>
    </row>
    <row r="7">
      <c r="A7" s="7" t="inlineStr">
        <is>
          <t>BUD-002</t>
        </is>
      </c>
      <c r="B7" s="7" t="inlineStr">
        <is>
          <t>Masse salariale RH</t>
        </is>
      </c>
      <c r="C7" s="8" t="n">
        <v>42000000</v>
      </c>
      <c r="D7" s="8" t="n">
        <v>35800000</v>
      </c>
      <c r="E7" s="8">
        <f>C7-D7</f>
        <v/>
      </c>
      <c r="F7" s="9">
        <f>IFERROR(E7/C7,0)</f>
        <v/>
      </c>
      <c r="G7" s="7">
        <f>IF(E7&gt;0,"Favorable",IF(E7&lt;0,"Défavorable","Néant"))</f>
        <v/>
      </c>
      <c r="H7" s="7">
        <f>IF(ABS(F7)&gt;0.15,"Haute",IF(ABS(F7)&gt;0.05,"Moyenne","Basse"))</f>
        <v/>
      </c>
      <c r="I7" s="7" t="inlineStr">
        <is>
          <t>Turnover réduit</t>
        </is>
      </c>
      <c r="J7" s="7" t="inlineStr">
        <is>
          <t>Réaffectation prévue Q3</t>
        </is>
      </c>
      <c r="K7" s="7" t="inlineStr">
        <is>
          <t>Mme. Mbarga</t>
        </is>
      </c>
    </row>
    <row r="8">
      <c r="A8" s="4" t="inlineStr">
        <is>
          <t>BUD-004</t>
        </is>
      </c>
      <c r="B8" s="4" t="inlineStr">
        <is>
          <t>Masse salariale Rest.</t>
        </is>
      </c>
      <c r="C8" s="5" t="n">
        <v>120000000</v>
      </c>
      <c r="D8" s="5" t="n">
        <v>98500000</v>
      </c>
      <c r="E8" s="5">
        <f>C8-D8</f>
        <v/>
      </c>
      <c r="F8" s="6">
        <f>IFERROR(E8/C8,0)</f>
        <v/>
      </c>
      <c r="G8" s="4">
        <f>IF(E8&gt;0,"Favorable",IF(E8&lt;0,"Défavorable","Néant"))</f>
        <v/>
      </c>
      <c r="H8" s="4">
        <f>IF(ABS(F8)&gt;0.15,"Haute",IF(ABS(F8)&gt;0.05,"Moyenne","Basse"))</f>
        <v/>
      </c>
      <c r="I8" s="4" t="inlineStr">
        <is>
          <t>Heures supp. réduites</t>
        </is>
      </c>
      <c r="J8" s="4" t="inlineStr">
        <is>
          <t>Optimisation planning</t>
        </is>
      </c>
      <c r="K8" s="4" t="inlineStr">
        <is>
          <t>M. Tchinda</t>
        </is>
      </c>
    </row>
    <row r="9">
      <c r="A9" s="7" t="inlineStr">
        <is>
          <t>BUD-007</t>
        </is>
      </c>
      <c r="B9" s="7" t="inlineStr">
        <is>
          <t>Charges patronales</t>
        </is>
      </c>
      <c r="C9" s="8" t="n">
        <v>35000000</v>
      </c>
      <c r="D9" s="8" t="n">
        <v>28500000</v>
      </c>
      <c r="E9" s="8">
        <f>C9-D9</f>
        <v/>
      </c>
      <c r="F9" s="9">
        <f>IFERROR(E9/C9,0)</f>
        <v/>
      </c>
      <c r="G9" s="7">
        <f>IF(E9&gt;0,"Favorable",IF(E9&lt;0,"Défavorable","Néant"))</f>
        <v/>
      </c>
      <c r="H9" s="7">
        <f>IF(ABS(F9)&gt;0.15,"Haute",IF(ABS(F9)&gt;0.05,"Moyenne","Basse"))</f>
        <v/>
      </c>
      <c r="I9" s="7" t="inlineStr">
        <is>
          <t>Baisse effectif cotisant</t>
        </is>
      </c>
      <c r="J9" s="7" t="inlineStr">
        <is>
          <t>Néant</t>
        </is>
      </c>
      <c r="K9" s="7" t="inlineStr">
        <is>
          <t>Mme. Mbarga</t>
        </is>
      </c>
    </row>
    <row r="10">
      <c r="A10" s="4" t="inlineStr">
        <is>
          <t>BUD-008</t>
        </is>
      </c>
      <c r="B10" s="4" t="inlineStr">
        <is>
          <t>Formation</t>
        </is>
      </c>
      <c r="C10" s="5" t="n">
        <v>15000000</v>
      </c>
      <c r="D10" s="5" t="n">
        <v>8700000</v>
      </c>
      <c r="E10" s="5">
        <f>C10-D10</f>
        <v/>
      </c>
      <c r="F10" s="6">
        <f>IFERROR(E10/C10,0)</f>
        <v/>
      </c>
      <c r="G10" s="4">
        <f>IF(E10&gt;0,"Favorable",IF(E10&lt;0,"Défavorable","Néant"))</f>
        <v/>
      </c>
      <c r="H10" s="4">
        <f>IF(ABS(F10)&gt;0.15,"Haute",IF(ABS(F10)&gt;0.05,"Moyenne","Basse"))</f>
        <v/>
      </c>
      <c r="I10" s="4" t="inlineStr">
        <is>
          <t>Formations reportées Q2</t>
        </is>
      </c>
      <c r="J10" s="4" t="inlineStr">
        <is>
          <t>Programme Q3 renforcé</t>
        </is>
      </c>
      <c r="K10" s="4" t="inlineStr">
        <is>
          <t>M. Fotso</t>
        </is>
      </c>
    </row>
    <row r="11">
      <c r="A11" s="7" t="inlineStr">
        <is>
          <t>BUD-012</t>
        </is>
      </c>
      <c r="B11" s="7" t="inlineStr">
        <is>
          <t>Fiscalité salariale</t>
        </is>
      </c>
      <c r="C11" s="8" t="n">
        <v>25000000</v>
      </c>
      <c r="D11" s="8" t="n">
        <v>19800000</v>
      </c>
      <c r="E11" s="8">
        <f>C11-D11</f>
        <v/>
      </c>
      <c r="F11" s="9">
        <f>IFERROR(E11/C11,0)</f>
        <v/>
      </c>
      <c r="G11" s="7">
        <f>IF(E11&gt;0,"Favorable",IF(E11&lt;0,"Défavorable","Néant"))</f>
        <v/>
      </c>
      <c r="H11" s="7">
        <f>IF(ABS(F11)&gt;0.15,"Haute",IF(ABS(F11)&gt;0.05,"Moyenne","Basse"))</f>
        <v/>
      </c>
      <c r="I11" s="7" t="inlineStr">
        <is>
          <t>Réajustement base impos.</t>
        </is>
      </c>
      <c r="J11" s="7" t="inlineStr">
        <is>
          <t>Vérification en cours</t>
        </is>
      </c>
      <c r="K11" s="7" t="inlineStr">
        <is>
          <t>M. Eyenga</t>
        </is>
      </c>
    </row>
    <row r="12">
      <c r="A12" s="4" t="inlineStr">
        <is>
          <t>BUD-013</t>
        </is>
      </c>
      <c r="B12" s="4" t="inlineStr">
        <is>
          <t>Primes &amp; indemnités</t>
        </is>
      </c>
      <c r="C12" s="5" t="n">
        <v>30000000</v>
      </c>
      <c r="D12" s="5" t="n">
        <v>22400000</v>
      </c>
      <c r="E12" s="5">
        <f>C12-D12</f>
        <v/>
      </c>
      <c r="F12" s="6">
        <f>IFERROR(E12/C12,0)</f>
        <v/>
      </c>
      <c r="G12" s="4">
        <f>IF(E12&gt;0,"Favorable",IF(E12&lt;0,"Défavorable","Néant"))</f>
        <v/>
      </c>
      <c r="H12" s="4">
        <f>IF(ABS(F12)&gt;0.15,"Haute",IF(ABS(F12)&gt;0.05,"Moyenne","Basse"))</f>
        <v/>
      </c>
      <c r="I12" s="4" t="inlineStr">
        <is>
          <t>Prime performance reportée</t>
        </is>
      </c>
      <c r="J12" s="4" t="inlineStr">
        <is>
          <t>Versement prévu Q4</t>
        </is>
      </c>
      <c r="K12" s="4" t="inlineStr">
        <is>
          <t>M. Nkoulou</t>
        </is>
      </c>
    </row>
    <row r="13">
      <c r="A13" s="7" t="inlineStr">
        <is>
          <t>BUD-015</t>
        </is>
      </c>
      <c r="B13" s="7" t="inlineStr">
        <is>
          <t>Mobilité</t>
        </is>
      </c>
      <c r="C13" s="8" t="n">
        <v>10000000</v>
      </c>
      <c r="D13" s="8" t="n">
        <v>5400000</v>
      </c>
      <c r="E13" s="8">
        <f>C13-D13</f>
        <v/>
      </c>
      <c r="F13" s="9">
        <f>IFERROR(E13/C13,0)</f>
        <v/>
      </c>
      <c r="G13" s="7">
        <f>IF(E13&gt;0,"Favorable",IF(E13&lt;0,"Défavorable","Néant"))</f>
        <v/>
      </c>
      <c r="H13" s="7">
        <f>IF(ABS(F13)&gt;0.15,"Haute",IF(ABS(F13)&gt;0.05,"Moyenne","Basse"))</f>
        <v/>
      </c>
      <c r="I13" s="7" t="inlineStr">
        <is>
          <t>Relocalisations retardées</t>
        </is>
      </c>
      <c r="J13" s="7" t="inlineStr">
        <is>
          <t>Planification T3/T4</t>
        </is>
      </c>
      <c r="K13" s="7" t="inlineStr">
        <is>
          <t>Mme. Essomba</t>
        </is>
      </c>
    </row>
    <row r="14">
      <c r="A14" s="4" t="n"/>
      <c r="B14" s="4" t="n"/>
      <c r="C14" s="5" t="n"/>
      <c r="D14" s="5" t="n"/>
      <c r="E14" s="5">
        <f>IF(C14="","",C14-D14)</f>
        <v/>
      </c>
      <c r="F14" s="6">
        <f>IF(C14="","",IFERROR(E14/C14,0))</f>
        <v/>
      </c>
      <c r="G14" s="4">
        <f>IF(E14="","",IF(E14&gt;0,"Favorable",IF(E14&lt;0,"Défavorable","Néant")))</f>
        <v/>
      </c>
      <c r="H14" s="4">
        <f>IF(F14="","",IF(ABS(F14)&gt;0.15,"Haute",IF(ABS(F14)&gt;0.05,"Moyenne","Basse")))</f>
        <v/>
      </c>
      <c r="I14" s="4" t="n"/>
      <c r="J14" s="4" t="n"/>
      <c r="K14" s="4" t="n"/>
    </row>
    <row r="15">
      <c r="A15" s="7" t="n"/>
      <c r="B15" s="7" t="n"/>
      <c r="C15" s="8" t="n"/>
      <c r="D15" s="8" t="n"/>
      <c r="E15" s="8">
        <f>IF(C15="","",C15-D15)</f>
        <v/>
      </c>
      <c r="F15" s="9">
        <f>IF(C15="","",IFERROR(E15/C15,0))</f>
        <v/>
      </c>
      <c r="G15" s="7">
        <f>IF(E15="","",IF(E15&gt;0,"Favorable",IF(E15&lt;0,"Défavorable","Néant")))</f>
        <v/>
      </c>
      <c r="H15" s="7">
        <f>IF(F15="","",IF(ABS(F15)&gt;0.15,"Haute",IF(ABS(F15)&gt;0.05,"Moyenne","Basse")))</f>
        <v/>
      </c>
      <c r="I15" s="7" t="n"/>
      <c r="J15" s="7" t="n"/>
      <c r="K15" s="7" t="n"/>
    </row>
    <row r="16">
      <c r="A16" s="4" t="n"/>
      <c r="B16" s="4" t="n"/>
      <c r="C16" s="5" t="n"/>
      <c r="D16" s="5" t="n"/>
      <c r="E16" s="5">
        <f>IF(C16="","",C16-D16)</f>
        <v/>
      </c>
      <c r="F16" s="6">
        <f>IF(C16="","",IFERROR(E16/C16,0))</f>
        <v/>
      </c>
      <c r="G16" s="4">
        <f>IF(E16="","",IF(E16&gt;0,"Favorable",IF(E16&lt;0,"Défavorable","Néant")))</f>
        <v/>
      </c>
      <c r="H16" s="4">
        <f>IF(F16="","",IF(ABS(F16)&gt;0.15,"Haute",IF(ABS(F16)&gt;0.05,"Moyenne","Basse")))</f>
        <v/>
      </c>
      <c r="I16" s="4" t="n"/>
      <c r="J16" s="4" t="n"/>
      <c r="K16" s="4" t="n"/>
    </row>
    <row r="17">
      <c r="A17" s="7" t="n"/>
      <c r="B17" s="7" t="n"/>
      <c r="C17" s="8" t="n"/>
      <c r="D17" s="8" t="n"/>
      <c r="E17" s="8">
        <f>IF(C17="","",C17-D17)</f>
        <v/>
      </c>
      <c r="F17" s="9">
        <f>IF(C17="","",IFERROR(E17/C17,0))</f>
        <v/>
      </c>
      <c r="G17" s="7">
        <f>IF(E17="","",IF(E17&gt;0,"Favorable",IF(E17&lt;0,"Défavorable","Néant")))</f>
        <v/>
      </c>
      <c r="H17" s="7">
        <f>IF(F17="","",IF(ABS(F17)&gt;0.15,"Haute",IF(ABS(F17)&gt;0.05,"Moyenne","Basse")))</f>
        <v/>
      </c>
      <c r="I17" s="7" t="n"/>
      <c r="J17" s="7" t="n"/>
      <c r="K17" s="7" t="n"/>
    </row>
    <row r="18">
      <c r="A18" s="4" t="n"/>
      <c r="B18" s="4" t="n"/>
      <c r="C18" s="5" t="n"/>
      <c r="D18" s="5" t="n"/>
      <c r="E18" s="5">
        <f>IF(C18="","",C18-D18)</f>
        <v/>
      </c>
      <c r="F18" s="6">
        <f>IF(C18="","",IFERROR(E18/C18,0))</f>
        <v/>
      </c>
      <c r="G18" s="4">
        <f>IF(E18="","",IF(E18&gt;0,"Favorable",IF(E18&lt;0,"Défavorable","Néant")))</f>
        <v/>
      </c>
      <c r="H18" s="4">
        <f>IF(F18="","",IF(ABS(F18)&gt;0.15,"Haute",IF(ABS(F18)&gt;0.05,"Moyenne","Basse")))</f>
        <v/>
      </c>
      <c r="I18" s="4" t="n"/>
      <c r="J18" s="4" t="n"/>
      <c r="K18" s="4" t="n"/>
    </row>
    <row r="19">
      <c r="A19" s="7" t="n"/>
      <c r="B19" s="7" t="n"/>
      <c r="C19" s="8" t="n"/>
      <c r="D19" s="8" t="n"/>
      <c r="E19" s="8">
        <f>IF(C19="","",C19-D19)</f>
        <v/>
      </c>
      <c r="F19" s="9">
        <f>IF(C19="","",IFERROR(E19/C19,0))</f>
        <v/>
      </c>
      <c r="G19" s="7">
        <f>IF(E19="","",IF(E19&gt;0,"Favorable",IF(E19&lt;0,"Défavorable","Néant")))</f>
        <v/>
      </c>
      <c r="H19" s="7">
        <f>IF(F19="","",IF(ABS(F19)&gt;0.15,"Haute",IF(ABS(F19)&gt;0.05,"Moyenne","Basse")))</f>
        <v/>
      </c>
      <c r="I19" s="7" t="n"/>
      <c r="J19" s="7" t="n"/>
      <c r="K19" s="7" t="n"/>
    </row>
    <row r="20">
      <c r="A20" s="4" t="n"/>
      <c r="B20" s="4" t="n"/>
      <c r="C20" s="5" t="n"/>
      <c r="D20" s="5" t="n"/>
      <c r="E20" s="5">
        <f>IF(C20="","",C20-D20)</f>
        <v/>
      </c>
      <c r="F20" s="6">
        <f>IF(C20="","",IFERROR(E20/C20,0))</f>
        <v/>
      </c>
      <c r="G20" s="4">
        <f>IF(E20="","",IF(E20&gt;0,"Favorable",IF(E20&lt;0,"Défavorable","Néant")))</f>
        <v/>
      </c>
      <c r="H20" s="4">
        <f>IF(F20="","",IF(ABS(F20)&gt;0.15,"Haute",IF(ABS(F20)&gt;0.05,"Moyenne","Basse")))</f>
        <v/>
      </c>
      <c r="I20" s="4" t="n"/>
      <c r="J20" s="4" t="n"/>
      <c r="K20" s="4" t="n"/>
    </row>
    <row r="21">
      <c r="A21" s="7" t="n"/>
      <c r="B21" s="7" t="n"/>
      <c r="C21" s="8" t="n"/>
      <c r="D21" s="8" t="n"/>
      <c r="E21" s="8">
        <f>IF(C21="","",C21-D21)</f>
        <v/>
      </c>
      <c r="F21" s="9">
        <f>IF(C21="","",IFERROR(E21/C21,0))</f>
        <v/>
      </c>
      <c r="G21" s="7">
        <f>IF(E21="","",IF(E21&gt;0,"Favorable",IF(E21&lt;0,"Défavorable","Néant")))</f>
        <v/>
      </c>
      <c r="H21" s="7">
        <f>IF(F21="","",IF(ABS(F21)&gt;0.15,"Haute",IF(ABS(F21)&gt;0.05,"Moyenne","Basse")))</f>
        <v/>
      </c>
      <c r="I21" s="7" t="n"/>
      <c r="J21" s="7" t="n"/>
      <c r="K21" s="7" t="n"/>
    </row>
    <row r="22">
      <c r="A22" s="4" t="n"/>
      <c r="B22" s="4" t="n"/>
      <c r="C22" s="5" t="n"/>
      <c r="D22" s="5" t="n"/>
      <c r="E22" s="5">
        <f>IF(C22="","",C22-D22)</f>
        <v/>
      </c>
      <c r="F22" s="6">
        <f>IF(C22="","",IFERROR(E22/C22,0))</f>
        <v/>
      </c>
      <c r="G22" s="4">
        <f>IF(E22="","",IF(E22&gt;0,"Favorable",IF(E22&lt;0,"Défavorable","Néant")))</f>
        <v/>
      </c>
      <c r="H22" s="4">
        <f>IF(F22="","",IF(ABS(F22)&gt;0.15,"Haute",IF(ABS(F22)&gt;0.05,"Moyenne","Basse")))</f>
        <v/>
      </c>
      <c r="I22" s="4" t="n"/>
      <c r="J22" s="4" t="n"/>
      <c r="K22" s="4" t="n"/>
    </row>
    <row r="23">
      <c r="A23" s="7" t="n"/>
      <c r="B23" s="7" t="n"/>
      <c r="C23" s="8" t="n"/>
      <c r="D23" s="8" t="n"/>
      <c r="E23" s="8">
        <f>IF(C23="","",C23-D23)</f>
        <v/>
      </c>
      <c r="F23" s="9">
        <f>IF(C23="","",IFERROR(E23/C23,0))</f>
        <v/>
      </c>
      <c r="G23" s="7">
        <f>IF(E23="","",IF(E23&gt;0,"Favorable",IF(E23&lt;0,"Défavorable","Néant")))</f>
        <v/>
      </c>
      <c r="H23" s="7">
        <f>IF(F23="","",IF(ABS(F23)&gt;0.15,"Haute",IF(ABS(F23)&gt;0.05,"Moyenne","Basse")))</f>
        <v/>
      </c>
      <c r="I23" s="7" t="n"/>
      <c r="J23" s="7" t="n"/>
      <c r="K23" s="7" t="n"/>
    </row>
    <row r="24">
      <c r="A24" s="4" t="n"/>
      <c r="B24" s="4" t="n"/>
      <c r="C24" s="5" t="n"/>
      <c r="D24" s="5" t="n"/>
      <c r="E24" s="5">
        <f>IF(C24="","",C24-D24)</f>
        <v/>
      </c>
      <c r="F24" s="6">
        <f>IF(C24="","",IFERROR(E24/C24,0))</f>
        <v/>
      </c>
      <c r="G24" s="4">
        <f>IF(E24="","",IF(E24&gt;0,"Favorable",IF(E24&lt;0,"Défavorable","Néant")))</f>
        <v/>
      </c>
      <c r="H24" s="4">
        <f>IF(F24="","",IF(ABS(F24)&gt;0.15,"Haute",IF(ABS(F24)&gt;0.05,"Moyenne","Basse")))</f>
        <v/>
      </c>
      <c r="I24" s="4" t="n"/>
      <c r="J24" s="4" t="n"/>
      <c r="K24" s="4" t="n"/>
    </row>
    <row r="25">
      <c r="A25" s="7" t="n"/>
      <c r="B25" s="7" t="n"/>
      <c r="C25" s="8" t="n"/>
      <c r="D25" s="8" t="n"/>
      <c r="E25" s="8">
        <f>IF(C25="","",C25-D25)</f>
        <v/>
      </c>
      <c r="F25" s="9">
        <f>IF(C25="","",IFERROR(E25/C25,0))</f>
        <v/>
      </c>
      <c r="G25" s="7">
        <f>IF(E25="","",IF(E25&gt;0,"Favorable",IF(E25&lt;0,"Défavorable","Néant")))</f>
        <v/>
      </c>
      <c r="H25" s="7">
        <f>IF(F25="","",IF(ABS(F25)&gt;0.15,"Haute",IF(ABS(F25)&gt;0.05,"Moyenne","Basse")))</f>
        <v/>
      </c>
      <c r="I25" s="7" t="n"/>
      <c r="J25" s="7" t="n"/>
      <c r="K25" s="7" t="n"/>
    </row>
    <row r="26">
      <c r="A26" s="4" t="n"/>
      <c r="B26" s="4" t="n"/>
      <c r="C26" s="5" t="n"/>
      <c r="D26" s="5" t="n"/>
      <c r="E26" s="5">
        <f>IF(C26="","",C26-D26)</f>
        <v/>
      </c>
      <c r="F26" s="6">
        <f>IF(C26="","",IFERROR(E26/C26,0))</f>
        <v/>
      </c>
      <c r="G26" s="4">
        <f>IF(E26="","",IF(E26&gt;0,"Favorable",IF(E26&lt;0,"Défavorable","Néant")))</f>
        <v/>
      </c>
      <c r="H26" s="4">
        <f>IF(F26="","",IF(ABS(F26)&gt;0.15,"Haute",IF(ABS(F26)&gt;0.05,"Moyenne","Basse")))</f>
        <v/>
      </c>
      <c r="I26" s="4" t="n"/>
      <c r="J26" s="4" t="n"/>
      <c r="K26" s="4" t="n"/>
    </row>
    <row r="27">
      <c r="A27" s="7" t="n"/>
      <c r="B27" s="7" t="n"/>
      <c r="C27" s="8" t="n"/>
      <c r="D27" s="8" t="n"/>
      <c r="E27" s="8">
        <f>IF(C27="","",C27-D27)</f>
        <v/>
      </c>
      <c r="F27" s="9">
        <f>IF(C27="","",IFERROR(E27/C27,0))</f>
        <v/>
      </c>
      <c r="G27" s="7">
        <f>IF(E27="","",IF(E27&gt;0,"Favorable",IF(E27&lt;0,"Défavorable","Néant")))</f>
        <v/>
      </c>
      <c r="H27" s="7">
        <f>IF(F27="","",IF(ABS(F27)&gt;0.15,"Haute",IF(ABS(F27)&gt;0.05,"Moyenne","Basse")))</f>
        <v/>
      </c>
      <c r="I27" s="7" t="n"/>
      <c r="J27" s="7" t="n"/>
      <c r="K27" s="7" t="n"/>
    </row>
    <row r="28">
      <c r="A28" s="4" t="n"/>
      <c r="B28" s="4" t="n"/>
      <c r="C28" s="5" t="n"/>
      <c r="D28" s="5" t="n"/>
      <c r="E28" s="5">
        <f>IF(C28="","",C28-D28)</f>
        <v/>
      </c>
      <c r="F28" s="6">
        <f>IF(C28="","",IFERROR(E28/C28,0))</f>
        <v/>
      </c>
      <c r="G28" s="4">
        <f>IF(E28="","",IF(E28&gt;0,"Favorable",IF(E28&lt;0,"Défavorable","Néant")))</f>
        <v/>
      </c>
      <c r="H28" s="4">
        <f>IF(F28="","",IF(ABS(F28)&gt;0.15,"Haute",IF(ABS(F28)&gt;0.05,"Moyenne","Basse")))</f>
        <v/>
      </c>
      <c r="I28" s="4" t="n"/>
      <c r="J28" s="4" t="n"/>
      <c r="K28" s="4" t="n"/>
    </row>
    <row r="29">
      <c r="A29" s="7" t="n"/>
      <c r="B29" s="7" t="n"/>
      <c r="C29" s="8" t="n"/>
      <c r="D29" s="8" t="n"/>
      <c r="E29" s="8">
        <f>IF(C29="","",C29-D29)</f>
        <v/>
      </c>
      <c r="F29" s="9">
        <f>IF(C29="","",IFERROR(E29/C29,0))</f>
        <v/>
      </c>
      <c r="G29" s="7">
        <f>IF(E29="","",IF(E29&gt;0,"Favorable",IF(E29&lt;0,"Défavorable","Néant")))</f>
        <v/>
      </c>
      <c r="H29" s="7">
        <f>IF(F29="","",IF(ABS(F29)&gt;0.15,"Haute",IF(ABS(F29)&gt;0.05,"Moyenne","Basse")))</f>
        <v/>
      </c>
      <c r="I29" s="7" t="n"/>
      <c r="J29" s="7" t="n"/>
      <c r="K29" s="7" t="n"/>
    </row>
    <row r="30">
      <c r="A30" s="4" t="n"/>
      <c r="B30" s="4" t="n"/>
      <c r="C30" s="5" t="n"/>
      <c r="D30" s="5" t="n"/>
      <c r="E30" s="5">
        <f>IF(C30="","",C30-D30)</f>
        <v/>
      </c>
      <c r="F30" s="6">
        <f>IF(C30="","",IFERROR(E30/C30,0))</f>
        <v/>
      </c>
      <c r="G30" s="4">
        <f>IF(E30="","",IF(E30&gt;0,"Favorable",IF(E30&lt;0,"Défavorable","Néant")))</f>
        <v/>
      </c>
      <c r="H30" s="4">
        <f>IF(F30="","",IF(ABS(F30)&gt;0.15,"Haute",IF(ABS(F30)&gt;0.05,"Moyenne","Basse")))</f>
        <v/>
      </c>
      <c r="I30" s="4" t="n"/>
      <c r="J30" s="4" t="n"/>
      <c r="K30" s="4" t="n"/>
    </row>
    <row r="31">
      <c r="A31" s="7" t="n"/>
      <c r="B31" s="7" t="n"/>
      <c r="C31" s="8" t="n"/>
      <c r="D31" s="8" t="n"/>
      <c r="E31" s="8">
        <f>IF(C31="","",C31-D31)</f>
        <v/>
      </c>
      <c r="F31" s="9">
        <f>IF(C31="","",IFERROR(E31/C31,0))</f>
        <v/>
      </c>
      <c r="G31" s="7">
        <f>IF(E31="","",IF(E31&gt;0,"Favorable",IF(E31&lt;0,"Défavorable","Néant")))</f>
        <v/>
      </c>
      <c r="H31" s="7">
        <f>IF(F31="","",IF(ABS(F31)&gt;0.15,"Haute",IF(ABS(F31)&gt;0.05,"Moyenne","Basse")))</f>
        <v/>
      </c>
      <c r="I31" s="7" t="n"/>
      <c r="J31" s="7" t="n"/>
      <c r="K31" s="7" t="n"/>
    </row>
    <row r="32">
      <c r="A32" s="4" t="n"/>
      <c r="B32" s="4" t="n"/>
      <c r="C32" s="5" t="n"/>
      <c r="D32" s="5" t="n"/>
      <c r="E32" s="5">
        <f>IF(C32="","",C32-D32)</f>
        <v/>
      </c>
      <c r="F32" s="6">
        <f>IF(C32="","",IFERROR(E32/C32,0))</f>
        <v/>
      </c>
      <c r="G32" s="4">
        <f>IF(E32="","",IF(E32&gt;0,"Favorable",IF(E32&lt;0,"Défavorable","Néant")))</f>
        <v/>
      </c>
      <c r="H32" s="4">
        <f>IF(F32="","",IF(ABS(F32)&gt;0.15,"Haute",IF(ABS(F32)&gt;0.05,"Moyenne","Basse")))</f>
        <v/>
      </c>
      <c r="I32" s="4" t="n"/>
      <c r="J32" s="4" t="n"/>
      <c r="K32" s="4" t="n"/>
    </row>
    <row r="33">
      <c r="A33" s="7" t="n"/>
      <c r="B33" s="7" t="n"/>
      <c r="C33" s="8" t="n"/>
      <c r="D33" s="8" t="n"/>
      <c r="E33" s="8">
        <f>IF(C33="","",C33-D33)</f>
        <v/>
      </c>
      <c r="F33" s="9">
        <f>IF(C33="","",IFERROR(E33/C33,0))</f>
        <v/>
      </c>
      <c r="G33" s="7">
        <f>IF(E33="","",IF(E33&gt;0,"Favorable",IF(E33&lt;0,"Défavorable","Néant")))</f>
        <v/>
      </c>
      <c r="H33" s="7">
        <f>IF(F33="","",IF(ABS(F33)&gt;0.15,"Haute",IF(ABS(F33)&gt;0.05,"Moyenne","Basse")))</f>
        <v/>
      </c>
      <c r="I33" s="7" t="n"/>
      <c r="J33" s="7" t="n"/>
      <c r="K33" s="7" t="n"/>
    </row>
    <row r="34">
      <c r="A34" s="4" t="n"/>
      <c r="B34" s="4" t="n"/>
      <c r="C34" s="5" t="n"/>
      <c r="D34" s="5" t="n"/>
      <c r="E34" s="5">
        <f>IF(C34="","",C34-D34)</f>
        <v/>
      </c>
      <c r="F34" s="6">
        <f>IF(C34="","",IFERROR(E34/C34,0))</f>
        <v/>
      </c>
      <c r="G34" s="4">
        <f>IF(E34="","",IF(E34&gt;0,"Favorable",IF(E34&lt;0,"Défavorable","Néant")))</f>
        <v/>
      </c>
      <c r="H34" s="4">
        <f>IF(F34="","",IF(ABS(F34)&gt;0.15,"Haute",IF(ABS(F34)&gt;0.05,"Moyenne","Basse")))</f>
        <v/>
      </c>
      <c r="I34" s="4" t="n"/>
      <c r="J34" s="4" t="n"/>
      <c r="K34" s="4" t="n"/>
    </row>
    <row r="35">
      <c r="A35" s="7" t="n"/>
      <c r="B35" s="7" t="n"/>
      <c r="C35" s="8" t="n"/>
      <c r="D35" s="8" t="n"/>
      <c r="E35" s="8">
        <f>IF(C35="","",C35-D35)</f>
        <v/>
      </c>
      <c r="F35" s="9">
        <f>IF(C35="","",IFERROR(E35/C35,0))</f>
        <v/>
      </c>
      <c r="G35" s="7">
        <f>IF(E35="","",IF(E35&gt;0,"Favorable",IF(E35&lt;0,"Défavorable","Néant")))</f>
        <v/>
      </c>
      <c r="H35" s="7">
        <f>IF(F35="","",IF(ABS(F35)&gt;0.15,"Haute",IF(ABS(F35)&gt;0.05,"Moyenne","Basse")))</f>
        <v/>
      </c>
      <c r="I35" s="7" t="n"/>
      <c r="J35" s="7" t="n"/>
      <c r="K35" s="7" t="n"/>
    </row>
    <row r="36">
      <c r="A36" s="4" t="n"/>
      <c r="B36" s="4" t="n"/>
      <c r="C36" s="5" t="n"/>
      <c r="D36" s="5" t="n"/>
      <c r="E36" s="5">
        <f>IF(C36="","",C36-D36)</f>
        <v/>
      </c>
      <c r="F36" s="6">
        <f>IF(C36="","",IFERROR(E36/C36,0))</f>
        <v/>
      </c>
      <c r="G36" s="4">
        <f>IF(E36="","",IF(E36&gt;0,"Favorable",IF(E36&lt;0,"Défavorable","Néant")))</f>
        <v/>
      </c>
      <c r="H36" s="4">
        <f>IF(F36="","",IF(ABS(F36)&gt;0.15,"Haute",IF(ABS(F36)&gt;0.05,"Moyenne","Basse")))</f>
        <v/>
      </c>
      <c r="I36" s="4" t="n"/>
      <c r="J36" s="4" t="n"/>
      <c r="K36" s="4" t="n"/>
    </row>
    <row r="37">
      <c r="A37" s="7" t="n"/>
      <c r="B37" s="7" t="n"/>
      <c r="C37" s="8" t="n"/>
      <c r="D37" s="8" t="n"/>
      <c r="E37" s="8">
        <f>IF(C37="","",C37-D37)</f>
        <v/>
      </c>
      <c r="F37" s="9">
        <f>IF(C37="","",IFERROR(E37/C37,0))</f>
        <v/>
      </c>
      <c r="G37" s="7">
        <f>IF(E37="","",IF(E37&gt;0,"Favorable",IF(E37&lt;0,"Défavorable","Néant")))</f>
        <v/>
      </c>
      <c r="H37" s="7">
        <f>IF(F37="","",IF(ABS(F37)&gt;0.15,"Haute",IF(ABS(F37)&gt;0.05,"Moyenne","Basse")))</f>
        <v/>
      </c>
      <c r="I37" s="7" t="n"/>
      <c r="J37" s="7" t="n"/>
      <c r="K37" s="7" t="n"/>
    </row>
    <row r="38">
      <c r="A38" s="4" t="n"/>
      <c r="B38" s="4" t="n"/>
      <c r="C38" s="5" t="n"/>
      <c r="D38" s="5" t="n"/>
      <c r="E38" s="5">
        <f>IF(C38="","",C38-D38)</f>
        <v/>
      </c>
      <c r="F38" s="6">
        <f>IF(C38="","",IFERROR(E38/C38,0))</f>
        <v/>
      </c>
      <c r="G38" s="4">
        <f>IF(E38="","",IF(E38&gt;0,"Favorable",IF(E38&lt;0,"Défavorable","Néant")))</f>
        <v/>
      </c>
      <c r="H38" s="4">
        <f>IF(F38="","",IF(ABS(F38)&gt;0.15,"Haute",IF(ABS(F38)&gt;0.05,"Moyenne","Basse")))</f>
        <v/>
      </c>
      <c r="I38" s="4" t="n"/>
      <c r="J38" s="4" t="n"/>
      <c r="K38" s="4" t="n"/>
    </row>
    <row r="39">
      <c r="A39" s="7" t="n"/>
      <c r="B39" s="7" t="n"/>
      <c r="C39" s="8" t="n"/>
      <c r="D39" s="8" t="n"/>
      <c r="E39" s="8">
        <f>IF(C39="","",C39-D39)</f>
        <v/>
      </c>
      <c r="F39" s="9">
        <f>IF(C39="","",IFERROR(E39/C39,0))</f>
        <v/>
      </c>
      <c r="G39" s="7">
        <f>IF(E39="","",IF(E39&gt;0,"Favorable",IF(E39&lt;0,"Défavorable","Néant")))</f>
        <v/>
      </c>
      <c r="H39" s="7">
        <f>IF(F39="","",IF(ABS(F39)&gt;0.15,"Haute",IF(ABS(F39)&gt;0.05,"Moyenne","Basse")))</f>
        <v/>
      </c>
      <c r="I39" s="7" t="n"/>
      <c r="J39" s="7" t="n"/>
      <c r="K39" s="7" t="n"/>
    </row>
    <row r="40">
      <c r="A40" s="4" t="n"/>
      <c r="B40" s="4" t="n"/>
      <c r="C40" s="5" t="n"/>
      <c r="D40" s="5" t="n"/>
      <c r="E40" s="5">
        <f>IF(C40="","",C40-D40)</f>
        <v/>
      </c>
      <c r="F40" s="6">
        <f>IF(C40="","",IFERROR(E40/C40,0))</f>
        <v/>
      </c>
      <c r="G40" s="4">
        <f>IF(E40="","",IF(E40&gt;0,"Favorable",IF(E40&lt;0,"Défavorable","Néant")))</f>
        <v/>
      </c>
      <c r="H40" s="4">
        <f>IF(F40="","",IF(ABS(F40)&gt;0.15,"Haute",IF(ABS(F40)&gt;0.05,"Moyenne","Basse")))</f>
        <v/>
      </c>
      <c r="I40" s="4" t="n"/>
      <c r="J40" s="4" t="n"/>
      <c r="K40" s="4" t="n"/>
    </row>
    <row r="41">
      <c r="A41" s="7" t="n"/>
      <c r="B41" s="7" t="n"/>
      <c r="C41" s="8" t="n"/>
      <c r="D41" s="8" t="n"/>
      <c r="E41" s="8">
        <f>IF(C41="","",C41-D41)</f>
        <v/>
      </c>
      <c r="F41" s="9">
        <f>IF(C41="","",IFERROR(E41/C41,0))</f>
        <v/>
      </c>
      <c r="G41" s="7">
        <f>IF(E41="","",IF(E41&gt;0,"Favorable",IF(E41&lt;0,"Défavorable","Néant")))</f>
        <v/>
      </c>
      <c r="H41" s="7">
        <f>IF(F41="","",IF(ABS(F41)&gt;0.15,"Haute",IF(ABS(F41)&gt;0.05,"Moyenne","Basse")))</f>
        <v/>
      </c>
      <c r="I41" s="7" t="n"/>
      <c r="J41" s="7" t="n"/>
      <c r="K41" s="7" t="n"/>
    </row>
    <row r="42">
      <c r="A42" s="4" t="n"/>
      <c r="B42" s="4" t="n"/>
      <c r="C42" s="5" t="n"/>
      <c r="D42" s="5" t="n"/>
      <c r="E42" s="5">
        <f>IF(C42="","",C42-D42)</f>
        <v/>
      </c>
      <c r="F42" s="6">
        <f>IF(C42="","",IFERROR(E42/C42,0))</f>
        <v/>
      </c>
      <c r="G42" s="4">
        <f>IF(E42="","",IF(E42&gt;0,"Favorable",IF(E42&lt;0,"Défavorable","Néant")))</f>
        <v/>
      </c>
      <c r="H42" s="4">
        <f>IF(F42="","",IF(ABS(F42)&gt;0.15,"Haute",IF(ABS(F42)&gt;0.05,"Moyenne","Basse")))</f>
        <v/>
      </c>
      <c r="I42" s="4" t="n"/>
      <c r="J42" s="4" t="n"/>
      <c r="K42" s="4" t="n"/>
    </row>
    <row r="43">
      <c r="A43" s="7" t="n"/>
      <c r="B43" s="7" t="n"/>
      <c r="C43" s="8" t="n"/>
      <c r="D43" s="8" t="n"/>
      <c r="E43" s="8">
        <f>IF(C43="","",C43-D43)</f>
        <v/>
      </c>
      <c r="F43" s="9">
        <f>IF(C43="","",IFERROR(E43/C43,0))</f>
        <v/>
      </c>
      <c r="G43" s="7">
        <f>IF(E43="","",IF(E43&gt;0,"Favorable",IF(E43&lt;0,"Défavorable","Néant")))</f>
        <v/>
      </c>
      <c r="H43" s="7">
        <f>IF(F43="","",IF(ABS(F43)&gt;0.15,"Haute",IF(ABS(F43)&gt;0.05,"Moyenne","Basse")))</f>
        <v/>
      </c>
      <c r="I43" s="7" t="n"/>
      <c r="J43" s="7" t="n"/>
      <c r="K43" s="7" t="n"/>
    </row>
    <row r="44">
      <c r="A44" s="4" t="n"/>
      <c r="B44" s="4" t="n"/>
      <c r="C44" s="5" t="n"/>
      <c r="D44" s="5" t="n"/>
      <c r="E44" s="5">
        <f>IF(C44="","",C44-D44)</f>
        <v/>
      </c>
      <c r="F44" s="6">
        <f>IF(C44="","",IFERROR(E44/C44,0))</f>
        <v/>
      </c>
      <c r="G44" s="4">
        <f>IF(E44="","",IF(E44&gt;0,"Favorable",IF(E44&lt;0,"Défavorable","Néant")))</f>
        <v/>
      </c>
      <c r="H44" s="4">
        <f>IF(F44="","",IF(ABS(F44)&gt;0.15,"Haute",IF(ABS(F44)&gt;0.05,"Moyenne","Basse")))</f>
        <v/>
      </c>
      <c r="I44" s="4" t="n"/>
      <c r="J44" s="4" t="n"/>
      <c r="K44" s="4" t="n"/>
    </row>
    <row r="45">
      <c r="A45" s="7" t="n"/>
      <c r="B45" s="7" t="n"/>
      <c r="C45" s="8" t="n"/>
      <c r="D45" s="8" t="n"/>
      <c r="E45" s="8">
        <f>IF(C45="","",C45-D45)</f>
        <v/>
      </c>
      <c r="F45" s="9">
        <f>IF(C45="","",IFERROR(E45/C45,0))</f>
        <v/>
      </c>
      <c r="G45" s="7">
        <f>IF(E45="","",IF(E45&gt;0,"Favorable",IF(E45&lt;0,"Défavorable","Néant")))</f>
        <v/>
      </c>
      <c r="H45" s="7">
        <f>IF(F45="","",IF(ABS(F45)&gt;0.15,"Haute",IF(ABS(F45)&gt;0.05,"Moyenne","Basse")))</f>
        <v/>
      </c>
      <c r="I45" s="7" t="n"/>
      <c r="J45" s="7" t="n"/>
      <c r="K45" s="7" t="n"/>
    </row>
    <row r="46">
      <c r="A46" s="4" t="n"/>
      <c r="B46" s="4" t="n"/>
      <c r="C46" s="5" t="n"/>
      <c r="D46" s="5" t="n"/>
      <c r="E46" s="5">
        <f>IF(C46="","",C46-D46)</f>
        <v/>
      </c>
      <c r="F46" s="6">
        <f>IF(C46="","",IFERROR(E46/C46,0))</f>
        <v/>
      </c>
      <c r="G46" s="4">
        <f>IF(E46="","",IF(E46&gt;0,"Favorable",IF(E46&lt;0,"Défavorable","Néant")))</f>
        <v/>
      </c>
      <c r="H46" s="4">
        <f>IF(F46="","",IF(ABS(F46)&gt;0.15,"Haute",IF(ABS(F46)&gt;0.05,"Moyenne","Basse")))</f>
        <v/>
      </c>
      <c r="I46" s="4" t="n"/>
      <c r="J46" s="4" t="n"/>
      <c r="K46" s="4" t="n"/>
    </row>
    <row r="47">
      <c r="A47" s="7" t="n"/>
      <c r="B47" s="7" t="n"/>
      <c r="C47" s="8" t="n"/>
      <c r="D47" s="8" t="n"/>
      <c r="E47" s="8">
        <f>IF(C47="","",C47-D47)</f>
        <v/>
      </c>
      <c r="F47" s="9">
        <f>IF(C47="","",IFERROR(E47/C47,0))</f>
        <v/>
      </c>
      <c r="G47" s="7">
        <f>IF(E47="","",IF(E47&gt;0,"Favorable",IF(E47&lt;0,"Défavorable","Néant")))</f>
        <v/>
      </c>
      <c r="H47" s="7">
        <f>IF(F47="","",IF(ABS(F47)&gt;0.15,"Haute",IF(ABS(F47)&gt;0.05,"Moyenne","Basse")))</f>
        <v/>
      </c>
      <c r="I47" s="7" t="n"/>
      <c r="J47" s="7" t="n"/>
      <c r="K47" s="7" t="n"/>
    </row>
    <row r="48">
      <c r="A48" s="4" t="n"/>
      <c r="B48" s="4" t="n"/>
      <c r="C48" s="5" t="n"/>
      <c r="D48" s="5" t="n"/>
      <c r="E48" s="5">
        <f>IF(C48="","",C48-D48)</f>
        <v/>
      </c>
      <c r="F48" s="6">
        <f>IF(C48="","",IFERROR(E48/C48,0))</f>
        <v/>
      </c>
      <c r="G48" s="4">
        <f>IF(E48="","",IF(E48&gt;0,"Favorable",IF(E48&lt;0,"Défavorable","Néant")))</f>
        <v/>
      </c>
      <c r="H48" s="4">
        <f>IF(F48="","",IF(ABS(F48)&gt;0.15,"Haute",IF(ABS(F48)&gt;0.05,"Moyenne","Basse")))</f>
        <v/>
      </c>
      <c r="I48" s="4" t="n"/>
      <c r="J48" s="4" t="n"/>
      <c r="K48" s="4" t="n"/>
    </row>
    <row r="49">
      <c r="A49" s="7" t="n"/>
      <c r="B49" s="7" t="n"/>
      <c r="C49" s="8" t="n"/>
      <c r="D49" s="8" t="n"/>
      <c r="E49" s="8">
        <f>IF(C49="","",C49-D49)</f>
        <v/>
      </c>
      <c r="F49" s="9">
        <f>IF(C49="","",IFERROR(E49/C49,0))</f>
        <v/>
      </c>
      <c r="G49" s="7">
        <f>IF(E49="","",IF(E49&gt;0,"Favorable",IF(E49&lt;0,"Défavorable","Néant")))</f>
        <v/>
      </c>
      <c r="H49" s="7">
        <f>IF(F49="","",IF(ABS(F49)&gt;0.15,"Haute",IF(ABS(F49)&gt;0.05,"Moyenne","Basse")))</f>
        <v/>
      </c>
      <c r="I49" s="7" t="n"/>
      <c r="J49" s="7" t="n"/>
      <c r="K49" s="7" t="n"/>
    </row>
    <row r="50">
      <c r="A50" s="4" t="n"/>
      <c r="B50" s="4" t="n"/>
      <c r="C50" s="5" t="n"/>
      <c r="D50" s="5" t="n"/>
      <c r="E50" s="5">
        <f>IF(C50="","",C50-D50)</f>
        <v/>
      </c>
      <c r="F50" s="6">
        <f>IF(C50="","",IFERROR(E50/C50,0))</f>
        <v/>
      </c>
      <c r="G50" s="4">
        <f>IF(E50="","",IF(E50&gt;0,"Favorable",IF(E50&lt;0,"Défavorable","Néant")))</f>
        <v/>
      </c>
      <c r="H50" s="4">
        <f>IF(F50="","",IF(ABS(F50)&gt;0.15,"Haute",IF(ABS(F50)&gt;0.05,"Moyenne","Basse")))</f>
        <v/>
      </c>
      <c r="I50" s="4" t="n"/>
      <c r="J50" s="4" t="n"/>
      <c r="K50" s="4" t="n"/>
    </row>
    <row r="51">
      <c r="A51" s="7" t="n"/>
      <c r="B51" s="7" t="n"/>
      <c r="C51" s="8" t="n"/>
      <c r="D51" s="8" t="n"/>
      <c r="E51" s="8">
        <f>IF(C51="","",C51-D51)</f>
        <v/>
      </c>
      <c r="F51" s="9">
        <f>IF(C51="","",IFERROR(E51/C51,0))</f>
        <v/>
      </c>
      <c r="G51" s="7">
        <f>IF(E51="","",IF(E51&gt;0,"Favorable",IF(E51&lt;0,"Défavorable","Néant")))</f>
        <v/>
      </c>
      <c r="H51" s="7">
        <f>IF(F51="","",IF(ABS(F51)&gt;0.15,"Haute",IF(ABS(F51)&gt;0.05,"Moyenne","Basse")))</f>
        <v/>
      </c>
      <c r="I51" s="7" t="n"/>
      <c r="J51" s="7" t="n"/>
      <c r="K51" s="7" t="n"/>
    </row>
    <row r="52">
      <c r="A52" s="4" t="n"/>
      <c r="B52" s="4" t="n"/>
      <c r="C52" s="5" t="n"/>
      <c r="D52" s="5" t="n"/>
      <c r="E52" s="5">
        <f>IF(C52="","",C52-D52)</f>
        <v/>
      </c>
      <c r="F52" s="6">
        <f>IF(C52="","",IFERROR(E52/C52,0))</f>
        <v/>
      </c>
      <c r="G52" s="4">
        <f>IF(E52="","",IF(E52&gt;0,"Favorable",IF(E52&lt;0,"Défavorable","Néant")))</f>
        <v/>
      </c>
      <c r="H52" s="4">
        <f>IF(F52="","",IF(ABS(F52)&gt;0.15,"Haute",IF(ABS(F52)&gt;0.05,"Moyenne","Basse")))</f>
        <v/>
      </c>
      <c r="I52" s="4" t="n"/>
      <c r="J52" s="4" t="n"/>
      <c r="K52" s="4" t="n"/>
    </row>
    <row r="53">
      <c r="A53" s="7" t="n"/>
      <c r="B53" s="7" t="n"/>
      <c r="C53" s="8" t="n"/>
      <c r="D53" s="8" t="n"/>
      <c r="E53" s="8">
        <f>IF(C53="","",C53-D53)</f>
        <v/>
      </c>
      <c r="F53" s="9">
        <f>IF(C53="","",IFERROR(E53/C53,0))</f>
        <v/>
      </c>
      <c r="G53" s="7">
        <f>IF(E53="","",IF(E53&gt;0,"Favorable",IF(E53&lt;0,"Défavorable","Néant")))</f>
        <v/>
      </c>
      <c r="H53" s="7">
        <f>IF(F53="","",IF(ABS(F53)&gt;0.15,"Haute",IF(ABS(F53)&gt;0.05,"Moyenne","Basse")))</f>
        <v/>
      </c>
      <c r="I53" s="7" t="n"/>
      <c r="J53" s="7" t="n"/>
      <c r="K53" s="7" t="n"/>
    </row>
    <row r="54">
      <c r="A54" s="4" t="n"/>
      <c r="B54" s="4" t="n"/>
      <c r="C54" s="5" t="n"/>
      <c r="D54" s="5" t="n"/>
      <c r="E54" s="5">
        <f>IF(C54="","",C54-D54)</f>
        <v/>
      </c>
      <c r="F54" s="6">
        <f>IF(C54="","",IFERROR(E54/C54,0))</f>
        <v/>
      </c>
      <c r="G54" s="4">
        <f>IF(E54="","",IF(E54&gt;0,"Favorable",IF(E54&lt;0,"Défavorable","Néant")))</f>
        <v/>
      </c>
      <c r="H54" s="4">
        <f>IF(F54="","",IF(ABS(F54)&gt;0.15,"Haute",IF(ABS(F54)&gt;0.05,"Moyenne","Basse")))</f>
        <v/>
      </c>
      <c r="I54" s="4" t="n"/>
      <c r="J54" s="4" t="n"/>
      <c r="K54" s="4" t="n"/>
    </row>
    <row r="55">
      <c r="A55" s="7" t="n"/>
      <c r="B55" s="7" t="n"/>
      <c r="C55" s="8" t="n"/>
      <c r="D55" s="8" t="n"/>
      <c r="E55" s="8">
        <f>IF(C55="","",C55-D55)</f>
        <v/>
      </c>
      <c r="F55" s="9">
        <f>IF(C55="","",IFERROR(E55/C55,0))</f>
        <v/>
      </c>
      <c r="G55" s="7">
        <f>IF(E55="","",IF(E55&gt;0,"Favorable",IF(E55&lt;0,"Défavorable","Néant")))</f>
        <v/>
      </c>
      <c r="H55" s="7">
        <f>IF(F55="","",IF(ABS(F55)&gt;0.15,"Haute",IF(ABS(F55)&gt;0.05,"Moyenne","Basse")))</f>
        <v/>
      </c>
      <c r="I55" s="7" t="n"/>
      <c r="J55" s="7" t="n"/>
      <c r="K55" s="7" t="n"/>
    </row>
    <row r="56">
      <c r="A56" s="4" t="n"/>
      <c r="B56" s="4" t="n"/>
      <c r="C56" s="5" t="n"/>
      <c r="D56" s="5" t="n"/>
      <c r="E56" s="5">
        <f>IF(C56="","",C56-D56)</f>
        <v/>
      </c>
      <c r="F56" s="6">
        <f>IF(C56="","",IFERROR(E56/C56,0))</f>
        <v/>
      </c>
      <c r="G56" s="4">
        <f>IF(E56="","",IF(E56&gt;0,"Favorable",IF(E56&lt;0,"Défavorable","Néant")))</f>
        <v/>
      </c>
      <c r="H56" s="4">
        <f>IF(F56="","",IF(ABS(F56)&gt;0.15,"Haute",IF(ABS(F56)&gt;0.05,"Moyenne","Basse")))</f>
        <v/>
      </c>
      <c r="I56" s="4" t="n"/>
      <c r="J56" s="4" t="n"/>
      <c r="K56" s="4" t="n"/>
    </row>
    <row r="57">
      <c r="A57" s="7" t="n"/>
      <c r="B57" s="7" t="n"/>
      <c r="C57" s="8" t="n"/>
      <c r="D57" s="8" t="n"/>
      <c r="E57" s="8">
        <f>IF(C57="","",C57-D57)</f>
        <v/>
      </c>
      <c r="F57" s="9">
        <f>IF(C57="","",IFERROR(E57/C57,0))</f>
        <v/>
      </c>
      <c r="G57" s="7">
        <f>IF(E57="","",IF(E57&gt;0,"Favorable",IF(E57&lt;0,"Défavorable","Néant")))</f>
        <v/>
      </c>
      <c r="H57" s="7">
        <f>IF(F57="","",IF(ABS(F57)&gt;0.15,"Haute",IF(ABS(F57)&gt;0.05,"Moyenne","Basse")))</f>
        <v/>
      </c>
      <c r="I57" s="7" t="n"/>
      <c r="J57" s="7" t="n"/>
      <c r="K57" s="7" t="n"/>
    </row>
    <row r="58">
      <c r="A58" s="4" t="n"/>
      <c r="B58" s="4" t="n"/>
      <c r="C58" s="5" t="n"/>
      <c r="D58" s="5" t="n"/>
      <c r="E58" s="5">
        <f>IF(C58="","",C58-D58)</f>
        <v/>
      </c>
      <c r="F58" s="6">
        <f>IF(C58="","",IFERROR(E58/C58,0))</f>
        <v/>
      </c>
      <c r="G58" s="4">
        <f>IF(E58="","",IF(E58&gt;0,"Favorable",IF(E58&lt;0,"Défavorable","Néant")))</f>
        <v/>
      </c>
      <c r="H58" s="4">
        <f>IF(F58="","",IF(ABS(F58)&gt;0.15,"Haute",IF(ABS(F58)&gt;0.05,"Moyenne","Basse")))</f>
        <v/>
      </c>
      <c r="I58" s="4" t="n"/>
      <c r="J58" s="4" t="n"/>
      <c r="K58" s="4" t="n"/>
    </row>
    <row r="59">
      <c r="A59" s="7" t="n"/>
      <c r="B59" s="7" t="n"/>
      <c r="C59" s="8" t="n"/>
      <c r="D59" s="8" t="n"/>
      <c r="E59" s="8">
        <f>IF(C59="","",C59-D59)</f>
        <v/>
      </c>
      <c r="F59" s="9">
        <f>IF(C59="","",IFERROR(E59/C59,0))</f>
        <v/>
      </c>
      <c r="G59" s="7">
        <f>IF(E59="","",IF(E59&gt;0,"Favorable",IF(E59&lt;0,"Défavorable","Néant")))</f>
        <v/>
      </c>
      <c r="H59" s="7">
        <f>IF(F59="","",IF(ABS(F59)&gt;0.15,"Haute",IF(ABS(F59)&gt;0.05,"Moyenne","Basse")))</f>
        <v/>
      </c>
      <c r="I59" s="7" t="n"/>
      <c r="J59" s="7" t="n"/>
      <c r="K59" s="7" t="n"/>
    </row>
    <row r="60">
      <c r="A60" s="4" t="n"/>
      <c r="B60" s="4" t="n"/>
      <c r="C60" s="5" t="n"/>
      <c r="D60" s="5" t="n"/>
      <c r="E60" s="5">
        <f>IF(C60="","",C60-D60)</f>
        <v/>
      </c>
      <c r="F60" s="6">
        <f>IF(C60="","",IFERROR(E60/C60,0))</f>
        <v/>
      </c>
      <c r="G60" s="4">
        <f>IF(E60="","",IF(E60&gt;0,"Favorable",IF(E60&lt;0,"Défavorable","Néant")))</f>
        <v/>
      </c>
      <c r="H60" s="4">
        <f>IF(F60="","",IF(ABS(F60)&gt;0.15,"Haute",IF(ABS(F60)&gt;0.05,"Moyenne","Basse")))</f>
        <v/>
      </c>
      <c r="I60" s="4" t="n"/>
      <c r="J60" s="4" t="n"/>
      <c r="K60" s="4" t="n"/>
    </row>
    <row r="61">
      <c r="A61" s="7" t="n"/>
      <c r="B61" s="7" t="n"/>
      <c r="C61" s="8" t="n"/>
      <c r="D61" s="8" t="n"/>
      <c r="E61" s="8">
        <f>IF(C61="","",C61-D61)</f>
        <v/>
      </c>
      <c r="F61" s="9">
        <f>IF(C61="","",IFERROR(E61/C61,0))</f>
        <v/>
      </c>
      <c r="G61" s="7">
        <f>IF(E61="","",IF(E61&gt;0,"Favorable",IF(E61&lt;0,"Défavorable","Néant")))</f>
        <v/>
      </c>
      <c r="H61" s="7">
        <f>IF(F61="","",IF(ABS(F61)&gt;0.15,"Haute",IF(ABS(F61)&gt;0.05,"Moyenne","Basse")))</f>
        <v/>
      </c>
      <c r="I61" s="7" t="n"/>
      <c r="J61" s="7" t="n"/>
      <c r="K61" s="7" t="n"/>
    </row>
    <row r="62">
      <c r="A62" s="4" t="n"/>
      <c r="B62" s="4" t="n"/>
      <c r="C62" s="5" t="n"/>
      <c r="D62" s="5" t="n"/>
      <c r="E62" s="5">
        <f>IF(C62="","",C62-D62)</f>
        <v/>
      </c>
      <c r="F62" s="6">
        <f>IF(C62="","",IFERROR(E62/C62,0))</f>
        <v/>
      </c>
      <c r="G62" s="4">
        <f>IF(E62="","",IF(E62&gt;0,"Favorable",IF(E62&lt;0,"Défavorable","Néant")))</f>
        <v/>
      </c>
      <c r="H62" s="4">
        <f>IF(F62="","",IF(ABS(F62)&gt;0.15,"Haute",IF(ABS(F62)&gt;0.05,"Moyenne","Basse")))</f>
        <v/>
      </c>
      <c r="I62" s="4" t="n"/>
      <c r="J62" s="4" t="n"/>
      <c r="K62" s="4" t="n"/>
    </row>
    <row r="63">
      <c r="A63" s="7" t="n"/>
      <c r="B63" s="7" t="n"/>
      <c r="C63" s="8" t="n"/>
      <c r="D63" s="8" t="n"/>
      <c r="E63" s="8">
        <f>IF(C63="","",C63-D63)</f>
        <v/>
      </c>
      <c r="F63" s="9">
        <f>IF(C63="","",IFERROR(E63/C63,0))</f>
        <v/>
      </c>
      <c r="G63" s="7">
        <f>IF(E63="","",IF(E63&gt;0,"Favorable",IF(E63&lt;0,"Défavorable","Néant")))</f>
        <v/>
      </c>
      <c r="H63" s="7">
        <f>IF(F63="","",IF(ABS(F63)&gt;0.15,"Haute",IF(ABS(F63)&gt;0.05,"Moyenne","Basse")))</f>
        <v/>
      </c>
      <c r="I63" s="7" t="n"/>
      <c r="J63" s="7" t="n"/>
      <c r="K63" s="7" t="n"/>
    </row>
    <row r="64">
      <c r="A64" s="4" t="n"/>
      <c r="B64" s="4" t="n"/>
      <c r="C64" s="5" t="n"/>
      <c r="D64" s="5" t="n"/>
      <c r="E64" s="5">
        <f>IF(C64="","",C64-D64)</f>
        <v/>
      </c>
      <c r="F64" s="6">
        <f>IF(C64="","",IFERROR(E64/C64,0))</f>
        <v/>
      </c>
      <c r="G64" s="4">
        <f>IF(E64="","",IF(E64&gt;0,"Favorable",IF(E64&lt;0,"Défavorable","Néant")))</f>
        <v/>
      </c>
      <c r="H64" s="4">
        <f>IF(F64="","",IF(ABS(F64)&gt;0.15,"Haute",IF(ABS(F64)&gt;0.05,"Moyenne","Basse")))</f>
        <v/>
      </c>
      <c r="I64" s="4" t="n"/>
      <c r="J64" s="4" t="n"/>
      <c r="K64" s="4" t="n"/>
    </row>
    <row r="65">
      <c r="A65" s="7" t="n"/>
      <c r="B65" s="7" t="n"/>
      <c r="C65" s="8" t="n"/>
      <c r="D65" s="8" t="n"/>
      <c r="E65" s="8">
        <f>IF(C65="","",C65-D65)</f>
        <v/>
      </c>
      <c r="F65" s="9">
        <f>IF(C65="","",IFERROR(E65/C65,0))</f>
        <v/>
      </c>
      <c r="G65" s="7">
        <f>IF(E65="","",IF(E65&gt;0,"Favorable",IF(E65&lt;0,"Défavorable","Néant")))</f>
        <v/>
      </c>
      <c r="H65" s="7">
        <f>IF(F65="","",IF(ABS(F65)&gt;0.15,"Haute",IF(ABS(F65)&gt;0.05,"Moyenne","Basse")))</f>
        <v/>
      </c>
      <c r="I65" s="7" t="n"/>
      <c r="J65" s="7" t="n"/>
      <c r="K65" s="7" t="n"/>
    </row>
    <row r="66">
      <c r="A66" s="4" t="n"/>
      <c r="B66" s="4" t="n"/>
      <c r="C66" s="5" t="n"/>
      <c r="D66" s="5" t="n"/>
      <c r="E66" s="5">
        <f>IF(C66="","",C66-D66)</f>
        <v/>
      </c>
      <c r="F66" s="6">
        <f>IF(C66="","",IFERROR(E66/C66,0))</f>
        <v/>
      </c>
      <c r="G66" s="4">
        <f>IF(E66="","",IF(E66&gt;0,"Favorable",IF(E66&lt;0,"Défavorable","Néant")))</f>
        <v/>
      </c>
      <c r="H66" s="4">
        <f>IF(F66="","",IF(ABS(F66)&gt;0.15,"Haute",IF(ABS(F66)&gt;0.05,"Moyenne","Basse")))</f>
        <v/>
      </c>
      <c r="I66" s="4" t="n"/>
      <c r="J66" s="4" t="n"/>
      <c r="K66" s="4" t="n"/>
    </row>
    <row r="67">
      <c r="A67" s="7" t="n"/>
      <c r="B67" s="7" t="n"/>
      <c r="C67" s="8" t="n"/>
      <c r="D67" s="8" t="n"/>
      <c r="E67" s="8">
        <f>IF(C67="","",C67-D67)</f>
        <v/>
      </c>
      <c r="F67" s="9">
        <f>IF(C67="","",IFERROR(E67/C67,0))</f>
        <v/>
      </c>
      <c r="G67" s="7">
        <f>IF(E67="","",IF(E67&gt;0,"Favorable",IF(E67&lt;0,"Défavorable","Néant")))</f>
        <v/>
      </c>
      <c r="H67" s="7">
        <f>IF(F67="","",IF(ABS(F67)&gt;0.15,"Haute",IF(ABS(F67)&gt;0.05,"Moyenne","Basse")))</f>
        <v/>
      </c>
      <c r="I67" s="7" t="n"/>
      <c r="J67" s="7" t="n"/>
      <c r="K67" s="7" t="n"/>
    </row>
    <row r="68">
      <c r="A68" s="4" t="n"/>
      <c r="B68" s="4" t="n"/>
      <c r="C68" s="5" t="n"/>
      <c r="D68" s="5" t="n"/>
      <c r="E68" s="5">
        <f>IF(C68="","",C68-D68)</f>
        <v/>
      </c>
      <c r="F68" s="6">
        <f>IF(C68="","",IFERROR(E68/C68,0))</f>
        <v/>
      </c>
      <c r="G68" s="4">
        <f>IF(E68="","",IF(E68&gt;0,"Favorable",IF(E68&lt;0,"Défavorable","Néant")))</f>
        <v/>
      </c>
      <c r="H68" s="4">
        <f>IF(F68="","",IF(ABS(F68)&gt;0.15,"Haute",IF(ABS(F68)&gt;0.05,"Moyenne","Basse")))</f>
        <v/>
      </c>
      <c r="I68" s="4" t="n"/>
      <c r="J68" s="4" t="n"/>
      <c r="K68" s="4" t="n"/>
    </row>
    <row r="69">
      <c r="A69" s="7" t="n"/>
      <c r="B69" s="7" t="n"/>
      <c r="C69" s="8" t="n"/>
      <c r="D69" s="8" t="n"/>
      <c r="E69" s="8">
        <f>IF(C69="","",C69-D69)</f>
        <v/>
      </c>
      <c r="F69" s="9">
        <f>IF(C69="","",IFERROR(E69/C69,0))</f>
        <v/>
      </c>
      <c r="G69" s="7">
        <f>IF(E69="","",IF(E69&gt;0,"Favorable",IF(E69&lt;0,"Défavorable","Néant")))</f>
        <v/>
      </c>
      <c r="H69" s="7">
        <f>IF(F69="","",IF(ABS(F69)&gt;0.15,"Haute",IF(ABS(F69)&gt;0.05,"Moyenne","Basse")))</f>
        <v/>
      </c>
      <c r="I69" s="7" t="n"/>
      <c r="J69" s="7" t="n"/>
      <c r="K69" s="7" t="n"/>
    </row>
    <row r="70">
      <c r="A70" s="4" t="n"/>
      <c r="B70" s="4" t="n"/>
      <c r="C70" s="5" t="n"/>
      <c r="D70" s="5" t="n"/>
      <c r="E70" s="5">
        <f>IF(C70="","",C70-D70)</f>
        <v/>
      </c>
      <c r="F70" s="6">
        <f>IF(C70="","",IFERROR(E70/C70,0))</f>
        <v/>
      </c>
      <c r="G70" s="4">
        <f>IF(E70="","",IF(E70&gt;0,"Favorable",IF(E70&lt;0,"Défavorable","Néant")))</f>
        <v/>
      </c>
      <c r="H70" s="4">
        <f>IF(F70="","",IF(ABS(F70)&gt;0.15,"Haute",IF(ABS(F70)&gt;0.05,"Moyenne","Basse")))</f>
        <v/>
      </c>
      <c r="I70" s="4" t="n"/>
      <c r="J70" s="4" t="n"/>
      <c r="K70" s="4" t="n"/>
    </row>
    <row r="71">
      <c r="A71" s="7" t="n"/>
      <c r="B71" s="7" t="n"/>
      <c r="C71" s="8" t="n"/>
      <c r="D71" s="8" t="n"/>
      <c r="E71" s="8">
        <f>IF(C71="","",C71-D71)</f>
        <v/>
      </c>
      <c r="F71" s="9">
        <f>IF(C71="","",IFERROR(E71/C71,0))</f>
        <v/>
      </c>
      <c r="G71" s="7">
        <f>IF(E71="","",IF(E71&gt;0,"Favorable",IF(E71&lt;0,"Défavorable","Néant")))</f>
        <v/>
      </c>
      <c r="H71" s="7">
        <f>IF(F71="","",IF(ABS(F71)&gt;0.15,"Haute",IF(ABS(F71)&gt;0.05,"Moyenne","Basse")))</f>
        <v/>
      </c>
      <c r="I71" s="7" t="n"/>
      <c r="J71" s="7" t="n"/>
      <c r="K71" s="7" t="n"/>
    </row>
    <row r="72">
      <c r="A72" s="4" t="n"/>
      <c r="B72" s="4" t="n"/>
      <c r="C72" s="5" t="n"/>
      <c r="D72" s="5" t="n"/>
      <c r="E72" s="5">
        <f>IF(C72="","",C72-D72)</f>
        <v/>
      </c>
      <c r="F72" s="6">
        <f>IF(C72="","",IFERROR(E72/C72,0))</f>
        <v/>
      </c>
      <c r="G72" s="4">
        <f>IF(E72="","",IF(E72&gt;0,"Favorable",IF(E72&lt;0,"Défavorable","Néant")))</f>
        <v/>
      </c>
      <c r="H72" s="4">
        <f>IF(F72="","",IF(ABS(F72)&gt;0.15,"Haute",IF(ABS(F72)&gt;0.05,"Moyenne","Basse")))</f>
        <v/>
      </c>
      <c r="I72" s="4" t="n"/>
      <c r="J72" s="4" t="n"/>
      <c r="K72" s="4" t="n"/>
    </row>
    <row r="73">
      <c r="A73" s="7" t="n"/>
      <c r="B73" s="7" t="n"/>
      <c r="C73" s="8" t="n"/>
      <c r="D73" s="8" t="n"/>
      <c r="E73" s="8">
        <f>IF(C73="","",C73-D73)</f>
        <v/>
      </c>
      <c r="F73" s="9">
        <f>IF(C73="","",IFERROR(E73/C73,0))</f>
        <v/>
      </c>
      <c r="G73" s="7">
        <f>IF(E73="","",IF(E73&gt;0,"Favorable",IF(E73&lt;0,"Défavorable","Néant")))</f>
        <v/>
      </c>
      <c r="H73" s="7">
        <f>IF(F73="","",IF(ABS(F73)&gt;0.15,"Haute",IF(ABS(F73)&gt;0.05,"Moyenne","Basse")))</f>
        <v/>
      </c>
      <c r="I73" s="7" t="n"/>
      <c r="J73" s="7" t="n"/>
      <c r="K73" s="7" t="n"/>
    </row>
    <row r="74">
      <c r="A74" s="4" t="n"/>
      <c r="B74" s="4" t="n"/>
      <c r="C74" s="5" t="n"/>
      <c r="D74" s="5" t="n"/>
      <c r="E74" s="5">
        <f>IF(C74="","",C74-D74)</f>
        <v/>
      </c>
      <c r="F74" s="6">
        <f>IF(C74="","",IFERROR(E74/C74,0))</f>
        <v/>
      </c>
      <c r="G74" s="4">
        <f>IF(E74="","",IF(E74&gt;0,"Favorable",IF(E74&lt;0,"Défavorable","Néant")))</f>
        <v/>
      </c>
      <c r="H74" s="4">
        <f>IF(F74="","",IF(ABS(F74)&gt;0.15,"Haute",IF(ABS(F74)&gt;0.05,"Moyenne","Basse")))</f>
        <v/>
      </c>
      <c r="I74" s="4" t="n"/>
      <c r="J74" s="4" t="n"/>
      <c r="K74" s="4" t="n"/>
    </row>
    <row r="75">
      <c r="A75" s="7" t="n"/>
      <c r="B75" s="7" t="n"/>
      <c r="C75" s="8" t="n"/>
      <c r="D75" s="8" t="n"/>
      <c r="E75" s="8">
        <f>IF(C75="","",C75-D75)</f>
        <v/>
      </c>
      <c r="F75" s="9">
        <f>IF(C75="","",IFERROR(E75/C75,0))</f>
        <v/>
      </c>
      <c r="G75" s="7">
        <f>IF(E75="","",IF(E75&gt;0,"Favorable",IF(E75&lt;0,"Défavorable","Néant")))</f>
        <v/>
      </c>
      <c r="H75" s="7">
        <f>IF(F75="","",IF(ABS(F75)&gt;0.15,"Haute",IF(ABS(F75)&gt;0.05,"Moyenne","Basse")))</f>
        <v/>
      </c>
      <c r="I75" s="7" t="n"/>
      <c r="J75" s="7" t="n"/>
      <c r="K75" s="7" t="n"/>
    </row>
    <row r="76">
      <c r="A76" s="4" t="n"/>
      <c r="B76" s="4" t="n"/>
      <c r="C76" s="5" t="n"/>
      <c r="D76" s="5" t="n"/>
      <c r="E76" s="5">
        <f>IF(C76="","",C76-D76)</f>
        <v/>
      </c>
      <c r="F76" s="6">
        <f>IF(C76="","",IFERROR(E76/C76,0))</f>
        <v/>
      </c>
      <c r="G76" s="4">
        <f>IF(E76="","",IF(E76&gt;0,"Favorable",IF(E76&lt;0,"Défavorable","Néant")))</f>
        <v/>
      </c>
      <c r="H76" s="4">
        <f>IF(F76="","",IF(ABS(F76)&gt;0.15,"Haute",IF(ABS(F76)&gt;0.05,"Moyenne","Basse")))</f>
        <v/>
      </c>
      <c r="I76" s="4" t="n"/>
      <c r="J76" s="4" t="n"/>
      <c r="K76" s="4" t="n"/>
    </row>
    <row r="77">
      <c r="A77" s="7" t="n"/>
      <c r="B77" s="7" t="n"/>
      <c r="C77" s="8" t="n"/>
      <c r="D77" s="8" t="n"/>
      <c r="E77" s="8">
        <f>IF(C77="","",C77-D77)</f>
        <v/>
      </c>
      <c r="F77" s="9">
        <f>IF(C77="","",IFERROR(E77/C77,0))</f>
        <v/>
      </c>
      <c r="G77" s="7">
        <f>IF(E77="","",IF(E77&gt;0,"Favorable",IF(E77&lt;0,"Défavorable","Néant")))</f>
        <v/>
      </c>
      <c r="H77" s="7">
        <f>IF(F77="","",IF(ABS(F77)&gt;0.15,"Haute",IF(ABS(F77)&gt;0.05,"Moyenne","Basse")))</f>
        <v/>
      </c>
      <c r="I77" s="7" t="n"/>
      <c r="J77" s="7" t="n"/>
      <c r="K77" s="7" t="n"/>
    </row>
    <row r="78">
      <c r="A78" s="4" t="n"/>
      <c r="B78" s="4" t="n"/>
      <c r="C78" s="5" t="n"/>
      <c r="D78" s="5" t="n"/>
      <c r="E78" s="5">
        <f>IF(C78="","",C78-D78)</f>
        <v/>
      </c>
      <c r="F78" s="6">
        <f>IF(C78="","",IFERROR(E78/C78,0))</f>
        <v/>
      </c>
      <c r="G78" s="4">
        <f>IF(E78="","",IF(E78&gt;0,"Favorable",IF(E78&lt;0,"Défavorable","Néant")))</f>
        <v/>
      </c>
      <c r="H78" s="4">
        <f>IF(F78="","",IF(ABS(F78)&gt;0.15,"Haute",IF(ABS(F78)&gt;0.05,"Moyenne","Basse")))</f>
        <v/>
      </c>
      <c r="I78" s="4" t="n"/>
      <c r="J78" s="4" t="n"/>
      <c r="K78" s="4" t="n"/>
    </row>
    <row r="79">
      <c r="A79" s="7" t="n"/>
      <c r="B79" s="7" t="n"/>
      <c r="C79" s="8" t="n"/>
      <c r="D79" s="8" t="n"/>
      <c r="E79" s="8">
        <f>IF(C79="","",C79-D79)</f>
        <v/>
      </c>
      <c r="F79" s="9">
        <f>IF(C79="","",IFERROR(E79/C79,0))</f>
        <v/>
      </c>
      <c r="G79" s="7">
        <f>IF(E79="","",IF(E79&gt;0,"Favorable",IF(E79&lt;0,"Défavorable","Néant")))</f>
        <v/>
      </c>
      <c r="H79" s="7">
        <f>IF(F79="","",IF(ABS(F79)&gt;0.15,"Haute",IF(ABS(F79)&gt;0.05,"Moyenne","Basse")))</f>
        <v/>
      </c>
      <c r="I79" s="7" t="n"/>
      <c r="J79" s="7" t="n"/>
      <c r="K79" s="7" t="n"/>
    </row>
    <row r="80">
      <c r="A80" s="4" t="n"/>
      <c r="B80" s="4" t="n"/>
      <c r="C80" s="5" t="n"/>
      <c r="D80" s="5" t="n"/>
      <c r="E80" s="5">
        <f>IF(C80="","",C80-D80)</f>
        <v/>
      </c>
      <c r="F80" s="6">
        <f>IF(C80="","",IFERROR(E80/C80,0))</f>
        <v/>
      </c>
      <c r="G80" s="4">
        <f>IF(E80="","",IF(E80&gt;0,"Favorable",IF(E80&lt;0,"Défavorable","Néant")))</f>
        <v/>
      </c>
      <c r="H80" s="4">
        <f>IF(F80="","",IF(ABS(F80)&gt;0.15,"Haute",IF(ABS(F80)&gt;0.05,"Moyenne","Basse")))</f>
        <v/>
      </c>
      <c r="I80" s="4" t="n"/>
      <c r="J80" s="4" t="n"/>
      <c r="K80" s="4" t="n"/>
    </row>
    <row r="81">
      <c r="A81" s="7" t="n"/>
      <c r="B81" s="7" t="n"/>
      <c r="C81" s="8" t="n"/>
      <c r="D81" s="8" t="n"/>
      <c r="E81" s="8">
        <f>IF(C81="","",C81-D81)</f>
        <v/>
      </c>
      <c r="F81" s="9">
        <f>IF(C81="","",IFERROR(E81/C81,0))</f>
        <v/>
      </c>
      <c r="G81" s="7">
        <f>IF(E81="","",IF(E81&gt;0,"Favorable",IF(E81&lt;0,"Défavorable","Néant")))</f>
        <v/>
      </c>
      <c r="H81" s="7">
        <f>IF(F81="","",IF(ABS(F81)&gt;0.15,"Haute",IF(ABS(F81)&gt;0.05,"Moyenne","Basse")))</f>
        <v/>
      </c>
      <c r="I81" s="7" t="n"/>
      <c r="J81" s="7" t="n"/>
      <c r="K81" s="7" t="n"/>
    </row>
    <row r="82">
      <c r="A82" s="4" t="n"/>
      <c r="B82" s="4" t="n"/>
      <c r="C82" s="5" t="n"/>
      <c r="D82" s="5" t="n"/>
      <c r="E82" s="5">
        <f>IF(C82="","",C82-D82)</f>
        <v/>
      </c>
      <c r="F82" s="6">
        <f>IF(C82="","",IFERROR(E82/C82,0))</f>
        <v/>
      </c>
      <c r="G82" s="4">
        <f>IF(E82="","",IF(E82&gt;0,"Favorable",IF(E82&lt;0,"Défavorable","Néant")))</f>
        <v/>
      </c>
      <c r="H82" s="4">
        <f>IF(F82="","",IF(ABS(F82)&gt;0.15,"Haute",IF(ABS(F82)&gt;0.05,"Moyenne","Basse")))</f>
        <v/>
      </c>
      <c r="I82" s="4" t="n"/>
      <c r="J82" s="4" t="n"/>
      <c r="K82" s="4" t="n"/>
    </row>
    <row r="83">
      <c r="A83" s="7" t="n"/>
      <c r="B83" s="7" t="n"/>
      <c r="C83" s="8" t="n"/>
      <c r="D83" s="8" t="n"/>
      <c r="E83" s="8">
        <f>IF(C83="","",C83-D83)</f>
        <v/>
      </c>
      <c r="F83" s="9">
        <f>IF(C83="","",IFERROR(E83/C83,0))</f>
        <v/>
      </c>
      <c r="G83" s="7">
        <f>IF(E83="","",IF(E83&gt;0,"Favorable",IF(E83&lt;0,"Défavorable","Néant")))</f>
        <v/>
      </c>
      <c r="H83" s="7">
        <f>IF(F83="","",IF(ABS(F83)&gt;0.15,"Haute",IF(ABS(F83)&gt;0.05,"Moyenne","Basse")))</f>
        <v/>
      </c>
      <c r="I83" s="7" t="n"/>
      <c r="J83" s="7" t="n"/>
      <c r="K83" s="7" t="n"/>
    </row>
    <row r="84">
      <c r="A84" s="4" t="n"/>
      <c r="B84" s="4" t="n"/>
      <c r="C84" s="5" t="n"/>
      <c r="D84" s="5" t="n"/>
      <c r="E84" s="5">
        <f>IF(C84="","",C84-D84)</f>
        <v/>
      </c>
      <c r="F84" s="6">
        <f>IF(C84="","",IFERROR(E84/C84,0))</f>
        <v/>
      </c>
      <c r="G84" s="4">
        <f>IF(E84="","",IF(E84&gt;0,"Favorable",IF(E84&lt;0,"Défavorable","Néant")))</f>
        <v/>
      </c>
      <c r="H84" s="4">
        <f>IF(F84="","",IF(ABS(F84)&gt;0.15,"Haute",IF(ABS(F84)&gt;0.05,"Moyenne","Basse")))</f>
        <v/>
      </c>
      <c r="I84" s="4" t="n"/>
      <c r="J84" s="4" t="n"/>
      <c r="K84" s="4" t="n"/>
    </row>
    <row r="85">
      <c r="A85" s="7" t="n"/>
      <c r="B85" s="7" t="n"/>
      <c r="C85" s="8" t="n"/>
      <c r="D85" s="8" t="n"/>
      <c r="E85" s="8">
        <f>IF(C85="","",C85-D85)</f>
        <v/>
      </c>
      <c r="F85" s="9">
        <f>IF(C85="","",IFERROR(E85/C85,0))</f>
        <v/>
      </c>
      <c r="G85" s="7">
        <f>IF(E85="","",IF(E85&gt;0,"Favorable",IF(E85&lt;0,"Défavorable","Néant")))</f>
        <v/>
      </c>
      <c r="H85" s="7">
        <f>IF(F85="","",IF(ABS(F85)&gt;0.15,"Haute",IF(ABS(F85)&gt;0.05,"Moyenne","Basse")))</f>
        <v/>
      </c>
      <c r="I85" s="7" t="n"/>
      <c r="J85" s="7" t="n"/>
      <c r="K85" s="7" t="n"/>
    </row>
    <row r="86">
      <c r="A86" s="4" t="n"/>
      <c r="B86" s="4" t="n"/>
      <c r="C86" s="5" t="n"/>
      <c r="D86" s="5" t="n"/>
      <c r="E86" s="5">
        <f>IF(C86="","",C86-D86)</f>
        <v/>
      </c>
      <c r="F86" s="6">
        <f>IF(C86="","",IFERROR(E86/C86,0))</f>
        <v/>
      </c>
      <c r="G86" s="4">
        <f>IF(E86="","",IF(E86&gt;0,"Favorable",IF(E86&lt;0,"Défavorable","Néant")))</f>
        <v/>
      </c>
      <c r="H86" s="4">
        <f>IF(F86="","",IF(ABS(F86)&gt;0.15,"Haute",IF(ABS(F86)&gt;0.05,"Moyenne","Basse")))</f>
        <v/>
      </c>
      <c r="I86" s="4" t="n"/>
      <c r="J86" s="4" t="n"/>
      <c r="K86" s="4" t="n"/>
    </row>
    <row r="87">
      <c r="A87" s="7" t="n"/>
      <c r="B87" s="7" t="n"/>
      <c r="C87" s="8" t="n"/>
      <c r="D87" s="8" t="n"/>
      <c r="E87" s="8">
        <f>IF(C87="","",C87-D87)</f>
        <v/>
      </c>
      <c r="F87" s="9">
        <f>IF(C87="","",IFERROR(E87/C87,0))</f>
        <v/>
      </c>
      <c r="G87" s="7">
        <f>IF(E87="","",IF(E87&gt;0,"Favorable",IF(E87&lt;0,"Défavorable","Néant")))</f>
        <v/>
      </c>
      <c r="H87" s="7">
        <f>IF(F87="","",IF(ABS(F87)&gt;0.15,"Haute",IF(ABS(F87)&gt;0.05,"Moyenne","Basse")))</f>
        <v/>
      </c>
      <c r="I87" s="7" t="n"/>
      <c r="J87" s="7" t="n"/>
      <c r="K87" s="7" t="n"/>
    </row>
    <row r="88">
      <c r="A88" s="4" t="n"/>
      <c r="B88" s="4" t="n"/>
      <c r="C88" s="5" t="n"/>
      <c r="D88" s="5" t="n"/>
      <c r="E88" s="5">
        <f>IF(C88="","",C88-D88)</f>
        <v/>
      </c>
      <c r="F88" s="6">
        <f>IF(C88="","",IFERROR(E88/C88,0))</f>
        <v/>
      </c>
      <c r="G88" s="4">
        <f>IF(E88="","",IF(E88&gt;0,"Favorable",IF(E88&lt;0,"Défavorable","Néant")))</f>
        <v/>
      </c>
      <c r="H88" s="4">
        <f>IF(F88="","",IF(ABS(F88)&gt;0.15,"Haute",IF(ABS(F88)&gt;0.05,"Moyenne","Basse")))</f>
        <v/>
      </c>
      <c r="I88" s="4" t="n"/>
      <c r="J88" s="4" t="n"/>
      <c r="K88" s="4" t="n"/>
    </row>
    <row r="89">
      <c r="A89" s="7" t="n"/>
      <c r="B89" s="7" t="n"/>
      <c r="C89" s="8" t="n"/>
      <c r="D89" s="8" t="n"/>
      <c r="E89" s="8">
        <f>IF(C89="","",C89-D89)</f>
        <v/>
      </c>
      <c r="F89" s="9">
        <f>IF(C89="","",IFERROR(E89/C89,0))</f>
        <v/>
      </c>
      <c r="G89" s="7">
        <f>IF(E89="","",IF(E89&gt;0,"Favorable",IF(E89&lt;0,"Défavorable","Néant")))</f>
        <v/>
      </c>
      <c r="H89" s="7">
        <f>IF(F89="","",IF(ABS(F89)&gt;0.15,"Haute",IF(ABS(F89)&gt;0.05,"Moyenne","Basse")))</f>
        <v/>
      </c>
      <c r="I89" s="7" t="n"/>
      <c r="J89" s="7" t="n"/>
      <c r="K89" s="7" t="n"/>
    </row>
    <row r="90">
      <c r="A90" s="4" t="n"/>
      <c r="B90" s="4" t="n"/>
      <c r="C90" s="5" t="n"/>
      <c r="D90" s="5" t="n"/>
      <c r="E90" s="5">
        <f>IF(C90="","",C90-D90)</f>
        <v/>
      </c>
      <c r="F90" s="6">
        <f>IF(C90="","",IFERROR(E90/C90,0))</f>
        <v/>
      </c>
      <c r="G90" s="4">
        <f>IF(E90="","",IF(E90&gt;0,"Favorable",IF(E90&lt;0,"Défavorable","Néant")))</f>
        <v/>
      </c>
      <c r="H90" s="4">
        <f>IF(F90="","",IF(ABS(F90)&gt;0.15,"Haute",IF(ABS(F90)&gt;0.05,"Moyenne","Basse")))</f>
        <v/>
      </c>
      <c r="I90" s="4" t="n"/>
      <c r="J90" s="4" t="n"/>
      <c r="K90" s="4" t="n"/>
    </row>
    <row r="91">
      <c r="A91" s="7" t="n"/>
      <c r="B91" s="7" t="n"/>
      <c r="C91" s="8" t="n"/>
      <c r="D91" s="8" t="n"/>
      <c r="E91" s="8">
        <f>IF(C91="","",C91-D91)</f>
        <v/>
      </c>
      <c r="F91" s="9">
        <f>IF(C91="","",IFERROR(E91/C91,0))</f>
        <v/>
      </c>
      <c r="G91" s="7">
        <f>IF(E91="","",IF(E91&gt;0,"Favorable",IF(E91&lt;0,"Défavorable","Néant")))</f>
        <v/>
      </c>
      <c r="H91" s="7">
        <f>IF(F91="","",IF(ABS(F91)&gt;0.15,"Haute",IF(ABS(F91)&gt;0.05,"Moyenne","Basse")))</f>
        <v/>
      </c>
      <c r="I91" s="7" t="n"/>
      <c r="J91" s="7" t="n"/>
      <c r="K91" s="7" t="n"/>
    </row>
    <row r="92">
      <c r="A92" s="4" t="n"/>
      <c r="B92" s="4" t="n"/>
      <c r="C92" s="5" t="n"/>
      <c r="D92" s="5" t="n"/>
      <c r="E92" s="5">
        <f>IF(C92="","",C92-D92)</f>
        <v/>
      </c>
      <c r="F92" s="6">
        <f>IF(C92="","",IFERROR(E92/C92,0))</f>
        <v/>
      </c>
      <c r="G92" s="4">
        <f>IF(E92="","",IF(E92&gt;0,"Favorable",IF(E92&lt;0,"Défavorable","Néant")))</f>
        <v/>
      </c>
      <c r="H92" s="4">
        <f>IF(F92="","",IF(ABS(F92)&gt;0.15,"Haute",IF(ABS(F92)&gt;0.05,"Moyenne","Basse")))</f>
        <v/>
      </c>
      <c r="I92" s="4" t="n"/>
      <c r="J92" s="4" t="n"/>
      <c r="K92" s="4" t="n"/>
    </row>
    <row r="93">
      <c r="A93" s="7" t="n"/>
      <c r="B93" s="7" t="n"/>
      <c r="C93" s="8" t="n"/>
      <c r="D93" s="8" t="n"/>
      <c r="E93" s="8">
        <f>IF(C93="","",C93-D93)</f>
        <v/>
      </c>
      <c r="F93" s="9">
        <f>IF(C93="","",IFERROR(E93/C93,0))</f>
        <v/>
      </c>
      <c r="G93" s="7">
        <f>IF(E93="","",IF(E93&gt;0,"Favorable",IF(E93&lt;0,"Défavorable","Néant")))</f>
        <v/>
      </c>
      <c r="H93" s="7">
        <f>IF(F93="","",IF(ABS(F93)&gt;0.15,"Haute",IF(ABS(F93)&gt;0.05,"Moyenne","Basse")))</f>
        <v/>
      </c>
      <c r="I93" s="7" t="n"/>
      <c r="J93" s="7" t="n"/>
      <c r="K93" s="7" t="n"/>
    </row>
    <row r="94">
      <c r="A94" s="4" t="n"/>
      <c r="B94" s="4" t="n"/>
      <c r="C94" s="5" t="n"/>
      <c r="D94" s="5" t="n"/>
      <c r="E94" s="5">
        <f>IF(C94="","",C94-D94)</f>
        <v/>
      </c>
      <c r="F94" s="6">
        <f>IF(C94="","",IFERROR(E94/C94,0))</f>
        <v/>
      </c>
      <c r="G94" s="4">
        <f>IF(E94="","",IF(E94&gt;0,"Favorable",IF(E94&lt;0,"Défavorable","Néant")))</f>
        <v/>
      </c>
      <c r="H94" s="4">
        <f>IF(F94="","",IF(ABS(F94)&gt;0.15,"Haute",IF(ABS(F94)&gt;0.05,"Moyenne","Basse")))</f>
        <v/>
      </c>
      <c r="I94" s="4" t="n"/>
      <c r="J94" s="4" t="n"/>
      <c r="K94" s="4" t="n"/>
    </row>
    <row r="95">
      <c r="A95" s="7" t="n"/>
      <c r="B95" s="7" t="n"/>
      <c r="C95" s="8" t="n"/>
      <c r="D95" s="8" t="n"/>
      <c r="E95" s="8">
        <f>IF(C95="","",C95-D95)</f>
        <v/>
      </c>
      <c r="F95" s="9">
        <f>IF(C95="","",IFERROR(E95/C95,0))</f>
        <v/>
      </c>
      <c r="G95" s="7">
        <f>IF(E95="","",IF(E95&gt;0,"Favorable",IF(E95&lt;0,"Défavorable","Néant")))</f>
        <v/>
      </c>
      <c r="H95" s="7">
        <f>IF(F95="","",IF(ABS(F95)&gt;0.15,"Haute",IF(ABS(F95)&gt;0.05,"Moyenne","Basse")))</f>
        <v/>
      </c>
      <c r="I95" s="7" t="n"/>
      <c r="J95" s="7" t="n"/>
      <c r="K95" s="7" t="n"/>
    </row>
    <row r="96">
      <c r="A96" s="4" t="n"/>
      <c r="B96" s="4" t="n"/>
      <c r="C96" s="5" t="n"/>
      <c r="D96" s="5" t="n"/>
      <c r="E96" s="5">
        <f>IF(C96="","",C96-D96)</f>
        <v/>
      </c>
      <c r="F96" s="6">
        <f>IF(C96="","",IFERROR(E96/C96,0))</f>
        <v/>
      </c>
      <c r="G96" s="4">
        <f>IF(E96="","",IF(E96&gt;0,"Favorable",IF(E96&lt;0,"Défavorable","Néant")))</f>
        <v/>
      </c>
      <c r="H96" s="4">
        <f>IF(F96="","",IF(ABS(F96)&gt;0.15,"Haute",IF(ABS(F96)&gt;0.05,"Moyenne","Basse")))</f>
        <v/>
      </c>
      <c r="I96" s="4" t="n"/>
      <c r="J96" s="4" t="n"/>
      <c r="K96" s="4" t="n"/>
    </row>
    <row r="97">
      <c r="A97" s="7" t="n"/>
      <c r="B97" s="7" t="n"/>
      <c r="C97" s="8" t="n"/>
      <c r="D97" s="8" t="n"/>
      <c r="E97" s="8">
        <f>IF(C97="","",C97-D97)</f>
        <v/>
      </c>
      <c r="F97" s="9">
        <f>IF(C97="","",IFERROR(E97/C97,0))</f>
        <v/>
      </c>
      <c r="G97" s="7">
        <f>IF(E97="","",IF(E97&gt;0,"Favorable",IF(E97&lt;0,"Défavorable","Néant")))</f>
        <v/>
      </c>
      <c r="H97" s="7">
        <f>IF(F97="","",IF(ABS(F97)&gt;0.15,"Haute",IF(ABS(F97)&gt;0.05,"Moyenne","Basse")))</f>
        <v/>
      </c>
      <c r="I97" s="7" t="n"/>
      <c r="J97" s="7" t="n"/>
      <c r="K97" s="7" t="n"/>
    </row>
    <row r="98">
      <c r="A98" s="4" t="n"/>
      <c r="B98" s="4" t="n"/>
      <c r="C98" s="5" t="n"/>
      <c r="D98" s="5" t="n"/>
      <c r="E98" s="5">
        <f>IF(C98="","",C98-D98)</f>
        <v/>
      </c>
      <c r="F98" s="6">
        <f>IF(C98="","",IFERROR(E98/C98,0))</f>
        <v/>
      </c>
      <c r="G98" s="4">
        <f>IF(E98="","",IF(E98&gt;0,"Favorable",IF(E98&lt;0,"Défavorable","Néant")))</f>
        <v/>
      </c>
      <c r="H98" s="4">
        <f>IF(F98="","",IF(ABS(F98)&gt;0.15,"Haute",IF(ABS(F98)&gt;0.05,"Moyenne","Basse")))</f>
        <v/>
      </c>
      <c r="I98" s="4" t="n"/>
      <c r="J98" s="4" t="n"/>
      <c r="K98" s="4" t="n"/>
    </row>
    <row r="99">
      <c r="A99" s="7" t="n"/>
      <c r="B99" s="7" t="n"/>
      <c r="C99" s="8" t="n"/>
      <c r="D99" s="8" t="n"/>
      <c r="E99" s="8">
        <f>IF(C99="","",C99-D99)</f>
        <v/>
      </c>
      <c r="F99" s="9">
        <f>IF(C99="","",IFERROR(E99/C99,0))</f>
        <v/>
      </c>
      <c r="G99" s="7">
        <f>IF(E99="","",IF(E99&gt;0,"Favorable",IF(E99&lt;0,"Défavorable","Néant")))</f>
        <v/>
      </c>
      <c r="H99" s="7">
        <f>IF(F99="","",IF(ABS(F99)&gt;0.15,"Haute",IF(ABS(F99)&gt;0.05,"Moyenne","Basse")))</f>
        <v/>
      </c>
      <c r="I99" s="7" t="n"/>
      <c r="J99" s="7" t="n"/>
      <c r="K99" s="7" t="n"/>
    </row>
    <row r="100">
      <c r="A100" s="4" t="n"/>
      <c r="B100" s="4" t="n"/>
      <c r="C100" s="5" t="n"/>
      <c r="D100" s="5" t="n"/>
      <c r="E100" s="5">
        <f>IF(C100="","",C100-D100)</f>
        <v/>
      </c>
      <c r="F100" s="6">
        <f>IF(C100="","",IFERROR(E100/C100,0))</f>
        <v/>
      </c>
      <c r="G100" s="4">
        <f>IF(E100="","",IF(E100&gt;0,"Favorable",IF(E100&lt;0,"Défavorable","Néant")))</f>
        <v/>
      </c>
      <c r="H100" s="4">
        <f>IF(F100="","",IF(ABS(F100)&gt;0.15,"Haute",IF(ABS(F100)&gt;0.05,"Moyenne","Basse")))</f>
        <v/>
      </c>
      <c r="I100" s="4" t="n"/>
      <c r="J100" s="4" t="n"/>
      <c r="K100" s="4" t="n"/>
    </row>
    <row r="101">
      <c r="A101" s="7" t="n"/>
      <c r="B101" s="7" t="n"/>
      <c r="C101" s="8" t="n"/>
      <c r="D101" s="8" t="n"/>
      <c r="E101" s="8">
        <f>IF(C101="","",C101-D101)</f>
        <v/>
      </c>
      <c r="F101" s="9">
        <f>IF(C101="","",IFERROR(E101/C101,0))</f>
        <v/>
      </c>
      <c r="G101" s="7">
        <f>IF(E101="","",IF(E101&gt;0,"Favorable",IF(E101&lt;0,"Défavorable","Néant")))</f>
        <v/>
      </c>
      <c r="H101" s="7">
        <f>IF(F101="","",IF(ABS(F101)&gt;0.15,"Haute",IF(ABS(F101)&gt;0.05,"Moyenne","Basse")))</f>
        <v/>
      </c>
      <c r="I101" s="7" t="n"/>
      <c r="J101" s="7" t="n"/>
      <c r="K101" s="7" t="n"/>
    </row>
    <row r="102">
      <c r="A102" s="4" t="n"/>
      <c r="B102" s="4" t="n"/>
      <c r="C102" s="5" t="n"/>
      <c r="D102" s="5" t="n"/>
      <c r="E102" s="5">
        <f>IF(C102="","",C102-D102)</f>
        <v/>
      </c>
      <c r="F102" s="6">
        <f>IF(C102="","",IFERROR(E102/C102,0))</f>
        <v/>
      </c>
      <c r="G102" s="4">
        <f>IF(E102="","",IF(E102&gt;0,"Favorable",IF(E102&lt;0,"Défavorable","Néant")))</f>
        <v/>
      </c>
      <c r="H102" s="4">
        <f>IF(F102="","",IF(ABS(F102)&gt;0.15,"Haute",IF(ABS(F102)&gt;0.05,"Moyenne","Basse")))</f>
        <v/>
      </c>
      <c r="I102" s="4" t="n"/>
      <c r="J102" s="4" t="n"/>
      <c r="K102" s="4" t="n"/>
    </row>
    <row r="103">
      <c r="A103" s="7" t="n"/>
      <c r="B103" s="7" t="n"/>
      <c r="C103" s="8" t="n"/>
      <c r="D103" s="8" t="n"/>
      <c r="E103" s="8">
        <f>IF(C103="","",C103-D103)</f>
        <v/>
      </c>
      <c r="F103" s="9">
        <f>IF(C103="","",IFERROR(E103/C103,0))</f>
        <v/>
      </c>
      <c r="G103" s="7">
        <f>IF(E103="","",IF(E103&gt;0,"Favorable",IF(E103&lt;0,"Défavorable","Néant")))</f>
        <v/>
      </c>
      <c r="H103" s="7">
        <f>IF(F103="","",IF(ABS(F103)&gt;0.15,"Haute",IF(ABS(F103)&gt;0.05,"Moyenne","Basse")))</f>
        <v/>
      </c>
      <c r="I103" s="7" t="n"/>
      <c r="J103" s="7" t="n"/>
      <c r="K103" s="7" t="n"/>
    </row>
    <row r="104">
      <c r="A104" s="4" t="n"/>
      <c r="B104" s="4" t="n"/>
      <c r="C104" s="5" t="n"/>
      <c r="D104" s="5" t="n"/>
      <c r="E104" s="5">
        <f>IF(C104="","",C104-D104)</f>
        <v/>
      </c>
      <c r="F104" s="6">
        <f>IF(C104="","",IFERROR(E104/C104,0))</f>
        <v/>
      </c>
      <c r="G104" s="4">
        <f>IF(E104="","",IF(E104&gt;0,"Favorable",IF(E104&lt;0,"Défavorable","Néant")))</f>
        <v/>
      </c>
      <c r="H104" s="4">
        <f>IF(F104="","",IF(ABS(F104)&gt;0.15,"Haute",IF(ABS(F104)&gt;0.05,"Moyenne","Basse")))</f>
        <v/>
      </c>
      <c r="I104" s="4" t="n"/>
      <c r="J104" s="4" t="n"/>
      <c r="K104" s="4" t="n"/>
    </row>
    <row r="105">
      <c r="A105" s="7" t="n"/>
      <c r="B105" s="7" t="n"/>
      <c r="C105" s="8" t="n"/>
      <c r="D105" s="8" t="n"/>
      <c r="E105" s="8">
        <f>IF(C105="","",C105-D105)</f>
        <v/>
      </c>
      <c r="F105" s="9">
        <f>IF(C105="","",IFERROR(E105/C105,0))</f>
        <v/>
      </c>
      <c r="G105" s="7">
        <f>IF(E105="","",IF(E105&gt;0,"Favorable",IF(E105&lt;0,"Défavorable","Néant")))</f>
        <v/>
      </c>
      <c r="H105" s="7">
        <f>IF(F105="","",IF(ABS(F105)&gt;0.15,"Haute",IF(ABS(F105)&gt;0.05,"Moyenne","Basse")))</f>
        <v/>
      </c>
      <c r="I105" s="7" t="n"/>
      <c r="J105" s="7" t="n"/>
      <c r="K105" s="7" t="n"/>
    </row>
    <row r="106">
      <c r="A106" s="4" t="n"/>
      <c r="B106" s="4" t="n"/>
      <c r="C106" s="5" t="n"/>
      <c r="D106" s="5" t="n"/>
      <c r="E106" s="5">
        <f>IF(C106="","",C106-D106)</f>
        <v/>
      </c>
      <c r="F106" s="6">
        <f>IF(C106="","",IFERROR(E106/C106,0))</f>
        <v/>
      </c>
      <c r="G106" s="4">
        <f>IF(E106="","",IF(E106&gt;0,"Favorable",IF(E106&lt;0,"Défavorable","Néant")))</f>
        <v/>
      </c>
      <c r="H106" s="4">
        <f>IF(F106="","",IF(ABS(F106)&gt;0.15,"Haute",IF(ABS(F106)&gt;0.05,"Moyenne","Basse")))</f>
        <v/>
      </c>
      <c r="I106" s="4" t="n"/>
      <c r="J106" s="4" t="n"/>
      <c r="K106" s="4" t="n"/>
    </row>
    <row r="107">
      <c r="A107" s="7" t="n"/>
      <c r="B107" s="7" t="n"/>
      <c r="C107" s="8" t="n"/>
      <c r="D107" s="8" t="n"/>
      <c r="E107" s="8">
        <f>IF(C107="","",C107-D107)</f>
        <v/>
      </c>
      <c r="F107" s="9">
        <f>IF(C107="","",IFERROR(E107/C107,0))</f>
        <v/>
      </c>
      <c r="G107" s="7">
        <f>IF(E107="","",IF(E107&gt;0,"Favorable",IF(E107&lt;0,"Défavorable","Néant")))</f>
        <v/>
      </c>
      <c r="H107" s="7">
        <f>IF(F107="","",IF(ABS(F107)&gt;0.15,"Haute",IF(ABS(F107)&gt;0.05,"Moyenne","Basse")))</f>
        <v/>
      </c>
      <c r="I107" s="7" t="n"/>
      <c r="J107" s="7" t="n"/>
      <c r="K107" s="7" t="n"/>
    </row>
    <row r="108">
      <c r="A108" s="4" t="n"/>
      <c r="B108" s="4" t="n"/>
      <c r="C108" s="5" t="n"/>
      <c r="D108" s="5" t="n"/>
      <c r="E108" s="5">
        <f>IF(C108="","",C108-D108)</f>
        <v/>
      </c>
      <c r="F108" s="6">
        <f>IF(C108="","",IFERROR(E108/C108,0))</f>
        <v/>
      </c>
      <c r="G108" s="4">
        <f>IF(E108="","",IF(E108&gt;0,"Favorable",IF(E108&lt;0,"Défavorable","Néant")))</f>
        <v/>
      </c>
      <c r="H108" s="4">
        <f>IF(F108="","",IF(ABS(F108)&gt;0.15,"Haute",IF(ABS(F108)&gt;0.05,"Moyenne","Basse")))</f>
        <v/>
      </c>
      <c r="I108" s="4" t="n"/>
      <c r="J108" s="4" t="n"/>
      <c r="K108" s="4" t="n"/>
    </row>
    <row r="109">
      <c r="A109" s="7" t="n"/>
      <c r="B109" s="7" t="n"/>
      <c r="C109" s="8" t="n"/>
      <c r="D109" s="8" t="n"/>
      <c r="E109" s="8">
        <f>IF(C109="","",C109-D109)</f>
        <v/>
      </c>
      <c r="F109" s="9">
        <f>IF(C109="","",IFERROR(E109/C109,0))</f>
        <v/>
      </c>
      <c r="G109" s="7">
        <f>IF(E109="","",IF(E109&gt;0,"Favorable",IF(E109&lt;0,"Défavorable","Néant")))</f>
        <v/>
      </c>
      <c r="H109" s="7">
        <f>IF(F109="","",IF(ABS(F109)&gt;0.15,"Haute",IF(ABS(F109)&gt;0.05,"Moyenne","Basse")))</f>
        <v/>
      </c>
      <c r="I109" s="7" t="n"/>
      <c r="J109" s="7" t="n"/>
      <c r="K109" s="7" t="n"/>
    </row>
    <row r="110">
      <c r="A110" s="4" t="n"/>
      <c r="B110" s="4" t="n"/>
      <c r="C110" s="5" t="n"/>
      <c r="D110" s="5" t="n"/>
      <c r="E110" s="5">
        <f>IF(C110="","",C110-D110)</f>
        <v/>
      </c>
      <c r="F110" s="6">
        <f>IF(C110="","",IFERROR(E110/C110,0))</f>
        <v/>
      </c>
      <c r="G110" s="4">
        <f>IF(E110="","",IF(E110&gt;0,"Favorable",IF(E110&lt;0,"Défavorable","Néant")))</f>
        <v/>
      </c>
      <c r="H110" s="4">
        <f>IF(F110="","",IF(ABS(F110)&gt;0.15,"Haute",IF(ABS(F110)&gt;0.05,"Moyenne","Basse")))</f>
        <v/>
      </c>
      <c r="I110" s="4" t="n"/>
      <c r="J110" s="4" t="n"/>
      <c r="K110" s="4" t="n"/>
    </row>
    <row r="111">
      <c r="A111" s="7" t="n"/>
      <c r="B111" s="7" t="n"/>
      <c r="C111" s="8" t="n"/>
      <c r="D111" s="8" t="n"/>
      <c r="E111" s="8">
        <f>IF(C111="","",C111-D111)</f>
        <v/>
      </c>
      <c r="F111" s="9">
        <f>IF(C111="","",IFERROR(E111/C111,0))</f>
        <v/>
      </c>
      <c r="G111" s="7">
        <f>IF(E111="","",IF(E111&gt;0,"Favorable",IF(E111&lt;0,"Défavorable","Néant")))</f>
        <v/>
      </c>
      <c r="H111" s="7">
        <f>IF(F111="","",IF(ABS(F111)&gt;0.15,"Haute",IF(ABS(F111)&gt;0.05,"Moyenne","Basse")))</f>
        <v/>
      </c>
      <c r="I111" s="7" t="n"/>
      <c r="J111" s="7" t="n"/>
      <c r="K111" s="7" t="n"/>
    </row>
    <row r="112">
      <c r="A112" s="4" t="n"/>
      <c r="B112" s="4" t="n"/>
      <c r="C112" s="5" t="n"/>
      <c r="D112" s="5" t="n"/>
      <c r="E112" s="5">
        <f>IF(C112="","",C112-D112)</f>
        <v/>
      </c>
      <c r="F112" s="6">
        <f>IF(C112="","",IFERROR(E112/C112,0))</f>
        <v/>
      </c>
      <c r="G112" s="4">
        <f>IF(E112="","",IF(E112&gt;0,"Favorable",IF(E112&lt;0,"Défavorable","Néant")))</f>
        <v/>
      </c>
      <c r="H112" s="4">
        <f>IF(F112="","",IF(ABS(F112)&gt;0.15,"Haute",IF(ABS(F112)&gt;0.05,"Moyenne","Basse")))</f>
        <v/>
      </c>
      <c r="I112" s="4" t="n"/>
      <c r="J112" s="4" t="n"/>
      <c r="K112" s="4" t="n"/>
    </row>
    <row r="113">
      <c r="A113" s="7" t="n"/>
      <c r="B113" s="7" t="n"/>
      <c r="C113" s="8" t="n"/>
      <c r="D113" s="8" t="n"/>
      <c r="E113" s="8">
        <f>IF(C113="","",C113-D113)</f>
        <v/>
      </c>
      <c r="F113" s="9">
        <f>IF(C113="","",IFERROR(E113/C113,0))</f>
        <v/>
      </c>
      <c r="G113" s="7">
        <f>IF(E113="","",IF(E113&gt;0,"Favorable",IF(E113&lt;0,"Défavorable","Néant")))</f>
        <v/>
      </c>
      <c r="H113" s="7">
        <f>IF(F113="","",IF(ABS(F113)&gt;0.15,"Haute",IF(ABS(F113)&gt;0.05,"Moyenne","Basse")))</f>
        <v/>
      </c>
      <c r="I113" s="7" t="n"/>
      <c r="J113" s="7" t="n"/>
      <c r="K113" s="7" t="n"/>
    </row>
    <row r="114">
      <c r="A114" s="4" t="n"/>
      <c r="B114" s="4" t="n"/>
      <c r="C114" s="5" t="n"/>
      <c r="D114" s="5" t="n"/>
      <c r="E114" s="5">
        <f>IF(C114="","",C114-D114)</f>
        <v/>
      </c>
      <c r="F114" s="6">
        <f>IF(C114="","",IFERROR(E114/C114,0))</f>
        <v/>
      </c>
      <c r="G114" s="4">
        <f>IF(E114="","",IF(E114&gt;0,"Favorable",IF(E114&lt;0,"Défavorable","Néant")))</f>
        <v/>
      </c>
      <c r="H114" s="4">
        <f>IF(F114="","",IF(ABS(F114)&gt;0.15,"Haute",IF(ABS(F114)&gt;0.05,"Moyenne","Basse")))</f>
        <v/>
      </c>
      <c r="I114" s="4" t="n"/>
      <c r="J114" s="4" t="n"/>
      <c r="K114" s="4" t="n"/>
    </row>
    <row r="115">
      <c r="A115" s="7" t="n"/>
      <c r="B115" s="7" t="n"/>
      <c r="C115" s="8" t="n"/>
      <c r="D115" s="8" t="n"/>
      <c r="E115" s="8">
        <f>IF(C115="","",C115-D115)</f>
        <v/>
      </c>
      <c r="F115" s="9">
        <f>IF(C115="","",IFERROR(E115/C115,0))</f>
        <v/>
      </c>
      <c r="G115" s="7">
        <f>IF(E115="","",IF(E115&gt;0,"Favorable",IF(E115&lt;0,"Défavorable","Néant")))</f>
        <v/>
      </c>
      <c r="H115" s="7">
        <f>IF(F115="","",IF(ABS(F115)&gt;0.15,"Haute",IF(ABS(F115)&gt;0.05,"Moyenne","Basse")))</f>
        <v/>
      </c>
      <c r="I115" s="7" t="n"/>
      <c r="J115" s="7" t="n"/>
      <c r="K115" s="7" t="n"/>
    </row>
  </sheetData>
  <mergeCells count="2">
    <mergeCell ref="A3:P3"/>
    <mergeCell ref="A2:P2"/>
  </mergeCells>
  <conditionalFormatting sqref="H6:H115">
    <cfRule type="cellIs" priority="1" operator="equal" dxfId="2">
      <formula>"Haute"</formula>
    </cfRule>
    <cfRule type="cellIs" priority="2" operator="equal" dxfId="0">
      <formula>"Moyenne"</formula>
    </cfRule>
    <cfRule type="cellIs" priority="3" operator="equal" dxfId="1">
      <formula>"Basse"</formula>
    </cfRule>
  </conditionalFormatting>
  <conditionalFormatting sqref="G6:G115">
    <cfRule type="cellIs" priority="4" operator="equal" dxfId="1">
      <formula>"Favorable"</formula>
    </cfRule>
    <cfRule type="cellIs" priority="5" operator="equal" dxfId="2">
      <formula>"Défavorable"</formula>
    </cfRule>
  </conditionalFormatting>
  <dataValidations count="2">
    <dataValidation sqref="H6:H115" showDropDown="0" showInputMessage="0" showErrorMessage="0" allowBlank="1" errorTitle="Erreur de saisie" error="Valeur non autorisée" promptTitle="Liste déroulante" prompt="Sélectionnez dans la liste" type="list">
      <formula1>'F02 - _Lists'!$M$6:$M$35</formula1>
    </dataValidation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_Lists'!$A$6:$A$35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C6BC0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4" customWidth="1" min="4" max="4"/>
    <col width="20" customWidth="1" min="5" max="5"/>
    <col width="20" customWidth="1" min="6" max="6"/>
    <col width="18" customWidth="1" min="7" max="7"/>
    <col width="16" customWidth="1" min="8" max="8"/>
    <col width="14" customWidth="1" min="9" max="9"/>
    <col width="26" customWidth="1" min="10" max="10"/>
  </cols>
  <sheetData>
    <row r="2" ht="25" customHeight="1">
      <c r="A2" s="1" t="inlineStr">
        <is>
          <t>DOMAINE 26 — 11-OPTIMISATION DES COÛTS RH</t>
        </is>
      </c>
    </row>
    <row r="3" ht="18" customHeight="1">
      <c r="A3" s="2" t="inlineStr">
        <is>
          <t>TABLEAU DYNAMIQUE — Pistes d'économies et gains réalisés</t>
        </is>
      </c>
    </row>
    <row r="5">
      <c r="A5" s="3" t="inlineStr">
        <is>
          <t>Code Action</t>
        </is>
      </c>
      <c r="B5" s="3" t="inlineStr">
        <is>
          <t>Département</t>
        </is>
      </c>
      <c r="C5" s="3" t="inlineStr">
        <is>
          <t>Poste Budgétaire</t>
        </is>
      </c>
      <c r="D5" s="3" t="inlineStr">
        <is>
          <t>Type d'Économie</t>
        </is>
      </c>
      <c r="E5" s="3" t="inlineStr">
        <is>
          <t>Économie Prévue (FCFA)</t>
        </is>
      </c>
      <c r="F5" s="3" t="inlineStr">
        <is>
          <t>Économie Réalisée (FCFA)</t>
        </is>
      </c>
      <c r="G5" s="3" t="inlineStr">
        <is>
          <t>Taux Réalisation (%)</t>
        </is>
      </c>
      <c r="H5" s="3" t="inlineStr">
        <is>
          <t>Date Mise en Œuvre</t>
        </is>
      </c>
      <c r="I5" s="3" t="inlineStr">
        <is>
          <t>Statut</t>
        </is>
      </c>
      <c r="J5" s="3" t="inlineStr">
        <is>
          <t>Commentaire</t>
        </is>
      </c>
    </row>
    <row r="6">
      <c r="A6" s="4" t="inlineStr">
        <is>
          <t>OPT-001</t>
        </is>
      </c>
      <c r="B6" s="4" t="inlineStr">
        <is>
          <t>Cuisine &amp; Restauration</t>
        </is>
      </c>
      <c r="C6" s="4" t="inlineStr">
        <is>
          <t>Masse salariale</t>
        </is>
      </c>
      <c r="D6" s="4" t="inlineStr">
        <is>
          <t>Réduction heures supp.</t>
        </is>
      </c>
      <c r="E6" s="5" t="n">
        <v>5000000</v>
      </c>
      <c r="F6" s="5" t="n">
        <v>3200000</v>
      </c>
      <c r="G6" s="6">
        <f>IFERROR(F6/E6,0)</f>
        <v/>
      </c>
      <c r="H6" s="14" t="n">
        <v>45689</v>
      </c>
      <c r="I6" s="4" t="inlineStr">
        <is>
          <t>En cours</t>
        </is>
      </c>
      <c r="J6" s="4" t="inlineStr">
        <is>
          <t>Planning optimisé</t>
        </is>
      </c>
    </row>
    <row r="7">
      <c r="A7" s="7" t="inlineStr">
        <is>
          <t>OPT-002</t>
        </is>
      </c>
      <c r="B7" s="7" t="inlineStr">
        <is>
          <t>Tous départements</t>
        </is>
      </c>
      <c r="C7" s="7" t="inlineStr">
        <is>
          <t>Charges patronales</t>
        </is>
      </c>
      <c r="D7" s="7" t="inlineStr">
        <is>
          <t>Réduction cotisations</t>
        </is>
      </c>
      <c r="E7" s="8" t="n">
        <v>3000000</v>
      </c>
      <c r="F7" s="8" t="n">
        <v>1800000</v>
      </c>
      <c r="G7" s="9">
        <f>IFERROR(F7/E7,0)</f>
        <v/>
      </c>
      <c r="H7" s="15" t="n">
        <v>45672</v>
      </c>
      <c r="I7" s="7" t="inlineStr">
        <is>
          <t>En cours</t>
        </is>
      </c>
      <c r="J7" s="7" t="inlineStr">
        <is>
          <t>Dispositif réduction Fillon</t>
        </is>
      </c>
    </row>
    <row r="8">
      <c r="A8" s="4" t="inlineStr">
        <is>
          <t>OPT-003</t>
        </is>
      </c>
      <c r="B8" s="4" t="inlineStr">
        <is>
          <t>Direction Générale</t>
        </is>
      </c>
      <c r="C8" s="4" t="inlineStr">
        <is>
          <t>Primes &amp; indemnités</t>
        </is>
      </c>
      <c r="D8" s="4" t="inlineStr">
        <is>
          <t>Révision grille primes</t>
        </is>
      </c>
      <c r="E8" s="5" t="n">
        <v>4000000</v>
      </c>
      <c r="F8" s="5" t="n">
        <v>2500000</v>
      </c>
      <c r="G8" s="6">
        <f>IFERROR(F8/E8,0)</f>
        <v/>
      </c>
      <c r="H8" s="14" t="n">
        <v>45717</v>
      </c>
      <c r="I8" s="4" t="inlineStr">
        <is>
          <t>En cours</t>
        </is>
      </c>
      <c r="J8" s="4" t="inlineStr">
        <is>
          <t>Grille actualisée Q2</t>
        </is>
      </c>
    </row>
    <row r="9">
      <c r="A9" s="7" t="inlineStr">
        <is>
          <t>OPT-004</t>
        </is>
      </c>
      <c r="B9" s="7" t="inlineStr">
        <is>
          <t>Ressources Humaines</t>
        </is>
      </c>
      <c r="C9" s="7" t="inlineStr">
        <is>
          <t>Recrutement</t>
        </is>
      </c>
      <c r="D9" s="7" t="inlineStr">
        <is>
          <t>Internalisation recrutement</t>
        </is>
      </c>
      <c r="E9" s="8" t="n">
        <v>2000000</v>
      </c>
      <c r="F9" s="8" t="n">
        <v>1200000</v>
      </c>
      <c r="G9" s="9">
        <f>IFERROR(F9/E9,0)</f>
        <v/>
      </c>
      <c r="H9" s="15" t="n">
        <v>45658</v>
      </c>
      <c r="I9" s="7" t="inlineStr">
        <is>
          <t>En cours</t>
        </is>
      </c>
      <c r="J9" s="7" t="inlineStr">
        <is>
          <t>Outil ATS interne déployé</t>
        </is>
      </c>
    </row>
    <row r="10">
      <c r="A10" s="4" t="inlineStr">
        <is>
          <t>OPT-005</t>
        </is>
      </c>
      <c r="B10" s="4" t="inlineStr">
        <is>
          <t>Tous départements</t>
        </is>
      </c>
      <c r="C10" s="4" t="inlineStr">
        <is>
          <t>Avantages sociaux</t>
        </is>
      </c>
      <c r="D10" s="4" t="inlineStr">
        <is>
          <t>Renégociation mutuelle</t>
        </is>
      </c>
      <c r="E10" s="5" t="n">
        <v>1500000</v>
      </c>
      <c r="F10" s="5" t="n">
        <v>900000</v>
      </c>
      <c r="G10" s="6">
        <f>IFERROR(F10/E10,0)</f>
        <v/>
      </c>
      <c r="H10" s="14" t="n">
        <v>45748</v>
      </c>
      <c r="I10" s="4" t="inlineStr">
        <is>
          <t>Planifiée</t>
        </is>
      </c>
      <c r="J10" s="4" t="inlineStr">
        <is>
          <t>Appel d'offres en cours</t>
        </is>
      </c>
    </row>
    <row r="11">
      <c r="A11" s="7" t="inlineStr">
        <is>
          <t>OPT-006</t>
        </is>
      </c>
      <c r="B11" s="7" t="inlineStr">
        <is>
          <t>Ressources Humaines</t>
        </is>
      </c>
      <c r="C11" s="7" t="inlineStr">
        <is>
          <t>Formation</t>
        </is>
      </c>
      <c r="D11" s="7" t="inlineStr">
        <is>
          <t>E-learning</t>
        </is>
      </c>
      <c r="E11" s="8" t="n">
        <v>2500000</v>
      </c>
      <c r="F11" s="8" t="n">
        <v>1500000</v>
      </c>
      <c r="G11" s="9">
        <f>IFERROR(F11/E11,0)</f>
        <v/>
      </c>
      <c r="H11" s="15" t="n">
        <v>45703</v>
      </c>
      <c r="I11" s="7" t="inlineStr">
        <is>
          <t>En cours</t>
        </is>
      </c>
      <c r="J11" s="7" t="inlineStr">
        <is>
          <t>Plateforme déployée</t>
        </is>
      </c>
    </row>
    <row r="12">
      <c r="A12" s="4" t="inlineStr">
        <is>
          <t>OPT-007</t>
        </is>
      </c>
      <c r="B12" s="4" t="inlineStr">
        <is>
          <t>Finance &amp; Comptabilité</t>
        </is>
      </c>
      <c r="C12" s="4" t="inlineStr">
        <is>
          <t>Fiscalité salariale</t>
        </is>
      </c>
      <c r="D12" s="4" t="inlineStr">
        <is>
          <t>Crédit impôt apprentissage</t>
        </is>
      </c>
      <c r="E12" s="5" t="n">
        <v>800000</v>
      </c>
      <c r="F12" s="5" t="n">
        <v>600000</v>
      </c>
      <c r="G12" s="6">
        <f>IFERROR(F12/E12,0)</f>
        <v/>
      </c>
      <c r="H12" s="14" t="n">
        <v>45658</v>
      </c>
      <c r="I12" s="4" t="inlineStr">
        <is>
          <t>En cours</t>
        </is>
      </c>
      <c r="J12" s="4" t="inlineStr">
        <is>
          <t>Déclaration en cours</t>
        </is>
      </c>
    </row>
    <row r="13">
      <c r="A13" s="7" t="inlineStr">
        <is>
          <t>OPT-008</t>
        </is>
      </c>
      <c r="B13" s="7" t="inlineStr">
        <is>
          <t>Maintenance &amp; Technique</t>
        </is>
      </c>
      <c r="C13" s="7" t="inlineStr">
        <is>
          <t>Masse salariale</t>
        </is>
      </c>
      <c r="D13" s="7" t="inlineStr">
        <is>
          <t>Polyvalence agents</t>
        </is>
      </c>
      <c r="E13" s="8" t="n">
        <v>1800000</v>
      </c>
      <c r="F13" s="8" t="n">
        <v>700000</v>
      </c>
      <c r="G13" s="9">
        <f>IFERROR(F13/E13,0)</f>
        <v/>
      </c>
      <c r="H13" s="15" t="n">
        <v>45731</v>
      </c>
      <c r="I13" s="7" t="inlineStr">
        <is>
          <t>En cours</t>
        </is>
      </c>
      <c r="J13" s="7" t="inlineStr">
        <is>
          <t>Formation croisée en cours</t>
        </is>
      </c>
    </row>
    <row r="14">
      <c r="A14" s="4" t="n"/>
      <c r="B14" s="4" t="n"/>
      <c r="C14" s="4" t="n"/>
      <c r="D14" s="4" t="n"/>
      <c r="E14" s="5" t="n"/>
      <c r="F14" s="5" t="n"/>
      <c r="G14" s="6">
        <f>IF(E14="","",IFERROR(F14/E14,0))</f>
        <v/>
      </c>
      <c r="H14" s="4" t="n"/>
      <c r="I14" s="4" t="n"/>
      <c r="J14" s="4" t="n"/>
    </row>
    <row r="15">
      <c r="A15" s="7" t="n"/>
      <c r="B15" s="7" t="n"/>
      <c r="C15" s="7" t="n"/>
      <c r="D15" s="7" t="n"/>
      <c r="E15" s="8" t="n"/>
      <c r="F15" s="8" t="n"/>
      <c r="G15" s="9">
        <f>IF(E15="","",IFERROR(F15/E15,0))</f>
        <v/>
      </c>
      <c r="H15" s="7" t="n"/>
      <c r="I15" s="7" t="n"/>
      <c r="J15" s="7" t="n"/>
    </row>
    <row r="16">
      <c r="A16" s="4" t="n"/>
      <c r="B16" s="4" t="n"/>
      <c r="C16" s="4" t="n"/>
      <c r="D16" s="4" t="n"/>
      <c r="E16" s="5" t="n"/>
      <c r="F16" s="5" t="n"/>
      <c r="G16" s="6">
        <f>IF(E16="","",IFERROR(F16/E16,0))</f>
        <v/>
      </c>
      <c r="H16" s="4" t="n"/>
      <c r="I16" s="4" t="n"/>
      <c r="J16" s="4" t="n"/>
    </row>
    <row r="17">
      <c r="A17" s="7" t="n"/>
      <c r="B17" s="7" t="n"/>
      <c r="C17" s="7" t="n"/>
      <c r="D17" s="7" t="n"/>
      <c r="E17" s="8" t="n"/>
      <c r="F17" s="8" t="n"/>
      <c r="G17" s="9">
        <f>IF(E17="","",IFERROR(F17/E17,0))</f>
        <v/>
      </c>
      <c r="H17" s="7" t="n"/>
      <c r="I17" s="7" t="n"/>
      <c r="J17" s="7" t="n"/>
    </row>
    <row r="18">
      <c r="A18" s="4" t="n"/>
      <c r="B18" s="4" t="n"/>
      <c r="C18" s="4" t="n"/>
      <c r="D18" s="4" t="n"/>
      <c r="E18" s="5" t="n"/>
      <c r="F18" s="5" t="n"/>
      <c r="G18" s="6">
        <f>IF(E18="","",IFERROR(F18/E18,0))</f>
        <v/>
      </c>
      <c r="H18" s="4" t="n"/>
      <c r="I18" s="4" t="n"/>
      <c r="J18" s="4" t="n"/>
    </row>
    <row r="19">
      <c r="A19" s="7" t="n"/>
      <c r="B19" s="7" t="n"/>
      <c r="C19" s="7" t="n"/>
      <c r="D19" s="7" t="n"/>
      <c r="E19" s="8" t="n"/>
      <c r="F19" s="8" t="n"/>
      <c r="G19" s="9">
        <f>IF(E19="","",IFERROR(F19/E19,0))</f>
        <v/>
      </c>
      <c r="H19" s="7" t="n"/>
      <c r="I19" s="7" t="n"/>
      <c r="J19" s="7" t="n"/>
    </row>
    <row r="20">
      <c r="A20" s="4" t="n"/>
      <c r="B20" s="4" t="n"/>
      <c r="C20" s="4" t="n"/>
      <c r="D20" s="4" t="n"/>
      <c r="E20" s="5" t="n"/>
      <c r="F20" s="5" t="n"/>
      <c r="G20" s="6">
        <f>IF(E20="","",IFERROR(F20/E20,0))</f>
        <v/>
      </c>
      <c r="H20" s="4" t="n"/>
      <c r="I20" s="4" t="n"/>
      <c r="J20" s="4" t="n"/>
    </row>
    <row r="21">
      <c r="A21" s="7" t="n"/>
      <c r="B21" s="7" t="n"/>
      <c r="C21" s="7" t="n"/>
      <c r="D21" s="7" t="n"/>
      <c r="E21" s="8" t="n"/>
      <c r="F21" s="8" t="n"/>
      <c r="G21" s="9">
        <f>IF(E21="","",IFERROR(F21/E21,0))</f>
        <v/>
      </c>
      <c r="H21" s="7" t="n"/>
      <c r="I21" s="7" t="n"/>
      <c r="J21" s="7" t="n"/>
    </row>
    <row r="22">
      <c r="A22" s="4" t="n"/>
      <c r="B22" s="4" t="n"/>
      <c r="C22" s="4" t="n"/>
      <c r="D22" s="4" t="n"/>
      <c r="E22" s="5" t="n"/>
      <c r="F22" s="5" t="n"/>
      <c r="G22" s="6">
        <f>IF(E22="","",IFERROR(F22/E22,0))</f>
        <v/>
      </c>
      <c r="H22" s="4" t="n"/>
      <c r="I22" s="4" t="n"/>
      <c r="J22" s="4" t="n"/>
    </row>
    <row r="23">
      <c r="A23" s="7" t="n"/>
      <c r="B23" s="7" t="n"/>
      <c r="C23" s="7" t="n"/>
      <c r="D23" s="7" t="n"/>
      <c r="E23" s="8" t="n"/>
      <c r="F23" s="8" t="n"/>
      <c r="G23" s="9">
        <f>IF(E23="","",IFERROR(F23/E23,0))</f>
        <v/>
      </c>
      <c r="H23" s="7" t="n"/>
      <c r="I23" s="7" t="n"/>
      <c r="J23" s="7" t="n"/>
    </row>
    <row r="24">
      <c r="A24" s="4" t="n"/>
      <c r="B24" s="4" t="n"/>
      <c r="C24" s="4" t="n"/>
      <c r="D24" s="4" t="n"/>
      <c r="E24" s="5" t="n"/>
      <c r="F24" s="5" t="n"/>
      <c r="G24" s="6">
        <f>IF(E24="","",IFERROR(F24/E24,0))</f>
        <v/>
      </c>
      <c r="H24" s="4" t="n"/>
      <c r="I24" s="4" t="n"/>
      <c r="J24" s="4" t="n"/>
    </row>
    <row r="25">
      <c r="A25" s="7" t="n"/>
      <c r="B25" s="7" t="n"/>
      <c r="C25" s="7" t="n"/>
      <c r="D25" s="7" t="n"/>
      <c r="E25" s="8" t="n"/>
      <c r="F25" s="8" t="n"/>
      <c r="G25" s="9">
        <f>IF(E25="","",IFERROR(F25/E25,0))</f>
        <v/>
      </c>
      <c r="H25" s="7" t="n"/>
      <c r="I25" s="7" t="n"/>
      <c r="J25" s="7" t="n"/>
    </row>
    <row r="26">
      <c r="A26" s="4" t="n"/>
      <c r="B26" s="4" t="n"/>
      <c r="C26" s="4" t="n"/>
      <c r="D26" s="4" t="n"/>
      <c r="E26" s="5" t="n"/>
      <c r="F26" s="5" t="n"/>
      <c r="G26" s="6">
        <f>IF(E26="","",IFERROR(F26/E26,0))</f>
        <v/>
      </c>
      <c r="H26" s="4" t="n"/>
      <c r="I26" s="4" t="n"/>
      <c r="J26" s="4" t="n"/>
    </row>
    <row r="27">
      <c r="A27" s="7" t="n"/>
      <c r="B27" s="7" t="n"/>
      <c r="C27" s="7" t="n"/>
      <c r="D27" s="7" t="n"/>
      <c r="E27" s="8" t="n"/>
      <c r="F27" s="8" t="n"/>
      <c r="G27" s="9">
        <f>IF(E27="","",IFERROR(F27/E27,0))</f>
        <v/>
      </c>
      <c r="H27" s="7" t="n"/>
      <c r="I27" s="7" t="n"/>
      <c r="J27" s="7" t="n"/>
    </row>
    <row r="28">
      <c r="A28" s="4" t="n"/>
      <c r="B28" s="4" t="n"/>
      <c r="C28" s="4" t="n"/>
      <c r="D28" s="4" t="n"/>
      <c r="E28" s="5" t="n"/>
      <c r="F28" s="5" t="n"/>
      <c r="G28" s="6">
        <f>IF(E28="","",IFERROR(F28/E28,0))</f>
        <v/>
      </c>
      <c r="H28" s="4" t="n"/>
      <c r="I28" s="4" t="n"/>
      <c r="J28" s="4" t="n"/>
    </row>
    <row r="29">
      <c r="A29" s="7" t="n"/>
      <c r="B29" s="7" t="n"/>
      <c r="C29" s="7" t="n"/>
      <c r="D29" s="7" t="n"/>
      <c r="E29" s="8" t="n"/>
      <c r="F29" s="8" t="n"/>
      <c r="G29" s="9">
        <f>IF(E29="","",IFERROR(F29/E29,0))</f>
        <v/>
      </c>
      <c r="H29" s="7" t="n"/>
      <c r="I29" s="7" t="n"/>
      <c r="J29" s="7" t="n"/>
    </row>
    <row r="30">
      <c r="A30" s="4" t="n"/>
      <c r="B30" s="4" t="n"/>
      <c r="C30" s="4" t="n"/>
      <c r="D30" s="4" t="n"/>
      <c r="E30" s="5" t="n"/>
      <c r="F30" s="5" t="n"/>
      <c r="G30" s="6">
        <f>IF(E30="","",IFERROR(F30/E30,0))</f>
        <v/>
      </c>
      <c r="H30" s="4" t="n"/>
      <c r="I30" s="4" t="n"/>
      <c r="J30" s="4" t="n"/>
    </row>
    <row r="31">
      <c r="A31" s="7" t="n"/>
      <c r="B31" s="7" t="n"/>
      <c r="C31" s="7" t="n"/>
      <c r="D31" s="7" t="n"/>
      <c r="E31" s="8" t="n"/>
      <c r="F31" s="8" t="n"/>
      <c r="G31" s="9">
        <f>IF(E31="","",IFERROR(F31/E31,0))</f>
        <v/>
      </c>
      <c r="H31" s="7" t="n"/>
      <c r="I31" s="7" t="n"/>
      <c r="J31" s="7" t="n"/>
    </row>
    <row r="32">
      <c r="A32" s="4" t="n"/>
      <c r="B32" s="4" t="n"/>
      <c r="C32" s="4" t="n"/>
      <c r="D32" s="4" t="n"/>
      <c r="E32" s="5" t="n"/>
      <c r="F32" s="5" t="n"/>
      <c r="G32" s="6">
        <f>IF(E32="","",IFERROR(F32/E32,0))</f>
        <v/>
      </c>
      <c r="H32" s="4" t="n"/>
      <c r="I32" s="4" t="n"/>
      <c r="J32" s="4" t="n"/>
    </row>
    <row r="33">
      <c r="A33" s="7" t="n"/>
      <c r="B33" s="7" t="n"/>
      <c r="C33" s="7" t="n"/>
      <c r="D33" s="7" t="n"/>
      <c r="E33" s="8" t="n"/>
      <c r="F33" s="8" t="n"/>
      <c r="G33" s="9">
        <f>IF(E33="","",IFERROR(F33/E33,0))</f>
        <v/>
      </c>
      <c r="H33" s="7" t="n"/>
      <c r="I33" s="7" t="n"/>
      <c r="J33" s="7" t="n"/>
    </row>
    <row r="34">
      <c r="A34" s="4" t="n"/>
      <c r="B34" s="4" t="n"/>
      <c r="C34" s="4" t="n"/>
      <c r="D34" s="4" t="n"/>
      <c r="E34" s="5" t="n"/>
      <c r="F34" s="5" t="n"/>
      <c r="G34" s="6">
        <f>IF(E34="","",IFERROR(F34/E34,0))</f>
        <v/>
      </c>
      <c r="H34" s="4" t="n"/>
      <c r="I34" s="4" t="n"/>
      <c r="J34" s="4" t="n"/>
    </row>
    <row r="35">
      <c r="A35" s="7" t="n"/>
      <c r="B35" s="7" t="n"/>
      <c r="C35" s="7" t="n"/>
      <c r="D35" s="7" t="n"/>
      <c r="E35" s="8" t="n"/>
      <c r="F35" s="8" t="n"/>
      <c r="G35" s="9">
        <f>IF(E35="","",IFERROR(F35/E35,0))</f>
        <v/>
      </c>
      <c r="H35" s="7" t="n"/>
      <c r="I35" s="7" t="n"/>
      <c r="J35" s="7" t="n"/>
    </row>
    <row r="36">
      <c r="A36" s="4" t="n"/>
      <c r="B36" s="4" t="n"/>
      <c r="C36" s="4" t="n"/>
      <c r="D36" s="4" t="n"/>
      <c r="E36" s="5" t="n"/>
      <c r="F36" s="5" t="n"/>
      <c r="G36" s="6">
        <f>IF(E36="","",IFERROR(F36/E36,0))</f>
        <v/>
      </c>
      <c r="H36" s="4" t="n"/>
      <c r="I36" s="4" t="n"/>
      <c r="J36" s="4" t="n"/>
    </row>
    <row r="37">
      <c r="A37" s="7" t="n"/>
      <c r="B37" s="7" t="n"/>
      <c r="C37" s="7" t="n"/>
      <c r="D37" s="7" t="n"/>
      <c r="E37" s="8" t="n"/>
      <c r="F37" s="8" t="n"/>
      <c r="G37" s="9">
        <f>IF(E37="","",IFERROR(F37/E37,0))</f>
        <v/>
      </c>
      <c r="H37" s="7" t="n"/>
      <c r="I37" s="7" t="n"/>
      <c r="J37" s="7" t="n"/>
    </row>
    <row r="38">
      <c r="A38" s="4" t="n"/>
      <c r="B38" s="4" t="n"/>
      <c r="C38" s="4" t="n"/>
      <c r="D38" s="4" t="n"/>
      <c r="E38" s="5" t="n"/>
      <c r="F38" s="5" t="n"/>
      <c r="G38" s="6">
        <f>IF(E38="","",IFERROR(F38/E38,0))</f>
        <v/>
      </c>
      <c r="H38" s="4" t="n"/>
      <c r="I38" s="4" t="n"/>
      <c r="J38" s="4" t="n"/>
    </row>
    <row r="39">
      <c r="A39" s="7" t="n"/>
      <c r="B39" s="7" t="n"/>
      <c r="C39" s="7" t="n"/>
      <c r="D39" s="7" t="n"/>
      <c r="E39" s="8" t="n"/>
      <c r="F39" s="8" t="n"/>
      <c r="G39" s="9">
        <f>IF(E39="","",IFERROR(F39/E39,0))</f>
        <v/>
      </c>
      <c r="H39" s="7" t="n"/>
      <c r="I39" s="7" t="n"/>
      <c r="J39" s="7" t="n"/>
    </row>
    <row r="40">
      <c r="A40" s="4" t="n"/>
      <c r="B40" s="4" t="n"/>
      <c r="C40" s="4" t="n"/>
      <c r="D40" s="4" t="n"/>
      <c r="E40" s="5" t="n"/>
      <c r="F40" s="5" t="n"/>
      <c r="G40" s="6">
        <f>IF(E40="","",IFERROR(F40/E40,0))</f>
        <v/>
      </c>
      <c r="H40" s="4" t="n"/>
      <c r="I40" s="4" t="n"/>
      <c r="J40" s="4" t="n"/>
    </row>
    <row r="41">
      <c r="A41" s="7" t="n"/>
      <c r="B41" s="7" t="n"/>
      <c r="C41" s="7" t="n"/>
      <c r="D41" s="7" t="n"/>
      <c r="E41" s="8" t="n"/>
      <c r="F41" s="8" t="n"/>
      <c r="G41" s="9">
        <f>IF(E41="","",IFERROR(F41/E41,0))</f>
        <v/>
      </c>
      <c r="H41" s="7" t="n"/>
      <c r="I41" s="7" t="n"/>
      <c r="J41" s="7" t="n"/>
    </row>
    <row r="42">
      <c r="A42" s="4" t="n"/>
      <c r="B42" s="4" t="n"/>
      <c r="C42" s="4" t="n"/>
      <c r="D42" s="4" t="n"/>
      <c r="E42" s="5" t="n"/>
      <c r="F42" s="5" t="n"/>
      <c r="G42" s="6">
        <f>IF(E42="","",IFERROR(F42/E42,0))</f>
        <v/>
      </c>
      <c r="H42" s="4" t="n"/>
      <c r="I42" s="4" t="n"/>
      <c r="J42" s="4" t="n"/>
    </row>
    <row r="43">
      <c r="A43" s="7" t="n"/>
      <c r="B43" s="7" t="n"/>
      <c r="C43" s="7" t="n"/>
      <c r="D43" s="7" t="n"/>
      <c r="E43" s="8" t="n"/>
      <c r="F43" s="8" t="n"/>
      <c r="G43" s="9">
        <f>IF(E43="","",IFERROR(F43/E43,0))</f>
        <v/>
      </c>
      <c r="H43" s="7" t="n"/>
      <c r="I43" s="7" t="n"/>
      <c r="J43" s="7" t="n"/>
    </row>
    <row r="44">
      <c r="A44" s="4" t="n"/>
      <c r="B44" s="4" t="n"/>
      <c r="C44" s="4" t="n"/>
      <c r="D44" s="4" t="n"/>
      <c r="E44" s="5" t="n"/>
      <c r="F44" s="5" t="n"/>
      <c r="G44" s="6">
        <f>IF(E44="","",IFERROR(F44/E44,0))</f>
        <v/>
      </c>
      <c r="H44" s="4" t="n"/>
      <c r="I44" s="4" t="n"/>
      <c r="J44" s="4" t="n"/>
    </row>
    <row r="45">
      <c r="A45" s="7" t="n"/>
      <c r="B45" s="7" t="n"/>
      <c r="C45" s="7" t="n"/>
      <c r="D45" s="7" t="n"/>
      <c r="E45" s="8" t="n"/>
      <c r="F45" s="8" t="n"/>
      <c r="G45" s="9">
        <f>IF(E45="","",IFERROR(F45/E45,0))</f>
        <v/>
      </c>
      <c r="H45" s="7" t="n"/>
      <c r="I45" s="7" t="n"/>
      <c r="J45" s="7" t="n"/>
    </row>
    <row r="46">
      <c r="A46" s="4" t="n"/>
      <c r="B46" s="4" t="n"/>
      <c r="C46" s="4" t="n"/>
      <c r="D46" s="4" t="n"/>
      <c r="E46" s="5" t="n"/>
      <c r="F46" s="5" t="n"/>
      <c r="G46" s="6">
        <f>IF(E46="","",IFERROR(F46/E46,0))</f>
        <v/>
      </c>
      <c r="H46" s="4" t="n"/>
      <c r="I46" s="4" t="n"/>
      <c r="J46" s="4" t="n"/>
    </row>
    <row r="47">
      <c r="A47" s="7" t="n"/>
      <c r="B47" s="7" t="n"/>
      <c r="C47" s="7" t="n"/>
      <c r="D47" s="7" t="n"/>
      <c r="E47" s="8" t="n"/>
      <c r="F47" s="8" t="n"/>
      <c r="G47" s="9">
        <f>IF(E47="","",IFERROR(F47/E47,0))</f>
        <v/>
      </c>
      <c r="H47" s="7" t="n"/>
      <c r="I47" s="7" t="n"/>
      <c r="J47" s="7" t="n"/>
    </row>
    <row r="48">
      <c r="A48" s="4" t="n"/>
      <c r="B48" s="4" t="n"/>
      <c r="C48" s="4" t="n"/>
      <c r="D48" s="4" t="n"/>
      <c r="E48" s="5" t="n"/>
      <c r="F48" s="5" t="n"/>
      <c r="G48" s="6">
        <f>IF(E48="","",IFERROR(F48/E48,0))</f>
        <v/>
      </c>
      <c r="H48" s="4" t="n"/>
      <c r="I48" s="4" t="n"/>
      <c r="J48" s="4" t="n"/>
    </row>
    <row r="49">
      <c r="A49" s="7" t="n"/>
      <c r="B49" s="7" t="n"/>
      <c r="C49" s="7" t="n"/>
      <c r="D49" s="7" t="n"/>
      <c r="E49" s="8" t="n"/>
      <c r="F49" s="8" t="n"/>
      <c r="G49" s="9">
        <f>IF(E49="","",IFERROR(F49/E49,0))</f>
        <v/>
      </c>
      <c r="H49" s="7" t="n"/>
      <c r="I49" s="7" t="n"/>
      <c r="J49" s="7" t="n"/>
    </row>
    <row r="50">
      <c r="A50" s="4" t="n"/>
      <c r="B50" s="4" t="n"/>
      <c r="C50" s="4" t="n"/>
      <c r="D50" s="4" t="n"/>
      <c r="E50" s="5" t="n"/>
      <c r="F50" s="5" t="n"/>
      <c r="G50" s="6">
        <f>IF(E50="","",IFERROR(F50/E50,0))</f>
        <v/>
      </c>
      <c r="H50" s="4" t="n"/>
      <c r="I50" s="4" t="n"/>
      <c r="J50" s="4" t="n"/>
    </row>
    <row r="51">
      <c r="A51" s="7" t="n"/>
      <c r="B51" s="7" t="n"/>
      <c r="C51" s="7" t="n"/>
      <c r="D51" s="7" t="n"/>
      <c r="E51" s="8" t="n"/>
      <c r="F51" s="8" t="n"/>
      <c r="G51" s="9">
        <f>IF(E51="","",IFERROR(F51/E51,0))</f>
        <v/>
      </c>
      <c r="H51" s="7" t="n"/>
      <c r="I51" s="7" t="n"/>
      <c r="J51" s="7" t="n"/>
    </row>
    <row r="52">
      <c r="A52" s="4" t="n"/>
      <c r="B52" s="4" t="n"/>
      <c r="C52" s="4" t="n"/>
      <c r="D52" s="4" t="n"/>
      <c r="E52" s="5" t="n"/>
      <c r="F52" s="5" t="n"/>
      <c r="G52" s="6">
        <f>IF(E52="","",IFERROR(F52/E52,0))</f>
        <v/>
      </c>
      <c r="H52" s="4" t="n"/>
      <c r="I52" s="4" t="n"/>
      <c r="J52" s="4" t="n"/>
    </row>
    <row r="53">
      <c r="A53" s="7" t="n"/>
      <c r="B53" s="7" t="n"/>
      <c r="C53" s="7" t="n"/>
      <c r="D53" s="7" t="n"/>
      <c r="E53" s="8" t="n"/>
      <c r="F53" s="8" t="n"/>
      <c r="G53" s="9">
        <f>IF(E53="","",IFERROR(F53/E53,0))</f>
        <v/>
      </c>
      <c r="H53" s="7" t="n"/>
      <c r="I53" s="7" t="n"/>
      <c r="J53" s="7" t="n"/>
    </row>
    <row r="54">
      <c r="A54" s="4" t="n"/>
      <c r="B54" s="4" t="n"/>
      <c r="C54" s="4" t="n"/>
      <c r="D54" s="4" t="n"/>
      <c r="E54" s="5" t="n"/>
      <c r="F54" s="5" t="n"/>
      <c r="G54" s="6">
        <f>IF(E54="","",IFERROR(F54/E54,0))</f>
        <v/>
      </c>
      <c r="H54" s="4" t="n"/>
      <c r="I54" s="4" t="n"/>
      <c r="J54" s="4" t="n"/>
    </row>
    <row r="55">
      <c r="A55" s="7" t="n"/>
      <c r="B55" s="7" t="n"/>
      <c r="C55" s="7" t="n"/>
      <c r="D55" s="7" t="n"/>
      <c r="E55" s="8" t="n"/>
      <c r="F55" s="8" t="n"/>
      <c r="G55" s="9">
        <f>IF(E55="","",IFERROR(F55/E55,0))</f>
        <v/>
      </c>
      <c r="H55" s="7" t="n"/>
      <c r="I55" s="7" t="n"/>
      <c r="J55" s="7" t="n"/>
    </row>
    <row r="56">
      <c r="A56" s="4" t="n"/>
      <c r="B56" s="4" t="n"/>
      <c r="C56" s="4" t="n"/>
      <c r="D56" s="4" t="n"/>
      <c r="E56" s="5" t="n"/>
      <c r="F56" s="5" t="n"/>
      <c r="G56" s="6">
        <f>IF(E56="","",IFERROR(F56/E56,0))</f>
        <v/>
      </c>
      <c r="H56" s="4" t="n"/>
      <c r="I56" s="4" t="n"/>
      <c r="J56" s="4" t="n"/>
    </row>
    <row r="57">
      <c r="A57" s="7" t="n"/>
      <c r="B57" s="7" t="n"/>
      <c r="C57" s="7" t="n"/>
      <c r="D57" s="7" t="n"/>
      <c r="E57" s="8" t="n"/>
      <c r="F57" s="8" t="n"/>
      <c r="G57" s="9">
        <f>IF(E57="","",IFERROR(F57/E57,0))</f>
        <v/>
      </c>
      <c r="H57" s="7" t="n"/>
      <c r="I57" s="7" t="n"/>
      <c r="J57" s="7" t="n"/>
    </row>
    <row r="58">
      <c r="A58" s="4" t="n"/>
      <c r="B58" s="4" t="n"/>
      <c r="C58" s="4" t="n"/>
      <c r="D58" s="4" t="n"/>
      <c r="E58" s="5" t="n"/>
      <c r="F58" s="5" t="n"/>
      <c r="G58" s="6">
        <f>IF(E58="","",IFERROR(F58/E58,0))</f>
        <v/>
      </c>
      <c r="H58" s="4" t="n"/>
      <c r="I58" s="4" t="n"/>
      <c r="J58" s="4" t="n"/>
    </row>
    <row r="59">
      <c r="A59" s="7" t="n"/>
      <c r="B59" s="7" t="n"/>
      <c r="C59" s="7" t="n"/>
      <c r="D59" s="7" t="n"/>
      <c r="E59" s="8" t="n"/>
      <c r="F59" s="8" t="n"/>
      <c r="G59" s="9">
        <f>IF(E59="","",IFERROR(F59/E59,0))</f>
        <v/>
      </c>
      <c r="H59" s="7" t="n"/>
      <c r="I59" s="7" t="n"/>
      <c r="J59" s="7" t="n"/>
    </row>
    <row r="60">
      <c r="A60" s="4" t="n"/>
      <c r="B60" s="4" t="n"/>
      <c r="C60" s="4" t="n"/>
      <c r="D60" s="4" t="n"/>
      <c r="E60" s="5" t="n"/>
      <c r="F60" s="5" t="n"/>
      <c r="G60" s="6">
        <f>IF(E60="","",IFERROR(F60/E60,0))</f>
        <v/>
      </c>
      <c r="H60" s="4" t="n"/>
      <c r="I60" s="4" t="n"/>
      <c r="J60" s="4" t="n"/>
    </row>
    <row r="61">
      <c r="A61" s="7" t="n"/>
      <c r="B61" s="7" t="n"/>
      <c r="C61" s="7" t="n"/>
      <c r="D61" s="7" t="n"/>
      <c r="E61" s="8" t="n"/>
      <c r="F61" s="8" t="n"/>
      <c r="G61" s="9">
        <f>IF(E61="","",IFERROR(F61/E61,0))</f>
        <v/>
      </c>
      <c r="H61" s="7" t="n"/>
      <c r="I61" s="7" t="n"/>
      <c r="J61" s="7" t="n"/>
    </row>
    <row r="62">
      <c r="A62" s="4" t="n"/>
      <c r="B62" s="4" t="n"/>
      <c r="C62" s="4" t="n"/>
      <c r="D62" s="4" t="n"/>
      <c r="E62" s="5" t="n"/>
      <c r="F62" s="5" t="n"/>
      <c r="G62" s="6">
        <f>IF(E62="","",IFERROR(F62/E62,0))</f>
        <v/>
      </c>
      <c r="H62" s="4" t="n"/>
      <c r="I62" s="4" t="n"/>
      <c r="J62" s="4" t="n"/>
    </row>
    <row r="63">
      <c r="A63" s="7" t="n"/>
      <c r="B63" s="7" t="n"/>
      <c r="C63" s="7" t="n"/>
      <c r="D63" s="7" t="n"/>
      <c r="E63" s="8" t="n"/>
      <c r="F63" s="8" t="n"/>
      <c r="G63" s="9">
        <f>IF(E63="","",IFERROR(F63/E63,0))</f>
        <v/>
      </c>
      <c r="H63" s="7" t="n"/>
      <c r="I63" s="7" t="n"/>
      <c r="J63" s="7" t="n"/>
    </row>
    <row r="64">
      <c r="A64" s="4" t="n"/>
      <c r="B64" s="4" t="n"/>
      <c r="C64" s="4" t="n"/>
      <c r="D64" s="4" t="n"/>
      <c r="E64" s="5" t="n"/>
      <c r="F64" s="5" t="n"/>
      <c r="G64" s="6">
        <f>IF(E64="","",IFERROR(F64/E64,0))</f>
        <v/>
      </c>
      <c r="H64" s="4" t="n"/>
      <c r="I64" s="4" t="n"/>
      <c r="J64" s="4" t="n"/>
    </row>
    <row r="65">
      <c r="A65" s="7" t="n"/>
      <c r="B65" s="7" t="n"/>
      <c r="C65" s="7" t="n"/>
      <c r="D65" s="7" t="n"/>
      <c r="E65" s="8" t="n"/>
      <c r="F65" s="8" t="n"/>
      <c r="G65" s="9">
        <f>IF(E65="","",IFERROR(F65/E65,0))</f>
        <v/>
      </c>
      <c r="H65" s="7" t="n"/>
      <c r="I65" s="7" t="n"/>
      <c r="J65" s="7" t="n"/>
    </row>
    <row r="66">
      <c r="A66" s="4" t="n"/>
      <c r="B66" s="4" t="n"/>
      <c r="C66" s="4" t="n"/>
      <c r="D66" s="4" t="n"/>
      <c r="E66" s="5" t="n"/>
      <c r="F66" s="5" t="n"/>
      <c r="G66" s="6">
        <f>IF(E66="","",IFERROR(F66/E66,0))</f>
        <v/>
      </c>
      <c r="H66" s="4" t="n"/>
      <c r="I66" s="4" t="n"/>
      <c r="J66" s="4" t="n"/>
    </row>
    <row r="67">
      <c r="A67" s="7" t="n"/>
      <c r="B67" s="7" t="n"/>
      <c r="C67" s="7" t="n"/>
      <c r="D67" s="7" t="n"/>
      <c r="E67" s="8" t="n"/>
      <c r="F67" s="8" t="n"/>
      <c r="G67" s="9">
        <f>IF(E67="","",IFERROR(F67/E67,0))</f>
        <v/>
      </c>
      <c r="H67" s="7" t="n"/>
      <c r="I67" s="7" t="n"/>
      <c r="J67" s="7" t="n"/>
    </row>
    <row r="68">
      <c r="A68" s="4" t="n"/>
      <c r="B68" s="4" t="n"/>
      <c r="C68" s="4" t="n"/>
      <c r="D68" s="4" t="n"/>
      <c r="E68" s="5" t="n"/>
      <c r="F68" s="5" t="n"/>
      <c r="G68" s="6">
        <f>IF(E68="","",IFERROR(F68/E68,0))</f>
        <v/>
      </c>
      <c r="H68" s="4" t="n"/>
      <c r="I68" s="4" t="n"/>
      <c r="J68" s="4" t="n"/>
    </row>
    <row r="69">
      <c r="A69" s="7" t="n"/>
      <c r="B69" s="7" t="n"/>
      <c r="C69" s="7" t="n"/>
      <c r="D69" s="7" t="n"/>
      <c r="E69" s="8" t="n"/>
      <c r="F69" s="8" t="n"/>
      <c r="G69" s="9">
        <f>IF(E69="","",IFERROR(F69/E69,0))</f>
        <v/>
      </c>
      <c r="H69" s="7" t="n"/>
      <c r="I69" s="7" t="n"/>
      <c r="J69" s="7" t="n"/>
    </row>
    <row r="70">
      <c r="A70" s="4" t="n"/>
      <c r="B70" s="4" t="n"/>
      <c r="C70" s="4" t="n"/>
      <c r="D70" s="4" t="n"/>
      <c r="E70" s="5" t="n"/>
      <c r="F70" s="5" t="n"/>
      <c r="G70" s="6">
        <f>IF(E70="","",IFERROR(F70/E70,0))</f>
        <v/>
      </c>
      <c r="H70" s="4" t="n"/>
      <c r="I70" s="4" t="n"/>
      <c r="J70" s="4" t="n"/>
    </row>
    <row r="71">
      <c r="A71" s="7" t="n"/>
      <c r="B71" s="7" t="n"/>
      <c r="C71" s="7" t="n"/>
      <c r="D71" s="7" t="n"/>
      <c r="E71" s="8" t="n"/>
      <c r="F71" s="8" t="n"/>
      <c r="G71" s="9">
        <f>IF(E71="","",IFERROR(F71/E71,0))</f>
        <v/>
      </c>
      <c r="H71" s="7" t="n"/>
      <c r="I71" s="7" t="n"/>
      <c r="J71" s="7" t="n"/>
    </row>
    <row r="72">
      <c r="A72" s="4" t="n"/>
      <c r="B72" s="4" t="n"/>
      <c r="C72" s="4" t="n"/>
      <c r="D72" s="4" t="n"/>
      <c r="E72" s="5" t="n"/>
      <c r="F72" s="5" t="n"/>
      <c r="G72" s="6">
        <f>IF(E72="","",IFERROR(F72/E72,0))</f>
        <v/>
      </c>
      <c r="H72" s="4" t="n"/>
      <c r="I72" s="4" t="n"/>
      <c r="J72" s="4" t="n"/>
    </row>
    <row r="73">
      <c r="A73" s="7" t="n"/>
      <c r="B73" s="7" t="n"/>
      <c r="C73" s="7" t="n"/>
      <c r="D73" s="7" t="n"/>
      <c r="E73" s="8" t="n"/>
      <c r="F73" s="8" t="n"/>
      <c r="G73" s="9">
        <f>IF(E73="","",IFERROR(F73/E73,0))</f>
        <v/>
      </c>
      <c r="H73" s="7" t="n"/>
      <c r="I73" s="7" t="n"/>
      <c r="J73" s="7" t="n"/>
    </row>
    <row r="74">
      <c r="A74" s="4" t="n"/>
      <c r="B74" s="4" t="n"/>
      <c r="C74" s="4" t="n"/>
      <c r="D74" s="4" t="n"/>
      <c r="E74" s="5" t="n"/>
      <c r="F74" s="5" t="n"/>
      <c r="G74" s="6">
        <f>IF(E74="","",IFERROR(F74/E74,0))</f>
        <v/>
      </c>
      <c r="H74" s="4" t="n"/>
      <c r="I74" s="4" t="n"/>
      <c r="J74" s="4" t="n"/>
    </row>
    <row r="75">
      <c r="A75" s="7" t="n"/>
      <c r="B75" s="7" t="n"/>
      <c r="C75" s="7" t="n"/>
      <c r="D75" s="7" t="n"/>
      <c r="E75" s="8" t="n"/>
      <c r="F75" s="8" t="n"/>
      <c r="G75" s="9">
        <f>IF(E75="","",IFERROR(F75/E75,0))</f>
        <v/>
      </c>
      <c r="H75" s="7" t="n"/>
      <c r="I75" s="7" t="n"/>
      <c r="J75" s="7" t="n"/>
    </row>
    <row r="76">
      <c r="A76" s="4" t="n"/>
      <c r="B76" s="4" t="n"/>
      <c r="C76" s="4" t="n"/>
      <c r="D76" s="4" t="n"/>
      <c r="E76" s="5" t="n"/>
      <c r="F76" s="5" t="n"/>
      <c r="G76" s="6">
        <f>IF(E76="","",IFERROR(F76/E76,0))</f>
        <v/>
      </c>
      <c r="H76" s="4" t="n"/>
      <c r="I76" s="4" t="n"/>
      <c r="J76" s="4" t="n"/>
    </row>
    <row r="77">
      <c r="A77" s="7" t="n"/>
      <c r="B77" s="7" t="n"/>
      <c r="C77" s="7" t="n"/>
      <c r="D77" s="7" t="n"/>
      <c r="E77" s="8" t="n"/>
      <c r="F77" s="8" t="n"/>
      <c r="G77" s="9">
        <f>IF(E77="","",IFERROR(F77/E77,0))</f>
        <v/>
      </c>
      <c r="H77" s="7" t="n"/>
      <c r="I77" s="7" t="n"/>
      <c r="J77" s="7" t="n"/>
    </row>
    <row r="78">
      <c r="A78" s="4" t="n"/>
      <c r="B78" s="4" t="n"/>
      <c r="C78" s="4" t="n"/>
      <c r="D78" s="4" t="n"/>
      <c r="E78" s="5" t="n"/>
      <c r="F78" s="5" t="n"/>
      <c r="G78" s="6">
        <f>IF(E78="","",IFERROR(F78/E78,0))</f>
        <v/>
      </c>
      <c r="H78" s="4" t="n"/>
      <c r="I78" s="4" t="n"/>
      <c r="J78" s="4" t="n"/>
    </row>
    <row r="79">
      <c r="A79" s="7" t="n"/>
      <c r="B79" s="7" t="n"/>
      <c r="C79" s="7" t="n"/>
      <c r="D79" s="7" t="n"/>
      <c r="E79" s="8" t="n"/>
      <c r="F79" s="8" t="n"/>
      <c r="G79" s="9">
        <f>IF(E79="","",IFERROR(F79/E79,0))</f>
        <v/>
      </c>
      <c r="H79" s="7" t="n"/>
      <c r="I79" s="7" t="n"/>
      <c r="J79" s="7" t="n"/>
    </row>
    <row r="80">
      <c r="A80" s="4" t="n"/>
      <c r="B80" s="4" t="n"/>
      <c r="C80" s="4" t="n"/>
      <c r="D80" s="4" t="n"/>
      <c r="E80" s="5" t="n"/>
      <c r="F80" s="5" t="n"/>
      <c r="G80" s="6">
        <f>IF(E80="","",IFERROR(F80/E80,0))</f>
        <v/>
      </c>
      <c r="H80" s="4" t="n"/>
      <c r="I80" s="4" t="n"/>
      <c r="J80" s="4" t="n"/>
    </row>
    <row r="81">
      <c r="A81" s="7" t="n"/>
      <c r="B81" s="7" t="n"/>
      <c r="C81" s="7" t="n"/>
      <c r="D81" s="7" t="n"/>
      <c r="E81" s="8" t="n"/>
      <c r="F81" s="8" t="n"/>
      <c r="G81" s="9">
        <f>IF(E81="","",IFERROR(F81/E81,0))</f>
        <v/>
      </c>
      <c r="H81" s="7" t="n"/>
      <c r="I81" s="7" t="n"/>
      <c r="J81" s="7" t="n"/>
    </row>
    <row r="82">
      <c r="A82" s="4" t="n"/>
      <c r="B82" s="4" t="n"/>
      <c r="C82" s="4" t="n"/>
      <c r="D82" s="4" t="n"/>
      <c r="E82" s="5" t="n"/>
      <c r="F82" s="5" t="n"/>
      <c r="G82" s="6">
        <f>IF(E82="","",IFERROR(F82/E82,0))</f>
        <v/>
      </c>
      <c r="H82" s="4" t="n"/>
      <c r="I82" s="4" t="n"/>
      <c r="J82" s="4" t="n"/>
    </row>
    <row r="83">
      <c r="A83" s="7" t="n"/>
      <c r="B83" s="7" t="n"/>
      <c r="C83" s="7" t="n"/>
      <c r="D83" s="7" t="n"/>
      <c r="E83" s="8" t="n"/>
      <c r="F83" s="8" t="n"/>
      <c r="G83" s="9">
        <f>IF(E83="","",IFERROR(F83/E83,0))</f>
        <v/>
      </c>
      <c r="H83" s="7" t="n"/>
      <c r="I83" s="7" t="n"/>
      <c r="J83" s="7" t="n"/>
    </row>
    <row r="84">
      <c r="A84" s="4" t="n"/>
      <c r="B84" s="4" t="n"/>
      <c r="C84" s="4" t="n"/>
      <c r="D84" s="4" t="n"/>
      <c r="E84" s="5" t="n"/>
      <c r="F84" s="5" t="n"/>
      <c r="G84" s="6">
        <f>IF(E84="","",IFERROR(F84/E84,0))</f>
        <v/>
      </c>
      <c r="H84" s="4" t="n"/>
      <c r="I84" s="4" t="n"/>
      <c r="J84" s="4" t="n"/>
    </row>
    <row r="85">
      <c r="A85" s="7" t="n"/>
      <c r="B85" s="7" t="n"/>
      <c r="C85" s="7" t="n"/>
      <c r="D85" s="7" t="n"/>
      <c r="E85" s="8" t="n"/>
      <c r="F85" s="8" t="n"/>
      <c r="G85" s="9">
        <f>IF(E85="","",IFERROR(F85/E85,0))</f>
        <v/>
      </c>
      <c r="H85" s="7" t="n"/>
      <c r="I85" s="7" t="n"/>
      <c r="J85" s="7" t="n"/>
    </row>
    <row r="86">
      <c r="A86" s="4" t="n"/>
      <c r="B86" s="4" t="n"/>
      <c r="C86" s="4" t="n"/>
      <c r="D86" s="4" t="n"/>
      <c r="E86" s="5" t="n"/>
      <c r="F86" s="5" t="n"/>
      <c r="G86" s="6">
        <f>IF(E86="","",IFERROR(F86/E86,0))</f>
        <v/>
      </c>
      <c r="H86" s="4" t="n"/>
      <c r="I86" s="4" t="n"/>
      <c r="J86" s="4" t="n"/>
    </row>
    <row r="87">
      <c r="A87" s="7" t="n"/>
      <c r="B87" s="7" t="n"/>
      <c r="C87" s="7" t="n"/>
      <c r="D87" s="7" t="n"/>
      <c r="E87" s="8" t="n"/>
      <c r="F87" s="8" t="n"/>
      <c r="G87" s="9">
        <f>IF(E87="","",IFERROR(F87/E87,0))</f>
        <v/>
      </c>
      <c r="H87" s="7" t="n"/>
      <c r="I87" s="7" t="n"/>
      <c r="J87" s="7" t="n"/>
    </row>
    <row r="88">
      <c r="A88" s="4" t="n"/>
      <c r="B88" s="4" t="n"/>
      <c r="C88" s="4" t="n"/>
      <c r="D88" s="4" t="n"/>
      <c r="E88" s="5" t="n"/>
      <c r="F88" s="5" t="n"/>
      <c r="G88" s="6">
        <f>IF(E88="","",IFERROR(F88/E88,0))</f>
        <v/>
      </c>
      <c r="H88" s="4" t="n"/>
      <c r="I88" s="4" t="n"/>
      <c r="J88" s="4" t="n"/>
    </row>
    <row r="89">
      <c r="A89" s="7" t="n"/>
      <c r="B89" s="7" t="n"/>
      <c r="C89" s="7" t="n"/>
      <c r="D89" s="7" t="n"/>
      <c r="E89" s="8" t="n"/>
      <c r="F89" s="8" t="n"/>
      <c r="G89" s="9">
        <f>IF(E89="","",IFERROR(F89/E89,0))</f>
        <v/>
      </c>
      <c r="H89" s="7" t="n"/>
      <c r="I89" s="7" t="n"/>
      <c r="J89" s="7" t="n"/>
    </row>
    <row r="90">
      <c r="A90" s="4" t="n"/>
      <c r="B90" s="4" t="n"/>
      <c r="C90" s="4" t="n"/>
      <c r="D90" s="4" t="n"/>
      <c r="E90" s="5" t="n"/>
      <c r="F90" s="5" t="n"/>
      <c r="G90" s="6">
        <f>IF(E90="","",IFERROR(F90/E90,0))</f>
        <v/>
      </c>
      <c r="H90" s="4" t="n"/>
      <c r="I90" s="4" t="n"/>
      <c r="J90" s="4" t="n"/>
    </row>
    <row r="91">
      <c r="A91" s="7" t="n"/>
      <c r="B91" s="7" t="n"/>
      <c r="C91" s="7" t="n"/>
      <c r="D91" s="7" t="n"/>
      <c r="E91" s="8" t="n"/>
      <c r="F91" s="8" t="n"/>
      <c r="G91" s="9">
        <f>IF(E91="","",IFERROR(F91/E91,0))</f>
        <v/>
      </c>
      <c r="H91" s="7" t="n"/>
      <c r="I91" s="7" t="n"/>
      <c r="J91" s="7" t="n"/>
    </row>
    <row r="92">
      <c r="A92" s="4" t="n"/>
      <c r="B92" s="4" t="n"/>
      <c r="C92" s="4" t="n"/>
      <c r="D92" s="4" t="n"/>
      <c r="E92" s="5" t="n"/>
      <c r="F92" s="5" t="n"/>
      <c r="G92" s="6">
        <f>IF(E92="","",IFERROR(F92/E92,0))</f>
        <v/>
      </c>
      <c r="H92" s="4" t="n"/>
      <c r="I92" s="4" t="n"/>
      <c r="J92" s="4" t="n"/>
    </row>
    <row r="93">
      <c r="A93" s="7" t="n"/>
      <c r="B93" s="7" t="n"/>
      <c r="C93" s="7" t="n"/>
      <c r="D93" s="7" t="n"/>
      <c r="E93" s="8" t="n"/>
      <c r="F93" s="8" t="n"/>
      <c r="G93" s="9">
        <f>IF(E93="","",IFERROR(F93/E93,0))</f>
        <v/>
      </c>
      <c r="H93" s="7" t="n"/>
      <c r="I93" s="7" t="n"/>
      <c r="J93" s="7" t="n"/>
    </row>
    <row r="94">
      <c r="A94" s="4" t="n"/>
      <c r="B94" s="4" t="n"/>
      <c r="C94" s="4" t="n"/>
      <c r="D94" s="4" t="n"/>
      <c r="E94" s="5" t="n"/>
      <c r="F94" s="5" t="n"/>
      <c r="G94" s="6">
        <f>IF(E94="","",IFERROR(F94/E94,0))</f>
        <v/>
      </c>
      <c r="H94" s="4" t="n"/>
      <c r="I94" s="4" t="n"/>
      <c r="J94" s="4" t="n"/>
    </row>
    <row r="95">
      <c r="A95" s="7" t="n"/>
      <c r="B95" s="7" t="n"/>
      <c r="C95" s="7" t="n"/>
      <c r="D95" s="7" t="n"/>
      <c r="E95" s="8" t="n"/>
      <c r="F95" s="8" t="n"/>
      <c r="G95" s="9">
        <f>IF(E95="","",IFERROR(F95/E95,0))</f>
        <v/>
      </c>
      <c r="H95" s="7" t="n"/>
      <c r="I95" s="7" t="n"/>
      <c r="J95" s="7" t="n"/>
    </row>
    <row r="96">
      <c r="A96" s="4" t="n"/>
      <c r="B96" s="4" t="n"/>
      <c r="C96" s="4" t="n"/>
      <c r="D96" s="4" t="n"/>
      <c r="E96" s="5" t="n"/>
      <c r="F96" s="5" t="n"/>
      <c r="G96" s="6">
        <f>IF(E96="","",IFERROR(F96/E96,0))</f>
        <v/>
      </c>
      <c r="H96" s="4" t="n"/>
      <c r="I96" s="4" t="n"/>
      <c r="J96" s="4" t="n"/>
    </row>
    <row r="97">
      <c r="A97" s="7" t="n"/>
      <c r="B97" s="7" t="n"/>
      <c r="C97" s="7" t="n"/>
      <c r="D97" s="7" t="n"/>
      <c r="E97" s="8" t="n"/>
      <c r="F97" s="8" t="n"/>
      <c r="G97" s="9">
        <f>IF(E97="","",IFERROR(F97/E97,0))</f>
        <v/>
      </c>
      <c r="H97" s="7" t="n"/>
      <c r="I97" s="7" t="n"/>
      <c r="J97" s="7" t="n"/>
    </row>
    <row r="98">
      <c r="A98" s="4" t="n"/>
      <c r="B98" s="4" t="n"/>
      <c r="C98" s="4" t="n"/>
      <c r="D98" s="4" t="n"/>
      <c r="E98" s="5" t="n"/>
      <c r="F98" s="5" t="n"/>
      <c r="G98" s="6">
        <f>IF(E98="","",IFERROR(F98/E98,0))</f>
        <v/>
      </c>
      <c r="H98" s="4" t="n"/>
      <c r="I98" s="4" t="n"/>
      <c r="J98" s="4" t="n"/>
    </row>
    <row r="99">
      <c r="A99" s="7" t="n"/>
      <c r="B99" s="7" t="n"/>
      <c r="C99" s="7" t="n"/>
      <c r="D99" s="7" t="n"/>
      <c r="E99" s="8" t="n"/>
      <c r="F99" s="8" t="n"/>
      <c r="G99" s="9">
        <f>IF(E99="","",IFERROR(F99/E99,0))</f>
        <v/>
      </c>
      <c r="H99" s="7" t="n"/>
      <c r="I99" s="7" t="n"/>
      <c r="J99" s="7" t="n"/>
    </row>
    <row r="100">
      <c r="A100" s="4" t="n"/>
      <c r="B100" s="4" t="n"/>
      <c r="C100" s="4" t="n"/>
      <c r="D100" s="4" t="n"/>
      <c r="E100" s="5" t="n"/>
      <c r="F100" s="5" t="n"/>
      <c r="G100" s="6">
        <f>IF(E100="","",IFERROR(F100/E100,0))</f>
        <v/>
      </c>
      <c r="H100" s="4" t="n"/>
      <c r="I100" s="4" t="n"/>
      <c r="J100" s="4" t="n"/>
    </row>
    <row r="101">
      <c r="A101" s="7" t="n"/>
      <c r="B101" s="7" t="n"/>
      <c r="C101" s="7" t="n"/>
      <c r="D101" s="7" t="n"/>
      <c r="E101" s="8" t="n"/>
      <c r="F101" s="8" t="n"/>
      <c r="G101" s="9">
        <f>IF(E101="","",IFERROR(F101/E101,0))</f>
        <v/>
      </c>
      <c r="H101" s="7" t="n"/>
      <c r="I101" s="7" t="n"/>
      <c r="J101" s="7" t="n"/>
    </row>
    <row r="102">
      <c r="A102" s="4" t="n"/>
      <c r="B102" s="4" t="n"/>
      <c r="C102" s="4" t="n"/>
      <c r="D102" s="4" t="n"/>
      <c r="E102" s="5" t="n"/>
      <c r="F102" s="5" t="n"/>
      <c r="G102" s="6">
        <f>IF(E102="","",IFERROR(F102/E102,0))</f>
        <v/>
      </c>
      <c r="H102" s="4" t="n"/>
      <c r="I102" s="4" t="n"/>
      <c r="J102" s="4" t="n"/>
    </row>
    <row r="103">
      <c r="A103" s="7" t="n"/>
      <c r="B103" s="7" t="n"/>
      <c r="C103" s="7" t="n"/>
      <c r="D103" s="7" t="n"/>
      <c r="E103" s="8" t="n"/>
      <c r="F103" s="8" t="n"/>
      <c r="G103" s="9">
        <f>IF(E103="","",IFERROR(F103/E103,0))</f>
        <v/>
      </c>
      <c r="H103" s="7" t="n"/>
      <c r="I103" s="7" t="n"/>
      <c r="J103" s="7" t="n"/>
    </row>
    <row r="104">
      <c r="A104" s="4" t="n"/>
      <c r="B104" s="4" t="n"/>
      <c r="C104" s="4" t="n"/>
      <c r="D104" s="4" t="n"/>
      <c r="E104" s="5" t="n"/>
      <c r="F104" s="5" t="n"/>
      <c r="G104" s="6">
        <f>IF(E104="","",IFERROR(F104/E104,0))</f>
        <v/>
      </c>
      <c r="H104" s="4" t="n"/>
      <c r="I104" s="4" t="n"/>
      <c r="J104" s="4" t="n"/>
    </row>
    <row r="105">
      <c r="A105" s="7" t="n"/>
      <c r="B105" s="7" t="n"/>
      <c r="C105" s="7" t="n"/>
      <c r="D105" s="7" t="n"/>
      <c r="E105" s="8" t="n"/>
      <c r="F105" s="8" t="n"/>
      <c r="G105" s="9">
        <f>IF(E105="","",IFERROR(F105/E105,0))</f>
        <v/>
      </c>
      <c r="H105" s="7" t="n"/>
      <c r="I105" s="7" t="n"/>
      <c r="J105" s="7" t="n"/>
    </row>
    <row r="106">
      <c r="A106" s="4" t="n"/>
      <c r="B106" s="4" t="n"/>
      <c r="C106" s="4" t="n"/>
      <c r="D106" s="4" t="n"/>
      <c r="E106" s="5" t="n"/>
      <c r="F106" s="5" t="n"/>
      <c r="G106" s="6">
        <f>IF(E106="","",IFERROR(F106/E106,0))</f>
        <v/>
      </c>
      <c r="H106" s="4" t="n"/>
      <c r="I106" s="4" t="n"/>
      <c r="J106" s="4" t="n"/>
    </row>
    <row r="107">
      <c r="A107" s="7" t="n"/>
      <c r="B107" s="7" t="n"/>
      <c r="C107" s="7" t="n"/>
      <c r="D107" s="7" t="n"/>
      <c r="E107" s="8" t="n"/>
      <c r="F107" s="8" t="n"/>
      <c r="G107" s="9">
        <f>IF(E107="","",IFERROR(F107/E107,0))</f>
        <v/>
      </c>
      <c r="H107" s="7" t="n"/>
      <c r="I107" s="7" t="n"/>
      <c r="J107" s="7" t="n"/>
    </row>
    <row r="108">
      <c r="A108" s="4" t="n"/>
      <c r="B108" s="4" t="n"/>
      <c r="C108" s="4" t="n"/>
      <c r="D108" s="4" t="n"/>
      <c r="E108" s="5" t="n"/>
      <c r="F108" s="5" t="n"/>
      <c r="G108" s="6">
        <f>IF(E108="","",IFERROR(F108/E108,0))</f>
        <v/>
      </c>
      <c r="H108" s="4" t="n"/>
      <c r="I108" s="4" t="n"/>
      <c r="J108" s="4" t="n"/>
    </row>
    <row r="109">
      <c r="A109" s="7" t="n"/>
      <c r="B109" s="7" t="n"/>
      <c r="C109" s="7" t="n"/>
      <c r="D109" s="7" t="n"/>
      <c r="E109" s="8" t="n"/>
      <c r="F109" s="8" t="n"/>
      <c r="G109" s="9">
        <f>IF(E109="","",IFERROR(F109/E109,0))</f>
        <v/>
      </c>
      <c r="H109" s="7" t="n"/>
      <c r="I109" s="7" t="n"/>
      <c r="J109" s="7" t="n"/>
    </row>
    <row r="110">
      <c r="A110" s="4" t="n"/>
      <c r="B110" s="4" t="n"/>
      <c r="C110" s="4" t="n"/>
      <c r="D110" s="4" t="n"/>
      <c r="E110" s="5" t="n"/>
      <c r="F110" s="5" t="n"/>
      <c r="G110" s="6">
        <f>IF(E110="","",IFERROR(F110/E110,0))</f>
        <v/>
      </c>
      <c r="H110" s="4" t="n"/>
      <c r="I110" s="4" t="n"/>
      <c r="J110" s="4" t="n"/>
    </row>
    <row r="111">
      <c r="A111" s="7" t="n"/>
      <c r="B111" s="7" t="n"/>
      <c r="C111" s="7" t="n"/>
      <c r="D111" s="7" t="n"/>
      <c r="E111" s="8" t="n"/>
      <c r="F111" s="8" t="n"/>
      <c r="G111" s="9">
        <f>IF(E111="","",IFERROR(F111/E111,0))</f>
        <v/>
      </c>
      <c r="H111" s="7" t="n"/>
      <c r="I111" s="7" t="n"/>
      <c r="J111" s="7" t="n"/>
    </row>
    <row r="112">
      <c r="A112" s="4" t="n"/>
      <c r="B112" s="4" t="n"/>
      <c r="C112" s="4" t="n"/>
      <c r="D112" s="4" t="n"/>
      <c r="E112" s="5" t="n"/>
      <c r="F112" s="5" t="n"/>
      <c r="G112" s="6">
        <f>IF(E112="","",IFERROR(F112/E112,0))</f>
        <v/>
      </c>
      <c r="H112" s="4" t="n"/>
      <c r="I112" s="4" t="n"/>
      <c r="J112" s="4" t="n"/>
    </row>
    <row r="113">
      <c r="A113" s="7" t="n"/>
      <c r="B113" s="7" t="n"/>
      <c r="C113" s="7" t="n"/>
      <c r="D113" s="7" t="n"/>
      <c r="E113" s="8" t="n"/>
      <c r="F113" s="8" t="n"/>
      <c r="G113" s="9">
        <f>IF(E113="","",IFERROR(F113/E113,0))</f>
        <v/>
      </c>
      <c r="H113" s="7" t="n"/>
      <c r="I113" s="7" t="n"/>
      <c r="J113" s="7" t="n"/>
    </row>
    <row r="114">
      <c r="A114" s="4" t="n"/>
      <c r="B114" s="4" t="n"/>
      <c r="C114" s="4" t="n"/>
      <c r="D114" s="4" t="n"/>
      <c r="E114" s="5" t="n"/>
      <c r="F114" s="5" t="n"/>
      <c r="G114" s="6">
        <f>IF(E114="","",IFERROR(F114/E114,0))</f>
        <v/>
      </c>
      <c r="H114" s="4" t="n"/>
      <c r="I114" s="4" t="n"/>
      <c r="J114" s="4" t="n"/>
    </row>
    <row r="115">
      <c r="A115" s="7" t="n"/>
      <c r="B115" s="7" t="n"/>
      <c r="C115" s="7" t="n"/>
      <c r="D115" s="7" t="n"/>
      <c r="E115" s="8" t="n"/>
      <c r="F115" s="8" t="n"/>
      <c r="G115" s="9">
        <f>IF(E115="","",IFERROR(F115/E115,0))</f>
        <v/>
      </c>
      <c r="H115" s="7" t="n"/>
      <c r="I115" s="7" t="n"/>
      <c r="J115" s="7" t="n"/>
    </row>
  </sheetData>
  <mergeCells count="2">
    <mergeCell ref="A3:P3"/>
    <mergeCell ref="A2:P2"/>
  </mergeCells>
  <dataValidations count="2">
    <dataValidation sqref="D6:D115" showDropDown="0" showInputMessage="0" showErrorMessage="0" allowBlank="1" errorTitle="Erreur de saisie" error="Valeur non autorisée" promptTitle="Liste déroulante" prompt="Sélectionnez dans la liste" type="list">
      <formula1>'F02 - _Lists'!$G$6:$G$35</formula1>
    </dataValidation>
    <dataValidation sqref="I6:I115" showDropDown="0" showInputMessage="0" showErrorMessage="0" allowBlank="1" errorTitle="Erreur de saisie" error="Valeur non autorisée" promptTitle="Liste déroulante" prompt="Sélectionnez dans la liste" type="list">
      <formula1>'F02 - _Lists'!$F$6:$F$35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C6BC0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  <col width="16" customWidth="1" min="9" max="9"/>
    <col width="20" customWidth="1" min="10" max="10"/>
    <col width="18" customWidth="1" min="11" max="11"/>
  </cols>
  <sheetData>
    <row r="2" ht="25" customHeight="1">
      <c r="A2" s="1" t="inlineStr">
        <is>
          <t>DOMAINE 26 — 12-TAXES SUR LES SALAIRES ET CRDS/CSG</t>
        </is>
      </c>
    </row>
    <row r="3" ht="18" customHeight="1">
      <c r="A3" s="2" t="inlineStr">
        <is>
          <t>TABLEAU DYNAMIQUE — Détail des contributions assises sur les salaires</t>
        </is>
      </c>
    </row>
    <row r="5">
      <c r="A5" s="3" t="inlineStr">
        <is>
          <t>Type Contribution</t>
        </is>
      </c>
      <c r="B5" s="3" t="inlineStr">
        <is>
          <t>Assiette (FCFA)</t>
        </is>
      </c>
      <c r="C5" s="3" t="inlineStr">
        <is>
          <t>Taux (%)</t>
        </is>
      </c>
      <c r="D5" s="3" t="inlineStr">
        <is>
          <t>Montant (FCFA)</t>
        </is>
      </c>
      <c r="E5" s="3" t="inlineStr">
        <is>
          <t>Part Employeur (FCFA)</t>
        </is>
      </c>
      <c r="F5" s="3" t="inlineStr">
        <is>
          <t>Part Salarié (FCFA)</t>
        </is>
      </c>
      <c r="G5" s="3" t="inlineStr">
        <is>
          <t>Répartition Employeur (%)</t>
        </is>
      </c>
      <c r="H5" s="3" t="inlineStr">
        <is>
          <t>Répartition Salarié (%)</t>
        </is>
      </c>
      <c r="I5" s="3" t="inlineStr">
        <is>
          <t>Exonération Possible</t>
        </is>
      </c>
      <c r="J5" s="3" t="inlineStr">
        <is>
          <t>Montant Exonéré (FCFA)</t>
        </is>
      </c>
      <c r="K5" s="3" t="inlineStr">
        <is>
          <t>Net Dû (FCFA)</t>
        </is>
      </c>
    </row>
    <row r="6">
      <c r="A6" s="4" t="inlineStr">
        <is>
          <t>CSG déductible</t>
        </is>
      </c>
      <c r="B6" s="5" t="n">
        <v>128500000</v>
      </c>
      <c r="C6" s="4" t="n">
        <v>5.1</v>
      </c>
      <c r="D6" s="5">
        <f>IFERROR(B6*C6/100,0)</f>
        <v/>
      </c>
      <c r="E6" s="5">
        <f>IFERROR(D6*G6/100,0)</f>
        <v/>
      </c>
      <c r="F6" s="5">
        <f>IFERROR(D6*H6/100,0)</f>
        <v/>
      </c>
      <c r="G6" s="4" t="n">
        <v>100</v>
      </c>
      <c r="H6" s="4" t="n">
        <v>0</v>
      </c>
      <c r="I6" s="4" t="inlineStr">
        <is>
          <t>Non</t>
        </is>
      </c>
      <c r="J6" s="5" t="n">
        <v>0</v>
      </c>
      <c r="K6" s="5">
        <f>D6-J6</f>
        <v/>
      </c>
    </row>
    <row r="7">
      <c r="A7" s="7" t="inlineStr">
        <is>
          <t>CSG non déductible</t>
        </is>
      </c>
      <c r="B7" s="8" t="n">
        <v>128500000</v>
      </c>
      <c r="C7" s="7" t="n">
        <v>2.4</v>
      </c>
      <c r="D7" s="8">
        <f>IFERROR(B7*C7/100,0)</f>
        <v/>
      </c>
      <c r="E7" s="8">
        <f>IFERROR(D7*G7/100,0)</f>
        <v/>
      </c>
      <c r="F7" s="8">
        <f>IFERROR(D7*H7/100,0)</f>
        <v/>
      </c>
      <c r="G7" s="7" t="n">
        <v>100</v>
      </c>
      <c r="H7" s="7" t="n">
        <v>0</v>
      </c>
      <c r="I7" s="7" t="inlineStr">
        <is>
          <t>Non</t>
        </is>
      </c>
      <c r="J7" s="8" t="n">
        <v>0</v>
      </c>
      <c r="K7" s="8">
        <f>D7-J7</f>
        <v/>
      </c>
    </row>
    <row r="8">
      <c r="A8" s="4" t="inlineStr">
        <is>
          <t>CRDS</t>
        </is>
      </c>
      <c r="B8" s="5" t="n">
        <v>128500000</v>
      </c>
      <c r="C8" s="4" t="n">
        <v>0.5</v>
      </c>
      <c r="D8" s="5">
        <f>IFERROR(B8*C8/100,0)</f>
        <v/>
      </c>
      <c r="E8" s="5">
        <f>IFERROR(D8*G8/100,0)</f>
        <v/>
      </c>
      <c r="F8" s="5">
        <f>IFERROR(D8*H8/100,0)</f>
        <v/>
      </c>
      <c r="G8" s="4" t="n">
        <v>100</v>
      </c>
      <c r="H8" s="4" t="n">
        <v>0</v>
      </c>
      <c r="I8" s="4" t="inlineStr">
        <is>
          <t>Non</t>
        </is>
      </c>
      <c r="J8" s="5" t="n">
        <v>0</v>
      </c>
      <c r="K8" s="5">
        <f>D8-J8</f>
        <v/>
      </c>
    </row>
    <row r="9">
      <c r="A9" s="7" t="inlineStr">
        <is>
          <t>Taxe sur les salaires tranche 1</t>
        </is>
      </c>
      <c r="B9" s="8" t="n">
        <v>128500000</v>
      </c>
      <c r="C9" s="7" t="n">
        <v>4.25</v>
      </c>
      <c r="D9" s="8">
        <f>IFERROR(B9*C9/100,0)</f>
        <v/>
      </c>
      <c r="E9" s="8">
        <f>IFERROR(D9*G9/100,0)</f>
        <v/>
      </c>
      <c r="F9" s="8">
        <f>IFERROR(D9*H9/100,0)</f>
        <v/>
      </c>
      <c r="G9" s="7" t="n">
        <v>100</v>
      </c>
      <c r="H9" s="7" t="n">
        <v>0</v>
      </c>
      <c r="I9" s="7" t="inlineStr">
        <is>
          <t>Non</t>
        </is>
      </c>
      <c r="J9" s="8" t="n">
        <v>0</v>
      </c>
      <c r="K9" s="8">
        <f>D9-J9</f>
        <v/>
      </c>
    </row>
    <row r="10">
      <c r="A10" s="4" t="inlineStr">
        <is>
          <t>Taxe sur les salaires tranche 2</t>
        </is>
      </c>
      <c r="B10" s="5" t="n">
        <v>128500000</v>
      </c>
      <c r="C10" s="4" t="n">
        <v>8.5</v>
      </c>
      <c r="D10" s="5">
        <f>IFERROR(B10*C10/100,0)</f>
        <v/>
      </c>
      <c r="E10" s="5">
        <f>IFERROR(D10*G10/100,0)</f>
        <v/>
      </c>
      <c r="F10" s="5">
        <f>IFERROR(D10*H10/100,0)</f>
        <v/>
      </c>
      <c r="G10" s="4" t="n">
        <v>100</v>
      </c>
      <c r="H10" s="4" t="n">
        <v>0</v>
      </c>
      <c r="I10" s="4" t="inlineStr">
        <is>
          <t>Association</t>
        </is>
      </c>
      <c r="J10" s="5" t="n">
        <v>300000</v>
      </c>
      <c r="K10" s="5">
        <f>D10-J10</f>
        <v/>
      </c>
    </row>
    <row r="11">
      <c r="A11" s="7" t="inlineStr">
        <is>
          <t>Forfait social 8%</t>
        </is>
      </c>
      <c r="B11" s="8" t="n">
        <v>15000000</v>
      </c>
      <c r="C11" s="7" t="n">
        <v>8</v>
      </c>
      <c r="D11" s="8">
        <f>IFERROR(B11*C11/100,0)</f>
        <v/>
      </c>
      <c r="E11" s="8">
        <f>IFERROR(D11*G11/100,0)</f>
        <v/>
      </c>
      <c r="F11" s="8">
        <f>IFERROR(D11*H11/100,0)</f>
        <v/>
      </c>
      <c r="G11" s="7" t="n">
        <v>100</v>
      </c>
      <c r="H11" s="7" t="n">
        <v>0</v>
      </c>
      <c r="I11" s="7" t="inlineStr">
        <is>
          <t>Non</t>
        </is>
      </c>
      <c r="J11" s="8" t="n">
        <v>0</v>
      </c>
      <c r="K11" s="8">
        <f>D11-J11</f>
        <v/>
      </c>
    </row>
    <row r="12">
      <c r="A12" s="4" t="inlineStr">
        <is>
          <t>Forfait social 20%</t>
        </is>
      </c>
      <c r="B12" s="5" t="n">
        <v>15000000</v>
      </c>
      <c r="C12" s="4" t="n">
        <v>20</v>
      </c>
      <c r="D12" s="5">
        <f>IFERROR(B12*C12/100,0)</f>
        <v/>
      </c>
      <c r="E12" s="5">
        <f>IFERROR(D12*G12/100,0)</f>
        <v/>
      </c>
      <c r="F12" s="5">
        <f>IFERROR(D12*H12/100,0)</f>
        <v/>
      </c>
      <c r="G12" s="4" t="n">
        <v>100</v>
      </c>
      <c r="H12" s="4" t="n">
        <v>0</v>
      </c>
      <c r="I12" s="4" t="inlineStr">
        <is>
          <t>Non</t>
        </is>
      </c>
      <c r="J12" s="5" t="n">
        <v>0</v>
      </c>
      <c r="K12" s="5">
        <f>D12-J12</f>
        <v/>
      </c>
    </row>
    <row r="13">
      <c r="A13" s="7" t="inlineStr">
        <is>
          <t>Contribution solidarité autonomie</t>
        </is>
      </c>
      <c r="B13" s="8" t="n">
        <v>128500000</v>
      </c>
      <c r="C13" s="7" t="n">
        <v>0.3</v>
      </c>
      <c r="D13" s="8">
        <f>IFERROR(B13*C13/100,0)</f>
        <v/>
      </c>
      <c r="E13" s="8">
        <f>IFERROR(D13*G13/100,0)</f>
        <v/>
      </c>
      <c r="F13" s="8">
        <f>IFERROR(D13*H13/100,0)</f>
        <v/>
      </c>
      <c r="G13" s="7" t="n">
        <v>100</v>
      </c>
      <c r="H13" s="7" t="n">
        <v>0</v>
      </c>
      <c r="I13" s="7" t="inlineStr">
        <is>
          <t>Non</t>
        </is>
      </c>
      <c r="J13" s="8" t="n">
        <v>0</v>
      </c>
      <c r="K13" s="8">
        <f>D13-J13</f>
        <v/>
      </c>
    </row>
    <row r="14">
      <c r="A14" s="4" t="n"/>
      <c r="B14" s="5" t="n"/>
      <c r="C14" s="4" t="n"/>
      <c r="D14" s="5">
        <f>IF(B14="","",IFERROR(B14*C14/100,0))</f>
        <v/>
      </c>
      <c r="E14" s="5">
        <f>IF(D14="","",IFERROR(D14*G14/100,0))</f>
        <v/>
      </c>
      <c r="F14" s="5">
        <f>IF(D14="","",IFERROR(D14*H14/100,0))</f>
        <v/>
      </c>
      <c r="G14" s="4" t="n"/>
      <c r="H14" s="4" t="n"/>
      <c r="I14" s="4" t="n"/>
      <c r="J14" s="5" t="n"/>
      <c r="K14" s="5">
        <f>IF(D14="","",D14-J14)</f>
        <v/>
      </c>
    </row>
    <row r="15">
      <c r="A15" s="7" t="n"/>
      <c r="B15" s="8" t="n"/>
      <c r="C15" s="7" t="n"/>
      <c r="D15" s="8">
        <f>IF(B15="","",IFERROR(B15*C15/100,0))</f>
        <v/>
      </c>
      <c r="E15" s="8">
        <f>IF(D15="","",IFERROR(D15*G15/100,0))</f>
        <v/>
      </c>
      <c r="F15" s="8">
        <f>IF(D15="","",IFERROR(D15*H15/100,0))</f>
        <v/>
      </c>
      <c r="G15" s="7" t="n"/>
      <c r="H15" s="7" t="n"/>
      <c r="I15" s="7" t="n"/>
      <c r="J15" s="8" t="n"/>
      <c r="K15" s="8">
        <f>IF(D15="","",D15-J15)</f>
        <v/>
      </c>
    </row>
    <row r="16">
      <c r="A16" s="4" t="n"/>
      <c r="B16" s="5" t="n"/>
      <c r="C16" s="4" t="n"/>
      <c r="D16" s="5">
        <f>IF(B16="","",IFERROR(B16*C16/100,0))</f>
        <v/>
      </c>
      <c r="E16" s="5">
        <f>IF(D16="","",IFERROR(D16*G16/100,0))</f>
        <v/>
      </c>
      <c r="F16" s="5">
        <f>IF(D16="","",IFERROR(D16*H16/100,0))</f>
        <v/>
      </c>
      <c r="G16" s="4" t="n"/>
      <c r="H16" s="4" t="n"/>
      <c r="I16" s="4" t="n"/>
      <c r="J16" s="5" t="n"/>
      <c r="K16" s="5">
        <f>IF(D16="","",D16-J16)</f>
        <v/>
      </c>
    </row>
    <row r="17">
      <c r="A17" s="7" t="n"/>
      <c r="B17" s="8" t="n"/>
      <c r="C17" s="7" t="n"/>
      <c r="D17" s="8">
        <f>IF(B17="","",IFERROR(B17*C17/100,0))</f>
        <v/>
      </c>
      <c r="E17" s="8">
        <f>IF(D17="","",IFERROR(D17*G17/100,0))</f>
        <v/>
      </c>
      <c r="F17" s="8">
        <f>IF(D17="","",IFERROR(D17*H17/100,0))</f>
        <v/>
      </c>
      <c r="G17" s="7" t="n"/>
      <c r="H17" s="7" t="n"/>
      <c r="I17" s="7" t="n"/>
      <c r="J17" s="8" t="n"/>
      <c r="K17" s="8">
        <f>IF(D17="","",D17-J17)</f>
        <v/>
      </c>
    </row>
    <row r="18">
      <c r="A18" s="4" t="n"/>
      <c r="B18" s="5" t="n"/>
      <c r="C18" s="4" t="n"/>
      <c r="D18" s="5">
        <f>IF(B18="","",IFERROR(B18*C18/100,0))</f>
        <v/>
      </c>
      <c r="E18" s="5">
        <f>IF(D18="","",IFERROR(D18*G18/100,0))</f>
        <v/>
      </c>
      <c r="F18" s="5">
        <f>IF(D18="","",IFERROR(D18*H18/100,0))</f>
        <v/>
      </c>
      <c r="G18" s="4" t="n"/>
      <c r="H18" s="4" t="n"/>
      <c r="I18" s="4" t="n"/>
      <c r="J18" s="5" t="n"/>
      <c r="K18" s="5">
        <f>IF(D18="","",D18-J18)</f>
        <v/>
      </c>
    </row>
    <row r="19">
      <c r="A19" s="7" t="n"/>
      <c r="B19" s="8" t="n"/>
      <c r="C19" s="7" t="n"/>
      <c r="D19" s="8">
        <f>IF(B19="","",IFERROR(B19*C19/100,0))</f>
        <v/>
      </c>
      <c r="E19" s="8">
        <f>IF(D19="","",IFERROR(D19*G19/100,0))</f>
        <v/>
      </c>
      <c r="F19" s="8">
        <f>IF(D19="","",IFERROR(D19*H19/100,0))</f>
        <v/>
      </c>
      <c r="G19" s="7" t="n"/>
      <c r="H19" s="7" t="n"/>
      <c r="I19" s="7" t="n"/>
      <c r="J19" s="8" t="n"/>
      <c r="K19" s="8">
        <f>IF(D19="","",D19-J19)</f>
        <v/>
      </c>
    </row>
    <row r="20">
      <c r="A20" s="4" t="n"/>
      <c r="B20" s="5" t="n"/>
      <c r="C20" s="4" t="n"/>
      <c r="D20" s="5">
        <f>IF(B20="","",IFERROR(B20*C20/100,0))</f>
        <v/>
      </c>
      <c r="E20" s="5">
        <f>IF(D20="","",IFERROR(D20*G20/100,0))</f>
        <v/>
      </c>
      <c r="F20" s="5">
        <f>IF(D20="","",IFERROR(D20*H20/100,0))</f>
        <v/>
      </c>
      <c r="G20" s="4" t="n"/>
      <c r="H20" s="4" t="n"/>
      <c r="I20" s="4" t="n"/>
      <c r="J20" s="5" t="n"/>
      <c r="K20" s="5">
        <f>IF(D20="","",D20-J20)</f>
        <v/>
      </c>
    </row>
    <row r="21">
      <c r="A21" s="7" t="n"/>
      <c r="B21" s="8" t="n"/>
      <c r="C21" s="7" t="n"/>
      <c r="D21" s="8">
        <f>IF(B21="","",IFERROR(B21*C21/100,0))</f>
        <v/>
      </c>
      <c r="E21" s="8">
        <f>IF(D21="","",IFERROR(D21*G21/100,0))</f>
        <v/>
      </c>
      <c r="F21" s="8">
        <f>IF(D21="","",IFERROR(D21*H21/100,0))</f>
        <v/>
      </c>
      <c r="G21" s="7" t="n"/>
      <c r="H21" s="7" t="n"/>
      <c r="I21" s="7" t="n"/>
      <c r="J21" s="8" t="n"/>
      <c r="K21" s="8">
        <f>IF(D21="","",D21-J21)</f>
        <v/>
      </c>
    </row>
    <row r="22">
      <c r="A22" s="4" t="n"/>
      <c r="B22" s="5" t="n"/>
      <c r="C22" s="4" t="n"/>
      <c r="D22" s="5">
        <f>IF(B22="","",IFERROR(B22*C22/100,0))</f>
        <v/>
      </c>
      <c r="E22" s="5">
        <f>IF(D22="","",IFERROR(D22*G22/100,0))</f>
        <v/>
      </c>
      <c r="F22" s="5">
        <f>IF(D22="","",IFERROR(D22*H22/100,0))</f>
        <v/>
      </c>
      <c r="G22" s="4" t="n"/>
      <c r="H22" s="4" t="n"/>
      <c r="I22" s="4" t="n"/>
      <c r="J22" s="5" t="n"/>
      <c r="K22" s="5">
        <f>IF(D22="","",D22-J22)</f>
        <v/>
      </c>
    </row>
    <row r="23">
      <c r="A23" s="7" t="n"/>
      <c r="B23" s="8" t="n"/>
      <c r="C23" s="7" t="n"/>
      <c r="D23" s="8">
        <f>IF(B23="","",IFERROR(B23*C23/100,0))</f>
        <v/>
      </c>
      <c r="E23" s="8">
        <f>IF(D23="","",IFERROR(D23*G23/100,0))</f>
        <v/>
      </c>
      <c r="F23" s="8">
        <f>IF(D23="","",IFERROR(D23*H23/100,0))</f>
        <v/>
      </c>
      <c r="G23" s="7" t="n"/>
      <c r="H23" s="7" t="n"/>
      <c r="I23" s="7" t="n"/>
      <c r="J23" s="8" t="n"/>
      <c r="K23" s="8">
        <f>IF(D23="","",D23-J23)</f>
        <v/>
      </c>
    </row>
    <row r="24">
      <c r="A24" s="4" t="n"/>
      <c r="B24" s="5" t="n"/>
      <c r="C24" s="4" t="n"/>
      <c r="D24" s="5">
        <f>IF(B24="","",IFERROR(B24*C24/100,0))</f>
        <v/>
      </c>
      <c r="E24" s="5">
        <f>IF(D24="","",IFERROR(D24*G24/100,0))</f>
        <v/>
      </c>
      <c r="F24" s="5">
        <f>IF(D24="","",IFERROR(D24*H24/100,0))</f>
        <v/>
      </c>
      <c r="G24" s="4" t="n"/>
      <c r="H24" s="4" t="n"/>
      <c r="I24" s="4" t="n"/>
      <c r="J24" s="5" t="n"/>
      <c r="K24" s="5">
        <f>IF(D24="","",D24-J24)</f>
        <v/>
      </c>
    </row>
    <row r="25">
      <c r="A25" s="7" t="n"/>
      <c r="B25" s="8" t="n"/>
      <c r="C25" s="7" t="n"/>
      <c r="D25" s="8">
        <f>IF(B25="","",IFERROR(B25*C25/100,0))</f>
        <v/>
      </c>
      <c r="E25" s="8">
        <f>IF(D25="","",IFERROR(D25*G25/100,0))</f>
        <v/>
      </c>
      <c r="F25" s="8">
        <f>IF(D25="","",IFERROR(D25*H25/100,0))</f>
        <v/>
      </c>
      <c r="G25" s="7" t="n"/>
      <c r="H25" s="7" t="n"/>
      <c r="I25" s="7" t="n"/>
      <c r="J25" s="8" t="n"/>
      <c r="K25" s="8">
        <f>IF(D25="","",D25-J25)</f>
        <v/>
      </c>
    </row>
    <row r="26">
      <c r="A26" s="4" t="n"/>
      <c r="B26" s="5" t="n"/>
      <c r="C26" s="4" t="n"/>
      <c r="D26" s="5">
        <f>IF(B26="","",IFERROR(B26*C26/100,0))</f>
        <v/>
      </c>
      <c r="E26" s="5">
        <f>IF(D26="","",IFERROR(D26*G26/100,0))</f>
        <v/>
      </c>
      <c r="F26" s="5">
        <f>IF(D26="","",IFERROR(D26*H26/100,0))</f>
        <v/>
      </c>
      <c r="G26" s="4" t="n"/>
      <c r="H26" s="4" t="n"/>
      <c r="I26" s="4" t="n"/>
      <c r="J26" s="5" t="n"/>
      <c r="K26" s="5">
        <f>IF(D26="","",D26-J26)</f>
        <v/>
      </c>
    </row>
    <row r="27">
      <c r="A27" s="7" t="n"/>
      <c r="B27" s="8" t="n"/>
      <c r="C27" s="7" t="n"/>
      <c r="D27" s="8">
        <f>IF(B27="","",IFERROR(B27*C27/100,0))</f>
        <v/>
      </c>
      <c r="E27" s="8">
        <f>IF(D27="","",IFERROR(D27*G27/100,0))</f>
        <v/>
      </c>
      <c r="F27" s="8">
        <f>IF(D27="","",IFERROR(D27*H27/100,0))</f>
        <v/>
      </c>
      <c r="G27" s="7" t="n"/>
      <c r="H27" s="7" t="n"/>
      <c r="I27" s="7" t="n"/>
      <c r="J27" s="8" t="n"/>
      <c r="K27" s="8">
        <f>IF(D27="","",D27-J27)</f>
        <v/>
      </c>
    </row>
    <row r="28">
      <c r="A28" s="4" t="n"/>
      <c r="B28" s="5" t="n"/>
      <c r="C28" s="4" t="n"/>
      <c r="D28" s="5">
        <f>IF(B28="","",IFERROR(B28*C28/100,0))</f>
        <v/>
      </c>
      <c r="E28" s="5">
        <f>IF(D28="","",IFERROR(D28*G28/100,0))</f>
        <v/>
      </c>
      <c r="F28" s="5">
        <f>IF(D28="","",IFERROR(D28*H28/100,0))</f>
        <v/>
      </c>
      <c r="G28" s="4" t="n"/>
      <c r="H28" s="4" t="n"/>
      <c r="I28" s="4" t="n"/>
      <c r="J28" s="5" t="n"/>
      <c r="K28" s="5">
        <f>IF(D28="","",D28-J28)</f>
        <v/>
      </c>
    </row>
    <row r="29">
      <c r="A29" s="7" t="n"/>
      <c r="B29" s="8" t="n"/>
      <c r="C29" s="7" t="n"/>
      <c r="D29" s="8">
        <f>IF(B29="","",IFERROR(B29*C29/100,0))</f>
        <v/>
      </c>
      <c r="E29" s="8">
        <f>IF(D29="","",IFERROR(D29*G29/100,0))</f>
        <v/>
      </c>
      <c r="F29" s="8">
        <f>IF(D29="","",IFERROR(D29*H29/100,0))</f>
        <v/>
      </c>
      <c r="G29" s="7" t="n"/>
      <c r="H29" s="7" t="n"/>
      <c r="I29" s="7" t="n"/>
      <c r="J29" s="8" t="n"/>
      <c r="K29" s="8">
        <f>IF(D29="","",D29-J29)</f>
        <v/>
      </c>
    </row>
    <row r="30">
      <c r="A30" s="4" t="n"/>
      <c r="B30" s="5" t="n"/>
      <c r="C30" s="4" t="n"/>
      <c r="D30" s="5">
        <f>IF(B30="","",IFERROR(B30*C30/100,0))</f>
        <v/>
      </c>
      <c r="E30" s="5">
        <f>IF(D30="","",IFERROR(D30*G30/100,0))</f>
        <v/>
      </c>
      <c r="F30" s="5">
        <f>IF(D30="","",IFERROR(D30*H30/100,0))</f>
        <v/>
      </c>
      <c r="G30" s="4" t="n"/>
      <c r="H30" s="4" t="n"/>
      <c r="I30" s="4" t="n"/>
      <c r="J30" s="5" t="n"/>
      <c r="K30" s="5">
        <f>IF(D30="","",D30-J30)</f>
        <v/>
      </c>
    </row>
    <row r="31">
      <c r="A31" s="7" t="n"/>
      <c r="B31" s="8" t="n"/>
      <c r="C31" s="7" t="n"/>
      <c r="D31" s="8">
        <f>IF(B31="","",IFERROR(B31*C31/100,0))</f>
        <v/>
      </c>
      <c r="E31" s="8">
        <f>IF(D31="","",IFERROR(D31*G31/100,0))</f>
        <v/>
      </c>
      <c r="F31" s="8">
        <f>IF(D31="","",IFERROR(D31*H31/100,0))</f>
        <v/>
      </c>
      <c r="G31" s="7" t="n"/>
      <c r="H31" s="7" t="n"/>
      <c r="I31" s="7" t="n"/>
      <c r="J31" s="8" t="n"/>
      <c r="K31" s="8">
        <f>IF(D31="","",D31-J31)</f>
        <v/>
      </c>
    </row>
    <row r="32">
      <c r="A32" s="4" t="n"/>
      <c r="B32" s="5" t="n"/>
      <c r="C32" s="4" t="n"/>
      <c r="D32" s="5">
        <f>IF(B32="","",IFERROR(B32*C32/100,0))</f>
        <v/>
      </c>
      <c r="E32" s="5">
        <f>IF(D32="","",IFERROR(D32*G32/100,0))</f>
        <v/>
      </c>
      <c r="F32" s="5">
        <f>IF(D32="","",IFERROR(D32*H32/100,0))</f>
        <v/>
      </c>
      <c r="G32" s="4" t="n"/>
      <c r="H32" s="4" t="n"/>
      <c r="I32" s="4" t="n"/>
      <c r="J32" s="5" t="n"/>
      <c r="K32" s="5">
        <f>IF(D32="","",D32-J32)</f>
        <v/>
      </c>
    </row>
    <row r="33">
      <c r="A33" s="7" t="n"/>
      <c r="B33" s="8" t="n"/>
      <c r="C33" s="7" t="n"/>
      <c r="D33" s="8">
        <f>IF(B33="","",IFERROR(B33*C33/100,0))</f>
        <v/>
      </c>
      <c r="E33" s="8">
        <f>IF(D33="","",IFERROR(D33*G33/100,0))</f>
        <v/>
      </c>
      <c r="F33" s="8">
        <f>IF(D33="","",IFERROR(D33*H33/100,0))</f>
        <v/>
      </c>
      <c r="G33" s="7" t="n"/>
      <c r="H33" s="7" t="n"/>
      <c r="I33" s="7" t="n"/>
      <c r="J33" s="8" t="n"/>
      <c r="K33" s="8">
        <f>IF(D33="","",D33-J33)</f>
        <v/>
      </c>
    </row>
    <row r="34">
      <c r="A34" s="4" t="n"/>
      <c r="B34" s="5" t="n"/>
      <c r="C34" s="4" t="n"/>
      <c r="D34" s="5">
        <f>IF(B34="","",IFERROR(B34*C34/100,0))</f>
        <v/>
      </c>
      <c r="E34" s="5">
        <f>IF(D34="","",IFERROR(D34*G34/100,0))</f>
        <v/>
      </c>
      <c r="F34" s="5">
        <f>IF(D34="","",IFERROR(D34*H34/100,0))</f>
        <v/>
      </c>
      <c r="G34" s="4" t="n"/>
      <c r="H34" s="4" t="n"/>
      <c r="I34" s="4" t="n"/>
      <c r="J34" s="5" t="n"/>
      <c r="K34" s="5">
        <f>IF(D34="","",D34-J34)</f>
        <v/>
      </c>
    </row>
    <row r="35">
      <c r="A35" s="7" t="n"/>
      <c r="B35" s="8" t="n"/>
      <c r="C35" s="7" t="n"/>
      <c r="D35" s="8">
        <f>IF(B35="","",IFERROR(B35*C35/100,0))</f>
        <v/>
      </c>
      <c r="E35" s="8">
        <f>IF(D35="","",IFERROR(D35*G35/100,0))</f>
        <v/>
      </c>
      <c r="F35" s="8">
        <f>IF(D35="","",IFERROR(D35*H35/100,0))</f>
        <v/>
      </c>
      <c r="G35" s="7" t="n"/>
      <c r="H35" s="7" t="n"/>
      <c r="I35" s="7" t="n"/>
      <c r="J35" s="8" t="n"/>
      <c r="K35" s="8">
        <f>IF(D35="","",D35-J35)</f>
        <v/>
      </c>
    </row>
    <row r="36">
      <c r="A36" s="4" t="n"/>
      <c r="B36" s="5" t="n"/>
      <c r="C36" s="4" t="n"/>
      <c r="D36" s="5">
        <f>IF(B36="","",IFERROR(B36*C36/100,0))</f>
        <v/>
      </c>
      <c r="E36" s="5">
        <f>IF(D36="","",IFERROR(D36*G36/100,0))</f>
        <v/>
      </c>
      <c r="F36" s="5">
        <f>IF(D36="","",IFERROR(D36*H36/100,0))</f>
        <v/>
      </c>
      <c r="G36" s="4" t="n"/>
      <c r="H36" s="4" t="n"/>
      <c r="I36" s="4" t="n"/>
      <c r="J36" s="5" t="n"/>
      <c r="K36" s="5">
        <f>IF(D36="","",D36-J36)</f>
        <v/>
      </c>
    </row>
    <row r="37">
      <c r="A37" s="7" t="n"/>
      <c r="B37" s="8" t="n"/>
      <c r="C37" s="7" t="n"/>
      <c r="D37" s="8">
        <f>IF(B37="","",IFERROR(B37*C37/100,0))</f>
        <v/>
      </c>
      <c r="E37" s="8">
        <f>IF(D37="","",IFERROR(D37*G37/100,0))</f>
        <v/>
      </c>
      <c r="F37" s="8">
        <f>IF(D37="","",IFERROR(D37*H37/100,0))</f>
        <v/>
      </c>
      <c r="G37" s="7" t="n"/>
      <c r="H37" s="7" t="n"/>
      <c r="I37" s="7" t="n"/>
      <c r="J37" s="8" t="n"/>
      <c r="K37" s="8">
        <f>IF(D37="","",D37-J37)</f>
        <v/>
      </c>
    </row>
    <row r="38">
      <c r="A38" s="4" t="n"/>
      <c r="B38" s="5" t="n"/>
      <c r="C38" s="4" t="n"/>
      <c r="D38" s="5">
        <f>IF(B38="","",IFERROR(B38*C38/100,0))</f>
        <v/>
      </c>
      <c r="E38" s="5">
        <f>IF(D38="","",IFERROR(D38*G38/100,0))</f>
        <v/>
      </c>
      <c r="F38" s="5">
        <f>IF(D38="","",IFERROR(D38*H38/100,0))</f>
        <v/>
      </c>
      <c r="G38" s="4" t="n"/>
      <c r="H38" s="4" t="n"/>
      <c r="I38" s="4" t="n"/>
      <c r="J38" s="5" t="n"/>
      <c r="K38" s="5">
        <f>IF(D38="","",D38-J38)</f>
        <v/>
      </c>
    </row>
    <row r="39">
      <c r="A39" s="7" t="n"/>
      <c r="B39" s="8" t="n"/>
      <c r="C39" s="7" t="n"/>
      <c r="D39" s="8">
        <f>IF(B39="","",IFERROR(B39*C39/100,0))</f>
        <v/>
      </c>
      <c r="E39" s="8">
        <f>IF(D39="","",IFERROR(D39*G39/100,0))</f>
        <v/>
      </c>
      <c r="F39" s="8">
        <f>IF(D39="","",IFERROR(D39*H39/100,0))</f>
        <v/>
      </c>
      <c r="G39" s="7" t="n"/>
      <c r="H39" s="7" t="n"/>
      <c r="I39" s="7" t="n"/>
      <c r="J39" s="8" t="n"/>
      <c r="K39" s="8">
        <f>IF(D39="","",D39-J39)</f>
        <v/>
      </c>
    </row>
    <row r="40">
      <c r="A40" s="4" t="n"/>
      <c r="B40" s="5" t="n"/>
      <c r="C40" s="4" t="n"/>
      <c r="D40" s="5">
        <f>IF(B40="","",IFERROR(B40*C40/100,0))</f>
        <v/>
      </c>
      <c r="E40" s="5">
        <f>IF(D40="","",IFERROR(D40*G40/100,0))</f>
        <v/>
      </c>
      <c r="F40" s="5">
        <f>IF(D40="","",IFERROR(D40*H40/100,0))</f>
        <v/>
      </c>
      <c r="G40" s="4" t="n"/>
      <c r="H40" s="4" t="n"/>
      <c r="I40" s="4" t="n"/>
      <c r="J40" s="5" t="n"/>
      <c r="K40" s="5">
        <f>IF(D40="","",D40-J40)</f>
        <v/>
      </c>
    </row>
    <row r="41">
      <c r="A41" s="7" t="n"/>
      <c r="B41" s="8" t="n"/>
      <c r="C41" s="7" t="n"/>
      <c r="D41" s="8">
        <f>IF(B41="","",IFERROR(B41*C41/100,0))</f>
        <v/>
      </c>
      <c r="E41" s="8">
        <f>IF(D41="","",IFERROR(D41*G41/100,0))</f>
        <v/>
      </c>
      <c r="F41" s="8">
        <f>IF(D41="","",IFERROR(D41*H41/100,0))</f>
        <v/>
      </c>
      <c r="G41" s="7" t="n"/>
      <c r="H41" s="7" t="n"/>
      <c r="I41" s="7" t="n"/>
      <c r="J41" s="8" t="n"/>
      <c r="K41" s="8">
        <f>IF(D41="","",D41-J41)</f>
        <v/>
      </c>
    </row>
    <row r="42">
      <c r="A42" s="4" t="n"/>
      <c r="B42" s="5" t="n"/>
      <c r="C42" s="4" t="n"/>
      <c r="D42" s="5">
        <f>IF(B42="","",IFERROR(B42*C42/100,0))</f>
        <v/>
      </c>
      <c r="E42" s="5">
        <f>IF(D42="","",IFERROR(D42*G42/100,0))</f>
        <v/>
      </c>
      <c r="F42" s="5">
        <f>IF(D42="","",IFERROR(D42*H42/100,0))</f>
        <v/>
      </c>
      <c r="G42" s="4" t="n"/>
      <c r="H42" s="4" t="n"/>
      <c r="I42" s="4" t="n"/>
      <c r="J42" s="5" t="n"/>
      <c r="K42" s="5">
        <f>IF(D42="","",D42-J42)</f>
        <v/>
      </c>
    </row>
    <row r="43">
      <c r="A43" s="7" t="n"/>
      <c r="B43" s="8" t="n"/>
      <c r="C43" s="7" t="n"/>
      <c r="D43" s="8">
        <f>IF(B43="","",IFERROR(B43*C43/100,0))</f>
        <v/>
      </c>
      <c r="E43" s="8">
        <f>IF(D43="","",IFERROR(D43*G43/100,0))</f>
        <v/>
      </c>
      <c r="F43" s="8">
        <f>IF(D43="","",IFERROR(D43*H43/100,0))</f>
        <v/>
      </c>
      <c r="G43" s="7" t="n"/>
      <c r="H43" s="7" t="n"/>
      <c r="I43" s="7" t="n"/>
      <c r="J43" s="8" t="n"/>
      <c r="K43" s="8">
        <f>IF(D43="","",D43-J43)</f>
        <v/>
      </c>
    </row>
    <row r="44">
      <c r="A44" s="4" t="n"/>
      <c r="B44" s="5" t="n"/>
      <c r="C44" s="4" t="n"/>
      <c r="D44" s="5">
        <f>IF(B44="","",IFERROR(B44*C44/100,0))</f>
        <v/>
      </c>
      <c r="E44" s="5">
        <f>IF(D44="","",IFERROR(D44*G44/100,0))</f>
        <v/>
      </c>
      <c r="F44" s="5">
        <f>IF(D44="","",IFERROR(D44*H44/100,0))</f>
        <v/>
      </c>
      <c r="G44" s="4" t="n"/>
      <c r="H44" s="4" t="n"/>
      <c r="I44" s="4" t="n"/>
      <c r="J44" s="5" t="n"/>
      <c r="K44" s="5">
        <f>IF(D44="","",D44-J44)</f>
        <v/>
      </c>
    </row>
    <row r="45">
      <c r="A45" s="7" t="n"/>
      <c r="B45" s="8" t="n"/>
      <c r="C45" s="7" t="n"/>
      <c r="D45" s="8">
        <f>IF(B45="","",IFERROR(B45*C45/100,0))</f>
        <v/>
      </c>
      <c r="E45" s="8">
        <f>IF(D45="","",IFERROR(D45*G45/100,0))</f>
        <v/>
      </c>
      <c r="F45" s="8">
        <f>IF(D45="","",IFERROR(D45*H45/100,0))</f>
        <v/>
      </c>
      <c r="G45" s="7" t="n"/>
      <c r="H45" s="7" t="n"/>
      <c r="I45" s="7" t="n"/>
      <c r="J45" s="8" t="n"/>
      <c r="K45" s="8">
        <f>IF(D45="","",D45-J45)</f>
        <v/>
      </c>
    </row>
    <row r="46">
      <c r="A46" s="4" t="n"/>
      <c r="B46" s="5" t="n"/>
      <c r="C46" s="4" t="n"/>
      <c r="D46" s="5">
        <f>IF(B46="","",IFERROR(B46*C46/100,0))</f>
        <v/>
      </c>
      <c r="E46" s="5">
        <f>IF(D46="","",IFERROR(D46*G46/100,0))</f>
        <v/>
      </c>
      <c r="F46" s="5">
        <f>IF(D46="","",IFERROR(D46*H46/100,0))</f>
        <v/>
      </c>
      <c r="G46" s="4" t="n"/>
      <c r="H46" s="4" t="n"/>
      <c r="I46" s="4" t="n"/>
      <c r="J46" s="5" t="n"/>
      <c r="K46" s="5">
        <f>IF(D46="","",D46-J46)</f>
        <v/>
      </c>
    </row>
    <row r="47">
      <c r="A47" s="7" t="n"/>
      <c r="B47" s="8" t="n"/>
      <c r="C47" s="7" t="n"/>
      <c r="D47" s="8">
        <f>IF(B47="","",IFERROR(B47*C47/100,0))</f>
        <v/>
      </c>
      <c r="E47" s="8">
        <f>IF(D47="","",IFERROR(D47*G47/100,0))</f>
        <v/>
      </c>
      <c r="F47" s="8">
        <f>IF(D47="","",IFERROR(D47*H47/100,0))</f>
        <v/>
      </c>
      <c r="G47" s="7" t="n"/>
      <c r="H47" s="7" t="n"/>
      <c r="I47" s="7" t="n"/>
      <c r="J47" s="8" t="n"/>
      <c r="K47" s="8">
        <f>IF(D47="","",D47-J47)</f>
        <v/>
      </c>
    </row>
    <row r="48">
      <c r="A48" s="4" t="n"/>
      <c r="B48" s="5" t="n"/>
      <c r="C48" s="4" t="n"/>
      <c r="D48" s="5">
        <f>IF(B48="","",IFERROR(B48*C48/100,0))</f>
        <v/>
      </c>
      <c r="E48" s="5">
        <f>IF(D48="","",IFERROR(D48*G48/100,0))</f>
        <v/>
      </c>
      <c r="F48" s="5">
        <f>IF(D48="","",IFERROR(D48*H48/100,0))</f>
        <v/>
      </c>
      <c r="G48" s="4" t="n"/>
      <c r="H48" s="4" t="n"/>
      <c r="I48" s="4" t="n"/>
      <c r="J48" s="5" t="n"/>
      <c r="K48" s="5">
        <f>IF(D48="","",D48-J48)</f>
        <v/>
      </c>
    </row>
    <row r="49">
      <c r="A49" s="7" t="n"/>
      <c r="B49" s="8" t="n"/>
      <c r="C49" s="7" t="n"/>
      <c r="D49" s="8">
        <f>IF(B49="","",IFERROR(B49*C49/100,0))</f>
        <v/>
      </c>
      <c r="E49" s="8">
        <f>IF(D49="","",IFERROR(D49*G49/100,0))</f>
        <v/>
      </c>
      <c r="F49" s="8">
        <f>IF(D49="","",IFERROR(D49*H49/100,0))</f>
        <v/>
      </c>
      <c r="G49" s="7" t="n"/>
      <c r="H49" s="7" t="n"/>
      <c r="I49" s="7" t="n"/>
      <c r="J49" s="8" t="n"/>
      <c r="K49" s="8">
        <f>IF(D49="","",D49-J49)</f>
        <v/>
      </c>
    </row>
    <row r="50">
      <c r="A50" s="4" t="n"/>
      <c r="B50" s="5" t="n"/>
      <c r="C50" s="4" t="n"/>
      <c r="D50" s="5">
        <f>IF(B50="","",IFERROR(B50*C50/100,0))</f>
        <v/>
      </c>
      <c r="E50" s="5">
        <f>IF(D50="","",IFERROR(D50*G50/100,0))</f>
        <v/>
      </c>
      <c r="F50" s="5">
        <f>IF(D50="","",IFERROR(D50*H50/100,0))</f>
        <v/>
      </c>
      <c r="G50" s="4" t="n"/>
      <c r="H50" s="4" t="n"/>
      <c r="I50" s="4" t="n"/>
      <c r="J50" s="5" t="n"/>
      <c r="K50" s="5">
        <f>IF(D50="","",D50-J50)</f>
        <v/>
      </c>
    </row>
    <row r="51">
      <c r="A51" s="7" t="n"/>
      <c r="B51" s="8" t="n"/>
      <c r="C51" s="7" t="n"/>
      <c r="D51" s="8">
        <f>IF(B51="","",IFERROR(B51*C51/100,0))</f>
        <v/>
      </c>
      <c r="E51" s="8">
        <f>IF(D51="","",IFERROR(D51*G51/100,0))</f>
        <v/>
      </c>
      <c r="F51" s="8">
        <f>IF(D51="","",IFERROR(D51*H51/100,0))</f>
        <v/>
      </c>
      <c r="G51" s="7" t="n"/>
      <c r="H51" s="7" t="n"/>
      <c r="I51" s="7" t="n"/>
      <c r="J51" s="8" t="n"/>
      <c r="K51" s="8">
        <f>IF(D51="","",D51-J51)</f>
        <v/>
      </c>
    </row>
    <row r="52">
      <c r="A52" s="4" t="n"/>
      <c r="B52" s="5" t="n"/>
      <c r="C52" s="4" t="n"/>
      <c r="D52" s="5">
        <f>IF(B52="","",IFERROR(B52*C52/100,0))</f>
        <v/>
      </c>
      <c r="E52" s="5">
        <f>IF(D52="","",IFERROR(D52*G52/100,0))</f>
        <v/>
      </c>
      <c r="F52" s="5">
        <f>IF(D52="","",IFERROR(D52*H52/100,0))</f>
        <v/>
      </c>
      <c r="G52" s="4" t="n"/>
      <c r="H52" s="4" t="n"/>
      <c r="I52" s="4" t="n"/>
      <c r="J52" s="5" t="n"/>
      <c r="K52" s="5">
        <f>IF(D52="","",D52-J52)</f>
        <v/>
      </c>
    </row>
    <row r="53">
      <c r="A53" s="7" t="n"/>
      <c r="B53" s="8" t="n"/>
      <c r="C53" s="7" t="n"/>
      <c r="D53" s="8">
        <f>IF(B53="","",IFERROR(B53*C53/100,0))</f>
        <v/>
      </c>
      <c r="E53" s="8">
        <f>IF(D53="","",IFERROR(D53*G53/100,0))</f>
        <v/>
      </c>
      <c r="F53" s="8">
        <f>IF(D53="","",IFERROR(D53*H53/100,0))</f>
        <v/>
      </c>
      <c r="G53" s="7" t="n"/>
      <c r="H53" s="7" t="n"/>
      <c r="I53" s="7" t="n"/>
      <c r="J53" s="8" t="n"/>
      <c r="K53" s="8">
        <f>IF(D53="","",D53-J53)</f>
        <v/>
      </c>
    </row>
    <row r="54">
      <c r="A54" s="4" t="n"/>
      <c r="B54" s="5" t="n"/>
      <c r="C54" s="4" t="n"/>
      <c r="D54" s="5">
        <f>IF(B54="","",IFERROR(B54*C54/100,0))</f>
        <v/>
      </c>
      <c r="E54" s="5">
        <f>IF(D54="","",IFERROR(D54*G54/100,0))</f>
        <v/>
      </c>
      <c r="F54" s="5">
        <f>IF(D54="","",IFERROR(D54*H54/100,0))</f>
        <v/>
      </c>
      <c r="G54" s="4" t="n"/>
      <c r="H54" s="4" t="n"/>
      <c r="I54" s="4" t="n"/>
      <c r="J54" s="5" t="n"/>
      <c r="K54" s="5">
        <f>IF(D54="","",D54-J54)</f>
        <v/>
      </c>
    </row>
    <row r="55">
      <c r="A55" s="7" t="n"/>
      <c r="B55" s="8" t="n"/>
      <c r="C55" s="7" t="n"/>
      <c r="D55" s="8">
        <f>IF(B55="","",IFERROR(B55*C55/100,0))</f>
        <v/>
      </c>
      <c r="E55" s="8">
        <f>IF(D55="","",IFERROR(D55*G55/100,0))</f>
        <v/>
      </c>
      <c r="F55" s="8">
        <f>IF(D55="","",IFERROR(D55*H55/100,0))</f>
        <v/>
      </c>
      <c r="G55" s="7" t="n"/>
      <c r="H55" s="7" t="n"/>
      <c r="I55" s="7" t="n"/>
      <c r="J55" s="8" t="n"/>
      <c r="K55" s="8">
        <f>IF(D55="","",D55-J55)</f>
        <v/>
      </c>
    </row>
    <row r="56">
      <c r="A56" s="4" t="n"/>
      <c r="B56" s="5" t="n"/>
      <c r="C56" s="4" t="n"/>
      <c r="D56" s="5">
        <f>IF(B56="","",IFERROR(B56*C56/100,0))</f>
        <v/>
      </c>
      <c r="E56" s="5">
        <f>IF(D56="","",IFERROR(D56*G56/100,0))</f>
        <v/>
      </c>
      <c r="F56" s="5">
        <f>IF(D56="","",IFERROR(D56*H56/100,0))</f>
        <v/>
      </c>
      <c r="G56" s="4" t="n"/>
      <c r="H56" s="4" t="n"/>
      <c r="I56" s="4" t="n"/>
      <c r="J56" s="5" t="n"/>
      <c r="K56" s="5">
        <f>IF(D56="","",D56-J56)</f>
        <v/>
      </c>
    </row>
    <row r="57">
      <c r="A57" s="7" t="n"/>
      <c r="B57" s="8" t="n"/>
      <c r="C57" s="7" t="n"/>
      <c r="D57" s="8">
        <f>IF(B57="","",IFERROR(B57*C57/100,0))</f>
        <v/>
      </c>
      <c r="E57" s="8">
        <f>IF(D57="","",IFERROR(D57*G57/100,0))</f>
        <v/>
      </c>
      <c r="F57" s="8">
        <f>IF(D57="","",IFERROR(D57*H57/100,0))</f>
        <v/>
      </c>
      <c r="G57" s="7" t="n"/>
      <c r="H57" s="7" t="n"/>
      <c r="I57" s="7" t="n"/>
      <c r="J57" s="8" t="n"/>
      <c r="K57" s="8">
        <f>IF(D57="","",D57-J57)</f>
        <v/>
      </c>
    </row>
    <row r="58">
      <c r="A58" s="4" t="n"/>
      <c r="B58" s="5" t="n"/>
      <c r="C58" s="4" t="n"/>
      <c r="D58" s="5">
        <f>IF(B58="","",IFERROR(B58*C58/100,0))</f>
        <v/>
      </c>
      <c r="E58" s="5">
        <f>IF(D58="","",IFERROR(D58*G58/100,0))</f>
        <v/>
      </c>
      <c r="F58" s="5">
        <f>IF(D58="","",IFERROR(D58*H58/100,0))</f>
        <v/>
      </c>
      <c r="G58" s="4" t="n"/>
      <c r="H58" s="4" t="n"/>
      <c r="I58" s="4" t="n"/>
      <c r="J58" s="5" t="n"/>
      <c r="K58" s="5">
        <f>IF(D58="","",D58-J58)</f>
        <v/>
      </c>
    </row>
    <row r="59">
      <c r="A59" s="7" t="n"/>
      <c r="B59" s="8" t="n"/>
      <c r="C59" s="7" t="n"/>
      <c r="D59" s="8">
        <f>IF(B59="","",IFERROR(B59*C59/100,0))</f>
        <v/>
      </c>
      <c r="E59" s="8">
        <f>IF(D59="","",IFERROR(D59*G59/100,0))</f>
        <v/>
      </c>
      <c r="F59" s="8">
        <f>IF(D59="","",IFERROR(D59*H59/100,0))</f>
        <v/>
      </c>
      <c r="G59" s="7" t="n"/>
      <c r="H59" s="7" t="n"/>
      <c r="I59" s="7" t="n"/>
      <c r="J59" s="8" t="n"/>
      <c r="K59" s="8">
        <f>IF(D59="","",D59-J59)</f>
        <v/>
      </c>
    </row>
    <row r="60">
      <c r="A60" s="4" t="n"/>
      <c r="B60" s="5" t="n"/>
      <c r="C60" s="4" t="n"/>
      <c r="D60" s="5">
        <f>IF(B60="","",IFERROR(B60*C60/100,0))</f>
        <v/>
      </c>
      <c r="E60" s="5">
        <f>IF(D60="","",IFERROR(D60*G60/100,0))</f>
        <v/>
      </c>
      <c r="F60" s="5">
        <f>IF(D60="","",IFERROR(D60*H60/100,0))</f>
        <v/>
      </c>
      <c r="G60" s="4" t="n"/>
      <c r="H60" s="4" t="n"/>
      <c r="I60" s="4" t="n"/>
      <c r="J60" s="5" t="n"/>
      <c r="K60" s="5">
        <f>IF(D60="","",D60-J60)</f>
        <v/>
      </c>
    </row>
    <row r="61">
      <c r="A61" s="7" t="n"/>
      <c r="B61" s="8" t="n"/>
      <c r="C61" s="7" t="n"/>
      <c r="D61" s="8">
        <f>IF(B61="","",IFERROR(B61*C61/100,0))</f>
        <v/>
      </c>
      <c r="E61" s="8">
        <f>IF(D61="","",IFERROR(D61*G61/100,0))</f>
        <v/>
      </c>
      <c r="F61" s="8">
        <f>IF(D61="","",IFERROR(D61*H61/100,0))</f>
        <v/>
      </c>
      <c r="G61" s="7" t="n"/>
      <c r="H61" s="7" t="n"/>
      <c r="I61" s="7" t="n"/>
      <c r="J61" s="8" t="n"/>
      <c r="K61" s="8">
        <f>IF(D61="","",D61-J61)</f>
        <v/>
      </c>
    </row>
    <row r="62">
      <c r="A62" s="4" t="n"/>
      <c r="B62" s="5" t="n"/>
      <c r="C62" s="4" t="n"/>
      <c r="D62" s="5">
        <f>IF(B62="","",IFERROR(B62*C62/100,0))</f>
        <v/>
      </c>
      <c r="E62" s="5">
        <f>IF(D62="","",IFERROR(D62*G62/100,0))</f>
        <v/>
      </c>
      <c r="F62" s="5">
        <f>IF(D62="","",IFERROR(D62*H62/100,0))</f>
        <v/>
      </c>
      <c r="G62" s="4" t="n"/>
      <c r="H62" s="4" t="n"/>
      <c r="I62" s="4" t="n"/>
      <c r="J62" s="5" t="n"/>
      <c r="K62" s="5">
        <f>IF(D62="","",D62-J62)</f>
        <v/>
      </c>
    </row>
    <row r="63">
      <c r="A63" s="7" t="n"/>
      <c r="B63" s="8" t="n"/>
      <c r="C63" s="7" t="n"/>
      <c r="D63" s="8">
        <f>IF(B63="","",IFERROR(B63*C63/100,0))</f>
        <v/>
      </c>
      <c r="E63" s="8">
        <f>IF(D63="","",IFERROR(D63*G63/100,0))</f>
        <v/>
      </c>
      <c r="F63" s="8">
        <f>IF(D63="","",IFERROR(D63*H63/100,0))</f>
        <v/>
      </c>
      <c r="G63" s="7" t="n"/>
      <c r="H63" s="7" t="n"/>
      <c r="I63" s="7" t="n"/>
      <c r="J63" s="8" t="n"/>
      <c r="K63" s="8">
        <f>IF(D63="","",D63-J63)</f>
        <v/>
      </c>
    </row>
    <row r="64">
      <c r="A64" s="4" t="n"/>
      <c r="B64" s="5" t="n"/>
      <c r="C64" s="4" t="n"/>
      <c r="D64" s="5">
        <f>IF(B64="","",IFERROR(B64*C64/100,0))</f>
        <v/>
      </c>
      <c r="E64" s="5">
        <f>IF(D64="","",IFERROR(D64*G64/100,0))</f>
        <v/>
      </c>
      <c r="F64" s="5">
        <f>IF(D64="","",IFERROR(D64*H64/100,0))</f>
        <v/>
      </c>
      <c r="G64" s="4" t="n"/>
      <c r="H64" s="4" t="n"/>
      <c r="I64" s="4" t="n"/>
      <c r="J64" s="5" t="n"/>
      <c r="K64" s="5">
        <f>IF(D64="","",D64-J64)</f>
        <v/>
      </c>
    </row>
    <row r="65">
      <c r="A65" s="7" t="n"/>
      <c r="B65" s="8" t="n"/>
      <c r="C65" s="7" t="n"/>
      <c r="D65" s="8">
        <f>IF(B65="","",IFERROR(B65*C65/100,0))</f>
        <v/>
      </c>
      <c r="E65" s="8">
        <f>IF(D65="","",IFERROR(D65*G65/100,0))</f>
        <v/>
      </c>
      <c r="F65" s="8">
        <f>IF(D65="","",IFERROR(D65*H65/100,0))</f>
        <v/>
      </c>
      <c r="G65" s="7" t="n"/>
      <c r="H65" s="7" t="n"/>
      <c r="I65" s="7" t="n"/>
      <c r="J65" s="8" t="n"/>
      <c r="K65" s="8">
        <f>IF(D65="","",D65-J65)</f>
        <v/>
      </c>
    </row>
    <row r="66">
      <c r="A66" s="4" t="n"/>
      <c r="B66" s="5" t="n"/>
      <c r="C66" s="4" t="n"/>
      <c r="D66" s="5">
        <f>IF(B66="","",IFERROR(B66*C66/100,0))</f>
        <v/>
      </c>
      <c r="E66" s="5">
        <f>IF(D66="","",IFERROR(D66*G66/100,0))</f>
        <v/>
      </c>
      <c r="F66" s="5">
        <f>IF(D66="","",IFERROR(D66*H66/100,0))</f>
        <v/>
      </c>
      <c r="G66" s="4" t="n"/>
      <c r="H66" s="4" t="n"/>
      <c r="I66" s="4" t="n"/>
      <c r="J66" s="5" t="n"/>
      <c r="K66" s="5">
        <f>IF(D66="","",D66-J66)</f>
        <v/>
      </c>
    </row>
    <row r="67">
      <c r="A67" s="7" t="n"/>
      <c r="B67" s="8" t="n"/>
      <c r="C67" s="7" t="n"/>
      <c r="D67" s="8">
        <f>IF(B67="","",IFERROR(B67*C67/100,0))</f>
        <v/>
      </c>
      <c r="E67" s="8">
        <f>IF(D67="","",IFERROR(D67*G67/100,0))</f>
        <v/>
      </c>
      <c r="F67" s="8">
        <f>IF(D67="","",IFERROR(D67*H67/100,0))</f>
        <v/>
      </c>
      <c r="G67" s="7" t="n"/>
      <c r="H67" s="7" t="n"/>
      <c r="I67" s="7" t="n"/>
      <c r="J67" s="8" t="n"/>
      <c r="K67" s="8">
        <f>IF(D67="","",D67-J67)</f>
        <v/>
      </c>
    </row>
    <row r="68">
      <c r="A68" s="4" t="n"/>
      <c r="B68" s="5" t="n"/>
      <c r="C68" s="4" t="n"/>
      <c r="D68" s="5">
        <f>IF(B68="","",IFERROR(B68*C68/100,0))</f>
        <v/>
      </c>
      <c r="E68" s="5">
        <f>IF(D68="","",IFERROR(D68*G68/100,0))</f>
        <v/>
      </c>
      <c r="F68" s="5">
        <f>IF(D68="","",IFERROR(D68*H68/100,0))</f>
        <v/>
      </c>
      <c r="G68" s="4" t="n"/>
      <c r="H68" s="4" t="n"/>
      <c r="I68" s="4" t="n"/>
      <c r="J68" s="5" t="n"/>
      <c r="K68" s="5">
        <f>IF(D68="","",D68-J68)</f>
        <v/>
      </c>
    </row>
    <row r="69">
      <c r="A69" s="7" t="n"/>
      <c r="B69" s="8" t="n"/>
      <c r="C69" s="7" t="n"/>
      <c r="D69" s="8">
        <f>IF(B69="","",IFERROR(B69*C69/100,0))</f>
        <v/>
      </c>
      <c r="E69" s="8">
        <f>IF(D69="","",IFERROR(D69*G69/100,0))</f>
        <v/>
      </c>
      <c r="F69" s="8">
        <f>IF(D69="","",IFERROR(D69*H69/100,0))</f>
        <v/>
      </c>
      <c r="G69" s="7" t="n"/>
      <c r="H69" s="7" t="n"/>
      <c r="I69" s="7" t="n"/>
      <c r="J69" s="8" t="n"/>
      <c r="K69" s="8">
        <f>IF(D69="","",D69-J69)</f>
        <v/>
      </c>
    </row>
    <row r="70">
      <c r="A70" s="4" t="n"/>
      <c r="B70" s="5" t="n"/>
      <c r="C70" s="4" t="n"/>
      <c r="D70" s="5">
        <f>IF(B70="","",IFERROR(B70*C70/100,0))</f>
        <v/>
      </c>
      <c r="E70" s="5">
        <f>IF(D70="","",IFERROR(D70*G70/100,0))</f>
        <v/>
      </c>
      <c r="F70" s="5">
        <f>IF(D70="","",IFERROR(D70*H70/100,0))</f>
        <v/>
      </c>
      <c r="G70" s="4" t="n"/>
      <c r="H70" s="4" t="n"/>
      <c r="I70" s="4" t="n"/>
      <c r="J70" s="5" t="n"/>
      <c r="K70" s="5">
        <f>IF(D70="","",D70-J70)</f>
        <v/>
      </c>
    </row>
    <row r="71">
      <c r="A71" s="7" t="n"/>
      <c r="B71" s="8" t="n"/>
      <c r="C71" s="7" t="n"/>
      <c r="D71" s="8">
        <f>IF(B71="","",IFERROR(B71*C71/100,0))</f>
        <v/>
      </c>
      <c r="E71" s="8">
        <f>IF(D71="","",IFERROR(D71*G71/100,0))</f>
        <v/>
      </c>
      <c r="F71" s="8">
        <f>IF(D71="","",IFERROR(D71*H71/100,0))</f>
        <v/>
      </c>
      <c r="G71" s="7" t="n"/>
      <c r="H71" s="7" t="n"/>
      <c r="I71" s="7" t="n"/>
      <c r="J71" s="8" t="n"/>
      <c r="K71" s="8">
        <f>IF(D71="","",D71-J71)</f>
        <v/>
      </c>
    </row>
    <row r="72">
      <c r="A72" s="4" t="n"/>
      <c r="B72" s="5" t="n"/>
      <c r="C72" s="4" t="n"/>
      <c r="D72" s="5">
        <f>IF(B72="","",IFERROR(B72*C72/100,0))</f>
        <v/>
      </c>
      <c r="E72" s="5">
        <f>IF(D72="","",IFERROR(D72*G72/100,0))</f>
        <v/>
      </c>
      <c r="F72" s="5">
        <f>IF(D72="","",IFERROR(D72*H72/100,0))</f>
        <v/>
      </c>
      <c r="G72" s="4" t="n"/>
      <c r="H72" s="4" t="n"/>
      <c r="I72" s="4" t="n"/>
      <c r="J72" s="5" t="n"/>
      <c r="K72" s="5">
        <f>IF(D72="","",D72-J72)</f>
        <v/>
      </c>
    </row>
    <row r="73">
      <c r="A73" s="7" t="n"/>
      <c r="B73" s="8" t="n"/>
      <c r="C73" s="7" t="n"/>
      <c r="D73" s="8">
        <f>IF(B73="","",IFERROR(B73*C73/100,0))</f>
        <v/>
      </c>
      <c r="E73" s="8">
        <f>IF(D73="","",IFERROR(D73*G73/100,0))</f>
        <v/>
      </c>
      <c r="F73" s="8">
        <f>IF(D73="","",IFERROR(D73*H73/100,0))</f>
        <v/>
      </c>
      <c r="G73" s="7" t="n"/>
      <c r="H73" s="7" t="n"/>
      <c r="I73" s="7" t="n"/>
      <c r="J73" s="8" t="n"/>
      <c r="K73" s="8">
        <f>IF(D73="","",D73-J73)</f>
        <v/>
      </c>
    </row>
    <row r="74">
      <c r="A74" s="4" t="n"/>
      <c r="B74" s="5" t="n"/>
      <c r="C74" s="4" t="n"/>
      <c r="D74" s="5">
        <f>IF(B74="","",IFERROR(B74*C74/100,0))</f>
        <v/>
      </c>
      <c r="E74" s="5">
        <f>IF(D74="","",IFERROR(D74*G74/100,0))</f>
        <v/>
      </c>
      <c r="F74" s="5">
        <f>IF(D74="","",IFERROR(D74*H74/100,0))</f>
        <v/>
      </c>
      <c r="G74" s="4" t="n"/>
      <c r="H74" s="4" t="n"/>
      <c r="I74" s="4" t="n"/>
      <c r="J74" s="5" t="n"/>
      <c r="K74" s="5">
        <f>IF(D74="","",D74-J74)</f>
        <v/>
      </c>
    </row>
    <row r="75">
      <c r="A75" s="7" t="n"/>
      <c r="B75" s="8" t="n"/>
      <c r="C75" s="7" t="n"/>
      <c r="D75" s="8">
        <f>IF(B75="","",IFERROR(B75*C75/100,0))</f>
        <v/>
      </c>
      <c r="E75" s="8">
        <f>IF(D75="","",IFERROR(D75*G75/100,0))</f>
        <v/>
      </c>
      <c r="F75" s="8">
        <f>IF(D75="","",IFERROR(D75*H75/100,0))</f>
        <v/>
      </c>
      <c r="G75" s="7" t="n"/>
      <c r="H75" s="7" t="n"/>
      <c r="I75" s="7" t="n"/>
      <c r="J75" s="8" t="n"/>
      <c r="K75" s="8">
        <f>IF(D75="","",D75-J75)</f>
        <v/>
      </c>
    </row>
    <row r="76">
      <c r="A76" s="4" t="n"/>
      <c r="B76" s="5" t="n"/>
      <c r="C76" s="4" t="n"/>
      <c r="D76" s="5">
        <f>IF(B76="","",IFERROR(B76*C76/100,0))</f>
        <v/>
      </c>
      <c r="E76" s="5">
        <f>IF(D76="","",IFERROR(D76*G76/100,0))</f>
        <v/>
      </c>
      <c r="F76" s="5">
        <f>IF(D76="","",IFERROR(D76*H76/100,0))</f>
        <v/>
      </c>
      <c r="G76" s="4" t="n"/>
      <c r="H76" s="4" t="n"/>
      <c r="I76" s="4" t="n"/>
      <c r="J76" s="5" t="n"/>
      <c r="K76" s="5">
        <f>IF(D76="","",D76-J76)</f>
        <v/>
      </c>
    </row>
    <row r="77">
      <c r="A77" s="7" t="n"/>
      <c r="B77" s="8" t="n"/>
      <c r="C77" s="7" t="n"/>
      <c r="D77" s="8">
        <f>IF(B77="","",IFERROR(B77*C77/100,0))</f>
        <v/>
      </c>
      <c r="E77" s="8">
        <f>IF(D77="","",IFERROR(D77*G77/100,0))</f>
        <v/>
      </c>
      <c r="F77" s="8">
        <f>IF(D77="","",IFERROR(D77*H77/100,0))</f>
        <v/>
      </c>
      <c r="G77" s="7" t="n"/>
      <c r="H77" s="7" t="n"/>
      <c r="I77" s="7" t="n"/>
      <c r="J77" s="8" t="n"/>
      <c r="K77" s="8">
        <f>IF(D77="","",D77-J77)</f>
        <v/>
      </c>
    </row>
    <row r="78">
      <c r="A78" s="4" t="n"/>
      <c r="B78" s="5" t="n"/>
      <c r="C78" s="4" t="n"/>
      <c r="D78" s="5">
        <f>IF(B78="","",IFERROR(B78*C78/100,0))</f>
        <v/>
      </c>
      <c r="E78" s="5">
        <f>IF(D78="","",IFERROR(D78*G78/100,0))</f>
        <v/>
      </c>
      <c r="F78" s="5">
        <f>IF(D78="","",IFERROR(D78*H78/100,0))</f>
        <v/>
      </c>
      <c r="G78" s="4" t="n"/>
      <c r="H78" s="4" t="n"/>
      <c r="I78" s="4" t="n"/>
      <c r="J78" s="5" t="n"/>
      <c r="K78" s="5">
        <f>IF(D78="","",D78-J78)</f>
        <v/>
      </c>
    </row>
    <row r="79">
      <c r="A79" s="7" t="n"/>
      <c r="B79" s="8" t="n"/>
      <c r="C79" s="7" t="n"/>
      <c r="D79" s="8">
        <f>IF(B79="","",IFERROR(B79*C79/100,0))</f>
        <v/>
      </c>
      <c r="E79" s="8">
        <f>IF(D79="","",IFERROR(D79*G79/100,0))</f>
        <v/>
      </c>
      <c r="F79" s="8">
        <f>IF(D79="","",IFERROR(D79*H79/100,0))</f>
        <v/>
      </c>
      <c r="G79" s="7" t="n"/>
      <c r="H79" s="7" t="n"/>
      <c r="I79" s="7" t="n"/>
      <c r="J79" s="8" t="n"/>
      <c r="K79" s="8">
        <f>IF(D79="","",D79-J79)</f>
        <v/>
      </c>
    </row>
    <row r="80">
      <c r="A80" s="4" t="n"/>
      <c r="B80" s="5" t="n"/>
      <c r="C80" s="4" t="n"/>
      <c r="D80" s="5">
        <f>IF(B80="","",IFERROR(B80*C80/100,0))</f>
        <v/>
      </c>
      <c r="E80" s="5">
        <f>IF(D80="","",IFERROR(D80*G80/100,0))</f>
        <v/>
      </c>
      <c r="F80" s="5">
        <f>IF(D80="","",IFERROR(D80*H80/100,0))</f>
        <v/>
      </c>
      <c r="G80" s="4" t="n"/>
      <c r="H80" s="4" t="n"/>
      <c r="I80" s="4" t="n"/>
      <c r="J80" s="5" t="n"/>
      <c r="K80" s="5">
        <f>IF(D80="","",D80-J80)</f>
        <v/>
      </c>
    </row>
    <row r="81">
      <c r="A81" s="7" t="n"/>
      <c r="B81" s="8" t="n"/>
      <c r="C81" s="7" t="n"/>
      <c r="D81" s="8">
        <f>IF(B81="","",IFERROR(B81*C81/100,0))</f>
        <v/>
      </c>
      <c r="E81" s="8">
        <f>IF(D81="","",IFERROR(D81*G81/100,0))</f>
        <v/>
      </c>
      <c r="F81" s="8">
        <f>IF(D81="","",IFERROR(D81*H81/100,0))</f>
        <v/>
      </c>
      <c r="G81" s="7" t="n"/>
      <c r="H81" s="7" t="n"/>
      <c r="I81" s="7" t="n"/>
      <c r="J81" s="8" t="n"/>
      <c r="K81" s="8">
        <f>IF(D81="","",D81-J81)</f>
        <v/>
      </c>
    </row>
    <row r="82">
      <c r="A82" s="4" t="n"/>
      <c r="B82" s="5" t="n"/>
      <c r="C82" s="4" t="n"/>
      <c r="D82" s="5">
        <f>IF(B82="","",IFERROR(B82*C82/100,0))</f>
        <v/>
      </c>
      <c r="E82" s="5">
        <f>IF(D82="","",IFERROR(D82*G82/100,0))</f>
        <v/>
      </c>
      <c r="F82" s="5">
        <f>IF(D82="","",IFERROR(D82*H82/100,0))</f>
        <v/>
      </c>
      <c r="G82" s="4" t="n"/>
      <c r="H82" s="4" t="n"/>
      <c r="I82" s="4" t="n"/>
      <c r="J82" s="5" t="n"/>
      <c r="K82" s="5">
        <f>IF(D82="","",D82-J82)</f>
        <v/>
      </c>
    </row>
    <row r="83">
      <c r="A83" s="7" t="n"/>
      <c r="B83" s="8" t="n"/>
      <c r="C83" s="7" t="n"/>
      <c r="D83" s="8">
        <f>IF(B83="","",IFERROR(B83*C83/100,0))</f>
        <v/>
      </c>
      <c r="E83" s="8">
        <f>IF(D83="","",IFERROR(D83*G83/100,0))</f>
        <v/>
      </c>
      <c r="F83" s="8">
        <f>IF(D83="","",IFERROR(D83*H83/100,0))</f>
        <v/>
      </c>
      <c r="G83" s="7" t="n"/>
      <c r="H83" s="7" t="n"/>
      <c r="I83" s="7" t="n"/>
      <c r="J83" s="8" t="n"/>
      <c r="K83" s="8">
        <f>IF(D83="","",D83-J83)</f>
        <v/>
      </c>
    </row>
    <row r="84">
      <c r="A84" s="4" t="n"/>
      <c r="B84" s="5" t="n"/>
      <c r="C84" s="4" t="n"/>
      <c r="D84" s="5">
        <f>IF(B84="","",IFERROR(B84*C84/100,0))</f>
        <v/>
      </c>
      <c r="E84" s="5">
        <f>IF(D84="","",IFERROR(D84*G84/100,0))</f>
        <v/>
      </c>
      <c r="F84" s="5">
        <f>IF(D84="","",IFERROR(D84*H84/100,0))</f>
        <v/>
      </c>
      <c r="G84" s="4" t="n"/>
      <c r="H84" s="4" t="n"/>
      <c r="I84" s="4" t="n"/>
      <c r="J84" s="5" t="n"/>
      <c r="K84" s="5">
        <f>IF(D84="","",D84-J84)</f>
        <v/>
      </c>
    </row>
    <row r="85">
      <c r="A85" s="7" t="n"/>
      <c r="B85" s="8" t="n"/>
      <c r="C85" s="7" t="n"/>
      <c r="D85" s="8">
        <f>IF(B85="","",IFERROR(B85*C85/100,0))</f>
        <v/>
      </c>
      <c r="E85" s="8">
        <f>IF(D85="","",IFERROR(D85*G85/100,0))</f>
        <v/>
      </c>
      <c r="F85" s="8">
        <f>IF(D85="","",IFERROR(D85*H85/100,0))</f>
        <v/>
      </c>
      <c r="G85" s="7" t="n"/>
      <c r="H85" s="7" t="n"/>
      <c r="I85" s="7" t="n"/>
      <c r="J85" s="8" t="n"/>
      <c r="K85" s="8">
        <f>IF(D85="","",D85-J85)</f>
        <v/>
      </c>
    </row>
    <row r="86">
      <c r="A86" s="4" t="n"/>
      <c r="B86" s="5" t="n"/>
      <c r="C86" s="4" t="n"/>
      <c r="D86" s="5">
        <f>IF(B86="","",IFERROR(B86*C86/100,0))</f>
        <v/>
      </c>
      <c r="E86" s="5">
        <f>IF(D86="","",IFERROR(D86*G86/100,0))</f>
        <v/>
      </c>
      <c r="F86" s="5">
        <f>IF(D86="","",IFERROR(D86*H86/100,0))</f>
        <v/>
      </c>
      <c r="G86" s="4" t="n"/>
      <c r="H86" s="4" t="n"/>
      <c r="I86" s="4" t="n"/>
      <c r="J86" s="5" t="n"/>
      <c r="K86" s="5">
        <f>IF(D86="","",D86-J86)</f>
        <v/>
      </c>
    </row>
    <row r="87">
      <c r="A87" s="7" t="n"/>
      <c r="B87" s="8" t="n"/>
      <c r="C87" s="7" t="n"/>
      <c r="D87" s="8">
        <f>IF(B87="","",IFERROR(B87*C87/100,0))</f>
        <v/>
      </c>
      <c r="E87" s="8">
        <f>IF(D87="","",IFERROR(D87*G87/100,0))</f>
        <v/>
      </c>
      <c r="F87" s="8">
        <f>IF(D87="","",IFERROR(D87*H87/100,0))</f>
        <v/>
      </c>
      <c r="G87" s="7" t="n"/>
      <c r="H87" s="7" t="n"/>
      <c r="I87" s="7" t="n"/>
      <c r="J87" s="8" t="n"/>
      <c r="K87" s="8">
        <f>IF(D87="","",D87-J87)</f>
        <v/>
      </c>
    </row>
    <row r="88">
      <c r="A88" s="4" t="n"/>
      <c r="B88" s="5" t="n"/>
      <c r="C88" s="4" t="n"/>
      <c r="D88" s="5">
        <f>IF(B88="","",IFERROR(B88*C88/100,0))</f>
        <v/>
      </c>
      <c r="E88" s="5">
        <f>IF(D88="","",IFERROR(D88*G88/100,0))</f>
        <v/>
      </c>
      <c r="F88" s="5">
        <f>IF(D88="","",IFERROR(D88*H88/100,0))</f>
        <v/>
      </c>
      <c r="G88" s="4" t="n"/>
      <c r="H88" s="4" t="n"/>
      <c r="I88" s="4" t="n"/>
      <c r="J88" s="5" t="n"/>
      <c r="K88" s="5">
        <f>IF(D88="","",D88-J88)</f>
        <v/>
      </c>
    </row>
    <row r="89">
      <c r="A89" s="7" t="n"/>
      <c r="B89" s="8" t="n"/>
      <c r="C89" s="7" t="n"/>
      <c r="D89" s="8">
        <f>IF(B89="","",IFERROR(B89*C89/100,0))</f>
        <v/>
      </c>
      <c r="E89" s="8">
        <f>IF(D89="","",IFERROR(D89*G89/100,0))</f>
        <v/>
      </c>
      <c r="F89" s="8">
        <f>IF(D89="","",IFERROR(D89*H89/100,0))</f>
        <v/>
      </c>
      <c r="G89" s="7" t="n"/>
      <c r="H89" s="7" t="n"/>
      <c r="I89" s="7" t="n"/>
      <c r="J89" s="8" t="n"/>
      <c r="K89" s="8">
        <f>IF(D89="","",D89-J89)</f>
        <v/>
      </c>
    </row>
    <row r="90">
      <c r="A90" s="4" t="n"/>
      <c r="B90" s="5" t="n"/>
      <c r="C90" s="4" t="n"/>
      <c r="D90" s="5">
        <f>IF(B90="","",IFERROR(B90*C90/100,0))</f>
        <v/>
      </c>
      <c r="E90" s="5">
        <f>IF(D90="","",IFERROR(D90*G90/100,0))</f>
        <v/>
      </c>
      <c r="F90" s="5">
        <f>IF(D90="","",IFERROR(D90*H90/100,0))</f>
        <v/>
      </c>
      <c r="G90" s="4" t="n"/>
      <c r="H90" s="4" t="n"/>
      <c r="I90" s="4" t="n"/>
      <c r="J90" s="5" t="n"/>
      <c r="K90" s="5">
        <f>IF(D90="","",D90-J90)</f>
        <v/>
      </c>
    </row>
    <row r="91">
      <c r="A91" s="7" t="n"/>
      <c r="B91" s="8" t="n"/>
      <c r="C91" s="7" t="n"/>
      <c r="D91" s="8">
        <f>IF(B91="","",IFERROR(B91*C91/100,0))</f>
        <v/>
      </c>
      <c r="E91" s="8">
        <f>IF(D91="","",IFERROR(D91*G91/100,0))</f>
        <v/>
      </c>
      <c r="F91" s="8">
        <f>IF(D91="","",IFERROR(D91*H91/100,0))</f>
        <v/>
      </c>
      <c r="G91" s="7" t="n"/>
      <c r="H91" s="7" t="n"/>
      <c r="I91" s="7" t="n"/>
      <c r="J91" s="8" t="n"/>
      <c r="K91" s="8">
        <f>IF(D91="","",D91-J91)</f>
        <v/>
      </c>
    </row>
    <row r="92">
      <c r="A92" s="4" t="n"/>
      <c r="B92" s="5" t="n"/>
      <c r="C92" s="4" t="n"/>
      <c r="D92" s="5">
        <f>IF(B92="","",IFERROR(B92*C92/100,0))</f>
        <v/>
      </c>
      <c r="E92" s="5">
        <f>IF(D92="","",IFERROR(D92*G92/100,0))</f>
        <v/>
      </c>
      <c r="F92" s="5">
        <f>IF(D92="","",IFERROR(D92*H92/100,0))</f>
        <v/>
      </c>
      <c r="G92" s="4" t="n"/>
      <c r="H92" s="4" t="n"/>
      <c r="I92" s="4" t="n"/>
      <c r="J92" s="5" t="n"/>
      <c r="K92" s="5">
        <f>IF(D92="","",D92-J92)</f>
        <v/>
      </c>
    </row>
    <row r="93">
      <c r="A93" s="7" t="n"/>
      <c r="B93" s="8" t="n"/>
      <c r="C93" s="7" t="n"/>
      <c r="D93" s="8">
        <f>IF(B93="","",IFERROR(B93*C93/100,0))</f>
        <v/>
      </c>
      <c r="E93" s="8">
        <f>IF(D93="","",IFERROR(D93*G93/100,0))</f>
        <v/>
      </c>
      <c r="F93" s="8">
        <f>IF(D93="","",IFERROR(D93*H93/100,0))</f>
        <v/>
      </c>
      <c r="G93" s="7" t="n"/>
      <c r="H93" s="7" t="n"/>
      <c r="I93" s="7" t="n"/>
      <c r="J93" s="8" t="n"/>
      <c r="K93" s="8">
        <f>IF(D93="","",D93-J93)</f>
        <v/>
      </c>
    </row>
    <row r="94">
      <c r="A94" s="4" t="n"/>
      <c r="B94" s="5" t="n"/>
      <c r="C94" s="4" t="n"/>
      <c r="D94" s="5">
        <f>IF(B94="","",IFERROR(B94*C94/100,0))</f>
        <v/>
      </c>
      <c r="E94" s="5">
        <f>IF(D94="","",IFERROR(D94*G94/100,0))</f>
        <v/>
      </c>
      <c r="F94" s="5">
        <f>IF(D94="","",IFERROR(D94*H94/100,0))</f>
        <v/>
      </c>
      <c r="G94" s="4" t="n"/>
      <c r="H94" s="4" t="n"/>
      <c r="I94" s="4" t="n"/>
      <c r="J94" s="5" t="n"/>
      <c r="K94" s="5">
        <f>IF(D94="","",D94-J94)</f>
        <v/>
      </c>
    </row>
    <row r="95">
      <c r="A95" s="7" t="n"/>
      <c r="B95" s="8" t="n"/>
      <c r="C95" s="7" t="n"/>
      <c r="D95" s="8">
        <f>IF(B95="","",IFERROR(B95*C95/100,0))</f>
        <v/>
      </c>
      <c r="E95" s="8">
        <f>IF(D95="","",IFERROR(D95*G95/100,0))</f>
        <v/>
      </c>
      <c r="F95" s="8">
        <f>IF(D95="","",IFERROR(D95*H95/100,0))</f>
        <v/>
      </c>
      <c r="G95" s="7" t="n"/>
      <c r="H95" s="7" t="n"/>
      <c r="I95" s="7" t="n"/>
      <c r="J95" s="8" t="n"/>
      <c r="K95" s="8">
        <f>IF(D95="","",D95-J95)</f>
        <v/>
      </c>
    </row>
    <row r="96">
      <c r="A96" s="4" t="n"/>
      <c r="B96" s="5" t="n"/>
      <c r="C96" s="4" t="n"/>
      <c r="D96" s="5">
        <f>IF(B96="","",IFERROR(B96*C96/100,0))</f>
        <v/>
      </c>
      <c r="E96" s="5">
        <f>IF(D96="","",IFERROR(D96*G96/100,0))</f>
        <v/>
      </c>
      <c r="F96" s="5">
        <f>IF(D96="","",IFERROR(D96*H96/100,0))</f>
        <v/>
      </c>
      <c r="G96" s="4" t="n"/>
      <c r="H96" s="4" t="n"/>
      <c r="I96" s="4" t="n"/>
      <c r="J96" s="5" t="n"/>
      <c r="K96" s="5">
        <f>IF(D96="","",D96-J96)</f>
        <v/>
      </c>
    </row>
    <row r="97">
      <c r="A97" s="7" t="n"/>
      <c r="B97" s="8" t="n"/>
      <c r="C97" s="7" t="n"/>
      <c r="D97" s="8">
        <f>IF(B97="","",IFERROR(B97*C97/100,0))</f>
        <v/>
      </c>
      <c r="E97" s="8">
        <f>IF(D97="","",IFERROR(D97*G97/100,0))</f>
        <v/>
      </c>
      <c r="F97" s="8">
        <f>IF(D97="","",IFERROR(D97*H97/100,0))</f>
        <v/>
      </c>
      <c r="G97" s="7" t="n"/>
      <c r="H97" s="7" t="n"/>
      <c r="I97" s="7" t="n"/>
      <c r="J97" s="8" t="n"/>
      <c r="K97" s="8">
        <f>IF(D97="","",D97-J97)</f>
        <v/>
      </c>
    </row>
    <row r="98">
      <c r="A98" s="4" t="n"/>
      <c r="B98" s="5" t="n"/>
      <c r="C98" s="4" t="n"/>
      <c r="D98" s="5">
        <f>IF(B98="","",IFERROR(B98*C98/100,0))</f>
        <v/>
      </c>
      <c r="E98" s="5">
        <f>IF(D98="","",IFERROR(D98*G98/100,0))</f>
        <v/>
      </c>
      <c r="F98" s="5">
        <f>IF(D98="","",IFERROR(D98*H98/100,0))</f>
        <v/>
      </c>
      <c r="G98" s="4" t="n"/>
      <c r="H98" s="4" t="n"/>
      <c r="I98" s="4" t="n"/>
      <c r="J98" s="5" t="n"/>
      <c r="K98" s="5">
        <f>IF(D98="","",D98-J98)</f>
        <v/>
      </c>
    </row>
    <row r="99">
      <c r="A99" s="7" t="n"/>
      <c r="B99" s="8" t="n"/>
      <c r="C99" s="7" t="n"/>
      <c r="D99" s="8">
        <f>IF(B99="","",IFERROR(B99*C99/100,0))</f>
        <v/>
      </c>
      <c r="E99" s="8">
        <f>IF(D99="","",IFERROR(D99*G99/100,0))</f>
        <v/>
      </c>
      <c r="F99" s="8">
        <f>IF(D99="","",IFERROR(D99*H99/100,0))</f>
        <v/>
      </c>
      <c r="G99" s="7" t="n"/>
      <c r="H99" s="7" t="n"/>
      <c r="I99" s="7" t="n"/>
      <c r="J99" s="8" t="n"/>
      <c r="K99" s="8">
        <f>IF(D99="","",D99-J99)</f>
        <v/>
      </c>
    </row>
    <row r="100">
      <c r="A100" s="4" t="n"/>
      <c r="B100" s="5" t="n"/>
      <c r="C100" s="4" t="n"/>
      <c r="D100" s="5">
        <f>IF(B100="","",IFERROR(B100*C100/100,0))</f>
        <v/>
      </c>
      <c r="E100" s="5">
        <f>IF(D100="","",IFERROR(D100*G100/100,0))</f>
        <v/>
      </c>
      <c r="F100" s="5">
        <f>IF(D100="","",IFERROR(D100*H100/100,0))</f>
        <v/>
      </c>
      <c r="G100" s="4" t="n"/>
      <c r="H100" s="4" t="n"/>
      <c r="I100" s="4" t="n"/>
      <c r="J100" s="5" t="n"/>
      <c r="K100" s="5">
        <f>IF(D100="","",D100-J100)</f>
        <v/>
      </c>
    </row>
    <row r="101">
      <c r="A101" s="7" t="n"/>
      <c r="B101" s="8" t="n"/>
      <c r="C101" s="7" t="n"/>
      <c r="D101" s="8">
        <f>IF(B101="","",IFERROR(B101*C101/100,0))</f>
        <v/>
      </c>
      <c r="E101" s="8">
        <f>IF(D101="","",IFERROR(D101*G101/100,0))</f>
        <v/>
      </c>
      <c r="F101" s="8">
        <f>IF(D101="","",IFERROR(D101*H101/100,0))</f>
        <v/>
      </c>
      <c r="G101" s="7" t="n"/>
      <c r="H101" s="7" t="n"/>
      <c r="I101" s="7" t="n"/>
      <c r="J101" s="8" t="n"/>
      <c r="K101" s="8">
        <f>IF(D101="","",D101-J101)</f>
        <v/>
      </c>
    </row>
    <row r="102">
      <c r="A102" s="4" t="n"/>
      <c r="B102" s="5" t="n"/>
      <c r="C102" s="4" t="n"/>
      <c r="D102" s="5">
        <f>IF(B102="","",IFERROR(B102*C102/100,0))</f>
        <v/>
      </c>
      <c r="E102" s="5">
        <f>IF(D102="","",IFERROR(D102*G102/100,0))</f>
        <v/>
      </c>
      <c r="F102" s="5">
        <f>IF(D102="","",IFERROR(D102*H102/100,0))</f>
        <v/>
      </c>
      <c r="G102" s="4" t="n"/>
      <c r="H102" s="4" t="n"/>
      <c r="I102" s="4" t="n"/>
      <c r="J102" s="5" t="n"/>
      <c r="K102" s="5">
        <f>IF(D102="","",D102-J102)</f>
        <v/>
      </c>
    </row>
    <row r="103">
      <c r="A103" s="7" t="n"/>
      <c r="B103" s="8" t="n"/>
      <c r="C103" s="7" t="n"/>
      <c r="D103" s="8">
        <f>IF(B103="","",IFERROR(B103*C103/100,0))</f>
        <v/>
      </c>
      <c r="E103" s="8">
        <f>IF(D103="","",IFERROR(D103*G103/100,0))</f>
        <v/>
      </c>
      <c r="F103" s="8">
        <f>IF(D103="","",IFERROR(D103*H103/100,0))</f>
        <v/>
      </c>
      <c r="G103" s="7" t="n"/>
      <c r="H103" s="7" t="n"/>
      <c r="I103" s="7" t="n"/>
      <c r="J103" s="8" t="n"/>
      <c r="K103" s="8">
        <f>IF(D103="","",D103-J103)</f>
        <v/>
      </c>
    </row>
    <row r="104">
      <c r="A104" s="4" t="n"/>
      <c r="B104" s="5" t="n"/>
      <c r="C104" s="4" t="n"/>
      <c r="D104" s="5">
        <f>IF(B104="","",IFERROR(B104*C104/100,0))</f>
        <v/>
      </c>
      <c r="E104" s="5">
        <f>IF(D104="","",IFERROR(D104*G104/100,0))</f>
        <v/>
      </c>
      <c r="F104" s="5">
        <f>IF(D104="","",IFERROR(D104*H104/100,0))</f>
        <v/>
      </c>
      <c r="G104" s="4" t="n"/>
      <c r="H104" s="4" t="n"/>
      <c r="I104" s="4" t="n"/>
      <c r="J104" s="5" t="n"/>
      <c r="K104" s="5">
        <f>IF(D104="","",D104-J104)</f>
        <v/>
      </c>
    </row>
    <row r="105">
      <c r="A105" s="7" t="n"/>
      <c r="B105" s="8" t="n"/>
      <c r="C105" s="7" t="n"/>
      <c r="D105" s="8">
        <f>IF(B105="","",IFERROR(B105*C105/100,0))</f>
        <v/>
      </c>
      <c r="E105" s="8">
        <f>IF(D105="","",IFERROR(D105*G105/100,0))</f>
        <v/>
      </c>
      <c r="F105" s="8">
        <f>IF(D105="","",IFERROR(D105*H105/100,0))</f>
        <v/>
      </c>
      <c r="G105" s="7" t="n"/>
      <c r="H105" s="7" t="n"/>
      <c r="I105" s="7" t="n"/>
      <c r="J105" s="8" t="n"/>
      <c r="K105" s="8">
        <f>IF(D105="","",D105-J105)</f>
        <v/>
      </c>
    </row>
    <row r="106">
      <c r="A106" s="4" t="n"/>
      <c r="B106" s="5" t="n"/>
      <c r="C106" s="4" t="n"/>
      <c r="D106" s="5">
        <f>IF(B106="","",IFERROR(B106*C106/100,0))</f>
        <v/>
      </c>
      <c r="E106" s="5">
        <f>IF(D106="","",IFERROR(D106*G106/100,0))</f>
        <v/>
      </c>
      <c r="F106" s="5">
        <f>IF(D106="","",IFERROR(D106*H106/100,0))</f>
        <v/>
      </c>
      <c r="G106" s="4" t="n"/>
      <c r="H106" s="4" t="n"/>
      <c r="I106" s="4" t="n"/>
      <c r="J106" s="5" t="n"/>
      <c r="K106" s="5">
        <f>IF(D106="","",D106-J106)</f>
        <v/>
      </c>
    </row>
    <row r="107">
      <c r="A107" s="7" t="n"/>
      <c r="B107" s="8" t="n"/>
      <c r="C107" s="7" t="n"/>
      <c r="D107" s="8">
        <f>IF(B107="","",IFERROR(B107*C107/100,0))</f>
        <v/>
      </c>
      <c r="E107" s="8">
        <f>IF(D107="","",IFERROR(D107*G107/100,0))</f>
        <v/>
      </c>
      <c r="F107" s="8">
        <f>IF(D107="","",IFERROR(D107*H107/100,0))</f>
        <v/>
      </c>
      <c r="G107" s="7" t="n"/>
      <c r="H107" s="7" t="n"/>
      <c r="I107" s="7" t="n"/>
      <c r="J107" s="8" t="n"/>
      <c r="K107" s="8">
        <f>IF(D107="","",D107-J107)</f>
        <v/>
      </c>
    </row>
    <row r="108">
      <c r="A108" s="4" t="n"/>
      <c r="B108" s="5" t="n"/>
      <c r="C108" s="4" t="n"/>
      <c r="D108" s="5">
        <f>IF(B108="","",IFERROR(B108*C108/100,0))</f>
        <v/>
      </c>
      <c r="E108" s="5">
        <f>IF(D108="","",IFERROR(D108*G108/100,0))</f>
        <v/>
      </c>
      <c r="F108" s="5">
        <f>IF(D108="","",IFERROR(D108*H108/100,0))</f>
        <v/>
      </c>
      <c r="G108" s="4" t="n"/>
      <c r="H108" s="4" t="n"/>
      <c r="I108" s="4" t="n"/>
      <c r="J108" s="5" t="n"/>
      <c r="K108" s="5">
        <f>IF(D108="","",D108-J108)</f>
        <v/>
      </c>
    </row>
    <row r="109">
      <c r="A109" s="7" t="n"/>
      <c r="B109" s="8" t="n"/>
      <c r="C109" s="7" t="n"/>
      <c r="D109" s="8">
        <f>IF(B109="","",IFERROR(B109*C109/100,0))</f>
        <v/>
      </c>
      <c r="E109" s="8">
        <f>IF(D109="","",IFERROR(D109*G109/100,0))</f>
        <v/>
      </c>
      <c r="F109" s="8">
        <f>IF(D109="","",IFERROR(D109*H109/100,0))</f>
        <v/>
      </c>
      <c r="G109" s="7" t="n"/>
      <c r="H109" s="7" t="n"/>
      <c r="I109" s="7" t="n"/>
      <c r="J109" s="8" t="n"/>
      <c r="K109" s="8">
        <f>IF(D109="","",D109-J109)</f>
        <v/>
      </c>
    </row>
    <row r="110">
      <c r="A110" s="4" t="n"/>
      <c r="B110" s="5" t="n"/>
      <c r="C110" s="4" t="n"/>
      <c r="D110" s="5">
        <f>IF(B110="","",IFERROR(B110*C110/100,0))</f>
        <v/>
      </c>
      <c r="E110" s="5">
        <f>IF(D110="","",IFERROR(D110*G110/100,0))</f>
        <v/>
      </c>
      <c r="F110" s="5">
        <f>IF(D110="","",IFERROR(D110*H110/100,0))</f>
        <v/>
      </c>
      <c r="G110" s="4" t="n"/>
      <c r="H110" s="4" t="n"/>
      <c r="I110" s="4" t="n"/>
      <c r="J110" s="5" t="n"/>
      <c r="K110" s="5">
        <f>IF(D110="","",D110-J110)</f>
        <v/>
      </c>
    </row>
    <row r="111">
      <c r="A111" s="7" t="n"/>
      <c r="B111" s="8" t="n"/>
      <c r="C111" s="7" t="n"/>
      <c r="D111" s="8">
        <f>IF(B111="","",IFERROR(B111*C111/100,0))</f>
        <v/>
      </c>
      <c r="E111" s="8">
        <f>IF(D111="","",IFERROR(D111*G111/100,0))</f>
        <v/>
      </c>
      <c r="F111" s="8">
        <f>IF(D111="","",IFERROR(D111*H111/100,0))</f>
        <v/>
      </c>
      <c r="G111" s="7" t="n"/>
      <c r="H111" s="7" t="n"/>
      <c r="I111" s="7" t="n"/>
      <c r="J111" s="8" t="n"/>
      <c r="K111" s="8">
        <f>IF(D111="","",D111-J111)</f>
        <v/>
      </c>
    </row>
    <row r="112">
      <c r="A112" s="4" t="n"/>
      <c r="B112" s="5" t="n"/>
      <c r="C112" s="4" t="n"/>
      <c r="D112" s="5">
        <f>IF(B112="","",IFERROR(B112*C112/100,0))</f>
        <v/>
      </c>
      <c r="E112" s="5">
        <f>IF(D112="","",IFERROR(D112*G112/100,0))</f>
        <v/>
      </c>
      <c r="F112" s="5">
        <f>IF(D112="","",IFERROR(D112*H112/100,0))</f>
        <v/>
      </c>
      <c r="G112" s="4" t="n"/>
      <c r="H112" s="4" t="n"/>
      <c r="I112" s="4" t="n"/>
      <c r="J112" s="5" t="n"/>
      <c r="K112" s="5">
        <f>IF(D112="","",D112-J112)</f>
        <v/>
      </c>
    </row>
    <row r="113">
      <c r="A113" s="7" t="n"/>
      <c r="B113" s="8" t="n"/>
      <c r="C113" s="7" t="n"/>
      <c r="D113" s="8">
        <f>IF(B113="","",IFERROR(B113*C113/100,0))</f>
        <v/>
      </c>
      <c r="E113" s="8">
        <f>IF(D113="","",IFERROR(D113*G113/100,0))</f>
        <v/>
      </c>
      <c r="F113" s="8">
        <f>IF(D113="","",IFERROR(D113*H113/100,0))</f>
        <v/>
      </c>
      <c r="G113" s="7" t="n"/>
      <c r="H113" s="7" t="n"/>
      <c r="I113" s="7" t="n"/>
      <c r="J113" s="8" t="n"/>
      <c r="K113" s="8">
        <f>IF(D113="","",D113-J113)</f>
        <v/>
      </c>
    </row>
    <row r="114">
      <c r="A114" s="4" t="n"/>
      <c r="B114" s="5" t="n"/>
      <c r="C114" s="4" t="n"/>
      <c r="D114" s="5">
        <f>IF(B114="","",IFERROR(B114*C114/100,0))</f>
        <v/>
      </c>
      <c r="E114" s="5">
        <f>IF(D114="","",IFERROR(D114*G114/100,0))</f>
        <v/>
      </c>
      <c r="F114" s="5">
        <f>IF(D114="","",IFERROR(D114*H114/100,0))</f>
        <v/>
      </c>
      <c r="G114" s="4" t="n"/>
      <c r="H114" s="4" t="n"/>
      <c r="I114" s="4" t="n"/>
      <c r="J114" s="5" t="n"/>
      <c r="K114" s="5">
        <f>IF(D114="","",D114-J114)</f>
        <v/>
      </c>
    </row>
    <row r="115">
      <c r="A115" s="7" t="n"/>
      <c r="B115" s="8" t="n"/>
      <c r="C115" s="7" t="n"/>
      <c r="D115" s="8">
        <f>IF(B115="","",IFERROR(B115*C115/100,0))</f>
        <v/>
      </c>
      <c r="E115" s="8">
        <f>IF(D115="","",IFERROR(D115*G115/100,0))</f>
        <v/>
      </c>
      <c r="F115" s="8">
        <f>IF(D115="","",IFERROR(D115*H115/100,0))</f>
        <v/>
      </c>
      <c r="G115" s="7" t="n"/>
      <c r="H115" s="7" t="n"/>
      <c r="I115" s="7" t="n"/>
      <c r="J115" s="8" t="n"/>
      <c r="K115" s="8">
        <f>IF(D115="","",D115-J115)</f>
        <v/>
      </c>
    </row>
  </sheetData>
  <mergeCells count="2">
    <mergeCell ref="A3:P3"/>
    <mergeCell ref="A2:P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986CB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26" customWidth="1" min="12" max="12"/>
  </cols>
  <sheetData>
    <row r="2" ht="25" customHeight="1">
      <c r="A2" s="1" t="inlineStr">
        <is>
          <t>DOMAINE 26 — 13-CHARGES DIVERSES RH (FORMATION/SÉCURITÉ/MOBILITÉ)</t>
        </is>
      </c>
    </row>
    <row r="3" ht="18" customHeight="1">
      <c r="A3" s="2" t="inlineStr">
        <is>
          <t>TABLEAU DYNAMIQUE — Suivi des charges transversales RH</t>
        </is>
      </c>
    </row>
    <row r="5">
      <c r="A5" s="3" t="inlineStr">
        <is>
          <t>Poste de Charge</t>
        </is>
      </c>
      <c r="B5" s="3" t="inlineStr">
        <is>
          <t>Département</t>
        </is>
      </c>
      <c r="C5" s="3" t="inlineStr">
        <is>
          <t>Nature</t>
        </is>
      </c>
      <c r="D5" s="3" t="inlineStr">
        <is>
          <t>Budget Annuel (FCFA)</t>
        </is>
      </c>
      <c r="E5" s="3" t="inlineStr">
        <is>
          <t>Q1 Consommé (FCFA)</t>
        </is>
      </c>
      <c r="F5" s="3" t="inlineStr">
        <is>
          <t>Q2 Consommé (FCFA)</t>
        </is>
      </c>
      <c r="G5" s="3" t="inlineStr">
        <is>
          <t>Q3 Consommé (FCFA)</t>
        </is>
      </c>
      <c r="H5" s="3" t="inlineStr">
        <is>
          <t>Q4 Consommé (FCFA)</t>
        </is>
      </c>
      <c r="I5" s="3" t="inlineStr">
        <is>
          <t>Total Consommé (FCFA)</t>
        </is>
      </c>
      <c r="J5" s="3" t="inlineStr">
        <is>
          <t>Reste (FCFA)</t>
        </is>
      </c>
      <c r="K5" s="3" t="inlineStr">
        <is>
          <t>Taux Consommation (%)</t>
        </is>
      </c>
      <c r="L5" s="3" t="inlineStr">
        <is>
          <t>Observation</t>
        </is>
      </c>
    </row>
    <row r="6">
      <c r="A6" s="4" t="inlineStr">
        <is>
          <t>Formation continue</t>
        </is>
      </c>
      <c r="B6" s="4" t="inlineStr">
        <is>
          <t>RH</t>
        </is>
      </c>
      <c r="C6" s="4" t="inlineStr">
        <is>
          <t>Charges de formation</t>
        </is>
      </c>
      <c r="D6" s="5" t="n">
        <v>15000000</v>
      </c>
      <c r="E6" s="5" t="n">
        <v>3200000</v>
      </c>
      <c r="F6" s="5" t="n">
        <v>2800000</v>
      </c>
      <c r="G6" s="5" t="n">
        <v>1500000</v>
      </c>
      <c r="H6" s="5" t="n">
        <v>1200000</v>
      </c>
      <c r="I6" s="5">
        <f>SUM(E6:H6)</f>
        <v/>
      </c>
      <c r="J6" s="5">
        <f>D6-I6</f>
        <v/>
      </c>
      <c r="K6" s="6">
        <f>IFERROR(I6/D6,0)</f>
        <v/>
      </c>
      <c r="L6" s="4" t="inlineStr">
        <is>
          <t>Programme e-learning lancé</t>
        </is>
      </c>
    </row>
    <row r="7">
      <c r="A7" s="7" t="inlineStr">
        <is>
          <t>Sécurité au travail</t>
        </is>
      </c>
      <c r="B7" s="7" t="inlineStr">
        <is>
          <t>Tous</t>
        </is>
      </c>
      <c r="C7" s="7" t="inlineStr">
        <is>
          <t>Charges SST</t>
        </is>
      </c>
      <c r="D7" s="8" t="n">
        <v>12000000</v>
      </c>
      <c r="E7" s="8" t="n">
        <v>2500000</v>
      </c>
      <c r="F7" s="8" t="n">
        <v>2100000</v>
      </c>
      <c r="G7" s="8" t="n">
        <v>1800000</v>
      </c>
      <c r="H7" s="8" t="n">
        <v>1400000</v>
      </c>
      <c r="I7" s="8">
        <f>SUM(E7:H7)</f>
        <v/>
      </c>
      <c r="J7" s="8">
        <f>D7-I7</f>
        <v/>
      </c>
      <c r="K7" s="9">
        <f>IFERROR(I7/D7,0)</f>
        <v/>
      </c>
      <c r="L7" s="7" t="inlineStr">
        <is>
          <t>EPI renouvelés Q2</t>
        </is>
      </c>
    </row>
    <row r="8">
      <c r="A8" s="4" t="inlineStr">
        <is>
          <t>Recrutement externe</t>
        </is>
      </c>
      <c r="B8" s="4" t="inlineStr">
        <is>
          <t>RH</t>
        </is>
      </c>
      <c r="C8" s="4" t="inlineStr">
        <is>
          <t>Charges recrutement</t>
        </is>
      </c>
      <c r="D8" s="5" t="n">
        <v>8000000</v>
      </c>
      <c r="E8" s="5" t="n">
        <v>1800000</v>
      </c>
      <c r="F8" s="5" t="n">
        <v>2200000</v>
      </c>
      <c r="G8" s="5" t="n">
        <v>1200000</v>
      </c>
      <c r="H8" s="5" t="n">
        <v>1000000</v>
      </c>
      <c r="I8" s="5">
        <f>SUM(E8:H8)</f>
        <v/>
      </c>
      <c r="J8" s="5">
        <f>D8-I8</f>
        <v/>
      </c>
      <c r="K8" s="6">
        <f>IFERROR(I8/D8,0)</f>
        <v/>
      </c>
      <c r="L8" s="4" t="inlineStr">
        <is>
          <t>3 recrutements clés Q2</t>
        </is>
      </c>
    </row>
    <row r="9">
      <c r="A9" s="7" t="inlineStr">
        <is>
          <t>Mobilité interne</t>
        </is>
      </c>
      <c r="B9" s="7" t="inlineStr">
        <is>
          <t>RH</t>
        </is>
      </c>
      <c r="C9" s="7" t="inlineStr">
        <is>
          <t>Charges de mobilité</t>
        </is>
      </c>
      <c r="D9" s="8" t="n">
        <v>5000000</v>
      </c>
      <c r="E9" s="8" t="n">
        <v>800000</v>
      </c>
      <c r="F9" s="8" t="n">
        <v>1200000</v>
      </c>
      <c r="G9" s="8" t="n">
        <v>600000</v>
      </c>
      <c r="H9" s="8" t="n">
        <v>400000</v>
      </c>
      <c r="I9" s="8">
        <f>SUM(E9:H9)</f>
        <v/>
      </c>
      <c r="J9" s="8">
        <f>D9-I9</f>
        <v/>
      </c>
      <c r="K9" s="9">
        <f>IFERROR(I9/D9,0)</f>
        <v/>
      </c>
      <c r="L9" s="7" t="inlineStr">
        <is>
          <t>Mutations planifiées</t>
        </is>
      </c>
    </row>
    <row r="10">
      <c r="A10" s="4" t="inlineStr">
        <is>
          <t>Cabinet conseil RH</t>
        </is>
      </c>
      <c r="B10" s="4" t="inlineStr">
        <is>
          <t>DG</t>
        </is>
      </c>
      <c r="C10" s="4" t="inlineStr">
        <is>
          <t>Honoraires</t>
        </is>
      </c>
      <c r="D10" s="5" t="n">
        <v>6000000</v>
      </c>
      <c r="E10" s="5" t="n">
        <v>1500000</v>
      </c>
      <c r="F10" s="5" t="n">
        <v>1500000</v>
      </c>
      <c r="G10" s="5" t="n">
        <v>1500000</v>
      </c>
      <c r="H10" s="5" t="n">
        <v>1500000</v>
      </c>
      <c r="I10" s="5">
        <f>SUM(E10:H10)</f>
        <v/>
      </c>
      <c r="J10" s="5">
        <f>D10-I10</f>
        <v/>
      </c>
      <c r="K10" s="6">
        <f>IFERROR(I10/D10,0)</f>
        <v/>
      </c>
      <c r="L10" s="4" t="inlineStr">
        <is>
          <t>Contrat annuel fixe</t>
        </is>
      </c>
    </row>
    <row r="11">
      <c r="A11" s="7" t="inlineStr">
        <is>
          <t>Logiciels RH (SIRH)</t>
        </is>
      </c>
      <c r="B11" s="7" t="inlineStr">
        <is>
          <t>RH</t>
        </is>
      </c>
      <c r="C11" s="7" t="inlineStr">
        <is>
          <t>Investissement</t>
        </is>
      </c>
      <c r="D11" s="8" t="n">
        <v>4000000</v>
      </c>
      <c r="E11" s="8" t="n">
        <v>3000000</v>
      </c>
      <c r="F11" s="8" t="n">
        <v>500000</v>
      </c>
      <c r="G11" s="8" t="n">
        <v>200000</v>
      </c>
      <c r="H11" s="8" t="n">
        <v>300000</v>
      </c>
      <c r="I11" s="8">
        <f>SUM(E11:H11)</f>
        <v/>
      </c>
      <c r="J11" s="8">
        <f>D11-I11</f>
        <v/>
      </c>
      <c r="K11" s="9">
        <f>IFERROR(I11/D11,0)</f>
        <v/>
      </c>
      <c r="L11" s="7" t="inlineStr">
        <is>
          <t>Déploiement terminé Q1</t>
        </is>
      </c>
    </row>
    <row r="12">
      <c r="A12" s="4" t="inlineStr">
        <is>
          <t>Audit social</t>
        </is>
      </c>
      <c r="B12" s="4" t="inlineStr">
        <is>
          <t>RH</t>
        </is>
      </c>
      <c r="C12" s="4" t="inlineStr">
        <is>
          <t>Honoraires</t>
        </is>
      </c>
      <c r="D12" s="5" t="n">
        <v>2000000</v>
      </c>
      <c r="E12" s="5" t="n">
        <v>0</v>
      </c>
      <c r="F12" s="5" t="n">
        <v>2000000</v>
      </c>
      <c r="G12" s="5" t="n">
        <v>0</v>
      </c>
      <c r="H12" s="5" t="n">
        <v>0</v>
      </c>
      <c r="I12" s="5">
        <f>SUM(E12:H12)</f>
        <v/>
      </c>
      <c r="J12" s="5">
        <f>D12-I12</f>
        <v/>
      </c>
      <c r="K12" s="6">
        <f>IFERROR(I12/D12,0)</f>
        <v/>
      </c>
      <c r="L12" s="4" t="inlineStr">
        <is>
          <t>Audit biennal planifié Q2</t>
        </is>
      </c>
    </row>
    <row r="13">
      <c r="A13" s="7" t="inlineStr">
        <is>
          <t>Actions sociales</t>
        </is>
      </c>
      <c r="B13" s="7" t="inlineStr">
        <is>
          <t>RH</t>
        </is>
      </c>
      <c r="C13" s="7" t="inlineStr">
        <is>
          <t>Charges sociales</t>
        </is>
      </c>
      <c r="D13" s="8" t="n">
        <v>3500000</v>
      </c>
      <c r="E13" s="8" t="n">
        <v>800000</v>
      </c>
      <c r="F13" s="8" t="n">
        <v>900000</v>
      </c>
      <c r="G13" s="8" t="n">
        <v>700000</v>
      </c>
      <c r="H13" s="8" t="n">
        <v>600000</v>
      </c>
      <c r="I13" s="8">
        <f>SUM(E13:H13)</f>
        <v/>
      </c>
      <c r="J13" s="8">
        <f>D13-I13</f>
        <v/>
      </c>
      <c r="K13" s="9">
        <f>IFERROR(I13/D13,0)</f>
        <v/>
      </c>
      <c r="L13" s="7" t="inlineStr">
        <is>
          <t>CE et activités sociales</t>
        </is>
      </c>
    </row>
    <row r="14">
      <c r="A14" s="4" t="n"/>
      <c r="B14" s="4" t="n"/>
      <c r="C14" s="4" t="n"/>
      <c r="D14" s="5" t="n"/>
      <c r="E14" s="5" t="n"/>
      <c r="F14" s="5" t="n"/>
      <c r="G14" s="5" t="n"/>
      <c r="H14" s="5" t="n"/>
      <c r="I14" s="5">
        <f>IF(D14="","",SUM(E14:H14))</f>
        <v/>
      </c>
      <c r="J14" s="5">
        <f>IF(D14="","",D14-I14)</f>
        <v/>
      </c>
      <c r="K14" s="6">
        <f>IF(D14="","",IFERROR(I14/D14,0))</f>
        <v/>
      </c>
      <c r="L14" s="4" t="n"/>
    </row>
    <row r="15">
      <c r="A15" s="7" t="n"/>
      <c r="B15" s="7" t="n"/>
      <c r="C15" s="7" t="n"/>
      <c r="D15" s="8" t="n"/>
      <c r="E15" s="8" t="n"/>
      <c r="F15" s="8" t="n"/>
      <c r="G15" s="8" t="n"/>
      <c r="H15" s="8" t="n"/>
      <c r="I15" s="8">
        <f>IF(D15="","",SUM(E15:H15))</f>
        <v/>
      </c>
      <c r="J15" s="8">
        <f>IF(D15="","",D15-I15)</f>
        <v/>
      </c>
      <c r="K15" s="9">
        <f>IF(D15="","",IFERROR(I15/D15,0))</f>
        <v/>
      </c>
      <c r="L15" s="7" t="n"/>
    </row>
    <row r="16">
      <c r="A16" s="4" t="n"/>
      <c r="B16" s="4" t="n"/>
      <c r="C16" s="4" t="n"/>
      <c r="D16" s="5" t="n"/>
      <c r="E16" s="5" t="n"/>
      <c r="F16" s="5" t="n"/>
      <c r="G16" s="5" t="n"/>
      <c r="H16" s="5" t="n"/>
      <c r="I16" s="5">
        <f>IF(D16="","",SUM(E16:H16))</f>
        <v/>
      </c>
      <c r="J16" s="5">
        <f>IF(D16="","",D16-I16)</f>
        <v/>
      </c>
      <c r="K16" s="6">
        <f>IF(D16="","",IFERROR(I16/D16,0))</f>
        <v/>
      </c>
      <c r="L16" s="4" t="n"/>
    </row>
    <row r="17">
      <c r="A17" s="7" t="n"/>
      <c r="B17" s="7" t="n"/>
      <c r="C17" s="7" t="n"/>
      <c r="D17" s="8" t="n"/>
      <c r="E17" s="8" t="n"/>
      <c r="F17" s="8" t="n"/>
      <c r="G17" s="8" t="n"/>
      <c r="H17" s="8" t="n"/>
      <c r="I17" s="8">
        <f>IF(D17="","",SUM(E17:H17))</f>
        <v/>
      </c>
      <c r="J17" s="8">
        <f>IF(D17="","",D17-I17)</f>
        <v/>
      </c>
      <c r="K17" s="9">
        <f>IF(D17="","",IFERROR(I17/D17,0))</f>
        <v/>
      </c>
      <c r="L17" s="7" t="n"/>
    </row>
    <row r="18">
      <c r="A18" s="4" t="n"/>
      <c r="B18" s="4" t="n"/>
      <c r="C18" s="4" t="n"/>
      <c r="D18" s="5" t="n"/>
      <c r="E18" s="5" t="n"/>
      <c r="F18" s="5" t="n"/>
      <c r="G18" s="5" t="n"/>
      <c r="H18" s="5" t="n"/>
      <c r="I18" s="5">
        <f>IF(D18="","",SUM(E18:H18))</f>
        <v/>
      </c>
      <c r="J18" s="5">
        <f>IF(D18="","",D18-I18)</f>
        <v/>
      </c>
      <c r="K18" s="6">
        <f>IF(D18="","",IFERROR(I18/D18,0))</f>
        <v/>
      </c>
      <c r="L18" s="4" t="n"/>
    </row>
    <row r="19">
      <c r="A19" s="7" t="n"/>
      <c r="B19" s="7" t="n"/>
      <c r="C19" s="7" t="n"/>
      <c r="D19" s="8" t="n"/>
      <c r="E19" s="8" t="n"/>
      <c r="F19" s="8" t="n"/>
      <c r="G19" s="8" t="n"/>
      <c r="H19" s="8" t="n"/>
      <c r="I19" s="8">
        <f>IF(D19="","",SUM(E19:H19))</f>
        <v/>
      </c>
      <c r="J19" s="8">
        <f>IF(D19="","",D19-I19)</f>
        <v/>
      </c>
      <c r="K19" s="9">
        <f>IF(D19="","",IFERROR(I19/D19,0))</f>
        <v/>
      </c>
      <c r="L19" s="7" t="n"/>
    </row>
    <row r="20">
      <c r="A20" s="4" t="n"/>
      <c r="B20" s="4" t="n"/>
      <c r="C20" s="4" t="n"/>
      <c r="D20" s="5" t="n"/>
      <c r="E20" s="5" t="n"/>
      <c r="F20" s="5" t="n"/>
      <c r="G20" s="5" t="n"/>
      <c r="H20" s="5" t="n"/>
      <c r="I20" s="5">
        <f>IF(D20="","",SUM(E20:H20))</f>
        <v/>
      </c>
      <c r="J20" s="5">
        <f>IF(D20="","",D20-I20)</f>
        <v/>
      </c>
      <c r="K20" s="6">
        <f>IF(D20="","",IFERROR(I20/D20,0))</f>
        <v/>
      </c>
      <c r="L20" s="4" t="n"/>
    </row>
    <row r="21">
      <c r="A21" s="7" t="n"/>
      <c r="B21" s="7" t="n"/>
      <c r="C21" s="7" t="n"/>
      <c r="D21" s="8" t="n"/>
      <c r="E21" s="8" t="n"/>
      <c r="F21" s="8" t="n"/>
      <c r="G21" s="8" t="n"/>
      <c r="H21" s="8" t="n"/>
      <c r="I21" s="8">
        <f>IF(D21="","",SUM(E21:H21))</f>
        <v/>
      </c>
      <c r="J21" s="8">
        <f>IF(D21="","",D21-I21)</f>
        <v/>
      </c>
      <c r="K21" s="9">
        <f>IF(D21="","",IFERROR(I21/D21,0))</f>
        <v/>
      </c>
      <c r="L21" s="7" t="n"/>
    </row>
    <row r="22">
      <c r="A22" s="4" t="n"/>
      <c r="B22" s="4" t="n"/>
      <c r="C22" s="4" t="n"/>
      <c r="D22" s="5" t="n"/>
      <c r="E22" s="5" t="n"/>
      <c r="F22" s="5" t="n"/>
      <c r="G22" s="5" t="n"/>
      <c r="H22" s="5" t="n"/>
      <c r="I22" s="5">
        <f>IF(D22="","",SUM(E22:H22))</f>
        <v/>
      </c>
      <c r="J22" s="5">
        <f>IF(D22="","",D22-I22)</f>
        <v/>
      </c>
      <c r="K22" s="6">
        <f>IF(D22="","",IFERROR(I22/D22,0))</f>
        <v/>
      </c>
      <c r="L22" s="4" t="n"/>
    </row>
    <row r="23">
      <c r="A23" s="7" t="n"/>
      <c r="B23" s="7" t="n"/>
      <c r="C23" s="7" t="n"/>
      <c r="D23" s="8" t="n"/>
      <c r="E23" s="8" t="n"/>
      <c r="F23" s="8" t="n"/>
      <c r="G23" s="8" t="n"/>
      <c r="H23" s="8" t="n"/>
      <c r="I23" s="8">
        <f>IF(D23="","",SUM(E23:H23))</f>
        <v/>
      </c>
      <c r="J23" s="8">
        <f>IF(D23="","",D23-I23)</f>
        <v/>
      </c>
      <c r="K23" s="9">
        <f>IF(D23="","",IFERROR(I23/D23,0))</f>
        <v/>
      </c>
      <c r="L23" s="7" t="n"/>
    </row>
    <row r="24">
      <c r="A24" s="4" t="n"/>
      <c r="B24" s="4" t="n"/>
      <c r="C24" s="4" t="n"/>
      <c r="D24" s="5" t="n"/>
      <c r="E24" s="5" t="n"/>
      <c r="F24" s="5" t="n"/>
      <c r="G24" s="5" t="n"/>
      <c r="H24" s="5" t="n"/>
      <c r="I24" s="5">
        <f>IF(D24="","",SUM(E24:H24))</f>
        <v/>
      </c>
      <c r="J24" s="5">
        <f>IF(D24="","",D24-I24)</f>
        <v/>
      </c>
      <c r="K24" s="6">
        <f>IF(D24="","",IFERROR(I24/D24,0))</f>
        <v/>
      </c>
      <c r="L24" s="4" t="n"/>
    </row>
    <row r="25">
      <c r="A25" s="7" t="n"/>
      <c r="B25" s="7" t="n"/>
      <c r="C25" s="7" t="n"/>
      <c r="D25" s="8" t="n"/>
      <c r="E25" s="8" t="n"/>
      <c r="F25" s="8" t="n"/>
      <c r="G25" s="8" t="n"/>
      <c r="H25" s="8" t="n"/>
      <c r="I25" s="8">
        <f>IF(D25="","",SUM(E25:H25))</f>
        <v/>
      </c>
      <c r="J25" s="8">
        <f>IF(D25="","",D25-I25)</f>
        <v/>
      </c>
      <c r="K25" s="9">
        <f>IF(D25="","",IFERROR(I25/D25,0))</f>
        <v/>
      </c>
      <c r="L25" s="7" t="n"/>
    </row>
    <row r="26">
      <c r="A26" s="4" t="n"/>
      <c r="B26" s="4" t="n"/>
      <c r="C26" s="4" t="n"/>
      <c r="D26" s="5" t="n"/>
      <c r="E26" s="5" t="n"/>
      <c r="F26" s="5" t="n"/>
      <c r="G26" s="5" t="n"/>
      <c r="H26" s="5" t="n"/>
      <c r="I26" s="5">
        <f>IF(D26="","",SUM(E26:H26))</f>
        <v/>
      </c>
      <c r="J26" s="5">
        <f>IF(D26="","",D26-I26)</f>
        <v/>
      </c>
      <c r="K26" s="6">
        <f>IF(D26="","",IFERROR(I26/D26,0))</f>
        <v/>
      </c>
      <c r="L26" s="4" t="n"/>
    </row>
    <row r="27">
      <c r="A27" s="7" t="n"/>
      <c r="B27" s="7" t="n"/>
      <c r="C27" s="7" t="n"/>
      <c r="D27" s="8" t="n"/>
      <c r="E27" s="8" t="n"/>
      <c r="F27" s="8" t="n"/>
      <c r="G27" s="8" t="n"/>
      <c r="H27" s="8" t="n"/>
      <c r="I27" s="8">
        <f>IF(D27="","",SUM(E27:H27))</f>
        <v/>
      </c>
      <c r="J27" s="8">
        <f>IF(D27="","",D27-I27)</f>
        <v/>
      </c>
      <c r="K27" s="9">
        <f>IF(D27="","",IFERROR(I27/D27,0))</f>
        <v/>
      </c>
      <c r="L27" s="7" t="n"/>
    </row>
    <row r="28">
      <c r="A28" s="4" t="n"/>
      <c r="B28" s="4" t="n"/>
      <c r="C28" s="4" t="n"/>
      <c r="D28" s="5" t="n"/>
      <c r="E28" s="5" t="n"/>
      <c r="F28" s="5" t="n"/>
      <c r="G28" s="5" t="n"/>
      <c r="H28" s="5" t="n"/>
      <c r="I28" s="5">
        <f>IF(D28="","",SUM(E28:H28))</f>
        <v/>
      </c>
      <c r="J28" s="5">
        <f>IF(D28="","",D28-I28)</f>
        <v/>
      </c>
      <c r="K28" s="6">
        <f>IF(D28="","",IFERROR(I28/D28,0))</f>
        <v/>
      </c>
      <c r="L28" s="4" t="n"/>
    </row>
    <row r="29">
      <c r="A29" s="7" t="n"/>
      <c r="B29" s="7" t="n"/>
      <c r="C29" s="7" t="n"/>
      <c r="D29" s="8" t="n"/>
      <c r="E29" s="8" t="n"/>
      <c r="F29" s="8" t="n"/>
      <c r="G29" s="8" t="n"/>
      <c r="H29" s="8" t="n"/>
      <c r="I29" s="8">
        <f>IF(D29="","",SUM(E29:H29))</f>
        <v/>
      </c>
      <c r="J29" s="8">
        <f>IF(D29="","",D29-I29)</f>
        <v/>
      </c>
      <c r="K29" s="9">
        <f>IF(D29="","",IFERROR(I29/D29,0))</f>
        <v/>
      </c>
      <c r="L29" s="7" t="n"/>
    </row>
    <row r="30">
      <c r="A30" s="4" t="n"/>
      <c r="B30" s="4" t="n"/>
      <c r="C30" s="4" t="n"/>
      <c r="D30" s="5" t="n"/>
      <c r="E30" s="5" t="n"/>
      <c r="F30" s="5" t="n"/>
      <c r="G30" s="5" t="n"/>
      <c r="H30" s="5" t="n"/>
      <c r="I30" s="5">
        <f>IF(D30="","",SUM(E30:H30))</f>
        <v/>
      </c>
      <c r="J30" s="5">
        <f>IF(D30="","",D30-I30)</f>
        <v/>
      </c>
      <c r="K30" s="6">
        <f>IF(D30="","",IFERROR(I30/D30,0))</f>
        <v/>
      </c>
      <c r="L30" s="4" t="n"/>
    </row>
    <row r="31">
      <c r="A31" s="7" t="n"/>
      <c r="B31" s="7" t="n"/>
      <c r="C31" s="7" t="n"/>
      <c r="D31" s="8" t="n"/>
      <c r="E31" s="8" t="n"/>
      <c r="F31" s="8" t="n"/>
      <c r="G31" s="8" t="n"/>
      <c r="H31" s="8" t="n"/>
      <c r="I31" s="8">
        <f>IF(D31="","",SUM(E31:H31))</f>
        <v/>
      </c>
      <c r="J31" s="8">
        <f>IF(D31="","",D31-I31)</f>
        <v/>
      </c>
      <c r="K31" s="9">
        <f>IF(D31="","",IFERROR(I31/D31,0))</f>
        <v/>
      </c>
      <c r="L31" s="7" t="n"/>
    </row>
    <row r="32">
      <c r="A32" s="4" t="n"/>
      <c r="B32" s="4" t="n"/>
      <c r="C32" s="4" t="n"/>
      <c r="D32" s="5" t="n"/>
      <c r="E32" s="5" t="n"/>
      <c r="F32" s="5" t="n"/>
      <c r="G32" s="5" t="n"/>
      <c r="H32" s="5" t="n"/>
      <c r="I32" s="5">
        <f>IF(D32="","",SUM(E32:H32))</f>
        <v/>
      </c>
      <c r="J32" s="5">
        <f>IF(D32="","",D32-I32)</f>
        <v/>
      </c>
      <c r="K32" s="6">
        <f>IF(D32="","",IFERROR(I32/D32,0))</f>
        <v/>
      </c>
      <c r="L32" s="4" t="n"/>
    </row>
    <row r="33">
      <c r="A33" s="7" t="n"/>
      <c r="B33" s="7" t="n"/>
      <c r="C33" s="7" t="n"/>
      <c r="D33" s="8" t="n"/>
      <c r="E33" s="8" t="n"/>
      <c r="F33" s="8" t="n"/>
      <c r="G33" s="8" t="n"/>
      <c r="H33" s="8" t="n"/>
      <c r="I33" s="8">
        <f>IF(D33="","",SUM(E33:H33))</f>
        <v/>
      </c>
      <c r="J33" s="8">
        <f>IF(D33="","",D33-I33)</f>
        <v/>
      </c>
      <c r="K33" s="9">
        <f>IF(D33="","",IFERROR(I33/D33,0))</f>
        <v/>
      </c>
      <c r="L33" s="7" t="n"/>
    </row>
    <row r="34">
      <c r="A34" s="4" t="n"/>
      <c r="B34" s="4" t="n"/>
      <c r="C34" s="4" t="n"/>
      <c r="D34" s="5" t="n"/>
      <c r="E34" s="5" t="n"/>
      <c r="F34" s="5" t="n"/>
      <c r="G34" s="5" t="n"/>
      <c r="H34" s="5" t="n"/>
      <c r="I34" s="5">
        <f>IF(D34="","",SUM(E34:H34))</f>
        <v/>
      </c>
      <c r="J34" s="5">
        <f>IF(D34="","",D34-I34)</f>
        <v/>
      </c>
      <c r="K34" s="6">
        <f>IF(D34="","",IFERROR(I34/D34,0))</f>
        <v/>
      </c>
      <c r="L34" s="4" t="n"/>
    </row>
    <row r="35">
      <c r="A35" s="7" t="n"/>
      <c r="B35" s="7" t="n"/>
      <c r="C35" s="7" t="n"/>
      <c r="D35" s="8" t="n"/>
      <c r="E35" s="8" t="n"/>
      <c r="F35" s="8" t="n"/>
      <c r="G35" s="8" t="n"/>
      <c r="H35" s="8" t="n"/>
      <c r="I35" s="8">
        <f>IF(D35="","",SUM(E35:H35))</f>
        <v/>
      </c>
      <c r="J35" s="8">
        <f>IF(D35="","",D35-I35)</f>
        <v/>
      </c>
      <c r="K35" s="9">
        <f>IF(D35="","",IFERROR(I35/D35,0))</f>
        <v/>
      </c>
      <c r="L35" s="7" t="n"/>
    </row>
    <row r="36">
      <c r="A36" s="4" t="n"/>
      <c r="B36" s="4" t="n"/>
      <c r="C36" s="4" t="n"/>
      <c r="D36" s="5" t="n"/>
      <c r="E36" s="5" t="n"/>
      <c r="F36" s="5" t="n"/>
      <c r="G36" s="5" t="n"/>
      <c r="H36" s="5" t="n"/>
      <c r="I36" s="5">
        <f>IF(D36="","",SUM(E36:H36))</f>
        <v/>
      </c>
      <c r="J36" s="5">
        <f>IF(D36="","",D36-I36)</f>
        <v/>
      </c>
      <c r="K36" s="6">
        <f>IF(D36="","",IFERROR(I36/D36,0))</f>
        <v/>
      </c>
      <c r="L36" s="4" t="n"/>
    </row>
    <row r="37">
      <c r="A37" s="7" t="n"/>
      <c r="B37" s="7" t="n"/>
      <c r="C37" s="7" t="n"/>
      <c r="D37" s="8" t="n"/>
      <c r="E37" s="8" t="n"/>
      <c r="F37" s="8" t="n"/>
      <c r="G37" s="8" t="n"/>
      <c r="H37" s="8" t="n"/>
      <c r="I37" s="8">
        <f>IF(D37="","",SUM(E37:H37))</f>
        <v/>
      </c>
      <c r="J37" s="8">
        <f>IF(D37="","",D37-I37)</f>
        <v/>
      </c>
      <c r="K37" s="9">
        <f>IF(D37="","",IFERROR(I37/D37,0))</f>
        <v/>
      </c>
      <c r="L37" s="7" t="n"/>
    </row>
    <row r="38">
      <c r="A38" s="4" t="n"/>
      <c r="B38" s="4" t="n"/>
      <c r="C38" s="4" t="n"/>
      <c r="D38" s="5" t="n"/>
      <c r="E38" s="5" t="n"/>
      <c r="F38" s="5" t="n"/>
      <c r="G38" s="5" t="n"/>
      <c r="H38" s="5" t="n"/>
      <c r="I38" s="5">
        <f>IF(D38="","",SUM(E38:H38))</f>
        <v/>
      </c>
      <c r="J38" s="5">
        <f>IF(D38="","",D38-I38)</f>
        <v/>
      </c>
      <c r="K38" s="6">
        <f>IF(D38="","",IFERROR(I38/D38,0))</f>
        <v/>
      </c>
      <c r="L38" s="4" t="n"/>
    </row>
    <row r="39">
      <c r="A39" s="7" t="n"/>
      <c r="B39" s="7" t="n"/>
      <c r="C39" s="7" t="n"/>
      <c r="D39" s="8" t="n"/>
      <c r="E39" s="8" t="n"/>
      <c r="F39" s="8" t="n"/>
      <c r="G39" s="8" t="n"/>
      <c r="H39" s="8" t="n"/>
      <c r="I39" s="8">
        <f>IF(D39="","",SUM(E39:H39))</f>
        <v/>
      </c>
      <c r="J39" s="8">
        <f>IF(D39="","",D39-I39)</f>
        <v/>
      </c>
      <c r="K39" s="9">
        <f>IF(D39="","",IFERROR(I39/D39,0))</f>
        <v/>
      </c>
      <c r="L39" s="7" t="n"/>
    </row>
    <row r="40">
      <c r="A40" s="4" t="n"/>
      <c r="B40" s="4" t="n"/>
      <c r="C40" s="4" t="n"/>
      <c r="D40" s="5" t="n"/>
      <c r="E40" s="5" t="n"/>
      <c r="F40" s="5" t="n"/>
      <c r="G40" s="5" t="n"/>
      <c r="H40" s="5" t="n"/>
      <c r="I40" s="5">
        <f>IF(D40="","",SUM(E40:H40))</f>
        <v/>
      </c>
      <c r="J40" s="5">
        <f>IF(D40="","",D40-I40)</f>
        <v/>
      </c>
      <c r="K40" s="6">
        <f>IF(D40="","",IFERROR(I40/D40,0))</f>
        <v/>
      </c>
      <c r="L40" s="4" t="n"/>
    </row>
    <row r="41">
      <c r="A41" s="7" t="n"/>
      <c r="B41" s="7" t="n"/>
      <c r="C41" s="7" t="n"/>
      <c r="D41" s="8" t="n"/>
      <c r="E41" s="8" t="n"/>
      <c r="F41" s="8" t="n"/>
      <c r="G41" s="8" t="n"/>
      <c r="H41" s="8" t="n"/>
      <c r="I41" s="8">
        <f>IF(D41="","",SUM(E41:H41))</f>
        <v/>
      </c>
      <c r="J41" s="8">
        <f>IF(D41="","",D41-I41)</f>
        <v/>
      </c>
      <c r="K41" s="9">
        <f>IF(D41="","",IFERROR(I41/D41,0))</f>
        <v/>
      </c>
      <c r="L41" s="7" t="n"/>
    </row>
    <row r="42">
      <c r="A42" s="4" t="n"/>
      <c r="B42" s="4" t="n"/>
      <c r="C42" s="4" t="n"/>
      <c r="D42" s="5" t="n"/>
      <c r="E42" s="5" t="n"/>
      <c r="F42" s="5" t="n"/>
      <c r="G42" s="5" t="n"/>
      <c r="H42" s="5" t="n"/>
      <c r="I42" s="5">
        <f>IF(D42="","",SUM(E42:H42))</f>
        <v/>
      </c>
      <c r="J42" s="5">
        <f>IF(D42="","",D42-I42)</f>
        <v/>
      </c>
      <c r="K42" s="6">
        <f>IF(D42="","",IFERROR(I42/D42,0))</f>
        <v/>
      </c>
      <c r="L42" s="4" t="n"/>
    </row>
    <row r="43">
      <c r="A43" s="7" t="n"/>
      <c r="B43" s="7" t="n"/>
      <c r="C43" s="7" t="n"/>
      <c r="D43" s="8" t="n"/>
      <c r="E43" s="8" t="n"/>
      <c r="F43" s="8" t="n"/>
      <c r="G43" s="8" t="n"/>
      <c r="H43" s="8" t="n"/>
      <c r="I43" s="8">
        <f>IF(D43="","",SUM(E43:H43))</f>
        <v/>
      </c>
      <c r="J43" s="8">
        <f>IF(D43="","",D43-I43)</f>
        <v/>
      </c>
      <c r="K43" s="9">
        <f>IF(D43="","",IFERROR(I43/D43,0))</f>
        <v/>
      </c>
      <c r="L43" s="7" t="n"/>
    </row>
    <row r="44">
      <c r="A44" s="4" t="n"/>
      <c r="B44" s="4" t="n"/>
      <c r="C44" s="4" t="n"/>
      <c r="D44" s="5" t="n"/>
      <c r="E44" s="5" t="n"/>
      <c r="F44" s="5" t="n"/>
      <c r="G44" s="5" t="n"/>
      <c r="H44" s="5" t="n"/>
      <c r="I44" s="5">
        <f>IF(D44="","",SUM(E44:H44))</f>
        <v/>
      </c>
      <c r="J44" s="5">
        <f>IF(D44="","",D44-I44)</f>
        <v/>
      </c>
      <c r="K44" s="6">
        <f>IF(D44="","",IFERROR(I44/D44,0))</f>
        <v/>
      </c>
      <c r="L44" s="4" t="n"/>
    </row>
    <row r="45">
      <c r="A45" s="7" t="n"/>
      <c r="B45" s="7" t="n"/>
      <c r="C45" s="7" t="n"/>
      <c r="D45" s="8" t="n"/>
      <c r="E45" s="8" t="n"/>
      <c r="F45" s="8" t="n"/>
      <c r="G45" s="8" t="n"/>
      <c r="H45" s="8" t="n"/>
      <c r="I45" s="8">
        <f>IF(D45="","",SUM(E45:H45))</f>
        <v/>
      </c>
      <c r="J45" s="8">
        <f>IF(D45="","",D45-I45)</f>
        <v/>
      </c>
      <c r="K45" s="9">
        <f>IF(D45="","",IFERROR(I45/D45,0))</f>
        <v/>
      </c>
      <c r="L45" s="7" t="n"/>
    </row>
    <row r="46">
      <c r="A46" s="4" t="n"/>
      <c r="B46" s="4" t="n"/>
      <c r="C46" s="4" t="n"/>
      <c r="D46" s="5" t="n"/>
      <c r="E46" s="5" t="n"/>
      <c r="F46" s="5" t="n"/>
      <c r="G46" s="5" t="n"/>
      <c r="H46" s="5" t="n"/>
      <c r="I46" s="5">
        <f>IF(D46="","",SUM(E46:H46))</f>
        <v/>
      </c>
      <c r="J46" s="5">
        <f>IF(D46="","",D46-I46)</f>
        <v/>
      </c>
      <c r="K46" s="6">
        <f>IF(D46="","",IFERROR(I46/D46,0))</f>
        <v/>
      </c>
      <c r="L46" s="4" t="n"/>
    </row>
    <row r="47">
      <c r="A47" s="7" t="n"/>
      <c r="B47" s="7" t="n"/>
      <c r="C47" s="7" t="n"/>
      <c r="D47" s="8" t="n"/>
      <c r="E47" s="8" t="n"/>
      <c r="F47" s="8" t="n"/>
      <c r="G47" s="8" t="n"/>
      <c r="H47" s="8" t="n"/>
      <c r="I47" s="8">
        <f>IF(D47="","",SUM(E47:H47))</f>
        <v/>
      </c>
      <c r="J47" s="8">
        <f>IF(D47="","",D47-I47)</f>
        <v/>
      </c>
      <c r="K47" s="9">
        <f>IF(D47="","",IFERROR(I47/D47,0))</f>
        <v/>
      </c>
      <c r="L47" s="7" t="n"/>
    </row>
    <row r="48">
      <c r="A48" s="4" t="n"/>
      <c r="B48" s="4" t="n"/>
      <c r="C48" s="4" t="n"/>
      <c r="D48" s="5" t="n"/>
      <c r="E48" s="5" t="n"/>
      <c r="F48" s="5" t="n"/>
      <c r="G48" s="5" t="n"/>
      <c r="H48" s="5" t="n"/>
      <c r="I48" s="5">
        <f>IF(D48="","",SUM(E48:H48))</f>
        <v/>
      </c>
      <c r="J48" s="5">
        <f>IF(D48="","",D48-I48)</f>
        <v/>
      </c>
      <c r="K48" s="6">
        <f>IF(D48="","",IFERROR(I48/D48,0))</f>
        <v/>
      </c>
      <c r="L48" s="4" t="n"/>
    </row>
    <row r="49">
      <c r="A49" s="7" t="n"/>
      <c r="B49" s="7" t="n"/>
      <c r="C49" s="7" t="n"/>
      <c r="D49" s="8" t="n"/>
      <c r="E49" s="8" t="n"/>
      <c r="F49" s="8" t="n"/>
      <c r="G49" s="8" t="n"/>
      <c r="H49" s="8" t="n"/>
      <c r="I49" s="8">
        <f>IF(D49="","",SUM(E49:H49))</f>
        <v/>
      </c>
      <c r="J49" s="8">
        <f>IF(D49="","",D49-I49)</f>
        <v/>
      </c>
      <c r="K49" s="9">
        <f>IF(D49="","",IFERROR(I49/D49,0))</f>
        <v/>
      </c>
      <c r="L49" s="7" t="n"/>
    </row>
    <row r="50">
      <c r="A50" s="4" t="n"/>
      <c r="B50" s="4" t="n"/>
      <c r="C50" s="4" t="n"/>
      <c r="D50" s="5" t="n"/>
      <c r="E50" s="5" t="n"/>
      <c r="F50" s="5" t="n"/>
      <c r="G50" s="5" t="n"/>
      <c r="H50" s="5" t="n"/>
      <c r="I50" s="5">
        <f>IF(D50="","",SUM(E50:H50))</f>
        <v/>
      </c>
      <c r="J50" s="5">
        <f>IF(D50="","",D50-I50)</f>
        <v/>
      </c>
      <c r="K50" s="6">
        <f>IF(D50="","",IFERROR(I50/D50,0))</f>
        <v/>
      </c>
      <c r="L50" s="4" t="n"/>
    </row>
    <row r="51">
      <c r="A51" s="7" t="n"/>
      <c r="B51" s="7" t="n"/>
      <c r="C51" s="7" t="n"/>
      <c r="D51" s="8" t="n"/>
      <c r="E51" s="8" t="n"/>
      <c r="F51" s="8" t="n"/>
      <c r="G51" s="8" t="n"/>
      <c r="H51" s="8" t="n"/>
      <c r="I51" s="8">
        <f>IF(D51="","",SUM(E51:H51))</f>
        <v/>
      </c>
      <c r="J51" s="8">
        <f>IF(D51="","",D51-I51)</f>
        <v/>
      </c>
      <c r="K51" s="9">
        <f>IF(D51="","",IFERROR(I51/D51,0))</f>
        <v/>
      </c>
      <c r="L51" s="7" t="n"/>
    </row>
    <row r="52">
      <c r="A52" s="4" t="n"/>
      <c r="B52" s="4" t="n"/>
      <c r="C52" s="4" t="n"/>
      <c r="D52" s="5" t="n"/>
      <c r="E52" s="5" t="n"/>
      <c r="F52" s="5" t="n"/>
      <c r="G52" s="5" t="n"/>
      <c r="H52" s="5" t="n"/>
      <c r="I52" s="5">
        <f>IF(D52="","",SUM(E52:H52))</f>
        <v/>
      </c>
      <c r="J52" s="5">
        <f>IF(D52="","",D52-I52)</f>
        <v/>
      </c>
      <c r="K52" s="6">
        <f>IF(D52="","",IFERROR(I52/D52,0))</f>
        <v/>
      </c>
      <c r="L52" s="4" t="n"/>
    </row>
    <row r="53">
      <c r="A53" s="7" t="n"/>
      <c r="B53" s="7" t="n"/>
      <c r="C53" s="7" t="n"/>
      <c r="D53" s="8" t="n"/>
      <c r="E53" s="8" t="n"/>
      <c r="F53" s="8" t="n"/>
      <c r="G53" s="8" t="n"/>
      <c r="H53" s="8" t="n"/>
      <c r="I53" s="8">
        <f>IF(D53="","",SUM(E53:H53))</f>
        <v/>
      </c>
      <c r="J53" s="8">
        <f>IF(D53="","",D53-I53)</f>
        <v/>
      </c>
      <c r="K53" s="9">
        <f>IF(D53="","",IFERROR(I53/D53,0))</f>
        <v/>
      </c>
      <c r="L53" s="7" t="n"/>
    </row>
    <row r="54">
      <c r="A54" s="4" t="n"/>
      <c r="B54" s="4" t="n"/>
      <c r="C54" s="4" t="n"/>
      <c r="D54" s="5" t="n"/>
      <c r="E54" s="5" t="n"/>
      <c r="F54" s="5" t="n"/>
      <c r="G54" s="5" t="n"/>
      <c r="H54" s="5" t="n"/>
      <c r="I54" s="5">
        <f>IF(D54="","",SUM(E54:H54))</f>
        <v/>
      </c>
      <c r="J54" s="5">
        <f>IF(D54="","",D54-I54)</f>
        <v/>
      </c>
      <c r="K54" s="6">
        <f>IF(D54="","",IFERROR(I54/D54,0))</f>
        <v/>
      </c>
      <c r="L54" s="4" t="n"/>
    </row>
    <row r="55">
      <c r="A55" s="7" t="n"/>
      <c r="B55" s="7" t="n"/>
      <c r="C55" s="7" t="n"/>
      <c r="D55" s="8" t="n"/>
      <c r="E55" s="8" t="n"/>
      <c r="F55" s="8" t="n"/>
      <c r="G55" s="8" t="n"/>
      <c r="H55" s="8" t="n"/>
      <c r="I55" s="8">
        <f>IF(D55="","",SUM(E55:H55))</f>
        <v/>
      </c>
      <c r="J55" s="8">
        <f>IF(D55="","",D55-I55)</f>
        <v/>
      </c>
      <c r="K55" s="9">
        <f>IF(D55="","",IFERROR(I55/D55,0))</f>
        <v/>
      </c>
      <c r="L55" s="7" t="n"/>
    </row>
    <row r="56">
      <c r="A56" s="4" t="n"/>
      <c r="B56" s="4" t="n"/>
      <c r="C56" s="4" t="n"/>
      <c r="D56" s="5" t="n"/>
      <c r="E56" s="5" t="n"/>
      <c r="F56" s="5" t="n"/>
      <c r="G56" s="5" t="n"/>
      <c r="H56" s="5" t="n"/>
      <c r="I56" s="5">
        <f>IF(D56="","",SUM(E56:H56))</f>
        <v/>
      </c>
      <c r="J56" s="5">
        <f>IF(D56="","",D56-I56)</f>
        <v/>
      </c>
      <c r="K56" s="6">
        <f>IF(D56="","",IFERROR(I56/D56,0))</f>
        <v/>
      </c>
      <c r="L56" s="4" t="n"/>
    </row>
    <row r="57">
      <c r="A57" s="7" t="n"/>
      <c r="B57" s="7" t="n"/>
      <c r="C57" s="7" t="n"/>
      <c r="D57" s="8" t="n"/>
      <c r="E57" s="8" t="n"/>
      <c r="F57" s="8" t="n"/>
      <c r="G57" s="8" t="n"/>
      <c r="H57" s="8" t="n"/>
      <c r="I57" s="8">
        <f>IF(D57="","",SUM(E57:H57))</f>
        <v/>
      </c>
      <c r="J57" s="8">
        <f>IF(D57="","",D57-I57)</f>
        <v/>
      </c>
      <c r="K57" s="9">
        <f>IF(D57="","",IFERROR(I57/D57,0))</f>
        <v/>
      </c>
      <c r="L57" s="7" t="n"/>
    </row>
    <row r="58">
      <c r="A58" s="4" t="n"/>
      <c r="B58" s="4" t="n"/>
      <c r="C58" s="4" t="n"/>
      <c r="D58" s="5" t="n"/>
      <c r="E58" s="5" t="n"/>
      <c r="F58" s="5" t="n"/>
      <c r="G58" s="5" t="n"/>
      <c r="H58" s="5" t="n"/>
      <c r="I58" s="5">
        <f>IF(D58="","",SUM(E58:H58))</f>
        <v/>
      </c>
      <c r="J58" s="5">
        <f>IF(D58="","",D58-I58)</f>
        <v/>
      </c>
      <c r="K58" s="6">
        <f>IF(D58="","",IFERROR(I58/D58,0))</f>
        <v/>
      </c>
      <c r="L58" s="4" t="n"/>
    </row>
    <row r="59">
      <c r="A59" s="7" t="n"/>
      <c r="B59" s="7" t="n"/>
      <c r="C59" s="7" t="n"/>
      <c r="D59" s="8" t="n"/>
      <c r="E59" s="8" t="n"/>
      <c r="F59" s="8" t="n"/>
      <c r="G59" s="8" t="n"/>
      <c r="H59" s="8" t="n"/>
      <c r="I59" s="8">
        <f>IF(D59="","",SUM(E59:H59))</f>
        <v/>
      </c>
      <c r="J59" s="8">
        <f>IF(D59="","",D59-I59)</f>
        <v/>
      </c>
      <c r="K59" s="9">
        <f>IF(D59="","",IFERROR(I59/D59,0))</f>
        <v/>
      </c>
      <c r="L59" s="7" t="n"/>
    </row>
    <row r="60">
      <c r="A60" s="4" t="n"/>
      <c r="B60" s="4" t="n"/>
      <c r="C60" s="4" t="n"/>
      <c r="D60" s="5" t="n"/>
      <c r="E60" s="5" t="n"/>
      <c r="F60" s="5" t="n"/>
      <c r="G60" s="5" t="n"/>
      <c r="H60" s="5" t="n"/>
      <c r="I60" s="5">
        <f>IF(D60="","",SUM(E60:H60))</f>
        <v/>
      </c>
      <c r="J60" s="5">
        <f>IF(D60="","",D60-I60)</f>
        <v/>
      </c>
      <c r="K60" s="6">
        <f>IF(D60="","",IFERROR(I60/D60,0))</f>
        <v/>
      </c>
      <c r="L60" s="4" t="n"/>
    </row>
    <row r="61">
      <c r="A61" s="7" t="n"/>
      <c r="B61" s="7" t="n"/>
      <c r="C61" s="7" t="n"/>
      <c r="D61" s="8" t="n"/>
      <c r="E61" s="8" t="n"/>
      <c r="F61" s="8" t="n"/>
      <c r="G61" s="8" t="n"/>
      <c r="H61" s="8" t="n"/>
      <c r="I61" s="8">
        <f>IF(D61="","",SUM(E61:H61))</f>
        <v/>
      </c>
      <c r="J61" s="8">
        <f>IF(D61="","",D61-I61)</f>
        <v/>
      </c>
      <c r="K61" s="9">
        <f>IF(D61="","",IFERROR(I61/D61,0))</f>
        <v/>
      </c>
      <c r="L61" s="7" t="n"/>
    </row>
    <row r="62">
      <c r="A62" s="4" t="n"/>
      <c r="B62" s="4" t="n"/>
      <c r="C62" s="4" t="n"/>
      <c r="D62" s="5" t="n"/>
      <c r="E62" s="5" t="n"/>
      <c r="F62" s="5" t="n"/>
      <c r="G62" s="5" t="n"/>
      <c r="H62" s="5" t="n"/>
      <c r="I62" s="5">
        <f>IF(D62="","",SUM(E62:H62))</f>
        <v/>
      </c>
      <c r="J62" s="5">
        <f>IF(D62="","",D62-I62)</f>
        <v/>
      </c>
      <c r="K62" s="6">
        <f>IF(D62="","",IFERROR(I62/D62,0))</f>
        <v/>
      </c>
      <c r="L62" s="4" t="n"/>
    </row>
    <row r="63">
      <c r="A63" s="7" t="n"/>
      <c r="B63" s="7" t="n"/>
      <c r="C63" s="7" t="n"/>
      <c r="D63" s="8" t="n"/>
      <c r="E63" s="8" t="n"/>
      <c r="F63" s="8" t="n"/>
      <c r="G63" s="8" t="n"/>
      <c r="H63" s="8" t="n"/>
      <c r="I63" s="8">
        <f>IF(D63="","",SUM(E63:H63))</f>
        <v/>
      </c>
      <c r="J63" s="8">
        <f>IF(D63="","",D63-I63)</f>
        <v/>
      </c>
      <c r="K63" s="9">
        <f>IF(D63="","",IFERROR(I63/D63,0))</f>
        <v/>
      </c>
      <c r="L63" s="7" t="n"/>
    </row>
    <row r="64">
      <c r="A64" s="4" t="n"/>
      <c r="B64" s="4" t="n"/>
      <c r="C64" s="4" t="n"/>
      <c r="D64" s="5" t="n"/>
      <c r="E64" s="5" t="n"/>
      <c r="F64" s="5" t="n"/>
      <c r="G64" s="5" t="n"/>
      <c r="H64" s="5" t="n"/>
      <c r="I64" s="5">
        <f>IF(D64="","",SUM(E64:H64))</f>
        <v/>
      </c>
      <c r="J64" s="5">
        <f>IF(D64="","",D64-I64)</f>
        <v/>
      </c>
      <c r="K64" s="6">
        <f>IF(D64="","",IFERROR(I64/D64,0))</f>
        <v/>
      </c>
      <c r="L64" s="4" t="n"/>
    </row>
    <row r="65">
      <c r="A65" s="7" t="n"/>
      <c r="B65" s="7" t="n"/>
      <c r="C65" s="7" t="n"/>
      <c r="D65" s="8" t="n"/>
      <c r="E65" s="8" t="n"/>
      <c r="F65" s="8" t="n"/>
      <c r="G65" s="8" t="n"/>
      <c r="H65" s="8" t="n"/>
      <c r="I65" s="8">
        <f>IF(D65="","",SUM(E65:H65))</f>
        <v/>
      </c>
      <c r="J65" s="8">
        <f>IF(D65="","",D65-I65)</f>
        <v/>
      </c>
      <c r="K65" s="9">
        <f>IF(D65="","",IFERROR(I65/D65,0))</f>
        <v/>
      </c>
      <c r="L65" s="7" t="n"/>
    </row>
    <row r="66">
      <c r="A66" s="4" t="n"/>
      <c r="B66" s="4" t="n"/>
      <c r="C66" s="4" t="n"/>
      <c r="D66" s="5" t="n"/>
      <c r="E66" s="5" t="n"/>
      <c r="F66" s="5" t="n"/>
      <c r="G66" s="5" t="n"/>
      <c r="H66" s="5" t="n"/>
      <c r="I66" s="5">
        <f>IF(D66="","",SUM(E66:H66))</f>
        <v/>
      </c>
      <c r="J66" s="5">
        <f>IF(D66="","",D66-I66)</f>
        <v/>
      </c>
      <c r="K66" s="6">
        <f>IF(D66="","",IFERROR(I66/D66,0))</f>
        <v/>
      </c>
      <c r="L66" s="4" t="n"/>
    </row>
    <row r="67">
      <c r="A67" s="7" t="n"/>
      <c r="B67" s="7" t="n"/>
      <c r="C67" s="7" t="n"/>
      <c r="D67" s="8" t="n"/>
      <c r="E67" s="8" t="n"/>
      <c r="F67" s="8" t="n"/>
      <c r="G67" s="8" t="n"/>
      <c r="H67" s="8" t="n"/>
      <c r="I67" s="8">
        <f>IF(D67="","",SUM(E67:H67))</f>
        <v/>
      </c>
      <c r="J67" s="8">
        <f>IF(D67="","",D67-I67)</f>
        <v/>
      </c>
      <c r="K67" s="9">
        <f>IF(D67="","",IFERROR(I67/D67,0))</f>
        <v/>
      </c>
      <c r="L67" s="7" t="n"/>
    </row>
    <row r="68">
      <c r="A68" s="4" t="n"/>
      <c r="B68" s="4" t="n"/>
      <c r="C68" s="4" t="n"/>
      <c r="D68" s="5" t="n"/>
      <c r="E68" s="5" t="n"/>
      <c r="F68" s="5" t="n"/>
      <c r="G68" s="5" t="n"/>
      <c r="H68" s="5" t="n"/>
      <c r="I68" s="5">
        <f>IF(D68="","",SUM(E68:H68))</f>
        <v/>
      </c>
      <c r="J68" s="5">
        <f>IF(D68="","",D68-I68)</f>
        <v/>
      </c>
      <c r="K68" s="6">
        <f>IF(D68="","",IFERROR(I68/D68,0))</f>
        <v/>
      </c>
      <c r="L68" s="4" t="n"/>
    </row>
    <row r="69">
      <c r="A69" s="7" t="n"/>
      <c r="B69" s="7" t="n"/>
      <c r="C69" s="7" t="n"/>
      <c r="D69" s="8" t="n"/>
      <c r="E69" s="8" t="n"/>
      <c r="F69" s="8" t="n"/>
      <c r="G69" s="8" t="n"/>
      <c r="H69" s="8" t="n"/>
      <c r="I69" s="8">
        <f>IF(D69="","",SUM(E69:H69))</f>
        <v/>
      </c>
      <c r="J69" s="8">
        <f>IF(D69="","",D69-I69)</f>
        <v/>
      </c>
      <c r="K69" s="9">
        <f>IF(D69="","",IFERROR(I69/D69,0))</f>
        <v/>
      </c>
      <c r="L69" s="7" t="n"/>
    </row>
    <row r="70">
      <c r="A70" s="4" t="n"/>
      <c r="B70" s="4" t="n"/>
      <c r="C70" s="4" t="n"/>
      <c r="D70" s="5" t="n"/>
      <c r="E70" s="5" t="n"/>
      <c r="F70" s="5" t="n"/>
      <c r="G70" s="5" t="n"/>
      <c r="H70" s="5" t="n"/>
      <c r="I70" s="5">
        <f>IF(D70="","",SUM(E70:H70))</f>
        <v/>
      </c>
      <c r="J70" s="5">
        <f>IF(D70="","",D70-I70)</f>
        <v/>
      </c>
      <c r="K70" s="6">
        <f>IF(D70="","",IFERROR(I70/D70,0))</f>
        <v/>
      </c>
      <c r="L70" s="4" t="n"/>
    </row>
    <row r="71">
      <c r="A71" s="7" t="n"/>
      <c r="B71" s="7" t="n"/>
      <c r="C71" s="7" t="n"/>
      <c r="D71" s="8" t="n"/>
      <c r="E71" s="8" t="n"/>
      <c r="F71" s="8" t="n"/>
      <c r="G71" s="8" t="n"/>
      <c r="H71" s="8" t="n"/>
      <c r="I71" s="8">
        <f>IF(D71="","",SUM(E71:H71))</f>
        <v/>
      </c>
      <c r="J71" s="8">
        <f>IF(D71="","",D71-I71)</f>
        <v/>
      </c>
      <c r="K71" s="9">
        <f>IF(D71="","",IFERROR(I71/D71,0))</f>
        <v/>
      </c>
      <c r="L71" s="7" t="n"/>
    </row>
    <row r="72">
      <c r="A72" s="4" t="n"/>
      <c r="B72" s="4" t="n"/>
      <c r="C72" s="4" t="n"/>
      <c r="D72" s="5" t="n"/>
      <c r="E72" s="5" t="n"/>
      <c r="F72" s="5" t="n"/>
      <c r="G72" s="5" t="n"/>
      <c r="H72" s="5" t="n"/>
      <c r="I72" s="5">
        <f>IF(D72="","",SUM(E72:H72))</f>
        <v/>
      </c>
      <c r="J72" s="5">
        <f>IF(D72="","",D72-I72)</f>
        <v/>
      </c>
      <c r="K72" s="6">
        <f>IF(D72="","",IFERROR(I72/D72,0))</f>
        <v/>
      </c>
      <c r="L72" s="4" t="n"/>
    </row>
    <row r="73">
      <c r="A73" s="7" t="n"/>
      <c r="B73" s="7" t="n"/>
      <c r="C73" s="7" t="n"/>
      <c r="D73" s="8" t="n"/>
      <c r="E73" s="8" t="n"/>
      <c r="F73" s="8" t="n"/>
      <c r="G73" s="8" t="n"/>
      <c r="H73" s="8" t="n"/>
      <c r="I73" s="8">
        <f>IF(D73="","",SUM(E73:H73))</f>
        <v/>
      </c>
      <c r="J73" s="8">
        <f>IF(D73="","",D73-I73)</f>
        <v/>
      </c>
      <c r="K73" s="9">
        <f>IF(D73="","",IFERROR(I73/D73,0))</f>
        <v/>
      </c>
      <c r="L73" s="7" t="n"/>
    </row>
    <row r="74">
      <c r="A74" s="4" t="n"/>
      <c r="B74" s="4" t="n"/>
      <c r="C74" s="4" t="n"/>
      <c r="D74" s="5" t="n"/>
      <c r="E74" s="5" t="n"/>
      <c r="F74" s="5" t="n"/>
      <c r="G74" s="5" t="n"/>
      <c r="H74" s="5" t="n"/>
      <c r="I74" s="5">
        <f>IF(D74="","",SUM(E74:H74))</f>
        <v/>
      </c>
      <c r="J74" s="5">
        <f>IF(D74="","",D74-I74)</f>
        <v/>
      </c>
      <c r="K74" s="6">
        <f>IF(D74="","",IFERROR(I74/D74,0))</f>
        <v/>
      </c>
      <c r="L74" s="4" t="n"/>
    </row>
    <row r="75">
      <c r="A75" s="7" t="n"/>
      <c r="B75" s="7" t="n"/>
      <c r="C75" s="7" t="n"/>
      <c r="D75" s="8" t="n"/>
      <c r="E75" s="8" t="n"/>
      <c r="F75" s="8" t="n"/>
      <c r="G75" s="8" t="n"/>
      <c r="H75" s="8" t="n"/>
      <c r="I75" s="8">
        <f>IF(D75="","",SUM(E75:H75))</f>
        <v/>
      </c>
      <c r="J75" s="8">
        <f>IF(D75="","",D75-I75)</f>
        <v/>
      </c>
      <c r="K75" s="9">
        <f>IF(D75="","",IFERROR(I75/D75,0))</f>
        <v/>
      </c>
      <c r="L75" s="7" t="n"/>
    </row>
    <row r="76">
      <c r="A76" s="4" t="n"/>
      <c r="B76" s="4" t="n"/>
      <c r="C76" s="4" t="n"/>
      <c r="D76" s="5" t="n"/>
      <c r="E76" s="5" t="n"/>
      <c r="F76" s="5" t="n"/>
      <c r="G76" s="5" t="n"/>
      <c r="H76" s="5" t="n"/>
      <c r="I76" s="5">
        <f>IF(D76="","",SUM(E76:H76))</f>
        <v/>
      </c>
      <c r="J76" s="5">
        <f>IF(D76="","",D76-I76)</f>
        <v/>
      </c>
      <c r="K76" s="6">
        <f>IF(D76="","",IFERROR(I76/D76,0))</f>
        <v/>
      </c>
      <c r="L76" s="4" t="n"/>
    </row>
    <row r="77">
      <c r="A77" s="7" t="n"/>
      <c r="B77" s="7" t="n"/>
      <c r="C77" s="7" t="n"/>
      <c r="D77" s="8" t="n"/>
      <c r="E77" s="8" t="n"/>
      <c r="F77" s="8" t="n"/>
      <c r="G77" s="8" t="n"/>
      <c r="H77" s="8" t="n"/>
      <c r="I77" s="8">
        <f>IF(D77="","",SUM(E77:H77))</f>
        <v/>
      </c>
      <c r="J77" s="8">
        <f>IF(D77="","",D77-I77)</f>
        <v/>
      </c>
      <c r="K77" s="9">
        <f>IF(D77="","",IFERROR(I77/D77,0))</f>
        <v/>
      </c>
      <c r="L77" s="7" t="n"/>
    </row>
    <row r="78">
      <c r="A78" s="4" t="n"/>
      <c r="B78" s="4" t="n"/>
      <c r="C78" s="4" t="n"/>
      <c r="D78" s="5" t="n"/>
      <c r="E78" s="5" t="n"/>
      <c r="F78" s="5" t="n"/>
      <c r="G78" s="5" t="n"/>
      <c r="H78" s="5" t="n"/>
      <c r="I78" s="5">
        <f>IF(D78="","",SUM(E78:H78))</f>
        <v/>
      </c>
      <c r="J78" s="5">
        <f>IF(D78="","",D78-I78)</f>
        <v/>
      </c>
      <c r="K78" s="6">
        <f>IF(D78="","",IFERROR(I78/D78,0))</f>
        <v/>
      </c>
      <c r="L78" s="4" t="n"/>
    </row>
    <row r="79">
      <c r="A79" s="7" t="n"/>
      <c r="B79" s="7" t="n"/>
      <c r="C79" s="7" t="n"/>
      <c r="D79" s="8" t="n"/>
      <c r="E79" s="8" t="n"/>
      <c r="F79" s="8" t="n"/>
      <c r="G79" s="8" t="n"/>
      <c r="H79" s="8" t="n"/>
      <c r="I79" s="8">
        <f>IF(D79="","",SUM(E79:H79))</f>
        <v/>
      </c>
      <c r="J79" s="8">
        <f>IF(D79="","",D79-I79)</f>
        <v/>
      </c>
      <c r="K79" s="9">
        <f>IF(D79="","",IFERROR(I79/D79,0))</f>
        <v/>
      </c>
      <c r="L79" s="7" t="n"/>
    </row>
    <row r="80">
      <c r="A80" s="4" t="n"/>
      <c r="B80" s="4" t="n"/>
      <c r="C80" s="4" t="n"/>
      <c r="D80" s="5" t="n"/>
      <c r="E80" s="5" t="n"/>
      <c r="F80" s="5" t="n"/>
      <c r="G80" s="5" t="n"/>
      <c r="H80" s="5" t="n"/>
      <c r="I80" s="5">
        <f>IF(D80="","",SUM(E80:H80))</f>
        <v/>
      </c>
      <c r="J80" s="5">
        <f>IF(D80="","",D80-I80)</f>
        <v/>
      </c>
      <c r="K80" s="6">
        <f>IF(D80="","",IFERROR(I80/D80,0))</f>
        <v/>
      </c>
      <c r="L80" s="4" t="n"/>
    </row>
    <row r="81">
      <c r="A81" s="7" t="n"/>
      <c r="B81" s="7" t="n"/>
      <c r="C81" s="7" t="n"/>
      <c r="D81" s="8" t="n"/>
      <c r="E81" s="8" t="n"/>
      <c r="F81" s="8" t="n"/>
      <c r="G81" s="8" t="n"/>
      <c r="H81" s="8" t="n"/>
      <c r="I81" s="8">
        <f>IF(D81="","",SUM(E81:H81))</f>
        <v/>
      </c>
      <c r="J81" s="8">
        <f>IF(D81="","",D81-I81)</f>
        <v/>
      </c>
      <c r="K81" s="9">
        <f>IF(D81="","",IFERROR(I81/D81,0))</f>
        <v/>
      </c>
      <c r="L81" s="7" t="n"/>
    </row>
    <row r="82">
      <c r="A82" s="4" t="n"/>
      <c r="B82" s="4" t="n"/>
      <c r="C82" s="4" t="n"/>
      <c r="D82" s="5" t="n"/>
      <c r="E82" s="5" t="n"/>
      <c r="F82" s="5" t="n"/>
      <c r="G82" s="5" t="n"/>
      <c r="H82" s="5" t="n"/>
      <c r="I82" s="5">
        <f>IF(D82="","",SUM(E82:H82))</f>
        <v/>
      </c>
      <c r="J82" s="5">
        <f>IF(D82="","",D82-I82)</f>
        <v/>
      </c>
      <c r="K82" s="6">
        <f>IF(D82="","",IFERROR(I82/D82,0))</f>
        <v/>
      </c>
      <c r="L82" s="4" t="n"/>
    </row>
    <row r="83">
      <c r="A83" s="7" t="n"/>
      <c r="B83" s="7" t="n"/>
      <c r="C83" s="7" t="n"/>
      <c r="D83" s="8" t="n"/>
      <c r="E83" s="8" t="n"/>
      <c r="F83" s="8" t="n"/>
      <c r="G83" s="8" t="n"/>
      <c r="H83" s="8" t="n"/>
      <c r="I83" s="8">
        <f>IF(D83="","",SUM(E83:H83))</f>
        <v/>
      </c>
      <c r="J83" s="8">
        <f>IF(D83="","",D83-I83)</f>
        <v/>
      </c>
      <c r="K83" s="9">
        <f>IF(D83="","",IFERROR(I83/D83,0))</f>
        <v/>
      </c>
      <c r="L83" s="7" t="n"/>
    </row>
    <row r="84">
      <c r="A84" s="4" t="n"/>
      <c r="B84" s="4" t="n"/>
      <c r="C84" s="4" t="n"/>
      <c r="D84" s="5" t="n"/>
      <c r="E84" s="5" t="n"/>
      <c r="F84" s="5" t="n"/>
      <c r="G84" s="5" t="n"/>
      <c r="H84" s="5" t="n"/>
      <c r="I84" s="5">
        <f>IF(D84="","",SUM(E84:H84))</f>
        <v/>
      </c>
      <c r="J84" s="5">
        <f>IF(D84="","",D84-I84)</f>
        <v/>
      </c>
      <c r="K84" s="6">
        <f>IF(D84="","",IFERROR(I84/D84,0))</f>
        <v/>
      </c>
      <c r="L84" s="4" t="n"/>
    </row>
    <row r="85">
      <c r="A85" s="7" t="n"/>
      <c r="B85" s="7" t="n"/>
      <c r="C85" s="7" t="n"/>
      <c r="D85" s="8" t="n"/>
      <c r="E85" s="8" t="n"/>
      <c r="F85" s="8" t="n"/>
      <c r="G85" s="8" t="n"/>
      <c r="H85" s="8" t="n"/>
      <c r="I85" s="8">
        <f>IF(D85="","",SUM(E85:H85))</f>
        <v/>
      </c>
      <c r="J85" s="8">
        <f>IF(D85="","",D85-I85)</f>
        <v/>
      </c>
      <c r="K85" s="9">
        <f>IF(D85="","",IFERROR(I85/D85,0))</f>
        <v/>
      </c>
      <c r="L85" s="7" t="n"/>
    </row>
    <row r="86">
      <c r="A86" s="4" t="n"/>
      <c r="B86" s="4" t="n"/>
      <c r="C86" s="4" t="n"/>
      <c r="D86" s="5" t="n"/>
      <c r="E86" s="5" t="n"/>
      <c r="F86" s="5" t="n"/>
      <c r="G86" s="5" t="n"/>
      <c r="H86" s="5" t="n"/>
      <c r="I86" s="5">
        <f>IF(D86="","",SUM(E86:H86))</f>
        <v/>
      </c>
      <c r="J86" s="5">
        <f>IF(D86="","",D86-I86)</f>
        <v/>
      </c>
      <c r="K86" s="6">
        <f>IF(D86="","",IFERROR(I86/D86,0))</f>
        <v/>
      </c>
      <c r="L86" s="4" t="n"/>
    </row>
    <row r="87">
      <c r="A87" s="7" t="n"/>
      <c r="B87" s="7" t="n"/>
      <c r="C87" s="7" t="n"/>
      <c r="D87" s="8" t="n"/>
      <c r="E87" s="8" t="n"/>
      <c r="F87" s="8" t="n"/>
      <c r="G87" s="8" t="n"/>
      <c r="H87" s="8" t="n"/>
      <c r="I87" s="8">
        <f>IF(D87="","",SUM(E87:H87))</f>
        <v/>
      </c>
      <c r="J87" s="8">
        <f>IF(D87="","",D87-I87)</f>
        <v/>
      </c>
      <c r="K87" s="9">
        <f>IF(D87="","",IFERROR(I87/D87,0))</f>
        <v/>
      </c>
      <c r="L87" s="7" t="n"/>
    </row>
    <row r="88">
      <c r="A88" s="4" t="n"/>
      <c r="B88" s="4" t="n"/>
      <c r="C88" s="4" t="n"/>
      <c r="D88" s="5" t="n"/>
      <c r="E88" s="5" t="n"/>
      <c r="F88" s="5" t="n"/>
      <c r="G88" s="5" t="n"/>
      <c r="H88" s="5" t="n"/>
      <c r="I88" s="5">
        <f>IF(D88="","",SUM(E88:H88))</f>
        <v/>
      </c>
      <c r="J88" s="5">
        <f>IF(D88="","",D88-I88)</f>
        <v/>
      </c>
      <c r="K88" s="6">
        <f>IF(D88="","",IFERROR(I88/D88,0))</f>
        <v/>
      </c>
      <c r="L88" s="4" t="n"/>
    </row>
    <row r="89">
      <c r="A89" s="7" t="n"/>
      <c r="B89" s="7" t="n"/>
      <c r="C89" s="7" t="n"/>
      <c r="D89" s="8" t="n"/>
      <c r="E89" s="8" t="n"/>
      <c r="F89" s="8" t="n"/>
      <c r="G89" s="8" t="n"/>
      <c r="H89" s="8" t="n"/>
      <c r="I89" s="8">
        <f>IF(D89="","",SUM(E89:H89))</f>
        <v/>
      </c>
      <c r="J89" s="8">
        <f>IF(D89="","",D89-I89)</f>
        <v/>
      </c>
      <c r="K89" s="9">
        <f>IF(D89="","",IFERROR(I89/D89,0))</f>
        <v/>
      </c>
      <c r="L89" s="7" t="n"/>
    </row>
    <row r="90">
      <c r="A90" s="4" t="n"/>
      <c r="B90" s="4" t="n"/>
      <c r="C90" s="4" t="n"/>
      <c r="D90" s="5" t="n"/>
      <c r="E90" s="5" t="n"/>
      <c r="F90" s="5" t="n"/>
      <c r="G90" s="5" t="n"/>
      <c r="H90" s="5" t="n"/>
      <c r="I90" s="5">
        <f>IF(D90="","",SUM(E90:H90))</f>
        <v/>
      </c>
      <c r="J90" s="5">
        <f>IF(D90="","",D90-I90)</f>
        <v/>
      </c>
      <c r="K90" s="6">
        <f>IF(D90="","",IFERROR(I90/D90,0))</f>
        <v/>
      </c>
      <c r="L90" s="4" t="n"/>
    </row>
    <row r="91">
      <c r="A91" s="7" t="n"/>
      <c r="B91" s="7" t="n"/>
      <c r="C91" s="7" t="n"/>
      <c r="D91" s="8" t="n"/>
      <c r="E91" s="8" t="n"/>
      <c r="F91" s="8" t="n"/>
      <c r="G91" s="8" t="n"/>
      <c r="H91" s="8" t="n"/>
      <c r="I91" s="8">
        <f>IF(D91="","",SUM(E91:H91))</f>
        <v/>
      </c>
      <c r="J91" s="8">
        <f>IF(D91="","",D91-I91)</f>
        <v/>
      </c>
      <c r="K91" s="9">
        <f>IF(D91="","",IFERROR(I91/D91,0))</f>
        <v/>
      </c>
      <c r="L91" s="7" t="n"/>
    </row>
    <row r="92">
      <c r="A92" s="4" t="n"/>
      <c r="B92" s="4" t="n"/>
      <c r="C92" s="4" t="n"/>
      <c r="D92" s="5" t="n"/>
      <c r="E92" s="5" t="n"/>
      <c r="F92" s="5" t="n"/>
      <c r="G92" s="5" t="n"/>
      <c r="H92" s="5" t="n"/>
      <c r="I92" s="5">
        <f>IF(D92="","",SUM(E92:H92))</f>
        <v/>
      </c>
      <c r="J92" s="5">
        <f>IF(D92="","",D92-I92)</f>
        <v/>
      </c>
      <c r="K92" s="6">
        <f>IF(D92="","",IFERROR(I92/D92,0))</f>
        <v/>
      </c>
      <c r="L92" s="4" t="n"/>
    </row>
    <row r="93">
      <c r="A93" s="7" t="n"/>
      <c r="B93" s="7" t="n"/>
      <c r="C93" s="7" t="n"/>
      <c r="D93" s="8" t="n"/>
      <c r="E93" s="8" t="n"/>
      <c r="F93" s="8" t="n"/>
      <c r="G93" s="8" t="n"/>
      <c r="H93" s="8" t="n"/>
      <c r="I93" s="8">
        <f>IF(D93="","",SUM(E93:H93))</f>
        <v/>
      </c>
      <c r="J93" s="8">
        <f>IF(D93="","",D93-I93)</f>
        <v/>
      </c>
      <c r="K93" s="9">
        <f>IF(D93="","",IFERROR(I93/D93,0))</f>
        <v/>
      </c>
      <c r="L93" s="7" t="n"/>
    </row>
    <row r="94">
      <c r="A94" s="4" t="n"/>
      <c r="B94" s="4" t="n"/>
      <c r="C94" s="4" t="n"/>
      <c r="D94" s="5" t="n"/>
      <c r="E94" s="5" t="n"/>
      <c r="F94" s="5" t="n"/>
      <c r="G94" s="5" t="n"/>
      <c r="H94" s="5" t="n"/>
      <c r="I94" s="5">
        <f>IF(D94="","",SUM(E94:H94))</f>
        <v/>
      </c>
      <c r="J94" s="5">
        <f>IF(D94="","",D94-I94)</f>
        <v/>
      </c>
      <c r="K94" s="6">
        <f>IF(D94="","",IFERROR(I94/D94,0))</f>
        <v/>
      </c>
      <c r="L94" s="4" t="n"/>
    </row>
    <row r="95">
      <c r="A95" s="7" t="n"/>
      <c r="B95" s="7" t="n"/>
      <c r="C95" s="7" t="n"/>
      <c r="D95" s="8" t="n"/>
      <c r="E95" s="8" t="n"/>
      <c r="F95" s="8" t="n"/>
      <c r="G95" s="8" t="n"/>
      <c r="H95" s="8" t="n"/>
      <c r="I95" s="8">
        <f>IF(D95="","",SUM(E95:H95))</f>
        <v/>
      </c>
      <c r="J95" s="8">
        <f>IF(D95="","",D95-I95)</f>
        <v/>
      </c>
      <c r="K95" s="9">
        <f>IF(D95="","",IFERROR(I95/D95,0))</f>
        <v/>
      </c>
      <c r="L95" s="7" t="n"/>
    </row>
    <row r="96">
      <c r="A96" s="4" t="n"/>
      <c r="B96" s="4" t="n"/>
      <c r="C96" s="4" t="n"/>
      <c r="D96" s="5" t="n"/>
      <c r="E96" s="5" t="n"/>
      <c r="F96" s="5" t="n"/>
      <c r="G96" s="5" t="n"/>
      <c r="H96" s="5" t="n"/>
      <c r="I96" s="5">
        <f>IF(D96="","",SUM(E96:H96))</f>
        <v/>
      </c>
      <c r="J96" s="5">
        <f>IF(D96="","",D96-I96)</f>
        <v/>
      </c>
      <c r="K96" s="6">
        <f>IF(D96="","",IFERROR(I96/D96,0))</f>
        <v/>
      </c>
      <c r="L96" s="4" t="n"/>
    </row>
    <row r="97">
      <c r="A97" s="7" t="n"/>
      <c r="B97" s="7" t="n"/>
      <c r="C97" s="7" t="n"/>
      <c r="D97" s="8" t="n"/>
      <c r="E97" s="8" t="n"/>
      <c r="F97" s="8" t="n"/>
      <c r="G97" s="8" t="n"/>
      <c r="H97" s="8" t="n"/>
      <c r="I97" s="8">
        <f>IF(D97="","",SUM(E97:H97))</f>
        <v/>
      </c>
      <c r="J97" s="8">
        <f>IF(D97="","",D97-I97)</f>
        <v/>
      </c>
      <c r="K97" s="9">
        <f>IF(D97="","",IFERROR(I97/D97,0))</f>
        <v/>
      </c>
      <c r="L97" s="7" t="n"/>
    </row>
    <row r="98">
      <c r="A98" s="4" t="n"/>
      <c r="B98" s="4" t="n"/>
      <c r="C98" s="4" t="n"/>
      <c r="D98" s="5" t="n"/>
      <c r="E98" s="5" t="n"/>
      <c r="F98" s="5" t="n"/>
      <c r="G98" s="5" t="n"/>
      <c r="H98" s="5" t="n"/>
      <c r="I98" s="5">
        <f>IF(D98="","",SUM(E98:H98))</f>
        <v/>
      </c>
      <c r="J98" s="5">
        <f>IF(D98="","",D98-I98)</f>
        <v/>
      </c>
      <c r="K98" s="6">
        <f>IF(D98="","",IFERROR(I98/D98,0))</f>
        <v/>
      </c>
      <c r="L98" s="4" t="n"/>
    </row>
    <row r="99">
      <c r="A99" s="7" t="n"/>
      <c r="B99" s="7" t="n"/>
      <c r="C99" s="7" t="n"/>
      <c r="D99" s="8" t="n"/>
      <c r="E99" s="8" t="n"/>
      <c r="F99" s="8" t="n"/>
      <c r="G99" s="8" t="n"/>
      <c r="H99" s="8" t="n"/>
      <c r="I99" s="8">
        <f>IF(D99="","",SUM(E99:H99))</f>
        <v/>
      </c>
      <c r="J99" s="8">
        <f>IF(D99="","",D99-I99)</f>
        <v/>
      </c>
      <c r="K99" s="9">
        <f>IF(D99="","",IFERROR(I99/D99,0))</f>
        <v/>
      </c>
      <c r="L99" s="7" t="n"/>
    </row>
    <row r="100">
      <c r="A100" s="4" t="n"/>
      <c r="B100" s="4" t="n"/>
      <c r="C100" s="4" t="n"/>
      <c r="D100" s="5" t="n"/>
      <c r="E100" s="5" t="n"/>
      <c r="F100" s="5" t="n"/>
      <c r="G100" s="5" t="n"/>
      <c r="H100" s="5" t="n"/>
      <c r="I100" s="5">
        <f>IF(D100="","",SUM(E100:H100))</f>
        <v/>
      </c>
      <c r="J100" s="5">
        <f>IF(D100="","",D100-I100)</f>
        <v/>
      </c>
      <c r="K100" s="6">
        <f>IF(D100="","",IFERROR(I100/D100,0))</f>
        <v/>
      </c>
      <c r="L100" s="4" t="n"/>
    </row>
    <row r="101">
      <c r="A101" s="7" t="n"/>
      <c r="B101" s="7" t="n"/>
      <c r="C101" s="7" t="n"/>
      <c r="D101" s="8" t="n"/>
      <c r="E101" s="8" t="n"/>
      <c r="F101" s="8" t="n"/>
      <c r="G101" s="8" t="n"/>
      <c r="H101" s="8" t="n"/>
      <c r="I101" s="8">
        <f>IF(D101="","",SUM(E101:H101))</f>
        <v/>
      </c>
      <c r="J101" s="8">
        <f>IF(D101="","",D101-I101)</f>
        <v/>
      </c>
      <c r="K101" s="9">
        <f>IF(D101="","",IFERROR(I101/D101,0))</f>
        <v/>
      </c>
      <c r="L101" s="7" t="n"/>
    </row>
    <row r="102">
      <c r="A102" s="4" t="n"/>
      <c r="B102" s="4" t="n"/>
      <c r="C102" s="4" t="n"/>
      <c r="D102" s="5" t="n"/>
      <c r="E102" s="5" t="n"/>
      <c r="F102" s="5" t="n"/>
      <c r="G102" s="5" t="n"/>
      <c r="H102" s="5" t="n"/>
      <c r="I102" s="5">
        <f>IF(D102="","",SUM(E102:H102))</f>
        <v/>
      </c>
      <c r="J102" s="5">
        <f>IF(D102="","",D102-I102)</f>
        <v/>
      </c>
      <c r="K102" s="6">
        <f>IF(D102="","",IFERROR(I102/D102,0))</f>
        <v/>
      </c>
      <c r="L102" s="4" t="n"/>
    </row>
    <row r="103">
      <c r="A103" s="7" t="n"/>
      <c r="B103" s="7" t="n"/>
      <c r="C103" s="7" t="n"/>
      <c r="D103" s="8" t="n"/>
      <c r="E103" s="8" t="n"/>
      <c r="F103" s="8" t="n"/>
      <c r="G103" s="8" t="n"/>
      <c r="H103" s="8" t="n"/>
      <c r="I103" s="8">
        <f>IF(D103="","",SUM(E103:H103))</f>
        <v/>
      </c>
      <c r="J103" s="8">
        <f>IF(D103="","",D103-I103)</f>
        <v/>
      </c>
      <c r="K103" s="9">
        <f>IF(D103="","",IFERROR(I103/D103,0))</f>
        <v/>
      </c>
      <c r="L103" s="7" t="n"/>
    </row>
    <row r="104">
      <c r="A104" s="4" t="n"/>
      <c r="B104" s="4" t="n"/>
      <c r="C104" s="4" t="n"/>
      <c r="D104" s="5" t="n"/>
      <c r="E104" s="5" t="n"/>
      <c r="F104" s="5" t="n"/>
      <c r="G104" s="5" t="n"/>
      <c r="H104" s="5" t="n"/>
      <c r="I104" s="5">
        <f>IF(D104="","",SUM(E104:H104))</f>
        <v/>
      </c>
      <c r="J104" s="5">
        <f>IF(D104="","",D104-I104)</f>
        <v/>
      </c>
      <c r="K104" s="6">
        <f>IF(D104="","",IFERROR(I104/D104,0))</f>
        <v/>
      </c>
      <c r="L104" s="4" t="n"/>
    </row>
    <row r="105">
      <c r="A105" s="7" t="n"/>
      <c r="B105" s="7" t="n"/>
      <c r="C105" s="7" t="n"/>
      <c r="D105" s="8" t="n"/>
      <c r="E105" s="8" t="n"/>
      <c r="F105" s="8" t="n"/>
      <c r="G105" s="8" t="n"/>
      <c r="H105" s="8" t="n"/>
      <c r="I105" s="8">
        <f>IF(D105="","",SUM(E105:H105))</f>
        <v/>
      </c>
      <c r="J105" s="8">
        <f>IF(D105="","",D105-I105)</f>
        <v/>
      </c>
      <c r="K105" s="9">
        <f>IF(D105="","",IFERROR(I105/D105,0))</f>
        <v/>
      </c>
      <c r="L105" s="7" t="n"/>
    </row>
    <row r="106">
      <c r="A106" s="4" t="n"/>
      <c r="B106" s="4" t="n"/>
      <c r="C106" s="4" t="n"/>
      <c r="D106" s="5" t="n"/>
      <c r="E106" s="5" t="n"/>
      <c r="F106" s="5" t="n"/>
      <c r="G106" s="5" t="n"/>
      <c r="H106" s="5" t="n"/>
      <c r="I106" s="5">
        <f>IF(D106="","",SUM(E106:H106))</f>
        <v/>
      </c>
      <c r="J106" s="5">
        <f>IF(D106="","",D106-I106)</f>
        <v/>
      </c>
      <c r="K106" s="6">
        <f>IF(D106="","",IFERROR(I106/D106,0))</f>
        <v/>
      </c>
      <c r="L106" s="4" t="n"/>
    </row>
    <row r="107">
      <c r="A107" s="7" t="n"/>
      <c r="B107" s="7" t="n"/>
      <c r="C107" s="7" t="n"/>
      <c r="D107" s="8" t="n"/>
      <c r="E107" s="8" t="n"/>
      <c r="F107" s="8" t="n"/>
      <c r="G107" s="8" t="n"/>
      <c r="H107" s="8" t="n"/>
      <c r="I107" s="8">
        <f>IF(D107="","",SUM(E107:H107))</f>
        <v/>
      </c>
      <c r="J107" s="8">
        <f>IF(D107="","",D107-I107)</f>
        <v/>
      </c>
      <c r="K107" s="9">
        <f>IF(D107="","",IFERROR(I107/D107,0))</f>
        <v/>
      </c>
      <c r="L107" s="7" t="n"/>
    </row>
    <row r="108">
      <c r="A108" s="4" t="n"/>
      <c r="B108" s="4" t="n"/>
      <c r="C108" s="4" t="n"/>
      <c r="D108" s="5" t="n"/>
      <c r="E108" s="5" t="n"/>
      <c r="F108" s="5" t="n"/>
      <c r="G108" s="5" t="n"/>
      <c r="H108" s="5" t="n"/>
      <c r="I108" s="5">
        <f>IF(D108="","",SUM(E108:H108))</f>
        <v/>
      </c>
      <c r="J108" s="5">
        <f>IF(D108="","",D108-I108)</f>
        <v/>
      </c>
      <c r="K108" s="6">
        <f>IF(D108="","",IFERROR(I108/D108,0))</f>
        <v/>
      </c>
      <c r="L108" s="4" t="n"/>
    </row>
    <row r="109">
      <c r="A109" s="7" t="n"/>
      <c r="B109" s="7" t="n"/>
      <c r="C109" s="7" t="n"/>
      <c r="D109" s="8" t="n"/>
      <c r="E109" s="8" t="n"/>
      <c r="F109" s="8" t="n"/>
      <c r="G109" s="8" t="n"/>
      <c r="H109" s="8" t="n"/>
      <c r="I109" s="8">
        <f>IF(D109="","",SUM(E109:H109))</f>
        <v/>
      </c>
      <c r="J109" s="8">
        <f>IF(D109="","",D109-I109)</f>
        <v/>
      </c>
      <c r="K109" s="9">
        <f>IF(D109="","",IFERROR(I109/D109,0))</f>
        <v/>
      </c>
      <c r="L109" s="7" t="n"/>
    </row>
    <row r="110">
      <c r="A110" s="4" t="n"/>
      <c r="B110" s="4" t="n"/>
      <c r="C110" s="4" t="n"/>
      <c r="D110" s="5" t="n"/>
      <c r="E110" s="5" t="n"/>
      <c r="F110" s="5" t="n"/>
      <c r="G110" s="5" t="n"/>
      <c r="H110" s="5" t="n"/>
      <c r="I110" s="5">
        <f>IF(D110="","",SUM(E110:H110))</f>
        <v/>
      </c>
      <c r="J110" s="5">
        <f>IF(D110="","",D110-I110)</f>
        <v/>
      </c>
      <c r="K110" s="6">
        <f>IF(D110="","",IFERROR(I110/D110,0))</f>
        <v/>
      </c>
      <c r="L110" s="4" t="n"/>
    </row>
    <row r="111">
      <c r="A111" s="7" t="n"/>
      <c r="B111" s="7" t="n"/>
      <c r="C111" s="7" t="n"/>
      <c r="D111" s="8" t="n"/>
      <c r="E111" s="8" t="n"/>
      <c r="F111" s="8" t="n"/>
      <c r="G111" s="8" t="n"/>
      <c r="H111" s="8" t="n"/>
      <c r="I111" s="8">
        <f>IF(D111="","",SUM(E111:H111))</f>
        <v/>
      </c>
      <c r="J111" s="8">
        <f>IF(D111="","",D111-I111)</f>
        <v/>
      </c>
      <c r="K111" s="9">
        <f>IF(D111="","",IFERROR(I111/D111,0))</f>
        <v/>
      </c>
      <c r="L111" s="7" t="n"/>
    </row>
    <row r="112">
      <c r="A112" s="4" t="n"/>
      <c r="B112" s="4" t="n"/>
      <c r="C112" s="4" t="n"/>
      <c r="D112" s="5" t="n"/>
      <c r="E112" s="5" t="n"/>
      <c r="F112" s="5" t="n"/>
      <c r="G112" s="5" t="n"/>
      <c r="H112" s="5" t="n"/>
      <c r="I112" s="5">
        <f>IF(D112="","",SUM(E112:H112))</f>
        <v/>
      </c>
      <c r="J112" s="5">
        <f>IF(D112="","",D112-I112)</f>
        <v/>
      </c>
      <c r="K112" s="6">
        <f>IF(D112="","",IFERROR(I112/D112,0))</f>
        <v/>
      </c>
      <c r="L112" s="4" t="n"/>
    </row>
    <row r="113">
      <c r="A113" s="7" t="n"/>
      <c r="B113" s="7" t="n"/>
      <c r="C113" s="7" t="n"/>
      <c r="D113" s="8" t="n"/>
      <c r="E113" s="8" t="n"/>
      <c r="F113" s="8" t="n"/>
      <c r="G113" s="8" t="n"/>
      <c r="H113" s="8" t="n"/>
      <c r="I113" s="8">
        <f>IF(D113="","",SUM(E113:H113))</f>
        <v/>
      </c>
      <c r="J113" s="8">
        <f>IF(D113="","",D113-I113)</f>
        <v/>
      </c>
      <c r="K113" s="9">
        <f>IF(D113="","",IFERROR(I113/D113,0))</f>
        <v/>
      </c>
      <c r="L113" s="7" t="n"/>
    </row>
    <row r="114">
      <c r="A114" s="4" t="n"/>
      <c r="B114" s="4" t="n"/>
      <c r="C114" s="4" t="n"/>
      <c r="D114" s="5" t="n"/>
      <c r="E114" s="5" t="n"/>
      <c r="F114" s="5" t="n"/>
      <c r="G114" s="5" t="n"/>
      <c r="H114" s="5" t="n"/>
      <c r="I114" s="5">
        <f>IF(D114="","",SUM(E114:H114))</f>
        <v/>
      </c>
      <c r="J114" s="5">
        <f>IF(D114="","",D114-I114)</f>
        <v/>
      </c>
      <c r="K114" s="6">
        <f>IF(D114="","",IFERROR(I114/D114,0))</f>
        <v/>
      </c>
      <c r="L114" s="4" t="n"/>
    </row>
    <row r="115">
      <c r="A115" s="7" t="n"/>
      <c r="B115" s="7" t="n"/>
      <c r="C115" s="7" t="n"/>
      <c r="D115" s="8" t="n"/>
      <c r="E115" s="8" t="n"/>
      <c r="F115" s="8" t="n"/>
      <c r="G115" s="8" t="n"/>
      <c r="H115" s="8" t="n"/>
      <c r="I115" s="8">
        <f>IF(D115="","",SUM(E115:H115))</f>
        <v/>
      </c>
      <c r="J115" s="8">
        <f>IF(D115="","",D115-I115)</f>
        <v/>
      </c>
      <c r="K115" s="9">
        <f>IF(D115="","",IFERROR(I115/D115,0))</f>
        <v/>
      </c>
      <c r="L115" s="7" t="n"/>
    </row>
  </sheetData>
  <mergeCells count="2">
    <mergeCell ref="A3:P3"/>
    <mergeCell ref="A2:P2"/>
  </mergeCells>
  <dataValidations count="2">
    <dataValidation sqref="B6:B115" showDropDown="0" showInputMessage="0" showErrorMessage="0" allowBlank="1" errorTitle="Erreur de saisie" error="Valeur non autorisée" promptTitle="Liste déroulante" prompt="Sélectionnez dans la liste" type="list">
      <formula1>'F02 - _Lists'!$B$6:$B$35</formula1>
    </dataValidation>
    <dataValidation sqref="C6:C115" showDropDown="0" showInputMessage="0" showErrorMessage="0" allowBlank="1" errorTitle="Erreur de saisie" error="Valeur non autorisée" promptTitle="Liste déroulante" prompt="Sélectionnez dans la liste" type="list">
      <formula1>'F02 - _Lists'!$D$6:$D$35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986CB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2" ht="25" customHeight="1">
      <c r="A2" s="1" t="inlineStr">
        <is>
          <t>DOMAINE 26 — 14-REPORTING BUDGÉTAIRE MENSUEL</t>
        </is>
      </c>
    </row>
    <row r="3" ht="18" customHeight="1">
      <c r="A3" s="2" t="inlineStr">
        <is>
          <t>TABLEAU DYNAMIQUE — Synthèse mensuelle par grande catégorie</t>
        </is>
      </c>
    </row>
    <row r="5">
      <c r="A5" s="3" t="inlineStr">
        <is>
          <t>Mois</t>
        </is>
      </c>
      <c r="B5" s="3" t="inlineStr">
        <is>
          <t>Masse Salariale (FCFA)</t>
        </is>
      </c>
      <c r="C5" s="3" t="inlineStr">
        <is>
          <t>Charges Sociales (FCFA)</t>
        </is>
      </c>
      <c r="D5" s="3" t="inlineStr">
        <is>
          <t>Fiscalité (FCFA)</t>
        </is>
      </c>
      <c r="E5" s="3" t="inlineStr">
        <is>
          <t>Formation (FCFA)</t>
        </is>
      </c>
      <c r="F5" s="3" t="inlineStr">
        <is>
          <t>Avantages (FCFA)</t>
        </is>
      </c>
      <c r="G5" s="3" t="inlineStr">
        <is>
          <t>Autres (FCFA)</t>
        </is>
      </c>
      <c r="H5" s="3" t="inlineStr">
        <is>
          <t>Total Mois (FCFA)</t>
        </is>
      </c>
      <c r="I5" s="3" t="inlineStr">
        <is>
          <t>Budget Mensuel (FCFA)</t>
        </is>
      </c>
      <c r="J5" s="3" t="inlineStr">
        <is>
          <t>Écart Mensuel (FCFA)</t>
        </is>
      </c>
      <c r="K5" s="3" t="inlineStr">
        <is>
          <t>Cumul Annuel (FCFA)</t>
        </is>
      </c>
      <c r="L5" s="3" t="inlineStr">
        <is>
          <t>Budget Annuel (FCFA)</t>
        </is>
      </c>
      <c r="M5" s="3" t="inlineStr">
        <is>
          <t>Écart Annuel (FCFA)</t>
        </is>
      </c>
      <c r="N5" s="3" t="inlineStr">
        <is>
          <t>Taux Réalisation (%)</t>
        </is>
      </c>
    </row>
    <row r="6">
      <c r="A6" s="4" t="inlineStr">
        <is>
          <t>Janvier 2025</t>
        </is>
      </c>
      <c r="B6" s="5" t="n">
        <v>18500000</v>
      </c>
      <c r="C6" s="5" t="n">
        <v>6500000</v>
      </c>
      <c r="D6" s="5" t="n">
        <v>5200000</v>
      </c>
      <c r="E6" s="5" t="n">
        <v>800000</v>
      </c>
      <c r="F6" s="5" t="n">
        <v>1500000</v>
      </c>
      <c r="G6" s="5" t="n">
        <v>1200000</v>
      </c>
      <c r="H6" s="5">
        <f>SUM(B6:G6)</f>
        <v/>
      </c>
      <c r="I6" s="5" t="n">
        <v>35000000</v>
      </c>
      <c r="J6" s="5">
        <f>I6-H6</f>
        <v/>
      </c>
      <c r="K6" s="5">
        <f>H6</f>
        <v/>
      </c>
      <c r="L6" s="5" t="n">
        <v>572000000</v>
      </c>
      <c r="M6" s="5">
        <f>L6-K6</f>
        <v/>
      </c>
      <c r="N6" s="6">
        <f>IFERROR(K6/L6,0)</f>
        <v/>
      </c>
    </row>
    <row r="7">
      <c r="A7" s="7" t="inlineStr">
        <is>
          <t>Février 2025</t>
        </is>
      </c>
      <c r="B7" s="8" t="n">
        <v>18700000</v>
      </c>
      <c r="C7" s="8" t="n">
        <v>6550000</v>
      </c>
      <c r="D7" s="8" t="n">
        <v>5250000</v>
      </c>
      <c r="E7" s="8" t="n">
        <v>700000</v>
      </c>
      <c r="F7" s="8" t="n">
        <v>1480000</v>
      </c>
      <c r="G7" s="8" t="n">
        <v>1150000</v>
      </c>
      <c r="H7" s="8">
        <f>SUM(B7:G7)</f>
        <v/>
      </c>
      <c r="I7" s="8" t="n">
        <v>35000000</v>
      </c>
      <c r="J7" s="8">
        <f>I7-H7</f>
        <v/>
      </c>
      <c r="K7" s="8">
        <f>K6+H7</f>
        <v/>
      </c>
      <c r="L7" s="8" t="n">
        <v>572000000</v>
      </c>
      <c r="M7" s="8">
        <f>L7-K7</f>
        <v/>
      </c>
      <c r="N7" s="9">
        <f>IFERROR(K7/L7,0)</f>
        <v/>
      </c>
    </row>
    <row r="8">
      <c r="A8" s="4" t="inlineStr">
        <is>
          <t>Mars 2025</t>
        </is>
      </c>
      <c r="B8" s="5" t="n">
        <v>19200000</v>
      </c>
      <c r="C8" s="5" t="n">
        <v>6700000</v>
      </c>
      <c r="D8" s="5" t="n">
        <v>5300000</v>
      </c>
      <c r="E8" s="5" t="n">
        <v>1200000</v>
      </c>
      <c r="F8" s="5" t="n">
        <v>1520000</v>
      </c>
      <c r="G8" s="5" t="n">
        <v>1800000</v>
      </c>
      <c r="H8" s="5">
        <f>SUM(B8:G8)</f>
        <v/>
      </c>
      <c r="I8" s="5" t="n">
        <v>37000000</v>
      </c>
      <c r="J8" s="5">
        <f>I8-H8</f>
        <v/>
      </c>
      <c r="K8" s="5">
        <f>K7+H8</f>
        <v/>
      </c>
      <c r="L8" s="5" t="n">
        <v>572000000</v>
      </c>
      <c r="M8" s="5">
        <f>L8-K8</f>
        <v/>
      </c>
      <c r="N8" s="6">
        <f>IFERROR(K8/L8,0)</f>
        <v/>
      </c>
    </row>
    <row r="9">
      <c r="A9" s="7" t="inlineStr">
        <is>
          <t>Avril 2025</t>
        </is>
      </c>
      <c r="B9" s="8" t="n">
        <v>19200000</v>
      </c>
      <c r="C9" s="8" t="n">
        <v>6720000</v>
      </c>
      <c r="D9" s="8" t="n">
        <v>5350000</v>
      </c>
      <c r="E9" s="8" t="n">
        <v>1000000</v>
      </c>
      <c r="F9" s="8" t="n">
        <v>1500000</v>
      </c>
      <c r="G9" s="8" t="n">
        <v>1600000</v>
      </c>
      <c r="H9" s="8">
        <f>SUM(B9:G9)</f>
        <v/>
      </c>
      <c r="I9" s="8" t="n">
        <v>36500000</v>
      </c>
      <c r="J9" s="8">
        <f>I9-H9</f>
        <v/>
      </c>
      <c r="K9" s="8">
        <f>K8+H9</f>
        <v/>
      </c>
      <c r="L9" s="8" t="n">
        <v>572000000</v>
      </c>
      <c r="M9" s="8">
        <f>L9-K9</f>
        <v/>
      </c>
      <c r="N9" s="9">
        <f>IFERROR(K9/L9,0)</f>
        <v/>
      </c>
    </row>
    <row r="10">
      <c r="A10" s="4" t="inlineStr">
        <is>
          <t>Mai 2025</t>
        </is>
      </c>
      <c r="B10" s="5" t="n">
        <v>18800000</v>
      </c>
      <c r="C10" s="5" t="n">
        <v>6580000</v>
      </c>
      <c r="D10" s="5" t="n">
        <v>5250000</v>
      </c>
      <c r="E10" s="5" t="n">
        <v>800000</v>
      </c>
      <c r="F10" s="5" t="n">
        <v>1490000</v>
      </c>
      <c r="G10" s="5" t="n">
        <v>1250000</v>
      </c>
      <c r="H10" s="5">
        <f>SUM(B10:G10)</f>
        <v/>
      </c>
      <c r="I10" s="5" t="n">
        <v>35500000</v>
      </c>
      <c r="J10" s="5">
        <f>I10-H10</f>
        <v/>
      </c>
      <c r="K10" s="5">
        <f>K9+H10</f>
        <v/>
      </c>
      <c r="L10" s="5" t="n">
        <v>572000000</v>
      </c>
      <c r="M10" s="5">
        <f>L10-K10</f>
        <v/>
      </c>
      <c r="N10" s="6">
        <f>IFERROR(K10/L10,0)</f>
        <v/>
      </c>
    </row>
    <row r="11">
      <c r="A11" s="7" t="inlineStr">
        <is>
          <t>Juin 2025</t>
        </is>
      </c>
      <c r="B11" s="8" t="n">
        <v>19500000</v>
      </c>
      <c r="C11" s="8" t="n">
        <v>6820000</v>
      </c>
      <c r="D11" s="8" t="n">
        <v>5400000</v>
      </c>
      <c r="E11" s="8" t="n">
        <v>600000</v>
      </c>
      <c r="F11" s="8" t="n">
        <v>1500000</v>
      </c>
      <c r="G11" s="8" t="n">
        <v>1500000</v>
      </c>
      <c r="H11" s="8">
        <f>SUM(B11:G11)</f>
        <v/>
      </c>
      <c r="I11" s="8" t="n">
        <v>36000000</v>
      </c>
      <c r="J11" s="8">
        <f>I11-H11</f>
        <v/>
      </c>
      <c r="K11" s="8">
        <f>K10+H11</f>
        <v/>
      </c>
      <c r="L11" s="8" t="n">
        <v>572000000</v>
      </c>
      <c r="M11" s="8">
        <f>L11-K11</f>
        <v/>
      </c>
      <c r="N11" s="9">
        <f>IFERROR(K11/L11,0)</f>
        <v/>
      </c>
    </row>
    <row r="12">
      <c r="A12" s="4" t="n"/>
      <c r="B12" s="5" t="n"/>
      <c r="C12" s="5" t="n"/>
      <c r="D12" s="5" t="n"/>
      <c r="E12" s="5" t="n"/>
      <c r="F12" s="5" t="n"/>
      <c r="G12" s="5" t="n"/>
      <c r="H12" s="5">
        <f>IF(A12="","",SUM(B12:G12))</f>
        <v/>
      </c>
      <c r="I12" s="5" t="n"/>
      <c r="J12" s="5">
        <f>IF(A12="","",I12-H12)</f>
        <v/>
      </c>
      <c r="K12" s="5">
        <f>IF(A12="","",H12)</f>
        <v/>
      </c>
      <c r="L12" s="5" t="n"/>
      <c r="M12" s="5">
        <f>IF(A12="","",L12-K12)</f>
        <v/>
      </c>
      <c r="N12" s="6">
        <f>IF(A12="","",IFERROR(K12/L12,0))</f>
        <v/>
      </c>
    </row>
    <row r="13">
      <c r="A13" s="7" t="n"/>
      <c r="B13" s="8" t="n"/>
      <c r="C13" s="8" t="n"/>
      <c r="D13" s="8" t="n"/>
      <c r="E13" s="8" t="n"/>
      <c r="F13" s="8" t="n"/>
      <c r="G13" s="8" t="n"/>
      <c r="H13" s="8">
        <f>IF(A13="","",SUM(B13:G13))</f>
        <v/>
      </c>
      <c r="I13" s="8" t="n"/>
      <c r="J13" s="8">
        <f>IF(A13="","",I13-H13)</f>
        <v/>
      </c>
      <c r="K13" s="8">
        <f>IF(A13="","",K12+H13)</f>
        <v/>
      </c>
      <c r="L13" s="8" t="n"/>
      <c r="M13" s="8">
        <f>IF(A13="","",L13-K13)</f>
        <v/>
      </c>
      <c r="N13" s="9">
        <f>IF(A13="","",IFERROR(K13/L13,0))</f>
        <v/>
      </c>
    </row>
    <row r="14">
      <c r="A14" s="4" t="n"/>
      <c r="B14" s="5" t="n"/>
      <c r="C14" s="5" t="n"/>
      <c r="D14" s="5" t="n"/>
      <c r="E14" s="5" t="n"/>
      <c r="F14" s="5" t="n"/>
      <c r="G14" s="5" t="n"/>
      <c r="H14" s="5">
        <f>IF(A14="","",SUM(B14:G14))</f>
        <v/>
      </c>
      <c r="I14" s="5" t="n"/>
      <c r="J14" s="5">
        <f>IF(A14="","",I14-H14)</f>
        <v/>
      </c>
      <c r="K14" s="5">
        <f>IF(A14="","",K13+H14)</f>
        <v/>
      </c>
      <c r="L14" s="5" t="n"/>
      <c r="M14" s="5">
        <f>IF(A14="","",L14-K14)</f>
        <v/>
      </c>
      <c r="N14" s="6">
        <f>IF(A14="","",IFERROR(K14/L14,0))</f>
        <v/>
      </c>
    </row>
    <row r="15">
      <c r="A15" s="7" t="n"/>
      <c r="B15" s="8" t="n"/>
      <c r="C15" s="8" t="n"/>
      <c r="D15" s="8" t="n"/>
      <c r="E15" s="8" t="n"/>
      <c r="F15" s="8" t="n"/>
      <c r="G15" s="8" t="n"/>
      <c r="H15" s="8">
        <f>IF(A15="","",SUM(B15:G15))</f>
        <v/>
      </c>
      <c r="I15" s="8" t="n"/>
      <c r="J15" s="8">
        <f>IF(A15="","",I15-H15)</f>
        <v/>
      </c>
      <c r="K15" s="8">
        <f>IF(A15="","",K14+H15)</f>
        <v/>
      </c>
      <c r="L15" s="8" t="n"/>
      <c r="M15" s="8">
        <f>IF(A15="","",L15-K15)</f>
        <v/>
      </c>
      <c r="N15" s="9">
        <f>IF(A15="","",IFERROR(K15/L15,0))</f>
        <v/>
      </c>
    </row>
    <row r="16">
      <c r="A16" s="4" t="n"/>
      <c r="B16" s="5" t="n"/>
      <c r="C16" s="5" t="n"/>
      <c r="D16" s="5" t="n"/>
      <c r="E16" s="5" t="n"/>
      <c r="F16" s="5" t="n"/>
      <c r="G16" s="5" t="n"/>
      <c r="H16" s="5">
        <f>IF(A16="","",SUM(B16:G16))</f>
        <v/>
      </c>
      <c r="I16" s="5" t="n"/>
      <c r="J16" s="5">
        <f>IF(A16="","",I16-H16)</f>
        <v/>
      </c>
      <c r="K16" s="5">
        <f>IF(A16="","",K15+H16)</f>
        <v/>
      </c>
      <c r="L16" s="5" t="n"/>
      <c r="M16" s="5">
        <f>IF(A16="","",L16-K16)</f>
        <v/>
      </c>
      <c r="N16" s="6">
        <f>IF(A16="","",IFERROR(K16/L16,0))</f>
        <v/>
      </c>
    </row>
    <row r="17">
      <c r="A17" s="7" t="n"/>
      <c r="B17" s="8" t="n"/>
      <c r="C17" s="8" t="n"/>
      <c r="D17" s="8" t="n"/>
      <c r="E17" s="8" t="n"/>
      <c r="F17" s="8" t="n"/>
      <c r="G17" s="8" t="n"/>
      <c r="H17" s="8">
        <f>IF(A17="","",SUM(B17:G17))</f>
        <v/>
      </c>
      <c r="I17" s="8" t="n"/>
      <c r="J17" s="8">
        <f>IF(A17="","",I17-H17)</f>
        <v/>
      </c>
      <c r="K17" s="8">
        <f>IF(A17="","",K16+H17)</f>
        <v/>
      </c>
      <c r="L17" s="8" t="n"/>
      <c r="M17" s="8">
        <f>IF(A17="","",L17-K17)</f>
        <v/>
      </c>
      <c r="N17" s="9">
        <f>IF(A17="","",IFERROR(K17/L17,0))</f>
        <v/>
      </c>
    </row>
    <row r="18">
      <c r="A18" s="4" t="n"/>
      <c r="B18" s="5" t="n"/>
      <c r="C18" s="5" t="n"/>
      <c r="D18" s="5" t="n"/>
      <c r="E18" s="5" t="n"/>
      <c r="F18" s="5" t="n"/>
      <c r="G18" s="5" t="n"/>
      <c r="H18" s="5">
        <f>IF(A18="","",SUM(B18:G18))</f>
        <v/>
      </c>
      <c r="I18" s="5" t="n"/>
      <c r="J18" s="5">
        <f>IF(A18="","",I18-H18)</f>
        <v/>
      </c>
      <c r="K18" s="5">
        <f>IF(A18="","",K17+H18)</f>
        <v/>
      </c>
      <c r="L18" s="5" t="n"/>
      <c r="M18" s="5">
        <f>IF(A18="","",L18-K18)</f>
        <v/>
      </c>
      <c r="N18" s="6">
        <f>IF(A18="","",IFERROR(K18/L18,0))</f>
        <v/>
      </c>
    </row>
    <row r="19">
      <c r="A19" s="7" t="n"/>
      <c r="B19" s="8" t="n"/>
      <c r="C19" s="8" t="n"/>
      <c r="D19" s="8" t="n"/>
      <c r="E19" s="8" t="n"/>
      <c r="F19" s="8" t="n"/>
      <c r="G19" s="8" t="n"/>
      <c r="H19" s="8">
        <f>IF(A19="","",SUM(B19:G19))</f>
        <v/>
      </c>
      <c r="I19" s="8" t="n"/>
      <c r="J19" s="8">
        <f>IF(A19="","",I19-H19)</f>
        <v/>
      </c>
      <c r="K19" s="8">
        <f>IF(A19="","",K18+H19)</f>
        <v/>
      </c>
      <c r="L19" s="8" t="n"/>
      <c r="M19" s="8">
        <f>IF(A19="","",L19-K19)</f>
        <v/>
      </c>
      <c r="N19" s="9">
        <f>IF(A19="","",IFERROR(K19/L19,0))</f>
        <v/>
      </c>
    </row>
    <row r="20">
      <c r="A20" s="4" t="n"/>
      <c r="B20" s="5" t="n"/>
      <c r="C20" s="5" t="n"/>
      <c r="D20" s="5" t="n"/>
      <c r="E20" s="5" t="n"/>
      <c r="F20" s="5" t="n"/>
      <c r="G20" s="5" t="n"/>
      <c r="H20" s="5">
        <f>IF(A20="","",SUM(B20:G20))</f>
        <v/>
      </c>
      <c r="I20" s="5" t="n"/>
      <c r="J20" s="5">
        <f>IF(A20="","",I20-H20)</f>
        <v/>
      </c>
      <c r="K20" s="5">
        <f>IF(A20="","",K19+H20)</f>
        <v/>
      </c>
      <c r="L20" s="5" t="n"/>
      <c r="M20" s="5">
        <f>IF(A20="","",L20-K20)</f>
        <v/>
      </c>
      <c r="N20" s="6">
        <f>IF(A20="","",IFERROR(K20/L20,0))</f>
        <v/>
      </c>
    </row>
    <row r="21">
      <c r="A21" s="7" t="n"/>
      <c r="B21" s="8" t="n"/>
      <c r="C21" s="8" t="n"/>
      <c r="D21" s="8" t="n"/>
      <c r="E21" s="8" t="n"/>
      <c r="F21" s="8" t="n"/>
      <c r="G21" s="8" t="n"/>
      <c r="H21" s="8">
        <f>IF(A21="","",SUM(B21:G21))</f>
        <v/>
      </c>
      <c r="I21" s="8" t="n"/>
      <c r="J21" s="8">
        <f>IF(A21="","",I21-H21)</f>
        <v/>
      </c>
      <c r="K21" s="8">
        <f>IF(A21="","",K20+H21)</f>
        <v/>
      </c>
      <c r="L21" s="8" t="n"/>
      <c r="M21" s="8">
        <f>IF(A21="","",L21-K21)</f>
        <v/>
      </c>
      <c r="N21" s="9">
        <f>IF(A21="","",IFERROR(K21/L21,0))</f>
        <v/>
      </c>
    </row>
    <row r="22">
      <c r="A22" s="4" t="n"/>
      <c r="B22" s="5" t="n"/>
      <c r="C22" s="5" t="n"/>
      <c r="D22" s="5" t="n"/>
      <c r="E22" s="5" t="n"/>
      <c r="F22" s="5" t="n"/>
      <c r="G22" s="5" t="n"/>
      <c r="H22" s="5">
        <f>IF(A22="","",SUM(B22:G22))</f>
        <v/>
      </c>
      <c r="I22" s="5" t="n"/>
      <c r="J22" s="5">
        <f>IF(A22="","",I22-H22)</f>
        <v/>
      </c>
      <c r="K22" s="5">
        <f>IF(A22="","",K21+H22)</f>
        <v/>
      </c>
      <c r="L22" s="5" t="n"/>
      <c r="M22" s="5">
        <f>IF(A22="","",L22-K22)</f>
        <v/>
      </c>
      <c r="N22" s="6">
        <f>IF(A22="","",IFERROR(K22/L22,0))</f>
        <v/>
      </c>
    </row>
    <row r="23">
      <c r="A23" s="7" t="n"/>
      <c r="B23" s="8" t="n"/>
      <c r="C23" s="8" t="n"/>
      <c r="D23" s="8" t="n"/>
      <c r="E23" s="8" t="n"/>
      <c r="F23" s="8" t="n"/>
      <c r="G23" s="8" t="n"/>
      <c r="H23" s="8">
        <f>IF(A23="","",SUM(B23:G23))</f>
        <v/>
      </c>
      <c r="I23" s="8" t="n"/>
      <c r="J23" s="8">
        <f>IF(A23="","",I23-H23)</f>
        <v/>
      </c>
      <c r="K23" s="8">
        <f>IF(A23="","",K22+H23)</f>
        <v/>
      </c>
      <c r="L23" s="8" t="n"/>
      <c r="M23" s="8">
        <f>IF(A23="","",L23-K23)</f>
        <v/>
      </c>
      <c r="N23" s="9">
        <f>IF(A23="","",IFERROR(K23/L23,0))</f>
        <v/>
      </c>
    </row>
    <row r="24">
      <c r="A24" s="4" t="n"/>
      <c r="B24" s="5" t="n"/>
      <c r="C24" s="5" t="n"/>
      <c r="D24" s="5" t="n"/>
      <c r="E24" s="5" t="n"/>
      <c r="F24" s="5" t="n"/>
      <c r="G24" s="5" t="n"/>
      <c r="H24" s="5">
        <f>IF(A24="","",SUM(B24:G24))</f>
        <v/>
      </c>
      <c r="I24" s="5" t="n"/>
      <c r="J24" s="5">
        <f>IF(A24="","",I24-H24)</f>
        <v/>
      </c>
      <c r="K24" s="5">
        <f>IF(A24="","",K23+H24)</f>
        <v/>
      </c>
      <c r="L24" s="5" t="n"/>
      <c r="M24" s="5">
        <f>IF(A24="","",L24-K24)</f>
        <v/>
      </c>
      <c r="N24" s="6">
        <f>IF(A24="","",IFERROR(K24/L24,0))</f>
        <v/>
      </c>
    </row>
    <row r="25">
      <c r="A25" s="7" t="n"/>
      <c r="B25" s="8" t="n"/>
      <c r="C25" s="8" t="n"/>
      <c r="D25" s="8" t="n"/>
      <c r="E25" s="8" t="n"/>
      <c r="F25" s="8" t="n"/>
      <c r="G25" s="8" t="n"/>
      <c r="H25" s="8">
        <f>IF(A25="","",SUM(B25:G25))</f>
        <v/>
      </c>
      <c r="I25" s="8" t="n"/>
      <c r="J25" s="8">
        <f>IF(A25="","",I25-H25)</f>
        <v/>
      </c>
      <c r="K25" s="8">
        <f>IF(A25="","",K24+H25)</f>
        <v/>
      </c>
      <c r="L25" s="8" t="n"/>
      <c r="M25" s="8">
        <f>IF(A25="","",L25-K25)</f>
        <v/>
      </c>
      <c r="N25" s="9">
        <f>IF(A25="","",IFERROR(K25/L25,0))</f>
        <v/>
      </c>
    </row>
    <row r="26">
      <c r="A26" s="4" t="n"/>
      <c r="B26" s="5" t="n"/>
      <c r="C26" s="5" t="n"/>
      <c r="D26" s="5" t="n"/>
      <c r="E26" s="5" t="n"/>
      <c r="F26" s="5" t="n"/>
      <c r="G26" s="5" t="n"/>
      <c r="H26" s="5">
        <f>IF(A26="","",SUM(B26:G26))</f>
        <v/>
      </c>
      <c r="I26" s="5" t="n"/>
      <c r="J26" s="5">
        <f>IF(A26="","",I26-H26)</f>
        <v/>
      </c>
      <c r="K26" s="5">
        <f>IF(A26="","",K25+H26)</f>
        <v/>
      </c>
      <c r="L26" s="5" t="n"/>
      <c r="M26" s="5">
        <f>IF(A26="","",L26-K26)</f>
        <v/>
      </c>
      <c r="N26" s="6">
        <f>IF(A26="","",IFERROR(K26/L26,0))</f>
        <v/>
      </c>
    </row>
    <row r="27">
      <c r="A27" s="7" t="n"/>
      <c r="B27" s="8" t="n"/>
      <c r="C27" s="8" t="n"/>
      <c r="D27" s="8" t="n"/>
      <c r="E27" s="8" t="n"/>
      <c r="F27" s="8" t="n"/>
      <c r="G27" s="8" t="n"/>
      <c r="H27" s="8">
        <f>IF(A27="","",SUM(B27:G27))</f>
        <v/>
      </c>
      <c r="I27" s="8" t="n"/>
      <c r="J27" s="8">
        <f>IF(A27="","",I27-H27)</f>
        <v/>
      </c>
      <c r="K27" s="8">
        <f>IF(A27="","",K26+H27)</f>
        <v/>
      </c>
      <c r="L27" s="8" t="n"/>
      <c r="M27" s="8">
        <f>IF(A27="","",L27-K27)</f>
        <v/>
      </c>
      <c r="N27" s="9">
        <f>IF(A27="","",IFERROR(K27/L27,0))</f>
        <v/>
      </c>
    </row>
    <row r="28">
      <c r="A28" s="4" t="n"/>
      <c r="B28" s="5" t="n"/>
      <c r="C28" s="5" t="n"/>
      <c r="D28" s="5" t="n"/>
      <c r="E28" s="5" t="n"/>
      <c r="F28" s="5" t="n"/>
      <c r="G28" s="5" t="n"/>
      <c r="H28" s="5">
        <f>IF(A28="","",SUM(B28:G28))</f>
        <v/>
      </c>
      <c r="I28" s="5" t="n"/>
      <c r="J28" s="5">
        <f>IF(A28="","",I28-H28)</f>
        <v/>
      </c>
      <c r="K28" s="5">
        <f>IF(A28="","",K27+H28)</f>
        <v/>
      </c>
      <c r="L28" s="5" t="n"/>
      <c r="M28" s="5">
        <f>IF(A28="","",L28-K28)</f>
        <v/>
      </c>
      <c r="N28" s="6">
        <f>IF(A28="","",IFERROR(K28/L28,0))</f>
        <v/>
      </c>
    </row>
    <row r="29">
      <c r="A29" s="7" t="n"/>
      <c r="B29" s="8" t="n"/>
      <c r="C29" s="8" t="n"/>
      <c r="D29" s="8" t="n"/>
      <c r="E29" s="8" t="n"/>
      <c r="F29" s="8" t="n"/>
      <c r="G29" s="8" t="n"/>
      <c r="H29" s="8">
        <f>IF(A29="","",SUM(B29:G29))</f>
        <v/>
      </c>
      <c r="I29" s="8" t="n"/>
      <c r="J29" s="8">
        <f>IF(A29="","",I29-H29)</f>
        <v/>
      </c>
      <c r="K29" s="8">
        <f>IF(A29="","",K28+H29)</f>
        <v/>
      </c>
      <c r="L29" s="8" t="n"/>
      <c r="M29" s="8">
        <f>IF(A29="","",L29-K29)</f>
        <v/>
      </c>
      <c r="N29" s="9">
        <f>IF(A29="","",IFERROR(K29/L29,0))</f>
        <v/>
      </c>
    </row>
    <row r="30">
      <c r="A30" s="4" t="n"/>
      <c r="B30" s="5" t="n"/>
      <c r="C30" s="5" t="n"/>
      <c r="D30" s="5" t="n"/>
      <c r="E30" s="5" t="n"/>
      <c r="F30" s="5" t="n"/>
      <c r="G30" s="5" t="n"/>
      <c r="H30" s="5">
        <f>IF(A30="","",SUM(B30:G30))</f>
        <v/>
      </c>
      <c r="I30" s="5" t="n"/>
      <c r="J30" s="5">
        <f>IF(A30="","",I30-H30)</f>
        <v/>
      </c>
      <c r="K30" s="5">
        <f>IF(A30="","",K29+H30)</f>
        <v/>
      </c>
      <c r="L30" s="5" t="n"/>
      <c r="M30" s="5">
        <f>IF(A30="","",L30-K30)</f>
        <v/>
      </c>
      <c r="N30" s="6">
        <f>IF(A30="","",IFERROR(K30/L30,0))</f>
        <v/>
      </c>
    </row>
    <row r="31">
      <c r="A31" s="7" t="n"/>
      <c r="B31" s="8" t="n"/>
      <c r="C31" s="8" t="n"/>
      <c r="D31" s="8" t="n"/>
      <c r="E31" s="8" t="n"/>
      <c r="F31" s="8" t="n"/>
      <c r="G31" s="8" t="n"/>
      <c r="H31" s="8">
        <f>IF(A31="","",SUM(B31:G31))</f>
        <v/>
      </c>
      <c r="I31" s="8" t="n"/>
      <c r="J31" s="8">
        <f>IF(A31="","",I31-H31)</f>
        <v/>
      </c>
      <c r="K31" s="8">
        <f>IF(A31="","",K30+H31)</f>
        <v/>
      </c>
      <c r="L31" s="8" t="n"/>
      <c r="M31" s="8">
        <f>IF(A31="","",L31-K31)</f>
        <v/>
      </c>
      <c r="N31" s="9">
        <f>IF(A31="","",IFERROR(K31/L31,0))</f>
        <v/>
      </c>
    </row>
    <row r="32">
      <c r="A32" s="4" t="n"/>
      <c r="B32" s="5" t="n"/>
      <c r="C32" s="5" t="n"/>
      <c r="D32" s="5" t="n"/>
      <c r="E32" s="5" t="n"/>
      <c r="F32" s="5" t="n"/>
      <c r="G32" s="5" t="n"/>
      <c r="H32" s="5">
        <f>IF(A32="","",SUM(B32:G32))</f>
        <v/>
      </c>
      <c r="I32" s="5" t="n"/>
      <c r="J32" s="5">
        <f>IF(A32="","",I32-H32)</f>
        <v/>
      </c>
      <c r="K32" s="5">
        <f>IF(A32="","",K31+H32)</f>
        <v/>
      </c>
      <c r="L32" s="5" t="n"/>
      <c r="M32" s="5">
        <f>IF(A32="","",L32-K32)</f>
        <v/>
      </c>
      <c r="N32" s="6">
        <f>IF(A32="","",IFERROR(K32/L32,0))</f>
        <v/>
      </c>
    </row>
    <row r="33">
      <c r="A33" s="7" t="n"/>
      <c r="B33" s="8" t="n"/>
      <c r="C33" s="8" t="n"/>
      <c r="D33" s="8" t="n"/>
      <c r="E33" s="8" t="n"/>
      <c r="F33" s="8" t="n"/>
      <c r="G33" s="8" t="n"/>
      <c r="H33" s="8">
        <f>IF(A33="","",SUM(B33:G33))</f>
        <v/>
      </c>
      <c r="I33" s="8" t="n"/>
      <c r="J33" s="8">
        <f>IF(A33="","",I33-H33)</f>
        <v/>
      </c>
      <c r="K33" s="8">
        <f>IF(A33="","",K32+H33)</f>
        <v/>
      </c>
      <c r="L33" s="8" t="n"/>
      <c r="M33" s="8">
        <f>IF(A33="","",L33-K33)</f>
        <v/>
      </c>
      <c r="N33" s="9">
        <f>IF(A33="","",IFERROR(K33/L33,0))</f>
        <v/>
      </c>
    </row>
    <row r="34">
      <c r="A34" s="4" t="n"/>
      <c r="B34" s="5" t="n"/>
      <c r="C34" s="5" t="n"/>
      <c r="D34" s="5" t="n"/>
      <c r="E34" s="5" t="n"/>
      <c r="F34" s="5" t="n"/>
      <c r="G34" s="5" t="n"/>
      <c r="H34" s="5">
        <f>IF(A34="","",SUM(B34:G34))</f>
        <v/>
      </c>
      <c r="I34" s="5" t="n"/>
      <c r="J34" s="5">
        <f>IF(A34="","",I34-H34)</f>
        <v/>
      </c>
      <c r="K34" s="5">
        <f>IF(A34="","",K33+H34)</f>
        <v/>
      </c>
      <c r="L34" s="5" t="n"/>
      <c r="M34" s="5">
        <f>IF(A34="","",L34-K34)</f>
        <v/>
      </c>
      <c r="N34" s="6">
        <f>IF(A34="","",IFERROR(K34/L34,0))</f>
        <v/>
      </c>
    </row>
    <row r="35">
      <c r="A35" s="7" t="n"/>
      <c r="B35" s="8" t="n"/>
      <c r="C35" s="8" t="n"/>
      <c r="D35" s="8" t="n"/>
      <c r="E35" s="8" t="n"/>
      <c r="F35" s="8" t="n"/>
      <c r="G35" s="8" t="n"/>
      <c r="H35" s="8">
        <f>IF(A35="","",SUM(B35:G35))</f>
        <v/>
      </c>
      <c r="I35" s="8" t="n"/>
      <c r="J35" s="8">
        <f>IF(A35="","",I35-H35)</f>
        <v/>
      </c>
      <c r="K35" s="8">
        <f>IF(A35="","",K34+H35)</f>
        <v/>
      </c>
      <c r="L35" s="8" t="n"/>
      <c r="M35" s="8">
        <f>IF(A35="","",L35-K35)</f>
        <v/>
      </c>
      <c r="N35" s="9">
        <f>IF(A35="","",IFERROR(K35/L35,0))</f>
        <v/>
      </c>
    </row>
    <row r="36">
      <c r="A36" s="4" t="n"/>
      <c r="B36" s="5" t="n"/>
      <c r="C36" s="5" t="n"/>
      <c r="D36" s="5" t="n"/>
      <c r="E36" s="5" t="n"/>
      <c r="F36" s="5" t="n"/>
      <c r="G36" s="5" t="n"/>
      <c r="H36" s="5">
        <f>IF(A36="","",SUM(B36:G36))</f>
        <v/>
      </c>
      <c r="I36" s="5" t="n"/>
      <c r="J36" s="5">
        <f>IF(A36="","",I36-H36)</f>
        <v/>
      </c>
      <c r="K36" s="5">
        <f>IF(A36="","",K35+H36)</f>
        <v/>
      </c>
      <c r="L36" s="5" t="n"/>
      <c r="M36" s="5">
        <f>IF(A36="","",L36-K36)</f>
        <v/>
      </c>
      <c r="N36" s="6">
        <f>IF(A36="","",IFERROR(K36/L36,0))</f>
        <v/>
      </c>
    </row>
    <row r="37">
      <c r="A37" s="7" t="n"/>
      <c r="B37" s="8" t="n"/>
      <c r="C37" s="8" t="n"/>
      <c r="D37" s="8" t="n"/>
      <c r="E37" s="8" t="n"/>
      <c r="F37" s="8" t="n"/>
      <c r="G37" s="8" t="n"/>
      <c r="H37" s="8">
        <f>IF(A37="","",SUM(B37:G37))</f>
        <v/>
      </c>
      <c r="I37" s="8" t="n"/>
      <c r="J37" s="8">
        <f>IF(A37="","",I37-H37)</f>
        <v/>
      </c>
      <c r="K37" s="8">
        <f>IF(A37="","",K36+H37)</f>
        <v/>
      </c>
      <c r="L37" s="8" t="n"/>
      <c r="M37" s="8">
        <f>IF(A37="","",L37-K37)</f>
        <v/>
      </c>
      <c r="N37" s="9">
        <f>IF(A37="","",IFERROR(K37/L37,0))</f>
        <v/>
      </c>
    </row>
    <row r="38">
      <c r="A38" s="4" t="n"/>
      <c r="B38" s="5" t="n"/>
      <c r="C38" s="5" t="n"/>
      <c r="D38" s="5" t="n"/>
      <c r="E38" s="5" t="n"/>
      <c r="F38" s="5" t="n"/>
      <c r="G38" s="5" t="n"/>
      <c r="H38" s="5">
        <f>IF(A38="","",SUM(B38:G38))</f>
        <v/>
      </c>
      <c r="I38" s="5" t="n"/>
      <c r="J38" s="5">
        <f>IF(A38="","",I38-H38)</f>
        <v/>
      </c>
      <c r="K38" s="5">
        <f>IF(A38="","",K37+H38)</f>
        <v/>
      </c>
      <c r="L38" s="5" t="n"/>
      <c r="M38" s="5">
        <f>IF(A38="","",L38-K38)</f>
        <v/>
      </c>
      <c r="N38" s="6">
        <f>IF(A38="","",IFERROR(K38/L38,0))</f>
        <v/>
      </c>
    </row>
    <row r="39">
      <c r="A39" s="7" t="n"/>
      <c r="B39" s="8" t="n"/>
      <c r="C39" s="8" t="n"/>
      <c r="D39" s="8" t="n"/>
      <c r="E39" s="8" t="n"/>
      <c r="F39" s="8" t="n"/>
      <c r="G39" s="8" t="n"/>
      <c r="H39" s="8">
        <f>IF(A39="","",SUM(B39:G39))</f>
        <v/>
      </c>
      <c r="I39" s="8" t="n"/>
      <c r="J39" s="8">
        <f>IF(A39="","",I39-H39)</f>
        <v/>
      </c>
      <c r="K39" s="8">
        <f>IF(A39="","",K38+H39)</f>
        <v/>
      </c>
      <c r="L39" s="8" t="n"/>
      <c r="M39" s="8">
        <f>IF(A39="","",L39-K39)</f>
        <v/>
      </c>
      <c r="N39" s="9">
        <f>IF(A39="","",IFERROR(K39/L39,0))</f>
        <v/>
      </c>
    </row>
    <row r="40">
      <c r="A40" s="4" t="n"/>
      <c r="B40" s="5" t="n"/>
      <c r="C40" s="5" t="n"/>
      <c r="D40" s="5" t="n"/>
      <c r="E40" s="5" t="n"/>
      <c r="F40" s="5" t="n"/>
      <c r="G40" s="5" t="n"/>
      <c r="H40" s="5">
        <f>IF(A40="","",SUM(B40:G40))</f>
        <v/>
      </c>
      <c r="I40" s="5" t="n"/>
      <c r="J40" s="5">
        <f>IF(A40="","",I40-H40)</f>
        <v/>
      </c>
      <c r="K40" s="5">
        <f>IF(A40="","",K39+H40)</f>
        <v/>
      </c>
      <c r="L40" s="5" t="n"/>
      <c r="M40" s="5">
        <f>IF(A40="","",L40-K40)</f>
        <v/>
      </c>
      <c r="N40" s="6">
        <f>IF(A40="","",IFERROR(K40/L40,0))</f>
        <v/>
      </c>
    </row>
    <row r="41">
      <c r="A41" s="7" t="n"/>
      <c r="B41" s="8" t="n"/>
      <c r="C41" s="8" t="n"/>
      <c r="D41" s="8" t="n"/>
      <c r="E41" s="8" t="n"/>
      <c r="F41" s="8" t="n"/>
      <c r="G41" s="8" t="n"/>
      <c r="H41" s="8">
        <f>IF(A41="","",SUM(B41:G41))</f>
        <v/>
      </c>
      <c r="I41" s="8" t="n"/>
      <c r="J41" s="8">
        <f>IF(A41="","",I41-H41)</f>
        <v/>
      </c>
      <c r="K41" s="8">
        <f>IF(A41="","",K40+H41)</f>
        <v/>
      </c>
      <c r="L41" s="8" t="n"/>
      <c r="M41" s="8">
        <f>IF(A41="","",L41-K41)</f>
        <v/>
      </c>
      <c r="N41" s="9">
        <f>IF(A41="","",IFERROR(K41/L41,0))</f>
        <v/>
      </c>
    </row>
    <row r="42">
      <c r="A42" s="4" t="n"/>
      <c r="B42" s="5" t="n"/>
      <c r="C42" s="5" t="n"/>
      <c r="D42" s="5" t="n"/>
      <c r="E42" s="5" t="n"/>
      <c r="F42" s="5" t="n"/>
      <c r="G42" s="5" t="n"/>
      <c r="H42" s="5">
        <f>IF(A42="","",SUM(B42:G42))</f>
        <v/>
      </c>
      <c r="I42" s="5" t="n"/>
      <c r="J42" s="5">
        <f>IF(A42="","",I42-H42)</f>
        <v/>
      </c>
      <c r="K42" s="5">
        <f>IF(A42="","",K41+H42)</f>
        <v/>
      </c>
      <c r="L42" s="5" t="n"/>
      <c r="M42" s="5">
        <f>IF(A42="","",L42-K42)</f>
        <v/>
      </c>
      <c r="N42" s="6">
        <f>IF(A42="","",IFERROR(K42/L42,0))</f>
        <v/>
      </c>
    </row>
    <row r="43">
      <c r="A43" s="7" t="n"/>
      <c r="B43" s="8" t="n"/>
      <c r="C43" s="8" t="n"/>
      <c r="D43" s="8" t="n"/>
      <c r="E43" s="8" t="n"/>
      <c r="F43" s="8" t="n"/>
      <c r="G43" s="8" t="n"/>
      <c r="H43" s="8">
        <f>IF(A43="","",SUM(B43:G43))</f>
        <v/>
      </c>
      <c r="I43" s="8" t="n"/>
      <c r="J43" s="8">
        <f>IF(A43="","",I43-H43)</f>
        <v/>
      </c>
      <c r="K43" s="8">
        <f>IF(A43="","",K42+H43)</f>
        <v/>
      </c>
      <c r="L43" s="8" t="n"/>
      <c r="M43" s="8">
        <f>IF(A43="","",L43-K43)</f>
        <v/>
      </c>
      <c r="N43" s="9">
        <f>IF(A43="","",IFERROR(K43/L43,0))</f>
        <v/>
      </c>
    </row>
    <row r="44">
      <c r="A44" s="4" t="n"/>
      <c r="B44" s="5" t="n"/>
      <c r="C44" s="5" t="n"/>
      <c r="D44" s="5" t="n"/>
      <c r="E44" s="5" t="n"/>
      <c r="F44" s="5" t="n"/>
      <c r="G44" s="5" t="n"/>
      <c r="H44" s="5">
        <f>IF(A44="","",SUM(B44:G44))</f>
        <v/>
      </c>
      <c r="I44" s="5" t="n"/>
      <c r="J44" s="5">
        <f>IF(A44="","",I44-H44)</f>
        <v/>
      </c>
      <c r="K44" s="5">
        <f>IF(A44="","",K43+H44)</f>
        <v/>
      </c>
      <c r="L44" s="5" t="n"/>
      <c r="M44" s="5">
        <f>IF(A44="","",L44-K44)</f>
        <v/>
      </c>
      <c r="N44" s="6">
        <f>IF(A44="","",IFERROR(K44/L44,0))</f>
        <v/>
      </c>
    </row>
    <row r="45">
      <c r="A45" s="7" t="n"/>
      <c r="B45" s="8" t="n"/>
      <c r="C45" s="8" t="n"/>
      <c r="D45" s="8" t="n"/>
      <c r="E45" s="8" t="n"/>
      <c r="F45" s="8" t="n"/>
      <c r="G45" s="8" t="n"/>
      <c r="H45" s="8">
        <f>IF(A45="","",SUM(B45:G45))</f>
        <v/>
      </c>
      <c r="I45" s="8" t="n"/>
      <c r="J45" s="8">
        <f>IF(A45="","",I45-H45)</f>
        <v/>
      </c>
      <c r="K45" s="8">
        <f>IF(A45="","",K44+H45)</f>
        <v/>
      </c>
      <c r="L45" s="8" t="n"/>
      <c r="M45" s="8">
        <f>IF(A45="","",L45-K45)</f>
        <v/>
      </c>
      <c r="N45" s="9">
        <f>IF(A45="","",IFERROR(K45/L45,0))</f>
        <v/>
      </c>
    </row>
    <row r="46">
      <c r="A46" s="4" t="n"/>
      <c r="B46" s="5" t="n"/>
      <c r="C46" s="5" t="n"/>
      <c r="D46" s="5" t="n"/>
      <c r="E46" s="5" t="n"/>
      <c r="F46" s="5" t="n"/>
      <c r="G46" s="5" t="n"/>
      <c r="H46" s="5">
        <f>IF(A46="","",SUM(B46:G46))</f>
        <v/>
      </c>
      <c r="I46" s="5" t="n"/>
      <c r="J46" s="5">
        <f>IF(A46="","",I46-H46)</f>
        <v/>
      </c>
      <c r="K46" s="5">
        <f>IF(A46="","",K45+H46)</f>
        <v/>
      </c>
      <c r="L46" s="5" t="n"/>
      <c r="M46" s="5">
        <f>IF(A46="","",L46-K46)</f>
        <v/>
      </c>
      <c r="N46" s="6">
        <f>IF(A46="","",IFERROR(K46/L46,0))</f>
        <v/>
      </c>
    </row>
    <row r="47">
      <c r="A47" s="7" t="n"/>
      <c r="B47" s="8" t="n"/>
      <c r="C47" s="8" t="n"/>
      <c r="D47" s="8" t="n"/>
      <c r="E47" s="8" t="n"/>
      <c r="F47" s="8" t="n"/>
      <c r="G47" s="8" t="n"/>
      <c r="H47" s="8">
        <f>IF(A47="","",SUM(B47:G47))</f>
        <v/>
      </c>
      <c r="I47" s="8" t="n"/>
      <c r="J47" s="8">
        <f>IF(A47="","",I47-H47)</f>
        <v/>
      </c>
      <c r="K47" s="8">
        <f>IF(A47="","",K46+H47)</f>
        <v/>
      </c>
      <c r="L47" s="8" t="n"/>
      <c r="M47" s="8">
        <f>IF(A47="","",L47-K47)</f>
        <v/>
      </c>
      <c r="N47" s="9">
        <f>IF(A47="","",IFERROR(K47/L47,0))</f>
        <v/>
      </c>
    </row>
    <row r="48">
      <c r="A48" s="4" t="n"/>
      <c r="B48" s="5" t="n"/>
      <c r="C48" s="5" t="n"/>
      <c r="D48" s="5" t="n"/>
      <c r="E48" s="5" t="n"/>
      <c r="F48" s="5" t="n"/>
      <c r="G48" s="5" t="n"/>
      <c r="H48" s="5">
        <f>IF(A48="","",SUM(B48:G48))</f>
        <v/>
      </c>
      <c r="I48" s="5" t="n"/>
      <c r="J48" s="5">
        <f>IF(A48="","",I48-H48)</f>
        <v/>
      </c>
      <c r="K48" s="5">
        <f>IF(A48="","",K47+H48)</f>
        <v/>
      </c>
      <c r="L48" s="5" t="n"/>
      <c r="M48" s="5">
        <f>IF(A48="","",L48-K48)</f>
        <v/>
      </c>
      <c r="N48" s="6">
        <f>IF(A48="","",IFERROR(K48/L48,0))</f>
        <v/>
      </c>
    </row>
    <row r="49">
      <c r="A49" s="7" t="n"/>
      <c r="B49" s="8" t="n"/>
      <c r="C49" s="8" t="n"/>
      <c r="D49" s="8" t="n"/>
      <c r="E49" s="8" t="n"/>
      <c r="F49" s="8" t="n"/>
      <c r="G49" s="8" t="n"/>
      <c r="H49" s="8">
        <f>IF(A49="","",SUM(B49:G49))</f>
        <v/>
      </c>
      <c r="I49" s="8" t="n"/>
      <c r="J49" s="8">
        <f>IF(A49="","",I49-H49)</f>
        <v/>
      </c>
      <c r="K49" s="8">
        <f>IF(A49="","",K48+H49)</f>
        <v/>
      </c>
      <c r="L49" s="8" t="n"/>
      <c r="M49" s="8">
        <f>IF(A49="","",L49-K49)</f>
        <v/>
      </c>
      <c r="N49" s="9">
        <f>IF(A49="","",IFERROR(K49/L49,0))</f>
        <v/>
      </c>
    </row>
    <row r="50">
      <c r="A50" s="4" t="n"/>
      <c r="B50" s="5" t="n"/>
      <c r="C50" s="5" t="n"/>
      <c r="D50" s="5" t="n"/>
      <c r="E50" s="5" t="n"/>
      <c r="F50" s="5" t="n"/>
      <c r="G50" s="5" t="n"/>
      <c r="H50" s="5">
        <f>IF(A50="","",SUM(B50:G50))</f>
        <v/>
      </c>
      <c r="I50" s="5" t="n"/>
      <c r="J50" s="5">
        <f>IF(A50="","",I50-H50)</f>
        <v/>
      </c>
      <c r="K50" s="5">
        <f>IF(A50="","",K49+H50)</f>
        <v/>
      </c>
      <c r="L50" s="5" t="n"/>
      <c r="M50" s="5">
        <f>IF(A50="","",L50-K50)</f>
        <v/>
      </c>
      <c r="N50" s="6">
        <f>IF(A50="","",IFERROR(K50/L50,0))</f>
        <v/>
      </c>
    </row>
    <row r="51">
      <c r="A51" s="7" t="n"/>
      <c r="B51" s="8" t="n"/>
      <c r="C51" s="8" t="n"/>
      <c r="D51" s="8" t="n"/>
      <c r="E51" s="8" t="n"/>
      <c r="F51" s="8" t="n"/>
      <c r="G51" s="8" t="n"/>
      <c r="H51" s="8">
        <f>IF(A51="","",SUM(B51:G51))</f>
        <v/>
      </c>
      <c r="I51" s="8" t="n"/>
      <c r="J51" s="8">
        <f>IF(A51="","",I51-H51)</f>
        <v/>
      </c>
      <c r="K51" s="8">
        <f>IF(A51="","",K50+H51)</f>
        <v/>
      </c>
      <c r="L51" s="8" t="n"/>
      <c r="M51" s="8">
        <f>IF(A51="","",L51-K51)</f>
        <v/>
      </c>
      <c r="N51" s="9">
        <f>IF(A51="","",IFERROR(K51/L51,0))</f>
        <v/>
      </c>
    </row>
    <row r="52">
      <c r="A52" s="4" t="n"/>
      <c r="B52" s="5" t="n"/>
      <c r="C52" s="5" t="n"/>
      <c r="D52" s="5" t="n"/>
      <c r="E52" s="5" t="n"/>
      <c r="F52" s="5" t="n"/>
      <c r="G52" s="5" t="n"/>
      <c r="H52" s="5">
        <f>IF(A52="","",SUM(B52:G52))</f>
        <v/>
      </c>
      <c r="I52" s="5" t="n"/>
      <c r="J52" s="5">
        <f>IF(A52="","",I52-H52)</f>
        <v/>
      </c>
      <c r="K52" s="5">
        <f>IF(A52="","",K51+H52)</f>
        <v/>
      </c>
      <c r="L52" s="5" t="n"/>
      <c r="M52" s="5">
        <f>IF(A52="","",L52-K52)</f>
        <v/>
      </c>
      <c r="N52" s="6">
        <f>IF(A52="","",IFERROR(K52/L52,0))</f>
        <v/>
      </c>
    </row>
    <row r="53">
      <c r="A53" s="7" t="n"/>
      <c r="B53" s="8" t="n"/>
      <c r="C53" s="8" t="n"/>
      <c r="D53" s="8" t="n"/>
      <c r="E53" s="8" t="n"/>
      <c r="F53" s="8" t="n"/>
      <c r="G53" s="8" t="n"/>
      <c r="H53" s="8">
        <f>IF(A53="","",SUM(B53:G53))</f>
        <v/>
      </c>
      <c r="I53" s="8" t="n"/>
      <c r="J53" s="8">
        <f>IF(A53="","",I53-H53)</f>
        <v/>
      </c>
      <c r="K53" s="8">
        <f>IF(A53="","",K52+H53)</f>
        <v/>
      </c>
      <c r="L53" s="8" t="n"/>
      <c r="M53" s="8">
        <f>IF(A53="","",L53-K53)</f>
        <v/>
      </c>
      <c r="N53" s="9">
        <f>IF(A53="","",IFERROR(K53/L53,0))</f>
        <v/>
      </c>
    </row>
    <row r="54">
      <c r="A54" s="4" t="n"/>
      <c r="B54" s="5" t="n"/>
      <c r="C54" s="5" t="n"/>
      <c r="D54" s="5" t="n"/>
      <c r="E54" s="5" t="n"/>
      <c r="F54" s="5" t="n"/>
      <c r="G54" s="5" t="n"/>
      <c r="H54" s="5">
        <f>IF(A54="","",SUM(B54:G54))</f>
        <v/>
      </c>
      <c r="I54" s="5" t="n"/>
      <c r="J54" s="5">
        <f>IF(A54="","",I54-H54)</f>
        <v/>
      </c>
      <c r="K54" s="5">
        <f>IF(A54="","",K53+H54)</f>
        <v/>
      </c>
      <c r="L54" s="5" t="n"/>
      <c r="M54" s="5">
        <f>IF(A54="","",L54-K54)</f>
        <v/>
      </c>
      <c r="N54" s="6">
        <f>IF(A54="","",IFERROR(K54/L54,0))</f>
        <v/>
      </c>
    </row>
    <row r="55">
      <c r="A55" s="7" t="n"/>
      <c r="B55" s="8" t="n"/>
      <c r="C55" s="8" t="n"/>
      <c r="D55" s="8" t="n"/>
      <c r="E55" s="8" t="n"/>
      <c r="F55" s="8" t="n"/>
      <c r="G55" s="8" t="n"/>
      <c r="H55" s="8">
        <f>IF(A55="","",SUM(B55:G55))</f>
        <v/>
      </c>
      <c r="I55" s="8" t="n"/>
      <c r="J55" s="8">
        <f>IF(A55="","",I55-H55)</f>
        <v/>
      </c>
      <c r="K55" s="8">
        <f>IF(A55="","",K54+H55)</f>
        <v/>
      </c>
      <c r="L55" s="8" t="n"/>
      <c r="M55" s="8">
        <f>IF(A55="","",L55-K55)</f>
        <v/>
      </c>
      <c r="N55" s="9">
        <f>IF(A55="","",IFERROR(K55/L55,0))</f>
        <v/>
      </c>
    </row>
    <row r="56">
      <c r="A56" s="4" t="n"/>
      <c r="B56" s="5" t="n"/>
      <c r="C56" s="5" t="n"/>
      <c r="D56" s="5" t="n"/>
      <c r="E56" s="5" t="n"/>
      <c r="F56" s="5" t="n"/>
      <c r="G56" s="5" t="n"/>
      <c r="H56" s="5">
        <f>IF(A56="","",SUM(B56:G56))</f>
        <v/>
      </c>
      <c r="I56" s="5" t="n"/>
      <c r="J56" s="5">
        <f>IF(A56="","",I56-H56)</f>
        <v/>
      </c>
      <c r="K56" s="5">
        <f>IF(A56="","",K55+H56)</f>
        <v/>
      </c>
      <c r="L56" s="5" t="n"/>
      <c r="M56" s="5">
        <f>IF(A56="","",L56-K56)</f>
        <v/>
      </c>
      <c r="N56" s="6">
        <f>IF(A56="","",IFERROR(K56/L56,0))</f>
        <v/>
      </c>
    </row>
    <row r="57">
      <c r="A57" s="7" t="n"/>
      <c r="B57" s="8" t="n"/>
      <c r="C57" s="8" t="n"/>
      <c r="D57" s="8" t="n"/>
      <c r="E57" s="8" t="n"/>
      <c r="F57" s="8" t="n"/>
      <c r="G57" s="8" t="n"/>
      <c r="H57" s="8">
        <f>IF(A57="","",SUM(B57:G57))</f>
        <v/>
      </c>
      <c r="I57" s="8" t="n"/>
      <c r="J57" s="8">
        <f>IF(A57="","",I57-H57)</f>
        <v/>
      </c>
      <c r="K57" s="8">
        <f>IF(A57="","",K56+H57)</f>
        <v/>
      </c>
      <c r="L57" s="8" t="n"/>
      <c r="M57" s="8">
        <f>IF(A57="","",L57-K57)</f>
        <v/>
      </c>
      <c r="N57" s="9">
        <f>IF(A57="","",IFERROR(K57/L57,0))</f>
        <v/>
      </c>
    </row>
    <row r="58">
      <c r="A58" s="4" t="n"/>
      <c r="B58" s="5" t="n"/>
      <c r="C58" s="5" t="n"/>
      <c r="D58" s="5" t="n"/>
      <c r="E58" s="5" t="n"/>
      <c r="F58" s="5" t="n"/>
      <c r="G58" s="5" t="n"/>
      <c r="H58" s="5">
        <f>IF(A58="","",SUM(B58:G58))</f>
        <v/>
      </c>
      <c r="I58" s="5" t="n"/>
      <c r="J58" s="5">
        <f>IF(A58="","",I58-H58)</f>
        <v/>
      </c>
      <c r="K58" s="5">
        <f>IF(A58="","",K57+H58)</f>
        <v/>
      </c>
      <c r="L58" s="5" t="n"/>
      <c r="M58" s="5">
        <f>IF(A58="","",L58-K58)</f>
        <v/>
      </c>
      <c r="N58" s="6">
        <f>IF(A58="","",IFERROR(K58/L58,0))</f>
        <v/>
      </c>
    </row>
    <row r="59">
      <c r="A59" s="7" t="n"/>
      <c r="B59" s="8" t="n"/>
      <c r="C59" s="8" t="n"/>
      <c r="D59" s="8" t="n"/>
      <c r="E59" s="8" t="n"/>
      <c r="F59" s="8" t="n"/>
      <c r="G59" s="8" t="n"/>
      <c r="H59" s="8">
        <f>IF(A59="","",SUM(B59:G59))</f>
        <v/>
      </c>
      <c r="I59" s="8" t="n"/>
      <c r="J59" s="8">
        <f>IF(A59="","",I59-H59)</f>
        <v/>
      </c>
      <c r="K59" s="8">
        <f>IF(A59="","",K58+H59)</f>
        <v/>
      </c>
      <c r="L59" s="8" t="n"/>
      <c r="M59" s="8">
        <f>IF(A59="","",L59-K59)</f>
        <v/>
      </c>
      <c r="N59" s="9">
        <f>IF(A59="","",IFERROR(K59/L59,0))</f>
        <v/>
      </c>
    </row>
    <row r="60">
      <c r="A60" s="4" t="n"/>
      <c r="B60" s="5" t="n"/>
      <c r="C60" s="5" t="n"/>
      <c r="D60" s="5" t="n"/>
      <c r="E60" s="5" t="n"/>
      <c r="F60" s="5" t="n"/>
      <c r="G60" s="5" t="n"/>
      <c r="H60" s="5">
        <f>IF(A60="","",SUM(B60:G60))</f>
        <v/>
      </c>
      <c r="I60" s="5" t="n"/>
      <c r="J60" s="5">
        <f>IF(A60="","",I60-H60)</f>
        <v/>
      </c>
      <c r="K60" s="5">
        <f>IF(A60="","",K59+H60)</f>
        <v/>
      </c>
      <c r="L60" s="5" t="n"/>
      <c r="M60" s="5">
        <f>IF(A60="","",L60-K60)</f>
        <v/>
      </c>
      <c r="N60" s="6">
        <f>IF(A60="","",IFERROR(K60/L60,0))</f>
        <v/>
      </c>
    </row>
    <row r="61">
      <c r="A61" s="7" t="n"/>
      <c r="B61" s="8" t="n"/>
      <c r="C61" s="8" t="n"/>
      <c r="D61" s="8" t="n"/>
      <c r="E61" s="8" t="n"/>
      <c r="F61" s="8" t="n"/>
      <c r="G61" s="8" t="n"/>
      <c r="H61" s="8">
        <f>IF(A61="","",SUM(B61:G61))</f>
        <v/>
      </c>
      <c r="I61" s="8" t="n"/>
      <c r="J61" s="8">
        <f>IF(A61="","",I61-H61)</f>
        <v/>
      </c>
      <c r="K61" s="8">
        <f>IF(A61="","",K60+H61)</f>
        <v/>
      </c>
      <c r="L61" s="8" t="n"/>
      <c r="M61" s="8">
        <f>IF(A61="","",L61-K61)</f>
        <v/>
      </c>
      <c r="N61" s="9">
        <f>IF(A61="","",IFERROR(K61/L61,0))</f>
        <v/>
      </c>
    </row>
    <row r="62">
      <c r="A62" s="4" t="n"/>
      <c r="B62" s="5" t="n"/>
      <c r="C62" s="5" t="n"/>
      <c r="D62" s="5" t="n"/>
      <c r="E62" s="5" t="n"/>
      <c r="F62" s="5" t="n"/>
      <c r="G62" s="5" t="n"/>
      <c r="H62" s="5">
        <f>IF(A62="","",SUM(B62:G62))</f>
        <v/>
      </c>
      <c r="I62" s="5" t="n"/>
      <c r="J62" s="5">
        <f>IF(A62="","",I62-H62)</f>
        <v/>
      </c>
      <c r="K62" s="5">
        <f>IF(A62="","",K61+H62)</f>
        <v/>
      </c>
      <c r="L62" s="5" t="n"/>
      <c r="M62" s="5">
        <f>IF(A62="","",L62-K62)</f>
        <v/>
      </c>
      <c r="N62" s="6">
        <f>IF(A62="","",IFERROR(K62/L62,0))</f>
        <v/>
      </c>
    </row>
    <row r="63">
      <c r="A63" s="7" t="n"/>
      <c r="B63" s="8" t="n"/>
      <c r="C63" s="8" t="n"/>
      <c r="D63" s="8" t="n"/>
      <c r="E63" s="8" t="n"/>
      <c r="F63" s="8" t="n"/>
      <c r="G63" s="8" t="n"/>
      <c r="H63" s="8">
        <f>IF(A63="","",SUM(B63:G63))</f>
        <v/>
      </c>
      <c r="I63" s="8" t="n"/>
      <c r="J63" s="8">
        <f>IF(A63="","",I63-H63)</f>
        <v/>
      </c>
      <c r="K63" s="8">
        <f>IF(A63="","",K62+H63)</f>
        <v/>
      </c>
      <c r="L63" s="8" t="n"/>
      <c r="M63" s="8">
        <f>IF(A63="","",L63-K63)</f>
        <v/>
      </c>
      <c r="N63" s="9">
        <f>IF(A63="","",IFERROR(K63/L63,0))</f>
        <v/>
      </c>
    </row>
    <row r="64">
      <c r="A64" s="4" t="n"/>
      <c r="B64" s="5" t="n"/>
      <c r="C64" s="5" t="n"/>
      <c r="D64" s="5" t="n"/>
      <c r="E64" s="5" t="n"/>
      <c r="F64" s="5" t="n"/>
      <c r="G64" s="5" t="n"/>
      <c r="H64" s="5">
        <f>IF(A64="","",SUM(B64:G64))</f>
        <v/>
      </c>
      <c r="I64" s="5" t="n"/>
      <c r="J64" s="5">
        <f>IF(A64="","",I64-H64)</f>
        <v/>
      </c>
      <c r="K64" s="5">
        <f>IF(A64="","",K63+H64)</f>
        <v/>
      </c>
      <c r="L64" s="5" t="n"/>
      <c r="M64" s="5">
        <f>IF(A64="","",L64-K64)</f>
        <v/>
      </c>
      <c r="N64" s="6">
        <f>IF(A64="","",IFERROR(K64/L64,0))</f>
        <v/>
      </c>
    </row>
    <row r="65">
      <c r="A65" s="7" t="n"/>
      <c r="B65" s="8" t="n"/>
      <c r="C65" s="8" t="n"/>
      <c r="D65" s="8" t="n"/>
      <c r="E65" s="8" t="n"/>
      <c r="F65" s="8" t="n"/>
      <c r="G65" s="8" t="n"/>
      <c r="H65" s="8">
        <f>IF(A65="","",SUM(B65:G65))</f>
        <v/>
      </c>
      <c r="I65" s="8" t="n"/>
      <c r="J65" s="8">
        <f>IF(A65="","",I65-H65)</f>
        <v/>
      </c>
      <c r="K65" s="8">
        <f>IF(A65="","",K64+H65)</f>
        <v/>
      </c>
      <c r="L65" s="8" t="n"/>
      <c r="M65" s="8">
        <f>IF(A65="","",L65-K65)</f>
        <v/>
      </c>
      <c r="N65" s="9">
        <f>IF(A65="","",IFERROR(K65/L65,0))</f>
        <v/>
      </c>
    </row>
    <row r="66">
      <c r="A66" s="4" t="n"/>
      <c r="B66" s="5" t="n"/>
      <c r="C66" s="5" t="n"/>
      <c r="D66" s="5" t="n"/>
      <c r="E66" s="5" t="n"/>
      <c r="F66" s="5" t="n"/>
      <c r="G66" s="5" t="n"/>
      <c r="H66" s="5">
        <f>IF(A66="","",SUM(B66:G66))</f>
        <v/>
      </c>
      <c r="I66" s="5" t="n"/>
      <c r="J66" s="5">
        <f>IF(A66="","",I66-H66)</f>
        <v/>
      </c>
      <c r="K66" s="5">
        <f>IF(A66="","",K65+H66)</f>
        <v/>
      </c>
      <c r="L66" s="5" t="n"/>
      <c r="M66" s="5">
        <f>IF(A66="","",L66-K66)</f>
        <v/>
      </c>
      <c r="N66" s="6">
        <f>IF(A66="","",IFERROR(K66/L66,0))</f>
        <v/>
      </c>
    </row>
    <row r="67">
      <c r="A67" s="7" t="n"/>
      <c r="B67" s="8" t="n"/>
      <c r="C67" s="8" t="n"/>
      <c r="D67" s="8" t="n"/>
      <c r="E67" s="8" t="n"/>
      <c r="F67" s="8" t="n"/>
      <c r="G67" s="8" t="n"/>
      <c r="H67" s="8">
        <f>IF(A67="","",SUM(B67:G67))</f>
        <v/>
      </c>
      <c r="I67" s="8" t="n"/>
      <c r="J67" s="8">
        <f>IF(A67="","",I67-H67)</f>
        <v/>
      </c>
      <c r="K67" s="8">
        <f>IF(A67="","",K66+H67)</f>
        <v/>
      </c>
      <c r="L67" s="8" t="n"/>
      <c r="M67" s="8">
        <f>IF(A67="","",L67-K67)</f>
        <v/>
      </c>
      <c r="N67" s="9">
        <f>IF(A67="","",IFERROR(K67/L67,0))</f>
        <v/>
      </c>
    </row>
    <row r="68">
      <c r="A68" s="4" t="n"/>
      <c r="B68" s="5" t="n"/>
      <c r="C68" s="5" t="n"/>
      <c r="D68" s="5" t="n"/>
      <c r="E68" s="5" t="n"/>
      <c r="F68" s="5" t="n"/>
      <c r="G68" s="5" t="n"/>
      <c r="H68" s="5">
        <f>IF(A68="","",SUM(B68:G68))</f>
        <v/>
      </c>
      <c r="I68" s="5" t="n"/>
      <c r="J68" s="5">
        <f>IF(A68="","",I68-H68)</f>
        <v/>
      </c>
      <c r="K68" s="5">
        <f>IF(A68="","",K67+H68)</f>
        <v/>
      </c>
      <c r="L68" s="5" t="n"/>
      <c r="M68" s="5">
        <f>IF(A68="","",L68-K68)</f>
        <v/>
      </c>
      <c r="N68" s="6">
        <f>IF(A68="","",IFERROR(K68/L68,0))</f>
        <v/>
      </c>
    </row>
    <row r="69">
      <c r="A69" s="7" t="n"/>
      <c r="B69" s="8" t="n"/>
      <c r="C69" s="8" t="n"/>
      <c r="D69" s="8" t="n"/>
      <c r="E69" s="8" t="n"/>
      <c r="F69" s="8" t="n"/>
      <c r="G69" s="8" t="n"/>
      <c r="H69" s="8">
        <f>IF(A69="","",SUM(B69:G69))</f>
        <v/>
      </c>
      <c r="I69" s="8" t="n"/>
      <c r="J69" s="8">
        <f>IF(A69="","",I69-H69)</f>
        <v/>
      </c>
      <c r="K69" s="8">
        <f>IF(A69="","",K68+H69)</f>
        <v/>
      </c>
      <c r="L69" s="8" t="n"/>
      <c r="M69" s="8">
        <f>IF(A69="","",L69-K69)</f>
        <v/>
      </c>
      <c r="N69" s="9">
        <f>IF(A69="","",IFERROR(K69/L69,0))</f>
        <v/>
      </c>
    </row>
    <row r="70">
      <c r="A70" s="4" t="n"/>
      <c r="B70" s="5" t="n"/>
      <c r="C70" s="5" t="n"/>
      <c r="D70" s="5" t="n"/>
      <c r="E70" s="5" t="n"/>
      <c r="F70" s="5" t="n"/>
      <c r="G70" s="5" t="n"/>
      <c r="H70" s="5">
        <f>IF(A70="","",SUM(B70:G70))</f>
        <v/>
      </c>
      <c r="I70" s="5" t="n"/>
      <c r="J70" s="5">
        <f>IF(A70="","",I70-H70)</f>
        <v/>
      </c>
      <c r="K70" s="5">
        <f>IF(A70="","",K69+H70)</f>
        <v/>
      </c>
      <c r="L70" s="5" t="n"/>
      <c r="M70" s="5">
        <f>IF(A70="","",L70-K70)</f>
        <v/>
      </c>
      <c r="N70" s="6">
        <f>IF(A70="","",IFERROR(K70/L70,0))</f>
        <v/>
      </c>
    </row>
    <row r="71">
      <c r="A71" s="7" t="n"/>
      <c r="B71" s="8" t="n"/>
      <c r="C71" s="8" t="n"/>
      <c r="D71" s="8" t="n"/>
      <c r="E71" s="8" t="n"/>
      <c r="F71" s="8" t="n"/>
      <c r="G71" s="8" t="n"/>
      <c r="H71" s="8">
        <f>IF(A71="","",SUM(B71:G71))</f>
        <v/>
      </c>
      <c r="I71" s="8" t="n"/>
      <c r="J71" s="8">
        <f>IF(A71="","",I71-H71)</f>
        <v/>
      </c>
      <c r="K71" s="8">
        <f>IF(A71="","",K70+H71)</f>
        <v/>
      </c>
      <c r="L71" s="8" t="n"/>
      <c r="M71" s="8">
        <f>IF(A71="","",L71-K71)</f>
        <v/>
      </c>
      <c r="N71" s="9">
        <f>IF(A71="","",IFERROR(K71/L71,0))</f>
        <v/>
      </c>
    </row>
    <row r="72">
      <c r="A72" s="4" t="n"/>
      <c r="B72" s="5" t="n"/>
      <c r="C72" s="5" t="n"/>
      <c r="D72" s="5" t="n"/>
      <c r="E72" s="5" t="n"/>
      <c r="F72" s="5" t="n"/>
      <c r="G72" s="5" t="n"/>
      <c r="H72" s="5">
        <f>IF(A72="","",SUM(B72:G72))</f>
        <v/>
      </c>
      <c r="I72" s="5" t="n"/>
      <c r="J72" s="5">
        <f>IF(A72="","",I72-H72)</f>
        <v/>
      </c>
      <c r="K72" s="5">
        <f>IF(A72="","",K71+H72)</f>
        <v/>
      </c>
      <c r="L72" s="5" t="n"/>
      <c r="M72" s="5">
        <f>IF(A72="","",L72-K72)</f>
        <v/>
      </c>
      <c r="N72" s="6">
        <f>IF(A72="","",IFERROR(K72/L72,0))</f>
        <v/>
      </c>
    </row>
    <row r="73">
      <c r="A73" s="7" t="n"/>
      <c r="B73" s="8" t="n"/>
      <c r="C73" s="8" t="n"/>
      <c r="D73" s="8" t="n"/>
      <c r="E73" s="8" t="n"/>
      <c r="F73" s="8" t="n"/>
      <c r="G73" s="8" t="n"/>
      <c r="H73" s="8">
        <f>IF(A73="","",SUM(B73:G73))</f>
        <v/>
      </c>
      <c r="I73" s="8" t="n"/>
      <c r="J73" s="8">
        <f>IF(A73="","",I73-H73)</f>
        <v/>
      </c>
      <c r="K73" s="8">
        <f>IF(A73="","",K72+H73)</f>
        <v/>
      </c>
      <c r="L73" s="8" t="n"/>
      <c r="M73" s="8">
        <f>IF(A73="","",L73-K73)</f>
        <v/>
      </c>
      <c r="N73" s="9">
        <f>IF(A73="","",IFERROR(K73/L73,0))</f>
        <v/>
      </c>
    </row>
    <row r="74">
      <c r="A74" s="4" t="n"/>
      <c r="B74" s="5" t="n"/>
      <c r="C74" s="5" t="n"/>
      <c r="D74" s="5" t="n"/>
      <c r="E74" s="5" t="n"/>
      <c r="F74" s="5" t="n"/>
      <c r="G74" s="5" t="n"/>
      <c r="H74" s="5">
        <f>IF(A74="","",SUM(B74:G74))</f>
        <v/>
      </c>
      <c r="I74" s="5" t="n"/>
      <c r="J74" s="5">
        <f>IF(A74="","",I74-H74)</f>
        <v/>
      </c>
      <c r="K74" s="5">
        <f>IF(A74="","",K73+H74)</f>
        <v/>
      </c>
      <c r="L74" s="5" t="n"/>
      <c r="M74" s="5">
        <f>IF(A74="","",L74-K74)</f>
        <v/>
      </c>
      <c r="N74" s="6">
        <f>IF(A74="","",IFERROR(K74/L74,0))</f>
        <v/>
      </c>
    </row>
    <row r="75">
      <c r="A75" s="7" t="n"/>
      <c r="B75" s="8" t="n"/>
      <c r="C75" s="8" t="n"/>
      <c r="D75" s="8" t="n"/>
      <c r="E75" s="8" t="n"/>
      <c r="F75" s="8" t="n"/>
      <c r="G75" s="8" t="n"/>
      <c r="H75" s="8">
        <f>IF(A75="","",SUM(B75:G75))</f>
        <v/>
      </c>
      <c r="I75" s="8" t="n"/>
      <c r="J75" s="8">
        <f>IF(A75="","",I75-H75)</f>
        <v/>
      </c>
      <c r="K75" s="8">
        <f>IF(A75="","",K74+H75)</f>
        <v/>
      </c>
      <c r="L75" s="8" t="n"/>
      <c r="M75" s="8">
        <f>IF(A75="","",L75-K75)</f>
        <v/>
      </c>
      <c r="N75" s="9">
        <f>IF(A75="","",IFERROR(K75/L75,0))</f>
        <v/>
      </c>
    </row>
    <row r="76">
      <c r="A76" s="4" t="n"/>
      <c r="B76" s="5" t="n"/>
      <c r="C76" s="5" t="n"/>
      <c r="D76" s="5" t="n"/>
      <c r="E76" s="5" t="n"/>
      <c r="F76" s="5" t="n"/>
      <c r="G76" s="5" t="n"/>
      <c r="H76" s="5">
        <f>IF(A76="","",SUM(B76:G76))</f>
        <v/>
      </c>
      <c r="I76" s="5" t="n"/>
      <c r="J76" s="5">
        <f>IF(A76="","",I76-H76)</f>
        <v/>
      </c>
      <c r="K76" s="5">
        <f>IF(A76="","",K75+H76)</f>
        <v/>
      </c>
      <c r="L76" s="5" t="n"/>
      <c r="M76" s="5">
        <f>IF(A76="","",L76-K76)</f>
        <v/>
      </c>
      <c r="N76" s="6">
        <f>IF(A76="","",IFERROR(K76/L76,0))</f>
        <v/>
      </c>
    </row>
    <row r="77">
      <c r="A77" s="7" t="n"/>
      <c r="B77" s="8" t="n"/>
      <c r="C77" s="8" t="n"/>
      <c r="D77" s="8" t="n"/>
      <c r="E77" s="8" t="n"/>
      <c r="F77" s="8" t="n"/>
      <c r="G77" s="8" t="n"/>
      <c r="H77" s="8">
        <f>IF(A77="","",SUM(B77:G77))</f>
        <v/>
      </c>
      <c r="I77" s="8" t="n"/>
      <c r="J77" s="8">
        <f>IF(A77="","",I77-H77)</f>
        <v/>
      </c>
      <c r="K77" s="8">
        <f>IF(A77="","",K76+H77)</f>
        <v/>
      </c>
      <c r="L77" s="8" t="n"/>
      <c r="M77" s="8">
        <f>IF(A77="","",L77-K77)</f>
        <v/>
      </c>
      <c r="N77" s="9">
        <f>IF(A77="","",IFERROR(K77/L77,0))</f>
        <v/>
      </c>
    </row>
    <row r="78">
      <c r="A78" s="4" t="n"/>
      <c r="B78" s="5" t="n"/>
      <c r="C78" s="5" t="n"/>
      <c r="D78" s="5" t="n"/>
      <c r="E78" s="5" t="n"/>
      <c r="F78" s="5" t="n"/>
      <c r="G78" s="5" t="n"/>
      <c r="H78" s="5">
        <f>IF(A78="","",SUM(B78:G78))</f>
        <v/>
      </c>
      <c r="I78" s="5" t="n"/>
      <c r="J78" s="5">
        <f>IF(A78="","",I78-H78)</f>
        <v/>
      </c>
      <c r="K78" s="5">
        <f>IF(A78="","",K77+H78)</f>
        <v/>
      </c>
      <c r="L78" s="5" t="n"/>
      <c r="M78" s="5">
        <f>IF(A78="","",L78-K78)</f>
        <v/>
      </c>
      <c r="N78" s="6">
        <f>IF(A78="","",IFERROR(K78/L78,0))</f>
        <v/>
      </c>
    </row>
    <row r="79">
      <c r="A79" s="7" t="n"/>
      <c r="B79" s="8" t="n"/>
      <c r="C79" s="8" t="n"/>
      <c r="D79" s="8" t="n"/>
      <c r="E79" s="8" t="n"/>
      <c r="F79" s="8" t="n"/>
      <c r="G79" s="8" t="n"/>
      <c r="H79" s="8">
        <f>IF(A79="","",SUM(B79:G79))</f>
        <v/>
      </c>
      <c r="I79" s="8" t="n"/>
      <c r="J79" s="8">
        <f>IF(A79="","",I79-H79)</f>
        <v/>
      </c>
      <c r="K79" s="8">
        <f>IF(A79="","",K78+H79)</f>
        <v/>
      </c>
      <c r="L79" s="8" t="n"/>
      <c r="M79" s="8">
        <f>IF(A79="","",L79-K79)</f>
        <v/>
      </c>
      <c r="N79" s="9">
        <f>IF(A79="","",IFERROR(K79/L79,0))</f>
        <v/>
      </c>
    </row>
    <row r="80">
      <c r="A80" s="4" t="n"/>
      <c r="B80" s="5" t="n"/>
      <c r="C80" s="5" t="n"/>
      <c r="D80" s="5" t="n"/>
      <c r="E80" s="5" t="n"/>
      <c r="F80" s="5" t="n"/>
      <c r="G80" s="5" t="n"/>
      <c r="H80" s="5">
        <f>IF(A80="","",SUM(B80:G80))</f>
        <v/>
      </c>
      <c r="I80" s="5" t="n"/>
      <c r="J80" s="5">
        <f>IF(A80="","",I80-H80)</f>
        <v/>
      </c>
      <c r="K80" s="5">
        <f>IF(A80="","",K79+H80)</f>
        <v/>
      </c>
      <c r="L80" s="5" t="n"/>
      <c r="M80" s="5">
        <f>IF(A80="","",L80-K80)</f>
        <v/>
      </c>
      <c r="N80" s="6">
        <f>IF(A80="","",IFERROR(K80/L80,0))</f>
        <v/>
      </c>
    </row>
    <row r="81">
      <c r="A81" s="7" t="n"/>
      <c r="B81" s="8" t="n"/>
      <c r="C81" s="8" t="n"/>
      <c r="D81" s="8" t="n"/>
      <c r="E81" s="8" t="n"/>
      <c r="F81" s="8" t="n"/>
      <c r="G81" s="8" t="n"/>
      <c r="H81" s="8">
        <f>IF(A81="","",SUM(B81:G81))</f>
        <v/>
      </c>
      <c r="I81" s="8" t="n"/>
      <c r="J81" s="8">
        <f>IF(A81="","",I81-H81)</f>
        <v/>
      </c>
      <c r="K81" s="8">
        <f>IF(A81="","",K80+H81)</f>
        <v/>
      </c>
      <c r="L81" s="8" t="n"/>
      <c r="M81" s="8">
        <f>IF(A81="","",L81-K81)</f>
        <v/>
      </c>
      <c r="N81" s="9">
        <f>IF(A81="","",IFERROR(K81/L81,0))</f>
        <v/>
      </c>
    </row>
    <row r="82">
      <c r="A82" s="4" t="n"/>
      <c r="B82" s="5" t="n"/>
      <c r="C82" s="5" t="n"/>
      <c r="D82" s="5" t="n"/>
      <c r="E82" s="5" t="n"/>
      <c r="F82" s="5" t="n"/>
      <c r="G82" s="5" t="n"/>
      <c r="H82" s="5">
        <f>IF(A82="","",SUM(B82:G82))</f>
        <v/>
      </c>
      <c r="I82" s="5" t="n"/>
      <c r="J82" s="5">
        <f>IF(A82="","",I82-H82)</f>
        <v/>
      </c>
      <c r="K82" s="5">
        <f>IF(A82="","",K81+H82)</f>
        <v/>
      </c>
      <c r="L82" s="5" t="n"/>
      <c r="M82" s="5">
        <f>IF(A82="","",L82-K82)</f>
        <v/>
      </c>
      <c r="N82" s="6">
        <f>IF(A82="","",IFERROR(K82/L82,0))</f>
        <v/>
      </c>
    </row>
    <row r="83">
      <c r="A83" s="7" t="n"/>
      <c r="B83" s="8" t="n"/>
      <c r="C83" s="8" t="n"/>
      <c r="D83" s="8" t="n"/>
      <c r="E83" s="8" t="n"/>
      <c r="F83" s="8" t="n"/>
      <c r="G83" s="8" t="n"/>
      <c r="H83" s="8">
        <f>IF(A83="","",SUM(B83:G83))</f>
        <v/>
      </c>
      <c r="I83" s="8" t="n"/>
      <c r="J83" s="8">
        <f>IF(A83="","",I83-H83)</f>
        <v/>
      </c>
      <c r="K83" s="8">
        <f>IF(A83="","",K82+H83)</f>
        <v/>
      </c>
      <c r="L83" s="8" t="n"/>
      <c r="M83" s="8">
        <f>IF(A83="","",L83-K83)</f>
        <v/>
      </c>
      <c r="N83" s="9">
        <f>IF(A83="","",IFERROR(K83/L83,0))</f>
        <v/>
      </c>
    </row>
    <row r="84">
      <c r="A84" s="4" t="n"/>
      <c r="B84" s="5" t="n"/>
      <c r="C84" s="5" t="n"/>
      <c r="D84" s="5" t="n"/>
      <c r="E84" s="5" t="n"/>
      <c r="F84" s="5" t="n"/>
      <c r="G84" s="5" t="n"/>
      <c r="H84" s="5">
        <f>IF(A84="","",SUM(B84:G84))</f>
        <v/>
      </c>
      <c r="I84" s="5" t="n"/>
      <c r="J84" s="5">
        <f>IF(A84="","",I84-H84)</f>
        <v/>
      </c>
      <c r="K84" s="5">
        <f>IF(A84="","",K83+H84)</f>
        <v/>
      </c>
      <c r="L84" s="5" t="n"/>
      <c r="M84" s="5">
        <f>IF(A84="","",L84-K84)</f>
        <v/>
      </c>
      <c r="N84" s="6">
        <f>IF(A84="","",IFERROR(K84/L84,0))</f>
        <v/>
      </c>
    </row>
    <row r="85">
      <c r="A85" s="7" t="n"/>
      <c r="B85" s="8" t="n"/>
      <c r="C85" s="8" t="n"/>
      <c r="D85" s="8" t="n"/>
      <c r="E85" s="8" t="n"/>
      <c r="F85" s="8" t="n"/>
      <c r="G85" s="8" t="n"/>
      <c r="H85" s="8">
        <f>IF(A85="","",SUM(B85:G85))</f>
        <v/>
      </c>
      <c r="I85" s="8" t="n"/>
      <c r="J85" s="8">
        <f>IF(A85="","",I85-H85)</f>
        <v/>
      </c>
      <c r="K85" s="8">
        <f>IF(A85="","",K84+H85)</f>
        <v/>
      </c>
      <c r="L85" s="8" t="n"/>
      <c r="M85" s="8">
        <f>IF(A85="","",L85-K85)</f>
        <v/>
      </c>
      <c r="N85" s="9">
        <f>IF(A85="","",IFERROR(K85/L85,0))</f>
        <v/>
      </c>
    </row>
    <row r="86">
      <c r="A86" s="4" t="n"/>
      <c r="B86" s="5" t="n"/>
      <c r="C86" s="5" t="n"/>
      <c r="D86" s="5" t="n"/>
      <c r="E86" s="5" t="n"/>
      <c r="F86" s="5" t="n"/>
      <c r="G86" s="5" t="n"/>
      <c r="H86" s="5">
        <f>IF(A86="","",SUM(B86:G86))</f>
        <v/>
      </c>
      <c r="I86" s="5" t="n"/>
      <c r="J86" s="5">
        <f>IF(A86="","",I86-H86)</f>
        <v/>
      </c>
      <c r="K86" s="5">
        <f>IF(A86="","",K85+H86)</f>
        <v/>
      </c>
      <c r="L86" s="5" t="n"/>
      <c r="M86" s="5">
        <f>IF(A86="","",L86-K86)</f>
        <v/>
      </c>
      <c r="N86" s="6">
        <f>IF(A86="","",IFERROR(K86/L86,0))</f>
        <v/>
      </c>
    </row>
    <row r="87">
      <c r="A87" s="7" t="n"/>
      <c r="B87" s="8" t="n"/>
      <c r="C87" s="8" t="n"/>
      <c r="D87" s="8" t="n"/>
      <c r="E87" s="8" t="n"/>
      <c r="F87" s="8" t="n"/>
      <c r="G87" s="8" t="n"/>
      <c r="H87" s="8">
        <f>IF(A87="","",SUM(B87:G87))</f>
        <v/>
      </c>
      <c r="I87" s="8" t="n"/>
      <c r="J87" s="8">
        <f>IF(A87="","",I87-H87)</f>
        <v/>
      </c>
      <c r="K87" s="8">
        <f>IF(A87="","",K86+H87)</f>
        <v/>
      </c>
      <c r="L87" s="8" t="n"/>
      <c r="M87" s="8">
        <f>IF(A87="","",L87-K87)</f>
        <v/>
      </c>
      <c r="N87" s="9">
        <f>IF(A87="","",IFERROR(K87/L87,0))</f>
        <v/>
      </c>
    </row>
    <row r="88">
      <c r="A88" s="4" t="n"/>
      <c r="B88" s="5" t="n"/>
      <c r="C88" s="5" t="n"/>
      <c r="D88" s="5" t="n"/>
      <c r="E88" s="5" t="n"/>
      <c r="F88" s="5" t="n"/>
      <c r="G88" s="5" t="n"/>
      <c r="H88" s="5">
        <f>IF(A88="","",SUM(B88:G88))</f>
        <v/>
      </c>
      <c r="I88" s="5" t="n"/>
      <c r="J88" s="5">
        <f>IF(A88="","",I88-H88)</f>
        <v/>
      </c>
      <c r="K88" s="5">
        <f>IF(A88="","",K87+H88)</f>
        <v/>
      </c>
      <c r="L88" s="5" t="n"/>
      <c r="M88" s="5">
        <f>IF(A88="","",L88-K88)</f>
        <v/>
      </c>
      <c r="N88" s="6">
        <f>IF(A88="","",IFERROR(K88/L88,0))</f>
        <v/>
      </c>
    </row>
    <row r="89">
      <c r="A89" s="7" t="n"/>
      <c r="B89" s="8" t="n"/>
      <c r="C89" s="8" t="n"/>
      <c r="D89" s="8" t="n"/>
      <c r="E89" s="8" t="n"/>
      <c r="F89" s="8" t="n"/>
      <c r="G89" s="8" t="n"/>
      <c r="H89" s="8">
        <f>IF(A89="","",SUM(B89:G89))</f>
        <v/>
      </c>
      <c r="I89" s="8" t="n"/>
      <c r="J89" s="8">
        <f>IF(A89="","",I89-H89)</f>
        <v/>
      </c>
      <c r="K89" s="8">
        <f>IF(A89="","",K88+H89)</f>
        <v/>
      </c>
      <c r="L89" s="8" t="n"/>
      <c r="M89" s="8">
        <f>IF(A89="","",L89-K89)</f>
        <v/>
      </c>
      <c r="N89" s="9">
        <f>IF(A89="","",IFERROR(K89/L89,0))</f>
        <v/>
      </c>
    </row>
    <row r="90">
      <c r="A90" s="4" t="n"/>
      <c r="B90" s="5" t="n"/>
      <c r="C90" s="5" t="n"/>
      <c r="D90" s="5" t="n"/>
      <c r="E90" s="5" t="n"/>
      <c r="F90" s="5" t="n"/>
      <c r="G90" s="5" t="n"/>
      <c r="H90" s="5">
        <f>IF(A90="","",SUM(B90:G90))</f>
        <v/>
      </c>
      <c r="I90" s="5" t="n"/>
      <c r="J90" s="5">
        <f>IF(A90="","",I90-H90)</f>
        <v/>
      </c>
      <c r="K90" s="5">
        <f>IF(A90="","",K89+H90)</f>
        <v/>
      </c>
      <c r="L90" s="5" t="n"/>
      <c r="M90" s="5">
        <f>IF(A90="","",L90-K90)</f>
        <v/>
      </c>
      <c r="N90" s="6">
        <f>IF(A90="","",IFERROR(K90/L90,0))</f>
        <v/>
      </c>
    </row>
    <row r="91">
      <c r="A91" s="7" t="n"/>
      <c r="B91" s="8" t="n"/>
      <c r="C91" s="8" t="n"/>
      <c r="D91" s="8" t="n"/>
      <c r="E91" s="8" t="n"/>
      <c r="F91" s="8" t="n"/>
      <c r="G91" s="8" t="n"/>
      <c r="H91" s="8">
        <f>IF(A91="","",SUM(B91:G91))</f>
        <v/>
      </c>
      <c r="I91" s="8" t="n"/>
      <c r="J91" s="8">
        <f>IF(A91="","",I91-H91)</f>
        <v/>
      </c>
      <c r="K91" s="8">
        <f>IF(A91="","",K90+H91)</f>
        <v/>
      </c>
      <c r="L91" s="8" t="n"/>
      <c r="M91" s="8">
        <f>IF(A91="","",L91-K91)</f>
        <v/>
      </c>
      <c r="N91" s="9">
        <f>IF(A91="","",IFERROR(K91/L91,0))</f>
        <v/>
      </c>
    </row>
    <row r="92">
      <c r="A92" s="4" t="n"/>
      <c r="B92" s="5" t="n"/>
      <c r="C92" s="5" t="n"/>
      <c r="D92" s="5" t="n"/>
      <c r="E92" s="5" t="n"/>
      <c r="F92" s="5" t="n"/>
      <c r="G92" s="5" t="n"/>
      <c r="H92" s="5">
        <f>IF(A92="","",SUM(B92:G92))</f>
        <v/>
      </c>
      <c r="I92" s="5" t="n"/>
      <c r="J92" s="5">
        <f>IF(A92="","",I92-H92)</f>
        <v/>
      </c>
      <c r="K92" s="5">
        <f>IF(A92="","",K91+H92)</f>
        <v/>
      </c>
      <c r="L92" s="5" t="n"/>
      <c r="M92" s="5">
        <f>IF(A92="","",L92-K92)</f>
        <v/>
      </c>
      <c r="N92" s="6">
        <f>IF(A92="","",IFERROR(K92/L92,0))</f>
        <v/>
      </c>
    </row>
    <row r="93">
      <c r="A93" s="7" t="n"/>
      <c r="B93" s="8" t="n"/>
      <c r="C93" s="8" t="n"/>
      <c r="D93" s="8" t="n"/>
      <c r="E93" s="8" t="n"/>
      <c r="F93" s="8" t="n"/>
      <c r="G93" s="8" t="n"/>
      <c r="H93" s="8">
        <f>IF(A93="","",SUM(B93:G93))</f>
        <v/>
      </c>
      <c r="I93" s="8" t="n"/>
      <c r="J93" s="8">
        <f>IF(A93="","",I93-H93)</f>
        <v/>
      </c>
      <c r="K93" s="8">
        <f>IF(A93="","",K92+H93)</f>
        <v/>
      </c>
      <c r="L93" s="8" t="n"/>
      <c r="M93" s="8">
        <f>IF(A93="","",L93-K93)</f>
        <v/>
      </c>
      <c r="N93" s="9">
        <f>IF(A93="","",IFERROR(K93/L93,0))</f>
        <v/>
      </c>
    </row>
    <row r="94">
      <c r="A94" s="4" t="n"/>
      <c r="B94" s="5" t="n"/>
      <c r="C94" s="5" t="n"/>
      <c r="D94" s="5" t="n"/>
      <c r="E94" s="5" t="n"/>
      <c r="F94" s="5" t="n"/>
      <c r="G94" s="5" t="n"/>
      <c r="H94" s="5">
        <f>IF(A94="","",SUM(B94:G94))</f>
        <v/>
      </c>
      <c r="I94" s="5" t="n"/>
      <c r="J94" s="5">
        <f>IF(A94="","",I94-H94)</f>
        <v/>
      </c>
      <c r="K94" s="5">
        <f>IF(A94="","",K93+H94)</f>
        <v/>
      </c>
      <c r="L94" s="5" t="n"/>
      <c r="M94" s="5">
        <f>IF(A94="","",L94-K94)</f>
        <v/>
      </c>
      <c r="N94" s="6">
        <f>IF(A94="","",IFERROR(K94/L94,0))</f>
        <v/>
      </c>
    </row>
    <row r="95">
      <c r="A95" s="7" t="n"/>
      <c r="B95" s="8" t="n"/>
      <c r="C95" s="8" t="n"/>
      <c r="D95" s="8" t="n"/>
      <c r="E95" s="8" t="n"/>
      <c r="F95" s="8" t="n"/>
      <c r="G95" s="8" t="n"/>
      <c r="H95" s="8">
        <f>IF(A95="","",SUM(B95:G95))</f>
        <v/>
      </c>
      <c r="I95" s="8" t="n"/>
      <c r="J95" s="8">
        <f>IF(A95="","",I95-H95)</f>
        <v/>
      </c>
      <c r="K95" s="8">
        <f>IF(A95="","",K94+H95)</f>
        <v/>
      </c>
      <c r="L95" s="8" t="n"/>
      <c r="M95" s="8">
        <f>IF(A95="","",L95-K95)</f>
        <v/>
      </c>
      <c r="N95" s="9">
        <f>IF(A95="","",IFERROR(K95/L95,0))</f>
        <v/>
      </c>
    </row>
    <row r="96">
      <c r="A96" s="4" t="n"/>
      <c r="B96" s="5" t="n"/>
      <c r="C96" s="5" t="n"/>
      <c r="D96" s="5" t="n"/>
      <c r="E96" s="5" t="n"/>
      <c r="F96" s="5" t="n"/>
      <c r="G96" s="5" t="n"/>
      <c r="H96" s="5">
        <f>IF(A96="","",SUM(B96:G96))</f>
        <v/>
      </c>
      <c r="I96" s="5" t="n"/>
      <c r="J96" s="5">
        <f>IF(A96="","",I96-H96)</f>
        <v/>
      </c>
      <c r="K96" s="5">
        <f>IF(A96="","",K95+H96)</f>
        <v/>
      </c>
      <c r="L96" s="5" t="n"/>
      <c r="M96" s="5">
        <f>IF(A96="","",L96-K96)</f>
        <v/>
      </c>
      <c r="N96" s="6">
        <f>IF(A96="","",IFERROR(K96/L96,0))</f>
        <v/>
      </c>
    </row>
    <row r="97">
      <c r="A97" s="7" t="n"/>
      <c r="B97" s="8" t="n"/>
      <c r="C97" s="8" t="n"/>
      <c r="D97" s="8" t="n"/>
      <c r="E97" s="8" t="n"/>
      <c r="F97" s="8" t="n"/>
      <c r="G97" s="8" t="n"/>
      <c r="H97" s="8">
        <f>IF(A97="","",SUM(B97:G97))</f>
        <v/>
      </c>
      <c r="I97" s="8" t="n"/>
      <c r="J97" s="8">
        <f>IF(A97="","",I97-H97)</f>
        <v/>
      </c>
      <c r="K97" s="8">
        <f>IF(A97="","",K96+H97)</f>
        <v/>
      </c>
      <c r="L97" s="8" t="n"/>
      <c r="M97" s="8">
        <f>IF(A97="","",L97-K97)</f>
        <v/>
      </c>
      <c r="N97" s="9">
        <f>IF(A97="","",IFERROR(K97/L97,0))</f>
        <v/>
      </c>
    </row>
    <row r="98">
      <c r="A98" s="4" t="n"/>
      <c r="B98" s="5" t="n"/>
      <c r="C98" s="5" t="n"/>
      <c r="D98" s="5" t="n"/>
      <c r="E98" s="5" t="n"/>
      <c r="F98" s="5" t="n"/>
      <c r="G98" s="5" t="n"/>
      <c r="H98" s="5">
        <f>IF(A98="","",SUM(B98:G98))</f>
        <v/>
      </c>
      <c r="I98" s="5" t="n"/>
      <c r="J98" s="5">
        <f>IF(A98="","",I98-H98)</f>
        <v/>
      </c>
      <c r="K98" s="5">
        <f>IF(A98="","",K97+H98)</f>
        <v/>
      </c>
      <c r="L98" s="5" t="n"/>
      <c r="M98" s="5">
        <f>IF(A98="","",L98-K98)</f>
        <v/>
      </c>
      <c r="N98" s="6">
        <f>IF(A98="","",IFERROR(K98/L98,0))</f>
        <v/>
      </c>
    </row>
    <row r="99">
      <c r="A99" s="7" t="n"/>
      <c r="B99" s="8" t="n"/>
      <c r="C99" s="8" t="n"/>
      <c r="D99" s="8" t="n"/>
      <c r="E99" s="8" t="n"/>
      <c r="F99" s="8" t="n"/>
      <c r="G99" s="8" t="n"/>
      <c r="H99" s="8">
        <f>IF(A99="","",SUM(B99:G99))</f>
        <v/>
      </c>
      <c r="I99" s="8" t="n"/>
      <c r="J99" s="8">
        <f>IF(A99="","",I99-H99)</f>
        <v/>
      </c>
      <c r="K99" s="8">
        <f>IF(A99="","",K98+H99)</f>
        <v/>
      </c>
      <c r="L99" s="8" t="n"/>
      <c r="M99" s="8">
        <f>IF(A99="","",L99-K99)</f>
        <v/>
      </c>
      <c r="N99" s="9">
        <f>IF(A99="","",IFERROR(K99/L99,0))</f>
        <v/>
      </c>
    </row>
    <row r="100">
      <c r="A100" s="4" t="n"/>
      <c r="B100" s="5" t="n"/>
      <c r="C100" s="5" t="n"/>
      <c r="D100" s="5" t="n"/>
      <c r="E100" s="5" t="n"/>
      <c r="F100" s="5" t="n"/>
      <c r="G100" s="5" t="n"/>
      <c r="H100" s="5">
        <f>IF(A100="","",SUM(B100:G100))</f>
        <v/>
      </c>
      <c r="I100" s="5" t="n"/>
      <c r="J100" s="5">
        <f>IF(A100="","",I100-H100)</f>
        <v/>
      </c>
      <c r="K100" s="5">
        <f>IF(A100="","",K99+H100)</f>
        <v/>
      </c>
      <c r="L100" s="5" t="n"/>
      <c r="M100" s="5">
        <f>IF(A100="","",L100-K100)</f>
        <v/>
      </c>
      <c r="N100" s="6">
        <f>IF(A100="","",IFERROR(K100/L100,0))</f>
        <v/>
      </c>
    </row>
    <row r="101">
      <c r="A101" s="7" t="n"/>
      <c r="B101" s="8" t="n"/>
      <c r="C101" s="8" t="n"/>
      <c r="D101" s="8" t="n"/>
      <c r="E101" s="8" t="n"/>
      <c r="F101" s="8" t="n"/>
      <c r="G101" s="8" t="n"/>
      <c r="H101" s="8">
        <f>IF(A101="","",SUM(B101:G101))</f>
        <v/>
      </c>
      <c r="I101" s="8" t="n"/>
      <c r="J101" s="8">
        <f>IF(A101="","",I101-H101)</f>
        <v/>
      </c>
      <c r="K101" s="8">
        <f>IF(A101="","",K100+H101)</f>
        <v/>
      </c>
      <c r="L101" s="8" t="n"/>
      <c r="M101" s="8">
        <f>IF(A101="","",L101-K101)</f>
        <v/>
      </c>
      <c r="N101" s="9">
        <f>IF(A101="","",IFERROR(K101/L101,0))</f>
        <v/>
      </c>
    </row>
    <row r="102">
      <c r="A102" s="4" t="n"/>
      <c r="B102" s="5" t="n"/>
      <c r="C102" s="5" t="n"/>
      <c r="D102" s="5" t="n"/>
      <c r="E102" s="5" t="n"/>
      <c r="F102" s="5" t="n"/>
      <c r="G102" s="5" t="n"/>
      <c r="H102" s="5">
        <f>IF(A102="","",SUM(B102:G102))</f>
        <v/>
      </c>
      <c r="I102" s="5" t="n"/>
      <c r="J102" s="5">
        <f>IF(A102="","",I102-H102)</f>
        <v/>
      </c>
      <c r="K102" s="5">
        <f>IF(A102="","",K101+H102)</f>
        <v/>
      </c>
      <c r="L102" s="5" t="n"/>
      <c r="M102" s="5">
        <f>IF(A102="","",L102-K102)</f>
        <v/>
      </c>
      <c r="N102" s="6">
        <f>IF(A102="","",IFERROR(K102/L102,0))</f>
        <v/>
      </c>
    </row>
    <row r="103">
      <c r="A103" s="7" t="n"/>
      <c r="B103" s="8" t="n"/>
      <c r="C103" s="8" t="n"/>
      <c r="D103" s="8" t="n"/>
      <c r="E103" s="8" t="n"/>
      <c r="F103" s="8" t="n"/>
      <c r="G103" s="8" t="n"/>
      <c r="H103" s="8">
        <f>IF(A103="","",SUM(B103:G103))</f>
        <v/>
      </c>
      <c r="I103" s="8" t="n"/>
      <c r="J103" s="8">
        <f>IF(A103="","",I103-H103)</f>
        <v/>
      </c>
      <c r="K103" s="8">
        <f>IF(A103="","",K102+H103)</f>
        <v/>
      </c>
      <c r="L103" s="8" t="n"/>
      <c r="M103" s="8">
        <f>IF(A103="","",L103-K103)</f>
        <v/>
      </c>
      <c r="N103" s="9">
        <f>IF(A103="","",IFERROR(K103/L103,0))</f>
        <v/>
      </c>
    </row>
    <row r="104">
      <c r="A104" s="4" t="n"/>
      <c r="B104" s="5" t="n"/>
      <c r="C104" s="5" t="n"/>
      <c r="D104" s="5" t="n"/>
      <c r="E104" s="5" t="n"/>
      <c r="F104" s="5" t="n"/>
      <c r="G104" s="5" t="n"/>
      <c r="H104" s="5">
        <f>IF(A104="","",SUM(B104:G104))</f>
        <v/>
      </c>
      <c r="I104" s="5" t="n"/>
      <c r="J104" s="5">
        <f>IF(A104="","",I104-H104)</f>
        <v/>
      </c>
      <c r="K104" s="5">
        <f>IF(A104="","",K103+H104)</f>
        <v/>
      </c>
      <c r="L104" s="5" t="n"/>
      <c r="M104" s="5">
        <f>IF(A104="","",L104-K104)</f>
        <v/>
      </c>
      <c r="N104" s="6">
        <f>IF(A104="","",IFERROR(K104/L104,0))</f>
        <v/>
      </c>
    </row>
    <row r="105">
      <c r="A105" s="7" t="n"/>
      <c r="B105" s="8" t="n"/>
      <c r="C105" s="8" t="n"/>
      <c r="D105" s="8" t="n"/>
      <c r="E105" s="8" t="n"/>
      <c r="F105" s="8" t="n"/>
      <c r="G105" s="8" t="n"/>
      <c r="H105" s="8">
        <f>IF(A105="","",SUM(B105:G105))</f>
        <v/>
      </c>
      <c r="I105" s="8" t="n"/>
      <c r="J105" s="8">
        <f>IF(A105="","",I105-H105)</f>
        <v/>
      </c>
      <c r="K105" s="8">
        <f>IF(A105="","",K104+H105)</f>
        <v/>
      </c>
      <c r="L105" s="8" t="n"/>
      <c r="M105" s="8">
        <f>IF(A105="","",L105-K105)</f>
        <v/>
      </c>
      <c r="N105" s="9">
        <f>IF(A105="","",IFERROR(K105/L105,0))</f>
        <v/>
      </c>
    </row>
    <row r="106">
      <c r="A106" s="4" t="n"/>
      <c r="B106" s="5" t="n"/>
      <c r="C106" s="5" t="n"/>
      <c r="D106" s="5" t="n"/>
      <c r="E106" s="5" t="n"/>
      <c r="F106" s="5" t="n"/>
      <c r="G106" s="5" t="n"/>
      <c r="H106" s="5">
        <f>IF(A106="","",SUM(B106:G106))</f>
        <v/>
      </c>
      <c r="I106" s="5" t="n"/>
      <c r="J106" s="5">
        <f>IF(A106="","",I106-H106)</f>
        <v/>
      </c>
      <c r="K106" s="5">
        <f>IF(A106="","",K105+H106)</f>
        <v/>
      </c>
      <c r="L106" s="5" t="n"/>
      <c r="M106" s="5">
        <f>IF(A106="","",L106-K106)</f>
        <v/>
      </c>
      <c r="N106" s="6">
        <f>IF(A106="","",IFERROR(K106/L106,0))</f>
        <v/>
      </c>
    </row>
    <row r="107">
      <c r="A107" s="7" t="n"/>
      <c r="B107" s="8" t="n"/>
      <c r="C107" s="8" t="n"/>
      <c r="D107" s="8" t="n"/>
      <c r="E107" s="8" t="n"/>
      <c r="F107" s="8" t="n"/>
      <c r="G107" s="8" t="n"/>
      <c r="H107" s="8">
        <f>IF(A107="","",SUM(B107:G107))</f>
        <v/>
      </c>
      <c r="I107" s="8" t="n"/>
      <c r="J107" s="8">
        <f>IF(A107="","",I107-H107)</f>
        <v/>
      </c>
      <c r="K107" s="8">
        <f>IF(A107="","",K106+H107)</f>
        <v/>
      </c>
      <c r="L107" s="8" t="n"/>
      <c r="M107" s="8">
        <f>IF(A107="","",L107-K107)</f>
        <v/>
      </c>
      <c r="N107" s="9">
        <f>IF(A107="","",IFERROR(K107/L107,0))</f>
        <v/>
      </c>
    </row>
    <row r="108">
      <c r="A108" s="4" t="n"/>
      <c r="B108" s="5" t="n"/>
      <c r="C108" s="5" t="n"/>
      <c r="D108" s="5" t="n"/>
      <c r="E108" s="5" t="n"/>
      <c r="F108" s="5" t="n"/>
      <c r="G108" s="5" t="n"/>
      <c r="H108" s="5">
        <f>IF(A108="","",SUM(B108:G108))</f>
        <v/>
      </c>
      <c r="I108" s="5" t="n"/>
      <c r="J108" s="5">
        <f>IF(A108="","",I108-H108)</f>
        <v/>
      </c>
      <c r="K108" s="5">
        <f>IF(A108="","",K107+H108)</f>
        <v/>
      </c>
      <c r="L108" s="5" t="n"/>
      <c r="M108" s="5">
        <f>IF(A108="","",L108-K108)</f>
        <v/>
      </c>
      <c r="N108" s="6">
        <f>IF(A108="","",IFERROR(K108/L108,0))</f>
        <v/>
      </c>
    </row>
    <row r="109">
      <c r="A109" s="7" t="n"/>
      <c r="B109" s="8" t="n"/>
      <c r="C109" s="8" t="n"/>
      <c r="D109" s="8" t="n"/>
      <c r="E109" s="8" t="n"/>
      <c r="F109" s="8" t="n"/>
      <c r="G109" s="8" t="n"/>
      <c r="H109" s="8">
        <f>IF(A109="","",SUM(B109:G109))</f>
        <v/>
      </c>
      <c r="I109" s="8" t="n"/>
      <c r="J109" s="8">
        <f>IF(A109="","",I109-H109)</f>
        <v/>
      </c>
      <c r="K109" s="8">
        <f>IF(A109="","",K108+H109)</f>
        <v/>
      </c>
      <c r="L109" s="8" t="n"/>
      <c r="M109" s="8">
        <f>IF(A109="","",L109-K109)</f>
        <v/>
      </c>
      <c r="N109" s="9">
        <f>IF(A109="","",IFERROR(K109/L109,0))</f>
        <v/>
      </c>
    </row>
    <row r="110">
      <c r="A110" s="4" t="n"/>
      <c r="B110" s="5" t="n"/>
      <c r="C110" s="5" t="n"/>
      <c r="D110" s="5" t="n"/>
      <c r="E110" s="5" t="n"/>
      <c r="F110" s="5" t="n"/>
      <c r="G110" s="5" t="n"/>
      <c r="H110" s="5">
        <f>IF(A110="","",SUM(B110:G110))</f>
        <v/>
      </c>
      <c r="I110" s="5" t="n"/>
      <c r="J110" s="5">
        <f>IF(A110="","",I110-H110)</f>
        <v/>
      </c>
      <c r="K110" s="5">
        <f>IF(A110="","",K109+H110)</f>
        <v/>
      </c>
      <c r="L110" s="5" t="n"/>
      <c r="M110" s="5">
        <f>IF(A110="","",L110-K110)</f>
        <v/>
      </c>
      <c r="N110" s="6">
        <f>IF(A110="","",IFERROR(K110/L110,0))</f>
        <v/>
      </c>
    </row>
    <row r="111">
      <c r="A111" s="7" t="n"/>
      <c r="B111" s="8" t="n"/>
      <c r="C111" s="8" t="n"/>
      <c r="D111" s="8" t="n"/>
      <c r="E111" s="8" t="n"/>
      <c r="F111" s="8" t="n"/>
      <c r="G111" s="8" t="n"/>
      <c r="H111" s="8">
        <f>IF(A111="","",SUM(B111:G111))</f>
        <v/>
      </c>
      <c r="I111" s="8" t="n"/>
      <c r="J111" s="8">
        <f>IF(A111="","",I111-H111)</f>
        <v/>
      </c>
      <c r="K111" s="8">
        <f>IF(A111="","",K110+H111)</f>
        <v/>
      </c>
      <c r="L111" s="8" t="n"/>
      <c r="M111" s="8">
        <f>IF(A111="","",L111-K111)</f>
        <v/>
      </c>
      <c r="N111" s="9">
        <f>IF(A111="","",IFERROR(K111/L111,0))</f>
        <v/>
      </c>
    </row>
    <row r="112">
      <c r="A112" s="4" t="n"/>
      <c r="B112" s="5" t="n"/>
      <c r="C112" s="5" t="n"/>
      <c r="D112" s="5" t="n"/>
      <c r="E112" s="5" t="n"/>
      <c r="F112" s="5" t="n"/>
      <c r="G112" s="5" t="n"/>
      <c r="H112" s="5">
        <f>IF(A112="","",SUM(B112:G112))</f>
        <v/>
      </c>
      <c r="I112" s="5" t="n"/>
      <c r="J112" s="5">
        <f>IF(A112="","",I112-H112)</f>
        <v/>
      </c>
      <c r="K112" s="5">
        <f>IF(A112="","",K111+H112)</f>
        <v/>
      </c>
      <c r="L112" s="5" t="n"/>
      <c r="M112" s="5">
        <f>IF(A112="","",L112-K112)</f>
        <v/>
      </c>
      <c r="N112" s="6">
        <f>IF(A112="","",IFERROR(K112/L112,0))</f>
        <v/>
      </c>
    </row>
    <row r="113">
      <c r="A113" s="7" t="n"/>
      <c r="B113" s="8" t="n"/>
      <c r="C113" s="8" t="n"/>
      <c r="D113" s="8" t="n"/>
      <c r="E113" s="8" t="n"/>
      <c r="F113" s="8" t="n"/>
      <c r="G113" s="8" t="n"/>
      <c r="H113" s="8">
        <f>IF(A113="","",SUM(B113:G113))</f>
        <v/>
      </c>
      <c r="I113" s="8" t="n"/>
      <c r="J113" s="8">
        <f>IF(A113="","",I113-H113)</f>
        <v/>
      </c>
      <c r="K113" s="8">
        <f>IF(A113="","",K112+H113)</f>
        <v/>
      </c>
      <c r="L113" s="8" t="n"/>
      <c r="M113" s="8">
        <f>IF(A113="","",L113-K113)</f>
        <v/>
      </c>
      <c r="N113" s="9">
        <f>IF(A113="","",IFERROR(K113/L113,0))</f>
        <v/>
      </c>
    </row>
    <row r="114">
      <c r="A114" s="4" t="n"/>
      <c r="B114" s="5" t="n"/>
      <c r="C114" s="5" t="n"/>
      <c r="D114" s="5" t="n"/>
      <c r="E114" s="5" t="n"/>
      <c r="F114" s="5" t="n"/>
      <c r="G114" s="5" t="n"/>
      <c r="H114" s="5">
        <f>IF(A114="","",SUM(B114:G114))</f>
        <v/>
      </c>
      <c r="I114" s="5" t="n"/>
      <c r="J114" s="5">
        <f>IF(A114="","",I114-H114)</f>
        <v/>
      </c>
      <c r="K114" s="5">
        <f>IF(A114="","",K113+H114)</f>
        <v/>
      </c>
      <c r="L114" s="5" t="n"/>
      <c r="M114" s="5">
        <f>IF(A114="","",L114-K114)</f>
        <v/>
      </c>
      <c r="N114" s="6">
        <f>IF(A114="","",IFERROR(K114/L114,0))</f>
        <v/>
      </c>
    </row>
    <row r="115">
      <c r="A115" s="7" t="n"/>
      <c r="B115" s="8" t="n"/>
      <c r="C115" s="8" t="n"/>
      <c r="D115" s="8" t="n"/>
      <c r="E115" s="8" t="n"/>
      <c r="F115" s="8" t="n"/>
      <c r="G115" s="8" t="n"/>
      <c r="H115" s="8">
        <f>IF(A115="","",SUM(B115:G115))</f>
        <v/>
      </c>
      <c r="I115" s="8" t="n"/>
      <c r="J115" s="8">
        <f>IF(A115="","",I115-H115)</f>
        <v/>
      </c>
      <c r="K115" s="8">
        <f>IF(A115="","",K114+H115)</f>
        <v/>
      </c>
      <c r="L115" s="8" t="n"/>
      <c r="M115" s="8">
        <f>IF(A115="","",L115-K115)</f>
        <v/>
      </c>
      <c r="N115" s="9">
        <f>IF(A115="","",IFERROR(K115/L115,0))</f>
        <v/>
      </c>
    </row>
  </sheetData>
  <mergeCells count="2">
    <mergeCell ref="A3:P3"/>
    <mergeCell ref="A2:P2"/>
  </mergeCells>
  <dataValidations count="1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_Lists'!$M$6:$M$35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9FA8DA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0" customWidth="1" min="9" max="9"/>
    <col width="18" customWidth="1" min="10" max="10"/>
    <col width="14" customWidth="1" min="11" max="11"/>
  </cols>
  <sheetData>
    <row r="2" ht="25" customHeight="1">
      <c r="A2" s="1" t="inlineStr">
        <is>
          <t>DOMAINE 26 — 15-ANALYSE DES COÛTS PAR DÉPARTEMENT</t>
        </is>
      </c>
    </row>
    <row r="3" ht="18" customHeight="1">
      <c r="A3" s="2" t="inlineStr">
        <is>
          <t>TABLEAU DYNAMIQUE — Ventilation complète des coûts RH</t>
        </is>
      </c>
    </row>
    <row r="5">
      <c r="A5" s="3" t="inlineStr">
        <is>
          <t>Département</t>
        </is>
      </c>
      <c r="B5" s="3" t="inlineStr">
        <is>
          <t>Masse Salariale</t>
        </is>
      </c>
      <c r="C5" s="3" t="inlineStr">
        <is>
          <t>Charges Sociales</t>
        </is>
      </c>
      <c r="D5" s="3" t="inlineStr">
        <is>
          <t>Fiscalité</t>
        </is>
      </c>
      <c r="E5" s="3" t="inlineStr">
        <is>
          <t>Formation</t>
        </is>
      </c>
      <c r="F5" s="3" t="inlineStr">
        <is>
          <t>Avantages</t>
        </is>
      </c>
      <c r="G5" s="3" t="inlineStr">
        <is>
          <t>Autres Coûts</t>
        </is>
      </c>
      <c r="H5" s="3" t="inlineStr">
        <is>
          <t>Coût Total Dépt.</t>
        </is>
      </c>
      <c r="I5" s="3" t="inlineStr">
        <is>
          <t>Effectif</t>
        </is>
      </c>
      <c r="J5" s="3" t="inlineStr">
        <is>
          <t>Coût/Employé</t>
        </is>
      </c>
      <c r="K5" s="3" t="inlineStr">
        <is>
          <t>% du Total RH</t>
        </is>
      </c>
    </row>
    <row r="6">
      <c r="A6" s="4" t="inlineStr">
        <is>
          <t>Direction Générale</t>
        </is>
      </c>
      <c r="B6" s="5" t="n">
        <v>42500000</v>
      </c>
      <c r="C6" s="5" t="n">
        <v>12750000</v>
      </c>
      <c r="D6" s="5" t="n">
        <v>8400000</v>
      </c>
      <c r="E6" s="5" t="n">
        <v>500000</v>
      </c>
      <c r="F6" s="5" t="n">
        <v>2800000</v>
      </c>
      <c r="G6" s="5" t="n">
        <v>1500000</v>
      </c>
      <c r="H6" s="5">
        <f>SUM(B6:G6)</f>
        <v/>
      </c>
      <c r="I6" s="5" t="n">
        <v>5</v>
      </c>
      <c r="J6" s="5">
        <f>IFERROR(H6/I6,0)</f>
        <v/>
      </c>
      <c r="K6" s="6">
        <f>IFERROR(H6/SUM($H$6:$H$15),0)</f>
        <v/>
      </c>
    </row>
    <row r="7">
      <c r="A7" s="7" t="inlineStr">
        <is>
          <t>Ressources Humaines</t>
        </is>
      </c>
      <c r="B7" s="8" t="n">
        <v>18000000</v>
      </c>
      <c r="C7" s="8" t="n">
        <v>5400000</v>
      </c>
      <c r="D7" s="8" t="n">
        <v>3600000</v>
      </c>
      <c r="E7" s="8" t="n">
        <v>4500000</v>
      </c>
      <c r="F7" s="8" t="n">
        <v>1200000</v>
      </c>
      <c r="G7" s="8" t="n">
        <v>2000000</v>
      </c>
      <c r="H7" s="8">
        <f>SUM(B7:G7)</f>
        <v/>
      </c>
      <c r="I7" s="8" t="n">
        <v>12</v>
      </c>
      <c r="J7" s="8">
        <f>IFERROR(H7/I7,0)</f>
        <v/>
      </c>
      <c r="K7" s="9">
        <f>IFERROR(H7/SUM($H$6:$H$15),0)</f>
        <v/>
      </c>
    </row>
    <row r="8">
      <c r="A8" s="4" t="inlineStr">
        <is>
          <t>Finance &amp; Comptabilité</t>
        </is>
      </c>
      <c r="B8" s="5" t="n">
        <v>15200000</v>
      </c>
      <c r="C8" s="5" t="n">
        <v>4560000</v>
      </c>
      <c r="D8" s="5" t="n">
        <v>3200000</v>
      </c>
      <c r="E8" s="5" t="n">
        <v>300000</v>
      </c>
      <c r="F8" s="5" t="n">
        <v>960000</v>
      </c>
      <c r="G8" s="5" t="n">
        <v>800000</v>
      </c>
      <c r="H8" s="5">
        <f>SUM(B8:G8)</f>
        <v/>
      </c>
      <c r="I8" s="5" t="n">
        <v>10</v>
      </c>
      <c r="J8" s="5">
        <f>IFERROR(H8/I8,0)</f>
        <v/>
      </c>
      <c r="K8" s="6">
        <f>IFERROR(H8/SUM($H$6:$H$15),0)</f>
        <v/>
      </c>
    </row>
    <row r="9">
      <c r="A9" s="7" t="inlineStr">
        <is>
          <t>Cuisine &amp; Restauration</t>
        </is>
      </c>
      <c r="B9" s="8" t="n">
        <v>27000000</v>
      </c>
      <c r="C9" s="8" t="n">
        <v>8100000</v>
      </c>
      <c r="D9" s="8" t="n">
        <v>5500000</v>
      </c>
      <c r="E9" s="8" t="n">
        <v>200000</v>
      </c>
      <c r="F9" s="8" t="n">
        <v>1350000</v>
      </c>
      <c r="G9" s="8" t="n">
        <v>600000</v>
      </c>
      <c r="H9" s="8">
        <f>SUM(B9:G9)</f>
        <v/>
      </c>
      <c r="I9" s="8" t="n">
        <v>45</v>
      </c>
      <c r="J9" s="8">
        <f>IFERROR(H9/I9,0)</f>
        <v/>
      </c>
      <c r="K9" s="9">
        <f>IFERROR(H9/SUM($H$6:$H$15),0)</f>
        <v/>
      </c>
    </row>
    <row r="10">
      <c r="A10" s="4" t="inlineStr">
        <is>
          <t>Réception &amp; Front Office</t>
        </is>
      </c>
      <c r="B10" s="5" t="n">
        <v>17500000</v>
      </c>
      <c r="C10" s="5" t="n">
        <v>5250000</v>
      </c>
      <c r="D10" s="5" t="n">
        <v>3500000</v>
      </c>
      <c r="E10" s="5" t="n">
        <v>150000</v>
      </c>
      <c r="F10" s="5" t="n">
        <v>875000</v>
      </c>
      <c r="G10" s="5" t="n">
        <v>400000</v>
      </c>
      <c r="H10" s="5">
        <f>SUM(B10:G10)</f>
        <v/>
      </c>
      <c r="I10" s="5" t="n">
        <v>25</v>
      </c>
      <c r="J10" s="5">
        <f>IFERROR(H10/I10,0)</f>
        <v/>
      </c>
      <c r="K10" s="6">
        <f>IFERROR(H10/SUM($H$6:$H$15),0)</f>
        <v/>
      </c>
    </row>
    <row r="11">
      <c r="A11" s="7" t="inlineStr">
        <is>
          <t>Maintenance &amp; Technique</t>
        </is>
      </c>
      <c r="B11" s="8" t="n">
        <v>14400000</v>
      </c>
      <c r="C11" s="8" t="n">
        <v>4320000</v>
      </c>
      <c r="D11" s="8" t="n">
        <v>3000000</v>
      </c>
      <c r="E11" s="8" t="n">
        <v>250000</v>
      </c>
      <c r="F11" s="8" t="n">
        <v>720000</v>
      </c>
      <c r="G11" s="8" t="n">
        <v>350000</v>
      </c>
      <c r="H11" s="8">
        <f>SUM(B11:G11)</f>
        <v/>
      </c>
      <c r="I11" s="8" t="n">
        <v>18</v>
      </c>
      <c r="J11" s="8">
        <f>IFERROR(H11/I11,0)</f>
        <v/>
      </c>
      <c r="K11" s="9">
        <f>IFERROR(H11/SUM($H$6:$H$15),0)</f>
        <v/>
      </c>
    </row>
    <row r="12">
      <c r="A12" s="4" t="inlineStr">
        <is>
          <t>Marketing &amp; Communication</t>
        </is>
      </c>
      <c r="B12" s="5" t="n">
        <v>9600000</v>
      </c>
      <c r="C12" s="5" t="n">
        <v>2880000</v>
      </c>
      <c r="D12" s="5" t="n">
        <v>2000000</v>
      </c>
      <c r="E12" s="5" t="n">
        <v>200000</v>
      </c>
      <c r="F12" s="5" t="n">
        <v>480000</v>
      </c>
      <c r="G12" s="5" t="n">
        <v>300000</v>
      </c>
      <c r="H12" s="5">
        <f>SUM(B12:G12)</f>
        <v/>
      </c>
      <c r="I12" s="5" t="n">
        <v>8</v>
      </c>
      <c r="J12" s="5">
        <f>IFERROR(H12/I12,0)</f>
        <v/>
      </c>
      <c r="K12" s="6">
        <f>IFERROR(H12/SUM($H$6:$H$15),0)</f>
        <v/>
      </c>
    </row>
    <row r="13">
      <c r="A13" s="7" t="inlineStr">
        <is>
          <t>Revenue Management</t>
        </is>
      </c>
      <c r="B13" s="8" t="n">
        <v>7800000</v>
      </c>
      <c r="C13" s="8" t="n">
        <v>2340000</v>
      </c>
      <c r="D13" s="8" t="n">
        <v>1600000</v>
      </c>
      <c r="E13" s="8" t="n">
        <v>100000</v>
      </c>
      <c r="F13" s="8" t="n">
        <v>390000</v>
      </c>
      <c r="G13" s="8" t="n">
        <v>200000</v>
      </c>
      <c r="H13" s="8">
        <f>SUM(B13:G13)</f>
        <v/>
      </c>
      <c r="I13" s="8" t="n">
        <v>6</v>
      </c>
      <c r="J13" s="8">
        <f>IFERROR(H13/I13,0)</f>
        <v/>
      </c>
      <c r="K13" s="9">
        <f>IFERROR(H13/SUM($H$6:$H$15),0)</f>
        <v/>
      </c>
    </row>
    <row r="14">
      <c r="A14" s="4" t="inlineStr">
        <is>
          <t>Sécurité</t>
        </is>
      </c>
      <c r="B14" s="5" t="n">
        <v>7500000</v>
      </c>
      <c r="C14" s="5" t="n">
        <v>2250000</v>
      </c>
      <c r="D14" s="5" t="n">
        <v>1500000</v>
      </c>
      <c r="E14" s="5" t="n">
        <v>100000</v>
      </c>
      <c r="F14" s="5" t="n">
        <v>375000</v>
      </c>
      <c r="G14" s="5" t="n">
        <v>150000</v>
      </c>
      <c r="H14" s="5">
        <f>SUM(B14:G14)</f>
        <v/>
      </c>
      <c r="I14" s="5" t="n">
        <v>15</v>
      </c>
      <c r="J14" s="5">
        <f>IFERROR(H14/I14,0)</f>
        <v/>
      </c>
      <c r="K14" s="6">
        <f>IFERROR(H14/SUM($H$6:$H$15),0)</f>
        <v/>
      </c>
    </row>
    <row r="15">
      <c r="A15" s="7" t="inlineStr">
        <is>
          <t>Commerce</t>
        </is>
      </c>
      <c r="B15" s="8" t="n">
        <v>9000000</v>
      </c>
      <c r="C15" s="8" t="n">
        <v>2700000</v>
      </c>
      <c r="D15" s="8" t="n">
        <v>1800000</v>
      </c>
      <c r="E15" s="8" t="n">
        <v>150000</v>
      </c>
      <c r="F15" s="8" t="n">
        <v>450000</v>
      </c>
      <c r="G15" s="8" t="n">
        <v>250000</v>
      </c>
      <c r="H15" s="8">
        <f>SUM(B15:G15)</f>
        <v/>
      </c>
      <c r="I15" s="8" t="n">
        <v>10</v>
      </c>
      <c r="J15" s="8">
        <f>IFERROR(H15/I15,0)</f>
        <v/>
      </c>
      <c r="K15" s="9">
        <f>IFERROR(H15/SUM($H$6:$H$15),0)</f>
        <v/>
      </c>
    </row>
    <row r="16">
      <c r="A16" s="4" t="n"/>
      <c r="B16" s="5" t="n"/>
      <c r="C16" s="5" t="n"/>
      <c r="D16" s="5" t="n"/>
      <c r="E16" s="5" t="n"/>
      <c r="F16" s="5" t="n"/>
      <c r="G16" s="5" t="n"/>
      <c r="H16" s="5">
        <f>IF(A16="","",SUM(B16:G16))</f>
        <v/>
      </c>
      <c r="I16" s="5" t="n"/>
      <c r="J16" s="5">
        <f>IF(OR(A16="",I16=""),"",IFERROR(H16/I16,0))</f>
        <v/>
      </c>
      <c r="K16" s="6">
        <f>IF(A16="","",IFERROR(H16/SUM($H$6:$H$115),0))</f>
        <v/>
      </c>
    </row>
    <row r="17">
      <c r="A17" s="7" t="n"/>
      <c r="B17" s="8" t="n"/>
      <c r="C17" s="8" t="n"/>
      <c r="D17" s="8" t="n"/>
      <c r="E17" s="8" t="n"/>
      <c r="F17" s="8" t="n"/>
      <c r="G17" s="8" t="n"/>
      <c r="H17" s="8">
        <f>IF(A17="","",SUM(B17:G17))</f>
        <v/>
      </c>
      <c r="I17" s="8" t="n"/>
      <c r="J17" s="8">
        <f>IF(OR(A17="",I17=""),"",IFERROR(H17/I17,0))</f>
        <v/>
      </c>
      <c r="K17" s="9">
        <f>IF(A17="","",IFERROR(H17/SUM($H$6:$H$115),0))</f>
        <v/>
      </c>
    </row>
    <row r="18">
      <c r="A18" s="4" t="n"/>
      <c r="B18" s="5" t="n"/>
      <c r="C18" s="5" t="n"/>
      <c r="D18" s="5" t="n"/>
      <c r="E18" s="5" t="n"/>
      <c r="F18" s="5" t="n"/>
      <c r="G18" s="5" t="n"/>
      <c r="H18" s="5">
        <f>IF(A18="","",SUM(B18:G18))</f>
        <v/>
      </c>
      <c r="I18" s="5" t="n"/>
      <c r="J18" s="5">
        <f>IF(OR(A18="",I18=""),"",IFERROR(H18/I18,0))</f>
        <v/>
      </c>
      <c r="K18" s="6">
        <f>IF(A18="","",IFERROR(H18/SUM($H$6:$H$115),0))</f>
        <v/>
      </c>
    </row>
    <row r="19">
      <c r="A19" s="7" t="n"/>
      <c r="B19" s="8" t="n"/>
      <c r="C19" s="8" t="n"/>
      <c r="D19" s="8" t="n"/>
      <c r="E19" s="8" t="n"/>
      <c r="F19" s="8" t="n"/>
      <c r="G19" s="8" t="n"/>
      <c r="H19" s="8">
        <f>IF(A19="","",SUM(B19:G19))</f>
        <v/>
      </c>
      <c r="I19" s="8" t="n"/>
      <c r="J19" s="8">
        <f>IF(OR(A19="",I19=""),"",IFERROR(H19/I19,0))</f>
        <v/>
      </c>
      <c r="K19" s="9">
        <f>IF(A19="","",IFERROR(H19/SUM($H$6:$H$115),0))</f>
        <v/>
      </c>
    </row>
    <row r="20">
      <c r="A20" s="4" t="n"/>
      <c r="B20" s="5" t="n"/>
      <c r="C20" s="5" t="n"/>
      <c r="D20" s="5" t="n"/>
      <c r="E20" s="5" t="n"/>
      <c r="F20" s="5" t="n"/>
      <c r="G20" s="5" t="n"/>
      <c r="H20" s="5">
        <f>IF(A20="","",SUM(B20:G20))</f>
        <v/>
      </c>
      <c r="I20" s="5" t="n"/>
      <c r="J20" s="5">
        <f>IF(OR(A20="",I20=""),"",IFERROR(H20/I20,0))</f>
        <v/>
      </c>
      <c r="K20" s="6">
        <f>IF(A20="","",IFERROR(H20/SUM($H$6:$H$115),0))</f>
        <v/>
      </c>
    </row>
    <row r="21">
      <c r="A21" s="7" t="n"/>
      <c r="B21" s="8" t="n"/>
      <c r="C21" s="8" t="n"/>
      <c r="D21" s="8" t="n"/>
      <c r="E21" s="8" t="n"/>
      <c r="F21" s="8" t="n"/>
      <c r="G21" s="8" t="n"/>
      <c r="H21" s="8">
        <f>IF(A21="","",SUM(B21:G21))</f>
        <v/>
      </c>
      <c r="I21" s="8" t="n"/>
      <c r="J21" s="8">
        <f>IF(OR(A21="",I21=""),"",IFERROR(H21/I21,0))</f>
        <v/>
      </c>
      <c r="K21" s="9">
        <f>IF(A21="","",IFERROR(H21/SUM($H$6:$H$115),0))</f>
        <v/>
      </c>
    </row>
    <row r="22">
      <c r="A22" s="4" t="n"/>
      <c r="B22" s="5" t="n"/>
      <c r="C22" s="5" t="n"/>
      <c r="D22" s="5" t="n"/>
      <c r="E22" s="5" t="n"/>
      <c r="F22" s="5" t="n"/>
      <c r="G22" s="5" t="n"/>
      <c r="H22" s="5">
        <f>IF(A22="","",SUM(B22:G22))</f>
        <v/>
      </c>
      <c r="I22" s="5" t="n"/>
      <c r="J22" s="5">
        <f>IF(OR(A22="",I22=""),"",IFERROR(H22/I22,0))</f>
        <v/>
      </c>
      <c r="K22" s="6">
        <f>IF(A22="","",IFERROR(H22/SUM($H$6:$H$115),0))</f>
        <v/>
      </c>
    </row>
    <row r="23">
      <c r="A23" s="7" t="n"/>
      <c r="B23" s="8" t="n"/>
      <c r="C23" s="8" t="n"/>
      <c r="D23" s="8" t="n"/>
      <c r="E23" s="8" t="n"/>
      <c r="F23" s="8" t="n"/>
      <c r="G23" s="8" t="n"/>
      <c r="H23" s="8">
        <f>IF(A23="","",SUM(B23:G23))</f>
        <v/>
      </c>
      <c r="I23" s="8" t="n"/>
      <c r="J23" s="8">
        <f>IF(OR(A23="",I23=""),"",IFERROR(H23/I23,0))</f>
        <v/>
      </c>
      <c r="K23" s="9">
        <f>IF(A23="","",IFERROR(H23/SUM($H$6:$H$115),0))</f>
        <v/>
      </c>
    </row>
    <row r="24">
      <c r="A24" s="4" t="n"/>
      <c r="B24" s="5" t="n"/>
      <c r="C24" s="5" t="n"/>
      <c r="D24" s="5" t="n"/>
      <c r="E24" s="5" t="n"/>
      <c r="F24" s="5" t="n"/>
      <c r="G24" s="5" t="n"/>
      <c r="H24" s="5">
        <f>IF(A24="","",SUM(B24:G24))</f>
        <v/>
      </c>
      <c r="I24" s="5" t="n"/>
      <c r="J24" s="5">
        <f>IF(OR(A24="",I24=""),"",IFERROR(H24/I24,0))</f>
        <v/>
      </c>
      <c r="K24" s="6">
        <f>IF(A24="","",IFERROR(H24/SUM($H$6:$H$115),0))</f>
        <v/>
      </c>
    </row>
    <row r="25">
      <c r="A25" s="7" t="n"/>
      <c r="B25" s="8" t="n"/>
      <c r="C25" s="8" t="n"/>
      <c r="D25" s="8" t="n"/>
      <c r="E25" s="8" t="n"/>
      <c r="F25" s="8" t="n"/>
      <c r="G25" s="8" t="n"/>
      <c r="H25" s="8">
        <f>IF(A25="","",SUM(B25:G25))</f>
        <v/>
      </c>
      <c r="I25" s="8" t="n"/>
      <c r="J25" s="8">
        <f>IF(OR(A25="",I25=""),"",IFERROR(H25/I25,0))</f>
        <v/>
      </c>
      <c r="K25" s="9">
        <f>IF(A25="","",IFERROR(H25/SUM($H$6:$H$115),0))</f>
        <v/>
      </c>
    </row>
    <row r="26">
      <c r="A26" s="4" t="n"/>
      <c r="B26" s="5" t="n"/>
      <c r="C26" s="5" t="n"/>
      <c r="D26" s="5" t="n"/>
      <c r="E26" s="5" t="n"/>
      <c r="F26" s="5" t="n"/>
      <c r="G26" s="5" t="n"/>
      <c r="H26" s="5">
        <f>IF(A26="","",SUM(B26:G26))</f>
        <v/>
      </c>
      <c r="I26" s="5" t="n"/>
      <c r="J26" s="5">
        <f>IF(OR(A26="",I26=""),"",IFERROR(H26/I26,0))</f>
        <v/>
      </c>
      <c r="K26" s="6">
        <f>IF(A26="","",IFERROR(H26/SUM($H$6:$H$115),0))</f>
        <v/>
      </c>
    </row>
    <row r="27">
      <c r="A27" s="7" t="n"/>
      <c r="B27" s="8" t="n"/>
      <c r="C27" s="8" t="n"/>
      <c r="D27" s="8" t="n"/>
      <c r="E27" s="8" t="n"/>
      <c r="F27" s="8" t="n"/>
      <c r="G27" s="8" t="n"/>
      <c r="H27" s="8">
        <f>IF(A27="","",SUM(B27:G27))</f>
        <v/>
      </c>
      <c r="I27" s="8" t="n"/>
      <c r="J27" s="8">
        <f>IF(OR(A27="",I27=""),"",IFERROR(H27/I27,0))</f>
        <v/>
      </c>
      <c r="K27" s="9">
        <f>IF(A27="","",IFERROR(H27/SUM($H$6:$H$115),0))</f>
        <v/>
      </c>
    </row>
    <row r="28">
      <c r="A28" s="4" t="n"/>
      <c r="B28" s="5" t="n"/>
      <c r="C28" s="5" t="n"/>
      <c r="D28" s="5" t="n"/>
      <c r="E28" s="5" t="n"/>
      <c r="F28" s="5" t="n"/>
      <c r="G28" s="5" t="n"/>
      <c r="H28" s="5">
        <f>IF(A28="","",SUM(B28:G28))</f>
        <v/>
      </c>
      <c r="I28" s="5" t="n"/>
      <c r="J28" s="5">
        <f>IF(OR(A28="",I28=""),"",IFERROR(H28/I28,0))</f>
        <v/>
      </c>
      <c r="K28" s="6">
        <f>IF(A28="","",IFERROR(H28/SUM($H$6:$H$115),0))</f>
        <v/>
      </c>
    </row>
    <row r="29">
      <c r="A29" s="7" t="n"/>
      <c r="B29" s="8" t="n"/>
      <c r="C29" s="8" t="n"/>
      <c r="D29" s="8" t="n"/>
      <c r="E29" s="8" t="n"/>
      <c r="F29" s="8" t="n"/>
      <c r="G29" s="8" t="n"/>
      <c r="H29" s="8">
        <f>IF(A29="","",SUM(B29:G29))</f>
        <v/>
      </c>
      <c r="I29" s="8" t="n"/>
      <c r="J29" s="8">
        <f>IF(OR(A29="",I29=""),"",IFERROR(H29/I29,0))</f>
        <v/>
      </c>
      <c r="K29" s="9">
        <f>IF(A29="","",IFERROR(H29/SUM($H$6:$H$115),0))</f>
        <v/>
      </c>
    </row>
    <row r="30">
      <c r="A30" s="4" t="n"/>
      <c r="B30" s="5" t="n"/>
      <c r="C30" s="5" t="n"/>
      <c r="D30" s="5" t="n"/>
      <c r="E30" s="5" t="n"/>
      <c r="F30" s="5" t="n"/>
      <c r="G30" s="5" t="n"/>
      <c r="H30" s="5">
        <f>IF(A30="","",SUM(B30:G30))</f>
        <v/>
      </c>
      <c r="I30" s="5" t="n"/>
      <c r="J30" s="5">
        <f>IF(OR(A30="",I30=""),"",IFERROR(H30/I30,0))</f>
        <v/>
      </c>
      <c r="K30" s="6">
        <f>IF(A30="","",IFERROR(H30/SUM($H$6:$H$115),0))</f>
        <v/>
      </c>
    </row>
    <row r="31">
      <c r="A31" s="7" t="n"/>
      <c r="B31" s="8" t="n"/>
      <c r="C31" s="8" t="n"/>
      <c r="D31" s="8" t="n"/>
      <c r="E31" s="8" t="n"/>
      <c r="F31" s="8" t="n"/>
      <c r="G31" s="8" t="n"/>
      <c r="H31" s="8">
        <f>IF(A31="","",SUM(B31:G31))</f>
        <v/>
      </c>
      <c r="I31" s="8" t="n"/>
      <c r="J31" s="8">
        <f>IF(OR(A31="",I31=""),"",IFERROR(H31/I31,0))</f>
        <v/>
      </c>
      <c r="K31" s="9">
        <f>IF(A31="","",IFERROR(H31/SUM($H$6:$H$115),0))</f>
        <v/>
      </c>
    </row>
    <row r="32">
      <c r="A32" s="4" t="n"/>
      <c r="B32" s="5" t="n"/>
      <c r="C32" s="5" t="n"/>
      <c r="D32" s="5" t="n"/>
      <c r="E32" s="5" t="n"/>
      <c r="F32" s="5" t="n"/>
      <c r="G32" s="5" t="n"/>
      <c r="H32" s="5">
        <f>IF(A32="","",SUM(B32:G32))</f>
        <v/>
      </c>
      <c r="I32" s="5" t="n"/>
      <c r="J32" s="5">
        <f>IF(OR(A32="",I32=""),"",IFERROR(H32/I32,0))</f>
        <v/>
      </c>
      <c r="K32" s="6">
        <f>IF(A32="","",IFERROR(H32/SUM($H$6:$H$115),0))</f>
        <v/>
      </c>
    </row>
    <row r="33">
      <c r="A33" s="7" t="n"/>
      <c r="B33" s="8" t="n"/>
      <c r="C33" s="8" t="n"/>
      <c r="D33" s="8" t="n"/>
      <c r="E33" s="8" t="n"/>
      <c r="F33" s="8" t="n"/>
      <c r="G33" s="8" t="n"/>
      <c r="H33" s="8">
        <f>IF(A33="","",SUM(B33:G33))</f>
        <v/>
      </c>
      <c r="I33" s="8" t="n"/>
      <c r="J33" s="8">
        <f>IF(OR(A33="",I33=""),"",IFERROR(H33/I33,0))</f>
        <v/>
      </c>
      <c r="K33" s="9">
        <f>IF(A33="","",IFERROR(H33/SUM($H$6:$H$115),0))</f>
        <v/>
      </c>
    </row>
    <row r="34">
      <c r="A34" s="4" t="n"/>
      <c r="B34" s="5" t="n"/>
      <c r="C34" s="5" t="n"/>
      <c r="D34" s="5" t="n"/>
      <c r="E34" s="5" t="n"/>
      <c r="F34" s="5" t="n"/>
      <c r="G34" s="5" t="n"/>
      <c r="H34" s="5">
        <f>IF(A34="","",SUM(B34:G34))</f>
        <v/>
      </c>
      <c r="I34" s="5" t="n"/>
      <c r="J34" s="5">
        <f>IF(OR(A34="",I34=""),"",IFERROR(H34/I34,0))</f>
        <v/>
      </c>
      <c r="K34" s="6">
        <f>IF(A34="","",IFERROR(H34/SUM($H$6:$H$115),0))</f>
        <v/>
      </c>
    </row>
    <row r="35">
      <c r="A35" s="7" t="n"/>
      <c r="B35" s="8" t="n"/>
      <c r="C35" s="8" t="n"/>
      <c r="D35" s="8" t="n"/>
      <c r="E35" s="8" t="n"/>
      <c r="F35" s="8" t="n"/>
      <c r="G35" s="8" t="n"/>
      <c r="H35" s="8">
        <f>IF(A35="","",SUM(B35:G35))</f>
        <v/>
      </c>
      <c r="I35" s="8" t="n"/>
      <c r="J35" s="8">
        <f>IF(OR(A35="",I35=""),"",IFERROR(H35/I35,0))</f>
        <v/>
      </c>
      <c r="K35" s="9">
        <f>IF(A35="","",IFERROR(H35/SUM($H$6:$H$115),0))</f>
        <v/>
      </c>
    </row>
    <row r="36">
      <c r="A36" s="4" t="n"/>
      <c r="B36" s="5" t="n"/>
      <c r="C36" s="5" t="n"/>
      <c r="D36" s="5" t="n"/>
      <c r="E36" s="5" t="n"/>
      <c r="F36" s="5" t="n"/>
      <c r="G36" s="5" t="n"/>
      <c r="H36" s="5">
        <f>IF(A36="","",SUM(B36:G36))</f>
        <v/>
      </c>
      <c r="I36" s="5" t="n"/>
      <c r="J36" s="5">
        <f>IF(OR(A36="",I36=""),"",IFERROR(H36/I36,0))</f>
        <v/>
      </c>
      <c r="K36" s="6">
        <f>IF(A36="","",IFERROR(H36/SUM($H$6:$H$115),0))</f>
        <v/>
      </c>
    </row>
    <row r="37">
      <c r="A37" s="7" t="n"/>
      <c r="B37" s="8" t="n"/>
      <c r="C37" s="8" t="n"/>
      <c r="D37" s="8" t="n"/>
      <c r="E37" s="8" t="n"/>
      <c r="F37" s="8" t="n"/>
      <c r="G37" s="8" t="n"/>
      <c r="H37" s="8">
        <f>IF(A37="","",SUM(B37:G37))</f>
        <v/>
      </c>
      <c r="I37" s="8" t="n"/>
      <c r="J37" s="8">
        <f>IF(OR(A37="",I37=""),"",IFERROR(H37/I37,0))</f>
        <v/>
      </c>
      <c r="K37" s="9">
        <f>IF(A37="","",IFERROR(H37/SUM($H$6:$H$115),0))</f>
        <v/>
      </c>
    </row>
    <row r="38">
      <c r="A38" s="4" t="n"/>
      <c r="B38" s="5" t="n"/>
      <c r="C38" s="5" t="n"/>
      <c r="D38" s="5" t="n"/>
      <c r="E38" s="5" t="n"/>
      <c r="F38" s="5" t="n"/>
      <c r="G38" s="5" t="n"/>
      <c r="H38" s="5">
        <f>IF(A38="","",SUM(B38:G38))</f>
        <v/>
      </c>
      <c r="I38" s="5" t="n"/>
      <c r="J38" s="5">
        <f>IF(OR(A38="",I38=""),"",IFERROR(H38/I38,0))</f>
        <v/>
      </c>
      <c r="K38" s="6">
        <f>IF(A38="","",IFERROR(H38/SUM($H$6:$H$115),0))</f>
        <v/>
      </c>
    </row>
    <row r="39">
      <c r="A39" s="7" t="n"/>
      <c r="B39" s="8" t="n"/>
      <c r="C39" s="8" t="n"/>
      <c r="D39" s="8" t="n"/>
      <c r="E39" s="8" t="n"/>
      <c r="F39" s="8" t="n"/>
      <c r="G39" s="8" t="n"/>
      <c r="H39" s="8">
        <f>IF(A39="","",SUM(B39:G39))</f>
        <v/>
      </c>
      <c r="I39" s="8" t="n"/>
      <c r="J39" s="8">
        <f>IF(OR(A39="",I39=""),"",IFERROR(H39/I39,0))</f>
        <v/>
      </c>
      <c r="K39" s="9">
        <f>IF(A39="","",IFERROR(H39/SUM($H$6:$H$115),0))</f>
        <v/>
      </c>
    </row>
    <row r="40">
      <c r="A40" s="4" t="n"/>
      <c r="B40" s="5" t="n"/>
      <c r="C40" s="5" t="n"/>
      <c r="D40" s="5" t="n"/>
      <c r="E40" s="5" t="n"/>
      <c r="F40" s="5" t="n"/>
      <c r="G40" s="5" t="n"/>
      <c r="H40" s="5">
        <f>IF(A40="","",SUM(B40:G40))</f>
        <v/>
      </c>
      <c r="I40" s="5" t="n"/>
      <c r="J40" s="5">
        <f>IF(OR(A40="",I40=""),"",IFERROR(H40/I40,0))</f>
        <v/>
      </c>
      <c r="K40" s="6">
        <f>IF(A40="","",IFERROR(H40/SUM($H$6:$H$115),0))</f>
        <v/>
      </c>
    </row>
    <row r="41">
      <c r="A41" s="7" t="n"/>
      <c r="B41" s="8" t="n"/>
      <c r="C41" s="8" t="n"/>
      <c r="D41" s="8" t="n"/>
      <c r="E41" s="8" t="n"/>
      <c r="F41" s="8" t="n"/>
      <c r="G41" s="8" t="n"/>
      <c r="H41" s="8">
        <f>IF(A41="","",SUM(B41:G41))</f>
        <v/>
      </c>
      <c r="I41" s="8" t="n"/>
      <c r="J41" s="8">
        <f>IF(OR(A41="",I41=""),"",IFERROR(H41/I41,0))</f>
        <v/>
      </c>
      <c r="K41" s="9">
        <f>IF(A41="","",IFERROR(H41/SUM($H$6:$H$115),0))</f>
        <v/>
      </c>
    </row>
    <row r="42">
      <c r="A42" s="4" t="n"/>
      <c r="B42" s="5" t="n"/>
      <c r="C42" s="5" t="n"/>
      <c r="D42" s="5" t="n"/>
      <c r="E42" s="5" t="n"/>
      <c r="F42" s="5" t="n"/>
      <c r="G42" s="5" t="n"/>
      <c r="H42" s="5">
        <f>IF(A42="","",SUM(B42:G42))</f>
        <v/>
      </c>
      <c r="I42" s="5" t="n"/>
      <c r="J42" s="5">
        <f>IF(OR(A42="",I42=""),"",IFERROR(H42/I42,0))</f>
        <v/>
      </c>
      <c r="K42" s="6">
        <f>IF(A42="","",IFERROR(H42/SUM($H$6:$H$115),0))</f>
        <v/>
      </c>
    </row>
    <row r="43">
      <c r="A43" s="7" t="n"/>
      <c r="B43" s="8" t="n"/>
      <c r="C43" s="8" t="n"/>
      <c r="D43" s="8" t="n"/>
      <c r="E43" s="8" t="n"/>
      <c r="F43" s="8" t="n"/>
      <c r="G43" s="8" t="n"/>
      <c r="H43" s="8">
        <f>IF(A43="","",SUM(B43:G43))</f>
        <v/>
      </c>
      <c r="I43" s="8" t="n"/>
      <c r="J43" s="8">
        <f>IF(OR(A43="",I43=""),"",IFERROR(H43/I43,0))</f>
        <v/>
      </c>
      <c r="K43" s="9">
        <f>IF(A43="","",IFERROR(H43/SUM($H$6:$H$115),0))</f>
        <v/>
      </c>
    </row>
    <row r="44">
      <c r="A44" s="4" t="n"/>
      <c r="B44" s="5" t="n"/>
      <c r="C44" s="5" t="n"/>
      <c r="D44" s="5" t="n"/>
      <c r="E44" s="5" t="n"/>
      <c r="F44" s="5" t="n"/>
      <c r="G44" s="5" t="n"/>
      <c r="H44" s="5">
        <f>IF(A44="","",SUM(B44:G44))</f>
        <v/>
      </c>
      <c r="I44" s="5" t="n"/>
      <c r="J44" s="5">
        <f>IF(OR(A44="",I44=""),"",IFERROR(H44/I44,0))</f>
        <v/>
      </c>
      <c r="K44" s="6">
        <f>IF(A44="","",IFERROR(H44/SUM($H$6:$H$115),0))</f>
        <v/>
      </c>
    </row>
    <row r="45">
      <c r="A45" s="7" t="n"/>
      <c r="B45" s="8" t="n"/>
      <c r="C45" s="8" t="n"/>
      <c r="D45" s="8" t="n"/>
      <c r="E45" s="8" t="n"/>
      <c r="F45" s="8" t="n"/>
      <c r="G45" s="8" t="n"/>
      <c r="H45" s="8">
        <f>IF(A45="","",SUM(B45:G45))</f>
        <v/>
      </c>
      <c r="I45" s="8" t="n"/>
      <c r="J45" s="8">
        <f>IF(OR(A45="",I45=""),"",IFERROR(H45/I45,0))</f>
        <v/>
      </c>
      <c r="K45" s="9">
        <f>IF(A45="","",IFERROR(H45/SUM($H$6:$H$115),0))</f>
        <v/>
      </c>
    </row>
    <row r="46">
      <c r="A46" s="4" t="n"/>
      <c r="B46" s="5" t="n"/>
      <c r="C46" s="5" t="n"/>
      <c r="D46" s="5" t="n"/>
      <c r="E46" s="5" t="n"/>
      <c r="F46" s="5" t="n"/>
      <c r="G46" s="5" t="n"/>
      <c r="H46" s="5">
        <f>IF(A46="","",SUM(B46:G46))</f>
        <v/>
      </c>
      <c r="I46" s="5" t="n"/>
      <c r="J46" s="5">
        <f>IF(OR(A46="",I46=""),"",IFERROR(H46/I46,0))</f>
        <v/>
      </c>
      <c r="K46" s="6">
        <f>IF(A46="","",IFERROR(H46/SUM($H$6:$H$115),0))</f>
        <v/>
      </c>
    </row>
    <row r="47">
      <c r="A47" s="7" t="n"/>
      <c r="B47" s="8" t="n"/>
      <c r="C47" s="8" t="n"/>
      <c r="D47" s="8" t="n"/>
      <c r="E47" s="8" t="n"/>
      <c r="F47" s="8" t="n"/>
      <c r="G47" s="8" t="n"/>
      <c r="H47" s="8">
        <f>IF(A47="","",SUM(B47:G47))</f>
        <v/>
      </c>
      <c r="I47" s="8" t="n"/>
      <c r="J47" s="8">
        <f>IF(OR(A47="",I47=""),"",IFERROR(H47/I47,0))</f>
        <v/>
      </c>
      <c r="K47" s="9">
        <f>IF(A47="","",IFERROR(H47/SUM($H$6:$H$115),0))</f>
        <v/>
      </c>
    </row>
    <row r="48">
      <c r="A48" s="4" t="n"/>
      <c r="B48" s="5" t="n"/>
      <c r="C48" s="5" t="n"/>
      <c r="D48" s="5" t="n"/>
      <c r="E48" s="5" t="n"/>
      <c r="F48" s="5" t="n"/>
      <c r="G48" s="5" t="n"/>
      <c r="H48" s="5">
        <f>IF(A48="","",SUM(B48:G48))</f>
        <v/>
      </c>
      <c r="I48" s="5" t="n"/>
      <c r="J48" s="5">
        <f>IF(OR(A48="",I48=""),"",IFERROR(H48/I48,0))</f>
        <v/>
      </c>
      <c r="K48" s="6">
        <f>IF(A48="","",IFERROR(H48/SUM($H$6:$H$115),0))</f>
        <v/>
      </c>
    </row>
    <row r="49">
      <c r="A49" s="7" t="n"/>
      <c r="B49" s="8" t="n"/>
      <c r="C49" s="8" t="n"/>
      <c r="D49" s="8" t="n"/>
      <c r="E49" s="8" t="n"/>
      <c r="F49" s="8" t="n"/>
      <c r="G49" s="8" t="n"/>
      <c r="H49" s="8">
        <f>IF(A49="","",SUM(B49:G49))</f>
        <v/>
      </c>
      <c r="I49" s="8" t="n"/>
      <c r="J49" s="8">
        <f>IF(OR(A49="",I49=""),"",IFERROR(H49/I49,0))</f>
        <v/>
      </c>
      <c r="K49" s="9">
        <f>IF(A49="","",IFERROR(H49/SUM($H$6:$H$115),0))</f>
        <v/>
      </c>
    </row>
    <row r="50">
      <c r="A50" s="4" t="n"/>
      <c r="B50" s="5" t="n"/>
      <c r="C50" s="5" t="n"/>
      <c r="D50" s="5" t="n"/>
      <c r="E50" s="5" t="n"/>
      <c r="F50" s="5" t="n"/>
      <c r="G50" s="5" t="n"/>
      <c r="H50" s="5">
        <f>IF(A50="","",SUM(B50:G50))</f>
        <v/>
      </c>
      <c r="I50" s="5" t="n"/>
      <c r="J50" s="5">
        <f>IF(OR(A50="",I50=""),"",IFERROR(H50/I50,0))</f>
        <v/>
      </c>
      <c r="K50" s="6">
        <f>IF(A50="","",IFERROR(H50/SUM($H$6:$H$115),0))</f>
        <v/>
      </c>
    </row>
    <row r="51">
      <c r="A51" s="7" t="n"/>
      <c r="B51" s="8" t="n"/>
      <c r="C51" s="8" t="n"/>
      <c r="D51" s="8" t="n"/>
      <c r="E51" s="8" t="n"/>
      <c r="F51" s="8" t="n"/>
      <c r="G51" s="8" t="n"/>
      <c r="H51" s="8">
        <f>IF(A51="","",SUM(B51:G51))</f>
        <v/>
      </c>
      <c r="I51" s="8" t="n"/>
      <c r="J51" s="8">
        <f>IF(OR(A51="",I51=""),"",IFERROR(H51/I51,0))</f>
        <v/>
      </c>
      <c r="K51" s="9">
        <f>IF(A51="","",IFERROR(H51/SUM($H$6:$H$115),0))</f>
        <v/>
      </c>
    </row>
    <row r="52">
      <c r="A52" s="4" t="n"/>
      <c r="B52" s="5" t="n"/>
      <c r="C52" s="5" t="n"/>
      <c r="D52" s="5" t="n"/>
      <c r="E52" s="5" t="n"/>
      <c r="F52" s="5" t="n"/>
      <c r="G52" s="5" t="n"/>
      <c r="H52" s="5">
        <f>IF(A52="","",SUM(B52:G52))</f>
        <v/>
      </c>
      <c r="I52" s="5" t="n"/>
      <c r="J52" s="5">
        <f>IF(OR(A52="",I52=""),"",IFERROR(H52/I52,0))</f>
        <v/>
      </c>
      <c r="K52" s="6">
        <f>IF(A52="","",IFERROR(H52/SUM($H$6:$H$115),0))</f>
        <v/>
      </c>
    </row>
    <row r="53">
      <c r="A53" s="7" t="n"/>
      <c r="B53" s="8" t="n"/>
      <c r="C53" s="8" t="n"/>
      <c r="D53" s="8" t="n"/>
      <c r="E53" s="8" t="n"/>
      <c r="F53" s="8" t="n"/>
      <c r="G53" s="8" t="n"/>
      <c r="H53" s="8">
        <f>IF(A53="","",SUM(B53:G53))</f>
        <v/>
      </c>
      <c r="I53" s="8" t="n"/>
      <c r="J53" s="8">
        <f>IF(OR(A53="",I53=""),"",IFERROR(H53/I53,0))</f>
        <v/>
      </c>
      <c r="K53" s="9">
        <f>IF(A53="","",IFERROR(H53/SUM($H$6:$H$115),0))</f>
        <v/>
      </c>
    </row>
    <row r="54">
      <c r="A54" s="4" t="n"/>
      <c r="B54" s="5" t="n"/>
      <c r="C54" s="5" t="n"/>
      <c r="D54" s="5" t="n"/>
      <c r="E54" s="5" t="n"/>
      <c r="F54" s="5" t="n"/>
      <c r="G54" s="5" t="n"/>
      <c r="H54" s="5">
        <f>IF(A54="","",SUM(B54:G54))</f>
        <v/>
      </c>
      <c r="I54" s="5" t="n"/>
      <c r="J54" s="5">
        <f>IF(OR(A54="",I54=""),"",IFERROR(H54/I54,0))</f>
        <v/>
      </c>
      <c r="K54" s="6">
        <f>IF(A54="","",IFERROR(H54/SUM($H$6:$H$115),0))</f>
        <v/>
      </c>
    </row>
    <row r="55">
      <c r="A55" s="7" t="n"/>
      <c r="B55" s="8" t="n"/>
      <c r="C55" s="8" t="n"/>
      <c r="D55" s="8" t="n"/>
      <c r="E55" s="8" t="n"/>
      <c r="F55" s="8" t="n"/>
      <c r="G55" s="8" t="n"/>
      <c r="H55" s="8">
        <f>IF(A55="","",SUM(B55:G55))</f>
        <v/>
      </c>
      <c r="I55" s="8" t="n"/>
      <c r="J55" s="8">
        <f>IF(OR(A55="",I55=""),"",IFERROR(H55/I55,0))</f>
        <v/>
      </c>
      <c r="K55" s="9">
        <f>IF(A55="","",IFERROR(H55/SUM($H$6:$H$115),0))</f>
        <v/>
      </c>
    </row>
    <row r="56">
      <c r="A56" s="4" t="n"/>
      <c r="B56" s="5" t="n"/>
      <c r="C56" s="5" t="n"/>
      <c r="D56" s="5" t="n"/>
      <c r="E56" s="5" t="n"/>
      <c r="F56" s="5" t="n"/>
      <c r="G56" s="5" t="n"/>
      <c r="H56" s="5">
        <f>IF(A56="","",SUM(B56:G56))</f>
        <v/>
      </c>
      <c r="I56" s="5" t="n"/>
      <c r="J56" s="5">
        <f>IF(OR(A56="",I56=""),"",IFERROR(H56/I56,0))</f>
        <v/>
      </c>
      <c r="K56" s="6">
        <f>IF(A56="","",IFERROR(H56/SUM($H$6:$H$115),0))</f>
        <v/>
      </c>
    </row>
    <row r="57">
      <c r="A57" s="7" t="n"/>
      <c r="B57" s="8" t="n"/>
      <c r="C57" s="8" t="n"/>
      <c r="D57" s="8" t="n"/>
      <c r="E57" s="8" t="n"/>
      <c r="F57" s="8" t="n"/>
      <c r="G57" s="8" t="n"/>
      <c r="H57" s="8">
        <f>IF(A57="","",SUM(B57:G57))</f>
        <v/>
      </c>
      <c r="I57" s="8" t="n"/>
      <c r="J57" s="8">
        <f>IF(OR(A57="",I57=""),"",IFERROR(H57/I57,0))</f>
        <v/>
      </c>
      <c r="K57" s="9">
        <f>IF(A57="","",IFERROR(H57/SUM($H$6:$H$115),0))</f>
        <v/>
      </c>
    </row>
    <row r="58">
      <c r="A58" s="4" t="n"/>
      <c r="B58" s="5" t="n"/>
      <c r="C58" s="5" t="n"/>
      <c r="D58" s="5" t="n"/>
      <c r="E58" s="5" t="n"/>
      <c r="F58" s="5" t="n"/>
      <c r="G58" s="5" t="n"/>
      <c r="H58" s="5">
        <f>IF(A58="","",SUM(B58:G58))</f>
        <v/>
      </c>
      <c r="I58" s="5" t="n"/>
      <c r="J58" s="5">
        <f>IF(OR(A58="",I58=""),"",IFERROR(H58/I58,0))</f>
        <v/>
      </c>
      <c r="K58" s="6">
        <f>IF(A58="","",IFERROR(H58/SUM($H$6:$H$115),0))</f>
        <v/>
      </c>
    </row>
    <row r="59">
      <c r="A59" s="7" t="n"/>
      <c r="B59" s="8" t="n"/>
      <c r="C59" s="8" t="n"/>
      <c r="D59" s="8" t="n"/>
      <c r="E59" s="8" t="n"/>
      <c r="F59" s="8" t="n"/>
      <c r="G59" s="8" t="n"/>
      <c r="H59" s="8">
        <f>IF(A59="","",SUM(B59:G59))</f>
        <v/>
      </c>
      <c r="I59" s="8" t="n"/>
      <c r="J59" s="8">
        <f>IF(OR(A59="",I59=""),"",IFERROR(H59/I59,0))</f>
        <v/>
      </c>
      <c r="K59" s="9">
        <f>IF(A59="","",IFERROR(H59/SUM($H$6:$H$115),0))</f>
        <v/>
      </c>
    </row>
    <row r="60">
      <c r="A60" s="4" t="n"/>
      <c r="B60" s="5" t="n"/>
      <c r="C60" s="5" t="n"/>
      <c r="D60" s="5" t="n"/>
      <c r="E60" s="5" t="n"/>
      <c r="F60" s="5" t="n"/>
      <c r="G60" s="5" t="n"/>
      <c r="H60" s="5">
        <f>IF(A60="","",SUM(B60:G60))</f>
        <v/>
      </c>
      <c r="I60" s="5" t="n"/>
      <c r="J60" s="5">
        <f>IF(OR(A60="",I60=""),"",IFERROR(H60/I60,0))</f>
        <v/>
      </c>
      <c r="K60" s="6">
        <f>IF(A60="","",IFERROR(H60/SUM($H$6:$H$115),0))</f>
        <v/>
      </c>
    </row>
    <row r="61">
      <c r="A61" s="7" t="n"/>
      <c r="B61" s="8" t="n"/>
      <c r="C61" s="8" t="n"/>
      <c r="D61" s="8" t="n"/>
      <c r="E61" s="8" t="n"/>
      <c r="F61" s="8" t="n"/>
      <c r="G61" s="8" t="n"/>
      <c r="H61" s="8">
        <f>IF(A61="","",SUM(B61:G61))</f>
        <v/>
      </c>
      <c r="I61" s="8" t="n"/>
      <c r="J61" s="8">
        <f>IF(OR(A61="",I61=""),"",IFERROR(H61/I61,0))</f>
        <v/>
      </c>
      <c r="K61" s="9">
        <f>IF(A61="","",IFERROR(H61/SUM($H$6:$H$115),0))</f>
        <v/>
      </c>
    </row>
    <row r="62">
      <c r="A62" s="4" t="n"/>
      <c r="B62" s="5" t="n"/>
      <c r="C62" s="5" t="n"/>
      <c r="D62" s="5" t="n"/>
      <c r="E62" s="5" t="n"/>
      <c r="F62" s="5" t="n"/>
      <c r="G62" s="5" t="n"/>
      <c r="H62" s="5">
        <f>IF(A62="","",SUM(B62:G62))</f>
        <v/>
      </c>
      <c r="I62" s="5" t="n"/>
      <c r="J62" s="5">
        <f>IF(OR(A62="",I62=""),"",IFERROR(H62/I62,0))</f>
        <v/>
      </c>
      <c r="K62" s="6">
        <f>IF(A62="","",IFERROR(H62/SUM($H$6:$H$115),0))</f>
        <v/>
      </c>
    </row>
    <row r="63">
      <c r="A63" s="7" t="n"/>
      <c r="B63" s="8" t="n"/>
      <c r="C63" s="8" t="n"/>
      <c r="D63" s="8" t="n"/>
      <c r="E63" s="8" t="n"/>
      <c r="F63" s="8" t="n"/>
      <c r="G63" s="8" t="n"/>
      <c r="H63" s="8">
        <f>IF(A63="","",SUM(B63:G63))</f>
        <v/>
      </c>
      <c r="I63" s="8" t="n"/>
      <c r="J63" s="8">
        <f>IF(OR(A63="",I63=""),"",IFERROR(H63/I63,0))</f>
        <v/>
      </c>
      <c r="K63" s="9">
        <f>IF(A63="","",IFERROR(H63/SUM($H$6:$H$115),0))</f>
        <v/>
      </c>
    </row>
    <row r="64">
      <c r="A64" s="4" t="n"/>
      <c r="B64" s="5" t="n"/>
      <c r="C64" s="5" t="n"/>
      <c r="D64" s="5" t="n"/>
      <c r="E64" s="5" t="n"/>
      <c r="F64" s="5" t="n"/>
      <c r="G64" s="5" t="n"/>
      <c r="H64" s="5">
        <f>IF(A64="","",SUM(B64:G64))</f>
        <v/>
      </c>
      <c r="I64" s="5" t="n"/>
      <c r="J64" s="5">
        <f>IF(OR(A64="",I64=""),"",IFERROR(H64/I64,0))</f>
        <v/>
      </c>
      <c r="K64" s="6">
        <f>IF(A64="","",IFERROR(H64/SUM($H$6:$H$115),0))</f>
        <v/>
      </c>
    </row>
    <row r="65">
      <c r="A65" s="7" t="n"/>
      <c r="B65" s="8" t="n"/>
      <c r="C65" s="8" t="n"/>
      <c r="D65" s="8" t="n"/>
      <c r="E65" s="8" t="n"/>
      <c r="F65" s="8" t="n"/>
      <c r="G65" s="8" t="n"/>
      <c r="H65" s="8">
        <f>IF(A65="","",SUM(B65:G65))</f>
        <v/>
      </c>
      <c r="I65" s="8" t="n"/>
      <c r="J65" s="8">
        <f>IF(OR(A65="",I65=""),"",IFERROR(H65/I65,0))</f>
        <v/>
      </c>
      <c r="K65" s="9">
        <f>IF(A65="","",IFERROR(H65/SUM($H$6:$H$115),0))</f>
        <v/>
      </c>
    </row>
    <row r="66">
      <c r="A66" s="4" t="n"/>
      <c r="B66" s="5" t="n"/>
      <c r="C66" s="5" t="n"/>
      <c r="D66" s="5" t="n"/>
      <c r="E66" s="5" t="n"/>
      <c r="F66" s="5" t="n"/>
      <c r="G66" s="5" t="n"/>
      <c r="H66" s="5">
        <f>IF(A66="","",SUM(B66:G66))</f>
        <v/>
      </c>
      <c r="I66" s="5" t="n"/>
      <c r="J66" s="5">
        <f>IF(OR(A66="",I66=""),"",IFERROR(H66/I66,0))</f>
        <v/>
      </c>
      <c r="K66" s="6">
        <f>IF(A66="","",IFERROR(H66/SUM($H$6:$H$115),0))</f>
        <v/>
      </c>
    </row>
    <row r="67">
      <c r="A67" s="7" t="n"/>
      <c r="B67" s="8" t="n"/>
      <c r="C67" s="8" t="n"/>
      <c r="D67" s="8" t="n"/>
      <c r="E67" s="8" t="n"/>
      <c r="F67" s="8" t="n"/>
      <c r="G67" s="8" t="n"/>
      <c r="H67" s="8">
        <f>IF(A67="","",SUM(B67:G67))</f>
        <v/>
      </c>
      <c r="I67" s="8" t="n"/>
      <c r="J67" s="8">
        <f>IF(OR(A67="",I67=""),"",IFERROR(H67/I67,0))</f>
        <v/>
      </c>
      <c r="K67" s="9">
        <f>IF(A67="","",IFERROR(H67/SUM($H$6:$H$115),0))</f>
        <v/>
      </c>
    </row>
    <row r="68">
      <c r="A68" s="4" t="n"/>
      <c r="B68" s="5" t="n"/>
      <c r="C68" s="5" t="n"/>
      <c r="D68" s="5" t="n"/>
      <c r="E68" s="5" t="n"/>
      <c r="F68" s="5" t="n"/>
      <c r="G68" s="5" t="n"/>
      <c r="H68" s="5">
        <f>IF(A68="","",SUM(B68:G68))</f>
        <v/>
      </c>
      <c r="I68" s="5" t="n"/>
      <c r="J68" s="5">
        <f>IF(OR(A68="",I68=""),"",IFERROR(H68/I68,0))</f>
        <v/>
      </c>
      <c r="K68" s="6">
        <f>IF(A68="","",IFERROR(H68/SUM($H$6:$H$115),0))</f>
        <v/>
      </c>
    </row>
    <row r="69">
      <c r="A69" s="7" t="n"/>
      <c r="B69" s="8" t="n"/>
      <c r="C69" s="8" t="n"/>
      <c r="D69" s="8" t="n"/>
      <c r="E69" s="8" t="n"/>
      <c r="F69" s="8" t="n"/>
      <c r="G69" s="8" t="n"/>
      <c r="H69" s="8">
        <f>IF(A69="","",SUM(B69:G69))</f>
        <v/>
      </c>
      <c r="I69" s="8" t="n"/>
      <c r="J69" s="8">
        <f>IF(OR(A69="",I69=""),"",IFERROR(H69/I69,0))</f>
        <v/>
      </c>
      <c r="K69" s="9">
        <f>IF(A69="","",IFERROR(H69/SUM($H$6:$H$115),0))</f>
        <v/>
      </c>
    </row>
    <row r="70">
      <c r="A70" s="4" t="n"/>
      <c r="B70" s="5" t="n"/>
      <c r="C70" s="5" t="n"/>
      <c r="D70" s="5" t="n"/>
      <c r="E70" s="5" t="n"/>
      <c r="F70" s="5" t="n"/>
      <c r="G70" s="5" t="n"/>
      <c r="H70" s="5">
        <f>IF(A70="","",SUM(B70:G70))</f>
        <v/>
      </c>
      <c r="I70" s="5" t="n"/>
      <c r="J70" s="5">
        <f>IF(OR(A70="",I70=""),"",IFERROR(H70/I70,0))</f>
        <v/>
      </c>
      <c r="K70" s="6">
        <f>IF(A70="","",IFERROR(H70/SUM($H$6:$H$115),0))</f>
        <v/>
      </c>
    </row>
    <row r="71">
      <c r="A71" s="7" t="n"/>
      <c r="B71" s="8" t="n"/>
      <c r="C71" s="8" t="n"/>
      <c r="D71" s="8" t="n"/>
      <c r="E71" s="8" t="n"/>
      <c r="F71" s="8" t="n"/>
      <c r="G71" s="8" t="n"/>
      <c r="H71" s="8">
        <f>IF(A71="","",SUM(B71:G71))</f>
        <v/>
      </c>
      <c r="I71" s="8" t="n"/>
      <c r="J71" s="8">
        <f>IF(OR(A71="",I71=""),"",IFERROR(H71/I71,0))</f>
        <v/>
      </c>
      <c r="K71" s="9">
        <f>IF(A71="","",IFERROR(H71/SUM($H$6:$H$115),0))</f>
        <v/>
      </c>
    </row>
    <row r="72">
      <c r="A72" s="4" t="n"/>
      <c r="B72" s="5" t="n"/>
      <c r="C72" s="5" t="n"/>
      <c r="D72" s="5" t="n"/>
      <c r="E72" s="5" t="n"/>
      <c r="F72" s="5" t="n"/>
      <c r="G72" s="5" t="n"/>
      <c r="H72" s="5">
        <f>IF(A72="","",SUM(B72:G72))</f>
        <v/>
      </c>
      <c r="I72" s="5" t="n"/>
      <c r="J72" s="5">
        <f>IF(OR(A72="",I72=""),"",IFERROR(H72/I72,0))</f>
        <v/>
      </c>
      <c r="K72" s="6">
        <f>IF(A72="","",IFERROR(H72/SUM($H$6:$H$115),0))</f>
        <v/>
      </c>
    </row>
    <row r="73">
      <c r="A73" s="7" t="n"/>
      <c r="B73" s="8" t="n"/>
      <c r="C73" s="8" t="n"/>
      <c r="D73" s="8" t="n"/>
      <c r="E73" s="8" t="n"/>
      <c r="F73" s="8" t="n"/>
      <c r="G73" s="8" t="n"/>
      <c r="H73" s="8">
        <f>IF(A73="","",SUM(B73:G73))</f>
        <v/>
      </c>
      <c r="I73" s="8" t="n"/>
      <c r="J73" s="8">
        <f>IF(OR(A73="",I73=""),"",IFERROR(H73/I73,0))</f>
        <v/>
      </c>
      <c r="K73" s="9">
        <f>IF(A73="","",IFERROR(H73/SUM($H$6:$H$115),0))</f>
        <v/>
      </c>
    </row>
    <row r="74">
      <c r="A74" s="4" t="n"/>
      <c r="B74" s="5" t="n"/>
      <c r="C74" s="5" t="n"/>
      <c r="D74" s="5" t="n"/>
      <c r="E74" s="5" t="n"/>
      <c r="F74" s="5" t="n"/>
      <c r="G74" s="5" t="n"/>
      <c r="H74" s="5">
        <f>IF(A74="","",SUM(B74:G74))</f>
        <v/>
      </c>
      <c r="I74" s="5" t="n"/>
      <c r="J74" s="5">
        <f>IF(OR(A74="",I74=""),"",IFERROR(H74/I74,0))</f>
        <v/>
      </c>
      <c r="K74" s="6">
        <f>IF(A74="","",IFERROR(H74/SUM($H$6:$H$115),0))</f>
        <v/>
      </c>
    </row>
    <row r="75">
      <c r="A75" s="7" t="n"/>
      <c r="B75" s="8" t="n"/>
      <c r="C75" s="8" t="n"/>
      <c r="D75" s="8" t="n"/>
      <c r="E75" s="8" t="n"/>
      <c r="F75" s="8" t="n"/>
      <c r="G75" s="8" t="n"/>
      <c r="H75" s="8">
        <f>IF(A75="","",SUM(B75:G75))</f>
        <v/>
      </c>
      <c r="I75" s="8" t="n"/>
      <c r="J75" s="8">
        <f>IF(OR(A75="",I75=""),"",IFERROR(H75/I75,0))</f>
        <v/>
      </c>
      <c r="K75" s="9">
        <f>IF(A75="","",IFERROR(H75/SUM($H$6:$H$115),0))</f>
        <v/>
      </c>
    </row>
    <row r="76">
      <c r="A76" s="4" t="n"/>
      <c r="B76" s="5" t="n"/>
      <c r="C76" s="5" t="n"/>
      <c r="D76" s="5" t="n"/>
      <c r="E76" s="5" t="n"/>
      <c r="F76" s="5" t="n"/>
      <c r="G76" s="5" t="n"/>
      <c r="H76" s="5">
        <f>IF(A76="","",SUM(B76:G76))</f>
        <v/>
      </c>
      <c r="I76" s="5" t="n"/>
      <c r="J76" s="5">
        <f>IF(OR(A76="",I76=""),"",IFERROR(H76/I76,0))</f>
        <v/>
      </c>
      <c r="K76" s="6">
        <f>IF(A76="","",IFERROR(H76/SUM($H$6:$H$115),0))</f>
        <v/>
      </c>
    </row>
    <row r="77">
      <c r="A77" s="7" t="n"/>
      <c r="B77" s="8" t="n"/>
      <c r="C77" s="8" t="n"/>
      <c r="D77" s="8" t="n"/>
      <c r="E77" s="8" t="n"/>
      <c r="F77" s="8" t="n"/>
      <c r="G77" s="8" t="n"/>
      <c r="H77" s="8">
        <f>IF(A77="","",SUM(B77:G77))</f>
        <v/>
      </c>
      <c r="I77" s="8" t="n"/>
      <c r="J77" s="8">
        <f>IF(OR(A77="",I77=""),"",IFERROR(H77/I77,0))</f>
        <v/>
      </c>
      <c r="K77" s="9">
        <f>IF(A77="","",IFERROR(H77/SUM($H$6:$H$115),0))</f>
        <v/>
      </c>
    </row>
    <row r="78">
      <c r="A78" s="4" t="n"/>
      <c r="B78" s="5" t="n"/>
      <c r="C78" s="5" t="n"/>
      <c r="D78" s="5" t="n"/>
      <c r="E78" s="5" t="n"/>
      <c r="F78" s="5" t="n"/>
      <c r="G78" s="5" t="n"/>
      <c r="H78" s="5">
        <f>IF(A78="","",SUM(B78:G78))</f>
        <v/>
      </c>
      <c r="I78" s="5" t="n"/>
      <c r="J78" s="5">
        <f>IF(OR(A78="",I78=""),"",IFERROR(H78/I78,0))</f>
        <v/>
      </c>
      <c r="K78" s="6">
        <f>IF(A78="","",IFERROR(H78/SUM($H$6:$H$115),0))</f>
        <v/>
      </c>
    </row>
    <row r="79">
      <c r="A79" s="7" t="n"/>
      <c r="B79" s="8" t="n"/>
      <c r="C79" s="8" t="n"/>
      <c r="D79" s="8" t="n"/>
      <c r="E79" s="8" t="n"/>
      <c r="F79" s="8" t="n"/>
      <c r="G79" s="8" t="n"/>
      <c r="H79" s="8">
        <f>IF(A79="","",SUM(B79:G79))</f>
        <v/>
      </c>
      <c r="I79" s="8" t="n"/>
      <c r="J79" s="8">
        <f>IF(OR(A79="",I79=""),"",IFERROR(H79/I79,0))</f>
        <v/>
      </c>
      <c r="K79" s="9">
        <f>IF(A79="","",IFERROR(H79/SUM($H$6:$H$115),0))</f>
        <v/>
      </c>
    </row>
    <row r="80">
      <c r="A80" s="4" t="n"/>
      <c r="B80" s="5" t="n"/>
      <c r="C80" s="5" t="n"/>
      <c r="D80" s="5" t="n"/>
      <c r="E80" s="5" t="n"/>
      <c r="F80" s="5" t="n"/>
      <c r="G80" s="5" t="n"/>
      <c r="H80" s="5">
        <f>IF(A80="","",SUM(B80:G80))</f>
        <v/>
      </c>
      <c r="I80" s="5" t="n"/>
      <c r="J80" s="5">
        <f>IF(OR(A80="",I80=""),"",IFERROR(H80/I80,0))</f>
        <v/>
      </c>
      <c r="K80" s="6">
        <f>IF(A80="","",IFERROR(H80/SUM($H$6:$H$115),0))</f>
        <v/>
      </c>
    </row>
    <row r="81">
      <c r="A81" s="7" t="n"/>
      <c r="B81" s="8" t="n"/>
      <c r="C81" s="8" t="n"/>
      <c r="D81" s="8" t="n"/>
      <c r="E81" s="8" t="n"/>
      <c r="F81" s="8" t="n"/>
      <c r="G81" s="8" t="n"/>
      <c r="H81" s="8">
        <f>IF(A81="","",SUM(B81:G81))</f>
        <v/>
      </c>
      <c r="I81" s="8" t="n"/>
      <c r="J81" s="8">
        <f>IF(OR(A81="",I81=""),"",IFERROR(H81/I81,0))</f>
        <v/>
      </c>
      <c r="K81" s="9">
        <f>IF(A81="","",IFERROR(H81/SUM($H$6:$H$115),0))</f>
        <v/>
      </c>
    </row>
    <row r="82">
      <c r="A82" s="4" t="n"/>
      <c r="B82" s="5" t="n"/>
      <c r="C82" s="5" t="n"/>
      <c r="D82" s="5" t="n"/>
      <c r="E82" s="5" t="n"/>
      <c r="F82" s="5" t="n"/>
      <c r="G82" s="5" t="n"/>
      <c r="H82" s="5">
        <f>IF(A82="","",SUM(B82:G82))</f>
        <v/>
      </c>
      <c r="I82" s="5" t="n"/>
      <c r="J82" s="5">
        <f>IF(OR(A82="",I82=""),"",IFERROR(H82/I82,0))</f>
        <v/>
      </c>
      <c r="K82" s="6">
        <f>IF(A82="","",IFERROR(H82/SUM($H$6:$H$115),0))</f>
        <v/>
      </c>
    </row>
    <row r="83">
      <c r="A83" s="7" t="n"/>
      <c r="B83" s="8" t="n"/>
      <c r="C83" s="8" t="n"/>
      <c r="D83" s="8" t="n"/>
      <c r="E83" s="8" t="n"/>
      <c r="F83" s="8" t="n"/>
      <c r="G83" s="8" t="n"/>
      <c r="H83" s="8">
        <f>IF(A83="","",SUM(B83:G83))</f>
        <v/>
      </c>
      <c r="I83" s="8" t="n"/>
      <c r="J83" s="8">
        <f>IF(OR(A83="",I83=""),"",IFERROR(H83/I83,0))</f>
        <v/>
      </c>
      <c r="K83" s="9">
        <f>IF(A83="","",IFERROR(H83/SUM($H$6:$H$115),0))</f>
        <v/>
      </c>
    </row>
    <row r="84">
      <c r="A84" s="4" t="n"/>
      <c r="B84" s="5" t="n"/>
      <c r="C84" s="5" t="n"/>
      <c r="D84" s="5" t="n"/>
      <c r="E84" s="5" t="n"/>
      <c r="F84" s="5" t="n"/>
      <c r="G84" s="5" t="n"/>
      <c r="H84" s="5">
        <f>IF(A84="","",SUM(B84:G84))</f>
        <v/>
      </c>
      <c r="I84" s="5" t="n"/>
      <c r="J84" s="5">
        <f>IF(OR(A84="",I84=""),"",IFERROR(H84/I84,0))</f>
        <v/>
      </c>
      <c r="K84" s="6">
        <f>IF(A84="","",IFERROR(H84/SUM($H$6:$H$115),0))</f>
        <v/>
      </c>
    </row>
    <row r="85">
      <c r="A85" s="7" t="n"/>
      <c r="B85" s="8" t="n"/>
      <c r="C85" s="8" t="n"/>
      <c r="D85" s="8" t="n"/>
      <c r="E85" s="8" t="n"/>
      <c r="F85" s="8" t="n"/>
      <c r="G85" s="8" t="n"/>
      <c r="H85" s="8">
        <f>IF(A85="","",SUM(B85:G85))</f>
        <v/>
      </c>
      <c r="I85" s="8" t="n"/>
      <c r="J85" s="8">
        <f>IF(OR(A85="",I85=""),"",IFERROR(H85/I85,0))</f>
        <v/>
      </c>
      <c r="K85" s="9">
        <f>IF(A85="","",IFERROR(H85/SUM($H$6:$H$115),0))</f>
        <v/>
      </c>
    </row>
    <row r="86">
      <c r="A86" s="4" t="n"/>
      <c r="B86" s="5" t="n"/>
      <c r="C86" s="5" t="n"/>
      <c r="D86" s="5" t="n"/>
      <c r="E86" s="5" t="n"/>
      <c r="F86" s="5" t="n"/>
      <c r="G86" s="5" t="n"/>
      <c r="H86" s="5">
        <f>IF(A86="","",SUM(B86:G86))</f>
        <v/>
      </c>
      <c r="I86" s="5" t="n"/>
      <c r="J86" s="5">
        <f>IF(OR(A86="",I86=""),"",IFERROR(H86/I86,0))</f>
        <v/>
      </c>
      <c r="K86" s="6">
        <f>IF(A86="","",IFERROR(H86/SUM($H$6:$H$115),0))</f>
        <v/>
      </c>
    </row>
    <row r="87">
      <c r="A87" s="7" t="n"/>
      <c r="B87" s="8" t="n"/>
      <c r="C87" s="8" t="n"/>
      <c r="D87" s="8" t="n"/>
      <c r="E87" s="8" t="n"/>
      <c r="F87" s="8" t="n"/>
      <c r="G87" s="8" t="n"/>
      <c r="H87" s="8">
        <f>IF(A87="","",SUM(B87:G87))</f>
        <v/>
      </c>
      <c r="I87" s="8" t="n"/>
      <c r="J87" s="8">
        <f>IF(OR(A87="",I87=""),"",IFERROR(H87/I87,0))</f>
        <v/>
      </c>
      <c r="K87" s="9">
        <f>IF(A87="","",IFERROR(H87/SUM($H$6:$H$115),0))</f>
        <v/>
      </c>
    </row>
    <row r="88">
      <c r="A88" s="4" t="n"/>
      <c r="B88" s="5" t="n"/>
      <c r="C88" s="5" t="n"/>
      <c r="D88" s="5" t="n"/>
      <c r="E88" s="5" t="n"/>
      <c r="F88" s="5" t="n"/>
      <c r="G88" s="5" t="n"/>
      <c r="H88" s="5">
        <f>IF(A88="","",SUM(B88:G88))</f>
        <v/>
      </c>
      <c r="I88" s="5" t="n"/>
      <c r="J88" s="5">
        <f>IF(OR(A88="",I88=""),"",IFERROR(H88/I88,0))</f>
        <v/>
      </c>
      <c r="K88" s="6">
        <f>IF(A88="","",IFERROR(H88/SUM($H$6:$H$115),0))</f>
        <v/>
      </c>
    </row>
    <row r="89">
      <c r="A89" s="7" t="n"/>
      <c r="B89" s="8" t="n"/>
      <c r="C89" s="8" t="n"/>
      <c r="D89" s="8" t="n"/>
      <c r="E89" s="8" t="n"/>
      <c r="F89" s="8" t="n"/>
      <c r="G89" s="8" t="n"/>
      <c r="H89" s="8">
        <f>IF(A89="","",SUM(B89:G89))</f>
        <v/>
      </c>
      <c r="I89" s="8" t="n"/>
      <c r="J89" s="8">
        <f>IF(OR(A89="",I89=""),"",IFERROR(H89/I89,0))</f>
        <v/>
      </c>
      <c r="K89" s="9">
        <f>IF(A89="","",IFERROR(H89/SUM($H$6:$H$115),0))</f>
        <v/>
      </c>
    </row>
    <row r="90">
      <c r="A90" s="4" t="n"/>
      <c r="B90" s="5" t="n"/>
      <c r="C90" s="5" t="n"/>
      <c r="D90" s="5" t="n"/>
      <c r="E90" s="5" t="n"/>
      <c r="F90" s="5" t="n"/>
      <c r="G90" s="5" t="n"/>
      <c r="H90" s="5">
        <f>IF(A90="","",SUM(B90:G90))</f>
        <v/>
      </c>
      <c r="I90" s="5" t="n"/>
      <c r="J90" s="5">
        <f>IF(OR(A90="",I90=""),"",IFERROR(H90/I90,0))</f>
        <v/>
      </c>
      <c r="K90" s="6">
        <f>IF(A90="","",IFERROR(H90/SUM($H$6:$H$115),0))</f>
        <v/>
      </c>
    </row>
    <row r="91">
      <c r="A91" s="7" t="n"/>
      <c r="B91" s="8" t="n"/>
      <c r="C91" s="8" t="n"/>
      <c r="D91" s="8" t="n"/>
      <c r="E91" s="8" t="n"/>
      <c r="F91" s="8" t="n"/>
      <c r="G91" s="8" t="n"/>
      <c r="H91" s="8">
        <f>IF(A91="","",SUM(B91:G91))</f>
        <v/>
      </c>
      <c r="I91" s="8" t="n"/>
      <c r="J91" s="8">
        <f>IF(OR(A91="",I91=""),"",IFERROR(H91/I91,0))</f>
        <v/>
      </c>
      <c r="K91" s="9">
        <f>IF(A91="","",IFERROR(H91/SUM($H$6:$H$115),0))</f>
        <v/>
      </c>
    </row>
    <row r="92">
      <c r="A92" s="4" t="n"/>
      <c r="B92" s="5" t="n"/>
      <c r="C92" s="5" t="n"/>
      <c r="D92" s="5" t="n"/>
      <c r="E92" s="5" t="n"/>
      <c r="F92" s="5" t="n"/>
      <c r="G92" s="5" t="n"/>
      <c r="H92" s="5">
        <f>IF(A92="","",SUM(B92:G92))</f>
        <v/>
      </c>
      <c r="I92" s="5" t="n"/>
      <c r="J92" s="5">
        <f>IF(OR(A92="",I92=""),"",IFERROR(H92/I92,0))</f>
        <v/>
      </c>
      <c r="K92" s="6">
        <f>IF(A92="","",IFERROR(H92/SUM($H$6:$H$115),0))</f>
        <v/>
      </c>
    </row>
    <row r="93">
      <c r="A93" s="7" t="n"/>
      <c r="B93" s="8" t="n"/>
      <c r="C93" s="8" t="n"/>
      <c r="D93" s="8" t="n"/>
      <c r="E93" s="8" t="n"/>
      <c r="F93" s="8" t="n"/>
      <c r="G93" s="8" t="n"/>
      <c r="H93" s="8">
        <f>IF(A93="","",SUM(B93:G93))</f>
        <v/>
      </c>
      <c r="I93" s="8" t="n"/>
      <c r="J93" s="8">
        <f>IF(OR(A93="",I93=""),"",IFERROR(H93/I93,0))</f>
        <v/>
      </c>
      <c r="K93" s="9">
        <f>IF(A93="","",IFERROR(H93/SUM($H$6:$H$115),0))</f>
        <v/>
      </c>
    </row>
    <row r="94">
      <c r="A94" s="4" t="n"/>
      <c r="B94" s="5" t="n"/>
      <c r="C94" s="5" t="n"/>
      <c r="D94" s="5" t="n"/>
      <c r="E94" s="5" t="n"/>
      <c r="F94" s="5" t="n"/>
      <c r="G94" s="5" t="n"/>
      <c r="H94" s="5">
        <f>IF(A94="","",SUM(B94:G94))</f>
        <v/>
      </c>
      <c r="I94" s="5" t="n"/>
      <c r="J94" s="5">
        <f>IF(OR(A94="",I94=""),"",IFERROR(H94/I94,0))</f>
        <v/>
      </c>
      <c r="K94" s="6">
        <f>IF(A94="","",IFERROR(H94/SUM($H$6:$H$115),0))</f>
        <v/>
      </c>
    </row>
    <row r="95">
      <c r="A95" s="7" t="n"/>
      <c r="B95" s="8" t="n"/>
      <c r="C95" s="8" t="n"/>
      <c r="D95" s="8" t="n"/>
      <c r="E95" s="8" t="n"/>
      <c r="F95" s="8" t="n"/>
      <c r="G95" s="8" t="n"/>
      <c r="H95" s="8">
        <f>IF(A95="","",SUM(B95:G95))</f>
        <v/>
      </c>
      <c r="I95" s="8" t="n"/>
      <c r="J95" s="8">
        <f>IF(OR(A95="",I95=""),"",IFERROR(H95/I95,0))</f>
        <v/>
      </c>
      <c r="K95" s="9">
        <f>IF(A95="","",IFERROR(H95/SUM($H$6:$H$115),0))</f>
        <v/>
      </c>
    </row>
    <row r="96">
      <c r="A96" s="4" t="n"/>
      <c r="B96" s="5" t="n"/>
      <c r="C96" s="5" t="n"/>
      <c r="D96" s="5" t="n"/>
      <c r="E96" s="5" t="n"/>
      <c r="F96" s="5" t="n"/>
      <c r="G96" s="5" t="n"/>
      <c r="H96" s="5">
        <f>IF(A96="","",SUM(B96:G96))</f>
        <v/>
      </c>
      <c r="I96" s="5" t="n"/>
      <c r="J96" s="5">
        <f>IF(OR(A96="",I96=""),"",IFERROR(H96/I96,0))</f>
        <v/>
      </c>
      <c r="K96" s="6">
        <f>IF(A96="","",IFERROR(H96/SUM($H$6:$H$115),0))</f>
        <v/>
      </c>
    </row>
    <row r="97">
      <c r="A97" s="7" t="n"/>
      <c r="B97" s="8" t="n"/>
      <c r="C97" s="8" t="n"/>
      <c r="D97" s="8" t="n"/>
      <c r="E97" s="8" t="n"/>
      <c r="F97" s="8" t="n"/>
      <c r="G97" s="8" t="n"/>
      <c r="H97" s="8">
        <f>IF(A97="","",SUM(B97:G97))</f>
        <v/>
      </c>
      <c r="I97" s="8" t="n"/>
      <c r="J97" s="8">
        <f>IF(OR(A97="",I97=""),"",IFERROR(H97/I97,0))</f>
        <v/>
      </c>
      <c r="K97" s="9">
        <f>IF(A97="","",IFERROR(H97/SUM($H$6:$H$115),0))</f>
        <v/>
      </c>
    </row>
    <row r="98">
      <c r="A98" s="4" t="n"/>
      <c r="B98" s="5" t="n"/>
      <c r="C98" s="5" t="n"/>
      <c r="D98" s="5" t="n"/>
      <c r="E98" s="5" t="n"/>
      <c r="F98" s="5" t="n"/>
      <c r="G98" s="5" t="n"/>
      <c r="H98" s="5">
        <f>IF(A98="","",SUM(B98:G98))</f>
        <v/>
      </c>
      <c r="I98" s="5" t="n"/>
      <c r="J98" s="5">
        <f>IF(OR(A98="",I98=""),"",IFERROR(H98/I98,0))</f>
        <v/>
      </c>
      <c r="K98" s="6">
        <f>IF(A98="","",IFERROR(H98/SUM($H$6:$H$115),0))</f>
        <v/>
      </c>
    </row>
    <row r="99">
      <c r="A99" s="7" t="n"/>
      <c r="B99" s="8" t="n"/>
      <c r="C99" s="8" t="n"/>
      <c r="D99" s="8" t="n"/>
      <c r="E99" s="8" t="n"/>
      <c r="F99" s="8" t="n"/>
      <c r="G99" s="8" t="n"/>
      <c r="H99" s="8">
        <f>IF(A99="","",SUM(B99:G99))</f>
        <v/>
      </c>
      <c r="I99" s="8" t="n"/>
      <c r="J99" s="8">
        <f>IF(OR(A99="",I99=""),"",IFERROR(H99/I99,0))</f>
        <v/>
      </c>
      <c r="K99" s="9">
        <f>IF(A99="","",IFERROR(H99/SUM($H$6:$H$115),0))</f>
        <v/>
      </c>
    </row>
    <row r="100">
      <c r="A100" s="4" t="n"/>
      <c r="B100" s="5" t="n"/>
      <c r="C100" s="5" t="n"/>
      <c r="D100" s="5" t="n"/>
      <c r="E100" s="5" t="n"/>
      <c r="F100" s="5" t="n"/>
      <c r="G100" s="5" t="n"/>
      <c r="H100" s="5">
        <f>IF(A100="","",SUM(B100:G100))</f>
        <v/>
      </c>
      <c r="I100" s="5" t="n"/>
      <c r="J100" s="5">
        <f>IF(OR(A100="",I100=""),"",IFERROR(H100/I100,0))</f>
        <v/>
      </c>
      <c r="K100" s="6">
        <f>IF(A100="","",IFERROR(H100/SUM($H$6:$H$115),0))</f>
        <v/>
      </c>
    </row>
    <row r="101">
      <c r="A101" s="7" t="n"/>
      <c r="B101" s="8" t="n"/>
      <c r="C101" s="8" t="n"/>
      <c r="D101" s="8" t="n"/>
      <c r="E101" s="8" t="n"/>
      <c r="F101" s="8" t="n"/>
      <c r="G101" s="8" t="n"/>
      <c r="H101" s="8">
        <f>IF(A101="","",SUM(B101:G101))</f>
        <v/>
      </c>
      <c r="I101" s="8" t="n"/>
      <c r="J101" s="8">
        <f>IF(OR(A101="",I101=""),"",IFERROR(H101/I101,0))</f>
        <v/>
      </c>
      <c r="K101" s="9">
        <f>IF(A101="","",IFERROR(H101/SUM($H$6:$H$115),0))</f>
        <v/>
      </c>
    </row>
    <row r="102">
      <c r="A102" s="4" t="n"/>
      <c r="B102" s="5" t="n"/>
      <c r="C102" s="5" t="n"/>
      <c r="D102" s="5" t="n"/>
      <c r="E102" s="5" t="n"/>
      <c r="F102" s="5" t="n"/>
      <c r="G102" s="5" t="n"/>
      <c r="H102" s="5">
        <f>IF(A102="","",SUM(B102:G102))</f>
        <v/>
      </c>
      <c r="I102" s="5" t="n"/>
      <c r="J102" s="5">
        <f>IF(OR(A102="",I102=""),"",IFERROR(H102/I102,0))</f>
        <v/>
      </c>
      <c r="K102" s="6">
        <f>IF(A102="","",IFERROR(H102/SUM($H$6:$H$115),0))</f>
        <v/>
      </c>
    </row>
    <row r="103">
      <c r="A103" s="7" t="n"/>
      <c r="B103" s="8" t="n"/>
      <c r="C103" s="8" t="n"/>
      <c r="D103" s="8" t="n"/>
      <c r="E103" s="8" t="n"/>
      <c r="F103" s="8" t="n"/>
      <c r="G103" s="8" t="n"/>
      <c r="H103" s="8">
        <f>IF(A103="","",SUM(B103:G103))</f>
        <v/>
      </c>
      <c r="I103" s="8" t="n"/>
      <c r="J103" s="8">
        <f>IF(OR(A103="",I103=""),"",IFERROR(H103/I103,0))</f>
        <v/>
      </c>
      <c r="K103" s="9">
        <f>IF(A103="","",IFERROR(H103/SUM($H$6:$H$115),0))</f>
        <v/>
      </c>
    </row>
    <row r="104">
      <c r="A104" s="4" t="n"/>
      <c r="B104" s="5" t="n"/>
      <c r="C104" s="5" t="n"/>
      <c r="D104" s="5" t="n"/>
      <c r="E104" s="5" t="n"/>
      <c r="F104" s="5" t="n"/>
      <c r="G104" s="5" t="n"/>
      <c r="H104" s="5">
        <f>IF(A104="","",SUM(B104:G104))</f>
        <v/>
      </c>
      <c r="I104" s="5" t="n"/>
      <c r="J104" s="5">
        <f>IF(OR(A104="",I104=""),"",IFERROR(H104/I104,0))</f>
        <v/>
      </c>
      <c r="K104" s="6">
        <f>IF(A104="","",IFERROR(H104/SUM($H$6:$H$115),0))</f>
        <v/>
      </c>
    </row>
    <row r="105">
      <c r="A105" s="7" t="n"/>
      <c r="B105" s="8" t="n"/>
      <c r="C105" s="8" t="n"/>
      <c r="D105" s="8" t="n"/>
      <c r="E105" s="8" t="n"/>
      <c r="F105" s="8" t="n"/>
      <c r="G105" s="8" t="n"/>
      <c r="H105" s="8">
        <f>IF(A105="","",SUM(B105:G105))</f>
        <v/>
      </c>
      <c r="I105" s="8" t="n"/>
      <c r="J105" s="8">
        <f>IF(OR(A105="",I105=""),"",IFERROR(H105/I105,0))</f>
        <v/>
      </c>
      <c r="K105" s="9">
        <f>IF(A105="","",IFERROR(H105/SUM($H$6:$H$115),0))</f>
        <v/>
      </c>
    </row>
    <row r="106">
      <c r="A106" s="4" t="n"/>
      <c r="B106" s="5" t="n"/>
      <c r="C106" s="5" t="n"/>
      <c r="D106" s="5" t="n"/>
      <c r="E106" s="5" t="n"/>
      <c r="F106" s="5" t="n"/>
      <c r="G106" s="5" t="n"/>
      <c r="H106" s="5">
        <f>IF(A106="","",SUM(B106:G106))</f>
        <v/>
      </c>
      <c r="I106" s="5" t="n"/>
      <c r="J106" s="5">
        <f>IF(OR(A106="",I106=""),"",IFERROR(H106/I106,0))</f>
        <v/>
      </c>
      <c r="K106" s="6">
        <f>IF(A106="","",IFERROR(H106/SUM($H$6:$H$115),0))</f>
        <v/>
      </c>
    </row>
    <row r="107">
      <c r="A107" s="7" t="n"/>
      <c r="B107" s="8" t="n"/>
      <c r="C107" s="8" t="n"/>
      <c r="D107" s="8" t="n"/>
      <c r="E107" s="8" t="n"/>
      <c r="F107" s="8" t="n"/>
      <c r="G107" s="8" t="n"/>
      <c r="H107" s="8">
        <f>IF(A107="","",SUM(B107:G107))</f>
        <v/>
      </c>
      <c r="I107" s="8" t="n"/>
      <c r="J107" s="8">
        <f>IF(OR(A107="",I107=""),"",IFERROR(H107/I107,0))</f>
        <v/>
      </c>
      <c r="K107" s="9">
        <f>IF(A107="","",IFERROR(H107/SUM($H$6:$H$115),0))</f>
        <v/>
      </c>
    </row>
    <row r="108">
      <c r="A108" s="4" t="n"/>
      <c r="B108" s="5" t="n"/>
      <c r="C108" s="5" t="n"/>
      <c r="D108" s="5" t="n"/>
      <c r="E108" s="5" t="n"/>
      <c r="F108" s="5" t="n"/>
      <c r="G108" s="5" t="n"/>
      <c r="H108" s="5">
        <f>IF(A108="","",SUM(B108:G108))</f>
        <v/>
      </c>
      <c r="I108" s="5" t="n"/>
      <c r="J108" s="5">
        <f>IF(OR(A108="",I108=""),"",IFERROR(H108/I108,0))</f>
        <v/>
      </c>
      <c r="K108" s="6">
        <f>IF(A108="","",IFERROR(H108/SUM($H$6:$H$115),0))</f>
        <v/>
      </c>
    </row>
    <row r="109">
      <c r="A109" s="7" t="n"/>
      <c r="B109" s="8" t="n"/>
      <c r="C109" s="8" t="n"/>
      <c r="D109" s="8" t="n"/>
      <c r="E109" s="8" t="n"/>
      <c r="F109" s="8" t="n"/>
      <c r="G109" s="8" t="n"/>
      <c r="H109" s="8">
        <f>IF(A109="","",SUM(B109:G109))</f>
        <v/>
      </c>
      <c r="I109" s="8" t="n"/>
      <c r="J109" s="8">
        <f>IF(OR(A109="",I109=""),"",IFERROR(H109/I109,0))</f>
        <v/>
      </c>
      <c r="K109" s="9">
        <f>IF(A109="","",IFERROR(H109/SUM($H$6:$H$115),0))</f>
        <v/>
      </c>
    </row>
    <row r="110">
      <c r="A110" s="4" t="n"/>
      <c r="B110" s="5" t="n"/>
      <c r="C110" s="5" t="n"/>
      <c r="D110" s="5" t="n"/>
      <c r="E110" s="5" t="n"/>
      <c r="F110" s="5" t="n"/>
      <c r="G110" s="5" t="n"/>
      <c r="H110" s="5">
        <f>IF(A110="","",SUM(B110:G110))</f>
        <v/>
      </c>
      <c r="I110" s="5" t="n"/>
      <c r="J110" s="5">
        <f>IF(OR(A110="",I110=""),"",IFERROR(H110/I110,0))</f>
        <v/>
      </c>
      <c r="K110" s="6">
        <f>IF(A110="","",IFERROR(H110/SUM($H$6:$H$115),0))</f>
        <v/>
      </c>
    </row>
    <row r="111">
      <c r="A111" s="7" t="n"/>
      <c r="B111" s="8" t="n"/>
      <c r="C111" s="8" t="n"/>
      <c r="D111" s="8" t="n"/>
      <c r="E111" s="8" t="n"/>
      <c r="F111" s="8" t="n"/>
      <c r="G111" s="8" t="n"/>
      <c r="H111" s="8">
        <f>IF(A111="","",SUM(B111:G111))</f>
        <v/>
      </c>
      <c r="I111" s="8" t="n"/>
      <c r="J111" s="8">
        <f>IF(OR(A111="",I111=""),"",IFERROR(H111/I111,0))</f>
        <v/>
      </c>
      <c r="K111" s="9">
        <f>IF(A111="","",IFERROR(H111/SUM($H$6:$H$115),0))</f>
        <v/>
      </c>
    </row>
    <row r="112">
      <c r="A112" s="4" t="n"/>
      <c r="B112" s="5" t="n"/>
      <c r="C112" s="5" t="n"/>
      <c r="D112" s="5" t="n"/>
      <c r="E112" s="5" t="n"/>
      <c r="F112" s="5" t="n"/>
      <c r="G112" s="5" t="n"/>
      <c r="H112" s="5">
        <f>IF(A112="","",SUM(B112:G112))</f>
        <v/>
      </c>
      <c r="I112" s="5" t="n"/>
      <c r="J112" s="5">
        <f>IF(OR(A112="",I112=""),"",IFERROR(H112/I112,0))</f>
        <v/>
      </c>
      <c r="K112" s="6">
        <f>IF(A112="","",IFERROR(H112/SUM($H$6:$H$115),0))</f>
        <v/>
      </c>
    </row>
    <row r="113">
      <c r="A113" s="7" t="n"/>
      <c r="B113" s="8" t="n"/>
      <c r="C113" s="8" t="n"/>
      <c r="D113" s="8" t="n"/>
      <c r="E113" s="8" t="n"/>
      <c r="F113" s="8" t="n"/>
      <c r="G113" s="8" t="n"/>
      <c r="H113" s="8">
        <f>IF(A113="","",SUM(B113:G113))</f>
        <v/>
      </c>
      <c r="I113" s="8" t="n"/>
      <c r="J113" s="8">
        <f>IF(OR(A113="",I113=""),"",IFERROR(H113/I113,0))</f>
        <v/>
      </c>
      <c r="K113" s="9">
        <f>IF(A113="","",IFERROR(H113/SUM($H$6:$H$115),0))</f>
        <v/>
      </c>
    </row>
    <row r="114">
      <c r="A114" s="4" t="n"/>
      <c r="B114" s="5" t="n"/>
      <c r="C114" s="5" t="n"/>
      <c r="D114" s="5" t="n"/>
      <c r="E114" s="5" t="n"/>
      <c r="F114" s="5" t="n"/>
      <c r="G114" s="5" t="n"/>
      <c r="H114" s="5">
        <f>IF(A114="","",SUM(B114:G114))</f>
        <v/>
      </c>
      <c r="I114" s="5" t="n"/>
      <c r="J114" s="5">
        <f>IF(OR(A114="",I114=""),"",IFERROR(H114/I114,0))</f>
        <v/>
      </c>
      <c r="K114" s="6">
        <f>IF(A114="","",IFERROR(H114/SUM($H$6:$H$115),0))</f>
        <v/>
      </c>
    </row>
    <row r="115">
      <c r="A115" s="7" t="n"/>
      <c r="B115" s="8" t="n"/>
      <c r="C115" s="8" t="n"/>
      <c r="D115" s="8" t="n"/>
      <c r="E115" s="8" t="n"/>
      <c r="F115" s="8" t="n"/>
      <c r="G115" s="8" t="n"/>
      <c r="H115" s="8">
        <f>IF(A115="","",SUM(B115:G115))</f>
        <v/>
      </c>
      <c r="I115" s="8" t="n"/>
      <c r="J115" s="8">
        <f>IF(OR(A115="",I115=""),"",IFERROR(H115/I115,0))</f>
        <v/>
      </c>
      <c r="K115" s="9">
        <f>IF(A115="","",IFERROR(H115/SUM($H$6:$H$115),0))</f>
        <v/>
      </c>
    </row>
  </sheetData>
  <mergeCells count="2">
    <mergeCell ref="A3:P3"/>
    <mergeCell ref="A2:P2"/>
  </mergeCells>
  <dataValidations count="1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_Lists'!$B$6:$B$35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FA8DA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4" customWidth="1" min="4" max="4"/>
    <col width="22" customWidth="1" min="5" max="5"/>
    <col width="22" customWidth="1" min="6" max="6"/>
    <col width="18" customWidth="1" min="7" max="7"/>
    <col width="20" customWidth="1" min="8" max="8"/>
    <col width="14" customWidth="1" min="9" max="9"/>
    <col width="28" customWidth="1" min="10" max="10"/>
  </cols>
  <sheetData>
    <row r="2" ht="25" customHeight="1">
      <c r="A2" s="1" t="inlineStr">
        <is>
          <t>DOMAINE 26 — 16-SIMULATIONS FISCALES</t>
        </is>
      </c>
    </row>
    <row r="3" ht="18" customHeight="1">
      <c r="A3" s="2" t="inlineStr">
        <is>
          <t>TABLEAU DYNAMIQUE — Modélisation d'impacts budgétaires et fiscaux</t>
        </is>
      </c>
    </row>
    <row r="5">
      <c r="A5" s="3" t="inlineStr">
        <is>
          <t>Scénario</t>
        </is>
      </c>
      <c r="B5" s="3" t="inlineStr">
        <is>
          <t>Variable Modifiée</t>
        </is>
      </c>
      <c r="C5" s="3" t="inlineStr">
        <is>
          <t>Valeur Base</t>
        </is>
      </c>
      <c r="D5" s="3" t="inlineStr">
        <is>
          <t>Valeur Simulée</t>
        </is>
      </c>
      <c r="E5" s="3" t="inlineStr">
        <is>
          <t>Impact Masse Sal. (FCFA)</t>
        </is>
      </c>
      <c r="F5" s="3" t="inlineStr">
        <is>
          <t>Impact Charges Patr. (FCFA)</t>
        </is>
      </c>
      <c r="G5" s="3" t="inlineStr">
        <is>
          <t>Impact Fiscal (FCFA)</t>
        </is>
      </c>
      <c r="H5" s="3" t="inlineStr">
        <is>
          <t>Impact Total (FCFA)</t>
        </is>
      </c>
      <c r="I5" s="3" t="inlineStr">
        <is>
          <t>Économie/Perte</t>
        </is>
      </c>
      <c r="J5" s="3" t="inlineStr">
        <is>
          <t>Recommandation</t>
        </is>
      </c>
    </row>
    <row r="6">
      <c r="A6" s="4" t="inlineStr">
        <is>
          <t>Scenario A</t>
        </is>
      </c>
      <c r="B6" s="4" t="inlineStr">
        <is>
          <t>Augmentation générale 5%</t>
        </is>
      </c>
      <c r="C6" s="4" t="inlineStr">
        <is>
          <t>128500000</t>
        </is>
      </c>
      <c r="D6" s="4" t="n">
        <v>134925000</v>
      </c>
      <c r="E6" s="5" t="n">
        <v>6425000</v>
      </c>
      <c r="F6" s="5" t="n">
        <v>1927500</v>
      </c>
      <c r="G6" s="5" t="n">
        <v>1927500</v>
      </c>
      <c r="H6" s="5">
        <f>E6+F6+G6</f>
        <v/>
      </c>
      <c r="I6" s="4">
        <f>IF(H6&lt;0,"Économie","Perte")</f>
        <v/>
      </c>
      <c r="J6" s="4" t="inlineStr">
        <is>
          <t>Budget à réviser +10M</t>
        </is>
      </c>
    </row>
    <row r="7">
      <c r="A7" s="7" t="inlineStr">
        <is>
          <t>Scenario B</t>
        </is>
      </c>
      <c r="B7" s="7" t="inlineStr">
        <is>
          <t>Réduction effectif -5%</t>
        </is>
      </c>
      <c r="C7" s="7" t="inlineStr">
        <is>
          <t>154</t>
        </is>
      </c>
      <c r="D7" s="7" t="n">
        <v>146</v>
      </c>
      <c r="E7" s="8" t="n">
        <v>-4250000</v>
      </c>
      <c r="F7" s="8" t="n">
        <v>-1275000</v>
      </c>
      <c r="G7" s="8" t="n">
        <v>-1275000</v>
      </c>
      <c r="H7" s="8">
        <f>E7+F7+G7</f>
        <v/>
      </c>
      <c r="I7" s="7">
        <f>IF(H7&lt;0,"Économie","Perte")</f>
        <v/>
      </c>
      <c r="J7" s="7" t="inlineStr">
        <is>
          <t>Économie ~8M/an</t>
        </is>
      </c>
    </row>
    <row r="8">
      <c r="A8" s="4" t="inlineStr">
        <is>
          <t>Scenario C</t>
        </is>
      </c>
      <c r="B8" s="4" t="inlineStr">
        <is>
          <t>Reclassification cadres</t>
        </is>
      </c>
      <c r="C8" s="4" t="inlineStr">
        <is>
          <t>15</t>
        </is>
      </c>
      <c r="D8" s="4" t="n">
        <v>20</v>
      </c>
      <c r="E8" s="5" t="n">
        <v>3000000</v>
      </c>
      <c r="F8" s="5" t="n">
        <v>900000</v>
      </c>
      <c r="G8" s="5" t="n">
        <v>1200000</v>
      </c>
      <c r="H8" s="5">
        <f>E8+F8+G8</f>
        <v/>
      </c>
      <c r="I8" s="4">
        <f>IF(H8&lt;0,"Économie","Perte")</f>
        <v/>
      </c>
      <c r="J8" s="4" t="inlineStr">
        <is>
          <t>Suivi fiscal renforcé</t>
        </is>
      </c>
    </row>
    <row r="9">
      <c r="A9" s="7" t="inlineStr">
        <is>
          <t>Scenario D</t>
        </is>
      </c>
      <c r="B9" s="7" t="inlineStr">
        <is>
          <t>Externalisation sécurité</t>
        </is>
      </c>
      <c r="C9" s="7" t="inlineStr">
        <is>
          <t>15 agents</t>
        </is>
      </c>
      <c r="D9" s="7" t="inlineStr">
        <is>
          <t>8 agents + prestataire</t>
        </is>
      </c>
      <c r="E9" s="8" t="n">
        <v>-4200000</v>
      </c>
      <c r="F9" s="8" t="n">
        <v>-1260000</v>
      </c>
      <c r="G9" s="8" t="n">
        <v>0</v>
      </c>
      <c r="H9" s="8">
        <f>E9+F9+G9</f>
        <v/>
      </c>
      <c r="I9" s="7">
        <f>IF(H9&lt;0,"Économie","Perte")</f>
        <v/>
      </c>
      <c r="J9" s="7" t="inlineStr">
        <is>
          <t>Gain net ~6M/an</t>
        </is>
      </c>
    </row>
    <row r="10">
      <c r="A10" s="4" t="inlineStr">
        <is>
          <t>Scenario E</t>
        </is>
      </c>
      <c r="B10" s="4" t="inlineStr">
        <is>
          <t>Mise en place télétravail</t>
        </is>
      </c>
      <c r="C10" s="4" t="inlineStr">
        <is>
          <t>0 télétravailleurs</t>
        </is>
      </c>
      <c r="D10" s="4" t="inlineStr">
        <is>
          <t>30 télétravailleurs</t>
        </is>
      </c>
      <c r="E10" s="5" t="n">
        <v>-1500000</v>
      </c>
      <c r="F10" s="5" t="n">
        <v>0</v>
      </c>
      <c r="G10" s="5" t="n">
        <v>-200000</v>
      </c>
      <c r="H10" s="5">
        <f>E10+F10+G10</f>
        <v/>
      </c>
      <c r="I10" s="4">
        <f>IF(H10&lt;0,"Économie","Perte")</f>
        <v/>
      </c>
      <c r="J10" s="4" t="inlineStr">
        <is>
          <t>Réduction charges locatives</t>
        </is>
      </c>
    </row>
    <row r="11">
      <c r="A11" s="7" t="inlineStr">
        <is>
          <t>Scenario F</t>
        </is>
      </c>
      <c r="B11" s="7" t="inlineStr">
        <is>
          <t>Augmentation SMIG 10%</t>
        </is>
      </c>
      <c r="C11" s="7" t="inlineStr">
        <is>
          <t>41584 FCFA</t>
        </is>
      </c>
      <c r="D11" s="7" t="inlineStr">
        <is>
          <t>45742 FCFA</t>
        </is>
      </c>
      <c r="E11" s="8" t="n">
        <v>8000000</v>
      </c>
      <c r="F11" s="8" t="n">
        <v>2400000</v>
      </c>
      <c r="G11" s="8" t="n">
        <v>2000000</v>
      </c>
      <c r="H11" s="8">
        <f>E11+F11+G11</f>
        <v/>
      </c>
      <c r="I11" s="7">
        <f>IF(H11&lt;0,"Économie","Perte")</f>
        <v/>
      </c>
      <c r="J11" s="7" t="inlineStr">
        <is>
          <t>Impact significatif CAT</t>
        </is>
      </c>
    </row>
    <row r="12">
      <c r="A12" s="4" t="inlineStr">
        <is>
          <t>Scenario G</t>
        </is>
      </c>
      <c r="B12" s="4" t="inlineStr">
        <is>
          <t>Crédit impôt formation</t>
        </is>
      </c>
      <c r="C12" s="4" t="inlineStr">
        <is>
          <t>1.6%</t>
        </is>
      </c>
      <c r="D12" s="4" t="inlineStr">
        <is>
          <t>1.6% + crédit 15%</t>
        </is>
      </c>
      <c r="E12" s="5" t="n">
        <v>0</v>
      </c>
      <c r="F12" s="5" t="n">
        <v>0</v>
      </c>
      <c r="G12" s="5" t="n">
        <v>-1200000</v>
      </c>
      <c r="H12" s="5">
        <f>E12+F12+G12</f>
        <v/>
      </c>
      <c r="I12" s="4">
        <f>IF(H12&lt;0,"Économie","Perte")</f>
        <v/>
      </c>
      <c r="J12" s="4" t="inlineStr">
        <is>
          <t>Déclaration spécifique requise</t>
        </is>
      </c>
    </row>
    <row r="13">
      <c r="A13" s="7" t="n"/>
      <c r="B13" s="7" t="n"/>
      <c r="C13" s="7" t="n"/>
      <c r="D13" s="7" t="n"/>
      <c r="E13" s="8" t="n"/>
      <c r="F13" s="8" t="n"/>
      <c r="G13" s="8" t="n"/>
      <c r="H13" s="8">
        <f>IF(A13="","",E13+F13+G13)</f>
        <v/>
      </c>
      <c r="I13" s="7">
        <f>IF(A13="","",IF(H13&lt;0,"Économie","Perte"))</f>
        <v/>
      </c>
      <c r="J13" s="7" t="n"/>
    </row>
    <row r="14">
      <c r="A14" s="4" t="n"/>
      <c r="B14" s="4" t="n"/>
      <c r="C14" s="4" t="n"/>
      <c r="D14" s="4" t="n"/>
      <c r="E14" s="5" t="n"/>
      <c r="F14" s="5" t="n"/>
      <c r="G14" s="5" t="n"/>
      <c r="H14" s="5">
        <f>IF(A14="","",E14+F14+G14)</f>
        <v/>
      </c>
      <c r="I14" s="4">
        <f>IF(A14="","",IF(H14&lt;0,"Économie","Perte"))</f>
        <v/>
      </c>
      <c r="J14" s="4" t="n"/>
    </row>
    <row r="15">
      <c r="A15" s="7" t="n"/>
      <c r="B15" s="7" t="n"/>
      <c r="C15" s="7" t="n"/>
      <c r="D15" s="7" t="n"/>
      <c r="E15" s="8" t="n"/>
      <c r="F15" s="8" t="n"/>
      <c r="G15" s="8" t="n"/>
      <c r="H15" s="8">
        <f>IF(A15="","",E15+F15+G15)</f>
        <v/>
      </c>
      <c r="I15" s="7">
        <f>IF(A15="","",IF(H15&lt;0,"Économie","Perte"))</f>
        <v/>
      </c>
      <c r="J15" s="7" t="n"/>
    </row>
    <row r="16">
      <c r="A16" s="4" t="n"/>
      <c r="B16" s="4" t="n"/>
      <c r="C16" s="4" t="n"/>
      <c r="D16" s="4" t="n"/>
      <c r="E16" s="5" t="n"/>
      <c r="F16" s="5" t="n"/>
      <c r="G16" s="5" t="n"/>
      <c r="H16" s="5">
        <f>IF(A16="","",E16+F16+G16)</f>
        <v/>
      </c>
      <c r="I16" s="4">
        <f>IF(A16="","",IF(H16&lt;0,"Économie","Perte"))</f>
        <v/>
      </c>
      <c r="J16" s="4" t="n"/>
    </row>
    <row r="17">
      <c r="A17" s="7" t="n"/>
      <c r="B17" s="7" t="n"/>
      <c r="C17" s="7" t="n"/>
      <c r="D17" s="7" t="n"/>
      <c r="E17" s="8" t="n"/>
      <c r="F17" s="8" t="n"/>
      <c r="G17" s="8" t="n"/>
      <c r="H17" s="8">
        <f>IF(A17="","",E17+F17+G17)</f>
        <v/>
      </c>
      <c r="I17" s="7">
        <f>IF(A17="","",IF(H17&lt;0,"Économie","Perte"))</f>
        <v/>
      </c>
      <c r="J17" s="7" t="n"/>
    </row>
    <row r="18">
      <c r="A18" s="4" t="n"/>
      <c r="B18" s="4" t="n"/>
      <c r="C18" s="4" t="n"/>
      <c r="D18" s="4" t="n"/>
      <c r="E18" s="5" t="n"/>
      <c r="F18" s="5" t="n"/>
      <c r="G18" s="5" t="n"/>
      <c r="H18" s="5">
        <f>IF(A18="","",E18+F18+G18)</f>
        <v/>
      </c>
      <c r="I18" s="4">
        <f>IF(A18="","",IF(H18&lt;0,"Économie","Perte"))</f>
        <v/>
      </c>
      <c r="J18" s="4" t="n"/>
    </row>
    <row r="19">
      <c r="A19" s="7" t="n"/>
      <c r="B19" s="7" t="n"/>
      <c r="C19" s="7" t="n"/>
      <c r="D19" s="7" t="n"/>
      <c r="E19" s="8" t="n"/>
      <c r="F19" s="8" t="n"/>
      <c r="G19" s="8" t="n"/>
      <c r="H19" s="8">
        <f>IF(A19="","",E19+F19+G19)</f>
        <v/>
      </c>
      <c r="I19" s="7">
        <f>IF(A19="","",IF(H19&lt;0,"Économie","Perte"))</f>
        <v/>
      </c>
      <c r="J19" s="7" t="n"/>
    </row>
    <row r="20">
      <c r="A20" s="4" t="n"/>
      <c r="B20" s="4" t="n"/>
      <c r="C20" s="4" t="n"/>
      <c r="D20" s="4" t="n"/>
      <c r="E20" s="5" t="n"/>
      <c r="F20" s="5" t="n"/>
      <c r="G20" s="5" t="n"/>
      <c r="H20" s="5">
        <f>IF(A20="","",E20+F20+G20)</f>
        <v/>
      </c>
      <c r="I20" s="4">
        <f>IF(A20="","",IF(H20&lt;0,"Économie","Perte"))</f>
        <v/>
      </c>
      <c r="J20" s="4" t="n"/>
    </row>
    <row r="21">
      <c r="A21" s="7" t="n"/>
      <c r="B21" s="7" t="n"/>
      <c r="C21" s="7" t="n"/>
      <c r="D21" s="7" t="n"/>
      <c r="E21" s="8" t="n"/>
      <c r="F21" s="8" t="n"/>
      <c r="G21" s="8" t="n"/>
      <c r="H21" s="8">
        <f>IF(A21="","",E21+F21+G21)</f>
        <v/>
      </c>
      <c r="I21" s="7">
        <f>IF(A21="","",IF(H21&lt;0,"Économie","Perte"))</f>
        <v/>
      </c>
      <c r="J21" s="7" t="n"/>
    </row>
    <row r="22">
      <c r="A22" s="4" t="n"/>
      <c r="B22" s="4" t="n"/>
      <c r="C22" s="4" t="n"/>
      <c r="D22" s="4" t="n"/>
      <c r="E22" s="5" t="n"/>
      <c r="F22" s="5" t="n"/>
      <c r="G22" s="5" t="n"/>
      <c r="H22" s="5">
        <f>IF(A22="","",E22+F22+G22)</f>
        <v/>
      </c>
      <c r="I22" s="4">
        <f>IF(A22="","",IF(H22&lt;0,"Économie","Perte"))</f>
        <v/>
      </c>
      <c r="J22" s="4" t="n"/>
    </row>
    <row r="23">
      <c r="A23" s="7" t="n"/>
      <c r="B23" s="7" t="n"/>
      <c r="C23" s="7" t="n"/>
      <c r="D23" s="7" t="n"/>
      <c r="E23" s="8" t="n"/>
      <c r="F23" s="8" t="n"/>
      <c r="G23" s="8" t="n"/>
      <c r="H23" s="8">
        <f>IF(A23="","",E23+F23+G23)</f>
        <v/>
      </c>
      <c r="I23" s="7">
        <f>IF(A23="","",IF(H23&lt;0,"Économie","Perte"))</f>
        <v/>
      </c>
      <c r="J23" s="7" t="n"/>
    </row>
    <row r="24">
      <c r="A24" s="4" t="n"/>
      <c r="B24" s="4" t="n"/>
      <c r="C24" s="4" t="n"/>
      <c r="D24" s="4" t="n"/>
      <c r="E24" s="5" t="n"/>
      <c r="F24" s="5" t="n"/>
      <c r="G24" s="5" t="n"/>
      <c r="H24" s="5">
        <f>IF(A24="","",E24+F24+G24)</f>
        <v/>
      </c>
      <c r="I24" s="4">
        <f>IF(A24="","",IF(H24&lt;0,"Économie","Perte"))</f>
        <v/>
      </c>
      <c r="J24" s="4" t="n"/>
    </row>
    <row r="25">
      <c r="A25" s="7" t="n"/>
      <c r="B25" s="7" t="n"/>
      <c r="C25" s="7" t="n"/>
      <c r="D25" s="7" t="n"/>
      <c r="E25" s="8" t="n"/>
      <c r="F25" s="8" t="n"/>
      <c r="G25" s="8" t="n"/>
      <c r="H25" s="8">
        <f>IF(A25="","",E25+F25+G25)</f>
        <v/>
      </c>
      <c r="I25" s="7">
        <f>IF(A25="","",IF(H25&lt;0,"Économie","Perte"))</f>
        <v/>
      </c>
      <c r="J25" s="7" t="n"/>
    </row>
    <row r="26">
      <c r="A26" s="4" t="n"/>
      <c r="B26" s="4" t="n"/>
      <c r="C26" s="4" t="n"/>
      <c r="D26" s="4" t="n"/>
      <c r="E26" s="5" t="n"/>
      <c r="F26" s="5" t="n"/>
      <c r="G26" s="5" t="n"/>
      <c r="H26" s="5">
        <f>IF(A26="","",E26+F26+G26)</f>
        <v/>
      </c>
      <c r="I26" s="4">
        <f>IF(A26="","",IF(H26&lt;0,"Économie","Perte"))</f>
        <v/>
      </c>
      <c r="J26" s="4" t="n"/>
    </row>
    <row r="27">
      <c r="A27" s="7" t="n"/>
      <c r="B27" s="7" t="n"/>
      <c r="C27" s="7" t="n"/>
      <c r="D27" s="7" t="n"/>
      <c r="E27" s="8" t="n"/>
      <c r="F27" s="8" t="n"/>
      <c r="G27" s="8" t="n"/>
      <c r="H27" s="8">
        <f>IF(A27="","",E27+F27+G27)</f>
        <v/>
      </c>
      <c r="I27" s="7">
        <f>IF(A27="","",IF(H27&lt;0,"Économie","Perte"))</f>
        <v/>
      </c>
      <c r="J27" s="7" t="n"/>
    </row>
    <row r="28">
      <c r="A28" s="4" t="n"/>
      <c r="B28" s="4" t="n"/>
      <c r="C28" s="4" t="n"/>
      <c r="D28" s="4" t="n"/>
      <c r="E28" s="5" t="n"/>
      <c r="F28" s="5" t="n"/>
      <c r="G28" s="5" t="n"/>
      <c r="H28" s="5">
        <f>IF(A28="","",E28+F28+G28)</f>
        <v/>
      </c>
      <c r="I28" s="4">
        <f>IF(A28="","",IF(H28&lt;0,"Économie","Perte"))</f>
        <v/>
      </c>
      <c r="J28" s="4" t="n"/>
    </row>
    <row r="29">
      <c r="A29" s="7" t="n"/>
      <c r="B29" s="7" t="n"/>
      <c r="C29" s="7" t="n"/>
      <c r="D29" s="7" t="n"/>
      <c r="E29" s="8" t="n"/>
      <c r="F29" s="8" t="n"/>
      <c r="G29" s="8" t="n"/>
      <c r="H29" s="8">
        <f>IF(A29="","",E29+F29+G29)</f>
        <v/>
      </c>
      <c r="I29" s="7">
        <f>IF(A29="","",IF(H29&lt;0,"Économie","Perte"))</f>
        <v/>
      </c>
      <c r="J29" s="7" t="n"/>
    </row>
    <row r="30">
      <c r="A30" s="4" t="n"/>
      <c r="B30" s="4" t="n"/>
      <c r="C30" s="4" t="n"/>
      <c r="D30" s="4" t="n"/>
      <c r="E30" s="5" t="n"/>
      <c r="F30" s="5" t="n"/>
      <c r="G30" s="5" t="n"/>
      <c r="H30" s="5">
        <f>IF(A30="","",E30+F30+G30)</f>
        <v/>
      </c>
      <c r="I30" s="4">
        <f>IF(A30="","",IF(H30&lt;0,"Économie","Perte"))</f>
        <v/>
      </c>
      <c r="J30" s="4" t="n"/>
    </row>
    <row r="31">
      <c r="A31" s="7" t="n"/>
      <c r="B31" s="7" t="n"/>
      <c r="C31" s="7" t="n"/>
      <c r="D31" s="7" t="n"/>
      <c r="E31" s="8" t="n"/>
      <c r="F31" s="8" t="n"/>
      <c r="G31" s="8" t="n"/>
      <c r="H31" s="8">
        <f>IF(A31="","",E31+F31+G31)</f>
        <v/>
      </c>
      <c r="I31" s="7">
        <f>IF(A31="","",IF(H31&lt;0,"Économie","Perte"))</f>
        <v/>
      </c>
      <c r="J31" s="7" t="n"/>
    </row>
    <row r="32">
      <c r="A32" s="4" t="n"/>
      <c r="B32" s="4" t="n"/>
      <c r="C32" s="4" t="n"/>
      <c r="D32" s="4" t="n"/>
      <c r="E32" s="5" t="n"/>
      <c r="F32" s="5" t="n"/>
      <c r="G32" s="5" t="n"/>
      <c r="H32" s="5">
        <f>IF(A32="","",E32+F32+G32)</f>
        <v/>
      </c>
      <c r="I32" s="4">
        <f>IF(A32="","",IF(H32&lt;0,"Économie","Perte"))</f>
        <v/>
      </c>
      <c r="J32" s="4" t="n"/>
    </row>
    <row r="33">
      <c r="A33" s="7" t="n"/>
      <c r="B33" s="7" t="n"/>
      <c r="C33" s="7" t="n"/>
      <c r="D33" s="7" t="n"/>
      <c r="E33" s="8" t="n"/>
      <c r="F33" s="8" t="n"/>
      <c r="G33" s="8" t="n"/>
      <c r="H33" s="8">
        <f>IF(A33="","",E33+F33+G33)</f>
        <v/>
      </c>
      <c r="I33" s="7">
        <f>IF(A33="","",IF(H33&lt;0,"Économie","Perte"))</f>
        <v/>
      </c>
      <c r="J33" s="7" t="n"/>
    </row>
    <row r="34">
      <c r="A34" s="4" t="n"/>
      <c r="B34" s="4" t="n"/>
      <c r="C34" s="4" t="n"/>
      <c r="D34" s="4" t="n"/>
      <c r="E34" s="5" t="n"/>
      <c r="F34" s="5" t="n"/>
      <c r="G34" s="5" t="n"/>
      <c r="H34" s="5">
        <f>IF(A34="","",E34+F34+G34)</f>
        <v/>
      </c>
      <c r="I34" s="4">
        <f>IF(A34="","",IF(H34&lt;0,"Économie","Perte"))</f>
        <v/>
      </c>
      <c r="J34" s="4" t="n"/>
    </row>
    <row r="35">
      <c r="A35" s="7" t="n"/>
      <c r="B35" s="7" t="n"/>
      <c r="C35" s="7" t="n"/>
      <c r="D35" s="7" t="n"/>
      <c r="E35" s="8" t="n"/>
      <c r="F35" s="8" t="n"/>
      <c r="G35" s="8" t="n"/>
      <c r="H35" s="8">
        <f>IF(A35="","",E35+F35+G35)</f>
        <v/>
      </c>
      <c r="I35" s="7">
        <f>IF(A35="","",IF(H35&lt;0,"Économie","Perte"))</f>
        <v/>
      </c>
      <c r="J35" s="7" t="n"/>
    </row>
    <row r="36">
      <c r="A36" s="4" t="n"/>
      <c r="B36" s="4" t="n"/>
      <c r="C36" s="4" t="n"/>
      <c r="D36" s="4" t="n"/>
      <c r="E36" s="5" t="n"/>
      <c r="F36" s="5" t="n"/>
      <c r="G36" s="5" t="n"/>
      <c r="H36" s="5">
        <f>IF(A36="","",E36+F36+G36)</f>
        <v/>
      </c>
      <c r="I36" s="4">
        <f>IF(A36="","",IF(H36&lt;0,"Économie","Perte"))</f>
        <v/>
      </c>
      <c r="J36" s="4" t="n"/>
    </row>
    <row r="37">
      <c r="A37" s="7" t="n"/>
      <c r="B37" s="7" t="n"/>
      <c r="C37" s="7" t="n"/>
      <c r="D37" s="7" t="n"/>
      <c r="E37" s="8" t="n"/>
      <c r="F37" s="8" t="n"/>
      <c r="G37" s="8" t="n"/>
      <c r="H37" s="8">
        <f>IF(A37="","",E37+F37+G37)</f>
        <v/>
      </c>
      <c r="I37" s="7">
        <f>IF(A37="","",IF(H37&lt;0,"Économie","Perte"))</f>
        <v/>
      </c>
      <c r="J37" s="7" t="n"/>
    </row>
    <row r="38">
      <c r="A38" s="4" t="n"/>
      <c r="B38" s="4" t="n"/>
      <c r="C38" s="4" t="n"/>
      <c r="D38" s="4" t="n"/>
      <c r="E38" s="5" t="n"/>
      <c r="F38" s="5" t="n"/>
      <c r="G38" s="5" t="n"/>
      <c r="H38" s="5">
        <f>IF(A38="","",E38+F38+G38)</f>
        <v/>
      </c>
      <c r="I38" s="4">
        <f>IF(A38="","",IF(H38&lt;0,"Économie","Perte"))</f>
        <v/>
      </c>
      <c r="J38" s="4" t="n"/>
    </row>
    <row r="39">
      <c r="A39" s="7" t="n"/>
      <c r="B39" s="7" t="n"/>
      <c r="C39" s="7" t="n"/>
      <c r="D39" s="7" t="n"/>
      <c r="E39" s="8" t="n"/>
      <c r="F39" s="8" t="n"/>
      <c r="G39" s="8" t="n"/>
      <c r="H39" s="8">
        <f>IF(A39="","",E39+F39+G39)</f>
        <v/>
      </c>
      <c r="I39" s="7">
        <f>IF(A39="","",IF(H39&lt;0,"Économie","Perte"))</f>
        <v/>
      </c>
      <c r="J39" s="7" t="n"/>
    </row>
    <row r="40">
      <c r="A40" s="4" t="n"/>
      <c r="B40" s="4" t="n"/>
      <c r="C40" s="4" t="n"/>
      <c r="D40" s="4" t="n"/>
      <c r="E40" s="5" t="n"/>
      <c r="F40" s="5" t="n"/>
      <c r="G40" s="5" t="n"/>
      <c r="H40" s="5">
        <f>IF(A40="","",E40+F40+G40)</f>
        <v/>
      </c>
      <c r="I40" s="4">
        <f>IF(A40="","",IF(H40&lt;0,"Économie","Perte"))</f>
        <v/>
      </c>
      <c r="J40" s="4" t="n"/>
    </row>
    <row r="41">
      <c r="A41" s="7" t="n"/>
      <c r="B41" s="7" t="n"/>
      <c r="C41" s="7" t="n"/>
      <c r="D41" s="7" t="n"/>
      <c r="E41" s="8" t="n"/>
      <c r="F41" s="8" t="n"/>
      <c r="G41" s="8" t="n"/>
      <c r="H41" s="8">
        <f>IF(A41="","",E41+F41+G41)</f>
        <v/>
      </c>
      <c r="I41" s="7">
        <f>IF(A41="","",IF(H41&lt;0,"Économie","Perte"))</f>
        <v/>
      </c>
      <c r="J41" s="7" t="n"/>
    </row>
    <row r="42">
      <c r="A42" s="4" t="n"/>
      <c r="B42" s="4" t="n"/>
      <c r="C42" s="4" t="n"/>
      <c r="D42" s="4" t="n"/>
      <c r="E42" s="5" t="n"/>
      <c r="F42" s="5" t="n"/>
      <c r="G42" s="5" t="n"/>
      <c r="H42" s="5">
        <f>IF(A42="","",E42+F42+G42)</f>
        <v/>
      </c>
      <c r="I42" s="4">
        <f>IF(A42="","",IF(H42&lt;0,"Économie","Perte"))</f>
        <v/>
      </c>
      <c r="J42" s="4" t="n"/>
    </row>
    <row r="43">
      <c r="A43" s="7" t="n"/>
      <c r="B43" s="7" t="n"/>
      <c r="C43" s="7" t="n"/>
      <c r="D43" s="7" t="n"/>
      <c r="E43" s="8" t="n"/>
      <c r="F43" s="8" t="n"/>
      <c r="G43" s="8" t="n"/>
      <c r="H43" s="8">
        <f>IF(A43="","",E43+F43+G43)</f>
        <v/>
      </c>
      <c r="I43" s="7">
        <f>IF(A43="","",IF(H43&lt;0,"Économie","Perte"))</f>
        <v/>
      </c>
      <c r="J43" s="7" t="n"/>
    </row>
    <row r="44">
      <c r="A44" s="4" t="n"/>
      <c r="B44" s="4" t="n"/>
      <c r="C44" s="4" t="n"/>
      <c r="D44" s="4" t="n"/>
      <c r="E44" s="5" t="n"/>
      <c r="F44" s="5" t="n"/>
      <c r="G44" s="5" t="n"/>
      <c r="H44" s="5">
        <f>IF(A44="","",E44+F44+G44)</f>
        <v/>
      </c>
      <c r="I44" s="4">
        <f>IF(A44="","",IF(H44&lt;0,"Économie","Perte"))</f>
        <v/>
      </c>
      <c r="J44" s="4" t="n"/>
    </row>
    <row r="45">
      <c r="A45" s="7" t="n"/>
      <c r="B45" s="7" t="n"/>
      <c r="C45" s="7" t="n"/>
      <c r="D45" s="7" t="n"/>
      <c r="E45" s="8" t="n"/>
      <c r="F45" s="8" t="n"/>
      <c r="G45" s="8" t="n"/>
      <c r="H45" s="8">
        <f>IF(A45="","",E45+F45+G45)</f>
        <v/>
      </c>
      <c r="I45" s="7">
        <f>IF(A45="","",IF(H45&lt;0,"Économie","Perte"))</f>
        <v/>
      </c>
      <c r="J45" s="7" t="n"/>
    </row>
    <row r="46">
      <c r="A46" s="4" t="n"/>
      <c r="B46" s="4" t="n"/>
      <c r="C46" s="4" t="n"/>
      <c r="D46" s="4" t="n"/>
      <c r="E46" s="5" t="n"/>
      <c r="F46" s="5" t="n"/>
      <c r="G46" s="5" t="n"/>
      <c r="H46" s="5">
        <f>IF(A46="","",E46+F46+G46)</f>
        <v/>
      </c>
      <c r="I46" s="4">
        <f>IF(A46="","",IF(H46&lt;0,"Économie","Perte"))</f>
        <v/>
      </c>
      <c r="J46" s="4" t="n"/>
    </row>
    <row r="47">
      <c r="A47" s="7" t="n"/>
      <c r="B47" s="7" t="n"/>
      <c r="C47" s="7" t="n"/>
      <c r="D47" s="7" t="n"/>
      <c r="E47" s="8" t="n"/>
      <c r="F47" s="8" t="n"/>
      <c r="G47" s="8" t="n"/>
      <c r="H47" s="8">
        <f>IF(A47="","",E47+F47+G47)</f>
        <v/>
      </c>
      <c r="I47" s="7">
        <f>IF(A47="","",IF(H47&lt;0,"Économie","Perte"))</f>
        <v/>
      </c>
      <c r="J47" s="7" t="n"/>
    </row>
    <row r="48">
      <c r="A48" s="4" t="n"/>
      <c r="B48" s="4" t="n"/>
      <c r="C48" s="4" t="n"/>
      <c r="D48" s="4" t="n"/>
      <c r="E48" s="5" t="n"/>
      <c r="F48" s="5" t="n"/>
      <c r="G48" s="5" t="n"/>
      <c r="H48" s="5">
        <f>IF(A48="","",E48+F48+G48)</f>
        <v/>
      </c>
      <c r="I48" s="4">
        <f>IF(A48="","",IF(H48&lt;0,"Économie","Perte"))</f>
        <v/>
      </c>
      <c r="J48" s="4" t="n"/>
    </row>
    <row r="49">
      <c r="A49" s="7" t="n"/>
      <c r="B49" s="7" t="n"/>
      <c r="C49" s="7" t="n"/>
      <c r="D49" s="7" t="n"/>
      <c r="E49" s="8" t="n"/>
      <c r="F49" s="8" t="n"/>
      <c r="G49" s="8" t="n"/>
      <c r="H49" s="8">
        <f>IF(A49="","",E49+F49+G49)</f>
        <v/>
      </c>
      <c r="I49" s="7">
        <f>IF(A49="","",IF(H49&lt;0,"Économie","Perte"))</f>
        <v/>
      </c>
      <c r="J49" s="7" t="n"/>
    </row>
    <row r="50">
      <c r="A50" s="4" t="n"/>
      <c r="B50" s="4" t="n"/>
      <c r="C50" s="4" t="n"/>
      <c r="D50" s="4" t="n"/>
      <c r="E50" s="5" t="n"/>
      <c r="F50" s="5" t="n"/>
      <c r="G50" s="5" t="n"/>
      <c r="H50" s="5">
        <f>IF(A50="","",E50+F50+G50)</f>
        <v/>
      </c>
      <c r="I50" s="4">
        <f>IF(A50="","",IF(H50&lt;0,"Économie","Perte"))</f>
        <v/>
      </c>
      <c r="J50" s="4" t="n"/>
    </row>
    <row r="51">
      <c r="A51" s="7" t="n"/>
      <c r="B51" s="7" t="n"/>
      <c r="C51" s="7" t="n"/>
      <c r="D51" s="7" t="n"/>
      <c r="E51" s="8" t="n"/>
      <c r="F51" s="8" t="n"/>
      <c r="G51" s="8" t="n"/>
      <c r="H51" s="8">
        <f>IF(A51="","",E51+F51+G51)</f>
        <v/>
      </c>
      <c r="I51" s="7">
        <f>IF(A51="","",IF(H51&lt;0,"Économie","Perte"))</f>
        <v/>
      </c>
      <c r="J51" s="7" t="n"/>
    </row>
    <row r="52">
      <c r="A52" s="4" t="n"/>
      <c r="B52" s="4" t="n"/>
      <c r="C52" s="4" t="n"/>
      <c r="D52" s="4" t="n"/>
      <c r="E52" s="5" t="n"/>
      <c r="F52" s="5" t="n"/>
      <c r="G52" s="5" t="n"/>
      <c r="H52" s="5">
        <f>IF(A52="","",E52+F52+G52)</f>
        <v/>
      </c>
      <c r="I52" s="4">
        <f>IF(A52="","",IF(H52&lt;0,"Économie","Perte"))</f>
        <v/>
      </c>
      <c r="J52" s="4" t="n"/>
    </row>
    <row r="53">
      <c r="A53" s="7" t="n"/>
      <c r="B53" s="7" t="n"/>
      <c r="C53" s="7" t="n"/>
      <c r="D53" s="7" t="n"/>
      <c r="E53" s="8" t="n"/>
      <c r="F53" s="8" t="n"/>
      <c r="G53" s="8" t="n"/>
      <c r="H53" s="8">
        <f>IF(A53="","",E53+F53+G53)</f>
        <v/>
      </c>
      <c r="I53" s="7">
        <f>IF(A53="","",IF(H53&lt;0,"Économie","Perte"))</f>
        <v/>
      </c>
      <c r="J53" s="7" t="n"/>
    </row>
    <row r="54">
      <c r="A54" s="4" t="n"/>
      <c r="B54" s="4" t="n"/>
      <c r="C54" s="4" t="n"/>
      <c r="D54" s="4" t="n"/>
      <c r="E54" s="5" t="n"/>
      <c r="F54" s="5" t="n"/>
      <c r="G54" s="5" t="n"/>
      <c r="H54" s="5">
        <f>IF(A54="","",E54+F54+G54)</f>
        <v/>
      </c>
      <c r="I54" s="4">
        <f>IF(A54="","",IF(H54&lt;0,"Économie","Perte"))</f>
        <v/>
      </c>
      <c r="J54" s="4" t="n"/>
    </row>
    <row r="55">
      <c r="A55" s="7" t="n"/>
      <c r="B55" s="7" t="n"/>
      <c r="C55" s="7" t="n"/>
      <c r="D55" s="7" t="n"/>
      <c r="E55" s="8" t="n"/>
      <c r="F55" s="8" t="n"/>
      <c r="G55" s="8" t="n"/>
      <c r="H55" s="8">
        <f>IF(A55="","",E55+F55+G55)</f>
        <v/>
      </c>
      <c r="I55" s="7">
        <f>IF(A55="","",IF(H55&lt;0,"Économie","Perte"))</f>
        <v/>
      </c>
      <c r="J55" s="7" t="n"/>
    </row>
    <row r="56">
      <c r="A56" s="4" t="n"/>
      <c r="B56" s="4" t="n"/>
      <c r="C56" s="4" t="n"/>
      <c r="D56" s="4" t="n"/>
      <c r="E56" s="5" t="n"/>
      <c r="F56" s="5" t="n"/>
      <c r="G56" s="5" t="n"/>
      <c r="H56" s="5">
        <f>IF(A56="","",E56+F56+G56)</f>
        <v/>
      </c>
      <c r="I56" s="4">
        <f>IF(A56="","",IF(H56&lt;0,"Économie","Perte"))</f>
        <v/>
      </c>
      <c r="J56" s="4" t="n"/>
    </row>
    <row r="57">
      <c r="A57" s="7" t="n"/>
      <c r="B57" s="7" t="n"/>
      <c r="C57" s="7" t="n"/>
      <c r="D57" s="7" t="n"/>
      <c r="E57" s="8" t="n"/>
      <c r="F57" s="8" t="n"/>
      <c r="G57" s="8" t="n"/>
      <c r="H57" s="8">
        <f>IF(A57="","",E57+F57+G57)</f>
        <v/>
      </c>
      <c r="I57" s="7">
        <f>IF(A57="","",IF(H57&lt;0,"Économie","Perte"))</f>
        <v/>
      </c>
      <c r="J57" s="7" t="n"/>
    </row>
    <row r="58">
      <c r="A58" s="4" t="n"/>
      <c r="B58" s="4" t="n"/>
      <c r="C58" s="4" t="n"/>
      <c r="D58" s="4" t="n"/>
      <c r="E58" s="5" t="n"/>
      <c r="F58" s="5" t="n"/>
      <c r="G58" s="5" t="n"/>
      <c r="H58" s="5">
        <f>IF(A58="","",E58+F58+G58)</f>
        <v/>
      </c>
      <c r="I58" s="4">
        <f>IF(A58="","",IF(H58&lt;0,"Économie","Perte"))</f>
        <v/>
      </c>
      <c r="J58" s="4" t="n"/>
    </row>
    <row r="59">
      <c r="A59" s="7" t="n"/>
      <c r="B59" s="7" t="n"/>
      <c r="C59" s="7" t="n"/>
      <c r="D59" s="7" t="n"/>
      <c r="E59" s="8" t="n"/>
      <c r="F59" s="8" t="n"/>
      <c r="G59" s="8" t="n"/>
      <c r="H59" s="8">
        <f>IF(A59="","",E59+F59+G59)</f>
        <v/>
      </c>
      <c r="I59" s="7">
        <f>IF(A59="","",IF(H59&lt;0,"Économie","Perte"))</f>
        <v/>
      </c>
      <c r="J59" s="7" t="n"/>
    </row>
    <row r="60">
      <c r="A60" s="4" t="n"/>
      <c r="B60" s="4" t="n"/>
      <c r="C60" s="4" t="n"/>
      <c r="D60" s="4" t="n"/>
      <c r="E60" s="5" t="n"/>
      <c r="F60" s="5" t="n"/>
      <c r="G60" s="5" t="n"/>
      <c r="H60" s="5">
        <f>IF(A60="","",E60+F60+G60)</f>
        <v/>
      </c>
      <c r="I60" s="4">
        <f>IF(A60="","",IF(H60&lt;0,"Économie","Perte"))</f>
        <v/>
      </c>
      <c r="J60" s="4" t="n"/>
    </row>
    <row r="61">
      <c r="A61" s="7" t="n"/>
      <c r="B61" s="7" t="n"/>
      <c r="C61" s="7" t="n"/>
      <c r="D61" s="7" t="n"/>
      <c r="E61" s="8" t="n"/>
      <c r="F61" s="8" t="n"/>
      <c r="G61" s="8" t="n"/>
      <c r="H61" s="8">
        <f>IF(A61="","",E61+F61+G61)</f>
        <v/>
      </c>
      <c r="I61" s="7">
        <f>IF(A61="","",IF(H61&lt;0,"Économie","Perte"))</f>
        <v/>
      </c>
      <c r="J61" s="7" t="n"/>
    </row>
    <row r="62">
      <c r="A62" s="4" t="n"/>
      <c r="B62" s="4" t="n"/>
      <c r="C62" s="4" t="n"/>
      <c r="D62" s="4" t="n"/>
      <c r="E62" s="5" t="n"/>
      <c r="F62" s="5" t="n"/>
      <c r="G62" s="5" t="n"/>
      <c r="H62" s="5">
        <f>IF(A62="","",E62+F62+G62)</f>
        <v/>
      </c>
      <c r="I62" s="4">
        <f>IF(A62="","",IF(H62&lt;0,"Économie","Perte"))</f>
        <v/>
      </c>
      <c r="J62" s="4" t="n"/>
    </row>
    <row r="63">
      <c r="A63" s="7" t="n"/>
      <c r="B63" s="7" t="n"/>
      <c r="C63" s="7" t="n"/>
      <c r="D63" s="7" t="n"/>
      <c r="E63" s="8" t="n"/>
      <c r="F63" s="8" t="n"/>
      <c r="G63" s="8" t="n"/>
      <c r="H63" s="8">
        <f>IF(A63="","",E63+F63+G63)</f>
        <v/>
      </c>
      <c r="I63" s="7">
        <f>IF(A63="","",IF(H63&lt;0,"Économie","Perte"))</f>
        <v/>
      </c>
      <c r="J63" s="7" t="n"/>
    </row>
    <row r="64">
      <c r="A64" s="4" t="n"/>
      <c r="B64" s="4" t="n"/>
      <c r="C64" s="4" t="n"/>
      <c r="D64" s="4" t="n"/>
      <c r="E64" s="5" t="n"/>
      <c r="F64" s="5" t="n"/>
      <c r="G64" s="5" t="n"/>
      <c r="H64" s="5">
        <f>IF(A64="","",E64+F64+G64)</f>
        <v/>
      </c>
      <c r="I64" s="4">
        <f>IF(A64="","",IF(H64&lt;0,"Économie","Perte"))</f>
        <v/>
      </c>
      <c r="J64" s="4" t="n"/>
    </row>
    <row r="65">
      <c r="A65" s="7" t="n"/>
      <c r="B65" s="7" t="n"/>
      <c r="C65" s="7" t="n"/>
      <c r="D65" s="7" t="n"/>
      <c r="E65" s="8" t="n"/>
      <c r="F65" s="8" t="n"/>
      <c r="G65" s="8" t="n"/>
      <c r="H65" s="8">
        <f>IF(A65="","",E65+F65+G65)</f>
        <v/>
      </c>
      <c r="I65" s="7">
        <f>IF(A65="","",IF(H65&lt;0,"Économie","Perte"))</f>
        <v/>
      </c>
      <c r="J65" s="7" t="n"/>
    </row>
    <row r="66">
      <c r="A66" s="4" t="n"/>
      <c r="B66" s="4" t="n"/>
      <c r="C66" s="4" t="n"/>
      <c r="D66" s="4" t="n"/>
      <c r="E66" s="5" t="n"/>
      <c r="F66" s="5" t="n"/>
      <c r="G66" s="5" t="n"/>
      <c r="H66" s="5">
        <f>IF(A66="","",E66+F66+G66)</f>
        <v/>
      </c>
      <c r="I66" s="4">
        <f>IF(A66="","",IF(H66&lt;0,"Économie","Perte"))</f>
        <v/>
      </c>
      <c r="J66" s="4" t="n"/>
    </row>
    <row r="67">
      <c r="A67" s="7" t="n"/>
      <c r="B67" s="7" t="n"/>
      <c r="C67" s="7" t="n"/>
      <c r="D67" s="7" t="n"/>
      <c r="E67" s="8" t="n"/>
      <c r="F67" s="8" t="n"/>
      <c r="G67" s="8" t="n"/>
      <c r="H67" s="8">
        <f>IF(A67="","",E67+F67+G67)</f>
        <v/>
      </c>
      <c r="I67" s="7">
        <f>IF(A67="","",IF(H67&lt;0,"Économie","Perte"))</f>
        <v/>
      </c>
      <c r="J67" s="7" t="n"/>
    </row>
    <row r="68">
      <c r="A68" s="4" t="n"/>
      <c r="B68" s="4" t="n"/>
      <c r="C68" s="4" t="n"/>
      <c r="D68" s="4" t="n"/>
      <c r="E68" s="5" t="n"/>
      <c r="F68" s="5" t="n"/>
      <c r="G68" s="5" t="n"/>
      <c r="H68" s="5">
        <f>IF(A68="","",E68+F68+G68)</f>
        <v/>
      </c>
      <c r="I68" s="4">
        <f>IF(A68="","",IF(H68&lt;0,"Économie","Perte"))</f>
        <v/>
      </c>
      <c r="J68" s="4" t="n"/>
    </row>
    <row r="69">
      <c r="A69" s="7" t="n"/>
      <c r="B69" s="7" t="n"/>
      <c r="C69" s="7" t="n"/>
      <c r="D69" s="7" t="n"/>
      <c r="E69" s="8" t="n"/>
      <c r="F69" s="8" t="n"/>
      <c r="G69" s="8" t="n"/>
      <c r="H69" s="8">
        <f>IF(A69="","",E69+F69+G69)</f>
        <v/>
      </c>
      <c r="I69" s="7">
        <f>IF(A69="","",IF(H69&lt;0,"Économie","Perte"))</f>
        <v/>
      </c>
      <c r="J69" s="7" t="n"/>
    </row>
    <row r="70">
      <c r="A70" s="4" t="n"/>
      <c r="B70" s="4" t="n"/>
      <c r="C70" s="4" t="n"/>
      <c r="D70" s="4" t="n"/>
      <c r="E70" s="5" t="n"/>
      <c r="F70" s="5" t="n"/>
      <c r="G70" s="5" t="n"/>
      <c r="H70" s="5">
        <f>IF(A70="","",E70+F70+G70)</f>
        <v/>
      </c>
      <c r="I70" s="4">
        <f>IF(A70="","",IF(H70&lt;0,"Économie","Perte"))</f>
        <v/>
      </c>
      <c r="J70" s="4" t="n"/>
    </row>
    <row r="71">
      <c r="A71" s="7" t="n"/>
      <c r="B71" s="7" t="n"/>
      <c r="C71" s="7" t="n"/>
      <c r="D71" s="7" t="n"/>
      <c r="E71" s="8" t="n"/>
      <c r="F71" s="8" t="n"/>
      <c r="G71" s="8" t="n"/>
      <c r="H71" s="8">
        <f>IF(A71="","",E71+F71+G71)</f>
        <v/>
      </c>
      <c r="I71" s="7">
        <f>IF(A71="","",IF(H71&lt;0,"Économie","Perte"))</f>
        <v/>
      </c>
      <c r="J71" s="7" t="n"/>
    </row>
    <row r="72">
      <c r="A72" s="4" t="n"/>
      <c r="B72" s="4" t="n"/>
      <c r="C72" s="4" t="n"/>
      <c r="D72" s="4" t="n"/>
      <c r="E72" s="5" t="n"/>
      <c r="F72" s="5" t="n"/>
      <c r="G72" s="5" t="n"/>
      <c r="H72" s="5">
        <f>IF(A72="","",E72+F72+G72)</f>
        <v/>
      </c>
      <c r="I72" s="4">
        <f>IF(A72="","",IF(H72&lt;0,"Économie","Perte"))</f>
        <v/>
      </c>
      <c r="J72" s="4" t="n"/>
    </row>
    <row r="73">
      <c r="A73" s="7" t="n"/>
      <c r="B73" s="7" t="n"/>
      <c r="C73" s="7" t="n"/>
      <c r="D73" s="7" t="n"/>
      <c r="E73" s="8" t="n"/>
      <c r="F73" s="8" t="n"/>
      <c r="G73" s="8" t="n"/>
      <c r="H73" s="8">
        <f>IF(A73="","",E73+F73+G73)</f>
        <v/>
      </c>
      <c r="I73" s="7">
        <f>IF(A73="","",IF(H73&lt;0,"Économie","Perte"))</f>
        <v/>
      </c>
      <c r="J73" s="7" t="n"/>
    </row>
    <row r="74">
      <c r="A74" s="4" t="n"/>
      <c r="B74" s="4" t="n"/>
      <c r="C74" s="4" t="n"/>
      <c r="D74" s="4" t="n"/>
      <c r="E74" s="5" t="n"/>
      <c r="F74" s="5" t="n"/>
      <c r="G74" s="5" t="n"/>
      <c r="H74" s="5">
        <f>IF(A74="","",E74+F74+G74)</f>
        <v/>
      </c>
      <c r="I74" s="4">
        <f>IF(A74="","",IF(H74&lt;0,"Économie","Perte"))</f>
        <v/>
      </c>
      <c r="J74" s="4" t="n"/>
    </row>
    <row r="75">
      <c r="A75" s="7" t="n"/>
      <c r="B75" s="7" t="n"/>
      <c r="C75" s="7" t="n"/>
      <c r="D75" s="7" t="n"/>
      <c r="E75" s="8" t="n"/>
      <c r="F75" s="8" t="n"/>
      <c r="G75" s="8" t="n"/>
      <c r="H75" s="8">
        <f>IF(A75="","",E75+F75+G75)</f>
        <v/>
      </c>
      <c r="I75" s="7">
        <f>IF(A75="","",IF(H75&lt;0,"Économie","Perte"))</f>
        <v/>
      </c>
      <c r="J75" s="7" t="n"/>
    </row>
    <row r="76">
      <c r="A76" s="4" t="n"/>
      <c r="B76" s="4" t="n"/>
      <c r="C76" s="4" t="n"/>
      <c r="D76" s="4" t="n"/>
      <c r="E76" s="5" t="n"/>
      <c r="F76" s="5" t="n"/>
      <c r="G76" s="5" t="n"/>
      <c r="H76" s="5">
        <f>IF(A76="","",E76+F76+G76)</f>
        <v/>
      </c>
      <c r="I76" s="4">
        <f>IF(A76="","",IF(H76&lt;0,"Économie","Perte"))</f>
        <v/>
      </c>
      <c r="J76" s="4" t="n"/>
    </row>
    <row r="77">
      <c r="A77" s="7" t="n"/>
      <c r="B77" s="7" t="n"/>
      <c r="C77" s="7" t="n"/>
      <c r="D77" s="7" t="n"/>
      <c r="E77" s="8" t="n"/>
      <c r="F77" s="8" t="n"/>
      <c r="G77" s="8" t="n"/>
      <c r="H77" s="8">
        <f>IF(A77="","",E77+F77+G77)</f>
        <v/>
      </c>
      <c r="I77" s="7">
        <f>IF(A77="","",IF(H77&lt;0,"Économie","Perte"))</f>
        <v/>
      </c>
      <c r="J77" s="7" t="n"/>
    </row>
    <row r="78">
      <c r="A78" s="4" t="n"/>
      <c r="B78" s="4" t="n"/>
      <c r="C78" s="4" t="n"/>
      <c r="D78" s="4" t="n"/>
      <c r="E78" s="5" t="n"/>
      <c r="F78" s="5" t="n"/>
      <c r="G78" s="5" t="n"/>
      <c r="H78" s="5">
        <f>IF(A78="","",E78+F78+G78)</f>
        <v/>
      </c>
      <c r="I78" s="4">
        <f>IF(A78="","",IF(H78&lt;0,"Économie","Perte"))</f>
        <v/>
      </c>
      <c r="J78" s="4" t="n"/>
    </row>
    <row r="79">
      <c r="A79" s="7" t="n"/>
      <c r="B79" s="7" t="n"/>
      <c r="C79" s="7" t="n"/>
      <c r="D79" s="7" t="n"/>
      <c r="E79" s="8" t="n"/>
      <c r="F79" s="8" t="n"/>
      <c r="G79" s="8" t="n"/>
      <c r="H79" s="8">
        <f>IF(A79="","",E79+F79+G79)</f>
        <v/>
      </c>
      <c r="I79" s="7">
        <f>IF(A79="","",IF(H79&lt;0,"Économie","Perte"))</f>
        <v/>
      </c>
      <c r="J79" s="7" t="n"/>
    </row>
    <row r="80">
      <c r="A80" s="4" t="n"/>
      <c r="B80" s="4" t="n"/>
      <c r="C80" s="4" t="n"/>
      <c r="D80" s="4" t="n"/>
      <c r="E80" s="5" t="n"/>
      <c r="F80" s="5" t="n"/>
      <c r="G80" s="5" t="n"/>
      <c r="H80" s="5">
        <f>IF(A80="","",E80+F80+G80)</f>
        <v/>
      </c>
      <c r="I80" s="4">
        <f>IF(A80="","",IF(H80&lt;0,"Économie","Perte"))</f>
        <v/>
      </c>
      <c r="J80" s="4" t="n"/>
    </row>
    <row r="81">
      <c r="A81" s="7" t="n"/>
      <c r="B81" s="7" t="n"/>
      <c r="C81" s="7" t="n"/>
      <c r="D81" s="7" t="n"/>
      <c r="E81" s="8" t="n"/>
      <c r="F81" s="8" t="n"/>
      <c r="G81" s="8" t="n"/>
      <c r="H81" s="8">
        <f>IF(A81="","",E81+F81+G81)</f>
        <v/>
      </c>
      <c r="I81" s="7">
        <f>IF(A81="","",IF(H81&lt;0,"Économie","Perte"))</f>
        <v/>
      </c>
      <c r="J81" s="7" t="n"/>
    </row>
    <row r="82">
      <c r="A82" s="4" t="n"/>
      <c r="B82" s="4" t="n"/>
      <c r="C82" s="4" t="n"/>
      <c r="D82" s="4" t="n"/>
      <c r="E82" s="5" t="n"/>
      <c r="F82" s="5" t="n"/>
      <c r="G82" s="5" t="n"/>
      <c r="H82" s="5">
        <f>IF(A82="","",E82+F82+G82)</f>
        <v/>
      </c>
      <c r="I82" s="4">
        <f>IF(A82="","",IF(H82&lt;0,"Économie","Perte"))</f>
        <v/>
      </c>
      <c r="J82" s="4" t="n"/>
    </row>
    <row r="83">
      <c r="A83" s="7" t="n"/>
      <c r="B83" s="7" t="n"/>
      <c r="C83" s="7" t="n"/>
      <c r="D83" s="7" t="n"/>
      <c r="E83" s="8" t="n"/>
      <c r="F83" s="8" t="n"/>
      <c r="G83" s="8" t="n"/>
      <c r="H83" s="8">
        <f>IF(A83="","",E83+F83+G83)</f>
        <v/>
      </c>
      <c r="I83" s="7">
        <f>IF(A83="","",IF(H83&lt;0,"Économie","Perte"))</f>
        <v/>
      </c>
      <c r="J83" s="7" t="n"/>
    </row>
    <row r="84">
      <c r="A84" s="4" t="n"/>
      <c r="B84" s="4" t="n"/>
      <c r="C84" s="4" t="n"/>
      <c r="D84" s="4" t="n"/>
      <c r="E84" s="5" t="n"/>
      <c r="F84" s="5" t="n"/>
      <c r="G84" s="5" t="n"/>
      <c r="H84" s="5">
        <f>IF(A84="","",E84+F84+G84)</f>
        <v/>
      </c>
      <c r="I84" s="4">
        <f>IF(A84="","",IF(H84&lt;0,"Économie","Perte"))</f>
        <v/>
      </c>
      <c r="J84" s="4" t="n"/>
    </row>
    <row r="85">
      <c r="A85" s="7" t="n"/>
      <c r="B85" s="7" t="n"/>
      <c r="C85" s="7" t="n"/>
      <c r="D85" s="7" t="n"/>
      <c r="E85" s="8" t="n"/>
      <c r="F85" s="8" t="n"/>
      <c r="G85" s="8" t="n"/>
      <c r="H85" s="8">
        <f>IF(A85="","",E85+F85+G85)</f>
        <v/>
      </c>
      <c r="I85" s="7">
        <f>IF(A85="","",IF(H85&lt;0,"Économie","Perte"))</f>
        <v/>
      </c>
      <c r="J85" s="7" t="n"/>
    </row>
    <row r="86">
      <c r="A86" s="4" t="n"/>
      <c r="B86" s="4" t="n"/>
      <c r="C86" s="4" t="n"/>
      <c r="D86" s="4" t="n"/>
      <c r="E86" s="5" t="n"/>
      <c r="F86" s="5" t="n"/>
      <c r="G86" s="5" t="n"/>
      <c r="H86" s="5">
        <f>IF(A86="","",E86+F86+G86)</f>
        <v/>
      </c>
      <c r="I86" s="4">
        <f>IF(A86="","",IF(H86&lt;0,"Économie","Perte"))</f>
        <v/>
      </c>
      <c r="J86" s="4" t="n"/>
    </row>
    <row r="87">
      <c r="A87" s="7" t="n"/>
      <c r="B87" s="7" t="n"/>
      <c r="C87" s="7" t="n"/>
      <c r="D87" s="7" t="n"/>
      <c r="E87" s="8" t="n"/>
      <c r="F87" s="8" t="n"/>
      <c r="G87" s="8" t="n"/>
      <c r="H87" s="8">
        <f>IF(A87="","",E87+F87+G87)</f>
        <v/>
      </c>
      <c r="I87" s="7">
        <f>IF(A87="","",IF(H87&lt;0,"Économie","Perte"))</f>
        <v/>
      </c>
      <c r="J87" s="7" t="n"/>
    </row>
    <row r="88">
      <c r="A88" s="4" t="n"/>
      <c r="B88" s="4" t="n"/>
      <c r="C88" s="4" t="n"/>
      <c r="D88" s="4" t="n"/>
      <c r="E88" s="5" t="n"/>
      <c r="F88" s="5" t="n"/>
      <c r="G88" s="5" t="n"/>
      <c r="H88" s="5">
        <f>IF(A88="","",E88+F88+G88)</f>
        <v/>
      </c>
      <c r="I88" s="4">
        <f>IF(A88="","",IF(H88&lt;0,"Économie","Perte"))</f>
        <v/>
      </c>
      <c r="J88" s="4" t="n"/>
    </row>
    <row r="89">
      <c r="A89" s="7" t="n"/>
      <c r="B89" s="7" t="n"/>
      <c r="C89" s="7" t="n"/>
      <c r="D89" s="7" t="n"/>
      <c r="E89" s="8" t="n"/>
      <c r="F89" s="8" t="n"/>
      <c r="G89" s="8" t="n"/>
      <c r="H89" s="8">
        <f>IF(A89="","",E89+F89+G89)</f>
        <v/>
      </c>
      <c r="I89" s="7">
        <f>IF(A89="","",IF(H89&lt;0,"Économie","Perte"))</f>
        <v/>
      </c>
      <c r="J89" s="7" t="n"/>
    </row>
    <row r="90">
      <c r="A90" s="4" t="n"/>
      <c r="B90" s="4" t="n"/>
      <c r="C90" s="4" t="n"/>
      <c r="D90" s="4" t="n"/>
      <c r="E90" s="5" t="n"/>
      <c r="F90" s="5" t="n"/>
      <c r="G90" s="5" t="n"/>
      <c r="H90" s="5">
        <f>IF(A90="","",E90+F90+G90)</f>
        <v/>
      </c>
      <c r="I90" s="4">
        <f>IF(A90="","",IF(H90&lt;0,"Économie","Perte"))</f>
        <v/>
      </c>
      <c r="J90" s="4" t="n"/>
    </row>
    <row r="91">
      <c r="A91" s="7" t="n"/>
      <c r="B91" s="7" t="n"/>
      <c r="C91" s="7" t="n"/>
      <c r="D91" s="7" t="n"/>
      <c r="E91" s="8" t="n"/>
      <c r="F91" s="8" t="n"/>
      <c r="G91" s="8" t="n"/>
      <c r="H91" s="8">
        <f>IF(A91="","",E91+F91+G91)</f>
        <v/>
      </c>
      <c r="I91" s="7">
        <f>IF(A91="","",IF(H91&lt;0,"Économie","Perte"))</f>
        <v/>
      </c>
      <c r="J91" s="7" t="n"/>
    </row>
    <row r="92">
      <c r="A92" s="4" t="n"/>
      <c r="B92" s="4" t="n"/>
      <c r="C92" s="4" t="n"/>
      <c r="D92" s="4" t="n"/>
      <c r="E92" s="5" t="n"/>
      <c r="F92" s="5" t="n"/>
      <c r="G92" s="5" t="n"/>
      <c r="H92" s="5">
        <f>IF(A92="","",E92+F92+G92)</f>
        <v/>
      </c>
      <c r="I92" s="4">
        <f>IF(A92="","",IF(H92&lt;0,"Économie","Perte"))</f>
        <v/>
      </c>
      <c r="J92" s="4" t="n"/>
    </row>
    <row r="93">
      <c r="A93" s="7" t="n"/>
      <c r="B93" s="7" t="n"/>
      <c r="C93" s="7" t="n"/>
      <c r="D93" s="7" t="n"/>
      <c r="E93" s="8" t="n"/>
      <c r="F93" s="8" t="n"/>
      <c r="G93" s="8" t="n"/>
      <c r="H93" s="8">
        <f>IF(A93="","",E93+F93+G93)</f>
        <v/>
      </c>
      <c r="I93" s="7">
        <f>IF(A93="","",IF(H93&lt;0,"Économie","Perte"))</f>
        <v/>
      </c>
      <c r="J93" s="7" t="n"/>
    </row>
    <row r="94">
      <c r="A94" s="4" t="n"/>
      <c r="B94" s="4" t="n"/>
      <c r="C94" s="4" t="n"/>
      <c r="D94" s="4" t="n"/>
      <c r="E94" s="5" t="n"/>
      <c r="F94" s="5" t="n"/>
      <c r="G94" s="5" t="n"/>
      <c r="H94" s="5">
        <f>IF(A94="","",E94+F94+G94)</f>
        <v/>
      </c>
      <c r="I94" s="4">
        <f>IF(A94="","",IF(H94&lt;0,"Économie","Perte"))</f>
        <v/>
      </c>
      <c r="J94" s="4" t="n"/>
    </row>
    <row r="95">
      <c r="A95" s="7" t="n"/>
      <c r="B95" s="7" t="n"/>
      <c r="C95" s="7" t="n"/>
      <c r="D95" s="7" t="n"/>
      <c r="E95" s="8" t="n"/>
      <c r="F95" s="8" t="n"/>
      <c r="G95" s="8" t="n"/>
      <c r="H95" s="8">
        <f>IF(A95="","",E95+F95+G95)</f>
        <v/>
      </c>
      <c r="I95" s="7">
        <f>IF(A95="","",IF(H95&lt;0,"Économie","Perte"))</f>
        <v/>
      </c>
      <c r="J95" s="7" t="n"/>
    </row>
    <row r="96">
      <c r="A96" s="4" t="n"/>
      <c r="B96" s="4" t="n"/>
      <c r="C96" s="4" t="n"/>
      <c r="D96" s="4" t="n"/>
      <c r="E96" s="5" t="n"/>
      <c r="F96" s="5" t="n"/>
      <c r="G96" s="5" t="n"/>
      <c r="H96" s="5">
        <f>IF(A96="","",E96+F96+G96)</f>
        <v/>
      </c>
      <c r="I96" s="4">
        <f>IF(A96="","",IF(H96&lt;0,"Économie","Perte"))</f>
        <v/>
      </c>
      <c r="J96" s="4" t="n"/>
    </row>
    <row r="97">
      <c r="A97" s="7" t="n"/>
      <c r="B97" s="7" t="n"/>
      <c r="C97" s="7" t="n"/>
      <c r="D97" s="7" t="n"/>
      <c r="E97" s="8" t="n"/>
      <c r="F97" s="8" t="n"/>
      <c r="G97" s="8" t="n"/>
      <c r="H97" s="8">
        <f>IF(A97="","",E97+F97+G97)</f>
        <v/>
      </c>
      <c r="I97" s="7">
        <f>IF(A97="","",IF(H97&lt;0,"Économie","Perte"))</f>
        <v/>
      </c>
      <c r="J97" s="7" t="n"/>
    </row>
    <row r="98">
      <c r="A98" s="4" t="n"/>
      <c r="B98" s="4" t="n"/>
      <c r="C98" s="4" t="n"/>
      <c r="D98" s="4" t="n"/>
      <c r="E98" s="5" t="n"/>
      <c r="F98" s="5" t="n"/>
      <c r="G98" s="5" t="n"/>
      <c r="H98" s="5">
        <f>IF(A98="","",E98+F98+G98)</f>
        <v/>
      </c>
      <c r="I98" s="4">
        <f>IF(A98="","",IF(H98&lt;0,"Économie","Perte"))</f>
        <v/>
      </c>
      <c r="J98" s="4" t="n"/>
    </row>
    <row r="99">
      <c r="A99" s="7" t="n"/>
      <c r="B99" s="7" t="n"/>
      <c r="C99" s="7" t="n"/>
      <c r="D99" s="7" t="n"/>
      <c r="E99" s="8" t="n"/>
      <c r="F99" s="8" t="n"/>
      <c r="G99" s="8" t="n"/>
      <c r="H99" s="8">
        <f>IF(A99="","",E99+F99+G99)</f>
        <v/>
      </c>
      <c r="I99" s="7">
        <f>IF(A99="","",IF(H99&lt;0,"Économie","Perte"))</f>
        <v/>
      </c>
      <c r="J99" s="7" t="n"/>
    </row>
    <row r="100">
      <c r="A100" s="4" t="n"/>
      <c r="B100" s="4" t="n"/>
      <c r="C100" s="4" t="n"/>
      <c r="D100" s="4" t="n"/>
      <c r="E100" s="5" t="n"/>
      <c r="F100" s="5" t="n"/>
      <c r="G100" s="5" t="n"/>
      <c r="H100" s="5">
        <f>IF(A100="","",E100+F100+G100)</f>
        <v/>
      </c>
      <c r="I100" s="4">
        <f>IF(A100="","",IF(H100&lt;0,"Économie","Perte"))</f>
        <v/>
      </c>
      <c r="J100" s="4" t="n"/>
    </row>
    <row r="101">
      <c r="A101" s="7" t="n"/>
      <c r="B101" s="7" t="n"/>
      <c r="C101" s="7" t="n"/>
      <c r="D101" s="7" t="n"/>
      <c r="E101" s="8" t="n"/>
      <c r="F101" s="8" t="n"/>
      <c r="G101" s="8" t="n"/>
      <c r="H101" s="8">
        <f>IF(A101="","",E101+F101+G101)</f>
        <v/>
      </c>
      <c r="I101" s="7">
        <f>IF(A101="","",IF(H101&lt;0,"Économie","Perte"))</f>
        <v/>
      </c>
      <c r="J101" s="7" t="n"/>
    </row>
    <row r="102">
      <c r="A102" s="4" t="n"/>
      <c r="B102" s="4" t="n"/>
      <c r="C102" s="4" t="n"/>
      <c r="D102" s="4" t="n"/>
      <c r="E102" s="5" t="n"/>
      <c r="F102" s="5" t="n"/>
      <c r="G102" s="5" t="n"/>
      <c r="H102" s="5">
        <f>IF(A102="","",E102+F102+G102)</f>
        <v/>
      </c>
      <c r="I102" s="4">
        <f>IF(A102="","",IF(H102&lt;0,"Économie","Perte"))</f>
        <v/>
      </c>
      <c r="J102" s="4" t="n"/>
    </row>
    <row r="103">
      <c r="A103" s="7" t="n"/>
      <c r="B103" s="7" t="n"/>
      <c r="C103" s="7" t="n"/>
      <c r="D103" s="7" t="n"/>
      <c r="E103" s="8" t="n"/>
      <c r="F103" s="8" t="n"/>
      <c r="G103" s="8" t="n"/>
      <c r="H103" s="8">
        <f>IF(A103="","",E103+F103+G103)</f>
        <v/>
      </c>
      <c r="I103" s="7">
        <f>IF(A103="","",IF(H103&lt;0,"Économie","Perte"))</f>
        <v/>
      </c>
      <c r="J103" s="7" t="n"/>
    </row>
    <row r="104">
      <c r="A104" s="4" t="n"/>
      <c r="B104" s="4" t="n"/>
      <c r="C104" s="4" t="n"/>
      <c r="D104" s="4" t="n"/>
      <c r="E104" s="5" t="n"/>
      <c r="F104" s="5" t="n"/>
      <c r="G104" s="5" t="n"/>
      <c r="H104" s="5">
        <f>IF(A104="","",E104+F104+G104)</f>
        <v/>
      </c>
      <c r="I104" s="4">
        <f>IF(A104="","",IF(H104&lt;0,"Économie","Perte"))</f>
        <v/>
      </c>
      <c r="J104" s="4" t="n"/>
    </row>
    <row r="105">
      <c r="A105" s="7" t="n"/>
      <c r="B105" s="7" t="n"/>
      <c r="C105" s="7" t="n"/>
      <c r="D105" s="7" t="n"/>
      <c r="E105" s="8" t="n"/>
      <c r="F105" s="8" t="n"/>
      <c r="G105" s="8" t="n"/>
      <c r="H105" s="8">
        <f>IF(A105="","",E105+F105+G105)</f>
        <v/>
      </c>
      <c r="I105" s="7">
        <f>IF(A105="","",IF(H105&lt;0,"Économie","Perte"))</f>
        <v/>
      </c>
      <c r="J105" s="7" t="n"/>
    </row>
    <row r="106">
      <c r="A106" s="4" t="n"/>
      <c r="B106" s="4" t="n"/>
      <c r="C106" s="4" t="n"/>
      <c r="D106" s="4" t="n"/>
      <c r="E106" s="5" t="n"/>
      <c r="F106" s="5" t="n"/>
      <c r="G106" s="5" t="n"/>
      <c r="H106" s="5">
        <f>IF(A106="","",E106+F106+G106)</f>
        <v/>
      </c>
      <c r="I106" s="4">
        <f>IF(A106="","",IF(H106&lt;0,"Économie","Perte"))</f>
        <v/>
      </c>
      <c r="J106" s="4" t="n"/>
    </row>
    <row r="107">
      <c r="A107" s="7" t="n"/>
      <c r="B107" s="7" t="n"/>
      <c r="C107" s="7" t="n"/>
      <c r="D107" s="7" t="n"/>
      <c r="E107" s="8" t="n"/>
      <c r="F107" s="8" t="n"/>
      <c r="G107" s="8" t="n"/>
      <c r="H107" s="8">
        <f>IF(A107="","",E107+F107+G107)</f>
        <v/>
      </c>
      <c r="I107" s="7">
        <f>IF(A107="","",IF(H107&lt;0,"Économie","Perte"))</f>
        <v/>
      </c>
      <c r="J107" s="7" t="n"/>
    </row>
    <row r="108">
      <c r="A108" s="4" t="n"/>
      <c r="B108" s="4" t="n"/>
      <c r="C108" s="4" t="n"/>
      <c r="D108" s="4" t="n"/>
      <c r="E108" s="5" t="n"/>
      <c r="F108" s="5" t="n"/>
      <c r="G108" s="5" t="n"/>
      <c r="H108" s="5">
        <f>IF(A108="","",E108+F108+G108)</f>
        <v/>
      </c>
      <c r="I108" s="4">
        <f>IF(A108="","",IF(H108&lt;0,"Économie","Perte"))</f>
        <v/>
      </c>
      <c r="J108" s="4" t="n"/>
    </row>
    <row r="109">
      <c r="A109" s="7" t="n"/>
      <c r="B109" s="7" t="n"/>
      <c r="C109" s="7" t="n"/>
      <c r="D109" s="7" t="n"/>
      <c r="E109" s="8" t="n"/>
      <c r="F109" s="8" t="n"/>
      <c r="G109" s="8" t="n"/>
      <c r="H109" s="8">
        <f>IF(A109="","",E109+F109+G109)</f>
        <v/>
      </c>
      <c r="I109" s="7">
        <f>IF(A109="","",IF(H109&lt;0,"Économie","Perte"))</f>
        <v/>
      </c>
      <c r="J109" s="7" t="n"/>
    </row>
    <row r="110">
      <c r="A110" s="4" t="n"/>
      <c r="B110" s="4" t="n"/>
      <c r="C110" s="4" t="n"/>
      <c r="D110" s="4" t="n"/>
      <c r="E110" s="5" t="n"/>
      <c r="F110" s="5" t="n"/>
      <c r="G110" s="5" t="n"/>
      <c r="H110" s="5">
        <f>IF(A110="","",E110+F110+G110)</f>
        <v/>
      </c>
      <c r="I110" s="4">
        <f>IF(A110="","",IF(H110&lt;0,"Économie","Perte"))</f>
        <v/>
      </c>
      <c r="J110" s="4" t="n"/>
    </row>
    <row r="111">
      <c r="A111" s="7" t="n"/>
      <c r="B111" s="7" t="n"/>
      <c r="C111" s="7" t="n"/>
      <c r="D111" s="7" t="n"/>
      <c r="E111" s="8" t="n"/>
      <c r="F111" s="8" t="n"/>
      <c r="G111" s="8" t="n"/>
      <c r="H111" s="8">
        <f>IF(A111="","",E111+F111+G111)</f>
        <v/>
      </c>
      <c r="I111" s="7">
        <f>IF(A111="","",IF(H111&lt;0,"Économie","Perte"))</f>
        <v/>
      </c>
      <c r="J111" s="7" t="n"/>
    </row>
    <row r="112">
      <c r="A112" s="4" t="n"/>
      <c r="B112" s="4" t="n"/>
      <c r="C112" s="4" t="n"/>
      <c r="D112" s="4" t="n"/>
      <c r="E112" s="5" t="n"/>
      <c r="F112" s="5" t="n"/>
      <c r="G112" s="5" t="n"/>
      <c r="H112" s="5">
        <f>IF(A112="","",E112+F112+G112)</f>
        <v/>
      </c>
      <c r="I112" s="4">
        <f>IF(A112="","",IF(H112&lt;0,"Économie","Perte"))</f>
        <v/>
      </c>
      <c r="J112" s="4" t="n"/>
    </row>
    <row r="113">
      <c r="A113" s="7" t="n"/>
      <c r="B113" s="7" t="n"/>
      <c r="C113" s="7" t="n"/>
      <c r="D113" s="7" t="n"/>
      <c r="E113" s="8" t="n"/>
      <c r="F113" s="8" t="n"/>
      <c r="G113" s="8" t="n"/>
      <c r="H113" s="8">
        <f>IF(A113="","",E113+F113+G113)</f>
        <v/>
      </c>
      <c r="I113" s="7">
        <f>IF(A113="","",IF(H113&lt;0,"Économie","Perte"))</f>
        <v/>
      </c>
      <c r="J113" s="7" t="n"/>
    </row>
    <row r="114">
      <c r="A114" s="4" t="n"/>
      <c r="B114" s="4" t="n"/>
      <c r="C114" s="4" t="n"/>
      <c r="D114" s="4" t="n"/>
      <c r="E114" s="5" t="n"/>
      <c r="F114" s="5" t="n"/>
      <c r="G114" s="5" t="n"/>
      <c r="H114" s="5">
        <f>IF(A114="","",E114+F114+G114)</f>
        <v/>
      </c>
      <c r="I114" s="4">
        <f>IF(A114="","",IF(H114&lt;0,"Économie","Perte"))</f>
        <v/>
      </c>
      <c r="J114" s="4" t="n"/>
    </row>
    <row r="115">
      <c r="A115" s="7" t="n"/>
      <c r="B115" s="7" t="n"/>
      <c r="C115" s="7" t="n"/>
      <c r="D115" s="7" t="n"/>
      <c r="E115" s="8" t="n"/>
      <c r="F115" s="8" t="n"/>
      <c r="G115" s="8" t="n"/>
      <c r="H115" s="8">
        <f>IF(A115="","",E115+F115+G115)</f>
        <v/>
      </c>
      <c r="I115" s="7">
        <f>IF(A115="","",IF(H115&lt;0,"Économie","Perte"))</f>
        <v/>
      </c>
      <c r="J115" s="7" t="n"/>
    </row>
  </sheetData>
  <mergeCells count="2">
    <mergeCell ref="A3:P3"/>
    <mergeCell ref="A2:P2"/>
  </mergeCells>
  <conditionalFormatting sqref="I6:I115">
    <cfRule type="cellIs" priority="1" operator="equal" dxfId="1">
      <formula>"Économie"</formula>
    </cfRule>
    <cfRule type="cellIs" priority="2" operator="equal" dxfId="2">
      <formula>"Perte"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A237E"/>
    <outlinePr summaryBelow="1" summaryRight="1"/>
    <pageSetUpPr/>
  </sheetPr>
  <dimension ref="A2:S1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  <col width="16" customWidth="1" min="19" max="19"/>
    <col width="12" customWidth="1" min="20" max="20"/>
  </cols>
  <sheetData>
    <row r="2" ht="25" customHeight="1">
      <c r="A2" s="1" t="inlineStr">
        <is>
          <t>DOMAINE 26 — 17-TABLEAU DE BORD FINANCIER GLOBAL</t>
        </is>
      </c>
    </row>
    <row r="3" ht="18" customHeight="1">
      <c r="A3" s="2" t="inlineStr">
        <is>
          <t>TABLEAU DYNAMIQUE — Vue consolidée des coûts RH</t>
        </is>
      </c>
    </row>
    <row r="5">
      <c r="A5" s="3" t="inlineStr">
        <is>
          <t>Catégorie de Coût</t>
        </is>
      </c>
      <c r="B5" s="3" t="inlineStr">
        <is>
          <t>Janvier</t>
        </is>
      </c>
      <c r="C5" s="3" t="inlineStr">
        <is>
          <t>Février</t>
        </is>
      </c>
      <c r="D5" s="3" t="inlineStr">
        <is>
          <t>Mars</t>
        </is>
      </c>
      <c r="E5" s="3" t="inlineStr">
        <is>
          <t>T1</t>
        </is>
      </c>
      <c r="F5" s="3" t="inlineStr">
        <is>
          <t>Avril</t>
        </is>
      </c>
      <c r="G5" s="3" t="inlineStr">
        <is>
          <t>Mai</t>
        </is>
      </c>
      <c r="H5" s="3" t="inlineStr">
        <is>
          <t>Juin</t>
        </is>
      </c>
      <c r="I5" s="3" t="inlineStr">
        <is>
          <t>T2</t>
        </is>
      </c>
      <c r="J5" s="3" t="inlineStr">
        <is>
          <t>Juillet</t>
        </is>
      </c>
      <c r="K5" s="3" t="inlineStr">
        <is>
          <t>Août</t>
        </is>
      </c>
      <c r="L5" s="3" t="inlineStr">
        <is>
          <t>Septembre</t>
        </is>
      </c>
      <c r="M5" s="3" t="inlineStr">
        <is>
          <t>T3</t>
        </is>
      </c>
      <c r="N5" s="3" t="inlineStr">
        <is>
          <t>Octobre</t>
        </is>
      </c>
      <c r="O5" s="3" t="inlineStr">
        <is>
          <t>Novembre</t>
        </is>
      </c>
      <c r="P5" s="3" t="inlineStr">
        <is>
          <t>Décembre</t>
        </is>
      </c>
      <c r="Q5" s="3" t="inlineStr">
        <is>
          <t>T4</t>
        </is>
      </c>
      <c r="R5" s="3" t="inlineStr">
        <is>
          <t>Total Annuel</t>
        </is>
      </c>
      <c r="S5" s="3" t="inlineStr">
        <is>
          <t>% du Total</t>
        </is>
      </c>
    </row>
    <row r="6">
      <c r="A6" s="4" t="inlineStr">
        <is>
          <t>Masse salariale</t>
        </is>
      </c>
      <c r="B6" s="5" t="n">
        <v>18500000</v>
      </c>
      <c r="C6" s="5" t="n">
        <v>18700000</v>
      </c>
      <c r="D6" s="5" t="n">
        <v>19200000</v>
      </c>
      <c r="E6" s="5" t="n"/>
      <c r="F6" s="5" t="n">
        <v>19200000</v>
      </c>
      <c r="G6" s="5" t="n">
        <v>18800000</v>
      </c>
      <c r="H6" s="5" t="n">
        <v>19500000</v>
      </c>
      <c r="I6" s="5">
        <f>SUM(F6:H6)</f>
        <v/>
      </c>
      <c r="J6" s="5" t="n">
        <v>19500000</v>
      </c>
      <c r="K6" s="5" t="n">
        <v>19500000</v>
      </c>
      <c r="L6" s="5" t="n">
        <v>19500000</v>
      </c>
      <c r="M6" s="5">
        <f>SUM(J6:L6)</f>
        <v/>
      </c>
      <c r="N6" s="5" t="n">
        <v>19500000</v>
      </c>
      <c r="O6" s="5" t="n">
        <v>19500000</v>
      </c>
      <c r="P6" s="5" t="n">
        <v>19500000</v>
      </c>
      <c r="Q6" s="5">
        <f>SUM(N6:P6)</f>
        <v/>
      </c>
      <c r="R6" s="5">
        <f>E6+I6+M6+Q6</f>
        <v/>
      </c>
      <c r="S6" s="6">
        <f>IFERROR(R6/SUM($R$6:$R$11),0)</f>
        <v/>
      </c>
    </row>
    <row r="7">
      <c r="A7" s="7" t="inlineStr">
        <is>
          <t>Charges patronales</t>
        </is>
      </c>
      <c r="B7" s="8" t="n">
        <v>6500000</v>
      </c>
      <c r="C7" s="8" t="n">
        <v>6550000</v>
      </c>
      <c r="D7" s="8" t="n">
        <v>6700000</v>
      </c>
      <c r="E7" s="8" t="n"/>
      <c r="F7" s="8" t="n">
        <v>6720000</v>
      </c>
      <c r="G7" s="8" t="n">
        <v>6580000</v>
      </c>
      <c r="H7" s="8" t="n">
        <v>6820000</v>
      </c>
      <c r="I7" s="8">
        <f>SUM(F7:H7)</f>
        <v/>
      </c>
      <c r="J7" s="8" t="n">
        <v>6820000</v>
      </c>
      <c r="K7" s="8" t="n">
        <v>6820000</v>
      </c>
      <c r="L7" s="8" t="n">
        <v>6820000</v>
      </c>
      <c r="M7" s="8">
        <f>SUM(J7:L7)</f>
        <v/>
      </c>
      <c r="N7" s="8" t="n">
        <v>6820000</v>
      </c>
      <c r="O7" s="8" t="n">
        <v>6820000</v>
      </c>
      <c r="P7" s="8" t="n">
        <v>6820000</v>
      </c>
      <c r="Q7" s="8">
        <f>SUM(N7:P7)</f>
        <v/>
      </c>
      <c r="R7" s="8">
        <f>E7+I7+M7+Q7</f>
        <v/>
      </c>
      <c r="S7" s="9">
        <f>IFERROR(R7/SUM($R$6:$R$11),0)</f>
        <v/>
      </c>
    </row>
    <row r="8">
      <c r="A8" s="4" t="inlineStr">
        <is>
          <t>Fiscalité salariale</t>
        </is>
      </c>
      <c r="B8" s="5" t="n">
        <v>5200000</v>
      </c>
      <c r="C8" s="5" t="n">
        <v>5250000</v>
      </c>
      <c r="D8" s="5" t="n">
        <v>5300000</v>
      </c>
      <c r="E8" s="5" t="n"/>
      <c r="F8" s="5" t="n">
        <v>5350000</v>
      </c>
      <c r="G8" s="5" t="n">
        <v>5250000</v>
      </c>
      <c r="H8" s="5" t="n">
        <v>5400000</v>
      </c>
      <c r="I8" s="5">
        <f>SUM(F8:H8)</f>
        <v/>
      </c>
      <c r="J8" s="5" t="n">
        <v>5400000</v>
      </c>
      <c r="K8" s="5" t="n">
        <v>5400000</v>
      </c>
      <c r="L8" s="5" t="n">
        <v>5400000</v>
      </c>
      <c r="M8" s="5">
        <f>SUM(J8:L8)</f>
        <v/>
      </c>
      <c r="N8" s="5" t="n">
        <v>5400000</v>
      </c>
      <c r="O8" s="5" t="n">
        <v>5400000</v>
      </c>
      <c r="P8" s="5" t="n">
        <v>5400000</v>
      </c>
      <c r="Q8" s="5">
        <f>SUM(N8:P8)</f>
        <v/>
      </c>
      <c r="R8" s="5">
        <f>E8+I8+M8+Q8</f>
        <v/>
      </c>
      <c r="S8" s="6">
        <f>IFERROR(R8/SUM($R$6:$R$11),0)</f>
        <v/>
      </c>
    </row>
    <row r="9">
      <c r="A9" s="7" t="inlineStr">
        <is>
          <t>Formation</t>
        </is>
      </c>
      <c r="B9" s="8" t="n">
        <v>800000</v>
      </c>
      <c r="C9" s="8" t="n">
        <v>700000</v>
      </c>
      <c r="D9" s="8" t="n">
        <v>1200000</v>
      </c>
      <c r="E9" s="8" t="n"/>
      <c r="F9" s="8" t="n">
        <v>1000000</v>
      </c>
      <c r="G9" s="8" t="n">
        <v>800000</v>
      </c>
      <c r="H9" s="8" t="n">
        <v>600000</v>
      </c>
      <c r="I9" s="8">
        <f>SUM(F9:H9)</f>
        <v/>
      </c>
      <c r="J9" s="8" t="n">
        <v>600000</v>
      </c>
      <c r="K9" s="8" t="n">
        <v>600000</v>
      </c>
      <c r="L9" s="8" t="n">
        <v>600000</v>
      </c>
      <c r="M9" s="8">
        <f>SUM(J9:L9)</f>
        <v/>
      </c>
      <c r="N9" s="8" t="n">
        <v>600000</v>
      </c>
      <c r="O9" s="8" t="n">
        <v>600000</v>
      </c>
      <c r="P9" s="8" t="n">
        <v>600000</v>
      </c>
      <c r="Q9" s="8">
        <f>SUM(N9:P9)</f>
        <v/>
      </c>
      <c r="R9" s="8">
        <f>E9+I9+M9+Q9</f>
        <v/>
      </c>
      <c r="S9" s="9">
        <f>IFERROR(R9/SUM($R$6:$R$11),0)</f>
        <v/>
      </c>
    </row>
    <row r="10">
      <c r="A10" s="4" t="inlineStr">
        <is>
          <t>Avantages sociaux</t>
        </is>
      </c>
      <c r="B10" s="5" t="n">
        <v>1500000</v>
      </c>
      <c r="C10" s="5" t="n">
        <v>1480000</v>
      </c>
      <c r="D10" s="5" t="n">
        <v>1520000</v>
      </c>
      <c r="E10" s="5" t="n"/>
      <c r="F10" s="5" t="n">
        <v>1500000</v>
      </c>
      <c r="G10" s="5" t="n">
        <v>1490000</v>
      </c>
      <c r="H10" s="5" t="n">
        <v>1500000</v>
      </c>
      <c r="I10" s="5">
        <f>SUM(F10:H10)</f>
        <v/>
      </c>
      <c r="J10" s="5" t="n">
        <v>1500000</v>
      </c>
      <c r="K10" s="5" t="n">
        <v>1500000</v>
      </c>
      <c r="L10" s="5" t="n">
        <v>1500000</v>
      </c>
      <c r="M10" s="5">
        <f>SUM(J10:L10)</f>
        <v/>
      </c>
      <c r="N10" s="5" t="n">
        <v>1500000</v>
      </c>
      <c r="O10" s="5" t="n">
        <v>1500000</v>
      </c>
      <c r="P10" s="5" t="n">
        <v>1500000</v>
      </c>
      <c r="Q10" s="5">
        <f>SUM(N10:P10)</f>
        <v/>
      </c>
      <c r="R10" s="5">
        <f>E10+I10+M10+Q10</f>
        <v/>
      </c>
      <c r="S10" s="6">
        <f>IFERROR(R10/SUM($R$6:$R$11),0)</f>
        <v/>
      </c>
    </row>
    <row r="11">
      <c r="A11" s="7" t="inlineStr">
        <is>
          <t>Autres charges</t>
        </is>
      </c>
      <c r="B11" s="8" t="n">
        <v>1200000</v>
      </c>
      <c r="C11" s="8" t="n">
        <v>1150000</v>
      </c>
      <c r="D11" s="8" t="n">
        <v>1800000</v>
      </c>
      <c r="E11" s="8" t="n"/>
      <c r="F11" s="8" t="n">
        <v>1600000</v>
      </c>
      <c r="G11" s="8" t="n">
        <v>1250000</v>
      </c>
      <c r="H11" s="8" t="n">
        <v>1500000</v>
      </c>
      <c r="I11" s="8">
        <f>SUM(F11:H11)</f>
        <v/>
      </c>
      <c r="J11" s="8" t="n">
        <v>1500000</v>
      </c>
      <c r="K11" s="8" t="n">
        <v>1500000</v>
      </c>
      <c r="L11" s="8" t="n">
        <v>1500000</v>
      </c>
      <c r="M11" s="8">
        <f>SUM(J11:L11)</f>
        <v/>
      </c>
      <c r="N11" s="8" t="n">
        <v>1500000</v>
      </c>
      <c r="O11" s="8" t="n">
        <v>1500000</v>
      </c>
      <c r="P11" s="8" t="n">
        <v>1500000</v>
      </c>
      <c r="Q11" s="8">
        <f>SUM(N11:P11)</f>
        <v/>
      </c>
      <c r="R11" s="8">
        <f>E11+I11+M11+Q11</f>
        <v/>
      </c>
      <c r="S11" s="9">
        <f>IFERROR(R11/SUM($R$6:$R$11),0)</f>
        <v/>
      </c>
    </row>
    <row r="12">
      <c r="A12" s="4" t="inlineStr">
        <is>
          <t>TOTAL RH</t>
        </is>
      </c>
      <c r="B12" s="5">
        <f>SUM(B6:B11)</f>
        <v/>
      </c>
      <c r="C12" s="5">
        <f>SUM(C6:C11)</f>
        <v/>
      </c>
      <c r="D12" s="5">
        <f>SUM(D6:D11)</f>
        <v/>
      </c>
      <c r="E12" s="5">
        <f>SUM(E6:E11)</f>
        <v/>
      </c>
      <c r="F12" s="5">
        <f>SUM(F6:F11)</f>
        <v/>
      </c>
      <c r="G12" s="5">
        <f>SUM(G6:G11)</f>
        <v/>
      </c>
      <c r="H12" s="5">
        <f>SUM(H6:H11)</f>
        <v/>
      </c>
      <c r="I12" s="5">
        <f>SUM(I6:I11)</f>
        <v/>
      </c>
      <c r="J12" s="5">
        <f>SUM(J6:J11)</f>
        <v/>
      </c>
      <c r="K12" s="5">
        <f>SUM(K6:K11)</f>
        <v/>
      </c>
      <c r="L12" s="5">
        <f>SUM(L6:L11)</f>
        <v/>
      </c>
      <c r="M12" s="5">
        <f>SUM(M6:M11)</f>
        <v/>
      </c>
      <c r="N12" s="5">
        <f>SUM(N6:N11)</f>
        <v/>
      </c>
      <c r="O12" s="5">
        <f>SUM(O6:O11)</f>
        <v/>
      </c>
      <c r="P12" s="5">
        <f>SUM(P6:P11)</f>
        <v/>
      </c>
      <c r="Q12" s="5">
        <f>SUM(Q6:Q11)</f>
        <v/>
      </c>
      <c r="R12" s="5">
        <f>SUM(R6:R11)</f>
        <v/>
      </c>
      <c r="S12" s="4" t="inlineStr">
        <is>
          <t>100%</t>
        </is>
      </c>
    </row>
    <row r="13">
      <c r="A13" s="7" t="n"/>
      <c r="B13" s="8" t="n"/>
      <c r="C13" s="8" t="n"/>
      <c r="D13" s="8" t="n"/>
      <c r="E13" s="8">
        <f>IF(A13="","",SUM(B13:D13))</f>
        <v/>
      </c>
      <c r="F13" s="8" t="n"/>
      <c r="G13" s="8" t="n"/>
      <c r="H13" s="8" t="n"/>
      <c r="I13" s="8">
        <f>IF(A13="","",SUM(F13:H13))</f>
        <v/>
      </c>
      <c r="J13" s="8" t="n"/>
      <c r="K13" s="8" t="n"/>
      <c r="L13" s="8" t="n"/>
      <c r="M13" s="8">
        <f>IF(A13="","",SUM(J13:L13))</f>
        <v/>
      </c>
      <c r="N13" s="8" t="n"/>
      <c r="O13" s="8" t="n"/>
      <c r="P13" s="8" t="n"/>
      <c r="Q13" s="8">
        <f>IF(A13="","",SUM(N13:P13))</f>
        <v/>
      </c>
      <c r="R13" s="8">
        <f>IF(A13="","",E13+I13+M13+Q13)</f>
        <v/>
      </c>
      <c r="S13" s="9">
        <f>IF(A13="","",IFERROR(R13/SUM($R$6:$R$115),0))</f>
        <v/>
      </c>
    </row>
    <row r="14">
      <c r="A14" s="4" t="n"/>
      <c r="B14" s="5" t="n"/>
      <c r="C14" s="5" t="n"/>
      <c r="D14" s="5" t="n"/>
      <c r="E14" s="5">
        <f>IF(A14="","",SUM(B14:D14))</f>
        <v/>
      </c>
      <c r="F14" s="5" t="n"/>
      <c r="G14" s="5" t="n"/>
      <c r="H14" s="5" t="n"/>
      <c r="I14" s="5">
        <f>IF(A14="","",SUM(F14:H14))</f>
        <v/>
      </c>
      <c r="J14" s="5" t="n"/>
      <c r="K14" s="5" t="n"/>
      <c r="L14" s="5" t="n"/>
      <c r="M14" s="5">
        <f>IF(A14="","",SUM(J14:L14))</f>
        <v/>
      </c>
      <c r="N14" s="5" t="n"/>
      <c r="O14" s="5" t="n"/>
      <c r="P14" s="5" t="n"/>
      <c r="Q14" s="5">
        <f>IF(A14="","",SUM(N14:P14))</f>
        <v/>
      </c>
      <c r="R14" s="5">
        <f>IF(A14="","",E14+I14+M14+Q14)</f>
        <v/>
      </c>
      <c r="S14" s="6">
        <f>IF(A14="","",IFERROR(R14/SUM($R$6:$R$115),0))</f>
        <v/>
      </c>
    </row>
    <row r="15">
      <c r="A15" s="7" t="n"/>
      <c r="B15" s="8" t="n"/>
      <c r="C15" s="8" t="n"/>
      <c r="D15" s="8" t="n"/>
      <c r="E15" s="8">
        <f>IF(A15="","",SUM(B15:D15))</f>
        <v/>
      </c>
      <c r="F15" s="8" t="n"/>
      <c r="G15" s="8" t="n"/>
      <c r="H15" s="8" t="n"/>
      <c r="I15" s="8">
        <f>IF(A15="","",SUM(F15:H15))</f>
        <v/>
      </c>
      <c r="J15" s="8" t="n"/>
      <c r="K15" s="8" t="n"/>
      <c r="L15" s="8" t="n"/>
      <c r="M15" s="8">
        <f>IF(A15="","",SUM(J15:L15))</f>
        <v/>
      </c>
      <c r="N15" s="8" t="n"/>
      <c r="O15" s="8" t="n"/>
      <c r="P15" s="8" t="n"/>
      <c r="Q15" s="8">
        <f>IF(A15="","",SUM(N15:P15))</f>
        <v/>
      </c>
      <c r="R15" s="8">
        <f>IF(A15="","",E15+I15+M15+Q15)</f>
        <v/>
      </c>
      <c r="S15" s="9">
        <f>IF(A15="","",IFERROR(R15/SUM($R$6:$R$115),0))</f>
        <v/>
      </c>
    </row>
    <row r="16">
      <c r="A16" s="4" t="n"/>
      <c r="B16" s="5" t="n"/>
      <c r="C16" s="5" t="n"/>
      <c r="D16" s="5" t="n"/>
      <c r="E16" s="5">
        <f>IF(A16="","",SUM(B16:D16))</f>
        <v/>
      </c>
      <c r="F16" s="5" t="n"/>
      <c r="G16" s="5" t="n"/>
      <c r="H16" s="5" t="n"/>
      <c r="I16" s="5">
        <f>IF(A16="","",SUM(F16:H16))</f>
        <v/>
      </c>
      <c r="J16" s="5" t="n"/>
      <c r="K16" s="5" t="n"/>
      <c r="L16" s="5" t="n"/>
      <c r="M16" s="5">
        <f>IF(A16="","",SUM(J16:L16))</f>
        <v/>
      </c>
      <c r="N16" s="5" t="n"/>
      <c r="O16" s="5" t="n"/>
      <c r="P16" s="5" t="n"/>
      <c r="Q16" s="5">
        <f>IF(A16="","",SUM(N16:P16))</f>
        <v/>
      </c>
      <c r="R16" s="5">
        <f>IF(A16="","",E16+I16+M16+Q16)</f>
        <v/>
      </c>
      <c r="S16" s="6">
        <f>IF(A16="","",IFERROR(R16/SUM($R$6:$R$115),0))</f>
        <v/>
      </c>
    </row>
    <row r="17">
      <c r="A17" s="7" t="n"/>
      <c r="B17" s="8" t="n"/>
      <c r="C17" s="8" t="n"/>
      <c r="D17" s="8" t="n"/>
      <c r="E17" s="8">
        <f>IF(A17="","",SUM(B17:D17))</f>
        <v/>
      </c>
      <c r="F17" s="8" t="n"/>
      <c r="G17" s="8" t="n"/>
      <c r="H17" s="8" t="n"/>
      <c r="I17" s="8">
        <f>IF(A17="","",SUM(F17:H17))</f>
        <v/>
      </c>
      <c r="J17" s="8" t="n"/>
      <c r="K17" s="8" t="n"/>
      <c r="L17" s="8" t="n"/>
      <c r="M17" s="8">
        <f>IF(A17="","",SUM(J17:L17))</f>
        <v/>
      </c>
      <c r="N17" s="8" t="n"/>
      <c r="O17" s="8" t="n"/>
      <c r="P17" s="8" t="n"/>
      <c r="Q17" s="8">
        <f>IF(A17="","",SUM(N17:P17))</f>
        <v/>
      </c>
      <c r="R17" s="8">
        <f>IF(A17="","",E17+I17+M17+Q17)</f>
        <v/>
      </c>
      <c r="S17" s="9">
        <f>IF(A17="","",IFERROR(R17/SUM($R$6:$R$115),0))</f>
        <v/>
      </c>
    </row>
    <row r="18">
      <c r="A18" s="4" t="n"/>
      <c r="B18" s="5" t="n"/>
      <c r="C18" s="5" t="n"/>
      <c r="D18" s="5" t="n"/>
      <c r="E18" s="5">
        <f>IF(A18="","",SUM(B18:D18))</f>
        <v/>
      </c>
      <c r="F18" s="5" t="n"/>
      <c r="G18" s="5" t="n"/>
      <c r="H18" s="5" t="n"/>
      <c r="I18" s="5">
        <f>IF(A18="","",SUM(F18:H18))</f>
        <v/>
      </c>
      <c r="J18" s="5" t="n"/>
      <c r="K18" s="5" t="n"/>
      <c r="L18" s="5" t="n"/>
      <c r="M18" s="5">
        <f>IF(A18="","",SUM(J18:L18))</f>
        <v/>
      </c>
      <c r="N18" s="5" t="n"/>
      <c r="O18" s="5" t="n"/>
      <c r="P18" s="5" t="n"/>
      <c r="Q18" s="5">
        <f>IF(A18="","",SUM(N18:P18))</f>
        <v/>
      </c>
      <c r="R18" s="5">
        <f>IF(A18="","",E18+I18+M18+Q18)</f>
        <v/>
      </c>
      <c r="S18" s="6">
        <f>IF(A18="","",IFERROR(R18/SUM($R$6:$R$115),0))</f>
        <v/>
      </c>
    </row>
    <row r="19">
      <c r="A19" s="7" t="n"/>
      <c r="B19" s="8" t="n"/>
      <c r="C19" s="8" t="n"/>
      <c r="D19" s="8" t="n"/>
      <c r="E19" s="8">
        <f>IF(A19="","",SUM(B19:D19))</f>
        <v/>
      </c>
      <c r="F19" s="8" t="n"/>
      <c r="G19" s="8" t="n"/>
      <c r="H19" s="8" t="n"/>
      <c r="I19" s="8">
        <f>IF(A19="","",SUM(F19:H19))</f>
        <v/>
      </c>
      <c r="J19" s="8" t="n"/>
      <c r="K19" s="8" t="n"/>
      <c r="L19" s="8" t="n"/>
      <c r="M19" s="8">
        <f>IF(A19="","",SUM(J19:L19))</f>
        <v/>
      </c>
      <c r="N19" s="8" t="n"/>
      <c r="O19" s="8" t="n"/>
      <c r="P19" s="8" t="n"/>
      <c r="Q19" s="8">
        <f>IF(A19="","",SUM(N19:P19))</f>
        <v/>
      </c>
      <c r="R19" s="8">
        <f>IF(A19="","",E19+I19+M19+Q19)</f>
        <v/>
      </c>
      <c r="S19" s="9">
        <f>IF(A19="","",IFERROR(R19/SUM($R$6:$R$115),0))</f>
        <v/>
      </c>
    </row>
    <row r="20">
      <c r="A20" s="4" t="n"/>
      <c r="B20" s="5" t="n"/>
      <c r="C20" s="5" t="n"/>
      <c r="D20" s="5" t="n"/>
      <c r="E20" s="5">
        <f>IF(A20="","",SUM(B20:D20))</f>
        <v/>
      </c>
      <c r="F20" s="5" t="n"/>
      <c r="G20" s="5" t="n"/>
      <c r="H20" s="5" t="n"/>
      <c r="I20" s="5">
        <f>IF(A20="","",SUM(F20:H20))</f>
        <v/>
      </c>
      <c r="J20" s="5" t="n"/>
      <c r="K20" s="5" t="n"/>
      <c r="L20" s="5" t="n"/>
      <c r="M20" s="5">
        <f>IF(A20="","",SUM(J20:L20))</f>
        <v/>
      </c>
      <c r="N20" s="5" t="n"/>
      <c r="O20" s="5" t="n"/>
      <c r="P20" s="5" t="n"/>
      <c r="Q20" s="5">
        <f>IF(A20="","",SUM(N20:P20))</f>
        <v/>
      </c>
      <c r="R20" s="5">
        <f>IF(A20="","",E20+I20+M20+Q20)</f>
        <v/>
      </c>
      <c r="S20" s="6">
        <f>IF(A20="","",IFERROR(R20/SUM($R$6:$R$115),0))</f>
        <v/>
      </c>
    </row>
    <row r="21">
      <c r="A21" s="7" t="n"/>
      <c r="B21" s="8" t="n"/>
      <c r="C21" s="8" t="n"/>
      <c r="D21" s="8" t="n"/>
      <c r="E21" s="8">
        <f>IF(A21="","",SUM(B21:D21))</f>
        <v/>
      </c>
      <c r="F21" s="8" t="n"/>
      <c r="G21" s="8" t="n"/>
      <c r="H21" s="8" t="n"/>
      <c r="I21" s="8">
        <f>IF(A21="","",SUM(F21:H21))</f>
        <v/>
      </c>
      <c r="J21" s="8" t="n"/>
      <c r="K21" s="8" t="n"/>
      <c r="L21" s="8" t="n"/>
      <c r="M21" s="8">
        <f>IF(A21="","",SUM(J21:L21))</f>
        <v/>
      </c>
      <c r="N21" s="8" t="n"/>
      <c r="O21" s="8" t="n"/>
      <c r="P21" s="8" t="n"/>
      <c r="Q21" s="8">
        <f>IF(A21="","",SUM(N21:P21))</f>
        <v/>
      </c>
      <c r="R21" s="8">
        <f>IF(A21="","",E21+I21+M21+Q21)</f>
        <v/>
      </c>
      <c r="S21" s="9">
        <f>IF(A21="","",IFERROR(R21/SUM($R$6:$R$115),0))</f>
        <v/>
      </c>
    </row>
    <row r="22">
      <c r="A22" s="4" t="n"/>
      <c r="B22" s="5" t="n"/>
      <c r="C22" s="5" t="n"/>
      <c r="D22" s="5" t="n"/>
      <c r="E22" s="5">
        <f>IF(A22="","",SUM(B22:D22))</f>
        <v/>
      </c>
      <c r="F22" s="5" t="n"/>
      <c r="G22" s="5" t="n"/>
      <c r="H22" s="5" t="n"/>
      <c r="I22" s="5">
        <f>IF(A22="","",SUM(F22:H22))</f>
        <v/>
      </c>
      <c r="J22" s="5" t="n"/>
      <c r="K22" s="5" t="n"/>
      <c r="L22" s="5" t="n"/>
      <c r="M22" s="5">
        <f>IF(A22="","",SUM(J22:L22))</f>
        <v/>
      </c>
      <c r="N22" s="5" t="n"/>
      <c r="O22" s="5" t="n"/>
      <c r="P22" s="5" t="n"/>
      <c r="Q22" s="5">
        <f>IF(A22="","",SUM(N22:P22))</f>
        <v/>
      </c>
      <c r="R22" s="5">
        <f>IF(A22="","",E22+I22+M22+Q22)</f>
        <v/>
      </c>
      <c r="S22" s="6">
        <f>IF(A22="","",IFERROR(R22/SUM($R$6:$R$115),0))</f>
        <v/>
      </c>
    </row>
    <row r="23">
      <c r="A23" s="7" t="n"/>
      <c r="B23" s="8" t="n"/>
      <c r="C23" s="8" t="n"/>
      <c r="D23" s="8" t="n"/>
      <c r="E23" s="8">
        <f>IF(A23="","",SUM(B23:D23))</f>
        <v/>
      </c>
      <c r="F23" s="8" t="n"/>
      <c r="G23" s="8" t="n"/>
      <c r="H23" s="8" t="n"/>
      <c r="I23" s="8">
        <f>IF(A23="","",SUM(F23:H23))</f>
        <v/>
      </c>
      <c r="J23" s="8" t="n"/>
      <c r="K23" s="8" t="n"/>
      <c r="L23" s="8" t="n"/>
      <c r="M23" s="8">
        <f>IF(A23="","",SUM(J23:L23))</f>
        <v/>
      </c>
      <c r="N23" s="8" t="n"/>
      <c r="O23" s="8" t="n"/>
      <c r="P23" s="8" t="n"/>
      <c r="Q23" s="8">
        <f>IF(A23="","",SUM(N23:P23))</f>
        <v/>
      </c>
      <c r="R23" s="8">
        <f>IF(A23="","",E23+I23+M23+Q23)</f>
        <v/>
      </c>
      <c r="S23" s="9">
        <f>IF(A23="","",IFERROR(R23/SUM($R$6:$R$115),0))</f>
        <v/>
      </c>
    </row>
    <row r="24">
      <c r="A24" s="4" t="n"/>
      <c r="B24" s="5" t="n"/>
      <c r="C24" s="5" t="n"/>
      <c r="D24" s="5" t="n"/>
      <c r="E24" s="5">
        <f>IF(A24="","",SUM(B24:D24))</f>
        <v/>
      </c>
      <c r="F24" s="5" t="n"/>
      <c r="G24" s="5" t="n"/>
      <c r="H24" s="5" t="n"/>
      <c r="I24" s="5">
        <f>IF(A24="","",SUM(F24:H24))</f>
        <v/>
      </c>
      <c r="J24" s="5" t="n"/>
      <c r="K24" s="5" t="n"/>
      <c r="L24" s="5" t="n"/>
      <c r="M24" s="5">
        <f>IF(A24="","",SUM(J24:L24))</f>
        <v/>
      </c>
      <c r="N24" s="5" t="n"/>
      <c r="O24" s="5" t="n"/>
      <c r="P24" s="5" t="n"/>
      <c r="Q24" s="5">
        <f>IF(A24="","",SUM(N24:P24))</f>
        <v/>
      </c>
      <c r="R24" s="5">
        <f>IF(A24="","",E24+I24+M24+Q24)</f>
        <v/>
      </c>
      <c r="S24" s="6">
        <f>IF(A24="","",IFERROR(R24/SUM($R$6:$R$115),0))</f>
        <v/>
      </c>
    </row>
    <row r="25">
      <c r="A25" s="7" t="n"/>
      <c r="B25" s="8" t="n"/>
      <c r="C25" s="8" t="n"/>
      <c r="D25" s="8" t="n"/>
      <c r="E25" s="8">
        <f>IF(A25="","",SUM(B25:D25))</f>
        <v/>
      </c>
      <c r="F25" s="8" t="n"/>
      <c r="G25" s="8" t="n"/>
      <c r="H25" s="8" t="n"/>
      <c r="I25" s="8">
        <f>IF(A25="","",SUM(F25:H25))</f>
        <v/>
      </c>
      <c r="J25" s="8" t="n"/>
      <c r="K25" s="8" t="n"/>
      <c r="L25" s="8" t="n"/>
      <c r="M25" s="8">
        <f>IF(A25="","",SUM(J25:L25))</f>
        <v/>
      </c>
      <c r="N25" s="8" t="n"/>
      <c r="O25" s="8" t="n"/>
      <c r="P25" s="8" t="n"/>
      <c r="Q25" s="8">
        <f>IF(A25="","",SUM(N25:P25))</f>
        <v/>
      </c>
      <c r="R25" s="8">
        <f>IF(A25="","",E25+I25+M25+Q25)</f>
        <v/>
      </c>
      <c r="S25" s="9">
        <f>IF(A25="","",IFERROR(R25/SUM($R$6:$R$115),0))</f>
        <v/>
      </c>
    </row>
    <row r="26">
      <c r="A26" s="4" t="n"/>
      <c r="B26" s="5" t="n"/>
      <c r="C26" s="5" t="n"/>
      <c r="D26" s="5" t="n"/>
      <c r="E26" s="5">
        <f>IF(A26="","",SUM(B26:D26))</f>
        <v/>
      </c>
      <c r="F26" s="5" t="n"/>
      <c r="G26" s="5" t="n"/>
      <c r="H26" s="5" t="n"/>
      <c r="I26" s="5">
        <f>IF(A26="","",SUM(F26:H26))</f>
        <v/>
      </c>
      <c r="J26" s="5" t="n"/>
      <c r="K26" s="5" t="n"/>
      <c r="L26" s="5" t="n"/>
      <c r="M26" s="5">
        <f>IF(A26="","",SUM(J26:L26))</f>
        <v/>
      </c>
      <c r="N26" s="5" t="n"/>
      <c r="O26" s="5" t="n"/>
      <c r="P26" s="5" t="n"/>
      <c r="Q26" s="5">
        <f>IF(A26="","",SUM(N26:P26))</f>
        <v/>
      </c>
      <c r="R26" s="5">
        <f>IF(A26="","",E26+I26+M26+Q26)</f>
        <v/>
      </c>
      <c r="S26" s="6">
        <f>IF(A26="","",IFERROR(R26/SUM($R$6:$R$115),0))</f>
        <v/>
      </c>
    </row>
    <row r="27">
      <c r="A27" s="7" t="n"/>
      <c r="B27" s="8" t="n"/>
      <c r="C27" s="8" t="n"/>
      <c r="D27" s="8" t="n"/>
      <c r="E27" s="8">
        <f>IF(A27="","",SUM(B27:D27))</f>
        <v/>
      </c>
      <c r="F27" s="8" t="n"/>
      <c r="G27" s="8" t="n"/>
      <c r="H27" s="8" t="n"/>
      <c r="I27" s="8">
        <f>IF(A27="","",SUM(F27:H27))</f>
        <v/>
      </c>
      <c r="J27" s="8" t="n"/>
      <c r="K27" s="8" t="n"/>
      <c r="L27" s="8" t="n"/>
      <c r="M27" s="8">
        <f>IF(A27="","",SUM(J27:L27))</f>
        <v/>
      </c>
      <c r="N27" s="8" t="n"/>
      <c r="O27" s="8" t="n"/>
      <c r="P27" s="8" t="n"/>
      <c r="Q27" s="8">
        <f>IF(A27="","",SUM(N27:P27))</f>
        <v/>
      </c>
      <c r="R27" s="8">
        <f>IF(A27="","",E27+I27+M27+Q27)</f>
        <v/>
      </c>
      <c r="S27" s="9">
        <f>IF(A27="","",IFERROR(R27/SUM($R$6:$R$115),0))</f>
        <v/>
      </c>
    </row>
    <row r="28">
      <c r="A28" s="4" t="n"/>
      <c r="B28" s="5" t="n"/>
      <c r="C28" s="5" t="n"/>
      <c r="D28" s="5" t="n"/>
      <c r="E28" s="5">
        <f>IF(A28="","",SUM(B28:D28))</f>
        <v/>
      </c>
      <c r="F28" s="5" t="n"/>
      <c r="G28" s="5" t="n"/>
      <c r="H28" s="5" t="n"/>
      <c r="I28" s="5">
        <f>IF(A28="","",SUM(F28:H28))</f>
        <v/>
      </c>
      <c r="J28" s="5" t="n"/>
      <c r="K28" s="5" t="n"/>
      <c r="L28" s="5" t="n"/>
      <c r="M28" s="5">
        <f>IF(A28="","",SUM(J28:L28))</f>
        <v/>
      </c>
      <c r="N28" s="5" t="n"/>
      <c r="O28" s="5" t="n"/>
      <c r="P28" s="5" t="n"/>
      <c r="Q28" s="5">
        <f>IF(A28="","",SUM(N28:P28))</f>
        <v/>
      </c>
      <c r="R28" s="5">
        <f>IF(A28="","",E28+I28+M28+Q28)</f>
        <v/>
      </c>
      <c r="S28" s="6">
        <f>IF(A28="","",IFERROR(R28/SUM($R$6:$R$115),0))</f>
        <v/>
      </c>
    </row>
    <row r="29">
      <c r="A29" s="7" t="n"/>
      <c r="B29" s="8" t="n"/>
      <c r="C29" s="8" t="n"/>
      <c r="D29" s="8" t="n"/>
      <c r="E29" s="8">
        <f>IF(A29="","",SUM(B29:D29))</f>
        <v/>
      </c>
      <c r="F29" s="8" t="n"/>
      <c r="G29" s="8" t="n"/>
      <c r="H29" s="8" t="n"/>
      <c r="I29" s="8">
        <f>IF(A29="","",SUM(F29:H29))</f>
        <v/>
      </c>
      <c r="J29" s="8" t="n"/>
      <c r="K29" s="8" t="n"/>
      <c r="L29" s="8" t="n"/>
      <c r="M29" s="8">
        <f>IF(A29="","",SUM(J29:L29))</f>
        <v/>
      </c>
      <c r="N29" s="8" t="n"/>
      <c r="O29" s="8" t="n"/>
      <c r="P29" s="8" t="n"/>
      <c r="Q29" s="8">
        <f>IF(A29="","",SUM(N29:P29))</f>
        <v/>
      </c>
      <c r="R29" s="8">
        <f>IF(A29="","",E29+I29+M29+Q29)</f>
        <v/>
      </c>
      <c r="S29" s="9">
        <f>IF(A29="","",IFERROR(R29/SUM($R$6:$R$115),0))</f>
        <v/>
      </c>
    </row>
    <row r="30">
      <c r="A30" s="4" t="n"/>
      <c r="B30" s="5" t="n"/>
      <c r="C30" s="5" t="n"/>
      <c r="D30" s="5" t="n"/>
      <c r="E30" s="5">
        <f>IF(A30="","",SUM(B30:D30))</f>
        <v/>
      </c>
      <c r="F30" s="5" t="n"/>
      <c r="G30" s="5" t="n"/>
      <c r="H30" s="5" t="n"/>
      <c r="I30" s="5">
        <f>IF(A30="","",SUM(F30:H30))</f>
        <v/>
      </c>
      <c r="J30" s="5" t="n"/>
      <c r="K30" s="5" t="n"/>
      <c r="L30" s="5" t="n"/>
      <c r="M30" s="5">
        <f>IF(A30="","",SUM(J30:L30))</f>
        <v/>
      </c>
      <c r="N30" s="5" t="n"/>
      <c r="O30" s="5" t="n"/>
      <c r="P30" s="5" t="n"/>
      <c r="Q30" s="5">
        <f>IF(A30="","",SUM(N30:P30))</f>
        <v/>
      </c>
      <c r="R30" s="5">
        <f>IF(A30="","",E30+I30+M30+Q30)</f>
        <v/>
      </c>
      <c r="S30" s="6">
        <f>IF(A30="","",IFERROR(R30/SUM($R$6:$R$115),0))</f>
        <v/>
      </c>
    </row>
    <row r="31">
      <c r="A31" s="7" t="n"/>
      <c r="B31" s="8" t="n"/>
      <c r="C31" s="8" t="n"/>
      <c r="D31" s="8" t="n"/>
      <c r="E31" s="8">
        <f>IF(A31="","",SUM(B31:D31))</f>
        <v/>
      </c>
      <c r="F31" s="8" t="n"/>
      <c r="G31" s="8" t="n"/>
      <c r="H31" s="8" t="n"/>
      <c r="I31" s="8">
        <f>IF(A31="","",SUM(F31:H31))</f>
        <v/>
      </c>
      <c r="J31" s="8" t="n"/>
      <c r="K31" s="8" t="n"/>
      <c r="L31" s="8" t="n"/>
      <c r="M31" s="8">
        <f>IF(A31="","",SUM(J31:L31))</f>
        <v/>
      </c>
      <c r="N31" s="8" t="n"/>
      <c r="O31" s="8" t="n"/>
      <c r="P31" s="8" t="n"/>
      <c r="Q31" s="8">
        <f>IF(A31="","",SUM(N31:P31))</f>
        <v/>
      </c>
      <c r="R31" s="8">
        <f>IF(A31="","",E31+I31+M31+Q31)</f>
        <v/>
      </c>
      <c r="S31" s="9">
        <f>IF(A31="","",IFERROR(R31/SUM($R$6:$R$115),0))</f>
        <v/>
      </c>
    </row>
    <row r="32">
      <c r="A32" s="4" t="n"/>
      <c r="B32" s="5" t="n"/>
      <c r="C32" s="5" t="n"/>
      <c r="D32" s="5" t="n"/>
      <c r="E32" s="5">
        <f>IF(A32="","",SUM(B32:D32))</f>
        <v/>
      </c>
      <c r="F32" s="5" t="n"/>
      <c r="G32" s="5" t="n"/>
      <c r="H32" s="5" t="n"/>
      <c r="I32" s="5">
        <f>IF(A32="","",SUM(F32:H32))</f>
        <v/>
      </c>
      <c r="J32" s="5" t="n"/>
      <c r="K32" s="5" t="n"/>
      <c r="L32" s="5" t="n"/>
      <c r="M32" s="5">
        <f>IF(A32="","",SUM(J32:L32))</f>
        <v/>
      </c>
      <c r="N32" s="5" t="n"/>
      <c r="O32" s="5" t="n"/>
      <c r="P32" s="5" t="n"/>
      <c r="Q32" s="5">
        <f>IF(A32="","",SUM(N32:P32))</f>
        <v/>
      </c>
      <c r="R32" s="5">
        <f>IF(A32="","",E32+I32+M32+Q32)</f>
        <v/>
      </c>
      <c r="S32" s="6">
        <f>IF(A32="","",IFERROR(R32/SUM($R$6:$R$115),0))</f>
        <v/>
      </c>
    </row>
    <row r="33">
      <c r="A33" s="7" t="n"/>
      <c r="B33" s="8" t="n"/>
      <c r="C33" s="8" t="n"/>
      <c r="D33" s="8" t="n"/>
      <c r="E33" s="8">
        <f>IF(A33="","",SUM(B33:D33))</f>
        <v/>
      </c>
      <c r="F33" s="8" t="n"/>
      <c r="G33" s="8" t="n"/>
      <c r="H33" s="8" t="n"/>
      <c r="I33" s="8">
        <f>IF(A33="","",SUM(F33:H33))</f>
        <v/>
      </c>
      <c r="J33" s="8" t="n"/>
      <c r="K33" s="8" t="n"/>
      <c r="L33" s="8" t="n"/>
      <c r="M33" s="8">
        <f>IF(A33="","",SUM(J33:L33))</f>
        <v/>
      </c>
      <c r="N33" s="8" t="n"/>
      <c r="O33" s="8" t="n"/>
      <c r="P33" s="8" t="n"/>
      <c r="Q33" s="8">
        <f>IF(A33="","",SUM(N33:P33))</f>
        <v/>
      </c>
      <c r="R33" s="8">
        <f>IF(A33="","",E33+I33+M33+Q33)</f>
        <v/>
      </c>
      <c r="S33" s="9">
        <f>IF(A33="","",IFERROR(R33/SUM($R$6:$R$115),0))</f>
        <v/>
      </c>
    </row>
    <row r="34">
      <c r="A34" s="4" t="n"/>
      <c r="B34" s="5" t="n"/>
      <c r="C34" s="5" t="n"/>
      <c r="D34" s="5" t="n"/>
      <c r="E34" s="5">
        <f>IF(A34="","",SUM(B34:D34))</f>
        <v/>
      </c>
      <c r="F34" s="5" t="n"/>
      <c r="G34" s="5" t="n"/>
      <c r="H34" s="5" t="n"/>
      <c r="I34" s="5">
        <f>IF(A34="","",SUM(F34:H34))</f>
        <v/>
      </c>
      <c r="J34" s="5" t="n"/>
      <c r="K34" s="5" t="n"/>
      <c r="L34" s="5" t="n"/>
      <c r="M34" s="5">
        <f>IF(A34="","",SUM(J34:L34))</f>
        <v/>
      </c>
      <c r="N34" s="5" t="n"/>
      <c r="O34" s="5" t="n"/>
      <c r="P34" s="5" t="n"/>
      <c r="Q34" s="5">
        <f>IF(A34="","",SUM(N34:P34))</f>
        <v/>
      </c>
      <c r="R34" s="5">
        <f>IF(A34="","",E34+I34+M34+Q34)</f>
        <v/>
      </c>
      <c r="S34" s="6">
        <f>IF(A34="","",IFERROR(R34/SUM($R$6:$R$115),0))</f>
        <v/>
      </c>
    </row>
    <row r="35">
      <c r="A35" s="7" t="n"/>
      <c r="B35" s="8" t="n"/>
      <c r="C35" s="8" t="n"/>
      <c r="D35" s="8" t="n"/>
      <c r="E35" s="8">
        <f>IF(A35="","",SUM(B35:D35))</f>
        <v/>
      </c>
      <c r="F35" s="8" t="n"/>
      <c r="G35" s="8" t="n"/>
      <c r="H35" s="8" t="n"/>
      <c r="I35" s="8">
        <f>IF(A35="","",SUM(F35:H35))</f>
        <v/>
      </c>
      <c r="J35" s="8" t="n"/>
      <c r="K35" s="8" t="n"/>
      <c r="L35" s="8" t="n"/>
      <c r="M35" s="8">
        <f>IF(A35="","",SUM(J35:L35))</f>
        <v/>
      </c>
      <c r="N35" s="8" t="n"/>
      <c r="O35" s="8" t="n"/>
      <c r="P35" s="8" t="n"/>
      <c r="Q35" s="8">
        <f>IF(A35="","",SUM(N35:P35))</f>
        <v/>
      </c>
      <c r="R35" s="8">
        <f>IF(A35="","",E35+I35+M35+Q35)</f>
        <v/>
      </c>
      <c r="S35" s="9">
        <f>IF(A35="","",IFERROR(R35/SUM($R$6:$R$115),0))</f>
        <v/>
      </c>
    </row>
    <row r="36">
      <c r="A36" s="4" t="n"/>
      <c r="B36" s="5" t="n"/>
      <c r="C36" s="5" t="n"/>
      <c r="D36" s="5" t="n"/>
      <c r="E36" s="5">
        <f>IF(A36="","",SUM(B36:D36))</f>
        <v/>
      </c>
      <c r="F36" s="5" t="n"/>
      <c r="G36" s="5" t="n"/>
      <c r="H36" s="5" t="n"/>
      <c r="I36" s="5">
        <f>IF(A36="","",SUM(F36:H36))</f>
        <v/>
      </c>
      <c r="J36" s="5" t="n"/>
      <c r="K36" s="5" t="n"/>
      <c r="L36" s="5" t="n"/>
      <c r="M36" s="5">
        <f>IF(A36="","",SUM(J36:L36))</f>
        <v/>
      </c>
      <c r="N36" s="5" t="n"/>
      <c r="O36" s="5" t="n"/>
      <c r="P36" s="5" t="n"/>
      <c r="Q36" s="5">
        <f>IF(A36="","",SUM(N36:P36))</f>
        <v/>
      </c>
      <c r="R36" s="5">
        <f>IF(A36="","",E36+I36+M36+Q36)</f>
        <v/>
      </c>
      <c r="S36" s="6">
        <f>IF(A36="","",IFERROR(R36/SUM($R$6:$R$115),0))</f>
        <v/>
      </c>
    </row>
    <row r="37">
      <c r="A37" s="7" t="n"/>
      <c r="B37" s="8" t="n"/>
      <c r="C37" s="8" t="n"/>
      <c r="D37" s="8" t="n"/>
      <c r="E37" s="8">
        <f>IF(A37="","",SUM(B37:D37))</f>
        <v/>
      </c>
      <c r="F37" s="8" t="n"/>
      <c r="G37" s="8" t="n"/>
      <c r="H37" s="8" t="n"/>
      <c r="I37" s="8">
        <f>IF(A37="","",SUM(F37:H37))</f>
        <v/>
      </c>
      <c r="J37" s="8" t="n"/>
      <c r="K37" s="8" t="n"/>
      <c r="L37" s="8" t="n"/>
      <c r="M37" s="8">
        <f>IF(A37="","",SUM(J37:L37))</f>
        <v/>
      </c>
      <c r="N37" s="8" t="n"/>
      <c r="O37" s="8" t="n"/>
      <c r="P37" s="8" t="n"/>
      <c r="Q37" s="8">
        <f>IF(A37="","",SUM(N37:P37))</f>
        <v/>
      </c>
      <c r="R37" s="8">
        <f>IF(A37="","",E37+I37+M37+Q37)</f>
        <v/>
      </c>
      <c r="S37" s="9">
        <f>IF(A37="","",IFERROR(R37/SUM($R$6:$R$115),0))</f>
        <v/>
      </c>
    </row>
    <row r="38">
      <c r="A38" s="4" t="n"/>
      <c r="B38" s="5" t="n"/>
      <c r="C38" s="5" t="n"/>
      <c r="D38" s="5" t="n"/>
      <c r="E38" s="5">
        <f>IF(A38="","",SUM(B38:D38))</f>
        <v/>
      </c>
      <c r="F38" s="5" t="n"/>
      <c r="G38" s="5" t="n"/>
      <c r="H38" s="5" t="n"/>
      <c r="I38" s="5">
        <f>IF(A38="","",SUM(F38:H38))</f>
        <v/>
      </c>
      <c r="J38" s="5" t="n"/>
      <c r="K38" s="5" t="n"/>
      <c r="L38" s="5" t="n"/>
      <c r="M38" s="5">
        <f>IF(A38="","",SUM(J38:L38))</f>
        <v/>
      </c>
      <c r="N38" s="5" t="n"/>
      <c r="O38" s="5" t="n"/>
      <c r="P38" s="5" t="n"/>
      <c r="Q38" s="5">
        <f>IF(A38="","",SUM(N38:P38))</f>
        <v/>
      </c>
      <c r="R38" s="5">
        <f>IF(A38="","",E38+I38+M38+Q38)</f>
        <v/>
      </c>
      <c r="S38" s="6">
        <f>IF(A38="","",IFERROR(R38/SUM($R$6:$R$115),0))</f>
        <v/>
      </c>
    </row>
    <row r="39">
      <c r="A39" s="7" t="n"/>
      <c r="B39" s="8" t="n"/>
      <c r="C39" s="8" t="n"/>
      <c r="D39" s="8" t="n"/>
      <c r="E39" s="8">
        <f>IF(A39="","",SUM(B39:D39))</f>
        <v/>
      </c>
      <c r="F39" s="8" t="n"/>
      <c r="G39" s="8" t="n"/>
      <c r="H39" s="8" t="n"/>
      <c r="I39" s="8">
        <f>IF(A39="","",SUM(F39:H39))</f>
        <v/>
      </c>
      <c r="J39" s="8" t="n"/>
      <c r="K39" s="8" t="n"/>
      <c r="L39" s="8" t="n"/>
      <c r="M39" s="8">
        <f>IF(A39="","",SUM(J39:L39))</f>
        <v/>
      </c>
      <c r="N39" s="8" t="n"/>
      <c r="O39" s="8" t="n"/>
      <c r="P39" s="8" t="n"/>
      <c r="Q39" s="8">
        <f>IF(A39="","",SUM(N39:P39))</f>
        <v/>
      </c>
      <c r="R39" s="8">
        <f>IF(A39="","",E39+I39+M39+Q39)</f>
        <v/>
      </c>
      <c r="S39" s="9">
        <f>IF(A39="","",IFERROR(R39/SUM($R$6:$R$115),0))</f>
        <v/>
      </c>
    </row>
    <row r="40">
      <c r="A40" s="4" t="n"/>
      <c r="B40" s="5" t="n"/>
      <c r="C40" s="5" t="n"/>
      <c r="D40" s="5" t="n"/>
      <c r="E40" s="5">
        <f>IF(A40="","",SUM(B40:D40))</f>
        <v/>
      </c>
      <c r="F40" s="5" t="n"/>
      <c r="G40" s="5" t="n"/>
      <c r="H40" s="5" t="n"/>
      <c r="I40" s="5">
        <f>IF(A40="","",SUM(F40:H40))</f>
        <v/>
      </c>
      <c r="J40" s="5" t="n"/>
      <c r="K40" s="5" t="n"/>
      <c r="L40" s="5" t="n"/>
      <c r="M40" s="5">
        <f>IF(A40="","",SUM(J40:L40))</f>
        <v/>
      </c>
      <c r="N40" s="5" t="n"/>
      <c r="O40" s="5" t="n"/>
      <c r="P40" s="5" t="n"/>
      <c r="Q40" s="5">
        <f>IF(A40="","",SUM(N40:P40))</f>
        <v/>
      </c>
      <c r="R40" s="5">
        <f>IF(A40="","",E40+I40+M40+Q40)</f>
        <v/>
      </c>
      <c r="S40" s="6">
        <f>IF(A40="","",IFERROR(R40/SUM($R$6:$R$115),0))</f>
        <v/>
      </c>
    </row>
    <row r="41">
      <c r="A41" s="7" t="n"/>
      <c r="B41" s="8" t="n"/>
      <c r="C41" s="8" t="n"/>
      <c r="D41" s="8" t="n"/>
      <c r="E41" s="8">
        <f>IF(A41="","",SUM(B41:D41))</f>
        <v/>
      </c>
      <c r="F41" s="8" t="n"/>
      <c r="G41" s="8" t="n"/>
      <c r="H41" s="8" t="n"/>
      <c r="I41" s="8">
        <f>IF(A41="","",SUM(F41:H41))</f>
        <v/>
      </c>
      <c r="J41" s="8" t="n"/>
      <c r="K41" s="8" t="n"/>
      <c r="L41" s="8" t="n"/>
      <c r="M41" s="8">
        <f>IF(A41="","",SUM(J41:L41))</f>
        <v/>
      </c>
      <c r="N41" s="8" t="n"/>
      <c r="O41" s="8" t="n"/>
      <c r="P41" s="8" t="n"/>
      <c r="Q41" s="8">
        <f>IF(A41="","",SUM(N41:P41))</f>
        <v/>
      </c>
      <c r="R41" s="8">
        <f>IF(A41="","",E41+I41+M41+Q41)</f>
        <v/>
      </c>
      <c r="S41" s="9">
        <f>IF(A41="","",IFERROR(R41/SUM($R$6:$R$115),0))</f>
        <v/>
      </c>
    </row>
    <row r="42">
      <c r="A42" s="4" t="n"/>
      <c r="B42" s="5" t="n"/>
      <c r="C42" s="5" t="n"/>
      <c r="D42" s="5" t="n"/>
      <c r="E42" s="5">
        <f>IF(A42="","",SUM(B42:D42))</f>
        <v/>
      </c>
      <c r="F42" s="5" t="n"/>
      <c r="G42" s="5" t="n"/>
      <c r="H42" s="5" t="n"/>
      <c r="I42" s="5">
        <f>IF(A42="","",SUM(F42:H42))</f>
        <v/>
      </c>
      <c r="J42" s="5" t="n"/>
      <c r="K42" s="5" t="n"/>
      <c r="L42" s="5" t="n"/>
      <c r="M42" s="5">
        <f>IF(A42="","",SUM(J42:L42))</f>
        <v/>
      </c>
      <c r="N42" s="5" t="n"/>
      <c r="O42" s="5" t="n"/>
      <c r="P42" s="5" t="n"/>
      <c r="Q42" s="5">
        <f>IF(A42="","",SUM(N42:P42))</f>
        <v/>
      </c>
      <c r="R42" s="5">
        <f>IF(A42="","",E42+I42+M42+Q42)</f>
        <v/>
      </c>
      <c r="S42" s="6">
        <f>IF(A42="","",IFERROR(R42/SUM($R$6:$R$115),0))</f>
        <v/>
      </c>
    </row>
    <row r="43">
      <c r="A43" s="7" t="n"/>
      <c r="B43" s="8" t="n"/>
      <c r="C43" s="8" t="n"/>
      <c r="D43" s="8" t="n"/>
      <c r="E43" s="8">
        <f>IF(A43="","",SUM(B43:D43))</f>
        <v/>
      </c>
      <c r="F43" s="8" t="n"/>
      <c r="G43" s="8" t="n"/>
      <c r="H43" s="8" t="n"/>
      <c r="I43" s="8">
        <f>IF(A43="","",SUM(F43:H43))</f>
        <v/>
      </c>
      <c r="J43" s="8" t="n"/>
      <c r="K43" s="8" t="n"/>
      <c r="L43" s="8" t="n"/>
      <c r="M43" s="8">
        <f>IF(A43="","",SUM(J43:L43))</f>
        <v/>
      </c>
      <c r="N43" s="8" t="n"/>
      <c r="O43" s="8" t="n"/>
      <c r="P43" s="8" t="n"/>
      <c r="Q43" s="8">
        <f>IF(A43="","",SUM(N43:P43))</f>
        <v/>
      </c>
      <c r="R43" s="8">
        <f>IF(A43="","",E43+I43+M43+Q43)</f>
        <v/>
      </c>
      <c r="S43" s="9">
        <f>IF(A43="","",IFERROR(R43/SUM($R$6:$R$115),0))</f>
        <v/>
      </c>
    </row>
    <row r="44">
      <c r="A44" s="4" t="n"/>
      <c r="B44" s="5" t="n"/>
      <c r="C44" s="5" t="n"/>
      <c r="D44" s="5" t="n"/>
      <c r="E44" s="5">
        <f>IF(A44="","",SUM(B44:D44))</f>
        <v/>
      </c>
      <c r="F44" s="5" t="n"/>
      <c r="G44" s="5" t="n"/>
      <c r="H44" s="5" t="n"/>
      <c r="I44" s="5">
        <f>IF(A44="","",SUM(F44:H44))</f>
        <v/>
      </c>
      <c r="J44" s="5" t="n"/>
      <c r="K44" s="5" t="n"/>
      <c r="L44" s="5" t="n"/>
      <c r="M44" s="5">
        <f>IF(A44="","",SUM(J44:L44))</f>
        <v/>
      </c>
      <c r="N44" s="5" t="n"/>
      <c r="O44" s="5" t="n"/>
      <c r="P44" s="5" t="n"/>
      <c r="Q44" s="5">
        <f>IF(A44="","",SUM(N44:P44))</f>
        <v/>
      </c>
      <c r="R44" s="5">
        <f>IF(A44="","",E44+I44+M44+Q44)</f>
        <v/>
      </c>
      <c r="S44" s="6">
        <f>IF(A44="","",IFERROR(R44/SUM($R$6:$R$115),0))</f>
        <v/>
      </c>
    </row>
    <row r="45">
      <c r="A45" s="7" t="n"/>
      <c r="B45" s="8" t="n"/>
      <c r="C45" s="8" t="n"/>
      <c r="D45" s="8" t="n"/>
      <c r="E45" s="8">
        <f>IF(A45="","",SUM(B45:D45))</f>
        <v/>
      </c>
      <c r="F45" s="8" t="n"/>
      <c r="G45" s="8" t="n"/>
      <c r="H45" s="8" t="n"/>
      <c r="I45" s="8">
        <f>IF(A45="","",SUM(F45:H45))</f>
        <v/>
      </c>
      <c r="J45" s="8" t="n"/>
      <c r="K45" s="8" t="n"/>
      <c r="L45" s="8" t="n"/>
      <c r="M45" s="8">
        <f>IF(A45="","",SUM(J45:L45))</f>
        <v/>
      </c>
      <c r="N45" s="8" t="n"/>
      <c r="O45" s="8" t="n"/>
      <c r="P45" s="8" t="n"/>
      <c r="Q45" s="8">
        <f>IF(A45="","",SUM(N45:P45))</f>
        <v/>
      </c>
      <c r="R45" s="8">
        <f>IF(A45="","",E45+I45+M45+Q45)</f>
        <v/>
      </c>
      <c r="S45" s="9">
        <f>IF(A45="","",IFERROR(R45/SUM($R$6:$R$115),0))</f>
        <v/>
      </c>
    </row>
    <row r="46">
      <c r="A46" s="4" t="n"/>
      <c r="B46" s="5" t="n"/>
      <c r="C46" s="5" t="n"/>
      <c r="D46" s="5" t="n"/>
      <c r="E46" s="5">
        <f>IF(A46="","",SUM(B46:D46))</f>
        <v/>
      </c>
      <c r="F46" s="5" t="n"/>
      <c r="G46" s="5" t="n"/>
      <c r="H46" s="5" t="n"/>
      <c r="I46" s="5">
        <f>IF(A46="","",SUM(F46:H46))</f>
        <v/>
      </c>
      <c r="J46" s="5" t="n"/>
      <c r="K46" s="5" t="n"/>
      <c r="L46" s="5" t="n"/>
      <c r="M46" s="5">
        <f>IF(A46="","",SUM(J46:L46))</f>
        <v/>
      </c>
      <c r="N46" s="5" t="n"/>
      <c r="O46" s="5" t="n"/>
      <c r="P46" s="5" t="n"/>
      <c r="Q46" s="5">
        <f>IF(A46="","",SUM(N46:P46))</f>
        <v/>
      </c>
      <c r="R46" s="5">
        <f>IF(A46="","",E46+I46+M46+Q46)</f>
        <v/>
      </c>
      <c r="S46" s="6">
        <f>IF(A46="","",IFERROR(R46/SUM($R$6:$R$115),0))</f>
        <v/>
      </c>
    </row>
    <row r="47">
      <c r="A47" s="7" t="n"/>
      <c r="B47" s="8" t="n"/>
      <c r="C47" s="8" t="n"/>
      <c r="D47" s="8" t="n"/>
      <c r="E47" s="8">
        <f>IF(A47="","",SUM(B47:D47))</f>
        <v/>
      </c>
      <c r="F47" s="8" t="n"/>
      <c r="G47" s="8" t="n"/>
      <c r="H47" s="8" t="n"/>
      <c r="I47" s="8">
        <f>IF(A47="","",SUM(F47:H47))</f>
        <v/>
      </c>
      <c r="J47" s="8" t="n"/>
      <c r="K47" s="8" t="n"/>
      <c r="L47" s="8" t="n"/>
      <c r="M47" s="8">
        <f>IF(A47="","",SUM(J47:L47))</f>
        <v/>
      </c>
      <c r="N47" s="8" t="n"/>
      <c r="O47" s="8" t="n"/>
      <c r="P47" s="8" t="n"/>
      <c r="Q47" s="8">
        <f>IF(A47="","",SUM(N47:P47))</f>
        <v/>
      </c>
      <c r="R47" s="8">
        <f>IF(A47="","",E47+I47+M47+Q47)</f>
        <v/>
      </c>
      <c r="S47" s="9">
        <f>IF(A47="","",IFERROR(R47/SUM($R$6:$R$115),0))</f>
        <v/>
      </c>
    </row>
    <row r="48">
      <c r="A48" s="4" t="n"/>
      <c r="B48" s="5" t="n"/>
      <c r="C48" s="5" t="n"/>
      <c r="D48" s="5" t="n"/>
      <c r="E48" s="5">
        <f>IF(A48="","",SUM(B48:D48))</f>
        <v/>
      </c>
      <c r="F48" s="5" t="n"/>
      <c r="G48" s="5" t="n"/>
      <c r="H48" s="5" t="n"/>
      <c r="I48" s="5">
        <f>IF(A48="","",SUM(F48:H48))</f>
        <v/>
      </c>
      <c r="J48" s="5" t="n"/>
      <c r="K48" s="5" t="n"/>
      <c r="L48" s="5" t="n"/>
      <c r="M48" s="5">
        <f>IF(A48="","",SUM(J48:L48))</f>
        <v/>
      </c>
      <c r="N48" s="5" t="n"/>
      <c r="O48" s="5" t="n"/>
      <c r="P48" s="5" t="n"/>
      <c r="Q48" s="5">
        <f>IF(A48="","",SUM(N48:P48))</f>
        <v/>
      </c>
      <c r="R48" s="5">
        <f>IF(A48="","",E48+I48+M48+Q48)</f>
        <v/>
      </c>
      <c r="S48" s="6">
        <f>IF(A48="","",IFERROR(R48/SUM($R$6:$R$115),0))</f>
        <v/>
      </c>
    </row>
    <row r="49">
      <c r="A49" s="7" t="n"/>
      <c r="B49" s="8" t="n"/>
      <c r="C49" s="8" t="n"/>
      <c r="D49" s="8" t="n"/>
      <c r="E49" s="8">
        <f>IF(A49="","",SUM(B49:D49))</f>
        <v/>
      </c>
      <c r="F49" s="8" t="n"/>
      <c r="G49" s="8" t="n"/>
      <c r="H49" s="8" t="n"/>
      <c r="I49" s="8">
        <f>IF(A49="","",SUM(F49:H49))</f>
        <v/>
      </c>
      <c r="J49" s="8" t="n"/>
      <c r="K49" s="8" t="n"/>
      <c r="L49" s="8" t="n"/>
      <c r="M49" s="8">
        <f>IF(A49="","",SUM(J49:L49))</f>
        <v/>
      </c>
      <c r="N49" s="8" t="n"/>
      <c r="O49" s="8" t="n"/>
      <c r="P49" s="8" t="n"/>
      <c r="Q49" s="8">
        <f>IF(A49="","",SUM(N49:P49))</f>
        <v/>
      </c>
      <c r="R49" s="8">
        <f>IF(A49="","",E49+I49+M49+Q49)</f>
        <v/>
      </c>
      <c r="S49" s="9">
        <f>IF(A49="","",IFERROR(R49/SUM($R$6:$R$115),0))</f>
        <v/>
      </c>
    </row>
    <row r="50">
      <c r="A50" s="4" t="n"/>
      <c r="B50" s="5" t="n"/>
      <c r="C50" s="5" t="n"/>
      <c r="D50" s="5" t="n"/>
      <c r="E50" s="5">
        <f>IF(A50="","",SUM(B50:D50))</f>
        <v/>
      </c>
      <c r="F50" s="5" t="n"/>
      <c r="G50" s="5" t="n"/>
      <c r="H50" s="5" t="n"/>
      <c r="I50" s="5">
        <f>IF(A50="","",SUM(F50:H50))</f>
        <v/>
      </c>
      <c r="J50" s="5" t="n"/>
      <c r="K50" s="5" t="n"/>
      <c r="L50" s="5" t="n"/>
      <c r="M50" s="5">
        <f>IF(A50="","",SUM(J50:L50))</f>
        <v/>
      </c>
      <c r="N50" s="5" t="n"/>
      <c r="O50" s="5" t="n"/>
      <c r="P50" s="5" t="n"/>
      <c r="Q50" s="5">
        <f>IF(A50="","",SUM(N50:P50))</f>
        <v/>
      </c>
      <c r="R50" s="5">
        <f>IF(A50="","",E50+I50+M50+Q50)</f>
        <v/>
      </c>
      <c r="S50" s="6">
        <f>IF(A50="","",IFERROR(R50/SUM($R$6:$R$115),0))</f>
        <v/>
      </c>
    </row>
    <row r="51">
      <c r="A51" s="7" t="n"/>
      <c r="B51" s="8" t="n"/>
      <c r="C51" s="8" t="n"/>
      <c r="D51" s="8" t="n"/>
      <c r="E51" s="8">
        <f>IF(A51="","",SUM(B51:D51))</f>
        <v/>
      </c>
      <c r="F51" s="8" t="n"/>
      <c r="G51" s="8" t="n"/>
      <c r="H51" s="8" t="n"/>
      <c r="I51" s="8">
        <f>IF(A51="","",SUM(F51:H51))</f>
        <v/>
      </c>
      <c r="J51" s="8" t="n"/>
      <c r="K51" s="8" t="n"/>
      <c r="L51" s="8" t="n"/>
      <c r="M51" s="8">
        <f>IF(A51="","",SUM(J51:L51))</f>
        <v/>
      </c>
      <c r="N51" s="8" t="n"/>
      <c r="O51" s="8" t="n"/>
      <c r="P51" s="8" t="n"/>
      <c r="Q51" s="8">
        <f>IF(A51="","",SUM(N51:P51))</f>
        <v/>
      </c>
      <c r="R51" s="8">
        <f>IF(A51="","",E51+I51+M51+Q51)</f>
        <v/>
      </c>
      <c r="S51" s="9">
        <f>IF(A51="","",IFERROR(R51/SUM($R$6:$R$115),0))</f>
        <v/>
      </c>
    </row>
    <row r="52">
      <c r="A52" s="4" t="n"/>
      <c r="B52" s="5" t="n"/>
      <c r="C52" s="5" t="n"/>
      <c r="D52" s="5" t="n"/>
      <c r="E52" s="5">
        <f>IF(A52="","",SUM(B52:D52))</f>
        <v/>
      </c>
      <c r="F52" s="5" t="n"/>
      <c r="G52" s="5" t="n"/>
      <c r="H52" s="5" t="n"/>
      <c r="I52" s="5">
        <f>IF(A52="","",SUM(F52:H52))</f>
        <v/>
      </c>
      <c r="J52" s="5" t="n"/>
      <c r="K52" s="5" t="n"/>
      <c r="L52" s="5" t="n"/>
      <c r="M52" s="5">
        <f>IF(A52="","",SUM(J52:L52))</f>
        <v/>
      </c>
      <c r="N52" s="5" t="n"/>
      <c r="O52" s="5" t="n"/>
      <c r="P52" s="5" t="n"/>
      <c r="Q52" s="5">
        <f>IF(A52="","",SUM(N52:P52))</f>
        <v/>
      </c>
      <c r="R52" s="5">
        <f>IF(A52="","",E52+I52+M52+Q52)</f>
        <v/>
      </c>
      <c r="S52" s="6">
        <f>IF(A52="","",IFERROR(R52/SUM($R$6:$R$115),0))</f>
        <v/>
      </c>
    </row>
    <row r="53">
      <c r="A53" s="7" t="n"/>
      <c r="B53" s="8" t="n"/>
      <c r="C53" s="8" t="n"/>
      <c r="D53" s="8" t="n"/>
      <c r="E53" s="8">
        <f>IF(A53="","",SUM(B53:D53))</f>
        <v/>
      </c>
      <c r="F53" s="8" t="n"/>
      <c r="G53" s="8" t="n"/>
      <c r="H53" s="8" t="n"/>
      <c r="I53" s="8">
        <f>IF(A53="","",SUM(F53:H53))</f>
        <v/>
      </c>
      <c r="J53" s="8" t="n"/>
      <c r="K53" s="8" t="n"/>
      <c r="L53" s="8" t="n"/>
      <c r="M53" s="8">
        <f>IF(A53="","",SUM(J53:L53))</f>
        <v/>
      </c>
      <c r="N53" s="8" t="n"/>
      <c r="O53" s="8" t="n"/>
      <c r="P53" s="8" t="n"/>
      <c r="Q53" s="8">
        <f>IF(A53="","",SUM(N53:P53))</f>
        <v/>
      </c>
      <c r="R53" s="8">
        <f>IF(A53="","",E53+I53+M53+Q53)</f>
        <v/>
      </c>
      <c r="S53" s="9">
        <f>IF(A53="","",IFERROR(R53/SUM($R$6:$R$115),0))</f>
        <v/>
      </c>
    </row>
    <row r="54">
      <c r="A54" s="4" t="n"/>
      <c r="B54" s="5" t="n"/>
      <c r="C54" s="5" t="n"/>
      <c r="D54" s="5" t="n"/>
      <c r="E54" s="5">
        <f>IF(A54="","",SUM(B54:D54))</f>
        <v/>
      </c>
      <c r="F54" s="5" t="n"/>
      <c r="G54" s="5" t="n"/>
      <c r="H54" s="5" t="n"/>
      <c r="I54" s="5">
        <f>IF(A54="","",SUM(F54:H54))</f>
        <v/>
      </c>
      <c r="J54" s="5" t="n"/>
      <c r="K54" s="5" t="n"/>
      <c r="L54" s="5" t="n"/>
      <c r="M54" s="5">
        <f>IF(A54="","",SUM(J54:L54))</f>
        <v/>
      </c>
      <c r="N54" s="5" t="n"/>
      <c r="O54" s="5" t="n"/>
      <c r="P54" s="5" t="n"/>
      <c r="Q54" s="5">
        <f>IF(A54="","",SUM(N54:P54))</f>
        <v/>
      </c>
      <c r="R54" s="5">
        <f>IF(A54="","",E54+I54+M54+Q54)</f>
        <v/>
      </c>
      <c r="S54" s="6">
        <f>IF(A54="","",IFERROR(R54/SUM($R$6:$R$115),0))</f>
        <v/>
      </c>
    </row>
    <row r="55">
      <c r="A55" s="7" t="n"/>
      <c r="B55" s="8" t="n"/>
      <c r="C55" s="8" t="n"/>
      <c r="D55" s="8" t="n"/>
      <c r="E55" s="8">
        <f>IF(A55="","",SUM(B55:D55))</f>
        <v/>
      </c>
      <c r="F55" s="8" t="n"/>
      <c r="G55" s="8" t="n"/>
      <c r="H55" s="8" t="n"/>
      <c r="I55" s="8">
        <f>IF(A55="","",SUM(F55:H55))</f>
        <v/>
      </c>
      <c r="J55" s="8" t="n"/>
      <c r="K55" s="8" t="n"/>
      <c r="L55" s="8" t="n"/>
      <c r="M55" s="8">
        <f>IF(A55="","",SUM(J55:L55))</f>
        <v/>
      </c>
      <c r="N55" s="8" t="n"/>
      <c r="O55" s="8" t="n"/>
      <c r="P55" s="8" t="n"/>
      <c r="Q55" s="8">
        <f>IF(A55="","",SUM(N55:P55))</f>
        <v/>
      </c>
      <c r="R55" s="8">
        <f>IF(A55="","",E55+I55+M55+Q55)</f>
        <v/>
      </c>
      <c r="S55" s="9">
        <f>IF(A55="","",IFERROR(R55/SUM($R$6:$R$115),0))</f>
        <v/>
      </c>
    </row>
    <row r="56">
      <c r="A56" s="4" t="n"/>
      <c r="B56" s="5" t="n"/>
      <c r="C56" s="5" t="n"/>
      <c r="D56" s="5" t="n"/>
      <c r="E56" s="5">
        <f>IF(A56="","",SUM(B56:D56))</f>
        <v/>
      </c>
      <c r="F56" s="5" t="n"/>
      <c r="G56" s="5" t="n"/>
      <c r="H56" s="5" t="n"/>
      <c r="I56" s="5">
        <f>IF(A56="","",SUM(F56:H56))</f>
        <v/>
      </c>
      <c r="J56" s="5" t="n"/>
      <c r="K56" s="5" t="n"/>
      <c r="L56" s="5" t="n"/>
      <c r="M56" s="5">
        <f>IF(A56="","",SUM(J56:L56))</f>
        <v/>
      </c>
      <c r="N56" s="5" t="n"/>
      <c r="O56" s="5" t="n"/>
      <c r="P56" s="5" t="n"/>
      <c r="Q56" s="5">
        <f>IF(A56="","",SUM(N56:P56))</f>
        <v/>
      </c>
      <c r="R56" s="5">
        <f>IF(A56="","",E56+I56+M56+Q56)</f>
        <v/>
      </c>
      <c r="S56" s="6">
        <f>IF(A56="","",IFERROR(R56/SUM($R$6:$R$115),0))</f>
        <v/>
      </c>
    </row>
    <row r="57">
      <c r="A57" s="7" t="n"/>
      <c r="B57" s="8" t="n"/>
      <c r="C57" s="8" t="n"/>
      <c r="D57" s="8" t="n"/>
      <c r="E57" s="8">
        <f>IF(A57="","",SUM(B57:D57))</f>
        <v/>
      </c>
      <c r="F57" s="8" t="n"/>
      <c r="G57" s="8" t="n"/>
      <c r="H57" s="8" t="n"/>
      <c r="I57" s="8">
        <f>IF(A57="","",SUM(F57:H57))</f>
        <v/>
      </c>
      <c r="J57" s="8" t="n"/>
      <c r="K57" s="8" t="n"/>
      <c r="L57" s="8" t="n"/>
      <c r="M57" s="8">
        <f>IF(A57="","",SUM(J57:L57))</f>
        <v/>
      </c>
      <c r="N57" s="8" t="n"/>
      <c r="O57" s="8" t="n"/>
      <c r="P57" s="8" t="n"/>
      <c r="Q57" s="8">
        <f>IF(A57="","",SUM(N57:P57))</f>
        <v/>
      </c>
      <c r="R57" s="8">
        <f>IF(A57="","",E57+I57+M57+Q57)</f>
        <v/>
      </c>
      <c r="S57" s="9">
        <f>IF(A57="","",IFERROR(R57/SUM($R$6:$R$115),0))</f>
        <v/>
      </c>
    </row>
    <row r="58">
      <c r="A58" s="4" t="n"/>
      <c r="B58" s="5" t="n"/>
      <c r="C58" s="5" t="n"/>
      <c r="D58" s="5" t="n"/>
      <c r="E58" s="5">
        <f>IF(A58="","",SUM(B58:D58))</f>
        <v/>
      </c>
      <c r="F58" s="5" t="n"/>
      <c r="G58" s="5" t="n"/>
      <c r="H58" s="5" t="n"/>
      <c r="I58" s="5">
        <f>IF(A58="","",SUM(F58:H58))</f>
        <v/>
      </c>
      <c r="J58" s="5" t="n"/>
      <c r="K58" s="5" t="n"/>
      <c r="L58" s="5" t="n"/>
      <c r="M58" s="5">
        <f>IF(A58="","",SUM(J58:L58))</f>
        <v/>
      </c>
      <c r="N58" s="5" t="n"/>
      <c r="O58" s="5" t="n"/>
      <c r="P58" s="5" t="n"/>
      <c r="Q58" s="5">
        <f>IF(A58="","",SUM(N58:P58))</f>
        <v/>
      </c>
      <c r="R58" s="5">
        <f>IF(A58="","",E58+I58+M58+Q58)</f>
        <v/>
      </c>
      <c r="S58" s="6">
        <f>IF(A58="","",IFERROR(R58/SUM($R$6:$R$115),0))</f>
        <v/>
      </c>
    </row>
    <row r="59">
      <c r="A59" s="7" t="n"/>
      <c r="B59" s="8" t="n"/>
      <c r="C59" s="8" t="n"/>
      <c r="D59" s="8" t="n"/>
      <c r="E59" s="8">
        <f>IF(A59="","",SUM(B59:D59))</f>
        <v/>
      </c>
      <c r="F59" s="8" t="n"/>
      <c r="G59" s="8" t="n"/>
      <c r="H59" s="8" t="n"/>
      <c r="I59" s="8">
        <f>IF(A59="","",SUM(F59:H59))</f>
        <v/>
      </c>
      <c r="J59" s="8" t="n"/>
      <c r="K59" s="8" t="n"/>
      <c r="L59" s="8" t="n"/>
      <c r="M59" s="8">
        <f>IF(A59="","",SUM(J59:L59))</f>
        <v/>
      </c>
      <c r="N59" s="8" t="n"/>
      <c r="O59" s="8" t="n"/>
      <c r="P59" s="8" t="n"/>
      <c r="Q59" s="8">
        <f>IF(A59="","",SUM(N59:P59))</f>
        <v/>
      </c>
      <c r="R59" s="8">
        <f>IF(A59="","",E59+I59+M59+Q59)</f>
        <v/>
      </c>
      <c r="S59" s="9">
        <f>IF(A59="","",IFERROR(R59/SUM($R$6:$R$115),0))</f>
        <v/>
      </c>
    </row>
    <row r="60">
      <c r="A60" s="4" t="n"/>
      <c r="B60" s="5" t="n"/>
      <c r="C60" s="5" t="n"/>
      <c r="D60" s="5" t="n"/>
      <c r="E60" s="5">
        <f>IF(A60="","",SUM(B60:D60))</f>
        <v/>
      </c>
      <c r="F60" s="5" t="n"/>
      <c r="G60" s="5" t="n"/>
      <c r="H60" s="5" t="n"/>
      <c r="I60" s="5">
        <f>IF(A60="","",SUM(F60:H60))</f>
        <v/>
      </c>
      <c r="J60" s="5" t="n"/>
      <c r="K60" s="5" t="n"/>
      <c r="L60" s="5" t="n"/>
      <c r="M60" s="5">
        <f>IF(A60="","",SUM(J60:L60))</f>
        <v/>
      </c>
      <c r="N60" s="5" t="n"/>
      <c r="O60" s="5" t="n"/>
      <c r="P60" s="5" t="n"/>
      <c r="Q60" s="5">
        <f>IF(A60="","",SUM(N60:P60))</f>
        <v/>
      </c>
      <c r="R60" s="5">
        <f>IF(A60="","",E60+I60+M60+Q60)</f>
        <v/>
      </c>
      <c r="S60" s="6">
        <f>IF(A60="","",IFERROR(R60/SUM($R$6:$R$115),0))</f>
        <v/>
      </c>
    </row>
    <row r="61">
      <c r="A61" s="7" t="n"/>
      <c r="B61" s="8" t="n"/>
      <c r="C61" s="8" t="n"/>
      <c r="D61" s="8" t="n"/>
      <c r="E61" s="8">
        <f>IF(A61="","",SUM(B61:D61))</f>
        <v/>
      </c>
      <c r="F61" s="8" t="n"/>
      <c r="G61" s="8" t="n"/>
      <c r="H61" s="8" t="n"/>
      <c r="I61" s="8">
        <f>IF(A61="","",SUM(F61:H61))</f>
        <v/>
      </c>
      <c r="J61" s="8" t="n"/>
      <c r="K61" s="8" t="n"/>
      <c r="L61" s="8" t="n"/>
      <c r="M61" s="8">
        <f>IF(A61="","",SUM(J61:L61))</f>
        <v/>
      </c>
      <c r="N61" s="8" t="n"/>
      <c r="O61" s="8" t="n"/>
      <c r="P61" s="8" t="n"/>
      <c r="Q61" s="8">
        <f>IF(A61="","",SUM(N61:P61))</f>
        <v/>
      </c>
      <c r="R61" s="8">
        <f>IF(A61="","",E61+I61+M61+Q61)</f>
        <v/>
      </c>
      <c r="S61" s="9">
        <f>IF(A61="","",IFERROR(R61/SUM($R$6:$R$115),0))</f>
        <v/>
      </c>
    </row>
    <row r="62">
      <c r="A62" s="4" t="n"/>
      <c r="B62" s="5" t="n"/>
      <c r="C62" s="5" t="n"/>
      <c r="D62" s="5" t="n"/>
      <c r="E62" s="5">
        <f>IF(A62="","",SUM(B62:D62))</f>
        <v/>
      </c>
      <c r="F62" s="5" t="n"/>
      <c r="G62" s="5" t="n"/>
      <c r="H62" s="5" t="n"/>
      <c r="I62" s="5">
        <f>IF(A62="","",SUM(F62:H62))</f>
        <v/>
      </c>
      <c r="J62" s="5" t="n"/>
      <c r="K62" s="5" t="n"/>
      <c r="L62" s="5" t="n"/>
      <c r="M62" s="5">
        <f>IF(A62="","",SUM(J62:L62))</f>
        <v/>
      </c>
      <c r="N62" s="5" t="n"/>
      <c r="O62" s="5" t="n"/>
      <c r="P62" s="5" t="n"/>
      <c r="Q62" s="5">
        <f>IF(A62="","",SUM(N62:P62))</f>
        <v/>
      </c>
      <c r="R62" s="5">
        <f>IF(A62="","",E62+I62+M62+Q62)</f>
        <v/>
      </c>
      <c r="S62" s="6">
        <f>IF(A62="","",IFERROR(R62/SUM($R$6:$R$115),0))</f>
        <v/>
      </c>
    </row>
    <row r="63">
      <c r="A63" s="7" t="n"/>
      <c r="B63" s="8" t="n"/>
      <c r="C63" s="8" t="n"/>
      <c r="D63" s="8" t="n"/>
      <c r="E63" s="8">
        <f>IF(A63="","",SUM(B63:D63))</f>
        <v/>
      </c>
      <c r="F63" s="8" t="n"/>
      <c r="G63" s="8" t="n"/>
      <c r="H63" s="8" t="n"/>
      <c r="I63" s="8">
        <f>IF(A63="","",SUM(F63:H63))</f>
        <v/>
      </c>
      <c r="J63" s="8" t="n"/>
      <c r="K63" s="8" t="n"/>
      <c r="L63" s="8" t="n"/>
      <c r="M63" s="8">
        <f>IF(A63="","",SUM(J63:L63))</f>
        <v/>
      </c>
      <c r="N63" s="8" t="n"/>
      <c r="O63" s="8" t="n"/>
      <c r="P63" s="8" t="n"/>
      <c r="Q63" s="8">
        <f>IF(A63="","",SUM(N63:P63))</f>
        <v/>
      </c>
      <c r="R63" s="8">
        <f>IF(A63="","",E63+I63+M63+Q63)</f>
        <v/>
      </c>
      <c r="S63" s="9">
        <f>IF(A63="","",IFERROR(R63/SUM($R$6:$R$115),0))</f>
        <v/>
      </c>
    </row>
    <row r="64">
      <c r="A64" s="4" t="n"/>
      <c r="B64" s="5" t="n"/>
      <c r="C64" s="5" t="n"/>
      <c r="D64" s="5" t="n"/>
      <c r="E64" s="5">
        <f>IF(A64="","",SUM(B64:D64))</f>
        <v/>
      </c>
      <c r="F64" s="5" t="n"/>
      <c r="G64" s="5" t="n"/>
      <c r="H64" s="5" t="n"/>
      <c r="I64" s="5">
        <f>IF(A64="","",SUM(F64:H64))</f>
        <v/>
      </c>
      <c r="J64" s="5" t="n"/>
      <c r="K64" s="5" t="n"/>
      <c r="L64" s="5" t="n"/>
      <c r="M64" s="5">
        <f>IF(A64="","",SUM(J64:L64))</f>
        <v/>
      </c>
      <c r="N64" s="5" t="n"/>
      <c r="O64" s="5" t="n"/>
      <c r="P64" s="5" t="n"/>
      <c r="Q64" s="5">
        <f>IF(A64="","",SUM(N64:P64))</f>
        <v/>
      </c>
      <c r="R64" s="5">
        <f>IF(A64="","",E64+I64+M64+Q64)</f>
        <v/>
      </c>
      <c r="S64" s="6">
        <f>IF(A64="","",IFERROR(R64/SUM($R$6:$R$115),0))</f>
        <v/>
      </c>
    </row>
    <row r="65">
      <c r="A65" s="7" t="n"/>
      <c r="B65" s="8" t="n"/>
      <c r="C65" s="8" t="n"/>
      <c r="D65" s="8" t="n"/>
      <c r="E65" s="8">
        <f>IF(A65="","",SUM(B65:D65))</f>
        <v/>
      </c>
      <c r="F65" s="8" t="n"/>
      <c r="G65" s="8" t="n"/>
      <c r="H65" s="8" t="n"/>
      <c r="I65" s="8">
        <f>IF(A65="","",SUM(F65:H65))</f>
        <v/>
      </c>
      <c r="J65" s="8" t="n"/>
      <c r="K65" s="8" t="n"/>
      <c r="L65" s="8" t="n"/>
      <c r="M65" s="8">
        <f>IF(A65="","",SUM(J65:L65))</f>
        <v/>
      </c>
      <c r="N65" s="8" t="n"/>
      <c r="O65" s="8" t="n"/>
      <c r="P65" s="8" t="n"/>
      <c r="Q65" s="8">
        <f>IF(A65="","",SUM(N65:P65))</f>
        <v/>
      </c>
      <c r="R65" s="8">
        <f>IF(A65="","",E65+I65+M65+Q65)</f>
        <v/>
      </c>
      <c r="S65" s="9">
        <f>IF(A65="","",IFERROR(R65/SUM($R$6:$R$115),0))</f>
        <v/>
      </c>
    </row>
    <row r="66">
      <c r="A66" s="4" t="n"/>
      <c r="B66" s="5" t="n"/>
      <c r="C66" s="5" t="n"/>
      <c r="D66" s="5" t="n"/>
      <c r="E66" s="5">
        <f>IF(A66="","",SUM(B66:D66))</f>
        <v/>
      </c>
      <c r="F66" s="5" t="n"/>
      <c r="G66" s="5" t="n"/>
      <c r="H66" s="5" t="n"/>
      <c r="I66" s="5">
        <f>IF(A66="","",SUM(F66:H66))</f>
        <v/>
      </c>
      <c r="J66" s="5" t="n"/>
      <c r="K66" s="5" t="n"/>
      <c r="L66" s="5" t="n"/>
      <c r="M66" s="5">
        <f>IF(A66="","",SUM(J66:L66))</f>
        <v/>
      </c>
      <c r="N66" s="5" t="n"/>
      <c r="O66" s="5" t="n"/>
      <c r="P66" s="5" t="n"/>
      <c r="Q66" s="5">
        <f>IF(A66="","",SUM(N66:P66))</f>
        <v/>
      </c>
      <c r="R66" s="5">
        <f>IF(A66="","",E66+I66+M66+Q66)</f>
        <v/>
      </c>
      <c r="S66" s="6">
        <f>IF(A66="","",IFERROR(R66/SUM($R$6:$R$115),0))</f>
        <v/>
      </c>
    </row>
    <row r="67">
      <c r="A67" s="7" t="n"/>
      <c r="B67" s="8" t="n"/>
      <c r="C67" s="8" t="n"/>
      <c r="D67" s="8" t="n"/>
      <c r="E67" s="8">
        <f>IF(A67="","",SUM(B67:D67))</f>
        <v/>
      </c>
      <c r="F67" s="8" t="n"/>
      <c r="G67" s="8" t="n"/>
      <c r="H67" s="8" t="n"/>
      <c r="I67" s="8">
        <f>IF(A67="","",SUM(F67:H67))</f>
        <v/>
      </c>
      <c r="J67" s="8" t="n"/>
      <c r="K67" s="8" t="n"/>
      <c r="L67" s="8" t="n"/>
      <c r="M67" s="8">
        <f>IF(A67="","",SUM(J67:L67))</f>
        <v/>
      </c>
      <c r="N67" s="8" t="n"/>
      <c r="O67" s="8" t="n"/>
      <c r="P67" s="8" t="n"/>
      <c r="Q67" s="8">
        <f>IF(A67="","",SUM(N67:P67))</f>
        <v/>
      </c>
      <c r="R67" s="8">
        <f>IF(A67="","",E67+I67+M67+Q67)</f>
        <v/>
      </c>
      <c r="S67" s="9">
        <f>IF(A67="","",IFERROR(R67/SUM($R$6:$R$115),0))</f>
        <v/>
      </c>
    </row>
    <row r="68">
      <c r="A68" s="4" t="n"/>
      <c r="B68" s="5" t="n"/>
      <c r="C68" s="5" t="n"/>
      <c r="D68" s="5" t="n"/>
      <c r="E68" s="5">
        <f>IF(A68="","",SUM(B68:D68))</f>
        <v/>
      </c>
      <c r="F68" s="5" t="n"/>
      <c r="G68" s="5" t="n"/>
      <c r="H68" s="5" t="n"/>
      <c r="I68" s="5">
        <f>IF(A68="","",SUM(F68:H68))</f>
        <v/>
      </c>
      <c r="J68" s="5" t="n"/>
      <c r="K68" s="5" t="n"/>
      <c r="L68" s="5" t="n"/>
      <c r="M68" s="5">
        <f>IF(A68="","",SUM(J68:L68))</f>
        <v/>
      </c>
      <c r="N68" s="5" t="n"/>
      <c r="O68" s="5" t="n"/>
      <c r="P68" s="5" t="n"/>
      <c r="Q68" s="5">
        <f>IF(A68="","",SUM(N68:P68))</f>
        <v/>
      </c>
      <c r="R68" s="5">
        <f>IF(A68="","",E68+I68+M68+Q68)</f>
        <v/>
      </c>
      <c r="S68" s="6">
        <f>IF(A68="","",IFERROR(R68/SUM($R$6:$R$115),0))</f>
        <v/>
      </c>
    </row>
    <row r="69">
      <c r="A69" s="7" t="n"/>
      <c r="B69" s="8" t="n"/>
      <c r="C69" s="8" t="n"/>
      <c r="D69" s="8" t="n"/>
      <c r="E69" s="8">
        <f>IF(A69="","",SUM(B69:D69))</f>
        <v/>
      </c>
      <c r="F69" s="8" t="n"/>
      <c r="G69" s="8" t="n"/>
      <c r="H69" s="8" t="n"/>
      <c r="I69" s="8">
        <f>IF(A69="","",SUM(F69:H69))</f>
        <v/>
      </c>
      <c r="J69" s="8" t="n"/>
      <c r="K69" s="8" t="n"/>
      <c r="L69" s="8" t="n"/>
      <c r="M69" s="8">
        <f>IF(A69="","",SUM(J69:L69))</f>
        <v/>
      </c>
      <c r="N69" s="8" t="n"/>
      <c r="O69" s="8" t="n"/>
      <c r="P69" s="8" t="n"/>
      <c r="Q69" s="8">
        <f>IF(A69="","",SUM(N69:P69))</f>
        <v/>
      </c>
      <c r="R69" s="8">
        <f>IF(A69="","",E69+I69+M69+Q69)</f>
        <v/>
      </c>
      <c r="S69" s="9">
        <f>IF(A69="","",IFERROR(R69/SUM($R$6:$R$115),0))</f>
        <v/>
      </c>
    </row>
    <row r="70">
      <c r="A70" s="4" t="n"/>
      <c r="B70" s="5" t="n"/>
      <c r="C70" s="5" t="n"/>
      <c r="D70" s="5" t="n"/>
      <c r="E70" s="5">
        <f>IF(A70="","",SUM(B70:D70))</f>
        <v/>
      </c>
      <c r="F70" s="5" t="n"/>
      <c r="G70" s="5" t="n"/>
      <c r="H70" s="5" t="n"/>
      <c r="I70" s="5">
        <f>IF(A70="","",SUM(F70:H70))</f>
        <v/>
      </c>
      <c r="J70" s="5" t="n"/>
      <c r="K70" s="5" t="n"/>
      <c r="L70" s="5" t="n"/>
      <c r="M70" s="5">
        <f>IF(A70="","",SUM(J70:L70))</f>
        <v/>
      </c>
      <c r="N70" s="5" t="n"/>
      <c r="O70" s="5" t="n"/>
      <c r="P70" s="5" t="n"/>
      <c r="Q70" s="5">
        <f>IF(A70="","",SUM(N70:P70))</f>
        <v/>
      </c>
      <c r="R70" s="5">
        <f>IF(A70="","",E70+I70+M70+Q70)</f>
        <v/>
      </c>
      <c r="S70" s="6">
        <f>IF(A70="","",IFERROR(R70/SUM($R$6:$R$115),0))</f>
        <v/>
      </c>
    </row>
    <row r="71">
      <c r="A71" s="7" t="n"/>
      <c r="B71" s="8" t="n"/>
      <c r="C71" s="8" t="n"/>
      <c r="D71" s="8" t="n"/>
      <c r="E71" s="8">
        <f>IF(A71="","",SUM(B71:D71))</f>
        <v/>
      </c>
      <c r="F71" s="8" t="n"/>
      <c r="G71" s="8" t="n"/>
      <c r="H71" s="8" t="n"/>
      <c r="I71" s="8">
        <f>IF(A71="","",SUM(F71:H71))</f>
        <v/>
      </c>
      <c r="J71" s="8" t="n"/>
      <c r="K71" s="8" t="n"/>
      <c r="L71" s="8" t="n"/>
      <c r="M71" s="8">
        <f>IF(A71="","",SUM(J71:L71))</f>
        <v/>
      </c>
      <c r="N71" s="8" t="n"/>
      <c r="O71" s="8" t="n"/>
      <c r="P71" s="8" t="n"/>
      <c r="Q71" s="8">
        <f>IF(A71="","",SUM(N71:P71))</f>
        <v/>
      </c>
      <c r="R71" s="8">
        <f>IF(A71="","",E71+I71+M71+Q71)</f>
        <v/>
      </c>
      <c r="S71" s="9">
        <f>IF(A71="","",IFERROR(R71/SUM($R$6:$R$115),0))</f>
        <v/>
      </c>
    </row>
    <row r="72">
      <c r="A72" s="4" t="n"/>
      <c r="B72" s="5" t="n"/>
      <c r="C72" s="5" t="n"/>
      <c r="D72" s="5" t="n"/>
      <c r="E72" s="5">
        <f>IF(A72="","",SUM(B72:D72))</f>
        <v/>
      </c>
      <c r="F72" s="5" t="n"/>
      <c r="G72" s="5" t="n"/>
      <c r="H72" s="5" t="n"/>
      <c r="I72" s="5">
        <f>IF(A72="","",SUM(F72:H72))</f>
        <v/>
      </c>
      <c r="J72" s="5" t="n"/>
      <c r="K72" s="5" t="n"/>
      <c r="L72" s="5" t="n"/>
      <c r="M72" s="5">
        <f>IF(A72="","",SUM(J72:L72))</f>
        <v/>
      </c>
      <c r="N72" s="5" t="n"/>
      <c r="O72" s="5" t="n"/>
      <c r="P72" s="5" t="n"/>
      <c r="Q72" s="5">
        <f>IF(A72="","",SUM(N72:P72))</f>
        <v/>
      </c>
      <c r="R72" s="5">
        <f>IF(A72="","",E72+I72+M72+Q72)</f>
        <v/>
      </c>
      <c r="S72" s="6">
        <f>IF(A72="","",IFERROR(R72/SUM($R$6:$R$115),0))</f>
        <v/>
      </c>
    </row>
    <row r="73">
      <c r="A73" s="7" t="n"/>
      <c r="B73" s="8" t="n"/>
      <c r="C73" s="8" t="n"/>
      <c r="D73" s="8" t="n"/>
      <c r="E73" s="8">
        <f>IF(A73="","",SUM(B73:D73))</f>
        <v/>
      </c>
      <c r="F73" s="8" t="n"/>
      <c r="G73" s="8" t="n"/>
      <c r="H73" s="8" t="n"/>
      <c r="I73" s="8">
        <f>IF(A73="","",SUM(F73:H73))</f>
        <v/>
      </c>
      <c r="J73" s="8" t="n"/>
      <c r="K73" s="8" t="n"/>
      <c r="L73" s="8" t="n"/>
      <c r="M73" s="8">
        <f>IF(A73="","",SUM(J73:L73))</f>
        <v/>
      </c>
      <c r="N73" s="8" t="n"/>
      <c r="O73" s="8" t="n"/>
      <c r="P73" s="8" t="n"/>
      <c r="Q73" s="8">
        <f>IF(A73="","",SUM(N73:P73))</f>
        <v/>
      </c>
      <c r="R73" s="8">
        <f>IF(A73="","",E73+I73+M73+Q73)</f>
        <v/>
      </c>
      <c r="S73" s="9">
        <f>IF(A73="","",IFERROR(R73/SUM($R$6:$R$115),0))</f>
        <v/>
      </c>
    </row>
    <row r="74">
      <c r="A74" s="4" t="n"/>
      <c r="B74" s="5" t="n"/>
      <c r="C74" s="5" t="n"/>
      <c r="D74" s="5" t="n"/>
      <c r="E74" s="5">
        <f>IF(A74="","",SUM(B74:D74))</f>
        <v/>
      </c>
      <c r="F74" s="5" t="n"/>
      <c r="G74" s="5" t="n"/>
      <c r="H74" s="5" t="n"/>
      <c r="I74" s="5">
        <f>IF(A74="","",SUM(F74:H74))</f>
        <v/>
      </c>
      <c r="J74" s="5" t="n"/>
      <c r="K74" s="5" t="n"/>
      <c r="L74" s="5" t="n"/>
      <c r="M74" s="5">
        <f>IF(A74="","",SUM(J74:L74))</f>
        <v/>
      </c>
      <c r="N74" s="5" t="n"/>
      <c r="O74" s="5" t="n"/>
      <c r="P74" s="5" t="n"/>
      <c r="Q74" s="5">
        <f>IF(A74="","",SUM(N74:P74))</f>
        <v/>
      </c>
      <c r="R74" s="5">
        <f>IF(A74="","",E74+I74+M74+Q74)</f>
        <v/>
      </c>
      <c r="S74" s="6">
        <f>IF(A74="","",IFERROR(R74/SUM($R$6:$R$115),0))</f>
        <v/>
      </c>
    </row>
    <row r="75">
      <c r="A75" s="7" t="n"/>
      <c r="B75" s="8" t="n"/>
      <c r="C75" s="8" t="n"/>
      <c r="D75" s="8" t="n"/>
      <c r="E75" s="8">
        <f>IF(A75="","",SUM(B75:D75))</f>
        <v/>
      </c>
      <c r="F75" s="8" t="n"/>
      <c r="G75" s="8" t="n"/>
      <c r="H75" s="8" t="n"/>
      <c r="I75" s="8">
        <f>IF(A75="","",SUM(F75:H75))</f>
        <v/>
      </c>
      <c r="J75" s="8" t="n"/>
      <c r="K75" s="8" t="n"/>
      <c r="L75" s="8" t="n"/>
      <c r="M75" s="8">
        <f>IF(A75="","",SUM(J75:L75))</f>
        <v/>
      </c>
      <c r="N75" s="8" t="n"/>
      <c r="O75" s="8" t="n"/>
      <c r="P75" s="8" t="n"/>
      <c r="Q75" s="8">
        <f>IF(A75="","",SUM(N75:P75))</f>
        <v/>
      </c>
      <c r="R75" s="8">
        <f>IF(A75="","",E75+I75+M75+Q75)</f>
        <v/>
      </c>
      <c r="S75" s="9">
        <f>IF(A75="","",IFERROR(R75/SUM($R$6:$R$115),0))</f>
        <v/>
      </c>
    </row>
    <row r="76">
      <c r="A76" s="4" t="n"/>
      <c r="B76" s="5" t="n"/>
      <c r="C76" s="5" t="n"/>
      <c r="D76" s="5" t="n"/>
      <c r="E76" s="5">
        <f>IF(A76="","",SUM(B76:D76))</f>
        <v/>
      </c>
      <c r="F76" s="5" t="n"/>
      <c r="G76" s="5" t="n"/>
      <c r="H76" s="5" t="n"/>
      <c r="I76" s="5">
        <f>IF(A76="","",SUM(F76:H76))</f>
        <v/>
      </c>
      <c r="J76" s="5" t="n"/>
      <c r="K76" s="5" t="n"/>
      <c r="L76" s="5" t="n"/>
      <c r="M76" s="5">
        <f>IF(A76="","",SUM(J76:L76))</f>
        <v/>
      </c>
      <c r="N76" s="5" t="n"/>
      <c r="O76" s="5" t="n"/>
      <c r="P76" s="5" t="n"/>
      <c r="Q76" s="5">
        <f>IF(A76="","",SUM(N76:P76))</f>
        <v/>
      </c>
      <c r="R76" s="5">
        <f>IF(A76="","",E76+I76+M76+Q76)</f>
        <v/>
      </c>
      <c r="S76" s="6">
        <f>IF(A76="","",IFERROR(R76/SUM($R$6:$R$115),0))</f>
        <v/>
      </c>
    </row>
    <row r="77">
      <c r="A77" s="7" t="n"/>
      <c r="B77" s="8" t="n"/>
      <c r="C77" s="8" t="n"/>
      <c r="D77" s="8" t="n"/>
      <c r="E77" s="8">
        <f>IF(A77="","",SUM(B77:D77))</f>
        <v/>
      </c>
      <c r="F77" s="8" t="n"/>
      <c r="G77" s="8" t="n"/>
      <c r="H77" s="8" t="n"/>
      <c r="I77" s="8">
        <f>IF(A77="","",SUM(F77:H77))</f>
        <v/>
      </c>
      <c r="J77" s="8" t="n"/>
      <c r="K77" s="8" t="n"/>
      <c r="L77" s="8" t="n"/>
      <c r="M77" s="8">
        <f>IF(A77="","",SUM(J77:L77))</f>
        <v/>
      </c>
      <c r="N77" s="8" t="n"/>
      <c r="O77" s="8" t="n"/>
      <c r="P77" s="8" t="n"/>
      <c r="Q77" s="8">
        <f>IF(A77="","",SUM(N77:P77))</f>
        <v/>
      </c>
      <c r="R77" s="8">
        <f>IF(A77="","",E77+I77+M77+Q77)</f>
        <v/>
      </c>
      <c r="S77" s="9">
        <f>IF(A77="","",IFERROR(R77/SUM($R$6:$R$115),0))</f>
        <v/>
      </c>
    </row>
    <row r="78">
      <c r="A78" s="4" t="n"/>
      <c r="B78" s="5" t="n"/>
      <c r="C78" s="5" t="n"/>
      <c r="D78" s="5" t="n"/>
      <c r="E78" s="5">
        <f>IF(A78="","",SUM(B78:D78))</f>
        <v/>
      </c>
      <c r="F78" s="5" t="n"/>
      <c r="G78" s="5" t="n"/>
      <c r="H78" s="5" t="n"/>
      <c r="I78" s="5">
        <f>IF(A78="","",SUM(F78:H78))</f>
        <v/>
      </c>
      <c r="J78" s="5" t="n"/>
      <c r="K78" s="5" t="n"/>
      <c r="L78" s="5" t="n"/>
      <c r="M78" s="5">
        <f>IF(A78="","",SUM(J78:L78))</f>
        <v/>
      </c>
      <c r="N78" s="5" t="n"/>
      <c r="O78" s="5" t="n"/>
      <c r="P78" s="5" t="n"/>
      <c r="Q78" s="5">
        <f>IF(A78="","",SUM(N78:P78))</f>
        <v/>
      </c>
      <c r="R78" s="5">
        <f>IF(A78="","",E78+I78+M78+Q78)</f>
        <v/>
      </c>
      <c r="S78" s="6">
        <f>IF(A78="","",IFERROR(R78/SUM($R$6:$R$115),0))</f>
        <v/>
      </c>
    </row>
    <row r="79">
      <c r="A79" s="7" t="n"/>
      <c r="B79" s="8" t="n"/>
      <c r="C79" s="8" t="n"/>
      <c r="D79" s="8" t="n"/>
      <c r="E79" s="8">
        <f>IF(A79="","",SUM(B79:D79))</f>
        <v/>
      </c>
      <c r="F79" s="8" t="n"/>
      <c r="G79" s="8" t="n"/>
      <c r="H79" s="8" t="n"/>
      <c r="I79" s="8">
        <f>IF(A79="","",SUM(F79:H79))</f>
        <v/>
      </c>
      <c r="J79" s="8" t="n"/>
      <c r="K79" s="8" t="n"/>
      <c r="L79" s="8" t="n"/>
      <c r="M79" s="8">
        <f>IF(A79="","",SUM(J79:L79))</f>
        <v/>
      </c>
      <c r="N79" s="8" t="n"/>
      <c r="O79" s="8" t="n"/>
      <c r="P79" s="8" t="n"/>
      <c r="Q79" s="8">
        <f>IF(A79="","",SUM(N79:P79))</f>
        <v/>
      </c>
      <c r="R79" s="8">
        <f>IF(A79="","",E79+I79+M79+Q79)</f>
        <v/>
      </c>
      <c r="S79" s="9">
        <f>IF(A79="","",IFERROR(R79/SUM($R$6:$R$115),0))</f>
        <v/>
      </c>
    </row>
    <row r="80">
      <c r="A80" s="4" t="n"/>
      <c r="B80" s="5" t="n"/>
      <c r="C80" s="5" t="n"/>
      <c r="D80" s="5" t="n"/>
      <c r="E80" s="5">
        <f>IF(A80="","",SUM(B80:D80))</f>
        <v/>
      </c>
      <c r="F80" s="5" t="n"/>
      <c r="G80" s="5" t="n"/>
      <c r="H80" s="5" t="n"/>
      <c r="I80" s="5">
        <f>IF(A80="","",SUM(F80:H80))</f>
        <v/>
      </c>
      <c r="J80" s="5" t="n"/>
      <c r="K80" s="5" t="n"/>
      <c r="L80" s="5" t="n"/>
      <c r="M80" s="5">
        <f>IF(A80="","",SUM(J80:L80))</f>
        <v/>
      </c>
      <c r="N80" s="5" t="n"/>
      <c r="O80" s="5" t="n"/>
      <c r="P80" s="5" t="n"/>
      <c r="Q80" s="5">
        <f>IF(A80="","",SUM(N80:P80))</f>
        <v/>
      </c>
      <c r="R80" s="5">
        <f>IF(A80="","",E80+I80+M80+Q80)</f>
        <v/>
      </c>
      <c r="S80" s="6">
        <f>IF(A80="","",IFERROR(R80/SUM($R$6:$R$115),0))</f>
        <v/>
      </c>
    </row>
    <row r="81">
      <c r="A81" s="7" t="n"/>
      <c r="B81" s="8" t="n"/>
      <c r="C81" s="8" t="n"/>
      <c r="D81" s="8" t="n"/>
      <c r="E81" s="8">
        <f>IF(A81="","",SUM(B81:D81))</f>
        <v/>
      </c>
      <c r="F81" s="8" t="n"/>
      <c r="G81" s="8" t="n"/>
      <c r="H81" s="8" t="n"/>
      <c r="I81" s="8">
        <f>IF(A81="","",SUM(F81:H81))</f>
        <v/>
      </c>
      <c r="J81" s="8" t="n"/>
      <c r="K81" s="8" t="n"/>
      <c r="L81" s="8" t="n"/>
      <c r="M81" s="8">
        <f>IF(A81="","",SUM(J81:L81))</f>
        <v/>
      </c>
      <c r="N81" s="8" t="n"/>
      <c r="O81" s="8" t="n"/>
      <c r="P81" s="8" t="n"/>
      <c r="Q81" s="8">
        <f>IF(A81="","",SUM(N81:P81))</f>
        <v/>
      </c>
      <c r="R81" s="8">
        <f>IF(A81="","",E81+I81+M81+Q81)</f>
        <v/>
      </c>
      <c r="S81" s="9">
        <f>IF(A81="","",IFERROR(R81/SUM($R$6:$R$115),0))</f>
        <v/>
      </c>
    </row>
    <row r="82">
      <c r="A82" s="4" t="n"/>
      <c r="B82" s="5" t="n"/>
      <c r="C82" s="5" t="n"/>
      <c r="D82" s="5" t="n"/>
      <c r="E82" s="5">
        <f>IF(A82="","",SUM(B82:D82))</f>
        <v/>
      </c>
      <c r="F82" s="5" t="n"/>
      <c r="G82" s="5" t="n"/>
      <c r="H82" s="5" t="n"/>
      <c r="I82" s="5">
        <f>IF(A82="","",SUM(F82:H82))</f>
        <v/>
      </c>
      <c r="J82" s="5" t="n"/>
      <c r="K82" s="5" t="n"/>
      <c r="L82" s="5" t="n"/>
      <c r="M82" s="5">
        <f>IF(A82="","",SUM(J82:L82))</f>
        <v/>
      </c>
      <c r="N82" s="5" t="n"/>
      <c r="O82" s="5" t="n"/>
      <c r="P82" s="5" t="n"/>
      <c r="Q82" s="5">
        <f>IF(A82="","",SUM(N82:P82))</f>
        <v/>
      </c>
      <c r="R82" s="5">
        <f>IF(A82="","",E82+I82+M82+Q82)</f>
        <v/>
      </c>
      <c r="S82" s="6">
        <f>IF(A82="","",IFERROR(R82/SUM($R$6:$R$115),0))</f>
        <v/>
      </c>
    </row>
    <row r="83">
      <c r="A83" s="7" t="n"/>
      <c r="B83" s="8" t="n"/>
      <c r="C83" s="8" t="n"/>
      <c r="D83" s="8" t="n"/>
      <c r="E83" s="8">
        <f>IF(A83="","",SUM(B83:D83))</f>
        <v/>
      </c>
      <c r="F83" s="8" t="n"/>
      <c r="G83" s="8" t="n"/>
      <c r="H83" s="8" t="n"/>
      <c r="I83" s="8">
        <f>IF(A83="","",SUM(F83:H83))</f>
        <v/>
      </c>
      <c r="J83" s="8" t="n"/>
      <c r="K83" s="8" t="n"/>
      <c r="L83" s="8" t="n"/>
      <c r="M83" s="8">
        <f>IF(A83="","",SUM(J83:L83))</f>
        <v/>
      </c>
      <c r="N83" s="8" t="n"/>
      <c r="O83" s="8" t="n"/>
      <c r="P83" s="8" t="n"/>
      <c r="Q83" s="8">
        <f>IF(A83="","",SUM(N83:P83))</f>
        <v/>
      </c>
      <c r="R83" s="8">
        <f>IF(A83="","",E83+I83+M83+Q83)</f>
        <v/>
      </c>
      <c r="S83" s="9">
        <f>IF(A83="","",IFERROR(R83/SUM($R$6:$R$115),0))</f>
        <v/>
      </c>
    </row>
    <row r="84">
      <c r="A84" s="4" t="n"/>
      <c r="B84" s="5" t="n"/>
      <c r="C84" s="5" t="n"/>
      <c r="D84" s="5" t="n"/>
      <c r="E84" s="5">
        <f>IF(A84="","",SUM(B84:D84))</f>
        <v/>
      </c>
      <c r="F84" s="5" t="n"/>
      <c r="G84" s="5" t="n"/>
      <c r="H84" s="5" t="n"/>
      <c r="I84" s="5">
        <f>IF(A84="","",SUM(F84:H84))</f>
        <v/>
      </c>
      <c r="J84" s="5" t="n"/>
      <c r="K84" s="5" t="n"/>
      <c r="L84" s="5" t="n"/>
      <c r="M84" s="5">
        <f>IF(A84="","",SUM(J84:L84))</f>
        <v/>
      </c>
      <c r="N84" s="5" t="n"/>
      <c r="O84" s="5" t="n"/>
      <c r="P84" s="5" t="n"/>
      <c r="Q84" s="5">
        <f>IF(A84="","",SUM(N84:P84))</f>
        <v/>
      </c>
      <c r="R84" s="5">
        <f>IF(A84="","",E84+I84+M84+Q84)</f>
        <v/>
      </c>
      <c r="S84" s="6">
        <f>IF(A84="","",IFERROR(R84/SUM($R$6:$R$115),0))</f>
        <v/>
      </c>
    </row>
    <row r="85">
      <c r="A85" s="7" t="n"/>
      <c r="B85" s="8" t="n"/>
      <c r="C85" s="8" t="n"/>
      <c r="D85" s="8" t="n"/>
      <c r="E85" s="8">
        <f>IF(A85="","",SUM(B85:D85))</f>
        <v/>
      </c>
      <c r="F85" s="8" t="n"/>
      <c r="G85" s="8" t="n"/>
      <c r="H85" s="8" t="n"/>
      <c r="I85" s="8">
        <f>IF(A85="","",SUM(F85:H85))</f>
        <v/>
      </c>
      <c r="J85" s="8" t="n"/>
      <c r="K85" s="8" t="n"/>
      <c r="L85" s="8" t="n"/>
      <c r="M85" s="8">
        <f>IF(A85="","",SUM(J85:L85))</f>
        <v/>
      </c>
      <c r="N85" s="8" t="n"/>
      <c r="O85" s="8" t="n"/>
      <c r="P85" s="8" t="n"/>
      <c r="Q85" s="8">
        <f>IF(A85="","",SUM(N85:P85))</f>
        <v/>
      </c>
      <c r="R85" s="8">
        <f>IF(A85="","",E85+I85+M85+Q85)</f>
        <v/>
      </c>
      <c r="S85" s="9">
        <f>IF(A85="","",IFERROR(R85/SUM($R$6:$R$115),0))</f>
        <v/>
      </c>
    </row>
    <row r="86">
      <c r="A86" s="4" t="n"/>
      <c r="B86" s="5" t="n"/>
      <c r="C86" s="5" t="n"/>
      <c r="D86" s="5" t="n"/>
      <c r="E86" s="5">
        <f>IF(A86="","",SUM(B86:D86))</f>
        <v/>
      </c>
      <c r="F86" s="5" t="n"/>
      <c r="G86" s="5" t="n"/>
      <c r="H86" s="5" t="n"/>
      <c r="I86" s="5">
        <f>IF(A86="","",SUM(F86:H86))</f>
        <v/>
      </c>
      <c r="J86" s="5" t="n"/>
      <c r="K86" s="5" t="n"/>
      <c r="L86" s="5" t="n"/>
      <c r="M86" s="5">
        <f>IF(A86="","",SUM(J86:L86))</f>
        <v/>
      </c>
      <c r="N86" s="5" t="n"/>
      <c r="O86" s="5" t="n"/>
      <c r="P86" s="5" t="n"/>
      <c r="Q86" s="5">
        <f>IF(A86="","",SUM(N86:P86))</f>
        <v/>
      </c>
      <c r="R86" s="5">
        <f>IF(A86="","",E86+I86+M86+Q86)</f>
        <v/>
      </c>
      <c r="S86" s="6">
        <f>IF(A86="","",IFERROR(R86/SUM($R$6:$R$115),0))</f>
        <v/>
      </c>
    </row>
    <row r="87">
      <c r="A87" s="7" t="n"/>
      <c r="B87" s="8" t="n"/>
      <c r="C87" s="8" t="n"/>
      <c r="D87" s="8" t="n"/>
      <c r="E87" s="8">
        <f>IF(A87="","",SUM(B87:D87))</f>
        <v/>
      </c>
      <c r="F87" s="8" t="n"/>
      <c r="G87" s="8" t="n"/>
      <c r="H87" s="8" t="n"/>
      <c r="I87" s="8">
        <f>IF(A87="","",SUM(F87:H87))</f>
        <v/>
      </c>
      <c r="J87" s="8" t="n"/>
      <c r="K87" s="8" t="n"/>
      <c r="L87" s="8" t="n"/>
      <c r="M87" s="8">
        <f>IF(A87="","",SUM(J87:L87))</f>
        <v/>
      </c>
      <c r="N87" s="8" t="n"/>
      <c r="O87" s="8" t="n"/>
      <c r="P87" s="8" t="n"/>
      <c r="Q87" s="8">
        <f>IF(A87="","",SUM(N87:P87))</f>
        <v/>
      </c>
      <c r="R87" s="8">
        <f>IF(A87="","",E87+I87+M87+Q87)</f>
        <v/>
      </c>
      <c r="S87" s="9">
        <f>IF(A87="","",IFERROR(R87/SUM($R$6:$R$115),0))</f>
        <v/>
      </c>
    </row>
    <row r="88">
      <c r="A88" s="4" t="n"/>
      <c r="B88" s="5" t="n"/>
      <c r="C88" s="5" t="n"/>
      <c r="D88" s="5" t="n"/>
      <c r="E88" s="5">
        <f>IF(A88="","",SUM(B88:D88))</f>
        <v/>
      </c>
      <c r="F88" s="5" t="n"/>
      <c r="G88" s="5" t="n"/>
      <c r="H88" s="5" t="n"/>
      <c r="I88" s="5">
        <f>IF(A88="","",SUM(F88:H88))</f>
        <v/>
      </c>
      <c r="J88" s="5" t="n"/>
      <c r="K88" s="5" t="n"/>
      <c r="L88" s="5" t="n"/>
      <c r="M88" s="5">
        <f>IF(A88="","",SUM(J88:L88))</f>
        <v/>
      </c>
      <c r="N88" s="5" t="n"/>
      <c r="O88" s="5" t="n"/>
      <c r="P88" s="5" t="n"/>
      <c r="Q88" s="5">
        <f>IF(A88="","",SUM(N88:P88))</f>
        <v/>
      </c>
      <c r="R88" s="5">
        <f>IF(A88="","",E88+I88+M88+Q88)</f>
        <v/>
      </c>
      <c r="S88" s="6">
        <f>IF(A88="","",IFERROR(R88/SUM($R$6:$R$115),0))</f>
        <v/>
      </c>
    </row>
    <row r="89">
      <c r="A89" s="7" t="n"/>
      <c r="B89" s="8" t="n"/>
      <c r="C89" s="8" t="n"/>
      <c r="D89" s="8" t="n"/>
      <c r="E89" s="8">
        <f>IF(A89="","",SUM(B89:D89))</f>
        <v/>
      </c>
      <c r="F89" s="8" t="n"/>
      <c r="G89" s="8" t="n"/>
      <c r="H89" s="8" t="n"/>
      <c r="I89" s="8">
        <f>IF(A89="","",SUM(F89:H89))</f>
        <v/>
      </c>
      <c r="J89" s="8" t="n"/>
      <c r="K89" s="8" t="n"/>
      <c r="L89" s="8" t="n"/>
      <c r="M89" s="8">
        <f>IF(A89="","",SUM(J89:L89))</f>
        <v/>
      </c>
      <c r="N89" s="8" t="n"/>
      <c r="O89" s="8" t="n"/>
      <c r="P89" s="8" t="n"/>
      <c r="Q89" s="8">
        <f>IF(A89="","",SUM(N89:P89))</f>
        <v/>
      </c>
      <c r="R89" s="8">
        <f>IF(A89="","",E89+I89+M89+Q89)</f>
        <v/>
      </c>
      <c r="S89" s="9">
        <f>IF(A89="","",IFERROR(R89/SUM($R$6:$R$115),0))</f>
        <v/>
      </c>
    </row>
    <row r="90">
      <c r="A90" s="4" t="n"/>
      <c r="B90" s="5" t="n"/>
      <c r="C90" s="5" t="n"/>
      <c r="D90" s="5" t="n"/>
      <c r="E90" s="5">
        <f>IF(A90="","",SUM(B90:D90))</f>
        <v/>
      </c>
      <c r="F90" s="5" t="n"/>
      <c r="G90" s="5" t="n"/>
      <c r="H90" s="5" t="n"/>
      <c r="I90" s="5">
        <f>IF(A90="","",SUM(F90:H90))</f>
        <v/>
      </c>
      <c r="J90" s="5" t="n"/>
      <c r="K90" s="5" t="n"/>
      <c r="L90" s="5" t="n"/>
      <c r="M90" s="5">
        <f>IF(A90="","",SUM(J90:L90))</f>
        <v/>
      </c>
      <c r="N90" s="5" t="n"/>
      <c r="O90" s="5" t="n"/>
      <c r="P90" s="5" t="n"/>
      <c r="Q90" s="5">
        <f>IF(A90="","",SUM(N90:P90))</f>
        <v/>
      </c>
      <c r="R90" s="5">
        <f>IF(A90="","",E90+I90+M90+Q90)</f>
        <v/>
      </c>
      <c r="S90" s="6">
        <f>IF(A90="","",IFERROR(R90/SUM($R$6:$R$115),0))</f>
        <v/>
      </c>
    </row>
    <row r="91">
      <c r="A91" s="7" t="n"/>
      <c r="B91" s="8" t="n"/>
      <c r="C91" s="8" t="n"/>
      <c r="D91" s="8" t="n"/>
      <c r="E91" s="8">
        <f>IF(A91="","",SUM(B91:D91))</f>
        <v/>
      </c>
      <c r="F91" s="8" t="n"/>
      <c r="G91" s="8" t="n"/>
      <c r="H91" s="8" t="n"/>
      <c r="I91" s="8">
        <f>IF(A91="","",SUM(F91:H91))</f>
        <v/>
      </c>
      <c r="J91" s="8" t="n"/>
      <c r="K91" s="8" t="n"/>
      <c r="L91" s="8" t="n"/>
      <c r="M91" s="8">
        <f>IF(A91="","",SUM(J91:L91))</f>
        <v/>
      </c>
      <c r="N91" s="8" t="n"/>
      <c r="O91" s="8" t="n"/>
      <c r="P91" s="8" t="n"/>
      <c r="Q91" s="8">
        <f>IF(A91="","",SUM(N91:P91))</f>
        <v/>
      </c>
      <c r="R91" s="8">
        <f>IF(A91="","",E91+I91+M91+Q91)</f>
        <v/>
      </c>
      <c r="S91" s="9">
        <f>IF(A91="","",IFERROR(R91/SUM($R$6:$R$115),0))</f>
        <v/>
      </c>
    </row>
    <row r="92">
      <c r="A92" s="4" t="n"/>
      <c r="B92" s="5" t="n"/>
      <c r="C92" s="5" t="n"/>
      <c r="D92" s="5" t="n"/>
      <c r="E92" s="5">
        <f>IF(A92="","",SUM(B92:D92))</f>
        <v/>
      </c>
      <c r="F92" s="5" t="n"/>
      <c r="G92" s="5" t="n"/>
      <c r="H92" s="5" t="n"/>
      <c r="I92" s="5">
        <f>IF(A92="","",SUM(F92:H92))</f>
        <v/>
      </c>
      <c r="J92" s="5" t="n"/>
      <c r="K92" s="5" t="n"/>
      <c r="L92" s="5" t="n"/>
      <c r="M92" s="5">
        <f>IF(A92="","",SUM(J92:L92))</f>
        <v/>
      </c>
      <c r="N92" s="5" t="n"/>
      <c r="O92" s="5" t="n"/>
      <c r="P92" s="5" t="n"/>
      <c r="Q92" s="5">
        <f>IF(A92="","",SUM(N92:P92))</f>
        <v/>
      </c>
      <c r="R92" s="5">
        <f>IF(A92="","",E92+I92+M92+Q92)</f>
        <v/>
      </c>
      <c r="S92" s="6">
        <f>IF(A92="","",IFERROR(R92/SUM($R$6:$R$115),0))</f>
        <v/>
      </c>
    </row>
    <row r="93">
      <c r="A93" s="7" t="n"/>
      <c r="B93" s="8" t="n"/>
      <c r="C93" s="8" t="n"/>
      <c r="D93" s="8" t="n"/>
      <c r="E93" s="8">
        <f>IF(A93="","",SUM(B93:D93))</f>
        <v/>
      </c>
      <c r="F93" s="8" t="n"/>
      <c r="G93" s="8" t="n"/>
      <c r="H93" s="8" t="n"/>
      <c r="I93" s="8">
        <f>IF(A93="","",SUM(F93:H93))</f>
        <v/>
      </c>
      <c r="J93" s="8" t="n"/>
      <c r="K93" s="8" t="n"/>
      <c r="L93" s="8" t="n"/>
      <c r="M93" s="8">
        <f>IF(A93="","",SUM(J93:L93))</f>
        <v/>
      </c>
      <c r="N93" s="8" t="n"/>
      <c r="O93" s="8" t="n"/>
      <c r="P93" s="8" t="n"/>
      <c r="Q93" s="8">
        <f>IF(A93="","",SUM(N93:P93))</f>
        <v/>
      </c>
      <c r="R93" s="8">
        <f>IF(A93="","",E93+I93+M93+Q93)</f>
        <v/>
      </c>
      <c r="S93" s="9">
        <f>IF(A93="","",IFERROR(R93/SUM($R$6:$R$115),0))</f>
        <v/>
      </c>
    </row>
    <row r="94">
      <c r="A94" s="4" t="n"/>
      <c r="B94" s="5" t="n"/>
      <c r="C94" s="5" t="n"/>
      <c r="D94" s="5" t="n"/>
      <c r="E94" s="5">
        <f>IF(A94="","",SUM(B94:D94))</f>
        <v/>
      </c>
      <c r="F94" s="5" t="n"/>
      <c r="G94" s="5" t="n"/>
      <c r="H94" s="5" t="n"/>
      <c r="I94" s="5">
        <f>IF(A94="","",SUM(F94:H94))</f>
        <v/>
      </c>
      <c r="J94" s="5" t="n"/>
      <c r="K94" s="5" t="n"/>
      <c r="L94" s="5" t="n"/>
      <c r="M94" s="5">
        <f>IF(A94="","",SUM(J94:L94))</f>
        <v/>
      </c>
      <c r="N94" s="5" t="n"/>
      <c r="O94" s="5" t="n"/>
      <c r="P94" s="5" t="n"/>
      <c r="Q94" s="5">
        <f>IF(A94="","",SUM(N94:P94))</f>
        <v/>
      </c>
      <c r="R94" s="5">
        <f>IF(A94="","",E94+I94+M94+Q94)</f>
        <v/>
      </c>
      <c r="S94" s="6">
        <f>IF(A94="","",IFERROR(R94/SUM($R$6:$R$115),0))</f>
        <v/>
      </c>
    </row>
    <row r="95">
      <c r="A95" s="7" t="n"/>
      <c r="B95" s="8" t="n"/>
      <c r="C95" s="8" t="n"/>
      <c r="D95" s="8" t="n"/>
      <c r="E95" s="8">
        <f>IF(A95="","",SUM(B95:D95))</f>
        <v/>
      </c>
      <c r="F95" s="8" t="n"/>
      <c r="G95" s="8" t="n"/>
      <c r="H95" s="8" t="n"/>
      <c r="I95" s="8">
        <f>IF(A95="","",SUM(F95:H95))</f>
        <v/>
      </c>
      <c r="J95" s="8" t="n"/>
      <c r="K95" s="8" t="n"/>
      <c r="L95" s="8" t="n"/>
      <c r="M95" s="8">
        <f>IF(A95="","",SUM(J95:L95))</f>
        <v/>
      </c>
      <c r="N95" s="8" t="n"/>
      <c r="O95" s="8" t="n"/>
      <c r="P95" s="8" t="n"/>
      <c r="Q95" s="8">
        <f>IF(A95="","",SUM(N95:P95))</f>
        <v/>
      </c>
      <c r="R95" s="8">
        <f>IF(A95="","",E95+I95+M95+Q95)</f>
        <v/>
      </c>
      <c r="S95" s="9">
        <f>IF(A95="","",IFERROR(R95/SUM($R$6:$R$115),0))</f>
        <v/>
      </c>
    </row>
    <row r="96">
      <c r="A96" s="4" t="n"/>
      <c r="B96" s="5" t="n"/>
      <c r="C96" s="5" t="n"/>
      <c r="D96" s="5" t="n"/>
      <c r="E96" s="5">
        <f>IF(A96="","",SUM(B96:D96))</f>
        <v/>
      </c>
      <c r="F96" s="5" t="n"/>
      <c r="G96" s="5" t="n"/>
      <c r="H96" s="5" t="n"/>
      <c r="I96" s="5">
        <f>IF(A96="","",SUM(F96:H96))</f>
        <v/>
      </c>
      <c r="J96" s="5" t="n"/>
      <c r="K96" s="5" t="n"/>
      <c r="L96" s="5" t="n"/>
      <c r="M96" s="5">
        <f>IF(A96="","",SUM(J96:L96))</f>
        <v/>
      </c>
      <c r="N96" s="5" t="n"/>
      <c r="O96" s="5" t="n"/>
      <c r="P96" s="5" t="n"/>
      <c r="Q96" s="5">
        <f>IF(A96="","",SUM(N96:P96))</f>
        <v/>
      </c>
      <c r="R96" s="5">
        <f>IF(A96="","",E96+I96+M96+Q96)</f>
        <v/>
      </c>
      <c r="S96" s="6">
        <f>IF(A96="","",IFERROR(R96/SUM($R$6:$R$115),0))</f>
        <v/>
      </c>
    </row>
    <row r="97">
      <c r="A97" s="7" t="n"/>
      <c r="B97" s="8" t="n"/>
      <c r="C97" s="8" t="n"/>
      <c r="D97" s="8" t="n"/>
      <c r="E97" s="8">
        <f>IF(A97="","",SUM(B97:D97))</f>
        <v/>
      </c>
      <c r="F97" s="8" t="n"/>
      <c r="G97" s="8" t="n"/>
      <c r="H97" s="8" t="n"/>
      <c r="I97" s="8">
        <f>IF(A97="","",SUM(F97:H97))</f>
        <v/>
      </c>
      <c r="J97" s="8" t="n"/>
      <c r="K97" s="8" t="n"/>
      <c r="L97" s="8" t="n"/>
      <c r="M97" s="8">
        <f>IF(A97="","",SUM(J97:L97))</f>
        <v/>
      </c>
      <c r="N97" s="8" t="n"/>
      <c r="O97" s="8" t="n"/>
      <c r="P97" s="8" t="n"/>
      <c r="Q97" s="8">
        <f>IF(A97="","",SUM(N97:P97))</f>
        <v/>
      </c>
      <c r="R97" s="8">
        <f>IF(A97="","",E97+I97+M97+Q97)</f>
        <v/>
      </c>
      <c r="S97" s="9">
        <f>IF(A97="","",IFERROR(R97/SUM($R$6:$R$115),0))</f>
        <v/>
      </c>
    </row>
    <row r="98">
      <c r="A98" s="4" t="n"/>
      <c r="B98" s="5" t="n"/>
      <c r="C98" s="5" t="n"/>
      <c r="D98" s="5" t="n"/>
      <c r="E98" s="5">
        <f>IF(A98="","",SUM(B98:D98))</f>
        <v/>
      </c>
      <c r="F98" s="5" t="n"/>
      <c r="G98" s="5" t="n"/>
      <c r="H98" s="5" t="n"/>
      <c r="I98" s="5">
        <f>IF(A98="","",SUM(F98:H98))</f>
        <v/>
      </c>
      <c r="J98" s="5" t="n"/>
      <c r="K98" s="5" t="n"/>
      <c r="L98" s="5" t="n"/>
      <c r="M98" s="5">
        <f>IF(A98="","",SUM(J98:L98))</f>
        <v/>
      </c>
      <c r="N98" s="5" t="n"/>
      <c r="O98" s="5" t="n"/>
      <c r="P98" s="5" t="n"/>
      <c r="Q98" s="5">
        <f>IF(A98="","",SUM(N98:P98))</f>
        <v/>
      </c>
      <c r="R98" s="5">
        <f>IF(A98="","",E98+I98+M98+Q98)</f>
        <v/>
      </c>
      <c r="S98" s="6">
        <f>IF(A98="","",IFERROR(R98/SUM($R$6:$R$115),0))</f>
        <v/>
      </c>
    </row>
    <row r="99">
      <c r="A99" s="7" t="n"/>
      <c r="B99" s="8" t="n"/>
      <c r="C99" s="8" t="n"/>
      <c r="D99" s="8" t="n"/>
      <c r="E99" s="8">
        <f>IF(A99="","",SUM(B99:D99))</f>
        <v/>
      </c>
      <c r="F99" s="8" t="n"/>
      <c r="G99" s="8" t="n"/>
      <c r="H99" s="8" t="n"/>
      <c r="I99" s="8">
        <f>IF(A99="","",SUM(F99:H99))</f>
        <v/>
      </c>
      <c r="J99" s="8" t="n"/>
      <c r="K99" s="8" t="n"/>
      <c r="L99" s="8" t="n"/>
      <c r="M99" s="8">
        <f>IF(A99="","",SUM(J99:L99))</f>
        <v/>
      </c>
      <c r="N99" s="8" t="n"/>
      <c r="O99" s="8" t="n"/>
      <c r="P99" s="8" t="n"/>
      <c r="Q99" s="8">
        <f>IF(A99="","",SUM(N99:P99))</f>
        <v/>
      </c>
      <c r="R99" s="8">
        <f>IF(A99="","",E99+I99+M99+Q99)</f>
        <v/>
      </c>
      <c r="S99" s="9">
        <f>IF(A99="","",IFERROR(R99/SUM($R$6:$R$115),0))</f>
        <v/>
      </c>
    </row>
    <row r="100">
      <c r="A100" s="4" t="n"/>
      <c r="B100" s="5" t="n"/>
      <c r="C100" s="5" t="n"/>
      <c r="D100" s="5" t="n"/>
      <c r="E100" s="5">
        <f>IF(A100="","",SUM(B100:D100))</f>
        <v/>
      </c>
      <c r="F100" s="5" t="n"/>
      <c r="G100" s="5" t="n"/>
      <c r="H100" s="5" t="n"/>
      <c r="I100" s="5">
        <f>IF(A100="","",SUM(F100:H100))</f>
        <v/>
      </c>
      <c r="J100" s="5" t="n"/>
      <c r="K100" s="5" t="n"/>
      <c r="L100" s="5" t="n"/>
      <c r="M100" s="5">
        <f>IF(A100="","",SUM(J100:L100))</f>
        <v/>
      </c>
      <c r="N100" s="5" t="n"/>
      <c r="O100" s="5" t="n"/>
      <c r="P100" s="5" t="n"/>
      <c r="Q100" s="5">
        <f>IF(A100="","",SUM(N100:P100))</f>
        <v/>
      </c>
      <c r="R100" s="5">
        <f>IF(A100="","",E100+I100+M100+Q100)</f>
        <v/>
      </c>
      <c r="S100" s="6">
        <f>IF(A100="","",IFERROR(R100/SUM($R$6:$R$115),0))</f>
        <v/>
      </c>
    </row>
    <row r="101">
      <c r="A101" s="7" t="n"/>
      <c r="B101" s="8" t="n"/>
      <c r="C101" s="8" t="n"/>
      <c r="D101" s="8" t="n"/>
      <c r="E101" s="8">
        <f>IF(A101="","",SUM(B101:D101))</f>
        <v/>
      </c>
      <c r="F101" s="8" t="n"/>
      <c r="G101" s="8" t="n"/>
      <c r="H101" s="8" t="n"/>
      <c r="I101" s="8">
        <f>IF(A101="","",SUM(F101:H101))</f>
        <v/>
      </c>
      <c r="J101" s="8" t="n"/>
      <c r="K101" s="8" t="n"/>
      <c r="L101" s="8" t="n"/>
      <c r="M101" s="8">
        <f>IF(A101="","",SUM(J101:L101))</f>
        <v/>
      </c>
      <c r="N101" s="8" t="n"/>
      <c r="O101" s="8" t="n"/>
      <c r="P101" s="8" t="n"/>
      <c r="Q101" s="8">
        <f>IF(A101="","",SUM(N101:P101))</f>
        <v/>
      </c>
      <c r="R101" s="8">
        <f>IF(A101="","",E101+I101+M101+Q101)</f>
        <v/>
      </c>
      <c r="S101" s="9">
        <f>IF(A101="","",IFERROR(R101/SUM($R$6:$R$115),0))</f>
        <v/>
      </c>
    </row>
    <row r="102">
      <c r="A102" s="4" t="n"/>
      <c r="B102" s="5" t="n"/>
      <c r="C102" s="5" t="n"/>
      <c r="D102" s="5" t="n"/>
      <c r="E102" s="5">
        <f>IF(A102="","",SUM(B102:D102))</f>
        <v/>
      </c>
      <c r="F102" s="5" t="n"/>
      <c r="G102" s="5" t="n"/>
      <c r="H102" s="5" t="n"/>
      <c r="I102" s="5">
        <f>IF(A102="","",SUM(F102:H102))</f>
        <v/>
      </c>
      <c r="J102" s="5" t="n"/>
      <c r="K102" s="5" t="n"/>
      <c r="L102" s="5" t="n"/>
      <c r="M102" s="5">
        <f>IF(A102="","",SUM(J102:L102))</f>
        <v/>
      </c>
      <c r="N102" s="5" t="n"/>
      <c r="O102" s="5" t="n"/>
      <c r="P102" s="5" t="n"/>
      <c r="Q102" s="5">
        <f>IF(A102="","",SUM(N102:P102))</f>
        <v/>
      </c>
      <c r="R102" s="5">
        <f>IF(A102="","",E102+I102+M102+Q102)</f>
        <v/>
      </c>
      <c r="S102" s="6">
        <f>IF(A102="","",IFERROR(R102/SUM($R$6:$R$115),0))</f>
        <v/>
      </c>
    </row>
    <row r="103">
      <c r="A103" s="7" t="n"/>
      <c r="B103" s="8" t="n"/>
      <c r="C103" s="8" t="n"/>
      <c r="D103" s="8" t="n"/>
      <c r="E103" s="8">
        <f>IF(A103="","",SUM(B103:D103))</f>
        <v/>
      </c>
      <c r="F103" s="8" t="n"/>
      <c r="G103" s="8" t="n"/>
      <c r="H103" s="8" t="n"/>
      <c r="I103" s="8">
        <f>IF(A103="","",SUM(F103:H103))</f>
        <v/>
      </c>
      <c r="J103" s="8" t="n"/>
      <c r="K103" s="8" t="n"/>
      <c r="L103" s="8" t="n"/>
      <c r="M103" s="8">
        <f>IF(A103="","",SUM(J103:L103))</f>
        <v/>
      </c>
      <c r="N103" s="8" t="n"/>
      <c r="O103" s="8" t="n"/>
      <c r="P103" s="8" t="n"/>
      <c r="Q103" s="8">
        <f>IF(A103="","",SUM(N103:P103))</f>
        <v/>
      </c>
      <c r="R103" s="8">
        <f>IF(A103="","",E103+I103+M103+Q103)</f>
        <v/>
      </c>
      <c r="S103" s="9">
        <f>IF(A103="","",IFERROR(R103/SUM($R$6:$R$115),0))</f>
        <v/>
      </c>
    </row>
    <row r="104">
      <c r="A104" s="4" t="n"/>
      <c r="B104" s="5" t="n"/>
      <c r="C104" s="5" t="n"/>
      <c r="D104" s="5" t="n"/>
      <c r="E104" s="5">
        <f>IF(A104="","",SUM(B104:D104))</f>
        <v/>
      </c>
      <c r="F104" s="5" t="n"/>
      <c r="G104" s="5" t="n"/>
      <c r="H104" s="5" t="n"/>
      <c r="I104" s="5">
        <f>IF(A104="","",SUM(F104:H104))</f>
        <v/>
      </c>
      <c r="J104" s="5" t="n"/>
      <c r="K104" s="5" t="n"/>
      <c r="L104" s="5" t="n"/>
      <c r="M104" s="5">
        <f>IF(A104="","",SUM(J104:L104))</f>
        <v/>
      </c>
      <c r="N104" s="5" t="n"/>
      <c r="O104" s="5" t="n"/>
      <c r="P104" s="5" t="n"/>
      <c r="Q104" s="5">
        <f>IF(A104="","",SUM(N104:P104))</f>
        <v/>
      </c>
      <c r="R104" s="5">
        <f>IF(A104="","",E104+I104+M104+Q104)</f>
        <v/>
      </c>
      <c r="S104" s="6">
        <f>IF(A104="","",IFERROR(R104/SUM($R$6:$R$115),0))</f>
        <v/>
      </c>
    </row>
    <row r="105">
      <c r="A105" s="7" t="n"/>
      <c r="B105" s="8" t="n"/>
      <c r="C105" s="8" t="n"/>
      <c r="D105" s="8" t="n"/>
      <c r="E105" s="8">
        <f>IF(A105="","",SUM(B105:D105))</f>
        <v/>
      </c>
      <c r="F105" s="8" t="n"/>
      <c r="G105" s="8" t="n"/>
      <c r="H105" s="8" t="n"/>
      <c r="I105" s="8">
        <f>IF(A105="","",SUM(F105:H105))</f>
        <v/>
      </c>
      <c r="J105" s="8" t="n"/>
      <c r="K105" s="8" t="n"/>
      <c r="L105" s="8" t="n"/>
      <c r="M105" s="8">
        <f>IF(A105="","",SUM(J105:L105))</f>
        <v/>
      </c>
      <c r="N105" s="8" t="n"/>
      <c r="O105" s="8" t="n"/>
      <c r="P105" s="8" t="n"/>
      <c r="Q105" s="8">
        <f>IF(A105="","",SUM(N105:P105))</f>
        <v/>
      </c>
      <c r="R105" s="8">
        <f>IF(A105="","",E105+I105+M105+Q105)</f>
        <v/>
      </c>
      <c r="S105" s="9">
        <f>IF(A105="","",IFERROR(R105/SUM($R$6:$R$115),0))</f>
        <v/>
      </c>
    </row>
    <row r="106">
      <c r="A106" s="4" t="n"/>
      <c r="B106" s="5" t="n"/>
      <c r="C106" s="5" t="n"/>
      <c r="D106" s="5" t="n"/>
      <c r="E106" s="5">
        <f>IF(A106="","",SUM(B106:D106))</f>
        <v/>
      </c>
      <c r="F106" s="5" t="n"/>
      <c r="G106" s="5" t="n"/>
      <c r="H106" s="5" t="n"/>
      <c r="I106" s="5">
        <f>IF(A106="","",SUM(F106:H106))</f>
        <v/>
      </c>
      <c r="J106" s="5" t="n"/>
      <c r="K106" s="5" t="n"/>
      <c r="L106" s="5" t="n"/>
      <c r="M106" s="5">
        <f>IF(A106="","",SUM(J106:L106))</f>
        <v/>
      </c>
      <c r="N106" s="5" t="n"/>
      <c r="O106" s="5" t="n"/>
      <c r="P106" s="5" t="n"/>
      <c r="Q106" s="5">
        <f>IF(A106="","",SUM(N106:P106))</f>
        <v/>
      </c>
      <c r="R106" s="5">
        <f>IF(A106="","",E106+I106+M106+Q106)</f>
        <v/>
      </c>
      <c r="S106" s="6">
        <f>IF(A106="","",IFERROR(R106/SUM($R$6:$R$115),0))</f>
        <v/>
      </c>
    </row>
    <row r="107">
      <c r="A107" s="7" t="n"/>
      <c r="B107" s="8" t="n"/>
      <c r="C107" s="8" t="n"/>
      <c r="D107" s="8" t="n"/>
      <c r="E107" s="8">
        <f>IF(A107="","",SUM(B107:D107))</f>
        <v/>
      </c>
      <c r="F107" s="8" t="n"/>
      <c r="G107" s="8" t="n"/>
      <c r="H107" s="8" t="n"/>
      <c r="I107" s="8">
        <f>IF(A107="","",SUM(F107:H107))</f>
        <v/>
      </c>
      <c r="J107" s="8" t="n"/>
      <c r="K107" s="8" t="n"/>
      <c r="L107" s="8" t="n"/>
      <c r="M107" s="8">
        <f>IF(A107="","",SUM(J107:L107))</f>
        <v/>
      </c>
      <c r="N107" s="8" t="n"/>
      <c r="O107" s="8" t="n"/>
      <c r="P107" s="8" t="n"/>
      <c r="Q107" s="8">
        <f>IF(A107="","",SUM(N107:P107))</f>
        <v/>
      </c>
      <c r="R107" s="8">
        <f>IF(A107="","",E107+I107+M107+Q107)</f>
        <v/>
      </c>
      <c r="S107" s="9">
        <f>IF(A107="","",IFERROR(R107/SUM($R$6:$R$115),0))</f>
        <v/>
      </c>
    </row>
    <row r="108">
      <c r="A108" s="4" t="n"/>
      <c r="B108" s="5" t="n"/>
      <c r="C108" s="5" t="n"/>
      <c r="D108" s="5" t="n"/>
      <c r="E108" s="5">
        <f>IF(A108="","",SUM(B108:D108))</f>
        <v/>
      </c>
      <c r="F108" s="5" t="n"/>
      <c r="G108" s="5" t="n"/>
      <c r="H108" s="5" t="n"/>
      <c r="I108" s="5">
        <f>IF(A108="","",SUM(F108:H108))</f>
        <v/>
      </c>
      <c r="J108" s="5" t="n"/>
      <c r="K108" s="5" t="n"/>
      <c r="L108" s="5" t="n"/>
      <c r="M108" s="5">
        <f>IF(A108="","",SUM(J108:L108))</f>
        <v/>
      </c>
      <c r="N108" s="5" t="n"/>
      <c r="O108" s="5" t="n"/>
      <c r="P108" s="5" t="n"/>
      <c r="Q108" s="5">
        <f>IF(A108="","",SUM(N108:P108))</f>
        <v/>
      </c>
      <c r="R108" s="5">
        <f>IF(A108="","",E108+I108+M108+Q108)</f>
        <v/>
      </c>
      <c r="S108" s="6">
        <f>IF(A108="","",IFERROR(R108/SUM($R$6:$R$115),0))</f>
        <v/>
      </c>
    </row>
    <row r="109">
      <c r="A109" s="7" t="n"/>
      <c r="B109" s="8" t="n"/>
      <c r="C109" s="8" t="n"/>
      <c r="D109" s="8" t="n"/>
      <c r="E109" s="8">
        <f>IF(A109="","",SUM(B109:D109))</f>
        <v/>
      </c>
      <c r="F109" s="8" t="n"/>
      <c r="G109" s="8" t="n"/>
      <c r="H109" s="8" t="n"/>
      <c r="I109" s="8">
        <f>IF(A109="","",SUM(F109:H109))</f>
        <v/>
      </c>
      <c r="J109" s="8" t="n"/>
      <c r="K109" s="8" t="n"/>
      <c r="L109" s="8" t="n"/>
      <c r="M109" s="8">
        <f>IF(A109="","",SUM(J109:L109))</f>
        <v/>
      </c>
      <c r="N109" s="8" t="n"/>
      <c r="O109" s="8" t="n"/>
      <c r="P109" s="8" t="n"/>
      <c r="Q109" s="8">
        <f>IF(A109="","",SUM(N109:P109))</f>
        <v/>
      </c>
      <c r="R109" s="8">
        <f>IF(A109="","",E109+I109+M109+Q109)</f>
        <v/>
      </c>
      <c r="S109" s="9">
        <f>IF(A109="","",IFERROR(R109/SUM($R$6:$R$115),0))</f>
        <v/>
      </c>
    </row>
    <row r="110">
      <c r="A110" s="4" t="n"/>
      <c r="B110" s="5" t="n"/>
      <c r="C110" s="5" t="n"/>
      <c r="D110" s="5" t="n"/>
      <c r="E110" s="5">
        <f>IF(A110="","",SUM(B110:D110))</f>
        <v/>
      </c>
      <c r="F110" s="5" t="n"/>
      <c r="G110" s="5" t="n"/>
      <c r="H110" s="5" t="n"/>
      <c r="I110" s="5">
        <f>IF(A110="","",SUM(F110:H110))</f>
        <v/>
      </c>
      <c r="J110" s="5" t="n"/>
      <c r="K110" s="5" t="n"/>
      <c r="L110" s="5" t="n"/>
      <c r="M110" s="5">
        <f>IF(A110="","",SUM(J110:L110))</f>
        <v/>
      </c>
      <c r="N110" s="5" t="n"/>
      <c r="O110" s="5" t="n"/>
      <c r="P110" s="5" t="n"/>
      <c r="Q110" s="5">
        <f>IF(A110="","",SUM(N110:P110))</f>
        <v/>
      </c>
      <c r="R110" s="5">
        <f>IF(A110="","",E110+I110+M110+Q110)</f>
        <v/>
      </c>
      <c r="S110" s="6">
        <f>IF(A110="","",IFERROR(R110/SUM($R$6:$R$115),0))</f>
        <v/>
      </c>
    </row>
    <row r="111">
      <c r="A111" s="7" t="n"/>
      <c r="B111" s="8" t="n"/>
      <c r="C111" s="8" t="n"/>
      <c r="D111" s="8" t="n"/>
      <c r="E111" s="8">
        <f>IF(A111="","",SUM(B111:D111))</f>
        <v/>
      </c>
      <c r="F111" s="8" t="n"/>
      <c r="G111" s="8" t="n"/>
      <c r="H111" s="8" t="n"/>
      <c r="I111" s="8">
        <f>IF(A111="","",SUM(F111:H111))</f>
        <v/>
      </c>
      <c r="J111" s="8" t="n"/>
      <c r="K111" s="8" t="n"/>
      <c r="L111" s="8" t="n"/>
      <c r="M111" s="8">
        <f>IF(A111="","",SUM(J111:L111))</f>
        <v/>
      </c>
      <c r="N111" s="8" t="n"/>
      <c r="O111" s="8" t="n"/>
      <c r="P111" s="8" t="n"/>
      <c r="Q111" s="8">
        <f>IF(A111="","",SUM(N111:P111))</f>
        <v/>
      </c>
      <c r="R111" s="8">
        <f>IF(A111="","",E111+I111+M111+Q111)</f>
        <v/>
      </c>
      <c r="S111" s="9">
        <f>IF(A111="","",IFERROR(R111/SUM($R$6:$R$115),0))</f>
        <v/>
      </c>
    </row>
    <row r="112">
      <c r="A112" s="4" t="n"/>
      <c r="B112" s="5" t="n"/>
      <c r="C112" s="5" t="n"/>
      <c r="D112" s="5" t="n"/>
      <c r="E112" s="5">
        <f>IF(A112="","",SUM(B112:D112))</f>
        <v/>
      </c>
      <c r="F112" s="5" t="n"/>
      <c r="G112" s="5" t="n"/>
      <c r="H112" s="5" t="n"/>
      <c r="I112" s="5">
        <f>IF(A112="","",SUM(F112:H112))</f>
        <v/>
      </c>
      <c r="J112" s="5" t="n"/>
      <c r="K112" s="5" t="n"/>
      <c r="L112" s="5" t="n"/>
      <c r="M112" s="5">
        <f>IF(A112="","",SUM(J112:L112))</f>
        <v/>
      </c>
      <c r="N112" s="5" t="n"/>
      <c r="O112" s="5" t="n"/>
      <c r="P112" s="5" t="n"/>
      <c r="Q112" s="5">
        <f>IF(A112="","",SUM(N112:P112))</f>
        <v/>
      </c>
      <c r="R112" s="5">
        <f>IF(A112="","",E112+I112+M112+Q112)</f>
        <v/>
      </c>
      <c r="S112" s="6">
        <f>IF(A112="","",IFERROR(R112/SUM($R$6:$R$115),0))</f>
        <v/>
      </c>
    </row>
    <row r="113">
      <c r="A113" s="7" t="n"/>
      <c r="B113" s="8" t="n"/>
      <c r="C113" s="8" t="n"/>
      <c r="D113" s="8" t="n"/>
      <c r="E113" s="8">
        <f>IF(A113="","",SUM(B113:D113))</f>
        <v/>
      </c>
      <c r="F113" s="8" t="n"/>
      <c r="G113" s="8" t="n"/>
      <c r="H113" s="8" t="n"/>
      <c r="I113" s="8">
        <f>IF(A113="","",SUM(F113:H113))</f>
        <v/>
      </c>
      <c r="J113" s="8" t="n"/>
      <c r="K113" s="8" t="n"/>
      <c r="L113" s="8" t="n"/>
      <c r="M113" s="8">
        <f>IF(A113="","",SUM(J113:L113))</f>
        <v/>
      </c>
      <c r="N113" s="8" t="n"/>
      <c r="O113" s="8" t="n"/>
      <c r="P113" s="8" t="n"/>
      <c r="Q113" s="8">
        <f>IF(A113="","",SUM(N113:P113))</f>
        <v/>
      </c>
      <c r="R113" s="8">
        <f>IF(A113="","",E113+I113+M113+Q113)</f>
        <v/>
      </c>
      <c r="S113" s="9">
        <f>IF(A113="","",IFERROR(R113/SUM($R$6:$R$115),0))</f>
        <v/>
      </c>
    </row>
    <row r="114">
      <c r="A114" s="4" t="n"/>
      <c r="B114" s="5" t="n"/>
      <c r="C114" s="5" t="n"/>
      <c r="D114" s="5" t="n"/>
      <c r="E114" s="5">
        <f>IF(A114="","",SUM(B114:D114))</f>
        <v/>
      </c>
      <c r="F114" s="5" t="n"/>
      <c r="G114" s="5" t="n"/>
      <c r="H114" s="5" t="n"/>
      <c r="I114" s="5">
        <f>IF(A114="","",SUM(F114:H114))</f>
        <v/>
      </c>
      <c r="J114" s="5" t="n"/>
      <c r="K114" s="5" t="n"/>
      <c r="L114" s="5" t="n"/>
      <c r="M114" s="5">
        <f>IF(A114="","",SUM(J114:L114))</f>
        <v/>
      </c>
      <c r="N114" s="5" t="n"/>
      <c r="O114" s="5" t="n"/>
      <c r="P114" s="5" t="n"/>
      <c r="Q114" s="5">
        <f>IF(A114="","",SUM(N114:P114))</f>
        <v/>
      </c>
      <c r="R114" s="5">
        <f>IF(A114="","",E114+I114+M114+Q114)</f>
        <v/>
      </c>
      <c r="S114" s="6">
        <f>IF(A114="","",IFERROR(R114/SUM($R$6:$R$115),0))</f>
        <v/>
      </c>
    </row>
    <row r="115">
      <c r="A115" s="7" t="n"/>
      <c r="B115" s="8" t="n"/>
      <c r="C115" s="8" t="n"/>
      <c r="D115" s="8" t="n"/>
      <c r="E115" s="8">
        <f>IF(A115="","",SUM(B115:D115))</f>
        <v/>
      </c>
      <c r="F115" s="8" t="n"/>
      <c r="G115" s="8" t="n"/>
      <c r="H115" s="8" t="n"/>
      <c r="I115" s="8">
        <f>IF(A115="","",SUM(F115:H115))</f>
        <v/>
      </c>
      <c r="J115" s="8" t="n"/>
      <c r="K115" s="8" t="n"/>
      <c r="L115" s="8" t="n"/>
      <c r="M115" s="8">
        <f>IF(A115="","",SUM(J115:L115))</f>
        <v/>
      </c>
      <c r="N115" s="8" t="n"/>
      <c r="O115" s="8" t="n"/>
      <c r="P115" s="8" t="n"/>
      <c r="Q115" s="8">
        <f>IF(A115="","",SUM(N115:P115))</f>
        <v/>
      </c>
      <c r="R115" s="8">
        <f>IF(A115="","",E115+I115+M115+Q115)</f>
        <v/>
      </c>
      <c r="S115" s="9">
        <f>IF(A115="","",IFERROR(R115/SUM($R$6:$R$115),0))</f>
        <v/>
      </c>
    </row>
  </sheetData>
  <mergeCells count="2">
    <mergeCell ref="A3:P3"/>
    <mergeCell ref="A2:P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237E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28" customWidth="1" min="9" max="9"/>
  </cols>
  <sheetData>
    <row r="2" ht="25" customHeight="1">
      <c r="A2" s="1" t="inlineStr">
        <is>
          <t>DOMAINE 26 — 18-INDICATEURS DE PERFORMANCE BUDGÉTAIRE</t>
        </is>
      </c>
    </row>
    <row r="3" ht="18" customHeight="1">
      <c r="A3" s="2" t="inlineStr">
        <is>
          <t>TABLEAU DYNAMIQUE — KPIs budgétaires et fiscaux</t>
        </is>
      </c>
    </row>
    <row r="5">
      <c r="A5" s="3" t="inlineStr">
        <is>
          <t>Code KPI</t>
        </is>
      </c>
      <c r="B5" s="3" t="inlineStr">
        <is>
          <t>Indicateur</t>
        </is>
      </c>
      <c r="C5" s="3" t="inlineStr">
        <is>
          <t>Cible</t>
        </is>
      </c>
      <c r="D5" s="3" t="inlineStr">
        <is>
          <t>Valeur Actuelle</t>
        </is>
      </c>
      <c r="E5" s="3" t="inlineStr">
        <is>
          <t>Écart</t>
        </is>
      </c>
      <c r="F5" s="3" t="inlineStr">
        <is>
          <t>Tendance</t>
        </is>
      </c>
      <c r="G5" s="3" t="inlineStr">
        <is>
          <t>Fréquence</t>
        </is>
      </c>
      <c r="H5" s="3" t="inlineStr">
        <is>
          <t>Responsable</t>
        </is>
      </c>
      <c r="I5" s="3" t="inlineStr">
        <is>
          <t>Commentaire</t>
        </is>
      </c>
    </row>
    <row r="6">
      <c r="A6" s="4" t="inlineStr">
        <is>
          <t>BUD-KPI-01</t>
        </is>
      </c>
      <c r="B6" s="4" t="inlineStr">
        <is>
          <t>Taux consommation budget total</t>
        </is>
      </c>
      <c r="C6" s="4" t="inlineStr">
        <is>
          <t>85%</t>
        </is>
      </c>
      <c r="D6" s="4" t="inlineStr">
        <is>
          <t>82%</t>
        </is>
      </c>
      <c r="E6" s="4">
        <f>IF(OR(C6="",D6=""),"",D6-C6)</f>
        <v/>
      </c>
      <c r="F6" s="4">
        <f>IF(E6="","",IF(ISNUMBER(E6),IF(E6&gt;0,"Hausse",IF(E6&lt;0,"Baisse","Stable")),""))</f>
        <v/>
      </c>
      <c r="G6" s="4" t="inlineStr">
        <is>
          <t>Mensuel</t>
        </is>
      </c>
      <c r="H6" s="4" t="inlineStr">
        <is>
          <t>DAF</t>
        </is>
      </c>
      <c r="I6" s="4" t="inlineStr">
        <is>
          <t>Bon rythme de consommation</t>
        </is>
      </c>
    </row>
    <row r="7">
      <c r="A7" s="7" t="inlineStr">
        <is>
          <t>BUD-KPI-02</t>
        </is>
      </c>
      <c r="B7" s="7" t="inlineStr">
        <is>
          <t>Écart budgétaire global (%)</t>
        </is>
      </c>
      <c r="C7" s="7" t="inlineStr">
        <is>
          <t>&lt; 5%</t>
        </is>
      </c>
      <c r="D7" s="7" t="inlineStr">
        <is>
          <t>3.2%</t>
        </is>
      </c>
      <c r="E7" s="7">
        <f>IF(OR(C7="",D7=""),"",D7-C7)</f>
        <v/>
      </c>
      <c r="F7" s="7">
        <f>IF(E7="","",IF(ISNUMBER(E7),IF(E7&gt;0,"Hausse",IF(E7&lt;0,"Baisse","Stable")),""))</f>
        <v/>
      </c>
      <c r="G7" s="7" t="inlineStr">
        <is>
          <t>Mensuel</t>
        </is>
      </c>
      <c r="H7" s="7" t="inlineStr">
        <is>
          <t>DAF</t>
        </is>
      </c>
      <c r="I7" s="7" t="inlineStr">
        <is>
          <t>Sous objectif</t>
        </is>
      </c>
    </row>
    <row r="8">
      <c r="A8" s="4" t="inlineStr">
        <is>
          <t>BUD-KPI-03</t>
        </is>
      </c>
      <c r="B8" s="4" t="inlineStr">
        <is>
          <t>Coût moyen par employé (FCFA)</t>
        </is>
      </c>
      <c r="C8" s="4" t="inlineStr">
        <is>
          <t>835000</t>
        </is>
      </c>
      <c r="D8" s="4" t="n">
        <v>820000</v>
      </c>
      <c r="E8" s="4">
        <f>IF(OR(C8="",D8=""),"",D8-C8)</f>
        <v/>
      </c>
      <c r="F8" s="4">
        <f>IF(E8="","",IF(ISNUMBER(E8),IF(E8&gt;0,"Hausse",IF(E8&lt;0,"Baisse","Stable")),""))</f>
        <v/>
      </c>
      <c r="G8" s="4" t="inlineStr">
        <is>
          <t>Mensuel</t>
        </is>
      </c>
      <c r="H8" s="4" t="inlineStr">
        <is>
          <t>DRH</t>
        </is>
      </c>
      <c r="I8" s="4" t="inlineStr">
        <is>
          <t>Légèrement en dessous</t>
        </is>
      </c>
    </row>
    <row r="9">
      <c r="A9" s="7" t="inlineStr">
        <is>
          <t>BUD-KPI-04</t>
        </is>
      </c>
      <c r="B9" s="7" t="inlineStr">
        <is>
          <t>Taux de conformité fiscale</t>
        </is>
      </c>
      <c r="C9" s="7" t="inlineStr">
        <is>
          <t>100%</t>
        </is>
      </c>
      <c r="D9" s="7" t="inlineStr">
        <is>
          <t>92%</t>
        </is>
      </c>
      <c r="E9" s="7">
        <f>IF(OR(C9="",D9=""),"",D9-C9)</f>
        <v/>
      </c>
      <c r="F9" s="7">
        <f>IF(E9="","",IF(ISNUMBER(E9),IF(E9&gt;0,"Hausse",IF(E9&lt;0,"Baisse","Stable")),""))</f>
        <v/>
      </c>
      <c r="G9" s="7" t="inlineStr">
        <is>
          <t>Trimestriel</t>
        </is>
      </c>
      <c r="H9" s="7" t="inlineStr">
        <is>
          <t>DAF</t>
        </is>
      </c>
      <c r="I9" s="7" t="inlineStr">
        <is>
          <t>2 déclarations en retard</t>
        </is>
      </c>
    </row>
    <row r="10">
      <c r="A10" s="4" t="inlineStr">
        <is>
          <t>BUD-KPI-05</t>
        </is>
      </c>
      <c r="B10" s="4" t="inlineStr">
        <is>
          <t>Délai moyen déclaration fiscale (j)</t>
        </is>
      </c>
      <c r="C10" s="4" t="inlineStr">
        <is>
          <t>5</t>
        </is>
      </c>
      <c r="D10" s="4" t="n">
        <v>3.5</v>
      </c>
      <c r="E10" s="4">
        <f>IF(OR(C10="",D10=""),"",D10-C10)</f>
        <v/>
      </c>
      <c r="F10" s="4">
        <f>IF(E10="","",IF(ISNUMBER(E10),IF(E10&gt;0,"Hausse",IF(E10&lt;0,"Baisse","Stable")),""))</f>
        <v/>
      </c>
      <c r="G10" s="4" t="inlineStr">
        <is>
          <t>Mensuel</t>
        </is>
      </c>
      <c r="H10" s="4" t="inlineStr">
        <is>
          <t>DAF</t>
        </is>
      </c>
      <c r="I10" s="4" t="inlineStr">
        <is>
          <t>Bonne réactivité</t>
        </is>
      </c>
    </row>
    <row r="11">
      <c r="A11" s="7" t="inlineStr">
        <is>
          <t>BUD-KPI-06</t>
        </is>
      </c>
      <c r="B11" s="7" t="inlineStr">
        <is>
          <t>Taux d'optimisation fiscale</t>
        </is>
      </c>
      <c r="C11" s="7" t="inlineStr">
        <is>
          <t>15%</t>
        </is>
      </c>
      <c r="D11" s="7" t="inlineStr">
        <is>
          <t>12%</t>
        </is>
      </c>
      <c r="E11" s="7">
        <f>IF(OR(C11="",D11=""),"",D11-C11)</f>
        <v/>
      </c>
      <c r="F11" s="7">
        <f>IF(E11="","",IF(ISNUMBER(E11),IF(E11&gt;0,"Hausse",IF(E11&lt;0,"Baisse","Stable")),""))</f>
        <v/>
      </c>
      <c r="G11" s="7" t="inlineStr">
        <is>
          <t>Annuel</t>
        </is>
      </c>
      <c r="H11" s="7" t="inlineStr">
        <is>
          <t>DAF</t>
        </is>
      </c>
      <c r="I11" s="7" t="inlineStr">
        <is>
          <t>Marge de progression</t>
        </is>
      </c>
    </row>
    <row r="12">
      <c r="A12" s="4" t="inlineStr">
        <is>
          <t>BUD-KPI-07</t>
        </is>
      </c>
      <c r="B12" s="4" t="inlineStr">
        <is>
          <t>Ratio charges patronales/masse sal.</t>
        </is>
      </c>
      <c r="C12" s="4" t="inlineStr">
        <is>
          <t>35%</t>
        </is>
      </c>
      <c r="D12" s="4" t="inlineStr">
        <is>
          <t>33.5%</t>
        </is>
      </c>
      <c r="E12" s="4">
        <f>IF(OR(C12="",D12=""),"",D12-C12)</f>
        <v/>
      </c>
      <c r="F12" s="4">
        <f>IF(E12="","",IF(ISNUMBER(E12),IF(E12&gt;0,"Hausse",IF(E12&lt;0,"Baisse","Stable")),""))</f>
        <v/>
      </c>
      <c r="G12" s="4" t="inlineStr">
        <is>
          <t>Mensuel</t>
        </is>
      </c>
      <c r="H12" s="4" t="inlineStr">
        <is>
          <t>DRH</t>
        </is>
      </c>
      <c r="I12" s="4" t="inlineStr">
        <is>
          <t>Favorable</t>
        </is>
      </c>
    </row>
    <row r="13">
      <c r="A13" s="7" t="inlineStr">
        <is>
          <t>BUD-KPI-08</t>
        </is>
      </c>
      <c r="B13" s="7" t="inlineStr">
        <is>
          <t>Économies réalisées (FCFA)</t>
        </is>
      </c>
      <c r="C13" s="7" t="inlineStr">
        <is>
          <t>20000000</t>
        </is>
      </c>
      <c r="D13" s="7" t="n">
        <v>12400000</v>
      </c>
      <c r="E13" s="7">
        <f>IF(OR(C13="",D13=""),"",D13-C13)</f>
        <v/>
      </c>
      <c r="F13" s="7">
        <f>IF(E13="","",IF(ISNUMBER(E13),IF(E13&gt;0,"Hausse",IF(E13&lt;0,"Baisse","Stable")),""))</f>
        <v/>
      </c>
      <c r="G13" s="7" t="inlineStr">
        <is>
          <t>Trimestriel</t>
        </is>
      </c>
      <c r="H13" s="7" t="inlineStr">
        <is>
          <t>DRH</t>
        </is>
      </c>
      <c r="I13" s="7" t="inlineStr">
        <is>
          <t>Objectif partiellement atteint</t>
        </is>
      </c>
    </row>
    <row r="14">
      <c r="A14" s="4" t="inlineStr">
        <is>
          <t>BUD-KPI-09</t>
        </is>
      </c>
      <c r="B14" s="4" t="inlineStr">
        <is>
          <t>Taux de pénalités fiscales</t>
        </is>
      </c>
      <c r="C14" s="4" t="inlineStr">
        <is>
          <t>0%</t>
        </is>
      </c>
      <c r="D14" s="4" t="inlineStr">
        <is>
          <t>0.2%</t>
        </is>
      </c>
      <c r="E14" s="4">
        <f>IF(OR(C14="",D14=""),"",D14-C14)</f>
        <v/>
      </c>
      <c r="F14" s="4">
        <f>IF(E14="","",IF(ISNUMBER(E14),IF(E14&gt;0,"Hausse",IF(E14&lt;0,"Baisse","Stable")),""))</f>
        <v/>
      </c>
      <c r="G14" s="4" t="inlineStr">
        <is>
          <t>Annuel</t>
        </is>
      </c>
      <c r="H14" s="4" t="inlineStr">
        <is>
          <t>DAF</t>
        </is>
      </c>
      <c r="I14" s="4" t="inlineStr">
        <is>
          <t>Pénalité mineure T2</t>
        </is>
      </c>
    </row>
    <row r="15">
      <c r="A15" s="7" t="inlineStr">
        <is>
          <t>BUD-KPI-10</t>
        </is>
      </c>
      <c r="B15" s="7" t="inlineStr">
        <is>
          <t>Ratio avantages/total rémunération</t>
        </is>
      </c>
      <c r="C15" s="7" t="inlineStr">
        <is>
          <t>15%</t>
        </is>
      </c>
      <c r="D15" s="7" t="inlineStr">
        <is>
          <t>14.2%</t>
        </is>
      </c>
      <c r="E15" s="7">
        <f>IF(OR(C15="",D15=""),"",D15-C15)</f>
        <v/>
      </c>
      <c r="F15" s="7">
        <f>IF(E15="","",IF(ISNUMBER(E15),IF(E15&gt;0,"Hausse",IF(E15&lt;0,"Baisse","Stable")),""))</f>
        <v/>
      </c>
      <c r="G15" s="7" t="inlineStr">
        <is>
          <t>Mensuel</t>
        </is>
      </c>
      <c r="H15" s="7" t="inlineStr">
        <is>
          <t>DRH</t>
        </is>
      </c>
      <c r="I15" s="7" t="inlineStr">
        <is>
          <t>Dans la norme</t>
        </is>
      </c>
    </row>
    <row r="16">
      <c r="A16" s="4" t="inlineStr">
        <is>
          <t>BUD-KPI-11</t>
        </is>
      </c>
      <c r="B16" s="4" t="inlineStr">
        <is>
          <t>Taux de couverture épargne salariale</t>
        </is>
      </c>
      <c r="C16" s="4" t="inlineStr">
        <is>
          <t>60%</t>
        </is>
      </c>
      <c r="D16" s="4" t="inlineStr">
        <is>
          <t>52%</t>
        </is>
      </c>
      <c r="E16" s="4">
        <f>IF(OR(C16="",D16=""),"",D16-C16)</f>
        <v/>
      </c>
      <c r="F16" s="4">
        <f>IF(E16="","",IF(ISNUMBER(E16),IF(E16&gt;0,"Hausse",IF(E16&lt;0,"Baisse","Stable")),""))</f>
        <v/>
      </c>
      <c r="G16" s="4" t="inlineStr">
        <is>
          <t>Annuel</t>
        </is>
      </c>
      <c r="H16" s="4" t="inlineStr">
        <is>
          <t>DRH</t>
        </is>
      </c>
      <c r="I16" s="4" t="inlineStr">
        <is>
          <t>Campagne de communication</t>
        </is>
      </c>
    </row>
    <row r="17">
      <c r="A17" s="7" t="inlineStr">
        <is>
          <t>BUD-KPI-12</t>
        </is>
      </c>
      <c r="B17" s="7" t="inlineStr">
        <is>
          <t>Coût formation/employé (FCFA)</t>
        </is>
      </c>
      <c r="C17" s="7" t="inlineStr">
        <is>
          <t>100000</t>
        </is>
      </c>
      <c r="D17" s="7" t="n">
        <v>56000</v>
      </c>
      <c r="E17" s="7">
        <f>IF(OR(C17="",D17=""),"",D17-C17)</f>
        <v/>
      </c>
      <c r="F17" s="7">
        <f>IF(E17="","",IF(ISNUMBER(E17),IF(E17&gt;0,"Hausse",IF(E17&lt;0,"Baisse","Stable")),""))</f>
        <v/>
      </c>
      <c r="G17" s="7" t="inlineStr">
        <is>
          <t>Trimestriel</t>
        </is>
      </c>
      <c r="H17" s="7" t="inlineStr">
        <is>
          <t>DRH</t>
        </is>
      </c>
      <c r="I17" s="7" t="inlineStr">
        <is>
          <t>Programme e-learning</t>
        </is>
      </c>
    </row>
    <row r="18">
      <c r="A18" s="4" t="n"/>
      <c r="B18" s="4" t="n"/>
      <c r="C18" s="4" t="n"/>
      <c r="D18" s="4" t="n"/>
      <c r="E18" s="4">
        <f>IF(OR(C18="",D18=""),"",D18-C18)</f>
        <v/>
      </c>
      <c r="F18" s="4">
        <f>IF(E18="","",IF(ISNUMBER(E18),IF(E18&gt;0,"Hausse",IF(E18&lt;0,"Baisse","Stable")),""))</f>
        <v/>
      </c>
      <c r="G18" s="4" t="n"/>
      <c r="H18" s="4" t="n"/>
      <c r="I18" s="4" t="n"/>
    </row>
    <row r="19">
      <c r="A19" s="7" t="n"/>
      <c r="B19" s="7" t="n"/>
      <c r="C19" s="7" t="n"/>
      <c r="D19" s="7" t="n"/>
      <c r="E19" s="7">
        <f>IF(OR(C19="",D19=""),"",D19-C19)</f>
        <v/>
      </c>
      <c r="F19" s="7">
        <f>IF(E19="","",IF(ISNUMBER(E19),IF(E19&gt;0,"Hausse",IF(E19&lt;0,"Baisse","Stable")),""))</f>
        <v/>
      </c>
      <c r="G19" s="7" t="n"/>
      <c r="H19" s="7" t="n"/>
      <c r="I19" s="7" t="n"/>
    </row>
    <row r="20">
      <c r="A20" s="4" t="n"/>
      <c r="B20" s="4" t="n"/>
      <c r="C20" s="4" t="n"/>
      <c r="D20" s="4" t="n"/>
      <c r="E20" s="4">
        <f>IF(OR(C20="",D20=""),"",D20-C20)</f>
        <v/>
      </c>
      <c r="F20" s="4">
        <f>IF(E20="","",IF(ISNUMBER(E20),IF(E20&gt;0,"Hausse",IF(E20&lt;0,"Baisse","Stable")),""))</f>
        <v/>
      </c>
      <c r="G20" s="4" t="n"/>
      <c r="H20" s="4" t="n"/>
      <c r="I20" s="4" t="n"/>
    </row>
    <row r="21">
      <c r="A21" s="7" t="n"/>
      <c r="B21" s="7" t="n"/>
      <c r="C21" s="7" t="n"/>
      <c r="D21" s="7" t="n"/>
      <c r="E21" s="7">
        <f>IF(OR(C21="",D21=""),"",D21-C21)</f>
        <v/>
      </c>
      <c r="F21" s="7">
        <f>IF(E21="","",IF(ISNUMBER(E21),IF(E21&gt;0,"Hausse",IF(E21&lt;0,"Baisse","Stable")),""))</f>
        <v/>
      </c>
      <c r="G21" s="7" t="n"/>
      <c r="H21" s="7" t="n"/>
      <c r="I21" s="7" t="n"/>
    </row>
    <row r="22">
      <c r="A22" s="4" t="n"/>
      <c r="B22" s="4" t="n"/>
      <c r="C22" s="4" t="n"/>
      <c r="D22" s="4" t="n"/>
      <c r="E22" s="4">
        <f>IF(OR(C22="",D22=""),"",D22-C22)</f>
        <v/>
      </c>
      <c r="F22" s="4">
        <f>IF(E22="","",IF(ISNUMBER(E22),IF(E22&gt;0,"Hausse",IF(E22&lt;0,"Baisse","Stable")),""))</f>
        <v/>
      </c>
      <c r="G22" s="4" t="n"/>
      <c r="H22" s="4" t="n"/>
      <c r="I22" s="4" t="n"/>
    </row>
    <row r="23">
      <c r="A23" s="7" t="n"/>
      <c r="B23" s="7" t="n"/>
      <c r="C23" s="7" t="n"/>
      <c r="D23" s="7" t="n"/>
      <c r="E23" s="7">
        <f>IF(OR(C23="",D23=""),"",D23-C23)</f>
        <v/>
      </c>
      <c r="F23" s="7">
        <f>IF(E23="","",IF(ISNUMBER(E23),IF(E23&gt;0,"Hausse",IF(E23&lt;0,"Baisse","Stable")),""))</f>
        <v/>
      </c>
      <c r="G23" s="7" t="n"/>
      <c r="H23" s="7" t="n"/>
      <c r="I23" s="7" t="n"/>
    </row>
    <row r="24">
      <c r="A24" s="4" t="n"/>
      <c r="B24" s="4" t="n"/>
      <c r="C24" s="4" t="n"/>
      <c r="D24" s="4" t="n"/>
      <c r="E24" s="4">
        <f>IF(OR(C24="",D24=""),"",D24-C24)</f>
        <v/>
      </c>
      <c r="F24" s="4">
        <f>IF(E24="","",IF(ISNUMBER(E24),IF(E24&gt;0,"Hausse",IF(E24&lt;0,"Baisse","Stable")),""))</f>
        <v/>
      </c>
      <c r="G24" s="4" t="n"/>
      <c r="H24" s="4" t="n"/>
      <c r="I24" s="4" t="n"/>
    </row>
    <row r="25">
      <c r="A25" s="7" t="n"/>
      <c r="B25" s="7" t="n"/>
      <c r="C25" s="7" t="n"/>
      <c r="D25" s="7" t="n"/>
      <c r="E25" s="7">
        <f>IF(OR(C25="",D25=""),"",D25-C25)</f>
        <v/>
      </c>
      <c r="F25" s="7">
        <f>IF(E25="","",IF(ISNUMBER(E25),IF(E25&gt;0,"Hausse",IF(E25&lt;0,"Baisse","Stable")),""))</f>
        <v/>
      </c>
      <c r="G25" s="7" t="n"/>
      <c r="H25" s="7" t="n"/>
      <c r="I25" s="7" t="n"/>
    </row>
    <row r="26">
      <c r="A26" s="4" t="n"/>
      <c r="B26" s="4" t="n"/>
      <c r="C26" s="4" t="n"/>
      <c r="D26" s="4" t="n"/>
      <c r="E26" s="4">
        <f>IF(OR(C26="",D26=""),"",D26-C26)</f>
        <v/>
      </c>
      <c r="F26" s="4">
        <f>IF(E26="","",IF(ISNUMBER(E26),IF(E26&gt;0,"Hausse",IF(E26&lt;0,"Baisse","Stable")),""))</f>
        <v/>
      </c>
      <c r="G26" s="4" t="n"/>
      <c r="H26" s="4" t="n"/>
      <c r="I26" s="4" t="n"/>
    </row>
    <row r="27">
      <c r="A27" s="7" t="n"/>
      <c r="B27" s="7" t="n"/>
      <c r="C27" s="7" t="n"/>
      <c r="D27" s="7" t="n"/>
      <c r="E27" s="7">
        <f>IF(OR(C27="",D27=""),"",D27-C27)</f>
        <v/>
      </c>
      <c r="F27" s="7">
        <f>IF(E27="","",IF(ISNUMBER(E27),IF(E27&gt;0,"Hausse",IF(E27&lt;0,"Baisse","Stable")),""))</f>
        <v/>
      </c>
      <c r="G27" s="7" t="n"/>
      <c r="H27" s="7" t="n"/>
      <c r="I27" s="7" t="n"/>
    </row>
    <row r="28">
      <c r="A28" s="4" t="n"/>
      <c r="B28" s="4" t="n"/>
      <c r="C28" s="4" t="n"/>
      <c r="D28" s="4" t="n"/>
      <c r="E28" s="4">
        <f>IF(OR(C28="",D28=""),"",D28-C28)</f>
        <v/>
      </c>
      <c r="F28" s="4">
        <f>IF(E28="","",IF(ISNUMBER(E28),IF(E28&gt;0,"Hausse",IF(E28&lt;0,"Baisse","Stable")),""))</f>
        <v/>
      </c>
      <c r="G28" s="4" t="n"/>
      <c r="H28" s="4" t="n"/>
      <c r="I28" s="4" t="n"/>
    </row>
    <row r="29">
      <c r="A29" s="7" t="n"/>
      <c r="B29" s="7" t="n"/>
      <c r="C29" s="7" t="n"/>
      <c r="D29" s="7" t="n"/>
      <c r="E29" s="7">
        <f>IF(OR(C29="",D29=""),"",D29-C29)</f>
        <v/>
      </c>
      <c r="F29" s="7">
        <f>IF(E29="","",IF(ISNUMBER(E29),IF(E29&gt;0,"Hausse",IF(E29&lt;0,"Baisse","Stable")),""))</f>
        <v/>
      </c>
      <c r="G29" s="7" t="n"/>
      <c r="H29" s="7" t="n"/>
      <c r="I29" s="7" t="n"/>
    </row>
    <row r="30">
      <c r="A30" s="4" t="n"/>
      <c r="B30" s="4" t="n"/>
      <c r="C30" s="4" t="n"/>
      <c r="D30" s="4" t="n"/>
      <c r="E30" s="4">
        <f>IF(OR(C30="",D30=""),"",D30-C30)</f>
        <v/>
      </c>
      <c r="F30" s="4">
        <f>IF(E30="","",IF(ISNUMBER(E30),IF(E30&gt;0,"Hausse",IF(E30&lt;0,"Baisse","Stable")),""))</f>
        <v/>
      </c>
      <c r="G30" s="4" t="n"/>
      <c r="H30" s="4" t="n"/>
      <c r="I30" s="4" t="n"/>
    </row>
    <row r="31">
      <c r="A31" s="7" t="n"/>
      <c r="B31" s="7" t="n"/>
      <c r="C31" s="7" t="n"/>
      <c r="D31" s="7" t="n"/>
      <c r="E31" s="7">
        <f>IF(OR(C31="",D31=""),"",D31-C31)</f>
        <v/>
      </c>
      <c r="F31" s="7">
        <f>IF(E31="","",IF(ISNUMBER(E31),IF(E31&gt;0,"Hausse",IF(E31&lt;0,"Baisse","Stable")),""))</f>
        <v/>
      </c>
      <c r="G31" s="7" t="n"/>
      <c r="H31" s="7" t="n"/>
      <c r="I31" s="7" t="n"/>
    </row>
    <row r="32">
      <c r="A32" s="4" t="n"/>
      <c r="B32" s="4" t="n"/>
      <c r="C32" s="4" t="n"/>
      <c r="D32" s="4" t="n"/>
      <c r="E32" s="4">
        <f>IF(OR(C32="",D32=""),"",D32-C32)</f>
        <v/>
      </c>
      <c r="F32" s="4">
        <f>IF(E32="","",IF(ISNUMBER(E32),IF(E32&gt;0,"Hausse",IF(E32&lt;0,"Baisse","Stable")),""))</f>
        <v/>
      </c>
      <c r="G32" s="4" t="n"/>
      <c r="H32" s="4" t="n"/>
      <c r="I32" s="4" t="n"/>
    </row>
    <row r="33">
      <c r="A33" s="7" t="n"/>
      <c r="B33" s="7" t="n"/>
      <c r="C33" s="7" t="n"/>
      <c r="D33" s="7" t="n"/>
      <c r="E33" s="7">
        <f>IF(OR(C33="",D33=""),"",D33-C33)</f>
        <v/>
      </c>
      <c r="F33" s="7">
        <f>IF(E33="","",IF(ISNUMBER(E33),IF(E33&gt;0,"Hausse",IF(E33&lt;0,"Baisse","Stable")),""))</f>
        <v/>
      </c>
      <c r="G33" s="7" t="n"/>
      <c r="H33" s="7" t="n"/>
      <c r="I33" s="7" t="n"/>
    </row>
    <row r="34">
      <c r="A34" s="4" t="n"/>
      <c r="B34" s="4" t="n"/>
      <c r="C34" s="4" t="n"/>
      <c r="D34" s="4" t="n"/>
      <c r="E34" s="4">
        <f>IF(OR(C34="",D34=""),"",D34-C34)</f>
        <v/>
      </c>
      <c r="F34" s="4">
        <f>IF(E34="","",IF(ISNUMBER(E34),IF(E34&gt;0,"Hausse",IF(E34&lt;0,"Baisse","Stable")),""))</f>
        <v/>
      </c>
      <c r="G34" s="4" t="n"/>
      <c r="H34" s="4" t="n"/>
      <c r="I34" s="4" t="n"/>
    </row>
    <row r="35">
      <c r="A35" s="7" t="n"/>
      <c r="B35" s="7" t="n"/>
      <c r="C35" s="7" t="n"/>
      <c r="D35" s="7" t="n"/>
      <c r="E35" s="7">
        <f>IF(OR(C35="",D35=""),"",D35-C35)</f>
        <v/>
      </c>
      <c r="F35" s="7">
        <f>IF(E35="","",IF(ISNUMBER(E35),IF(E35&gt;0,"Hausse",IF(E35&lt;0,"Baisse","Stable")),""))</f>
        <v/>
      </c>
      <c r="G35" s="7" t="n"/>
      <c r="H35" s="7" t="n"/>
      <c r="I35" s="7" t="n"/>
    </row>
    <row r="36">
      <c r="A36" s="4" t="n"/>
      <c r="B36" s="4" t="n"/>
      <c r="C36" s="4" t="n"/>
      <c r="D36" s="4" t="n"/>
      <c r="E36" s="4">
        <f>IF(OR(C36="",D36=""),"",D36-C36)</f>
        <v/>
      </c>
      <c r="F36" s="4">
        <f>IF(E36="","",IF(ISNUMBER(E36),IF(E36&gt;0,"Hausse",IF(E36&lt;0,"Baisse","Stable")),""))</f>
        <v/>
      </c>
      <c r="G36" s="4" t="n"/>
      <c r="H36" s="4" t="n"/>
      <c r="I36" s="4" t="n"/>
    </row>
    <row r="37">
      <c r="A37" s="7" t="n"/>
      <c r="B37" s="7" t="n"/>
      <c r="C37" s="7" t="n"/>
      <c r="D37" s="7" t="n"/>
      <c r="E37" s="7">
        <f>IF(OR(C37="",D37=""),"",D37-C37)</f>
        <v/>
      </c>
      <c r="F37" s="7">
        <f>IF(E37="","",IF(ISNUMBER(E37),IF(E37&gt;0,"Hausse",IF(E37&lt;0,"Baisse","Stable")),""))</f>
        <v/>
      </c>
      <c r="G37" s="7" t="n"/>
      <c r="H37" s="7" t="n"/>
      <c r="I37" s="7" t="n"/>
    </row>
    <row r="38">
      <c r="A38" s="4" t="n"/>
      <c r="B38" s="4" t="n"/>
      <c r="C38" s="4" t="n"/>
      <c r="D38" s="4" t="n"/>
      <c r="E38" s="4">
        <f>IF(OR(C38="",D38=""),"",D38-C38)</f>
        <v/>
      </c>
      <c r="F38" s="4">
        <f>IF(E38="","",IF(ISNUMBER(E38),IF(E38&gt;0,"Hausse",IF(E38&lt;0,"Baisse","Stable")),""))</f>
        <v/>
      </c>
      <c r="G38" s="4" t="n"/>
      <c r="H38" s="4" t="n"/>
      <c r="I38" s="4" t="n"/>
    </row>
    <row r="39">
      <c r="A39" s="7" t="n"/>
      <c r="B39" s="7" t="n"/>
      <c r="C39" s="7" t="n"/>
      <c r="D39" s="7" t="n"/>
      <c r="E39" s="7">
        <f>IF(OR(C39="",D39=""),"",D39-C39)</f>
        <v/>
      </c>
      <c r="F39" s="7">
        <f>IF(E39="","",IF(ISNUMBER(E39),IF(E39&gt;0,"Hausse",IF(E39&lt;0,"Baisse","Stable")),""))</f>
        <v/>
      </c>
      <c r="G39" s="7" t="n"/>
      <c r="H39" s="7" t="n"/>
      <c r="I39" s="7" t="n"/>
    </row>
    <row r="40">
      <c r="A40" s="4" t="n"/>
      <c r="B40" s="4" t="n"/>
      <c r="C40" s="4" t="n"/>
      <c r="D40" s="4" t="n"/>
      <c r="E40" s="4">
        <f>IF(OR(C40="",D40=""),"",D40-C40)</f>
        <v/>
      </c>
      <c r="F40" s="4">
        <f>IF(E40="","",IF(ISNUMBER(E40),IF(E40&gt;0,"Hausse",IF(E40&lt;0,"Baisse","Stable")),""))</f>
        <v/>
      </c>
      <c r="G40" s="4" t="n"/>
      <c r="H40" s="4" t="n"/>
      <c r="I40" s="4" t="n"/>
    </row>
    <row r="41">
      <c r="A41" s="7" t="n"/>
      <c r="B41" s="7" t="n"/>
      <c r="C41" s="7" t="n"/>
      <c r="D41" s="7" t="n"/>
      <c r="E41" s="7">
        <f>IF(OR(C41="",D41=""),"",D41-C41)</f>
        <v/>
      </c>
      <c r="F41" s="7">
        <f>IF(E41="","",IF(ISNUMBER(E41),IF(E41&gt;0,"Hausse",IF(E41&lt;0,"Baisse","Stable")),""))</f>
        <v/>
      </c>
      <c r="G41" s="7" t="n"/>
      <c r="H41" s="7" t="n"/>
      <c r="I41" s="7" t="n"/>
    </row>
    <row r="42">
      <c r="A42" s="4" t="n"/>
      <c r="B42" s="4" t="n"/>
      <c r="C42" s="4" t="n"/>
      <c r="D42" s="4" t="n"/>
      <c r="E42" s="4">
        <f>IF(OR(C42="",D42=""),"",D42-C42)</f>
        <v/>
      </c>
      <c r="F42" s="4">
        <f>IF(E42="","",IF(ISNUMBER(E42),IF(E42&gt;0,"Hausse",IF(E42&lt;0,"Baisse","Stable")),""))</f>
        <v/>
      </c>
      <c r="G42" s="4" t="n"/>
      <c r="H42" s="4" t="n"/>
      <c r="I42" s="4" t="n"/>
    </row>
    <row r="43">
      <c r="A43" s="7" t="n"/>
      <c r="B43" s="7" t="n"/>
      <c r="C43" s="7" t="n"/>
      <c r="D43" s="7" t="n"/>
      <c r="E43" s="7">
        <f>IF(OR(C43="",D43=""),"",D43-C43)</f>
        <v/>
      </c>
      <c r="F43" s="7">
        <f>IF(E43="","",IF(ISNUMBER(E43),IF(E43&gt;0,"Hausse",IF(E43&lt;0,"Baisse","Stable")),""))</f>
        <v/>
      </c>
      <c r="G43" s="7" t="n"/>
      <c r="H43" s="7" t="n"/>
      <c r="I43" s="7" t="n"/>
    </row>
    <row r="44">
      <c r="A44" s="4" t="n"/>
      <c r="B44" s="4" t="n"/>
      <c r="C44" s="4" t="n"/>
      <c r="D44" s="4" t="n"/>
      <c r="E44" s="4">
        <f>IF(OR(C44="",D44=""),"",D44-C44)</f>
        <v/>
      </c>
      <c r="F44" s="4">
        <f>IF(E44="","",IF(ISNUMBER(E44),IF(E44&gt;0,"Hausse",IF(E44&lt;0,"Baisse","Stable")),""))</f>
        <v/>
      </c>
      <c r="G44" s="4" t="n"/>
      <c r="H44" s="4" t="n"/>
      <c r="I44" s="4" t="n"/>
    </row>
    <row r="45">
      <c r="A45" s="7" t="n"/>
      <c r="B45" s="7" t="n"/>
      <c r="C45" s="7" t="n"/>
      <c r="D45" s="7" t="n"/>
      <c r="E45" s="7">
        <f>IF(OR(C45="",D45=""),"",D45-C45)</f>
        <v/>
      </c>
      <c r="F45" s="7">
        <f>IF(E45="","",IF(ISNUMBER(E45),IF(E45&gt;0,"Hausse",IF(E45&lt;0,"Baisse","Stable")),""))</f>
        <v/>
      </c>
      <c r="G45" s="7" t="n"/>
      <c r="H45" s="7" t="n"/>
      <c r="I45" s="7" t="n"/>
    </row>
    <row r="46">
      <c r="A46" s="4" t="n"/>
      <c r="B46" s="4" t="n"/>
      <c r="C46" s="4" t="n"/>
      <c r="D46" s="4" t="n"/>
      <c r="E46" s="4">
        <f>IF(OR(C46="",D46=""),"",D46-C46)</f>
        <v/>
      </c>
      <c r="F46" s="4">
        <f>IF(E46="","",IF(ISNUMBER(E46),IF(E46&gt;0,"Hausse",IF(E46&lt;0,"Baisse","Stable")),""))</f>
        <v/>
      </c>
      <c r="G46" s="4" t="n"/>
      <c r="H46" s="4" t="n"/>
      <c r="I46" s="4" t="n"/>
    </row>
    <row r="47">
      <c r="A47" s="7" t="n"/>
      <c r="B47" s="7" t="n"/>
      <c r="C47" s="7" t="n"/>
      <c r="D47" s="7" t="n"/>
      <c r="E47" s="7">
        <f>IF(OR(C47="",D47=""),"",D47-C47)</f>
        <v/>
      </c>
      <c r="F47" s="7">
        <f>IF(E47="","",IF(ISNUMBER(E47),IF(E47&gt;0,"Hausse",IF(E47&lt;0,"Baisse","Stable")),""))</f>
        <v/>
      </c>
      <c r="G47" s="7" t="n"/>
      <c r="H47" s="7" t="n"/>
      <c r="I47" s="7" t="n"/>
    </row>
    <row r="48">
      <c r="A48" s="4" t="n"/>
      <c r="B48" s="4" t="n"/>
      <c r="C48" s="4" t="n"/>
      <c r="D48" s="4" t="n"/>
      <c r="E48" s="4">
        <f>IF(OR(C48="",D48=""),"",D48-C48)</f>
        <v/>
      </c>
      <c r="F48" s="4">
        <f>IF(E48="","",IF(ISNUMBER(E48),IF(E48&gt;0,"Hausse",IF(E48&lt;0,"Baisse","Stable")),""))</f>
        <v/>
      </c>
      <c r="G48" s="4" t="n"/>
      <c r="H48" s="4" t="n"/>
      <c r="I48" s="4" t="n"/>
    </row>
    <row r="49">
      <c r="A49" s="7" t="n"/>
      <c r="B49" s="7" t="n"/>
      <c r="C49" s="7" t="n"/>
      <c r="D49" s="7" t="n"/>
      <c r="E49" s="7">
        <f>IF(OR(C49="",D49=""),"",D49-C49)</f>
        <v/>
      </c>
      <c r="F49" s="7">
        <f>IF(E49="","",IF(ISNUMBER(E49),IF(E49&gt;0,"Hausse",IF(E49&lt;0,"Baisse","Stable")),""))</f>
        <v/>
      </c>
      <c r="G49" s="7" t="n"/>
      <c r="H49" s="7" t="n"/>
      <c r="I49" s="7" t="n"/>
    </row>
    <row r="50">
      <c r="A50" s="4" t="n"/>
      <c r="B50" s="4" t="n"/>
      <c r="C50" s="4" t="n"/>
      <c r="D50" s="4" t="n"/>
      <c r="E50" s="4">
        <f>IF(OR(C50="",D50=""),"",D50-C50)</f>
        <v/>
      </c>
      <c r="F50" s="4">
        <f>IF(E50="","",IF(ISNUMBER(E50),IF(E50&gt;0,"Hausse",IF(E50&lt;0,"Baisse","Stable")),""))</f>
        <v/>
      </c>
      <c r="G50" s="4" t="n"/>
      <c r="H50" s="4" t="n"/>
      <c r="I50" s="4" t="n"/>
    </row>
    <row r="51">
      <c r="A51" s="7" t="n"/>
      <c r="B51" s="7" t="n"/>
      <c r="C51" s="7" t="n"/>
      <c r="D51" s="7" t="n"/>
      <c r="E51" s="7">
        <f>IF(OR(C51="",D51=""),"",D51-C51)</f>
        <v/>
      </c>
      <c r="F51" s="7">
        <f>IF(E51="","",IF(ISNUMBER(E51),IF(E51&gt;0,"Hausse",IF(E51&lt;0,"Baisse","Stable")),""))</f>
        <v/>
      </c>
      <c r="G51" s="7" t="n"/>
      <c r="H51" s="7" t="n"/>
      <c r="I51" s="7" t="n"/>
    </row>
    <row r="52">
      <c r="A52" s="4" t="n"/>
      <c r="B52" s="4" t="n"/>
      <c r="C52" s="4" t="n"/>
      <c r="D52" s="4" t="n"/>
      <c r="E52" s="4">
        <f>IF(OR(C52="",D52=""),"",D52-C52)</f>
        <v/>
      </c>
      <c r="F52" s="4">
        <f>IF(E52="","",IF(ISNUMBER(E52),IF(E52&gt;0,"Hausse",IF(E52&lt;0,"Baisse","Stable")),""))</f>
        <v/>
      </c>
      <c r="G52" s="4" t="n"/>
      <c r="H52" s="4" t="n"/>
      <c r="I52" s="4" t="n"/>
    </row>
    <row r="53">
      <c r="A53" s="7" t="n"/>
      <c r="B53" s="7" t="n"/>
      <c r="C53" s="7" t="n"/>
      <c r="D53" s="7" t="n"/>
      <c r="E53" s="7">
        <f>IF(OR(C53="",D53=""),"",D53-C53)</f>
        <v/>
      </c>
      <c r="F53" s="7">
        <f>IF(E53="","",IF(ISNUMBER(E53),IF(E53&gt;0,"Hausse",IF(E53&lt;0,"Baisse","Stable")),""))</f>
        <v/>
      </c>
      <c r="G53" s="7" t="n"/>
      <c r="H53" s="7" t="n"/>
      <c r="I53" s="7" t="n"/>
    </row>
    <row r="54">
      <c r="A54" s="4" t="n"/>
      <c r="B54" s="4" t="n"/>
      <c r="C54" s="4" t="n"/>
      <c r="D54" s="4" t="n"/>
      <c r="E54" s="4">
        <f>IF(OR(C54="",D54=""),"",D54-C54)</f>
        <v/>
      </c>
      <c r="F54" s="4">
        <f>IF(E54="","",IF(ISNUMBER(E54),IF(E54&gt;0,"Hausse",IF(E54&lt;0,"Baisse","Stable")),""))</f>
        <v/>
      </c>
      <c r="G54" s="4" t="n"/>
      <c r="H54" s="4" t="n"/>
      <c r="I54" s="4" t="n"/>
    </row>
    <row r="55">
      <c r="A55" s="7" t="n"/>
      <c r="B55" s="7" t="n"/>
      <c r="C55" s="7" t="n"/>
      <c r="D55" s="7" t="n"/>
      <c r="E55" s="7">
        <f>IF(OR(C55="",D55=""),"",D55-C55)</f>
        <v/>
      </c>
      <c r="F55" s="7">
        <f>IF(E55="","",IF(ISNUMBER(E55),IF(E55&gt;0,"Hausse",IF(E55&lt;0,"Baisse","Stable")),""))</f>
        <v/>
      </c>
      <c r="G55" s="7" t="n"/>
      <c r="H55" s="7" t="n"/>
      <c r="I55" s="7" t="n"/>
    </row>
    <row r="56">
      <c r="A56" s="4" t="n"/>
      <c r="B56" s="4" t="n"/>
      <c r="C56" s="4" t="n"/>
      <c r="D56" s="4" t="n"/>
      <c r="E56" s="4">
        <f>IF(OR(C56="",D56=""),"",D56-C56)</f>
        <v/>
      </c>
      <c r="F56" s="4">
        <f>IF(E56="","",IF(ISNUMBER(E56),IF(E56&gt;0,"Hausse",IF(E56&lt;0,"Baisse","Stable")),""))</f>
        <v/>
      </c>
      <c r="G56" s="4" t="n"/>
      <c r="H56" s="4" t="n"/>
      <c r="I56" s="4" t="n"/>
    </row>
    <row r="57">
      <c r="A57" s="7" t="n"/>
      <c r="B57" s="7" t="n"/>
      <c r="C57" s="7" t="n"/>
      <c r="D57" s="7" t="n"/>
      <c r="E57" s="7">
        <f>IF(OR(C57="",D57=""),"",D57-C57)</f>
        <v/>
      </c>
      <c r="F57" s="7">
        <f>IF(E57="","",IF(ISNUMBER(E57),IF(E57&gt;0,"Hausse",IF(E57&lt;0,"Baisse","Stable")),""))</f>
        <v/>
      </c>
      <c r="G57" s="7" t="n"/>
      <c r="H57" s="7" t="n"/>
      <c r="I57" s="7" t="n"/>
    </row>
    <row r="58">
      <c r="A58" s="4" t="n"/>
      <c r="B58" s="4" t="n"/>
      <c r="C58" s="4" t="n"/>
      <c r="D58" s="4" t="n"/>
      <c r="E58" s="4">
        <f>IF(OR(C58="",D58=""),"",D58-C58)</f>
        <v/>
      </c>
      <c r="F58" s="4">
        <f>IF(E58="","",IF(ISNUMBER(E58),IF(E58&gt;0,"Hausse",IF(E58&lt;0,"Baisse","Stable")),""))</f>
        <v/>
      </c>
      <c r="G58" s="4" t="n"/>
      <c r="H58" s="4" t="n"/>
      <c r="I58" s="4" t="n"/>
    </row>
    <row r="59">
      <c r="A59" s="7" t="n"/>
      <c r="B59" s="7" t="n"/>
      <c r="C59" s="7" t="n"/>
      <c r="D59" s="7" t="n"/>
      <c r="E59" s="7">
        <f>IF(OR(C59="",D59=""),"",D59-C59)</f>
        <v/>
      </c>
      <c r="F59" s="7">
        <f>IF(E59="","",IF(ISNUMBER(E59),IF(E59&gt;0,"Hausse",IF(E59&lt;0,"Baisse","Stable")),""))</f>
        <v/>
      </c>
      <c r="G59" s="7" t="n"/>
      <c r="H59" s="7" t="n"/>
      <c r="I59" s="7" t="n"/>
    </row>
    <row r="60">
      <c r="A60" s="4" t="n"/>
      <c r="B60" s="4" t="n"/>
      <c r="C60" s="4" t="n"/>
      <c r="D60" s="4" t="n"/>
      <c r="E60" s="4">
        <f>IF(OR(C60="",D60=""),"",D60-C60)</f>
        <v/>
      </c>
      <c r="F60" s="4">
        <f>IF(E60="","",IF(ISNUMBER(E60),IF(E60&gt;0,"Hausse",IF(E60&lt;0,"Baisse","Stable")),""))</f>
        <v/>
      </c>
      <c r="G60" s="4" t="n"/>
      <c r="H60" s="4" t="n"/>
      <c r="I60" s="4" t="n"/>
    </row>
    <row r="61">
      <c r="A61" s="7" t="n"/>
      <c r="B61" s="7" t="n"/>
      <c r="C61" s="7" t="n"/>
      <c r="D61" s="7" t="n"/>
      <c r="E61" s="7">
        <f>IF(OR(C61="",D61=""),"",D61-C61)</f>
        <v/>
      </c>
      <c r="F61" s="7">
        <f>IF(E61="","",IF(ISNUMBER(E61),IF(E61&gt;0,"Hausse",IF(E61&lt;0,"Baisse","Stable")),""))</f>
        <v/>
      </c>
      <c r="G61" s="7" t="n"/>
      <c r="H61" s="7" t="n"/>
      <c r="I61" s="7" t="n"/>
    </row>
    <row r="62">
      <c r="A62" s="4" t="n"/>
      <c r="B62" s="4" t="n"/>
      <c r="C62" s="4" t="n"/>
      <c r="D62" s="4" t="n"/>
      <c r="E62" s="4">
        <f>IF(OR(C62="",D62=""),"",D62-C62)</f>
        <v/>
      </c>
      <c r="F62" s="4">
        <f>IF(E62="","",IF(ISNUMBER(E62),IF(E62&gt;0,"Hausse",IF(E62&lt;0,"Baisse","Stable")),""))</f>
        <v/>
      </c>
      <c r="G62" s="4" t="n"/>
      <c r="H62" s="4" t="n"/>
      <c r="I62" s="4" t="n"/>
    </row>
    <row r="63">
      <c r="A63" s="7" t="n"/>
      <c r="B63" s="7" t="n"/>
      <c r="C63" s="7" t="n"/>
      <c r="D63" s="7" t="n"/>
      <c r="E63" s="7">
        <f>IF(OR(C63="",D63=""),"",D63-C63)</f>
        <v/>
      </c>
      <c r="F63" s="7">
        <f>IF(E63="","",IF(ISNUMBER(E63),IF(E63&gt;0,"Hausse",IF(E63&lt;0,"Baisse","Stable")),""))</f>
        <v/>
      </c>
      <c r="G63" s="7" t="n"/>
      <c r="H63" s="7" t="n"/>
      <c r="I63" s="7" t="n"/>
    </row>
    <row r="64">
      <c r="A64" s="4" t="n"/>
      <c r="B64" s="4" t="n"/>
      <c r="C64" s="4" t="n"/>
      <c r="D64" s="4" t="n"/>
      <c r="E64" s="4">
        <f>IF(OR(C64="",D64=""),"",D64-C64)</f>
        <v/>
      </c>
      <c r="F64" s="4">
        <f>IF(E64="","",IF(ISNUMBER(E64),IF(E64&gt;0,"Hausse",IF(E64&lt;0,"Baisse","Stable")),""))</f>
        <v/>
      </c>
      <c r="G64" s="4" t="n"/>
      <c r="H64" s="4" t="n"/>
      <c r="I64" s="4" t="n"/>
    </row>
    <row r="65">
      <c r="A65" s="7" t="n"/>
      <c r="B65" s="7" t="n"/>
      <c r="C65" s="7" t="n"/>
      <c r="D65" s="7" t="n"/>
      <c r="E65" s="7">
        <f>IF(OR(C65="",D65=""),"",D65-C65)</f>
        <v/>
      </c>
      <c r="F65" s="7">
        <f>IF(E65="","",IF(ISNUMBER(E65),IF(E65&gt;0,"Hausse",IF(E65&lt;0,"Baisse","Stable")),""))</f>
        <v/>
      </c>
      <c r="G65" s="7" t="n"/>
      <c r="H65" s="7" t="n"/>
      <c r="I65" s="7" t="n"/>
    </row>
    <row r="66">
      <c r="A66" s="4" t="n"/>
      <c r="B66" s="4" t="n"/>
      <c r="C66" s="4" t="n"/>
      <c r="D66" s="4" t="n"/>
      <c r="E66" s="4">
        <f>IF(OR(C66="",D66=""),"",D66-C66)</f>
        <v/>
      </c>
      <c r="F66" s="4">
        <f>IF(E66="","",IF(ISNUMBER(E66),IF(E66&gt;0,"Hausse",IF(E66&lt;0,"Baisse","Stable")),""))</f>
        <v/>
      </c>
      <c r="G66" s="4" t="n"/>
      <c r="H66" s="4" t="n"/>
      <c r="I66" s="4" t="n"/>
    </row>
    <row r="67">
      <c r="A67" s="7" t="n"/>
      <c r="B67" s="7" t="n"/>
      <c r="C67" s="7" t="n"/>
      <c r="D67" s="7" t="n"/>
      <c r="E67" s="7">
        <f>IF(OR(C67="",D67=""),"",D67-C67)</f>
        <v/>
      </c>
      <c r="F67" s="7">
        <f>IF(E67="","",IF(ISNUMBER(E67),IF(E67&gt;0,"Hausse",IF(E67&lt;0,"Baisse","Stable")),""))</f>
        <v/>
      </c>
      <c r="G67" s="7" t="n"/>
      <c r="H67" s="7" t="n"/>
      <c r="I67" s="7" t="n"/>
    </row>
    <row r="68">
      <c r="A68" s="4" t="n"/>
      <c r="B68" s="4" t="n"/>
      <c r="C68" s="4" t="n"/>
      <c r="D68" s="4" t="n"/>
      <c r="E68" s="4">
        <f>IF(OR(C68="",D68=""),"",D68-C68)</f>
        <v/>
      </c>
      <c r="F68" s="4">
        <f>IF(E68="","",IF(ISNUMBER(E68),IF(E68&gt;0,"Hausse",IF(E68&lt;0,"Baisse","Stable")),""))</f>
        <v/>
      </c>
      <c r="G68" s="4" t="n"/>
      <c r="H68" s="4" t="n"/>
      <c r="I68" s="4" t="n"/>
    </row>
    <row r="69">
      <c r="A69" s="7" t="n"/>
      <c r="B69" s="7" t="n"/>
      <c r="C69" s="7" t="n"/>
      <c r="D69" s="7" t="n"/>
      <c r="E69" s="7">
        <f>IF(OR(C69="",D69=""),"",D69-C69)</f>
        <v/>
      </c>
      <c r="F69" s="7">
        <f>IF(E69="","",IF(ISNUMBER(E69),IF(E69&gt;0,"Hausse",IF(E69&lt;0,"Baisse","Stable")),""))</f>
        <v/>
      </c>
      <c r="G69" s="7" t="n"/>
      <c r="H69" s="7" t="n"/>
      <c r="I69" s="7" t="n"/>
    </row>
    <row r="70">
      <c r="A70" s="4" t="n"/>
      <c r="B70" s="4" t="n"/>
      <c r="C70" s="4" t="n"/>
      <c r="D70" s="4" t="n"/>
      <c r="E70" s="4">
        <f>IF(OR(C70="",D70=""),"",D70-C70)</f>
        <v/>
      </c>
      <c r="F70" s="4">
        <f>IF(E70="","",IF(ISNUMBER(E70),IF(E70&gt;0,"Hausse",IF(E70&lt;0,"Baisse","Stable")),""))</f>
        <v/>
      </c>
      <c r="G70" s="4" t="n"/>
      <c r="H70" s="4" t="n"/>
      <c r="I70" s="4" t="n"/>
    </row>
    <row r="71">
      <c r="A71" s="7" t="n"/>
      <c r="B71" s="7" t="n"/>
      <c r="C71" s="7" t="n"/>
      <c r="D71" s="7" t="n"/>
      <c r="E71" s="7">
        <f>IF(OR(C71="",D71=""),"",D71-C71)</f>
        <v/>
      </c>
      <c r="F71" s="7">
        <f>IF(E71="","",IF(ISNUMBER(E71),IF(E71&gt;0,"Hausse",IF(E71&lt;0,"Baisse","Stable")),""))</f>
        <v/>
      </c>
      <c r="G71" s="7" t="n"/>
      <c r="H71" s="7" t="n"/>
      <c r="I71" s="7" t="n"/>
    </row>
    <row r="72">
      <c r="A72" s="4" t="n"/>
      <c r="B72" s="4" t="n"/>
      <c r="C72" s="4" t="n"/>
      <c r="D72" s="4" t="n"/>
      <c r="E72" s="4">
        <f>IF(OR(C72="",D72=""),"",D72-C72)</f>
        <v/>
      </c>
      <c r="F72" s="4">
        <f>IF(E72="","",IF(ISNUMBER(E72),IF(E72&gt;0,"Hausse",IF(E72&lt;0,"Baisse","Stable")),""))</f>
        <v/>
      </c>
      <c r="G72" s="4" t="n"/>
      <c r="H72" s="4" t="n"/>
      <c r="I72" s="4" t="n"/>
    </row>
    <row r="73">
      <c r="A73" s="7" t="n"/>
      <c r="B73" s="7" t="n"/>
      <c r="C73" s="7" t="n"/>
      <c r="D73" s="7" t="n"/>
      <c r="E73" s="7">
        <f>IF(OR(C73="",D73=""),"",D73-C73)</f>
        <v/>
      </c>
      <c r="F73" s="7">
        <f>IF(E73="","",IF(ISNUMBER(E73),IF(E73&gt;0,"Hausse",IF(E73&lt;0,"Baisse","Stable")),""))</f>
        <v/>
      </c>
      <c r="G73" s="7" t="n"/>
      <c r="H73" s="7" t="n"/>
      <c r="I73" s="7" t="n"/>
    </row>
    <row r="74">
      <c r="A74" s="4" t="n"/>
      <c r="B74" s="4" t="n"/>
      <c r="C74" s="4" t="n"/>
      <c r="D74" s="4" t="n"/>
      <c r="E74" s="4">
        <f>IF(OR(C74="",D74=""),"",D74-C74)</f>
        <v/>
      </c>
      <c r="F74" s="4">
        <f>IF(E74="","",IF(ISNUMBER(E74),IF(E74&gt;0,"Hausse",IF(E74&lt;0,"Baisse","Stable")),""))</f>
        <v/>
      </c>
      <c r="G74" s="4" t="n"/>
      <c r="H74" s="4" t="n"/>
      <c r="I74" s="4" t="n"/>
    </row>
    <row r="75">
      <c r="A75" s="7" t="n"/>
      <c r="B75" s="7" t="n"/>
      <c r="C75" s="7" t="n"/>
      <c r="D75" s="7" t="n"/>
      <c r="E75" s="7">
        <f>IF(OR(C75="",D75=""),"",D75-C75)</f>
        <v/>
      </c>
      <c r="F75" s="7">
        <f>IF(E75="","",IF(ISNUMBER(E75),IF(E75&gt;0,"Hausse",IF(E75&lt;0,"Baisse","Stable")),""))</f>
        <v/>
      </c>
      <c r="G75" s="7" t="n"/>
      <c r="H75" s="7" t="n"/>
      <c r="I75" s="7" t="n"/>
    </row>
    <row r="76">
      <c r="A76" s="4" t="n"/>
      <c r="B76" s="4" t="n"/>
      <c r="C76" s="4" t="n"/>
      <c r="D76" s="4" t="n"/>
      <c r="E76" s="4">
        <f>IF(OR(C76="",D76=""),"",D76-C76)</f>
        <v/>
      </c>
      <c r="F76" s="4">
        <f>IF(E76="","",IF(ISNUMBER(E76),IF(E76&gt;0,"Hausse",IF(E76&lt;0,"Baisse","Stable")),""))</f>
        <v/>
      </c>
      <c r="G76" s="4" t="n"/>
      <c r="H76" s="4" t="n"/>
      <c r="I76" s="4" t="n"/>
    </row>
    <row r="77">
      <c r="A77" s="7" t="n"/>
      <c r="B77" s="7" t="n"/>
      <c r="C77" s="7" t="n"/>
      <c r="D77" s="7" t="n"/>
      <c r="E77" s="7">
        <f>IF(OR(C77="",D77=""),"",D77-C77)</f>
        <v/>
      </c>
      <c r="F77" s="7">
        <f>IF(E77="","",IF(ISNUMBER(E77),IF(E77&gt;0,"Hausse",IF(E77&lt;0,"Baisse","Stable")),""))</f>
        <v/>
      </c>
      <c r="G77" s="7" t="n"/>
      <c r="H77" s="7" t="n"/>
      <c r="I77" s="7" t="n"/>
    </row>
    <row r="78">
      <c r="A78" s="4" t="n"/>
      <c r="B78" s="4" t="n"/>
      <c r="C78" s="4" t="n"/>
      <c r="D78" s="4" t="n"/>
      <c r="E78" s="4">
        <f>IF(OR(C78="",D78=""),"",D78-C78)</f>
        <v/>
      </c>
      <c r="F78" s="4">
        <f>IF(E78="","",IF(ISNUMBER(E78),IF(E78&gt;0,"Hausse",IF(E78&lt;0,"Baisse","Stable")),""))</f>
        <v/>
      </c>
      <c r="G78" s="4" t="n"/>
      <c r="H78" s="4" t="n"/>
      <c r="I78" s="4" t="n"/>
    </row>
    <row r="79">
      <c r="A79" s="7" t="n"/>
      <c r="B79" s="7" t="n"/>
      <c r="C79" s="7" t="n"/>
      <c r="D79" s="7" t="n"/>
      <c r="E79" s="7">
        <f>IF(OR(C79="",D79=""),"",D79-C79)</f>
        <v/>
      </c>
      <c r="F79" s="7">
        <f>IF(E79="","",IF(ISNUMBER(E79),IF(E79&gt;0,"Hausse",IF(E79&lt;0,"Baisse","Stable")),""))</f>
        <v/>
      </c>
      <c r="G79" s="7" t="n"/>
      <c r="H79" s="7" t="n"/>
      <c r="I79" s="7" t="n"/>
    </row>
    <row r="80">
      <c r="A80" s="4" t="n"/>
      <c r="B80" s="4" t="n"/>
      <c r="C80" s="4" t="n"/>
      <c r="D80" s="4" t="n"/>
      <c r="E80" s="4">
        <f>IF(OR(C80="",D80=""),"",D80-C80)</f>
        <v/>
      </c>
      <c r="F80" s="4">
        <f>IF(E80="","",IF(ISNUMBER(E80),IF(E80&gt;0,"Hausse",IF(E80&lt;0,"Baisse","Stable")),""))</f>
        <v/>
      </c>
      <c r="G80" s="4" t="n"/>
      <c r="H80" s="4" t="n"/>
      <c r="I80" s="4" t="n"/>
    </row>
    <row r="81">
      <c r="A81" s="7" t="n"/>
      <c r="B81" s="7" t="n"/>
      <c r="C81" s="7" t="n"/>
      <c r="D81" s="7" t="n"/>
      <c r="E81" s="7">
        <f>IF(OR(C81="",D81=""),"",D81-C81)</f>
        <v/>
      </c>
      <c r="F81" s="7">
        <f>IF(E81="","",IF(ISNUMBER(E81),IF(E81&gt;0,"Hausse",IF(E81&lt;0,"Baisse","Stable")),""))</f>
        <v/>
      </c>
      <c r="G81" s="7" t="n"/>
      <c r="H81" s="7" t="n"/>
      <c r="I81" s="7" t="n"/>
    </row>
    <row r="82">
      <c r="A82" s="4" t="n"/>
      <c r="B82" s="4" t="n"/>
      <c r="C82" s="4" t="n"/>
      <c r="D82" s="4" t="n"/>
      <c r="E82" s="4">
        <f>IF(OR(C82="",D82=""),"",D82-C82)</f>
        <v/>
      </c>
      <c r="F82" s="4">
        <f>IF(E82="","",IF(ISNUMBER(E82),IF(E82&gt;0,"Hausse",IF(E82&lt;0,"Baisse","Stable")),""))</f>
        <v/>
      </c>
      <c r="G82" s="4" t="n"/>
      <c r="H82" s="4" t="n"/>
      <c r="I82" s="4" t="n"/>
    </row>
    <row r="83">
      <c r="A83" s="7" t="n"/>
      <c r="B83" s="7" t="n"/>
      <c r="C83" s="7" t="n"/>
      <c r="D83" s="7" t="n"/>
      <c r="E83" s="7">
        <f>IF(OR(C83="",D83=""),"",D83-C83)</f>
        <v/>
      </c>
      <c r="F83" s="7">
        <f>IF(E83="","",IF(ISNUMBER(E83),IF(E83&gt;0,"Hausse",IF(E83&lt;0,"Baisse","Stable")),""))</f>
        <v/>
      </c>
      <c r="G83" s="7" t="n"/>
      <c r="H83" s="7" t="n"/>
      <c r="I83" s="7" t="n"/>
    </row>
    <row r="84">
      <c r="A84" s="4" t="n"/>
      <c r="B84" s="4" t="n"/>
      <c r="C84" s="4" t="n"/>
      <c r="D84" s="4" t="n"/>
      <c r="E84" s="4">
        <f>IF(OR(C84="",D84=""),"",D84-C84)</f>
        <v/>
      </c>
      <c r="F84" s="4">
        <f>IF(E84="","",IF(ISNUMBER(E84),IF(E84&gt;0,"Hausse",IF(E84&lt;0,"Baisse","Stable")),""))</f>
        <v/>
      </c>
      <c r="G84" s="4" t="n"/>
      <c r="H84" s="4" t="n"/>
      <c r="I84" s="4" t="n"/>
    </row>
    <row r="85">
      <c r="A85" s="7" t="n"/>
      <c r="B85" s="7" t="n"/>
      <c r="C85" s="7" t="n"/>
      <c r="D85" s="7" t="n"/>
      <c r="E85" s="7">
        <f>IF(OR(C85="",D85=""),"",D85-C85)</f>
        <v/>
      </c>
      <c r="F85" s="7">
        <f>IF(E85="","",IF(ISNUMBER(E85),IF(E85&gt;0,"Hausse",IF(E85&lt;0,"Baisse","Stable")),""))</f>
        <v/>
      </c>
      <c r="G85" s="7" t="n"/>
      <c r="H85" s="7" t="n"/>
      <c r="I85" s="7" t="n"/>
    </row>
    <row r="86">
      <c r="A86" s="4" t="n"/>
      <c r="B86" s="4" t="n"/>
      <c r="C86" s="4" t="n"/>
      <c r="D86" s="4" t="n"/>
      <c r="E86" s="4">
        <f>IF(OR(C86="",D86=""),"",D86-C86)</f>
        <v/>
      </c>
      <c r="F86" s="4">
        <f>IF(E86="","",IF(ISNUMBER(E86),IF(E86&gt;0,"Hausse",IF(E86&lt;0,"Baisse","Stable")),""))</f>
        <v/>
      </c>
      <c r="G86" s="4" t="n"/>
      <c r="H86" s="4" t="n"/>
      <c r="I86" s="4" t="n"/>
    </row>
    <row r="87">
      <c r="A87" s="7" t="n"/>
      <c r="B87" s="7" t="n"/>
      <c r="C87" s="7" t="n"/>
      <c r="D87" s="7" t="n"/>
      <c r="E87" s="7">
        <f>IF(OR(C87="",D87=""),"",D87-C87)</f>
        <v/>
      </c>
      <c r="F87" s="7">
        <f>IF(E87="","",IF(ISNUMBER(E87),IF(E87&gt;0,"Hausse",IF(E87&lt;0,"Baisse","Stable")),""))</f>
        <v/>
      </c>
      <c r="G87" s="7" t="n"/>
      <c r="H87" s="7" t="n"/>
      <c r="I87" s="7" t="n"/>
    </row>
    <row r="88">
      <c r="A88" s="4" t="n"/>
      <c r="B88" s="4" t="n"/>
      <c r="C88" s="4" t="n"/>
      <c r="D88" s="4" t="n"/>
      <c r="E88" s="4">
        <f>IF(OR(C88="",D88=""),"",D88-C88)</f>
        <v/>
      </c>
      <c r="F88" s="4">
        <f>IF(E88="","",IF(ISNUMBER(E88),IF(E88&gt;0,"Hausse",IF(E88&lt;0,"Baisse","Stable")),""))</f>
        <v/>
      </c>
      <c r="G88" s="4" t="n"/>
      <c r="H88" s="4" t="n"/>
      <c r="I88" s="4" t="n"/>
    </row>
    <row r="89">
      <c r="A89" s="7" t="n"/>
      <c r="B89" s="7" t="n"/>
      <c r="C89" s="7" t="n"/>
      <c r="D89" s="7" t="n"/>
      <c r="E89" s="7">
        <f>IF(OR(C89="",D89=""),"",D89-C89)</f>
        <v/>
      </c>
      <c r="F89" s="7">
        <f>IF(E89="","",IF(ISNUMBER(E89),IF(E89&gt;0,"Hausse",IF(E89&lt;0,"Baisse","Stable")),""))</f>
        <v/>
      </c>
      <c r="G89" s="7" t="n"/>
      <c r="H89" s="7" t="n"/>
      <c r="I89" s="7" t="n"/>
    </row>
    <row r="90">
      <c r="A90" s="4" t="n"/>
      <c r="B90" s="4" t="n"/>
      <c r="C90" s="4" t="n"/>
      <c r="D90" s="4" t="n"/>
      <c r="E90" s="4">
        <f>IF(OR(C90="",D90=""),"",D90-C90)</f>
        <v/>
      </c>
      <c r="F90" s="4">
        <f>IF(E90="","",IF(ISNUMBER(E90),IF(E90&gt;0,"Hausse",IF(E90&lt;0,"Baisse","Stable")),""))</f>
        <v/>
      </c>
      <c r="G90" s="4" t="n"/>
      <c r="H90" s="4" t="n"/>
      <c r="I90" s="4" t="n"/>
    </row>
    <row r="91">
      <c r="A91" s="7" t="n"/>
      <c r="B91" s="7" t="n"/>
      <c r="C91" s="7" t="n"/>
      <c r="D91" s="7" t="n"/>
      <c r="E91" s="7">
        <f>IF(OR(C91="",D91=""),"",D91-C91)</f>
        <v/>
      </c>
      <c r="F91" s="7">
        <f>IF(E91="","",IF(ISNUMBER(E91),IF(E91&gt;0,"Hausse",IF(E91&lt;0,"Baisse","Stable")),""))</f>
        <v/>
      </c>
      <c r="G91" s="7" t="n"/>
      <c r="H91" s="7" t="n"/>
      <c r="I91" s="7" t="n"/>
    </row>
    <row r="92">
      <c r="A92" s="4" t="n"/>
      <c r="B92" s="4" t="n"/>
      <c r="C92" s="4" t="n"/>
      <c r="D92" s="4" t="n"/>
      <c r="E92" s="4">
        <f>IF(OR(C92="",D92=""),"",D92-C92)</f>
        <v/>
      </c>
      <c r="F92" s="4">
        <f>IF(E92="","",IF(ISNUMBER(E92),IF(E92&gt;0,"Hausse",IF(E92&lt;0,"Baisse","Stable")),""))</f>
        <v/>
      </c>
      <c r="G92" s="4" t="n"/>
      <c r="H92" s="4" t="n"/>
      <c r="I92" s="4" t="n"/>
    </row>
    <row r="93">
      <c r="A93" s="7" t="n"/>
      <c r="B93" s="7" t="n"/>
      <c r="C93" s="7" t="n"/>
      <c r="D93" s="7" t="n"/>
      <c r="E93" s="7">
        <f>IF(OR(C93="",D93=""),"",D93-C93)</f>
        <v/>
      </c>
      <c r="F93" s="7">
        <f>IF(E93="","",IF(ISNUMBER(E93),IF(E93&gt;0,"Hausse",IF(E93&lt;0,"Baisse","Stable")),""))</f>
        <v/>
      </c>
      <c r="G93" s="7" t="n"/>
      <c r="H93" s="7" t="n"/>
      <c r="I93" s="7" t="n"/>
    </row>
    <row r="94">
      <c r="A94" s="4" t="n"/>
      <c r="B94" s="4" t="n"/>
      <c r="C94" s="4" t="n"/>
      <c r="D94" s="4" t="n"/>
      <c r="E94" s="4">
        <f>IF(OR(C94="",D94=""),"",D94-C94)</f>
        <v/>
      </c>
      <c r="F94" s="4">
        <f>IF(E94="","",IF(ISNUMBER(E94),IF(E94&gt;0,"Hausse",IF(E94&lt;0,"Baisse","Stable")),""))</f>
        <v/>
      </c>
      <c r="G94" s="4" t="n"/>
      <c r="H94" s="4" t="n"/>
      <c r="I94" s="4" t="n"/>
    </row>
    <row r="95">
      <c r="A95" s="7" t="n"/>
      <c r="B95" s="7" t="n"/>
      <c r="C95" s="7" t="n"/>
      <c r="D95" s="7" t="n"/>
      <c r="E95" s="7">
        <f>IF(OR(C95="",D95=""),"",D95-C95)</f>
        <v/>
      </c>
      <c r="F95" s="7">
        <f>IF(E95="","",IF(ISNUMBER(E95),IF(E95&gt;0,"Hausse",IF(E95&lt;0,"Baisse","Stable")),""))</f>
        <v/>
      </c>
      <c r="G95" s="7" t="n"/>
      <c r="H95" s="7" t="n"/>
      <c r="I95" s="7" t="n"/>
    </row>
    <row r="96">
      <c r="A96" s="4" t="n"/>
      <c r="B96" s="4" t="n"/>
      <c r="C96" s="4" t="n"/>
      <c r="D96" s="4" t="n"/>
      <c r="E96" s="4">
        <f>IF(OR(C96="",D96=""),"",D96-C96)</f>
        <v/>
      </c>
      <c r="F96" s="4">
        <f>IF(E96="","",IF(ISNUMBER(E96),IF(E96&gt;0,"Hausse",IF(E96&lt;0,"Baisse","Stable")),""))</f>
        <v/>
      </c>
      <c r="G96" s="4" t="n"/>
      <c r="H96" s="4" t="n"/>
      <c r="I96" s="4" t="n"/>
    </row>
    <row r="97">
      <c r="A97" s="7" t="n"/>
      <c r="B97" s="7" t="n"/>
      <c r="C97" s="7" t="n"/>
      <c r="D97" s="7" t="n"/>
      <c r="E97" s="7">
        <f>IF(OR(C97="",D97=""),"",D97-C97)</f>
        <v/>
      </c>
      <c r="F97" s="7">
        <f>IF(E97="","",IF(ISNUMBER(E97),IF(E97&gt;0,"Hausse",IF(E97&lt;0,"Baisse","Stable")),""))</f>
        <v/>
      </c>
      <c r="G97" s="7" t="n"/>
      <c r="H97" s="7" t="n"/>
      <c r="I97" s="7" t="n"/>
    </row>
    <row r="98">
      <c r="A98" s="4" t="n"/>
      <c r="B98" s="4" t="n"/>
      <c r="C98" s="4" t="n"/>
      <c r="D98" s="4" t="n"/>
      <c r="E98" s="4">
        <f>IF(OR(C98="",D98=""),"",D98-C98)</f>
        <v/>
      </c>
      <c r="F98" s="4">
        <f>IF(E98="","",IF(ISNUMBER(E98),IF(E98&gt;0,"Hausse",IF(E98&lt;0,"Baisse","Stable")),""))</f>
        <v/>
      </c>
      <c r="G98" s="4" t="n"/>
      <c r="H98" s="4" t="n"/>
      <c r="I98" s="4" t="n"/>
    </row>
    <row r="99">
      <c r="A99" s="7" t="n"/>
      <c r="B99" s="7" t="n"/>
      <c r="C99" s="7" t="n"/>
      <c r="D99" s="7" t="n"/>
      <c r="E99" s="7">
        <f>IF(OR(C99="",D99=""),"",D99-C99)</f>
        <v/>
      </c>
      <c r="F99" s="7">
        <f>IF(E99="","",IF(ISNUMBER(E99),IF(E99&gt;0,"Hausse",IF(E99&lt;0,"Baisse","Stable")),""))</f>
        <v/>
      </c>
      <c r="G99" s="7" t="n"/>
      <c r="H99" s="7" t="n"/>
      <c r="I99" s="7" t="n"/>
    </row>
    <row r="100">
      <c r="A100" s="4" t="n"/>
      <c r="B100" s="4" t="n"/>
      <c r="C100" s="4" t="n"/>
      <c r="D100" s="4" t="n"/>
      <c r="E100" s="4">
        <f>IF(OR(C100="",D100=""),"",D100-C100)</f>
        <v/>
      </c>
      <c r="F100" s="4">
        <f>IF(E100="","",IF(ISNUMBER(E100),IF(E100&gt;0,"Hausse",IF(E100&lt;0,"Baisse","Stable")),""))</f>
        <v/>
      </c>
      <c r="G100" s="4" t="n"/>
      <c r="H100" s="4" t="n"/>
      <c r="I100" s="4" t="n"/>
    </row>
    <row r="101">
      <c r="A101" s="7" t="n"/>
      <c r="B101" s="7" t="n"/>
      <c r="C101" s="7" t="n"/>
      <c r="D101" s="7" t="n"/>
      <c r="E101" s="7">
        <f>IF(OR(C101="",D101=""),"",D101-C101)</f>
        <v/>
      </c>
      <c r="F101" s="7">
        <f>IF(E101="","",IF(ISNUMBER(E101),IF(E101&gt;0,"Hausse",IF(E101&lt;0,"Baisse","Stable")),""))</f>
        <v/>
      </c>
      <c r="G101" s="7" t="n"/>
      <c r="H101" s="7" t="n"/>
      <c r="I101" s="7" t="n"/>
    </row>
    <row r="102">
      <c r="A102" s="4" t="n"/>
      <c r="B102" s="4" t="n"/>
      <c r="C102" s="4" t="n"/>
      <c r="D102" s="4" t="n"/>
      <c r="E102" s="4">
        <f>IF(OR(C102="",D102=""),"",D102-C102)</f>
        <v/>
      </c>
      <c r="F102" s="4">
        <f>IF(E102="","",IF(ISNUMBER(E102),IF(E102&gt;0,"Hausse",IF(E102&lt;0,"Baisse","Stable")),""))</f>
        <v/>
      </c>
      <c r="G102" s="4" t="n"/>
      <c r="H102" s="4" t="n"/>
      <c r="I102" s="4" t="n"/>
    </row>
    <row r="103">
      <c r="A103" s="7" t="n"/>
      <c r="B103" s="7" t="n"/>
      <c r="C103" s="7" t="n"/>
      <c r="D103" s="7" t="n"/>
      <c r="E103" s="7">
        <f>IF(OR(C103="",D103=""),"",D103-C103)</f>
        <v/>
      </c>
      <c r="F103" s="7">
        <f>IF(E103="","",IF(ISNUMBER(E103),IF(E103&gt;0,"Hausse",IF(E103&lt;0,"Baisse","Stable")),""))</f>
        <v/>
      </c>
      <c r="G103" s="7" t="n"/>
      <c r="H103" s="7" t="n"/>
      <c r="I103" s="7" t="n"/>
    </row>
    <row r="104">
      <c r="A104" s="4" t="n"/>
      <c r="B104" s="4" t="n"/>
      <c r="C104" s="4" t="n"/>
      <c r="D104" s="4" t="n"/>
      <c r="E104" s="4">
        <f>IF(OR(C104="",D104=""),"",D104-C104)</f>
        <v/>
      </c>
      <c r="F104" s="4">
        <f>IF(E104="","",IF(ISNUMBER(E104),IF(E104&gt;0,"Hausse",IF(E104&lt;0,"Baisse","Stable")),""))</f>
        <v/>
      </c>
      <c r="G104" s="4" t="n"/>
      <c r="H104" s="4" t="n"/>
      <c r="I104" s="4" t="n"/>
    </row>
    <row r="105">
      <c r="A105" s="7" t="n"/>
      <c r="B105" s="7" t="n"/>
      <c r="C105" s="7" t="n"/>
      <c r="D105" s="7" t="n"/>
      <c r="E105" s="7">
        <f>IF(OR(C105="",D105=""),"",D105-C105)</f>
        <v/>
      </c>
      <c r="F105" s="7">
        <f>IF(E105="","",IF(ISNUMBER(E105),IF(E105&gt;0,"Hausse",IF(E105&lt;0,"Baisse","Stable")),""))</f>
        <v/>
      </c>
      <c r="G105" s="7" t="n"/>
      <c r="H105" s="7" t="n"/>
      <c r="I105" s="7" t="n"/>
    </row>
    <row r="106">
      <c r="A106" s="4" t="n"/>
      <c r="B106" s="4" t="n"/>
      <c r="C106" s="4" t="n"/>
      <c r="D106" s="4" t="n"/>
      <c r="E106" s="4">
        <f>IF(OR(C106="",D106=""),"",D106-C106)</f>
        <v/>
      </c>
      <c r="F106" s="4">
        <f>IF(E106="","",IF(ISNUMBER(E106),IF(E106&gt;0,"Hausse",IF(E106&lt;0,"Baisse","Stable")),""))</f>
        <v/>
      </c>
      <c r="G106" s="4" t="n"/>
      <c r="H106" s="4" t="n"/>
      <c r="I106" s="4" t="n"/>
    </row>
    <row r="107">
      <c r="A107" s="7" t="n"/>
      <c r="B107" s="7" t="n"/>
      <c r="C107" s="7" t="n"/>
      <c r="D107" s="7" t="n"/>
      <c r="E107" s="7">
        <f>IF(OR(C107="",D107=""),"",D107-C107)</f>
        <v/>
      </c>
      <c r="F107" s="7">
        <f>IF(E107="","",IF(ISNUMBER(E107),IF(E107&gt;0,"Hausse",IF(E107&lt;0,"Baisse","Stable")),""))</f>
        <v/>
      </c>
      <c r="G107" s="7" t="n"/>
      <c r="H107" s="7" t="n"/>
      <c r="I107" s="7" t="n"/>
    </row>
    <row r="108">
      <c r="A108" s="4" t="n"/>
      <c r="B108" s="4" t="n"/>
      <c r="C108" s="4" t="n"/>
      <c r="D108" s="4" t="n"/>
      <c r="E108" s="4">
        <f>IF(OR(C108="",D108=""),"",D108-C108)</f>
        <v/>
      </c>
      <c r="F108" s="4">
        <f>IF(E108="","",IF(ISNUMBER(E108),IF(E108&gt;0,"Hausse",IF(E108&lt;0,"Baisse","Stable")),""))</f>
        <v/>
      </c>
      <c r="G108" s="4" t="n"/>
      <c r="H108" s="4" t="n"/>
      <c r="I108" s="4" t="n"/>
    </row>
    <row r="109">
      <c r="A109" s="7" t="n"/>
      <c r="B109" s="7" t="n"/>
      <c r="C109" s="7" t="n"/>
      <c r="D109" s="7" t="n"/>
      <c r="E109" s="7">
        <f>IF(OR(C109="",D109=""),"",D109-C109)</f>
        <v/>
      </c>
      <c r="F109" s="7">
        <f>IF(E109="","",IF(ISNUMBER(E109),IF(E109&gt;0,"Hausse",IF(E109&lt;0,"Baisse","Stable")),""))</f>
        <v/>
      </c>
      <c r="G109" s="7" t="n"/>
      <c r="H109" s="7" t="n"/>
      <c r="I109" s="7" t="n"/>
    </row>
    <row r="110">
      <c r="A110" s="4" t="n"/>
      <c r="B110" s="4" t="n"/>
      <c r="C110" s="4" t="n"/>
      <c r="D110" s="4" t="n"/>
      <c r="E110" s="4">
        <f>IF(OR(C110="",D110=""),"",D110-C110)</f>
        <v/>
      </c>
      <c r="F110" s="4">
        <f>IF(E110="","",IF(ISNUMBER(E110),IF(E110&gt;0,"Hausse",IF(E110&lt;0,"Baisse","Stable")),""))</f>
        <v/>
      </c>
      <c r="G110" s="4" t="n"/>
      <c r="H110" s="4" t="n"/>
      <c r="I110" s="4" t="n"/>
    </row>
    <row r="111">
      <c r="A111" s="7" t="n"/>
      <c r="B111" s="7" t="n"/>
      <c r="C111" s="7" t="n"/>
      <c r="D111" s="7" t="n"/>
      <c r="E111" s="7">
        <f>IF(OR(C111="",D111=""),"",D111-C111)</f>
        <v/>
      </c>
      <c r="F111" s="7">
        <f>IF(E111="","",IF(ISNUMBER(E111),IF(E111&gt;0,"Hausse",IF(E111&lt;0,"Baisse","Stable")),""))</f>
        <v/>
      </c>
      <c r="G111" s="7" t="n"/>
      <c r="H111" s="7" t="n"/>
      <c r="I111" s="7" t="n"/>
    </row>
    <row r="112">
      <c r="A112" s="4" t="n"/>
      <c r="B112" s="4" t="n"/>
      <c r="C112" s="4" t="n"/>
      <c r="D112" s="4" t="n"/>
      <c r="E112" s="4">
        <f>IF(OR(C112="",D112=""),"",D112-C112)</f>
        <v/>
      </c>
      <c r="F112" s="4">
        <f>IF(E112="","",IF(ISNUMBER(E112),IF(E112&gt;0,"Hausse",IF(E112&lt;0,"Baisse","Stable")),""))</f>
        <v/>
      </c>
      <c r="G112" s="4" t="n"/>
      <c r="H112" s="4" t="n"/>
      <c r="I112" s="4" t="n"/>
    </row>
    <row r="113">
      <c r="A113" s="7" t="n"/>
      <c r="B113" s="7" t="n"/>
      <c r="C113" s="7" t="n"/>
      <c r="D113" s="7" t="n"/>
      <c r="E113" s="7">
        <f>IF(OR(C113="",D113=""),"",D113-C113)</f>
        <v/>
      </c>
      <c r="F113" s="7">
        <f>IF(E113="","",IF(ISNUMBER(E113),IF(E113&gt;0,"Hausse",IF(E113&lt;0,"Baisse","Stable")),""))</f>
        <v/>
      </c>
      <c r="G113" s="7" t="n"/>
      <c r="H113" s="7" t="n"/>
      <c r="I113" s="7" t="n"/>
    </row>
    <row r="114">
      <c r="A114" s="4" t="n"/>
      <c r="B114" s="4" t="n"/>
      <c r="C114" s="4" t="n"/>
      <c r="D114" s="4" t="n"/>
      <c r="E114" s="4">
        <f>IF(OR(C114="",D114=""),"",D114-C114)</f>
        <v/>
      </c>
      <c r="F114" s="4">
        <f>IF(E114="","",IF(ISNUMBER(E114),IF(E114&gt;0,"Hausse",IF(E114&lt;0,"Baisse","Stable")),""))</f>
        <v/>
      </c>
      <c r="G114" s="4" t="n"/>
      <c r="H114" s="4" t="n"/>
      <c r="I114" s="4" t="n"/>
    </row>
    <row r="115">
      <c r="A115" s="7" t="n"/>
      <c r="B115" s="7" t="n"/>
      <c r="C115" s="7" t="n"/>
      <c r="D115" s="7" t="n"/>
      <c r="E115" s="7">
        <f>IF(OR(C115="",D115=""),"",D115-C115)</f>
        <v/>
      </c>
      <c r="F115" s="7">
        <f>IF(E115="","",IF(ISNUMBER(E115),IF(E115&gt;0,"Hausse",IF(E115&lt;0,"Baisse","Stable")),""))</f>
        <v/>
      </c>
      <c r="G115" s="7" t="n"/>
      <c r="H115" s="7" t="n"/>
      <c r="I115" s="7" t="n"/>
    </row>
  </sheetData>
  <mergeCells count="2">
    <mergeCell ref="A3:P3"/>
    <mergeCell ref="A2:P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A237E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4" customWidth="1" min="4" max="4"/>
    <col width="28" customWidth="1" min="5" max="5"/>
    <col width="2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</cols>
  <sheetData>
    <row r="2" ht="25" customHeight="1">
      <c r="A2" s="1" t="inlineStr">
        <is>
          <t>DOMAINE 26 — 19-AUDIT ET CONFORMITÉ FISCALE</t>
        </is>
      </c>
    </row>
    <row r="3" ht="18" customHeight="1">
      <c r="A3" s="2" t="inlineStr">
        <is>
          <t>TABLEAU DYNAMIQUE — Suivi des risques, contrôles et actions correctives</t>
        </is>
      </c>
    </row>
    <row r="5">
      <c r="A5" s="3" t="inlineStr">
        <is>
          <t>Code Audit</t>
        </is>
      </c>
      <c r="B5" s="3" t="inlineStr">
        <is>
          <t>Domaine Contrôle</t>
        </is>
      </c>
      <c r="C5" s="3" t="inlineStr">
        <is>
          <t>Type de Risque</t>
        </is>
      </c>
      <c r="D5" s="3" t="inlineStr">
        <is>
          <t>Niveau de Risque</t>
        </is>
      </c>
      <c r="E5" s="3" t="inlineStr">
        <is>
          <t>Observation</t>
        </is>
      </c>
      <c r="F5" s="3" t="inlineStr">
        <is>
          <t>Action Corrective</t>
        </is>
      </c>
      <c r="G5" s="3" t="inlineStr">
        <is>
          <t>Responsable</t>
        </is>
      </c>
      <c r="H5" s="3" t="inlineStr">
        <is>
          <t>Date Détection</t>
        </is>
      </c>
      <c r="I5" s="3" t="inlineStr">
        <is>
          <t>Date Échéance</t>
        </is>
      </c>
      <c r="J5" s="3" t="inlineStr">
        <is>
          <t>Date Clôture</t>
        </is>
      </c>
      <c r="K5" s="3" t="inlineStr">
        <is>
          <t>Statut</t>
        </is>
      </c>
      <c r="L5" s="3" t="inlineStr">
        <is>
          <t>Pénalités Potentielles (FCFA)</t>
        </is>
      </c>
    </row>
    <row r="6">
      <c r="A6" s="4" t="inlineStr">
        <is>
          <t>AUD-001</t>
        </is>
      </c>
      <c r="B6" s="4" t="inlineStr">
        <is>
          <t>DSN mensuelle</t>
        </is>
      </c>
      <c r="C6" s="4" t="inlineStr">
        <is>
          <t>Retard de déclaration</t>
        </is>
      </c>
      <c r="D6" s="4" t="inlineStr">
        <is>
          <t>Moyen</t>
        </is>
      </c>
      <c r="E6" s="4" t="inlineStr">
        <is>
          <t>Soumission 3j en retard avril</t>
        </is>
      </c>
      <c r="F6" s="4" t="inlineStr">
        <is>
          <t>Renforcer le processus de validation</t>
        </is>
      </c>
      <c r="G6" s="4" t="inlineStr">
        <is>
          <t>M. Eyenga</t>
        </is>
      </c>
      <c r="H6" s="14" t="n">
        <v>45765</v>
      </c>
      <c r="I6" s="14" t="n">
        <v>45808</v>
      </c>
      <c r="J6" s="14" t="n">
        <v>45797</v>
      </c>
      <c r="K6" s="4" t="inlineStr">
        <is>
          <t>Clôturé</t>
        </is>
      </c>
      <c r="L6" s="5" t="n">
        <v>50000</v>
      </c>
    </row>
    <row r="7">
      <c r="A7" s="7" t="inlineStr">
        <is>
          <t>AUD-002</t>
        </is>
      </c>
      <c r="B7" s="7" t="inlineStr">
        <is>
          <t>TVA sur avantages en nature</t>
        </is>
      </c>
      <c r="C7" s="7" t="inlineStr">
        <is>
          <t>Sous-évaluation assiette</t>
        </is>
      </c>
      <c r="D7" s="7" t="inlineStr">
        <is>
          <t>Haute</t>
        </is>
      </c>
      <c r="E7" s="7" t="inlineStr">
        <is>
          <t>TVA non appliquée sur véhicule</t>
        </is>
      </c>
      <c r="F7" s="7" t="inlineStr">
        <is>
          <t>Recalcul et régularisation TVA</t>
        </is>
      </c>
      <c r="G7" s="7" t="inlineStr">
        <is>
          <t>M. Fotso</t>
        </is>
      </c>
      <c r="H7" s="15" t="n">
        <v>45731</v>
      </c>
      <c r="I7" s="15" t="n">
        <v>45838</v>
      </c>
      <c r="J7" s="7" t="n"/>
      <c r="K7" s="7" t="inlineStr">
        <is>
          <t>En cours</t>
        </is>
      </c>
      <c r="L7" s="8" t="n">
        <v>850000</v>
      </c>
    </row>
    <row r="8">
      <c r="A8" s="4" t="inlineStr">
        <is>
          <t>AUD-003</t>
        </is>
      </c>
      <c r="B8" s="4" t="inlineStr">
        <is>
          <t>Crédit d'impôt apprentissage</t>
        </is>
      </c>
      <c r="C8" s="4" t="inlineStr">
        <is>
          <t>Non-réclamation</t>
        </is>
      </c>
      <c r="D8" s="4" t="inlineStr">
        <is>
          <t>Moyen</t>
        </is>
      </c>
      <c r="E8" s="4" t="inlineStr">
        <is>
          <t>Crédit non déclaré 2024</t>
        </is>
      </c>
      <c r="F8" s="4" t="inlineStr">
        <is>
          <t>Déclaration rectificative DSF</t>
        </is>
      </c>
      <c r="G8" s="4" t="inlineStr">
        <is>
          <t>M. Eyenga</t>
        </is>
      </c>
      <c r="H8" s="14" t="n">
        <v>45748</v>
      </c>
      <c r="I8" s="14" t="n">
        <v>45869</v>
      </c>
      <c r="J8" s="4" t="n"/>
      <c r="K8" s="4" t="inlineStr">
        <is>
          <t>En cours</t>
        </is>
      </c>
      <c r="L8" s="5" t="n">
        <v>0</v>
      </c>
    </row>
    <row r="9">
      <c r="A9" s="7" t="inlineStr">
        <is>
          <t>AUD-004</t>
        </is>
      </c>
      <c r="B9" s="7" t="inlineStr">
        <is>
          <t>Exonération expatriés</t>
        </is>
      </c>
      <c r="C9" s="7" t="inlineStr">
        <is>
          <t>Conventions fiscales</t>
        </is>
      </c>
      <c r="D9" s="7" t="inlineStr">
        <is>
          <t>Haute</t>
        </is>
      </c>
      <c r="E9" s="7" t="inlineStr">
        <is>
          <t>Vérification traités en cours</t>
        </is>
      </c>
      <c r="F9" s="7" t="inlineStr">
        <is>
          <t>Revue juridique complète</t>
        </is>
      </c>
      <c r="G9" s="7" t="inlineStr">
        <is>
          <t>M. Eyenga</t>
        </is>
      </c>
      <c r="H9" s="15" t="n">
        <v>45778</v>
      </c>
      <c r="I9" s="15" t="n">
        <v>45900</v>
      </c>
      <c r="J9" s="7" t="n"/>
      <c r="K9" s="7" t="inlineStr">
        <is>
          <t>En cours</t>
        </is>
      </c>
      <c r="L9" s="8" t="n">
        <v>2500000</v>
      </c>
    </row>
    <row r="10">
      <c r="A10" s="4" t="inlineStr">
        <is>
          <t>AUD-005</t>
        </is>
      </c>
      <c r="B10" s="4" t="inlineStr">
        <is>
          <t>Forfait social</t>
        </is>
      </c>
      <c r="C10" s="4" t="inlineStr">
        <is>
          <t>Base de calcul erronée</t>
        </is>
      </c>
      <c r="D10" s="4" t="inlineStr">
        <is>
          <t>Basse</t>
        </is>
      </c>
      <c r="E10" s="4" t="inlineStr">
        <is>
          <t>Retro-computé correctement</t>
        </is>
      </c>
      <c r="F10" s="4" t="inlineStr">
        <is>
          <t>Ajustement DSN juin</t>
        </is>
      </c>
      <c r="G10" s="4" t="inlineStr">
        <is>
          <t>M. Fotso</t>
        </is>
      </c>
      <c r="H10" s="14" t="n">
        <v>45792</v>
      </c>
      <c r="I10" s="14" t="n">
        <v>45838</v>
      </c>
      <c r="J10" s="14" t="n">
        <v>45833</v>
      </c>
      <c r="K10" s="4" t="inlineStr">
        <is>
          <t>Clôturé</t>
        </is>
      </c>
      <c r="L10" s="5" t="n">
        <v>120000</v>
      </c>
    </row>
    <row r="11">
      <c r="A11" s="7" t="inlineStr">
        <is>
          <t>AUD-006</t>
        </is>
      </c>
      <c r="B11" s="7" t="inlineStr">
        <is>
          <t>Impôt sur les avantages</t>
        </is>
      </c>
      <c r="C11" s="7" t="inlineStr">
        <is>
          <t>Non-déclaration indemnités</t>
        </is>
      </c>
      <c r="D11" s="7" t="inlineStr">
        <is>
          <t>Moyen</t>
        </is>
      </c>
      <c r="E11" s="7" t="inlineStr">
        <is>
          <t>Indemnités scolaires non déclarées</t>
        </is>
      </c>
      <c r="F11" s="7" t="inlineStr">
        <is>
          <t>Intégration à la base imposable</t>
        </is>
      </c>
      <c r="G11" s="7" t="inlineStr">
        <is>
          <t>M. Eyenga</t>
        </is>
      </c>
      <c r="H11" s="15" t="n">
        <v>45809</v>
      </c>
      <c r="I11" s="15" t="n">
        <v>45930</v>
      </c>
      <c r="J11" s="7" t="n"/>
      <c r="K11" s="7" t="inlineStr">
        <is>
          <t>En cours</t>
        </is>
      </c>
      <c r="L11" s="8" t="n">
        <v>400000</v>
      </c>
    </row>
    <row r="12">
      <c r="A12" s="4" t="inlineStr">
        <is>
          <t>AUD-007</t>
        </is>
      </c>
      <c r="B12" s="4" t="inlineStr">
        <is>
          <t>Déclaration TVA CA</t>
        </is>
      </c>
      <c r="C12" s="4" t="inlineStr">
        <is>
          <t>Taux de TVA incorrect</t>
        </is>
      </c>
      <c r="D12" s="4" t="inlineStr">
        <is>
          <t>Basse</t>
        </is>
      </c>
      <c r="E12" s="4" t="inlineStr">
        <is>
          <t>TVA 19.25% au lieu de 10%</t>
        </is>
      </c>
      <c r="F12" s="4" t="inlineStr">
        <is>
          <t>Correction et régularisation</t>
        </is>
      </c>
      <c r="G12" s="4" t="inlineStr">
        <is>
          <t>M. Fotso</t>
        </is>
      </c>
      <c r="H12" s="14" t="n">
        <v>45797</v>
      </c>
      <c r="I12" s="14" t="n">
        <v>45869</v>
      </c>
      <c r="J12" s="4" t="n"/>
      <c r="K12" s="4" t="inlineStr">
        <is>
          <t>Planifiée</t>
        </is>
      </c>
      <c r="L12" s="5" t="n">
        <v>200000</v>
      </c>
    </row>
    <row r="13">
      <c r="A13" s="7" t="inlineStr">
        <is>
          <t>AUD-008</t>
        </is>
      </c>
      <c r="B13" s="7" t="inlineStr">
        <is>
          <t>Épargne salariale</t>
        </is>
      </c>
      <c r="C13" s="7" t="inlineStr">
        <is>
          <t>Abondement non plafonné</t>
        </is>
      </c>
      <c r="D13" s="7" t="inlineStr">
        <is>
          <t>Moyen</t>
        </is>
      </c>
      <c r="E13" s="7" t="inlineStr">
        <is>
          <t>Dépassement plafond PEE 3 salariés</t>
        </is>
      </c>
      <c r="F13" s="7" t="inlineStr">
        <is>
          <t>Remboursement trop-perçu</t>
        </is>
      </c>
      <c r="G13" s="7" t="inlineStr">
        <is>
          <t>M. Mbarga</t>
        </is>
      </c>
      <c r="H13" s="15" t="n">
        <v>45818</v>
      </c>
      <c r="I13" s="15" t="n">
        <v>45884</v>
      </c>
      <c r="J13" s="7" t="n"/>
      <c r="K13" s="7" t="inlineStr">
        <is>
          <t>En cours</t>
        </is>
      </c>
      <c r="L13" s="8" t="n">
        <v>150000</v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8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8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8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8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8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5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8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5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5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8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5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8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5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8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5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8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5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8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5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8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5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8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5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8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5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8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5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8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5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8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5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8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5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8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5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8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5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8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5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8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5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8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5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8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5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8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5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8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5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8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5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8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5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8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5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8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5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8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5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8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5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8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5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8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5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8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5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8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5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8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5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8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5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8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5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8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5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8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5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8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5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8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5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8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5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8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5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8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5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8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5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8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5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8" t="n"/>
    </row>
  </sheetData>
  <mergeCells count="2">
    <mergeCell ref="A3:P3"/>
    <mergeCell ref="A2:P2"/>
  </mergeCells>
  <conditionalFormatting sqref="D6:D115">
    <cfRule type="cellIs" priority="1" operator="equal" dxfId="2">
      <formula>"Haute"</formula>
    </cfRule>
    <cfRule type="cellIs" priority="2" operator="equal" dxfId="0">
      <formula>"Moyenne"</formula>
    </cfRule>
    <cfRule type="cellIs" priority="3" operator="equal" dxfId="1">
      <formula>"Basse"</formula>
    </cfRule>
  </conditionalFormatting>
  <conditionalFormatting sqref="K6:K115">
    <cfRule type="cellIs" priority="4" operator="equal" dxfId="1">
      <formula>"Clôturé"</formula>
    </cfRule>
    <cfRule type="cellIs" priority="5" operator="equal" dxfId="0">
      <formula>"En cours"</formula>
    </cfRule>
    <cfRule type="cellIs" priority="6" operator="equal" dxfId="3">
      <formula>"Planifiée"</formula>
    </cfRule>
    <cfRule type="cellIs" priority="7" operator="equal" dxfId="2">
      <formula>"Non conforme"</formula>
    </cfRule>
  </conditionalFormatting>
  <dataValidations count="2">
    <dataValidation sqref="D6:D115" showDropDown="0" showInputMessage="0" showErrorMessage="0" allowBlank="1" errorTitle="Erreur de saisie" error="Valeur non autorisée" promptTitle="Liste déroulante" prompt="Sélectionnez dans la liste" type="list">
      <formula1>'F02 - _Lists'!$M$6:$M$35</formula1>
    </dataValidation>
    <dataValidation sqref="K6:K115" showDropDown="0" showInputMessage="0" showErrorMessage="0" allowBlank="1" errorTitle="Erreur de saisie" error="Valeur non autorisée" promptTitle="Liste déroulante" prompt="Sélectionnez dans la liste" type="list">
      <formula1>'F02 - _Lists'!$F$6:$F$35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2026-07-16T15:02:04Z</dcterms:created>
  <dcterms:modified xmlns:dcterms="http://purl.org/dc/terms/" xmlns:xsi="http://www.w3.org/2001/XMLSchema-instance" xsi:type="dcterms:W3CDTF">2026-07-16T15:02:05Z</dcterms:modified>
</cp:coreProperties>
</file>