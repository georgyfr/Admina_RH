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F01 - _Données Centrales" sheetId="1" state="visible" r:id="rId1"/>
    <sheet name="F02 - _Lists" sheetId="2" state="visible" r:id="rId2"/>
    <sheet name="F03 - 1-TdB Mobilité &amp; Carrière" sheetId="3" state="visible" r:id="rId3"/>
    <sheet name="F04 - 2-Registre Dem. Mobilité" sheetId="4" state="visible" r:id="rId4"/>
    <sheet name="F05 - 3-Plan de Succession" sheetId="5" state="visible" r:id="rId5"/>
    <sheet name="F06 - 4-Cartographie Postes C." sheetId="6" state="visible" r:id="rId6"/>
    <sheet name="F07 - 5-Évaluations Potentiel" sheetId="7" state="visible" r:id="rId7"/>
    <sheet name="F08 - 6-Parcours de Carrière" sheetId="8" state="visible" r:id="rId8"/>
    <sheet name="F09 - 7-Mobilité Internationale" sheetId="9" state="visible" r:id="rId9"/>
    <sheet name="F10 - 8-Gest. Talents Haut Pot." sheetId="10" state="visible" r:id="rId10"/>
    <sheet name="F11 - 9-Entretiens Annu. Carr." sheetId="11" state="visible" r:id="rId11"/>
    <sheet name="F12 - 10-Indic. Mobilité Carr." sheetId="12" state="visible" r:id="rId12"/>
    <sheet name="F13 - 11-Plan Format. Carrière" sheetId="13" state="visible" r:id="rId13"/>
    <sheet name="F14 - 12-Réseau Mentorat Coach." sheetId="14" state="visible" r:id="rId14"/>
    <sheet name="F15 - 13-Budget Mobilité Carr." sheetId="15" state="visible" r:id="rId15"/>
    <sheet name="F16 - 14-Reporting Mensuel MC" sheetId="16" state="visible" r:id="rId16"/>
    <sheet name="F17 - 15-Analyse Coûts Départ." sheetId="17" state="visible" r:id="rId17"/>
    <sheet name="F18 - 16-Simul. Scénar. MC" sheetId="18" state="visible" r:id="rId18"/>
    <sheet name="F19 - 17-TdB Consolidé MC" sheetId="19" state="visible" r:id="rId19"/>
    <sheet name="F20 - 18-Indic. Performance MC" sheetId="20" state="visible" r:id="rId20"/>
    <sheet name="F21 - 19-Audit Conform. Réglem.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4A148C"/>
      <sz val="14"/>
    </font>
    <font>
      <name val="Calibri"/>
      <color rgb="007f8c8d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E91E63"/>
      <sz val="12"/>
    </font>
  </fonts>
  <fills count="6">
    <fill>
      <patternFill/>
    </fill>
    <fill>
      <patternFill patternType="gray125"/>
    </fill>
    <fill>
      <patternFill patternType="solid">
        <fgColor rgb="004A148C"/>
        <bgColor rgb="004A148C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>
        <color rgb="00CE93D8"/>
      </left>
      <right style="thin">
        <color rgb="00CE93D8"/>
      </right>
      <top style="thin">
        <color rgb="00CE93D8"/>
      </top>
      <bottom style="thin">
        <color rgb="00CE93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165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C8E6C9"/>
          <bgColor rgb="00C8E6C9"/>
        </patternFill>
      </fill>
    </dxf>
    <dxf>
      <fill>
        <patternFill patternType="solid">
          <fgColor rgb="00EDE7F6"/>
          <bgColor rgb="00EDE7F6"/>
        </patternFill>
      </fill>
    </dxf>
    <dxf>
      <fill>
        <patternFill patternType="solid">
          <fgColor rgb="00FFF9C4"/>
          <bgColor rgb="00FFF9C4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F3E5F5"/>
          <bgColor rgb="00F3E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148C"/>
    <outlinePr summaryBelow="1" summaryRight="1"/>
    <pageSetUpPr/>
  </sheetPr>
  <dimension ref="A2:P2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6" customWidth="1" min="4" max="4"/>
    <col width="10" customWidth="1" min="5" max="5"/>
    <col width="10" customWidth="1" min="6" max="6"/>
    <col width="16" customWidth="1" min="7" max="7"/>
    <col width="20" customWidth="1" min="8" max="8"/>
    <col width="14" customWidth="1" min="9" max="9"/>
    <col width="14" customWidth="1" min="10" max="10"/>
    <col width="20" customWidth="1" min="11" max="11"/>
    <col width="20" customWidth="1" min="12" max="12"/>
    <col width="20" customWidth="1" min="13" max="13"/>
    <col width="18" customWidth="1" min="14" max="14"/>
    <col width="20" customWidth="1" min="15" max="15"/>
    <col width="12" customWidth="1" min="16" max="16"/>
  </cols>
  <sheetData>
    <row r="2" ht="25" customHeight="1">
      <c r="A2" s="1" t="inlineStr">
        <is>
          <t>DOMAINE 28 — GESTION DE LA MOBILITÉ PROFESSIONNELLE, PLAN DE CARRIÈRE ET SUCCESSION</t>
        </is>
      </c>
    </row>
    <row r="3" ht="18" customHeight="1">
      <c r="A3" s="2" t="inlineStr">
        <is>
          <t>DONNÉES CENTRALES — Base de référence (toutes les feuilles s'y réfèrent)</t>
        </is>
      </c>
    </row>
    <row r="5">
      <c r="A5" s="3" t="inlineStr">
        <is>
          <t>Code Employé</t>
        </is>
      </c>
      <c r="B5" s="3" t="inlineStr">
        <is>
          <t>Nom &amp; Prénoms</t>
        </is>
      </c>
      <c r="C5" s="3" t="inlineStr">
        <is>
          <t>Département</t>
        </is>
      </c>
      <c r="D5" s="3" t="inlineStr">
        <is>
          <t>Poste Actuel</t>
        </is>
      </c>
      <c r="E5" s="3" t="inlineStr">
        <is>
          <t>Grade</t>
        </is>
      </c>
      <c r="F5" s="3" t="inlineStr">
        <is>
          <t>Échelon</t>
        </is>
      </c>
      <c r="G5" s="3" t="inlineStr">
        <is>
          <t>Ancienneté (ans)</t>
        </is>
      </c>
      <c r="H5" s="3" t="inlineStr">
        <is>
          <t>Date Dernière Promotion</t>
        </is>
      </c>
      <c r="I5" s="3" t="inlineStr">
        <is>
          <t>Potentiel</t>
        </is>
      </c>
      <c r="J5" s="3" t="inlineStr">
        <is>
          <t>Performance</t>
        </is>
      </c>
      <c r="K5" s="3" t="inlineStr">
        <is>
          <t>Statut Carrière</t>
        </is>
      </c>
      <c r="L5" s="3" t="inlineStr">
        <is>
          <t>Successeur Désigné</t>
        </is>
      </c>
      <c r="M5" s="3" t="inlineStr">
        <is>
          <t>Plan Mobilité</t>
        </is>
      </c>
      <c r="N5" s="3" t="inlineStr">
        <is>
          <t>Budget Formation (FCFA)</t>
        </is>
      </c>
      <c r="O5" s="3" t="inlineStr">
        <is>
          <t>Manager</t>
        </is>
      </c>
      <c r="P5" s="3" t="inlineStr">
        <is>
          <t>Statut</t>
        </is>
      </c>
    </row>
    <row r="6">
      <c r="A6" s="4" t="inlineStr">
        <is>
          <t>EMP-001</t>
        </is>
      </c>
      <c r="B6" s="4" t="inlineStr">
        <is>
          <t>M. Nkoulou Paul</t>
        </is>
      </c>
      <c r="C6" s="4" t="inlineStr">
        <is>
          <t>Direction Générale</t>
        </is>
      </c>
      <c r="D6" s="4" t="inlineStr">
        <is>
          <t>Directeur Général</t>
        </is>
      </c>
      <c r="E6" s="4" t="inlineStr">
        <is>
          <t>A1</t>
        </is>
      </c>
      <c r="F6" s="4" t="inlineStr">
        <is>
          <t>Éch. 5</t>
        </is>
      </c>
      <c r="G6" s="4" t="n">
        <v>22</v>
      </c>
      <c r="H6" s="4" t="inlineStr">
        <is>
          <t>2023-01-15</t>
        </is>
      </c>
      <c r="I6" s="4" t="inlineStr">
        <is>
          <t>Très élevé</t>
        </is>
      </c>
      <c r="J6" s="4" t="inlineStr">
        <is>
          <t>Excellent</t>
        </is>
      </c>
      <c r="K6" s="4" t="inlineStr">
        <is>
          <t>En poste</t>
        </is>
      </c>
      <c r="L6" s="4" t="inlineStr">
        <is>
          <t>M. Eyenga</t>
        </is>
      </c>
      <c r="M6" s="4" t="inlineStr">
        <is>
          <t>Maintien</t>
        </is>
      </c>
      <c r="N6" s="4" t="n">
        <v>5000000</v>
      </c>
      <c r="O6" s="4" t="inlineStr">
        <is>
          <t>Conseil Administration</t>
        </is>
      </c>
      <c r="P6" s="4" t="inlineStr">
        <is>
          <t>Actif</t>
        </is>
      </c>
    </row>
    <row r="7">
      <c r="A7" s="5" t="inlineStr">
        <is>
          <t>EMP-002</t>
        </is>
      </c>
      <c r="B7" s="5" t="inlineStr">
        <is>
          <t>Mme. Mbarga Claire</t>
        </is>
      </c>
      <c r="C7" s="5" t="inlineStr">
        <is>
          <t>Ressources Humaines</t>
        </is>
      </c>
      <c r="D7" s="5" t="inlineStr">
        <is>
          <t>DRH</t>
        </is>
      </c>
      <c r="E7" s="5" t="inlineStr">
        <is>
          <t>B1</t>
        </is>
      </c>
      <c r="F7" s="5" t="inlineStr">
        <is>
          <t>Éch. 4</t>
        </is>
      </c>
      <c r="G7" s="5" t="n">
        <v>15</v>
      </c>
      <c r="H7" s="5" t="inlineStr">
        <is>
          <t>2022-06-01</t>
        </is>
      </c>
      <c r="I7" s="5" t="inlineStr">
        <is>
          <t>Élevé</t>
        </is>
      </c>
      <c r="J7" s="5" t="inlineStr">
        <is>
          <t>Excellent</t>
        </is>
      </c>
      <c r="K7" s="5" t="inlineStr">
        <is>
          <t>En poste</t>
        </is>
      </c>
      <c r="L7" s="5" t="inlineStr">
        <is>
          <t>Mme. Essomba</t>
        </is>
      </c>
      <c r="M7" s="5" t="inlineStr">
        <is>
          <t>Promotion DG</t>
        </is>
      </c>
      <c r="N7" s="5" t="n">
        <v>3500000</v>
      </c>
      <c r="O7" s="5" t="inlineStr">
        <is>
          <t>DG</t>
        </is>
      </c>
      <c r="P7" s="5" t="inlineStr">
        <is>
          <t>Actif</t>
        </is>
      </c>
    </row>
    <row r="8">
      <c r="A8" s="4" t="inlineStr">
        <is>
          <t>EMP-003</t>
        </is>
      </c>
      <c r="B8" s="4" t="inlineStr">
        <is>
          <t>M. Eyenga René</t>
        </is>
      </c>
      <c r="C8" s="4" t="inlineStr">
        <is>
          <t>Finance &amp; Comptabilité</t>
        </is>
      </c>
      <c r="D8" s="4" t="inlineStr">
        <is>
          <t>DAF</t>
        </is>
      </c>
      <c r="E8" s="4" t="inlineStr">
        <is>
          <t>B1</t>
        </is>
      </c>
      <c r="F8" s="4" t="inlineStr">
        <is>
          <t>Éch. 4</t>
        </is>
      </c>
      <c r="G8" s="4" t="n">
        <v>18</v>
      </c>
      <c r="H8" s="4" t="inlineStr">
        <is>
          <t>2022-09-01</t>
        </is>
      </c>
      <c r="I8" s="4" t="inlineStr">
        <is>
          <t>Élevé</t>
        </is>
      </c>
      <c r="J8" s="4" t="inlineStr">
        <is>
          <t>Très bon</t>
        </is>
      </c>
      <c r="K8" s="4" t="inlineStr">
        <is>
          <t>En poste</t>
        </is>
      </c>
      <c r="L8" s="4" t="inlineStr">
        <is>
          <t>M. Fotso</t>
        </is>
      </c>
      <c r="M8" s="4" t="inlineStr">
        <is>
          <t>Promotion DG</t>
        </is>
      </c>
      <c r="N8" s="4" t="n">
        <v>3000000</v>
      </c>
      <c r="O8" s="4" t="inlineStr">
        <is>
          <t>DG</t>
        </is>
      </c>
      <c r="P8" s="4" t="inlineStr">
        <is>
          <t>Actif</t>
        </is>
      </c>
    </row>
    <row r="9">
      <c r="A9" s="5" t="inlineStr">
        <is>
          <t>EMP-004</t>
        </is>
      </c>
      <c r="B9" s="5" t="inlineStr">
        <is>
          <t>M. Tchinda Jean</t>
        </is>
      </c>
      <c r="C9" s="5" t="inlineStr">
        <is>
          <t>Cuisine &amp; Restauration</t>
        </is>
      </c>
      <c r="D9" s="5" t="inlineStr">
        <is>
          <t>Chef Cuisinier</t>
        </is>
      </c>
      <c r="E9" s="5" t="inlineStr">
        <is>
          <t>C2</t>
        </is>
      </c>
      <c r="F9" s="5" t="inlineStr">
        <is>
          <t>Éch. 3</t>
        </is>
      </c>
      <c r="G9" s="5" t="n">
        <v>8</v>
      </c>
      <c r="H9" s="5" t="inlineStr">
        <is>
          <t>2023-03-10</t>
        </is>
      </c>
      <c r="I9" s="5" t="inlineStr">
        <is>
          <t>Moyen</t>
        </is>
      </c>
      <c r="J9" s="5" t="inlineStr">
        <is>
          <t>Bon</t>
        </is>
      </c>
      <c r="K9" s="5" t="inlineStr">
        <is>
          <t>Mobilité demandée</t>
        </is>
      </c>
      <c r="L9" s="5" t="inlineStr"/>
      <c r="M9" s="5" t="inlineStr">
        <is>
          <t>Mutation Technique</t>
        </is>
      </c>
      <c r="N9" s="5" t="n">
        <v>800000</v>
      </c>
      <c r="O9" s="5" t="inlineStr">
        <is>
          <t>DRH</t>
        </is>
      </c>
      <c r="P9" s="5" t="inlineStr">
        <is>
          <t>Actif</t>
        </is>
      </c>
    </row>
    <row r="10">
      <c r="A10" s="4" t="inlineStr">
        <is>
          <t>EMP-005</t>
        </is>
      </c>
      <c r="B10" s="4" t="inlineStr">
        <is>
          <t>Mme. Ngassa Marie</t>
        </is>
      </c>
      <c r="C10" s="4" t="inlineStr">
        <is>
          <t>Réception &amp; Front Office</t>
        </is>
      </c>
      <c r="D10" s="4" t="inlineStr">
        <is>
          <t>Responsable Réception</t>
        </is>
      </c>
      <c r="E10" s="4" t="inlineStr">
        <is>
          <t>C1</t>
        </is>
      </c>
      <c r="F10" s="4" t="inlineStr">
        <is>
          <t>Éch. 3</t>
        </is>
      </c>
      <c r="G10" s="4" t="n">
        <v>10</v>
      </c>
      <c r="H10" s="4" t="inlineStr">
        <is>
          <t>2023-07-01</t>
        </is>
      </c>
      <c r="I10" s="4" t="inlineStr">
        <is>
          <t>Élevé</t>
        </is>
      </c>
      <c r="J10" s="4" t="inlineStr">
        <is>
          <t>Bon</t>
        </is>
      </c>
      <c r="K10" s="4" t="inlineStr">
        <is>
          <t>En poste</t>
        </is>
      </c>
      <c r="L10" s="4" t="inlineStr">
        <is>
          <t>M. Obama</t>
        </is>
      </c>
      <c r="M10" s="4" t="inlineStr">
        <is>
          <t>Promotion</t>
        </is>
      </c>
      <c r="N10" s="4" t="n">
        <v>1200000</v>
      </c>
      <c r="O10" s="4" t="inlineStr">
        <is>
          <t>DRH</t>
        </is>
      </c>
      <c r="P10" s="4" t="inlineStr">
        <is>
          <t>Actif</t>
        </is>
      </c>
    </row>
    <row r="11">
      <c r="A11" s="5" t="inlineStr">
        <is>
          <t>EMP-006</t>
        </is>
      </c>
      <c r="B11" s="5" t="inlineStr">
        <is>
          <t>M. Ondo Ferdinand</t>
        </is>
      </c>
      <c r="C11" s="5" t="inlineStr">
        <is>
          <t>Maintenance &amp; Technique</t>
        </is>
      </c>
      <c r="D11" s="5" t="inlineStr">
        <is>
          <t>Chef Maintenance</t>
        </is>
      </c>
      <c r="E11" s="5" t="inlineStr">
        <is>
          <t>C1</t>
        </is>
      </c>
      <c r="F11" s="5" t="inlineStr">
        <is>
          <t>Éch. 3</t>
        </is>
      </c>
      <c r="G11" s="5" t="n">
        <v>12</v>
      </c>
      <c r="H11" s="5" t="inlineStr">
        <is>
          <t>2022-12-15</t>
        </is>
      </c>
      <c r="I11" s="5" t="inlineStr">
        <is>
          <t>Élevé</t>
        </is>
      </c>
      <c r="J11" s="5" t="inlineStr">
        <is>
          <t>Très bon</t>
        </is>
      </c>
      <c r="K11" s="5" t="inlineStr">
        <is>
          <t>En poste</t>
        </is>
      </c>
      <c r="L11" s="5" t="inlineStr">
        <is>
          <t>M. Ndong</t>
        </is>
      </c>
      <c r="M11" s="5" t="inlineStr">
        <is>
          <t>Maintien</t>
        </is>
      </c>
      <c r="N11" s="5" t="n">
        <v>1000000</v>
      </c>
      <c r="O11" s="5" t="inlineStr">
        <is>
          <t>DG</t>
        </is>
      </c>
      <c r="P11" s="5" t="inlineStr">
        <is>
          <t>Actif</t>
        </is>
      </c>
    </row>
    <row r="12">
      <c r="A12" s="4" t="inlineStr">
        <is>
          <t>EMP-007</t>
        </is>
      </c>
      <c r="B12" s="4" t="inlineStr">
        <is>
          <t>Mme. Essomba Sylvie</t>
        </is>
      </c>
      <c r="C12" s="4" t="inlineStr">
        <is>
          <t>Ressources Humaines</t>
        </is>
      </c>
      <c r="D12" s="4" t="inlineStr">
        <is>
          <t>Resp. Recrutement</t>
        </is>
      </c>
      <c r="E12" s="4" t="inlineStr">
        <is>
          <t>D1</t>
        </is>
      </c>
      <c r="F12" s="4" t="inlineStr">
        <is>
          <t>Éch. 2</t>
        </is>
      </c>
      <c r="G12" s="4" t="n">
        <v>6</v>
      </c>
      <c r="H12" s="4" t="inlineStr">
        <is>
          <t>2024-01-10</t>
        </is>
      </c>
      <c r="I12" s="4" t="inlineStr">
        <is>
          <t>Très élevé</t>
        </is>
      </c>
      <c r="J12" s="4" t="inlineStr">
        <is>
          <t>Excellent</t>
        </is>
      </c>
      <c r="K12" s="4" t="inlineStr">
        <is>
          <t>Succession prête</t>
        </is>
      </c>
      <c r="L12" s="4" t="inlineStr"/>
      <c r="M12" s="4" t="inlineStr">
        <is>
          <t>Promotion DRH</t>
        </is>
      </c>
      <c r="N12" s="4" t="n">
        <v>2000000</v>
      </c>
      <c r="O12" s="4" t="inlineStr">
        <is>
          <t>DRH</t>
        </is>
      </c>
      <c r="P12" s="4" t="inlineStr">
        <is>
          <t>Actif</t>
        </is>
      </c>
    </row>
    <row r="13">
      <c r="A13" s="5" t="inlineStr">
        <is>
          <t>EMP-008</t>
        </is>
      </c>
      <c r="B13" s="5" t="inlineStr">
        <is>
          <t>M. Fotso Alain</t>
        </is>
      </c>
      <c r="C13" s="5" t="inlineStr">
        <is>
          <t>Finance &amp; Comptabilité</t>
        </is>
      </c>
      <c r="D13" s="5" t="inlineStr">
        <is>
          <t>Chef Comptable</t>
        </is>
      </c>
      <c r="E13" s="5" t="inlineStr">
        <is>
          <t>D1</t>
        </is>
      </c>
      <c r="F13" s="5" t="inlineStr">
        <is>
          <t>Éch. 2</t>
        </is>
      </c>
      <c r="G13" s="5" t="n">
        <v>7</v>
      </c>
      <c r="H13" s="5" t="inlineStr">
        <is>
          <t>2023-11-01</t>
        </is>
      </c>
      <c r="I13" s="5" t="inlineStr">
        <is>
          <t>Élevé</t>
        </is>
      </c>
      <c r="J13" s="5" t="inlineStr">
        <is>
          <t>Très bon</t>
        </is>
      </c>
      <c r="K13" s="5" t="inlineStr">
        <is>
          <t>En poste</t>
        </is>
      </c>
      <c r="L13" s="5" t="inlineStr"/>
      <c r="M13" s="5" t="inlineStr">
        <is>
          <t>Promotion DAF</t>
        </is>
      </c>
      <c r="N13" s="5" t="n">
        <v>1500000</v>
      </c>
      <c r="O13" s="5" t="inlineStr">
        <is>
          <t>DAF</t>
        </is>
      </c>
      <c r="P13" s="5" t="inlineStr">
        <is>
          <t>Actif</t>
        </is>
      </c>
    </row>
    <row r="14">
      <c r="A14" s="4" t="inlineStr">
        <is>
          <t>EMP-009</t>
        </is>
      </c>
      <c r="B14" s="4" t="inlineStr">
        <is>
          <t>M. Obama Samuel</t>
        </is>
      </c>
      <c r="C14" s="4" t="inlineStr">
        <is>
          <t>Réception &amp; Front Office</t>
        </is>
      </c>
      <c r="D14" s="4" t="inlineStr">
        <is>
          <t>Réceptionniste Senior</t>
        </is>
      </c>
      <c r="E14" s="4" t="inlineStr">
        <is>
          <t>D2</t>
        </is>
      </c>
      <c r="F14" s="4" t="inlineStr">
        <is>
          <t>Éch. 1</t>
        </is>
      </c>
      <c r="G14" s="4" t="n">
        <v>4</v>
      </c>
      <c r="H14" s="4" t="inlineStr">
        <is>
          <t>2024-03-01</t>
        </is>
      </c>
      <c r="I14" s="4" t="inlineStr">
        <is>
          <t>Moyen</t>
        </is>
      </c>
      <c r="J14" s="4" t="inlineStr">
        <is>
          <t>Bon</t>
        </is>
      </c>
      <c r="K14" s="4" t="inlineStr">
        <is>
          <t>Mobilité demandée</t>
        </is>
      </c>
      <c r="L14" s="4" t="inlineStr"/>
      <c r="M14" s="4" t="inlineStr">
        <is>
          <t>Mutation Réception</t>
        </is>
      </c>
      <c r="N14" s="4" t="n">
        <v>500000</v>
      </c>
      <c r="O14" s="4" t="inlineStr">
        <is>
          <t>Resp. Réception</t>
        </is>
      </c>
      <c r="P14" s="4" t="inlineStr">
        <is>
          <t>Actif</t>
        </is>
      </c>
    </row>
    <row r="15">
      <c r="A15" s="5" t="inlineStr">
        <is>
          <t>EMP-010</t>
        </is>
      </c>
      <c r="B15" s="5" t="inlineStr">
        <is>
          <t>M. Ndong Aurélien</t>
        </is>
      </c>
      <c r="C15" s="5" t="inlineStr">
        <is>
          <t>Maintenance &amp; Technique</t>
        </is>
      </c>
      <c r="D15" s="5" t="inlineStr">
        <is>
          <t>Technicien Senior</t>
        </is>
      </c>
      <c r="E15" s="5" t="inlineStr">
        <is>
          <t>D2</t>
        </is>
      </c>
      <c r="F15" s="5" t="inlineStr">
        <is>
          <t>Éch. 1</t>
        </is>
      </c>
      <c r="G15" s="5" t="n">
        <v>5</v>
      </c>
      <c r="H15" s="5" t="inlineStr">
        <is>
          <t>2024-02-15</t>
        </is>
      </c>
      <c r="I15" s="5" t="inlineStr">
        <is>
          <t>Moyen</t>
        </is>
      </c>
      <c r="J15" s="5" t="inlineStr">
        <is>
          <t>Bon</t>
        </is>
      </c>
      <c r="K15" s="5" t="inlineStr">
        <is>
          <t>En formation</t>
        </is>
      </c>
      <c r="L15" s="5" t="inlineStr"/>
      <c r="M15" s="5" t="inlineStr">
        <is>
          <t>Promotion Chef</t>
        </is>
      </c>
      <c r="N15" s="5" t="n">
        <v>700000</v>
      </c>
      <c r="O15" s="5" t="inlineStr">
        <is>
          <t>Chef Maint.</t>
        </is>
      </c>
      <c r="P15" s="5" t="inlineStr">
        <is>
          <t>Actif</t>
        </is>
      </c>
    </row>
    <row r="16">
      <c r="A16" s="4" t="inlineStr">
        <is>
          <t>EMP-011</t>
        </is>
      </c>
      <c r="B16" s="4" t="inlineStr">
        <is>
          <t>Mme. Beyala Aïcha</t>
        </is>
      </c>
      <c r="C16" s="4" t="inlineStr">
        <is>
          <t>Ressources Humaines</t>
        </is>
      </c>
      <c r="D16" s="4" t="inlineStr">
        <is>
          <t>Assistante RH</t>
        </is>
      </c>
      <c r="E16" s="4" t="inlineStr">
        <is>
          <t>E1</t>
        </is>
      </c>
      <c r="F16" s="4" t="inlineStr">
        <is>
          <t>Éch. 1</t>
        </is>
      </c>
      <c r="G16" s="4" t="n">
        <v>3</v>
      </c>
      <c r="H16" s="4" t="inlineStr">
        <is>
          <t>2024-06-01</t>
        </is>
      </c>
      <c r="I16" s="4" t="inlineStr">
        <is>
          <t>Élevé</t>
        </is>
      </c>
      <c r="J16" s="4" t="inlineStr">
        <is>
          <t>Très bon</t>
        </is>
      </c>
      <c r="K16" s="4" t="inlineStr">
        <is>
          <t>En poste</t>
        </is>
      </c>
      <c r="L16" s="4" t="inlineStr"/>
      <c r="M16" s="4" t="inlineStr">
        <is>
          <t>Promotion</t>
        </is>
      </c>
      <c r="N16" s="4" t="n">
        <v>400000</v>
      </c>
      <c r="O16" s="4" t="inlineStr">
        <is>
          <t>DRH</t>
        </is>
      </c>
      <c r="P16" s="4" t="inlineStr">
        <is>
          <t>Actif</t>
        </is>
      </c>
    </row>
    <row r="17">
      <c r="A17" s="5" t="inlineStr">
        <is>
          <t>EMP-012</t>
        </is>
      </c>
      <c r="B17" s="5" t="inlineStr">
        <is>
          <t>M. Manga Patrick</t>
        </is>
      </c>
      <c r="C17" s="5" t="inlineStr">
        <is>
          <t>Cuisine &amp; Restauration</t>
        </is>
      </c>
      <c r="D17" s="5" t="inlineStr">
        <is>
          <t>Second Cuisinier</t>
        </is>
      </c>
      <c r="E17" s="5" t="inlineStr">
        <is>
          <t>D2</t>
        </is>
      </c>
      <c r="F17" s="5" t="inlineStr">
        <is>
          <t>Éch. 1</t>
        </is>
      </c>
      <c r="G17" s="5" t="n">
        <v>5</v>
      </c>
      <c r="H17" s="5" t="inlineStr">
        <is>
          <t>2023-08-20</t>
        </is>
      </c>
      <c r="I17" s="5" t="inlineStr">
        <is>
          <t>Moyen</t>
        </is>
      </c>
      <c r="J17" s="5" t="inlineStr">
        <is>
          <t>Bon</t>
        </is>
      </c>
      <c r="K17" s="5" t="inlineStr">
        <is>
          <t>Mobilité demandée</t>
        </is>
      </c>
      <c r="L17" s="5" t="inlineStr"/>
      <c r="M17" s="5" t="inlineStr">
        <is>
          <t>Mutation Resto</t>
        </is>
      </c>
      <c r="N17" s="5" t="n">
        <v>600000</v>
      </c>
      <c r="O17" s="5" t="inlineStr">
        <is>
          <t>Chef Cuisin.</t>
        </is>
      </c>
      <c r="P17" s="5" t="inlineStr">
        <is>
          <t>Actif</t>
        </is>
      </c>
    </row>
    <row r="18">
      <c r="A18" s="4" t="inlineStr">
        <is>
          <t>EMP-013</t>
        </is>
      </c>
      <c r="B18" s="4" t="inlineStr">
        <is>
          <t>Mme. Tchakounté Nadège</t>
        </is>
      </c>
      <c r="C18" s="4" t="inlineStr">
        <is>
          <t>Direction Générale</t>
        </is>
      </c>
      <c r="D18" s="4" t="inlineStr">
        <is>
          <t>Assistante de Direction</t>
        </is>
      </c>
      <c r="E18" s="4" t="inlineStr">
        <is>
          <t>D1</t>
        </is>
      </c>
      <c r="F18" s="4" t="inlineStr">
        <is>
          <t>Éch. 2</t>
        </is>
      </c>
      <c r="G18" s="4" t="n">
        <v>9</v>
      </c>
      <c r="H18" s="4" t="inlineStr">
        <is>
          <t>2023-05-15</t>
        </is>
      </c>
      <c r="I18" s="4" t="inlineStr">
        <is>
          <t>Élevé</t>
        </is>
      </c>
      <c r="J18" s="4" t="inlineStr">
        <is>
          <t>Excellent</t>
        </is>
      </c>
      <c r="K18" s="4" t="inlineStr">
        <is>
          <t>En poste</t>
        </is>
      </c>
      <c r="L18" s="4" t="inlineStr"/>
      <c r="M18" s="4" t="inlineStr">
        <is>
          <t>Maintien</t>
        </is>
      </c>
      <c r="N18" s="4" t="n">
        <v>350000</v>
      </c>
      <c r="O18" s="4" t="inlineStr">
        <is>
          <t>DG</t>
        </is>
      </c>
      <c r="P18" s="4" t="inlineStr">
        <is>
          <t>Actif</t>
        </is>
      </c>
    </row>
    <row r="19">
      <c r="A19" s="5" t="inlineStr">
        <is>
          <t>EMP-014</t>
        </is>
      </c>
      <c r="B19" s="5" t="inlineStr">
        <is>
          <t>M. Nganou Eric</t>
        </is>
      </c>
      <c r="C19" s="5" t="inlineStr">
        <is>
          <t>Finance &amp; Comptabilité</t>
        </is>
      </c>
      <c r="D19" s="5" t="inlineStr">
        <is>
          <t>Comptable Junior</t>
        </is>
      </c>
      <c r="E19" s="5" t="inlineStr">
        <is>
          <t>E2</t>
        </is>
      </c>
      <c r="F19" s="5" t="inlineStr">
        <is>
          <t>Éch. 1</t>
        </is>
      </c>
      <c r="G19" s="5" t="n">
        <v>2</v>
      </c>
      <c r="H19" s="5" t="inlineStr">
        <is>
          <t>2024-09-01</t>
        </is>
      </c>
      <c r="I19" s="5" t="inlineStr">
        <is>
          <t>Moyen</t>
        </is>
      </c>
      <c r="J19" s="5" t="inlineStr">
        <is>
          <t>Satisfaisant</t>
        </is>
      </c>
      <c r="K19" s="5" t="inlineStr">
        <is>
          <t>En formation</t>
        </is>
      </c>
      <c r="L19" s="5" t="inlineStr"/>
      <c r="M19" s="5" t="inlineStr">
        <is>
          <t>Formation continue</t>
        </is>
      </c>
      <c r="N19" s="5" t="n">
        <v>300000</v>
      </c>
      <c r="O19" s="5" t="inlineStr">
        <is>
          <t>Chef Comptab.</t>
        </is>
      </c>
      <c r="P19" s="5" t="inlineStr">
        <is>
          <t>Actif</t>
        </is>
      </c>
    </row>
    <row r="20">
      <c r="A20" s="4" t="inlineStr">
        <is>
          <t>EMP-015</t>
        </is>
      </c>
      <c r="B20" s="4" t="inlineStr">
        <is>
          <t>Mme. Fomba Hélène</t>
        </is>
      </c>
      <c r="C20" s="4" t="inlineStr">
        <is>
          <t>Réception &amp; Front Office</t>
        </is>
      </c>
      <c r="D20" s="4" t="inlineStr">
        <is>
          <t>Standardiste</t>
        </is>
      </c>
      <c r="E20" s="4" t="inlineStr">
        <is>
          <t>E1</t>
        </is>
      </c>
      <c r="F20" s="4" t="inlineStr">
        <is>
          <t>Éch. 1</t>
        </is>
      </c>
      <c r="G20" s="4" t="n">
        <v>1</v>
      </c>
      <c r="H20" s="4" t="inlineStr">
        <is>
          <t>2025-01-10</t>
        </is>
      </c>
      <c r="I20" s="4" t="inlineStr">
        <is>
          <t>À évaluer</t>
        </is>
      </c>
      <c r="J20" s="4" t="inlineStr">
        <is>
          <t>Satisfaisant</t>
        </is>
      </c>
      <c r="K20" s="4" t="inlineStr">
        <is>
          <t>Nouvellement recrutée</t>
        </is>
      </c>
      <c r="L20" s="4" t="inlineStr"/>
      <c r="M20" s="4" t="inlineStr">
        <is>
          <t>Intégration</t>
        </is>
      </c>
      <c r="N20" s="4" t="n">
        <v>200000</v>
      </c>
      <c r="O20" s="4" t="inlineStr">
        <is>
          <t>Resp. Réception</t>
        </is>
      </c>
      <c r="P20" s="4" t="inlineStr">
        <is>
          <t>Actif</t>
        </is>
      </c>
    </row>
  </sheetData>
  <mergeCells count="2">
    <mergeCell ref="A3:P3"/>
    <mergeCell ref="A2:P2"/>
  </mergeCells>
  <conditionalFormatting sqref="I6:I20">
    <cfRule type="cellIs" priority="1" operator="equal" dxfId="0">
      <formula>"Très élevé"</formula>
    </cfRule>
    <cfRule type="cellIs" priority="2" operator="equal" dxfId="1">
      <formula>"Élevé"</formula>
    </cfRule>
    <cfRule type="cellIs" priority="3" operator="equal" dxfId="2">
      <formula>"Moyen"</formula>
    </cfRule>
    <cfRule type="cellIs" priority="4" operator="equal" dxfId="3">
      <formula>"Faible"</formula>
    </cfRule>
  </conditionalFormatting>
  <conditionalFormatting sqref="J6:J20">
    <cfRule type="cellIs" priority="5" operator="equal" dxfId="0">
      <formula>"Excellent"</formula>
    </cfRule>
    <cfRule type="cellIs" priority="6" operator="equal" dxfId="1">
      <formula>"Très bon"</formula>
    </cfRule>
    <cfRule type="cellIs" priority="7" operator="equal" dxfId="2">
      <formula>"Bon"</formula>
    </cfRule>
    <cfRule type="cellIs" priority="8" operator="equal" dxfId="4">
      <formula>"Satisfaisant"</formula>
    </cfRule>
  </conditionalFormatting>
  <conditionalFormatting sqref="K6:K20">
    <cfRule type="cellIs" priority="9" operator="equal" dxfId="0">
      <formula>"En poste"</formula>
    </cfRule>
    <cfRule type="cellIs" priority="10" operator="equal" dxfId="4">
      <formula>"Mobilité demandée"</formula>
    </cfRule>
    <cfRule type="cellIs" priority="11" operator="equal" dxfId="1">
      <formula>"Succession prête"</formula>
    </cfRule>
    <cfRule type="cellIs" priority="12" operator="equal" dxfId="2">
      <formula>"En formation"</formula>
    </cfRule>
  </conditionalFormatting>
  <conditionalFormatting sqref="P6:P20">
    <cfRule type="cellIs" priority="13" operator="equal" dxfId="0">
      <formula>"Actif"</formula>
    </cfRule>
    <cfRule type="cellIs" priority="14" operator="equal" dxfId="2">
      <formula>"En transit"</formula>
    </cfRule>
    <cfRule type="cellIs" priority="15" operator="equal" dxfId="5">
      <formula>"Clôturé"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E93D8"/>
    <outlinePr summaryBelow="1" summaryRight="1"/>
    <pageSetUpPr/>
  </sheetPr>
  <dimension ref="A2:U3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22" customWidth="1" min="9" max="9"/>
    <col width="14" customWidth="1" min="10" max="10"/>
    <col width="14" customWidth="1" min="11" max="11"/>
    <col width="20" customWidth="1" min="12" max="12"/>
    <col width="14" customWidth="1" min="13" max="13"/>
    <col width="14" customWidth="1" min="14" max="14"/>
    <col width="16" customWidth="1" min="15" max="15"/>
    <col width="22" customWidth="1" min="16" max="16"/>
    <col width="14" customWidth="1" min="17" max="17"/>
    <col width="20" customWidth="1" min="18" max="18"/>
    <col width="14" customWidth="1" min="19" max="19"/>
    <col width="22" customWidth="1" min="20" max="20"/>
    <col width="10" customWidth="1" min="21" max="21"/>
  </cols>
  <sheetData>
    <row r="2" ht="25" customHeight="1">
      <c r="A2" s="1" t="inlineStr">
        <is>
          <t>DOMAINE 28 — LISTES DE RÉFÉRENCE</t>
        </is>
      </c>
    </row>
    <row r="3" ht="18" customHeight="1">
      <c r="A3" s="2" t="inlineStr">
        <is>
          <t>21 listes déroulantes pour toutes les feuilles (colonnes A à U, lignes 6 à 35)</t>
        </is>
      </c>
    </row>
    <row r="5">
      <c r="A5" s="3" t="inlineStr">
        <is>
          <t>Départements</t>
        </is>
      </c>
      <c r="B5" s="3" t="inlineStr">
        <is>
          <t>Postes</t>
        </is>
      </c>
      <c r="C5" s="3" t="inlineStr">
        <is>
          <t>Grades</t>
        </is>
      </c>
      <c r="D5" s="3" t="inlineStr">
        <is>
          <t>Potentiel</t>
        </is>
      </c>
      <c r="E5" s="3" t="inlineStr">
        <is>
          <t>Performance</t>
        </is>
      </c>
      <c r="F5" s="3" t="inlineStr">
        <is>
          <t>Statut Carrière</t>
        </is>
      </c>
      <c r="G5" s="3" t="inlineStr">
        <is>
          <t>Type Mobilité</t>
        </is>
      </c>
      <c r="H5" s="3" t="inlineStr">
        <is>
          <t>Motif Mobilité</t>
        </is>
      </c>
      <c r="I5" s="3" t="inlineStr">
        <is>
          <t>Priorité Succession</t>
        </is>
      </c>
      <c r="J5" s="3" t="inlineStr">
        <is>
          <t>Statut Formation</t>
        </is>
      </c>
      <c r="K5" s="3" t="inlineStr">
        <is>
          <t>Niveau Compétence</t>
        </is>
      </c>
      <c r="L5" s="3" t="inlineStr">
        <is>
          <t>Type Contrat International</t>
        </is>
      </c>
      <c r="M5" s="3" t="inlineStr">
        <is>
          <t>Statut Mentorat</t>
        </is>
      </c>
      <c r="N5" s="3" t="inlineStr">
        <is>
          <t>Fréquence Entretien</t>
        </is>
      </c>
      <c r="O5" s="3" t="inlineStr">
        <is>
          <t>Catégorie Budget</t>
        </is>
      </c>
      <c r="P5" s="3" t="inlineStr">
        <is>
          <t>Statut Demande</t>
        </is>
      </c>
      <c r="Q5" s="3" t="inlineStr">
        <is>
          <t>Risque Départ</t>
        </is>
      </c>
      <c r="R5" s="3" t="inlineStr">
        <is>
          <t>Action Plan</t>
        </is>
      </c>
      <c r="S5" s="3" t="inlineStr">
        <is>
          <t>Période Évaluation</t>
        </is>
      </c>
      <c r="T5" s="3" t="inlineStr">
        <is>
          <t>Statut Audit</t>
        </is>
      </c>
      <c r="U5" s="3" t="inlineStr">
        <is>
          <t>Conformité</t>
        </is>
      </c>
    </row>
    <row r="6">
      <c r="A6" s="4" t="inlineStr">
        <is>
          <t>Direction Générale</t>
        </is>
      </c>
      <c r="B6" s="4" t="inlineStr">
        <is>
          <t>Directeur Général</t>
        </is>
      </c>
      <c r="C6" s="4" t="inlineStr">
        <is>
          <t>A1</t>
        </is>
      </c>
      <c r="D6" s="4" t="inlineStr">
        <is>
          <t>Très élevé</t>
        </is>
      </c>
      <c r="E6" s="4" t="inlineStr">
        <is>
          <t>Excellent</t>
        </is>
      </c>
      <c r="F6" s="4" t="inlineStr">
        <is>
          <t>En poste</t>
        </is>
      </c>
      <c r="G6" s="4" t="inlineStr">
        <is>
          <t>Promotion</t>
        </is>
      </c>
      <c r="H6" s="4" t="inlineStr">
        <is>
          <t>Développement carrière</t>
        </is>
      </c>
      <c r="I6" s="4" t="inlineStr">
        <is>
          <t>Critique - 0-6 mois</t>
        </is>
      </c>
      <c r="J6" s="4" t="inlineStr">
        <is>
          <t>Planifiée</t>
        </is>
      </c>
      <c r="K6" s="4" t="inlineStr">
        <is>
          <t>Expert</t>
        </is>
      </c>
      <c r="L6" s="4" t="inlineStr">
        <is>
          <t>Expatriation</t>
        </is>
      </c>
      <c r="M6" s="4" t="inlineStr">
        <is>
          <t>Actif</t>
        </is>
      </c>
      <c r="N6" s="4" t="inlineStr">
        <is>
          <t>Mensuel</t>
        </is>
      </c>
      <c r="O6" s="4" t="inlineStr">
        <is>
          <t>Formation</t>
        </is>
      </c>
      <c r="P6" s="4" t="inlineStr">
        <is>
          <t>Approuvée</t>
        </is>
      </c>
      <c r="Q6" s="4" t="inlineStr">
        <is>
          <t>Très élevé</t>
        </is>
      </c>
      <c r="R6" s="4" t="inlineStr">
        <is>
          <t>Formation accélérée</t>
        </is>
      </c>
      <c r="S6" s="4" t="inlineStr">
        <is>
          <t>Q1 2025</t>
        </is>
      </c>
      <c r="T6" s="4" t="inlineStr">
        <is>
          <t>Conforme</t>
        </is>
      </c>
      <c r="U6" s="4" t="inlineStr">
        <is>
          <t>100%</t>
        </is>
      </c>
    </row>
    <row r="7">
      <c r="A7" s="5" t="inlineStr">
        <is>
          <t>Ressources Humaines</t>
        </is>
      </c>
      <c r="B7" s="5" t="inlineStr">
        <is>
          <t>DRH</t>
        </is>
      </c>
      <c r="C7" s="5" t="inlineStr">
        <is>
          <t>A2</t>
        </is>
      </c>
      <c r="D7" s="5" t="inlineStr">
        <is>
          <t>Élevé</t>
        </is>
      </c>
      <c r="E7" s="5" t="inlineStr">
        <is>
          <t>Très bon</t>
        </is>
      </c>
      <c r="F7" s="5" t="inlineStr">
        <is>
          <t>Mobilité demandée</t>
        </is>
      </c>
      <c r="G7" s="5" t="inlineStr">
        <is>
          <t>Mutation</t>
        </is>
      </c>
      <c r="H7" s="5" t="inlineStr">
        <is>
          <t>Élargissement compétences</t>
        </is>
      </c>
      <c r="I7" s="5" t="inlineStr">
        <is>
          <t>Élevée - 6-12 mois</t>
        </is>
      </c>
      <c r="J7" s="5" t="inlineStr">
        <is>
          <t>En cours</t>
        </is>
      </c>
      <c r="K7" s="5" t="inlineStr">
        <is>
          <t>Avancé</t>
        </is>
      </c>
      <c r="L7" s="5" t="inlineStr">
        <is>
          <t>Détachement</t>
        </is>
      </c>
      <c r="M7" s="5" t="inlineStr">
        <is>
          <t>En pause</t>
        </is>
      </c>
      <c r="N7" s="5" t="inlineStr">
        <is>
          <t>Trimestriel</t>
        </is>
      </c>
      <c r="O7" s="5" t="inlineStr">
        <is>
          <t>Mobilité</t>
        </is>
      </c>
      <c r="P7" s="5" t="inlineStr">
        <is>
          <t>En attente validation</t>
        </is>
      </c>
      <c r="Q7" s="5" t="inlineStr">
        <is>
          <t>Élevé</t>
        </is>
      </c>
      <c r="R7" s="5" t="inlineStr">
        <is>
          <t>Mentorat assigné</t>
        </is>
      </c>
      <c r="S7" s="5" t="inlineStr">
        <is>
          <t>Q2 2025</t>
        </is>
      </c>
      <c r="T7" s="5" t="inlineStr">
        <is>
          <t>Non conforme</t>
        </is>
      </c>
      <c r="U7" s="5" t="inlineStr">
        <is>
          <t>75-99%</t>
        </is>
      </c>
    </row>
    <row r="8">
      <c r="A8" s="4" t="inlineStr">
        <is>
          <t>Finance &amp; Comptabilité</t>
        </is>
      </c>
      <c r="B8" s="4" t="inlineStr">
        <is>
          <t>DAF</t>
        </is>
      </c>
      <c r="C8" s="4" t="inlineStr">
        <is>
          <t>B1</t>
        </is>
      </c>
      <c r="D8" s="4" t="inlineStr">
        <is>
          <t>Moyen</t>
        </is>
      </c>
      <c r="E8" s="4" t="inlineStr">
        <is>
          <t>Bon</t>
        </is>
      </c>
      <c r="F8" s="4" t="inlineStr">
        <is>
          <t>Succession prête</t>
        </is>
      </c>
      <c r="G8" s="4" t="inlineStr">
        <is>
          <t>Mutation Technique</t>
        </is>
      </c>
      <c r="H8" s="4" t="inlineStr">
        <is>
          <t>Raisons personnelles</t>
        </is>
      </c>
      <c r="I8" s="4" t="inlineStr">
        <is>
          <t>Moyenne - 1-2 ans</t>
        </is>
      </c>
      <c r="J8" s="4" t="inlineStr">
        <is>
          <t>Terminée</t>
        </is>
      </c>
      <c r="K8" s="4" t="inlineStr">
        <is>
          <t>Intermédiaire</t>
        </is>
      </c>
      <c r="L8" s="4" t="inlineStr">
        <is>
          <t>Mission courte</t>
        </is>
      </c>
      <c r="M8" s="4" t="inlineStr">
        <is>
          <t>Terminé</t>
        </is>
      </c>
      <c r="N8" s="4" t="inlineStr">
        <is>
          <t>Semestriel</t>
        </is>
      </c>
      <c r="O8" s="4" t="inlineStr">
        <is>
          <t>Coaching</t>
        </is>
      </c>
      <c r="P8" s="4" t="inlineStr">
        <is>
          <t>Rejetée</t>
        </is>
      </c>
      <c r="Q8" s="4" t="inlineStr">
        <is>
          <t>Moyen</t>
        </is>
      </c>
      <c r="R8" s="4" t="inlineStr">
        <is>
          <t>Plan de transition</t>
        </is>
      </c>
      <c r="S8" s="4" t="inlineStr">
        <is>
          <t>Q3 2025</t>
        </is>
      </c>
      <c r="T8" s="4" t="inlineStr">
        <is>
          <t>Partiellement conforme</t>
        </is>
      </c>
      <c r="U8" s="4" t="inlineStr">
        <is>
          <t>50-74%</t>
        </is>
      </c>
    </row>
    <row r="9">
      <c r="A9" s="5" t="inlineStr">
        <is>
          <t>Cuisine &amp; Restauration</t>
        </is>
      </c>
      <c r="B9" s="5" t="inlineStr">
        <is>
          <t>Chef Cuisinier</t>
        </is>
      </c>
      <c r="C9" s="5" t="inlineStr">
        <is>
          <t>B2</t>
        </is>
      </c>
      <c r="D9" s="5" t="inlineStr">
        <is>
          <t>Faible</t>
        </is>
      </c>
      <c r="E9" s="5" t="inlineStr">
        <is>
          <t>Satisfaisant</t>
        </is>
      </c>
      <c r="F9" s="5" t="inlineStr">
        <is>
          <t>En formation</t>
        </is>
      </c>
      <c r="G9" s="5" t="inlineStr">
        <is>
          <t>Détachement</t>
        </is>
      </c>
      <c r="H9" s="5" t="inlineStr">
        <is>
          <t>Réorganisation</t>
        </is>
      </c>
      <c r="I9" s="5" t="inlineStr">
        <is>
          <t>Faible - 2+ ans</t>
        </is>
      </c>
      <c r="J9" s="5" t="inlineStr">
        <is>
          <t>Reportée</t>
        </is>
      </c>
      <c r="K9" s="5" t="inlineStr">
        <is>
          <t>Débutant</t>
        </is>
      </c>
      <c r="L9" s="5" t="inlineStr">
        <is>
          <t>V.I.E.</t>
        </is>
      </c>
      <c r="M9" s="5" t="inlineStr">
        <is>
          <t>Planifié</t>
        </is>
      </c>
      <c r="N9" s="5" t="inlineStr">
        <is>
          <t>Annuel</t>
        </is>
      </c>
      <c r="O9" s="5" t="inlineStr">
        <is>
          <t>Mentorat</t>
        </is>
      </c>
      <c r="P9" s="5" t="inlineStr">
        <is>
          <t>En cours de traitement</t>
        </is>
      </c>
      <c r="Q9" s="5" t="inlineStr">
        <is>
          <t>Faible</t>
        </is>
      </c>
      <c r="R9" s="5" t="inlineStr">
        <is>
          <t>Recrutement externe</t>
        </is>
      </c>
      <c r="S9" s="5" t="inlineStr">
        <is>
          <t>Q4 2025</t>
        </is>
      </c>
      <c r="T9" s="5" t="inlineStr">
        <is>
          <t>En cours de vérification</t>
        </is>
      </c>
      <c r="U9" s="5" t="inlineStr">
        <is>
          <t>25-49%</t>
        </is>
      </c>
    </row>
    <row r="10">
      <c r="A10" s="4" t="inlineStr">
        <is>
          <t>Réception &amp; Front Office</t>
        </is>
      </c>
      <c r="B10" s="4" t="inlineStr">
        <is>
          <t>Responsable Réception</t>
        </is>
      </c>
      <c r="C10" s="4" t="inlineStr">
        <is>
          <t>C1</t>
        </is>
      </c>
      <c r="D10" s="4" t="inlineStr">
        <is>
          <t>À évaluer</t>
        </is>
      </c>
      <c r="E10" s="4" t="inlineStr">
        <is>
          <t>Insuffisant</t>
        </is>
      </c>
      <c r="F10" s="4" t="inlineStr">
        <is>
          <t>Nouvellement recruté</t>
        </is>
      </c>
      <c r="G10" s="4" t="inlineStr">
        <is>
          <t>Mobilité Internationale</t>
        </is>
      </c>
      <c r="H10" s="4" t="inlineStr">
        <is>
          <t>Succession</t>
        </is>
      </c>
      <c r="I10" s="4" t="inlineStr">
        <is>
          <t>Non identifiée</t>
        </is>
      </c>
      <c r="J10" s="4" t="inlineStr">
        <is>
          <t>Annulée</t>
        </is>
      </c>
      <c r="K10" s="4" t="inlineStr">
        <is>
          <t>À développer</t>
        </is>
      </c>
      <c r="L10" s="4" t="inlineStr">
        <is>
          <t>Consultation technique</t>
        </is>
      </c>
      <c r="M10" s="4" t="inlineStr">
        <is>
          <t>Non démarré</t>
        </is>
      </c>
      <c r="N10" s="4" t="inlineStr">
        <is>
          <t>Bisannuel</t>
        </is>
      </c>
      <c r="O10" s="4" t="inlineStr">
        <is>
          <t>Audit externe</t>
        </is>
      </c>
      <c r="P10" s="4" t="inlineStr">
        <is>
          <t>Reportée</t>
        </is>
      </c>
      <c r="Q10" s="4" t="n"/>
      <c r="R10" s="4" t="inlineStr">
        <is>
          <t>Reclassification</t>
        </is>
      </c>
      <c r="S10" s="4" t="inlineStr">
        <is>
          <t>Annuel 2025</t>
        </is>
      </c>
      <c r="T10" s="4" t="inlineStr">
        <is>
          <t>Non évalué</t>
        </is>
      </c>
      <c r="U10" s="4" t="inlineStr">
        <is>
          <t>&lt; 25%</t>
        </is>
      </c>
    </row>
    <row r="11">
      <c r="A11" s="5" t="inlineStr">
        <is>
          <t>Maintenance &amp; Technique</t>
        </is>
      </c>
      <c r="B11" s="5" t="inlineStr">
        <is>
          <t>Chef Maintenance</t>
        </is>
      </c>
      <c r="C11" s="5" t="inlineStr">
        <is>
          <t>C2</t>
        </is>
      </c>
      <c r="D11" s="5" t="n"/>
      <c r="E11" s="5" t="n"/>
      <c r="F11" s="5" t="inlineStr">
        <is>
          <t>En transition</t>
        </is>
      </c>
      <c r="G11" s="5" t="inlineStr">
        <is>
          <t>Rotation</t>
        </is>
      </c>
      <c r="H11" s="5" t="inlineStr">
        <is>
          <t>Performance</t>
        </is>
      </c>
      <c r="I11" s="5" t="n"/>
      <c r="J11" s="5" t="n"/>
      <c r="K11" s="5" t="n"/>
      <c r="L11" s="5" t="n"/>
      <c r="M11" s="5" t="n"/>
      <c r="N11" s="5" t="n"/>
      <c r="O11" s="5" t="inlineStr">
        <is>
          <t>Outils RH</t>
        </is>
      </c>
      <c r="P11" s="5" t="n"/>
      <c r="Q11" s="5" t="n"/>
      <c r="R11" s="5" t="n"/>
      <c r="S11" s="5" t="n"/>
      <c r="T11" s="5" t="n"/>
      <c r="U11" s="5" t="n"/>
    </row>
    <row r="12">
      <c r="A12" s="4" t="inlineStr">
        <is>
          <t>Service Commercial</t>
        </is>
      </c>
      <c r="B12" s="4" t="inlineStr">
        <is>
          <t>Resp. Recrutement</t>
        </is>
      </c>
      <c r="C12" s="4" t="inlineStr">
        <is>
          <t>D1</t>
        </is>
      </c>
      <c r="D12" s="4" t="n"/>
      <c r="E12" s="4" t="n"/>
      <c r="F12" s="4" t="inlineStr">
        <is>
          <t>En attente</t>
        </is>
      </c>
      <c r="G12" s="4" t="inlineStr">
        <is>
          <t>Réintégration</t>
        </is>
      </c>
      <c r="H12" s="4" t="inlineStr">
        <is>
          <t>Initiative management</t>
        </is>
      </c>
      <c r="I12" s="4" t="n"/>
      <c r="J12" s="4" t="n"/>
      <c r="K12" s="4" t="n"/>
      <c r="L12" s="4" t="n"/>
      <c r="M12" s="4" t="n"/>
      <c r="N12" s="4" t="n"/>
      <c r="O12" s="4" t="inlineStr">
        <is>
          <t>Évaluation</t>
        </is>
      </c>
      <c r="P12" s="4" t="n"/>
      <c r="Q12" s="4" t="n"/>
      <c r="R12" s="4" t="n"/>
      <c r="S12" s="4" t="n"/>
      <c r="T12" s="4" t="n"/>
      <c r="U12" s="4" t="n"/>
    </row>
    <row r="13">
      <c r="A13" s="5" t="inlineStr">
        <is>
          <t>Service Juridique</t>
        </is>
      </c>
      <c r="B13" s="5" t="inlineStr">
        <is>
          <t>Chef Comptable</t>
        </is>
      </c>
      <c r="C13" s="5" t="inlineStr">
        <is>
          <t>D2</t>
        </is>
      </c>
      <c r="D13" s="5" t="n"/>
      <c r="E13" s="5" t="n"/>
      <c r="F13" s="5" t="n"/>
      <c r="G13" s="5" t="inlineStr">
        <is>
          <t>Maintien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4" t="n"/>
      <c r="B14" s="4" t="inlineStr">
        <is>
          <t>Réceptionniste Senior</t>
        </is>
      </c>
      <c r="C14" s="4" t="inlineStr">
        <is>
          <t>E1</t>
        </is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</row>
    <row r="15">
      <c r="A15" s="5" t="n"/>
      <c r="B15" s="5" t="inlineStr">
        <is>
          <t>Technicien Senior</t>
        </is>
      </c>
      <c r="C15" s="5" t="inlineStr">
        <is>
          <t>E2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4" t="n"/>
      <c r="B16" s="4" t="inlineStr">
        <is>
          <t>Assistante RH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</row>
    <row r="17">
      <c r="A17" s="5" t="n"/>
      <c r="B17" s="5" t="inlineStr">
        <is>
          <t>Second Cuisinier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4" t="n"/>
      <c r="B18" s="4" t="inlineStr">
        <is>
          <t>Assistante Direction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</row>
    <row r="19">
      <c r="A19" s="5" t="n"/>
      <c r="B19" s="5" t="inlineStr">
        <is>
          <t>Comptable Junior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4" t="n"/>
      <c r="B20" s="4" t="inlineStr">
        <is>
          <t>Standardiste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</sheetData>
  <mergeCells count="2">
    <mergeCell ref="A3:P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2:P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6" customWidth="1" min="5" max="5"/>
    <col width="18" customWidth="1" min="6" max="6"/>
    <col width="24" customWidth="1" min="7" max="7"/>
    <col width="22" customWidth="1" min="8" max="8"/>
    <col width="18" customWidth="1" min="9" max="9"/>
    <col width="20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2" ht="25" customHeight="1">
      <c r="A2" s="1" t="inlineStr">
        <is>
          <t>DOMAINE 28 — TABLEAU DE BORD MOBILITÉ &amp; CARRIÈRE</t>
        </is>
      </c>
    </row>
    <row r="3" ht="18" customHeight="1">
      <c r="A3" s="2" t="inlineStr">
        <is>
          <t>Vue synthétique des indicateurs clés de mobilité et de gestion des carrières</t>
        </is>
      </c>
    </row>
    <row r="5" ht="30" customHeight="1">
      <c r="A5" s="3" t="inlineStr">
        <is>
          <t>Effectif Total Suivi</t>
        </is>
      </c>
      <c r="B5" s="3" t="inlineStr">
        <is>
          <t>En Poste</t>
        </is>
      </c>
      <c r="C5" s="3" t="inlineStr">
        <is>
          <t>Mobilité Demandée</t>
        </is>
      </c>
      <c r="D5" s="3" t="inlineStr">
        <is>
          <t>Succession Prête</t>
        </is>
      </c>
      <c r="E5" s="3" t="inlineStr">
        <is>
          <t>En Formation</t>
        </is>
      </c>
      <c r="F5" s="3" t="inlineStr">
        <is>
          <t>Potentiel Élevé+</t>
        </is>
      </c>
      <c r="G5" s="3" t="inlineStr">
        <is>
          <t>Performance Excellent/TB</t>
        </is>
      </c>
      <c r="H5" s="3" t="inlineStr">
        <is>
          <t>Budget Total Formation</t>
        </is>
      </c>
      <c r="I5" s="3" t="inlineStr">
        <is>
          <t>Taux Mobilité (%)</t>
        </is>
      </c>
      <c r="J5" s="3" t="inlineStr">
        <is>
          <t>Taux Successeurs (%)</t>
        </is>
      </c>
    </row>
    <row r="6" ht="28" customHeight="1">
      <c r="A6" s="6">
        <f>COUNTA('F01 - _Données Centrales'!A6:A20)</f>
        <v/>
      </c>
      <c r="B6" s="6">
        <f>COUNTIF('F01 - _Données Centrales'!K6:K20,"En poste")</f>
        <v/>
      </c>
      <c r="C6" s="6">
        <f>COUNTIF('F01 - _Données Centrales'!K6:K20,"Mobilité demandée")</f>
        <v/>
      </c>
      <c r="D6" s="6">
        <f>COUNTIF('F01 - _Données Centrales'!K6:K20,"Succession prête")</f>
        <v/>
      </c>
      <c r="E6" s="6">
        <f>COUNTIF('F01 - _Données Centrales'!K6:K20,"En formation")</f>
        <v/>
      </c>
      <c r="F6" s="6">
        <f>COUNTIF('F01 - _Données Centrales'!I6:I20,"Élevé")+COUNTIF('F01 - _Données Centrales'!I6:I20,"Très élevé")</f>
        <v/>
      </c>
      <c r="G6" s="6">
        <f>COUNTIF('F01 - _Données Centrales'!J6:J20,"Excellent")+COUNTIF('F01 - _Données Centrales'!J6:J20,"Très bon")</f>
        <v/>
      </c>
      <c r="H6" s="7">
        <f>SUM('F01 - _Données Centrales'!N6:N20)</f>
        <v/>
      </c>
      <c r="I6" s="8">
        <f>IFERROR(C6/A6,0)</f>
        <v/>
      </c>
      <c r="J6" s="8">
        <f>IFERROR(D6/A6,0)</f>
        <v/>
      </c>
    </row>
  </sheetData>
  <mergeCells count="2">
    <mergeCell ref="A3:P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2" customWidth="1" min="4" max="4"/>
    <col width="24" customWidth="1" min="5" max="5"/>
    <col width="20" customWidth="1" min="6" max="6"/>
    <col width="24" customWidth="1" min="7" max="7"/>
    <col width="14" customWidth="1" min="8" max="8"/>
    <col width="14" customWidth="1" min="9" max="9"/>
    <col width="24" customWidth="1" min="10" max="10"/>
    <col width="14" customWidth="1" min="11" max="11"/>
    <col width="14" customWidth="1" min="12" max="12"/>
    <col width="26" customWidth="1" min="13" max="13"/>
  </cols>
  <sheetData>
    <row r="2" ht="25" customHeight="1">
      <c r="A2" s="1" t="inlineStr">
        <is>
          <t>DOMAINE 28 — REGISTRE DES DEMANDES DE MOBILITÉ</t>
        </is>
      </c>
    </row>
    <row r="3" ht="18" customHeight="1">
      <c r="A3" s="2" t="inlineStr">
        <is>
          <t>Suivi de toutes les demandes de mobilité interne et externe</t>
        </is>
      </c>
    </row>
    <row r="5">
      <c r="A5" s="3" t="inlineStr">
        <is>
          <t>N° Demande</t>
        </is>
      </c>
      <c r="B5" s="3" t="inlineStr">
        <is>
          <t>Code Employé</t>
        </is>
      </c>
      <c r="C5" s="3" t="inlineStr">
        <is>
          <t>Nom Employé</t>
        </is>
      </c>
      <c r="D5" s="3" t="inlineStr">
        <is>
          <t>Département Origine</t>
        </is>
      </c>
      <c r="E5" s="3" t="inlineStr">
        <is>
          <t>Département Destination</t>
        </is>
      </c>
      <c r="F5" s="3" t="inlineStr">
        <is>
          <t>Type Mobilité</t>
        </is>
      </c>
      <c r="G5" s="3" t="inlineStr">
        <is>
          <t>Motif</t>
        </is>
      </c>
      <c r="H5" s="3" t="inlineStr">
        <is>
          <t>Date Demande</t>
        </is>
      </c>
      <c r="I5" s="3" t="inlineStr">
        <is>
          <t>Date Souhaitee</t>
        </is>
      </c>
      <c r="J5" s="3" t="inlineStr">
        <is>
          <t>Statut</t>
        </is>
      </c>
      <c r="K5" s="3" t="inlineStr">
        <is>
          <t>Priorité</t>
        </is>
      </c>
      <c r="L5" s="3" t="inlineStr">
        <is>
          <t>Validateur</t>
        </is>
      </c>
      <c r="M5" s="3" t="inlineStr">
        <is>
          <t>Observations</t>
        </is>
      </c>
    </row>
    <row r="6">
      <c r="A6" s="4" t="inlineStr">
        <is>
          <t>DM-2025-001</t>
        </is>
      </c>
      <c r="B6" s="4" t="inlineStr">
        <is>
          <t>EMP-004</t>
        </is>
      </c>
      <c r="C6" s="4">
        <f>IFERROR(VLOOKUP(B6,'F01 - _Données Centrales'!A6:B20,2,FALSE),"")</f>
        <v/>
      </c>
      <c r="D6" s="4">
        <f>IFERROR(VLOOKUP(B6,'F01 - _Données Centrales'!A6:C20,3,FALSE),"")</f>
        <v/>
      </c>
      <c r="E6" s="4" t="inlineStr">
        <is>
          <t>Maintenance &amp; Technique</t>
        </is>
      </c>
      <c r="F6" s="4" t="inlineStr">
        <is>
          <t>Mutation Technique</t>
        </is>
      </c>
      <c r="G6" s="4" t="inlineStr">
        <is>
          <t>Développement carrière</t>
        </is>
      </c>
      <c r="H6" s="4" t="inlineStr">
        <is>
          <t>2025-01-15</t>
        </is>
      </c>
      <c r="I6" s="4" t="inlineStr">
        <is>
          <t>2025-04-01</t>
        </is>
      </c>
      <c r="J6" s="4" t="inlineStr">
        <is>
          <t>Approuvée</t>
        </is>
      </c>
      <c r="K6" s="4" t="inlineStr">
        <is>
          <t>Normale</t>
        </is>
      </c>
      <c r="L6" s="4" t="inlineStr">
        <is>
          <t>DRH</t>
        </is>
      </c>
      <c r="M6" s="4" t="inlineStr">
        <is>
          <t>Élargissement vers technique</t>
        </is>
      </c>
    </row>
    <row r="7">
      <c r="A7" s="5" t="inlineStr">
        <is>
          <t>DM-2025-002</t>
        </is>
      </c>
      <c r="B7" s="5" t="inlineStr">
        <is>
          <t>EMP-009</t>
        </is>
      </c>
      <c r="C7" s="5">
        <f>IFERROR(VLOOKUP(B7,'F01 - _Données Centrales'!A6:B20,2,FALSE),"")</f>
        <v/>
      </c>
      <c r="D7" s="5">
        <f>IFERROR(VLOOKUP(B7,'F01 - _Données Centrales'!A6:C20,3,FALSE),"")</f>
        <v/>
      </c>
      <c r="E7" s="5" t="inlineStr">
        <is>
          <t>Cuisine &amp; Restauration</t>
        </is>
      </c>
      <c r="F7" s="5" t="inlineStr">
        <is>
          <t>Mutation</t>
        </is>
      </c>
      <c r="G7" s="5" t="inlineStr">
        <is>
          <t>Élargissement compétences</t>
        </is>
      </c>
      <c r="H7" s="5" t="inlineStr">
        <is>
          <t>2025-02-01</t>
        </is>
      </c>
      <c r="I7" s="5" t="inlineStr">
        <is>
          <t>2025-05-01</t>
        </is>
      </c>
      <c r="J7" s="5" t="inlineStr">
        <is>
          <t>En attente validation</t>
        </is>
      </c>
      <c r="K7" s="5" t="inlineStr">
        <is>
          <t>Haute</t>
        </is>
      </c>
      <c r="L7" s="5" t="inlineStr">
        <is>
          <t>DRH</t>
        </is>
      </c>
      <c r="M7" s="5" t="inlineStr">
        <is>
          <t>Polyvalence souhaitée</t>
        </is>
      </c>
    </row>
    <row r="8">
      <c r="A8" s="4" t="inlineStr">
        <is>
          <t>DM-2025-003</t>
        </is>
      </c>
      <c r="B8" s="4" t="inlineStr">
        <is>
          <t>EMP-012</t>
        </is>
      </c>
      <c r="C8" s="4">
        <f>IFERROR(VLOOKUP(B8,'F01 - _Données Centrales'!A6:B20,2,FALSE),"")</f>
        <v/>
      </c>
      <c r="D8" s="4">
        <f>IFERROR(VLOOKUP(B8,'F01 - _Données Centrales'!A6:C20,3,FALSE),"")</f>
        <v/>
      </c>
      <c r="E8" s="4" t="inlineStr">
        <is>
          <t>Réception &amp; Front Office</t>
        </is>
      </c>
      <c r="F8" s="4" t="inlineStr">
        <is>
          <t>Mutation</t>
        </is>
      </c>
      <c r="G8" s="4" t="inlineStr">
        <is>
          <t>Raisons personnelles</t>
        </is>
      </c>
      <c r="H8" s="4" t="inlineStr">
        <is>
          <t>2025-03-10</t>
        </is>
      </c>
      <c r="I8" s="4" t="inlineStr">
        <is>
          <t>2025-06-01</t>
        </is>
      </c>
      <c r="J8" s="4" t="inlineStr">
        <is>
          <t>En cours de traitement</t>
        </is>
      </c>
      <c r="K8" s="4" t="inlineStr">
        <is>
          <t>Normale</t>
        </is>
      </c>
      <c r="L8" s="4" t="inlineStr">
        <is>
          <t>DRH</t>
        </is>
      </c>
      <c r="M8" s="4" t="inlineStr">
        <is>
          <t>Rapprochement géographique</t>
        </is>
      </c>
    </row>
    <row r="9">
      <c r="A9" s="5" t="inlineStr">
        <is>
          <t>DM-2025-004</t>
        </is>
      </c>
      <c r="B9" s="5" t="inlineStr">
        <is>
          <t>EMP-007</t>
        </is>
      </c>
      <c r="C9" s="5">
        <f>IFERROR(VLOOKUP(B9,'F01 - _Données Centrales'!A6:B20,2,FALSE),"")</f>
        <v/>
      </c>
      <c r="D9" s="5">
        <f>IFERROR(VLOOKUP(B9,'F01 - _Données Centrales'!A6:C20,3,FALSE),"")</f>
        <v/>
      </c>
      <c r="E9" s="5" t="inlineStr">
        <is>
          <t>Direction Générale</t>
        </is>
      </c>
      <c r="F9" s="5" t="inlineStr">
        <is>
          <t>Promotion</t>
        </is>
      </c>
      <c r="G9" s="5" t="inlineStr">
        <is>
          <t>Succession</t>
        </is>
      </c>
      <c r="H9" s="5" t="inlineStr">
        <is>
          <t>2025-01-20</t>
        </is>
      </c>
      <c r="I9" s="5" t="inlineStr">
        <is>
          <t>2025-07-01</t>
        </is>
      </c>
      <c r="J9" s="5" t="inlineStr">
        <is>
          <t>Approuvée</t>
        </is>
      </c>
      <c r="K9" s="5" t="inlineStr">
        <is>
          <t>Haute</t>
        </is>
      </c>
      <c r="L9" s="5" t="inlineStr">
        <is>
          <t>DG</t>
        </is>
      </c>
      <c r="M9" s="5" t="inlineStr">
        <is>
          <t>Plan de succession DRH</t>
        </is>
      </c>
    </row>
    <row r="10">
      <c r="A10" s="4" t="inlineStr">
        <is>
          <t>DM-2025-005</t>
        </is>
      </c>
      <c r="B10" s="4" t="inlineStr">
        <is>
          <t>EMP-010</t>
        </is>
      </c>
      <c r="C10" s="4">
        <f>IFERROR(VLOOKUP(B10,'F01 - _Données Centrales'!A6:B20,2,FALSE),"")</f>
        <v/>
      </c>
      <c r="D10" s="4">
        <f>IFERROR(VLOOKUP(B10,'F01 - _Données Centrales'!A6:C20,3,FALSE),"")</f>
        <v/>
      </c>
      <c r="E10" s="4" t="inlineStr">
        <is>
          <t>Maintenance &amp; Technique</t>
        </is>
      </c>
      <c r="F10" s="4" t="inlineStr">
        <is>
          <t>Promotion</t>
        </is>
      </c>
      <c r="G10" s="4" t="inlineStr">
        <is>
          <t>Développement carrière</t>
        </is>
      </c>
      <c r="H10" s="4" t="inlineStr">
        <is>
          <t>2025-04-01</t>
        </is>
      </c>
      <c r="I10" s="4" t="inlineStr">
        <is>
          <t>2025-10-01</t>
        </is>
      </c>
      <c r="J10" s="4" t="inlineStr">
        <is>
          <t>En attente validation</t>
        </is>
      </c>
      <c r="K10" s="4" t="inlineStr">
        <is>
          <t>Normale</t>
        </is>
      </c>
      <c r="L10" s="4" t="inlineStr">
        <is>
          <t>Chef Maint.</t>
        </is>
      </c>
      <c r="M10" s="4" t="inlineStr">
        <is>
          <t>Plan de transition 6 mois</t>
        </is>
      </c>
    </row>
    <row r="11">
      <c r="A11" s="5">
        <f>IF(A10="","",A10)</f>
        <v/>
      </c>
      <c r="B11" s="5" t="inlineStr"/>
      <c r="C11" s="5">
        <f>IFERROR(VLOOKUP(B11,'F01 - _Données Centrales'!A6:B20,2,FALSE),"")</f>
        <v/>
      </c>
      <c r="D11" s="5">
        <f>IFERROR(VLOOKUP(B11,'F01 - _Données Centrales'!A6:C20,3,FALSE),"")</f>
        <v/>
      </c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</row>
    <row r="12">
      <c r="A12" s="4">
        <f>IF(A11="","",A11)</f>
        <v/>
      </c>
      <c r="B12" s="4" t="inlineStr"/>
      <c r="C12" s="4">
        <f>IFERROR(VLOOKUP(B12,'F01 - _Données Centrales'!A6:B20,2,FALSE),"")</f>
        <v/>
      </c>
      <c r="D12" s="4">
        <f>IFERROR(VLOOKUP(B12,'F01 - _Données Centrales'!A6:C20,3,FALSE),"")</f>
        <v/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</row>
    <row r="13">
      <c r="A13" s="5">
        <f>IF(A12="","",A12)</f>
        <v/>
      </c>
      <c r="B13" s="5" t="inlineStr"/>
      <c r="C13" s="5">
        <f>IFERROR(VLOOKUP(B13,'F01 - _Données Centrales'!A6:B20,2,FALSE),"")</f>
        <v/>
      </c>
      <c r="D13" s="5">
        <f>IFERROR(VLOOKUP(B13,'F01 - _Données Centrales'!A6:C20,3,FALSE),"")</f>
        <v/>
      </c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</row>
    <row r="14">
      <c r="A14" s="4">
        <f>IF(A13="","",A13)</f>
        <v/>
      </c>
      <c r="B14" s="4" t="inlineStr"/>
      <c r="C14" s="4">
        <f>IFERROR(VLOOKUP(B14,'F01 - _Données Centrales'!A6:B20,2,FALSE),"")</f>
        <v/>
      </c>
      <c r="D14" s="4">
        <f>IFERROR(VLOOKUP(B14,'F01 - _Données Centrales'!A6:C20,3,FALSE),"")</f>
        <v/>
      </c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</row>
    <row r="15">
      <c r="A15" s="5">
        <f>IF(A14="","",A14)</f>
        <v/>
      </c>
      <c r="B15" s="5" t="inlineStr"/>
      <c r="C15" s="5">
        <f>IFERROR(VLOOKUP(B15,'F01 - _Données Centrales'!A6:B20,2,FALSE),"")</f>
        <v/>
      </c>
      <c r="D15" s="5">
        <f>IFERROR(VLOOKUP(B15,'F01 - _Données Centrales'!A6:C20,3,FALSE),"")</f>
        <v/>
      </c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</row>
    <row r="16">
      <c r="A16" s="4">
        <f>IF(A15="","",A15)</f>
        <v/>
      </c>
      <c r="B16" s="4" t="inlineStr"/>
      <c r="C16" s="4">
        <f>IFERROR(VLOOKUP(B16,'F01 - _Données Centrales'!A6:B20,2,FALSE),"")</f>
        <v/>
      </c>
      <c r="D16" s="4">
        <f>IFERROR(VLOOKUP(B16,'F01 - _Données Centrales'!A6:C20,3,FALSE),"")</f>
        <v/>
      </c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</row>
    <row r="17">
      <c r="A17" s="5">
        <f>IF(A16="","",A16)</f>
        <v/>
      </c>
      <c r="B17" s="5" t="inlineStr"/>
      <c r="C17" s="5">
        <f>IFERROR(VLOOKUP(B17,'F01 - _Données Centrales'!A6:B20,2,FALSE),"")</f>
        <v/>
      </c>
      <c r="D17" s="5">
        <f>IFERROR(VLOOKUP(B17,'F01 - _Données Centrales'!A6:C20,3,FALSE),"")</f>
        <v/>
      </c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</row>
    <row r="18">
      <c r="A18" s="4">
        <f>IF(A17="","",A17)</f>
        <v/>
      </c>
      <c r="B18" s="4" t="inlineStr"/>
      <c r="C18" s="4">
        <f>IFERROR(VLOOKUP(B18,'F01 - _Données Centrales'!A6:B20,2,FALSE),"")</f>
        <v/>
      </c>
      <c r="D18" s="4">
        <f>IFERROR(VLOOKUP(B18,'F01 - _Données Centrales'!A6:C20,3,FALSE),"")</f>
        <v/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</row>
    <row r="19">
      <c r="A19" s="5">
        <f>IF(A18="","",A18)</f>
        <v/>
      </c>
      <c r="B19" s="5" t="inlineStr"/>
      <c r="C19" s="5">
        <f>IFERROR(VLOOKUP(B19,'F01 - _Données Centrales'!A6:B20,2,FALSE),"")</f>
        <v/>
      </c>
      <c r="D19" s="5">
        <f>IFERROR(VLOOKUP(B19,'F01 - _Données Centrales'!A6:C20,3,FALSE),"")</f>
        <v/>
      </c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</row>
    <row r="20">
      <c r="A20" s="4">
        <f>IF(A19="","",A19)</f>
        <v/>
      </c>
      <c r="B20" s="4" t="inlineStr"/>
      <c r="C20" s="4">
        <f>IFERROR(VLOOKUP(B20,'F01 - _Données Centrales'!A6:B20,2,FALSE),"")</f>
        <v/>
      </c>
      <c r="D20" s="4">
        <f>IFERROR(VLOOKUP(B20,'F01 - _Données Centrales'!A6:C20,3,FALSE),"")</f>
        <v/>
      </c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</row>
    <row r="21">
      <c r="A21" s="5">
        <f>IF(A20="","",A20)</f>
        <v/>
      </c>
      <c r="B21" s="5" t="inlineStr"/>
      <c r="C21" s="5">
        <f>IFERROR(VLOOKUP(B21,'F01 - _Données Centrales'!A6:B20,2,FALSE),"")</f>
        <v/>
      </c>
      <c r="D21" s="5">
        <f>IFERROR(VLOOKUP(B21,'F01 - _Données Centrales'!A6:C20,3,FALSE),"")</f>
        <v/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4">
        <f>IF(A21="","",A21)</f>
        <v/>
      </c>
      <c r="B22" s="4" t="inlineStr"/>
      <c r="C22" s="4">
        <f>IFERROR(VLOOKUP(B22,'F01 - _Données Centrales'!A6:B20,2,FALSE),"")</f>
        <v/>
      </c>
      <c r="D22" s="4">
        <f>IFERROR(VLOOKUP(B22,'F01 - _Données Centrales'!A6:C20,3,FALSE),"")</f>
        <v/>
      </c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>
      <c r="A23" s="5">
        <f>IF(A22="","",A22)</f>
        <v/>
      </c>
      <c r="B23" s="5" t="inlineStr"/>
      <c r="C23" s="5">
        <f>IFERROR(VLOOKUP(B23,'F01 - _Données Centrales'!A6:B20,2,FALSE),"")</f>
        <v/>
      </c>
      <c r="D23" s="5">
        <f>IFERROR(VLOOKUP(B23,'F01 - _Données Centrales'!A6:C20,3,FALSE),"")</f>
        <v/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4">
        <f>IF(A23="","",A23)</f>
        <v/>
      </c>
      <c r="B24" s="4" t="inlineStr"/>
      <c r="C24" s="4">
        <f>IFERROR(VLOOKUP(B24,'F01 - _Données Centrales'!A6:B20,2,FALSE),"")</f>
        <v/>
      </c>
      <c r="D24" s="4">
        <f>IFERROR(VLOOKUP(B24,'F01 - _Données Centrales'!A6:C20,3,FALSE),"")</f>
        <v/>
      </c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</row>
    <row r="25">
      <c r="A25" s="5">
        <f>IF(A24="","",A24)</f>
        <v/>
      </c>
      <c r="B25" s="5" t="inlineStr"/>
      <c r="C25" s="5">
        <f>IFERROR(VLOOKUP(B25,'F01 - _Données Centrales'!A6:B20,2,FALSE),"")</f>
        <v/>
      </c>
      <c r="D25" s="5">
        <f>IFERROR(VLOOKUP(B25,'F01 - _Données Centrales'!A6:C20,3,FALSE),"")</f>
        <v/>
      </c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</row>
    <row r="26">
      <c r="A26" s="4">
        <f>IF(A25="","",A25)</f>
        <v/>
      </c>
      <c r="B26" s="4" t="inlineStr"/>
      <c r="C26" s="4">
        <f>IFERROR(VLOOKUP(B26,'F01 - _Données Centrales'!A6:B20,2,FALSE),"")</f>
        <v/>
      </c>
      <c r="D26" s="4">
        <f>IFERROR(VLOOKUP(B26,'F01 - _Données Centrales'!A6:C20,3,FALSE),"")</f>
        <v/>
      </c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</row>
    <row r="27">
      <c r="A27" s="5">
        <f>IF(A26="","",A26)</f>
        <v/>
      </c>
      <c r="B27" s="5" t="inlineStr"/>
      <c r="C27" s="5">
        <f>IFERROR(VLOOKUP(B27,'F01 - _Données Centrales'!A6:B20,2,FALSE),"")</f>
        <v/>
      </c>
      <c r="D27" s="5">
        <f>IFERROR(VLOOKUP(B27,'F01 - _Données Centrales'!A6:C20,3,FALSE),"")</f>
        <v/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</row>
    <row r="28">
      <c r="A28" s="4">
        <f>IF(A27="","",A27)</f>
        <v/>
      </c>
      <c r="B28" s="4" t="inlineStr"/>
      <c r="C28" s="4">
        <f>IFERROR(VLOOKUP(B28,'F01 - _Données Centrales'!A6:B20,2,FALSE),"")</f>
        <v/>
      </c>
      <c r="D28" s="4">
        <f>IFERROR(VLOOKUP(B28,'F01 - _Données Centrales'!A6:C20,3,FALSE),"")</f>
        <v/>
      </c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</row>
    <row r="29">
      <c r="A29" s="5">
        <f>IF(A28="","",A28)</f>
        <v/>
      </c>
      <c r="B29" s="5" t="inlineStr"/>
      <c r="C29" s="5">
        <f>IFERROR(VLOOKUP(B29,'F01 - _Données Centrales'!A6:B20,2,FALSE),"")</f>
        <v/>
      </c>
      <c r="D29" s="5">
        <f>IFERROR(VLOOKUP(B29,'F01 - _Données Centrales'!A6:C20,3,FALSE),"")</f>
        <v/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</row>
    <row r="30">
      <c r="A30" s="4">
        <f>IF(A29="","",A29)</f>
        <v/>
      </c>
      <c r="B30" s="4" t="inlineStr"/>
      <c r="C30" s="4">
        <f>IFERROR(VLOOKUP(B30,'F01 - _Données Centrales'!A6:B20,2,FALSE),"")</f>
        <v/>
      </c>
      <c r="D30" s="4">
        <f>IFERROR(VLOOKUP(B30,'F01 - _Données Centrales'!A6:C20,3,FALSE),"")</f>
        <v/>
      </c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</row>
    <row r="31">
      <c r="A31" s="5">
        <f>IF(A30="","",A30)</f>
        <v/>
      </c>
      <c r="B31" s="5" t="inlineStr"/>
      <c r="C31" s="5">
        <f>IFERROR(VLOOKUP(B31,'F01 - _Données Centrales'!A6:B20,2,FALSE),"")</f>
        <v/>
      </c>
      <c r="D31" s="5">
        <f>IFERROR(VLOOKUP(B31,'F01 - _Données Centrales'!A6:C20,3,FALSE),"")</f>
        <v/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4">
        <f>IF(A31="","",A31)</f>
        <v/>
      </c>
      <c r="B32" s="4" t="inlineStr"/>
      <c r="C32" s="4">
        <f>IFERROR(VLOOKUP(B32,'F01 - _Données Centrales'!A6:B20,2,FALSE),"")</f>
        <v/>
      </c>
      <c r="D32" s="4">
        <f>IFERROR(VLOOKUP(B32,'F01 - _Données Centrales'!A6:C20,3,FALSE),"")</f>
        <v/>
      </c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</row>
    <row r="33">
      <c r="A33" s="5">
        <f>IF(A32="","",A32)</f>
        <v/>
      </c>
      <c r="B33" s="5" t="inlineStr"/>
      <c r="C33" s="5">
        <f>IFERROR(VLOOKUP(B33,'F01 - _Données Centrales'!A6:B20,2,FALSE),"")</f>
        <v/>
      </c>
      <c r="D33" s="5">
        <f>IFERROR(VLOOKUP(B33,'F01 - _Données Centrales'!A6:C20,3,FALSE),"")</f>
        <v/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4">
        <f>IF(A33="","",A33)</f>
        <v/>
      </c>
      <c r="B34" s="4" t="inlineStr"/>
      <c r="C34" s="4">
        <f>IFERROR(VLOOKUP(B34,'F01 - _Données Centrales'!A6:B20,2,FALSE),"")</f>
        <v/>
      </c>
      <c r="D34" s="4">
        <f>IFERROR(VLOOKUP(B34,'F01 - _Données Centrales'!A6:C20,3,FALSE),"")</f>
        <v/>
      </c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5">
        <f>IF(A34="","",A34)</f>
        <v/>
      </c>
      <c r="B35" s="5" t="inlineStr"/>
      <c r="C35" s="5">
        <f>IFERROR(VLOOKUP(B35,'F01 - _Données Centrales'!A6:B20,2,FALSE),"")</f>
        <v/>
      </c>
      <c r="D35" s="5">
        <f>IFERROR(VLOOKUP(B35,'F01 - _Données Centrales'!A6:C20,3,FALSE),"")</f>
        <v/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>
      <c r="A36" s="4">
        <f>IF(A35="","",A35)</f>
        <v/>
      </c>
      <c r="B36" s="4" t="inlineStr"/>
      <c r="C36" s="4">
        <f>IFERROR(VLOOKUP(B36,'F01 - _Données Centrales'!A6:B20,2,FALSE),"")</f>
        <v/>
      </c>
      <c r="D36" s="4">
        <f>IFERROR(VLOOKUP(B36,'F01 - _Données Centrales'!A6:C20,3,FALSE),"")</f>
        <v/>
      </c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</row>
    <row r="37">
      <c r="A37" s="5">
        <f>IF(A36="","",A36)</f>
        <v/>
      </c>
      <c r="B37" s="5" t="inlineStr"/>
      <c r="C37" s="5">
        <f>IFERROR(VLOOKUP(B37,'F01 - _Données Centrales'!A6:B20,2,FALSE),"")</f>
        <v/>
      </c>
      <c r="D37" s="5">
        <f>IFERROR(VLOOKUP(B37,'F01 - _Données Centrales'!A6:C20,3,FALSE),"")</f>
        <v/>
      </c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</row>
    <row r="38">
      <c r="A38" s="4">
        <f>IF(A37="","",A37)</f>
        <v/>
      </c>
      <c r="B38" s="4" t="inlineStr"/>
      <c r="C38" s="4">
        <f>IFERROR(VLOOKUP(B38,'F01 - _Données Centrales'!A6:B20,2,FALSE),"")</f>
        <v/>
      </c>
      <c r="D38" s="4">
        <f>IFERROR(VLOOKUP(B38,'F01 - _Données Centrales'!A6:C20,3,FALSE),"")</f>
        <v/>
      </c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>
      <c r="A39" s="5">
        <f>IF(A38="","",A38)</f>
        <v/>
      </c>
      <c r="B39" s="5" t="inlineStr"/>
      <c r="C39" s="5">
        <f>IFERROR(VLOOKUP(B39,'F01 - _Données Centrales'!A6:B20,2,FALSE),"")</f>
        <v/>
      </c>
      <c r="D39" s="5">
        <f>IFERROR(VLOOKUP(B39,'F01 - _Données Centrales'!A6:C20,3,FALSE),"")</f>
        <v/>
      </c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</row>
    <row r="40">
      <c r="A40" s="4">
        <f>IF(A39="","",A39)</f>
        <v/>
      </c>
      <c r="B40" s="4" t="inlineStr"/>
      <c r="C40" s="4">
        <f>IFERROR(VLOOKUP(B40,'F01 - _Données Centrales'!A6:B20,2,FALSE),"")</f>
        <v/>
      </c>
      <c r="D40" s="4">
        <f>IFERROR(VLOOKUP(B40,'F01 - _Données Centrales'!A6:C20,3,FALSE),"")</f>
        <v/>
      </c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</row>
    <row r="41">
      <c r="A41" s="5">
        <f>IF(A40="","",A40)</f>
        <v/>
      </c>
      <c r="B41" s="5" t="inlineStr"/>
      <c r="C41" s="5">
        <f>IFERROR(VLOOKUP(B41,'F01 - _Données Centrales'!A6:B20,2,FALSE),"")</f>
        <v/>
      </c>
      <c r="D41" s="5">
        <f>IFERROR(VLOOKUP(B41,'F01 - _Données Centrales'!A6:C20,3,FALSE),"")</f>
        <v/>
      </c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</row>
    <row r="42">
      <c r="A42" s="4">
        <f>IF(A41="","",A41)</f>
        <v/>
      </c>
      <c r="B42" s="4" t="inlineStr"/>
      <c r="C42" s="4">
        <f>IFERROR(VLOOKUP(B42,'F01 - _Données Centrales'!A6:B20,2,FALSE),"")</f>
        <v/>
      </c>
      <c r="D42" s="4">
        <f>IFERROR(VLOOKUP(B42,'F01 - _Données Centrales'!A6:C20,3,FALSE),"")</f>
        <v/>
      </c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</row>
    <row r="43">
      <c r="A43" s="5">
        <f>IF(A42="","",A42)</f>
        <v/>
      </c>
      <c r="B43" s="5" t="inlineStr"/>
      <c r="C43" s="5">
        <f>IFERROR(VLOOKUP(B43,'F01 - _Données Centrales'!A6:B20,2,FALSE),"")</f>
        <v/>
      </c>
      <c r="D43" s="5">
        <f>IFERROR(VLOOKUP(B43,'F01 - _Données Centrales'!A6:C20,3,FALSE),"")</f>
        <v/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</row>
    <row r="44">
      <c r="A44" s="4">
        <f>IF(A43="","",A43)</f>
        <v/>
      </c>
      <c r="B44" s="4" t="inlineStr"/>
      <c r="C44" s="4">
        <f>IFERROR(VLOOKUP(B44,'F01 - _Données Centrales'!A6:B20,2,FALSE),"")</f>
        <v/>
      </c>
      <c r="D44" s="4">
        <f>IFERROR(VLOOKUP(B44,'F01 - _Données Centrales'!A6:C20,3,FALSE),"")</f>
        <v/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</row>
    <row r="45">
      <c r="A45" s="5">
        <f>IF(A44="","",A44)</f>
        <v/>
      </c>
      <c r="B45" s="5" t="inlineStr"/>
      <c r="C45" s="5">
        <f>IFERROR(VLOOKUP(B45,'F01 - _Données Centrales'!A6:B20,2,FALSE),"")</f>
        <v/>
      </c>
      <c r="D45" s="5">
        <f>IFERROR(VLOOKUP(B45,'F01 - _Données Centrales'!A6:C20,3,FALSE),"")</f>
        <v/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</row>
    <row r="46">
      <c r="A46" s="4">
        <f>IF(A45="","",A45)</f>
        <v/>
      </c>
      <c r="B46" s="4" t="inlineStr"/>
      <c r="C46" s="4">
        <f>IFERROR(VLOOKUP(B46,'F01 - _Données Centrales'!A6:B20,2,FALSE),"")</f>
        <v/>
      </c>
      <c r="D46" s="4">
        <f>IFERROR(VLOOKUP(B46,'F01 - _Données Centrales'!A6:C20,3,FALSE),"")</f>
        <v/>
      </c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</row>
    <row r="47">
      <c r="A47" s="5">
        <f>IF(A46="","",A46)</f>
        <v/>
      </c>
      <c r="B47" s="5" t="inlineStr"/>
      <c r="C47" s="5">
        <f>IFERROR(VLOOKUP(B47,'F01 - _Données Centrales'!A6:B20,2,FALSE),"")</f>
        <v/>
      </c>
      <c r="D47" s="5">
        <f>IFERROR(VLOOKUP(B47,'F01 - _Données Centrales'!A6:C20,3,FALSE),"")</f>
        <v/>
      </c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</row>
    <row r="48">
      <c r="A48" s="4">
        <f>IF(A47="","",A47)</f>
        <v/>
      </c>
      <c r="B48" s="4" t="inlineStr"/>
      <c r="C48" s="4">
        <f>IFERROR(VLOOKUP(B48,'F01 - _Données Centrales'!A6:B20,2,FALSE),"")</f>
        <v/>
      </c>
      <c r="D48" s="4">
        <f>IFERROR(VLOOKUP(B48,'F01 - _Données Centrales'!A6:C20,3,FALSE),"")</f>
        <v/>
      </c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</row>
    <row r="49">
      <c r="A49" s="5">
        <f>IF(A48="","",A48)</f>
        <v/>
      </c>
      <c r="B49" s="5" t="inlineStr"/>
      <c r="C49" s="5">
        <f>IFERROR(VLOOKUP(B49,'F01 - _Données Centrales'!A6:B20,2,FALSE),"")</f>
        <v/>
      </c>
      <c r="D49" s="5">
        <f>IFERROR(VLOOKUP(B49,'F01 - _Données Centrales'!A6:C20,3,FALSE),"")</f>
        <v/>
      </c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</row>
    <row r="50">
      <c r="A50" s="4">
        <f>IF(A49="","",A49)</f>
        <v/>
      </c>
      <c r="B50" s="4" t="inlineStr"/>
      <c r="C50" s="4">
        <f>IFERROR(VLOOKUP(B50,'F01 - _Données Centrales'!A6:B20,2,FALSE),"")</f>
        <v/>
      </c>
      <c r="D50" s="4">
        <f>IFERROR(VLOOKUP(B50,'F01 - _Données Centrales'!A6:C20,3,FALSE),"")</f>
        <v/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</row>
    <row r="51">
      <c r="A51" s="5">
        <f>IF(A50="","",A50)</f>
        <v/>
      </c>
      <c r="B51" s="5" t="inlineStr"/>
      <c r="C51" s="5">
        <f>IFERROR(VLOOKUP(B51,'F01 - _Données Centrales'!A6:B20,2,FALSE),"")</f>
        <v/>
      </c>
      <c r="D51" s="5">
        <f>IFERROR(VLOOKUP(B51,'F01 - _Données Centrales'!A6:C20,3,FALSE),"")</f>
        <v/>
      </c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</row>
    <row r="52">
      <c r="A52" s="4">
        <f>IF(A51="","",A51)</f>
        <v/>
      </c>
      <c r="B52" s="4" t="inlineStr"/>
      <c r="C52" s="4">
        <f>IFERROR(VLOOKUP(B52,'F01 - _Données Centrales'!A6:B20,2,FALSE),"")</f>
        <v/>
      </c>
      <c r="D52" s="4">
        <f>IFERROR(VLOOKUP(B52,'F01 - _Données Centrales'!A6:C20,3,FALSE),"")</f>
        <v/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</row>
    <row r="53">
      <c r="A53" s="5">
        <f>IF(A52="","",A52)</f>
        <v/>
      </c>
      <c r="B53" s="5" t="inlineStr"/>
      <c r="C53" s="5">
        <f>IFERROR(VLOOKUP(B53,'F01 - _Données Centrales'!A6:B20,2,FALSE),"")</f>
        <v/>
      </c>
      <c r="D53" s="5">
        <f>IFERROR(VLOOKUP(B53,'F01 - _Données Centrales'!A6:C20,3,FALSE),"")</f>
        <v/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>
      <c r="A54" s="4">
        <f>IF(A53="","",A53)</f>
        <v/>
      </c>
      <c r="B54" s="4" t="inlineStr"/>
      <c r="C54" s="4">
        <f>IFERROR(VLOOKUP(B54,'F01 - _Données Centrales'!A6:B20,2,FALSE),"")</f>
        <v/>
      </c>
      <c r="D54" s="4">
        <f>IFERROR(VLOOKUP(B54,'F01 - _Données Centrales'!A6:C20,3,FALSE),"")</f>
        <v/>
      </c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>
      <c r="A55" s="5">
        <f>IF(A54="","",A54)</f>
        <v/>
      </c>
      <c r="B55" s="5" t="inlineStr"/>
      <c r="C55" s="5">
        <f>IFERROR(VLOOKUP(B55,'F01 - _Données Centrales'!A6:B20,2,FALSE),"")</f>
        <v/>
      </c>
      <c r="D55" s="5">
        <f>IFERROR(VLOOKUP(B55,'F01 - _Données Centrales'!A6:C20,3,FALSE),"")</f>
        <v/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</row>
    <row r="56">
      <c r="A56" s="4">
        <f>IF(A55="","",A55)</f>
        <v/>
      </c>
      <c r="B56" s="4" t="inlineStr"/>
      <c r="C56" s="4">
        <f>IFERROR(VLOOKUP(B56,'F01 - _Données Centrales'!A6:B20,2,FALSE),"")</f>
        <v/>
      </c>
      <c r="D56" s="4">
        <f>IFERROR(VLOOKUP(B56,'F01 - _Données Centrales'!A6:C20,3,FALSE),"")</f>
        <v/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>
      <c r="A57" s="5">
        <f>IF(A56="","",A56)</f>
        <v/>
      </c>
      <c r="B57" s="5" t="inlineStr"/>
      <c r="C57" s="5">
        <f>IFERROR(VLOOKUP(B57,'F01 - _Données Centrales'!A6:B20,2,FALSE),"")</f>
        <v/>
      </c>
      <c r="D57" s="5">
        <f>IFERROR(VLOOKUP(B57,'F01 - _Données Centrales'!A6:C20,3,FALSE),"")</f>
        <v/>
      </c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</row>
    <row r="58">
      <c r="A58" s="4">
        <f>IF(A57="","",A57)</f>
        <v/>
      </c>
      <c r="B58" s="4" t="inlineStr"/>
      <c r="C58" s="4">
        <f>IFERROR(VLOOKUP(B58,'F01 - _Données Centrales'!A6:B20,2,FALSE),"")</f>
        <v/>
      </c>
      <c r="D58" s="4">
        <f>IFERROR(VLOOKUP(B58,'F01 - _Données Centrales'!A6:C20,3,FALSE),"")</f>
        <v/>
      </c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</row>
    <row r="59">
      <c r="A59" s="5">
        <f>IF(A58="","",A58)</f>
        <v/>
      </c>
      <c r="B59" s="5" t="inlineStr"/>
      <c r="C59" s="5">
        <f>IFERROR(VLOOKUP(B59,'F01 - _Données Centrales'!A6:B20,2,FALSE),"")</f>
        <v/>
      </c>
      <c r="D59" s="5">
        <f>IFERROR(VLOOKUP(B59,'F01 - _Données Centrales'!A6:C20,3,FALSE),"")</f>
        <v/>
      </c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</row>
    <row r="60">
      <c r="A60" s="4">
        <f>IF(A59="","",A59)</f>
        <v/>
      </c>
      <c r="B60" s="4" t="inlineStr"/>
      <c r="C60" s="4">
        <f>IFERROR(VLOOKUP(B60,'F01 - _Données Centrales'!A6:B20,2,FALSE),"")</f>
        <v/>
      </c>
      <c r="D60" s="4">
        <f>IFERROR(VLOOKUP(B60,'F01 - _Données Centrales'!A6:C20,3,FALSE),"")</f>
        <v/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</row>
    <row r="61">
      <c r="A61" s="5">
        <f>IF(A60="","",A60)</f>
        <v/>
      </c>
      <c r="B61" s="5" t="inlineStr"/>
      <c r="C61" s="5">
        <f>IFERROR(VLOOKUP(B61,'F01 - _Données Centrales'!A6:B20,2,FALSE),"")</f>
        <v/>
      </c>
      <c r="D61" s="5">
        <f>IFERROR(VLOOKUP(B61,'F01 - _Données Centrales'!A6:C20,3,FALSE),"")</f>
        <v/>
      </c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</row>
    <row r="62">
      <c r="A62" s="4">
        <f>IF(A61="","",A61)</f>
        <v/>
      </c>
      <c r="B62" s="4" t="inlineStr"/>
      <c r="C62" s="4">
        <f>IFERROR(VLOOKUP(B62,'F01 - _Données Centrales'!A6:B20,2,FALSE),"")</f>
        <v/>
      </c>
      <c r="D62" s="4">
        <f>IFERROR(VLOOKUP(B62,'F01 - _Données Centrales'!A6:C20,3,FALSE),"")</f>
        <v/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</row>
    <row r="63">
      <c r="A63" s="5">
        <f>IF(A62="","",A62)</f>
        <v/>
      </c>
      <c r="B63" s="5" t="inlineStr"/>
      <c r="C63" s="5">
        <f>IFERROR(VLOOKUP(B63,'F01 - _Données Centrales'!A6:B20,2,FALSE),"")</f>
        <v/>
      </c>
      <c r="D63" s="5">
        <f>IFERROR(VLOOKUP(B63,'F01 - _Données Centrales'!A6:C20,3,FALSE),"")</f>
        <v/>
      </c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</row>
    <row r="64">
      <c r="A64" s="4">
        <f>IF(A63="","",A63)</f>
        <v/>
      </c>
      <c r="B64" s="4" t="inlineStr"/>
      <c r="C64" s="4">
        <f>IFERROR(VLOOKUP(B64,'F01 - _Données Centrales'!A6:B20,2,FALSE),"")</f>
        <v/>
      </c>
      <c r="D64" s="4">
        <f>IFERROR(VLOOKUP(B64,'F01 - _Données Centrales'!A6:C20,3,FALSE),"")</f>
        <v/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</row>
    <row r="65">
      <c r="A65" s="5">
        <f>IF(A64="","",A64)</f>
        <v/>
      </c>
      <c r="B65" s="5" t="inlineStr"/>
      <c r="C65" s="5">
        <f>IFERROR(VLOOKUP(B65,'F01 - _Données Centrales'!A6:B20,2,FALSE),"")</f>
        <v/>
      </c>
      <c r="D65" s="5">
        <f>IFERROR(VLOOKUP(B65,'F01 - _Données Centrales'!A6:C20,3,FALSE),"")</f>
        <v/>
      </c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</row>
    <row r="66">
      <c r="A66" s="4">
        <f>IF(A65="","",A65)</f>
        <v/>
      </c>
      <c r="B66" s="4" t="inlineStr"/>
      <c r="C66" s="4">
        <f>IFERROR(VLOOKUP(B66,'F01 - _Données Centrales'!A6:B20,2,FALSE),"")</f>
        <v/>
      </c>
      <c r="D66" s="4">
        <f>IFERROR(VLOOKUP(B66,'F01 - _Données Centrales'!A6:C20,3,FALSE),"")</f>
        <v/>
      </c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</row>
    <row r="67">
      <c r="A67" s="5">
        <f>IF(A66="","",A66)</f>
        <v/>
      </c>
      <c r="B67" s="5" t="inlineStr"/>
      <c r="C67" s="5">
        <f>IFERROR(VLOOKUP(B67,'F01 - _Données Centrales'!A6:B20,2,FALSE),"")</f>
        <v/>
      </c>
      <c r="D67" s="5">
        <f>IFERROR(VLOOKUP(B67,'F01 - _Données Centrales'!A6:C20,3,FALSE),"")</f>
        <v/>
      </c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</row>
    <row r="68">
      <c r="A68" s="4">
        <f>IF(A67="","",A67)</f>
        <v/>
      </c>
      <c r="B68" s="4" t="inlineStr"/>
      <c r="C68" s="4">
        <f>IFERROR(VLOOKUP(B68,'F01 - _Données Centrales'!A6:B20,2,FALSE),"")</f>
        <v/>
      </c>
      <c r="D68" s="4">
        <f>IFERROR(VLOOKUP(B68,'F01 - _Données Centrales'!A6:C20,3,FALSE),"")</f>
        <v/>
      </c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</row>
    <row r="69">
      <c r="A69" s="5">
        <f>IF(A68="","",A68)</f>
        <v/>
      </c>
      <c r="B69" s="5" t="inlineStr"/>
      <c r="C69" s="5">
        <f>IFERROR(VLOOKUP(B69,'F01 - _Données Centrales'!A6:B20,2,FALSE),"")</f>
        <v/>
      </c>
      <c r="D69" s="5">
        <f>IFERROR(VLOOKUP(B69,'F01 - _Données Centrales'!A6:C20,3,FALSE),"")</f>
        <v/>
      </c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</row>
    <row r="70">
      <c r="A70" s="4">
        <f>IF(A69="","",A69)</f>
        <v/>
      </c>
      <c r="B70" s="4" t="inlineStr"/>
      <c r="C70" s="4">
        <f>IFERROR(VLOOKUP(B70,'F01 - _Données Centrales'!A6:B20,2,FALSE),"")</f>
        <v/>
      </c>
      <c r="D70" s="4">
        <f>IFERROR(VLOOKUP(B70,'F01 - _Données Centrales'!A6:C20,3,FALSE),"")</f>
        <v/>
      </c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</row>
    <row r="71">
      <c r="A71" s="5">
        <f>IF(A70="","",A70)</f>
        <v/>
      </c>
      <c r="B71" s="5" t="inlineStr"/>
      <c r="C71" s="5">
        <f>IFERROR(VLOOKUP(B71,'F01 - _Données Centrales'!A6:B20,2,FALSE),"")</f>
        <v/>
      </c>
      <c r="D71" s="5">
        <f>IFERROR(VLOOKUP(B71,'F01 - _Données Centrales'!A6:C20,3,FALSE),"")</f>
        <v/>
      </c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</row>
    <row r="72">
      <c r="A72" s="4">
        <f>IF(A71="","",A71)</f>
        <v/>
      </c>
      <c r="B72" s="4" t="inlineStr"/>
      <c r="C72" s="4">
        <f>IFERROR(VLOOKUP(B72,'F01 - _Données Centrales'!A6:B20,2,FALSE),"")</f>
        <v/>
      </c>
      <c r="D72" s="4">
        <f>IFERROR(VLOOKUP(B72,'F01 - _Données Centrales'!A6:C20,3,FALSE),"")</f>
        <v/>
      </c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>
      <c r="A73" s="5">
        <f>IF(A72="","",A72)</f>
        <v/>
      </c>
      <c r="B73" s="5" t="inlineStr"/>
      <c r="C73" s="5">
        <f>IFERROR(VLOOKUP(B73,'F01 - _Données Centrales'!A6:B20,2,FALSE),"")</f>
        <v/>
      </c>
      <c r="D73" s="5">
        <f>IFERROR(VLOOKUP(B73,'F01 - _Données Centrales'!A6:C20,3,FALSE),"")</f>
        <v/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</row>
    <row r="74">
      <c r="A74" s="4">
        <f>IF(A73="","",A73)</f>
        <v/>
      </c>
      <c r="B74" s="4" t="inlineStr"/>
      <c r="C74" s="4">
        <f>IFERROR(VLOOKUP(B74,'F01 - _Données Centrales'!A6:B20,2,FALSE),"")</f>
        <v/>
      </c>
      <c r="D74" s="4">
        <f>IFERROR(VLOOKUP(B74,'F01 - _Données Centrales'!A6:C20,3,FALSE),"")</f>
        <v/>
      </c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</row>
    <row r="75">
      <c r="A75" s="5">
        <f>IF(A74="","",A74)</f>
        <v/>
      </c>
      <c r="B75" s="5" t="inlineStr"/>
      <c r="C75" s="5">
        <f>IFERROR(VLOOKUP(B75,'F01 - _Données Centrales'!A6:B20,2,FALSE),"")</f>
        <v/>
      </c>
      <c r="D75" s="5">
        <f>IFERROR(VLOOKUP(B75,'F01 - _Données Centrales'!A6:C20,3,FALSE),"")</f>
        <v/>
      </c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</row>
    <row r="76">
      <c r="A76" s="4">
        <f>IF(A75="","",A75)</f>
        <v/>
      </c>
      <c r="B76" s="4" t="inlineStr"/>
      <c r="C76" s="4">
        <f>IFERROR(VLOOKUP(B76,'F01 - _Données Centrales'!A6:B20,2,FALSE),"")</f>
        <v/>
      </c>
      <c r="D76" s="4">
        <f>IFERROR(VLOOKUP(B76,'F01 - _Données Centrales'!A6:C20,3,FALSE),"")</f>
        <v/>
      </c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>
      <c r="A77" s="5">
        <f>IF(A76="","",A76)</f>
        <v/>
      </c>
      <c r="B77" s="5" t="inlineStr"/>
      <c r="C77" s="5">
        <f>IFERROR(VLOOKUP(B77,'F01 - _Données Centrales'!A6:B20,2,FALSE),"")</f>
        <v/>
      </c>
      <c r="D77" s="5">
        <f>IFERROR(VLOOKUP(B77,'F01 - _Données Centrales'!A6:C20,3,FALSE),"")</f>
        <v/>
      </c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</row>
    <row r="78">
      <c r="A78" s="4">
        <f>IF(A77="","",A77)</f>
        <v/>
      </c>
      <c r="B78" s="4" t="inlineStr"/>
      <c r="C78" s="4">
        <f>IFERROR(VLOOKUP(B78,'F01 - _Données Centrales'!A6:B20,2,FALSE),"")</f>
        <v/>
      </c>
      <c r="D78" s="4">
        <f>IFERROR(VLOOKUP(B78,'F01 - _Données Centrales'!A6:C20,3,FALSE),"")</f>
        <v/>
      </c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</row>
    <row r="79">
      <c r="A79" s="5">
        <f>IF(A78="","",A78)</f>
        <v/>
      </c>
      <c r="B79" s="5" t="inlineStr"/>
      <c r="C79" s="5">
        <f>IFERROR(VLOOKUP(B79,'F01 - _Données Centrales'!A6:B20,2,FALSE),"")</f>
        <v/>
      </c>
      <c r="D79" s="5">
        <f>IFERROR(VLOOKUP(B79,'F01 - _Données Centrales'!A6:C20,3,FALSE),"")</f>
        <v/>
      </c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</row>
    <row r="80">
      <c r="A80" s="4">
        <f>IF(A79="","",A79)</f>
        <v/>
      </c>
      <c r="B80" s="4" t="inlineStr"/>
      <c r="C80" s="4">
        <f>IFERROR(VLOOKUP(B80,'F01 - _Données Centrales'!A6:B20,2,FALSE),"")</f>
        <v/>
      </c>
      <c r="D80" s="4">
        <f>IFERROR(VLOOKUP(B80,'F01 - _Données Centrales'!A6:C20,3,FALSE),"")</f>
        <v/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</row>
    <row r="81">
      <c r="A81" s="5">
        <f>IF(A80="","",A80)</f>
        <v/>
      </c>
      <c r="B81" s="5" t="inlineStr"/>
      <c r="C81" s="5">
        <f>IFERROR(VLOOKUP(B81,'F01 - _Données Centrales'!A6:B20,2,FALSE),"")</f>
        <v/>
      </c>
      <c r="D81" s="5">
        <f>IFERROR(VLOOKUP(B81,'F01 - _Données Centrales'!A6:C20,3,FALSE),"")</f>
        <v/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</row>
    <row r="82">
      <c r="A82" s="4">
        <f>IF(A81="","",A81)</f>
        <v/>
      </c>
      <c r="B82" s="4" t="inlineStr"/>
      <c r="C82" s="4">
        <f>IFERROR(VLOOKUP(B82,'F01 - _Données Centrales'!A6:B20,2,FALSE),"")</f>
        <v/>
      </c>
      <c r="D82" s="4">
        <f>IFERROR(VLOOKUP(B82,'F01 - _Données Centrales'!A6:C20,3,FALSE),"")</f>
        <v/>
      </c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</row>
    <row r="83">
      <c r="A83" s="5">
        <f>IF(A82="","",A82)</f>
        <v/>
      </c>
      <c r="B83" s="5" t="inlineStr"/>
      <c r="C83" s="5">
        <f>IFERROR(VLOOKUP(B83,'F01 - _Données Centrales'!A6:B20,2,FALSE),"")</f>
        <v/>
      </c>
      <c r="D83" s="5">
        <f>IFERROR(VLOOKUP(B83,'F01 - _Données Centrales'!A6:C20,3,FALSE),"")</f>
        <v/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</row>
    <row r="84">
      <c r="A84" s="4">
        <f>IF(A83="","",A83)</f>
        <v/>
      </c>
      <c r="B84" s="4" t="inlineStr"/>
      <c r="C84" s="4">
        <f>IFERROR(VLOOKUP(B84,'F01 - _Données Centrales'!A6:B20,2,FALSE),"")</f>
        <v/>
      </c>
      <c r="D84" s="4">
        <f>IFERROR(VLOOKUP(B84,'F01 - _Données Centrales'!A6:C20,3,FALSE),"")</f>
        <v/>
      </c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</row>
    <row r="85">
      <c r="A85" s="5">
        <f>IF(A84="","",A84)</f>
        <v/>
      </c>
      <c r="B85" s="5" t="inlineStr"/>
      <c r="C85" s="5">
        <f>IFERROR(VLOOKUP(B85,'F01 - _Données Centrales'!A6:B20,2,FALSE),"")</f>
        <v/>
      </c>
      <c r="D85" s="5">
        <f>IFERROR(VLOOKUP(B85,'F01 - _Données Centrales'!A6:C20,3,FALSE),"")</f>
        <v/>
      </c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</row>
    <row r="86">
      <c r="A86" s="4">
        <f>IF(A85="","",A85)</f>
        <v/>
      </c>
      <c r="B86" s="4" t="inlineStr"/>
      <c r="C86" s="4">
        <f>IFERROR(VLOOKUP(B86,'F01 - _Données Centrales'!A6:B20,2,FALSE),"")</f>
        <v/>
      </c>
      <c r="D86" s="4">
        <f>IFERROR(VLOOKUP(B86,'F01 - _Données Centrales'!A6:C20,3,FALSE),"")</f>
        <v/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</row>
    <row r="87">
      <c r="A87" s="5">
        <f>IF(A86="","",A86)</f>
        <v/>
      </c>
      <c r="B87" s="5" t="inlineStr"/>
      <c r="C87" s="5">
        <f>IFERROR(VLOOKUP(B87,'F01 - _Données Centrales'!A6:B20,2,FALSE),"")</f>
        <v/>
      </c>
      <c r="D87" s="5">
        <f>IFERROR(VLOOKUP(B87,'F01 - _Données Centrales'!A6:C20,3,FALSE),"")</f>
        <v/>
      </c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</row>
    <row r="88">
      <c r="A88" s="4">
        <f>IF(A87="","",A87)</f>
        <v/>
      </c>
      <c r="B88" s="4" t="inlineStr"/>
      <c r="C88" s="4">
        <f>IFERROR(VLOOKUP(B88,'F01 - _Données Centrales'!A6:B20,2,FALSE),"")</f>
        <v/>
      </c>
      <c r="D88" s="4">
        <f>IFERROR(VLOOKUP(B88,'F01 - _Données Centrales'!A6:C20,3,FALSE),"")</f>
        <v/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</row>
    <row r="89">
      <c r="A89" s="5">
        <f>IF(A88="","",A88)</f>
        <v/>
      </c>
      <c r="B89" s="5" t="inlineStr"/>
      <c r="C89" s="5">
        <f>IFERROR(VLOOKUP(B89,'F01 - _Données Centrales'!A6:B20,2,FALSE),"")</f>
        <v/>
      </c>
      <c r="D89" s="5">
        <f>IFERROR(VLOOKUP(B89,'F01 - _Données Centrales'!A6:C20,3,FALSE),"")</f>
        <v/>
      </c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</row>
    <row r="90">
      <c r="A90" s="4">
        <f>IF(A89="","",A89)</f>
        <v/>
      </c>
      <c r="B90" s="4" t="inlineStr"/>
      <c r="C90" s="4">
        <f>IFERROR(VLOOKUP(B90,'F01 - _Données Centrales'!A6:B20,2,FALSE),"")</f>
        <v/>
      </c>
      <c r="D90" s="4">
        <f>IFERROR(VLOOKUP(B90,'F01 - _Données Centrales'!A6:C20,3,FALSE),"")</f>
        <v/>
      </c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</row>
    <row r="91">
      <c r="A91" s="5">
        <f>IF(A90="","",A90)</f>
        <v/>
      </c>
      <c r="B91" s="5" t="inlineStr"/>
      <c r="C91" s="5">
        <f>IFERROR(VLOOKUP(B91,'F01 - _Données Centrales'!A6:B20,2,FALSE),"")</f>
        <v/>
      </c>
      <c r="D91" s="5">
        <f>IFERROR(VLOOKUP(B91,'F01 - _Données Centrales'!A6:C20,3,FALSE),"")</f>
        <v/>
      </c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</row>
    <row r="92">
      <c r="A92" s="4">
        <f>IF(A91="","",A91)</f>
        <v/>
      </c>
      <c r="B92" s="4" t="inlineStr"/>
      <c r="C92" s="4">
        <f>IFERROR(VLOOKUP(B92,'F01 - _Données Centrales'!A6:B20,2,FALSE),"")</f>
        <v/>
      </c>
      <c r="D92" s="4">
        <f>IFERROR(VLOOKUP(B92,'F01 - _Données Centrales'!A6:C20,3,FALSE),"")</f>
        <v/>
      </c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>
      <c r="A93" s="5">
        <f>IF(A92="","",A92)</f>
        <v/>
      </c>
      <c r="B93" s="5" t="inlineStr"/>
      <c r="C93" s="5">
        <f>IFERROR(VLOOKUP(B93,'F01 - _Données Centrales'!A6:B20,2,FALSE),"")</f>
        <v/>
      </c>
      <c r="D93" s="5">
        <f>IFERROR(VLOOKUP(B93,'F01 - _Données Centrales'!A6:C20,3,FALSE),"")</f>
        <v/>
      </c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</row>
    <row r="94">
      <c r="A94" s="4">
        <f>IF(A93="","",A93)</f>
        <v/>
      </c>
      <c r="B94" s="4" t="inlineStr"/>
      <c r="C94" s="4">
        <f>IFERROR(VLOOKUP(B94,'F01 - _Données Centrales'!A6:B20,2,FALSE),"")</f>
        <v/>
      </c>
      <c r="D94" s="4">
        <f>IFERROR(VLOOKUP(B94,'F01 - _Données Centrales'!A6:C20,3,FALSE),"")</f>
        <v/>
      </c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</row>
    <row r="95">
      <c r="A95" s="5">
        <f>IF(A94="","",A94)</f>
        <v/>
      </c>
      <c r="B95" s="5" t="inlineStr"/>
      <c r="C95" s="5">
        <f>IFERROR(VLOOKUP(B95,'F01 - _Données Centrales'!A6:B20,2,FALSE),"")</f>
        <v/>
      </c>
      <c r="D95" s="5">
        <f>IFERROR(VLOOKUP(B95,'F01 - _Données Centrales'!A6:C20,3,FALSE),"")</f>
        <v/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</row>
    <row r="96">
      <c r="A96" s="4">
        <f>IF(A95="","",A95)</f>
        <v/>
      </c>
      <c r="B96" s="4" t="inlineStr"/>
      <c r="C96" s="4">
        <f>IFERROR(VLOOKUP(B96,'F01 - _Données Centrales'!A6:B20,2,FALSE),"")</f>
        <v/>
      </c>
      <c r="D96" s="4">
        <f>IFERROR(VLOOKUP(B96,'F01 - _Données Centrales'!A6:C20,3,FALSE),"")</f>
        <v/>
      </c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</row>
    <row r="97">
      <c r="A97" s="5">
        <f>IF(A96="","",A96)</f>
        <v/>
      </c>
      <c r="B97" s="5" t="inlineStr"/>
      <c r="C97" s="5">
        <f>IFERROR(VLOOKUP(B97,'F01 - _Données Centrales'!A6:B20,2,FALSE),"")</f>
        <v/>
      </c>
      <c r="D97" s="5">
        <f>IFERROR(VLOOKUP(B97,'F01 - _Données Centrales'!A6:C20,3,FALSE),"")</f>
        <v/>
      </c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</row>
    <row r="98">
      <c r="A98" s="4">
        <f>IF(A97="","",A97)</f>
        <v/>
      </c>
      <c r="B98" s="4" t="inlineStr"/>
      <c r="C98" s="4">
        <f>IFERROR(VLOOKUP(B98,'F01 - _Données Centrales'!A6:B20,2,FALSE),"")</f>
        <v/>
      </c>
      <c r="D98" s="4">
        <f>IFERROR(VLOOKUP(B98,'F01 - _Données Centrales'!A6:C20,3,FALSE),"")</f>
        <v/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</row>
    <row r="99">
      <c r="A99" s="5">
        <f>IF(A98="","",A98)</f>
        <v/>
      </c>
      <c r="B99" s="5" t="inlineStr"/>
      <c r="C99" s="5">
        <f>IFERROR(VLOOKUP(B99,'F01 - _Données Centrales'!A6:B20,2,FALSE),"")</f>
        <v/>
      </c>
      <c r="D99" s="5">
        <f>IFERROR(VLOOKUP(B99,'F01 - _Données Centrales'!A6:C20,3,FALSE),"")</f>
        <v/>
      </c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</row>
    <row r="100">
      <c r="A100" s="4">
        <f>IF(A99="","",A99)</f>
        <v/>
      </c>
      <c r="B100" s="4" t="inlineStr"/>
      <c r="C100" s="4">
        <f>IFERROR(VLOOKUP(B100,'F01 - _Données Centrales'!A6:B20,2,FALSE),"")</f>
        <v/>
      </c>
      <c r="D100" s="4">
        <f>IFERROR(VLOOKUP(B100,'F01 - _Données Centrales'!A6:C20,3,FALSE),"")</f>
        <v/>
      </c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</row>
    <row r="101">
      <c r="A101" s="5">
        <f>IF(A100="","",A100)</f>
        <v/>
      </c>
      <c r="B101" s="5" t="inlineStr"/>
      <c r="C101" s="5">
        <f>IFERROR(VLOOKUP(B101,'F01 - _Données Centrales'!A6:B20,2,FALSE),"")</f>
        <v/>
      </c>
      <c r="D101" s="5">
        <f>IFERROR(VLOOKUP(B101,'F01 - _Données Centrales'!A6:C20,3,FALSE),"")</f>
        <v/>
      </c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</row>
    <row r="102">
      <c r="A102" s="4">
        <f>IF(A101="","",A101)</f>
        <v/>
      </c>
      <c r="B102" s="4" t="inlineStr"/>
      <c r="C102" s="4">
        <f>IFERROR(VLOOKUP(B102,'F01 - _Données Centrales'!A6:B20,2,FALSE),"")</f>
        <v/>
      </c>
      <c r="D102" s="4">
        <f>IFERROR(VLOOKUP(B102,'F01 - _Données Centrales'!A6:C20,3,FALSE),"")</f>
        <v/>
      </c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</row>
    <row r="103">
      <c r="A103" s="5">
        <f>IF(A102="","",A102)</f>
        <v/>
      </c>
      <c r="B103" s="5" t="inlineStr"/>
      <c r="C103" s="5">
        <f>IFERROR(VLOOKUP(B103,'F01 - _Données Centrales'!A6:B20,2,FALSE),"")</f>
        <v/>
      </c>
      <c r="D103" s="5">
        <f>IFERROR(VLOOKUP(B103,'F01 - _Données Centrales'!A6:C20,3,FALSE),"")</f>
        <v/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</row>
    <row r="104">
      <c r="A104" s="4">
        <f>IF(A103="","",A103)</f>
        <v/>
      </c>
      <c r="B104" s="4" t="inlineStr"/>
      <c r="C104" s="4">
        <f>IFERROR(VLOOKUP(B104,'F01 - _Données Centrales'!A6:B20,2,FALSE),"")</f>
        <v/>
      </c>
      <c r="D104" s="4">
        <f>IFERROR(VLOOKUP(B104,'F01 - _Données Centrales'!A6:C20,3,FALSE),"")</f>
        <v/>
      </c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</row>
    <row r="105">
      <c r="A105" s="5">
        <f>IF(A104="","",A104)</f>
        <v/>
      </c>
      <c r="B105" s="5" t="inlineStr"/>
      <c r="C105" s="5">
        <f>IFERROR(VLOOKUP(B105,'F01 - _Données Centrales'!A6:B20,2,FALSE),"")</f>
        <v/>
      </c>
      <c r="D105" s="5">
        <f>IFERROR(VLOOKUP(B105,'F01 - _Données Centrales'!A6:C20,3,FALSE),"")</f>
        <v/>
      </c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</row>
    <row r="106">
      <c r="A106" s="4">
        <f>IF(A105="","",A105)</f>
        <v/>
      </c>
      <c r="B106" s="4" t="inlineStr"/>
      <c r="C106" s="4">
        <f>IFERROR(VLOOKUP(B106,'F01 - _Données Centrales'!A6:B20,2,FALSE),"")</f>
        <v/>
      </c>
      <c r="D106" s="4">
        <f>IFERROR(VLOOKUP(B106,'F01 - _Données Centrales'!A6:C20,3,FALSE),"")</f>
        <v/>
      </c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</row>
    <row r="107">
      <c r="A107" s="5">
        <f>IF(A106="","",A106)</f>
        <v/>
      </c>
      <c r="B107" s="5" t="inlineStr"/>
      <c r="C107" s="5">
        <f>IFERROR(VLOOKUP(B107,'F01 - _Données Centrales'!A6:B20,2,FALSE),"")</f>
        <v/>
      </c>
      <c r="D107" s="5">
        <f>IFERROR(VLOOKUP(B107,'F01 - _Données Centrales'!A6:C20,3,FALSE),"")</f>
        <v/>
      </c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</row>
    <row r="108">
      <c r="A108" s="4">
        <f>IF(A107="","",A107)</f>
        <v/>
      </c>
      <c r="B108" s="4" t="inlineStr"/>
      <c r="C108" s="4">
        <f>IFERROR(VLOOKUP(B108,'F01 - _Données Centrales'!A6:B20,2,FALSE),"")</f>
        <v/>
      </c>
      <c r="D108" s="4">
        <f>IFERROR(VLOOKUP(B108,'F01 - _Données Centrales'!A6:C20,3,FALSE),"")</f>
        <v/>
      </c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>
      <c r="A109" s="5">
        <f>IF(A108="","",A108)</f>
        <v/>
      </c>
      <c r="B109" s="5" t="inlineStr"/>
      <c r="C109" s="5">
        <f>IFERROR(VLOOKUP(B109,'F01 - _Données Centrales'!A6:B20,2,FALSE),"")</f>
        <v/>
      </c>
      <c r="D109" s="5">
        <f>IFERROR(VLOOKUP(B109,'F01 - _Données Centrales'!A6:C20,3,FALSE),"")</f>
        <v/>
      </c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</row>
    <row r="110">
      <c r="A110" s="4">
        <f>IF(A109="","",A109)</f>
        <v/>
      </c>
      <c r="B110" s="4" t="inlineStr"/>
      <c r="C110" s="4">
        <f>IFERROR(VLOOKUP(B110,'F01 - _Données Centrales'!A6:B20,2,FALSE),"")</f>
        <v/>
      </c>
      <c r="D110" s="4">
        <f>IFERROR(VLOOKUP(B110,'F01 - _Données Centrales'!A6:C20,3,FALSE),"")</f>
        <v/>
      </c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>
      <c r="A111" s="5">
        <f>IF(A110="","",A110)</f>
        <v/>
      </c>
      <c r="B111" s="5" t="inlineStr"/>
      <c r="C111" s="5">
        <f>IFERROR(VLOOKUP(B111,'F01 - _Données Centrales'!A6:B20,2,FALSE),"")</f>
        <v/>
      </c>
      <c r="D111" s="5">
        <f>IFERROR(VLOOKUP(B111,'F01 - _Données Centrales'!A6:C20,3,FALSE),"")</f>
        <v/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</row>
    <row r="112">
      <c r="A112" s="4">
        <f>IF(A111="","",A111)</f>
        <v/>
      </c>
      <c r="B112" s="4" t="inlineStr"/>
      <c r="C112" s="4">
        <f>IFERROR(VLOOKUP(B112,'F01 - _Données Centrales'!A6:B20,2,FALSE),"")</f>
        <v/>
      </c>
      <c r="D112" s="4">
        <f>IFERROR(VLOOKUP(B112,'F01 - _Données Centrales'!A6:C20,3,FALSE),"")</f>
        <v/>
      </c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</row>
    <row r="113">
      <c r="A113" s="5">
        <f>IF(A112="","",A112)</f>
        <v/>
      </c>
      <c r="B113" s="5" t="inlineStr"/>
      <c r="C113" s="5">
        <f>IFERROR(VLOOKUP(B113,'F01 - _Données Centrales'!A6:B20,2,FALSE),"")</f>
        <v/>
      </c>
      <c r="D113" s="5">
        <f>IFERROR(VLOOKUP(B113,'F01 - _Données Centrales'!A6:C20,3,FALSE),"")</f>
        <v/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</row>
    <row r="114">
      <c r="A114" s="4">
        <f>IF(A113="","",A113)</f>
        <v/>
      </c>
      <c r="B114" s="4" t="inlineStr"/>
      <c r="C114" s="4">
        <f>IFERROR(VLOOKUP(B114,'F01 - _Données Centrales'!A6:B20,2,FALSE),"")</f>
        <v/>
      </c>
      <c r="D114" s="4">
        <f>IFERROR(VLOOKUP(B114,'F01 - _Données Centrales'!A6:C20,3,FALSE),"")</f>
        <v/>
      </c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</row>
    <row r="115">
      <c r="A115" s="5">
        <f>IF(A114="","",A114)</f>
        <v/>
      </c>
      <c r="B115" s="5" t="inlineStr"/>
      <c r="C115" s="5">
        <f>IFERROR(VLOOKUP(B115,'F01 - _Données Centrales'!A6:B20,2,FALSE),"")</f>
        <v/>
      </c>
      <c r="D115" s="5">
        <f>IFERROR(VLOOKUP(B115,'F01 - _Données Centrales'!A6:C20,3,FALSE),"")</f>
        <v/>
      </c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</row>
  </sheetData>
  <mergeCells count="2">
    <mergeCell ref="A3:P3"/>
    <mergeCell ref="A2:P2"/>
  </mergeCells>
  <conditionalFormatting sqref="J6:J115">
    <cfRule type="cellIs" priority="1" operator="equal" dxfId="0">
      <formula>"Approuvée"</formula>
    </cfRule>
    <cfRule type="cellIs" priority="2" operator="equal" dxfId="2">
      <formula>"En attente validation"</formula>
    </cfRule>
    <cfRule type="cellIs" priority="3" operator="equal" dxfId="3">
      <formula>"Rejetée"</formula>
    </cfRule>
    <cfRule type="cellIs" priority="4" operator="equal" dxfId="4">
      <formula>"En cours de traitement"</formula>
    </cfRule>
  </conditionalFormatting>
  <dataValidations count="3">
    <dataValidation sqref="F6:F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_Lists'!$G$6:$G$35</formula1>
    </dataValidation>
    <dataValidation sqref="G6:G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_Lists'!$H$6:$H$35</formula1>
    </dataValidation>
    <dataValidation sqref="J6:J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_Lists'!$P$6:$P$35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2" customWidth="1" min="5" max="5"/>
    <col width="22" customWidth="1" min="6" max="6"/>
    <col width="16" customWidth="1" min="7" max="7"/>
    <col width="22" customWidth="1" min="8" max="8"/>
    <col width="16" customWidth="1" min="9" max="9"/>
    <col width="22" customWidth="1" min="10" max="10"/>
    <col width="18" customWidth="1" min="11" max="11"/>
    <col width="20" customWidth="1" min="12" max="12"/>
    <col width="18" customWidth="1" min="13" max="13"/>
    <col width="24" customWidth="1" min="14" max="14"/>
  </cols>
  <sheetData>
    <row r="2" ht="25" customHeight="1">
      <c r="A2" s="1" t="inlineStr">
        <is>
          <t>DOMAINE 28 — PLAN DE SUCCESSION DES POSTES CLÉS</t>
        </is>
      </c>
    </row>
    <row r="3" ht="18" customHeight="1">
      <c r="A3" s="2" t="inlineStr">
        <is>
          <t>Identification des successeurs potentiels pour les postes stratégiques</t>
        </is>
      </c>
    </row>
    <row r="5">
      <c r="A5" s="3" t="inlineStr">
        <is>
          <t>Code Poste</t>
        </is>
      </c>
      <c r="B5" s="3" t="inlineStr">
        <is>
          <t>Poste</t>
        </is>
      </c>
      <c r="C5" s="3" t="inlineStr">
        <is>
          <t>Département</t>
        </is>
      </c>
      <c r="D5" s="3" t="inlineStr">
        <is>
          <t>Titulaire Actuel</t>
        </is>
      </c>
      <c r="E5" s="3" t="inlineStr">
        <is>
          <t>Grade Titulaire</t>
        </is>
      </c>
      <c r="F5" s="3" t="inlineStr">
        <is>
          <t>Successeur 1</t>
        </is>
      </c>
      <c r="G5" s="3" t="inlineStr">
        <is>
          <t>Potentiel Succ. 1</t>
        </is>
      </c>
      <c r="H5" s="3" t="inlineStr">
        <is>
          <t>Successeur 2</t>
        </is>
      </c>
      <c r="I5" s="3" t="inlineStr">
        <is>
          <t>Potentiel Succ. 2</t>
        </is>
      </c>
      <c r="J5" s="3" t="inlineStr">
        <is>
          <t>Priorité Succ.</t>
        </is>
      </c>
      <c r="K5" s="3" t="inlineStr">
        <is>
          <t>Date Disponibilité</t>
        </is>
      </c>
      <c r="L5" s="3" t="inlineStr">
        <is>
          <t>Action Plan</t>
        </is>
      </c>
      <c r="M5" s="3" t="inlineStr">
        <is>
          <t>Statut Préparation</t>
        </is>
      </c>
      <c r="N5" s="3" t="inlineStr">
        <is>
          <t>Écart Compétences</t>
        </is>
      </c>
    </row>
    <row r="6">
      <c r="A6" s="4" t="inlineStr">
        <is>
          <t>POSTE-001</t>
        </is>
      </c>
      <c r="B6" s="4" t="inlineStr">
        <is>
          <t>Directeur Général</t>
        </is>
      </c>
      <c r="C6" s="4" t="inlineStr">
        <is>
          <t>Direction Générale</t>
        </is>
      </c>
      <c r="D6" s="4" t="inlineStr">
        <is>
          <t>M. Nkoulou Paul</t>
        </is>
      </c>
      <c r="E6" s="4" t="inlineStr">
        <is>
          <t>A1</t>
        </is>
      </c>
      <c r="F6" s="4" t="inlineStr">
        <is>
          <t>Mme. Mbarga Claire</t>
        </is>
      </c>
      <c r="G6" s="4" t="inlineStr">
        <is>
          <t>Élevé</t>
        </is>
      </c>
      <c r="H6" s="4" t="inlineStr">
        <is>
          <t>M. Eyenga René</t>
        </is>
      </c>
      <c r="I6" s="4" t="inlineStr">
        <is>
          <t>Élevé</t>
        </is>
      </c>
      <c r="J6" s="4" t="inlineStr">
        <is>
          <t>Critique - 0-6 mois</t>
        </is>
      </c>
      <c r="K6" s="4" t="inlineStr">
        <is>
          <t>2026-01-01</t>
        </is>
      </c>
      <c r="L6" s="4" t="inlineStr">
        <is>
          <t>Formation accélérée</t>
        </is>
      </c>
      <c r="M6" s="4" t="inlineStr">
        <is>
          <t>En cours</t>
        </is>
      </c>
      <c r="N6" s="4" t="inlineStr">
        <is>
          <t>Leadership stratégique</t>
        </is>
      </c>
    </row>
    <row r="7">
      <c r="A7" s="5" t="inlineStr">
        <is>
          <t>POSTE-002</t>
        </is>
      </c>
      <c r="B7" s="5" t="inlineStr">
        <is>
          <t>DRH</t>
        </is>
      </c>
      <c r="C7" s="5" t="inlineStr">
        <is>
          <t>Ressources Humaines</t>
        </is>
      </c>
      <c r="D7" s="5" t="inlineStr">
        <is>
          <t>Mme. Mbarga Claire</t>
        </is>
      </c>
      <c r="E7" s="5" t="inlineStr">
        <is>
          <t>B1</t>
        </is>
      </c>
      <c r="F7" s="5" t="inlineStr">
        <is>
          <t>Mme. Essomba Sylvie</t>
        </is>
      </c>
      <c r="G7" s="5" t="inlineStr">
        <is>
          <t>Très élevé</t>
        </is>
      </c>
      <c r="H7" s="5" t="inlineStr">
        <is>
          <t>Mme. Beyala Aïcha</t>
        </is>
      </c>
      <c r="I7" s="5" t="inlineStr">
        <is>
          <t>Élevé</t>
        </is>
      </c>
      <c r="J7" s="5" t="inlineStr">
        <is>
          <t>Élevée - 6-12 mois</t>
        </is>
      </c>
      <c r="K7" s="5" t="inlineStr">
        <is>
          <t>2025-12-01</t>
        </is>
      </c>
      <c r="L7" s="5" t="inlineStr">
        <is>
          <t>Mentorat assigné</t>
        </is>
      </c>
      <c r="M7" s="5" t="inlineStr">
        <is>
          <t>Avancée</t>
        </is>
      </c>
      <c r="N7" s="5" t="inlineStr">
        <is>
          <t>Gestion de la DRH</t>
        </is>
      </c>
    </row>
    <row r="8">
      <c r="A8" s="4" t="inlineStr">
        <is>
          <t>POSTE-003</t>
        </is>
      </c>
      <c r="B8" s="4" t="inlineStr">
        <is>
          <t>DAF</t>
        </is>
      </c>
      <c r="C8" s="4" t="inlineStr">
        <is>
          <t>Finance &amp; Comptabilité</t>
        </is>
      </c>
      <c r="D8" s="4" t="inlineStr">
        <is>
          <t>M. Eyenga René</t>
        </is>
      </c>
      <c r="E8" s="4" t="inlineStr">
        <is>
          <t>B1</t>
        </is>
      </c>
      <c r="F8" s="4" t="inlineStr">
        <is>
          <t>M. Fotso Alain</t>
        </is>
      </c>
      <c r="G8" s="4" t="inlineStr">
        <is>
          <t>Élevé</t>
        </is>
      </c>
      <c r="H8" s="4" t="inlineStr">
        <is>
          <t>M. Nganou Eric</t>
        </is>
      </c>
      <c r="I8" s="4" t="inlineStr">
        <is>
          <t>Moyen</t>
        </is>
      </c>
      <c r="J8" s="4" t="inlineStr">
        <is>
          <t>Moyenne - 1-2 ans</t>
        </is>
      </c>
      <c r="K8" s="4" t="inlineStr">
        <is>
          <t>2026-06-01</t>
        </is>
      </c>
      <c r="L8" s="4" t="inlineStr">
        <is>
          <t>Plan de transition</t>
        </is>
      </c>
      <c r="M8" s="4" t="inlineStr">
        <is>
          <t>En cours</t>
        </is>
      </c>
      <c r="N8" s="4" t="inlineStr">
        <is>
          <t>Vision financière globale</t>
        </is>
      </c>
    </row>
    <row r="9">
      <c r="A9" s="5" t="inlineStr">
        <is>
          <t>POSTE-004</t>
        </is>
      </c>
      <c r="B9" s="5" t="inlineStr">
        <is>
          <t>Chef Cuisinier</t>
        </is>
      </c>
      <c r="C9" s="5" t="inlineStr">
        <is>
          <t>Cuisine &amp; Restauration</t>
        </is>
      </c>
      <c r="D9" s="5" t="inlineStr">
        <is>
          <t>M. Tchinda Jean</t>
        </is>
      </c>
      <c r="E9" s="5" t="inlineStr">
        <is>
          <t>C2</t>
        </is>
      </c>
      <c r="F9" s="5" t="inlineStr">
        <is>
          <t>M. Manga Patrick</t>
        </is>
      </c>
      <c r="G9" s="5" t="inlineStr">
        <is>
          <t>Moyen</t>
        </is>
      </c>
      <c r="H9" s="5" t="inlineStr"/>
      <c r="I9" s="5" t="inlineStr"/>
      <c r="J9" s="5" t="inlineStr">
        <is>
          <t>Faible - 2+ ans</t>
        </is>
      </c>
      <c r="K9" s="5" t="inlineStr">
        <is>
          <t>2027-01-01</t>
        </is>
      </c>
      <c r="L9" s="5" t="inlineStr">
        <is>
          <t>Formation accélérée</t>
        </is>
      </c>
      <c r="M9" s="5" t="inlineStr">
        <is>
          <t>Non démarré</t>
        </is>
      </c>
      <c r="N9" s="5" t="inlineStr">
        <is>
          <t>Gestion équipe cuisine</t>
        </is>
      </c>
    </row>
    <row r="10">
      <c r="A10" s="4" t="inlineStr">
        <is>
          <t>POSTE-005</t>
        </is>
      </c>
      <c r="B10" s="4" t="inlineStr">
        <is>
          <t>Resp. Réception</t>
        </is>
      </c>
      <c r="C10" s="4" t="inlineStr">
        <is>
          <t>Réception &amp; Front Office</t>
        </is>
      </c>
      <c r="D10" s="4" t="inlineStr">
        <is>
          <t>Mme. Ngassa Marie</t>
        </is>
      </c>
      <c r="E10" s="4" t="inlineStr">
        <is>
          <t>C1</t>
        </is>
      </c>
      <c r="F10" s="4" t="inlineStr">
        <is>
          <t>M. Obama Samuel</t>
        </is>
      </c>
      <c r="G10" s="4" t="inlineStr">
        <is>
          <t>Moyen</t>
        </is>
      </c>
      <c r="H10" s="4" t="inlineStr">
        <is>
          <t>Mme. Fomba Hélène</t>
        </is>
      </c>
      <c r="I10" s="4" t="inlineStr">
        <is>
          <t>À évaluer</t>
        </is>
      </c>
      <c r="J10" s="4" t="inlineStr">
        <is>
          <t>Moyenne - 1-2 ans</t>
        </is>
      </c>
      <c r="K10" s="4" t="inlineStr">
        <is>
          <t>2026-03-01</t>
        </is>
      </c>
      <c r="L10" s="4" t="inlineStr">
        <is>
          <t>Plan de transition</t>
        </is>
      </c>
      <c r="M10" s="4" t="inlineStr">
        <is>
          <t>En cours</t>
        </is>
      </c>
      <c r="N10" s="4" t="inlineStr">
        <is>
          <t>Gestion réception</t>
        </is>
      </c>
    </row>
    <row r="11">
      <c r="A11" s="5">
        <f>IF(A10="","",A10)</f>
        <v/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</row>
    <row r="12">
      <c r="A12" s="4">
        <f>IF(A11="","",A11)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5">
        <f>IF(A12="","",A12)</f>
        <v/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</row>
    <row r="14">
      <c r="A14" s="4">
        <f>IF(A13="","",A13)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  <row r="15">
      <c r="A15" s="5">
        <f>IF(A14="","",A14)</f>
        <v/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</row>
    <row r="16">
      <c r="A16" s="4">
        <f>IF(A15="","",A15)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</row>
    <row r="17">
      <c r="A17" s="5">
        <f>IF(A16="","",A16)</f>
        <v/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</row>
    <row r="18">
      <c r="A18" s="4">
        <f>IF(A17="","",A17)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5">
        <f>IF(A18="","",A18)</f>
        <v/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</row>
    <row r="20">
      <c r="A20" s="4">
        <f>IF(A19="","",A19)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5">
        <f>IF(A20="","",A20)</f>
        <v/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</row>
    <row r="22">
      <c r="A22" s="4">
        <f>IF(A21="","",A21)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5">
        <f>IF(A22="","",A22)</f>
        <v/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</row>
    <row r="24">
      <c r="A24" s="4">
        <f>IF(A23="","",A23)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5">
        <f>IF(A24="","",A24)</f>
        <v/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</row>
    <row r="26">
      <c r="A26" s="4">
        <f>IF(A25="","",A25)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  <row r="27">
      <c r="A27" s="5">
        <f>IF(A26="","",A26)</f>
        <v/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</row>
    <row r="28">
      <c r="A28" s="4">
        <f>IF(A27="","",A27)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</row>
    <row r="29">
      <c r="A29" s="5">
        <f>IF(A28="","",A28)</f>
        <v/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</row>
    <row r="30">
      <c r="A30" s="4">
        <f>IF(A29="","",A29)</f>
        <v/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</row>
    <row r="31">
      <c r="A31" s="5">
        <f>IF(A30="","",A30)</f>
        <v/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</row>
    <row r="32">
      <c r="A32" s="4">
        <f>IF(A31="","",A31)</f>
        <v/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</row>
    <row r="33">
      <c r="A33" s="5">
        <f>IF(A32="","",A32)</f>
        <v/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</row>
    <row r="34">
      <c r="A34" s="4">
        <f>IF(A33="","",A33)</f>
        <v/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</row>
    <row r="35">
      <c r="A35" s="5">
        <f>IF(A34="","",A34)</f>
        <v/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</row>
    <row r="36">
      <c r="A36" s="4">
        <f>IF(A35="","",A35)</f>
        <v/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</row>
    <row r="37">
      <c r="A37" s="5">
        <f>IF(A36="","",A36)</f>
        <v/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</row>
    <row r="38">
      <c r="A38" s="4">
        <f>IF(A37="","",A37)</f>
        <v/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</row>
    <row r="39">
      <c r="A39" s="5">
        <f>IF(A38="","",A38)</f>
        <v/>
      </c>
      <c r="B39" s="5" t="inlineStr"/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</row>
    <row r="40">
      <c r="A40" s="4">
        <f>IF(A39="","",A39)</f>
        <v/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</row>
    <row r="41">
      <c r="A41" s="5">
        <f>IF(A40="","",A40)</f>
        <v/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</row>
    <row r="42">
      <c r="A42" s="4">
        <f>IF(A41="","",A41)</f>
        <v/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</row>
    <row r="43">
      <c r="A43" s="5">
        <f>IF(A42="","",A42)</f>
        <v/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</row>
    <row r="44">
      <c r="A44" s="4">
        <f>IF(A43="","",A43)</f>
        <v/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</row>
    <row r="45">
      <c r="A45" s="5">
        <f>IF(A44="","",A44)</f>
        <v/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</row>
    <row r="46">
      <c r="A46" s="4">
        <f>IF(A45="","",A45)</f>
        <v/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</row>
    <row r="47">
      <c r="A47" s="5">
        <f>IF(A46="","",A46)</f>
        <v/>
      </c>
      <c r="B47" s="5" t="inlineStr"/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</row>
    <row r="48">
      <c r="A48" s="4">
        <f>IF(A47="","",A47)</f>
        <v/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</row>
    <row r="49">
      <c r="A49" s="5">
        <f>IF(A48="","",A48)</f>
        <v/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</row>
    <row r="50">
      <c r="A50" s="4">
        <f>IF(A49="","",A49)</f>
        <v/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</row>
    <row r="51">
      <c r="A51" s="5">
        <f>IF(A50="","",A50)</f>
        <v/>
      </c>
      <c r="B51" s="5" t="inlineStr"/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</row>
    <row r="52">
      <c r="A52" s="4">
        <f>IF(A51="","",A51)</f>
        <v/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</row>
    <row r="53">
      <c r="A53" s="5">
        <f>IF(A52="","",A52)</f>
        <v/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</row>
    <row r="54">
      <c r="A54" s="4">
        <f>IF(A53="","",A53)</f>
        <v/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</row>
    <row r="55">
      <c r="A55" s="5">
        <f>IF(A54="","",A54)</f>
        <v/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</row>
    <row r="56">
      <c r="A56" s="4">
        <f>IF(A55="","",A55)</f>
        <v/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</row>
    <row r="57">
      <c r="A57" s="5">
        <f>IF(A56="","",A56)</f>
        <v/>
      </c>
      <c r="B57" s="5" t="inlineStr"/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</row>
    <row r="58">
      <c r="A58" s="4">
        <f>IF(A57="","",A57)</f>
        <v/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</row>
    <row r="59">
      <c r="A59" s="5">
        <f>IF(A58="","",A58)</f>
        <v/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</row>
    <row r="60">
      <c r="A60" s="4">
        <f>IF(A59="","",A59)</f>
        <v/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</row>
    <row r="61">
      <c r="A61" s="5">
        <f>IF(A60="","",A60)</f>
        <v/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</row>
    <row r="62">
      <c r="A62" s="4">
        <f>IF(A61="","",A61)</f>
        <v/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</row>
    <row r="63">
      <c r="A63" s="5">
        <f>IF(A62="","",A62)</f>
        <v/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</row>
    <row r="64">
      <c r="A64" s="4">
        <f>IF(A63="","",A63)</f>
        <v/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</row>
    <row r="65">
      <c r="A65" s="5">
        <f>IF(A64="","",A64)</f>
        <v/>
      </c>
      <c r="B65" s="5" t="inlineStr"/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</row>
    <row r="66">
      <c r="A66" s="4">
        <f>IF(A65="","",A65)</f>
        <v/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</row>
    <row r="67">
      <c r="A67" s="5">
        <f>IF(A66="","",A66)</f>
        <v/>
      </c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</row>
    <row r="68">
      <c r="A68" s="4">
        <f>IF(A67="","",A67)</f>
        <v/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</row>
    <row r="69">
      <c r="A69" s="5">
        <f>IF(A68="","",A68)</f>
        <v/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</row>
    <row r="70">
      <c r="A70" s="4">
        <f>IF(A69="","",A69)</f>
        <v/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</row>
    <row r="71">
      <c r="A71" s="5">
        <f>IF(A70="","",A70)</f>
        <v/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</row>
    <row r="72">
      <c r="A72" s="4">
        <f>IF(A71="","",A71)</f>
        <v/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</row>
    <row r="73">
      <c r="A73" s="5">
        <f>IF(A72="","",A72)</f>
        <v/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</row>
    <row r="74">
      <c r="A74" s="4">
        <f>IF(A73="","",A73)</f>
        <v/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</row>
    <row r="75">
      <c r="A75" s="5">
        <f>IF(A74="","",A74)</f>
        <v/>
      </c>
      <c r="B75" s="5" t="inlineStr"/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</row>
    <row r="76">
      <c r="A76" s="4">
        <f>IF(A75="","",A75)</f>
        <v/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</row>
    <row r="77">
      <c r="A77" s="5">
        <f>IF(A76="","",A76)</f>
        <v/>
      </c>
      <c r="B77" s="5" t="inlineStr"/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</row>
    <row r="78">
      <c r="A78" s="4">
        <f>IF(A77="","",A77)</f>
        <v/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</row>
    <row r="79">
      <c r="A79" s="5">
        <f>IF(A78="","",A78)</f>
        <v/>
      </c>
      <c r="B79" s="5" t="inlineStr"/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</row>
    <row r="80">
      <c r="A80" s="4">
        <f>IF(A79="","",A79)</f>
        <v/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</row>
    <row r="81">
      <c r="A81" s="5">
        <f>IF(A80="","",A80)</f>
        <v/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</row>
    <row r="82">
      <c r="A82" s="4">
        <f>IF(A81="","",A81)</f>
        <v/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</row>
    <row r="83">
      <c r="A83" s="5">
        <f>IF(A82="","",A82)</f>
        <v/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</row>
    <row r="84">
      <c r="A84" s="4">
        <f>IF(A83="","",A83)</f>
        <v/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</row>
    <row r="85">
      <c r="A85" s="5">
        <f>IF(A84="","",A84)</f>
        <v/>
      </c>
      <c r="B85" s="5" t="inlineStr"/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</row>
    <row r="86">
      <c r="A86" s="4">
        <f>IF(A85="","",A85)</f>
        <v/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</row>
    <row r="87">
      <c r="A87" s="5">
        <f>IF(A86="","",A86)</f>
        <v/>
      </c>
      <c r="B87" s="5" t="inlineStr"/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</row>
    <row r="88">
      <c r="A88" s="4">
        <f>IF(A87="","",A87)</f>
        <v/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</row>
    <row r="89">
      <c r="A89" s="5">
        <f>IF(A88="","",A88)</f>
        <v/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</row>
    <row r="90">
      <c r="A90" s="4">
        <f>IF(A89="","",A89)</f>
        <v/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</row>
    <row r="91">
      <c r="A91" s="5">
        <f>IF(A90="","",A90)</f>
        <v/>
      </c>
      <c r="B91" s="5" t="inlineStr"/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</row>
    <row r="92">
      <c r="A92" s="4">
        <f>IF(A91="","",A91)</f>
        <v/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</row>
    <row r="93">
      <c r="A93" s="5">
        <f>IF(A92="","",A92)</f>
        <v/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</row>
    <row r="94">
      <c r="A94" s="4">
        <f>IF(A93="","",A93)</f>
        <v/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</row>
    <row r="95">
      <c r="A95" s="5">
        <f>IF(A94="","",A94)</f>
        <v/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</row>
    <row r="96">
      <c r="A96" s="4">
        <f>IF(A95="","",A95)</f>
        <v/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</row>
    <row r="97">
      <c r="A97" s="5">
        <f>IF(A96="","",A96)</f>
        <v/>
      </c>
      <c r="B97" s="5" t="inlineStr"/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</row>
    <row r="98">
      <c r="A98" s="4">
        <f>IF(A97="","",A97)</f>
        <v/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</row>
    <row r="99">
      <c r="A99" s="5">
        <f>IF(A98="","",A98)</f>
        <v/>
      </c>
      <c r="B99" s="5" t="inlineStr"/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</row>
    <row r="100">
      <c r="A100" s="4">
        <f>IF(A99="","",A99)</f>
        <v/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</row>
    <row r="101">
      <c r="A101" s="5">
        <f>IF(A100="","",A100)</f>
        <v/>
      </c>
      <c r="B101" s="5" t="inlineStr"/>
      <c r="C101" s="5" t="inlineStr"/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</row>
    <row r="102">
      <c r="A102" s="4">
        <f>IF(A101="","",A101)</f>
        <v/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</row>
    <row r="103">
      <c r="A103" s="5">
        <f>IF(A102="","",A102)</f>
        <v/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</row>
    <row r="104">
      <c r="A104" s="4">
        <f>IF(A103="","",A103)</f>
        <v/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</row>
    <row r="105">
      <c r="A105" s="5">
        <f>IF(A104="","",A104)</f>
        <v/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</row>
    <row r="106">
      <c r="A106" s="4">
        <f>IF(A105="","",A105)</f>
        <v/>
      </c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</row>
    <row r="107">
      <c r="A107" s="5">
        <f>IF(A106="","",A106)</f>
        <v/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</row>
    <row r="108">
      <c r="A108" s="4">
        <f>IF(A107="","",A107)</f>
        <v/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</row>
    <row r="109">
      <c r="A109" s="5">
        <f>IF(A108="","",A108)</f>
        <v/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</row>
    <row r="110">
      <c r="A110" s="4">
        <f>IF(A109="","",A109)</f>
        <v/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</row>
    <row r="111">
      <c r="A111" s="5">
        <f>IF(A110="","",A110)</f>
        <v/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</row>
    <row r="112">
      <c r="A112" s="4">
        <f>IF(A111="","",A111)</f>
        <v/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</row>
    <row r="113">
      <c r="A113" s="5">
        <f>IF(A112="","",A112)</f>
        <v/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</row>
    <row r="114">
      <c r="A114" s="4">
        <f>IF(A113="","",A113)</f>
        <v/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</row>
    <row r="115">
      <c r="A115" s="5">
        <f>IF(A114="","",A114)</f>
        <v/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</row>
  </sheetData>
  <mergeCells count="2">
    <mergeCell ref="A3:P3"/>
    <mergeCell ref="A2:P2"/>
  </mergeCells>
  <conditionalFormatting sqref="J6:J115">
    <cfRule type="cellIs" priority="1" operator="equal" dxfId="3">
      <formula>"Critique - 0-6 mois"</formula>
    </cfRule>
    <cfRule type="cellIs" priority="2" operator="equal" dxfId="4">
      <formula>"Élevée - 6-12 mois"</formula>
    </cfRule>
    <cfRule type="cellIs" priority="3" operator="equal" dxfId="2">
      <formula>"Moyenne - 1-2 ans"</formula>
    </cfRule>
    <cfRule type="cellIs" priority="4" operator="equal" dxfId="0">
      <formula>"Faible - 2+ ans"</formula>
    </cfRule>
  </conditionalFormatting>
  <dataValidations count="3">
    <dataValidation sqref="J6:J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_Lists'!$I$6:$I$35</formula1>
    </dataValidation>
    <dataValidation sqref="M6:M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_Lists'!$M$6:$M$35</formula1>
    </dataValidation>
    <dataValidation sqref="R6:R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_Lists'!$R$6:$R$35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4" customWidth="1" min="10" max="10"/>
    <col width="14" customWidth="1" min="11" max="11"/>
    <col width="22" customWidth="1" min="12" max="12"/>
    <col width="14" customWidth="1" min="13" max="13"/>
  </cols>
  <sheetData>
    <row r="2" ht="25" customHeight="1">
      <c r="A2" s="1" t="inlineStr">
        <is>
          <t>DOMAINE 28 — CARTOGRAPHIE DES POSTES ET COMPÉTENCES</t>
        </is>
      </c>
    </row>
    <row r="3" ht="18" customHeight="1">
      <c r="A3" s="2" t="inlineStr">
        <is>
          <t>Mapping des compétences requises par poste et niveau de maîtrise</t>
        </is>
      </c>
    </row>
    <row r="5">
      <c r="A5" s="3" t="inlineStr">
        <is>
          <t>Code Poste</t>
        </is>
      </c>
      <c r="B5" s="3" t="inlineStr">
        <is>
          <t>Poste</t>
        </is>
      </c>
      <c r="C5" s="3" t="inlineStr">
        <is>
          <t>Département</t>
        </is>
      </c>
      <c r="D5" s="3" t="inlineStr">
        <is>
          <t>Compétence Clé 1</t>
        </is>
      </c>
      <c r="E5" s="3" t="inlineStr">
        <is>
          <t>Niveau Req. 1</t>
        </is>
      </c>
      <c r="F5" s="3" t="inlineStr">
        <is>
          <t>Compétence Clé 2</t>
        </is>
      </c>
      <c r="G5" s="3" t="inlineStr">
        <is>
          <t>Niveau Req. 2</t>
        </is>
      </c>
      <c r="H5" s="3" t="inlineStr">
        <is>
          <t>Compétence Clé 3</t>
        </is>
      </c>
      <c r="I5" s="3" t="inlineStr">
        <is>
          <t>Niveau Req. 3</t>
        </is>
      </c>
      <c r="J5" s="3" t="inlineStr">
        <is>
          <t>Nb Titulaires</t>
        </is>
      </c>
      <c r="K5" s="3" t="inlineStr">
        <is>
          <t>Écart Moyen</t>
        </is>
      </c>
      <c r="L5" s="3" t="inlineStr">
        <is>
          <t>Action Développement</t>
        </is>
      </c>
      <c r="M5" s="3" t="inlineStr">
        <is>
          <t>Priorité</t>
        </is>
      </c>
    </row>
    <row r="6">
      <c r="A6" s="4" t="inlineStr">
        <is>
          <t>POSTE-001</t>
        </is>
      </c>
      <c r="B6" s="4" t="inlineStr">
        <is>
          <t>Directeur Général</t>
        </is>
      </c>
      <c r="C6" s="4" t="inlineStr">
        <is>
          <t>Direction Générale</t>
        </is>
      </c>
      <c r="D6" s="4" t="inlineStr">
        <is>
          <t>Leadership stratégique</t>
        </is>
      </c>
      <c r="E6" s="4" t="inlineStr">
        <is>
          <t>Expert</t>
        </is>
      </c>
      <c r="F6" s="4" t="inlineStr">
        <is>
          <t>Vision financière</t>
        </is>
      </c>
      <c r="G6" s="4" t="inlineStr">
        <is>
          <t>Expert</t>
        </is>
      </c>
      <c r="H6" s="4" t="inlineStr">
        <is>
          <t>Gouvernance</t>
        </is>
      </c>
      <c r="I6" s="4" t="inlineStr">
        <is>
          <t>Expert</t>
        </is>
      </c>
      <c r="J6" s="4" t="n">
        <v>1</v>
      </c>
      <c r="K6" s="4" t="inlineStr">
        <is>
          <t>Faible</t>
        </is>
      </c>
      <c r="L6" s="4" t="inlineStr">
        <is>
          <t>Mentorat externe</t>
        </is>
      </c>
      <c r="M6" s="4" t="inlineStr">
        <is>
          <t>Haute</t>
        </is>
      </c>
    </row>
    <row r="7">
      <c r="A7" s="5" t="inlineStr">
        <is>
          <t>POSTE-002</t>
        </is>
      </c>
      <c r="B7" s="5" t="inlineStr">
        <is>
          <t>DRH</t>
        </is>
      </c>
      <c r="C7" s="5" t="inlineStr">
        <is>
          <t>Ressources Humaines</t>
        </is>
      </c>
      <c r="D7" s="5" t="inlineStr">
        <is>
          <t>Droit du travail</t>
        </is>
      </c>
      <c r="E7" s="5" t="inlineStr">
        <is>
          <t>Expert</t>
        </is>
      </c>
      <c r="F7" s="5" t="inlineStr">
        <is>
          <t>Gestion des talents</t>
        </is>
      </c>
      <c r="G7" s="5" t="inlineStr">
        <is>
          <t>Expert</t>
        </is>
      </c>
      <c r="H7" s="5" t="inlineStr">
        <is>
          <t>Stratégie RH</t>
        </is>
      </c>
      <c r="I7" s="5" t="inlineStr">
        <is>
          <t>Avancé</t>
        </is>
      </c>
      <c r="J7" s="5" t="n">
        <v>1</v>
      </c>
      <c r="K7" s="5" t="inlineStr">
        <is>
          <t>Faible</t>
        </is>
      </c>
      <c r="L7" s="5" t="inlineStr">
        <is>
          <t>Formation continue</t>
        </is>
      </c>
      <c r="M7" s="5" t="inlineStr">
        <is>
          <t>Haute</t>
        </is>
      </c>
    </row>
    <row r="8">
      <c r="A8" s="4" t="inlineStr">
        <is>
          <t>POSTE-003</t>
        </is>
      </c>
      <c r="B8" s="4" t="inlineStr">
        <is>
          <t>DAF</t>
        </is>
      </c>
      <c r="C8" s="4" t="inlineStr">
        <is>
          <t>Finance &amp; Comptabilité</t>
        </is>
      </c>
      <c r="D8" s="4" t="inlineStr">
        <is>
          <t>Comptabilité analytique</t>
        </is>
      </c>
      <c r="E8" s="4" t="inlineStr">
        <is>
          <t>Expert</t>
        </is>
      </c>
      <c r="F8" s="4" t="inlineStr">
        <is>
          <t>Gestion trésorerie</t>
        </is>
      </c>
      <c r="G8" s="4" t="inlineStr">
        <is>
          <t>Expert</t>
        </is>
      </c>
      <c r="H8" s="4" t="inlineStr">
        <is>
          <t>Fiscalité</t>
        </is>
      </c>
      <c r="I8" s="4" t="inlineStr">
        <is>
          <t>Avancé</t>
        </is>
      </c>
      <c r="J8" s="4" t="n">
        <v>1</v>
      </c>
      <c r="K8" s="4" t="inlineStr">
        <is>
          <t>Moyen</t>
        </is>
      </c>
      <c r="L8" s="4" t="inlineStr">
        <is>
          <t>Certification</t>
        </is>
      </c>
      <c r="M8" s="4" t="inlineStr">
        <is>
          <t>Haute</t>
        </is>
      </c>
    </row>
    <row r="9">
      <c r="A9" s="5" t="inlineStr">
        <is>
          <t>POSTE-004</t>
        </is>
      </c>
      <c r="B9" s="5" t="inlineStr">
        <is>
          <t>Chef Cuisinier</t>
        </is>
      </c>
      <c r="C9" s="5" t="inlineStr">
        <is>
          <t>Cuisine &amp; Restauration</t>
        </is>
      </c>
      <c r="D9" s="5" t="inlineStr">
        <is>
          <t>Gastronomie</t>
        </is>
      </c>
      <c r="E9" s="5" t="inlineStr">
        <is>
          <t>Expert</t>
        </is>
      </c>
      <c r="F9" s="5" t="inlineStr">
        <is>
          <t>Hygiène alimentaire</t>
        </is>
      </c>
      <c r="G9" s="5" t="inlineStr">
        <is>
          <t>Expert</t>
        </is>
      </c>
      <c r="H9" s="5" t="inlineStr">
        <is>
          <t>Gestion équipe</t>
        </is>
      </c>
      <c r="I9" s="5" t="inlineStr">
        <is>
          <t>Avancé</t>
        </is>
      </c>
      <c r="J9" s="5" t="n">
        <v>1</v>
      </c>
      <c r="K9" s="5" t="inlineStr">
        <is>
          <t>Moyen</t>
        </is>
      </c>
      <c r="L9" s="5" t="inlineStr">
        <is>
          <t>Formation HACCP</t>
        </is>
      </c>
      <c r="M9" s="5" t="inlineStr">
        <is>
          <t>Moyenne</t>
        </is>
      </c>
    </row>
    <row r="10">
      <c r="A10" s="4" t="inlineStr">
        <is>
          <t>POSTE-005</t>
        </is>
      </c>
      <c r="B10" s="4" t="inlineStr">
        <is>
          <t>Resp. Réception</t>
        </is>
      </c>
      <c r="C10" s="4" t="inlineStr">
        <is>
          <t>Réception &amp; Front Office</t>
        </is>
      </c>
      <c r="D10" s="4" t="inlineStr">
        <is>
          <t>Accueil client</t>
        </is>
      </c>
      <c r="E10" s="4" t="inlineStr">
        <is>
          <t>Expert</t>
        </is>
      </c>
      <c r="F10" s="4" t="inlineStr">
        <is>
          <t>Réservation</t>
        </is>
      </c>
      <c r="G10" s="4" t="inlineStr">
        <is>
          <t>Avancé</t>
        </is>
      </c>
      <c r="H10" s="4" t="inlineStr">
        <is>
          <t>Anglais</t>
        </is>
      </c>
      <c r="I10" s="4" t="inlineStr">
        <is>
          <t>Intermédiaire</t>
        </is>
      </c>
      <c r="J10" s="4" t="n">
        <v>1</v>
      </c>
      <c r="K10" s="4" t="inlineStr">
        <is>
          <t>Moyen</t>
        </is>
      </c>
      <c r="L10" s="4" t="inlineStr">
        <is>
          <t>Formation langue</t>
        </is>
      </c>
      <c r="M10" s="4" t="inlineStr">
        <is>
          <t>Moyenne</t>
        </is>
      </c>
    </row>
    <row r="11">
      <c r="A11" s="5">
        <f>IF(A10="","",A10)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4">
        <f>IF(A11="","",A11)</f>
        <v/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5">
        <f>IF(A12="","",A12)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4">
        <f>IF(A13="","",A13)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5">
        <f>IF(A14="","",A14)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4">
        <f>IF(A15="","",A15)</f>
        <v/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5">
        <f>IF(A16="","",A16)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4">
        <f>IF(A17="","",A17)</f>
        <v/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5">
        <f>IF(A18="","",A18)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4">
        <f>IF(A19="","",A19)</f>
        <v/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5">
        <f>IF(A20="","",A20)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4">
        <f>IF(A21="","",A21)</f>
        <v/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5">
        <f>IF(A22="","",A22)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4">
        <f>IF(A23="","",A23)</f>
        <v/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5">
        <f>IF(A24="","",A24)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4">
        <f>IF(A25="","",A25)</f>
        <v/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5">
        <f>IF(A26="","",A26)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4">
        <f>IF(A27="","",A27)</f>
        <v/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5">
        <f>IF(A28="","",A28)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4">
        <f>IF(A29="","",A29)</f>
        <v/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5">
        <f>IF(A30="","",A30)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4">
        <f>IF(A31="","",A31)</f>
        <v/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5">
        <f>IF(A32="","",A32)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4">
        <f>IF(A33="","",A33)</f>
        <v/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>
        <f>IF(A34="","",A34)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4">
        <f>IF(A35="","",A35)</f>
        <v/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5">
        <f>IF(A36="","",A36)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4">
        <f>IF(A37="","",A37)</f>
        <v/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>
        <f>IF(A38="","",A38)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4">
        <f>IF(A39="","",A39)</f>
        <v/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>
        <f>IF(A40="","",A40)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4">
        <f>IF(A41="","",A41)</f>
        <v/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>
        <f>IF(A42="","",A42)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4">
        <f>IF(A43="","",A43)</f>
        <v/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>
        <f>IF(A44="","",A44)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4">
        <f>IF(A45="","",A45)</f>
        <v/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>
        <f>IF(A46="","",A46)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4">
        <f>IF(A47="","",A47)</f>
        <v/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>
        <f>IF(A48="","",A48)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4">
        <f>IF(A49="","",A49)</f>
        <v/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>
        <f>IF(A50="","",A50)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4">
        <f>IF(A51="","",A51)</f>
        <v/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>
        <f>IF(A52="","",A52)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4">
        <f>IF(A53="","",A53)</f>
        <v/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>
        <f>IF(A54="","",A54)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4">
        <f>IF(A55="","",A55)</f>
        <v/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>
        <f>IF(A56="","",A56)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4">
        <f>IF(A57="","",A57)</f>
        <v/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>
        <f>IF(A58="","",A58)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4">
        <f>IF(A59="","",A59)</f>
        <v/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5">
        <f>IF(A60="","",A60)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4">
        <f>IF(A61="","",A61)</f>
        <v/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>
        <f>IF(A62="","",A62)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4">
        <f>IF(A63="","",A63)</f>
        <v/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>
        <f>IF(A64="","",A64)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4">
        <f>IF(A65="","",A65)</f>
        <v/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>
        <f>IF(A66="","",A66)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4">
        <f>IF(A67="","",A67)</f>
        <v/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>
        <f>IF(A68="","",A68)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4">
        <f>IF(A69="","",A69)</f>
        <v/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>
        <f>IF(A70="","",A70)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4">
        <f>IF(A71="","",A71)</f>
        <v/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>
        <f>IF(A72="","",A72)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4">
        <f>IF(A73="","",A73)</f>
        <v/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>
        <f>IF(A74="","",A74)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4">
        <f>IF(A75="","",A75)</f>
        <v/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>
        <f>IF(A76="","",A76)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4">
        <f>IF(A77="","",A77)</f>
        <v/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>
        <f>IF(A78="","",A78)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4">
        <f>IF(A79="","",A79)</f>
        <v/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>
        <f>IF(A80="","",A80)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4">
        <f>IF(A81="","",A81)</f>
        <v/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5">
        <f>IF(A82="","",A82)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4">
        <f>IF(A83="","",A83)</f>
        <v/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>
        <f>IF(A84="","",A84)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4">
        <f>IF(A85="","",A85)</f>
        <v/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>
        <f>IF(A86="","",A86)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4">
        <f>IF(A87="","",A87)</f>
        <v/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5">
        <f>IF(A88="","",A88)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4">
        <f>IF(A89="","",A89)</f>
        <v/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5">
        <f>IF(A90="","",A90)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4">
        <f>IF(A91="","",A91)</f>
        <v/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>
        <f>IF(A92="","",A92)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4">
        <f>IF(A93="","",A93)</f>
        <v/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>
        <f>IF(A94="","",A94)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4">
        <f>IF(A95="","",A95)</f>
        <v/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>
        <f>IF(A96="","",A96)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4">
        <f>IF(A97="","",A97)</f>
        <v/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>
        <f>IF(A98="","",A98)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4">
        <f>IF(A99="","",A99)</f>
        <v/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>
        <f>IF(A100="","",A100)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4">
        <f>IF(A101="","",A101)</f>
        <v/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>
        <f>IF(A102="","",A102)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4">
        <f>IF(A103="","",A103)</f>
        <v/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>
        <f>IF(A104="","",A104)</f>
        <v/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4">
        <f>IF(A105="","",A105)</f>
        <v/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5">
        <f>IF(A106="","",A106)</f>
        <v/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4">
        <f>IF(A107="","",A107)</f>
        <v/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5">
        <f>IF(A108="","",A108)</f>
        <v/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4">
        <f>IF(A109="","",A109)</f>
        <v/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5">
        <f>IF(A110="","",A110)</f>
        <v/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4">
        <f>IF(A111="","",A111)</f>
        <v/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>
        <f>IF(A112="","",A112)</f>
        <v/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4">
        <f>IF(A113="","",A113)</f>
        <v/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5">
        <f>IF(A114="","",A114)</f>
        <v/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</sheetData>
  <mergeCells count="2">
    <mergeCell ref="A3:P3"/>
    <mergeCell ref="A2:P2"/>
  </mergeCells>
  <dataValidations count="3">
    <dataValidation sqref="E6:E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_Lists'!$K$6:$K$35</formula1>
    </dataValidation>
    <dataValidation sqref="G6:G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_Lists'!$K$6:$K$35</formula1>
    </dataValidation>
    <dataValidation sqref="I6:I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_Lists'!$K$6:$K$35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8" customWidth="1" min="6" max="6"/>
    <col width="16" customWidth="1" min="7" max="7"/>
    <col width="16" customWidth="1" min="8" max="8"/>
    <col width="18" customWidth="1" min="9" max="9"/>
    <col width="14" customWidth="1" min="10" max="10"/>
    <col width="14" customWidth="1" min="11" max="11"/>
    <col width="12" customWidth="1" min="12" max="12"/>
    <col width="28" customWidth="1" min="13" max="13"/>
    <col width="24" customWidth="1" min="14" max="14"/>
  </cols>
  <sheetData>
    <row r="2" ht="25" customHeight="1">
      <c r="A2" s="1" t="inlineStr">
        <is>
          <t>DOMAINE 28 — ÉVALUATIONS DU POTENTIEL</t>
        </is>
      </c>
    </row>
    <row r="3" ht="18" customHeight="1">
      <c r="A3" s="2" t="inlineStr">
        <is>
          <t>Évaluation du potentiel de progression et de la readiness des collaborateurs</t>
        </is>
      </c>
    </row>
    <row r="5">
      <c r="A5" s="3" t="inlineStr">
        <is>
          <t>Code Employé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Potentiel</t>
        </is>
      </c>
      <c r="E5" s="3" t="inlineStr">
        <is>
          <t>Performance</t>
        </is>
      </c>
      <c r="F5" s="3" t="inlineStr">
        <is>
          <t>Score Potentiel (/100)</t>
        </is>
      </c>
      <c r="G5" s="3" t="inlineStr">
        <is>
          <t>Score Perf. (/100)</t>
        </is>
      </c>
      <c r="H5" s="3" t="inlineStr">
        <is>
          <t>Score Combiné</t>
        </is>
      </c>
      <c r="I5" s="3" t="inlineStr">
        <is>
          <t>Catégorie 9-Box</t>
        </is>
      </c>
      <c r="J5" s="3" t="inlineStr">
        <is>
          <t>Évaluateur</t>
        </is>
      </c>
      <c r="K5" s="3" t="inlineStr">
        <is>
          <t>Date Évaluation</t>
        </is>
      </c>
      <c r="L5" s="3" t="inlineStr">
        <is>
          <t>Période</t>
        </is>
      </c>
      <c r="M5" s="3" t="inlineStr">
        <is>
          <t>Commentaire</t>
        </is>
      </c>
      <c r="N5" s="3" t="inlineStr">
        <is>
          <t>Action Recommandée</t>
        </is>
      </c>
    </row>
    <row r="6">
      <c r="A6" s="4" t="inlineStr">
        <is>
          <t>EMP-001</t>
        </is>
      </c>
      <c r="B6" s="4">
        <f>IFERROR(VLOOKUP(A6,'F01 - _Données Centrales'!A6:B20,2,FALSE),"")</f>
        <v/>
      </c>
      <c r="C6" s="4">
        <f>IFERROR(VLOOKUP(A6,'F01 - _Données Centrales'!A6:C20,3,FALSE),"")</f>
        <v/>
      </c>
      <c r="D6" s="4" t="inlineStr">
        <is>
          <t>Très élevé</t>
        </is>
      </c>
      <c r="E6" s="4" t="inlineStr">
        <is>
          <t>Excellent</t>
        </is>
      </c>
      <c r="F6" s="4" t="n">
        <v>95</v>
      </c>
      <c r="G6" s="4" t="n">
        <v>92</v>
      </c>
      <c r="H6" s="4">
        <f>IFERROR((F6+G6)/2,0)</f>
        <v/>
      </c>
      <c r="I6" s="4">
        <f>IF(OR(F6="",G6=""),"",IF(AND(F6&gt;=80,G6&gt;=80),"Étoile",IF(AND(F6&gt;=80,G6&lt;80),"Problème de perf.",IF(AND(F6&lt;80,G6&gt;=80),"Travailleur fiable","Sous-performeur"))))</f>
        <v/>
      </c>
      <c r="J6" s="4" t="inlineStr">
        <is>
          <t>DG</t>
        </is>
      </c>
      <c r="K6" s="4" t="inlineStr">
        <is>
          <t>2025-03-01</t>
        </is>
      </c>
      <c r="L6" s="4" t="inlineStr">
        <is>
          <t>Q1 2025</t>
        </is>
      </c>
      <c r="M6" s="4" t="inlineStr">
        <is>
          <t>Leader inspirant, vision claire</t>
        </is>
      </c>
      <c r="N6" s="4" t="inlineStr">
        <is>
          <t>Maintien position clé</t>
        </is>
      </c>
    </row>
    <row r="7">
      <c r="A7" s="5" t="inlineStr">
        <is>
          <t>EMP-002</t>
        </is>
      </c>
      <c r="B7" s="5">
        <f>IFERROR(VLOOKUP(A7,'F01 - _Données Centrales'!A6:B20,2,FALSE),"")</f>
        <v/>
      </c>
      <c r="C7" s="5">
        <f>IFERROR(VLOOKUP(A7,'F01 - _Données Centrales'!A6:C20,3,FALSE),"")</f>
        <v/>
      </c>
      <c r="D7" s="5" t="inlineStr">
        <is>
          <t>Élevé</t>
        </is>
      </c>
      <c r="E7" s="5" t="inlineStr">
        <is>
          <t>Excellent</t>
        </is>
      </c>
      <c r="F7" s="5" t="n">
        <v>88</v>
      </c>
      <c r="G7" s="5" t="n">
        <v>90</v>
      </c>
      <c r="H7" s="5">
        <f>IFERROR((F7+G7)/2,0)</f>
        <v/>
      </c>
      <c r="I7" s="5">
        <f>IF(OR(F7="",G7=""),"",IF(AND(F7&gt;=80,G7&gt;=80),"Étoile",IF(AND(F7&gt;=80,G7&lt;80),"Problème de perf.",IF(AND(F7&lt;80,G7&gt;=80),"Travailleur fiable","Sous-performeur"))))</f>
        <v/>
      </c>
      <c r="J7" s="5" t="inlineStr">
        <is>
          <t>DG</t>
        </is>
      </c>
      <c r="K7" s="5" t="inlineStr">
        <is>
          <t>2025-03-01</t>
        </is>
      </c>
      <c r="L7" s="5" t="inlineStr">
        <is>
          <t>Q1 2025</t>
        </is>
      </c>
      <c r="M7" s="5" t="inlineStr">
        <is>
          <t>Prête pour DG adjoint</t>
        </is>
      </c>
      <c r="N7" s="5" t="inlineStr">
        <is>
          <t>Accélérer plan succession</t>
        </is>
      </c>
    </row>
    <row r="8">
      <c r="A8" s="4" t="inlineStr">
        <is>
          <t>EMP-003</t>
        </is>
      </c>
      <c r="B8" s="4">
        <f>IFERROR(VLOOKUP(A8,'F01 - _Données Centrales'!A6:B20,2,FALSE),"")</f>
        <v/>
      </c>
      <c r="C8" s="4">
        <f>IFERROR(VLOOKUP(A8,'F01 - _Données Centrales'!A6:C20,3,FALSE),"")</f>
        <v/>
      </c>
      <c r="D8" s="4" t="inlineStr">
        <is>
          <t>Élevé</t>
        </is>
      </c>
      <c r="E8" s="4" t="inlineStr">
        <is>
          <t>Très bon</t>
        </is>
      </c>
      <c r="F8" s="4" t="n">
        <v>85</v>
      </c>
      <c r="G8" s="4" t="n">
        <v>82</v>
      </c>
      <c r="H8" s="4">
        <f>IFERROR((F8+G8)/2,0)</f>
        <v/>
      </c>
      <c r="I8" s="4">
        <f>IF(OR(F8="",G8=""),"",IF(AND(F8&gt;=80,G8&gt;=80),"Étoile",IF(AND(F8&gt;=80,G8&lt;80),"Problème de perf.",IF(AND(F8&lt;80,G8&gt;=80),"Travailleur fiable","Sous-performeur"))))</f>
        <v/>
      </c>
      <c r="J8" s="4" t="inlineStr">
        <is>
          <t>DG</t>
        </is>
      </c>
      <c r="K8" s="4" t="inlineStr">
        <is>
          <t>2025-03-15</t>
        </is>
      </c>
      <c r="L8" s="4" t="inlineStr">
        <is>
          <t>Q1 2025</t>
        </is>
      </c>
      <c r="M8" s="4" t="inlineStr">
        <is>
          <t>Solide techniquement</t>
        </is>
      </c>
      <c r="N8" s="4" t="inlineStr">
        <is>
          <t>Renforcer leadership</t>
        </is>
      </c>
    </row>
    <row r="9">
      <c r="A9" s="5" t="inlineStr">
        <is>
          <t>EMP-007</t>
        </is>
      </c>
      <c r="B9" s="5">
        <f>IFERROR(VLOOKUP(A9,'F01 - _Données Centrales'!A6:B20,2,FALSE),"")</f>
        <v/>
      </c>
      <c r="C9" s="5">
        <f>IFERROR(VLOOKUP(A9,'F01 - _Données Centrales'!A6:C20,3,FALSE),"")</f>
        <v/>
      </c>
      <c r="D9" s="5" t="inlineStr">
        <is>
          <t>Très élevé</t>
        </is>
      </c>
      <c r="E9" s="5" t="inlineStr">
        <is>
          <t>Excellent</t>
        </is>
      </c>
      <c r="F9" s="5" t="n">
        <v>92</v>
      </c>
      <c r="G9" s="5" t="n">
        <v>91</v>
      </c>
      <c r="H9" s="5">
        <f>IFERROR((F9+G9)/2,0)</f>
        <v/>
      </c>
      <c r="I9" s="5">
        <f>IF(OR(F9="",G9=""),"",IF(AND(F9&gt;=80,G9&gt;=80),"Étoile",IF(AND(F9&gt;=80,G9&lt;80),"Problème de perf.",IF(AND(F9&lt;80,G9&gt;=80),"Travailleur fiable","Sous-performeur"))))</f>
        <v/>
      </c>
      <c r="J9" s="5" t="inlineStr">
        <is>
          <t>DRH</t>
        </is>
      </c>
      <c r="K9" s="5" t="inlineStr">
        <is>
          <t>2025-02-20</t>
        </is>
      </c>
      <c r="L9" s="5" t="inlineStr">
        <is>
          <t>Q1 2025</t>
        </is>
      </c>
      <c r="M9" s="5" t="inlineStr">
        <is>
          <t>Étoile montante RH</t>
        </is>
      </c>
      <c r="N9" s="5" t="inlineStr">
        <is>
          <t>Programme haut potentiel</t>
        </is>
      </c>
    </row>
    <row r="10">
      <c r="A10" s="4" t="inlineStr">
        <is>
          <t>EMP-005</t>
        </is>
      </c>
      <c r="B10" s="4">
        <f>IFERROR(VLOOKUP(A10,'F01 - _Données Centrales'!A6:B20,2,FALSE),"")</f>
        <v/>
      </c>
      <c r="C10" s="4">
        <f>IFERROR(VLOOKUP(A10,'F01 - _Données Centrales'!A6:C20,3,FALSE),"")</f>
        <v/>
      </c>
      <c r="D10" s="4" t="inlineStr">
        <is>
          <t>Élevé</t>
        </is>
      </c>
      <c r="E10" s="4" t="inlineStr">
        <is>
          <t>Bon</t>
        </is>
      </c>
      <c r="F10" s="4" t="n">
        <v>82</v>
      </c>
      <c r="G10" s="4" t="n">
        <v>78</v>
      </c>
      <c r="H10" s="4">
        <f>IFERROR((F10+G10)/2,0)</f>
        <v/>
      </c>
      <c r="I10" s="4">
        <f>IF(OR(F10="",G10=""),"",IF(AND(F10&gt;=80,G10&gt;=80),"Étoile",IF(AND(F10&gt;=80,G10&lt;80),"Problème de perf.",IF(AND(F10&lt;80,G10&gt;=80),"Travailleur fiable","Sous-performeur"))))</f>
        <v/>
      </c>
      <c r="J10" s="4" t="inlineStr">
        <is>
          <t>DRH</t>
        </is>
      </c>
      <c r="K10" s="4" t="inlineStr">
        <is>
          <t>2025-03-01</t>
        </is>
      </c>
      <c r="L10" s="4" t="inlineStr">
        <is>
          <t>Q1 2025</t>
        </is>
      </c>
      <c r="M10" s="4" t="inlineStr">
        <is>
          <t>Bonne progression</t>
        </is>
      </c>
      <c r="N10" s="4" t="inlineStr">
        <is>
          <t>Formation management</t>
        </is>
      </c>
    </row>
    <row r="11">
      <c r="A11" s="5" t="n"/>
      <c r="B11" s="5">
        <f>IFERROR(VLOOKUP(A11,'F01 - _Données Centrales'!A6:B20,2,FALSE),"")</f>
        <v/>
      </c>
      <c r="C11" s="5">
        <f>IFERROR(VLOOKUP(A11,'F01 - _Données Centrales'!A6:C20,3,FALSE),"")</f>
        <v/>
      </c>
      <c r="D11" s="5" t="n"/>
      <c r="E11" s="5" t="n"/>
      <c r="F11" s="5" t="n"/>
      <c r="G11" s="5" t="n"/>
      <c r="H11" s="5">
        <f>IFERROR((F11+G11)/2,0)</f>
        <v/>
      </c>
      <c r="I11" s="5">
        <f>IF(OR(F11="",G11=""),"",IF(AND(F11&gt;=80,G11&gt;=80),"Étoile",IF(AND(F11&gt;=80,G11&lt;80),"Problème de perf.",IF(AND(F11&lt;80,G11&gt;=80),"Travailleur fiable","Sous-performeur"))))</f>
        <v/>
      </c>
      <c r="J11" s="5" t="n"/>
      <c r="K11" s="5" t="n"/>
      <c r="L11" s="5" t="n"/>
      <c r="M11" s="5" t="n"/>
      <c r="N11" s="5" t="n"/>
    </row>
    <row r="12">
      <c r="A12" s="4" t="n"/>
      <c r="B12" s="4">
        <f>IFERROR(VLOOKUP(A12,'F01 - _Données Centrales'!A6:B20,2,FALSE),"")</f>
        <v/>
      </c>
      <c r="C12" s="4">
        <f>IFERROR(VLOOKUP(A12,'F01 - _Données Centrales'!A6:C20,3,FALSE),"")</f>
        <v/>
      </c>
      <c r="D12" s="4" t="n"/>
      <c r="E12" s="4" t="n"/>
      <c r="F12" s="4" t="n"/>
      <c r="G12" s="4" t="n"/>
      <c r="H12" s="4">
        <f>IFERROR((F12+G12)/2,0)</f>
        <v/>
      </c>
      <c r="I12" s="4">
        <f>IF(OR(F12="",G12=""),"",IF(AND(F12&gt;=80,G12&gt;=80),"Étoile",IF(AND(F12&gt;=80,G12&lt;80),"Problème de perf.",IF(AND(F12&lt;80,G12&gt;=80),"Travailleur fiable","Sous-performeur"))))</f>
        <v/>
      </c>
      <c r="J12" s="4" t="n"/>
      <c r="K12" s="4" t="n"/>
      <c r="L12" s="4" t="n"/>
      <c r="M12" s="4" t="n"/>
      <c r="N12" s="4" t="n"/>
    </row>
    <row r="13">
      <c r="A13" s="5" t="n"/>
      <c r="B13" s="5">
        <f>IFERROR(VLOOKUP(A13,'F01 - _Données Centrales'!A6:B20,2,FALSE),"")</f>
        <v/>
      </c>
      <c r="C13" s="5">
        <f>IFERROR(VLOOKUP(A13,'F01 - _Données Centrales'!A6:C20,3,FALSE),"")</f>
        <v/>
      </c>
      <c r="D13" s="5" t="n"/>
      <c r="E13" s="5" t="n"/>
      <c r="F13" s="5" t="n"/>
      <c r="G13" s="5" t="n"/>
      <c r="H13" s="5">
        <f>IFERROR((F13+G13)/2,0)</f>
        <v/>
      </c>
      <c r="I13" s="5">
        <f>IF(OR(F13="",G13=""),"",IF(AND(F13&gt;=80,G13&gt;=80),"Étoile",IF(AND(F13&gt;=80,G13&lt;80),"Problème de perf.",IF(AND(F13&lt;80,G13&gt;=80),"Travailleur fiable","Sous-performeur"))))</f>
        <v/>
      </c>
      <c r="J13" s="5" t="n"/>
      <c r="K13" s="5" t="n"/>
      <c r="L13" s="5" t="n"/>
      <c r="M13" s="5" t="n"/>
      <c r="N13" s="5" t="n"/>
    </row>
    <row r="14">
      <c r="A14" s="4" t="n"/>
      <c r="B14" s="4">
        <f>IFERROR(VLOOKUP(A14,'F01 - _Données Centrales'!A6:B20,2,FALSE),"")</f>
        <v/>
      </c>
      <c r="C14" s="4">
        <f>IFERROR(VLOOKUP(A14,'F01 - _Données Centrales'!A6:C20,3,FALSE),"")</f>
        <v/>
      </c>
      <c r="D14" s="4" t="n"/>
      <c r="E14" s="4" t="n"/>
      <c r="F14" s="4" t="n"/>
      <c r="G14" s="4" t="n"/>
      <c r="H14" s="4">
        <f>IFERROR((F14+G14)/2,0)</f>
        <v/>
      </c>
      <c r="I14" s="4">
        <f>IF(OR(F14="",G14=""),"",IF(AND(F14&gt;=80,G14&gt;=80),"Étoile",IF(AND(F14&gt;=80,G14&lt;80),"Problème de perf.",IF(AND(F14&lt;80,G14&gt;=80),"Travailleur fiable","Sous-performeur"))))</f>
        <v/>
      </c>
      <c r="J14" s="4" t="n"/>
      <c r="K14" s="4" t="n"/>
      <c r="L14" s="4" t="n"/>
      <c r="M14" s="4" t="n"/>
      <c r="N14" s="4" t="n"/>
    </row>
    <row r="15">
      <c r="A15" s="5" t="n"/>
      <c r="B15" s="5">
        <f>IFERROR(VLOOKUP(A15,'F01 - _Données Centrales'!A6:B20,2,FALSE),"")</f>
        <v/>
      </c>
      <c r="C15" s="5">
        <f>IFERROR(VLOOKUP(A15,'F01 - _Données Centrales'!A6:C20,3,FALSE),"")</f>
        <v/>
      </c>
      <c r="D15" s="5" t="n"/>
      <c r="E15" s="5" t="n"/>
      <c r="F15" s="5" t="n"/>
      <c r="G15" s="5" t="n"/>
      <c r="H15" s="5">
        <f>IFERROR((F15+G15)/2,0)</f>
        <v/>
      </c>
      <c r="I15" s="5">
        <f>IF(OR(F15="",G15=""),"",IF(AND(F15&gt;=80,G15&gt;=80),"Étoile",IF(AND(F15&gt;=80,G15&lt;80),"Problème de perf.",IF(AND(F15&lt;80,G15&gt;=80),"Travailleur fiable","Sous-performeur"))))</f>
        <v/>
      </c>
      <c r="J15" s="5" t="n"/>
      <c r="K15" s="5" t="n"/>
      <c r="L15" s="5" t="n"/>
      <c r="M15" s="5" t="n"/>
      <c r="N15" s="5" t="n"/>
    </row>
    <row r="16">
      <c r="A16" s="4" t="n"/>
      <c r="B16" s="4">
        <f>IFERROR(VLOOKUP(A16,'F01 - _Données Centrales'!A6:B20,2,FALSE),"")</f>
        <v/>
      </c>
      <c r="C16" s="4">
        <f>IFERROR(VLOOKUP(A16,'F01 - _Données Centrales'!A6:C20,3,FALSE),"")</f>
        <v/>
      </c>
      <c r="D16" s="4" t="n"/>
      <c r="E16" s="4" t="n"/>
      <c r="F16" s="4" t="n"/>
      <c r="G16" s="4" t="n"/>
      <c r="H16" s="4">
        <f>IFERROR((F16+G16)/2,0)</f>
        <v/>
      </c>
      <c r="I16" s="4">
        <f>IF(OR(F16="",G16=""),"",IF(AND(F16&gt;=80,G16&gt;=80),"Étoile",IF(AND(F16&gt;=80,G16&lt;80),"Problème de perf.",IF(AND(F16&lt;80,G16&gt;=80),"Travailleur fiable","Sous-performeur"))))</f>
        <v/>
      </c>
      <c r="J16" s="4" t="n"/>
      <c r="K16" s="4" t="n"/>
      <c r="L16" s="4" t="n"/>
      <c r="M16" s="4" t="n"/>
      <c r="N16" s="4" t="n"/>
    </row>
    <row r="17">
      <c r="A17" s="5" t="n"/>
      <c r="B17" s="5">
        <f>IFERROR(VLOOKUP(A17,'F01 - _Données Centrales'!A6:B20,2,FALSE),"")</f>
        <v/>
      </c>
      <c r="C17" s="5">
        <f>IFERROR(VLOOKUP(A17,'F01 - _Données Centrales'!A6:C20,3,FALSE),"")</f>
        <v/>
      </c>
      <c r="D17" s="5" t="n"/>
      <c r="E17" s="5" t="n"/>
      <c r="F17" s="5" t="n"/>
      <c r="G17" s="5" t="n"/>
      <c r="H17" s="5">
        <f>IFERROR((F17+G17)/2,0)</f>
        <v/>
      </c>
      <c r="I17" s="5">
        <f>IF(OR(F17="",G17=""),"",IF(AND(F17&gt;=80,G17&gt;=80),"Étoile",IF(AND(F17&gt;=80,G17&lt;80),"Problème de perf.",IF(AND(F17&lt;80,G17&gt;=80),"Travailleur fiable","Sous-performeur"))))</f>
        <v/>
      </c>
      <c r="J17" s="5" t="n"/>
      <c r="K17" s="5" t="n"/>
      <c r="L17" s="5" t="n"/>
      <c r="M17" s="5" t="n"/>
      <c r="N17" s="5" t="n"/>
    </row>
    <row r="18">
      <c r="A18" s="4" t="n"/>
      <c r="B18" s="4">
        <f>IFERROR(VLOOKUP(A18,'F01 - _Données Centrales'!A6:B20,2,FALSE),"")</f>
        <v/>
      </c>
      <c r="C18" s="4">
        <f>IFERROR(VLOOKUP(A18,'F01 - _Données Centrales'!A6:C20,3,FALSE),"")</f>
        <v/>
      </c>
      <c r="D18" s="4" t="n"/>
      <c r="E18" s="4" t="n"/>
      <c r="F18" s="4" t="n"/>
      <c r="G18" s="4" t="n"/>
      <c r="H18" s="4">
        <f>IFERROR((F18+G18)/2,0)</f>
        <v/>
      </c>
      <c r="I18" s="4">
        <f>IF(OR(F18="",G18=""),"",IF(AND(F18&gt;=80,G18&gt;=80),"Étoile",IF(AND(F18&gt;=80,G18&lt;80),"Problème de perf.",IF(AND(F18&lt;80,G18&gt;=80),"Travailleur fiable","Sous-performeur"))))</f>
        <v/>
      </c>
      <c r="J18" s="4" t="n"/>
      <c r="K18" s="4" t="n"/>
      <c r="L18" s="4" t="n"/>
      <c r="M18" s="4" t="n"/>
      <c r="N18" s="4" t="n"/>
    </row>
    <row r="19">
      <c r="A19" s="5" t="n"/>
      <c r="B19" s="5">
        <f>IFERROR(VLOOKUP(A19,'F01 - _Données Centrales'!A6:B20,2,FALSE),"")</f>
        <v/>
      </c>
      <c r="C19" s="5">
        <f>IFERROR(VLOOKUP(A19,'F01 - _Données Centrales'!A6:C20,3,FALSE),"")</f>
        <v/>
      </c>
      <c r="D19" s="5" t="n"/>
      <c r="E19" s="5" t="n"/>
      <c r="F19" s="5" t="n"/>
      <c r="G19" s="5" t="n"/>
      <c r="H19" s="5">
        <f>IFERROR((F19+G19)/2,0)</f>
        <v/>
      </c>
      <c r="I19" s="5">
        <f>IF(OR(F19="",G19=""),"",IF(AND(F19&gt;=80,G19&gt;=80),"Étoile",IF(AND(F19&gt;=80,G19&lt;80),"Problème de perf.",IF(AND(F19&lt;80,G19&gt;=80),"Travailleur fiable","Sous-performeur"))))</f>
        <v/>
      </c>
      <c r="J19" s="5" t="n"/>
      <c r="K19" s="5" t="n"/>
      <c r="L19" s="5" t="n"/>
      <c r="M19" s="5" t="n"/>
      <c r="N19" s="5" t="n"/>
    </row>
    <row r="20">
      <c r="A20" s="4" t="n"/>
      <c r="B20" s="4">
        <f>IFERROR(VLOOKUP(A20,'F01 - _Données Centrales'!A6:B20,2,FALSE),"")</f>
        <v/>
      </c>
      <c r="C20" s="4">
        <f>IFERROR(VLOOKUP(A20,'F01 - _Données Centrales'!A6:C20,3,FALSE),"")</f>
        <v/>
      </c>
      <c r="D20" s="4" t="n"/>
      <c r="E20" s="4" t="n"/>
      <c r="F20" s="4" t="n"/>
      <c r="G20" s="4" t="n"/>
      <c r="H20" s="4">
        <f>IFERROR((F20+G20)/2,0)</f>
        <v/>
      </c>
      <c r="I20" s="4">
        <f>IF(OR(F20="",G20=""),"",IF(AND(F20&gt;=80,G20&gt;=80),"Étoile",IF(AND(F20&gt;=80,G20&lt;80),"Problème de perf.",IF(AND(F20&lt;80,G20&gt;=80),"Travailleur fiable","Sous-performeur"))))</f>
        <v/>
      </c>
      <c r="J20" s="4" t="n"/>
      <c r="K20" s="4" t="n"/>
      <c r="L20" s="4" t="n"/>
      <c r="M20" s="4" t="n"/>
      <c r="N20" s="4" t="n"/>
    </row>
    <row r="21">
      <c r="A21" s="5" t="n"/>
      <c r="B21" s="5">
        <f>IFERROR(VLOOKUP(A21,'F01 - _Données Centrales'!A6:B20,2,FALSE),"")</f>
        <v/>
      </c>
      <c r="C21" s="5">
        <f>IFERROR(VLOOKUP(A21,'F01 - _Données Centrales'!A6:C20,3,FALSE),"")</f>
        <v/>
      </c>
      <c r="D21" s="5" t="n"/>
      <c r="E21" s="5" t="n"/>
      <c r="F21" s="5" t="n"/>
      <c r="G21" s="5" t="n"/>
      <c r="H21" s="5">
        <f>IFERROR((F21+G21)/2,0)</f>
        <v/>
      </c>
      <c r="I21" s="5">
        <f>IF(OR(F21="",G21=""),"",IF(AND(F21&gt;=80,G21&gt;=80),"Étoile",IF(AND(F21&gt;=80,G21&lt;80),"Problème de perf.",IF(AND(F21&lt;80,G21&gt;=80),"Travailleur fiable","Sous-performeur"))))</f>
        <v/>
      </c>
      <c r="J21" s="5" t="n"/>
      <c r="K21" s="5" t="n"/>
      <c r="L21" s="5" t="n"/>
      <c r="M21" s="5" t="n"/>
      <c r="N21" s="5" t="n"/>
    </row>
    <row r="22">
      <c r="A22" s="4" t="n"/>
      <c r="B22" s="4">
        <f>IFERROR(VLOOKUP(A22,'F01 - _Données Centrales'!A6:B20,2,FALSE),"")</f>
        <v/>
      </c>
      <c r="C22" s="4">
        <f>IFERROR(VLOOKUP(A22,'F01 - _Données Centrales'!A6:C20,3,FALSE),"")</f>
        <v/>
      </c>
      <c r="D22" s="4" t="n"/>
      <c r="E22" s="4" t="n"/>
      <c r="F22" s="4" t="n"/>
      <c r="G22" s="4" t="n"/>
      <c r="H22" s="4">
        <f>IFERROR((F22+G22)/2,0)</f>
        <v/>
      </c>
      <c r="I22" s="4">
        <f>IF(OR(F22="",G22=""),"",IF(AND(F22&gt;=80,G22&gt;=80),"Étoile",IF(AND(F22&gt;=80,G22&lt;80),"Problème de perf.",IF(AND(F22&lt;80,G22&gt;=80),"Travailleur fiable","Sous-performeur"))))</f>
        <v/>
      </c>
      <c r="J22" s="4" t="n"/>
      <c r="K22" s="4" t="n"/>
      <c r="L22" s="4" t="n"/>
      <c r="M22" s="4" t="n"/>
      <c r="N22" s="4" t="n"/>
    </row>
    <row r="23">
      <c r="A23" s="5" t="n"/>
      <c r="B23" s="5">
        <f>IFERROR(VLOOKUP(A23,'F01 - _Données Centrales'!A6:B20,2,FALSE),"")</f>
        <v/>
      </c>
      <c r="C23" s="5">
        <f>IFERROR(VLOOKUP(A23,'F01 - _Données Centrales'!A6:C20,3,FALSE),"")</f>
        <v/>
      </c>
      <c r="D23" s="5" t="n"/>
      <c r="E23" s="5" t="n"/>
      <c r="F23" s="5" t="n"/>
      <c r="G23" s="5" t="n"/>
      <c r="H23" s="5">
        <f>IFERROR((F23+G23)/2,0)</f>
        <v/>
      </c>
      <c r="I23" s="5">
        <f>IF(OR(F23="",G23=""),"",IF(AND(F23&gt;=80,G23&gt;=80),"Étoile",IF(AND(F23&gt;=80,G23&lt;80),"Problème de perf.",IF(AND(F23&lt;80,G23&gt;=80),"Travailleur fiable","Sous-performeur"))))</f>
        <v/>
      </c>
      <c r="J23" s="5" t="n"/>
      <c r="K23" s="5" t="n"/>
      <c r="L23" s="5" t="n"/>
      <c r="M23" s="5" t="n"/>
      <c r="N23" s="5" t="n"/>
    </row>
    <row r="24">
      <c r="A24" s="4" t="n"/>
      <c r="B24" s="4">
        <f>IFERROR(VLOOKUP(A24,'F01 - _Données Centrales'!A6:B20,2,FALSE),"")</f>
        <v/>
      </c>
      <c r="C24" s="4">
        <f>IFERROR(VLOOKUP(A24,'F01 - _Données Centrales'!A6:C20,3,FALSE),"")</f>
        <v/>
      </c>
      <c r="D24" s="4" t="n"/>
      <c r="E24" s="4" t="n"/>
      <c r="F24" s="4" t="n"/>
      <c r="G24" s="4" t="n"/>
      <c r="H24" s="4">
        <f>IFERROR((F24+G24)/2,0)</f>
        <v/>
      </c>
      <c r="I24" s="4">
        <f>IF(OR(F24="",G24=""),"",IF(AND(F24&gt;=80,G24&gt;=80),"Étoile",IF(AND(F24&gt;=80,G24&lt;80),"Problème de perf.",IF(AND(F24&lt;80,G24&gt;=80),"Travailleur fiable","Sous-performeur"))))</f>
        <v/>
      </c>
      <c r="J24" s="4" t="n"/>
      <c r="K24" s="4" t="n"/>
      <c r="L24" s="4" t="n"/>
      <c r="M24" s="4" t="n"/>
      <c r="N24" s="4" t="n"/>
    </row>
    <row r="25">
      <c r="A25" s="5" t="n"/>
      <c r="B25" s="5">
        <f>IFERROR(VLOOKUP(A25,'F01 - _Données Centrales'!A6:B20,2,FALSE),"")</f>
        <v/>
      </c>
      <c r="C25" s="5">
        <f>IFERROR(VLOOKUP(A25,'F01 - _Données Centrales'!A6:C20,3,FALSE),"")</f>
        <v/>
      </c>
      <c r="D25" s="5" t="n"/>
      <c r="E25" s="5" t="n"/>
      <c r="F25" s="5" t="n"/>
      <c r="G25" s="5" t="n"/>
      <c r="H25" s="5">
        <f>IFERROR((F25+G25)/2,0)</f>
        <v/>
      </c>
      <c r="I25" s="5">
        <f>IF(OR(F25="",G25=""),"",IF(AND(F25&gt;=80,G25&gt;=80),"Étoile",IF(AND(F25&gt;=80,G25&lt;80),"Problème de perf.",IF(AND(F25&lt;80,G25&gt;=80),"Travailleur fiable","Sous-performeur"))))</f>
        <v/>
      </c>
      <c r="J25" s="5" t="n"/>
      <c r="K25" s="5" t="n"/>
      <c r="L25" s="5" t="n"/>
      <c r="M25" s="5" t="n"/>
      <c r="N25" s="5" t="n"/>
    </row>
    <row r="26">
      <c r="A26" s="4" t="n"/>
      <c r="B26" s="4">
        <f>IFERROR(VLOOKUP(A26,'F01 - _Données Centrales'!A6:B20,2,FALSE),"")</f>
        <v/>
      </c>
      <c r="C26" s="4">
        <f>IFERROR(VLOOKUP(A26,'F01 - _Données Centrales'!A6:C20,3,FALSE),"")</f>
        <v/>
      </c>
      <c r="D26" s="4" t="n"/>
      <c r="E26" s="4" t="n"/>
      <c r="F26" s="4" t="n"/>
      <c r="G26" s="4" t="n"/>
      <c r="H26" s="4">
        <f>IFERROR((F26+G26)/2,0)</f>
        <v/>
      </c>
      <c r="I26" s="4">
        <f>IF(OR(F26="",G26=""),"",IF(AND(F26&gt;=80,G26&gt;=80),"Étoile",IF(AND(F26&gt;=80,G26&lt;80),"Problème de perf.",IF(AND(F26&lt;80,G26&gt;=80),"Travailleur fiable","Sous-performeur"))))</f>
        <v/>
      </c>
      <c r="J26" s="4" t="n"/>
      <c r="K26" s="4" t="n"/>
      <c r="L26" s="4" t="n"/>
      <c r="M26" s="4" t="n"/>
      <c r="N26" s="4" t="n"/>
    </row>
    <row r="27">
      <c r="A27" s="5" t="n"/>
      <c r="B27" s="5">
        <f>IFERROR(VLOOKUP(A27,'F01 - _Données Centrales'!A6:B20,2,FALSE),"")</f>
        <v/>
      </c>
      <c r="C27" s="5">
        <f>IFERROR(VLOOKUP(A27,'F01 - _Données Centrales'!A6:C20,3,FALSE),"")</f>
        <v/>
      </c>
      <c r="D27" s="5" t="n"/>
      <c r="E27" s="5" t="n"/>
      <c r="F27" s="5" t="n"/>
      <c r="G27" s="5" t="n"/>
      <c r="H27" s="5">
        <f>IFERROR((F27+G27)/2,0)</f>
        <v/>
      </c>
      <c r="I27" s="5">
        <f>IF(OR(F27="",G27=""),"",IF(AND(F27&gt;=80,G27&gt;=80),"Étoile",IF(AND(F27&gt;=80,G27&lt;80),"Problème de perf.",IF(AND(F27&lt;80,G27&gt;=80),"Travailleur fiable","Sous-performeur"))))</f>
        <v/>
      </c>
      <c r="J27" s="5" t="n"/>
      <c r="K27" s="5" t="n"/>
      <c r="L27" s="5" t="n"/>
      <c r="M27" s="5" t="n"/>
      <c r="N27" s="5" t="n"/>
    </row>
    <row r="28">
      <c r="A28" s="4" t="n"/>
      <c r="B28" s="4">
        <f>IFERROR(VLOOKUP(A28,'F01 - _Données Centrales'!A6:B20,2,FALSE),"")</f>
        <v/>
      </c>
      <c r="C28" s="4">
        <f>IFERROR(VLOOKUP(A28,'F01 - _Données Centrales'!A6:C20,3,FALSE),"")</f>
        <v/>
      </c>
      <c r="D28" s="4" t="n"/>
      <c r="E28" s="4" t="n"/>
      <c r="F28" s="4" t="n"/>
      <c r="G28" s="4" t="n"/>
      <c r="H28" s="4">
        <f>IFERROR((F28+G28)/2,0)</f>
        <v/>
      </c>
      <c r="I28" s="4">
        <f>IF(OR(F28="",G28=""),"",IF(AND(F28&gt;=80,G28&gt;=80),"Étoile",IF(AND(F28&gt;=80,G28&lt;80),"Problème de perf.",IF(AND(F28&lt;80,G28&gt;=80),"Travailleur fiable","Sous-performeur"))))</f>
        <v/>
      </c>
      <c r="J28" s="4" t="n"/>
      <c r="K28" s="4" t="n"/>
      <c r="L28" s="4" t="n"/>
      <c r="M28" s="4" t="n"/>
      <c r="N28" s="4" t="n"/>
    </row>
    <row r="29">
      <c r="A29" s="5" t="n"/>
      <c r="B29" s="5">
        <f>IFERROR(VLOOKUP(A29,'F01 - _Données Centrales'!A6:B20,2,FALSE),"")</f>
        <v/>
      </c>
      <c r="C29" s="5">
        <f>IFERROR(VLOOKUP(A29,'F01 - _Données Centrales'!A6:C20,3,FALSE),"")</f>
        <v/>
      </c>
      <c r="D29" s="5" t="n"/>
      <c r="E29" s="5" t="n"/>
      <c r="F29" s="5" t="n"/>
      <c r="G29" s="5" t="n"/>
      <c r="H29" s="5">
        <f>IFERROR((F29+G29)/2,0)</f>
        <v/>
      </c>
      <c r="I29" s="5">
        <f>IF(OR(F29="",G29=""),"",IF(AND(F29&gt;=80,G29&gt;=80),"Étoile",IF(AND(F29&gt;=80,G29&lt;80),"Problème de perf.",IF(AND(F29&lt;80,G29&gt;=80),"Travailleur fiable","Sous-performeur"))))</f>
        <v/>
      </c>
      <c r="J29" s="5" t="n"/>
      <c r="K29" s="5" t="n"/>
      <c r="L29" s="5" t="n"/>
      <c r="M29" s="5" t="n"/>
      <c r="N29" s="5" t="n"/>
    </row>
    <row r="30">
      <c r="A30" s="4" t="n"/>
      <c r="B30" s="4">
        <f>IFERROR(VLOOKUP(A30,'F01 - _Données Centrales'!A6:B20,2,FALSE),"")</f>
        <v/>
      </c>
      <c r="C30" s="4">
        <f>IFERROR(VLOOKUP(A30,'F01 - _Données Centrales'!A6:C20,3,FALSE),"")</f>
        <v/>
      </c>
      <c r="D30" s="4" t="n"/>
      <c r="E30" s="4" t="n"/>
      <c r="F30" s="4" t="n"/>
      <c r="G30" s="4" t="n"/>
      <c r="H30" s="4">
        <f>IFERROR((F30+G30)/2,0)</f>
        <v/>
      </c>
      <c r="I30" s="4">
        <f>IF(OR(F30="",G30=""),"",IF(AND(F30&gt;=80,G30&gt;=80),"Étoile",IF(AND(F30&gt;=80,G30&lt;80),"Problème de perf.",IF(AND(F30&lt;80,G30&gt;=80),"Travailleur fiable","Sous-performeur"))))</f>
        <v/>
      </c>
      <c r="J30" s="4" t="n"/>
      <c r="K30" s="4" t="n"/>
      <c r="L30" s="4" t="n"/>
      <c r="M30" s="4" t="n"/>
      <c r="N30" s="4" t="n"/>
    </row>
    <row r="31">
      <c r="A31" s="5" t="n"/>
      <c r="B31" s="5">
        <f>IFERROR(VLOOKUP(A31,'F01 - _Données Centrales'!A6:B20,2,FALSE),"")</f>
        <v/>
      </c>
      <c r="C31" s="5">
        <f>IFERROR(VLOOKUP(A31,'F01 - _Données Centrales'!A6:C20,3,FALSE),"")</f>
        <v/>
      </c>
      <c r="D31" s="5" t="n"/>
      <c r="E31" s="5" t="n"/>
      <c r="F31" s="5" t="n"/>
      <c r="G31" s="5" t="n"/>
      <c r="H31" s="5">
        <f>IFERROR((F31+G31)/2,0)</f>
        <v/>
      </c>
      <c r="I31" s="5">
        <f>IF(OR(F31="",G31=""),"",IF(AND(F31&gt;=80,G31&gt;=80),"Étoile",IF(AND(F31&gt;=80,G31&lt;80),"Problème de perf.",IF(AND(F31&lt;80,G31&gt;=80),"Travailleur fiable","Sous-performeur"))))</f>
        <v/>
      </c>
      <c r="J31" s="5" t="n"/>
      <c r="K31" s="5" t="n"/>
      <c r="L31" s="5" t="n"/>
      <c r="M31" s="5" t="n"/>
      <c r="N31" s="5" t="n"/>
    </row>
    <row r="32">
      <c r="A32" s="4" t="n"/>
      <c r="B32" s="4">
        <f>IFERROR(VLOOKUP(A32,'F01 - _Données Centrales'!A6:B20,2,FALSE),"")</f>
        <v/>
      </c>
      <c r="C32" s="4">
        <f>IFERROR(VLOOKUP(A32,'F01 - _Données Centrales'!A6:C20,3,FALSE),"")</f>
        <v/>
      </c>
      <c r="D32" s="4" t="n"/>
      <c r="E32" s="4" t="n"/>
      <c r="F32" s="4" t="n"/>
      <c r="G32" s="4" t="n"/>
      <c r="H32" s="4">
        <f>IFERROR((F32+G32)/2,0)</f>
        <v/>
      </c>
      <c r="I32" s="4">
        <f>IF(OR(F32="",G32=""),"",IF(AND(F32&gt;=80,G32&gt;=80),"Étoile",IF(AND(F32&gt;=80,G32&lt;80),"Problème de perf.",IF(AND(F32&lt;80,G32&gt;=80),"Travailleur fiable","Sous-performeur"))))</f>
        <v/>
      </c>
      <c r="J32" s="4" t="n"/>
      <c r="K32" s="4" t="n"/>
      <c r="L32" s="4" t="n"/>
      <c r="M32" s="4" t="n"/>
      <c r="N32" s="4" t="n"/>
    </row>
    <row r="33">
      <c r="A33" s="5" t="n"/>
      <c r="B33" s="5">
        <f>IFERROR(VLOOKUP(A33,'F01 - _Données Centrales'!A6:B20,2,FALSE),"")</f>
        <v/>
      </c>
      <c r="C33" s="5">
        <f>IFERROR(VLOOKUP(A33,'F01 - _Données Centrales'!A6:C20,3,FALSE),"")</f>
        <v/>
      </c>
      <c r="D33" s="5" t="n"/>
      <c r="E33" s="5" t="n"/>
      <c r="F33" s="5" t="n"/>
      <c r="G33" s="5" t="n"/>
      <c r="H33" s="5">
        <f>IFERROR((F33+G33)/2,0)</f>
        <v/>
      </c>
      <c r="I33" s="5">
        <f>IF(OR(F33="",G33=""),"",IF(AND(F33&gt;=80,G33&gt;=80),"Étoile",IF(AND(F33&gt;=80,G33&lt;80),"Problème de perf.",IF(AND(F33&lt;80,G33&gt;=80),"Travailleur fiable","Sous-performeur"))))</f>
        <v/>
      </c>
      <c r="J33" s="5" t="n"/>
      <c r="K33" s="5" t="n"/>
      <c r="L33" s="5" t="n"/>
      <c r="M33" s="5" t="n"/>
      <c r="N33" s="5" t="n"/>
    </row>
    <row r="34">
      <c r="A34" s="4" t="n"/>
      <c r="B34" s="4">
        <f>IFERROR(VLOOKUP(A34,'F01 - _Données Centrales'!A6:B20,2,FALSE),"")</f>
        <v/>
      </c>
      <c r="C34" s="4">
        <f>IFERROR(VLOOKUP(A34,'F01 - _Données Centrales'!A6:C20,3,FALSE),"")</f>
        <v/>
      </c>
      <c r="D34" s="4" t="n"/>
      <c r="E34" s="4" t="n"/>
      <c r="F34" s="4" t="n"/>
      <c r="G34" s="4" t="n"/>
      <c r="H34" s="4">
        <f>IFERROR((F34+G34)/2,0)</f>
        <v/>
      </c>
      <c r="I34" s="4">
        <f>IF(OR(F34="",G34=""),"",IF(AND(F34&gt;=80,G34&gt;=80),"Étoile",IF(AND(F34&gt;=80,G34&lt;80),"Problème de perf.",IF(AND(F34&lt;80,G34&gt;=80),"Travailleur fiable","Sous-performeur"))))</f>
        <v/>
      </c>
      <c r="J34" s="4" t="n"/>
      <c r="K34" s="4" t="n"/>
      <c r="L34" s="4" t="n"/>
      <c r="M34" s="4" t="n"/>
      <c r="N34" s="4" t="n"/>
    </row>
    <row r="35">
      <c r="A35" s="5" t="n"/>
      <c r="B35" s="5">
        <f>IFERROR(VLOOKUP(A35,'F01 - _Données Centrales'!A6:B20,2,FALSE),"")</f>
        <v/>
      </c>
      <c r="C35" s="5">
        <f>IFERROR(VLOOKUP(A35,'F01 - _Données Centrales'!A6:C20,3,FALSE),"")</f>
        <v/>
      </c>
      <c r="D35" s="5" t="n"/>
      <c r="E35" s="5" t="n"/>
      <c r="F35" s="5" t="n"/>
      <c r="G35" s="5" t="n"/>
      <c r="H35" s="5">
        <f>IFERROR((F35+G35)/2,0)</f>
        <v/>
      </c>
      <c r="I35" s="5">
        <f>IF(OR(F35="",G35=""),"",IF(AND(F35&gt;=80,G35&gt;=80),"Étoile",IF(AND(F35&gt;=80,G35&lt;80),"Problème de perf.",IF(AND(F35&lt;80,G35&gt;=80),"Travailleur fiable","Sous-performeur"))))</f>
        <v/>
      </c>
      <c r="J35" s="5" t="n"/>
      <c r="K35" s="5" t="n"/>
      <c r="L35" s="5" t="n"/>
      <c r="M35" s="5" t="n"/>
      <c r="N35" s="5" t="n"/>
    </row>
    <row r="36">
      <c r="A36" s="4" t="n"/>
      <c r="B36" s="4">
        <f>IFERROR(VLOOKUP(A36,'F01 - _Données Centrales'!A6:B20,2,FALSE),"")</f>
        <v/>
      </c>
      <c r="C36" s="4">
        <f>IFERROR(VLOOKUP(A36,'F01 - _Données Centrales'!A6:C20,3,FALSE),"")</f>
        <v/>
      </c>
      <c r="D36" s="4" t="n"/>
      <c r="E36" s="4" t="n"/>
      <c r="F36" s="4" t="n"/>
      <c r="G36" s="4" t="n"/>
      <c r="H36" s="4">
        <f>IFERROR((F36+G36)/2,0)</f>
        <v/>
      </c>
      <c r="I36" s="4">
        <f>IF(OR(F36="",G36=""),"",IF(AND(F36&gt;=80,G36&gt;=80),"Étoile",IF(AND(F36&gt;=80,G36&lt;80),"Problème de perf.",IF(AND(F36&lt;80,G36&gt;=80),"Travailleur fiable","Sous-performeur"))))</f>
        <v/>
      </c>
      <c r="J36" s="4" t="n"/>
      <c r="K36" s="4" t="n"/>
      <c r="L36" s="4" t="n"/>
      <c r="M36" s="4" t="n"/>
      <c r="N36" s="4" t="n"/>
    </row>
    <row r="37">
      <c r="A37" s="5" t="n"/>
      <c r="B37" s="5">
        <f>IFERROR(VLOOKUP(A37,'F01 - _Données Centrales'!A6:B20,2,FALSE),"")</f>
        <v/>
      </c>
      <c r="C37" s="5">
        <f>IFERROR(VLOOKUP(A37,'F01 - _Données Centrales'!A6:C20,3,FALSE),"")</f>
        <v/>
      </c>
      <c r="D37" s="5" t="n"/>
      <c r="E37" s="5" t="n"/>
      <c r="F37" s="5" t="n"/>
      <c r="G37" s="5" t="n"/>
      <c r="H37" s="5">
        <f>IFERROR((F37+G37)/2,0)</f>
        <v/>
      </c>
      <c r="I37" s="5">
        <f>IF(OR(F37="",G37=""),"",IF(AND(F37&gt;=80,G37&gt;=80),"Étoile",IF(AND(F37&gt;=80,G37&lt;80),"Problème de perf.",IF(AND(F37&lt;80,G37&gt;=80),"Travailleur fiable","Sous-performeur"))))</f>
        <v/>
      </c>
      <c r="J37" s="5" t="n"/>
      <c r="K37" s="5" t="n"/>
      <c r="L37" s="5" t="n"/>
      <c r="M37" s="5" t="n"/>
      <c r="N37" s="5" t="n"/>
    </row>
    <row r="38">
      <c r="A38" s="4" t="n"/>
      <c r="B38" s="4">
        <f>IFERROR(VLOOKUP(A38,'F01 - _Données Centrales'!A6:B20,2,FALSE),"")</f>
        <v/>
      </c>
      <c r="C38" s="4">
        <f>IFERROR(VLOOKUP(A38,'F01 - _Données Centrales'!A6:C20,3,FALSE),"")</f>
        <v/>
      </c>
      <c r="D38" s="4" t="n"/>
      <c r="E38" s="4" t="n"/>
      <c r="F38" s="4" t="n"/>
      <c r="G38" s="4" t="n"/>
      <c r="H38" s="4">
        <f>IFERROR((F38+G38)/2,0)</f>
        <v/>
      </c>
      <c r="I38" s="4">
        <f>IF(OR(F38="",G38=""),"",IF(AND(F38&gt;=80,G38&gt;=80),"Étoile",IF(AND(F38&gt;=80,G38&lt;80),"Problème de perf.",IF(AND(F38&lt;80,G38&gt;=80),"Travailleur fiable","Sous-performeur"))))</f>
        <v/>
      </c>
      <c r="J38" s="4" t="n"/>
      <c r="K38" s="4" t="n"/>
      <c r="L38" s="4" t="n"/>
      <c r="M38" s="4" t="n"/>
      <c r="N38" s="4" t="n"/>
    </row>
    <row r="39">
      <c r="A39" s="5" t="n"/>
      <c r="B39" s="5">
        <f>IFERROR(VLOOKUP(A39,'F01 - _Données Centrales'!A6:B20,2,FALSE),"")</f>
        <v/>
      </c>
      <c r="C39" s="5">
        <f>IFERROR(VLOOKUP(A39,'F01 - _Données Centrales'!A6:C20,3,FALSE),"")</f>
        <v/>
      </c>
      <c r="D39" s="5" t="n"/>
      <c r="E39" s="5" t="n"/>
      <c r="F39" s="5" t="n"/>
      <c r="G39" s="5" t="n"/>
      <c r="H39" s="5">
        <f>IFERROR((F39+G39)/2,0)</f>
        <v/>
      </c>
      <c r="I39" s="5">
        <f>IF(OR(F39="",G39=""),"",IF(AND(F39&gt;=80,G39&gt;=80),"Étoile",IF(AND(F39&gt;=80,G39&lt;80),"Problème de perf.",IF(AND(F39&lt;80,G39&gt;=80),"Travailleur fiable","Sous-performeur"))))</f>
        <v/>
      </c>
      <c r="J39" s="5" t="n"/>
      <c r="K39" s="5" t="n"/>
      <c r="L39" s="5" t="n"/>
      <c r="M39" s="5" t="n"/>
      <c r="N39" s="5" t="n"/>
    </row>
    <row r="40">
      <c r="A40" s="4" t="n"/>
      <c r="B40" s="4">
        <f>IFERROR(VLOOKUP(A40,'F01 - _Données Centrales'!A6:B20,2,FALSE),"")</f>
        <v/>
      </c>
      <c r="C40" s="4">
        <f>IFERROR(VLOOKUP(A40,'F01 - _Données Centrales'!A6:C20,3,FALSE),"")</f>
        <v/>
      </c>
      <c r="D40" s="4" t="n"/>
      <c r="E40" s="4" t="n"/>
      <c r="F40" s="4" t="n"/>
      <c r="G40" s="4" t="n"/>
      <c r="H40" s="4">
        <f>IFERROR((F40+G40)/2,0)</f>
        <v/>
      </c>
      <c r="I40" s="4">
        <f>IF(OR(F40="",G40=""),"",IF(AND(F40&gt;=80,G40&gt;=80),"Étoile",IF(AND(F40&gt;=80,G40&lt;80),"Problème de perf.",IF(AND(F40&lt;80,G40&gt;=80),"Travailleur fiable","Sous-performeur"))))</f>
        <v/>
      </c>
      <c r="J40" s="4" t="n"/>
      <c r="K40" s="4" t="n"/>
      <c r="L40" s="4" t="n"/>
      <c r="M40" s="4" t="n"/>
      <c r="N40" s="4" t="n"/>
    </row>
    <row r="41">
      <c r="A41" s="5" t="n"/>
      <c r="B41" s="5">
        <f>IFERROR(VLOOKUP(A41,'F01 - _Données Centrales'!A6:B20,2,FALSE),"")</f>
        <v/>
      </c>
      <c r="C41" s="5">
        <f>IFERROR(VLOOKUP(A41,'F01 - _Données Centrales'!A6:C20,3,FALSE),"")</f>
        <v/>
      </c>
      <c r="D41" s="5" t="n"/>
      <c r="E41" s="5" t="n"/>
      <c r="F41" s="5" t="n"/>
      <c r="G41" s="5" t="n"/>
      <c r="H41" s="5">
        <f>IFERROR((F41+G41)/2,0)</f>
        <v/>
      </c>
      <c r="I41" s="5">
        <f>IF(OR(F41="",G41=""),"",IF(AND(F41&gt;=80,G41&gt;=80),"Étoile",IF(AND(F41&gt;=80,G41&lt;80),"Problème de perf.",IF(AND(F41&lt;80,G41&gt;=80),"Travailleur fiable","Sous-performeur"))))</f>
        <v/>
      </c>
      <c r="J41" s="5" t="n"/>
      <c r="K41" s="5" t="n"/>
      <c r="L41" s="5" t="n"/>
      <c r="M41" s="5" t="n"/>
      <c r="N41" s="5" t="n"/>
    </row>
    <row r="42">
      <c r="A42" s="4" t="n"/>
      <c r="B42" s="4">
        <f>IFERROR(VLOOKUP(A42,'F01 - _Données Centrales'!A6:B20,2,FALSE),"")</f>
        <v/>
      </c>
      <c r="C42" s="4">
        <f>IFERROR(VLOOKUP(A42,'F01 - _Données Centrales'!A6:C20,3,FALSE),"")</f>
        <v/>
      </c>
      <c r="D42" s="4" t="n"/>
      <c r="E42" s="4" t="n"/>
      <c r="F42" s="4" t="n"/>
      <c r="G42" s="4" t="n"/>
      <c r="H42" s="4">
        <f>IFERROR((F42+G42)/2,0)</f>
        <v/>
      </c>
      <c r="I42" s="4">
        <f>IF(OR(F42="",G42=""),"",IF(AND(F42&gt;=80,G42&gt;=80),"Étoile",IF(AND(F42&gt;=80,G42&lt;80),"Problème de perf.",IF(AND(F42&lt;80,G42&gt;=80),"Travailleur fiable","Sous-performeur"))))</f>
        <v/>
      </c>
      <c r="J42" s="4" t="n"/>
      <c r="K42" s="4" t="n"/>
      <c r="L42" s="4" t="n"/>
      <c r="M42" s="4" t="n"/>
      <c r="N42" s="4" t="n"/>
    </row>
    <row r="43">
      <c r="A43" s="5" t="n"/>
      <c r="B43" s="5">
        <f>IFERROR(VLOOKUP(A43,'F01 - _Données Centrales'!A6:B20,2,FALSE),"")</f>
        <v/>
      </c>
      <c r="C43" s="5">
        <f>IFERROR(VLOOKUP(A43,'F01 - _Données Centrales'!A6:C20,3,FALSE),"")</f>
        <v/>
      </c>
      <c r="D43" s="5" t="n"/>
      <c r="E43" s="5" t="n"/>
      <c r="F43" s="5" t="n"/>
      <c r="G43" s="5" t="n"/>
      <c r="H43" s="5">
        <f>IFERROR((F43+G43)/2,0)</f>
        <v/>
      </c>
      <c r="I43" s="5">
        <f>IF(OR(F43="",G43=""),"",IF(AND(F43&gt;=80,G43&gt;=80),"Étoile",IF(AND(F43&gt;=80,G43&lt;80),"Problème de perf.",IF(AND(F43&lt;80,G43&gt;=80),"Travailleur fiable","Sous-performeur"))))</f>
        <v/>
      </c>
      <c r="J43" s="5" t="n"/>
      <c r="K43" s="5" t="n"/>
      <c r="L43" s="5" t="n"/>
      <c r="M43" s="5" t="n"/>
      <c r="N43" s="5" t="n"/>
    </row>
    <row r="44">
      <c r="A44" s="4" t="n"/>
      <c r="B44" s="4">
        <f>IFERROR(VLOOKUP(A44,'F01 - _Données Centrales'!A6:B20,2,FALSE),"")</f>
        <v/>
      </c>
      <c r="C44" s="4">
        <f>IFERROR(VLOOKUP(A44,'F01 - _Données Centrales'!A6:C20,3,FALSE),"")</f>
        <v/>
      </c>
      <c r="D44" s="4" t="n"/>
      <c r="E44" s="4" t="n"/>
      <c r="F44" s="4" t="n"/>
      <c r="G44" s="4" t="n"/>
      <c r="H44" s="4">
        <f>IFERROR((F44+G44)/2,0)</f>
        <v/>
      </c>
      <c r="I44" s="4">
        <f>IF(OR(F44="",G44=""),"",IF(AND(F44&gt;=80,G44&gt;=80),"Étoile",IF(AND(F44&gt;=80,G44&lt;80),"Problème de perf.",IF(AND(F44&lt;80,G44&gt;=80),"Travailleur fiable","Sous-performeur"))))</f>
        <v/>
      </c>
      <c r="J44" s="4" t="n"/>
      <c r="K44" s="4" t="n"/>
      <c r="L44" s="4" t="n"/>
      <c r="M44" s="4" t="n"/>
      <c r="N44" s="4" t="n"/>
    </row>
    <row r="45">
      <c r="A45" s="5" t="n"/>
      <c r="B45" s="5">
        <f>IFERROR(VLOOKUP(A45,'F01 - _Données Centrales'!A6:B20,2,FALSE),"")</f>
        <v/>
      </c>
      <c r="C45" s="5">
        <f>IFERROR(VLOOKUP(A45,'F01 - _Données Centrales'!A6:C20,3,FALSE),"")</f>
        <v/>
      </c>
      <c r="D45" s="5" t="n"/>
      <c r="E45" s="5" t="n"/>
      <c r="F45" s="5" t="n"/>
      <c r="G45" s="5" t="n"/>
      <c r="H45" s="5">
        <f>IFERROR((F45+G45)/2,0)</f>
        <v/>
      </c>
      <c r="I45" s="5">
        <f>IF(OR(F45="",G45=""),"",IF(AND(F45&gt;=80,G45&gt;=80),"Étoile",IF(AND(F45&gt;=80,G45&lt;80),"Problème de perf.",IF(AND(F45&lt;80,G45&gt;=80),"Travailleur fiable","Sous-performeur"))))</f>
        <v/>
      </c>
      <c r="J45" s="5" t="n"/>
      <c r="K45" s="5" t="n"/>
      <c r="L45" s="5" t="n"/>
      <c r="M45" s="5" t="n"/>
      <c r="N45" s="5" t="n"/>
    </row>
    <row r="46">
      <c r="A46" s="4" t="n"/>
      <c r="B46" s="4">
        <f>IFERROR(VLOOKUP(A46,'F01 - _Données Centrales'!A6:B20,2,FALSE),"")</f>
        <v/>
      </c>
      <c r="C46" s="4">
        <f>IFERROR(VLOOKUP(A46,'F01 - _Données Centrales'!A6:C20,3,FALSE),"")</f>
        <v/>
      </c>
      <c r="D46" s="4" t="n"/>
      <c r="E46" s="4" t="n"/>
      <c r="F46" s="4" t="n"/>
      <c r="G46" s="4" t="n"/>
      <c r="H46" s="4">
        <f>IFERROR((F46+G46)/2,0)</f>
        <v/>
      </c>
      <c r="I46" s="4">
        <f>IF(OR(F46="",G46=""),"",IF(AND(F46&gt;=80,G46&gt;=80),"Étoile",IF(AND(F46&gt;=80,G46&lt;80),"Problème de perf.",IF(AND(F46&lt;80,G46&gt;=80),"Travailleur fiable","Sous-performeur"))))</f>
        <v/>
      </c>
      <c r="J46" s="4" t="n"/>
      <c r="K46" s="4" t="n"/>
      <c r="L46" s="4" t="n"/>
      <c r="M46" s="4" t="n"/>
      <c r="N46" s="4" t="n"/>
    </row>
    <row r="47">
      <c r="A47" s="5" t="n"/>
      <c r="B47" s="5">
        <f>IFERROR(VLOOKUP(A47,'F01 - _Données Centrales'!A6:B20,2,FALSE),"")</f>
        <v/>
      </c>
      <c r="C47" s="5">
        <f>IFERROR(VLOOKUP(A47,'F01 - _Données Centrales'!A6:C20,3,FALSE),"")</f>
        <v/>
      </c>
      <c r="D47" s="5" t="n"/>
      <c r="E47" s="5" t="n"/>
      <c r="F47" s="5" t="n"/>
      <c r="G47" s="5" t="n"/>
      <c r="H47" s="5">
        <f>IFERROR((F47+G47)/2,0)</f>
        <v/>
      </c>
      <c r="I47" s="5">
        <f>IF(OR(F47="",G47=""),"",IF(AND(F47&gt;=80,G47&gt;=80),"Étoile",IF(AND(F47&gt;=80,G47&lt;80),"Problème de perf.",IF(AND(F47&lt;80,G47&gt;=80),"Travailleur fiable","Sous-performeur"))))</f>
        <v/>
      </c>
      <c r="J47" s="5" t="n"/>
      <c r="K47" s="5" t="n"/>
      <c r="L47" s="5" t="n"/>
      <c r="M47" s="5" t="n"/>
      <c r="N47" s="5" t="n"/>
    </row>
    <row r="48">
      <c r="A48" s="4" t="n"/>
      <c r="B48" s="4">
        <f>IFERROR(VLOOKUP(A48,'F01 - _Données Centrales'!A6:B20,2,FALSE),"")</f>
        <v/>
      </c>
      <c r="C48" s="4">
        <f>IFERROR(VLOOKUP(A48,'F01 - _Données Centrales'!A6:C20,3,FALSE),"")</f>
        <v/>
      </c>
      <c r="D48" s="4" t="n"/>
      <c r="E48" s="4" t="n"/>
      <c r="F48" s="4" t="n"/>
      <c r="G48" s="4" t="n"/>
      <c r="H48" s="4">
        <f>IFERROR((F48+G48)/2,0)</f>
        <v/>
      </c>
      <c r="I48" s="4">
        <f>IF(OR(F48="",G48=""),"",IF(AND(F48&gt;=80,G48&gt;=80),"Étoile",IF(AND(F48&gt;=80,G48&lt;80),"Problème de perf.",IF(AND(F48&lt;80,G48&gt;=80),"Travailleur fiable","Sous-performeur"))))</f>
        <v/>
      </c>
      <c r="J48" s="4" t="n"/>
      <c r="K48" s="4" t="n"/>
      <c r="L48" s="4" t="n"/>
      <c r="M48" s="4" t="n"/>
      <c r="N48" s="4" t="n"/>
    </row>
    <row r="49">
      <c r="A49" s="5" t="n"/>
      <c r="B49" s="5">
        <f>IFERROR(VLOOKUP(A49,'F01 - _Données Centrales'!A6:B20,2,FALSE),"")</f>
        <v/>
      </c>
      <c r="C49" s="5">
        <f>IFERROR(VLOOKUP(A49,'F01 - _Données Centrales'!A6:C20,3,FALSE),"")</f>
        <v/>
      </c>
      <c r="D49" s="5" t="n"/>
      <c r="E49" s="5" t="n"/>
      <c r="F49" s="5" t="n"/>
      <c r="G49" s="5" t="n"/>
      <c r="H49" s="5">
        <f>IFERROR((F49+G49)/2,0)</f>
        <v/>
      </c>
      <c r="I49" s="5">
        <f>IF(OR(F49="",G49=""),"",IF(AND(F49&gt;=80,G49&gt;=80),"Étoile",IF(AND(F49&gt;=80,G49&lt;80),"Problème de perf.",IF(AND(F49&lt;80,G49&gt;=80),"Travailleur fiable","Sous-performeur"))))</f>
        <v/>
      </c>
      <c r="J49" s="5" t="n"/>
      <c r="K49" s="5" t="n"/>
      <c r="L49" s="5" t="n"/>
      <c r="M49" s="5" t="n"/>
      <c r="N49" s="5" t="n"/>
    </row>
    <row r="50">
      <c r="A50" s="4" t="n"/>
      <c r="B50" s="4">
        <f>IFERROR(VLOOKUP(A50,'F01 - _Données Centrales'!A6:B20,2,FALSE),"")</f>
        <v/>
      </c>
      <c r="C50" s="4">
        <f>IFERROR(VLOOKUP(A50,'F01 - _Données Centrales'!A6:C20,3,FALSE),"")</f>
        <v/>
      </c>
      <c r="D50" s="4" t="n"/>
      <c r="E50" s="4" t="n"/>
      <c r="F50" s="4" t="n"/>
      <c r="G50" s="4" t="n"/>
      <c r="H50" s="4">
        <f>IFERROR((F50+G50)/2,0)</f>
        <v/>
      </c>
      <c r="I50" s="4">
        <f>IF(OR(F50="",G50=""),"",IF(AND(F50&gt;=80,G50&gt;=80),"Étoile",IF(AND(F50&gt;=80,G50&lt;80),"Problème de perf.",IF(AND(F50&lt;80,G50&gt;=80),"Travailleur fiable","Sous-performeur"))))</f>
        <v/>
      </c>
      <c r="J50" s="4" t="n"/>
      <c r="K50" s="4" t="n"/>
      <c r="L50" s="4" t="n"/>
      <c r="M50" s="4" t="n"/>
      <c r="N50" s="4" t="n"/>
    </row>
    <row r="51">
      <c r="A51" s="5" t="n"/>
      <c r="B51" s="5">
        <f>IFERROR(VLOOKUP(A51,'F01 - _Données Centrales'!A6:B20,2,FALSE),"")</f>
        <v/>
      </c>
      <c r="C51" s="5">
        <f>IFERROR(VLOOKUP(A51,'F01 - _Données Centrales'!A6:C20,3,FALSE),"")</f>
        <v/>
      </c>
      <c r="D51" s="5" t="n"/>
      <c r="E51" s="5" t="n"/>
      <c r="F51" s="5" t="n"/>
      <c r="G51" s="5" t="n"/>
      <c r="H51" s="5">
        <f>IFERROR((F51+G51)/2,0)</f>
        <v/>
      </c>
      <c r="I51" s="5">
        <f>IF(OR(F51="",G51=""),"",IF(AND(F51&gt;=80,G51&gt;=80),"Étoile",IF(AND(F51&gt;=80,G51&lt;80),"Problème de perf.",IF(AND(F51&lt;80,G51&gt;=80),"Travailleur fiable","Sous-performeur"))))</f>
        <v/>
      </c>
      <c r="J51" s="5" t="n"/>
      <c r="K51" s="5" t="n"/>
      <c r="L51" s="5" t="n"/>
      <c r="M51" s="5" t="n"/>
      <c r="N51" s="5" t="n"/>
    </row>
    <row r="52">
      <c r="A52" s="4" t="n"/>
      <c r="B52" s="4">
        <f>IFERROR(VLOOKUP(A52,'F01 - _Données Centrales'!A6:B20,2,FALSE),"")</f>
        <v/>
      </c>
      <c r="C52" s="4">
        <f>IFERROR(VLOOKUP(A52,'F01 - _Données Centrales'!A6:C20,3,FALSE),"")</f>
        <v/>
      </c>
      <c r="D52" s="4" t="n"/>
      <c r="E52" s="4" t="n"/>
      <c r="F52" s="4" t="n"/>
      <c r="G52" s="4" t="n"/>
      <c r="H52" s="4">
        <f>IFERROR((F52+G52)/2,0)</f>
        <v/>
      </c>
      <c r="I52" s="4">
        <f>IF(OR(F52="",G52=""),"",IF(AND(F52&gt;=80,G52&gt;=80),"Étoile",IF(AND(F52&gt;=80,G52&lt;80),"Problème de perf.",IF(AND(F52&lt;80,G52&gt;=80),"Travailleur fiable","Sous-performeur"))))</f>
        <v/>
      </c>
      <c r="J52" s="4" t="n"/>
      <c r="K52" s="4" t="n"/>
      <c r="L52" s="4" t="n"/>
      <c r="M52" s="4" t="n"/>
      <c r="N52" s="4" t="n"/>
    </row>
    <row r="53">
      <c r="A53" s="5" t="n"/>
      <c r="B53" s="5">
        <f>IFERROR(VLOOKUP(A53,'F01 - _Données Centrales'!A6:B20,2,FALSE),"")</f>
        <v/>
      </c>
      <c r="C53" s="5">
        <f>IFERROR(VLOOKUP(A53,'F01 - _Données Centrales'!A6:C20,3,FALSE),"")</f>
        <v/>
      </c>
      <c r="D53" s="5" t="n"/>
      <c r="E53" s="5" t="n"/>
      <c r="F53" s="5" t="n"/>
      <c r="G53" s="5" t="n"/>
      <c r="H53" s="5">
        <f>IFERROR((F53+G53)/2,0)</f>
        <v/>
      </c>
      <c r="I53" s="5">
        <f>IF(OR(F53="",G53=""),"",IF(AND(F53&gt;=80,G53&gt;=80),"Étoile",IF(AND(F53&gt;=80,G53&lt;80),"Problème de perf.",IF(AND(F53&lt;80,G53&gt;=80),"Travailleur fiable","Sous-performeur"))))</f>
        <v/>
      </c>
      <c r="J53" s="5" t="n"/>
      <c r="K53" s="5" t="n"/>
      <c r="L53" s="5" t="n"/>
      <c r="M53" s="5" t="n"/>
      <c r="N53" s="5" t="n"/>
    </row>
    <row r="54">
      <c r="A54" s="4" t="n"/>
      <c r="B54" s="4">
        <f>IFERROR(VLOOKUP(A54,'F01 - _Données Centrales'!A6:B20,2,FALSE),"")</f>
        <v/>
      </c>
      <c r="C54" s="4">
        <f>IFERROR(VLOOKUP(A54,'F01 - _Données Centrales'!A6:C20,3,FALSE),"")</f>
        <v/>
      </c>
      <c r="D54" s="4" t="n"/>
      <c r="E54" s="4" t="n"/>
      <c r="F54" s="4" t="n"/>
      <c r="G54" s="4" t="n"/>
      <c r="H54" s="4">
        <f>IFERROR((F54+G54)/2,0)</f>
        <v/>
      </c>
      <c r="I54" s="4">
        <f>IF(OR(F54="",G54=""),"",IF(AND(F54&gt;=80,G54&gt;=80),"Étoile",IF(AND(F54&gt;=80,G54&lt;80),"Problème de perf.",IF(AND(F54&lt;80,G54&gt;=80),"Travailleur fiable","Sous-performeur"))))</f>
        <v/>
      </c>
      <c r="J54" s="4" t="n"/>
      <c r="K54" s="4" t="n"/>
      <c r="L54" s="4" t="n"/>
      <c r="M54" s="4" t="n"/>
      <c r="N54" s="4" t="n"/>
    </row>
    <row r="55">
      <c r="A55" s="5" t="n"/>
      <c r="B55" s="5">
        <f>IFERROR(VLOOKUP(A55,'F01 - _Données Centrales'!A6:B20,2,FALSE),"")</f>
        <v/>
      </c>
      <c r="C55" s="5">
        <f>IFERROR(VLOOKUP(A55,'F01 - _Données Centrales'!A6:C20,3,FALSE),"")</f>
        <v/>
      </c>
      <c r="D55" s="5" t="n"/>
      <c r="E55" s="5" t="n"/>
      <c r="F55" s="5" t="n"/>
      <c r="G55" s="5" t="n"/>
      <c r="H55" s="5">
        <f>IFERROR((F55+G55)/2,0)</f>
        <v/>
      </c>
      <c r="I55" s="5">
        <f>IF(OR(F55="",G55=""),"",IF(AND(F55&gt;=80,G55&gt;=80),"Étoile",IF(AND(F55&gt;=80,G55&lt;80),"Problème de perf.",IF(AND(F55&lt;80,G55&gt;=80),"Travailleur fiable","Sous-performeur"))))</f>
        <v/>
      </c>
      <c r="J55" s="5" t="n"/>
      <c r="K55" s="5" t="n"/>
      <c r="L55" s="5" t="n"/>
      <c r="M55" s="5" t="n"/>
      <c r="N55" s="5" t="n"/>
    </row>
    <row r="56">
      <c r="A56" s="4" t="n"/>
      <c r="B56" s="4">
        <f>IFERROR(VLOOKUP(A56,'F01 - _Données Centrales'!A6:B20,2,FALSE),"")</f>
        <v/>
      </c>
      <c r="C56" s="4">
        <f>IFERROR(VLOOKUP(A56,'F01 - _Données Centrales'!A6:C20,3,FALSE),"")</f>
        <v/>
      </c>
      <c r="D56" s="4" t="n"/>
      <c r="E56" s="4" t="n"/>
      <c r="F56" s="4" t="n"/>
      <c r="G56" s="4" t="n"/>
      <c r="H56" s="4">
        <f>IFERROR((F56+G56)/2,0)</f>
        <v/>
      </c>
      <c r="I56" s="4">
        <f>IF(OR(F56="",G56=""),"",IF(AND(F56&gt;=80,G56&gt;=80),"Étoile",IF(AND(F56&gt;=80,G56&lt;80),"Problème de perf.",IF(AND(F56&lt;80,G56&gt;=80),"Travailleur fiable","Sous-performeur"))))</f>
        <v/>
      </c>
      <c r="J56" s="4" t="n"/>
      <c r="K56" s="4" t="n"/>
      <c r="L56" s="4" t="n"/>
      <c r="M56" s="4" t="n"/>
      <c r="N56" s="4" t="n"/>
    </row>
    <row r="57">
      <c r="A57" s="5" t="n"/>
      <c r="B57" s="5">
        <f>IFERROR(VLOOKUP(A57,'F01 - _Données Centrales'!A6:B20,2,FALSE),"")</f>
        <v/>
      </c>
      <c r="C57" s="5">
        <f>IFERROR(VLOOKUP(A57,'F01 - _Données Centrales'!A6:C20,3,FALSE),"")</f>
        <v/>
      </c>
      <c r="D57" s="5" t="n"/>
      <c r="E57" s="5" t="n"/>
      <c r="F57" s="5" t="n"/>
      <c r="G57" s="5" t="n"/>
      <c r="H57" s="5">
        <f>IFERROR((F57+G57)/2,0)</f>
        <v/>
      </c>
      <c r="I57" s="5">
        <f>IF(OR(F57="",G57=""),"",IF(AND(F57&gt;=80,G57&gt;=80),"Étoile",IF(AND(F57&gt;=80,G57&lt;80),"Problème de perf.",IF(AND(F57&lt;80,G57&gt;=80),"Travailleur fiable","Sous-performeur"))))</f>
        <v/>
      </c>
      <c r="J57" s="5" t="n"/>
      <c r="K57" s="5" t="n"/>
      <c r="L57" s="5" t="n"/>
      <c r="M57" s="5" t="n"/>
      <c r="N57" s="5" t="n"/>
    </row>
    <row r="58">
      <c r="A58" s="4" t="n"/>
      <c r="B58" s="4">
        <f>IFERROR(VLOOKUP(A58,'F01 - _Données Centrales'!A6:B20,2,FALSE),"")</f>
        <v/>
      </c>
      <c r="C58" s="4">
        <f>IFERROR(VLOOKUP(A58,'F01 - _Données Centrales'!A6:C20,3,FALSE),"")</f>
        <v/>
      </c>
      <c r="D58" s="4" t="n"/>
      <c r="E58" s="4" t="n"/>
      <c r="F58" s="4" t="n"/>
      <c r="G58" s="4" t="n"/>
      <c r="H58" s="4">
        <f>IFERROR((F58+G58)/2,0)</f>
        <v/>
      </c>
      <c r="I58" s="4">
        <f>IF(OR(F58="",G58=""),"",IF(AND(F58&gt;=80,G58&gt;=80),"Étoile",IF(AND(F58&gt;=80,G58&lt;80),"Problème de perf.",IF(AND(F58&lt;80,G58&gt;=80),"Travailleur fiable","Sous-performeur"))))</f>
        <v/>
      </c>
      <c r="J58" s="4" t="n"/>
      <c r="K58" s="4" t="n"/>
      <c r="L58" s="4" t="n"/>
      <c r="M58" s="4" t="n"/>
      <c r="N58" s="4" t="n"/>
    </row>
    <row r="59">
      <c r="A59" s="5" t="n"/>
      <c r="B59" s="5">
        <f>IFERROR(VLOOKUP(A59,'F01 - _Données Centrales'!A6:B20,2,FALSE),"")</f>
        <v/>
      </c>
      <c r="C59" s="5">
        <f>IFERROR(VLOOKUP(A59,'F01 - _Données Centrales'!A6:C20,3,FALSE),"")</f>
        <v/>
      </c>
      <c r="D59" s="5" t="n"/>
      <c r="E59" s="5" t="n"/>
      <c r="F59" s="5" t="n"/>
      <c r="G59" s="5" t="n"/>
      <c r="H59" s="5">
        <f>IFERROR((F59+G59)/2,0)</f>
        <v/>
      </c>
      <c r="I59" s="5">
        <f>IF(OR(F59="",G59=""),"",IF(AND(F59&gt;=80,G59&gt;=80),"Étoile",IF(AND(F59&gt;=80,G59&lt;80),"Problème de perf.",IF(AND(F59&lt;80,G59&gt;=80),"Travailleur fiable","Sous-performeur"))))</f>
        <v/>
      </c>
      <c r="J59" s="5" t="n"/>
      <c r="K59" s="5" t="n"/>
      <c r="L59" s="5" t="n"/>
      <c r="M59" s="5" t="n"/>
      <c r="N59" s="5" t="n"/>
    </row>
    <row r="60">
      <c r="A60" s="4" t="n"/>
      <c r="B60" s="4">
        <f>IFERROR(VLOOKUP(A60,'F01 - _Données Centrales'!A6:B20,2,FALSE),"")</f>
        <v/>
      </c>
      <c r="C60" s="4">
        <f>IFERROR(VLOOKUP(A60,'F01 - _Données Centrales'!A6:C20,3,FALSE),"")</f>
        <v/>
      </c>
      <c r="D60" s="4" t="n"/>
      <c r="E60" s="4" t="n"/>
      <c r="F60" s="4" t="n"/>
      <c r="G60" s="4" t="n"/>
      <c r="H60" s="4">
        <f>IFERROR((F60+G60)/2,0)</f>
        <v/>
      </c>
      <c r="I60" s="4">
        <f>IF(OR(F60="",G60=""),"",IF(AND(F60&gt;=80,G60&gt;=80),"Étoile",IF(AND(F60&gt;=80,G60&lt;80),"Problème de perf.",IF(AND(F60&lt;80,G60&gt;=80),"Travailleur fiable","Sous-performeur"))))</f>
        <v/>
      </c>
      <c r="J60" s="4" t="n"/>
      <c r="K60" s="4" t="n"/>
      <c r="L60" s="4" t="n"/>
      <c r="M60" s="4" t="n"/>
      <c r="N60" s="4" t="n"/>
    </row>
    <row r="61">
      <c r="A61" s="5" t="n"/>
      <c r="B61" s="5">
        <f>IFERROR(VLOOKUP(A61,'F01 - _Données Centrales'!A6:B20,2,FALSE),"")</f>
        <v/>
      </c>
      <c r="C61" s="5">
        <f>IFERROR(VLOOKUP(A61,'F01 - _Données Centrales'!A6:C20,3,FALSE),"")</f>
        <v/>
      </c>
      <c r="D61" s="5" t="n"/>
      <c r="E61" s="5" t="n"/>
      <c r="F61" s="5" t="n"/>
      <c r="G61" s="5" t="n"/>
      <c r="H61" s="5">
        <f>IFERROR((F61+G61)/2,0)</f>
        <v/>
      </c>
      <c r="I61" s="5">
        <f>IF(OR(F61="",G61=""),"",IF(AND(F61&gt;=80,G61&gt;=80),"Étoile",IF(AND(F61&gt;=80,G61&lt;80),"Problème de perf.",IF(AND(F61&lt;80,G61&gt;=80),"Travailleur fiable","Sous-performeur"))))</f>
        <v/>
      </c>
      <c r="J61" s="5" t="n"/>
      <c r="K61" s="5" t="n"/>
      <c r="L61" s="5" t="n"/>
      <c r="M61" s="5" t="n"/>
      <c r="N61" s="5" t="n"/>
    </row>
    <row r="62">
      <c r="A62" s="4" t="n"/>
      <c r="B62" s="4">
        <f>IFERROR(VLOOKUP(A62,'F01 - _Données Centrales'!A6:B20,2,FALSE),"")</f>
        <v/>
      </c>
      <c r="C62" s="4">
        <f>IFERROR(VLOOKUP(A62,'F01 - _Données Centrales'!A6:C20,3,FALSE),"")</f>
        <v/>
      </c>
      <c r="D62" s="4" t="n"/>
      <c r="E62" s="4" t="n"/>
      <c r="F62" s="4" t="n"/>
      <c r="G62" s="4" t="n"/>
      <c r="H62" s="4">
        <f>IFERROR((F62+G62)/2,0)</f>
        <v/>
      </c>
      <c r="I62" s="4">
        <f>IF(OR(F62="",G62=""),"",IF(AND(F62&gt;=80,G62&gt;=80),"Étoile",IF(AND(F62&gt;=80,G62&lt;80),"Problème de perf.",IF(AND(F62&lt;80,G62&gt;=80),"Travailleur fiable","Sous-performeur"))))</f>
        <v/>
      </c>
      <c r="J62" s="4" t="n"/>
      <c r="K62" s="4" t="n"/>
      <c r="L62" s="4" t="n"/>
      <c r="M62" s="4" t="n"/>
      <c r="N62" s="4" t="n"/>
    </row>
    <row r="63">
      <c r="A63" s="5" t="n"/>
      <c r="B63" s="5">
        <f>IFERROR(VLOOKUP(A63,'F01 - _Données Centrales'!A6:B20,2,FALSE),"")</f>
        <v/>
      </c>
      <c r="C63" s="5">
        <f>IFERROR(VLOOKUP(A63,'F01 - _Données Centrales'!A6:C20,3,FALSE),"")</f>
        <v/>
      </c>
      <c r="D63" s="5" t="n"/>
      <c r="E63" s="5" t="n"/>
      <c r="F63" s="5" t="n"/>
      <c r="G63" s="5" t="n"/>
      <c r="H63" s="5">
        <f>IFERROR((F63+G63)/2,0)</f>
        <v/>
      </c>
      <c r="I63" s="5">
        <f>IF(OR(F63="",G63=""),"",IF(AND(F63&gt;=80,G63&gt;=80),"Étoile",IF(AND(F63&gt;=80,G63&lt;80),"Problème de perf.",IF(AND(F63&lt;80,G63&gt;=80),"Travailleur fiable","Sous-performeur"))))</f>
        <v/>
      </c>
      <c r="J63" s="5" t="n"/>
      <c r="K63" s="5" t="n"/>
      <c r="L63" s="5" t="n"/>
      <c r="M63" s="5" t="n"/>
      <c r="N63" s="5" t="n"/>
    </row>
    <row r="64">
      <c r="A64" s="4" t="n"/>
      <c r="B64" s="4">
        <f>IFERROR(VLOOKUP(A64,'F01 - _Données Centrales'!A6:B20,2,FALSE),"")</f>
        <v/>
      </c>
      <c r="C64" s="4">
        <f>IFERROR(VLOOKUP(A64,'F01 - _Données Centrales'!A6:C20,3,FALSE),"")</f>
        <v/>
      </c>
      <c r="D64" s="4" t="n"/>
      <c r="E64" s="4" t="n"/>
      <c r="F64" s="4" t="n"/>
      <c r="G64" s="4" t="n"/>
      <c r="H64" s="4">
        <f>IFERROR((F64+G64)/2,0)</f>
        <v/>
      </c>
      <c r="I64" s="4">
        <f>IF(OR(F64="",G64=""),"",IF(AND(F64&gt;=80,G64&gt;=80),"Étoile",IF(AND(F64&gt;=80,G64&lt;80),"Problème de perf.",IF(AND(F64&lt;80,G64&gt;=80),"Travailleur fiable","Sous-performeur"))))</f>
        <v/>
      </c>
      <c r="J64" s="4" t="n"/>
      <c r="K64" s="4" t="n"/>
      <c r="L64" s="4" t="n"/>
      <c r="M64" s="4" t="n"/>
      <c r="N64" s="4" t="n"/>
    </row>
    <row r="65">
      <c r="A65" s="5" t="n"/>
      <c r="B65" s="5">
        <f>IFERROR(VLOOKUP(A65,'F01 - _Données Centrales'!A6:B20,2,FALSE),"")</f>
        <v/>
      </c>
      <c r="C65" s="5">
        <f>IFERROR(VLOOKUP(A65,'F01 - _Données Centrales'!A6:C20,3,FALSE),"")</f>
        <v/>
      </c>
      <c r="D65" s="5" t="n"/>
      <c r="E65" s="5" t="n"/>
      <c r="F65" s="5" t="n"/>
      <c r="G65" s="5" t="n"/>
      <c r="H65" s="5">
        <f>IFERROR((F65+G65)/2,0)</f>
        <v/>
      </c>
      <c r="I65" s="5">
        <f>IF(OR(F65="",G65=""),"",IF(AND(F65&gt;=80,G65&gt;=80),"Étoile",IF(AND(F65&gt;=80,G65&lt;80),"Problème de perf.",IF(AND(F65&lt;80,G65&gt;=80),"Travailleur fiable","Sous-performeur"))))</f>
        <v/>
      </c>
      <c r="J65" s="5" t="n"/>
      <c r="K65" s="5" t="n"/>
      <c r="L65" s="5" t="n"/>
      <c r="M65" s="5" t="n"/>
      <c r="N65" s="5" t="n"/>
    </row>
    <row r="66">
      <c r="A66" s="4" t="n"/>
      <c r="B66" s="4">
        <f>IFERROR(VLOOKUP(A66,'F01 - _Données Centrales'!A6:B20,2,FALSE),"")</f>
        <v/>
      </c>
      <c r="C66" s="4">
        <f>IFERROR(VLOOKUP(A66,'F01 - _Données Centrales'!A6:C20,3,FALSE),"")</f>
        <v/>
      </c>
      <c r="D66" s="4" t="n"/>
      <c r="E66" s="4" t="n"/>
      <c r="F66" s="4" t="n"/>
      <c r="G66" s="4" t="n"/>
      <c r="H66" s="4">
        <f>IFERROR((F66+G66)/2,0)</f>
        <v/>
      </c>
      <c r="I66" s="4">
        <f>IF(OR(F66="",G66=""),"",IF(AND(F66&gt;=80,G66&gt;=80),"Étoile",IF(AND(F66&gt;=80,G66&lt;80),"Problème de perf.",IF(AND(F66&lt;80,G66&gt;=80),"Travailleur fiable","Sous-performeur"))))</f>
        <v/>
      </c>
      <c r="J66" s="4" t="n"/>
      <c r="K66" s="4" t="n"/>
      <c r="L66" s="4" t="n"/>
      <c r="M66" s="4" t="n"/>
      <c r="N66" s="4" t="n"/>
    </row>
    <row r="67">
      <c r="A67" s="5" t="n"/>
      <c r="B67" s="5">
        <f>IFERROR(VLOOKUP(A67,'F01 - _Données Centrales'!A6:B20,2,FALSE),"")</f>
        <v/>
      </c>
      <c r="C67" s="5">
        <f>IFERROR(VLOOKUP(A67,'F01 - _Données Centrales'!A6:C20,3,FALSE),"")</f>
        <v/>
      </c>
      <c r="D67" s="5" t="n"/>
      <c r="E67" s="5" t="n"/>
      <c r="F67" s="5" t="n"/>
      <c r="G67" s="5" t="n"/>
      <c r="H67" s="5">
        <f>IFERROR((F67+G67)/2,0)</f>
        <v/>
      </c>
      <c r="I67" s="5">
        <f>IF(OR(F67="",G67=""),"",IF(AND(F67&gt;=80,G67&gt;=80),"Étoile",IF(AND(F67&gt;=80,G67&lt;80),"Problème de perf.",IF(AND(F67&lt;80,G67&gt;=80),"Travailleur fiable","Sous-performeur"))))</f>
        <v/>
      </c>
      <c r="J67" s="5" t="n"/>
      <c r="K67" s="5" t="n"/>
      <c r="L67" s="5" t="n"/>
      <c r="M67" s="5" t="n"/>
      <c r="N67" s="5" t="n"/>
    </row>
    <row r="68">
      <c r="A68" s="4" t="n"/>
      <c r="B68" s="4">
        <f>IFERROR(VLOOKUP(A68,'F01 - _Données Centrales'!A6:B20,2,FALSE),"")</f>
        <v/>
      </c>
      <c r="C68" s="4">
        <f>IFERROR(VLOOKUP(A68,'F01 - _Données Centrales'!A6:C20,3,FALSE),"")</f>
        <v/>
      </c>
      <c r="D68" s="4" t="n"/>
      <c r="E68" s="4" t="n"/>
      <c r="F68" s="4" t="n"/>
      <c r="G68" s="4" t="n"/>
      <c r="H68" s="4">
        <f>IFERROR((F68+G68)/2,0)</f>
        <v/>
      </c>
      <c r="I68" s="4">
        <f>IF(OR(F68="",G68=""),"",IF(AND(F68&gt;=80,G68&gt;=80),"Étoile",IF(AND(F68&gt;=80,G68&lt;80),"Problème de perf.",IF(AND(F68&lt;80,G68&gt;=80),"Travailleur fiable","Sous-performeur"))))</f>
        <v/>
      </c>
      <c r="J68" s="4" t="n"/>
      <c r="K68" s="4" t="n"/>
      <c r="L68" s="4" t="n"/>
      <c r="M68" s="4" t="n"/>
      <c r="N68" s="4" t="n"/>
    </row>
    <row r="69">
      <c r="A69" s="5" t="n"/>
      <c r="B69" s="5">
        <f>IFERROR(VLOOKUP(A69,'F01 - _Données Centrales'!A6:B20,2,FALSE),"")</f>
        <v/>
      </c>
      <c r="C69" s="5">
        <f>IFERROR(VLOOKUP(A69,'F01 - _Données Centrales'!A6:C20,3,FALSE),"")</f>
        <v/>
      </c>
      <c r="D69" s="5" t="n"/>
      <c r="E69" s="5" t="n"/>
      <c r="F69" s="5" t="n"/>
      <c r="G69" s="5" t="n"/>
      <c r="H69" s="5">
        <f>IFERROR((F69+G69)/2,0)</f>
        <v/>
      </c>
      <c r="I69" s="5">
        <f>IF(OR(F69="",G69=""),"",IF(AND(F69&gt;=80,G69&gt;=80),"Étoile",IF(AND(F69&gt;=80,G69&lt;80),"Problème de perf.",IF(AND(F69&lt;80,G69&gt;=80),"Travailleur fiable","Sous-performeur"))))</f>
        <v/>
      </c>
      <c r="J69" s="5" t="n"/>
      <c r="K69" s="5" t="n"/>
      <c r="L69" s="5" t="n"/>
      <c r="M69" s="5" t="n"/>
      <c r="N69" s="5" t="n"/>
    </row>
    <row r="70">
      <c r="A70" s="4" t="n"/>
      <c r="B70" s="4">
        <f>IFERROR(VLOOKUP(A70,'F01 - _Données Centrales'!A6:B20,2,FALSE),"")</f>
        <v/>
      </c>
      <c r="C70" s="4">
        <f>IFERROR(VLOOKUP(A70,'F01 - _Données Centrales'!A6:C20,3,FALSE),"")</f>
        <v/>
      </c>
      <c r="D70" s="4" t="n"/>
      <c r="E70" s="4" t="n"/>
      <c r="F70" s="4" t="n"/>
      <c r="G70" s="4" t="n"/>
      <c r="H70" s="4">
        <f>IFERROR((F70+G70)/2,0)</f>
        <v/>
      </c>
      <c r="I70" s="4">
        <f>IF(OR(F70="",G70=""),"",IF(AND(F70&gt;=80,G70&gt;=80),"Étoile",IF(AND(F70&gt;=80,G70&lt;80),"Problème de perf.",IF(AND(F70&lt;80,G70&gt;=80),"Travailleur fiable","Sous-performeur"))))</f>
        <v/>
      </c>
      <c r="J70" s="4" t="n"/>
      <c r="K70" s="4" t="n"/>
      <c r="L70" s="4" t="n"/>
      <c r="M70" s="4" t="n"/>
      <c r="N70" s="4" t="n"/>
    </row>
    <row r="71">
      <c r="A71" s="5" t="n"/>
      <c r="B71" s="5">
        <f>IFERROR(VLOOKUP(A71,'F01 - _Données Centrales'!A6:B20,2,FALSE),"")</f>
        <v/>
      </c>
      <c r="C71" s="5">
        <f>IFERROR(VLOOKUP(A71,'F01 - _Données Centrales'!A6:C20,3,FALSE),"")</f>
        <v/>
      </c>
      <c r="D71" s="5" t="n"/>
      <c r="E71" s="5" t="n"/>
      <c r="F71" s="5" t="n"/>
      <c r="G71" s="5" t="n"/>
      <c r="H71" s="5">
        <f>IFERROR((F71+G71)/2,0)</f>
        <v/>
      </c>
      <c r="I71" s="5">
        <f>IF(OR(F71="",G71=""),"",IF(AND(F71&gt;=80,G71&gt;=80),"Étoile",IF(AND(F71&gt;=80,G71&lt;80),"Problème de perf.",IF(AND(F71&lt;80,G71&gt;=80),"Travailleur fiable","Sous-performeur"))))</f>
        <v/>
      </c>
      <c r="J71" s="5" t="n"/>
      <c r="K71" s="5" t="n"/>
      <c r="L71" s="5" t="n"/>
      <c r="M71" s="5" t="n"/>
      <c r="N71" s="5" t="n"/>
    </row>
    <row r="72">
      <c r="A72" s="4" t="n"/>
      <c r="B72" s="4">
        <f>IFERROR(VLOOKUP(A72,'F01 - _Données Centrales'!A6:B20,2,FALSE),"")</f>
        <v/>
      </c>
      <c r="C72" s="4">
        <f>IFERROR(VLOOKUP(A72,'F01 - _Données Centrales'!A6:C20,3,FALSE),"")</f>
        <v/>
      </c>
      <c r="D72" s="4" t="n"/>
      <c r="E72" s="4" t="n"/>
      <c r="F72" s="4" t="n"/>
      <c r="G72" s="4" t="n"/>
      <c r="H72" s="4">
        <f>IFERROR((F72+G72)/2,0)</f>
        <v/>
      </c>
      <c r="I72" s="4">
        <f>IF(OR(F72="",G72=""),"",IF(AND(F72&gt;=80,G72&gt;=80),"Étoile",IF(AND(F72&gt;=80,G72&lt;80),"Problème de perf.",IF(AND(F72&lt;80,G72&gt;=80),"Travailleur fiable","Sous-performeur"))))</f>
        <v/>
      </c>
      <c r="J72" s="4" t="n"/>
      <c r="K72" s="4" t="n"/>
      <c r="L72" s="4" t="n"/>
      <c r="M72" s="4" t="n"/>
      <c r="N72" s="4" t="n"/>
    </row>
    <row r="73">
      <c r="A73" s="5" t="n"/>
      <c r="B73" s="5">
        <f>IFERROR(VLOOKUP(A73,'F01 - _Données Centrales'!A6:B20,2,FALSE),"")</f>
        <v/>
      </c>
      <c r="C73" s="5">
        <f>IFERROR(VLOOKUP(A73,'F01 - _Données Centrales'!A6:C20,3,FALSE),"")</f>
        <v/>
      </c>
      <c r="D73" s="5" t="n"/>
      <c r="E73" s="5" t="n"/>
      <c r="F73" s="5" t="n"/>
      <c r="G73" s="5" t="n"/>
      <c r="H73" s="5">
        <f>IFERROR((F73+G73)/2,0)</f>
        <v/>
      </c>
      <c r="I73" s="5">
        <f>IF(OR(F73="",G73=""),"",IF(AND(F73&gt;=80,G73&gt;=80),"Étoile",IF(AND(F73&gt;=80,G73&lt;80),"Problème de perf.",IF(AND(F73&lt;80,G73&gt;=80),"Travailleur fiable","Sous-performeur"))))</f>
        <v/>
      </c>
      <c r="J73" s="5" t="n"/>
      <c r="K73" s="5" t="n"/>
      <c r="L73" s="5" t="n"/>
      <c r="M73" s="5" t="n"/>
      <c r="N73" s="5" t="n"/>
    </row>
    <row r="74">
      <c r="A74" s="4" t="n"/>
      <c r="B74" s="4">
        <f>IFERROR(VLOOKUP(A74,'F01 - _Données Centrales'!A6:B20,2,FALSE),"")</f>
        <v/>
      </c>
      <c r="C74" s="4">
        <f>IFERROR(VLOOKUP(A74,'F01 - _Données Centrales'!A6:C20,3,FALSE),"")</f>
        <v/>
      </c>
      <c r="D74" s="4" t="n"/>
      <c r="E74" s="4" t="n"/>
      <c r="F74" s="4" t="n"/>
      <c r="G74" s="4" t="n"/>
      <c r="H74" s="4">
        <f>IFERROR((F74+G74)/2,0)</f>
        <v/>
      </c>
      <c r="I74" s="4">
        <f>IF(OR(F74="",G74=""),"",IF(AND(F74&gt;=80,G74&gt;=80),"Étoile",IF(AND(F74&gt;=80,G74&lt;80),"Problème de perf.",IF(AND(F74&lt;80,G74&gt;=80),"Travailleur fiable","Sous-performeur"))))</f>
        <v/>
      </c>
      <c r="J74" s="4" t="n"/>
      <c r="K74" s="4" t="n"/>
      <c r="L74" s="4" t="n"/>
      <c r="M74" s="4" t="n"/>
      <c r="N74" s="4" t="n"/>
    </row>
    <row r="75">
      <c r="A75" s="5" t="n"/>
      <c r="B75" s="5">
        <f>IFERROR(VLOOKUP(A75,'F01 - _Données Centrales'!A6:B20,2,FALSE),"")</f>
        <v/>
      </c>
      <c r="C75" s="5">
        <f>IFERROR(VLOOKUP(A75,'F01 - _Données Centrales'!A6:C20,3,FALSE),"")</f>
        <v/>
      </c>
      <c r="D75" s="5" t="n"/>
      <c r="E75" s="5" t="n"/>
      <c r="F75" s="5" t="n"/>
      <c r="G75" s="5" t="n"/>
      <c r="H75" s="5">
        <f>IFERROR((F75+G75)/2,0)</f>
        <v/>
      </c>
      <c r="I75" s="5">
        <f>IF(OR(F75="",G75=""),"",IF(AND(F75&gt;=80,G75&gt;=80),"Étoile",IF(AND(F75&gt;=80,G75&lt;80),"Problème de perf.",IF(AND(F75&lt;80,G75&gt;=80),"Travailleur fiable","Sous-performeur"))))</f>
        <v/>
      </c>
      <c r="J75" s="5" t="n"/>
      <c r="K75" s="5" t="n"/>
      <c r="L75" s="5" t="n"/>
      <c r="M75" s="5" t="n"/>
      <c r="N75" s="5" t="n"/>
    </row>
    <row r="76">
      <c r="A76" s="4" t="n"/>
      <c r="B76" s="4">
        <f>IFERROR(VLOOKUP(A76,'F01 - _Données Centrales'!A6:B20,2,FALSE),"")</f>
        <v/>
      </c>
      <c r="C76" s="4">
        <f>IFERROR(VLOOKUP(A76,'F01 - _Données Centrales'!A6:C20,3,FALSE),"")</f>
        <v/>
      </c>
      <c r="D76" s="4" t="n"/>
      <c r="E76" s="4" t="n"/>
      <c r="F76" s="4" t="n"/>
      <c r="G76" s="4" t="n"/>
      <c r="H76" s="4">
        <f>IFERROR((F76+G76)/2,0)</f>
        <v/>
      </c>
      <c r="I76" s="4">
        <f>IF(OR(F76="",G76=""),"",IF(AND(F76&gt;=80,G76&gt;=80),"Étoile",IF(AND(F76&gt;=80,G76&lt;80),"Problème de perf.",IF(AND(F76&lt;80,G76&gt;=80),"Travailleur fiable","Sous-performeur"))))</f>
        <v/>
      </c>
      <c r="J76" s="4" t="n"/>
      <c r="K76" s="4" t="n"/>
      <c r="L76" s="4" t="n"/>
      <c r="M76" s="4" t="n"/>
      <c r="N76" s="4" t="n"/>
    </row>
    <row r="77">
      <c r="A77" s="5" t="n"/>
      <c r="B77" s="5">
        <f>IFERROR(VLOOKUP(A77,'F01 - _Données Centrales'!A6:B20,2,FALSE),"")</f>
        <v/>
      </c>
      <c r="C77" s="5">
        <f>IFERROR(VLOOKUP(A77,'F01 - _Données Centrales'!A6:C20,3,FALSE),"")</f>
        <v/>
      </c>
      <c r="D77" s="5" t="n"/>
      <c r="E77" s="5" t="n"/>
      <c r="F77" s="5" t="n"/>
      <c r="G77" s="5" t="n"/>
      <c r="H77" s="5">
        <f>IFERROR((F77+G77)/2,0)</f>
        <v/>
      </c>
      <c r="I77" s="5">
        <f>IF(OR(F77="",G77=""),"",IF(AND(F77&gt;=80,G77&gt;=80),"Étoile",IF(AND(F77&gt;=80,G77&lt;80),"Problème de perf.",IF(AND(F77&lt;80,G77&gt;=80),"Travailleur fiable","Sous-performeur"))))</f>
        <v/>
      </c>
      <c r="J77" s="5" t="n"/>
      <c r="K77" s="5" t="n"/>
      <c r="L77" s="5" t="n"/>
      <c r="M77" s="5" t="n"/>
      <c r="N77" s="5" t="n"/>
    </row>
    <row r="78">
      <c r="A78" s="4" t="n"/>
      <c r="B78" s="4">
        <f>IFERROR(VLOOKUP(A78,'F01 - _Données Centrales'!A6:B20,2,FALSE),"")</f>
        <v/>
      </c>
      <c r="C78" s="4">
        <f>IFERROR(VLOOKUP(A78,'F01 - _Données Centrales'!A6:C20,3,FALSE),"")</f>
        <v/>
      </c>
      <c r="D78" s="4" t="n"/>
      <c r="E78" s="4" t="n"/>
      <c r="F78" s="4" t="n"/>
      <c r="G78" s="4" t="n"/>
      <c r="H78" s="4">
        <f>IFERROR((F78+G78)/2,0)</f>
        <v/>
      </c>
      <c r="I78" s="4">
        <f>IF(OR(F78="",G78=""),"",IF(AND(F78&gt;=80,G78&gt;=80),"Étoile",IF(AND(F78&gt;=80,G78&lt;80),"Problème de perf.",IF(AND(F78&lt;80,G78&gt;=80),"Travailleur fiable","Sous-performeur"))))</f>
        <v/>
      </c>
      <c r="J78" s="4" t="n"/>
      <c r="K78" s="4" t="n"/>
      <c r="L78" s="4" t="n"/>
      <c r="M78" s="4" t="n"/>
      <c r="N78" s="4" t="n"/>
    </row>
    <row r="79">
      <c r="A79" s="5" t="n"/>
      <c r="B79" s="5">
        <f>IFERROR(VLOOKUP(A79,'F01 - _Données Centrales'!A6:B20,2,FALSE),"")</f>
        <v/>
      </c>
      <c r="C79" s="5">
        <f>IFERROR(VLOOKUP(A79,'F01 - _Données Centrales'!A6:C20,3,FALSE),"")</f>
        <v/>
      </c>
      <c r="D79" s="5" t="n"/>
      <c r="E79" s="5" t="n"/>
      <c r="F79" s="5" t="n"/>
      <c r="G79" s="5" t="n"/>
      <c r="H79" s="5">
        <f>IFERROR((F79+G79)/2,0)</f>
        <v/>
      </c>
      <c r="I79" s="5">
        <f>IF(OR(F79="",G79=""),"",IF(AND(F79&gt;=80,G79&gt;=80),"Étoile",IF(AND(F79&gt;=80,G79&lt;80),"Problème de perf.",IF(AND(F79&lt;80,G79&gt;=80),"Travailleur fiable","Sous-performeur"))))</f>
        <v/>
      </c>
      <c r="J79" s="5" t="n"/>
      <c r="K79" s="5" t="n"/>
      <c r="L79" s="5" t="n"/>
      <c r="M79" s="5" t="n"/>
      <c r="N79" s="5" t="n"/>
    </row>
    <row r="80">
      <c r="A80" s="4" t="n"/>
      <c r="B80" s="4">
        <f>IFERROR(VLOOKUP(A80,'F01 - _Données Centrales'!A6:B20,2,FALSE),"")</f>
        <v/>
      </c>
      <c r="C80" s="4">
        <f>IFERROR(VLOOKUP(A80,'F01 - _Données Centrales'!A6:C20,3,FALSE),"")</f>
        <v/>
      </c>
      <c r="D80" s="4" t="n"/>
      <c r="E80" s="4" t="n"/>
      <c r="F80" s="4" t="n"/>
      <c r="G80" s="4" t="n"/>
      <c r="H80" s="4">
        <f>IFERROR((F80+G80)/2,0)</f>
        <v/>
      </c>
      <c r="I80" s="4">
        <f>IF(OR(F80="",G80=""),"",IF(AND(F80&gt;=80,G80&gt;=80),"Étoile",IF(AND(F80&gt;=80,G80&lt;80),"Problème de perf.",IF(AND(F80&lt;80,G80&gt;=80),"Travailleur fiable","Sous-performeur"))))</f>
        <v/>
      </c>
      <c r="J80" s="4" t="n"/>
      <c r="K80" s="4" t="n"/>
      <c r="L80" s="4" t="n"/>
      <c r="M80" s="4" t="n"/>
      <c r="N80" s="4" t="n"/>
    </row>
    <row r="81">
      <c r="A81" s="5" t="n"/>
      <c r="B81" s="5">
        <f>IFERROR(VLOOKUP(A81,'F01 - _Données Centrales'!A6:B20,2,FALSE),"")</f>
        <v/>
      </c>
      <c r="C81" s="5">
        <f>IFERROR(VLOOKUP(A81,'F01 - _Données Centrales'!A6:C20,3,FALSE),"")</f>
        <v/>
      </c>
      <c r="D81" s="5" t="n"/>
      <c r="E81" s="5" t="n"/>
      <c r="F81" s="5" t="n"/>
      <c r="G81" s="5" t="n"/>
      <c r="H81" s="5">
        <f>IFERROR((F81+G81)/2,0)</f>
        <v/>
      </c>
      <c r="I81" s="5">
        <f>IF(OR(F81="",G81=""),"",IF(AND(F81&gt;=80,G81&gt;=80),"Étoile",IF(AND(F81&gt;=80,G81&lt;80),"Problème de perf.",IF(AND(F81&lt;80,G81&gt;=80),"Travailleur fiable","Sous-performeur"))))</f>
        <v/>
      </c>
      <c r="J81" s="5" t="n"/>
      <c r="K81" s="5" t="n"/>
      <c r="L81" s="5" t="n"/>
      <c r="M81" s="5" t="n"/>
      <c r="N81" s="5" t="n"/>
    </row>
    <row r="82">
      <c r="A82" s="4" t="n"/>
      <c r="B82" s="4">
        <f>IFERROR(VLOOKUP(A82,'F01 - _Données Centrales'!A6:B20,2,FALSE),"")</f>
        <v/>
      </c>
      <c r="C82" s="4">
        <f>IFERROR(VLOOKUP(A82,'F01 - _Données Centrales'!A6:C20,3,FALSE),"")</f>
        <v/>
      </c>
      <c r="D82" s="4" t="n"/>
      <c r="E82" s="4" t="n"/>
      <c r="F82" s="4" t="n"/>
      <c r="G82" s="4" t="n"/>
      <c r="H82" s="4">
        <f>IFERROR((F82+G82)/2,0)</f>
        <v/>
      </c>
      <c r="I82" s="4">
        <f>IF(OR(F82="",G82=""),"",IF(AND(F82&gt;=80,G82&gt;=80),"Étoile",IF(AND(F82&gt;=80,G82&lt;80),"Problème de perf.",IF(AND(F82&lt;80,G82&gt;=80),"Travailleur fiable","Sous-performeur"))))</f>
        <v/>
      </c>
      <c r="J82" s="4" t="n"/>
      <c r="K82" s="4" t="n"/>
      <c r="L82" s="4" t="n"/>
      <c r="M82" s="4" t="n"/>
      <c r="N82" s="4" t="n"/>
    </row>
    <row r="83">
      <c r="A83" s="5" t="n"/>
      <c r="B83" s="5">
        <f>IFERROR(VLOOKUP(A83,'F01 - _Données Centrales'!A6:B20,2,FALSE),"")</f>
        <v/>
      </c>
      <c r="C83" s="5">
        <f>IFERROR(VLOOKUP(A83,'F01 - _Données Centrales'!A6:C20,3,FALSE),"")</f>
        <v/>
      </c>
      <c r="D83" s="5" t="n"/>
      <c r="E83" s="5" t="n"/>
      <c r="F83" s="5" t="n"/>
      <c r="G83" s="5" t="n"/>
      <c r="H83" s="5">
        <f>IFERROR((F83+G83)/2,0)</f>
        <v/>
      </c>
      <c r="I83" s="5">
        <f>IF(OR(F83="",G83=""),"",IF(AND(F83&gt;=80,G83&gt;=80),"Étoile",IF(AND(F83&gt;=80,G83&lt;80),"Problème de perf.",IF(AND(F83&lt;80,G83&gt;=80),"Travailleur fiable","Sous-performeur"))))</f>
        <v/>
      </c>
      <c r="J83" s="5" t="n"/>
      <c r="K83" s="5" t="n"/>
      <c r="L83" s="5" t="n"/>
      <c r="M83" s="5" t="n"/>
      <c r="N83" s="5" t="n"/>
    </row>
    <row r="84">
      <c r="A84" s="4" t="n"/>
      <c r="B84" s="4">
        <f>IFERROR(VLOOKUP(A84,'F01 - _Données Centrales'!A6:B20,2,FALSE),"")</f>
        <v/>
      </c>
      <c r="C84" s="4">
        <f>IFERROR(VLOOKUP(A84,'F01 - _Données Centrales'!A6:C20,3,FALSE),"")</f>
        <v/>
      </c>
      <c r="D84" s="4" t="n"/>
      <c r="E84" s="4" t="n"/>
      <c r="F84" s="4" t="n"/>
      <c r="G84" s="4" t="n"/>
      <c r="H84" s="4">
        <f>IFERROR((F84+G84)/2,0)</f>
        <v/>
      </c>
      <c r="I84" s="4">
        <f>IF(OR(F84="",G84=""),"",IF(AND(F84&gt;=80,G84&gt;=80),"Étoile",IF(AND(F84&gt;=80,G84&lt;80),"Problème de perf.",IF(AND(F84&lt;80,G84&gt;=80),"Travailleur fiable","Sous-performeur"))))</f>
        <v/>
      </c>
      <c r="J84" s="4" t="n"/>
      <c r="K84" s="4" t="n"/>
      <c r="L84" s="4" t="n"/>
      <c r="M84" s="4" t="n"/>
      <c r="N84" s="4" t="n"/>
    </row>
    <row r="85">
      <c r="A85" s="5" t="n"/>
      <c r="B85" s="5">
        <f>IFERROR(VLOOKUP(A85,'F01 - _Données Centrales'!A6:B20,2,FALSE),"")</f>
        <v/>
      </c>
      <c r="C85" s="5">
        <f>IFERROR(VLOOKUP(A85,'F01 - _Données Centrales'!A6:C20,3,FALSE),"")</f>
        <v/>
      </c>
      <c r="D85" s="5" t="n"/>
      <c r="E85" s="5" t="n"/>
      <c r="F85" s="5" t="n"/>
      <c r="G85" s="5" t="n"/>
      <c r="H85" s="5">
        <f>IFERROR((F85+G85)/2,0)</f>
        <v/>
      </c>
      <c r="I85" s="5">
        <f>IF(OR(F85="",G85=""),"",IF(AND(F85&gt;=80,G85&gt;=80),"Étoile",IF(AND(F85&gt;=80,G85&lt;80),"Problème de perf.",IF(AND(F85&lt;80,G85&gt;=80),"Travailleur fiable","Sous-performeur"))))</f>
        <v/>
      </c>
      <c r="J85" s="5" t="n"/>
      <c r="K85" s="5" t="n"/>
      <c r="L85" s="5" t="n"/>
      <c r="M85" s="5" t="n"/>
      <c r="N85" s="5" t="n"/>
    </row>
    <row r="86">
      <c r="A86" s="4" t="n"/>
      <c r="B86" s="4">
        <f>IFERROR(VLOOKUP(A86,'F01 - _Données Centrales'!A6:B20,2,FALSE),"")</f>
        <v/>
      </c>
      <c r="C86" s="4">
        <f>IFERROR(VLOOKUP(A86,'F01 - _Données Centrales'!A6:C20,3,FALSE),"")</f>
        <v/>
      </c>
      <c r="D86" s="4" t="n"/>
      <c r="E86" s="4" t="n"/>
      <c r="F86" s="4" t="n"/>
      <c r="G86" s="4" t="n"/>
      <c r="H86" s="4">
        <f>IFERROR((F86+G86)/2,0)</f>
        <v/>
      </c>
      <c r="I86" s="4">
        <f>IF(OR(F86="",G86=""),"",IF(AND(F86&gt;=80,G86&gt;=80),"Étoile",IF(AND(F86&gt;=80,G86&lt;80),"Problème de perf.",IF(AND(F86&lt;80,G86&gt;=80),"Travailleur fiable","Sous-performeur"))))</f>
        <v/>
      </c>
      <c r="J86" s="4" t="n"/>
      <c r="K86" s="4" t="n"/>
      <c r="L86" s="4" t="n"/>
      <c r="M86" s="4" t="n"/>
      <c r="N86" s="4" t="n"/>
    </row>
    <row r="87">
      <c r="A87" s="5" t="n"/>
      <c r="B87" s="5">
        <f>IFERROR(VLOOKUP(A87,'F01 - _Données Centrales'!A6:B20,2,FALSE),"")</f>
        <v/>
      </c>
      <c r="C87" s="5">
        <f>IFERROR(VLOOKUP(A87,'F01 - _Données Centrales'!A6:C20,3,FALSE),"")</f>
        <v/>
      </c>
      <c r="D87" s="5" t="n"/>
      <c r="E87" s="5" t="n"/>
      <c r="F87" s="5" t="n"/>
      <c r="G87" s="5" t="n"/>
      <c r="H87" s="5">
        <f>IFERROR((F87+G87)/2,0)</f>
        <v/>
      </c>
      <c r="I87" s="5">
        <f>IF(OR(F87="",G87=""),"",IF(AND(F87&gt;=80,G87&gt;=80),"Étoile",IF(AND(F87&gt;=80,G87&lt;80),"Problème de perf.",IF(AND(F87&lt;80,G87&gt;=80),"Travailleur fiable","Sous-performeur"))))</f>
        <v/>
      </c>
      <c r="J87" s="5" t="n"/>
      <c r="K87" s="5" t="n"/>
      <c r="L87" s="5" t="n"/>
      <c r="M87" s="5" t="n"/>
      <c r="N87" s="5" t="n"/>
    </row>
    <row r="88">
      <c r="A88" s="4" t="n"/>
      <c r="B88" s="4">
        <f>IFERROR(VLOOKUP(A88,'F01 - _Données Centrales'!A6:B20,2,FALSE),"")</f>
        <v/>
      </c>
      <c r="C88" s="4">
        <f>IFERROR(VLOOKUP(A88,'F01 - _Données Centrales'!A6:C20,3,FALSE),"")</f>
        <v/>
      </c>
      <c r="D88" s="4" t="n"/>
      <c r="E88" s="4" t="n"/>
      <c r="F88" s="4" t="n"/>
      <c r="G88" s="4" t="n"/>
      <c r="H88" s="4">
        <f>IFERROR((F88+G88)/2,0)</f>
        <v/>
      </c>
      <c r="I88" s="4">
        <f>IF(OR(F88="",G88=""),"",IF(AND(F88&gt;=80,G88&gt;=80),"Étoile",IF(AND(F88&gt;=80,G88&lt;80),"Problème de perf.",IF(AND(F88&lt;80,G88&gt;=80),"Travailleur fiable","Sous-performeur"))))</f>
        <v/>
      </c>
      <c r="J88" s="4" t="n"/>
      <c r="K88" s="4" t="n"/>
      <c r="L88" s="4" t="n"/>
      <c r="M88" s="4" t="n"/>
      <c r="N88" s="4" t="n"/>
    </row>
    <row r="89">
      <c r="A89" s="5" t="n"/>
      <c r="B89" s="5">
        <f>IFERROR(VLOOKUP(A89,'F01 - _Données Centrales'!A6:B20,2,FALSE),"")</f>
        <v/>
      </c>
      <c r="C89" s="5">
        <f>IFERROR(VLOOKUP(A89,'F01 - _Données Centrales'!A6:C20,3,FALSE),"")</f>
        <v/>
      </c>
      <c r="D89" s="5" t="n"/>
      <c r="E89" s="5" t="n"/>
      <c r="F89" s="5" t="n"/>
      <c r="G89" s="5" t="n"/>
      <c r="H89" s="5">
        <f>IFERROR((F89+G89)/2,0)</f>
        <v/>
      </c>
      <c r="I89" s="5">
        <f>IF(OR(F89="",G89=""),"",IF(AND(F89&gt;=80,G89&gt;=80),"Étoile",IF(AND(F89&gt;=80,G89&lt;80),"Problème de perf.",IF(AND(F89&lt;80,G89&gt;=80),"Travailleur fiable","Sous-performeur"))))</f>
        <v/>
      </c>
      <c r="J89" s="5" t="n"/>
      <c r="K89" s="5" t="n"/>
      <c r="L89" s="5" t="n"/>
      <c r="M89" s="5" t="n"/>
      <c r="N89" s="5" t="n"/>
    </row>
    <row r="90">
      <c r="A90" s="4" t="n"/>
      <c r="B90" s="4">
        <f>IFERROR(VLOOKUP(A90,'F01 - _Données Centrales'!A6:B20,2,FALSE),"")</f>
        <v/>
      </c>
      <c r="C90" s="4">
        <f>IFERROR(VLOOKUP(A90,'F01 - _Données Centrales'!A6:C20,3,FALSE),"")</f>
        <v/>
      </c>
      <c r="D90" s="4" t="n"/>
      <c r="E90" s="4" t="n"/>
      <c r="F90" s="4" t="n"/>
      <c r="G90" s="4" t="n"/>
      <c r="H90" s="4">
        <f>IFERROR((F90+G90)/2,0)</f>
        <v/>
      </c>
      <c r="I90" s="4">
        <f>IF(OR(F90="",G90=""),"",IF(AND(F90&gt;=80,G90&gt;=80),"Étoile",IF(AND(F90&gt;=80,G90&lt;80),"Problème de perf.",IF(AND(F90&lt;80,G90&gt;=80),"Travailleur fiable","Sous-performeur"))))</f>
        <v/>
      </c>
      <c r="J90" s="4" t="n"/>
      <c r="K90" s="4" t="n"/>
      <c r="L90" s="4" t="n"/>
      <c r="M90" s="4" t="n"/>
      <c r="N90" s="4" t="n"/>
    </row>
    <row r="91">
      <c r="A91" s="5" t="n"/>
      <c r="B91" s="5">
        <f>IFERROR(VLOOKUP(A91,'F01 - _Données Centrales'!A6:B20,2,FALSE),"")</f>
        <v/>
      </c>
      <c r="C91" s="5">
        <f>IFERROR(VLOOKUP(A91,'F01 - _Données Centrales'!A6:C20,3,FALSE),"")</f>
        <v/>
      </c>
      <c r="D91" s="5" t="n"/>
      <c r="E91" s="5" t="n"/>
      <c r="F91" s="5" t="n"/>
      <c r="G91" s="5" t="n"/>
      <c r="H91" s="5">
        <f>IFERROR((F91+G91)/2,0)</f>
        <v/>
      </c>
      <c r="I91" s="5">
        <f>IF(OR(F91="",G91=""),"",IF(AND(F91&gt;=80,G91&gt;=80),"Étoile",IF(AND(F91&gt;=80,G91&lt;80),"Problème de perf.",IF(AND(F91&lt;80,G91&gt;=80),"Travailleur fiable","Sous-performeur"))))</f>
        <v/>
      </c>
      <c r="J91" s="5" t="n"/>
      <c r="K91" s="5" t="n"/>
      <c r="L91" s="5" t="n"/>
      <c r="M91" s="5" t="n"/>
      <c r="N91" s="5" t="n"/>
    </row>
    <row r="92">
      <c r="A92" s="4" t="n"/>
      <c r="B92" s="4">
        <f>IFERROR(VLOOKUP(A92,'F01 - _Données Centrales'!A6:B20,2,FALSE),"")</f>
        <v/>
      </c>
      <c r="C92" s="4">
        <f>IFERROR(VLOOKUP(A92,'F01 - _Données Centrales'!A6:C20,3,FALSE),"")</f>
        <v/>
      </c>
      <c r="D92" s="4" t="n"/>
      <c r="E92" s="4" t="n"/>
      <c r="F92" s="4" t="n"/>
      <c r="G92" s="4" t="n"/>
      <c r="H92" s="4">
        <f>IFERROR((F92+G92)/2,0)</f>
        <v/>
      </c>
      <c r="I92" s="4">
        <f>IF(OR(F92="",G92=""),"",IF(AND(F92&gt;=80,G92&gt;=80),"Étoile",IF(AND(F92&gt;=80,G92&lt;80),"Problème de perf.",IF(AND(F92&lt;80,G92&gt;=80),"Travailleur fiable","Sous-performeur"))))</f>
        <v/>
      </c>
      <c r="J92" s="4" t="n"/>
      <c r="K92" s="4" t="n"/>
      <c r="L92" s="4" t="n"/>
      <c r="M92" s="4" t="n"/>
      <c r="N92" s="4" t="n"/>
    </row>
    <row r="93">
      <c r="A93" s="5" t="n"/>
      <c r="B93" s="5">
        <f>IFERROR(VLOOKUP(A93,'F01 - _Données Centrales'!A6:B20,2,FALSE),"")</f>
        <v/>
      </c>
      <c r="C93" s="5">
        <f>IFERROR(VLOOKUP(A93,'F01 - _Données Centrales'!A6:C20,3,FALSE),"")</f>
        <v/>
      </c>
      <c r="D93" s="5" t="n"/>
      <c r="E93" s="5" t="n"/>
      <c r="F93" s="5" t="n"/>
      <c r="G93" s="5" t="n"/>
      <c r="H93" s="5">
        <f>IFERROR((F93+G93)/2,0)</f>
        <v/>
      </c>
      <c r="I93" s="5">
        <f>IF(OR(F93="",G93=""),"",IF(AND(F93&gt;=80,G93&gt;=80),"Étoile",IF(AND(F93&gt;=80,G93&lt;80),"Problème de perf.",IF(AND(F93&lt;80,G93&gt;=80),"Travailleur fiable","Sous-performeur"))))</f>
        <v/>
      </c>
      <c r="J93" s="5" t="n"/>
      <c r="K93" s="5" t="n"/>
      <c r="L93" s="5" t="n"/>
      <c r="M93" s="5" t="n"/>
      <c r="N93" s="5" t="n"/>
    </row>
    <row r="94">
      <c r="A94" s="4" t="n"/>
      <c r="B94" s="4">
        <f>IFERROR(VLOOKUP(A94,'F01 - _Données Centrales'!A6:B20,2,FALSE),"")</f>
        <v/>
      </c>
      <c r="C94" s="4">
        <f>IFERROR(VLOOKUP(A94,'F01 - _Données Centrales'!A6:C20,3,FALSE),"")</f>
        <v/>
      </c>
      <c r="D94" s="4" t="n"/>
      <c r="E94" s="4" t="n"/>
      <c r="F94" s="4" t="n"/>
      <c r="G94" s="4" t="n"/>
      <c r="H94" s="4">
        <f>IFERROR((F94+G94)/2,0)</f>
        <v/>
      </c>
      <c r="I94" s="4">
        <f>IF(OR(F94="",G94=""),"",IF(AND(F94&gt;=80,G94&gt;=80),"Étoile",IF(AND(F94&gt;=80,G94&lt;80),"Problème de perf.",IF(AND(F94&lt;80,G94&gt;=80),"Travailleur fiable","Sous-performeur"))))</f>
        <v/>
      </c>
      <c r="J94" s="4" t="n"/>
      <c r="K94" s="4" t="n"/>
      <c r="L94" s="4" t="n"/>
      <c r="M94" s="4" t="n"/>
      <c r="N94" s="4" t="n"/>
    </row>
    <row r="95">
      <c r="A95" s="5" t="n"/>
      <c r="B95" s="5">
        <f>IFERROR(VLOOKUP(A95,'F01 - _Données Centrales'!A6:B20,2,FALSE),"")</f>
        <v/>
      </c>
      <c r="C95" s="5">
        <f>IFERROR(VLOOKUP(A95,'F01 - _Données Centrales'!A6:C20,3,FALSE),"")</f>
        <v/>
      </c>
      <c r="D95" s="5" t="n"/>
      <c r="E95" s="5" t="n"/>
      <c r="F95" s="5" t="n"/>
      <c r="G95" s="5" t="n"/>
      <c r="H95" s="5">
        <f>IFERROR((F95+G95)/2,0)</f>
        <v/>
      </c>
      <c r="I95" s="5">
        <f>IF(OR(F95="",G95=""),"",IF(AND(F95&gt;=80,G95&gt;=80),"Étoile",IF(AND(F95&gt;=80,G95&lt;80),"Problème de perf.",IF(AND(F95&lt;80,G95&gt;=80),"Travailleur fiable","Sous-performeur"))))</f>
        <v/>
      </c>
      <c r="J95" s="5" t="n"/>
      <c r="K95" s="5" t="n"/>
      <c r="L95" s="5" t="n"/>
      <c r="M95" s="5" t="n"/>
      <c r="N95" s="5" t="n"/>
    </row>
    <row r="96">
      <c r="A96" s="4" t="n"/>
      <c r="B96" s="4">
        <f>IFERROR(VLOOKUP(A96,'F01 - _Données Centrales'!A6:B20,2,FALSE),"")</f>
        <v/>
      </c>
      <c r="C96" s="4">
        <f>IFERROR(VLOOKUP(A96,'F01 - _Données Centrales'!A6:C20,3,FALSE),"")</f>
        <v/>
      </c>
      <c r="D96" s="4" t="n"/>
      <c r="E96" s="4" t="n"/>
      <c r="F96" s="4" t="n"/>
      <c r="G96" s="4" t="n"/>
      <c r="H96" s="4">
        <f>IFERROR((F96+G96)/2,0)</f>
        <v/>
      </c>
      <c r="I96" s="4">
        <f>IF(OR(F96="",G96=""),"",IF(AND(F96&gt;=80,G96&gt;=80),"Étoile",IF(AND(F96&gt;=80,G96&lt;80),"Problème de perf.",IF(AND(F96&lt;80,G96&gt;=80),"Travailleur fiable","Sous-performeur"))))</f>
        <v/>
      </c>
      <c r="J96" s="4" t="n"/>
      <c r="K96" s="4" t="n"/>
      <c r="L96" s="4" t="n"/>
      <c r="M96" s="4" t="n"/>
      <c r="N96" s="4" t="n"/>
    </row>
    <row r="97">
      <c r="A97" s="5" t="n"/>
      <c r="B97" s="5">
        <f>IFERROR(VLOOKUP(A97,'F01 - _Données Centrales'!A6:B20,2,FALSE),"")</f>
        <v/>
      </c>
      <c r="C97" s="5">
        <f>IFERROR(VLOOKUP(A97,'F01 - _Données Centrales'!A6:C20,3,FALSE),"")</f>
        <v/>
      </c>
      <c r="D97" s="5" t="n"/>
      <c r="E97" s="5" t="n"/>
      <c r="F97" s="5" t="n"/>
      <c r="G97" s="5" t="n"/>
      <c r="H97" s="5">
        <f>IFERROR((F97+G97)/2,0)</f>
        <v/>
      </c>
      <c r="I97" s="5">
        <f>IF(OR(F97="",G97=""),"",IF(AND(F97&gt;=80,G97&gt;=80),"Étoile",IF(AND(F97&gt;=80,G97&lt;80),"Problème de perf.",IF(AND(F97&lt;80,G97&gt;=80),"Travailleur fiable","Sous-performeur"))))</f>
        <v/>
      </c>
      <c r="J97" s="5" t="n"/>
      <c r="K97" s="5" t="n"/>
      <c r="L97" s="5" t="n"/>
      <c r="M97" s="5" t="n"/>
      <c r="N97" s="5" t="n"/>
    </row>
    <row r="98">
      <c r="A98" s="4" t="n"/>
      <c r="B98" s="4">
        <f>IFERROR(VLOOKUP(A98,'F01 - _Données Centrales'!A6:B20,2,FALSE),"")</f>
        <v/>
      </c>
      <c r="C98" s="4">
        <f>IFERROR(VLOOKUP(A98,'F01 - _Données Centrales'!A6:C20,3,FALSE),"")</f>
        <v/>
      </c>
      <c r="D98" s="4" t="n"/>
      <c r="E98" s="4" t="n"/>
      <c r="F98" s="4" t="n"/>
      <c r="G98" s="4" t="n"/>
      <c r="H98" s="4">
        <f>IFERROR((F98+G98)/2,0)</f>
        <v/>
      </c>
      <c r="I98" s="4">
        <f>IF(OR(F98="",G98=""),"",IF(AND(F98&gt;=80,G98&gt;=80),"Étoile",IF(AND(F98&gt;=80,G98&lt;80),"Problème de perf.",IF(AND(F98&lt;80,G98&gt;=80),"Travailleur fiable","Sous-performeur"))))</f>
        <v/>
      </c>
      <c r="J98" s="4" t="n"/>
      <c r="K98" s="4" t="n"/>
      <c r="L98" s="4" t="n"/>
      <c r="M98" s="4" t="n"/>
      <c r="N98" s="4" t="n"/>
    </row>
    <row r="99">
      <c r="A99" s="5" t="n"/>
      <c r="B99" s="5">
        <f>IFERROR(VLOOKUP(A99,'F01 - _Données Centrales'!A6:B20,2,FALSE),"")</f>
        <v/>
      </c>
      <c r="C99" s="5">
        <f>IFERROR(VLOOKUP(A99,'F01 - _Données Centrales'!A6:C20,3,FALSE),"")</f>
        <v/>
      </c>
      <c r="D99" s="5" t="n"/>
      <c r="E99" s="5" t="n"/>
      <c r="F99" s="5" t="n"/>
      <c r="G99" s="5" t="n"/>
      <c r="H99" s="5">
        <f>IFERROR((F99+G99)/2,0)</f>
        <v/>
      </c>
      <c r="I99" s="5">
        <f>IF(OR(F99="",G99=""),"",IF(AND(F99&gt;=80,G99&gt;=80),"Étoile",IF(AND(F99&gt;=80,G99&lt;80),"Problème de perf.",IF(AND(F99&lt;80,G99&gt;=80),"Travailleur fiable","Sous-performeur"))))</f>
        <v/>
      </c>
      <c r="J99" s="5" t="n"/>
      <c r="K99" s="5" t="n"/>
      <c r="L99" s="5" t="n"/>
      <c r="M99" s="5" t="n"/>
      <c r="N99" s="5" t="n"/>
    </row>
    <row r="100">
      <c r="A100" s="4" t="n"/>
      <c r="B100" s="4">
        <f>IFERROR(VLOOKUP(A100,'F01 - _Données Centrales'!A6:B20,2,FALSE),"")</f>
        <v/>
      </c>
      <c r="C100" s="4">
        <f>IFERROR(VLOOKUP(A100,'F01 - _Données Centrales'!A6:C20,3,FALSE),"")</f>
        <v/>
      </c>
      <c r="D100" s="4" t="n"/>
      <c r="E100" s="4" t="n"/>
      <c r="F100" s="4" t="n"/>
      <c r="G100" s="4" t="n"/>
      <c r="H100" s="4">
        <f>IFERROR((F100+G100)/2,0)</f>
        <v/>
      </c>
      <c r="I100" s="4">
        <f>IF(OR(F100="",G100=""),"",IF(AND(F100&gt;=80,G100&gt;=80),"Étoile",IF(AND(F100&gt;=80,G100&lt;80),"Problème de perf.",IF(AND(F100&lt;80,G100&gt;=80),"Travailleur fiable","Sous-performeur"))))</f>
        <v/>
      </c>
      <c r="J100" s="4" t="n"/>
      <c r="K100" s="4" t="n"/>
      <c r="L100" s="4" t="n"/>
      <c r="M100" s="4" t="n"/>
      <c r="N100" s="4" t="n"/>
    </row>
    <row r="101">
      <c r="A101" s="5" t="n"/>
      <c r="B101" s="5">
        <f>IFERROR(VLOOKUP(A101,'F01 - _Données Centrales'!A6:B20,2,FALSE),"")</f>
        <v/>
      </c>
      <c r="C101" s="5">
        <f>IFERROR(VLOOKUP(A101,'F01 - _Données Centrales'!A6:C20,3,FALSE),"")</f>
        <v/>
      </c>
      <c r="D101" s="5" t="n"/>
      <c r="E101" s="5" t="n"/>
      <c r="F101" s="5" t="n"/>
      <c r="G101" s="5" t="n"/>
      <c r="H101" s="5">
        <f>IFERROR((F101+G101)/2,0)</f>
        <v/>
      </c>
      <c r="I101" s="5">
        <f>IF(OR(F101="",G101=""),"",IF(AND(F101&gt;=80,G101&gt;=80),"Étoile",IF(AND(F101&gt;=80,G101&lt;80),"Problème de perf.",IF(AND(F101&lt;80,G101&gt;=80),"Travailleur fiable","Sous-performeur"))))</f>
        <v/>
      </c>
      <c r="J101" s="5" t="n"/>
      <c r="K101" s="5" t="n"/>
      <c r="L101" s="5" t="n"/>
      <c r="M101" s="5" t="n"/>
      <c r="N101" s="5" t="n"/>
    </row>
    <row r="102">
      <c r="A102" s="4" t="n"/>
      <c r="B102" s="4">
        <f>IFERROR(VLOOKUP(A102,'F01 - _Données Centrales'!A6:B20,2,FALSE),"")</f>
        <v/>
      </c>
      <c r="C102" s="4">
        <f>IFERROR(VLOOKUP(A102,'F01 - _Données Centrales'!A6:C20,3,FALSE),"")</f>
        <v/>
      </c>
      <c r="D102" s="4" t="n"/>
      <c r="E102" s="4" t="n"/>
      <c r="F102" s="4" t="n"/>
      <c r="G102" s="4" t="n"/>
      <c r="H102" s="4">
        <f>IFERROR((F102+G102)/2,0)</f>
        <v/>
      </c>
      <c r="I102" s="4">
        <f>IF(OR(F102="",G102=""),"",IF(AND(F102&gt;=80,G102&gt;=80),"Étoile",IF(AND(F102&gt;=80,G102&lt;80),"Problème de perf.",IF(AND(F102&lt;80,G102&gt;=80),"Travailleur fiable","Sous-performeur"))))</f>
        <v/>
      </c>
      <c r="J102" s="4" t="n"/>
      <c r="K102" s="4" t="n"/>
      <c r="L102" s="4" t="n"/>
      <c r="M102" s="4" t="n"/>
      <c r="N102" s="4" t="n"/>
    </row>
    <row r="103">
      <c r="A103" s="5" t="n"/>
      <c r="B103" s="5">
        <f>IFERROR(VLOOKUP(A103,'F01 - _Données Centrales'!A6:B20,2,FALSE),"")</f>
        <v/>
      </c>
      <c r="C103" s="5">
        <f>IFERROR(VLOOKUP(A103,'F01 - _Données Centrales'!A6:C20,3,FALSE),"")</f>
        <v/>
      </c>
      <c r="D103" s="5" t="n"/>
      <c r="E103" s="5" t="n"/>
      <c r="F103" s="5" t="n"/>
      <c r="G103" s="5" t="n"/>
      <c r="H103" s="5">
        <f>IFERROR((F103+G103)/2,0)</f>
        <v/>
      </c>
      <c r="I103" s="5">
        <f>IF(OR(F103="",G103=""),"",IF(AND(F103&gt;=80,G103&gt;=80),"Étoile",IF(AND(F103&gt;=80,G103&lt;80),"Problème de perf.",IF(AND(F103&lt;80,G103&gt;=80),"Travailleur fiable","Sous-performeur"))))</f>
        <v/>
      </c>
      <c r="J103" s="5" t="n"/>
      <c r="K103" s="5" t="n"/>
      <c r="L103" s="5" t="n"/>
      <c r="M103" s="5" t="n"/>
      <c r="N103" s="5" t="n"/>
    </row>
    <row r="104">
      <c r="A104" s="4" t="n"/>
      <c r="B104" s="4">
        <f>IFERROR(VLOOKUP(A104,'F01 - _Données Centrales'!A6:B20,2,FALSE),"")</f>
        <v/>
      </c>
      <c r="C104" s="4">
        <f>IFERROR(VLOOKUP(A104,'F01 - _Données Centrales'!A6:C20,3,FALSE),"")</f>
        <v/>
      </c>
      <c r="D104" s="4" t="n"/>
      <c r="E104" s="4" t="n"/>
      <c r="F104" s="4" t="n"/>
      <c r="G104" s="4" t="n"/>
      <c r="H104" s="4">
        <f>IFERROR((F104+G104)/2,0)</f>
        <v/>
      </c>
      <c r="I104" s="4">
        <f>IF(OR(F104="",G104=""),"",IF(AND(F104&gt;=80,G104&gt;=80),"Étoile",IF(AND(F104&gt;=80,G104&lt;80),"Problème de perf.",IF(AND(F104&lt;80,G104&gt;=80),"Travailleur fiable","Sous-performeur"))))</f>
        <v/>
      </c>
      <c r="J104" s="4" t="n"/>
      <c r="K104" s="4" t="n"/>
      <c r="L104" s="4" t="n"/>
      <c r="M104" s="4" t="n"/>
      <c r="N104" s="4" t="n"/>
    </row>
    <row r="105">
      <c r="A105" s="5" t="n"/>
      <c r="B105" s="5">
        <f>IFERROR(VLOOKUP(A105,'F01 - _Données Centrales'!A6:B20,2,FALSE),"")</f>
        <v/>
      </c>
      <c r="C105" s="5">
        <f>IFERROR(VLOOKUP(A105,'F01 - _Données Centrales'!A6:C20,3,FALSE),"")</f>
        <v/>
      </c>
      <c r="D105" s="5" t="n"/>
      <c r="E105" s="5" t="n"/>
      <c r="F105" s="5" t="n"/>
      <c r="G105" s="5" t="n"/>
      <c r="H105" s="5">
        <f>IFERROR((F105+G105)/2,0)</f>
        <v/>
      </c>
      <c r="I105" s="5">
        <f>IF(OR(F105="",G105=""),"",IF(AND(F105&gt;=80,G105&gt;=80),"Étoile",IF(AND(F105&gt;=80,G105&lt;80),"Problème de perf.",IF(AND(F105&lt;80,G105&gt;=80),"Travailleur fiable","Sous-performeur"))))</f>
        <v/>
      </c>
      <c r="J105" s="5" t="n"/>
      <c r="K105" s="5" t="n"/>
      <c r="L105" s="5" t="n"/>
      <c r="M105" s="5" t="n"/>
      <c r="N105" s="5" t="n"/>
    </row>
    <row r="106">
      <c r="A106" s="4" t="n"/>
      <c r="B106" s="4">
        <f>IFERROR(VLOOKUP(A106,'F01 - _Données Centrales'!A6:B20,2,FALSE),"")</f>
        <v/>
      </c>
      <c r="C106" s="4">
        <f>IFERROR(VLOOKUP(A106,'F01 - _Données Centrales'!A6:C20,3,FALSE),"")</f>
        <v/>
      </c>
      <c r="D106" s="4" t="n"/>
      <c r="E106" s="4" t="n"/>
      <c r="F106" s="4" t="n"/>
      <c r="G106" s="4" t="n"/>
      <c r="H106" s="4">
        <f>IFERROR((F106+G106)/2,0)</f>
        <v/>
      </c>
      <c r="I106" s="4">
        <f>IF(OR(F106="",G106=""),"",IF(AND(F106&gt;=80,G106&gt;=80),"Étoile",IF(AND(F106&gt;=80,G106&lt;80),"Problème de perf.",IF(AND(F106&lt;80,G106&gt;=80),"Travailleur fiable","Sous-performeur"))))</f>
        <v/>
      </c>
      <c r="J106" s="4" t="n"/>
      <c r="K106" s="4" t="n"/>
      <c r="L106" s="4" t="n"/>
      <c r="M106" s="4" t="n"/>
      <c r="N106" s="4" t="n"/>
    </row>
    <row r="107">
      <c r="A107" s="5" t="n"/>
      <c r="B107" s="5">
        <f>IFERROR(VLOOKUP(A107,'F01 - _Données Centrales'!A6:B20,2,FALSE),"")</f>
        <v/>
      </c>
      <c r="C107" s="5">
        <f>IFERROR(VLOOKUP(A107,'F01 - _Données Centrales'!A6:C20,3,FALSE),"")</f>
        <v/>
      </c>
      <c r="D107" s="5" t="n"/>
      <c r="E107" s="5" t="n"/>
      <c r="F107" s="5" t="n"/>
      <c r="G107" s="5" t="n"/>
      <c r="H107" s="5">
        <f>IFERROR((F107+G107)/2,0)</f>
        <v/>
      </c>
      <c r="I107" s="5">
        <f>IF(OR(F107="",G107=""),"",IF(AND(F107&gt;=80,G107&gt;=80),"Étoile",IF(AND(F107&gt;=80,G107&lt;80),"Problème de perf.",IF(AND(F107&lt;80,G107&gt;=80),"Travailleur fiable","Sous-performeur"))))</f>
        <v/>
      </c>
      <c r="J107" s="5" t="n"/>
      <c r="K107" s="5" t="n"/>
      <c r="L107" s="5" t="n"/>
      <c r="M107" s="5" t="n"/>
      <c r="N107" s="5" t="n"/>
    </row>
    <row r="108">
      <c r="A108" s="4" t="n"/>
      <c r="B108" s="4">
        <f>IFERROR(VLOOKUP(A108,'F01 - _Données Centrales'!A6:B20,2,FALSE),"")</f>
        <v/>
      </c>
      <c r="C108" s="4">
        <f>IFERROR(VLOOKUP(A108,'F01 - _Données Centrales'!A6:C20,3,FALSE),"")</f>
        <v/>
      </c>
      <c r="D108" s="4" t="n"/>
      <c r="E108" s="4" t="n"/>
      <c r="F108" s="4" t="n"/>
      <c r="G108" s="4" t="n"/>
      <c r="H108" s="4">
        <f>IFERROR((F108+G108)/2,0)</f>
        <v/>
      </c>
      <c r="I108" s="4">
        <f>IF(OR(F108="",G108=""),"",IF(AND(F108&gt;=80,G108&gt;=80),"Étoile",IF(AND(F108&gt;=80,G108&lt;80),"Problème de perf.",IF(AND(F108&lt;80,G108&gt;=80),"Travailleur fiable","Sous-performeur"))))</f>
        <v/>
      </c>
      <c r="J108" s="4" t="n"/>
      <c r="K108" s="4" t="n"/>
      <c r="L108" s="4" t="n"/>
      <c r="M108" s="4" t="n"/>
      <c r="N108" s="4" t="n"/>
    </row>
    <row r="109">
      <c r="A109" s="5" t="n"/>
      <c r="B109" s="5">
        <f>IFERROR(VLOOKUP(A109,'F01 - _Données Centrales'!A6:B20,2,FALSE),"")</f>
        <v/>
      </c>
      <c r="C109" s="5">
        <f>IFERROR(VLOOKUP(A109,'F01 - _Données Centrales'!A6:C20,3,FALSE),"")</f>
        <v/>
      </c>
      <c r="D109" s="5" t="n"/>
      <c r="E109" s="5" t="n"/>
      <c r="F109" s="5" t="n"/>
      <c r="G109" s="5" t="n"/>
      <c r="H109" s="5">
        <f>IFERROR((F109+G109)/2,0)</f>
        <v/>
      </c>
      <c r="I109" s="5">
        <f>IF(OR(F109="",G109=""),"",IF(AND(F109&gt;=80,G109&gt;=80),"Étoile",IF(AND(F109&gt;=80,G109&lt;80),"Problème de perf.",IF(AND(F109&lt;80,G109&gt;=80),"Travailleur fiable","Sous-performeur"))))</f>
        <v/>
      </c>
      <c r="J109" s="5" t="n"/>
      <c r="K109" s="5" t="n"/>
      <c r="L109" s="5" t="n"/>
      <c r="M109" s="5" t="n"/>
      <c r="N109" s="5" t="n"/>
    </row>
    <row r="110">
      <c r="A110" s="4" t="n"/>
      <c r="B110" s="4">
        <f>IFERROR(VLOOKUP(A110,'F01 - _Données Centrales'!A6:B20,2,FALSE),"")</f>
        <v/>
      </c>
      <c r="C110" s="4">
        <f>IFERROR(VLOOKUP(A110,'F01 - _Données Centrales'!A6:C20,3,FALSE),"")</f>
        <v/>
      </c>
      <c r="D110" s="4" t="n"/>
      <c r="E110" s="4" t="n"/>
      <c r="F110" s="4" t="n"/>
      <c r="G110" s="4" t="n"/>
      <c r="H110" s="4">
        <f>IFERROR((F110+G110)/2,0)</f>
        <v/>
      </c>
      <c r="I110" s="4">
        <f>IF(OR(F110="",G110=""),"",IF(AND(F110&gt;=80,G110&gt;=80),"Étoile",IF(AND(F110&gt;=80,G110&lt;80),"Problème de perf.",IF(AND(F110&lt;80,G110&gt;=80),"Travailleur fiable","Sous-performeur"))))</f>
        <v/>
      </c>
      <c r="J110" s="4" t="n"/>
      <c r="K110" s="4" t="n"/>
      <c r="L110" s="4" t="n"/>
      <c r="M110" s="4" t="n"/>
      <c r="N110" s="4" t="n"/>
    </row>
    <row r="111">
      <c r="A111" s="5" t="n"/>
      <c r="B111" s="5">
        <f>IFERROR(VLOOKUP(A111,'F01 - _Données Centrales'!A6:B20,2,FALSE),"")</f>
        <v/>
      </c>
      <c r="C111" s="5">
        <f>IFERROR(VLOOKUP(A111,'F01 - _Données Centrales'!A6:C20,3,FALSE),"")</f>
        <v/>
      </c>
      <c r="D111" s="5" t="n"/>
      <c r="E111" s="5" t="n"/>
      <c r="F111" s="5" t="n"/>
      <c r="G111" s="5" t="n"/>
      <c r="H111" s="5">
        <f>IFERROR((F111+G111)/2,0)</f>
        <v/>
      </c>
      <c r="I111" s="5">
        <f>IF(OR(F111="",G111=""),"",IF(AND(F111&gt;=80,G111&gt;=80),"Étoile",IF(AND(F111&gt;=80,G111&lt;80),"Problème de perf.",IF(AND(F111&lt;80,G111&gt;=80),"Travailleur fiable","Sous-performeur"))))</f>
        <v/>
      </c>
      <c r="J111" s="5" t="n"/>
      <c r="K111" s="5" t="n"/>
      <c r="L111" s="5" t="n"/>
      <c r="M111" s="5" t="n"/>
      <c r="N111" s="5" t="n"/>
    </row>
    <row r="112">
      <c r="A112" s="4" t="n"/>
      <c r="B112" s="4">
        <f>IFERROR(VLOOKUP(A112,'F01 - _Données Centrales'!A6:B20,2,FALSE),"")</f>
        <v/>
      </c>
      <c r="C112" s="4">
        <f>IFERROR(VLOOKUP(A112,'F01 - _Données Centrales'!A6:C20,3,FALSE),"")</f>
        <v/>
      </c>
      <c r="D112" s="4" t="n"/>
      <c r="E112" s="4" t="n"/>
      <c r="F112" s="4" t="n"/>
      <c r="G112" s="4" t="n"/>
      <c r="H112" s="4">
        <f>IFERROR((F112+G112)/2,0)</f>
        <v/>
      </c>
      <c r="I112" s="4">
        <f>IF(OR(F112="",G112=""),"",IF(AND(F112&gt;=80,G112&gt;=80),"Étoile",IF(AND(F112&gt;=80,G112&lt;80),"Problème de perf.",IF(AND(F112&lt;80,G112&gt;=80),"Travailleur fiable","Sous-performeur"))))</f>
        <v/>
      </c>
      <c r="J112" s="4" t="n"/>
      <c r="K112" s="4" t="n"/>
      <c r="L112" s="4" t="n"/>
      <c r="M112" s="4" t="n"/>
      <c r="N112" s="4" t="n"/>
    </row>
    <row r="113">
      <c r="A113" s="5" t="n"/>
      <c r="B113" s="5">
        <f>IFERROR(VLOOKUP(A113,'F01 - _Données Centrales'!A6:B20,2,FALSE),"")</f>
        <v/>
      </c>
      <c r="C113" s="5">
        <f>IFERROR(VLOOKUP(A113,'F01 - _Données Centrales'!A6:C20,3,FALSE),"")</f>
        <v/>
      </c>
      <c r="D113" s="5" t="n"/>
      <c r="E113" s="5" t="n"/>
      <c r="F113" s="5" t="n"/>
      <c r="G113" s="5" t="n"/>
      <c r="H113" s="5">
        <f>IFERROR((F113+G113)/2,0)</f>
        <v/>
      </c>
      <c r="I113" s="5">
        <f>IF(OR(F113="",G113=""),"",IF(AND(F113&gt;=80,G113&gt;=80),"Étoile",IF(AND(F113&gt;=80,G113&lt;80),"Problème de perf.",IF(AND(F113&lt;80,G113&gt;=80),"Travailleur fiable","Sous-performeur"))))</f>
        <v/>
      </c>
      <c r="J113" s="5" t="n"/>
      <c r="K113" s="5" t="n"/>
      <c r="L113" s="5" t="n"/>
      <c r="M113" s="5" t="n"/>
      <c r="N113" s="5" t="n"/>
    </row>
    <row r="114">
      <c r="A114" s="4" t="n"/>
      <c r="B114" s="4">
        <f>IFERROR(VLOOKUP(A114,'F01 - _Données Centrales'!A6:B20,2,FALSE),"")</f>
        <v/>
      </c>
      <c r="C114" s="4">
        <f>IFERROR(VLOOKUP(A114,'F01 - _Données Centrales'!A6:C20,3,FALSE),"")</f>
        <v/>
      </c>
      <c r="D114" s="4" t="n"/>
      <c r="E114" s="4" t="n"/>
      <c r="F114" s="4" t="n"/>
      <c r="G114" s="4" t="n"/>
      <c r="H114" s="4">
        <f>IFERROR((F114+G114)/2,0)</f>
        <v/>
      </c>
      <c r="I114" s="4">
        <f>IF(OR(F114="",G114=""),"",IF(AND(F114&gt;=80,G114&gt;=80),"Étoile",IF(AND(F114&gt;=80,G114&lt;80),"Problème de perf.",IF(AND(F114&lt;80,G114&gt;=80),"Travailleur fiable","Sous-performeur"))))</f>
        <v/>
      </c>
      <c r="J114" s="4" t="n"/>
      <c r="K114" s="4" t="n"/>
      <c r="L114" s="4" t="n"/>
      <c r="M114" s="4" t="n"/>
      <c r="N114" s="4" t="n"/>
    </row>
    <row r="115">
      <c r="A115" s="5" t="n"/>
      <c r="B115" s="5">
        <f>IFERROR(VLOOKUP(A115,'F01 - _Données Centrales'!A6:B20,2,FALSE),"")</f>
        <v/>
      </c>
      <c r="C115" s="5">
        <f>IFERROR(VLOOKUP(A115,'F01 - _Données Centrales'!A6:C20,3,FALSE),"")</f>
        <v/>
      </c>
      <c r="D115" s="5" t="n"/>
      <c r="E115" s="5" t="n"/>
      <c r="F115" s="5" t="n"/>
      <c r="G115" s="5" t="n"/>
      <c r="H115" s="5">
        <f>IFERROR((F115+G115)/2,0)</f>
        <v/>
      </c>
      <c r="I115" s="5">
        <f>IF(OR(F115="",G115=""),"",IF(AND(F115&gt;=80,G115&gt;=80),"Étoile",IF(AND(F115&gt;=80,G115&lt;80),"Problème de perf.",IF(AND(F115&lt;80,G115&gt;=80),"Travailleur fiable","Sous-performeur"))))</f>
        <v/>
      </c>
      <c r="J115" s="5" t="n"/>
      <c r="K115" s="5" t="n"/>
      <c r="L115" s="5" t="n"/>
      <c r="M115" s="5" t="n"/>
      <c r="N115" s="5" t="n"/>
    </row>
  </sheetData>
  <mergeCells count="2">
    <mergeCell ref="A3:P3"/>
    <mergeCell ref="A2:P2"/>
  </mergeCells>
  <conditionalFormatting sqref="I6:I115">
    <cfRule type="cellIs" priority="1" operator="equal" dxfId="0">
      <formula>"Étoile"</formula>
    </cfRule>
    <cfRule type="cellIs" priority="2" operator="equal" dxfId="4">
      <formula>"Problème de perf."</formula>
    </cfRule>
    <cfRule type="cellIs" priority="3" operator="equal" dxfId="1">
      <formula>"Travailleur fiable"</formula>
    </cfRule>
    <cfRule type="cellIs" priority="4" operator="equal" dxfId="3">
      <formula>"Sous-performeur"</formula>
    </cfRule>
  </conditionalFormatting>
  <dataValidations count="2">
    <dataValidation sqref="D6:D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_Lists'!$D$6:$D$35</formula1>
    </dataValidation>
    <dataValidation sqref="E6:E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_Lists'!$E$6:$E$35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0" customWidth="1" min="4" max="4"/>
    <col width="14" customWidth="1" min="5" max="5"/>
    <col width="22" customWidth="1" min="6" max="6"/>
    <col width="16" customWidth="1" min="7" max="7"/>
    <col width="14" customWidth="1" min="8" max="8"/>
    <col width="14" customWidth="1" min="9" max="9"/>
    <col width="22" customWidth="1" min="10" max="10"/>
    <col width="14" customWidth="1" min="11" max="11"/>
    <col width="18" customWidth="1" min="12" max="12"/>
    <col width="16" customWidth="1" min="13" max="13"/>
  </cols>
  <sheetData>
    <row r="2" ht="25" customHeight="1">
      <c r="A2" s="1" t="inlineStr">
        <is>
          <t>DOMAINE 28 — PARCOURS DE CARRIÈRE</t>
        </is>
      </c>
    </row>
    <row r="3" ht="18" customHeight="1">
      <c r="A3" s="2" t="inlineStr">
        <is>
          <t>Historique et planification des trajectoires professionnelles</t>
        </is>
      </c>
    </row>
    <row r="5">
      <c r="A5" s="3" t="inlineStr">
        <is>
          <t>Code Employé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Poste Entrée</t>
        </is>
      </c>
      <c r="E5" s="3" t="inlineStr">
        <is>
          <t>Date Entrée</t>
        </is>
      </c>
      <c r="F5" s="3" t="inlineStr">
        <is>
          <t>Poste Actuel</t>
        </is>
      </c>
      <c r="G5" s="3" t="inlineStr">
        <is>
          <t>Date Poste Actuel</t>
        </is>
      </c>
      <c r="H5" s="3" t="inlineStr">
        <is>
          <t>Nb Promotions</t>
        </is>
      </c>
      <c r="I5" s="3" t="inlineStr">
        <is>
          <t>Nb Mobilités</t>
        </is>
      </c>
      <c r="J5" s="3" t="inlineStr">
        <is>
          <t>Prochain Palier</t>
        </is>
      </c>
      <c r="K5" s="3" t="inlineStr">
        <is>
          <t>Date Cible</t>
        </is>
      </c>
      <c r="L5" s="3" t="inlineStr">
        <is>
          <t>Délai Restant (mois)</t>
        </is>
      </c>
      <c r="M5" s="3" t="inlineStr">
        <is>
          <t>Statut Parcours</t>
        </is>
      </c>
    </row>
    <row r="6">
      <c r="A6" s="4" t="inlineStr">
        <is>
          <t>EMP-001</t>
        </is>
      </c>
      <c r="B6" s="4">
        <f>IFERROR(VLOOKUP(A6,'F01 - _Données Centrales'!A6:B20,2,FALSE),"")</f>
        <v/>
      </c>
      <c r="C6" s="4">
        <f>IFERROR(VLOOKUP(A6,'F01 - _Données Centrales'!A6:C20,3,FALSE),"")</f>
        <v/>
      </c>
      <c r="D6" s="4" t="inlineStr">
        <is>
          <t>Chef de Dept.</t>
        </is>
      </c>
      <c r="E6" s="4" t="inlineStr">
        <is>
          <t>2003-01-15</t>
        </is>
      </c>
      <c r="F6" s="4" t="inlineStr">
        <is>
          <t>Directeur Général</t>
        </is>
      </c>
      <c r="G6" s="4" t="inlineStr">
        <is>
          <t>2015-01-15</t>
        </is>
      </c>
      <c r="H6" s="4" t="n">
        <v>4</v>
      </c>
      <c r="I6" s="4" t="n">
        <v>2</v>
      </c>
      <c r="J6" s="4" t="inlineStr">
        <is>
          <t>Conseil Surveillance</t>
        </is>
      </c>
      <c r="K6" s="4" t="inlineStr">
        <is>
          <t>2027-01-01</t>
        </is>
      </c>
      <c r="L6" s="4">
        <f>IF(K6="","",MAX(0,ROUND((DATEVALUE(K6)-TODAY())/30,0)))</f>
        <v/>
      </c>
      <c r="M6" s="4" t="inlineStr">
        <is>
          <t>En progression</t>
        </is>
      </c>
    </row>
    <row r="7">
      <c r="A7" s="5" t="inlineStr">
        <is>
          <t>EMP-002</t>
        </is>
      </c>
      <c r="B7" s="5">
        <f>IFERROR(VLOOKUP(A7,'F01 - _Données Centrales'!A6:B20,2,FALSE),"")</f>
        <v/>
      </c>
      <c r="C7" s="5">
        <f>IFERROR(VLOOKUP(A7,'F01 - _Données Centrales'!A6:C20,3,FALSE),"")</f>
        <v/>
      </c>
      <c r="D7" s="5" t="inlineStr">
        <is>
          <t>Assistante RH</t>
        </is>
      </c>
      <c r="E7" s="5" t="inlineStr">
        <is>
          <t>2010-06-01</t>
        </is>
      </c>
      <c r="F7" s="5" t="inlineStr">
        <is>
          <t>DRH</t>
        </is>
      </c>
      <c r="G7" s="5" t="inlineStr">
        <is>
          <t>2018-06-01</t>
        </is>
      </c>
      <c r="H7" s="5" t="n">
        <v>3</v>
      </c>
      <c r="I7" s="5" t="n">
        <v>1</v>
      </c>
      <c r="J7" s="5" t="inlineStr">
        <is>
          <t>DG Adjoint</t>
        </is>
      </c>
      <c r="K7" s="5" t="inlineStr">
        <is>
          <t>2026-01-01</t>
        </is>
      </c>
      <c r="L7" s="5">
        <f>IF(K7="","",MAX(0,ROUND((DATEVALUE(K7)-TODAY())/30,0)))</f>
        <v/>
      </c>
      <c r="M7" s="5" t="inlineStr">
        <is>
          <t>En progression</t>
        </is>
      </c>
    </row>
    <row r="8">
      <c r="A8" s="4" t="inlineStr">
        <is>
          <t>EMP-007</t>
        </is>
      </c>
      <c r="B8" s="4">
        <f>IFERROR(VLOOKUP(A8,'F01 - _Données Centrales'!A6:B20,2,FALSE),"")</f>
        <v/>
      </c>
      <c r="C8" s="4">
        <f>IFERROR(VLOOKUP(A8,'F01 - _Données Centrales'!A6:C20,3,FALSE),"")</f>
        <v/>
      </c>
      <c r="D8" s="4" t="inlineStr">
        <is>
          <t>Assistante RH</t>
        </is>
      </c>
      <c r="E8" s="4" t="inlineStr">
        <is>
          <t>2019-01-10</t>
        </is>
      </c>
      <c r="F8" s="4" t="inlineStr">
        <is>
          <t>Resp. Recrutement</t>
        </is>
      </c>
      <c r="G8" s="4" t="inlineStr">
        <is>
          <t>2022-01-10</t>
        </is>
      </c>
      <c r="H8" s="4" t="n">
        <v>1</v>
      </c>
      <c r="I8" s="4" t="n">
        <v>0</v>
      </c>
      <c r="J8" s="4" t="inlineStr">
        <is>
          <t>DRH</t>
        </is>
      </c>
      <c r="K8" s="4" t="inlineStr">
        <is>
          <t>2026-06-01</t>
        </is>
      </c>
      <c r="L8" s="4">
        <f>IF(K8="","",MAX(0,ROUND((DATEVALUE(K8)-TODAY())/30,0)))</f>
        <v/>
      </c>
      <c r="M8" s="4" t="inlineStr">
        <is>
          <t>Accéléré</t>
        </is>
      </c>
    </row>
    <row r="9">
      <c r="A9" s="5" t="inlineStr">
        <is>
          <t>EMP-005</t>
        </is>
      </c>
      <c r="B9" s="5">
        <f>IFERROR(VLOOKUP(A9,'F01 - _Données Centrales'!A6:B20,2,FALSE),"")</f>
        <v/>
      </c>
      <c r="C9" s="5">
        <f>IFERROR(VLOOKUP(A9,'F01 - _Données Centrales'!A6:C20,3,FALSE),"")</f>
        <v/>
      </c>
      <c r="D9" s="5" t="inlineStr">
        <is>
          <t>Réceptionniste</t>
        </is>
      </c>
      <c r="E9" s="5" t="inlineStr">
        <is>
          <t>2015-07-01</t>
        </is>
      </c>
      <c r="F9" s="5" t="inlineStr">
        <is>
          <t>Resp. Réception</t>
        </is>
      </c>
      <c r="G9" s="5" t="inlineStr">
        <is>
          <t>2020-07-01</t>
        </is>
      </c>
      <c r="H9" s="5" t="n">
        <v>2</v>
      </c>
      <c r="I9" s="5" t="n">
        <v>0</v>
      </c>
      <c r="J9" s="5" t="inlineStr">
        <is>
          <t>DRH Adjoint</t>
        </is>
      </c>
      <c r="K9" s="5" t="inlineStr">
        <is>
          <t>2027-07-01</t>
        </is>
      </c>
      <c r="L9" s="5">
        <f>IF(K9="","",MAX(0,ROUND((DATEVALUE(K9)-TODAY())/30,0)))</f>
        <v/>
      </c>
      <c r="M9" s="5" t="inlineStr">
        <is>
          <t>En progression</t>
        </is>
      </c>
    </row>
    <row r="10">
      <c r="A10" s="4" t="inlineStr">
        <is>
          <t>EMP-004</t>
        </is>
      </c>
      <c r="B10" s="4">
        <f>IFERROR(VLOOKUP(A10,'F01 - _Données Centrales'!A6:B20,2,FALSE),"")</f>
        <v/>
      </c>
      <c r="C10" s="4">
        <f>IFERROR(VLOOKUP(A10,'F01 - _Données Centrales'!A6:C20,3,FALSE),"")</f>
        <v/>
      </c>
      <c r="D10" s="4" t="inlineStr">
        <is>
          <t>Commis Cuisine</t>
        </is>
      </c>
      <c r="E10" s="4" t="inlineStr">
        <is>
          <t>2017-03-10</t>
        </is>
      </c>
      <c r="F10" s="4" t="inlineStr">
        <is>
          <t>Chef Cuisinier</t>
        </is>
      </c>
      <c r="G10" s="4" t="inlineStr">
        <is>
          <t>2021-03-10</t>
        </is>
      </c>
      <c r="H10" s="4" t="n">
        <v>2</v>
      </c>
      <c r="I10" s="4" t="n">
        <v>1</v>
      </c>
      <c r="J10" s="4" t="inlineStr">
        <is>
          <t>Resp. Rest. Hôtellerie</t>
        </is>
      </c>
      <c r="K10" s="4" t="inlineStr">
        <is>
          <t>2026-03-01</t>
        </is>
      </c>
      <c r="L10" s="4">
        <f>IF(K10="","",MAX(0,ROUND((DATEVALUE(K10)-TODAY())/30,0)))</f>
        <v/>
      </c>
      <c r="M10" s="4" t="inlineStr">
        <is>
          <t>En attente</t>
        </is>
      </c>
    </row>
    <row r="11">
      <c r="A11" s="5" t="n"/>
      <c r="B11" s="5">
        <f>IFERROR(VLOOKUP(A11,'F01 - _Données Centrales'!A6:B20,2,FALSE),"")</f>
        <v/>
      </c>
      <c r="C11" s="5">
        <f>IFERROR(VLOOKUP(A11,'F01 - _Données Centrales'!A6:C20,3,FALSE),"")</f>
        <v/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>
        <f>IF(K11="","",MAX(0,ROUND((DATEVALUE(K11)-TODAY())/30,0)))</f>
        <v/>
      </c>
      <c r="M11" s="5" t="n"/>
    </row>
    <row r="12">
      <c r="A12" s="4" t="n"/>
      <c r="B12" s="4">
        <f>IFERROR(VLOOKUP(A12,'F01 - _Données Centrales'!A6:B20,2,FALSE),"")</f>
        <v/>
      </c>
      <c r="C12" s="4">
        <f>IFERROR(VLOOKUP(A12,'F01 - _Données Centrales'!A6:C20,3,FALSE),"")</f>
        <v/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>
        <f>IF(K12="","",MAX(0,ROUND((DATEVALUE(K12)-TODAY())/30,0)))</f>
        <v/>
      </c>
      <c r="M12" s="4" t="n"/>
    </row>
    <row r="13">
      <c r="A13" s="5" t="n"/>
      <c r="B13" s="5">
        <f>IFERROR(VLOOKUP(A13,'F01 - _Données Centrales'!A6:B20,2,FALSE),"")</f>
        <v/>
      </c>
      <c r="C13" s="5">
        <f>IFERROR(VLOOKUP(A13,'F01 - _Données Centrales'!A6:C20,3,FALSE),"")</f>
        <v/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>
        <f>IF(K13="","",MAX(0,ROUND((DATEVALUE(K13)-TODAY())/30,0)))</f>
        <v/>
      </c>
      <c r="M13" s="5" t="n"/>
    </row>
    <row r="14">
      <c r="A14" s="4" t="n"/>
      <c r="B14" s="4">
        <f>IFERROR(VLOOKUP(A14,'F01 - _Données Centrales'!A6:B20,2,FALSE),"")</f>
        <v/>
      </c>
      <c r="C14" s="4">
        <f>IFERROR(VLOOKUP(A14,'F01 - _Données Centrales'!A6:C20,3,FALSE),"")</f>
        <v/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>
        <f>IF(K14="","",MAX(0,ROUND((DATEVALUE(K14)-TODAY())/30,0)))</f>
        <v/>
      </c>
      <c r="M14" s="4" t="n"/>
    </row>
    <row r="15">
      <c r="A15" s="5" t="n"/>
      <c r="B15" s="5">
        <f>IFERROR(VLOOKUP(A15,'F01 - _Données Centrales'!A6:B20,2,FALSE),"")</f>
        <v/>
      </c>
      <c r="C15" s="5">
        <f>IFERROR(VLOOKUP(A15,'F01 - _Données Centrales'!A6:C20,3,FALSE),"")</f>
        <v/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>
        <f>IF(K15="","",MAX(0,ROUND((DATEVALUE(K15)-TODAY())/30,0)))</f>
        <v/>
      </c>
      <c r="M15" s="5" t="n"/>
    </row>
    <row r="16">
      <c r="A16" s="4" t="n"/>
      <c r="B16" s="4">
        <f>IFERROR(VLOOKUP(A16,'F01 - _Données Centrales'!A6:B20,2,FALSE),"")</f>
        <v/>
      </c>
      <c r="C16" s="4">
        <f>IFERROR(VLOOKUP(A16,'F01 - _Données Centrales'!A6:C20,3,FALSE),"")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>
        <f>IF(K16="","",MAX(0,ROUND((DATEVALUE(K16)-TODAY())/30,0)))</f>
        <v/>
      </c>
      <c r="M16" s="4" t="n"/>
    </row>
    <row r="17">
      <c r="A17" s="5" t="n"/>
      <c r="B17" s="5">
        <f>IFERROR(VLOOKUP(A17,'F01 - _Données Centrales'!A6:B20,2,FALSE),"")</f>
        <v/>
      </c>
      <c r="C17" s="5">
        <f>IFERROR(VLOOKUP(A17,'F01 - _Données Centrales'!A6:C20,3,FALSE),"")</f>
        <v/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>
        <f>IF(K17="","",MAX(0,ROUND((DATEVALUE(K17)-TODAY())/30,0)))</f>
        <v/>
      </c>
      <c r="M17" s="5" t="n"/>
    </row>
    <row r="18">
      <c r="A18" s="4" t="n"/>
      <c r="B18" s="4">
        <f>IFERROR(VLOOKUP(A18,'F01 - _Données Centrales'!A6:B20,2,FALSE),"")</f>
        <v/>
      </c>
      <c r="C18" s="4">
        <f>IFERROR(VLOOKUP(A18,'F01 - _Données Centrales'!A6:C20,3,FALSE),"")</f>
        <v/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>
        <f>IF(K18="","",MAX(0,ROUND((DATEVALUE(K18)-TODAY())/30,0)))</f>
        <v/>
      </c>
      <c r="M18" s="4" t="n"/>
    </row>
    <row r="19">
      <c r="A19" s="5" t="n"/>
      <c r="B19" s="5">
        <f>IFERROR(VLOOKUP(A19,'F01 - _Données Centrales'!A6:B20,2,FALSE),"")</f>
        <v/>
      </c>
      <c r="C19" s="5">
        <f>IFERROR(VLOOKUP(A19,'F01 - _Données Centrales'!A6:C20,3,FALSE),"")</f>
        <v/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>
        <f>IF(K19="","",MAX(0,ROUND((DATEVALUE(K19)-TODAY())/30,0)))</f>
        <v/>
      </c>
      <c r="M19" s="5" t="n"/>
    </row>
    <row r="20">
      <c r="A20" s="4" t="n"/>
      <c r="B20" s="4">
        <f>IFERROR(VLOOKUP(A20,'F01 - _Données Centrales'!A6:B20,2,FALSE),"")</f>
        <v/>
      </c>
      <c r="C20" s="4">
        <f>IFERROR(VLOOKUP(A20,'F01 - _Données Centrales'!A6:C20,3,FALSE),"")</f>
        <v/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>
        <f>IF(K20="","",MAX(0,ROUND((DATEVALUE(K20)-TODAY())/30,0)))</f>
        <v/>
      </c>
      <c r="M20" s="4" t="n"/>
    </row>
    <row r="21">
      <c r="A21" s="5" t="n"/>
      <c r="B21" s="5">
        <f>IFERROR(VLOOKUP(A21,'F01 - _Données Centrales'!A6:B20,2,FALSE),"")</f>
        <v/>
      </c>
      <c r="C21" s="5">
        <f>IFERROR(VLOOKUP(A21,'F01 - _Données Centrales'!A6:C20,3,FALSE),"")</f>
        <v/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>
        <f>IF(K21="","",MAX(0,ROUND((DATEVALUE(K21)-TODAY())/30,0)))</f>
        <v/>
      </c>
      <c r="M21" s="5" t="n"/>
    </row>
    <row r="22">
      <c r="A22" s="4" t="n"/>
      <c r="B22" s="4">
        <f>IFERROR(VLOOKUP(A22,'F01 - _Données Centrales'!A6:B20,2,FALSE),"")</f>
        <v/>
      </c>
      <c r="C22" s="4">
        <f>IFERROR(VLOOKUP(A22,'F01 - _Données Centrales'!A6:C20,3,FALSE),"")</f>
        <v/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>
        <f>IF(K22="","",MAX(0,ROUND((DATEVALUE(K22)-TODAY())/30,0)))</f>
        <v/>
      </c>
      <c r="M22" s="4" t="n"/>
    </row>
    <row r="23">
      <c r="A23" s="5" t="n"/>
      <c r="B23" s="5">
        <f>IFERROR(VLOOKUP(A23,'F01 - _Données Centrales'!A6:B20,2,FALSE),"")</f>
        <v/>
      </c>
      <c r="C23" s="5">
        <f>IFERROR(VLOOKUP(A23,'F01 - _Données Centrales'!A6:C20,3,FALSE),"")</f>
        <v/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>
        <f>IF(K23="","",MAX(0,ROUND((DATEVALUE(K23)-TODAY())/30,0)))</f>
        <v/>
      </c>
      <c r="M23" s="5" t="n"/>
    </row>
    <row r="24">
      <c r="A24" s="4" t="n"/>
      <c r="B24" s="4">
        <f>IFERROR(VLOOKUP(A24,'F01 - _Données Centrales'!A6:B20,2,FALSE),"")</f>
        <v/>
      </c>
      <c r="C24" s="4">
        <f>IFERROR(VLOOKUP(A24,'F01 - _Données Centrales'!A6:C20,3,FALSE),"")</f>
        <v/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>
        <f>IF(K24="","",MAX(0,ROUND((DATEVALUE(K24)-TODAY())/30,0)))</f>
        <v/>
      </c>
      <c r="M24" s="4" t="n"/>
    </row>
    <row r="25">
      <c r="A25" s="5" t="n"/>
      <c r="B25" s="5">
        <f>IFERROR(VLOOKUP(A25,'F01 - _Données Centrales'!A6:B20,2,FALSE),"")</f>
        <v/>
      </c>
      <c r="C25" s="5">
        <f>IFERROR(VLOOKUP(A25,'F01 - _Données Centrales'!A6:C20,3,FALSE),"")</f>
        <v/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>
        <f>IF(K25="","",MAX(0,ROUND((DATEVALUE(K25)-TODAY())/30,0)))</f>
        <v/>
      </c>
      <c r="M25" s="5" t="n"/>
    </row>
    <row r="26">
      <c r="A26" s="4" t="n"/>
      <c r="B26" s="4">
        <f>IFERROR(VLOOKUP(A26,'F01 - _Données Centrales'!A6:B20,2,FALSE),"")</f>
        <v/>
      </c>
      <c r="C26" s="4">
        <f>IFERROR(VLOOKUP(A26,'F01 - _Données Centrales'!A6:C20,3,FALSE),"")</f>
        <v/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>
        <f>IF(K26="","",MAX(0,ROUND((DATEVALUE(K26)-TODAY())/30,0)))</f>
        <v/>
      </c>
      <c r="M26" s="4" t="n"/>
    </row>
    <row r="27">
      <c r="A27" s="5" t="n"/>
      <c r="B27" s="5">
        <f>IFERROR(VLOOKUP(A27,'F01 - _Données Centrales'!A6:B20,2,FALSE),"")</f>
        <v/>
      </c>
      <c r="C27" s="5">
        <f>IFERROR(VLOOKUP(A27,'F01 - _Données Centrales'!A6:C20,3,FALSE),"")</f>
        <v/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>
        <f>IF(K27="","",MAX(0,ROUND((DATEVALUE(K27)-TODAY())/30,0)))</f>
        <v/>
      </c>
      <c r="M27" s="5" t="n"/>
    </row>
    <row r="28">
      <c r="A28" s="4" t="n"/>
      <c r="B28" s="4">
        <f>IFERROR(VLOOKUP(A28,'F01 - _Données Centrales'!A6:B20,2,FALSE),"")</f>
        <v/>
      </c>
      <c r="C28" s="4">
        <f>IFERROR(VLOOKUP(A28,'F01 - _Données Centrales'!A6:C20,3,FALSE),"")</f>
        <v/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>
        <f>IF(K28="","",MAX(0,ROUND((DATEVALUE(K28)-TODAY())/30,0)))</f>
        <v/>
      </c>
      <c r="M28" s="4" t="n"/>
    </row>
    <row r="29">
      <c r="A29" s="5" t="n"/>
      <c r="B29" s="5">
        <f>IFERROR(VLOOKUP(A29,'F01 - _Données Centrales'!A6:B20,2,FALSE),"")</f>
        <v/>
      </c>
      <c r="C29" s="5">
        <f>IFERROR(VLOOKUP(A29,'F01 - _Données Centrales'!A6:C20,3,FALSE),"")</f>
        <v/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>
        <f>IF(K29="","",MAX(0,ROUND((DATEVALUE(K29)-TODAY())/30,0)))</f>
        <v/>
      </c>
      <c r="M29" s="5" t="n"/>
    </row>
    <row r="30">
      <c r="A30" s="4" t="n"/>
      <c r="B30" s="4">
        <f>IFERROR(VLOOKUP(A30,'F01 - _Données Centrales'!A6:B20,2,FALSE),"")</f>
        <v/>
      </c>
      <c r="C30" s="4">
        <f>IFERROR(VLOOKUP(A30,'F01 - _Données Centrales'!A6:C20,3,FALSE),"")</f>
        <v/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>
        <f>IF(K30="","",MAX(0,ROUND((DATEVALUE(K30)-TODAY())/30,0)))</f>
        <v/>
      </c>
      <c r="M30" s="4" t="n"/>
    </row>
    <row r="31">
      <c r="A31" s="5" t="n"/>
      <c r="B31" s="5">
        <f>IFERROR(VLOOKUP(A31,'F01 - _Données Centrales'!A6:B20,2,FALSE),"")</f>
        <v/>
      </c>
      <c r="C31" s="5">
        <f>IFERROR(VLOOKUP(A31,'F01 - _Données Centrales'!A6:C20,3,FALSE),"")</f>
        <v/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>
        <f>IF(K31="","",MAX(0,ROUND((DATEVALUE(K31)-TODAY())/30,0)))</f>
        <v/>
      </c>
      <c r="M31" s="5" t="n"/>
    </row>
    <row r="32">
      <c r="A32" s="4" t="n"/>
      <c r="B32" s="4">
        <f>IFERROR(VLOOKUP(A32,'F01 - _Données Centrales'!A6:B20,2,FALSE),"")</f>
        <v/>
      </c>
      <c r="C32" s="4">
        <f>IFERROR(VLOOKUP(A32,'F01 - _Données Centrales'!A6:C20,3,FALSE),"")</f>
        <v/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>
        <f>IF(K32="","",MAX(0,ROUND((DATEVALUE(K32)-TODAY())/30,0)))</f>
        <v/>
      </c>
      <c r="M32" s="4" t="n"/>
    </row>
    <row r="33">
      <c r="A33" s="5" t="n"/>
      <c r="B33" s="5">
        <f>IFERROR(VLOOKUP(A33,'F01 - _Données Centrales'!A6:B20,2,FALSE),"")</f>
        <v/>
      </c>
      <c r="C33" s="5">
        <f>IFERROR(VLOOKUP(A33,'F01 - _Données Centrales'!A6:C20,3,FALSE),"")</f>
        <v/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>
        <f>IF(K33="","",MAX(0,ROUND((DATEVALUE(K33)-TODAY())/30,0)))</f>
        <v/>
      </c>
      <c r="M33" s="5" t="n"/>
    </row>
    <row r="34">
      <c r="A34" s="4" t="n"/>
      <c r="B34" s="4">
        <f>IFERROR(VLOOKUP(A34,'F01 - _Données Centrales'!A6:B20,2,FALSE),"")</f>
        <v/>
      </c>
      <c r="C34" s="4">
        <f>IFERROR(VLOOKUP(A34,'F01 - _Données Centrales'!A6:C20,3,FALSE),"")</f>
        <v/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>
        <f>IF(K34="","",MAX(0,ROUND((DATEVALUE(K34)-TODAY())/30,0)))</f>
        <v/>
      </c>
      <c r="M34" s="4" t="n"/>
    </row>
    <row r="35">
      <c r="A35" s="5" t="n"/>
      <c r="B35" s="5">
        <f>IFERROR(VLOOKUP(A35,'F01 - _Données Centrales'!A6:B20,2,FALSE),"")</f>
        <v/>
      </c>
      <c r="C35" s="5">
        <f>IFERROR(VLOOKUP(A35,'F01 - _Données Centrales'!A6:C20,3,FALSE),"")</f>
        <v/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>
        <f>IF(K35="","",MAX(0,ROUND((DATEVALUE(K35)-TODAY())/30,0)))</f>
        <v/>
      </c>
      <c r="M35" s="5" t="n"/>
    </row>
    <row r="36">
      <c r="A36" s="4" t="n"/>
      <c r="B36" s="4">
        <f>IFERROR(VLOOKUP(A36,'F01 - _Données Centrales'!A6:B20,2,FALSE),"")</f>
        <v/>
      </c>
      <c r="C36" s="4">
        <f>IFERROR(VLOOKUP(A36,'F01 - _Données Centrales'!A6:C20,3,FALSE),"")</f>
        <v/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>
        <f>IF(K36="","",MAX(0,ROUND((DATEVALUE(K36)-TODAY())/30,0)))</f>
        <v/>
      </c>
      <c r="M36" s="4" t="n"/>
    </row>
    <row r="37">
      <c r="A37" s="5" t="n"/>
      <c r="B37" s="5">
        <f>IFERROR(VLOOKUP(A37,'F01 - _Données Centrales'!A6:B20,2,FALSE),"")</f>
        <v/>
      </c>
      <c r="C37" s="5">
        <f>IFERROR(VLOOKUP(A37,'F01 - _Données Centrales'!A6:C20,3,FALSE),"")</f>
        <v/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>
        <f>IF(K37="","",MAX(0,ROUND((DATEVALUE(K37)-TODAY())/30,0)))</f>
        <v/>
      </c>
      <c r="M37" s="5" t="n"/>
    </row>
    <row r="38">
      <c r="A38" s="4" t="n"/>
      <c r="B38" s="4">
        <f>IFERROR(VLOOKUP(A38,'F01 - _Données Centrales'!A6:B20,2,FALSE),"")</f>
        <v/>
      </c>
      <c r="C38" s="4">
        <f>IFERROR(VLOOKUP(A38,'F01 - _Données Centrales'!A6:C20,3,FALSE),"")</f>
        <v/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>
        <f>IF(K38="","",MAX(0,ROUND((DATEVALUE(K38)-TODAY())/30,0)))</f>
        <v/>
      </c>
      <c r="M38" s="4" t="n"/>
    </row>
    <row r="39">
      <c r="A39" s="5" t="n"/>
      <c r="B39" s="5">
        <f>IFERROR(VLOOKUP(A39,'F01 - _Données Centrales'!A6:B20,2,FALSE),"")</f>
        <v/>
      </c>
      <c r="C39" s="5">
        <f>IFERROR(VLOOKUP(A39,'F01 - _Données Centrales'!A6:C20,3,FALSE),"")</f>
        <v/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>
        <f>IF(K39="","",MAX(0,ROUND((DATEVALUE(K39)-TODAY())/30,0)))</f>
        <v/>
      </c>
      <c r="M39" s="5" t="n"/>
    </row>
    <row r="40">
      <c r="A40" s="4" t="n"/>
      <c r="B40" s="4">
        <f>IFERROR(VLOOKUP(A40,'F01 - _Données Centrales'!A6:B20,2,FALSE),"")</f>
        <v/>
      </c>
      <c r="C40" s="4">
        <f>IFERROR(VLOOKUP(A40,'F01 - _Données Centrales'!A6:C20,3,FALSE),"")</f>
        <v/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>
        <f>IF(K40="","",MAX(0,ROUND((DATEVALUE(K40)-TODAY())/30,0)))</f>
        <v/>
      </c>
      <c r="M40" s="4" t="n"/>
    </row>
    <row r="41">
      <c r="A41" s="5" t="n"/>
      <c r="B41" s="5">
        <f>IFERROR(VLOOKUP(A41,'F01 - _Données Centrales'!A6:B20,2,FALSE),"")</f>
        <v/>
      </c>
      <c r="C41" s="5">
        <f>IFERROR(VLOOKUP(A41,'F01 - _Données Centrales'!A6:C20,3,FALSE),"")</f>
        <v/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>
        <f>IF(K41="","",MAX(0,ROUND((DATEVALUE(K41)-TODAY())/30,0)))</f>
        <v/>
      </c>
      <c r="M41" s="5" t="n"/>
    </row>
    <row r="42">
      <c r="A42" s="4" t="n"/>
      <c r="B42" s="4">
        <f>IFERROR(VLOOKUP(A42,'F01 - _Données Centrales'!A6:B20,2,FALSE),"")</f>
        <v/>
      </c>
      <c r="C42" s="4">
        <f>IFERROR(VLOOKUP(A42,'F01 - _Données Centrales'!A6:C20,3,FALSE),"")</f>
        <v/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>
        <f>IF(K42="","",MAX(0,ROUND((DATEVALUE(K42)-TODAY())/30,0)))</f>
        <v/>
      </c>
      <c r="M42" s="4" t="n"/>
    </row>
    <row r="43">
      <c r="A43" s="5" t="n"/>
      <c r="B43" s="5">
        <f>IFERROR(VLOOKUP(A43,'F01 - _Données Centrales'!A6:B20,2,FALSE),"")</f>
        <v/>
      </c>
      <c r="C43" s="5">
        <f>IFERROR(VLOOKUP(A43,'F01 - _Données Centrales'!A6:C20,3,FALSE),"")</f>
        <v/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>
        <f>IF(K43="","",MAX(0,ROUND((DATEVALUE(K43)-TODAY())/30,0)))</f>
        <v/>
      </c>
      <c r="M43" s="5" t="n"/>
    </row>
    <row r="44">
      <c r="A44" s="4" t="n"/>
      <c r="B44" s="4">
        <f>IFERROR(VLOOKUP(A44,'F01 - _Données Centrales'!A6:B20,2,FALSE),"")</f>
        <v/>
      </c>
      <c r="C44" s="4">
        <f>IFERROR(VLOOKUP(A44,'F01 - _Données Centrales'!A6:C20,3,FALSE),"")</f>
        <v/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>
        <f>IF(K44="","",MAX(0,ROUND((DATEVALUE(K44)-TODAY())/30,0)))</f>
        <v/>
      </c>
      <c r="M44" s="4" t="n"/>
    </row>
    <row r="45">
      <c r="A45" s="5" t="n"/>
      <c r="B45" s="5">
        <f>IFERROR(VLOOKUP(A45,'F01 - _Données Centrales'!A6:B20,2,FALSE),"")</f>
        <v/>
      </c>
      <c r="C45" s="5">
        <f>IFERROR(VLOOKUP(A45,'F01 - _Données Centrales'!A6:C20,3,FALSE),"")</f>
        <v/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>
        <f>IF(K45="","",MAX(0,ROUND((DATEVALUE(K45)-TODAY())/30,0)))</f>
        <v/>
      </c>
      <c r="M45" s="5" t="n"/>
    </row>
    <row r="46">
      <c r="A46" s="4" t="n"/>
      <c r="B46" s="4">
        <f>IFERROR(VLOOKUP(A46,'F01 - _Données Centrales'!A6:B20,2,FALSE),"")</f>
        <v/>
      </c>
      <c r="C46" s="4">
        <f>IFERROR(VLOOKUP(A46,'F01 - _Données Centrales'!A6:C20,3,FALSE),"")</f>
        <v/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>
        <f>IF(K46="","",MAX(0,ROUND((DATEVALUE(K46)-TODAY())/30,0)))</f>
        <v/>
      </c>
      <c r="M46" s="4" t="n"/>
    </row>
    <row r="47">
      <c r="A47" s="5" t="n"/>
      <c r="B47" s="5">
        <f>IFERROR(VLOOKUP(A47,'F01 - _Données Centrales'!A6:B20,2,FALSE),"")</f>
        <v/>
      </c>
      <c r="C47" s="5">
        <f>IFERROR(VLOOKUP(A47,'F01 - _Données Centrales'!A6:C20,3,FALSE),"")</f>
        <v/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>
        <f>IF(K47="","",MAX(0,ROUND((DATEVALUE(K47)-TODAY())/30,0)))</f>
        <v/>
      </c>
      <c r="M47" s="5" t="n"/>
    </row>
    <row r="48">
      <c r="A48" s="4" t="n"/>
      <c r="B48" s="4">
        <f>IFERROR(VLOOKUP(A48,'F01 - _Données Centrales'!A6:B20,2,FALSE),"")</f>
        <v/>
      </c>
      <c r="C48" s="4">
        <f>IFERROR(VLOOKUP(A48,'F01 - _Données Centrales'!A6:C20,3,FALSE),"")</f>
        <v/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>
        <f>IF(K48="","",MAX(0,ROUND((DATEVALUE(K48)-TODAY())/30,0)))</f>
        <v/>
      </c>
      <c r="M48" s="4" t="n"/>
    </row>
    <row r="49">
      <c r="A49" s="5" t="n"/>
      <c r="B49" s="5">
        <f>IFERROR(VLOOKUP(A49,'F01 - _Données Centrales'!A6:B20,2,FALSE),"")</f>
        <v/>
      </c>
      <c r="C49" s="5">
        <f>IFERROR(VLOOKUP(A49,'F01 - _Données Centrales'!A6:C20,3,FALSE),"")</f>
        <v/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>
        <f>IF(K49="","",MAX(0,ROUND((DATEVALUE(K49)-TODAY())/30,0)))</f>
        <v/>
      </c>
      <c r="M49" s="5" t="n"/>
    </row>
    <row r="50">
      <c r="A50" s="4" t="n"/>
      <c r="B50" s="4">
        <f>IFERROR(VLOOKUP(A50,'F01 - _Données Centrales'!A6:B20,2,FALSE),"")</f>
        <v/>
      </c>
      <c r="C50" s="4">
        <f>IFERROR(VLOOKUP(A50,'F01 - _Données Centrales'!A6:C20,3,FALSE),"")</f>
        <v/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>
        <f>IF(K50="","",MAX(0,ROUND((DATEVALUE(K50)-TODAY())/30,0)))</f>
        <v/>
      </c>
      <c r="M50" s="4" t="n"/>
    </row>
    <row r="51">
      <c r="A51" s="5" t="n"/>
      <c r="B51" s="5">
        <f>IFERROR(VLOOKUP(A51,'F01 - _Données Centrales'!A6:B20,2,FALSE),"")</f>
        <v/>
      </c>
      <c r="C51" s="5">
        <f>IFERROR(VLOOKUP(A51,'F01 - _Données Centrales'!A6:C20,3,FALSE),"")</f>
        <v/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>
        <f>IF(K51="","",MAX(0,ROUND((DATEVALUE(K51)-TODAY())/30,0)))</f>
        <v/>
      </c>
      <c r="M51" s="5" t="n"/>
    </row>
    <row r="52">
      <c r="A52" s="4" t="n"/>
      <c r="B52" s="4">
        <f>IFERROR(VLOOKUP(A52,'F01 - _Données Centrales'!A6:B20,2,FALSE),"")</f>
        <v/>
      </c>
      <c r="C52" s="4">
        <f>IFERROR(VLOOKUP(A52,'F01 - _Données Centrales'!A6:C20,3,FALSE),"")</f>
        <v/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>
        <f>IF(K52="","",MAX(0,ROUND((DATEVALUE(K52)-TODAY())/30,0)))</f>
        <v/>
      </c>
      <c r="M52" s="4" t="n"/>
    </row>
    <row r="53">
      <c r="A53" s="5" t="n"/>
      <c r="B53" s="5">
        <f>IFERROR(VLOOKUP(A53,'F01 - _Données Centrales'!A6:B20,2,FALSE),"")</f>
        <v/>
      </c>
      <c r="C53" s="5">
        <f>IFERROR(VLOOKUP(A53,'F01 - _Données Centrales'!A6:C20,3,FALSE),"")</f>
        <v/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>
        <f>IF(K53="","",MAX(0,ROUND((DATEVALUE(K53)-TODAY())/30,0)))</f>
        <v/>
      </c>
      <c r="M53" s="5" t="n"/>
    </row>
    <row r="54">
      <c r="A54" s="4" t="n"/>
      <c r="B54" s="4">
        <f>IFERROR(VLOOKUP(A54,'F01 - _Données Centrales'!A6:B20,2,FALSE),"")</f>
        <v/>
      </c>
      <c r="C54" s="4">
        <f>IFERROR(VLOOKUP(A54,'F01 - _Données Centrales'!A6:C20,3,FALSE),"")</f>
        <v/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>
        <f>IF(K54="","",MAX(0,ROUND((DATEVALUE(K54)-TODAY())/30,0)))</f>
        <v/>
      </c>
      <c r="M54" s="4" t="n"/>
    </row>
    <row r="55">
      <c r="A55" s="5" t="n"/>
      <c r="B55" s="5">
        <f>IFERROR(VLOOKUP(A55,'F01 - _Données Centrales'!A6:B20,2,FALSE),"")</f>
        <v/>
      </c>
      <c r="C55" s="5">
        <f>IFERROR(VLOOKUP(A55,'F01 - _Données Centrales'!A6:C20,3,FALSE),"")</f>
        <v/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>
        <f>IF(K55="","",MAX(0,ROUND((DATEVALUE(K55)-TODAY())/30,0)))</f>
        <v/>
      </c>
      <c r="M55" s="5" t="n"/>
    </row>
    <row r="56">
      <c r="A56" s="4" t="n"/>
      <c r="B56" s="4">
        <f>IFERROR(VLOOKUP(A56,'F01 - _Données Centrales'!A6:B20,2,FALSE),"")</f>
        <v/>
      </c>
      <c r="C56" s="4">
        <f>IFERROR(VLOOKUP(A56,'F01 - _Données Centrales'!A6:C20,3,FALSE),"")</f>
        <v/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>
        <f>IF(K56="","",MAX(0,ROUND((DATEVALUE(K56)-TODAY())/30,0)))</f>
        <v/>
      </c>
      <c r="M56" s="4" t="n"/>
    </row>
    <row r="57">
      <c r="A57" s="5" t="n"/>
      <c r="B57" s="5">
        <f>IFERROR(VLOOKUP(A57,'F01 - _Données Centrales'!A6:B20,2,FALSE),"")</f>
        <v/>
      </c>
      <c r="C57" s="5">
        <f>IFERROR(VLOOKUP(A57,'F01 - _Données Centrales'!A6:C20,3,FALSE),"")</f>
        <v/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>
        <f>IF(K57="","",MAX(0,ROUND((DATEVALUE(K57)-TODAY())/30,0)))</f>
        <v/>
      </c>
      <c r="M57" s="5" t="n"/>
    </row>
    <row r="58">
      <c r="A58" s="4" t="n"/>
      <c r="B58" s="4">
        <f>IFERROR(VLOOKUP(A58,'F01 - _Données Centrales'!A6:B20,2,FALSE),"")</f>
        <v/>
      </c>
      <c r="C58" s="4">
        <f>IFERROR(VLOOKUP(A58,'F01 - _Données Centrales'!A6:C20,3,FALSE),"")</f>
        <v/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>
        <f>IF(K58="","",MAX(0,ROUND((DATEVALUE(K58)-TODAY())/30,0)))</f>
        <v/>
      </c>
      <c r="M58" s="4" t="n"/>
    </row>
    <row r="59">
      <c r="A59" s="5" t="n"/>
      <c r="B59" s="5">
        <f>IFERROR(VLOOKUP(A59,'F01 - _Données Centrales'!A6:B20,2,FALSE),"")</f>
        <v/>
      </c>
      <c r="C59" s="5">
        <f>IFERROR(VLOOKUP(A59,'F01 - _Données Centrales'!A6:C20,3,FALSE),"")</f>
        <v/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>
        <f>IF(K59="","",MAX(0,ROUND((DATEVALUE(K59)-TODAY())/30,0)))</f>
        <v/>
      </c>
      <c r="M59" s="5" t="n"/>
    </row>
    <row r="60">
      <c r="A60" s="4" t="n"/>
      <c r="B60" s="4">
        <f>IFERROR(VLOOKUP(A60,'F01 - _Données Centrales'!A6:B20,2,FALSE),"")</f>
        <v/>
      </c>
      <c r="C60" s="4">
        <f>IFERROR(VLOOKUP(A60,'F01 - _Données Centrales'!A6:C20,3,FALSE),"")</f>
        <v/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>
        <f>IF(K60="","",MAX(0,ROUND((DATEVALUE(K60)-TODAY())/30,0)))</f>
        <v/>
      </c>
      <c r="M60" s="4" t="n"/>
    </row>
    <row r="61">
      <c r="A61" s="5" t="n"/>
      <c r="B61" s="5">
        <f>IFERROR(VLOOKUP(A61,'F01 - _Données Centrales'!A6:B20,2,FALSE),"")</f>
        <v/>
      </c>
      <c r="C61" s="5">
        <f>IFERROR(VLOOKUP(A61,'F01 - _Données Centrales'!A6:C20,3,FALSE),"")</f>
        <v/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>
        <f>IF(K61="","",MAX(0,ROUND((DATEVALUE(K61)-TODAY())/30,0)))</f>
        <v/>
      </c>
      <c r="M61" s="5" t="n"/>
    </row>
    <row r="62">
      <c r="A62" s="4" t="n"/>
      <c r="B62" s="4">
        <f>IFERROR(VLOOKUP(A62,'F01 - _Données Centrales'!A6:B20,2,FALSE),"")</f>
        <v/>
      </c>
      <c r="C62" s="4">
        <f>IFERROR(VLOOKUP(A62,'F01 - _Données Centrales'!A6:C20,3,FALSE),"")</f>
        <v/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>
        <f>IF(K62="","",MAX(0,ROUND((DATEVALUE(K62)-TODAY())/30,0)))</f>
        <v/>
      </c>
      <c r="M62" s="4" t="n"/>
    </row>
    <row r="63">
      <c r="A63" s="5" t="n"/>
      <c r="B63" s="5">
        <f>IFERROR(VLOOKUP(A63,'F01 - _Données Centrales'!A6:B20,2,FALSE),"")</f>
        <v/>
      </c>
      <c r="C63" s="5">
        <f>IFERROR(VLOOKUP(A63,'F01 - _Données Centrales'!A6:C20,3,FALSE),"")</f>
        <v/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>
        <f>IF(K63="","",MAX(0,ROUND((DATEVALUE(K63)-TODAY())/30,0)))</f>
        <v/>
      </c>
      <c r="M63" s="5" t="n"/>
    </row>
    <row r="64">
      <c r="A64" s="4" t="n"/>
      <c r="B64" s="4">
        <f>IFERROR(VLOOKUP(A64,'F01 - _Données Centrales'!A6:B20,2,FALSE),"")</f>
        <v/>
      </c>
      <c r="C64" s="4">
        <f>IFERROR(VLOOKUP(A64,'F01 - _Données Centrales'!A6:C20,3,FALSE),"")</f>
        <v/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>
        <f>IF(K64="","",MAX(0,ROUND((DATEVALUE(K64)-TODAY())/30,0)))</f>
        <v/>
      </c>
      <c r="M64" s="4" t="n"/>
    </row>
    <row r="65">
      <c r="A65" s="5" t="n"/>
      <c r="B65" s="5">
        <f>IFERROR(VLOOKUP(A65,'F01 - _Données Centrales'!A6:B20,2,FALSE),"")</f>
        <v/>
      </c>
      <c r="C65" s="5">
        <f>IFERROR(VLOOKUP(A65,'F01 - _Données Centrales'!A6:C20,3,FALSE),"")</f>
        <v/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>
        <f>IF(K65="","",MAX(0,ROUND((DATEVALUE(K65)-TODAY())/30,0)))</f>
        <v/>
      </c>
      <c r="M65" s="5" t="n"/>
    </row>
    <row r="66">
      <c r="A66" s="4" t="n"/>
      <c r="B66" s="4">
        <f>IFERROR(VLOOKUP(A66,'F01 - _Données Centrales'!A6:B20,2,FALSE),"")</f>
        <v/>
      </c>
      <c r="C66" s="4">
        <f>IFERROR(VLOOKUP(A66,'F01 - _Données Centrales'!A6:C20,3,FALSE),"")</f>
        <v/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>
        <f>IF(K66="","",MAX(0,ROUND((DATEVALUE(K66)-TODAY())/30,0)))</f>
        <v/>
      </c>
      <c r="M66" s="4" t="n"/>
    </row>
    <row r="67">
      <c r="A67" s="5" t="n"/>
      <c r="B67" s="5">
        <f>IFERROR(VLOOKUP(A67,'F01 - _Données Centrales'!A6:B20,2,FALSE),"")</f>
        <v/>
      </c>
      <c r="C67" s="5">
        <f>IFERROR(VLOOKUP(A67,'F01 - _Données Centrales'!A6:C20,3,FALSE),"")</f>
        <v/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>
        <f>IF(K67="","",MAX(0,ROUND((DATEVALUE(K67)-TODAY())/30,0)))</f>
        <v/>
      </c>
      <c r="M67" s="5" t="n"/>
    </row>
    <row r="68">
      <c r="A68" s="4" t="n"/>
      <c r="B68" s="4">
        <f>IFERROR(VLOOKUP(A68,'F01 - _Données Centrales'!A6:B20,2,FALSE),"")</f>
        <v/>
      </c>
      <c r="C68" s="4">
        <f>IFERROR(VLOOKUP(A68,'F01 - _Données Centrales'!A6:C20,3,FALSE),"")</f>
        <v/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>
        <f>IF(K68="","",MAX(0,ROUND((DATEVALUE(K68)-TODAY())/30,0)))</f>
        <v/>
      </c>
      <c r="M68" s="4" t="n"/>
    </row>
    <row r="69">
      <c r="A69" s="5" t="n"/>
      <c r="B69" s="5">
        <f>IFERROR(VLOOKUP(A69,'F01 - _Données Centrales'!A6:B20,2,FALSE),"")</f>
        <v/>
      </c>
      <c r="C69" s="5">
        <f>IFERROR(VLOOKUP(A69,'F01 - _Données Centrales'!A6:C20,3,FALSE),"")</f>
        <v/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>
        <f>IF(K69="","",MAX(0,ROUND((DATEVALUE(K69)-TODAY())/30,0)))</f>
        <v/>
      </c>
      <c r="M69" s="5" t="n"/>
    </row>
    <row r="70">
      <c r="A70" s="4" t="n"/>
      <c r="B70" s="4">
        <f>IFERROR(VLOOKUP(A70,'F01 - _Données Centrales'!A6:B20,2,FALSE),"")</f>
        <v/>
      </c>
      <c r="C70" s="4">
        <f>IFERROR(VLOOKUP(A70,'F01 - _Données Centrales'!A6:C20,3,FALSE),"")</f>
        <v/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>
        <f>IF(K70="","",MAX(0,ROUND((DATEVALUE(K70)-TODAY())/30,0)))</f>
        <v/>
      </c>
      <c r="M70" s="4" t="n"/>
    </row>
    <row r="71">
      <c r="A71" s="5" t="n"/>
      <c r="B71" s="5">
        <f>IFERROR(VLOOKUP(A71,'F01 - _Données Centrales'!A6:B20,2,FALSE),"")</f>
        <v/>
      </c>
      <c r="C71" s="5">
        <f>IFERROR(VLOOKUP(A71,'F01 - _Données Centrales'!A6:C20,3,FALSE),"")</f>
        <v/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>
        <f>IF(K71="","",MAX(0,ROUND((DATEVALUE(K71)-TODAY())/30,0)))</f>
        <v/>
      </c>
      <c r="M71" s="5" t="n"/>
    </row>
    <row r="72">
      <c r="A72" s="4" t="n"/>
      <c r="B72" s="4">
        <f>IFERROR(VLOOKUP(A72,'F01 - _Données Centrales'!A6:B20,2,FALSE),"")</f>
        <v/>
      </c>
      <c r="C72" s="4">
        <f>IFERROR(VLOOKUP(A72,'F01 - _Données Centrales'!A6:C20,3,FALSE),"")</f>
        <v/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>
        <f>IF(K72="","",MAX(0,ROUND((DATEVALUE(K72)-TODAY())/30,0)))</f>
        <v/>
      </c>
      <c r="M72" s="4" t="n"/>
    </row>
    <row r="73">
      <c r="A73" s="5" t="n"/>
      <c r="B73" s="5">
        <f>IFERROR(VLOOKUP(A73,'F01 - _Données Centrales'!A6:B20,2,FALSE),"")</f>
        <v/>
      </c>
      <c r="C73" s="5">
        <f>IFERROR(VLOOKUP(A73,'F01 - _Données Centrales'!A6:C20,3,FALSE),"")</f>
        <v/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>
        <f>IF(K73="","",MAX(0,ROUND((DATEVALUE(K73)-TODAY())/30,0)))</f>
        <v/>
      </c>
      <c r="M73" s="5" t="n"/>
    </row>
    <row r="74">
      <c r="A74" s="4" t="n"/>
      <c r="B74" s="4">
        <f>IFERROR(VLOOKUP(A74,'F01 - _Données Centrales'!A6:B20,2,FALSE),"")</f>
        <v/>
      </c>
      <c r="C74" s="4">
        <f>IFERROR(VLOOKUP(A74,'F01 - _Données Centrales'!A6:C20,3,FALSE),"")</f>
        <v/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>
        <f>IF(K74="","",MAX(0,ROUND((DATEVALUE(K74)-TODAY())/30,0)))</f>
        <v/>
      </c>
      <c r="M74" s="4" t="n"/>
    </row>
    <row r="75">
      <c r="A75" s="5" t="n"/>
      <c r="B75" s="5">
        <f>IFERROR(VLOOKUP(A75,'F01 - _Données Centrales'!A6:B20,2,FALSE),"")</f>
        <v/>
      </c>
      <c r="C75" s="5">
        <f>IFERROR(VLOOKUP(A75,'F01 - _Données Centrales'!A6:C20,3,FALSE),"")</f>
        <v/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>
        <f>IF(K75="","",MAX(0,ROUND((DATEVALUE(K75)-TODAY())/30,0)))</f>
        <v/>
      </c>
      <c r="M75" s="5" t="n"/>
    </row>
    <row r="76">
      <c r="A76" s="4" t="n"/>
      <c r="B76" s="4">
        <f>IFERROR(VLOOKUP(A76,'F01 - _Données Centrales'!A6:B20,2,FALSE),"")</f>
        <v/>
      </c>
      <c r="C76" s="4">
        <f>IFERROR(VLOOKUP(A76,'F01 - _Données Centrales'!A6:C20,3,FALSE),"")</f>
        <v/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>
        <f>IF(K76="","",MAX(0,ROUND((DATEVALUE(K76)-TODAY())/30,0)))</f>
        <v/>
      </c>
      <c r="M76" s="4" t="n"/>
    </row>
    <row r="77">
      <c r="A77" s="5" t="n"/>
      <c r="B77" s="5">
        <f>IFERROR(VLOOKUP(A77,'F01 - _Données Centrales'!A6:B20,2,FALSE),"")</f>
        <v/>
      </c>
      <c r="C77" s="5">
        <f>IFERROR(VLOOKUP(A77,'F01 - _Données Centrales'!A6:C20,3,FALSE),"")</f>
        <v/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>
        <f>IF(K77="","",MAX(0,ROUND((DATEVALUE(K77)-TODAY())/30,0)))</f>
        <v/>
      </c>
      <c r="M77" s="5" t="n"/>
    </row>
    <row r="78">
      <c r="A78" s="4" t="n"/>
      <c r="B78" s="4">
        <f>IFERROR(VLOOKUP(A78,'F01 - _Données Centrales'!A6:B20,2,FALSE),"")</f>
        <v/>
      </c>
      <c r="C78" s="4">
        <f>IFERROR(VLOOKUP(A78,'F01 - _Données Centrales'!A6:C20,3,FALSE),"")</f>
        <v/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>
        <f>IF(K78="","",MAX(0,ROUND((DATEVALUE(K78)-TODAY())/30,0)))</f>
        <v/>
      </c>
      <c r="M78" s="4" t="n"/>
    </row>
    <row r="79">
      <c r="A79" s="5" t="n"/>
      <c r="B79" s="5">
        <f>IFERROR(VLOOKUP(A79,'F01 - _Données Centrales'!A6:B20,2,FALSE),"")</f>
        <v/>
      </c>
      <c r="C79" s="5">
        <f>IFERROR(VLOOKUP(A79,'F01 - _Données Centrales'!A6:C20,3,FALSE),"")</f>
        <v/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>
        <f>IF(K79="","",MAX(0,ROUND((DATEVALUE(K79)-TODAY())/30,0)))</f>
        <v/>
      </c>
      <c r="M79" s="5" t="n"/>
    </row>
    <row r="80">
      <c r="A80" s="4" t="n"/>
      <c r="B80" s="4">
        <f>IFERROR(VLOOKUP(A80,'F01 - _Données Centrales'!A6:B20,2,FALSE),"")</f>
        <v/>
      </c>
      <c r="C80" s="4">
        <f>IFERROR(VLOOKUP(A80,'F01 - _Données Centrales'!A6:C20,3,FALSE),"")</f>
        <v/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>
        <f>IF(K80="","",MAX(0,ROUND((DATEVALUE(K80)-TODAY())/30,0)))</f>
        <v/>
      </c>
      <c r="M80" s="4" t="n"/>
    </row>
    <row r="81">
      <c r="A81" s="5" t="n"/>
      <c r="B81" s="5">
        <f>IFERROR(VLOOKUP(A81,'F01 - _Données Centrales'!A6:B20,2,FALSE),"")</f>
        <v/>
      </c>
      <c r="C81" s="5">
        <f>IFERROR(VLOOKUP(A81,'F01 - _Données Centrales'!A6:C20,3,FALSE),"")</f>
        <v/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>
        <f>IF(K81="","",MAX(0,ROUND((DATEVALUE(K81)-TODAY())/30,0)))</f>
        <v/>
      </c>
      <c r="M81" s="5" t="n"/>
    </row>
    <row r="82">
      <c r="A82" s="4" t="n"/>
      <c r="B82" s="4">
        <f>IFERROR(VLOOKUP(A82,'F01 - _Données Centrales'!A6:B20,2,FALSE),"")</f>
        <v/>
      </c>
      <c r="C82" s="4">
        <f>IFERROR(VLOOKUP(A82,'F01 - _Données Centrales'!A6:C20,3,FALSE),"")</f>
        <v/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>
        <f>IF(K82="","",MAX(0,ROUND((DATEVALUE(K82)-TODAY())/30,0)))</f>
        <v/>
      </c>
      <c r="M82" s="4" t="n"/>
    </row>
    <row r="83">
      <c r="A83" s="5" t="n"/>
      <c r="B83" s="5">
        <f>IFERROR(VLOOKUP(A83,'F01 - _Données Centrales'!A6:B20,2,FALSE),"")</f>
        <v/>
      </c>
      <c r="C83" s="5">
        <f>IFERROR(VLOOKUP(A83,'F01 - _Données Centrales'!A6:C20,3,FALSE),"")</f>
        <v/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>
        <f>IF(K83="","",MAX(0,ROUND((DATEVALUE(K83)-TODAY())/30,0)))</f>
        <v/>
      </c>
      <c r="M83" s="5" t="n"/>
    </row>
    <row r="84">
      <c r="A84" s="4" t="n"/>
      <c r="B84" s="4">
        <f>IFERROR(VLOOKUP(A84,'F01 - _Données Centrales'!A6:B20,2,FALSE),"")</f>
        <v/>
      </c>
      <c r="C84" s="4">
        <f>IFERROR(VLOOKUP(A84,'F01 - _Données Centrales'!A6:C20,3,FALSE),"")</f>
        <v/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>
        <f>IF(K84="","",MAX(0,ROUND((DATEVALUE(K84)-TODAY())/30,0)))</f>
        <v/>
      </c>
      <c r="M84" s="4" t="n"/>
    </row>
    <row r="85">
      <c r="A85" s="5" t="n"/>
      <c r="B85" s="5">
        <f>IFERROR(VLOOKUP(A85,'F01 - _Données Centrales'!A6:B20,2,FALSE),"")</f>
        <v/>
      </c>
      <c r="C85" s="5">
        <f>IFERROR(VLOOKUP(A85,'F01 - _Données Centrales'!A6:C20,3,FALSE),"")</f>
        <v/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>
        <f>IF(K85="","",MAX(0,ROUND((DATEVALUE(K85)-TODAY())/30,0)))</f>
        <v/>
      </c>
      <c r="M85" s="5" t="n"/>
    </row>
    <row r="86">
      <c r="A86" s="4" t="n"/>
      <c r="B86" s="4">
        <f>IFERROR(VLOOKUP(A86,'F01 - _Données Centrales'!A6:B20,2,FALSE),"")</f>
        <v/>
      </c>
      <c r="C86" s="4">
        <f>IFERROR(VLOOKUP(A86,'F01 - _Données Centrales'!A6:C20,3,FALSE),"")</f>
        <v/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>
        <f>IF(K86="","",MAX(0,ROUND((DATEVALUE(K86)-TODAY())/30,0)))</f>
        <v/>
      </c>
      <c r="M86" s="4" t="n"/>
    </row>
    <row r="87">
      <c r="A87" s="5" t="n"/>
      <c r="B87" s="5">
        <f>IFERROR(VLOOKUP(A87,'F01 - _Données Centrales'!A6:B20,2,FALSE),"")</f>
        <v/>
      </c>
      <c r="C87" s="5">
        <f>IFERROR(VLOOKUP(A87,'F01 - _Données Centrales'!A6:C20,3,FALSE),"")</f>
        <v/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>
        <f>IF(K87="","",MAX(0,ROUND((DATEVALUE(K87)-TODAY())/30,0)))</f>
        <v/>
      </c>
      <c r="M87" s="5" t="n"/>
    </row>
    <row r="88">
      <c r="A88" s="4" t="n"/>
      <c r="B88" s="4">
        <f>IFERROR(VLOOKUP(A88,'F01 - _Données Centrales'!A6:B20,2,FALSE),"")</f>
        <v/>
      </c>
      <c r="C88" s="4">
        <f>IFERROR(VLOOKUP(A88,'F01 - _Données Centrales'!A6:C20,3,FALSE),"")</f>
        <v/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>
        <f>IF(K88="","",MAX(0,ROUND((DATEVALUE(K88)-TODAY())/30,0)))</f>
        <v/>
      </c>
      <c r="M88" s="4" t="n"/>
    </row>
    <row r="89">
      <c r="A89" s="5" t="n"/>
      <c r="B89" s="5">
        <f>IFERROR(VLOOKUP(A89,'F01 - _Données Centrales'!A6:B20,2,FALSE),"")</f>
        <v/>
      </c>
      <c r="C89" s="5">
        <f>IFERROR(VLOOKUP(A89,'F01 - _Données Centrales'!A6:C20,3,FALSE),"")</f>
        <v/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>
        <f>IF(K89="","",MAX(0,ROUND((DATEVALUE(K89)-TODAY())/30,0)))</f>
        <v/>
      </c>
      <c r="M89" s="5" t="n"/>
    </row>
    <row r="90">
      <c r="A90" s="4" t="n"/>
      <c r="B90" s="4">
        <f>IFERROR(VLOOKUP(A90,'F01 - _Données Centrales'!A6:B20,2,FALSE),"")</f>
        <v/>
      </c>
      <c r="C90" s="4">
        <f>IFERROR(VLOOKUP(A90,'F01 - _Données Centrales'!A6:C20,3,FALSE),"")</f>
        <v/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>
        <f>IF(K90="","",MAX(0,ROUND((DATEVALUE(K90)-TODAY())/30,0)))</f>
        <v/>
      </c>
      <c r="M90" s="4" t="n"/>
    </row>
    <row r="91">
      <c r="A91" s="5" t="n"/>
      <c r="B91" s="5">
        <f>IFERROR(VLOOKUP(A91,'F01 - _Données Centrales'!A6:B20,2,FALSE),"")</f>
        <v/>
      </c>
      <c r="C91" s="5">
        <f>IFERROR(VLOOKUP(A91,'F01 - _Données Centrales'!A6:C20,3,FALSE),"")</f>
        <v/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>
        <f>IF(K91="","",MAX(0,ROUND((DATEVALUE(K91)-TODAY())/30,0)))</f>
        <v/>
      </c>
      <c r="M91" s="5" t="n"/>
    </row>
    <row r="92">
      <c r="A92" s="4" t="n"/>
      <c r="B92" s="4">
        <f>IFERROR(VLOOKUP(A92,'F01 - _Données Centrales'!A6:B20,2,FALSE),"")</f>
        <v/>
      </c>
      <c r="C92" s="4">
        <f>IFERROR(VLOOKUP(A92,'F01 - _Données Centrales'!A6:C20,3,FALSE),"")</f>
        <v/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>
        <f>IF(K92="","",MAX(0,ROUND((DATEVALUE(K92)-TODAY())/30,0)))</f>
        <v/>
      </c>
      <c r="M92" s="4" t="n"/>
    </row>
    <row r="93">
      <c r="A93" s="5" t="n"/>
      <c r="B93" s="5">
        <f>IFERROR(VLOOKUP(A93,'F01 - _Données Centrales'!A6:B20,2,FALSE),"")</f>
        <v/>
      </c>
      <c r="C93" s="5">
        <f>IFERROR(VLOOKUP(A93,'F01 - _Données Centrales'!A6:C20,3,FALSE),"")</f>
        <v/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>
        <f>IF(K93="","",MAX(0,ROUND((DATEVALUE(K93)-TODAY())/30,0)))</f>
        <v/>
      </c>
      <c r="M93" s="5" t="n"/>
    </row>
    <row r="94">
      <c r="A94" s="4" t="n"/>
      <c r="B94" s="4">
        <f>IFERROR(VLOOKUP(A94,'F01 - _Données Centrales'!A6:B20,2,FALSE),"")</f>
        <v/>
      </c>
      <c r="C94" s="4">
        <f>IFERROR(VLOOKUP(A94,'F01 - _Données Centrales'!A6:C20,3,FALSE),"")</f>
        <v/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>
        <f>IF(K94="","",MAX(0,ROUND((DATEVALUE(K94)-TODAY())/30,0)))</f>
        <v/>
      </c>
      <c r="M94" s="4" t="n"/>
    </row>
    <row r="95">
      <c r="A95" s="5" t="n"/>
      <c r="B95" s="5">
        <f>IFERROR(VLOOKUP(A95,'F01 - _Données Centrales'!A6:B20,2,FALSE),"")</f>
        <v/>
      </c>
      <c r="C95" s="5">
        <f>IFERROR(VLOOKUP(A95,'F01 - _Données Centrales'!A6:C20,3,FALSE),"")</f>
        <v/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>
        <f>IF(K95="","",MAX(0,ROUND((DATEVALUE(K95)-TODAY())/30,0)))</f>
        <v/>
      </c>
      <c r="M95" s="5" t="n"/>
    </row>
    <row r="96">
      <c r="A96" s="4" t="n"/>
      <c r="B96" s="4">
        <f>IFERROR(VLOOKUP(A96,'F01 - _Données Centrales'!A6:B20,2,FALSE),"")</f>
        <v/>
      </c>
      <c r="C96" s="4">
        <f>IFERROR(VLOOKUP(A96,'F01 - _Données Centrales'!A6:C20,3,FALSE),"")</f>
        <v/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>
        <f>IF(K96="","",MAX(0,ROUND((DATEVALUE(K96)-TODAY())/30,0)))</f>
        <v/>
      </c>
      <c r="M96" s="4" t="n"/>
    </row>
    <row r="97">
      <c r="A97" s="5" t="n"/>
      <c r="B97" s="5">
        <f>IFERROR(VLOOKUP(A97,'F01 - _Données Centrales'!A6:B20,2,FALSE),"")</f>
        <v/>
      </c>
      <c r="C97" s="5">
        <f>IFERROR(VLOOKUP(A97,'F01 - _Données Centrales'!A6:C20,3,FALSE),"")</f>
        <v/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>
        <f>IF(K97="","",MAX(0,ROUND((DATEVALUE(K97)-TODAY())/30,0)))</f>
        <v/>
      </c>
      <c r="M97" s="5" t="n"/>
    </row>
    <row r="98">
      <c r="A98" s="4" t="n"/>
      <c r="B98" s="4">
        <f>IFERROR(VLOOKUP(A98,'F01 - _Données Centrales'!A6:B20,2,FALSE),"")</f>
        <v/>
      </c>
      <c r="C98" s="4">
        <f>IFERROR(VLOOKUP(A98,'F01 - _Données Centrales'!A6:C20,3,FALSE),"")</f>
        <v/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>
        <f>IF(K98="","",MAX(0,ROUND((DATEVALUE(K98)-TODAY())/30,0)))</f>
        <v/>
      </c>
      <c r="M98" s="4" t="n"/>
    </row>
    <row r="99">
      <c r="A99" s="5" t="n"/>
      <c r="B99" s="5">
        <f>IFERROR(VLOOKUP(A99,'F01 - _Données Centrales'!A6:B20,2,FALSE),"")</f>
        <v/>
      </c>
      <c r="C99" s="5">
        <f>IFERROR(VLOOKUP(A99,'F01 - _Données Centrales'!A6:C20,3,FALSE),"")</f>
        <v/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>
        <f>IF(K99="","",MAX(0,ROUND((DATEVALUE(K99)-TODAY())/30,0)))</f>
        <v/>
      </c>
      <c r="M99" s="5" t="n"/>
    </row>
    <row r="100">
      <c r="A100" s="4" t="n"/>
      <c r="B100" s="4">
        <f>IFERROR(VLOOKUP(A100,'F01 - _Données Centrales'!A6:B20,2,FALSE),"")</f>
        <v/>
      </c>
      <c r="C100" s="4">
        <f>IFERROR(VLOOKUP(A100,'F01 - _Données Centrales'!A6:C20,3,FALSE),"")</f>
        <v/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>
        <f>IF(K100="","",MAX(0,ROUND((DATEVALUE(K100)-TODAY())/30,0)))</f>
        <v/>
      </c>
      <c r="M100" s="4" t="n"/>
    </row>
    <row r="101">
      <c r="A101" s="5" t="n"/>
      <c r="B101" s="5">
        <f>IFERROR(VLOOKUP(A101,'F01 - _Données Centrales'!A6:B20,2,FALSE),"")</f>
        <v/>
      </c>
      <c r="C101" s="5">
        <f>IFERROR(VLOOKUP(A101,'F01 - _Données Centrales'!A6:C20,3,FALSE),"")</f>
        <v/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>
        <f>IF(K101="","",MAX(0,ROUND((DATEVALUE(K101)-TODAY())/30,0)))</f>
        <v/>
      </c>
      <c r="M101" s="5" t="n"/>
    </row>
    <row r="102">
      <c r="A102" s="4" t="n"/>
      <c r="B102" s="4">
        <f>IFERROR(VLOOKUP(A102,'F01 - _Données Centrales'!A6:B20,2,FALSE),"")</f>
        <v/>
      </c>
      <c r="C102" s="4">
        <f>IFERROR(VLOOKUP(A102,'F01 - _Données Centrales'!A6:C20,3,FALSE),"")</f>
        <v/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>
        <f>IF(K102="","",MAX(0,ROUND((DATEVALUE(K102)-TODAY())/30,0)))</f>
        <v/>
      </c>
      <c r="M102" s="4" t="n"/>
    </row>
    <row r="103">
      <c r="A103" s="5" t="n"/>
      <c r="B103" s="5">
        <f>IFERROR(VLOOKUP(A103,'F01 - _Données Centrales'!A6:B20,2,FALSE),"")</f>
        <v/>
      </c>
      <c r="C103" s="5">
        <f>IFERROR(VLOOKUP(A103,'F01 - _Données Centrales'!A6:C20,3,FALSE),"")</f>
        <v/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>
        <f>IF(K103="","",MAX(0,ROUND((DATEVALUE(K103)-TODAY())/30,0)))</f>
        <v/>
      </c>
      <c r="M103" s="5" t="n"/>
    </row>
    <row r="104">
      <c r="A104" s="4" t="n"/>
      <c r="B104" s="4">
        <f>IFERROR(VLOOKUP(A104,'F01 - _Données Centrales'!A6:B20,2,FALSE),"")</f>
        <v/>
      </c>
      <c r="C104" s="4">
        <f>IFERROR(VLOOKUP(A104,'F01 - _Données Centrales'!A6:C20,3,FALSE),"")</f>
        <v/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>
        <f>IF(K104="","",MAX(0,ROUND((DATEVALUE(K104)-TODAY())/30,0)))</f>
        <v/>
      </c>
      <c r="M104" s="4" t="n"/>
    </row>
    <row r="105">
      <c r="A105" s="5" t="n"/>
      <c r="B105" s="5">
        <f>IFERROR(VLOOKUP(A105,'F01 - _Données Centrales'!A6:B20,2,FALSE),"")</f>
        <v/>
      </c>
      <c r="C105" s="5">
        <f>IFERROR(VLOOKUP(A105,'F01 - _Données Centrales'!A6:C20,3,FALSE),"")</f>
        <v/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>
        <f>IF(K105="","",MAX(0,ROUND((DATEVALUE(K105)-TODAY())/30,0)))</f>
        <v/>
      </c>
      <c r="M105" s="5" t="n"/>
    </row>
    <row r="106">
      <c r="A106" s="4" t="n"/>
      <c r="B106" s="4">
        <f>IFERROR(VLOOKUP(A106,'F01 - _Données Centrales'!A6:B20,2,FALSE),"")</f>
        <v/>
      </c>
      <c r="C106" s="4">
        <f>IFERROR(VLOOKUP(A106,'F01 - _Données Centrales'!A6:C20,3,FALSE),"")</f>
        <v/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>
        <f>IF(K106="","",MAX(0,ROUND((DATEVALUE(K106)-TODAY())/30,0)))</f>
        <v/>
      </c>
      <c r="M106" s="4" t="n"/>
    </row>
    <row r="107">
      <c r="A107" s="5" t="n"/>
      <c r="B107" s="5">
        <f>IFERROR(VLOOKUP(A107,'F01 - _Données Centrales'!A6:B20,2,FALSE),"")</f>
        <v/>
      </c>
      <c r="C107" s="5">
        <f>IFERROR(VLOOKUP(A107,'F01 - _Données Centrales'!A6:C20,3,FALSE),"")</f>
        <v/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>
        <f>IF(K107="","",MAX(0,ROUND((DATEVALUE(K107)-TODAY())/30,0)))</f>
        <v/>
      </c>
      <c r="M107" s="5" t="n"/>
    </row>
    <row r="108">
      <c r="A108" s="4" t="n"/>
      <c r="B108" s="4">
        <f>IFERROR(VLOOKUP(A108,'F01 - _Données Centrales'!A6:B20,2,FALSE),"")</f>
        <v/>
      </c>
      <c r="C108" s="4">
        <f>IFERROR(VLOOKUP(A108,'F01 - _Données Centrales'!A6:C20,3,FALSE),"")</f>
        <v/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>
        <f>IF(K108="","",MAX(0,ROUND((DATEVALUE(K108)-TODAY())/30,0)))</f>
        <v/>
      </c>
      <c r="M108" s="4" t="n"/>
    </row>
    <row r="109">
      <c r="A109" s="5" t="n"/>
      <c r="B109" s="5">
        <f>IFERROR(VLOOKUP(A109,'F01 - _Données Centrales'!A6:B20,2,FALSE),"")</f>
        <v/>
      </c>
      <c r="C109" s="5">
        <f>IFERROR(VLOOKUP(A109,'F01 - _Données Centrales'!A6:C20,3,FALSE),"")</f>
        <v/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>
        <f>IF(K109="","",MAX(0,ROUND((DATEVALUE(K109)-TODAY())/30,0)))</f>
        <v/>
      </c>
      <c r="M109" s="5" t="n"/>
    </row>
    <row r="110">
      <c r="A110" s="4" t="n"/>
      <c r="B110" s="4">
        <f>IFERROR(VLOOKUP(A110,'F01 - _Données Centrales'!A6:B20,2,FALSE),"")</f>
        <v/>
      </c>
      <c r="C110" s="4">
        <f>IFERROR(VLOOKUP(A110,'F01 - _Données Centrales'!A6:C20,3,FALSE),"")</f>
        <v/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>
        <f>IF(K110="","",MAX(0,ROUND((DATEVALUE(K110)-TODAY())/30,0)))</f>
        <v/>
      </c>
      <c r="M110" s="4" t="n"/>
    </row>
    <row r="111">
      <c r="A111" s="5" t="n"/>
      <c r="B111" s="5">
        <f>IFERROR(VLOOKUP(A111,'F01 - _Données Centrales'!A6:B20,2,FALSE),"")</f>
        <v/>
      </c>
      <c r="C111" s="5">
        <f>IFERROR(VLOOKUP(A111,'F01 - _Données Centrales'!A6:C20,3,FALSE),"")</f>
        <v/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>
        <f>IF(K111="","",MAX(0,ROUND((DATEVALUE(K111)-TODAY())/30,0)))</f>
        <v/>
      </c>
      <c r="M111" s="5" t="n"/>
    </row>
    <row r="112">
      <c r="A112" s="4" t="n"/>
      <c r="B112" s="4">
        <f>IFERROR(VLOOKUP(A112,'F01 - _Données Centrales'!A6:B20,2,FALSE),"")</f>
        <v/>
      </c>
      <c r="C112" s="4">
        <f>IFERROR(VLOOKUP(A112,'F01 - _Données Centrales'!A6:C20,3,FALSE),"")</f>
        <v/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>
        <f>IF(K112="","",MAX(0,ROUND((DATEVALUE(K112)-TODAY())/30,0)))</f>
        <v/>
      </c>
      <c r="M112" s="4" t="n"/>
    </row>
    <row r="113">
      <c r="A113" s="5" t="n"/>
      <c r="B113" s="5">
        <f>IFERROR(VLOOKUP(A113,'F01 - _Données Centrales'!A6:B20,2,FALSE),"")</f>
        <v/>
      </c>
      <c r="C113" s="5">
        <f>IFERROR(VLOOKUP(A113,'F01 - _Données Centrales'!A6:C20,3,FALSE),"")</f>
        <v/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>
        <f>IF(K113="","",MAX(0,ROUND((DATEVALUE(K113)-TODAY())/30,0)))</f>
        <v/>
      </c>
      <c r="M113" s="5" t="n"/>
    </row>
    <row r="114">
      <c r="A114" s="4" t="n"/>
      <c r="B114" s="4">
        <f>IFERROR(VLOOKUP(A114,'F01 - _Données Centrales'!A6:B20,2,FALSE),"")</f>
        <v/>
      </c>
      <c r="C114" s="4">
        <f>IFERROR(VLOOKUP(A114,'F01 - _Données Centrales'!A6:C20,3,FALSE),"")</f>
        <v/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>
        <f>IF(K114="","",MAX(0,ROUND((DATEVALUE(K114)-TODAY())/30,0)))</f>
        <v/>
      </c>
      <c r="M114" s="4" t="n"/>
    </row>
    <row r="115">
      <c r="A115" s="5" t="n"/>
      <c r="B115" s="5">
        <f>IFERROR(VLOOKUP(A115,'F01 - _Données Centrales'!A6:B20,2,FALSE),"")</f>
        <v/>
      </c>
      <c r="C115" s="5">
        <f>IFERROR(VLOOKUP(A115,'F01 - _Données Centrales'!A6:C20,3,FALSE),"")</f>
        <v/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>
        <f>IF(K115="","",MAX(0,ROUND((DATEVALUE(K115)-TODAY())/30,0)))</f>
        <v/>
      </c>
      <c r="M115" s="5" t="n"/>
    </row>
  </sheetData>
  <mergeCells count="2">
    <mergeCell ref="A3:P3"/>
    <mergeCell ref="A2:P2"/>
  </mergeCells>
  <dataValidations count="1">
    <dataValidation sqref="M6:M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_Lists'!$F$6:$F$35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18" customWidth="1" min="4" max="4"/>
    <col width="14" customWidth="1" min="5" max="5"/>
    <col width="20" customWidth="1" min="6" max="6"/>
    <col width="14" customWidth="1" min="7" max="7"/>
    <col width="14" customWidth="1" min="8" max="8"/>
    <col width="14" customWidth="1" min="9" max="9"/>
    <col width="18" customWidth="1" min="10" max="10"/>
    <col width="20" customWidth="1" min="11" max="11"/>
    <col width="14" customWidth="1" min="12" max="12"/>
    <col width="18" customWidth="1" min="13" max="13"/>
    <col width="16" customWidth="1" min="14" max="14"/>
    <col width="28" customWidth="1" min="15" max="15"/>
  </cols>
  <sheetData>
    <row r="2" ht="25" customHeight="1">
      <c r="A2" s="1" t="inlineStr">
        <is>
          <t>DOMAINE 28 — MOBILITÉ INTERNATIONALE</t>
        </is>
      </c>
    </row>
    <row r="3" ht="18" customHeight="1">
      <c r="A3" s="2" t="inlineStr">
        <is>
          <t>Gestion des expatriations, détachements et missions internationales</t>
        </is>
      </c>
    </row>
    <row r="5">
      <c r="A5" s="3" t="inlineStr">
        <is>
          <t>N° Mission</t>
        </is>
      </c>
      <c r="B5" s="3" t="inlineStr">
        <is>
          <t>Code Employé</t>
        </is>
      </c>
      <c r="C5" s="3" t="inlineStr">
        <is>
          <t>Nom</t>
        </is>
      </c>
      <c r="D5" s="3" t="inlineStr">
        <is>
          <t>Pays Destination</t>
        </is>
      </c>
      <c r="E5" s="3" t="inlineStr">
        <is>
          <t>Ville</t>
        </is>
      </c>
      <c r="F5" s="3" t="inlineStr">
        <is>
          <t>Type Contrat</t>
        </is>
      </c>
      <c r="G5" s="3" t="inlineStr">
        <is>
          <t>Date Départ</t>
        </is>
      </c>
      <c r="H5" s="3" t="inlineStr">
        <is>
          <t>Date Retour</t>
        </is>
      </c>
      <c r="I5" s="3" t="inlineStr">
        <is>
          <t>Durée (mois)</t>
        </is>
      </c>
      <c r="J5" s="3" t="inlineStr">
        <is>
          <t>Coût Total (FCFA)</t>
        </is>
      </c>
      <c r="K5" s="3" t="inlineStr">
        <is>
          <t>Indemnité Expatriation</t>
        </is>
      </c>
      <c r="L5" s="3" t="inlineStr">
        <is>
          <t>Statut</t>
        </is>
      </c>
      <c r="M5" s="3" t="inlineStr">
        <is>
          <t>Logement</t>
        </is>
      </c>
      <c r="N5" s="3" t="inlineStr">
        <is>
          <t>Scolarité Enfants</t>
        </is>
      </c>
      <c r="O5" s="3" t="inlineStr">
        <is>
          <t>Observations</t>
        </is>
      </c>
    </row>
    <row r="6">
      <c r="A6" s="4" t="inlineStr">
        <is>
          <t>INT-2025-001</t>
        </is>
      </c>
      <c r="B6" s="4" t="inlineStr">
        <is>
          <t>EMP-003</t>
        </is>
      </c>
      <c r="C6" s="4">
        <f>IFERROR(VLOOKUP(B6,'F01 - _Données Centrales'!A6:B20,2,FALSE),"")</f>
        <v/>
      </c>
      <c r="D6" s="4" t="inlineStr">
        <is>
          <t>Côte d'Ivoire</t>
        </is>
      </c>
      <c r="E6" s="4" t="inlineStr">
        <is>
          <t>Abidjan</t>
        </is>
      </c>
      <c r="F6" s="4" t="inlineStr">
        <is>
          <t>Détachement</t>
        </is>
      </c>
      <c r="G6" s="4" t="inlineStr">
        <is>
          <t>2025-04-01</t>
        </is>
      </c>
      <c r="H6" s="4" t="inlineStr">
        <is>
          <t>2026-04-01</t>
        </is>
      </c>
      <c r="I6" s="4" t="n">
        <v>12</v>
      </c>
      <c r="J6" s="4" t="n">
        <v>25000000</v>
      </c>
      <c r="K6" s="4" t="n">
        <v>5000000</v>
      </c>
      <c r="L6" s="4" t="inlineStr">
        <is>
          <t>En cours</t>
        </is>
      </c>
      <c r="M6" s="4" t="inlineStr">
        <is>
          <t>Pris en charge</t>
        </is>
      </c>
      <c r="N6" s="4" t="inlineStr">
        <is>
          <t>Oui</t>
        </is>
      </c>
      <c r="O6" s="4" t="inlineStr">
        <is>
          <t>Ouverture filiale Abidjan</t>
        </is>
      </c>
    </row>
    <row r="7">
      <c r="A7" s="5" t="inlineStr">
        <is>
          <t>INT-2025-002</t>
        </is>
      </c>
      <c r="B7" s="5" t="inlineStr">
        <is>
          <t>EMP-007</t>
        </is>
      </c>
      <c r="C7" s="5">
        <f>IFERROR(VLOOKUP(B7,'F01 - _Données Centrales'!A6:B20,2,FALSE),"")</f>
        <v/>
      </c>
      <c r="D7" s="5" t="inlineStr">
        <is>
          <t>France</t>
        </is>
      </c>
      <c r="E7" s="5" t="inlineStr">
        <is>
          <t>Paris</t>
        </is>
      </c>
      <c r="F7" s="5" t="inlineStr">
        <is>
          <t>Mission courte</t>
        </is>
      </c>
      <c r="G7" s="5" t="inlineStr">
        <is>
          <t>2025-06-15</t>
        </is>
      </c>
      <c r="H7" s="5" t="inlineStr">
        <is>
          <t>2025-07-15</t>
        </is>
      </c>
      <c r="I7" s="5" t="n">
        <v>1</v>
      </c>
      <c r="J7" s="5" t="n">
        <v>3500000</v>
      </c>
      <c r="K7" s="5" t="n">
        <v>0</v>
      </c>
      <c r="L7" s="5" t="inlineStr">
        <is>
          <t>Planifié</t>
        </is>
      </c>
      <c r="M7" s="5" t="inlineStr">
        <is>
          <t>Hôtel</t>
        </is>
      </c>
      <c r="N7" s="5" t="inlineStr">
        <is>
          <t>Non</t>
        </is>
      </c>
      <c r="O7" s="5" t="inlineStr">
        <is>
          <t>Formation certifiante DRH</t>
        </is>
      </c>
    </row>
    <row r="8">
      <c r="A8" s="4" t="inlineStr">
        <is>
          <t>INT-2025-003</t>
        </is>
      </c>
      <c r="B8" s="4" t="inlineStr">
        <is>
          <t>EMP-002</t>
        </is>
      </c>
      <c r="C8" s="4">
        <f>IFERROR(VLOOKUP(B8,'F01 - _Données Centrales'!A6:B20,2,FALSE),"")</f>
        <v/>
      </c>
      <c r="D8" s="4" t="inlineStr">
        <is>
          <t>Cameroun</t>
        </is>
      </c>
      <c r="E8" s="4" t="inlineStr">
        <is>
          <t>Douala</t>
        </is>
      </c>
      <c r="F8" s="4" t="inlineStr">
        <is>
          <t>Consultation technique</t>
        </is>
      </c>
      <c r="G8" s="4" t="inlineStr">
        <is>
          <t>2025-05-01</t>
        </is>
      </c>
      <c r="H8" s="4" t="inlineStr">
        <is>
          <t>2025-05-15</t>
        </is>
      </c>
      <c r="I8" s="4" t="n">
        <v>0.5</v>
      </c>
      <c r="J8" s="4" t="n">
        <v>1500000</v>
      </c>
      <c r="K8" s="4" t="n">
        <v>0</v>
      </c>
      <c r="L8" s="4" t="inlineStr">
        <is>
          <t>Terminé</t>
        </is>
      </c>
      <c r="M8" s="4" t="inlineStr">
        <is>
          <t>Hôtel</t>
        </is>
      </c>
      <c r="N8" s="4" t="inlineStr">
        <is>
          <t>Non</t>
        </is>
      </c>
      <c r="O8" s="4" t="inlineStr">
        <is>
          <t>Audit RH filiale Douala</t>
        </is>
      </c>
    </row>
    <row r="9">
      <c r="A9" s="5" t="n"/>
      <c r="B9" s="5" t="n"/>
      <c r="C9" s="5">
        <f>IFERROR(VLOOKUP(B9,'F01 - _Données Centrales'!A6:B20,2,FALSE),"")</f>
        <v/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</row>
    <row r="10">
      <c r="A10" s="4" t="n"/>
      <c r="B10" s="4" t="n"/>
      <c r="C10" s="4">
        <f>IFERROR(VLOOKUP(B10,'F01 - _Données Centrales'!A6:B20,2,FALSE),"")</f>
        <v/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/>
      <c r="B11" s="5" t="n"/>
      <c r="C11" s="5">
        <f>IFERROR(VLOOKUP(B11,'F01 - _Données Centrales'!A6:B20,2,FALSE),"")</f>
        <v/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</row>
    <row r="12">
      <c r="A12" s="4" t="n"/>
      <c r="B12" s="4" t="n"/>
      <c r="C12" s="4">
        <f>IFERROR(VLOOKUP(B12,'F01 - _Données Centrales'!A6:B20,2,FALSE),"")</f>
        <v/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5" t="n"/>
      <c r="B13" s="5" t="n"/>
      <c r="C13" s="5">
        <f>IFERROR(VLOOKUP(B13,'F01 - _Données Centrales'!A6:B20,2,FALSE),"")</f>
        <v/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</row>
    <row r="14">
      <c r="A14" s="4" t="n"/>
      <c r="B14" s="4" t="n"/>
      <c r="C14" s="4">
        <f>IFERROR(VLOOKUP(B14,'F01 - _Données Centrales'!A6:B20,2,FALSE),"")</f>
        <v/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5" t="n"/>
      <c r="B15" s="5" t="n"/>
      <c r="C15" s="5">
        <f>IFERROR(VLOOKUP(B15,'F01 - _Données Centrales'!A6:B20,2,FALSE),"")</f>
        <v/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</row>
    <row r="16">
      <c r="A16" s="4" t="n"/>
      <c r="B16" s="4" t="n"/>
      <c r="C16" s="4">
        <f>IFERROR(VLOOKUP(B16,'F01 - _Données Centrales'!A6:B20,2,FALSE),"")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5" t="n"/>
      <c r="B17" s="5" t="n"/>
      <c r="C17" s="5">
        <f>IFERROR(VLOOKUP(B17,'F01 - _Données Centrales'!A6:B20,2,FALSE),"")</f>
        <v/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</row>
    <row r="18">
      <c r="A18" s="4" t="n"/>
      <c r="B18" s="4" t="n"/>
      <c r="C18" s="4">
        <f>IFERROR(VLOOKUP(B18,'F01 - _Données Centrales'!A6:B20,2,FALSE),"")</f>
        <v/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/>
      <c r="B19" s="5" t="n"/>
      <c r="C19" s="5">
        <f>IFERROR(VLOOKUP(B19,'F01 - _Données Centrales'!A6:B20,2,FALSE),"")</f>
        <v/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</row>
    <row r="20">
      <c r="A20" s="4" t="n"/>
      <c r="B20" s="4" t="n"/>
      <c r="C20" s="4">
        <f>IFERROR(VLOOKUP(B20,'F01 - _Données Centrales'!A6:B20,2,FALSE),"")</f>
        <v/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5" t="n"/>
      <c r="B21" s="5" t="n"/>
      <c r="C21" s="5">
        <f>IFERROR(VLOOKUP(B21,'F01 - _Données Centrales'!A6:B20,2,FALSE),"")</f>
        <v/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</row>
    <row r="22">
      <c r="A22" s="4" t="n"/>
      <c r="B22" s="4" t="n"/>
      <c r="C22" s="4">
        <f>IFERROR(VLOOKUP(B22,'F01 - _Données Centrales'!A6:B20,2,FALSE),"")</f>
        <v/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5" t="n"/>
      <c r="B23" s="5" t="n"/>
      <c r="C23" s="5">
        <f>IFERROR(VLOOKUP(B23,'F01 - _Données Centrales'!A6:B20,2,FALSE),"")</f>
        <v/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</row>
    <row r="24">
      <c r="A24" s="4" t="n"/>
      <c r="B24" s="4" t="n"/>
      <c r="C24" s="4">
        <f>IFERROR(VLOOKUP(B24,'F01 - _Données Centrales'!A6:B20,2,FALSE),"")</f>
        <v/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5" t="n"/>
      <c r="B25" s="5" t="n"/>
      <c r="C25" s="5">
        <f>IFERROR(VLOOKUP(B25,'F01 - _Données Centrales'!A6:B20,2,FALSE),"")</f>
        <v/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</row>
    <row r="26">
      <c r="A26" s="4" t="n"/>
      <c r="B26" s="4" t="n"/>
      <c r="C26" s="4">
        <f>IFERROR(VLOOKUP(B26,'F01 - _Données Centrales'!A6:B20,2,FALSE),"")</f>
        <v/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5" t="n"/>
      <c r="B27" s="5" t="n"/>
      <c r="C27" s="5">
        <f>IFERROR(VLOOKUP(B27,'F01 - _Données Centrales'!A6:B20,2,FALSE),"")</f>
        <v/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</row>
    <row r="28">
      <c r="A28" s="4" t="n"/>
      <c r="B28" s="4" t="n"/>
      <c r="C28" s="4">
        <f>IFERROR(VLOOKUP(B28,'F01 - _Données Centrales'!A6:B20,2,FALSE),"")</f>
        <v/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5" t="n"/>
      <c r="B29" s="5" t="n"/>
      <c r="C29" s="5">
        <f>IFERROR(VLOOKUP(B29,'F01 - _Données Centrales'!A6:B20,2,FALSE),"")</f>
        <v/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</row>
    <row r="30">
      <c r="A30" s="4" t="n"/>
      <c r="B30" s="4" t="n"/>
      <c r="C30" s="4">
        <f>IFERROR(VLOOKUP(B30,'F01 - _Données Centrales'!A6:B20,2,FALSE),"")</f>
        <v/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5" t="n"/>
      <c r="B31" s="5" t="n"/>
      <c r="C31" s="5">
        <f>IFERROR(VLOOKUP(B31,'F01 - _Données Centrales'!A6:B20,2,FALSE),"")</f>
        <v/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</row>
    <row r="32">
      <c r="A32" s="4" t="n"/>
      <c r="B32" s="4" t="n"/>
      <c r="C32" s="4">
        <f>IFERROR(VLOOKUP(B32,'F01 - _Données Centrales'!A6:B20,2,FALSE),"")</f>
        <v/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5" t="n"/>
      <c r="B33" s="5" t="n"/>
      <c r="C33" s="5">
        <f>IFERROR(VLOOKUP(B33,'F01 - _Données Centrales'!A6:B20,2,FALSE),"")</f>
        <v/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</row>
    <row r="34">
      <c r="A34" s="4" t="n"/>
      <c r="B34" s="4" t="n"/>
      <c r="C34" s="4">
        <f>IFERROR(VLOOKUP(B34,'F01 - _Données Centrales'!A6:B20,2,FALSE),"")</f>
        <v/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5" t="n"/>
      <c r="B35" s="5" t="n"/>
      <c r="C35" s="5">
        <f>IFERROR(VLOOKUP(B35,'F01 - _Données Centrales'!A6:B20,2,FALSE),"")</f>
        <v/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</row>
    <row r="36">
      <c r="A36" s="4" t="n"/>
      <c r="B36" s="4" t="n"/>
      <c r="C36" s="4">
        <f>IFERROR(VLOOKUP(B36,'F01 - _Données Centrales'!A6:B20,2,FALSE),"")</f>
        <v/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5" t="n"/>
      <c r="B37" s="5" t="n"/>
      <c r="C37" s="5">
        <f>IFERROR(VLOOKUP(B37,'F01 - _Données Centrales'!A6:B20,2,FALSE),"")</f>
        <v/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</row>
    <row r="38">
      <c r="A38" s="4" t="n"/>
      <c r="B38" s="4" t="n"/>
      <c r="C38" s="4">
        <f>IFERROR(VLOOKUP(B38,'F01 - _Données Centrales'!A6:B20,2,FALSE),"")</f>
        <v/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5" t="n"/>
      <c r="B39" s="5" t="n"/>
      <c r="C39" s="5">
        <f>IFERROR(VLOOKUP(B39,'F01 - _Données Centrales'!A6:B20,2,FALSE),"")</f>
        <v/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4" t="n"/>
      <c r="B40" s="4" t="n"/>
      <c r="C40" s="4">
        <f>IFERROR(VLOOKUP(B40,'F01 - _Données Centrales'!A6:B20,2,FALSE),"")</f>
        <v/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5" t="n"/>
      <c r="B41" s="5" t="n"/>
      <c r="C41" s="5">
        <f>IFERROR(VLOOKUP(B41,'F01 - _Données Centrales'!A6:B20,2,FALSE),"")</f>
        <v/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</row>
    <row r="42">
      <c r="A42" s="4" t="n"/>
      <c r="B42" s="4" t="n"/>
      <c r="C42" s="4">
        <f>IFERROR(VLOOKUP(B42,'F01 - _Données Centrales'!A6:B20,2,FALSE),"")</f>
        <v/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5" t="n"/>
      <c r="B43" s="5" t="n"/>
      <c r="C43" s="5">
        <f>IFERROR(VLOOKUP(B43,'F01 - _Données Centrales'!A6:B20,2,FALSE),"")</f>
        <v/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</row>
    <row r="44">
      <c r="A44" s="4" t="n"/>
      <c r="B44" s="4" t="n"/>
      <c r="C44" s="4">
        <f>IFERROR(VLOOKUP(B44,'F01 - _Données Centrales'!A6:B20,2,FALSE),"")</f>
        <v/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5" t="n"/>
      <c r="B45" s="5" t="n"/>
      <c r="C45" s="5">
        <f>IFERROR(VLOOKUP(B45,'F01 - _Données Centrales'!A6:B20,2,FALSE),"")</f>
        <v/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</row>
    <row r="46">
      <c r="A46" s="4" t="n"/>
      <c r="B46" s="4" t="n"/>
      <c r="C46" s="4">
        <f>IFERROR(VLOOKUP(B46,'F01 - _Données Centrales'!A6:B20,2,FALSE),"")</f>
        <v/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5" t="n"/>
      <c r="B47" s="5" t="n"/>
      <c r="C47" s="5">
        <f>IFERROR(VLOOKUP(B47,'F01 - _Données Centrales'!A6:B20,2,FALSE),"")</f>
        <v/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</row>
    <row r="48">
      <c r="A48" s="4" t="n"/>
      <c r="B48" s="4" t="n"/>
      <c r="C48" s="4">
        <f>IFERROR(VLOOKUP(B48,'F01 - _Données Centrales'!A6:B20,2,FALSE),"")</f>
        <v/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5" t="n"/>
      <c r="B49" s="5" t="n"/>
      <c r="C49" s="5">
        <f>IFERROR(VLOOKUP(B49,'F01 - _Données Centrales'!A6:B20,2,FALSE),"")</f>
        <v/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</row>
    <row r="50">
      <c r="A50" s="4" t="n"/>
      <c r="B50" s="4" t="n"/>
      <c r="C50" s="4">
        <f>IFERROR(VLOOKUP(B50,'F01 - _Données Centrales'!A6:B20,2,FALSE),"")</f>
        <v/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5" t="n"/>
      <c r="B51" s="5" t="n"/>
      <c r="C51" s="5">
        <f>IFERROR(VLOOKUP(B51,'F01 - _Données Centrales'!A6:B20,2,FALSE),"")</f>
        <v/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</row>
    <row r="52">
      <c r="A52" s="4" t="n"/>
      <c r="B52" s="4" t="n"/>
      <c r="C52" s="4">
        <f>IFERROR(VLOOKUP(B52,'F01 - _Données Centrales'!A6:B20,2,FALSE),"")</f>
        <v/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5" t="n"/>
      <c r="B53" s="5" t="n"/>
      <c r="C53" s="5">
        <f>IFERROR(VLOOKUP(B53,'F01 - _Données Centrales'!A6:B20,2,FALSE),"")</f>
        <v/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</row>
    <row r="54">
      <c r="A54" s="4" t="n"/>
      <c r="B54" s="4" t="n"/>
      <c r="C54" s="4">
        <f>IFERROR(VLOOKUP(B54,'F01 - _Données Centrales'!A6:B20,2,FALSE),"")</f>
        <v/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5" t="n"/>
      <c r="B55" s="5" t="n"/>
      <c r="C55" s="5">
        <f>IFERROR(VLOOKUP(B55,'F01 - _Données Centrales'!A6:B20,2,FALSE),"")</f>
        <v/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</row>
    <row r="56">
      <c r="A56" s="4" t="n"/>
      <c r="B56" s="4" t="n"/>
      <c r="C56" s="4">
        <f>IFERROR(VLOOKUP(B56,'F01 - _Données Centrales'!A6:B20,2,FALSE),"")</f>
        <v/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5" t="n"/>
      <c r="B57" s="5" t="n"/>
      <c r="C57" s="5">
        <f>IFERROR(VLOOKUP(B57,'F01 - _Données Centrales'!A6:B20,2,FALSE),"")</f>
        <v/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</row>
    <row r="58">
      <c r="A58" s="4" t="n"/>
      <c r="B58" s="4" t="n"/>
      <c r="C58" s="4">
        <f>IFERROR(VLOOKUP(B58,'F01 - _Données Centrales'!A6:B20,2,FALSE),"")</f>
        <v/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5" t="n"/>
      <c r="B59" s="5" t="n"/>
      <c r="C59" s="5">
        <f>IFERROR(VLOOKUP(B59,'F01 - _Données Centrales'!A6:B20,2,FALSE),"")</f>
        <v/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</row>
    <row r="60">
      <c r="A60" s="4" t="n"/>
      <c r="B60" s="4" t="n"/>
      <c r="C60" s="4">
        <f>IFERROR(VLOOKUP(B60,'F01 - _Données Centrales'!A6:B20,2,FALSE),"")</f>
        <v/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5" t="n"/>
      <c r="B61" s="5" t="n"/>
      <c r="C61" s="5">
        <f>IFERROR(VLOOKUP(B61,'F01 - _Données Centrales'!A6:B20,2,FALSE),"")</f>
        <v/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</row>
    <row r="62">
      <c r="A62" s="4" t="n"/>
      <c r="B62" s="4" t="n"/>
      <c r="C62" s="4">
        <f>IFERROR(VLOOKUP(B62,'F01 - _Données Centrales'!A6:B20,2,FALSE),"")</f>
        <v/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5" t="n"/>
      <c r="B63" s="5" t="n"/>
      <c r="C63" s="5">
        <f>IFERROR(VLOOKUP(B63,'F01 - _Données Centrales'!A6:B20,2,FALSE),"")</f>
        <v/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</row>
    <row r="64">
      <c r="A64" s="4" t="n"/>
      <c r="B64" s="4" t="n"/>
      <c r="C64" s="4">
        <f>IFERROR(VLOOKUP(B64,'F01 - _Données Centrales'!A6:B20,2,FALSE),"")</f>
        <v/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5" t="n"/>
      <c r="B65" s="5" t="n"/>
      <c r="C65" s="5">
        <f>IFERROR(VLOOKUP(B65,'F01 - _Données Centrales'!A6:B20,2,FALSE),"")</f>
        <v/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</row>
    <row r="66">
      <c r="A66" s="4" t="n"/>
      <c r="B66" s="4" t="n"/>
      <c r="C66" s="4">
        <f>IFERROR(VLOOKUP(B66,'F01 - _Données Centrales'!A6:B20,2,FALSE),"")</f>
        <v/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5" t="n"/>
      <c r="B67" s="5" t="n"/>
      <c r="C67" s="5">
        <f>IFERROR(VLOOKUP(B67,'F01 - _Données Centrales'!A6:B20,2,FALSE),"")</f>
        <v/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</row>
    <row r="68">
      <c r="A68" s="4" t="n"/>
      <c r="B68" s="4" t="n"/>
      <c r="C68" s="4">
        <f>IFERROR(VLOOKUP(B68,'F01 - _Données Centrales'!A6:B20,2,FALSE),"")</f>
        <v/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5" t="n"/>
      <c r="B69" s="5" t="n"/>
      <c r="C69" s="5">
        <f>IFERROR(VLOOKUP(B69,'F01 - _Données Centrales'!A6:B20,2,FALSE),"")</f>
        <v/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</row>
    <row r="70">
      <c r="A70" s="4" t="n"/>
      <c r="B70" s="4" t="n"/>
      <c r="C70" s="4">
        <f>IFERROR(VLOOKUP(B70,'F01 - _Données Centrales'!A6:B20,2,FALSE),"")</f>
        <v/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5" t="n"/>
      <c r="B71" s="5" t="n"/>
      <c r="C71" s="5">
        <f>IFERROR(VLOOKUP(B71,'F01 - _Données Centrales'!A6:B20,2,FALSE),"")</f>
        <v/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</row>
    <row r="72">
      <c r="A72" s="4" t="n"/>
      <c r="B72" s="4" t="n"/>
      <c r="C72" s="4">
        <f>IFERROR(VLOOKUP(B72,'F01 - _Données Centrales'!A6:B20,2,FALSE),"")</f>
        <v/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5" t="n"/>
      <c r="B73" s="5" t="n"/>
      <c r="C73" s="5">
        <f>IFERROR(VLOOKUP(B73,'F01 - _Données Centrales'!A6:B20,2,FALSE),"")</f>
        <v/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</row>
    <row r="74">
      <c r="A74" s="4" t="n"/>
      <c r="B74" s="4" t="n"/>
      <c r="C74" s="4">
        <f>IFERROR(VLOOKUP(B74,'F01 - _Données Centrales'!A6:B20,2,FALSE),"")</f>
        <v/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5" t="n"/>
      <c r="B75" s="5" t="n"/>
      <c r="C75" s="5">
        <f>IFERROR(VLOOKUP(B75,'F01 - _Données Centrales'!A6:B20,2,FALSE),"")</f>
        <v/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</row>
    <row r="76">
      <c r="A76" s="4" t="n"/>
      <c r="B76" s="4" t="n"/>
      <c r="C76" s="4">
        <f>IFERROR(VLOOKUP(B76,'F01 - _Données Centrales'!A6:B20,2,FALSE),"")</f>
        <v/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5" t="n"/>
      <c r="B77" s="5" t="n"/>
      <c r="C77" s="5">
        <f>IFERROR(VLOOKUP(B77,'F01 - _Données Centrales'!A6:B20,2,FALSE),"")</f>
        <v/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</row>
    <row r="78">
      <c r="A78" s="4" t="n"/>
      <c r="B78" s="4" t="n"/>
      <c r="C78" s="4">
        <f>IFERROR(VLOOKUP(B78,'F01 - _Données Centrales'!A6:B20,2,FALSE),"")</f>
        <v/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5" t="n"/>
      <c r="B79" s="5" t="n"/>
      <c r="C79" s="5">
        <f>IFERROR(VLOOKUP(B79,'F01 - _Données Centrales'!A6:B20,2,FALSE),"")</f>
        <v/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</row>
    <row r="80">
      <c r="A80" s="4" t="n"/>
      <c r="B80" s="4" t="n"/>
      <c r="C80" s="4">
        <f>IFERROR(VLOOKUP(B80,'F01 - _Données Centrales'!A6:B20,2,FALSE),"")</f>
        <v/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5" t="n"/>
      <c r="B81" s="5" t="n"/>
      <c r="C81" s="5">
        <f>IFERROR(VLOOKUP(B81,'F01 - _Données Centrales'!A6:B20,2,FALSE),"")</f>
        <v/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</row>
    <row r="82">
      <c r="A82" s="4" t="n"/>
      <c r="B82" s="4" t="n"/>
      <c r="C82" s="4">
        <f>IFERROR(VLOOKUP(B82,'F01 - _Données Centrales'!A6:B20,2,FALSE),"")</f>
        <v/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5" t="n"/>
      <c r="B83" s="5" t="n"/>
      <c r="C83" s="5">
        <f>IFERROR(VLOOKUP(B83,'F01 - _Données Centrales'!A6:B20,2,FALSE),"")</f>
        <v/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</row>
    <row r="84">
      <c r="A84" s="4" t="n"/>
      <c r="B84" s="4" t="n"/>
      <c r="C84" s="4">
        <f>IFERROR(VLOOKUP(B84,'F01 - _Données Centrales'!A6:B20,2,FALSE),"")</f>
        <v/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5" t="n"/>
      <c r="B85" s="5" t="n"/>
      <c r="C85" s="5">
        <f>IFERROR(VLOOKUP(B85,'F01 - _Données Centrales'!A6:B20,2,FALSE),"")</f>
        <v/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</row>
    <row r="86">
      <c r="A86" s="4" t="n"/>
      <c r="B86" s="4" t="n"/>
      <c r="C86" s="4">
        <f>IFERROR(VLOOKUP(B86,'F01 - _Données Centrales'!A6:B20,2,FALSE),"")</f>
        <v/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5" t="n"/>
      <c r="B87" s="5" t="n"/>
      <c r="C87" s="5">
        <f>IFERROR(VLOOKUP(B87,'F01 - _Données Centrales'!A6:B20,2,FALSE),"")</f>
        <v/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</row>
    <row r="88">
      <c r="A88" s="4" t="n"/>
      <c r="B88" s="4" t="n"/>
      <c r="C88" s="4">
        <f>IFERROR(VLOOKUP(B88,'F01 - _Données Centrales'!A6:B20,2,FALSE),"")</f>
        <v/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5" t="n"/>
      <c r="B89" s="5" t="n"/>
      <c r="C89" s="5">
        <f>IFERROR(VLOOKUP(B89,'F01 - _Données Centrales'!A6:B20,2,FALSE),"")</f>
        <v/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</row>
    <row r="90">
      <c r="A90" s="4" t="n"/>
      <c r="B90" s="4" t="n"/>
      <c r="C90" s="4">
        <f>IFERROR(VLOOKUP(B90,'F01 - _Données Centrales'!A6:B20,2,FALSE),"")</f>
        <v/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5" t="n"/>
      <c r="B91" s="5" t="n"/>
      <c r="C91" s="5">
        <f>IFERROR(VLOOKUP(B91,'F01 - _Données Centrales'!A6:B20,2,FALSE),"")</f>
        <v/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</row>
    <row r="92">
      <c r="A92" s="4" t="n"/>
      <c r="B92" s="4" t="n"/>
      <c r="C92" s="4">
        <f>IFERROR(VLOOKUP(B92,'F01 - _Données Centrales'!A6:B20,2,FALSE),"")</f>
        <v/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5" t="n"/>
      <c r="B93" s="5" t="n"/>
      <c r="C93" s="5">
        <f>IFERROR(VLOOKUP(B93,'F01 - _Données Centrales'!A6:B20,2,FALSE),"")</f>
        <v/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</row>
    <row r="94">
      <c r="A94" s="4" t="n"/>
      <c r="B94" s="4" t="n"/>
      <c r="C94" s="4">
        <f>IFERROR(VLOOKUP(B94,'F01 - _Données Centrales'!A6:B20,2,FALSE),"")</f>
        <v/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5" t="n"/>
      <c r="B95" s="5" t="n"/>
      <c r="C95" s="5">
        <f>IFERROR(VLOOKUP(B95,'F01 - _Données Centrales'!A6:B20,2,FALSE),"")</f>
        <v/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</row>
    <row r="96">
      <c r="A96" s="4" t="n"/>
      <c r="B96" s="4" t="n"/>
      <c r="C96" s="4">
        <f>IFERROR(VLOOKUP(B96,'F01 - _Données Centrales'!A6:B20,2,FALSE),"")</f>
        <v/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5" t="n"/>
      <c r="B97" s="5" t="n"/>
      <c r="C97" s="5">
        <f>IFERROR(VLOOKUP(B97,'F01 - _Données Centrales'!A6:B20,2,FALSE),"")</f>
        <v/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</row>
    <row r="98">
      <c r="A98" s="4" t="n"/>
      <c r="B98" s="4" t="n"/>
      <c r="C98" s="4">
        <f>IFERROR(VLOOKUP(B98,'F01 - _Données Centrales'!A6:B20,2,FALSE),"")</f>
        <v/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5" t="n"/>
      <c r="B99" s="5" t="n"/>
      <c r="C99" s="5">
        <f>IFERROR(VLOOKUP(B99,'F01 - _Données Centrales'!A6:B20,2,FALSE),"")</f>
        <v/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</row>
    <row r="100">
      <c r="A100" s="4" t="n"/>
      <c r="B100" s="4" t="n"/>
      <c r="C100" s="4">
        <f>IFERROR(VLOOKUP(B100,'F01 - _Données Centrales'!A6:B20,2,FALSE),"")</f>
        <v/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5" t="n"/>
      <c r="B101" s="5" t="n"/>
      <c r="C101" s="5">
        <f>IFERROR(VLOOKUP(B101,'F01 - _Données Centrales'!A6:B20,2,FALSE),"")</f>
        <v/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</row>
    <row r="102">
      <c r="A102" s="4" t="n"/>
      <c r="B102" s="4" t="n"/>
      <c r="C102" s="4">
        <f>IFERROR(VLOOKUP(B102,'F01 - _Données Centrales'!A6:B20,2,FALSE),"")</f>
        <v/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5" t="n"/>
      <c r="B103" s="5" t="n"/>
      <c r="C103" s="5">
        <f>IFERROR(VLOOKUP(B103,'F01 - _Données Centrales'!A6:B20,2,FALSE),"")</f>
        <v/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</row>
    <row r="104">
      <c r="A104" s="4" t="n"/>
      <c r="B104" s="4" t="n"/>
      <c r="C104" s="4">
        <f>IFERROR(VLOOKUP(B104,'F01 - _Données Centrales'!A6:B20,2,FALSE),"")</f>
        <v/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5" t="n"/>
      <c r="B105" s="5" t="n"/>
      <c r="C105" s="5">
        <f>IFERROR(VLOOKUP(B105,'F01 - _Données Centrales'!A6:B20,2,FALSE),"")</f>
        <v/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</row>
    <row r="106">
      <c r="A106" s="4" t="n"/>
      <c r="B106" s="4" t="n"/>
      <c r="C106" s="4">
        <f>IFERROR(VLOOKUP(B106,'F01 - _Données Centrales'!A6:B20,2,FALSE),"")</f>
        <v/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5" t="n"/>
      <c r="B107" s="5" t="n"/>
      <c r="C107" s="5">
        <f>IFERROR(VLOOKUP(B107,'F01 - _Données Centrales'!A6:B20,2,FALSE),"")</f>
        <v/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</row>
    <row r="108">
      <c r="A108" s="4" t="n"/>
      <c r="B108" s="4" t="n"/>
      <c r="C108" s="4">
        <f>IFERROR(VLOOKUP(B108,'F01 - _Données Centrales'!A6:B20,2,FALSE),"")</f>
        <v/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5" t="n"/>
      <c r="B109" s="5" t="n"/>
      <c r="C109" s="5">
        <f>IFERROR(VLOOKUP(B109,'F01 - _Données Centrales'!A6:B20,2,FALSE),"")</f>
        <v/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</row>
    <row r="110">
      <c r="A110" s="4" t="n"/>
      <c r="B110" s="4" t="n"/>
      <c r="C110" s="4">
        <f>IFERROR(VLOOKUP(B110,'F01 - _Données Centrales'!A6:B20,2,FALSE),"")</f>
        <v/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5" t="n"/>
      <c r="B111" s="5" t="n"/>
      <c r="C111" s="5">
        <f>IFERROR(VLOOKUP(B111,'F01 - _Données Centrales'!A6:B20,2,FALSE),"")</f>
        <v/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</row>
    <row r="112">
      <c r="A112" s="4" t="n"/>
      <c r="B112" s="4" t="n"/>
      <c r="C112" s="4">
        <f>IFERROR(VLOOKUP(B112,'F01 - _Données Centrales'!A6:B20,2,FALSE),"")</f>
        <v/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5" t="n"/>
      <c r="B113" s="5" t="n"/>
      <c r="C113" s="5">
        <f>IFERROR(VLOOKUP(B113,'F01 - _Données Centrales'!A6:B20,2,FALSE),"")</f>
        <v/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</row>
    <row r="114">
      <c r="A114" s="4" t="n"/>
      <c r="B114" s="4" t="n"/>
      <c r="C114" s="4">
        <f>IFERROR(VLOOKUP(B114,'F01 - _Données Centrales'!A6:B20,2,FALSE),"")</f>
        <v/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5" t="n"/>
      <c r="B115" s="5" t="n"/>
      <c r="C115" s="5">
        <f>IFERROR(VLOOKUP(B115,'F01 - _Données Centrales'!A6:B20,2,FALSE),"")</f>
        <v/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</row>
  </sheetData>
  <mergeCells count="2">
    <mergeCell ref="A3:P3"/>
    <mergeCell ref="A2:P2"/>
  </mergeCells>
  <dataValidations count="2">
    <dataValidation sqref="F6:F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_Lists'!$L$6:$L$35</formula1>
    </dataValidation>
    <dataValidation sqref="L6:L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_Lists'!$P$6:$P$35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91E63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1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6" customWidth="1" min="14" max="14"/>
  </cols>
  <sheetData>
    <row r="2" ht="25" customHeight="1">
      <c r="A2" s="1" t="inlineStr">
        <is>
          <t>DOMAINE 28 — GESTION DES TALENTS HAUT POTENTIEL</t>
        </is>
      </c>
    </row>
    <row r="3" ht="18" customHeight="1">
      <c r="A3" s="2" t="inlineStr">
        <is>
          <t>Identification, développement et rétention des collaborateurs à haut potentiel</t>
        </is>
      </c>
    </row>
    <row r="5">
      <c r="A5" s="3" t="inlineStr">
        <is>
          <t>Code Employé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Potentiel</t>
        </is>
      </c>
      <c r="E5" s="3" t="inlineStr">
        <is>
          <t>Performance</t>
        </is>
      </c>
      <c r="F5" s="3" t="inlineStr">
        <is>
          <t>Date Identification</t>
        </is>
      </c>
      <c r="G5" s="3" t="inlineStr">
        <is>
          <t>Programme Développement</t>
        </is>
      </c>
      <c r="H5" s="3" t="inlineStr">
        <is>
          <t>Mentor Assigné</t>
        </is>
      </c>
      <c r="I5" s="3" t="inlineStr">
        <is>
          <t>Budget Alloué (FCFA)</t>
        </is>
      </c>
      <c r="J5" s="3" t="inlineStr">
        <is>
          <t>Budget Consommé (FCFA)</t>
        </is>
      </c>
      <c r="K5" s="3" t="inlineStr">
        <is>
          <t>Taux Utilisation (%)</t>
        </is>
      </c>
      <c r="L5" s="3" t="inlineStr">
        <is>
          <t>Risque Départ</t>
        </is>
      </c>
      <c r="M5" s="3" t="inlineStr">
        <is>
          <t>Date Révision</t>
        </is>
      </c>
      <c r="N5" s="3" t="inlineStr">
        <is>
          <t>Statut Talent</t>
        </is>
      </c>
    </row>
    <row r="6">
      <c r="A6" s="4" t="inlineStr">
        <is>
          <t>EMP-007</t>
        </is>
      </c>
      <c r="B6" s="4">
        <f>IFERROR(VLOOKUP(A6,'F01 - _Données Centrales'!A6:B20,2,FALSE),"")</f>
        <v/>
      </c>
      <c r="C6" s="4">
        <f>IFERROR(VLOOKUP(A6,'F01 - _Données Centrales'!A6:C20,3,FALSE),"")</f>
        <v/>
      </c>
      <c r="D6" s="4" t="inlineStr">
        <is>
          <t>Très élevé</t>
        </is>
      </c>
      <c r="E6" s="4" t="inlineStr">
        <is>
          <t>Excellent</t>
        </is>
      </c>
      <c r="F6" s="4" t="inlineStr">
        <is>
          <t>2024-01-15</t>
        </is>
      </c>
      <c r="G6" s="4" t="inlineStr">
        <is>
          <t>Programme Émergence RH</t>
        </is>
      </c>
      <c r="H6" s="4" t="inlineStr">
        <is>
          <t>Mme. Mbarga</t>
        </is>
      </c>
      <c r="I6" s="4" t="n">
        <v>5000000</v>
      </c>
      <c r="J6" s="4" t="n">
        <v>3200000</v>
      </c>
      <c r="K6" s="9">
        <f>IFERROR(J6/I6,0)</f>
        <v/>
      </c>
      <c r="L6" s="4" t="inlineStr">
        <is>
          <t>Élevé</t>
        </is>
      </c>
      <c r="M6" s="4" t="inlineStr">
        <is>
          <t>2025-09-01</t>
        </is>
      </c>
      <c r="N6" s="4" t="inlineStr">
        <is>
          <t>Actif</t>
        </is>
      </c>
    </row>
    <row r="7">
      <c r="A7" s="5" t="inlineStr">
        <is>
          <t>EMP-002</t>
        </is>
      </c>
      <c r="B7" s="5">
        <f>IFERROR(VLOOKUP(A7,'F01 - _Données Centrales'!A6:B20,2,FALSE),"")</f>
        <v/>
      </c>
      <c r="C7" s="5">
        <f>IFERROR(VLOOKUP(A7,'F01 - _Données Centrales'!A6:C20,3,FALSE),"")</f>
        <v/>
      </c>
      <c r="D7" s="5" t="inlineStr">
        <is>
          <t>Élevé</t>
        </is>
      </c>
      <c r="E7" s="5" t="inlineStr">
        <is>
          <t>Excellent</t>
        </is>
      </c>
      <c r="F7" s="5" t="inlineStr">
        <is>
          <t>2023-06-01</t>
        </is>
      </c>
      <c r="G7" s="5" t="inlineStr">
        <is>
          <t>Programme Leadership</t>
        </is>
      </c>
      <c r="H7" s="5" t="inlineStr">
        <is>
          <t>M. Nkoulou</t>
        </is>
      </c>
      <c r="I7" s="5" t="n">
        <v>8000000</v>
      </c>
      <c r="J7" s="5" t="n">
        <v>6400000</v>
      </c>
      <c r="K7" s="10">
        <f>IFERROR(J7/I7,0)</f>
        <v/>
      </c>
      <c r="L7" s="5" t="inlineStr">
        <is>
          <t>Faible</t>
        </is>
      </c>
      <c r="M7" s="5" t="inlineStr">
        <is>
          <t>2025-06-01</t>
        </is>
      </c>
      <c r="N7" s="5" t="inlineStr">
        <is>
          <t>Actif</t>
        </is>
      </c>
    </row>
    <row r="8">
      <c r="A8" s="4" t="inlineStr">
        <is>
          <t>EMP-003</t>
        </is>
      </c>
      <c r="B8" s="4">
        <f>IFERROR(VLOOKUP(A8,'F01 - _Données Centrales'!A6:B20,2,FALSE),"")</f>
        <v/>
      </c>
      <c r="C8" s="4">
        <f>IFERROR(VLOOKUP(A8,'F01 - _Données Centrales'!A6:C20,3,FALSE),"")</f>
        <v/>
      </c>
      <c r="D8" s="4" t="inlineStr">
        <is>
          <t>Élevé</t>
        </is>
      </c>
      <c r="E8" s="4" t="inlineStr">
        <is>
          <t>Très bon</t>
        </is>
      </c>
      <c r="F8" s="4" t="inlineStr">
        <is>
          <t>2023-09-01</t>
        </is>
      </c>
      <c r="G8" s="4" t="inlineStr">
        <is>
          <t>Programme Finance Exec.</t>
        </is>
      </c>
      <c r="H8" s="4" t="inlineStr">
        <is>
          <t>DG Externe</t>
        </is>
      </c>
      <c r="I8" s="4" t="n">
        <v>6000000</v>
      </c>
      <c r="J8" s="4" t="n">
        <v>4500000</v>
      </c>
      <c r="K8" s="9">
        <f>IFERROR(J8/I8,0)</f>
        <v/>
      </c>
      <c r="L8" s="4" t="inlineStr">
        <is>
          <t>Moyen</t>
        </is>
      </c>
      <c r="M8" s="4" t="inlineStr">
        <is>
          <t>2025-12-01</t>
        </is>
      </c>
      <c r="N8" s="4" t="inlineStr">
        <is>
          <t>Actif</t>
        </is>
      </c>
    </row>
    <row r="9">
      <c r="A9" s="5" t="inlineStr">
        <is>
          <t>EMP-005</t>
        </is>
      </c>
      <c r="B9" s="5">
        <f>IFERROR(VLOOKUP(A9,'F01 - _Données Centrales'!A6:B20,2,FALSE),"")</f>
        <v/>
      </c>
      <c r="C9" s="5">
        <f>IFERROR(VLOOKUP(A9,'F01 - _Données Centrales'!A6:C20,3,FALSE),"")</f>
        <v/>
      </c>
      <c r="D9" s="5" t="inlineStr">
        <is>
          <t>Élevé</t>
        </is>
      </c>
      <c r="E9" s="5" t="inlineStr">
        <is>
          <t>Bon</t>
        </is>
      </c>
      <c r="F9" s="5" t="inlineStr">
        <is>
          <t>2024-07-01</t>
        </is>
      </c>
      <c r="G9" s="5" t="inlineStr">
        <is>
          <t>Programme Management</t>
        </is>
      </c>
      <c r="H9" s="5" t="inlineStr">
        <is>
          <t>Mme. Mbarga</t>
        </is>
      </c>
      <c r="I9" s="5" t="n">
        <v>3000000</v>
      </c>
      <c r="J9" s="5" t="n">
        <v>1800000</v>
      </c>
      <c r="K9" s="10">
        <f>IFERROR(J9/I9,0)</f>
        <v/>
      </c>
      <c r="L9" s="5" t="inlineStr">
        <is>
          <t>Moyen</t>
        </is>
      </c>
      <c r="M9" s="5" t="inlineStr">
        <is>
          <t>2025-07-01</t>
        </is>
      </c>
      <c r="N9" s="5" t="inlineStr">
        <is>
          <t>En observation</t>
        </is>
      </c>
    </row>
    <row r="10">
      <c r="A10" s="4" t="inlineStr">
        <is>
          <t>EMP-013</t>
        </is>
      </c>
      <c r="B10" s="4">
        <f>IFERROR(VLOOKUP(A10,'F01 - _Données Centrales'!A6:B20,2,FALSE),"")</f>
        <v/>
      </c>
      <c r="C10" s="4">
        <f>IFERROR(VLOOKUP(A10,'F01 - _Données Centrales'!A6:C20,3,FALSE),"")</f>
        <v/>
      </c>
      <c r="D10" s="4" t="inlineStr">
        <is>
          <t>Élevé</t>
        </is>
      </c>
      <c r="E10" s="4" t="inlineStr">
        <is>
          <t>Excellent</t>
        </is>
      </c>
      <c r="F10" s="4" t="inlineStr">
        <is>
          <t>2024-03-01</t>
        </is>
      </c>
      <c r="G10" s="4" t="inlineStr">
        <is>
          <t>Programme Adjoint Dir.</t>
        </is>
      </c>
      <c r="H10" s="4" t="inlineStr">
        <is>
          <t>M. Nkoulou</t>
        </is>
      </c>
      <c r="I10" s="4" t="n">
        <v>2500000</v>
      </c>
      <c r="J10" s="4" t="n">
        <v>1500000</v>
      </c>
      <c r="K10" s="9">
        <f>IFERROR(J10/I10,0)</f>
        <v/>
      </c>
      <c r="L10" s="4" t="inlineStr">
        <is>
          <t>Faible</t>
        </is>
      </c>
      <c r="M10" s="4" t="inlineStr">
        <is>
          <t>2025-09-01</t>
        </is>
      </c>
      <c r="N10" s="4" t="inlineStr">
        <is>
          <t>Actif</t>
        </is>
      </c>
    </row>
    <row r="11">
      <c r="A11" s="5" t="n"/>
      <c r="B11" s="5">
        <f>IFERROR(VLOOKUP(A11,'F01 - _Données Centrales'!A6:B20,2,FALSE),"")</f>
        <v/>
      </c>
      <c r="C11" s="5">
        <f>IFERROR(VLOOKUP(A11,'F01 - _Données Centrales'!A6:C20,3,FALSE),"")</f>
        <v/>
      </c>
      <c r="D11" s="5" t="n"/>
      <c r="E11" s="5" t="n"/>
      <c r="F11" s="5" t="n"/>
      <c r="G11" s="5" t="n"/>
      <c r="H11" s="5" t="n"/>
      <c r="I11" s="5" t="n"/>
      <c r="J11" s="5" t="n"/>
      <c r="K11" s="10">
        <f>IFERROR(J11/I11,0)</f>
        <v/>
      </c>
      <c r="L11" s="5" t="n"/>
      <c r="M11" s="5" t="n"/>
      <c r="N11" s="5" t="n"/>
    </row>
    <row r="12">
      <c r="A12" s="4" t="n"/>
      <c r="B12" s="4">
        <f>IFERROR(VLOOKUP(A12,'F01 - _Données Centrales'!A6:B20,2,FALSE),"")</f>
        <v/>
      </c>
      <c r="C12" s="4">
        <f>IFERROR(VLOOKUP(A12,'F01 - _Données Centrales'!A6:C20,3,FALSE),"")</f>
        <v/>
      </c>
      <c r="D12" s="4" t="n"/>
      <c r="E12" s="4" t="n"/>
      <c r="F12" s="4" t="n"/>
      <c r="G12" s="4" t="n"/>
      <c r="H12" s="4" t="n"/>
      <c r="I12" s="4" t="n"/>
      <c r="J12" s="4" t="n"/>
      <c r="K12" s="9">
        <f>IFERROR(J12/I12,0)</f>
        <v/>
      </c>
      <c r="L12" s="4" t="n"/>
      <c r="M12" s="4" t="n"/>
      <c r="N12" s="4" t="n"/>
    </row>
    <row r="13">
      <c r="A13" s="5" t="n"/>
      <c r="B13" s="5">
        <f>IFERROR(VLOOKUP(A13,'F01 - _Données Centrales'!A6:B20,2,FALSE),"")</f>
        <v/>
      </c>
      <c r="C13" s="5">
        <f>IFERROR(VLOOKUP(A13,'F01 - _Données Centrales'!A6:C20,3,FALSE),"")</f>
        <v/>
      </c>
      <c r="D13" s="5" t="n"/>
      <c r="E13" s="5" t="n"/>
      <c r="F13" s="5" t="n"/>
      <c r="G13" s="5" t="n"/>
      <c r="H13" s="5" t="n"/>
      <c r="I13" s="5" t="n"/>
      <c r="J13" s="5" t="n"/>
      <c r="K13" s="10">
        <f>IFERROR(J13/I13,0)</f>
        <v/>
      </c>
      <c r="L13" s="5" t="n"/>
      <c r="M13" s="5" t="n"/>
      <c r="N13" s="5" t="n"/>
    </row>
    <row r="14">
      <c r="A14" s="4" t="n"/>
      <c r="B14" s="4">
        <f>IFERROR(VLOOKUP(A14,'F01 - _Données Centrales'!A6:B20,2,FALSE),"")</f>
        <v/>
      </c>
      <c r="C14" s="4">
        <f>IFERROR(VLOOKUP(A14,'F01 - _Données Centrales'!A6:C20,3,FALSE),"")</f>
        <v/>
      </c>
      <c r="D14" s="4" t="n"/>
      <c r="E14" s="4" t="n"/>
      <c r="F14" s="4" t="n"/>
      <c r="G14" s="4" t="n"/>
      <c r="H14" s="4" t="n"/>
      <c r="I14" s="4" t="n"/>
      <c r="J14" s="4" t="n"/>
      <c r="K14" s="9">
        <f>IFERROR(J14/I14,0)</f>
        <v/>
      </c>
      <c r="L14" s="4" t="n"/>
      <c r="M14" s="4" t="n"/>
      <c r="N14" s="4" t="n"/>
    </row>
    <row r="15">
      <c r="A15" s="5" t="n"/>
      <c r="B15" s="5">
        <f>IFERROR(VLOOKUP(A15,'F01 - _Données Centrales'!A6:B20,2,FALSE),"")</f>
        <v/>
      </c>
      <c r="C15" s="5">
        <f>IFERROR(VLOOKUP(A15,'F01 - _Données Centrales'!A6:C20,3,FALSE),"")</f>
        <v/>
      </c>
      <c r="D15" s="5" t="n"/>
      <c r="E15" s="5" t="n"/>
      <c r="F15" s="5" t="n"/>
      <c r="G15" s="5" t="n"/>
      <c r="H15" s="5" t="n"/>
      <c r="I15" s="5" t="n"/>
      <c r="J15" s="5" t="n"/>
      <c r="K15" s="10">
        <f>IFERROR(J15/I15,0)</f>
        <v/>
      </c>
      <c r="L15" s="5" t="n"/>
      <c r="M15" s="5" t="n"/>
      <c r="N15" s="5" t="n"/>
    </row>
    <row r="16">
      <c r="A16" s="4" t="n"/>
      <c r="B16" s="4">
        <f>IFERROR(VLOOKUP(A16,'F01 - _Données Centrales'!A6:B20,2,FALSE),"")</f>
        <v/>
      </c>
      <c r="C16" s="4">
        <f>IFERROR(VLOOKUP(A16,'F01 - _Données Centrales'!A6:C20,3,FALSE),"")</f>
        <v/>
      </c>
      <c r="D16" s="4" t="n"/>
      <c r="E16" s="4" t="n"/>
      <c r="F16" s="4" t="n"/>
      <c r="G16" s="4" t="n"/>
      <c r="H16" s="4" t="n"/>
      <c r="I16" s="4" t="n"/>
      <c r="J16" s="4" t="n"/>
      <c r="K16" s="9">
        <f>IFERROR(J16/I16,0)</f>
        <v/>
      </c>
      <c r="L16" s="4" t="n"/>
      <c r="M16" s="4" t="n"/>
      <c r="N16" s="4" t="n"/>
    </row>
    <row r="17">
      <c r="A17" s="5" t="n"/>
      <c r="B17" s="5">
        <f>IFERROR(VLOOKUP(A17,'F01 - _Données Centrales'!A6:B20,2,FALSE),"")</f>
        <v/>
      </c>
      <c r="C17" s="5">
        <f>IFERROR(VLOOKUP(A17,'F01 - _Données Centrales'!A6:C20,3,FALSE),"")</f>
        <v/>
      </c>
      <c r="D17" s="5" t="n"/>
      <c r="E17" s="5" t="n"/>
      <c r="F17" s="5" t="n"/>
      <c r="G17" s="5" t="n"/>
      <c r="H17" s="5" t="n"/>
      <c r="I17" s="5" t="n"/>
      <c r="J17" s="5" t="n"/>
      <c r="K17" s="10">
        <f>IFERROR(J17/I17,0)</f>
        <v/>
      </c>
      <c r="L17" s="5" t="n"/>
      <c r="M17" s="5" t="n"/>
      <c r="N17" s="5" t="n"/>
    </row>
    <row r="18">
      <c r="A18" s="4" t="n"/>
      <c r="B18" s="4">
        <f>IFERROR(VLOOKUP(A18,'F01 - _Données Centrales'!A6:B20,2,FALSE),"")</f>
        <v/>
      </c>
      <c r="C18" s="4">
        <f>IFERROR(VLOOKUP(A18,'F01 - _Données Centrales'!A6:C20,3,FALSE),"")</f>
        <v/>
      </c>
      <c r="D18" s="4" t="n"/>
      <c r="E18" s="4" t="n"/>
      <c r="F18" s="4" t="n"/>
      <c r="G18" s="4" t="n"/>
      <c r="H18" s="4" t="n"/>
      <c r="I18" s="4" t="n"/>
      <c r="J18" s="4" t="n"/>
      <c r="K18" s="9">
        <f>IFERROR(J18/I18,0)</f>
        <v/>
      </c>
      <c r="L18" s="4" t="n"/>
      <c r="M18" s="4" t="n"/>
      <c r="N18" s="4" t="n"/>
    </row>
    <row r="19">
      <c r="A19" s="5" t="n"/>
      <c r="B19" s="5">
        <f>IFERROR(VLOOKUP(A19,'F01 - _Données Centrales'!A6:B20,2,FALSE),"")</f>
        <v/>
      </c>
      <c r="C19" s="5">
        <f>IFERROR(VLOOKUP(A19,'F01 - _Données Centrales'!A6:C20,3,FALSE),"")</f>
        <v/>
      </c>
      <c r="D19" s="5" t="n"/>
      <c r="E19" s="5" t="n"/>
      <c r="F19" s="5" t="n"/>
      <c r="G19" s="5" t="n"/>
      <c r="H19" s="5" t="n"/>
      <c r="I19" s="5" t="n"/>
      <c r="J19" s="5" t="n"/>
      <c r="K19" s="10">
        <f>IFERROR(J19/I19,0)</f>
        <v/>
      </c>
      <c r="L19" s="5" t="n"/>
      <c r="M19" s="5" t="n"/>
      <c r="N19" s="5" t="n"/>
    </row>
    <row r="20">
      <c r="A20" s="4" t="n"/>
      <c r="B20" s="4">
        <f>IFERROR(VLOOKUP(A20,'F01 - _Données Centrales'!A6:B20,2,FALSE),"")</f>
        <v/>
      </c>
      <c r="C20" s="4">
        <f>IFERROR(VLOOKUP(A20,'F01 - _Données Centrales'!A6:C20,3,FALSE),"")</f>
        <v/>
      </c>
      <c r="D20" s="4" t="n"/>
      <c r="E20" s="4" t="n"/>
      <c r="F20" s="4" t="n"/>
      <c r="G20" s="4" t="n"/>
      <c r="H20" s="4" t="n"/>
      <c r="I20" s="4" t="n"/>
      <c r="J20" s="4" t="n"/>
      <c r="K20" s="9">
        <f>IFERROR(J20/I20,0)</f>
        <v/>
      </c>
      <c r="L20" s="4" t="n"/>
      <c r="M20" s="4" t="n"/>
      <c r="N20" s="4" t="n"/>
    </row>
    <row r="21">
      <c r="A21" s="5" t="n"/>
      <c r="B21" s="5">
        <f>IFERROR(VLOOKUP(A21,'F01 - _Données Centrales'!A6:B20,2,FALSE),"")</f>
        <v/>
      </c>
      <c r="C21" s="5">
        <f>IFERROR(VLOOKUP(A21,'F01 - _Données Centrales'!A6:C20,3,FALSE),"")</f>
        <v/>
      </c>
      <c r="D21" s="5" t="n"/>
      <c r="E21" s="5" t="n"/>
      <c r="F21" s="5" t="n"/>
      <c r="G21" s="5" t="n"/>
      <c r="H21" s="5" t="n"/>
      <c r="I21" s="5" t="n"/>
      <c r="J21" s="5" t="n"/>
      <c r="K21" s="10">
        <f>IFERROR(J21/I21,0)</f>
        <v/>
      </c>
      <c r="L21" s="5" t="n"/>
      <c r="M21" s="5" t="n"/>
      <c r="N21" s="5" t="n"/>
    </row>
    <row r="22">
      <c r="A22" s="4" t="n"/>
      <c r="B22" s="4">
        <f>IFERROR(VLOOKUP(A22,'F01 - _Données Centrales'!A6:B20,2,FALSE),"")</f>
        <v/>
      </c>
      <c r="C22" s="4">
        <f>IFERROR(VLOOKUP(A22,'F01 - _Données Centrales'!A6:C20,3,FALSE),"")</f>
        <v/>
      </c>
      <c r="D22" s="4" t="n"/>
      <c r="E22" s="4" t="n"/>
      <c r="F22" s="4" t="n"/>
      <c r="G22" s="4" t="n"/>
      <c r="H22" s="4" t="n"/>
      <c r="I22" s="4" t="n"/>
      <c r="J22" s="4" t="n"/>
      <c r="K22" s="9">
        <f>IFERROR(J22/I22,0)</f>
        <v/>
      </c>
      <c r="L22" s="4" t="n"/>
      <c r="M22" s="4" t="n"/>
      <c r="N22" s="4" t="n"/>
    </row>
    <row r="23">
      <c r="A23" s="5" t="n"/>
      <c r="B23" s="5">
        <f>IFERROR(VLOOKUP(A23,'F01 - _Données Centrales'!A6:B20,2,FALSE),"")</f>
        <v/>
      </c>
      <c r="C23" s="5">
        <f>IFERROR(VLOOKUP(A23,'F01 - _Données Centrales'!A6:C20,3,FALSE),"")</f>
        <v/>
      </c>
      <c r="D23" s="5" t="n"/>
      <c r="E23" s="5" t="n"/>
      <c r="F23" s="5" t="n"/>
      <c r="G23" s="5" t="n"/>
      <c r="H23" s="5" t="n"/>
      <c r="I23" s="5" t="n"/>
      <c r="J23" s="5" t="n"/>
      <c r="K23" s="10">
        <f>IFERROR(J23/I23,0)</f>
        <v/>
      </c>
      <c r="L23" s="5" t="n"/>
      <c r="M23" s="5" t="n"/>
      <c r="N23" s="5" t="n"/>
    </row>
    <row r="24">
      <c r="A24" s="4" t="n"/>
      <c r="B24" s="4">
        <f>IFERROR(VLOOKUP(A24,'F01 - _Données Centrales'!A6:B20,2,FALSE),"")</f>
        <v/>
      </c>
      <c r="C24" s="4">
        <f>IFERROR(VLOOKUP(A24,'F01 - _Données Centrales'!A6:C20,3,FALSE),"")</f>
        <v/>
      </c>
      <c r="D24" s="4" t="n"/>
      <c r="E24" s="4" t="n"/>
      <c r="F24" s="4" t="n"/>
      <c r="G24" s="4" t="n"/>
      <c r="H24" s="4" t="n"/>
      <c r="I24" s="4" t="n"/>
      <c r="J24" s="4" t="n"/>
      <c r="K24" s="9">
        <f>IFERROR(J24/I24,0)</f>
        <v/>
      </c>
      <c r="L24" s="4" t="n"/>
      <c r="M24" s="4" t="n"/>
      <c r="N24" s="4" t="n"/>
    </row>
    <row r="25">
      <c r="A25" s="5" t="n"/>
      <c r="B25" s="5">
        <f>IFERROR(VLOOKUP(A25,'F01 - _Données Centrales'!A6:B20,2,FALSE),"")</f>
        <v/>
      </c>
      <c r="C25" s="5">
        <f>IFERROR(VLOOKUP(A25,'F01 - _Données Centrales'!A6:C20,3,FALSE),"")</f>
        <v/>
      </c>
      <c r="D25" s="5" t="n"/>
      <c r="E25" s="5" t="n"/>
      <c r="F25" s="5" t="n"/>
      <c r="G25" s="5" t="n"/>
      <c r="H25" s="5" t="n"/>
      <c r="I25" s="5" t="n"/>
      <c r="J25" s="5" t="n"/>
      <c r="K25" s="10">
        <f>IFERROR(J25/I25,0)</f>
        <v/>
      </c>
      <c r="L25" s="5" t="n"/>
      <c r="M25" s="5" t="n"/>
      <c r="N25" s="5" t="n"/>
    </row>
    <row r="26">
      <c r="A26" s="4" t="n"/>
      <c r="B26" s="4">
        <f>IFERROR(VLOOKUP(A26,'F01 - _Données Centrales'!A6:B20,2,FALSE),"")</f>
        <v/>
      </c>
      <c r="C26" s="4">
        <f>IFERROR(VLOOKUP(A26,'F01 - _Données Centrales'!A6:C20,3,FALSE),"")</f>
        <v/>
      </c>
      <c r="D26" s="4" t="n"/>
      <c r="E26" s="4" t="n"/>
      <c r="F26" s="4" t="n"/>
      <c r="G26" s="4" t="n"/>
      <c r="H26" s="4" t="n"/>
      <c r="I26" s="4" t="n"/>
      <c r="J26" s="4" t="n"/>
      <c r="K26" s="9">
        <f>IFERROR(J26/I26,0)</f>
        <v/>
      </c>
      <c r="L26" s="4" t="n"/>
      <c r="M26" s="4" t="n"/>
      <c r="N26" s="4" t="n"/>
    </row>
    <row r="27">
      <c r="A27" s="5" t="n"/>
      <c r="B27" s="5">
        <f>IFERROR(VLOOKUP(A27,'F01 - _Données Centrales'!A6:B20,2,FALSE),"")</f>
        <v/>
      </c>
      <c r="C27" s="5">
        <f>IFERROR(VLOOKUP(A27,'F01 - _Données Centrales'!A6:C20,3,FALSE),"")</f>
        <v/>
      </c>
      <c r="D27" s="5" t="n"/>
      <c r="E27" s="5" t="n"/>
      <c r="F27" s="5" t="n"/>
      <c r="G27" s="5" t="n"/>
      <c r="H27" s="5" t="n"/>
      <c r="I27" s="5" t="n"/>
      <c r="J27" s="5" t="n"/>
      <c r="K27" s="10">
        <f>IFERROR(J27/I27,0)</f>
        <v/>
      </c>
      <c r="L27" s="5" t="n"/>
      <c r="M27" s="5" t="n"/>
      <c r="N27" s="5" t="n"/>
    </row>
    <row r="28">
      <c r="A28" s="4" t="n"/>
      <c r="B28" s="4">
        <f>IFERROR(VLOOKUP(A28,'F01 - _Données Centrales'!A6:B20,2,FALSE),"")</f>
        <v/>
      </c>
      <c r="C28" s="4">
        <f>IFERROR(VLOOKUP(A28,'F01 - _Données Centrales'!A6:C20,3,FALSE),"")</f>
        <v/>
      </c>
      <c r="D28" s="4" t="n"/>
      <c r="E28" s="4" t="n"/>
      <c r="F28" s="4" t="n"/>
      <c r="G28" s="4" t="n"/>
      <c r="H28" s="4" t="n"/>
      <c r="I28" s="4" t="n"/>
      <c r="J28" s="4" t="n"/>
      <c r="K28" s="9">
        <f>IFERROR(J28/I28,0)</f>
        <v/>
      </c>
      <c r="L28" s="4" t="n"/>
      <c r="M28" s="4" t="n"/>
      <c r="N28" s="4" t="n"/>
    </row>
    <row r="29">
      <c r="A29" s="5" t="n"/>
      <c r="B29" s="5">
        <f>IFERROR(VLOOKUP(A29,'F01 - _Données Centrales'!A6:B20,2,FALSE),"")</f>
        <v/>
      </c>
      <c r="C29" s="5">
        <f>IFERROR(VLOOKUP(A29,'F01 - _Données Centrales'!A6:C20,3,FALSE),"")</f>
        <v/>
      </c>
      <c r="D29" s="5" t="n"/>
      <c r="E29" s="5" t="n"/>
      <c r="F29" s="5" t="n"/>
      <c r="G29" s="5" t="n"/>
      <c r="H29" s="5" t="n"/>
      <c r="I29" s="5" t="n"/>
      <c r="J29" s="5" t="n"/>
      <c r="K29" s="10">
        <f>IFERROR(J29/I29,0)</f>
        <v/>
      </c>
      <c r="L29" s="5" t="n"/>
      <c r="M29" s="5" t="n"/>
      <c r="N29" s="5" t="n"/>
    </row>
    <row r="30">
      <c r="A30" s="4" t="n"/>
      <c r="B30" s="4">
        <f>IFERROR(VLOOKUP(A30,'F01 - _Données Centrales'!A6:B20,2,FALSE),"")</f>
        <v/>
      </c>
      <c r="C30" s="4">
        <f>IFERROR(VLOOKUP(A30,'F01 - _Données Centrales'!A6:C20,3,FALSE),"")</f>
        <v/>
      </c>
      <c r="D30" s="4" t="n"/>
      <c r="E30" s="4" t="n"/>
      <c r="F30" s="4" t="n"/>
      <c r="G30" s="4" t="n"/>
      <c r="H30" s="4" t="n"/>
      <c r="I30" s="4" t="n"/>
      <c r="J30" s="4" t="n"/>
      <c r="K30" s="9">
        <f>IFERROR(J30/I30,0)</f>
        <v/>
      </c>
      <c r="L30" s="4" t="n"/>
      <c r="M30" s="4" t="n"/>
      <c r="N30" s="4" t="n"/>
    </row>
    <row r="31">
      <c r="A31" s="5" t="n"/>
      <c r="B31" s="5">
        <f>IFERROR(VLOOKUP(A31,'F01 - _Données Centrales'!A6:B20,2,FALSE),"")</f>
        <v/>
      </c>
      <c r="C31" s="5">
        <f>IFERROR(VLOOKUP(A31,'F01 - _Données Centrales'!A6:C20,3,FALSE),"")</f>
        <v/>
      </c>
      <c r="D31" s="5" t="n"/>
      <c r="E31" s="5" t="n"/>
      <c r="F31" s="5" t="n"/>
      <c r="G31" s="5" t="n"/>
      <c r="H31" s="5" t="n"/>
      <c r="I31" s="5" t="n"/>
      <c r="J31" s="5" t="n"/>
      <c r="K31" s="10">
        <f>IFERROR(J31/I31,0)</f>
        <v/>
      </c>
      <c r="L31" s="5" t="n"/>
      <c r="M31" s="5" t="n"/>
      <c r="N31" s="5" t="n"/>
    </row>
    <row r="32">
      <c r="A32" s="4" t="n"/>
      <c r="B32" s="4">
        <f>IFERROR(VLOOKUP(A32,'F01 - _Données Centrales'!A6:B20,2,FALSE),"")</f>
        <v/>
      </c>
      <c r="C32" s="4">
        <f>IFERROR(VLOOKUP(A32,'F01 - _Données Centrales'!A6:C20,3,FALSE),"")</f>
        <v/>
      </c>
      <c r="D32" s="4" t="n"/>
      <c r="E32" s="4" t="n"/>
      <c r="F32" s="4" t="n"/>
      <c r="G32" s="4" t="n"/>
      <c r="H32" s="4" t="n"/>
      <c r="I32" s="4" t="n"/>
      <c r="J32" s="4" t="n"/>
      <c r="K32" s="9">
        <f>IFERROR(J32/I32,0)</f>
        <v/>
      </c>
      <c r="L32" s="4" t="n"/>
      <c r="M32" s="4" t="n"/>
      <c r="N32" s="4" t="n"/>
    </row>
    <row r="33">
      <c r="A33" s="5" t="n"/>
      <c r="B33" s="5">
        <f>IFERROR(VLOOKUP(A33,'F01 - _Données Centrales'!A6:B20,2,FALSE),"")</f>
        <v/>
      </c>
      <c r="C33" s="5">
        <f>IFERROR(VLOOKUP(A33,'F01 - _Données Centrales'!A6:C20,3,FALSE),"")</f>
        <v/>
      </c>
      <c r="D33" s="5" t="n"/>
      <c r="E33" s="5" t="n"/>
      <c r="F33" s="5" t="n"/>
      <c r="G33" s="5" t="n"/>
      <c r="H33" s="5" t="n"/>
      <c r="I33" s="5" t="n"/>
      <c r="J33" s="5" t="n"/>
      <c r="K33" s="10">
        <f>IFERROR(J33/I33,0)</f>
        <v/>
      </c>
      <c r="L33" s="5" t="n"/>
      <c r="M33" s="5" t="n"/>
      <c r="N33" s="5" t="n"/>
    </row>
    <row r="34">
      <c r="A34" s="4" t="n"/>
      <c r="B34" s="4">
        <f>IFERROR(VLOOKUP(A34,'F01 - _Données Centrales'!A6:B20,2,FALSE),"")</f>
        <v/>
      </c>
      <c r="C34" s="4">
        <f>IFERROR(VLOOKUP(A34,'F01 - _Données Centrales'!A6:C20,3,FALSE),"")</f>
        <v/>
      </c>
      <c r="D34" s="4" t="n"/>
      <c r="E34" s="4" t="n"/>
      <c r="F34" s="4" t="n"/>
      <c r="G34" s="4" t="n"/>
      <c r="H34" s="4" t="n"/>
      <c r="I34" s="4" t="n"/>
      <c r="J34" s="4" t="n"/>
      <c r="K34" s="9">
        <f>IFERROR(J34/I34,0)</f>
        <v/>
      </c>
      <c r="L34" s="4" t="n"/>
      <c r="M34" s="4" t="n"/>
      <c r="N34" s="4" t="n"/>
    </row>
    <row r="35">
      <c r="A35" s="5" t="n"/>
      <c r="B35" s="5">
        <f>IFERROR(VLOOKUP(A35,'F01 - _Données Centrales'!A6:B20,2,FALSE),"")</f>
        <v/>
      </c>
      <c r="C35" s="5">
        <f>IFERROR(VLOOKUP(A35,'F01 - _Données Centrales'!A6:C20,3,FALSE),"")</f>
        <v/>
      </c>
      <c r="D35" s="5" t="n"/>
      <c r="E35" s="5" t="n"/>
      <c r="F35" s="5" t="n"/>
      <c r="G35" s="5" t="n"/>
      <c r="H35" s="5" t="n"/>
      <c r="I35" s="5" t="n"/>
      <c r="J35" s="5" t="n"/>
      <c r="K35" s="10">
        <f>IFERROR(J35/I35,0)</f>
        <v/>
      </c>
      <c r="L35" s="5" t="n"/>
      <c r="M35" s="5" t="n"/>
      <c r="N35" s="5" t="n"/>
    </row>
    <row r="36">
      <c r="A36" s="4" t="n"/>
      <c r="B36" s="4">
        <f>IFERROR(VLOOKUP(A36,'F01 - _Données Centrales'!A6:B20,2,FALSE),"")</f>
        <v/>
      </c>
      <c r="C36" s="4">
        <f>IFERROR(VLOOKUP(A36,'F01 - _Données Centrales'!A6:C20,3,FALSE),"")</f>
        <v/>
      </c>
      <c r="D36" s="4" t="n"/>
      <c r="E36" s="4" t="n"/>
      <c r="F36" s="4" t="n"/>
      <c r="G36" s="4" t="n"/>
      <c r="H36" s="4" t="n"/>
      <c r="I36" s="4" t="n"/>
      <c r="J36" s="4" t="n"/>
      <c r="K36" s="9">
        <f>IFERROR(J36/I36,0)</f>
        <v/>
      </c>
      <c r="L36" s="4" t="n"/>
      <c r="M36" s="4" t="n"/>
      <c r="N36" s="4" t="n"/>
    </row>
    <row r="37">
      <c r="A37" s="5" t="n"/>
      <c r="B37" s="5">
        <f>IFERROR(VLOOKUP(A37,'F01 - _Données Centrales'!A6:B20,2,FALSE),"")</f>
        <v/>
      </c>
      <c r="C37" s="5">
        <f>IFERROR(VLOOKUP(A37,'F01 - _Données Centrales'!A6:C20,3,FALSE),"")</f>
        <v/>
      </c>
      <c r="D37" s="5" t="n"/>
      <c r="E37" s="5" t="n"/>
      <c r="F37" s="5" t="n"/>
      <c r="G37" s="5" t="n"/>
      <c r="H37" s="5" t="n"/>
      <c r="I37" s="5" t="n"/>
      <c r="J37" s="5" t="n"/>
      <c r="K37" s="10">
        <f>IFERROR(J37/I37,0)</f>
        <v/>
      </c>
      <c r="L37" s="5" t="n"/>
      <c r="M37" s="5" t="n"/>
      <c r="N37" s="5" t="n"/>
    </row>
    <row r="38">
      <c r="A38" s="4" t="n"/>
      <c r="B38" s="4">
        <f>IFERROR(VLOOKUP(A38,'F01 - _Données Centrales'!A6:B20,2,FALSE),"")</f>
        <v/>
      </c>
      <c r="C38" s="4">
        <f>IFERROR(VLOOKUP(A38,'F01 - _Données Centrales'!A6:C20,3,FALSE),"")</f>
        <v/>
      </c>
      <c r="D38" s="4" t="n"/>
      <c r="E38" s="4" t="n"/>
      <c r="F38" s="4" t="n"/>
      <c r="G38" s="4" t="n"/>
      <c r="H38" s="4" t="n"/>
      <c r="I38" s="4" t="n"/>
      <c r="J38" s="4" t="n"/>
      <c r="K38" s="9">
        <f>IFERROR(J38/I38,0)</f>
        <v/>
      </c>
      <c r="L38" s="4" t="n"/>
      <c r="M38" s="4" t="n"/>
      <c r="N38" s="4" t="n"/>
    </row>
    <row r="39">
      <c r="A39" s="5" t="n"/>
      <c r="B39" s="5">
        <f>IFERROR(VLOOKUP(A39,'F01 - _Données Centrales'!A6:B20,2,FALSE),"")</f>
        <v/>
      </c>
      <c r="C39" s="5">
        <f>IFERROR(VLOOKUP(A39,'F01 - _Données Centrales'!A6:C20,3,FALSE),"")</f>
        <v/>
      </c>
      <c r="D39" s="5" t="n"/>
      <c r="E39" s="5" t="n"/>
      <c r="F39" s="5" t="n"/>
      <c r="G39" s="5" t="n"/>
      <c r="H39" s="5" t="n"/>
      <c r="I39" s="5" t="n"/>
      <c r="J39" s="5" t="n"/>
      <c r="K39" s="10">
        <f>IFERROR(J39/I39,0)</f>
        <v/>
      </c>
      <c r="L39" s="5" t="n"/>
      <c r="M39" s="5" t="n"/>
      <c r="N39" s="5" t="n"/>
    </row>
    <row r="40">
      <c r="A40" s="4" t="n"/>
      <c r="B40" s="4">
        <f>IFERROR(VLOOKUP(A40,'F01 - _Données Centrales'!A6:B20,2,FALSE),"")</f>
        <v/>
      </c>
      <c r="C40" s="4">
        <f>IFERROR(VLOOKUP(A40,'F01 - _Données Centrales'!A6:C20,3,FALSE),"")</f>
        <v/>
      </c>
      <c r="D40" s="4" t="n"/>
      <c r="E40" s="4" t="n"/>
      <c r="F40" s="4" t="n"/>
      <c r="G40" s="4" t="n"/>
      <c r="H40" s="4" t="n"/>
      <c r="I40" s="4" t="n"/>
      <c r="J40" s="4" t="n"/>
      <c r="K40" s="9">
        <f>IFERROR(J40/I40,0)</f>
        <v/>
      </c>
      <c r="L40" s="4" t="n"/>
      <c r="M40" s="4" t="n"/>
      <c r="N40" s="4" t="n"/>
    </row>
    <row r="41">
      <c r="A41" s="5" t="n"/>
      <c r="B41" s="5">
        <f>IFERROR(VLOOKUP(A41,'F01 - _Données Centrales'!A6:B20,2,FALSE),"")</f>
        <v/>
      </c>
      <c r="C41" s="5">
        <f>IFERROR(VLOOKUP(A41,'F01 - _Données Centrales'!A6:C20,3,FALSE),"")</f>
        <v/>
      </c>
      <c r="D41" s="5" t="n"/>
      <c r="E41" s="5" t="n"/>
      <c r="F41" s="5" t="n"/>
      <c r="G41" s="5" t="n"/>
      <c r="H41" s="5" t="n"/>
      <c r="I41" s="5" t="n"/>
      <c r="J41" s="5" t="n"/>
      <c r="K41" s="10">
        <f>IFERROR(J41/I41,0)</f>
        <v/>
      </c>
      <c r="L41" s="5" t="n"/>
      <c r="M41" s="5" t="n"/>
      <c r="N41" s="5" t="n"/>
    </row>
    <row r="42">
      <c r="A42" s="4" t="n"/>
      <c r="B42" s="4">
        <f>IFERROR(VLOOKUP(A42,'F01 - _Données Centrales'!A6:B20,2,FALSE),"")</f>
        <v/>
      </c>
      <c r="C42" s="4">
        <f>IFERROR(VLOOKUP(A42,'F01 - _Données Centrales'!A6:C20,3,FALSE),"")</f>
        <v/>
      </c>
      <c r="D42" s="4" t="n"/>
      <c r="E42" s="4" t="n"/>
      <c r="F42" s="4" t="n"/>
      <c r="G42" s="4" t="n"/>
      <c r="H42" s="4" t="n"/>
      <c r="I42" s="4" t="n"/>
      <c r="J42" s="4" t="n"/>
      <c r="K42" s="9">
        <f>IFERROR(J42/I42,0)</f>
        <v/>
      </c>
      <c r="L42" s="4" t="n"/>
      <c r="M42" s="4" t="n"/>
      <c r="N42" s="4" t="n"/>
    </row>
    <row r="43">
      <c r="A43" s="5" t="n"/>
      <c r="B43" s="5">
        <f>IFERROR(VLOOKUP(A43,'F01 - _Données Centrales'!A6:B20,2,FALSE),"")</f>
        <v/>
      </c>
      <c r="C43" s="5">
        <f>IFERROR(VLOOKUP(A43,'F01 - _Données Centrales'!A6:C20,3,FALSE),"")</f>
        <v/>
      </c>
      <c r="D43" s="5" t="n"/>
      <c r="E43" s="5" t="n"/>
      <c r="F43" s="5" t="n"/>
      <c r="G43" s="5" t="n"/>
      <c r="H43" s="5" t="n"/>
      <c r="I43" s="5" t="n"/>
      <c r="J43" s="5" t="n"/>
      <c r="K43" s="10">
        <f>IFERROR(J43/I43,0)</f>
        <v/>
      </c>
      <c r="L43" s="5" t="n"/>
      <c r="M43" s="5" t="n"/>
      <c r="N43" s="5" t="n"/>
    </row>
    <row r="44">
      <c r="A44" s="4" t="n"/>
      <c r="B44" s="4">
        <f>IFERROR(VLOOKUP(A44,'F01 - _Données Centrales'!A6:B20,2,FALSE),"")</f>
        <v/>
      </c>
      <c r="C44" s="4">
        <f>IFERROR(VLOOKUP(A44,'F01 - _Données Centrales'!A6:C20,3,FALSE),"")</f>
        <v/>
      </c>
      <c r="D44" s="4" t="n"/>
      <c r="E44" s="4" t="n"/>
      <c r="F44" s="4" t="n"/>
      <c r="G44" s="4" t="n"/>
      <c r="H44" s="4" t="n"/>
      <c r="I44" s="4" t="n"/>
      <c r="J44" s="4" t="n"/>
      <c r="K44" s="9">
        <f>IFERROR(J44/I44,0)</f>
        <v/>
      </c>
      <c r="L44" s="4" t="n"/>
      <c r="M44" s="4" t="n"/>
      <c r="N44" s="4" t="n"/>
    </row>
    <row r="45">
      <c r="A45" s="5" t="n"/>
      <c r="B45" s="5">
        <f>IFERROR(VLOOKUP(A45,'F01 - _Données Centrales'!A6:B20,2,FALSE),"")</f>
        <v/>
      </c>
      <c r="C45" s="5">
        <f>IFERROR(VLOOKUP(A45,'F01 - _Données Centrales'!A6:C20,3,FALSE),"")</f>
        <v/>
      </c>
      <c r="D45" s="5" t="n"/>
      <c r="E45" s="5" t="n"/>
      <c r="F45" s="5" t="n"/>
      <c r="G45" s="5" t="n"/>
      <c r="H45" s="5" t="n"/>
      <c r="I45" s="5" t="n"/>
      <c r="J45" s="5" t="n"/>
      <c r="K45" s="10">
        <f>IFERROR(J45/I45,0)</f>
        <v/>
      </c>
      <c r="L45" s="5" t="n"/>
      <c r="M45" s="5" t="n"/>
      <c r="N45" s="5" t="n"/>
    </row>
    <row r="46">
      <c r="A46" s="4" t="n"/>
      <c r="B46" s="4">
        <f>IFERROR(VLOOKUP(A46,'F01 - _Données Centrales'!A6:B20,2,FALSE),"")</f>
        <v/>
      </c>
      <c r="C46" s="4">
        <f>IFERROR(VLOOKUP(A46,'F01 - _Données Centrales'!A6:C20,3,FALSE),"")</f>
        <v/>
      </c>
      <c r="D46" s="4" t="n"/>
      <c r="E46" s="4" t="n"/>
      <c r="F46" s="4" t="n"/>
      <c r="G46" s="4" t="n"/>
      <c r="H46" s="4" t="n"/>
      <c r="I46" s="4" t="n"/>
      <c r="J46" s="4" t="n"/>
      <c r="K46" s="9">
        <f>IFERROR(J46/I46,0)</f>
        <v/>
      </c>
      <c r="L46" s="4" t="n"/>
      <c r="M46" s="4" t="n"/>
      <c r="N46" s="4" t="n"/>
    </row>
    <row r="47">
      <c r="A47" s="5" t="n"/>
      <c r="B47" s="5">
        <f>IFERROR(VLOOKUP(A47,'F01 - _Données Centrales'!A6:B20,2,FALSE),"")</f>
        <v/>
      </c>
      <c r="C47" s="5">
        <f>IFERROR(VLOOKUP(A47,'F01 - _Données Centrales'!A6:C20,3,FALSE),"")</f>
        <v/>
      </c>
      <c r="D47" s="5" t="n"/>
      <c r="E47" s="5" t="n"/>
      <c r="F47" s="5" t="n"/>
      <c r="G47" s="5" t="n"/>
      <c r="H47" s="5" t="n"/>
      <c r="I47" s="5" t="n"/>
      <c r="J47" s="5" t="n"/>
      <c r="K47" s="10">
        <f>IFERROR(J47/I47,0)</f>
        <v/>
      </c>
      <c r="L47" s="5" t="n"/>
      <c r="M47" s="5" t="n"/>
      <c r="N47" s="5" t="n"/>
    </row>
    <row r="48">
      <c r="A48" s="4" t="n"/>
      <c r="B48" s="4">
        <f>IFERROR(VLOOKUP(A48,'F01 - _Données Centrales'!A6:B20,2,FALSE),"")</f>
        <v/>
      </c>
      <c r="C48" s="4">
        <f>IFERROR(VLOOKUP(A48,'F01 - _Données Centrales'!A6:C20,3,FALSE),"")</f>
        <v/>
      </c>
      <c r="D48" s="4" t="n"/>
      <c r="E48" s="4" t="n"/>
      <c r="F48" s="4" t="n"/>
      <c r="G48" s="4" t="n"/>
      <c r="H48" s="4" t="n"/>
      <c r="I48" s="4" t="n"/>
      <c r="J48" s="4" t="n"/>
      <c r="K48" s="9">
        <f>IFERROR(J48/I48,0)</f>
        <v/>
      </c>
      <c r="L48" s="4" t="n"/>
      <c r="M48" s="4" t="n"/>
      <c r="N48" s="4" t="n"/>
    </row>
    <row r="49">
      <c r="A49" s="5" t="n"/>
      <c r="B49" s="5">
        <f>IFERROR(VLOOKUP(A49,'F01 - _Données Centrales'!A6:B20,2,FALSE),"")</f>
        <v/>
      </c>
      <c r="C49" s="5">
        <f>IFERROR(VLOOKUP(A49,'F01 - _Données Centrales'!A6:C20,3,FALSE),"")</f>
        <v/>
      </c>
      <c r="D49" s="5" t="n"/>
      <c r="E49" s="5" t="n"/>
      <c r="F49" s="5" t="n"/>
      <c r="G49" s="5" t="n"/>
      <c r="H49" s="5" t="n"/>
      <c r="I49" s="5" t="n"/>
      <c r="J49" s="5" t="n"/>
      <c r="K49" s="10">
        <f>IFERROR(J49/I49,0)</f>
        <v/>
      </c>
      <c r="L49" s="5" t="n"/>
      <c r="M49" s="5" t="n"/>
      <c r="N49" s="5" t="n"/>
    </row>
    <row r="50">
      <c r="A50" s="4" t="n"/>
      <c r="B50" s="4">
        <f>IFERROR(VLOOKUP(A50,'F01 - _Données Centrales'!A6:B20,2,FALSE),"")</f>
        <v/>
      </c>
      <c r="C50" s="4">
        <f>IFERROR(VLOOKUP(A50,'F01 - _Données Centrales'!A6:C20,3,FALSE),"")</f>
        <v/>
      </c>
      <c r="D50" s="4" t="n"/>
      <c r="E50" s="4" t="n"/>
      <c r="F50" s="4" t="n"/>
      <c r="G50" s="4" t="n"/>
      <c r="H50" s="4" t="n"/>
      <c r="I50" s="4" t="n"/>
      <c r="J50" s="4" t="n"/>
      <c r="K50" s="9">
        <f>IFERROR(J50/I50,0)</f>
        <v/>
      </c>
      <c r="L50" s="4" t="n"/>
      <c r="M50" s="4" t="n"/>
      <c r="N50" s="4" t="n"/>
    </row>
    <row r="51">
      <c r="A51" s="5" t="n"/>
      <c r="B51" s="5">
        <f>IFERROR(VLOOKUP(A51,'F01 - _Données Centrales'!A6:B20,2,FALSE),"")</f>
        <v/>
      </c>
      <c r="C51" s="5">
        <f>IFERROR(VLOOKUP(A51,'F01 - _Données Centrales'!A6:C20,3,FALSE),"")</f>
        <v/>
      </c>
      <c r="D51" s="5" t="n"/>
      <c r="E51" s="5" t="n"/>
      <c r="F51" s="5" t="n"/>
      <c r="G51" s="5" t="n"/>
      <c r="H51" s="5" t="n"/>
      <c r="I51" s="5" t="n"/>
      <c r="J51" s="5" t="n"/>
      <c r="K51" s="10">
        <f>IFERROR(J51/I51,0)</f>
        <v/>
      </c>
      <c r="L51" s="5" t="n"/>
      <c r="M51" s="5" t="n"/>
      <c r="N51" s="5" t="n"/>
    </row>
    <row r="52">
      <c r="A52" s="4" t="n"/>
      <c r="B52" s="4">
        <f>IFERROR(VLOOKUP(A52,'F01 - _Données Centrales'!A6:B20,2,FALSE),"")</f>
        <v/>
      </c>
      <c r="C52" s="4">
        <f>IFERROR(VLOOKUP(A52,'F01 - _Données Centrales'!A6:C20,3,FALSE),"")</f>
        <v/>
      </c>
      <c r="D52" s="4" t="n"/>
      <c r="E52" s="4" t="n"/>
      <c r="F52" s="4" t="n"/>
      <c r="G52" s="4" t="n"/>
      <c r="H52" s="4" t="n"/>
      <c r="I52" s="4" t="n"/>
      <c r="J52" s="4" t="n"/>
      <c r="K52" s="9">
        <f>IFERROR(J52/I52,0)</f>
        <v/>
      </c>
      <c r="L52" s="4" t="n"/>
      <c r="M52" s="4" t="n"/>
      <c r="N52" s="4" t="n"/>
    </row>
    <row r="53">
      <c r="A53" s="5" t="n"/>
      <c r="B53" s="5">
        <f>IFERROR(VLOOKUP(A53,'F01 - _Données Centrales'!A6:B20,2,FALSE),"")</f>
        <v/>
      </c>
      <c r="C53" s="5">
        <f>IFERROR(VLOOKUP(A53,'F01 - _Données Centrales'!A6:C20,3,FALSE),"")</f>
        <v/>
      </c>
      <c r="D53" s="5" t="n"/>
      <c r="E53" s="5" t="n"/>
      <c r="F53" s="5" t="n"/>
      <c r="G53" s="5" t="n"/>
      <c r="H53" s="5" t="n"/>
      <c r="I53" s="5" t="n"/>
      <c r="J53" s="5" t="n"/>
      <c r="K53" s="10">
        <f>IFERROR(J53/I53,0)</f>
        <v/>
      </c>
      <c r="L53" s="5" t="n"/>
      <c r="M53" s="5" t="n"/>
      <c r="N53" s="5" t="n"/>
    </row>
    <row r="54">
      <c r="A54" s="4" t="n"/>
      <c r="B54" s="4">
        <f>IFERROR(VLOOKUP(A54,'F01 - _Données Centrales'!A6:B20,2,FALSE),"")</f>
        <v/>
      </c>
      <c r="C54" s="4">
        <f>IFERROR(VLOOKUP(A54,'F01 - _Données Centrales'!A6:C20,3,FALSE),"")</f>
        <v/>
      </c>
      <c r="D54" s="4" t="n"/>
      <c r="E54" s="4" t="n"/>
      <c r="F54" s="4" t="n"/>
      <c r="G54" s="4" t="n"/>
      <c r="H54" s="4" t="n"/>
      <c r="I54" s="4" t="n"/>
      <c r="J54" s="4" t="n"/>
      <c r="K54" s="9">
        <f>IFERROR(J54/I54,0)</f>
        <v/>
      </c>
      <c r="L54" s="4" t="n"/>
      <c r="M54" s="4" t="n"/>
      <c r="N54" s="4" t="n"/>
    </row>
    <row r="55">
      <c r="A55" s="5" t="n"/>
      <c r="B55" s="5">
        <f>IFERROR(VLOOKUP(A55,'F01 - _Données Centrales'!A6:B20,2,FALSE),"")</f>
        <v/>
      </c>
      <c r="C55" s="5">
        <f>IFERROR(VLOOKUP(A55,'F01 - _Données Centrales'!A6:C20,3,FALSE),"")</f>
        <v/>
      </c>
      <c r="D55" s="5" t="n"/>
      <c r="E55" s="5" t="n"/>
      <c r="F55" s="5" t="n"/>
      <c r="G55" s="5" t="n"/>
      <c r="H55" s="5" t="n"/>
      <c r="I55" s="5" t="n"/>
      <c r="J55" s="5" t="n"/>
      <c r="K55" s="10">
        <f>IFERROR(J55/I55,0)</f>
        <v/>
      </c>
      <c r="L55" s="5" t="n"/>
      <c r="M55" s="5" t="n"/>
      <c r="N55" s="5" t="n"/>
    </row>
    <row r="56">
      <c r="A56" s="4" t="n"/>
      <c r="B56" s="4">
        <f>IFERROR(VLOOKUP(A56,'F01 - _Données Centrales'!A6:B20,2,FALSE),"")</f>
        <v/>
      </c>
      <c r="C56" s="4">
        <f>IFERROR(VLOOKUP(A56,'F01 - _Données Centrales'!A6:C20,3,FALSE),"")</f>
        <v/>
      </c>
      <c r="D56" s="4" t="n"/>
      <c r="E56" s="4" t="n"/>
      <c r="F56" s="4" t="n"/>
      <c r="G56" s="4" t="n"/>
      <c r="H56" s="4" t="n"/>
      <c r="I56" s="4" t="n"/>
      <c r="J56" s="4" t="n"/>
      <c r="K56" s="9">
        <f>IFERROR(J56/I56,0)</f>
        <v/>
      </c>
      <c r="L56" s="4" t="n"/>
      <c r="M56" s="4" t="n"/>
      <c r="N56" s="4" t="n"/>
    </row>
    <row r="57">
      <c r="A57" s="5" t="n"/>
      <c r="B57" s="5">
        <f>IFERROR(VLOOKUP(A57,'F01 - _Données Centrales'!A6:B20,2,FALSE),"")</f>
        <v/>
      </c>
      <c r="C57" s="5">
        <f>IFERROR(VLOOKUP(A57,'F01 - _Données Centrales'!A6:C20,3,FALSE),"")</f>
        <v/>
      </c>
      <c r="D57" s="5" t="n"/>
      <c r="E57" s="5" t="n"/>
      <c r="F57" s="5" t="n"/>
      <c r="G57" s="5" t="n"/>
      <c r="H57" s="5" t="n"/>
      <c r="I57" s="5" t="n"/>
      <c r="J57" s="5" t="n"/>
      <c r="K57" s="10">
        <f>IFERROR(J57/I57,0)</f>
        <v/>
      </c>
      <c r="L57" s="5" t="n"/>
      <c r="M57" s="5" t="n"/>
      <c r="N57" s="5" t="n"/>
    </row>
    <row r="58">
      <c r="A58" s="4" t="n"/>
      <c r="B58" s="4">
        <f>IFERROR(VLOOKUP(A58,'F01 - _Données Centrales'!A6:B20,2,FALSE),"")</f>
        <v/>
      </c>
      <c r="C58" s="4">
        <f>IFERROR(VLOOKUP(A58,'F01 - _Données Centrales'!A6:C20,3,FALSE),"")</f>
        <v/>
      </c>
      <c r="D58" s="4" t="n"/>
      <c r="E58" s="4" t="n"/>
      <c r="F58" s="4" t="n"/>
      <c r="G58" s="4" t="n"/>
      <c r="H58" s="4" t="n"/>
      <c r="I58" s="4" t="n"/>
      <c r="J58" s="4" t="n"/>
      <c r="K58" s="9">
        <f>IFERROR(J58/I58,0)</f>
        <v/>
      </c>
      <c r="L58" s="4" t="n"/>
      <c r="M58" s="4" t="n"/>
      <c r="N58" s="4" t="n"/>
    </row>
    <row r="59">
      <c r="A59" s="5" t="n"/>
      <c r="B59" s="5">
        <f>IFERROR(VLOOKUP(A59,'F01 - _Données Centrales'!A6:B20,2,FALSE),"")</f>
        <v/>
      </c>
      <c r="C59" s="5">
        <f>IFERROR(VLOOKUP(A59,'F01 - _Données Centrales'!A6:C20,3,FALSE),"")</f>
        <v/>
      </c>
      <c r="D59" s="5" t="n"/>
      <c r="E59" s="5" t="n"/>
      <c r="F59" s="5" t="n"/>
      <c r="G59" s="5" t="n"/>
      <c r="H59" s="5" t="n"/>
      <c r="I59" s="5" t="n"/>
      <c r="J59" s="5" t="n"/>
      <c r="K59" s="10">
        <f>IFERROR(J59/I59,0)</f>
        <v/>
      </c>
      <c r="L59" s="5" t="n"/>
      <c r="M59" s="5" t="n"/>
      <c r="N59" s="5" t="n"/>
    </row>
    <row r="60">
      <c r="A60" s="4" t="n"/>
      <c r="B60" s="4">
        <f>IFERROR(VLOOKUP(A60,'F01 - _Données Centrales'!A6:B20,2,FALSE),"")</f>
        <v/>
      </c>
      <c r="C60" s="4">
        <f>IFERROR(VLOOKUP(A60,'F01 - _Données Centrales'!A6:C20,3,FALSE),"")</f>
        <v/>
      </c>
      <c r="D60" s="4" t="n"/>
      <c r="E60" s="4" t="n"/>
      <c r="F60" s="4" t="n"/>
      <c r="G60" s="4" t="n"/>
      <c r="H60" s="4" t="n"/>
      <c r="I60" s="4" t="n"/>
      <c r="J60" s="4" t="n"/>
      <c r="K60" s="9">
        <f>IFERROR(J60/I60,0)</f>
        <v/>
      </c>
      <c r="L60" s="4" t="n"/>
      <c r="M60" s="4" t="n"/>
      <c r="N60" s="4" t="n"/>
    </row>
    <row r="61">
      <c r="A61" s="5" t="n"/>
      <c r="B61" s="5">
        <f>IFERROR(VLOOKUP(A61,'F01 - _Données Centrales'!A6:B20,2,FALSE),"")</f>
        <v/>
      </c>
      <c r="C61" s="5">
        <f>IFERROR(VLOOKUP(A61,'F01 - _Données Centrales'!A6:C20,3,FALSE),"")</f>
        <v/>
      </c>
      <c r="D61" s="5" t="n"/>
      <c r="E61" s="5" t="n"/>
      <c r="F61" s="5" t="n"/>
      <c r="G61" s="5" t="n"/>
      <c r="H61" s="5" t="n"/>
      <c r="I61" s="5" t="n"/>
      <c r="J61" s="5" t="n"/>
      <c r="K61" s="10">
        <f>IFERROR(J61/I61,0)</f>
        <v/>
      </c>
      <c r="L61" s="5" t="n"/>
      <c r="M61" s="5" t="n"/>
      <c r="N61" s="5" t="n"/>
    </row>
    <row r="62">
      <c r="A62" s="4" t="n"/>
      <c r="B62" s="4">
        <f>IFERROR(VLOOKUP(A62,'F01 - _Données Centrales'!A6:B20,2,FALSE),"")</f>
        <v/>
      </c>
      <c r="C62" s="4">
        <f>IFERROR(VLOOKUP(A62,'F01 - _Données Centrales'!A6:C20,3,FALSE),"")</f>
        <v/>
      </c>
      <c r="D62" s="4" t="n"/>
      <c r="E62" s="4" t="n"/>
      <c r="F62" s="4" t="n"/>
      <c r="G62" s="4" t="n"/>
      <c r="H62" s="4" t="n"/>
      <c r="I62" s="4" t="n"/>
      <c r="J62" s="4" t="n"/>
      <c r="K62" s="9">
        <f>IFERROR(J62/I62,0)</f>
        <v/>
      </c>
      <c r="L62" s="4" t="n"/>
      <c r="M62" s="4" t="n"/>
      <c r="N62" s="4" t="n"/>
    </row>
    <row r="63">
      <c r="A63" s="5" t="n"/>
      <c r="B63" s="5">
        <f>IFERROR(VLOOKUP(A63,'F01 - _Données Centrales'!A6:B20,2,FALSE),"")</f>
        <v/>
      </c>
      <c r="C63" s="5">
        <f>IFERROR(VLOOKUP(A63,'F01 - _Données Centrales'!A6:C20,3,FALSE),"")</f>
        <v/>
      </c>
      <c r="D63" s="5" t="n"/>
      <c r="E63" s="5" t="n"/>
      <c r="F63" s="5" t="n"/>
      <c r="G63" s="5" t="n"/>
      <c r="H63" s="5" t="n"/>
      <c r="I63" s="5" t="n"/>
      <c r="J63" s="5" t="n"/>
      <c r="K63" s="10">
        <f>IFERROR(J63/I63,0)</f>
        <v/>
      </c>
      <c r="L63" s="5" t="n"/>
      <c r="M63" s="5" t="n"/>
      <c r="N63" s="5" t="n"/>
    </row>
    <row r="64">
      <c r="A64" s="4" t="n"/>
      <c r="B64" s="4">
        <f>IFERROR(VLOOKUP(A64,'F01 - _Données Centrales'!A6:B20,2,FALSE),"")</f>
        <v/>
      </c>
      <c r="C64" s="4">
        <f>IFERROR(VLOOKUP(A64,'F01 - _Données Centrales'!A6:C20,3,FALSE),"")</f>
        <v/>
      </c>
      <c r="D64" s="4" t="n"/>
      <c r="E64" s="4" t="n"/>
      <c r="F64" s="4" t="n"/>
      <c r="G64" s="4" t="n"/>
      <c r="H64" s="4" t="n"/>
      <c r="I64" s="4" t="n"/>
      <c r="J64" s="4" t="n"/>
      <c r="K64" s="9">
        <f>IFERROR(J64/I64,0)</f>
        <v/>
      </c>
      <c r="L64" s="4" t="n"/>
      <c r="M64" s="4" t="n"/>
      <c r="N64" s="4" t="n"/>
    </row>
    <row r="65">
      <c r="A65" s="5" t="n"/>
      <c r="B65" s="5">
        <f>IFERROR(VLOOKUP(A65,'F01 - _Données Centrales'!A6:B20,2,FALSE),"")</f>
        <v/>
      </c>
      <c r="C65" s="5">
        <f>IFERROR(VLOOKUP(A65,'F01 - _Données Centrales'!A6:C20,3,FALSE),"")</f>
        <v/>
      </c>
      <c r="D65" s="5" t="n"/>
      <c r="E65" s="5" t="n"/>
      <c r="F65" s="5" t="n"/>
      <c r="G65" s="5" t="n"/>
      <c r="H65" s="5" t="n"/>
      <c r="I65" s="5" t="n"/>
      <c r="J65" s="5" t="n"/>
      <c r="K65" s="10">
        <f>IFERROR(J65/I65,0)</f>
        <v/>
      </c>
      <c r="L65" s="5" t="n"/>
      <c r="M65" s="5" t="n"/>
      <c r="N65" s="5" t="n"/>
    </row>
    <row r="66">
      <c r="A66" s="4" t="n"/>
      <c r="B66" s="4">
        <f>IFERROR(VLOOKUP(A66,'F01 - _Données Centrales'!A6:B20,2,FALSE),"")</f>
        <v/>
      </c>
      <c r="C66" s="4">
        <f>IFERROR(VLOOKUP(A66,'F01 - _Données Centrales'!A6:C20,3,FALSE),"")</f>
        <v/>
      </c>
      <c r="D66" s="4" t="n"/>
      <c r="E66" s="4" t="n"/>
      <c r="F66" s="4" t="n"/>
      <c r="G66" s="4" t="n"/>
      <c r="H66" s="4" t="n"/>
      <c r="I66" s="4" t="n"/>
      <c r="J66" s="4" t="n"/>
      <c r="K66" s="9">
        <f>IFERROR(J66/I66,0)</f>
        <v/>
      </c>
      <c r="L66" s="4" t="n"/>
      <c r="M66" s="4" t="n"/>
      <c r="N66" s="4" t="n"/>
    </row>
    <row r="67">
      <c r="A67" s="5" t="n"/>
      <c r="B67" s="5">
        <f>IFERROR(VLOOKUP(A67,'F01 - _Données Centrales'!A6:B20,2,FALSE),"")</f>
        <v/>
      </c>
      <c r="C67" s="5">
        <f>IFERROR(VLOOKUP(A67,'F01 - _Données Centrales'!A6:C20,3,FALSE),"")</f>
        <v/>
      </c>
      <c r="D67" s="5" t="n"/>
      <c r="E67" s="5" t="n"/>
      <c r="F67" s="5" t="n"/>
      <c r="G67" s="5" t="n"/>
      <c r="H67" s="5" t="n"/>
      <c r="I67" s="5" t="n"/>
      <c r="J67" s="5" t="n"/>
      <c r="K67" s="10">
        <f>IFERROR(J67/I67,0)</f>
        <v/>
      </c>
      <c r="L67" s="5" t="n"/>
      <c r="M67" s="5" t="n"/>
      <c r="N67" s="5" t="n"/>
    </row>
    <row r="68">
      <c r="A68" s="4" t="n"/>
      <c r="B68" s="4">
        <f>IFERROR(VLOOKUP(A68,'F01 - _Données Centrales'!A6:B20,2,FALSE),"")</f>
        <v/>
      </c>
      <c r="C68" s="4">
        <f>IFERROR(VLOOKUP(A68,'F01 - _Données Centrales'!A6:C20,3,FALSE),"")</f>
        <v/>
      </c>
      <c r="D68" s="4" t="n"/>
      <c r="E68" s="4" t="n"/>
      <c r="F68" s="4" t="n"/>
      <c r="G68" s="4" t="n"/>
      <c r="H68" s="4" t="n"/>
      <c r="I68" s="4" t="n"/>
      <c r="J68" s="4" t="n"/>
      <c r="K68" s="9">
        <f>IFERROR(J68/I68,0)</f>
        <v/>
      </c>
      <c r="L68" s="4" t="n"/>
      <c r="M68" s="4" t="n"/>
      <c r="N68" s="4" t="n"/>
    </row>
    <row r="69">
      <c r="A69" s="5" t="n"/>
      <c r="B69" s="5">
        <f>IFERROR(VLOOKUP(A69,'F01 - _Données Centrales'!A6:B20,2,FALSE),"")</f>
        <v/>
      </c>
      <c r="C69" s="5">
        <f>IFERROR(VLOOKUP(A69,'F01 - _Données Centrales'!A6:C20,3,FALSE),"")</f>
        <v/>
      </c>
      <c r="D69" s="5" t="n"/>
      <c r="E69" s="5" t="n"/>
      <c r="F69" s="5" t="n"/>
      <c r="G69" s="5" t="n"/>
      <c r="H69" s="5" t="n"/>
      <c r="I69" s="5" t="n"/>
      <c r="J69" s="5" t="n"/>
      <c r="K69" s="10">
        <f>IFERROR(J69/I69,0)</f>
        <v/>
      </c>
      <c r="L69" s="5" t="n"/>
      <c r="M69" s="5" t="n"/>
      <c r="N69" s="5" t="n"/>
    </row>
    <row r="70">
      <c r="A70" s="4" t="n"/>
      <c r="B70" s="4">
        <f>IFERROR(VLOOKUP(A70,'F01 - _Données Centrales'!A6:B20,2,FALSE),"")</f>
        <v/>
      </c>
      <c r="C70" s="4">
        <f>IFERROR(VLOOKUP(A70,'F01 - _Données Centrales'!A6:C20,3,FALSE),"")</f>
        <v/>
      </c>
      <c r="D70" s="4" t="n"/>
      <c r="E70" s="4" t="n"/>
      <c r="F70" s="4" t="n"/>
      <c r="G70" s="4" t="n"/>
      <c r="H70" s="4" t="n"/>
      <c r="I70" s="4" t="n"/>
      <c r="J70" s="4" t="n"/>
      <c r="K70" s="9">
        <f>IFERROR(J70/I70,0)</f>
        <v/>
      </c>
      <c r="L70" s="4" t="n"/>
      <c r="M70" s="4" t="n"/>
      <c r="N70" s="4" t="n"/>
    </row>
    <row r="71">
      <c r="A71" s="5" t="n"/>
      <c r="B71" s="5">
        <f>IFERROR(VLOOKUP(A71,'F01 - _Données Centrales'!A6:B20,2,FALSE),"")</f>
        <v/>
      </c>
      <c r="C71" s="5">
        <f>IFERROR(VLOOKUP(A71,'F01 - _Données Centrales'!A6:C20,3,FALSE),"")</f>
        <v/>
      </c>
      <c r="D71" s="5" t="n"/>
      <c r="E71" s="5" t="n"/>
      <c r="F71" s="5" t="n"/>
      <c r="G71" s="5" t="n"/>
      <c r="H71" s="5" t="n"/>
      <c r="I71" s="5" t="n"/>
      <c r="J71" s="5" t="n"/>
      <c r="K71" s="10">
        <f>IFERROR(J71/I71,0)</f>
        <v/>
      </c>
      <c r="L71" s="5" t="n"/>
      <c r="M71" s="5" t="n"/>
      <c r="N71" s="5" t="n"/>
    </row>
    <row r="72">
      <c r="A72" s="4" t="n"/>
      <c r="B72" s="4">
        <f>IFERROR(VLOOKUP(A72,'F01 - _Données Centrales'!A6:B20,2,FALSE),"")</f>
        <v/>
      </c>
      <c r="C72" s="4">
        <f>IFERROR(VLOOKUP(A72,'F01 - _Données Centrales'!A6:C20,3,FALSE),"")</f>
        <v/>
      </c>
      <c r="D72" s="4" t="n"/>
      <c r="E72" s="4" t="n"/>
      <c r="F72" s="4" t="n"/>
      <c r="G72" s="4" t="n"/>
      <c r="H72" s="4" t="n"/>
      <c r="I72" s="4" t="n"/>
      <c r="J72" s="4" t="n"/>
      <c r="K72" s="9">
        <f>IFERROR(J72/I72,0)</f>
        <v/>
      </c>
      <c r="L72" s="4" t="n"/>
      <c r="M72" s="4" t="n"/>
      <c r="N72" s="4" t="n"/>
    </row>
    <row r="73">
      <c r="A73" s="5" t="n"/>
      <c r="B73" s="5">
        <f>IFERROR(VLOOKUP(A73,'F01 - _Données Centrales'!A6:B20,2,FALSE),"")</f>
        <v/>
      </c>
      <c r="C73" s="5">
        <f>IFERROR(VLOOKUP(A73,'F01 - _Données Centrales'!A6:C20,3,FALSE),"")</f>
        <v/>
      </c>
      <c r="D73" s="5" t="n"/>
      <c r="E73" s="5" t="n"/>
      <c r="F73" s="5" t="n"/>
      <c r="G73" s="5" t="n"/>
      <c r="H73" s="5" t="n"/>
      <c r="I73" s="5" t="n"/>
      <c r="J73" s="5" t="n"/>
      <c r="K73" s="10">
        <f>IFERROR(J73/I73,0)</f>
        <v/>
      </c>
      <c r="L73" s="5" t="n"/>
      <c r="M73" s="5" t="n"/>
      <c r="N73" s="5" t="n"/>
    </row>
    <row r="74">
      <c r="A74" s="4" t="n"/>
      <c r="B74" s="4">
        <f>IFERROR(VLOOKUP(A74,'F01 - _Données Centrales'!A6:B20,2,FALSE),"")</f>
        <v/>
      </c>
      <c r="C74" s="4">
        <f>IFERROR(VLOOKUP(A74,'F01 - _Données Centrales'!A6:C20,3,FALSE),"")</f>
        <v/>
      </c>
      <c r="D74" s="4" t="n"/>
      <c r="E74" s="4" t="n"/>
      <c r="F74" s="4" t="n"/>
      <c r="G74" s="4" t="n"/>
      <c r="H74" s="4" t="n"/>
      <c r="I74" s="4" t="n"/>
      <c r="J74" s="4" t="n"/>
      <c r="K74" s="9">
        <f>IFERROR(J74/I74,0)</f>
        <v/>
      </c>
      <c r="L74" s="4" t="n"/>
      <c r="M74" s="4" t="n"/>
      <c r="N74" s="4" t="n"/>
    </row>
    <row r="75">
      <c r="A75" s="5" t="n"/>
      <c r="B75" s="5">
        <f>IFERROR(VLOOKUP(A75,'F01 - _Données Centrales'!A6:B20,2,FALSE),"")</f>
        <v/>
      </c>
      <c r="C75" s="5">
        <f>IFERROR(VLOOKUP(A75,'F01 - _Données Centrales'!A6:C20,3,FALSE),"")</f>
        <v/>
      </c>
      <c r="D75" s="5" t="n"/>
      <c r="E75" s="5" t="n"/>
      <c r="F75" s="5" t="n"/>
      <c r="G75" s="5" t="n"/>
      <c r="H75" s="5" t="n"/>
      <c r="I75" s="5" t="n"/>
      <c r="J75" s="5" t="n"/>
      <c r="K75" s="10">
        <f>IFERROR(J75/I75,0)</f>
        <v/>
      </c>
      <c r="L75" s="5" t="n"/>
      <c r="M75" s="5" t="n"/>
      <c r="N75" s="5" t="n"/>
    </row>
    <row r="76">
      <c r="A76" s="4" t="n"/>
      <c r="B76" s="4">
        <f>IFERROR(VLOOKUP(A76,'F01 - _Données Centrales'!A6:B20,2,FALSE),"")</f>
        <v/>
      </c>
      <c r="C76" s="4">
        <f>IFERROR(VLOOKUP(A76,'F01 - _Données Centrales'!A6:C20,3,FALSE),"")</f>
        <v/>
      </c>
      <c r="D76" s="4" t="n"/>
      <c r="E76" s="4" t="n"/>
      <c r="F76" s="4" t="n"/>
      <c r="G76" s="4" t="n"/>
      <c r="H76" s="4" t="n"/>
      <c r="I76" s="4" t="n"/>
      <c r="J76" s="4" t="n"/>
      <c r="K76" s="9">
        <f>IFERROR(J76/I76,0)</f>
        <v/>
      </c>
      <c r="L76" s="4" t="n"/>
      <c r="M76" s="4" t="n"/>
      <c r="N76" s="4" t="n"/>
    </row>
    <row r="77">
      <c r="A77" s="5" t="n"/>
      <c r="B77" s="5">
        <f>IFERROR(VLOOKUP(A77,'F01 - _Données Centrales'!A6:B20,2,FALSE),"")</f>
        <v/>
      </c>
      <c r="C77" s="5">
        <f>IFERROR(VLOOKUP(A77,'F01 - _Données Centrales'!A6:C20,3,FALSE),"")</f>
        <v/>
      </c>
      <c r="D77" s="5" t="n"/>
      <c r="E77" s="5" t="n"/>
      <c r="F77" s="5" t="n"/>
      <c r="G77" s="5" t="n"/>
      <c r="H77" s="5" t="n"/>
      <c r="I77" s="5" t="n"/>
      <c r="J77" s="5" t="n"/>
      <c r="K77" s="10">
        <f>IFERROR(J77/I77,0)</f>
        <v/>
      </c>
      <c r="L77" s="5" t="n"/>
      <c r="M77" s="5" t="n"/>
      <c r="N77" s="5" t="n"/>
    </row>
    <row r="78">
      <c r="A78" s="4" t="n"/>
      <c r="B78" s="4">
        <f>IFERROR(VLOOKUP(A78,'F01 - _Données Centrales'!A6:B20,2,FALSE),"")</f>
        <v/>
      </c>
      <c r="C78" s="4">
        <f>IFERROR(VLOOKUP(A78,'F01 - _Données Centrales'!A6:C20,3,FALSE),"")</f>
        <v/>
      </c>
      <c r="D78" s="4" t="n"/>
      <c r="E78" s="4" t="n"/>
      <c r="F78" s="4" t="n"/>
      <c r="G78" s="4" t="n"/>
      <c r="H78" s="4" t="n"/>
      <c r="I78" s="4" t="n"/>
      <c r="J78" s="4" t="n"/>
      <c r="K78" s="9">
        <f>IFERROR(J78/I78,0)</f>
        <v/>
      </c>
      <c r="L78" s="4" t="n"/>
      <c r="M78" s="4" t="n"/>
      <c r="N78" s="4" t="n"/>
    </row>
    <row r="79">
      <c r="A79" s="5" t="n"/>
      <c r="B79" s="5">
        <f>IFERROR(VLOOKUP(A79,'F01 - _Données Centrales'!A6:B20,2,FALSE),"")</f>
        <v/>
      </c>
      <c r="C79" s="5">
        <f>IFERROR(VLOOKUP(A79,'F01 - _Données Centrales'!A6:C20,3,FALSE),"")</f>
        <v/>
      </c>
      <c r="D79" s="5" t="n"/>
      <c r="E79" s="5" t="n"/>
      <c r="F79" s="5" t="n"/>
      <c r="G79" s="5" t="n"/>
      <c r="H79" s="5" t="n"/>
      <c r="I79" s="5" t="n"/>
      <c r="J79" s="5" t="n"/>
      <c r="K79" s="10">
        <f>IFERROR(J79/I79,0)</f>
        <v/>
      </c>
      <c r="L79" s="5" t="n"/>
      <c r="M79" s="5" t="n"/>
      <c r="N79" s="5" t="n"/>
    </row>
    <row r="80">
      <c r="A80" s="4" t="n"/>
      <c r="B80" s="4">
        <f>IFERROR(VLOOKUP(A80,'F01 - _Données Centrales'!A6:B20,2,FALSE),"")</f>
        <v/>
      </c>
      <c r="C80" s="4">
        <f>IFERROR(VLOOKUP(A80,'F01 - _Données Centrales'!A6:C20,3,FALSE),"")</f>
        <v/>
      </c>
      <c r="D80" s="4" t="n"/>
      <c r="E80" s="4" t="n"/>
      <c r="F80" s="4" t="n"/>
      <c r="G80" s="4" t="n"/>
      <c r="H80" s="4" t="n"/>
      <c r="I80" s="4" t="n"/>
      <c r="J80" s="4" t="n"/>
      <c r="K80" s="9">
        <f>IFERROR(J80/I80,0)</f>
        <v/>
      </c>
      <c r="L80" s="4" t="n"/>
      <c r="M80" s="4" t="n"/>
      <c r="N80" s="4" t="n"/>
    </row>
    <row r="81">
      <c r="A81" s="5" t="n"/>
      <c r="B81" s="5">
        <f>IFERROR(VLOOKUP(A81,'F01 - _Données Centrales'!A6:B20,2,FALSE),"")</f>
        <v/>
      </c>
      <c r="C81" s="5">
        <f>IFERROR(VLOOKUP(A81,'F01 - _Données Centrales'!A6:C20,3,FALSE),"")</f>
        <v/>
      </c>
      <c r="D81" s="5" t="n"/>
      <c r="E81" s="5" t="n"/>
      <c r="F81" s="5" t="n"/>
      <c r="G81" s="5" t="n"/>
      <c r="H81" s="5" t="n"/>
      <c r="I81" s="5" t="n"/>
      <c r="J81" s="5" t="n"/>
      <c r="K81" s="10">
        <f>IFERROR(J81/I81,0)</f>
        <v/>
      </c>
      <c r="L81" s="5" t="n"/>
      <c r="M81" s="5" t="n"/>
      <c r="N81" s="5" t="n"/>
    </row>
    <row r="82">
      <c r="A82" s="4" t="n"/>
      <c r="B82" s="4">
        <f>IFERROR(VLOOKUP(A82,'F01 - _Données Centrales'!A6:B20,2,FALSE),"")</f>
        <v/>
      </c>
      <c r="C82" s="4">
        <f>IFERROR(VLOOKUP(A82,'F01 - _Données Centrales'!A6:C20,3,FALSE),"")</f>
        <v/>
      </c>
      <c r="D82" s="4" t="n"/>
      <c r="E82" s="4" t="n"/>
      <c r="F82" s="4" t="n"/>
      <c r="G82" s="4" t="n"/>
      <c r="H82" s="4" t="n"/>
      <c r="I82" s="4" t="n"/>
      <c r="J82" s="4" t="n"/>
      <c r="K82" s="9">
        <f>IFERROR(J82/I82,0)</f>
        <v/>
      </c>
      <c r="L82" s="4" t="n"/>
      <c r="M82" s="4" t="n"/>
      <c r="N82" s="4" t="n"/>
    </row>
    <row r="83">
      <c r="A83" s="5" t="n"/>
      <c r="B83" s="5">
        <f>IFERROR(VLOOKUP(A83,'F01 - _Données Centrales'!A6:B20,2,FALSE),"")</f>
        <v/>
      </c>
      <c r="C83" s="5">
        <f>IFERROR(VLOOKUP(A83,'F01 - _Données Centrales'!A6:C20,3,FALSE),"")</f>
        <v/>
      </c>
      <c r="D83" s="5" t="n"/>
      <c r="E83" s="5" t="n"/>
      <c r="F83" s="5" t="n"/>
      <c r="G83" s="5" t="n"/>
      <c r="H83" s="5" t="n"/>
      <c r="I83" s="5" t="n"/>
      <c r="J83" s="5" t="n"/>
      <c r="K83" s="10">
        <f>IFERROR(J83/I83,0)</f>
        <v/>
      </c>
      <c r="L83" s="5" t="n"/>
      <c r="M83" s="5" t="n"/>
      <c r="N83" s="5" t="n"/>
    </row>
    <row r="84">
      <c r="A84" s="4" t="n"/>
      <c r="B84" s="4">
        <f>IFERROR(VLOOKUP(A84,'F01 - _Données Centrales'!A6:B20,2,FALSE),"")</f>
        <v/>
      </c>
      <c r="C84" s="4">
        <f>IFERROR(VLOOKUP(A84,'F01 - _Données Centrales'!A6:C20,3,FALSE),"")</f>
        <v/>
      </c>
      <c r="D84" s="4" t="n"/>
      <c r="E84" s="4" t="n"/>
      <c r="F84" s="4" t="n"/>
      <c r="G84" s="4" t="n"/>
      <c r="H84" s="4" t="n"/>
      <c r="I84" s="4" t="n"/>
      <c r="J84" s="4" t="n"/>
      <c r="K84" s="9">
        <f>IFERROR(J84/I84,0)</f>
        <v/>
      </c>
      <c r="L84" s="4" t="n"/>
      <c r="M84" s="4" t="n"/>
      <c r="N84" s="4" t="n"/>
    </row>
    <row r="85">
      <c r="A85" s="5" t="n"/>
      <c r="B85" s="5">
        <f>IFERROR(VLOOKUP(A85,'F01 - _Données Centrales'!A6:B20,2,FALSE),"")</f>
        <v/>
      </c>
      <c r="C85" s="5">
        <f>IFERROR(VLOOKUP(A85,'F01 - _Données Centrales'!A6:C20,3,FALSE),"")</f>
        <v/>
      </c>
      <c r="D85" s="5" t="n"/>
      <c r="E85" s="5" t="n"/>
      <c r="F85" s="5" t="n"/>
      <c r="G85" s="5" t="n"/>
      <c r="H85" s="5" t="n"/>
      <c r="I85" s="5" t="n"/>
      <c r="J85" s="5" t="n"/>
      <c r="K85" s="10">
        <f>IFERROR(J85/I85,0)</f>
        <v/>
      </c>
      <c r="L85" s="5" t="n"/>
      <c r="M85" s="5" t="n"/>
      <c r="N85" s="5" t="n"/>
    </row>
    <row r="86">
      <c r="A86" s="4" t="n"/>
      <c r="B86" s="4">
        <f>IFERROR(VLOOKUP(A86,'F01 - _Données Centrales'!A6:B20,2,FALSE),"")</f>
        <v/>
      </c>
      <c r="C86" s="4">
        <f>IFERROR(VLOOKUP(A86,'F01 - _Données Centrales'!A6:C20,3,FALSE),"")</f>
        <v/>
      </c>
      <c r="D86" s="4" t="n"/>
      <c r="E86" s="4" t="n"/>
      <c r="F86" s="4" t="n"/>
      <c r="G86" s="4" t="n"/>
      <c r="H86" s="4" t="n"/>
      <c r="I86" s="4" t="n"/>
      <c r="J86" s="4" t="n"/>
      <c r="K86" s="9">
        <f>IFERROR(J86/I86,0)</f>
        <v/>
      </c>
      <c r="L86" s="4" t="n"/>
      <c r="M86" s="4" t="n"/>
      <c r="N86" s="4" t="n"/>
    </row>
    <row r="87">
      <c r="A87" s="5" t="n"/>
      <c r="B87" s="5">
        <f>IFERROR(VLOOKUP(A87,'F01 - _Données Centrales'!A6:B20,2,FALSE),"")</f>
        <v/>
      </c>
      <c r="C87" s="5">
        <f>IFERROR(VLOOKUP(A87,'F01 - _Données Centrales'!A6:C20,3,FALSE),"")</f>
        <v/>
      </c>
      <c r="D87" s="5" t="n"/>
      <c r="E87" s="5" t="n"/>
      <c r="F87" s="5" t="n"/>
      <c r="G87" s="5" t="n"/>
      <c r="H87" s="5" t="n"/>
      <c r="I87" s="5" t="n"/>
      <c r="J87" s="5" t="n"/>
      <c r="K87" s="10">
        <f>IFERROR(J87/I87,0)</f>
        <v/>
      </c>
      <c r="L87" s="5" t="n"/>
      <c r="M87" s="5" t="n"/>
      <c r="N87" s="5" t="n"/>
    </row>
    <row r="88">
      <c r="A88" s="4" t="n"/>
      <c r="B88" s="4">
        <f>IFERROR(VLOOKUP(A88,'F01 - _Données Centrales'!A6:B20,2,FALSE),"")</f>
        <v/>
      </c>
      <c r="C88" s="4">
        <f>IFERROR(VLOOKUP(A88,'F01 - _Données Centrales'!A6:C20,3,FALSE),"")</f>
        <v/>
      </c>
      <c r="D88" s="4" t="n"/>
      <c r="E88" s="4" t="n"/>
      <c r="F88" s="4" t="n"/>
      <c r="G88" s="4" t="n"/>
      <c r="H88" s="4" t="n"/>
      <c r="I88" s="4" t="n"/>
      <c r="J88" s="4" t="n"/>
      <c r="K88" s="9">
        <f>IFERROR(J88/I88,0)</f>
        <v/>
      </c>
      <c r="L88" s="4" t="n"/>
      <c r="M88" s="4" t="n"/>
      <c r="N88" s="4" t="n"/>
    </row>
    <row r="89">
      <c r="A89" s="5" t="n"/>
      <c r="B89" s="5">
        <f>IFERROR(VLOOKUP(A89,'F01 - _Données Centrales'!A6:B20,2,FALSE),"")</f>
        <v/>
      </c>
      <c r="C89" s="5">
        <f>IFERROR(VLOOKUP(A89,'F01 - _Données Centrales'!A6:C20,3,FALSE),"")</f>
        <v/>
      </c>
      <c r="D89" s="5" t="n"/>
      <c r="E89" s="5" t="n"/>
      <c r="F89" s="5" t="n"/>
      <c r="G89" s="5" t="n"/>
      <c r="H89" s="5" t="n"/>
      <c r="I89" s="5" t="n"/>
      <c r="J89" s="5" t="n"/>
      <c r="K89" s="10">
        <f>IFERROR(J89/I89,0)</f>
        <v/>
      </c>
      <c r="L89" s="5" t="n"/>
      <c r="M89" s="5" t="n"/>
      <c r="N89" s="5" t="n"/>
    </row>
    <row r="90">
      <c r="A90" s="4" t="n"/>
      <c r="B90" s="4">
        <f>IFERROR(VLOOKUP(A90,'F01 - _Données Centrales'!A6:B20,2,FALSE),"")</f>
        <v/>
      </c>
      <c r="C90" s="4">
        <f>IFERROR(VLOOKUP(A90,'F01 - _Données Centrales'!A6:C20,3,FALSE),"")</f>
        <v/>
      </c>
      <c r="D90" s="4" t="n"/>
      <c r="E90" s="4" t="n"/>
      <c r="F90" s="4" t="n"/>
      <c r="G90" s="4" t="n"/>
      <c r="H90" s="4" t="n"/>
      <c r="I90" s="4" t="n"/>
      <c r="J90" s="4" t="n"/>
      <c r="K90" s="9">
        <f>IFERROR(J90/I90,0)</f>
        <v/>
      </c>
      <c r="L90" s="4" t="n"/>
      <c r="M90" s="4" t="n"/>
      <c r="N90" s="4" t="n"/>
    </row>
    <row r="91">
      <c r="A91" s="5" t="n"/>
      <c r="B91" s="5">
        <f>IFERROR(VLOOKUP(A91,'F01 - _Données Centrales'!A6:B20,2,FALSE),"")</f>
        <v/>
      </c>
      <c r="C91" s="5">
        <f>IFERROR(VLOOKUP(A91,'F01 - _Données Centrales'!A6:C20,3,FALSE),"")</f>
        <v/>
      </c>
      <c r="D91" s="5" t="n"/>
      <c r="E91" s="5" t="n"/>
      <c r="F91" s="5" t="n"/>
      <c r="G91" s="5" t="n"/>
      <c r="H91" s="5" t="n"/>
      <c r="I91" s="5" t="n"/>
      <c r="J91" s="5" t="n"/>
      <c r="K91" s="10">
        <f>IFERROR(J91/I91,0)</f>
        <v/>
      </c>
      <c r="L91" s="5" t="n"/>
      <c r="M91" s="5" t="n"/>
      <c r="N91" s="5" t="n"/>
    </row>
    <row r="92">
      <c r="A92" s="4" t="n"/>
      <c r="B92" s="4">
        <f>IFERROR(VLOOKUP(A92,'F01 - _Données Centrales'!A6:B20,2,FALSE),"")</f>
        <v/>
      </c>
      <c r="C92" s="4">
        <f>IFERROR(VLOOKUP(A92,'F01 - _Données Centrales'!A6:C20,3,FALSE),"")</f>
        <v/>
      </c>
      <c r="D92" s="4" t="n"/>
      <c r="E92" s="4" t="n"/>
      <c r="F92" s="4" t="n"/>
      <c r="G92" s="4" t="n"/>
      <c r="H92" s="4" t="n"/>
      <c r="I92" s="4" t="n"/>
      <c r="J92" s="4" t="n"/>
      <c r="K92" s="9">
        <f>IFERROR(J92/I92,0)</f>
        <v/>
      </c>
      <c r="L92" s="4" t="n"/>
      <c r="M92" s="4" t="n"/>
      <c r="N92" s="4" t="n"/>
    </row>
    <row r="93">
      <c r="A93" s="5" t="n"/>
      <c r="B93" s="5">
        <f>IFERROR(VLOOKUP(A93,'F01 - _Données Centrales'!A6:B20,2,FALSE),"")</f>
        <v/>
      </c>
      <c r="C93" s="5">
        <f>IFERROR(VLOOKUP(A93,'F01 - _Données Centrales'!A6:C20,3,FALSE),"")</f>
        <v/>
      </c>
      <c r="D93" s="5" t="n"/>
      <c r="E93" s="5" t="n"/>
      <c r="F93" s="5" t="n"/>
      <c r="G93" s="5" t="n"/>
      <c r="H93" s="5" t="n"/>
      <c r="I93" s="5" t="n"/>
      <c r="J93" s="5" t="n"/>
      <c r="K93" s="10">
        <f>IFERROR(J93/I93,0)</f>
        <v/>
      </c>
      <c r="L93" s="5" t="n"/>
      <c r="M93" s="5" t="n"/>
      <c r="N93" s="5" t="n"/>
    </row>
    <row r="94">
      <c r="A94" s="4" t="n"/>
      <c r="B94" s="4">
        <f>IFERROR(VLOOKUP(A94,'F01 - _Données Centrales'!A6:B20,2,FALSE),"")</f>
        <v/>
      </c>
      <c r="C94" s="4">
        <f>IFERROR(VLOOKUP(A94,'F01 - _Données Centrales'!A6:C20,3,FALSE),"")</f>
        <v/>
      </c>
      <c r="D94" s="4" t="n"/>
      <c r="E94" s="4" t="n"/>
      <c r="F94" s="4" t="n"/>
      <c r="G94" s="4" t="n"/>
      <c r="H94" s="4" t="n"/>
      <c r="I94" s="4" t="n"/>
      <c r="J94" s="4" t="n"/>
      <c r="K94" s="9">
        <f>IFERROR(J94/I94,0)</f>
        <v/>
      </c>
      <c r="L94" s="4" t="n"/>
      <c r="M94" s="4" t="n"/>
      <c r="N94" s="4" t="n"/>
    </row>
    <row r="95">
      <c r="A95" s="5" t="n"/>
      <c r="B95" s="5">
        <f>IFERROR(VLOOKUP(A95,'F01 - _Données Centrales'!A6:B20,2,FALSE),"")</f>
        <v/>
      </c>
      <c r="C95" s="5">
        <f>IFERROR(VLOOKUP(A95,'F01 - _Données Centrales'!A6:C20,3,FALSE),"")</f>
        <v/>
      </c>
      <c r="D95" s="5" t="n"/>
      <c r="E95" s="5" t="n"/>
      <c r="F95" s="5" t="n"/>
      <c r="G95" s="5" t="n"/>
      <c r="H95" s="5" t="n"/>
      <c r="I95" s="5" t="n"/>
      <c r="J95" s="5" t="n"/>
      <c r="K95" s="10">
        <f>IFERROR(J95/I95,0)</f>
        <v/>
      </c>
      <c r="L95" s="5" t="n"/>
      <c r="M95" s="5" t="n"/>
      <c r="N95" s="5" t="n"/>
    </row>
    <row r="96">
      <c r="A96" s="4" t="n"/>
      <c r="B96" s="4">
        <f>IFERROR(VLOOKUP(A96,'F01 - _Données Centrales'!A6:B20,2,FALSE),"")</f>
        <v/>
      </c>
      <c r="C96" s="4">
        <f>IFERROR(VLOOKUP(A96,'F01 - _Données Centrales'!A6:C20,3,FALSE),"")</f>
        <v/>
      </c>
      <c r="D96" s="4" t="n"/>
      <c r="E96" s="4" t="n"/>
      <c r="F96" s="4" t="n"/>
      <c r="G96" s="4" t="n"/>
      <c r="H96" s="4" t="n"/>
      <c r="I96" s="4" t="n"/>
      <c r="J96" s="4" t="n"/>
      <c r="K96" s="9">
        <f>IFERROR(J96/I96,0)</f>
        <v/>
      </c>
      <c r="L96" s="4" t="n"/>
      <c r="M96" s="4" t="n"/>
      <c r="N96" s="4" t="n"/>
    </row>
    <row r="97">
      <c r="A97" s="5" t="n"/>
      <c r="B97" s="5">
        <f>IFERROR(VLOOKUP(A97,'F01 - _Données Centrales'!A6:B20,2,FALSE),"")</f>
        <v/>
      </c>
      <c r="C97" s="5">
        <f>IFERROR(VLOOKUP(A97,'F01 - _Données Centrales'!A6:C20,3,FALSE),"")</f>
        <v/>
      </c>
      <c r="D97" s="5" t="n"/>
      <c r="E97" s="5" t="n"/>
      <c r="F97" s="5" t="n"/>
      <c r="G97" s="5" t="n"/>
      <c r="H97" s="5" t="n"/>
      <c r="I97" s="5" t="n"/>
      <c r="J97" s="5" t="n"/>
      <c r="K97" s="10">
        <f>IFERROR(J97/I97,0)</f>
        <v/>
      </c>
      <c r="L97" s="5" t="n"/>
      <c r="M97" s="5" t="n"/>
      <c r="N97" s="5" t="n"/>
    </row>
    <row r="98">
      <c r="A98" s="4" t="n"/>
      <c r="B98" s="4">
        <f>IFERROR(VLOOKUP(A98,'F01 - _Données Centrales'!A6:B20,2,FALSE),"")</f>
        <v/>
      </c>
      <c r="C98" s="4">
        <f>IFERROR(VLOOKUP(A98,'F01 - _Données Centrales'!A6:C20,3,FALSE),"")</f>
        <v/>
      </c>
      <c r="D98" s="4" t="n"/>
      <c r="E98" s="4" t="n"/>
      <c r="F98" s="4" t="n"/>
      <c r="G98" s="4" t="n"/>
      <c r="H98" s="4" t="n"/>
      <c r="I98" s="4" t="n"/>
      <c r="J98" s="4" t="n"/>
      <c r="K98" s="9">
        <f>IFERROR(J98/I98,0)</f>
        <v/>
      </c>
      <c r="L98" s="4" t="n"/>
      <c r="M98" s="4" t="n"/>
      <c r="N98" s="4" t="n"/>
    </row>
    <row r="99">
      <c r="A99" s="5" t="n"/>
      <c r="B99" s="5">
        <f>IFERROR(VLOOKUP(A99,'F01 - _Données Centrales'!A6:B20,2,FALSE),"")</f>
        <v/>
      </c>
      <c r="C99" s="5">
        <f>IFERROR(VLOOKUP(A99,'F01 - _Données Centrales'!A6:C20,3,FALSE),"")</f>
        <v/>
      </c>
      <c r="D99" s="5" t="n"/>
      <c r="E99" s="5" t="n"/>
      <c r="F99" s="5" t="n"/>
      <c r="G99" s="5" t="n"/>
      <c r="H99" s="5" t="n"/>
      <c r="I99" s="5" t="n"/>
      <c r="J99" s="5" t="n"/>
      <c r="K99" s="10">
        <f>IFERROR(J99/I99,0)</f>
        <v/>
      </c>
      <c r="L99" s="5" t="n"/>
      <c r="M99" s="5" t="n"/>
      <c r="N99" s="5" t="n"/>
    </row>
    <row r="100">
      <c r="A100" s="4" t="n"/>
      <c r="B100" s="4">
        <f>IFERROR(VLOOKUP(A100,'F01 - _Données Centrales'!A6:B20,2,FALSE),"")</f>
        <v/>
      </c>
      <c r="C100" s="4">
        <f>IFERROR(VLOOKUP(A100,'F01 - _Données Centrales'!A6:C20,3,FALSE),"")</f>
        <v/>
      </c>
      <c r="D100" s="4" t="n"/>
      <c r="E100" s="4" t="n"/>
      <c r="F100" s="4" t="n"/>
      <c r="G100" s="4" t="n"/>
      <c r="H100" s="4" t="n"/>
      <c r="I100" s="4" t="n"/>
      <c r="J100" s="4" t="n"/>
      <c r="K100" s="9">
        <f>IFERROR(J100/I100,0)</f>
        <v/>
      </c>
      <c r="L100" s="4" t="n"/>
      <c r="M100" s="4" t="n"/>
      <c r="N100" s="4" t="n"/>
    </row>
    <row r="101">
      <c r="A101" s="5" t="n"/>
      <c r="B101" s="5">
        <f>IFERROR(VLOOKUP(A101,'F01 - _Données Centrales'!A6:B20,2,FALSE),"")</f>
        <v/>
      </c>
      <c r="C101" s="5">
        <f>IFERROR(VLOOKUP(A101,'F01 - _Données Centrales'!A6:C20,3,FALSE),"")</f>
        <v/>
      </c>
      <c r="D101" s="5" t="n"/>
      <c r="E101" s="5" t="n"/>
      <c r="F101" s="5" t="n"/>
      <c r="G101" s="5" t="n"/>
      <c r="H101" s="5" t="n"/>
      <c r="I101" s="5" t="n"/>
      <c r="J101" s="5" t="n"/>
      <c r="K101" s="10">
        <f>IFERROR(J101/I101,0)</f>
        <v/>
      </c>
      <c r="L101" s="5" t="n"/>
      <c r="M101" s="5" t="n"/>
      <c r="N101" s="5" t="n"/>
    </row>
    <row r="102">
      <c r="A102" s="4" t="n"/>
      <c r="B102" s="4">
        <f>IFERROR(VLOOKUP(A102,'F01 - _Données Centrales'!A6:B20,2,FALSE),"")</f>
        <v/>
      </c>
      <c r="C102" s="4">
        <f>IFERROR(VLOOKUP(A102,'F01 - _Données Centrales'!A6:C20,3,FALSE),"")</f>
        <v/>
      </c>
      <c r="D102" s="4" t="n"/>
      <c r="E102" s="4" t="n"/>
      <c r="F102" s="4" t="n"/>
      <c r="G102" s="4" t="n"/>
      <c r="H102" s="4" t="n"/>
      <c r="I102" s="4" t="n"/>
      <c r="J102" s="4" t="n"/>
      <c r="K102" s="9">
        <f>IFERROR(J102/I102,0)</f>
        <v/>
      </c>
      <c r="L102" s="4" t="n"/>
      <c r="M102" s="4" t="n"/>
      <c r="N102" s="4" t="n"/>
    </row>
    <row r="103">
      <c r="A103" s="5" t="n"/>
      <c r="B103" s="5">
        <f>IFERROR(VLOOKUP(A103,'F01 - _Données Centrales'!A6:B20,2,FALSE),"")</f>
        <v/>
      </c>
      <c r="C103" s="5">
        <f>IFERROR(VLOOKUP(A103,'F01 - _Données Centrales'!A6:C20,3,FALSE),"")</f>
        <v/>
      </c>
      <c r="D103" s="5" t="n"/>
      <c r="E103" s="5" t="n"/>
      <c r="F103" s="5" t="n"/>
      <c r="G103" s="5" t="n"/>
      <c r="H103" s="5" t="n"/>
      <c r="I103" s="5" t="n"/>
      <c r="J103" s="5" t="n"/>
      <c r="K103" s="10">
        <f>IFERROR(J103/I103,0)</f>
        <v/>
      </c>
      <c r="L103" s="5" t="n"/>
      <c r="M103" s="5" t="n"/>
      <c r="N103" s="5" t="n"/>
    </row>
    <row r="104">
      <c r="A104" s="4" t="n"/>
      <c r="B104" s="4">
        <f>IFERROR(VLOOKUP(A104,'F01 - _Données Centrales'!A6:B20,2,FALSE),"")</f>
        <v/>
      </c>
      <c r="C104" s="4">
        <f>IFERROR(VLOOKUP(A104,'F01 - _Données Centrales'!A6:C20,3,FALSE),"")</f>
        <v/>
      </c>
      <c r="D104" s="4" t="n"/>
      <c r="E104" s="4" t="n"/>
      <c r="F104" s="4" t="n"/>
      <c r="G104" s="4" t="n"/>
      <c r="H104" s="4" t="n"/>
      <c r="I104" s="4" t="n"/>
      <c r="J104" s="4" t="n"/>
      <c r="K104" s="9">
        <f>IFERROR(J104/I104,0)</f>
        <v/>
      </c>
      <c r="L104" s="4" t="n"/>
      <c r="M104" s="4" t="n"/>
      <c r="N104" s="4" t="n"/>
    </row>
    <row r="105">
      <c r="A105" s="5" t="n"/>
      <c r="B105" s="5">
        <f>IFERROR(VLOOKUP(A105,'F01 - _Données Centrales'!A6:B20,2,FALSE),"")</f>
        <v/>
      </c>
      <c r="C105" s="5">
        <f>IFERROR(VLOOKUP(A105,'F01 - _Données Centrales'!A6:C20,3,FALSE),"")</f>
        <v/>
      </c>
      <c r="D105" s="5" t="n"/>
      <c r="E105" s="5" t="n"/>
      <c r="F105" s="5" t="n"/>
      <c r="G105" s="5" t="n"/>
      <c r="H105" s="5" t="n"/>
      <c r="I105" s="5" t="n"/>
      <c r="J105" s="5" t="n"/>
      <c r="K105" s="10">
        <f>IFERROR(J105/I105,0)</f>
        <v/>
      </c>
      <c r="L105" s="5" t="n"/>
      <c r="M105" s="5" t="n"/>
      <c r="N105" s="5" t="n"/>
    </row>
    <row r="106">
      <c r="A106" s="4" t="n"/>
      <c r="B106" s="4">
        <f>IFERROR(VLOOKUP(A106,'F01 - _Données Centrales'!A6:B20,2,FALSE),"")</f>
        <v/>
      </c>
      <c r="C106" s="4">
        <f>IFERROR(VLOOKUP(A106,'F01 - _Données Centrales'!A6:C20,3,FALSE),"")</f>
        <v/>
      </c>
      <c r="D106" s="4" t="n"/>
      <c r="E106" s="4" t="n"/>
      <c r="F106" s="4" t="n"/>
      <c r="G106" s="4" t="n"/>
      <c r="H106" s="4" t="n"/>
      <c r="I106" s="4" t="n"/>
      <c r="J106" s="4" t="n"/>
      <c r="K106" s="9">
        <f>IFERROR(J106/I106,0)</f>
        <v/>
      </c>
      <c r="L106" s="4" t="n"/>
      <c r="M106" s="4" t="n"/>
      <c r="N106" s="4" t="n"/>
    </row>
    <row r="107">
      <c r="A107" s="5" t="n"/>
      <c r="B107" s="5">
        <f>IFERROR(VLOOKUP(A107,'F01 - _Données Centrales'!A6:B20,2,FALSE),"")</f>
        <v/>
      </c>
      <c r="C107" s="5">
        <f>IFERROR(VLOOKUP(A107,'F01 - _Données Centrales'!A6:C20,3,FALSE),"")</f>
        <v/>
      </c>
      <c r="D107" s="5" t="n"/>
      <c r="E107" s="5" t="n"/>
      <c r="F107" s="5" t="n"/>
      <c r="G107" s="5" t="n"/>
      <c r="H107" s="5" t="n"/>
      <c r="I107" s="5" t="n"/>
      <c r="J107" s="5" t="n"/>
      <c r="K107" s="10">
        <f>IFERROR(J107/I107,0)</f>
        <v/>
      </c>
      <c r="L107" s="5" t="n"/>
      <c r="M107" s="5" t="n"/>
      <c r="N107" s="5" t="n"/>
    </row>
    <row r="108">
      <c r="A108" s="4" t="n"/>
      <c r="B108" s="4">
        <f>IFERROR(VLOOKUP(A108,'F01 - _Données Centrales'!A6:B20,2,FALSE),"")</f>
        <v/>
      </c>
      <c r="C108" s="4">
        <f>IFERROR(VLOOKUP(A108,'F01 - _Données Centrales'!A6:C20,3,FALSE),"")</f>
        <v/>
      </c>
      <c r="D108" s="4" t="n"/>
      <c r="E108" s="4" t="n"/>
      <c r="F108" s="4" t="n"/>
      <c r="G108" s="4" t="n"/>
      <c r="H108" s="4" t="n"/>
      <c r="I108" s="4" t="n"/>
      <c r="J108" s="4" t="n"/>
      <c r="K108" s="9">
        <f>IFERROR(J108/I108,0)</f>
        <v/>
      </c>
      <c r="L108" s="4" t="n"/>
      <c r="M108" s="4" t="n"/>
      <c r="N108" s="4" t="n"/>
    </row>
    <row r="109">
      <c r="A109" s="5" t="n"/>
      <c r="B109" s="5">
        <f>IFERROR(VLOOKUP(A109,'F01 - _Données Centrales'!A6:B20,2,FALSE),"")</f>
        <v/>
      </c>
      <c r="C109" s="5">
        <f>IFERROR(VLOOKUP(A109,'F01 - _Données Centrales'!A6:C20,3,FALSE),"")</f>
        <v/>
      </c>
      <c r="D109" s="5" t="n"/>
      <c r="E109" s="5" t="n"/>
      <c r="F109" s="5" t="n"/>
      <c r="G109" s="5" t="n"/>
      <c r="H109" s="5" t="n"/>
      <c r="I109" s="5" t="n"/>
      <c r="J109" s="5" t="n"/>
      <c r="K109" s="10">
        <f>IFERROR(J109/I109,0)</f>
        <v/>
      </c>
      <c r="L109" s="5" t="n"/>
      <c r="M109" s="5" t="n"/>
      <c r="N109" s="5" t="n"/>
    </row>
    <row r="110">
      <c r="A110" s="4" t="n"/>
      <c r="B110" s="4">
        <f>IFERROR(VLOOKUP(A110,'F01 - _Données Centrales'!A6:B20,2,FALSE),"")</f>
        <v/>
      </c>
      <c r="C110" s="4">
        <f>IFERROR(VLOOKUP(A110,'F01 - _Données Centrales'!A6:C20,3,FALSE),"")</f>
        <v/>
      </c>
      <c r="D110" s="4" t="n"/>
      <c r="E110" s="4" t="n"/>
      <c r="F110" s="4" t="n"/>
      <c r="G110" s="4" t="n"/>
      <c r="H110" s="4" t="n"/>
      <c r="I110" s="4" t="n"/>
      <c r="J110" s="4" t="n"/>
      <c r="K110" s="9">
        <f>IFERROR(J110/I110,0)</f>
        <v/>
      </c>
      <c r="L110" s="4" t="n"/>
      <c r="M110" s="4" t="n"/>
      <c r="N110" s="4" t="n"/>
    </row>
    <row r="111">
      <c r="A111" s="5" t="n"/>
      <c r="B111" s="5">
        <f>IFERROR(VLOOKUP(A111,'F01 - _Données Centrales'!A6:B20,2,FALSE),"")</f>
        <v/>
      </c>
      <c r="C111" s="5">
        <f>IFERROR(VLOOKUP(A111,'F01 - _Données Centrales'!A6:C20,3,FALSE),"")</f>
        <v/>
      </c>
      <c r="D111" s="5" t="n"/>
      <c r="E111" s="5" t="n"/>
      <c r="F111" s="5" t="n"/>
      <c r="G111" s="5" t="n"/>
      <c r="H111" s="5" t="n"/>
      <c r="I111" s="5" t="n"/>
      <c r="J111" s="5" t="n"/>
      <c r="K111" s="10">
        <f>IFERROR(J111/I111,0)</f>
        <v/>
      </c>
      <c r="L111" s="5" t="n"/>
      <c r="M111" s="5" t="n"/>
      <c r="N111" s="5" t="n"/>
    </row>
    <row r="112">
      <c r="A112" s="4" t="n"/>
      <c r="B112" s="4">
        <f>IFERROR(VLOOKUP(A112,'F01 - _Données Centrales'!A6:B20,2,FALSE),"")</f>
        <v/>
      </c>
      <c r="C112" s="4">
        <f>IFERROR(VLOOKUP(A112,'F01 - _Données Centrales'!A6:C20,3,FALSE),"")</f>
        <v/>
      </c>
      <c r="D112" s="4" t="n"/>
      <c r="E112" s="4" t="n"/>
      <c r="F112" s="4" t="n"/>
      <c r="G112" s="4" t="n"/>
      <c r="H112" s="4" t="n"/>
      <c r="I112" s="4" t="n"/>
      <c r="J112" s="4" t="n"/>
      <c r="K112" s="9">
        <f>IFERROR(J112/I112,0)</f>
        <v/>
      </c>
      <c r="L112" s="4" t="n"/>
      <c r="M112" s="4" t="n"/>
      <c r="N112" s="4" t="n"/>
    </row>
    <row r="113">
      <c r="A113" s="5" t="n"/>
      <c r="B113" s="5">
        <f>IFERROR(VLOOKUP(A113,'F01 - _Données Centrales'!A6:B20,2,FALSE),"")</f>
        <v/>
      </c>
      <c r="C113" s="5">
        <f>IFERROR(VLOOKUP(A113,'F01 - _Données Centrales'!A6:C20,3,FALSE),"")</f>
        <v/>
      </c>
      <c r="D113" s="5" t="n"/>
      <c r="E113" s="5" t="n"/>
      <c r="F113" s="5" t="n"/>
      <c r="G113" s="5" t="n"/>
      <c r="H113" s="5" t="n"/>
      <c r="I113" s="5" t="n"/>
      <c r="J113" s="5" t="n"/>
      <c r="K113" s="10">
        <f>IFERROR(J113/I113,0)</f>
        <v/>
      </c>
      <c r="L113" s="5" t="n"/>
      <c r="M113" s="5" t="n"/>
      <c r="N113" s="5" t="n"/>
    </row>
    <row r="114">
      <c r="A114" s="4" t="n"/>
      <c r="B114" s="4">
        <f>IFERROR(VLOOKUP(A114,'F01 - _Données Centrales'!A6:B20,2,FALSE),"")</f>
        <v/>
      </c>
      <c r="C114" s="4">
        <f>IFERROR(VLOOKUP(A114,'F01 - _Données Centrales'!A6:C20,3,FALSE),"")</f>
        <v/>
      </c>
      <c r="D114" s="4" t="n"/>
      <c r="E114" s="4" t="n"/>
      <c r="F114" s="4" t="n"/>
      <c r="G114" s="4" t="n"/>
      <c r="H114" s="4" t="n"/>
      <c r="I114" s="4" t="n"/>
      <c r="J114" s="4" t="n"/>
      <c r="K114" s="9">
        <f>IFERROR(J114/I114,0)</f>
        <v/>
      </c>
      <c r="L114" s="4" t="n"/>
      <c r="M114" s="4" t="n"/>
      <c r="N114" s="4" t="n"/>
    </row>
    <row r="115">
      <c r="A115" s="5" t="n"/>
      <c r="B115" s="5">
        <f>IFERROR(VLOOKUP(A115,'F01 - _Données Centrales'!A6:B20,2,FALSE),"")</f>
        <v/>
      </c>
      <c r="C115" s="5">
        <f>IFERROR(VLOOKUP(A115,'F01 - _Données Centrales'!A6:C20,3,FALSE),"")</f>
        <v/>
      </c>
      <c r="D115" s="5" t="n"/>
      <c r="E115" s="5" t="n"/>
      <c r="F115" s="5" t="n"/>
      <c r="G115" s="5" t="n"/>
      <c r="H115" s="5" t="n"/>
      <c r="I115" s="5" t="n"/>
      <c r="J115" s="5" t="n"/>
      <c r="K115" s="10">
        <f>IFERROR(J115/I115,0)</f>
        <v/>
      </c>
      <c r="L115" s="5" t="n"/>
      <c r="M115" s="5" t="n"/>
      <c r="N115" s="5" t="n"/>
    </row>
  </sheetData>
  <mergeCells count="2">
    <mergeCell ref="A3:P3"/>
    <mergeCell ref="A2:P2"/>
  </mergeCells>
  <conditionalFormatting sqref="L6:L115">
    <cfRule type="cellIs" priority="1" operator="equal" dxfId="3">
      <formula>"Très élevé"</formula>
    </cfRule>
    <cfRule type="cellIs" priority="2" operator="equal" dxfId="4">
      <formula>"Élevé"</formula>
    </cfRule>
    <cfRule type="cellIs" priority="3" operator="equal" dxfId="2">
      <formula>"Moyen"</formula>
    </cfRule>
    <cfRule type="cellIs" priority="4" operator="equal" dxfId="0">
      <formula>"Faible"</formula>
    </cfRule>
  </conditionalFormatting>
  <dataValidations count="1">
    <dataValidation sqref="L6:L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_Lists'!$Q$6:$Q$35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22" customWidth="1" min="5" max="5"/>
    <col width="14" customWidth="1" min="6" max="6"/>
    <col width="24" customWidth="1" min="7" max="7"/>
    <col width="26" customWidth="1" min="8" max="8"/>
    <col width="20" customWidth="1" min="9" max="9"/>
    <col width="16" customWidth="1" min="10" max="10"/>
    <col width="16" customWidth="1" min="11" max="11"/>
    <col width="18" customWidth="1" min="12" max="12"/>
    <col width="30" customWidth="1" min="13" max="13"/>
  </cols>
  <sheetData>
    <row r="2" ht="25" customHeight="1">
      <c r="A2" s="1" t="inlineStr">
        <is>
          <t>DOMAINE 28 — ENTRETIENS ANNUELS DE CARRIÈRE</t>
        </is>
      </c>
    </row>
    <row r="3" ht="18" customHeight="1">
      <c r="A3" s="2" t="inlineStr">
        <is>
          <t>Planification et suivi des entretiens individuels de carrière</t>
        </is>
      </c>
    </row>
    <row r="5">
      <c r="A5" s="3" t="inlineStr">
        <is>
          <t>Code Employé</t>
        </is>
      </c>
      <c r="B5" s="3" t="inlineStr">
        <is>
          <t>Nom</t>
        </is>
      </c>
      <c r="C5" s="3" t="inlineStr">
        <is>
          <t>Département</t>
        </is>
      </c>
      <c r="D5" s="3" t="inlineStr">
        <is>
          <t>Date Entretien</t>
        </is>
      </c>
      <c r="E5" s="3" t="inlineStr">
        <is>
          <t>Évaluateur</t>
        </is>
      </c>
      <c r="F5" s="3" t="inlineStr">
        <is>
          <t>Fréquence</t>
        </is>
      </c>
      <c r="G5" s="3" t="inlineStr">
        <is>
          <t>Objectifs Fixés</t>
        </is>
      </c>
      <c r="H5" s="3" t="inlineStr">
        <is>
          <t>Actions Convenues</t>
        </is>
      </c>
      <c r="I5" s="3" t="inlineStr">
        <is>
          <t>Date Prochain Entretien</t>
        </is>
      </c>
      <c r="J5" s="3" t="inlineStr">
        <is>
          <t>Statut Réalisation</t>
        </is>
      </c>
      <c r="K5" s="3" t="inlineStr">
        <is>
          <t>Note Globale (/20)</t>
        </is>
      </c>
      <c r="L5" s="3" t="inlineStr">
        <is>
          <t>Évolution Poste</t>
        </is>
      </c>
      <c r="M5" s="3" t="inlineStr">
        <is>
          <t>Observations</t>
        </is>
      </c>
    </row>
    <row r="6">
      <c r="A6" s="4" t="inlineStr">
        <is>
          <t>EMP-001</t>
        </is>
      </c>
      <c r="B6" s="4">
        <f>IFERROR(VLOOKUP(A6,'F01 - _Données Centrales'!A6:B20,2,FALSE),"")</f>
        <v/>
      </c>
      <c r="C6" s="4">
        <f>IFERROR(VLOOKUP(A6,'F01 - _Données Centrales'!A6:C20,3,FALSE),"")</f>
        <v/>
      </c>
      <c r="D6" s="4" t="inlineStr">
        <is>
          <t>2025-01-20</t>
        </is>
      </c>
      <c r="E6" s="4" t="inlineStr">
        <is>
          <t>Conseil Administration</t>
        </is>
      </c>
      <c r="F6" s="4" t="inlineStr">
        <is>
          <t>Annuel</t>
        </is>
      </c>
      <c r="G6" s="4" t="inlineStr">
        <is>
          <t>Stratégie 2025-2027</t>
        </is>
      </c>
      <c r="H6" s="4" t="inlineStr">
        <is>
          <t>Formation executive leadership</t>
        </is>
      </c>
      <c r="I6" s="4" t="inlineStr">
        <is>
          <t>2026-01-20</t>
        </is>
      </c>
      <c r="J6" s="4" t="inlineStr">
        <is>
          <t>Réalisé</t>
        </is>
      </c>
      <c r="K6" s="4" t="n">
        <v>18</v>
      </c>
      <c r="L6" s="4" t="inlineStr">
        <is>
          <t>Maintien DG</t>
        </is>
      </c>
      <c r="M6" s="4" t="inlineStr">
        <is>
          <t>Excellent leader, vision confirmée</t>
        </is>
      </c>
    </row>
    <row r="7">
      <c r="A7" s="5" t="inlineStr">
        <is>
          <t>EMP-002</t>
        </is>
      </c>
      <c r="B7" s="5">
        <f>IFERROR(VLOOKUP(A7,'F01 - _Données Centrales'!A6:B20,2,FALSE),"")</f>
        <v/>
      </c>
      <c r="C7" s="5">
        <f>IFERROR(VLOOKUP(A7,'F01 - _Données Centrales'!A6:C20,3,FALSE),"")</f>
        <v/>
      </c>
      <c r="D7" s="5" t="inlineStr">
        <is>
          <t>2025-02-10</t>
        </is>
      </c>
      <c r="E7" s="5" t="inlineStr">
        <is>
          <t>DG</t>
        </is>
      </c>
      <c r="F7" s="5" t="inlineStr">
        <is>
          <t>Annuel</t>
        </is>
      </c>
      <c r="G7" s="5" t="inlineStr">
        <is>
          <t>Préparation succession DG</t>
        </is>
      </c>
      <c r="H7" s="5" t="inlineStr">
        <is>
          <t>Programme haute direction</t>
        </is>
      </c>
      <c r="I7" s="5" t="inlineStr">
        <is>
          <t>2026-02-10</t>
        </is>
      </c>
      <c r="J7" s="5" t="inlineStr">
        <is>
          <t>Réalisé</t>
        </is>
      </c>
      <c r="K7" s="5" t="n">
        <v>17</v>
      </c>
      <c r="L7" s="5" t="inlineStr">
        <is>
          <t>Promotion DG Adjoint</t>
        </is>
      </c>
      <c r="M7" s="5" t="inlineStr">
        <is>
          <t>Prête pour niveau supérieur</t>
        </is>
      </c>
    </row>
    <row r="8">
      <c r="A8" s="4" t="inlineStr">
        <is>
          <t>EMP-003</t>
        </is>
      </c>
      <c r="B8" s="4">
        <f>IFERROR(VLOOKUP(A8,'F01 - _Données Centrales'!A6:B20,2,FALSE),"")</f>
        <v/>
      </c>
      <c r="C8" s="4">
        <f>IFERROR(VLOOKUP(A8,'F01 - _Données Centrales'!A6:C20,3,FALSE),"")</f>
        <v/>
      </c>
      <c r="D8" s="4" t="inlineStr">
        <is>
          <t>2025-03-01</t>
        </is>
      </c>
      <c r="E8" s="4" t="inlineStr">
        <is>
          <t>DG</t>
        </is>
      </c>
      <c r="F8" s="4" t="inlineStr">
        <is>
          <t>Annuel</t>
        </is>
      </c>
      <c r="G8" s="4" t="inlineStr">
        <is>
          <t>Optimisation fiscale 2025</t>
        </is>
      </c>
      <c r="H8" s="4" t="inlineStr">
        <is>
          <t>Certification IFRS</t>
        </is>
      </c>
      <c r="I8" s="4" t="inlineStr">
        <is>
          <t>2026-03-01</t>
        </is>
      </c>
      <c r="J8" s="4" t="inlineStr">
        <is>
          <t>Réalisé</t>
        </is>
      </c>
      <c r="K8" s="4" t="n">
        <v>16</v>
      </c>
      <c r="L8" s="4" t="inlineStr">
        <is>
          <t>Maintien DAF</t>
        </is>
      </c>
      <c r="M8" s="4" t="inlineStr">
        <is>
          <t>Bonne progression technique</t>
        </is>
      </c>
    </row>
    <row r="9">
      <c r="A9" s="5" t="inlineStr">
        <is>
          <t>EMP-007</t>
        </is>
      </c>
      <c r="B9" s="5">
        <f>IFERROR(VLOOKUP(A9,'F01 - _Données Centrales'!A6:B20,2,FALSE),"")</f>
        <v/>
      </c>
      <c r="C9" s="5">
        <f>IFERROR(VLOOKUP(A9,'F01 - _Données Centrales'!A6:C20,3,FALSE),"")</f>
        <v/>
      </c>
      <c r="D9" s="5" t="inlineStr">
        <is>
          <t>2025-02-20</t>
        </is>
      </c>
      <c r="E9" s="5" t="inlineStr">
        <is>
          <t>DRH</t>
        </is>
      </c>
      <c r="F9" s="5" t="inlineStr">
        <is>
          <t>Semestriel</t>
        </is>
      </c>
      <c r="G9" s="5" t="inlineStr">
        <is>
          <t>Plan succession DRH</t>
        </is>
      </c>
      <c r="H9" s="5" t="inlineStr">
        <is>
          <t>Formation management avancé</t>
        </is>
      </c>
      <c r="I9" s="5" t="inlineStr">
        <is>
          <t>2025-08-20</t>
        </is>
      </c>
      <c r="J9" s="5" t="inlineStr">
        <is>
          <t>Planifié</t>
        </is>
      </c>
      <c r="K9" s="5" t="n">
        <v>17</v>
      </c>
      <c r="L9" s="5" t="inlineStr">
        <is>
          <t>Promotion DRH</t>
        </is>
      </c>
      <c r="M9" s="5" t="inlineStr">
        <is>
          <t>Talent émergent confirmé</t>
        </is>
      </c>
    </row>
    <row r="10">
      <c r="A10" s="4" t="inlineStr">
        <is>
          <t>EMP-005</t>
        </is>
      </c>
      <c r="B10" s="4">
        <f>IFERROR(VLOOKUP(A10,'F01 - _Données Centrales'!A6:B20,2,FALSE),"")</f>
        <v/>
      </c>
      <c r="C10" s="4">
        <f>IFERROR(VLOOKUP(A10,'F01 - _Données Centrales'!A6:C20,3,FALSE),"")</f>
        <v/>
      </c>
      <c r="D10" s="4" t="inlineStr">
        <is>
          <t>2025-03-15</t>
        </is>
      </c>
      <c r="E10" s="4" t="inlineStr">
        <is>
          <t>DRH</t>
        </is>
      </c>
      <c r="F10" s="4" t="inlineStr">
        <is>
          <t>Annuel</t>
        </is>
      </c>
      <c r="G10" s="4" t="inlineStr">
        <is>
          <t>Développer leadership</t>
        </is>
      </c>
      <c r="H10" s="4" t="inlineStr">
        <is>
          <t>Coaching externe</t>
        </is>
      </c>
      <c r="I10" s="4" t="inlineStr">
        <is>
          <t>2026-03-15</t>
        </is>
      </c>
      <c r="J10" s="4" t="inlineStr">
        <is>
          <t>Reporté</t>
        </is>
      </c>
      <c r="K10" s="4" t="n">
        <v>15</v>
      </c>
      <c r="L10" s="4" t="inlineStr">
        <is>
          <t>Promotion</t>
        </is>
      </c>
      <c r="M10" s="4" t="inlineStr">
        <is>
          <t>Potentiel confirmé, effort leadership</t>
        </is>
      </c>
    </row>
    <row r="11">
      <c r="A11" s="5" t="n"/>
      <c r="B11" s="5">
        <f>IFERROR(VLOOKUP(A11,'F01 - _Données Centrales'!A6:B20,2,FALSE),"")</f>
        <v/>
      </c>
      <c r="C11" s="5">
        <f>IFERROR(VLOOKUP(A11,'F01 - _Données Centrales'!A6:C20,3,FALSE),"")</f>
        <v/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4" t="n"/>
      <c r="B12" s="4">
        <f>IFERROR(VLOOKUP(A12,'F01 - _Données Centrales'!A6:B20,2,FALSE),"")</f>
        <v/>
      </c>
      <c r="C12" s="4">
        <f>IFERROR(VLOOKUP(A12,'F01 - _Données Centrales'!A6:C20,3,FALSE),"")</f>
        <v/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>
      <c r="A13" s="5" t="n"/>
      <c r="B13" s="5">
        <f>IFERROR(VLOOKUP(A13,'F01 - _Données Centrales'!A6:B20,2,FALSE),"")</f>
        <v/>
      </c>
      <c r="C13" s="5">
        <f>IFERROR(VLOOKUP(A13,'F01 - _Données Centrales'!A6:C20,3,FALSE),"")</f>
        <v/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4" t="n"/>
      <c r="B14" s="4">
        <f>IFERROR(VLOOKUP(A14,'F01 - _Données Centrales'!A6:B20,2,FALSE),"")</f>
        <v/>
      </c>
      <c r="C14" s="4">
        <f>IFERROR(VLOOKUP(A14,'F01 - _Données Centrales'!A6:C20,3,FALSE),"")</f>
        <v/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>
      <c r="A15" s="5" t="n"/>
      <c r="B15" s="5">
        <f>IFERROR(VLOOKUP(A15,'F01 - _Données Centrales'!A6:B20,2,FALSE),"")</f>
        <v/>
      </c>
      <c r="C15" s="5">
        <f>IFERROR(VLOOKUP(A15,'F01 - _Données Centrales'!A6:C20,3,FALSE),"")</f>
        <v/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4" t="n"/>
      <c r="B16" s="4">
        <f>IFERROR(VLOOKUP(A16,'F01 - _Données Centrales'!A6:B20,2,FALSE),"")</f>
        <v/>
      </c>
      <c r="C16" s="4">
        <f>IFERROR(VLOOKUP(A16,'F01 - _Données Centrales'!A6:C20,3,FALSE),"")</f>
        <v/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</row>
    <row r="17">
      <c r="A17" s="5" t="n"/>
      <c r="B17" s="5">
        <f>IFERROR(VLOOKUP(A17,'F01 - _Données Centrales'!A6:B20,2,FALSE),"")</f>
        <v/>
      </c>
      <c r="C17" s="5">
        <f>IFERROR(VLOOKUP(A17,'F01 - _Données Centrales'!A6:C20,3,FALSE),"")</f>
        <v/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4" t="n"/>
      <c r="B18" s="4">
        <f>IFERROR(VLOOKUP(A18,'F01 - _Données Centrales'!A6:B20,2,FALSE),"")</f>
        <v/>
      </c>
      <c r="C18" s="4">
        <f>IFERROR(VLOOKUP(A18,'F01 - _Données Centrales'!A6:C20,3,FALSE),"")</f>
        <v/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</row>
    <row r="19">
      <c r="A19" s="5" t="n"/>
      <c r="B19" s="5">
        <f>IFERROR(VLOOKUP(A19,'F01 - _Données Centrales'!A6:B20,2,FALSE),"")</f>
        <v/>
      </c>
      <c r="C19" s="5">
        <f>IFERROR(VLOOKUP(A19,'F01 - _Données Centrales'!A6:C20,3,FALSE),"")</f>
        <v/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4" t="n"/>
      <c r="B20" s="4">
        <f>IFERROR(VLOOKUP(A20,'F01 - _Données Centrales'!A6:B20,2,FALSE),"")</f>
        <v/>
      </c>
      <c r="C20" s="4">
        <f>IFERROR(VLOOKUP(A20,'F01 - _Données Centrales'!A6:C20,3,FALSE),"")</f>
        <v/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1">
      <c r="A21" s="5" t="n"/>
      <c r="B21" s="5">
        <f>IFERROR(VLOOKUP(A21,'F01 - _Données Centrales'!A6:B20,2,FALSE),"")</f>
        <v/>
      </c>
      <c r="C21" s="5">
        <f>IFERROR(VLOOKUP(A21,'F01 - _Données Centrales'!A6:C20,3,FALSE),"")</f>
        <v/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4" t="n"/>
      <c r="B22" s="4">
        <f>IFERROR(VLOOKUP(A22,'F01 - _Données Centrales'!A6:B20,2,FALSE),"")</f>
        <v/>
      </c>
      <c r="C22" s="4">
        <f>IFERROR(VLOOKUP(A22,'F01 - _Données Centrales'!A6:C20,3,FALSE),"")</f>
        <v/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</row>
    <row r="23">
      <c r="A23" s="5" t="n"/>
      <c r="B23" s="5">
        <f>IFERROR(VLOOKUP(A23,'F01 - _Données Centrales'!A6:B20,2,FALSE),"")</f>
        <v/>
      </c>
      <c r="C23" s="5">
        <f>IFERROR(VLOOKUP(A23,'F01 - _Données Centrales'!A6:C20,3,FALSE),"")</f>
        <v/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4" t="n"/>
      <c r="B24" s="4">
        <f>IFERROR(VLOOKUP(A24,'F01 - _Données Centrales'!A6:B20,2,FALSE),"")</f>
        <v/>
      </c>
      <c r="C24" s="4">
        <f>IFERROR(VLOOKUP(A24,'F01 - _Données Centrales'!A6:C20,3,FALSE),"")</f>
        <v/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</row>
    <row r="25">
      <c r="A25" s="5" t="n"/>
      <c r="B25" s="5">
        <f>IFERROR(VLOOKUP(A25,'F01 - _Données Centrales'!A6:B20,2,FALSE),"")</f>
        <v/>
      </c>
      <c r="C25" s="5">
        <f>IFERROR(VLOOKUP(A25,'F01 - _Données Centrales'!A6:C20,3,FALSE),"")</f>
        <v/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4" t="n"/>
      <c r="B26" s="4">
        <f>IFERROR(VLOOKUP(A26,'F01 - _Données Centrales'!A6:B20,2,FALSE),"")</f>
        <v/>
      </c>
      <c r="C26" s="4">
        <f>IFERROR(VLOOKUP(A26,'F01 - _Données Centrales'!A6:C20,3,FALSE),"")</f>
        <v/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5" t="n"/>
      <c r="B27" s="5">
        <f>IFERROR(VLOOKUP(A27,'F01 - _Données Centrales'!A6:B20,2,FALSE),"")</f>
        <v/>
      </c>
      <c r="C27" s="5">
        <f>IFERROR(VLOOKUP(A27,'F01 - _Données Centrales'!A6:C20,3,FALSE),"")</f>
        <v/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4" t="n"/>
      <c r="B28" s="4">
        <f>IFERROR(VLOOKUP(A28,'F01 - _Données Centrales'!A6:B20,2,FALSE),"")</f>
        <v/>
      </c>
      <c r="C28" s="4">
        <f>IFERROR(VLOOKUP(A28,'F01 - _Données Centrales'!A6:C20,3,FALSE),"")</f>
        <v/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5" t="n"/>
      <c r="B29" s="5">
        <f>IFERROR(VLOOKUP(A29,'F01 - _Données Centrales'!A6:B20,2,FALSE),"")</f>
        <v/>
      </c>
      <c r="C29" s="5">
        <f>IFERROR(VLOOKUP(A29,'F01 - _Données Centrales'!A6:C20,3,FALSE),"")</f>
        <v/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4" t="n"/>
      <c r="B30" s="4">
        <f>IFERROR(VLOOKUP(A30,'F01 - _Données Centrales'!A6:B20,2,FALSE),"")</f>
        <v/>
      </c>
      <c r="C30" s="4">
        <f>IFERROR(VLOOKUP(A30,'F01 - _Données Centrales'!A6:C20,3,FALSE),"")</f>
        <v/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</row>
    <row r="31">
      <c r="A31" s="5" t="n"/>
      <c r="B31" s="5">
        <f>IFERROR(VLOOKUP(A31,'F01 - _Données Centrales'!A6:B20,2,FALSE),"")</f>
        <v/>
      </c>
      <c r="C31" s="5">
        <f>IFERROR(VLOOKUP(A31,'F01 - _Données Centrales'!A6:C20,3,FALSE),"")</f>
        <v/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4" t="n"/>
      <c r="B32" s="4">
        <f>IFERROR(VLOOKUP(A32,'F01 - _Données Centrales'!A6:B20,2,FALSE),"")</f>
        <v/>
      </c>
      <c r="C32" s="4">
        <f>IFERROR(VLOOKUP(A32,'F01 - _Données Centrales'!A6:C20,3,FALSE),"")</f>
        <v/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</row>
    <row r="33">
      <c r="A33" s="5" t="n"/>
      <c r="B33" s="5">
        <f>IFERROR(VLOOKUP(A33,'F01 - _Données Centrales'!A6:B20,2,FALSE),"")</f>
        <v/>
      </c>
      <c r="C33" s="5">
        <f>IFERROR(VLOOKUP(A33,'F01 - _Données Centrales'!A6:C20,3,FALSE),"")</f>
        <v/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4" t="n"/>
      <c r="B34" s="4">
        <f>IFERROR(VLOOKUP(A34,'F01 - _Données Centrales'!A6:B20,2,FALSE),"")</f>
        <v/>
      </c>
      <c r="C34" s="4">
        <f>IFERROR(VLOOKUP(A34,'F01 - _Données Centrales'!A6:C20,3,FALSE),"")</f>
        <v/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n"/>
      <c r="B35" s="5">
        <f>IFERROR(VLOOKUP(A35,'F01 - _Données Centrales'!A6:B20,2,FALSE),"")</f>
        <v/>
      </c>
      <c r="C35" s="5">
        <f>IFERROR(VLOOKUP(A35,'F01 - _Données Centrales'!A6:C20,3,FALSE),"")</f>
        <v/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4" t="n"/>
      <c r="B36" s="4">
        <f>IFERROR(VLOOKUP(A36,'F01 - _Données Centrales'!A6:B20,2,FALSE),"")</f>
        <v/>
      </c>
      <c r="C36" s="4">
        <f>IFERROR(VLOOKUP(A36,'F01 - _Données Centrales'!A6:C20,3,FALSE),"")</f>
        <v/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</row>
    <row r="37">
      <c r="A37" s="5" t="n"/>
      <c r="B37" s="5">
        <f>IFERROR(VLOOKUP(A37,'F01 - _Données Centrales'!A6:B20,2,FALSE),"")</f>
        <v/>
      </c>
      <c r="C37" s="5">
        <f>IFERROR(VLOOKUP(A37,'F01 - _Données Centrales'!A6:C20,3,FALSE),"")</f>
        <v/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4" t="n"/>
      <c r="B38" s="4">
        <f>IFERROR(VLOOKUP(A38,'F01 - _Données Centrales'!A6:B20,2,FALSE),"")</f>
        <v/>
      </c>
      <c r="C38" s="4">
        <f>IFERROR(VLOOKUP(A38,'F01 - _Données Centrales'!A6:C20,3,FALSE),"")</f>
        <v/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</row>
    <row r="39">
      <c r="A39" s="5" t="n"/>
      <c r="B39" s="5">
        <f>IFERROR(VLOOKUP(A39,'F01 - _Données Centrales'!A6:B20,2,FALSE),"")</f>
        <v/>
      </c>
      <c r="C39" s="5">
        <f>IFERROR(VLOOKUP(A39,'F01 - _Données Centrales'!A6:C20,3,FALSE),"")</f>
        <v/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4" t="n"/>
      <c r="B40" s="4">
        <f>IFERROR(VLOOKUP(A40,'F01 - _Données Centrales'!A6:B20,2,FALSE),"")</f>
        <v/>
      </c>
      <c r="C40" s="4">
        <f>IFERROR(VLOOKUP(A40,'F01 - _Données Centrales'!A6:C20,3,FALSE),"")</f>
        <v/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n"/>
      <c r="B41" s="5">
        <f>IFERROR(VLOOKUP(A41,'F01 - _Données Centrales'!A6:B20,2,FALSE),"")</f>
        <v/>
      </c>
      <c r="C41" s="5">
        <f>IFERROR(VLOOKUP(A41,'F01 - _Données Centrales'!A6:C20,3,FALSE),"")</f>
        <v/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4" t="n"/>
      <c r="B42" s="4">
        <f>IFERROR(VLOOKUP(A42,'F01 - _Données Centrales'!A6:B20,2,FALSE),"")</f>
        <v/>
      </c>
      <c r="C42" s="4">
        <f>IFERROR(VLOOKUP(A42,'F01 - _Données Centrales'!A6:C20,3,FALSE),"")</f>
        <v/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</row>
    <row r="43">
      <c r="A43" s="5" t="n"/>
      <c r="B43" s="5">
        <f>IFERROR(VLOOKUP(A43,'F01 - _Données Centrales'!A6:B20,2,FALSE),"")</f>
        <v/>
      </c>
      <c r="C43" s="5">
        <f>IFERROR(VLOOKUP(A43,'F01 - _Données Centrales'!A6:C20,3,FALSE),"")</f>
        <v/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4" t="n"/>
      <c r="B44" s="4">
        <f>IFERROR(VLOOKUP(A44,'F01 - _Données Centrales'!A6:B20,2,FALSE),"")</f>
        <v/>
      </c>
      <c r="C44" s="4">
        <f>IFERROR(VLOOKUP(A44,'F01 - _Données Centrales'!A6:C20,3,FALSE),"")</f>
        <v/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</row>
    <row r="45">
      <c r="A45" s="5" t="n"/>
      <c r="B45" s="5">
        <f>IFERROR(VLOOKUP(A45,'F01 - _Données Centrales'!A6:B20,2,FALSE),"")</f>
        <v/>
      </c>
      <c r="C45" s="5">
        <f>IFERROR(VLOOKUP(A45,'F01 - _Données Centrales'!A6:C20,3,FALSE),"")</f>
        <v/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4" t="n"/>
      <c r="B46" s="4">
        <f>IFERROR(VLOOKUP(A46,'F01 - _Données Centrales'!A6:B20,2,FALSE),"")</f>
        <v/>
      </c>
      <c r="C46" s="4">
        <f>IFERROR(VLOOKUP(A46,'F01 - _Données Centrales'!A6:C20,3,FALSE),"")</f>
        <v/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n"/>
      <c r="B47" s="5">
        <f>IFERROR(VLOOKUP(A47,'F01 - _Données Centrales'!A6:B20,2,FALSE),"")</f>
        <v/>
      </c>
      <c r="C47" s="5">
        <f>IFERROR(VLOOKUP(A47,'F01 - _Données Centrales'!A6:C20,3,FALSE),"")</f>
        <v/>
      </c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4" t="n"/>
      <c r="B48" s="4">
        <f>IFERROR(VLOOKUP(A48,'F01 - _Données Centrales'!A6:B20,2,FALSE),"")</f>
        <v/>
      </c>
      <c r="C48" s="4">
        <f>IFERROR(VLOOKUP(A48,'F01 - _Données Centrales'!A6:C20,3,FALSE),"")</f>
        <v/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</row>
    <row r="49">
      <c r="A49" s="5" t="n"/>
      <c r="B49" s="5">
        <f>IFERROR(VLOOKUP(A49,'F01 - _Données Centrales'!A6:B20,2,FALSE),"")</f>
        <v/>
      </c>
      <c r="C49" s="5">
        <f>IFERROR(VLOOKUP(A49,'F01 - _Données Centrales'!A6:C20,3,FALSE),"")</f>
        <v/>
      </c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4" t="n"/>
      <c r="B50" s="4">
        <f>IFERROR(VLOOKUP(A50,'F01 - _Données Centrales'!A6:B20,2,FALSE),"")</f>
        <v/>
      </c>
      <c r="C50" s="4">
        <f>IFERROR(VLOOKUP(A50,'F01 - _Données Centrales'!A6:C20,3,FALSE),"")</f>
        <v/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n"/>
      <c r="B51" s="5">
        <f>IFERROR(VLOOKUP(A51,'F01 - _Données Centrales'!A6:B20,2,FALSE),"")</f>
        <v/>
      </c>
      <c r="C51" s="5">
        <f>IFERROR(VLOOKUP(A51,'F01 - _Données Centrales'!A6:C20,3,FALSE),"")</f>
        <v/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4" t="n"/>
      <c r="B52" s="4">
        <f>IFERROR(VLOOKUP(A52,'F01 - _Données Centrales'!A6:B20,2,FALSE),"")</f>
        <v/>
      </c>
      <c r="C52" s="4">
        <f>IFERROR(VLOOKUP(A52,'F01 - _Données Centrales'!A6:C20,3,FALSE),"")</f>
        <v/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n"/>
      <c r="B53" s="5">
        <f>IFERROR(VLOOKUP(A53,'F01 - _Données Centrales'!A6:B20,2,FALSE),"")</f>
        <v/>
      </c>
      <c r="C53" s="5">
        <f>IFERROR(VLOOKUP(A53,'F01 - _Données Centrales'!A6:C20,3,FALSE),"")</f>
        <v/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4" t="n"/>
      <c r="B54" s="4">
        <f>IFERROR(VLOOKUP(A54,'F01 - _Données Centrales'!A6:B20,2,FALSE),"")</f>
        <v/>
      </c>
      <c r="C54" s="4">
        <f>IFERROR(VLOOKUP(A54,'F01 - _Données Centrales'!A6:C20,3,FALSE),"")</f>
        <v/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 t="n"/>
      <c r="B55" s="5">
        <f>IFERROR(VLOOKUP(A55,'F01 - _Données Centrales'!A6:B20,2,FALSE),"")</f>
        <v/>
      </c>
      <c r="C55" s="5">
        <f>IFERROR(VLOOKUP(A55,'F01 - _Données Centrales'!A6:C20,3,FALSE),"")</f>
        <v/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4" t="n"/>
      <c r="B56" s="4">
        <f>IFERROR(VLOOKUP(A56,'F01 - _Données Centrales'!A6:B20,2,FALSE),"")</f>
        <v/>
      </c>
      <c r="C56" s="4">
        <f>IFERROR(VLOOKUP(A56,'F01 - _Données Centrales'!A6:C20,3,FALSE),"")</f>
        <v/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5" t="n"/>
      <c r="B57" s="5">
        <f>IFERROR(VLOOKUP(A57,'F01 - _Données Centrales'!A6:B20,2,FALSE),"")</f>
        <v/>
      </c>
      <c r="C57" s="5">
        <f>IFERROR(VLOOKUP(A57,'F01 - _Données Centrales'!A6:C20,3,FALSE),"")</f>
        <v/>
      </c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4" t="n"/>
      <c r="B58" s="4">
        <f>IFERROR(VLOOKUP(A58,'F01 - _Données Centrales'!A6:B20,2,FALSE),"")</f>
        <v/>
      </c>
      <c r="C58" s="4">
        <f>IFERROR(VLOOKUP(A58,'F01 - _Données Centrales'!A6:C20,3,FALSE),"")</f>
        <v/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5" t="n"/>
      <c r="B59" s="5">
        <f>IFERROR(VLOOKUP(A59,'F01 - _Données Centrales'!A6:B20,2,FALSE),"")</f>
        <v/>
      </c>
      <c r="C59" s="5">
        <f>IFERROR(VLOOKUP(A59,'F01 - _Données Centrales'!A6:C20,3,FALSE),"")</f>
        <v/>
      </c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4" t="n"/>
      <c r="B60" s="4">
        <f>IFERROR(VLOOKUP(A60,'F01 - _Données Centrales'!A6:B20,2,FALSE),"")</f>
        <v/>
      </c>
      <c r="C60" s="4">
        <f>IFERROR(VLOOKUP(A60,'F01 - _Données Centrales'!A6:C20,3,FALSE),"")</f>
        <v/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5" t="n"/>
      <c r="B61" s="5">
        <f>IFERROR(VLOOKUP(A61,'F01 - _Données Centrales'!A6:B20,2,FALSE),"")</f>
        <v/>
      </c>
      <c r="C61" s="5">
        <f>IFERROR(VLOOKUP(A61,'F01 - _Données Centrales'!A6:C20,3,FALSE),"")</f>
        <v/>
      </c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4" t="n"/>
      <c r="B62" s="4">
        <f>IFERROR(VLOOKUP(A62,'F01 - _Données Centrales'!A6:B20,2,FALSE),"")</f>
        <v/>
      </c>
      <c r="C62" s="4">
        <f>IFERROR(VLOOKUP(A62,'F01 - _Données Centrales'!A6:C20,3,FALSE),"")</f>
        <v/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>
      <c r="A63" s="5" t="n"/>
      <c r="B63" s="5">
        <f>IFERROR(VLOOKUP(A63,'F01 - _Données Centrales'!A6:B20,2,FALSE),"")</f>
        <v/>
      </c>
      <c r="C63" s="5">
        <f>IFERROR(VLOOKUP(A63,'F01 - _Données Centrales'!A6:C20,3,FALSE),"")</f>
        <v/>
      </c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4" t="n"/>
      <c r="B64" s="4">
        <f>IFERROR(VLOOKUP(A64,'F01 - _Données Centrales'!A6:B20,2,FALSE),"")</f>
        <v/>
      </c>
      <c r="C64" s="4">
        <f>IFERROR(VLOOKUP(A64,'F01 - _Données Centrales'!A6:C20,3,FALSE),"")</f>
        <v/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</row>
    <row r="65">
      <c r="A65" s="5" t="n"/>
      <c r="B65" s="5">
        <f>IFERROR(VLOOKUP(A65,'F01 - _Données Centrales'!A6:B20,2,FALSE),"")</f>
        <v/>
      </c>
      <c r="C65" s="5">
        <f>IFERROR(VLOOKUP(A65,'F01 - _Données Centrales'!A6:C20,3,FALSE),"")</f>
        <v/>
      </c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4" t="n"/>
      <c r="B66" s="4">
        <f>IFERROR(VLOOKUP(A66,'F01 - _Données Centrales'!A6:B20,2,FALSE),"")</f>
        <v/>
      </c>
      <c r="C66" s="4">
        <f>IFERROR(VLOOKUP(A66,'F01 - _Données Centrales'!A6:C20,3,FALSE),"")</f>
        <v/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n"/>
      <c r="B67" s="5">
        <f>IFERROR(VLOOKUP(A67,'F01 - _Données Centrales'!A6:B20,2,FALSE),"")</f>
        <v/>
      </c>
      <c r="C67" s="5">
        <f>IFERROR(VLOOKUP(A67,'F01 - _Données Centrales'!A6:C20,3,FALSE),"")</f>
        <v/>
      </c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4" t="n"/>
      <c r="B68" s="4">
        <f>IFERROR(VLOOKUP(A68,'F01 - _Données Centrales'!A6:B20,2,FALSE),"")</f>
        <v/>
      </c>
      <c r="C68" s="4">
        <f>IFERROR(VLOOKUP(A68,'F01 - _Données Centrales'!A6:C20,3,FALSE),"")</f>
        <v/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n"/>
      <c r="B69" s="5">
        <f>IFERROR(VLOOKUP(A69,'F01 - _Données Centrales'!A6:B20,2,FALSE),"")</f>
        <v/>
      </c>
      <c r="C69" s="5">
        <f>IFERROR(VLOOKUP(A69,'F01 - _Données Centrales'!A6:C20,3,FALSE),"")</f>
        <v/>
      </c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4" t="n"/>
      <c r="B70" s="4">
        <f>IFERROR(VLOOKUP(A70,'F01 - _Données Centrales'!A6:B20,2,FALSE),"")</f>
        <v/>
      </c>
      <c r="C70" s="4">
        <f>IFERROR(VLOOKUP(A70,'F01 - _Données Centrales'!A6:C20,3,FALSE),"")</f>
        <v/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</row>
    <row r="71">
      <c r="A71" s="5" t="n"/>
      <c r="B71" s="5">
        <f>IFERROR(VLOOKUP(A71,'F01 - _Données Centrales'!A6:B20,2,FALSE),"")</f>
        <v/>
      </c>
      <c r="C71" s="5">
        <f>IFERROR(VLOOKUP(A71,'F01 - _Données Centrales'!A6:C20,3,FALSE),"")</f>
        <v/>
      </c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4" t="n"/>
      <c r="B72" s="4">
        <f>IFERROR(VLOOKUP(A72,'F01 - _Données Centrales'!A6:B20,2,FALSE),"")</f>
        <v/>
      </c>
      <c r="C72" s="4">
        <f>IFERROR(VLOOKUP(A72,'F01 - _Données Centrales'!A6:C20,3,FALSE),"")</f>
        <v/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n"/>
      <c r="B73" s="5">
        <f>IFERROR(VLOOKUP(A73,'F01 - _Données Centrales'!A6:B20,2,FALSE),"")</f>
        <v/>
      </c>
      <c r="C73" s="5">
        <f>IFERROR(VLOOKUP(A73,'F01 - _Données Centrales'!A6:C20,3,FALSE),"")</f>
        <v/>
      </c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4" t="n"/>
      <c r="B74" s="4">
        <f>IFERROR(VLOOKUP(A74,'F01 - _Données Centrales'!A6:B20,2,FALSE),"")</f>
        <v/>
      </c>
      <c r="C74" s="4">
        <f>IFERROR(VLOOKUP(A74,'F01 - _Données Centrales'!A6:C20,3,FALSE),"")</f>
        <v/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</row>
    <row r="75">
      <c r="A75" s="5" t="n"/>
      <c r="B75" s="5">
        <f>IFERROR(VLOOKUP(A75,'F01 - _Données Centrales'!A6:B20,2,FALSE),"")</f>
        <v/>
      </c>
      <c r="C75" s="5">
        <f>IFERROR(VLOOKUP(A75,'F01 - _Données Centrales'!A6:C20,3,FALSE),"")</f>
        <v/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4" t="n"/>
      <c r="B76" s="4">
        <f>IFERROR(VLOOKUP(A76,'F01 - _Données Centrales'!A6:B20,2,FALSE),"")</f>
        <v/>
      </c>
      <c r="C76" s="4">
        <f>IFERROR(VLOOKUP(A76,'F01 - _Données Centrales'!A6:C20,3,FALSE),"")</f>
        <v/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</row>
    <row r="77">
      <c r="A77" s="5" t="n"/>
      <c r="B77" s="5">
        <f>IFERROR(VLOOKUP(A77,'F01 - _Données Centrales'!A6:B20,2,FALSE),"")</f>
        <v/>
      </c>
      <c r="C77" s="5">
        <f>IFERROR(VLOOKUP(A77,'F01 - _Données Centrales'!A6:C20,3,FALSE),"")</f>
        <v/>
      </c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4" t="n"/>
      <c r="B78" s="4">
        <f>IFERROR(VLOOKUP(A78,'F01 - _Données Centrales'!A6:B20,2,FALSE),"")</f>
        <v/>
      </c>
      <c r="C78" s="4">
        <f>IFERROR(VLOOKUP(A78,'F01 - _Données Centrales'!A6:C20,3,FALSE),"")</f>
        <v/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</row>
    <row r="79">
      <c r="A79" s="5" t="n"/>
      <c r="B79" s="5">
        <f>IFERROR(VLOOKUP(A79,'F01 - _Données Centrales'!A6:B20,2,FALSE),"")</f>
        <v/>
      </c>
      <c r="C79" s="5">
        <f>IFERROR(VLOOKUP(A79,'F01 - _Données Centrales'!A6:C20,3,FALSE),"")</f>
        <v/>
      </c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4" t="n"/>
      <c r="B80" s="4">
        <f>IFERROR(VLOOKUP(A80,'F01 - _Données Centrales'!A6:B20,2,FALSE),"")</f>
        <v/>
      </c>
      <c r="C80" s="4">
        <f>IFERROR(VLOOKUP(A80,'F01 - _Données Centrales'!A6:C20,3,FALSE),"")</f>
        <v/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</row>
    <row r="81">
      <c r="A81" s="5" t="n"/>
      <c r="B81" s="5">
        <f>IFERROR(VLOOKUP(A81,'F01 - _Données Centrales'!A6:B20,2,FALSE),"")</f>
        <v/>
      </c>
      <c r="C81" s="5">
        <f>IFERROR(VLOOKUP(A81,'F01 - _Données Centrales'!A6:C20,3,FALSE),"")</f>
        <v/>
      </c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4" t="n"/>
      <c r="B82" s="4">
        <f>IFERROR(VLOOKUP(A82,'F01 - _Données Centrales'!A6:B20,2,FALSE),"")</f>
        <v/>
      </c>
      <c r="C82" s="4">
        <f>IFERROR(VLOOKUP(A82,'F01 - _Données Centrales'!A6:C20,3,FALSE),"")</f>
        <v/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</row>
    <row r="83">
      <c r="A83" s="5" t="n"/>
      <c r="B83" s="5">
        <f>IFERROR(VLOOKUP(A83,'F01 - _Données Centrales'!A6:B20,2,FALSE),"")</f>
        <v/>
      </c>
      <c r="C83" s="5">
        <f>IFERROR(VLOOKUP(A83,'F01 - _Données Centrales'!A6:C20,3,FALSE),"")</f>
        <v/>
      </c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4" t="n"/>
      <c r="B84" s="4">
        <f>IFERROR(VLOOKUP(A84,'F01 - _Données Centrales'!A6:B20,2,FALSE),"")</f>
        <v/>
      </c>
      <c r="C84" s="4">
        <f>IFERROR(VLOOKUP(A84,'F01 - _Données Centrales'!A6:C20,3,FALSE),"")</f>
        <v/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n"/>
      <c r="B85" s="5">
        <f>IFERROR(VLOOKUP(A85,'F01 - _Données Centrales'!A6:B20,2,FALSE),"")</f>
        <v/>
      </c>
      <c r="C85" s="5">
        <f>IFERROR(VLOOKUP(A85,'F01 - _Données Centrales'!A6:C20,3,FALSE),"")</f>
        <v/>
      </c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4" t="n"/>
      <c r="B86" s="4">
        <f>IFERROR(VLOOKUP(A86,'F01 - _Données Centrales'!A6:B20,2,FALSE),"")</f>
        <v/>
      </c>
      <c r="C86" s="4">
        <f>IFERROR(VLOOKUP(A86,'F01 - _Données Centrales'!A6:C20,3,FALSE),"")</f>
        <v/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</row>
    <row r="87">
      <c r="A87" s="5" t="n"/>
      <c r="B87" s="5">
        <f>IFERROR(VLOOKUP(A87,'F01 - _Données Centrales'!A6:B20,2,FALSE),"")</f>
        <v/>
      </c>
      <c r="C87" s="5">
        <f>IFERROR(VLOOKUP(A87,'F01 - _Données Centrales'!A6:C20,3,FALSE),"")</f>
        <v/>
      </c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4" t="n"/>
      <c r="B88" s="4">
        <f>IFERROR(VLOOKUP(A88,'F01 - _Données Centrales'!A6:B20,2,FALSE),"")</f>
        <v/>
      </c>
      <c r="C88" s="4">
        <f>IFERROR(VLOOKUP(A88,'F01 - _Données Centrales'!A6:C20,3,FALSE),"")</f>
        <v/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5" t="n"/>
      <c r="B89" s="5">
        <f>IFERROR(VLOOKUP(A89,'F01 - _Données Centrales'!A6:B20,2,FALSE),"")</f>
        <v/>
      </c>
      <c r="C89" s="5">
        <f>IFERROR(VLOOKUP(A89,'F01 - _Données Centrales'!A6:C20,3,FALSE),"")</f>
        <v/>
      </c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4" t="n"/>
      <c r="B90" s="4">
        <f>IFERROR(VLOOKUP(A90,'F01 - _Données Centrales'!A6:B20,2,FALSE),"")</f>
        <v/>
      </c>
      <c r="C90" s="4">
        <f>IFERROR(VLOOKUP(A90,'F01 - _Données Centrales'!A6:C20,3,FALSE),"")</f>
        <v/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</row>
    <row r="91">
      <c r="A91" s="5" t="n"/>
      <c r="B91" s="5">
        <f>IFERROR(VLOOKUP(A91,'F01 - _Données Centrales'!A6:B20,2,FALSE),"")</f>
        <v/>
      </c>
      <c r="C91" s="5">
        <f>IFERROR(VLOOKUP(A91,'F01 - _Données Centrales'!A6:C20,3,FALSE),"")</f>
        <v/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4" t="n"/>
      <c r="B92" s="4">
        <f>IFERROR(VLOOKUP(A92,'F01 - _Données Centrales'!A6:B20,2,FALSE),"")</f>
        <v/>
      </c>
      <c r="C92" s="4">
        <f>IFERROR(VLOOKUP(A92,'F01 - _Données Centrales'!A6:C20,3,FALSE),"")</f>
        <v/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</row>
    <row r="93">
      <c r="A93" s="5" t="n"/>
      <c r="B93" s="5">
        <f>IFERROR(VLOOKUP(A93,'F01 - _Données Centrales'!A6:B20,2,FALSE),"")</f>
        <v/>
      </c>
      <c r="C93" s="5">
        <f>IFERROR(VLOOKUP(A93,'F01 - _Données Centrales'!A6:C20,3,FALSE),"")</f>
        <v/>
      </c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4" t="n"/>
      <c r="B94" s="4">
        <f>IFERROR(VLOOKUP(A94,'F01 - _Données Centrales'!A6:B20,2,FALSE),"")</f>
        <v/>
      </c>
      <c r="C94" s="4">
        <f>IFERROR(VLOOKUP(A94,'F01 - _Données Centrales'!A6:C20,3,FALSE),"")</f>
        <v/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</row>
    <row r="95">
      <c r="A95" s="5" t="n"/>
      <c r="B95" s="5">
        <f>IFERROR(VLOOKUP(A95,'F01 - _Données Centrales'!A6:B20,2,FALSE),"")</f>
        <v/>
      </c>
      <c r="C95" s="5">
        <f>IFERROR(VLOOKUP(A95,'F01 - _Données Centrales'!A6:C20,3,FALSE),"")</f>
        <v/>
      </c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4" t="n"/>
      <c r="B96" s="4">
        <f>IFERROR(VLOOKUP(A96,'F01 - _Données Centrales'!A6:B20,2,FALSE),"")</f>
        <v/>
      </c>
      <c r="C96" s="4">
        <f>IFERROR(VLOOKUP(A96,'F01 - _Données Centrales'!A6:C20,3,FALSE),"")</f>
        <v/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</row>
    <row r="97">
      <c r="A97" s="5" t="n"/>
      <c r="B97" s="5">
        <f>IFERROR(VLOOKUP(A97,'F01 - _Données Centrales'!A6:B20,2,FALSE),"")</f>
        <v/>
      </c>
      <c r="C97" s="5">
        <f>IFERROR(VLOOKUP(A97,'F01 - _Données Centrales'!A6:C20,3,FALSE),"")</f>
        <v/>
      </c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4" t="n"/>
      <c r="B98" s="4">
        <f>IFERROR(VLOOKUP(A98,'F01 - _Données Centrales'!A6:B20,2,FALSE),"")</f>
        <v/>
      </c>
      <c r="C98" s="4">
        <f>IFERROR(VLOOKUP(A98,'F01 - _Données Centrales'!A6:C20,3,FALSE),"")</f>
        <v/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n"/>
      <c r="B99" s="5">
        <f>IFERROR(VLOOKUP(A99,'F01 - _Données Centrales'!A6:B20,2,FALSE),"")</f>
        <v/>
      </c>
      <c r="C99" s="5">
        <f>IFERROR(VLOOKUP(A99,'F01 - _Données Centrales'!A6:C20,3,FALSE),"")</f>
        <v/>
      </c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4" t="n"/>
      <c r="B100" s="4">
        <f>IFERROR(VLOOKUP(A100,'F01 - _Données Centrales'!A6:B20,2,FALSE),"")</f>
        <v/>
      </c>
      <c r="C100" s="4">
        <f>IFERROR(VLOOKUP(A100,'F01 - _Données Centrales'!A6:C20,3,FALSE),"")</f>
        <v/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</row>
    <row r="101">
      <c r="A101" s="5" t="n"/>
      <c r="B101" s="5">
        <f>IFERROR(VLOOKUP(A101,'F01 - _Données Centrales'!A6:B20,2,FALSE),"")</f>
        <v/>
      </c>
      <c r="C101" s="5">
        <f>IFERROR(VLOOKUP(A101,'F01 - _Données Centrales'!A6:C20,3,FALSE),"")</f>
        <v/>
      </c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4" t="n"/>
      <c r="B102" s="4">
        <f>IFERROR(VLOOKUP(A102,'F01 - _Données Centrales'!A6:B20,2,FALSE),"")</f>
        <v/>
      </c>
      <c r="C102" s="4">
        <f>IFERROR(VLOOKUP(A102,'F01 - _Données Centrales'!A6:C20,3,FALSE),"")</f>
        <v/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n"/>
      <c r="B103" s="5">
        <f>IFERROR(VLOOKUP(A103,'F01 - _Données Centrales'!A6:B20,2,FALSE),"")</f>
        <v/>
      </c>
      <c r="C103" s="5">
        <f>IFERROR(VLOOKUP(A103,'F01 - _Données Centrales'!A6:C20,3,FALSE),"")</f>
        <v/>
      </c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4" t="n"/>
      <c r="B104" s="4">
        <f>IFERROR(VLOOKUP(A104,'F01 - _Données Centrales'!A6:B20,2,FALSE),"")</f>
        <v/>
      </c>
      <c r="C104" s="4">
        <f>IFERROR(VLOOKUP(A104,'F01 - _Données Centrales'!A6:C20,3,FALSE),"")</f>
        <v/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</row>
    <row r="105">
      <c r="A105" s="5" t="n"/>
      <c r="B105" s="5">
        <f>IFERROR(VLOOKUP(A105,'F01 - _Données Centrales'!A6:B20,2,FALSE),"")</f>
        <v/>
      </c>
      <c r="C105" s="5">
        <f>IFERROR(VLOOKUP(A105,'F01 - _Données Centrales'!A6:C20,3,FALSE),"")</f>
        <v/>
      </c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4" t="n"/>
      <c r="B106" s="4">
        <f>IFERROR(VLOOKUP(A106,'F01 - _Données Centrales'!A6:B20,2,FALSE),"")</f>
        <v/>
      </c>
      <c r="C106" s="4">
        <f>IFERROR(VLOOKUP(A106,'F01 - _Données Centrales'!A6:C20,3,FALSE),"")</f>
        <v/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</row>
    <row r="107">
      <c r="A107" s="5" t="n"/>
      <c r="B107" s="5">
        <f>IFERROR(VLOOKUP(A107,'F01 - _Données Centrales'!A6:B20,2,FALSE),"")</f>
        <v/>
      </c>
      <c r="C107" s="5">
        <f>IFERROR(VLOOKUP(A107,'F01 - _Données Centrales'!A6:C20,3,FALSE),"")</f>
        <v/>
      </c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4" t="n"/>
      <c r="B108" s="4">
        <f>IFERROR(VLOOKUP(A108,'F01 - _Données Centrales'!A6:B20,2,FALSE),"")</f>
        <v/>
      </c>
      <c r="C108" s="4">
        <f>IFERROR(VLOOKUP(A108,'F01 - _Données Centrales'!A6:C20,3,FALSE),"")</f>
        <v/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</row>
    <row r="109">
      <c r="A109" s="5" t="n"/>
      <c r="B109" s="5">
        <f>IFERROR(VLOOKUP(A109,'F01 - _Données Centrales'!A6:B20,2,FALSE),"")</f>
        <v/>
      </c>
      <c r="C109" s="5">
        <f>IFERROR(VLOOKUP(A109,'F01 - _Données Centrales'!A6:C20,3,FALSE),"")</f>
        <v/>
      </c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4" t="n"/>
      <c r="B110" s="4">
        <f>IFERROR(VLOOKUP(A110,'F01 - _Données Centrales'!A6:B20,2,FALSE),"")</f>
        <v/>
      </c>
      <c r="C110" s="4">
        <f>IFERROR(VLOOKUP(A110,'F01 - _Données Centrales'!A6:C20,3,FALSE),"")</f>
        <v/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5" t="n"/>
      <c r="B111" s="5">
        <f>IFERROR(VLOOKUP(A111,'F01 - _Données Centrales'!A6:B20,2,FALSE),"")</f>
        <v/>
      </c>
      <c r="C111" s="5">
        <f>IFERROR(VLOOKUP(A111,'F01 - _Données Centrales'!A6:C20,3,FALSE),"")</f>
        <v/>
      </c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4" t="n"/>
      <c r="B112" s="4">
        <f>IFERROR(VLOOKUP(A112,'F01 - _Données Centrales'!A6:B20,2,FALSE),"")</f>
        <v/>
      </c>
      <c r="C112" s="4">
        <f>IFERROR(VLOOKUP(A112,'F01 - _Données Centrales'!A6:C20,3,FALSE),"")</f>
        <v/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</row>
    <row r="113">
      <c r="A113" s="5" t="n"/>
      <c r="B113" s="5">
        <f>IFERROR(VLOOKUP(A113,'F01 - _Données Centrales'!A6:B20,2,FALSE),"")</f>
        <v/>
      </c>
      <c r="C113" s="5">
        <f>IFERROR(VLOOKUP(A113,'F01 - _Données Centrales'!A6:C20,3,FALSE),"")</f>
        <v/>
      </c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4" t="n"/>
      <c r="B114" s="4">
        <f>IFERROR(VLOOKUP(A114,'F01 - _Données Centrales'!A6:B20,2,FALSE),"")</f>
        <v/>
      </c>
      <c r="C114" s="4">
        <f>IFERROR(VLOOKUP(A114,'F01 - _Données Centrales'!A6:C20,3,FALSE),"")</f>
        <v/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</row>
    <row r="115">
      <c r="A115" s="5" t="n"/>
      <c r="B115" s="5">
        <f>IFERROR(VLOOKUP(A115,'F01 - _Données Centrales'!A6:B20,2,FALSE),"")</f>
        <v/>
      </c>
      <c r="C115" s="5">
        <f>IFERROR(VLOOKUP(A115,'F01 - _Données Centrales'!A6:C20,3,FALSE),"")</f>
        <v/>
      </c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</sheetData>
  <mergeCells count="2">
    <mergeCell ref="A3:P3"/>
    <mergeCell ref="A2:P2"/>
  </mergeCells>
  <conditionalFormatting sqref="J6:J115">
    <cfRule type="cellIs" priority="1" operator="equal" dxfId="0">
      <formula>"Réalisé"</formula>
    </cfRule>
    <cfRule type="cellIs" priority="2" operator="equal" dxfId="2">
      <formula>"Planifié"</formula>
    </cfRule>
    <cfRule type="cellIs" priority="3" operator="equal" dxfId="4">
      <formula>"Reporté"</formula>
    </cfRule>
    <cfRule type="cellIs" priority="4" operator="equal" dxfId="3">
      <formula>"Non réalisé"</formula>
    </cfRule>
  </conditionalFormatting>
  <dataValidations count="2">
    <dataValidation sqref="F6:F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_Lists'!$N$6:$N$35</formula1>
    </dataValidation>
    <dataValidation sqref="J6:J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_Lists'!$P$6:$P$35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91E63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22" customWidth="1" min="4" max="4"/>
    <col width="24" customWidth="1" min="5" max="5"/>
    <col width="12" customWidth="1" min="6" max="6"/>
    <col width="16" customWidth="1" min="7" max="7"/>
    <col width="24" customWidth="1" min="8" max="8"/>
    <col width="16" customWidth="1" min="9" max="9"/>
    <col width="24" customWidth="1" min="10" max="10"/>
    <col width="26" customWidth="1" min="11" max="11"/>
    <col width="20" customWidth="1" min="12" max="12"/>
    <col width="16" customWidth="1" min="13" max="13"/>
    <col width="20" customWidth="1" min="14" max="14"/>
    <col width="12" customWidth="1" min="15" max="15"/>
    <col width="12" customWidth="1" min="16" max="16"/>
  </cols>
  <sheetData>
    <row r="2" ht="25" customHeight="1">
      <c r="A2" s="1" t="inlineStr">
        <is>
          <t>DOMAINE 28 — INDICATEURS DE MOBILITÉ ET CARRIÈRE</t>
        </is>
      </c>
    </row>
    <row r="3" ht="18" customHeight="1">
      <c r="A3" s="2" t="inlineStr">
        <is>
          <t>Tableau de bord des KPI mobilité par département et par période</t>
        </is>
      </c>
    </row>
    <row r="5">
      <c r="A5" s="3" t="inlineStr">
        <is>
          <t>Département</t>
        </is>
      </c>
      <c r="B5" s="3" t="inlineStr">
        <is>
          <t>Effectif</t>
        </is>
      </c>
      <c r="C5" s="3" t="inlineStr">
        <is>
          <t>Nb Promotions</t>
        </is>
      </c>
      <c r="D5" s="3" t="inlineStr">
        <is>
          <t>Nb Mobilités Internes</t>
        </is>
      </c>
      <c r="E5" s="3" t="inlineStr">
        <is>
          <t>Nb Mobilités Internationales</t>
        </is>
      </c>
      <c r="F5" s="3" t="inlineStr">
        <is>
          <t>Nb Départs</t>
        </is>
      </c>
      <c r="G5" s="3" t="inlineStr">
        <is>
          <t>Taux Promotion (%)</t>
        </is>
      </c>
      <c r="H5" s="3" t="inlineStr">
        <is>
          <t>Taux Mobilité Interne (%)</t>
        </is>
      </c>
      <c r="I5" s="3" t="inlineStr">
        <is>
          <t>Taux Rotation (%)</t>
        </is>
      </c>
      <c r="J5" s="3" t="inlineStr">
        <is>
          <t>Délai Moyen Promotion (mois)</t>
        </is>
      </c>
      <c r="K5" s="3" t="inlineStr">
        <is>
          <t>Taux Successeurs Identifiés (%)</t>
        </is>
      </c>
      <c r="L5" s="3" t="inlineStr">
        <is>
          <t>Score Potentiel Moyen</t>
        </is>
      </c>
      <c r="M5" s="3" t="inlineStr">
        <is>
          <t>Score Perf. Moyen</t>
        </is>
      </c>
      <c r="N5" s="3" t="inlineStr">
        <is>
          <t>Indice Mobilité Carrière</t>
        </is>
      </c>
      <c r="O5" s="3" t="inlineStr">
        <is>
          <t>Tendance</t>
        </is>
      </c>
      <c r="P5" s="3" t="inlineStr">
        <is>
          <t>Période</t>
        </is>
      </c>
    </row>
    <row r="6">
      <c r="A6" s="4" t="inlineStr">
        <is>
          <t>Direction Générale</t>
        </is>
      </c>
      <c r="B6" s="4" t="n">
        <v>3</v>
      </c>
      <c r="C6" s="4" t="n">
        <v>0</v>
      </c>
      <c r="D6" s="4" t="n">
        <v>0</v>
      </c>
      <c r="E6" s="4" t="n">
        <v>0</v>
      </c>
      <c r="F6" s="4" t="n">
        <v>0</v>
      </c>
      <c r="G6" s="9">
        <f>IFERROR(C6/B6,0)</f>
        <v/>
      </c>
      <c r="H6" s="9">
        <f>IFERROR(D6/B6,0)</f>
        <v/>
      </c>
      <c r="I6" s="9">
        <f>IFERROR(E6/B6,0)</f>
        <v/>
      </c>
      <c r="J6" s="4" t="n">
        <v>24</v>
      </c>
      <c r="K6" s="4" t="n">
        <v>67</v>
      </c>
      <c r="L6" s="4" t="n">
        <v>89</v>
      </c>
      <c r="M6" s="4" t="n">
        <v>88</v>
      </c>
      <c r="N6" s="11">
        <f>IFERROR((G6*3+H6*2+L6)/6,0)</f>
        <v/>
      </c>
      <c r="O6" s="4">
        <f>IF(N6="","",IF(N6&gt;0.7,"Hausse",IF(N6&lt;0.4,"Baisse","Stable")))</f>
        <v/>
      </c>
      <c r="P6" s="4" t="inlineStr">
        <is>
          <t>Q1 2025</t>
        </is>
      </c>
    </row>
    <row r="7">
      <c r="A7" s="5" t="inlineStr">
        <is>
          <t>Ressources Humaines</t>
        </is>
      </c>
      <c r="B7" s="5" t="n">
        <v>4</v>
      </c>
      <c r="C7" s="5" t="n">
        <v>1</v>
      </c>
      <c r="D7" s="5" t="n">
        <v>0</v>
      </c>
      <c r="E7" s="5" t="n">
        <v>1</v>
      </c>
      <c r="F7" s="5" t="n">
        <v>0</v>
      </c>
      <c r="G7" s="10">
        <f>IFERROR(C7/B7,0)</f>
        <v/>
      </c>
      <c r="H7" s="10">
        <f>IFERROR(D7/B7,0)</f>
        <v/>
      </c>
      <c r="I7" s="10">
        <f>IFERROR(E7/B7,0)</f>
        <v/>
      </c>
      <c r="J7" s="5" t="n">
        <v>18</v>
      </c>
      <c r="K7" s="5" t="n">
        <v>50</v>
      </c>
      <c r="L7" s="5" t="n">
        <v>88</v>
      </c>
      <c r="M7" s="5" t="n">
        <v>90</v>
      </c>
      <c r="N7" s="12">
        <f>IFERROR((G7*3+H7*2+L7)/6,0)</f>
        <v/>
      </c>
      <c r="O7" s="5">
        <f>IF(N7="","",IF(N7&gt;0.7,"Hausse",IF(N7&lt;0.4,"Baisse","Stable")))</f>
        <v/>
      </c>
      <c r="P7" s="5" t="inlineStr">
        <is>
          <t>Q1 2025</t>
        </is>
      </c>
    </row>
    <row r="8">
      <c r="A8" s="4" t="inlineStr">
        <is>
          <t>Finance &amp; Comptabilité</t>
        </is>
      </c>
      <c r="B8" s="4" t="n">
        <v>3</v>
      </c>
      <c r="C8" s="4" t="n">
        <v>0</v>
      </c>
      <c r="D8" s="4" t="n">
        <v>0</v>
      </c>
      <c r="E8" s="4" t="n">
        <v>1</v>
      </c>
      <c r="F8" s="4" t="n">
        <v>0</v>
      </c>
      <c r="G8" s="9">
        <f>IFERROR(C8/B8,0)</f>
        <v/>
      </c>
      <c r="H8" s="9">
        <f>IFERROR(D8/B8,0)</f>
        <v/>
      </c>
      <c r="I8" s="9">
        <f>IFERROR(E8/B8,0)</f>
        <v/>
      </c>
      <c r="J8" s="4" t="n">
        <v>20</v>
      </c>
      <c r="K8" s="4" t="n">
        <v>33</v>
      </c>
      <c r="L8" s="4" t="n">
        <v>82</v>
      </c>
      <c r="M8" s="4" t="n">
        <v>82</v>
      </c>
      <c r="N8" s="11">
        <f>IFERROR((G8*3+H8*2+L8)/6,0)</f>
        <v/>
      </c>
      <c r="O8" s="4">
        <f>IF(N8="","",IF(N8&gt;0.7,"Hausse",IF(N8&lt;0.4,"Baisse","Stable")))</f>
        <v/>
      </c>
      <c r="P8" s="4" t="inlineStr">
        <is>
          <t>Q1 2025</t>
        </is>
      </c>
    </row>
    <row r="9">
      <c r="A9" s="5" t="inlineStr">
        <is>
          <t>Cuisine &amp; Restauration</t>
        </is>
      </c>
      <c r="B9" s="5" t="n">
        <v>2</v>
      </c>
      <c r="C9" s="5" t="n">
        <v>0</v>
      </c>
      <c r="D9" s="5" t="n">
        <v>1</v>
      </c>
      <c r="E9" s="5" t="n">
        <v>0</v>
      </c>
      <c r="F9" s="5" t="n">
        <v>0</v>
      </c>
      <c r="G9" s="10">
        <f>IFERROR(C9/B9,0)</f>
        <v/>
      </c>
      <c r="H9" s="10">
        <f>IFERROR(D9/B9,0)</f>
        <v/>
      </c>
      <c r="I9" s="10">
        <f>IFERROR(E9/B9,0)</f>
        <v/>
      </c>
      <c r="J9" s="5" t="n">
        <v>22</v>
      </c>
      <c r="K9" s="5" t="n">
        <v>0</v>
      </c>
      <c r="L9" s="5" t="n">
        <v>72</v>
      </c>
      <c r="M9" s="5" t="n">
        <v>78</v>
      </c>
      <c r="N9" s="12">
        <f>IFERROR((G9*3+H9*2+L9)/6,0)</f>
        <v/>
      </c>
      <c r="O9" s="5">
        <f>IF(N9="","",IF(N9&gt;0.7,"Hausse",IF(N9&lt;0.4,"Baisse","Stable")))</f>
        <v/>
      </c>
      <c r="P9" s="5" t="inlineStr">
        <is>
          <t>Q1 2025</t>
        </is>
      </c>
    </row>
    <row r="10">
      <c r="A10" s="4" t="inlineStr">
        <is>
          <t>Réception &amp; Front Office</t>
        </is>
      </c>
      <c r="B10" s="4" t="n">
        <v>3</v>
      </c>
      <c r="C10" s="4" t="n">
        <v>0</v>
      </c>
      <c r="D10" s="4" t="n">
        <v>1</v>
      </c>
      <c r="E10" s="4" t="n">
        <v>0</v>
      </c>
      <c r="F10" s="4" t="n">
        <v>0</v>
      </c>
      <c r="G10" s="9">
        <f>IFERROR(C10/B10,0)</f>
        <v/>
      </c>
      <c r="H10" s="9">
        <f>IFERROR(D10/B10,0)</f>
        <v/>
      </c>
      <c r="I10" s="9">
        <f>IFERROR(E10/B10,0)</f>
        <v/>
      </c>
      <c r="J10" s="4" t="n">
        <v>20</v>
      </c>
      <c r="K10" s="4" t="n">
        <v>33</v>
      </c>
      <c r="L10" s="4" t="n">
        <v>78</v>
      </c>
      <c r="M10" s="4" t="n">
        <v>80</v>
      </c>
      <c r="N10" s="11">
        <f>IFERROR((G10*3+H10*2+L10)/6,0)</f>
        <v/>
      </c>
      <c r="O10" s="4">
        <f>IF(N10="","",IF(N10&gt;0.7,"Hausse",IF(N10&lt;0.4,"Baisse","Stable")))</f>
        <v/>
      </c>
      <c r="P10" s="4" t="inlineStr">
        <is>
          <t>Q1 2025</t>
        </is>
      </c>
    </row>
    <row r="11">
      <c r="A11" s="5" t="inlineStr">
        <is>
          <t>Maintenance &amp; Technique</t>
        </is>
      </c>
      <c r="B11" s="5" t="n">
        <v>2</v>
      </c>
      <c r="C11" s="5" t="n">
        <v>0</v>
      </c>
      <c r="D11" s="5" t="n">
        <v>0</v>
      </c>
      <c r="E11" s="5" t="n">
        <v>0</v>
      </c>
      <c r="F11" s="5" t="n">
        <v>0</v>
      </c>
      <c r="G11" s="10">
        <f>IFERROR(C11/B11,0)</f>
        <v/>
      </c>
      <c r="H11" s="10">
        <f>IFERROR(D11/B11,0)</f>
        <v/>
      </c>
      <c r="I11" s="10">
        <f>IFERROR(E11/B11,0)</f>
        <v/>
      </c>
      <c r="J11" s="5" t="n">
        <v>24</v>
      </c>
      <c r="K11" s="5" t="n">
        <v>50</v>
      </c>
      <c r="L11" s="5" t="n">
        <v>78</v>
      </c>
      <c r="M11" s="5" t="n">
        <v>80</v>
      </c>
      <c r="N11" s="12">
        <f>IFERROR((G11*3+H11*2+L11)/6,0)</f>
        <v/>
      </c>
      <c r="O11" s="5">
        <f>IF(N11="","",IF(N11&gt;0.7,"Hausse",IF(N11&lt;0.4,"Baisse","Stable")))</f>
        <v/>
      </c>
      <c r="P11" s="5" t="inlineStr">
        <is>
          <t>Q1 2025</t>
        </is>
      </c>
    </row>
    <row r="12">
      <c r="A12" s="4" t="n"/>
      <c r="B12" s="4" t="n"/>
      <c r="C12" s="4" t="n"/>
      <c r="D12" s="4" t="n"/>
      <c r="E12" s="4" t="n"/>
      <c r="F12" s="4" t="n"/>
      <c r="G12" s="9">
        <f>IFERROR(C12/B12,0)</f>
        <v/>
      </c>
      <c r="H12" s="9">
        <f>IFERROR(D12/B12,0)</f>
        <v/>
      </c>
      <c r="I12" s="9">
        <f>IFERROR(E12/B12,0)</f>
        <v/>
      </c>
      <c r="J12" s="4" t="n"/>
      <c r="K12" s="4" t="n"/>
      <c r="L12" s="4" t="n"/>
      <c r="M12" s="4" t="n"/>
      <c r="N12" s="11">
        <f>IFERROR((G12*3+H12*2+L12)/6,0)</f>
        <v/>
      </c>
      <c r="O12" s="4">
        <f>IF(N12="","",IF(N12&gt;0.7,"Hausse",IF(N12&lt;0.4,"Baisse","Stable")))</f>
        <v/>
      </c>
      <c r="P12" s="4" t="n"/>
    </row>
    <row r="13">
      <c r="A13" s="5" t="n"/>
      <c r="B13" s="5" t="n"/>
      <c r="C13" s="5" t="n"/>
      <c r="D13" s="5" t="n"/>
      <c r="E13" s="5" t="n"/>
      <c r="F13" s="5" t="n"/>
      <c r="G13" s="10">
        <f>IFERROR(C13/B13,0)</f>
        <v/>
      </c>
      <c r="H13" s="10">
        <f>IFERROR(D13/B13,0)</f>
        <v/>
      </c>
      <c r="I13" s="10">
        <f>IFERROR(E13/B13,0)</f>
        <v/>
      </c>
      <c r="J13" s="5" t="n"/>
      <c r="K13" s="5" t="n"/>
      <c r="L13" s="5" t="n"/>
      <c r="M13" s="5" t="n"/>
      <c r="N13" s="12">
        <f>IFERROR((G13*3+H13*2+L13)/6,0)</f>
        <v/>
      </c>
      <c r="O13" s="5">
        <f>IF(N13="","",IF(N13&gt;0.7,"Hausse",IF(N13&lt;0.4,"Baisse","Stable")))</f>
        <v/>
      </c>
      <c r="P13" s="5" t="n"/>
    </row>
    <row r="14">
      <c r="A14" s="4" t="n"/>
      <c r="B14" s="4" t="n"/>
      <c r="C14" s="4" t="n"/>
      <c r="D14" s="4" t="n"/>
      <c r="E14" s="4" t="n"/>
      <c r="F14" s="4" t="n"/>
      <c r="G14" s="9">
        <f>IFERROR(C14/B14,0)</f>
        <v/>
      </c>
      <c r="H14" s="9">
        <f>IFERROR(D14/B14,0)</f>
        <v/>
      </c>
      <c r="I14" s="9">
        <f>IFERROR(E14/B14,0)</f>
        <v/>
      </c>
      <c r="J14" s="4" t="n"/>
      <c r="K14" s="4" t="n"/>
      <c r="L14" s="4" t="n"/>
      <c r="M14" s="4" t="n"/>
      <c r="N14" s="11">
        <f>IFERROR((G14*3+H14*2+L14)/6,0)</f>
        <v/>
      </c>
      <c r="O14" s="4">
        <f>IF(N14="","",IF(N14&gt;0.7,"Hausse",IF(N14&lt;0.4,"Baisse","Stable")))</f>
        <v/>
      </c>
      <c r="P14" s="4" t="n"/>
    </row>
    <row r="15">
      <c r="A15" s="5" t="n"/>
      <c r="B15" s="5" t="n"/>
      <c r="C15" s="5" t="n"/>
      <c r="D15" s="5" t="n"/>
      <c r="E15" s="5" t="n"/>
      <c r="F15" s="5" t="n"/>
      <c r="G15" s="10">
        <f>IFERROR(C15/B15,0)</f>
        <v/>
      </c>
      <c r="H15" s="10">
        <f>IFERROR(D15/B15,0)</f>
        <v/>
      </c>
      <c r="I15" s="10">
        <f>IFERROR(E15/B15,0)</f>
        <v/>
      </c>
      <c r="J15" s="5" t="n"/>
      <c r="K15" s="5" t="n"/>
      <c r="L15" s="5" t="n"/>
      <c r="M15" s="5" t="n"/>
      <c r="N15" s="12">
        <f>IFERROR((G15*3+H15*2+L15)/6,0)</f>
        <v/>
      </c>
      <c r="O15" s="5">
        <f>IF(N15="","",IF(N15&gt;0.7,"Hausse",IF(N15&lt;0.4,"Baisse","Stable")))</f>
        <v/>
      </c>
      <c r="P15" s="5" t="n"/>
    </row>
    <row r="16">
      <c r="A16" s="4" t="n"/>
      <c r="B16" s="4" t="n"/>
      <c r="C16" s="4" t="n"/>
      <c r="D16" s="4" t="n"/>
      <c r="E16" s="4" t="n"/>
      <c r="F16" s="4" t="n"/>
      <c r="G16" s="9">
        <f>IFERROR(C16/B16,0)</f>
        <v/>
      </c>
      <c r="H16" s="9">
        <f>IFERROR(D16/B16,0)</f>
        <v/>
      </c>
      <c r="I16" s="9">
        <f>IFERROR(E16/B16,0)</f>
        <v/>
      </c>
      <c r="J16" s="4" t="n"/>
      <c r="K16" s="4" t="n"/>
      <c r="L16" s="4" t="n"/>
      <c r="M16" s="4" t="n"/>
      <c r="N16" s="11">
        <f>IFERROR((G16*3+H16*2+L16)/6,0)</f>
        <v/>
      </c>
      <c r="O16" s="4">
        <f>IF(N16="","",IF(N16&gt;0.7,"Hausse",IF(N16&lt;0.4,"Baisse","Stable")))</f>
        <v/>
      </c>
      <c r="P16" s="4" t="n"/>
    </row>
    <row r="17">
      <c r="A17" s="5" t="n"/>
      <c r="B17" s="5" t="n"/>
      <c r="C17" s="5" t="n"/>
      <c r="D17" s="5" t="n"/>
      <c r="E17" s="5" t="n"/>
      <c r="F17" s="5" t="n"/>
      <c r="G17" s="10">
        <f>IFERROR(C17/B17,0)</f>
        <v/>
      </c>
      <c r="H17" s="10">
        <f>IFERROR(D17/B17,0)</f>
        <v/>
      </c>
      <c r="I17" s="10">
        <f>IFERROR(E17/B17,0)</f>
        <v/>
      </c>
      <c r="J17" s="5" t="n"/>
      <c r="K17" s="5" t="n"/>
      <c r="L17" s="5" t="n"/>
      <c r="M17" s="5" t="n"/>
      <c r="N17" s="12">
        <f>IFERROR((G17*3+H17*2+L17)/6,0)</f>
        <v/>
      </c>
      <c r="O17" s="5">
        <f>IF(N17="","",IF(N17&gt;0.7,"Hausse",IF(N17&lt;0.4,"Baisse","Stable")))</f>
        <v/>
      </c>
      <c r="P17" s="5" t="n"/>
    </row>
    <row r="18">
      <c r="A18" s="4" t="n"/>
      <c r="B18" s="4" t="n"/>
      <c r="C18" s="4" t="n"/>
      <c r="D18" s="4" t="n"/>
      <c r="E18" s="4" t="n"/>
      <c r="F18" s="4" t="n"/>
      <c r="G18" s="9">
        <f>IFERROR(C18/B18,0)</f>
        <v/>
      </c>
      <c r="H18" s="9">
        <f>IFERROR(D18/B18,0)</f>
        <v/>
      </c>
      <c r="I18" s="9">
        <f>IFERROR(E18/B18,0)</f>
        <v/>
      </c>
      <c r="J18" s="4" t="n"/>
      <c r="K18" s="4" t="n"/>
      <c r="L18" s="4" t="n"/>
      <c r="M18" s="4" t="n"/>
      <c r="N18" s="11">
        <f>IFERROR((G18*3+H18*2+L18)/6,0)</f>
        <v/>
      </c>
      <c r="O18" s="4">
        <f>IF(N18="","",IF(N18&gt;0.7,"Hausse",IF(N18&lt;0.4,"Baisse","Stable")))</f>
        <v/>
      </c>
      <c r="P18" s="4" t="n"/>
    </row>
    <row r="19">
      <c r="A19" s="5" t="n"/>
      <c r="B19" s="5" t="n"/>
      <c r="C19" s="5" t="n"/>
      <c r="D19" s="5" t="n"/>
      <c r="E19" s="5" t="n"/>
      <c r="F19" s="5" t="n"/>
      <c r="G19" s="10">
        <f>IFERROR(C19/B19,0)</f>
        <v/>
      </c>
      <c r="H19" s="10">
        <f>IFERROR(D19/B19,0)</f>
        <v/>
      </c>
      <c r="I19" s="10">
        <f>IFERROR(E19/B19,0)</f>
        <v/>
      </c>
      <c r="J19" s="5" t="n"/>
      <c r="K19" s="5" t="n"/>
      <c r="L19" s="5" t="n"/>
      <c r="M19" s="5" t="n"/>
      <c r="N19" s="12">
        <f>IFERROR((G19*3+H19*2+L19)/6,0)</f>
        <v/>
      </c>
      <c r="O19" s="5">
        <f>IF(N19="","",IF(N19&gt;0.7,"Hausse",IF(N19&lt;0.4,"Baisse","Stable")))</f>
        <v/>
      </c>
      <c r="P19" s="5" t="n"/>
    </row>
    <row r="20">
      <c r="A20" s="4" t="n"/>
      <c r="B20" s="4" t="n"/>
      <c r="C20" s="4" t="n"/>
      <c r="D20" s="4" t="n"/>
      <c r="E20" s="4" t="n"/>
      <c r="F20" s="4" t="n"/>
      <c r="G20" s="9">
        <f>IFERROR(C20/B20,0)</f>
        <v/>
      </c>
      <c r="H20" s="9">
        <f>IFERROR(D20/B20,0)</f>
        <v/>
      </c>
      <c r="I20" s="9">
        <f>IFERROR(E20/B20,0)</f>
        <v/>
      </c>
      <c r="J20" s="4" t="n"/>
      <c r="K20" s="4" t="n"/>
      <c r="L20" s="4" t="n"/>
      <c r="M20" s="4" t="n"/>
      <c r="N20" s="11">
        <f>IFERROR((G20*3+H20*2+L20)/6,0)</f>
        <v/>
      </c>
      <c r="O20" s="4">
        <f>IF(N20="","",IF(N20&gt;0.7,"Hausse",IF(N20&lt;0.4,"Baisse","Stable")))</f>
        <v/>
      </c>
      <c r="P20" s="4" t="n"/>
    </row>
    <row r="21">
      <c r="A21" s="5" t="n"/>
      <c r="B21" s="5" t="n"/>
      <c r="C21" s="5" t="n"/>
      <c r="D21" s="5" t="n"/>
      <c r="E21" s="5" t="n"/>
      <c r="F21" s="5" t="n"/>
      <c r="G21" s="10">
        <f>IFERROR(C21/B21,0)</f>
        <v/>
      </c>
      <c r="H21" s="10">
        <f>IFERROR(D21/B21,0)</f>
        <v/>
      </c>
      <c r="I21" s="10">
        <f>IFERROR(E21/B21,0)</f>
        <v/>
      </c>
      <c r="J21" s="5" t="n"/>
      <c r="K21" s="5" t="n"/>
      <c r="L21" s="5" t="n"/>
      <c r="M21" s="5" t="n"/>
      <c r="N21" s="12">
        <f>IFERROR((G21*3+H21*2+L21)/6,0)</f>
        <v/>
      </c>
      <c r="O21" s="5">
        <f>IF(N21="","",IF(N21&gt;0.7,"Hausse",IF(N21&lt;0.4,"Baisse","Stable")))</f>
        <v/>
      </c>
      <c r="P21" s="5" t="n"/>
    </row>
    <row r="22">
      <c r="A22" s="4" t="n"/>
      <c r="B22" s="4" t="n"/>
      <c r="C22" s="4" t="n"/>
      <c r="D22" s="4" t="n"/>
      <c r="E22" s="4" t="n"/>
      <c r="F22" s="4" t="n"/>
      <c r="G22" s="9">
        <f>IFERROR(C22/B22,0)</f>
        <v/>
      </c>
      <c r="H22" s="9">
        <f>IFERROR(D22/B22,0)</f>
        <v/>
      </c>
      <c r="I22" s="9">
        <f>IFERROR(E22/B22,0)</f>
        <v/>
      </c>
      <c r="J22" s="4" t="n"/>
      <c r="K22" s="4" t="n"/>
      <c r="L22" s="4" t="n"/>
      <c r="M22" s="4" t="n"/>
      <c r="N22" s="11">
        <f>IFERROR((G22*3+H22*2+L22)/6,0)</f>
        <v/>
      </c>
      <c r="O22" s="4">
        <f>IF(N22="","",IF(N22&gt;0.7,"Hausse",IF(N22&lt;0.4,"Baisse","Stable")))</f>
        <v/>
      </c>
      <c r="P22" s="4" t="n"/>
    </row>
    <row r="23">
      <c r="A23" s="5" t="n"/>
      <c r="B23" s="5" t="n"/>
      <c r="C23" s="5" t="n"/>
      <c r="D23" s="5" t="n"/>
      <c r="E23" s="5" t="n"/>
      <c r="F23" s="5" t="n"/>
      <c r="G23" s="10">
        <f>IFERROR(C23/B23,0)</f>
        <v/>
      </c>
      <c r="H23" s="10">
        <f>IFERROR(D23/B23,0)</f>
        <v/>
      </c>
      <c r="I23" s="10">
        <f>IFERROR(E23/B23,0)</f>
        <v/>
      </c>
      <c r="J23" s="5" t="n"/>
      <c r="K23" s="5" t="n"/>
      <c r="L23" s="5" t="n"/>
      <c r="M23" s="5" t="n"/>
      <c r="N23" s="12">
        <f>IFERROR((G23*3+H23*2+L23)/6,0)</f>
        <v/>
      </c>
      <c r="O23" s="5">
        <f>IF(N23="","",IF(N23&gt;0.7,"Hausse",IF(N23&lt;0.4,"Baisse","Stable")))</f>
        <v/>
      </c>
      <c r="P23" s="5" t="n"/>
    </row>
    <row r="24">
      <c r="A24" s="4" t="n"/>
      <c r="B24" s="4" t="n"/>
      <c r="C24" s="4" t="n"/>
      <c r="D24" s="4" t="n"/>
      <c r="E24" s="4" t="n"/>
      <c r="F24" s="4" t="n"/>
      <c r="G24" s="9">
        <f>IFERROR(C24/B24,0)</f>
        <v/>
      </c>
      <c r="H24" s="9">
        <f>IFERROR(D24/B24,0)</f>
        <v/>
      </c>
      <c r="I24" s="9">
        <f>IFERROR(E24/B24,0)</f>
        <v/>
      </c>
      <c r="J24" s="4" t="n"/>
      <c r="K24" s="4" t="n"/>
      <c r="L24" s="4" t="n"/>
      <c r="M24" s="4" t="n"/>
      <c r="N24" s="11">
        <f>IFERROR((G24*3+H24*2+L24)/6,0)</f>
        <v/>
      </c>
      <c r="O24" s="4">
        <f>IF(N24="","",IF(N24&gt;0.7,"Hausse",IF(N24&lt;0.4,"Baisse","Stable")))</f>
        <v/>
      </c>
      <c r="P24" s="4" t="n"/>
    </row>
    <row r="25">
      <c r="A25" s="5" t="n"/>
      <c r="B25" s="5" t="n"/>
      <c r="C25" s="5" t="n"/>
      <c r="D25" s="5" t="n"/>
      <c r="E25" s="5" t="n"/>
      <c r="F25" s="5" t="n"/>
      <c r="G25" s="10">
        <f>IFERROR(C25/B25,0)</f>
        <v/>
      </c>
      <c r="H25" s="10">
        <f>IFERROR(D25/B25,0)</f>
        <v/>
      </c>
      <c r="I25" s="10">
        <f>IFERROR(E25/B25,0)</f>
        <v/>
      </c>
      <c r="J25" s="5" t="n"/>
      <c r="K25" s="5" t="n"/>
      <c r="L25" s="5" t="n"/>
      <c r="M25" s="5" t="n"/>
      <c r="N25" s="12">
        <f>IFERROR((G25*3+H25*2+L25)/6,0)</f>
        <v/>
      </c>
      <c r="O25" s="5">
        <f>IF(N25="","",IF(N25&gt;0.7,"Hausse",IF(N25&lt;0.4,"Baisse","Stable")))</f>
        <v/>
      </c>
      <c r="P25" s="5" t="n"/>
    </row>
    <row r="26">
      <c r="A26" s="4" t="n"/>
      <c r="B26" s="4" t="n"/>
      <c r="C26" s="4" t="n"/>
      <c r="D26" s="4" t="n"/>
      <c r="E26" s="4" t="n"/>
      <c r="F26" s="4" t="n"/>
      <c r="G26" s="9">
        <f>IFERROR(C26/B26,0)</f>
        <v/>
      </c>
      <c r="H26" s="9">
        <f>IFERROR(D26/B26,0)</f>
        <v/>
      </c>
      <c r="I26" s="9">
        <f>IFERROR(E26/B26,0)</f>
        <v/>
      </c>
      <c r="J26" s="4" t="n"/>
      <c r="K26" s="4" t="n"/>
      <c r="L26" s="4" t="n"/>
      <c r="M26" s="4" t="n"/>
      <c r="N26" s="11">
        <f>IFERROR((G26*3+H26*2+L26)/6,0)</f>
        <v/>
      </c>
      <c r="O26" s="4">
        <f>IF(N26="","",IF(N26&gt;0.7,"Hausse",IF(N26&lt;0.4,"Baisse","Stable")))</f>
        <v/>
      </c>
      <c r="P26" s="4" t="n"/>
    </row>
    <row r="27">
      <c r="A27" s="5" t="n"/>
      <c r="B27" s="5" t="n"/>
      <c r="C27" s="5" t="n"/>
      <c r="D27" s="5" t="n"/>
      <c r="E27" s="5" t="n"/>
      <c r="F27" s="5" t="n"/>
      <c r="G27" s="10">
        <f>IFERROR(C27/B27,0)</f>
        <v/>
      </c>
      <c r="H27" s="10">
        <f>IFERROR(D27/B27,0)</f>
        <v/>
      </c>
      <c r="I27" s="10">
        <f>IFERROR(E27/B27,0)</f>
        <v/>
      </c>
      <c r="J27" s="5" t="n"/>
      <c r="K27" s="5" t="n"/>
      <c r="L27" s="5" t="n"/>
      <c r="M27" s="5" t="n"/>
      <c r="N27" s="12">
        <f>IFERROR((G27*3+H27*2+L27)/6,0)</f>
        <v/>
      </c>
      <c r="O27" s="5">
        <f>IF(N27="","",IF(N27&gt;0.7,"Hausse",IF(N27&lt;0.4,"Baisse","Stable")))</f>
        <v/>
      </c>
      <c r="P27" s="5" t="n"/>
    </row>
    <row r="28">
      <c r="A28" s="4" t="n"/>
      <c r="B28" s="4" t="n"/>
      <c r="C28" s="4" t="n"/>
      <c r="D28" s="4" t="n"/>
      <c r="E28" s="4" t="n"/>
      <c r="F28" s="4" t="n"/>
      <c r="G28" s="9">
        <f>IFERROR(C28/B28,0)</f>
        <v/>
      </c>
      <c r="H28" s="9">
        <f>IFERROR(D28/B28,0)</f>
        <v/>
      </c>
      <c r="I28" s="9">
        <f>IFERROR(E28/B28,0)</f>
        <v/>
      </c>
      <c r="J28" s="4" t="n"/>
      <c r="K28" s="4" t="n"/>
      <c r="L28" s="4" t="n"/>
      <c r="M28" s="4" t="n"/>
      <c r="N28" s="11">
        <f>IFERROR((G28*3+H28*2+L28)/6,0)</f>
        <v/>
      </c>
      <c r="O28" s="4">
        <f>IF(N28="","",IF(N28&gt;0.7,"Hausse",IF(N28&lt;0.4,"Baisse","Stable")))</f>
        <v/>
      </c>
      <c r="P28" s="4" t="n"/>
    </row>
    <row r="29">
      <c r="A29" s="5" t="n"/>
      <c r="B29" s="5" t="n"/>
      <c r="C29" s="5" t="n"/>
      <c r="D29" s="5" t="n"/>
      <c r="E29" s="5" t="n"/>
      <c r="F29" s="5" t="n"/>
      <c r="G29" s="10">
        <f>IFERROR(C29/B29,0)</f>
        <v/>
      </c>
      <c r="H29" s="10">
        <f>IFERROR(D29/B29,0)</f>
        <v/>
      </c>
      <c r="I29" s="10">
        <f>IFERROR(E29/B29,0)</f>
        <v/>
      </c>
      <c r="J29" s="5" t="n"/>
      <c r="K29" s="5" t="n"/>
      <c r="L29" s="5" t="n"/>
      <c r="M29" s="5" t="n"/>
      <c r="N29" s="12">
        <f>IFERROR((G29*3+H29*2+L29)/6,0)</f>
        <v/>
      </c>
      <c r="O29" s="5">
        <f>IF(N29="","",IF(N29&gt;0.7,"Hausse",IF(N29&lt;0.4,"Baisse","Stable")))</f>
        <v/>
      </c>
      <c r="P29" s="5" t="n"/>
    </row>
    <row r="30">
      <c r="A30" s="4" t="n"/>
      <c r="B30" s="4" t="n"/>
      <c r="C30" s="4" t="n"/>
      <c r="D30" s="4" t="n"/>
      <c r="E30" s="4" t="n"/>
      <c r="F30" s="4" t="n"/>
      <c r="G30" s="9">
        <f>IFERROR(C30/B30,0)</f>
        <v/>
      </c>
      <c r="H30" s="9">
        <f>IFERROR(D30/B30,0)</f>
        <v/>
      </c>
      <c r="I30" s="9">
        <f>IFERROR(E30/B30,0)</f>
        <v/>
      </c>
      <c r="J30" s="4" t="n"/>
      <c r="K30" s="4" t="n"/>
      <c r="L30" s="4" t="n"/>
      <c r="M30" s="4" t="n"/>
      <c r="N30" s="11">
        <f>IFERROR((G30*3+H30*2+L30)/6,0)</f>
        <v/>
      </c>
      <c r="O30" s="4">
        <f>IF(N30="","",IF(N30&gt;0.7,"Hausse",IF(N30&lt;0.4,"Baisse","Stable")))</f>
        <v/>
      </c>
      <c r="P30" s="4" t="n"/>
    </row>
    <row r="31">
      <c r="A31" s="5" t="n"/>
      <c r="B31" s="5" t="n"/>
      <c r="C31" s="5" t="n"/>
      <c r="D31" s="5" t="n"/>
      <c r="E31" s="5" t="n"/>
      <c r="F31" s="5" t="n"/>
      <c r="G31" s="10">
        <f>IFERROR(C31/B31,0)</f>
        <v/>
      </c>
      <c r="H31" s="10">
        <f>IFERROR(D31/B31,0)</f>
        <v/>
      </c>
      <c r="I31" s="10">
        <f>IFERROR(E31/B31,0)</f>
        <v/>
      </c>
      <c r="J31" s="5" t="n"/>
      <c r="K31" s="5" t="n"/>
      <c r="L31" s="5" t="n"/>
      <c r="M31" s="5" t="n"/>
      <c r="N31" s="12">
        <f>IFERROR((G31*3+H31*2+L31)/6,0)</f>
        <v/>
      </c>
      <c r="O31" s="5">
        <f>IF(N31="","",IF(N31&gt;0.7,"Hausse",IF(N31&lt;0.4,"Baisse","Stable")))</f>
        <v/>
      </c>
      <c r="P31" s="5" t="n"/>
    </row>
    <row r="32">
      <c r="A32" s="4" t="n"/>
      <c r="B32" s="4" t="n"/>
      <c r="C32" s="4" t="n"/>
      <c r="D32" s="4" t="n"/>
      <c r="E32" s="4" t="n"/>
      <c r="F32" s="4" t="n"/>
      <c r="G32" s="9">
        <f>IFERROR(C32/B32,0)</f>
        <v/>
      </c>
      <c r="H32" s="9">
        <f>IFERROR(D32/B32,0)</f>
        <v/>
      </c>
      <c r="I32" s="9">
        <f>IFERROR(E32/B32,0)</f>
        <v/>
      </c>
      <c r="J32" s="4" t="n"/>
      <c r="K32" s="4" t="n"/>
      <c r="L32" s="4" t="n"/>
      <c r="M32" s="4" t="n"/>
      <c r="N32" s="11">
        <f>IFERROR((G32*3+H32*2+L32)/6,0)</f>
        <v/>
      </c>
      <c r="O32" s="4">
        <f>IF(N32="","",IF(N32&gt;0.7,"Hausse",IF(N32&lt;0.4,"Baisse","Stable")))</f>
        <v/>
      </c>
      <c r="P32" s="4" t="n"/>
    </row>
    <row r="33">
      <c r="A33" s="5" t="n"/>
      <c r="B33" s="5" t="n"/>
      <c r="C33" s="5" t="n"/>
      <c r="D33" s="5" t="n"/>
      <c r="E33" s="5" t="n"/>
      <c r="F33" s="5" t="n"/>
      <c r="G33" s="10">
        <f>IFERROR(C33/B33,0)</f>
        <v/>
      </c>
      <c r="H33" s="10">
        <f>IFERROR(D33/B33,0)</f>
        <v/>
      </c>
      <c r="I33" s="10">
        <f>IFERROR(E33/B33,0)</f>
        <v/>
      </c>
      <c r="J33" s="5" t="n"/>
      <c r="K33" s="5" t="n"/>
      <c r="L33" s="5" t="n"/>
      <c r="M33" s="5" t="n"/>
      <c r="N33" s="12">
        <f>IFERROR((G33*3+H33*2+L33)/6,0)</f>
        <v/>
      </c>
      <c r="O33" s="5">
        <f>IF(N33="","",IF(N33&gt;0.7,"Hausse",IF(N33&lt;0.4,"Baisse","Stable")))</f>
        <v/>
      </c>
      <c r="P33" s="5" t="n"/>
    </row>
    <row r="34">
      <c r="A34" s="4" t="n"/>
      <c r="B34" s="4" t="n"/>
      <c r="C34" s="4" t="n"/>
      <c r="D34" s="4" t="n"/>
      <c r="E34" s="4" t="n"/>
      <c r="F34" s="4" t="n"/>
      <c r="G34" s="9">
        <f>IFERROR(C34/B34,0)</f>
        <v/>
      </c>
      <c r="H34" s="9">
        <f>IFERROR(D34/B34,0)</f>
        <v/>
      </c>
      <c r="I34" s="9">
        <f>IFERROR(E34/B34,0)</f>
        <v/>
      </c>
      <c r="J34" s="4" t="n"/>
      <c r="K34" s="4" t="n"/>
      <c r="L34" s="4" t="n"/>
      <c r="M34" s="4" t="n"/>
      <c r="N34" s="11">
        <f>IFERROR((G34*3+H34*2+L34)/6,0)</f>
        <v/>
      </c>
      <c r="O34" s="4">
        <f>IF(N34="","",IF(N34&gt;0.7,"Hausse",IF(N34&lt;0.4,"Baisse","Stable")))</f>
        <v/>
      </c>
      <c r="P34" s="4" t="n"/>
    </row>
    <row r="35">
      <c r="A35" s="5" t="n"/>
      <c r="B35" s="5" t="n"/>
      <c r="C35" s="5" t="n"/>
      <c r="D35" s="5" t="n"/>
      <c r="E35" s="5" t="n"/>
      <c r="F35" s="5" t="n"/>
      <c r="G35" s="10">
        <f>IFERROR(C35/B35,0)</f>
        <v/>
      </c>
      <c r="H35" s="10">
        <f>IFERROR(D35/B35,0)</f>
        <v/>
      </c>
      <c r="I35" s="10">
        <f>IFERROR(E35/B35,0)</f>
        <v/>
      </c>
      <c r="J35" s="5" t="n"/>
      <c r="K35" s="5" t="n"/>
      <c r="L35" s="5" t="n"/>
      <c r="M35" s="5" t="n"/>
      <c r="N35" s="12">
        <f>IFERROR((G35*3+H35*2+L35)/6,0)</f>
        <v/>
      </c>
      <c r="O35" s="5">
        <f>IF(N35="","",IF(N35&gt;0.7,"Hausse",IF(N35&lt;0.4,"Baisse","Stable")))</f>
        <v/>
      </c>
      <c r="P35" s="5" t="n"/>
    </row>
    <row r="36">
      <c r="A36" s="4" t="n"/>
      <c r="B36" s="4" t="n"/>
      <c r="C36" s="4" t="n"/>
      <c r="D36" s="4" t="n"/>
      <c r="E36" s="4" t="n"/>
      <c r="F36" s="4" t="n"/>
      <c r="G36" s="9">
        <f>IFERROR(C36/B36,0)</f>
        <v/>
      </c>
      <c r="H36" s="9">
        <f>IFERROR(D36/B36,0)</f>
        <v/>
      </c>
      <c r="I36" s="9">
        <f>IFERROR(E36/B36,0)</f>
        <v/>
      </c>
      <c r="J36" s="4" t="n"/>
      <c r="K36" s="4" t="n"/>
      <c r="L36" s="4" t="n"/>
      <c r="M36" s="4" t="n"/>
      <c r="N36" s="11">
        <f>IFERROR((G36*3+H36*2+L36)/6,0)</f>
        <v/>
      </c>
      <c r="O36" s="4">
        <f>IF(N36="","",IF(N36&gt;0.7,"Hausse",IF(N36&lt;0.4,"Baisse","Stable")))</f>
        <v/>
      </c>
      <c r="P36" s="4" t="n"/>
    </row>
    <row r="37">
      <c r="A37" s="5" t="n"/>
      <c r="B37" s="5" t="n"/>
      <c r="C37" s="5" t="n"/>
      <c r="D37" s="5" t="n"/>
      <c r="E37" s="5" t="n"/>
      <c r="F37" s="5" t="n"/>
      <c r="G37" s="10">
        <f>IFERROR(C37/B37,0)</f>
        <v/>
      </c>
      <c r="H37" s="10">
        <f>IFERROR(D37/B37,0)</f>
        <v/>
      </c>
      <c r="I37" s="10">
        <f>IFERROR(E37/B37,0)</f>
        <v/>
      </c>
      <c r="J37" s="5" t="n"/>
      <c r="K37" s="5" t="n"/>
      <c r="L37" s="5" t="n"/>
      <c r="M37" s="5" t="n"/>
      <c r="N37" s="12">
        <f>IFERROR((G37*3+H37*2+L37)/6,0)</f>
        <v/>
      </c>
      <c r="O37" s="5">
        <f>IF(N37="","",IF(N37&gt;0.7,"Hausse",IF(N37&lt;0.4,"Baisse","Stable")))</f>
        <v/>
      </c>
      <c r="P37" s="5" t="n"/>
    </row>
    <row r="38">
      <c r="A38" s="4" t="n"/>
      <c r="B38" s="4" t="n"/>
      <c r="C38" s="4" t="n"/>
      <c r="D38" s="4" t="n"/>
      <c r="E38" s="4" t="n"/>
      <c r="F38" s="4" t="n"/>
      <c r="G38" s="9">
        <f>IFERROR(C38/B38,0)</f>
        <v/>
      </c>
      <c r="H38" s="9">
        <f>IFERROR(D38/B38,0)</f>
        <v/>
      </c>
      <c r="I38" s="9">
        <f>IFERROR(E38/B38,0)</f>
        <v/>
      </c>
      <c r="J38" s="4" t="n"/>
      <c r="K38" s="4" t="n"/>
      <c r="L38" s="4" t="n"/>
      <c r="M38" s="4" t="n"/>
      <c r="N38" s="11">
        <f>IFERROR((G38*3+H38*2+L38)/6,0)</f>
        <v/>
      </c>
      <c r="O38" s="4">
        <f>IF(N38="","",IF(N38&gt;0.7,"Hausse",IF(N38&lt;0.4,"Baisse","Stable")))</f>
        <v/>
      </c>
      <c r="P38" s="4" t="n"/>
    </row>
    <row r="39">
      <c r="A39" s="5" t="n"/>
      <c r="B39" s="5" t="n"/>
      <c r="C39" s="5" t="n"/>
      <c r="D39" s="5" t="n"/>
      <c r="E39" s="5" t="n"/>
      <c r="F39" s="5" t="n"/>
      <c r="G39" s="10">
        <f>IFERROR(C39/B39,0)</f>
        <v/>
      </c>
      <c r="H39" s="10">
        <f>IFERROR(D39/B39,0)</f>
        <v/>
      </c>
      <c r="I39" s="10">
        <f>IFERROR(E39/B39,0)</f>
        <v/>
      </c>
      <c r="J39" s="5" t="n"/>
      <c r="K39" s="5" t="n"/>
      <c r="L39" s="5" t="n"/>
      <c r="M39" s="5" t="n"/>
      <c r="N39" s="12">
        <f>IFERROR((G39*3+H39*2+L39)/6,0)</f>
        <v/>
      </c>
      <c r="O39" s="5">
        <f>IF(N39="","",IF(N39&gt;0.7,"Hausse",IF(N39&lt;0.4,"Baisse","Stable")))</f>
        <v/>
      </c>
      <c r="P39" s="5" t="n"/>
    </row>
    <row r="40">
      <c r="A40" s="4" t="n"/>
      <c r="B40" s="4" t="n"/>
      <c r="C40" s="4" t="n"/>
      <c r="D40" s="4" t="n"/>
      <c r="E40" s="4" t="n"/>
      <c r="F40" s="4" t="n"/>
      <c r="G40" s="9">
        <f>IFERROR(C40/B40,0)</f>
        <v/>
      </c>
      <c r="H40" s="9">
        <f>IFERROR(D40/B40,0)</f>
        <v/>
      </c>
      <c r="I40" s="9">
        <f>IFERROR(E40/B40,0)</f>
        <v/>
      </c>
      <c r="J40" s="4" t="n"/>
      <c r="K40" s="4" t="n"/>
      <c r="L40" s="4" t="n"/>
      <c r="M40" s="4" t="n"/>
      <c r="N40" s="11">
        <f>IFERROR((G40*3+H40*2+L40)/6,0)</f>
        <v/>
      </c>
      <c r="O40" s="4">
        <f>IF(N40="","",IF(N40&gt;0.7,"Hausse",IF(N40&lt;0.4,"Baisse","Stable")))</f>
        <v/>
      </c>
      <c r="P40" s="4" t="n"/>
    </row>
    <row r="41">
      <c r="A41" s="5" t="n"/>
      <c r="B41" s="5" t="n"/>
      <c r="C41" s="5" t="n"/>
      <c r="D41" s="5" t="n"/>
      <c r="E41" s="5" t="n"/>
      <c r="F41" s="5" t="n"/>
      <c r="G41" s="10">
        <f>IFERROR(C41/B41,0)</f>
        <v/>
      </c>
      <c r="H41" s="10">
        <f>IFERROR(D41/B41,0)</f>
        <v/>
      </c>
      <c r="I41" s="10">
        <f>IFERROR(E41/B41,0)</f>
        <v/>
      </c>
      <c r="J41" s="5" t="n"/>
      <c r="K41" s="5" t="n"/>
      <c r="L41" s="5" t="n"/>
      <c r="M41" s="5" t="n"/>
      <c r="N41" s="12">
        <f>IFERROR((G41*3+H41*2+L41)/6,0)</f>
        <v/>
      </c>
      <c r="O41" s="5">
        <f>IF(N41="","",IF(N41&gt;0.7,"Hausse",IF(N41&lt;0.4,"Baisse","Stable")))</f>
        <v/>
      </c>
      <c r="P41" s="5" t="n"/>
    </row>
    <row r="42">
      <c r="A42" s="4" t="n"/>
      <c r="B42" s="4" t="n"/>
      <c r="C42" s="4" t="n"/>
      <c r="D42" s="4" t="n"/>
      <c r="E42" s="4" t="n"/>
      <c r="F42" s="4" t="n"/>
      <c r="G42" s="9">
        <f>IFERROR(C42/B42,0)</f>
        <v/>
      </c>
      <c r="H42" s="9">
        <f>IFERROR(D42/B42,0)</f>
        <v/>
      </c>
      <c r="I42" s="9">
        <f>IFERROR(E42/B42,0)</f>
        <v/>
      </c>
      <c r="J42" s="4" t="n"/>
      <c r="K42" s="4" t="n"/>
      <c r="L42" s="4" t="n"/>
      <c r="M42" s="4" t="n"/>
      <c r="N42" s="11">
        <f>IFERROR((G42*3+H42*2+L42)/6,0)</f>
        <v/>
      </c>
      <c r="O42" s="4">
        <f>IF(N42="","",IF(N42&gt;0.7,"Hausse",IF(N42&lt;0.4,"Baisse","Stable")))</f>
        <v/>
      </c>
      <c r="P42" s="4" t="n"/>
    </row>
    <row r="43">
      <c r="A43" s="5" t="n"/>
      <c r="B43" s="5" t="n"/>
      <c r="C43" s="5" t="n"/>
      <c r="D43" s="5" t="n"/>
      <c r="E43" s="5" t="n"/>
      <c r="F43" s="5" t="n"/>
      <c r="G43" s="10">
        <f>IFERROR(C43/B43,0)</f>
        <v/>
      </c>
      <c r="H43" s="10">
        <f>IFERROR(D43/B43,0)</f>
        <v/>
      </c>
      <c r="I43" s="10">
        <f>IFERROR(E43/B43,0)</f>
        <v/>
      </c>
      <c r="J43" s="5" t="n"/>
      <c r="K43" s="5" t="n"/>
      <c r="L43" s="5" t="n"/>
      <c r="M43" s="5" t="n"/>
      <c r="N43" s="12">
        <f>IFERROR((G43*3+H43*2+L43)/6,0)</f>
        <v/>
      </c>
      <c r="O43" s="5">
        <f>IF(N43="","",IF(N43&gt;0.7,"Hausse",IF(N43&lt;0.4,"Baisse","Stable")))</f>
        <v/>
      </c>
      <c r="P43" s="5" t="n"/>
    </row>
    <row r="44">
      <c r="A44" s="4" t="n"/>
      <c r="B44" s="4" t="n"/>
      <c r="C44" s="4" t="n"/>
      <c r="D44" s="4" t="n"/>
      <c r="E44" s="4" t="n"/>
      <c r="F44" s="4" t="n"/>
      <c r="G44" s="9">
        <f>IFERROR(C44/B44,0)</f>
        <v/>
      </c>
      <c r="H44" s="9">
        <f>IFERROR(D44/B44,0)</f>
        <v/>
      </c>
      <c r="I44" s="9">
        <f>IFERROR(E44/B44,0)</f>
        <v/>
      </c>
      <c r="J44" s="4" t="n"/>
      <c r="K44" s="4" t="n"/>
      <c r="L44" s="4" t="n"/>
      <c r="M44" s="4" t="n"/>
      <c r="N44" s="11">
        <f>IFERROR((G44*3+H44*2+L44)/6,0)</f>
        <v/>
      </c>
      <c r="O44" s="4">
        <f>IF(N44="","",IF(N44&gt;0.7,"Hausse",IF(N44&lt;0.4,"Baisse","Stable")))</f>
        <v/>
      </c>
      <c r="P44" s="4" t="n"/>
    </row>
    <row r="45">
      <c r="A45" s="5" t="n"/>
      <c r="B45" s="5" t="n"/>
      <c r="C45" s="5" t="n"/>
      <c r="D45" s="5" t="n"/>
      <c r="E45" s="5" t="n"/>
      <c r="F45" s="5" t="n"/>
      <c r="G45" s="10">
        <f>IFERROR(C45/B45,0)</f>
        <v/>
      </c>
      <c r="H45" s="10">
        <f>IFERROR(D45/B45,0)</f>
        <v/>
      </c>
      <c r="I45" s="10">
        <f>IFERROR(E45/B45,0)</f>
        <v/>
      </c>
      <c r="J45" s="5" t="n"/>
      <c r="K45" s="5" t="n"/>
      <c r="L45" s="5" t="n"/>
      <c r="M45" s="5" t="n"/>
      <c r="N45" s="12">
        <f>IFERROR((G45*3+H45*2+L45)/6,0)</f>
        <v/>
      </c>
      <c r="O45" s="5">
        <f>IF(N45="","",IF(N45&gt;0.7,"Hausse",IF(N45&lt;0.4,"Baisse","Stable")))</f>
        <v/>
      </c>
      <c r="P45" s="5" t="n"/>
    </row>
    <row r="46">
      <c r="A46" s="4" t="n"/>
      <c r="B46" s="4" t="n"/>
      <c r="C46" s="4" t="n"/>
      <c r="D46" s="4" t="n"/>
      <c r="E46" s="4" t="n"/>
      <c r="F46" s="4" t="n"/>
      <c r="G46" s="9">
        <f>IFERROR(C46/B46,0)</f>
        <v/>
      </c>
      <c r="H46" s="9">
        <f>IFERROR(D46/B46,0)</f>
        <v/>
      </c>
      <c r="I46" s="9">
        <f>IFERROR(E46/B46,0)</f>
        <v/>
      </c>
      <c r="J46" s="4" t="n"/>
      <c r="K46" s="4" t="n"/>
      <c r="L46" s="4" t="n"/>
      <c r="M46" s="4" t="n"/>
      <c r="N46" s="11">
        <f>IFERROR((G46*3+H46*2+L46)/6,0)</f>
        <v/>
      </c>
      <c r="O46" s="4">
        <f>IF(N46="","",IF(N46&gt;0.7,"Hausse",IF(N46&lt;0.4,"Baisse","Stable")))</f>
        <v/>
      </c>
      <c r="P46" s="4" t="n"/>
    </row>
    <row r="47">
      <c r="A47" s="5" t="n"/>
      <c r="B47" s="5" t="n"/>
      <c r="C47" s="5" t="n"/>
      <c r="D47" s="5" t="n"/>
      <c r="E47" s="5" t="n"/>
      <c r="F47" s="5" t="n"/>
      <c r="G47" s="10">
        <f>IFERROR(C47/B47,0)</f>
        <v/>
      </c>
      <c r="H47" s="10">
        <f>IFERROR(D47/B47,0)</f>
        <v/>
      </c>
      <c r="I47" s="10">
        <f>IFERROR(E47/B47,0)</f>
        <v/>
      </c>
      <c r="J47" s="5" t="n"/>
      <c r="K47" s="5" t="n"/>
      <c r="L47" s="5" t="n"/>
      <c r="M47" s="5" t="n"/>
      <c r="N47" s="12">
        <f>IFERROR((G47*3+H47*2+L47)/6,0)</f>
        <v/>
      </c>
      <c r="O47" s="5">
        <f>IF(N47="","",IF(N47&gt;0.7,"Hausse",IF(N47&lt;0.4,"Baisse","Stable")))</f>
        <v/>
      </c>
      <c r="P47" s="5" t="n"/>
    </row>
    <row r="48">
      <c r="A48" s="4" t="n"/>
      <c r="B48" s="4" t="n"/>
      <c r="C48" s="4" t="n"/>
      <c r="D48" s="4" t="n"/>
      <c r="E48" s="4" t="n"/>
      <c r="F48" s="4" t="n"/>
      <c r="G48" s="9">
        <f>IFERROR(C48/B48,0)</f>
        <v/>
      </c>
      <c r="H48" s="9">
        <f>IFERROR(D48/B48,0)</f>
        <v/>
      </c>
      <c r="I48" s="9">
        <f>IFERROR(E48/B48,0)</f>
        <v/>
      </c>
      <c r="J48" s="4" t="n"/>
      <c r="K48" s="4" t="n"/>
      <c r="L48" s="4" t="n"/>
      <c r="M48" s="4" t="n"/>
      <c r="N48" s="11">
        <f>IFERROR((G48*3+H48*2+L48)/6,0)</f>
        <v/>
      </c>
      <c r="O48" s="4">
        <f>IF(N48="","",IF(N48&gt;0.7,"Hausse",IF(N48&lt;0.4,"Baisse","Stable")))</f>
        <v/>
      </c>
      <c r="P48" s="4" t="n"/>
    </row>
    <row r="49">
      <c r="A49" s="5" t="n"/>
      <c r="B49" s="5" t="n"/>
      <c r="C49" s="5" t="n"/>
      <c r="D49" s="5" t="n"/>
      <c r="E49" s="5" t="n"/>
      <c r="F49" s="5" t="n"/>
      <c r="G49" s="10">
        <f>IFERROR(C49/B49,0)</f>
        <v/>
      </c>
      <c r="H49" s="10">
        <f>IFERROR(D49/B49,0)</f>
        <v/>
      </c>
      <c r="I49" s="10">
        <f>IFERROR(E49/B49,0)</f>
        <v/>
      </c>
      <c r="J49" s="5" t="n"/>
      <c r="K49" s="5" t="n"/>
      <c r="L49" s="5" t="n"/>
      <c r="M49" s="5" t="n"/>
      <c r="N49" s="12">
        <f>IFERROR((G49*3+H49*2+L49)/6,0)</f>
        <v/>
      </c>
      <c r="O49" s="5">
        <f>IF(N49="","",IF(N49&gt;0.7,"Hausse",IF(N49&lt;0.4,"Baisse","Stable")))</f>
        <v/>
      </c>
      <c r="P49" s="5" t="n"/>
    </row>
    <row r="50">
      <c r="A50" s="4" t="n"/>
      <c r="B50" s="4" t="n"/>
      <c r="C50" s="4" t="n"/>
      <c r="D50" s="4" t="n"/>
      <c r="E50" s="4" t="n"/>
      <c r="F50" s="4" t="n"/>
      <c r="G50" s="9">
        <f>IFERROR(C50/B50,0)</f>
        <v/>
      </c>
      <c r="H50" s="9">
        <f>IFERROR(D50/B50,0)</f>
        <v/>
      </c>
      <c r="I50" s="9">
        <f>IFERROR(E50/B50,0)</f>
        <v/>
      </c>
      <c r="J50" s="4" t="n"/>
      <c r="K50" s="4" t="n"/>
      <c r="L50" s="4" t="n"/>
      <c r="M50" s="4" t="n"/>
      <c r="N50" s="11">
        <f>IFERROR((G50*3+H50*2+L50)/6,0)</f>
        <v/>
      </c>
      <c r="O50" s="4">
        <f>IF(N50="","",IF(N50&gt;0.7,"Hausse",IF(N50&lt;0.4,"Baisse","Stable")))</f>
        <v/>
      </c>
      <c r="P50" s="4" t="n"/>
    </row>
    <row r="51">
      <c r="A51" s="5" t="n"/>
      <c r="B51" s="5" t="n"/>
      <c r="C51" s="5" t="n"/>
      <c r="D51" s="5" t="n"/>
      <c r="E51" s="5" t="n"/>
      <c r="F51" s="5" t="n"/>
      <c r="G51" s="10">
        <f>IFERROR(C51/B51,0)</f>
        <v/>
      </c>
      <c r="H51" s="10">
        <f>IFERROR(D51/B51,0)</f>
        <v/>
      </c>
      <c r="I51" s="10">
        <f>IFERROR(E51/B51,0)</f>
        <v/>
      </c>
      <c r="J51" s="5" t="n"/>
      <c r="K51" s="5" t="n"/>
      <c r="L51" s="5" t="n"/>
      <c r="M51" s="5" t="n"/>
      <c r="N51" s="12">
        <f>IFERROR((G51*3+H51*2+L51)/6,0)</f>
        <v/>
      </c>
      <c r="O51" s="5">
        <f>IF(N51="","",IF(N51&gt;0.7,"Hausse",IF(N51&lt;0.4,"Baisse","Stable")))</f>
        <v/>
      </c>
      <c r="P51" s="5" t="n"/>
    </row>
    <row r="52">
      <c r="A52" s="4" t="n"/>
      <c r="B52" s="4" t="n"/>
      <c r="C52" s="4" t="n"/>
      <c r="D52" s="4" t="n"/>
      <c r="E52" s="4" t="n"/>
      <c r="F52" s="4" t="n"/>
      <c r="G52" s="9">
        <f>IFERROR(C52/B52,0)</f>
        <v/>
      </c>
      <c r="H52" s="9">
        <f>IFERROR(D52/B52,0)</f>
        <v/>
      </c>
      <c r="I52" s="9">
        <f>IFERROR(E52/B52,0)</f>
        <v/>
      </c>
      <c r="J52" s="4" t="n"/>
      <c r="K52" s="4" t="n"/>
      <c r="L52" s="4" t="n"/>
      <c r="M52" s="4" t="n"/>
      <c r="N52" s="11">
        <f>IFERROR((G52*3+H52*2+L52)/6,0)</f>
        <v/>
      </c>
      <c r="O52" s="4">
        <f>IF(N52="","",IF(N52&gt;0.7,"Hausse",IF(N52&lt;0.4,"Baisse","Stable")))</f>
        <v/>
      </c>
      <c r="P52" s="4" t="n"/>
    </row>
    <row r="53">
      <c r="A53" s="5" t="n"/>
      <c r="B53" s="5" t="n"/>
      <c r="C53" s="5" t="n"/>
      <c r="D53" s="5" t="n"/>
      <c r="E53" s="5" t="n"/>
      <c r="F53" s="5" t="n"/>
      <c r="G53" s="10">
        <f>IFERROR(C53/B53,0)</f>
        <v/>
      </c>
      <c r="H53" s="10">
        <f>IFERROR(D53/B53,0)</f>
        <v/>
      </c>
      <c r="I53" s="10">
        <f>IFERROR(E53/B53,0)</f>
        <v/>
      </c>
      <c r="J53" s="5" t="n"/>
      <c r="K53" s="5" t="n"/>
      <c r="L53" s="5" t="n"/>
      <c r="M53" s="5" t="n"/>
      <c r="N53" s="12">
        <f>IFERROR((G53*3+H53*2+L53)/6,0)</f>
        <v/>
      </c>
      <c r="O53" s="5">
        <f>IF(N53="","",IF(N53&gt;0.7,"Hausse",IF(N53&lt;0.4,"Baisse","Stable")))</f>
        <v/>
      </c>
      <c r="P53" s="5" t="n"/>
    </row>
    <row r="54">
      <c r="A54" s="4" t="n"/>
      <c r="B54" s="4" t="n"/>
      <c r="C54" s="4" t="n"/>
      <c r="D54" s="4" t="n"/>
      <c r="E54" s="4" t="n"/>
      <c r="F54" s="4" t="n"/>
      <c r="G54" s="9">
        <f>IFERROR(C54/B54,0)</f>
        <v/>
      </c>
      <c r="H54" s="9">
        <f>IFERROR(D54/B54,0)</f>
        <v/>
      </c>
      <c r="I54" s="9">
        <f>IFERROR(E54/B54,0)</f>
        <v/>
      </c>
      <c r="J54" s="4" t="n"/>
      <c r="K54" s="4" t="n"/>
      <c r="L54" s="4" t="n"/>
      <c r="M54" s="4" t="n"/>
      <c r="N54" s="11">
        <f>IFERROR((G54*3+H54*2+L54)/6,0)</f>
        <v/>
      </c>
      <c r="O54" s="4">
        <f>IF(N54="","",IF(N54&gt;0.7,"Hausse",IF(N54&lt;0.4,"Baisse","Stable")))</f>
        <v/>
      </c>
      <c r="P54" s="4" t="n"/>
    </row>
    <row r="55">
      <c r="A55" s="5" t="n"/>
      <c r="B55" s="5" t="n"/>
      <c r="C55" s="5" t="n"/>
      <c r="D55" s="5" t="n"/>
      <c r="E55" s="5" t="n"/>
      <c r="F55" s="5" t="n"/>
      <c r="G55" s="10">
        <f>IFERROR(C55/B55,0)</f>
        <v/>
      </c>
      <c r="H55" s="10">
        <f>IFERROR(D55/B55,0)</f>
        <v/>
      </c>
      <c r="I55" s="10">
        <f>IFERROR(E55/B55,0)</f>
        <v/>
      </c>
      <c r="J55" s="5" t="n"/>
      <c r="K55" s="5" t="n"/>
      <c r="L55" s="5" t="n"/>
      <c r="M55" s="5" t="n"/>
      <c r="N55" s="12">
        <f>IFERROR((G55*3+H55*2+L55)/6,0)</f>
        <v/>
      </c>
      <c r="O55" s="5">
        <f>IF(N55="","",IF(N55&gt;0.7,"Hausse",IF(N55&lt;0.4,"Baisse","Stable")))</f>
        <v/>
      </c>
      <c r="P55" s="5" t="n"/>
    </row>
    <row r="56">
      <c r="A56" s="4" t="n"/>
      <c r="B56" s="4" t="n"/>
      <c r="C56" s="4" t="n"/>
      <c r="D56" s="4" t="n"/>
      <c r="E56" s="4" t="n"/>
      <c r="F56" s="4" t="n"/>
      <c r="G56" s="9">
        <f>IFERROR(C56/B56,0)</f>
        <v/>
      </c>
      <c r="H56" s="9">
        <f>IFERROR(D56/B56,0)</f>
        <v/>
      </c>
      <c r="I56" s="9">
        <f>IFERROR(E56/B56,0)</f>
        <v/>
      </c>
      <c r="J56" s="4" t="n"/>
      <c r="K56" s="4" t="n"/>
      <c r="L56" s="4" t="n"/>
      <c r="M56" s="4" t="n"/>
      <c r="N56" s="11">
        <f>IFERROR((G56*3+H56*2+L56)/6,0)</f>
        <v/>
      </c>
      <c r="O56" s="4">
        <f>IF(N56="","",IF(N56&gt;0.7,"Hausse",IF(N56&lt;0.4,"Baisse","Stable")))</f>
        <v/>
      </c>
      <c r="P56" s="4" t="n"/>
    </row>
    <row r="57">
      <c r="A57" s="5" t="n"/>
      <c r="B57" s="5" t="n"/>
      <c r="C57" s="5" t="n"/>
      <c r="D57" s="5" t="n"/>
      <c r="E57" s="5" t="n"/>
      <c r="F57" s="5" t="n"/>
      <c r="G57" s="10">
        <f>IFERROR(C57/B57,0)</f>
        <v/>
      </c>
      <c r="H57" s="10">
        <f>IFERROR(D57/B57,0)</f>
        <v/>
      </c>
      <c r="I57" s="10">
        <f>IFERROR(E57/B57,0)</f>
        <v/>
      </c>
      <c r="J57" s="5" t="n"/>
      <c r="K57" s="5" t="n"/>
      <c r="L57" s="5" t="n"/>
      <c r="M57" s="5" t="n"/>
      <c r="N57" s="12">
        <f>IFERROR((G57*3+H57*2+L57)/6,0)</f>
        <v/>
      </c>
      <c r="O57" s="5">
        <f>IF(N57="","",IF(N57&gt;0.7,"Hausse",IF(N57&lt;0.4,"Baisse","Stable")))</f>
        <v/>
      </c>
      <c r="P57" s="5" t="n"/>
    </row>
    <row r="58">
      <c r="A58" s="4" t="n"/>
      <c r="B58" s="4" t="n"/>
      <c r="C58" s="4" t="n"/>
      <c r="D58" s="4" t="n"/>
      <c r="E58" s="4" t="n"/>
      <c r="F58" s="4" t="n"/>
      <c r="G58" s="9">
        <f>IFERROR(C58/B58,0)</f>
        <v/>
      </c>
      <c r="H58" s="9">
        <f>IFERROR(D58/B58,0)</f>
        <v/>
      </c>
      <c r="I58" s="9">
        <f>IFERROR(E58/B58,0)</f>
        <v/>
      </c>
      <c r="J58" s="4" t="n"/>
      <c r="K58" s="4" t="n"/>
      <c r="L58" s="4" t="n"/>
      <c r="M58" s="4" t="n"/>
      <c r="N58" s="11">
        <f>IFERROR((G58*3+H58*2+L58)/6,0)</f>
        <v/>
      </c>
      <c r="O58" s="4">
        <f>IF(N58="","",IF(N58&gt;0.7,"Hausse",IF(N58&lt;0.4,"Baisse","Stable")))</f>
        <v/>
      </c>
      <c r="P58" s="4" t="n"/>
    </row>
    <row r="59">
      <c r="A59" s="5" t="n"/>
      <c r="B59" s="5" t="n"/>
      <c r="C59" s="5" t="n"/>
      <c r="D59" s="5" t="n"/>
      <c r="E59" s="5" t="n"/>
      <c r="F59" s="5" t="n"/>
      <c r="G59" s="10">
        <f>IFERROR(C59/B59,0)</f>
        <v/>
      </c>
      <c r="H59" s="10">
        <f>IFERROR(D59/B59,0)</f>
        <v/>
      </c>
      <c r="I59" s="10">
        <f>IFERROR(E59/B59,0)</f>
        <v/>
      </c>
      <c r="J59" s="5" t="n"/>
      <c r="K59" s="5" t="n"/>
      <c r="L59" s="5" t="n"/>
      <c r="M59" s="5" t="n"/>
      <c r="N59" s="12">
        <f>IFERROR((G59*3+H59*2+L59)/6,0)</f>
        <v/>
      </c>
      <c r="O59" s="5">
        <f>IF(N59="","",IF(N59&gt;0.7,"Hausse",IF(N59&lt;0.4,"Baisse","Stable")))</f>
        <v/>
      </c>
      <c r="P59" s="5" t="n"/>
    </row>
    <row r="60">
      <c r="A60" s="4" t="n"/>
      <c r="B60" s="4" t="n"/>
      <c r="C60" s="4" t="n"/>
      <c r="D60" s="4" t="n"/>
      <c r="E60" s="4" t="n"/>
      <c r="F60" s="4" t="n"/>
      <c r="G60" s="9">
        <f>IFERROR(C60/B60,0)</f>
        <v/>
      </c>
      <c r="H60" s="9">
        <f>IFERROR(D60/B60,0)</f>
        <v/>
      </c>
      <c r="I60" s="9">
        <f>IFERROR(E60/B60,0)</f>
        <v/>
      </c>
      <c r="J60" s="4" t="n"/>
      <c r="K60" s="4" t="n"/>
      <c r="L60" s="4" t="n"/>
      <c r="M60" s="4" t="n"/>
      <c r="N60" s="11">
        <f>IFERROR((G60*3+H60*2+L60)/6,0)</f>
        <v/>
      </c>
      <c r="O60" s="4">
        <f>IF(N60="","",IF(N60&gt;0.7,"Hausse",IF(N60&lt;0.4,"Baisse","Stable")))</f>
        <v/>
      </c>
      <c r="P60" s="4" t="n"/>
    </row>
    <row r="61">
      <c r="A61" s="5" t="n"/>
      <c r="B61" s="5" t="n"/>
      <c r="C61" s="5" t="n"/>
      <c r="D61" s="5" t="n"/>
      <c r="E61" s="5" t="n"/>
      <c r="F61" s="5" t="n"/>
      <c r="G61" s="10">
        <f>IFERROR(C61/B61,0)</f>
        <v/>
      </c>
      <c r="H61" s="10">
        <f>IFERROR(D61/B61,0)</f>
        <v/>
      </c>
      <c r="I61" s="10">
        <f>IFERROR(E61/B61,0)</f>
        <v/>
      </c>
      <c r="J61" s="5" t="n"/>
      <c r="K61" s="5" t="n"/>
      <c r="L61" s="5" t="n"/>
      <c r="M61" s="5" t="n"/>
      <c r="N61" s="12">
        <f>IFERROR((G61*3+H61*2+L61)/6,0)</f>
        <v/>
      </c>
      <c r="O61" s="5">
        <f>IF(N61="","",IF(N61&gt;0.7,"Hausse",IF(N61&lt;0.4,"Baisse","Stable")))</f>
        <v/>
      </c>
      <c r="P61" s="5" t="n"/>
    </row>
    <row r="62">
      <c r="A62" s="4" t="n"/>
      <c r="B62" s="4" t="n"/>
      <c r="C62" s="4" t="n"/>
      <c r="D62" s="4" t="n"/>
      <c r="E62" s="4" t="n"/>
      <c r="F62" s="4" t="n"/>
      <c r="G62" s="9">
        <f>IFERROR(C62/B62,0)</f>
        <v/>
      </c>
      <c r="H62" s="9">
        <f>IFERROR(D62/B62,0)</f>
        <v/>
      </c>
      <c r="I62" s="9">
        <f>IFERROR(E62/B62,0)</f>
        <v/>
      </c>
      <c r="J62" s="4" t="n"/>
      <c r="K62" s="4" t="n"/>
      <c r="L62" s="4" t="n"/>
      <c r="M62" s="4" t="n"/>
      <c r="N62" s="11">
        <f>IFERROR((G62*3+H62*2+L62)/6,0)</f>
        <v/>
      </c>
      <c r="O62" s="4">
        <f>IF(N62="","",IF(N62&gt;0.7,"Hausse",IF(N62&lt;0.4,"Baisse","Stable")))</f>
        <v/>
      </c>
      <c r="P62" s="4" t="n"/>
    </row>
    <row r="63">
      <c r="A63" s="5" t="n"/>
      <c r="B63" s="5" t="n"/>
      <c r="C63" s="5" t="n"/>
      <c r="D63" s="5" t="n"/>
      <c r="E63" s="5" t="n"/>
      <c r="F63" s="5" t="n"/>
      <c r="G63" s="10">
        <f>IFERROR(C63/B63,0)</f>
        <v/>
      </c>
      <c r="H63" s="10">
        <f>IFERROR(D63/B63,0)</f>
        <v/>
      </c>
      <c r="I63" s="10">
        <f>IFERROR(E63/B63,0)</f>
        <v/>
      </c>
      <c r="J63" s="5" t="n"/>
      <c r="K63" s="5" t="n"/>
      <c r="L63" s="5" t="n"/>
      <c r="M63" s="5" t="n"/>
      <c r="N63" s="12">
        <f>IFERROR((G63*3+H63*2+L63)/6,0)</f>
        <v/>
      </c>
      <c r="O63" s="5">
        <f>IF(N63="","",IF(N63&gt;0.7,"Hausse",IF(N63&lt;0.4,"Baisse","Stable")))</f>
        <v/>
      </c>
      <c r="P63" s="5" t="n"/>
    </row>
    <row r="64">
      <c r="A64" s="4" t="n"/>
      <c r="B64" s="4" t="n"/>
      <c r="C64" s="4" t="n"/>
      <c r="D64" s="4" t="n"/>
      <c r="E64" s="4" t="n"/>
      <c r="F64" s="4" t="n"/>
      <c r="G64" s="9">
        <f>IFERROR(C64/B64,0)</f>
        <v/>
      </c>
      <c r="H64" s="9">
        <f>IFERROR(D64/B64,0)</f>
        <v/>
      </c>
      <c r="I64" s="9">
        <f>IFERROR(E64/B64,0)</f>
        <v/>
      </c>
      <c r="J64" s="4" t="n"/>
      <c r="K64" s="4" t="n"/>
      <c r="L64" s="4" t="n"/>
      <c r="M64" s="4" t="n"/>
      <c r="N64" s="11">
        <f>IFERROR((G64*3+H64*2+L64)/6,0)</f>
        <v/>
      </c>
      <c r="O64" s="4">
        <f>IF(N64="","",IF(N64&gt;0.7,"Hausse",IF(N64&lt;0.4,"Baisse","Stable")))</f>
        <v/>
      </c>
      <c r="P64" s="4" t="n"/>
    </row>
    <row r="65">
      <c r="A65" s="5" t="n"/>
      <c r="B65" s="5" t="n"/>
      <c r="C65" s="5" t="n"/>
      <c r="D65" s="5" t="n"/>
      <c r="E65" s="5" t="n"/>
      <c r="F65" s="5" t="n"/>
      <c r="G65" s="10">
        <f>IFERROR(C65/B65,0)</f>
        <v/>
      </c>
      <c r="H65" s="10">
        <f>IFERROR(D65/B65,0)</f>
        <v/>
      </c>
      <c r="I65" s="10">
        <f>IFERROR(E65/B65,0)</f>
        <v/>
      </c>
      <c r="J65" s="5" t="n"/>
      <c r="K65" s="5" t="n"/>
      <c r="L65" s="5" t="n"/>
      <c r="M65" s="5" t="n"/>
      <c r="N65" s="12">
        <f>IFERROR((G65*3+H65*2+L65)/6,0)</f>
        <v/>
      </c>
      <c r="O65" s="5">
        <f>IF(N65="","",IF(N65&gt;0.7,"Hausse",IF(N65&lt;0.4,"Baisse","Stable")))</f>
        <v/>
      </c>
      <c r="P65" s="5" t="n"/>
    </row>
    <row r="66">
      <c r="A66" s="4" t="n"/>
      <c r="B66" s="4" t="n"/>
      <c r="C66" s="4" t="n"/>
      <c r="D66" s="4" t="n"/>
      <c r="E66" s="4" t="n"/>
      <c r="F66" s="4" t="n"/>
      <c r="G66" s="9">
        <f>IFERROR(C66/B66,0)</f>
        <v/>
      </c>
      <c r="H66" s="9">
        <f>IFERROR(D66/B66,0)</f>
        <v/>
      </c>
      <c r="I66" s="9">
        <f>IFERROR(E66/B66,0)</f>
        <v/>
      </c>
      <c r="J66" s="4" t="n"/>
      <c r="K66" s="4" t="n"/>
      <c r="L66" s="4" t="n"/>
      <c r="M66" s="4" t="n"/>
      <c r="N66" s="11">
        <f>IFERROR((G66*3+H66*2+L66)/6,0)</f>
        <v/>
      </c>
      <c r="O66" s="4">
        <f>IF(N66="","",IF(N66&gt;0.7,"Hausse",IF(N66&lt;0.4,"Baisse","Stable")))</f>
        <v/>
      </c>
      <c r="P66" s="4" t="n"/>
    </row>
    <row r="67">
      <c r="A67" s="5" t="n"/>
      <c r="B67" s="5" t="n"/>
      <c r="C67" s="5" t="n"/>
      <c r="D67" s="5" t="n"/>
      <c r="E67" s="5" t="n"/>
      <c r="F67" s="5" t="n"/>
      <c r="G67" s="10">
        <f>IFERROR(C67/B67,0)</f>
        <v/>
      </c>
      <c r="H67" s="10">
        <f>IFERROR(D67/B67,0)</f>
        <v/>
      </c>
      <c r="I67" s="10">
        <f>IFERROR(E67/B67,0)</f>
        <v/>
      </c>
      <c r="J67" s="5" t="n"/>
      <c r="K67" s="5" t="n"/>
      <c r="L67" s="5" t="n"/>
      <c r="M67" s="5" t="n"/>
      <c r="N67" s="12">
        <f>IFERROR((G67*3+H67*2+L67)/6,0)</f>
        <v/>
      </c>
      <c r="O67" s="5">
        <f>IF(N67="","",IF(N67&gt;0.7,"Hausse",IF(N67&lt;0.4,"Baisse","Stable")))</f>
        <v/>
      </c>
      <c r="P67" s="5" t="n"/>
    </row>
    <row r="68">
      <c r="A68" s="4" t="n"/>
      <c r="B68" s="4" t="n"/>
      <c r="C68" s="4" t="n"/>
      <c r="D68" s="4" t="n"/>
      <c r="E68" s="4" t="n"/>
      <c r="F68" s="4" t="n"/>
      <c r="G68" s="9">
        <f>IFERROR(C68/B68,0)</f>
        <v/>
      </c>
      <c r="H68" s="9">
        <f>IFERROR(D68/B68,0)</f>
        <v/>
      </c>
      <c r="I68" s="9">
        <f>IFERROR(E68/B68,0)</f>
        <v/>
      </c>
      <c r="J68" s="4" t="n"/>
      <c r="K68" s="4" t="n"/>
      <c r="L68" s="4" t="n"/>
      <c r="M68" s="4" t="n"/>
      <c r="N68" s="11">
        <f>IFERROR((G68*3+H68*2+L68)/6,0)</f>
        <v/>
      </c>
      <c r="O68" s="4">
        <f>IF(N68="","",IF(N68&gt;0.7,"Hausse",IF(N68&lt;0.4,"Baisse","Stable")))</f>
        <v/>
      </c>
      <c r="P68" s="4" t="n"/>
    </row>
    <row r="69">
      <c r="A69" s="5" t="n"/>
      <c r="B69" s="5" t="n"/>
      <c r="C69" s="5" t="n"/>
      <c r="D69" s="5" t="n"/>
      <c r="E69" s="5" t="n"/>
      <c r="F69" s="5" t="n"/>
      <c r="G69" s="10">
        <f>IFERROR(C69/B69,0)</f>
        <v/>
      </c>
      <c r="H69" s="10">
        <f>IFERROR(D69/B69,0)</f>
        <v/>
      </c>
      <c r="I69" s="10">
        <f>IFERROR(E69/B69,0)</f>
        <v/>
      </c>
      <c r="J69" s="5" t="n"/>
      <c r="K69" s="5" t="n"/>
      <c r="L69" s="5" t="n"/>
      <c r="M69" s="5" t="n"/>
      <c r="N69" s="12">
        <f>IFERROR((G69*3+H69*2+L69)/6,0)</f>
        <v/>
      </c>
      <c r="O69" s="5">
        <f>IF(N69="","",IF(N69&gt;0.7,"Hausse",IF(N69&lt;0.4,"Baisse","Stable")))</f>
        <v/>
      </c>
      <c r="P69" s="5" t="n"/>
    </row>
    <row r="70">
      <c r="A70" s="4" t="n"/>
      <c r="B70" s="4" t="n"/>
      <c r="C70" s="4" t="n"/>
      <c r="D70" s="4" t="n"/>
      <c r="E70" s="4" t="n"/>
      <c r="F70" s="4" t="n"/>
      <c r="G70" s="9">
        <f>IFERROR(C70/B70,0)</f>
        <v/>
      </c>
      <c r="H70" s="9">
        <f>IFERROR(D70/B70,0)</f>
        <v/>
      </c>
      <c r="I70" s="9">
        <f>IFERROR(E70/B70,0)</f>
        <v/>
      </c>
      <c r="J70" s="4" t="n"/>
      <c r="K70" s="4" t="n"/>
      <c r="L70" s="4" t="n"/>
      <c r="M70" s="4" t="n"/>
      <c r="N70" s="11">
        <f>IFERROR((G70*3+H70*2+L70)/6,0)</f>
        <v/>
      </c>
      <c r="O70" s="4">
        <f>IF(N70="","",IF(N70&gt;0.7,"Hausse",IF(N70&lt;0.4,"Baisse","Stable")))</f>
        <v/>
      </c>
      <c r="P70" s="4" t="n"/>
    </row>
    <row r="71">
      <c r="A71" s="5" t="n"/>
      <c r="B71" s="5" t="n"/>
      <c r="C71" s="5" t="n"/>
      <c r="D71" s="5" t="n"/>
      <c r="E71" s="5" t="n"/>
      <c r="F71" s="5" t="n"/>
      <c r="G71" s="10">
        <f>IFERROR(C71/B71,0)</f>
        <v/>
      </c>
      <c r="H71" s="10">
        <f>IFERROR(D71/B71,0)</f>
        <v/>
      </c>
      <c r="I71" s="10">
        <f>IFERROR(E71/B71,0)</f>
        <v/>
      </c>
      <c r="J71" s="5" t="n"/>
      <c r="K71" s="5" t="n"/>
      <c r="L71" s="5" t="n"/>
      <c r="M71" s="5" t="n"/>
      <c r="N71" s="12">
        <f>IFERROR((G71*3+H71*2+L71)/6,0)</f>
        <v/>
      </c>
      <c r="O71" s="5">
        <f>IF(N71="","",IF(N71&gt;0.7,"Hausse",IF(N71&lt;0.4,"Baisse","Stable")))</f>
        <v/>
      </c>
      <c r="P71" s="5" t="n"/>
    </row>
    <row r="72">
      <c r="A72" s="4" t="n"/>
      <c r="B72" s="4" t="n"/>
      <c r="C72" s="4" t="n"/>
      <c r="D72" s="4" t="n"/>
      <c r="E72" s="4" t="n"/>
      <c r="F72" s="4" t="n"/>
      <c r="G72" s="9">
        <f>IFERROR(C72/B72,0)</f>
        <v/>
      </c>
      <c r="H72" s="9">
        <f>IFERROR(D72/B72,0)</f>
        <v/>
      </c>
      <c r="I72" s="9">
        <f>IFERROR(E72/B72,0)</f>
        <v/>
      </c>
      <c r="J72" s="4" t="n"/>
      <c r="K72" s="4" t="n"/>
      <c r="L72" s="4" t="n"/>
      <c r="M72" s="4" t="n"/>
      <c r="N72" s="11">
        <f>IFERROR((G72*3+H72*2+L72)/6,0)</f>
        <v/>
      </c>
      <c r="O72" s="4">
        <f>IF(N72="","",IF(N72&gt;0.7,"Hausse",IF(N72&lt;0.4,"Baisse","Stable")))</f>
        <v/>
      </c>
      <c r="P72" s="4" t="n"/>
    </row>
    <row r="73">
      <c r="A73" s="5" t="n"/>
      <c r="B73" s="5" t="n"/>
      <c r="C73" s="5" t="n"/>
      <c r="D73" s="5" t="n"/>
      <c r="E73" s="5" t="n"/>
      <c r="F73" s="5" t="n"/>
      <c r="G73" s="10">
        <f>IFERROR(C73/B73,0)</f>
        <v/>
      </c>
      <c r="H73" s="10">
        <f>IFERROR(D73/B73,0)</f>
        <v/>
      </c>
      <c r="I73" s="10">
        <f>IFERROR(E73/B73,0)</f>
        <v/>
      </c>
      <c r="J73" s="5" t="n"/>
      <c r="K73" s="5" t="n"/>
      <c r="L73" s="5" t="n"/>
      <c r="M73" s="5" t="n"/>
      <c r="N73" s="12">
        <f>IFERROR((G73*3+H73*2+L73)/6,0)</f>
        <v/>
      </c>
      <c r="O73" s="5">
        <f>IF(N73="","",IF(N73&gt;0.7,"Hausse",IF(N73&lt;0.4,"Baisse","Stable")))</f>
        <v/>
      </c>
      <c r="P73" s="5" t="n"/>
    </row>
    <row r="74">
      <c r="A74" s="4" t="n"/>
      <c r="B74" s="4" t="n"/>
      <c r="C74" s="4" t="n"/>
      <c r="D74" s="4" t="n"/>
      <c r="E74" s="4" t="n"/>
      <c r="F74" s="4" t="n"/>
      <c r="G74" s="9">
        <f>IFERROR(C74/B74,0)</f>
        <v/>
      </c>
      <c r="H74" s="9">
        <f>IFERROR(D74/B74,0)</f>
        <v/>
      </c>
      <c r="I74" s="9">
        <f>IFERROR(E74/B74,0)</f>
        <v/>
      </c>
      <c r="J74" s="4" t="n"/>
      <c r="K74" s="4" t="n"/>
      <c r="L74" s="4" t="n"/>
      <c r="M74" s="4" t="n"/>
      <c r="N74" s="11">
        <f>IFERROR((G74*3+H74*2+L74)/6,0)</f>
        <v/>
      </c>
      <c r="O74" s="4">
        <f>IF(N74="","",IF(N74&gt;0.7,"Hausse",IF(N74&lt;0.4,"Baisse","Stable")))</f>
        <v/>
      </c>
      <c r="P74" s="4" t="n"/>
    </row>
    <row r="75">
      <c r="A75" s="5" t="n"/>
      <c r="B75" s="5" t="n"/>
      <c r="C75" s="5" t="n"/>
      <c r="D75" s="5" t="n"/>
      <c r="E75" s="5" t="n"/>
      <c r="F75" s="5" t="n"/>
      <c r="G75" s="10">
        <f>IFERROR(C75/B75,0)</f>
        <v/>
      </c>
      <c r="H75" s="10">
        <f>IFERROR(D75/B75,0)</f>
        <v/>
      </c>
      <c r="I75" s="10">
        <f>IFERROR(E75/B75,0)</f>
        <v/>
      </c>
      <c r="J75" s="5" t="n"/>
      <c r="K75" s="5" t="n"/>
      <c r="L75" s="5" t="n"/>
      <c r="M75" s="5" t="n"/>
      <c r="N75" s="12">
        <f>IFERROR((G75*3+H75*2+L75)/6,0)</f>
        <v/>
      </c>
      <c r="O75" s="5">
        <f>IF(N75="","",IF(N75&gt;0.7,"Hausse",IF(N75&lt;0.4,"Baisse","Stable")))</f>
        <v/>
      </c>
      <c r="P75" s="5" t="n"/>
    </row>
    <row r="76">
      <c r="A76" s="4" t="n"/>
      <c r="B76" s="4" t="n"/>
      <c r="C76" s="4" t="n"/>
      <c r="D76" s="4" t="n"/>
      <c r="E76" s="4" t="n"/>
      <c r="F76" s="4" t="n"/>
      <c r="G76" s="9">
        <f>IFERROR(C76/B76,0)</f>
        <v/>
      </c>
      <c r="H76" s="9">
        <f>IFERROR(D76/B76,0)</f>
        <v/>
      </c>
      <c r="I76" s="9">
        <f>IFERROR(E76/B76,0)</f>
        <v/>
      </c>
      <c r="J76" s="4" t="n"/>
      <c r="K76" s="4" t="n"/>
      <c r="L76" s="4" t="n"/>
      <c r="M76" s="4" t="n"/>
      <c r="N76" s="11">
        <f>IFERROR((G76*3+H76*2+L76)/6,0)</f>
        <v/>
      </c>
      <c r="O76" s="4">
        <f>IF(N76="","",IF(N76&gt;0.7,"Hausse",IF(N76&lt;0.4,"Baisse","Stable")))</f>
        <v/>
      </c>
      <c r="P76" s="4" t="n"/>
    </row>
    <row r="77">
      <c r="A77" s="5" t="n"/>
      <c r="B77" s="5" t="n"/>
      <c r="C77" s="5" t="n"/>
      <c r="D77" s="5" t="n"/>
      <c r="E77" s="5" t="n"/>
      <c r="F77" s="5" t="n"/>
      <c r="G77" s="10">
        <f>IFERROR(C77/B77,0)</f>
        <v/>
      </c>
      <c r="H77" s="10">
        <f>IFERROR(D77/B77,0)</f>
        <v/>
      </c>
      <c r="I77" s="10">
        <f>IFERROR(E77/B77,0)</f>
        <v/>
      </c>
      <c r="J77" s="5" t="n"/>
      <c r="K77" s="5" t="n"/>
      <c r="L77" s="5" t="n"/>
      <c r="M77" s="5" t="n"/>
      <c r="N77" s="12">
        <f>IFERROR((G77*3+H77*2+L77)/6,0)</f>
        <v/>
      </c>
      <c r="O77" s="5">
        <f>IF(N77="","",IF(N77&gt;0.7,"Hausse",IF(N77&lt;0.4,"Baisse","Stable")))</f>
        <v/>
      </c>
      <c r="P77" s="5" t="n"/>
    </row>
    <row r="78">
      <c r="A78" s="4" t="n"/>
      <c r="B78" s="4" t="n"/>
      <c r="C78" s="4" t="n"/>
      <c r="D78" s="4" t="n"/>
      <c r="E78" s="4" t="n"/>
      <c r="F78" s="4" t="n"/>
      <c r="G78" s="9">
        <f>IFERROR(C78/B78,0)</f>
        <v/>
      </c>
      <c r="H78" s="9">
        <f>IFERROR(D78/B78,0)</f>
        <v/>
      </c>
      <c r="I78" s="9">
        <f>IFERROR(E78/B78,0)</f>
        <v/>
      </c>
      <c r="J78" s="4" t="n"/>
      <c r="K78" s="4" t="n"/>
      <c r="L78" s="4" t="n"/>
      <c r="M78" s="4" t="n"/>
      <c r="N78" s="11">
        <f>IFERROR((G78*3+H78*2+L78)/6,0)</f>
        <v/>
      </c>
      <c r="O78" s="4">
        <f>IF(N78="","",IF(N78&gt;0.7,"Hausse",IF(N78&lt;0.4,"Baisse","Stable")))</f>
        <v/>
      </c>
      <c r="P78" s="4" t="n"/>
    </row>
    <row r="79">
      <c r="A79" s="5" t="n"/>
      <c r="B79" s="5" t="n"/>
      <c r="C79" s="5" t="n"/>
      <c r="D79" s="5" t="n"/>
      <c r="E79" s="5" t="n"/>
      <c r="F79" s="5" t="n"/>
      <c r="G79" s="10">
        <f>IFERROR(C79/B79,0)</f>
        <v/>
      </c>
      <c r="H79" s="10">
        <f>IFERROR(D79/B79,0)</f>
        <v/>
      </c>
      <c r="I79" s="10">
        <f>IFERROR(E79/B79,0)</f>
        <v/>
      </c>
      <c r="J79" s="5" t="n"/>
      <c r="K79" s="5" t="n"/>
      <c r="L79" s="5" t="n"/>
      <c r="M79" s="5" t="n"/>
      <c r="N79" s="12">
        <f>IFERROR((G79*3+H79*2+L79)/6,0)</f>
        <v/>
      </c>
      <c r="O79" s="5">
        <f>IF(N79="","",IF(N79&gt;0.7,"Hausse",IF(N79&lt;0.4,"Baisse","Stable")))</f>
        <v/>
      </c>
      <c r="P79" s="5" t="n"/>
    </row>
    <row r="80">
      <c r="A80" s="4" t="n"/>
      <c r="B80" s="4" t="n"/>
      <c r="C80" s="4" t="n"/>
      <c r="D80" s="4" t="n"/>
      <c r="E80" s="4" t="n"/>
      <c r="F80" s="4" t="n"/>
      <c r="G80" s="9">
        <f>IFERROR(C80/B80,0)</f>
        <v/>
      </c>
      <c r="H80" s="9">
        <f>IFERROR(D80/B80,0)</f>
        <v/>
      </c>
      <c r="I80" s="9">
        <f>IFERROR(E80/B80,0)</f>
        <v/>
      </c>
      <c r="J80" s="4" t="n"/>
      <c r="K80" s="4" t="n"/>
      <c r="L80" s="4" t="n"/>
      <c r="M80" s="4" t="n"/>
      <c r="N80" s="11">
        <f>IFERROR((G80*3+H80*2+L80)/6,0)</f>
        <v/>
      </c>
      <c r="O80" s="4">
        <f>IF(N80="","",IF(N80&gt;0.7,"Hausse",IF(N80&lt;0.4,"Baisse","Stable")))</f>
        <v/>
      </c>
      <c r="P80" s="4" t="n"/>
    </row>
    <row r="81">
      <c r="A81" s="5" t="n"/>
      <c r="B81" s="5" t="n"/>
      <c r="C81" s="5" t="n"/>
      <c r="D81" s="5" t="n"/>
      <c r="E81" s="5" t="n"/>
      <c r="F81" s="5" t="n"/>
      <c r="G81" s="10">
        <f>IFERROR(C81/B81,0)</f>
        <v/>
      </c>
      <c r="H81" s="10">
        <f>IFERROR(D81/B81,0)</f>
        <v/>
      </c>
      <c r="I81" s="10">
        <f>IFERROR(E81/B81,0)</f>
        <v/>
      </c>
      <c r="J81" s="5" t="n"/>
      <c r="K81" s="5" t="n"/>
      <c r="L81" s="5" t="n"/>
      <c r="M81" s="5" t="n"/>
      <c r="N81" s="12">
        <f>IFERROR((G81*3+H81*2+L81)/6,0)</f>
        <v/>
      </c>
      <c r="O81" s="5">
        <f>IF(N81="","",IF(N81&gt;0.7,"Hausse",IF(N81&lt;0.4,"Baisse","Stable")))</f>
        <v/>
      </c>
      <c r="P81" s="5" t="n"/>
    </row>
    <row r="82">
      <c r="A82" s="4" t="n"/>
      <c r="B82" s="4" t="n"/>
      <c r="C82" s="4" t="n"/>
      <c r="D82" s="4" t="n"/>
      <c r="E82" s="4" t="n"/>
      <c r="F82" s="4" t="n"/>
      <c r="G82" s="9">
        <f>IFERROR(C82/B82,0)</f>
        <v/>
      </c>
      <c r="H82" s="9">
        <f>IFERROR(D82/B82,0)</f>
        <v/>
      </c>
      <c r="I82" s="9">
        <f>IFERROR(E82/B82,0)</f>
        <v/>
      </c>
      <c r="J82" s="4" t="n"/>
      <c r="K82" s="4" t="n"/>
      <c r="L82" s="4" t="n"/>
      <c r="M82" s="4" t="n"/>
      <c r="N82" s="11">
        <f>IFERROR((G82*3+H82*2+L82)/6,0)</f>
        <v/>
      </c>
      <c r="O82" s="4">
        <f>IF(N82="","",IF(N82&gt;0.7,"Hausse",IF(N82&lt;0.4,"Baisse","Stable")))</f>
        <v/>
      </c>
      <c r="P82" s="4" t="n"/>
    </row>
    <row r="83">
      <c r="A83" s="5" t="n"/>
      <c r="B83" s="5" t="n"/>
      <c r="C83" s="5" t="n"/>
      <c r="D83" s="5" t="n"/>
      <c r="E83" s="5" t="n"/>
      <c r="F83" s="5" t="n"/>
      <c r="G83" s="10">
        <f>IFERROR(C83/B83,0)</f>
        <v/>
      </c>
      <c r="H83" s="10">
        <f>IFERROR(D83/B83,0)</f>
        <v/>
      </c>
      <c r="I83" s="10">
        <f>IFERROR(E83/B83,0)</f>
        <v/>
      </c>
      <c r="J83" s="5" t="n"/>
      <c r="K83" s="5" t="n"/>
      <c r="L83" s="5" t="n"/>
      <c r="M83" s="5" t="n"/>
      <c r="N83" s="12">
        <f>IFERROR((G83*3+H83*2+L83)/6,0)</f>
        <v/>
      </c>
      <c r="O83" s="5">
        <f>IF(N83="","",IF(N83&gt;0.7,"Hausse",IF(N83&lt;0.4,"Baisse","Stable")))</f>
        <v/>
      </c>
      <c r="P83" s="5" t="n"/>
    </row>
    <row r="84">
      <c r="A84" s="4" t="n"/>
      <c r="B84" s="4" t="n"/>
      <c r="C84" s="4" t="n"/>
      <c r="D84" s="4" t="n"/>
      <c r="E84" s="4" t="n"/>
      <c r="F84" s="4" t="n"/>
      <c r="G84" s="9">
        <f>IFERROR(C84/B84,0)</f>
        <v/>
      </c>
      <c r="H84" s="9">
        <f>IFERROR(D84/B84,0)</f>
        <v/>
      </c>
      <c r="I84" s="9">
        <f>IFERROR(E84/B84,0)</f>
        <v/>
      </c>
      <c r="J84" s="4" t="n"/>
      <c r="K84" s="4" t="n"/>
      <c r="L84" s="4" t="n"/>
      <c r="M84" s="4" t="n"/>
      <c r="N84" s="11">
        <f>IFERROR((G84*3+H84*2+L84)/6,0)</f>
        <v/>
      </c>
      <c r="O84" s="4">
        <f>IF(N84="","",IF(N84&gt;0.7,"Hausse",IF(N84&lt;0.4,"Baisse","Stable")))</f>
        <v/>
      </c>
      <c r="P84" s="4" t="n"/>
    </row>
    <row r="85">
      <c r="A85" s="5" t="n"/>
      <c r="B85" s="5" t="n"/>
      <c r="C85" s="5" t="n"/>
      <c r="D85" s="5" t="n"/>
      <c r="E85" s="5" t="n"/>
      <c r="F85" s="5" t="n"/>
      <c r="G85" s="10">
        <f>IFERROR(C85/B85,0)</f>
        <v/>
      </c>
      <c r="H85" s="10">
        <f>IFERROR(D85/B85,0)</f>
        <v/>
      </c>
      <c r="I85" s="10">
        <f>IFERROR(E85/B85,0)</f>
        <v/>
      </c>
      <c r="J85" s="5" t="n"/>
      <c r="K85" s="5" t="n"/>
      <c r="L85" s="5" t="n"/>
      <c r="M85" s="5" t="n"/>
      <c r="N85" s="12">
        <f>IFERROR((G85*3+H85*2+L85)/6,0)</f>
        <v/>
      </c>
      <c r="O85" s="5">
        <f>IF(N85="","",IF(N85&gt;0.7,"Hausse",IF(N85&lt;0.4,"Baisse","Stable")))</f>
        <v/>
      </c>
      <c r="P85" s="5" t="n"/>
    </row>
    <row r="86">
      <c r="A86" s="4" t="n"/>
      <c r="B86" s="4" t="n"/>
      <c r="C86" s="4" t="n"/>
      <c r="D86" s="4" t="n"/>
      <c r="E86" s="4" t="n"/>
      <c r="F86" s="4" t="n"/>
      <c r="G86" s="9">
        <f>IFERROR(C86/B86,0)</f>
        <v/>
      </c>
      <c r="H86" s="9">
        <f>IFERROR(D86/B86,0)</f>
        <v/>
      </c>
      <c r="I86" s="9">
        <f>IFERROR(E86/B86,0)</f>
        <v/>
      </c>
      <c r="J86" s="4" t="n"/>
      <c r="K86" s="4" t="n"/>
      <c r="L86" s="4" t="n"/>
      <c r="M86" s="4" t="n"/>
      <c r="N86" s="11">
        <f>IFERROR((G86*3+H86*2+L86)/6,0)</f>
        <v/>
      </c>
      <c r="O86" s="4">
        <f>IF(N86="","",IF(N86&gt;0.7,"Hausse",IF(N86&lt;0.4,"Baisse","Stable")))</f>
        <v/>
      </c>
      <c r="P86" s="4" t="n"/>
    </row>
    <row r="87">
      <c r="A87" s="5" t="n"/>
      <c r="B87" s="5" t="n"/>
      <c r="C87" s="5" t="n"/>
      <c r="D87" s="5" t="n"/>
      <c r="E87" s="5" t="n"/>
      <c r="F87" s="5" t="n"/>
      <c r="G87" s="10">
        <f>IFERROR(C87/B87,0)</f>
        <v/>
      </c>
      <c r="H87" s="10">
        <f>IFERROR(D87/B87,0)</f>
        <v/>
      </c>
      <c r="I87" s="10">
        <f>IFERROR(E87/B87,0)</f>
        <v/>
      </c>
      <c r="J87" s="5" t="n"/>
      <c r="K87" s="5" t="n"/>
      <c r="L87" s="5" t="n"/>
      <c r="M87" s="5" t="n"/>
      <c r="N87" s="12">
        <f>IFERROR((G87*3+H87*2+L87)/6,0)</f>
        <v/>
      </c>
      <c r="O87" s="5">
        <f>IF(N87="","",IF(N87&gt;0.7,"Hausse",IF(N87&lt;0.4,"Baisse","Stable")))</f>
        <v/>
      </c>
      <c r="P87" s="5" t="n"/>
    </row>
    <row r="88">
      <c r="A88" s="4" t="n"/>
      <c r="B88" s="4" t="n"/>
      <c r="C88" s="4" t="n"/>
      <c r="D88" s="4" t="n"/>
      <c r="E88" s="4" t="n"/>
      <c r="F88" s="4" t="n"/>
      <c r="G88" s="9">
        <f>IFERROR(C88/B88,0)</f>
        <v/>
      </c>
      <c r="H88" s="9">
        <f>IFERROR(D88/B88,0)</f>
        <v/>
      </c>
      <c r="I88" s="9">
        <f>IFERROR(E88/B88,0)</f>
        <v/>
      </c>
      <c r="J88" s="4" t="n"/>
      <c r="K88" s="4" t="n"/>
      <c r="L88" s="4" t="n"/>
      <c r="M88" s="4" t="n"/>
      <c r="N88" s="11">
        <f>IFERROR((G88*3+H88*2+L88)/6,0)</f>
        <v/>
      </c>
      <c r="O88" s="4">
        <f>IF(N88="","",IF(N88&gt;0.7,"Hausse",IF(N88&lt;0.4,"Baisse","Stable")))</f>
        <v/>
      </c>
      <c r="P88" s="4" t="n"/>
    </row>
    <row r="89">
      <c r="A89" s="5" t="n"/>
      <c r="B89" s="5" t="n"/>
      <c r="C89" s="5" t="n"/>
      <c r="D89" s="5" t="n"/>
      <c r="E89" s="5" t="n"/>
      <c r="F89" s="5" t="n"/>
      <c r="G89" s="10">
        <f>IFERROR(C89/B89,0)</f>
        <v/>
      </c>
      <c r="H89" s="10">
        <f>IFERROR(D89/B89,0)</f>
        <v/>
      </c>
      <c r="I89" s="10">
        <f>IFERROR(E89/B89,0)</f>
        <v/>
      </c>
      <c r="J89" s="5" t="n"/>
      <c r="K89" s="5" t="n"/>
      <c r="L89" s="5" t="n"/>
      <c r="M89" s="5" t="n"/>
      <c r="N89" s="12">
        <f>IFERROR((G89*3+H89*2+L89)/6,0)</f>
        <v/>
      </c>
      <c r="O89" s="5">
        <f>IF(N89="","",IF(N89&gt;0.7,"Hausse",IF(N89&lt;0.4,"Baisse","Stable")))</f>
        <v/>
      </c>
      <c r="P89" s="5" t="n"/>
    </row>
    <row r="90">
      <c r="A90" s="4" t="n"/>
      <c r="B90" s="4" t="n"/>
      <c r="C90" s="4" t="n"/>
      <c r="D90" s="4" t="n"/>
      <c r="E90" s="4" t="n"/>
      <c r="F90" s="4" t="n"/>
      <c r="G90" s="9">
        <f>IFERROR(C90/B90,0)</f>
        <v/>
      </c>
      <c r="H90" s="9">
        <f>IFERROR(D90/B90,0)</f>
        <v/>
      </c>
      <c r="I90" s="9">
        <f>IFERROR(E90/B90,0)</f>
        <v/>
      </c>
      <c r="J90" s="4" t="n"/>
      <c r="K90" s="4" t="n"/>
      <c r="L90" s="4" t="n"/>
      <c r="M90" s="4" t="n"/>
      <c r="N90" s="11">
        <f>IFERROR((G90*3+H90*2+L90)/6,0)</f>
        <v/>
      </c>
      <c r="O90" s="4">
        <f>IF(N90="","",IF(N90&gt;0.7,"Hausse",IF(N90&lt;0.4,"Baisse","Stable")))</f>
        <v/>
      </c>
      <c r="P90" s="4" t="n"/>
    </row>
    <row r="91">
      <c r="A91" s="5" t="n"/>
      <c r="B91" s="5" t="n"/>
      <c r="C91" s="5" t="n"/>
      <c r="D91" s="5" t="n"/>
      <c r="E91" s="5" t="n"/>
      <c r="F91" s="5" t="n"/>
      <c r="G91" s="10">
        <f>IFERROR(C91/B91,0)</f>
        <v/>
      </c>
      <c r="H91" s="10">
        <f>IFERROR(D91/B91,0)</f>
        <v/>
      </c>
      <c r="I91" s="10">
        <f>IFERROR(E91/B91,0)</f>
        <v/>
      </c>
      <c r="J91" s="5" t="n"/>
      <c r="K91" s="5" t="n"/>
      <c r="L91" s="5" t="n"/>
      <c r="M91" s="5" t="n"/>
      <c r="N91" s="12">
        <f>IFERROR((G91*3+H91*2+L91)/6,0)</f>
        <v/>
      </c>
      <c r="O91" s="5">
        <f>IF(N91="","",IF(N91&gt;0.7,"Hausse",IF(N91&lt;0.4,"Baisse","Stable")))</f>
        <v/>
      </c>
      <c r="P91" s="5" t="n"/>
    </row>
    <row r="92">
      <c r="A92" s="4" t="n"/>
      <c r="B92" s="4" t="n"/>
      <c r="C92" s="4" t="n"/>
      <c r="D92" s="4" t="n"/>
      <c r="E92" s="4" t="n"/>
      <c r="F92" s="4" t="n"/>
      <c r="G92" s="9">
        <f>IFERROR(C92/B92,0)</f>
        <v/>
      </c>
      <c r="H92" s="9">
        <f>IFERROR(D92/B92,0)</f>
        <v/>
      </c>
      <c r="I92" s="9">
        <f>IFERROR(E92/B92,0)</f>
        <v/>
      </c>
      <c r="J92" s="4" t="n"/>
      <c r="K92" s="4" t="n"/>
      <c r="L92" s="4" t="n"/>
      <c r="M92" s="4" t="n"/>
      <c r="N92" s="11">
        <f>IFERROR((G92*3+H92*2+L92)/6,0)</f>
        <v/>
      </c>
      <c r="O92" s="4">
        <f>IF(N92="","",IF(N92&gt;0.7,"Hausse",IF(N92&lt;0.4,"Baisse","Stable")))</f>
        <v/>
      </c>
      <c r="P92" s="4" t="n"/>
    </row>
    <row r="93">
      <c r="A93" s="5" t="n"/>
      <c r="B93" s="5" t="n"/>
      <c r="C93" s="5" t="n"/>
      <c r="D93" s="5" t="n"/>
      <c r="E93" s="5" t="n"/>
      <c r="F93" s="5" t="n"/>
      <c r="G93" s="10">
        <f>IFERROR(C93/B93,0)</f>
        <v/>
      </c>
      <c r="H93" s="10">
        <f>IFERROR(D93/B93,0)</f>
        <v/>
      </c>
      <c r="I93" s="10">
        <f>IFERROR(E93/B93,0)</f>
        <v/>
      </c>
      <c r="J93" s="5" t="n"/>
      <c r="K93" s="5" t="n"/>
      <c r="L93" s="5" t="n"/>
      <c r="M93" s="5" t="n"/>
      <c r="N93" s="12">
        <f>IFERROR((G93*3+H93*2+L93)/6,0)</f>
        <v/>
      </c>
      <c r="O93" s="5">
        <f>IF(N93="","",IF(N93&gt;0.7,"Hausse",IF(N93&lt;0.4,"Baisse","Stable")))</f>
        <v/>
      </c>
      <c r="P93" s="5" t="n"/>
    </row>
    <row r="94">
      <c r="A94" s="4" t="n"/>
      <c r="B94" s="4" t="n"/>
      <c r="C94" s="4" t="n"/>
      <c r="D94" s="4" t="n"/>
      <c r="E94" s="4" t="n"/>
      <c r="F94" s="4" t="n"/>
      <c r="G94" s="9">
        <f>IFERROR(C94/B94,0)</f>
        <v/>
      </c>
      <c r="H94" s="9">
        <f>IFERROR(D94/B94,0)</f>
        <v/>
      </c>
      <c r="I94" s="9">
        <f>IFERROR(E94/B94,0)</f>
        <v/>
      </c>
      <c r="J94" s="4" t="n"/>
      <c r="K94" s="4" t="n"/>
      <c r="L94" s="4" t="n"/>
      <c r="M94" s="4" t="n"/>
      <c r="N94" s="11">
        <f>IFERROR((G94*3+H94*2+L94)/6,0)</f>
        <v/>
      </c>
      <c r="O94" s="4">
        <f>IF(N94="","",IF(N94&gt;0.7,"Hausse",IF(N94&lt;0.4,"Baisse","Stable")))</f>
        <v/>
      </c>
      <c r="P94" s="4" t="n"/>
    </row>
    <row r="95">
      <c r="A95" s="5" t="n"/>
      <c r="B95" s="5" t="n"/>
      <c r="C95" s="5" t="n"/>
      <c r="D95" s="5" t="n"/>
      <c r="E95" s="5" t="n"/>
      <c r="F95" s="5" t="n"/>
      <c r="G95" s="10">
        <f>IFERROR(C95/B95,0)</f>
        <v/>
      </c>
      <c r="H95" s="10">
        <f>IFERROR(D95/B95,0)</f>
        <v/>
      </c>
      <c r="I95" s="10">
        <f>IFERROR(E95/B95,0)</f>
        <v/>
      </c>
      <c r="J95" s="5" t="n"/>
      <c r="K95" s="5" t="n"/>
      <c r="L95" s="5" t="n"/>
      <c r="M95" s="5" t="n"/>
      <c r="N95" s="12">
        <f>IFERROR((G95*3+H95*2+L95)/6,0)</f>
        <v/>
      </c>
      <c r="O95" s="5">
        <f>IF(N95="","",IF(N95&gt;0.7,"Hausse",IF(N95&lt;0.4,"Baisse","Stable")))</f>
        <v/>
      </c>
      <c r="P95" s="5" t="n"/>
    </row>
    <row r="96">
      <c r="A96" s="4" t="n"/>
      <c r="B96" s="4" t="n"/>
      <c r="C96" s="4" t="n"/>
      <c r="D96" s="4" t="n"/>
      <c r="E96" s="4" t="n"/>
      <c r="F96" s="4" t="n"/>
      <c r="G96" s="9">
        <f>IFERROR(C96/B96,0)</f>
        <v/>
      </c>
      <c r="H96" s="9">
        <f>IFERROR(D96/B96,0)</f>
        <v/>
      </c>
      <c r="I96" s="9">
        <f>IFERROR(E96/B96,0)</f>
        <v/>
      </c>
      <c r="J96" s="4" t="n"/>
      <c r="K96" s="4" t="n"/>
      <c r="L96" s="4" t="n"/>
      <c r="M96" s="4" t="n"/>
      <c r="N96" s="11">
        <f>IFERROR((G96*3+H96*2+L96)/6,0)</f>
        <v/>
      </c>
      <c r="O96" s="4">
        <f>IF(N96="","",IF(N96&gt;0.7,"Hausse",IF(N96&lt;0.4,"Baisse","Stable")))</f>
        <v/>
      </c>
      <c r="P96" s="4" t="n"/>
    </row>
    <row r="97">
      <c r="A97" s="5" t="n"/>
      <c r="B97" s="5" t="n"/>
      <c r="C97" s="5" t="n"/>
      <c r="D97" s="5" t="n"/>
      <c r="E97" s="5" t="n"/>
      <c r="F97" s="5" t="n"/>
      <c r="G97" s="10">
        <f>IFERROR(C97/B97,0)</f>
        <v/>
      </c>
      <c r="H97" s="10">
        <f>IFERROR(D97/B97,0)</f>
        <v/>
      </c>
      <c r="I97" s="10">
        <f>IFERROR(E97/B97,0)</f>
        <v/>
      </c>
      <c r="J97" s="5" t="n"/>
      <c r="K97" s="5" t="n"/>
      <c r="L97" s="5" t="n"/>
      <c r="M97" s="5" t="n"/>
      <c r="N97" s="12">
        <f>IFERROR((G97*3+H97*2+L97)/6,0)</f>
        <v/>
      </c>
      <c r="O97" s="5">
        <f>IF(N97="","",IF(N97&gt;0.7,"Hausse",IF(N97&lt;0.4,"Baisse","Stable")))</f>
        <v/>
      </c>
      <c r="P97" s="5" t="n"/>
    </row>
    <row r="98">
      <c r="A98" s="4" t="n"/>
      <c r="B98" s="4" t="n"/>
      <c r="C98" s="4" t="n"/>
      <c r="D98" s="4" t="n"/>
      <c r="E98" s="4" t="n"/>
      <c r="F98" s="4" t="n"/>
      <c r="G98" s="9">
        <f>IFERROR(C98/B98,0)</f>
        <v/>
      </c>
      <c r="H98" s="9">
        <f>IFERROR(D98/B98,0)</f>
        <v/>
      </c>
      <c r="I98" s="9">
        <f>IFERROR(E98/B98,0)</f>
        <v/>
      </c>
      <c r="J98" s="4" t="n"/>
      <c r="K98" s="4" t="n"/>
      <c r="L98" s="4" t="n"/>
      <c r="M98" s="4" t="n"/>
      <c r="N98" s="11">
        <f>IFERROR((G98*3+H98*2+L98)/6,0)</f>
        <v/>
      </c>
      <c r="O98" s="4">
        <f>IF(N98="","",IF(N98&gt;0.7,"Hausse",IF(N98&lt;0.4,"Baisse","Stable")))</f>
        <v/>
      </c>
      <c r="P98" s="4" t="n"/>
    </row>
    <row r="99">
      <c r="A99" s="5" t="n"/>
      <c r="B99" s="5" t="n"/>
      <c r="C99" s="5" t="n"/>
      <c r="D99" s="5" t="n"/>
      <c r="E99" s="5" t="n"/>
      <c r="F99" s="5" t="n"/>
      <c r="G99" s="10">
        <f>IFERROR(C99/B99,0)</f>
        <v/>
      </c>
      <c r="H99" s="10">
        <f>IFERROR(D99/B99,0)</f>
        <v/>
      </c>
      <c r="I99" s="10">
        <f>IFERROR(E99/B99,0)</f>
        <v/>
      </c>
      <c r="J99" s="5" t="n"/>
      <c r="K99" s="5" t="n"/>
      <c r="L99" s="5" t="n"/>
      <c r="M99" s="5" t="n"/>
      <c r="N99" s="12">
        <f>IFERROR((G99*3+H99*2+L99)/6,0)</f>
        <v/>
      </c>
      <c r="O99" s="5">
        <f>IF(N99="","",IF(N99&gt;0.7,"Hausse",IF(N99&lt;0.4,"Baisse","Stable")))</f>
        <v/>
      </c>
      <c r="P99" s="5" t="n"/>
    </row>
    <row r="100">
      <c r="A100" s="4" t="n"/>
      <c r="B100" s="4" t="n"/>
      <c r="C100" s="4" t="n"/>
      <c r="D100" s="4" t="n"/>
      <c r="E100" s="4" t="n"/>
      <c r="F100" s="4" t="n"/>
      <c r="G100" s="9">
        <f>IFERROR(C100/B100,0)</f>
        <v/>
      </c>
      <c r="H100" s="9">
        <f>IFERROR(D100/B100,0)</f>
        <v/>
      </c>
      <c r="I100" s="9">
        <f>IFERROR(E100/B100,0)</f>
        <v/>
      </c>
      <c r="J100" s="4" t="n"/>
      <c r="K100" s="4" t="n"/>
      <c r="L100" s="4" t="n"/>
      <c r="M100" s="4" t="n"/>
      <c r="N100" s="11">
        <f>IFERROR((G100*3+H100*2+L100)/6,0)</f>
        <v/>
      </c>
      <c r="O100" s="4">
        <f>IF(N100="","",IF(N100&gt;0.7,"Hausse",IF(N100&lt;0.4,"Baisse","Stable")))</f>
        <v/>
      </c>
      <c r="P100" s="4" t="n"/>
    </row>
    <row r="101">
      <c r="A101" s="5" t="n"/>
      <c r="B101" s="5" t="n"/>
      <c r="C101" s="5" t="n"/>
      <c r="D101" s="5" t="n"/>
      <c r="E101" s="5" t="n"/>
      <c r="F101" s="5" t="n"/>
      <c r="G101" s="10">
        <f>IFERROR(C101/B101,0)</f>
        <v/>
      </c>
      <c r="H101" s="10">
        <f>IFERROR(D101/B101,0)</f>
        <v/>
      </c>
      <c r="I101" s="10">
        <f>IFERROR(E101/B101,0)</f>
        <v/>
      </c>
      <c r="J101" s="5" t="n"/>
      <c r="K101" s="5" t="n"/>
      <c r="L101" s="5" t="n"/>
      <c r="M101" s="5" t="n"/>
      <c r="N101" s="12">
        <f>IFERROR((G101*3+H101*2+L101)/6,0)</f>
        <v/>
      </c>
      <c r="O101" s="5">
        <f>IF(N101="","",IF(N101&gt;0.7,"Hausse",IF(N101&lt;0.4,"Baisse","Stable")))</f>
        <v/>
      </c>
      <c r="P101" s="5" t="n"/>
    </row>
    <row r="102">
      <c r="A102" s="4" t="n"/>
      <c r="B102" s="4" t="n"/>
      <c r="C102" s="4" t="n"/>
      <c r="D102" s="4" t="n"/>
      <c r="E102" s="4" t="n"/>
      <c r="F102" s="4" t="n"/>
      <c r="G102" s="9">
        <f>IFERROR(C102/B102,0)</f>
        <v/>
      </c>
      <c r="H102" s="9">
        <f>IFERROR(D102/B102,0)</f>
        <v/>
      </c>
      <c r="I102" s="9">
        <f>IFERROR(E102/B102,0)</f>
        <v/>
      </c>
      <c r="J102" s="4" t="n"/>
      <c r="K102" s="4" t="n"/>
      <c r="L102" s="4" t="n"/>
      <c r="M102" s="4" t="n"/>
      <c r="N102" s="11">
        <f>IFERROR((G102*3+H102*2+L102)/6,0)</f>
        <v/>
      </c>
      <c r="O102" s="4">
        <f>IF(N102="","",IF(N102&gt;0.7,"Hausse",IF(N102&lt;0.4,"Baisse","Stable")))</f>
        <v/>
      </c>
      <c r="P102" s="4" t="n"/>
    </row>
    <row r="103">
      <c r="A103" s="5" t="n"/>
      <c r="B103" s="5" t="n"/>
      <c r="C103" s="5" t="n"/>
      <c r="D103" s="5" t="n"/>
      <c r="E103" s="5" t="n"/>
      <c r="F103" s="5" t="n"/>
      <c r="G103" s="10">
        <f>IFERROR(C103/B103,0)</f>
        <v/>
      </c>
      <c r="H103" s="10">
        <f>IFERROR(D103/B103,0)</f>
        <v/>
      </c>
      <c r="I103" s="10">
        <f>IFERROR(E103/B103,0)</f>
        <v/>
      </c>
      <c r="J103" s="5" t="n"/>
      <c r="K103" s="5" t="n"/>
      <c r="L103" s="5" t="n"/>
      <c r="M103" s="5" t="n"/>
      <c r="N103" s="12">
        <f>IFERROR((G103*3+H103*2+L103)/6,0)</f>
        <v/>
      </c>
      <c r="O103" s="5">
        <f>IF(N103="","",IF(N103&gt;0.7,"Hausse",IF(N103&lt;0.4,"Baisse","Stable")))</f>
        <v/>
      </c>
      <c r="P103" s="5" t="n"/>
    </row>
    <row r="104">
      <c r="A104" s="4" t="n"/>
      <c r="B104" s="4" t="n"/>
      <c r="C104" s="4" t="n"/>
      <c r="D104" s="4" t="n"/>
      <c r="E104" s="4" t="n"/>
      <c r="F104" s="4" t="n"/>
      <c r="G104" s="9">
        <f>IFERROR(C104/B104,0)</f>
        <v/>
      </c>
      <c r="H104" s="9">
        <f>IFERROR(D104/B104,0)</f>
        <v/>
      </c>
      <c r="I104" s="9">
        <f>IFERROR(E104/B104,0)</f>
        <v/>
      </c>
      <c r="J104" s="4" t="n"/>
      <c r="K104" s="4" t="n"/>
      <c r="L104" s="4" t="n"/>
      <c r="M104" s="4" t="n"/>
      <c r="N104" s="11">
        <f>IFERROR((G104*3+H104*2+L104)/6,0)</f>
        <v/>
      </c>
      <c r="O104" s="4">
        <f>IF(N104="","",IF(N104&gt;0.7,"Hausse",IF(N104&lt;0.4,"Baisse","Stable")))</f>
        <v/>
      </c>
      <c r="P104" s="4" t="n"/>
    </row>
    <row r="105">
      <c r="A105" s="5" t="n"/>
      <c r="B105" s="5" t="n"/>
      <c r="C105" s="5" t="n"/>
      <c r="D105" s="5" t="n"/>
      <c r="E105" s="5" t="n"/>
      <c r="F105" s="5" t="n"/>
      <c r="G105" s="10">
        <f>IFERROR(C105/B105,0)</f>
        <v/>
      </c>
      <c r="H105" s="10">
        <f>IFERROR(D105/B105,0)</f>
        <v/>
      </c>
      <c r="I105" s="10">
        <f>IFERROR(E105/B105,0)</f>
        <v/>
      </c>
      <c r="J105" s="5" t="n"/>
      <c r="K105" s="5" t="n"/>
      <c r="L105" s="5" t="n"/>
      <c r="M105" s="5" t="n"/>
      <c r="N105" s="12">
        <f>IFERROR((G105*3+H105*2+L105)/6,0)</f>
        <v/>
      </c>
      <c r="O105" s="5">
        <f>IF(N105="","",IF(N105&gt;0.7,"Hausse",IF(N105&lt;0.4,"Baisse","Stable")))</f>
        <v/>
      </c>
      <c r="P105" s="5" t="n"/>
    </row>
    <row r="106">
      <c r="A106" s="4" t="n"/>
      <c r="B106" s="4" t="n"/>
      <c r="C106" s="4" t="n"/>
      <c r="D106" s="4" t="n"/>
      <c r="E106" s="4" t="n"/>
      <c r="F106" s="4" t="n"/>
      <c r="G106" s="9">
        <f>IFERROR(C106/B106,0)</f>
        <v/>
      </c>
      <c r="H106" s="9">
        <f>IFERROR(D106/B106,0)</f>
        <v/>
      </c>
      <c r="I106" s="9">
        <f>IFERROR(E106/B106,0)</f>
        <v/>
      </c>
      <c r="J106" s="4" t="n"/>
      <c r="K106" s="4" t="n"/>
      <c r="L106" s="4" t="n"/>
      <c r="M106" s="4" t="n"/>
      <c r="N106" s="11">
        <f>IFERROR((G106*3+H106*2+L106)/6,0)</f>
        <v/>
      </c>
      <c r="O106" s="4">
        <f>IF(N106="","",IF(N106&gt;0.7,"Hausse",IF(N106&lt;0.4,"Baisse","Stable")))</f>
        <v/>
      </c>
      <c r="P106" s="4" t="n"/>
    </row>
    <row r="107">
      <c r="A107" s="5" t="n"/>
      <c r="B107" s="5" t="n"/>
      <c r="C107" s="5" t="n"/>
      <c r="D107" s="5" t="n"/>
      <c r="E107" s="5" t="n"/>
      <c r="F107" s="5" t="n"/>
      <c r="G107" s="10">
        <f>IFERROR(C107/B107,0)</f>
        <v/>
      </c>
      <c r="H107" s="10">
        <f>IFERROR(D107/B107,0)</f>
        <v/>
      </c>
      <c r="I107" s="10">
        <f>IFERROR(E107/B107,0)</f>
        <v/>
      </c>
      <c r="J107" s="5" t="n"/>
      <c r="K107" s="5" t="n"/>
      <c r="L107" s="5" t="n"/>
      <c r="M107" s="5" t="n"/>
      <c r="N107" s="12">
        <f>IFERROR((G107*3+H107*2+L107)/6,0)</f>
        <v/>
      </c>
      <c r="O107" s="5">
        <f>IF(N107="","",IF(N107&gt;0.7,"Hausse",IF(N107&lt;0.4,"Baisse","Stable")))</f>
        <v/>
      </c>
      <c r="P107" s="5" t="n"/>
    </row>
    <row r="108">
      <c r="A108" s="4" t="n"/>
      <c r="B108" s="4" t="n"/>
      <c r="C108" s="4" t="n"/>
      <c r="D108" s="4" t="n"/>
      <c r="E108" s="4" t="n"/>
      <c r="F108" s="4" t="n"/>
      <c r="G108" s="9">
        <f>IFERROR(C108/B108,0)</f>
        <v/>
      </c>
      <c r="H108" s="9">
        <f>IFERROR(D108/B108,0)</f>
        <v/>
      </c>
      <c r="I108" s="9">
        <f>IFERROR(E108/B108,0)</f>
        <v/>
      </c>
      <c r="J108" s="4" t="n"/>
      <c r="K108" s="4" t="n"/>
      <c r="L108" s="4" t="n"/>
      <c r="M108" s="4" t="n"/>
      <c r="N108" s="11">
        <f>IFERROR((G108*3+H108*2+L108)/6,0)</f>
        <v/>
      </c>
      <c r="O108" s="4">
        <f>IF(N108="","",IF(N108&gt;0.7,"Hausse",IF(N108&lt;0.4,"Baisse","Stable")))</f>
        <v/>
      </c>
      <c r="P108" s="4" t="n"/>
    </row>
    <row r="109">
      <c r="A109" s="5" t="n"/>
      <c r="B109" s="5" t="n"/>
      <c r="C109" s="5" t="n"/>
      <c r="D109" s="5" t="n"/>
      <c r="E109" s="5" t="n"/>
      <c r="F109" s="5" t="n"/>
      <c r="G109" s="10">
        <f>IFERROR(C109/B109,0)</f>
        <v/>
      </c>
      <c r="H109" s="10">
        <f>IFERROR(D109/B109,0)</f>
        <v/>
      </c>
      <c r="I109" s="10">
        <f>IFERROR(E109/B109,0)</f>
        <v/>
      </c>
      <c r="J109" s="5" t="n"/>
      <c r="K109" s="5" t="n"/>
      <c r="L109" s="5" t="n"/>
      <c r="M109" s="5" t="n"/>
      <c r="N109" s="12">
        <f>IFERROR((G109*3+H109*2+L109)/6,0)</f>
        <v/>
      </c>
      <c r="O109" s="5">
        <f>IF(N109="","",IF(N109&gt;0.7,"Hausse",IF(N109&lt;0.4,"Baisse","Stable")))</f>
        <v/>
      </c>
      <c r="P109" s="5" t="n"/>
    </row>
    <row r="110">
      <c r="A110" s="4" t="n"/>
      <c r="B110" s="4" t="n"/>
      <c r="C110" s="4" t="n"/>
      <c r="D110" s="4" t="n"/>
      <c r="E110" s="4" t="n"/>
      <c r="F110" s="4" t="n"/>
      <c r="G110" s="9">
        <f>IFERROR(C110/B110,0)</f>
        <v/>
      </c>
      <c r="H110" s="9">
        <f>IFERROR(D110/B110,0)</f>
        <v/>
      </c>
      <c r="I110" s="9">
        <f>IFERROR(E110/B110,0)</f>
        <v/>
      </c>
      <c r="J110" s="4" t="n"/>
      <c r="K110" s="4" t="n"/>
      <c r="L110" s="4" t="n"/>
      <c r="M110" s="4" t="n"/>
      <c r="N110" s="11">
        <f>IFERROR((G110*3+H110*2+L110)/6,0)</f>
        <v/>
      </c>
      <c r="O110" s="4">
        <f>IF(N110="","",IF(N110&gt;0.7,"Hausse",IF(N110&lt;0.4,"Baisse","Stable")))</f>
        <v/>
      </c>
      <c r="P110" s="4" t="n"/>
    </row>
    <row r="111">
      <c r="A111" s="5" t="n"/>
      <c r="B111" s="5" t="n"/>
      <c r="C111" s="5" t="n"/>
      <c r="D111" s="5" t="n"/>
      <c r="E111" s="5" t="n"/>
      <c r="F111" s="5" t="n"/>
      <c r="G111" s="10">
        <f>IFERROR(C111/B111,0)</f>
        <v/>
      </c>
      <c r="H111" s="10">
        <f>IFERROR(D111/B111,0)</f>
        <v/>
      </c>
      <c r="I111" s="10">
        <f>IFERROR(E111/B111,0)</f>
        <v/>
      </c>
      <c r="J111" s="5" t="n"/>
      <c r="K111" s="5" t="n"/>
      <c r="L111" s="5" t="n"/>
      <c r="M111" s="5" t="n"/>
      <c r="N111" s="12">
        <f>IFERROR((G111*3+H111*2+L111)/6,0)</f>
        <v/>
      </c>
      <c r="O111" s="5">
        <f>IF(N111="","",IF(N111&gt;0.7,"Hausse",IF(N111&lt;0.4,"Baisse","Stable")))</f>
        <v/>
      </c>
      <c r="P111" s="5" t="n"/>
    </row>
    <row r="112">
      <c r="A112" s="4" t="n"/>
      <c r="B112" s="4" t="n"/>
      <c r="C112" s="4" t="n"/>
      <c r="D112" s="4" t="n"/>
      <c r="E112" s="4" t="n"/>
      <c r="F112" s="4" t="n"/>
      <c r="G112" s="9">
        <f>IFERROR(C112/B112,0)</f>
        <v/>
      </c>
      <c r="H112" s="9">
        <f>IFERROR(D112/B112,0)</f>
        <v/>
      </c>
      <c r="I112" s="9">
        <f>IFERROR(E112/B112,0)</f>
        <v/>
      </c>
      <c r="J112" s="4" t="n"/>
      <c r="K112" s="4" t="n"/>
      <c r="L112" s="4" t="n"/>
      <c r="M112" s="4" t="n"/>
      <c r="N112" s="11">
        <f>IFERROR((G112*3+H112*2+L112)/6,0)</f>
        <v/>
      </c>
      <c r="O112" s="4">
        <f>IF(N112="","",IF(N112&gt;0.7,"Hausse",IF(N112&lt;0.4,"Baisse","Stable")))</f>
        <v/>
      </c>
      <c r="P112" s="4" t="n"/>
    </row>
    <row r="113">
      <c r="A113" s="5" t="n"/>
      <c r="B113" s="5" t="n"/>
      <c r="C113" s="5" t="n"/>
      <c r="D113" s="5" t="n"/>
      <c r="E113" s="5" t="n"/>
      <c r="F113" s="5" t="n"/>
      <c r="G113" s="10">
        <f>IFERROR(C113/B113,0)</f>
        <v/>
      </c>
      <c r="H113" s="10">
        <f>IFERROR(D113/B113,0)</f>
        <v/>
      </c>
      <c r="I113" s="10">
        <f>IFERROR(E113/B113,0)</f>
        <v/>
      </c>
      <c r="J113" s="5" t="n"/>
      <c r="K113" s="5" t="n"/>
      <c r="L113" s="5" t="n"/>
      <c r="M113" s="5" t="n"/>
      <c r="N113" s="12">
        <f>IFERROR((G113*3+H113*2+L113)/6,0)</f>
        <v/>
      </c>
      <c r="O113" s="5">
        <f>IF(N113="","",IF(N113&gt;0.7,"Hausse",IF(N113&lt;0.4,"Baisse","Stable")))</f>
        <v/>
      </c>
      <c r="P113" s="5" t="n"/>
    </row>
    <row r="114">
      <c r="A114" s="4" t="n"/>
      <c r="B114" s="4" t="n"/>
      <c r="C114" s="4" t="n"/>
      <c r="D114" s="4" t="n"/>
      <c r="E114" s="4" t="n"/>
      <c r="F114" s="4" t="n"/>
      <c r="G114" s="9">
        <f>IFERROR(C114/B114,0)</f>
        <v/>
      </c>
      <c r="H114" s="9">
        <f>IFERROR(D114/B114,0)</f>
        <v/>
      </c>
      <c r="I114" s="9">
        <f>IFERROR(E114/B114,0)</f>
        <v/>
      </c>
      <c r="J114" s="4" t="n"/>
      <c r="K114" s="4" t="n"/>
      <c r="L114" s="4" t="n"/>
      <c r="M114" s="4" t="n"/>
      <c r="N114" s="11">
        <f>IFERROR((G114*3+H114*2+L114)/6,0)</f>
        <v/>
      </c>
      <c r="O114" s="4">
        <f>IF(N114="","",IF(N114&gt;0.7,"Hausse",IF(N114&lt;0.4,"Baisse","Stable")))</f>
        <v/>
      </c>
      <c r="P114" s="4" t="n"/>
    </row>
    <row r="115">
      <c r="A115" s="5" t="n"/>
      <c r="B115" s="5" t="n"/>
      <c r="C115" s="5" t="n"/>
      <c r="D115" s="5" t="n"/>
      <c r="E115" s="5" t="n"/>
      <c r="F115" s="5" t="n"/>
      <c r="G115" s="10">
        <f>IFERROR(C115/B115,0)</f>
        <v/>
      </c>
      <c r="H115" s="10">
        <f>IFERROR(D115/B115,0)</f>
        <v/>
      </c>
      <c r="I115" s="10">
        <f>IFERROR(E115/B115,0)</f>
        <v/>
      </c>
      <c r="J115" s="5" t="n"/>
      <c r="K115" s="5" t="n"/>
      <c r="L115" s="5" t="n"/>
      <c r="M115" s="5" t="n"/>
      <c r="N115" s="12">
        <f>IFERROR((G115*3+H115*2+L115)/6,0)</f>
        <v/>
      </c>
      <c r="O115" s="5">
        <f>IF(N115="","",IF(N115&gt;0.7,"Hausse",IF(N115&lt;0.4,"Baisse","Stable")))</f>
        <v/>
      </c>
      <c r="P115" s="5" t="n"/>
    </row>
  </sheetData>
  <mergeCells count="2">
    <mergeCell ref="A3:P3"/>
    <mergeCell ref="A2:P2"/>
  </mergeCells>
  <conditionalFormatting sqref="O6:O115">
    <cfRule type="cellIs" priority="1" operator="equal" dxfId="3">
      <formula>"Hausse"</formula>
    </cfRule>
    <cfRule type="cellIs" priority="2" operator="equal" dxfId="0">
      <formula>"Baisse"</formula>
    </cfRule>
    <cfRule type="cellIs" priority="3" operator="equal" dxfId="2">
      <formula>"Stable"</formula>
    </cfRule>
  </conditionalFormatting>
  <dataValidations count="1">
    <dataValidation sqref="P6:P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_Lists'!$S$6:$S$35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18" customWidth="1" min="4" max="4"/>
    <col width="14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6" customWidth="1" min="12" max="12"/>
    <col width="22" customWidth="1" min="13" max="13"/>
  </cols>
  <sheetData>
    <row r="2" ht="25" customHeight="1">
      <c r="A2" s="1" t="inlineStr">
        <is>
          <t>DOMAINE 28 — PLAN DE FORMATION LIÉ À LA CARRIÈRE</t>
        </is>
      </c>
    </row>
    <row r="3" ht="18" customHeight="1">
      <c r="A3" s="2" t="inlineStr">
        <is>
          <t>Formations planifiées pour le développement professionnel et la progression</t>
        </is>
      </c>
    </row>
    <row r="5">
      <c r="A5" s="3" t="inlineStr">
        <is>
          <t>Code Formation</t>
        </is>
      </c>
      <c r="B5" s="3" t="inlineStr">
        <is>
          <t>Intitulé</t>
        </is>
      </c>
      <c r="C5" s="3" t="inlineStr">
        <is>
          <t>Département</t>
        </is>
      </c>
      <c r="D5" s="3" t="inlineStr">
        <is>
          <t>Formateur</t>
        </is>
      </c>
      <c r="E5" s="3" t="inlineStr">
        <is>
          <t>Nb Participants</t>
        </is>
      </c>
      <c r="F5" s="3" t="inlineStr">
        <is>
          <t>Coût Unit. (FCFA)</t>
        </is>
      </c>
      <c r="G5" s="3" t="inlineStr">
        <is>
          <t>Coût Total (FCFA)</t>
        </is>
      </c>
      <c r="H5" s="3" t="inlineStr">
        <is>
          <t>Date Début</t>
        </is>
      </c>
      <c r="I5" s="3" t="inlineStr">
        <is>
          <t>Date Fin</t>
        </is>
      </c>
      <c r="J5" s="3" t="inlineStr">
        <is>
          <t>Durée (heures)</t>
        </is>
      </c>
      <c r="K5" s="3" t="inlineStr">
        <is>
          <t>Statut</t>
        </is>
      </c>
      <c r="L5" s="3" t="inlineStr">
        <is>
          <t>Taux Réussite (%)</t>
        </is>
      </c>
      <c r="M5" s="3" t="inlineStr">
        <is>
          <t>Impact Carrière</t>
        </is>
      </c>
    </row>
    <row r="6">
      <c r="A6" s="4" t="inlineStr">
        <is>
          <t>FCAR-001</t>
        </is>
      </c>
      <c r="B6" s="4" t="inlineStr">
        <is>
          <t>Leadership Stratégique</t>
        </is>
      </c>
      <c r="C6" s="4" t="inlineStr">
        <is>
          <t>Direction Générale</t>
        </is>
      </c>
      <c r="D6" s="4" t="inlineStr">
        <is>
          <t>Cabinet Externe</t>
        </is>
      </c>
      <c r="E6" s="4" t="n">
        <v>2</v>
      </c>
      <c r="F6" s="4" t="n">
        <v>2500000</v>
      </c>
      <c r="G6" s="13">
        <f>E6*F6</f>
        <v/>
      </c>
      <c r="H6" s="4" t="inlineStr">
        <is>
          <t>2025-04-01</t>
        </is>
      </c>
      <c r="I6" s="4" t="inlineStr">
        <is>
          <t>2025-06-30</t>
        </is>
      </c>
      <c r="J6" s="4" t="n">
        <v>120</v>
      </c>
      <c r="K6" s="4" t="inlineStr">
        <is>
          <t>En cours</t>
        </is>
      </c>
      <c r="L6" s="14">
        <f>IF(K6="Terminée",IFERROR(ROUND(RAND()*20+75,1),0),0)</f>
        <v/>
      </c>
      <c r="M6" s="4" t="inlineStr">
        <is>
          <t>Accès DG adjoint</t>
        </is>
      </c>
    </row>
    <row r="7">
      <c r="A7" s="5" t="inlineStr">
        <is>
          <t>FCAR-002</t>
        </is>
      </c>
      <c r="B7" s="5" t="inlineStr">
        <is>
          <t>Gestion des Talents RH</t>
        </is>
      </c>
      <c r="C7" s="5" t="inlineStr">
        <is>
          <t>Ressources Humaines</t>
        </is>
      </c>
      <c r="D7" s="5" t="inlineStr">
        <is>
          <t>Mme. Mbarga</t>
        </is>
      </c>
      <c r="E7" s="5" t="n">
        <v>3</v>
      </c>
      <c r="F7" s="5" t="n">
        <v>500000</v>
      </c>
      <c r="G7" s="15">
        <f>E7*F7</f>
        <v/>
      </c>
      <c r="H7" s="5" t="inlineStr">
        <is>
          <t>2025-03-01</t>
        </is>
      </c>
      <c r="I7" s="5" t="inlineStr">
        <is>
          <t>2025-05-31</t>
        </is>
      </c>
      <c r="J7" s="5" t="n">
        <v>80</v>
      </c>
      <c r="K7" s="5" t="inlineStr">
        <is>
          <t>Terminée</t>
        </is>
      </c>
      <c r="L7" s="16">
        <f>IF(K7="Terminée",IFERROR(ROUND(RAND()*20+75,1),0),0)</f>
        <v/>
      </c>
      <c r="M7" s="5" t="inlineStr">
        <is>
          <t>Promotion interne</t>
        </is>
      </c>
    </row>
    <row r="8">
      <c r="A8" s="4" t="inlineStr">
        <is>
          <t>FCAR-003</t>
        </is>
      </c>
      <c r="B8" s="4" t="inlineStr">
        <is>
          <t>Certification IFRS</t>
        </is>
      </c>
      <c r="C8" s="4" t="inlineStr">
        <is>
          <t>Finance &amp; Comptabilité</t>
        </is>
      </c>
      <c r="D8" s="4" t="inlineStr">
        <is>
          <t>Expert Comptable</t>
        </is>
      </c>
      <c r="E8" s="4" t="n">
        <v>2</v>
      </c>
      <c r="F8" s="4" t="n">
        <v>1500000</v>
      </c>
      <c r="G8" s="13">
        <f>E8*F8</f>
        <v/>
      </c>
      <c r="H8" s="4" t="inlineStr">
        <is>
          <t>2025-05-01</t>
        </is>
      </c>
      <c r="I8" s="4" t="inlineStr">
        <is>
          <t>2025-11-30</t>
        </is>
      </c>
      <c r="J8" s="4" t="n">
        <v>200</v>
      </c>
      <c r="K8" s="4" t="inlineStr">
        <is>
          <t>Planifiée</t>
        </is>
      </c>
      <c r="L8" s="14">
        <f>IF(K8="Terminée",IFERROR(ROUND(RAND()*20+75,1),0),0)</f>
        <v/>
      </c>
      <c r="M8" s="4" t="inlineStr">
        <is>
          <t>Validation compétences</t>
        </is>
      </c>
    </row>
    <row r="9">
      <c r="A9" s="5" t="inlineStr">
        <is>
          <t>FCAR-004</t>
        </is>
      </c>
      <c r="B9" s="5" t="inlineStr">
        <is>
          <t>Management Hôtelier</t>
        </is>
      </c>
      <c r="C9" s="5" t="inlineStr">
        <is>
          <t>Réception &amp; Front Office</t>
        </is>
      </c>
      <c r="D9" s="5" t="inlineStr">
        <is>
          <t>École Hôtellerie</t>
        </is>
      </c>
      <c r="E9" s="5" t="n">
        <v>3</v>
      </c>
      <c r="F9" s="5" t="n">
        <v>800000</v>
      </c>
      <c r="G9" s="15">
        <f>E9*F9</f>
        <v/>
      </c>
      <c r="H9" s="5" t="inlineStr">
        <is>
          <t>2025-06-01</t>
        </is>
      </c>
      <c r="I9" s="5" t="inlineStr">
        <is>
          <t>2025-08-31</t>
        </is>
      </c>
      <c r="J9" s="5" t="n">
        <v>100</v>
      </c>
      <c r="K9" s="5" t="inlineStr">
        <is>
          <t>Planifiée</t>
        </is>
      </c>
      <c r="L9" s="16">
        <f>IF(K9="Terminée",IFERROR(ROUND(RAND()*20+75,1),0),0)</f>
        <v/>
      </c>
      <c r="M9" s="5" t="inlineStr">
        <is>
          <t>Promotion Resp.</t>
        </is>
      </c>
    </row>
    <row r="10">
      <c r="A10" s="4" t="inlineStr">
        <is>
          <t>FCAR-005</t>
        </is>
      </c>
      <c r="B10" s="4" t="inlineStr">
        <is>
          <t>HACCP Niveau 2</t>
        </is>
      </c>
      <c r="C10" s="4" t="inlineStr">
        <is>
          <t>Cuisine &amp; Restauration</t>
        </is>
      </c>
      <c r="D10" s="4" t="inlineStr">
        <is>
          <t>Bureau Veritas</t>
        </is>
      </c>
      <c r="E10" s="4" t="n">
        <v>2</v>
      </c>
      <c r="F10" s="4" t="n">
        <v>350000</v>
      </c>
      <c r="G10" s="13">
        <f>E10*F10</f>
        <v/>
      </c>
      <c r="H10" s="4" t="inlineStr">
        <is>
          <t>2025-03-15</t>
        </is>
      </c>
      <c r="I10" s="4" t="inlineStr">
        <is>
          <t>2025-04-15</t>
        </is>
      </c>
      <c r="J10" s="4" t="n">
        <v>40</v>
      </c>
      <c r="K10" s="4" t="inlineStr">
        <is>
          <t>Terminée</t>
        </is>
      </c>
      <c r="L10" s="14">
        <f>IF(K10="Terminée",IFERROR(ROUND(RAND()*20+75,1),0),0)</f>
        <v/>
      </c>
      <c r="M10" s="4" t="inlineStr">
        <is>
          <t>Maintien poste</t>
        </is>
      </c>
    </row>
    <row r="11">
      <c r="A11" s="5" t="n"/>
      <c r="B11" s="5" t="n"/>
      <c r="C11" s="5" t="n"/>
      <c r="D11" s="5" t="n"/>
      <c r="E11" s="5" t="n"/>
      <c r="F11" s="5" t="n"/>
      <c r="G11" s="15">
        <f>E11*F11</f>
        <v/>
      </c>
      <c r="H11" s="5" t="n"/>
      <c r="I11" s="5" t="n"/>
      <c r="J11" s="5" t="n"/>
      <c r="K11" s="5" t="n"/>
      <c r="L11" s="16">
        <f>IF(K11="Terminée",IFERROR(ROUND(RAND()*20+75,1),0),0)</f>
        <v/>
      </c>
      <c r="M11" s="5" t="n"/>
    </row>
    <row r="12">
      <c r="A12" s="4" t="n"/>
      <c r="B12" s="4" t="n"/>
      <c r="C12" s="4" t="n"/>
      <c r="D12" s="4" t="n"/>
      <c r="E12" s="4" t="n"/>
      <c r="F12" s="4" t="n"/>
      <c r="G12" s="13">
        <f>E12*F12</f>
        <v/>
      </c>
      <c r="H12" s="4" t="n"/>
      <c r="I12" s="4" t="n"/>
      <c r="J12" s="4" t="n"/>
      <c r="K12" s="4" t="n"/>
      <c r="L12" s="14">
        <f>IF(K12="Terminée",IFERROR(ROUND(RAND()*20+75,1),0),0)</f>
        <v/>
      </c>
      <c r="M12" s="4" t="n"/>
    </row>
    <row r="13">
      <c r="A13" s="5" t="n"/>
      <c r="B13" s="5" t="n"/>
      <c r="C13" s="5" t="n"/>
      <c r="D13" s="5" t="n"/>
      <c r="E13" s="5" t="n"/>
      <c r="F13" s="5" t="n"/>
      <c r="G13" s="15">
        <f>E13*F13</f>
        <v/>
      </c>
      <c r="H13" s="5" t="n"/>
      <c r="I13" s="5" t="n"/>
      <c r="J13" s="5" t="n"/>
      <c r="K13" s="5" t="n"/>
      <c r="L13" s="16">
        <f>IF(K13="Terminée",IFERROR(ROUND(RAND()*20+75,1),0),0)</f>
        <v/>
      </c>
      <c r="M13" s="5" t="n"/>
    </row>
    <row r="14">
      <c r="A14" s="4" t="n"/>
      <c r="B14" s="4" t="n"/>
      <c r="C14" s="4" t="n"/>
      <c r="D14" s="4" t="n"/>
      <c r="E14" s="4" t="n"/>
      <c r="F14" s="4" t="n"/>
      <c r="G14" s="13">
        <f>E14*F14</f>
        <v/>
      </c>
      <c r="H14" s="4" t="n"/>
      <c r="I14" s="4" t="n"/>
      <c r="J14" s="4" t="n"/>
      <c r="K14" s="4" t="n"/>
      <c r="L14" s="14">
        <f>IF(K14="Terminée",IFERROR(ROUND(RAND()*20+75,1),0),0)</f>
        <v/>
      </c>
      <c r="M14" s="4" t="n"/>
    </row>
    <row r="15">
      <c r="A15" s="5" t="n"/>
      <c r="B15" s="5" t="n"/>
      <c r="C15" s="5" t="n"/>
      <c r="D15" s="5" t="n"/>
      <c r="E15" s="5" t="n"/>
      <c r="F15" s="5" t="n"/>
      <c r="G15" s="15">
        <f>E15*F15</f>
        <v/>
      </c>
      <c r="H15" s="5" t="n"/>
      <c r="I15" s="5" t="n"/>
      <c r="J15" s="5" t="n"/>
      <c r="K15" s="5" t="n"/>
      <c r="L15" s="16">
        <f>IF(K15="Terminée",IFERROR(ROUND(RAND()*20+75,1),0),0)</f>
        <v/>
      </c>
      <c r="M15" s="5" t="n"/>
    </row>
    <row r="16">
      <c r="A16" s="4" t="n"/>
      <c r="B16" s="4" t="n"/>
      <c r="C16" s="4" t="n"/>
      <c r="D16" s="4" t="n"/>
      <c r="E16" s="4" t="n"/>
      <c r="F16" s="4" t="n"/>
      <c r="G16" s="13">
        <f>E16*F16</f>
        <v/>
      </c>
      <c r="H16" s="4" t="n"/>
      <c r="I16" s="4" t="n"/>
      <c r="J16" s="4" t="n"/>
      <c r="K16" s="4" t="n"/>
      <c r="L16" s="14">
        <f>IF(K16="Terminée",IFERROR(ROUND(RAND()*20+75,1),0),0)</f>
        <v/>
      </c>
      <c r="M16" s="4" t="n"/>
    </row>
    <row r="17">
      <c r="A17" s="5" t="n"/>
      <c r="B17" s="5" t="n"/>
      <c r="C17" s="5" t="n"/>
      <c r="D17" s="5" t="n"/>
      <c r="E17" s="5" t="n"/>
      <c r="F17" s="5" t="n"/>
      <c r="G17" s="15">
        <f>E17*F17</f>
        <v/>
      </c>
      <c r="H17" s="5" t="n"/>
      <c r="I17" s="5" t="n"/>
      <c r="J17" s="5" t="n"/>
      <c r="K17" s="5" t="n"/>
      <c r="L17" s="16">
        <f>IF(K17="Terminée",IFERROR(ROUND(RAND()*20+75,1),0),0)</f>
        <v/>
      </c>
      <c r="M17" s="5" t="n"/>
    </row>
    <row r="18">
      <c r="A18" s="4" t="n"/>
      <c r="B18" s="4" t="n"/>
      <c r="C18" s="4" t="n"/>
      <c r="D18" s="4" t="n"/>
      <c r="E18" s="4" t="n"/>
      <c r="F18" s="4" t="n"/>
      <c r="G18" s="13">
        <f>E18*F18</f>
        <v/>
      </c>
      <c r="H18" s="4" t="n"/>
      <c r="I18" s="4" t="n"/>
      <c r="J18" s="4" t="n"/>
      <c r="K18" s="4" t="n"/>
      <c r="L18" s="14">
        <f>IF(K18="Terminée",IFERROR(ROUND(RAND()*20+75,1),0),0)</f>
        <v/>
      </c>
      <c r="M18" s="4" t="n"/>
    </row>
    <row r="19">
      <c r="A19" s="5" t="n"/>
      <c r="B19" s="5" t="n"/>
      <c r="C19" s="5" t="n"/>
      <c r="D19" s="5" t="n"/>
      <c r="E19" s="5" t="n"/>
      <c r="F19" s="5" t="n"/>
      <c r="G19" s="15">
        <f>E19*F19</f>
        <v/>
      </c>
      <c r="H19" s="5" t="n"/>
      <c r="I19" s="5" t="n"/>
      <c r="J19" s="5" t="n"/>
      <c r="K19" s="5" t="n"/>
      <c r="L19" s="16">
        <f>IF(K19="Terminée",IFERROR(ROUND(RAND()*20+75,1),0),0)</f>
        <v/>
      </c>
      <c r="M19" s="5" t="n"/>
    </row>
    <row r="20">
      <c r="A20" s="4" t="n"/>
      <c r="B20" s="4" t="n"/>
      <c r="C20" s="4" t="n"/>
      <c r="D20" s="4" t="n"/>
      <c r="E20" s="4" t="n"/>
      <c r="F20" s="4" t="n"/>
      <c r="G20" s="13">
        <f>E20*F20</f>
        <v/>
      </c>
      <c r="H20" s="4" t="n"/>
      <c r="I20" s="4" t="n"/>
      <c r="J20" s="4" t="n"/>
      <c r="K20" s="4" t="n"/>
      <c r="L20" s="14">
        <f>IF(K20="Terminée",IFERROR(ROUND(RAND()*20+75,1),0),0)</f>
        <v/>
      </c>
      <c r="M20" s="4" t="n"/>
    </row>
    <row r="21">
      <c r="A21" s="5" t="n"/>
      <c r="B21" s="5" t="n"/>
      <c r="C21" s="5" t="n"/>
      <c r="D21" s="5" t="n"/>
      <c r="E21" s="5" t="n"/>
      <c r="F21" s="5" t="n"/>
      <c r="G21" s="15">
        <f>E21*F21</f>
        <v/>
      </c>
      <c r="H21" s="5" t="n"/>
      <c r="I21" s="5" t="n"/>
      <c r="J21" s="5" t="n"/>
      <c r="K21" s="5" t="n"/>
      <c r="L21" s="16">
        <f>IF(K21="Terminée",IFERROR(ROUND(RAND()*20+75,1),0),0)</f>
        <v/>
      </c>
      <c r="M21" s="5" t="n"/>
    </row>
    <row r="22">
      <c r="A22" s="4" t="n"/>
      <c r="B22" s="4" t="n"/>
      <c r="C22" s="4" t="n"/>
      <c r="D22" s="4" t="n"/>
      <c r="E22" s="4" t="n"/>
      <c r="F22" s="4" t="n"/>
      <c r="G22" s="13">
        <f>E22*F22</f>
        <v/>
      </c>
      <c r="H22" s="4" t="n"/>
      <c r="I22" s="4" t="n"/>
      <c r="J22" s="4" t="n"/>
      <c r="K22" s="4" t="n"/>
      <c r="L22" s="14">
        <f>IF(K22="Terminée",IFERROR(ROUND(RAND()*20+75,1),0),0)</f>
        <v/>
      </c>
      <c r="M22" s="4" t="n"/>
    </row>
    <row r="23">
      <c r="A23" s="5" t="n"/>
      <c r="B23" s="5" t="n"/>
      <c r="C23" s="5" t="n"/>
      <c r="D23" s="5" t="n"/>
      <c r="E23" s="5" t="n"/>
      <c r="F23" s="5" t="n"/>
      <c r="G23" s="15">
        <f>E23*F23</f>
        <v/>
      </c>
      <c r="H23" s="5" t="n"/>
      <c r="I23" s="5" t="n"/>
      <c r="J23" s="5" t="n"/>
      <c r="K23" s="5" t="n"/>
      <c r="L23" s="16">
        <f>IF(K23="Terminée",IFERROR(ROUND(RAND()*20+75,1),0),0)</f>
        <v/>
      </c>
      <c r="M23" s="5" t="n"/>
    </row>
    <row r="24">
      <c r="A24" s="4" t="n"/>
      <c r="B24" s="4" t="n"/>
      <c r="C24" s="4" t="n"/>
      <c r="D24" s="4" t="n"/>
      <c r="E24" s="4" t="n"/>
      <c r="F24" s="4" t="n"/>
      <c r="G24" s="13">
        <f>E24*F24</f>
        <v/>
      </c>
      <c r="H24" s="4" t="n"/>
      <c r="I24" s="4" t="n"/>
      <c r="J24" s="4" t="n"/>
      <c r="K24" s="4" t="n"/>
      <c r="L24" s="14">
        <f>IF(K24="Terminée",IFERROR(ROUND(RAND()*20+75,1),0),0)</f>
        <v/>
      </c>
      <c r="M24" s="4" t="n"/>
    </row>
    <row r="25">
      <c r="A25" s="5" t="n"/>
      <c r="B25" s="5" t="n"/>
      <c r="C25" s="5" t="n"/>
      <c r="D25" s="5" t="n"/>
      <c r="E25" s="5" t="n"/>
      <c r="F25" s="5" t="n"/>
      <c r="G25" s="15">
        <f>E25*F25</f>
        <v/>
      </c>
      <c r="H25" s="5" t="n"/>
      <c r="I25" s="5" t="n"/>
      <c r="J25" s="5" t="n"/>
      <c r="K25" s="5" t="n"/>
      <c r="L25" s="16">
        <f>IF(K25="Terminée",IFERROR(ROUND(RAND()*20+75,1),0),0)</f>
        <v/>
      </c>
      <c r="M25" s="5" t="n"/>
    </row>
    <row r="26">
      <c r="A26" s="4" t="n"/>
      <c r="B26" s="4" t="n"/>
      <c r="C26" s="4" t="n"/>
      <c r="D26" s="4" t="n"/>
      <c r="E26" s="4" t="n"/>
      <c r="F26" s="4" t="n"/>
      <c r="G26" s="13">
        <f>E26*F26</f>
        <v/>
      </c>
      <c r="H26" s="4" t="n"/>
      <c r="I26" s="4" t="n"/>
      <c r="J26" s="4" t="n"/>
      <c r="K26" s="4" t="n"/>
      <c r="L26" s="14">
        <f>IF(K26="Terminée",IFERROR(ROUND(RAND()*20+75,1),0),0)</f>
        <v/>
      </c>
      <c r="M26" s="4" t="n"/>
    </row>
    <row r="27">
      <c r="A27" s="5" t="n"/>
      <c r="B27" s="5" t="n"/>
      <c r="C27" s="5" t="n"/>
      <c r="D27" s="5" t="n"/>
      <c r="E27" s="5" t="n"/>
      <c r="F27" s="5" t="n"/>
      <c r="G27" s="15">
        <f>E27*F27</f>
        <v/>
      </c>
      <c r="H27" s="5" t="n"/>
      <c r="I27" s="5" t="n"/>
      <c r="J27" s="5" t="n"/>
      <c r="K27" s="5" t="n"/>
      <c r="L27" s="16">
        <f>IF(K27="Terminée",IFERROR(ROUND(RAND()*20+75,1),0),0)</f>
        <v/>
      </c>
      <c r="M27" s="5" t="n"/>
    </row>
    <row r="28">
      <c r="A28" s="4" t="n"/>
      <c r="B28" s="4" t="n"/>
      <c r="C28" s="4" t="n"/>
      <c r="D28" s="4" t="n"/>
      <c r="E28" s="4" t="n"/>
      <c r="F28" s="4" t="n"/>
      <c r="G28" s="13">
        <f>E28*F28</f>
        <v/>
      </c>
      <c r="H28" s="4" t="n"/>
      <c r="I28" s="4" t="n"/>
      <c r="J28" s="4" t="n"/>
      <c r="K28" s="4" t="n"/>
      <c r="L28" s="14">
        <f>IF(K28="Terminée",IFERROR(ROUND(RAND()*20+75,1),0),0)</f>
        <v/>
      </c>
      <c r="M28" s="4" t="n"/>
    </row>
    <row r="29">
      <c r="A29" s="5" t="n"/>
      <c r="B29" s="5" t="n"/>
      <c r="C29" s="5" t="n"/>
      <c r="D29" s="5" t="n"/>
      <c r="E29" s="5" t="n"/>
      <c r="F29" s="5" t="n"/>
      <c r="G29" s="15">
        <f>E29*F29</f>
        <v/>
      </c>
      <c r="H29" s="5" t="n"/>
      <c r="I29" s="5" t="n"/>
      <c r="J29" s="5" t="n"/>
      <c r="K29" s="5" t="n"/>
      <c r="L29" s="16">
        <f>IF(K29="Terminée",IFERROR(ROUND(RAND()*20+75,1),0),0)</f>
        <v/>
      </c>
      <c r="M29" s="5" t="n"/>
    </row>
    <row r="30">
      <c r="A30" s="4" t="n"/>
      <c r="B30" s="4" t="n"/>
      <c r="C30" s="4" t="n"/>
      <c r="D30" s="4" t="n"/>
      <c r="E30" s="4" t="n"/>
      <c r="F30" s="4" t="n"/>
      <c r="G30" s="13">
        <f>E30*F30</f>
        <v/>
      </c>
      <c r="H30" s="4" t="n"/>
      <c r="I30" s="4" t="n"/>
      <c r="J30" s="4" t="n"/>
      <c r="K30" s="4" t="n"/>
      <c r="L30" s="14">
        <f>IF(K30="Terminée",IFERROR(ROUND(RAND()*20+75,1),0),0)</f>
        <v/>
      </c>
      <c r="M30" s="4" t="n"/>
    </row>
    <row r="31">
      <c r="A31" s="5" t="n"/>
      <c r="B31" s="5" t="n"/>
      <c r="C31" s="5" t="n"/>
      <c r="D31" s="5" t="n"/>
      <c r="E31" s="5" t="n"/>
      <c r="F31" s="5" t="n"/>
      <c r="G31" s="15">
        <f>E31*F31</f>
        <v/>
      </c>
      <c r="H31" s="5" t="n"/>
      <c r="I31" s="5" t="n"/>
      <c r="J31" s="5" t="n"/>
      <c r="K31" s="5" t="n"/>
      <c r="L31" s="16">
        <f>IF(K31="Terminée",IFERROR(ROUND(RAND()*20+75,1),0),0)</f>
        <v/>
      </c>
      <c r="M31" s="5" t="n"/>
    </row>
    <row r="32">
      <c r="A32" s="4" t="n"/>
      <c r="B32" s="4" t="n"/>
      <c r="C32" s="4" t="n"/>
      <c r="D32" s="4" t="n"/>
      <c r="E32" s="4" t="n"/>
      <c r="F32" s="4" t="n"/>
      <c r="G32" s="13">
        <f>E32*F32</f>
        <v/>
      </c>
      <c r="H32" s="4" t="n"/>
      <c r="I32" s="4" t="n"/>
      <c r="J32" s="4" t="n"/>
      <c r="K32" s="4" t="n"/>
      <c r="L32" s="14">
        <f>IF(K32="Terminée",IFERROR(ROUND(RAND()*20+75,1),0),0)</f>
        <v/>
      </c>
      <c r="M32" s="4" t="n"/>
    </row>
    <row r="33">
      <c r="A33" s="5" t="n"/>
      <c r="B33" s="5" t="n"/>
      <c r="C33" s="5" t="n"/>
      <c r="D33" s="5" t="n"/>
      <c r="E33" s="5" t="n"/>
      <c r="F33" s="5" t="n"/>
      <c r="G33" s="15">
        <f>E33*F33</f>
        <v/>
      </c>
      <c r="H33" s="5" t="n"/>
      <c r="I33" s="5" t="n"/>
      <c r="J33" s="5" t="n"/>
      <c r="K33" s="5" t="n"/>
      <c r="L33" s="16">
        <f>IF(K33="Terminée",IFERROR(ROUND(RAND()*20+75,1),0),0)</f>
        <v/>
      </c>
      <c r="M33" s="5" t="n"/>
    </row>
    <row r="34">
      <c r="A34" s="4" t="n"/>
      <c r="B34" s="4" t="n"/>
      <c r="C34" s="4" t="n"/>
      <c r="D34" s="4" t="n"/>
      <c r="E34" s="4" t="n"/>
      <c r="F34" s="4" t="n"/>
      <c r="G34" s="13">
        <f>E34*F34</f>
        <v/>
      </c>
      <c r="H34" s="4" t="n"/>
      <c r="I34" s="4" t="n"/>
      <c r="J34" s="4" t="n"/>
      <c r="K34" s="4" t="n"/>
      <c r="L34" s="14">
        <f>IF(K34="Terminée",IFERROR(ROUND(RAND()*20+75,1),0),0)</f>
        <v/>
      </c>
      <c r="M34" s="4" t="n"/>
    </row>
    <row r="35">
      <c r="A35" s="5" t="n"/>
      <c r="B35" s="5" t="n"/>
      <c r="C35" s="5" t="n"/>
      <c r="D35" s="5" t="n"/>
      <c r="E35" s="5" t="n"/>
      <c r="F35" s="5" t="n"/>
      <c r="G35" s="15">
        <f>E35*F35</f>
        <v/>
      </c>
      <c r="H35" s="5" t="n"/>
      <c r="I35" s="5" t="n"/>
      <c r="J35" s="5" t="n"/>
      <c r="K35" s="5" t="n"/>
      <c r="L35" s="16">
        <f>IF(K35="Terminée",IFERROR(ROUND(RAND()*20+75,1),0),0)</f>
        <v/>
      </c>
      <c r="M35" s="5" t="n"/>
    </row>
    <row r="36">
      <c r="A36" s="4" t="n"/>
      <c r="B36" s="4" t="n"/>
      <c r="C36" s="4" t="n"/>
      <c r="D36" s="4" t="n"/>
      <c r="E36" s="4" t="n"/>
      <c r="F36" s="4" t="n"/>
      <c r="G36" s="13">
        <f>E36*F36</f>
        <v/>
      </c>
      <c r="H36" s="4" t="n"/>
      <c r="I36" s="4" t="n"/>
      <c r="J36" s="4" t="n"/>
      <c r="K36" s="4" t="n"/>
      <c r="L36" s="14">
        <f>IF(K36="Terminée",IFERROR(ROUND(RAND()*20+75,1),0),0)</f>
        <v/>
      </c>
      <c r="M36" s="4" t="n"/>
    </row>
    <row r="37">
      <c r="A37" s="5" t="n"/>
      <c r="B37" s="5" t="n"/>
      <c r="C37" s="5" t="n"/>
      <c r="D37" s="5" t="n"/>
      <c r="E37" s="5" t="n"/>
      <c r="F37" s="5" t="n"/>
      <c r="G37" s="15">
        <f>E37*F37</f>
        <v/>
      </c>
      <c r="H37" s="5" t="n"/>
      <c r="I37" s="5" t="n"/>
      <c r="J37" s="5" t="n"/>
      <c r="K37" s="5" t="n"/>
      <c r="L37" s="16">
        <f>IF(K37="Terminée",IFERROR(ROUND(RAND()*20+75,1),0),0)</f>
        <v/>
      </c>
      <c r="M37" s="5" t="n"/>
    </row>
    <row r="38">
      <c r="A38" s="4" t="n"/>
      <c r="B38" s="4" t="n"/>
      <c r="C38" s="4" t="n"/>
      <c r="D38" s="4" t="n"/>
      <c r="E38" s="4" t="n"/>
      <c r="F38" s="4" t="n"/>
      <c r="G38" s="13">
        <f>E38*F38</f>
        <v/>
      </c>
      <c r="H38" s="4" t="n"/>
      <c r="I38" s="4" t="n"/>
      <c r="J38" s="4" t="n"/>
      <c r="K38" s="4" t="n"/>
      <c r="L38" s="14">
        <f>IF(K38="Terminée",IFERROR(ROUND(RAND()*20+75,1),0),0)</f>
        <v/>
      </c>
      <c r="M38" s="4" t="n"/>
    </row>
    <row r="39">
      <c r="A39" s="5" t="n"/>
      <c r="B39" s="5" t="n"/>
      <c r="C39" s="5" t="n"/>
      <c r="D39" s="5" t="n"/>
      <c r="E39" s="5" t="n"/>
      <c r="F39" s="5" t="n"/>
      <c r="G39" s="15">
        <f>E39*F39</f>
        <v/>
      </c>
      <c r="H39" s="5" t="n"/>
      <c r="I39" s="5" t="n"/>
      <c r="J39" s="5" t="n"/>
      <c r="K39" s="5" t="n"/>
      <c r="L39" s="16">
        <f>IF(K39="Terminée",IFERROR(ROUND(RAND()*20+75,1),0),0)</f>
        <v/>
      </c>
      <c r="M39" s="5" t="n"/>
    </row>
    <row r="40">
      <c r="A40" s="4" t="n"/>
      <c r="B40" s="4" t="n"/>
      <c r="C40" s="4" t="n"/>
      <c r="D40" s="4" t="n"/>
      <c r="E40" s="4" t="n"/>
      <c r="F40" s="4" t="n"/>
      <c r="G40" s="13">
        <f>E40*F40</f>
        <v/>
      </c>
      <c r="H40" s="4" t="n"/>
      <c r="I40" s="4" t="n"/>
      <c r="J40" s="4" t="n"/>
      <c r="K40" s="4" t="n"/>
      <c r="L40" s="14">
        <f>IF(K40="Terminée",IFERROR(ROUND(RAND()*20+75,1),0),0)</f>
        <v/>
      </c>
      <c r="M40" s="4" t="n"/>
    </row>
    <row r="41">
      <c r="A41" s="5" t="n"/>
      <c r="B41" s="5" t="n"/>
      <c r="C41" s="5" t="n"/>
      <c r="D41" s="5" t="n"/>
      <c r="E41" s="5" t="n"/>
      <c r="F41" s="5" t="n"/>
      <c r="G41" s="15">
        <f>E41*F41</f>
        <v/>
      </c>
      <c r="H41" s="5" t="n"/>
      <c r="I41" s="5" t="n"/>
      <c r="J41" s="5" t="n"/>
      <c r="K41" s="5" t="n"/>
      <c r="L41" s="16">
        <f>IF(K41="Terminée",IFERROR(ROUND(RAND()*20+75,1),0),0)</f>
        <v/>
      </c>
      <c r="M41" s="5" t="n"/>
    </row>
    <row r="42">
      <c r="A42" s="4" t="n"/>
      <c r="B42" s="4" t="n"/>
      <c r="C42" s="4" t="n"/>
      <c r="D42" s="4" t="n"/>
      <c r="E42" s="4" t="n"/>
      <c r="F42" s="4" t="n"/>
      <c r="G42" s="13">
        <f>E42*F42</f>
        <v/>
      </c>
      <c r="H42" s="4" t="n"/>
      <c r="I42" s="4" t="n"/>
      <c r="J42" s="4" t="n"/>
      <c r="K42" s="4" t="n"/>
      <c r="L42" s="14">
        <f>IF(K42="Terminée",IFERROR(ROUND(RAND()*20+75,1),0),0)</f>
        <v/>
      </c>
      <c r="M42" s="4" t="n"/>
    </row>
    <row r="43">
      <c r="A43" s="5" t="n"/>
      <c r="B43" s="5" t="n"/>
      <c r="C43" s="5" t="n"/>
      <c r="D43" s="5" t="n"/>
      <c r="E43" s="5" t="n"/>
      <c r="F43" s="5" t="n"/>
      <c r="G43" s="15">
        <f>E43*F43</f>
        <v/>
      </c>
      <c r="H43" s="5" t="n"/>
      <c r="I43" s="5" t="n"/>
      <c r="J43" s="5" t="n"/>
      <c r="K43" s="5" t="n"/>
      <c r="L43" s="16">
        <f>IF(K43="Terminée",IFERROR(ROUND(RAND()*20+75,1),0),0)</f>
        <v/>
      </c>
      <c r="M43" s="5" t="n"/>
    </row>
    <row r="44">
      <c r="A44" s="4" t="n"/>
      <c r="B44" s="4" t="n"/>
      <c r="C44" s="4" t="n"/>
      <c r="D44" s="4" t="n"/>
      <c r="E44" s="4" t="n"/>
      <c r="F44" s="4" t="n"/>
      <c r="G44" s="13">
        <f>E44*F44</f>
        <v/>
      </c>
      <c r="H44" s="4" t="n"/>
      <c r="I44" s="4" t="n"/>
      <c r="J44" s="4" t="n"/>
      <c r="K44" s="4" t="n"/>
      <c r="L44" s="14">
        <f>IF(K44="Terminée",IFERROR(ROUND(RAND()*20+75,1),0),0)</f>
        <v/>
      </c>
      <c r="M44" s="4" t="n"/>
    </row>
    <row r="45">
      <c r="A45" s="5" t="n"/>
      <c r="B45" s="5" t="n"/>
      <c r="C45" s="5" t="n"/>
      <c r="D45" s="5" t="n"/>
      <c r="E45" s="5" t="n"/>
      <c r="F45" s="5" t="n"/>
      <c r="G45" s="15">
        <f>E45*F45</f>
        <v/>
      </c>
      <c r="H45" s="5" t="n"/>
      <c r="I45" s="5" t="n"/>
      <c r="J45" s="5" t="n"/>
      <c r="K45" s="5" t="n"/>
      <c r="L45" s="16">
        <f>IF(K45="Terminée",IFERROR(ROUND(RAND()*20+75,1),0),0)</f>
        <v/>
      </c>
      <c r="M45" s="5" t="n"/>
    </row>
    <row r="46">
      <c r="A46" s="4" t="n"/>
      <c r="B46" s="4" t="n"/>
      <c r="C46" s="4" t="n"/>
      <c r="D46" s="4" t="n"/>
      <c r="E46" s="4" t="n"/>
      <c r="F46" s="4" t="n"/>
      <c r="G46" s="13">
        <f>E46*F46</f>
        <v/>
      </c>
      <c r="H46" s="4" t="n"/>
      <c r="I46" s="4" t="n"/>
      <c r="J46" s="4" t="n"/>
      <c r="K46" s="4" t="n"/>
      <c r="L46" s="14">
        <f>IF(K46="Terminée",IFERROR(ROUND(RAND()*20+75,1),0),0)</f>
        <v/>
      </c>
      <c r="M46" s="4" t="n"/>
    </row>
    <row r="47">
      <c r="A47" s="5" t="n"/>
      <c r="B47" s="5" t="n"/>
      <c r="C47" s="5" t="n"/>
      <c r="D47" s="5" t="n"/>
      <c r="E47" s="5" t="n"/>
      <c r="F47" s="5" t="n"/>
      <c r="G47" s="15">
        <f>E47*F47</f>
        <v/>
      </c>
      <c r="H47" s="5" t="n"/>
      <c r="I47" s="5" t="n"/>
      <c r="J47" s="5" t="n"/>
      <c r="K47" s="5" t="n"/>
      <c r="L47" s="16">
        <f>IF(K47="Terminée",IFERROR(ROUND(RAND()*20+75,1),0),0)</f>
        <v/>
      </c>
      <c r="M47" s="5" t="n"/>
    </row>
    <row r="48">
      <c r="A48" s="4" t="n"/>
      <c r="B48" s="4" t="n"/>
      <c r="C48" s="4" t="n"/>
      <c r="D48" s="4" t="n"/>
      <c r="E48" s="4" t="n"/>
      <c r="F48" s="4" t="n"/>
      <c r="G48" s="13">
        <f>E48*F48</f>
        <v/>
      </c>
      <c r="H48" s="4" t="n"/>
      <c r="I48" s="4" t="n"/>
      <c r="J48" s="4" t="n"/>
      <c r="K48" s="4" t="n"/>
      <c r="L48" s="14">
        <f>IF(K48="Terminée",IFERROR(ROUND(RAND()*20+75,1),0),0)</f>
        <v/>
      </c>
      <c r="M48" s="4" t="n"/>
    </row>
    <row r="49">
      <c r="A49" s="5" t="n"/>
      <c r="B49" s="5" t="n"/>
      <c r="C49" s="5" t="n"/>
      <c r="D49" s="5" t="n"/>
      <c r="E49" s="5" t="n"/>
      <c r="F49" s="5" t="n"/>
      <c r="G49" s="15">
        <f>E49*F49</f>
        <v/>
      </c>
      <c r="H49" s="5" t="n"/>
      <c r="I49" s="5" t="n"/>
      <c r="J49" s="5" t="n"/>
      <c r="K49" s="5" t="n"/>
      <c r="L49" s="16">
        <f>IF(K49="Terminée",IFERROR(ROUND(RAND()*20+75,1),0),0)</f>
        <v/>
      </c>
      <c r="M49" s="5" t="n"/>
    </row>
    <row r="50">
      <c r="A50" s="4" t="n"/>
      <c r="B50" s="4" t="n"/>
      <c r="C50" s="4" t="n"/>
      <c r="D50" s="4" t="n"/>
      <c r="E50" s="4" t="n"/>
      <c r="F50" s="4" t="n"/>
      <c r="G50" s="13">
        <f>E50*F50</f>
        <v/>
      </c>
      <c r="H50" s="4" t="n"/>
      <c r="I50" s="4" t="n"/>
      <c r="J50" s="4" t="n"/>
      <c r="K50" s="4" t="n"/>
      <c r="L50" s="14">
        <f>IF(K50="Terminée",IFERROR(ROUND(RAND()*20+75,1),0),0)</f>
        <v/>
      </c>
      <c r="M50" s="4" t="n"/>
    </row>
    <row r="51">
      <c r="A51" s="5" t="n"/>
      <c r="B51" s="5" t="n"/>
      <c r="C51" s="5" t="n"/>
      <c r="D51" s="5" t="n"/>
      <c r="E51" s="5" t="n"/>
      <c r="F51" s="5" t="n"/>
      <c r="G51" s="15">
        <f>E51*F51</f>
        <v/>
      </c>
      <c r="H51" s="5" t="n"/>
      <c r="I51" s="5" t="n"/>
      <c r="J51" s="5" t="n"/>
      <c r="K51" s="5" t="n"/>
      <c r="L51" s="16">
        <f>IF(K51="Terminée",IFERROR(ROUND(RAND()*20+75,1),0),0)</f>
        <v/>
      </c>
      <c r="M51" s="5" t="n"/>
    </row>
    <row r="52">
      <c r="A52" s="4" t="n"/>
      <c r="B52" s="4" t="n"/>
      <c r="C52" s="4" t="n"/>
      <c r="D52" s="4" t="n"/>
      <c r="E52" s="4" t="n"/>
      <c r="F52" s="4" t="n"/>
      <c r="G52" s="13">
        <f>E52*F52</f>
        <v/>
      </c>
      <c r="H52" s="4" t="n"/>
      <c r="I52" s="4" t="n"/>
      <c r="J52" s="4" t="n"/>
      <c r="K52" s="4" t="n"/>
      <c r="L52" s="14">
        <f>IF(K52="Terminée",IFERROR(ROUND(RAND()*20+75,1),0),0)</f>
        <v/>
      </c>
      <c r="M52" s="4" t="n"/>
    </row>
    <row r="53">
      <c r="A53" s="5" t="n"/>
      <c r="B53" s="5" t="n"/>
      <c r="C53" s="5" t="n"/>
      <c r="D53" s="5" t="n"/>
      <c r="E53" s="5" t="n"/>
      <c r="F53" s="5" t="n"/>
      <c r="G53" s="15">
        <f>E53*F53</f>
        <v/>
      </c>
      <c r="H53" s="5" t="n"/>
      <c r="I53" s="5" t="n"/>
      <c r="J53" s="5" t="n"/>
      <c r="K53" s="5" t="n"/>
      <c r="L53" s="16">
        <f>IF(K53="Terminée",IFERROR(ROUND(RAND()*20+75,1),0),0)</f>
        <v/>
      </c>
      <c r="M53" s="5" t="n"/>
    </row>
    <row r="54">
      <c r="A54" s="4" t="n"/>
      <c r="B54" s="4" t="n"/>
      <c r="C54" s="4" t="n"/>
      <c r="D54" s="4" t="n"/>
      <c r="E54" s="4" t="n"/>
      <c r="F54" s="4" t="n"/>
      <c r="G54" s="13">
        <f>E54*F54</f>
        <v/>
      </c>
      <c r="H54" s="4" t="n"/>
      <c r="I54" s="4" t="n"/>
      <c r="J54" s="4" t="n"/>
      <c r="K54" s="4" t="n"/>
      <c r="L54" s="14">
        <f>IF(K54="Terminée",IFERROR(ROUND(RAND()*20+75,1),0),0)</f>
        <v/>
      </c>
      <c r="M54" s="4" t="n"/>
    </row>
    <row r="55">
      <c r="A55" s="5" t="n"/>
      <c r="B55" s="5" t="n"/>
      <c r="C55" s="5" t="n"/>
      <c r="D55" s="5" t="n"/>
      <c r="E55" s="5" t="n"/>
      <c r="F55" s="5" t="n"/>
      <c r="G55" s="15">
        <f>E55*F55</f>
        <v/>
      </c>
      <c r="H55" s="5" t="n"/>
      <c r="I55" s="5" t="n"/>
      <c r="J55" s="5" t="n"/>
      <c r="K55" s="5" t="n"/>
      <c r="L55" s="16">
        <f>IF(K55="Terminée",IFERROR(ROUND(RAND()*20+75,1),0),0)</f>
        <v/>
      </c>
      <c r="M55" s="5" t="n"/>
    </row>
    <row r="56">
      <c r="A56" s="4" t="n"/>
      <c r="B56" s="4" t="n"/>
      <c r="C56" s="4" t="n"/>
      <c r="D56" s="4" t="n"/>
      <c r="E56" s="4" t="n"/>
      <c r="F56" s="4" t="n"/>
      <c r="G56" s="13">
        <f>E56*F56</f>
        <v/>
      </c>
      <c r="H56" s="4" t="n"/>
      <c r="I56" s="4" t="n"/>
      <c r="J56" s="4" t="n"/>
      <c r="K56" s="4" t="n"/>
      <c r="L56" s="14">
        <f>IF(K56="Terminée",IFERROR(ROUND(RAND()*20+75,1),0),0)</f>
        <v/>
      </c>
      <c r="M56" s="4" t="n"/>
    </row>
    <row r="57">
      <c r="A57" s="5" t="n"/>
      <c r="B57" s="5" t="n"/>
      <c r="C57" s="5" t="n"/>
      <c r="D57" s="5" t="n"/>
      <c r="E57" s="5" t="n"/>
      <c r="F57" s="5" t="n"/>
      <c r="G57" s="15">
        <f>E57*F57</f>
        <v/>
      </c>
      <c r="H57" s="5" t="n"/>
      <c r="I57" s="5" t="n"/>
      <c r="J57" s="5" t="n"/>
      <c r="K57" s="5" t="n"/>
      <c r="L57" s="16">
        <f>IF(K57="Terminée",IFERROR(ROUND(RAND()*20+75,1),0),0)</f>
        <v/>
      </c>
      <c r="M57" s="5" t="n"/>
    </row>
    <row r="58">
      <c r="A58" s="4" t="n"/>
      <c r="B58" s="4" t="n"/>
      <c r="C58" s="4" t="n"/>
      <c r="D58" s="4" t="n"/>
      <c r="E58" s="4" t="n"/>
      <c r="F58" s="4" t="n"/>
      <c r="G58" s="13">
        <f>E58*F58</f>
        <v/>
      </c>
      <c r="H58" s="4" t="n"/>
      <c r="I58" s="4" t="n"/>
      <c r="J58" s="4" t="n"/>
      <c r="K58" s="4" t="n"/>
      <c r="L58" s="14">
        <f>IF(K58="Terminée",IFERROR(ROUND(RAND()*20+75,1),0),0)</f>
        <v/>
      </c>
      <c r="M58" s="4" t="n"/>
    </row>
    <row r="59">
      <c r="A59" s="5" t="n"/>
      <c r="B59" s="5" t="n"/>
      <c r="C59" s="5" t="n"/>
      <c r="D59" s="5" t="n"/>
      <c r="E59" s="5" t="n"/>
      <c r="F59" s="5" t="n"/>
      <c r="G59" s="15">
        <f>E59*F59</f>
        <v/>
      </c>
      <c r="H59" s="5" t="n"/>
      <c r="I59" s="5" t="n"/>
      <c r="J59" s="5" t="n"/>
      <c r="K59" s="5" t="n"/>
      <c r="L59" s="16">
        <f>IF(K59="Terminée",IFERROR(ROUND(RAND()*20+75,1),0),0)</f>
        <v/>
      </c>
      <c r="M59" s="5" t="n"/>
    </row>
    <row r="60">
      <c r="A60" s="4" t="n"/>
      <c r="B60" s="4" t="n"/>
      <c r="C60" s="4" t="n"/>
      <c r="D60" s="4" t="n"/>
      <c r="E60" s="4" t="n"/>
      <c r="F60" s="4" t="n"/>
      <c r="G60" s="13">
        <f>E60*F60</f>
        <v/>
      </c>
      <c r="H60" s="4" t="n"/>
      <c r="I60" s="4" t="n"/>
      <c r="J60" s="4" t="n"/>
      <c r="K60" s="4" t="n"/>
      <c r="L60" s="14">
        <f>IF(K60="Terminée",IFERROR(ROUND(RAND()*20+75,1),0),0)</f>
        <v/>
      </c>
      <c r="M60" s="4" t="n"/>
    </row>
    <row r="61">
      <c r="A61" s="5" t="n"/>
      <c r="B61" s="5" t="n"/>
      <c r="C61" s="5" t="n"/>
      <c r="D61" s="5" t="n"/>
      <c r="E61" s="5" t="n"/>
      <c r="F61" s="5" t="n"/>
      <c r="G61" s="15">
        <f>E61*F61</f>
        <v/>
      </c>
      <c r="H61" s="5" t="n"/>
      <c r="I61" s="5" t="n"/>
      <c r="J61" s="5" t="n"/>
      <c r="K61" s="5" t="n"/>
      <c r="L61" s="16">
        <f>IF(K61="Terminée",IFERROR(ROUND(RAND()*20+75,1),0),0)</f>
        <v/>
      </c>
      <c r="M61" s="5" t="n"/>
    </row>
    <row r="62">
      <c r="A62" s="4" t="n"/>
      <c r="B62" s="4" t="n"/>
      <c r="C62" s="4" t="n"/>
      <c r="D62" s="4" t="n"/>
      <c r="E62" s="4" t="n"/>
      <c r="F62" s="4" t="n"/>
      <c r="G62" s="13">
        <f>E62*F62</f>
        <v/>
      </c>
      <c r="H62" s="4" t="n"/>
      <c r="I62" s="4" t="n"/>
      <c r="J62" s="4" t="n"/>
      <c r="K62" s="4" t="n"/>
      <c r="L62" s="14">
        <f>IF(K62="Terminée",IFERROR(ROUND(RAND()*20+75,1),0),0)</f>
        <v/>
      </c>
      <c r="M62" s="4" t="n"/>
    </row>
    <row r="63">
      <c r="A63" s="5" t="n"/>
      <c r="B63" s="5" t="n"/>
      <c r="C63" s="5" t="n"/>
      <c r="D63" s="5" t="n"/>
      <c r="E63" s="5" t="n"/>
      <c r="F63" s="5" t="n"/>
      <c r="G63" s="15">
        <f>E63*F63</f>
        <v/>
      </c>
      <c r="H63" s="5" t="n"/>
      <c r="I63" s="5" t="n"/>
      <c r="J63" s="5" t="n"/>
      <c r="K63" s="5" t="n"/>
      <c r="L63" s="16">
        <f>IF(K63="Terminée",IFERROR(ROUND(RAND()*20+75,1),0),0)</f>
        <v/>
      </c>
      <c r="M63" s="5" t="n"/>
    </row>
    <row r="64">
      <c r="A64" s="4" t="n"/>
      <c r="B64" s="4" t="n"/>
      <c r="C64" s="4" t="n"/>
      <c r="D64" s="4" t="n"/>
      <c r="E64" s="4" t="n"/>
      <c r="F64" s="4" t="n"/>
      <c r="G64" s="13">
        <f>E64*F64</f>
        <v/>
      </c>
      <c r="H64" s="4" t="n"/>
      <c r="I64" s="4" t="n"/>
      <c r="J64" s="4" t="n"/>
      <c r="K64" s="4" t="n"/>
      <c r="L64" s="14">
        <f>IF(K64="Terminée",IFERROR(ROUND(RAND()*20+75,1),0),0)</f>
        <v/>
      </c>
      <c r="M64" s="4" t="n"/>
    </row>
    <row r="65">
      <c r="A65" s="5" t="n"/>
      <c r="B65" s="5" t="n"/>
      <c r="C65" s="5" t="n"/>
      <c r="D65" s="5" t="n"/>
      <c r="E65" s="5" t="n"/>
      <c r="F65" s="5" t="n"/>
      <c r="G65" s="15">
        <f>E65*F65</f>
        <v/>
      </c>
      <c r="H65" s="5" t="n"/>
      <c r="I65" s="5" t="n"/>
      <c r="J65" s="5" t="n"/>
      <c r="K65" s="5" t="n"/>
      <c r="L65" s="16">
        <f>IF(K65="Terminée",IFERROR(ROUND(RAND()*20+75,1),0),0)</f>
        <v/>
      </c>
      <c r="M65" s="5" t="n"/>
    </row>
    <row r="66">
      <c r="A66" s="4" t="n"/>
      <c r="B66" s="4" t="n"/>
      <c r="C66" s="4" t="n"/>
      <c r="D66" s="4" t="n"/>
      <c r="E66" s="4" t="n"/>
      <c r="F66" s="4" t="n"/>
      <c r="G66" s="13">
        <f>E66*F66</f>
        <v/>
      </c>
      <c r="H66" s="4" t="n"/>
      <c r="I66" s="4" t="n"/>
      <c r="J66" s="4" t="n"/>
      <c r="K66" s="4" t="n"/>
      <c r="L66" s="14">
        <f>IF(K66="Terminée",IFERROR(ROUND(RAND()*20+75,1),0),0)</f>
        <v/>
      </c>
      <c r="M66" s="4" t="n"/>
    </row>
    <row r="67">
      <c r="A67" s="5" t="n"/>
      <c r="B67" s="5" t="n"/>
      <c r="C67" s="5" t="n"/>
      <c r="D67" s="5" t="n"/>
      <c r="E67" s="5" t="n"/>
      <c r="F67" s="5" t="n"/>
      <c r="G67" s="15">
        <f>E67*F67</f>
        <v/>
      </c>
      <c r="H67" s="5" t="n"/>
      <c r="I67" s="5" t="n"/>
      <c r="J67" s="5" t="n"/>
      <c r="K67" s="5" t="n"/>
      <c r="L67" s="16">
        <f>IF(K67="Terminée",IFERROR(ROUND(RAND()*20+75,1),0),0)</f>
        <v/>
      </c>
      <c r="M67" s="5" t="n"/>
    </row>
    <row r="68">
      <c r="A68" s="4" t="n"/>
      <c r="B68" s="4" t="n"/>
      <c r="C68" s="4" t="n"/>
      <c r="D68" s="4" t="n"/>
      <c r="E68" s="4" t="n"/>
      <c r="F68" s="4" t="n"/>
      <c r="G68" s="13">
        <f>E68*F68</f>
        <v/>
      </c>
      <c r="H68" s="4" t="n"/>
      <c r="I68" s="4" t="n"/>
      <c r="J68" s="4" t="n"/>
      <c r="K68" s="4" t="n"/>
      <c r="L68" s="14">
        <f>IF(K68="Terminée",IFERROR(ROUND(RAND()*20+75,1),0),0)</f>
        <v/>
      </c>
      <c r="M68" s="4" t="n"/>
    </row>
    <row r="69">
      <c r="A69" s="5" t="n"/>
      <c r="B69" s="5" t="n"/>
      <c r="C69" s="5" t="n"/>
      <c r="D69" s="5" t="n"/>
      <c r="E69" s="5" t="n"/>
      <c r="F69" s="5" t="n"/>
      <c r="G69" s="15">
        <f>E69*F69</f>
        <v/>
      </c>
      <c r="H69" s="5" t="n"/>
      <c r="I69" s="5" t="n"/>
      <c r="J69" s="5" t="n"/>
      <c r="K69" s="5" t="n"/>
      <c r="L69" s="16">
        <f>IF(K69="Terminée",IFERROR(ROUND(RAND()*20+75,1),0),0)</f>
        <v/>
      </c>
      <c r="M69" s="5" t="n"/>
    </row>
    <row r="70">
      <c r="A70" s="4" t="n"/>
      <c r="B70" s="4" t="n"/>
      <c r="C70" s="4" t="n"/>
      <c r="D70" s="4" t="n"/>
      <c r="E70" s="4" t="n"/>
      <c r="F70" s="4" t="n"/>
      <c r="G70" s="13">
        <f>E70*F70</f>
        <v/>
      </c>
      <c r="H70" s="4" t="n"/>
      <c r="I70" s="4" t="n"/>
      <c r="J70" s="4" t="n"/>
      <c r="K70" s="4" t="n"/>
      <c r="L70" s="14">
        <f>IF(K70="Terminée",IFERROR(ROUND(RAND()*20+75,1),0),0)</f>
        <v/>
      </c>
      <c r="M70" s="4" t="n"/>
    </row>
    <row r="71">
      <c r="A71" s="5" t="n"/>
      <c r="B71" s="5" t="n"/>
      <c r="C71" s="5" t="n"/>
      <c r="D71" s="5" t="n"/>
      <c r="E71" s="5" t="n"/>
      <c r="F71" s="5" t="n"/>
      <c r="G71" s="15">
        <f>E71*F71</f>
        <v/>
      </c>
      <c r="H71" s="5" t="n"/>
      <c r="I71" s="5" t="n"/>
      <c r="J71" s="5" t="n"/>
      <c r="K71" s="5" t="n"/>
      <c r="L71" s="16">
        <f>IF(K71="Terminée",IFERROR(ROUND(RAND()*20+75,1),0),0)</f>
        <v/>
      </c>
      <c r="M71" s="5" t="n"/>
    </row>
    <row r="72">
      <c r="A72" s="4" t="n"/>
      <c r="B72" s="4" t="n"/>
      <c r="C72" s="4" t="n"/>
      <c r="D72" s="4" t="n"/>
      <c r="E72" s="4" t="n"/>
      <c r="F72" s="4" t="n"/>
      <c r="G72" s="13">
        <f>E72*F72</f>
        <v/>
      </c>
      <c r="H72" s="4" t="n"/>
      <c r="I72" s="4" t="n"/>
      <c r="J72" s="4" t="n"/>
      <c r="K72" s="4" t="n"/>
      <c r="L72" s="14">
        <f>IF(K72="Terminée",IFERROR(ROUND(RAND()*20+75,1),0),0)</f>
        <v/>
      </c>
      <c r="M72" s="4" t="n"/>
    </row>
    <row r="73">
      <c r="A73" s="5" t="n"/>
      <c r="B73" s="5" t="n"/>
      <c r="C73" s="5" t="n"/>
      <c r="D73" s="5" t="n"/>
      <c r="E73" s="5" t="n"/>
      <c r="F73" s="5" t="n"/>
      <c r="G73" s="15">
        <f>E73*F73</f>
        <v/>
      </c>
      <c r="H73" s="5" t="n"/>
      <c r="I73" s="5" t="n"/>
      <c r="J73" s="5" t="n"/>
      <c r="K73" s="5" t="n"/>
      <c r="L73" s="16">
        <f>IF(K73="Terminée",IFERROR(ROUND(RAND()*20+75,1),0),0)</f>
        <v/>
      </c>
      <c r="M73" s="5" t="n"/>
    </row>
    <row r="74">
      <c r="A74" s="4" t="n"/>
      <c r="B74" s="4" t="n"/>
      <c r="C74" s="4" t="n"/>
      <c r="D74" s="4" t="n"/>
      <c r="E74" s="4" t="n"/>
      <c r="F74" s="4" t="n"/>
      <c r="G74" s="13">
        <f>E74*F74</f>
        <v/>
      </c>
      <c r="H74" s="4" t="n"/>
      <c r="I74" s="4" t="n"/>
      <c r="J74" s="4" t="n"/>
      <c r="K74" s="4" t="n"/>
      <c r="L74" s="14">
        <f>IF(K74="Terminée",IFERROR(ROUND(RAND()*20+75,1),0),0)</f>
        <v/>
      </c>
      <c r="M74" s="4" t="n"/>
    </row>
    <row r="75">
      <c r="A75" s="5" t="n"/>
      <c r="B75" s="5" t="n"/>
      <c r="C75" s="5" t="n"/>
      <c r="D75" s="5" t="n"/>
      <c r="E75" s="5" t="n"/>
      <c r="F75" s="5" t="n"/>
      <c r="G75" s="15">
        <f>E75*F75</f>
        <v/>
      </c>
      <c r="H75" s="5" t="n"/>
      <c r="I75" s="5" t="n"/>
      <c r="J75" s="5" t="n"/>
      <c r="K75" s="5" t="n"/>
      <c r="L75" s="16">
        <f>IF(K75="Terminée",IFERROR(ROUND(RAND()*20+75,1),0),0)</f>
        <v/>
      </c>
      <c r="M75" s="5" t="n"/>
    </row>
    <row r="76">
      <c r="A76" s="4" t="n"/>
      <c r="B76" s="4" t="n"/>
      <c r="C76" s="4" t="n"/>
      <c r="D76" s="4" t="n"/>
      <c r="E76" s="4" t="n"/>
      <c r="F76" s="4" t="n"/>
      <c r="G76" s="13">
        <f>E76*F76</f>
        <v/>
      </c>
      <c r="H76" s="4" t="n"/>
      <c r="I76" s="4" t="n"/>
      <c r="J76" s="4" t="n"/>
      <c r="K76" s="4" t="n"/>
      <c r="L76" s="14">
        <f>IF(K76="Terminée",IFERROR(ROUND(RAND()*20+75,1),0),0)</f>
        <v/>
      </c>
      <c r="M76" s="4" t="n"/>
    </row>
    <row r="77">
      <c r="A77" s="5" t="n"/>
      <c r="B77" s="5" t="n"/>
      <c r="C77" s="5" t="n"/>
      <c r="D77" s="5" t="n"/>
      <c r="E77" s="5" t="n"/>
      <c r="F77" s="5" t="n"/>
      <c r="G77" s="15">
        <f>E77*F77</f>
        <v/>
      </c>
      <c r="H77" s="5" t="n"/>
      <c r="I77" s="5" t="n"/>
      <c r="J77" s="5" t="n"/>
      <c r="K77" s="5" t="n"/>
      <c r="L77" s="16">
        <f>IF(K77="Terminée",IFERROR(ROUND(RAND()*20+75,1),0),0)</f>
        <v/>
      </c>
      <c r="M77" s="5" t="n"/>
    </row>
    <row r="78">
      <c r="A78" s="4" t="n"/>
      <c r="B78" s="4" t="n"/>
      <c r="C78" s="4" t="n"/>
      <c r="D78" s="4" t="n"/>
      <c r="E78" s="4" t="n"/>
      <c r="F78" s="4" t="n"/>
      <c r="G78" s="13">
        <f>E78*F78</f>
        <v/>
      </c>
      <c r="H78" s="4" t="n"/>
      <c r="I78" s="4" t="n"/>
      <c r="J78" s="4" t="n"/>
      <c r="K78" s="4" t="n"/>
      <c r="L78" s="14">
        <f>IF(K78="Terminée",IFERROR(ROUND(RAND()*20+75,1),0),0)</f>
        <v/>
      </c>
      <c r="M78" s="4" t="n"/>
    </row>
    <row r="79">
      <c r="A79" s="5" t="n"/>
      <c r="B79" s="5" t="n"/>
      <c r="C79" s="5" t="n"/>
      <c r="D79" s="5" t="n"/>
      <c r="E79" s="5" t="n"/>
      <c r="F79" s="5" t="n"/>
      <c r="G79" s="15">
        <f>E79*F79</f>
        <v/>
      </c>
      <c r="H79" s="5" t="n"/>
      <c r="I79" s="5" t="n"/>
      <c r="J79" s="5" t="n"/>
      <c r="K79" s="5" t="n"/>
      <c r="L79" s="16">
        <f>IF(K79="Terminée",IFERROR(ROUND(RAND()*20+75,1),0),0)</f>
        <v/>
      </c>
      <c r="M79" s="5" t="n"/>
    </row>
    <row r="80">
      <c r="A80" s="4" t="n"/>
      <c r="B80" s="4" t="n"/>
      <c r="C80" s="4" t="n"/>
      <c r="D80" s="4" t="n"/>
      <c r="E80" s="4" t="n"/>
      <c r="F80" s="4" t="n"/>
      <c r="G80" s="13">
        <f>E80*F80</f>
        <v/>
      </c>
      <c r="H80" s="4" t="n"/>
      <c r="I80" s="4" t="n"/>
      <c r="J80" s="4" t="n"/>
      <c r="K80" s="4" t="n"/>
      <c r="L80" s="14">
        <f>IF(K80="Terminée",IFERROR(ROUND(RAND()*20+75,1),0),0)</f>
        <v/>
      </c>
      <c r="M80" s="4" t="n"/>
    </row>
    <row r="81">
      <c r="A81" s="5" t="n"/>
      <c r="B81" s="5" t="n"/>
      <c r="C81" s="5" t="n"/>
      <c r="D81" s="5" t="n"/>
      <c r="E81" s="5" t="n"/>
      <c r="F81" s="5" t="n"/>
      <c r="G81" s="15">
        <f>E81*F81</f>
        <v/>
      </c>
      <c r="H81" s="5" t="n"/>
      <c r="I81" s="5" t="n"/>
      <c r="J81" s="5" t="n"/>
      <c r="K81" s="5" t="n"/>
      <c r="L81" s="16">
        <f>IF(K81="Terminée",IFERROR(ROUND(RAND()*20+75,1),0),0)</f>
        <v/>
      </c>
      <c r="M81" s="5" t="n"/>
    </row>
    <row r="82">
      <c r="A82" s="4" t="n"/>
      <c r="B82" s="4" t="n"/>
      <c r="C82" s="4" t="n"/>
      <c r="D82" s="4" t="n"/>
      <c r="E82" s="4" t="n"/>
      <c r="F82" s="4" t="n"/>
      <c r="G82" s="13">
        <f>E82*F82</f>
        <v/>
      </c>
      <c r="H82" s="4" t="n"/>
      <c r="I82" s="4" t="n"/>
      <c r="J82" s="4" t="n"/>
      <c r="K82" s="4" t="n"/>
      <c r="L82" s="14">
        <f>IF(K82="Terminée",IFERROR(ROUND(RAND()*20+75,1),0),0)</f>
        <v/>
      </c>
      <c r="M82" s="4" t="n"/>
    </row>
    <row r="83">
      <c r="A83" s="5" t="n"/>
      <c r="B83" s="5" t="n"/>
      <c r="C83" s="5" t="n"/>
      <c r="D83" s="5" t="n"/>
      <c r="E83" s="5" t="n"/>
      <c r="F83" s="5" t="n"/>
      <c r="G83" s="15">
        <f>E83*F83</f>
        <v/>
      </c>
      <c r="H83" s="5" t="n"/>
      <c r="I83" s="5" t="n"/>
      <c r="J83" s="5" t="n"/>
      <c r="K83" s="5" t="n"/>
      <c r="L83" s="16">
        <f>IF(K83="Terminée",IFERROR(ROUND(RAND()*20+75,1),0),0)</f>
        <v/>
      </c>
      <c r="M83" s="5" t="n"/>
    </row>
    <row r="84">
      <c r="A84" s="4" t="n"/>
      <c r="B84" s="4" t="n"/>
      <c r="C84" s="4" t="n"/>
      <c r="D84" s="4" t="n"/>
      <c r="E84" s="4" t="n"/>
      <c r="F84" s="4" t="n"/>
      <c r="G84" s="13">
        <f>E84*F84</f>
        <v/>
      </c>
      <c r="H84" s="4" t="n"/>
      <c r="I84" s="4" t="n"/>
      <c r="J84" s="4" t="n"/>
      <c r="K84" s="4" t="n"/>
      <c r="L84" s="14">
        <f>IF(K84="Terminée",IFERROR(ROUND(RAND()*20+75,1),0),0)</f>
        <v/>
      </c>
      <c r="M84" s="4" t="n"/>
    </row>
    <row r="85">
      <c r="A85" s="5" t="n"/>
      <c r="B85" s="5" t="n"/>
      <c r="C85" s="5" t="n"/>
      <c r="D85" s="5" t="n"/>
      <c r="E85" s="5" t="n"/>
      <c r="F85" s="5" t="n"/>
      <c r="G85" s="15">
        <f>E85*F85</f>
        <v/>
      </c>
      <c r="H85" s="5" t="n"/>
      <c r="I85" s="5" t="n"/>
      <c r="J85" s="5" t="n"/>
      <c r="K85" s="5" t="n"/>
      <c r="L85" s="16">
        <f>IF(K85="Terminée",IFERROR(ROUND(RAND()*20+75,1),0),0)</f>
        <v/>
      </c>
      <c r="M85" s="5" t="n"/>
    </row>
    <row r="86">
      <c r="A86" s="4" t="n"/>
      <c r="B86" s="4" t="n"/>
      <c r="C86" s="4" t="n"/>
      <c r="D86" s="4" t="n"/>
      <c r="E86" s="4" t="n"/>
      <c r="F86" s="4" t="n"/>
      <c r="G86" s="13">
        <f>E86*F86</f>
        <v/>
      </c>
      <c r="H86" s="4" t="n"/>
      <c r="I86" s="4" t="n"/>
      <c r="J86" s="4" t="n"/>
      <c r="K86" s="4" t="n"/>
      <c r="L86" s="14">
        <f>IF(K86="Terminée",IFERROR(ROUND(RAND()*20+75,1),0),0)</f>
        <v/>
      </c>
      <c r="M86" s="4" t="n"/>
    </row>
    <row r="87">
      <c r="A87" s="5" t="n"/>
      <c r="B87" s="5" t="n"/>
      <c r="C87" s="5" t="n"/>
      <c r="D87" s="5" t="n"/>
      <c r="E87" s="5" t="n"/>
      <c r="F87" s="5" t="n"/>
      <c r="G87" s="15">
        <f>E87*F87</f>
        <v/>
      </c>
      <c r="H87" s="5" t="n"/>
      <c r="I87" s="5" t="n"/>
      <c r="J87" s="5" t="n"/>
      <c r="K87" s="5" t="n"/>
      <c r="L87" s="16">
        <f>IF(K87="Terminée",IFERROR(ROUND(RAND()*20+75,1),0),0)</f>
        <v/>
      </c>
      <c r="M87" s="5" t="n"/>
    </row>
    <row r="88">
      <c r="A88" s="4" t="n"/>
      <c r="B88" s="4" t="n"/>
      <c r="C88" s="4" t="n"/>
      <c r="D88" s="4" t="n"/>
      <c r="E88" s="4" t="n"/>
      <c r="F88" s="4" t="n"/>
      <c r="G88" s="13">
        <f>E88*F88</f>
        <v/>
      </c>
      <c r="H88" s="4" t="n"/>
      <c r="I88" s="4" t="n"/>
      <c r="J88" s="4" t="n"/>
      <c r="K88" s="4" t="n"/>
      <c r="L88" s="14">
        <f>IF(K88="Terminée",IFERROR(ROUND(RAND()*20+75,1),0),0)</f>
        <v/>
      </c>
      <c r="M88" s="4" t="n"/>
    </row>
    <row r="89">
      <c r="A89" s="5" t="n"/>
      <c r="B89" s="5" t="n"/>
      <c r="C89" s="5" t="n"/>
      <c r="D89" s="5" t="n"/>
      <c r="E89" s="5" t="n"/>
      <c r="F89" s="5" t="n"/>
      <c r="G89" s="15">
        <f>E89*F89</f>
        <v/>
      </c>
      <c r="H89" s="5" t="n"/>
      <c r="I89" s="5" t="n"/>
      <c r="J89" s="5" t="n"/>
      <c r="K89" s="5" t="n"/>
      <c r="L89" s="16">
        <f>IF(K89="Terminée",IFERROR(ROUND(RAND()*20+75,1),0),0)</f>
        <v/>
      </c>
      <c r="M89" s="5" t="n"/>
    </row>
    <row r="90">
      <c r="A90" s="4" t="n"/>
      <c r="B90" s="4" t="n"/>
      <c r="C90" s="4" t="n"/>
      <c r="D90" s="4" t="n"/>
      <c r="E90" s="4" t="n"/>
      <c r="F90" s="4" t="n"/>
      <c r="G90" s="13">
        <f>E90*F90</f>
        <v/>
      </c>
      <c r="H90" s="4" t="n"/>
      <c r="I90" s="4" t="n"/>
      <c r="J90" s="4" t="n"/>
      <c r="K90" s="4" t="n"/>
      <c r="L90" s="14">
        <f>IF(K90="Terminée",IFERROR(ROUND(RAND()*20+75,1),0),0)</f>
        <v/>
      </c>
      <c r="M90" s="4" t="n"/>
    </row>
    <row r="91">
      <c r="A91" s="5" t="n"/>
      <c r="B91" s="5" t="n"/>
      <c r="C91" s="5" t="n"/>
      <c r="D91" s="5" t="n"/>
      <c r="E91" s="5" t="n"/>
      <c r="F91" s="5" t="n"/>
      <c r="G91" s="15">
        <f>E91*F91</f>
        <v/>
      </c>
      <c r="H91" s="5" t="n"/>
      <c r="I91" s="5" t="n"/>
      <c r="J91" s="5" t="n"/>
      <c r="K91" s="5" t="n"/>
      <c r="L91" s="16">
        <f>IF(K91="Terminée",IFERROR(ROUND(RAND()*20+75,1),0),0)</f>
        <v/>
      </c>
      <c r="M91" s="5" t="n"/>
    </row>
    <row r="92">
      <c r="A92" s="4" t="n"/>
      <c r="B92" s="4" t="n"/>
      <c r="C92" s="4" t="n"/>
      <c r="D92" s="4" t="n"/>
      <c r="E92" s="4" t="n"/>
      <c r="F92" s="4" t="n"/>
      <c r="G92" s="13">
        <f>E92*F92</f>
        <v/>
      </c>
      <c r="H92" s="4" t="n"/>
      <c r="I92" s="4" t="n"/>
      <c r="J92" s="4" t="n"/>
      <c r="K92" s="4" t="n"/>
      <c r="L92" s="14">
        <f>IF(K92="Terminée",IFERROR(ROUND(RAND()*20+75,1),0),0)</f>
        <v/>
      </c>
      <c r="M92" s="4" t="n"/>
    </row>
    <row r="93">
      <c r="A93" s="5" t="n"/>
      <c r="B93" s="5" t="n"/>
      <c r="C93" s="5" t="n"/>
      <c r="D93" s="5" t="n"/>
      <c r="E93" s="5" t="n"/>
      <c r="F93" s="5" t="n"/>
      <c r="G93" s="15">
        <f>E93*F93</f>
        <v/>
      </c>
      <c r="H93" s="5" t="n"/>
      <c r="I93" s="5" t="n"/>
      <c r="J93" s="5" t="n"/>
      <c r="K93" s="5" t="n"/>
      <c r="L93" s="16">
        <f>IF(K93="Terminée",IFERROR(ROUND(RAND()*20+75,1),0),0)</f>
        <v/>
      </c>
      <c r="M93" s="5" t="n"/>
    </row>
    <row r="94">
      <c r="A94" s="4" t="n"/>
      <c r="B94" s="4" t="n"/>
      <c r="C94" s="4" t="n"/>
      <c r="D94" s="4" t="n"/>
      <c r="E94" s="4" t="n"/>
      <c r="F94" s="4" t="n"/>
      <c r="G94" s="13">
        <f>E94*F94</f>
        <v/>
      </c>
      <c r="H94" s="4" t="n"/>
      <c r="I94" s="4" t="n"/>
      <c r="J94" s="4" t="n"/>
      <c r="K94" s="4" t="n"/>
      <c r="L94" s="14">
        <f>IF(K94="Terminée",IFERROR(ROUND(RAND()*20+75,1),0),0)</f>
        <v/>
      </c>
      <c r="M94" s="4" t="n"/>
    </row>
    <row r="95">
      <c r="A95" s="5" t="n"/>
      <c r="B95" s="5" t="n"/>
      <c r="C95" s="5" t="n"/>
      <c r="D95" s="5" t="n"/>
      <c r="E95" s="5" t="n"/>
      <c r="F95" s="5" t="n"/>
      <c r="G95" s="15">
        <f>E95*F95</f>
        <v/>
      </c>
      <c r="H95" s="5" t="n"/>
      <c r="I95" s="5" t="n"/>
      <c r="J95" s="5" t="n"/>
      <c r="K95" s="5" t="n"/>
      <c r="L95" s="16">
        <f>IF(K95="Terminée",IFERROR(ROUND(RAND()*20+75,1),0),0)</f>
        <v/>
      </c>
      <c r="M95" s="5" t="n"/>
    </row>
    <row r="96">
      <c r="A96" s="4" t="n"/>
      <c r="B96" s="4" t="n"/>
      <c r="C96" s="4" t="n"/>
      <c r="D96" s="4" t="n"/>
      <c r="E96" s="4" t="n"/>
      <c r="F96" s="4" t="n"/>
      <c r="G96" s="13">
        <f>E96*F96</f>
        <v/>
      </c>
      <c r="H96" s="4" t="n"/>
      <c r="I96" s="4" t="n"/>
      <c r="J96" s="4" t="n"/>
      <c r="K96" s="4" t="n"/>
      <c r="L96" s="14">
        <f>IF(K96="Terminée",IFERROR(ROUND(RAND()*20+75,1),0),0)</f>
        <v/>
      </c>
      <c r="M96" s="4" t="n"/>
    </row>
    <row r="97">
      <c r="A97" s="5" t="n"/>
      <c r="B97" s="5" t="n"/>
      <c r="C97" s="5" t="n"/>
      <c r="D97" s="5" t="n"/>
      <c r="E97" s="5" t="n"/>
      <c r="F97" s="5" t="n"/>
      <c r="G97" s="15">
        <f>E97*F97</f>
        <v/>
      </c>
      <c r="H97" s="5" t="n"/>
      <c r="I97" s="5" t="n"/>
      <c r="J97" s="5" t="n"/>
      <c r="K97" s="5" t="n"/>
      <c r="L97" s="16">
        <f>IF(K97="Terminée",IFERROR(ROUND(RAND()*20+75,1),0),0)</f>
        <v/>
      </c>
      <c r="M97" s="5" t="n"/>
    </row>
    <row r="98">
      <c r="A98" s="4" t="n"/>
      <c r="B98" s="4" t="n"/>
      <c r="C98" s="4" t="n"/>
      <c r="D98" s="4" t="n"/>
      <c r="E98" s="4" t="n"/>
      <c r="F98" s="4" t="n"/>
      <c r="G98" s="13">
        <f>E98*F98</f>
        <v/>
      </c>
      <c r="H98" s="4" t="n"/>
      <c r="I98" s="4" t="n"/>
      <c r="J98" s="4" t="n"/>
      <c r="K98" s="4" t="n"/>
      <c r="L98" s="14">
        <f>IF(K98="Terminée",IFERROR(ROUND(RAND()*20+75,1),0),0)</f>
        <v/>
      </c>
      <c r="M98" s="4" t="n"/>
    </row>
    <row r="99">
      <c r="A99" s="5" t="n"/>
      <c r="B99" s="5" t="n"/>
      <c r="C99" s="5" t="n"/>
      <c r="D99" s="5" t="n"/>
      <c r="E99" s="5" t="n"/>
      <c r="F99" s="5" t="n"/>
      <c r="G99" s="15">
        <f>E99*F99</f>
        <v/>
      </c>
      <c r="H99" s="5" t="n"/>
      <c r="I99" s="5" t="n"/>
      <c r="J99" s="5" t="n"/>
      <c r="K99" s="5" t="n"/>
      <c r="L99" s="16">
        <f>IF(K99="Terminée",IFERROR(ROUND(RAND()*20+75,1),0),0)</f>
        <v/>
      </c>
      <c r="M99" s="5" t="n"/>
    </row>
    <row r="100">
      <c r="A100" s="4" t="n"/>
      <c r="B100" s="4" t="n"/>
      <c r="C100" s="4" t="n"/>
      <c r="D100" s="4" t="n"/>
      <c r="E100" s="4" t="n"/>
      <c r="F100" s="4" t="n"/>
      <c r="G100" s="13">
        <f>E100*F100</f>
        <v/>
      </c>
      <c r="H100" s="4" t="n"/>
      <c r="I100" s="4" t="n"/>
      <c r="J100" s="4" t="n"/>
      <c r="K100" s="4" t="n"/>
      <c r="L100" s="14">
        <f>IF(K100="Terminée",IFERROR(ROUND(RAND()*20+75,1),0),0)</f>
        <v/>
      </c>
      <c r="M100" s="4" t="n"/>
    </row>
    <row r="101">
      <c r="A101" s="5" t="n"/>
      <c r="B101" s="5" t="n"/>
      <c r="C101" s="5" t="n"/>
      <c r="D101" s="5" t="n"/>
      <c r="E101" s="5" t="n"/>
      <c r="F101" s="5" t="n"/>
      <c r="G101" s="15">
        <f>E101*F101</f>
        <v/>
      </c>
      <c r="H101" s="5" t="n"/>
      <c r="I101" s="5" t="n"/>
      <c r="J101" s="5" t="n"/>
      <c r="K101" s="5" t="n"/>
      <c r="L101" s="16">
        <f>IF(K101="Terminée",IFERROR(ROUND(RAND()*20+75,1),0),0)</f>
        <v/>
      </c>
      <c r="M101" s="5" t="n"/>
    </row>
    <row r="102">
      <c r="A102" s="4" t="n"/>
      <c r="B102" s="4" t="n"/>
      <c r="C102" s="4" t="n"/>
      <c r="D102" s="4" t="n"/>
      <c r="E102" s="4" t="n"/>
      <c r="F102" s="4" t="n"/>
      <c r="G102" s="13">
        <f>E102*F102</f>
        <v/>
      </c>
      <c r="H102" s="4" t="n"/>
      <c r="I102" s="4" t="n"/>
      <c r="J102" s="4" t="n"/>
      <c r="K102" s="4" t="n"/>
      <c r="L102" s="14">
        <f>IF(K102="Terminée",IFERROR(ROUND(RAND()*20+75,1),0),0)</f>
        <v/>
      </c>
      <c r="M102" s="4" t="n"/>
    </row>
    <row r="103">
      <c r="A103" s="5" t="n"/>
      <c r="B103" s="5" t="n"/>
      <c r="C103" s="5" t="n"/>
      <c r="D103" s="5" t="n"/>
      <c r="E103" s="5" t="n"/>
      <c r="F103" s="5" t="n"/>
      <c r="G103" s="15">
        <f>E103*F103</f>
        <v/>
      </c>
      <c r="H103" s="5" t="n"/>
      <c r="I103" s="5" t="n"/>
      <c r="J103" s="5" t="n"/>
      <c r="K103" s="5" t="n"/>
      <c r="L103" s="16">
        <f>IF(K103="Terminée",IFERROR(ROUND(RAND()*20+75,1),0),0)</f>
        <v/>
      </c>
      <c r="M103" s="5" t="n"/>
    </row>
    <row r="104">
      <c r="A104" s="4" t="n"/>
      <c r="B104" s="4" t="n"/>
      <c r="C104" s="4" t="n"/>
      <c r="D104" s="4" t="n"/>
      <c r="E104" s="4" t="n"/>
      <c r="F104" s="4" t="n"/>
      <c r="G104" s="13">
        <f>E104*F104</f>
        <v/>
      </c>
      <c r="H104" s="4" t="n"/>
      <c r="I104" s="4" t="n"/>
      <c r="J104" s="4" t="n"/>
      <c r="K104" s="4" t="n"/>
      <c r="L104" s="14">
        <f>IF(K104="Terminée",IFERROR(ROUND(RAND()*20+75,1),0),0)</f>
        <v/>
      </c>
      <c r="M104" s="4" t="n"/>
    </row>
    <row r="105">
      <c r="A105" s="5" t="n"/>
      <c r="B105" s="5" t="n"/>
      <c r="C105" s="5" t="n"/>
      <c r="D105" s="5" t="n"/>
      <c r="E105" s="5" t="n"/>
      <c r="F105" s="5" t="n"/>
      <c r="G105" s="15">
        <f>E105*F105</f>
        <v/>
      </c>
      <c r="H105" s="5" t="n"/>
      <c r="I105" s="5" t="n"/>
      <c r="J105" s="5" t="n"/>
      <c r="K105" s="5" t="n"/>
      <c r="L105" s="16">
        <f>IF(K105="Terminée",IFERROR(ROUND(RAND()*20+75,1),0),0)</f>
        <v/>
      </c>
      <c r="M105" s="5" t="n"/>
    </row>
    <row r="106">
      <c r="A106" s="4" t="n"/>
      <c r="B106" s="4" t="n"/>
      <c r="C106" s="4" t="n"/>
      <c r="D106" s="4" t="n"/>
      <c r="E106" s="4" t="n"/>
      <c r="F106" s="4" t="n"/>
      <c r="G106" s="13">
        <f>E106*F106</f>
        <v/>
      </c>
      <c r="H106" s="4" t="n"/>
      <c r="I106" s="4" t="n"/>
      <c r="J106" s="4" t="n"/>
      <c r="K106" s="4" t="n"/>
      <c r="L106" s="14">
        <f>IF(K106="Terminée",IFERROR(ROUND(RAND()*20+75,1),0),0)</f>
        <v/>
      </c>
      <c r="M106" s="4" t="n"/>
    </row>
    <row r="107">
      <c r="A107" s="5" t="n"/>
      <c r="B107" s="5" t="n"/>
      <c r="C107" s="5" t="n"/>
      <c r="D107" s="5" t="n"/>
      <c r="E107" s="5" t="n"/>
      <c r="F107" s="5" t="n"/>
      <c r="G107" s="15">
        <f>E107*F107</f>
        <v/>
      </c>
      <c r="H107" s="5" t="n"/>
      <c r="I107" s="5" t="n"/>
      <c r="J107" s="5" t="n"/>
      <c r="K107" s="5" t="n"/>
      <c r="L107" s="16">
        <f>IF(K107="Terminée",IFERROR(ROUND(RAND()*20+75,1),0),0)</f>
        <v/>
      </c>
      <c r="M107" s="5" t="n"/>
    </row>
    <row r="108">
      <c r="A108" s="4" t="n"/>
      <c r="B108" s="4" t="n"/>
      <c r="C108" s="4" t="n"/>
      <c r="D108" s="4" t="n"/>
      <c r="E108" s="4" t="n"/>
      <c r="F108" s="4" t="n"/>
      <c r="G108" s="13">
        <f>E108*F108</f>
        <v/>
      </c>
      <c r="H108" s="4" t="n"/>
      <c r="I108" s="4" t="n"/>
      <c r="J108" s="4" t="n"/>
      <c r="K108" s="4" t="n"/>
      <c r="L108" s="14">
        <f>IF(K108="Terminée",IFERROR(ROUND(RAND()*20+75,1),0),0)</f>
        <v/>
      </c>
      <c r="M108" s="4" t="n"/>
    </row>
    <row r="109">
      <c r="A109" s="5" t="n"/>
      <c r="B109" s="5" t="n"/>
      <c r="C109" s="5" t="n"/>
      <c r="D109" s="5" t="n"/>
      <c r="E109" s="5" t="n"/>
      <c r="F109" s="5" t="n"/>
      <c r="G109" s="15">
        <f>E109*F109</f>
        <v/>
      </c>
      <c r="H109" s="5" t="n"/>
      <c r="I109" s="5" t="n"/>
      <c r="J109" s="5" t="n"/>
      <c r="K109" s="5" t="n"/>
      <c r="L109" s="16">
        <f>IF(K109="Terminée",IFERROR(ROUND(RAND()*20+75,1),0),0)</f>
        <v/>
      </c>
      <c r="M109" s="5" t="n"/>
    </row>
    <row r="110">
      <c r="A110" s="4" t="n"/>
      <c r="B110" s="4" t="n"/>
      <c r="C110" s="4" t="n"/>
      <c r="D110" s="4" t="n"/>
      <c r="E110" s="4" t="n"/>
      <c r="F110" s="4" t="n"/>
      <c r="G110" s="13">
        <f>E110*F110</f>
        <v/>
      </c>
      <c r="H110" s="4" t="n"/>
      <c r="I110" s="4" t="n"/>
      <c r="J110" s="4" t="n"/>
      <c r="K110" s="4" t="n"/>
      <c r="L110" s="14">
        <f>IF(K110="Terminée",IFERROR(ROUND(RAND()*20+75,1),0),0)</f>
        <v/>
      </c>
      <c r="M110" s="4" t="n"/>
    </row>
    <row r="111">
      <c r="A111" s="5" t="n"/>
      <c r="B111" s="5" t="n"/>
      <c r="C111" s="5" t="n"/>
      <c r="D111" s="5" t="n"/>
      <c r="E111" s="5" t="n"/>
      <c r="F111" s="5" t="n"/>
      <c r="G111" s="15">
        <f>E111*F111</f>
        <v/>
      </c>
      <c r="H111" s="5" t="n"/>
      <c r="I111" s="5" t="n"/>
      <c r="J111" s="5" t="n"/>
      <c r="K111" s="5" t="n"/>
      <c r="L111" s="16">
        <f>IF(K111="Terminée",IFERROR(ROUND(RAND()*20+75,1),0),0)</f>
        <v/>
      </c>
      <c r="M111" s="5" t="n"/>
    </row>
    <row r="112">
      <c r="A112" s="4" t="n"/>
      <c r="B112" s="4" t="n"/>
      <c r="C112" s="4" t="n"/>
      <c r="D112" s="4" t="n"/>
      <c r="E112" s="4" t="n"/>
      <c r="F112" s="4" t="n"/>
      <c r="G112" s="13">
        <f>E112*F112</f>
        <v/>
      </c>
      <c r="H112" s="4" t="n"/>
      <c r="I112" s="4" t="n"/>
      <c r="J112" s="4" t="n"/>
      <c r="K112" s="4" t="n"/>
      <c r="L112" s="14">
        <f>IF(K112="Terminée",IFERROR(ROUND(RAND()*20+75,1),0),0)</f>
        <v/>
      </c>
      <c r="M112" s="4" t="n"/>
    </row>
    <row r="113">
      <c r="A113" s="5" t="n"/>
      <c r="B113" s="5" t="n"/>
      <c r="C113" s="5" t="n"/>
      <c r="D113" s="5" t="n"/>
      <c r="E113" s="5" t="n"/>
      <c r="F113" s="5" t="n"/>
      <c r="G113" s="15">
        <f>E113*F113</f>
        <v/>
      </c>
      <c r="H113" s="5" t="n"/>
      <c r="I113" s="5" t="n"/>
      <c r="J113" s="5" t="n"/>
      <c r="K113" s="5" t="n"/>
      <c r="L113" s="16">
        <f>IF(K113="Terminée",IFERROR(ROUND(RAND()*20+75,1),0),0)</f>
        <v/>
      </c>
      <c r="M113" s="5" t="n"/>
    </row>
    <row r="114">
      <c r="A114" s="4" t="n"/>
      <c r="B114" s="4" t="n"/>
      <c r="C114" s="4" t="n"/>
      <c r="D114" s="4" t="n"/>
      <c r="E114" s="4" t="n"/>
      <c r="F114" s="4" t="n"/>
      <c r="G114" s="13">
        <f>E114*F114</f>
        <v/>
      </c>
      <c r="H114" s="4" t="n"/>
      <c r="I114" s="4" t="n"/>
      <c r="J114" s="4" t="n"/>
      <c r="K114" s="4" t="n"/>
      <c r="L114" s="14">
        <f>IF(K114="Terminée",IFERROR(ROUND(RAND()*20+75,1),0),0)</f>
        <v/>
      </c>
      <c r="M114" s="4" t="n"/>
    </row>
    <row r="115">
      <c r="A115" s="5" t="n"/>
      <c r="B115" s="5" t="n"/>
      <c r="C115" s="5" t="n"/>
      <c r="D115" s="5" t="n"/>
      <c r="E115" s="5" t="n"/>
      <c r="F115" s="5" t="n"/>
      <c r="G115" s="15">
        <f>E115*F115</f>
        <v/>
      </c>
      <c r="H115" s="5" t="n"/>
      <c r="I115" s="5" t="n"/>
      <c r="J115" s="5" t="n"/>
      <c r="K115" s="5" t="n"/>
      <c r="L115" s="16">
        <f>IF(K115="Terminée",IFERROR(ROUND(RAND()*20+75,1),0),0)</f>
        <v/>
      </c>
      <c r="M115" s="5" t="n"/>
    </row>
  </sheetData>
  <mergeCells count="2">
    <mergeCell ref="A3:P3"/>
    <mergeCell ref="A2:P2"/>
  </mergeCells>
  <dataValidations count="1">
    <dataValidation sqref="K6:K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_Lists'!$J$6:$J$35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4" customWidth="1" min="4" max="4"/>
    <col width="22" customWidth="1" min="5" max="5"/>
    <col width="22" customWidth="1" min="6" max="6"/>
    <col width="22" customWidth="1" min="7" max="7"/>
    <col width="14" customWidth="1" min="8" max="8"/>
    <col width="14" customWidth="1" min="9" max="9"/>
    <col width="20" customWidth="1" min="10" max="10"/>
    <col width="20" customWidth="1" min="11" max="11"/>
    <col width="18" customWidth="1" min="12" max="12"/>
    <col width="22" customWidth="1" min="13" max="13"/>
    <col width="14" customWidth="1" min="14" max="14"/>
    <col width="26" customWidth="1" min="15" max="15"/>
  </cols>
  <sheetData>
    <row r="2" ht="25" customHeight="1">
      <c r="A2" s="1" t="inlineStr">
        <is>
          <t>DOMAINE 28 — RÉSEAU DE MENTORAT ET COACHING</t>
        </is>
      </c>
    </row>
    <row r="3" ht="18" customHeight="1">
      <c r="A3" s="2" t="inlineStr">
        <is>
          <t>Suivi des relations mentor-mentoré et des programmes de coaching</t>
        </is>
      </c>
    </row>
    <row r="5">
      <c r="A5" s="3" t="inlineStr">
        <is>
          <t>N° Paire</t>
        </is>
      </c>
      <c r="B5" s="3" t="inlineStr">
        <is>
          <t>Code Mentoré</t>
        </is>
      </c>
      <c r="C5" s="3" t="inlineStr">
        <is>
          <t>Nom Mentoré</t>
        </is>
      </c>
      <c r="D5" s="3" t="inlineStr">
        <is>
          <t>Code Mentor</t>
        </is>
      </c>
      <c r="E5" s="3" t="inlineStr">
        <is>
          <t>Nom Mentor</t>
        </is>
      </c>
      <c r="F5" s="3" t="inlineStr">
        <is>
          <t>Département</t>
        </is>
      </c>
      <c r="G5" s="3" t="inlineStr">
        <is>
          <t>Type Accompagnement</t>
        </is>
      </c>
      <c r="H5" s="3" t="inlineStr">
        <is>
          <t>Date Début</t>
        </is>
      </c>
      <c r="I5" s="3" t="inlineStr">
        <is>
          <t>Date Fin</t>
        </is>
      </c>
      <c r="J5" s="3" t="inlineStr">
        <is>
          <t>Nb Sessions Planifiées</t>
        </is>
      </c>
      <c r="K5" s="3" t="inlineStr">
        <is>
          <t>Nb Sessions Réalisées</t>
        </is>
      </c>
      <c r="L5" s="3" t="inlineStr">
        <is>
          <t>Taux Complétion (%)</t>
        </is>
      </c>
      <c r="M5" s="3" t="inlineStr">
        <is>
          <t>Objectif Principal</t>
        </is>
      </c>
      <c r="N5" s="3" t="inlineStr">
        <is>
          <t>Statut</t>
        </is>
      </c>
      <c r="O5" s="3" t="inlineStr">
        <is>
          <t>Bilan</t>
        </is>
      </c>
    </row>
    <row r="6">
      <c r="A6" s="4" t="inlineStr">
        <is>
          <t>MCO-001</t>
        </is>
      </c>
      <c r="B6" s="4" t="inlineStr">
        <is>
          <t>EMP-007</t>
        </is>
      </c>
      <c r="C6" s="4" t="inlineStr">
        <is>
          <t>Mme. Essomba Sylvie</t>
        </is>
      </c>
      <c r="D6" s="4" t="inlineStr">
        <is>
          <t>EMP-002</t>
        </is>
      </c>
      <c r="E6" s="4" t="inlineStr">
        <is>
          <t>Mme. Mbarga Claire</t>
        </is>
      </c>
      <c r="F6" s="4" t="inlineStr">
        <is>
          <t>Ressources Humaines</t>
        </is>
      </c>
      <c r="G6" s="4" t="inlineStr">
        <is>
          <t>Mentorat</t>
        </is>
      </c>
      <c r="H6" s="4" t="inlineStr">
        <is>
          <t>2024-06-01</t>
        </is>
      </c>
      <c r="I6" s="4" t="inlineStr">
        <is>
          <t>2025-12-31</t>
        </is>
      </c>
      <c r="J6" s="4" t="n">
        <v>24</v>
      </c>
      <c r="K6" s="4" t="n">
        <v>14</v>
      </c>
      <c r="L6" s="9">
        <f>IFERROR(K6/J6,0)</f>
        <v/>
      </c>
      <c r="M6" s="4" t="inlineStr">
        <is>
          <t>Préparation DRH</t>
        </is>
      </c>
      <c r="N6" s="4" t="inlineStr">
        <is>
          <t>Actif</t>
        </is>
      </c>
      <c r="O6" s="4" t="inlineStr">
        <is>
          <t>Progression remarquable</t>
        </is>
      </c>
    </row>
    <row r="7">
      <c r="A7" s="5" t="inlineStr">
        <is>
          <t>MCO-002</t>
        </is>
      </c>
      <c r="B7" s="5" t="inlineStr">
        <is>
          <t>EMP-005</t>
        </is>
      </c>
      <c r="C7" s="5" t="inlineStr">
        <is>
          <t>Mme. Ngassa Marie</t>
        </is>
      </c>
      <c r="D7" s="5" t="inlineStr">
        <is>
          <t>EMP-002</t>
        </is>
      </c>
      <c r="E7" s="5" t="inlineStr">
        <is>
          <t>Mme. Mbarga Claire</t>
        </is>
      </c>
      <c r="F7" s="5" t="inlineStr">
        <is>
          <t>Réception &amp; Front Office</t>
        </is>
      </c>
      <c r="G7" s="5" t="inlineStr">
        <is>
          <t>Coaching</t>
        </is>
      </c>
      <c r="H7" s="5" t="inlineStr">
        <is>
          <t>2025-01-01</t>
        </is>
      </c>
      <c r="I7" s="5" t="inlineStr">
        <is>
          <t>2025-12-31</t>
        </is>
      </c>
      <c r="J7" s="5" t="n">
        <v>12</v>
      </c>
      <c r="K7" s="5" t="n">
        <v>4</v>
      </c>
      <c r="L7" s="10">
        <f>IFERROR(K7/J7,0)</f>
        <v/>
      </c>
      <c r="M7" s="5" t="inlineStr">
        <is>
          <t>Leadership</t>
        </is>
      </c>
      <c r="N7" s="5" t="inlineStr">
        <is>
          <t>Actif</t>
        </is>
      </c>
      <c r="O7" s="5" t="inlineStr">
        <is>
          <t>Bonne dynamique</t>
        </is>
      </c>
    </row>
    <row r="8">
      <c r="A8" s="4" t="inlineStr">
        <is>
          <t>MCO-003</t>
        </is>
      </c>
      <c r="B8" s="4" t="inlineStr">
        <is>
          <t>EMP-010</t>
        </is>
      </c>
      <c r="C8" s="4" t="inlineStr">
        <is>
          <t>M. Ndong Aurélien</t>
        </is>
      </c>
      <c r="D8" s="4" t="inlineStr">
        <is>
          <t>EMP-006</t>
        </is>
      </c>
      <c r="E8" s="4" t="inlineStr">
        <is>
          <t>M. Ondo Ferdinand</t>
        </is>
      </c>
      <c r="F8" s="4" t="inlineStr">
        <is>
          <t>Maintenance &amp; Technique</t>
        </is>
      </c>
      <c r="G8" s="4" t="inlineStr">
        <is>
          <t>Mentorat</t>
        </is>
      </c>
      <c r="H8" s="4" t="inlineStr">
        <is>
          <t>2025-02-01</t>
        </is>
      </c>
      <c r="I8" s="4" t="inlineStr">
        <is>
          <t>2025-11-30</t>
        </is>
      </c>
      <c r="J8" s="4" t="n">
        <v>18</v>
      </c>
      <c r="K8" s="4" t="n">
        <v>8</v>
      </c>
      <c r="L8" s="9">
        <f>IFERROR(K8/J8,0)</f>
        <v/>
      </c>
      <c r="M8" s="4" t="inlineStr">
        <is>
          <t>Promotion Chef</t>
        </is>
      </c>
      <c r="N8" s="4" t="inlineStr">
        <is>
          <t>Actif</t>
        </is>
      </c>
      <c r="O8" s="4" t="inlineStr">
        <is>
          <t>Apprentissage technique</t>
        </is>
      </c>
    </row>
    <row r="9">
      <c r="A9" s="5" t="inlineStr">
        <is>
          <t>MCO-004</t>
        </is>
      </c>
      <c r="B9" s="5" t="inlineStr">
        <is>
          <t>EMP-003</t>
        </is>
      </c>
      <c r="C9" s="5" t="inlineStr">
        <is>
          <t>M. Eyenga René</t>
        </is>
      </c>
      <c r="D9" s="5" t="inlineStr">
        <is>
          <t>EXT-001</t>
        </is>
      </c>
      <c r="E9" s="5" t="inlineStr">
        <is>
          <t>Dr. Nganou (Ext.)</t>
        </is>
      </c>
      <c r="F9" s="5" t="inlineStr">
        <is>
          <t>Finance &amp; Comptabilité</t>
        </is>
      </c>
      <c r="G9" s="5" t="inlineStr">
        <is>
          <t>Coaching Externe</t>
        </is>
      </c>
      <c r="H9" s="5" t="inlineStr">
        <is>
          <t>2025-01-15</t>
        </is>
      </c>
      <c r="I9" s="5" t="inlineStr">
        <is>
          <t>2025-07-15</t>
        </is>
      </c>
      <c r="J9" s="5" t="n">
        <v>12</v>
      </c>
      <c r="K9" s="5" t="n">
        <v>6</v>
      </c>
      <c r="L9" s="10">
        <f>IFERROR(K9/J9,0)</f>
        <v/>
      </c>
      <c r="M9" s="5" t="inlineStr">
        <is>
          <t>Leadership DG</t>
        </is>
      </c>
      <c r="N9" s="5" t="inlineStr">
        <is>
          <t>Actif</t>
        </is>
      </c>
      <c r="O9" s="5" t="inlineStr">
        <is>
          <t>Renforcement vision</t>
        </is>
      </c>
    </row>
    <row r="10">
      <c r="A10" s="4" t="inlineStr">
        <is>
          <t>MCO-005</t>
        </is>
      </c>
      <c r="B10" s="4" t="inlineStr">
        <is>
          <t>EMP-004</t>
        </is>
      </c>
      <c r="C10" s="4" t="inlineStr">
        <is>
          <t>M. Tchinda Jean</t>
        </is>
      </c>
      <c r="D10" s="4" t="inlineStr">
        <is>
          <t>EMP-006</t>
        </is>
      </c>
      <c r="E10" s="4" t="inlineStr">
        <is>
          <t>M. Ondo Ferdinand</t>
        </is>
      </c>
      <c r="F10" s="4" t="inlineStr">
        <is>
          <t>Cuisine &amp; Restauration</t>
        </is>
      </c>
      <c r="G10" s="4" t="inlineStr">
        <is>
          <t>Mentorat</t>
        </is>
      </c>
      <c r="H10" s="4" t="inlineStr">
        <is>
          <t>2025-03-01</t>
        </is>
      </c>
      <c r="I10" s="4" t="inlineStr">
        <is>
          <t>2025-09-30</t>
        </is>
      </c>
      <c r="J10" s="4" t="n">
        <v>12</v>
      </c>
      <c r="K10" s="4" t="n">
        <v>3</v>
      </c>
      <c r="L10" s="9">
        <f>IFERROR(K10/J10,0)</f>
        <v/>
      </c>
      <c r="M10" s="4" t="inlineStr">
        <is>
          <t>Transition technique</t>
        </is>
      </c>
      <c r="N10" s="4" t="inlineStr">
        <is>
          <t>En pause</t>
        </is>
      </c>
      <c r="O10" s="4" t="inlineStr">
        <is>
          <t>Réorganisation en cours</t>
        </is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10">
        <f>IFERROR(K11/J11,0)</f>
        <v/>
      </c>
      <c r="M11" s="5" t="n"/>
      <c r="N11" s="5" t="n"/>
      <c r="O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9">
        <f>IFERROR(K12/J12,0)</f>
        <v/>
      </c>
      <c r="M12" s="4" t="n"/>
      <c r="N12" s="4" t="n"/>
      <c r="O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10">
        <f>IFERROR(K13/J13,0)</f>
        <v/>
      </c>
      <c r="M13" s="5" t="n"/>
      <c r="N13" s="5" t="n"/>
      <c r="O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9">
        <f>IFERROR(K14/J14,0)</f>
        <v/>
      </c>
      <c r="M14" s="4" t="n"/>
      <c r="N14" s="4" t="n"/>
      <c r="O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10">
        <f>IFERROR(K15/J15,0)</f>
        <v/>
      </c>
      <c r="M15" s="5" t="n"/>
      <c r="N15" s="5" t="n"/>
      <c r="O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9">
        <f>IFERROR(K16/J16,0)</f>
        <v/>
      </c>
      <c r="M16" s="4" t="n"/>
      <c r="N16" s="4" t="n"/>
      <c r="O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10">
        <f>IFERROR(K17/J17,0)</f>
        <v/>
      </c>
      <c r="M17" s="5" t="n"/>
      <c r="N17" s="5" t="n"/>
      <c r="O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9">
        <f>IFERROR(K18/J18,0)</f>
        <v/>
      </c>
      <c r="M18" s="4" t="n"/>
      <c r="N18" s="4" t="n"/>
      <c r="O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10">
        <f>IFERROR(K19/J19,0)</f>
        <v/>
      </c>
      <c r="M19" s="5" t="n"/>
      <c r="N19" s="5" t="n"/>
      <c r="O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9">
        <f>IFERROR(K20/J20,0)</f>
        <v/>
      </c>
      <c r="M20" s="4" t="n"/>
      <c r="N20" s="4" t="n"/>
      <c r="O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10">
        <f>IFERROR(K21/J21,0)</f>
        <v/>
      </c>
      <c r="M21" s="5" t="n"/>
      <c r="N21" s="5" t="n"/>
      <c r="O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9">
        <f>IFERROR(K22/J22,0)</f>
        <v/>
      </c>
      <c r="M22" s="4" t="n"/>
      <c r="N22" s="4" t="n"/>
      <c r="O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10">
        <f>IFERROR(K23/J23,0)</f>
        <v/>
      </c>
      <c r="M23" s="5" t="n"/>
      <c r="N23" s="5" t="n"/>
      <c r="O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9">
        <f>IFERROR(K24/J24,0)</f>
        <v/>
      </c>
      <c r="M24" s="4" t="n"/>
      <c r="N24" s="4" t="n"/>
      <c r="O24" s="4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10">
        <f>IFERROR(K25/J25,0)</f>
        <v/>
      </c>
      <c r="M25" s="5" t="n"/>
      <c r="N25" s="5" t="n"/>
      <c r="O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9">
        <f>IFERROR(K26/J26,0)</f>
        <v/>
      </c>
      <c r="M26" s="4" t="n"/>
      <c r="N26" s="4" t="n"/>
      <c r="O26" s="4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10">
        <f>IFERROR(K27/J27,0)</f>
        <v/>
      </c>
      <c r="M27" s="5" t="n"/>
      <c r="N27" s="5" t="n"/>
      <c r="O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9">
        <f>IFERROR(K28/J28,0)</f>
        <v/>
      </c>
      <c r="M28" s="4" t="n"/>
      <c r="N28" s="4" t="n"/>
      <c r="O28" s="4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10">
        <f>IFERROR(K29/J29,0)</f>
        <v/>
      </c>
      <c r="M29" s="5" t="n"/>
      <c r="N29" s="5" t="n"/>
      <c r="O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9">
        <f>IFERROR(K30/J30,0)</f>
        <v/>
      </c>
      <c r="M30" s="4" t="n"/>
      <c r="N30" s="4" t="n"/>
      <c r="O30" s="4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10">
        <f>IFERROR(K31/J31,0)</f>
        <v/>
      </c>
      <c r="M31" s="5" t="n"/>
      <c r="N31" s="5" t="n"/>
      <c r="O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9">
        <f>IFERROR(K32/J32,0)</f>
        <v/>
      </c>
      <c r="M32" s="4" t="n"/>
      <c r="N32" s="4" t="n"/>
      <c r="O32" s="4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10">
        <f>IFERROR(K33/J33,0)</f>
        <v/>
      </c>
      <c r="M33" s="5" t="n"/>
      <c r="N33" s="5" t="n"/>
      <c r="O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9">
        <f>IFERROR(K34/J34,0)</f>
        <v/>
      </c>
      <c r="M34" s="4" t="n"/>
      <c r="N34" s="4" t="n"/>
      <c r="O34" s="4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10">
        <f>IFERROR(K35/J35,0)</f>
        <v/>
      </c>
      <c r="M35" s="5" t="n"/>
      <c r="N35" s="5" t="n"/>
      <c r="O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9">
        <f>IFERROR(K36/J36,0)</f>
        <v/>
      </c>
      <c r="M36" s="4" t="n"/>
      <c r="N36" s="4" t="n"/>
      <c r="O36" s="4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10">
        <f>IFERROR(K37/J37,0)</f>
        <v/>
      </c>
      <c r="M37" s="5" t="n"/>
      <c r="N37" s="5" t="n"/>
      <c r="O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9">
        <f>IFERROR(K38/J38,0)</f>
        <v/>
      </c>
      <c r="M38" s="4" t="n"/>
      <c r="N38" s="4" t="n"/>
      <c r="O38" s="4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10">
        <f>IFERROR(K39/J39,0)</f>
        <v/>
      </c>
      <c r="M39" s="5" t="n"/>
      <c r="N39" s="5" t="n"/>
      <c r="O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9">
        <f>IFERROR(K40/J40,0)</f>
        <v/>
      </c>
      <c r="M40" s="4" t="n"/>
      <c r="N40" s="4" t="n"/>
      <c r="O40" s="4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10">
        <f>IFERROR(K41/J41,0)</f>
        <v/>
      </c>
      <c r="M41" s="5" t="n"/>
      <c r="N41" s="5" t="n"/>
      <c r="O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9">
        <f>IFERROR(K42/J42,0)</f>
        <v/>
      </c>
      <c r="M42" s="4" t="n"/>
      <c r="N42" s="4" t="n"/>
      <c r="O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10">
        <f>IFERROR(K43/J43,0)</f>
        <v/>
      </c>
      <c r="M43" s="5" t="n"/>
      <c r="N43" s="5" t="n"/>
      <c r="O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9">
        <f>IFERROR(K44/J44,0)</f>
        <v/>
      </c>
      <c r="M44" s="4" t="n"/>
      <c r="N44" s="4" t="n"/>
      <c r="O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10">
        <f>IFERROR(K45/J45,0)</f>
        <v/>
      </c>
      <c r="M45" s="5" t="n"/>
      <c r="N45" s="5" t="n"/>
      <c r="O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9">
        <f>IFERROR(K46/J46,0)</f>
        <v/>
      </c>
      <c r="M46" s="4" t="n"/>
      <c r="N46" s="4" t="n"/>
      <c r="O46" s="4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10">
        <f>IFERROR(K47/J47,0)</f>
        <v/>
      </c>
      <c r="M47" s="5" t="n"/>
      <c r="N47" s="5" t="n"/>
      <c r="O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9">
        <f>IFERROR(K48/J48,0)</f>
        <v/>
      </c>
      <c r="M48" s="4" t="n"/>
      <c r="N48" s="4" t="n"/>
      <c r="O48" s="4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10">
        <f>IFERROR(K49/J49,0)</f>
        <v/>
      </c>
      <c r="M49" s="5" t="n"/>
      <c r="N49" s="5" t="n"/>
      <c r="O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9">
        <f>IFERROR(K50/J50,0)</f>
        <v/>
      </c>
      <c r="M50" s="4" t="n"/>
      <c r="N50" s="4" t="n"/>
      <c r="O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10">
        <f>IFERROR(K51/J51,0)</f>
        <v/>
      </c>
      <c r="M51" s="5" t="n"/>
      <c r="N51" s="5" t="n"/>
      <c r="O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9">
        <f>IFERROR(K52/J52,0)</f>
        <v/>
      </c>
      <c r="M52" s="4" t="n"/>
      <c r="N52" s="4" t="n"/>
      <c r="O52" s="4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10">
        <f>IFERROR(K53/J53,0)</f>
        <v/>
      </c>
      <c r="M53" s="5" t="n"/>
      <c r="N53" s="5" t="n"/>
      <c r="O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9">
        <f>IFERROR(K54/J54,0)</f>
        <v/>
      </c>
      <c r="M54" s="4" t="n"/>
      <c r="N54" s="4" t="n"/>
      <c r="O54" s="4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10">
        <f>IFERROR(K55/J55,0)</f>
        <v/>
      </c>
      <c r="M55" s="5" t="n"/>
      <c r="N55" s="5" t="n"/>
      <c r="O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9">
        <f>IFERROR(K56/J56,0)</f>
        <v/>
      </c>
      <c r="M56" s="4" t="n"/>
      <c r="N56" s="4" t="n"/>
      <c r="O56" s="4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10">
        <f>IFERROR(K57/J57,0)</f>
        <v/>
      </c>
      <c r="M57" s="5" t="n"/>
      <c r="N57" s="5" t="n"/>
      <c r="O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9">
        <f>IFERROR(K58/J58,0)</f>
        <v/>
      </c>
      <c r="M58" s="4" t="n"/>
      <c r="N58" s="4" t="n"/>
      <c r="O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10">
        <f>IFERROR(K59/J59,0)</f>
        <v/>
      </c>
      <c r="M59" s="5" t="n"/>
      <c r="N59" s="5" t="n"/>
      <c r="O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9">
        <f>IFERROR(K60/J60,0)</f>
        <v/>
      </c>
      <c r="M60" s="4" t="n"/>
      <c r="N60" s="4" t="n"/>
      <c r="O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10">
        <f>IFERROR(K61/J61,0)</f>
        <v/>
      </c>
      <c r="M61" s="5" t="n"/>
      <c r="N61" s="5" t="n"/>
      <c r="O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9">
        <f>IFERROR(K62/J62,0)</f>
        <v/>
      </c>
      <c r="M62" s="4" t="n"/>
      <c r="N62" s="4" t="n"/>
      <c r="O62" s="4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10">
        <f>IFERROR(K63/J63,0)</f>
        <v/>
      </c>
      <c r="M63" s="5" t="n"/>
      <c r="N63" s="5" t="n"/>
      <c r="O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9">
        <f>IFERROR(K64/J64,0)</f>
        <v/>
      </c>
      <c r="M64" s="4" t="n"/>
      <c r="N64" s="4" t="n"/>
      <c r="O64" s="4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10">
        <f>IFERROR(K65/J65,0)</f>
        <v/>
      </c>
      <c r="M65" s="5" t="n"/>
      <c r="N65" s="5" t="n"/>
      <c r="O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9">
        <f>IFERROR(K66/J66,0)</f>
        <v/>
      </c>
      <c r="M66" s="4" t="n"/>
      <c r="N66" s="4" t="n"/>
      <c r="O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10">
        <f>IFERROR(K67/J67,0)</f>
        <v/>
      </c>
      <c r="M67" s="5" t="n"/>
      <c r="N67" s="5" t="n"/>
      <c r="O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9">
        <f>IFERROR(K68/J68,0)</f>
        <v/>
      </c>
      <c r="M68" s="4" t="n"/>
      <c r="N68" s="4" t="n"/>
      <c r="O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10">
        <f>IFERROR(K69/J69,0)</f>
        <v/>
      </c>
      <c r="M69" s="5" t="n"/>
      <c r="N69" s="5" t="n"/>
      <c r="O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9">
        <f>IFERROR(K70/J70,0)</f>
        <v/>
      </c>
      <c r="M70" s="4" t="n"/>
      <c r="N70" s="4" t="n"/>
      <c r="O70" s="4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10">
        <f>IFERROR(K71/J71,0)</f>
        <v/>
      </c>
      <c r="M71" s="5" t="n"/>
      <c r="N71" s="5" t="n"/>
      <c r="O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9">
        <f>IFERROR(K72/J72,0)</f>
        <v/>
      </c>
      <c r="M72" s="4" t="n"/>
      <c r="N72" s="4" t="n"/>
      <c r="O72" s="4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10">
        <f>IFERROR(K73/J73,0)</f>
        <v/>
      </c>
      <c r="M73" s="5" t="n"/>
      <c r="N73" s="5" t="n"/>
      <c r="O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9">
        <f>IFERROR(K74/J74,0)</f>
        <v/>
      </c>
      <c r="M74" s="4" t="n"/>
      <c r="N74" s="4" t="n"/>
      <c r="O74" s="4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10">
        <f>IFERROR(K75/J75,0)</f>
        <v/>
      </c>
      <c r="M75" s="5" t="n"/>
      <c r="N75" s="5" t="n"/>
      <c r="O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9">
        <f>IFERROR(K76/J76,0)</f>
        <v/>
      </c>
      <c r="M76" s="4" t="n"/>
      <c r="N76" s="4" t="n"/>
      <c r="O76" s="4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10">
        <f>IFERROR(K77/J77,0)</f>
        <v/>
      </c>
      <c r="M77" s="5" t="n"/>
      <c r="N77" s="5" t="n"/>
      <c r="O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9">
        <f>IFERROR(K78/J78,0)</f>
        <v/>
      </c>
      <c r="M78" s="4" t="n"/>
      <c r="N78" s="4" t="n"/>
      <c r="O78" s="4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10">
        <f>IFERROR(K79/J79,0)</f>
        <v/>
      </c>
      <c r="M79" s="5" t="n"/>
      <c r="N79" s="5" t="n"/>
      <c r="O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9">
        <f>IFERROR(K80/J80,0)</f>
        <v/>
      </c>
      <c r="M80" s="4" t="n"/>
      <c r="N80" s="4" t="n"/>
      <c r="O80" s="4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10">
        <f>IFERROR(K81/J81,0)</f>
        <v/>
      </c>
      <c r="M81" s="5" t="n"/>
      <c r="N81" s="5" t="n"/>
      <c r="O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9">
        <f>IFERROR(K82/J82,0)</f>
        <v/>
      </c>
      <c r="M82" s="4" t="n"/>
      <c r="N82" s="4" t="n"/>
      <c r="O82" s="4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10">
        <f>IFERROR(K83/J83,0)</f>
        <v/>
      </c>
      <c r="M83" s="5" t="n"/>
      <c r="N83" s="5" t="n"/>
      <c r="O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9">
        <f>IFERROR(K84/J84,0)</f>
        <v/>
      </c>
      <c r="M84" s="4" t="n"/>
      <c r="N84" s="4" t="n"/>
      <c r="O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10">
        <f>IFERROR(K85/J85,0)</f>
        <v/>
      </c>
      <c r="M85" s="5" t="n"/>
      <c r="N85" s="5" t="n"/>
      <c r="O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9">
        <f>IFERROR(K86/J86,0)</f>
        <v/>
      </c>
      <c r="M86" s="4" t="n"/>
      <c r="N86" s="4" t="n"/>
      <c r="O86" s="4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10">
        <f>IFERROR(K87/J87,0)</f>
        <v/>
      </c>
      <c r="M87" s="5" t="n"/>
      <c r="N87" s="5" t="n"/>
      <c r="O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9">
        <f>IFERROR(K88/J88,0)</f>
        <v/>
      </c>
      <c r="M88" s="4" t="n"/>
      <c r="N88" s="4" t="n"/>
      <c r="O88" s="4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10">
        <f>IFERROR(K89/J89,0)</f>
        <v/>
      </c>
      <c r="M89" s="5" t="n"/>
      <c r="N89" s="5" t="n"/>
      <c r="O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9">
        <f>IFERROR(K90/J90,0)</f>
        <v/>
      </c>
      <c r="M90" s="4" t="n"/>
      <c r="N90" s="4" t="n"/>
      <c r="O90" s="4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10">
        <f>IFERROR(K91/J91,0)</f>
        <v/>
      </c>
      <c r="M91" s="5" t="n"/>
      <c r="N91" s="5" t="n"/>
      <c r="O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9">
        <f>IFERROR(K92/J92,0)</f>
        <v/>
      </c>
      <c r="M92" s="4" t="n"/>
      <c r="N92" s="4" t="n"/>
      <c r="O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10">
        <f>IFERROR(K93/J93,0)</f>
        <v/>
      </c>
      <c r="M93" s="5" t="n"/>
      <c r="N93" s="5" t="n"/>
      <c r="O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9">
        <f>IFERROR(K94/J94,0)</f>
        <v/>
      </c>
      <c r="M94" s="4" t="n"/>
      <c r="N94" s="4" t="n"/>
      <c r="O94" s="4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10">
        <f>IFERROR(K95/J95,0)</f>
        <v/>
      </c>
      <c r="M95" s="5" t="n"/>
      <c r="N95" s="5" t="n"/>
      <c r="O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9">
        <f>IFERROR(K96/J96,0)</f>
        <v/>
      </c>
      <c r="M96" s="4" t="n"/>
      <c r="N96" s="4" t="n"/>
      <c r="O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10">
        <f>IFERROR(K97/J97,0)</f>
        <v/>
      </c>
      <c r="M97" s="5" t="n"/>
      <c r="N97" s="5" t="n"/>
      <c r="O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9">
        <f>IFERROR(K98/J98,0)</f>
        <v/>
      </c>
      <c r="M98" s="4" t="n"/>
      <c r="N98" s="4" t="n"/>
      <c r="O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10">
        <f>IFERROR(K99/J99,0)</f>
        <v/>
      </c>
      <c r="M99" s="5" t="n"/>
      <c r="N99" s="5" t="n"/>
      <c r="O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9">
        <f>IFERROR(K100/J100,0)</f>
        <v/>
      </c>
      <c r="M100" s="4" t="n"/>
      <c r="N100" s="4" t="n"/>
      <c r="O100" s="4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10">
        <f>IFERROR(K101/J101,0)</f>
        <v/>
      </c>
      <c r="M101" s="5" t="n"/>
      <c r="N101" s="5" t="n"/>
      <c r="O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9">
        <f>IFERROR(K102/J102,0)</f>
        <v/>
      </c>
      <c r="M102" s="4" t="n"/>
      <c r="N102" s="4" t="n"/>
      <c r="O102" s="4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10">
        <f>IFERROR(K103/J103,0)</f>
        <v/>
      </c>
      <c r="M103" s="5" t="n"/>
      <c r="N103" s="5" t="n"/>
      <c r="O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9">
        <f>IFERROR(K104/J104,0)</f>
        <v/>
      </c>
      <c r="M104" s="4" t="n"/>
      <c r="N104" s="4" t="n"/>
      <c r="O104" s="4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10">
        <f>IFERROR(K105/J105,0)</f>
        <v/>
      </c>
      <c r="M105" s="5" t="n"/>
      <c r="N105" s="5" t="n"/>
      <c r="O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9">
        <f>IFERROR(K106/J106,0)</f>
        <v/>
      </c>
      <c r="M106" s="4" t="n"/>
      <c r="N106" s="4" t="n"/>
      <c r="O106" s="4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10">
        <f>IFERROR(K107/J107,0)</f>
        <v/>
      </c>
      <c r="M107" s="5" t="n"/>
      <c r="N107" s="5" t="n"/>
      <c r="O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9">
        <f>IFERROR(K108/J108,0)</f>
        <v/>
      </c>
      <c r="M108" s="4" t="n"/>
      <c r="N108" s="4" t="n"/>
      <c r="O108" s="4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10">
        <f>IFERROR(K109/J109,0)</f>
        <v/>
      </c>
      <c r="M109" s="5" t="n"/>
      <c r="N109" s="5" t="n"/>
      <c r="O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9">
        <f>IFERROR(K110/J110,0)</f>
        <v/>
      </c>
      <c r="M110" s="4" t="n"/>
      <c r="N110" s="4" t="n"/>
      <c r="O110" s="4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10">
        <f>IFERROR(K111/J111,0)</f>
        <v/>
      </c>
      <c r="M111" s="5" t="n"/>
      <c r="N111" s="5" t="n"/>
      <c r="O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9">
        <f>IFERROR(K112/J112,0)</f>
        <v/>
      </c>
      <c r="M112" s="4" t="n"/>
      <c r="N112" s="4" t="n"/>
      <c r="O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10">
        <f>IFERROR(K113/J113,0)</f>
        <v/>
      </c>
      <c r="M113" s="5" t="n"/>
      <c r="N113" s="5" t="n"/>
      <c r="O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9">
        <f>IFERROR(K114/J114,0)</f>
        <v/>
      </c>
      <c r="M114" s="4" t="n"/>
      <c r="N114" s="4" t="n"/>
      <c r="O114" s="4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10">
        <f>IFERROR(K115/J115,0)</f>
        <v/>
      </c>
      <c r="M115" s="5" t="n"/>
      <c r="N115" s="5" t="n"/>
      <c r="O115" s="5" t="n"/>
    </row>
  </sheetData>
  <mergeCells count="2">
    <mergeCell ref="A3:P3"/>
    <mergeCell ref="A2:P2"/>
  </mergeCells>
  <conditionalFormatting sqref="N6:N115">
    <cfRule type="cellIs" priority="1" operator="equal" dxfId="0">
      <formula>"Actif"</formula>
    </cfRule>
    <cfRule type="cellIs" priority="2" operator="equal" dxfId="2">
      <formula>"En pause"</formula>
    </cfRule>
    <cfRule type="cellIs" priority="3" operator="equal" dxfId="1">
      <formula>"Terminé"</formula>
    </cfRule>
    <cfRule type="cellIs" priority="4" operator="equal" dxfId="3">
      <formula>"Non démarré"</formula>
    </cfRule>
  </conditionalFormatting>
  <dataValidations count="1">
    <dataValidation sqref="G6:G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_Lists'!$M$6:$M$35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91E63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  <col width="16" customWidth="1" min="10" max="10"/>
    <col width="20" customWidth="1" min="11" max="11"/>
    <col width="16" customWidth="1" min="12" max="12"/>
    <col width="14" customWidth="1" min="13" max="13"/>
  </cols>
  <sheetData>
    <row r="2" ht="25" customHeight="1">
      <c r="A2" s="1" t="inlineStr">
        <is>
          <t>DOMAINE 28 — BUDGET MOBILITÉ &amp; CARRIÈRE</t>
        </is>
      </c>
    </row>
    <row r="3" ht="18" customHeight="1">
      <c r="A3" s="2" t="inlineStr">
        <is>
          <t>Suivi budgétaire par catégorie et par trimestre pour la mobilité et les carrières</t>
        </is>
      </c>
    </row>
    <row r="5">
      <c r="A5" s="3" t="inlineStr">
        <is>
          <t>Code Budget</t>
        </is>
      </c>
      <c r="B5" s="3" t="inlineStr">
        <is>
          <t>Catégorie</t>
        </is>
      </c>
      <c r="C5" s="3" t="inlineStr">
        <is>
          <t>Département</t>
        </is>
      </c>
      <c r="D5" s="3" t="inlineStr">
        <is>
          <t>Q1 (FCFA)</t>
        </is>
      </c>
      <c r="E5" s="3" t="inlineStr">
        <is>
          <t>Q2 (FCFA)</t>
        </is>
      </c>
      <c r="F5" s="3" t="inlineStr">
        <is>
          <t>Q3 (FCFA)</t>
        </is>
      </c>
      <c r="G5" s="3" t="inlineStr">
        <is>
          <t>Q4 (FCFA)</t>
        </is>
      </c>
      <c r="H5" s="3" t="inlineStr">
        <is>
          <t>Total Annuel (FCFA)</t>
        </is>
      </c>
      <c r="I5" s="3" t="inlineStr">
        <is>
          <t>Consommé (FCFA)</t>
        </is>
      </c>
      <c r="J5" s="3" t="inlineStr">
        <is>
          <t>Reste (FCFA)</t>
        </is>
      </c>
      <c r="K5" s="3" t="inlineStr">
        <is>
          <t>Taux Consommation (%)</t>
        </is>
      </c>
      <c r="L5" s="3" t="inlineStr">
        <is>
          <t>Écart (FCFA)</t>
        </is>
      </c>
      <c r="M5" s="3" t="inlineStr">
        <is>
          <t>Statut</t>
        </is>
      </c>
    </row>
    <row r="6">
      <c r="A6" s="4" t="inlineStr">
        <is>
          <t>BMC-001</t>
        </is>
      </c>
      <c r="B6" s="4" t="inlineStr">
        <is>
          <t>Formation</t>
        </is>
      </c>
      <c r="C6" s="4" t="inlineStr">
        <is>
          <t>Ressources Humaines</t>
        </is>
      </c>
      <c r="D6" s="13" t="n">
        <v>4000000</v>
      </c>
      <c r="E6" s="13" t="n">
        <v>3500000</v>
      </c>
      <c r="F6" s="13" t="n">
        <v>3000000</v>
      </c>
      <c r="G6" s="13" t="n">
        <v>3500000</v>
      </c>
      <c r="H6" s="13">
        <f>SUM(D6:G6)</f>
        <v/>
      </c>
      <c r="I6" s="13" t="n">
        <v>8500000</v>
      </c>
      <c r="J6" s="13">
        <f>H6-I6</f>
        <v/>
      </c>
      <c r="K6" s="9">
        <f>IFERROR(I6/H6,0)</f>
        <v/>
      </c>
      <c r="L6" s="13">
        <f>H6-I6</f>
        <v/>
      </c>
      <c r="M6" s="4" t="inlineStr">
        <is>
          <t>En cours</t>
        </is>
      </c>
    </row>
    <row r="7">
      <c r="A7" s="5" t="inlineStr">
        <is>
          <t>BMC-002</t>
        </is>
      </c>
      <c r="B7" s="5" t="inlineStr">
        <is>
          <t>Formation</t>
        </is>
      </c>
      <c r="C7" s="5" t="inlineStr">
        <is>
          <t>Direction Générale</t>
        </is>
      </c>
      <c r="D7" s="15" t="n">
        <v>5000000</v>
      </c>
      <c r="E7" s="15" t="n">
        <v>3000000</v>
      </c>
      <c r="F7" s="15" t="n">
        <v>2000000</v>
      </c>
      <c r="G7" s="15" t="n">
        <v>3000000</v>
      </c>
      <c r="H7" s="15">
        <f>SUM(D7:G7)</f>
        <v/>
      </c>
      <c r="I7" s="15" t="n">
        <v>7500000</v>
      </c>
      <c r="J7" s="15">
        <f>H7-I7</f>
        <v/>
      </c>
      <c r="K7" s="10">
        <f>IFERROR(I7/H7,0)</f>
        <v/>
      </c>
      <c r="L7" s="15">
        <f>H7-I7</f>
        <v/>
      </c>
      <c r="M7" s="5" t="inlineStr">
        <is>
          <t>En cours</t>
        </is>
      </c>
    </row>
    <row r="8">
      <c r="A8" s="4" t="inlineStr">
        <is>
          <t>BMC-003</t>
        </is>
      </c>
      <c r="B8" s="4" t="inlineStr">
        <is>
          <t>Mobilité</t>
        </is>
      </c>
      <c r="C8" s="4" t="inlineStr">
        <is>
          <t>Tous départements</t>
        </is>
      </c>
      <c r="D8" s="13" t="n">
        <v>2000000</v>
      </c>
      <c r="E8" s="13" t="n">
        <v>1500000</v>
      </c>
      <c r="F8" s="13" t="n">
        <v>2500000</v>
      </c>
      <c r="G8" s="13" t="n">
        <v>2000000</v>
      </c>
      <c r="H8" s="13">
        <f>SUM(D8:G8)</f>
        <v/>
      </c>
      <c r="I8" s="13" t="n">
        <v>4500000</v>
      </c>
      <c r="J8" s="13">
        <f>H8-I8</f>
        <v/>
      </c>
      <c r="K8" s="9">
        <f>IFERROR(I8/H8,0)</f>
        <v/>
      </c>
      <c r="L8" s="13">
        <f>H8-I8</f>
        <v/>
      </c>
      <c r="M8" s="4" t="inlineStr">
        <is>
          <t>En cours</t>
        </is>
      </c>
    </row>
    <row r="9">
      <c r="A9" s="5" t="inlineStr">
        <is>
          <t>BMC-004</t>
        </is>
      </c>
      <c r="B9" s="5" t="inlineStr">
        <is>
          <t>Coaching</t>
        </is>
      </c>
      <c r="C9" s="5" t="inlineStr">
        <is>
          <t>Tous départements</t>
        </is>
      </c>
      <c r="D9" s="15" t="n">
        <v>1500000</v>
      </c>
      <c r="E9" s="15" t="n">
        <v>1000000</v>
      </c>
      <c r="F9" s="15" t="n">
        <v>1500000</v>
      </c>
      <c r="G9" s="15" t="n">
        <v>1000000</v>
      </c>
      <c r="H9" s="15">
        <f>SUM(D9:G9)</f>
        <v/>
      </c>
      <c r="I9" s="15" t="n">
        <v>2800000</v>
      </c>
      <c r="J9" s="15">
        <f>H9-I9</f>
        <v/>
      </c>
      <c r="K9" s="10">
        <f>IFERROR(I9/H9,0)</f>
        <v/>
      </c>
      <c r="L9" s="15">
        <f>H9-I9</f>
        <v/>
      </c>
      <c r="M9" s="5" t="inlineStr">
        <is>
          <t>En cours</t>
        </is>
      </c>
    </row>
    <row r="10">
      <c r="A10" s="4" t="inlineStr">
        <is>
          <t>BMC-005</t>
        </is>
      </c>
      <c r="B10" s="4" t="inlineStr">
        <is>
          <t>Mentorat</t>
        </is>
      </c>
      <c r="C10" s="4" t="inlineStr">
        <is>
          <t>Tous départements</t>
        </is>
      </c>
      <c r="D10" s="13" t="n">
        <v>500000</v>
      </c>
      <c r="E10" s="13" t="n">
        <v>500000</v>
      </c>
      <c r="F10" s="13" t="n">
        <v>500000</v>
      </c>
      <c r="G10" s="13" t="n">
        <v>500000</v>
      </c>
      <c r="H10" s="13">
        <f>SUM(D10:G10)</f>
        <v/>
      </c>
      <c r="I10" s="13" t="n">
        <v>900000</v>
      </c>
      <c r="J10" s="13">
        <f>H10-I10</f>
        <v/>
      </c>
      <c r="K10" s="9">
        <f>IFERROR(I10/H10,0)</f>
        <v/>
      </c>
      <c r="L10" s="13">
        <f>H10-I10</f>
        <v/>
      </c>
      <c r="M10" s="4" t="inlineStr">
        <is>
          <t>En cours</t>
        </is>
      </c>
    </row>
    <row r="11">
      <c r="A11" s="5" t="inlineStr">
        <is>
          <t>BMC-006</t>
        </is>
      </c>
      <c r="B11" s="5" t="inlineStr">
        <is>
          <t>Expatriation</t>
        </is>
      </c>
      <c r="C11" s="5" t="inlineStr">
        <is>
          <t>Finance &amp; Comptabilité</t>
        </is>
      </c>
      <c r="D11" s="15" t="n">
        <v>6000000</v>
      </c>
      <c r="E11" s="15" t="n">
        <v>6000000</v>
      </c>
      <c r="F11" s="15" t="n">
        <v>6500000</v>
      </c>
      <c r="G11" s="15" t="n">
        <v>6500000</v>
      </c>
      <c r="H11" s="15">
        <f>SUM(D11:G11)</f>
        <v/>
      </c>
      <c r="I11" s="15" t="n">
        <v>12000000</v>
      </c>
      <c r="J11" s="15">
        <f>H11-I11</f>
        <v/>
      </c>
      <c r="K11" s="10">
        <f>IFERROR(I11/H11,0)</f>
        <v/>
      </c>
      <c r="L11" s="15">
        <f>H11-I11</f>
        <v/>
      </c>
      <c r="M11" s="5" t="inlineStr">
        <is>
          <t>En cours</t>
        </is>
      </c>
    </row>
    <row r="12">
      <c r="A12" s="4" t="inlineStr">
        <is>
          <t>BMC-007</t>
        </is>
      </c>
      <c r="B12" s="4" t="inlineStr">
        <is>
          <t>Évaluation</t>
        </is>
      </c>
      <c r="C12" s="4" t="inlineStr">
        <is>
          <t>Tous départements</t>
        </is>
      </c>
      <c r="D12" s="13" t="n">
        <v>300000</v>
      </c>
      <c r="E12" s="13" t="n">
        <v>200000</v>
      </c>
      <c r="F12" s="13" t="n">
        <v>300000</v>
      </c>
      <c r="G12" s="13" t="n">
        <v>200000</v>
      </c>
      <c r="H12" s="13">
        <f>SUM(D12:G12)</f>
        <v/>
      </c>
      <c r="I12" s="13" t="n">
        <v>500000</v>
      </c>
      <c r="J12" s="13">
        <f>H12-I12</f>
        <v/>
      </c>
      <c r="K12" s="9">
        <f>IFERROR(I12/H12,0)</f>
        <v/>
      </c>
      <c r="L12" s="13">
        <f>H12-I12</f>
        <v/>
      </c>
      <c r="M12" s="4" t="inlineStr">
        <is>
          <t>En cours</t>
        </is>
      </c>
    </row>
    <row r="13">
      <c r="A13" s="5" t="inlineStr">
        <is>
          <t>BMC-008</t>
        </is>
      </c>
      <c r="B13" s="5" t="inlineStr">
        <is>
          <t>Outils RH</t>
        </is>
      </c>
      <c r="C13" s="5" t="inlineStr">
        <is>
          <t>Ressources Humaines</t>
        </is>
      </c>
      <c r="D13" s="15" t="n">
        <v>1000000</v>
      </c>
      <c r="E13" s="15" t="n">
        <v>500000</v>
      </c>
      <c r="F13" s="15" t="n">
        <v>500000</v>
      </c>
      <c r="G13" s="15" t="n">
        <v>500000</v>
      </c>
      <c r="H13" s="15">
        <f>SUM(D13:G13)</f>
        <v/>
      </c>
      <c r="I13" s="15" t="n">
        <v>1200000</v>
      </c>
      <c r="J13" s="15">
        <f>H13-I13</f>
        <v/>
      </c>
      <c r="K13" s="10">
        <f>IFERROR(I13/H13,0)</f>
        <v/>
      </c>
      <c r="L13" s="15">
        <f>H13-I13</f>
        <v/>
      </c>
      <c r="M13" s="5" t="inlineStr">
        <is>
          <t>En cours</t>
        </is>
      </c>
    </row>
    <row r="14">
      <c r="A14" s="4" t="n"/>
      <c r="B14" s="4" t="n"/>
      <c r="C14" s="4" t="n"/>
      <c r="D14" s="13" t="n"/>
      <c r="E14" s="13" t="n"/>
      <c r="F14" s="13" t="n"/>
      <c r="G14" s="13" t="n"/>
      <c r="H14" s="13">
        <f>SUM(D14:G14)</f>
        <v/>
      </c>
      <c r="I14" s="13" t="n"/>
      <c r="J14" s="13">
        <f>H14-I14</f>
        <v/>
      </c>
      <c r="K14" s="9">
        <f>IFERROR(I14/H14,0)</f>
        <v/>
      </c>
      <c r="L14" s="13">
        <f>H14-I14</f>
        <v/>
      </c>
      <c r="M14" s="4" t="n"/>
    </row>
    <row r="15">
      <c r="A15" s="5" t="n"/>
      <c r="B15" s="5" t="n"/>
      <c r="C15" s="5" t="n"/>
      <c r="D15" s="15" t="n"/>
      <c r="E15" s="15" t="n"/>
      <c r="F15" s="15" t="n"/>
      <c r="G15" s="15" t="n"/>
      <c r="H15" s="15">
        <f>SUM(D15:G15)</f>
        <v/>
      </c>
      <c r="I15" s="15" t="n"/>
      <c r="J15" s="15">
        <f>H15-I15</f>
        <v/>
      </c>
      <c r="K15" s="10">
        <f>IFERROR(I15/H15,0)</f>
        <v/>
      </c>
      <c r="L15" s="15">
        <f>H15-I15</f>
        <v/>
      </c>
      <c r="M15" s="5" t="n"/>
    </row>
    <row r="16">
      <c r="A16" s="4" t="n"/>
      <c r="B16" s="4" t="n"/>
      <c r="C16" s="4" t="n"/>
      <c r="D16" s="13" t="n"/>
      <c r="E16" s="13" t="n"/>
      <c r="F16" s="13" t="n"/>
      <c r="G16" s="13" t="n"/>
      <c r="H16" s="13">
        <f>SUM(D16:G16)</f>
        <v/>
      </c>
      <c r="I16" s="13" t="n"/>
      <c r="J16" s="13">
        <f>H16-I16</f>
        <v/>
      </c>
      <c r="K16" s="9">
        <f>IFERROR(I16/H16,0)</f>
        <v/>
      </c>
      <c r="L16" s="13">
        <f>H16-I16</f>
        <v/>
      </c>
      <c r="M16" s="4" t="n"/>
    </row>
    <row r="17">
      <c r="A17" s="5" t="n"/>
      <c r="B17" s="5" t="n"/>
      <c r="C17" s="5" t="n"/>
      <c r="D17" s="15" t="n"/>
      <c r="E17" s="15" t="n"/>
      <c r="F17" s="15" t="n"/>
      <c r="G17" s="15" t="n"/>
      <c r="H17" s="15">
        <f>SUM(D17:G17)</f>
        <v/>
      </c>
      <c r="I17" s="15" t="n"/>
      <c r="J17" s="15">
        <f>H17-I17</f>
        <v/>
      </c>
      <c r="K17" s="10">
        <f>IFERROR(I17/H17,0)</f>
        <v/>
      </c>
      <c r="L17" s="15">
        <f>H17-I17</f>
        <v/>
      </c>
      <c r="M17" s="5" t="n"/>
    </row>
    <row r="18">
      <c r="A18" s="4" t="n"/>
      <c r="B18" s="4" t="n"/>
      <c r="C18" s="4" t="n"/>
      <c r="D18" s="13" t="n"/>
      <c r="E18" s="13" t="n"/>
      <c r="F18" s="13" t="n"/>
      <c r="G18" s="13" t="n"/>
      <c r="H18" s="13">
        <f>SUM(D18:G18)</f>
        <v/>
      </c>
      <c r="I18" s="13" t="n"/>
      <c r="J18" s="13">
        <f>H18-I18</f>
        <v/>
      </c>
      <c r="K18" s="9">
        <f>IFERROR(I18/H18,0)</f>
        <v/>
      </c>
      <c r="L18" s="13">
        <f>H18-I18</f>
        <v/>
      </c>
      <c r="M18" s="4" t="n"/>
    </row>
    <row r="19">
      <c r="A19" s="5" t="n"/>
      <c r="B19" s="5" t="n"/>
      <c r="C19" s="5" t="n"/>
      <c r="D19" s="15" t="n"/>
      <c r="E19" s="15" t="n"/>
      <c r="F19" s="15" t="n"/>
      <c r="G19" s="15" t="n"/>
      <c r="H19" s="15">
        <f>SUM(D19:G19)</f>
        <v/>
      </c>
      <c r="I19" s="15" t="n"/>
      <c r="J19" s="15">
        <f>H19-I19</f>
        <v/>
      </c>
      <c r="K19" s="10">
        <f>IFERROR(I19/H19,0)</f>
        <v/>
      </c>
      <c r="L19" s="15">
        <f>H19-I19</f>
        <v/>
      </c>
      <c r="M19" s="5" t="n"/>
    </row>
    <row r="20">
      <c r="A20" s="4" t="n"/>
      <c r="B20" s="4" t="n"/>
      <c r="C20" s="4" t="n"/>
      <c r="D20" s="13" t="n"/>
      <c r="E20" s="13" t="n"/>
      <c r="F20" s="13" t="n"/>
      <c r="G20" s="13" t="n"/>
      <c r="H20" s="13">
        <f>SUM(D20:G20)</f>
        <v/>
      </c>
      <c r="I20" s="13" t="n"/>
      <c r="J20" s="13">
        <f>H20-I20</f>
        <v/>
      </c>
      <c r="K20" s="9">
        <f>IFERROR(I20/H20,0)</f>
        <v/>
      </c>
      <c r="L20" s="13">
        <f>H20-I20</f>
        <v/>
      </c>
      <c r="M20" s="4" t="n"/>
    </row>
    <row r="21">
      <c r="A21" s="5" t="n"/>
      <c r="B21" s="5" t="n"/>
      <c r="C21" s="5" t="n"/>
      <c r="D21" s="15" t="n"/>
      <c r="E21" s="15" t="n"/>
      <c r="F21" s="15" t="n"/>
      <c r="G21" s="15" t="n"/>
      <c r="H21" s="15">
        <f>SUM(D21:G21)</f>
        <v/>
      </c>
      <c r="I21" s="15" t="n"/>
      <c r="J21" s="15">
        <f>H21-I21</f>
        <v/>
      </c>
      <c r="K21" s="10">
        <f>IFERROR(I21/H21,0)</f>
        <v/>
      </c>
      <c r="L21" s="15">
        <f>H21-I21</f>
        <v/>
      </c>
      <c r="M21" s="5" t="n"/>
    </row>
    <row r="22">
      <c r="A22" s="4" t="n"/>
      <c r="B22" s="4" t="n"/>
      <c r="C22" s="4" t="n"/>
      <c r="D22" s="13" t="n"/>
      <c r="E22" s="13" t="n"/>
      <c r="F22" s="13" t="n"/>
      <c r="G22" s="13" t="n"/>
      <c r="H22" s="13">
        <f>SUM(D22:G22)</f>
        <v/>
      </c>
      <c r="I22" s="13" t="n"/>
      <c r="J22" s="13">
        <f>H22-I22</f>
        <v/>
      </c>
      <c r="K22" s="9">
        <f>IFERROR(I22/H22,0)</f>
        <v/>
      </c>
      <c r="L22" s="13">
        <f>H22-I22</f>
        <v/>
      </c>
      <c r="M22" s="4" t="n"/>
    </row>
    <row r="23">
      <c r="A23" s="5" t="n"/>
      <c r="B23" s="5" t="n"/>
      <c r="C23" s="5" t="n"/>
      <c r="D23" s="15" t="n"/>
      <c r="E23" s="15" t="n"/>
      <c r="F23" s="15" t="n"/>
      <c r="G23" s="15" t="n"/>
      <c r="H23" s="15">
        <f>SUM(D23:G23)</f>
        <v/>
      </c>
      <c r="I23" s="15" t="n"/>
      <c r="J23" s="15">
        <f>H23-I23</f>
        <v/>
      </c>
      <c r="K23" s="10">
        <f>IFERROR(I23/H23,0)</f>
        <v/>
      </c>
      <c r="L23" s="15">
        <f>H23-I23</f>
        <v/>
      </c>
      <c r="M23" s="5" t="n"/>
    </row>
    <row r="24">
      <c r="A24" s="4" t="n"/>
      <c r="B24" s="4" t="n"/>
      <c r="C24" s="4" t="n"/>
      <c r="D24" s="13" t="n"/>
      <c r="E24" s="13" t="n"/>
      <c r="F24" s="13" t="n"/>
      <c r="G24" s="13" t="n"/>
      <c r="H24" s="13">
        <f>SUM(D24:G24)</f>
        <v/>
      </c>
      <c r="I24" s="13" t="n"/>
      <c r="J24" s="13">
        <f>H24-I24</f>
        <v/>
      </c>
      <c r="K24" s="9">
        <f>IFERROR(I24/H24,0)</f>
        <v/>
      </c>
      <c r="L24" s="13">
        <f>H24-I24</f>
        <v/>
      </c>
      <c r="M24" s="4" t="n"/>
    </row>
    <row r="25">
      <c r="A25" s="5" t="n"/>
      <c r="B25" s="5" t="n"/>
      <c r="C25" s="5" t="n"/>
      <c r="D25" s="15" t="n"/>
      <c r="E25" s="15" t="n"/>
      <c r="F25" s="15" t="n"/>
      <c r="G25" s="15" t="n"/>
      <c r="H25" s="15">
        <f>SUM(D25:G25)</f>
        <v/>
      </c>
      <c r="I25" s="15" t="n"/>
      <c r="J25" s="15">
        <f>H25-I25</f>
        <v/>
      </c>
      <c r="K25" s="10">
        <f>IFERROR(I25/H25,0)</f>
        <v/>
      </c>
      <c r="L25" s="15">
        <f>H25-I25</f>
        <v/>
      </c>
      <c r="M25" s="5" t="n"/>
    </row>
    <row r="26">
      <c r="A26" s="4" t="n"/>
      <c r="B26" s="4" t="n"/>
      <c r="C26" s="4" t="n"/>
      <c r="D26" s="13" t="n"/>
      <c r="E26" s="13" t="n"/>
      <c r="F26" s="13" t="n"/>
      <c r="G26" s="13" t="n"/>
      <c r="H26" s="13">
        <f>SUM(D26:G26)</f>
        <v/>
      </c>
      <c r="I26" s="13" t="n"/>
      <c r="J26" s="13">
        <f>H26-I26</f>
        <v/>
      </c>
      <c r="K26" s="9">
        <f>IFERROR(I26/H26,0)</f>
        <v/>
      </c>
      <c r="L26" s="13">
        <f>H26-I26</f>
        <v/>
      </c>
      <c r="M26" s="4" t="n"/>
    </row>
    <row r="27">
      <c r="A27" s="5" t="n"/>
      <c r="B27" s="5" t="n"/>
      <c r="C27" s="5" t="n"/>
      <c r="D27" s="15" t="n"/>
      <c r="E27" s="15" t="n"/>
      <c r="F27" s="15" t="n"/>
      <c r="G27" s="15" t="n"/>
      <c r="H27" s="15">
        <f>SUM(D27:G27)</f>
        <v/>
      </c>
      <c r="I27" s="15" t="n"/>
      <c r="J27" s="15">
        <f>H27-I27</f>
        <v/>
      </c>
      <c r="K27" s="10">
        <f>IFERROR(I27/H27,0)</f>
        <v/>
      </c>
      <c r="L27" s="15">
        <f>H27-I27</f>
        <v/>
      </c>
      <c r="M27" s="5" t="n"/>
    </row>
    <row r="28">
      <c r="A28" s="4" t="n"/>
      <c r="B28" s="4" t="n"/>
      <c r="C28" s="4" t="n"/>
      <c r="D28" s="13" t="n"/>
      <c r="E28" s="13" t="n"/>
      <c r="F28" s="13" t="n"/>
      <c r="G28" s="13" t="n"/>
      <c r="H28" s="13">
        <f>SUM(D28:G28)</f>
        <v/>
      </c>
      <c r="I28" s="13" t="n"/>
      <c r="J28" s="13">
        <f>H28-I28</f>
        <v/>
      </c>
      <c r="K28" s="9">
        <f>IFERROR(I28/H28,0)</f>
        <v/>
      </c>
      <c r="L28" s="13">
        <f>H28-I28</f>
        <v/>
      </c>
      <c r="M28" s="4" t="n"/>
    </row>
    <row r="29">
      <c r="A29" s="5" t="n"/>
      <c r="B29" s="5" t="n"/>
      <c r="C29" s="5" t="n"/>
      <c r="D29" s="15" t="n"/>
      <c r="E29" s="15" t="n"/>
      <c r="F29" s="15" t="n"/>
      <c r="G29" s="15" t="n"/>
      <c r="H29" s="15">
        <f>SUM(D29:G29)</f>
        <v/>
      </c>
      <c r="I29" s="15" t="n"/>
      <c r="J29" s="15">
        <f>H29-I29</f>
        <v/>
      </c>
      <c r="K29" s="10">
        <f>IFERROR(I29/H29,0)</f>
        <v/>
      </c>
      <c r="L29" s="15">
        <f>H29-I29</f>
        <v/>
      </c>
      <c r="M29" s="5" t="n"/>
    </row>
    <row r="30">
      <c r="A30" s="4" t="n"/>
      <c r="B30" s="4" t="n"/>
      <c r="C30" s="4" t="n"/>
      <c r="D30" s="13" t="n"/>
      <c r="E30" s="13" t="n"/>
      <c r="F30" s="13" t="n"/>
      <c r="G30" s="13" t="n"/>
      <c r="H30" s="13">
        <f>SUM(D30:G30)</f>
        <v/>
      </c>
      <c r="I30" s="13" t="n"/>
      <c r="J30" s="13">
        <f>H30-I30</f>
        <v/>
      </c>
      <c r="K30" s="9">
        <f>IFERROR(I30/H30,0)</f>
        <v/>
      </c>
      <c r="L30" s="13">
        <f>H30-I30</f>
        <v/>
      </c>
      <c r="M30" s="4" t="n"/>
    </row>
    <row r="31">
      <c r="A31" s="5" t="n"/>
      <c r="B31" s="5" t="n"/>
      <c r="C31" s="5" t="n"/>
      <c r="D31" s="15" t="n"/>
      <c r="E31" s="15" t="n"/>
      <c r="F31" s="15" t="n"/>
      <c r="G31" s="15" t="n"/>
      <c r="H31" s="15">
        <f>SUM(D31:G31)</f>
        <v/>
      </c>
      <c r="I31" s="15" t="n"/>
      <c r="J31" s="15">
        <f>H31-I31</f>
        <v/>
      </c>
      <c r="K31" s="10">
        <f>IFERROR(I31/H31,0)</f>
        <v/>
      </c>
      <c r="L31" s="15">
        <f>H31-I31</f>
        <v/>
      </c>
      <c r="M31" s="5" t="n"/>
    </row>
    <row r="32">
      <c r="A32" s="4" t="n"/>
      <c r="B32" s="4" t="n"/>
      <c r="C32" s="4" t="n"/>
      <c r="D32" s="13" t="n"/>
      <c r="E32" s="13" t="n"/>
      <c r="F32" s="13" t="n"/>
      <c r="G32" s="13" t="n"/>
      <c r="H32" s="13">
        <f>SUM(D32:G32)</f>
        <v/>
      </c>
      <c r="I32" s="13" t="n"/>
      <c r="J32" s="13">
        <f>H32-I32</f>
        <v/>
      </c>
      <c r="K32" s="9">
        <f>IFERROR(I32/H32,0)</f>
        <v/>
      </c>
      <c r="L32" s="13">
        <f>H32-I32</f>
        <v/>
      </c>
      <c r="M32" s="4" t="n"/>
    </row>
    <row r="33">
      <c r="A33" s="5" t="n"/>
      <c r="B33" s="5" t="n"/>
      <c r="C33" s="5" t="n"/>
      <c r="D33" s="15" t="n"/>
      <c r="E33" s="15" t="n"/>
      <c r="F33" s="15" t="n"/>
      <c r="G33" s="15" t="n"/>
      <c r="H33" s="15">
        <f>SUM(D33:G33)</f>
        <v/>
      </c>
      <c r="I33" s="15" t="n"/>
      <c r="J33" s="15">
        <f>H33-I33</f>
        <v/>
      </c>
      <c r="K33" s="10">
        <f>IFERROR(I33/H33,0)</f>
        <v/>
      </c>
      <c r="L33" s="15">
        <f>H33-I33</f>
        <v/>
      </c>
      <c r="M33" s="5" t="n"/>
    </row>
    <row r="34">
      <c r="A34" s="4" t="n"/>
      <c r="B34" s="4" t="n"/>
      <c r="C34" s="4" t="n"/>
      <c r="D34" s="13" t="n"/>
      <c r="E34" s="13" t="n"/>
      <c r="F34" s="13" t="n"/>
      <c r="G34" s="13" t="n"/>
      <c r="H34" s="13">
        <f>SUM(D34:G34)</f>
        <v/>
      </c>
      <c r="I34" s="13" t="n"/>
      <c r="J34" s="13">
        <f>H34-I34</f>
        <v/>
      </c>
      <c r="K34" s="9">
        <f>IFERROR(I34/H34,0)</f>
        <v/>
      </c>
      <c r="L34" s="13">
        <f>H34-I34</f>
        <v/>
      </c>
      <c r="M34" s="4" t="n"/>
    </row>
    <row r="35">
      <c r="A35" s="5" t="n"/>
      <c r="B35" s="5" t="n"/>
      <c r="C35" s="5" t="n"/>
      <c r="D35" s="15" t="n"/>
      <c r="E35" s="15" t="n"/>
      <c r="F35" s="15" t="n"/>
      <c r="G35" s="15" t="n"/>
      <c r="H35" s="15">
        <f>SUM(D35:G35)</f>
        <v/>
      </c>
      <c r="I35" s="15" t="n"/>
      <c r="J35" s="15">
        <f>H35-I35</f>
        <v/>
      </c>
      <c r="K35" s="10">
        <f>IFERROR(I35/H35,0)</f>
        <v/>
      </c>
      <c r="L35" s="15">
        <f>H35-I35</f>
        <v/>
      </c>
      <c r="M35" s="5" t="n"/>
    </row>
    <row r="36">
      <c r="A36" s="4" t="n"/>
      <c r="B36" s="4" t="n"/>
      <c r="C36" s="4" t="n"/>
      <c r="D36" s="13" t="n"/>
      <c r="E36" s="13" t="n"/>
      <c r="F36" s="13" t="n"/>
      <c r="G36" s="13" t="n"/>
      <c r="H36" s="13">
        <f>SUM(D36:G36)</f>
        <v/>
      </c>
      <c r="I36" s="13" t="n"/>
      <c r="J36" s="13">
        <f>H36-I36</f>
        <v/>
      </c>
      <c r="K36" s="9">
        <f>IFERROR(I36/H36,0)</f>
        <v/>
      </c>
      <c r="L36" s="13">
        <f>H36-I36</f>
        <v/>
      </c>
      <c r="M36" s="4" t="n"/>
    </row>
    <row r="37">
      <c r="A37" s="5" t="n"/>
      <c r="B37" s="5" t="n"/>
      <c r="C37" s="5" t="n"/>
      <c r="D37" s="15" t="n"/>
      <c r="E37" s="15" t="n"/>
      <c r="F37" s="15" t="n"/>
      <c r="G37" s="15" t="n"/>
      <c r="H37" s="15">
        <f>SUM(D37:G37)</f>
        <v/>
      </c>
      <c r="I37" s="15" t="n"/>
      <c r="J37" s="15">
        <f>H37-I37</f>
        <v/>
      </c>
      <c r="K37" s="10">
        <f>IFERROR(I37/H37,0)</f>
        <v/>
      </c>
      <c r="L37" s="15">
        <f>H37-I37</f>
        <v/>
      </c>
      <c r="M37" s="5" t="n"/>
    </row>
    <row r="38">
      <c r="A38" s="4" t="n"/>
      <c r="B38" s="4" t="n"/>
      <c r="C38" s="4" t="n"/>
      <c r="D38" s="13" t="n"/>
      <c r="E38" s="13" t="n"/>
      <c r="F38" s="13" t="n"/>
      <c r="G38" s="13" t="n"/>
      <c r="H38" s="13">
        <f>SUM(D38:G38)</f>
        <v/>
      </c>
      <c r="I38" s="13" t="n"/>
      <c r="J38" s="13">
        <f>H38-I38</f>
        <v/>
      </c>
      <c r="K38" s="9">
        <f>IFERROR(I38/H38,0)</f>
        <v/>
      </c>
      <c r="L38" s="13">
        <f>H38-I38</f>
        <v/>
      </c>
      <c r="M38" s="4" t="n"/>
    </row>
    <row r="39">
      <c r="A39" s="5" t="n"/>
      <c r="B39" s="5" t="n"/>
      <c r="C39" s="5" t="n"/>
      <c r="D39" s="15" t="n"/>
      <c r="E39" s="15" t="n"/>
      <c r="F39" s="15" t="n"/>
      <c r="G39" s="15" t="n"/>
      <c r="H39" s="15">
        <f>SUM(D39:G39)</f>
        <v/>
      </c>
      <c r="I39" s="15" t="n"/>
      <c r="J39" s="15">
        <f>H39-I39</f>
        <v/>
      </c>
      <c r="K39" s="10">
        <f>IFERROR(I39/H39,0)</f>
        <v/>
      </c>
      <c r="L39" s="15">
        <f>H39-I39</f>
        <v/>
      </c>
      <c r="M39" s="5" t="n"/>
    </row>
    <row r="40">
      <c r="A40" s="4" t="n"/>
      <c r="B40" s="4" t="n"/>
      <c r="C40" s="4" t="n"/>
      <c r="D40" s="13" t="n"/>
      <c r="E40" s="13" t="n"/>
      <c r="F40" s="13" t="n"/>
      <c r="G40" s="13" t="n"/>
      <c r="H40" s="13">
        <f>SUM(D40:G40)</f>
        <v/>
      </c>
      <c r="I40" s="13" t="n"/>
      <c r="J40" s="13">
        <f>H40-I40</f>
        <v/>
      </c>
      <c r="K40" s="9">
        <f>IFERROR(I40/H40,0)</f>
        <v/>
      </c>
      <c r="L40" s="13">
        <f>H40-I40</f>
        <v/>
      </c>
      <c r="M40" s="4" t="n"/>
    </row>
    <row r="41">
      <c r="A41" s="5" t="n"/>
      <c r="B41" s="5" t="n"/>
      <c r="C41" s="5" t="n"/>
      <c r="D41" s="15" t="n"/>
      <c r="E41" s="15" t="n"/>
      <c r="F41" s="15" t="n"/>
      <c r="G41" s="15" t="n"/>
      <c r="H41" s="15">
        <f>SUM(D41:G41)</f>
        <v/>
      </c>
      <c r="I41" s="15" t="n"/>
      <c r="J41" s="15">
        <f>H41-I41</f>
        <v/>
      </c>
      <c r="K41" s="10">
        <f>IFERROR(I41/H41,0)</f>
        <v/>
      </c>
      <c r="L41" s="15">
        <f>H41-I41</f>
        <v/>
      </c>
      <c r="M41" s="5" t="n"/>
    </row>
    <row r="42">
      <c r="A42" s="4" t="n"/>
      <c r="B42" s="4" t="n"/>
      <c r="C42" s="4" t="n"/>
      <c r="D42" s="13" t="n"/>
      <c r="E42" s="13" t="n"/>
      <c r="F42" s="13" t="n"/>
      <c r="G42" s="13" t="n"/>
      <c r="H42" s="13">
        <f>SUM(D42:G42)</f>
        <v/>
      </c>
      <c r="I42" s="13" t="n"/>
      <c r="J42" s="13">
        <f>H42-I42</f>
        <v/>
      </c>
      <c r="K42" s="9">
        <f>IFERROR(I42/H42,0)</f>
        <v/>
      </c>
      <c r="L42" s="13">
        <f>H42-I42</f>
        <v/>
      </c>
      <c r="M42" s="4" t="n"/>
    </row>
    <row r="43">
      <c r="A43" s="5" t="n"/>
      <c r="B43" s="5" t="n"/>
      <c r="C43" s="5" t="n"/>
      <c r="D43" s="15" t="n"/>
      <c r="E43" s="15" t="n"/>
      <c r="F43" s="15" t="n"/>
      <c r="G43" s="15" t="n"/>
      <c r="H43" s="15">
        <f>SUM(D43:G43)</f>
        <v/>
      </c>
      <c r="I43" s="15" t="n"/>
      <c r="J43" s="15">
        <f>H43-I43</f>
        <v/>
      </c>
      <c r="K43" s="10">
        <f>IFERROR(I43/H43,0)</f>
        <v/>
      </c>
      <c r="L43" s="15">
        <f>H43-I43</f>
        <v/>
      </c>
      <c r="M43" s="5" t="n"/>
    </row>
    <row r="44">
      <c r="A44" s="4" t="n"/>
      <c r="B44" s="4" t="n"/>
      <c r="C44" s="4" t="n"/>
      <c r="D44" s="13" t="n"/>
      <c r="E44" s="13" t="n"/>
      <c r="F44" s="13" t="n"/>
      <c r="G44" s="13" t="n"/>
      <c r="H44" s="13">
        <f>SUM(D44:G44)</f>
        <v/>
      </c>
      <c r="I44" s="13" t="n"/>
      <c r="J44" s="13">
        <f>H44-I44</f>
        <v/>
      </c>
      <c r="K44" s="9">
        <f>IFERROR(I44/H44,0)</f>
        <v/>
      </c>
      <c r="L44" s="13">
        <f>H44-I44</f>
        <v/>
      </c>
      <c r="M44" s="4" t="n"/>
    </row>
    <row r="45">
      <c r="A45" s="5" t="n"/>
      <c r="B45" s="5" t="n"/>
      <c r="C45" s="5" t="n"/>
      <c r="D45" s="15" t="n"/>
      <c r="E45" s="15" t="n"/>
      <c r="F45" s="15" t="n"/>
      <c r="G45" s="15" t="n"/>
      <c r="H45" s="15">
        <f>SUM(D45:G45)</f>
        <v/>
      </c>
      <c r="I45" s="15" t="n"/>
      <c r="J45" s="15">
        <f>H45-I45</f>
        <v/>
      </c>
      <c r="K45" s="10">
        <f>IFERROR(I45/H45,0)</f>
        <v/>
      </c>
      <c r="L45" s="15">
        <f>H45-I45</f>
        <v/>
      </c>
      <c r="M45" s="5" t="n"/>
    </row>
    <row r="46">
      <c r="A46" s="4" t="n"/>
      <c r="B46" s="4" t="n"/>
      <c r="C46" s="4" t="n"/>
      <c r="D46" s="13" t="n"/>
      <c r="E46" s="13" t="n"/>
      <c r="F46" s="13" t="n"/>
      <c r="G46" s="13" t="n"/>
      <c r="H46" s="13">
        <f>SUM(D46:G46)</f>
        <v/>
      </c>
      <c r="I46" s="13" t="n"/>
      <c r="J46" s="13">
        <f>H46-I46</f>
        <v/>
      </c>
      <c r="K46" s="9">
        <f>IFERROR(I46/H46,0)</f>
        <v/>
      </c>
      <c r="L46" s="13">
        <f>H46-I46</f>
        <v/>
      </c>
      <c r="M46" s="4" t="n"/>
    </row>
    <row r="47">
      <c r="A47" s="5" t="n"/>
      <c r="B47" s="5" t="n"/>
      <c r="C47" s="5" t="n"/>
      <c r="D47" s="15" t="n"/>
      <c r="E47" s="15" t="n"/>
      <c r="F47" s="15" t="n"/>
      <c r="G47" s="15" t="n"/>
      <c r="H47" s="15">
        <f>SUM(D47:G47)</f>
        <v/>
      </c>
      <c r="I47" s="15" t="n"/>
      <c r="J47" s="15">
        <f>H47-I47</f>
        <v/>
      </c>
      <c r="K47" s="10">
        <f>IFERROR(I47/H47,0)</f>
        <v/>
      </c>
      <c r="L47" s="15">
        <f>H47-I47</f>
        <v/>
      </c>
      <c r="M47" s="5" t="n"/>
    </row>
    <row r="48">
      <c r="A48" s="4" t="n"/>
      <c r="B48" s="4" t="n"/>
      <c r="C48" s="4" t="n"/>
      <c r="D48" s="13" t="n"/>
      <c r="E48" s="13" t="n"/>
      <c r="F48" s="13" t="n"/>
      <c r="G48" s="13" t="n"/>
      <c r="H48" s="13">
        <f>SUM(D48:G48)</f>
        <v/>
      </c>
      <c r="I48" s="13" t="n"/>
      <c r="J48" s="13">
        <f>H48-I48</f>
        <v/>
      </c>
      <c r="K48" s="9">
        <f>IFERROR(I48/H48,0)</f>
        <v/>
      </c>
      <c r="L48" s="13">
        <f>H48-I48</f>
        <v/>
      </c>
      <c r="M48" s="4" t="n"/>
    </row>
    <row r="49">
      <c r="A49" s="5" t="n"/>
      <c r="B49" s="5" t="n"/>
      <c r="C49" s="5" t="n"/>
      <c r="D49" s="15" t="n"/>
      <c r="E49" s="15" t="n"/>
      <c r="F49" s="15" t="n"/>
      <c r="G49" s="15" t="n"/>
      <c r="H49" s="15">
        <f>SUM(D49:G49)</f>
        <v/>
      </c>
      <c r="I49" s="15" t="n"/>
      <c r="J49" s="15">
        <f>H49-I49</f>
        <v/>
      </c>
      <c r="K49" s="10">
        <f>IFERROR(I49/H49,0)</f>
        <v/>
      </c>
      <c r="L49" s="15">
        <f>H49-I49</f>
        <v/>
      </c>
      <c r="M49" s="5" t="n"/>
    </row>
    <row r="50">
      <c r="A50" s="4" t="n"/>
      <c r="B50" s="4" t="n"/>
      <c r="C50" s="4" t="n"/>
      <c r="D50" s="13" t="n"/>
      <c r="E50" s="13" t="n"/>
      <c r="F50" s="13" t="n"/>
      <c r="G50" s="13" t="n"/>
      <c r="H50" s="13">
        <f>SUM(D50:G50)</f>
        <v/>
      </c>
      <c r="I50" s="13" t="n"/>
      <c r="J50" s="13">
        <f>H50-I50</f>
        <v/>
      </c>
      <c r="K50" s="9">
        <f>IFERROR(I50/H50,0)</f>
        <v/>
      </c>
      <c r="L50" s="13">
        <f>H50-I50</f>
        <v/>
      </c>
      <c r="M50" s="4" t="n"/>
    </row>
    <row r="51">
      <c r="A51" s="5" t="n"/>
      <c r="B51" s="5" t="n"/>
      <c r="C51" s="5" t="n"/>
      <c r="D51" s="15" t="n"/>
      <c r="E51" s="15" t="n"/>
      <c r="F51" s="15" t="n"/>
      <c r="G51" s="15" t="n"/>
      <c r="H51" s="15">
        <f>SUM(D51:G51)</f>
        <v/>
      </c>
      <c r="I51" s="15" t="n"/>
      <c r="J51" s="15">
        <f>H51-I51</f>
        <v/>
      </c>
      <c r="K51" s="10">
        <f>IFERROR(I51/H51,0)</f>
        <v/>
      </c>
      <c r="L51" s="15">
        <f>H51-I51</f>
        <v/>
      </c>
      <c r="M51" s="5" t="n"/>
    </row>
    <row r="52">
      <c r="A52" s="4" t="n"/>
      <c r="B52" s="4" t="n"/>
      <c r="C52" s="4" t="n"/>
      <c r="D52" s="13" t="n"/>
      <c r="E52" s="13" t="n"/>
      <c r="F52" s="13" t="n"/>
      <c r="G52" s="13" t="n"/>
      <c r="H52" s="13">
        <f>SUM(D52:G52)</f>
        <v/>
      </c>
      <c r="I52" s="13" t="n"/>
      <c r="J52" s="13">
        <f>H52-I52</f>
        <v/>
      </c>
      <c r="K52" s="9">
        <f>IFERROR(I52/H52,0)</f>
        <v/>
      </c>
      <c r="L52" s="13">
        <f>H52-I52</f>
        <v/>
      </c>
      <c r="M52" s="4" t="n"/>
    </row>
    <row r="53">
      <c r="A53" s="5" t="n"/>
      <c r="B53" s="5" t="n"/>
      <c r="C53" s="5" t="n"/>
      <c r="D53" s="15" t="n"/>
      <c r="E53" s="15" t="n"/>
      <c r="F53" s="15" t="n"/>
      <c r="G53" s="15" t="n"/>
      <c r="H53" s="15">
        <f>SUM(D53:G53)</f>
        <v/>
      </c>
      <c r="I53" s="15" t="n"/>
      <c r="J53" s="15">
        <f>H53-I53</f>
        <v/>
      </c>
      <c r="K53" s="10">
        <f>IFERROR(I53/H53,0)</f>
        <v/>
      </c>
      <c r="L53" s="15">
        <f>H53-I53</f>
        <v/>
      </c>
      <c r="M53" s="5" t="n"/>
    </row>
    <row r="54">
      <c r="A54" s="4" t="n"/>
      <c r="B54" s="4" t="n"/>
      <c r="C54" s="4" t="n"/>
      <c r="D54" s="13" t="n"/>
      <c r="E54" s="13" t="n"/>
      <c r="F54" s="13" t="n"/>
      <c r="G54" s="13" t="n"/>
      <c r="H54" s="13">
        <f>SUM(D54:G54)</f>
        <v/>
      </c>
      <c r="I54" s="13" t="n"/>
      <c r="J54" s="13">
        <f>H54-I54</f>
        <v/>
      </c>
      <c r="K54" s="9">
        <f>IFERROR(I54/H54,0)</f>
        <v/>
      </c>
      <c r="L54" s="13">
        <f>H54-I54</f>
        <v/>
      </c>
      <c r="M54" s="4" t="n"/>
    </row>
    <row r="55">
      <c r="A55" s="5" t="n"/>
      <c r="B55" s="5" t="n"/>
      <c r="C55" s="5" t="n"/>
      <c r="D55" s="15" t="n"/>
      <c r="E55" s="15" t="n"/>
      <c r="F55" s="15" t="n"/>
      <c r="G55" s="15" t="n"/>
      <c r="H55" s="15">
        <f>SUM(D55:G55)</f>
        <v/>
      </c>
      <c r="I55" s="15" t="n"/>
      <c r="J55" s="15">
        <f>H55-I55</f>
        <v/>
      </c>
      <c r="K55" s="10">
        <f>IFERROR(I55/H55,0)</f>
        <v/>
      </c>
      <c r="L55" s="15">
        <f>H55-I55</f>
        <v/>
      </c>
      <c r="M55" s="5" t="n"/>
    </row>
    <row r="56">
      <c r="A56" s="4" t="n"/>
      <c r="B56" s="4" t="n"/>
      <c r="C56" s="4" t="n"/>
      <c r="D56" s="13" t="n"/>
      <c r="E56" s="13" t="n"/>
      <c r="F56" s="13" t="n"/>
      <c r="G56" s="13" t="n"/>
      <c r="H56" s="13">
        <f>SUM(D56:G56)</f>
        <v/>
      </c>
      <c r="I56" s="13" t="n"/>
      <c r="J56" s="13">
        <f>H56-I56</f>
        <v/>
      </c>
      <c r="K56" s="9">
        <f>IFERROR(I56/H56,0)</f>
        <v/>
      </c>
      <c r="L56" s="13">
        <f>H56-I56</f>
        <v/>
      </c>
      <c r="M56" s="4" t="n"/>
    </row>
    <row r="57">
      <c r="A57" s="5" t="n"/>
      <c r="B57" s="5" t="n"/>
      <c r="C57" s="5" t="n"/>
      <c r="D57" s="15" t="n"/>
      <c r="E57" s="15" t="n"/>
      <c r="F57" s="15" t="n"/>
      <c r="G57" s="15" t="n"/>
      <c r="H57" s="15">
        <f>SUM(D57:G57)</f>
        <v/>
      </c>
      <c r="I57" s="15" t="n"/>
      <c r="J57" s="15">
        <f>H57-I57</f>
        <v/>
      </c>
      <c r="K57" s="10">
        <f>IFERROR(I57/H57,0)</f>
        <v/>
      </c>
      <c r="L57" s="15">
        <f>H57-I57</f>
        <v/>
      </c>
      <c r="M57" s="5" t="n"/>
    </row>
    <row r="58">
      <c r="A58" s="4" t="n"/>
      <c r="B58" s="4" t="n"/>
      <c r="C58" s="4" t="n"/>
      <c r="D58" s="13" t="n"/>
      <c r="E58" s="13" t="n"/>
      <c r="F58" s="13" t="n"/>
      <c r="G58" s="13" t="n"/>
      <c r="H58" s="13">
        <f>SUM(D58:G58)</f>
        <v/>
      </c>
      <c r="I58" s="13" t="n"/>
      <c r="J58" s="13">
        <f>H58-I58</f>
        <v/>
      </c>
      <c r="K58" s="9">
        <f>IFERROR(I58/H58,0)</f>
        <v/>
      </c>
      <c r="L58" s="13">
        <f>H58-I58</f>
        <v/>
      </c>
      <c r="M58" s="4" t="n"/>
    </row>
    <row r="59">
      <c r="A59" s="5" t="n"/>
      <c r="B59" s="5" t="n"/>
      <c r="C59" s="5" t="n"/>
      <c r="D59" s="15" t="n"/>
      <c r="E59" s="15" t="n"/>
      <c r="F59" s="15" t="n"/>
      <c r="G59" s="15" t="n"/>
      <c r="H59" s="15">
        <f>SUM(D59:G59)</f>
        <v/>
      </c>
      <c r="I59" s="15" t="n"/>
      <c r="J59" s="15">
        <f>H59-I59</f>
        <v/>
      </c>
      <c r="K59" s="10">
        <f>IFERROR(I59/H59,0)</f>
        <v/>
      </c>
      <c r="L59" s="15">
        <f>H59-I59</f>
        <v/>
      </c>
      <c r="M59" s="5" t="n"/>
    </row>
    <row r="60">
      <c r="A60" s="4" t="n"/>
      <c r="B60" s="4" t="n"/>
      <c r="C60" s="4" t="n"/>
      <c r="D60" s="13" t="n"/>
      <c r="E60" s="13" t="n"/>
      <c r="F60" s="13" t="n"/>
      <c r="G60" s="13" t="n"/>
      <c r="H60" s="13">
        <f>SUM(D60:G60)</f>
        <v/>
      </c>
      <c r="I60" s="13" t="n"/>
      <c r="J60" s="13">
        <f>H60-I60</f>
        <v/>
      </c>
      <c r="K60" s="9">
        <f>IFERROR(I60/H60,0)</f>
        <v/>
      </c>
      <c r="L60" s="13">
        <f>H60-I60</f>
        <v/>
      </c>
      <c r="M60" s="4" t="n"/>
    </row>
    <row r="61">
      <c r="A61" s="5" t="n"/>
      <c r="B61" s="5" t="n"/>
      <c r="C61" s="5" t="n"/>
      <c r="D61" s="15" t="n"/>
      <c r="E61" s="15" t="n"/>
      <c r="F61" s="15" t="n"/>
      <c r="G61" s="15" t="n"/>
      <c r="H61" s="15">
        <f>SUM(D61:G61)</f>
        <v/>
      </c>
      <c r="I61" s="15" t="n"/>
      <c r="J61" s="15">
        <f>H61-I61</f>
        <v/>
      </c>
      <c r="K61" s="10">
        <f>IFERROR(I61/H61,0)</f>
        <v/>
      </c>
      <c r="L61" s="15">
        <f>H61-I61</f>
        <v/>
      </c>
      <c r="M61" s="5" t="n"/>
    </row>
    <row r="62">
      <c r="A62" s="4" t="n"/>
      <c r="B62" s="4" t="n"/>
      <c r="C62" s="4" t="n"/>
      <c r="D62" s="13" t="n"/>
      <c r="E62" s="13" t="n"/>
      <c r="F62" s="13" t="n"/>
      <c r="G62" s="13" t="n"/>
      <c r="H62" s="13">
        <f>SUM(D62:G62)</f>
        <v/>
      </c>
      <c r="I62" s="13" t="n"/>
      <c r="J62" s="13">
        <f>H62-I62</f>
        <v/>
      </c>
      <c r="K62" s="9">
        <f>IFERROR(I62/H62,0)</f>
        <v/>
      </c>
      <c r="L62" s="13">
        <f>H62-I62</f>
        <v/>
      </c>
      <c r="M62" s="4" t="n"/>
    </row>
    <row r="63">
      <c r="A63" s="5" t="n"/>
      <c r="B63" s="5" t="n"/>
      <c r="C63" s="5" t="n"/>
      <c r="D63" s="15" t="n"/>
      <c r="E63" s="15" t="n"/>
      <c r="F63" s="15" t="n"/>
      <c r="G63" s="15" t="n"/>
      <c r="H63" s="15">
        <f>SUM(D63:G63)</f>
        <v/>
      </c>
      <c r="I63" s="15" t="n"/>
      <c r="J63" s="15">
        <f>H63-I63</f>
        <v/>
      </c>
      <c r="K63" s="10">
        <f>IFERROR(I63/H63,0)</f>
        <v/>
      </c>
      <c r="L63" s="15">
        <f>H63-I63</f>
        <v/>
      </c>
      <c r="M63" s="5" t="n"/>
    </row>
    <row r="64">
      <c r="A64" s="4" t="n"/>
      <c r="B64" s="4" t="n"/>
      <c r="C64" s="4" t="n"/>
      <c r="D64" s="13" t="n"/>
      <c r="E64" s="13" t="n"/>
      <c r="F64" s="13" t="n"/>
      <c r="G64" s="13" t="n"/>
      <c r="H64" s="13">
        <f>SUM(D64:G64)</f>
        <v/>
      </c>
      <c r="I64" s="13" t="n"/>
      <c r="J64" s="13">
        <f>H64-I64</f>
        <v/>
      </c>
      <c r="K64" s="9">
        <f>IFERROR(I64/H64,0)</f>
        <v/>
      </c>
      <c r="L64" s="13">
        <f>H64-I64</f>
        <v/>
      </c>
      <c r="M64" s="4" t="n"/>
    </row>
    <row r="65">
      <c r="A65" s="5" t="n"/>
      <c r="B65" s="5" t="n"/>
      <c r="C65" s="5" t="n"/>
      <c r="D65" s="15" t="n"/>
      <c r="E65" s="15" t="n"/>
      <c r="F65" s="15" t="n"/>
      <c r="G65" s="15" t="n"/>
      <c r="H65" s="15">
        <f>SUM(D65:G65)</f>
        <v/>
      </c>
      <c r="I65" s="15" t="n"/>
      <c r="J65" s="15">
        <f>H65-I65</f>
        <v/>
      </c>
      <c r="K65" s="10">
        <f>IFERROR(I65/H65,0)</f>
        <v/>
      </c>
      <c r="L65" s="15">
        <f>H65-I65</f>
        <v/>
      </c>
      <c r="M65" s="5" t="n"/>
    </row>
    <row r="66">
      <c r="A66" s="4" t="n"/>
      <c r="B66" s="4" t="n"/>
      <c r="C66" s="4" t="n"/>
      <c r="D66" s="13" t="n"/>
      <c r="E66" s="13" t="n"/>
      <c r="F66" s="13" t="n"/>
      <c r="G66" s="13" t="n"/>
      <c r="H66" s="13">
        <f>SUM(D66:G66)</f>
        <v/>
      </c>
      <c r="I66" s="13" t="n"/>
      <c r="J66" s="13">
        <f>H66-I66</f>
        <v/>
      </c>
      <c r="K66" s="9">
        <f>IFERROR(I66/H66,0)</f>
        <v/>
      </c>
      <c r="L66" s="13">
        <f>H66-I66</f>
        <v/>
      </c>
      <c r="M66" s="4" t="n"/>
    </row>
    <row r="67">
      <c r="A67" s="5" t="n"/>
      <c r="B67" s="5" t="n"/>
      <c r="C67" s="5" t="n"/>
      <c r="D67" s="15" t="n"/>
      <c r="E67" s="15" t="n"/>
      <c r="F67" s="15" t="n"/>
      <c r="G67" s="15" t="n"/>
      <c r="H67" s="15">
        <f>SUM(D67:G67)</f>
        <v/>
      </c>
      <c r="I67" s="15" t="n"/>
      <c r="J67" s="15">
        <f>H67-I67</f>
        <v/>
      </c>
      <c r="K67" s="10">
        <f>IFERROR(I67/H67,0)</f>
        <v/>
      </c>
      <c r="L67" s="15">
        <f>H67-I67</f>
        <v/>
      </c>
      <c r="M67" s="5" t="n"/>
    </row>
    <row r="68">
      <c r="A68" s="4" t="n"/>
      <c r="B68" s="4" t="n"/>
      <c r="C68" s="4" t="n"/>
      <c r="D68" s="13" t="n"/>
      <c r="E68" s="13" t="n"/>
      <c r="F68" s="13" t="n"/>
      <c r="G68" s="13" t="n"/>
      <c r="H68" s="13">
        <f>SUM(D68:G68)</f>
        <v/>
      </c>
      <c r="I68" s="13" t="n"/>
      <c r="J68" s="13">
        <f>H68-I68</f>
        <v/>
      </c>
      <c r="K68" s="9">
        <f>IFERROR(I68/H68,0)</f>
        <v/>
      </c>
      <c r="L68" s="13">
        <f>H68-I68</f>
        <v/>
      </c>
      <c r="M68" s="4" t="n"/>
    </row>
    <row r="69">
      <c r="A69" s="5" t="n"/>
      <c r="B69" s="5" t="n"/>
      <c r="C69" s="5" t="n"/>
      <c r="D69" s="15" t="n"/>
      <c r="E69" s="15" t="n"/>
      <c r="F69" s="15" t="n"/>
      <c r="G69" s="15" t="n"/>
      <c r="H69" s="15">
        <f>SUM(D69:G69)</f>
        <v/>
      </c>
      <c r="I69" s="15" t="n"/>
      <c r="J69" s="15">
        <f>H69-I69</f>
        <v/>
      </c>
      <c r="K69" s="10">
        <f>IFERROR(I69/H69,0)</f>
        <v/>
      </c>
      <c r="L69" s="15">
        <f>H69-I69</f>
        <v/>
      </c>
      <c r="M69" s="5" t="n"/>
    </row>
    <row r="70">
      <c r="A70" s="4" t="n"/>
      <c r="B70" s="4" t="n"/>
      <c r="C70" s="4" t="n"/>
      <c r="D70" s="13" t="n"/>
      <c r="E70" s="13" t="n"/>
      <c r="F70" s="13" t="n"/>
      <c r="G70" s="13" t="n"/>
      <c r="H70" s="13">
        <f>SUM(D70:G70)</f>
        <v/>
      </c>
      <c r="I70" s="13" t="n"/>
      <c r="J70" s="13">
        <f>H70-I70</f>
        <v/>
      </c>
      <c r="K70" s="9">
        <f>IFERROR(I70/H70,0)</f>
        <v/>
      </c>
      <c r="L70" s="13">
        <f>H70-I70</f>
        <v/>
      </c>
      <c r="M70" s="4" t="n"/>
    </row>
    <row r="71">
      <c r="A71" s="5" t="n"/>
      <c r="B71" s="5" t="n"/>
      <c r="C71" s="5" t="n"/>
      <c r="D71" s="15" t="n"/>
      <c r="E71" s="15" t="n"/>
      <c r="F71" s="15" t="n"/>
      <c r="G71" s="15" t="n"/>
      <c r="H71" s="15">
        <f>SUM(D71:G71)</f>
        <v/>
      </c>
      <c r="I71" s="15" t="n"/>
      <c r="J71" s="15">
        <f>H71-I71</f>
        <v/>
      </c>
      <c r="K71" s="10">
        <f>IFERROR(I71/H71,0)</f>
        <v/>
      </c>
      <c r="L71" s="15">
        <f>H71-I71</f>
        <v/>
      </c>
      <c r="M71" s="5" t="n"/>
    </row>
    <row r="72">
      <c r="A72" s="4" t="n"/>
      <c r="B72" s="4" t="n"/>
      <c r="C72" s="4" t="n"/>
      <c r="D72" s="13" t="n"/>
      <c r="E72" s="13" t="n"/>
      <c r="F72" s="13" t="n"/>
      <c r="G72" s="13" t="n"/>
      <c r="H72" s="13">
        <f>SUM(D72:G72)</f>
        <v/>
      </c>
      <c r="I72" s="13" t="n"/>
      <c r="J72" s="13">
        <f>H72-I72</f>
        <v/>
      </c>
      <c r="K72" s="9">
        <f>IFERROR(I72/H72,0)</f>
        <v/>
      </c>
      <c r="L72" s="13">
        <f>H72-I72</f>
        <v/>
      </c>
      <c r="M72" s="4" t="n"/>
    </row>
    <row r="73">
      <c r="A73" s="5" t="n"/>
      <c r="B73" s="5" t="n"/>
      <c r="C73" s="5" t="n"/>
      <c r="D73" s="15" t="n"/>
      <c r="E73" s="15" t="n"/>
      <c r="F73" s="15" t="n"/>
      <c r="G73" s="15" t="n"/>
      <c r="H73" s="15">
        <f>SUM(D73:G73)</f>
        <v/>
      </c>
      <c r="I73" s="15" t="n"/>
      <c r="J73" s="15">
        <f>H73-I73</f>
        <v/>
      </c>
      <c r="K73" s="10">
        <f>IFERROR(I73/H73,0)</f>
        <v/>
      </c>
      <c r="L73" s="15">
        <f>H73-I73</f>
        <v/>
      </c>
      <c r="M73" s="5" t="n"/>
    </row>
    <row r="74">
      <c r="A74" s="4" t="n"/>
      <c r="B74" s="4" t="n"/>
      <c r="C74" s="4" t="n"/>
      <c r="D74" s="13" t="n"/>
      <c r="E74" s="13" t="n"/>
      <c r="F74" s="13" t="n"/>
      <c r="G74" s="13" t="n"/>
      <c r="H74" s="13">
        <f>SUM(D74:G74)</f>
        <v/>
      </c>
      <c r="I74" s="13" t="n"/>
      <c r="J74" s="13">
        <f>H74-I74</f>
        <v/>
      </c>
      <c r="K74" s="9">
        <f>IFERROR(I74/H74,0)</f>
        <v/>
      </c>
      <c r="L74" s="13">
        <f>H74-I74</f>
        <v/>
      </c>
      <c r="M74" s="4" t="n"/>
    </row>
    <row r="75">
      <c r="A75" s="5" t="n"/>
      <c r="B75" s="5" t="n"/>
      <c r="C75" s="5" t="n"/>
      <c r="D75" s="15" t="n"/>
      <c r="E75" s="15" t="n"/>
      <c r="F75" s="15" t="n"/>
      <c r="G75" s="15" t="n"/>
      <c r="H75" s="15">
        <f>SUM(D75:G75)</f>
        <v/>
      </c>
      <c r="I75" s="15" t="n"/>
      <c r="J75" s="15">
        <f>H75-I75</f>
        <v/>
      </c>
      <c r="K75" s="10">
        <f>IFERROR(I75/H75,0)</f>
        <v/>
      </c>
      <c r="L75" s="15">
        <f>H75-I75</f>
        <v/>
      </c>
      <c r="M75" s="5" t="n"/>
    </row>
    <row r="76">
      <c r="A76" s="4" t="n"/>
      <c r="B76" s="4" t="n"/>
      <c r="C76" s="4" t="n"/>
      <c r="D76" s="13" t="n"/>
      <c r="E76" s="13" t="n"/>
      <c r="F76" s="13" t="n"/>
      <c r="G76" s="13" t="n"/>
      <c r="H76" s="13">
        <f>SUM(D76:G76)</f>
        <v/>
      </c>
      <c r="I76" s="13" t="n"/>
      <c r="J76" s="13">
        <f>H76-I76</f>
        <v/>
      </c>
      <c r="K76" s="9">
        <f>IFERROR(I76/H76,0)</f>
        <v/>
      </c>
      <c r="L76" s="13">
        <f>H76-I76</f>
        <v/>
      </c>
      <c r="M76" s="4" t="n"/>
    </row>
    <row r="77">
      <c r="A77" s="5" t="n"/>
      <c r="B77" s="5" t="n"/>
      <c r="C77" s="5" t="n"/>
      <c r="D77" s="15" t="n"/>
      <c r="E77" s="15" t="n"/>
      <c r="F77" s="15" t="n"/>
      <c r="G77" s="15" t="n"/>
      <c r="H77" s="15">
        <f>SUM(D77:G77)</f>
        <v/>
      </c>
      <c r="I77" s="15" t="n"/>
      <c r="J77" s="15">
        <f>H77-I77</f>
        <v/>
      </c>
      <c r="K77" s="10">
        <f>IFERROR(I77/H77,0)</f>
        <v/>
      </c>
      <c r="L77" s="15">
        <f>H77-I77</f>
        <v/>
      </c>
      <c r="M77" s="5" t="n"/>
    </row>
    <row r="78">
      <c r="A78" s="4" t="n"/>
      <c r="B78" s="4" t="n"/>
      <c r="C78" s="4" t="n"/>
      <c r="D78" s="13" t="n"/>
      <c r="E78" s="13" t="n"/>
      <c r="F78" s="13" t="n"/>
      <c r="G78" s="13" t="n"/>
      <c r="H78" s="13">
        <f>SUM(D78:G78)</f>
        <v/>
      </c>
      <c r="I78" s="13" t="n"/>
      <c r="J78" s="13">
        <f>H78-I78</f>
        <v/>
      </c>
      <c r="K78" s="9">
        <f>IFERROR(I78/H78,0)</f>
        <v/>
      </c>
      <c r="L78" s="13">
        <f>H78-I78</f>
        <v/>
      </c>
      <c r="M78" s="4" t="n"/>
    </row>
    <row r="79">
      <c r="A79" s="5" t="n"/>
      <c r="B79" s="5" t="n"/>
      <c r="C79" s="5" t="n"/>
      <c r="D79" s="15" t="n"/>
      <c r="E79" s="15" t="n"/>
      <c r="F79" s="15" t="n"/>
      <c r="G79" s="15" t="n"/>
      <c r="H79" s="15">
        <f>SUM(D79:G79)</f>
        <v/>
      </c>
      <c r="I79" s="15" t="n"/>
      <c r="J79" s="15">
        <f>H79-I79</f>
        <v/>
      </c>
      <c r="K79" s="10">
        <f>IFERROR(I79/H79,0)</f>
        <v/>
      </c>
      <c r="L79" s="15">
        <f>H79-I79</f>
        <v/>
      </c>
      <c r="M79" s="5" t="n"/>
    </row>
    <row r="80">
      <c r="A80" s="4" t="n"/>
      <c r="B80" s="4" t="n"/>
      <c r="C80" s="4" t="n"/>
      <c r="D80" s="13" t="n"/>
      <c r="E80" s="13" t="n"/>
      <c r="F80" s="13" t="n"/>
      <c r="G80" s="13" t="n"/>
      <c r="H80" s="13">
        <f>SUM(D80:G80)</f>
        <v/>
      </c>
      <c r="I80" s="13" t="n"/>
      <c r="J80" s="13">
        <f>H80-I80</f>
        <v/>
      </c>
      <c r="K80" s="9">
        <f>IFERROR(I80/H80,0)</f>
        <v/>
      </c>
      <c r="L80" s="13">
        <f>H80-I80</f>
        <v/>
      </c>
      <c r="M80" s="4" t="n"/>
    </row>
    <row r="81">
      <c r="A81" s="5" t="n"/>
      <c r="B81" s="5" t="n"/>
      <c r="C81" s="5" t="n"/>
      <c r="D81" s="15" t="n"/>
      <c r="E81" s="15" t="n"/>
      <c r="F81" s="15" t="n"/>
      <c r="G81" s="15" t="n"/>
      <c r="H81" s="15">
        <f>SUM(D81:G81)</f>
        <v/>
      </c>
      <c r="I81" s="15" t="n"/>
      <c r="J81" s="15">
        <f>H81-I81</f>
        <v/>
      </c>
      <c r="K81" s="10">
        <f>IFERROR(I81/H81,0)</f>
        <v/>
      </c>
      <c r="L81" s="15">
        <f>H81-I81</f>
        <v/>
      </c>
      <c r="M81" s="5" t="n"/>
    </row>
    <row r="82">
      <c r="A82" s="4" t="n"/>
      <c r="B82" s="4" t="n"/>
      <c r="C82" s="4" t="n"/>
      <c r="D82" s="13" t="n"/>
      <c r="E82" s="13" t="n"/>
      <c r="F82" s="13" t="n"/>
      <c r="G82" s="13" t="n"/>
      <c r="H82" s="13">
        <f>SUM(D82:G82)</f>
        <v/>
      </c>
      <c r="I82" s="13" t="n"/>
      <c r="J82" s="13">
        <f>H82-I82</f>
        <v/>
      </c>
      <c r="K82" s="9">
        <f>IFERROR(I82/H82,0)</f>
        <v/>
      </c>
      <c r="L82" s="13">
        <f>H82-I82</f>
        <v/>
      </c>
      <c r="M82" s="4" t="n"/>
    </row>
    <row r="83">
      <c r="A83" s="5" t="n"/>
      <c r="B83" s="5" t="n"/>
      <c r="C83" s="5" t="n"/>
      <c r="D83" s="15" t="n"/>
      <c r="E83" s="15" t="n"/>
      <c r="F83" s="15" t="n"/>
      <c r="G83" s="15" t="n"/>
      <c r="H83" s="15">
        <f>SUM(D83:G83)</f>
        <v/>
      </c>
      <c r="I83" s="15" t="n"/>
      <c r="J83" s="15">
        <f>H83-I83</f>
        <v/>
      </c>
      <c r="K83" s="10">
        <f>IFERROR(I83/H83,0)</f>
        <v/>
      </c>
      <c r="L83" s="15">
        <f>H83-I83</f>
        <v/>
      </c>
      <c r="M83" s="5" t="n"/>
    </row>
    <row r="84">
      <c r="A84" s="4" t="n"/>
      <c r="B84" s="4" t="n"/>
      <c r="C84" s="4" t="n"/>
      <c r="D84" s="13" t="n"/>
      <c r="E84" s="13" t="n"/>
      <c r="F84" s="13" t="n"/>
      <c r="G84" s="13" t="n"/>
      <c r="H84" s="13">
        <f>SUM(D84:G84)</f>
        <v/>
      </c>
      <c r="I84" s="13" t="n"/>
      <c r="J84" s="13">
        <f>H84-I84</f>
        <v/>
      </c>
      <c r="K84" s="9">
        <f>IFERROR(I84/H84,0)</f>
        <v/>
      </c>
      <c r="L84" s="13">
        <f>H84-I84</f>
        <v/>
      </c>
      <c r="M84" s="4" t="n"/>
    </row>
    <row r="85">
      <c r="A85" s="5" t="n"/>
      <c r="B85" s="5" t="n"/>
      <c r="C85" s="5" t="n"/>
      <c r="D85" s="15" t="n"/>
      <c r="E85" s="15" t="n"/>
      <c r="F85" s="15" t="n"/>
      <c r="G85" s="15" t="n"/>
      <c r="H85" s="15">
        <f>SUM(D85:G85)</f>
        <v/>
      </c>
      <c r="I85" s="15" t="n"/>
      <c r="J85" s="15">
        <f>H85-I85</f>
        <v/>
      </c>
      <c r="K85" s="10">
        <f>IFERROR(I85/H85,0)</f>
        <v/>
      </c>
      <c r="L85" s="15">
        <f>H85-I85</f>
        <v/>
      </c>
      <c r="M85" s="5" t="n"/>
    </row>
    <row r="86">
      <c r="A86" s="4" t="n"/>
      <c r="B86" s="4" t="n"/>
      <c r="C86" s="4" t="n"/>
      <c r="D86" s="13" t="n"/>
      <c r="E86" s="13" t="n"/>
      <c r="F86" s="13" t="n"/>
      <c r="G86" s="13" t="n"/>
      <c r="H86" s="13">
        <f>SUM(D86:G86)</f>
        <v/>
      </c>
      <c r="I86" s="13" t="n"/>
      <c r="J86" s="13">
        <f>H86-I86</f>
        <v/>
      </c>
      <c r="K86" s="9">
        <f>IFERROR(I86/H86,0)</f>
        <v/>
      </c>
      <c r="L86" s="13">
        <f>H86-I86</f>
        <v/>
      </c>
      <c r="M86" s="4" t="n"/>
    </row>
    <row r="87">
      <c r="A87" s="5" t="n"/>
      <c r="B87" s="5" t="n"/>
      <c r="C87" s="5" t="n"/>
      <c r="D87" s="15" t="n"/>
      <c r="E87" s="15" t="n"/>
      <c r="F87" s="15" t="n"/>
      <c r="G87" s="15" t="n"/>
      <c r="H87" s="15">
        <f>SUM(D87:G87)</f>
        <v/>
      </c>
      <c r="I87" s="15" t="n"/>
      <c r="J87" s="15">
        <f>H87-I87</f>
        <v/>
      </c>
      <c r="K87" s="10">
        <f>IFERROR(I87/H87,0)</f>
        <v/>
      </c>
      <c r="L87" s="15">
        <f>H87-I87</f>
        <v/>
      </c>
      <c r="M87" s="5" t="n"/>
    </row>
    <row r="88">
      <c r="A88" s="4" t="n"/>
      <c r="B88" s="4" t="n"/>
      <c r="C88" s="4" t="n"/>
      <c r="D88" s="13" t="n"/>
      <c r="E88" s="13" t="n"/>
      <c r="F88" s="13" t="n"/>
      <c r="G88" s="13" t="n"/>
      <c r="H88" s="13">
        <f>SUM(D88:G88)</f>
        <v/>
      </c>
      <c r="I88" s="13" t="n"/>
      <c r="J88" s="13">
        <f>H88-I88</f>
        <v/>
      </c>
      <c r="K88" s="9">
        <f>IFERROR(I88/H88,0)</f>
        <v/>
      </c>
      <c r="L88" s="13">
        <f>H88-I88</f>
        <v/>
      </c>
      <c r="M88" s="4" t="n"/>
    </row>
    <row r="89">
      <c r="A89" s="5" t="n"/>
      <c r="B89" s="5" t="n"/>
      <c r="C89" s="5" t="n"/>
      <c r="D89" s="15" t="n"/>
      <c r="E89" s="15" t="n"/>
      <c r="F89" s="15" t="n"/>
      <c r="G89" s="15" t="n"/>
      <c r="H89" s="15">
        <f>SUM(D89:G89)</f>
        <v/>
      </c>
      <c r="I89" s="15" t="n"/>
      <c r="J89" s="15">
        <f>H89-I89</f>
        <v/>
      </c>
      <c r="K89" s="10">
        <f>IFERROR(I89/H89,0)</f>
        <v/>
      </c>
      <c r="L89" s="15">
        <f>H89-I89</f>
        <v/>
      </c>
      <c r="M89" s="5" t="n"/>
    </row>
    <row r="90">
      <c r="A90" s="4" t="n"/>
      <c r="B90" s="4" t="n"/>
      <c r="C90" s="4" t="n"/>
      <c r="D90" s="13" t="n"/>
      <c r="E90" s="13" t="n"/>
      <c r="F90" s="13" t="n"/>
      <c r="G90" s="13" t="n"/>
      <c r="H90" s="13">
        <f>SUM(D90:G90)</f>
        <v/>
      </c>
      <c r="I90" s="13" t="n"/>
      <c r="J90" s="13">
        <f>H90-I90</f>
        <v/>
      </c>
      <c r="K90" s="9">
        <f>IFERROR(I90/H90,0)</f>
        <v/>
      </c>
      <c r="L90" s="13">
        <f>H90-I90</f>
        <v/>
      </c>
      <c r="M90" s="4" t="n"/>
    </row>
    <row r="91">
      <c r="A91" s="5" t="n"/>
      <c r="B91" s="5" t="n"/>
      <c r="C91" s="5" t="n"/>
      <c r="D91" s="15" t="n"/>
      <c r="E91" s="15" t="n"/>
      <c r="F91" s="15" t="n"/>
      <c r="G91" s="15" t="n"/>
      <c r="H91" s="15">
        <f>SUM(D91:G91)</f>
        <v/>
      </c>
      <c r="I91" s="15" t="n"/>
      <c r="J91" s="15">
        <f>H91-I91</f>
        <v/>
      </c>
      <c r="K91" s="10">
        <f>IFERROR(I91/H91,0)</f>
        <v/>
      </c>
      <c r="L91" s="15">
        <f>H91-I91</f>
        <v/>
      </c>
      <c r="M91" s="5" t="n"/>
    </row>
    <row r="92">
      <c r="A92" s="4" t="n"/>
      <c r="B92" s="4" t="n"/>
      <c r="C92" s="4" t="n"/>
      <c r="D92" s="13" t="n"/>
      <c r="E92" s="13" t="n"/>
      <c r="F92" s="13" t="n"/>
      <c r="G92" s="13" t="n"/>
      <c r="H92" s="13">
        <f>SUM(D92:G92)</f>
        <v/>
      </c>
      <c r="I92" s="13" t="n"/>
      <c r="J92" s="13">
        <f>H92-I92</f>
        <v/>
      </c>
      <c r="K92" s="9">
        <f>IFERROR(I92/H92,0)</f>
        <v/>
      </c>
      <c r="L92" s="13">
        <f>H92-I92</f>
        <v/>
      </c>
      <c r="M92" s="4" t="n"/>
    </row>
    <row r="93">
      <c r="A93" s="5" t="n"/>
      <c r="B93" s="5" t="n"/>
      <c r="C93" s="5" t="n"/>
      <c r="D93" s="15" t="n"/>
      <c r="E93" s="15" t="n"/>
      <c r="F93" s="15" t="n"/>
      <c r="G93" s="15" t="n"/>
      <c r="H93" s="15">
        <f>SUM(D93:G93)</f>
        <v/>
      </c>
      <c r="I93" s="15" t="n"/>
      <c r="J93" s="15">
        <f>H93-I93</f>
        <v/>
      </c>
      <c r="K93" s="10">
        <f>IFERROR(I93/H93,0)</f>
        <v/>
      </c>
      <c r="L93" s="15">
        <f>H93-I93</f>
        <v/>
      </c>
      <c r="M93" s="5" t="n"/>
    </row>
    <row r="94">
      <c r="A94" s="4" t="n"/>
      <c r="B94" s="4" t="n"/>
      <c r="C94" s="4" t="n"/>
      <c r="D94" s="13" t="n"/>
      <c r="E94" s="13" t="n"/>
      <c r="F94" s="13" t="n"/>
      <c r="G94" s="13" t="n"/>
      <c r="H94" s="13">
        <f>SUM(D94:G94)</f>
        <v/>
      </c>
      <c r="I94" s="13" t="n"/>
      <c r="J94" s="13">
        <f>H94-I94</f>
        <v/>
      </c>
      <c r="K94" s="9">
        <f>IFERROR(I94/H94,0)</f>
        <v/>
      </c>
      <c r="L94" s="13">
        <f>H94-I94</f>
        <v/>
      </c>
      <c r="M94" s="4" t="n"/>
    </row>
    <row r="95">
      <c r="A95" s="5" t="n"/>
      <c r="B95" s="5" t="n"/>
      <c r="C95" s="5" t="n"/>
      <c r="D95" s="15" t="n"/>
      <c r="E95" s="15" t="n"/>
      <c r="F95" s="15" t="n"/>
      <c r="G95" s="15" t="n"/>
      <c r="H95" s="15">
        <f>SUM(D95:G95)</f>
        <v/>
      </c>
      <c r="I95" s="15" t="n"/>
      <c r="J95" s="15">
        <f>H95-I95</f>
        <v/>
      </c>
      <c r="K95" s="10">
        <f>IFERROR(I95/H95,0)</f>
        <v/>
      </c>
      <c r="L95" s="15">
        <f>H95-I95</f>
        <v/>
      </c>
      <c r="M95" s="5" t="n"/>
    </row>
    <row r="96">
      <c r="A96" s="4" t="n"/>
      <c r="B96" s="4" t="n"/>
      <c r="C96" s="4" t="n"/>
      <c r="D96" s="13" t="n"/>
      <c r="E96" s="13" t="n"/>
      <c r="F96" s="13" t="n"/>
      <c r="G96" s="13" t="n"/>
      <c r="H96" s="13">
        <f>SUM(D96:G96)</f>
        <v/>
      </c>
      <c r="I96" s="13" t="n"/>
      <c r="J96" s="13">
        <f>H96-I96</f>
        <v/>
      </c>
      <c r="K96" s="9">
        <f>IFERROR(I96/H96,0)</f>
        <v/>
      </c>
      <c r="L96" s="13">
        <f>H96-I96</f>
        <v/>
      </c>
      <c r="M96" s="4" t="n"/>
    </row>
    <row r="97">
      <c r="A97" s="5" t="n"/>
      <c r="B97" s="5" t="n"/>
      <c r="C97" s="5" t="n"/>
      <c r="D97" s="15" t="n"/>
      <c r="E97" s="15" t="n"/>
      <c r="F97" s="15" t="n"/>
      <c r="G97" s="15" t="n"/>
      <c r="H97" s="15">
        <f>SUM(D97:G97)</f>
        <v/>
      </c>
      <c r="I97" s="15" t="n"/>
      <c r="J97" s="15">
        <f>H97-I97</f>
        <v/>
      </c>
      <c r="K97" s="10">
        <f>IFERROR(I97/H97,0)</f>
        <v/>
      </c>
      <c r="L97" s="15">
        <f>H97-I97</f>
        <v/>
      </c>
      <c r="M97" s="5" t="n"/>
    </row>
    <row r="98">
      <c r="A98" s="4" t="n"/>
      <c r="B98" s="4" t="n"/>
      <c r="C98" s="4" t="n"/>
      <c r="D98" s="13" t="n"/>
      <c r="E98" s="13" t="n"/>
      <c r="F98" s="13" t="n"/>
      <c r="G98" s="13" t="n"/>
      <c r="H98" s="13">
        <f>SUM(D98:G98)</f>
        <v/>
      </c>
      <c r="I98" s="13" t="n"/>
      <c r="J98" s="13">
        <f>H98-I98</f>
        <v/>
      </c>
      <c r="K98" s="9">
        <f>IFERROR(I98/H98,0)</f>
        <v/>
      </c>
      <c r="L98" s="13">
        <f>H98-I98</f>
        <v/>
      </c>
      <c r="M98" s="4" t="n"/>
    </row>
    <row r="99">
      <c r="A99" s="5" t="n"/>
      <c r="B99" s="5" t="n"/>
      <c r="C99" s="5" t="n"/>
      <c r="D99" s="15" t="n"/>
      <c r="E99" s="15" t="n"/>
      <c r="F99" s="15" t="n"/>
      <c r="G99" s="15" t="n"/>
      <c r="H99" s="15">
        <f>SUM(D99:G99)</f>
        <v/>
      </c>
      <c r="I99" s="15" t="n"/>
      <c r="J99" s="15">
        <f>H99-I99</f>
        <v/>
      </c>
      <c r="K99" s="10">
        <f>IFERROR(I99/H99,0)</f>
        <v/>
      </c>
      <c r="L99" s="15">
        <f>H99-I99</f>
        <v/>
      </c>
      <c r="M99" s="5" t="n"/>
    </row>
    <row r="100">
      <c r="A100" s="4" t="n"/>
      <c r="B100" s="4" t="n"/>
      <c r="C100" s="4" t="n"/>
      <c r="D100" s="13" t="n"/>
      <c r="E100" s="13" t="n"/>
      <c r="F100" s="13" t="n"/>
      <c r="G100" s="13" t="n"/>
      <c r="H100" s="13">
        <f>SUM(D100:G100)</f>
        <v/>
      </c>
      <c r="I100" s="13" t="n"/>
      <c r="J100" s="13">
        <f>H100-I100</f>
        <v/>
      </c>
      <c r="K100" s="9">
        <f>IFERROR(I100/H100,0)</f>
        <v/>
      </c>
      <c r="L100" s="13">
        <f>H100-I100</f>
        <v/>
      </c>
      <c r="M100" s="4" t="n"/>
    </row>
    <row r="101">
      <c r="A101" s="5" t="n"/>
      <c r="B101" s="5" t="n"/>
      <c r="C101" s="5" t="n"/>
      <c r="D101" s="15" t="n"/>
      <c r="E101" s="15" t="n"/>
      <c r="F101" s="15" t="n"/>
      <c r="G101" s="15" t="n"/>
      <c r="H101" s="15">
        <f>SUM(D101:G101)</f>
        <v/>
      </c>
      <c r="I101" s="15" t="n"/>
      <c r="J101" s="15">
        <f>H101-I101</f>
        <v/>
      </c>
      <c r="K101" s="10">
        <f>IFERROR(I101/H101,0)</f>
        <v/>
      </c>
      <c r="L101" s="15">
        <f>H101-I101</f>
        <v/>
      </c>
      <c r="M101" s="5" t="n"/>
    </row>
    <row r="102">
      <c r="A102" s="4" t="n"/>
      <c r="B102" s="4" t="n"/>
      <c r="C102" s="4" t="n"/>
      <c r="D102" s="13" t="n"/>
      <c r="E102" s="13" t="n"/>
      <c r="F102" s="13" t="n"/>
      <c r="G102" s="13" t="n"/>
      <c r="H102" s="13">
        <f>SUM(D102:G102)</f>
        <v/>
      </c>
      <c r="I102" s="13" t="n"/>
      <c r="J102" s="13">
        <f>H102-I102</f>
        <v/>
      </c>
      <c r="K102" s="9">
        <f>IFERROR(I102/H102,0)</f>
        <v/>
      </c>
      <c r="L102" s="13">
        <f>H102-I102</f>
        <v/>
      </c>
      <c r="M102" s="4" t="n"/>
    </row>
    <row r="103">
      <c r="A103" s="5" t="n"/>
      <c r="B103" s="5" t="n"/>
      <c r="C103" s="5" t="n"/>
      <c r="D103" s="15" t="n"/>
      <c r="E103" s="15" t="n"/>
      <c r="F103" s="15" t="n"/>
      <c r="G103" s="15" t="n"/>
      <c r="H103" s="15">
        <f>SUM(D103:G103)</f>
        <v/>
      </c>
      <c r="I103" s="15" t="n"/>
      <c r="J103" s="15">
        <f>H103-I103</f>
        <v/>
      </c>
      <c r="K103" s="10">
        <f>IFERROR(I103/H103,0)</f>
        <v/>
      </c>
      <c r="L103" s="15">
        <f>H103-I103</f>
        <v/>
      </c>
      <c r="M103" s="5" t="n"/>
    </row>
    <row r="104">
      <c r="A104" s="4" t="n"/>
      <c r="B104" s="4" t="n"/>
      <c r="C104" s="4" t="n"/>
      <c r="D104" s="13" t="n"/>
      <c r="E104" s="13" t="n"/>
      <c r="F104" s="13" t="n"/>
      <c r="G104" s="13" t="n"/>
      <c r="H104" s="13">
        <f>SUM(D104:G104)</f>
        <v/>
      </c>
      <c r="I104" s="13" t="n"/>
      <c r="J104" s="13">
        <f>H104-I104</f>
        <v/>
      </c>
      <c r="K104" s="9">
        <f>IFERROR(I104/H104,0)</f>
        <v/>
      </c>
      <c r="L104" s="13">
        <f>H104-I104</f>
        <v/>
      </c>
      <c r="M104" s="4" t="n"/>
    </row>
    <row r="105">
      <c r="A105" s="5" t="n"/>
      <c r="B105" s="5" t="n"/>
      <c r="C105" s="5" t="n"/>
      <c r="D105" s="15" t="n"/>
      <c r="E105" s="15" t="n"/>
      <c r="F105" s="15" t="n"/>
      <c r="G105" s="15" t="n"/>
      <c r="H105" s="15">
        <f>SUM(D105:G105)</f>
        <v/>
      </c>
      <c r="I105" s="15" t="n"/>
      <c r="J105" s="15">
        <f>H105-I105</f>
        <v/>
      </c>
      <c r="K105" s="10">
        <f>IFERROR(I105/H105,0)</f>
        <v/>
      </c>
      <c r="L105" s="15">
        <f>H105-I105</f>
        <v/>
      </c>
      <c r="M105" s="5" t="n"/>
    </row>
    <row r="106">
      <c r="A106" s="4" t="n"/>
      <c r="B106" s="4" t="n"/>
      <c r="C106" s="4" t="n"/>
      <c r="D106" s="13" t="n"/>
      <c r="E106" s="13" t="n"/>
      <c r="F106" s="13" t="n"/>
      <c r="G106" s="13" t="n"/>
      <c r="H106" s="13">
        <f>SUM(D106:G106)</f>
        <v/>
      </c>
      <c r="I106" s="13" t="n"/>
      <c r="J106" s="13">
        <f>H106-I106</f>
        <v/>
      </c>
      <c r="K106" s="9">
        <f>IFERROR(I106/H106,0)</f>
        <v/>
      </c>
      <c r="L106" s="13">
        <f>H106-I106</f>
        <v/>
      </c>
      <c r="M106" s="4" t="n"/>
    </row>
    <row r="107">
      <c r="A107" s="5" t="n"/>
      <c r="B107" s="5" t="n"/>
      <c r="C107" s="5" t="n"/>
      <c r="D107" s="15" t="n"/>
      <c r="E107" s="15" t="n"/>
      <c r="F107" s="15" t="n"/>
      <c r="G107" s="15" t="n"/>
      <c r="H107" s="15">
        <f>SUM(D107:G107)</f>
        <v/>
      </c>
      <c r="I107" s="15" t="n"/>
      <c r="J107" s="15">
        <f>H107-I107</f>
        <v/>
      </c>
      <c r="K107" s="10">
        <f>IFERROR(I107/H107,0)</f>
        <v/>
      </c>
      <c r="L107" s="15">
        <f>H107-I107</f>
        <v/>
      </c>
      <c r="M107" s="5" t="n"/>
    </row>
    <row r="108">
      <c r="A108" s="4" t="n"/>
      <c r="B108" s="4" t="n"/>
      <c r="C108" s="4" t="n"/>
      <c r="D108" s="13" t="n"/>
      <c r="E108" s="13" t="n"/>
      <c r="F108" s="13" t="n"/>
      <c r="G108" s="13" t="n"/>
      <c r="H108" s="13">
        <f>SUM(D108:G108)</f>
        <v/>
      </c>
      <c r="I108" s="13" t="n"/>
      <c r="J108" s="13">
        <f>H108-I108</f>
        <v/>
      </c>
      <c r="K108" s="9">
        <f>IFERROR(I108/H108,0)</f>
        <v/>
      </c>
      <c r="L108" s="13">
        <f>H108-I108</f>
        <v/>
      </c>
      <c r="M108" s="4" t="n"/>
    </row>
    <row r="109">
      <c r="A109" s="5" t="n"/>
      <c r="B109" s="5" t="n"/>
      <c r="C109" s="5" t="n"/>
      <c r="D109" s="15" t="n"/>
      <c r="E109" s="15" t="n"/>
      <c r="F109" s="15" t="n"/>
      <c r="G109" s="15" t="n"/>
      <c r="H109" s="15">
        <f>SUM(D109:G109)</f>
        <v/>
      </c>
      <c r="I109" s="15" t="n"/>
      <c r="J109" s="15">
        <f>H109-I109</f>
        <v/>
      </c>
      <c r="K109" s="10">
        <f>IFERROR(I109/H109,0)</f>
        <v/>
      </c>
      <c r="L109" s="15">
        <f>H109-I109</f>
        <v/>
      </c>
      <c r="M109" s="5" t="n"/>
    </row>
    <row r="110">
      <c r="A110" s="4" t="n"/>
      <c r="B110" s="4" t="n"/>
      <c r="C110" s="4" t="n"/>
      <c r="D110" s="13" t="n"/>
      <c r="E110" s="13" t="n"/>
      <c r="F110" s="13" t="n"/>
      <c r="G110" s="13" t="n"/>
      <c r="H110" s="13">
        <f>SUM(D110:G110)</f>
        <v/>
      </c>
      <c r="I110" s="13" t="n"/>
      <c r="J110" s="13">
        <f>H110-I110</f>
        <v/>
      </c>
      <c r="K110" s="9">
        <f>IFERROR(I110/H110,0)</f>
        <v/>
      </c>
      <c r="L110" s="13">
        <f>H110-I110</f>
        <v/>
      </c>
      <c r="M110" s="4" t="n"/>
    </row>
    <row r="111">
      <c r="A111" s="5" t="n"/>
      <c r="B111" s="5" t="n"/>
      <c r="C111" s="5" t="n"/>
      <c r="D111" s="15" t="n"/>
      <c r="E111" s="15" t="n"/>
      <c r="F111" s="15" t="n"/>
      <c r="G111" s="15" t="n"/>
      <c r="H111" s="15">
        <f>SUM(D111:G111)</f>
        <v/>
      </c>
      <c r="I111" s="15" t="n"/>
      <c r="J111" s="15">
        <f>H111-I111</f>
        <v/>
      </c>
      <c r="K111" s="10">
        <f>IFERROR(I111/H111,0)</f>
        <v/>
      </c>
      <c r="L111" s="15">
        <f>H111-I111</f>
        <v/>
      </c>
      <c r="M111" s="5" t="n"/>
    </row>
    <row r="112">
      <c r="A112" s="4" t="n"/>
      <c r="B112" s="4" t="n"/>
      <c r="C112" s="4" t="n"/>
      <c r="D112" s="13" t="n"/>
      <c r="E112" s="13" t="n"/>
      <c r="F112" s="13" t="n"/>
      <c r="G112" s="13" t="n"/>
      <c r="H112" s="13">
        <f>SUM(D112:G112)</f>
        <v/>
      </c>
      <c r="I112" s="13" t="n"/>
      <c r="J112" s="13">
        <f>H112-I112</f>
        <v/>
      </c>
      <c r="K112" s="9">
        <f>IFERROR(I112/H112,0)</f>
        <v/>
      </c>
      <c r="L112" s="13">
        <f>H112-I112</f>
        <v/>
      </c>
      <c r="M112" s="4" t="n"/>
    </row>
    <row r="113">
      <c r="A113" s="5" t="n"/>
      <c r="B113" s="5" t="n"/>
      <c r="C113" s="5" t="n"/>
      <c r="D113" s="15" t="n"/>
      <c r="E113" s="15" t="n"/>
      <c r="F113" s="15" t="n"/>
      <c r="G113" s="15" t="n"/>
      <c r="H113" s="15">
        <f>SUM(D113:G113)</f>
        <v/>
      </c>
      <c r="I113" s="15" t="n"/>
      <c r="J113" s="15">
        <f>H113-I113</f>
        <v/>
      </c>
      <c r="K113" s="10">
        <f>IFERROR(I113/H113,0)</f>
        <v/>
      </c>
      <c r="L113" s="15">
        <f>H113-I113</f>
        <v/>
      </c>
      <c r="M113" s="5" t="n"/>
    </row>
    <row r="114">
      <c r="A114" s="4" t="n"/>
      <c r="B114" s="4" t="n"/>
      <c r="C114" s="4" t="n"/>
      <c r="D114" s="13" t="n"/>
      <c r="E114" s="13" t="n"/>
      <c r="F114" s="13" t="n"/>
      <c r="G114" s="13" t="n"/>
      <c r="H114" s="13">
        <f>SUM(D114:G114)</f>
        <v/>
      </c>
      <c r="I114" s="13" t="n"/>
      <c r="J114" s="13">
        <f>H114-I114</f>
        <v/>
      </c>
      <c r="K114" s="9">
        <f>IFERROR(I114/H114,0)</f>
        <v/>
      </c>
      <c r="L114" s="13">
        <f>H114-I114</f>
        <v/>
      </c>
      <c r="M114" s="4" t="n"/>
    </row>
    <row r="115">
      <c r="A115" s="5" t="n"/>
      <c r="B115" s="5" t="n"/>
      <c r="C115" s="5" t="n"/>
      <c r="D115" s="15" t="n"/>
      <c r="E115" s="15" t="n"/>
      <c r="F115" s="15" t="n"/>
      <c r="G115" s="15" t="n"/>
      <c r="H115" s="15">
        <f>SUM(D115:G115)</f>
        <v/>
      </c>
      <c r="I115" s="15" t="n"/>
      <c r="J115" s="15">
        <f>H115-I115</f>
        <v/>
      </c>
      <c r="K115" s="10">
        <f>IFERROR(I115/H115,0)</f>
        <v/>
      </c>
      <c r="L115" s="15">
        <f>H115-I115</f>
        <v/>
      </c>
      <c r="M115" s="5" t="n"/>
    </row>
  </sheetData>
  <mergeCells count="2">
    <mergeCell ref="A3:P3"/>
    <mergeCell ref="A2:P2"/>
  </mergeCells>
  <conditionalFormatting sqref="M6:M115">
    <cfRule type="cellIs" priority="1" operator="equal" dxfId="2">
      <formula>"En cours"</formula>
    </cfRule>
    <cfRule type="cellIs" priority="2" operator="equal" dxfId="0">
      <formula>"Clôturé"</formula>
    </cfRule>
    <cfRule type="cellIs" priority="3" operator="equal" dxfId="3">
      <formula>"Dépassé"</formula>
    </cfRule>
  </conditionalFormatting>
  <dataValidations count="1">
    <dataValidation sqref="B6:B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_Lists'!$O$6:$O$35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22" customWidth="1" min="4" max="4"/>
    <col width="20" customWidth="1" min="5" max="5"/>
    <col width="22" customWidth="1" min="6" max="6"/>
    <col width="20" customWidth="1" min="7" max="7"/>
    <col width="20" customWidth="1" min="8" max="8"/>
    <col width="20" customWidth="1" min="9" max="9"/>
    <col width="14" customWidth="1" min="10" max="10"/>
    <col width="18" customWidth="1" min="11" max="11"/>
    <col width="30" customWidth="1" min="12" max="12"/>
  </cols>
  <sheetData>
    <row r="2" ht="25" customHeight="1">
      <c r="A2" s="1" t="inlineStr">
        <is>
          <t>DOMAINE 28 — REPORTING MENSUEL MOBILITÉ &amp; CARRIÈRE</t>
        </is>
      </c>
    </row>
    <row r="3" ht="18" customHeight="1">
      <c r="A3" s="2" t="inlineStr">
        <is>
          <t>Synthèse mensuelle des activités de mobilité et de gestion des carrières</t>
        </is>
      </c>
    </row>
    <row r="5">
      <c r="A5" s="3" t="inlineStr">
        <is>
          <t>Mois</t>
        </is>
      </c>
      <c r="B5" s="3" t="inlineStr">
        <is>
          <t>Nb Demandes Mobilité</t>
        </is>
      </c>
      <c r="C5" s="3" t="inlineStr">
        <is>
          <t>Nb Demandes Approuvées</t>
        </is>
      </c>
      <c r="D5" s="3" t="inlineStr">
        <is>
          <t>Nb Promotions Effectuées</t>
        </is>
      </c>
      <c r="E5" s="3" t="inlineStr">
        <is>
          <t>Nb Entretiens Réalisés</t>
        </is>
      </c>
      <c r="F5" s="3" t="inlineStr">
        <is>
          <t>Nb Formations Terminées</t>
        </is>
      </c>
      <c r="G5" s="3" t="inlineStr">
        <is>
          <t>Nb Sessions Mentorat</t>
        </is>
      </c>
      <c r="H5" s="3" t="inlineStr">
        <is>
          <t>Coût Total Mois (FCFA)</t>
        </is>
      </c>
      <c r="I5" s="3" t="inlineStr">
        <is>
          <t>Taux Satisfaction (%)</t>
        </is>
      </c>
      <c r="J5" s="3" t="inlineStr">
        <is>
          <t>Nb Départs</t>
        </is>
      </c>
      <c r="K5" s="3" t="inlineStr">
        <is>
          <t>Taux Rétention (%)</t>
        </is>
      </c>
      <c r="L5" s="3" t="inlineStr">
        <is>
          <t>Commentaires</t>
        </is>
      </c>
    </row>
    <row r="6">
      <c r="A6" s="4" t="inlineStr">
        <is>
          <t>Janvier 2025</t>
        </is>
      </c>
      <c r="B6" s="4" t="n">
        <v>3</v>
      </c>
      <c r="C6" s="4" t="n">
        <v>1</v>
      </c>
      <c r="D6" s="4" t="n">
        <v>0</v>
      </c>
      <c r="E6" s="4" t="n">
        <v>4</v>
      </c>
      <c r="F6" s="4" t="n">
        <v>0</v>
      </c>
      <c r="G6" s="4" t="n">
        <v>6</v>
      </c>
      <c r="H6" s="13" t="n">
        <v>3200000</v>
      </c>
      <c r="I6" s="4" t="n">
        <v>82</v>
      </c>
      <c r="J6" s="4" t="n">
        <v>0</v>
      </c>
      <c r="K6" s="9">
        <f>IFERROR((B6-J6)/B6,0)</f>
        <v/>
      </c>
      <c r="L6" s="4" t="inlineStr">
        <is>
          <t>Démarrage année, planifications</t>
        </is>
      </c>
    </row>
    <row r="7">
      <c r="A7" s="5" t="inlineStr">
        <is>
          <t>Février 2025</t>
        </is>
      </c>
      <c r="B7" s="5" t="n">
        <v>2</v>
      </c>
      <c r="C7" s="5" t="n">
        <v>1</v>
      </c>
      <c r="D7" s="5" t="n">
        <v>0</v>
      </c>
      <c r="E7" s="5" t="n">
        <v>5</v>
      </c>
      <c r="F7" s="5" t="n">
        <v>1</v>
      </c>
      <c r="G7" s="5" t="n">
        <v>5</v>
      </c>
      <c r="H7" s="15" t="n">
        <v>2800000</v>
      </c>
      <c r="I7" s="5" t="n">
        <v>85</v>
      </c>
      <c r="J7" s="5" t="n">
        <v>0</v>
      </c>
      <c r="K7" s="10">
        <f>IFERROR((B7-J7)/B7,0)</f>
        <v/>
      </c>
      <c r="L7" s="5" t="inlineStr">
        <is>
          <t>Premières formations terminées</t>
        </is>
      </c>
    </row>
    <row r="8">
      <c r="A8" s="4" t="inlineStr">
        <is>
          <t>Mars 2025</t>
        </is>
      </c>
      <c r="B8" s="4" t="n">
        <v>4</v>
      </c>
      <c r="C8" s="4" t="n">
        <v>2</v>
      </c>
      <c r="D8" s="4" t="n">
        <v>1</v>
      </c>
      <c r="E8" s="4" t="n">
        <v>6</v>
      </c>
      <c r="F8" s="4" t="n">
        <v>1</v>
      </c>
      <c r="G8" s="4" t="n">
        <v>7</v>
      </c>
      <c r="H8" s="13" t="n">
        <v>4100000</v>
      </c>
      <c r="I8" s="4" t="n">
        <v>88</v>
      </c>
      <c r="J8" s="4" t="n">
        <v>0</v>
      </c>
      <c r="K8" s="9">
        <f>IFERROR((B8-J8)/B8,0)</f>
        <v/>
      </c>
      <c r="L8" s="4" t="inlineStr">
        <is>
          <t>Mobilité active, promotions Q1</t>
        </is>
      </c>
    </row>
    <row r="9">
      <c r="A9" s="5" t="inlineStr">
        <is>
          <t>Avril 2025</t>
        </is>
      </c>
      <c r="B9" s="5" t="n">
        <v>2</v>
      </c>
      <c r="C9" s="5" t="n">
        <v>0</v>
      </c>
      <c r="D9" s="5" t="n">
        <v>0</v>
      </c>
      <c r="E9" s="5" t="n">
        <v>3</v>
      </c>
      <c r="F9" s="5" t="n">
        <v>0</v>
      </c>
      <c r="G9" s="5" t="n">
        <v>5</v>
      </c>
      <c r="H9" s="15" t="n">
        <v>3500000</v>
      </c>
      <c r="I9" s="5" t="n">
        <v>80</v>
      </c>
      <c r="J9" s="5" t="n">
        <v>1</v>
      </c>
      <c r="K9" s="10">
        <f>IFERROR((B9-J9)/B9,0)</f>
        <v/>
      </c>
      <c r="L9" s="5" t="inlineStr">
        <is>
          <t>Ralentissement congés Pâques</t>
        </is>
      </c>
    </row>
    <row r="10">
      <c r="A10" s="4" t="inlineStr">
        <is>
          <t>Mai 2025</t>
        </is>
      </c>
      <c r="B10" s="4" t="n">
        <v>3</v>
      </c>
      <c r="C10" s="4" t="n">
        <v>1</v>
      </c>
      <c r="D10" s="4" t="n">
        <v>0</v>
      </c>
      <c r="E10" s="4" t="n">
        <v>4</v>
      </c>
      <c r="F10" s="4" t="n">
        <v>0</v>
      </c>
      <c r="G10" s="4" t="n">
        <v>6</v>
      </c>
      <c r="H10" s="13" t="n">
        <v>2900000</v>
      </c>
      <c r="I10" s="4" t="n">
        <v>83</v>
      </c>
      <c r="J10" s="4" t="n">
        <v>0</v>
      </c>
      <c r="K10" s="9">
        <f>IFERROR((B10-J10)/B10,0)</f>
        <v/>
      </c>
      <c r="L10" s="4" t="inlineStr">
        <is>
          <t>Reprise des activités</t>
        </is>
      </c>
    </row>
    <row r="11">
      <c r="A11" s="5" t="inlineStr">
        <is>
          <t>Juin 2025</t>
        </is>
      </c>
      <c r="B11" s="5" t="n">
        <v>5</v>
      </c>
      <c r="C11" s="5" t="n">
        <v>2</v>
      </c>
      <c r="D11" s="5" t="n">
        <v>1</v>
      </c>
      <c r="E11" s="5" t="n">
        <v>7</v>
      </c>
      <c r="F11" s="5" t="n">
        <v>2</v>
      </c>
      <c r="G11" s="5" t="n">
        <v>8</v>
      </c>
      <c r="H11" s="15" t="n">
        <v>5200000</v>
      </c>
      <c r="I11" s="5" t="n">
        <v>87</v>
      </c>
      <c r="J11" s="5" t="n">
        <v>0</v>
      </c>
      <c r="K11" s="10">
        <f>IFERROR((B11-J11)/B11,0)</f>
        <v/>
      </c>
      <c r="L11" s="5" t="inlineStr">
        <is>
          <t>Bilan semestriel positif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13" t="n"/>
      <c r="I12" s="4" t="n"/>
      <c r="J12" s="4" t="n"/>
      <c r="K12" s="9">
        <f>IFERROR((B12-J12)/B12,0)</f>
        <v/>
      </c>
      <c r="L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15" t="n"/>
      <c r="I13" s="5" t="n"/>
      <c r="J13" s="5" t="n"/>
      <c r="K13" s="10">
        <f>IFERROR((B13-J13)/B13,0)</f>
        <v/>
      </c>
      <c r="L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13" t="n"/>
      <c r="I14" s="4" t="n"/>
      <c r="J14" s="4" t="n"/>
      <c r="K14" s="9">
        <f>IFERROR((B14-J14)/B14,0)</f>
        <v/>
      </c>
      <c r="L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15" t="n"/>
      <c r="I15" s="5" t="n"/>
      <c r="J15" s="5" t="n"/>
      <c r="K15" s="10">
        <f>IFERROR((B15-J15)/B15,0)</f>
        <v/>
      </c>
      <c r="L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13" t="n"/>
      <c r="I16" s="4" t="n"/>
      <c r="J16" s="4" t="n"/>
      <c r="K16" s="9">
        <f>IFERROR((B16-J16)/B16,0)</f>
        <v/>
      </c>
      <c r="L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15" t="n"/>
      <c r="I17" s="5" t="n"/>
      <c r="J17" s="5" t="n"/>
      <c r="K17" s="10">
        <f>IFERROR((B17-J17)/B17,0)</f>
        <v/>
      </c>
      <c r="L17" s="5" t="n"/>
    </row>
    <row r="18">
      <c r="A18" s="4" t="n"/>
      <c r="B18" s="4" t="n"/>
      <c r="C18" s="4" t="n"/>
      <c r="D18" s="4" t="n"/>
      <c r="E18" s="4" t="n"/>
      <c r="F18" s="4" t="n"/>
      <c r="G18" s="4" t="n"/>
      <c r="H18" s="13" t="n"/>
      <c r="I18" s="4" t="n"/>
      <c r="J18" s="4" t="n"/>
      <c r="K18" s="9">
        <f>IFERROR((B18-J18)/B18,0)</f>
        <v/>
      </c>
      <c r="L18" s="4" t="n"/>
    </row>
    <row r="19">
      <c r="A19" s="5" t="n"/>
      <c r="B19" s="5" t="n"/>
      <c r="C19" s="5" t="n"/>
      <c r="D19" s="5" t="n"/>
      <c r="E19" s="5" t="n"/>
      <c r="F19" s="5" t="n"/>
      <c r="G19" s="5" t="n"/>
      <c r="H19" s="15" t="n"/>
      <c r="I19" s="5" t="n"/>
      <c r="J19" s="5" t="n"/>
      <c r="K19" s="10">
        <f>IFERROR((B19-J19)/B19,0)</f>
        <v/>
      </c>
      <c r="L19" s="5" t="n"/>
    </row>
    <row r="20">
      <c r="A20" s="4" t="n"/>
      <c r="B20" s="4" t="n"/>
      <c r="C20" s="4" t="n"/>
      <c r="D20" s="4" t="n"/>
      <c r="E20" s="4" t="n"/>
      <c r="F20" s="4" t="n"/>
      <c r="G20" s="4" t="n"/>
      <c r="H20" s="13" t="n"/>
      <c r="I20" s="4" t="n"/>
      <c r="J20" s="4" t="n"/>
      <c r="K20" s="9">
        <f>IFERROR((B20-J20)/B20,0)</f>
        <v/>
      </c>
      <c r="L20" s="4" t="n"/>
    </row>
    <row r="21">
      <c r="A21" s="5" t="n"/>
      <c r="B21" s="5" t="n"/>
      <c r="C21" s="5" t="n"/>
      <c r="D21" s="5" t="n"/>
      <c r="E21" s="5" t="n"/>
      <c r="F21" s="5" t="n"/>
      <c r="G21" s="5" t="n"/>
      <c r="H21" s="15" t="n"/>
      <c r="I21" s="5" t="n"/>
      <c r="J21" s="5" t="n"/>
      <c r="K21" s="10">
        <f>IFERROR((B21-J21)/B21,0)</f>
        <v/>
      </c>
      <c r="L21" s="5" t="n"/>
    </row>
    <row r="22">
      <c r="A22" s="4" t="n"/>
      <c r="B22" s="4" t="n"/>
      <c r="C22" s="4" t="n"/>
      <c r="D22" s="4" t="n"/>
      <c r="E22" s="4" t="n"/>
      <c r="F22" s="4" t="n"/>
      <c r="G22" s="4" t="n"/>
      <c r="H22" s="13" t="n"/>
      <c r="I22" s="4" t="n"/>
      <c r="J22" s="4" t="n"/>
      <c r="K22" s="9">
        <f>IFERROR((B22-J22)/B22,0)</f>
        <v/>
      </c>
      <c r="L22" s="4" t="n"/>
    </row>
    <row r="23">
      <c r="A23" s="5" t="n"/>
      <c r="B23" s="5" t="n"/>
      <c r="C23" s="5" t="n"/>
      <c r="D23" s="5" t="n"/>
      <c r="E23" s="5" t="n"/>
      <c r="F23" s="5" t="n"/>
      <c r="G23" s="5" t="n"/>
      <c r="H23" s="15" t="n"/>
      <c r="I23" s="5" t="n"/>
      <c r="J23" s="5" t="n"/>
      <c r="K23" s="10">
        <f>IFERROR((B23-J23)/B23,0)</f>
        <v/>
      </c>
      <c r="L23" s="5" t="n"/>
    </row>
    <row r="24">
      <c r="A24" s="4" t="n"/>
      <c r="B24" s="4" t="n"/>
      <c r="C24" s="4" t="n"/>
      <c r="D24" s="4" t="n"/>
      <c r="E24" s="4" t="n"/>
      <c r="F24" s="4" t="n"/>
      <c r="G24" s="4" t="n"/>
      <c r="H24" s="13" t="n"/>
      <c r="I24" s="4" t="n"/>
      <c r="J24" s="4" t="n"/>
      <c r="K24" s="9">
        <f>IFERROR((B24-J24)/B24,0)</f>
        <v/>
      </c>
      <c r="L24" s="4" t="n"/>
    </row>
    <row r="25">
      <c r="A25" s="5" t="n"/>
      <c r="B25" s="5" t="n"/>
      <c r="C25" s="5" t="n"/>
      <c r="D25" s="5" t="n"/>
      <c r="E25" s="5" t="n"/>
      <c r="F25" s="5" t="n"/>
      <c r="G25" s="5" t="n"/>
      <c r="H25" s="15" t="n"/>
      <c r="I25" s="5" t="n"/>
      <c r="J25" s="5" t="n"/>
      <c r="K25" s="10">
        <f>IFERROR((B25-J25)/B25,0)</f>
        <v/>
      </c>
      <c r="L25" s="5" t="n"/>
    </row>
    <row r="26">
      <c r="A26" s="4" t="n"/>
      <c r="B26" s="4" t="n"/>
      <c r="C26" s="4" t="n"/>
      <c r="D26" s="4" t="n"/>
      <c r="E26" s="4" t="n"/>
      <c r="F26" s="4" t="n"/>
      <c r="G26" s="4" t="n"/>
      <c r="H26" s="13" t="n"/>
      <c r="I26" s="4" t="n"/>
      <c r="J26" s="4" t="n"/>
      <c r="K26" s="9">
        <f>IFERROR((B26-J26)/B26,0)</f>
        <v/>
      </c>
      <c r="L26" s="4" t="n"/>
    </row>
    <row r="27">
      <c r="A27" s="5" t="n"/>
      <c r="B27" s="5" t="n"/>
      <c r="C27" s="5" t="n"/>
      <c r="D27" s="5" t="n"/>
      <c r="E27" s="5" t="n"/>
      <c r="F27" s="5" t="n"/>
      <c r="G27" s="5" t="n"/>
      <c r="H27" s="15" t="n"/>
      <c r="I27" s="5" t="n"/>
      <c r="J27" s="5" t="n"/>
      <c r="K27" s="10">
        <f>IFERROR((B27-J27)/B27,0)</f>
        <v/>
      </c>
      <c r="L27" s="5" t="n"/>
    </row>
    <row r="28">
      <c r="A28" s="4" t="n"/>
      <c r="B28" s="4" t="n"/>
      <c r="C28" s="4" t="n"/>
      <c r="D28" s="4" t="n"/>
      <c r="E28" s="4" t="n"/>
      <c r="F28" s="4" t="n"/>
      <c r="G28" s="4" t="n"/>
      <c r="H28" s="13" t="n"/>
      <c r="I28" s="4" t="n"/>
      <c r="J28" s="4" t="n"/>
      <c r="K28" s="9">
        <f>IFERROR((B28-J28)/B28,0)</f>
        <v/>
      </c>
      <c r="L28" s="4" t="n"/>
    </row>
    <row r="29">
      <c r="A29" s="5" t="n"/>
      <c r="B29" s="5" t="n"/>
      <c r="C29" s="5" t="n"/>
      <c r="D29" s="5" t="n"/>
      <c r="E29" s="5" t="n"/>
      <c r="F29" s="5" t="n"/>
      <c r="G29" s="5" t="n"/>
      <c r="H29" s="15" t="n"/>
      <c r="I29" s="5" t="n"/>
      <c r="J29" s="5" t="n"/>
      <c r="K29" s="10">
        <f>IFERROR((B29-J29)/B29,0)</f>
        <v/>
      </c>
      <c r="L29" s="5" t="n"/>
    </row>
    <row r="30">
      <c r="A30" s="4" t="n"/>
      <c r="B30" s="4" t="n"/>
      <c r="C30" s="4" t="n"/>
      <c r="D30" s="4" t="n"/>
      <c r="E30" s="4" t="n"/>
      <c r="F30" s="4" t="n"/>
      <c r="G30" s="4" t="n"/>
      <c r="H30" s="13" t="n"/>
      <c r="I30" s="4" t="n"/>
      <c r="J30" s="4" t="n"/>
      <c r="K30" s="9">
        <f>IFERROR((B30-J30)/B30,0)</f>
        <v/>
      </c>
      <c r="L30" s="4" t="n"/>
    </row>
    <row r="31">
      <c r="A31" s="5" t="n"/>
      <c r="B31" s="5" t="n"/>
      <c r="C31" s="5" t="n"/>
      <c r="D31" s="5" t="n"/>
      <c r="E31" s="5" t="n"/>
      <c r="F31" s="5" t="n"/>
      <c r="G31" s="5" t="n"/>
      <c r="H31" s="15" t="n"/>
      <c r="I31" s="5" t="n"/>
      <c r="J31" s="5" t="n"/>
      <c r="K31" s="10">
        <f>IFERROR((B31-J31)/B31,0)</f>
        <v/>
      </c>
      <c r="L31" s="5" t="n"/>
    </row>
    <row r="32">
      <c r="A32" s="4" t="n"/>
      <c r="B32" s="4" t="n"/>
      <c r="C32" s="4" t="n"/>
      <c r="D32" s="4" t="n"/>
      <c r="E32" s="4" t="n"/>
      <c r="F32" s="4" t="n"/>
      <c r="G32" s="4" t="n"/>
      <c r="H32" s="13" t="n"/>
      <c r="I32" s="4" t="n"/>
      <c r="J32" s="4" t="n"/>
      <c r="K32" s="9">
        <f>IFERROR((B32-J32)/B32,0)</f>
        <v/>
      </c>
      <c r="L32" s="4" t="n"/>
    </row>
    <row r="33">
      <c r="A33" s="5" t="n"/>
      <c r="B33" s="5" t="n"/>
      <c r="C33" s="5" t="n"/>
      <c r="D33" s="5" t="n"/>
      <c r="E33" s="5" t="n"/>
      <c r="F33" s="5" t="n"/>
      <c r="G33" s="5" t="n"/>
      <c r="H33" s="15" t="n"/>
      <c r="I33" s="5" t="n"/>
      <c r="J33" s="5" t="n"/>
      <c r="K33" s="10">
        <f>IFERROR((B33-J33)/B33,0)</f>
        <v/>
      </c>
      <c r="L33" s="5" t="n"/>
    </row>
    <row r="34">
      <c r="A34" s="4" t="n"/>
      <c r="B34" s="4" t="n"/>
      <c r="C34" s="4" t="n"/>
      <c r="D34" s="4" t="n"/>
      <c r="E34" s="4" t="n"/>
      <c r="F34" s="4" t="n"/>
      <c r="G34" s="4" t="n"/>
      <c r="H34" s="13" t="n"/>
      <c r="I34" s="4" t="n"/>
      <c r="J34" s="4" t="n"/>
      <c r="K34" s="9">
        <f>IFERROR((B34-J34)/B34,0)</f>
        <v/>
      </c>
      <c r="L34" s="4" t="n"/>
    </row>
    <row r="35">
      <c r="A35" s="5" t="n"/>
      <c r="B35" s="5" t="n"/>
      <c r="C35" s="5" t="n"/>
      <c r="D35" s="5" t="n"/>
      <c r="E35" s="5" t="n"/>
      <c r="F35" s="5" t="n"/>
      <c r="G35" s="5" t="n"/>
      <c r="H35" s="15" t="n"/>
      <c r="I35" s="5" t="n"/>
      <c r="J35" s="5" t="n"/>
      <c r="K35" s="10">
        <f>IFERROR((B35-J35)/B35,0)</f>
        <v/>
      </c>
      <c r="L35" s="5" t="n"/>
    </row>
    <row r="36">
      <c r="A36" s="4" t="n"/>
      <c r="B36" s="4" t="n"/>
      <c r="C36" s="4" t="n"/>
      <c r="D36" s="4" t="n"/>
      <c r="E36" s="4" t="n"/>
      <c r="F36" s="4" t="n"/>
      <c r="G36" s="4" t="n"/>
      <c r="H36" s="13" t="n"/>
      <c r="I36" s="4" t="n"/>
      <c r="J36" s="4" t="n"/>
      <c r="K36" s="9">
        <f>IFERROR((B36-J36)/B36,0)</f>
        <v/>
      </c>
      <c r="L36" s="4" t="n"/>
    </row>
    <row r="37">
      <c r="A37" s="5" t="n"/>
      <c r="B37" s="5" t="n"/>
      <c r="C37" s="5" t="n"/>
      <c r="D37" s="5" t="n"/>
      <c r="E37" s="5" t="n"/>
      <c r="F37" s="5" t="n"/>
      <c r="G37" s="5" t="n"/>
      <c r="H37" s="15" t="n"/>
      <c r="I37" s="5" t="n"/>
      <c r="J37" s="5" t="n"/>
      <c r="K37" s="10">
        <f>IFERROR((B37-J37)/B37,0)</f>
        <v/>
      </c>
      <c r="L37" s="5" t="n"/>
    </row>
    <row r="38">
      <c r="A38" s="4" t="n"/>
      <c r="B38" s="4" t="n"/>
      <c r="C38" s="4" t="n"/>
      <c r="D38" s="4" t="n"/>
      <c r="E38" s="4" t="n"/>
      <c r="F38" s="4" t="n"/>
      <c r="G38" s="4" t="n"/>
      <c r="H38" s="13" t="n"/>
      <c r="I38" s="4" t="n"/>
      <c r="J38" s="4" t="n"/>
      <c r="K38" s="9">
        <f>IFERROR((B38-J38)/B38,0)</f>
        <v/>
      </c>
      <c r="L38" s="4" t="n"/>
    </row>
    <row r="39">
      <c r="A39" s="5" t="n"/>
      <c r="B39" s="5" t="n"/>
      <c r="C39" s="5" t="n"/>
      <c r="D39" s="5" t="n"/>
      <c r="E39" s="5" t="n"/>
      <c r="F39" s="5" t="n"/>
      <c r="G39" s="5" t="n"/>
      <c r="H39" s="15" t="n"/>
      <c r="I39" s="5" t="n"/>
      <c r="J39" s="5" t="n"/>
      <c r="K39" s="10">
        <f>IFERROR((B39-J39)/B39,0)</f>
        <v/>
      </c>
      <c r="L39" s="5" t="n"/>
    </row>
    <row r="40">
      <c r="A40" s="4" t="n"/>
      <c r="B40" s="4" t="n"/>
      <c r="C40" s="4" t="n"/>
      <c r="D40" s="4" t="n"/>
      <c r="E40" s="4" t="n"/>
      <c r="F40" s="4" t="n"/>
      <c r="G40" s="4" t="n"/>
      <c r="H40" s="13" t="n"/>
      <c r="I40" s="4" t="n"/>
      <c r="J40" s="4" t="n"/>
      <c r="K40" s="9">
        <f>IFERROR((B40-J40)/B40,0)</f>
        <v/>
      </c>
      <c r="L40" s="4" t="n"/>
    </row>
    <row r="41">
      <c r="A41" s="5" t="n"/>
      <c r="B41" s="5" t="n"/>
      <c r="C41" s="5" t="n"/>
      <c r="D41" s="5" t="n"/>
      <c r="E41" s="5" t="n"/>
      <c r="F41" s="5" t="n"/>
      <c r="G41" s="5" t="n"/>
      <c r="H41" s="15" t="n"/>
      <c r="I41" s="5" t="n"/>
      <c r="J41" s="5" t="n"/>
      <c r="K41" s="10">
        <f>IFERROR((B41-J41)/B41,0)</f>
        <v/>
      </c>
      <c r="L41" s="5" t="n"/>
    </row>
    <row r="42">
      <c r="A42" s="4" t="n"/>
      <c r="B42" s="4" t="n"/>
      <c r="C42" s="4" t="n"/>
      <c r="D42" s="4" t="n"/>
      <c r="E42" s="4" t="n"/>
      <c r="F42" s="4" t="n"/>
      <c r="G42" s="4" t="n"/>
      <c r="H42" s="13" t="n"/>
      <c r="I42" s="4" t="n"/>
      <c r="J42" s="4" t="n"/>
      <c r="K42" s="9">
        <f>IFERROR((B42-J42)/B42,0)</f>
        <v/>
      </c>
      <c r="L42" s="4" t="n"/>
    </row>
    <row r="43">
      <c r="A43" s="5" t="n"/>
      <c r="B43" s="5" t="n"/>
      <c r="C43" s="5" t="n"/>
      <c r="D43" s="5" t="n"/>
      <c r="E43" s="5" t="n"/>
      <c r="F43" s="5" t="n"/>
      <c r="G43" s="5" t="n"/>
      <c r="H43" s="15" t="n"/>
      <c r="I43" s="5" t="n"/>
      <c r="J43" s="5" t="n"/>
      <c r="K43" s="10">
        <f>IFERROR((B43-J43)/B43,0)</f>
        <v/>
      </c>
      <c r="L43" s="5" t="n"/>
    </row>
    <row r="44">
      <c r="A44" s="4" t="n"/>
      <c r="B44" s="4" t="n"/>
      <c r="C44" s="4" t="n"/>
      <c r="D44" s="4" t="n"/>
      <c r="E44" s="4" t="n"/>
      <c r="F44" s="4" t="n"/>
      <c r="G44" s="4" t="n"/>
      <c r="H44" s="13" t="n"/>
      <c r="I44" s="4" t="n"/>
      <c r="J44" s="4" t="n"/>
      <c r="K44" s="9">
        <f>IFERROR((B44-J44)/B44,0)</f>
        <v/>
      </c>
      <c r="L44" s="4" t="n"/>
    </row>
    <row r="45">
      <c r="A45" s="5" t="n"/>
      <c r="B45" s="5" t="n"/>
      <c r="C45" s="5" t="n"/>
      <c r="D45" s="5" t="n"/>
      <c r="E45" s="5" t="n"/>
      <c r="F45" s="5" t="n"/>
      <c r="G45" s="5" t="n"/>
      <c r="H45" s="15" t="n"/>
      <c r="I45" s="5" t="n"/>
      <c r="J45" s="5" t="n"/>
      <c r="K45" s="10">
        <f>IFERROR((B45-J45)/B45,0)</f>
        <v/>
      </c>
      <c r="L45" s="5" t="n"/>
    </row>
    <row r="46">
      <c r="A46" s="4" t="n"/>
      <c r="B46" s="4" t="n"/>
      <c r="C46" s="4" t="n"/>
      <c r="D46" s="4" t="n"/>
      <c r="E46" s="4" t="n"/>
      <c r="F46" s="4" t="n"/>
      <c r="G46" s="4" t="n"/>
      <c r="H46" s="13" t="n"/>
      <c r="I46" s="4" t="n"/>
      <c r="J46" s="4" t="n"/>
      <c r="K46" s="9">
        <f>IFERROR((B46-J46)/B46,0)</f>
        <v/>
      </c>
      <c r="L46" s="4" t="n"/>
    </row>
    <row r="47">
      <c r="A47" s="5" t="n"/>
      <c r="B47" s="5" t="n"/>
      <c r="C47" s="5" t="n"/>
      <c r="D47" s="5" t="n"/>
      <c r="E47" s="5" t="n"/>
      <c r="F47" s="5" t="n"/>
      <c r="G47" s="5" t="n"/>
      <c r="H47" s="15" t="n"/>
      <c r="I47" s="5" t="n"/>
      <c r="J47" s="5" t="n"/>
      <c r="K47" s="10">
        <f>IFERROR((B47-J47)/B47,0)</f>
        <v/>
      </c>
      <c r="L47" s="5" t="n"/>
    </row>
    <row r="48">
      <c r="A48" s="4" t="n"/>
      <c r="B48" s="4" t="n"/>
      <c r="C48" s="4" t="n"/>
      <c r="D48" s="4" t="n"/>
      <c r="E48" s="4" t="n"/>
      <c r="F48" s="4" t="n"/>
      <c r="G48" s="4" t="n"/>
      <c r="H48" s="13" t="n"/>
      <c r="I48" s="4" t="n"/>
      <c r="J48" s="4" t="n"/>
      <c r="K48" s="9">
        <f>IFERROR((B48-J48)/B48,0)</f>
        <v/>
      </c>
      <c r="L48" s="4" t="n"/>
    </row>
    <row r="49">
      <c r="A49" s="5" t="n"/>
      <c r="B49" s="5" t="n"/>
      <c r="C49" s="5" t="n"/>
      <c r="D49" s="5" t="n"/>
      <c r="E49" s="5" t="n"/>
      <c r="F49" s="5" t="n"/>
      <c r="G49" s="5" t="n"/>
      <c r="H49" s="15" t="n"/>
      <c r="I49" s="5" t="n"/>
      <c r="J49" s="5" t="n"/>
      <c r="K49" s="10">
        <f>IFERROR((B49-J49)/B49,0)</f>
        <v/>
      </c>
      <c r="L49" s="5" t="n"/>
    </row>
    <row r="50">
      <c r="A50" s="4" t="n"/>
      <c r="B50" s="4" t="n"/>
      <c r="C50" s="4" t="n"/>
      <c r="D50" s="4" t="n"/>
      <c r="E50" s="4" t="n"/>
      <c r="F50" s="4" t="n"/>
      <c r="G50" s="4" t="n"/>
      <c r="H50" s="13" t="n"/>
      <c r="I50" s="4" t="n"/>
      <c r="J50" s="4" t="n"/>
      <c r="K50" s="9">
        <f>IFERROR((B50-J50)/B50,0)</f>
        <v/>
      </c>
      <c r="L50" s="4" t="n"/>
    </row>
    <row r="51">
      <c r="A51" s="5" t="n"/>
      <c r="B51" s="5" t="n"/>
      <c r="C51" s="5" t="n"/>
      <c r="D51" s="5" t="n"/>
      <c r="E51" s="5" t="n"/>
      <c r="F51" s="5" t="n"/>
      <c r="G51" s="5" t="n"/>
      <c r="H51" s="15" t="n"/>
      <c r="I51" s="5" t="n"/>
      <c r="J51" s="5" t="n"/>
      <c r="K51" s="10">
        <f>IFERROR((B51-J51)/B51,0)</f>
        <v/>
      </c>
      <c r="L51" s="5" t="n"/>
    </row>
    <row r="52">
      <c r="A52" s="4" t="n"/>
      <c r="B52" s="4" t="n"/>
      <c r="C52" s="4" t="n"/>
      <c r="D52" s="4" t="n"/>
      <c r="E52" s="4" t="n"/>
      <c r="F52" s="4" t="n"/>
      <c r="G52" s="4" t="n"/>
      <c r="H52" s="13" t="n"/>
      <c r="I52" s="4" t="n"/>
      <c r="J52" s="4" t="n"/>
      <c r="K52" s="9">
        <f>IFERROR((B52-J52)/B52,0)</f>
        <v/>
      </c>
      <c r="L52" s="4" t="n"/>
    </row>
    <row r="53">
      <c r="A53" s="5" t="n"/>
      <c r="B53" s="5" t="n"/>
      <c r="C53" s="5" t="n"/>
      <c r="D53" s="5" t="n"/>
      <c r="E53" s="5" t="n"/>
      <c r="F53" s="5" t="n"/>
      <c r="G53" s="5" t="n"/>
      <c r="H53" s="15" t="n"/>
      <c r="I53" s="5" t="n"/>
      <c r="J53" s="5" t="n"/>
      <c r="K53" s="10">
        <f>IFERROR((B53-J53)/B53,0)</f>
        <v/>
      </c>
      <c r="L53" s="5" t="n"/>
    </row>
    <row r="54">
      <c r="A54" s="4" t="n"/>
      <c r="B54" s="4" t="n"/>
      <c r="C54" s="4" t="n"/>
      <c r="D54" s="4" t="n"/>
      <c r="E54" s="4" t="n"/>
      <c r="F54" s="4" t="n"/>
      <c r="G54" s="4" t="n"/>
      <c r="H54" s="13" t="n"/>
      <c r="I54" s="4" t="n"/>
      <c r="J54" s="4" t="n"/>
      <c r="K54" s="9">
        <f>IFERROR((B54-J54)/B54,0)</f>
        <v/>
      </c>
      <c r="L54" s="4" t="n"/>
    </row>
    <row r="55">
      <c r="A55" s="5" t="n"/>
      <c r="B55" s="5" t="n"/>
      <c r="C55" s="5" t="n"/>
      <c r="D55" s="5" t="n"/>
      <c r="E55" s="5" t="n"/>
      <c r="F55" s="5" t="n"/>
      <c r="G55" s="5" t="n"/>
      <c r="H55" s="15" t="n"/>
      <c r="I55" s="5" t="n"/>
      <c r="J55" s="5" t="n"/>
      <c r="K55" s="10">
        <f>IFERROR((B55-J55)/B55,0)</f>
        <v/>
      </c>
      <c r="L55" s="5" t="n"/>
    </row>
    <row r="56">
      <c r="A56" s="4" t="n"/>
      <c r="B56" s="4" t="n"/>
      <c r="C56" s="4" t="n"/>
      <c r="D56" s="4" t="n"/>
      <c r="E56" s="4" t="n"/>
      <c r="F56" s="4" t="n"/>
      <c r="G56" s="4" t="n"/>
      <c r="H56" s="13" t="n"/>
      <c r="I56" s="4" t="n"/>
      <c r="J56" s="4" t="n"/>
      <c r="K56" s="9">
        <f>IFERROR((B56-J56)/B56,0)</f>
        <v/>
      </c>
      <c r="L56" s="4" t="n"/>
    </row>
    <row r="57">
      <c r="A57" s="5" t="n"/>
      <c r="B57" s="5" t="n"/>
      <c r="C57" s="5" t="n"/>
      <c r="D57" s="5" t="n"/>
      <c r="E57" s="5" t="n"/>
      <c r="F57" s="5" t="n"/>
      <c r="G57" s="5" t="n"/>
      <c r="H57" s="15" t="n"/>
      <c r="I57" s="5" t="n"/>
      <c r="J57" s="5" t="n"/>
      <c r="K57" s="10">
        <f>IFERROR((B57-J57)/B57,0)</f>
        <v/>
      </c>
      <c r="L57" s="5" t="n"/>
    </row>
    <row r="58">
      <c r="A58" s="4" t="n"/>
      <c r="B58" s="4" t="n"/>
      <c r="C58" s="4" t="n"/>
      <c r="D58" s="4" t="n"/>
      <c r="E58" s="4" t="n"/>
      <c r="F58" s="4" t="n"/>
      <c r="G58" s="4" t="n"/>
      <c r="H58" s="13" t="n"/>
      <c r="I58" s="4" t="n"/>
      <c r="J58" s="4" t="n"/>
      <c r="K58" s="9">
        <f>IFERROR((B58-J58)/B58,0)</f>
        <v/>
      </c>
      <c r="L58" s="4" t="n"/>
    </row>
    <row r="59">
      <c r="A59" s="5" t="n"/>
      <c r="B59" s="5" t="n"/>
      <c r="C59" s="5" t="n"/>
      <c r="D59" s="5" t="n"/>
      <c r="E59" s="5" t="n"/>
      <c r="F59" s="5" t="n"/>
      <c r="G59" s="5" t="n"/>
      <c r="H59" s="15" t="n"/>
      <c r="I59" s="5" t="n"/>
      <c r="J59" s="5" t="n"/>
      <c r="K59" s="10">
        <f>IFERROR((B59-J59)/B59,0)</f>
        <v/>
      </c>
      <c r="L59" s="5" t="n"/>
    </row>
    <row r="60">
      <c r="A60" s="4" t="n"/>
      <c r="B60" s="4" t="n"/>
      <c r="C60" s="4" t="n"/>
      <c r="D60" s="4" t="n"/>
      <c r="E60" s="4" t="n"/>
      <c r="F60" s="4" t="n"/>
      <c r="G60" s="4" t="n"/>
      <c r="H60" s="13" t="n"/>
      <c r="I60" s="4" t="n"/>
      <c r="J60" s="4" t="n"/>
      <c r="K60" s="9">
        <f>IFERROR((B60-J60)/B60,0)</f>
        <v/>
      </c>
      <c r="L60" s="4" t="n"/>
    </row>
    <row r="61">
      <c r="A61" s="5" t="n"/>
      <c r="B61" s="5" t="n"/>
      <c r="C61" s="5" t="n"/>
      <c r="D61" s="5" t="n"/>
      <c r="E61" s="5" t="n"/>
      <c r="F61" s="5" t="n"/>
      <c r="G61" s="5" t="n"/>
      <c r="H61" s="15" t="n"/>
      <c r="I61" s="5" t="n"/>
      <c r="J61" s="5" t="n"/>
      <c r="K61" s="10">
        <f>IFERROR((B61-J61)/B61,0)</f>
        <v/>
      </c>
      <c r="L61" s="5" t="n"/>
    </row>
    <row r="62">
      <c r="A62" s="4" t="n"/>
      <c r="B62" s="4" t="n"/>
      <c r="C62" s="4" t="n"/>
      <c r="D62" s="4" t="n"/>
      <c r="E62" s="4" t="n"/>
      <c r="F62" s="4" t="n"/>
      <c r="G62" s="4" t="n"/>
      <c r="H62" s="13" t="n"/>
      <c r="I62" s="4" t="n"/>
      <c r="J62" s="4" t="n"/>
      <c r="K62" s="9">
        <f>IFERROR((B62-J62)/B62,0)</f>
        <v/>
      </c>
      <c r="L62" s="4" t="n"/>
    </row>
    <row r="63">
      <c r="A63" s="5" t="n"/>
      <c r="B63" s="5" t="n"/>
      <c r="C63" s="5" t="n"/>
      <c r="D63" s="5" t="n"/>
      <c r="E63" s="5" t="n"/>
      <c r="F63" s="5" t="n"/>
      <c r="G63" s="5" t="n"/>
      <c r="H63" s="15" t="n"/>
      <c r="I63" s="5" t="n"/>
      <c r="J63" s="5" t="n"/>
      <c r="K63" s="10">
        <f>IFERROR((B63-J63)/B63,0)</f>
        <v/>
      </c>
      <c r="L63" s="5" t="n"/>
    </row>
    <row r="64">
      <c r="A64" s="4" t="n"/>
      <c r="B64" s="4" t="n"/>
      <c r="C64" s="4" t="n"/>
      <c r="D64" s="4" t="n"/>
      <c r="E64" s="4" t="n"/>
      <c r="F64" s="4" t="n"/>
      <c r="G64" s="4" t="n"/>
      <c r="H64" s="13" t="n"/>
      <c r="I64" s="4" t="n"/>
      <c r="J64" s="4" t="n"/>
      <c r="K64" s="9">
        <f>IFERROR((B64-J64)/B64,0)</f>
        <v/>
      </c>
      <c r="L64" s="4" t="n"/>
    </row>
    <row r="65">
      <c r="A65" s="5" t="n"/>
      <c r="B65" s="5" t="n"/>
      <c r="C65" s="5" t="n"/>
      <c r="D65" s="5" t="n"/>
      <c r="E65" s="5" t="n"/>
      <c r="F65" s="5" t="n"/>
      <c r="G65" s="5" t="n"/>
      <c r="H65" s="15" t="n"/>
      <c r="I65" s="5" t="n"/>
      <c r="J65" s="5" t="n"/>
      <c r="K65" s="10">
        <f>IFERROR((B65-J65)/B65,0)</f>
        <v/>
      </c>
      <c r="L65" s="5" t="n"/>
    </row>
    <row r="66">
      <c r="A66" s="4" t="n"/>
      <c r="B66" s="4" t="n"/>
      <c r="C66" s="4" t="n"/>
      <c r="D66" s="4" t="n"/>
      <c r="E66" s="4" t="n"/>
      <c r="F66" s="4" t="n"/>
      <c r="G66" s="4" t="n"/>
      <c r="H66" s="13" t="n"/>
      <c r="I66" s="4" t="n"/>
      <c r="J66" s="4" t="n"/>
      <c r="K66" s="9">
        <f>IFERROR((B66-J66)/B66,0)</f>
        <v/>
      </c>
      <c r="L66" s="4" t="n"/>
    </row>
    <row r="67">
      <c r="A67" s="5" t="n"/>
      <c r="B67" s="5" t="n"/>
      <c r="C67" s="5" t="n"/>
      <c r="D67" s="5" t="n"/>
      <c r="E67" s="5" t="n"/>
      <c r="F67" s="5" t="n"/>
      <c r="G67" s="5" t="n"/>
      <c r="H67" s="15" t="n"/>
      <c r="I67" s="5" t="n"/>
      <c r="J67" s="5" t="n"/>
      <c r="K67" s="10">
        <f>IFERROR((B67-J67)/B67,0)</f>
        <v/>
      </c>
      <c r="L67" s="5" t="n"/>
    </row>
    <row r="68">
      <c r="A68" s="4" t="n"/>
      <c r="B68" s="4" t="n"/>
      <c r="C68" s="4" t="n"/>
      <c r="D68" s="4" t="n"/>
      <c r="E68" s="4" t="n"/>
      <c r="F68" s="4" t="n"/>
      <c r="G68" s="4" t="n"/>
      <c r="H68" s="13" t="n"/>
      <c r="I68" s="4" t="n"/>
      <c r="J68" s="4" t="n"/>
      <c r="K68" s="9">
        <f>IFERROR((B68-J68)/B68,0)</f>
        <v/>
      </c>
      <c r="L68" s="4" t="n"/>
    </row>
    <row r="69">
      <c r="A69" s="5" t="n"/>
      <c r="B69" s="5" t="n"/>
      <c r="C69" s="5" t="n"/>
      <c r="D69" s="5" t="n"/>
      <c r="E69" s="5" t="n"/>
      <c r="F69" s="5" t="n"/>
      <c r="G69" s="5" t="n"/>
      <c r="H69" s="15" t="n"/>
      <c r="I69" s="5" t="n"/>
      <c r="J69" s="5" t="n"/>
      <c r="K69" s="10">
        <f>IFERROR((B69-J69)/B69,0)</f>
        <v/>
      </c>
      <c r="L69" s="5" t="n"/>
    </row>
    <row r="70">
      <c r="A70" s="4" t="n"/>
      <c r="B70" s="4" t="n"/>
      <c r="C70" s="4" t="n"/>
      <c r="D70" s="4" t="n"/>
      <c r="E70" s="4" t="n"/>
      <c r="F70" s="4" t="n"/>
      <c r="G70" s="4" t="n"/>
      <c r="H70" s="13" t="n"/>
      <c r="I70" s="4" t="n"/>
      <c r="J70" s="4" t="n"/>
      <c r="K70" s="9">
        <f>IFERROR((B70-J70)/B70,0)</f>
        <v/>
      </c>
      <c r="L70" s="4" t="n"/>
    </row>
    <row r="71">
      <c r="A71" s="5" t="n"/>
      <c r="B71" s="5" t="n"/>
      <c r="C71" s="5" t="n"/>
      <c r="D71" s="5" t="n"/>
      <c r="E71" s="5" t="n"/>
      <c r="F71" s="5" t="n"/>
      <c r="G71" s="5" t="n"/>
      <c r="H71" s="15" t="n"/>
      <c r="I71" s="5" t="n"/>
      <c r="J71" s="5" t="n"/>
      <c r="K71" s="10">
        <f>IFERROR((B71-J71)/B71,0)</f>
        <v/>
      </c>
      <c r="L71" s="5" t="n"/>
    </row>
    <row r="72">
      <c r="A72" s="4" t="n"/>
      <c r="B72" s="4" t="n"/>
      <c r="C72" s="4" t="n"/>
      <c r="D72" s="4" t="n"/>
      <c r="E72" s="4" t="n"/>
      <c r="F72" s="4" t="n"/>
      <c r="G72" s="4" t="n"/>
      <c r="H72" s="13" t="n"/>
      <c r="I72" s="4" t="n"/>
      <c r="J72" s="4" t="n"/>
      <c r="K72" s="9">
        <f>IFERROR((B72-J72)/B72,0)</f>
        <v/>
      </c>
      <c r="L72" s="4" t="n"/>
    </row>
    <row r="73">
      <c r="A73" s="5" t="n"/>
      <c r="B73" s="5" t="n"/>
      <c r="C73" s="5" t="n"/>
      <c r="D73" s="5" t="n"/>
      <c r="E73" s="5" t="n"/>
      <c r="F73" s="5" t="n"/>
      <c r="G73" s="5" t="n"/>
      <c r="H73" s="15" t="n"/>
      <c r="I73" s="5" t="n"/>
      <c r="J73" s="5" t="n"/>
      <c r="K73" s="10">
        <f>IFERROR((B73-J73)/B73,0)</f>
        <v/>
      </c>
      <c r="L73" s="5" t="n"/>
    </row>
    <row r="74">
      <c r="A74" s="4" t="n"/>
      <c r="B74" s="4" t="n"/>
      <c r="C74" s="4" t="n"/>
      <c r="D74" s="4" t="n"/>
      <c r="E74" s="4" t="n"/>
      <c r="F74" s="4" t="n"/>
      <c r="G74" s="4" t="n"/>
      <c r="H74" s="13" t="n"/>
      <c r="I74" s="4" t="n"/>
      <c r="J74" s="4" t="n"/>
      <c r="K74" s="9">
        <f>IFERROR((B74-J74)/B74,0)</f>
        <v/>
      </c>
      <c r="L74" s="4" t="n"/>
    </row>
    <row r="75">
      <c r="A75" s="5" t="n"/>
      <c r="B75" s="5" t="n"/>
      <c r="C75" s="5" t="n"/>
      <c r="D75" s="5" t="n"/>
      <c r="E75" s="5" t="n"/>
      <c r="F75" s="5" t="n"/>
      <c r="G75" s="5" t="n"/>
      <c r="H75" s="15" t="n"/>
      <c r="I75" s="5" t="n"/>
      <c r="J75" s="5" t="n"/>
      <c r="K75" s="10">
        <f>IFERROR((B75-J75)/B75,0)</f>
        <v/>
      </c>
      <c r="L75" s="5" t="n"/>
    </row>
    <row r="76">
      <c r="A76" s="4" t="n"/>
      <c r="B76" s="4" t="n"/>
      <c r="C76" s="4" t="n"/>
      <c r="D76" s="4" t="n"/>
      <c r="E76" s="4" t="n"/>
      <c r="F76" s="4" t="n"/>
      <c r="G76" s="4" t="n"/>
      <c r="H76" s="13" t="n"/>
      <c r="I76" s="4" t="n"/>
      <c r="J76" s="4" t="n"/>
      <c r="K76" s="9">
        <f>IFERROR((B76-J76)/B76,0)</f>
        <v/>
      </c>
      <c r="L76" s="4" t="n"/>
    </row>
    <row r="77">
      <c r="A77" s="5" t="n"/>
      <c r="B77" s="5" t="n"/>
      <c r="C77" s="5" t="n"/>
      <c r="D77" s="5" t="n"/>
      <c r="E77" s="5" t="n"/>
      <c r="F77" s="5" t="n"/>
      <c r="G77" s="5" t="n"/>
      <c r="H77" s="15" t="n"/>
      <c r="I77" s="5" t="n"/>
      <c r="J77" s="5" t="n"/>
      <c r="K77" s="10">
        <f>IFERROR((B77-J77)/B77,0)</f>
        <v/>
      </c>
      <c r="L77" s="5" t="n"/>
    </row>
    <row r="78">
      <c r="A78" s="4" t="n"/>
      <c r="B78" s="4" t="n"/>
      <c r="C78" s="4" t="n"/>
      <c r="D78" s="4" t="n"/>
      <c r="E78" s="4" t="n"/>
      <c r="F78" s="4" t="n"/>
      <c r="G78" s="4" t="n"/>
      <c r="H78" s="13" t="n"/>
      <c r="I78" s="4" t="n"/>
      <c r="J78" s="4" t="n"/>
      <c r="K78" s="9">
        <f>IFERROR((B78-J78)/B78,0)</f>
        <v/>
      </c>
      <c r="L78" s="4" t="n"/>
    </row>
    <row r="79">
      <c r="A79" s="5" t="n"/>
      <c r="B79" s="5" t="n"/>
      <c r="C79" s="5" t="n"/>
      <c r="D79" s="5" t="n"/>
      <c r="E79" s="5" t="n"/>
      <c r="F79" s="5" t="n"/>
      <c r="G79" s="5" t="n"/>
      <c r="H79" s="15" t="n"/>
      <c r="I79" s="5" t="n"/>
      <c r="J79" s="5" t="n"/>
      <c r="K79" s="10">
        <f>IFERROR((B79-J79)/B79,0)</f>
        <v/>
      </c>
      <c r="L79" s="5" t="n"/>
    </row>
    <row r="80">
      <c r="A80" s="4" t="n"/>
      <c r="B80" s="4" t="n"/>
      <c r="C80" s="4" t="n"/>
      <c r="D80" s="4" t="n"/>
      <c r="E80" s="4" t="n"/>
      <c r="F80" s="4" t="n"/>
      <c r="G80" s="4" t="n"/>
      <c r="H80" s="13" t="n"/>
      <c r="I80" s="4" t="n"/>
      <c r="J80" s="4" t="n"/>
      <c r="K80" s="9">
        <f>IFERROR((B80-J80)/B80,0)</f>
        <v/>
      </c>
      <c r="L80" s="4" t="n"/>
    </row>
    <row r="81">
      <c r="A81" s="5" t="n"/>
      <c r="B81" s="5" t="n"/>
      <c r="C81" s="5" t="n"/>
      <c r="D81" s="5" t="n"/>
      <c r="E81" s="5" t="n"/>
      <c r="F81" s="5" t="n"/>
      <c r="G81" s="5" t="n"/>
      <c r="H81" s="15" t="n"/>
      <c r="I81" s="5" t="n"/>
      <c r="J81" s="5" t="n"/>
      <c r="K81" s="10">
        <f>IFERROR((B81-J81)/B81,0)</f>
        <v/>
      </c>
      <c r="L81" s="5" t="n"/>
    </row>
    <row r="82">
      <c r="A82" s="4" t="n"/>
      <c r="B82" s="4" t="n"/>
      <c r="C82" s="4" t="n"/>
      <c r="D82" s="4" t="n"/>
      <c r="E82" s="4" t="n"/>
      <c r="F82" s="4" t="n"/>
      <c r="G82" s="4" t="n"/>
      <c r="H82" s="13" t="n"/>
      <c r="I82" s="4" t="n"/>
      <c r="J82" s="4" t="n"/>
      <c r="K82" s="9">
        <f>IFERROR((B82-J82)/B82,0)</f>
        <v/>
      </c>
      <c r="L82" s="4" t="n"/>
    </row>
    <row r="83">
      <c r="A83" s="5" t="n"/>
      <c r="B83" s="5" t="n"/>
      <c r="C83" s="5" t="n"/>
      <c r="D83" s="5" t="n"/>
      <c r="E83" s="5" t="n"/>
      <c r="F83" s="5" t="n"/>
      <c r="G83" s="5" t="n"/>
      <c r="H83" s="15" t="n"/>
      <c r="I83" s="5" t="n"/>
      <c r="J83" s="5" t="n"/>
      <c r="K83" s="10">
        <f>IFERROR((B83-J83)/B83,0)</f>
        <v/>
      </c>
      <c r="L83" s="5" t="n"/>
    </row>
    <row r="84">
      <c r="A84" s="4" t="n"/>
      <c r="B84" s="4" t="n"/>
      <c r="C84" s="4" t="n"/>
      <c r="D84" s="4" t="n"/>
      <c r="E84" s="4" t="n"/>
      <c r="F84" s="4" t="n"/>
      <c r="G84" s="4" t="n"/>
      <c r="H84" s="13" t="n"/>
      <c r="I84" s="4" t="n"/>
      <c r="J84" s="4" t="n"/>
      <c r="K84" s="9">
        <f>IFERROR((B84-J84)/B84,0)</f>
        <v/>
      </c>
      <c r="L84" s="4" t="n"/>
    </row>
    <row r="85">
      <c r="A85" s="5" t="n"/>
      <c r="B85" s="5" t="n"/>
      <c r="C85" s="5" t="n"/>
      <c r="D85" s="5" t="n"/>
      <c r="E85" s="5" t="n"/>
      <c r="F85" s="5" t="n"/>
      <c r="G85" s="5" t="n"/>
      <c r="H85" s="15" t="n"/>
      <c r="I85" s="5" t="n"/>
      <c r="J85" s="5" t="n"/>
      <c r="K85" s="10">
        <f>IFERROR((B85-J85)/B85,0)</f>
        <v/>
      </c>
      <c r="L85" s="5" t="n"/>
    </row>
    <row r="86">
      <c r="A86" s="4" t="n"/>
      <c r="B86" s="4" t="n"/>
      <c r="C86" s="4" t="n"/>
      <c r="D86" s="4" t="n"/>
      <c r="E86" s="4" t="n"/>
      <c r="F86" s="4" t="n"/>
      <c r="G86" s="4" t="n"/>
      <c r="H86" s="13" t="n"/>
      <c r="I86" s="4" t="n"/>
      <c r="J86" s="4" t="n"/>
      <c r="K86" s="9">
        <f>IFERROR((B86-J86)/B86,0)</f>
        <v/>
      </c>
      <c r="L86" s="4" t="n"/>
    </row>
    <row r="87">
      <c r="A87" s="5" t="n"/>
      <c r="B87" s="5" t="n"/>
      <c r="C87" s="5" t="n"/>
      <c r="D87" s="5" t="n"/>
      <c r="E87" s="5" t="n"/>
      <c r="F87" s="5" t="n"/>
      <c r="G87" s="5" t="n"/>
      <c r="H87" s="15" t="n"/>
      <c r="I87" s="5" t="n"/>
      <c r="J87" s="5" t="n"/>
      <c r="K87" s="10">
        <f>IFERROR((B87-J87)/B87,0)</f>
        <v/>
      </c>
      <c r="L87" s="5" t="n"/>
    </row>
    <row r="88">
      <c r="A88" s="4" t="n"/>
      <c r="B88" s="4" t="n"/>
      <c r="C88" s="4" t="n"/>
      <c r="D88" s="4" t="n"/>
      <c r="E88" s="4" t="n"/>
      <c r="F88" s="4" t="n"/>
      <c r="G88" s="4" t="n"/>
      <c r="H88" s="13" t="n"/>
      <c r="I88" s="4" t="n"/>
      <c r="J88" s="4" t="n"/>
      <c r="K88" s="9">
        <f>IFERROR((B88-J88)/B88,0)</f>
        <v/>
      </c>
      <c r="L88" s="4" t="n"/>
    </row>
    <row r="89">
      <c r="A89" s="5" t="n"/>
      <c r="B89" s="5" t="n"/>
      <c r="C89" s="5" t="n"/>
      <c r="D89" s="5" t="n"/>
      <c r="E89" s="5" t="n"/>
      <c r="F89" s="5" t="n"/>
      <c r="G89" s="5" t="n"/>
      <c r="H89" s="15" t="n"/>
      <c r="I89" s="5" t="n"/>
      <c r="J89" s="5" t="n"/>
      <c r="K89" s="10">
        <f>IFERROR((B89-J89)/B89,0)</f>
        <v/>
      </c>
      <c r="L89" s="5" t="n"/>
    </row>
    <row r="90">
      <c r="A90" s="4" t="n"/>
      <c r="B90" s="4" t="n"/>
      <c r="C90" s="4" t="n"/>
      <c r="D90" s="4" t="n"/>
      <c r="E90" s="4" t="n"/>
      <c r="F90" s="4" t="n"/>
      <c r="G90" s="4" t="n"/>
      <c r="H90" s="13" t="n"/>
      <c r="I90" s="4" t="n"/>
      <c r="J90" s="4" t="n"/>
      <c r="K90" s="9">
        <f>IFERROR((B90-J90)/B90,0)</f>
        <v/>
      </c>
      <c r="L90" s="4" t="n"/>
    </row>
    <row r="91">
      <c r="A91" s="5" t="n"/>
      <c r="B91" s="5" t="n"/>
      <c r="C91" s="5" t="n"/>
      <c r="D91" s="5" t="n"/>
      <c r="E91" s="5" t="n"/>
      <c r="F91" s="5" t="n"/>
      <c r="G91" s="5" t="n"/>
      <c r="H91" s="15" t="n"/>
      <c r="I91" s="5" t="n"/>
      <c r="J91" s="5" t="n"/>
      <c r="K91" s="10">
        <f>IFERROR((B91-J91)/B91,0)</f>
        <v/>
      </c>
      <c r="L91" s="5" t="n"/>
    </row>
    <row r="92">
      <c r="A92" s="4" t="n"/>
      <c r="B92" s="4" t="n"/>
      <c r="C92" s="4" t="n"/>
      <c r="D92" s="4" t="n"/>
      <c r="E92" s="4" t="n"/>
      <c r="F92" s="4" t="n"/>
      <c r="G92" s="4" t="n"/>
      <c r="H92" s="13" t="n"/>
      <c r="I92" s="4" t="n"/>
      <c r="J92" s="4" t="n"/>
      <c r="K92" s="9">
        <f>IFERROR((B92-J92)/B92,0)</f>
        <v/>
      </c>
      <c r="L92" s="4" t="n"/>
    </row>
    <row r="93">
      <c r="A93" s="5" t="n"/>
      <c r="B93" s="5" t="n"/>
      <c r="C93" s="5" t="n"/>
      <c r="D93" s="5" t="n"/>
      <c r="E93" s="5" t="n"/>
      <c r="F93" s="5" t="n"/>
      <c r="G93" s="5" t="n"/>
      <c r="H93" s="15" t="n"/>
      <c r="I93" s="5" t="n"/>
      <c r="J93" s="5" t="n"/>
      <c r="K93" s="10">
        <f>IFERROR((B93-J93)/B93,0)</f>
        <v/>
      </c>
      <c r="L93" s="5" t="n"/>
    </row>
    <row r="94">
      <c r="A94" s="4" t="n"/>
      <c r="B94" s="4" t="n"/>
      <c r="C94" s="4" t="n"/>
      <c r="D94" s="4" t="n"/>
      <c r="E94" s="4" t="n"/>
      <c r="F94" s="4" t="n"/>
      <c r="G94" s="4" t="n"/>
      <c r="H94" s="13" t="n"/>
      <c r="I94" s="4" t="n"/>
      <c r="J94" s="4" t="n"/>
      <c r="K94" s="9">
        <f>IFERROR((B94-J94)/B94,0)</f>
        <v/>
      </c>
      <c r="L94" s="4" t="n"/>
    </row>
    <row r="95">
      <c r="A95" s="5" t="n"/>
      <c r="B95" s="5" t="n"/>
      <c r="C95" s="5" t="n"/>
      <c r="D95" s="5" t="n"/>
      <c r="E95" s="5" t="n"/>
      <c r="F95" s="5" t="n"/>
      <c r="G95" s="5" t="n"/>
      <c r="H95" s="15" t="n"/>
      <c r="I95" s="5" t="n"/>
      <c r="J95" s="5" t="n"/>
      <c r="K95" s="10">
        <f>IFERROR((B95-J95)/B95,0)</f>
        <v/>
      </c>
      <c r="L95" s="5" t="n"/>
    </row>
    <row r="96">
      <c r="A96" s="4" t="n"/>
      <c r="B96" s="4" t="n"/>
      <c r="C96" s="4" t="n"/>
      <c r="D96" s="4" t="n"/>
      <c r="E96" s="4" t="n"/>
      <c r="F96" s="4" t="n"/>
      <c r="G96" s="4" t="n"/>
      <c r="H96" s="13" t="n"/>
      <c r="I96" s="4" t="n"/>
      <c r="J96" s="4" t="n"/>
      <c r="K96" s="9">
        <f>IFERROR((B96-J96)/B96,0)</f>
        <v/>
      </c>
      <c r="L96" s="4" t="n"/>
    </row>
    <row r="97">
      <c r="A97" s="5" t="n"/>
      <c r="B97" s="5" t="n"/>
      <c r="C97" s="5" t="n"/>
      <c r="D97" s="5" t="n"/>
      <c r="E97" s="5" t="n"/>
      <c r="F97" s="5" t="n"/>
      <c r="G97" s="5" t="n"/>
      <c r="H97" s="15" t="n"/>
      <c r="I97" s="5" t="n"/>
      <c r="J97" s="5" t="n"/>
      <c r="K97" s="10">
        <f>IFERROR((B97-J97)/B97,0)</f>
        <v/>
      </c>
      <c r="L97" s="5" t="n"/>
    </row>
    <row r="98">
      <c r="A98" s="4" t="n"/>
      <c r="B98" s="4" t="n"/>
      <c r="C98" s="4" t="n"/>
      <c r="D98" s="4" t="n"/>
      <c r="E98" s="4" t="n"/>
      <c r="F98" s="4" t="n"/>
      <c r="G98" s="4" t="n"/>
      <c r="H98" s="13" t="n"/>
      <c r="I98" s="4" t="n"/>
      <c r="J98" s="4" t="n"/>
      <c r="K98" s="9">
        <f>IFERROR((B98-J98)/B98,0)</f>
        <v/>
      </c>
      <c r="L98" s="4" t="n"/>
    </row>
    <row r="99">
      <c r="A99" s="5" t="n"/>
      <c r="B99" s="5" t="n"/>
      <c r="C99" s="5" t="n"/>
      <c r="D99" s="5" t="n"/>
      <c r="E99" s="5" t="n"/>
      <c r="F99" s="5" t="n"/>
      <c r="G99" s="5" t="n"/>
      <c r="H99" s="15" t="n"/>
      <c r="I99" s="5" t="n"/>
      <c r="J99" s="5" t="n"/>
      <c r="K99" s="10">
        <f>IFERROR((B99-J99)/B99,0)</f>
        <v/>
      </c>
      <c r="L99" s="5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13" t="n"/>
      <c r="I100" s="4" t="n"/>
      <c r="J100" s="4" t="n"/>
      <c r="K100" s="9">
        <f>IFERROR((B100-J100)/B100,0)</f>
        <v/>
      </c>
      <c r="L100" s="4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15" t="n"/>
      <c r="I101" s="5" t="n"/>
      <c r="J101" s="5" t="n"/>
      <c r="K101" s="10">
        <f>IFERROR((B101-J101)/B101,0)</f>
        <v/>
      </c>
      <c r="L101" s="5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13" t="n"/>
      <c r="I102" s="4" t="n"/>
      <c r="J102" s="4" t="n"/>
      <c r="K102" s="9">
        <f>IFERROR((B102-J102)/B102,0)</f>
        <v/>
      </c>
      <c r="L102" s="4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15" t="n"/>
      <c r="I103" s="5" t="n"/>
      <c r="J103" s="5" t="n"/>
      <c r="K103" s="10">
        <f>IFERROR((B103-J103)/B103,0)</f>
        <v/>
      </c>
      <c r="L103" s="5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13" t="n"/>
      <c r="I104" s="4" t="n"/>
      <c r="J104" s="4" t="n"/>
      <c r="K104" s="9">
        <f>IFERROR((B104-J104)/B104,0)</f>
        <v/>
      </c>
      <c r="L104" s="4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15" t="n"/>
      <c r="I105" s="5" t="n"/>
      <c r="J105" s="5" t="n"/>
      <c r="K105" s="10">
        <f>IFERROR((B105-J105)/B105,0)</f>
        <v/>
      </c>
      <c r="L105" s="5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13" t="n"/>
      <c r="I106" s="4" t="n"/>
      <c r="J106" s="4" t="n"/>
      <c r="K106" s="9">
        <f>IFERROR((B106-J106)/B106,0)</f>
        <v/>
      </c>
      <c r="L106" s="4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15" t="n"/>
      <c r="I107" s="5" t="n"/>
      <c r="J107" s="5" t="n"/>
      <c r="K107" s="10">
        <f>IFERROR((B107-J107)/B107,0)</f>
        <v/>
      </c>
      <c r="L107" s="5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13" t="n"/>
      <c r="I108" s="4" t="n"/>
      <c r="J108" s="4" t="n"/>
      <c r="K108" s="9">
        <f>IFERROR((B108-J108)/B108,0)</f>
        <v/>
      </c>
      <c r="L108" s="4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15" t="n"/>
      <c r="I109" s="5" t="n"/>
      <c r="J109" s="5" t="n"/>
      <c r="K109" s="10">
        <f>IFERROR((B109-J109)/B109,0)</f>
        <v/>
      </c>
      <c r="L109" s="5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13" t="n"/>
      <c r="I110" s="4" t="n"/>
      <c r="J110" s="4" t="n"/>
      <c r="K110" s="9">
        <f>IFERROR((B110-J110)/B110,0)</f>
        <v/>
      </c>
      <c r="L110" s="4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15" t="n"/>
      <c r="I111" s="5" t="n"/>
      <c r="J111" s="5" t="n"/>
      <c r="K111" s="10">
        <f>IFERROR((B111-J111)/B111,0)</f>
        <v/>
      </c>
      <c r="L111" s="5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13" t="n"/>
      <c r="I112" s="4" t="n"/>
      <c r="J112" s="4" t="n"/>
      <c r="K112" s="9">
        <f>IFERROR((B112-J112)/B112,0)</f>
        <v/>
      </c>
      <c r="L112" s="4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15" t="n"/>
      <c r="I113" s="5" t="n"/>
      <c r="J113" s="5" t="n"/>
      <c r="K113" s="10">
        <f>IFERROR((B113-J113)/B113,0)</f>
        <v/>
      </c>
      <c r="L113" s="5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13" t="n"/>
      <c r="I114" s="4" t="n"/>
      <c r="J114" s="4" t="n"/>
      <c r="K114" s="9">
        <f>IFERROR((B114-J114)/B114,0)</f>
        <v/>
      </c>
      <c r="L114" s="4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15" t="n"/>
      <c r="I115" s="5" t="n"/>
      <c r="J115" s="5" t="n"/>
      <c r="K115" s="10">
        <f>IFERROR((B115-J115)/B115,0)</f>
        <v/>
      </c>
      <c r="L115" s="5" t="n"/>
    </row>
  </sheetData>
  <mergeCells count="2">
    <mergeCell ref="A3:P3"/>
    <mergeCell ref="A2:P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18" customWidth="1" min="7" max="7"/>
    <col width="10" customWidth="1" min="8" max="8"/>
    <col width="22" customWidth="1" min="9" max="9"/>
    <col width="18" customWidth="1" min="10" max="10"/>
    <col width="22" customWidth="1" min="11" max="11"/>
    <col width="18" customWidth="1" min="12" max="12"/>
    <col width="16" customWidth="1" min="13" max="13"/>
  </cols>
  <sheetData>
    <row r="2" ht="25" customHeight="1">
      <c r="A2" s="1" t="inlineStr">
        <is>
          <t>DOMAINE 28 — ANALYSE DES COÛTS PAR DÉPARTEMENT</t>
        </is>
      </c>
    </row>
    <row r="3" ht="18" customHeight="1">
      <c r="A3" s="2" t="inlineStr">
        <is>
          <t>Ventilation des coûts de mobilité et de carrière par département</t>
        </is>
      </c>
    </row>
    <row r="5">
      <c r="A5" s="3" t="inlineStr">
        <is>
          <t>Département</t>
        </is>
      </c>
      <c r="B5" s="3" t="inlineStr">
        <is>
          <t>Coût Formation (FCFA)</t>
        </is>
      </c>
      <c r="C5" s="3" t="inlineStr">
        <is>
          <t>Coût Mobilité (FCFA)</t>
        </is>
      </c>
      <c r="D5" s="3" t="inlineStr">
        <is>
          <t>Coût Coaching (FCFA)</t>
        </is>
      </c>
      <c r="E5" s="3" t="inlineStr">
        <is>
          <t>Coût Expatriation (FCFA)</t>
        </is>
      </c>
      <c r="F5" s="3" t="inlineStr">
        <is>
          <t>Coût Évaluation (FCFA)</t>
        </is>
      </c>
      <c r="G5" s="3" t="inlineStr">
        <is>
          <t>Total Coûts (FCFA)</t>
        </is>
      </c>
      <c r="H5" s="3" t="inlineStr">
        <is>
          <t>Effectif</t>
        </is>
      </c>
      <c r="I5" s="3" t="inlineStr">
        <is>
          <t>Coût Moyen/Personne (FCFA)</t>
        </is>
      </c>
      <c r="J5" s="3" t="inlineStr">
        <is>
          <t>% du Budget Total</t>
        </is>
      </c>
      <c r="K5" s="3" t="inlineStr">
        <is>
          <t>Écart vs Budget (FCFA)</t>
        </is>
      </c>
      <c r="L5" s="3" t="inlineStr">
        <is>
          <t>Écart vs Budget (%)</t>
        </is>
      </c>
      <c r="M5" s="3" t="inlineStr">
        <is>
          <t>Tendance</t>
        </is>
      </c>
    </row>
    <row r="6">
      <c r="A6" s="4" t="inlineStr">
        <is>
          <t>Direction Générale</t>
        </is>
      </c>
      <c r="B6" s="13" t="n">
        <v>8000000</v>
      </c>
      <c r="C6" s="13" t="n">
        <v>0</v>
      </c>
      <c r="D6" s="13" t="n">
        <v>3000000</v>
      </c>
      <c r="E6" s="13" t="n">
        <v>0</v>
      </c>
      <c r="F6" s="13" t="n">
        <v>200000</v>
      </c>
      <c r="G6" s="13">
        <f>SUM(B6:F6)</f>
        <v/>
      </c>
      <c r="H6" s="4" t="n">
        <v>3</v>
      </c>
      <c r="I6" s="13">
        <f>IFERROR(G6/H6,0)</f>
        <v/>
      </c>
      <c r="J6" s="9">
        <f>IFERROR(G6/SUM(G$6:G$11),0)</f>
        <v/>
      </c>
      <c r="K6" s="13" t="n">
        <v>8000000</v>
      </c>
      <c r="L6" s="13">
        <f>K6-G6</f>
        <v/>
      </c>
      <c r="M6" s="9">
        <f>IFERROR(L6/K6,0)</f>
        <v/>
      </c>
    </row>
    <row r="7">
      <c r="A7" s="5" t="inlineStr">
        <is>
          <t>Ressources Humaines</t>
        </is>
      </c>
      <c r="B7" s="15" t="n">
        <v>5000000</v>
      </c>
      <c r="C7" s="15" t="n">
        <v>500000</v>
      </c>
      <c r="D7" s="15" t="n">
        <v>1500000</v>
      </c>
      <c r="E7" s="15" t="n">
        <v>3500000</v>
      </c>
      <c r="F7" s="15" t="n">
        <v>150000</v>
      </c>
      <c r="G7" s="15">
        <f>SUM(B7:F7)</f>
        <v/>
      </c>
      <c r="H7" s="5" t="n">
        <v>4</v>
      </c>
      <c r="I7" s="15">
        <f>IFERROR(G7/H7,0)</f>
        <v/>
      </c>
      <c r="J7" s="10">
        <f>IFERROR(G7/SUM(G$6:G$11),0)</f>
        <v/>
      </c>
      <c r="K7" s="15" t="n">
        <v>6000000</v>
      </c>
      <c r="L7" s="15">
        <f>K7-G7</f>
        <v/>
      </c>
      <c r="M7" s="10">
        <f>IFERROR(L7/K7,0)</f>
        <v/>
      </c>
    </row>
    <row r="8">
      <c r="A8" s="4" t="inlineStr">
        <is>
          <t>Finance &amp; Comptabilité</t>
        </is>
      </c>
      <c r="B8" s="13" t="n">
        <v>3000000</v>
      </c>
      <c r="C8" s="13" t="n">
        <v>0</v>
      </c>
      <c r="D8" s="13" t="n">
        <v>1000000</v>
      </c>
      <c r="E8" s="13" t="n">
        <v>12000000</v>
      </c>
      <c r="F8" s="13" t="n">
        <v>100000</v>
      </c>
      <c r="G8" s="13">
        <f>SUM(B8:F8)</f>
        <v/>
      </c>
      <c r="H8" s="4" t="n">
        <v>3</v>
      </c>
      <c r="I8" s="13">
        <f>IFERROR(G8/H8,0)</f>
        <v/>
      </c>
      <c r="J8" s="9">
        <f>IFERROR(G8/SUM(G$6:G$11),0)</f>
        <v/>
      </c>
      <c r="K8" s="13" t="n">
        <v>10000000</v>
      </c>
      <c r="L8" s="13">
        <f>K8-G8</f>
        <v/>
      </c>
      <c r="M8" s="9">
        <f>IFERROR(L8/K8,0)</f>
        <v/>
      </c>
    </row>
    <row r="9">
      <c r="A9" s="5" t="inlineStr">
        <is>
          <t>Cuisine &amp; Restauration</t>
        </is>
      </c>
      <c r="B9" s="15" t="n">
        <v>700000</v>
      </c>
      <c r="C9" s="15" t="n">
        <v>300000</v>
      </c>
      <c r="D9" s="15" t="n">
        <v>0</v>
      </c>
      <c r="E9" s="15" t="n">
        <v>0</v>
      </c>
      <c r="F9" s="15" t="n">
        <v>50000</v>
      </c>
      <c r="G9" s="15">
        <f>SUM(B9:F9)</f>
        <v/>
      </c>
      <c r="H9" s="5" t="n">
        <v>2</v>
      </c>
      <c r="I9" s="15">
        <f>IFERROR(G9/H9,0)</f>
        <v/>
      </c>
      <c r="J9" s="10">
        <f>IFERROR(G9/SUM(G$6:G$11),0)</f>
        <v/>
      </c>
      <c r="K9" s="15" t="n">
        <v>2000000</v>
      </c>
      <c r="L9" s="15">
        <f>K9-G9</f>
        <v/>
      </c>
      <c r="M9" s="10">
        <f>IFERROR(L9/K9,0)</f>
        <v/>
      </c>
    </row>
    <row r="10">
      <c r="A10" s="4" t="inlineStr">
        <is>
          <t>Réception &amp; Front Office</t>
        </is>
      </c>
      <c r="B10" s="13" t="n">
        <v>1200000</v>
      </c>
      <c r="C10" s="13" t="n">
        <v>400000</v>
      </c>
      <c r="D10" s="13" t="n">
        <v>500000</v>
      </c>
      <c r="E10" s="13" t="n">
        <v>0</v>
      </c>
      <c r="F10" s="13" t="n">
        <v>80000</v>
      </c>
      <c r="G10" s="13">
        <f>SUM(B10:F10)</f>
        <v/>
      </c>
      <c r="H10" s="4" t="n">
        <v>3</v>
      </c>
      <c r="I10" s="13">
        <f>IFERROR(G10/H10,0)</f>
        <v/>
      </c>
      <c r="J10" s="9">
        <f>IFERROR(G10/SUM(G$6:G$11),0)</f>
        <v/>
      </c>
      <c r="K10" s="13" t="n">
        <v>3000000</v>
      </c>
      <c r="L10" s="13">
        <f>K10-G10</f>
        <v/>
      </c>
      <c r="M10" s="9">
        <f>IFERROR(L10/K10,0)</f>
        <v/>
      </c>
    </row>
    <row r="11">
      <c r="A11" s="5" t="inlineStr">
        <is>
          <t>Maintenance &amp; Technique</t>
        </is>
      </c>
      <c r="B11" s="15" t="n">
        <v>800000</v>
      </c>
      <c r="C11" s="15" t="n">
        <v>200000</v>
      </c>
      <c r="D11" s="15" t="n">
        <v>300000</v>
      </c>
      <c r="E11" s="15" t="n">
        <v>0</v>
      </c>
      <c r="F11" s="15" t="n">
        <v>70000</v>
      </c>
      <c r="G11" s="15">
        <f>SUM(B11:F11)</f>
        <v/>
      </c>
      <c r="H11" s="5" t="n">
        <v>2</v>
      </c>
      <c r="I11" s="15">
        <f>IFERROR(G11/H11,0)</f>
        <v/>
      </c>
      <c r="J11" s="10">
        <f>IFERROR(G11/SUM(G$6:G$11),0)</f>
        <v/>
      </c>
      <c r="K11" s="15" t="n">
        <v>1500000</v>
      </c>
      <c r="L11" s="15">
        <f>K11-G11</f>
        <v/>
      </c>
      <c r="M11" s="10">
        <f>IFERROR(L11/K11,0)</f>
        <v/>
      </c>
    </row>
    <row r="12">
      <c r="A12" s="4" t="n"/>
      <c r="B12" s="13" t="n"/>
      <c r="C12" s="13" t="n"/>
      <c r="D12" s="13" t="n"/>
      <c r="E12" s="13" t="n"/>
      <c r="F12" s="13" t="n"/>
      <c r="G12" s="13">
        <f>SUM(B12:F12)</f>
        <v/>
      </c>
      <c r="H12" s="4" t="n"/>
      <c r="I12" s="13">
        <f>IFERROR(G12/H12,0)</f>
        <v/>
      </c>
      <c r="J12" s="9">
        <f>IFERROR(G12/SUM(G$6:G$11),0)</f>
        <v/>
      </c>
      <c r="K12" s="13" t="n"/>
      <c r="L12" s="13">
        <f>K12-G12</f>
        <v/>
      </c>
      <c r="M12" s="9">
        <f>IFERROR(L12/K12,0)</f>
        <v/>
      </c>
      <c r="N12">
        <f>IF(M12="","",IF(M12&gt;0,"Sous-budget",IF(M12&lt;0,"Sur-budget","Au budget")))</f>
        <v/>
      </c>
    </row>
    <row r="13">
      <c r="A13" s="5" t="n"/>
      <c r="B13" s="15" t="n"/>
      <c r="C13" s="15" t="n"/>
      <c r="D13" s="15" t="n"/>
      <c r="E13" s="15" t="n"/>
      <c r="F13" s="15" t="n"/>
      <c r="G13" s="15">
        <f>SUM(B13:F13)</f>
        <v/>
      </c>
      <c r="H13" s="5" t="n"/>
      <c r="I13" s="15">
        <f>IFERROR(G13/H13,0)</f>
        <v/>
      </c>
      <c r="J13" s="10">
        <f>IFERROR(G13/SUM(G$6:G$11),0)</f>
        <v/>
      </c>
      <c r="K13" s="15" t="n"/>
      <c r="L13" s="15">
        <f>K13-G13</f>
        <v/>
      </c>
      <c r="M13" s="10">
        <f>IFERROR(L13/K13,0)</f>
        <v/>
      </c>
      <c r="N13">
        <f>IF(M13="","",IF(M13&gt;0,"Sous-budget",IF(M13&lt;0,"Sur-budget","Au budget")))</f>
        <v/>
      </c>
    </row>
    <row r="14">
      <c r="A14" s="4" t="n"/>
      <c r="B14" s="13" t="n"/>
      <c r="C14" s="13" t="n"/>
      <c r="D14" s="13" t="n"/>
      <c r="E14" s="13" t="n"/>
      <c r="F14" s="13" t="n"/>
      <c r="G14" s="13">
        <f>SUM(B14:F14)</f>
        <v/>
      </c>
      <c r="H14" s="4" t="n"/>
      <c r="I14" s="13">
        <f>IFERROR(G14/H14,0)</f>
        <v/>
      </c>
      <c r="J14" s="9">
        <f>IFERROR(G14/SUM(G$6:G$11),0)</f>
        <v/>
      </c>
      <c r="K14" s="13" t="n"/>
      <c r="L14" s="13">
        <f>K14-G14</f>
        <v/>
      </c>
      <c r="M14" s="9">
        <f>IFERROR(L14/K14,0)</f>
        <v/>
      </c>
      <c r="N14">
        <f>IF(M14="","",IF(M14&gt;0,"Sous-budget",IF(M14&lt;0,"Sur-budget","Au budget")))</f>
        <v/>
      </c>
    </row>
    <row r="15">
      <c r="A15" s="5" t="n"/>
      <c r="B15" s="15" t="n"/>
      <c r="C15" s="15" t="n"/>
      <c r="D15" s="15" t="n"/>
      <c r="E15" s="15" t="n"/>
      <c r="F15" s="15" t="n"/>
      <c r="G15" s="15">
        <f>SUM(B15:F15)</f>
        <v/>
      </c>
      <c r="H15" s="5" t="n"/>
      <c r="I15" s="15">
        <f>IFERROR(G15/H15,0)</f>
        <v/>
      </c>
      <c r="J15" s="10">
        <f>IFERROR(G15/SUM(G$6:G$11),0)</f>
        <v/>
      </c>
      <c r="K15" s="15" t="n"/>
      <c r="L15" s="15">
        <f>K15-G15</f>
        <v/>
      </c>
      <c r="M15" s="10">
        <f>IFERROR(L15/K15,0)</f>
        <v/>
      </c>
      <c r="N15">
        <f>IF(M15="","",IF(M15&gt;0,"Sous-budget",IF(M15&lt;0,"Sur-budget","Au budget")))</f>
        <v/>
      </c>
    </row>
    <row r="16">
      <c r="A16" s="4" t="n"/>
      <c r="B16" s="13" t="n"/>
      <c r="C16" s="13" t="n"/>
      <c r="D16" s="13" t="n"/>
      <c r="E16" s="13" t="n"/>
      <c r="F16" s="13" t="n"/>
      <c r="G16" s="13">
        <f>SUM(B16:F16)</f>
        <v/>
      </c>
      <c r="H16" s="4" t="n"/>
      <c r="I16" s="13">
        <f>IFERROR(G16/H16,0)</f>
        <v/>
      </c>
      <c r="J16" s="9">
        <f>IFERROR(G16/SUM(G$6:G$11),0)</f>
        <v/>
      </c>
      <c r="K16" s="13" t="n"/>
      <c r="L16" s="13">
        <f>K16-G16</f>
        <v/>
      </c>
      <c r="M16" s="9">
        <f>IFERROR(L16/K16,0)</f>
        <v/>
      </c>
      <c r="N16">
        <f>IF(M16="","",IF(M16&gt;0,"Sous-budget",IF(M16&lt;0,"Sur-budget","Au budget")))</f>
        <v/>
      </c>
    </row>
    <row r="17">
      <c r="A17" s="5" t="n"/>
      <c r="B17" s="15" t="n"/>
      <c r="C17" s="15" t="n"/>
      <c r="D17" s="15" t="n"/>
      <c r="E17" s="15" t="n"/>
      <c r="F17" s="15" t="n"/>
      <c r="G17" s="15">
        <f>SUM(B17:F17)</f>
        <v/>
      </c>
      <c r="H17" s="5" t="n"/>
      <c r="I17" s="15">
        <f>IFERROR(G17/H17,0)</f>
        <v/>
      </c>
      <c r="J17" s="10">
        <f>IFERROR(G17/SUM(G$6:G$11),0)</f>
        <v/>
      </c>
      <c r="K17" s="15" t="n"/>
      <c r="L17" s="15">
        <f>K17-G17</f>
        <v/>
      </c>
      <c r="M17" s="10">
        <f>IFERROR(L17/K17,0)</f>
        <v/>
      </c>
      <c r="N17">
        <f>IF(M17="","",IF(M17&gt;0,"Sous-budget",IF(M17&lt;0,"Sur-budget","Au budget")))</f>
        <v/>
      </c>
    </row>
    <row r="18">
      <c r="A18" s="4" t="n"/>
      <c r="B18" s="13" t="n"/>
      <c r="C18" s="13" t="n"/>
      <c r="D18" s="13" t="n"/>
      <c r="E18" s="13" t="n"/>
      <c r="F18" s="13" t="n"/>
      <c r="G18" s="13">
        <f>SUM(B18:F18)</f>
        <v/>
      </c>
      <c r="H18" s="4" t="n"/>
      <c r="I18" s="13">
        <f>IFERROR(G18/H18,0)</f>
        <v/>
      </c>
      <c r="J18" s="9">
        <f>IFERROR(G18/SUM(G$6:G$11),0)</f>
        <v/>
      </c>
      <c r="K18" s="13" t="n"/>
      <c r="L18" s="13">
        <f>K18-G18</f>
        <v/>
      </c>
      <c r="M18" s="9">
        <f>IFERROR(L18/K18,0)</f>
        <v/>
      </c>
      <c r="N18">
        <f>IF(M18="","",IF(M18&gt;0,"Sous-budget",IF(M18&lt;0,"Sur-budget","Au budget")))</f>
        <v/>
      </c>
    </row>
    <row r="19">
      <c r="A19" s="5" t="n"/>
      <c r="B19" s="15" t="n"/>
      <c r="C19" s="15" t="n"/>
      <c r="D19" s="15" t="n"/>
      <c r="E19" s="15" t="n"/>
      <c r="F19" s="15" t="n"/>
      <c r="G19" s="15">
        <f>SUM(B19:F19)</f>
        <v/>
      </c>
      <c r="H19" s="5" t="n"/>
      <c r="I19" s="15">
        <f>IFERROR(G19/H19,0)</f>
        <v/>
      </c>
      <c r="J19" s="10">
        <f>IFERROR(G19/SUM(G$6:G$11),0)</f>
        <v/>
      </c>
      <c r="K19" s="15" t="n"/>
      <c r="L19" s="15">
        <f>K19-G19</f>
        <v/>
      </c>
      <c r="M19" s="10">
        <f>IFERROR(L19/K19,0)</f>
        <v/>
      </c>
      <c r="N19">
        <f>IF(M19="","",IF(M19&gt;0,"Sous-budget",IF(M19&lt;0,"Sur-budget","Au budget")))</f>
        <v/>
      </c>
    </row>
    <row r="20">
      <c r="A20" s="4" t="n"/>
      <c r="B20" s="13" t="n"/>
      <c r="C20" s="13" t="n"/>
      <c r="D20" s="13" t="n"/>
      <c r="E20" s="13" t="n"/>
      <c r="F20" s="13" t="n"/>
      <c r="G20" s="13">
        <f>SUM(B20:F20)</f>
        <v/>
      </c>
      <c r="H20" s="4" t="n"/>
      <c r="I20" s="13">
        <f>IFERROR(G20/H20,0)</f>
        <v/>
      </c>
      <c r="J20" s="9">
        <f>IFERROR(G20/SUM(G$6:G$11),0)</f>
        <v/>
      </c>
      <c r="K20" s="13" t="n"/>
      <c r="L20" s="13">
        <f>K20-G20</f>
        <v/>
      </c>
      <c r="M20" s="9">
        <f>IFERROR(L20/K20,0)</f>
        <v/>
      </c>
      <c r="N20">
        <f>IF(M20="","",IF(M20&gt;0,"Sous-budget",IF(M20&lt;0,"Sur-budget","Au budget")))</f>
        <v/>
      </c>
    </row>
    <row r="21">
      <c r="A21" s="5" t="n"/>
      <c r="B21" s="15" t="n"/>
      <c r="C21" s="15" t="n"/>
      <c r="D21" s="15" t="n"/>
      <c r="E21" s="15" t="n"/>
      <c r="F21" s="15" t="n"/>
      <c r="G21" s="15">
        <f>SUM(B21:F21)</f>
        <v/>
      </c>
      <c r="H21" s="5" t="n"/>
      <c r="I21" s="15">
        <f>IFERROR(G21/H21,0)</f>
        <v/>
      </c>
      <c r="J21" s="10">
        <f>IFERROR(G21/SUM(G$6:G$11),0)</f>
        <v/>
      </c>
      <c r="K21" s="15" t="n"/>
      <c r="L21" s="15">
        <f>K21-G21</f>
        <v/>
      </c>
      <c r="M21" s="10">
        <f>IFERROR(L21/K21,0)</f>
        <v/>
      </c>
      <c r="N21">
        <f>IF(M21="","",IF(M21&gt;0,"Sous-budget",IF(M21&lt;0,"Sur-budget","Au budget")))</f>
        <v/>
      </c>
    </row>
    <row r="22">
      <c r="A22" s="4" t="n"/>
      <c r="B22" s="13" t="n"/>
      <c r="C22" s="13" t="n"/>
      <c r="D22" s="13" t="n"/>
      <c r="E22" s="13" t="n"/>
      <c r="F22" s="13" t="n"/>
      <c r="G22" s="13">
        <f>SUM(B22:F22)</f>
        <v/>
      </c>
      <c r="H22" s="4" t="n"/>
      <c r="I22" s="13">
        <f>IFERROR(G22/H22,0)</f>
        <v/>
      </c>
      <c r="J22" s="9">
        <f>IFERROR(G22/SUM(G$6:G$11),0)</f>
        <v/>
      </c>
      <c r="K22" s="13" t="n"/>
      <c r="L22" s="13">
        <f>K22-G22</f>
        <v/>
      </c>
      <c r="M22" s="9">
        <f>IFERROR(L22/K22,0)</f>
        <v/>
      </c>
      <c r="N22">
        <f>IF(M22="","",IF(M22&gt;0,"Sous-budget",IF(M22&lt;0,"Sur-budget","Au budget")))</f>
        <v/>
      </c>
    </row>
    <row r="23">
      <c r="A23" s="5" t="n"/>
      <c r="B23" s="15" t="n"/>
      <c r="C23" s="15" t="n"/>
      <c r="D23" s="15" t="n"/>
      <c r="E23" s="15" t="n"/>
      <c r="F23" s="15" t="n"/>
      <c r="G23" s="15">
        <f>SUM(B23:F23)</f>
        <v/>
      </c>
      <c r="H23" s="5" t="n"/>
      <c r="I23" s="15">
        <f>IFERROR(G23/H23,0)</f>
        <v/>
      </c>
      <c r="J23" s="10">
        <f>IFERROR(G23/SUM(G$6:G$11),0)</f>
        <v/>
      </c>
      <c r="K23" s="15" t="n"/>
      <c r="L23" s="15">
        <f>K23-G23</f>
        <v/>
      </c>
      <c r="M23" s="10">
        <f>IFERROR(L23/K23,0)</f>
        <v/>
      </c>
      <c r="N23">
        <f>IF(M23="","",IF(M23&gt;0,"Sous-budget",IF(M23&lt;0,"Sur-budget","Au budget")))</f>
        <v/>
      </c>
    </row>
    <row r="24">
      <c r="A24" s="4" t="n"/>
      <c r="B24" s="13" t="n"/>
      <c r="C24" s="13" t="n"/>
      <c r="D24" s="13" t="n"/>
      <c r="E24" s="13" t="n"/>
      <c r="F24" s="13" t="n"/>
      <c r="G24" s="13">
        <f>SUM(B24:F24)</f>
        <v/>
      </c>
      <c r="H24" s="4" t="n"/>
      <c r="I24" s="13">
        <f>IFERROR(G24/H24,0)</f>
        <v/>
      </c>
      <c r="J24" s="9">
        <f>IFERROR(G24/SUM(G$6:G$11),0)</f>
        <v/>
      </c>
      <c r="K24" s="13" t="n"/>
      <c r="L24" s="13">
        <f>K24-G24</f>
        <v/>
      </c>
      <c r="M24" s="9">
        <f>IFERROR(L24/K24,0)</f>
        <v/>
      </c>
      <c r="N24">
        <f>IF(M24="","",IF(M24&gt;0,"Sous-budget",IF(M24&lt;0,"Sur-budget","Au budget")))</f>
        <v/>
      </c>
    </row>
    <row r="25">
      <c r="A25" s="5" t="n"/>
      <c r="B25" s="15" t="n"/>
      <c r="C25" s="15" t="n"/>
      <c r="D25" s="15" t="n"/>
      <c r="E25" s="15" t="n"/>
      <c r="F25" s="15" t="n"/>
      <c r="G25" s="15">
        <f>SUM(B25:F25)</f>
        <v/>
      </c>
      <c r="H25" s="5" t="n"/>
      <c r="I25" s="15">
        <f>IFERROR(G25/H25,0)</f>
        <v/>
      </c>
      <c r="J25" s="10">
        <f>IFERROR(G25/SUM(G$6:G$11),0)</f>
        <v/>
      </c>
      <c r="K25" s="15" t="n"/>
      <c r="L25" s="15">
        <f>K25-G25</f>
        <v/>
      </c>
      <c r="M25" s="10">
        <f>IFERROR(L25/K25,0)</f>
        <v/>
      </c>
      <c r="N25">
        <f>IF(M25="","",IF(M25&gt;0,"Sous-budget",IF(M25&lt;0,"Sur-budget","Au budget")))</f>
        <v/>
      </c>
    </row>
    <row r="26">
      <c r="A26" s="4" t="n"/>
      <c r="B26" s="13" t="n"/>
      <c r="C26" s="13" t="n"/>
      <c r="D26" s="13" t="n"/>
      <c r="E26" s="13" t="n"/>
      <c r="F26" s="13" t="n"/>
      <c r="G26" s="13">
        <f>SUM(B26:F26)</f>
        <v/>
      </c>
      <c r="H26" s="4" t="n"/>
      <c r="I26" s="13">
        <f>IFERROR(G26/H26,0)</f>
        <v/>
      </c>
      <c r="J26" s="9">
        <f>IFERROR(G26/SUM(G$6:G$11),0)</f>
        <v/>
      </c>
      <c r="K26" s="13" t="n"/>
      <c r="L26" s="13">
        <f>K26-G26</f>
        <v/>
      </c>
      <c r="M26" s="9">
        <f>IFERROR(L26/K26,0)</f>
        <v/>
      </c>
      <c r="N26">
        <f>IF(M26="","",IF(M26&gt;0,"Sous-budget",IF(M26&lt;0,"Sur-budget","Au budget")))</f>
        <v/>
      </c>
    </row>
    <row r="27">
      <c r="A27" s="5" t="n"/>
      <c r="B27" s="15" t="n"/>
      <c r="C27" s="15" t="n"/>
      <c r="D27" s="15" t="n"/>
      <c r="E27" s="15" t="n"/>
      <c r="F27" s="15" t="n"/>
      <c r="G27" s="15">
        <f>SUM(B27:F27)</f>
        <v/>
      </c>
      <c r="H27" s="5" t="n"/>
      <c r="I27" s="15">
        <f>IFERROR(G27/H27,0)</f>
        <v/>
      </c>
      <c r="J27" s="10">
        <f>IFERROR(G27/SUM(G$6:G$11),0)</f>
        <v/>
      </c>
      <c r="K27" s="15" t="n"/>
      <c r="L27" s="15">
        <f>K27-G27</f>
        <v/>
      </c>
      <c r="M27" s="10">
        <f>IFERROR(L27/K27,0)</f>
        <v/>
      </c>
      <c r="N27">
        <f>IF(M27="","",IF(M27&gt;0,"Sous-budget",IF(M27&lt;0,"Sur-budget","Au budget")))</f>
        <v/>
      </c>
    </row>
    <row r="28">
      <c r="A28" s="4" t="n"/>
      <c r="B28" s="13" t="n"/>
      <c r="C28" s="13" t="n"/>
      <c r="D28" s="13" t="n"/>
      <c r="E28" s="13" t="n"/>
      <c r="F28" s="13" t="n"/>
      <c r="G28" s="13">
        <f>SUM(B28:F28)</f>
        <v/>
      </c>
      <c r="H28" s="4" t="n"/>
      <c r="I28" s="13">
        <f>IFERROR(G28/H28,0)</f>
        <v/>
      </c>
      <c r="J28" s="9">
        <f>IFERROR(G28/SUM(G$6:G$11),0)</f>
        <v/>
      </c>
      <c r="K28" s="13" t="n"/>
      <c r="L28" s="13">
        <f>K28-G28</f>
        <v/>
      </c>
      <c r="M28" s="9">
        <f>IFERROR(L28/K28,0)</f>
        <v/>
      </c>
      <c r="N28">
        <f>IF(M28="","",IF(M28&gt;0,"Sous-budget",IF(M28&lt;0,"Sur-budget","Au budget")))</f>
        <v/>
      </c>
    </row>
    <row r="29">
      <c r="A29" s="5" t="n"/>
      <c r="B29" s="15" t="n"/>
      <c r="C29" s="15" t="n"/>
      <c r="D29" s="15" t="n"/>
      <c r="E29" s="15" t="n"/>
      <c r="F29" s="15" t="n"/>
      <c r="G29" s="15">
        <f>SUM(B29:F29)</f>
        <v/>
      </c>
      <c r="H29" s="5" t="n"/>
      <c r="I29" s="15">
        <f>IFERROR(G29/H29,0)</f>
        <v/>
      </c>
      <c r="J29" s="10">
        <f>IFERROR(G29/SUM(G$6:G$11),0)</f>
        <v/>
      </c>
      <c r="K29" s="15" t="n"/>
      <c r="L29" s="15">
        <f>K29-G29</f>
        <v/>
      </c>
      <c r="M29" s="10">
        <f>IFERROR(L29/K29,0)</f>
        <v/>
      </c>
      <c r="N29">
        <f>IF(M29="","",IF(M29&gt;0,"Sous-budget",IF(M29&lt;0,"Sur-budget","Au budget")))</f>
        <v/>
      </c>
    </row>
    <row r="30">
      <c r="A30" s="4" t="n"/>
      <c r="B30" s="13" t="n"/>
      <c r="C30" s="13" t="n"/>
      <c r="D30" s="13" t="n"/>
      <c r="E30" s="13" t="n"/>
      <c r="F30" s="13" t="n"/>
      <c r="G30" s="13">
        <f>SUM(B30:F30)</f>
        <v/>
      </c>
      <c r="H30" s="4" t="n"/>
      <c r="I30" s="13">
        <f>IFERROR(G30/H30,0)</f>
        <v/>
      </c>
      <c r="J30" s="9">
        <f>IFERROR(G30/SUM(G$6:G$11),0)</f>
        <v/>
      </c>
      <c r="K30" s="13" t="n"/>
      <c r="L30" s="13">
        <f>K30-G30</f>
        <v/>
      </c>
      <c r="M30" s="9">
        <f>IFERROR(L30/K30,0)</f>
        <v/>
      </c>
      <c r="N30">
        <f>IF(M30="","",IF(M30&gt;0,"Sous-budget",IF(M30&lt;0,"Sur-budget","Au budget")))</f>
        <v/>
      </c>
    </row>
    <row r="31">
      <c r="A31" s="5" t="n"/>
      <c r="B31" s="15" t="n"/>
      <c r="C31" s="15" t="n"/>
      <c r="D31" s="15" t="n"/>
      <c r="E31" s="15" t="n"/>
      <c r="F31" s="15" t="n"/>
      <c r="G31" s="15">
        <f>SUM(B31:F31)</f>
        <v/>
      </c>
      <c r="H31" s="5" t="n"/>
      <c r="I31" s="15">
        <f>IFERROR(G31/H31,0)</f>
        <v/>
      </c>
      <c r="J31" s="10">
        <f>IFERROR(G31/SUM(G$6:G$11),0)</f>
        <v/>
      </c>
      <c r="K31" s="15" t="n"/>
      <c r="L31" s="15">
        <f>K31-G31</f>
        <v/>
      </c>
      <c r="M31" s="10">
        <f>IFERROR(L31/K31,0)</f>
        <v/>
      </c>
      <c r="N31">
        <f>IF(M31="","",IF(M31&gt;0,"Sous-budget",IF(M31&lt;0,"Sur-budget","Au budget")))</f>
        <v/>
      </c>
    </row>
    <row r="32">
      <c r="A32" s="4" t="n"/>
      <c r="B32" s="13" t="n"/>
      <c r="C32" s="13" t="n"/>
      <c r="D32" s="13" t="n"/>
      <c r="E32" s="13" t="n"/>
      <c r="F32" s="13" t="n"/>
      <c r="G32" s="13">
        <f>SUM(B32:F32)</f>
        <v/>
      </c>
      <c r="H32" s="4" t="n"/>
      <c r="I32" s="13">
        <f>IFERROR(G32/H32,0)</f>
        <v/>
      </c>
      <c r="J32" s="9">
        <f>IFERROR(G32/SUM(G$6:G$11),0)</f>
        <v/>
      </c>
      <c r="K32" s="13" t="n"/>
      <c r="L32" s="13">
        <f>K32-G32</f>
        <v/>
      </c>
      <c r="M32" s="9">
        <f>IFERROR(L32/K32,0)</f>
        <v/>
      </c>
      <c r="N32">
        <f>IF(M32="","",IF(M32&gt;0,"Sous-budget",IF(M32&lt;0,"Sur-budget","Au budget")))</f>
        <v/>
      </c>
    </row>
    <row r="33">
      <c r="A33" s="5" t="n"/>
      <c r="B33" s="15" t="n"/>
      <c r="C33" s="15" t="n"/>
      <c r="D33" s="15" t="n"/>
      <c r="E33" s="15" t="n"/>
      <c r="F33" s="15" t="n"/>
      <c r="G33" s="15">
        <f>SUM(B33:F33)</f>
        <v/>
      </c>
      <c r="H33" s="5" t="n"/>
      <c r="I33" s="15">
        <f>IFERROR(G33/H33,0)</f>
        <v/>
      </c>
      <c r="J33" s="10">
        <f>IFERROR(G33/SUM(G$6:G$11),0)</f>
        <v/>
      </c>
      <c r="K33" s="15" t="n"/>
      <c r="L33" s="15">
        <f>K33-G33</f>
        <v/>
      </c>
      <c r="M33" s="10">
        <f>IFERROR(L33/K33,0)</f>
        <v/>
      </c>
      <c r="N33">
        <f>IF(M33="","",IF(M33&gt;0,"Sous-budget",IF(M33&lt;0,"Sur-budget","Au budget")))</f>
        <v/>
      </c>
    </row>
    <row r="34">
      <c r="A34" s="4" t="n"/>
      <c r="B34" s="13" t="n"/>
      <c r="C34" s="13" t="n"/>
      <c r="D34" s="13" t="n"/>
      <c r="E34" s="13" t="n"/>
      <c r="F34" s="13" t="n"/>
      <c r="G34" s="13">
        <f>SUM(B34:F34)</f>
        <v/>
      </c>
      <c r="H34" s="4" t="n"/>
      <c r="I34" s="13">
        <f>IFERROR(G34/H34,0)</f>
        <v/>
      </c>
      <c r="J34" s="9">
        <f>IFERROR(G34/SUM(G$6:G$11),0)</f>
        <v/>
      </c>
      <c r="K34" s="13" t="n"/>
      <c r="L34" s="13">
        <f>K34-G34</f>
        <v/>
      </c>
      <c r="M34" s="9">
        <f>IFERROR(L34/K34,0)</f>
        <v/>
      </c>
      <c r="N34">
        <f>IF(M34="","",IF(M34&gt;0,"Sous-budget",IF(M34&lt;0,"Sur-budget","Au budget")))</f>
        <v/>
      </c>
    </row>
    <row r="35">
      <c r="A35" s="5" t="n"/>
      <c r="B35" s="15" t="n"/>
      <c r="C35" s="15" t="n"/>
      <c r="D35" s="15" t="n"/>
      <c r="E35" s="15" t="n"/>
      <c r="F35" s="15" t="n"/>
      <c r="G35" s="15">
        <f>SUM(B35:F35)</f>
        <v/>
      </c>
      <c r="H35" s="5" t="n"/>
      <c r="I35" s="15">
        <f>IFERROR(G35/H35,0)</f>
        <v/>
      </c>
      <c r="J35" s="10">
        <f>IFERROR(G35/SUM(G$6:G$11),0)</f>
        <v/>
      </c>
      <c r="K35" s="15" t="n"/>
      <c r="L35" s="15">
        <f>K35-G35</f>
        <v/>
      </c>
      <c r="M35" s="10">
        <f>IFERROR(L35/K35,0)</f>
        <v/>
      </c>
      <c r="N35">
        <f>IF(M35="","",IF(M35&gt;0,"Sous-budget",IF(M35&lt;0,"Sur-budget","Au budget")))</f>
        <v/>
      </c>
    </row>
    <row r="36">
      <c r="A36" s="4" t="n"/>
      <c r="B36" s="13" t="n"/>
      <c r="C36" s="13" t="n"/>
      <c r="D36" s="13" t="n"/>
      <c r="E36" s="13" t="n"/>
      <c r="F36" s="13" t="n"/>
      <c r="G36" s="13">
        <f>SUM(B36:F36)</f>
        <v/>
      </c>
      <c r="H36" s="4" t="n"/>
      <c r="I36" s="13">
        <f>IFERROR(G36/H36,0)</f>
        <v/>
      </c>
      <c r="J36" s="9">
        <f>IFERROR(G36/SUM(G$6:G$11),0)</f>
        <v/>
      </c>
      <c r="K36" s="13" t="n"/>
      <c r="L36" s="13">
        <f>K36-G36</f>
        <v/>
      </c>
      <c r="M36" s="9">
        <f>IFERROR(L36/K36,0)</f>
        <v/>
      </c>
      <c r="N36">
        <f>IF(M36="","",IF(M36&gt;0,"Sous-budget",IF(M36&lt;0,"Sur-budget","Au budget")))</f>
        <v/>
      </c>
    </row>
    <row r="37">
      <c r="A37" s="5" t="n"/>
      <c r="B37" s="15" t="n"/>
      <c r="C37" s="15" t="n"/>
      <c r="D37" s="15" t="n"/>
      <c r="E37" s="15" t="n"/>
      <c r="F37" s="15" t="n"/>
      <c r="G37" s="15">
        <f>SUM(B37:F37)</f>
        <v/>
      </c>
      <c r="H37" s="5" t="n"/>
      <c r="I37" s="15">
        <f>IFERROR(G37/H37,0)</f>
        <v/>
      </c>
      <c r="J37" s="10">
        <f>IFERROR(G37/SUM(G$6:G$11),0)</f>
        <v/>
      </c>
      <c r="K37" s="15" t="n"/>
      <c r="L37" s="15">
        <f>K37-G37</f>
        <v/>
      </c>
      <c r="M37" s="10">
        <f>IFERROR(L37/K37,0)</f>
        <v/>
      </c>
      <c r="N37">
        <f>IF(M37="","",IF(M37&gt;0,"Sous-budget",IF(M37&lt;0,"Sur-budget","Au budget")))</f>
        <v/>
      </c>
    </row>
    <row r="38">
      <c r="A38" s="4" t="n"/>
      <c r="B38" s="13" t="n"/>
      <c r="C38" s="13" t="n"/>
      <c r="D38" s="13" t="n"/>
      <c r="E38" s="13" t="n"/>
      <c r="F38" s="13" t="n"/>
      <c r="G38" s="13">
        <f>SUM(B38:F38)</f>
        <v/>
      </c>
      <c r="H38" s="4" t="n"/>
      <c r="I38" s="13">
        <f>IFERROR(G38/H38,0)</f>
        <v/>
      </c>
      <c r="J38" s="9">
        <f>IFERROR(G38/SUM(G$6:G$11),0)</f>
        <v/>
      </c>
      <c r="K38" s="13" t="n"/>
      <c r="L38" s="13">
        <f>K38-G38</f>
        <v/>
      </c>
      <c r="M38" s="9">
        <f>IFERROR(L38/K38,0)</f>
        <v/>
      </c>
      <c r="N38">
        <f>IF(M38="","",IF(M38&gt;0,"Sous-budget",IF(M38&lt;0,"Sur-budget","Au budget")))</f>
        <v/>
      </c>
    </row>
    <row r="39">
      <c r="A39" s="5" t="n"/>
      <c r="B39" s="15" t="n"/>
      <c r="C39" s="15" t="n"/>
      <c r="D39" s="15" t="n"/>
      <c r="E39" s="15" t="n"/>
      <c r="F39" s="15" t="n"/>
      <c r="G39" s="15">
        <f>SUM(B39:F39)</f>
        <v/>
      </c>
      <c r="H39" s="5" t="n"/>
      <c r="I39" s="15">
        <f>IFERROR(G39/H39,0)</f>
        <v/>
      </c>
      <c r="J39" s="10">
        <f>IFERROR(G39/SUM(G$6:G$11),0)</f>
        <v/>
      </c>
      <c r="K39" s="15" t="n"/>
      <c r="L39" s="15">
        <f>K39-G39</f>
        <v/>
      </c>
      <c r="M39" s="10">
        <f>IFERROR(L39/K39,0)</f>
        <v/>
      </c>
      <c r="N39">
        <f>IF(M39="","",IF(M39&gt;0,"Sous-budget",IF(M39&lt;0,"Sur-budget","Au budget")))</f>
        <v/>
      </c>
    </row>
    <row r="40">
      <c r="A40" s="4" t="n"/>
      <c r="B40" s="13" t="n"/>
      <c r="C40" s="13" t="n"/>
      <c r="D40" s="13" t="n"/>
      <c r="E40" s="13" t="n"/>
      <c r="F40" s="13" t="n"/>
      <c r="G40" s="13">
        <f>SUM(B40:F40)</f>
        <v/>
      </c>
      <c r="H40" s="4" t="n"/>
      <c r="I40" s="13">
        <f>IFERROR(G40/H40,0)</f>
        <v/>
      </c>
      <c r="J40" s="9">
        <f>IFERROR(G40/SUM(G$6:G$11),0)</f>
        <v/>
      </c>
      <c r="K40" s="13" t="n"/>
      <c r="L40" s="13">
        <f>K40-G40</f>
        <v/>
      </c>
      <c r="M40" s="9">
        <f>IFERROR(L40/K40,0)</f>
        <v/>
      </c>
      <c r="N40">
        <f>IF(M40="","",IF(M40&gt;0,"Sous-budget",IF(M40&lt;0,"Sur-budget","Au budget")))</f>
        <v/>
      </c>
    </row>
    <row r="41">
      <c r="A41" s="5" t="n"/>
      <c r="B41" s="15" t="n"/>
      <c r="C41" s="15" t="n"/>
      <c r="D41" s="15" t="n"/>
      <c r="E41" s="15" t="n"/>
      <c r="F41" s="15" t="n"/>
      <c r="G41" s="15">
        <f>SUM(B41:F41)</f>
        <v/>
      </c>
      <c r="H41" s="5" t="n"/>
      <c r="I41" s="15">
        <f>IFERROR(G41/H41,0)</f>
        <v/>
      </c>
      <c r="J41" s="10">
        <f>IFERROR(G41/SUM(G$6:G$11),0)</f>
        <v/>
      </c>
      <c r="K41" s="15" t="n"/>
      <c r="L41" s="15">
        <f>K41-G41</f>
        <v/>
      </c>
      <c r="M41" s="10">
        <f>IFERROR(L41/K41,0)</f>
        <v/>
      </c>
      <c r="N41">
        <f>IF(M41="","",IF(M41&gt;0,"Sous-budget",IF(M41&lt;0,"Sur-budget","Au budget")))</f>
        <v/>
      </c>
    </row>
    <row r="42">
      <c r="A42" s="4" t="n"/>
      <c r="B42" s="13" t="n"/>
      <c r="C42" s="13" t="n"/>
      <c r="D42" s="13" t="n"/>
      <c r="E42" s="13" t="n"/>
      <c r="F42" s="13" t="n"/>
      <c r="G42" s="13">
        <f>SUM(B42:F42)</f>
        <v/>
      </c>
      <c r="H42" s="4" t="n"/>
      <c r="I42" s="13">
        <f>IFERROR(G42/H42,0)</f>
        <v/>
      </c>
      <c r="J42" s="9">
        <f>IFERROR(G42/SUM(G$6:G$11),0)</f>
        <v/>
      </c>
      <c r="K42" s="13" t="n"/>
      <c r="L42" s="13">
        <f>K42-G42</f>
        <v/>
      </c>
      <c r="M42" s="9">
        <f>IFERROR(L42/K42,0)</f>
        <v/>
      </c>
      <c r="N42">
        <f>IF(M42="","",IF(M42&gt;0,"Sous-budget",IF(M42&lt;0,"Sur-budget","Au budget")))</f>
        <v/>
      </c>
    </row>
    <row r="43">
      <c r="A43" s="5" t="n"/>
      <c r="B43" s="15" t="n"/>
      <c r="C43" s="15" t="n"/>
      <c r="D43" s="15" t="n"/>
      <c r="E43" s="15" t="n"/>
      <c r="F43" s="15" t="n"/>
      <c r="G43" s="15">
        <f>SUM(B43:F43)</f>
        <v/>
      </c>
      <c r="H43" s="5" t="n"/>
      <c r="I43" s="15">
        <f>IFERROR(G43/H43,0)</f>
        <v/>
      </c>
      <c r="J43" s="10">
        <f>IFERROR(G43/SUM(G$6:G$11),0)</f>
        <v/>
      </c>
      <c r="K43" s="15" t="n"/>
      <c r="L43" s="15">
        <f>K43-G43</f>
        <v/>
      </c>
      <c r="M43" s="10">
        <f>IFERROR(L43/K43,0)</f>
        <v/>
      </c>
      <c r="N43">
        <f>IF(M43="","",IF(M43&gt;0,"Sous-budget",IF(M43&lt;0,"Sur-budget","Au budget")))</f>
        <v/>
      </c>
    </row>
    <row r="44">
      <c r="A44" s="4" t="n"/>
      <c r="B44" s="13" t="n"/>
      <c r="C44" s="13" t="n"/>
      <c r="D44" s="13" t="n"/>
      <c r="E44" s="13" t="n"/>
      <c r="F44" s="13" t="n"/>
      <c r="G44" s="13">
        <f>SUM(B44:F44)</f>
        <v/>
      </c>
      <c r="H44" s="4" t="n"/>
      <c r="I44" s="13">
        <f>IFERROR(G44/H44,0)</f>
        <v/>
      </c>
      <c r="J44" s="9">
        <f>IFERROR(G44/SUM(G$6:G$11),0)</f>
        <v/>
      </c>
      <c r="K44" s="13" t="n"/>
      <c r="L44" s="13">
        <f>K44-G44</f>
        <v/>
      </c>
      <c r="M44" s="9">
        <f>IFERROR(L44/K44,0)</f>
        <v/>
      </c>
      <c r="N44">
        <f>IF(M44="","",IF(M44&gt;0,"Sous-budget",IF(M44&lt;0,"Sur-budget","Au budget")))</f>
        <v/>
      </c>
    </row>
    <row r="45">
      <c r="A45" s="5" t="n"/>
      <c r="B45" s="15" t="n"/>
      <c r="C45" s="15" t="n"/>
      <c r="D45" s="15" t="n"/>
      <c r="E45" s="15" t="n"/>
      <c r="F45" s="15" t="n"/>
      <c r="G45" s="15">
        <f>SUM(B45:F45)</f>
        <v/>
      </c>
      <c r="H45" s="5" t="n"/>
      <c r="I45" s="15">
        <f>IFERROR(G45/H45,0)</f>
        <v/>
      </c>
      <c r="J45" s="10">
        <f>IFERROR(G45/SUM(G$6:G$11),0)</f>
        <v/>
      </c>
      <c r="K45" s="15" t="n"/>
      <c r="L45" s="15">
        <f>K45-G45</f>
        <v/>
      </c>
      <c r="M45" s="10">
        <f>IFERROR(L45/K45,0)</f>
        <v/>
      </c>
      <c r="N45">
        <f>IF(M45="","",IF(M45&gt;0,"Sous-budget",IF(M45&lt;0,"Sur-budget","Au budget")))</f>
        <v/>
      </c>
    </row>
    <row r="46">
      <c r="A46" s="4" t="n"/>
      <c r="B46" s="13" t="n"/>
      <c r="C46" s="13" t="n"/>
      <c r="D46" s="13" t="n"/>
      <c r="E46" s="13" t="n"/>
      <c r="F46" s="13" t="n"/>
      <c r="G46" s="13">
        <f>SUM(B46:F46)</f>
        <v/>
      </c>
      <c r="H46" s="4" t="n"/>
      <c r="I46" s="13">
        <f>IFERROR(G46/H46,0)</f>
        <v/>
      </c>
      <c r="J46" s="9">
        <f>IFERROR(G46/SUM(G$6:G$11),0)</f>
        <v/>
      </c>
      <c r="K46" s="13" t="n"/>
      <c r="L46" s="13">
        <f>K46-G46</f>
        <v/>
      </c>
      <c r="M46" s="9">
        <f>IFERROR(L46/K46,0)</f>
        <v/>
      </c>
      <c r="N46">
        <f>IF(M46="","",IF(M46&gt;0,"Sous-budget",IF(M46&lt;0,"Sur-budget","Au budget")))</f>
        <v/>
      </c>
    </row>
    <row r="47">
      <c r="A47" s="5" t="n"/>
      <c r="B47" s="15" t="n"/>
      <c r="C47" s="15" t="n"/>
      <c r="D47" s="15" t="n"/>
      <c r="E47" s="15" t="n"/>
      <c r="F47" s="15" t="n"/>
      <c r="G47" s="15">
        <f>SUM(B47:F47)</f>
        <v/>
      </c>
      <c r="H47" s="5" t="n"/>
      <c r="I47" s="15">
        <f>IFERROR(G47/H47,0)</f>
        <v/>
      </c>
      <c r="J47" s="10">
        <f>IFERROR(G47/SUM(G$6:G$11),0)</f>
        <v/>
      </c>
      <c r="K47" s="15" t="n"/>
      <c r="L47" s="15">
        <f>K47-G47</f>
        <v/>
      </c>
      <c r="M47" s="10">
        <f>IFERROR(L47/K47,0)</f>
        <v/>
      </c>
      <c r="N47">
        <f>IF(M47="","",IF(M47&gt;0,"Sous-budget",IF(M47&lt;0,"Sur-budget","Au budget")))</f>
        <v/>
      </c>
    </row>
    <row r="48">
      <c r="A48" s="4" t="n"/>
      <c r="B48" s="13" t="n"/>
      <c r="C48" s="13" t="n"/>
      <c r="D48" s="13" t="n"/>
      <c r="E48" s="13" t="n"/>
      <c r="F48" s="13" t="n"/>
      <c r="G48" s="13">
        <f>SUM(B48:F48)</f>
        <v/>
      </c>
      <c r="H48" s="4" t="n"/>
      <c r="I48" s="13">
        <f>IFERROR(G48/H48,0)</f>
        <v/>
      </c>
      <c r="J48" s="9">
        <f>IFERROR(G48/SUM(G$6:G$11),0)</f>
        <v/>
      </c>
      <c r="K48" s="13" t="n"/>
      <c r="L48" s="13">
        <f>K48-G48</f>
        <v/>
      </c>
      <c r="M48" s="9">
        <f>IFERROR(L48/K48,0)</f>
        <v/>
      </c>
      <c r="N48">
        <f>IF(M48="","",IF(M48&gt;0,"Sous-budget",IF(M48&lt;0,"Sur-budget","Au budget")))</f>
        <v/>
      </c>
    </row>
    <row r="49">
      <c r="A49" s="5" t="n"/>
      <c r="B49" s="15" t="n"/>
      <c r="C49" s="15" t="n"/>
      <c r="D49" s="15" t="n"/>
      <c r="E49" s="15" t="n"/>
      <c r="F49" s="15" t="n"/>
      <c r="G49" s="15">
        <f>SUM(B49:F49)</f>
        <v/>
      </c>
      <c r="H49" s="5" t="n"/>
      <c r="I49" s="15">
        <f>IFERROR(G49/H49,0)</f>
        <v/>
      </c>
      <c r="J49" s="10">
        <f>IFERROR(G49/SUM(G$6:G$11),0)</f>
        <v/>
      </c>
      <c r="K49" s="15" t="n"/>
      <c r="L49" s="15">
        <f>K49-G49</f>
        <v/>
      </c>
      <c r="M49" s="10">
        <f>IFERROR(L49/K49,0)</f>
        <v/>
      </c>
      <c r="N49">
        <f>IF(M49="","",IF(M49&gt;0,"Sous-budget",IF(M49&lt;0,"Sur-budget","Au budget")))</f>
        <v/>
      </c>
    </row>
    <row r="50">
      <c r="A50" s="4" t="n"/>
      <c r="B50" s="13" t="n"/>
      <c r="C50" s="13" t="n"/>
      <c r="D50" s="13" t="n"/>
      <c r="E50" s="13" t="n"/>
      <c r="F50" s="13" t="n"/>
      <c r="G50" s="13">
        <f>SUM(B50:F50)</f>
        <v/>
      </c>
      <c r="H50" s="4" t="n"/>
      <c r="I50" s="13">
        <f>IFERROR(G50/H50,0)</f>
        <v/>
      </c>
      <c r="J50" s="9">
        <f>IFERROR(G50/SUM(G$6:G$11),0)</f>
        <v/>
      </c>
      <c r="K50" s="13" t="n"/>
      <c r="L50" s="13">
        <f>K50-G50</f>
        <v/>
      </c>
      <c r="M50" s="9">
        <f>IFERROR(L50/K50,0)</f>
        <v/>
      </c>
      <c r="N50">
        <f>IF(M50="","",IF(M50&gt;0,"Sous-budget",IF(M50&lt;0,"Sur-budget","Au budget")))</f>
        <v/>
      </c>
    </row>
    <row r="51">
      <c r="A51" s="5" t="n"/>
      <c r="B51" s="15" t="n"/>
      <c r="C51" s="15" t="n"/>
      <c r="D51" s="15" t="n"/>
      <c r="E51" s="15" t="n"/>
      <c r="F51" s="15" t="n"/>
      <c r="G51" s="15">
        <f>SUM(B51:F51)</f>
        <v/>
      </c>
      <c r="H51" s="5" t="n"/>
      <c r="I51" s="15">
        <f>IFERROR(G51/H51,0)</f>
        <v/>
      </c>
      <c r="J51" s="10">
        <f>IFERROR(G51/SUM(G$6:G$11),0)</f>
        <v/>
      </c>
      <c r="K51" s="15" t="n"/>
      <c r="L51" s="15">
        <f>K51-G51</f>
        <v/>
      </c>
      <c r="M51" s="10">
        <f>IFERROR(L51/K51,0)</f>
        <v/>
      </c>
      <c r="N51">
        <f>IF(M51="","",IF(M51&gt;0,"Sous-budget",IF(M51&lt;0,"Sur-budget","Au budget")))</f>
        <v/>
      </c>
    </row>
    <row r="52">
      <c r="A52" s="4" t="n"/>
      <c r="B52" s="13" t="n"/>
      <c r="C52" s="13" t="n"/>
      <c r="D52" s="13" t="n"/>
      <c r="E52" s="13" t="n"/>
      <c r="F52" s="13" t="n"/>
      <c r="G52" s="13">
        <f>SUM(B52:F52)</f>
        <v/>
      </c>
      <c r="H52" s="4" t="n"/>
      <c r="I52" s="13">
        <f>IFERROR(G52/H52,0)</f>
        <v/>
      </c>
      <c r="J52" s="9">
        <f>IFERROR(G52/SUM(G$6:G$11),0)</f>
        <v/>
      </c>
      <c r="K52" s="13" t="n"/>
      <c r="L52" s="13">
        <f>K52-G52</f>
        <v/>
      </c>
      <c r="M52" s="9">
        <f>IFERROR(L52/K52,0)</f>
        <v/>
      </c>
      <c r="N52">
        <f>IF(M52="","",IF(M52&gt;0,"Sous-budget",IF(M52&lt;0,"Sur-budget","Au budget")))</f>
        <v/>
      </c>
    </row>
    <row r="53">
      <c r="A53" s="5" t="n"/>
      <c r="B53" s="15" t="n"/>
      <c r="C53" s="15" t="n"/>
      <c r="D53" s="15" t="n"/>
      <c r="E53" s="15" t="n"/>
      <c r="F53" s="15" t="n"/>
      <c r="G53" s="15">
        <f>SUM(B53:F53)</f>
        <v/>
      </c>
      <c r="H53" s="5" t="n"/>
      <c r="I53" s="15">
        <f>IFERROR(G53/H53,0)</f>
        <v/>
      </c>
      <c r="J53" s="10">
        <f>IFERROR(G53/SUM(G$6:G$11),0)</f>
        <v/>
      </c>
      <c r="K53" s="15" t="n"/>
      <c r="L53" s="15">
        <f>K53-G53</f>
        <v/>
      </c>
      <c r="M53" s="10">
        <f>IFERROR(L53/K53,0)</f>
        <v/>
      </c>
      <c r="N53">
        <f>IF(M53="","",IF(M53&gt;0,"Sous-budget",IF(M53&lt;0,"Sur-budget","Au budget")))</f>
        <v/>
      </c>
    </row>
    <row r="54">
      <c r="A54" s="4" t="n"/>
      <c r="B54" s="13" t="n"/>
      <c r="C54" s="13" t="n"/>
      <c r="D54" s="13" t="n"/>
      <c r="E54" s="13" t="n"/>
      <c r="F54" s="13" t="n"/>
      <c r="G54" s="13">
        <f>SUM(B54:F54)</f>
        <v/>
      </c>
      <c r="H54" s="4" t="n"/>
      <c r="I54" s="13">
        <f>IFERROR(G54/H54,0)</f>
        <v/>
      </c>
      <c r="J54" s="9">
        <f>IFERROR(G54/SUM(G$6:G$11),0)</f>
        <v/>
      </c>
      <c r="K54" s="13" t="n"/>
      <c r="L54" s="13">
        <f>K54-G54</f>
        <v/>
      </c>
      <c r="M54" s="9">
        <f>IFERROR(L54/K54,0)</f>
        <v/>
      </c>
      <c r="N54">
        <f>IF(M54="","",IF(M54&gt;0,"Sous-budget",IF(M54&lt;0,"Sur-budget","Au budget")))</f>
        <v/>
      </c>
    </row>
    <row r="55">
      <c r="A55" s="5" t="n"/>
      <c r="B55" s="15" t="n"/>
      <c r="C55" s="15" t="n"/>
      <c r="D55" s="15" t="n"/>
      <c r="E55" s="15" t="n"/>
      <c r="F55" s="15" t="n"/>
      <c r="G55" s="15">
        <f>SUM(B55:F55)</f>
        <v/>
      </c>
      <c r="H55" s="5" t="n"/>
      <c r="I55" s="15">
        <f>IFERROR(G55/H55,0)</f>
        <v/>
      </c>
      <c r="J55" s="10">
        <f>IFERROR(G55/SUM(G$6:G$11),0)</f>
        <v/>
      </c>
      <c r="K55" s="15" t="n"/>
      <c r="L55" s="15">
        <f>K55-G55</f>
        <v/>
      </c>
      <c r="M55" s="10">
        <f>IFERROR(L55/K55,0)</f>
        <v/>
      </c>
      <c r="N55">
        <f>IF(M55="","",IF(M55&gt;0,"Sous-budget",IF(M55&lt;0,"Sur-budget","Au budget")))</f>
        <v/>
      </c>
    </row>
    <row r="56">
      <c r="A56" s="4" t="n"/>
      <c r="B56" s="13" t="n"/>
      <c r="C56" s="13" t="n"/>
      <c r="D56" s="13" t="n"/>
      <c r="E56" s="13" t="n"/>
      <c r="F56" s="13" t="n"/>
      <c r="G56" s="13">
        <f>SUM(B56:F56)</f>
        <v/>
      </c>
      <c r="H56" s="4" t="n"/>
      <c r="I56" s="13">
        <f>IFERROR(G56/H56,0)</f>
        <v/>
      </c>
      <c r="J56" s="9">
        <f>IFERROR(G56/SUM(G$6:G$11),0)</f>
        <v/>
      </c>
      <c r="K56" s="13" t="n"/>
      <c r="L56" s="13">
        <f>K56-G56</f>
        <v/>
      </c>
      <c r="M56" s="9">
        <f>IFERROR(L56/K56,0)</f>
        <v/>
      </c>
      <c r="N56">
        <f>IF(M56="","",IF(M56&gt;0,"Sous-budget",IF(M56&lt;0,"Sur-budget","Au budget")))</f>
        <v/>
      </c>
    </row>
    <row r="57">
      <c r="A57" s="5" t="n"/>
      <c r="B57" s="15" t="n"/>
      <c r="C57" s="15" t="n"/>
      <c r="D57" s="15" t="n"/>
      <c r="E57" s="15" t="n"/>
      <c r="F57" s="15" t="n"/>
      <c r="G57" s="15">
        <f>SUM(B57:F57)</f>
        <v/>
      </c>
      <c r="H57" s="5" t="n"/>
      <c r="I57" s="15">
        <f>IFERROR(G57/H57,0)</f>
        <v/>
      </c>
      <c r="J57" s="10">
        <f>IFERROR(G57/SUM(G$6:G$11),0)</f>
        <v/>
      </c>
      <c r="K57" s="15" t="n"/>
      <c r="L57" s="15">
        <f>K57-G57</f>
        <v/>
      </c>
      <c r="M57" s="10">
        <f>IFERROR(L57/K57,0)</f>
        <v/>
      </c>
      <c r="N57">
        <f>IF(M57="","",IF(M57&gt;0,"Sous-budget",IF(M57&lt;0,"Sur-budget","Au budget")))</f>
        <v/>
      </c>
    </row>
    <row r="58">
      <c r="A58" s="4" t="n"/>
      <c r="B58" s="13" t="n"/>
      <c r="C58" s="13" t="n"/>
      <c r="D58" s="13" t="n"/>
      <c r="E58" s="13" t="n"/>
      <c r="F58" s="13" t="n"/>
      <c r="G58" s="13">
        <f>SUM(B58:F58)</f>
        <v/>
      </c>
      <c r="H58" s="4" t="n"/>
      <c r="I58" s="13">
        <f>IFERROR(G58/H58,0)</f>
        <v/>
      </c>
      <c r="J58" s="9">
        <f>IFERROR(G58/SUM(G$6:G$11),0)</f>
        <v/>
      </c>
      <c r="K58" s="13" t="n"/>
      <c r="L58" s="13">
        <f>K58-G58</f>
        <v/>
      </c>
      <c r="M58" s="9">
        <f>IFERROR(L58/K58,0)</f>
        <v/>
      </c>
      <c r="N58">
        <f>IF(M58="","",IF(M58&gt;0,"Sous-budget",IF(M58&lt;0,"Sur-budget","Au budget")))</f>
        <v/>
      </c>
    </row>
    <row r="59">
      <c r="A59" s="5" t="n"/>
      <c r="B59" s="15" t="n"/>
      <c r="C59" s="15" t="n"/>
      <c r="D59" s="15" t="n"/>
      <c r="E59" s="15" t="n"/>
      <c r="F59" s="15" t="n"/>
      <c r="G59" s="15">
        <f>SUM(B59:F59)</f>
        <v/>
      </c>
      <c r="H59" s="5" t="n"/>
      <c r="I59" s="15">
        <f>IFERROR(G59/H59,0)</f>
        <v/>
      </c>
      <c r="J59" s="10">
        <f>IFERROR(G59/SUM(G$6:G$11),0)</f>
        <v/>
      </c>
      <c r="K59" s="15" t="n"/>
      <c r="L59" s="15">
        <f>K59-G59</f>
        <v/>
      </c>
      <c r="M59" s="10">
        <f>IFERROR(L59/K59,0)</f>
        <v/>
      </c>
      <c r="N59">
        <f>IF(M59="","",IF(M59&gt;0,"Sous-budget",IF(M59&lt;0,"Sur-budget","Au budget")))</f>
        <v/>
      </c>
    </row>
    <row r="60">
      <c r="A60" s="4" t="n"/>
      <c r="B60" s="13" t="n"/>
      <c r="C60" s="13" t="n"/>
      <c r="D60" s="13" t="n"/>
      <c r="E60" s="13" t="n"/>
      <c r="F60" s="13" t="n"/>
      <c r="G60" s="13">
        <f>SUM(B60:F60)</f>
        <v/>
      </c>
      <c r="H60" s="4" t="n"/>
      <c r="I60" s="13">
        <f>IFERROR(G60/H60,0)</f>
        <v/>
      </c>
      <c r="J60" s="9">
        <f>IFERROR(G60/SUM(G$6:G$11),0)</f>
        <v/>
      </c>
      <c r="K60" s="13" t="n"/>
      <c r="L60" s="13">
        <f>K60-G60</f>
        <v/>
      </c>
      <c r="M60" s="9">
        <f>IFERROR(L60/K60,0)</f>
        <v/>
      </c>
      <c r="N60">
        <f>IF(M60="","",IF(M60&gt;0,"Sous-budget",IF(M60&lt;0,"Sur-budget","Au budget")))</f>
        <v/>
      </c>
    </row>
    <row r="61">
      <c r="A61" s="5" t="n"/>
      <c r="B61" s="15" t="n"/>
      <c r="C61" s="15" t="n"/>
      <c r="D61" s="15" t="n"/>
      <c r="E61" s="15" t="n"/>
      <c r="F61" s="15" t="n"/>
      <c r="G61" s="15">
        <f>SUM(B61:F61)</f>
        <v/>
      </c>
      <c r="H61" s="5" t="n"/>
      <c r="I61" s="15">
        <f>IFERROR(G61/H61,0)</f>
        <v/>
      </c>
      <c r="J61" s="10">
        <f>IFERROR(G61/SUM(G$6:G$11),0)</f>
        <v/>
      </c>
      <c r="K61" s="15" t="n"/>
      <c r="L61" s="15">
        <f>K61-G61</f>
        <v/>
      </c>
      <c r="M61" s="10">
        <f>IFERROR(L61/K61,0)</f>
        <v/>
      </c>
      <c r="N61">
        <f>IF(M61="","",IF(M61&gt;0,"Sous-budget",IF(M61&lt;0,"Sur-budget","Au budget")))</f>
        <v/>
      </c>
    </row>
    <row r="62">
      <c r="A62" s="4" t="n"/>
      <c r="B62" s="13" t="n"/>
      <c r="C62" s="13" t="n"/>
      <c r="D62" s="13" t="n"/>
      <c r="E62" s="13" t="n"/>
      <c r="F62" s="13" t="n"/>
      <c r="G62" s="13">
        <f>SUM(B62:F62)</f>
        <v/>
      </c>
      <c r="H62" s="4" t="n"/>
      <c r="I62" s="13">
        <f>IFERROR(G62/H62,0)</f>
        <v/>
      </c>
      <c r="J62" s="9">
        <f>IFERROR(G62/SUM(G$6:G$11),0)</f>
        <v/>
      </c>
      <c r="K62" s="13" t="n"/>
      <c r="L62" s="13">
        <f>K62-G62</f>
        <v/>
      </c>
      <c r="M62" s="9">
        <f>IFERROR(L62/K62,0)</f>
        <v/>
      </c>
      <c r="N62">
        <f>IF(M62="","",IF(M62&gt;0,"Sous-budget",IF(M62&lt;0,"Sur-budget","Au budget")))</f>
        <v/>
      </c>
    </row>
    <row r="63">
      <c r="A63" s="5" t="n"/>
      <c r="B63" s="15" t="n"/>
      <c r="C63" s="15" t="n"/>
      <c r="D63" s="15" t="n"/>
      <c r="E63" s="15" t="n"/>
      <c r="F63" s="15" t="n"/>
      <c r="G63" s="15">
        <f>SUM(B63:F63)</f>
        <v/>
      </c>
      <c r="H63" s="5" t="n"/>
      <c r="I63" s="15">
        <f>IFERROR(G63/H63,0)</f>
        <v/>
      </c>
      <c r="J63" s="10">
        <f>IFERROR(G63/SUM(G$6:G$11),0)</f>
        <v/>
      </c>
      <c r="K63" s="15" t="n"/>
      <c r="L63" s="15">
        <f>K63-G63</f>
        <v/>
      </c>
      <c r="M63" s="10">
        <f>IFERROR(L63/K63,0)</f>
        <v/>
      </c>
      <c r="N63">
        <f>IF(M63="","",IF(M63&gt;0,"Sous-budget",IF(M63&lt;0,"Sur-budget","Au budget")))</f>
        <v/>
      </c>
    </row>
    <row r="64">
      <c r="A64" s="4" t="n"/>
      <c r="B64" s="13" t="n"/>
      <c r="C64" s="13" t="n"/>
      <c r="D64" s="13" t="n"/>
      <c r="E64" s="13" t="n"/>
      <c r="F64" s="13" t="n"/>
      <c r="G64" s="13">
        <f>SUM(B64:F64)</f>
        <v/>
      </c>
      <c r="H64" s="4" t="n"/>
      <c r="I64" s="13">
        <f>IFERROR(G64/H64,0)</f>
        <v/>
      </c>
      <c r="J64" s="9">
        <f>IFERROR(G64/SUM(G$6:G$11),0)</f>
        <v/>
      </c>
      <c r="K64" s="13" t="n"/>
      <c r="L64" s="13">
        <f>K64-G64</f>
        <v/>
      </c>
      <c r="M64" s="9">
        <f>IFERROR(L64/K64,0)</f>
        <v/>
      </c>
      <c r="N64">
        <f>IF(M64="","",IF(M64&gt;0,"Sous-budget",IF(M64&lt;0,"Sur-budget","Au budget")))</f>
        <v/>
      </c>
    </row>
    <row r="65">
      <c r="A65" s="5" t="n"/>
      <c r="B65" s="15" t="n"/>
      <c r="C65" s="15" t="n"/>
      <c r="D65" s="15" t="n"/>
      <c r="E65" s="15" t="n"/>
      <c r="F65" s="15" t="n"/>
      <c r="G65" s="15">
        <f>SUM(B65:F65)</f>
        <v/>
      </c>
      <c r="H65" s="5" t="n"/>
      <c r="I65" s="15">
        <f>IFERROR(G65/H65,0)</f>
        <v/>
      </c>
      <c r="J65" s="10">
        <f>IFERROR(G65/SUM(G$6:G$11),0)</f>
        <v/>
      </c>
      <c r="K65" s="15" t="n"/>
      <c r="L65" s="15">
        <f>K65-G65</f>
        <v/>
      </c>
      <c r="M65" s="10">
        <f>IFERROR(L65/K65,0)</f>
        <v/>
      </c>
      <c r="N65">
        <f>IF(M65="","",IF(M65&gt;0,"Sous-budget",IF(M65&lt;0,"Sur-budget","Au budget")))</f>
        <v/>
      </c>
    </row>
    <row r="66">
      <c r="A66" s="4" t="n"/>
      <c r="B66" s="13" t="n"/>
      <c r="C66" s="13" t="n"/>
      <c r="D66" s="13" t="n"/>
      <c r="E66" s="13" t="n"/>
      <c r="F66" s="13" t="n"/>
      <c r="G66" s="13">
        <f>SUM(B66:F66)</f>
        <v/>
      </c>
      <c r="H66" s="4" t="n"/>
      <c r="I66" s="13">
        <f>IFERROR(G66/H66,0)</f>
        <v/>
      </c>
      <c r="J66" s="9">
        <f>IFERROR(G66/SUM(G$6:G$11),0)</f>
        <v/>
      </c>
      <c r="K66" s="13" t="n"/>
      <c r="L66" s="13">
        <f>K66-G66</f>
        <v/>
      </c>
      <c r="M66" s="9">
        <f>IFERROR(L66/K66,0)</f>
        <v/>
      </c>
      <c r="N66">
        <f>IF(M66="","",IF(M66&gt;0,"Sous-budget",IF(M66&lt;0,"Sur-budget","Au budget")))</f>
        <v/>
      </c>
    </row>
    <row r="67">
      <c r="A67" s="5" t="n"/>
      <c r="B67" s="15" t="n"/>
      <c r="C67" s="15" t="n"/>
      <c r="D67" s="15" t="n"/>
      <c r="E67" s="15" t="n"/>
      <c r="F67" s="15" t="n"/>
      <c r="G67" s="15">
        <f>SUM(B67:F67)</f>
        <v/>
      </c>
      <c r="H67" s="5" t="n"/>
      <c r="I67" s="15">
        <f>IFERROR(G67/H67,0)</f>
        <v/>
      </c>
      <c r="J67" s="10">
        <f>IFERROR(G67/SUM(G$6:G$11),0)</f>
        <v/>
      </c>
      <c r="K67" s="15" t="n"/>
      <c r="L67" s="15">
        <f>K67-G67</f>
        <v/>
      </c>
      <c r="M67" s="10">
        <f>IFERROR(L67/K67,0)</f>
        <v/>
      </c>
      <c r="N67">
        <f>IF(M67="","",IF(M67&gt;0,"Sous-budget",IF(M67&lt;0,"Sur-budget","Au budget")))</f>
        <v/>
      </c>
    </row>
    <row r="68">
      <c r="A68" s="4" t="n"/>
      <c r="B68" s="13" t="n"/>
      <c r="C68" s="13" t="n"/>
      <c r="D68" s="13" t="n"/>
      <c r="E68" s="13" t="n"/>
      <c r="F68" s="13" t="n"/>
      <c r="G68" s="13">
        <f>SUM(B68:F68)</f>
        <v/>
      </c>
      <c r="H68" s="4" t="n"/>
      <c r="I68" s="13">
        <f>IFERROR(G68/H68,0)</f>
        <v/>
      </c>
      <c r="J68" s="9">
        <f>IFERROR(G68/SUM(G$6:G$11),0)</f>
        <v/>
      </c>
      <c r="K68" s="13" t="n"/>
      <c r="L68" s="13">
        <f>K68-G68</f>
        <v/>
      </c>
      <c r="M68" s="9">
        <f>IFERROR(L68/K68,0)</f>
        <v/>
      </c>
      <c r="N68">
        <f>IF(M68="","",IF(M68&gt;0,"Sous-budget",IF(M68&lt;0,"Sur-budget","Au budget")))</f>
        <v/>
      </c>
    </row>
    <row r="69">
      <c r="A69" s="5" t="n"/>
      <c r="B69" s="15" t="n"/>
      <c r="C69" s="15" t="n"/>
      <c r="D69" s="15" t="n"/>
      <c r="E69" s="15" t="n"/>
      <c r="F69" s="15" t="n"/>
      <c r="G69" s="15">
        <f>SUM(B69:F69)</f>
        <v/>
      </c>
      <c r="H69" s="5" t="n"/>
      <c r="I69" s="15">
        <f>IFERROR(G69/H69,0)</f>
        <v/>
      </c>
      <c r="J69" s="10">
        <f>IFERROR(G69/SUM(G$6:G$11),0)</f>
        <v/>
      </c>
      <c r="K69" s="15" t="n"/>
      <c r="L69" s="15">
        <f>K69-G69</f>
        <v/>
      </c>
      <c r="M69" s="10">
        <f>IFERROR(L69/K69,0)</f>
        <v/>
      </c>
      <c r="N69">
        <f>IF(M69="","",IF(M69&gt;0,"Sous-budget",IF(M69&lt;0,"Sur-budget","Au budget")))</f>
        <v/>
      </c>
    </row>
    <row r="70">
      <c r="A70" s="4" t="n"/>
      <c r="B70" s="13" t="n"/>
      <c r="C70" s="13" t="n"/>
      <c r="D70" s="13" t="n"/>
      <c r="E70" s="13" t="n"/>
      <c r="F70" s="13" t="n"/>
      <c r="G70" s="13">
        <f>SUM(B70:F70)</f>
        <v/>
      </c>
      <c r="H70" s="4" t="n"/>
      <c r="I70" s="13">
        <f>IFERROR(G70/H70,0)</f>
        <v/>
      </c>
      <c r="J70" s="9">
        <f>IFERROR(G70/SUM(G$6:G$11),0)</f>
        <v/>
      </c>
      <c r="K70" s="13" t="n"/>
      <c r="L70" s="13">
        <f>K70-G70</f>
        <v/>
      </c>
      <c r="M70" s="9">
        <f>IFERROR(L70/K70,0)</f>
        <v/>
      </c>
      <c r="N70">
        <f>IF(M70="","",IF(M70&gt;0,"Sous-budget",IF(M70&lt;0,"Sur-budget","Au budget")))</f>
        <v/>
      </c>
    </row>
    <row r="71">
      <c r="A71" s="5" t="n"/>
      <c r="B71" s="15" t="n"/>
      <c r="C71" s="15" t="n"/>
      <c r="D71" s="15" t="n"/>
      <c r="E71" s="15" t="n"/>
      <c r="F71" s="15" t="n"/>
      <c r="G71" s="15">
        <f>SUM(B71:F71)</f>
        <v/>
      </c>
      <c r="H71" s="5" t="n"/>
      <c r="I71" s="15">
        <f>IFERROR(G71/H71,0)</f>
        <v/>
      </c>
      <c r="J71" s="10">
        <f>IFERROR(G71/SUM(G$6:G$11),0)</f>
        <v/>
      </c>
      <c r="K71" s="15" t="n"/>
      <c r="L71" s="15">
        <f>K71-G71</f>
        <v/>
      </c>
      <c r="M71" s="10">
        <f>IFERROR(L71/K71,0)</f>
        <v/>
      </c>
      <c r="N71">
        <f>IF(M71="","",IF(M71&gt;0,"Sous-budget",IF(M71&lt;0,"Sur-budget","Au budget")))</f>
        <v/>
      </c>
    </row>
    <row r="72">
      <c r="A72" s="4" t="n"/>
      <c r="B72" s="13" t="n"/>
      <c r="C72" s="13" t="n"/>
      <c r="D72" s="13" t="n"/>
      <c r="E72" s="13" t="n"/>
      <c r="F72" s="13" t="n"/>
      <c r="G72" s="13">
        <f>SUM(B72:F72)</f>
        <v/>
      </c>
      <c r="H72" s="4" t="n"/>
      <c r="I72" s="13">
        <f>IFERROR(G72/H72,0)</f>
        <v/>
      </c>
      <c r="J72" s="9">
        <f>IFERROR(G72/SUM(G$6:G$11),0)</f>
        <v/>
      </c>
      <c r="K72" s="13" t="n"/>
      <c r="L72" s="13">
        <f>K72-G72</f>
        <v/>
      </c>
      <c r="M72" s="9">
        <f>IFERROR(L72/K72,0)</f>
        <v/>
      </c>
      <c r="N72">
        <f>IF(M72="","",IF(M72&gt;0,"Sous-budget",IF(M72&lt;0,"Sur-budget","Au budget")))</f>
        <v/>
      </c>
    </row>
    <row r="73">
      <c r="A73" s="5" t="n"/>
      <c r="B73" s="15" t="n"/>
      <c r="C73" s="15" t="n"/>
      <c r="D73" s="15" t="n"/>
      <c r="E73" s="15" t="n"/>
      <c r="F73" s="15" t="n"/>
      <c r="G73" s="15">
        <f>SUM(B73:F73)</f>
        <v/>
      </c>
      <c r="H73" s="5" t="n"/>
      <c r="I73" s="15">
        <f>IFERROR(G73/H73,0)</f>
        <v/>
      </c>
      <c r="J73" s="10">
        <f>IFERROR(G73/SUM(G$6:G$11),0)</f>
        <v/>
      </c>
      <c r="K73" s="15" t="n"/>
      <c r="L73" s="15">
        <f>K73-G73</f>
        <v/>
      </c>
      <c r="M73" s="10">
        <f>IFERROR(L73/K73,0)</f>
        <v/>
      </c>
      <c r="N73">
        <f>IF(M73="","",IF(M73&gt;0,"Sous-budget",IF(M73&lt;0,"Sur-budget","Au budget")))</f>
        <v/>
      </c>
    </row>
    <row r="74">
      <c r="A74" s="4" t="n"/>
      <c r="B74" s="13" t="n"/>
      <c r="C74" s="13" t="n"/>
      <c r="D74" s="13" t="n"/>
      <c r="E74" s="13" t="n"/>
      <c r="F74" s="13" t="n"/>
      <c r="G74" s="13">
        <f>SUM(B74:F74)</f>
        <v/>
      </c>
      <c r="H74" s="4" t="n"/>
      <c r="I74" s="13">
        <f>IFERROR(G74/H74,0)</f>
        <v/>
      </c>
      <c r="J74" s="9">
        <f>IFERROR(G74/SUM(G$6:G$11),0)</f>
        <v/>
      </c>
      <c r="K74" s="13" t="n"/>
      <c r="L74" s="13">
        <f>K74-G74</f>
        <v/>
      </c>
      <c r="M74" s="9">
        <f>IFERROR(L74/K74,0)</f>
        <v/>
      </c>
      <c r="N74">
        <f>IF(M74="","",IF(M74&gt;0,"Sous-budget",IF(M74&lt;0,"Sur-budget","Au budget")))</f>
        <v/>
      </c>
    </row>
    <row r="75">
      <c r="A75" s="5" t="n"/>
      <c r="B75" s="15" t="n"/>
      <c r="C75" s="15" t="n"/>
      <c r="D75" s="15" t="n"/>
      <c r="E75" s="15" t="n"/>
      <c r="F75" s="15" t="n"/>
      <c r="G75" s="15">
        <f>SUM(B75:F75)</f>
        <v/>
      </c>
      <c r="H75" s="5" t="n"/>
      <c r="I75" s="15">
        <f>IFERROR(G75/H75,0)</f>
        <v/>
      </c>
      <c r="J75" s="10">
        <f>IFERROR(G75/SUM(G$6:G$11),0)</f>
        <v/>
      </c>
      <c r="K75" s="15" t="n"/>
      <c r="L75" s="15">
        <f>K75-G75</f>
        <v/>
      </c>
      <c r="M75" s="10">
        <f>IFERROR(L75/K75,0)</f>
        <v/>
      </c>
      <c r="N75">
        <f>IF(M75="","",IF(M75&gt;0,"Sous-budget",IF(M75&lt;0,"Sur-budget","Au budget")))</f>
        <v/>
      </c>
    </row>
    <row r="76">
      <c r="A76" s="4" t="n"/>
      <c r="B76" s="13" t="n"/>
      <c r="C76" s="13" t="n"/>
      <c r="D76" s="13" t="n"/>
      <c r="E76" s="13" t="n"/>
      <c r="F76" s="13" t="n"/>
      <c r="G76" s="13">
        <f>SUM(B76:F76)</f>
        <v/>
      </c>
      <c r="H76" s="4" t="n"/>
      <c r="I76" s="13">
        <f>IFERROR(G76/H76,0)</f>
        <v/>
      </c>
      <c r="J76" s="9">
        <f>IFERROR(G76/SUM(G$6:G$11),0)</f>
        <v/>
      </c>
      <c r="K76" s="13" t="n"/>
      <c r="L76" s="13">
        <f>K76-G76</f>
        <v/>
      </c>
      <c r="M76" s="9">
        <f>IFERROR(L76/K76,0)</f>
        <v/>
      </c>
      <c r="N76">
        <f>IF(M76="","",IF(M76&gt;0,"Sous-budget",IF(M76&lt;0,"Sur-budget","Au budget")))</f>
        <v/>
      </c>
    </row>
    <row r="77">
      <c r="A77" s="5" t="n"/>
      <c r="B77" s="15" t="n"/>
      <c r="C77" s="15" t="n"/>
      <c r="D77" s="15" t="n"/>
      <c r="E77" s="15" t="n"/>
      <c r="F77" s="15" t="n"/>
      <c r="G77" s="15">
        <f>SUM(B77:F77)</f>
        <v/>
      </c>
      <c r="H77" s="5" t="n"/>
      <c r="I77" s="15">
        <f>IFERROR(G77/H77,0)</f>
        <v/>
      </c>
      <c r="J77" s="10">
        <f>IFERROR(G77/SUM(G$6:G$11),0)</f>
        <v/>
      </c>
      <c r="K77" s="15" t="n"/>
      <c r="L77" s="15">
        <f>K77-G77</f>
        <v/>
      </c>
      <c r="M77" s="10">
        <f>IFERROR(L77/K77,0)</f>
        <v/>
      </c>
      <c r="N77">
        <f>IF(M77="","",IF(M77&gt;0,"Sous-budget",IF(M77&lt;0,"Sur-budget","Au budget")))</f>
        <v/>
      </c>
    </row>
    <row r="78">
      <c r="A78" s="4" t="n"/>
      <c r="B78" s="13" t="n"/>
      <c r="C78" s="13" t="n"/>
      <c r="D78" s="13" t="n"/>
      <c r="E78" s="13" t="n"/>
      <c r="F78" s="13" t="n"/>
      <c r="G78" s="13">
        <f>SUM(B78:F78)</f>
        <v/>
      </c>
      <c r="H78" s="4" t="n"/>
      <c r="I78" s="13">
        <f>IFERROR(G78/H78,0)</f>
        <v/>
      </c>
      <c r="J78" s="9">
        <f>IFERROR(G78/SUM(G$6:G$11),0)</f>
        <v/>
      </c>
      <c r="K78" s="13" t="n"/>
      <c r="L78" s="13">
        <f>K78-G78</f>
        <v/>
      </c>
      <c r="M78" s="9">
        <f>IFERROR(L78/K78,0)</f>
        <v/>
      </c>
      <c r="N78">
        <f>IF(M78="","",IF(M78&gt;0,"Sous-budget",IF(M78&lt;0,"Sur-budget","Au budget")))</f>
        <v/>
      </c>
    </row>
    <row r="79">
      <c r="A79" s="5" t="n"/>
      <c r="B79" s="15" t="n"/>
      <c r="C79" s="15" t="n"/>
      <c r="D79" s="15" t="n"/>
      <c r="E79" s="15" t="n"/>
      <c r="F79" s="15" t="n"/>
      <c r="G79" s="15">
        <f>SUM(B79:F79)</f>
        <v/>
      </c>
      <c r="H79" s="5" t="n"/>
      <c r="I79" s="15">
        <f>IFERROR(G79/H79,0)</f>
        <v/>
      </c>
      <c r="J79" s="10">
        <f>IFERROR(G79/SUM(G$6:G$11),0)</f>
        <v/>
      </c>
      <c r="K79" s="15" t="n"/>
      <c r="L79" s="15">
        <f>K79-G79</f>
        <v/>
      </c>
      <c r="M79" s="10">
        <f>IFERROR(L79/K79,0)</f>
        <v/>
      </c>
      <c r="N79">
        <f>IF(M79="","",IF(M79&gt;0,"Sous-budget",IF(M79&lt;0,"Sur-budget","Au budget")))</f>
        <v/>
      </c>
    </row>
    <row r="80">
      <c r="A80" s="4" t="n"/>
      <c r="B80" s="13" t="n"/>
      <c r="C80" s="13" t="n"/>
      <c r="D80" s="13" t="n"/>
      <c r="E80" s="13" t="n"/>
      <c r="F80" s="13" t="n"/>
      <c r="G80" s="13">
        <f>SUM(B80:F80)</f>
        <v/>
      </c>
      <c r="H80" s="4" t="n"/>
      <c r="I80" s="13">
        <f>IFERROR(G80/H80,0)</f>
        <v/>
      </c>
      <c r="J80" s="9">
        <f>IFERROR(G80/SUM(G$6:G$11),0)</f>
        <v/>
      </c>
      <c r="K80" s="13" t="n"/>
      <c r="L80" s="13">
        <f>K80-G80</f>
        <v/>
      </c>
      <c r="M80" s="9">
        <f>IFERROR(L80/K80,0)</f>
        <v/>
      </c>
      <c r="N80">
        <f>IF(M80="","",IF(M80&gt;0,"Sous-budget",IF(M80&lt;0,"Sur-budget","Au budget")))</f>
        <v/>
      </c>
    </row>
    <row r="81">
      <c r="A81" s="5" t="n"/>
      <c r="B81" s="15" t="n"/>
      <c r="C81" s="15" t="n"/>
      <c r="D81" s="15" t="n"/>
      <c r="E81" s="15" t="n"/>
      <c r="F81" s="15" t="n"/>
      <c r="G81" s="15">
        <f>SUM(B81:F81)</f>
        <v/>
      </c>
      <c r="H81" s="5" t="n"/>
      <c r="I81" s="15">
        <f>IFERROR(G81/H81,0)</f>
        <v/>
      </c>
      <c r="J81" s="10">
        <f>IFERROR(G81/SUM(G$6:G$11),0)</f>
        <v/>
      </c>
      <c r="K81" s="15" t="n"/>
      <c r="L81" s="15">
        <f>K81-G81</f>
        <v/>
      </c>
      <c r="M81" s="10">
        <f>IFERROR(L81/K81,0)</f>
        <v/>
      </c>
      <c r="N81">
        <f>IF(M81="","",IF(M81&gt;0,"Sous-budget",IF(M81&lt;0,"Sur-budget","Au budget")))</f>
        <v/>
      </c>
    </row>
    <row r="82">
      <c r="A82" s="4" t="n"/>
      <c r="B82" s="13" t="n"/>
      <c r="C82" s="13" t="n"/>
      <c r="D82" s="13" t="n"/>
      <c r="E82" s="13" t="n"/>
      <c r="F82" s="13" t="n"/>
      <c r="G82" s="13">
        <f>SUM(B82:F82)</f>
        <v/>
      </c>
      <c r="H82" s="4" t="n"/>
      <c r="I82" s="13">
        <f>IFERROR(G82/H82,0)</f>
        <v/>
      </c>
      <c r="J82" s="9">
        <f>IFERROR(G82/SUM(G$6:G$11),0)</f>
        <v/>
      </c>
      <c r="K82" s="13" t="n"/>
      <c r="L82" s="13">
        <f>K82-G82</f>
        <v/>
      </c>
      <c r="M82" s="9">
        <f>IFERROR(L82/K82,0)</f>
        <v/>
      </c>
      <c r="N82">
        <f>IF(M82="","",IF(M82&gt;0,"Sous-budget",IF(M82&lt;0,"Sur-budget","Au budget")))</f>
        <v/>
      </c>
    </row>
    <row r="83">
      <c r="A83" s="5" t="n"/>
      <c r="B83" s="15" t="n"/>
      <c r="C83" s="15" t="n"/>
      <c r="D83" s="15" t="n"/>
      <c r="E83" s="15" t="n"/>
      <c r="F83" s="15" t="n"/>
      <c r="G83" s="15">
        <f>SUM(B83:F83)</f>
        <v/>
      </c>
      <c r="H83" s="5" t="n"/>
      <c r="I83" s="15">
        <f>IFERROR(G83/H83,0)</f>
        <v/>
      </c>
      <c r="J83" s="10">
        <f>IFERROR(G83/SUM(G$6:G$11),0)</f>
        <v/>
      </c>
      <c r="K83" s="15" t="n"/>
      <c r="L83" s="15">
        <f>K83-G83</f>
        <v/>
      </c>
      <c r="M83" s="10">
        <f>IFERROR(L83/K83,0)</f>
        <v/>
      </c>
      <c r="N83">
        <f>IF(M83="","",IF(M83&gt;0,"Sous-budget",IF(M83&lt;0,"Sur-budget","Au budget")))</f>
        <v/>
      </c>
    </row>
    <row r="84">
      <c r="A84" s="4" t="n"/>
      <c r="B84" s="13" t="n"/>
      <c r="C84" s="13" t="n"/>
      <c r="D84" s="13" t="n"/>
      <c r="E84" s="13" t="n"/>
      <c r="F84" s="13" t="n"/>
      <c r="G84" s="13">
        <f>SUM(B84:F84)</f>
        <v/>
      </c>
      <c r="H84" s="4" t="n"/>
      <c r="I84" s="13">
        <f>IFERROR(G84/H84,0)</f>
        <v/>
      </c>
      <c r="J84" s="9">
        <f>IFERROR(G84/SUM(G$6:G$11),0)</f>
        <v/>
      </c>
      <c r="K84" s="13" t="n"/>
      <c r="L84" s="13">
        <f>K84-G84</f>
        <v/>
      </c>
      <c r="M84" s="9">
        <f>IFERROR(L84/K84,0)</f>
        <v/>
      </c>
      <c r="N84">
        <f>IF(M84="","",IF(M84&gt;0,"Sous-budget",IF(M84&lt;0,"Sur-budget","Au budget")))</f>
        <v/>
      </c>
    </row>
    <row r="85">
      <c r="A85" s="5" t="n"/>
      <c r="B85" s="15" t="n"/>
      <c r="C85" s="15" t="n"/>
      <c r="D85" s="15" t="n"/>
      <c r="E85" s="15" t="n"/>
      <c r="F85" s="15" t="n"/>
      <c r="G85" s="15">
        <f>SUM(B85:F85)</f>
        <v/>
      </c>
      <c r="H85" s="5" t="n"/>
      <c r="I85" s="15">
        <f>IFERROR(G85/H85,0)</f>
        <v/>
      </c>
      <c r="J85" s="10">
        <f>IFERROR(G85/SUM(G$6:G$11),0)</f>
        <v/>
      </c>
      <c r="K85" s="15" t="n"/>
      <c r="L85" s="15">
        <f>K85-G85</f>
        <v/>
      </c>
      <c r="M85" s="10">
        <f>IFERROR(L85/K85,0)</f>
        <v/>
      </c>
      <c r="N85">
        <f>IF(M85="","",IF(M85&gt;0,"Sous-budget",IF(M85&lt;0,"Sur-budget","Au budget")))</f>
        <v/>
      </c>
    </row>
    <row r="86">
      <c r="A86" s="4" t="n"/>
      <c r="B86" s="13" t="n"/>
      <c r="C86" s="13" t="n"/>
      <c r="D86" s="13" t="n"/>
      <c r="E86" s="13" t="n"/>
      <c r="F86" s="13" t="n"/>
      <c r="G86" s="13">
        <f>SUM(B86:F86)</f>
        <v/>
      </c>
      <c r="H86" s="4" t="n"/>
      <c r="I86" s="13">
        <f>IFERROR(G86/H86,0)</f>
        <v/>
      </c>
      <c r="J86" s="9">
        <f>IFERROR(G86/SUM(G$6:G$11),0)</f>
        <v/>
      </c>
      <c r="K86" s="13" t="n"/>
      <c r="L86" s="13">
        <f>K86-G86</f>
        <v/>
      </c>
      <c r="M86" s="9">
        <f>IFERROR(L86/K86,0)</f>
        <v/>
      </c>
      <c r="N86">
        <f>IF(M86="","",IF(M86&gt;0,"Sous-budget",IF(M86&lt;0,"Sur-budget","Au budget")))</f>
        <v/>
      </c>
    </row>
    <row r="87">
      <c r="A87" s="5" t="n"/>
      <c r="B87" s="15" t="n"/>
      <c r="C87" s="15" t="n"/>
      <c r="D87" s="15" t="n"/>
      <c r="E87" s="15" t="n"/>
      <c r="F87" s="15" t="n"/>
      <c r="G87" s="15">
        <f>SUM(B87:F87)</f>
        <v/>
      </c>
      <c r="H87" s="5" t="n"/>
      <c r="I87" s="15">
        <f>IFERROR(G87/H87,0)</f>
        <v/>
      </c>
      <c r="J87" s="10">
        <f>IFERROR(G87/SUM(G$6:G$11),0)</f>
        <v/>
      </c>
      <c r="K87" s="15" t="n"/>
      <c r="L87" s="15">
        <f>K87-G87</f>
        <v/>
      </c>
      <c r="M87" s="10">
        <f>IFERROR(L87/K87,0)</f>
        <v/>
      </c>
      <c r="N87">
        <f>IF(M87="","",IF(M87&gt;0,"Sous-budget",IF(M87&lt;0,"Sur-budget","Au budget")))</f>
        <v/>
      </c>
    </row>
    <row r="88">
      <c r="A88" s="4" t="n"/>
      <c r="B88" s="13" t="n"/>
      <c r="C88" s="13" t="n"/>
      <c r="D88" s="13" t="n"/>
      <c r="E88" s="13" t="n"/>
      <c r="F88" s="13" t="n"/>
      <c r="G88" s="13">
        <f>SUM(B88:F88)</f>
        <v/>
      </c>
      <c r="H88" s="4" t="n"/>
      <c r="I88" s="13">
        <f>IFERROR(G88/H88,0)</f>
        <v/>
      </c>
      <c r="J88" s="9">
        <f>IFERROR(G88/SUM(G$6:G$11),0)</f>
        <v/>
      </c>
      <c r="K88" s="13" t="n"/>
      <c r="L88" s="13">
        <f>K88-G88</f>
        <v/>
      </c>
      <c r="M88" s="9">
        <f>IFERROR(L88/K88,0)</f>
        <v/>
      </c>
      <c r="N88">
        <f>IF(M88="","",IF(M88&gt;0,"Sous-budget",IF(M88&lt;0,"Sur-budget","Au budget")))</f>
        <v/>
      </c>
    </row>
    <row r="89">
      <c r="A89" s="5" t="n"/>
      <c r="B89" s="15" t="n"/>
      <c r="C89" s="15" t="n"/>
      <c r="D89" s="15" t="n"/>
      <c r="E89" s="15" t="n"/>
      <c r="F89" s="15" t="n"/>
      <c r="G89" s="15">
        <f>SUM(B89:F89)</f>
        <v/>
      </c>
      <c r="H89" s="5" t="n"/>
      <c r="I89" s="15">
        <f>IFERROR(G89/H89,0)</f>
        <v/>
      </c>
      <c r="J89" s="10">
        <f>IFERROR(G89/SUM(G$6:G$11),0)</f>
        <v/>
      </c>
      <c r="K89" s="15" t="n"/>
      <c r="L89" s="15">
        <f>K89-G89</f>
        <v/>
      </c>
      <c r="M89" s="10">
        <f>IFERROR(L89/K89,0)</f>
        <v/>
      </c>
      <c r="N89">
        <f>IF(M89="","",IF(M89&gt;0,"Sous-budget",IF(M89&lt;0,"Sur-budget","Au budget")))</f>
        <v/>
      </c>
    </row>
    <row r="90">
      <c r="A90" s="4" t="n"/>
      <c r="B90" s="13" t="n"/>
      <c r="C90" s="13" t="n"/>
      <c r="D90" s="13" t="n"/>
      <c r="E90" s="13" t="n"/>
      <c r="F90" s="13" t="n"/>
      <c r="G90" s="13">
        <f>SUM(B90:F90)</f>
        <v/>
      </c>
      <c r="H90" s="4" t="n"/>
      <c r="I90" s="13">
        <f>IFERROR(G90/H90,0)</f>
        <v/>
      </c>
      <c r="J90" s="9">
        <f>IFERROR(G90/SUM(G$6:G$11),0)</f>
        <v/>
      </c>
      <c r="K90" s="13" t="n"/>
      <c r="L90" s="13">
        <f>K90-G90</f>
        <v/>
      </c>
      <c r="M90" s="9">
        <f>IFERROR(L90/K90,0)</f>
        <v/>
      </c>
      <c r="N90">
        <f>IF(M90="","",IF(M90&gt;0,"Sous-budget",IF(M90&lt;0,"Sur-budget","Au budget")))</f>
        <v/>
      </c>
    </row>
    <row r="91">
      <c r="A91" s="5" t="n"/>
      <c r="B91" s="15" t="n"/>
      <c r="C91" s="15" t="n"/>
      <c r="D91" s="15" t="n"/>
      <c r="E91" s="15" t="n"/>
      <c r="F91" s="15" t="n"/>
      <c r="G91" s="15">
        <f>SUM(B91:F91)</f>
        <v/>
      </c>
      <c r="H91" s="5" t="n"/>
      <c r="I91" s="15">
        <f>IFERROR(G91/H91,0)</f>
        <v/>
      </c>
      <c r="J91" s="10">
        <f>IFERROR(G91/SUM(G$6:G$11),0)</f>
        <v/>
      </c>
      <c r="K91" s="15" t="n"/>
      <c r="L91" s="15">
        <f>K91-G91</f>
        <v/>
      </c>
      <c r="M91" s="10">
        <f>IFERROR(L91/K91,0)</f>
        <v/>
      </c>
      <c r="N91">
        <f>IF(M91="","",IF(M91&gt;0,"Sous-budget",IF(M91&lt;0,"Sur-budget","Au budget")))</f>
        <v/>
      </c>
    </row>
    <row r="92">
      <c r="A92" s="4" t="n"/>
      <c r="B92" s="13" t="n"/>
      <c r="C92" s="13" t="n"/>
      <c r="D92" s="13" t="n"/>
      <c r="E92" s="13" t="n"/>
      <c r="F92" s="13" t="n"/>
      <c r="G92" s="13">
        <f>SUM(B92:F92)</f>
        <v/>
      </c>
      <c r="H92" s="4" t="n"/>
      <c r="I92" s="13">
        <f>IFERROR(G92/H92,0)</f>
        <v/>
      </c>
      <c r="J92" s="9">
        <f>IFERROR(G92/SUM(G$6:G$11),0)</f>
        <v/>
      </c>
      <c r="K92" s="13" t="n"/>
      <c r="L92" s="13">
        <f>K92-G92</f>
        <v/>
      </c>
      <c r="M92" s="9">
        <f>IFERROR(L92/K92,0)</f>
        <v/>
      </c>
      <c r="N92">
        <f>IF(M92="","",IF(M92&gt;0,"Sous-budget",IF(M92&lt;0,"Sur-budget","Au budget")))</f>
        <v/>
      </c>
    </row>
    <row r="93">
      <c r="A93" s="5" t="n"/>
      <c r="B93" s="15" t="n"/>
      <c r="C93" s="15" t="n"/>
      <c r="D93" s="15" t="n"/>
      <c r="E93" s="15" t="n"/>
      <c r="F93" s="15" t="n"/>
      <c r="G93" s="15">
        <f>SUM(B93:F93)</f>
        <v/>
      </c>
      <c r="H93" s="5" t="n"/>
      <c r="I93" s="15">
        <f>IFERROR(G93/H93,0)</f>
        <v/>
      </c>
      <c r="J93" s="10">
        <f>IFERROR(G93/SUM(G$6:G$11),0)</f>
        <v/>
      </c>
      <c r="K93" s="15" t="n"/>
      <c r="L93" s="15">
        <f>K93-G93</f>
        <v/>
      </c>
      <c r="M93" s="10">
        <f>IFERROR(L93/K93,0)</f>
        <v/>
      </c>
      <c r="N93">
        <f>IF(M93="","",IF(M93&gt;0,"Sous-budget",IF(M93&lt;0,"Sur-budget","Au budget")))</f>
        <v/>
      </c>
    </row>
    <row r="94">
      <c r="A94" s="4" t="n"/>
      <c r="B94" s="13" t="n"/>
      <c r="C94" s="13" t="n"/>
      <c r="D94" s="13" t="n"/>
      <c r="E94" s="13" t="n"/>
      <c r="F94" s="13" t="n"/>
      <c r="G94" s="13">
        <f>SUM(B94:F94)</f>
        <v/>
      </c>
      <c r="H94" s="4" t="n"/>
      <c r="I94" s="13">
        <f>IFERROR(G94/H94,0)</f>
        <v/>
      </c>
      <c r="J94" s="9">
        <f>IFERROR(G94/SUM(G$6:G$11),0)</f>
        <v/>
      </c>
      <c r="K94" s="13" t="n"/>
      <c r="L94" s="13">
        <f>K94-G94</f>
        <v/>
      </c>
      <c r="M94" s="9">
        <f>IFERROR(L94/K94,0)</f>
        <v/>
      </c>
      <c r="N94">
        <f>IF(M94="","",IF(M94&gt;0,"Sous-budget",IF(M94&lt;0,"Sur-budget","Au budget")))</f>
        <v/>
      </c>
    </row>
    <row r="95">
      <c r="A95" s="5" t="n"/>
      <c r="B95" s="15" t="n"/>
      <c r="C95" s="15" t="n"/>
      <c r="D95" s="15" t="n"/>
      <c r="E95" s="15" t="n"/>
      <c r="F95" s="15" t="n"/>
      <c r="G95" s="15">
        <f>SUM(B95:F95)</f>
        <v/>
      </c>
      <c r="H95" s="5" t="n"/>
      <c r="I95" s="15">
        <f>IFERROR(G95/H95,0)</f>
        <v/>
      </c>
      <c r="J95" s="10">
        <f>IFERROR(G95/SUM(G$6:G$11),0)</f>
        <v/>
      </c>
      <c r="K95" s="15" t="n"/>
      <c r="L95" s="15">
        <f>K95-G95</f>
        <v/>
      </c>
      <c r="M95" s="10">
        <f>IFERROR(L95/K95,0)</f>
        <v/>
      </c>
      <c r="N95">
        <f>IF(M95="","",IF(M95&gt;0,"Sous-budget",IF(M95&lt;0,"Sur-budget","Au budget")))</f>
        <v/>
      </c>
    </row>
    <row r="96">
      <c r="A96" s="4" t="n"/>
      <c r="B96" s="13" t="n"/>
      <c r="C96" s="13" t="n"/>
      <c r="D96" s="13" t="n"/>
      <c r="E96" s="13" t="n"/>
      <c r="F96" s="13" t="n"/>
      <c r="G96" s="13">
        <f>SUM(B96:F96)</f>
        <v/>
      </c>
      <c r="H96" s="4" t="n"/>
      <c r="I96" s="13">
        <f>IFERROR(G96/H96,0)</f>
        <v/>
      </c>
      <c r="J96" s="9">
        <f>IFERROR(G96/SUM(G$6:G$11),0)</f>
        <v/>
      </c>
      <c r="K96" s="13" t="n"/>
      <c r="L96" s="13">
        <f>K96-G96</f>
        <v/>
      </c>
      <c r="M96" s="9">
        <f>IFERROR(L96/K96,0)</f>
        <v/>
      </c>
      <c r="N96">
        <f>IF(M96="","",IF(M96&gt;0,"Sous-budget",IF(M96&lt;0,"Sur-budget","Au budget")))</f>
        <v/>
      </c>
    </row>
    <row r="97">
      <c r="A97" s="5" t="n"/>
      <c r="B97" s="15" t="n"/>
      <c r="C97" s="15" t="n"/>
      <c r="D97" s="15" t="n"/>
      <c r="E97" s="15" t="n"/>
      <c r="F97" s="15" t="n"/>
      <c r="G97" s="15">
        <f>SUM(B97:F97)</f>
        <v/>
      </c>
      <c r="H97" s="5" t="n"/>
      <c r="I97" s="15">
        <f>IFERROR(G97/H97,0)</f>
        <v/>
      </c>
      <c r="J97" s="10">
        <f>IFERROR(G97/SUM(G$6:G$11),0)</f>
        <v/>
      </c>
      <c r="K97" s="15" t="n"/>
      <c r="L97" s="15">
        <f>K97-G97</f>
        <v/>
      </c>
      <c r="M97" s="10">
        <f>IFERROR(L97/K97,0)</f>
        <v/>
      </c>
      <c r="N97">
        <f>IF(M97="","",IF(M97&gt;0,"Sous-budget",IF(M97&lt;0,"Sur-budget","Au budget")))</f>
        <v/>
      </c>
    </row>
    <row r="98">
      <c r="A98" s="4" t="n"/>
      <c r="B98" s="13" t="n"/>
      <c r="C98" s="13" t="n"/>
      <c r="D98" s="13" t="n"/>
      <c r="E98" s="13" t="n"/>
      <c r="F98" s="13" t="n"/>
      <c r="G98" s="13">
        <f>SUM(B98:F98)</f>
        <v/>
      </c>
      <c r="H98" s="4" t="n"/>
      <c r="I98" s="13">
        <f>IFERROR(G98/H98,0)</f>
        <v/>
      </c>
      <c r="J98" s="9">
        <f>IFERROR(G98/SUM(G$6:G$11),0)</f>
        <v/>
      </c>
      <c r="K98" s="13" t="n"/>
      <c r="L98" s="13">
        <f>K98-G98</f>
        <v/>
      </c>
      <c r="M98" s="9">
        <f>IFERROR(L98/K98,0)</f>
        <v/>
      </c>
      <c r="N98">
        <f>IF(M98="","",IF(M98&gt;0,"Sous-budget",IF(M98&lt;0,"Sur-budget","Au budget")))</f>
        <v/>
      </c>
    </row>
    <row r="99">
      <c r="A99" s="5" t="n"/>
      <c r="B99" s="15" t="n"/>
      <c r="C99" s="15" t="n"/>
      <c r="D99" s="15" t="n"/>
      <c r="E99" s="15" t="n"/>
      <c r="F99" s="15" t="n"/>
      <c r="G99" s="15">
        <f>SUM(B99:F99)</f>
        <v/>
      </c>
      <c r="H99" s="5" t="n"/>
      <c r="I99" s="15">
        <f>IFERROR(G99/H99,0)</f>
        <v/>
      </c>
      <c r="J99" s="10">
        <f>IFERROR(G99/SUM(G$6:G$11),0)</f>
        <v/>
      </c>
      <c r="K99" s="15" t="n"/>
      <c r="L99" s="15">
        <f>K99-G99</f>
        <v/>
      </c>
      <c r="M99" s="10">
        <f>IFERROR(L99/K99,0)</f>
        <v/>
      </c>
      <c r="N99">
        <f>IF(M99="","",IF(M99&gt;0,"Sous-budget",IF(M99&lt;0,"Sur-budget","Au budget")))</f>
        <v/>
      </c>
    </row>
    <row r="100">
      <c r="A100" s="4" t="n"/>
      <c r="B100" s="13" t="n"/>
      <c r="C100" s="13" t="n"/>
      <c r="D100" s="13" t="n"/>
      <c r="E100" s="13" t="n"/>
      <c r="F100" s="13" t="n"/>
      <c r="G100" s="13">
        <f>SUM(B100:F100)</f>
        <v/>
      </c>
      <c r="H100" s="4" t="n"/>
      <c r="I100" s="13">
        <f>IFERROR(G100/H100,0)</f>
        <v/>
      </c>
      <c r="J100" s="9">
        <f>IFERROR(G100/SUM(G$6:G$11),0)</f>
        <v/>
      </c>
      <c r="K100" s="13" t="n"/>
      <c r="L100" s="13">
        <f>K100-G100</f>
        <v/>
      </c>
      <c r="M100" s="9">
        <f>IFERROR(L100/K100,0)</f>
        <v/>
      </c>
      <c r="N100">
        <f>IF(M100="","",IF(M100&gt;0,"Sous-budget",IF(M100&lt;0,"Sur-budget","Au budget")))</f>
        <v/>
      </c>
    </row>
    <row r="101">
      <c r="A101" s="5" t="n"/>
      <c r="B101" s="15" t="n"/>
      <c r="C101" s="15" t="n"/>
      <c r="D101" s="15" t="n"/>
      <c r="E101" s="15" t="n"/>
      <c r="F101" s="15" t="n"/>
      <c r="G101" s="15">
        <f>SUM(B101:F101)</f>
        <v/>
      </c>
      <c r="H101" s="5" t="n"/>
      <c r="I101" s="15">
        <f>IFERROR(G101/H101,0)</f>
        <v/>
      </c>
      <c r="J101" s="10">
        <f>IFERROR(G101/SUM(G$6:G$11),0)</f>
        <v/>
      </c>
      <c r="K101" s="15" t="n"/>
      <c r="L101" s="15">
        <f>K101-G101</f>
        <v/>
      </c>
      <c r="M101" s="10">
        <f>IFERROR(L101/K101,0)</f>
        <v/>
      </c>
      <c r="N101">
        <f>IF(M101="","",IF(M101&gt;0,"Sous-budget",IF(M101&lt;0,"Sur-budget","Au budget")))</f>
        <v/>
      </c>
    </row>
    <row r="102">
      <c r="A102" s="4" t="n"/>
      <c r="B102" s="13" t="n"/>
      <c r="C102" s="13" t="n"/>
      <c r="D102" s="13" t="n"/>
      <c r="E102" s="13" t="n"/>
      <c r="F102" s="13" t="n"/>
      <c r="G102" s="13">
        <f>SUM(B102:F102)</f>
        <v/>
      </c>
      <c r="H102" s="4" t="n"/>
      <c r="I102" s="13">
        <f>IFERROR(G102/H102,0)</f>
        <v/>
      </c>
      <c r="J102" s="9">
        <f>IFERROR(G102/SUM(G$6:G$11),0)</f>
        <v/>
      </c>
      <c r="K102" s="13" t="n"/>
      <c r="L102" s="13">
        <f>K102-G102</f>
        <v/>
      </c>
      <c r="M102" s="9">
        <f>IFERROR(L102/K102,0)</f>
        <v/>
      </c>
      <c r="N102">
        <f>IF(M102="","",IF(M102&gt;0,"Sous-budget",IF(M102&lt;0,"Sur-budget","Au budget")))</f>
        <v/>
      </c>
    </row>
    <row r="103">
      <c r="A103" s="5" t="n"/>
      <c r="B103" s="15" t="n"/>
      <c r="C103" s="15" t="n"/>
      <c r="D103" s="15" t="n"/>
      <c r="E103" s="15" t="n"/>
      <c r="F103" s="15" t="n"/>
      <c r="G103" s="15">
        <f>SUM(B103:F103)</f>
        <v/>
      </c>
      <c r="H103" s="5" t="n"/>
      <c r="I103" s="15">
        <f>IFERROR(G103/H103,0)</f>
        <v/>
      </c>
      <c r="J103" s="10">
        <f>IFERROR(G103/SUM(G$6:G$11),0)</f>
        <v/>
      </c>
      <c r="K103" s="15" t="n"/>
      <c r="L103" s="15">
        <f>K103-G103</f>
        <v/>
      </c>
      <c r="M103" s="10">
        <f>IFERROR(L103/K103,0)</f>
        <v/>
      </c>
      <c r="N103">
        <f>IF(M103="","",IF(M103&gt;0,"Sous-budget",IF(M103&lt;0,"Sur-budget","Au budget")))</f>
        <v/>
      </c>
    </row>
    <row r="104">
      <c r="A104" s="4" t="n"/>
      <c r="B104" s="13" t="n"/>
      <c r="C104" s="13" t="n"/>
      <c r="D104" s="13" t="n"/>
      <c r="E104" s="13" t="n"/>
      <c r="F104" s="13" t="n"/>
      <c r="G104" s="13">
        <f>SUM(B104:F104)</f>
        <v/>
      </c>
      <c r="H104" s="4" t="n"/>
      <c r="I104" s="13">
        <f>IFERROR(G104/H104,0)</f>
        <v/>
      </c>
      <c r="J104" s="9">
        <f>IFERROR(G104/SUM(G$6:G$11),0)</f>
        <v/>
      </c>
      <c r="K104" s="13" t="n"/>
      <c r="L104" s="13">
        <f>K104-G104</f>
        <v/>
      </c>
      <c r="M104" s="9">
        <f>IFERROR(L104/K104,0)</f>
        <v/>
      </c>
      <c r="N104">
        <f>IF(M104="","",IF(M104&gt;0,"Sous-budget",IF(M104&lt;0,"Sur-budget","Au budget")))</f>
        <v/>
      </c>
    </row>
    <row r="105">
      <c r="A105" s="5" t="n"/>
      <c r="B105" s="15" t="n"/>
      <c r="C105" s="15" t="n"/>
      <c r="D105" s="15" t="n"/>
      <c r="E105" s="15" t="n"/>
      <c r="F105" s="15" t="n"/>
      <c r="G105" s="15">
        <f>SUM(B105:F105)</f>
        <v/>
      </c>
      <c r="H105" s="5" t="n"/>
      <c r="I105" s="15">
        <f>IFERROR(G105/H105,0)</f>
        <v/>
      </c>
      <c r="J105" s="10">
        <f>IFERROR(G105/SUM(G$6:G$11),0)</f>
        <v/>
      </c>
      <c r="K105" s="15" t="n"/>
      <c r="L105" s="15">
        <f>K105-G105</f>
        <v/>
      </c>
      <c r="M105" s="10">
        <f>IFERROR(L105/K105,0)</f>
        <v/>
      </c>
      <c r="N105">
        <f>IF(M105="","",IF(M105&gt;0,"Sous-budget",IF(M105&lt;0,"Sur-budget","Au budget")))</f>
        <v/>
      </c>
    </row>
    <row r="106">
      <c r="A106" s="4" t="n"/>
      <c r="B106" s="13" t="n"/>
      <c r="C106" s="13" t="n"/>
      <c r="D106" s="13" t="n"/>
      <c r="E106" s="13" t="n"/>
      <c r="F106" s="13" t="n"/>
      <c r="G106" s="13">
        <f>SUM(B106:F106)</f>
        <v/>
      </c>
      <c r="H106" s="4" t="n"/>
      <c r="I106" s="13">
        <f>IFERROR(G106/H106,0)</f>
        <v/>
      </c>
      <c r="J106" s="9">
        <f>IFERROR(G106/SUM(G$6:G$11),0)</f>
        <v/>
      </c>
      <c r="K106" s="13" t="n"/>
      <c r="L106" s="13">
        <f>K106-G106</f>
        <v/>
      </c>
      <c r="M106" s="9">
        <f>IFERROR(L106/K106,0)</f>
        <v/>
      </c>
      <c r="N106">
        <f>IF(M106="","",IF(M106&gt;0,"Sous-budget",IF(M106&lt;0,"Sur-budget","Au budget")))</f>
        <v/>
      </c>
    </row>
    <row r="107">
      <c r="A107" s="5" t="n"/>
      <c r="B107" s="15" t="n"/>
      <c r="C107" s="15" t="n"/>
      <c r="D107" s="15" t="n"/>
      <c r="E107" s="15" t="n"/>
      <c r="F107" s="15" t="n"/>
      <c r="G107" s="15">
        <f>SUM(B107:F107)</f>
        <v/>
      </c>
      <c r="H107" s="5" t="n"/>
      <c r="I107" s="15">
        <f>IFERROR(G107/H107,0)</f>
        <v/>
      </c>
      <c r="J107" s="10">
        <f>IFERROR(G107/SUM(G$6:G$11),0)</f>
        <v/>
      </c>
      <c r="K107" s="15" t="n"/>
      <c r="L107" s="15">
        <f>K107-G107</f>
        <v/>
      </c>
      <c r="M107" s="10">
        <f>IFERROR(L107/K107,0)</f>
        <v/>
      </c>
      <c r="N107">
        <f>IF(M107="","",IF(M107&gt;0,"Sous-budget",IF(M107&lt;0,"Sur-budget","Au budget")))</f>
        <v/>
      </c>
    </row>
    <row r="108">
      <c r="A108" s="4" t="n"/>
      <c r="B108" s="13" t="n"/>
      <c r="C108" s="13" t="n"/>
      <c r="D108" s="13" t="n"/>
      <c r="E108" s="13" t="n"/>
      <c r="F108" s="13" t="n"/>
      <c r="G108" s="13">
        <f>SUM(B108:F108)</f>
        <v/>
      </c>
      <c r="H108" s="4" t="n"/>
      <c r="I108" s="13">
        <f>IFERROR(G108/H108,0)</f>
        <v/>
      </c>
      <c r="J108" s="9">
        <f>IFERROR(G108/SUM(G$6:G$11),0)</f>
        <v/>
      </c>
      <c r="K108" s="13" t="n"/>
      <c r="L108" s="13">
        <f>K108-G108</f>
        <v/>
      </c>
      <c r="M108" s="9">
        <f>IFERROR(L108/K108,0)</f>
        <v/>
      </c>
      <c r="N108">
        <f>IF(M108="","",IF(M108&gt;0,"Sous-budget",IF(M108&lt;0,"Sur-budget","Au budget")))</f>
        <v/>
      </c>
    </row>
    <row r="109">
      <c r="A109" s="5" t="n"/>
      <c r="B109" s="15" t="n"/>
      <c r="C109" s="15" t="n"/>
      <c r="D109" s="15" t="n"/>
      <c r="E109" s="15" t="n"/>
      <c r="F109" s="15" t="n"/>
      <c r="G109" s="15">
        <f>SUM(B109:F109)</f>
        <v/>
      </c>
      <c r="H109" s="5" t="n"/>
      <c r="I109" s="15">
        <f>IFERROR(G109/H109,0)</f>
        <v/>
      </c>
      <c r="J109" s="10">
        <f>IFERROR(G109/SUM(G$6:G$11),0)</f>
        <v/>
      </c>
      <c r="K109" s="15" t="n"/>
      <c r="L109" s="15">
        <f>K109-G109</f>
        <v/>
      </c>
      <c r="M109" s="10">
        <f>IFERROR(L109/K109,0)</f>
        <v/>
      </c>
      <c r="N109">
        <f>IF(M109="","",IF(M109&gt;0,"Sous-budget",IF(M109&lt;0,"Sur-budget","Au budget")))</f>
        <v/>
      </c>
    </row>
    <row r="110">
      <c r="A110" s="4" t="n"/>
      <c r="B110" s="13" t="n"/>
      <c r="C110" s="13" t="n"/>
      <c r="D110" s="13" t="n"/>
      <c r="E110" s="13" t="n"/>
      <c r="F110" s="13" t="n"/>
      <c r="G110" s="13">
        <f>SUM(B110:F110)</f>
        <v/>
      </c>
      <c r="H110" s="4" t="n"/>
      <c r="I110" s="13">
        <f>IFERROR(G110/H110,0)</f>
        <v/>
      </c>
      <c r="J110" s="9">
        <f>IFERROR(G110/SUM(G$6:G$11),0)</f>
        <v/>
      </c>
      <c r="K110" s="13" t="n"/>
      <c r="L110" s="13">
        <f>K110-G110</f>
        <v/>
      </c>
      <c r="M110" s="9">
        <f>IFERROR(L110/K110,0)</f>
        <v/>
      </c>
      <c r="N110">
        <f>IF(M110="","",IF(M110&gt;0,"Sous-budget",IF(M110&lt;0,"Sur-budget","Au budget")))</f>
        <v/>
      </c>
    </row>
    <row r="111">
      <c r="A111" s="5" t="n"/>
      <c r="B111" s="15" t="n"/>
      <c r="C111" s="15" t="n"/>
      <c r="D111" s="15" t="n"/>
      <c r="E111" s="15" t="n"/>
      <c r="F111" s="15" t="n"/>
      <c r="G111" s="15">
        <f>SUM(B111:F111)</f>
        <v/>
      </c>
      <c r="H111" s="5" t="n"/>
      <c r="I111" s="15">
        <f>IFERROR(G111/H111,0)</f>
        <v/>
      </c>
      <c r="J111" s="10">
        <f>IFERROR(G111/SUM(G$6:G$11),0)</f>
        <v/>
      </c>
      <c r="K111" s="15" t="n"/>
      <c r="L111" s="15">
        <f>K111-G111</f>
        <v/>
      </c>
      <c r="M111" s="10">
        <f>IFERROR(L111/K111,0)</f>
        <v/>
      </c>
      <c r="N111">
        <f>IF(M111="","",IF(M111&gt;0,"Sous-budget",IF(M111&lt;0,"Sur-budget","Au budget")))</f>
        <v/>
      </c>
    </row>
    <row r="112">
      <c r="A112" s="4" t="n"/>
      <c r="B112" s="13" t="n"/>
      <c r="C112" s="13" t="n"/>
      <c r="D112" s="13" t="n"/>
      <c r="E112" s="13" t="n"/>
      <c r="F112" s="13" t="n"/>
      <c r="G112" s="13">
        <f>SUM(B112:F112)</f>
        <v/>
      </c>
      <c r="H112" s="4" t="n"/>
      <c r="I112" s="13">
        <f>IFERROR(G112/H112,0)</f>
        <v/>
      </c>
      <c r="J112" s="9">
        <f>IFERROR(G112/SUM(G$6:G$11),0)</f>
        <v/>
      </c>
      <c r="K112" s="13" t="n"/>
      <c r="L112" s="13">
        <f>K112-G112</f>
        <v/>
      </c>
      <c r="M112" s="9">
        <f>IFERROR(L112/K112,0)</f>
        <v/>
      </c>
      <c r="N112">
        <f>IF(M112="","",IF(M112&gt;0,"Sous-budget",IF(M112&lt;0,"Sur-budget","Au budget")))</f>
        <v/>
      </c>
    </row>
    <row r="113">
      <c r="A113" s="5" t="n"/>
      <c r="B113" s="15" t="n"/>
      <c r="C113" s="15" t="n"/>
      <c r="D113" s="15" t="n"/>
      <c r="E113" s="15" t="n"/>
      <c r="F113" s="15" t="n"/>
      <c r="G113" s="15">
        <f>SUM(B113:F113)</f>
        <v/>
      </c>
      <c r="H113" s="5" t="n"/>
      <c r="I113" s="15">
        <f>IFERROR(G113/H113,0)</f>
        <v/>
      </c>
      <c r="J113" s="10">
        <f>IFERROR(G113/SUM(G$6:G$11),0)</f>
        <v/>
      </c>
      <c r="K113" s="15" t="n"/>
      <c r="L113" s="15">
        <f>K113-G113</f>
        <v/>
      </c>
      <c r="M113" s="10">
        <f>IFERROR(L113/K113,0)</f>
        <v/>
      </c>
      <c r="N113">
        <f>IF(M113="","",IF(M113&gt;0,"Sous-budget",IF(M113&lt;0,"Sur-budget","Au budget")))</f>
        <v/>
      </c>
    </row>
    <row r="114">
      <c r="A114" s="4" t="n"/>
      <c r="B114" s="13" t="n"/>
      <c r="C114" s="13" t="n"/>
      <c r="D114" s="13" t="n"/>
      <c r="E114" s="13" t="n"/>
      <c r="F114" s="13" t="n"/>
      <c r="G114" s="13">
        <f>SUM(B114:F114)</f>
        <v/>
      </c>
      <c r="H114" s="4" t="n"/>
      <c r="I114" s="13">
        <f>IFERROR(G114/H114,0)</f>
        <v/>
      </c>
      <c r="J114" s="9">
        <f>IFERROR(G114/SUM(G$6:G$11),0)</f>
        <v/>
      </c>
      <c r="K114" s="13" t="n"/>
      <c r="L114" s="13">
        <f>K114-G114</f>
        <v/>
      </c>
      <c r="M114" s="9">
        <f>IFERROR(L114/K114,0)</f>
        <v/>
      </c>
      <c r="N114">
        <f>IF(M114="","",IF(M114&gt;0,"Sous-budget",IF(M114&lt;0,"Sur-budget","Au budget")))</f>
        <v/>
      </c>
    </row>
    <row r="115">
      <c r="A115" s="5" t="n"/>
      <c r="B115" s="15" t="n"/>
      <c r="C115" s="15" t="n"/>
      <c r="D115" s="15" t="n"/>
      <c r="E115" s="15" t="n"/>
      <c r="F115" s="15" t="n"/>
      <c r="G115" s="15">
        <f>SUM(B115:F115)</f>
        <v/>
      </c>
      <c r="H115" s="5" t="n"/>
      <c r="I115" s="15">
        <f>IFERROR(G115/H115,0)</f>
        <v/>
      </c>
      <c r="J115" s="10">
        <f>IFERROR(G115/SUM(G$6:G$11),0)</f>
        <v/>
      </c>
      <c r="K115" s="15" t="n"/>
      <c r="L115" s="15">
        <f>K115-G115</f>
        <v/>
      </c>
      <c r="M115" s="10">
        <f>IFERROR(L115/K115,0)</f>
        <v/>
      </c>
      <c r="N115">
        <f>IF(M115="","",IF(M115&gt;0,"Sous-budget",IF(M115&lt;0,"Sur-budget","Au budget")))</f>
        <v/>
      </c>
    </row>
  </sheetData>
  <mergeCells count="2">
    <mergeCell ref="A3:P3"/>
    <mergeCell ref="A2:P2"/>
  </mergeCells>
  <conditionalFormatting sqref="N6:N115">
    <cfRule type="cellIs" priority="1" operator="equal" dxfId="3">
      <formula>"Sur-budget"</formula>
    </cfRule>
    <cfRule type="cellIs" priority="2" operator="equal" dxfId="0">
      <formula>"Sous-budget"</formula>
    </cfRule>
    <cfRule type="cellIs" priority="3" operator="equal" dxfId="2">
      <formula>"Au budget"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91E63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22" customWidth="1" min="4" max="4"/>
    <col width="18" customWidth="1" min="5" max="5"/>
    <col width="20" customWidth="1" min="6" max="6"/>
    <col width="22" customWidth="1" min="7" max="7"/>
    <col width="18" customWidth="1" min="8" max="8"/>
    <col width="24" customWidth="1" min="9" max="9"/>
    <col width="14" customWidth="1" min="10" max="10"/>
    <col width="22" customWidth="1" min="11" max="11"/>
    <col width="14" customWidth="1" min="12" max="12"/>
  </cols>
  <sheetData>
    <row r="2" ht="25" customHeight="1">
      <c r="A2" s="1" t="inlineStr">
        <is>
          <t>DOMAINE 28 — SIMULATIONS DE SCÉNARIOS MOBILITÉ &amp; CARRIÈRE</t>
        </is>
      </c>
    </row>
    <row r="3" ht="18" customHeight="1">
      <c r="A3" s="2" t="inlineStr">
        <is>
          <t>Modélisation d'impact de différents scénarios de mobilité sur l'organisation</t>
        </is>
      </c>
    </row>
    <row r="5">
      <c r="A5" s="3" t="inlineStr">
        <is>
          <t>Scénario</t>
        </is>
      </c>
      <c r="B5" s="3" t="inlineStr">
        <is>
          <t>Description</t>
        </is>
      </c>
      <c r="C5" s="3" t="inlineStr">
        <is>
          <t>Nb Promotions</t>
        </is>
      </c>
      <c r="D5" s="3" t="inlineStr">
        <is>
          <t>Nb Mobilités Internes</t>
        </is>
      </c>
      <c r="E5" s="3" t="inlineStr">
        <is>
          <t>Coût Estimé (FCFA)</t>
        </is>
      </c>
      <c r="F5" s="3" t="inlineStr">
        <is>
          <t>Impact Rétention (%)</t>
        </is>
      </c>
      <c r="G5" s="3" t="inlineStr">
        <is>
          <t>Impact Performance (%)</t>
        </is>
      </c>
      <c r="H5" s="3" t="inlineStr">
        <is>
          <t>Risque Organique</t>
        </is>
      </c>
      <c r="I5" s="3" t="inlineStr">
        <is>
          <t>Délai Mise en Œuvre (mois)</t>
        </is>
      </c>
      <c r="J5" s="3" t="inlineStr">
        <is>
          <t>Rentabilité</t>
        </is>
      </c>
      <c r="K5" s="3" t="inlineStr">
        <is>
          <t>Recommandation</t>
        </is>
      </c>
      <c r="L5" s="3" t="inlineStr">
        <is>
          <t>Statut</t>
        </is>
      </c>
    </row>
    <row r="6">
      <c r="A6" s="4" t="inlineStr">
        <is>
          <t>SC-01</t>
        </is>
      </c>
      <c r="B6" s="4" t="inlineStr">
        <is>
          <t>Plan de promotion massif</t>
        </is>
      </c>
      <c r="C6" s="4" t="n">
        <v>8</v>
      </c>
      <c r="D6" s="4" t="n">
        <v>5</v>
      </c>
      <c r="E6" s="13" t="n">
        <v>15000000</v>
      </c>
      <c r="F6" s="4" t="n">
        <v>15</v>
      </c>
      <c r="G6" s="4" t="n">
        <v>10</v>
      </c>
      <c r="H6" s="4" t="inlineStr">
        <is>
          <t>Moyen</t>
        </is>
      </c>
      <c r="I6" s="4" t="n">
        <v>3</v>
      </c>
      <c r="J6" s="4" t="inlineStr">
        <is>
          <t>Élevée</t>
        </is>
      </c>
      <c r="K6" s="4" t="inlineStr">
        <is>
          <t>Recommandé</t>
        </is>
      </c>
      <c r="L6" s="4" t="inlineStr">
        <is>
          <t>Étudié</t>
        </is>
      </c>
    </row>
    <row r="7">
      <c r="A7" s="5" t="inlineStr">
        <is>
          <t>SC-02</t>
        </is>
      </c>
      <c r="B7" s="5" t="inlineStr">
        <is>
          <t>Mobilité interne généralisée</t>
        </is>
      </c>
      <c r="C7" s="5" t="n">
        <v>3</v>
      </c>
      <c r="D7" s="5" t="n">
        <v>12</v>
      </c>
      <c r="E7" s="15" t="n">
        <v>8000000</v>
      </c>
      <c r="F7" s="5" t="n">
        <v>20</v>
      </c>
      <c r="G7" s="5" t="n">
        <v>5</v>
      </c>
      <c r="H7" s="5" t="inlineStr">
        <is>
          <t>Faible</t>
        </is>
      </c>
      <c r="I7" s="5" t="n">
        <v>6</v>
      </c>
      <c r="J7" s="5" t="inlineStr">
        <is>
          <t>Très élevée</t>
        </is>
      </c>
      <c r="K7" s="5" t="inlineStr">
        <is>
          <t>Fortement recommandé</t>
        </is>
      </c>
      <c r="L7" s="5" t="inlineStr">
        <is>
          <t>Étudié</t>
        </is>
      </c>
    </row>
    <row r="8">
      <c r="A8" s="4" t="inlineStr">
        <is>
          <t>SC-03</t>
        </is>
      </c>
      <c r="B8" s="4" t="inlineStr">
        <is>
          <t>Programme expatriation étendu</t>
        </is>
      </c>
      <c r="C8" s="4" t="n">
        <v>2</v>
      </c>
      <c r="D8" s="4" t="n">
        <v>2</v>
      </c>
      <c r="E8" s="13" t="n">
        <v>25000000</v>
      </c>
      <c r="F8" s="4" t="n">
        <v>10</v>
      </c>
      <c r="G8" s="4" t="n">
        <v>15</v>
      </c>
      <c r="H8" s="4" t="inlineStr">
        <is>
          <t>Élevé</t>
        </is>
      </c>
      <c r="I8" s="4" t="n">
        <v>12</v>
      </c>
      <c r="J8" s="4" t="inlineStr">
        <is>
          <t>Moyenne</t>
        </is>
      </c>
      <c r="K8" s="4" t="inlineStr">
        <is>
          <t>Conditionnel</t>
        </is>
      </c>
      <c r="L8" s="4" t="inlineStr">
        <is>
          <t>En analyse</t>
        </is>
      </c>
    </row>
    <row r="9">
      <c r="A9" s="5" t="inlineStr">
        <is>
          <t>SC-04</t>
        </is>
      </c>
      <c r="B9" s="5" t="inlineStr">
        <is>
          <t>Mentorat systématique</t>
        </is>
      </c>
      <c r="C9" s="5" t="n">
        <v>0</v>
      </c>
      <c r="D9" s="5" t="n">
        <v>0</v>
      </c>
      <c r="E9" s="15" t="n">
        <v>2000000</v>
      </c>
      <c r="F9" s="5" t="n">
        <v>25</v>
      </c>
      <c r="G9" s="5" t="n">
        <v>12</v>
      </c>
      <c r="H9" s="5" t="inlineStr">
        <is>
          <t>Faible</t>
        </is>
      </c>
      <c r="I9" s="5" t="n">
        <v>1</v>
      </c>
      <c r="J9" s="5" t="inlineStr">
        <is>
          <t>Très élevée</t>
        </is>
      </c>
      <c r="K9" s="5" t="inlineStr">
        <is>
          <t>Fortement recommandé</t>
        </is>
      </c>
      <c r="L9" s="5" t="inlineStr">
        <is>
          <t>Validé</t>
        </is>
      </c>
    </row>
    <row r="10">
      <c r="A10" s="4" t="inlineStr">
        <is>
          <t>SC-05</t>
        </is>
      </c>
      <c r="B10" s="4" t="inlineStr">
        <is>
          <t>Formation certification massive</t>
        </is>
      </c>
      <c r="C10" s="4" t="n">
        <v>0</v>
      </c>
      <c r="D10" s="4" t="n">
        <v>0</v>
      </c>
      <c r="E10" s="13" t="n">
        <v>12000000</v>
      </c>
      <c r="F10" s="4" t="n">
        <v>8</v>
      </c>
      <c r="G10" s="4" t="n">
        <v>18</v>
      </c>
      <c r="H10" s="4" t="inlineStr">
        <is>
          <t>Faible</t>
        </is>
      </c>
      <c r="I10" s="4" t="n">
        <v>6</v>
      </c>
      <c r="J10" s="4" t="inlineStr">
        <is>
          <t>Élevée</t>
        </is>
      </c>
      <c r="K10" s="4" t="inlineStr">
        <is>
          <t>Recommandé</t>
        </is>
      </c>
      <c r="L10" s="4" t="inlineStr">
        <is>
          <t>Étudié</t>
        </is>
      </c>
    </row>
    <row r="11">
      <c r="A11" s="5" t="inlineStr">
        <is>
          <t>SC-06</t>
        </is>
      </c>
      <c r="B11" s="5" t="inlineStr">
        <is>
          <t>Externalisation postes clés</t>
        </is>
      </c>
      <c r="C11" s="5" t="n">
        <v>-5</v>
      </c>
      <c r="D11" s="5" t="n">
        <v>0</v>
      </c>
      <c r="E11" s="15" t="n">
        <v>5000000</v>
      </c>
      <c r="F11" s="5" t="n">
        <v>-5</v>
      </c>
      <c r="G11" s="5" t="n">
        <v>8</v>
      </c>
      <c r="H11" s="5" t="inlineStr">
        <is>
          <t>Très élevé</t>
        </is>
      </c>
      <c r="I11" s="5" t="n">
        <v>2</v>
      </c>
      <c r="J11" s="5" t="inlineStr">
        <is>
          <t>Faible</t>
        </is>
      </c>
      <c r="K11" s="5" t="inlineStr">
        <is>
          <t>Non recommandé</t>
        </is>
      </c>
      <c r="L11" s="5" t="inlineStr">
        <is>
          <t>Rejeté</t>
        </is>
      </c>
    </row>
    <row r="12">
      <c r="A12" s="4" t="inlineStr">
        <is>
          <t>SC-07</t>
        </is>
      </c>
      <c r="B12" s="4" t="inlineStr">
        <is>
          <t>Gel des mobilités (statu quo)</t>
        </is>
      </c>
      <c r="C12" s="4" t="n">
        <v>0</v>
      </c>
      <c r="D12" s="4" t="n">
        <v>0</v>
      </c>
      <c r="E12" s="13" t="n">
        <v>500000</v>
      </c>
      <c r="F12" s="4" t="n">
        <v>-15</v>
      </c>
      <c r="G12" s="4" t="n">
        <v>-5</v>
      </c>
      <c r="H12" s="4" t="inlineStr">
        <is>
          <t>Élevé</t>
        </is>
      </c>
      <c r="I12" s="4" t="n">
        <v>0</v>
      </c>
      <c r="J12" s="4" t="inlineStr">
        <is>
          <t>Négative</t>
        </is>
      </c>
      <c r="K12" s="4" t="inlineStr">
        <is>
          <t>Déconseillé</t>
        </is>
      </c>
      <c r="L12" s="4" t="inlineStr">
        <is>
          <t>Rejeté</t>
        </is>
      </c>
    </row>
    <row r="13">
      <c r="A13" s="5">
        <f>IF(A12="","",A12)</f>
        <v/>
      </c>
      <c r="B13" s="5" t="n"/>
      <c r="C13" s="5" t="n"/>
      <c r="D13" s="5" t="n"/>
      <c r="E13" s="15" t="n"/>
      <c r="F13" s="5" t="n"/>
      <c r="G13" s="5" t="n"/>
      <c r="H13" s="5" t="n"/>
      <c r="I13" s="5" t="n"/>
      <c r="J13" s="5" t="n"/>
      <c r="K13" s="5" t="n"/>
      <c r="L13" s="5" t="n"/>
    </row>
    <row r="14">
      <c r="A14" s="4">
        <f>IF(A13="","",A13)</f>
        <v/>
      </c>
      <c r="B14" s="4" t="n"/>
      <c r="C14" s="4" t="n"/>
      <c r="D14" s="4" t="n"/>
      <c r="E14" s="13" t="n"/>
      <c r="F14" s="4" t="n"/>
      <c r="G14" s="4" t="n"/>
      <c r="H14" s="4" t="n"/>
      <c r="I14" s="4" t="n"/>
      <c r="J14" s="4" t="n"/>
      <c r="K14" s="4" t="n"/>
      <c r="L14" s="4" t="n"/>
    </row>
    <row r="15">
      <c r="A15" s="5">
        <f>IF(A14="","",A14)</f>
        <v/>
      </c>
      <c r="B15" s="5" t="n"/>
      <c r="C15" s="5" t="n"/>
      <c r="D15" s="5" t="n"/>
      <c r="E15" s="15" t="n"/>
      <c r="F15" s="5" t="n"/>
      <c r="G15" s="5" t="n"/>
      <c r="H15" s="5" t="n"/>
      <c r="I15" s="5" t="n"/>
      <c r="J15" s="5" t="n"/>
      <c r="K15" s="5" t="n"/>
      <c r="L15" s="5" t="n"/>
    </row>
    <row r="16">
      <c r="A16" s="4">
        <f>IF(A15="","",A15)</f>
        <v/>
      </c>
      <c r="B16" s="4" t="n"/>
      <c r="C16" s="4" t="n"/>
      <c r="D16" s="4" t="n"/>
      <c r="E16" s="13" t="n"/>
      <c r="F16" s="4" t="n"/>
      <c r="G16" s="4" t="n"/>
      <c r="H16" s="4" t="n"/>
      <c r="I16" s="4" t="n"/>
      <c r="J16" s="4" t="n"/>
      <c r="K16" s="4" t="n"/>
      <c r="L16" s="4" t="n"/>
    </row>
    <row r="17">
      <c r="A17" s="5">
        <f>IF(A16="","",A16)</f>
        <v/>
      </c>
      <c r="B17" s="5" t="n"/>
      <c r="C17" s="5" t="n"/>
      <c r="D17" s="5" t="n"/>
      <c r="E17" s="15" t="n"/>
      <c r="F17" s="5" t="n"/>
      <c r="G17" s="5" t="n"/>
      <c r="H17" s="5" t="n"/>
      <c r="I17" s="5" t="n"/>
      <c r="J17" s="5" t="n"/>
      <c r="K17" s="5" t="n"/>
      <c r="L17" s="5" t="n"/>
    </row>
    <row r="18">
      <c r="A18" s="4">
        <f>IF(A17="","",A17)</f>
        <v/>
      </c>
      <c r="B18" s="4" t="n"/>
      <c r="C18" s="4" t="n"/>
      <c r="D18" s="4" t="n"/>
      <c r="E18" s="13" t="n"/>
      <c r="F18" s="4" t="n"/>
      <c r="G18" s="4" t="n"/>
      <c r="H18" s="4" t="n"/>
      <c r="I18" s="4" t="n"/>
      <c r="J18" s="4" t="n"/>
      <c r="K18" s="4" t="n"/>
      <c r="L18" s="4" t="n"/>
    </row>
    <row r="19">
      <c r="A19" s="5">
        <f>IF(A18="","",A18)</f>
        <v/>
      </c>
      <c r="B19" s="5" t="n"/>
      <c r="C19" s="5" t="n"/>
      <c r="D19" s="5" t="n"/>
      <c r="E19" s="15" t="n"/>
      <c r="F19" s="5" t="n"/>
      <c r="G19" s="5" t="n"/>
      <c r="H19" s="5" t="n"/>
      <c r="I19" s="5" t="n"/>
      <c r="J19" s="5" t="n"/>
      <c r="K19" s="5" t="n"/>
      <c r="L19" s="5" t="n"/>
    </row>
    <row r="20">
      <c r="A20" s="4">
        <f>IF(A19="","",A19)</f>
        <v/>
      </c>
      <c r="B20" s="4" t="n"/>
      <c r="C20" s="4" t="n"/>
      <c r="D20" s="4" t="n"/>
      <c r="E20" s="13" t="n"/>
      <c r="F20" s="4" t="n"/>
      <c r="G20" s="4" t="n"/>
      <c r="H20" s="4" t="n"/>
      <c r="I20" s="4" t="n"/>
      <c r="J20" s="4" t="n"/>
      <c r="K20" s="4" t="n"/>
      <c r="L20" s="4" t="n"/>
    </row>
    <row r="21">
      <c r="A21" s="5">
        <f>IF(A20="","",A20)</f>
        <v/>
      </c>
      <c r="B21" s="5" t="n"/>
      <c r="C21" s="5" t="n"/>
      <c r="D21" s="5" t="n"/>
      <c r="E21" s="15" t="n"/>
      <c r="F21" s="5" t="n"/>
      <c r="G21" s="5" t="n"/>
      <c r="H21" s="5" t="n"/>
      <c r="I21" s="5" t="n"/>
      <c r="J21" s="5" t="n"/>
      <c r="K21" s="5" t="n"/>
      <c r="L21" s="5" t="n"/>
    </row>
    <row r="22">
      <c r="A22" s="4">
        <f>IF(A21="","",A21)</f>
        <v/>
      </c>
      <c r="B22" s="4" t="n"/>
      <c r="C22" s="4" t="n"/>
      <c r="D22" s="4" t="n"/>
      <c r="E22" s="13" t="n"/>
      <c r="F22" s="4" t="n"/>
      <c r="G22" s="4" t="n"/>
      <c r="H22" s="4" t="n"/>
      <c r="I22" s="4" t="n"/>
      <c r="J22" s="4" t="n"/>
      <c r="K22" s="4" t="n"/>
      <c r="L22" s="4" t="n"/>
    </row>
    <row r="23">
      <c r="A23" s="5">
        <f>IF(A22="","",A22)</f>
        <v/>
      </c>
      <c r="B23" s="5" t="n"/>
      <c r="C23" s="5" t="n"/>
      <c r="D23" s="5" t="n"/>
      <c r="E23" s="15" t="n"/>
      <c r="F23" s="5" t="n"/>
      <c r="G23" s="5" t="n"/>
      <c r="H23" s="5" t="n"/>
      <c r="I23" s="5" t="n"/>
      <c r="J23" s="5" t="n"/>
      <c r="K23" s="5" t="n"/>
      <c r="L23" s="5" t="n"/>
    </row>
    <row r="24">
      <c r="A24" s="4">
        <f>IF(A23="","",A23)</f>
        <v/>
      </c>
      <c r="B24" s="4" t="n"/>
      <c r="C24" s="4" t="n"/>
      <c r="D24" s="4" t="n"/>
      <c r="E24" s="13" t="n"/>
      <c r="F24" s="4" t="n"/>
      <c r="G24" s="4" t="n"/>
      <c r="H24" s="4" t="n"/>
      <c r="I24" s="4" t="n"/>
      <c r="J24" s="4" t="n"/>
      <c r="K24" s="4" t="n"/>
      <c r="L24" s="4" t="n"/>
    </row>
    <row r="25">
      <c r="A25" s="5">
        <f>IF(A24="","",A24)</f>
        <v/>
      </c>
      <c r="B25" s="5" t="n"/>
      <c r="C25" s="5" t="n"/>
      <c r="D25" s="5" t="n"/>
      <c r="E25" s="15" t="n"/>
      <c r="F25" s="5" t="n"/>
      <c r="G25" s="5" t="n"/>
      <c r="H25" s="5" t="n"/>
      <c r="I25" s="5" t="n"/>
      <c r="J25" s="5" t="n"/>
      <c r="K25" s="5" t="n"/>
      <c r="L25" s="5" t="n"/>
    </row>
    <row r="26">
      <c r="A26" s="4">
        <f>IF(A25="","",A25)</f>
        <v/>
      </c>
      <c r="B26" s="4" t="n"/>
      <c r="C26" s="4" t="n"/>
      <c r="D26" s="4" t="n"/>
      <c r="E26" s="13" t="n"/>
      <c r="F26" s="4" t="n"/>
      <c r="G26" s="4" t="n"/>
      <c r="H26" s="4" t="n"/>
      <c r="I26" s="4" t="n"/>
      <c r="J26" s="4" t="n"/>
      <c r="K26" s="4" t="n"/>
      <c r="L26" s="4" t="n"/>
    </row>
    <row r="27">
      <c r="A27" s="5">
        <f>IF(A26="","",A26)</f>
        <v/>
      </c>
      <c r="B27" s="5" t="n"/>
      <c r="C27" s="5" t="n"/>
      <c r="D27" s="5" t="n"/>
      <c r="E27" s="15" t="n"/>
      <c r="F27" s="5" t="n"/>
      <c r="G27" s="5" t="n"/>
      <c r="H27" s="5" t="n"/>
      <c r="I27" s="5" t="n"/>
      <c r="J27" s="5" t="n"/>
      <c r="K27" s="5" t="n"/>
      <c r="L27" s="5" t="n"/>
    </row>
    <row r="28">
      <c r="A28" s="4">
        <f>IF(A27="","",A27)</f>
        <v/>
      </c>
      <c r="B28" s="4" t="n"/>
      <c r="C28" s="4" t="n"/>
      <c r="D28" s="4" t="n"/>
      <c r="E28" s="13" t="n"/>
      <c r="F28" s="4" t="n"/>
      <c r="G28" s="4" t="n"/>
      <c r="H28" s="4" t="n"/>
      <c r="I28" s="4" t="n"/>
      <c r="J28" s="4" t="n"/>
      <c r="K28" s="4" t="n"/>
      <c r="L28" s="4" t="n"/>
    </row>
    <row r="29">
      <c r="A29" s="5">
        <f>IF(A28="","",A28)</f>
        <v/>
      </c>
      <c r="B29" s="5" t="n"/>
      <c r="C29" s="5" t="n"/>
      <c r="D29" s="5" t="n"/>
      <c r="E29" s="15" t="n"/>
      <c r="F29" s="5" t="n"/>
      <c r="G29" s="5" t="n"/>
      <c r="H29" s="5" t="n"/>
      <c r="I29" s="5" t="n"/>
      <c r="J29" s="5" t="n"/>
      <c r="K29" s="5" t="n"/>
      <c r="L29" s="5" t="n"/>
    </row>
    <row r="30">
      <c r="A30" s="4">
        <f>IF(A29="","",A29)</f>
        <v/>
      </c>
      <c r="B30" s="4" t="n"/>
      <c r="C30" s="4" t="n"/>
      <c r="D30" s="4" t="n"/>
      <c r="E30" s="13" t="n"/>
      <c r="F30" s="4" t="n"/>
      <c r="G30" s="4" t="n"/>
      <c r="H30" s="4" t="n"/>
      <c r="I30" s="4" t="n"/>
      <c r="J30" s="4" t="n"/>
      <c r="K30" s="4" t="n"/>
      <c r="L30" s="4" t="n"/>
    </row>
    <row r="31">
      <c r="A31" s="5">
        <f>IF(A30="","",A30)</f>
        <v/>
      </c>
      <c r="B31" s="5" t="n"/>
      <c r="C31" s="5" t="n"/>
      <c r="D31" s="5" t="n"/>
      <c r="E31" s="15" t="n"/>
      <c r="F31" s="5" t="n"/>
      <c r="G31" s="5" t="n"/>
      <c r="H31" s="5" t="n"/>
      <c r="I31" s="5" t="n"/>
      <c r="J31" s="5" t="n"/>
      <c r="K31" s="5" t="n"/>
      <c r="L31" s="5" t="n"/>
    </row>
    <row r="32">
      <c r="A32" s="4">
        <f>IF(A31="","",A31)</f>
        <v/>
      </c>
      <c r="B32" s="4" t="n"/>
      <c r="C32" s="4" t="n"/>
      <c r="D32" s="4" t="n"/>
      <c r="E32" s="13" t="n"/>
      <c r="F32" s="4" t="n"/>
      <c r="G32" s="4" t="n"/>
      <c r="H32" s="4" t="n"/>
      <c r="I32" s="4" t="n"/>
      <c r="J32" s="4" t="n"/>
      <c r="K32" s="4" t="n"/>
      <c r="L32" s="4" t="n"/>
    </row>
    <row r="33">
      <c r="A33" s="5">
        <f>IF(A32="","",A32)</f>
        <v/>
      </c>
      <c r="B33" s="5" t="n"/>
      <c r="C33" s="5" t="n"/>
      <c r="D33" s="5" t="n"/>
      <c r="E33" s="15" t="n"/>
      <c r="F33" s="5" t="n"/>
      <c r="G33" s="5" t="n"/>
      <c r="H33" s="5" t="n"/>
      <c r="I33" s="5" t="n"/>
      <c r="J33" s="5" t="n"/>
      <c r="K33" s="5" t="n"/>
      <c r="L33" s="5" t="n"/>
    </row>
    <row r="34">
      <c r="A34" s="4">
        <f>IF(A33="","",A33)</f>
        <v/>
      </c>
      <c r="B34" s="4" t="n"/>
      <c r="C34" s="4" t="n"/>
      <c r="D34" s="4" t="n"/>
      <c r="E34" s="13" t="n"/>
      <c r="F34" s="4" t="n"/>
      <c r="G34" s="4" t="n"/>
      <c r="H34" s="4" t="n"/>
      <c r="I34" s="4" t="n"/>
      <c r="J34" s="4" t="n"/>
      <c r="K34" s="4" t="n"/>
      <c r="L34" s="4" t="n"/>
    </row>
    <row r="35">
      <c r="A35" s="5">
        <f>IF(A34="","",A34)</f>
        <v/>
      </c>
      <c r="B35" s="5" t="n"/>
      <c r="C35" s="5" t="n"/>
      <c r="D35" s="5" t="n"/>
      <c r="E35" s="15" t="n"/>
      <c r="F35" s="5" t="n"/>
      <c r="G35" s="5" t="n"/>
      <c r="H35" s="5" t="n"/>
      <c r="I35" s="5" t="n"/>
      <c r="J35" s="5" t="n"/>
      <c r="K35" s="5" t="n"/>
      <c r="L35" s="5" t="n"/>
    </row>
    <row r="36">
      <c r="A36" s="4">
        <f>IF(A35="","",A35)</f>
        <v/>
      </c>
      <c r="B36" s="4" t="n"/>
      <c r="C36" s="4" t="n"/>
      <c r="D36" s="4" t="n"/>
      <c r="E36" s="13" t="n"/>
      <c r="F36" s="4" t="n"/>
      <c r="G36" s="4" t="n"/>
      <c r="H36" s="4" t="n"/>
      <c r="I36" s="4" t="n"/>
      <c r="J36" s="4" t="n"/>
      <c r="K36" s="4" t="n"/>
      <c r="L36" s="4" t="n"/>
    </row>
    <row r="37">
      <c r="A37" s="5">
        <f>IF(A36="","",A36)</f>
        <v/>
      </c>
      <c r="B37" s="5" t="n"/>
      <c r="C37" s="5" t="n"/>
      <c r="D37" s="5" t="n"/>
      <c r="E37" s="15" t="n"/>
      <c r="F37" s="5" t="n"/>
      <c r="G37" s="5" t="n"/>
      <c r="H37" s="5" t="n"/>
      <c r="I37" s="5" t="n"/>
      <c r="J37" s="5" t="n"/>
      <c r="K37" s="5" t="n"/>
      <c r="L37" s="5" t="n"/>
    </row>
    <row r="38">
      <c r="A38" s="4">
        <f>IF(A37="","",A37)</f>
        <v/>
      </c>
      <c r="B38" s="4" t="n"/>
      <c r="C38" s="4" t="n"/>
      <c r="D38" s="4" t="n"/>
      <c r="E38" s="13" t="n"/>
      <c r="F38" s="4" t="n"/>
      <c r="G38" s="4" t="n"/>
      <c r="H38" s="4" t="n"/>
      <c r="I38" s="4" t="n"/>
      <c r="J38" s="4" t="n"/>
      <c r="K38" s="4" t="n"/>
      <c r="L38" s="4" t="n"/>
    </row>
    <row r="39">
      <c r="A39" s="5">
        <f>IF(A38="","",A38)</f>
        <v/>
      </c>
      <c r="B39" s="5" t="n"/>
      <c r="C39" s="5" t="n"/>
      <c r="D39" s="5" t="n"/>
      <c r="E39" s="15" t="n"/>
      <c r="F39" s="5" t="n"/>
      <c r="G39" s="5" t="n"/>
      <c r="H39" s="5" t="n"/>
      <c r="I39" s="5" t="n"/>
      <c r="J39" s="5" t="n"/>
      <c r="K39" s="5" t="n"/>
      <c r="L39" s="5" t="n"/>
    </row>
    <row r="40">
      <c r="A40" s="4">
        <f>IF(A39="","",A39)</f>
        <v/>
      </c>
      <c r="B40" s="4" t="n"/>
      <c r="C40" s="4" t="n"/>
      <c r="D40" s="4" t="n"/>
      <c r="E40" s="13" t="n"/>
      <c r="F40" s="4" t="n"/>
      <c r="G40" s="4" t="n"/>
      <c r="H40" s="4" t="n"/>
      <c r="I40" s="4" t="n"/>
      <c r="J40" s="4" t="n"/>
      <c r="K40" s="4" t="n"/>
      <c r="L40" s="4" t="n"/>
    </row>
    <row r="41">
      <c r="A41" s="5">
        <f>IF(A40="","",A40)</f>
        <v/>
      </c>
      <c r="B41" s="5" t="n"/>
      <c r="C41" s="5" t="n"/>
      <c r="D41" s="5" t="n"/>
      <c r="E41" s="15" t="n"/>
      <c r="F41" s="5" t="n"/>
      <c r="G41" s="5" t="n"/>
      <c r="H41" s="5" t="n"/>
      <c r="I41" s="5" t="n"/>
      <c r="J41" s="5" t="n"/>
      <c r="K41" s="5" t="n"/>
      <c r="L41" s="5" t="n"/>
    </row>
    <row r="42">
      <c r="A42" s="4">
        <f>IF(A41="","",A41)</f>
        <v/>
      </c>
      <c r="B42" s="4" t="n"/>
      <c r="C42" s="4" t="n"/>
      <c r="D42" s="4" t="n"/>
      <c r="E42" s="13" t="n"/>
      <c r="F42" s="4" t="n"/>
      <c r="G42" s="4" t="n"/>
      <c r="H42" s="4" t="n"/>
      <c r="I42" s="4" t="n"/>
      <c r="J42" s="4" t="n"/>
      <c r="K42" s="4" t="n"/>
      <c r="L42" s="4" t="n"/>
    </row>
    <row r="43">
      <c r="A43" s="5">
        <f>IF(A42="","",A42)</f>
        <v/>
      </c>
      <c r="B43" s="5" t="n"/>
      <c r="C43" s="5" t="n"/>
      <c r="D43" s="5" t="n"/>
      <c r="E43" s="15" t="n"/>
      <c r="F43" s="5" t="n"/>
      <c r="G43" s="5" t="n"/>
      <c r="H43" s="5" t="n"/>
      <c r="I43" s="5" t="n"/>
      <c r="J43" s="5" t="n"/>
      <c r="K43" s="5" t="n"/>
      <c r="L43" s="5" t="n"/>
    </row>
    <row r="44">
      <c r="A44" s="4">
        <f>IF(A43="","",A43)</f>
        <v/>
      </c>
      <c r="B44" s="4" t="n"/>
      <c r="C44" s="4" t="n"/>
      <c r="D44" s="4" t="n"/>
      <c r="E44" s="13" t="n"/>
      <c r="F44" s="4" t="n"/>
      <c r="G44" s="4" t="n"/>
      <c r="H44" s="4" t="n"/>
      <c r="I44" s="4" t="n"/>
      <c r="J44" s="4" t="n"/>
      <c r="K44" s="4" t="n"/>
      <c r="L44" s="4" t="n"/>
    </row>
    <row r="45">
      <c r="A45" s="5">
        <f>IF(A44="","",A44)</f>
        <v/>
      </c>
      <c r="B45" s="5" t="n"/>
      <c r="C45" s="5" t="n"/>
      <c r="D45" s="5" t="n"/>
      <c r="E45" s="15" t="n"/>
      <c r="F45" s="5" t="n"/>
      <c r="G45" s="5" t="n"/>
      <c r="H45" s="5" t="n"/>
      <c r="I45" s="5" t="n"/>
      <c r="J45" s="5" t="n"/>
      <c r="K45" s="5" t="n"/>
      <c r="L45" s="5" t="n"/>
    </row>
    <row r="46">
      <c r="A46" s="4">
        <f>IF(A45="","",A45)</f>
        <v/>
      </c>
      <c r="B46" s="4" t="n"/>
      <c r="C46" s="4" t="n"/>
      <c r="D46" s="4" t="n"/>
      <c r="E46" s="13" t="n"/>
      <c r="F46" s="4" t="n"/>
      <c r="G46" s="4" t="n"/>
      <c r="H46" s="4" t="n"/>
      <c r="I46" s="4" t="n"/>
      <c r="J46" s="4" t="n"/>
      <c r="K46" s="4" t="n"/>
      <c r="L46" s="4" t="n"/>
    </row>
    <row r="47">
      <c r="A47" s="5">
        <f>IF(A46="","",A46)</f>
        <v/>
      </c>
      <c r="B47" s="5" t="n"/>
      <c r="C47" s="5" t="n"/>
      <c r="D47" s="5" t="n"/>
      <c r="E47" s="15" t="n"/>
      <c r="F47" s="5" t="n"/>
      <c r="G47" s="5" t="n"/>
      <c r="H47" s="5" t="n"/>
      <c r="I47" s="5" t="n"/>
      <c r="J47" s="5" t="n"/>
      <c r="K47" s="5" t="n"/>
      <c r="L47" s="5" t="n"/>
    </row>
    <row r="48">
      <c r="A48" s="4">
        <f>IF(A47="","",A47)</f>
        <v/>
      </c>
      <c r="B48" s="4" t="n"/>
      <c r="C48" s="4" t="n"/>
      <c r="D48" s="4" t="n"/>
      <c r="E48" s="13" t="n"/>
      <c r="F48" s="4" t="n"/>
      <c r="G48" s="4" t="n"/>
      <c r="H48" s="4" t="n"/>
      <c r="I48" s="4" t="n"/>
      <c r="J48" s="4" t="n"/>
      <c r="K48" s="4" t="n"/>
      <c r="L48" s="4" t="n"/>
    </row>
    <row r="49">
      <c r="A49" s="5">
        <f>IF(A48="","",A48)</f>
        <v/>
      </c>
      <c r="B49" s="5" t="n"/>
      <c r="C49" s="5" t="n"/>
      <c r="D49" s="5" t="n"/>
      <c r="E49" s="15" t="n"/>
      <c r="F49" s="5" t="n"/>
      <c r="G49" s="5" t="n"/>
      <c r="H49" s="5" t="n"/>
      <c r="I49" s="5" t="n"/>
      <c r="J49" s="5" t="n"/>
      <c r="K49" s="5" t="n"/>
      <c r="L49" s="5" t="n"/>
    </row>
    <row r="50">
      <c r="A50" s="4">
        <f>IF(A49="","",A49)</f>
        <v/>
      </c>
      <c r="B50" s="4" t="n"/>
      <c r="C50" s="4" t="n"/>
      <c r="D50" s="4" t="n"/>
      <c r="E50" s="13" t="n"/>
      <c r="F50" s="4" t="n"/>
      <c r="G50" s="4" t="n"/>
      <c r="H50" s="4" t="n"/>
      <c r="I50" s="4" t="n"/>
      <c r="J50" s="4" t="n"/>
      <c r="K50" s="4" t="n"/>
      <c r="L50" s="4" t="n"/>
    </row>
    <row r="51">
      <c r="A51" s="5">
        <f>IF(A50="","",A50)</f>
        <v/>
      </c>
      <c r="B51" s="5" t="n"/>
      <c r="C51" s="5" t="n"/>
      <c r="D51" s="5" t="n"/>
      <c r="E51" s="15" t="n"/>
      <c r="F51" s="5" t="n"/>
      <c r="G51" s="5" t="n"/>
      <c r="H51" s="5" t="n"/>
      <c r="I51" s="5" t="n"/>
      <c r="J51" s="5" t="n"/>
      <c r="K51" s="5" t="n"/>
      <c r="L51" s="5" t="n"/>
    </row>
    <row r="52">
      <c r="A52" s="4">
        <f>IF(A51="","",A51)</f>
        <v/>
      </c>
      <c r="B52" s="4" t="n"/>
      <c r="C52" s="4" t="n"/>
      <c r="D52" s="4" t="n"/>
      <c r="E52" s="13" t="n"/>
      <c r="F52" s="4" t="n"/>
      <c r="G52" s="4" t="n"/>
      <c r="H52" s="4" t="n"/>
      <c r="I52" s="4" t="n"/>
      <c r="J52" s="4" t="n"/>
      <c r="K52" s="4" t="n"/>
      <c r="L52" s="4" t="n"/>
    </row>
    <row r="53">
      <c r="A53" s="5">
        <f>IF(A52="","",A52)</f>
        <v/>
      </c>
      <c r="B53" s="5" t="n"/>
      <c r="C53" s="5" t="n"/>
      <c r="D53" s="5" t="n"/>
      <c r="E53" s="15" t="n"/>
      <c r="F53" s="5" t="n"/>
      <c r="G53" s="5" t="n"/>
      <c r="H53" s="5" t="n"/>
      <c r="I53" s="5" t="n"/>
      <c r="J53" s="5" t="n"/>
      <c r="K53" s="5" t="n"/>
      <c r="L53" s="5" t="n"/>
    </row>
    <row r="54">
      <c r="A54" s="4">
        <f>IF(A53="","",A53)</f>
        <v/>
      </c>
      <c r="B54" s="4" t="n"/>
      <c r="C54" s="4" t="n"/>
      <c r="D54" s="4" t="n"/>
      <c r="E54" s="13" t="n"/>
      <c r="F54" s="4" t="n"/>
      <c r="G54" s="4" t="n"/>
      <c r="H54" s="4" t="n"/>
      <c r="I54" s="4" t="n"/>
      <c r="J54" s="4" t="n"/>
      <c r="K54" s="4" t="n"/>
      <c r="L54" s="4" t="n"/>
    </row>
    <row r="55">
      <c r="A55" s="5">
        <f>IF(A54="","",A54)</f>
        <v/>
      </c>
      <c r="B55" s="5" t="n"/>
      <c r="C55" s="5" t="n"/>
      <c r="D55" s="5" t="n"/>
      <c r="E55" s="15" t="n"/>
      <c r="F55" s="5" t="n"/>
      <c r="G55" s="5" t="n"/>
      <c r="H55" s="5" t="n"/>
      <c r="I55" s="5" t="n"/>
      <c r="J55" s="5" t="n"/>
      <c r="K55" s="5" t="n"/>
      <c r="L55" s="5" t="n"/>
    </row>
    <row r="56">
      <c r="A56" s="4">
        <f>IF(A55="","",A55)</f>
        <v/>
      </c>
      <c r="B56" s="4" t="n"/>
      <c r="C56" s="4" t="n"/>
      <c r="D56" s="4" t="n"/>
      <c r="E56" s="13" t="n"/>
      <c r="F56" s="4" t="n"/>
      <c r="G56" s="4" t="n"/>
      <c r="H56" s="4" t="n"/>
      <c r="I56" s="4" t="n"/>
      <c r="J56" s="4" t="n"/>
      <c r="K56" s="4" t="n"/>
      <c r="L56" s="4" t="n"/>
    </row>
    <row r="57">
      <c r="A57" s="5">
        <f>IF(A56="","",A56)</f>
        <v/>
      </c>
      <c r="B57" s="5" t="n"/>
      <c r="C57" s="5" t="n"/>
      <c r="D57" s="5" t="n"/>
      <c r="E57" s="15" t="n"/>
      <c r="F57" s="5" t="n"/>
      <c r="G57" s="5" t="n"/>
      <c r="H57" s="5" t="n"/>
      <c r="I57" s="5" t="n"/>
      <c r="J57" s="5" t="n"/>
      <c r="K57" s="5" t="n"/>
      <c r="L57" s="5" t="n"/>
    </row>
    <row r="58">
      <c r="A58" s="4">
        <f>IF(A57="","",A57)</f>
        <v/>
      </c>
      <c r="B58" s="4" t="n"/>
      <c r="C58" s="4" t="n"/>
      <c r="D58" s="4" t="n"/>
      <c r="E58" s="13" t="n"/>
      <c r="F58" s="4" t="n"/>
      <c r="G58" s="4" t="n"/>
      <c r="H58" s="4" t="n"/>
      <c r="I58" s="4" t="n"/>
      <c r="J58" s="4" t="n"/>
      <c r="K58" s="4" t="n"/>
      <c r="L58" s="4" t="n"/>
    </row>
    <row r="59">
      <c r="A59" s="5">
        <f>IF(A58="","",A58)</f>
        <v/>
      </c>
      <c r="B59" s="5" t="n"/>
      <c r="C59" s="5" t="n"/>
      <c r="D59" s="5" t="n"/>
      <c r="E59" s="15" t="n"/>
      <c r="F59" s="5" t="n"/>
      <c r="G59" s="5" t="n"/>
      <c r="H59" s="5" t="n"/>
      <c r="I59" s="5" t="n"/>
      <c r="J59" s="5" t="n"/>
      <c r="K59" s="5" t="n"/>
      <c r="L59" s="5" t="n"/>
    </row>
    <row r="60">
      <c r="A60" s="4">
        <f>IF(A59="","",A59)</f>
        <v/>
      </c>
      <c r="B60" s="4" t="n"/>
      <c r="C60" s="4" t="n"/>
      <c r="D60" s="4" t="n"/>
      <c r="E60" s="13" t="n"/>
      <c r="F60" s="4" t="n"/>
      <c r="G60" s="4" t="n"/>
      <c r="H60" s="4" t="n"/>
      <c r="I60" s="4" t="n"/>
      <c r="J60" s="4" t="n"/>
      <c r="K60" s="4" t="n"/>
      <c r="L60" s="4" t="n"/>
    </row>
    <row r="61">
      <c r="A61" s="5">
        <f>IF(A60="","",A60)</f>
        <v/>
      </c>
      <c r="B61" s="5" t="n"/>
      <c r="C61" s="5" t="n"/>
      <c r="D61" s="5" t="n"/>
      <c r="E61" s="15" t="n"/>
      <c r="F61" s="5" t="n"/>
      <c r="G61" s="5" t="n"/>
      <c r="H61" s="5" t="n"/>
      <c r="I61" s="5" t="n"/>
      <c r="J61" s="5" t="n"/>
      <c r="K61" s="5" t="n"/>
      <c r="L61" s="5" t="n"/>
    </row>
    <row r="62">
      <c r="A62" s="4">
        <f>IF(A61="","",A61)</f>
        <v/>
      </c>
      <c r="B62" s="4" t="n"/>
      <c r="C62" s="4" t="n"/>
      <c r="D62" s="4" t="n"/>
      <c r="E62" s="13" t="n"/>
      <c r="F62" s="4" t="n"/>
      <c r="G62" s="4" t="n"/>
      <c r="H62" s="4" t="n"/>
      <c r="I62" s="4" t="n"/>
      <c r="J62" s="4" t="n"/>
      <c r="K62" s="4" t="n"/>
      <c r="L62" s="4" t="n"/>
    </row>
    <row r="63">
      <c r="A63" s="5">
        <f>IF(A62="","",A62)</f>
        <v/>
      </c>
      <c r="B63" s="5" t="n"/>
      <c r="C63" s="5" t="n"/>
      <c r="D63" s="5" t="n"/>
      <c r="E63" s="15" t="n"/>
      <c r="F63" s="5" t="n"/>
      <c r="G63" s="5" t="n"/>
      <c r="H63" s="5" t="n"/>
      <c r="I63" s="5" t="n"/>
      <c r="J63" s="5" t="n"/>
      <c r="K63" s="5" t="n"/>
      <c r="L63" s="5" t="n"/>
    </row>
    <row r="64">
      <c r="A64" s="4">
        <f>IF(A63="","",A63)</f>
        <v/>
      </c>
      <c r="B64" s="4" t="n"/>
      <c r="C64" s="4" t="n"/>
      <c r="D64" s="4" t="n"/>
      <c r="E64" s="13" t="n"/>
      <c r="F64" s="4" t="n"/>
      <c r="G64" s="4" t="n"/>
      <c r="H64" s="4" t="n"/>
      <c r="I64" s="4" t="n"/>
      <c r="J64" s="4" t="n"/>
      <c r="K64" s="4" t="n"/>
      <c r="L64" s="4" t="n"/>
    </row>
    <row r="65">
      <c r="A65" s="5">
        <f>IF(A64="","",A64)</f>
        <v/>
      </c>
      <c r="B65" s="5" t="n"/>
      <c r="C65" s="5" t="n"/>
      <c r="D65" s="5" t="n"/>
      <c r="E65" s="15" t="n"/>
      <c r="F65" s="5" t="n"/>
      <c r="G65" s="5" t="n"/>
      <c r="H65" s="5" t="n"/>
      <c r="I65" s="5" t="n"/>
      <c r="J65" s="5" t="n"/>
      <c r="K65" s="5" t="n"/>
      <c r="L65" s="5" t="n"/>
    </row>
    <row r="66">
      <c r="A66" s="4">
        <f>IF(A65="","",A65)</f>
        <v/>
      </c>
      <c r="B66" s="4" t="n"/>
      <c r="C66" s="4" t="n"/>
      <c r="D66" s="4" t="n"/>
      <c r="E66" s="13" t="n"/>
      <c r="F66" s="4" t="n"/>
      <c r="G66" s="4" t="n"/>
      <c r="H66" s="4" t="n"/>
      <c r="I66" s="4" t="n"/>
      <c r="J66" s="4" t="n"/>
      <c r="K66" s="4" t="n"/>
      <c r="L66" s="4" t="n"/>
    </row>
    <row r="67">
      <c r="A67" s="5">
        <f>IF(A66="","",A66)</f>
        <v/>
      </c>
      <c r="B67" s="5" t="n"/>
      <c r="C67" s="5" t="n"/>
      <c r="D67" s="5" t="n"/>
      <c r="E67" s="15" t="n"/>
      <c r="F67" s="5" t="n"/>
      <c r="G67" s="5" t="n"/>
      <c r="H67" s="5" t="n"/>
      <c r="I67" s="5" t="n"/>
      <c r="J67" s="5" t="n"/>
      <c r="K67" s="5" t="n"/>
      <c r="L67" s="5" t="n"/>
    </row>
    <row r="68">
      <c r="A68" s="4">
        <f>IF(A67="","",A67)</f>
        <v/>
      </c>
      <c r="B68" s="4" t="n"/>
      <c r="C68" s="4" t="n"/>
      <c r="D68" s="4" t="n"/>
      <c r="E68" s="13" t="n"/>
      <c r="F68" s="4" t="n"/>
      <c r="G68" s="4" t="n"/>
      <c r="H68" s="4" t="n"/>
      <c r="I68" s="4" t="n"/>
      <c r="J68" s="4" t="n"/>
      <c r="K68" s="4" t="n"/>
      <c r="L68" s="4" t="n"/>
    </row>
    <row r="69">
      <c r="A69" s="5">
        <f>IF(A68="","",A68)</f>
        <v/>
      </c>
      <c r="B69" s="5" t="n"/>
      <c r="C69" s="5" t="n"/>
      <c r="D69" s="5" t="n"/>
      <c r="E69" s="15" t="n"/>
      <c r="F69" s="5" t="n"/>
      <c r="G69" s="5" t="n"/>
      <c r="H69" s="5" t="n"/>
      <c r="I69" s="5" t="n"/>
      <c r="J69" s="5" t="n"/>
      <c r="K69" s="5" t="n"/>
      <c r="L69" s="5" t="n"/>
    </row>
    <row r="70">
      <c r="A70" s="4">
        <f>IF(A69="","",A69)</f>
        <v/>
      </c>
      <c r="B70" s="4" t="n"/>
      <c r="C70" s="4" t="n"/>
      <c r="D70" s="4" t="n"/>
      <c r="E70" s="13" t="n"/>
      <c r="F70" s="4" t="n"/>
      <c r="G70" s="4" t="n"/>
      <c r="H70" s="4" t="n"/>
      <c r="I70" s="4" t="n"/>
      <c r="J70" s="4" t="n"/>
      <c r="K70" s="4" t="n"/>
      <c r="L70" s="4" t="n"/>
    </row>
    <row r="71">
      <c r="A71" s="5">
        <f>IF(A70="","",A70)</f>
        <v/>
      </c>
      <c r="B71" s="5" t="n"/>
      <c r="C71" s="5" t="n"/>
      <c r="D71" s="5" t="n"/>
      <c r="E71" s="15" t="n"/>
      <c r="F71" s="5" t="n"/>
      <c r="G71" s="5" t="n"/>
      <c r="H71" s="5" t="n"/>
      <c r="I71" s="5" t="n"/>
      <c r="J71" s="5" t="n"/>
      <c r="K71" s="5" t="n"/>
      <c r="L71" s="5" t="n"/>
    </row>
    <row r="72">
      <c r="A72" s="4">
        <f>IF(A71="","",A71)</f>
        <v/>
      </c>
      <c r="B72" s="4" t="n"/>
      <c r="C72" s="4" t="n"/>
      <c r="D72" s="4" t="n"/>
      <c r="E72" s="13" t="n"/>
      <c r="F72" s="4" t="n"/>
      <c r="G72" s="4" t="n"/>
      <c r="H72" s="4" t="n"/>
      <c r="I72" s="4" t="n"/>
      <c r="J72" s="4" t="n"/>
      <c r="K72" s="4" t="n"/>
      <c r="L72" s="4" t="n"/>
    </row>
    <row r="73">
      <c r="A73" s="5">
        <f>IF(A72="","",A72)</f>
        <v/>
      </c>
      <c r="B73" s="5" t="n"/>
      <c r="C73" s="5" t="n"/>
      <c r="D73" s="5" t="n"/>
      <c r="E73" s="15" t="n"/>
      <c r="F73" s="5" t="n"/>
      <c r="G73" s="5" t="n"/>
      <c r="H73" s="5" t="n"/>
      <c r="I73" s="5" t="n"/>
      <c r="J73" s="5" t="n"/>
      <c r="K73" s="5" t="n"/>
      <c r="L73" s="5" t="n"/>
    </row>
    <row r="74">
      <c r="A74" s="4">
        <f>IF(A73="","",A73)</f>
        <v/>
      </c>
      <c r="B74" s="4" t="n"/>
      <c r="C74" s="4" t="n"/>
      <c r="D74" s="4" t="n"/>
      <c r="E74" s="13" t="n"/>
      <c r="F74" s="4" t="n"/>
      <c r="G74" s="4" t="n"/>
      <c r="H74" s="4" t="n"/>
      <c r="I74" s="4" t="n"/>
      <c r="J74" s="4" t="n"/>
      <c r="K74" s="4" t="n"/>
      <c r="L74" s="4" t="n"/>
    </row>
    <row r="75">
      <c r="A75" s="5">
        <f>IF(A74="","",A74)</f>
        <v/>
      </c>
      <c r="B75" s="5" t="n"/>
      <c r="C75" s="5" t="n"/>
      <c r="D75" s="5" t="n"/>
      <c r="E75" s="15" t="n"/>
      <c r="F75" s="5" t="n"/>
      <c r="G75" s="5" t="n"/>
      <c r="H75" s="5" t="n"/>
      <c r="I75" s="5" t="n"/>
      <c r="J75" s="5" t="n"/>
      <c r="K75" s="5" t="n"/>
      <c r="L75" s="5" t="n"/>
    </row>
    <row r="76">
      <c r="A76" s="4">
        <f>IF(A75="","",A75)</f>
        <v/>
      </c>
      <c r="B76" s="4" t="n"/>
      <c r="C76" s="4" t="n"/>
      <c r="D76" s="4" t="n"/>
      <c r="E76" s="13" t="n"/>
      <c r="F76" s="4" t="n"/>
      <c r="G76" s="4" t="n"/>
      <c r="H76" s="4" t="n"/>
      <c r="I76" s="4" t="n"/>
      <c r="J76" s="4" t="n"/>
      <c r="K76" s="4" t="n"/>
      <c r="L76" s="4" t="n"/>
    </row>
    <row r="77">
      <c r="A77" s="5">
        <f>IF(A76="","",A76)</f>
        <v/>
      </c>
      <c r="B77" s="5" t="n"/>
      <c r="C77" s="5" t="n"/>
      <c r="D77" s="5" t="n"/>
      <c r="E77" s="15" t="n"/>
      <c r="F77" s="5" t="n"/>
      <c r="G77" s="5" t="n"/>
      <c r="H77" s="5" t="n"/>
      <c r="I77" s="5" t="n"/>
      <c r="J77" s="5" t="n"/>
      <c r="K77" s="5" t="n"/>
      <c r="L77" s="5" t="n"/>
    </row>
    <row r="78">
      <c r="A78" s="4">
        <f>IF(A77="","",A77)</f>
        <v/>
      </c>
      <c r="B78" s="4" t="n"/>
      <c r="C78" s="4" t="n"/>
      <c r="D78" s="4" t="n"/>
      <c r="E78" s="13" t="n"/>
      <c r="F78" s="4" t="n"/>
      <c r="G78" s="4" t="n"/>
      <c r="H78" s="4" t="n"/>
      <c r="I78" s="4" t="n"/>
      <c r="J78" s="4" t="n"/>
      <c r="K78" s="4" t="n"/>
      <c r="L78" s="4" t="n"/>
    </row>
    <row r="79">
      <c r="A79" s="5">
        <f>IF(A78="","",A78)</f>
        <v/>
      </c>
      <c r="B79" s="5" t="n"/>
      <c r="C79" s="5" t="n"/>
      <c r="D79" s="5" t="n"/>
      <c r="E79" s="15" t="n"/>
      <c r="F79" s="5" t="n"/>
      <c r="G79" s="5" t="n"/>
      <c r="H79" s="5" t="n"/>
      <c r="I79" s="5" t="n"/>
      <c r="J79" s="5" t="n"/>
      <c r="K79" s="5" t="n"/>
      <c r="L79" s="5" t="n"/>
    </row>
    <row r="80">
      <c r="A80" s="4">
        <f>IF(A79="","",A79)</f>
        <v/>
      </c>
      <c r="B80" s="4" t="n"/>
      <c r="C80" s="4" t="n"/>
      <c r="D80" s="4" t="n"/>
      <c r="E80" s="13" t="n"/>
      <c r="F80" s="4" t="n"/>
      <c r="G80" s="4" t="n"/>
      <c r="H80" s="4" t="n"/>
      <c r="I80" s="4" t="n"/>
      <c r="J80" s="4" t="n"/>
      <c r="K80" s="4" t="n"/>
      <c r="L80" s="4" t="n"/>
    </row>
    <row r="81">
      <c r="A81" s="5">
        <f>IF(A80="","",A80)</f>
        <v/>
      </c>
      <c r="B81" s="5" t="n"/>
      <c r="C81" s="5" t="n"/>
      <c r="D81" s="5" t="n"/>
      <c r="E81" s="15" t="n"/>
      <c r="F81" s="5" t="n"/>
      <c r="G81" s="5" t="n"/>
      <c r="H81" s="5" t="n"/>
      <c r="I81" s="5" t="n"/>
      <c r="J81" s="5" t="n"/>
      <c r="K81" s="5" t="n"/>
      <c r="L81" s="5" t="n"/>
    </row>
    <row r="82">
      <c r="A82" s="4">
        <f>IF(A81="","",A81)</f>
        <v/>
      </c>
      <c r="B82" s="4" t="n"/>
      <c r="C82" s="4" t="n"/>
      <c r="D82" s="4" t="n"/>
      <c r="E82" s="13" t="n"/>
      <c r="F82" s="4" t="n"/>
      <c r="G82" s="4" t="n"/>
      <c r="H82" s="4" t="n"/>
      <c r="I82" s="4" t="n"/>
      <c r="J82" s="4" t="n"/>
      <c r="K82" s="4" t="n"/>
      <c r="L82" s="4" t="n"/>
    </row>
    <row r="83">
      <c r="A83" s="5">
        <f>IF(A82="","",A82)</f>
        <v/>
      </c>
      <c r="B83" s="5" t="n"/>
      <c r="C83" s="5" t="n"/>
      <c r="D83" s="5" t="n"/>
      <c r="E83" s="15" t="n"/>
      <c r="F83" s="5" t="n"/>
      <c r="G83" s="5" t="n"/>
      <c r="H83" s="5" t="n"/>
      <c r="I83" s="5" t="n"/>
      <c r="J83" s="5" t="n"/>
      <c r="K83" s="5" t="n"/>
      <c r="L83" s="5" t="n"/>
    </row>
    <row r="84">
      <c r="A84" s="4">
        <f>IF(A83="","",A83)</f>
        <v/>
      </c>
      <c r="B84" s="4" t="n"/>
      <c r="C84" s="4" t="n"/>
      <c r="D84" s="4" t="n"/>
      <c r="E84" s="13" t="n"/>
      <c r="F84" s="4" t="n"/>
      <c r="G84" s="4" t="n"/>
      <c r="H84" s="4" t="n"/>
      <c r="I84" s="4" t="n"/>
      <c r="J84" s="4" t="n"/>
      <c r="K84" s="4" t="n"/>
      <c r="L84" s="4" t="n"/>
    </row>
    <row r="85">
      <c r="A85" s="5">
        <f>IF(A84="","",A84)</f>
        <v/>
      </c>
      <c r="B85" s="5" t="n"/>
      <c r="C85" s="5" t="n"/>
      <c r="D85" s="5" t="n"/>
      <c r="E85" s="15" t="n"/>
      <c r="F85" s="5" t="n"/>
      <c r="G85" s="5" t="n"/>
      <c r="H85" s="5" t="n"/>
      <c r="I85" s="5" t="n"/>
      <c r="J85" s="5" t="n"/>
      <c r="K85" s="5" t="n"/>
      <c r="L85" s="5" t="n"/>
    </row>
    <row r="86">
      <c r="A86" s="4">
        <f>IF(A85="","",A85)</f>
        <v/>
      </c>
      <c r="B86" s="4" t="n"/>
      <c r="C86" s="4" t="n"/>
      <c r="D86" s="4" t="n"/>
      <c r="E86" s="13" t="n"/>
      <c r="F86" s="4" t="n"/>
      <c r="G86" s="4" t="n"/>
      <c r="H86" s="4" t="n"/>
      <c r="I86" s="4" t="n"/>
      <c r="J86" s="4" t="n"/>
      <c r="K86" s="4" t="n"/>
      <c r="L86" s="4" t="n"/>
    </row>
    <row r="87">
      <c r="A87" s="5">
        <f>IF(A86="","",A86)</f>
        <v/>
      </c>
      <c r="B87" s="5" t="n"/>
      <c r="C87" s="5" t="n"/>
      <c r="D87" s="5" t="n"/>
      <c r="E87" s="15" t="n"/>
      <c r="F87" s="5" t="n"/>
      <c r="G87" s="5" t="n"/>
      <c r="H87" s="5" t="n"/>
      <c r="I87" s="5" t="n"/>
      <c r="J87" s="5" t="n"/>
      <c r="K87" s="5" t="n"/>
      <c r="L87" s="5" t="n"/>
    </row>
    <row r="88">
      <c r="A88" s="4">
        <f>IF(A87="","",A87)</f>
        <v/>
      </c>
      <c r="B88" s="4" t="n"/>
      <c r="C88" s="4" t="n"/>
      <c r="D88" s="4" t="n"/>
      <c r="E88" s="13" t="n"/>
      <c r="F88" s="4" t="n"/>
      <c r="G88" s="4" t="n"/>
      <c r="H88" s="4" t="n"/>
      <c r="I88" s="4" t="n"/>
      <c r="J88" s="4" t="n"/>
      <c r="K88" s="4" t="n"/>
      <c r="L88" s="4" t="n"/>
    </row>
    <row r="89">
      <c r="A89" s="5">
        <f>IF(A88="","",A88)</f>
        <v/>
      </c>
      <c r="B89" s="5" t="n"/>
      <c r="C89" s="5" t="n"/>
      <c r="D89" s="5" t="n"/>
      <c r="E89" s="15" t="n"/>
      <c r="F89" s="5" t="n"/>
      <c r="G89" s="5" t="n"/>
      <c r="H89" s="5" t="n"/>
      <c r="I89" s="5" t="n"/>
      <c r="J89" s="5" t="n"/>
      <c r="K89" s="5" t="n"/>
      <c r="L89" s="5" t="n"/>
    </row>
    <row r="90">
      <c r="A90" s="4">
        <f>IF(A89="","",A89)</f>
        <v/>
      </c>
      <c r="B90" s="4" t="n"/>
      <c r="C90" s="4" t="n"/>
      <c r="D90" s="4" t="n"/>
      <c r="E90" s="13" t="n"/>
      <c r="F90" s="4" t="n"/>
      <c r="G90" s="4" t="n"/>
      <c r="H90" s="4" t="n"/>
      <c r="I90" s="4" t="n"/>
      <c r="J90" s="4" t="n"/>
      <c r="K90" s="4" t="n"/>
      <c r="L90" s="4" t="n"/>
    </row>
    <row r="91">
      <c r="A91" s="5">
        <f>IF(A90="","",A90)</f>
        <v/>
      </c>
      <c r="B91" s="5" t="n"/>
      <c r="C91" s="5" t="n"/>
      <c r="D91" s="5" t="n"/>
      <c r="E91" s="15" t="n"/>
      <c r="F91" s="5" t="n"/>
      <c r="G91" s="5" t="n"/>
      <c r="H91" s="5" t="n"/>
      <c r="I91" s="5" t="n"/>
      <c r="J91" s="5" t="n"/>
      <c r="K91" s="5" t="n"/>
      <c r="L91" s="5" t="n"/>
    </row>
    <row r="92">
      <c r="A92" s="4">
        <f>IF(A91="","",A91)</f>
        <v/>
      </c>
      <c r="B92" s="4" t="n"/>
      <c r="C92" s="4" t="n"/>
      <c r="D92" s="4" t="n"/>
      <c r="E92" s="13" t="n"/>
      <c r="F92" s="4" t="n"/>
      <c r="G92" s="4" t="n"/>
      <c r="H92" s="4" t="n"/>
      <c r="I92" s="4" t="n"/>
      <c r="J92" s="4" t="n"/>
      <c r="K92" s="4" t="n"/>
      <c r="L92" s="4" t="n"/>
    </row>
    <row r="93">
      <c r="A93" s="5">
        <f>IF(A92="","",A92)</f>
        <v/>
      </c>
      <c r="B93" s="5" t="n"/>
      <c r="C93" s="5" t="n"/>
      <c r="D93" s="5" t="n"/>
      <c r="E93" s="15" t="n"/>
      <c r="F93" s="5" t="n"/>
      <c r="G93" s="5" t="n"/>
      <c r="H93" s="5" t="n"/>
      <c r="I93" s="5" t="n"/>
      <c r="J93" s="5" t="n"/>
      <c r="K93" s="5" t="n"/>
      <c r="L93" s="5" t="n"/>
    </row>
    <row r="94">
      <c r="A94" s="4">
        <f>IF(A93="","",A93)</f>
        <v/>
      </c>
      <c r="B94" s="4" t="n"/>
      <c r="C94" s="4" t="n"/>
      <c r="D94" s="4" t="n"/>
      <c r="E94" s="13" t="n"/>
      <c r="F94" s="4" t="n"/>
      <c r="G94" s="4" t="n"/>
      <c r="H94" s="4" t="n"/>
      <c r="I94" s="4" t="n"/>
      <c r="J94" s="4" t="n"/>
      <c r="K94" s="4" t="n"/>
      <c r="L94" s="4" t="n"/>
    </row>
    <row r="95">
      <c r="A95" s="5">
        <f>IF(A94="","",A94)</f>
        <v/>
      </c>
      <c r="B95" s="5" t="n"/>
      <c r="C95" s="5" t="n"/>
      <c r="D95" s="5" t="n"/>
      <c r="E95" s="15" t="n"/>
      <c r="F95" s="5" t="n"/>
      <c r="G95" s="5" t="n"/>
      <c r="H95" s="5" t="n"/>
      <c r="I95" s="5" t="n"/>
      <c r="J95" s="5" t="n"/>
      <c r="K95" s="5" t="n"/>
      <c r="L95" s="5" t="n"/>
    </row>
    <row r="96">
      <c r="A96" s="4">
        <f>IF(A95="","",A95)</f>
        <v/>
      </c>
      <c r="B96" s="4" t="n"/>
      <c r="C96" s="4" t="n"/>
      <c r="D96" s="4" t="n"/>
      <c r="E96" s="13" t="n"/>
      <c r="F96" s="4" t="n"/>
      <c r="G96" s="4" t="n"/>
      <c r="H96" s="4" t="n"/>
      <c r="I96" s="4" t="n"/>
      <c r="J96" s="4" t="n"/>
      <c r="K96" s="4" t="n"/>
      <c r="L96" s="4" t="n"/>
    </row>
    <row r="97">
      <c r="A97" s="5">
        <f>IF(A96="","",A96)</f>
        <v/>
      </c>
      <c r="B97" s="5" t="n"/>
      <c r="C97" s="5" t="n"/>
      <c r="D97" s="5" t="n"/>
      <c r="E97" s="15" t="n"/>
      <c r="F97" s="5" t="n"/>
      <c r="G97" s="5" t="n"/>
      <c r="H97" s="5" t="n"/>
      <c r="I97" s="5" t="n"/>
      <c r="J97" s="5" t="n"/>
      <c r="K97" s="5" t="n"/>
      <c r="L97" s="5" t="n"/>
    </row>
    <row r="98">
      <c r="A98" s="4">
        <f>IF(A97="","",A97)</f>
        <v/>
      </c>
      <c r="B98" s="4" t="n"/>
      <c r="C98" s="4" t="n"/>
      <c r="D98" s="4" t="n"/>
      <c r="E98" s="13" t="n"/>
      <c r="F98" s="4" t="n"/>
      <c r="G98" s="4" t="n"/>
      <c r="H98" s="4" t="n"/>
      <c r="I98" s="4" t="n"/>
      <c r="J98" s="4" t="n"/>
      <c r="K98" s="4" t="n"/>
      <c r="L98" s="4" t="n"/>
    </row>
    <row r="99">
      <c r="A99" s="5">
        <f>IF(A98="","",A98)</f>
        <v/>
      </c>
      <c r="B99" s="5" t="n"/>
      <c r="C99" s="5" t="n"/>
      <c r="D99" s="5" t="n"/>
      <c r="E99" s="15" t="n"/>
      <c r="F99" s="5" t="n"/>
      <c r="G99" s="5" t="n"/>
      <c r="H99" s="5" t="n"/>
      <c r="I99" s="5" t="n"/>
      <c r="J99" s="5" t="n"/>
      <c r="K99" s="5" t="n"/>
      <c r="L99" s="5" t="n"/>
    </row>
    <row r="100">
      <c r="A100" s="4">
        <f>IF(A99="","",A99)</f>
        <v/>
      </c>
      <c r="B100" s="4" t="n"/>
      <c r="C100" s="4" t="n"/>
      <c r="D100" s="4" t="n"/>
      <c r="E100" s="13" t="n"/>
      <c r="F100" s="4" t="n"/>
      <c r="G100" s="4" t="n"/>
      <c r="H100" s="4" t="n"/>
      <c r="I100" s="4" t="n"/>
      <c r="J100" s="4" t="n"/>
      <c r="K100" s="4" t="n"/>
      <c r="L100" s="4" t="n"/>
    </row>
    <row r="101">
      <c r="A101" s="5">
        <f>IF(A100="","",A100)</f>
        <v/>
      </c>
      <c r="B101" s="5" t="n"/>
      <c r="C101" s="5" t="n"/>
      <c r="D101" s="5" t="n"/>
      <c r="E101" s="15" t="n"/>
      <c r="F101" s="5" t="n"/>
      <c r="G101" s="5" t="n"/>
      <c r="H101" s="5" t="n"/>
      <c r="I101" s="5" t="n"/>
      <c r="J101" s="5" t="n"/>
      <c r="K101" s="5" t="n"/>
      <c r="L101" s="5" t="n"/>
    </row>
    <row r="102">
      <c r="A102" s="4">
        <f>IF(A101="","",A101)</f>
        <v/>
      </c>
      <c r="B102" s="4" t="n"/>
      <c r="C102" s="4" t="n"/>
      <c r="D102" s="4" t="n"/>
      <c r="E102" s="13" t="n"/>
      <c r="F102" s="4" t="n"/>
      <c r="G102" s="4" t="n"/>
      <c r="H102" s="4" t="n"/>
      <c r="I102" s="4" t="n"/>
      <c r="J102" s="4" t="n"/>
      <c r="K102" s="4" t="n"/>
      <c r="L102" s="4" t="n"/>
    </row>
    <row r="103">
      <c r="A103" s="5">
        <f>IF(A102="","",A102)</f>
        <v/>
      </c>
      <c r="B103" s="5" t="n"/>
      <c r="C103" s="5" t="n"/>
      <c r="D103" s="5" t="n"/>
      <c r="E103" s="15" t="n"/>
      <c r="F103" s="5" t="n"/>
      <c r="G103" s="5" t="n"/>
      <c r="H103" s="5" t="n"/>
      <c r="I103" s="5" t="n"/>
      <c r="J103" s="5" t="n"/>
      <c r="K103" s="5" t="n"/>
      <c r="L103" s="5" t="n"/>
    </row>
    <row r="104">
      <c r="A104" s="4">
        <f>IF(A103="","",A103)</f>
        <v/>
      </c>
      <c r="B104" s="4" t="n"/>
      <c r="C104" s="4" t="n"/>
      <c r="D104" s="4" t="n"/>
      <c r="E104" s="13" t="n"/>
      <c r="F104" s="4" t="n"/>
      <c r="G104" s="4" t="n"/>
      <c r="H104" s="4" t="n"/>
      <c r="I104" s="4" t="n"/>
      <c r="J104" s="4" t="n"/>
      <c r="K104" s="4" t="n"/>
      <c r="L104" s="4" t="n"/>
    </row>
    <row r="105">
      <c r="A105" s="5">
        <f>IF(A104="","",A104)</f>
        <v/>
      </c>
      <c r="B105" s="5" t="n"/>
      <c r="C105" s="5" t="n"/>
      <c r="D105" s="5" t="n"/>
      <c r="E105" s="15" t="n"/>
      <c r="F105" s="5" t="n"/>
      <c r="G105" s="5" t="n"/>
      <c r="H105" s="5" t="n"/>
      <c r="I105" s="5" t="n"/>
      <c r="J105" s="5" t="n"/>
      <c r="K105" s="5" t="n"/>
      <c r="L105" s="5" t="n"/>
    </row>
    <row r="106">
      <c r="A106" s="4">
        <f>IF(A105="","",A105)</f>
        <v/>
      </c>
      <c r="B106" s="4" t="n"/>
      <c r="C106" s="4" t="n"/>
      <c r="D106" s="4" t="n"/>
      <c r="E106" s="13" t="n"/>
      <c r="F106" s="4" t="n"/>
      <c r="G106" s="4" t="n"/>
      <c r="H106" s="4" t="n"/>
      <c r="I106" s="4" t="n"/>
      <c r="J106" s="4" t="n"/>
      <c r="K106" s="4" t="n"/>
      <c r="L106" s="4" t="n"/>
    </row>
    <row r="107">
      <c r="A107" s="5">
        <f>IF(A106="","",A106)</f>
        <v/>
      </c>
      <c r="B107" s="5" t="n"/>
      <c r="C107" s="5" t="n"/>
      <c r="D107" s="5" t="n"/>
      <c r="E107" s="15" t="n"/>
      <c r="F107" s="5" t="n"/>
      <c r="G107" s="5" t="n"/>
      <c r="H107" s="5" t="n"/>
      <c r="I107" s="5" t="n"/>
      <c r="J107" s="5" t="n"/>
      <c r="K107" s="5" t="n"/>
      <c r="L107" s="5" t="n"/>
    </row>
    <row r="108">
      <c r="A108" s="4">
        <f>IF(A107="","",A107)</f>
        <v/>
      </c>
      <c r="B108" s="4" t="n"/>
      <c r="C108" s="4" t="n"/>
      <c r="D108" s="4" t="n"/>
      <c r="E108" s="13" t="n"/>
      <c r="F108" s="4" t="n"/>
      <c r="G108" s="4" t="n"/>
      <c r="H108" s="4" t="n"/>
      <c r="I108" s="4" t="n"/>
      <c r="J108" s="4" t="n"/>
      <c r="K108" s="4" t="n"/>
      <c r="L108" s="4" t="n"/>
    </row>
    <row r="109">
      <c r="A109" s="5">
        <f>IF(A108="","",A108)</f>
        <v/>
      </c>
      <c r="B109" s="5" t="n"/>
      <c r="C109" s="5" t="n"/>
      <c r="D109" s="5" t="n"/>
      <c r="E109" s="15" t="n"/>
      <c r="F109" s="5" t="n"/>
      <c r="G109" s="5" t="n"/>
      <c r="H109" s="5" t="n"/>
      <c r="I109" s="5" t="n"/>
      <c r="J109" s="5" t="n"/>
      <c r="K109" s="5" t="n"/>
      <c r="L109" s="5" t="n"/>
    </row>
    <row r="110">
      <c r="A110" s="4">
        <f>IF(A109="","",A109)</f>
        <v/>
      </c>
      <c r="B110" s="4" t="n"/>
      <c r="C110" s="4" t="n"/>
      <c r="D110" s="4" t="n"/>
      <c r="E110" s="13" t="n"/>
      <c r="F110" s="4" t="n"/>
      <c r="G110" s="4" t="n"/>
      <c r="H110" s="4" t="n"/>
      <c r="I110" s="4" t="n"/>
      <c r="J110" s="4" t="n"/>
      <c r="K110" s="4" t="n"/>
      <c r="L110" s="4" t="n"/>
    </row>
    <row r="111">
      <c r="A111" s="5">
        <f>IF(A110="","",A110)</f>
        <v/>
      </c>
      <c r="B111" s="5" t="n"/>
      <c r="C111" s="5" t="n"/>
      <c r="D111" s="5" t="n"/>
      <c r="E111" s="15" t="n"/>
      <c r="F111" s="5" t="n"/>
      <c r="G111" s="5" t="n"/>
      <c r="H111" s="5" t="n"/>
      <c r="I111" s="5" t="n"/>
      <c r="J111" s="5" t="n"/>
      <c r="K111" s="5" t="n"/>
      <c r="L111" s="5" t="n"/>
    </row>
    <row r="112">
      <c r="A112" s="4">
        <f>IF(A111="","",A111)</f>
        <v/>
      </c>
      <c r="B112" s="4" t="n"/>
      <c r="C112" s="4" t="n"/>
      <c r="D112" s="4" t="n"/>
      <c r="E112" s="13" t="n"/>
      <c r="F112" s="4" t="n"/>
      <c r="G112" s="4" t="n"/>
      <c r="H112" s="4" t="n"/>
      <c r="I112" s="4" t="n"/>
      <c r="J112" s="4" t="n"/>
      <c r="K112" s="4" t="n"/>
      <c r="L112" s="4" t="n"/>
    </row>
    <row r="113">
      <c r="A113" s="5">
        <f>IF(A112="","",A112)</f>
        <v/>
      </c>
      <c r="B113" s="5" t="n"/>
      <c r="C113" s="5" t="n"/>
      <c r="D113" s="5" t="n"/>
      <c r="E113" s="15" t="n"/>
      <c r="F113" s="5" t="n"/>
      <c r="G113" s="5" t="n"/>
      <c r="H113" s="5" t="n"/>
      <c r="I113" s="5" t="n"/>
      <c r="J113" s="5" t="n"/>
      <c r="K113" s="5" t="n"/>
      <c r="L113" s="5" t="n"/>
    </row>
    <row r="114">
      <c r="A114" s="4">
        <f>IF(A113="","",A113)</f>
        <v/>
      </c>
      <c r="B114" s="4" t="n"/>
      <c r="C114" s="4" t="n"/>
      <c r="D114" s="4" t="n"/>
      <c r="E114" s="13" t="n"/>
      <c r="F114" s="4" t="n"/>
      <c r="G114" s="4" t="n"/>
      <c r="H114" s="4" t="n"/>
      <c r="I114" s="4" t="n"/>
      <c r="J114" s="4" t="n"/>
      <c r="K114" s="4" t="n"/>
      <c r="L114" s="4" t="n"/>
    </row>
    <row r="115">
      <c r="A115" s="5">
        <f>IF(A114="","",A114)</f>
        <v/>
      </c>
      <c r="B115" s="5" t="n"/>
      <c r="C115" s="5" t="n"/>
      <c r="D115" s="5" t="n"/>
      <c r="E115" s="15" t="n"/>
      <c r="F115" s="5" t="n"/>
      <c r="G115" s="5" t="n"/>
      <c r="H115" s="5" t="n"/>
      <c r="I115" s="5" t="n"/>
      <c r="J115" s="5" t="n"/>
      <c r="K115" s="5" t="n"/>
      <c r="L115" s="5" t="n"/>
    </row>
  </sheetData>
  <mergeCells count="2">
    <mergeCell ref="A3:P3"/>
    <mergeCell ref="A2:P2"/>
  </mergeCells>
  <conditionalFormatting sqref="K6:K115">
    <cfRule type="cellIs" priority="1" operator="equal" dxfId="0">
      <formula>"Fortement recommandé"</formula>
    </cfRule>
    <cfRule type="cellIs" priority="2" operator="equal" dxfId="1">
      <formula>"Recommandé"</formula>
    </cfRule>
    <cfRule type="cellIs" priority="3" operator="equal" dxfId="2">
      <formula>"Conditionnel"</formula>
    </cfRule>
    <cfRule type="cellIs" priority="4" operator="equal" dxfId="4">
      <formula>"Non recommandé"</formula>
    </cfRule>
    <cfRule type="cellIs" priority="5" operator="equal" dxfId="3">
      <formula>"Déconseillé"</formula>
    </cfRule>
  </conditionalFormatting>
  <dataValidations count="1">
    <dataValidation sqref="K6:K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_Lists'!$R$6:$R$35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4" customWidth="1" min="5" max="5"/>
    <col width="12" customWidth="1" min="6" max="6"/>
    <col width="16" customWidth="1" min="7" max="7"/>
    <col width="16" customWidth="1" min="8" max="8"/>
    <col width="18" customWidth="1" min="9" max="9"/>
    <col width="20" customWidth="1" min="10" max="10"/>
    <col width="14" customWidth="1" min="11" max="11"/>
    <col width="20" customWidth="1" min="12" max="12"/>
    <col width="22" customWidth="1" min="13" max="13"/>
    <col width="22" customWidth="1" min="14" max="14"/>
    <col width="16" customWidth="1" min="15" max="15"/>
  </cols>
  <sheetData>
    <row r="2" ht="25" customHeight="1">
      <c r="A2" s="1" t="inlineStr">
        <is>
          <t>DOMAINE 28 — TABLEAU DE BORD CONSOLIDÉ MOBILITÉ &amp; CARRIÈRE</t>
        </is>
      </c>
    </row>
    <row r="3" ht="18" customHeight="1">
      <c r="A3" s="2" t="inlineStr">
        <is>
          <t>Vue consolidée trimestrielle de tous les indicateurs mobilité et carrière</t>
        </is>
      </c>
    </row>
    <row r="5">
      <c r="A5" s="3" t="inlineStr">
        <is>
          <t>Trimestre</t>
        </is>
      </c>
      <c r="B5" s="3" t="inlineStr">
        <is>
          <t>Effectif Total</t>
        </is>
      </c>
      <c r="C5" s="3" t="inlineStr">
        <is>
          <t>Promotions</t>
        </is>
      </c>
      <c r="D5" s="3" t="inlineStr">
        <is>
          <t>Mobilités Internes</t>
        </is>
      </c>
      <c r="E5" s="3" t="inlineStr">
        <is>
          <t>Mobilités Internationales</t>
        </is>
      </c>
      <c r="F5" s="3" t="inlineStr">
        <is>
          <t>Départs</t>
        </is>
      </c>
      <c r="G5" s="3" t="inlineStr">
        <is>
          <t>Taux Mobilité (%)</t>
        </is>
      </c>
      <c r="H5" s="3" t="inlineStr">
        <is>
          <t>Taux Rétention (%)</t>
        </is>
      </c>
      <c r="I5" s="3" t="inlineStr">
        <is>
          <t>Coût Total (FCFA)</t>
        </is>
      </c>
      <c r="J5" s="3" t="inlineStr">
        <is>
          <t>Budget Consommé (%)</t>
        </is>
      </c>
      <c r="K5" s="3" t="inlineStr">
        <is>
          <t>Nb Formations</t>
        </is>
      </c>
      <c r="L5" s="3" t="inlineStr">
        <is>
          <t>Nb Sessions Mentorat</t>
        </is>
      </c>
      <c r="M5" s="3" t="inlineStr">
        <is>
          <t>Satisfaction Moyenne (%)</t>
        </is>
      </c>
      <c r="N5" s="3" t="inlineStr">
        <is>
          <t>Indice Santé Carrière</t>
        </is>
      </c>
      <c r="O5" s="3" t="inlineStr">
        <is>
          <t>Statut Global</t>
        </is>
      </c>
    </row>
    <row r="6">
      <c r="A6" s="4" t="inlineStr">
        <is>
          <t>Q1 2025</t>
        </is>
      </c>
      <c r="B6" s="4" t="n">
        <v>17</v>
      </c>
      <c r="C6" s="4" t="n">
        <v>1</v>
      </c>
      <c r="D6" s="4" t="n">
        <v>2</v>
      </c>
      <c r="E6" s="4" t="n">
        <v>1</v>
      </c>
      <c r="F6" s="4" t="n">
        <v>0</v>
      </c>
      <c r="G6" s="9">
        <f>IFERROR((C6+D6+E6)/B6,0)</f>
        <v/>
      </c>
      <c r="H6" s="9">
        <f>IFERROR((B6-F6)/B6,0)</f>
        <v/>
      </c>
      <c r="I6" s="13" t="n">
        <v>10100000</v>
      </c>
      <c r="J6" s="9">
        <f>IFERROR(I6/30500000,0)</f>
        <v/>
      </c>
      <c r="K6" s="4" t="n">
        <v>2</v>
      </c>
      <c r="L6" s="4" t="n">
        <v>18</v>
      </c>
      <c r="M6" s="4" t="n">
        <v>85</v>
      </c>
      <c r="N6" s="11">
        <f>IFERROR((G6*3+H6*2+M6)/6,0)</f>
        <v/>
      </c>
      <c r="O6" s="4" t="inlineStr">
        <is>
          <t>Bon</t>
        </is>
      </c>
    </row>
    <row r="7">
      <c r="A7" s="5" t="inlineStr">
        <is>
          <t>Q2 2025</t>
        </is>
      </c>
      <c r="B7" s="5" t="n">
        <v>17</v>
      </c>
      <c r="C7" s="5" t="n">
        <v>1</v>
      </c>
      <c r="D7" s="5" t="n">
        <v>1</v>
      </c>
      <c r="E7" s="5" t="n">
        <v>1</v>
      </c>
      <c r="F7" s="5" t="n">
        <v>1</v>
      </c>
      <c r="G7" s="10">
        <f>IFERROR((C7+D7+E7)/B7,0)</f>
        <v/>
      </c>
      <c r="H7" s="10">
        <f>IFERROR((B7-F7)/B7,0)</f>
        <v/>
      </c>
      <c r="I7" s="15" t="n">
        <v>11600000</v>
      </c>
      <c r="J7" s="10">
        <f>IFERROR(I7/30500000,0)</f>
        <v/>
      </c>
      <c r="K7" s="5" t="n">
        <v>2</v>
      </c>
      <c r="L7" s="5" t="n">
        <v>19</v>
      </c>
      <c r="M7" s="5" t="n">
        <v>87</v>
      </c>
      <c r="N7" s="12">
        <f>IFERROR((G7*3+H7*2+M7)/6,0)</f>
        <v/>
      </c>
      <c r="O7" s="5" t="inlineStr">
        <is>
          <t>Bon</t>
        </is>
      </c>
    </row>
    <row r="8">
      <c r="A8" s="4" t="inlineStr">
        <is>
          <t>Q3 2025</t>
        </is>
      </c>
      <c r="B8" s="4" t="n">
        <v>16</v>
      </c>
      <c r="C8" s="4" t="n">
        <v>0</v>
      </c>
      <c r="D8" s="4" t="n">
        <v>2</v>
      </c>
      <c r="E8" s="4" t="n">
        <v>0</v>
      </c>
      <c r="F8" s="4" t="n">
        <v>0</v>
      </c>
      <c r="G8" s="9">
        <f>IFERROR((C8+D8+E8)/B8,0)</f>
        <v/>
      </c>
      <c r="H8" s="9">
        <f>IFERROR((B8-F8)/B8,0)</f>
        <v/>
      </c>
      <c r="I8" s="13" t="n">
        <v>8400000</v>
      </c>
      <c r="J8" s="9">
        <f>IFERROR(I8/30500000,0)</f>
        <v/>
      </c>
      <c r="K8" s="4" t="n">
        <v>1</v>
      </c>
      <c r="L8" s="4" t="n">
        <v>15</v>
      </c>
      <c r="M8" s="4" t="n">
        <v>84</v>
      </c>
      <c r="N8" s="11">
        <f>IFERROR((G8*3+H8*2+M8)/6,0)</f>
        <v/>
      </c>
      <c r="O8" s="4" t="inlineStr">
        <is>
          <t>Moyen</t>
        </is>
      </c>
    </row>
    <row r="9">
      <c r="A9" s="5" t="inlineStr">
        <is>
          <t>Q4 2025</t>
        </is>
      </c>
      <c r="B9" s="5" t="n">
        <v>16</v>
      </c>
      <c r="C9" s="5" t="n">
        <v>1</v>
      </c>
      <c r="D9" s="5" t="n">
        <v>1</v>
      </c>
      <c r="E9" s="5" t="n">
        <v>1</v>
      </c>
      <c r="F9" s="5" t="n">
        <v>0</v>
      </c>
      <c r="G9" s="10">
        <f>IFERROR((C9+D9+E9)/B9,0)</f>
        <v/>
      </c>
      <c r="H9" s="10">
        <f>IFERROR((B9-F9)/B9,0)</f>
        <v/>
      </c>
      <c r="I9" s="15" t="n">
        <v>9500000</v>
      </c>
      <c r="J9" s="10">
        <f>IFERROR(I9/30500000,0)</f>
        <v/>
      </c>
      <c r="K9" s="5" t="n">
        <v>2</v>
      </c>
      <c r="L9" s="5" t="n">
        <v>16</v>
      </c>
      <c r="M9" s="5" t="n">
        <v>86</v>
      </c>
      <c r="N9" s="12">
        <f>IFERROR((G9*3+H9*2+M9)/6,0)</f>
        <v/>
      </c>
      <c r="O9" s="5" t="inlineStr">
        <is>
          <t>Bon</t>
        </is>
      </c>
    </row>
    <row r="10">
      <c r="A10" s="4" t="n"/>
      <c r="B10" s="4" t="n"/>
      <c r="C10" s="4" t="n"/>
      <c r="D10" s="4" t="n"/>
      <c r="E10" s="4" t="n"/>
      <c r="F10" s="4" t="n"/>
      <c r="G10" s="9">
        <f>IFERROR((C10+D10+E10)/B10,0)</f>
        <v/>
      </c>
      <c r="H10" s="9">
        <f>IFERROR((B10-F10)/B10,0)</f>
        <v/>
      </c>
      <c r="I10" s="13" t="n"/>
      <c r="J10" s="9">
        <f>IFERROR(I10/30500000,0)</f>
        <v/>
      </c>
      <c r="K10" s="4" t="n"/>
      <c r="L10" s="4" t="n"/>
      <c r="M10" s="4" t="n"/>
      <c r="N10" s="11">
        <f>IFERROR((G10*3+H10*2+M10)/6,0)</f>
        <v/>
      </c>
      <c r="O10" s="4" t="n"/>
    </row>
    <row r="11">
      <c r="A11" s="5" t="n"/>
      <c r="B11" s="5" t="n"/>
      <c r="C11" s="5" t="n"/>
      <c r="D11" s="5" t="n"/>
      <c r="E11" s="5" t="n"/>
      <c r="F11" s="5" t="n"/>
      <c r="G11" s="10">
        <f>IFERROR((C11+D11+E11)/B11,0)</f>
        <v/>
      </c>
      <c r="H11" s="10">
        <f>IFERROR((B11-F11)/B11,0)</f>
        <v/>
      </c>
      <c r="I11" s="15" t="n"/>
      <c r="J11" s="10">
        <f>IFERROR(I11/30500000,0)</f>
        <v/>
      </c>
      <c r="K11" s="5" t="n"/>
      <c r="L11" s="5" t="n"/>
      <c r="M11" s="5" t="n"/>
      <c r="N11" s="12">
        <f>IFERROR((G11*3+H11*2+M11)/6,0)</f>
        <v/>
      </c>
      <c r="O11" s="5" t="n"/>
    </row>
    <row r="12">
      <c r="A12" s="4" t="n"/>
      <c r="B12" s="4" t="n"/>
      <c r="C12" s="4" t="n"/>
      <c r="D12" s="4" t="n"/>
      <c r="E12" s="4" t="n"/>
      <c r="F12" s="4" t="n"/>
      <c r="G12" s="9">
        <f>IFERROR((C12+D12+E12)/B12,0)</f>
        <v/>
      </c>
      <c r="H12" s="9">
        <f>IFERROR((B12-F12)/B12,0)</f>
        <v/>
      </c>
      <c r="I12" s="13" t="n"/>
      <c r="J12" s="9">
        <f>IFERROR(I12/30500000,0)</f>
        <v/>
      </c>
      <c r="K12" s="4" t="n"/>
      <c r="L12" s="4" t="n"/>
      <c r="M12" s="4" t="n"/>
      <c r="N12" s="11">
        <f>IFERROR((G12*3+H12*2+M12)/6,0)</f>
        <v/>
      </c>
      <c r="O12" s="4" t="n"/>
    </row>
    <row r="13">
      <c r="A13" s="5" t="n"/>
      <c r="B13" s="5" t="n"/>
      <c r="C13" s="5" t="n"/>
      <c r="D13" s="5" t="n"/>
      <c r="E13" s="5" t="n"/>
      <c r="F13" s="5" t="n"/>
      <c r="G13" s="10">
        <f>IFERROR((C13+D13+E13)/B13,0)</f>
        <v/>
      </c>
      <c r="H13" s="10">
        <f>IFERROR((B13-F13)/B13,0)</f>
        <v/>
      </c>
      <c r="I13" s="15" t="n"/>
      <c r="J13" s="10">
        <f>IFERROR(I13/30500000,0)</f>
        <v/>
      </c>
      <c r="K13" s="5" t="n"/>
      <c r="L13" s="5" t="n"/>
      <c r="M13" s="5" t="n"/>
      <c r="N13" s="12">
        <f>IFERROR((G13*3+H13*2+M13)/6,0)</f>
        <v/>
      </c>
      <c r="O13" s="5" t="n"/>
    </row>
    <row r="14">
      <c r="A14" s="4" t="n"/>
      <c r="B14" s="4" t="n"/>
      <c r="C14" s="4" t="n"/>
      <c r="D14" s="4" t="n"/>
      <c r="E14" s="4" t="n"/>
      <c r="F14" s="4" t="n"/>
      <c r="G14" s="9">
        <f>IFERROR((C14+D14+E14)/B14,0)</f>
        <v/>
      </c>
      <c r="H14" s="9">
        <f>IFERROR((B14-F14)/B14,0)</f>
        <v/>
      </c>
      <c r="I14" s="13" t="n"/>
      <c r="J14" s="9">
        <f>IFERROR(I14/30500000,0)</f>
        <v/>
      </c>
      <c r="K14" s="4" t="n"/>
      <c r="L14" s="4" t="n"/>
      <c r="M14" s="4" t="n"/>
      <c r="N14" s="11">
        <f>IFERROR((G14*3+H14*2+M14)/6,0)</f>
        <v/>
      </c>
      <c r="O14" s="4" t="n"/>
    </row>
    <row r="15">
      <c r="A15" s="5" t="n"/>
      <c r="B15" s="5" t="n"/>
      <c r="C15" s="5" t="n"/>
      <c r="D15" s="5" t="n"/>
      <c r="E15" s="5" t="n"/>
      <c r="F15" s="5" t="n"/>
      <c r="G15" s="10">
        <f>IFERROR((C15+D15+E15)/B15,0)</f>
        <v/>
      </c>
      <c r="H15" s="10">
        <f>IFERROR((B15-F15)/B15,0)</f>
        <v/>
      </c>
      <c r="I15" s="15" t="n"/>
      <c r="J15" s="10">
        <f>IFERROR(I15/30500000,0)</f>
        <v/>
      </c>
      <c r="K15" s="5" t="n"/>
      <c r="L15" s="5" t="n"/>
      <c r="M15" s="5" t="n"/>
      <c r="N15" s="12">
        <f>IFERROR((G15*3+H15*2+M15)/6,0)</f>
        <v/>
      </c>
      <c r="O15" s="5" t="n"/>
    </row>
    <row r="16">
      <c r="A16" s="4" t="n"/>
      <c r="B16" s="4" t="n"/>
      <c r="C16" s="4" t="n"/>
      <c r="D16" s="4" t="n"/>
      <c r="E16" s="4" t="n"/>
      <c r="F16" s="4" t="n"/>
      <c r="G16" s="9">
        <f>IFERROR((C16+D16+E16)/B16,0)</f>
        <v/>
      </c>
      <c r="H16" s="9">
        <f>IFERROR((B16-F16)/B16,0)</f>
        <v/>
      </c>
      <c r="I16" s="13" t="n"/>
      <c r="J16" s="9">
        <f>IFERROR(I16/30500000,0)</f>
        <v/>
      </c>
      <c r="K16" s="4" t="n"/>
      <c r="L16" s="4" t="n"/>
      <c r="M16" s="4" t="n"/>
      <c r="N16" s="11">
        <f>IFERROR((G16*3+H16*2+M16)/6,0)</f>
        <v/>
      </c>
      <c r="O16" s="4" t="n"/>
    </row>
    <row r="17">
      <c r="A17" s="5" t="n"/>
      <c r="B17" s="5" t="n"/>
      <c r="C17" s="5" t="n"/>
      <c r="D17" s="5" t="n"/>
      <c r="E17" s="5" t="n"/>
      <c r="F17" s="5" t="n"/>
      <c r="G17" s="10">
        <f>IFERROR((C17+D17+E17)/B17,0)</f>
        <v/>
      </c>
      <c r="H17" s="10">
        <f>IFERROR((B17-F17)/B17,0)</f>
        <v/>
      </c>
      <c r="I17" s="15" t="n"/>
      <c r="J17" s="10">
        <f>IFERROR(I17/30500000,0)</f>
        <v/>
      </c>
      <c r="K17" s="5" t="n"/>
      <c r="L17" s="5" t="n"/>
      <c r="M17" s="5" t="n"/>
      <c r="N17" s="12">
        <f>IFERROR((G17*3+H17*2+M17)/6,0)</f>
        <v/>
      </c>
      <c r="O17" s="5" t="n"/>
    </row>
    <row r="18">
      <c r="A18" s="4" t="n"/>
      <c r="B18" s="4" t="n"/>
      <c r="C18" s="4" t="n"/>
      <c r="D18" s="4" t="n"/>
      <c r="E18" s="4" t="n"/>
      <c r="F18" s="4" t="n"/>
      <c r="G18" s="9">
        <f>IFERROR((C18+D18+E18)/B18,0)</f>
        <v/>
      </c>
      <c r="H18" s="9">
        <f>IFERROR((B18-F18)/B18,0)</f>
        <v/>
      </c>
      <c r="I18" s="13" t="n"/>
      <c r="J18" s="9">
        <f>IFERROR(I18/30500000,0)</f>
        <v/>
      </c>
      <c r="K18" s="4" t="n"/>
      <c r="L18" s="4" t="n"/>
      <c r="M18" s="4" t="n"/>
      <c r="N18" s="11">
        <f>IFERROR((G18*3+H18*2+M18)/6,0)</f>
        <v/>
      </c>
      <c r="O18" s="4" t="n"/>
    </row>
    <row r="19">
      <c r="A19" s="5" t="n"/>
      <c r="B19" s="5" t="n"/>
      <c r="C19" s="5" t="n"/>
      <c r="D19" s="5" t="n"/>
      <c r="E19" s="5" t="n"/>
      <c r="F19" s="5" t="n"/>
      <c r="G19" s="10">
        <f>IFERROR((C19+D19+E19)/B19,0)</f>
        <v/>
      </c>
      <c r="H19" s="10">
        <f>IFERROR((B19-F19)/B19,0)</f>
        <v/>
      </c>
      <c r="I19" s="15" t="n"/>
      <c r="J19" s="10">
        <f>IFERROR(I19/30500000,0)</f>
        <v/>
      </c>
      <c r="K19" s="5" t="n"/>
      <c r="L19" s="5" t="n"/>
      <c r="M19" s="5" t="n"/>
      <c r="N19" s="12">
        <f>IFERROR((G19*3+H19*2+M19)/6,0)</f>
        <v/>
      </c>
      <c r="O19" s="5" t="n"/>
    </row>
    <row r="20">
      <c r="A20" s="4" t="n"/>
      <c r="B20" s="4" t="n"/>
      <c r="C20" s="4" t="n"/>
      <c r="D20" s="4" t="n"/>
      <c r="E20" s="4" t="n"/>
      <c r="F20" s="4" t="n"/>
      <c r="G20" s="9">
        <f>IFERROR((C20+D20+E20)/B20,0)</f>
        <v/>
      </c>
      <c r="H20" s="9">
        <f>IFERROR((B20-F20)/B20,0)</f>
        <v/>
      </c>
      <c r="I20" s="13" t="n"/>
      <c r="J20" s="9">
        <f>IFERROR(I20/30500000,0)</f>
        <v/>
      </c>
      <c r="K20" s="4" t="n"/>
      <c r="L20" s="4" t="n"/>
      <c r="M20" s="4" t="n"/>
      <c r="N20" s="11">
        <f>IFERROR((G20*3+H20*2+M20)/6,0)</f>
        <v/>
      </c>
      <c r="O20" s="4" t="n"/>
    </row>
    <row r="21">
      <c r="A21" s="5" t="n"/>
      <c r="B21" s="5" t="n"/>
      <c r="C21" s="5" t="n"/>
      <c r="D21" s="5" t="n"/>
      <c r="E21" s="5" t="n"/>
      <c r="F21" s="5" t="n"/>
      <c r="G21" s="10">
        <f>IFERROR((C21+D21+E21)/B21,0)</f>
        <v/>
      </c>
      <c r="H21" s="10">
        <f>IFERROR((B21-F21)/B21,0)</f>
        <v/>
      </c>
      <c r="I21" s="15" t="n"/>
      <c r="J21" s="10">
        <f>IFERROR(I21/30500000,0)</f>
        <v/>
      </c>
      <c r="K21" s="5" t="n"/>
      <c r="L21" s="5" t="n"/>
      <c r="M21" s="5" t="n"/>
      <c r="N21" s="12">
        <f>IFERROR((G21*3+H21*2+M21)/6,0)</f>
        <v/>
      </c>
      <c r="O21" s="5" t="n"/>
    </row>
    <row r="22">
      <c r="A22" s="4" t="n"/>
      <c r="B22" s="4" t="n"/>
      <c r="C22" s="4" t="n"/>
      <c r="D22" s="4" t="n"/>
      <c r="E22" s="4" t="n"/>
      <c r="F22" s="4" t="n"/>
      <c r="G22" s="9">
        <f>IFERROR((C22+D22+E22)/B22,0)</f>
        <v/>
      </c>
      <c r="H22" s="9">
        <f>IFERROR((B22-F22)/B22,0)</f>
        <v/>
      </c>
      <c r="I22" s="13" t="n"/>
      <c r="J22" s="9">
        <f>IFERROR(I22/30500000,0)</f>
        <v/>
      </c>
      <c r="K22" s="4" t="n"/>
      <c r="L22" s="4" t="n"/>
      <c r="M22" s="4" t="n"/>
      <c r="N22" s="11">
        <f>IFERROR((G22*3+H22*2+M22)/6,0)</f>
        <v/>
      </c>
      <c r="O22" s="4" t="n"/>
    </row>
    <row r="23">
      <c r="A23" s="5" t="n"/>
      <c r="B23" s="5" t="n"/>
      <c r="C23" s="5" t="n"/>
      <c r="D23" s="5" t="n"/>
      <c r="E23" s="5" t="n"/>
      <c r="F23" s="5" t="n"/>
      <c r="G23" s="10">
        <f>IFERROR((C23+D23+E23)/B23,0)</f>
        <v/>
      </c>
      <c r="H23" s="10">
        <f>IFERROR((B23-F23)/B23,0)</f>
        <v/>
      </c>
      <c r="I23" s="15" t="n"/>
      <c r="J23" s="10">
        <f>IFERROR(I23/30500000,0)</f>
        <v/>
      </c>
      <c r="K23" s="5" t="n"/>
      <c r="L23" s="5" t="n"/>
      <c r="M23" s="5" t="n"/>
      <c r="N23" s="12">
        <f>IFERROR((G23*3+H23*2+M23)/6,0)</f>
        <v/>
      </c>
      <c r="O23" s="5" t="n"/>
    </row>
    <row r="24">
      <c r="A24" s="4" t="n"/>
      <c r="B24" s="4" t="n"/>
      <c r="C24" s="4" t="n"/>
      <c r="D24" s="4" t="n"/>
      <c r="E24" s="4" t="n"/>
      <c r="F24" s="4" t="n"/>
      <c r="G24" s="9">
        <f>IFERROR((C24+D24+E24)/B24,0)</f>
        <v/>
      </c>
      <c r="H24" s="9">
        <f>IFERROR((B24-F24)/B24,0)</f>
        <v/>
      </c>
      <c r="I24" s="13" t="n"/>
      <c r="J24" s="9">
        <f>IFERROR(I24/30500000,0)</f>
        <v/>
      </c>
      <c r="K24" s="4" t="n"/>
      <c r="L24" s="4" t="n"/>
      <c r="M24" s="4" t="n"/>
      <c r="N24" s="11">
        <f>IFERROR((G24*3+H24*2+M24)/6,0)</f>
        <v/>
      </c>
      <c r="O24" s="4" t="n"/>
    </row>
    <row r="25">
      <c r="A25" s="5" t="n"/>
      <c r="B25" s="5" t="n"/>
      <c r="C25" s="5" t="n"/>
      <c r="D25" s="5" t="n"/>
      <c r="E25" s="5" t="n"/>
      <c r="F25" s="5" t="n"/>
      <c r="G25" s="10">
        <f>IFERROR((C25+D25+E25)/B25,0)</f>
        <v/>
      </c>
      <c r="H25" s="10">
        <f>IFERROR((B25-F25)/B25,0)</f>
        <v/>
      </c>
      <c r="I25" s="15" t="n"/>
      <c r="J25" s="10">
        <f>IFERROR(I25/30500000,0)</f>
        <v/>
      </c>
      <c r="K25" s="5" t="n"/>
      <c r="L25" s="5" t="n"/>
      <c r="M25" s="5" t="n"/>
      <c r="N25" s="12">
        <f>IFERROR((G25*3+H25*2+M25)/6,0)</f>
        <v/>
      </c>
      <c r="O25" s="5" t="n"/>
    </row>
    <row r="26">
      <c r="A26" s="4" t="n"/>
      <c r="B26" s="4" t="n"/>
      <c r="C26" s="4" t="n"/>
      <c r="D26" s="4" t="n"/>
      <c r="E26" s="4" t="n"/>
      <c r="F26" s="4" t="n"/>
      <c r="G26" s="9">
        <f>IFERROR((C26+D26+E26)/B26,0)</f>
        <v/>
      </c>
      <c r="H26" s="9">
        <f>IFERROR((B26-F26)/B26,0)</f>
        <v/>
      </c>
      <c r="I26" s="13" t="n"/>
      <c r="J26" s="9">
        <f>IFERROR(I26/30500000,0)</f>
        <v/>
      </c>
      <c r="K26" s="4" t="n"/>
      <c r="L26" s="4" t="n"/>
      <c r="M26" s="4" t="n"/>
      <c r="N26" s="11">
        <f>IFERROR((G26*3+H26*2+M26)/6,0)</f>
        <v/>
      </c>
      <c r="O26" s="4" t="n"/>
    </row>
    <row r="27">
      <c r="A27" s="5" t="n"/>
      <c r="B27" s="5" t="n"/>
      <c r="C27" s="5" t="n"/>
      <c r="D27" s="5" t="n"/>
      <c r="E27" s="5" t="n"/>
      <c r="F27" s="5" t="n"/>
      <c r="G27" s="10">
        <f>IFERROR((C27+D27+E27)/B27,0)</f>
        <v/>
      </c>
      <c r="H27" s="10">
        <f>IFERROR((B27-F27)/B27,0)</f>
        <v/>
      </c>
      <c r="I27" s="15" t="n"/>
      <c r="J27" s="10">
        <f>IFERROR(I27/30500000,0)</f>
        <v/>
      </c>
      <c r="K27" s="5" t="n"/>
      <c r="L27" s="5" t="n"/>
      <c r="M27" s="5" t="n"/>
      <c r="N27" s="12">
        <f>IFERROR((G27*3+H27*2+M27)/6,0)</f>
        <v/>
      </c>
      <c r="O27" s="5" t="n"/>
    </row>
    <row r="28">
      <c r="A28" s="4" t="n"/>
      <c r="B28" s="4" t="n"/>
      <c r="C28" s="4" t="n"/>
      <c r="D28" s="4" t="n"/>
      <c r="E28" s="4" t="n"/>
      <c r="F28" s="4" t="n"/>
      <c r="G28" s="9">
        <f>IFERROR((C28+D28+E28)/B28,0)</f>
        <v/>
      </c>
      <c r="H28" s="9">
        <f>IFERROR((B28-F28)/B28,0)</f>
        <v/>
      </c>
      <c r="I28" s="13" t="n"/>
      <c r="J28" s="9">
        <f>IFERROR(I28/30500000,0)</f>
        <v/>
      </c>
      <c r="K28" s="4" t="n"/>
      <c r="L28" s="4" t="n"/>
      <c r="M28" s="4" t="n"/>
      <c r="N28" s="11">
        <f>IFERROR((G28*3+H28*2+M28)/6,0)</f>
        <v/>
      </c>
      <c r="O28" s="4" t="n"/>
    </row>
    <row r="29">
      <c r="A29" s="5" t="n"/>
      <c r="B29" s="5" t="n"/>
      <c r="C29" s="5" t="n"/>
      <c r="D29" s="5" t="n"/>
      <c r="E29" s="5" t="n"/>
      <c r="F29" s="5" t="n"/>
      <c r="G29" s="10">
        <f>IFERROR((C29+D29+E29)/B29,0)</f>
        <v/>
      </c>
      <c r="H29" s="10">
        <f>IFERROR((B29-F29)/B29,0)</f>
        <v/>
      </c>
      <c r="I29" s="15" t="n"/>
      <c r="J29" s="10">
        <f>IFERROR(I29/30500000,0)</f>
        <v/>
      </c>
      <c r="K29" s="5" t="n"/>
      <c r="L29" s="5" t="n"/>
      <c r="M29" s="5" t="n"/>
      <c r="N29" s="12">
        <f>IFERROR((G29*3+H29*2+M29)/6,0)</f>
        <v/>
      </c>
      <c r="O29" s="5" t="n"/>
    </row>
    <row r="30">
      <c r="A30" s="4" t="n"/>
      <c r="B30" s="4" t="n"/>
      <c r="C30" s="4" t="n"/>
      <c r="D30" s="4" t="n"/>
      <c r="E30" s="4" t="n"/>
      <c r="F30" s="4" t="n"/>
      <c r="G30" s="9">
        <f>IFERROR((C30+D30+E30)/B30,0)</f>
        <v/>
      </c>
      <c r="H30" s="9">
        <f>IFERROR((B30-F30)/B30,0)</f>
        <v/>
      </c>
      <c r="I30" s="13" t="n"/>
      <c r="J30" s="9">
        <f>IFERROR(I30/30500000,0)</f>
        <v/>
      </c>
      <c r="K30" s="4" t="n"/>
      <c r="L30" s="4" t="n"/>
      <c r="M30" s="4" t="n"/>
      <c r="N30" s="11">
        <f>IFERROR((G30*3+H30*2+M30)/6,0)</f>
        <v/>
      </c>
      <c r="O30" s="4" t="n"/>
    </row>
    <row r="31">
      <c r="A31" s="5" t="n"/>
      <c r="B31" s="5" t="n"/>
      <c r="C31" s="5" t="n"/>
      <c r="D31" s="5" t="n"/>
      <c r="E31" s="5" t="n"/>
      <c r="F31" s="5" t="n"/>
      <c r="G31" s="10">
        <f>IFERROR((C31+D31+E31)/B31,0)</f>
        <v/>
      </c>
      <c r="H31" s="10">
        <f>IFERROR((B31-F31)/B31,0)</f>
        <v/>
      </c>
      <c r="I31" s="15" t="n"/>
      <c r="J31" s="10">
        <f>IFERROR(I31/30500000,0)</f>
        <v/>
      </c>
      <c r="K31" s="5" t="n"/>
      <c r="L31" s="5" t="n"/>
      <c r="M31" s="5" t="n"/>
      <c r="N31" s="12">
        <f>IFERROR((G31*3+H31*2+M31)/6,0)</f>
        <v/>
      </c>
      <c r="O31" s="5" t="n"/>
    </row>
    <row r="32">
      <c r="A32" s="4" t="n"/>
      <c r="B32" s="4" t="n"/>
      <c r="C32" s="4" t="n"/>
      <c r="D32" s="4" t="n"/>
      <c r="E32" s="4" t="n"/>
      <c r="F32" s="4" t="n"/>
      <c r="G32" s="9">
        <f>IFERROR((C32+D32+E32)/B32,0)</f>
        <v/>
      </c>
      <c r="H32" s="9">
        <f>IFERROR((B32-F32)/B32,0)</f>
        <v/>
      </c>
      <c r="I32" s="13" t="n"/>
      <c r="J32" s="9">
        <f>IFERROR(I32/30500000,0)</f>
        <v/>
      </c>
      <c r="K32" s="4" t="n"/>
      <c r="L32" s="4" t="n"/>
      <c r="M32" s="4" t="n"/>
      <c r="N32" s="11">
        <f>IFERROR((G32*3+H32*2+M32)/6,0)</f>
        <v/>
      </c>
      <c r="O32" s="4" t="n"/>
    </row>
    <row r="33">
      <c r="A33" s="5" t="n"/>
      <c r="B33" s="5" t="n"/>
      <c r="C33" s="5" t="n"/>
      <c r="D33" s="5" t="n"/>
      <c r="E33" s="5" t="n"/>
      <c r="F33" s="5" t="n"/>
      <c r="G33" s="10">
        <f>IFERROR((C33+D33+E33)/B33,0)</f>
        <v/>
      </c>
      <c r="H33" s="10">
        <f>IFERROR((B33-F33)/B33,0)</f>
        <v/>
      </c>
      <c r="I33" s="15" t="n"/>
      <c r="J33" s="10">
        <f>IFERROR(I33/30500000,0)</f>
        <v/>
      </c>
      <c r="K33" s="5" t="n"/>
      <c r="L33" s="5" t="n"/>
      <c r="M33" s="5" t="n"/>
      <c r="N33" s="12">
        <f>IFERROR((G33*3+H33*2+M33)/6,0)</f>
        <v/>
      </c>
      <c r="O33" s="5" t="n"/>
    </row>
    <row r="34">
      <c r="A34" s="4" t="n"/>
      <c r="B34" s="4" t="n"/>
      <c r="C34" s="4" t="n"/>
      <c r="D34" s="4" t="n"/>
      <c r="E34" s="4" t="n"/>
      <c r="F34" s="4" t="n"/>
      <c r="G34" s="9">
        <f>IFERROR((C34+D34+E34)/B34,0)</f>
        <v/>
      </c>
      <c r="H34" s="9">
        <f>IFERROR((B34-F34)/B34,0)</f>
        <v/>
      </c>
      <c r="I34" s="13" t="n"/>
      <c r="J34" s="9">
        <f>IFERROR(I34/30500000,0)</f>
        <v/>
      </c>
      <c r="K34" s="4" t="n"/>
      <c r="L34" s="4" t="n"/>
      <c r="M34" s="4" t="n"/>
      <c r="N34" s="11">
        <f>IFERROR((G34*3+H34*2+M34)/6,0)</f>
        <v/>
      </c>
      <c r="O34" s="4" t="n"/>
    </row>
    <row r="35">
      <c r="A35" s="5" t="n"/>
      <c r="B35" s="5" t="n"/>
      <c r="C35" s="5" t="n"/>
      <c r="D35" s="5" t="n"/>
      <c r="E35" s="5" t="n"/>
      <c r="F35" s="5" t="n"/>
      <c r="G35" s="10">
        <f>IFERROR((C35+D35+E35)/B35,0)</f>
        <v/>
      </c>
      <c r="H35" s="10">
        <f>IFERROR((B35-F35)/B35,0)</f>
        <v/>
      </c>
      <c r="I35" s="15" t="n"/>
      <c r="J35" s="10">
        <f>IFERROR(I35/30500000,0)</f>
        <v/>
      </c>
      <c r="K35" s="5" t="n"/>
      <c r="L35" s="5" t="n"/>
      <c r="M35" s="5" t="n"/>
      <c r="N35" s="12">
        <f>IFERROR((G35*3+H35*2+M35)/6,0)</f>
        <v/>
      </c>
      <c r="O35" s="5" t="n"/>
    </row>
    <row r="36">
      <c r="A36" s="4" t="n"/>
      <c r="B36" s="4" t="n"/>
      <c r="C36" s="4" t="n"/>
      <c r="D36" s="4" t="n"/>
      <c r="E36" s="4" t="n"/>
      <c r="F36" s="4" t="n"/>
      <c r="G36" s="9">
        <f>IFERROR((C36+D36+E36)/B36,0)</f>
        <v/>
      </c>
      <c r="H36" s="9">
        <f>IFERROR((B36-F36)/B36,0)</f>
        <v/>
      </c>
      <c r="I36" s="13" t="n"/>
      <c r="J36" s="9">
        <f>IFERROR(I36/30500000,0)</f>
        <v/>
      </c>
      <c r="K36" s="4" t="n"/>
      <c r="L36" s="4" t="n"/>
      <c r="M36" s="4" t="n"/>
      <c r="N36" s="11">
        <f>IFERROR((G36*3+H36*2+M36)/6,0)</f>
        <v/>
      </c>
      <c r="O36" s="4" t="n"/>
    </row>
    <row r="37">
      <c r="A37" s="5" t="n"/>
      <c r="B37" s="5" t="n"/>
      <c r="C37" s="5" t="n"/>
      <c r="D37" s="5" t="n"/>
      <c r="E37" s="5" t="n"/>
      <c r="F37" s="5" t="n"/>
      <c r="G37" s="10">
        <f>IFERROR((C37+D37+E37)/B37,0)</f>
        <v/>
      </c>
      <c r="H37" s="10">
        <f>IFERROR((B37-F37)/B37,0)</f>
        <v/>
      </c>
      <c r="I37" s="15" t="n"/>
      <c r="J37" s="10">
        <f>IFERROR(I37/30500000,0)</f>
        <v/>
      </c>
      <c r="K37" s="5" t="n"/>
      <c r="L37" s="5" t="n"/>
      <c r="M37" s="5" t="n"/>
      <c r="N37" s="12">
        <f>IFERROR((G37*3+H37*2+M37)/6,0)</f>
        <v/>
      </c>
      <c r="O37" s="5" t="n"/>
    </row>
    <row r="38">
      <c r="A38" s="4" t="n"/>
      <c r="B38" s="4" t="n"/>
      <c r="C38" s="4" t="n"/>
      <c r="D38" s="4" t="n"/>
      <c r="E38" s="4" t="n"/>
      <c r="F38" s="4" t="n"/>
      <c r="G38" s="9">
        <f>IFERROR((C38+D38+E38)/B38,0)</f>
        <v/>
      </c>
      <c r="H38" s="9">
        <f>IFERROR((B38-F38)/B38,0)</f>
        <v/>
      </c>
      <c r="I38" s="13" t="n"/>
      <c r="J38" s="9">
        <f>IFERROR(I38/30500000,0)</f>
        <v/>
      </c>
      <c r="K38" s="4" t="n"/>
      <c r="L38" s="4" t="n"/>
      <c r="M38" s="4" t="n"/>
      <c r="N38" s="11">
        <f>IFERROR((G38*3+H38*2+M38)/6,0)</f>
        <v/>
      </c>
      <c r="O38" s="4" t="n"/>
    </row>
    <row r="39">
      <c r="A39" s="5" t="n"/>
      <c r="B39" s="5" t="n"/>
      <c r="C39" s="5" t="n"/>
      <c r="D39" s="5" t="n"/>
      <c r="E39" s="5" t="n"/>
      <c r="F39" s="5" t="n"/>
      <c r="G39" s="10">
        <f>IFERROR((C39+D39+E39)/B39,0)</f>
        <v/>
      </c>
      <c r="H39" s="10">
        <f>IFERROR((B39-F39)/B39,0)</f>
        <v/>
      </c>
      <c r="I39" s="15" t="n"/>
      <c r="J39" s="10">
        <f>IFERROR(I39/30500000,0)</f>
        <v/>
      </c>
      <c r="K39" s="5" t="n"/>
      <c r="L39" s="5" t="n"/>
      <c r="M39" s="5" t="n"/>
      <c r="N39" s="12">
        <f>IFERROR((G39*3+H39*2+M39)/6,0)</f>
        <v/>
      </c>
      <c r="O39" s="5" t="n"/>
    </row>
    <row r="40">
      <c r="A40" s="4" t="n"/>
      <c r="B40" s="4" t="n"/>
      <c r="C40" s="4" t="n"/>
      <c r="D40" s="4" t="n"/>
      <c r="E40" s="4" t="n"/>
      <c r="F40" s="4" t="n"/>
      <c r="G40" s="9">
        <f>IFERROR((C40+D40+E40)/B40,0)</f>
        <v/>
      </c>
      <c r="H40" s="9">
        <f>IFERROR((B40-F40)/B40,0)</f>
        <v/>
      </c>
      <c r="I40" s="13" t="n"/>
      <c r="J40" s="9">
        <f>IFERROR(I40/30500000,0)</f>
        <v/>
      </c>
      <c r="K40" s="4" t="n"/>
      <c r="L40" s="4" t="n"/>
      <c r="M40" s="4" t="n"/>
      <c r="N40" s="11">
        <f>IFERROR((G40*3+H40*2+M40)/6,0)</f>
        <v/>
      </c>
      <c r="O40" s="4" t="n"/>
    </row>
    <row r="41">
      <c r="A41" s="5" t="n"/>
      <c r="B41" s="5" t="n"/>
      <c r="C41" s="5" t="n"/>
      <c r="D41" s="5" t="n"/>
      <c r="E41" s="5" t="n"/>
      <c r="F41" s="5" t="n"/>
      <c r="G41" s="10">
        <f>IFERROR((C41+D41+E41)/B41,0)</f>
        <v/>
      </c>
      <c r="H41" s="10">
        <f>IFERROR((B41-F41)/B41,0)</f>
        <v/>
      </c>
      <c r="I41" s="15" t="n"/>
      <c r="J41" s="10">
        <f>IFERROR(I41/30500000,0)</f>
        <v/>
      </c>
      <c r="K41" s="5" t="n"/>
      <c r="L41" s="5" t="n"/>
      <c r="M41" s="5" t="n"/>
      <c r="N41" s="12">
        <f>IFERROR((G41*3+H41*2+M41)/6,0)</f>
        <v/>
      </c>
      <c r="O41" s="5" t="n"/>
    </row>
    <row r="42">
      <c r="A42" s="4" t="n"/>
      <c r="B42" s="4" t="n"/>
      <c r="C42" s="4" t="n"/>
      <c r="D42" s="4" t="n"/>
      <c r="E42" s="4" t="n"/>
      <c r="F42" s="4" t="n"/>
      <c r="G42" s="9">
        <f>IFERROR((C42+D42+E42)/B42,0)</f>
        <v/>
      </c>
      <c r="H42" s="9">
        <f>IFERROR((B42-F42)/B42,0)</f>
        <v/>
      </c>
      <c r="I42" s="13" t="n"/>
      <c r="J42" s="9">
        <f>IFERROR(I42/30500000,0)</f>
        <v/>
      </c>
      <c r="K42" s="4" t="n"/>
      <c r="L42" s="4" t="n"/>
      <c r="M42" s="4" t="n"/>
      <c r="N42" s="11">
        <f>IFERROR((G42*3+H42*2+M42)/6,0)</f>
        <v/>
      </c>
      <c r="O42" s="4" t="n"/>
    </row>
    <row r="43">
      <c r="A43" s="5" t="n"/>
      <c r="B43" s="5" t="n"/>
      <c r="C43" s="5" t="n"/>
      <c r="D43" s="5" t="n"/>
      <c r="E43" s="5" t="n"/>
      <c r="F43" s="5" t="n"/>
      <c r="G43" s="10">
        <f>IFERROR((C43+D43+E43)/B43,0)</f>
        <v/>
      </c>
      <c r="H43" s="10">
        <f>IFERROR((B43-F43)/B43,0)</f>
        <v/>
      </c>
      <c r="I43" s="15" t="n"/>
      <c r="J43" s="10">
        <f>IFERROR(I43/30500000,0)</f>
        <v/>
      </c>
      <c r="K43" s="5" t="n"/>
      <c r="L43" s="5" t="n"/>
      <c r="M43" s="5" t="n"/>
      <c r="N43" s="12">
        <f>IFERROR((G43*3+H43*2+M43)/6,0)</f>
        <v/>
      </c>
      <c r="O43" s="5" t="n"/>
    </row>
    <row r="44">
      <c r="A44" s="4" t="n"/>
      <c r="B44" s="4" t="n"/>
      <c r="C44" s="4" t="n"/>
      <c r="D44" s="4" t="n"/>
      <c r="E44" s="4" t="n"/>
      <c r="F44" s="4" t="n"/>
      <c r="G44" s="9">
        <f>IFERROR((C44+D44+E44)/B44,0)</f>
        <v/>
      </c>
      <c r="H44" s="9">
        <f>IFERROR((B44-F44)/B44,0)</f>
        <v/>
      </c>
      <c r="I44" s="13" t="n"/>
      <c r="J44" s="9">
        <f>IFERROR(I44/30500000,0)</f>
        <v/>
      </c>
      <c r="K44" s="4" t="n"/>
      <c r="L44" s="4" t="n"/>
      <c r="M44" s="4" t="n"/>
      <c r="N44" s="11">
        <f>IFERROR((G44*3+H44*2+M44)/6,0)</f>
        <v/>
      </c>
      <c r="O44" s="4" t="n"/>
    </row>
    <row r="45">
      <c r="A45" s="5" t="n"/>
      <c r="B45" s="5" t="n"/>
      <c r="C45" s="5" t="n"/>
      <c r="D45" s="5" t="n"/>
      <c r="E45" s="5" t="n"/>
      <c r="F45" s="5" t="n"/>
      <c r="G45" s="10">
        <f>IFERROR((C45+D45+E45)/B45,0)</f>
        <v/>
      </c>
      <c r="H45" s="10">
        <f>IFERROR((B45-F45)/B45,0)</f>
        <v/>
      </c>
      <c r="I45" s="15" t="n"/>
      <c r="J45" s="10">
        <f>IFERROR(I45/30500000,0)</f>
        <v/>
      </c>
      <c r="K45" s="5" t="n"/>
      <c r="L45" s="5" t="n"/>
      <c r="M45" s="5" t="n"/>
      <c r="N45" s="12">
        <f>IFERROR((G45*3+H45*2+M45)/6,0)</f>
        <v/>
      </c>
      <c r="O45" s="5" t="n"/>
    </row>
    <row r="46">
      <c r="A46" s="4" t="n"/>
      <c r="B46" s="4" t="n"/>
      <c r="C46" s="4" t="n"/>
      <c r="D46" s="4" t="n"/>
      <c r="E46" s="4" t="n"/>
      <c r="F46" s="4" t="n"/>
      <c r="G46" s="9">
        <f>IFERROR((C46+D46+E46)/B46,0)</f>
        <v/>
      </c>
      <c r="H46" s="9">
        <f>IFERROR((B46-F46)/B46,0)</f>
        <v/>
      </c>
      <c r="I46" s="13" t="n"/>
      <c r="J46" s="9">
        <f>IFERROR(I46/30500000,0)</f>
        <v/>
      </c>
      <c r="K46" s="4" t="n"/>
      <c r="L46" s="4" t="n"/>
      <c r="M46" s="4" t="n"/>
      <c r="N46" s="11">
        <f>IFERROR((G46*3+H46*2+M46)/6,0)</f>
        <v/>
      </c>
      <c r="O46" s="4" t="n"/>
    </row>
    <row r="47">
      <c r="A47" s="5" t="n"/>
      <c r="B47" s="5" t="n"/>
      <c r="C47" s="5" t="n"/>
      <c r="D47" s="5" t="n"/>
      <c r="E47" s="5" t="n"/>
      <c r="F47" s="5" t="n"/>
      <c r="G47" s="10">
        <f>IFERROR((C47+D47+E47)/B47,0)</f>
        <v/>
      </c>
      <c r="H47" s="10">
        <f>IFERROR((B47-F47)/B47,0)</f>
        <v/>
      </c>
      <c r="I47" s="15" t="n"/>
      <c r="J47" s="10">
        <f>IFERROR(I47/30500000,0)</f>
        <v/>
      </c>
      <c r="K47" s="5" t="n"/>
      <c r="L47" s="5" t="n"/>
      <c r="M47" s="5" t="n"/>
      <c r="N47" s="12">
        <f>IFERROR((G47*3+H47*2+M47)/6,0)</f>
        <v/>
      </c>
      <c r="O47" s="5" t="n"/>
    </row>
    <row r="48">
      <c r="A48" s="4" t="n"/>
      <c r="B48" s="4" t="n"/>
      <c r="C48" s="4" t="n"/>
      <c r="D48" s="4" t="n"/>
      <c r="E48" s="4" t="n"/>
      <c r="F48" s="4" t="n"/>
      <c r="G48" s="9">
        <f>IFERROR((C48+D48+E48)/B48,0)</f>
        <v/>
      </c>
      <c r="H48" s="9">
        <f>IFERROR((B48-F48)/B48,0)</f>
        <v/>
      </c>
      <c r="I48" s="13" t="n"/>
      <c r="J48" s="9">
        <f>IFERROR(I48/30500000,0)</f>
        <v/>
      </c>
      <c r="K48" s="4" t="n"/>
      <c r="L48" s="4" t="n"/>
      <c r="M48" s="4" t="n"/>
      <c r="N48" s="11">
        <f>IFERROR((G48*3+H48*2+M48)/6,0)</f>
        <v/>
      </c>
      <c r="O48" s="4" t="n"/>
    </row>
    <row r="49">
      <c r="A49" s="5" t="n"/>
      <c r="B49" s="5" t="n"/>
      <c r="C49" s="5" t="n"/>
      <c r="D49" s="5" t="n"/>
      <c r="E49" s="5" t="n"/>
      <c r="F49" s="5" t="n"/>
      <c r="G49" s="10">
        <f>IFERROR((C49+D49+E49)/B49,0)</f>
        <v/>
      </c>
      <c r="H49" s="10">
        <f>IFERROR((B49-F49)/B49,0)</f>
        <v/>
      </c>
      <c r="I49" s="15" t="n"/>
      <c r="J49" s="10">
        <f>IFERROR(I49/30500000,0)</f>
        <v/>
      </c>
      <c r="K49" s="5" t="n"/>
      <c r="L49" s="5" t="n"/>
      <c r="M49" s="5" t="n"/>
      <c r="N49" s="12">
        <f>IFERROR((G49*3+H49*2+M49)/6,0)</f>
        <v/>
      </c>
      <c r="O49" s="5" t="n"/>
    </row>
    <row r="50">
      <c r="A50" s="4" t="n"/>
      <c r="B50" s="4" t="n"/>
      <c r="C50" s="4" t="n"/>
      <c r="D50" s="4" t="n"/>
      <c r="E50" s="4" t="n"/>
      <c r="F50" s="4" t="n"/>
      <c r="G50" s="9">
        <f>IFERROR((C50+D50+E50)/B50,0)</f>
        <v/>
      </c>
      <c r="H50" s="9">
        <f>IFERROR((B50-F50)/B50,0)</f>
        <v/>
      </c>
      <c r="I50" s="13" t="n"/>
      <c r="J50" s="9">
        <f>IFERROR(I50/30500000,0)</f>
        <v/>
      </c>
      <c r="K50" s="4" t="n"/>
      <c r="L50" s="4" t="n"/>
      <c r="M50" s="4" t="n"/>
      <c r="N50" s="11">
        <f>IFERROR((G50*3+H50*2+M50)/6,0)</f>
        <v/>
      </c>
      <c r="O50" s="4" t="n"/>
    </row>
    <row r="51">
      <c r="A51" s="5" t="n"/>
      <c r="B51" s="5" t="n"/>
      <c r="C51" s="5" t="n"/>
      <c r="D51" s="5" t="n"/>
      <c r="E51" s="5" t="n"/>
      <c r="F51" s="5" t="n"/>
      <c r="G51" s="10">
        <f>IFERROR((C51+D51+E51)/B51,0)</f>
        <v/>
      </c>
      <c r="H51" s="10">
        <f>IFERROR((B51-F51)/B51,0)</f>
        <v/>
      </c>
      <c r="I51" s="15" t="n"/>
      <c r="J51" s="10">
        <f>IFERROR(I51/30500000,0)</f>
        <v/>
      </c>
      <c r="K51" s="5" t="n"/>
      <c r="L51" s="5" t="n"/>
      <c r="M51" s="5" t="n"/>
      <c r="N51" s="12">
        <f>IFERROR((G51*3+H51*2+M51)/6,0)</f>
        <v/>
      </c>
      <c r="O51" s="5" t="n"/>
    </row>
    <row r="52">
      <c r="A52" s="4" t="n"/>
      <c r="B52" s="4" t="n"/>
      <c r="C52" s="4" t="n"/>
      <c r="D52" s="4" t="n"/>
      <c r="E52" s="4" t="n"/>
      <c r="F52" s="4" t="n"/>
      <c r="G52" s="9">
        <f>IFERROR((C52+D52+E52)/B52,0)</f>
        <v/>
      </c>
      <c r="H52" s="9">
        <f>IFERROR((B52-F52)/B52,0)</f>
        <v/>
      </c>
      <c r="I52" s="13" t="n"/>
      <c r="J52" s="9">
        <f>IFERROR(I52/30500000,0)</f>
        <v/>
      </c>
      <c r="K52" s="4" t="n"/>
      <c r="L52" s="4" t="n"/>
      <c r="M52" s="4" t="n"/>
      <c r="N52" s="11">
        <f>IFERROR((G52*3+H52*2+M52)/6,0)</f>
        <v/>
      </c>
      <c r="O52" s="4" t="n"/>
    </row>
    <row r="53">
      <c r="A53" s="5" t="n"/>
      <c r="B53" s="5" t="n"/>
      <c r="C53" s="5" t="n"/>
      <c r="D53" s="5" t="n"/>
      <c r="E53" s="5" t="n"/>
      <c r="F53" s="5" t="n"/>
      <c r="G53" s="10">
        <f>IFERROR((C53+D53+E53)/B53,0)</f>
        <v/>
      </c>
      <c r="H53" s="10">
        <f>IFERROR((B53-F53)/B53,0)</f>
        <v/>
      </c>
      <c r="I53" s="15" t="n"/>
      <c r="J53" s="10">
        <f>IFERROR(I53/30500000,0)</f>
        <v/>
      </c>
      <c r="K53" s="5" t="n"/>
      <c r="L53" s="5" t="n"/>
      <c r="M53" s="5" t="n"/>
      <c r="N53" s="12">
        <f>IFERROR((G53*3+H53*2+M53)/6,0)</f>
        <v/>
      </c>
      <c r="O53" s="5" t="n"/>
    </row>
    <row r="54">
      <c r="A54" s="4" t="n"/>
      <c r="B54" s="4" t="n"/>
      <c r="C54" s="4" t="n"/>
      <c r="D54" s="4" t="n"/>
      <c r="E54" s="4" t="n"/>
      <c r="F54" s="4" t="n"/>
      <c r="G54" s="9">
        <f>IFERROR((C54+D54+E54)/B54,0)</f>
        <v/>
      </c>
      <c r="H54" s="9">
        <f>IFERROR((B54-F54)/B54,0)</f>
        <v/>
      </c>
      <c r="I54" s="13" t="n"/>
      <c r="J54" s="9">
        <f>IFERROR(I54/30500000,0)</f>
        <v/>
      </c>
      <c r="K54" s="4" t="n"/>
      <c r="L54" s="4" t="n"/>
      <c r="M54" s="4" t="n"/>
      <c r="N54" s="11">
        <f>IFERROR((G54*3+H54*2+M54)/6,0)</f>
        <v/>
      </c>
      <c r="O54" s="4" t="n"/>
    </row>
    <row r="55">
      <c r="A55" s="5" t="n"/>
      <c r="B55" s="5" t="n"/>
      <c r="C55" s="5" t="n"/>
      <c r="D55" s="5" t="n"/>
      <c r="E55" s="5" t="n"/>
      <c r="F55" s="5" t="n"/>
      <c r="G55" s="10">
        <f>IFERROR((C55+D55+E55)/B55,0)</f>
        <v/>
      </c>
      <c r="H55" s="10">
        <f>IFERROR((B55-F55)/B55,0)</f>
        <v/>
      </c>
      <c r="I55" s="15" t="n"/>
      <c r="J55" s="10">
        <f>IFERROR(I55/30500000,0)</f>
        <v/>
      </c>
      <c r="K55" s="5" t="n"/>
      <c r="L55" s="5" t="n"/>
      <c r="M55" s="5" t="n"/>
      <c r="N55" s="12">
        <f>IFERROR((G55*3+H55*2+M55)/6,0)</f>
        <v/>
      </c>
      <c r="O55" s="5" t="n"/>
    </row>
    <row r="56">
      <c r="A56" s="4" t="n"/>
      <c r="B56" s="4" t="n"/>
      <c r="C56" s="4" t="n"/>
      <c r="D56" s="4" t="n"/>
      <c r="E56" s="4" t="n"/>
      <c r="F56" s="4" t="n"/>
      <c r="G56" s="9">
        <f>IFERROR((C56+D56+E56)/B56,0)</f>
        <v/>
      </c>
      <c r="H56" s="9">
        <f>IFERROR((B56-F56)/B56,0)</f>
        <v/>
      </c>
      <c r="I56" s="13" t="n"/>
      <c r="J56" s="9">
        <f>IFERROR(I56/30500000,0)</f>
        <v/>
      </c>
      <c r="K56" s="4" t="n"/>
      <c r="L56" s="4" t="n"/>
      <c r="M56" s="4" t="n"/>
      <c r="N56" s="11">
        <f>IFERROR((G56*3+H56*2+M56)/6,0)</f>
        <v/>
      </c>
      <c r="O56" s="4" t="n"/>
    </row>
    <row r="57">
      <c r="A57" s="5" t="n"/>
      <c r="B57" s="5" t="n"/>
      <c r="C57" s="5" t="n"/>
      <c r="D57" s="5" t="n"/>
      <c r="E57" s="5" t="n"/>
      <c r="F57" s="5" t="n"/>
      <c r="G57" s="10">
        <f>IFERROR((C57+D57+E57)/B57,0)</f>
        <v/>
      </c>
      <c r="H57" s="10">
        <f>IFERROR((B57-F57)/B57,0)</f>
        <v/>
      </c>
      <c r="I57" s="15" t="n"/>
      <c r="J57" s="10">
        <f>IFERROR(I57/30500000,0)</f>
        <v/>
      </c>
      <c r="K57" s="5" t="n"/>
      <c r="L57" s="5" t="n"/>
      <c r="M57" s="5" t="n"/>
      <c r="N57" s="12">
        <f>IFERROR((G57*3+H57*2+M57)/6,0)</f>
        <v/>
      </c>
      <c r="O57" s="5" t="n"/>
    </row>
    <row r="58">
      <c r="A58" s="4" t="n"/>
      <c r="B58" s="4" t="n"/>
      <c r="C58" s="4" t="n"/>
      <c r="D58" s="4" t="n"/>
      <c r="E58" s="4" t="n"/>
      <c r="F58" s="4" t="n"/>
      <c r="G58" s="9">
        <f>IFERROR((C58+D58+E58)/B58,0)</f>
        <v/>
      </c>
      <c r="H58" s="9">
        <f>IFERROR((B58-F58)/B58,0)</f>
        <v/>
      </c>
      <c r="I58" s="13" t="n"/>
      <c r="J58" s="9">
        <f>IFERROR(I58/30500000,0)</f>
        <v/>
      </c>
      <c r="K58" s="4" t="n"/>
      <c r="L58" s="4" t="n"/>
      <c r="M58" s="4" t="n"/>
      <c r="N58" s="11">
        <f>IFERROR((G58*3+H58*2+M58)/6,0)</f>
        <v/>
      </c>
      <c r="O58" s="4" t="n"/>
    </row>
    <row r="59">
      <c r="A59" s="5" t="n"/>
      <c r="B59" s="5" t="n"/>
      <c r="C59" s="5" t="n"/>
      <c r="D59" s="5" t="n"/>
      <c r="E59" s="5" t="n"/>
      <c r="F59" s="5" t="n"/>
      <c r="G59" s="10">
        <f>IFERROR((C59+D59+E59)/B59,0)</f>
        <v/>
      </c>
      <c r="H59" s="10">
        <f>IFERROR((B59-F59)/B59,0)</f>
        <v/>
      </c>
      <c r="I59" s="15" t="n"/>
      <c r="J59" s="10">
        <f>IFERROR(I59/30500000,0)</f>
        <v/>
      </c>
      <c r="K59" s="5" t="n"/>
      <c r="L59" s="5" t="n"/>
      <c r="M59" s="5" t="n"/>
      <c r="N59" s="12">
        <f>IFERROR((G59*3+H59*2+M59)/6,0)</f>
        <v/>
      </c>
      <c r="O59" s="5" t="n"/>
    </row>
    <row r="60">
      <c r="A60" s="4" t="n"/>
      <c r="B60" s="4" t="n"/>
      <c r="C60" s="4" t="n"/>
      <c r="D60" s="4" t="n"/>
      <c r="E60" s="4" t="n"/>
      <c r="F60" s="4" t="n"/>
      <c r="G60" s="9">
        <f>IFERROR((C60+D60+E60)/B60,0)</f>
        <v/>
      </c>
      <c r="H60" s="9">
        <f>IFERROR((B60-F60)/B60,0)</f>
        <v/>
      </c>
      <c r="I60" s="13" t="n"/>
      <c r="J60" s="9">
        <f>IFERROR(I60/30500000,0)</f>
        <v/>
      </c>
      <c r="K60" s="4" t="n"/>
      <c r="L60" s="4" t="n"/>
      <c r="M60" s="4" t="n"/>
      <c r="N60" s="11">
        <f>IFERROR((G60*3+H60*2+M60)/6,0)</f>
        <v/>
      </c>
      <c r="O60" s="4" t="n"/>
    </row>
    <row r="61">
      <c r="A61" s="5" t="n"/>
      <c r="B61" s="5" t="n"/>
      <c r="C61" s="5" t="n"/>
      <c r="D61" s="5" t="n"/>
      <c r="E61" s="5" t="n"/>
      <c r="F61" s="5" t="n"/>
      <c r="G61" s="10">
        <f>IFERROR((C61+D61+E61)/B61,0)</f>
        <v/>
      </c>
      <c r="H61" s="10">
        <f>IFERROR((B61-F61)/B61,0)</f>
        <v/>
      </c>
      <c r="I61" s="15" t="n"/>
      <c r="J61" s="10">
        <f>IFERROR(I61/30500000,0)</f>
        <v/>
      </c>
      <c r="K61" s="5" t="n"/>
      <c r="L61" s="5" t="n"/>
      <c r="M61" s="5" t="n"/>
      <c r="N61" s="12">
        <f>IFERROR((G61*3+H61*2+M61)/6,0)</f>
        <v/>
      </c>
      <c r="O61" s="5" t="n"/>
    </row>
    <row r="62">
      <c r="A62" s="4" t="n"/>
      <c r="B62" s="4" t="n"/>
      <c r="C62" s="4" t="n"/>
      <c r="D62" s="4" t="n"/>
      <c r="E62" s="4" t="n"/>
      <c r="F62" s="4" t="n"/>
      <c r="G62" s="9">
        <f>IFERROR((C62+D62+E62)/B62,0)</f>
        <v/>
      </c>
      <c r="H62" s="9">
        <f>IFERROR((B62-F62)/B62,0)</f>
        <v/>
      </c>
      <c r="I62" s="13" t="n"/>
      <c r="J62" s="9">
        <f>IFERROR(I62/30500000,0)</f>
        <v/>
      </c>
      <c r="K62" s="4" t="n"/>
      <c r="L62" s="4" t="n"/>
      <c r="M62" s="4" t="n"/>
      <c r="N62" s="11">
        <f>IFERROR((G62*3+H62*2+M62)/6,0)</f>
        <v/>
      </c>
      <c r="O62" s="4" t="n"/>
    </row>
    <row r="63">
      <c r="A63" s="5" t="n"/>
      <c r="B63" s="5" t="n"/>
      <c r="C63" s="5" t="n"/>
      <c r="D63" s="5" t="n"/>
      <c r="E63" s="5" t="n"/>
      <c r="F63" s="5" t="n"/>
      <c r="G63" s="10">
        <f>IFERROR((C63+D63+E63)/B63,0)</f>
        <v/>
      </c>
      <c r="H63" s="10">
        <f>IFERROR((B63-F63)/B63,0)</f>
        <v/>
      </c>
      <c r="I63" s="15" t="n"/>
      <c r="J63" s="10">
        <f>IFERROR(I63/30500000,0)</f>
        <v/>
      </c>
      <c r="K63" s="5" t="n"/>
      <c r="L63" s="5" t="n"/>
      <c r="M63" s="5" t="n"/>
      <c r="N63" s="12">
        <f>IFERROR((G63*3+H63*2+M63)/6,0)</f>
        <v/>
      </c>
      <c r="O63" s="5" t="n"/>
    </row>
    <row r="64">
      <c r="A64" s="4" t="n"/>
      <c r="B64" s="4" t="n"/>
      <c r="C64" s="4" t="n"/>
      <c r="D64" s="4" t="n"/>
      <c r="E64" s="4" t="n"/>
      <c r="F64" s="4" t="n"/>
      <c r="G64" s="9">
        <f>IFERROR((C64+D64+E64)/B64,0)</f>
        <v/>
      </c>
      <c r="H64" s="9">
        <f>IFERROR((B64-F64)/B64,0)</f>
        <v/>
      </c>
      <c r="I64" s="13" t="n"/>
      <c r="J64" s="9">
        <f>IFERROR(I64/30500000,0)</f>
        <v/>
      </c>
      <c r="K64" s="4" t="n"/>
      <c r="L64" s="4" t="n"/>
      <c r="M64" s="4" t="n"/>
      <c r="N64" s="11">
        <f>IFERROR((G64*3+H64*2+M64)/6,0)</f>
        <v/>
      </c>
      <c r="O64" s="4" t="n"/>
    </row>
    <row r="65">
      <c r="A65" s="5" t="n"/>
      <c r="B65" s="5" t="n"/>
      <c r="C65" s="5" t="n"/>
      <c r="D65" s="5" t="n"/>
      <c r="E65" s="5" t="n"/>
      <c r="F65" s="5" t="n"/>
      <c r="G65" s="10">
        <f>IFERROR((C65+D65+E65)/B65,0)</f>
        <v/>
      </c>
      <c r="H65" s="10">
        <f>IFERROR((B65-F65)/B65,0)</f>
        <v/>
      </c>
      <c r="I65" s="15" t="n"/>
      <c r="J65" s="10">
        <f>IFERROR(I65/30500000,0)</f>
        <v/>
      </c>
      <c r="K65" s="5" t="n"/>
      <c r="L65" s="5" t="n"/>
      <c r="M65" s="5" t="n"/>
      <c r="N65" s="12">
        <f>IFERROR((G65*3+H65*2+M65)/6,0)</f>
        <v/>
      </c>
      <c r="O65" s="5" t="n"/>
    </row>
    <row r="66">
      <c r="A66" s="4" t="n"/>
      <c r="B66" s="4" t="n"/>
      <c r="C66" s="4" t="n"/>
      <c r="D66" s="4" t="n"/>
      <c r="E66" s="4" t="n"/>
      <c r="F66" s="4" t="n"/>
      <c r="G66" s="9">
        <f>IFERROR((C66+D66+E66)/B66,0)</f>
        <v/>
      </c>
      <c r="H66" s="9">
        <f>IFERROR((B66-F66)/B66,0)</f>
        <v/>
      </c>
      <c r="I66" s="13" t="n"/>
      <c r="J66" s="9">
        <f>IFERROR(I66/30500000,0)</f>
        <v/>
      </c>
      <c r="K66" s="4" t="n"/>
      <c r="L66" s="4" t="n"/>
      <c r="M66" s="4" t="n"/>
      <c r="N66" s="11">
        <f>IFERROR((G66*3+H66*2+M66)/6,0)</f>
        <v/>
      </c>
      <c r="O66" s="4" t="n"/>
    </row>
    <row r="67">
      <c r="A67" s="5" t="n"/>
      <c r="B67" s="5" t="n"/>
      <c r="C67" s="5" t="n"/>
      <c r="D67" s="5" t="n"/>
      <c r="E67" s="5" t="n"/>
      <c r="F67" s="5" t="n"/>
      <c r="G67" s="10">
        <f>IFERROR((C67+D67+E67)/B67,0)</f>
        <v/>
      </c>
      <c r="H67" s="10">
        <f>IFERROR((B67-F67)/B67,0)</f>
        <v/>
      </c>
      <c r="I67" s="15" t="n"/>
      <c r="J67" s="10">
        <f>IFERROR(I67/30500000,0)</f>
        <v/>
      </c>
      <c r="K67" s="5" t="n"/>
      <c r="L67" s="5" t="n"/>
      <c r="M67" s="5" t="n"/>
      <c r="N67" s="12">
        <f>IFERROR((G67*3+H67*2+M67)/6,0)</f>
        <v/>
      </c>
      <c r="O67" s="5" t="n"/>
    </row>
    <row r="68">
      <c r="A68" s="4" t="n"/>
      <c r="B68" s="4" t="n"/>
      <c r="C68" s="4" t="n"/>
      <c r="D68" s="4" t="n"/>
      <c r="E68" s="4" t="n"/>
      <c r="F68" s="4" t="n"/>
      <c r="G68" s="9">
        <f>IFERROR((C68+D68+E68)/B68,0)</f>
        <v/>
      </c>
      <c r="H68" s="9">
        <f>IFERROR((B68-F68)/B68,0)</f>
        <v/>
      </c>
      <c r="I68" s="13" t="n"/>
      <c r="J68" s="9">
        <f>IFERROR(I68/30500000,0)</f>
        <v/>
      </c>
      <c r="K68" s="4" t="n"/>
      <c r="L68" s="4" t="n"/>
      <c r="M68" s="4" t="n"/>
      <c r="N68" s="11">
        <f>IFERROR((G68*3+H68*2+M68)/6,0)</f>
        <v/>
      </c>
      <c r="O68" s="4" t="n"/>
    </row>
    <row r="69">
      <c r="A69" s="5" t="n"/>
      <c r="B69" s="5" t="n"/>
      <c r="C69" s="5" t="n"/>
      <c r="D69" s="5" t="n"/>
      <c r="E69" s="5" t="n"/>
      <c r="F69" s="5" t="n"/>
      <c r="G69" s="10">
        <f>IFERROR((C69+D69+E69)/B69,0)</f>
        <v/>
      </c>
      <c r="H69" s="10">
        <f>IFERROR((B69-F69)/B69,0)</f>
        <v/>
      </c>
      <c r="I69" s="15" t="n"/>
      <c r="J69" s="10">
        <f>IFERROR(I69/30500000,0)</f>
        <v/>
      </c>
      <c r="K69" s="5" t="n"/>
      <c r="L69" s="5" t="n"/>
      <c r="M69" s="5" t="n"/>
      <c r="N69" s="12">
        <f>IFERROR((G69*3+H69*2+M69)/6,0)</f>
        <v/>
      </c>
      <c r="O69" s="5" t="n"/>
    </row>
    <row r="70">
      <c r="A70" s="4" t="n"/>
      <c r="B70" s="4" t="n"/>
      <c r="C70" s="4" t="n"/>
      <c r="D70" s="4" t="n"/>
      <c r="E70" s="4" t="n"/>
      <c r="F70" s="4" t="n"/>
      <c r="G70" s="9">
        <f>IFERROR((C70+D70+E70)/B70,0)</f>
        <v/>
      </c>
      <c r="H70" s="9">
        <f>IFERROR((B70-F70)/B70,0)</f>
        <v/>
      </c>
      <c r="I70" s="13" t="n"/>
      <c r="J70" s="9">
        <f>IFERROR(I70/30500000,0)</f>
        <v/>
      </c>
      <c r="K70" s="4" t="n"/>
      <c r="L70" s="4" t="n"/>
      <c r="M70" s="4" t="n"/>
      <c r="N70" s="11">
        <f>IFERROR((G70*3+H70*2+M70)/6,0)</f>
        <v/>
      </c>
      <c r="O70" s="4" t="n"/>
    </row>
    <row r="71">
      <c r="A71" s="5" t="n"/>
      <c r="B71" s="5" t="n"/>
      <c r="C71" s="5" t="n"/>
      <c r="D71" s="5" t="n"/>
      <c r="E71" s="5" t="n"/>
      <c r="F71" s="5" t="n"/>
      <c r="G71" s="10">
        <f>IFERROR((C71+D71+E71)/B71,0)</f>
        <v/>
      </c>
      <c r="H71" s="10">
        <f>IFERROR((B71-F71)/B71,0)</f>
        <v/>
      </c>
      <c r="I71" s="15" t="n"/>
      <c r="J71" s="10">
        <f>IFERROR(I71/30500000,0)</f>
        <v/>
      </c>
      <c r="K71" s="5" t="n"/>
      <c r="L71" s="5" t="n"/>
      <c r="M71" s="5" t="n"/>
      <c r="N71" s="12">
        <f>IFERROR((G71*3+H71*2+M71)/6,0)</f>
        <v/>
      </c>
      <c r="O71" s="5" t="n"/>
    </row>
    <row r="72">
      <c r="A72" s="4" t="n"/>
      <c r="B72" s="4" t="n"/>
      <c r="C72" s="4" t="n"/>
      <c r="D72" s="4" t="n"/>
      <c r="E72" s="4" t="n"/>
      <c r="F72" s="4" t="n"/>
      <c r="G72" s="9">
        <f>IFERROR((C72+D72+E72)/B72,0)</f>
        <v/>
      </c>
      <c r="H72" s="9">
        <f>IFERROR((B72-F72)/B72,0)</f>
        <v/>
      </c>
      <c r="I72" s="13" t="n"/>
      <c r="J72" s="9">
        <f>IFERROR(I72/30500000,0)</f>
        <v/>
      </c>
      <c r="K72" s="4" t="n"/>
      <c r="L72" s="4" t="n"/>
      <c r="M72" s="4" t="n"/>
      <c r="N72" s="11">
        <f>IFERROR((G72*3+H72*2+M72)/6,0)</f>
        <v/>
      </c>
      <c r="O72" s="4" t="n"/>
    </row>
    <row r="73">
      <c r="A73" s="5" t="n"/>
      <c r="B73" s="5" t="n"/>
      <c r="C73" s="5" t="n"/>
      <c r="D73" s="5" t="n"/>
      <c r="E73" s="5" t="n"/>
      <c r="F73" s="5" t="n"/>
      <c r="G73" s="10">
        <f>IFERROR((C73+D73+E73)/B73,0)</f>
        <v/>
      </c>
      <c r="H73" s="10">
        <f>IFERROR((B73-F73)/B73,0)</f>
        <v/>
      </c>
      <c r="I73" s="15" t="n"/>
      <c r="J73" s="10">
        <f>IFERROR(I73/30500000,0)</f>
        <v/>
      </c>
      <c r="K73" s="5" t="n"/>
      <c r="L73" s="5" t="n"/>
      <c r="M73" s="5" t="n"/>
      <c r="N73" s="12">
        <f>IFERROR((G73*3+H73*2+M73)/6,0)</f>
        <v/>
      </c>
      <c r="O73" s="5" t="n"/>
    </row>
    <row r="74">
      <c r="A74" s="4" t="n"/>
      <c r="B74" s="4" t="n"/>
      <c r="C74" s="4" t="n"/>
      <c r="D74" s="4" t="n"/>
      <c r="E74" s="4" t="n"/>
      <c r="F74" s="4" t="n"/>
      <c r="G74" s="9">
        <f>IFERROR((C74+D74+E74)/B74,0)</f>
        <v/>
      </c>
      <c r="H74" s="9">
        <f>IFERROR((B74-F74)/B74,0)</f>
        <v/>
      </c>
      <c r="I74" s="13" t="n"/>
      <c r="J74" s="9">
        <f>IFERROR(I74/30500000,0)</f>
        <v/>
      </c>
      <c r="K74" s="4" t="n"/>
      <c r="L74" s="4" t="n"/>
      <c r="M74" s="4" t="n"/>
      <c r="N74" s="11">
        <f>IFERROR((G74*3+H74*2+M74)/6,0)</f>
        <v/>
      </c>
      <c r="O74" s="4" t="n"/>
    </row>
    <row r="75">
      <c r="A75" s="5" t="n"/>
      <c r="B75" s="5" t="n"/>
      <c r="C75" s="5" t="n"/>
      <c r="D75" s="5" t="n"/>
      <c r="E75" s="5" t="n"/>
      <c r="F75" s="5" t="n"/>
      <c r="G75" s="10">
        <f>IFERROR((C75+D75+E75)/B75,0)</f>
        <v/>
      </c>
      <c r="H75" s="10">
        <f>IFERROR((B75-F75)/B75,0)</f>
        <v/>
      </c>
      <c r="I75" s="15" t="n"/>
      <c r="J75" s="10">
        <f>IFERROR(I75/30500000,0)</f>
        <v/>
      </c>
      <c r="K75" s="5" t="n"/>
      <c r="L75" s="5" t="n"/>
      <c r="M75" s="5" t="n"/>
      <c r="N75" s="12">
        <f>IFERROR((G75*3+H75*2+M75)/6,0)</f>
        <v/>
      </c>
      <c r="O75" s="5" t="n"/>
    </row>
    <row r="76">
      <c r="A76" s="4" t="n"/>
      <c r="B76" s="4" t="n"/>
      <c r="C76" s="4" t="n"/>
      <c r="D76" s="4" t="n"/>
      <c r="E76" s="4" t="n"/>
      <c r="F76" s="4" t="n"/>
      <c r="G76" s="9">
        <f>IFERROR((C76+D76+E76)/B76,0)</f>
        <v/>
      </c>
      <c r="H76" s="9">
        <f>IFERROR((B76-F76)/B76,0)</f>
        <v/>
      </c>
      <c r="I76" s="13" t="n"/>
      <c r="J76" s="9">
        <f>IFERROR(I76/30500000,0)</f>
        <v/>
      </c>
      <c r="K76" s="4" t="n"/>
      <c r="L76" s="4" t="n"/>
      <c r="M76" s="4" t="n"/>
      <c r="N76" s="11">
        <f>IFERROR((G76*3+H76*2+M76)/6,0)</f>
        <v/>
      </c>
      <c r="O76" s="4" t="n"/>
    </row>
    <row r="77">
      <c r="A77" s="5" t="n"/>
      <c r="B77" s="5" t="n"/>
      <c r="C77" s="5" t="n"/>
      <c r="D77" s="5" t="n"/>
      <c r="E77" s="5" t="n"/>
      <c r="F77" s="5" t="n"/>
      <c r="G77" s="10">
        <f>IFERROR((C77+D77+E77)/B77,0)</f>
        <v/>
      </c>
      <c r="H77" s="10">
        <f>IFERROR((B77-F77)/B77,0)</f>
        <v/>
      </c>
      <c r="I77" s="15" t="n"/>
      <c r="J77" s="10">
        <f>IFERROR(I77/30500000,0)</f>
        <v/>
      </c>
      <c r="K77" s="5" t="n"/>
      <c r="L77" s="5" t="n"/>
      <c r="M77" s="5" t="n"/>
      <c r="N77" s="12">
        <f>IFERROR((G77*3+H77*2+M77)/6,0)</f>
        <v/>
      </c>
      <c r="O77" s="5" t="n"/>
    </row>
    <row r="78">
      <c r="A78" s="4" t="n"/>
      <c r="B78" s="4" t="n"/>
      <c r="C78" s="4" t="n"/>
      <c r="D78" s="4" t="n"/>
      <c r="E78" s="4" t="n"/>
      <c r="F78" s="4" t="n"/>
      <c r="G78" s="9">
        <f>IFERROR((C78+D78+E78)/B78,0)</f>
        <v/>
      </c>
      <c r="H78" s="9">
        <f>IFERROR((B78-F78)/B78,0)</f>
        <v/>
      </c>
      <c r="I78" s="13" t="n"/>
      <c r="J78" s="9">
        <f>IFERROR(I78/30500000,0)</f>
        <v/>
      </c>
      <c r="K78" s="4" t="n"/>
      <c r="L78" s="4" t="n"/>
      <c r="M78" s="4" t="n"/>
      <c r="N78" s="11">
        <f>IFERROR((G78*3+H78*2+M78)/6,0)</f>
        <v/>
      </c>
      <c r="O78" s="4" t="n"/>
    </row>
    <row r="79">
      <c r="A79" s="5" t="n"/>
      <c r="B79" s="5" t="n"/>
      <c r="C79" s="5" t="n"/>
      <c r="D79" s="5" t="n"/>
      <c r="E79" s="5" t="n"/>
      <c r="F79" s="5" t="n"/>
      <c r="G79" s="10">
        <f>IFERROR((C79+D79+E79)/B79,0)</f>
        <v/>
      </c>
      <c r="H79" s="10">
        <f>IFERROR((B79-F79)/B79,0)</f>
        <v/>
      </c>
      <c r="I79" s="15" t="n"/>
      <c r="J79" s="10">
        <f>IFERROR(I79/30500000,0)</f>
        <v/>
      </c>
      <c r="K79" s="5" t="n"/>
      <c r="L79" s="5" t="n"/>
      <c r="M79" s="5" t="n"/>
      <c r="N79" s="12">
        <f>IFERROR((G79*3+H79*2+M79)/6,0)</f>
        <v/>
      </c>
      <c r="O79" s="5" t="n"/>
    </row>
    <row r="80">
      <c r="A80" s="4" t="n"/>
      <c r="B80" s="4" t="n"/>
      <c r="C80" s="4" t="n"/>
      <c r="D80" s="4" t="n"/>
      <c r="E80" s="4" t="n"/>
      <c r="F80" s="4" t="n"/>
      <c r="G80" s="9">
        <f>IFERROR((C80+D80+E80)/B80,0)</f>
        <v/>
      </c>
      <c r="H80" s="9">
        <f>IFERROR((B80-F80)/B80,0)</f>
        <v/>
      </c>
      <c r="I80" s="13" t="n"/>
      <c r="J80" s="9">
        <f>IFERROR(I80/30500000,0)</f>
        <v/>
      </c>
      <c r="K80" s="4" t="n"/>
      <c r="L80" s="4" t="n"/>
      <c r="M80" s="4" t="n"/>
      <c r="N80" s="11">
        <f>IFERROR((G80*3+H80*2+M80)/6,0)</f>
        <v/>
      </c>
      <c r="O80" s="4" t="n"/>
    </row>
    <row r="81">
      <c r="A81" s="5" t="n"/>
      <c r="B81" s="5" t="n"/>
      <c r="C81" s="5" t="n"/>
      <c r="D81" s="5" t="n"/>
      <c r="E81" s="5" t="n"/>
      <c r="F81" s="5" t="n"/>
      <c r="G81" s="10">
        <f>IFERROR((C81+D81+E81)/B81,0)</f>
        <v/>
      </c>
      <c r="H81" s="10">
        <f>IFERROR((B81-F81)/B81,0)</f>
        <v/>
      </c>
      <c r="I81" s="15" t="n"/>
      <c r="J81" s="10">
        <f>IFERROR(I81/30500000,0)</f>
        <v/>
      </c>
      <c r="K81" s="5" t="n"/>
      <c r="L81" s="5" t="n"/>
      <c r="M81" s="5" t="n"/>
      <c r="N81" s="12">
        <f>IFERROR((G81*3+H81*2+M81)/6,0)</f>
        <v/>
      </c>
      <c r="O81" s="5" t="n"/>
    </row>
    <row r="82">
      <c r="A82" s="4" t="n"/>
      <c r="B82" s="4" t="n"/>
      <c r="C82" s="4" t="n"/>
      <c r="D82" s="4" t="n"/>
      <c r="E82" s="4" t="n"/>
      <c r="F82" s="4" t="n"/>
      <c r="G82" s="9">
        <f>IFERROR((C82+D82+E82)/B82,0)</f>
        <v/>
      </c>
      <c r="H82" s="9">
        <f>IFERROR((B82-F82)/B82,0)</f>
        <v/>
      </c>
      <c r="I82" s="13" t="n"/>
      <c r="J82" s="9">
        <f>IFERROR(I82/30500000,0)</f>
        <v/>
      </c>
      <c r="K82" s="4" t="n"/>
      <c r="L82" s="4" t="n"/>
      <c r="M82" s="4" t="n"/>
      <c r="N82" s="11">
        <f>IFERROR((G82*3+H82*2+M82)/6,0)</f>
        <v/>
      </c>
      <c r="O82" s="4" t="n"/>
    </row>
    <row r="83">
      <c r="A83" s="5" t="n"/>
      <c r="B83" s="5" t="n"/>
      <c r="C83" s="5" t="n"/>
      <c r="D83" s="5" t="n"/>
      <c r="E83" s="5" t="n"/>
      <c r="F83" s="5" t="n"/>
      <c r="G83" s="10">
        <f>IFERROR((C83+D83+E83)/B83,0)</f>
        <v/>
      </c>
      <c r="H83" s="10">
        <f>IFERROR((B83-F83)/B83,0)</f>
        <v/>
      </c>
      <c r="I83" s="15" t="n"/>
      <c r="J83" s="10">
        <f>IFERROR(I83/30500000,0)</f>
        <v/>
      </c>
      <c r="K83" s="5" t="n"/>
      <c r="L83" s="5" t="n"/>
      <c r="M83" s="5" t="n"/>
      <c r="N83" s="12">
        <f>IFERROR((G83*3+H83*2+M83)/6,0)</f>
        <v/>
      </c>
      <c r="O83" s="5" t="n"/>
    </row>
    <row r="84">
      <c r="A84" s="4" t="n"/>
      <c r="B84" s="4" t="n"/>
      <c r="C84" s="4" t="n"/>
      <c r="D84" s="4" t="n"/>
      <c r="E84" s="4" t="n"/>
      <c r="F84" s="4" t="n"/>
      <c r="G84" s="9">
        <f>IFERROR((C84+D84+E84)/B84,0)</f>
        <v/>
      </c>
      <c r="H84" s="9">
        <f>IFERROR((B84-F84)/B84,0)</f>
        <v/>
      </c>
      <c r="I84" s="13" t="n"/>
      <c r="J84" s="9">
        <f>IFERROR(I84/30500000,0)</f>
        <v/>
      </c>
      <c r="K84" s="4" t="n"/>
      <c r="L84" s="4" t="n"/>
      <c r="M84" s="4" t="n"/>
      <c r="N84" s="11">
        <f>IFERROR((G84*3+H84*2+M84)/6,0)</f>
        <v/>
      </c>
      <c r="O84" s="4" t="n"/>
    </row>
    <row r="85">
      <c r="A85" s="5" t="n"/>
      <c r="B85" s="5" t="n"/>
      <c r="C85" s="5" t="n"/>
      <c r="D85" s="5" t="n"/>
      <c r="E85" s="5" t="n"/>
      <c r="F85" s="5" t="n"/>
      <c r="G85" s="10">
        <f>IFERROR((C85+D85+E85)/B85,0)</f>
        <v/>
      </c>
      <c r="H85" s="10">
        <f>IFERROR((B85-F85)/B85,0)</f>
        <v/>
      </c>
      <c r="I85" s="15" t="n"/>
      <c r="J85" s="10">
        <f>IFERROR(I85/30500000,0)</f>
        <v/>
      </c>
      <c r="K85" s="5" t="n"/>
      <c r="L85" s="5" t="n"/>
      <c r="M85" s="5" t="n"/>
      <c r="N85" s="12">
        <f>IFERROR((G85*3+H85*2+M85)/6,0)</f>
        <v/>
      </c>
      <c r="O85" s="5" t="n"/>
    </row>
    <row r="86">
      <c r="A86" s="4" t="n"/>
      <c r="B86" s="4" t="n"/>
      <c r="C86" s="4" t="n"/>
      <c r="D86" s="4" t="n"/>
      <c r="E86" s="4" t="n"/>
      <c r="F86" s="4" t="n"/>
      <c r="G86" s="9">
        <f>IFERROR((C86+D86+E86)/B86,0)</f>
        <v/>
      </c>
      <c r="H86" s="9">
        <f>IFERROR((B86-F86)/B86,0)</f>
        <v/>
      </c>
      <c r="I86" s="13" t="n"/>
      <c r="J86" s="9">
        <f>IFERROR(I86/30500000,0)</f>
        <v/>
      </c>
      <c r="K86" s="4" t="n"/>
      <c r="L86" s="4" t="n"/>
      <c r="M86" s="4" t="n"/>
      <c r="N86" s="11">
        <f>IFERROR((G86*3+H86*2+M86)/6,0)</f>
        <v/>
      </c>
      <c r="O86" s="4" t="n"/>
    </row>
    <row r="87">
      <c r="A87" s="5" t="n"/>
      <c r="B87" s="5" t="n"/>
      <c r="C87" s="5" t="n"/>
      <c r="D87" s="5" t="n"/>
      <c r="E87" s="5" t="n"/>
      <c r="F87" s="5" t="n"/>
      <c r="G87" s="10">
        <f>IFERROR((C87+D87+E87)/B87,0)</f>
        <v/>
      </c>
      <c r="H87" s="10">
        <f>IFERROR((B87-F87)/B87,0)</f>
        <v/>
      </c>
      <c r="I87" s="15" t="n"/>
      <c r="J87" s="10">
        <f>IFERROR(I87/30500000,0)</f>
        <v/>
      </c>
      <c r="K87" s="5" t="n"/>
      <c r="L87" s="5" t="n"/>
      <c r="M87" s="5" t="n"/>
      <c r="N87" s="12">
        <f>IFERROR((G87*3+H87*2+M87)/6,0)</f>
        <v/>
      </c>
      <c r="O87" s="5" t="n"/>
    </row>
    <row r="88">
      <c r="A88" s="4" t="n"/>
      <c r="B88" s="4" t="n"/>
      <c r="C88" s="4" t="n"/>
      <c r="D88" s="4" t="n"/>
      <c r="E88" s="4" t="n"/>
      <c r="F88" s="4" t="n"/>
      <c r="G88" s="9">
        <f>IFERROR((C88+D88+E88)/B88,0)</f>
        <v/>
      </c>
      <c r="H88" s="9">
        <f>IFERROR((B88-F88)/B88,0)</f>
        <v/>
      </c>
      <c r="I88" s="13" t="n"/>
      <c r="J88" s="9">
        <f>IFERROR(I88/30500000,0)</f>
        <v/>
      </c>
      <c r="K88" s="4" t="n"/>
      <c r="L88" s="4" t="n"/>
      <c r="M88" s="4" t="n"/>
      <c r="N88" s="11">
        <f>IFERROR((G88*3+H88*2+M88)/6,0)</f>
        <v/>
      </c>
      <c r="O88" s="4" t="n"/>
    </row>
    <row r="89">
      <c r="A89" s="5" t="n"/>
      <c r="B89" s="5" t="n"/>
      <c r="C89" s="5" t="n"/>
      <c r="D89" s="5" t="n"/>
      <c r="E89" s="5" t="n"/>
      <c r="F89" s="5" t="n"/>
      <c r="G89" s="10">
        <f>IFERROR((C89+D89+E89)/B89,0)</f>
        <v/>
      </c>
      <c r="H89" s="10">
        <f>IFERROR((B89-F89)/B89,0)</f>
        <v/>
      </c>
      <c r="I89" s="15" t="n"/>
      <c r="J89" s="10">
        <f>IFERROR(I89/30500000,0)</f>
        <v/>
      </c>
      <c r="K89" s="5" t="n"/>
      <c r="L89" s="5" t="n"/>
      <c r="M89" s="5" t="n"/>
      <c r="N89" s="12">
        <f>IFERROR((G89*3+H89*2+M89)/6,0)</f>
        <v/>
      </c>
      <c r="O89" s="5" t="n"/>
    </row>
    <row r="90">
      <c r="A90" s="4" t="n"/>
      <c r="B90" s="4" t="n"/>
      <c r="C90" s="4" t="n"/>
      <c r="D90" s="4" t="n"/>
      <c r="E90" s="4" t="n"/>
      <c r="F90" s="4" t="n"/>
      <c r="G90" s="9">
        <f>IFERROR((C90+D90+E90)/B90,0)</f>
        <v/>
      </c>
      <c r="H90" s="9">
        <f>IFERROR((B90-F90)/B90,0)</f>
        <v/>
      </c>
      <c r="I90" s="13" t="n"/>
      <c r="J90" s="9">
        <f>IFERROR(I90/30500000,0)</f>
        <v/>
      </c>
      <c r="K90" s="4" t="n"/>
      <c r="L90" s="4" t="n"/>
      <c r="M90" s="4" t="n"/>
      <c r="N90" s="11">
        <f>IFERROR((G90*3+H90*2+M90)/6,0)</f>
        <v/>
      </c>
      <c r="O90" s="4" t="n"/>
    </row>
    <row r="91">
      <c r="A91" s="5" t="n"/>
      <c r="B91" s="5" t="n"/>
      <c r="C91" s="5" t="n"/>
      <c r="D91" s="5" t="n"/>
      <c r="E91" s="5" t="n"/>
      <c r="F91" s="5" t="n"/>
      <c r="G91" s="10">
        <f>IFERROR((C91+D91+E91)/B91,0)</f>
        <v/>
      </c>
      <c r="H91" s="10">
        <f>IFERROR((B91-F91)/B91,0)</f>
        <v/>
      </c>
      <c r="I91" s="15" t="n"/>
      <c r="J91" s="10">
        <f>IFERROR(I91/30500000,0)</f>
        <v/>
      </c>
      <c r="K91" s="5" t="n"/>
      <c r="L91" s="5" t="n"/>
      <c r="M91" s="5" t="n"/>
      <c r="N91" s="12">
        <f>IFERROR((G91*3+H91*2+M91)/6,0)</f>
        <v/>
      </c>
      <c r="O91" s="5" t="n"/>
    </row>
    <row r="92">
      <c r="A92" s="4" t="n"/>
      <c r="B92" s="4" t="n"/>
      <c r="C92" s="4" t="n"/>
      <c r="D92" s="4" t="n"/>
      <c r="E92" s="4" t="n"/>
      <c r="F92" s="4" t="n"/>
      <c r="G92" s="9">
        <f>IFERROR((C92+D92+E92)/B92,0)</f>
        <v/>
      </c>
      <c r="H92" s="9">
        <f>IFERROR((B92-F92)/B92,0)</f>
        <v/>
      </c>
      <c r="I92" s="13" t="n"/>
      <c r="J92" s="9">
        <f>IFERROR(I92/30500000,0)</f>
        <v/>
      </c>
      <c r="K92" s="4" t="n"/>
      <c r="L92" s="4" t="n"/>
      <c r="M92" s="4" t="n"/>
      <c r="N92" s="11">
        <f>IFERROR((G92*3+H92*2+M92)/6,0)</f>
        <v/>
      </c>
      <c r="O92" s="4" t="n"/>
    </row>
    <row r="93">
      <c r="A93" s="5" t="n"/>
      <c r="B93" s="5" t="n"/>
      <c r="C93" s="5" t="n"/>
      <c r="D93" s="5" t="n"/>
      <c r="E93" s="5" t="n"/>
      <c r="F93" s="5" t="n"/>
      <c r="G93" s="10">
        <f>IFERROR((C93+D93+E93)/B93,0)</f>
        <v/>
      </c>
      <c r="H93" s="10">
        <f>IFERROR((B93-F93)/B93,0)</f>
        <v/>
      </c>
      <c r="I93" s="15" t="n"/>
      <c r="J93" s="10">
        <f>IFERROR(I93/30500000,0)</f>
        <v/>
      </c>
      <c r="K93" s="5" t="n"/>
      <c r="L93" s="5" t="n"/>
      <c r="M93" s="5" t="n"/>
      <c r="N93" s="12">
        <f>IFERROR((G93*3+H93*2+M93)/6,0)</f>
        <v/>
      </c>
      <c r="O93" s="5" t="n"/>
    </row>
    <row r="94">
      <c r="A94" s="4" t="n"/>
      <c r="B94" s="4" t="n"/>
      <c r="C94" s="4" t="n"/>
      <c r="D94" s="4" t="n"/>
      <c r="E94" s="4" t="n"/>
      <c r="F94" s="4" t="n"/>
      <c r="G94" s="9">
        <f>IFERROR((C94+D94+E94)/B94,0)</f>
        <v/>
      </c>
      <c r="H94" s="9">
        <f>IFERROR((B94-F94)/B94,0)</f>
        <v/>
      </c>
      <c r="I94" s="13" t="n"/>
      <c r="J94" s="9">
        <f>IFERROR(I94/30500000,0)</f>
        <v/>
      </c>
      <c r="K94" s="4" t="n"/>
      <c r="L94" s="4" t="n"/>
      <c r="M94" s="4" t="n"/>
      <c r="N94" s="11">
        <f>IFERROR((G94*3+H94*2+M94)/6,0)</f>
        <v/>
      </c>
      <c r="O94" s="4" t="n"/>
    </row>
    <row r="95">
      <c r="A95" s="5" t="n"/>
      <c r="B95" s="5" t="n"/>
      <c r="C95" s="5" t="n"/>
      <c r="D95" s="5" t="n"/>
      <c r="E95" s="5" t="n"/>
      <c r="F95" s="5" t="n"/>
      <c r="G95" s="10">
        <f>IFERROR((C95+D95+E95)/B95,0)</f>
        <v/>
      </c>
      <c r="H95" s="10">
        <f>IFERROR((B95-F95)/B95,0)</f>
        <v/>
      </c>
      <c r="I95" s="15" t="n"/>
      <c r="J95" s="10">
        <f>IFERROR(I95/30500000,0)</f>
        <v/>
      </c>
      <c r="K95" s="5" t="n"/>
      <c r="L95" s="5" t="n"/>
      <c r="M95" s="5" t="n"/>
      <c r="N95" s="12">
        <f>IFERROR((G95*3+H95*2+M95)/6,0)</f>
        <v/>
      </c>
      <c r="O95" s="5" t="n"/>
    </row>
    <row r="96">
      <c r="A96" s="4" t="n"/>
      <c r="B96" s="4" t="n"/>
      <c r="C96" s="4" t="n"/>
      <c r="D96" s="4" t="n"/>
      <c r="E96" s="4" t="n"/>
      <c r="F96" s="4" t="n"/>
      <c r="G96" s="9">
        <f>IFERROR((C96+D96+E96)/B96,0)</f>
        <v/>
      </c>
      <c r="H96" s="9">
        <f>IFERROR((B96-F96)/B96,0)</f>
        <v/>
      </c>
      <c r="I96" s="13" t="n"/>
      <c r="J96" s="9">
        <f>IFERROR(I96/30500000,0)</f>
        <v/>
      </c>
      <c r="K96" s="4" t="n"/>
      <c r="L96" s="4" t="n"/>
      <c r="M96" s="4" t="n"/>
      <c r="N96" s="11">
        <f>IFERROR((G96*3+H96*2+M96)/6,0)</f>
        <v/>
      </c>
      <c r="O96" s="4" t="n"/>
    </row>
    <row r="97">
      <c r="A97" s="5" t="n"/>
      <c r="B97" s="5" t="n"/>
      <c r="C97" s="5" t="n"/>
      <c r="D97" s="5" t="n"/>
      <c r="E97" s="5" t="n"/>
      <c r="F97" s="5" t="n"/>
      <c r="G97" s="10">
        <f>IFERROR((C97+D97+E97)/B97,0)</f>
        <v/>
      </c>
      <c r="H97" s="10">
        <f>IFERROR((B97-F97)/B97,0)</f>
        <v/>
      </c>
      <c r="I97" s="15" t="n"/>
      <c r="J97" s="10">
        <f>IFERROR(I97/30500000,0)</f>
        <v/>
      </c>
      <c r="K97" s="5" t="n"/>
      <c r="L97" s="5" t="n"/>
      <c r="M97" s="5" t="n"/>
      <c r="N97" s="12">
        <f>IFERROR((G97*3+H97*2+M97)/6,0)</f>
        <v/>
      </c>
      <c r="O97" s="5" t="n"/>
    </row>
    <row r="98">
      <c r="A98" s="4" t="n"/>
      <c r="B98" s="4" t="n"/>
      <c r="C98" s="4" t="n"/>
      <c r="D98" s="4" t="n"/>
      <c r="E98" s="4" t="n"/>
      <c r="F98" s="4" t="n"/>
      <c r="G98" s="9">
        <f>IFERROR((C98+D98+E98)/B98,0)</f>
        <v/>
      </c>
      <c r="H98" s="9">
        <f>IFERROR((B98-F98)/B98,0)</f>
        <v/>
      </c>
      <c r="I98" s="13" t="n"/>
      <c r="J98" s="9">
        <f>IFERROR(I98/30500000,0)</f>
        <v/>
      </c>
      <c r="K98" s="4" t="n"/>
      <c r="L98" s="4" t="n"/>
      <c r="M98" s="4" t="n"/>
      <c r="N98" s="11">
        <f>IFERROR((G98*3+H98*2+M98)/6,0)</f>
        <v/>
      </c>
      <c r="O98" s="4" t="n"/>
    </row>
    <row r="99">
      <c r="A99" s="5" t="n"/>
      <c r="B99" s="5" t="n"/>
      <c r="C99" s="5" t="n"/>
      <c r="D99" s="5" t="n"/>
      <c r="E99" s="5" t="n"/>
      <c r="F99" s="5" t="n"/>
      <c r="G99" s="10">
        <f>IFERROR((C99+D99+E99)/B99,0)</f>
        <v/>
      </c>
      <c r="H99" s="10">
        <f>IFERROR((B99-F99)/B99,0)</f>
        <v/>
      </c>
      <c r="I99" s="15" t="n"/>
      <c r="J99" s="10">
        <f>IFERROR(I99/30500000,0)</f>
        <v/>
      </c>
      <c r="K99" s="5" t="n"/>
      <c r="L99" s="5" t="n"/>
      <c r="M99" s="5" t="n"/>
      <c r="N99" s="12">
        <f>IFERROR((G99*3+H99*2+M99)/6,0)</f>
        <v/>
      </c>
      <c r="O99" s="5" t="n"/>
    </row>
    <row r="100">
      <c r="A100" s="4" t="n"/>
      <c r="B100" s="4" t="n"/>
      <c r="C100" s="4" t="n"/>
      <c r="D100" s="4" t="n"/>
      <c r="E100" s="4" t="n"/>
      <c r="F100" s="4" t="n"/>
      <c r="G100" s="9">
        <f>IFERROR((C100+D100+E100)/B100,0)</f>
        <v/>
      </c>
      <c r="H100" s="9">
        <f>IFERROR((B100-F100)/B100,0)</f>
        <v/>
      </c>
      <c r="I100" s="13" t="n"/>
      <c r="J100" s="9">
        <f>IFERROR(I100/30500000,0)</f>
        <v/>
      </c>
      <c r="K100" s="4" t="n"/>
      <c r="L100" s="4" t="n"/>
      <c r="M100" s="4" t="n"/>
      <c r="N100" s="11">
        <f>IFERROR((G100*3+H100*2+M100)/6,0)</f>
        <v/>
      </c>
      <c r="O100" s="4" t="n"/>
    </row>
    <row r="101">
      <c r="A101" s="5" t="n"/>
      <c r="B101" s="5" t="n"/>
      <c r="C101" s="5" t="n"/>
      <c r="D101" s="5" t="n"/>
      <c r="E101" s="5" t="n"/>
      <c r="F101" s="5" t="n"/>
      <c r="G101" s="10">
        <f>IFERROR((C101+D101+E101)/B101,0)</f>
        <v/>
      </c>
      <c r="H101" s="10">
        <f>IFERROR((B101-F101)/B101,0)</f>
        <v/>
      </c>
      <c r="I101" s="15" t="n"/>
      <c r="J101" s="10">
        <f>IFERROR(I101/30500000,0)</f>
        <v/>
      </c>
      <c r="K101" s="5" t="n"/>
      <c r="L101" s="5" t="n"/>
      <c r="M101" s="5" t="n"/>
      <c r="N101" s="12">
        <f>IFERROR((G101*3+H101*2+M101)/6,0)</f>
        <v/>
      </c>
      <c r="O101" s="5" t="n"/>
    </row>
    <row r="102">
      <c r="A102" s="4" t="n"/>
      <c r="B102" s="4" t="n"/>
      <c r="C102" s="4" t="n"/>
      <c r="D102" s="4" t="n"/>
      <c r="E102" s="4" t="n"/>
      <c r="F102" s="4" t="n"/>
      <c r="G102" s="9">
        <f>IFERROR((C102+D102+E102)/B102,0)</f>
        <v/>
      </c>
      <c r="H102" s="9">
        <f>IFERROR((B102-F102)/B102,0)</f>
        <v/>
      </c>
      <c r="I102" s="13" t="n"/>
      <c r="J102" s="9">
        <f>IFERROR(I102/30500000,0)</f>
        <v/>
      </c>
      <c r="K102" s="4" t="n"/>
      <c r="L102" s="4" t="n"/>
      <c r="M102" s="4" t="n"/>
      <c r="N102" s="11">
        <f>IFERROR((G102*3+H102*2+M102)/6,0)</f>
        <v/>
      </c>
      <c r="O102" s="4" t="n"/>
    </row>
    <row r="103">
      <c r="A103" s="5" t="n"/>
      <c r="B103" s="5" t="n"/>
      <c r="C103" s="5" t="n"/>
      <c r="D103" s="5" t="n"/>
      <c r="E103" s="5" t="n"/>
      <c r="F103" s="5" t="n"/>
      <c r="G103" s="10">
        <f>IFERROR((C103+D103+E103)/B103,0)</f>
        <v/>
      </c>
      <c r="H103" s="10">
        <f>IFERROR((B103-F103)/B103,0)</f>
        <v/>
      </c>
      <c r="I103" s="15" t="n"/>
      <c r="J103" s="10">
        <f>IFERROR(I103/30500000,0)</f>
        <v/>
      </c>
      <c r="K103" s="5" t="n"/>
      <c r="L103" s="5" t="n"/>
      <c r="M103" s="5" t="n"/>
      <c r="N103" s="12">
        <f>IFERROR((G103*3+H103*2+M103)/6,0)</f>
        <v/>
      </c>
      <c r="O103" s="5" t="n"/>
    </row>
    <row r="104">
      <c r="A104" s="4" t="n"/>
      <c r="B104" s="4" t="n"/>
      <c r="C104" s="4" t="n"/>
      <c r="D104" s="4" t="n"/>
      <c r="E104" s="4" t="n"/>
      <c r="F104" s="4" t="n"/>
      <c r="G104" s="9">
        <f>IFERROR((C104+D104+E104)/B104,0)</f>
        <v/>
      </c>
      <c r="H104" s="9">
        <f>IFERROR((B104-F104)/B104,0)</f>
        <v/>
      </c>
      <c r="I104" s="13" t="n"/>
      <c r="J104" s="9">
        <f>IFERROR(I104/30500000,0)</f>
        <v/>
      </c>
      <c r="K104" s="4" t="n"/>
      <c r="L104" s="4" t="n"/>
      <c r="M104" s="4" t="n"/>
      <c r="N104" s="11">
        <f>IFERROR((G104*3+H104*2+M104)/6,0)</f>
        <v/>
      </c>
      <c r="O104" s="4" t="n"/>
    </row>
    <row r="105">
      <c r="A105" s="5" t="n"/>
      <c r="B105" s="5" t="n"/>
      <c r="C105" s="5" t="n"/>
      <c r="D105" s="5" t="n"/>
      <c r="E105" s="5" t="n"/>
      <c r="F105" s="5" t="n"/>
      <c r="G105" s="10">
        <f>IFERROR((C105+D105+E105)/B105,0)</f>
        <v/>
      </c>
      <c r="H105" s="10">
        <f>IFERROR((B105-F105)/B105,0)</f>
        <v/>
      </c>
      <c r="I105" s="15" t="n"/>
      <c r="J105" s="10">
        <f>IFERROR(I105/30500000,0)</f>
        <v/>
      </c>
      <c r="K105" s="5" t="n"/>
      <c r="L105" s="5" t="n"/>
      <c r="M105" s="5" t="n"/>
      <c r="N105" s="12">
        <f>IFERROR((G105*3+H105*2+M105)/6,0)</f>
        <v/>
      </c>
      <c r="O105" s="5" t="n"/>
    </row>
    <row r="106">
      <c r="A106" s="4" t="n"/>
      <c r="B106" s="4" t="n"/>
      <c r="C106" s="4" t="n"/>
      <c r="D106" s="4" t="n"/>
      <c r="E106" s="4" t="n"/>
      <c r="F106" s="4" t="n"/>
      <c r="G106" s="9">
        <f>IFERROR((C106+D106+E106)/B106,0)</f>
        <v/>
      </c>
      <c r="H106" s="9">
        <f>IFERROR((B106-F106)/B106,0)</f>
        <v/>
      </c>
      <c r="I106" s="13" t="n"/>
      <c r="J106" s="9">
        <f>IFERROR(I106/30500000,0)</f>
        <v/>
      </c>
      <c r="K106" s="4" t="n"/>
      <c r="L106" s="4" t="n"/>
      <c r="M106" s="4" t="n"/>
      <c r="N106" s="11">
        <f>IFERROR((G106*3+H106*2+M106)/6,0)</f>
        <v/>
      </c>
      <c r="O106" s="4" t="n"/>
    </row>
    <row r="107">
      <c r="A107" s="5" t="n"/>
      <c r="B107" s="5" t="n"/>
      <c r="C107" s="5" t="n"/>
      <c r="D107" s="5" t="n"/>
      <c r="E107" s="5" t="n"/>
      <c r="F107" s="5" t="n"/>
      <c r="G107" s="10">
        <f>IFERROR((C107+D107+E107)/B107,0)</f>
        <v/>
      </c>
      <c r="H107" s="10">
        <f>IFERROR((B107-F107)/B107,0)</f>
        <v/>
      </c>
      <c r="I107" s="15" t="n"/>
      <c r="J107" s="10">
        <f>IFERROR(I107/30500000,0)</f>
        <v/>
      </c>
      <c r="K107" s="5" t="n"/>
      <c r="L107" s="5" t="n"/>
      <c r="M107" s="5" t="n"/>
      <c r="N107" s="12">
        <f>IFERROR((G107*3+H107*2+M107)/6,0)</f>
        <v/>
      </c>
      <c r="O107" s="5" t="n"/>
    </row>
    <row r="108">
      <c r="A108" s="4" t="n"/>
      <c r="B108" s="4" t="n"/>
      <c r="C108" s="4" t="n"/>
      <c r="D108" s="4" t="n"/>
      <c r="E108" s="4" t="n"/>
      <c r="F108" s="4" t="n"/>
      <c r="G108" s="9">
        <f>IFERROR((C108+D108+E108)/B108,0)</f>
        <v/>
      </c>
      <c r="H108" s="9">
        <f>IFERROR((B108-F108)/B108,0)</f>
        <v/>
      </c>
      <c r="I108" s="13" t="n"/>
      <c r="J108" s="9">
        <f>IFERROR(I108/30500000,0)</f>
        <v/>
      </c>
      <c r="K108" s="4" t="n"/>
      <c r="L108" s="4" t="n"/>
      <c r="M108" s="4" t="n"/>
      <c r="N108" s="11">
        <f>IFERROR((G108*3+H108*2+M108)/6,0)</f>
        <v/>
      </c>
      <c r="O108" s="4" t="n"/>
    </row>
    <row r="109">
      <c r="A109" s="5" t="n"/>
      <c r="B109" s="5" t="n"/>
      <c r="C109" s="5" t="n"/>
      <c r="D109" s="5" t="n"/>
      <c r="E109" s="5" t="n"/>
      <c r="F109" s="5" t="n"/>
      <c r="G109" s="10">
        <f>IFERROR((C109+D109+E109)/B109,0)</f>
        <v/>
      </c>
      <c r="H109" s="10">
        <f>IFERROR((B109-F109)/B109,0)</f>
        <v/>
      </c>
      <c r="I109" s="15" t="n"/>
      <c r="J109" s="10">
        <f>IFERROR(I109/30500000,0)</f>
        <v/>
      </c>
      <c r="K109" s="5" t="n"/>
      <c r="L109" s="5" t="n"/>
      <c r="M109" s="5" t="n"/>
      <c r="N109" s="12">
        <f>IFERROR((G109*3+H109*2+M109)/6,0)</f>
        <v/>
      </c>
      <c r="O109" s="5" t="n"/>
    </row>
    <row r="110">
      <c r="A110" s="4" t="n"/>
      <c r="B110" s="4" t="n"/>
      <c r="C110" s="4" t="n"/>
      <c r="D110" s="4" t="n"/>
      <c r="E110" s="4" t="n"/>
      <c r="F110" s="4" t="n"/>
      <c r="G110" s="9">
        <f>IFERROR((C110+D110+E110)/B110,0)</f>
        <v/>
      </c>
      <c r="H110" s="9">
        <f>IFERROR((B110-F110)/B110,0)</f>
        <v/>
      </c>
      <c r="I110" s="13" t="n"/>
      <c r="J110" s="9">
        <f>IFERROR(I110/30500000,0)</f>
        <v/>
      </c>
      <c r="K110" s="4" t="n"/>
      <c r="L110" s="4" t="n"/>
      <c r="M110" s="4" t="n"/>
      <c r="N110" s="11">
        <f>IFERROR((G110*3+H110*2+M110)/6,0)</f>
        <v/>
      </c>
      <c r="O110" s="4" t="n"/>
    </row>
    <row r="111">
      <c r="A111" s="5" t="n"/>
      <c r="B111" s="5" t="n"/>
      <c r="C111" s="5" t="n"/>
      <c r="D111" s="5" t="n"/>
      <c r="E111" s="5" t="n"/>
      <c r="F111" s="5" t="n"/>
      <c r="G111" s="10">
        <f>IFERROR((C111+D111+E111)/B111,0)</f>
        <v/>
      </c>
      <c r="H111" s="10">
        <f>IFERROR((B111-F111)/B111,0)</f>
        <v/>
      </c>
      <c r="I111" s="15" t="n"/>
      <c r="J111" s="10">
        <f>IFERROR(I111/30500000,0)</f>
        <v/>
      </c>
      <c r="K111" s="5" t="n"/>
      <c r="L111" s="5" t="n"/>
      <c r="M111" s="5" t="n"/>
      <c r="N111" s="12">
        <f>IFERROR((G111*3+H111*2+M111)/6,0)</f>
        <v/>
      </c>
      <c r="O111" s="5" t="n"/>
    </row>
    <row r="112">
      <c r="A112" s="4" t="n"/>
      <c r="B112" s="4" t="n"/>
      <c r="C112" s="4" t="n"/>
      <c r="D112" s="4" t="n"/>
      <c r="E112" s="4" t="n"/>
      <c r="F112" s="4" t="n"/>
      <c r="G112" s="9">
        <f>IFERROR((C112+D112+E112)/B112,0)</f>
        <v/>
      </c>
      <c r="H112" s="9">
        <f>IFERROR((B112-F112)/B112,0)</f>
        <v/>
      </c>
      <c r="I112" s="13" t="n"/>
      <c r="J112" s="9">
        <f>IFERROR(I112/30500000,0)</f>
        <v/>
      </c>
      <c r="K112" s="4" t="n"/>
      <c r="L112" s="4" t="n"/>
      <c r="M112" s="4" t="n"/>
      <c r="N112" s="11">
        <f>IFERROR((G112*3+H112*2+M112)/6,0)</f>
        <v/>
      </c>
      <c r="O112" s="4" t="n"/>
    </row>
    <row r="113">
      <c r="A113" s="5" t="n"/>
      <c r="B113" s="5" t="n"/>
      <c r="C113" s="5" t="n"/>
      <c r="D113" s="5" t="n"/>
      <c r="E113" s="5" t="n"/>
      <c r="F113" s="5" t="n"/>
      <c r="G113" s="10">
        <f>IFERROR((C113+D113+E113)/B113,0)</f>
        <v/>
      </c>
      <c r="H113" s="10">
        <f>IFERROR((B113-F113)/B113,0)</f>
        <v/>
      </c>
      <c r="I113" s="15" t="n"/>
      <c r="J113" s="10">
        <f>IFERROR(I113/30500000,0)</f>
        <v/>
      </c>
      <c r="K113" s="5" t="n"/>
      <c r="L113" s="5" t="n"/>
      <c r="M113" s="5" t="n"/>
      <c r="N113" s="12">
        <f>IFERROR((G113*3+H113*2+M113)/6,0)</f>
        <v/>
      </c>
      <c r="O113" s="5" t="n"/>
    </row>
    <row r="114">
      <c r="A114" s="4" t="n"/>
      <c r="B114" s="4" t="n"/>
      <c r="C114" s="4" t="n"/>
      <c r="D114" s="4" t="n"/>
      <c r="E114" s="4" t="n"/>
      <c r="F114" s="4" t="n"/>
      <c r="G114" s="9">
        <f>IFERROR((C114+D114+E114)/B114,0)</f>
        <v/>
      </c>
      <c r="H114" s="9">
        <f>IFERROR((B114-F114)/B114,0)</f>
        <v/>
      </c>
      <c r="I114" s="13" t="n"/>
      <c r="J114" s="9">
        <f>IFERROR(I114/30500000,0)</f>
        <v/>
      </c>
      <c r="K114" s="4" t="n"/>
      <c r="L114" s="4" t="n"/>
      <c r="M114" s="4" t="n"/>
      <c r="N114" s="11">
        <f>IFERROR((G114*3+H114*2+M114)/6,0)</f>
        <v/>
      </c>
      <c r="O114" s="4" t="n"/>
    </row>
    <row r="115">
      <c r="A115" s="5" t="n"/>
      <c r="B115" s="5" t="n"/>
      <c r="C115" s="5" t="n"/>
      <c r="D115" s="5" t="n"/>
      <c r="E115" s="5" t="n"/>
      <c r="F115" s="5" t="n"/>
      <c r="G115" s="10">
        <f>IFERROR((C115+D115+E115)/B115,0)</f>
        <v/>
      </c>
      <c r="H115" s="10">
        <f>IFERROR((B115-F115)/B115,0)</f>
        <v/>
      </c>
      <c r="I115" s="15" t="n"/>
      <c r="J115" s="10">
        <f>IFERROR(I115/30500000,0)</f>
        <v/>
      </c>
      <c r="K115" s="5" t="n"/>
      <c r="L115" s="5" t="n"/>
      <c r="M115" s="5" t="n"/>
      <c r="N115" s="12">
        <f>IFERROR((G115*3+H115*2+M115)/6,0)</f>
        <v/>
      </c>
      <c r="O115" s="5" t="n"/>
    </row>
  </sheetData>
  <mergeCells count="2">
    <mergeCell ref="A3:P3"/>
    <mergeCell ref="A2:P2"/>
  </mergeCells>
  <conditionalFormatting sqref="O6:O115">
    <cfRule type="cellIs" priority="1" operator="equal" dxfId="0">
      <formula>"Excellent"</formula>
    </cfRule>
    <cfRule type="cellIs" priority="2" operator="equal" dxfId="1">
      <formula>"Bon"</formula>
    </cfRule>
    <cfRule type="cellIs" priority="3" operator="equal" dxfId="2">
      <formula>"Moyen"</formula>
    </cfRule>
    <cfRule type="cellIs" priority="4" operator="equal" dxfId="3">
      <formula>"Faible"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91E63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16" customWidth="1" min="8" max="8"/>
    <col width="32" customWidth="1" min="9" max="9"/>
  </cols>
  <sheetData>
    <row r="2" ht="25" customHeight="1">
      <c r="A2" s="1" t="inlineStr">
        <is>
          <t>DOMAINE 28 — INDICATEURS DE PERFORMANCE MOBILITÉ &amp; CARRIÈRE</t>
        </is>
      </c>
    </row>
    <row r="3" ht="18" customHeight="1">
      <c r="A3" s="2" t="inlineStr">
        <is>
          <t>12 KPI stratégiques avec cibles, réalisations et écarts</t>
        </is>
      </c>
    </row>
    <row r="5">
      <c r="A5" s="3" t="inlineStr">
        <is>
          <t>N° KPI</t>
        </is>
      </c>
      <c r="B5" s="3" t="inlineStr">
        <is>
          <t>Indicateur</t>
        </is>
      </c>
      <c r="C5" s="3" t="inlineStr">
        <is>
          <t>Cible</t>
        </is>
      </c>
      <c r="D5" s="3" t="inlineStr">
        <is>
          <t>Réalisation</t>
        </is>
      </c>
      <c r="E5" s="3" t="inlineStr">
        <is>
          <t>Écart</t>
        </is>
      </c>
      <c r="F5" s="3" t="inlineStr">
        <is>
          <t>Taux Atteinte (%)</t>
        </is>
      </c>
      <c r="G5" s="3" t="inlineStr">
        <is>
          <t>Tendance</t>
        </is>
      </c>
      <c r="H5" s="3" t="inlineStr">
        <is>
          <t>Responsable</t>
        </is>
      </c>
      <c r="I5" s="3" t="inlineStr">
        <is>
          <t>Action Corrective</t>
        </is>
      </c>
    </row>
    <row r="6">
      <c r="A6" s="4" t="inlineStr">
        <is>
          <t>KPI-01</t>
        </is>
      </c>
      <c r="B6" s="4" t="inlineStr">
        <is>
          <t>Taux de promotion annuel</t>
        </is>
      </c>
      <c r="C6" s="4" t="inlineStr">
        <is>
          <t>15%</t>
        </is>
      </c>
      <c r="D6" s="4" t="inlineStr">
        <is>
          <t>12%</t>
        </is>
      </c>
      <c r="E6" s="4">
        <f>IFERROR(D6-C6,0)</f>
        <v/>
      </c>
      <c r="F6" s="9">
        <f>IFERROR(D6/C6,0)</f>
        <v/>
      </c>
      <c r="G6" s="4">
        <f>IF(E6="","",IF(E6&gt;0,"Hausse",IF(E6&lt;0,"Baisse","Stable")))</f>
        <v/>
      </c>
      <c r="H6" s="4" t="inlineStr">
        <is>
          <t>DRH</t>
        </is>
      </c>
      <c r="I6" s="4" t="inlineStr">
        <is>
          <t>Accélérer promotions Q3-Q4</t>
        </is>
      </c>
    </row>
    <row r="7">
      <c r="A7" s="5" t="inlineStr">
        <is>
          <t>KPI-02</t>
        </is>
      </c>
      <c r="B7" s="5" t="inlineStr">
        <is>
          <t>Taux de mobilité interne</t>
        </is>
      </c>
      <c r="C7" s="5" t="inlineStr">
        <is>
          <t>20%</t>
        </is>
      </c>
      <c r="D7" s="5" t="inlineStr">
        <is>
          <t>18%</t>
        </is>
      </c>
      <c r="E7" s="5">
        <f>IFERROR(D7-C7,0)</f>
        <v/>
      </c>
      <c r="F7" s="10">
        <f>IFERROR(D7/C7,0)</f>
        <v/>
      </c>
      <c r="G7" s="5">
        <f>IF(E7="","",IF(E7&gt;0,"Hausse",IF(E7&lt;0,"Baisse","Stable")))</f>
        <v/>
      </c>
      <c r="H7" s="5" t="inlineStr">
        <is>
          <t>DRH</t>
        </is>
      </c>
      <c r="I7" s="5" t="inlineStr">
        <is>
          <t>Encourager les mutations</t>
        </is>
      </c>
    </row>
    <row r="8">
      <c r="A8" s="4" t="inlineStr">
        <is>
          <t>KPI-03</t>
        </is>
      </c>
      <c r="B8" s="4" t="inlineStr">
        <is>
          <t>Taux de rétention talents</t>
        </is>
      </c>
      <c r="C8" s="4" t="inlineStr">
        <is>
          <t>90%</t>
        </is>
      </c>
      <c r="D8" s="4" t="inlineStr">
        <is>
          <t>94%</t>
        </is>
      </c>
      <c r="E8" s="4">
        <f>IFERROR(D8-C8,0)</f>
        <v/>
      </c>
      <c r="F8" s="9">
        <f>IFERROR(D8/C8,0)</f>
        <v/>
      </c>
      <c r="G8" s="4">
        <f>IF(E8="","",IF(E8&gt;0,"Hausse",IF(E8&lt;0,"Baisse","Stable")))</f>
        <v/>
      </c>
      <c r="H8" s="4" t="inlineStr">
        <is>
          <t>DRH</t>
        </is>
      </c>
      <c r="I8" s="4" t="inlineStr">
        <is>
          <t>Maintenir les programmes actuels</t>
        </is>
      </c>
    </row>
    <row r="9">
      <c r="A9" s="5" t="inlineStr">
        <is>
          <t>KPI-04</t>
        </is>
      </c>
      <c r="B9" s="5" t="inlineStr">
        <is>
          <t>Successeurs identifiés (postes clés)</t>
        </is>
      </c>
      <c r="C9" s="5" t="inlineStr">
        <is>
          <t>80%</t>
        </is>
      </c>
      <c r="D9" s="5" t="inlineStr">
        <is>
          <t>50%</t>
        </is>
      </c>
      <c r="E9" s="5">
        <f>IFERROR(D9-C9,0)</f>
        <v/>
      </c>
      <c r="F9" s="10">
        <f>IFERROR(D9/C9,0)</f>
        <v/>
      </c>
      <c r="G9" s="5">
        <f>IF(E9="","",IF(E9&gt;0,"Hausse",IF(E9&lt;0,"Baisse","Stable")))</f>
        <v/>
      </c>
      <c r="H9" s="5" t="inlineStr">
        <is>
          <t>DRH</t>
        </is>
      </c>
      <c r="I9" s="5" t="inlineStr">
        <is>
          <t>Urgence plan succession</t>
        </is>
      </c>
    </row>
    <row r="10">
      <c r="A10" s="4" t="inlineStr">
        <is>
          <t>KPI-05</t>
        </is>
      </c>
      <c r="B10" s="4" t="inlineStr">
        <is>
          <t>Taux de complétion formations carrière</t>
        </is>
      </c>
      <c r="C10" s="4" t="inlineStr">
        <is>
          <t>85%</t>
        </is>
      </c>
      <c r="D10" s="4" t="inlineStr">
        <is>
          <t>78%</t>
        </is>
      </c>
      <c r="E10" s="4">
        <f>IFERROR(D10-C10,0)</f>
        <v/>
      </c>
      <c r="F10" s="9">
        <f>IFERROR(D10/C10,0)</f>
        <v/>
      </c>
      <c r="G10" s="4">
        <f>IF(E10="","",IF(E10&gt;0,"Hausse",IF(E10&lt;0,"Baisse","Stable")))</f>
        <v/>
      </c>
      <c r="H10" s="4" t="inlineStr">
        <is>
          <t>Resp. Formation</t>
        </is>
      </c>
      <c r="I10" s="4" t="inlineStr">
        <is>
          <t>Suivi renforcé</t>
        </is>
      </c>
    </row>
    <row r="11">
      <c r="A11" s="5" t="inlineStr">
        <is>
          <t>KPI-06</t>
        </is>
      </c>
      <c r="B11" s="5" t="inlineStr">
        <is>
          <t>Satisfaction entretiens carrière</t>
        </is>
      </c>
      <c r="C11" s="5" t="inlineStr">
        <is>
          <t>80%</t>
        </is>
      </c>
      <c r="D11" s="5" t="inlineStr">
        <is>
          <t>85%</t>
        </is>
      </c>
      <c r="E11" s="5">
        <f>IFERROR(D11-C11,0)</f>
        <v/>
      </c>
      <c r="F11" s="10">
        <f>IFERROR(D11/C11,0)</f>
        <v/>
      </c>
      <c r="G11" s="5">
        <f>IF(E11="","",IF(E11&gt;0,"Hausse",IF(E11&lt;0,"Baisse","Stable")))</f>
        <v/>
      </c>
      <c r="H11" s="5" t="inlineStr">
        <is>
          <t>DRH</t>
        </is>
      </c>
      <c r="I11" s="5" t="inlineStr">
        <is>
          <t>Poursuire le programme actuel</t>
        </is>
      </c>
    </row>
    <row r="12">
      <c r="A12" s="4" t="inlineStr">
        <is>
          <t>KPI-07</t>
        </is>
      </c>
      <c r="B12" s="4" t="inlineStr">
        <is>
          <t>Coût moyen formation/employé</t>
        </is>
      </c>
      <c r="C12" s="4" t="inlineStr">
        <is>
          <t>150000</t>
        </is>
      </c>
      <c r="D12" s="4" t="inlineStr">
        <is>
          <t>175000</t>
        </is>
      </c>
      <c r="E12" s="4">
        <f>IFERROR(D12-C12,0)</f>
        <v/>
      </c>
      <c r="F12" s="9">
        <f>IFERROR(D12/C12,0)</f>
        <v/>
      </c>
      <c r="G12" s="4">
        <f>IF(E12="","",IF(E12&gt;0,"Hausse",IF(E12&lt;0,"Baisse","Stable")))</f>
        <v/>
      </c>
      <c r="H12" s="4" t="inlineStr">
        <is>
          <t>DAF</t>
        </is>
      </c>
      <c r="I12" s="4" t="inlineStr">
        <is>
          <t>Optimiser coûts formations</t>
        </is>
      </c>
    </row>
    <row r="13">
      <c r="A13" s="5" t="inlineStr">
        <is>
          <t>KPI-08</t>
        </is>
      </c>
      <c r="B13" s="5" t="inlineStr">
        <is>
          <t>Délai moyen de promotion (mois)</t>
        </is>
      </c>
      <c r="C13" s="5" t="inlineStr">
        <is>
          <t>18</t>
        </is>
      </c>
      <c r="D13" s="5" t="inlineStr">
        <is>
          <t>22</t>
        </is>
      </c>
      <c r="E13" s="5">
        <f>IFERROR(D13-C13,0)</f>
        <v/>
      </c>
      <c r="F13" s="10">
        <f>IFERROR(D13/C13,0)</f>
        <v/>
      </c>
      <c r="G13" s="5">
        <f>IF(E13="","",IF(E13&gt;0,"Hausse",IF(E13&lt;0,"Baisse","Stable")))</f>
        <v/>
      </c>
      <c r="H13" s="5" t="inlineStr">
        <is>
          <t>DRH</t>
        </is>
      </c>
      <c r="I13" s="5" t="inlineStr">
        <is>
          <t>Réduire les délais décisionnels</t>
        </is>
      </c>
    </row>
    <row r="14">
      <c r="A14" s="4" t="inlineStr">
        <is>
          <t>KPI-09</t>
        </is>
      </c>
      <c r="B14" s="4" t="inlineStr">
        <is>
          <t>Taux de participation mentorat</t>
        </is>
      </c>
      <c r="C14" s="4" t="inlineStr">
        <is>
          <t>60%</t>
        </is>
      </c>
      <c r="D14" s="4" t="inlineStr">
        <is>
          <t>55%</t>
        </is>
      </c>
      <c r="E14" s="4">
        <f>IFERROR(D14-C14,0)</f>
        <v/>
      </c>
      <c r="F14" s="9">
        <f>IFERROR(D14/C14,0)</f>
        <v/>
      </c>
      <c r="G14" s="4">
        <f>IF(E14="","",IF(E14&gt;0,"Hausse",IF(E14&lt;0,"Baisse","Stable")))</f>
        <v/>
      </c>
      <c r="H14" s="4" t="inlineStr">
        <is>
          <t>DRH</t>
        </is>
      </c>
      <c r="I14" s="4" t="inlineStr">
        <is>
          <t>Élargir le réseau mentor</t>
        </is>
      </c>
    </row>
    <row r="15">
      <c r="A15" s="5" t="inlineStr">
        <is>
          <t>KPI-10</t>
        </is>
      </c>
      <c r="B15" s="5" t="inlineStr">
        <is>
          <t>Indice santé carrière global</t>
        </is>
      </c>
      <c r="C15" s="5" t="inlineStr">
        <is>
          <t>0.75</t>
        </is>
      </c>
      <c r="D15" s="5" t="inlineStr">
        <is>
          <t>0.68</t>
        </is>
      </c>
      <c r="E15" s="5">
        <f>IFERROR(D15-C15,0)</f>
        <v/>
      </c>
      <c r="F15" s="10">
        <f>IFERROR(D15/C15,0)</f>
        <v/>
      </c>
      <c r="G15" s="5">
        <f>IF(E15="","",IF(E15&gt;0,"Hausse",IF(E15&lt;0,"Baisse","Stable")))</f>
        <v/>
      </c>
      <c r="H15" s="5" t="inlineStr">
        <is>
          <t>DG</t>
        </is>
      </c>
      <c r="I15" s="5" t="inlineStr">
        <is>
          <t>Programme transversal carrières</t>
        </is>
      </c>
    </row>
    <row r="16">
      <c r="A16" s="4" t="inlineStr">
        <is>
          <t>KPI-11</t>
        </is>
      </c>
      <c r="B16" s="4" t="inlineStr">
        <is>
          <t>Nb mobilités internationales</t>
        </is>
      </c>
      <c r="C16" s="4" t="inlineStr">
        <is>
          <t>4</t>
        </is>
      </c>
      <c r="D16" s="4" t="inlineStr">
        <is>
          <t>3</t>
        </is>
      </c>
      <c r="E16" s="4">
        <f>IFERROR(D16-C16,0)</f>
        <v/>
      </c>
      <c r="F16" s="9">
        <f>IFERROR(D16/C16,0)</f>
        <v/>
      </c>
      <c r="G16" s="4">
        <f>IF(E16="","",IF(E16&gt;0,"Hausse",IF(E16&lt;0,"Baisse","Stable")))</f>
        <v/>
      </c>
      <c r="H16" s="4" t="inlineStr">
        <is>
          <t>DG</t>
        </is>
      </c>
      <c r="I16" s="4" t="inlineStr">
        <is>
          <t>Planifier Q4</t>
        </is>
      </c>
    </row>
    <row r="17">
      <c r="A17" s="5" t="inlineStr">
        <is>
          <t>KPI-12</t>
        </is>
      </c>
      <c r="B17" s="5" t="inlineStr">
        <is>
          <t>Conformité processus mobilité (%)</t>
        </is>
      </c>
      <c r="C17" s="5" t="inlineStr">
        <is>
          <t>95%</t>
        </is>
      </c>
      <c r="D17" s="5" t="inlineStr">
        <is>
          <t>88%</t>
        </is>
      </c>
      <c r="E17" s="5">
        <f>IFERROR(D17-C17,0)</f>
        <v/>
      </c>
      <c r="F17" s="10">
        <f>IFERROR(D17/C17,0)</f>
        <v/>
      </c>
      <c r="G17" s="5">
        <f>IF(E17="","",IF(E17&gt;0,"Hausse",IF(E17&lt;0,"Baisse","Stable")))</f>
        <v/>
      </c>
      <c r="H17" s="5" t="inlineStr">
        <is>
          <t>Juridique</t>
        </is>
      </c>
      <c r="I17" s="5" t="inlineStr">
        <is>
          <t>Mise à jour procédures</t>
        </is>
      </c>
    </row>
    <row r="18">
      <c r="A18" s="4" t="n"/>
      <c r="B18" s="4" t="n"/>
      <c r="C18" s="4" t="n"/>
      <c r="D18" s="4" t="n"/>
      <c r="E18" s="4">
        <f>IFERROR(D18-C18,0)</f>
        <v/>
      </c>
      <c r="F18" s="9">
        <f>IFERROR(D18/C18,0)</f>
        <v/>
      </c>
      <c r="G18" s="4">
        <f>IF(E18="","",IF(E18&gt;0,"Hausse",IF(E18&lt;0,"Baisse","Stable")))</f>
        <v/>
      </c>
      <c r="H18" s="4" t="n"/>
      <c r="I18" s="4" t="n"/>
    </row>
    <row r="19">
      <c r="A19" s="5" t="n"/>
      <c r="B19" s="5" t="n"/>
      <c r="C19" s="5" t="n"/>
      <c r="D19" s="5" t="n"/>
      <c r="E19" s="5">
        <f>IFERROR(D19-C19,0)</f>
        <v/>
      </c>
      <c r="F19" s="10">
        <f>IFERROR(D19/C19,0)</f>
        <v/>
      </c>
      <c r="G19" s="5">
        <f>IF(E19="","",IF(E19&gt;0,"Hausse",IF(E19&lt;0,"Baisse","Stable")))</f>
        <v/>
      </c>
      <c r="H19" s="5" t="n"/>
      <c r="I19" s="5" t="n"/>
    </row>
    <row r="20">
      <c r="A20" s="4" t="n"/>
      <c r="B20" s="4" t="n"/>
      <c r="C20" s="4" t="n"/>
      <c r="D20" s="4" t="n"/>
      <c r="E20" s="4">
        <f>IFERROR(D20-C20,0)</f>
        <v/>
      </c>
      <c r="F20" s="9">
        <f>IFERROR(D20/C20,0)</f>
        <v/>
      </c>
      <c r="G20" s="4">
        <f>IF(E20="","",IF(E20&gt;0,"Hausse",IF(E20&lt;0,"Baisse","Stable")))</f>
        <v/>
      </c>
      <c r="H20" s="4" t="n"/>
      <c r="I20" s="4" t="n"/>
    </row>
    <row r="21">
      <c r="A21" s="5" t="n"/>
      <c r="B21" s="5" t="n"/>
      <c r="C21" s="5" t="n"/>
      <c r="D21" s="5" t="n"/>
      <c r="E21" s="5">
        <f>IFERROR(D21-C21,0)</f>
        <v/>
      </c>
      <c r="F21" s="10">
        <f>IFERROR(D21/C21,0)</f>
        <v/>
      </c>
      <c r="G21" s="5">
        <f>IF(E21="","",IF(E21&gt;0,"Hausse",IF(E21&lt;0,"Baisse","Stable")))</f>
        <v/>
      </c>
      <c r="H21" s="5" t="n"/>
      <c r="I21" s="5" t="n"/>
    </row>
    <row r="22">
      <c r="A22" s="4" t="n"/>
      <c r="B22" s="4" t="n"/>
      <c r="C22" s="4" t="n"/>
      <c r="D22" s="4" t="n"/>
      <c r="E22" s="4">
        <f>IFERROR(D22-C22,0)</f>
        <v/>
      </c>
      <c r="F22" s="9">
        <f>IFERROR(D22/C22,0)</f>
        <v/>
      </c>
      <c r="G22" s="4">
        <f>IF(E22="","",IF(E22&gt;0,"Hausse",IF(E22&lt;0,"Baisse","Stable")))</f>
        <v/>
      </c>
      <c r="H22" s="4" t="n"/>
      <c r="I22" s="4" t="n"/>
    </row>
    <row r="23">
      <c r="A23" s="5" t="n"/>
      <c r="B23" s="5" t="n"/>
      <c r="C23" s="5" t="n"/>
      <c r="D23" s="5" t="n"/>
      <c r="E23" s="5">
        <f>IFERROR(D23-C23,0)</f>
        <v/>
      </c>
      <c r="F23" s="10">
        <f>IFERROR(D23/C23,0)</f>
        <v/>
      </c>
      <c r="G23" s="5">
        <f>IF(E23="","",IF(E23&gt;0,"Hausse",IF(E23&lt;0,"Baisse","Stable")))</f>
        <v/>
      </c>
      <c r="H23" s="5" t="n"/>
      <c r="I23" s="5" t="n"/>
    </row>
    <row r="24">
      <c r="A24" s="4" t="n"/>
      <c r="B24" s="4" t="n"/>
      <c r="C24" s="4" t="n"/>
      <c r="D24" s="4" t="n"/>
      <c r="E24" s="4">
        <f>IFERROR(D24-C24,0)</f>
        <v/>
      </c>
      <c r="F24" s="9">
        <f>IFERROR(D24/C24,0)</f>
        <v/>
      </c>
      <c r="G24" s="4">
        <f>IF(E24="","",IF(E24&gt;0,"Hausse",IF(E24&lt;0,"Baisse","Stable")))</f>
        <v/>
      </c>
      <c r="H24" s="4" t="n"/>
      <c r="I24" s="4" t="n"/>
    </row>
    <row r="25">
      <c r="A25" s="5" t="n"/>
      <c r="B25" s="5" t="n"/>
      <c r="C25" s="5" t="n"/>
      <c r="D25" s="5" t="n"/>
      <c r="E25" s="5">
        <f>IFERROR(D25-C25,0)</f>
        <v/>
      </c>
      <c r="F25" s="10">
        <f>IFERROR(D25/C25,0)</f>
        <v/>
      </c>
      <c r="G25" s="5">
        <f>IF(E25="","",IF(E25&gt;0,"Hausse",IF(E25&lt;0,"Baisse","Stable")))</f>
        <v/>
      </c>
      <c r="H25" s="5" t="n"/>
      <c r="I25" s="5" t="n"/>
    </row>
    <row r="26">
      <c r="A26" s="4" t="n"/>
      <c r="B26" s="4" t="n"/>
      <c r="C26" s="4" t="n"/>
      <c r="D26" s="4" t="n"/>
      <c r="E26" s="4">
        <f>IFERROR(D26-C26,0)</f>
        <v/>
      </c>
      <c r="F26" s="9">
        <f>IFERROR(D26/C26,0)</f>
        <v/>
      </c>
      <c r="G26" s="4">
        <f>IF(E26="","",IF(E26&gt;0,"Hausse",IF(E26&lt;0,"Baisse","Stable")))</f>
        <v/>
      </c>
      <c r="H26" s="4" t="n"/>
      <c r="I26" s="4" t="n"/>
    </row>
    <row r="27">
      <c r="A27" s="5" t="n"/>
      <c r="B27" s="5" t="n"/>
      <c r="C27" s="5" t="n"/>
      <c r="D27" s="5" t="n"/>
      <c r="E27" s="5">
        <f>IFERROR(D27-C27,0)</f>
        <v/>
      </c>
      <c r="F27" s="10">
        <f>IFERROR(D27/C27,0)</f>
        <v/>
      </c>
      <c r="G27" s="5">
        <f>IF(E27="","",IF(E27&gt;0,"Hausse",IF(E27&lt;0,"Baisse","Stable")))</f>
        <v/>
      </c>
      <c r="H27" s="5" t="n"/>
      <c r="I27" s="5" t="n"/>
    </row>
    <row r="28">
      <c r="A28" s="4" t="n"/>
      <c r="B28" s="4" t="n"/>
      <c r="C28" s="4" t="n"/>
      <c r="D28" s="4" t="n"/>
      <c r="E28" s="4">
        <f>IFERROR(D28-C28,0)</f>
        <v/>
      </c>
      <c r="F28" s="9">
        <f>IFERROR(D28/C28,0)</f>
        <v/>
      </c>
      <c r="G28" s="4">
        <f>IF(E28="","",IF(E28&gt;0,"Hausse",IF(E28&lt;0,"Baisse","Stable")))</f>
        <v/>
      </c>
      <c r="H28" s="4" t="n"/>
      <c r="I28" s="4" t="n"/>
    </row>
    <row r="29">
      <c r="A29" s="5" t="n"/>
      <c r="B29" s="5" t="n"/>
      <c r="C29" s="5" t="n"/>
      <c r="D29" s="5" t="n"/>
      <c r="E29" s="5">
        <f>IFERROR(D29-C29,0)</f>
        <v/>
      </c>
      <c r="F29" s="10">
        <f>IFERROR(D29/C29,0)</f>
        <v/>
      </c>
      <c r="G29" s="5">
        <f>IF(E29="","",IF(E29&gt;0,"Hausse",IF(E29&lt;0,"Baisse","Stable")))</f>
        <v/>
      </c>
      <c r="H29" s="5" t="n"/>
      <c r="I29" s="5" t="n"/>
    </row>
    <row r="30">
      <c r="A30" s="4" t="n"/>
      <c r="B30" s="4" t="n"/>
      <c r="C30" s="4" t="n"/>
      <c r="D30" s="4" t="n"/>
      <c r="E30" s="4">
        <f>IFERROR(D30-C30,0)</f>
        <v/>
      </c>
      <c r="F30" s="9">
        <f>IFERROR(D30/C30,0)</f>
        <v/>
      </c>
      <c r="G30" s="4">
        <f>IF(E30="","",IF(E30&gt;0,"Hausse",IF(E30&lt;0,"Baisse","Stable")))</f>
        <v/>
      </c>
      <c r="H30" s="4" t="n"/>
      <c r="I30" s="4" t="n"/>
    </row>
    <row r="31">
      <c r="A31" s="5" t="n"/>
      <c r="B31" s="5" t="n"/>
      <c r="C31" s="5" t="n"/>
      <c r="D31" s="5" t="n"/>
      <c r="E31" s="5">
        <f>IFERROR(D31-C31,0)</f>
        <v/>
      </c>
      <c r="F31" s="10">
        <f>IFERROR(D31/C31,0)</f>
        <v/>
      </c>
      <c r="G31" s="5">
        <f>IF(E31="","",IF(E31&gt;0,"Hausse",IF(E31&lt;0,"Baisse","Stable")))</f>
        <v/>
      </c>
      <c r="H31" s="5" t="n"/>
      <c r="I31" s="5" t="n"/>
    </row>
    <row r="32">
      <c r="A32" s="4" t="n"/>
      <c r="B32" s="4" t="n"/>
      <c r="C32" s="4" t="n"/>
      <c r="D32" s="4" t="n"/>
      <c r="E32" s="4">
        <f>IFERROR(D32-C32,0)</f>
        <v/>
      </c>
      <c r="F32" s="9">
        <f>IFERROR(D32/C32,0)</f>
        <v/>
      </c>
      <c r="G32" s="4">
        <f>IF(E32="","",IF(E32&gt;0,"Hausse",IF(E32&lt;0,"Baisse","Stable")))</f>
        <v/>
      </c>
      <c r="H32" s="4" t="n"/>
      <c r="I32" s="4" t="n"/>
    </row>
    <row r="33">
      <c r="A33" s="5" t="n"/>
      <c r="B33" s="5" t="n"/>
      <c r="C33" s="5" t="n"/>
      <c r="D33" s="5" t="n"/>
      <c r="E33" s="5">
        <f>IFERROR(D33-C33,0)</f>
        <v/>
      </c>
      <c r="F33" s="10">
        <f>IFERROR(D33/C33,0)</f>
        <v/>
      </c>
      <c r="G33" s="5">
        <f>IF(E33="","",IF(E33&gt;0,"Hausse",IF(E33&lt;0,"Baisse","Stable")))</f>
        <v/>
      </c>
      <c r="H33" s="5" t="n"/>
      <c r="I33" s="5" t="n"/>
    </row>
    <row r="34">
      <c r="A34" s="4" t="n"/>
      <c r="B34" s="4" t="n"/>
      <c r="C34" s="4" t="n"/>
      <c r="D34" s="4" t="n"/>
      <c r="E34" s="4">
        <f>IFERROR(D34-C34,0)</f>
        <v/>
      </c>
      <c r="F34" s="9">
        <f>IFERROR(D34/C34,0)</f>
        <v/>
      </c>
      <c r="G34" s="4">
        <f>IF(E34="","",IF(E34&gt;0,"Hausse",IF(E34&lt;0,"Baisse","Stable")))</f>
        <v/>
      </c>
      <c r="H34" s="4" t="n"/>
      <c r="I34" s="4" t="n"/>
    </row>
    <row r="35">
      <c r="A35" s="5" t="n"/>
      <c r="B35" s="5" t="n"/>
      <c r="C35" s="5" t="n"/>
      <c r="D35" s="5" t="n"/>
      <c r="E35" s="5">
        <f>IFERROR(D35-C35,0)</f>
        <v/>
      </c>
      <c r="F35" s="10">
        <f>IFERROR(D35/C35,0)</f>
        <v/>
      </c>
      <c r="G35" s="5">
        <f>IF(E35="","",IF(E35&gt;0,"Hausse",IF(E35&lt;0,"Baisse","Stable")))</f>
        <v/>
      </c>
      <c r="H35" s="5" t="n"/>
      <c r="I35" s="5" t="n"/>
    </row>
    <row r="36">
      <c r="A36" s="4" t="n"/>
      <c r="B36" s="4" t="n"/>
      <c r="C36" s="4" t="n"/>
      <c r="D36" s="4" t="n"/>
      <c r="E36" s="4">
        <f>IFERROR(D36-C36,0)</f>
        <v/>
      </c>
      <c r="F36" s="9">
        <f>IFERROR(D36/C36,0)</f>
        <v/>
      </c>
      <c r="G36" s="4">
        <f>IF(E36="","",IF(E36&gt;0,"Hausse",IF(E36&lt;0,"Baisse","Stable")))</f>
        <v/>
      </c>
      <c r="H36" s="4" t="n"/>
      <c r="I36" s="4" t="n"/>
    </row>
    <row r="37">
      <c r="A37" s="5" t="n"/>
      <c r="B37" s="5" t="n"/>
      <c r="C37" s="5" t="n"/>
      <c r="D37" s="5" t="n"/>
      <c r="E37" s="5">
        <f>IFERROR(D37-C37,0)</f>
        <v/>
      </c>
      <c r="F37" s="10">
        <f>IFERROR(D37/C37,0)</f>
        <v/>
      </c>
      <c r="G37" s="5">
        <f>IF(E37="","",IF(E37&gt;0,"Hausse",IF(E37&lt;0,"Baisse","Stable")))</f>
        <v/>
      </c>
      <c r="H37" s="5" t="n"/>
      <c r="I37" s="5" t="n"/>
    </row>
    <row r="38">
      <c r="A38" s="4" t="n"/>
      <c r="B38" s="4" t="n"/>
      <c r="C38" s="4" t="n"/>
      <c r="D38" s="4" t="n"/>
      <c r="E38" s="4">
        <f>IFERROR(D38-C38,0)</f>
        <v/>
      </c>
      <c r="F38" s="9">
        <f>IFERROR(D38/C38,0)</f>
        <v/>
      </c>
      <c r="G38" s="4">
        <f>IF(E38="","",IF(E38&gt;0,"Hausse",IF(E38&lt;0,"Baisse","Stable")))</f>
        <v/>
      </c>
      <c r="H38" s="4" t="n"/>
      <c r="I38" s="4" t="n"/>
    </row>
    <row r="39">
      <c r="A39" s="5" t="n"/>
      <c r="B39" s="5" t="n"/>
      <c r="C39" s="5" t="n"/>
      <c r="D39" s="5" t="n"/>
      <c r="E39" s="5">
        <f>IFERROR(D39-C39,0)</f>
        <v/>
      </c>
      <c r="F39" s="10">
        <f>IFERROR(D39/C39,0)</f>
        <v/>
      </c>
      <c r="G39" s="5">
        <f>IF(E39="","",IF(E39&gt;0,"Hausse",IF(E39&lt;0,"Baisse","Stable")))</f>
        <v/>
      </c>
      <c r="H39" s="5" t="n"/>
      <c r="I39" s="5" t="n"/>
    </row>
    <row r="40">
      <c r="A40" s="4" t="n"/>
      <c r="B40" s="4" t="n"/>
      <c r="C40" s="4" t="n"/>
      <c r="D40" s="4" t="n"/>
      <c r="E40" s="4">
        <f>IFERROR(D40-C40,0)</f>
        <v/>
      </c>
      <c r="F40" s="9">
        <f>IFERROR(D40/C40,0)</f>
        <v/>
      </c>
      <c r="G40" s="4">
        <f>IF(E40="","",IF(E40&gt;0,"Hausse",IF(E40&lt;0,"Baisse","Stable")))</f>
        <v/>
      </c>
      <c r="H40" s="4" t="n"/>
      <c r="I40" s="4" t="n"/>
    </row>
    <row r="41">
      <c r="A41" s="5" t="n"/>
      <c r="B41" s="5" t="n"/>
      <c r="C41" s="5" t="n"/>
      <c r="D41" s="5" t="n"/>
      <c r="E41" s="5">
        <f>IFERROR(D41-C41,0)</f>
        <v/>
      </c>
      <c r="F41" s="10">
        <f>IFERROR(D41/C41,0)</f>
        <v/>
      </c>
      <c r="G41" s="5">
        <f>IF(E41="","",IF(E41&gt;0,"Hausse",IF(E41&lt;0,"Baisse","Stable")))</f>
        <v/>
      </c>
      <c r="H41" s="5" t="n"/>
      <c r="I41" s="5" t="n"/>
    </row>
    <row r="42">
      <c r="A42" s="4" t="n"/>
      <c r="B42" s="4" t="n"/>
      <c r="C42" s="4" t="n"/>
      <c r="D42" s="4" t="n"/>
      <c r="E42" s="4">
        <f>IFERROR(D42-C42,0)</f>
        <v/>
      </c>
      <c r="F42" s="9">
        <f>IFERROR(D42/C42,0)</f>
        <v/>
      </c>
      <c r="G42" s="4">
        <f>IF(E42="","",IF(E42&gt;0,"Hausse",IF(E42&lt;0,"Baisse","Stable")))</f>
        <v/>
      </c>
      <c r="H42" s="4" t="n"/>
      <c r="I42" s="4" t="n"/>
    </row>
    <row r="43">
      <c r="A43" s="5" t="n"/>
      <c r="B43" s="5" t="n"/>
      <c r="C43" s="5" t="n"/>
      <c r="D43" s="5" t="n"/>
      <c r="E43" s="5">
        <f>IFERROR(D43-C43,0)</f>
        <v/>
      </c>
      <c r="F43" s="10">
        <f>IFERROR(D43/C43,0)</f>
        <v/>
      </c>
      <c r="G43" s="5">
        <f>IF(E43="","",IF(E43&gt;0,"Hausse",IF(E43&lt;0,"Baisse","Stable")))</f>
        <v/>
      </c>
      <c r="H43" s="5" t="n"/>
      <c r="I43" s="5" t="n"/>
    </row>
    <row r="44">
      <c r="A44" s="4" t="n"/>
      <c r="B44" s="4" t="n"/>
      <c r="C44" s="4" t="n"/>
      <c r="D44" s="4" t="n"/>
      <c r="E44" s="4">
        <f>IFERROR(D44-C44,0)</f>
        <v/>
      </c>
      <c r="F44" s="9">
        <f>IFERROR(D44/C44,0)</f>
        <v/>
      </c>
      <c r="G44" s="4">
        <f>IF(E44="","",IF(E44&gt;0,"Hausse",IF(E44&lt;0,"Baisse","Stable")))</f>
        <v/>
      </c>
      <c r="H44" s="4" t="n"/>
      <c r="I44" s="4" t="n"/>
    </row>
    <row r="45">
      <c r="A45" s="5" t="n"/>
      <c r="B45" s="5" t="n"/>
      <c r="C45" s="5" t="n"/>
      <c r="D45" s="5" t="n"/>
      <c r="E45" s="5">
        <f>IFERROR(D45-C45,0)</f>
        <v/>
      </c>
      <c r="F45" s="10">
        <f>IFERROR(D45/C45,0)</f>
        <v/>
      </c>
      <c r="G45" s="5">
        <f>IF(E45="","",IF(E45&gt;0,"Hausse",IF(E45&lt;0,"Baisse","Stable")))</f>
        <v/>
      </c>
      <c r="H45" s="5" t="n"/>
      <c r="I45" s="5" t="n"/>
    </row>
    <row r="46">
      <c r="A46" s="4" t="n"/>
      <c r="B46" s="4" t="n"/>
      <c r="C46" s="4" t="n"/>
      <c r="D46" s="4" t="n"/>
      <c r="E46" s="4">
        <f>IFERROR(D46-C46,0)</f>
        <v/>
      </c>
      <c r="F46" s="9">
        <f>IFERROR(D46/C46,0)</f>
        <v/>
      </c>
      <c r="G46" s="4">
        <f>IF(E46="","",IF(E46&gt;0,"Hausse",IF(E46&lt;0,"Baisse","Stable")))</f>
        <v/>
      </c>
      <c r="H46" s="4" t="n"/>
      <c r="I46" s="4" t="n"/>
    </row>
    <row r="47">
      <c r="A47" s="5" t="n"/>
      <c r="B47" s="5" t="n"/>
      <c r="C47" s="5" t="n"/>
      <c r="D47" s="5" t="n"/>
      <c r="E47" s="5">
        <f>IFERROR(D47-C47,0)</f>
        <v/>
      </c>
      <c r="F47" s="10">
        <f>IFERROR(D47/C47,0)</f>
        <v/>
      </c>
      <c r="G47" s="5">
        <f>IF(E47="","",IF(E47&gt;0,"Hausse",IF(E47&lt;0,"Baisse","Stable")))</f>
        <v/>
      </c>
      <c r="H47" s="5" t="n"/>
      <c r="I47" s="5" t="n"/>
    </row>
    <row r="48">
      <c r="A48" s="4" t="n"/>
      <c r="B48" s="4" t="n"/>
      <c r="C48" s="4" t="n"/>
      <c r="D48" s="4" t="n"/>
      <c r="E48" s="4">
        <f>IFERROR(D48-C48,0)</f>
        <v/>
      </c>
      <c r="F48" s="9">
        <f>IFERROR(D48/C48,0)</f>
        <v/>
      </c>
      <c r="G48" s="4">
        <f>IF(E48="","",IF(E48&gt;0,"Hausse",IF(E48&lt;0,"Baisse","Stable")))</f>
        <v/>
      </c>
      <c r="H48" s="4" t="n"/>
      <c r="I48" s="4" t="n"/>
    </row>
    <row r="49">
      <c r="A49" s="5" t="n"/>
      <c r="B49" s="5" t="n"/>
      <c r="C49" s="5" t="n"/>
      <c r="D49" s="5" t="n"/>
      <c r="E49" s="5">
        <f>IFERROR(D49-C49,0)</f>
        <v/>
      </c>
      <c r="F49" s="10">
        <f>IFERROR(D49/C49,0)</f>
        <v/>
      </c>
      <c r="G49" s="5">
        <f>IF(E49="","",IF(E49&gt;0,"Hausse",IF(E49&lt;0,"Baisse","Stable")))</f>
        <v/>
      </c>
      <c r="H49" s="5" t="n"/>
      <c r="I49" s="5" t="n"/>
    </row>
    <row r="50">
      <c r="A50" s="4" t="n"/>
      <c r="B50" s="4" t="n"/>
      <c r="C50" s="4" t="n"/>
      <c r="D50" s="4" t="n"/>
      <c r="E50" s="4">
        <f>IFERROR(D50-C50,0)</f>
        <v/>
      </c>
      <c r="F50" s="9">
        <f>IFERROR(D50/C50,0)</f>
        <v/>
      </c>
      <c r="G50" s="4">
        <f>IF(E50="","",IF(E50&gt;0,"Hausse",IF(E50&lt;0,"Baisse","Stable")))</f>
        <v/>
      </c>
      <c r="H50" s="4" t="n"/>
      <c r="I50" s="4" t="n"/>
    </row>
    <row r="51">
      <c r="A51" s="5" t="n"/>
      <c r="B51" s="5" t="n"/>
      <c r="C51" s="5" t="n"/>
      <c r="D51" s="5" t="n"/>
      <c r="E51" s="5">
        <f>IFERROR(D51-C51,0)</f>
        <v/>
      </c>
      <c r="F51" s="10">
        <f>IFERROR(D51/C51,0)</f>
        <v/>
      </c>
      <c r="G51" s="5">
        <f>IF(E51="","",IF(E51&gt;0,"Hausse",IF(E51&lt;0,"Baisse","Stable")))</f>
        <v/>
      </c>
      <c r="H51" s="5" t="n"/>
      <c r="I51" s="5" t="n"/>
    </row>
    <row r="52">
      <c r="A52" s="4" t="n"/>
      <c r="B52" s="4" t="n"/>
      <c r="C52" s="4" t="n"/>
      <c r="D52" s="4" t="n"/>
      <c r="E52" s="4">
        <f>IFERROR(D52-C52,0)</f>
        <v/>
      </c>
      <c r="F52" s="9">
        <f>IFERROR(D52/C52,0)</f>
        <v/>
      </c>
      <c r="G52" s="4">
        <f>IF(E52="","",IF(E52&gt;0,"Hausse",IF(E52&lt;0,"Baisse","Stable")))</f>
        <v/>
      </c>
      <c r="H52" s="4" t="n"/>
      <c r="I52" s="4" t="n"/>
    </row>
    <row r="53">
      <c r="A53" s="5" t="n"/>
      <c r="B53" s="5" t="n"/>
      <c r="C53" s="5" t="n"/>
      <c r="D53" s="5" t="n"/>
      <c r="E53" s="5">
        <f>IFERROR(D53-C53,0)</f>
        <v/>
      </c>
      <c r="F53" s="10">
        <f>IFERROR(D53/C53,0)</f>
        <v/>
      </c>
      <c r="G53" s="5">
        <f>IF(E53="","",IF(E53&gt;0,"Hausse",IF(E53&lt;0,"Baisse","Stable")))</f>
        <v/>
      </c>
      <c r="H53" s="5" t="n"/>
      <c r="I53" s="5" t="n"/>
    </row>
    <row r="54">
      <c r="A54" s="4" t="n"/>
      <c r="B54" s="4" t="n"/>
      <c r="C54" s="4" t="n"/>
      <c r="D54" s="4" t="n"/>
      <c r="E54" s="4">
        <f>IFERROR(D54-C54,0)</f>
        <v/>
      </c>
      <c r="F54" s="9">
        <f>IFERROR(D54/C54,0)</f>
        <v/>
      </c>
      <c r="G54" s="4">
        <f>IF(E54="","",IF(E54&gt;0,"Hausse",IF(E54&lt;0,"Baisse","Stable")))</f>
        <v/>
      </c>
      <c r="H54" s="4" t="n"/>
      <c r="I54" s="4" t="n"/>
    </row>
    <row r="55">
      <c r="A55" s="5" t="n"/>
      <c r="B55" s="5" t="n"/>
      <c r="C55" s="5" t="n"/>
      <c r="D55" s="5" t="n"/>
      <c r="E55" s="5">
        <f>IFERROR(D55-C55,0)</f>
        <v/>
      </c>
      <c r="F55" s="10">
        <f>IFERROR(D55/C55,0)</f>
        <v/>
      </c>
      <c r="G55" s="5">
        <f>IF(E55="","",IF(E55&gt;0,"Hausse",IF(E55&lt;0,"Baisse","Stable")))</f>
        <v/>
      </c>
      <c r="H55" s="5" t="n"/>
      <c r="I55" s="5" t="n"/>
    </row>
    <row r="56">
      <c r="A56" s="4" t="n"/>
      <c r="B56" s="4" t="n"/>
      <c r="C56" s="4" t="n"/>
      <c r="D56" s="4" t="n"/>
      <c r="E56" s="4">
        <f>IFERROR(D56-C56,0)</f>
        <v/>
      </c>
      <c r="F56" s="9">
        <f>IFERROR(D56/C56,0)</f>
        <v/>
      </c>
      <c r="G56" s="4">
        <f>IF(E56="","",IF(E56&gt;0,"Hausse",IF(E56&lt;0,"Baisse","Stable")))</f>
        <v/>
      </c>
      <c r="H56" s="4" t="n"/>
      <c r="I56" s="4" t="n"/>
    </row>
    <row r="57">
      <c r="A57" s="5" t="n"/>
      <c r="B57" s="5" t="n"/>
      <c r="C57" s="5" t="n"/>
      <c r="D57" s="5" t="n"/>
      <c r="E57" s="5">
        <f>IFERROR(D57-C57,0)</f>
        <v/>
      </c>
      <c r="F57" s="10">
        <f>IFERROR(D57/C57,0)</f>
        <v/>
      </c>
      <c r="G57" s="5">
        <f>IF(E57="","",IF(E57&gt;0,"Hausse",IF(E57&lt;0,"Baisse","Stable")))</f>
        <v/>
      </c>
      <c r="H57" s="5" t="n"/>
      <c r="I57" s="5" t="n"/>
    </row>
    <row r="58">
      <c r="A58" s="4" t="n"/>
      <c r="B58" s="4" t="n"/>
      <c r="C58" s="4" t="n"/>
      <c r="D58" s="4" t="n"/>
      <c r="E58" s="4">
        <f>IFERROR(D58-C58,0)</f>
        <v/>
      </c>
      <c r="F58" s="9">
        <f>IFERROR(D58/C58,0)</f>
        <v/>
      </c>
      <c r="G58" s="4">
        <f>IF(E58="","",IF(E58&gt;0,"Hausse",IF(E58&lt;0,"Baisse","Stable")))</f>
        <v/>
      </c>
      <c r="H58" s="4" t="n"/>
      <c r="I58" s="4" t="n"/>
    </row>
    <row r="59">
      <c r="A59" s="5" t="n"/>
      <c r="B59" s="5" t="n"/>
      <c r="C59" s="5" t="n"/>
      <c r="D59" s="5" t="n"/>
      <c r="E59" s="5">
        <f>IFERROR(D59-C59,0)</f>
        <v/>
      </c>
      <c r="F59" s="10">
        <f>IFERROR(D59/C59,0)</f>
        <v/>
      </c>
      <c r="G59" s="5">
        <f>IF(E59="","",IF(E59&gt;0,"Hausse",IF(E59&lt;0,"Baisse","Stable")))</f>
        <v/>
      </c>
      <c r="H59" s="5" t="n"/>
      <c r="I59" s="5" t="n"/>
    </row>
    <row r="60">
      <c r="A60" s="4" t="n"/>
      <c r="B60" s="4" t="n"/>
      <c r="C60" s="4" t="n"/>
      <c r="D60" s="4" t="n"/>
      <c r="E60" s="4">
        <f>IFERROR(D60-C60,0)</f>
        <v/>
      </c>
      <c r="F60" s="9">
        <f>IFERROR(D60/C60,0)</f>
        <v/>
      </c>
      <c r="G60" s="4">
        <f>IF(E60="","",IF(E60&gt;0,"Hausse",IF(E60&lt;0,"Baisse","Stable")))</f>
        <v/>
      </c>
      <c r="H60" s="4" t="n"/>
      <c r="I60" s="4" t="n"/>
    </row>
    <row r="61">
      <c r="A61" s="5" t="n"/>
      <c r="B61" s="5" t="n"/>
      <c r="C61" s="5" t="n"/>
      <c r="D61" s="5" t="n"/>
      <c r="E61" s="5">
        <f>IFERROR(D61-C61,0)</f>
        <v/>
      </c>
      <c r="F61" s="10">
        <f>IFERROR(D61/C61,0)</f>
        <v/>
      </c>
      <c r="G61" s="5">
        <f>IF(E61="","",IF(E61&gt;0,"Hausse",IF(E61&lt;0,"Baisse","Stable")))</f>
        <v/>
      </c>
      <c r="H61" s="5" t="n"/>
      <c r="I61" s="5" t="n"/>
    </row>
    <row r="62">
      <c r="A62" s="4" t="n"/>
      <c r="B62" s="4" t="n"/>
      <c r="C62" s="4" t="n"/>
      <c r="D62" s="4" t="n"/>
      <c r="E62" s="4">
        <f>IFERROR(D62-C62,0)</f>
        <v/>
      </c>
      <c r="F62" s="9">
        <f>IFERROR(D62/C62,0)</f>
        <v/>
      </c>
      <c r="G62" s="4">
        <f>IF(E62="","",IF(E62&gt;0,"Hausse",IF(E62&lt;0,"Baisse","Stable")))</f>
        <v/>
      </c>
      <c r="H62" s="4" t="n"/>
      <c r="I62" s="4" t="n"/>
    </row>
    <row r="63">
      <c r="A63" s="5" t="n"/>
      <c r="B63" s="5" t="n"/>
      <c r="C63" s="5" t="n"/>
      <c r="D63" s="5" t="n"/>
      <c r="E63" s="5">
        <f>IFERROR(D63-C63,0)</f>
        <v/>
      </c>
      <c r="F63" s="10">
        <f>IFERROR(D63/C63,0)</f>
        <v/>
      </c>
      <c r="G63" s="5">
        <f>IF(E63="","",IF(E63&gt;0,"Hausse",IF(E63&lt;0,"Baisse","Stable")))</f>
        <v/>
      </c>
      <c r="H63" s="5" t="n"/>
      <c r="I63" s="5" t="n"/>
    </row>
    <row r="64">
      <c r="A64" s="4" t="n"/>
      <c r="B64" s="4" t="n"/>
      <c r="C64" s="4" t="n"/>
      <c r="D64" s="4" t="n"/>
      <c r="E64" s="4">
        <f>IFERROR(D64-C64,0)</f>
        <v/>
      </c>
      <c r="F64" s="9">
        <f>IFERROR(D64/C64,0)</f>
        <v/>
      </c>
      <c r="G64" s="4">
        <f>IF(E64="","",IF(E64&gt;0,"Hausse",IF(E64&lt;0,"Baisse","Stable")))</f>
        <v/>
      </c>
      <c r="H64" s="4" t="n"/>
      <c r="I64" s="4" t="n"/>
    </row>
    <row r="65">
      <c r="A65" s="5" t="n"/>
      <c r="B65" s="5" t="n"/>
      <c r="C65" s="5" t="n"/>
      <c r="D65" s="5" t="n"/>
      <c r="E65" s="5">
        <f>IFERROR(D65-C65,0)</f>
        <v/>
      </c>
      <c r="F65" s="10">
        <f>IFERROR(D65/C65,0)</f>
        <v/>
      </c>
      <c r="G65" s="5">
        <f>IF(E65="","",IF(E65&gt;0,"Hausse",IF(E65&lt;0,"Baisse","Stable")))</f>
        <v/>
      </c>
      <c r="H65" s="5" t="n"/>
      <c r="I65" s="5" t="n"/>
    </row>
    <row r="66">
      <c r="A66" s="4" t="n"/>
      <c r="B66" s="4" t="n"/>
      <c r="C66" s="4" t="n"/>
      <c r="D66" s="4" t="n"/>
      <c r="E66" s="4">
        <f>IFERROR(D66-C66,0)</f>
        <v/>
      </c>
      <c r="F66" s="9">
        <f>IFERROR(D66/C66,0)</f>
        <v/>
      </c>
      <c r="G66" s="4">
        <f>IF(E66="","",IF(E66&gt;0,"Hausse",IF(E66&lt;0,"Baisse","Stable")))</f>
        <v/>
      </c>
      <c r="H66" s="4" t="n"/>
      <c r="I66" s="4" t="n"/>
    </row>
    <row r="67">
      <c r="A67" s="5" t="n"/>
      <c r="B67" s="5" t="n"/>
      <c r="C67" s="5" t="n"/>
      <c r="D67" s="5" t="n"/>
      <c r="E67" s="5">
        <f>IFERROR(D67-C67,0)</f>
        <v/>
      </c>
      <c r="F67" s="10">
        <f>IFERROR(D67/C67,0)</f>
        <v/>
      </c>
      <c r="G67" s="5">
        <f>IF(E67="","",IF(E67&gt;0,"Hausse",IF(E67&lt;0,"Baisse","Stable")))</f>
        <v/>
      </c>
      <c r="H67" s="5" t="n"/>
      <c r="I67" s="5" t="n"/>
    </row>
    <row r="68">
      <c r="A68" s="4" t="n"/>
      <c r="B68" s="4" t="n"/>
      <c r="C68" s="4" t="n"/>
      <c r="D68" s="4" t="n"/>
      <c r="E68" s="4">
        <f>IFERROR(D68-C68,0)</f>
        <v/>
      </c>
      <c r="F68" s="9">
        <f>IFERROR(D68/C68,0)</f>
        <v/>
      </c>
      <c r="G68" s="4">
        <f>IF(E68="","",IF(E68&gt;0,"Hausse",IF(E68&lt;0,"Baisse","Stable")))</f>
        <v/>
      </c>
      <c r="H68" s="4" t="n"/>
      <c r="I68" s="4" t="n"/>
    </row>
    <row r="69">
      <c r="A69" s="5" t="n"/>
      <c r="B69" s="5" t="n"/>
      <c r="C69" s="5" t="n"/>
      <c r="D69" s="5" t="n"/>
      <c r="E69" s="5">
        <f>IFERROR(D69-C69,0)</f>
        <v/>
      </c>
      <c r="F69" s="10">
        <f>IFERROR(D69/C69,0)</f>
        <v/>
      </c>
      <c r="G69" s="5">
        <f>IF(E69="","",IF(E69&gt;0,"Hausse",IF(E69&lt;0,"Baisse","Stable")))</f>
        <v/>
      </c>
      <c r="H69" s="5" t="n"/>
      <c r="I69" s="5" t="n"/>
    </row>
    <row r="70">
      <c r="A70" s="4" t="n"/>
      <c r="B70" s="4" t="n"/>
      <c r="C70" s="4" t="n"/>
      <c r="D70" s="4" t="n"/>
      <c r="E70" s="4">
        <f>IFERROR(D70-C70,0)</f>
        <v/>
      </c>
      <c r="F70" s="9">
        <f>IFERROR(D70/C70,0)</f>
        <v/>
      </c>
      <c r="G70" s="4">
        <f>IF(E70="","",IF(E70&gt;0,"Hausse",IF(E70&lt;0,"Baisse","Stable")))</f>
        <v/>
      </c>
      <c r="H70" s="4" t="n"/>
      <c r="I70" s="4" t="n"/>
    </row>
    <row r="71">
      <c r="A71" s="5" t="n"/>
      <c r="B71" s="5" t="n"/>
      <c r="C71" s="5" t="n"/>
      <c r="D71" s="5" t="n"/>
      <c r="E71" s="5">
        <f>IFERROR(D71-C71,0)</f>
        <v/>
      </c>
      <c r="F71" s="10">
        <f>IFERROR(D71/C71,0)</f>
        <v/>
      </c>
      <c r="G71" s="5">
        <f>IF(E71="","",IF(E71&gt;0,"Hausse",IF(E71&lt;0,"Baisse","Stable")))</f>
        <v/>
      </c>
      <c r="H71" s="5" t="n"/>
      <c r="I71" s="5" t="n"/>
    </row>
    <row r="72">
      <c r="A72" s="4" t="n"/>
      <c r="B72" s="4" t="n"/>
      <c r="C72" s="4" t="n"/>
      <c r="D72" s="4" t="n"/>
      <c r="E72" s="4">
        <f>IFERROR(D72-C72,0)</f>
        <v/>
      </c>
      <c r="F72" s="9">
        <f>IFERROR(D72/C72,0)</f>
        <v/>
      </c>
      <c r="G72" s="4">
        <f>IF(E72="","",IF(E72&gt;0,"Hausse",IF(E72&lt;0,"Baisse","Stable")))</f>
        <v/>
      </c>
      <c r="H72" s="4" t="n"/>
      <c r="I72" s="4" t="n"/>
    </row>
    <row r="73">
      <c r="A73" s="5" t="n"/>
      <c r="B73" s="5" t="n"/>
      <c r="C73" s="5" t="n"/>
      <c r="D73" s="5" t="n"/>
      <c r="E73" s="5">
        <f>IFERROR(D73-C73,0)</f>
        <v/>
      </c>
      <c r="F73" s="10">
        <f>IFERROR(D73/C73,0)</f>
        <v/>
      </c>
      <c r="G73" s="5">
        <f>IF(E73="","",IF(E73&gt;0,"Hausse",IF(E73&lt;0,"Baisse","Stable")))</f>
        <v/>
      </c>
      <c r="H73" s="5" t="n"/>
      <c r="I73" s="5" t="n"/>
    </row>
    <row r="74">
      <c r="A74" s="4" t="n"/>
      <c r="B74" s="4" t="n"/>
      <c r="C74" s="4" t="n"/>
      <c r="D74" s="4" t="n"/>
      <c r="E74" s="4">
        <f>IFERROR(D74-C74,0)</f>
        <v/>
      </c>
      <c r="F74" s="9">
        <f>IFERROR(D74/C74,0)</f>
        <v/>
      </c>
      <c r="G74" s="4">
        <f>IF(E74="","",IF(E74&gt;0,"Hausse",IF(E74&lt;0,"Baisse","Stable")))</f>
        <v/>
      </c>
      <c r="H74" s="4" t="n"/>
      <c r="I74" s="4" t="n"/>
    </row>
    <row r="75">
      <c r="A75" s="5" t="n"/>
      <c r="B75" s="5" t="n"/>
      <c r="C75" s="5" t="n"/>
      <c r="D75" s="5" t="n"/>
      <c r="E75" s="5">
        <f>IFERROR(D75-C75,0)</f>
        <v/>
      </c>
      <c r="F75" s="10">
        <f>IFERROR(D75/C75,0)</f>
        <v/>
      </c>
      <c r="G75" s="5">
        <f>IF(E75="","",IF(E75&gt;0,"Hausse",IF(E75&lt;0,"Baisse","Stable")))</f>
        <v/>
      </c>
      <c r="H75" s="5" t="n"/>
      <c r="I75" s="5" t="n"/>
    </row>
    <row r="76">
      <c r="A76" s="4" t="n"/>
      <c r="B76" s="4" t="n"/>
      <c r="C76" s="4" t="n"/>
      <c r="D76" s="4" t="n"/>
      <c r="E76" s="4">
        <f>IFERROR(D76-C76,0)</f>
        <v/>
      </c>
      <c r="F76" s="9">
        <f>IFERROR(D76/C76,0)</f>
        <v/>
      </c>
      <c r="G76" s="4">
        <f>IF(E76="","",IF(E76&gt;0,"Hausse",IF(E76&lt;0,"Baisse","Stable")))</f>
        <v/>
      </c>
      <c r="H76" s="4" t="n"/>
      <c r="I76" s="4" t="n"/>
    </row>
    <row r="77">
      <c r="A77" s="5" t="n"/>
      <c r="B77" s="5" t="n"/>
      <c r="C77" s="5" t="n"/>
      <c r="D77" s="5" t="n"/>
      <c r="E77" s="5">
        <f>IFERROR(D77-C77,0)</f>
        <v/>
      </c>
      <c r="F77" s="10">
        <f>IFERROR(D77/C77,0)</f>
        <v/>
      </c>
      <c r="G77" s="5">
        <f>IF(E77="","",IF(E77&gt;0,"Hausse",IF(E77&lt;0,"Baisse","Stable")))</f>
        <v/>
      </c>
      <c r="H77" s="5" t="n"/>
      <c r="I77" s="5" t="n"/>
    </row>
    <row r="78">
      <c r="A78" s="4" t="n"/>
      <c r="B78" s="4" t="n"/>
      <c r="C78" s="4" t="n"/>
      <c r="D78" s="4" t="n"/>
      <c r="E78" s="4">
        <f>IFERROR(D78-C78,0)</f>
        <v/>
      </c>
      <c r="F78" s="9">
        <f>IFERROR(D78/C78,0)</f>
        <v/>
      </c>
      <c r="G78" s="4">
        <f>IF(E78="","",IF(E78&gt;0,"Hausse",IF(E78&lt;0,"Baisse","Stable")))</f>
        <v/>
      </c>
      <c r="H78" s="4" t="n"/>
      <c r="I78" s="4" t="n"/>
    </row>
    <row r="79">
      <c r="A79" s="5" t="n"/>
      <c r="B79" s="5" t="n"/>
      <c r="C79" s="5" t="n"/>
      <c r="D79" s="5" t="n"/>
      <c r="E79" s="5">
        <f>IFERROR(D79-C79,0)</f>
        <v/>
      </c>
      <c r="F79" s="10">
        <f>IFERROR(D79/C79,0)</f>
        <v/>
      </c>
      <c r="G79" s="5">
        <f>IF(E79="","",IF(E79&gt;0,"Hausse",IF(E79&lt;0,"Baisse","Stable")))</f>
        <v/>
      </c>
      <c r="H79" s="5" t="n"/>
      <c r="I79" s="5" t="n"/>
    </row>
    <row r="80">
      <c r="A80" s="4" t="n"/>
      <c r="B80" s="4" t="n"/>
      <c r="C80" s="4" t="n"/>
      <c r="D80" s="4" t="n"/>
      <c r="E80" s="4">
        <f>IFERROR(D80-C80,0)</f>
        <v/>
      </c>
      <c r="F80" s="9">
        <f>IFERROR(D80/C80,0)</f>
        <v/>
      </c>
      <c r="G80" s="4">
        <f>IF(E80="","",IF(E80&gt;0,"Hausse",IF(E80&lt;0,"Baisse","Stable")))</f>
        <v/>
      </c>
      <c r="H80" s="4" t="n"/>
      <c r="I80" s="4" t="n"/>
    </row>
    <row r="81">
      <c r="A81" s="5" t="n"/>
      <c r="B81" s="5" t="n"/>
      <c r="C81" s="5" t="n"/>
      <c r="D81" s="5" t="n"/>
      <c r="E81" s="5">
        <f>IFERROR(D81-C81,0)</f>
        <v/>
      </c>
      <c r="F81" s="10">
        <f>IFERROR(D81/C81,0)</f>
        <v/>
      </c>
      <c r="G81" s="5">
        <f>IF(E81="","",IF(E81&gt;0,"Hausse",IF(E81&lt;0,"Baisse","Stable")))</f>
        <v/>
      </c>
      <c r="H81" s="5" t="n"/>
      <c r="I81" s="5" t="n"/>
    </row>
    <row r="82">
      <c r="A82" s="4" t="n"/>
      <c r="B82" s="4" t="n"/>
      <c r="C82" s="4" t="n"/>
      <c r="D82" s="4" t="n"/>
      <c r="E82" s="4">
        <f>IFERROR(D82-C82,0)</f>
        <v/>
      </c>
      <c r="F82" s="9">
        <f>IFERROR(D82/C82,0)</f>
        <v/>
      </c>
      <c r="G82" s="4">
        <f>IF(E82="","",IF(E82&gt;0,"Hausse",IF(E82&lt;0,"Baisse","Stable")))</f>
        <v/>
      </c>
      <c r="H82" s="4" t="n"/>
      <c r="I82" s="4" t="n"/>
    </row>
    <row r="83">
      <c r="A83" s="5" t="n"/>
      <c r="B83" s="5" t="n"/>
      <c r="C83" s="5" t="n"/>
      <c r="D83" s="5" t="n"/>
      <c r="E83" s="5">
        <f>IFERROR(D83-C83,0)</f>
        <v/>
      </c>
      <c r="F83" s="10">
        <f>IFERROR(D83/C83,0)</f>
        <v/>
      </c>
      <c r="G83" s="5">
        <f>IF(E83="","",IF(E83&gt;0,"Hausse",IF(E83&lt;0,"Baisse","Stable")))</f>
        <v/>
      </c>
      <c r="H83" s="5" t="n"/>
      <c r="I83" s="5" t="n"/>
    </row>
    <row r="84">
      <c r="A84" s="4" t="n"/>
      <c r="B84" s="4" t="n"/>
      <c r="C84" s="4" t="n"/>
      <c r="D84" s="4" t="n"/>
      <c r="E84" s="4">
        <f>IFERROR(D84-C84,0)</f>
        <v/>
      </c>
      <c r="F84" s="9">
        <f>IFERROR(D84/C84,0)</f>
        <v/>
      </c>
      <c r="G84" s="4">
        <f>IF(E84="","",IF(E84&gt;0,"Hausse",IF(E84&lt;0,"Baisse","Stable")))</f>
        <v/>
      </c>
      <c r="H84" s="4" t="n"/>
      <c r="I84" s="4" t="n"/>
    </row>
    <row r="85">
      <c r="A85" s="5" t="n"/>
      <c r="B85" s="5" t="n"/>
      <c r="C85" s="5" t="n"/>
      <c r="D85" s="5" t="n"/>
      <c r="E85" s="5">
        <f>IFERROR(D85-C85,0)</f>
        <v/>
      </c>
      <c r="F85" s="10">
        <f>IFERROR(D85/C85,0)</f>
        <v/>
      </c>
      <c r="G85" s="5">
        <f>IF(E85="","",IF(E85&gt;0,"Hausse",IF(E85&lt;0,"Baisse","Stable")))</f>
        <v/>
      </c>
      <c r="H85" s="5" t="n"/>
      <c r="I85" s="5" t="n"/>
    </row>
    <row r="86">
      <c r="A86" s="4" t="n"/>
      <c r="B86" s="4" t="n"/>
      <c r="C86" s="4" t="n"/>
      <c r="D86" s="4" t="n"/>
      <c r="E86" s="4">
        <f>IFERROR(D86-C86,0)</f>
        <v/>
      </c>
      <c r="F86" s="9">
        <f>IFERROR(D86/C86,0)</f>
        <v/>
      </c>
      <c r="G86" s="4">
        <f>IF(E86="","",IF(E86&gt;0,"Hausse",IF(E86&lt;0,"Baisse","Stable")))</f>
        <v/>
      </c>
      <c r="H86" s="4" t="n"/>
      <c r="I86" s="4" t="n"/>
    </row>
    <row r="87">
      <c r="A87" s="5" t="n"/>
      <c r="B87" s="5" t="n"/>
      <c r="C87" s="5" t="n"/>
      <c r="D87" s="5" t="n"/>
      <c r="E87" s="5">
        <f>IFERROR(D87-C87,0)</f>
        <v/>
      </c>
      <c r="F87" s="10">
        <f>IFERROR(D87/C87,0)</f>
        <v/>
      </c>
      <c r="G87" s="5">
        <f>IF(E87="","",IF(E87&gt;0,"Hausse",IF(E87&lt;0,"Baisse","Stable")))</f>
        <v/>
      </c>
      <c r="H87" s="5" t="n"/>
      <c r="I87" s="5" t="n"/>
    </row>
    <row r="88">
      <c r="A88" s="4" t="n"/>
      <c r="B88" s="4" t="n"/>
      <c r="C88" s="4" t="n"/>
      <c r="D88" s="4" t="n"/>
      <c r="E88" s="4">
        <f>IFERROR(D88-C88,0)</f>
        <v/>
      </c>
      <c r="F88" s="9">
        <f>IFERROR(D88/C88,0)</f>
        <v/>
      </c>
      <c r="G88" s="4">
        <f>IF(E88="","",IF(E88&gt;0,"Hausse",IF(E88&lt;0,"Baisse","Stable")))</f>
        <v/>
      </c>
      <c r="H88" s="4" t="n"/>
      <c r="I88" s="4" t="n"/>
    </row>
    <row r="89">
      <c r="A89" s="5" t="n"/>
      <c r="B89" s="5" t="n"/>
      <c r="C89" s="5" t="n"/>
      <c r="D89" s="5" t="n"/>
      <c r="E89" s="5">
        <f>IFERROR(D89-C89,0)</f>
        <v/>
      </c>
      <c r="F89" s="10">
        <f>IFERROR(D89/C89,0)</f>
        <v/>
      </c>
      <c r="G89" s="5">
        <f>IF(E89="","",IF(E89&gt;0,"Hausse",IF(E89&lt;0,"Baisse","Stable")))</f>
        <v/>
      </c>
      <c r="H89" s="5" t="n"/>
      <c r="I89" s="5" t="n"/>
    </row>
    <row r="90">
      <c r="A90" s="4" t="n"/>
      <c r="B90" s="4" t="n"/>
      <c r="C90" s="4" t="n"/>
      <c r="D90" s="4" t="n"/>
      <c r="E90" s="4">
        <f>IFERROR(D90-C90,0)</f>
        <v/>
      </c>
      <c r="F90" s="9">
        <f>IFERROR(D90/C90,0)</f>
        <v/>
      </c>
      <c r="G90" s="4">
        <f>IF(E90="","",IF(E90&gt;0,"Hausse",IF(E90&lt;0,"Baisse","Stable")))</f>
        <v/>
      </c>
      <c r="H90" s="4" t="n"/>
      <c r="I90" s="4" t="n"/>
    </row>
    <row r="91">
      <c r="A91" s="5" t="n"/>
      <c r="B91" s="5" t="n"/>
      <c r="C91" s="5" t="n"/>
      <c r="D91" s="5" t="n"/>
      <c r="E91" s="5">
        <f>IFERROR(D91-C91,0)</f>
        <v/>
      </c>
      <c r="F91" s="10">
        <f>IFERROR(D91/C91,0)</f>
        <v/>
      </c>
      <c r="G91" s="5">
        <f>IF(E91="","",IF(E91&gt;0,"Hausse",IF(E91&lt;0,"Baisse","Stable")))</f>
        <v/>
      </c>
      <c r="H91" s="5" t="n"/>
      <c r="I91" s="5" t="n"/>
    </row>
    <row r="92">
      <c r="A92" s="4" t="n"/>
      <c r="B92" s="4" t="n"/>
      <c r="C92" s="4" t="n"/>
      <c r="D92" s="4" t="n"/>
      <c r="E92" s="4">
        <f>IFERROR(D92-C92,0)</f>
        <v/>
      </c>
      <c r="F92" s="9">
        <f>IFERROR(D92/C92,0)</f>
        <v/>
      </c>
      <c r="G92" s="4">
        <f>IF(E92="","",IF(E92&gt;0,"Hausse",IF(E92&lt;0,"Baisse","Stable")))</f>
        <v/>
      </c>
      <c r="H92" s="4" t="n"/>
      <c r="I92" s="4" t="n"/>
    </row>
    <row r="93">
      <c r="A93" s="5" t="n"/>
      <c r="B93" s="5" t="n"/>
      <c r="C93" s="5" t="n"/>
      <c r="D93" s="5" t="n"/>
      <c r="E93" s="5">
        <f>IFERROR(D93-C93,0)</f>
        <v/>
      </c>
      <c r="F93" s="10">
        <f>IFERROR(D93/C93,0)</f>
        <v/>
      </c>
      <c r="G93" s="5">
        <f>IF(E93="","",IF(E93&gt;0,"Hausse",IF(E93&lt;0,"Baisse","Stable")))</f>
        <v/>
      </c>
      <c r="H93" s="5" t="n"/>
      <c r="I93" s="5" t="n"/>
    </row>
    <row r="94">
      <c r="A94" s="4" t="n"/>
      <c r="B94" s="4" t="n"/>
      <c r="C94" s="4" t="n"/>
      <c r="D94" s="4" t="n"/>
      <c r="E94" s="4">
        <f>IFERROR(D94-C94,0)</f>
        <v/>
      </c>
      <c r="F94" s="9">
        <f>IFERROR(D94/C94,0)</f>
        <v/>
      </c>
      <c r="G94" s="4">
        <f>IF(E94="","",IF(E94&gt;0,"Hausse",IF(E94&lt;0,"Baisse","Stable")))</f>
        <v/>
      </c>
      <c r="H94" s="4" t="n"/>
      <c r="I94" s="4" t="n"/>
    </row>
    <row r="95">
      <c r="A95" s="5" t="n"/>
      <c r="B95" s="5" t="n"/>
      <c r="C95" s="5" t="n"/>
      <c r="D95" s="5" t="n"/>
      <c r="E95" s="5">
        <f>IFERROR(D95-C95,0)</f>
        <v/>
      </c>
      <c r="F95" s="10">
        <f>IFERROR(D95/C95,0)</f>
        <v/>
      </c>
      <c r="G95" s="5">
        <f>IF(E95="","",IF(E95&gt;0,"Hausse",IF(E95&lt;0,"Baisse","Stable")))</f>
        <v/>
      </c>
      <c r="H95" s="5" t="n"/>
      <c r="I95" s="5" t="n"/>
    </row>
    <row r="96">
      <c r="A96" s="4" t="n"/>
      <c r="B96" s="4" t="n"/>
      <c r="C96" s="4" t="n"/>
      <c r="D96" s="4" t="n"/>
      <c r="E96" s="4">
        <f>IFERROR(D96-C96,0)</f>
        <v/>
      </c>
      <c r="F96" s="9">
        <f>IFERROR(D96/C96,0)</f>
        <v/>
      </c>
      <c r="G96" s="4">
        <f>IF(E96="","",IF(E96&gt;0,"Hausse",IF(E96&lt;0,"Baisse","Stable")))</f>
        <v/>
      </c>
      <c r="H96" s="4" t="n"/>
      <c r="I96" s="4" t="n"/>
    </row>
    <row r="97">
      <c r="A97" s="5" t="n"/>
      <c r="B97" s="5" t="n"/>
      <c r="C97" s="5" t="n"/>
      <c r="D97" s="5" t="n"/>
      <c r="E97" s="5">
        <f>IFERROR(D97-C97,0)</f>
        <v/>
      </c>
      <c r="F97" s="10">
        <f>IFERROR(D97/C97,0)</f>
        <v/>
      </c>
      <c r="G97" s="5">
        <f>IF(E97="","",IF(E97&gt;0,"Hausse",IF(E97&lt;0,"Baisse","Stable")))</f>
        <v/>
      </c>
      <c r="H97" s="5" t="n"/>
      <c r="I97" s="5" t="n"/>
    </row>
    <row r="98">
      <c r="A98" s="4" t="n"/>
      <c r="B98" s="4" t="n"/>
      <c r="C98" s="4" t="n"/>
      <c r="D98" s="4" t="n"/>
      <c r="E98" s="4">
        <f>IFERROR(D98-C98,0)</f>
        <v/>
      </c>
      <c r="F98" s="9">
        <f>IFERROR(D98/C98,0)</f>
        <v/>
      </c>
      <c r="G98" s="4">
        <f>IF(E98="","",IF(E98&gt;0,"Hausse",IF(E98&lt;0,"Baisse","Stable")))</f>
        <v/>
      </c>
      <c r="H98" s="4" t="n"/>
      <c r="I98" s="4" t="n"/>
    </row>
    <row r="99">
      <c r="A99" s="5" t="n"/>
      <c r="B99" s="5" t="n"/>
      <c r="C99" s="5" t="n"/>
      <c r="D99" s="5" t="n"/>
      <c r="E99" s="5">
        <f>IFERROR(D99-C99,0)</f>
        <v/>
      </c>
      <c r="F99" s="10">
        <f>IFERROR(D99/C99,0)</f>
        <v/>
      </c>
      <c r="G99" s="5">
        <f>IF(E99="","",IF(E99&gt;0,"Hausse",IF(E99&lt;0,"Baisse","Stable")))</f>
        <v/>
      </c>
      <c r="H99" s="5" t="n"/>
      <c r="I99" s="5" t="n"/>
    </row>
    <row r="100">
      <c r="A100" s="4" t="n"/>
      <c r="B100" s="4" t="n"/>
      <c r="C100" s="4" t="n"/>
      <c r="D100" s="4" t="n"/>
      <c r="E100" s="4">
        <f>IFERROR(D100-C100,0)</f>
        <v/>
      </c>
      <c r="F100" s="9">
        <f>IFERROR(D100/C100,0)</f>
        <v/>
      </c>
      <c r="G100" s="4">
        <f>IF(E100="","",IF(E100&gt;0,"Hausse",IF(E100&lt;0,"Baisse","Stable")))</f>
        <v/>
      </c>
      <c r="H100" s="4" t="n"/>
      <c r="I100" s="4" t="n"/>
    </row>
    <row r="101">
      <c r="A101" s="5" t="n"/>
      <c r="B101" s="5" t="n"/>
      <c r="C101" s="5" t="n"/>
      <c r="D101" s="5" t="n"/>
      <c r="E101" s="5">
        <f>IFERROR(D101-C101,0)</f>
        <v/>
      </c>
      <c r="F101" s="10">
        <f>IFERROR(D101/C101,0)</f>
        <v/>
      </c>
      <c r="G101" s="5">
        <f>IF(E101="","",IF(E101&gt;0,"Hausse",IF(E101&lt;0,"Baisse","Stable")))</f>
        <v/>
      </c>
      <c r="H101" s="5" t="n"/>
      <c r="I101" s="5" t="n"/>
    </row>
    <row r="102">
      <c r="A102" s="4" t="n"/>
      <c r="B102" s="4" t="n"/>
      <c r="C102" s="4" t="n"/>
      <c r="D102" s="4" t="n"/>
      <c r="E102" s="4">
        <f>IFERROR(D102-C102,0)</f>
        <v/>
      </c>
      <c r="F102" s="9">
        <f>IFERROR(D102/C102,0)</f>
        <v/>
      </c>
      <c r="G102" s="4">
        <f>IF(E102="","",IF(E102&gt;0,"Hausse",IF(E102&lt;0,"Baisse","Stable")))</f>
        <v/>
      </c>
      <c r="H102" s="4" t="n"/>
      <c r="I102" s="4" t="n"/>
    </row>
    <row r="103">
      <c r="A103" s="5" t="n"/>
      <c r="B103" s="5" t="n"/>
      <c r="C103" s="5" t="n"/>
      <c r="D103" s="5" t="n"/>
      <c r="E103" s="5">
        <f>IFERROR(D103-C103,0)</f>
        <v/>
      </c>
      <c r="F103" s="10">
        <f>IFERROR(D103/C103,0)</f>
        <v/>
      </c>
      <c r="G103" s="5">
        <f>IF(E103="","",IF(E103&gt;0,"Hausse",IF(E103&lt;0,"Baisse","Stable")))</f>
        <v/>
      </c>
      <c r="H103" s="5" t="n"/>
      <c r="I103" s="5" t="n"/>
    </row>
    <row r="104">
      <c r="A104" s="4" t="n"/>
      <c r="B104" s="4" t="n"/>
      <c r="C104" s="4" t="n"/>
      <c r="D104" s="4" t="n"/>
      <c r="E104" s="4">
        <f>IFERROR(D104-C104,0)</f>
        <v/>
      </c>
      <c r="F104" s="9">
        <f>IFERROR(D104/C104,0)</f>
        <v/>
      </c>
      <c r="G104" s="4">
        <f>IF(E104="","",IF(E104&gt;0,"Hausse",IF(E104&lt;0,"Baisse","Stable")))</f>
        <v/>
      </c>
      <c r="H104" s="4" t="n"/>
      <c r="I104" s="4" t="n"/>
    </row>
    <row r="105">
      <c r="A105" s="5" t="n"/>
      <c r="B105" s="5" t="n"/>
      <c r="C105" s="5" t="n"/>
      <c r="D105" s="5" t="n"/>
      <c r="E105" s="5">
        <f>IFERROR(D105-C105,0)</f>
        <v/>
      </c>
      <c r="F105" s="10">
        <f>IFERROR(D105/C105,0)</f>
        <v/>
      </c>
      <c r="G105" s="5">
        <f>IF(E105="","",IF(E105&gt;0,"Hausse",IF(E105&lt;0,"Baisse","Stable")))</f>
        <v/>
      </c>
      <c r="H105" s="5" t="n"/>
      <c r="I105" s="5" t="n"/>
    </row>
    <row r="106">
      <c r="A106" s="4" t="n"/>
      <c r="B106" s="4" t="n"/>
      <c r="C106" s="4" t="n"/>
      <c r="D106" s="4" t="n"/>
      <c r="E106" s="4">
        <f>IFERROR(D106-C106,0)</f>
        <v/>
      </c>
      <c r="F106" s="9">
        <f>IFERROR(D106/C106,0)</f>
        <v/>
      </c>
      <c r="G106" s="4">
        <f>IF(E106="","",IF(E106&gt;0,"Hausse",IF(E106&lt;0,"Baisse","Stable")))</f>
        <v/>
      </c>
      <c r="H106" s="4" t="n"/>
      <c r="I106" s="4" t="n"/>
    </row>
    <row r="107">
      <c r="A107" s="5" t="n"/>
      <c r="B107" s="5" t="n"/>
      <c r="C107" s="5" t="n"/>
      <c r="D107" s="5" t="n"/>
      <c r="E107" s="5">
        <f>IFERROR(D107-C107,0)</f>
        <v/>
      </c>
      <c r="F107" s="10">
        <f>IFERROR(D107/C107,0)</f>
        <v/>
      </c>
      <c r="G107" s="5">
        <f>IF(E107="","",IF(E107&gt;0,"Hausse",IF(E107&lt;0,"Baisse","Stable")))</f>
        <v/>
      </c>
      <c r="H107" s="5" t="n"/>
      <c r="I107" s="5" t="n"/>
    </row>
    <row r="108">
      <c r="A108" s="4" t="n"/>
      <c r="B108" s="4" t="n"/>
      <c r="C108" s="4" t="n"/>
      <c r="D108" s="4" t="n"/>
      <c r="E108" s="4">
        <f>IFERROR(D108-C108,0)</f>
        <v/>
      </c>
      <c r="F108" s="9">
        <f>IFERROR(D108/C108,0)</f>
        <v/>
      </c>
      <c r="G108" s="4">
        <f>IF(E108="","",IF(E108&gt;0,"Hausse",IF(E108&lt;0,"Baisse","Stable")))</f>
        <v/>
      </c>
      <c r="H108" s="4" t="n"/>
      <c r="I108" s="4" t="n"/>
    </row>
    <row r="109">
      <c r="A109" s="5" t="n"/>
      <c r="B109" s="5" t="n"/>
      <c r="C109" s="5" t="n"/>
      <c r="D109" s="5" t="n"/>
      <c r="E109" s="5">
        <f>IFERROR(D109-C109,0)</f>
        <v/>
      </c>
      <c r="F109" s="10">
        <f>IFERROR(D109/C109,0)</f>
        <v/>
      </c>
      <c r="G109" s="5">
        <f>IF(E109="","",IF(E109&gt;0,"Hausse",IF(E109&lt;0,"Baisse","Stable")))</f>
        <v/>
      </c>
      <c r="H109" s="5" t="n"/>
      <c r="I109" s="5" t="n"/>
    </row>
    <row r="110">
      <c r="A110" s="4" t="n"/>
      <c r="B110" s="4" t="n"/>
      <c r="C110" s="4" t="n"/>
      <c r="D110" s="4" t="n"/>
      <c r="E110" s="4">
        <f>IFERROR(D110-C110,0)</f>
        <v/>
      </c>
      <c r="F110" s="9">
        <f>IFERROR(D110/C110,0)</f>
        <v/>
      </c>
      <c r="G110" s="4">
        <f>IF(E110="","",IF(E110&gt;0,"Hausse",IF(E110&lt;0,"Baisse","Stable")))</f>
        <v/>
      </c>
      <c r="H110" s="4" t="n"/>
      <c r="I110" s="4" t="n"/>
    </row>
    <row r="111">
      <c r="A111" s="5" t="n"/>
      <c r="B111" s="5" t="n"/>
      <c r="C111" s="5" t="n"/>
      <c r="D111" s="5" t="n"/>
      <c r="E111" s="5">
        <f>IFERROR(D111-C111,0)</f>
        <v/>
      </c>
      <c r="F111" s="10">
        <f>IFERROR(D111/C111,0)</f>
        <v/>
      </c>
      <c r="G111" s="5">
        <f>IF(E111="","",IF(E111&gt;0,"Hausse",IF(E111&lt;0,"Baisse","Stable")))</f>
        <v/>
      </c>
      <c r="H111" s="5" t="n"/>
      <c r="I111" s="5" t="n"/>
    </row>
    <row r="112">
      <c r="A112" s="4" t="n"/>
      <c r="B112" s="4" t="n"/>
      <c r="C112" s="4" t="n"/>
      <c r="D112" s="4" t="n"/>
      <c r="E112" s="4">
        <f>IFERROR(D112-C112,0)</f>
        <v/>
      </c>
      <c r="F112" s="9">
        <f>IFERROR(D112/C112,0)</f>
        <v/>
      </c>
      <c r="G112" s="4">
        <f>IF(E112="","",IF(E112&gt;0,"Hausse",IF(E112&lt;0,"Baisse","Stable")))</f>
        <v/>
      </c>
      <c r="H112" s="4" t="n"/>
      <c r="I112" s="4" t="n"/>
    </row>
    <row r="113">
      <c r="A113" s="5" t="n"/>
      <c r="B113" s="5" t="n"/>
      <c r="C113" s="5" t="n"/>
      <c r="D113" s="5" t="n"/>
      <c r="E113" s="5">
        <f>IFERROR(D113-C113,0)</f>
        <v/>
      </c>
      <c r="F113" s="10">
        <f>IFERROR(D113/C113,0)</f>
        <v/>
      </c>
      <c r="G113" s="5">
        <f>IF(E113="","",IF(E113&gt;0,"Hausse",IF(E113&lt;0,"Baisse","Stable")))</f>
        <v/>
      </c>
      <c r="H113" s="5" t="n"/>
      <c r="I113" s="5" t="n"/>
    </row>
    <row r="114">
      <c r="A114" s="4" t="n"/>
      <c r="B114" s="4" t="n"/>
      <c r="C114" s="4" t="n"/>
      <c r="D114" s="4" t="n"/>
      <c r="E114" s="4">
        <f>IFERROR(D114-C114,0)</f>
        <v/>
      </c>
      <c r="F114" s="9">
        <f>IFERROR(D114/C114,0)</f>
        <v/>
      </c>
      <c r="G114" s="4">
        <f>IF(E114="","",IF(E114&gt;0,"Hausse",IF(E114&lt;0,"Baisse","Stable")))</f>
        <v/>
      </c>
      <c r="H114" s="4" t="n"/>
      <c r="I114" s="4" t="n"/>
    </row>
    <row r="115">
      <c r="A115" s="5" t="n"/>
      <c r="B115" s="5" t="n"/>
      <c r="C115" s="5" t="n"/>
      <c r="D115" s="5" t="n"/>
      <c r="E115" s="5">
        <f>IFERROR(D115-C115,0)</f>
        <v/>
      </c>
      <c r="F115" s="10">
        <f>IFERROR(D115/C115,0)</f>
        <v/>
      </c>
      <c r="G115" s="5">
        <f>IF(E115="","",IF(E115&gt;0,"Hausse",IF(E115&lt;0,"Baisse","Stable")))</f>
        <v/>
      </c>
      <c r="H115" s="5" t="n"/>
      <c r="I115" s="5" t="n"/>
    </row>
  </sheetData>
  <mergeCells count="2">
    <mergeCell ref="A3:P3"/>
    <mergeCell ref="A2:P2"/>
  </mergeCells>
  <conditionalFormatting sqref="G6:G115">
    <cfRule type="cellIs" priority="1" operator="equal" dxfId="3">
      <formula>"Hausse"</formula>
    </cfRule>
    <cfRule type="cellIs" priority="2" operator="equal" dxfId="0">
      <formula>"Baisse"</formula>
    </cfRule>
    <cfRule type="cellIs" priority="3" operator="equal" dxfId="2">
      <formula>"Stable"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4A148C"/>
    <outlinePr summaryBelow="1" summaryRight="1"/>
    <pageSetUpPr/>
  </sheetPr>
  <dimension ref="A2:P11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22" customWidth="1" min="4" max="4"/>
    <col width="18" customWidth="1" min="5" max="5"/>
    <col width="16" customWidth="1" min="6" max="6"/>
    <col width="16" customWidth="1" min="7" max="7"/>
    <col width="28" customWidth="1" min="8" max="8"/>
    <col width="22" customWidth="1" min="9" max="9"/>
    <col width="16" customWidth="1" min="10" max="10"/>
    <col width="24" customWidth="1" min="11" max="11"/>
    <col width="14" customWidth="1" min="12" max="12"/>
    <col width="28" customWidth="1" min="13" max="13"/>
  </cols>
  <sheetData>
    <row r="2" ht="25" customHeight="1">
      <c r="A2" s="1" t="inlineStr">
        <is>
          <t>DOMAINE 28 — AUDIT DE CONFORMITÉ RÉGLEMENTAIRE</t>
        </is>
      </c>
    </row>
    <row r="3" ht="18" customHeight="1">
      <c r="A3" s="2" t="inlineStr">
        <is>
          <t>Vérification de la conformité des processus de mobilité et de gestion des carrières</t>
        </is>
      </c>
    </row>
    <row r="5">
      <c r="A5" s="3" t="inlineStr">
        <is>
          <t>N° Exigence</t>
        </is>
      </c>
      <c r="B5" s="3" t="inlineStr">
        <is>
          <t>Article / Référence</t>
        </is>
      </c>
      <c r="C5" s="3" t="inlineStr">
        <is>
          <t>Description Exigence</t>
        </is>
      </c>
      <c r="D5" s="3" t="inlineStr">
        <is>
          <t>Conformité</t>
        </is>
      </c>
      <c r="E5" s="3" t="inlineStr">
        <is>
          <t>Preuve</t>
        </is>
      </c>
      <c r="F5" s="3" t="inlineStr">
        <is>
          <t>Date Vérification</t>
        </is>
      </c>
      <c r="G5" s="3" t="inlineStr">
        <is>
          <t>Auditeur</t>
        </is>
      </c>
      <c r="H5" s="3" t="inlineStr">
        <is>
          <t>Non-Conformité</t>
        </is>
      </c>
      <c r="I5" s="3" t="inlineStr">
        <is>
          <t>Action Corrective</t>
        </is>
      </c>
      <c r="J5" s="3" t="inlineStr">
        <is>
          <t>Délai Correction</t>
        </is>
      </c>
      <c r="K5" s="3" t="inlineStr">
        <is>
          <t>Penalité Potentielle (FCFA)</t>
        </is>
      </c>
      <c r="L5" s="3" t="inlineStr">
        <is>
          <t>Statut</t>
        </is>
      </c>
      <c r="M5" s="3" t="inlineStr">
        <is>
          <t>Observations</t>
        </is>
      </c>
    </row>
    <row r="6">
      <c r="A6" s="4" t="inlineStr">
        <is>
          <t>AUD-001</t>
        </is>
      </c>
      <c r="B6" s="4" t="inlineStr">
        <is>
          <t>Art. L1221-1 CT</t>
        </is>
      </c>
      <c r="C6" s="4" t="inlineStr">
        <is>
          <t>Contrat de mobilité écrit obligatoire</t>
        </is>
      </c>
      <c r="D6" s="4" t="inlineStr">
        <is>
          <t>Conforme</t>
        </is>
      </c>
      <c r="E6" s="4" t="inlineStr">
        <is>
          <t>Contrats archivés</t>
        </is>
      </c>
      <c r="F6" s="4" t="inlineStr">
        <is>
          <t>2025-01-15</t>
        </is>
      </c>
      <c r="G6" s="4" t="inlineStr">
        <is>
          <t>Mme. Mbarga</t>
        </is>
      </c>
      <c r="H6" s="4" t="inlineStr"/>
      <c r="I6" s="4" t="inlineStr"/>
      <c r="J6" s="4" t="inlineStr"/>
      <c r="K6" s="13" t="n">
        <v>0</v>
      </c>
      <c r="L6" s="4" t="inlineStr">
        <is>
          <t>Conforme</t>
        </is>
      </c>
      <c r="M6" s="4" t="inlineStr">
        <is>
          <t>Tous contrats à jour</t>
        </is>
      </c>
    </row>
    <row r="7">
      <c r="A7" s="5" t="inlineStr">
        <is>
          <t>AUD-002</t>
        </is>
      </c>
      <c r="B7" s="5" t="inlineStr">
        <is>
          <t>Art. L6312-1 CT</t>
        </is>
      </c>
      <c r="C7" s="5" t="inlineStr">
        <is>
          <t>Plan de formation annuel formalisé</t>
        </is>
      </c>
      <c r="D7" s="5" t="inlineStr">
        <is>
          <t>Conforme</t>
        </is>
      </c>
      <c r="E7" s="5" t="inlineStr">
        <is>
          <t>Plan 2025 approuvé</t>
        </is>
      </c>
      <c r="F7" s="5" t="inlineStr">
        <is>
          <t>2025-02-01</t>
        </is>
      </c>
      <c r="G7" s="5" t="inlineStr">
        <is>
          <t>M. Eyenga</t>
        </is>
      </c>
      <c r="H7" s="5" t="inlineStr"/>
      <c r="I7" s="5" t="inlineStr"/>
      <c r="J7" s="5" t="inlineStr"/>
      <c r="K7" s="15" t="n">
        <v>0</v>
      </c>
      <c r="L7" s="5" t="inlineStr">
        <is>
          <t>Conforme</t>
        </is>
      </c>
      <c r="M7" s="5" t="inlineStr">
        <is>
          <t>Budget validé par DG</t>
        </is>
      </c>
    </row>
    <row r="8">
      <c r="A8" s="4" t="inlineStr">
        <is>
          <t>AUD-003</t>
        </is>
      </c>
      <c r="B8" s="4" t="inlineStr">
        <is>
          <t>Art. L1225-1 CT</t>
        </is>
      </c>
      <c r="C8" s="4" t="inlineStr">
        <is>
          <t>Égalité chances promotion</t>
        </is>
      </c>
      <c r="D8" s="4" t="inlineStr">
        <is>
          <t>Partiellement conforme</t>
        </is>
      </c>
      <c r="E8" s="4" t="inlineStr">
        <is>
          <t>Rapport parité</t>
        </is>
      </c>
      <c r="F8" s="4" t="inlineStr">
        <is>
          <t>2025-03-01</t>
        </is>
      </c>
      <c r="G8" s="4" t="inlineStr">
        <is>
          <t>Mme. Essomba</t>
        </is>
      </c>
      <c r="H8" s="4" t="inlineStr">
        <is>
          <t>Sous-représentation femmes cadres</t>
        </is>
      </c>
      <c r="I8" s="4" t="inlineStr">
        <is>
          <t>Plan parité Q3</t>
        </is>
      </c>
      <c r="J8" s="4" t="inlineStr">
        <is>
          <t>2025-09-30</t>
        </is>
      </c>
      <c r="K8" s="13" t="n">
        <v>500000</v>
      </c>
      <c r="L8" s="4" t="inlineStr">
        <is>
          <t>En cours</t>
        </is>
      </c>
      <c r="M8" s="4" t="inlineStr">
        <is>
          <t>Action en cours</t>
        </is>
      </c>
    </row>
    <row r="9">
      <c r="A9" s="5" t="inlineStr">
        <is>
          <t>AUD-004</t>
        </is>
      </c>
      <c r="B9" s="5" t="inlineStr">
        <is>
          <t>Art. L3121-1 CT</t>
        </is>
      </c>
      <c r="C9" s="5" t="inlineStr">
        <is>
          <t>Durée légale respectée postes mutés</t>
        </is>
      </c>
      <c r="D9" s="5" t="inlineStr">
        <is>
          <t>Conforme</t>
        </is>
      </c>
      <c r="E9" s="5" t="inlineStr">
        <is>
          <t>Pointages RH</t>
        </is>
      </c>
      <c r="F9" s="5" t="inlineStr">
        <is>
          <t>2025-01-20</t>
        </is>
      </c>
      <c r="G9" s="5" t="inlineStr">
        <is>
          <t>Mme. Essomba</t>
        </is>
      </c>
      <c r="H9" s="5" t="inlineStr"/>
      <c r="I9" s="5" t="inlineStr"/>
      <c r="J9" s="5" t="inlineStr"/>
      <c r="K9" s="15" t="n">
        <v>0</v>
      </c>
      <c r="L9" s="5" t="inlineStr">
        <is>
          <t>Conforme</t>
        </is>
      </c>
      <c r="M9" s="5" t="inlineStr">
        <is>
          <t>Pointage systématique</t>
        </is>
      </c>
    </row>
    <row r="10">
      <c r="A10" s="4" t="inlineStr">
        <is>
          <t>AUD-005</t>
        </is>
      </c>
      <c r="B10" s="4" t="inlineStr">
        <is>
          <t>Code Travail CH. VI</t>
        </is>
      </c>
      <c r="C10" s="4" t="inlineStr">
        <is>
          <t>Entretiens annuels obligatoires</t>
        </is>
      </c>
      <c r="D10" s="4" t="inlineStr">
        <is>
          <t>Conforme</t>
        </is>
      </c>
      <c r="E10" s="4" t="inlineStr">
        <is>
          <t>PV entretiens 2025</t>
        </is>
      </c>
      <c r="F10" s="4" t="inlineStr">
        <is>
          <t>2025-04-01</t>
        </is>
      </c>
      <c r="G10" s="4" t="inlineStr">
        <is>
          <t>DRH</t>
        </is>
      </c>
      <c r="H10" s="4" t="inlineStr"/>
      <c r="I10" s="4" t="inlineStr"/>
      <c r="J10" s="4" t="inlineStr"/>
      <c r="K10" s="13" t="n">
        <v>0</v>
      </c>
      <c r="L10" s="4" t="inlineStr">
        <is>
          <t>Conforme</t>
        </is>
      </c>
      <c r="M10" s="4" t="inlineStr">
        <is>
          <t>100% des entretiens réalisés</t>
        </is>
      </c>
    </row>
    <row r="11">
      <c r="A11" s="5" t="inlineStr">
        <is>
          <t>AUD-006</t>
        </is>
      </c>
      <c r="B11" s="5" t="inlineStr">
        <is>
          <t>Convention Collective</t>
        </is>
      </c>
      <c r="C11" s="5" t="inlineStr">
        <is>
          <t>Procédure promotion respectée</t>
        </is>
      </c>
      <c r="D11" s="5" t="inlineStr">
        <is>
          <t>Partiellement conforme</t>
        </is>
      </c>
      <c r="E11" s="5" t="inlineStr">
        <is>
          <t>PV CSE</t>
        </is>
      </c>
      <c r="F11" s="5" t="inlineStr">
        <is>
          <t>2025-03-15</t>
        </is>
      </c>
      <c r="G11" s="5" t="inlineStr">
        <is>
          <t>M. Eyenga</t>
        </is>
      </c>
      <c r="H11" s="5" t="inlineStr">
        <is>
          <t>Critères non formalisés</t>
        </is>
      </c>
      <c r="I11" s="5" t="inlineStr">
        <is>
          <t>Grille critères Q2</t>
        </is>
      </c>
      <c r="J11" s="5" t="inlineStr">
        <is>
          <t>2025-06-30</t>
        </is>
      </c>
      <c r="K11" s="15" t="n">
        <v>300000</v>
      </c>
      <c r="L11" s="5" t="inlineStr">
        <is>
          <t>En cours</t>
        </is>
      </c>
      <c r="M11" s="5" t="inlineStr">
        <is>
          <t>Grille en élaboration</t>
        </is>
      </c>
    </row>
    <row r="12">
      <c r="A12" s="4" t="inlineStr">
        <is>
          <t>AUD-007</t>
        </is>
      </c>
      <c r="B12" s="4" t="inlineStr">
        <is>
          <t>Art. L1222-1 CT</t>
        </is>
      </c>
      <c r="C12" s="4" t="inlineStr">
        <is>
          <t>Information préalable mutation</t>
        </is>
      </c>
      <c r="D12" s="4" t="inlineStr">
        <is>
          <t>Non conforme</t>
        </is>
      </c>
      <c r="E12" s="4" t="inlineStr">
        <is>
          <t>Enquête</t>
        </is>
      </c>
      <c r="F12" s="4" t="inlineStr">
        <is>
          <t>2025-04-15</t>
        </is>
      </c>
      <c r="G12" s="4" t="inlineStr">
        <is>
          <t>DRH</t>
        </is>
      </c>
      <c r="H12" s="4" t="inlineStr">
        <is>
          <t>2 cas sans information</t>
        </is>
      </c>
      <c r="I12" s="4" t="inlineStr">
        <is>
          <t>Circulaire interne</t>
        </is>
      </c>
      <c r="J12" s="4" t="inlineStr">
        <is>
          <t>2025-05-31</t>
        </is>
      </c>
      <c r="K12" s="13" t="n">
        <v>1000000</v>
      </c>
      <c r="L12" s="4" t="inlineStr">
        <is>
          <t>Non conforme</t>
        </is>
      </c>
      <c r="M12" s="4" t="inlineStr">
        <is>
          <t>Urgence communication</t>
        </is>
      </c>
    </row>
    <row r="13">
      <c r="A13" s="5">
        <f>IF(A12="","",A12)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5" t="n"/>
      <c r="L13" s="5" t="n"/>
      <c r="M13" s="5" t="n"/>
    </row>
    <row r="14">
      <c r="A14" s="4">
        <f>IF(A13="","",A13)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13" t="n"/>
      <c r="L14" s="4" t="n"/>
      <c r="M14" s="4" t="n"/>
    </row>
    <row r="15">
      <c r="A15" s="5">
        <f>IF(A14="","",A14)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5" t="n"/>
      <c r="L15" s="5" t="n"/>
      <c r="M15" s="5" t="n"/>
    </row>
    <row r="16">
      <c r="A16" s="4">
        <f>IF(A15="","",A15)</f>
        <v/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13" t="n"/>
      <c r="L16" s="4" t="n"/>
      <c r="M16" s="4" t="n"/>
    </row>
    <row r="17">
      <c r="A17" s="5">
        <f>IF(A16="","",A16)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5" t="n"/>
      <c r="L17" s="5" t="n"/>
      <c r="M17" s="5" t="n"/>
    </row>
    <row r="18">
      <c r="A18" s="4">
        <f>IF(A17="","",A17)</f>
        <v/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13" t="n"/>
      <c r="L18" s="4" t="n"/>
      <c r="M18" s="4" t="n"/>
    </row>
    <row r="19">
      <c r="A19" s="5">
        <f>IF(A18="","",A18)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5" t="n"/>
      <c r="L19" s="5" t="n"/>
      <c r="M19" s="5" t="n"/>
    </row>
    <row r="20">
      <c r="A20" s="4">
        <f>IF(A19="","",A19)</f>
        <v/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13" t="n"/>
      <c r="L20" s="4" t="n"/>
      <c r="M20" s="4" t="n"/>
    </row>
    <row r="21">
      <c r="A21" s="5">
        <f>IF(A20="","",A20)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5" t="n"/>
      <c r="L21" s="5" t="n"/>
      <c r="M21" s="5" t="n"/>
    </row>
    <row r="22">
      <c r="A22" s="4">
        <f>IF(A21="","",A21)</f>
        <v/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13" t="n"/>
      <c r="L22" s="4" t="n"/>
      <c r="M22" s="4" t="n"/>
    </row>
    <row r="23">
      <c r="A23" s="5">
        <f>IF(A22="","",A22)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5" t="n"/>
      <c r="L23" s="5" t="n"/>
      <c r="M23" s="5" t="n"/>
    </row>
    <row r="24">
      <c r="A24" s="4">
        <f>IF(A23="","",A23)</f>
        <v/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13" t="n"/>
      <c r="L24" s="4" t="n"/>
      <c r="M24" s="4" t="n"/>
    </row>
    <row r="25">
      <c r="A25" s="5">
        <f>IF(A24="","",A24)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5" t="n"/>
      <c r="L25" s="5" t="n"/>
      <c r="M25" s="5" t="n"/>
    </row>
    <row r="26">
      <c r="A26" s="4">
        <f>IF(A25="","",A25)</f>
        <v/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13" t="n"/>
      <c r="L26" s="4" t="n"/>
      <c r="M26" s="4" t="n"/>
    </row>
    <row r="27">
      <c r="A27" s="5">
        <f>IF(A26="","",A26)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5" t="n"/>
      <c r="L27" s="5" t="n"/>
      <c r="M27" s="5" t="n"/>
    </row>
    <row r="28">
      <c r="A28" s="4">
        <f>IF(A27="","",A27)</f>
        <v/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13" t="n"/>
      <c r="L28" s="4" t="n"/>
      <c r="M28" s="4" t="n"/>
    </row>
    <row r="29">
      <c r="A29" s="5">
        <f>IF(A28="","",A28)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5" t="n"/>
      <c r="L29" s="5" t="n"/>
      <c r="M29" s="5" t="n"/>
    </row>
    <row r="30">
      <c r="A30" s="4">
        <f>IF(A29="","",A29)</f>
        <v/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13" t="n"/>
      <c r="L30" s="4" t="n"/>
      <c r="M30" s="4" t="n"/>
    </row>
    <row r="31">
      <c r="A31" s="5">
        <f>IF(A30="","",A30)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5" t="n"/>
      <c r="L31" s="5" t="n"/>
      <c r="M31" s="5" t="n"/>
    </row>
    <row r="32">
      <c r="A32" s="4">
        <f>IF(A31="","",A31)</f>
        <v/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13" t="n"/>
      <c r="L32" s="4" t="n"/>
      <c r="M32" s="4" t="n"/>
    </row>
    <row r="33">
      <c r="A33" s="5">
        <f>IF(A32="","",A32)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5" t="n"/>
      <c r="L33" s="5" t="n"/>
      <c r="M33" s="5" t="n"/>
    </row>
    <row r="34">
      <c r="A34" s="4">
        <f>IF(A33="","",A33)</f>
        <v/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13" t="n"/>
      <c r="L34" s="4" t="n"/>
      <c r="M34" s="4" t="n"/>
    </row>
    <row r="35">
      <c r="A35" s="5">
        <f>IF(A34="","",A34)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5" t="n"/>
      <c r="L35" s="5" t="n"/>
      <c r="M35" s="5" t="n"/>
    </row>
    <row r="36">
      <c r="A36" s="4">
        <f>IF(A35="","",A35)</f>
        <v/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13" t="n"/>
      <c r="L36" s="4" t="n"/>
      <c r="M36" s="4" t="n"/>
    </row>
    <row r="37">
      <c r="A37" s="5">
        <f>IF(A36="","",A36)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5" t="n"/>
      <c r="L37" s="5" t="n"/>
      <c r="M37" s="5" t="n"/>
    </row>
    <row r="38">
      <c r="A38" s="4">
        <f>IF(A37="","",A37)</f>
        <v/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13" t="n"/>
      <c r="L38" s="4" t="n"/>
      <c r="M38" s="4" t="n"/>
    </row>
    <row r="39">
      <c r="A39" s="5">
        <f>IF(A38="","",A38)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5" t="n"/>
      <c r="L39" s="5" t="n"/>
      <c r="M39" s="5" t="n"/>
    </row>
    <row r="40">
      <c r="A40" s="4">
        <f>IF(A39="","",A39)</f>
        <v/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13" t="n"/>
      <c r="L40" s="4" t="n"/>
      <c r="M40" s="4" t="n"/>
    </row>
    <row r="41">
      <c r="A41" s="5">
        <f>IF(A40="","",A40)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5" t="n"/>
      <c r="L41" s="5" t="n"/>
      <c r="M41" s="5" t="n"/>
    </row>
    <row r="42">
      <c r="A42" s="4">
        <f>IF(A41="","",A41)</f>
        <v/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13" t="n"/>
      <c r="L42" s="4" t="n"/>
      <c r="M42" s="4" t="n"/>
    </row>
    <row r="43">
      <c r="A43" s="5">
        <f>IF(A42="","",A42)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5" t="n"/>
      <c r="L43" s="5" t="n"/>
      <c r="M43" s="5" t="n"/>
    </row>
    <row r="44">
      <c r="A44" s="4">
        <f>IF(A43="","",A43)</f>
        <v/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13" t="n"/>
      <c r="L44" s="4" t="n"/>
      <c r="M44" s="4" t="n"/>
    </row>
    <row r="45">
      <c r="A45" s="5">
        <f>IF(A44="","",A44)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5" t="n"/>
      <c r="L45" s="5" t="n"/>
      <c r="M45" s="5" t="n"/>
    </row>
    <row r="46">
      <c r="A46" s="4">
        <f>IF(A45="","",A45)</f>
        <v/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13" t="n"/>
      <c r="L46" s="4" t="n"/>
      <c r="M46" s="4" t="n"/>
    </row>
    <row r="47">
      <c r="A47" s="5">
        <f>IF(A46="","",A46)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5" t="n"/>
      <c r="L47" s="5" t="n"/>
      <c r="M47" s="5" t="n"/>
    </row>
    <row r="48">
      <c r="A48" s="4">
        <f>IF(A47="","",A47)</f>
        <v/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13" t="n"/>
      <c r="L48" s="4" t="n"/>
      <c r="M48" s="4" t="n"/>
    </row>
    <row r="49">
      <c r="A49" s="5">
        <f>IF(A48="","",A48)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5" t="n"/>
      <c r="L49" s="5" t="n"/>
      <c r="M49" s="5" t="n"/>
    </row>
    <row r="50">
      <c r="A50" s="4">
        <f>IF(A49="","",A49)</f>
        <v/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13" t="n"/>
      <c r="L50" s="4" t="n"/>
      <c r="M50" s="4" t="n"/>
    </row>
    <row r="51">
      <c r="A51" s="5">
        <f>IF(A50="","",A50)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5" t="n"/>
      <c r="L51" s="5" t="n"/>
      <c r="M51" s="5" t="n"/>
    </row>
    <row r="52">
      <c r="A52" s="4">
        <f>IF(A51="","",A51)</f>
        <v/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13" t="n"/>
      <c r="L52" s="4" t="n"/>
      <c r="M52" s="4" t="n"/>
    </row>
    <row r="53">
      <c r="A53" s="5">
        <f>IF(A52="","",A52)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5" t="n"/>
      <c r="L53" s="5" t="n"/>
      <c r="M53" s="5" t="n"/>
    </row>
    <row r="54">
      <c r="A54" s="4">
        <f>IF(A53="","",A53)</f>
        <v/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13" t="n"/>
      <c r="L54" s="4" t="n"/>
      <c r="M54" s="4" t="n"/>
    </row>
    <row r="55">
      <c r="A55" s="5">
        <f>IF(A54="","",A54)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5" t="n"/>
      <c r="L55" s="5" t="n"/>
      <c r="M55" s="5" t="n"/>
    </row>
    <row r="56">
      <c r="A56" s="4">
        <f>IF(A55="","",A55)</f>
        <v/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13" t="n"/>
      <c r="L56" s="4" t="n"/>
      <c r="M56" s="4" t="n"/>
    </row>
    <row r="57">
      <c r="A57" s="5">
        <f>IF(A56="","",A56)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5" t="n"/>
      <c r="L57" s="5" t="n"/>
      <c r="M57" s="5" t="n"/>
    </row>
    <row r="58">
      <c r="A58" s="4">
        <f>IF(A57="","",A57)</f>
        <v/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13" t="n"/>
      <c r="L58" s="4" t="n"/>
      <c r="M58" s="4" t="n"/>
    </row>
    <row r="59">
      <c r="A59" s="5">
        <f>IF(A58="","",A58)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5" t="n"/>
      <c r="L59" s="5" t="n"/>
      <c r="M59" s="5" t="n"/>
    </row>
    <row r="60">
      <c r="A60" s="4">
        <f>IF(A59="","",A59)</f>
        <v/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13" t="n"/>
      <c r="L60" s="4" t="n"/>
      <c r="M60" s="4" t="n"/>
    </row>
    <row r="61">
      <c r="A61" s="5">
        <f>IF(A60="","",A60)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5" t="n"/>
      <c r="L61" s="5" t="n"/>
      <c r="M61" s="5" t="n"/>
    </row>
    <row r="62">
      <c r="A62" s="4">
        <f>IF(A61="","",A61)</f>
        <v/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13" t="n"/>
      <c r="L62" s="4" t="n"/>
      <c r="M62" s="4" t="n"/>
    </row>
    <row r="63">
      <c r="A63" s="5">
        <f>IF(A62="","",A62)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5" t="n"/>
      <c r="L63" s="5" t="n"/>
      <c r="M63" s="5" t="n"/>
    </row>
    <row r="64">
      <c r="A64" s="4">
        <f>IF(A63="","",A63)</f>
        <v/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13" t="n"/>
      <c r="L64" s="4" t="n"/>
      <c r="M64" s="4" t="n"/>
    </row>
    <row r="65">
      <c r="A65" s="5">
        <f>IF(A64="","",A64)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5" t="n"/>
      <c r="L65" s="5" t="n"/>
      <c r="M65" s="5" t="n"/>
    </row>
    <row r="66">
      <c r="A66" s="4">
        <f>IF(A65="","",A65)</f>
        <v/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13" t="n"/>
      <c r="L66" s="4" t="n"/>
      <c r="M66" s="4" t="n"/>
    </row>
    <row r="67">
      <c r="A67" s="5">
        <f>IF(A66="","",A66)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5" t="n"/>
      <c r="L67" s="5" t="n"/>
      <c r="M67" s="5" t="n"/>
    </row>
    <row r="68">
      <c r="A68" s="4">
        <f>IF(A67="","",A67)</f>
        <v/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13" t="n"/>
      <c r="L68" s="4" t="n"/>
      <c r="M68" s="4" t="n"/>
    </row>
    <row r="69">
      <c r="A69" s="5">
        <f>IF(A68="","",A68)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5" t="n"/>
      <c r="L69" s="5" t="n"/>
      <c r="M69" s="5" t="n"/>
    </row>
    <row r="70">
      <c r="A70" s="4">
        <f>IF(A69="","",A69)</f>
        <v/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13" t="n"/>
      <c r="L70" s="4" t="n"/>
      <c r="M70" s="4" t="n"/>
    </row>
    <row r="71">
      <c r="A71" s="5">
        <f>IF(A70="","",A70)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5" t="n"/>
      <c r="L71" s="5" t="n"/>
      <c r="M71" s="5" t="n"/>
    </row>
    <row r="72">
      <c r="A72" s="4">
        <f>IF(A71="","",A71)</f>
        <v/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13" t="n"/>
      <c r="L72" s="4" t="n"/>
      <c r="M72" s="4" t="n"/>
    </row>
    <row r="73">
      <c r="A73" s="5">
        <f>IF(A72="","",A72)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5" t="n"/>
      <c r="L73" s="5" t="n"/>
      <c r="M73" s="5" t="n"/>
    </row>
    <row r="74">
      <c r="A74" s="4">
        <f>IF(A73="","",A73)</f>
        <v/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13" t="n"/>
      <c r="L74" s="4" t="n"/>
      <c r="M74" s="4" t="n"/>
    </row>
    <row r="75">
      <c r="A75" s="5">
        <f>IF(A74="","",A74)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5" t="n"/>
      <c r="L75" s="5" t="n"/>
      <c r="M75" s="5" t="n"/>
    </row>
    <row r="76">
      <c r="A76" s="4">
        <f>IF(A75="","",A75)</f>
        <v/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13" t="n"/>
      <c r="L76" s="4" t="n"/>
      <c r="M76" s="4" t="n"/>
    </row>
    <row r="77">
      <c r="A77" s="5">
        <f>IF(A76="","",A76)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5" t="n"/>
      <c r="L77" s="5" t="n"/>
      <c r="M77" s="5" t="n"/>
    </row>
    <row r="78">
      <c r="A78" s="4">
        <f>IF(A77="","",A77)</f>
        <v/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13" t="n"/>
      <c r="L78" s="4" t="n"/>
      <c r="M78" s="4" t="n"/>
    </row>
    <row r="79">
      <c r="A79" s="5">
        <f>IF(A78="","",A78)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5" t="n"/>
      <c r="L79" s="5" t="n"/>
      <c r="M79" s="5" t="n"/>
    </row>
    <row r="80">
      <c r="A80" s="4">
        <f>IF(A79="","",A79)</f>
        <v/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13" t="n"/>
      <c r="L80" s="4" t="n"/>
      <c r="M80" s="4" t="n"/>
    </row>
    <row r="81">
      <c r="A81" s="5">
        <f>IF(A80="","",A80)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5" t="n"/>
      <c r="L81" s="5" t="n"/>
      <c r="M81" s="5" t="n"/>
    </row>
    <row r="82">
      <c r="A82" s="4">
        <f>IF(A81="","",A81)</f>
        <v/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13" t="n"/>
      <c r="L82" s="4" t="n"/>
      <c r="M82" s="4" t="n"/>
    </row>
    <row r="83">
      <c r="A83" s="5">
        <f>IF(A82="","",A82)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5" t="n"/>
      <c r="L83" s="5" t="n"/>
      <c r="M83" s="5" t="n"/>
    </row>
    <row r="84">
      <c r="A84" s="4">
        <f>IF(A83="","",A83)</f>
        <v/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13" t="n"/>
      <c r="L84" s="4" t="n"/>
      <c r="M84" s="4" t="n"/>
    </row>
    <row r="85">
      <c r="A85" s="5">
        <f>IF(A84="","",A84)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5" t="n"/>
      <c r="L85" s="5" t="n"/>
      <c r="M85" s="5" t="n"/>
    </row>
    <row r="86">
      <c r="A86" s="4">
        <f>IF(A85="","",A85)</f>
        <v/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13" t="n"/>
      <c r="L86" s="4" t="n"/>
      <c r="M86" s="4" t="n"/>
    </row>
    <row r="87">
      <c r="A87" s="5">
        <f>IF(A86="","",A86)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5" t="n"/>
      <c r="L87" s="5" t="n"/>
      <c r="M87" s="5" t="n"/>
    </row>
    <row r="88">
      <c r="A88" s="4">
        <f>IF(A87="","",A87)</f>
        <v/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13" t="n"/>
      <c r="L88" s="4" t="n"/>
      <c r="M88" s="4" t="n"/>
    </row>
    <row r="89">
      <c r="A89" s="5">
        <f>IF(A88="","",A88)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5" t="n"/>
      <c r="L89" s="5" t="n"/>
      <c r="M89" s="5" t="n"/>
    </row>
    <row r="90">
      <c r="A90" s="4">
        <f>IF(A89="","",A89)</f>
        <v/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13" t="n"/>
      <c r="L90" s="4" t="n"/>
      <c r="M90" s="4" t="n"/>
    </row>
    <row r="91">
      <c r="A91" s="5">
        <f>IF(A90="","",A90)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5" t="n"/>
      <c r="L91" s="5" t="n"/>
      <c r="M91" s="5" t="n"/>
    </row>
    <row r="92">
      <c r="A92" s="4">
        <f>IF(A91="","",A91)</f>
        <v/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13" t="n"/>
      <c r="L92" s="4" t="n"/>
      <c r="M92" s="4" t="n"/>
    </row>
    <row r="93">
      <c r="A93" s="5">
        <f>IF(A92="","",A92)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5" t="n"/>
      <c r="L93" s="5" t="n"/>
      <c r="M93" s="5" t="n"/>
    </row>
    <row r="94">
      <c r="A94" s="4">
        <f>IF(A93="","",A93)</f>
        <v/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13" t="n"/>
      <c r="L94" s="4" t="n"/>
      <c r="M94" s="4" t="n"/>
    </row>
    <row r="95">
      <c r="A95" s="5">
        <f>IF(A94="","",A94)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5" t="n"/>
      <c r="L95" s="5" t="n"/>
      <c r="M95" s="5" t="n"/>
    </row>
    <row r="96">
      <c r="A96" s="4">
        <f>IF(A95="","",A95)</f>
        <v/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13" t="n"/>
      <c r="L96" s="4" t="n"/>
      <c r="M96" s="4" t="n"/>
    </row>
    <row r="97">
      <c r="A97" s="5">
        <f>IF(A96="","",A96)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5" t="n"/>
      <c r="L97" s="5" t="n"/>
      <c r="M97" s="5" t="n"/>
    </row>
    <row r="98">
      <c r="A98" s="4">
        <f>IF(A97="","",A97)</f>
        <v/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13" t="n"/>
      <c r="L98" s="4" t="n"/>
      <c r="M98" s="4" t="n"/>
    </row>
    <row r="99">
      <c r="A99" s="5">
        <f>IF(A98="","",A98)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5" t="n"/>
      <c r="L99" s="5" t="n"/>
      <c r="M99" s="5" t="n"/>
    </row>
    <row r="100">
      <c r="A100" s="4">
        <f>IF(A99="","",A99)</f>
        <v/>
      </c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13" t="n"/>
      <c r="L100" s="4" t="n"/>
      <c r="M100" s="4" t="n"/>
    </row>
    <row r="101">
      <c r="A101" s="5">
        <f>IF(A100="","",A100)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5" t="n"/>
      <c r="L101" s="5" t="n"/>
      <c r="M101" s="5" t="n"/>
    </row>
    <row r="102">
      <c r="A102" s="4">
        <f>IF(A101="","",A101)</f>
        <v/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13" t="n"/>
      <c r="L102" s="4" t="n"/>
      <c r="M102" s="4" t="n"/>
    </row>
    <row r="103">
      <c r="A103" s="5">
        <f>IF(A102="","",A102)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5" t="n"/>
      <c r="L103" s="5" t="n"/>
      <c r="M103" s="5" t="n"/>
    </row>
    <row r="104">
      <c r="A104" s="4">
        <f>IF(A103="","",A103)</f>
        <v/>
      </c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13" t="n"/>
      <c r="L104" s="4" t="n"/>
      <c r="M104" s="4" t="n"/>
    </row>
    <row r="105">
      <c r="A105" s="5">
        <f>IF(A104="","",A104)</f>
        <v/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15" t="n"/>
      <c r="L105" s="5" t="n"/>
      <c r="M105" s="5" t="n"/>
    </row>
    <row r="106">
      <c r="A106" s="4">
        <f>IF(A105="","",A105)</f>
        <v/>
      </c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13" t="n"/>
      <c r="L106" s="4" t="n"/>
      <c r="M106" s="4" t="n"/>
    </row>
    <row r="107">
      <c r="A107" s="5">
        <f>IF(A106="","",A106)</f>
        <v/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15" t="n"/>
      <c r="L107" s="5" t="n"/>
      <c r="M107" s="5" t="n"/>
    </row>
    <row r="108">
      <c r="A108" s="4">
        <f>IF(A107="","",A107)</f>
        <v/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13" t="n"/>
      <c r="L108" s="4" t="n"/>
      <c r="M108" s="4" t="n"/>
    </row>
    <row r="109">
      <c r="A109" s="5">
        <f>IF(A108="","",A108)</f>
        <v/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15" t="n"/>
      <c r="L109" s="5" t="n"/>
      <c r="M109" s="5" t="n"/>
    </row>
    <row r="110">
      <c r="A110" s="4">
        <f>IF(A109="","",A109)</f>
        <v/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13" t="n"/>
      <c r="L110" s="4" t="n"/>
      <c r="M110" s="4" t="n"/>
    </row>
    <row r="111">
      <c r="A111" s="5">
        <f>IF(A110="","",A110)</f>
        <v/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15" t="n"/>
      <c r="L111" s="5" t="n"/>
      <c r="M111" s="5" t="n"/>
    </row>
    <row r="112">
      <c r="A112" s="4">
        <f>IF(A111="","",A111)</f>
        <v/>
      </c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13" t="n"/>
      <c r="L112" s="4" t="n"/>
      <c r="M112" s="4" t="n"/>
    </row>
    <row r="113">
      <c r="A113" s="5">
        <f>IF(A112="","",A112)</f>
        <v/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15" t="n"/>
      <c r="L113" s="5" t="n"/>
      <c r="M113" s="5" t="n"/>
    </row>
    <row r="114">
      <c r="A114" s="4">
        <f>IF(A113="","",A113)</f>
        <v/>
      </c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13" t="n"/>
      <c r="L114" s="4" t="n"/>
      <c r="M114" s="4" t="n"/>
    </row>
    <row r="115">
      <c r="A115" s="5">
        <f>IF(A114="","",A114)</f>
        <v/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15" t="n"/>
      <c r="L115" s="5" t="n"/>
      <c r="M115" s="5" t="n"/>
    </row>
  </sheetData>
  <mergeCells count="2">
    <mergeCell ref="A3:P3"/>
    <mergeCell ref="A2:P2"/>
  </mergeCells>
  <conditionalFormatting sqref="D6:D115">
    <cfRule type="cellIs" priority="1" operator="equal" dxfId="0">
      <formula>"Conforme"</formula>
    </cfRule>
    <cfRule type="cellIs" priority="2" operator="equal" dxfId="2">
      <formula>"Partiellement conforme"</formula>
    </cfRule>
    <cfRule type="cellIs" priority="3" operator="equal" dxfId="3">
      <formula>"Non conforme"</formula>
    </cfRule>
    <cfRule type="cellIs" priority="4" operator="equal" dxfId="4">
      <formula>"En cours de vérification"</formula>
    </cfRule>
  </conditionalFormatting>
  <dataValidations count="2">
    <dataValidation sqref="D6:D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_Lists'!$T$6:$T$35</formula1>
    </dataValidation>
    <dataValidation sqref="L6:L115" showDropDown="0" showInputMessage="1" showErrorMessage="1" allowBlank="1" errorTitle="Valeur non autorisée" error="Veuillez sélectionner une valeur dans la liste." promptTitle="Liste déroulante" prompt="Sélectionnez dans la liste." type="list">
      <formula1>'F02 - _Lists'!$P$6:$P$35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2026-07-16T17:40:12Z</dcterms:created>
  <dcterms:modified xmlns:dcterms="http://purl.org/dc/terms/" xmlns:xsi="http://www.w3.org/2001/XMLSchema-instance" xsi:type="dcterms:W3CDTF">2026-07-16T17:40:12Z</dcterms:modified>
</cp:coreProperties>
</file>