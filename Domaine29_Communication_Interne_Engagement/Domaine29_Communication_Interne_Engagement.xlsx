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Collabor.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Enquêtes Engagement" sheetId="4" state="visible" r:id="rId4"/>
    <sheet xmlns:r="http://schemas.openxmlformats.org/officeDocument/2006/relationships" name="F05 - 3-Plan Communication" sheetId="5" state="visible" r:id="rId5"/>
    <sheet xmlns:r="http://schemas.openxmlformats.org/officeDocument/2006/relationships" name="F06 - 4-Événements Internes" sheetId="6" state="visible" r:id="rId6"/>
    <sheet xmlns:r="http://schemas.openxmlformats.org/officeDocument/2006/relationships" name="F07 - 5-Canaux Communication" sheetId="7" state="visible" r:id="rId7"/>
    <sheet xmlns:r="http://schemas.openxmlformats.org/officeDocument/2006/relationships" name="F08 - 6-Boîte à Idées" sheetId="8" state="visible" r:id="rId8"/>
    <sheet xmlns:r="http://schemas.openxmlformats.org/officeDocument/2006/relationships" name="F09 - 7-Entretiens Individuels" sheetId="9" state="visible" r:id="rId9"/>
    <sheet xmlns:r="http://schemas.openxmlformats.org/officeDocument/2006/relationships" name="F10 - 8-Indic. Engage.Dépt" sheetId="10" state="visible" r:id="rId10"/>
    <sheet xmlns:r="http://schemas.openxmlformats.org/officeDocument/2006/relationships" name="F11 - 9-Actions Amélior. QVT" sheetId="11" state="visible" r:id="rId11"/>
    <sheet xmlns:r="http://schemas.openxmlformats.org/officeDocument/2006/relationships" name="F12 - 10-Gest. Rumeurs Alertes" sheetId="12" state="visible" r:id="rId12"/>
    <sheet xmlns:r="http://schemas.openxmlformats.org/officeDocument/2006/relationships" name="F13 - 11-Newsletter Publicat." sheetId="13" state="visible" r:id="rId13"/>
    <sheet xmlns:r="http://schemas.openxmlformats.org/officeDocument/2006/relationships" name="F14 - 12-Comité Vie Sociale" sheetId="14" state="visible" r:id="rId14"/>
    <sheet xmlns:r="http://schemas.openxmlformats.org/officeDocument/2006/relationships" name="F15 - 13-Budget Communication" sheetId="15" state="visible" r:id="rId15"/>
    <sheet xmlns:r="http://schemas.openxmlformats.org/officeDocument/2006/relationships" name="F16 - 14-Matrice Engag.×Dép." sheetId="16" state="visible" r:id="rId16"/>
    <sheet xmlns:r="http://schemas.openxmlformats.org/officeDocument/2006/relationships" name="F17 - 15-Historique Enquêtes" sheetId="17" state="visible" r:id="rId17"/>
    <sheet xmlns:r="http://schemas.openxmlformats.org/officeDocument/2006/relationships" name="F18 - 16-Calendrier Communic." sheetId="18" state="visible" r:id="rId18"/>
    <sheet xmlns:r="http://schemas.openxmlformats.org/officeDocument/2006/relationships" name="F19 - 17-TdB Financ. Commun." sheetId="19" state="visible" r:id="rId19"/>
    <sheet xmlns:r="http://schemas.openxmlformats.org/officeDocument/2006/relationships" name="F20 - 18-Indic. Performance" sheetId="20" state="visible" r:id="rId20"/>
    <sheet xmlns:r="http://schemas.openxmlformats.org/officeDocument/2006/relationships" name="F21 - 19-Exigences d'Audi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1A237E"/>
      <sz val="10"/>
    </font>
    <font>
      <name val="Calibri"/>
      <b val="1"/>
      <color rgb="00757575"/>
      <sz val="9"/>
    </font>
    <font>
      <name val="Calibri"/>
      <b val="1"/>
      <color rgb="001A237E"/>
      <sz val="18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03F9F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5CAE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6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" fillId="3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6" borderId="0" pivotButton="0" quotePrefix="0" xfId="0"/>
    <xf numFmtId="164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</cols>
  <sheetData>
    <row r="1" ht="8" customHeight="1"/>
    <row r="2" ht="30" customHeight="1">
      <c r="A2" s="1" t="inlineStr">
        <is>
          <t>DONNÉES COLLABORATEURS — Base de référence engagement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Département</t>
        </is>
      </c>
      <c r="E5" s="4" t="inlineStr">
        <is>
          <t>Poste</t>
        </is>
      </c>
      <c r="F5" s="4" t="inlineStr">
        <is>
          <t>Score Engagement (%)</t>
        </is>
      </c>
      <c r="G5" s="4" t="inlineStr">
        <is>
          <t>Note Engagement (/5)</t>
        </is>
      </c>
      <c r="H5" s="4" t="inlineStr">
        <is>
          <t>Catégorie Engagement</t>
        </is>
      </c>
      <c r="I5" s="4" t="inlineStr">
        <is>
          <t>Genre</t>
        </is>
      </c>
      <c r="J5" s="4" t="inlineStr"/>
      <c r="K5" s="4" t="inlineStr"/>
    </row>
    <row r="6" ht="22" customHeight="1">
      <c r="A6" s="5" t="inlineStr">
        <is>
          <t>COL-001</t>
        </is>
      </c>
      <c r="B6" s="5" t="inlineStr">
        <is>
          <t>Koné</t>
        </is>
      </c>
      <c r="C6" s="5" t="inlineStr">
        <is>
          <t>Aminata</t>
        </is>
      </c>
      <c r="D6" s="5" t="inlineStr">
        <is>
          <t>Cuisine &amp; Restauration</t>
        </is>
      </c>
      <c r="E6" s="5" t="inlineStr">
        <is>
          <t>Chef Pâtissier</t>
        </is>
      </c>
      <c r="F6" s="6" t="n">
        <v>78</v>
      </c>
      <c r="G6" s="7" t="n">
        <v>4.2</v>
      </c>
      <c r="H6" s="5" t="inlineStr">
        <is>
          <t>Très engagé</t>
        </is>
      </c>
      <c r="I6" s="5" t="inlineStr">
        <is>
          <t>F</t>
        </is>
      </c>
      <c r="J6" s="5" t="n"/>
      <c r="K6" s="5" t="n"/>
    </row>
    <row r="7" ht="22" customHeight="1">
      <c r="A7" s="8" t="inlineStr">
        <is>
          <t>COL-002</t>
        </is>
      </c>
      <c r="B7" s="8" t="inlineStr">
        <is>
          <t>Traoré</t>
        </is>
      </c>
      <c r="C7" s="8" t="inlineStr">
        <is>
          <t>Ibrahim</t>
        </is>
      </c>
      <c r="D7" s="8" t="inlineStr">
        <is>
          <t>Informatique</t>
        </is>
      </c>
      <c r="E7" s="8" t="inlineStr">
        <is>
          <t>DSI</t>
        </is>
      </c>
      <c r="F7" s="9" t="n">
        <v>85</v>
      </c>
      <c r="G7" s="10" t="n">
        <v>4.5</v>
      </c>
      <c r="H7" s="8" t="inlineStr">
        <is>
          <t>Très engagé</t>
        </is>
      </c>
      <c r="I7" s="8" t="inlineStr">
        <is>
          <t>M</t>
        </is>
      </c>
      <c r="J7" s="8" t="n"/>
      <c r="K7" s="8" t="n"/>
    </row>
    <row r="8" ht="22" customHeight="1">
      <c r="A8" s="5" t="inlineStr">
        <is>
          <t>COL-003</t>
        </is>
      </c>
      <c r="B8" s="5" t="inlineStr">
        <is>
          <t>Diallo</t>
        </is>
      </c>
      <c r="C8" s="5" t="inlineStr">
        <is>
          <t>Fatou</t>
        </is>
      </c>
      <c r="D8" s="5" t="inlineStr">
        <is>
          <t>Marketing &amp; Communication</t>
        </is>
      </c>
      <c r="E8" s="5" t="inlineStr">
        <is>
          <t>Resp. Marketing</t>
        </is>
      </c>
      <c r="F8" s="6" t="n">
        <v>72</v>
      </c>
      <c r="G8" s="7" t="n">
        <v>3.8</v>
      </c>
      <c r="H8" s="5" t="inlineStr">
        <is>
          <t>Engagé</t>
        </is>
      </c>
      <c r="I8" s="5" t="inlineStr">
        <is>
          <t>F</t>
        </is>
      </c>
      <c r="J8" s="5" t="n"/>
      <c r="K8" s="5" t="n"/>
    </row>
    <row r="9" ht="22" customHeight="1">
      <c r="A9" s="8" t="inlineStr">
        <is>
          <t>COL-004</t>
        </is>
      </c>
      <c r="B9" s="8" t="inlineStr">
        <is>
          <t>Ouattara</t>
        </is>
      </c>
      <c r="C9" s="8" t="inlineStr">
        <is>
          <t>Moussa</t>
        </is>
      </c>
      <c r="D9" s="8" t="inlineStr">
        <is>
          <t>Finance &amp; Comptabilité</t>
        </is>
      </c>
      <c r="E9" s="8" t="inlineStr">
        <is>
          <t>Comptable Senior</t>
        </is>
      </c>
      <c r="F9" s="9" t="n">
        <v>68</v>
      </c>
      <c r="G9" s="10" t="n">
        <v>3.5</v>
      </c>
      <c r="H9" s="8" t="inlineStr">
        <is>
          <t>Engagé</t>
        </is>
      </c>
      <c r="I9" s="8" t="inlineStr">
        <is>
          <t>M</t>
        </is>
      </c>
      <c r="J9" s="8" t="n"/>
      <c r="K9" s="8" t="n"/>
    </row>
    <row r="10" ht="22" customHeight="1">
      <c r="A10" s="5" t="inlineStr">
        <is>
          <t>COL-005</t>
        </is>
      </c>
      <c r="B10" s="5" t="inlineStr">
        <is>
          <t>Bamba</t>
        </is>
      </c>
      <c r="C10" s="5" t="inlineStr">
        <is>
          <t>Mariam</t>
        </is>
      </c>
      <c r="D10" s="5" t="inlineStr">
        <is>
          <t>Réception &amp; Front Office</t>
        </is>
      </c>
      <c r="E10" s="5" t="inlineStr">
        <is>
          <t>Chef Réception</t>
        </is>
      </c>
      <c r="F10" s="6" t="n">
        <v>90</v>
      </c>
      <c r="G10" s="7" t="n">
        <v>4.8</v>
      </c>
      <c r="H10" s="5" t="inlineStr">
        <is>
          <t>Ambassadeur</t>
        </is>
      </c>
      <c r="I10" s="5" t="inlineStr">
        <is>
          <t>F</t>
        </is>
      </c>
      <c r="J10" s="5" t="n"/>
      <c r="K10" s="5" t="n"/>
    </row>
    <row r="11" ht="22" customHeight="1">
      <c r="A11" s="8" t="inlineStr">
        <is>
          <t>COL-006</t>
        </is>
      </c>
      <c r="B11" s="8" t="inlineStr">
        <is>
          <t>Coulibaly</t>
        </is>
      </c>
      <c r="C11" s="8" t="inlineStr">
        <is>
          <t>Adama</t>
        </is>
      </c>
      <c r="D11" s="8" t="inlineStr">
        <is>
          <t>Entretien &amp; Maintenance</t>
        </is>
      </c>
      <c r="E11" s="8" t="inlineStr">
        <is>
          <t>Chef Entretien</t>
        </is>
      </c>
      <c r="F11" s="9" t="n">
        <v>55</v>
      </c>
      <c r="G11" s="10" t="n">
        <v>2.8</v>
      </c>
      <c r="H11" s="8" t="inlineStr">
        <is>
          <t>À surveiller</t>
        </is>
      </c>
      <c r="I11" s="8" t="inlineStr">
        <is>
          <t>M</t>
        </is>
      </c>
      <c r="J11" s="8" t="n"/>
      <c r="K11" s="8" t="n"/>
    </row>
    <row r="12" ht="22" customHeight="1">
      <c r="A12" s="5" t="inlineStr">
        <is>
          <t>COL-007</t>
        </is>
      </c>
      <c r="B12" s="5" t="inlineStr">
        <is>
          <t>Konan</t>
        </is>
      </c>
      <c r="C12" s="5" t="inlineStr">
        <is>
          <t>Yao</t>
        </is>
      </c>
      <c r="D12" s="5" t="inlineStr">
        <is>
          <t>Ressources Humaines</t>
        </is>
      </c>
      <c r="E12" s="5" t="inlineStr">
        <is>
          <t>DRH</t>
        </is>
      </c>
      <c r="F12" s="6" t="n">
        <v>82</v>
      </c>
      <c r="G12" s="7" t="n">
        <v>4</v>
      </c>
      <c r="H12" s="5" t="inlineStr">
        <is>
          <t>Très engagé</t>
        </is>
      </c>
      <c r="I12" s="5" t="inlineStr">
        <is>
          <t>M</t>
        </is>
      </c>
      <c r="J12" s="5" t="n"/>
      <c r="K12" s="5" t="n"/>
    </row>
    <row r="13" ht="22" customHeight="1">
      <c r="A13" s="8" t="inlineStr">
        <is>
          <t>COL-008</t>
        </is>
      </c>
      <c r="B13" s="8" t="inlineStr">
        <is>
          <t>Sangaré</t>
        </is>
      </c>
      <c r="C13" s="8" t="inlineStr">
        <is>
          <t>Awa</t>
        </is>
      </c>
      <c r="D13" s="8" t="inlineStr">
        <is>
          <t>Commercial</t>
        </is>
      </c>
      <c r="E13" s="8" t="inlineStr">
        <is>
          <t>Resp. Commercial</t>
        </is>
      </c>
      <c r="F13" s="9" t="n">
        <v>75</v>
      </c>
      <c r="G13" s="10" t="n">
        <v>3.9</v>
      </c>
      <c r="H13" s="8" t="inlineStr">
        <is>
          <t>Engagé</t>
        </is>
      </c>
      <c r="I13" s="8" t="inlineStr">
        <is>
          <t>F</t>
        </is>
      </c>
      <c r="J13" s="8" t="n"/>
      <c r="K13" s="8" t="n"/>
    </row>
    <row r="14" ht="22" customHeight="1">
      <c r="A14" s="5" t="inlineStr">
        <is>
          <t>COL-009</t>
        </is>
      </c>
      <c r="B14" s="5" t="inlineStr">
        <is>
          <t>Djibril</t>
        </is>
      </c>
      <c r="C14" s="5" t="inlineStr">
        <is>
          <t>Oumar</t>
        </is>
      </c>
      <c r="D14" s="5" t="inlineStr">
        <is>
          <t>Sécurité</t>
        </is>
      </c>
      <c r="E14" s="5" t="inlineStr">
        <is>
          <t>Chef Sécurité</t>
        </is>
      </c>
      <c r="F14" s="6" t="n">
        <v>60</v>
      </c>
      <c r="G14" s="7" t="n">
        <v>3</v>
      </c>
      <c r="H14" s="5" t="inlineStr">
        <is>
          <t>Neutre</t>
        </is>
      </c>
      <c r="I14" s="5" t="inlineStr">
        <is>
          <t>M</t>
        </is>
      </c>
      <c r="J14" s="5" t="n"/>
      <c r="K14" s="5" t="n"/>
    </row>
    <row r="15" ht="22" customHeight="1">
      <c r="A15" s="8" t="inlineStr">
        <is>
          <t>COL-010</t>
        </is>
      </c>
      <c r="B15" s="8" t="inlineStr">
        <is>
          <t>Yao</t>
        </is>
      </c>
      <c r="C15" s="8" t="inlineStr">
        <is>
          <t>Akissi</t>
        </is>
      </c>
      <c r="D15" s="8" t="inlineStr">
        <is>
          <t>Hébergement</t>
        </is>
      </c>
      <c r="E15" s="8" t="inlineStr">
        <is>
          <t>Gouvernante</t>
        </is>
      </c>
      <c r="F15" s="9" t="n">
        <v>88</v>
      </c>
      <c r="G15" s="10" t="n">
        <v>4.6</v>
      </c>
      <c r="H15" s="8" t="inlineStr">
        <is>
          <t>Très engagé</t>
        </is>
      </c>
      <c r="I15" s="8" t="inlineStr">
        <is>
          <t>F</t>
        </is>
      </c>
      <c r="J15" s="8" t="n"/>
      <c r="K15" s="8" t="n"/>
    </row>
    <row r="16" ht="22" customHeight="1">
      <c r="A16" s="5" t="inlineStr">
        <is>
          <t>COL-011</t>
        </is>
      </c>
      <c r="B16" s="5" t="inlineStr">
        <is>
          <t>N'Guessan</t>
        </is>
      </c>
      <c r="C16" s="5" t="inlineStr">
        <is>
          <t>Koffi</t>
        </is>
      </c>
      <c r="D16" s="5" t="inlineStr">
        <is>
          <t>Cuisine &amp; Restauration</t>
        </is>
      </c>
      <c r="E16" s="5" t="inlineStr">
        <is>
          <t>Chef Cuisinier</t>
        </is>
      </c>
      <c r="F16" s="6" t="n">
        <v>80</v>
      </c>
      <c r="G16" s="7" t="n">
        <v>4.1</v>
      </c>
      <c r="H16" s="5" t="inlineStr">
        <is>
          <t>Très engagé</t>
        </is>
      </c>
      <c r="I16" s="5" t="inlineStr">
        <is>
          <t>M</t>
        </is>
      </c>
      <c r="J16" s="5" t="n"/>
      <c r="K16" s="5" t="n"/>
    </row>
    <row r="17" ht="22" customHeight="1">
      <c r="A17" s="8" t="inlineStr">
        <is>
          <t>COL-012</t>
        </is>
      </c>
      <c r="B17" s="8" t="inlineStr">
        <is>
          <t>Koffi</t>
        </is>
      </c>
      <c r="C17" s="8" t="inlineStr">
        <is>
          <t>Marie</t>
        </is>
      </c>
      <c r="D17" s="8" t="inlineStr">
        <is>
          <t>Service Client</t>
        </is>
      </c>
      <c r="E17" s="8" t="inlineStr">
        <is>
          <t>Resp. Service Client</t>
        </is>
      </c>
      <c r="F17" s="9" t="n">
        <v>70</v>
      </c>
      <c r="G17" s="10" t="n">
        <v>3.6</v>
      </c>
      <c r="H17" s="8" t="inlineStr">
        <is>
          <t>Engagé</t>
        </is>
      </c>
      <c r="I17" s="8" t="inlineStr">
        <is>
          <t>F</t>
        </is>
      </c>
      <c r="J17" s="8" t="n"/>
      <c r="K17" s="8" t="n"/>
    </row>
    <row r="18" ht="22" customHeight="1">
      <c r="A18" s="5" t="inlineStr">
        <is>
          <t>COL-013</t>
        </is>
      </c>
      <c r="B18" s="5" t="inlineStr">
        <is>
          <t>Touré</t>
        </is>
      </c>
      <c r="C18" s="5" t="inlineStr">
        <is>
          <t>Ibrahim</t>
        </is>
      </c>
      <c r="D18" s="5" t="inlineStr">
        <is>
          <t>Logistique &amp; Approvisionnement</t>
        </is>
      </c>
      <c r="E18" s="5" t="inlineStr">
        <is>
          <t>Chef Logistique</t>
        </is>
      </c>
      <c r="F18" s="6" t="n">
        <v>62</v>
      </c>
      <c r="G18" s="7" t="n">
        <v>3.1</v>
      </c>
      <c r="H18" s="5" t="inlineStr">
        <is>
          <t>Neutre</t>
        </is>
      </c>
      <c r="I18" s="5" t="inlineStr">
        <is>
          <t>M</t>
        </is>
      </c>
      <c r="J18" s="5" t="n"/>
      <c r="K18" s="5" t="n"/>
    </row>
    <row r="19" ht="22" customHeight="1">
      <c r="A19" s="8" t="inlineStr">
        <is>
          <t>COL-014</t>
        </is>
      </c>
      <c r="B19" s="8" t="inlineStr">
        <is>
          <t>Aka</t>
        </is>
      </c>
      <c r="C19" s="8" t="inlineStr">
        <is>
          <t>Béatrice</t>
        </is>
      </c>
      <c r="D19" s="8" t="inlineStr">
        <is>
          <t>Spa &amp; Bien-être</t>
        </is>
      </c>
      <c r="E19" s="8" t="inlineStr">
        <is>
          <t>Resp. Spa</t>
        </is>
      </c>
      <c r="F19" s="9" t="n">
        <v>84</v>
      </c>
      <c r="G19" s="10" t="n">
        <v>4.3</v>
      </c>
      <c r="H19" s="8" t="inlineStr">
        <is>
          <t>Très engagé</t>
        </is>
      </c>
      <c r="I19" s="8" t="inlineStr">
        <is>
          <t>F</t>
        </is>
      </c>
      <c r="J19" s="8" t="n"/>
      <c r="K19" s="8" t="n"/>
    </row>
    <row r="20" ht="22" customHeight="1">
      <c r="A20" s="5" t="inlineStr">
        <is>
          <t>COL-015</t>
        </is>
      </c>
      <c r="B20" s="5" t="inlineStr">
        <is>
          <t>N'Dri</t>
        </is>
      </c>
      <c r="C20" s="5" t="inlineStr">
        <is>
          <t>Fatou</t>
        </is>
      </c>
      <c r="D20" s="5" t="inlineStr">
        <is>
          <t>Animation &amp; Loisirs</t>
        </is>
      </c>
      <c r="E20" s="5" t="inlineStr">
        <is>
          <t>Animatrice</t>
        </is>
      </c>
      <c r="F20" s="6" t="n">
        <v>76</v>
      </c>
      <c r="G20" s="7" t="n">
        <v>3.9</v>
      </c>
      <c r="H20" s="5" t="inlineStr">
        <is>
          <t>Engagé</t>
        </is>
      </c>
      <c r="I20" s="5" t="inlineStr">
        <is>
          <t>F</t>
        </is>
      </c>
      <c r="J20" s="5" t="n"/>
      <c r="K20" s="5" t="n"/>
    </row>
  </sheetData>
  <mergeCells count="2">
    <mergeCell ref="A2:K2"/>
    <mergeCell ref="A3:K3"/>
  </mergeCells>
  <dataValidations count="3">
    <dataValidation sqref="D6:D20" showDropDown="0" showInputMessage="0" showErrorMessage="0" allowBlank="1" errorTitle="Erreur" error="Valeur invalide" promptTitle="departements" prompt="Choisir dans la liste: departements" type="list">
      <formula1>'F02 - _Lists'!$A$6:$A$20</formula1>
    </dataValidation>
    <dataValidation sqref="E6:E20" showDropDown="0" showInputMessage="0" showErrorMessage="0" allowBlank="1" errorTitle="Erreur" error="Valeur invalide" promptTitle="postes" prompt="Choisir dans la liste: postes" type="list">
      <formula1>'F02 - _Lists'!$B$6:$B$25</formula1>
    </dataValidation>
    <dataValidation sqref="H6:H20" showDropDown="0" showInputMessage="0" showErrorMessage="0" allowBlank="1" errorTitle="Erreur" error="Valeur invalide" promptTitle="engagement_niveaux" prompt="Choisir dans la liste: engagement_niveaux" type="list">
      <formula1>'F02 - _Lists'!$V$6:$V$11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Y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departements</t>
        </is>
      </c>
      <c r="B5" s="4" t="inlineStr">
        <is>
          <t>postes</t>
        </is>
      </c>
      <c r="C5" s="4" t="inlineStr">
        <is>
          <t>canaux</t>
        </is>
      </c>
      <c r="D5" s="4" t="inlineStr">
        <is>
          <t>types_evenement</t>
        </is>
      </c>
      <c r="E5" s="4" t="inlineStr">
        <is>
          <t>statuts_evenement</t>
        </is>
      </c>
      <c r="F5" s="4" t="inlineStr">
        <is>
          <t>statuts_action</t>
        </is>
      </c>
      <c r="G5" s="4" t="inlineStr">
        <is>
          <t>frequences</t>
        </is>
      </c>
      <c r="H5" s="4" t="inlineStr">
        <is>
          <t>priorites</t>
        </is>
      </c>
      <c r="I5" s="4" t="inlineStr">
        <is>
          <t>cibles</t>
        </is>
      </c>
      <c r="J5" s="4" t="inlineStr">
        <is>
          <t>types_enquete</t>
        </is>
      </c>
      <c r="K5" s="4" t="inlineStr">
        <is>
          <t>niveaux_satisfaction</t>
        </is>
      </c>
      <c r="L5" s="4" t="inlineStr">
        <is>
          <t>categories_suggestion</t>
        </is>
      </c>
      <c r="M5" s="4" t="inlineStr">
        <is>
          <t>statuts_suggestion</t>
        </is>
      </c>
      <c r="N5" s="4" t="inlineStr">
        <is>
          <t>niveaux_alerte</t>
        </is>
      </c>
      <c r="O5" s="4" t="inlineStr">
        <is>
          <t>types_alerte</t>
        </is>
      </c>
      <c r="P5" s="4" t="inlineStr">
        <is>
          <t>mois</t>
        </is>
      </c>
      <c r="Q5" s="4" t="inlineStr">
        <is>
          <t>trimestres</t>
        </is>
      </c>
      <c r="R5" s="4" t="inlineStr">
        <is>
          <t>tendances</t>
        </is>
      </c>
      <c r="S5" s="4" t="inlineStr">
        <is>
          <t>modes_paiement</t>
        </is>
      </c>
      <c r="T5" s="4" t="inlineStr">
        <is>
          <t>validations</t>
        </is>
      </c>
      <c r="U5" s="4" t="inlineStr">
        <is>
          <t>conformites</t>
        </is>
      </c>
      <c r="V5" s="4" t="inlineStr">
        <is>
          <t>engagement_niveaux</t>
        </is>
      </c>
      <c r="W5" s="4" t="inlineStr">
        <is>
          <t>periodicites_newsletter</t>
        </is>
      </c>
      <c r="X5" s="4" t="inlineStr">
        <is>
          <t>statuts_newsletter</t>
        </is>
      </c>
      <c r="Y5" s="4" t="inlineStr">
        <is>
          <t>types_poste_cvs</t>
        </is>
      </c>
    </row>
    <row r="6" ht="22" customHeight="1">
      <c r="A6" s="5" t="inlineStr">
        <is>
          <t>Direction Générale</t>
        </is>
      </c>
      <c r="B6" s="5" t="inlineStr">
        <is>
          <t>DG</t>
        </is>
      </c>
      <c r="C6" s="5" t="inlineStr">
        <is>
          <t>Intranet</t>
        </is>
      </c>
      <c r="D6" s="5" t="inlineStr">
        <is>
          <t>Team building</t>
        </is>
      </c>
      <c r="E6" s="5" t="inlineStr">
        <is>
          <t>Planifié</t>
        </is>
      </c>
      <c r="F6" s="5" t="inlineStr">
        <is>
          <t>En attente</t>
        </is>
      </c>
      <c r="G6" s="5" t="inlineStr">
        <is>
          <t>Hebdomadaire</t>
        </is>
      </c>
      <c r="H6" s="5" t="inlineStr">
        <is>
          <t>Haute</t>
        </is>
      </c>
      <c r="I6" s="5" t="inlineStr">
        <is>
          <t>Tous</t>
        </is>
      </c>
      <c r="J6" s="5" t="inlineStr">
        <is>
          <t>Engagement global</t>
        </is>
      </c>
      <c r="K6" s="5" t="inlineStr">
        <is>
          <t>Très insatisfait</t>
        </is>
      </c>
      <c r="L6" s="5" t="inlineStr">
        <is>
          <t>Conditions de travail</t>
        </is>
      </c>
      <c r="M6" s="5" t="inlineStr">
        <is>
          <t>En attente</t>
        </is>
      </c>
      <c r="N6" s="5" t="inlineStr">
        <is>
          <t>Faible</t>
        </is>
      </c>
      <c r="O6" s="5" t="inlineStr">
        <is>
          <t>Rumeur</t>
        </is>
      </c>
      <c r="P6" s="5" t="inlineStr">
        <is>
          <t>Janvier 2025</t>
        </is>
      </c>
      <c r="Q6" s="5" t="inlineStr">
        <is>
          <t>T1 2025</t>
        </is>
      </c>
      <c r="R6" s="5" t="inlineStr">
        <is>
          <t>Hausse</t>
        </is>
      </c>
      <c r="S6" s="5" t="inlineStr">
        <is>
          <t>Virement</t>
        </is>
      </c>
      <c r="T6" s="5" t="inlineStr">
        <is>
          <t>Validé</t>
        </is>
      </c>
      <c r="U6" s="5" t="inlineStr">
        <is>
          <t>Conforme</t>
        </is>
      </c>
      <c r="V6" s="5" t="inlineStr">
        <is>
          <t>Ambassadeur</t>
        </is>
      </c>
      <c r="W6" s="5" t="inlineStr">
        <is>
          <t>Hebdomadaire</t>
        </is>
      </c>
      <c r="X6" s="5" t="inlineStr">
        <is>
          <t>Brouillon</t>
        </is>
      </c>
      <c r="Y6" s="5" t="inlineStr">
        <is>
          <t>Titulaire</t>
        </is>
      </c>
    </row>
    <row r="7" ht="22" customHeight="1">
      <c r="A7" s="8" t="inlineStr">
        <is>
          <t>Ressources Humaines</t>
        </is>
      </c>
      <c r="B7" s="8" t="inlineStr">
        <is>
          <t>DRH</t>
        </is>
      </c>
      <c r="C7" s="8" t="inlineStr">
        <is>
          <t>Email interne</t>
        </is>
      </c>
      <c r="D7" s="8" t="inlineStr">
        <is>
          <t>Célébration</t>
        </is>
      </c>
      <c r="E7" s="8" t="inlineStr">
        <is>
          <t>En cours</t>
        </is>
      </c>
      <c r="F7" s="8" t="inlineStr">
        <is>
          <t>En cours</t>
        </is>
      </c>
      <c r="G7" s="8" t="inlineStr">
        <is>
          <t>Mensuelle</t>
        </is>
      </c>
      <c r="H7" s="8" t="inlineStr">
        <is>
          <t>Moyenne</t>
        </is>
      </c>
      <c r="I7" s="8" t="inlineStr">
        <is>
          <t>Cadres</t>
        </is>
      </c>
      <c r="J7" s="8" t="inlineStr">
        <is>
          <t>Climat social</t>
        </is>
      </c>
      <c r="K7" s="8" t="inlineStr">
        <is>
          <t>Insatisfait</t>
        </is>
      </c>
      <c r="L7" s="8" t="inlineStr">
        <is>
          <t>Rémunération</t>
        </is>
      </c>
      <c r="M7" s="8" t="inlineStr">
        <is>
          <t>Étudiée</t>
        </is>
      </c>
      <c r="N7" s="8" t="inlineStr">
        <is>
          <t>Moyen</t>
        </is>
      </c>
      <c r="O7" s="8" t="inlineStr">
        <is>
          <t>Mécontentement</t>
        </is>
      </c>
      <c r="P7" s="8" t="inlineStr">
        <is>
          <t>Février 2025</t>
        </is>
      </c>
      <c r="Q7" s="8" t="inlineStr">
        <is>
          <t>T2 2025</t>
        </is>
      </c>
      <c r="R7" s="8" t="inlineStr">
        <is>
          <t>Baisse</t>
        </is>
      </c>
      <c r="S7" s="8" t="inlineStr">
        <is>
          <t>Chèque</t>
        </is>
      </c>
      <c r="T7" s="8" t="inlineStr">
        <is>
          <t>En attente</t>
        </is>
      </c>
      <c r="U7" s="8" t="inlineStr">
        <is>
          <t>Partiellement conforme</t>
        </is>
      </c>
      <c r="V7" s="8" t="inlineStr">
        <is>
          <t>Très engagé</t>
        </is>
      </c>
      <c r="W7" s="8" t="inlineStr">
        <is>
          <t>Bimensuelle</t>
        </is>
      </c>
      <c r="X7" s="8" t="inlineStr">
        <is>
          <t>En revue</t>
        </is>
      </c>
      <c r="Y7" s="8" t="inlineStr">
        <is>
          <t>Suppléant</t>
        </is>
      </c>
    </row>
    <row r="8" ht="22" customHeight="1">
      <c r="A8" s="5" t="inlineStr">
        <is>
          <t>Finance &amp; Comptabilité</t>
        </is>
      </c>
      <c r="B8" s="5" t="inlineStr">
        <is>
          <t>DAF</t>
        </is>
      </c>
      <c r="C8" s="5" t="inlineStr">
        <is>
          <t>Affichage</t>
        </is>
      </c>
      <c r="D8" s="5" t="inlineStr">
        <is>
          <t>Formation informelle</t>
        </is>
      </c>
      <c r="E8" s="5" t="inlineStr">
        <is>
          <t>Terminé</t>
        </is>
      </c>
      <c r="F8" s="5" t="inlineStr">
        <is>
          <t>Terminé</t>
        </is>
      </c>
      <c r="G8" s="5" t="inlineStr">
        <is>
          <t>Trimestrielle</t>
        </is>
      </c>
      <c r="H8" s="5" t="inlineStr">
        <is>
          <t>Basse</t>
        </is>
      </c>
      <c r="I8" s="5" t="inlineStr">
        <is>
          <t>Non-cadres</t>
        </is>
      </c>
      <c r="J8" s="5" t="inlineStr">
        <is>
          <t>Satisfaction poste</t>
        </is>
      </c>
      <c r="K8" s="5" t="inlineStr">
        <is>
          <t>Neutre</t>
        </is>
      </c>
      <c r="L8" s="5" t="inlineStr">
        <is>
          <t>Formation</t>
        </is>
      </c>
      <c r="M8" s="5" t="inlineStr">
        <is>
          <t>Acceptée</t>
        </is>
      </c>
      <c r="N8" s="5" t="inlineStr">
        <is>
          <t>Élevé</t>
        </is>
      </c>
      <c r="O8" s="5" t="inlineStr">
        <is>
          <t>Conflit latent</t>
        </is>
      </c>
      <c r="P8" s="5" t="inlineStr">
        <is>
          <t>Mars 2025</t>
        </is>
      </c>
      <c r="Q8" s="5" t="inlineStr">
        <is>
          <t>T3 2025</t>
        </is>
      </c>
      <c r="R8" s="5" t="inlineStr">
        <is>
          <t>Stable</t>
        </is>
      </c>
      <c r="S8" s="5" t="inlineStr">
        <is>
          <t>Espèces</t>
        </is>
      </c>
      <c r="T8" s="5" t="inlineStr">
        <is>
          <t>Rejeté</t>
        </is>
      </c>
      <c r="U8" s="5" t="inlineStr">
        <is>
          <t>Non conforme</t>
        </is>
      </c>
      <c r="V8" s="5" t="inlineStr">
        <is>
          <t>Engagé</t>
        </is>
      </c>
      <c r="W8" s="5" t="inlineStr">
        <is>
          <t>Mensuelle</t>
        </is>
      </c>
      <c r="X8" s="5" t="inlineStr">
        <is>
          <t>Validé</t>
        </is>
      </c>
      <c r="Y8" s="5" t="inlineStr">
        <is>
          <t>Invité permanent</t>
        </is>
      </c>
    </row>
    <row r="9" ht="22" customHeight="1">
      <c r="A9" s="8" t="inlineStr">
        <is>
          <t>Marketing &amp; Communication</t>
        </is>
      </c>
      <c r="B9" s="8" t="inlineStr">
        <is>
          <t>DSI</t>
        </is>
      </c>
      <c r="C9" s="8" t="inlineStr">
        <is>
          <t>Réunion d'équipe</t>
        </is>
      </c>
      <c r="D9" s="8" t="inlineStr">
        <is>
          <t>Sport interne</t>
        </is>
      </c>
      <c r="E9" s="8" t="inlineStr">
        <is>
          <t>Annulé</t>
        </is>
      </c>
      <c r="F9" s="8" t="inlineStr">
        <is>
          <t>Reporté</t>
        </is>
      </c>
      <c r="G9" s="8" t="inlineStr">
        <is>
          <t>Semestrielle</t>
        </is>
      </c>
      <c r="H9" s="8" t="n"/>
      <c r="I9" s="8" t="inlineStr">
        <is>
          <t>Département</t>
        </is>
      </c>
      <c r="J9" s="8" t="inlineStr">
        <is>
          <t>Qualité de vie travail</t>
        </is>
      </c>
      <c r="K9" s="8" t="inlineStr">
        <is>
          <t>Satisfait</t>
        </is>
      </c>
      <c r="L9" s="8" t="inlineStr">
        <is>
          <t>Communication</t>
        </is>
      </c>
      <c r="M9" s="8" t="inlineStr">
        <is>
          <t>Rejetée</t>
        </is>
      </c>
      <c r="N9" s="8" t="inlineStr">
        <is>
          <t>Critique</t>
        </is>
      </c>
      <c r="O9" s="8" t="inlineStr">
        <is>
          <t>Risque départ</t>
        </is>
      </c>
      <c r="P9" s="8" t="inlineStr">
        <is>
          <t>Avril 2025</t>
        </is>
      </c>
      <c r="Q9" s="8" t="inlineStr">
        <is>
          <t>T4 2025</t>
        </is>
      </c>
      <c r="R9" s="8" t="n"/>
      <c r="S9" s="8" t="n"/>
      <c r="T9" s="8" t="inlineStr">
        <is>
          <t>Non applicable</t>
        </is>
      </c>
      <c r="U9" s="8" t="inlineStr">
        <is>
          <t>En attente</t>
        </is>
      </c>
      <c r="V9" s="8" t="inlineStr">
        <is>
          <t>Neutre</t>
        </is>
      </c>
      <c r="W9" s="8" t="inlineStr">
        <is>
          <t>Trimestrielle</t>
        </is>
      </c>
      <c r="X9" s="8" t="inlineStr">
        <is>
          <t>Diffusé</t>
        </is>
      </c>
      <c r="Y9" s="8" t="n"/>
    </row>
    <row r="10" ht="22" customHeight="1">
      <c r="A10" s="5" t="inlineStr">
        <is>
          <t>Informatique</t>
        </is>
      </c>
      <c r="B10" s="5" t="inlineStr">
        <is>
          <t>Resp. Marketing</t>
        </is>
      </c>
      <c r="C10" s="5" t="inlineStr">
        <is>
          <t>Newsletter</t>
        </is>
      </c>
      <c r="D10" s="5" t="inlineStr">
        <is>
          <t>Repas partagé</t>
        </is>
      </c>
      <c r="E10" s="5" t="inlineStr">
        <is>
          <t>Reporté</t>
        </is>
      </c>
      <c r="F10" s="5" t="inlineStr">
        <is>
          <t>Annulé</t>
        </is>
      </c>
      <c r="G10" s="5" t="inlineStr">
        <is>
          <t>Annuelle</t>
        </is>
      </c>
      <c r="H10" s="5" t="n"/>
      <c r="I10" s="5" t="inlineStr">
        <is>
          <t>Nouveaux arrivants</t>
        </is>
      </c>
      <c r="J10" s="5" t="inlineStr">
        <is>
          <t>Communication interne</t>
        </is>
      </c>
      <c r="K10" s="5" t="inlineStr">
        <is>
          <t>Très satisfait</t>
        </is>
      </c>
      <c r="L10" s="5" t="inlineStr">
        <is>
          <t>Environnement</t>
        </is>
      </c>
      <c r="M10" s="5" t="inlineStr">
        <is>
          <t>Mise en oeuvre</t>
        </is>
      </c>
      <c r="N10" s="5" t="n"/>
      <c r="O10" s="5" t="inlineStr">
        <is>
          <t>Tension interne</t>
        </is>
      </c>
      <c r="P10" s="5" t="inlineStr">
        <is>
          <t>Mai 2025</t>
        </is>
      </c>
      <c r="Q10" s="5" t="n"/>
      <c r="R10" s="5" t="n"/>
      <c r="S10" s="5" t="n"/>
      <c r="T10" s="5" t="n"/>
      <c r="U10" s="5" t="n"/>
      <c r="V10" s="5" t="inlineStr">
        <is>
          <t>À surveiller</t>
        </is>
      </c>
      <c r="W10" s="5" t="n"/>
      <c r="X10" s="5" t="inlineStr">
        <is>
          <t>Archivé</t>
        </is>
      </c>
      <c r="Y10" s="5" t="n"/>
    </row>
    <row r="11" ht="22" customHeight="1">
      <c r="A11" s="8" t="inlineStr">
        <is>
          <t>Commercial</t>
        </is>
      </c>
      <c r="B11" s="8" t="inlineStr">
        <is>
          <t>Resp. Commercial</t>
        </is>
      </c>
      <c r="C11" s="8" t="inlineStr">
        <is>
          <t>Tablette digitale</t>
        </is>
      </c>
      <c r="D11" s="8" t="inlineStr">
        <is>
          <t>Atelier créatif</t>
        </is>
      </c>
      <c r="E11" s="8" t="n"/>
      <c r="F11" s="8" t="n"/>
      <c r="G11" s="8" t="n"/>
      <c r="H11" s="8" t="n"/>
      <c r="I11" s="8" t="n"/>
      <c r="J11" s="8" t="inlineStr">
        <is>
          <t>Management</t>
        </is>
      </c>
      <c r="K11" s="8" t="n"/>
      <c r="L11" s="8" t="inlineStr">
        <is>
          <t>Équipements</t>
        </is>
      </c>
      <c r="M11" s="8" t="n"/>
      <c r="N11" s="8" t="n"/>
      <c r="O11" s="8" t="inlineStr">
        <is>
          <t>Risque psychosocial</t>
        </is>
      </c>
      <c r="P11" s="8" t="inlineStr">
        <is>
          <t>Juin 2025</t>
        </is>
      </c>
      <c r="Q11" s="8" t="n"/>
      <c r="R11" s="8" t="n"/>
      <c r="S11" s="8" t="n"/>
      <c r="T11" s="8" t="n"/>
      <c r="U11" s="8" t="n"/>
      <c r="V11" s="8" t="inlineStr">
        <is>
          <t>Désengagé</t>
        </is>
      </c>
      <c r="W11" s="8" t="n"/>
      <c r="X11" s="8" t="n"/>
      <c r="Y11" s="8" t="n"/>
    </row>
    <row r="12" ht="22" customHeight="1">
      <c r="A12" s="5" t="inlineStr">
        <is>
          <t>Logistique &amp; Approvisionnement</t>
        </is>
      </c>
      <c r="B12" s="5" t="inlineStr">
        <is>
          <t>Chef Logistique</t>
        </is>
      </c>
      <c r="C12" s="5" t="inlineStr">
        <is>
          <t>Application mobile</t>
        </is>
      </c>
      <c r="D12" s="5" t="inlineStr">
        <is>
          <t>Journée portes ouvertes</t>
        </is>
      </c>
      <c r="E12" s="5" t="n"/>
      <c r="F12" s="5" t="n"/>
      <c r="G12" s="5" t="n"/>
      <c r="H12" s="5" t="n"/>
      <c r="I12" s="5" t="n"/>
      <c r="J12" s="5" t="inlineStr">
        <is>
          <t>Rémunération</t>
        </is>
      </c>
      <c r="K12" s="5" t="n"/>
      <c r="L12" s="5" t="inlineStr">
        <is>
          <t>Horaires</t>
        </is>
      </c>
      <c r="M12" s="5" t="n"/>
      <c r="N12" s="5" t="n"/>
      <c r="O12" s="5" t="n"/>
      <c r="P12" s="5" t="inlineStr">
        <is>
          <t>Juillet 2025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22" customHeight="1">
      <c r="A13" s="8" t="inlineStr">
        <is>
          <t>Réception &amp; Front Office</t>
        </is>
      </c>
      <c r="B13" s="8" t="inlineStr">
        <is>
          <t>Chef Réception</t>
        </is>
      </c>
      <c r="C13" s="8" t="inlineStr">
        <is>
          <t>Panneau d'affichage</t>
        </is>
      </c>
      <c r="D13" s="8" t="inlineStr">
        <is>
          <t>Soirée thématique</t>
        </is>
      </c>
      <c r="E13" s="8" t="n"/>
      <c r="F13" s="8" t="n"/>
      <c r="G13" s="8" t="n"/>
      <c r="H13" s="8" t="n"/>
      <c r="I13" s="8" t="n"/>
      <c r="J13" s="8" t="inlineStr">
        <is>
          <t>Formation</t>
        </is>
      </c>
      <c r="K13" s="8" t="n"/>
      <c r="L13" s="8" t="inlineStr">
        <is>
          <t>Relations collègues</t>
        </is>
      </c>
      <c r="M13" s="8" t="n"/>
      <c r="N13" s="8" t="n"/>
      <c r="O13" s="8" t="n"/>
      <c r="P13" s="8" t="inlineStr">
        <is>
          <t>Août 2025</t>
        </is>
      </c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 ht="22" customHeight="1">
      <c r="A14" s="5" t="inlineStr">
        <is>
          <t>Cuisine &amp; Restauration</t>
        </is>
      </c>
      <c r="B14" s="5" t="inlineStr">
        <is>
          <t>Chef Cuisinier</t>
        </is>
      </c>
      <c r="C14" s="5" t="inlineStr">
        <is>
          <t>Réunion générale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inlineStr">
        <is>
          <t>Management</t>
        </is>
      </c>
      <c r="M14" s="5" t="n"/>
      <c r="N14" s="5" t="n"/>
      <c r="O14" s="5" t="n"/>
      <c r="P14" s="5" t="inlineStr">
        <is>
          <t>Septembre 2025</t>
        </is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22" customHeight="1">
      <c r="A15" s="8" t="inlineStr">
        <is>
          <t>Hébergement</t>
        </is>
      </c>
      <c r="B15" s="8" t="inlineStr">
        <is>
          <t>Chef Pâtissier</t>
        </is>
      </c>
      <c r="C15" s="8" t="inlineStr">
        <is>
          <t>Whatsapp groupe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inlineStr">
        <is>
          <t>Sécurité</t>
        </is>
      </c>
      <c r="M15" s="8" t="n"/>
      <c r="N15" s="8" t="n"/>
      <c r="O15" s="8" t="n"/>
      <c r="P15" s="8" t="inlineStr">
        <is>
          <t>Octobre 2025</t>
        </is>
      </c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 ht="22" customHeight="1">
      <c r="A16" s="5" t="inlineStr">
        <is>
          <t>Entretien &amp; Maintenance</t>
        </is>
      </c>
      <c r="B16" s="5" t="inlineStr">
        <is>
          <t>Comptable Senior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inlineStr">
        <is>
          <t>Autre</t>
        </is>
      </c>
      <c r="M16" s="5" t="n"/>
      <c r="N16" s="5" t="n"/>
      <c r="O16" s="5" t="n"/>
      <c r="P16" s="5" t="inlineStr">
        <is>
          <t>Novembre 2025</t>
        </is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22" customHeight="1">
      <c r="A17" s="8" t="inlineStr">
        <is>
          <t>Sécurité</t>
        </is>
      </c>
      <c r="B17" s="8" t="inlineStr">
        <is>
          <t>Chef Entretien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inlineStr">
        <is>
          <t>Décembre 2025</t>
        </is>
      </c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 ht="22" customHeight="1">
      <c r="A18" s="5" t="inlineStr">
        <is>
          <t>Service Client</t>
        </is>
      </c>
      <c r="B18" s="5" t="inlineStr">
        <is>
          <t>Chef Sécurité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22" customHeight="1">
      <c r="A19" s="8" t="inlineStr">
        <is>
          <t>Animation &amp; Loisirs</t>
        </is>
      </c>
      <c r="B19" s="8" t="inlineStr">
        <is>
          <t>Gouvernante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 ht="22" customHeight="1">
      <c r="A20" s="5" t="inlineStr">
        <is>
          <t>Spa &amp; Bien-être</t>
        </is>
      </c>
      <c r="B20" s="5" t="inlineStr">
        <is>
          <t>Resp. Service Client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22" customHeight="1">
      <c r="A21" s="8" t="n"/>
      <c r="B21" s="8" t="inlineStr">
        <is>
          <t>Animatrice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 ht="22" customHeight="1">
      <c r="A22" s="5" t="n"/>
      <c r="B22" s="5" t="inlineStr">
        <is>
          <t>Resp. Spa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22" customHeight="1">
      <c r="A23" s="8" t="n"/>
      <c r="B23" s="8" t="inlineStr">
        <is>
          <t>Agent Réception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 ht="22" customHeight="1">
      <c r="A24" s="5" t="n"/>
      <c r="B24" s="5" t="inlineStr">
        <is>
          <t>Agent Service Client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22" customHeight="1">
      <c r="A25" s="8" t="n"/>
      <c r="B25" s="8" t="inlineStr">
        <is>
          <t>Technicien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</sheetData>
  <mergeCells count="2">
    <mergeCell ref="A3:Y3"/>
    <mergeCell ref="A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18" customWidth="1" min="5" max="5"/>
    <col width="18" customWidth="1" min="6" max="6"/>
    <col width="14" customWidth="1" min="7" max="7"/>
    <col width="4" customWidth="1" min="8" max="8"/>
    <col width="22" customWidth="1" min="9" max="9"/>
    <col width="18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8" customHeight="1"/>
    <row r="2" ht="36" customHeight="1">
      <c r="A2" s="11" t="inlineStr">
        <is>
          <t>DOMAINE 29 — COMMUNICATION INTERNE ET ENGAGEMENT COLLABORATEURS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12" t="inlineStr">
        <is>
          <t>Tableau de Bord Synthétique — Engagement, communication et satisfaction</t>
        </is>
      </c>
    </row>
    <row r="4" ht="8" customHeight="1"/>
    <row r="5" ht="24" customHeight="1">
      <c r="A5" s="13" t="inlineStr">
        <is>
          <t>INDICATEURS CLÉS</t>
        </is>
      </c>
    </row>
    <row r="6" ht="20" customHeight="1">
      <c r="A6" s="14" t="inlineStr">
        <is>
          <t>Score Engagement Moyen</t>
        </is>
      </c>
      <c r="B6" s="15" t="n"/>
      <c r="C6" s="14" t="inlineStr">
        <is>
          <t>Nb Suggestions Reçues</t>
        </is>
      </c>
      <c r="D6" s="15" t="n"/>
      <c r="E6" s="14" t="inlineStr">
        <is>
          <t>Taux Participation Enquêtes</t>
        </is>
      </c>
      <c r="F6" s="15" t="n"/>
      <c r="G6" s="14" t="inlineStr">
        <is>
          <t>Événements Réalisés (Année)</t>
        </is>
      </c>
      <c r="H6" s="15" t="n"/>
      <c r="I6" s="14" t="inlineStr">
        <is>
          <t>Budget Communication Consommé</t>
        </is>
      </c>
      <c r="J6" s="15" t="n"/>
      <c r="K6" s="14" t="inlineStr">
        <is>
          <t>Nb Newsletters Diffusées</t>
        </is>
      </c>
      <c r="L6" s="15" t="n"/>
    </row>
    <row r="7" ht="36" customHeight="1">
      <c r="A7" s="16" t="inlineStr">
        <is>
          <t>75.6%</t>
        </is>
      </c>
      <c r="B7" s="15" t="n"/>
      <c r="C7" s="16" t="inlineStr">
        <is>
          <t>42</t>
        </is>
      </c>
      <c r="D7" s="15" t="n"/>
      <c r="E7" s="16" t="inlineStr">
        <is>
          <t>87%</t>
        </is>
      </c>
      <c r="F7" s="15" t="n"/>
      <c r="G7" s="16" t="inlineStr">
        <is>
          <t>18</t>
        </is>
      </c>
      <c r="H7" s="15" t="n"/>
      <c r="I7" s="16" t="inlineStr">
        <is>
          <t>62%</t>
        </is>
      </c>
      <c r="J7" s="15" t="n"/>
      <c r="K7" s="16" t="inlineStr">
        <is>
          <t>11</t>
        </is>
      </c>
      <c r="L7" s="15" t="n"/>
    </row>
    <row r="8" ht="8" customHeight="1"/>
    <row r="9" ht="24" customHeight="1">
      <c r="A9" s="13" t="inlineStr">
        <is>
          <t>ENGAGEMENT PAR DÉPARTEMENT</t>
        </is>
      </c>
      <c r="I9" s="13" t="inlineStr">
        <is>
          <t>CANAUX LES PLUS UTILISÉS</t>
        </is>
      </c>
    </row>
    <row r="10" ht="26" customHeight="1">
      <c r="A10" s="4" t="inlineStr">
        <is>
          <t>Département</t>
        </is>
      </c>
      <c r="B10" s="4" t="inlineStr">
        <is>
          <t>Effectif</t>
        </is>
      </c>
      <c r="C10" s="4" t="inlineStr">
        <is>
          <t>Score Moyen</t>
        </is>
      </c>
      <c r="D10" s="4" t="inlineStr">
        <is>
          <t>Catégorie Majoritaire</t>
        </is>
      </c>
      <c r="E10" s="4" t="inlineStr">
        <is>
          <t>Nb Suggestions</t>
        </is>
      </c>
      <c r="I10" s="4" t="inlineStr">
        <is>
          <t>Canal</t>
        </is>
      </c>
      <c r="J10" s="4" t="inlineStr">
        <is>
          <t>Nb Publications</t>
        </is>
      </c>
      <c r="K10" s="4" t="inlineStr">
        <is>
          <t>Portée</t>
        </is>
      </c>
      <c r="L10" s="4" t="inlineStr">
        <is>
          <t>Interaction</t>
        </is>
      </c>
    </row>
    <row r="11">
      <c r="A11" s="17" t="inlineStr">
        <is>
          <t>Cuisine &amp; Restauration</t>
        </is>
      </c>
      <c r="B11" s="17" t="n">
        <v>2</v>
      </c>
      <c r="C11" s="7" t="n">
        <v>79</v>
      </c>
      <c r="D11" s="17" t="inlineStr">
        <is>
          <t>Très engagé</t>
        </is>
      </c>
      <c r="E11" s="17" t="n">
        <v>8</v>
      </c>
      <c r="I11" s="17" t="inlineStr">
        <is>
          <t>Intranet</t>
        </is>
      </c>
      <c r="J11" s="17" t="n">
        <v>45</v>
      </c>
      <c r="K11" s="17" t="inlineStr">
        <is>
          <t>100%</t>
        </is>
      </c>
      <c r="L11" s="17" t="inlineStr">
        <is>
          <t>62%</t>
        </is>
      </c>
    </row>
    <row r="12">
      <c r="A12" s="18" t="inlineStr">
        <is>
          <t>Informatique</t>
        </is>
      </c>
      <c r="B12" s="18" t="n">
        <v>1</v>
      </c>
      <c r="C12" s="10" t="n">
        <v>85</v>
      </c>
      <c r="D12" s="18" t="inlineStr">
        <is>
          <t>Très engagé</t>
        </is>
      </c>
      <c r="E12" s="18" t="n">
        <v>6</v>
      </c>
      <c r="I12" s="18" t="inlineStr">
        <is>
          <t>Email interne</t>
        </is>
      </c>
      <c r="J12" s="18" t="n">
        <v>120</v>
      </c>
      <c r="K12" s="18" t="inlineStr">
        <is>
          <t>100%</t>
        </is>
      </c>
      <c r="L12" s="18" t="inlineStr">
        <is>
          <t>38%</t>
        </is>
      </c>
    </row>
    <row r="13">
      <c r="A13" s="17" t="inlineStr">
        <is>
          <t>Marketing &amp; Communication</t>
        </is>
      </c>
      <c r="B13" s="17" t="n">
        <v>1</v>
      </c>
      <c r="C13" s="7" t="n">
        <v>72</v>
      </c>
      <c r="D13" s="17" t="inlineStr">
        <is>
          <t>Engagé</t>
        </is>
      </c>
      <c r="E13" s="17" t="n">
        <v>5</v>
      </c>
      <c r="I13" s="17" t="inlineStr">
        <is>
          <t>Affichage</t>
        </is>
      </c>
      <c r="J13" s="17" t="n">
        <v>30</v>
      </c>
      <c r="K13" s="17" t="inlineStr">
        <is>
          <t>85%</t>
        </is>
      </c>
      <c r="L13" s="17" t="inlineStr">
        <is>
          <t>N/A</t>
        </is>
      </c>
    </row>
    <row r="14">
      <c r="A14" s="18" t="inlineStr">
        <is>
          <t>Finance &amp; Comptabilité</t>
        </is>
      </c>
      <c r="B14" s="18" t="n">
        <v>1</v>
      </c>
      <c r="C14" s="10" t="n">
        <v>68</v>
      </c>
      <c r="D14" s="18" t="inlineStr">
        <is>
          <t>Engagé</t>
        </is>
      </c>
      <c r="E14" s="18" t="n">
        <v>3</v>
      </c>
      <c r="I14" s="18" t="inlineStr">
        <is>
          <t>Newsletter</t>
        </is>
      </c>
      <c r="J14" s="18" t="n">
        <v>11</v>
      </c>
      <c r="K14" s="18" t="inlineStr">
        <is>
          <t>92%</t>
        </is>
      </c>
      <c r="L14" s="18" t="inlineStr">
        <is>
          <t>55%</t>
        </is>
      </c>
    </row>
    <row r="15">
      <c r="A15" s="17" t="inlineStr">
        <is>
          <t>Réception &amp; Front Office</t>
        </is>
      </c>
      <c r="B15" s="17" t="n">
        <v>1</v>
      </c>
      <c r="C15" s="7" t="n">
        <v>90</v>
      </c>
      <c r="D15" s="17" t="inlineStr">
        <is>
          <t>Ambassadeur</t>
        </is>
      </c>
      <c r="E15" s="17" t="n">
        <v>7</v>
      </c>
      <c r="I15" s="17" t="inlineStr">
        <is>
          <t>Réunion d'équipe</t>
        </is>
      </c>
      <c r="J15" s="17" t="n">
        <v>48</v>
      </c>
      <c r="K15" s="17" t="inlineStr">
        <is>
          <t>Par département</t>
        </is>
      </c>
      <c r="L15" s="17" t="inlineStr">
        <is>
          <t>78%</t>
        </is>
      </c>
    </row>
    <row r="16">
      <c r="A16" s="18" t="inlineStr">
        <is>
          <t>Hébergement</t>
        </is>
      </c>
      <c r="B16" s="18" t="n">
        <v>1</v>
      </c>
      <c r="C16" s="10" t="n">
        <v>88</v>
      </c>
      <c r="D16" s="18" t="inlineStr">
        <is>
          <t>Très engagé</t>
        </is>
      </c>
      <c r="E16" s="18" t="n">
        <v>4</v>
      </c>
      <c r="I16" s="18" t="inlineStr">
        <is>
          <t>Tablette digitale</t>
        </is>
      </c>
      <c r="J16" s="18" t="n">
        <v>24</v>
      </c>
      <c r="K16" s="18" t="inlineStr">
        <is>
          <t>65%</t>
        </is>
      </c>
      <c r="L16" s="18" t="inlineStr">
        <is>
          <t>45%</t>
        </is>
      </c>
    </row>
    <row r="17">
      <c r="A17" s="17" t="inlineStr">
        <is>
          <t>Entretien &amp; Maintenance</t>
        </is>
      </c>
      <c r="B17" s="17" t="n">
        <v>1</v>
      </c>
      <c r="C17" s="7" t="n">
        <v>55</v>
      </c>
      <c r="D17" s="17" t="inlineStr">
        <is>
          <t>À surveiller</t>
        </is>
      </c>
      <c r="E17" s="17" t="n">
        <v>2</v>
      </c>
    </row>
    <row r="18">
      <c r="A18" s="18" t="inlineStr">
        <is>
          <t>Ressources Humaines</t>
        </is>
      </c>
      <c r="B18" s="18" t="n">
        <v>1</v>
      </c>
      <c r="C18" s="10" t="n">
        <v>82</v>
      </c>
      <c r="D18" s="18" t="inlineStr">
        <is>
          <t>Très engagé</t>
        </is>
      </c>
      <c r="E18" s="18" t="n">
        <v>3</v>
      </c>
    </row>
    <row r="19">
      <c r="A19" s="17" t="inlineStr">
        <is>
          <t>Commercial</t>
        </is>
      </c>
      <c r="B19" s="17" t="n">
        <v>1</v>
      </c>
      <c r="C19" s="7" t="n">
        <v>75</v>
      </c>
      <c r="D19" s="17" t="inlineStr">
        <is>
          <t>Engagé</t>
        </is>
      </c>
      <c r="E19" s="17" t="n">
        <v>2</v>
      </c>
    </row>
    <row r="20" ht="24" customHeight="1">
      <c r="A20" s="19" t="inlineStr">
        <is>
          <t>ACTIONS PLANIFIÉES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1" t="n"/>
    </row>
    <row r="21">
      <c r="A21" s="4" t="inlineStr">
        <is>
          <t>Action</t>
        </is>
      </c>
      <c r="B21" s="4" t="inlineStr">
        <is>
          <t>Responsable</t>
        </is>
      </c>
      <c r="C21" s="22" t="inlineStr">
        <is>
          <t>Échéance</t>
        </is>
      </c>
      <c r="D21" s="4" t="inlineStr">
        <is>
          <t>Priorité</t>
        </is>
      </c>
      <c r="E21" s="4" t="inlineStr">
        <is>
          <t>Statut</t>
        </is>
      </c>
    </row>
    <row r="22">
      <c r="A22" s="5" t="inlineStr">
        <is>
          <t>Lancer enquête engagement Q2</t>
        </is>
      </c>
      <c r="B22" s="5" t="inlineStr">
        <is>
          <t>DRH</t>
        </is>
      </c>
      <c r="C22" s="23" t="n">
        <v>45748</v>
      </c>
      <c r="D22" s="5" t="inlineStr">
        <is>
          <t>Haute</t>
        </is>
      </c>
      <c r="E22" s="5" t="inlineStr">
        <is>
          <t>En cours</t>
        </is>
      </c>
    </row>
    <row r="23">
      <c r="A23" s="8" t="inlineStr">
        <is>
          <t>Organiser team building annuel</t>
        </is>
      </c>
      <c r="B23" s="8" t="inlineStr">
        <is>
          <t>DRH / DG</t>
        </is>
      </c>
      <c r="C23" s="24" t="n">
        <v>45823</v>
      </c>
      <c r="D23" s="8" t="inlineStr">
        <is>
          <t>Haute</t>
        </is>
      </c>
      <c r="E23" s="8" t="inlineStr">
        <is>
          <t>Planifié</t>
        </is>
      </c>
    </row>
    <row r="24">
      <c r="A24" s="5" t="inlineStr">
        <is>
          <t>Refonte intranet collaborateurs</t>
        </is>
      </c>
      <c r="B24" s="5" t="inlineStr">
        <is>
          <t>DSI / DRH</t>
        </is>
      </c>
      <c r="C24" s="23" t="n">
        <v>45808</v>
      </c>
      <c r="D24" s="5" t="inlineStr">
        <is>
          <t>Moyenne</t>
        </is>
      </c>
      <c r="E24" s="5" t="inlineStr">
        <is>
          <t>En cours</t>
        </is>
      </c>
    </row>
    <row r="25">
      <c r="A25" s="8" t="inlineStr">
        <is>
          <t>Programme reconnaissance mensuel</t>
        </is>
      </c>
      <c r="B25" s="8" t="inlineStr">
        <is>
          <t>DRH</t>
        </is>
      </c>
      <c r="C25" s="24" t="n">
        <v>45717</v>
      </c>
      <c r="D25" s="8" t="inlineStr">
        <is>
          <t>Haute</t>
        </is>
      </c>
      <c r="E25" s="8" t="inlineStr">
        <is>
          <t>En cours</t>
        </is>
      </c>
    </row>
  </sheetData>
  <mergeCells count="18">
    <mergeCell ref="K7:L7"/>
    <mergeCell ref="A3:N3"/>
    <mergeCell ref="C6:D6"/>
    <mergeCell ref="C7:D7"/>
    <mergeCell ref="A7:B7"/>
    <mergeCell ref="E6:F6"/>
    <mergeCell ref="E7:F7"/>
    <mergeCell ref="G7:H7"/>
    <mergeCell ref="I6:J6"/>
    <mergeCell ref="I7:J7"/>
    <mergeCell ref="A2:N2"/>
    <mergeCell ref="A9:G9"/>
    <mergeCell ref="A20:N20"/>
    <mergeCell ref="K6:L6"/>
    <mergeCell ref="I9:N9"/>
    <mergeCell ref="G6:H6"/>
    <mergeCell ref="A5:N5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22" customWidth="1" min="8" max="8"/>
    <col width="18" customWidth="1" min="9" max="9"/>
    <col width="14" customWidth="1" min="10" max="10"/>
    <col width="3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2-ENQUÊTES D'ENGAGEMENT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Enquête</t>
        </is>
      </c>
      <c r="B5" s="4" t="inlineStr">
        <is>
          <t>Type Enquête</t>
        </is>
      </c>
      <c r="C5" s="4" t="inlineStr">
        <is>
          <t>Période</t>
        </is>
      </c>
      <c r="D5" s="4" t="inlineStr">
        <is>
          <t>Date Lancement</t>
        </is>
      </c>
      <c r="E5" s="4" t="inlineStr">
        <is>
          <t>Date Clôture</t>
        </is>
      </c>
      <c r="F5" s="4" t="inlineStr">
        <is>
          <t>Nb Invités</t>
        </is>
      </c>
      <c r="G5" s="4" t="inlineStr">
        <is>
          <t>Nb Réponses</t>
        </is>
      </c>
      <c r="H5" s="4" t="inlineStr">
        <is>
          <t>Taux Participation (%)</t>
        </is>
      </c>
      <c r="I5" s="4" t="inlineStr">
        <is>
          <t>Score Moyen (/5)</t>
        </is>
      </c>
      <c r="J5" s="4" t="inlineStr">
        <is>
          <t>Statut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ENG-2025-T1</t>
        </is>
      </c>
      <c r="B6" s="5" t="inlineStr">
        <is>
          <t>Engagement global</t>
        </is>
      </c>
      <c r="C6" s="5" t="inlineStr">
        <is>
          <t>T1 2025</t>
        </is>
      </c>
      <c r="D6" s="23" t="n">
        <v>45672</v>
      </c>
      <c r="E6" s="23" t="n">
        <v>45687</v>
      </c>
      <c r="F6" s="25" t="n">
        <v>65</v>
      </c>
      <c r="G6" s="25" t="n">
        <v>57</v>
      </c>
      <c r="H6" s="26">
        <f>IF(OR(F6="",G6=""),"",IFERROR(G6/F6*100,0))</f>
        <v/>
      </c>
      <c r="I6" s="25" t="n">
        <v>4.1</v>
      </c>
      <c r="J6" s="5" t="inlineStr">
        <is>
          <t>Terminé</t>
        </is>
      </c>
      <c r="K6" s="5" t="inlineStr">
        <is>
          <t>Très bonne participation</t>
        </is>
      </c>
      <c r="L6" s="5" t="inlineStr"/>
      <c r="M6" s="5" t="inlineStr"/>
      <c r="N6" s="5" t="inlineStr"/>
    </row>
    <row r="7" ht="22" customHeight="1">
      <c r="A7" s="8" t="inlineStr">
        <is>
          <t>SAT-2025-T1</t>
        </is>
      </c>
      <c r="B7" s="8" t="inlineStr">
        <is>
          <t>Satisfaction poste</t>
        </is>
      </c>
      <c r="C7" s="8" t="inlineStr">
        <is>
          <t>T1 2025</t>
        </is>
      </c>
      <c r="D7" s="24" t="n">
        <v>45689</v>
      </c>
      <c r="E7" s="24" t="n">
        <v>45703</v>
      </c>
      <c r="F7" s="27" t="n">
        <v>65</v>
      </c>
      <c r="G7" s="27" t="n">
        <v>52</v>
      </c>
      <c r="H7" s="28">
        <f>IF(OR(F7="",G7=""),"",IFERROR(G7/F7*100,0))</f>
        <v/>
      </c>
      <c r="I7" s="27" t="n">
        <v>3.8</v>
      </c>
      <c r="J7" s="8" t="inlineStr">
        <is>
          <t>Terminé</t>
        </is>
      </c>
      <c r="K7" s="8" t="inlineStr">
        <is>
          <t>Baisse dans entretien</t>
        </is>
      </c>
      <c r="L7" s="8" t="inlineStr"/>
      <c r="M7" s="8" t="inlineStr"/>
      <c r="N7" s="8" t="inlineStr"/>
    </row>
    <row r="8" ht="22" customHeight="1">
      <c r="A8" s="5" t="inlineStr">
        <is>
          <t>COM-2025-T1</t>
        </is>
      </c>
      <c r="B8" s="5" t="inlineStr">
        <is>
          <t>Communication interne</t>
        </is>
      </c>
      <c r="C8" s="5" t="inlineStr">
        <is>
          <t>T1 2025</t>
        </is>
      </c>
      <c r="D8" s="23" t="n">
        <v>45717</v>
      </c>
      <c r="E8" s="23" t="n">
        <v>45730</v>
      </c>
      <c r="F8" s="25" t="n">
        <v>65</v>
      </c>
      <c r="G8" s="25" t="n">
        <v>48</v>
      </c>
      <c r="H8" s="26">
        <f>IF(OR(F8="",G8=""),"",IFERROR(G8/F8*100,0))</f>
        <v/>
      </c>
      <c r="I8" s="25" t="n">
        <v>3.5</v>
      </c>
      <c r="J8" s="5" t="inlineStr">
        <is>
          <t>Terminé</t>
        </is>
      </c>
      <c r="K8" s="5" t="inlineStr">
        <is>
          <t>Points d'amélioration identifiés</t>
        </is>
      </c>
      <c r="L8" s="5" t="inlineStr"/>
      <c r="M8" s="5" t="inlineStr"/>
      <c r="N8" s="5" t="inlineStr"/>
    </row>
    <row r="9" ht="22" customHeight="1">
      <c r="A9" s="8" t="inlineStr">
        <is>
          <t>ENG-2025-T2</t>
        </is>
      </c>
      <c r="B9" s="8" t="inlineStr">
        <is>
          <t>Engagement global</t>
        </is>
      </c>
      <c r="C9" s="8" t="inlineStr">
        <is>
          <t>T2 2025</t>
        </is>
      </c>
      <c r="D9" s="24" t="n">
        <v>45762</v>
      </c>
      <c r="E9" s="24" t="n">
        <v>45777</v>
      </c>
      <c r="F9" s="27" t="n">
        <v>68</v>
      </c>
      <c r="G9" s="8" t="n"/>
      <c r="H9" s="28">
        <f>IF(OR(F9="",G9=""),"",IFERROR(G9/F9*100,0))</f>
        <v/>
      </c>
      <c r="I9" s="8" t="n"/>
      <c r="J9" s="8" t="inlineStr">
        <is>
          <t>Planifié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CLIM-2025-T2</t>
        </is>
      </c>
      <c r="B10" s="5" t="inlineStr">
        <is>
          <t>Climat social</t>
        </is>
      </c>
      <c r="C10" s="5" t="inlineStr">
        <is>
          <t>T2 2025</t>
        </is>
      </c>
      <c r="D10" s="23" t="n">
        <v>45778</v>
      </c>
      <c r="E10" s="23" t="n">
        <v>45792</v>
      </c>
      <c r="F10" s="25" t="n">
        <v>68</v>
      </c>
      <c r="G10" s="5" t="n"/>
      <c r="H10" s="26">
        <f>IF(OR(F10="",G10=""),"",IFERROR(G10/F10*100,0))</f>
        <v/>
      </c>
      <c r="I10" s="5" t="n"/>
      <c r="J10" s="5" t="inlineStr">
        <is>
          <t>Planifié</t>
        </is>
      </c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28">
        <f>IF(OR(F11="",G11=""),"",IFERROR(G11/F11*100,0))</f>
        <v/>
      </c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26">
        <f>IF(OR(F12="",G12=""),"",IFERROR(G12/F12*100,0))</f>
        <v/>
      </c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28">
        <f>IF(OR(F13="",G13=""),"",IFERROR(G13/F13*100,0))</f>
        <v/>
      </c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26">
        <f>IF(OR(F14="",G14=""),"",IFERROR(G14/F14*100,0))</f>
        <v/>
      </c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28">
        <f>IF(OR(F15="",G15=""),"",IFERROR(G15/F15*100,0))</f>
        <v/>
      </c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26">
        <f>IF(OR(F16="",G16=""),"",IFERROR(G16/F16*100,0))</f>
        <v/>
      </c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28">
        <f>IF(OR(F17="",G17=""),"",IFERROR(G17/F17*100,0))</f>
        <v/>
      </c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26">
        <f>IF(OR(F18="",G18=""),"",IFERROR(G18/F18*100,0))</f>
        <v/>
      </c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28">
        <f>IF(OR(F19="",G19=""),"",IFERROR(G19/F19*100,0))</f>
        <v/>
      </c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26">
        <f>IF(OR(F20="",G20=""),"",IFERROR(G20/F20*100,0))</f>
        <v/>
      </c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28">
        <f>IF(OR(F21="",G21=""),"",IFERROR(G21/F21*100,0))</f>
        <v/>
      </c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26">
        <f>IF(OR(F22="",G22=""),"",IFERROR(G22/F22*100,0))</f>
        <v/>
      </c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28">
        <f>IF(OR(F23="",G23=""),"",IFERROR(G23/F23*100,0))</f>
        <v/>
      </c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26">
        <f>IF(OR(F24="",G24=""),"",IFERROR(G24/F24*100,0))</f>
        <v/>
      </c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28">
        <f>IF(OR(F25="",G25=""),"",IFERROR(G25/F25*100,0))</f>
        <v/>
      </c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26">
        <f>IF(OR(F26="",G26=""),"",IFERROR(G26/F26*100,0))</f>
        <v/>
      </c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28">
        <f>IF(OR(F27="",G27=""),"",IFERROR(G27/F27*100,0))</f>
        <v/>
      </c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26">
        <f>IF(OR(F28="",G28=""),"",IFERROR(G28/F28*100,0))</f>
        <v/>
      </c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28">
        <f>IF(OR(F29="",G29=""),"",IFERROR(G29/F29*100,0))</f>
        <v/>
      </c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26">
        <f>IF(OR(F30="",G30=""),"",IFERROR(G30/F30*100,0))</f>
        <v/>
      </c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28">
        <f>IF(OR(F31="",G31=""),"",IFERROR(G31/F31*100,0))</f>
        <v/>
      </c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26">
        <f>IF(OR(F32="",G32=""),"",IFERROR(G32/F32*100,0))</f>
        <v/>
      </c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28">
        <f>IF(OR(F33="",G33=""),"",IFERROR(G33/F33*100,0))</f>
        <v/>
      </c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26">
        <f>IF(OR(F34="",G34=""),"",IFERROR(G34/F34*100,0))</f>
        <v/>
      </c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28">
        <f>IF(OR(F35="",G35=""),"",IFERROR(G35/F35*100,0))</f>
        <v/>
      </c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26">
        <f>IF(OR(F36="",G36=""),"",IFERROR(G36/F36*100,0))</f>
        <v/>
      </c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28">
        <f>IF(OR(F37="",G37=""),"",IFERROR(G37/F37*100,0))</f>
        <v/>
      </c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26">
        <f>IF(OR(F38="",G38=""),"",IFERROR(G38/F38*100,0))</f>
        <v/>
      </c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28">
        <f>IF(OR(F39="",G39=""),"",IFERROR(G39/F39*100,0))</f>
        <v/>
      </c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26">
        <f>IF(OR(F40="",G40=""),"",IFERROR(G40/F40*100,0))</f>
        <v/>
      </c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28">
        <f>IF(OR(F41="",G41=""),"",IFERROR(G41/F41*100,0))</f>
        <v/>
      </c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26">
        <f>IF(OR(F42="",G42=""),"",IFERROR(G42/F42*100,0))</f>
        <v/>
      </c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28">
        <f>IF(OR(F43="",G43=""),"",IFERROR(G43/F43*100,0))</f>
        <v/>
      </c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26">
        <f>IF(OR(F44="",G44=""),"",IFERROR(G44/F44*100,0))</f>
        <v/>
      </c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28">
        <f>IF(OR(F45="",G45=""),"",IFERROR(G45/F45*100,0))</f>
        <v/>
      </c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26">
        <f>IF(OR(F46="",G46=""),"",IFERROR(G46/F46*100,0))</f>
        <v/>
      </c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28">
        <f>IF(OR(F47="",G47=""),"",IFERROR(G47/F47*100,0))</f>
        <v/>
      </c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26">
        <f>IF(OR(F48="",G48=""),"",IFERROR(G48/F48*100,0))</f>
        <v/>
      </c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28">
        <f>IF(OR(F49="",G49=""),"",IFERROR(G49/F49*100,0))</f>
        <v/>
      </c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26">
        <f>IF(OR(F50="",G50=""),"",IFERROR(G50/F50*100,0))</f>
        <v/>
      </c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28">
        <f>IF(OR(F51="",G51=""),"",IFERROR(G51/F51*100,0))</f>
        <v/>
      </c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26">
        <f>IF(OR(F52="",G52=""),"",IFERROR(G52/F52*100,0))</f>
        <v/>
      </c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28">
        <f>IF(OR(F53="",G53=""),"",IFERROR(G53/F53*100,0))</f>
        <v/>
      </c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26">
        <f>IF(OR(F54="",G54=""),"",IFERROR(G54/F54*100,0))</f>
        <v/>
      </c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28">
        <f>IF(OR(F55="",G55=""),"",IFERROR(G55/F55*100,0))</f>
        <v/>
      </c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26">
        <f>IF(OR(F56="",G56=""),"",IFERROR(G56/F56*100,0))</f>
        <v/>
      </c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28">
        <f>IF(OR(F57="",G57=""),"",IFERROR(G57/F57*100,0))</f>
        <v/>
      </c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26">
        <f>IF(OR(F58="",G58=""),"",IFERROR(G58/F58*100,0))</f>
        <v/>
      </c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28">
        <f>IF(OR(F59="",G59=""),"",IFERROR(G59/F59*100,0))</f>
        <v/>
      </c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26">
        <f>IF(OR(F60="",G60=""),"",IFERROR(G60/F60*100,0))</f>
        <v/>
      </c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28">
        <f>IF(OR(F61="",G61=""),"",IFERROR(G61/F61*100,0))</f>
        <v/>
      </c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26">
        <f>IF(OR(F62="",G62=""),"",IFERROR(G62/F62*100,0))</f>
        <v/>
      </c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28">
        <f>IF(OR(F63="",G63=""),"",IFERROR(G63/F63*100,0))</f>
        <v/>
      </c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26">
        <f>IF(OR(F64="",G64=""),"",IFERROR(G64/F64*100,0))</f>
        <v/>
      </c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28">
        <f>IF(OR(F65="",G65=""),"",IFERROR(G65/F65*100,0))</f>
        <v/>
      </c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26">
        <f>IF(OR(F66="",G66=""),"",IFERROR(G66/F66*100,0))</f>
        <v/>
      </c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28">
        <f>IF(OR(F67="",G67=""),"",IFERROR(G67/F67*100,0))</f>
        <v/>
      </c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26">
        <f>IF(OR(F68="",G68=""),"",IFERROR(G68/F68*100,0))</f>
        <v/>
      </c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28">
        <f>IF(OR(F69="",G69=""),"",IFERROR(G69/F69*100,0))</f>
        <v/>
      </c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26">
        <f>IF(OR(F70="",G70=""),"",IFERROR(G70/F70*100,0))</f>
        <v/>
      </c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28">
        <f>IF(OR(F71="",G71=""),"",IFERROR(G71/F71*100,0))</f>
        <v/>
      </c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26">
        <f>IF(OR(F72="",G72=""),"",IFERROR(G72/F72*100,0))</f>
        <v/>
      </c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28">
        <f>IF(OR(F73="",G73=""),"",IFERROR(G73/F73*100,0))</f>
        <v/>
      </c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26">
        <f>IF(OR(F74="",G74=""),"",IFERROR(G74/F74*100,0))</f>
        <v/>
      </c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28">
        <f>IF(OR(F75="",G75=""),"",IFERROR(G75/F75*100,0))</f>
        <v/>
      </c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26">
        <f>IF(OR(F76="",G76=""),"",IFERROR(G76/F76*100,0))</f>
        <v/>
      </c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28">
        <f>IF(OR(F77="",G77=""),"",IFERROR(G77/F77*100,0))</f>
        <v/>
      </c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26">
        <f>IF(OR(F78="",G78=""),"",IFERROR(G78/F78*100,0))</f>
        <v/>
      </c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28">
        <f>IF(OR(F79="",G79=""),"",IFERROR(G79/F79*100,0))</f>
        <v/>
      </c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26">
        <f>IF(OR(F80="",G80=""),"",IFERROR(G80/F80*100,0))</f>
        <v/>
      </c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28">
        <f>IF(OR(F81="",G81=""),"",IFERROR(G81/F81*100,0))</f>
        <v/>
      </c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26">
        <f>IF(OR(F82="",G82=""),"",IFERROR(G82/F82*100,0))</f>
        <v/>
      </c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28">
        <f>IF(OR(F83="",G83=""),"",IFERROR(G83/F83*100,0))</f>
        <v/>
      </c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26">
        <f>IF(OR(F84="",G84=""),"",IFERROR(G84/F84*100,0))</f>
        <v/>
      </c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28">
        <f>IF(OR(F85="",G85=""),"",IFERROR(G85/F85*100,0))</f>
        <v/>
      </c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26">
        <f>IF(OR(F86="",G86=""),"",IFERROR(G86/F86*100,0))</f>
        <v/>
      </c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28">
        <f>IF(OR(F87="",G87=""),"",IFERROR(G87/F87*100,0))</f>
        <v/>
      </c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26">
        <f>IF(OR(F88="",G88=""),"",IFERROR(G88/F88*100,0))</f>
        <v/>
      </c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28">
        <f>IF(OR(F89="",G89=""),"",IFERROR(G89/F89*100,0))</f>
        <v/>
      </c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26">
        <f>IF(OR(F90="",G90=""),"",IFERROR(G90/F90*100,0))</f>
        <v/>
      </c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28">
        <f>IF(OR(F91="",G91=""),"",IFERROR(G91/F91*100,0))</f>
        <v/>
      </c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26">
        <f>IF(OR(F92="",G92=""),"",IFERROR(G92/F92*100,0))</f>
        <v/>
      </c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28">
        <f>IF(OR(F93="",G93=""),"",IFERROR(G93/F93*100,0))</f>
        <v/>
      </c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26">
        <f>IF(OR(F94="",G94=""),"",IFERROR(G94/F94*100,0))</f>
        <v/>
      </c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28">
        <f>IF(OR(F95="",G95=""),"",IFERROR(G95/F95*100,0))</f>
        <v/>
      </c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26">
        <f>IF(OR(F96="",G96=""),"",IFERROR(G96/F96*100,0))</f>
        <v/>
      </c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28">
        <f>IF(OR(F97="",G97=""),"",IFERROR(G97/F97*100,0))</f>
        <v/>
      </c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26">
        <f>IF(OR(F98="",G98=""),"",IFERROR(G98/F98*100,0))</f>
        <v/>
      </c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28">
        <f>IF(OR(F99="",G99=""),"",IFERROR(G99/F99*100,0))</f>
        <v/>
      </c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26">
        <f>IF(OR(F100="",G100=""),"",IFERROR(G100/F100*100,0))</f>
        <v/>
      </c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28">
        <f>IF(OR(F101="",G101=""),"",IFERROR(G101/F101*100,0))</f>
        <v/>
      </c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26">
        <f>IF(OR(F102="",G102=""),"",IFERROR(G102/F102*100,0))</f>
        <v/>
      </c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28">
        <f>IF(OR(F103="",G103=""),"",IFERROR(G103/F103*100,0))</f>
        <v/>
      </c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26">
        <f>IF(OR(F104="",G104=""),"",IFERROR(G104/F104*100,0))</f>
        <v/>
      </c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28">
        <f>IF(OR(F105="",G105=""),"",IFERROR(G105/F105*100,0))</f>
        <v/>
      </c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26">
        <f>IF(OR(F106="",G106=""),"",IFERROR(G106/F106*100,0))</f>
        <v/>
      </c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28">
        <f>IF(OR(F107="",G107=""),"",IFERROR(G107/F107*100,0))</f>
        <v/>
      </c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26">
        <f>IF(OR(F108="",G108=""),"",IFERROR(G108/F108*100,0))</f>
        <v/>
      </c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28">
        <f>IF(OR(F109="",G109=""),"",IFERROR(G109/F109*100,0))</f>
        <v/>
      </c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26">
        <f>IF(OR(F110="",G110=""),"",IFERROR(G110/F110*100,0))</f>
        <v/>
      </c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28">
        <f>IF(OR(F111="",G111=""),"",IFERROR(G111/F111*100,0))</f>
        <v/>
      </c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26">
        <f>IF(OR(F112="",G112=""),"",IFERROR(G112/F112*100,0))</f>
        <v/>
      </c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28">
        <f>IF(OR(F113="",G113=""),"",IFERROR(G113/F113*100,0))</f>
        <v/>
      </c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26">
        <f>IF(OR(F114="",G114=""),"",IFERROR(G114/F114*100,0))</f>
        <v/>
      </c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28">
        <f>IF(OR(F115="",G115=""),"",IFERROR(G115/F115*100,0))</f>
        <v/>
      </c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" error="Valeur invalide" promptTitle="" prompt="Choisir dans la liste: " type="list">
      <formula1>'F02 - _Lists'!$J$6:$J$13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_Lists'!$Q$6:$Q$9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24" customWidth="1" min="4" max="4"/>
    <col width="16" customWidth="1" min="5" max="5"/>
    <col width="20" customWidth="1" min="6" max="6"/>
    <col width="14" customWidth="1" min="7" max="7"/>
    <col width="14" customWidth="1" min="8" max="8"/>
    <col width="16" customWidth="1" min="9" max="9"/>
    <col width="14" customWidth="1" min="10" max="10"/>
    <col width="26" customWidth="1" min="11" max="11"/>
    <col width="16" customWidth="1" min="12" max="12"/>
    <col width="30" customWidth="1" min="13" max="13"/>
    <col width="14" customWidth="1" min="14" max="14"/>
  </cols>
  <sheetData>
    <row r="1" ht="8" customHeight="1"/>
    <row r="2" ht="30" customHeight="1">
      <c r="A2" s="1" t="inlineStr">
        <is>
          <t>3-PLAN DE COMMUNICATION INTERNE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Action</t>
        </is>
      </c>
      <c r="B5" s="4" t="inlineStr">
        <is>
          <t>Objectif Communication</t>
        </is>
      </c>
      <c r="C5" s="4" t="inlineStr">
        <is>
          <t>Cible</t>
        </is>
      </c>
      <c r="D5" s="4" t="inlineStr">
        <is>
          <t>Canal</t>
        </is>
      </c>
      <c r="E5" s="4" t="inlineStr">
        <is>
          <t>Fréquence</t>
        </is>
      </c>
      <c r="F5" s="4" t="inlineStr">
        <is>
          <t>Responsable</t>
        </is>
      </c>
      <c r="G5" s="4" t="inlineStr">
        <is>
          <t>Date Début</t>
        </is>
      </c>
      <c r="H5" s="4" t="inlineStr">
        <is>
          <t>Date Fin</t>
        </is>
      </c>
      <c r="I5" s="4" t="inlineStr">
        <is>
          <t>Budget (FCFA)</t>
        </is>
      </c>
      <c r="J5" s="4" t="inlineStr">
        <is>
          <t>Statut</t>
        </is>
      </c>
      <c r="K5" s="4" t="inlineStr">
        <is>
          <t>Indicateur Succès</t>
        </is>
      </c>
      <c r="L5" s="4" t="inlineStr">
        <is>
          <t>Résultat</t>
        </is>
      </c>
      <c r="M5" s="4" t="inlineStr">
        <is>
          <t>Observations</t>
        </is>
      </c>
      <c r="N5" s="4" t="inlineStr"/>
    </row>
    <row r="6" ht="22" customHeight="1">
      <c r="A6" s="5">
        <f>IF(B6="","",IF(COUNTA($A$6:A6)=0,"COM-ACT-"&amp;TEXT(COUNTA($B$6:B6),"000"),"COM-ACT-"&amp;TEXT(ROW()-5,"000")))</f>
        <v/>
      </c>
      <c r="B6" s="5" t="inlineStr">
        <is>
          <t>Informer sur la stratégie 2025</t>
        </is>
      </c>
      <c r="C6" s="5" t="inlineStr">
        <is>
          <t>Tous</t>
        </is>
      </c>
      <c r="D6" s="5" t="inlineStr">
        <is>
          <t>Réunion générale</t>
        </is>
      </c>
      <c r="E6" s="5" t="inlineStr">
        <is>
          <t>Trimestrielle</t>
        </is>
      </c>
      <c r="F6" s="5" t="inlineStr">
        <is>
          <t>DG / DRH</t>
        </is>
      </c>
      <c r="G6" s="23" t="n">
        <v>45672</v>
      </c>
      <c r="H6" s="23" t="n">
        <v>46022</v>
      </c>
      <c r="I6" s="25" t="n">
        <v>50000</v>
      </c>
      <c r="J6" s="5" t="inlineStr">
        <is>
          <t>En cours</t>
        </is>
      </c>
      <c r="K6" s="5" t="inlineStr">
        <is>
          <t>Taux présence ≥ 80%</t>
        </is>
      </c>
      <c r="L6" s="5" t="inlineStr">
        <is>
          <t>85%</t>
        </is>
      </c>
      <c r="M6" s="5" t="inlineStr"/>
      <c r="N6" s="5" t="inlineStr"/>
    </row>
    <row r="7" ht="22" customHeight="1">
      <c r="A7" s="8">
        <f>IF(B7="","",IF(COUNTA($A$6:A7)=0,"COM-ACT-"&amp;TEXT(COUNTA($B$6:B7),"000"),"COM-ACT-"&amp;TEXT(ROW()-5,"000")))</f>
        <v/>
      </c>
      <c r="B7" s="8" t="inlineStr">
        <is>
          <t>Partager les résultats financiers</t>
        </is>
      </c>
      <c r="C7" s="8" t="inlineStr">
        <is>
          <t>Cadres</t>
        </is>
      </c>
      <c r="D7" s="8" t="inlineStr">
        <is>
          <t>Email interne</t>
        </is>
      </c>
      <c r="E7" s="8" t="inlineStr">
        <is>
          <t>Trimestrielle</t>
        </is>
      </c>
      <c r="F7" s="8" t="inlineStr">
        <is>
          <t>DAF</t>
        </is>
      </c>
      <c r="G7" s="24" t="n">
        <v>45689</v>
      </c>
      <c r="H7" s="24" t="n">
        <v>46022</v>
      </c>
      <c r="I7" s="27" t="n">
        <v>0</v>
      </c>
      <c r="J7" s="8" t="inlineStr">
        <is>
          <t>En cours</t>
        </is>
      </c>
      <c r="K7" s="8" t="inlineStr">
        <is>
          <t>Ouverture email ≥ 70%</t>
        </is>
      </c>
      <c r="L7" s="8" t="inlineStr">
        <is>
          <t>72%</t>
        </is>
      </c>
      <c r="M7" s="8" t="inlineStr"/>
      <c r="N7" s="8" t="inlineStr"/>
    </row>
    <row r="8" ht="22" customHeight="1">
      <c r="A8" s="5">
        <f>IF(B8="","",IF(COUNTA($A$6:A8)=0,"COM-ACT-"&amp;TEXT(COUNTA($B$6:B8),"000"),"COM-ACT-"&amp;TEXT(ROW()-5,"000")))</f>
        <v/>
      </c>
      <c r="B8" s="5" t="inlineStr">
        <is>
          <t>Animer la vie sociale</t>
        </is>
      </c>
      <c r="C8" s="5" t="inlineStr">
        <is>
          <t>Tous</t>
        </is>
      </c>
      <c r="D8" s="5" t="inlineStr">
        <is>
          <t>Affichage + Intranet</t>
        </is>
      </c>
      <c r="E8" s="5" t="inlineStr">
        <is>
          <t>Mensuelle</t>
        </is>
      </c>
      <c r="F8" s="5" t="inlineStr">
        <is>
          <t>DRH</t>
        </is>
      </c>
      <c r="G8" s="23" t="n">
        <v>45658</v>
      </c>
      <c r="H8" s="23" t="n">
        <v>46022</v>
      </c>
      <c r="I8" s="25" t="n">
        <v>200000</v>
      </c>
      <c r="J8" s="5" t="inlineStr">
        <is>
          <t>En cours</t>
        </is>
      </c>
      <c r="K8" s="5" t="inlineStr">
        <is>
          <t>1 événement/mois</t>
        </is>
      </c>
      <c r="L8" s="5" t="inlineStr">
        <is>
          <t>En cours</t>
        </is>
      </c>
      <c r="M8" s="5" t="inlineStr"/>
      <c r="N8" s="5" t="inlineStr"/>
    </row>
    <row r="9" ht="22" customHeight="1">
      <c r="A9" s="8">
        <f>IF(B9="","",IF(COUNTA($A$6:A9)=0,"COM-ACT-"&amp;TEXT(COUNTA($B$6:B9),"000"),"COM-ACT-"&amp;TEXT(ROW()-5,"000")))</f>
        <v/>
      </c>
      <c r="B9" s="8" t="inlineStr">
        <is>
          <t>Diffuser newsletter interne</t>
        </is>
      </c>
      <c r="C9" s="8" t="inlineStr">
        <is>
          <t>Tous</t>
        </is>
      </c>
      <c r="D9" s="8" t="inlineStr">
        <is>
          <t>Email + Intranet</t>
        </is>
      </c>
      <c r="E9" s="8" t="inlineStr">
        <is>
          <t>Mensuelle</t>
        </is>
      </c>
      <c r="F9" s="8" t="inlineStr">
        <is>
          <t>Resp. Marketing</t>
        </is>
      </c>
      <c r="G9" s="24" t="n">
        <v>45667</v>
      </c>
      <c r="H9" s="24" t="n">
        <v>46022</v>
      </c>
      <c r="I9" s="27" t="n">
        <v>120000</v>
      </c>
      <c r="J9" s="8" t="inlineStr">
        <is>
          <t>En cours</t>
        </is>
      </c>
      <c r="K9" s="8" t="inlineStr">
        <is>
          <t>Taux lecture ≥ 55%</t>
        </is>
      </c>
      <c r="L9" s="8" t="inlineStr">
        <is>
          <t>58%</t>
        </is>
      </c>
      <c r="M9" s="8" t="inlineStr"/>
      <c r="N9" s="8" t="inlineStr"/>
    </row>
    <row r="10" ht="22" customHeight="1">
      <c r="A10" s="5">
        <f>IF(B10="","",IF(COUNTA($A$6:A10)=0,"COM-ACT-"&amp;TEXT(COUNTA($B$6:B10),"000"),"COM-ACT-"&amp;TEXT(ROW()-5,"000")))</f>
        <v/>
      </c>
      <c r="B10" s="5" t="inlineStr">
        <is>
          <t>Sensibiliser QVT</t>
        </is>
      </c>
      <c r="C10" s="5" t="inlineStr">
        <is>
          <t>Tous</t>
        </is>
      </c>
      <c r="D10" s="5" t="inlineStr">
        <is>
          <t>Tablette digitale</t>
        </is>
      </c>
      <c r="E10" s="5" t="inlineStr">
        <is>
          <t>Mensuelle</t>
        </is>
      </c>
      <c r="F10" s="5" t="inlineStr">
        <is>
          <t>DRH / CSSCT</t>
        </is>
      </c>
      <c r="G10" s="23" t="n">
        <v>45717</v>
      </c>
      <c r="H10" s="23" t="n">
        <v>45930</v>
      </c>
      <c r="I10" s="25" t="n">
        <v>80000</v>
      </c>
      <c r="J10" s="5" t="inlineStr">
        <is>
          <t>Planifié</t>
        </is>
      </c>
      <c r="K10" s="5" t="inlineStr">
        <is>
          <t>Score QVT hausse 5%</t>
        </is>
      </c>
      <c r="L10" s="5" t="inlineStr"/>
      <c r="M10" s="5" t="inlineStr"/>
      <c r="N10" s="5" t="inlineStr"/>
    </row>
    <row r="11" ht="22" customHeight="1">
      <c r="A11" s="8">
        <f>IF(B11="","",IF(COUNTA($A$6:A11)=0,"COM-ACT-"&amp;TEXT(COUNTA($B$6:B11),"000"),"COM-ACT-"&amp;TEXT(ROW()-5,"000")))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>
        <f>IF(B12="","",IF(COUNTA($A$6:A12)=0,"COM-ACT-"&amp;TEXT(COUNTA($B$6:B12),"000"),"COM-ACT-"&amp;TEXT(ROW()-5,"000")))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>
        <f>IF(B13="","",IF(COUNTA($A$6:A13)=0,"COM-ACT-"&amp;TEXT(COUNTA($B$6:B13),"000"),"COM-ACT-"&amp;TEXT(ROW()-5,"000")))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>
        <f>IF(B14="","",IF(COUNTA($A$6:A14)=0,"COM-ACT-"&amp;TEXT(COUNTA($B$6:B14),"000"),"COM-ACT-"&amp;TEXT(ROW()-5,"000")))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>
        <f>IF(B15="","",IF(COUNTA($A$6:A15)=0,"COM-ACT-"&amp;TEXT(COUNTA($B$6:B15),"000"),"COM-ACT-"&amp;TEXT(ROW()-5,"000")))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>
        <f>IF(B16="","",IF(COUNTA($A$6:A16)=0,"COM-ACT-"&amp;TEXT(COUNTA($B$6:B16),"000"),"COM-ACT-"&amp;TEXT(ROW()-5,"000")))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>
        <f>IF(B17="","",IF(COUNTA($A$6:A17)=0,"COM-ACT-"&amp;TEXT(COUNTA($B$6:B17),"000"),"COM-ACT-"&amp;TEXT(ROW()-5,"000")))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>
        <f>IF(B18="","",IF(COUNTA($A$6:A18)=0,"COM-ACT-"&amp;TEXT(COUNTA($B$6:B18),"000"),"COM-ACT-"&amp;TEXT(ROW()-5,"000")))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>
        <f>IF(B19="","",IF(COUNTA($A$6:A19)=0,"COM-ACT-"&amp;TEXT(COUNTA($B$6:B19),"000"),"COM-ACT-"&amp;TEXT(ROW()-5,"000")))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>
        <f>IF(B20="","",IF(COUNTA($A$6:A20)=0,"COM-ACT-"&amp;TEXT(COUNTA($B$6:B20),"000"),"COM-ACT-"&amp;TEXT(ROW()-5,"000")))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>
        <f>IF(B21="","",IF(COUNTA($A$6:A21)=0,"COM-ACT-"&amp;TEXT(COUNTA($B$6:B21),"000"),"COM-ACT-"&amp;TEXT(ROW()-5,"000")))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>
        <f>IF(B22="","",IF(COUNTA($A$6:A22)=0,"COM-ACT-"&amp;TEXT(COUNTA($B$6:B22),"000"),"COM-ACT-"&amp;TEXT(ROW()-5,"000")))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>
        <f>IF(B23="","",IF(COUNTA($A$6:A23)=0,"COM-ACT-"&amp;TEXT(COUNTA($B$6:B23),"000"),"COM-ACT-"&amp;TEXT(ROW()-5,"000")))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>
        <f>IF(B24="","",IF(COUNTA($A$6:A24)=0,"COM-ACT-"&amp;TEXT(COUNTA($B$6:B24),"000"),"COM-ACT-"&amp;TEXT(ROW()-5,"000")))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>
        <f>IF(B25="","",IF(COUNTA($A$6:A25)=0,"COM-ACT-"&amp;TEXT(COUNTA($B$6:B25),"000"),"COM-ACT-"&amp;TEXT(ROW()-5,"000")))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>
        <f>IF(B26="","",IF(COUNTA($A$6:A26)=0,"COM-ACT-"&amp;TEXT(COUNTA($B$6:B26),"000"),"COM-ACT-"&amp;TEXT(ROW()-5,"000")))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>
        <f>IF(B27="","",IF(COUNTA($A$6:A27)=0,"COM-ACT-"&amp;TEXT(COUNTA($B$6:B27),"000"),"COM-ACT-"&amp;TEXT(ROW()-5,"000")))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>
        <f>IF(B28="","",IF(COUNTA($A$6:A28)=0,"COM-ACT-"&amp;TEXT(COUNTA($B$6:B28),"000"),"COM-ACT-"&amp;TEXT(ROW()-5,"000")))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>
        <f>IF(B29="","",IF(COUNTA($A$6:A29)=0,"COM-ACT-"&amp;TEXT(COUNTA($B$6:B29),"000"),"COM-ACT-"&amp;TEXT(ROW()-5,"000")))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>
        <f>IF(B30="","",IF(COUNTA($A$6:A30)=0,"COM-ACT-"&amp;TEXT(COUNTA($B$6:B30),"000"),"COM-ACT-"&amp;TEXT(ROW()-5,"000")))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>
        <f>IF(B31="","",IF(COUNTA($A$6:A31)=0,"COM-ACT-"&amp;TEXT(COUNTA($B$6:B31),"000"),"COM-ACT-"&amp;TEXT(ROW()-5,"000")))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>
        <f>IF(B32="","",IF(COUNTA($A$6:A32)=0,"COM-ACT-"&amp;TEXT(COUNTA($B$6:B32),"000"),"COM-ACT-"&amp;TEXT(ROW()-5,"000")))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>
        <f>IF(B33="","",IF(COUNTA($A$6:A33)=0,"COM-ACT-"&amp;TEXT(COUNTA($B$6:B33),"000"),"COM-ACT-"&amp;TEXT(ROW()-5,"000")))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>
        <f>IF(B34="","",IF(COUNTA($A$6:A34)=0,"COM-ACT-"&amp;TEXT(COUNTA($B$6:B34),"000"),"COM-ACT-"&amp;TEXT(ROW()-5,"000")))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>
        <f>IF(B35="","",IF(COUNTA($A$6:A35)=0,"COM-ACT-"&amp;TEXT(COUNTA($B$6:B35),"000"),"COM-ACT-"&amp;TEXT(ROW()-5,"000")))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>
        <f>IF(B36="","",IF(COUNTA($A$6:A36)=0,"COM-ACT-"&amp;TEXT(COUNTA($B$6:B36),"000"),"COM-ACT-"&amp;TEXT(ROW()-5,"000")))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>
        <f>IF(B37="","",IF(COUNTA($A$6:A37)=0,"COM-ACT-"&amp;TEXT(COUNTA($B$6:B37),"000"),"COM-ACT-"&amp;TEXT(ROW()-5,"000")))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>
        <f>IF(B38="","",IF(COUNTA($A$6:A38)=0,"COM-ACT-"&amp;TEXT(COUNTA($B$6:B38),"000"),"COM-ACT-"&amp;TEXT(ROW()-5,"000")))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>
        <f>IF(B39="","",IF(COUNTA($A$6:A39)=0,"COM-ACT-"&amp;TEXT(COUNTA($B$6:B39),"000"),"COM-ACT-"&amp;TEXT(ROW()-5,"000")))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>
        <f>IF(B40="","",IF(COUNTA($A$6:A40)=0,"COM-ACT-"&amp;TEXT(COUNTA($B$6:B40),"000"),"COM-ACT-"&amp;TEXT(ROW()-5,"000")))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>
        <f>IF(B41="","",IF(COUNTA($A$6:A41)=0,"COM-ACT-"&amp;TEXT(COUNTA($B$6:B41),"000"),"COM-ACT-"&amp;TEXT(ROW()-5,"000")))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>
        <f>IF(B42="","",IF(COUNTA($A$6:A42)=0,"COM-ACT-"&amp;TEXT(COUNTA($B$6:B42),"000"),"COM-ACT-"&amp;TEXT(ROW()-5,"000")))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>
        <f>IF(B43="","",IF(COUNTA($A$6:A43)=0,"COM-ACT-"&amp;TEXT(COUNTA($B$6:B43),"000"),"COM-ACT-"&amp;TEXT(ROW()-5,"000")))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>
        <f>IF(B44="","",IF(COUNTA($A$6:A44)=0,"COM-ACT-"&amp;TEXT(COUNTA($B$6:B44),"000"),"COM-ACT-"&amp;TEXT(ROW()-5,"000")))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>
        <f>IF(B45="","",IF(COUNTA($A$6:A45)=0,"COM-ACT-"&amp;TEXT(COUNTA($B$6:B45),"000"),"COM-ACT-"&amp;TEXT(ROW()-5,"000")))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>
        <f>IF(B46="","",IF(COUNTA($A$6:A46)=0,"COM-ACT-"&amp;TEXT(COUNTA($B$6:B46),"000"),"COM-ACT-"&amp;TEXT(ROW()-5,"000")))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>
        <f>IF(B47="","",IF(COUNTA($A$6:A47)=0,"COM-ACT-"&amp;TEXT(COUNTA($B$6:B47),"000"),"COM-ACT-"&amp;TEXT(ROW()-5,"000")))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>
        <f>IF(B48="","",IF(COUNTA($A$6:A48)=0,"COM-ACT-"&amp;TEXT(COUNTA($B$6:B48),"000"),"COM-ACT-"&amp;TEXT(ROW()-5,"000")))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>
        <f>IF(B49="","",IF(COUNTA($A$6:A49)=0,"COM-ACT-"&amp;TEXT(COUNTA($B$6:B49),"000"),"COM-ACT-"&amp;TEXT(ROW()-5,"000")))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>
        <f>IF(B50="","",IF(COUNTA($A$6:A50)=0,"COM-ACT-"&amp;TEXT(COUNTA($B$6:B50),"000"),"COM-ACT-"&amp;TEXT(ROW()-5,"000")))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>
        <f>IF(B51="","",IF(COUNTA($A$6:A51)=0,"COM-ACT-"&amp;TEXT(COUNTA($B$6:B51),"000"),"COM-ACT-"&amp;TEXT(ROW()-5,"000")))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>
        <f>IF(B52="","",IF(COUNTA($A$6:A52)=0,"COM-ACT-"&amp;TEXT(COUNTA($B$6:B52),"000"),"COM-ACT-"&amp;TEXT(ROW()-5,"000")))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>
        <f>IF(B53="","",IF(COUNTA($A$6:A53)=0,"COM-ACT-"&amp;TEXT(COUNTA($B$6:B53),"000"),"COM-ACT-"&amp;TEXT(ROW()-5,"000")))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>
        <f>IF(B54="","",IF(COUNTA($A$6:A54)=0,"COM-ACT-"&amp;TEXT(COUNTA($B$6:B54),"000"),"COM-ACT-"&amp;TEXT(ROW()-5,"000")))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>
        <f>IF(B55="","",IF(COUNTA($A$6:A55)=0,"COM-ACT-"&amp;TEXT(COUNTA($B$6:B55),"000"),"COM-ACT-"&amp;TEXT(ROW()-5,"000")))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>
        <f>IF(B56="","",IF(COUNTA($A$6:A56)=0,"COM-ACT-"&amp;TEXT(COUNTA($B$6:B56),"000"),"COM-ACT-"&amp;TEXT(ROW()-5,"000")))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>
        <f>IF(B57="","",IF(COUNTA($A$6:A57)=0,"COM-ACT-"&amp;TEXT(COUNTA($B$6:B57),"000"),"COM-ACT-"&amp;TEXT(ROW()-5,"000")))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>
        <f>IF(B58="","",IF(COUNTA($A$6:A58)=0,"COM-ACT-"&amp;TEXT(COUNTA($B$6:B58),"000"),"COM-ACT-"&amp;TEXT(ROW()-5,"000")))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>
        <f>IF(B59="","",IF(COUNTA($A$6:A59)=0,"COM-ACT-"&amp;TEXT(COUNTA($B$6:B59),"000"),"COM-ACT-"&amp;TEXT(ROW()-5,"000")))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>
        <f>IF(B60="","",IF(COUNTA($A$6:A60)=0,"COM-ACT-"&amp;TEXT(COUNTA($B$6:B60),"000"),"COM-ACT-"&amp;TEXT(ROW()-5,"000")))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>
        <f>IF(B61="","",IF(COUNTA($A$6:A61)=0,"COM-ACT-"&amp;TEXT(COUNTA($B$6:B61),"000"),"COM-ACT-"&amp;TEXT(ROW()-5,"000")))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>
        <f>IF(B62="","",IF(COUNTA($A$6:A62)=0,"COM-ACT-"&amp;TEXT(COUNTA($B$6:B62),"000"),"COM-ACT-"&amp;TEXT(ROW()-5,"000")))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>
        <f>IF(B63="","",IF(COUNTA($A$6:A63)=0,"COM-ACT-"&amp;TEXT(COUNTA($B$6:B63),"000"),"COM-ACT-"&amp;TEXT(ROW()-5,"000")))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>
        <f>IF(B64="","",IF(COUNTA($A$6:A64)=0,"COM-ACT-"&amp;TEXT(COUNTA($B$6:B64),"000"),"COM-ACT-"&amp;TEXT(ROW()-5,"000")))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>
        <f>IF(B65="","",IF(COUNTA($A$6:A65)=0,"COM-ACT-"&amp;TEXT(COUNTA($B$6:B65),"000"),"COM-ACT-"&amp;TEXT(ROW()-5,"000")))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>
        <f>IF(B66="","",IF(COUNTA($A$6:A66)=0,"COM-ACT-"&amp;TEXT(COUNTA($B$6:B66),"000"),"COM-ACT-"&amp;TEXT(ROW()-5,"000")))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>
        <f>IF(B67="","",IF(COUNTA($A$6:A67)=0,"COM-ACT-"&amp;TEXT(COUNTA($B$6:B67),"000"),"COM-ACT-"&amp;TEXT(ROW()-5,"000")))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>
        <f>IF(B68="","",IF(COUNTA($A$6:A68)=0,"COM-ACT-"&amp;TEXT(COUNTA($B$6:B68),"000"),"COM-ACT-"&amp;TEXT(ROW()-5,"000")))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>
        <f>IF(B69="","",IF(COUNTA($A$6:A69)=0,"COM-ACT-"&amp;TEXT(COUNTA($B$6:B69),"000"),"COM-ACT-"&amp;TEXT(ROW()-5,"000")))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>
        <f>IF(B70="","",IF(COUNTA($A$6:A70)=0,"COM-ACT-"&amp;TEXT(COUNTA($B$6:B70),"000"),"COM-ACT-"&amp;TEXT(ROW()-5,"000")))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>
        <f>IF(B71="","",IF(COUNTA($A$6:A71)=0,"COM-ACT-"&amp;TEXT(COUNTA($B$6:B71),"000"),"COM-ACT-"&amp;TEXT(ROW()-5,"000")))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>
        <f>IF(B72="","",IF(COUNTA($A$6:A72)=0,"COM-ACT-"&amp;TEXT(COUNTA($B$6:B72),"000"),"COM-ACT-"&amp;TEXT(ROW()-5,"000")))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>
        <f>IF(B73="","",IF(COUNTA($A$6:A73)=0,"COM-ACT-"&amp;TEXT(COUNTA($B$6:B73),"000"),"COM-ACT-"&amp;TEXT(ROW()-5,"000")))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>
        <f>IF(B74="","",IF(COUNTA($A$6:A74)=0,"COM-ACT-"&amp;TEXT(COUNTA($B$6:B74),"000"),"COM-ACT-"&amp;TEXT(ROW()-5,"000")))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>
        <f>IF(B75="","",IF(COUNTA($A$6:A75)=0,"COM-ACT-"&amp;TEXT(COUNTA($B$6:B75),"000"),"COM-ACT-"&amp;TEXT(ROW()-5,"000")))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>
        <f>IF(B76="","",IF(COUNTA($A$6:A76)=0,"COM-ACT-"&amp;TEXT(COUNTA($B$6:B76),"000"),"COM-ACT-"&amp;TEXT(ROW()-5,"000")))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>
        <f>IF(B77="","",IF(COUNTA($A$6:A77)=0,"COM-ACT-"&amp;TEXT(COUNTA($B$6:B77),"000"),"COM-ACT-"&amp;TEXT(ROW()-5,"000")))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>
        <f>IF(B78="","",IF(COUNTA($A$6:A78)=0,"COM-ACT-"&amp;TEXT(COUNTA($B$6:B78),"000"),"COM-ACT-"&amp;TEXT(ROW()-5,"000")))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>
        <f>IF(B79="","",IF(COUNTA($A$6:A79)=0,"COM-ACT-"&amp;TEXT(COUNTA($B$6:B79),"000"),"COM-ACT-"&amp;TEXT(ROW()-5,"000")))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>
        <f>IF(B80="","",IF(COUNTA($A$6:A80)=0,"COM-ACT-"&amp;TEXT(COUNTA($B$6:B80),"000"),"COM-ACT-"&amp;TEXT(ROW()-5,"000")))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>
        <f>IF(B81="","",IF(COUNTA($A$6:A81)=0,"COM-ACT-"&amp;TEXT(COUNTA($B$6:B81),"000"),"COM-ACT-"&amp;TEXT(ROW()-5,"000")))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>
        <f>IF(B82="","",IF(COUNTA($A$6:A82)=0,"COM-ACT-"&amp;TEXT(COUNTA($B$6:B82),"000"),"COM-ACT-"&amp;TEXT(ROW()-5,"000")))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>
        <f>IF(B83="","",IF(COUNTA($A$6:A83)=0,"COM-ACT-"&amp;TEXT(COUNTA($B$6:B83),"000"),"COM-ACT-"&amp;TEXT(ROW()-5,"000")))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>
        <f>IF(B84="","",IF(COUNTA($A$6:A84)=0,"COM-ACT-"&amp;TEXT(COUNTA($B$6:B84),"000"),"COM-ACT-"&amp;TEXT(ROW()-5,"000")))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>
        <f>IF(B85="","",IF(COUNTA($A$6:A85)=0,"COM-ACT-"&amp;TEXT(COUNTA($B$6:B85),"000"),"COM-ACT-"&amp;TEXT(ROW()-5,"000")))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>
        <f>IF(B86="","",IF(COUNTA($A$6:A86)=0,"COM-ACT-"&amp;TEXT(COUNTA($B$6:B86),"000"),"COM-ACT-"&amp;TEXT(ROW()-5,"000")))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>
        <f>IF(B87="","",IF(COUNTA($A$6:A87)=0,"COM-ACT-"&amp;TEXT(COUNTA($B$6:B87),"000"),"COM-ACT-"&amp;TEXT(ROW()-5,"000")))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>
        <f>IF(B88="","",IF(COUNTA($A$6:A88)=0,"COM-ACT-"&amp;TEXT(COUNTA($B$6:B88),"000"),"COM-ACT-"&amp;TEXT(ROW()-5,"000")))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>
        <f>IF(B89="","",IF(COUNTA($A$6:A89)=0,"COM-ACT-"&amp;TEXT(COUNTA($B$6:B89),"000"),"COM-ACT-"&amp;TEXT(ROW()-5,"000")))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>
        <f>IF(B90="","",IF(COUNTA($A$6:A90)=0,"COM-ACT-"&amp;TEXT(COUNTA($B$6:B90),"000"),"COM-ACT-"&amp;TEXT(ROW()-5,"000")))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>
        <f>IF(B91="","",IF(COUNTA($A$6:A91)=0,"COM-ACT-"&amp;TEXT(COUNTA($B$6:B91),"000"),"COM-ACT-"&amp;TEXT(ROW()-5,"000")))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>
        <f>IF(B92="","",IF(COUNTA($A$6:A92)=0,"COM-ACT-"&amp;TEXT(COUNTA($B$6:B92),"000"),"COM-ACT-"&amp;TEXT(ROW()-5,"000")))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>
        <f>IF(B93="","",IF(COUNTA($A$6:A93)=0,"COM-ACT-"&amp;TEXT(COUNTA($B$6:B93),"000"),"COM-ACT-"&amp;TEXT(ROW()-5,"000")))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>
        <f>IF(B94="","",IF(COUNTA($A$6:A94)=0,"COM-ACT-"&amp;TEXT(COUNTA($B$6:B94),"000"),"COM-ACT-"&amp;TEXT(ROW()-5,"000")))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>
        <f>IF(B95="","",IF(COUNTA($A$6:A95)=0,"COM-ACT-"&amp;TEXT(COUNTA($B$6:B95),"000"),"COM-ACT-"&amp;TEXT(ROW()-5,"000")))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>
        <f>IF(B96="","",IF(COUNTA($A$6:A96)=0,"COM-ACT-"&amp;TEXT(COUNTA($B$6:B96),"000"),"COM-ACT-"&amp;TEXT(ROW()-5,"000")))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>
        <f>IF(B97="","",IF(COUNTA($A$6:A97)=0,"COM-ACT-"&amp;TEXT(COUNTA($B$6:B97),"000"),"COM-ACT-"&amp;TEXT(ROW()-5,"000")))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>
        <f>IF(B98="","",IF(COUNTA($A$6:A98)=0,"COM-ACT-"&amp;TEXT(COUNTA($B$6:B98),"000"),"COM-ACT-"&amp;TEXT(ROW()-5,"000")))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>
        <f>IF(B99="","",IF(COUNTA($A$6:A99)=0,"COM-ACT-"&amp;TEXT(COUNTA($B$6:B99),"000"),"COM-ACT-"&amp;TEXT(ROW()-5,"000")))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>
        <f>IF(B100="","",IF(COUNTA($A$6:A100)=0,"COM-ACT-"&amp;TEXT(COUNTA($B$6:B100),"000"),"COM-ACT-"&amp;TEXT(ROW()-5,"000")))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>
        <f>IF(B101="","",IF(COUNTA($A$6:A101)=0,"COM-ACT-"&amp;TEXT(COUNTA($B$6:B101),"000"),"COM-ACT-"&amp;TEXT(ROW()-5,"000")))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>
        <f>IF(B102="","",IF(COUNTA($A$6:A102)=0,"COM-ACT-"&amp;TEXT(COUNTA($B$6:B102),"000"),"COM-ACT-"&amp;TEXT(ROW()-5,"000")))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>
        <f>IF(B103="","",IF(COUNTA($A$6:A103)=0,"COM-ACT-"&amp;TEXT(COUNTA($B$6:B103),"000"),"COM-ACT-"&amp;TEXT(ROW()-5,"000")))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>
        <f>IF(B104="","",IF(COUNTA($A$6:A104)=0,"COM-ACT-"&amp;TEXT(COUNTA($B$6:B104),"000"),"COM-ACT-"&amp;TEXT(ROW()-5,"000")))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>
        <f>IF(B105="","",IF(COUNTA($A$6:A105)=0,"COM-ACT-"&amp;TEXT(COUNTA($B$6:B105),"000"),"COM-ACT-"&amp;TEXT(ROW()-5,"000")))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>
        <f>IF(B106="","",IF(COUNTA($A$6:A106)=0,"COM-ACT-"&amp;TEXT(COUNTA($B$6:B106),"000"),"COM-ACT-"&amp;TEXT(ROW()-5,"000")))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>
        <f>IF(B107="","",IF(COUNTA($A$6:A107)=0,"COM-ACT-"&amp;TEXT(COUNTA($B$6:B107),"000"),"COM-ACT-"&amp;TEXT(ROW()-5,"000")))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>
        <f>IF(B108="","",IF(COUNTA($A$6:A108)=0,"COM-ACT-"&amp;TEXT(COUNTA($B$6:B108),"000"),"COM-ACT-"&amp;TEXT(ROW()-5,"000")))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>
        <f>IF(B109="","",IF(COUNTA($A$6:A109)=0,"COM-ACT-"&amp;TEXT(COUNTA($B$6:B109),"000"),"COM-ACT-"&amp;TEXT(ROW()-5,"000")))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>
        <f>IF(B110="","",IF(COUNTA($A$6:A110)=0,"COM-ACT-"&amp;TEXT(COUNTA($B$6:B110),"000"),"COM-ACT-"&amp;TEXT(ROW()-5,"000")))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>
        <f>IF(B111="","",IF(COUNTA($A$6:A111)=0,"COM-ACT-"&amp;TEXT(COUNTA($B$6:B111),"000"),"COM-ACT-"&amp;TEXT(ROW()-5,"000")))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>
        <f>IF(B112="","",IF(COUNTA($A$6:A112)=0,"COM-ACT-"&amp;TEXT(COUNTA($B$6:B112),"000"),"COM-ACT-"&amp;TEXT(ROW()-5,"000")))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>
        <f>IF(B113="","",IF(COUNTA($A$6:A113)=0,"COM-ACT-"&amp;TEXT(COUNTA($B$6:B113),"000"),"COM-ACT-"&amp;TEXT(ROW()-5,"000")))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>
        <f>IF(B114="","",IF(COUNTA($A$6:A114)=0,"COM-ACT-"&amp;TEXT(COUNTA($B$6:B114),"000"),"COM-ACT-"&amp;TEXT(ROW()-5,"000")))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>
        <f>IF(B115="","",IF(COUNTA($A$6:A115)=0,"COM-ACT-"&amp;TEXT(COUNTA($B$6:B115),"000"),"COM-ACT-"&amp;TEXT(ROW()-5,"000")))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4">
    <dataValidation sqref="C6:C115" showDropDown="0" showInputMessage="0" showErrorMessage="0" allowBlank="1" errorTitle="Erreur" error="Valeur invalide" promptTitle="" prompt="Choisir dans la liste: " type="list">
      <formula1>'F02 - _Lists'!$I$6:$I$10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_Lists'!$C$6:$C$15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_Lists'!$G$6:$G$10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4" customWidth="1" min="4" max="4"/>
    <col width="24" customWidth="1" min="5" max="5"/>
    <col width="18" customWidth="1" min="6" max="6"/>
    <col width="16" customWidth="1" min="7" max="7"/>
    <col width="18" customWidth="1" min="8" max="8"/>
    <col width="18" customWidth="1" min="9" max="9"/>
    <col width="14" customWidth="1" min="10" max="10"/>
    <col width="40" customWidth="1" min="11" max="11"/>
    <col width="2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4-ÉVÉNEMENTS ET ANIMATIONS INTERNES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Événement</t>
        </is>
      </c>
      <c r="B5" s="4" t="inlineStr">
        <is>
          <t>Nom Événement</t>
        </is>
      </c>
      <c r="C5" s="4" t="inlineStr">
        <is>
          <t>Type</t>
        </is>
      </c>
      <c r="D5" s="4" t="inlineStr">
        <is>
          <t>Date</t>
        </is>
      </c>
      <c r="E5" s="4" t="inlineStr">
        <is>
          <t>Lieu</t>
        </is>
      </c>
      <c r="F5" s="4" t="inlineStr">
        <is>
          <t>Nb Participants</t>
        </is>
      </c>
      <c r="G5" s="4" t="inlineStr">
        <is>
          <t>Budget (FCFA)</t>
        </is>
      </c>
      <c r="H5" s="4" t="inlineStr">
        <is>
          <t>Coût Réel (FCFA)</t>
        </is>
      </c>
      <c r="I5" s="4" t="inlineStr">
        <is>
          <t>Satisfaction Moy.</t>
        </is>
      </c>
      <c r="J5" s="4" t="inlineStr">
        <is>
          <t>Statut</t>
        </is>
      </c>
      <c r="K5" s="4" t="inlineStr">
        <is>
          <t>Commentaire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>
        <f>IF(B6="","",IF(COUNTA($A$6:A6)=0,"EVT-"&amp;TEXT(COUNTA($B$6:B6),"000"),"EVT-"&amp;TEXT(ROW()-5,"000")))</f>
        <v/>
      </c>
      <c r="B6" s="5" t="inlineStr">
        <is>
          <t>Kick-off Année 2025</t>
        </is>
      </c>
      <c r="C6" s="5" t="inlineStr">
        <is>
          <t>Célébration</t>
        </is>
      </c>
      <c r="D6" s="23" t="n">
        <v>45667</v>
      </c>
      <c r="E6" s="5" t="inlineStr">
        <is>
          <t>Restaurant principal</t>
        </is>
      </c>
      <c r="F6" s="25" t="n">
        <v>62</v>
      </c>
      <c r="G6" s="25" t="n">
        <v>500000</v>
      </c>
      <c r="H6" s="25">
        <f>IF(G6="","",IFERROR(G6-F6,0))</f>
        <v/>
      </c>
      <c r="I6" s="25" t="n">
        <v>4.3</v>
      </c>
      <c r="J6" s="5" t="inlineStr">
        <is>
          <t>Terminé</t>
        </is>
      </c>
      <c r="K6" s="5" t="inlineStr">
        <is>
          <t>Excellente ambiance, DG très impliqué</t>
        </is>
      </c>
      <c r="L6" s="5" t="inlineStr"/>
      <c r="M6" s="5" t="inlineStr"/>
      <c r="N6" s="5" t="inlineStr"/>
    </row>
    <row r="7" ht="22" customHeight="1">
      <c r="A7" s="8">
        <f>IF(B7="","",IF(COUNTA($A$6:A7)=0,"EVT-"&amp;TEXT(COUNTA($B$6:B7),"000"),"EVT-"&amp;TEXT(ROW()-5,"000")))</f>
        <v/>
      </c>
      <c r="B7" s="8" t="inlineStr">
        <is>
          <t>Tournoi inter-départements</t>
        </is>
      </c>
      <c r="C7" s="8" t="inlineStr">
        <is>
          <t>Sport interne</t>
        </is>
      </c>
      <c r="D7" s="24" t="n">
        <v>45710</v>
      </c>
      <c r="E7" s="8" t="inlineStr">
        <is>
          <t>Terrain sport</t>
        </is>
      </c>
      <c r="F7" s="27" t="n">
        <v>45</v>
      </c>
      <c r="G7" s="27" t="n">
        <v>150000</v>
      </c>
      <c r="H7" s="27">
        <f>IF(G7="","",IFERROR(G7-F7,0))</f>
        <v/>
      </c>
      <c r="I7" s="27" t="n">
        <v>4.7</v>
      </c>
      <c r="J7" s="8" t="inlineStr">
        <is>
          <t>Terminé</t>
        </is>
      </c>
      <c r="K7" s="8" t="inlineStr">
        <is>
          <t>Participation record, ambiance conviviale</t>
        </is>
      </c>
      <c r="L7" s="8" t="inlineStr"/>
      <c r="M7" s="8" t="inlineStr"/>
      <c r="N7" s="8" t="inlineStr"/>
    </row>
    <row r="8" ht="22" customHeight="1">
      <c r="A8" s="5">
        <f>IF(B8="","",IF(COUNTA($A$6:A8)=0,"EVT-"&amp;TEXT(COUNTA($B$6:B8),"000"),"EVT-"&amp;TEXT(ROW()-5,"000")))</f>
        <v/>
      </c>
      <c r="B8" s="5" t="inlineStr">
        <is>
          <t>Atelier cuisine partagée</t>
        </is>
      </c>
      <c r="C8" s="5" t="inlineStr">
        <is>
          <t>Atelier créatif</t>
        </is>
      </c>
      <c r="D8" s="23" t="n">
        <v>45731</v>
      </c>
      <c r="E8" s="5" t="inlineStr">
        <is>
          <t>Cuisine principale</t>
        </is>
      </c>
      <c r="F8" s="25" t="n">
        <v>20</v>
      </c>
      <c r="G8" s="25" t="n">
        <v>80000</v>
      </c>
      <c r="H8" s="25">
        <f>IF(G8="","",IFERROR(G8-F8,0))</f>
        <v/>
      </c>
      <c r="I8" s="25" t="n">
        <v>4.5</v>
      </c>
      <c r="J8" s="5" t="inlineStr">
        <is>
          <t>Terminé</t>
        </is>
      </c>
      <c r="K8" s="5" t="inlineStr">
        <is>
          <t>Moment d'échange entre départements</t>
        </is>
      </c>
      <c r="L8" s="5" t="inlineStr"/>
      <c r="M8" s="5" t="inlineStr"/>
      <c r="N8" s="5" t="inlineStr"/>
    </row>
    <row r="9" ht="22" customHeight="1">
      <c r="A9" s="8">
        <f>IF(B9="","",IF(COUNTA($A$6:A9)=0,"EVT-"&amp;TEXT(COUNTA($B$6:B9),"000"),"EVT-"&amp;TEXT(ROW()-5,"000")))</f>
        <v/>
      </c>
      <c r="B9" s="8" t="inlineStr">
        <is>
          <t>Journée bien-être</t>
        </is>
      </c>
      <c r="C9" s="8" t="inlineStr">
        <is>
          <t>Team building</t>
        </is>
      </c>
      <c r="D9" s="24" t="n">
        <v>45767</v>
      </c>
      <c r="E9" s="8" t="inlineStr">
        <is>
          <t>Spa + Jardin</t>
        </is>
      </c>
      <c r="F9" s="27" t="n">
        <v>50</v>
      </c>
      <c r="G9" s="27" t="n">
        <v>300000</v>
      </c>
      <c r="H9" s="29">
        <f>IF(G9="","",IFERROR(G9-F9,0))</f>
        <v/>
      </c>
      <c r="I9" s="8" t="n"/>
      <c r="J9" s="8" t="inlineStr">
        <is>
          <t>Planifié</t>
        </is>
      </c>
      <c r="K9" s="8" t="inlineStr">
        <is>
          <t>Activités spa, yoga et relaxation prévues</t>
        </is>
      </c>
      <c r="L9" s="8" t="inlineStr"/>
      <c r="M9" s="8" t="inlineStr"/>
      <c r="N9" s="8" t="inlineStr"/>
    </row>
    <row r="10" ht="22" customHeight="1">
      <c r="A10" s="5">
        <f>IF(B10="","",IF(COUNTA($A$6:A10)=0,"EVT-"&amp;TEXT(COUNTA($B$6:B10),"000"),"EVT-"&amp;TEXT(ROW()-5,"000")))</f>
        <v/>
      </c>
      <c r="B10" s="5" t="inlineStr">
        <is>
          <t>Soirée iftar</t>
        </is>
      </c>
      <c r="C10" s="5" t="inlineStr">
        <is>
          <t>Repas partagé</t>
        </is>
      </c>
      <c r="D10" s="23" t="n">
        <v>45736</v>
      </c>
      <c r="E10" s="5" t="inlineStr">
        <is>
          <t>Salle événementielle</t>
        </is>
      </c>
      <c r="F10" s="25" t="n">
        <v>58</v>
      </c>
      <c r="G10" s="25" t="n">
        <v>200000</v>
      </c>
      <c r="H10" s="25">
        <f>IF(G10="","",IFERROR(G10-F10,0))</f>
        <v/>
      </c>
      <c r="I10" s="25" t="n">
        <v>4.6</v>
      </c>
      <c r="J10" s="5" t="inlineStr">
        <is>
          <t>Terminé</t>
        </is>
      </c>
      <c r="K10" s="5" t="inlineStr">
        <is>
          <t>Moment fort de cohésion pendant ramadan</t>
        </is>
      </c>
      <c r="L10" s="5" t="inlineStr"/>
      <c r="M10" s="5" t="inlineStr"/>
      <c r="N10" s="5" t="inlineStr"/>
    </row>
    <row r="11" ht="22" customHeight="1">
      <c r="A11" s="8">
        <f>IF(B11="","",IF(COUNTA($A$6:A11)=0,"EVT-"&amp;TEXT(COUNTA($B$6:B11),"000"),"EVT-"&amp;TEXT(ROW()-5,"000")))</f>
        <v/>
      </c>
      <c r="B11" s="8" t="n"/>
      <c r="C11" s="8" t="n"/>
      <c r="D11" s="8" t="n"/>
      <c r="E11" s="8" t="n"/>
      <c r="F11" s="8" t="n"/>
      <c r="G11" s="8" t="n"/>
      <c r="H11" s="29">
        <f>IF(G11="","",IFERROR(G11-F11,0))</f>
        <v/>
      </c>
      <c r="I11" s="8" t="n"/>
      <c r="J11" s="8" t="n"/>
      <c r="K11" s="8" t="n"/>
      <c r="L11" s="8" t="n"/>
      <c r="M11" s="8" t="n"/>
      <c r="N11" s="8" t="n"/>
    </row>
    <row r="12" ht="22" customHeight="1">
      <c r="A12" s="5">
        <f>IF(B12="","",IF(COUNTA($A$6:A12)=0,"EVT-"&amp;TEXT(COUNTA($B$6:B12),"000"),"EVT-"&amp;TEXT(ROW()-5,"000")))</f>
        <v/>
      </c>
      <c r="B12" s="5" t="n"/>
      <c r="C12" s="5" t="n"/>
      <c r="D12" s="5" t="n"/>
      <c r="E12" s="5" t="n"/>
      <c r="F12" s="5" t="n"/>
      <c r="G12" s="5" t="n"/>
      <c r="H12" s="30">
        <f>IF(G12="","",IFERROR(G12-F12,0))</f>
        <v/>
      </c>
      <c r="I12" s="5" t="n"/>
      <c r="J12" s="5" t="n"/>
      <c r="K12" s="5" t="n"/>
      <c r="L12" s="5" t="n"/>
      <c r="M12" s="5" t="n"/>
      <c r="N12" s="5" t="n"/>
    </row>
    <row r="13" ht="22" customHeight="1">
      <c r="A13" s="8">
        <f>IF(B13="","",IF(COUNTA($A$6:A13)=0,"EVT-"&amp;TEXT(COUNTA($B$6:B13),"000"),"EVT-"&amp;TEXT(ROW()-5,"000")))</f>
        <v/>
      </c>
      <c r="B13" s="8" t="n"/>
      <c r="C13" s="8" t="n"/>
      <c r="D13" s="8" t="n"/>
      <c r="E13" s="8" t="n"/>
      <c r="F13" s="8" t="n"/>
      <c r="G13" s="8" t="n"/>
      <c r="H13" s="29">
        <f>IF(G13="","",IFERROR(G13-F13,0))</f>
        <v/>
      </c>
      <c r="I13" s="8" t="n"/>
      <c r="J13" s="8" t="n"/>
      <c r="K13" s="8" t="n"/>
      <c r="L13" s="8" t="n"/>
      <c r="M13" s="8" t="n"/>
      <c r="N13" s="8" t="n"/>
    </row>
    <row r="14" ht="22" customHeight="1">
      <c r="A14" s="5">
        <f>IF(B14="","",IF(COUNTA($A$6:A14)=0,"EVT-"&amp;TEXT(COUNTA($B$6:B14),"000"),"EVT-"&amp;TEXT(ROW()-5,"000")))</f>
        <v/>
      </c>
      <c r="B14" s="5" t="n"/>
      <c r="C14" s="5" t="n"/>
      <c r="D14" s="5" t="n"/>
      <c r="E14" s="5" t="n"/>
      <c r="F14" s="5" t="n"/>
      <c r="G14" s="5" t="n"/>
      <c r="H14" s="30">
        <f>IF(G14="","",IFERROR(G14-F14,0))</f>
        <v/>
      </c>
      <c r="I14" s="5" t="n"/>
      <c r="J14" s="5" t="n"/>
      <c r="K14" s="5" t="n"/>
      <c r="L14" s="5" t="n"/>
      <c r="M14" s="5" t="n"/>
      <c r="N14" s="5" t="n"/>
    </row>
    <row r="15" ht="22" customHeight="1">
      <c r="A15" s="8">
        <f>IF(B15="","",IF(COUNTA($A$6:A15)=0,"EVT-"&amp;TEXT(COUNTA($B$6:B15),"000"),"EVT-"&amp;TEXT(ROW()-5,"000")))</f>
        <v/>
      </c>
      <c r="B15" s="8" t="n"/>
      <c r="C15" s="8" t="n"/>
      <c r="D15" s="8" t="n"/>
      <c r="E15" s="8" t="n"/>
      <c r="F15" s="8" t="n"/>
      <c r="G15" s="8" t="n"/>
      <c r="H15" s="29">
        <f>IF(G15="","",IFERROR(G15-F15,0))</f>
        <v/>
      </c>
      <c r="I15" s="8" t="n"/>
      <c r="J15" s="8" t="n"/>
      <c r="K15" s="8" t="n"/>
      <c r="L15" s="8" t="n"/>
      <c r="M15" s="8" t="n"/>
      <c r="N15" s="8" t="n"/>
    </row>
    <row r="16" ht="22" customHeight="1">
      <c r="A16" s="5">
        <f>IF(B16="","",IF(COUNTA($A$6:A16)=0,"EVT-"&amp;TEXT(COUNTA($B$6:B16),"000"),"EVT-"&amp;TEXT(ROW()-5,"000")))</f>
        <v/>
      </c>
      <c r="B16" s="5" t="n"/>
      <c r="C16" s="5" t="n"/>
      <c r="D16" s="5" t="n"/>
      <c r="E16" s="5" t="n"/>
      <c r="F16" s="5" t="n"/>
      <c r="G16" s="5" t="n"/>
      <c r="H16" s="30">
        <f>IF(G16="","",IFERROR(G16-F16,0))</f>
        <v/>
      </c>
      <c r="I16" s="5" t="n"/>
      <c r="J16" s="5" t="n"/>
      <c r="K16" s="5" t="n"/>
      <c r="L16" s="5" t="n"/>
      <c r="M16" s="5" t="n"/>
      <c r="N16" s="5" t="n"/>
    </row>
    <row r="17" ht="22" customHeight="1">
      <c r="A17" s="8">
        <f>IF(B17="","",IF(COUNTA($A$6:A17)=0,"EVT-"&amp;TEXT(COUNTA($B$6:B17),"000"),"EVT-"&amp;TEXT(ROW()-5,"000")))</f>
        <v/>
      </c>
      <c r="B17" s="8" t="n"/>
      <c r="C17" s="8" t="n"/>
      <c r="D17" s="8" t="n"/>
      <c r="E17" s="8" t="n"/>
      <c r="F17" s="8" t="n"/>
      <c r="G17" s="8" t="n"/>
      <c r="H17" s="29">
        <f>IF(G17="","",IFERROR(G17-F17,0))</f>
        <v/>
      </c>
      <c r="I17" s="8" t="n"/>
      <c r="J17" s="8" t="n"/>
      <c r="K17" s="8" t="n"/>
      <c r="L17" s="8" t="n"/>
      <c r="M17" s="8" t="n"/>
      <c r="N17" s="8" t="n"/>
    </row>
    <row r="18" ht="22" customHeight="1">
      <c r="A18" s="5">
        <f>IF(B18="","",IF(COUNTA($A$6:A18)=0,"EVT-"&amp;TEXT(COUNTA($B$6:B18),"000"),"EVT-"&amp;TEXT(ROW()-5,"000")))</f>
        <v/>
      </c>
      <c r="B18" s="5" t="n"/>
      <c r="C18" s="5" t="n"/>
      <c r="D18" s="5" t="n"/>
      <c r="E18" s="5" t="n"/>
      <c r="F18" s="5" t="n"/>
      <c r="G18" s="5" t="n"/>
      <c r="H18" s="30">
        <f>IF(G18="","",IFERROR(G18-F18,0))</f>
        <v/>
      </c>
      <c r="I18" s="5" t="n"/>
      <c r="J18" s="5" t="n"/>
      <c r="K18" s="5" t="n"/>
      <c r="L18" s="5" t="n"/>
      <c r="M18" s="5" t="n"/>
      <c r="N18" s="5" t="n"/>
    </row>
    <row r="19" ht="22" customHeight="1">
      <c r="A19" s="8">
        <f>IF(B19="","",IF(COUNTA($A$6:A19)=0,"EVT-"&amp;TEXT(COUNTA($B$6:B19),"000"),"EVT-"&amp;TEXT(ROW()-5,"000")))</f>
        <v/>
      </c>
      <c r="B19" s="8" t="n"/>
      <c r="C19" s="8" t="n"/>
      <c r="D19" s="8" t="n"/>
      <c r="E19" s="8" t="n"/>
      <c r="F19" s="8" t="n"/>
      <c r="G19" s="8" t="n"/>
      <c r="H19" s="29">
        <f>IF(G19="","",IFERROR(G19-F19,0))</f>
        <v/>
      </c>
      <c r="I19" s="8" t="n"/>
      <c r="J19" s="8" t="n"/>
      <c r="K19" s="8" t="n"/>
      <c r="L19" s="8" t="n"/>
      <c r="M19" s="8" t="n"/>
      <c r="N19" s="8" t="n"/>
    </row>
    <row r="20" ht="22" customHeight="1">
      <c r="A20" s="5">
        <f>IF(B20="","",IF(COUNTA($A$6:A20)=0,"EVT-"&amp;TEXT(COUNTA($B$6:B20),"000"),"EVT-"&amp;TEXT(ROW()-5,"000")))</f>
        <v/>
      </c>
      <c r="B20" s="5" t="n"/>
      <c r="C20" s="5" t="n"/>
      <c r="D20" s="5" t="n"/>
      <c r="E20" s="5" t="n"/>
      <c r="F20" s="5" t="n"/>
      <c r="G20" s="5" t="n"/>
      <c r="H20" s="30">
        <f>IF(G20="","",IFERROR(G20-F20,0))</f>
        <v/>
      </c>
      <c r="I20" s="5" t="n"/>
      <c r="J20" s="5" t="n"/>
      <c r="K20" s="5" t="n"/>
      <c r="L20" s="5" t="n"/>
      <c r="M20" s="5" t="n"/>
      <c r="N20" s="5" t="n"/>
    </row>
    <row r="21" ht="22" customHeight="1">
      <c r="A21" s="8">
        <f>IF(B21="","",IF(COUNTA($A$6:A21)=0,"EVT-"&amp;TEXT(COUNTA($B$6:B21),"000"),"EVT-"&amp;TEXT(ROW()-5,"000")))</f>
        <v/>
      </c>
      <c r="B21" s="8" t="n"/>
      <c r="C21" s="8" t="n"/>
      <c r="D21" s="8" t="n"/>
      <c r="E21" s="8" t="n"/>
      <c r="F21" s="8" t="n"/>
      <c r="G21" s="8" t="n"/>
      <c r="H21" s="29">
        <f>IF(G21="","",IFERROR(G21-F21,0))</f>
        <v/>
      </c>
      <c r="I21" s="8" t="n"/>
      <c r="J21" s="8" t="n"/>
      <c r="K21" s="8" t="n"/>
      <c r="L21" s="8" t="n"/>
      <c r="M21" s="8" t="n"/>
      <c r="N21" s="8" t="n"/>
    </row>
    <row r="22" ht="22" customHeight="1">
      <c r="A22" s="5">
        <f>IF(B22="","",IF(COUNTA($A$6:A22)=0,"EVT-"&amp;TEXT(COUNTA($B$6:B22),"000"),"EVT-"&amp;TEXT(ROW()-5,"000")))</f>
        <v/>
      </c>
      <c r="B22" s="5" t="n"/>
      <c r="C22" s="5" t="n"/>
      <c r="D22" s="5" t="n"/>
      <c r="E22" s="5" t="n"/>
      <c r="F22" s="5" t="n"/>
      <c r="G22" s="5" t="n"/>
      <c r="H22" s="30">
        <f>IF(G22="","",IFERROR(G22-F22,0))</f>
        <v/>
      </c>
      <c r="I22" s="5" t="n"/>
      <c r="J22" s="5" t="n"/>
      <c r="K22" s="5" t="n"/>
      <c r="L22" s="5" t="n"/>
      <c r="M22" s="5" t="n"/>
      <c r="N22" s="5" t="n"/>
    </row>
    <row r="23" ht="22" customHeight="1">
      <c r="A23" s="8">
        <f>IF(B23="","",IF(COUNTA($A$6:A23)=0,"EVT-"&amp;TEXT(COUNTA($B$6:B23),"000"),"EVT-"&amp;TEXT(ROW()-5,"000")))</f>
        <v/>
      </c>
      <c r="B23" s="8" t="n"/>
      <c r="C23" s="8" t="n"/>
      <c r="D23" s="8" t="n"/>
      <c r="E23" s="8" t="n"/>
      <c r="F23" s="8" t="n"/>
      <c r="G23" s="8" t="n"/>
      <c r="H23" s="29">
        <f>IF(G23="","",IFERROR(G23-F23,0))</f>
        <v/>
      </c>
      <c r="I23" s="8" t="n"/>
      <c r="J23" s="8" t="n"/>
      <c r="K23" s="8" t="n"/>
      <c r="L23" s="8" t="n"/>
      <c r="M23" s="8" t="n"/>
      <c r="N23" s="8" t="n"/>
    </row>
    <row r="24" ht="22" customHeight="1">
      <c r="A24" s="5">
        <f>IF(B24="","",IF(COUNTA($A$6:A24)=0,"EVT-"&amp;TEXT(COUNTA($B$6:B24),"000"),"EVT-"&amp;TEXT(ROW()-5,"000")))</f>
        <v/>
      </c>
      <c r="B24" s="5" t="n"/>
      <c r="C24" s="5" t="n"/>
      <c r="D24" s="5" t="n"/>
      <c r="E24" s="5" t="n"/>
      <c r="F24" s="5" t="n"/>
      <c r="G24" s="5" t="n"/>
      <c r="H24" s="30">
        <f>IF(G24="","",IFERROR(G24-F24,0))</f>
        <v/>
      </c>
      <c r="I24" s="5" t="n"/>
      <c r="J24" s="5" t="n"/>
      <c r="K24" s="5" t="n"/>
      <c r="L24" s="5" t="n"/>
      <c r="M24" s="5" t="n"/>
      <c r="N24" s="5" t="n"/>
    </row>
    <row r="25" ht="22" customHeight="1">
      <c r="A25" s="8">
        <f>IF(B25="","",IF(COUNTA($A$6:A25)=0,"EVT-"&amp;TEXT(COUNTA($B$6:B25),"000"),"EVT-"&amp;TEXT(ROW()-5,"000")))</f>
        <v/>
      </c>
      <c r="B25" s="8" t="n"/>
      <c r="C25" s="8" t="n"/>
      <c r="D25" s="8" t="n"/>
      <c r="E25" s="8" t="n"/>
      <c r="F25" s="8" t="n"/>
      <c r="G25" s="8" t="n"/>
      <c r="H25" s="29">
        <f>IF(G25="","",IFERROR(G25-F25,0))</f>
        <v/>
      </c>
      <c r="I25" s="8" t="n"/>
      <c r="J25" s="8" t="n"/>
      <c r="K25" s="8" t="n"/>
      <c r="L25" s="8" t="n"/>
      <c r="M25" s="8" t="n"/>
      <c r="N25" s="8" t="n"/>
    </row>
    <row r="26" ht="22" customHeight="1">
      <c r="A26" s="5">
        <f>IF(B26="","",IF(COUNTA($A$6:A26)=0,"EVT-"&amp;TEXT(COUNTA($B$6:B26),"000"),"EVT-"&amp;TEXT(ROW()-5,"000")))</f>
        <v/>
      </c>
      <c r="B26" s="5" t="n"/>
      <c r="C26" s="5" t="n"/>
      <c r="D26" s="5" t="n"/>
      <c r="E26" s="5" t="n"/>
      <c r="F26" s="5" t="n"/>
      <c r="G26" s="5" t="n"/>
      <c r="H26" s="30">
        <f>IF(G26="","",IFERROR(G26-F26,0))</f>
        <v/>
      </c>
      <c r="I26" s="5" t="n"/>
      <c r="J26" s="5" t="n"/>
      <c r="K26" s="5" t="n"/>
      <c r="L26" s="5" t="n"/>
      <c r="M26" s="5" t="n"/>
      <c r="N26" s="5" t="n"/>
    </row>
    <row r="27" ht="22" customHeight="1">
      <c r="A27" s="8">
        <f>IF(B27="","",IF(COUNTA($A$6:A27)=0,"EVT-"&amp;TEXT(COUNTA($B$6:B27),"000"),"EVT-"&amp;TEXT(ROW()-5,"000")))</f>
        <v/>
      </c>
      <c r="B27" s="8" t="n"/>
      <c r="C27" s="8" t="n"/>
      <c r="D27" s="8" t="n"/>
      <c r="E27" s="8" t="n"/>
      <c r="F27" s="8" t="n"/>
      <c r="G27" s="8" t="n"/>
      <c r="H27" s="29">
        <f>IF(G27="","",IFERROR(G27-F27,0))</f>
        <v/>
      </c>
      <c r="I27" s="8" t="n"/>
      <c r="J27" s="8" t="n"/>
      <c r="K27" s="8" t="n"/>
      <c r="L27" s="8" t="n"/>
      <c r="M27" s="8" t="n"/>
      <c r="N27" s="8" t="n"/>
    </row>
    <row r="28" ht="22" customHeight="1">
      <c r="A28" s="5">
        <f>IF(B28="","",IF(COUNTA($A$6:A28)=0,"EVT-"&amp;TEXT(COUNTA($B$6:B28),"000"),"EVT-"&amp;TEXT(ROW()-5,"000")))</f>
        <v/>
      </c>
      <c r="B28" s="5" t="n"/>
      <c r="C28" s="5" t="n"/>
      <c r="D28" s="5" t="n"/>
      <c r="E28" s="5" t="n"/>
      <c r="F28" s="5" t="n"/>
      <c r="G28" s="5" t="n"/>
      <c r="H28" s="30">
        <f>IF(G28="","",IFERROR(G28-F28,0))</f>
        <v/>
      </c>
      <c r="I28" s="5" t="n"/>
      <c r="J28" s="5" t="n"/>
      <c r="K28" s="5" t="n"/>
      <c r="L28" s="5" t="n"/>
      <c r="M28" s="5" t="n"/>
      <c r="N28" s="5" t="n"/>
    </row>
    <row r="29" ht="22" customHeight="1">
      <c r="A29" s="8">
        <f>IF(B29="","",IF(COUNTA($A$6:A29)=0,"EVT-"&amp;TEXT(COUNTA($B$6:B29),"000"),"EVT-"&amp;TEXT(ROW()-5,"000")))</f>
        <v/>
      </c>
      <c r="B29" s="8" t="n"/>
      <c r="C29" s="8" t="n"/>
      <c r="D29" s="8" t="n"/>
      <c r="E29" s="8" t="n"/>
      <c r="F29" s="8" t="n"/>
      <c r="G29" s="8" t="n"/>
      <c r="H29" s="29">
        <f>IF(G29="","",IFERROR(G29-F29,0))</f>
        <v/>
      </c>
      <c r="I29" s="8" t="n"/>
      <c r="J29" s="8" t="n"/>
      <c r="K29" s="8" t="n"/>
      <c r="L29" s="8" t="n"/>
      <c r="M29" s="8" t="n"/>
      <c r="N29" s="8" t="n"/>
    </row>
    <row r="30" ht="22" customHeight="1">
      <c r="A30" s="5">
        <f>IF(B30="","",IF(COUNTA($A$6:A30)=0,"EVT-"&amp;TEXT(COUNTA($B$6:B30),"000"),"EVT-"&amp;TEXT(ROW()-5,"000")))</f>
        <v/>
      </c>
      <c r="B30" s="5" t="n"/>
      <c r="C30" s="5" t="n"/>
      <c r="D30" s="5" t="n"/>
      <c r="E30" s="5" t="n"/>
      <c r="F30" s="5" t="n"/>
      <c r="G30" s="5" t="n"/>
      <c r="H30" s="30">
        <f>IF(G30="","",IFERROR(G30-F30,0))</f>
        <v/>
      </c>
      <c r="I30" s="5" t="n"/>
      <c r="J30" s="5" t="n"/>
      <c r="K30" s="5" t="n"/>
      <c r="L30" s="5" t="n"/>
      <c r="M30" s="5" t="n"/>
      <c r="N30" s="5" t="n"/>
    </row>
    <row r="31" ht="22" customHeight="1">
      <c r="A31" s="8">
        <f>IF(B31="","",IF(COUNTA($A$6:A31)=0,"EVT-"&amp;TEXT(COUNTA($B$6:B31),"000"),"EVT-"&amp;TEXT(ROW()-5,"000")))</f>
        <v/>
      </c>
      <c r="B31" s="8" t="n"/>
      <c r="C31" s="8" t="n"/>
      <c r="D31" s="8" t="n"/>
      <c r="E31" s="8" t="n"/>
      <c r="F31" s="8" t="n"/>
      <c r="G31" s="8" t="n"/>
      <c r="H31" s="29">
        <f>IF(G31="","",IFERROR(G31-F31,0))</f>
        <v/>
      </c>
      <c r="I31" s="8" t="n"/>
      <c r="J31" s="8" t="n"/>
      <c r="K31" s="8" t="n"/>
      <c r="L31" s="8" t="n"/>
      <c r="M31" s="8" t="n"/>
      <c r="N31" s="8" t="n"/>
    </row>
    <row r="32" ht="22" customHeight="1">
      <c r="A32" s="5">
        <f>IF(B32="","",IF(COUNTA($A$6:A32)=0,"EVT-"&amp;TEXT(COUNTA($B$6:B32),"000"),"EVT-"&amp;TEXT(ROW()-5,"000")))</f>
        <v/>
      </c>
      <c r="B32" s="5" t="n"/>
      <c r="C32" s="5" t="n"/>
      <c r="D32" s="5" t="n"/>
      <c r="E32" s="5" t="n"/>
      <c r="F32" s="5" t="n"/>
      <c r="G32" s="5" t="n"/>
      <c r="H32" s="30">
        <f>IF(G32="","",IFERROR(G32-F32,0))</f>
        <v/>
      </c>
      <c r="I32" s="5" t="n"/>
      <c r="J32" s="5" t="n"/>
      <c r="K32" s="5" t="n"/>
      <c r="L32" s="5" t="n"/>
      <c r="M32" s="5" t="n"/>
      <c r="N32" s="5" t="n"/>
    </row>
    <row r="33" ht="22" customHeight="1">
      <c r="A33" s="8">
        <f>IF(B33="","",IF(COUNTA($A$6:A33)=0,"EVT-"&amp;TEXT(COUNTA($B$6:B33),"000"),"EVT-"&amp;TEXT(ROW()-5,"000")))</f>
        <v/>
      </c>
      <c r="B33" s="8" t="n"/>
      <c r="C33" s="8" t="n"/>
      <c r="D33" s="8" t="n"/>
      <c r="E33" s="8" t="n"/>
      <c r="F33" s="8" t="n"/>
      <c r="G33" s="8" t="n"/>
      <c r="H33" s="29">
        <f>IF(G33="","",IFERROR(G33-F33,0))</f>
        <v/>
      </c>
      <c r="I33" s="8" t="n"/>
      <c r="J33" s="8" t="n"/>
      <c r="K33" s="8" t="n"/>
      <c r="L33" s="8" t="n"/>
      <c r="M33" s="8" t="n"/>
      <c r="N33" s="8" t="n"/>
    </row>
    <row r="34" ht="22" customHeight="1">
      <c r="A34" s="5">
        <f>IF(B34="","",IF(COUNTA($A$6:A34)=0,"EVT-"&amp;TEXT(COUNTA($B$6:B34),"000"),"EVT-"&amp;TEXT(ROW()-5,"000")))</f>
        <v/>
      </c>
      <c r="B34" s="5" t="n"/>
      <c r="C34" s="5" t="n"/>
      <c r="D34" s="5" t="n"/>
      <c r="E34" s="5" t="n"/>
      <c r="F34" s="5" t="n"/>
      <c r="G34" s="5" t="n"/>
      <c r="H34" s="30">
        <f>IF(G34="","",IFERROR(G34-F34,0))</f>
        <v/>
      </c>
      <c r="I34" s="5" t="n"/>
      <c r="J34" s="5" t="n"/>
      <c r="K34" s="5" t="n"/>
      <c r="L34" s="5" t="n"/>
      <c r="M34" s="5" t="n"/>
      <c r="N34" s="5" t="n"/>
    </row>
    <row r="35" ht="22" customHeight="1">
      <c r="A35" s="8">
        <f>IF(B35="","",IF(COUNTA($A$6:A35)=0,"EVT-"&amp;TEXT(COUNTA($B$6:B35),"000"),"EVT-"&amp;TEXT(ROW()-5,"000")))</f>
        <v/>
      </c>
      <c r="B35" s="8" t="n"/>
      <c r="C35" s="8" t="n"/>
      <c r="D35" s="8" t="n"/>
      <c r="E35" s="8" t="n"/>
      <c r="F35" s="8" t="n"/>
      <c r="G35" s="8" t="n"/>
      <c r="H35" s="29">
        <f>IF(G35="","",IFERROR(G35-F35,0))</f>
        <v/>
      </c>
      <c r="I35" s="8" t="n"/>
      <c r="J35" s="8" t="n"/>
      <c r="K35" s="8" t="n"/>
      <c r="L35" s="8" t="n"/>
      <c r="M35" s="8" t="n"/>
      <c r="N35" s="8" t="n"/>
    </row>
    <row r="36" ht="22" customHeight="1">
      <c r="A36" s="5">
        <f>IF(B36="","",IF(COUNTA($A$6:A36)=0,"EVT-"&amp;TEXT(COUNTA($B$6:B36),"000"),"EVT-"&amp;TEXT(ROW()-5,"000")))</f>
        <v/>
      </c>
      <c r="B36" s="5" t="n"/>
      <c r="C36" s="5" t="n"/>
      <c r="D36" s="5" t="n"/>
      <c r="E36" s="5" t="n"/>
      <c r="F36" s="5" t="n"/>
      <c r="G36" s="5" t="n"/>
      <c r="H36" s="30">
        <f>IF(G36="","",IFERROR(G36-F36,0))</f>
        <v/>
      </c>
      <c r="I36" s="5" t="n"/>
      <c r="J36" s="5" t="n"/>
      <c r="K36" s="5" t="n"/>
      <c r="L36" s="5" t="n"/>
      <c r="M36" s="5" t="n"/>
      <c r="N36" s="5" t="n"/>
    </row>
    <row r="37" ht="22" customHeight="1">
      <c r="A37" s="8">
        <f>IF(B37="","",IF(COUNTA($A$6:A37)=0,"EVT-"&amp;TEXT(COUNTA($B$6:B37),"000"),"EVT-"&amp;TEXT(ROW()-5,"000")))</f>
        <v/>
      </c>
      <c r="B37" s="8" t="n"/>
      <c r="C37" s="8" t="n"/>
      <c r="D37" s="8" t="n"/>
      <c r="E37" s="8" t="n"/>
      <c r="F37" s="8" t="n"/>
      <c r="G37" s="8" t="n"/>
      <c r="H37" s="29">
        <f>IF(G37="","",IFERROR(G37-F37,0))</f>
        <v/>
      </c>
      <c r="I37" s="8" t="n"/>
      <c r="J37" s="8" t="n"/>
      <c r="K37" s="8" t="n"/>
      <c r="L37" s="8" t="n"/>
      <c r="M37" s="8" t="n"/>
      <c r="N37" s="8" t="n"/>
    </row>
    <row r="38" ht="22" customHeight="1">
      <c r="A38" s="5">
        <f>IF(B38="","",IF(COUNTA($A$6:A38)=0,"EVT-"&amp;TEXT(COUNTA($B$6:B38),"000"),"EVT-"&amp;TEXT(ROW()-5,"000")))</f>
        <v/>
      </c>
      <c r="B38" s="5" t="n"/>
      <c r="C38" s="5" t="n"/>
      <c r="D38" s="5" t="n"/>
      <c r="E38" s="5" t="n"/>
      <c r="F38" s="5" t="n"/>
      <c r="G38" s="5" t="n"/>
      <c r="H38" s="30">
        <f>IF(G38="","",IFERROR(G38-F38,0))</f>
        <v/>
      </c>
      <c r="I38" s="5" t="n"/>
      <c r="J38" s="5" t="n"/>
      <c r="K38" s="5" t="n"/>
      <c r="L38" s="5" t="n"/>
      <c r="M38" s="5" t="n"/>
      <c r="N38" s="5" t="n"/>
    </row>
    <row r="39" ht="22" customHeight="1">
      <c r="A39" s="8">
        <f>IF(B39="","",IF(COUNTA($A$6:A39)=0,"EVT-"&amp;TEXT(COUNTA($B$6:B39),"000"),"EVT-"&amp;TEXT(ROW()-5,"000")))</f>
        <v/>
      </c>
      <c r="B39" s="8" t="n"/>
      <c r="C39" s="8" t="n"/>
      <c r="D39" s="8" t="n"/>
      <c r="E39" s="8" t="n"/>
      <c r="F39" s="8" t="n"/>
      <c r="G39" s="8" t="n"/>
      <c r="H39" s="29">
        <f>IF(G39="","",IFERROR(G39-F39,0))</f>
        <v/>
      </c>
      <c r="I39" s="8" t="n"/>
      <c r="J39" s="8" t="n"/>
      <c r="K39" s="8" t="n"/>
      <c r="L39" s="8" t="n"/>
      <c r="M39" s="8" t="n"/>
      <c r="N39" s="8" t="n"/>
    </row>
    <row r="40" ht="22" customHeight="1">
      <c r="A40" s="5">
        <f>IF(B40="","",IF(COUNTA($A$6:A40)=0,"EVT-"&amp;TEXT(COUNTA($B$6:B40),"000"),"EVT-"&amp;TEXT(ROW()-5,"000")))</f>
        <v/>
      </c>
      <c r="B40" s="5" t="n"/>
      <c r="C40" s="5" t="n"/>
      <c r="D40" s="5" t="n"/>
      <c r="E40" s="5" t="n"/>
      <c r="F40" s="5" t="n"/>
      <c r="G40" s="5" t="n"/>
      <c r="H40" s="30">
        <f>IF(G40="","",IFERROR(G40-F40,0))</f>
        <v/>
      </c>
      <c r="I40" s="5" t="n"/>
      <c r="J40" s="5" t="n"/>
      <c r="K40" s="5" t="n"/>
      <c r="L40" s="5" t="n"/>
      <c r="M40" s="5" t="n"/>
      <c r="N40" s="5" t="n"/>
    </row>
    <row r="41" ht="22" customHeight="1">
      <c r="A41" s="8">
        <f>IF(B41="","",IF(COUNTA($A$6:A41)=0,"EVT-"&amp;TEXT(COUNTA($B$6:B41),"000"),"EVT-"&amp;TEXT(ROW()-5,"000")))</f>
        <v/>
      </c>
      <c r="B41" s="8" t="n"/>
      <c r="C41" s="8" t="n"/>
      <c r="D41" s="8" t="n"/>
      <c r="E41" s="8" t="n"/>
      <c r="F41" s="8" t="n"/>
      <c r="G41" s="8" t="n"/>
      <c r="H41" s="29">
        <f>IF(G41="","",IFERROR(G41-F41,0))</f>
        <v/>
      </c>
      <c r="I41" s="8" t="n"/>
      <c r="J41" s="8" t="n"/>
      <c r="K41" s="8" t="n"/>
      <c r="L41" s="8" t="n"/>
      <c r="M41" s="8" t="n"/>
      <c r="N41" s="8" t="n"/>
    </row>
    <row r="42" ht="22" customHeight="1">
      <c r="A42" s="5">
        <f>IF(B42="","",IF(COUNTA($A$6:A42)=0,"EVT-"&amp;TEXT(COUNTA($B$6:B42),"000"),"EVT-"&amp;TEXT(ROW()-5,"000")))</f>
        <v/>
      </c>
      <c r="B42" s="5" t="n"/>
      <c r="C42" s="5" t="n"/>
      <c r="D42" s="5" t="n"/>
      <c r="E42" s="5" t="n"/>
      <c r="F42" s="5" t="n"/>
      <c r="G42" s="5" t="n"/>
      <c r="H42" s="30">
        <f>IF(G42="","",IFERROR(G42-F42,0))</f>
        <v/>
      </c>
      <c r="I42" s="5" t="n"/>
      <c r="J42" s="5" t="n"/>
      <c r="K42" s="5" t="n"/>
      <c r="L42" s="5" t="n"/>
      <c r="M42" s="5" t="n"/>
      <c r="N42" s="5" t="n"/>
    </row>
    <row r="43" ht="22" customHeight="1">
      <c r="A43" s="8">
        <f>IF(B43="","",IF(COUNTA($A$6:A43)=0,"EVT-"&amp;TEXT(COUNTA($B$6:B43),"000"),"EVT-"&amp;TEXT(ROW()-5,"000")))</f>
        <v/>
      </c>
      <c r="B43" s="8" t="n"/>
      <c r="C43" s="8" t="n"/>
      <c r="D43" s="8" t="n"/>
      <c r="E43" s="8" t="n"/>
      <c r="F43" s="8" t="n"/>
      <c r="G43" s="8" t="n"/>
      <c r="H43" s="29">
        <f>IF(G43="","",IFERROR(G43-F43,0))</f>
        <v/>
      </c>
      <c r="I43" s="8" t="n"/>
      <c r="J43" s="8" t="n"/>
      <c r="K43" s="8" t="n"/>
      <c r="L43" s="8" t="n"/>
      <c r="M43" s="8" t="n"/>
      <c r="N43" s="8" t="n"/>
    </row>
    <row r="44" ht="22" customHeight="1">
      <c r="A44" s="5">
        <f>IF(B44="","",IF(COUNTA($A$6:A44)=0,"EVT-"&amp;TEXT(COUNTA($B$6:B44),"000"),"EVT-"&amp;TEXT(ROW()-5,"000")))</f>
        <v/>
      </c>
      <c r="B44" s="5" t="n"/>
      <c r="C44" s="5" t="n"/>
      <c r="D44" s="5" t="n"/>
      <c r="E44" s="5" t="n"/>
      <c r="F44" s="5" t="n"/>
      <c r="G44" s="5" t="n"/>
      <c r="H44" s="30">
        <f>IF(G44="","",IFERROR(G44-F44,0))</f>
        <v/>
      </c>
      <c r="I44" s="5" t="n"/>
      <c r="J44" s="5" t="n"/>
      <c r="K44" s="5" t="n"/>
      <c r="L44" s="5" t="n"/>
      <c r="M44" s="5" t="n"/>
      <c r="N44" s="5" t="n"/>
    </row>
    <row r="45" ht="22" customHeight="1">
      <c r="A45" s="8">
        <f>IF(B45="","",IF(COUNTA($A$6:A45)=0,"EVT-"&amp;TEXT(COUNTA($B$6:B45),"000"),"EVT-"&amp;TEXT(ROW()-5,"000")))</f>
        <v/>
      </c>
      <c r="B45" s="8" t="n"/>
      <c r="C45" s="8" t="n"/>
      <c r="D45" s="8" t="n"/>
      <c r="E45" s="8" t="n"/>
      <c r="F45" s="8" t="n"/>
      <c r="G45" s="8" t="n"/>
      <c r="H45" s="29">
        <f>IF(G45="","",IFERROR(G45-F45,0))</f>
        <v/>
      </c>
      <c r="I45" s="8" t="n"/>
      <c r="J45" s="8" t="n"/>
      <c r="K45" s="8" t="n"/>
      <c r="L45" s="8" t="n"/>
      <c r="M45" s="8" t="n"/>
      <c r="N45" s="8" t="n"/>
    </row>
    <row r="46" ht="22" customHeight="1">
      <c r="A46" s="5">
        <f>IF(B46="","",IF(COUNTA($A$6:A46)=0,"EVT-"&amp;TEXT(COUNTA($B$6:B46),"000"),"EVT-"&amp;TEXT(ROW()-5,"000")))</f>
        <v/>
      </c>
      <c r="B46" s="5" t="n"/>
      <c r="C46" s="5" t="n"/>
      <c r="D46" s="5" t="n"/>
      <c r="E46" s="5" t="n"/>
      <c r="F46" s="5" t="n"/>
      <c r="G46" s="5" t="n"/>
      <c r="H46" s="30">
        <f>IF(G46="","",IFERROR(G46-F46,0))</f>
        <v/>
      </c>
      <c r="I46" s="5" t="n"/>
      <c r="J46" s="5" t="n"/>
      <c r="K46" s="5" t="n"/>
      <c r="L46" s="5" t="n"/>
      <c r="M46" s="5" t="n"/>
      <c r="N46" s="5" t="n"/>
    </row>
    <row r="47" ht="22" customHeight="1">
      <c r="A47" s="8">
        <f>IF(B47="","",IF(COUNTA($A$6:A47)=0,"EVT-"&amp;TEXT(COUNTA($B$6:B47),"000"),"EVT-"&amp;TEXT(ROW()-5,"000")))</f>
        <v/>
      </c>
      <c r="B47" s="8" t="n"/>
      <c r="C47" s="8" t="n"/>
      <c r="D47" s="8" t="n"/>
      <c r="E47" s="8" t="n"/>
      <c r="F47" s="8" t="n"/>
      <c r="G47" s="8" t="n"/>
      <c r="H47" s="29">
        <f>IF(G47="","",IFERROR(G47-F47,0))</f>
        <v/>
      </c>
      <c r="I47" s="8" t="n"/>
      <c r="J47" s="8" t="n"/>
      <c r="K47" s="8" t="n"/>
      <c r="L47" s="8" t="n"/>
      <c r="M47" s="8" t="n"/>
      <c r="N47" s="8" t="n"/>
    </row>
    <row r="48" ht="22" customHeight="1">
      <c r="A48" s="5">
        <f>IF(B48="","",IF(COUNTA($A$6:A48)=0,"EVT-"&amp;TEXT(COUNTA($B$6:B48),"000"),"EVT-"&amp;TEXT(ROW()-5,"000")))</f>
        <v/>
      </c>
      <c r="B48" s="5" t="n"/>
      <c r="C48" s="5" t="n"/>
      <c r="D48" s="5" t="n"/>
      <c r="E48" s="5" t="n"/>
      <c r="F48" s="5" t="n"/>
      <c r="G48" s="5" t="n"/>
      <c r="H48" s="30">
        <f>IF(G48="","",IFERROR(G48-F48,0))</f>
        <v/>
      </c>
      <c r="I48" s="5" t="n"/>
      <c r="J48" s="5" t="n"/>
      <c r="K48" s="5" t="n"/>
      <c r="L48" s="5" t="n"/>
      <c r="M48" s="5" t="n"/>
      <c r="N48" s="5" t="n"/>
    </row>
    <row r="49" ht="22" customHeight="1">
      <c r="A49" s="8">
        <f>IF(B49="","",IF(COUNTA($A$6:A49)=0,"EVT-"&amp;TEXT(COUNTA($B$6:B49),"000"),"EVT-"&amp;TEXT(ROW()-5,"000")))</f>
        <v/>
      </c>
      <c r="B49" s="8" t="n"/>
      <c r="C49" s="8" t="n"/>
      <c r="D49" s="8" t="n"/>
      <c r="E49" s="8" t="n"/>
      <c r="F49" s="8" t="n"/>
      <c r="G49" s="8" t="n"/>
      <c r="H49" s="29">
        <f>IF(G49="","",IFERROR(G49-F49,0))</f>
        <v/>
      </c>
      <c r="I49" s="8" t="n"/>
      <c r="J49" s="8" t="n"/>
      <c r="K49" s="8" t="n"/>
      <c r="L49" s="8" t="n"/>
      <c r="M49" s="8" t="n"/>
      <c r="N49" s="8" t="n"/>
    </row>
    <row r="50" ht="22" customHeight="1">
      <c r="A50" s="5">
        <f>IF(B50="","",IF(COUNTA($A$6:A50)=0,"EVT-"&amp;TEXT(COUNTA($B$6:B50),"000"),"EVT-"&amp;TEXT(ROW()-5,"000")))</f>
        <v/>
      </c>
      <c r="B50" s="5" t="n"/>
      <c r="C50" s="5" t="n"/>
      <c r="D50" s="5" t="n"/>
      <c r="E50" s="5" t="n"/>
      <c r="F50" s="5" t="n"/>
      <c r="G50" s="5" t="n"/>
      <c r="H50" s="30">
        <f>IF(G50="","",IFERROR(G50-F50,0))</f>
        <v/>
      </c>
      <c r="I50" s="5" t="n"/>
      <c r="J50" s="5" t="n"/>
      <c r="K50" s="5" t="n"/>
      <c r="L50" s="5" t="n"/>
      <c r="M50" s="5" t="n"/>
      <c r="N50" s="5" t="n"/>
    </row>
    <row r="51" ht="22" customHeight="1">
      <c r="A51" s="8">
        <f>IF(B51="","",IF(COUNTA($A$6:A51)=0,"EVT-"&amp;TEXT(COUNTA($B$6:B51),"000"),"EVT-"&amp;TEXT(ROW()-5,"000")))</f>
        <v/>
      </c>
      <c r="B51" s="8" t="n"/>
      <c r="C51" s="8" t="n"/>
      <c r="D51" s="8" t="n"/>
      <c r="E51" s="8" t="n"/>
      <c r="F51" s="8" t="n"/>
      <c r="G51" s="8" t="n"/>
      <c r="H51" s="29">
        <f>IF(G51="","",IFERROR(G51-F51,0))</f>
        <v/>
      </c>
      <c r="I51" s="8" t="n"/>
      <c r="J51" s="8" t="n"/>
      <c r="K51" s="8" t="n"/>
      <c r="L51" s="8" t="n"/>
      <c r="M51" s="8" t="n"/>
      <c r="N51" s="8" t="n"/>
    </row>
    <row r="52" ht="22" customHeight="1">
      <c r="A52" s="5">
        <f>IF(B52="","",IF(COUNTA($A$6:A52)=0,"EVT-"&amp;TEXT(COUNTA($B$6:B52),"000"),"EVT-"&amp;TEXT(ROW()-5,"000")))</f>
        <v/>
      </c>
      <c r="B52" s="5" t="n"/>
      <c r="C52" s="5" t="n"/>
      <c r="D52" s="5" t="n"/>
      <c r="E52" s="5" t="n"/>
      <c r="F52" s="5" t="n"/>
      <c r="G52" s="5" t="n"/>
      <c r="H52" s="30">
        <f>IF(G52="","",IFERROR(G52-F52,0))</f>
        <v/>
      </c>
      <c r="I52" s="5" t="n"/>
      <c r="J52" s="5" t="n"/>
      <c r="K52" s="5" t="n"/>
      <c r="L52" s="5" t="n"/>
      <c r="M52" s="5" t="n"/>
      <c r="N52" s="5" t="n"/>
    </row>
    <row r="53" ht="22" customHeight="1">
      <c r="A53" s="8">
        <f>IF(B53="","",IF(COUNTA($A$6:A53)=0,"EVT-"&amp;TEXT(COUNTA($B$6:B53),"000"),"EVT-"&amp;TEXT(ROW()-5,"000")))</f>
        <v/>
      </c>
      <c r="B53" s="8" t="n"/>
      <c r="C53" s="8" t="n"/>
      <c r="D53" s="8" t="n"/>
      <c r="E53" s="8" t="n"/>
      <c r="F53" s="8" t="n"/>
      <c r="G53" s="8" t="n"/>
      <c r="H53" s="29">
        <f>IF(G53="","",IFERROR(G53-F53,0))</f>
        <v/>
      </c>
      <c r="I53" s="8" t="n"/>
      <c r="J53" s="8" t="n"/>
      <c r="K53" s="8" t="n"/>
      <c r="L53" s="8" t="n"/>
      <c r="M53" s="8" t="n"/>
      <c r="N53" s="8" t="n"/>
    </row>
    <row r="54" ht="22" customHeight="1">
      <c r="A54" s="5">
        <f>IF(B54="","",IF(COUNTA($A$6:A54)=0,"EVT-"&amp;TEXT(COUNTA($B$6:B54),"000"),"EVT-"&amp;TEXT(ROW()-5,"000")))</f>
        <v/>
      </c>
      <c r="B54" s="5" t="n"/>
      <c r="C54" s="5" t="n"/>
      <c r="D54" s="5" t="n"/>
      <c r="E54" s="5" t="n"/>
      <c r="F54" s="5" t="n"/>
      <c r="G54" s="5" t="n"/>
      <c r="H54" s="30">
        <f>IF(G54="","",IFERROR(G54-F54,0))</f>
        <v/>
      </c>
      <c r="I54" s="5" t="n"/>
      <c r="J54" s="5" t="n"/>
      <c r="K54" s="5" t="n"/>
      <c r="L54" s="5" t="n"/>
      <c r="M54" s="5" t="n"/>
      <c r="N54" s="5" t="n"/>
    </row>
    <row r="55" ht="22" customHeight="1">
      <c r="A55" s="8">
        <f>IF(B55="","",IF(COUNTA($A$6:A55)=0,"EVT-"&amp;TEXT(COUNTA($B$6:B55),"000"),"EVT-"&amp;TEXT(ROW()-5,"000")))</f>
        <v/>
      </c>
      <c r="B55" s="8" t="n"/>
      <c r="C55" s="8" t="n"/>
      <c r="D55" s="8" t="n"/>
      <c r="E55" s="8" t="n"/>
      <c r="F55" s="8" t="n"/>
      <c r="G55" s="8" t="n"/>
      <c r="H55" s="29">
        <f>IF(G55="","",IFERROR(G55-F55,0))</f>
        <v/>
      </c>
      <c r="I55" s="8" t="n"/>
      <c r="J55" s="8" t="n"/>
      <c r="K55" s="8" t="n"/>
      <c r="L55" s="8" t="n"/>
      <c r="M55" s="8" t="n"/>
      <c r="N55" s="8" t="n"/>
    </row>
    <row r="56" ht="22" customHeight="1">
      <c r="A56" s="5">
        <f>IF(B56="","",IF(COUNTA($A$6:A56)=0,"EVT-"&amp;TEXT(COUNTA($B$6:B56),"000"),"EVT-"&amp;TEXT(ROW()-5,"000")))</f>
        <v/>
      </c>
      <c r="B56" s="5" t="n"/>
      <c r="C56" s="5" t="n"/>
      <c r="D56" s="5" t="n"/>
      <c r="E56" s="5" t="n"/>
      <c r="F56" s="5" t="n"/>
      <c r="G56" s="5" t="n"/>
      <c r="H56" s="30">
        <f>IF(G56="","",IFERROR(G56-F56,0))</f>
        <v/>
      </c>
      <c r="I56" s="5" t="n"/>
      <c r="J56" s="5" t="n"/>
      <c r="K56" s="5" t="n"/>
      <c r="L56" s="5" t="n"/>
      <c r="M56" s="5" t="n"/>
      <c r="N56" s="5" t="n"/>
    </row>
    <row r="57" ht="22" customHeight="1">
      <c r="A57" s="8">
        <f>IF(B57="","",IF(COUNTA($A$6:A57)=0,"EVT-"&amp;TEXT(COUNTA($B$6:B57),"000"),"EVT-"&amp;TEXT(ROW()-5,"000")))</f>
        <v/>
      </c>
      <c r="B57" s="8" t="n"/>
      <c r="C57" s="8" t="n"/>
      <c r="D57" s="8" t="n"/>
      <c r="E57" s="8" t="n"/>
      <c r="F57" s="8" t="n"/>
      <c r="G57" s="8" t="n"/>
      <c r="H57" s="29">
        <f>IF(G57="","",IFERROR(G57-F57,0))</f>
        <v/>
      </c>
      <c r="I57" s="8" t="n"/>
      <c r="J57" s="8" t="n"/>
      <c r="K57" s="8" t="n"/>
      <c r="L57" s="8" t="n"/>
      <c r="M57" s="8" t="n"/>
      <c r="N57" s="8" t="n"/>
    </row>
    <row r="58" ht="22" customHeight="1">
      <c r="A58" s="5">
        <f>IF(B58="","",IF(COUNTA($A$6:A58)=0,"EVT-"&amp;TEXT(COUNTA($B$6:B58),"000"),"EVT-"&amp;TEXT(ROW()-5,"000")))</f>
        <v/>
      </c>
      <c r="B58" s="5" t="n"/>
      <c r="C58" s="5" t="n"/>
      <c r="D58" s="5" t="n"/>
      <c r="E58" s="5" t="n"/>
      <c r="F58" s="5" t="n"/>
      <c r="G58" s="5" t="n"/>
      <c r="H58" s="30">
        <f>IF(G58="","",IFERROR(G58-F58,0))</f>
        <v/>
      </c>
      <c r="I58" s="5" t="n"/>
      <c r="J58" s="5" t="n"/>
      <c r="K58" s="5" t="n"/>
      <c r="L58" s="5" t="n"/>
      <c r="M58" s="5" t="n"/>
      <c r="N58" s="5" t="n"/>
    </row>
    <row r="59" ht="22" customHeight="1">
      <c r="A59" s="8">
        <f>IF(B59="","",IF(COUNTA($A$6:A59)=0,"EVT-"&amp;TEXT(COUNTA($B$6:B59),"000"),"EVT-"&amp;TEXT(ROW()-5,"000")))</f>
        <v/>
      </c>
      <c r="B59" s="8" t="n"/>
      <c r="C59" s="8" t="n"/>
      <c r="D59" s="8" t="n"/>
      <c r="E59" s="8" t="n"/>
      <c r="F59" s="8" t="n"/>
      <c r="G59" s="8" t="n"/>
      <c r="H59" s="29">
        <f>IF(G59="","",IFERROR(G59-F59,0))</f>
        <v/>
      </c>
      <c r="I59" s="8" t="n"/>
      <c r="J59" s="8" t="n"/>
      <c r="K59" s="8" t="n"/>
      <c r="L59" s="8" t="n"/>
      <c r="M59" s="8" t="n"/>
      <c r="N59" s="8" t="n"/>
    </row>
    <row r="60" ht="22" customHeight="1">
      <c r="A60" s="5">
        <f>IF(B60="","",IF(COUNTA($A$6:A60)=0,"EVT-"&amp;TEXT(COUNTA($B$6:B60),"000"),"EVT-"&amp;TEXT(ROW()-5,"000")))</f>
        <v/>
      </c>
      <c r="B60" s="5" t="n"/>
      <c r="C60" s="5" t="n"/>
      <c r="D60" s="5" t="n"/>
      <c r="E60" s="5" t="n"/>
      <c r="F60" s="5" t="n"/>
      <c r="G60" s="5" t="n"/>
      <c r="H60" s="30">
        <f>IF(G60="","",IFERROR(G60-F60,0))</f>
        <v/>
      </c>
      <c r="I60" s="5" t="n"/>
      <c r="J60" s="5" t="n"/>
      <c r="K60" s="5" t="n"/>
      <c r="L60" s="5" t="n"/>
      <c r="M60" s="5" t="n"/>
      <c r="N60" s="5" t="n"/>
    </row>
    <row r="61" ht="22" customHeight="1">
      <c r="A61" s="8">
        <f>IF(B61="","",IF(COUNTA($A$6:A61)=0,"EVT-"&amp;TEXT(COUNTA($B$6:B61),"000"),"EVT-"&amp;TEXT(ROW()-5,"000")))</f>
        <v/>
      </c>
      <c r="B61" s="8" t="n"/>
      <c r="C61" s="8" t="n"/>
      <c r="D61" s="8" t="n"/>
      <c r="E61" s="8" t="n"/>
      <c r="F61" s="8" t="n"/>
      <c r="G61" s="8" t="n"/>
      <c r="H61" s="29">
        <f>IF(G61="","",IFERROR(G61-F61,0))</f>
        <v/>
      </c>
      <c r="I61" s="8" t="n"/>
      <c r="J61" s="8" t="n"/>
      <c r="K61" s="8" t="n"/>
      <c r="L61" s="8" t="n"/>
      <c r="M61" s="8" t="n"/>
      <c r="N61" s="8" t="n"/>
    </row>
    <row r="62" ht="22" customHeight="1">
      <c r="A62" s="5">
        <f>IF(B62="","",IF(COUNTA($A$6:A62)=0,"EVT-"&amp;TEXT(COUNTA($B$6:B62),"000"),"EVT-"&amp;TEXT(ROW()-5,"000")))</f>
        <v/>
      </c>
      <c r="B62" s="5" t="n"/>
      <c r="C62" s="5" t="n"/>
      <c r="D62" s="5" t="n"/>
      <c r="E62" s="5" t="n"/>
      <c r="F62" s="5" t="n"/>
      <c r="G62" s="5" t="n"/>
      <c r="H62" s="30">
        <f>IF(G62="","",IFERROR(G62-F62,0))</f>
        <v/>
      </c>
      <c r="I62" s="5" t="n"/>
      <c r="J62" s="5" t="n"/>
      <c r="K62" s="5" t="n"/>
      <c r="L62" s="5" t="n"/>
      <c r="M62" s="5" t="n"/>
      <c r="N62" s="5" t="n"/>
    </row>
    <row r="63" ht="22" customHeight="1">
      <c r="A63" s="8">
        <f>IF(B63="","",IF(COUNTA($A$6:A63)=0,"EVT-"&amp;TEXT(COUNTA($B$6:B63),"000"),"EVT-"&amp;TEXT(ROW()-5,"000")))</f>
        <v/>
      </c>
      <c r="B63" s="8" t="n"/>
      <c r="C63" s="8" t="n"/>
      <c r="D63" s="8" t="n"/>
      <c r="E63" s="8" t="n"/>
      <c r="F63" s="8" t="n"/>
      <c r="G63" s="8" t="n"/>
      <c r="H63" s="29">
        <f>IF(G63="","",IFERROR(G63-F63,0))</f>
        <v/>
      </c>
      <c r="I63" s="8" t="n"/>
      <c r="J63" s="8" t="n"/>
      <c r="K63" s="8" t="n"/>
      <c r="L63" s="8" t="n"/>
      <c r="M63" s="8" t="n"/>
      <c r="N63" s="8" t="n"/>
    </row>
    <row r="64" ht="22" customHeight="1">
      <c r="A64" s="5">
        <f>IF(B64="","",IF(COUNTA($A$6:A64)=0,"EVT-"&amp;TEXT(COUNTA($B$6:B64),"000"),"EVT-"&amp;TEXT(ROW()-5,"000")))</f>
        <v/>
      </c>
      <c r="B64" s="5" t="n"/>
      <c r="C64" s="5" t="n"/>
      <c r="D64" s="5" t="n"/>
      <c r="E64" s="5" t="n"/>
      <c r="F64" s="5" t="n"/>
      <c r="G64" s="5" t="n"/>
      <c r="H64" s="30">
        <f>IF(G64="","",IFERROR(G64-F64,0))</f>
        <v/>
      </c>
      <c r="I64" s="5" t="n"/>
      <c r="J64" s="5" t="n"/>
      <c r="K64" s="5" t="n"/>
      <c r="L64" s="5" t="n"/>
      <c r="M64" s="5" t="n"/>
      <c r="N64" s="5" t="n"/>
    </row>
    <row r="65" ht="22" customHeight="1">
      <c r="A65" s="8">
        <f>IF(B65="","",IF(COUNTA($A$6:A65)=0,"EVT-"&amp;TEXT(COUNTA($B$6:B65),"000"),"EVT-"&amp;TEXT(ROW()-5,"000")))</f>
        <v/>
      </c>
      <c r="B65" s="8" t="n"/>
      <c r="C65" s="8" t="n"/>
      <c r="D65" s="8" t="n"/>
      <c r="E65" s="8" t="n"/>
      <c r="F65" s="8" t="n"/>
      <c r="G65" s="8" t="n"/>
      <c r="H65" s="29">
        <f>IF(G65="","",IFERROR(G65-F65,0))</f>
        <v/>
      </c>
      <c r="I65" s="8" t="n"/>
      <c r="J65" s="8" t="n"/>
      <c r="K65" s="8" t="n"/>
      <c r="L65" s="8" t="n"/>
      <c r="M65" s="8" t="n"/>
      <c r="N65" s="8" t="n"/>
    </row>
    <row r="66" ht="22" customHeight="1">
      <c r="A66" s="5">
        <f>IF(B66="","",IF(COUNTA($A$6:A66)=0,"EVT-"&amp;TEXT(COUNTA($B$6:B66),"000"),"EVT-"&amp;TEXT(ROW()-5,"000")))</f>
        <v/>
      </c>
      <c r="B66" s="5" t="n"/>
      <c r="C66" s="5" t="n"/>
      <c r="D66" s="5" t="n"/>
      <c r="E66" s="5" t="n"/>
      <c r="F66" s="5" t="n"/>
      <c r="G66" s="5" t="n"/>
      <c r="H66" s="30">
        <f>IF(G66="","",IFERROR(G66-F66,0))</f>
        <v/>
      </c>
      <c r="I66" s="5" t="n"/>
      <c r="J66" s="5" t="n"/>
      <c r="K66" s="5" t="n"/>
      <c r="L66" s="5" t="n"/>
      <c r="M66" s="5" t="n"/>
      <c r="N66" s="5" t="n"/>
    </row>
    <row r="67" ht="22" customHeight="1">
      <c r="A67" s="8">
        <f>IF(B67="","",IF(COUNTA($A$6:A67)=0,"EVT-"&amp;TEXT(COUNTA($B$6:B67),"000"),"EVT-"&amp;TEXT(ROW()-5,"000")))</f>
        <v/>
      </c>
      <c r="B67" s="8" t="n"/>
      <c r="C67" s="8" t="n"/>
      <c r="D67" s="8" t="n"/>
      <c r="E67" s="8" t="n"/>
      <c r="F67" s="8" t="n"/>
      <c r="G67" s="8" t="n"/>
      <c r="H67" s="29">
        <f>IF(G67="","",IFERROR(G67-F67,0))</f>
        <v/>
      </c>
      <c r="I67" s="8" t="n"/>
      <c r="J67" s="8" t="n"/>
      <c r="K67" s="8" t="n"/>
      <c r="L67" s="8" t="n"/>
      <c r="M67" s="8" t="n"/>
      <c r="N67" s="8" t="n"/>
    </row>
    <row r="68" ht="22" customHeight="1">
      <c r="A68" s="5">
        <f>IF(B68="","",IF(COUNTA($A$6:A68)=0,"EVT-"&amp;TEXT(COUNTA($B$6:B68),"000"),"EVT-"&amp;TEXT(ROW()-5,"000")))</f>
        <v/>
      </c>
      <c r="B68" s="5" t="n"/>
      <c r="C68" s="5" t="n"/>
      <c r="D68" s="5" t="n"/>
      <c r="E68" s="5" t="n"/>
      <c r="F68" s="5" t="n"/>
      <c r="G68" s="5" t="n"/>
      <c r="H68" s="30">
        <f>IF(G68="","",IFERROR(G68-F68,0))</f>
        <v/>
      </c>
      <c r="I68" s="5" t="n"/>
      <c r="J68" s="5" t="n"/>
      <c r="K68" s="5" t="n"/>
      <c r="L68" s="5" t="n"/>
      <c r="M68" s="5" t="n"/>
      <c r="N68" s="5" t="n"/>
    </row>
    <row r="69" ht="22" customHeight="1">
      <c r="A69" s="8">
        <f>IF(B69="","",IF(COUNTA($A$6:A69)=0,"EVT-"&amp;TEXT(COUNTA($B$6:B69),"000"),"EVT-"&amp;TEXT(ROW()-5,"000")))</f>
        <v/>
      </c>
      <c r="B69" s="8" t="n"/>
      <c r="C69" s="8" t="n"/>
      <c r="D69" s="8" t="n"/>
      <c r="E69" s="8" t="n"/>
      <c r="F69" s="8" t="n"/>
      <c r="G69" s="8" t="n"/>
      <c r="H69" s="29">
        <f>IF(G69="","",IFERROR(G69-F69,0))</f>
        <v/>
      </c>
      <c r="I69" s="8" t="n"/>
      <c r="J69" s="8" t="n"/>
      <c r="K69" s="8" t="n"/>
      <c r="L69" s="8" t="n"/>
      <c r="M69" s="8" t="n"/>
      <c r="N69" s="8" t="n"/>
    </row>
    <row r="70" ht="22" customHeight="1">
      <c r="A70" s="5">
        <f>IF(B70="","",IF(COUNTA($A$6:A70)=0,"EVT-"&amp;TEXT(COUNTA($B$6:B70),"000"),"EVT-"&amp;TEXT(ROW()-5,"000")))</f>
        <v/>
      </c>
      <c r="B70" s="5" t="n"/>
      <c r="C70" s="5" t="n"/>
      <c r="D70" s="5" t="n"/>
      <c r="E70" s="5" t="n"/>
      <c r="F70" s="5" t="n"/>
      <c r="G70" s="5" t="n"/>
      <c r="H70" s="30">
        <f>IF(G70="","",IFERROR(G70-F70,0))</f>
        <v/>
      </c>
      <c r="I70" s="5" t="n"/>
      <c r="J70" s="5" t="n"/>
      <c r="K70" s="5" t="n"/>
      <c r="L70" s="5" t="n"/>
      <c r="M70" s="5" t="n"/>
      <c r="N70" s="5" t="n"/>
    </row>
    <row r="71" ht="22" customHeight="1">
      <c r="A71" s="8">
        <f>IF(B71="","",IF(COUNTA($A$6:A71)=0,"EVT-"&amp;TEXT(COUNTA($B$6:B71),"000"),"EVT-"&amp;TEXT(ROW()-5,"000")))</f>
        <v/>
      </c>
      <c r="B71" s="8" t="n"/>
      <c r="C71" s="8" t="n"/>
      <c r="D71" s="8" t="n"/>
      <c r="E71" s="8" t="n"/>
      <c r="F71" s="8" t="n"/>
      <c r="G71" s="8" t="n"/>
      <c r="H71" s="29">
        <f>IF(G71="","",IFERROR(G71-F71,0))</f>
        <v/>
      </c>
      <c r="I71" s="8" t="n"/>
      <c r="J71" s="8" t="n"/>
      <c r="K71" s="8" t="n"/>
      <c r="L71" s="8" t="n"/>
      <c r="M71" s="8" t="n"/>
      <c r="N71" s="8" t="n"/>
    </row>
    <row r="72" ht="22" customHeight="1">
      <c r="A72" s="5">
        <f>IF(B72="","",IF(COUNTA($A$6:A72)=0,"EVT-"&amp;TEXT(COUNTA($B$6:B72),"000"),"EVT-"&amp;TEXT(ROW()-5,"000")))</f>
        <v/>
      </c>
      <c r="B72" s="5" t="n"/>
      <c r="C72" s="5" t="n"/>
      <c r="D72" s="5" t="n"/>
      <c r="E72" s="5" t="n"/>
      <c r="F72" s="5" t="n"/>
      <c r="G72" s="5" t="n"/>
      <c r="H72" s="30">
        <f>IF(G72="","",IFERROR(G72-F72,0))</f>
        <v/>
      </c>
      <c r="I72" s="5" t="n"/>
      <c r="J72" s="5" t="n"/>
      <c r="K72" s="5" t="n"/>
      <c r="L72" s="5" t="n"/>
      <c r="M72" s="5" t="n"/>
      <c r="N72" s="5" t="n"/>
    </row>
    <row r="73" ht="22" customHeight="1">
      <c r="A73" s="8">
        <f>IF(B73="","",IF(COUNTA($A$6:A73)=0,"EVT-"&amp;TEXT(COUNTA($B$6:B73),"000"),"EVT-"&amp;TEXT(ROW()-5,"000")))</f>
        <v/>
      </c>
      <c r="B73" s="8" t="n"/>
      <c r="C73" s="8" t="n"/>
      <c r="D73" s="8" t="n"/>
      <c r="E73" s="8" t="n"/>
      <c r="F73" s="8" t="n"/>
      <c r="G73" s="8" t="n"/>
      <c r="H73" s="29">
        <f>IF(G73="","",IFERROR(G73-F73,0))</f>
        <v/>
      </c>
      <c r="I73" s="8" t="n"/>
      <c r="J73" s="8" t="n"/>
      <c r="K73" s="8" t="n"/>
      <c r="L73" s="8" t="n"/>
      <c r="M73" s="8" t="n"/>
      <c r="N73" s="8" t="n"/>
    </row>
    <row r="74" ht="22" customHeight="1">
      <c r="A74" s="5">
        <f>IF(B74="","",IF(COUNTA($A$6:A74)=0,"EVT-"&amp;TEXT(COUNTA($B$6:B74),"000"),"EVT-"&amp;TEXT(ROW()-5,"000")))</f>
        <v/>
      </c>
      <c r="B74" s="5" t="n"/>
      <c r="C74" s="5" t="n"/>
      <c r="D74" s="5" t="n"/>
      <c r="E74" s="5" t="n"/>
      <c r="F74" s="5" t="n"/>
      <c r="G74" s="5" t="n"/>
      <c r="H74" s="30">
        <f>IF(G74="","",IFERROR(G74-F74,0))</f>
        <v/>
      </c>
      <c r="I74" s="5" t="n"/>
      <c r="J74" s="5" t="n"/>
      <c r="K74" s="5" t="n"/>
      <c r="L74" s="5" t="n"/>
      <c r="M74" s="5" t="n"/>
      <c r="N74" s="5" t="n"/>
    </row>
    <row r="75" ht="22" customHeight="1">
      <c r="A75" s="8">
        <f>IF(B75="","",IF(COUNTA($A$6:A75)=0,"EVT-"&amp;TEXT(COUNTA($B$6:B75),"000"),"EVT-"&amp;TEXT(ROW()-5,"000")))</f>
        <v/>
      </c>
      <c r="B75" s="8" t="n"/>
      <c r="C75" s="8" t="n"/>
      <c r="D75" s="8" t="n"/>
      <c r="E75" s="8" t="n"/>
      <c r="F75" s="8" t="n"/>
      <c r="G75" s="8" t="n"/>
      <c r="H75" s="29">
        <f>IF(G75="","",IFERROR(G75-F75,0))</f>
        <v/>
      </c>
      <c r="I75" s="8" t="n"/>
      <c r="J75" s="8" t="n"/>
      <c r="K75" s="8" t="n"/>
      <c r="L75" s="8" t="n"/>
      <c r="M75" s="8" t="n"/>
      <c r="N75" s="8" t="n"/>
    </row>
    <row r="76" ht="22" customHeight="1">
      <c r="A76" s="5">
        <f>IF(B76="","",IF(COUNTA($A$6:A76)=0,"EVT-"&amp;TEXT(COUNTA($B$6:B76),"000"),"EVT-"&amp;TEXT(ROW()-5,"000")))</f>
        <v/>
      </c>
      <c r="B76" s="5" t="n"/>
      <c r="C76" s="5" t="n"/>
      <c r="D76" s="5" t="n"/>
      <c r="E76" s="5" t="n"/>
      <c r="F76" s="5" t="n"/>
      <c r="G76" s="5" t="n"/>
      <c r="H76" s="30">
        <f>IF(G76="","",IFERROR(G76-F76,0))</f>
        <v/>
      </c>
      <c r="I76" s="5" t="n"/>
      <c r="J76" s="5" t="n"/>
      <c r="K76" s="5" t="n"/>
      <c r="L76" s="5" t="n"/>
      <c r="M76" s="5" t="n"/>
      <c r="N76" s="5" t="n"/>
    </row>
    <row r="77" ht="22" customHeight="1">
      <c r="A77" s="8">
        <f>IF(B77="","",IF(COUNTA($A$6:A77)=0,"EVT-"&amp;TEXT(COUNTA($B$6:B77),"000"),"EVT-"&amp;TEXT(ROW()-5,"000")))</f>
        <v/>
      </c>
      <c r="B77" s="8" t="n"/>
      <c r="C77" s="8" t="n"/>
      <c r="D77" s="8" t="n"/>
      <c r="E77" s="8" t="n"/>
      <c r="F77" s="8" t="n"/>
      <c r="G77" s="8" t="n"/>
      <c r="H77" s="29">
        <f>IF(G77="","",IFERROR(G77-F77,0))</f>
        <v/>
      </c>
      <c r="I77" s="8" t="n"/>
      <c r="J77" s="8" t="n"/>
      <c r="K77" s="8" t="n"/>
      <c r="L77" s="8" t="n"/>
      <c r="M77" s="8" t="n"/>
      <c r="N77" s="8" t="n"/>
    </row>
    <row r="78" ht="22" customHeight="1">
      <c r="A78" s="5">
        <f>IF(B78="","",IF(COUNTA($A$6:A78)=0,"EVT-"&amp;TEXT(COUNTA($B$6:B78),"000"),"EVT-"&amp;TEXT(ROW()-5,"000")))</f>
        <v/>
      </c>
      <c r="B78" s="5" t="n"/>
      <c r="C78" s="5" t="n"/>
      <c r="D78" s="5" t="n"/>
      <c r="E78" s="5" t="n"/>
      <c r="F78" s="5" t="n"/>
      <c r="G78" s="5" t="n"/>
      <c r="H78" s="30">
        <f>IF(G78="","",IFERROR(G78-F78,0))</f>
        <v/>
      </c>
      <c r="I78" s="5" t="n"/>
      <c r="J78" s="5" t="n"/>
      <c r="K78" s="5" t="n"/>
      <c r="L78" s="5" t="n"/>
      <c r="M78" s="5" t="n"/>
      <c r="N78" s="5" t="n"/>
    </row>
    <row r="79" ht="22" customHeight="1">
      <c r="A79" s="8">
        <f>IF(B79="","",IF(COUNTA($A$6:A79)=0,"EVT-"&amp;TEXT(COUNTA($B$6:B79),"000"),"EVT-"&amp;TEXT(ROW()-5,"000")))</f>
        <v/>
      </c>
      <c r="B79" s="8" t="n"/>
      <c r="C79" s="8" t="n"/>
      <c r="D79" s="8" t="n"/>
      <c r="E79" s="8" t="n"/>
      <c r="F79" s="8" t="n"/>
      <c r="G79" s="8" t="n"/>
      <c r="H79" s="29">
        <f>IF(G79="","",IFERROR(G79-F79,0))</f>
        <v/>
      </c>
      <c r="I79" s="8" t="n"/>
      <c r="J79" s="8" t="n"/>
      <c r="K79" s="8" t="n"/>
      <c r="L79" s="8" t="n"/>
      <c r="M79" s="8" t="n"/>
      <c r="N79" s="8" t="n"/>
    </row>
    <row r="80" ht="22" customHeight="1">
      <c r="A80" s="5">
        <f>IF(B80="","",IF(COUNTA($A$6:A80)=0,"EVT-"&amp;TEXT(COUNTA($B$6:B80),"000"),"EVT-"&amp;TEXT(ROW()-5,"000")))</f>
        <v/>
      </c>
      <c r="B80" s="5" t="n"/>
      <c r="C80" s="5" t="n"/>
      <c r="D80" s="5" t="n"/>
      <c r="E80" s="5" t="n"/>
      <c r="F80" s="5" t="n"/>
      <c r="G80" s="5" t="n"/>
      <c r="H80" s="30">
        <f>IF(G80="","",IFERROR(G80-F80,0))</f>
        <v/>
      </c>
      <c r="I80" s="5" t="n"/>
      <c r="J80" s="5" t="n"/>
      <c r="K80" s="5" t="n"/>
      <c r="L80" s="5" t="n"/>
      <c r="M80" s="5" t="n"/>
      <c r="N80" s="5" t="n"/>
    </row>
    <row r="81" ht="22" customHeight="1">
      <c r="A81" s="8">
        <f>IF(B81="","",IF(COUNTA($A$6:A81)=0,"EVT-"&amp;TEXT(COUNTA($B$6:B81),"000"),"EVT-"&amp;TEXT(ROW()-5,"000")))</f>
        <v/>
      </c>
      <c r="B81" s="8" t="n"/>
      <c r="C81" s="8" t="n"/>
      <c r="D81" s="8" t="n"/>
      <c r="E81" s="8" t="n"/>
      <c r="F81" s="8" t="n"/>
      <c r="G81" s="8" t="n"/>
      <c r="H81" s="29">
        <f>IF(G81="","",IFERROR(G81-F81,0))</f>
        <v/>
      </c>
      <c r="I81" s="8" t="n"/>
      <c r="J81" s="8" t="n"/>
      <c r="K81" s="8" t="n"/>
      <c r="L81" s="8" t="n"/>
      <c r="M81" s="8" t="n"/>
      <c r="N81" s="8" t="n"/>
    </row>
    <row r="82" ht="22" customHeight="1">
      <c r="A82" s="5">
        <f>IF(B82="","",IF(COUNTA($A$6:A82)=0,"EVT-"&amp;TEXT(COUNTA($B$6:B82),"000"),"EVT-"&amp;TEXT(ROW()-5,"000")))</f>
        <v/>
      </c>
      <c r="B82" s="5" t="n"/>
      <c r="C82" s="5" t="n"/>
      <c r="D82" s="5" t="n"/>
      <c r="E82" s="5" t="n"/>
      <c r="F82" s="5" t="n"/>
      <c r="G82" s="5" t="n"/>
      <c r="H82" s="30">
        <f>IF(G82="","",IFERROR(G82-F82,0))</f>
        <v/>
      </c>
      <c r="I82" s="5" t="n"/>
      <c r="J82" s="5" t="n"/>
      <c r="K82" s="5" t="n"/>
      <c r="L82" s="5" t="n"/>
      <c r="M82" s="5" t="n"/>
      <c r="N82" s="5" t="n"/>
    </row>
    <row r="83" ht="22" customHeight="1">
      <c r="A83" s="8">
        <f>IF(B83="","",IF(COUNTA($A$6:A83)=0,"EVT-"&amp;TEXT(COUNTA($B$6:B83),"000"),"EVT-"&amp;TEXT(ROW()-5,"000")))</f>
        <v/>
      </c>
      <c r="B83" s="8" t="n"/>
      <c r="C83" s="8" t="n"/>
      <c r="D83" s="8" t="n"/>
      <c r="E83" s="8" t="n"/>
      <c r="F83" s="8" t="n"/>
      <c r="G83" s="8" t="n"/>
      <c r="H83" s="29">
        <f>IF(G83="","",IFERROR(G83-F83,0))</f>
        <v/>
      </c>
      <c r="I83" s="8" t="n"/>
      <c r="J83" s="8" t="n"/>
      <c r="K83" s="8" t="n"/>
      <c r="L83" s="8" t="n"/>
      <c r="M83" s="8" t="n"/>
      <c r="N83" s="8" t="n"/>
    </row>
    <row r="84" ht="22" customHeight="1">
      <c r="A84" s="5">
        <f>IF(B84="","",IF(COUNTA($A$6:A84)=0,"EVT-"&amp;TEXT(COUNTA($B$6:B84),"000"),"EVT-"&amp;TEXT(ROW()-5,"000")))</f>
        <v/>
      </c>
      <c r="B84" s="5" t="n"/>
      <c r="C84" s="5" t="n"/>
      <c r="D84" s="5" t="n"/>
      <c r="E84" s="5" t="n"/>
      <c r="F84" s="5" t="n"/>
      <c r="G84" s="5" t="n"/>
      <c r="H84" s="30">
        <f>IF(G84="","",IFERROR(G84-F84,0))</f>
        <v/>
      </c>
      <c r="I84" s="5" t="n"/>
      <c r="J84" s="5" t="n"/>
      <c r="K84" s="5" t="n"/>
      <c r="L84" s="5" t="n"/>
      <c r="M84" s="5" t="n"/>
      <c r="N84" s="5" t="n"/>
    </row>
    <row r="85" ht="22" customHeight="1">
      <c r="A85" s="8">
        <f>IF(B85="","",IF(COUNTA($A$6:A85)=0,"EVT-"&amp;TEXT(COUNTA($B$6:B85),"000"),"EVT-"&amp;TEXT(ROW()-5,"000")))</f>
        <v/>
      </c>
      <c r="B85" s="8" t="n"/>
      <c r="C85" s="8" t="n"/>
      <c r="D85" s="8" t="n"/>
      <c r="E85" s="8" t="n"/>
      <c r="F85" s="8" t="n"/>
      <c r="G85" s="8" t="n"/>
      <c r="H85" s="29">
        <f>IF(G85="","",IFERROR(G85-F85,0))</f>
        <v/>
      </c>
      <c r="I85" s="8" t="n"/>
      <c r="J85" s="8" t="n"/>
      <c r="K85" s="8" t="n"/>
      <c r="L85" s="8" t="n"/>
      <c r="M85" s="8" t="n"/>
      <c r="N85" s="8" t="n"/>
    </row>
    <row r="86" ht="22" customHeight="1">
      <c r="A86" s="5">
        <f>IF(B86="","",IF(COUNTA($A$6:A86)=0,"EVT-"&amp;TEXT(COUNTA($B$6:B86),"000"),"EVT-"&amp;TEXT(ROW()-5,"000")))</f>
        <v/>
      </c>
      <c r="B86" s="5" t="n"/>
      <c r="C86" s="5" t="n"/>
      <c r="D86" s="5" t="n"/>
      <c r="E86" s="5" t="n"/>
      <c r="F86" s="5" t="n"/>
      <c r="G86" s="5" t="n"/>
      <c r="H86" s="30">
        <f>IF(G86="","",IFERROR(G86-F86,0))</f>
        <v/>
      </c>
      <c r="I86" s="5" t="n"/>
      <c r="J86" s="5" t="n"/>
      <c r="K86" s="5" t="n"/>
      <c r="L86" s="5" t="n"/>
      <c r="M86" s="5" t="n"/>
      <c r="N86" s="5" t="n"/>
    </row>
    <row r="87" ht="22" customHeight="1">
      <c r="A87" s="8">
        <f>IF(B87="","",IF(COUNTA($A$6:A87)=0,"EVT-"&amp;TEXT(COUNTA($B$6:B87),"000"),"EVT-"&amp;TEXT(ROW()-5,"000")))</f>
        <v/>
      </c>
      <c r="B87" s="8" t="n"/>
      <c r="C87" s="8" t="n"/>
      <c r="D87" s="8" t="n"/>
      <c r="E87" s="8" t="n"/>
      <c r="F87" s="8" t="n"/>
      <c r="G87" s="8" t="n"/>
      <c r="H87" s="29">
        <f>IF(G87="","",IFERROR(G87-F87,0))</f>
        <v/>
      </c>
      <c r="I87" s="8" t="n"/>
      <c r="J87" s="8" t="n"/>
      <c r="K87" s="8" t="n"/>
      <c r="L87" s="8" t="n"/>
      <c r="M87" s="8" t="n"/>
      <c r="N87" s="8" t="n"/>
    </row>
    <row r="88" ht="22" customHeight="1">
      <c r="A88" s="5">
        <f>IF(B88="","",IF(COUNTA($A$6:A88)=0,"EVT-"&amp;TEXT(COUNTA($B$6:B88),"000"),"EVT-"&amp;TEXT(ROW()-5,"000")))</f>
        <v/>
      </c>
      <c r="B88" s="5" t="n"/>
      <c r="C88" s="5" t="n"/>
      <c r="D88" s="5" t="n"/>
      <c r="E88" s="5" t="n"/>
      <c r="F88" s="5" t="n"/>
      <c r="G88" s="5" t="n"/>
      <c r="H88" s="30">
        <f>IF(G88="","",IFERROR(G88-F88,0))</f>
        <v/>
      </c>
      <c r="I88" s="5" t="n"/>
      <c r="J88" s="5" t="n"/>
      <c r="K88" s="5" t="n"/>
      <c r="L88" s="5" t="n"/>
      <c r="M88" s="5" t="n"/>
      <c r="N88" s="5" t="n"/>
    </row>
    <row r="89" ht="22" customHeight="1">
      <c r="A89" s="8">
        <f>IF(B89="","",IF(COUNTA($A$6:A89)=0,"EVT-"&amp;TEXT(COUNTA($B$6:B89),"000"),"EVT-"&amp;TEXT(ROW()-5,"000")))</f>
        <v/>
      </c>
      <c r="B89" s="8" t="n"/>
      <c r="C89" s="8" t="n"/>
      <c r="D89" s="8" t="n"/>
      <c r="E89" s="8" t="n"/>
      <c r="F89" s="8" t="n"/>
      <c r="G89" s="8" t="n"/>
      <c r="H89" s="29">
        <f>IF(G89="","",IFERROR(G89-F89,0))</f>
        <v/>
      </c>
      <c r="I89" s="8" t="n"/>
      <c r="J89" s="8" t="n"/>
      <c r="K89" s="8" t="n"/>
      <c r="L89" s="8" t="n"/>
      <c r="M89" s="8" t="n"/>
      <c r="N89" s="8" t="n"/>
    </row>
    <row r="90" ht="22" customHeight="1">
      <c r="A90" s="5">
        <f>IF(B90="","",IF(COUNTA($A$6:A90)=0,"EVT-"&amp;TEXT(COUNTA($B$6:B90),"000"),"EVT-"&amp;TEXT(ROW()-5,"000")))</f>
        <v/>
      </c>
      <c r="B90" s="5" t="n"/>
      <c r="C90" s="5" t="n"/>
      <c r="D90" s="5" t="n"/>
      <c r="E90" s="5" t="n"/>
      <c r="F90" s="5" t="n"/>
      <c r="G90" s="5" t="n"/>
      <c r="H90" s="30">
        <f>IF(G90="","",IFERROR(G90-F90,0))</f>
        <v/>
      </c>
      <c r="I90" s="5" t="n"/>
      <c r="J90" s="5" t="n"/>
      <c r="K90" s="5" t="n"/>
      <c r="L90" s="5" t="n"/>
      <c r="M90" s="5" t="n"/>
      <c r="N90" s="5" t="n"/>
    </row>
    <row r="91" ht="22" customHeight="1">
      <c r="A91" s="8">
        <f>IF(B91="","",IF(COUNTA($A$6:A91)=0,"EVT-"&amp;TEXT(COUNTA($B$6:B91),"000"),"EVT-"&amp;TEXT(ROW()-5,"000")))</f>
        <v/>
      </c>
      <c r="B91" s="8" t="n"/>
      <c r="C91" s="8" t="n"/>
      <c r="D91" s="8" t="n"/>
      <c r="E91" s="8" t="n"/>
      <c r="F91" s="8" t="n"/>
      <c r="G91" s="8" t="n"/>
      <c r="H91" s="29">
        <f>IF(G91="","",IFERROR(G91-F91,0))</f>
        <v/>
      </c>
      <c r="I91" s="8" t="n"/>
      <c r="J91" s="8" t="n"/>
      <c r="K91" s="8" t="n"/>
      <c r="L91" s="8" t="n"/>
      <c r="M91" s="8" t="n"/>
      <c r="N91" s="8" t="n"/>
    </row>
    <row r="92" ht="22" customHeight="1">
      <c r="A92" s="5">
        <f>IF(B92="","",IF(COUNTA($A$6:A92)=0,"EVT-"&amp;TEXT(COUNTA($B$6:B92),"000"),"EVT-"&amp;TEXT(ROW()-5,"000")))</f>
        <v/>
      </c>
      <c r="B92" s="5" t="n"/>
      <c r="C92" s="5" t="n"/>
      <c r="D92" s="5" t="n"/>
      <c r="E92" s="5" t="n"/>
      <c r="F92" s="5" t="n"/>
      <c r="G92" s="5" t="n"/>
      <c r="H92" s="30">
        <f>IF(G92="","",IFERROR(G92-F92,0))</f>
        <v/>
      </c>
      <c r="I92" s="5" t="n"/>
      <c r="J92" s="5" t="n"/>
      <c r="K92" s="5" t="n"/>
      <c r="L92" s="5" t="n"/>
      <c r="M92" s="5" t="n"/>
      <c r="N92" s="5" t="n"/>
    </row>
    <row r="93" ht="22" customHeight="1">
      <c r="A93" s="8">
        <f>IF(B93="","",IF(COUNTA($A$6:A93)=0,"EVT-"&amp;TEXT(COUNTA($B$6:B93),"000"),"EVT-"&amp;TEXT(ROW()-5,"000")))</f>
        <v/>
      </c>
      <c r="B93" s="8" t="n"/>
      <c r="C93" s="8" t="n"/>
      <c r="D93" s="8" t="n"/>
      <c r="E93" s="8" t="n"/>
      <c r="F93" s="8" t="n"/>
      <c r="G93" s="8" t="n"/>
      <c r="H93" s="29">
        <f>IF(G93="","",IFERROR(G93-F93,0))</f>
        <v/>
      </c>
      <c r="I93" s="8" t="n"/>
      <c r="J93" s="8" t="n"/>
      <c r="K93" s="8" t="n"/>
      <c r="L93" s="8" t="n"/>
      <c r="M93" s="8" t="n"/>
      <c r="N93" s="8" t="n"/>
    </row>
    <row r="94" ht="22" customHeight="1">
      <c r="A94" s="5">
        <f>IF(B94="","",IF(COUNTA($A$6:A94)=0,"EVT-"&amp;TEXT(COUNTA($B$6:B94),"000"),"EVT-"&amp;TEXT(ROW()-5,"000")))</f>
        <v/>
      </c>
      <c r="B94" s="5" t="n"/>
      <c r="C94" s="5" t="n"/>
      <c r="D94" s="5" t="n"/>
      <c r="E94" s="5" t="n"/>
      <c r="F94" s="5" t="n"/>
      <c r="G94" s="5" t="n"/>
      <c r="H94" s="30">
        <f>IF(G94="","",IFERROR(G94-F94,0))</f>
        <v/>
      </c>
      <c r="I94" s="5" t="n"/>
      <c r="J94" s="5" t="n"/>
      <c r="K94" s="5" t="n"/>
      <c r="L94" s="5" t="n"/>
      <c r="M94" s="5" t="n"/>
      <c r="N94" s="5" t="n"/>
    </row>
    <row r="95" ht="22" customHeight="1">
      <c r="A95" s="8">
        <f>IF(B95="","",IF(COUNTA($A$6:A95)=0,"EVT-"&amp;TEXT(COUNTA($B$6:B95),"000"),"EVT-"&amp;TEXT(ROW()-5,"000")))</f>
        <v/>
      </c>
      <c r="B95" s="8" t="n"/>
      <c r="C95" s="8" t="n"/>
      <c r="D95" s="8" t="n"/>
      <c r="E95" s="8" t="n"/>
      <c r="F95" s="8" t="n"/>
      <c r="G95" s="8" t="n"/>
      <c r="H95" s="29">
        <f>IF(G95="","",IFERROR(G95-F95,0))</f>
        <v/>
      </c>
      <c r="I95" s="8" t="n"/>
      <c r="J95" s="8" t="n"/>
      <c r="K95" s="8" t="n"/>
      <c r="L95" s="8" t="n"/>
      <c r="M95" s="8" t="n"/>
      <c r="N95" s="8" t="n"/>
    </row>
    <row r="96" ht="22" customHeight="1">
      <c r="A96" s="5">
        <f>IF(B96="","",IF(COUNTA($A$6:A96)=0,"EVT-"&amp;TEXT(COUNTA($B$6:B96),"000"),"EVT-"&amp;TEXT(ROW()-5,"000")))</f>
        <v/>
      </c>
      <c r="B96" s="5" t="n"/>
      <c r="C96" s="5" t="n"/>
      <c r="D96" s="5" t="n"/>
      <c r="E96" s="5" t="n"/>
      <c r="F96" s="5" t="n"/>
      <c r="G96" s="5" t="n"/>
      <c r="H96" s="30">
        <f>IF(G96="","",IFERROR(G96-F96,0))</f>
        <v/>
      </c>
      <c r="I96" s="5" t="n"/>
      <c r="J96" s="5" t="n"/>
      <c r="K96" s="5" t="n"/>
      <c r="L96" s="5" t="n"/>
      <c r="M96" s="5" t="n"/>
      <c r="N96" s="5" t="n"/>
    </row>
    <row r="97" ht="22" customHeight="1">
      <c r="A97" s="8">
        <f>IF(B97="","",IF(COUNTA($A$6:A97)=0,"EVT-"&amp;TEXT(COUNTA($B$6:B97),"000"),"EVT-"&amp;TEXT(ROW()-5,"000")))</f>
        <v/>
      </c>
      <c r="B97" s="8" t="n"/>
      <c r="C97" s="8" t="n"/>
      <c r="D97" s="8" t="n"/>
      <c r="E97" s="8" t="n"/>
      <c r="F97" s="8" t="n"/>
      <c r="G97" s="8" t="n"/>
      <c r="H97" s="29">
        <f>IF(G97="","",IFERROR(G97-F97,0))</f>
        <v/>
      </c>
      <c r="I97" s="8" t="n"/>
      <c r="J97" s="8" t="n"/>
      <c r="K97" s="8" t="n"/>
      <c r="L97" s="8" t="n"/>
      <c r="M97" s="8" t="n"/>
      <c r="N97" s="8" t="n"/>
    </row>
    <row r="98" ht="22" customHeight="1">
      <c r="A98" s="5">
        <f>IF(B98="","",IF(COUNTA($A$6:A98)=0,"EVT-"&amp;TEXT(COUNTA($B$6:B98),"000"),"EVT-"&amp;TEXT(ROW()-5,"000")))</f>
        <v/>
      </c>
      <c r="B98" s="5" t="n"/>
      <c r="C98" s="5" t="n"/>
      <c r="D98" s="5" t="n"/>
      <c r="E98" s="5" t="n"/>
      <c r="F98" s="5" t="n"/>
      <c r="G98" s="5" t="n"/>
      <c r="H98" s="30">
        <f>IF(G98="","",IFERROR(G98-F98,0))</f>
        <v/>
      </c>
      <c r="I98" s="5" t="n"/>
      <c r="J98" s="5" t="n"/>
      <c r="K98" s="5" t="n"/>
      <c r="L98" s="5" t="n"/>
      <c r="M98" s="5" t="n"/>
      <c r="N98" s="5" t="n"/>
    </row>
    <row r="99" ht="22" customHeight="1">
      <c r="A99" s="8">
        <f>IF(B99="","",IF(COUNTA($A$6:A99)=0,"EVT-"&amp;TEXT(COUNTA($B$6:B99),"000"),"EVT-"&amp;TEXT(ROW()-5,"000")))</f>
        <v/>
      </c>
      <c r="B99" s="8" t="n"/>
      <c r="C99" s="8" t="n"/>
      <c r="D99" s="8" t="n"/>
      <c r="E99" s="8" t="n"/>
      <c r="F99" s="8" t="n"/>
      <c r="G99" s="8" t="n"/>
      <c r="H99" s="29">
        <f>IF(G99="","",IFERROR(G99-F99,0))</f>
        <v/>
      </c>
      <c r="I99" s="8" t="n"/>
      <c r="J99" s="8" t="n"/>
      <c r="K99" s="8" t="n"/>
      <c r="L99" s="8" t="n"/>
      <c r="M99" s="8" t="n"/>
      <c r="N99" s="8" t="n"/>
    </row>
    <row r="100" ht="22" customHeight="1">
      <c r="A100" s="5">
        <f>IF(B100="","",IF(COUNTA($A$6:A100)=0,"EVT-"&amp;TEXT(COUNTA($B$6:B100),"000"),"EVT-"&amp;TEXT(ROW()-5,"000")))</f>
        <v/>
      </c>
      <c r="B100" s="5" t="n"/>
      <c r="C100" s="5" t="n"/>
      <c r="D100" s="5" t="n"/>
      <c r="E100" s="5" t="n"/>
      <c r="F100" s="5" t="n"/>
      <c r="G100" s="5" t="n"/>
      <c r="H100" s="30">
        <f>IF(G100="","",IFERROR(G100-F100,0))</f>
        <v/>
      </c>
      <c r="I100" s="5" t="n"/>
      <c r="J100" s="5" t="n"/>
      <c r="K100" s="5" t="n"/>
      <c r="L100" s="5" t="n"/>
      <c r="M100" s="5" t="n"/>
      <c r="N100" s="5" t="n"/>
    </row>
    <row r="101" ht="22" customHeight="1">
      <c r="A101" s="8">
        <f>IF(B101="","",IF(COUNTA($A$6:A101)=0,"EVT-"&amp;TEXT(COUNTA($B$6:B101),"000"),"EVT-"&amp;TEXT(ROW()-5,"000")))</f>
        <v/>
      </c>
      <c r="B101" s="8" t="n"/>
      <c r="C101" s="8" t="n"/>
      <c r="D101" s="8" t="n"/>
      <c r="E101" s="8" t="n"/>
      <c r="F101" s="8" t="n"/>
      <c r="G101" s="8" t="n"/>
      <c r="H101" s="29">
        <f>IF(G101="","",IFERROR(G101-F101,0))</f>
        <v/>
      </c>
      <c r="I101" s="8" t="n"/>
      <c r="J101" s="8" t="n"/>
      <c r="K101" s="8" t="n"/>
      <c r="L101" s="8" t="n"/>
      <c r="M101" s="8" t="n"/>
      <c r="N101" s="8" t="n"/>
    </row>
    <row r="102" ht="22" customHeight="1">
      <c r="A102" s="5">
        <f>IF(B102="","",IF(COUNTA($A$6:A102)=0,"EVT-"&amp;TEXT(COUNTA($B$6:B102),"000"),"EVT-"&amp;TEXT(ROW()-5,"000")))</f>
        <v/>
      </c>
      <c r="B102" s="5" t="n"/>
      <c r="C102" s="5" t="n"/>
      <c r="D102" s="5" t="n"/>
      <c r="E102" s="5" t="n"/>
      <c r="F102" s="5" t="n"/>
      <c r="G102" s="5" t="n"/>
      <c r="H102" s="30">
        <f>IF(G102="","",IFERROR(G102-F102,0))</f>
        <v/>
      </c>
      <c r="I102" s="5" t="n"/>
      <c r="J102" s="5" t="n"/>
      <c r="K102" s="5" t="n"/>
      <c r="L102" s="5" t="n"/>
      <c r="M102" s="5" t="n"/>
      <c r="N102" s="5" t="n"/>
    </row>
    <row r="103" ht="22" customHeight="1">
      <c r="A103" s="8">
        <f>IF(B103="","",IF(COUNTA($A$6:A103)=0,"EVT-"&amp;TEXT(COUNTA($B$6:B103),"000"),"EVT-"&amp;TEXT(ROW()-5,"000")))</f>
        <v/>
      </c>
      <c r="B103" s="8" t="n"/>
      <c r="C103" s="8" t="n"/>
      <c r="D103" s="8" t="n"/>
      <c r="E103" s="8" t="n"/>
      <c r="F103" s="8" t="n"/>
      <c r="G103" s="8" t="n"/>
      <c r="H103" s="29">
        <f>IF(G103="","",IFERROR(G103-F103,0))</f>
        <v/>
      </c>
      <c r="I103" s="8" t="n"/>
      <c r="J103" s="8" t="n"/>
      <c r="K103" s="8" t="n"/>
      <c r="L103" s="8" t="n"/>
      <c r="M103" s="8" t="n"/>
      <c r="N103" s="8" t="n"/>
    </row>
    <row r="104" ht="22" customHeight="1">
      <c r="A104" s="5">
        <f>IF(B104="","",IF(COUNTA($A$6:A104)=0,"EVT-"&amp;TEXT(COUNTA($B$6:B104),"000"),"EVT-"&amp;TEXT(ROW()-5,"000")))</f>
        <v/>
      </c>
      <c r="B104" s="5" t="n"/>
      <c r="C104" s="5" t="n"/>
      <c r="D104" s="5" t="n"/>
      <c r="E104" s="5" t="n"/>
      <c r="F104" s="5" t="n"/>
      <c r="G104" s="5" t="n"/>
      <c r="H104" s="30">
        <f>IF(G104="","",IFERROR(G104-F104,0))</f>
        <v/>
      </c>
      <c r="I104" s="5" t="n"/>
      <c r="J104" s="5" t="n"/>
      <c r="K104" s="5" t="n"/>
      <c r="L104" s="5" t="n"/>
      <c r="M104" s="5" t="n"/>
      <c r="N104" s="5" t="n"/>
    </row>
    <row r="105" ht="22" customHeight="1">
      <c r="A105" s="8">
        <f>IF(B105="","",IF(COUNTA($A$6:A105)=0,"EVT-"&amp;TEXT(COUNTA($B$6:B105),"000"),"EVT-"&amp;TEXT(ROW()-5,"000")))</f>
        <v/>
      </c>
      <c r="B105" s="8" t="n"/>
      <c r="C105" s="8" t="n"/>
      <c r="D105" s="8" t="n"/>
      <c r="E105" s="8" t="n"/>
      <c r="F105" s="8" t="n"/>
      <c r="G105" s="8" t="n"/>
      <c r="H105" s="29">
        <f>IF(G105="","",IFERROR(G105-F105,0))</f>
        <v/>
      </c>
      <c r="I105" s="8" t="n"/>
      <c r="J105" s="8" t="n"/>
      <c r="K105" s="8" t="n"/>
      <c r="L105" s="8" t="n"/>
      <c r="M105" s="8" t="n"/>
      <c r="N105" s="8" t="n"/>
    </row>
    <row r="106" ht="22" customHeight="1">
      <c r="A106" s="5">
        <f>IF(B106="","",IF(COUNTA($A$6:A106)=0,"EVT-"&amp;TEXT(COUNTA($B$6:B106),"000"),"EVT-"&amp;TEXT(ROW()-5,"000")))</f>
        <v/>
      </c>
      <c r="B106" s="5" t="n"/>
      <c r="C106" s="5" t="n"/>
      <c r="D106" s="5" t="n"/>
      <c r="E106" s="5" t="n"/>
      <c r="F106" s="5" t="n"/>
      <c r="G106" s="5" t="n"/>
      <c r="H106" s="30">
        <f>IF(G106="","",IFERROR(G106-F106,0))</f>
        <v/>
      </c>
      <c r="I106" s="5" t="n"/>
      <c r="J106" s="5" t="n"/>
      <c r="K106" s="5" t="n"/>
      <c r="L106" s="5" t="n"/>
      <c r="M106" s="5" t="n"/>
      <c r="N106" s="5" t="n"/>
    </row>
    <row r="107" ht="22" customHeight="1">
      <c r="A107" s="8">
        <f>IF(B107="","",IF(COUNTA($A$6:A107)=0,"EVT-"&amp;TEXT(COUNTA($B$6:B107),"000"),"EVT-"&amp;TEXT(ROW()-5,"000")))</f>
        <v/>
      </c>
      <c r="B107" s="8" t="n"/>
      <c r="C107" s="8" t="n"/>
      <c r="D107" s="8" t="n"/>
      <c r="E107" s="8" t="n"/>
      <c r="F107" s="8" t="n"/>
      <c r="G107" s="8" t="n"/>
      <c r="H107" s="29">
        <f>IF(G107="","",IFERROR(G107-F107,0))</f>
        <v/>
      </c>
      <c r="I107" s="8" t="n"/>
      <c r="J107" s="8" t="n"/>
      <c r="K107" s="8" t="n"/>
      <c r="L107" s="8" t="n"/>
      <c r="M107" s="8" t="n"/>
      <c r="N107" s="8" t="n"/>
    </row>
    <row r="108" ht="22" customHeight="1">
      <c r="A108" s="5">
        <f>IF(B108="","",IF(COUNTA($A$6:A108)=0,"EVT-"&amp;TEXT(COUNTA($B$6:B108),"000"),"EVT-"&amp;TEXT(ROW()-5,"000")))</f>
        <v/>
      </c>
      <c r="B108" s="5" t="n"/>
      <c r="C108" s="5" t="n"/>
      <c r="D108" s="5" t="n"/>
      <c r="E108" s="5" t="n"/>
      <c r="F108" s="5" t="n"/>
      <c r="G108" s="5" t="n"/>
      <c r="H108" s="30">
        <f>IF(G108="","",IFERROR(G108-F108,0))</f>
        <v/>
      </c>
      <c r="I108" s="5" t="n"/>
      <c r="J108" s="5" t="n"/>
      <c r="K108" s="5" t="n"/>
      <c r="L108" s="5" t="n"/>
      <c r="M108" s="5" t="n"/>
      <c r="N108" s="5" t="n"/>
    </row>
    <row r="109" ht="22" customHeight="1">
      <c r="A109" s="8">
        <f>IF(B109="","",IF(COUNTA($A$6:A109)=0,"EVT-"&amp;TEXT(COUNTA($B$6:B109),"000"),"EVT-"&amp;TEXT(ROW()-5,"000")))</f>
        <v/>
      </c>
      <c r="B109" s="8" t="n"/>
      <c r="C109" s="8" t="n"/>
      <c r="D109" s="8" t="n"/>
      <c r="E109" s="8" t="n"/>
      <c r="F109" s="8" t="n"/>
      <c r="G109" s="8" t="n"/>
      <c r="H109" s="29">
        <f>IF(G109="","",IFERROR(G109-F109,0))</f>
        <v/>
      </c>
      <c r="I109" s="8" t="n"/>
      <c r="J109" s="8" t="n"/>
      <c r="K109" s="8" t="n"/>
      <c r="L109" s="8" t="n"/>
      <c r="M109" s="8" t="n"/>
      <c r="N109" s="8" t="n"/>
    </row>
    <row r="110" ht="22" customHeight="1">
      <c r="A110" s="5">
        <f>IF(B110="","",IF(COUNTA($A$6:A110)=0,"EVT-"&amp;TEXT(COUNTA($B$6:B110),"000"),"EVT-"&amp;TEXT(ROW()-5,"000")))</f>
        <v/>
      </c>
      <c r="B110" s="5" t="n"/>
      <c r="C110" s="5" t="n"/>
      <c r="D110" s="5" t="n"/>
      <c r="E110" s="5" t="n"/>
      <c r="F110" s="5" t="n"/>
      <c r="G110" s="5" t="n"/>
      <c r="H110" s="30">
        <f>IF(G110="","",IFERROR(G110-F110,0))</f>
        <v/>
      </c>
      <c r="I110" s="5" t="n"/>
      <c r="J110" s="5" t="n"/>
      <c r="K110" s="5" t="n"/>
      <c r="L110" s="5" t="n"/>
      <c r="M110" s="5" t="n"/>
      <c r="N110" s="5" t="n"/>
    </row>
    <row r="111" ht="22" customHeight="1">
      <c r="A111" s="8">
        <f>IF(B111="","",IF(COUNTA($A$6:A111)=0,"EVT-"&amp;TEXT(COUNTA($B$6:B111),"000"),"EVT-"&amp;TEXT(ROW()-5,"000")))</f>
        <v/>
      </c>
      <c r="B111" s="8" t="n"/>
      <c r="C111" s="8" t="n"/>
      <c r="D111" s="8" t="n"/>
      <c r="E111" s="8" t="n"/>
      <c r="F111" s="8" t="n"/>
      <c r="G111" s="8" t="n"/>
      <c r="H111" s="29">
        <f>IF(G111="","",IFERROR(G111-F111,0))</f>
        <v/>
      </c>
      <c r="I111" s="8" t="n"/>
      <c r="J111" s="8" t="n"/>
      <c r="K111" s="8" t="n"/>
      <c r="L111" s="8" t="n"/>
      <c r="M111" s="8" t="n"/>
      <c r="N111" s="8" t="n"/>
    </row>
    <row r="112" ht="22" customHeight="1">
      <c r="A112" s="5">
        <f>IF(B112="","",IF(COUNTA($A$6:A112)=0,"EVT-"&amp;TEXT(COUNTA($B$6:B112),"000"),"EVT-"&amp;TEXT(ROW()-5,"000")))</f>
        <v/>
      </c>
      <c r="B112" s="5" t="n"/>
      <c r="C112" s="5" t="n"/>
      <c r="D112" s="5" t="n"/>
      <c r="E112" s="5" t="n"/>
      <c r="F112" s="5" t="n"/>
      <c r="G112" s="5" t="n"/>
      <c r="H112" s="30">
        <f>IF(G112="","",IFERROR(G112-F112,0))</f>
        <v/>
      </c>
      <c r="I112" s="5" t="n"/>
      <c r="J112" s="5" t="n"/>
      <c r="K112" s="5" t="n"/>
      <c r="L112" s="5" t="n"/>
      <c r="M112" s="5" t="n"/>
      <c r="N112" s="5" t="n"/>
    </row>
    <row r="113" ht="22" customHeight="1">
      <c r="A113" s="8">
        <f>IF(B113="","",IF(COUNTA($A$6:A113)=0,"EVT-"&amp;TEXT(COUNTA($B$6:B113),"000"),"EVT-"&amp;TEXT(ROW()-5,"000")))</f>
        <v/>
      </c>
      <c r="B113" s="8" t="n"/>
      <c r="C113" s="8" t="n"/>
      <c r="D113" s="8" t="n"/>
      <c r="E113" s="8" t="n"/>
      <c r="F113" s="8" t="n"/>
      <c r="G113" s="8" t="n"/>
      <c r="H113" s="29">
        <f>IF(G113="","",IFERROR(G113-F113,0))</f>
        <v/>
      </c>
      <c r="I113" s="8" t="n"/>
      <c r="J113" s="8" t="n"/>
      <c r="K113" s="8" t="n"/>
      <c r="L113" s="8" t="n"/>
      <c r="M113" s="8" t="n"/>
      <c r="N113" s="8" t="n"/>
    </row>
    <row r="114" ht="22" customHeight="1">
      <c r="A114" s="5">
        <f>IF(B114="","",IF(COUNTA($A$6:A114)=0,"EVT-"&amp;TEXT(COUNTA($B$6:B114),"000"),"EVT-"&amp;TEXT(ROW()-5,"000")))</f>
        <v/>
      </c>
      <c r="B114" s="5" t="n"/>
      <c r="C114" s="5" t="n"/>
      <c r="D114" s="5" t="n"/>
      <c r="E114" s="5" t="n"/>
      <c r="F114" s="5" t="n"/>
      <c r="G114" s="5" t="n"/>
      <c r="H114" s="30">
        <f>IF(G114="","",IFERROR(G114-F114,0))</f>
        <v/>
      </c>
      <c r="I114" s="5" t="n"/>
      <c r="J114" s="5" t="n"/>
      <c r="K114" s="5" t="n"/>
      <c r="L114" s="5" t="n"/>
      <c r="M114" s="5" t="n"/>
      <c r="N114" s="5" t="n"/>
    </row>
    <row r="115" ht="22" customHeight="1">
      <c r="A115" s="8">
        <f>IF(B115="","",IF(COUNTA($A$6:A115)=0,"EVT-"&amp;TEXT(COUNTA($B$6:B115),"000"),"EVT-"&amp;TEXT(ROW()-5,"000")))</f>
        <v/>
      </c>
      <c r="B115" s="8" t="n"/>
      <c r="C115" s="8" t="n"/>
      <c r="D115" s="8" t="n"/>
      <c r="E115" s="8" t="n"/>
      <c r="F115" s="8" t="n"/>
      <c r="G115" s="8" t="n"/>
      <c r="H115" s="29">
        <f>IF(G115="","",IFERROR(G115-F115,0))</f>
        <v/>
      </c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C6:C115" showDropDown="0" showInputMessage="0" showErrorMessage="0" allowBlank="1" errorTitle="Erreur" error="Valeur invalide" promptTitle="" prompt="Choisir dans la liste: " type="list">
      <formula1>'F02 - _Lists'!$D$6:$D$13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_Lists'!$E$6:$E$10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0" customWidth="1" min="4" max="4"/>
    <col width="20" customWidth="1" min="5" max="5"/>
    <col width="22" customWidth="1" min="6" max="6"/>
    <col width="22" customWidth="1" min="7" max="7"/>
    <col width="16" customWidth="1" min="8" max="8"/>
    <col width="18" customWidth="1" min="9" max="9"/>
    <col width="4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5-CANAUX DE COMMUNICATION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Canal</t>
        </is>
      </c>
      <c r="B5" s="4" t="inlineStr">
        <is>
          <t>Type Contenu</t>
        </is>
      </c>
      <c r="C5" s="4" t="inlineStr">
        <is>
          <t>Fréquence Diffusion</t>
        </is>
      </c>
      <c r="D5" s="4" t="inlineStr">
        <is>
          <t>Responsable</t>
        </is>
      </c>
      <c r="E5" s="4" t="inlineStr">
        <is>
          <t>Portée (nb personnes)</t>
        </is>
      </c>
      <c r="F5" s="4" t="inlineStr">
        <is>
          <t>Taux Interaction (%)</t>
        </is>
      </c>
      <c r="G5" s="4" t="inlineStr">
        <is>
          <t>Coût Mensuel (FCFA)</t>
        </is>
      </c>
      <c r="H5" s="4" t="inlineStr">
        <is>
          <t>Efficacité</t>
        </is>
      </c>
      <c r="I5" s="4" t="inlineStr">
        <is>
          <t>Dernière Mise à Jour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Intranet</t>
        </is>
      </c>
      <c r="B6" s="5" t="inlineStr">
        <is>
          <t>Informations générales</t>
        </is>
      </c>
      <c r="C6" s="5" t="inlineStr">
        <is>
          <t>Mensuelle</t>
        </is>
      </c>
      <c r="D6" s="5" t="inlineStr">
        <is>
          <t>DSI / DRH</t>
        </is>
      </c>
      <c r="E6" s="25" t="n">
        <v>65</v>
      </c>
      <c r="F6" s="25" t="n">
        <v>62</v>
      </c>
      <c r="G6" s="25" t="n">
        <v>50000</v>
      </c>
      <c r="H6" s="5">
        <f>IF(F6="","",IF(F6&gt;=60,"Très efficace",IF(F6&gt;=40,"Efficace",IF(F6&gt;=20,"Modéré","Faible"))))</f>
        <v/>
      </c>
      <c r="I6" s="23" t="n">
        <v>45716</v>
      </c>
      <c r="J6" s="30">
        <f>IF(G6="","",G6*12)</f>
        <v/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Email interne</t>
        </is>
      </c>
      <c r="B7" s="8" t="inlineStr">
        <is>
          <t>Annonces officielles</t>
        </is>
      </c>
      <c r="C7" s="8" t="inlineStr">
        <is>
          <t>Hebdomadaire</t>
        </is>
      </c>
      <c r="D7" s="8" t="inlineStr">
        <is>
          <t>DRH</t>
        </is>
      </c>
      <c r="E7" s="27" t="n">
        <v>65</v>
      </c>
      <c r="F7" s="27" t="n">
        <v>38</v>
      </c>
      <c r="G7" s="27" t="n">
        <v>15000</v>
      </c>
      <c r="H7" s="8">
        <f>IF(F7="","",IF(F7&gt;=60,"Très efficace",IF(F7&gt;=40,"Efficace",IF(F7&gt;=20,"Modéré","Faible"))))</f>
        <v/>
      </c>
      <c r="I7" s="24" t="n">
        <v>45717</v>
      </c>
      <c r="J7" s="29">
        <f>IF(G7="","",G7*12)</f>
        <v/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Affichage</t>
        </is>
      </c>
      <c r="B8" s="5" t="inlineStr">
        <is>
          <t>Informations légales, événements</t>
        </is>
      </c>
      <c r="C8" s="5" t="inlineStr">
        <is>
          <t>Mensuelle</t>
        </is>
      </c>
      <c r="D8" s="5" t="inlineStr">
        <is>
          <t>DRH</t>
        </is>
      </c>
      <c r="E8" s="25" t="n">
        <v>55</v>
      </c>
      <c r="F8" s="5" t="n"/>
      <c r="G8" s="25" t="n">
        <v>10000</v>
      </c>
      <c r="H8" s="5">
        <f>IF(F8="","",IF(F8&gt;=60,"Très efficace",IF(F8&gt;=40,"Efficace",IF(F8&gt;=20,"Modéré","Faible"))))</f>
        <v/>
      </c>
      <c r="I8" s="23" t="n">
        <v>45703</v>
      </c>
      <c r="J8" s="30">
        <f>IF(G8="","",G8*12)</f>
        <v/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Newsletter</t>
        </is>
      </c>
      <c r="B9" s="8" t="inlineStr">
        <is>
          <t>Actualités, succès, vie sociale</t>
        </is>
      </c>
      <c r="C9" s="8" t="inlineStr">
        <is>
          <t>Mensuelle</t>
        </is>
      </c>
      <c r="D9" s="8" t="inlineStr">
        <is>
          <t>Resp. Marketing</t>
        </is>
      </c>
      <c r="E9" s="27" t="n">
        <v>60</v>
      </c>
      <c r="F9" s="27" t="n">
        <v>55</v>
      </c>
      <c r="G9" s="27" t="n">
        <v>10000</v>
      </c>
      <c r="H9" s="8">
        <f>IF(F9="","",IF(F9&gt;=60,"Très efficace",IF(F9&gt;=40,"Efficace",IF(F9&gt;=20,"Modéré","Faible"))))</f>
        <v/>
      </c>
      <c r="I9" s="24" t="n">
        <v>45717</v>
      </c>
      <c r="J9" s="29">
        <f>IF(G9="","",G9*12)</f>
        <v/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Tablette digitale</t>
        </is>
      </c>
      <c r="B10" s="5" t="inlineStr">
        <is>
          <t>Infographies, quiz, sondages</t>
        </is>
      </c>
      <c r="C10" s="5" t="inlineStr">
        <is>
          <t>Hebdomadaire</t>
        </is>
      </c>
      <c r="D10" s="5" t="inlineStr">
        <is>
          <t>DRH / DSI</t>
        </is>
      </c>
      <c r="E10" s="25" t="n">
        <v>42</v>
      </c>
      <c r="F10" s="25" t="n">
        <v>45</v>
      </c>
      <c r="G10" s="25" t="n">
        <v>25000</v>
      </c>
      <c r="H10" s="5">
        <f>IF(F10="","",IF(F10&gt;=60,"Très efficace",IF(F10&gt;=40,"Efficace",IF(F10&gt;=20,"Modéré","Faible"))))</f>
        <v/>
      </c>
      <c r="I10" s="23" t="n">
        <v>45721</v>
      </c>
      <c r="J10" s="30">
        <f>IF(G10="","",G10*12)</f>
        <v/>
      </c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>
        <f>IF(F11="","",IF(F11&gt;=60,"Très efficace",IF(F11&gt;=40,"Efficace",IF(F11&gt;=20,"Modéré","Faible"))))</f>
        <v/>
      </c>
      <c r="I11" s="8" t="n"/>
      <c r="J11" s="29">
        <f>IF(G11="","",G11*12)</f>
        <v/>
      </c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>
        <f>IF(F12="","",IF(F12&gt;=60,"Très efficace",IF(F12&gt;=40,"Efficace",IF(F12&gt;=20,"Modéré","Faible"))))</f>
        <v/>
      </c>
      <c r="I12" s="5" t="n"/>
      <c r="J12" s="30">
        <f>IF(G12="","",G12*12)</f>
        <v/>
      </c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>
        <f>IF(F13="","",IF(F13&gt;=60,"Très efficace",IF(F13&gt;=40,"Efficace",IF(F13&gt;=20,"Modéré","Faible"))))</f>
        <v/>
      </c>
      <c r="I13" s="8" t="n"/>
      <c r="J13" s="29">
        <f>IF(G13="","",G13*12)</f>
        <v/>
      </c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>
        <f>IF(F14="","",IF(F14&gt;=60,"Très efficace",IF(F14&gt;=40,"Efficace",IF(F14&gt;=20,"Modéré","Faible"))))</f>
        <v/>
      </c>
      <c r="I14" s="5" t="n"/>
      <c r="J14" s="30">
        <f>IF(G14="","",G14*12)</f>
        <v/>
      </c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>
        <f>IF(F15="","",IF(F15&gt;=60,"Très efficace",IF(F15&gt;=40,"Efficace",IF(F15&gt;=20,"Modéré","Faible"))))</f>
        <v/>
      </c>
      <c r="I15" s="8" t="n"/>
      <c r="J15" s="29">
        <f>IF(G15="","",G15*12)</f>
        <v/>
      </c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>
        <f>IF(F16="","",IF(F16&gt;=60,"Très efficace",IF(F16&gt;=40,"Efficace",IF(F16&gt;=20,"Modéré","Faible"))))</f>
        <v/>
      </c>
      <c r="I16" s="5" t="n"/>
      <c r="J16" s="30">
        <f>IF(G16="","",G16*12)</f>
        <v/>
      </c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>
        <f>IF(F17="","",IF(F17&gt;=60,"Très efficace",IF(F17&gt;=40,"Efficace",IF(F17&gt;=20,"Modéré","Faible"))))</f>
        <v/>
      </c>
      <c r="I17" s="8" t="n"/>
      <c r="J17" s="29">
        <f>IF(G17="","",G17*12)</f>
        <v/>
      </c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>
        <f>IF(F18="","",IF(F18&gt;=60,"Très efficace",IF(F18&gt;=40,"Efficace",IF(F18&gt;=20,"Modéré","Faible"))))</f>
        <v/>
      </c>
      <c r="I18" s="5" t="n"/>
      <c r="J18" s="30">
        <f>IF(G18="","",G18*12)</f>
        <v/>
      </c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>
        <f>IF(F19="","",IF(F19&gt;=60,"Très efficace",IF(F19&gt;=40,"Efficace",IF(F19&gt;=20,"Modéré","Faible"))))</f>
        <v/>
      </c>
      <c r="I19" s="8" t="n"/>
      <c r="J19" s="29">
        <f>IF(G19="","",G19*12)</f>
        <v/>
      </c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>
        <f>IF(F20="","",IF(F20&gt;=60,"Très efficace",IF(F20&gt;=40,"Efficace",IF(F20&gt;=20,"Modéré","Faible"))))</f>
        <v/>
      </c>
      <c r="I20" s="5" t="n"/>
      <c r="J20" s="30">
        <f>IF(G20="","",G20*12)</f>
        <v/>
      </c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>
        <f>IF(F21="","",IF(F21&gt;=60,"Très efficace",IF(F21&gt;=40,"Efficace",IF(F21&gt;=20,"Modéré","Faible"))))</f>
        <v/>
      </c>
      <c r="I21" s="8" t="n"/>
      <c r="J21" s="29">
        <f>IF(G21="","",G21*12)</f>
        <v/>
      </c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>
        <f>IF(F22="","",IF(F22&gt;=60,"Très efficace",IF(F22&gt;=40,"Efficace",IF(F22&gt;=20,"Modéré","Faible"))))</f>
        <v/>
      </c>
      <c r="I22" s="5" t="n"/>
      <c r="J22" s="30">
        <f>IF(G22="","",G22*12)</f>
        <v/>
      </c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>
        <f>IF(F23="","",IF(F23&gt;=60,"Très efficace",IF(F23&gt;=40,"Efficace",IF(F23&gt;=20,"Modéré","Faible"))))</f>
        <v/>
      </c>
      <c r="I23" s="8" t="n"/>
      <c r="J23" s="29">
        <f>IF(G23="","",G23*12)</f>
        <v/>
      </c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>
        <f>IF(F24="","",IF(F24&gt;=60,"Très efficace",IF(F24&gt;=40,"Efficace",IF(F24&gt;=20,"Modéré","Faible"))))</f>
        <v/>
      </c>
      <c r="I24" s="5" t="n"/>
      <c r="J24" s="30">
        <f>IF(G24="","",G24*12)</f>
        <v/>
      </c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>
        <f>IF(F25="","",IF(F25&gt;=60,"Très efficace",IF(F25&gt;=40,"Efficace",IF(F25&gt;=20,"Modéré","Faible"))))</f>
        <v/>
      </c>
      <c r="I25" s="8" t="n"/>
      <c r="J25" s="29">
        <f>IF(G25="","",G25*12)</f>
        <v/>
      </c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>
        <f>IF(F26="","",IF(F26&gt;=60,"Très efficace",IF(F26&gt;=40,"Efficace",IF(F26&gt;=20,"Modéré","Faible"))))</f>
        <v/>
      </c>
      <c r="I26" s="5" t="n"/>
      <c r="J26" s="30">
        <f>IF(G26="","",G26*12)</f>
        <v/>
      </c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>
        <f>IF(F27="","",IF(F27&gt;=60,"Très efficace",IF(F27&gt;=40,"Efficace",IF(F27&gt;=20,"Modéré","Faible"))))</f>
        <v/>
      </c>
      <c r="I27" s="8" t="n"/>
      <c r="J27" s="29">
        <f>IF(G27="","",G27*12)</f>
        <v/>
      </c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>
        <f>IF(F28="","",IF(F28&gt;=60,"Très efficace",IF(F28&gt;=40,"Efficace",IF(F28&gt;=20,"Modéré","Faible"))))</f>
        <v/>
      </c>
      <c r="I28" s="5" t="n"/>
      <c r="J28" s="30">
        <f>IF(G28="","",G28*12)</f>
        <v/>
      </c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>
        <f>IF(F29="","",IF(F29&gt;=60,"Très efficace",IF(F29&gt;=40,"Efficace",IF(F29&gt;=20,"Modéré","Faible"))))</f>
        <v/>
      </c>
      <c r="I29" s="8" t="n"/>
      <c r="J29" s="29">
        <f>IF(G29="","",G29*12)</f>
        <v/>
      </c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>
        <f>IF(F30="","",IF(F30&gt;=60,"Très efficace",IF(F30&gt;=40,"Efficace",IF(F30&gt;=20,"Modéré","Faible"))))</f>
        <v/>
      </c>
      <c r="I30" s="5" t="n"/>
      <c r="J30" s="30">
        <f>IF(G30="","",G30*12)</f>
        <v/>
      </c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>
        <f>IF(F31="","",IF(F31&gt;=60,"Très efficace",IF(F31&gt;=40,"Efficace",IF(F31&gt;=20,"Modéré","Faible"))))</f>
        <v/>
      </c>
      <c r="I31" s="8" t="n"/>
      <c r="J31" s="29">
        <f>IF(G31="","",G31*12)</f>
        <v/>
      </c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>
        <f>IF(F32="","",IF(F32&gt;=60,"Très efficace",IF(F32&gt;=40,"Efficace",IF(F32&gt;=20,"Modéré","Faible"))))</f>
        <v/>
      </c>
      <c r="I32" s="5" t="n"/>
      <c r="J32" s="30">
        <f>IF(G32="","",G32*12)</f>
        <v/>
      </c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>
        <f>IF(F33="","",IF(F33&gt;=60,"Très efficace",IF(F33&gt;=40,"Efficace",IF(F33&gt;=20,"Modéré","Faible"))))</f>
        <v/>
      </c>
      <c r="I33" s="8" t="n"/>
      <c r="J33" s="29">
        <f>IF(G33="","",G33*12)</f>
        <v/>
      </c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>
        <f>IF(F34="","",IF(F34&gt;=60,"Très efficace",IF(F34&gt;=40,"Efficace",IF(F34&gt;=20,"Modéré","Faible"))))</f>
        <v/>
      </c>
      <c r="I34" s="5" t="n"/>
      <c r="J34" s="30">
        <f>IF(G34="","",G34*12)</f>
        <v/>
      </c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>
        <f>IF(F35="","",IF(F35&gt;=60,"Très efficace",IF(F35&gt;=40,"Efficace",IF(F35&gt;=20,"Modéré","Faible"))))</f>
        <v/>
      </c>
      <c r="I35" s="8" t="n"/>
      <c r="J35" s="29">
        <f>IF(G35="","",G35*12)</f>
        <v/>
      </c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>
        <f>IF(F36="","",IF(F36&gt;=60,"Très efficace",IF(F36&gt;=40,"Efficace",IF(F36&gt;=20,"Modéré","Faible"))))</f>
        <v/>
      </c>
      <c r="I36" s="5" t="n"/>
      <c r="J36" s="30">
        <f>IF(G36="","",G36*12)</f>
        <v/>
      </c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>
        <f>IF(F37="","",IF(F37&gt;=60,"Très efficace",IF(F37&gt;=40,"Efficace",IF(F37&gt;=20,"Modéré","Faible"))))</f>
        <v/>
      </c>
      <c r="I37" s="8" t="n"/>
      <c r="J37" s="29">
        <f>IF(G37="","",G37*12)</f>
        <v/>
      </c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>
        <f>IF(F38="","",IF(F38&gt;=60,"Très efficace",IF(F38&gt;=40,"Efficace",IF(F38&gt;=20,"Modéré","Faible"))))</f>
        <v/>
      </c>
      <c r="I38" s="5" t="n"/>
      <c r="J38" s="30">
        <f>IF(G38="","",G38*12)</f>
        <v/>
      </c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>
        <f>IF(F39="","",IF(F39&gt;=60,"Très efficace",IF(F39&gt;=40,"Efficace",IF(F39&gt;=20,"Modéré","Faible"))))</f>
        <v/>
      </c>
      <c r="I39" s="8" t="n"/>
      <c r="J39" s="29">
        <f>IF(G39="","",G39*12)</f>
        <v/>
      </c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>
        <f>IF(F40="","",IF(F40&gt;=60,"Très efficace",IF(F40&gt;=40,"Efficace",IF(F40&gt;=20,"Modéré","Faible"))))</f>
        <v/>
      </c>
      <c r="I40" s="5" t="n"/>
      <c r="J40" s="30">
        <f>IF(G40="","",G40*12)</f>
        <v/>
      </c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>
        <f>IF(F41="","",IF(F41&gt;=60,"Très efficace",IF(F41&gt;=40,"Efficace",IF(F41&gt;=20,"Modéré","Faible"))))</f>
        <v/>
      </c>
      <c r="I41" s="8" t="n"/>
      <c r="J41" s="29">
        <f>IF(G41="","",G41*12)</f>
        <v/>
      </c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>
        <f>IF(F42="","",IF(F42&gt;=60,"Très efficace",IF(F42&gt;=40,"Efficace",IF(F42&gt;=20,"Modéré","Faible"))))</f>
        <v/>
      </c>
      <c r="I42" s="5" t="n"/>
      <c r="J42" s="30">
        <f>IF(G42="","",G42*12)</f>
        <v/>
      </c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>
        <f>IF(F43="","",IF(F43&gt;=60,"Très efficace",IF(F43&gt;=40,"Efficace",IF(F43&gt;=20,"Modéré","Faible"))))</f>
        <v/>
      </c>
      <c r="I43" s="8" t="n"/>
      <c r="J43" s="29">
        <f>IF(G43="","",G43*12)</f>
        <v/>
      </c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>
        <f>IF(F44="","",IF(F44&gt;=60,"Très efficace",IF(F44&gt;=40,"Efficace",IF(F44&gt;=20,"Modéré","Faible"))))</f>
        <v/>
      </c>
      <c r="I44" s="5" t="n"/>
      <c r="J44" s="30">
        <f>IF(G44="","",G44*12)</f>
        <v/>
      </c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>
        <f>IF(F45="","",IF(F45&gt;=60,"Très efficace",IF(F45&gt;=40,"Efficace",IF(F45&gt;=20,"Modéré","Faible"))))</f>
        <v/>
      </c>
      <c r="I45" s="8" t="n"/>
      <c r="J45" s="29">
        <f>IF(G45="","",G45*12)</f>
        <v/>
      </c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>
        <f>IF(F46="","",IF(F46&gt;=60,"Très efficace",IF(F46&gt;=40,"Efficace",IF(F46&gt;=20,"Modéré","Faible"))))</f>
        <v/>
      </c>
      <c r="I46" s="5" t="n"/>
      <c r="J46" s="30">
        <f>IF(G46="","",G46*12)</f>
        <v/>
      </c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>
        <f>IF(F47="","",IF(F47&gt;=60,"Très efficace",IF(F47&gt;=40,"Efficace",IF(F47&gt;=20,"Modéré","Faible"))))</f>
        <v/>
      </c>
      <c r="I47" s="8" t="n"/>
      <c r="J47" s="29">
        <f>IF(G47="","",G47*12)</f>
        <v/>
      </c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>
        <f>IF(F48="","",IF(F48&gt;=60,"Très efficace",IF(F48&gt;=40,"Efficace",IF(F48&gt;=20,"Modéré","Faible"))))</f>
        <v/>
      </c>
      <c r="I48" s="5" t="n"/>
      <c r="J48" s="30">
        <f>IF(G48="","",G48*12)</f>
        <v/>
      </c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>
        <f>IF(F49="","",IF(F49&gt;=60,"Très efficace",IF(F49&gt;=40,"Efficace",IF(F49&gt;=20,"Modéré","Faible"))))</f>
        <v/>
      </c>
      <c r="I49" s="8" t="n"/>
      <c r="J49" s="29">
        <f>IF(G49="","",G49*12)</f>
        <v/>
      </c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>
        <f>IF(F50="","",IF(F50&gt;=60,"Très efficace",IF(F50&gt;=40,"Efficace",IF(F50&gt;=20,"Modéré","Faible"))))</f>
        <v/>
      </c>
      <c r="I50" s="5" t="n"/>
      <c r="J50" s="30">
        <f>IF(G50="","",G50*12)</f>
        <v/>
      </c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>
        <f>IF(F51="","",IF(F51&gt;=60,"Très efficace",IF(F51&gt;=40,"Efficace",IF(F51&gt;=20,"Modéré","Faible"))))</f>
        <v/>
      </c>
      <c r="I51" s="8" t="n"/>
      <c r="J51" s="29">
        <f>IF(G51="","",G51*12)</f>
        <v/>
      </c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>
        <f>IF(F52="","",IF(F52&gt;=60,"Très efficace",IF(F52&gt;=40,"Efficace",IF(F52&gt;=20,"Modéré","Faible"))))</f>
        <v/>
      </c>
      <c r="I52" s="5" t="n"/>
      <c r="J52" s="30">
        <f>IF(G52="","",G52*12)</f>
        <v/>
      </c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>
        <f>IF(F53="","",IF(F53&gt;=60,"Très efficace",IF(F53&gt;=40,"Efficace",IF(F53&gt;=20,"Modéré","Faible"))))</f>
        <v/>
      </c>
      <c r="I53" s="8" t="n"/>
      <c r="J53" s="29">
        <f>IF(G53="","",G53*12)</f>
        <v/>
      </c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>
        <f>IF(F54="","",IF(F54&gt;=60,"Très efficace",IF(F54&gt;=40,"Efficace",IF(F54&gt;=20,"Modéré","Faible"))))</f>
        <v/>
      </c>
      <c r="I54" s="5" t="n"/>
      <c r="J54" s="30">
        <f>IF(G54="","",G54*12)</f>
        <v/>
      </c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>
        <f>IF(F55="","",IF(F55&gt;=60,"Très efficace",IF(F55&gt;=40,"Efficace",IF(F55&gt;=20,"Modéré","Faible"))))</f>
        <v/>
      </c>
      <c r="I55" s="8" t="n"/>
      <c r="J55" s="29">
        <f>IF(G55="","",G55*12)</f>
        <v/>
      </c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>
        <f>IF(F56="","",IF(F56&gt;=60,"Très efficace",IF(F56&gt;=40,"Efficace",IF(F56&gt;=20,"Modéré","Faible"))))</f>
        <v/>
      </c>
      <c r="I56" s="5" t="n"/>
      <c r="J56" s="30">
        <f>IF(G56="","",G56*12)</f>
        <v/>
      </c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>
        <f>IF(F57="","",IF(F57&gt;=60,"Très efficace",IF(F57&gt;=40,"Efficace",IF(F57&gt;=20,"Modéré","Faible"))))</f>
        <v/>
      </c>
      <c r="I57" s="8" t="n"/>
      <c r="J57" s="29">
        <f>IF(G57="","",G57*12)</f>
        <v/>
      </c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>
        <f>IF(F58="","",IF(F58&gt;=60,"Très efficace",IF(F58&gt;=40,"Efficace",IF(F58&gt;=20,"Modéré","Faible"))))</f>
        <v/>
      </c>
      <c r="I58" s="5" t="n"/>
      <c r="J58" s="30">
        <f>IF(G58="","",G58*12)</f>
        <v/>
      </c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>
        <f>IF(F59="","",IF(F59&gt;=60,"Très efficace",IF(F59&gt;=40,"Efficace",IF(F59&gt;=20,"Modéré","Faible"))))</f>
        <v/>
      </c>
      <c r="I59" s="8" t="n"/>
      <c r="J59" s="29">
        <f>IF(G59="","",G59*12)</f>
        <v/>
      </c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>
        <f>IF(F60="","",IF(F60&gt;=60,"Très efficace",IF(F60&gt;=40,"Efficace",IF(F60&gt;=20,"Modéré","Faible"))))</f>
        <v/>
      </c>
      <c r="I60" s="5" t="n"/>
      <c r="J60" s="30">
        <f>IF(G60="","",G60*12)</f>
        <v/>
      </c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>
        <f>IF(F61="","",IF(F61&gt;=60,"Très efficace",IF(F61&gt;=40,"Efficace",IF(F61&gt;=20,"Modéré","Faible"))))</f>
        <v/>
      </c>
      <c r="I61" s="8" t="n"/>
      <c r="J61" s="29">
        <f>IF(G61="","",G61*12)</f>
        <v/>
      </c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>
        <f>IF(F62="","",IF(F62&gt;=60,"Très efficace",IF(F62&gt;=40,"Efficace",IF(F62&gt;=20,"Modéré","Faible"))))</f>
        <v/>
      </c>
      <c r="I62" s="5" t="n"/>
      <c r="J62" s="30">
        <f>IF(G62="","",G62*12)</f>
        <v/>
      </c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>
        <f>IF(F63="","",IF(F63&gt;=60,"Très efficace",IF(F63&gt;=40,"Efficace",IF(F63&gt;=20,"Modéré","Faible"))))</f>
        <v/>
      </c>
      <c r="I63" s="8" t="n"/>
      <c r="J63" s="29">
        <f>IF(G63="","",G63*12)</f>
        <v/>
      </c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>
        <f>IF(F64="","",IF(F64&gt;=60,"Très efficace",IF(F64&gt;=40,"Efficace",IF(F64&gt;=20,"Modéré","Faible"))))</f>
        <v/>
      </c>
      <c r="I64" s="5" t="n"/>
      <c r="J64" s="30">
        <f>IF(G64="","",G64*12)</f>
        <v/>
      </c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>
        <f>IF(F65="","",IF(F65&gt;=60,"Très efficace",IF(F65&gt;=40,"Efficace",IF(F65&gt;=20,"Modéré","Faible"))))</f>
        <v/>
      </c>
      <c r="I65" s="8" t="n"/>
      <c r="J65" s="29">
        <f>IF(G65="","",G65*12)</f>
        <v/>
      </c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>
        <f>IF(F66="","",IF(F66&gt;=60,"Très efficace",IF(F66&gt;=40,"Efficace",IF(F66&gt;=20,"Modéré","Faible"))))</f>
        <v/>
      </c>
      <c r="I66" s="5" t="n"/>
      <c r="J66" s="30">
        <f>IF(G66="","",G66*12)</f>
        <v/>
      </c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>
        <f>IF(F67="","",IF(F67&gt;=60,"Très efficace",IF(F67&gt;=40,"Efficace",IF(F67&gt;=20,"Modéré","Faible"))))</f>
        <v/>
      </c>
      <c r="I67" s="8" t="n"/>
      <c r="J67" s="29">
        <f>IF(G67="","",G67*12)</f>
        <v/>
      </c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>
        <f>IF(F68="","",IF(F68&gt;=60,"Très efficace",IF(F68&gt;=40,"Efficace",IF(F68&gt;=20,"Modéré","Faible"))))</f>
        <v/>
      </c>
      <c r="I68" s="5" t="n"/>
      <c r="J68" s="30">
        <f>IF(G68="","",G68*12)</f>
        <v/>
      </c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>
        <f>IF(F69="","",IF(F69&gt;=60,"Très efficace",IF(F69&gt;=40,"Efficace",IF(F69&gt;=20,"Modéré","Faible"))))</f>
        <v/>
      </c>
      <c r="I69" s="8" t="n"/>
      <c r="J69" s="29">
        <f>IF(G69="","",G69*12)</f>
        <v/>
      </c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>
        <f>IF(F70="","",IF(F70&gt;=60,"Très efficace",IF(F70&gt;=40,"Efficace",IF(F70&gt;=20,"Modéré","Faible"))))</f>
        <v/>
      </c>
      <c r="I70" s="5" t="n"/>
      <c r="J70" s="30">
        <f>IF(G70="","",G70*12)</f>
        <v/>
      </c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>
        <f>IF(F71="","",IF(F71&gt;=60,"Très efficace",IF(F71&gt;=40,"Efficace",IF(F71&gt;=20,"Modéré","Faible"))))</f>
        <v/>
      </c>
      <c r="I71" s="8" t="n"/>
      <c r="J71" s="29">
        <f>IF(G71="","",G71*12)</f>
        <v/>
      </c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>
        <f>IF(F72="","",IF(F72&gt;=60,"Très efficace",IF(F72&gt;=40,"Efficace",IF(F72&gt;=20,"Modéré","Faible"))))</f>
        <v/>
      </c>
      <c r="I72" s="5" t="n"/>
      <c r="J72" s="30">
        <f>IF(G72="","",G72*12)</f>
        <v/>
      </c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>
        <f>IF(F73="","",IF(F73&gt;=60,"Très efficace",IF(F73&gt;=40,"Efficace",IF(F73&gt;=20,"Modéré","Faible"))))</f>
        <v/>
      </c>
      <c r="I73" s="8" t="n"/>
      <c r="J73" s="29">
        <f>IF(G73="","",G73*12)</f>
        <v/>
      </c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>
        <f>IF(F74="","",IF(F74&gt;=60,"Très efficace",IF(F74&gt;=40,"Efficace",IF(F74&gt;=20,"Modéré","Faible"))))</f>
        <v/>
      </c>
      <c r="I74" s="5" t="n"/>
      <c r="J74" s="30">
        <f>IF(G74="","",G74*12)</f>
        <v/>
      </c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>
        <f>IF(F75="","",IF(F75&gt;=60,"Très efficace",IF(F75&gt;=40,"Efficace",IF(F75&gt;=20,"Modéré","Faible"))))</f>
        <v/>
      </c>
      <c r="I75" s="8" t="n"/>
      <c r="J75" s="29">
        <f>IF(G75="","",G75*12)</f>
        <v/>
      </c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>
        <f>IF(F76="","",IF(F76&gt;=60,"Très efficace",IF(F76&gt;=40,"Efficace",IF(F76&gt;=20,"Modéré","Faible"))))</f>
        <v/>
      </c>
      <c r="I76" s="5" t="n"/>
      <c r="J76" s="30">
        <f>IF(G76="","",G76*12)</f>
        <v/>
      </c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>
        <f>IF(F77="","",IF(F77&gt;=60,"Très efficace",IF(F77&gt;=40,"Efficace",IF(F77&gt;=20,"Modéré","Faible"))))</f>
        <v/>
      </c>
      <c r="I77" s="8" t="n"/>
      <c r="J77" s="29">
        <f>IF(G77="","",G77*12)</f>
        <v/>
      </c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>
        <f>IF(F78="","",IF(F78&gt;=60,"Très efficace",IF(F78&gt;=40,"Efficace",IF(F78&gt;=20,"Modéré","Faible"))))</f>
        <v/>
      </c>
      <c r="I78" s="5" t="n"/>
      <c r="J78" s="30">
        <f>IF(G78="","",G78*12)</f>
        <v/>
      </c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>
        <f>IF(F79="","",IF(F79&gt;=60,"Très efficace",IF(F79&gt;=40,"Efficace",IF(F79&gt;=20,"Modéré","Faible"))))</f>
        <v/>
      </c>
      <c r="I79" s="8" t="n"/>
      <c r="J79" s="29">
        <f>IF(G79="","",G79*12)</f>
        <v/>
      </c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>
        <f>IF(F80="","",IF(F80&gt;=60,"Très efficace",IF(F80&gt;=40,"Efficace",IF(F80&gt;=20,"Modéré","Faible"))))</f>
        <v/>
      </c>
      <c r="I80" s="5" t="n"/>
      <c r="J80" s="30">
        <f>IF(G80="","",G80*12)</f>
        <v/>
      </c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>
        <f>IF(F81="","",IF(F81&gt;=60,"Très efficace",IF(F81&gt;=40,"Efficace",IF(F81&gt;=20,"Modéré","Faible"))))</f>
        <v/>
      </c>
      <c r="I81" s="8" t="n"/>
      <c r="J81" s="29">
        <f>IF(G81="","",G81*12)</f>
        <v/>
      </c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>
        <f>IF(F82="","",IF(F82&gt;=60,"Très efficace",IF(F82&gt;=40,"Efficace",IF(F82&gt;=20,"Modéré","Faible"))))</f>
        <v/>
      </c>
      <c r="I82" s="5" t="n"/>
      <c r="J82" s="30">
        <f>IF(G82="","",G82*12)</f>
        <v/>
      </c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>
        <f>IF(F83="","",IF(F83&gt;=60,"Très efficace",IF(F83&gt;=40,"Efficace",IF(F83&gt;=20,"Modéré","Faible"))))</f>
        <v/>
      </c>
      <c r="I83" s="8" t="n"/>
      <c r="J83" s="29">
        <f>IF(G83="","",G83*12)</f>
        <v/>
      </c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>
        <f>IF(F84="","",IF(F84&gt;=60,"Très efficace",IF(F84&gt;=40,"Efficace",IF(F84&gt;=20,"Modéré","Faible"))))</f>
        <v/>
      </c>
      <c r="I84" s="5" t="n"/>
      <c r="J84" s="30">
        <f>IF(G84="","",G84*12)</f>
        <v/>
      </c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>
        <f>IF(F85="","",IF(F85&gt;=60,"Très efficace",IF(F85&gt;=40,"Efficace",IF(F85&gt;=20,"Modéré","Faible"))))</f>
        <v/>
      </c>
      <c r="I85" s="8" t="n"/>
      <c r="J85" s="29">
        <f>IF(G85="","",G85*12)</f>
        <v/>
      </c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>
        <f>IF(F86="","",IF(F86&gt;=60,"Très efficace",IF(F86&gt;=40,"Efficace",IF(F86&gt;=20,"Modéré","Faible"))))</f>
        <v/>
      </c>
      <c r="I86" s="5" t="n"/>
      <c r="J86" s="30">
        <f>IF(G86="","",G86*12)</f>
        <v/>
      </c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>
        <f>IF(F87="","",IF(F87&gt;=60,"Très efficace",IF(F87&gt;=40,"Efficace",IF(F87&gt;=20,"Modéré","Faible"))))</f>
        <v/>
      </c>
      <c r="I87" s="8" t="n"/>
      <c r="J87" s="29">
        <f>IF(G87="","",G87*12)</f>
        <v/>
      </c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>
        <f>IF(F88="","",IF(F88&gt;=60,"Très efficace",IF(F88&gt;=40,"Efficace",IF(F88&gt;=20,"Modéré","Faible"))))</f>
        <v/>
      </c>
      <c r="I88" s="5" t="n"/>
      <c r="J88" s="30">
        <f>IF(G88="","",G88*12)</f>
        <v/>
      </c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>
        <f>IF(F89="","",IF(F89&gt;=60,"Très efficace",IF(F89&gt;=40,"Efficace",IF(F89&gt;=20,"Modéré","Faible"))))</f>
        <v/>
      </c>
      <c r="I89" s="8" t="n"/>
      <c r="J89" s="29">
        <f>IF(G89="","",G89*12)</f>
        <v/>
      </c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>
        <f>IF(F90="","",IF(F90&gt;=60,"Très efficace",IF(F90&gt;=40,"Efficace",IF(F90&gt;=20,"Modéré","Faible"))))</f>
        <v/>
      </c>
      <c r="I90" s="5" t="n"/>
      <c r="J90" s="30">
        <f>IF(G90="","",G90*12)</f>
        <v/>
      </c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>
        <f>IF(F91="","",IF(F91&gt;=60,"Très efficace",IF(F91&gt;=40,"Efficace",IF(F91&gt;=20,"Modéré","Faible"))))</f>
        <v/>
      </c>
      <c r="I91" s="8" t="n"/>
      <c r="J91" s="29">
        <f>IF(G91="","",G91*12)</f>
        <v/>
      </c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>
        <f>IF(F92="","",IF(F92&gt;=60,"Très efficace",IF(F92&gt;=40,"Efficace",IF(F92&gt;=20,"Modéré","Faible"))))</f>
        <v/>
      </c>
      <c r="I92" s="5" t="n"/>
      <c r="J92" s="30">
        <f>IF(G92="","",G92*12)</f>
        <v/>
      </c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>
        <f>IF(F93="","",IF(F93&gt;=60,"Très efficace",IF(F93&gt;=40,"Efficace",IF(F93&gt;=20,"Modéré","Faible"))))</f>
        <v/>
      </c>
      <c r="I93" s="8" t="n"/>
      <c r="J93" s="29">
        <f>IF(G93="","",G93*12)</f>
        <v/>
      </c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>
        <f>IF(F94="","",IF(F94&gt;=60,"Très efficace",IF(F94&gt;=40,"Efficace",IF(F94&gt;=20,"Modéré","Faible"))))</f>
        <v/>
      </c>
      <c r="I94" s="5" t="n"/>
      <c r="J94" s="30">
        <f>IF(G94="","",G94*12)</f>
        <v/>
      </c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>
        <f>IF(F95="","",IF(F95&gt;=60,"Très efficace",IF(F95&gt;=40,"Efficace",IF(F95&gt;=20,"Modéré","Faible"))))</f>
        <v/>
      </c>
      <c r="I95" s="8" t="n"/>
      <c r="J95" s="29">
        <f>IF(G95="","",G95*12)</f>
        <v/>
      </c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>
        <f>IF(F96="","",IF(F96&gt;=60,"Très efficace",IF(F96&gt;=40,"Efficace",IF(F96&gt;=20,"Modéré","Faible"))))</f>
        <v/>
      </c>
      <c r="I96" s="5" t="n"/>
      <c r="J96" s="30">
        <f>IF(G96="","",G96*12)</f>
        <v/>
      </c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>
        <f>IF(F97="","",IF(F97&gt;=60,"Très efficace",IF(F97&gt;=40,"Efficace",IF(F97&gt;=20,"Modéré","Faible"))))</f>
        <v/>
      </c>
      <c r="I97" s="8" t="n"/>
      <c r="J97" s="29">
        <f>IF(G97="","",G97*12)</f>
        <v/>
      </c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>
        <f>IF(F98="","",IF(F98&gt;=60,"Très efficace",IF(F98&gt;=40,"Efficace",IF(F98&gt;=20,"Modéré","Faible"))))</f>
        <v/>
      </c>
      <c r="I98" s="5" t="n"/>
      <c r="J98" s="30">
        <f>IF(G98="","",G98*12)</f>
        <v/>
      </c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>
        <f>IF(F99="","",IF(F99&gt;=60,"Très efficace",IF(F99&gt;=40,"Efficace",IF(F99&gt;=20,"Modéré","Faible"))))</f>
        <v/>
      </c>
      <c r="I99" s="8" t="n"/>
      <c r="J99" s="29">
        <f>IF(G99="","",G99*12)</f>
        <v/>
      </c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>
        <f>IF(F100="","",IF(F100&gt;=60,"Très efficace",IF(F100&gt;=40,"Efficace",IF(F100&gt;=20,"Modéré","Faible"))))</f>
        <v/>
      </c>
      <c r="I100" s="5" t="n"/>
      <c r="J100" s="30">
        <f>IF(G100="","",G100*12)</f>
        <v/>
      </c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>
        <f>IF(F101="","",IF(F101&gt;=60,"Très efficace",IF(F101&gt;=40,"Efficace",IF(F101&gt;=20,"Modéré","Faible"))))</f>
        <v/>
      </c>
      <c r="I101" s="8" t="n"/>
      <c r="J101" s="29">
        <f>IF(G101="","",G101*12)</f>
        <v/>
      </c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>
        <f>IF(F102="","",IF(F102&gt;=60,"Très efficace",IF(F102&gt;=40,"Efficace",IF(F102&gt;=20,"Modéré","Faible"))))</f>
        <v/>
      </c>
      <c r="I102" s="5" t="n"/>
      <c r="J102" s="30">
        <f>IF(G102="","",G102*12)</f>
        <v/>
      </c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>
        <f>IF(F103="","",IF(F103&gt;=60,"Très efficace",IF(F103&gt;=40,"Efficace",IF(F103&gt;=20,"Modéré","Faible"))))</f>
        <v/>
      </c>
      <c r="I103" s="8" t="n"/>
      <c r="J103" s="29">
        <f>IF(G103="","",G103*12)</f>
        <v/>
      </c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>
        <f>IF(F104="","",IF(F104&gt;=60,"Très efficace",IF(F104&gt;=40,"Efficace",IF(F104&gt;=20,"Modéré","Faible"))))</f>
        <v/>
      </c>
      <c r="I104" s="5" t="n"/>
      <c r="J104" s="30">
        <f>IF(G104="","",G104*12)</f>
        <v/>
      </c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>
        <f>IF(F105="","",IF(F105&gt;=60,"Très efficace",IF(F105&gt;=40,"Efficace",IF(F105&gt;=20,"Modéré","Faible"))))</f>
        <v/>
      </c>
      <c r="I105" s="8" t="n"/>
      <c r="J105" s="29">
        <f>IF(G105="","",G105*12)</f>
        <v/>
      </c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>
        <f>IF(F106="","",IF(F106&gt;=60,"Très efficace",IF(F106&gt;=40,"Efficace",IF(F106&gt;=20,"Modéré","Faible"))))</f>
        <v/>
      </c>
      <c r="I106" s="5" t="n"/>
      <c r="J106" s="30">
        <f>IF(G106="","",G106*12)</f>
        <v/>
      </c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>
        <f>IF(F107="","",IF(F107&gt;=60,"Très efficace",IF(F107&gt;=40,"Efficace",IF(F107&gt;=20,"Modéré","Faible"))))</f>
        <v/>
      </c>
      <c r="I107" s="8" t="n"/>
      <c r="J107" s="29">
        <f>IF(G107="","",G107*12)</f>
        <v/>
      </c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>
        <f>IF(F108="","",IF(F108&gt;=60,"Très efficace",IF(F108&gt;=40,"Efficace",IF(F108&gt;=20,"Modéré","Faible"))))</f>
        <v/>
      </c>
      <c r="I108" s="5" t="n"/>
      <c r="J108" s="30">
        <f>IF(G108="","",G108*12)</f>
        <v/>
      </c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>
        <f>IF(F109="","",IF(F109&gt;=60,"Très efficace",IF(F109&gt;=40,"Efficace",IF(F109&gt;=20,"Modéré","Faible"))))</f>
        <v/>
      </c>
      <c r="I109" s="8" t="n"/>
      <c r="J109" s="29">
        <f>IF(G109="","",G109*12)</f>
        <v/>
      </c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>
        <f>IF(F110="","",IF(F110&gt;=60,"Très efficace",IF(F110&gt;=40,"Efficace",IF(F110&gt;=20,"Modéré","Faible"))))</f>
        <v/>
      </c>
      <c r="I110" s="5" t="n"/>
      <c r="J110" s="30">
        <f>IF(G110="","",G110*12)</f>
        <v/>
      </c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>
        <f>IF(F111="","",IF(F111&gt;=60,"Très efficace",IF(F111&gt;=40,"Efficace",IF(F111&gt;=20,"Modéré","Faible"))))</f>
        <v/>
      </c>
      <c r="I111" s="8" t="n"/>
      <c r="J111" s="29">
        <f>IF(G111="","",G111*12)</f>
        <v/>
      </c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>
        <f>IF(F112="","",IF(F112&gt;=60,"Très efficace",IF(F112&gt;=40,"Efficace",IF(F112&gt;=20,"Modéré","Faible"))))</f>
        <v/>
      </c>
      <c r="I112" s="5" t="n"/>
      <c r="J112" s="30">
        <f>IF(G112="","",G112*12)</f>
        <v/>
      </c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>
        <f>IF(F113="","",IF(F113&gt;=60,"Très efficace",IF(F113&gt;=40,"Efficace",IF(F113&gt;=20,"Modéré","Faible"))))</f>
        <v/>
      </c>
      <c r="I113" s="8" t="n"/>
      <c r="J113" s="29">
        <f>IF(G113="","",G113*12)</f>
        <v/>
      </c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>
        <f>IF(F114="","",IF(F114&gt;=60,"Très efficace",IF(F114&gt;=40,"Efficace",IF(F114&gt;=20,"Modéré","Faible"))))</f>
        <v/>
      </c>
      <c r="I114" s="5" t="n"/>
      <c r="J114" s="30">
        <f>IF(G114="","",G114*12)</f>
        <v/>
      </c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>
        <f>IF(F115="","",IF(F115&gt;=60,"Très efficace",IF(F115&gt;=40,"Efficace",IF(F115&gt;=20,"Modéré","Faible"))))</f>
        <v/>
      </c>
      <c r="I115" s="8" t="n"/>
      <c r="J115" s="29">
        <f>IF(G115="","",G115*12)</f>
        <v/>
      </c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" error="Valeur invalide" promptTitle="" prompt="Choisir dans la liste: " type="list">
      <formula1>'F02 - _Lists'!$C$6:$C$15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_Lists'!$G$6:$G$10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6" customWidth="1" min="4" max="4"/>
    <col width="22" customWidth="1" min="5" max="5"/>
    <col width="42" customWidth="1" min="6" max="6"/>
    <col width="16" customWidth="1" min="7" max="7"/>
    <col width="14" customWidth="1" min="8" max="8"/>
    <col width="16" customWidth="1" min="9" max="9"/>
    <col width="36" customWidth="1" min="10" max="10"/>
    <col width="3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6-BOÎTE À IDÉES ET SUGGESTIONS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Suggestion</t>
        </is>
      </c>
      <c r="B5" s="4" t="inlineStr">
        <is>
          <t>Auteur</t>
        </is>
      </c>
      <c r="C5" s="4" t="inlineStr">
        <is>
          <t>Département</t>
        </is>
      </c>
      <c r="D5" s="4" t="inlineStr">
        <is>
          <t>Date Soumission</t>
        </is>
      </c>
      <c r="E5" s="4" t="inlineStr">
        <is>
          <t>Catégorie</t>
        </is>
      </c>
      <c r="F5" s="4" t="inlineStr">
        <is>
          <t>Description</t>
        </is>
      </c>
      <c r="G5" s="4" t="inlineStr">
        <is>
          <t>Statut</t>
        </is>
      </c>
      <c r="H5" s="4" t="inlineStr">
        <is>
          <t>Nb Soutiens</t>
        </is>
      </c>
      <c r="I5" s="4" t="inlineStr">
        <is>
          <t>Date Traitement</t>
        </is>
      </c>
      <c r="J5" s="4" t="inlineStr">
        <is>
          <t>Réponse RH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>
        <f>IF(B6="","",IF(COUNTA($A$6:A6)=0,"SUG-"&amp;TEXT(COUNTA($B$6:B6),"000"),"SUG-"&amp;TEXT(ROW()-5,"000")))</f>
        <v/>
      </c>
      <c r="B6" s="5" t="inlineStr">
        <is>
          <t>Koné Aminata</t>
        </is>
      </c>
      <c r="C6" s="5">
        <f>IF(B6="","",VLOOKUP(B6,'F01 - _Données Collaborateurs'!$B$6:$F$20,5,FALSE))</f>
        <v/>
      </c>
      <c r="D6" s="23" t="n">
        <v>45677</v>
      </c>
      <c r="E6" s="5" t="inlineStr">
        <is>
          <t>Équipements</t>
        </is>
      </c>
      <c r="F6" s="5" t="inlineStr">
        <is>
          <t>Installer un four ventilé supplémentaire pour la pâtisserie</t>
        </is>
      </c>
      <c r="G6" s="5" t="inlineStr">
        <is>
          <t>Acceptée</t>
        </is>
      </c>
      <c r="H6" s="25" t="n">
        <v>8</v>
      </c>
      <c r="I6" s="23" t="n">
        <v>45703</v>
      </c>
      <c r="J6" s="5" t="inlineStr">
        <is>
          <t>Budget validé pour T2 2025</t>
        </is>
      </c>
      <c r="K6" s="5">
        <f>IF(B6="","",IFERROR(VLOOKUP(B6,'F01 - _Données Collaborateurs'!$B$6:$H$20,6,FALSE),""))</f>
        <v/>
      </c>
      <c r="L6" s="5">
        <f>IF(I6="","",IF(I6-D6&gt;15,"Traitement lent","Délai OK"))</f>
        <v/>
      </c>
      <c r="M6" s="5" t="inlineStr"/>
      <c r="N6" s="5" t="inlineStr"/>
    </row>
    <row r="7" ht="22" customHeight="1">
      <c r="A7" s="8">
        <f>IF(B7="","",IF(COUNTA($A$6:A7)=0,"SUG-"&amp;TEXT(COUNTA($B$6:B7),"000"),"SUG-"&amp;TEXT(ROW()-5,"000")))</f>
        <v/>
      </c>
      <c r="B7" s="8" t="inlineStr">
        <is>
          <t>Traoré Ibrahim</t>
        </is>
      </c>
      <c r="C7" s="8">
        <f>IF(B7="","",VLOOKUP(B7,'F01 - _Données Collaborateurs'!$B$6:$F$20,5,FALSE))</f>
        <v/>
      </c>
      <c r="D7" s="24" t="n">
        <v>45682</v>
      </c>
      <c r="E7" s="8" t="inlineStr">
        <is>
          <t>Communication</t>
        </is>
      </c>
      <c r="F7" s="8" t="inlineStr">
        <is>
          <t>Créer une application mobile pour les collaborateurs</t>
        </is>
      </c>
      <c r="G7" s="8" t="inlineStr">
        <is>
          <t>Étudiée</t>
        </is>
      </c>
      <c r="H7" s="27" t="n">
        <v>12</v>
      </c>
      <c r="I7" s="8" t="n"/>
      <c r="J7" s="8" t="inlineStr">
        <is>
          <t>Étude de faisabilité en cours</t>
        </is>
      </c>
      <c r="K7" s="8">
        <f>IF(B7="","",IFERROR(VLOOKUP(B7,'F01 - _Données Collaborateurs'!$B$6:$H$20,6,FALSE),""))</f>
        <v/>
      </c>
      <c r="L7" s="8">
        <f>IF(I7="","",IF(I7-D7&gt;15,"Traitement lent","Délai OK"))</f>
        <v/>
      </c>
      <c r="M7" s="8" t="inlineStr"/>
      <c r="N7" s="8" t="inlineStr"/>
    </row>
    <row r="8" ht="22" customHeight="1">
      <c r="A8" s="5">
        <f>IF(B8="","",IF(COUNTA($A$6:A8)=0,"SUG-"&amp;TEXT(COUNTA($B$6:B8),"000"),"SUG-"&amp;TEXT(ROW()-5,"000")))</f>
        <v/>
      </c>
      <c r="B8" s="5" t="inlineStr">
        <is>
          <t>Bamba Mariam</t>
        </is>
      </c>
      <c r="C8" s="5">
        <f>IF(B8="","",VLOOKUP(B8,'F01 - _Données Collaborateurs'!$B$6:$F$20,5,FALSE))</f>
        <v/>
      </c>
      <c r="D8" s="23" t="n">
        <v>45689</v>
      </c>
      <c r="E8" s="5" t="inlineStr">
        <is>
          <t>Conditions de travail</t>
        </is>
      </c>
      <c r="F8" s="5" t="inlineStr">
        <is>
          <t>Améliorer l'éclairage du comptoir réception nuit</t>
        </is>
      </c>
      <c r="G8" s="5" t="inlineStr">
        <is>
          <t>Mise en oeuvre</t>
        </is>
      </c>
      <c r="H8" s="25" t="n">
        <v>6</v>
      </c>
      <c r="I8" s="23" t="n">
        <v>45717</v>
      </c>
      <c r="J8" s="5" t="inlineStr">
        <is>
          <t>Intervention électricien programmée</t>
        </is>
      </c>
      <c r="K8" s="5">
        <f>IF(B8="","",IFERROR(VLOOKUP(B8,'F01 - _Données Collaborateurs'!$B$6:$H$20,6,FALSE),""))</f>
        <v/>
      </c>
      <c r="L8" s="5">
        <f>IF(I8="","",IF(I8-D8&gt;15,"Traitement lent","Délai OK"))</f>
        <v/>
      </c>
      <c r="M8" s="5" t="inlineStr"/>
      <c r="N8" s="5" t="inlineStr"/>
    </row>
    <row r="9" ht="22" customHeight="1">
      <c r="A9" s="8">
        <f>IF(B9="","",IF(COUNTA($A$6:A9)=0,"SUG-"&amp;TEXT(COUNTA($B$6:B9),"000"),"SUG-"&amp;TEXT(ROW()-5,"000")))</f>
        <v/>
      </c>
      <c r="B9" s="8" t="inlineStr">
        <is>
          <t>Yao Akissi</t>
        </is>
      </c>
      <c r="C9" s="8">
        <f>IF(B9="","",VLOOKUP(B9,'F01 - _Données Collaborateurs'!$B$6:$F$20,5,FALSE))</f>
        <v/>
      </c>
      <c r="D9" s="24" t="n">
        <v>45698</v>
      </c>
      <c r="E9" s="8" t="inlineStr">
        <is>
          <t>Formation</t>
        </is>
      </c>
      <c r="F9" s="8" t="inlineStr">
        <is>
          <t>Formation gestion du stress pour les gouvernantes</t>
        </is>
      </c>
      <c r="G9" s="8" t="inlineStr">
        <is>
          <t>Acceptée</t>
        </is>
      </c>
      <c r="H9" s="27" t="n">
        <v>10</v>
      </c>
      <c r="I9" s="24" t="n">
        <v>45721</v>
      </c>
      <c r="J9" s="8" t="inlineStr">
        <is>
          <t>Session programmée avril 2025</t>
        </is>
      </c>
      <c r="K9" s="8">
        <f>IF(B9="","",IFERROR(VLOOKUP(B9,'F01 - _Données Collaborateurs'!$B$6:$H$20,6,FALSE),""))</f>
        <v/>
      </c>
      <c r="L9" s="8">
        <f>IF(I9="","",IF(I9-D9&gt;15,"Traitement lent","Délai OK"))</f>
        <v/>
      </c>
      <c r="M9" s="8" t="inlineStr"/>
      <c r="N9" s="8" t="inlineStr"/>
    </row>
    <row r="10" ht="22" customHeight="1">
      <c r="A10" s="5">
        <f>IF(B10="","",IF(COUNTA($A$6:A10)=0,"SUG-"&amp;TEXT(COUNTA($B$6:B10),"000"),"SUG-"&amp;TEXT(ROW()-5,"000")))</f>
        <v/>
      </c>
      <c r="B10" s="5" t="inlineStr">
        <is>
          <t>Coulibaly Adama</t>
        </is>
      </c>
      <c r="C10" s="5">
        <f>IF(B10="","",VLOOKUP(B10,'F01 - _Données Collaborateurs'!$B$6:$F$20,5,FALSE))</f>
        <v/>
      </c>
      <c r="D10" s="23" t="n">
        <v>45703</v>
      </c>
      <c r="E10" s="5" t="inlineStr">
        <is>
          <t>Sécurité</t>
        </is>
      </c>
      <c r="F10" s="5" t="inlineStr">
        <is>
          <t>Remplacer les extincteurs périmés étage 3 et 4</t>
        </is>
      </c>
      <c r="G10" s="5" t="inlineStr">
        <is>
          <t>Acceptée</t>
        </is>
      </c>
      <c r="H10" s="25" t="n">
        <v>15</v>
      </c>
      <c r="I10" s="23" t="n">
        <v>45708</v>
      </c>
      <c r="J10" s="5" t="inlineStr">
        <is>
          <t>Commande urgente passée</t>
        </is>
      </c>
      <c r="K10" s="5">
        <f>IF(B10="","",IFERROR(VLOOKUP(B10,'F01 - _Données Collaborateurs'!$B$6:$H$20,6,FALSE),""))</f>
        <v/>
      </c>
      <c r="L10" s="5">
        <f>IF(I10="","",IF(I10-D10&gt;15,"Traitement lent","Délai OK"))</f>
        <v/>
      </c>
      <c r="M10" s="5" t="inlineStr"/>
      <c r="N10" s="5" t="inlineStr"/>
    </row>
    <row r="11" ht="22" customHeight="1">
      <c r="A11" s="8">
        <f>IF(B11="","",IF(COUNTA($A$6:A11)=0,"SUG-"&amp;TEXT(COUNTA($B$6:B11),"000"),"SUG-"&amp;TEXT(ROW()-5,"000")))</f>
        <v/>
      </c>
      <c r="B11" s="8" t="n"/>
      <c r="C11" s="8">
        <f>IF(B11="","",VLOOKUP(B11,'F01 - _Données Collaborateurs'!$B$6:$F$20,5,FALSE))</f>
        <v/>
      </c>
      <c r="D11" s="8" t="n"/>
      <c r="E11" s="8" t="n"/>
      <c r="F11" s="8" t="n"/>
      <c r="G11" s="8" t="n"/>
      <c r="H11" s="8" t="n"/>
      <c r="I11" s="8" t="n"/>
      <c r="J11" s="8" t="n"/>
      <c r="K11" s="8">
        <f>IF(B11="","",IFERROR(VLOOKUP(B11,'F01 - _Données Collaborateurs'!$B$6:$H$20,6,FALSE),""))</f>
        <v/>
      </c>
      <c r="L11" s="8">
        <f>IF(I11="","",IF(I11-D11&gt;15,"Traitement lent","Délai OK"))</f>
        <v/>
      </c>
      <c r="M11" s="8" t="n"/>
      <c r="N11" s="8" t="n"/>
    </row>
    <row r="12" ht="22" customHeight="1">
      <c r="A12" s="5">
        <f>IF(B12="","",IF(COUNTA($A$6:A12)=0,"SUG-"&amp;TEXT(COUNTA($B$6:B12),"000"),"SUG-"&amp;TEXT(ROW()-5,"000")))</f>
        <v/>
      </c>
      <c r="B12" s="5" t="n"/>
      <c r="C12" s="5">
        <f>IF(B12="","",VLOOKUP(B12,'F01 - _Données Collaborateurs'!$B$6:$F$20,5,FALSE))</f>
        <v/>
      </c>
      <c r="D12" s="5" t="n"/>
      <c r="E12" s="5" t="n"/>
      <c r="F12" s="5" t="n"/>
      <c r="G12" s="5" t="n"/>
      <c r="H12" s="5" t="n"/>
      <c r="I12" s="5" t="n"/>
      <c r="J12" s="5" t="n"/>
      <c r="K12" s="5">
        <f>IF(B12="","",IFERROR(VLOOKUP(B12,'F01 - _Données Collaborateurs'!$B$6:$H$20,6,FALSE),""))</f>
        <v/>
      </c>
      <c r="L12" s="5">
        <f>IF(I12="","",IF(I12-D12&gt;15,"Traitement lent","Délai OK"))</f>
        <v/>
      </c>
      <c r="M12" s="5" t="n"/>
      <c r="N12" s="5" t="n"/>
    </row>
    <row r="13" ht="22" customHeight="1">
      <c r="A13" s="8">
        <f>IF(B13="","",IF(COUNTA($A$6:A13)=0,"SUG-"&amp;TEXT(COUNTA($B$6:B13),"000"),"SUG-"&amp;TEXT(ROW()-5,"000")))</f>
        <v/>
      </c>
      <c r="B13" s="8" t="n"/>
      <c r="C13" s="8">
        <f>IF(B13="","",VLOOKUP(B13,'F01 - _Données Collaborateurs'!$B$6:$F$20,5,FALSE))</f>
        <v/>
      </c>
      <c r="D13" s="8" t="n"/>
      <c r="E13" s="8" t="n"/>
      <c r="F13" s="8" t="n"/>
      <c r="G13" s="8" t="n"/>
      <c r="H13" s="8" t="n"/>
      <c r="I13" s="8" t="n"/>
      <c r="J13" s="8" t="n"/>
      <c r="K13" s="8">
        <f>IF(B13="","",IFERROR(VLOOKUP(B13,'F01 - _Données Collaborateurs'!$B$6:$H$20,6,FALSE),""))</f>
        <v/>
      </c>
      <c r="L13" s="8">
        <f>IF(I13="","",IF(I13-D13&gt;15,"Traitement lent","Délai OK"))</f>
        <v/>
      </c>
      <c r="M13" s="8" t="n"/>
      <c r="N13" s="8" t="n"/>
    </row>
    <row r="14" ht="22" customHeight="1">
      <c r="A14" s="5">
        <f>IF(B14="","",IF(COUNTA($A$6:A14)=0,"SUG-"&amp;TEXT(COUNTA($B$6:B14),"000"),"SUG-"&amp;TEXT(ROW()-5,"000")))</f>
        <v/>
      </c>
      <c r="B14" s="5" t="n"/>
      <c r="C14" s="5">
        <f>IF(B14="","",VLOOKUP(B14,'F01 - _Données Collaborateurs'!$B$6:$F$20,5,FALSE))</f>
        <v/>
      </c>
      <c r="D14" s="5" t="n"/>
      <c r="E14" s="5" t="n"/>
      <c r="F14" s="5" t="n"/>
      <c r="G14" s="5" t="n"/>
      <c r="H14" s="5" t="n"/>
      <c r="I14" s="5" t="n"/>
      <c r="J14" s="5" t="n"/>
      <c r="K14" s="5">
        <f>IF(B14="","",IFERROR(VLOOKUP(B14,'F01 - _Données Collaborateurs'!$B$6:$H$20,6,FALSE),""))</f>
        <v/>
      </c>
      <c r="L14" s="5">
        <f>IF(I14="","",IF(I14-D14&gt;15,"Traitement lent","Délai OK"))</f>
        <v/>
      </c>
      <c r="M14" s="5" t="n"/>
      <c r="N14" s="5" t="n"/>
    </row>
    <row r="15" ht="22" customHeight="1">
      <c r="A15" s="8">
        <f>IF(B15="","",IF(COUNTA($A$6:A15)=0,"SUG-"&amp;TEXT(COUNTA($B$6:B15),"000"),"SUG-"&amp;TEXT(ROW()-5,"000")))</f>
        <v/>
      </c>
      <c r="B15" s="8" t="n"/>
      <c r="C15" s="8">
        <f>IF(B15="","",VLOOKUP(B15,'F01 - _Données Collaborateurs'!$B$6:$F$20,5,FALSE))</f>
        <v/>
      </c>
      <c r="D15" s="8" t="n"/>
      <c r="E15" s="8" t="n"/>
      <c r="F15" s="8" t="n"/>
      <c r="G15" s="8" t="n"/>
      <c r="H15" s="8" t="n"/>
      <c r="I15" s="8" t="n"/>
      <c r="J15" s="8" t="n"/>
      <c r="K15" s="8">
        <f>IF(B15="","",IFERROR(VLOOKUP(B15,'F01 - _Données Collaborateurs'!$B$6:$H$20,6,FALSE),""))</f>
        <v/>
      </c>
      <c r="L15" s="8">
        <f>IF(I15="","",IF(I15-D15&gt;15,"Traitement lent","Délai OK"))</f>
        <v/>
      </c>
      <c r="M15" s="8" t="n"/>
      <c r="N15" s="8" t="n"/>
    </row>
    <row r="16" ht="22" customHeight="1">
      <c r="A16" s="5">
        <f>IF(B16="","",IF(COUNTA($A$6:A16)=0,"SUG-"&amp;TEXT(COUNTA($B$6:B16),"000"),"SUG-"&amp;TEXT(ROW()-5,"000")))</f>
        <v/>
      </c>
      <c r="B16" s="5" t="n"/>
      <c r="C16" s="5">
        <f>IF(B16="","",VLOOKUP(B16,'F01 - _Données Collaborateurs'!$B$6:$F$20,5,FALSE))</f>
        <v/>
      </c>
      <c r="D16" s="5" t="n"/>
      <c r="E16" s="5" t="n"/>
      <c r="F16" s="5" t="n"/>
      <c r="G16" s="5" t="n"/>
      <c r="H16" s="5" t="n"/>
      <c r="I16" s="5" t="n"/>
      <c r="J16" s="5" t="n"/>
      <c r="K16" s="5">
        <f>IF(B16="","",IFERROR(VLOOKUP(B16,'F01 - _Données Collaborateurs'!$B$6:$H$20,6,FALSE),""))</f>
        <v/>
      </c>
      <c r="L16" s="5">
        <f>IF(I16="","",IF(I16-D16&gt;15,"Traitement lent","Délai OK"))</f>
        <v/>
      </c>
      <c r="M16" s="5" t="n"/>
      <c r="N16" s="5" t="n"/>
    </row>
    <row r="17" ht="22" customHeight="1">
      <c r="A17" s="8">
        <f>IF(B17="","",IF(COUNTA($A$6:A17)=0,"SUG-"&amp;TEXT(COUNTA($B$6:B17),"000"),"SUG-"&amp;TEXT(ROW()-5,"000")))</f>
        <v/>
      </c>
      <c r="B17" s="8" t="n"/>
      <c r="C17" s="8">
        <f>IF(B17="","",VLOOKUP(B17,'F01 - _Données Collaborateurs'!$B$6:$F$20,5,FALSE))</f>
        <v/>
      </c>
      <c r="D17" s="8" t="n"/>
      <c r="E17" s="8" t="n"/>
      <c r="F17" s="8" t="n"/>
      <c r="G17" s="8" t="n"/>
      <c r="H17" s="8" t="n"/>
      <c r="I17" s="8" t="n"/>
      <c r="J17" s="8" t="n"/>
      <c r="K17" s="8">
        <f>IF(B17="","",IFERROR(VLOOKUP(B17,'F01 - _Données Collaborateurs'!$B$6:$H$20,6,FALSE),""))</f>
        <v/>
      </c>
      <c r="L17" s="8">
        <f>IF(I17="","",IF(I17-D17&gt;15,"Traitement lent","Délai OK"))</f>
        <v/>
      </c>
      <c r="M17" s="8" t="n"/>
      <c r="N17" s="8" t="n"/>
    </row>
    <row r="18" ht="22" customHeight="1">
      <c r="A18" s="5">
        <f>IF(B18="","",IF(COUNTA($A$6:A18)=0,"SUG-"&amp;TEXT(COUNTA($B$6:B18),"000"),"SUG-"&amp;TEXT(ROW()-5,"000")))</f>
        <v/>
      </c>
      <c r="B18" s="5" t="n"/>
      <c r="C18" s="5">
        <f>IF(B18="","",VLOOKUP(B18,'F01 - _Données Collaborateurs'!$B$6:$F$20,5,FALSE))</f>
        <v/>
      </c>
      <c r="D18" s="5" t="n"/>
      <c r="E18" s="5" t="n"/>
      <c r="F18" s="5" t="n"/>
      <c r="G18" s="5" t="n"/>
      <c r="H18" s="5" t="n"/>
      <c r="I18" s="5" t="n"/>
      <c r="J18" s="5" t="n"/>
      <c r="K18" s="5">
        <f>IF(B18="","",IFERROR(VLOOKUP(B18,'F01 - _Données Collaborateurs'!$B$6:$H$20,6,FALSE),""))</f>
        <v/>
      </c>
      <c r="L18" s="5">
        <f>IF(I18="","",IF(I18-D18&gt;15,"Traitement lent","Délai OK"))</f>
        <v/>
      </c>
      <c r="M18" s="5" t="n"/>
      <c r="N18" s="5" t="n"/>
    </row>
    <row r="19" ht="22" customHeight="1">
      <c r="A19" s="8">
        <f>IF(B19="","",IF(COUNTA($A$6:A19)=0,"SUG-"&amp;TEXT(COUNTA($B$6:B19),"000"),"SUG-"&amp;TEXT(ROW()-5,"000")))</f>
        <v/>
      </c>
      <c r="B19" s="8" t="n"/>
      <c r="C19" s="8">
        <f>IF(B19="","",VLOOKUP(B19,'F01 - _Données Collaborateurs'!$B$6:$F$20,5,FALSE))</f>
        <v/>
      </c>
      <c r="D19" s="8" t="n"/>
      <c r="E19" s="8" t="n"/>
      <c r="F19" s="8" t="n"/>
      <c r="G19" s="8" t="n"/>
      <c r="H19" s="8" t="n"/>
      <c r="I19" s="8" t="n"/>
      <c r="J19" s="8" t="n"/>
      <c r="K19" s="8">
        <f>IF(B19="","",IFERROR(VLOOKUP(B19,'F01 - _Données Collaborateurs'!$B$6:$H$20,6,FALSE),""))</f>
        <v/>
      </c>
      <c r="L19" s="8">
        <f>IF(I19="","",IF(I19-D19&gt;15,"Traitement lent","Délai OK"))</f>
        <v/>
      </c>
      <c r="M19" s="8" t="n"/>
      <c r="N19" s="8" t="n"/>
    </row>
    <row r="20" ht="22" customHeight="1">
      <c r="A20" s="5">
        <f>IF(B20="","",IF(COUNTA($A$6:A20)=0,"SUG-"&amp;TEXT(COUNTA($B$6:B20),"000"),"SUG-"&amp;TEXT(ROW()-5,"000")))</f>
        <v/>
      </c>
      <c r="B20" s="5" t="n"/>
      <c r="C20" s="5">
        <f>IF(B20="","",VLOOKUP(B20,'F01 - _Données Collaborateurs'!$B$6:$F$20,5,FALSE))</f>
        <v/>
      </c>
      <c r="D20" s="5" t="n"/>
      <c r="E20" s="5" t="n"/>
      <c r="F20" s="5" t="n"/>
      <c r="G20" s="5" t="n"/>
      <c r="H20" s="5" t="n"/>
      <c r="I20" s="5" t="n"/>
      <c r="J20" s="5" t="n"/>
      <c r="K20" s="5">
        <f>IF(B20="","",IFERROR(VLOOKUP(B20,'F01 - _Données Collaborateurs'!$B$6:$H$20,6,FALSE),""))</f>
        <v/>
      </c>
      <c r="L20" s="5">
        <f>IF(I20="","",IF(I20-D20&gt;15,"Traitement lent","Délai OK"))</f>
        <v/>
      </c>
      <c r="M20" s="5" t="n"/>
      <c r="N20" s="5" t="n"/>
    </row>
    <row r="21" ht="22" customHeight="1">
      <c r="A21" s="8">
        <f>IF(B21="","",IF(COUNTA($A$6:A21)=0,"SUG-"&amp;TEXT(COUNTA($B$6:B21),"000"),"SUG-"&amp;TEXT(ROW()-5,"000")))</f>
        <v/>
      </c>
      <c r="B21" s="8" t="n"/>
      <c r="C21" s="8">
        <f>IF(B21="","",VLOOKUP(B21,'F01 - _Données Collaborateurs'!$B$6:$F$20,5,FALSE))</f>
        <v/>
      </c>
      <c r="D21" s="8" t="n"/>
      <c r="E21" s="8" t="n"/>
      <c r="F21" s="8" t="n"/>
      <c r="G21" s="8" t="n"/>
      <c r="H21" s="8" t="n"/>
      <c r="I21" s="8" t="n"/>
      <c r="J21" s="8" t="n"/>
      <c r="K21" s="8">
        <f>IF(B21="","",IFERROR(VLOOKUP(B21,'F01 - _Données Collaborateurs'!$B$6:$H$20,6,FALSE),""))</f>
        <v/>
      </c>
      <c r="L21" s="8">
        <f>IF(I21="","",IF(I21-D21&gt;15,"Traitement lent","Délai OK"))</f>
        <v/>
      </c>
      <c r="M21" s="8" t="n"/>
      <c r="N21" s="8" t="n"/>
    </row>
    <row r="22" ht="22" customHeight="1">
      <c r="A22" s="5">
        <f>IF(B22="","",IF(COUNTA($A$6:A22)=0,"SUG-"&amp;TEXT(COUNTA($B$6:B22),"000"),"SUG-"&amp;TEXT(ROW()-5,"000")))</f>
        <v/>
      </c>
      <c r="B22" s="5" t="n"/>
      <c r="C22" s="5">
        <f>IF(B22="","",VLOOKUP(B22,'F01 - _Données Collaborateurs'!$B$6:$F$20,5,FALSE))</f>
        <v/>
      </c>
      <c r="D22" s="5" t="n"/>
      <c r="E22" s="5" t="n"/>
      <c r="F22" s="5" t="n"/>
      <c r="G22" s="5" t="n"/>
      <c r="H22" s="5" t="n"/>
      <c r="I22" s="5" t="n"/>
      <c r="J22" s="5" t="n"/>
      <c r="K22" s="5">
        <f>IF(B22="","",IFERROR(VLOOKUP(B22,'F01 - _Données Collaborateurs'!$B$6:$H$20,6,FALSE),""))</f>
        <v/>
      </c>
      <c r="L22" s="5">
        <f>IF(I22="","",IF(I22-D22&gt;15,"Traitement lent","Délai OK"))</f>
        <v/>
      </c>
      <c r="M22" s="5" t="n"/>
      <c r="N22" s="5" t="n"/>
    </row>
    <row r="23" ht="22" customHeight="1">
      <c r="A23" s="8">
        <f>IF(B23="","",IF(COUNTA($A$6:A23)=0,"SUG-"&amp;TEXT(COUNTA($B$6:B23),"000"),"SUG-"&amp;TEXT(ROW()-5,"000")))</f>
        <v/>
      </c>
      <c r="B23" s="8" t="n"/>
      <c r="C23" s="8">
        <f>IF(B23="","",VLOOKUP(B23,'F01 - _Données Collaborateurs'!$B$6:$F$20,5,FALSE))</f>
        <v/>
      </c>
      <c r="D23" s="8" t="n"/>
      <c r="E23" s="8" t="n"/>
      <c r="F23" s="8" t="n"/>
      <c r="G23" s="8" t="n"/>
      <c r="H23" s="8" t="n"/>
      <c r="I23" s="8" t="n"/>
      <c r="J23" s="8" t="n"/>
      <c r="K23" s="8">
        <f>IF(B23="","",IFERROR(VLOOKUP(B23,'F01 - _Données Collaborateurs'!$B$6:$H$20,6,FALSE),""))</f>
        <v/>
      </c>
      <c r="L23" s="8">
        <f>IF(I23="","",IF(I23-D23&gt;15,"Traitement lent","Délai OK"))</f>
        <v/>
      </c>
      <c r="M23" s="8" t="n"/>
      <c r="N23" s="8" t="n"/>
    </row>
    <row r="24" ht="22" customHeight="1">
      <c r="A24" s="5">
        <f>IF(B24="","",IF(COUNTA($A$6:A24)=0,"SUG-"&amp;TEXT(COUNTA($B$6:B24),"000"),"SUG-"&amp;TEXT(ROW()-5,"000")))</f>
        <v/>
      </c>
      <c r="B24" s="5" t="n"/>
      <c r="C24" s="5">
        <f>IF(B24="","",VLOOKUP(B24,'F01 - _Données Collaborateurs'!$B$6:$F$20,5,FALSE))</f>
        <v/>
      </c>
      <c r="D24" s="5" t="n"/>
      <c r="E24" s="5" t="n"/>
      <c r="F24" s="5" t="n"/>
      <c r="G24" s="5" t="n"/>
      <c r="H24" s="5" t="n"/>
      <c r="I24" s="5" t="n"/>
      <c r="J24" s="5" t="n"/>
      <c r="K24" s="5">
        <f>IF(B24="","",IFERROR(VLOOKUP(B24,'F01 - _Données Collaborateurs'!$B$6:$H$20,6,FALSE),""))</f>
        <v/>
      </c>
      <c r="L24" s="5">
        <f>IF(I24="","",IF(I24-D24&gt;15,"Traitement lent","Délai OK"))</f>
        <v/>
      </c>
      <c r="M24" s="5" t="n"/>
      <c r="N24" s="5" t="n"/>
    </row>
    <row r="25" ht="22" customHeight="1">
      <c r="A25" s="8">
        <f>IF(B25="","",IF(COUNTA($A$6:A25)=0,"SUG-"&amp;TEXT(COUNTA($B$6:B25),"000"),"SUG-"&amp;TEXT(ROW()-5,"000")))</f>
        <v/>
      </c>
      <c r="B25" s="8" t="n"/>
      <c r="C25" s="8">
        <f>IF(B25="","",VLOOKUP(B25,'F01 - _Données Collaborateurs'!$B$6:$F$20,5,FALSE))</f>
        <v/>
      </c>
      <c r="D25" s="8" t="n"/>
      <c r="E25" s="8" t="n"/>
      <c r="F25" s="8" t="n"/>
      <c r="G25" s="8" t="n"/>
      <c r="H25" s="8" t="n"/>
      <c r="I25" s="8" t="n"/>
      <c r="J25" s="8" t="n"/>
      <c r="K25" s="8">
        <f>IF(B25="","",IFERROR(VLOOKUP(B25,'F01 - _Données Collaborateurs'!$B$6:$H$20,6,FALSE),""))</f>
        <v/>
      </c>
      <c r="L25" s="8">
        <f>IF(I25="","",IF(I25-D25&gt;15,"Traitement lent","Délai OK"))</f>
        <v/>
      </c>
      <c r="M25" s="8" t="n"/>
      <c r="N25" s="8" t="n"/>
    </row>
    <row r="26" ht="22" customHeight="1">
      <c r="A26" s="5">
        <f>IF(B26="","",IF(COUNTA($A$6:A26)=0,"SUG-"&amp;TEXT(COUNTA($B$6:B26),"000"),"SUG-"&amp;TEXT(ROW()-5,"000")))</f>
        <v/>
      </c>
      <c r="B26" s="5" t="n"/>
      <c r="C26" s="5">
        <f>IF(B26="","",VLOOKUP(B26,'F01 - _Données Collaborateurs'!$B$6:$F$20,5,FALSE))</f>
        <v/>
      </c>
      <c r="D26" s="5" t="n"/>
      <c r="E26" s="5" t="n"/>
      <c r="F26" s="5" t="n"/>
      <c r="G26" s="5" t="n"/>
      <c r="H26" s="5" t="n"/>
      <c r="I26" s="5" t="n"/>
      <c r="J26" s="5" t="n"/>
      <c r="K26" s="5">
        <f>IF(B26="","",IFERROR(VLOOKUP(B26,'F01 - _Données Collaborateurs'!$B$6:$H$20,6,FALSE),""))</f>
        <v/>
      </c>
      <c r="L26" s="5">
        <f>IF(I26="","",IF(I26-D26&gt;15,"Traitement lent","Délai OK"))</f>
        <v/>
      </c>
      <c r="M26" s="5" t="n"/>
      <c r="N26" s="5" t="n"/>
    </row>
    <row r="27" ht="22" customHeight="1">
      <c r="A27" s="8">
        <f>IF(B27="","",IF(COUNTA($A$6:A27)=0,"SUG-"&amp;TEXT(COUNTA($B$6:B27),"000"),"SUG-"&amp;TEXT(ROW()-5,"000")))</f>
        <v/>
      </c>
      <c r="B27" s="8" t="n"/>
      <c r="C27" s="8">
        <f>IF(B27="","",VLOOKUP(B27,'F01 - _Données Collaborateurs'!$B$6:$F$20,5,FALSE))</f>
        <v/>
      </c>
      <c r="D27" s="8" t="n"/>
      <c r="E27" s="8" t="n"/>
      <c r="F27" s="8" t="n"/>
      <c r="G27" s="8" t="n"/>
      <c r="H27" s="8" t="n"/>
      <c r="I27" s="8" t="n"/>
      <c r="J27" s="8" t="n"/>
      <c r="K27" s="8">
        <f>IF(B27="","",IFERROR(VLOOKUP(B27,'F01 - _Données Collaborateurs'!$B$6:$H$20,6,FALSE),""))</f>
        <v/>
      </c>
      <c r="L27" s="8">
        <f>IF(I27="","",IF(I27-D27&gt;15,"Traitement lent","Délai OK"))</f>
        <v/>
      </c>
      <c r="M27" s="8" t="n"/>
      <c r="N27" s="8" t="n"/>
    </row>
    <row r="28" ht="22" customHeight="1">
      <c r="A28" s="5">
        <f>IF(B28="","",IF(COUNTA($A$6:A28)=0,"SUG-"&amp;TEXT(COUNTA($B$6:B28),"000"),"SUG-"&amp;TEXT(ROW()-5,"000")))</f>
        <v/>
      </c>
      <c r="B28" s="5" t="n"/>
      <c r="C28" s="5">
        <f>IF(B28="","",VLOOKUP(B28,'F01 - _Données Collaborateurs'!$B$6:$F$20,5,FALSE))</f>
        <v/>
      </c>
      <c r="D28" s="5" t="n"/>
      <c r="E28" s="5" t="n"/>
      <c r="F28" s="5" t="n"/>
      <c r="G28" s="5" t="n"/>
      <c r="H28" s="5" t="n"/>
      <c r="I28" s="5" t="n"/>
      <c r="J28" s="5" t="n"/>
      <c r="K28" s="5">
        <f>IF(B28="","",IFERROR(VLOOKUP(B28,'F01 - _Données Collaborateurs'!$B$6:$H$20,6,FALSE),""))</f>
        <v/>
      </c>
      <c r="L28" s="5">
        <f>IF(I28="","",IF(I28-D28&gt;15,"Traitement lent","Délai OK"))</f>
        <v/>
      </c>
      <c r="M28" s="5" t="n"/>
      <c r="N28" s="5" t="n"/>
    </row>
    <row r="29" ht="22" customHeight="1">
      <c r="A29" s="8">
        <f>IF(B29="","",IF(COUNTA($A$6:A29)=0,"SUG-"&amp;TEXT(COUNTA($B$6:B29),"000"),"SUG-"&amp;TEXT(ROW()-5,"000")))</f>
        <v/>
      </c>
      <c r="B29" s="8" t="n"/>
      <c r="C29" s="8">
        <f>IF(B29="","",VLOOKUP(B29,'F01 - _Données Collaborateurs'!$B$6:$F$20,5,FALSE))</f>
        <v/>
      </c>
      <c r="D29" s="8" t="n"/>
      <c r="E29" s="8" t="n"/>
      <c r="F29" s="8" t="n"/>
      <c r="G29" s="8" t="n"/>
      <c r="H29" s="8" t="n"/>
      <c r="I29" s="8" t="n"/>
      <c r="J29" s="8" t="n"/>
      <c r="K29" s="8">
        <f>IF(B29="","",IFERROR(VLOOKUP(B29,'F01 - _Données Collaborateurs'!$B$6:$H$20,6,FALSE),""))</f>
        <v/>
      </c>
      <c r="L29" s="8">
        <f>IF(I29="","",IF(I29-D29&gt;15,"Traitement lent","Délai OK"))</f>
        <v/>
      </c>
      <c r="M29" s="8" t="n"/>
      <c r="N29" s="8" t="n"/>
    </row>
    <row r="30" ht="22" customHeight="1">
      <c r="A30" s="5">
        <f>IF(B30="","",IF(COUNTA($A$6:A30)=0,"SUG-"&amp;TEXT(COUNTA($B$6:B30),"000"),"SUG-"&amp;TEXT(ROW()-5,"000")))</f>
        <v/>
      </c>
      <c r="B30" s="5" t="n"/>
      <c r="C30" s="5">
        <f>IF(B30="","",VLOOKUP(B30,'F01 - _Données Collaborateurs'!$B$6:$F$20,5,FALSE))</f>
        <v/>
      </c>
      <c r="D30" s="5" t="n"/>
      <c r="E30" s="5" t="n"/>
      <c r="F30" s="5" t="n"/>
      <c r="G30" s="5" t="n"/>
      <c r="H30" s="5" t="n"/>
      <c r="I30" s="5" t="n"/>
      <c r="J30" s="5" t="n"/>
      <c r="K30" s="5">
        <f>IF(B30="","",IFERROR(VLOOKUP(B30,'F01 - _Données Collaborateurs'!$B$6:$H$20,6,FALSE),""))</f>
        <v/>
      </c>
      <c r="L30" s="5">
        <f>IF(I30="","",IF(I30-D30&gt;15,"Traitement lent","Délai OK"))</f>
        <v/>
      </c>
      <c r="M30" s="5" t="n"/>
      <c r="N30" s="5" t="n"/>
    </row>
    <row r="31" ht="22" customHeight="1">
      <c r="A31" s="8">
        <f>IF(B31="","",IF(COUNTA($A$6:A31)=0,"SUG-"&amp;TEXT(COUNTA($B$6:B31),"000"),"SUG-"&amp;TEXT(ROW()-5,"000")))</f>
        <v/>
      </c>
      <c r="B31" s="8" t="n"/>
      <c r="C31" s="8">
        <f>IF(B31="","",VLOOKUP(B31,'F01 - _Données Collaborateurs'!$B$6:$F$20,5,FALSE))</f>
        <v/>
      </c>
      <c r="D31" s="8" t="n"/>
      <c r="E31" s="8" t="n"/>
      <c r="F31" s="8" t="n"/>
      <c r="G31" s="8" t="n"/>
      <c r="H31" s="8" t="n"/>
      <c r="I31" s="8" t="n"/>
      <c r="J31" s="8" t="n"/>
      <c r="K31" s="8">
        <f>IF(B31="","",IFERROR(VLOOKUP(B31,'F01 - _Données Collaborateurs'!$B$6:$H$20,6,FALSE),""))</f>
        <v/>
      </c>
      <c r="L31" s="8">
        <f>IF(I31="","",IF(I31-D31&gt;15,"Traitement lent","Délai OK"))</f>
        <v/>
      </c>
      <c r="M31" s="8" t="n"/>
      <c r="N31" s="8" t="n"/>
    </row>
    <row r="32" ht="22" customHeight="1">
      <c r="A32" s="5">
        <f>IF(B32="","",IF(COUNTA($A$6:A32)=0,"SUG-"&amp;TEXT(COUNTA($B$6:B32),"000"),"SUG-"&amp;TEXT(ROW()-5,"000")))</f>
        <v/>
      </c>
      <c r="B32" s="5" t="n"/>
      <c r="C32" s="5">
        <f>IF(B32="","",VLOOKUP(B32,'F01 - _Données Collaborateurs'!$B$6:$F$20,5,FALSE))</f>
        <v/>
      </c>
      <c r="D32" s="5" t="n"/>
      <c r="E32" s="5" t="n"/>
      <c r="F32" s="5" t="n"/>
      <c r="G32" s="5" t="n"/>
      <c r="H32" s="5" t="n"/>
      <c r="I32" s="5" t="n"/>
      <c r="J32" s="5" t="n"/>
      <c r="K32" s="5">
        <f>IF(B32="","",IFERROR(VLOOKUP(B32,'F01 - _Données Collaborateurs'!$B$6:$H$20,6,FALSE),""))</f>
        <v/>
      </c>
      <c r="L32" s="5">
        <f>IF(I32="","",IF(I32-D32&gt;15,"Traitement lent","Délai OK"))</f>
        <v/>
      </c>
      <c r="M32" s="5" t="n"/>
      <c r="N32" s="5" t="n"/>
    </row>
    <row r="33" ht="22" customHeight="1">
      <c r="A33" s="8">
        <f>IF(B33="","",IF(COUNTA($A$6:A33)=0,"SUG-"&amp;TEXT(COUNTA($B$6:B33),"000"),"SUG-"&amp;TEXT(ROW()-5,"000")))</f>
        <v/>
      </c>
      <c r="B33" s="8" t="n"/>
      <c r="C33" s="8">
        <f>IF(B33="","",VLOOKUP(B33,'F01 - _Données Collaborateurs'!$B$6:$F$20,5,FALSE))</f>
        <v/>
      </c>
      <c r="D33" s="8" t="n"/>
      <c r="E33" s="8" t="n"/>
      <c r="F33" s="8" t="n"/>
      <c r="G33" s="8" t="n"/>
      <c r="H33" s="8" t="n"/>
      <c r="I33" s="8" t="n"/>
      <c r="J33" s="8" t="n"/>
      <c r="K33" s="8">
        <f>IF(B33="","",IFERROR(VLOOKUP(B33,'F01 - _Données Collaborateurs'!$B$6:$H$20,6,FALSE),""))</f>
        <v/>
      </c>
      <c r="L33" s="8">
        <f>IF(I33="","",IF(I33-D33&gt;15,"Traitement lent","Délai OK"))</f>
        <v/>
      </c>
      <c r="M33" s="8" t="n"/>
      <c r="N33" s="8" t="n"/>
    </row>
    <row r="34" ht="22" customHeight="1">
      <c r="A34" s="5">
        <f>IF(B34="","",IF(COUNTA($A$6:A34)=0,"SUG-"&amp;TEXT(COUNTA($B$6:B34),"000"),"SUG-"&amp;TEXT(ROW()-5,"000")))</f>
        <v/>
      </c>
      <c r="B34" s="5" t="n"/>
      <c r="C34" s="5">
        <f>IF(B34="","",VLOOKUP(B34,'F01 - _Données Collaborateurs'!$B$6:$F$20,5,FALSE))</f>
        <v/>
      </c>
      <c r="D34" s="5" t="n"/>
      <c r="E34" s="5" t="n"/>
      <c r="F34" s="5" t="n"/>
      <c r="G34" s="5" t="n"/>
      <c r="H34" s="5" t="n"/>
      <c r="I34" s="5" t="n"/>
      <c r="J34" s="5" t="n"/>
      <c r="K34" s="5">
        <f>IF(B34="","",IFERROR(VLOOKUP(B34,'F01 - _Données Collaborateurs'!$B$6:$H$20,6,FALSE),""))</f>
        <v/>
      </c>
      <c r="L34" s="5">
        <f>IF(I34="","",IF(I34-D34&gt;15,"Traitement lent","Délai OK"))</f>
        <v/>
      </c>
      <c r="M34" s="5" t="n"/>
      <c r="N34" s="5" t="n"/>
    </row>
    <row r="35" ht="22" customHeight="1">
      <c r="A35" s="8">
        <f>IF(B35="","",IF(COUNTA($A$6:A35)=0,"SUG-"&amp;TEXT(COUNTA($B$6:B35),"000"),"SUG-"&amp;TEXT(ROW()-5,"000")))</f>
        <v/>
      </c>
      <c r="B35" s="8" t="n"/>
      <c r="C35" s="8">
        <f>IF(B35="","",VLOOKUP(B35,'F01 - _Données Collaborateurs'!$B$6:$F$20,5,FALSE))</f>
        <v/>
      </c>
      <c r="D35" s="8" t="n"/>
      <c r="E35" s="8" t="n"/>
      <c r="F35" s="8" t="n"/>
      <c r="G35" s="8" t="n"/>
      <c r="H35" s="8" t="n"/>
      <c r="I35" s="8" t="n"/>
      <c r="J35" s="8" t="n"/>
      <c r="K35" s="8">
        <f>IF(B35="","",IFERROR(VLOOKUP(B35,'F01 - _Données Collaborateurs'!$B$6:$H$20,6,FALSE),""))</f>
        <v/>
      </c>
      <c r="L35" s="8">
        <f>IF(I35="","",IF(I35-D35&gt;15,"Traitement lent","Délai OK"))</f>
        <v/>
      </c>
      <c r="M35" s="8" t="n"/>
      <c r="N35" s="8" t="n"/>
    </row>
    <row r="36" ht="22" customHeight="1">
      <c r="A36" s="5">
        <f>IF(B36="","",IF(COUNTA($A$6:A36)=0,"SUG-"&amp;TEXT(COUNTA($B$6:B36),"000"),"SUG-"&amp;TEXT(ROW()-5,"000")))</f>
        <v/>
      </c>
      <c r="B36" s="5" t="n"/>
      <c r="C36" s="5">
        <f>IF(B36="","",VLOOKUP(B36,'F01 - _Données Collaborateurs'!$B$6:$F$20,5,FALSE))</f>
        <v/>
      </c>
      <c r="D36" s="5" t="n"/>
      <c r="E36" s="5" t="n"/>
      <c r="F36" s="5" t="n"/>
      <c r="G36" s="5" t="n"/>
      <c r="H36" s="5" t="n"/>
      <c r="I36" s="5" t="n"/>
      <c r="J36" s="5" t="n"/>
      <c r="K36" s="5">
        <f>IF(B36="","",IFERROR(VLOOKUP(B36,'F01 - _Données Collaborateurs'!$B$6:$H$20,6,FALSE),""))</f>
        <v/>
      </c>
      <c r="L36" s="5">
        <f>IF(I36="","",IF(I36-D36&gt;15,"Traitement lent","Délai OK"))</f>
        <v/>
      </c>
      <c r="M36" s="5" t="n"/>
      <c r="N36" s="5" t="n"/>
    </row>
    <row r="37" ht="22" customHeight="1">
      <c r="A37" s="8">
        <f>IF(B37="","",IF(COUNTA($A$6:A37)=0,"SUG-"&amp;TEXT(COUNTA($B$6:B37),"000"),"SUG-"&amp;TEXT(ROW()-5,"000")))</f>
        <v/>
      </c>
      <c r="B37" s="8" t="n"/>
      <c r="C37" s="8">
        <f>IF(B37="","",VLOOKUP(B37,'F01 - _Données Collaborateurs'!$B$6:$F$20,5,FALSE))</f>
        <v/>
      </c>
      <c r="D37" s="8" t="n"/>
      <c r="E37" s="8" t="n"/>
      <c r="F37" s="8" t="n"/>
      <c r="G37" s="8" t="n"/>
      <c r="H37" s="8" t="n"/>
      <c r="I37" s="8" t="n"/>
      <c r="J37" s="8" t="n"/>
      <c r="K37" s="8">
        <f>IF(B37="","",IFERROR(VLOOKUP(B37,'F01 - _Données Collaborateurs'!$B$6:$H$20,6,FALSE),""))</f>
        <v/>
      </c>
      <c r="L37" s="8">
        <f>IF(I37="","",IF(I37-D37&gt;15,"Traitement lent","Délai OK"))</f>
        <v/>
      </c>
      <c r="M37" s="8" t="n"/>
      <c r="N37" s="8" t="n"/>
    </row>
    <row r="38" ht="22" customHeight="1">
      <c r="A38" s="5">
        <f>IF(B38="","",IF(COUNTA($A$6:A38)=0,"SUG-"&amp;TEXT(COUNTA($B$6:B38),"000"),"SUG-"&amp;TEXT(ROW()-5,"000")))</f>
        <v/>
      </c>
      <c r="B38" s="5" t="n"/>
      <c r="C38" s="5">
        <f>IF(B38="","",VLOOKUP(B38,'F01 - _Données Collaborateurs'!$B$6:$F$20,5,FALSE))</f>
        <v/>
      </c>
      <c r="D38" s="5" t="n"/>
      <c r="E38" s="5" t="n"/>
      <c r="F38" s="5" t="n"/>
      <c r="G38" s="5" t="n"/>
      <c r="H38" s="5" t="n"/>
      <c r="I38" s="5" t="n"/>
      <c r="J38" s="5" t="n"/>
      <c r="K38" s="5">
        <f>IF(B38="","",IFERROR(VLOOKUP(B38,'F01 - _Données Collaborateurs'!$B$6:$H$20,6,FALSE),""))</f>
        <v/>
      </c>
      <c r="L38" s="5">
        <f>IF(I38="","",IF(I38-D38&gt;15,"Traitement lent","Délai OK"))</f>
        <v/>
      </c>
      <c r="M38" s="5" t="n"/>
      <c r="N38" s="5" t="n"/>
    </row>
    <row r="39" ht="22" customHeight="1">
      <c r="A39" s="8">
        <f>IF(B39="","",IF(COUNTA($A$6:A39)=0,"SUG-"&amp;TEXT(COUNTA($B$6:B39),"000"),"SUG-"&amp;TEXT(ROW()-5,"000")))</f>
        <v/>
      </c>
      <c r="B39" s="8" t="n"/>
      <c r="C39" s="8">
        <f>IF(B39="","",VLOOKUP(B39,'F01 - _Données Collaborateurs'!$B$6:$F$20,5,FALSE))</f>
        <v/>
      </c>
      <c r="D39" s="8" t="n"/>
      <c r="E39" s="8" t="n"/>
      <c r="F39" s="8" t="n"/>
      <c r="G39" s="8" t="n"/>
      <c r="H39" s="8" t="n"/>
      <c r="I39" s="8" t="n"/>
      <c r="J39" s="8" t="n"/>
      <c r="K39" s="8">
        <f>IF(B39="","",IFERROR(VLOOKUP(B39,'F01 - _Données Collaborateurs'!$B$6:$H$20,6,FALSE),""))</f>
        <v/>
      </c>
      <c r="L39" s="8">
        <f>IF(I39="","",IF(I39-D39&gt;15,"Traitement lent","Délai OK"))</f>
        <v/>
      </c>
      <c r="M39" s="8" t="n"/>
      <c r="N39" s="8" t="n"/>
    </row>
    <row r="40" ht="22" customHeight="1">
      <c r="A40" s="5">
        <f>IF(B40="","",IF(COUNTA($A$6:A40)=0,"SUG-"&amp;TEXT(COUNTA($B$6:B40),"000"),"SUG-"&amp;TEXT(ROW()-5,"000")))</f>
        <v/>
      </c>
      <c r="B40" s="5" t="n"/>
      <c r="C40" s="5">
        <f>IF(B40="","",VLOOKUP(B40,'F01 - _Données Collaborateurs'!$B$6:$F$20,5,FALSE))</f>
        <v/>
      </c>
      <c r="D40" s="5" t="n"/>
      <c r="E40" s="5" t="n"/>
      <c r="F40" s="5" t="n"/>
      <c r="G40" s="5" t="n"/>
      <c r="H40" s="5" t="n"/>
      <c r="I40" s="5" t="n"/>
      <c r="J40" s="5" t="n"/>
      <c r="K40" s="5">
        <f>IF(B40="","",IFERROR(VLOOKUP(B40,'F01 - _Données Collaborateurs'!$B$6:$H$20,6,FALSE),""))</f>
        <v/>
      </c>
      <c r="L40" s="5">
        <f>IF(I40="","",IF(I40-D40&gt;15,"Traitement lent","Délai OK"))</f>
        <v/>
      </c>
      <c r="M40" s="5" t="n"/>
      <c r="N40" s="5" t="n"/>
    </row>
    <row r="41" ht="22" customHeight="1">
      <c r="A41" s="8">
        <f>IF(B41="","",IF(COUNTA($A$6:A41)=0,"SUG-"&amp;TEXT(COUNTA($B$6:B41),"000"),"SUG-"&amp;TEXT(ROW()-5,"000")))</f>
        <v/>
      </c>
      <c r="B41" s="8" t="n"/>
      <c r="C41" s="8">
        <f>IF(B41="","",VLOOKUP(B41,'F01 - _Données Collaborateurs'!$B$6:$F$20,5,FALSE))</f>
        <v/>
      </c>
      <c r="D41" s="8" t="n"/>
      <c r="E41" s="8" t="n"/>
      <c r="F41" s="8" t="n"/>
      <c r="G41" s="8" t="n"/>
      <c r="H41" s="8" t="n"/>
      <c r="I41" s="8" t="n"/>
      <c r="J41" s="8" t="n"/>
      <c r="K41" s="8">
        <f>IF(B41="","",IFERROR(VLOOKUP(B41,'F01 - _Données Collaborateurs'!$B$6:$H$20,6,FALSE),""))</f>
        <v/>
      </c>
      <c r="L41" s="8">
        <f>IF(I41="","",IF(I41-D41&gt;15,"Traitement lent","Délai OK"))</f>
        <v/>
      </c>
      <c r="M41" s="8" t="n"/>
      <c r="N41" s="8" t="n"/>
    </row>
    <row r="42" ht="22" customHeight="1">
      <c r="A42" s="5">
        <f>IF(B42="","",IF(COUNTA($A$6:A42)=0,"SUG-"&amp;TEXT(COUNTA($B$6:B42),"000"),"SUG-"&amp;TEXT(ROW()-5,"000")))</f>
        <v/>
      </c>
      <c r="B42" s="5" t="n"/>
      <c r="C42" s="5">
        <f>IF(B42="","",VLOOKUP(B42,'F01 - _Données Collaborateurs'!$B$6:$F$20,5,FALSE))</f>
        <v/>
      </c>
      <c r="D42" s="5" t="n"/>
      <c r="E42" s="5" t="n"/>
      <c r="F42" s="5" t="n"/>
      <c r="G42" s="5" t="n"/>
      <c r="H42" s="5" t="n"/>
      <c r="I42" s="5" t="n"/>
      <c r="J42" s="5" t="n"/>
      <c r="K42" s="5">
        <f>IF(B42="","",IFERROR(VLOOKUP(B42,'F01 - _Données Collaborateurs'!$B$6:$H$20,6,FALSE),""))</f>
        <v/>
      </c>
      <c r="L42" s="5">
        <f>IF(I42="","",IF(I42-D42&gt;15,"Traitement lent","Délai OK"))</f>
        <v/>
      </c>
      <c r="M42" s="5" t="n"/>
      <c r="N42" s="5" t="n"/>
    </row>
    <row r="43" ht="22" customHeight="1">
      <c r="A43" s="8">
        <f>IF(B43="","",IF(COUNTA($A$6:A43)=0,"SUG-"&amp;TEXT(COUNTA($B$6:B43),"000"),"SUG-"&amp;TEXT(ROW()-5,"000")))</f>
        <v/>
      </c>
      <c r="B43" s="8" t="n"/>
      <c r="C43" s="8">
        <f>IF(B43="","",VLOOKUP(B43,'F01 - _Données Collaborateurs'!$B$6:$F$20,5,FALSE))</f>
        <v/>
      </c>
      <c r="D43" s="8" t="n"/>
      <c r="E43" s="8" t="n"/>
      <c r="F43" s="8" t="n"/>
      <c r="G43" s="8" t="n"/>
      <c r="H43" s="8" t="n"/>
      <c r="I43" s="8" t="n"/>
      <c r="J43" s="8" t="n"/>
      <c r="K43" s="8">
        <f>IF(B43="","",IFERROR(VLOOKUP(B43,'F01 - _Données Collaborateurs'!$B$6:$H$20,6,FALSE),""))</f>
        <v/>
      </c>
      <c r="L43" s="8">
        <f>IF(I43="","",IF(I43-D43&gt;15,"Traitement lent","Délai OK"))</f>
        <v/>
      </c>
      <c r="M43" s="8" t="n"/>
      <c r="N43" s="8" t="n"/>
    </row>
    <row r="44" ht="22" customHeight="1">
      <c r="A44" s="5">
        <f>IF(B44="","",IF(COUNTA($A$6:A44)=0,"SUG-"&amp;TEXT(COUNTA($B$6:B44),"000"),"SUG-"&amp;TEXT(ROW()-5,"000")))</f>
        <v/>
      </c>
      <c r="B44" s="5" t="n"/>
      <c r="C44" s="5">
        <f>IF(B44="","",VLOOKUP(B44,'F01 - _Données Collaborateurs'!$B$6:$F$20,5,FALSE))</f>
        <v/>
      </c>
      <c r="D44" s="5" t="n"/>
      <c r="E44" s="5" t="n"/>
      <c r="F44" s="5" t="n"/>
      <c r="G44" s="5" t="n"/>
      <c r="H44" s="5" t="n"/>
      <c r="I44" s="5" t="n"/>
      <c r="J44" s="5" t="n"/>
      <c r="K44" s="5">
        <f>IF(B44="","",IFERROR(VLOOKUP(B44,'F01 - _Données Collaborateurs'!$B$6:$H$20,6,FALSE),""))</f>
        <v/>
      </c>
      <c r="L44" s="5">
        <f>IF(I44="","",IF(I44-D44&gt;15,"Traitement lent","Délai OK"))</f>
        <v/>
      </c>
      <c r="M44" s="5" t="n"/>
      <c r="N44" s="5" t="n"/>
    </row>
    <row r="45" ht="22" customHeight="1">
      <c r="A45" s="8">
        <f>IF(B45="","",IF(COUNTA($A$6:A45)=0,"SUG-"&amp;TEXT(COUNTA($B$6:B45),"000"),"SUG-"&amp;TEXT(ROW()-5,"000")))</f>
        <v/>
      </c>
      <c r="B45" s="8" t="n"/>
      <c r="C45" s="8">
        <f>IF(B45="","",VLOOKUP(B45,'F01 - _Données Collaborateurs'!$B$6:$F$20,5,FALSE))</f>
        <v/>
      </c>
      <c r="D45" s="8" t="n"/>
      <c r="E45" s="8" t="n"/>
      <c r="F45" s="8" t="n"/>
      <c r="G45" s="8" t="n"/>
      <c r="H45" s="8" t="n"/>
      <c r="I45" s="8" t="n"/>
      <c r="J45" s="8" t="n"/>
      <c r="K45" s="8">
        <f>IF(B45="","",IFERROR(VLOOKUP(B45,'F01 - _Données Collaborateurs'!$B$6:$H$20,6,FALSE),""))</f>
        <v/>
      </c>
      <c r="L45" s="8">
        <f>IF(I45="","",IF(I45-D45&gt;15,"Traitement lent","Délai OK"))</f>
        <v/>
      </c>
      <c r="M45" s="8" t="n"/>
      <c r="N45" s="8" t="n"/>
    </row>
    <row r="46" ht="22" customHeight="1">
      <c r="A46" s="5">
        <f>IF(B46="","",IF(COUNTA($A$6:A46)=0,"SUG-"&amp;TEXT(COUNTA($B$6:B46),"000"),"SUG-"&amp;TEXT(ROW()-5,"000")))</f>
        <v/>
      </c>
      <c r="B46" s="5" t="n"/>
      <c r="C46" s="5">
        <f>IF(B46="","",VLOOKUP(B46,'F01 - _Données Collaborateurs'!$B$6:$F$20,5,FALSE))</f>
        <v/>
      </c>
      <c r="D46" s="5" t="n"/>
      <c r="E46" s="5" t="n"/>
      <c r="F46" s="5" t="n"/>
      <c r="G46" s="5" t="n"/>
      <c r="H46" s="5" t="n"/>
      <c r="I46" s="5" t="n"/>
      <c r="J46" s="5" t="n"/>
      <c r="K46" s="5">
        <f>IF(B46="","",IFERROR(VLOOKUP(B46,'F01 - _Données Collaborateurs'!$B$6:$H$20,6,FALSE),""))</f>
        <v/>
      </c>
      <c r="L46" s="5">
        <f>IF(I46="","",IF(I46-D46&gt;15,"Traitement lent","Délai OK"))</f>
        <v/>
      </c>
      <c r="M46" s="5" t="n"/>
      <c r="N46" s="5" t="n"/>
    </row>
    <row r="47" ht="22" customHeight="1">
      <c r="A47" s="8">
        <f>IF(B47="","",IF(COUNTA($A$6:A47)=0,"SUG-"&amp;TEXT(COUNTA($B$6:B47),"000"),"SUG-"&amp;TEXT(ROW()-5,"000")))</f>
        <v/>
      </c>
      <c r="B47" s="8" t="n"/>
      <c r="C47" s="8">
        <f>IF(B47="","",VLOOKUP(B47,'F01 - _Données Collaborateurs'!$B$6:$F$20,5,FALSE))</f>
        <v/>
      </c>
      <c r="D47" s="8" t="n"/>
      <c r="E47" s="8" t="n"/>
      <c r="F47" s="8" t="n"/>
      <c r="G47" s="8" t="n"/>
      <c r="H47" s="8" t="n"/>
      <c r="I47" s="8" t="n"/>
      <c r="J47" s="8" t="n"/>
      <c r="K47" s="8">
        <f>IF(B47="","",IFERROR(VLOOKUP(B47,'F01 - _Données Collaborateurs'!$B$6:$H$20,6,FALSE),""))</f>
        <v/>
      </c>
      <c r="L47" s="8">
        <f>IF(I47="","",IF(I47-D47&gt;15,"Traitement lent","Délai OK"))</f>
        <v/>
      </c>
      <c r="M47" s="8" t="n"/>
      <c r="N47" s="8" t="n"/>
    </row>
    <row r="48" ht="22" customHeight="1">
      <c r="A48" s="5">
        <f>IF(B48="","",IF(COUNTA($A$6:A48)=0,"SUG-"&amp;TEXT(COUNTA($B$6:B48),"000"),"SUG-"&amp;TEXT(ROW()-5,"000")))</f>
        <v/>
      </c>
      <c r="B48" s="5" t="n"/>
      <c r="C48" s="5">
        <f>IF(B48="","",VLOOKUP(B48,'F01 - _Données Collaborateurs'!$B$6:$F$20,5,FALSE))</f>
        <v/>
      </c>
      <c r="D48" s="5" t="n"/>
      <c r="E48" s="5" t="n"/>
      <c r="F48" s="5" t="n"/>
      <c r="G48" s="5" t="n"/>
      <c r="H48" s="5" t="n"/>
      <c r="I48" s="5" t="n"/>
      <c r="J48" s="5" t="n"/>
      <c r="K48" s="5">
        <f>IF(B48="","",IFERROR(VLOOKUP(B48,'F01 - _Données Collaborateurs'!$B$6:$H$20,6,FALSE),""))</f>
        <v/>
      </c>
      <c r="L48" s="5">
        <f>IF(I48="","",IF(I48-D48&gt;15,"Traitement lent","Délai OK"))</f>
        <v/>
      </c>
      <c r="M48" s="5" t="n"/>
      <c r="N48" s="5" t="n"/>
    </row>
    <row r="49" ht="22" customHeight="1">
      <c r="A49" s="8">
        <f>IF(B49="","",IF(COUNTA($A$6:A49)=0,"SUG-"&amp;TEXT(COUNTA($B$6:B49),"000"),"SUG-"&amp;TEXT(ROW()-5,"000")))</f>
        <v/>
      </c>
      <c r="B49" s="8" t="n"/>
      <c r="C49" s="8">
        <f>IF(B49="","",VLOOKUP(B49,'F01 - _Données Collaborateurs'!$B$6:$F$20,5,FALSE))</f>
        <v/>
      </c>
      <c r="D49" s="8" t="n"/>
      <c r="E49" s="8" t="n"/>
      <c r="F49" s="8" t="n"/>
      <c r="G49" s="8" t="n"/>
      <c r="H49" s="8" t="n"/>
      <c r="I49" s="8" t="n"/>
      <c r="J49" s="8" t="n"/>
      <c r="K49" s="8">
        <f>IF(B49="","",IFERROR(VLOOKUP(B49,'F01 - _Données Collaborateurs'!$B$6:$H$20,6,FALSE),""))</f>
        <v/>
      </c>
      <c r="L49" s="8">
        <f>IF(I49="","",IF(I49-D49&gt;15,"Traitement lent","Délai OK"))</f>
        <v/>
      </c>
      <c r="M49" s="8" t="n"/>
      <c r="N49" s="8" t="n"/>
    </row>
    <row r="50" ht="22" customHeight="1">
      <c r="A50" s="5">
        <f>IF(B50="","",IF(COUNTA($A$6:A50)=0,"SUG-"&amp;TEXT(COUNTA($B$6:B50),"000"),"SUG-"&amp;TEXT(ROW()-5,"000")))</f>
        <v/>
      </c>
      <c r="B50" s="5" t="n"/>
      <c r="C50" s="5">
        <f>IF(B50="","",VLOOKUP(B50,'F01 - _Données Collaborateurs'!$B$6:$F$20,5,FALSE))</f>
        <v/>
      </c>
      <c r="D50" s="5" t="n"/>
      <c r="E50" s="5" t="n"/>
      <c r="F50" s="5" t="n"/>
      <c r="G50" s="5" t="n"/>
      <c r="H50" s="5" t="n"/>
      <c r="I50" s="5" t="n"/>
      <c r="J50" s="5" t="n"/>
      <c r="K50" s="5">
        <f>IF(B50="","",IFERROR(VLOOKUP(B50,'F01 - _Données Collaborateurs'!$B$6:$H$20,6,FALSE),""))</f>
        <v/>
      </c>
      <c r="L50" s="5">
        <f>IF(I50="","",IF(I50-D50&gt;15,"Traitement lent","Délai OK"))</f>
        <v/>
      </c>
      <c r="M50" s="5" t="n"/>
      <c r="N50" s="5" t="n"/>
    </row>
    <row r="51" ht="22" customHeight="1">
      <c r="A51" s="8">
        <f>IF(B51="","",IF(COUNTA($A$6:A51)=0,"SUG-"&amp;TEXT(COUNTA($B$6:B51),"000"),"SUG-"&amp;TEXT(ROW()-5,"000")))</f>
        <v/>
      </c>
      <c r="B51" s="8" t="n"/>
      <c r="C51" s="8">
        <f>IF(B51="","",VLOOKUP(B51,'F01 - _Données Collaborateurs'!$B$6:$F$20,5,FALSE))</f>
        <v/>
      </c>
      <c r="D51" s="8" t="n"/>
      <c r="E51" s="8" t="n"/>
      <c r="F51" s="8" t="n"/>
      <c r="G51" s="8" t="n"/>
      <c r="H51" s="8" t="n"/>
      <c r="I51" s="8" t="n"/>
      <c r="J51" s="8" t="n"/>
      <c r="K51" s="8">
        <f>IF(B51="","",IFERROR(VLOOKUP(B51,'F01 - _Données Collaborateurs'!$B$6:$H$20,6,FALSE),""))</f>
        <v/>
      </c>
      <c r="L51" s="8">
        <f>IF(I51="","",IF(I51-D51&gt;15,"Traitement lent","Délai OK"))</f>
        <v/>
      </c>
      <c r="M51" s="8" t="n"/>
      <c r="N51" s="8" t="n"/>
    </row>
    <row r="52" ht="22" customHeight="1">
      <c r="A52" s="5">
        <f>IF(B52="","",IF(COUNTA($A$6:A52)=0,"SUG-"&amp;TEXT(COUNTA($B$6:B52),"000"),"SUG-"&amp;TEXT(ROW()-5,"000")))</f>
        <v/>
      </c>
      <c r="B52" s="5" t="n"/>
      <c r="C52" s="5">
        <f>IF(B52="","",VLOOKUP(B52,'F01 - _Données Collaborateurs'!$B$6:$F$20,5,FALSE))</f>
        <v/>
      </c>
      <c r="D52" s="5" t="n"/>
      <c r="E52" s="5" t="n"/>
      <c r="F52" s="5" t="n"/>
      <c r="G52" s="5" t="n"/>
      <c r="H52" s="5" t="n"/>
      <c r="I52" s="5" t="n"/>
      <c r="J52" s="5" t="n"/>
      <c r="K52" s="5">
        <f>IF(B52="","",IFERROR(VLOOKUP(B52,'F01 - _Données Collaborateurs'!$B$6:$H$20,6,FALSE),""))</f>
        <v/>
      </c>
      <c r="L52" s="5">
        <f>IF(I52="","",IF(I52-D52&gt;15,"Traitement lent","Délai OK"))</f>
        <v/>
      </c>
      <c r="M52" s="5" t="n"/>
      <c r="N52" s="5" t="n"/>
    </row>
    <row r="53" ht="22" customHeight="1">
      <c r="A53" s="8">
        <f>IF(B53="","",IF(COUNTA($A$6:A53)=0,"SUG-"&amp;TEXT(COUNTA($B$6:B53),"000"),"SUG-"&amp;TEXT(ROW()-5,"000")))</f>
        <v/>
      </c>
      <c r="B53" s="8" t="n"/>
      <c r="C53" s="8">
        <f>IF(B53="","",VLOOKUP(B53,'F01 - _Données Collaborateurs'!$B$6:$F$20,5,FALSE))</f>
        <v/>
      </c>
      <c r="D53" s="8" t="n"/>
      <c r="E53" s="8" t="n"/>
      <c r="F53" s="8" t="n"/>
      <c r="G53" s="8" t="n"/>
      <c r="H53" s="8" t="n"/>
      <c r="I53" s="8" t="n"/>
      <c r="J53" s="8" t="n"/>
      <c r="K53" s="8">
        <f>IF(B53="","",IFERROR(VLOOKUP(B53,'F01 - _Données Collaborateurs'!$B$6:$H$20,6,FALSE),""))</f>
        <v/>
      </c>
      <c r="L53" s="8">
        <f>IF(I53="","",IF(I53-D53&gt;15,"Traitement lent","Délai OK"))</f>
        <v/>
      </c>
      <c r="M53" s="8" t="n"/>
      <c r="N53" s="8" t="n"/>
    </row>
    <row r="54" ht="22" customHeight="1">
      <c r="A54" s="5">
        <f>IF(B54="","",IF(COUNTA($A$6:A54)=0,"SUG-"&amp;TEXT(COUNTA($B$6:B54),"000"),"SUG-"&amp;TEXT(ROW()-5,"000")))</f>
        <v/>
      </c>
      <c r="B54" s="5" t="n"/>
      <c r="C54" s="5">
        <f>IF(B54="","",VLOOKUP(B54,'F01 - _Données Collaborateurs'!$B$6:$F$20,5,FALSE))</f>
        <v/>
      </c>
      <c r="D54" s="5" t="n"/>
      <c r="E54" s="5" t="n"/>
      <c r="F54" s="5" t="n"/>
      <c r="G54" s="5" t="n"/>
      <c r="H54" s="5" t="n"/>
      <c r="I54" s="5" t="n"/>
      <c r="J54" s="5" t="n"/>
      <c r="K54" s="5">
        <f>IF(B54="","",IFERROR(VLOOKUP(B54,'F01 - _Données Collaborateurs'!$B$6:$H$20,6,FALSE),""))</f>
        <v/>
      </c>
      <c r="L54" s="5">
        <f>IF(I54="","",IF(I54-D54&gt;15,"Traitement lent","Délai OK"))</f>
        <v/>
      </c>
      <c r="M54" s="5" t="n"/>
      <c r="N54" s="5" t="n"/>
    </row>
    <row r="55" ht="22" customHeight="1">
      <c r="A55" s="8">
        <f>IF(B55="","",IF(COUNTA($A$6:A55)=0,"SUG-"&amp;TEXT(COUNTA($B$6:B55),"000"),"SUG-"&amp;TEXT(ROW()-5,"000")))</f>
        <v/>
      </c>
      <c r="B55" s="8" t="n"/>
      <c r="C55" s="8">
        <f>IF(B55="","",VLOOKUP(B55,'F01 - _Données Collaborateurs'!$B$6:$F$20,5,FALSE))</f>
        <v/>
      </c>
      <c r="D55" s="8" t="n"/>
      <c r="E55" s="8" t="n"/>
      <c r="F55" s="8" t="n"/>
      <c r="G55" s="8" t="n"/>
      <c r="H55" s="8" t="n"/>
      <c r="I55" s="8" t="n"/>
      <c r="J55" s="8" t="n"/>
      <c r="K55" s="8">
        <f>IF(B55="","",IFERROR(VLOOKUP(B55,'F01 - _Données Collaborateurs'!$B$6:$H$20,6,FALSE),""))</f>
        <v/>
      </c>
      <c r="L55" s="8">
        <f>IF(I55="","",IF(I55-D55&gt;15,"Traitement lent","Délai OK"))</f>
        <v/>
      </c>
      <c r="M55" s="8" t="n"/>
      <c r="N55" s="8" t="n"/>
    </row>
    <row r="56" ht="22" customHeight="1">
      <c r="A56" s="5">
        <f>IF(B56="","",IF(COUNTA($A$6:A56)=0,"SUG-"&amp;TEXT(COUNTA($B$6:B56),"000"),"SUG-"&amp;TEXT(ROW()-5,"000")))</f>
        <v/>
      </c>
      <c r="B56" s="5" t="n"/>
      <c r="C56" s="5">
        <f>IF(B56="","",VLOOKUP(B56,'F01 - _Données Collaborateurs'!$B$6:$F$20,5,FALSE))</f>
        <v/>
      </c>
      <c r="D56" s="5" t="n"/>
      <c r="E56" s="5" t="n"/>
      <c r="F56" s="5" t="n"/>
      <c r="G56" s="5" t="n"/>
      <c r="H56" s="5" t="n"/>
      <c r="I56" s="5" t="n"/>
      <c r="J56" s="5" t="n"/>
      <c r="K56" s="5">
        <f>IF(B56="","",IFERROR(VLOOKUP(B56,'F01 - _Données Collaborateurs'!$B$6:$H$20,6,FALSE),""))</f>
        <v/>
      </c>
      <c r="L56" s="5">
        <f>IF(I56="","",IF(I56-D56&gt;15,"Traitement lent","Délai OK"))</f>
        <v/>
      </c>
      <c r="M56" s="5" t="n"/>
      <c r="N56" s="5" t="n"/>
    </row>
    <row r="57" ht="22" customHeight="1">
      <c r="A57" s="8">
        <f>IF(B57="","",IF(COUNTA($A$6:A57)=0,"SUG-"&amp;TEXT(COUNTA($B$6:B57),"000"),"SUG-"&amp;TEXT(ROW()-5,"000")))</f>
        <v/>
      </c>
      <c r="B57" s="8" t="n"/>
      <c r="C57" s="8">
        <f>IF(B57="","",VLOOKUP(B57,'F01 - _Données Collaborateurs'!$B$6:$F$20,5,FALSE))</f>
        <v/>
      </c>
      <c r="D57" s="8" t="n"/>
      <c r="E57" s="8" t="n"/>
      <c r="F57" s="8" t="n"/>
      <c r="G57" s="8" t="n"/>
      <c r="H57" s="8" t="n"/>
      <c r="I57" s="8" t="n"/>
      <c r="J57" s="8" t="n"/>
      <c r="K57" s="8">
        <f>IF(B57="","",IFERROR(VLOOKUP(B57,'F01 - _Données Collaborateurs'!$B$6:$H$20,6,FALSE),""))</f>
        <v/>
      </c>
      <c r="L57" s="8">
        <f>IF(I57="","",IF(I57-D57&gt;15,"Traitement lent","Délai OK"))</f>
        <v/>
      </c>
      <c r="M57" s="8" t="n"/>
      <c r="N57" s="8" t="n"/>
    </row>
    <row r="58" ht="22" customHeight="1">
      <c r="A58" s="5">
        <f>IF(B58="","",IF(COUNTA($A$6:A58)=0,"SUG-"&amp;TEXT(COUNTA($B$6:B58),"000"),"SUG-"&amp;TEXT(ROW()-5,"000")))</f>
        <v/>
      </c>
      <c r="B58" s="5" t="n"/>
      <c r="C58" s="5">
        <f>IF(B58="","",VLOOKUP(B58,'F01 - _Données Collaborateurs'!$B$6:$F$20,5,FALSE))</f>
        <v/>
      </c>
      <c r="D58" s="5" t="n"/>
      <c r="E58" s="5" t="n"/>
      <c r="F58" s="5" t="n"/>
      <c r="G58" s="5" t="n"/>
      <c r="H58" s="5" t="n"/>
      <c r="I58" s="5" t="n"/>
      <c r="J58" s="5" t="n"/>
      <c r="K58" s="5">
        <f>IF(B58="","",IFERROR(VLOOKUP(B58,'F01 - _Données Collaborateurs'!$B$6:$H$20,6,FALSE),""))</f>
        <v/>
      </c>
      <c r="L58" s="5">
        <f>IF(I58="","",IF(I58-D58&gt;15,"Traitement lent","Délai OK"))</f>
        <v/>
      </c>
      <c r="M58" s="5" t="n"/>
      <c r="N58" s="5" t="n"/>
    </row>
    <row r="59" ht="22" customHeight="1">
      <c r="A59" s="8">
        <f>IF(B59="","",IF(COUNTA($A$6:A59)=0,"SUG-"&amp;TEXT(COUNTA($B$6:B59),"000"),"SUG-"&amp;TEXT(ROW()-5,"000")))</f>
        <v/>
      </c>
      <c r="B59" s="8" t="n"/>
      <c r="C59" s="8">
        <f>IF(B59="","",VLOOKUP(B59,'F01 - _Données Collaborateurs'!$B$6:$F$20,5,FALSE))</f>
        <v/>
      </c>
      <c r="D59" s="8" t="n"/>
      <c r="E59" s="8" t="n"/>
      <c r="F59" s="8" t="n"/>
      <c r="G59" s="8" t="n"/>
      <c r="H59" s="8" t="n"/>
      <c r="I59" s="8" t="n"/>
      <c r="J59" s="8" t="n"/>
      <c r="K59" s="8">
        <f>IF(B59="","",IFERROR(VLOOKUP(B59,'F01 - _Données Collaborateurs'!$B$6:$H$20,6,FALSE),""))</f>
        <v/>
      </c>
      <c r="L59" s="8">
        <f>IF(I59="","",IF(I59-D59&gt;15,"Traitement lent","Délai OK"))</f>
        <v/>
      </c>
      <c r="M59" s="8" t="n"/>
      <c r="N59" s="8" t="n"/>
    </row>
    <row r="60" ht="22" customHeight="1">
      <c r="A60" s="5">
        <f>IF(B60="","",IF(COUNTA($A$6:A60)=0,"SUG-"&amp;TEXT(COUNTA($B$6:B60),"000"),"SUG-"&amp;TEXT(ROW()-5,"000")))</f>
        <v/>
      </c>
      <c r="B60" s="5" t="n"/>
      <c r="C60" s="5">
        <f>IF(B60="","",VLOOKUP(B60,'F01 - _Données Collaborateurs'!$B$6:$F$20,5,FALSE))</f>
        <v/>
      </c>
      <c r="D60" s="5" t="n"/>
      <c r="E60" s="5" t="n"/>
      <c r="F60" s="5" t="n"/>
      <c r="G60" s="5" t="n"/>
      <c r="H60" s="5" t="n"/>
      <c r="I60" s="5" t="n"/>
      <c r="J60" s="5" t="n"/>
      <c r="K60" s="5">
        <f>IF(B60="","",IFERROR(VLOOKUP(B60,'F01 - _Données Collaborateurs'!$B$6:$H$20,6,FALSE),""))</f>
        <v/>
      </c>
      <c r="L60" s="5">
        <f>IF(I60="","",IF(I60-D60&gt;15,"Traitement lent","Délai OK"))</f>
        <v/>
      </c>
      <c r="M60" s="5" t="n"/>
      <c r="N60" s="5" t="n"/>
    </row>
    <row r="61" ht="22" customHeight="1">
      <c r="A61" s="8">
        <f>IF(B61="","",IF(COUNTA($A$6:A61)=0,"SUG-"&amp;TEXT(COUNTA($B$6:B61),"000"),"SUG-"&amp;TEXT(ROW()-5,"000")))</f>
        <v/>
      </c>
      <c r="B61" s="8" t="n"/>
      <c r="C61" s="8">
        <f>IF(B61="","",VLOOKUP(B61,'F01 - _Données Collaborateurs'!$B$6:$F$20,5,FALSE))</f>
        <v/>
      </c>
      <c r="D61" s="8" t="n"/>
      <c r="E61" s="8" t="n"/>
      <c r="F61" s="8" t="n"/>
      <c r="G61" s="8" t="n"/>
      <c r="H61" s="8" t="n"/>
      <c r="I61" s="8" t="n"/>
      <c r="J61" s="8" t="n"/>
      <c r="K61" s="8">
        <f>IF(B61="","",IFERROR(VLOOKUP(B61,'F01 - _Données Collaborateurs'!$B$6:$H$20,6,FALSE),""))</f>
        <v/>
      </c>
      <c r="L61" s="8">
        <f>IF(I61="","",IF(I61-D61&gt;15,"Traitement lent","Délai OK"))</f>
        <v/>
      </c>
      <c r="M61" s="8" t="n"/>
      <c r="N61" s="8" t="n"/>
    </row>
    <row r="62" ht="22" customHeight="1">
      <c r="A62" s="5">
        <f>IF(B62="","",IF(COUNTA($A$6:A62)=0,"SUG-"&amp;TEXT(COUNTA($B$6:B62),"000"),"SUG-"&amp;TEXT(ROW()-5,"000")))</f>
        <v/>
      </c>
      <c r="B62" s="5" t="n"/>
      <c r="C62" s="5">
        <f>IF(B62="","",VLOOKUP(B62,'F01 - _Données Collaborateurs'!$B$6:$F$20,5,FALSE))</f>
        <v/>
      </c>
      <c r="D62" s="5" t="n"/>
      <c r="E62" s="5" t="n"/>
      <c r="F62" s="5" t="n"/>
      <c r="G62" s="5" t="n"/>
      <c r="H62" s="5" t="n"/>
      <c r="I62" s="5" t="n"/>
      <c r="J62" s="5" t="n"/>
      <c r="K62" s="5">
        <f>IF(B62="","",IFERROR(VLOOKUP(B62,'F01 - _Données Collaborateurs'!$B$6:$H$20,6,FALSE),""))</f>
        <v/>
      </c>
      <c r="L62" s="5">
        <f>IF(I62="","",IF(I62-D62&gt;15,"Traitement lent","Délai OK"))</f>
        <v/>
      </c>
      <c r="M62" s="5" t="n"/>
      <c r="N62" s="5" t="n"/>
    </row>
    <row r="63" ht="22" customHeight="1">
      <c r="A63" s="8">
        <f>IF(B63="","",IF(COUNTA($A$6:A63)=0,"SUG-"&amp;TEXT(COUNTA($B$6:B63),"000"),"SUG-"&amp;TEXT(ROW()-5,"000")))</f>
        <v/>
      </c>
      <c r="B63" s="8" t="n"/>
      <c r="C63" s="8">
        <f>IF(B63="","",VLOOKUP(B63,'F01 - _Données Collaborateurs'!$B$6:$F$20,5,FALSE))</f>
        <v/>
      </c>
      <c r="D63" s="8" t="n"/>
      <c r="E63" s="8" t="n"/>
      <c r="F63" s="8" t="n"/>
      <c r="G63" s="8" t="n"/>
      <c r="H63" s="8" t="n"/>
      <c r="I63" s="8" t="n"/>
      <c r="J63" s="8" t="n"/>
      <c r="K63" s="8">
        <f>IF(B63="","",IFERROR(VLOOKUP(B63,'F01 - _Données Collaborateurs'!$B$6:$H$20,6,FALSE),""))</f>
        <v/>
      </c>
      <c r="L63" s="8">
        <f>IF(I63="","",IF(I63-D63&gt;15,"Traitement lent","Délai OK"))</f>
        <v/>
      </c>
      <c r="M63" s="8" t="n"/>
      <c r="N63" s="8" t="n"/>
    </row>
    <row r="64" ht="22" customHeight="1">
      <c r="A64" s="5">
        <f>IF(B64="","",IF(COUNTA($A$6:A64)=0,"SUG-"&amp;TEXT(COUNTA($B$6:B64),"000"),"SUG-"&amp;TEXT(ROW()-5,"000")))</f>
        <v/>
      </c>
      <c r="B64" s="5" t="n"/>
      <c r="C64" s="5">
        <f>IF(B64="","",VLOOKUP(B64,'F01 - _Données Collaborateurs'!$B$6:$F$20,5,FALSE))</f>
        <v/>
      </c>
      <c r="D64" s="5" t="n"/>
      <c r="E64" s="5" t="n"/>
      <c r="F64" s="5" t="n"/>
      <c r="G64" s="5" t="n"/>
      <c r="H64" s="5" t="n"/>
      <c r="I64" s="5" t="n"/>
      <c r="J64" s="5" t="n"/>
      <c r="K64" s="5">
        <f>IF(B64="","",IFERROR(VLOOKUP(B64,'F01 - _Données Collaborateurs'!$B$6:$H$20,6,FALSE),""))</f>
        <v/>
      </c>
      <c r="L64" s="5">
        <f>IF(I64="","",IF(I64-D64&gt;15,"Traitement lent","Délai OK"))</f>
        <v/>
      </c>
      <c r="M64" s="5" t="n"/>
      <c r="N64" s="5" t="n"/>
    </row>
    <row r="65" ht="22" customHeight="1">
      <c r="A65" s="8">
        <f>IF(B65="","",IF(COUNTA($A$6:A65)=0,"SUG-"&amp;TEXT(COUNTA($B$6:B65),"000"),"SUG-"&amp;TEXT(ROW()-5,"000")))</f>
        <v/>
      </c>
      <c r="B65" s="8" t="n"/>
      <c r="C65" s="8">
        <f>IF(B65="","",VLOOKUP(B65,'F01 - _Données Collaborateurs'!$B$6:$F$20,5,FALSE))</f>
        <v/>
      </c>
      <c r="D65" s="8" t="n"/>
      <c r="E65" s="8" t="n"/>
      <c r="F65" s="8" t="n"/>
      <c r="G65" s="8" t="n"/>
      <c r="H65" s="8" t="n"/>
      <c r="I65" s="8" t="n"/>
      <c r="J65" s="8" t="n"/>
      <c r="K65" s="8">
        <f>IF(B65="","",IFERROR(VLOOKUP(B65,'F01 - _Données Collaborateurs'!$B$6:$H$20,6,FALSE),""))</f>
        <v/>
      </c>
      <c r="L65" s="8">
        <f>IF(I65="","",IF(I65-D65&gt;15,"Traitement lent","Délai OK"))</f>
        <v/>
      </c>
      <c r="M65" s="8" t="n"/>
      <c r="N65" s="8" t="n"/>
    </row>
    <row r="66" ht="22" customHeight="1">
      <c r="A66" s="5">
        <f>IF(B66="","",IF(COUNTA($A$6:A66)=0,"SUG-"&amp;TEXT(COUNTA($B$6:B66),"000"),"SUG-"&amp;TEXT(ROW()-5,"000")))</f>
        <v/>
      </c>
      <c r="B66" s="5" t="n"/>
      <c r="C66" s="5">
        <f>IF(B66="","",VLOOKUP(B66,'F01 - _Données Collaborateurs'!$B$6:$F$20,5,FALSE))</f>
        <v/>
      </c>
      <c r="D66" s="5" t="n"/>
      <c r="E66" s="5" t="n"/>
      <c r="F66" s="5" t="n"/>
      <c r="G66" s="5" t="n"/>
      <c r="H66" s="5" t="n"/>
      <c r="I66" s="5" t="n"/>
      <c r="J66" s="5" t="n"/>
      <c r="K66" s="5">
        <f>IF(B66="","",IFERROR(VLOOKUP(B66,'F01 - _Données Collaborateurs'!$B$6:$H$20,6,FALSE),""))</f>
        <v/>
      </c>
      <c r="L66" s="5">
        <f>IF(I66="","",IF(I66-D66&gt;15,"Traitement lent","Délai OK"))</f>
        <v/>
      </c>
      <c r="M66" s="5" t="n"/>
      <c r="N66" s="5" t="n"/>
    </row>
    <row r="67" ht="22" customHeight="1">
      <c r="A67" s="8">
        <f>IF(B67="","",IF(COUNTA($A$6:A67)=0,"SUG-"&amp;TEXT(COUNTA($B$6:B67),"000"),"SUG-"&amp;TEXT(ROW()-5,"000")))</f>
        <v/>
      </c>
      <c r="B67" s="8" t="n"/>
      <c r="C67" s="8">
        <f>IF(B67="","",VLOOKUP(B67,'F01 - _Données Collaborateurs'!$B$6:$F$20,5,FALSE))</f>
        <v/>
      </c>
      <c r="D67" s="8" t="n"/>
      <c r="E67" s="8" t="n"/>
      <c r="F67" s="8" t="n"/>
      <c r="G67" s="8" t="n"/>
      <c r="H67" s="8" t="n"/>
      <c r="I67" s="8" t="n"/>
      <c r="J67" s="8" t="n"/>
      <c r="K67" s="8">
        <f>IF(B67="","",IFERROR(VLOOKUP(B67,'F01 - _Données Collaborateurs'!$B$6:$H$20,6,FALSE),""))</f>
        <v/>
      </c>
      <c r="L67" s="8">
        <f>IF(I67="","",IF(I67-D67&gt;15,"Traitement lent","Délai OK"))</f>
        <v/>
      </c>
      <c r="M67" s="8" t="n"/>
      <c r="N67" s="8" t="n"/>
    </row>
    <row r="68" ht="22" customHeight="1">
      <c r="A68" s="5">
        <f>IF(B68="","",IF(COUNTA($A$6:A68)=0,"SUG-"&amp;TEXT(COUNTA($B$6:B68),"000"),"SUG-"&amp;TEXT(ROW()-5,"000")))</f>
        <v/>
      </c>
      <c r="B68" s="5" t="n"/>
      <c r="C68" s="5">
        <f>IF(B68="","",VLOOKUP(B68,'F01 - _Données Collaborateurs'!$B$6:$F$20,5,FALSE))</f>
        <v/>
      </c>
      <c r="D68" s="5" t="n"/>
      <c r="E68" s="5" t="n"/>
      <c r="F68" s="5" t="n"/>
      <c r="G68" s="5" t="n"/>
      <c r="H68" s="5" t="n"/>
      <c r="I68" s="5" t="n"/>
      <c r="J68" s="5" t="n"/>
      <c r="K68" s="5">
        <f>IF(B68="","",IFERROR(VLOOKUP(B68,'F01 - _Données Collaborateurs'!$B$6:$H$20,6,FALSE),""))</f>
        <v/>
      </c>
      <c r="L68" s="5">
        <f>IF(I68="","",IF(I68-D68&gt;15,"Traitement lent","Délai OK"))</f>
        <v/>
      </c>
      <c r="M68" s="5" t="n"/>
      <c r="N68" s="5" t="n"/>
    </row>
    <row r="69" ht="22" customHeight="1">
      <c r="A69" s="8">
        <f>IF(B69="","",IF(COUNTA($A$6:A69)=0,"SUG-"&amp;TEXT(COUNTA($B$6:B69),"000"),"SUG-"&amp;TEXT(ROW()-5,"000")))</f>
        <v/>
      </c>
      <c r="B69" s="8" t="n"/>
      <c r="C69" s="8">
        <f>IF(B69="","",VLOOKUP(B69,'F01 - _Données Collaborateurs'!$B$6:$F$20,5,FALSE))</f>
        <v/>
      </c>
      <c r="D69" s="8" t="n"/>
      <c r="E69" s="8" t="n"/>
      <c r="F69" s="8" t="n"/>
      <c r="G69" s="8" t="n"/>
      <c r="H69" s="8" t="n"/>
      <c r="I69" s="8" t="n"/>
      <c r="J69" s="8" t="n"/>
      <c r="K69" s="8">
        <f>IF(B69="","",IFERROR(VLOOKUP(B69,'F01 - _Données Collaborateurs'!$B$6:$H$20,6,FALSE),""))</f>
        <v/>
      </c>
      <c r="L69" s="8">
        <f>IF(I69="","",IF(I69-D69&gt;15,"Traitement lent","Délai OK"))</f>
        <v/>
      </c>
      <c r="M69" s="8" t="n"/>
      <c r="N69" s="8" t="n"/>
    </row>
    <row r="70" ht="22" customHeight="1">
      <c r="A70" s="5">
        <f>IF(B70="","",IF(COUNTA($A$6:A70)=0,"SUG-"&amp;TEXT(COUNTA($B$6:B70),"000"),"SUG-"&amp;TEXT(ROW()-5,"000")))</f>
        <v/>
      </c>
      <c r="B70" s="5" t="n"/>
      <c r="C70" s="5">
        <f>IF(B70="","",VLOOKUP(B70,'F01 - _Données Collaborateurs'!$B$6:$F$20,5,FALSE))</f>
        <v/>
      </c>
      <c r="D70" s="5" t="n"/>
      <c r="E70" s="5" t="n"/>
      <c r="F70" s="5" t="n"/>
      <c r="G70" s="5" t="n"/>
      <c r="H70" s="5" t="n"/>
      <c r="I70" s="5" t="n"/>
      <c r="J70" s="5" t="n"/>
      <c r="K70" s="5">
        <f>IF(B70="","",IFERROR(VLOOKUP(B70,'F01 - _Données Collaborateurs'!$B$6:$H$20,6,FALSE),""))</f>
        <v/>
      </c>
      <c r="L70" s="5">
        <f>IF(I70="","",IF(I70-D70&gt;15,"Traitement lent","Délai OK"))</f>
        <v/>
      </c>
      <c r="M70" s="5" t="n"/>
      <c r="N70" s="5" t="n"/>
    </row>
    <row r="71" ht="22" customHeight="1">
      <c r="A71" s="8">
        <f>IF(B71="","",IF(COUNTA($A$6:A71)=0,"SUG-"&amp;TEXT(COUNTA($B$6:B71),"000"),"SUG-"&amp;TEXT(ROW()-5,"000")))</f>
        <v/>
      </c>
      <c r="B71" s="8" t="n"/>
      <c r="C71" s="8">
        <f>IF(B71="","",VLOOKUP(B71,'F01 - _Données Collaborateurs'!$B$6:$F$20,5,FALSE))</f>
        <v/>
      </c>
      <c r="D71" s="8" t="n"/>
      <c r="E71" s="8" t="n"/>
      <c r="F71" s="8" t="n"/>
      <c r="G71" s="8" t="n"/>
      <c r="H71" s="8" t="n"/>
      <c r="I71" s="8" t="n"/>
      <c r="J71" s="8" t="n"/>
      <c r="K71" s="8">
        <f>IF(B71="","",IFERROR(VLOOKUP(B71,'F01 - _Données Collaborateurs'!$B$6:$H$20,6,FALSE),""))</f>
        <v/>
      </c>
      <c r="L71" s="8">
        <f>IF(I71="","",IF(I71-D71&gt;15,"Traitement lent","Délai OK"))</f>
        <v/>
      </c>
      <c r="M71" s="8" t="n"/>
      <c r="N71" s="8" t="n"/>
    </row>
    <row r="72" ht="22" customHeight="1">
      <c r="A72" s="5">
        <f>IF(B72="","",IF(COUNTA($A$6:A72)=0,"SUG-"&amp;TEXT(COUNTA($B$6:B72),"000"),"SUG-"&amp;TEXT(ROW()-5,"000")))</f>
        <v/>
      </c>
      <c r="B72" s="5" t="n"/>
      <c r="C72" s="5">
        <f>IF(B72="","",VLOOKUP(B72,'F01 - _Données Collaborateurs'!$B$6:$F$20,5,FALSE))</f>
        <v/>
      </c>
      <c r="D72" s="5" t="n"/>
      <c r="E72" s="5" t="n"/>
      <c r="F72" s="5" t="n"/>
      <c r="G72" s="5" t="n"/>
      <c r="H72" s="5" t="n"/>
      <c r="I72" s="5" t="n"/>
      <c r="J72" s="5" t="n"/>
      <c r="K72" s="5">
        <f>IF(B72="","",IFERROR(VLOOKUP(B72,'F01 - _Données Collaborateurs'!$B$6:$H$20,6,FALSE),""))</f>
        <v/>
      </c>
      <c r="L72" s="5">
        <f>IF(I72="","",IF(I72-D72&gt;15,"Traitement lent","Délai OK"))</f>
        <v/>
      </c>
      <c r="M72" s="5" t="n"/>
      <c r="N72" s="5" t="n"/>
    </row>
    <row r="73" ht="22" customHeight="1">
      <c r="A73" s="8">
        <f>IF(B73="","",IF(COUNTA($A$6:A73)=0,"SUG-"&amp;TEXT(COUNTA($B$6:B73),"000"),"SUG-"&amp;TEXT(ROW()-5,"000")))</f>
        <v/>
      </c>
      <c r="B73" s="8" t="n"/>
      <c r="C73" s="8">
        <f>IF(B73="","",VLOOKUP(B73,'F01 - _Données Collaborateurs'!$B$6:$F$20,5,FALSE))</f>
        <v/>
      </c>
      <c r="D73" s="8" t="n"/>
      <c r="E73" s="8" t="n"/>
      <c r="F73" s="8" t="n"/>
      <c r="G73" s="8" t="n"/>
      <c r="H73" s="8" t="n"/>
      <c r="I73" s="8" t="n"/>
      <c r="J73" s="8" t="n"/>
      <c r="K73" s="8">
        <f>IF(B73="","",IFERROR(VLOOKUP(B73,'F01 - _Données Collaborateurs'!$B$6:$H$20,6,FALSE),""))</f>
        <v/>
      </c>
      <c r="L73" s="8">
        <f>IF(I73="","",IF(I73-D73&gt;15,"Traitement lent","Délai OK"))</f>
        <v/>
      </c>
      <c r="M73" s="8" t="n"/>
      <c r="N73" s="8" t="n"/>
    </row>
    <row r="74" ht="22" customHeight="1">
      <c r="A74" s="5">
        <f>IF(B74="","",IF(COUNTA($A$6:A74)=0,"SUG-"&amp;TEXT(COUNTA($B$6:B74),"000"),"SUG-"&amp;TEXT(ROW()-5,"000")))</f>
        <v/>
      </c>
      <c r="B74" s="5" t="n"/>
      <c r="C74" s="5">
        <f>IF(B74="","",VLOOKUP(B74,'F01 - _Données Collaborateurs'!$B$6:$F$20,5,FALSE))</f>
        <v/>
      </c>
      <c r="D74" s="5" t="n"/>
      <c r="E74" s="5" t="n"/>
      <c r="F74" s="5" t="n"/>
      <c r="G74" s="5" t="n"/>
      <c r="H74" s="5" t="n"/>
      <c r="I74" s="5" t="n"/>
      <c r="J74" s="5" t="n"/>
      <c r="K74" s="5">
        <f>IF(B74="","",IFERROR(VLOOKUP(B74,'F01 - _Données Collaborateurs'!$B$6:$H$20,6,FALSE),""))</f>
        <v/>
      </c>
      <c r="L74" s="5">
        <f>IF(I74="","",IF(I74-D74&gt;15,"Traitement lent","Délai OK"))</f>
        <v/>
      </c>
      <c r="M74" s="5" t="n"/>
      <c r="N74" s="5" t="n"/>
    </row>
    <row r="75" ht="22" customHeight="1">
      <c r="A75" s="8">
        <f>IF(B75="","",IF(COUNTA($A$6:A75)=0,"SUG-"&amp;TEXT(COUNTA($B$6:B75),"000"),"SUG-"&amp;TEXT(ROW()-5,"000")))</f>
        <v/>
      </c>
      <c r="B75" s="8" t="n"/>
      <c r="C75" s="8">
        <f>IF(B75="","",VLOOKUP(B75,'F01 - _Données Collaborateurs'!$B$6:$F$20,5,FALSE))</f>
        <v/>
      </c>
      <c r="D75" s="8" t="n"/>
      <c r="E75" s="8" t="n"/>
      <c r="F75" s="8" t="n"/>
      <c r="G75" s="8" t="n"/>
      <c r="H75" s="8" t="n"/>
      <c r="I75" s="8" t="n"/>
      <c r="J75" s="8" t="n"/>
      <c r="K75" s="8">
        <f>IF(B75="","",IFERROR(VLOOKUP(B75,'F01 - _Données Collaborateurs'!$B$6:$H$20,6,FALSE),""))</f>
        <v/>
      </c>
      <c r="L75" s="8">
        <f>IF(I75="","",IF(I75-D75&gt;15,"Traitement lent","Délai OK"))</f>
        <v/>
      </c>
      <c r="M75" s="8" t="n"/>
      <c r="N75" s="8" t="n"/>
    </row>
    <row r="76" ht="22" customHeight="1">
      <c r="A76" s="5">
        <f>IF(B76="","",IF(COUNTA($A$6:A76)=0,"SUG-"&amp;TEXT(COUNTA($B$6:B76),"000"),"SUG-"&amp;TEXT(ROW()-5,"000")))</f>
        <v/>
      </c>
      <c r="B76" s="5" t="n"/>
      <c r="C76" s="5">
        <f>IF(B76="","",VLOOKUP(B76,'F01 - _Données Collaborateurs'!$B$6:$F$20,5,FALSE))</f>
        <v/>
      </c>
      <c r="D76" s="5" t="n"/>
      <c r="E76" s="5" t="n"/>
      <c r="F76" s="5" t="n"/>
      <c r="G76" s="5" t="n"/>
      <c r="H76" s="5" t="n"/>
      <c r="I76" s="5" t="n"/>
      <c r="J76" s="5" t="n"/>
      <c r="K76" s="5">
        <f>IF(B76="","",IFERROR(VLOOKUP(B76,'F01 - _Données Collaborateurs'!$B$6:$H$20,6,FALSE),""))</f>
        <v/>
      </c>
      <c r="L76" s="5">
        <f>IF(I76="","",IF(I76-D76&gt;15,"Traitement lent","Délai OK"))</f>
        <v/>
      </c>
      <c r="M76" s="5" t="n"/>
      <c r="N76" s="5" t="n"/>
    </row>
    <row r="77" ht="22" customHeight="1">
      <c r="A77" s="8">
        <f>IF(B77="","",IF(COUNTA($A$6:A77)=0,"SUG-"&amp;TEXT(COUNTA($B$6:B77),"000"),"SUG-"&amp;TEXT(ROW()-5,"000")))</f>
        <v/>
      </c>
      <c r="B77" s="8" t="n"/>
      <c r="C77" s="8">
        <f>IF(B77="","",VLOOKUP(B77,'F01 - _Données Collaborateurs'!$B$6:$F$20,5,FALSE))</f>
        <v/>
      </c>
      <c r="D77" s="8" t="n"/>
      <c r="E77" s="8" t="n"/>
      <c r="F77" s="8" t="n"/>
      <c r="G77" s="8" t="n"/>
      <c r="H77" s="8" t="n"/>
      <c r="I77" s="8" t="n"/>
      <c r="J77" s="8" t="n"/>
      <c r="K77" s="8">
        <f>IF(B77="","",IFERROR(VLOOKUP(B77,'F01 - _Données Collaborateurs'!$B$6:$H$20,6,FALSE),""))</f>
        <v/>
      </c>
      <c r="L77" s="8">
        <f>IF(I77="","",IF(I77-D77&gt;15,"Traitement lent","Délai OK"))</f>
        <v/>
      </c>
      <c r="M77" s="8" t="n"/>
      <c r="N77" s="8" t="n"/>
    </row>
    <row r="78" ht="22" customHeight="1">
      <c r="A78" s="5">
        <f>IF(B78="","",IF(COUNTA($A$6:A78)=0,"SUG-"&amp;TEXT(COUNTA($B$6:B78),"000"),"SUG-"&amp;TEXT(ROW()-5,"000")))</f>
        <v/>
      </c>
      <c r="B78" s="5" t="n"/>
      <c r="C78" s="5">
        <f>IF(B78="","",VLOOKUP(B78,'F01 - _Données Collaborateurs'!$B$6:$F$20,5,FALSE))</f>
        <v/>
      </c>
      <c r="D78" s="5" t="n"/>
      <c r="E78" s="5" t="n"/>
      <c r="F78" s="5" t="n"/>
      <c r="G78" s="5" t="n"/>
      <c r="H78" s="5" t="n"/>
      <c r="I78" s="5" t="n"/>
      <c r="J78" s="5" t="n"/>
      <c r="K78" s="5">
        <f>IF(B78="","",IFERROR(VLOOKUP(B78,'F01 - _Données Collaborateurs'!$B$6:$H$20,6,FALSE),""))</f>
        <v/>
      </c>
      <c r="L78" s="5">
        <f>IF(I78="","",IF(I78-D78&gt;15,"Traitement lent","Délai OK"))</f>
        <v/>
      </c>
      <c r="M78" s="5" t="n"/>
      <c r="N78" s="5" t="n"/>
    </row>
    <row r="79" ht="22" customHeight="1">
      <c r="A79" s="8">
        <f>IF(B79="","",IF(COUNTA($A$6:A79)=0,"SUG-"&amp;TEXT(COUNTA($B$6:B79),"000"),"SUG-"&amp;TEXT(ROW()-5,"000")))</f>
        <v/>
      </c>
      <c r="B79" s="8" t="n"/>
      <c r="C79" s="8">
        <f>IF(B79="","",VLOOKUP(B79,'F01 - _Données Collaborateurs'!$B$6:$F$20,5,FALSE))</f>
        <v/>
      </c>
      <c r="D79" s="8" t="n"/>
      <c r="E79" s="8" t="n"/>
      <c r="F79" s="8" t="n"/>
      <c r="G79" s="8" t="n"/>
      <c r="H79" s="8" t="n"/>
      <c r="I79" s="8" t="n"/>
      <c r="J79" s="8" t="n"/>
      <c r="K79" s="8">
        <f>IF(B79="","",IFERROR(VLOOKUP(B79,'F01 - _Données Collaborateurs'!$B$6:$H$20,6,FALSE),""))</f>
        <v/>
      </c>
      <c r="L79" s="8">
        <f>IF(I79="","",IF(I79-D79&gt;15,"Traitement lent","Délai OK"))</f>
        <v/>
      </c>
      <c r="M79" s="8" t="n"/>
      <c r="N79" s="8" t="n"/>
    </row>
    <row r="80" ht="22" customHeight="1">
      <c r="A80" s="5">
        <f>IF(B80="","",IF(COUNTA($A$6:A80)=0,"SUG-"&amp;TEXT(COUNTA($B$6:B80),"000"),"SUG-"&amp;TEXT(ROW()-5,"000")))</f>
        <v/>
      </c>
      <c r="B80" s="5" t="n"/>
      <c r="C80" s="5">
        <f>IF(B80="","",VLOOKUP(B80,'F01 - _Données Collaborateurs'!$B$6:$F$20,5,FALSE))</f>
        <v/>
      </c>
      <c r="D80" s="5" t="n"/>
      <c r="E80" s="5" t="n"/>
      <c r="F80" s="5" t="n"/>
      <c r="G80" s="5" t="n"/>
      <c r="H80" s="5" t="n"/>
      <c r="I80" s="5" t="n"/>
      <c r="J80" s="5" t="n"/>
      <c r="K80" s="5">
        <f>IF(B80="","",IFERROR(VLOOKUP(B80,'F01 - _Données Collaborateurs'!$B$6:$H$20,6,FALSE),""))</f>
        <v/>
      </c>
      <c r="L80" s="5">
        <f>IF(I80="","",IF(I80-D80&gt;15,"Traitement lent","Délai OK"))</f>
        <v/>
      </c>
      <c r="M80" s="5" t="n"/>
      <c r="N80" s="5" t="n"/>
    </row>
    <row r="81" ht="22" customHeight="1">
      <c r="A81" s="8">
        <f>IF(B81="","",IF(COUNTA($A$6:A81)=0,"SUG-"&amp;TEXT(COUNTA($B$6:B81),"000"),"SUG-"&amp;TEXT(ROW()-5,"000")))</f>
        <v/>
      </c>
      <c r="B81" s="8" t="n"/>
      <c r="C81" s="8">
        <f>IF(B81="","",VLOOKUP(B81,'F01 - _Données Collaborateurs'!$B$6:$F$20,5,FALSE))</f>
        <v/>
      </c>
      <c r="D81" s="8" t="n"/>
      <c r="E81" s="8" t="n"/>
      <c r="F81" s="8" t="n"/>
      <c r="G81" s="8" t="n"/>
      <c r="H81" s="8" t="n"/>
      <c r="I81" s="8" t="n"/>
      <c r="J81" s="8" t="n"/>
      <c r="K81" s="8">
        <f>IF(B81="","",IFERROR(VLOOKUP(B81,'F01 - _Données Collaborateurs'!$B$6:$H$20,6,FALSE),""))</f>
        <v/>
      </c>
      <c r="L81" s="8">
        <f>IF(I81="","",IF(I81-D81&gt;15,"Traitement lent","Délai OK"))</f>
        <v/>
      </c>
      <c r="M81" s="8" t="n"/>
      <c r="N81" s="8" t="n"/>
    </row>
    <row r="82" ht="22" customHeight="1">
      <c r="A82" s="5">
        <f>IF(B82="","",IF(COUNTA($A$6:A82)=0,"SUG-"&amp;TEXT(COUNTA($B$6:B82),"000"),"SUG-"&amp;TEXT(ROW()-5,"000")))</f>
        <v/>
      </c>
      <c r="B82" s="5" t="n"/>
      <c r="C82" s="5">
        <f>IF(B82="","",VLOOKUP(B82,'F01 - _Données Collaborateurs'!$B$6:$F$20,5,FALSE))</f>
        <v/>
      </c>
      <c r="D82" s="5" t="n"/>
      <c r="E82" s="5" t="n"/>
      <c r="F82" s="5" t="n"/>
      <c r="G82" s="5" t="n"/>
      <c r="H82" s="5" t="n"/>
      <c r="I82" s="5" t="n"/>
      <c r="J82" s="5" t="n"/>
      <c r="K82" s="5">
        <f>IF(B82="","",IFERROR(VLOOKUP(B82,'F01 - _Données Collaborateurs'!$B$6:$H$20,6,FALSE),""))</f>
        <v/>
      </c>
      <c r="L82" s="5">
        <f>IF(I82="","",IF(I82-D82&gt;15,"Traitement lent","Délai OK"))</f>
        <v/>
      </c>
      <c r="M82" s="5" t="n"/>
      <c r="N82" s="5" t="n"/>
    </row>
    <row r="83" ht="22" customHeight="1">
      <c r="A83" s="8">
        <f>IF(B83="","",IF(COUNTA($A$6:A83)=0,"SUG-"&amp;TEXT(COUNTA($B$6:B83),"000"),"SUG-"&amp;TEXT(ROW()-5,"000")))</f>
        <v/>
      </c>
      <c r="B83" s="8" t="n"/>
      <c r="C83" s="8">
        <f>IF(B83="","",VLOOKUP(B83,'F01 - _Données Collaborateurs'!$B$6:$F$20,5,FALSE))</f>
        <v/>
      </c>
      <c r="D83" s="8" t="n"/>
      <c r="E83" s="8" t="n"/>
      <c r="F83" s="8" t="n"/>
      <c r="G83" s="8" t="n"/>
      <c r="H83" s="8" t="n"/>
      <c r="I83" s="8" t="n"/>
      <c r="J83" s="8" t="n"/>
      <c r="K83" s="8">
        <f>IF(B83="","",IFERROR(VLOOKUP(B83,'F01 - _Données Collaborateurs'!$B$6:$H$20,6,FALSE),""))</f>
        <v/>
      </c>
      <c r="L83" s="8">
        <f>IF(I83="","",IF(I83-D83&gt;15,"Traitement lent","Délai OK"))</f>
        <v/>
      </c>
      <c r="M83" s="8" t="n"/>
      <c r="N83" s="8" t="n"/>
    </row>
    <row r="84" ht="22" customHeight="1">
      <c r="A84" s="5">
        <f>IF(B84="","",IF(COUNTA($A$6:A84)=0,"SUG-"&amp;TEXT(COUNTA($B$6:B84),"000"),"SUG-"&amp;TEXT(ROW()-5,"000")))</f>
        <v/>
      </c>
      <c r="B84" s="5" t="n"/>
      <c r="C84" s="5">
        <f>IF(B84="","",VLOOKUP(B84,'F01 - _Données Collaborateurs'!$B$6:$F$20,5,FALSE))</f>
        <v/>
      </c>
      <c r="D84" s="5" t="n"/>
      <c r="E84" s="5" t="n"/>
      <c r="F84" s="5" t="n"/>
      <c r="G84" s="5" t="n"/>
      <c r="H84" s="5" t="n"/>
      <c r="I84" s="5" t="n"/>
      <c r="J84" s="5" t="n"/>
      <c r="K84" s="5">
        <f>IF(B84="","",IFERROR(VLOOKUP(B84,'F01 - _Données Collaborateurs'!$B$6:$H$20,6,FALSE),""))</f>
        <v/>
      </c>
      <c r="L84" s="5">
        <f>IF(I84="","",IF(I84-D84&gt;15,"Traitement lent","Délai OK"))</f>
        <v/>
      </c>
      <c r="M84" s="5" t="n"/>
      <c r="N84" s="5" t="n"/>
    </row>
    <row r="85" ht="22" customHeight="1">
      <c r="A85" s="8">
        <f>IF(B85="","",IF(COUNTA($A$6:A85)=0,"SUG-"&amp;TEXT(COUNTA($B$6:B85),"000"),"SUG-"&amp;TEXT(ROW()-5,"000")))</f>
        <v/>
      </c>
      <c r="B85" s="8" t="n"/>
      <c r="C85" s="8">
        <f>IF(B85="","",VLOOKUP(B85,'F01 - _Données Collaborateurs'!$B$6:$F$20,5,FALSE))</f>
        <v/>
      </c>
      <c r="D85" s="8" t="n"/>
      <c r="E85" s="8" t="n"/>
      <c r="F85" s="8" t="n"/>
      <c r="G85" s="8" t="n"/>
      <c r="H85" s="8" t="n"/>
      <c r="I85" s="8" t="n"/>
      <c r="J85" s="8" t="n"/>
      <c r="K85" s="8">
        <f>IF(B85="","",IFERROR(VLOOKUP(B85,'F01 - _Données Collaborateurs'!$B$6:$H$20,6,FALSE),""))</f>
        <v/>
      </c>
      <c r="L85" s="8">
        <f>IF(I85="","",IF(I85-D85&gt;15,"Traitement lent","Délai OK"))</f>
        <v/>
      </c>
      <c r="M85" s="8" t="n"/>
      <c r="N85" s="8" t="n"/>
    </row>
    <row r="86" ht="22" customHeight="1">
      <c r="A86" s="5">
        <f>IF(B86="","",IF(COUNTA($A$6:A86)=0,"SUG-"&amp;TEXT(COUNTA($B$6:B86),"000"),"SUG-"&amp;TEXT(ROW()-5,"000")))</f>
        <v/>
      </c>
      <c r="B86" s="5" t="n"/>
      <c r="C86" s="5">
        <f>IF(B86="","",VLOOKUP(B86,'F01 - _Données Collaborateurs'!$B$6:$F$20,5,FALSE))</f>
        <v/>
      </c>
      <c r="D86" s="5" t="n"/>
      <c r="E86" s="5" t="n"/>
      <c r="F86" s="5" t="n"/>
      <c r="G86" s="5" t="n"/>
      <c r="H86" s="5" t="n"/>
      <c r="I86" s="5" t="n"/>
      <c r="J86" s="5" t="n"/>
      <c r="K86" s="5">
        <f>IF(B86="","",IFERROR(VLOOKUP(B86,'F01 - _Données Collaborateurs'!$B$6:$H$20,6,FALSE),""))</f>
        <v/>
      </c>
      <c r="L86" s="5">
        <f>IF(I86="","",IF(I86-D86&gt;15,"Traitement lent","Délai OK"))</f>
        <v/>
      </c>
      <c r="M86" s="5" t="n"/>
      <c r="N86" s="5" t="n"/>
    </row>
    <row r="87" ht="22" customHeight="1">
      <c r="A87" s="8">
        <f>IF(B87="","",IF(COUNTA($A$6:A87)=0,"SUG-"&amp;TEXT(COUNTA($B$6:B87),"000"),"SUG-"&amp;TEXT(ROW()-5,"000")))</f>
        <v/>
      </c>
      <c r="B87" s="8" t="n"/>
      <c r="C87" s="8">
        <f>IF(B87="","",VLOOKUP(B87,'F01 - _Données Collaborateurs'!$B$6:$F$20,5,FALSE))</f>
        <v/>
      </c>
      <c r="D87" s="8" t="n"/>
      <c r="E87" s="8" t="n"/>
      <c r="F87" s="8" t="n"/>
      <c r="G87" s="8" t="n"/>
      <c r="H87" s="8" t="n"/>
      <c r="I87" s="8" t="n"/>
      <c r="J87" s="8" t="n"/>
      <c r="K87" s="8">
        <f>IF(B87="","",IFERROR(VLOOKUP(B87,'F01 - _Données Collaborateurs'!$B$6:$H$20,6,FALSE),""))</f>
        <v/>
      </c>
      <c r="L87" s="8">
        <f>IF(I87="","",IF(I87-D87&gt;15,"Traitement lent","Délai OK"))</f>
        <v/>
      </c>
      <c r="M87" s="8" t="n"/>
      <c r="N87" s="8" t="n"/>
    </row>
    <row r="88" ht="22" customHeight="1">
      <c r="A88" s="5">
        <f>IF(B88="","",IF(COUNTA($A$6:A88)=0,"SUG-"&amp;TEXT(COUNTA($B$6:B88),"000"),"SUG-"&amp;TEXT(ROW()-5,"000")))</f>
        <v/>
      </c>
      <c r="B88" s="5" t="n"/>
      <c r="C88" s="5">
        <f>IF(B88="","",VLOOKUP(B88,'F01 - _Données Collaborateurs'!$B$6:$F$20,5,FALSE))</f>
        <v/>
      </c>
      <c r="D88" s="5" t="n"/>
      <c r="E88" s="5" t="n"/>
      <c r="F88" s="5" t="n"/>
      <c r="G88" s="5" t="n"/>
      <c r="H88" s="5" t="n"/>
      <c r="I88" s="5" t="n"/>
      <c r="J88" s="5" t="n"/>
      <c r="K88" s="5">
        <f>IF(B88="","",IFERROR(VLOOKUP(B88,'F01 - _Données Collaborateurs'!$B$6:$H$20,6,FALSE),""))</f>
        <v/>
      </c>
      <c r="L88" s="5">
        <f>IF(I88="","",IF(I88-D88&gt;15,"Traitement lent","Délai OK"))</f>
        <v/>
      </c>
      <c r="M88" s="5" t="n"/>
      <c r="N88" s="5" t="n"/>
    </row>
    <row r="89" ht="22" customHeight="1">
      <c r="A89" s="8">
        <f>IF(B89="","",IF(COUNTA($A$6:A89)=0,"SUG-"&amp;TEXT(COUNTA($B$6:B89),"000"),"SUG-"&amp;TEXT(ROW()-5,"000")))</f>
        <v/>
      </c>
      <c r="B89" s="8" t="n"/>
      <c r="C89" s="8">
        <f>IF(B89="","",VLOOKUP(B89,'F01 - _Données Collaborateurs'!$B$6:$F$20,5,FALSE))</f>
        <v/>
      </c>
      <c r="D89" s="8" t="n"/>
      <c r="E89" s="8" t="n"/>
      <c r="F89" s="8" t="n"/>
      <c r="G89" s="8" t="n"/>
      <c r="H89" s="8" t="n"/>
      <c r="I89" s="8" t="n"/>
      <c r="J89" s="8" t="n"/>
      <c r="K89" s="8">
        <f>IF(B89="","",IFERROR(VLOOKUP(B89,'F01 - _Données Collaborateurs'!$B$6:$H$20,6,FALSE),""))</f>
        <v/>
      </c>
      <c r="L89" s="8">
        <f>IF(I89="","",IF(I89-D89&gt;15,"Traitement lent","Délai OK"))</f>
        <v/>
      </c>
      <c r="M89" s="8" t="n"/>
      <c r="N89" s="8" t="n"/>
    </row>
    <row r="90" ht="22" customHeight="1">
      <c r="A90" s="5">
        <f>IF(B90="","",IF(COUNTA($A$6:A90)=0,"SUG-"&amp;TEXT(COUNTA($B$6:B90),"000"),"SUG-"&amp;TEXT(ROW()-5,"000")))</f>
        <v/>
      </c>
      <c r="B90" s="5" t="n"/>
      <c r="C90" s="5">
        <f>IF(B90="","",VLOOKUP(B90,'F01 - _Données Collaborateurs'!$B$6:$F$20,5,FALSE))</f>
        <v/>
      </c>
      <c r="D90" s="5" t="n"/>
      <c r="E90" s="5" t="n"/>
      <c r="F90" s="5" t="n"/>
      <c r="G90" s="5" t="n"/>
      <c r="H90" s="5" t="n"/>
      <c r="I90" s="5" t="n"/>
      <c r="J90" s="5" t="n"/>
      <c r="K90" s="5">
        <f>IF(B90="","",IFERROR(VLOOKUP(B90,'F01 - _Données Collaborateurs'!$B$6:$H$20,6,FALSE),""))</f>
        <v/>
      </c>
      <c r="L90" s="5">
        <f>IF(I90="","",IF(I90-D90&gt;15,"Traitement lent","Délai OK"))</f>
        <v/>
      </c>
      <c r="M90" s="5" t="n"/>
      <c r="N90" s="5" t="n"/>
    </row>
    <row r="91" ht="22" customHeight="1">
      <c r="A91" s="8">
        <f>IF(B91="","",IF(COUNTA($A$6:A91)=0,"SUG-"&amp;TEXT(COUNTA($B$6:B91),"000"),"SUG-"&amp;TEXT(ROW()-5,"000")))</f>
        <v/>
      </c>
      <c r="B91" s="8" t="n"/>
      <c r="C91" s="8">
        <f>IF(B91="","",VLOOKUP(B91,'F01 - _Données Collaborateurs'!$B$6:$F$20,5,FALSE))</f>
        <v/>
      </c>
      <c r="D91" s="8" t="n"/>
      <c r="E91" s="8" t="n"/>
      <c r="F91" s="8" t="n"/>
      <c r="G91" s="8" t="n"/>
      <c r="H91" s="8" t="n"/>
      <c r="I91" s="8" t="n"/>
      <c r="J91" s="8" t="n"/>
      <c r="K91" s="8">
        <f>IF(B91="","",IFERROR(VLOOKUP(B91,'F01 - _Données Collaborateurs'!$B$6:$H$20,6,FALSE),""))</f>
        <v/>
      </c>
      <c r="L91" s="8">
        <f>IF(I91="","",IF(I91-D91&gt;15,"Traitement lent","Délai OK"))</f>
        <v/>
      </c>
      <c r="M91" s="8" t="n"/>
      <c r="N91" s="8" t="n"/>
    </row>
    <row r="92" ht="22" customHeight="1">
      <c r="A92" s="5">
        <f>IF(B92="","",IF(COUNTA($A$6:A92)=0,"SUG-"&amp;TEXT(COUNTA($B$6:B92),"000"),"SUG-"&amp;TEXT(ROW()-5,"000")))</f>
        <v/>
      </c>
      <c r="B92" s="5" t="n"/>
      <c r="C92" s="5">
        <f>IF(B92="","",VLOOKUP(B92,'F01 - _Données Collaborateurs'!$B$6:$F$20,5,FALSE))</f>
        <v/>
      </c>
      <c r="D92" s="5" t="n"/>
      <c r="E92" s="5" t="n"/>
      <c r="F92" s="5" t="n"/>
      <c r="G92" s="5" t="n"/>
      <c r="H92" s="5" t="n"/>
      <c r="I92" s="5" t="n"/>
      <c r="J92" s="5" t="n"/>
      <c r="K92" s="5">
        <f>IF(B92="","",IFERROR(VLOOKUP(B92,'F01 - _Données Collaborateurs'!$B$6:$H$20,6,FALSE),""))</f>
        <v/>
      </c>
      <c r="L92" s="5">
        <f>IF(I92="","",IF(I92-D92&gt;15,"Traitement lent","Délai OK"))</f>
        <v/>
      </c>
      <c r="M92" s="5" t="n"/>
      <c r="N92" s="5" t="n"/>
    </row>
    <row r="93" ht="22" customHeight="1">
      <c r="A93" s="8">
        <f>IF(B93="","",IF(COUNTA($A$6:A93)=0,"SUG-"&amp;TEXT(COUNTA($B$6:B93),"000"),"SUG-"&amp;TEXT(ROW()-5,"000")))</f>
        <v/>
      </c>
      <c r="B93" s="8" t="n"/>
      <c r="C93" s="8">
        <f>IF(B93="","",VLOOKUP(B93,'F01 - _Données Collaborateurs'!$B$6:$F$20,5,FALSE))</f>
        <v/>
      </c>
      <c r="D93" s="8" t="n"/>
      <c r="E93" s="8" t="n"/>
      <c r="F93" s="8" t="n"/>
      <c r="G93" s="8" t="n"/>
      <c r="H93" s="8" t="n"/>
      <c r="I93" s="8" t="n"/>
      <c r="J93" s="8" t="n"/>
      <c r="K93" s="8">
        <f>IF(B93="","",IFERROR(VLOOKUP(B93,'F01 - _Données Collaborateurs'!$B$6:$H$20,6,FALSE),""))</f>
        <v/>
      </c>
      <c r="L93" s="8">
        <f>IF(I93="","",IF(I93-D93&gt;15,"Traitement lent","Délai OK"))</f>
        <v/>
      </c>
      <c r="M93" s="8" t="n"/>
      <c r="N93" s="8" t="n"/>
    </row>
    <row r="94" ht="22" customHeight="1">
      <c r="A94" s="5">
        <f>IF(B94="","",IF(COUNTA($A$6:A94)=0,"SUG-"&amp;TEXT(COUNTA($B$6:B94),"000"),"SUG-"&amp;TEXT(ROW()-5,"000")))</f>
        <v/>
      </c>
      <c r="B94" s="5" t="n"/>
      <c r="C94" s="5">
        <f>IF(B94="","",VLOOKUP(B94,'F01 - _Données Collaborateurs'!$B$6:$F$20,5,FALSE))</f>
        <v/>
      </c>
      <c r="D94" s="5" t="n"/>
      <c r="E94" s="5" t="n"/>
      <c r="F94" s="5" t="n"/>
      <c r="G94" s="5" t="n"/>
      <c r="H94" s="5" t="n"/>
      <c r="I94" s="5" t="n"/>
      <c r="J94" s="5" t="n"/>
      <c r="K94" s="5">
        <f>IF(B94="","",IFERROR(VLOOKUP(B94,'F01 - _Données Collaborateurs'!$B$6:$H$20,6,FALSE),""))</f>
        <v/>
      </c>
      <c r="L94" s="5">
        <f>IF(I94="","",IF(I94-D94&gt;15,"Traitement lent","Délai OK"))</f>
        <v/>
      </c>
      <c r="M94" s="5" t="n"/>
      <c r="N94" s="5" t="n"/>
    </row>
    <row r="95" ht="22" customHeight="1">
      <c r="A95" s="8">
        <f>IF(B95="","",IF(COUNTA($A$6:A95)=0,"SUG-"&amp;TEXT(COUNTA($B$6:B95),"000"),"SUG-"&amp;TEXT(ROW()-5,"000")))</f>
        <v/>
      </c>
      <c r="B95" s="8" t="n"/>
      <c r="C95" s="8">
        <f>IF(B95="","",VLOOKUP(B95,'F01 - _Données Collaborateurs'!$B$6:$F$20,5,FALSE))</f>
        <v/>
      </c>
      <c r="D95" s="8" t="n"/>
      <c r="E95" s="8" t="n"/>
      <c r="F95" s="8" t="n"/>
      <c r="G95" s="8" t="n"/>
      <c r="H95" s="8" t="n"/>
      <c r="I95" s="8" t="n"/>
      <c r="J95" s="8" t="n"/>
      <c r="K95" s="8">
        <f>IF(B95="","",IFERROR(VLOOKUP(B95,'F01 - _Données Collaborateurs'!$B$6:$H$20,6,FALSE),""))</f>
        <v/>
      </c>
      <c r="L95" s="8">
        <f>IF(I95="","",IF(I95-D95&gt;15,"Traitement lent","Délai OK"))</f>
        <v/>
      </c>
      <c r="M95" s="8" t="n"/>
      <c r="N95" s="8" t="n"/>
    </row>
    <row r="96" ht="22" customHeight="1">
      <c r="A96" s="5">
        <f>IF(B96="","",IF(COUNTA($A$6:A96)=0,"SUG-"&amp;TEXT(COUNTA($B$6:B96),"000"),"SUG-"&amp;TEXT(ROW()-5,"000")))</f>
        <v/>
      </c>
      <c r="B96" s="5" t="n"/>
      <c r="C96" s="5">
        <f>IF(B96="","",VLOOKUP(B96,'F01 - _Données Collaborateurs'!$B$6:$F$20,5,FALSE))</f>
        <v/>
      </c>
      <c r="D96" s="5" t="n"/>
      <c r="E96" s="5" t="n"/>
      <c r="F96" s="5" t="n"/>
      <c r="G96" s="5" t="n"/>
      <c r="H96" s="5" t="n"/>
      <c r="I96" s="5" t="n"/>
      <c r="J96" s="5" t="n"/>
      <c r="K96" s="5">
        <f>IF(B96="","",IFERROR(VLOOKUP(B96,'F01 - _Données Collaborateurs'!$B$6:$H$20,6,FALSE),""))</f>
        <v/>
      </c>
      <c r="L96" s="5">
        <f>IF(I96="","",IF(I96-D96&gt;15,"Traitement lent","Délai OK"))</f>
        <v/>
      </c>
      <c r="M96" s="5" t="n"/>
      <c r="N96" s="5" t="n"/>
    </row>
    <row r="97" ht="22" customHeight="1">
      <c r="A97" s="8">
        <f>IF(B97="","",IF(COUNTA($A$6:A97)=0,"SUG-"&amp;TEXT(COUNTA($B$6:B97),"000"),"SUG-"&amp;TEXT(ROW()-5,"000")))</f>
        <v/>
      </c>
      <c r="B97" s="8" t="n"/>
      <c r="C97" s="8">
        <f>IF(B97="","",VLOOKUP(B97,'F01 - _Données Collaborateurs'!$B$6:$F$20,5,FALSE))</f>
        <v/>
      </c>
      <c r="D97" s="8" t="n"/>
      <c r="E97" s="8" t="n"/>
      <c r="F97" s="8" t="n"/>
      <c r="G97" s="8" t="n"/>
      <c r="H97" s="8" t="n"/>
      <c r="I97" s="8" t="n"/>
      <c r="J97" s="8" t="n"/>
      <c r="K97" s="8">
        <f>IF(B97="","",IFERROR(VLOOKUP(B97,'F01 - _Données Collaborateurs'!$B$6:$H$20,6,FALSE),""))</f>
        <v/>
      </c>
      <c r="L97" s="8">
        <f>IF(I97="","",IF(I97-D97&gt;15,"Traitement lent","Délai OK"))</f>
        <v/>
      </c>
      <c r="M97" s="8" t="n"/>
      <c r="N97" s="8" t="n"/>
    </row>
    <row r="98" ht="22" customHeight="1">
      <c r="A98" s="5">
        <f>IF(B98="","",IF(COUNTA($A$6:A98)=0,"SUG-"&amp;TEXT(COUNTA($B$6:B98),"000"),"SUG-"&amp;TEXT(ROW()-5,"000")))</f>
        <v/>
      </c>
      <c r="B98" s="5" t="n"/>
      <c r="C98" s="5">
        <f>IF(B98="","",VLOOKUP(B98,'F01 - _Données Collaborateurs'!$B$6:$F$20,5,FALSE))</f>
        <v/>
      </c>
      <c r="D98" s="5" t="n"/>
      <c r="E98" s="5" t="n"/>
      <c r="F98" s="5" t="n"/>
      <c r="G98" s="5" t="n"/>
      <c r="H98" s="5" t="n"/>
      <c r="I98" s="5" t="n"/>
      <c r="J98" s="5" t="n"/>
      <c r="K98" s="5">
        <f>IF(B98="","",IFERROR(VLOOKUP(B98,'F01 - _Données Collaborateurs'!$B$6:$H$20,6,FALSE),""))</f>
        <v/>
      </c>
      <c r="L98" s="5">
        <f>IF(I98="","",IF(I98-D98&gt;15,"Traitement lent","Délai OK"))</f>
        <v/>
      </c>
      <c r="M98" s="5" t="n"/>
      <c r="N98" s="5" t="n"/>
    </row>
    <row r="99" ht="22" customHeight="1">
      <c r="A99" s="8">
        <f>IF(B99="","",IF(COUNTA($A$6:A99)=0,"SUG-"&amp;TEXT(COUNTA($B$6:B99),"000"),"SUG-"&amp;TEXT(ROW()-5,"000")))</f>
        <v/>
      </c>
      <c r="B99" s="8" t="n"/>
      <c r="C99" s="8">
        <f>IF(B99="","",VLOOKUP(B99,'F01 - _Données Collaborateurs'!$B$6:$F$20,5,FALSE))</f>
        <v/>
      </c>
      <c r="D99" s="8" t="n"/>
      <c r="E99" s="8" t="n"/>
      <c r="F99" s="8" t="n"/>
      <c r="G99" s="8" t="n"/>
      <c r="H99" s="8" t="n"/>
      <c r="I99" s="8" t="n"/>
      <c r="J99" s="8" t="n"/>
      <c r="K99" s="8">
        <f>IF(B99="","",IFERROR(VLOOKUP(B99,'F01 - _Données Collaborateurs'!$B$6:$H$20,6,FALSE),""))</f>
        <v/>
      </c>
      <c r="L99" s="8">
        <f>IF(I99="","",IF(I99-D99&gt;15,"Traitement lent","Délai OK"))</f>
        <v/>
      </c>
      <c r="M99" s="8" t="n"/>
      <c r="N99" s="8" t="n"/>
    </row>
    <row r="100" ht="22" customHeight="1">
      <c r="A100" s="5">
        <f>IF(B100="","",IF(COUNTA($A$6:A100)=0,"SUG-"&amp;TEXT(COUNTA($B$6:B100),"000"),"SUG-"&amp;TEXT(ROW()-5,"000")))</f>
        <v/>
      </c>
      <c r="B100" s="5" t="n"/>
      <c r="C100" s="5">
        <f>IF(B100="","",VLOOKUP(B100,'F01 - _Données Collaborateurs'!$B$6:$F$20,5,FALSE))</f>
        <v/>
      </c>
      <c r="D100" s="5" t="n"/>
      <c r="E100" s="5" t="n"/>
      <c r="F100" s="5" t="n"/>
      <c r="G100" s="5" t="n"/>
      <c r="H100" s="5" t="n"/>
      <c r="I100" s="5" t="n"/>
      <c r="J100" s="5" t="n"/>
      <c r="K100" s="5">
        <f>IF(B100="","",IFERROR(VLOOKUP(B100,'F01 - _Données Collaborateurs'!$B$6:$H$20,6,FALSE),""))</f>
        <v/>
      </c>
      <c r="L100" s="5">
        <f>IF(I100="","",IF(I100-D100&gt;15,"Traitement lent","Délai OK"))</f>
        <v/>
      </c>
      <c r="M100" s="5" t="n"/>
      <c r="N100" s="5" t="n"/>
    </row>
    <row r="101" ht="22" customHeight="1">
      <c r="A101" s="8">
        <f>IF(B101="","",IF(COUNTA($A$6:A101)=0,"SUG-"&amp;TEXT(COUNTA($B$6:B101),"000"),"SUG-"&amp;TEXT(ROW()-5,"000")))</f>
        <v/>
      </c>
      <c r="B101" s="8" t="n"/>
      <c r="C101" s="8">
        <f>IF(B101="","",VLOOKUP(B101,'F01 - _Données Collaborateurs'!$B$6:$F$20,5,FALSE))</f>
        <v/>
      </c>
      <c r="D101" s="8" t="n"/>
      <c r="E101" s="8" t="n"/>
      <c r="F101" s="8" t="n"/>
      <c r="G101" s="8" t="n"/>
      <c r="H101" s="8" t="n"/>
      <c r="I101" s="8" t="n"/>
      <c r="J101" s="8" t="n"/>
      <c r="K101" s="8">
        <f>IF(B101="","",IFERROR(VLOOKUP(B101,'F01 - _Données Collaborateurs'!$B$6:$H$20,6,FALSE),""))</f>
        <v/>
      </c>
      <c r="L101" s="8">
        <f>IF(I101="","",IF(I101-D101&gt;15,"Traitement lent","Délai OK"))</f>
        <v/>
      </c>
      <c r="M101" s="8" t="n"/>
      <c r="N101" s="8" t="n"/>
    </row>
    <row r="102" ht="22" customHeight="1">
      <c r="A102" s="5">
        <f>IF(B102="","",IF(COUNTA($A$6:A102)=0,"SUG-"&amp;TEXT(COUNTA($B$6:B102),"000"),"SUG-"&amp;TEXT(ROW()-5,"000")))</f>
        <v/>
      </c>
      <c r="B102" s="5" t="n"/>
      <c r="C102" s="5">
        <f>IF(B102="","",VLOOKUP(B102,'F01 - _Données Collaborateurs'!$B$6:$F$20,5,FALSE))</f>
        <v/>
      </c>
      <c r="D102" s="5" t="n"/>
      <c r="E102" s="5" t="n"/>
      <c r="F102" s="5" t="n"/>
      <c r="G102" s="5" t="n"/>
      <c r="H102" s="5" t="n"/>
      <c r="I102" s="5" t="n"/>
      <c r="J102" s="5" t="n"/>
      <c r="K102" s="5">
        <f>IF(B102="","",IFERROR(VLOOKUP(B102,'F01 - _Données Collaborateurs'!$B$6:$H$20,6,FALSE),""))</f>
        <v/>
      </c>
      <c r="L102" s="5">
        <f>IF(I102="","",IF(I102-D102&gt;15,"Traitement lent","Délai OK"))</f>
        <v/>
      </c>
      <c r="M102" s="5" t="n"/>
      <c r="N102" s="5" t="n"/>
    </row>
    <row r="103" ht="22" customHeight="1">
      <c r="A103" s="8">
        <f>IF(B103="","",IF(COUNTA($A$6:A103)=0,"SUG-"&amp;TEXT(COUNTA($B$6:B103),"000"),"SUG-"&amp;TEXT(ROW()-5,"000")))</f>
        <v/>
      </c>
      <c r="B103" s="8" t="n"/>
      <c r="C103" s="8">
        <f>IF(B103="","",VLOOKUP(B103,'F01 - _Données Collaborateurs'!$B$6:$F$20,5,FALSE))</f>
        <v/>
      </c>
      <c r="D103" s="8" t="n"/>
      <c r="E103" s="8" t="n"/>
      <c r="F103" s="8" t="n"/>
      <c r="G103" s="8" t="n"/>
      <c r="H103" s="8" t="n"/>
      <c r="I103" s="8" t="n"/>
      <c r="J103" s="8" t="n"/>
      <c r="K103" s="8">
        <f>IF(B103="","",IFERROR(VLOOKUP(B103,'F01 - _Données Collaborateurs'!$B$6:$H$20,6,FALSE),""))</f>
        <v/>
      </c>
      <c r="L103" s="8">
        <f>IF(I103="","",IF(I103-D103&gt;15,"Traitement lent","Délai OK"))</f>
        <v/>
      </c>
      <c r="M103" s="8" t="n"/>
      <c r="N103" s="8" t="n"/>
    </row>
    <row r="104" ht="22" customHeight="1">
      <c r="A104" s="5">
        <f>IF(B104="","",IF(COUNTA($A$6:A104)=0,"SUG-"&amp;TEXT(COUNTA($B$6:B104),"000"),"SUG-"&amp;TEXT(ROW()-5,"000")))</f>
        <v/>
      </c>
      <c r="B104" s="5" t="n"/>
      <c r="C104" s="5">
        <f>IF(B104="","",VLOOKUP(B104,'F01 - _Données Collaborateurs'!$B$6:$F$20,5,FALSE))</f>
        <v/>
      </c>
      <c r="D104" s="5" t="n"/>
      <c r="E104" s="5" t="n"/>
      <c r="F104" s="5" t="n"/>
      <c r="G104" s="5" t="n"/>
      <c r="H104" s="5" t="n"/>
      <c r="I104" s="5" t="n"/>
      <c r="J104" s="5" t="n"/>
      <c r="K104" s="5">
        <f>IF(B104="","",IFERROR(VLOOKUP(B104,'F01 - _Données Collaborateurs'!$B$6:$H$20,6,FALSE),""))</f>
        <v/>
      </c>
      <c r="L104" s="5">
        <f>IF(I104="","",IF(I104-D104&gt;15,"Traitement lent","Délai OK"))</f>
        <v/>
      </c>
      <c r="M104" s="5" t="n"/>
      <c r="N104" s="5" t="n"/>
    </row>
    <row r="105" ht="22" customHeight="1">
      <c r="A105" s="8">
        <f>IF(B105="","",IF(COUNTA($A$6:A105)=0,"SUG-"&amp;TEXT(COUNTA($B$6:B105),"000"),"SUG-"&amp;TEXT(ROW()-5,"000")))</f>
        <v/>
      </c>
      <c r="B105" s="8" t="n"/>
      <c r="C105" s="8">
        <f>IF(B105="","",VLOOKUP(B105,'F01 - _Données Collaborateurs'!$B$6:$F$20,5,FALSE))</f>
        <v/>
      </c>
      <c r="D105" s="8" t="n"/>
      <c r="E105" s="8" t="n"/>
      <c r="F105" s="8" t="n"/>
      <c r="G105" s="8" t="n"/>
      <c r="H105" s="8" t="n"/>
      <c r="I105" s="8" t="n"/>
      <c r="J105" s="8" t="n"/>
      <c r="K105" s="8">
        <f>IF(B105="","",IFERROR(VLOOKUP(B105,'F01 - _Données Collaborateurs'!$B$6:$H$20,6,FALSE),""))</f>
        <v/>
      </c>
      <c r="L105" s="8">
        <f>IF(I105="","",IF(I105-D105&gt;15,"Traitement lent","Délai OK"))</f>
        <v/>
      </c>
      <c r="M105" s="8" t="n"/>
      <c r="N105" s="8" t="n"/>
    </row>
    <row r="106" ht="22" customHeight="1">
      <c r="A106" s="5">
        <f>IF(B106="","",IF(COUNTA($A$6:A106)=0,"SUG-"&amp;TEXT(COUNTA($B$6:B106),"000"),"SUG-"&amp;TEXT(ROW()-5,"000")))</f>
        <v/>
      </c>
      <c r="B106" s="5" t="n"/>
      <c r="C106" s="5">
        <f>IF(B106="","",VLOOKUP(B106,'F01 - _Données Collaborateurs'!$B$6:$F$20,5,FALSE))</f>
        <v/>
      </c>
      <c r="D106" s="5" t="n"/>
      <c r="E106" s="5" t="n"/>
      <c r="F106" s="5" t="n"/>
      <c r="G106" s="5" t="n"/>
      <c r="H106" s="5" t="n"/>
      <c r="I106" s="5" t="n"/>
      <c r="J106" s="5" t="n"/>
      <c r="K106" s="5">
        <f>IF(B106="","",IFERROR(VLOOKUP(B106,'F01 - _Données Collaborateurs'!$B$6:$H$20,6,FALSE),""))</f>
        <v/>
      </c>
      <c r="L106" s="5">
        <f>IF(I106="","",IF(I106-D106&gt;15,"Traitement lent","Délai OK"))</f>
        <v/>
      </c>
      <c r="M106" s="5" t="n"/>
      <c r="N106" s="5" t="n"/>
    </row>
    <row r="107" ht="22" customHeight="1">
      <c r="A107" s="8">
        <f>IF(B107="","",IF(COUNTA($A$6:A107)=0,"SUG-"&amp;TEXT(COUNTA($B$6:B107),"000"),"SUG-"&amp;TEXT(ROW()-5,"000")))</f>
        <v/>
      </c>
      <c r="B107" s="8" t="n"/>
      <c r="C107" s="8">
        <f>IF(B107="","",VLOOKUP(B107,'F01 - _Données Collaborateurs'!$B$6:$F$20,5,FALSE))</f>
        <v/>
      </c>
      <c r="D107" s="8" t="n"/>
      <c r="E107" s="8" t="n"/>
      <c r="F107" s="8" t="n"/>
      <c r="G107" s="8" t="n"/>
      <c r="H107" s="8" t="n"/>
      <c r="I107" s="8" t="n"/>
      <c r="J107" s="8" t="n"/>
      <c r="K107" s="8">
        <f>IF(B107="","",IFERROR(VLOOKUP(B107,'F01 - _Données Collaborateurs'!$B$6:$H$20,6,FALSE),""))</f>
        <v/>
      </c>
      <c r="L107" s="8">
        <f>IF(I107="","",IF(I107-D107&gt;15,"Traitement lent","Délai OK"))</f>
        <v/>
      </c>
      <c r="M107" s="8" t="n"/>
      <c r="N107" s="8" t="n"/>
    </row>
    <row r="108" ht="22" customHeight="1">
      <c r="A108" s="5">
        <f>IF(B108="","",IF(COUNTA($A$6:A108)=0,"SUG-"&amp;TEXT(COUNTA($B$6:B108),"000"),"SUG-"&amp;TEXT(ROW()-5,"000")))</f>
        <v/>
      </c>
      <c r="B108" s="5" t="n"/>
      <c r="C108" s="5">
        <f>IF(B108="","",VLOOKUP(B108,'F01 - _Données Collaborateurs'!$B$6:$F$20,5,FALSE))</f>
        <v/>
      </c>
      <c r="D108" s="5" t="n"/>
      <c r="E108" s="5" t="n"/>
      <c r="F108" s="5" t="n"/>
      <c r="G108" s="5" t="n"/>
      <c r="H108" s="5" t="n"/>
      <c r="I108" s="5" t="n"/>
      <c r="J108" s="5" t="n"/>
      <c r="K108" s="5">
        <f>IF(B108="","",IFERROR(VLOOKUP(B108,'F01 - _Données Collaborateurs'!$B$6:$H$20,6,FALSE),""))</f>
        <v/>
      </c>
      <c r="L108" s="5">
        <f>IF(I108="","",IF(I108-D108&gt;15,"Traitement lent","Délai OK"))</f>
        <v/>
      </c>
      <c r="M108" s="5" t="n"/>
      <c r="N108" s="5" t="n"/>
    </row>
    <row r="109" ht="22" customHeight="1">
      <c r="A109" s="8">
        <f>IF(B109="","",IF(COUNTA($A$6:A109)=0,"SUG-"&amp;TEXT(COUNTA($B$6:B109),"000"),"SUG-"&amp;TEXT(ROW()-5,"000")))</f>
        <v/>
      </c>
      <c r="B109" s="8" t="n"/>
      <c r="C109" s="8">
        <f>IF(B109="","",VLOOKUP(B109,'F01 - _Données Collaborateurs'!$B$6:$F$20,5,FALSE))</f>
        <v/>
      </c>
      <c r="D109" s="8" t="n"/>
      <c r="E109" s="8" t="n"/>
      <c r="F109" s="8" t="n"/>
      <c r="G109" s="8" t="n"/>
      <c r="H109" s="8" t="n"/>
      <c r="I109" s="8" t="n"/>
      <c r="J109" s="8" t="n"/>
      <c r="K109" s="8">
        <f>IF(B109="","",IFERROR(VLOOKUP(B109,'F01 - _Données Collaborateurs'!$B$6:$H$20,6,FALSE),""))</f>
        <v/>
      </c>
      <c r="L109" s="8">
        <f>IF(I109="","",IF(I109-D109&gt;15,"Traitement lent","Délai OK"))</f>
        <v/>
      </c>
      <c r="M109" s="8" t="n"/>
      <c r="N109" s="8" t="n"/>
    </row>
    <row r="110" ht="22" customHeight="1">
      <c r="A110" s="5">
        <f>IF(B110="","",IF(COUNTA($A$6:A110)=0,"SUG-"&amp;TEXT(COUNTA($B$6:B110),"000"),"SUG-"&amp;TEXT(ROW()-5,"000")))</f>
        <v/>
      </c>
      <c r="B110" s="5" t="n"/>
      <c r="C110" s="5">
        <f>IF(B110="","",VLOOKUP(B110,'F01 - _Données Collaborateurs'!$B$6:$F$20,5,FALSE))</f>
        <v/>
      </c>
      <c r="D110" s="5" t="n"/>
      <c r="E110" s="5" t="n"/>
      <c r="F110" s="5" t="n"/>
      <c r="G110" s="5" t="n"/>
      <c r="H110" s="5" t="n"/>
      <c r="I110" s="5" t="n"/>
      <c r="J110" s="5" t="n"/>
      <c r="K110" s="5">
        <f>IF(B110="","",IFERROR(VLOOKUP(B110,'F01 - _Données Collaborateurs'!$B$6:$H$20,6,FALSE),""))</f>
        <v/>
      </c>
      <c r="L110" s="5">
        <f>IF(I110="","",IF(I110-D110&gt;15,"Traitement lent","Délai OK"))</f>
        <v/>
      </c>
      <c r="M110" s="5" t="n"/>
      <c r="N110" s="5" t="n"/>
    </row>
    <row r="111" ht="22" customHeight="1">
      <c r="A111" s="8">
        <f>IF(B111="","",IF(COUNTA($A$6:A111)=0,"SUG-"&amp;TEXT(COUNTA($B$6:B111),"000"),"SUG-"&amp;TEXT(ROW()-5,"000")))</f>
        <v/>
      </c>
      <c r="B111" s="8" t="n"/>
      <c r="C111" s="8">
        <f>IF(B111="","",VLOOKUP(B111,'F01 - _Données Collaborateurs'!$B$6:$F$20,5,FALSE))</f>
        <v/>
      </c>
      <c r="D111" s="8" t="n"/>
      <c r="E111" s="8" t="n"/>
      <c r="F111" s="8" t="n"/>
      <c r="G111" s="8" t="n"/>
      <c r="H111" s="8" t="n"/>
      <c r="I111" s="8" t="n"/>
      <c r="J111" s="8" t="n"/>
      <c r="K111" s="8">
        <f>IF(B111="","",IFERROR(VLOOKUP(B111,'F01 - _Données Collaborateurs'!$B$6:$H$20,6,FALSE),""))</f>
        <v/>
      </c>
      <c r="L111" s="8">
        <f>IF(I111="","",IF(I111-D111&gt;15,"Traitement lent","Délai OK"))</f>
        <v/>
      </c>
      <c r="M111" s="8" t="n"/>
      <c r="N111" s="8" t="n"/>
    </row>
    <row r="112" ht="22" customHeight="1">
      <c r="A112" s="5">
        <f>IF(B112="","",IF(COUNTA($A$6:A112)=0,"SUG-"&amp;TEXT(COUNTA($B$6:B112),"000"),"SUG-"&amp;TEXT(ROW()-5,"000")))</f>
        <v/>
      </c>
      <c r="B112" s="5" t="n"/>
      <c r="C112" s="5">
        <f>IF(B112="","",VLOOKUP(B112,'F01 - _Données Collaborateurs'!$B$6:$F$20,5,FALSE))</f>
        <v/>
      </c>
      <c r="D112" s="5" t="n"/>
      <c r="E112" s="5" t="n"/>
      <c r="F112" s="5" t="n"/>
      <c r="G112" s="5" t="n"/>
      <c r="H112" s="5" t="n"/>
      <c r="I112" s="5" t="n"/>
      <c r="J112" s="5" t="n"/>
      <c r="K112" s="5">
        <f>IF(B112="","",IFERROR(VLOOKUP(B112,'F01 - _Données Collaborateurs'!$B$6:$H$20,6,FALSE),""))</f>
        <v/>
      </c>
      <c r="L112" s="5">
        <f>IF(I112="","",IF(I112-D112&gt;15,"Traitement lent","Délai OK"))</f>
        <v/>
      </c>
      <c r="M112" s="5" t="n"/>
      <c r="N112" s="5" t="n"/>
    </row>
    <row r="113" ht="22" customHeight="1">
      <c r="A113" s="8">
        <f>IF(B113="","",IF(COUNTA($A$6:A113)=0,"SUG-"&amp;TEXT(COUNTA($B$6:B113),"000"),"SUG-"&amp;TEXT(ROW()-5,"000")))</f>
        <v/>
      </c>
      <c r="B113" s="8" t="n"/>
      <c r="C113" s="8">
        <f>IF(B113="","",VLOOKUP(B113,'F01 - _Données Collaborateurs'!$B$6:$F$20,5,FALSE))</f>
        <v/>
      </c>
      <c r="D113" s="8" t="n"/>
      <c r="E113" s="8" t="n"/>
      <c r="F113" s="8" t="n"/>
      <c r="G113" s="8" t="n"/>
      <c r="H113" s="8" t="n"/>
      <c r="I113" s="8" t="n"/>
      <c r="J113" s="8" t="n"/>
      <c r="K113" s="8">
        <f>IF(B113="","",IFERROR(VLOOKUP(B113,'F01 - _Données Collaborateurs'!$B$6:$H$20,6,FALSE),""))</f>
        <v/>
      </c>
      <c r="L113" s="8">
        <f>IF(I113="","",IF(I113-D113&gt;15,"Traitement lent","Délai OK"))</f>
        <v/>
      </c>
      <c r="M113" s="8" t="n"/>
      <c r="N113" s="8" t="n"/>
    </row>
    <row r="114" ht="22" customHeight="1">
      <c r="A114" s="5">
        <f>IF(B114="","",IF(COUNTA($A$6:A114)=0,"SUG-"&amp;TEXT(COUNTA($B$6:B114),"000"),"SUG-"&amp;TEXT(ROW()-5,"000")))</f>
        <v/>
      </c>
      <c r="B114" s="5" t="n"/>
      <c r="C114" s="5">
        <f>IF(B114="","",VLOOKUP(B114,'F01 - _Données Collaborateurs'!$B$6:$F$20,5,FALSE))</f>
        <v/>
      </c>
      <c r="D114" s="5" t="n"/>
      <c r="E114" s="5" t="n"/>
      <c r="F114" s="5" t="n"/>
      <c r="G114" s="5" t="n"/>
      <c r="H114" s="5" t="n"/>
      <c r="I114" s="5" t="n"/>
      <c r="J114" s="5" t="n"/>
      <c r="K114" s="5">
        <f>IF(B114="","",IFERROR(VLOOKUP(B114,'F01 - _Données Collaborateurs'!$B$6:$H$20,6,FALSE),""))</f>
        <v/>
      </c>
      <c r="L114" s="5">
        <f>IF(I114="","",IF(I114-D114&gt;15,"Traitement lent","Délai OK"))</f>
        <v/>
      </c>
      <c r="M114" s="5" t="n"/>
      <c r="N114" s="5" t="n"/>
    </row>
    <row r="115" ht="22" customHeight="1">
      <c r="A115" s="8">
        <f>IF(B115="","",IF(COUNTA($A$6:A115)=0,"SUG-"&amp;TEXT(COUNTA($B$6:B115),"000"),"SUG-"&amp;TEXT(ROW()-5,"000")))</f>
        <v/>
      </c>
      <c r="B115" s="8" t="n"/>
      <c r="C115" s="8">
        <f>IF(B115="","",VLOOKUP(B115,'F01 - _Données Collaborateurs'!$B$6:$F$20,5,FALSE))</f>
        <v/>
      </c>
      <c r="D115" s="8" t="n"/>
      <c r="E115" s="8" t="n"/>
      <c r="F115" s="8" t="n"/>
      <c r="G115" s="8" t="n"/>
      <c r="H115" s="8" t="n"/>
      <c r="I115" s="8" t="n"/>
      <c r="J115" s="8" t="n"/>
      <c r="K115" s="8">
        <f>IF(B115="","",IFERROR(VLOOKUP(B115,'F01 - _Données Collaborateurs'!$B$6:$H$20,6,FALSE),""))</f>
        <v/>
      </c>
      <c r="L115" s="8">
        <f>IF(I115="","",IF(I115-D115&gt;15,"Traitement lent","Délai OK"))</f>
        <v/>
      </c>
      <c r="M115" s="8" t="n"/>
      <c r="N115" s="8" t="n"/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E6:E115" showDropDown="0" showInputMessage="0" showErrorMessage="0" allowBlank="1" errorTitle="Erreur" error="Valeur invalide" promptTitle="" prompt="Choisir dans la liste: " type="list">
      <formula1>'F02 - _Lists'!$L$6:$L$16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_Lists'!$M$6:$M$10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6" customWidth="1" min="4" max="4"/>
    <col width="16" customWidth="1" min="5" max="5"/>
    <col width="20" customWidth="1" min="6" max="6"/>
    <col width="22" customWidth="1" min="7" max="7"/>
    <col width="32" customWidth="1" min="8" max="8"/>
    <col width="32" customWidth="1" min="9" max="9"/>
    <col width="32" customWidth="1" min="10" max="10"/>
    <col width="30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7-ENTRETIENS INDIVIDUELS RÉGULIERS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Entretien</t>
        </is>
      </c>
      <c r="B5" s="4" t="inlineStr">
        <is>
          <t>Collaborateur</t>
        </is>
      </c>
      <c r="C5" s="4" t="inlineStr">
        <is>
          <t>Département</t>
        </is>
      </c>
      <c r="D5" s="4" t="inlineStr">
        <is>
          <t>Date Entretien</t>
        </is>
      </c>
      <c r="E5" s="4" t="inlineStr">
        <is>
          <t>Type</t>
        </is>
      </c>
      <c r="F5" s="4" t="inlineStr">
        <is>
          <t>Manager</t>
        </is>
      </c>
      <c r="G5" s="4" t="inlineStr">
        <is>
          <t>Score Satisfaction (/5)</t>
        </is>
      </c>
      <c r="H5" s="4" t="inlineStr">
        <is>
          <t>Points Forts</t>
        </is>
      </c>
      <c r="I5" s="4" t="inlineStr">
        <is>
          <t>Axes Amélioration</t>
        </is>
      </c>
      <c r="J5" s="4" t="inlineStr">
        <is>
          <t>Suivi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>
        <f>IF(B6="","",IF(COUNTA($A$6:A6)=0,"ENT-"&amp;TEXT(COUNTA($B$6:B6),"000"),"ENT-"&amp;TEXT(ROW()-5,"000")))</f>
        <v/>
      </c>
      <c r="B6" s="5" t="inlineStr">
        <is>
          <t>Koné Aminata</t>
        </is>
      </c>
      <c r="C6" s="5">
        <f>IF(B6="","",VLOOKUP(B6,'F01 - _Données Collaborateurs'!$B$6:$F$20,5,FALSE))</f>
        <v/>
      </c>
      <c r="D6" s="23" t="n">
        <v>45677</v>
      </c>
      <c r="E6" s="5" t="inlineStr">
        <is>
          <t>Mensuel</t>
        </is>
      </c>
      <c r="F6" s="5" t="inlineStr">
        <is>
          <t>Chef Cuisinier</t>
        </is>
      </c>
      <c r="G6" s="25" t="n">
        <v>4</v>
      </c>
      <c r="H6" s="5" t="inlineStr">
        <is>
          <t>Créativité, leadership brigade</t>
        </is>
      </c>
      <c r="I6" s="5" t="inlineStr">
        <is>
          <t>Gestion du stress en période haute</t>
        </is>
      </c>
      <c r="J6" s="5" t="inlineStr">
        <is>
          <t>Formation gestion stress prévue</t>
        </is>
      </c>
      <c r="K6" s="5" t="inlineStr"/>
      <c r="L6" s="26">
        <f>IF(B6="","",IFERROR(VLOOKUP(B6,'F01 - _Données Collaborateurs'!$B$6:$G$20,6,FALSE),""))</f>
        <v/>
      </c>
      <c r="M6" s="26">
        <f>IF(OR(G6="",L6=""),"",IFERROR(G6-L6/20*5,0))</f>
        <v/>
      </c>
      <c r="N6" s="5" t="inlineStr"/>
    </row>
    <row r="7" ht="22" customHeight="1">
      <c r="A7" s="8">
        <f>IF(B7="","",IF(COUNTA($A$6:A7)=0,"ENT-"&amp;TEXT(COUNTA($B$6:B7),"000"),"ENT-"&amp;TEXT(ROW()-5,"000")))</f>
        <v/>
      </c>
      <c r="B7" s="8" t="inlineStr">
        <is>
          <t>Traoré Ibrahim</t>
        </is>
      </c>
      <c r="C7" s="8">
        <f>IF(B7="","",VLOOKUP(B7,'F01 - _Données Collaborateurs'!$B$6:$F$20,5,FALSE))</f>
        <v/>
      </c>
      <c r="D7" s="24" t="n">
        <v>45679</v>
      </c>
      <c r="E7" s="8" t="inlineStr">
        <is>
          <t>Mensuel</t>
        </is>
      </c>
      <c r="F7" s="8" t="inlineStr">
        <is>
          <t>DG</t>
        </is>
      </c>
      <c r="G7" s="27" t="n">
        <v>4.5</v>
      </c>
      <c r="H7" s="8" t="inlineStr">
        <is>
          <t>Expertise technique, disponibilité</t>
        </is>
      </c>
      <c r="I7" s="8" t="inlineStr">
        <is>
          <t>Délégation et accompagnement équipe</t>
        </is>
      </c>
      <c r="J7" s="8" t="inlineStr">
        <is>
          <t>Mentorat junior en place</t>
        </is>
      </c>
      <c r="K7" s="8" t="inlineStr"/>
      <c r="L7" s="28">
        <f>IF(B7="","",IFERROR(VLOOKUP(B7,'F01 - _Données Collaborateurs'!$B$6:$G$20,6,FALSE),""))</f>
        <v/>
      </c>
      <c r="M7" s="28">
        <f>IF(OR(G7="",L7=""),"",IFERROR(G7-L7/20*5,0))</f>
        <v/>
      </c>
      <c r="N7" s="8" t="inlineStr"/>
    </row>
    <row r="8" ht="22" customHeight="1">
      <c r="A8" s="5">
        <f>IF(B8="","",IF(COUNTA($A$6:A8)=0,"ENT-"&amp;TEXT(COUNTA($B$6:B8),"000"),"ENT-"&amp;TEXT(ROW()-5,"000")))</f>
        <v/>
      </c>
      <c r="B8" s="5" t="inlineStr">
        <is>
          <t>Bamba Mariam</t>
        </is>
      </c>
      <c r="C8" s="5">
        <f>IF(B8="","",VLOOKUP(B8,'F01 - _Données Collaborateurs'!$B$6:$F$20,5,FALSE))</f>
        <v/>
      </c>
      <c r="D8" s="23" t="n">
        <v>45682</v>
      </c>
      <c r="E8" s="5" t="inlineStr">
        <is>
          <t>Mensuel</t>
        </is>
      </c>
      <c r="F8" s="5" t="inlineStr">
        <is>
          <t>DRH</t>
        </is>
      </c>
      <c r="G8" s="25" t="n">
        <v>4.8</v>
      </c>
      <c r="H8" s="5" t="inlineStr">
        <is>
          <t>Excellente relation client, ponctualité</t>
        </is>
      </c>
      <c r="I8" s="5" t="inlineStr">
        <is>
          <t>Préparation concours interne</t>
        </is>
      </c>
      <c r="J8" s="5" t="inlineStr">
        <is>
          <t>Dossier en cours</t>
        </is>
      </c>
      <c r="K8" s="5" t="inlineStr"/>
      <c r="L8" s="26">
        <f>IF(B8="","",IFERROR(VLOOKUP(B8,'F01 - _Données Collaborateurs'!$B$6:$G$20,6,FALSE),""))</f>
        <v/>
      </c>
      <c r="M8" s="26">
        <f>IF(OR(G8="",L8=""),"",IFERROR(G8-L8/20*5,0))</f>
        <v/>
      </c>
      <c r="N8" s="5" t="inlineStr"/>
    </row>
    <row r="9" ht="22" customHeight="1">
      <c r="A9" s="8">
        <f>IF(B9="","",IF(COUNTA($A$6:A9)=0,"ENT-"&amp;TEXT(COUNTA($B$6:B9),"000"),"ENT-"&amp;TEXT(ROW()-5,"000")))</f>
        <v/>
      </c>
      <c r="B9" s="8" t="inlineStr">
        <is>
          <t>Coulibaly Adama</t>
        </is>
      </c>
      <c r="C9" s="8">
        <f>IF(B9="","",VLOOKUP(B9,'F01 - _Données Collaborateurs'!$B$6:$F$20,5,FALSE))</f>
        <v/>
      </c>
      <c r="D9" s="24" t="n">
        <v>45693</v>
      </c>
      <c r="E9" s="8" t="inlineStr">
        <is>
          <t>Mensuel</t>
        </is>
      </c>
      <c r="F9" s="8" t="inlineStr">
        <is>
          <t>Chef Entretien</t>
        </is>
      </c>
      <c r="G9" s="27" t="n">
        <v>3.2</v>
      </c>
      <c r="H9" s="8" t="inlineStr">
        <is>
          <t>Connaissance technique solide</t>
        </is>
      </c>
      <c r="I9" s="8" t="inlineStr">
        <is>
          <t>Motivation et communication</t>
        </is>
      </c>
      <c r="J9" s="8" t="inlineStr">
        <is>
          <t>Plan d'action en cours</t>
        </is>
      </c>
      <c r="K9" s="8" t="inlineStr"/>
      <c r="L9" s="28">
        <f>IF(B9="","",IFERROR(VLOOKUP(B9,'F01 - _Données Collaborateurs'!$B$6:$G$20,6,FALSE),""))</f>
        <v/>
      </c>
      <c r="M9" s="28">
        <f>IF(OR(G9="",L9=""),"",IFERROR(G9-L9/20*5,0))</f>
        <v/>
      </c>
      <c r="N9" s="8" t="inlineStr"/>
    </row>
    <row r="10" ht="22" customHeight="1">
      <c r="A10" s="5">
        <f>IF(B10="","",IF(COUNTA($A$6:A10)=0,"ENT-"&amp;TEXT(COUNTA($B$6:B10),"000"),"ENT-"&amp;TEXT(ROW()-5,"000")))</f>
        <v/>
      </c>
      <c r="B10" s="5" t="inlineStr">
        <is>
          <t>Djibril Oumar</t>
        </is>
      </c>
      <c r="C10" s="5">
        <f>IF(B10="","",VLOOKUP(B10,'F01 - _Données Collaborateurs'!$B$6:$F$20,5,FALSE))</f>
        <v/>
      </c>
      <c r="D10" s="23" t="n">
        <v>45698</v>
      </c>
      <c r="E10" s="5" t="inlineStr">
        <is>
          <t>Trimestriel</t>
        </is>
      </c>
      <c r="F10" s="5" t="inlineStr">
        <is>
          <t>DG</t>
        </is>
      </c>
      <c r="G10" s="25" t="n">
        <v>3</v>
      </c>
      <c r="H10" s="5" t="inlineStr">
        <is>
          <t>Rigueur, respect consignes</t>
        </is>
      </c>
      <c r="I10" s="5" t="inlineStr">
        <is>
          <t>Proactivité et initiative</t>
        </is>
      </c>
      <c r="J10" s="5" t="inlineStr">
        <is>
          <t>Objectif : 1 initiative/mois</t>
        </is>
      </c>
      <c r="K10" s="5" t="inlineStr"/>
      <c r="L10" s="26">
        <f>IF(B10="","",IFERROR(VLOOKUP(B10,'F01 - _Données Collaborateurs'!$B$6:$G$20,6,FALSE),""))</f>
        <v/>
      </c>
      <c r="M10" s="26">
        <f>IF(OR(G10="",L10=""),"",IFERROR(G10-L10/20*5,0))</f>
        <v/>
      </c>
      <c r="N10" s="5" t="inlineStr"/>
    </row>
    <row r="11" ht="22" customHeight="1">
      <c r="A11" s="8">
        <f>IF(B11="","",IF(COUNTA($A$6:A11)=0,"ENT-"&amp;TEXT(COUNTA($B$6:B11),"000"),"ENT-"&amp;TEXT(ROW()-5,"000")))</f>
        <v/>
      </c>
      <c r="B11" s="8" t="n"/>
      <c r="C11" s="8">
        <f>IF(B11="","",VLOOKUP(B11,'F01 - _Données Collaborateurs'!$B$6:$F$20,5,FALSE))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28">
        <f>IF(B11="","",IFERROR(VLOOKUP(B11,'F01 - _Données Collaborateurs'!$B$6:$G$20,6,FALSE),""))</f>
        <v/>
      </c>
      <c r="M11" s="28">
        <f>IF(OR(G11="",L11=""),"",IFERROR(G11-L11/20*5,0))</f>
        <v/>
      </c>
      <c r="N11" s="8" t="n"/>
    </row>
    <row r="12" ht="22" customHeight="1">
      <c r="A12" s="5">
        <f>IF(B12="","",IF(COUNTA($A$6:A12)=0,"ENT-"&amp;TEXT(COUNTA($B$6:B12),"000"),"ENT-"&amp;TEXT(ROW()-5,"000")))</f>
        <v/>
      </c>
      <c r="B12" s="5" t="n"/>
      <c r="C12" s="5">
        <f>IF(B12="","",VLOOKUP(B12,'F01 - _Données Collaborateurs'!$B$6:$F$20,5,FALSE))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26">
        <f>IF(B12="","",IFERROR(VLOOKUP(B12,'F01 - _Données Collaborateurs'!$B$6:$G$20,6,FALSE),""))</f>
        <v/>
      </c>
      <c r="M12" s="26">
        <f>IF(OR(G12="",L12=""),"",IFERROR(G12-L12/20*5,0))</f>
        <v/>
      </c>
      <c r="N12" s="5" t="n"/>
    </row>
    <row r="13" ht="22" customHeight="1">
      <c r="A13" s="8">
        <f>IF(B13="","",IF(COUNTA($A$6:A13)=0,"ENT-"&amp;TEXT(COUNTA($B$6:B13),"000"),"ENT-"&amp;TEXT(ROW()-5,"000")))</f>
        <v/>
      </c>
      <c r="B13" s="8" t="n"/>
      <c r="C13" s="8">
        <f>IF(B13="","",VLOOKUP(B13,'F01 - _Données Collaborateurs'!$B$6:$F$20,5,FALSE))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28">
        <f>IF(B13="","",IFERROR(VLOOKUP(B13,'F01 - _Données Collaborateurs'!$B$6:$G$20,6,FALSE),""))</f>
        <v/>
      </c>
      <c r="M13" s="28">
        <f>IF(OR(G13="",L13=""),"",IFERROR(G13-L13/20*5,0))</f>
        <v/>
      </c>
      <c r="N13" s="8" t="n"/>
    </row>
    <row r="14" ht="22" customHeight="1">
      <c r="A14" s="5">
        <f>IF(B14="","",IF(COUNTA($A$6:A14)=0,"ENT-"&amp;TEXT(COUNTA($B$6:B14),"000"),"ENT-"&amp;TEXT(ROW()-5,"000")))</f>
        <v/>
      </c>
      <c r="B14" s="5" t="n"/>
      <c r="C14" s="5">
        <f>IF(B14="","",VLOOKUP(B14,'F01 - _Données Collaborateurs'!$B$6:$F$20,5,FALSE))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26">
        <f>IF(B14="","",IFERROR(VLOOKUP(B14,'F01 - _Données Collaborateurs'!$B$6:$G$20,6,FALSE),""))</f>
        <v/>
      </c>
      <c r="M14" s="26">
        <f>IF(OR(G14="",L14=""),"",IFERROR(G14-L14/20*5,0))</f>
        <v/>
      </c>
      <c r="N14" s="5" t="n"/>
    </row>
    <row r="15" ht="22" customHeight="1">
      <c r="A15" s="8">
        <f>IF(B15="","",IF(COUNTA($A$6:A15)=0,"ENT-"&amp;TEXT(COUNTA($B$6:B15),"000"),"ENT-"&amp;TEXT(ROW()-5,"000")))</f>
        <v/>
      </c>
      <c r="B15" s="8" t="n"/>
      <c r="C15" s="8">
        <f>IF(B15="","",VLOOKUP(B15,'F01 - _Données Collaborateurs'!$B$6:$F$20,5,FALSE))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28">
        <f>IF(B15="","",IFERROR(VLOOKUP(B15,'F01 - _Données Collaborateurs'!$B$6:$G$20,6,FALSE),""))</f>
        <v/>
      </c>
      <c r="M15" s="28">
        <f>IF(OR(G15="",L15=""),"",IFERROR(G15-L15/20*5,0))</f>
        <v/>
      </c>
      <c r="N15" s="8" t="n"/>
    </row>
    <row r="16" ht="22" customHeight="1">
      <c r="A16" s="5">
        <f>IF(B16="","",IF(COUNTA($A$6:A16)=0,"ENT-"&amp;TEXT(COUNTA($B$6:B16),"000"),"ENT-"&amp;TEXT(ROW()-5,"000")))</f>
        <v/>
      </c>
      <c r="B16" s="5" t="n"/>
      <c r="C16" s="5">
        <f>IF(B16="","",VLOOKUP(B16,'F01 - _Données Collaborateurs'!$B$6:$F$20,5,FALSE))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26">
        <f>IF(B16="","",IFERROR(VLOOKUP(B16,'F01 - _Données Collaborateurs'!$B$6:$G$20,6,FALSE),""))</f>
        <v/>
      </c>
      <c r="M16" s="26">
        <f>IF(OR(G16="",L16=""),"",IFERROR(G16-L16/20*5,0))</f>
        <v/>
      </c>
      <c r="N16" s="5" t="n"/>
    </row>
    <row r="17" ht="22" customHeight="1">
      <c r="A17" s="8">
        <f>IF(B17="","",IF(COUNTA($A$6:A17)=0,"ENT-"&amp;TEXT(COUNTA($B$6:B17),"000"),"ENT-"&amp;TEXT(ROW()-5,"000")))</f>
        <v/>
      </c>
      <c r="B17" s="8" t="n"/>
      <c r="C17" s="8">
        <f>IF(B17="","",VLOOKUP(B17,'F01 - _Données Collaborateurs'!$B$6:$F$20,5,FALSE))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28">
        <f>IF(B17="","",IFERROR(VLOOKUP(B17,'F01 - _Données Collaborateurs'!$B$6:$G$20,6,FALSE),""))</f>
        <v/>
      </c>
      <c r="M17" s="28">
        <f>IF(OR(G17="",L17=""),"",IFERROR(G17-L17/20*5,0))</f>
        <v/>
      </c>
      <c r="N17" s="8" t="n"/>
    </row>
    <row r="18" ht="22" customHeight="1">
      <c r="A18" s="5">
        <f>IF(B18="","",IF(COUNTA($A$6:A18)=0,"ENT-"&amp;TEXT(COUNTA($B$6:B18),"000"),"ENT-"&amp;TEXT(ROW()-5,"000")))</f>
        <v/>
      </c>
      <c r="B18" s="5" t="n"/>
      <c r="C18" s="5">
        <f>IF(B18="","",VLOOKUP(B18,'F01 - _Données Collaborateurs'!$B$6:$F$20,5,FALSE))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26">
        <f>IF(B18="","",IFERROR(VLOOKUP(B18,'F01 - _Données Collaborateurs'!$B$6:$G$20,6,FALSE),""))</f>
        <v/>
      </c>
      <c r="M18" s="26">
        <f>IF(OR(G18="",L18=""),"",IFERROR(G18-L18/20*5,0))</f>
        <v/>
      </c>
      <c r="N18" s="5" t="n"/>
    </row>
    <row r="19" ht="22" customHeight="1">
      <c r="A19" s="8">
        <f>IF(B19="","",IF(COUNTA($A$6:A19)=0,"ENT-"&amp;TEXT(COUNTA($B$6:B19),"000"),"ENT-"&amp;TEXT(ROW()-5,"000")))</f>
        <v/>
      </c>
      <c r="B19" s="8" t="n"/>
      <c r="C19" s="8">
        <f>IF(B19="","",VLOOKUP(B19,'F01 - _Données Collaborateurs'!$B$6:$F$20,5,FALSE))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28">
        <f>IF(B19="","",IFERROR(VLOOKUP(B19,'F01 - _Données Collaborateurs'!$B$6:$G$20,6,FALSE),""))</f>
        <v/>
      </c>
      <c r="M19" s="28">
        <f>IF(OR(G19="",L19=""),"",IFERROR(G19-L19/20*5,0))</f>
        <v/>
      </c>
      <c r="N19" s="8" t="n"/>
    </row>
    <row r="20" ht="22" customHeight="1">
      <c r="A20" s="5">
        <f>IF(B20="","",IF(COUNTA($A$6:A20)=0,"ENT-"&amp;TEXT(COUNTA($B$6:B20),"000"),"ENT-"&amp;TEXT(ROW()-5,"000")))</f>
        <v/>
      </c>
      <c r="B20" s="5" t="n"/>
      <c r="C20" s="5">
        <f>IF(B20="","",VLOOKUP(B20,'F01 - _Données Collaborateurs'!$B$6:$F$20,5,FALSE))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26">
        <f>IF(B20="","",IFERROR(VLOOKUP(B20,'F01 - _Données Collaborateurs'!$B$6:$G$20,6,FALSE),""))</f>
        <v/>
      </c>
      <c r="M20" s="26">
        <f>IF(OR(G20="",L20=""),"",IFERROR(G20-L20/20*5,0))</f>
        <v/>
      </c>
      <c r="N20" s="5" t="n"/>
    </row>
    <row r="21" ht="22" customHeight="1">
      <c r="A21" s="8">
        <f>IF(B21="","",IF(COUNTA($A$6:A21)=0,"ENT-"&amp;TEXT(COUNTA($B$6:B21),"000"),"ENT-"&amp;TEXT(ROW()-5,"000")))</f>
        <v/>
      </c>
      <c r="B21" s="8" t="n"/>
      <c r="C21" s="8">
        <f>IF(B21="","",VLOOKUP(B21,'F01 - _Données Collaborateurs'!$B$6:$F$20,5,FALSE))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28">
        <f>IF(B21="","",IFERROR(VLOOKUP(B21,'F01 - _Données Collaborateurs'!$B$6:$G$20,6,FALSE),""))</f>
        <v/>
      </c>
      <c r="M21" s="28">
        <f>IF(OR(G21="",L21=""),"",IFERROR(G21-L21/20*5,0))</f>
        <v/>
      </c>
      <c r="N21" s="8" t="n"/>
    </row>
    <row r="22" ht="22" customHeight="1">
      <c r="A22" s="5">
        <f>IF(B22="","",IF(COUNTA($A$6:A22)=0,"ENT-"&amp;TEXT(COUNTA($B$6:B22),"000"),"ENT-"&amp;TEXT(ROW()-5,"000")))</f>
        <v/>
      </c>
      <c r="B22" s="5" t="n"/>
      <c r="C22" s="5">
        <f>IF(B22="","",VLOOKUP(B22,'F01 - _Données Collaborateurs'!$B$6:$F$20,5,FALSE))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26">
        <f>IF(B22="","",IFERROR(VLOOKUP(B22,'F01 - _Données Collaborateurs'!$B$6:$G$20,6,FALSE),""))</f>
        <v/>
      </c>
      <c r="M22" s="26">
        <f>IF(OR(G22="",L22=""),"",IFERROR(G22-L22/20*5,0))</f>
        <v/>
      </c>
      <c r="N22" s="5" t="n"/>
    </row>
    <row r="23" ht="22" customHeight="1">
      <c r="A23" s="8">
        <f>IF(B23="","",IF(COUNTA($A$6:A23)=0,"ENT-"&amp;TEXT(COUNTA($B$6:B23),"000"),"ENT-"&amp;TEXT(ROW()-5,"000")))</f>
        <v/>
      </c>
      <c r="B23" s="8" t="n"/>
      <c r="C23" s="8">
        <f>IF(B23="","",VLOOKUP(B23,'F01 - _Données Collaborateurs'!$B$6:$F$20,5,FALSE))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28">
        <f>IF(B23="","",IFERROR(VLOOKUP(B23,'F01 - _Données Collaborateurs'!$B$6:$G$20,6,FALSE),""))</f>
        <v/>
      </c>
      <c r="M23" s="28">
        <f>IF(OR(G23="",L23=""),"",IFERROR(G23-L23/20*5,0))</f>
        <v/>
      </c>
      <c r="N23" s="8" t="n"/>
    </row>
    <row r="24" ht="22" customHeight="1">
      <c r="A24" s="5">
        <f>IF(B24="","",IF(COUNTA($A$6:A24)=0,"ENT-"&amp;TEXT(COUNTA($B$6:B24),"000"),"ENT-"&amp;TEXT(ROW()-5,"000")))</f>
        <v/>
      </c>
      <c r="B24" s="5" t="n"/>
      <c r="C24" s="5">
        <f>IF(B24="","",VLOOKUP(B24,'F01 - _Données Collaborateurs'!$B$6:$F$20,5,FALSE))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26">
        <f>IF(B24="","",IFERROR(VLOOKUP(B24,'F01 - _Données Collaborateurs'!$B$6:$G$20,6,FALSE),""))</f>
        <v/>
      </c>
      <c r="M24" s="26">
        <f>IF(OR(G24="",L24=""),"",IFERROR(G24-L24/20*5,0))</f>
        <v/>
      </c>
      <c r="N24" s="5" t="n"/>
    </row>
    <row r="25" ht="22" customHeight="1">
      <c r="A25" s="8">
        <f>IF(B25="","",IF(COUNTA($A$6:A25)=0,"ENT-"&amp;TEXT(COUNTA($B$6:B25),"000"),"ENT-"&amp;TEXT(ROW()-5,"000")))</f>
        <v/>
      </c>
      <c r="B25" s="8" t="n"/>
      <c r="C25" s="8">
        <f>IF(B25="","",VLOOKUP(B25,'F01 - _Données Collaborateurs'!$B$6:$F$20,5,FALSE))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28">
        <f>IF(B25="","",IFERROR(VLOOKUP(B25,'F01 - _Données Collaborateurs'!$B$6:$G$20,6,FALSE),""))</f>
        <v/>
      </c>
      <c r="M25" s="28">
        <f>IF(OR(G25="",L25=""),"",IFERROR(G25-L25/20*5,0))</f>
        <v/>
      </c>
      <c r="N25" s="8" t="n"/>
    </row>
    <row r="26" ht="22" customHeight="1">
      <c r="A26" s="5">
        <f>IF(B26="","",IF(COUNTA($A$6:A26)=0,"ENT-"&amp;TEXT(COUNTA($B$6:B26),"000"),"ENT-"&amp;TEXT(ROW()-5,"000")))</f>
        <v/>
      </c>
      <c r="B26" s="5" t="n"/>
      <c r="C26" s="5">
        <f>IF(B26="","",VLOOKUP(B26,'F01 - _Données Collaborateurs'!$B$6:$F$20,5,FALSE))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26">
        <f>IF(B26="","",IFERROR(VLOOKUP(B26,'F01 - _Données Collaborateurs'!$B$6:$G$20,6,FALSE),""))</f>
        <v/>
      </c>
      <c r="M26" s="26">
        <f>IF(OR(G26="",L26=""),"",IFERROR(G26-L26/20*5,0))</f>
        <v/>
      </c>
      <c r="N26" s="5" t="n"/>
    </row>
    <row r="27" ht="22" customHeight="1">
      <c r="A27" s="8">
        <f>IF(B27="","",IF(COUNTA($A$6:A27)=0,"ENT-"&amp;TEXT(COUNTA($B$6:B27),"000"),"ENT-"&amp;TEXT(ROW()-5,"000")))</f>
        <v/>
      </c>
      <c r="B27" s="8" t="n"/>
      <c r="C27" s="8">
        <f>IF(B27="","",VLOOKUP(B27,'F01 - _Données Collaborateurs'!$B$6:$F$20,5,FALSE))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28">
        <f>IF(B27="","",IFERROR(VLOOKUP(B27,'F01 - _Données Collaborateurs'!$B$6:$G$20,6,FALSE),""))</f>
        <v/>
      </c>
      <c r="M27" s="28">
        <f>IF(OR(G27="",L27=""),"",IFERROR(G27-L27/20*5,0))</f>
        <v/>
      </c>
      <c r="N27" s="8" t="n"/>
    </row>
    <row r="28" ht="22" customHeight="1">
      <c r="A28" s="5">
        <f>IF(B28="","",IF(COUNTA($A$6:A28)=0,"ENT-"&amp;TEXT(COUNTA($B$6:B28),"000"),"ENT-"&amp;TEXT(ROW()-5,"000")))</f>
        <v/>
      </c>
      <c r="B28" s="5" t="n"/>
      <c r="C28" s="5">
        <f>IF(B28="","",VLOOKUP(B28,'F01 - _Données Collaborateurs'!$B$6:$F$20,5,FALSE))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26">
        <f>IF(B28="","",IFERROR(VLOOKUP(B28,'F01 - _Données Collaborateurs'!$B$6:$G$20,6,FALSE),""))</f>
        <v/>
      </c>
      <c r="M28" s="26">
        <f>IF(OR(G28="",L28=""),"",IFERROR(G28-L28/20*5,0))</f>
        <v/>
      </c>
      <c r="N28" s="5" t="n"/>
    </row>
    <row r="29" ht="22" customHeight="1">
      <c r="A29" s="8">
        <f>IF(B29="","",IF(COUNTA($A$6:A29)=0,"ENT-"&amp;TEXT(COUNTA($B$6:B29),"000"),"ENT-"&amp;TEXT(ROW()-5,"000")))</f>
        <v/>
      </c>
      <c r="B29" s="8" t="n"/>
      <c r="C29" s="8">
        <f>IF(B29="","",VLOOKUP(B29,'F01 - _Données Collaborateurs'!$B$6:$F$20,5,FALSE))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28">
        <f>IF(B29="","",IFERROR(VLOOKUP(B29,'F01 - _Données Collaborateurs'!$B$6:$G$20,6,FALSE),""))</f>
        <v/>
      </c>
      <c r="M29" s="28">
        <f>IF(OR(G29="",L29=""),"",IFERROR(G29-L29/20*5,0))</f>
        <v/>
      </c>
      <c r="N29" s="8" t="n"/>
    </row>
    <row r="30" ht="22" customHeight="1">
      <c r="A30" s="5">
        <f>IF(B30="","",IF(COUNTA($A$6:A30)=0,"ENT-"&amp;TEXT(COUNTA($B$6:B30),"000"),"ENT-"&amp;TEXT(ROW()-5,"000")))</f>
        <v/>
      </c>
      <c r="B30" s="5" t="n"/>
      <c r="C30" s="5">
        <f>IF(B30="","",VLOOKUP(B30,'F01 - _Données Collaborateurs'!$B$6:$F$20,5,FALSE))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26">
        <f>IF(B30="","",IFERROR(VLOOKUP(B30,'F01 - _Données Collaborateurs'!$B$6:$G$20,6,FALSE),""))</f>
        <v/>
      </c>
      <c r="M30" s="26">
        <f>IF(OR(G30="",L30=""),"",IFERROR(G30-L30/20*5,0))</f>
        <v/>
      </c>
      <c r="N30" s="5" t="n"/>
    </row>
    <row r="31" ht="22" customHeight="1">
      <c r="A31" s="8">
        <f>IF(B31="","",IF(COUNTA($A$6:A31)=0,"ENT-"&amp;TEXT(COUNTA($B$6:B31),"000"),"ENT-"&amp;TEXT(ROW()-5,"000")))</f>
        <v/>
      </c>
      <c r="B31" s="8" t="n"/>
      <c r="C31" s="8">
        <f>IF(B31="","",VLOOKUP(B31,'F01 - _Données Collaborateurs'!$B$6:$F$20,5,FALSE))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28">
        <f>IF(B31="","",IFERROR(VLOOKUP(B31,'F01 - _Données Collaborateurs'!$B$6:$G$20,6,FALSE),""))</f>
        <v/>
      </c>
      <c r="M31" s="28">
        <f>IF(OR(G31="",L31=""),"",IFERROR(G31-L31/20*5,0))</f>
        <v/>
      </c>
      <c r="N31" s="8" t="n"/>
    </row>
    <row r="32" ht="22" customHeight="1">
      <c r="A32" s="5">
        <f>IF(B32="","",IF(COUNTA($A$6:A32)=0,"ENT-"&amp;TEXT(COUNTA($B$6:B32),"000"),"ENT-"&amp;TEXT(ROW()-5,"000")))</f>
        <v/>
      </c>
      <c r="B32" s="5" t="n"/>
      <c r="C32" s="5">
        <f>IF(B32="","",VLOOKUP(B32,'F01 - _Données Collaborateurs'!$B$6:$F$20,5,FALSE))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26">
        <f>IF(B32="","",IFERROR(VLOOKUP(B32,'F01 - _Données Collaborateurs'!$B$6:$G$20,6,FALSE),""))</f>
        <v/>
      </c>
      <c r="M32" s="26">
        <f>IF(OR(G32="",L32=""),"",IFERROR(G32-L32/20*5,0))</f>
        <v/>
      </c>
      <c r="N32" s="5" t="n"/>
    </row>
    <row r="33" ht="22" customHeight="1">
      <c r="A33" s="8">
        <f>IF(B33="","",IF(COUNTA($A$6:A33)=0,"ENT-"&amp;TEXT(COUNTA($B$6:B33),"000"),"ENT-"&amp;TEXT(ROW()-5,"000")))</f>
        <v/>
      </c>
      <c r="B33" s="8" t="n"/>
      <c r="C33" s="8">
        <f>IF(B33="","",VLOOKUP(B33,'F01 - _Données Collaborateurs'!$B$6:$F$20,5,FALSE))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28">
        <f>IF(B33="","",IFERROR(VLOOKUP(B33,'F01 - _Données Collaborateurs'!$B$6:$G$20,6,FALSE),""))</f>
        <v/>
      </c>
      <c r="M33" s="28">
        <f>IF(OR(G33="",L33=""),"",IFERROR(G33-L33/20*5,0))</f>
        <v/>
      </c>
      <c r="N33" s="8" t="n"/>
    </row>
    <row r="34" ht="22" customHeight="1">
      <c r="A34" s="5">
        <f>IF(B34="","",IF(COUNTA($A$6:A34)=0,"ENT-"&amp;TEXT(COUNTA($B$6:B34),"000"),"ENT-"&amp;TEXT(ROW()-5,"000")))</f>
        <v/>
      </c>
      <c r="B34" s="5" t="n"/>
      <c r="C34" s="5">
        <f>IF(B34="","",VLOOKUP(B34,'F01 - _Données Collaborateurs'!$B$6:$F$20,5,FALSE))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26">
        <f>IF(B34="","",IFERROR(VLOOKUP(B34,'F01 - _Données Collaborateurs'!$B$6:$G$20,6,FALSE),""))</f>
        <v/>
      </c>
      <c r="M34" s="26">
        <f>IF(OR(G34="",L34=""),"",IFERROR(G34-L34/20*5,0))</f>
        <v/>
      </c>
      <c r="N34" s="5" t="n"/>
    </row>
    <row r="35" ht="22" customHeight="1">
      <c r="A35" s="8">
        <f>IF(B35="","",IF(COUNTA($A$6:A35)=0,"ENT-"&amp;TEXT(COUNTA($B$6:B35),"000"),"ENT-"&amp;TEXT(ROW()-5,"000")))</f>
        <v/>
      </c>
      <c r="B35" s="8" t="n"/>
      <c r="C35" s="8">
        <f>IF(B35="","",VLOOKUP(B35,'F01 - _Données Collaborateurs'!$B$6:$F$20,5,FALSE))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28">
        <f>IF(B35="","",IFERROR(VLOOKUP(B35,'F01 - _Données Collaborateurs'!$B$6:$G$20,6,FALSE),""))</f>
        <v/>
      </c>
      <c r="M35" s="28">
        <f>IF(OR(G35="",L35=""),"",IFERROR(G35-L35/20*5,0))</f>
        <v/>
      </c>
      <c r="N35" s="8" t="n"/>
    </row>
    <row r="36" ht="22" customHeight="1">
      <c r="A36" s="5">
        <f>IF(B36="","",IF(COUNTA($A$6:A36)=0,"ENT-"&amp;TEXT(COUNTA($B$6:B36),"000"),"ENT-"&amp;TEXT(ROW()-5,"000")))</f>
        <v/>
      </c>
      <c r="B36" s="5" t="n"/>
      <c r="C36" s="5">
        <f>IF(B36="","",VLOOKUP(B36,'F01 - _Données Collaborateurs'!$B$6:$F$20,5,FALSE))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26">
        <f>IF(B36="","",IFERROR(VLOOKUP(B36,'F01 - _Données Collaborateurs'!$B$6:$G$20,6,FALSE),""))</f>
        <v/>
      </c>
      <c r="M36" s="26">
        <f>IF(OR(G36="",L36=""),"",IFERROR(G36-L36/20*5,0))</f>
        <v/>
      </c>
      <c r="N36" s="5" t="n"/>
    </row>
    <row r="37" ht="22" customHeight="1">
      <c r="A37" s="8">
        <f>IF(B37="","",IF(COUNTA($A$6:A37)=0,"ENT-"&amp;TEXT(COUNTA($B$6:B37),"000"),"ENT-"&amp;TEXT(ROW()-5,"000")))</f>
        <v/>
      </c>
      <c r="B37" s="8" t="n"/>
      <c r="C37" s="8">
        <f>IF(B37="","",VLOOKUP(B37,'F01 - _Données Collaborateurs'!$B$6:$F$20,5,FALSE))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28">
        <f>IF(B37="","",IFERROR(VLOOKUP(B37,'F01 - _Données Collaborateurs'!$B$6:$G$20,6,FALSE),""))</f>
        <v/>
      </c>
      <c r="M37" s="28">
        <f>IF(OR(G37="",L37=""),"",IFERROR(G37-L37/20*5,0))</f>
        <v/>
      </c>
      <c r="N37" s="8" t="n"/>
    </row>
    <row r="38" ht="22" customHeight="1">
      <c r="A38" s="5">
        <f>IF(B38="","",IF(COUNTA($A$6:A38)=0,"ENT-"&amp;TEXT(COUNTA($B$6:B38),"000"),"ENT-"&amp;TEXT(ROW()-5,"000")))</f>
        <v/>
      </c>
      <c r="B38" s="5" t="n"/>
      <c r="C38" s="5">
        <f>IF(B38="","",VLOOKUP(B38,'F01 - _Données Collaborateurs'!$B$6:$F$20,5,FALSE))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26">
        <f>IF(B38="","",IFERROR(VLOOKUP(B38,'F01 - _Données Collaborateurs'!$B$6:$G$20,6,FALSE),""))</f>
        <v/>
      </c>
      <c r="M38" s="26">
        <f>IF(OR(G38="",L38=""),"",IFERROR(G38-L38/20*5,0))</f>
        <v/>
      </c>
      <c r="N38" s="5" t="n"/>
    </row>
    <row r="39" ht="22" customHeight="1">
      <c r="A39" s="8">
        <f>IF(B39="","",IF(COUNTA($A$6:A39)=0,"ENT-"&amp;TEXT(COUNTA($B$6:B39),"000"),"ENT-"&amp;TEXT(ROW()-5,"000")))</f>
        <v/>
      </c>
      <c r="B39" s="8" t="n"/>
      <c r="C39" s="8">
        <f>IF(B39="","",VLOOKUP(B39,'F01 - _Données Collaborateurs'!$B$6:$F$20,5,FALSE))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28">
        <f>IF(B39="","",IFERROR(VLOOKUP(B39,'F01 - _Données Collaborateurs'!$B$6:$G$20,6,FALSE),""))</f>
        <v/>
      </c>
      <c r="M39" s="28">
        <f>IF(OR(G39="",L39=""),"",IFERROR(G39-L39/20*5,0))</f>
        <v/>
      </c>
      <c r="N39" s="8" t="n"/>
    </row>
    <row r="40" ht="22" customHeight="1">
      <c r="A40" s="5">
        <f>IF(B40="","",IF(COUNTA($A$6:A40)=0,"ENT-"&amp;TEXT(COUNTA($B$6:B40),"000"),"ENT-"&amp;TEXT(ROW()-5,"000")))</f>
        <v/>
      </c>
      <c r="B40" s="5" t="n"/>
      <c r="C40" s="5">
        <f>IF(B40="","",VLOOKUP(B40,'F01 - _Données Collaborateurs'!$B$6:$F$20,5,FALSE))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26">
        <f>IF(B40="","",IFERROR(VLOOKUP(B40,'F01 - _Données Collaborateurs'!$B$6:$G$20,6,FALSE),""))</f>
        <v/>
      </c>
      <c r="M40" s="26">
        <f>IF(OR(G40="",L40=""),"",IFERROR(G40-L40/20*5,0))</f>
        <v/>
      </c>
      <c r="N40" s="5" t="n"/>
    </row>
    <row r="41" ht="22" customHeight="1">
      <c r="A41" s="8">
        <f>IF(B41="","",IF(COUNTA($A$6:A41)=0,"ENT-"&amp;TEXT(COUNTA($B$6:B41),"000"),"ENT-"&amp;TEXT(ROW()-5,"000")))</f>
        <v/>
      </c>
      <c r="B41" s="8" t="n"/>
      <c r="C41" s="8">
        <f>IF(B41="","",VLOOKUP(B41,'F01 - _Données Collaborateurs'!$B$6:$F$20,5,FALSE))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28">
        <f>IF(B41="","",IFERROR(VLOOKUP(B41,'F01 - _Données Collaborateurs'!$B$6:$G$20,6,FALSE),""))</f>
        <v/>
      </c>
      <c r="M41" s="28">
        <f>IF(OR(G41="",L41=""),"",IFERROR(G41-L41/20*5,0))</f>
        <v/>
      </c>
      <c r="N41" s="8" t="n"/>
    </row>
    <row r="42" ht="22" customHeight="1">
      <c r="A42" s="5">
        <f>IF(B42="","",IF(COUNTA($A$6:A42)=0,"ENT-"&amp;TEXT(COUNTA($B$6:B42),"000"),"ENT-"&amp;TEXT(ROW()-5,"000")))</f>
        <v/>
      </c>
      <c r="B42" s="5" t="n"/>
      <c r="C42" s="5">
        <f>IF(B42="","",VLOOKUP(B42,'F01 - _Données Collaborateurs'!$B$6:$F$20,5,FALSE))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26">
        <f>IF(B42="","",IFERROR(VLOOKUP(B42,'F01 - _Données Collaborateurs'!$B$6:$G$20,6,FALSE),""))</f>
        <v/>
      </c>
      <c r="M42" s="26">
        <f>IF(OR(G42="",L42=""),"",IFERROR(G42-L42/20*5,0))</f>
        <v/>
      </c>
      <c r="N42" s="5" t="n"/>
    </row>
    <row r="43" ht="22" customHeight="1">
      <c r="A43" s="8">
        <f>IF(B43="","",IF(COUNTA($A$6:A43)=0,"ENT-"&amp;TEXT(COUNTA($B$6:B43),"000"),"ENT-"&amp;TEXT(ROW()-5,"000")))</f>
        <v/>
      </c>
      <c r="B43" s="8" t="n"/>
      <c r="C43" s="8">
        <f>IF(B43="","",VLOOKUP(B43,'F01 - _Données Collaborateurs'!$B$6:$F$20,5,FALSE))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28">
        <f>IF(B43="","",IFERROR(VLOOKUP(B43,'F01 - _Données Collaborateurs'!$B$6:$G$20,6,FALSE),""))</f>
        <v/>
      </c>
      <c r="M43" s="28">
        <f>IF(OR(G43="",L43=""),"",IFERROR(G43-L43/20*5,0))</f>
        <v/>
      </c>
      <c r="N43" s="8" t="n"/>
    </row>
    <row r="44" ht="22" customHeight="1">
      <c r="A44" s="5">
        <f>IF(B44="","",IF(COUNTA($A$6:A44)=0,"ENT-"&amp;TEXT(COUNTA($B$6:B44),"000"),"ENT-"&amp;TEXT(ROW()-5,"000")))</f>
        <v/>
      </c>
      <c r="B44" s="5" t="n"/>
      <c r="C44" s="5">
        <f>IF(B44="","",VLOOKUP(B44,'F01 - _Données Collaborateurs'!$B$6:$F$20,5,FALSE))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26">
        <f>IF(B44="","",IFERROR(VLOOKUP(B44,'F01 - _Données Collaborateurs'!$B$6:$G$20,6,FALSE),""))</f>
        <v/>
      </c>
      <c r="M44" s="26">
        <f>IF(OR(G44="",L44=""),"",IFERROR(G44-L44/20*5,0))</f>
        <v/>
      </c>
      <c r="N44" s="5" t="n"/>
    </row>
    <row r="45" ht="22" customHeight="1">
      <c r="A45" s="8">
        <f>IF(B45="","",IF(COUNTA($A$6:A45)=0,"ENT-"&amp;TEXT(COUNTA($B$6:B45),"000"),"ENT-"&amp;TEXT(ROW()-5,"000")))</f>
        <v/>
      </c>
      <c r="B45" s="8" t="n"/>
      <c r="C45" s="8">
        <f>IF(B45="","",VLOOKUP(B45,'F01 - _Données Collaborateurs'!$B$6:$F$20,5,FALSE))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28">
        <f>IF(B45="","",IFERROR(VLOOKUP(B45,'F01 - _Données Collaborateurs'!$B$6:$G$20,6,FALSE),""))</f>
        <v/>
      </c>
      <c r="M45" s="28">
        <f>IF(OR(G45="",L45=""),"",IFERROR(G45-L45/20*5,0))</f>
        <v/>
      </c>
      <c r="N45" s="8" t="n"/>
    </row>
    <row r="46" ht="22" customHeight="1">
      <c r="A46" s="5">
        <f>IF(B46="","",IF(COUNTA($A$6:A46)=0,"ENT-"&amp;TEXT(COUNTA($B$6:B46),"000"),"ENT-"&amp;TEXT(ROW()-5,"000")))</f>
        <v/>
      </c>
      <c r="B46" s="5" t="n"/>
      <c r="C46" s="5">
        <f>IF(B46="","",VLOOKUP(B46,'F01 - _Données Collaborateurs'!$B$6:$F$20,5,FALSE))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26">
        <f>IF(B46="","",IFERROR(VLOOKUP(B46,'F01 - _Données Collaborateurs'!$B$6:$G$20,6,FALSE),""))</f>
        <v/>
      </c>
      <c r="M46" s="26">
        <f>IF(OR(G46="",L46=""),"",IFERROR(G46-L46/20*5,0))</f>
        <v/>
      </c>
      <c r="N46" s="5" t="n"/>
    </row>
    <row r="47" ht="22" customHeight="1">
      <c r="A47" s="8">
        <f>IF(B47="","",IF(COUNTA($A$6:A47)=0,"ENT-"&amp;TEXT(COUNTA($B$6:B47),"000"),"ENT-"&amp;TEXT(ROW()-5,"000")))</f>
        <v/>
      </c>
      <c r="B47" s="8" t="n"/>
      <c r="C47" s="8">
        <f>IF(B47="","",VLOOKUP(B47,'F01 - _Données Collaborateurs'!$B$6:$F$20,5,FALSE))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28">
        <f>IF(B47="","",IFERROR(VLOOKUP(B47,'F01 - _Données Collaborateurs'!$B$6:$G$20,6,FALSE),""))</f>
        <v/>
      </c>
      <c r="M47" s="28">
        <f>IF(OR(G47="",L47=""),"",IFERROR(G47-L47/20*5,0))</f>
        <v/>
      </c>
      <c r="N47" s="8" t="n"/>
    </row>
    <row r="48" ht="22" customHeight="1">
      <c r="A48" s="5">
        <f>IF(B48="","",IF(COUNTA($A$6:A48)=0,"ENT-"&amp;TEXT(COUNTA($B$6:B48),"000"),"ENT-"&amp;TEXT(ROW()-5,"000")))</f>
        <v/>
      </c>
      <c r="B48" s="5" t="n"/>
      <c r="C48" s="5">
        <f>IF(B48="","",VLOOKUP(B48,'F01 - _Données Collaborateurs'!$B$6:$F$20,5,FALSE))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26">
        <f>IF(B48="","",IFERROR(VLOOKUP(B48,'F01 - _Données Collaborateurs'!$B$6:$G$20,6,FALSE),""))</f>
        <v/>
      </c>
      <c r="M48" s="26">
        <f>IF(OR(G48="",L48=""),"",IFERROR(G48-L48/20*5,0))</f>
        <v/>
      </c>
      <c r="N48" s="5" t="n"/>
    </row>
    <row r="49" ht="22" customHeight="1">
      <c r="A49" s="8">
        <f>IF(B49="","",IF(COUNTA($A$6:A49)=0,"ENT-"&amp;TEXT(COUNTA($B$6:B49),"000"),"ENT-"&amp;TEXT(ROW()-5,"000")))</f>
        <v/>
      </c>
      <c r="B49" s="8" t="n"/>
      <c r="C49" s="8">
        <f>IF(B49="","",VLOOKUP(B49,'F01 - _Données Collaborateurs'!$B$6:$F$20,5,FALSE))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28">
        <f>IF(B49="","",IFERROR(VLOOKUP(B49,'F01 - _Données Collaborateurs'!$B$6:$G$20,6,FALSE),""))</f>
        <v/>
      </c>
      <c r="M49" s="28">
        <f>IF(OR(G49="",L49=""),"",IFERROR(G49-L49/20*5,0))</f>
        <v/>
      </c>
      <c r="N49" s="8" t="n"/>
    </row>
    <row r="50" ht="22" customHeight="1">
      <c r="A50" s="5">
        <f>IF(B50="","",IF(COUNTA($A$6:A50)=0,"ENT-"&amp;TEXT(COUNTA($B$6:B50),"000"),"ENT-"&amp;TEXT(ROW()-5,"000")))</f>
        <v/>
      </c>
      <c r="B50" s="5" t="n"/>
      <c r="C50" s="5">
        <f>IF(B50="","",VLOOKUP(B50,'F01 - _Données Collaborateurs'!$B$6:$F$20,5,FALSE))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26">
        <f>IF(B50="","",IFERROR(VLOOKUP(B50,'F01 - _Données Collaborateurs'!$B$6:$G$20,6,FALSE),""))</f>
        <v/>
      </c>
      <c r="M50" s="26">
        <f>IF(OR(G50="",L50=""),"",IFERROR(G50-L50/20*5,0))</f>
        <v/>
      </c>
      <c r="N50" s="5" t="n"/>
    </row>
    <row r="51" ht="22" customHeight="1">
      <c r="A51" s="8">
        <f>IF(B51="","",IF(COUNTA($A$6:A51)=0,"ENT-"&amp;TEXT(COUNTA($B$6:B51),"000"),"ENT-"&amp;TEXT(ROW()-5,"000")))</f>
        <v/>
      </c>
      <c r="B51" s="8" t="n"/>
      <c r="C51" s="8">
        <f>IF(B51="","",VLOOKUP(B51,'F01 - _Données Collaborateurs'!$B$6:$F$20,5,FALSE))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28">
        <f>IF(B51="","",IFERROR(VLOOKUP(B51,'F01 - _Données Collaborateurs'!$B$6:$G$20,6,FALSE),""))</f>
        <v/>
      </c>
      <c r="M51" s="28">
        <f>IF(OR(G51="",L51=""),"",IFERROR(G51-L51/20*5,0))</f>
        <v/>
      </c>
      <c r="N51" s="8" t="n"/>
    </row>
    <row r="52" ht="22" customHeight="1">
      <c r="A52" s="5">
        <f>IF(B52="","",IF(COUNTA($A$6:A52)=0,"ENT-"&amp;TEXT(COUNTA($B$6:B52),"000"),"ENT-"&amp;TEXT(ROW()-5,"000")))</f>
        <v/>
      </c>
      <c r="B52" s="5" t="n"/>
      <c r="C52" s="5">
        <f>IF(B52="","",VLOOKUP(B52,'F01 - _Données Collaborateurs'!$B$6:$F$20,5,FALSE))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26">
        <f>IF(B52="","",IFERROR(VLOOKUP(B52,'F01 - _Données Collaborateurs'!$B$6:$G$20,6,FALSE),""))</f>
        <v/>
      </c>
      <c r="M52" s="26">
        <f>IF(OR(G52="",L52=""),"",IFERROR(G52-L52/20*5,0))</f>
        <v/>
      </c>
      <c r="N52" s="5" t="n"/>
    </row>
    <row r="53" ht="22" customHeight="1">
      <c r="A53" s="8">
        <f>IF(B53="","",IF(COUNTA($A$6:A53)=0,"ENT-"&amp;TEXT(COUNTA($B$6:B53),"000"),"ENT-"&amp;TEXT(ROW()-5,"000")))</f>
        <v/>
      </c>
      <c r="B53" s="8" t="n"/>
      <c r="C53" s="8">
        <f>IF(B53="","",VLOOKUP(B53,'F01 - _Données Collaborateurs'!$B$6:$F$20,5,FALSE))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28">
        <f>IF(B53="","",IFERROR(VLOOKUP(B53,'F01 - _Données Collaborateurs'!$B$6:$G$20,6,FALSE),""))</f>
        <v/>
      </c>
      <c r="M53" s="28">
        <f>IF(OR(G53="",L53=""),"",IFERROR(G53-L53/20*5,0))</f>
        <v/>
      </c>
      <c r="N53" s="8" t="n"/>
    </row>
    <row r="54" ht="22" customHeight="1">
      <c r="A54" s="5">
        <f>IF(B54="","",IF(COUNTA($A$6:A54)=0,"ENT-"&amp;TEXT(COUNTA($B$6:B54),"000"),"ENT-"&amp;TEXT(ROW()-5,"000")))</f>
        <v/>
      </c>
      <c r="B54" s="5" t="n"/>
      <c r="C54" s="5">
        <f>IF(B54="","",VLOOKUP(B54,'F01 - _Données Collaborateurs'!$B$6:$F$20,5,FALSE))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26">
        <f>IF(B54="","",IFERROR(VLOOKUP(B54,'F01 - _Données Collaborateurs'!$B$6:$G$20,6,FALSE),""))</f>
        <v/>
      </c>
      <c r="M54" s="26">
        <f>IF(OR(G54="",L54=""),"",IFERROR(G54-L54/20*5,0))</f>
        <v/>
      </c>
      <c r="N54" s="5" t="n"/>
    </row>
    <row r="55" ht="22" customHeight="1">
      <c r="A55" s="8">
        <f>IF(B55="","",IF(COUNTA($A$6:A55)=0,"ENT-"&amp;TEXT(COUNTA($B$6:B55),"000"),"ENT-"&amp;TEXT(ROW()-5,"000")))</f>
        <v/>
      </c>
      <c r="B55" s="8" t="n"/>
      <c r="C55" s="8">
        <f>IF(B55="","",VLOOKUP(B55,'F01 - _Données Collaborateurs'!$B$6:$F$20,5,FALSE))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28">
        <f>IF(B55="","",IFERROR(VLOOKUP(B55,'F01 - _Données Collaborateurs'!$B$6:$G$20,6,FALSE),""))</f>
        <v/>
      </c>
      <c r="M55" s="28">
        <f>IF(OR(G55="",L55=""),"",IFERROR(G55-L55/20*5,0))</f>
        <v/>
      </c>
      <c r="N55" s="8" t="n"/>
    </row>
    <row r="56" ht="22" customHeight="1">
      <c r="A56" s="5">
        <f>IF(B56="","",IF(COUNTA($A$6:A56)=0,"ENT-"&amp;TEXT(COUNTA($B$6:B56),"000"),"ENT-"&amp;TEXT(ROW()-5,"000")))</f>
        <v/>
      </c>
      <c r="B56" s="5" t="n"/>
      <c r="C56" s="5">
        <f>IF(B56="","",VLOOKUP(B56,'F01 - _Données Collaborateurs'!$B$6:$F$20,5,FALSE))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26">
        <f>IF(B56="","",IFERROR(VLOOKUP(B56,'F01 - _Données Collaborateurs'!$B$6:$G$20,6,FALSE),""))</f>
        <v/>
      </c>
      <c r="M56" s="26">
        <f>IF(OR(G56="",L56=""),"",IFERROR(G56-L56/20*5,0))</f>
        <v/>
      </c>
      <c r="N56" s="5" t="n"/>
    </row>
    <row r="57" ht="22" customHeight="1">
      <c r="A57" s="8">
        <f>IF(B57="","",IF(COUNTA($A$6:A57)=0,"ENT-"&amp;TEXT(COUNTA($B$6:B57),"000"),"ENT-"&amp;TEXT(ROW()-5,"000")))</f>
        <v/>
      </c>
      <c r="B57" s="8" t="n"/>
      <c r="C57" s="8">
        <f>IF(B57="","",VLOOKUP(B57,'F01 - _Données Collaborateurs'!$B$6:$F$20,5,FALSE))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28">
        <f>IF(B57="","",IFERROR(VLOOKUP(B57,'F01 - _Données Collaborateurs'!$B$6:$G$20,6,FALSE),""))</f>
        <v/>
      </c>
      <c r="M57" s="28">
        <f>IF(OR(G57="",L57=""),"",IFERROR(G57-L57/20*5,0))</f>
        <v/>
      </c>
      <c r="N57" s="8" t="n"/>
    </row>
    <row r="58" ht="22" customHeight="1">
      <c r="A58" s="5">
        <f>IF(B58="","",IF(COUNTA($A$6:A58)=0,"ENT-"&amp;TEXT(COUNTA($B$6:B58),"000"),"ENT-"&amp;TEXT(ROW()-5,"000")))</f>
        <v/>
      </c>
      <c r="B58" s="5" t="n"/>
      <c r="C58" s="5">
        <f>IF(B58="","",VLOOKUP(B58,'F01 - _Données Collaborateurs'!$B$6:$F$20,5,FALSE))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26">
        <f>IF(B58="","",IFERROR(VLOOKUP(B58,'F01 - _Données Collaborateurs'!$B$6:$G$20,6,FALSE),""))</f>
        <v/>
      </c>
      <c r="M58" s="26">
        <f>IF(OR(G58="",L58=""),"",IFERROR(G58-L58/20*5,0))</f>
        <v/>
      </c>
      <c r="N58" s="5" t="n"/>
    </row>
    <row r="59" ht="22" customHeight="1">
      <c r="A59" s="8">
        <f>IF(B59="","",IF(COUNTA($A$6:A59)=0,"ENT-"&amp;TEXT(COUNTA($B$6:B59),"000"),"ENT-"&amp;TEXT(ROW()-5,"000")))</f>
        <v/>
      </c>
      <c r="B59" s="8" t="n"/>
      <c r="C59" s="8">
        <f>IF(B59="","",VLOOKUP(B59,'F01 - _Données Collaborateurs'!$B$6:$F$20,5,FALSE))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28">
        <f>IF(B59="","",IFERROR(VLOOKUP(B59,'F01 - _Données Collaborateurs'!$B$6:$G$20,6,FALSE),""))</f>
        <v/>
      </c>
      <c r="M59" s="28">
        <f>IF(OR(G59="",L59=""),"",IFERROR(G59-L59/20*5,0))</f>
        <v/>
      </c>
      <c r="N59" s="8" t="n"/>
    </row>
    <row r="60" ht="22" customHeight="1">
      <c r="A60" s="5">
        <f>IF(B60="","",IF(COUNTA($A$6:A60)=0,"ENT-"&amp;TEXT(COUNTA($B$6:B60),"000"),"ENT-"&amp;TEXT(ROW()-5,"000")))</f>
        <v/>
      </c>
      <c r="B60" s="5" t="n"/>
      <c r="C60" s="5">
        <f>IF(B60="","",VLOOKUP(B60,'F01 - _Données Collaborateurs'!$B$6:$F$20,5,FALSE))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26">
        <f>IF(B60="","",IFERROR(VLOOKUP(B60,'F01 - _Données Collaborateurs'!$B$6:$G$20,6,FALSE),""))</f>
        <v/>
      </c>
      <c r="M60" s="26">
        <f>IF(OR(G60="",L60=""),"",IFERROR(G60-L60/20*5,0))</f>
        <v/>
      </c>
      <c r="N60" s="5" t="n"/>
    </row>
    <row r="61" ht="22" customHeight="1">
      <c r="A61" s="8">
        <f>IF(B61="","",IF(COUNTA($A$6:A61)=0,"ENT-"&amp;TEXT(COUNTA($B$6:B61),"000"),"ENT-"&amp;TEXT(ROW()-5,"000")))</f>
        <v/>
      </c>
      <c r="B61" s="8" t="n"/>
      <c r="C61" s="8">
        <f>IF(B61="","",VLOOKUP(B61,'F01 - _Données Collaborateurs'!$B$6:$F$20,5,FALSE))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28">
        <f>IF(B61="","",IFERROR(VLOOKUP(B61,'F01 - _Données Collaborateurs'!$B$6:$G$20,6,FALSE),""))</f>
        <v/>
      </c>
      <c r="M61" s="28">
        <f>IF(OR(G61="",L61=""),"",IFERROR(G61-L61/20*5,0))</f>
        <v/>
      </c>
      <c r="N61" s="8" t="n"/>
    </row>
    <row r="62" ht="22" customHeight="1">
      <c r="A62" s="5">
        <f>IF(B62="","",IF(COUNTA($A$6:A62)=0,"ENT-"&amp;TEXT(COUNTA($B$6:B62),"000"),"ENT-"&amp;TEXT(ROW()-5,"000")))</f>
        <v/>
      </c>
      <c r="B62" s="5" t="n"/>
      <c r="C62" s="5">
        <f>IF(B62="","",VLOOKUP(B62,'F01 - _Données Collaborateurs'!$B$6:$F$20,5,FALSE))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26">
        <f>IF(B62="","",IFERROR(VLOOKUP(B62,'F01 - _Données Collaborateurs'!$B$6:$G$20,6,FALSE),""))</f>
        <v/>
      </c>
      <c r="M62" s="26">
        <f>IF(OR(G62="",L62=""),"",IFERROR(G62-L62/20*5,0))</f>
        <v/>
      </c>
      <c r="N62" s="5" t="n"/>
    </row>
    <row r="63" ht="22" customHeight="1">
      <c r="A63" s="8">
        <f>IF(B63="","",IF(COUNTA($A$6:A63)=0,"ENT-"&amp;TEXT(COUNTA($B$6:B63),"000"),"ENT-"&amp;TEXT(ROW()-5,"000")))</f>
        <v/>
      </c>
      <c r="B63" s="8" t="n"/>
      <c r="C63" s="8">
        <f>IF(B63="","",VLOOKUP(B63,'F01 - _Données Collaborateurs'!$B$6:$F$20,5,FALSE))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28">
        <f>IF(B63="","",IFERROR(VLOOKUP(B63,'F01 - _Données Collaborateurs'!$B$6:$G$20,6,FALSE),""))</f>
        <v/>
      </c>
      <c r="M63" s="28">
        <f>IF(OR(G63="",L63=""),"",IFERROR(G63-L63/20*5,0))</f>
        <v/>
      </c>
      <c r="N63" s="8" t="n"/>
    </row>
    <row r="64" ht="22" customHeight="1">
      <c r="A64" s="5">
        <f>IF(B64="","",IF(COUNTA($A$6:A64)=0,"ENT-"&amp;TEXT(COUNTA($B$6:B64),"000"),"ENT-"&amp;TEXT(ROW()-5,"000")))</f>
        <v/>
      </c>
      <c r="B64" s="5" t="n"/>
      <c r="C64" s="5">
        <f>IF(B64="","",VLOOKUP(B64,'F01 - _Données Collaborateurs'!$B$6:$F$20,5,FALSE))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26">
        <f>IF(B64="","",IFERROR(VLOOKUP(B64,'F01 - _Données Collaborateurs'!$B$6:$G$20,6,FALSE),""))</f>
        <v/>
      </c>
      <c r="M64" s="26">
        <f>IF(OR(G64="",L64=""),"",IFERROR(G64-L64/20*5,0))</f>
        <v/>
      </c>
      <c r="N64" s="5" t="n"/>
    </row>
    <row r="65" ht="22" customHeight="1">
      <c r="A65" s="8">
        <f>IF(B65="","",IF(COUNTA($A$6:A65)=0,"ENT-"&amp;TEXT(COUNTA($B$6:B65),"000"),"ENT-"&amp;TEXT(ROW()-5,"000")))</f>
        <v/>
      </c>
      <c r="B65" s="8" t="n"/>
      <c r="C65" s="8">
        <f>IF(B65="","",VLOOKUP(B65,'F01 - _Données Collaborateurs'!$B$6:$F$20,5,FALSE))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28">
        <f>IF(B65="","",IFERROR(VLOOKUP(B65,'F01 - _Données Collaborateurs'!$B$6:$G$20,6,FALSE),""))</f>
        <v/>
      </c>
      <c r="M65" s="28">
        <f>IF(OR(G65="",L65=""),"",IFERROR(G65-L65/20*5,0))</f>
        <v/>
      </c>
      <c r="N65" s="8" t="n"/>
    </row>
    <row r="66" ht="22" customHeight="1">
      <c r="A66" s="5">
        <f>IF(B66="","",IF(COUNTA($A$6:A66)=0,"ENT-"&amp;TEXT(COUNTA($B$6:B66),"000"),"ENT-"&amp;TEXT(ROW()-5,"000")))</f>
        <v/>
      </c>
      <c r="B66" s="5" t="n"/>
      <c r="C66" s="5">
        <f>IF(B66="","",VLOOKUP(B66,'F01 - _Données Collaborateurs'!$B$6:$F$20,5,FALSE))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26">
        <f>IF(B66="","",IFERROR(VLOOKUP(B66,'F01 - _Données Collaborateurs'!$B$6:$G$20,6,FALSE),""))</f>
        <v/>
      </c>
      <c r="M66" s="26">
        <f>IF(OR(G66="",L66=""),"",IFERROR(G66-L66/20*5,0))</f>
        <v/>
      </c>
      <c r="N66" s="5" t="n"/>
    </row>
    <row r="67" ht="22" customHeight="1">
      <c r="A67" s="8">
        <f>IF(B67="","",IF(COUNTA($A$6:A67)=0,"ENT-"&amp;TEXT(COUNTA($B$6:B67),"000"),"ENT-"&amp;TEXT(ROW()-5,"000")))</f>
        <v/>
      </c>
      <c r="B67" s="8" t="n"/>
      <c r="C67" s="8">
        <f>IF(B67="","",VLOOKUP(B67,'F01 - _Données Collaborateurs'!$B$6:$F$20,5,FALSE))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28">
        <f>IF(B67="","",IFERROR(VLOOKUP(B67,'F01 - _Données Collaborateurs'!$B$6:$G$20,6,FALSE),""))</f>
        <v/>
      </c>
      <c r="M67" s="28">
        <f>IF(OR(G67="",L67=""),"",IFERROR(G67-L67/20*5,0))</f>
        <v/>
      </c>
      <c r="N67" s="8" t="n"/>
    </row>
    <row r="68" ht="22" customHeight="1">
      <c r="A68" s="5">
        <f>IF(B68="","",IF(COUNTA($A$6:A68)=0,"ENT-"&amp;TEXT(COUNTA($B$6:B68),"000"),"ENT-"&amp;TEXT(ROW()-5,"000")))</f>
        <v/>
      </c>
      <c r="B68" s="5" t="n"/>
      <c r="C68" s="5">
        <f>IF(B68="","",VLOOKUP(B68,'F01 - _Données Collaborateurs'!$B$6:$F$20,5,FALSE))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26">
        <f>IF(B68="","",IFERROR(VLOOKUP(B68,'F01 - _Données Collaborateurs'!$B$6:$G$20,6,FALSE),""))</f>
        <v/>
      </c>
      <c r="M68" s="26">
        <f>IF(OR(G68="",L68=""),"",IFERROR(G68-L68/20*5,0))</f>
        <v/>
      </c>
      <c r="N68" s="5" t="n"/>
    </row>
    <row r="69" ht="22" customHeight="1">
      <c r="A69" s="8">
        <f>IF(B69="","",IF(COUNTA($A$6:A69)=0,"ENT-"&amp;TEXT(COUNTA($B$6:B69),"000"),"ENT-"&amp;TEXT(ROW()-5,"000")))</f>
        <v/>
      </c>
      <c r="B69" s="8" t="n"/>
      <c r="C69" s="8">
        <f>IF(B69="","",VLOOKUP(B69,'F01 - _Données Collaborateurs'!$B$6:$F$20,5,FALSE))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28">
        <f>IF(B69="","",IFERROR(VLOOKUP(B69,'F01 - _Données Collaborateurs'!$B$6:$G$20,6,FALSE),""))</f>
        <v/>
      </c>
      <c r="M69" s="28">
        <f>IF(OR(G69="",L69=""),"",IFERROR(G69-L69/20*5,0))</f>
        <v/>
      </c>
      <c r="N69" s="8" t="n"/>
    </row>
    <row r="70" ht="22" customHeight="1">
      <c r="A70" s="5">
        <f>IF(B70="","",IF(COUNTA($A$6:A70)=0,"ENT-"&amp;TEXT(COUNTA($B$6:B70),"000"),"ENT-"&amp;TEXT(ROW()-5,"000")))</f>
        <v/>
      </c>
      <c r="B70" s="5" t="n"/>
      <c r="C70" s="5">
        <f>IF(B70="","",VLOOKUP(B70,'F01 - _Données Collaborateurs'!$B$6:$F$20,5,FALSE))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26">
        <f>IF(B70="","",IFERROR(VLOOKUP(B70,'F01 - _Données Collaborateurs'!$B$6:$G$20,6,FALSE),""))</f>
        <v/>
      </c>
      <c r="M70" s="26">
        <f>IF(OR(G70="",L70=""),"",IFERROR(G70-L70/20*5,0))</f>
        <v/>
      </c>
      <c r="N70" s="5" t="n"/>
    </row>
    <row r="71" ht="22" customHeight="1">
      <c r="A71" s="8">
        <f>IF(B71="","",IF(COUNTA($A$6:A71)=0,"ENT-"&amp;TEXT(COUNTA($B$6:B71),"000"),"ENT-"&amp;TEXT(ROW()-5,"000")))</f>
        <v/>
      </c>
      <c r="B71" s="8" t="n"/>
      <c r="C71" s="8">
        <f>IF(B71="","",VLOOKUP(B71,'F01 - _Données Collaborateurs'!$B$6:$F$20,5,FALSE))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28">
        <f>IF(B71="","",IFERROR(VLOOKUP(B71,'F01 - _Données Collaborateurs'!$B$6:$G$20,6,FALSE),""))</f>
        <v/>
      </c>
      <c r="M71" s="28">
        <f>IF(OR(G71="",L71=""),"",IFERROR(G71-L71/20*5,0))</f>
        <v/>
      </c>
      <c r="N71" s="8" t="n"/>
    </row>
    <row r="72" ht="22" customHeight="1">
      <c r="A72" s="5">
        <f>IF(B72="","",IF(COUNTA($A$6:A72)=0,"ENT-"&amp;TEXT(COUNTA($B$6:B72),"000"),"ENT-"&amp;TEXT(ROW()-5,"000")))</f>
        <v/>
      </c>
      <c r="B72" s="5" t="n"/>
      <c r="C72" s="5">
        <f>IF(B72="","",VLOOKUP(B72,'F01 - _Données Collaborateurs'!$B$6:$F$20,5,FALSE))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26">
        <f>IF(B72="","",IFERROR(VLOOKUP(B72,'F01 - _Données Collaborateurs'!$B$6:$G$20,6,FALSE),""))</f>
        <v/>
      </c>
      <c r="M72" s="26">
        <f>IF(OR(G72="",L72=""),"",IFERROR(G72-L72/20*5,0))</f>
        <v/>
      </c>
      <c r="N72" s="5" t="n"/>
    </row>
    <row r="73" ht="22" customHeight="1">
      <c r="A73" s="8">
        <f>IF(B73="","",IF(COUNTA($A$6:A73)=0,"ENT-"&amp;TEXT(COUNTA($B$6:B73),"000"),"ENT-"&amp;TEXT(ROW()-5,"000")))</f>
        <v/>
      </c>
      <c r="B73" s="8" t="n"/>
      <c r="C73" s="8">
        <f>IF(B73="","",VLOOKUP(B73,'F01 - _Données Collaborateurs'!$B$6:$F$20,5,FALSE))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28">
        <f>IF(B73="","",IFERROR(VLOOKUP(B73,'F01 - _Données Collaborateurs'!$B$6:$G$20,6,FALSE),""))</f>
        <v/>
      </c>
      <c r="M73" s="28">
        <f>IF(OR(G73="",L73=""),"",IFERROR(G73-L73/20*5,0))</f>
        <v/>
      </c>
      <c r="N73" s="8" t="n"/>
    </row>
    <row r="74" ht="22" customHeight="1">
      <c r="A74" s="5">
        <f>IF(B74="","",IF(COUNTA($A$6:A74)=0,"ENT-"&amp;TEXT(COUNTA($B$6:B74),"000"),"ENT-"&amp;TEXT(ROW()-5,"000")))</f>
        <v/>
      </c>
      <c r="B74" s="5" t="n"/>
      <c r="C74" s="5">
        <f>IF(B74="","",VLOOKUP(B74,'F01 - _Données Collaborateurs'!$B$6:$F$20,5,FALSE))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26">
        <f>IF(B74="","",IFERROR(VLOOKUP(B74,'F01 - _Données Collaborateurs'!$B$6:$G$20,6,FALSE),""))</f>
        <v/>
      </c>
      <c r="M74" s="26">
        <f>IF(OR(G74="",L74=""),"",IFERROR(G74-L74/20*5,0))</f>
        <v/>
      </c>
      <c r="N74" s="5" t="n"/>
    </row>
    <row r="75" ht="22" customHeight="1">
      <c r="A75" s="8">
        <f>IF(B75="","",IF(COUNTA($A$6:A75)=0,"ENT-"&amp;TEXT(COUNTA($B$6:B75),"000"),"ENT-"&amp;TEXT(ROW()-5,"000")))</f>
        <v/>
      </c>
      <c r="B75" s="8" t="n"/>
      <c r="C75" s="8">
        <f>IF(B75="","",VLOOKUP(B75,'F01 - _Données Collaborateurs'!$B$6:$F$20,5,FALSE))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28">
        <f>IF(B75="","",IFERROR(VLOOKUP(B75,'F01 - _Données Collaborateurs'!$B$6:$G$20,6,FALSE),""))</f>
        <v/>
      </c>
      <c r="M75" s="28">
        <f>IF(OR(G75="",L75=""),"",IFERROR(G75-L75/20*5,0))</f>
        <v/>
      </c>
      <c r="N75" s="8" t="n"/>
    </row>
    <row r="76" ht="22" customHeight="1">
      <c r="A76" s="5">
        <f>IF(B76="","",IF(COUNTA($A$6:A76)=0,"ENT-"&amp;TEXT(COUNTA($B$6:B76),"000"),"ENT-"&amp;TEXT(ROW()-5,"000")))</f>
        <v/>
      </c>
      <c r="B76" s="5" t="n"/>
      <c r="C76" s="5">
        <f>IF(B76="","",VLOOKUP(B76,'F01 - _Données Collaborateurs'!$B$6:$F$20,5,FALSE))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26">
        <f>IF(B76="","",IFERROR(VLOOKUP(B76,'F01 - _Données Collaborateurs'!$B$6:$G$20,6,FALSE),""))</f>
        <v/>
      </c>
      <c r="M76" s="26">
        <f>IF(OR(G76="",L76=""),"",IFERROR(G76-L76/20*5,0))</f>
        <v/>
      </c>
      <c r="N76" s="5" t="n"/>
    </row>
    <row r="77" ht="22" customHeight="1">
      <c r="A77" s="8">
        <f>IF(B77="","",IF(COUNTA($A$6:A77)=0,"ENT-"&amp;TEXT(COUNTA($B$6:B77),"000"),"ENT-"&amp;TEXT(ROW()-5,"000")))</f>
        <v/>
      </c>
      <c r="B77" s="8" t="n"/>
      <c r="C77" s="8">
        <f>IF(B77="","",VLOOKUP(B77,'F01 - _Données Collaborateurs'!$B$6:$F$20,5,FALSE))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28">
        <f>IF(B77="","",IFERROR(VLOOKUP(B77,'F01 - _Données Collaborateurs'!$B$6:$G$20,6,FALSE),""))</f>
        <v/>
      </c>
      <c r="M77" s="28">
        <f>IF(OR(G77="",L77=""),"",IFERROR(G77-L77/20*5,0))</f>
        <v/>
      </c>
      <c r="N77" s="8" t="n"/>
    </row>
    <row r="78" ht="22" customHeight="1">
      <c r="A78" s="5">
        <f>IF(B78="","",IF(COUNTA($A$6:A78)=0,"ENT-"&amp;TEXT(COUNTA($B$6:B78),"000"),"ENT-"&amp;TEXT(ROW()-5,"000")))</f>
        <v/>
      </c>
      <c r="B78" s="5" t="n"/>
      <c r="C78" s="5">
        <f>IF(B78="","",VLOOKUP(B78,'F01 - _Données Collaborateurs'!$B$6:$F$20,5,FALSE))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26">
        <f>IF(B78="","",IFERROR(VLOOKUP(B78,'F01 - _Données Collaborateurs'!$B$6:$G$20,6,FALSE),""))</f>
        <v/>
      </c>
      <c r="M78" s="26">
        <f>IF(OR(G78="",L78=""),"",IFERROR(G78-L78/20*5,0))</f>
        <v/>
      </c>
      <c r="N78" s="5" t="n"/>
    </row>
    <row r="79" ht="22" customHeight="1">
      <c r="A79" s="8">
        <f>IF(B79="","",IF(COUNTA($A$6:A79)=0,"ENT-"&amp;TEXT(COUNTA($B$6:B79),"000"),"ENT-"&amp;TEXT(ROW()-5,"000")))</f>
        <v/>
      </c>
      <c r="B79" s="8" t="n"/>
      <c r="C79" s="8">
        <f>IF(B79="","",VLOOKUP(B79,'F01 - _Données Collaborateurs'!$B$6:$F$20,5,FALSE))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28">
        <f>IF(B79="","",IFERROR(VLOOKUP(B79,'F01 - _Données Collaborateurs'!$B$6:$G$20,6,FALSE),""))</f>
        <v/>
      </c>
      <c r="M79" s="28">
        <f>IF(OR(G79="",L79=""),"",IFERROR(G79-L79/20*5,0))</f>
        <v/>
      </c>
      <c r="N79" s="8" t="n"/>
    </row>
    <row r="80" ht="22" customHeight="1">
      <c r="A80" s="5">
        <f>IF(B80="","",IF(COUNTA($A$6:A80)=0,"ENT-"&amp;TEXT(COUNTA($B$6:B80),"000"),"ENT-"&amp;TEXT(ROW()-5,"000")))</f>
        <v/>
      </c>
      <c r="B80" s="5" t="n"/>
      <c r="C80" s="5">
        <f>IF(B80="","",VLOOKUP(B80,'F01 - _Données Collaborateurs'!$B$6:$F$20,5,FALSE))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26">
        <f>IF(B80="","",IFERROR(VLOOKUP(B80,'F01 - _Données Collaborateurs'!$B$6:$G$20,6,FALSE),""))</f>
        <v/>
      </c>
      <c r="M80" s="26">
        <f>IF(OR(G80="",L80=""),"",IFERROR(G80-L80/20*5,0))</f>
        <v/>
      </c>
      <c r="N80" s="5" t="n"/>
    </row>
    <row r="81" ht="22" customHeight="1">
      <c r="A81" s="8">
        <f>IF(B81="","",IF(COUNTA($A$6:A81)=0,"ENT-"&amp;TEXT(COUNTA($B$6:B81),"000"),"ENT-"&amp;TEXT(ROW()-5,"000")))</f>
        <v/>
      </c>
      <c r="B81" s="8" t="n"/>
      <c r="C81" s="8">
        <f>IF(B81="","",VLOOKUP(B81,'F01 - _Données Collaborateurs'!$B$6:$F$20,5,FALSE))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28">
        <f>IF(B81="","",IFERROR(VLOOKUP(B81,'F01 - _Données Collaborateurs'!$B$6:$G$20,6,FALSE),""))</f>
        <v/>
      </c>
      <c r="M81" s="28">
        <f>IF(OR(G81="",L81=""),"",IFERROR(G81-L81/20*5,0))</f>
        <v/>
      </c>
      <c r="N81" s="8" t="n"/>
    </row>
    <row r="82" ht="22" customHeight="1">
      <c r="A82" s="5">
        <f>IF(B82="","",IF(COUNTA($A$6:A82)=0,"ENT-"&amp;TEXT(COUNTA($B$6:B82),"000"),"ENT-"&amp;TEXT(ROW()-5,"000")))</f>
        <v/>
      </c>
      <c r="B82" s="5" t="n"/>
      <c r="C82" s="5">
        <f>IF(B82="","",VLOOKUP(B82,'F01 - _Données Collaborateurs'!$B$6:$F$20,5,FALSE))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26">
        <f>IF(B82="","",IFERROR(VLOOKUP(B82,'F01 - _Données Collaborateurs'!$B$6:$G$20,6,FALSE),""))</f>
        <v/>
      </c>
      <c r="M82" s="26">
        <f>IF(OR(G82="",L82=""),"",IFERROR(G82-L82/20*5,0))</f>
        <v/>
      </c>
      <c r="N82" s="5" t="n"/>
    </row>
    <row r="83" ht="22" customHeight="1">
      <c r="A83" s="8">
        <f>IF(B83="","",IF(COUNTA($A$6:A83)=0,"ENT-"&amp;TEXT(COUNTA($B$6:B83),"000"),"ENT-"&amp;TEXT(ROW()-5,"000")))</f>
        <v/>
      </c>
      <c r="B83" s="8" t="n"/>
      <c r="C83" s="8">
        <f>IF(B83="","",VLOOKUP(B83,'F01 - _Données Collaborateurs'!$B$6:$F$20,5,FALSE))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28">
        <f>IF(B83="","",IFERROR(VLOOKUP(B83,'F01 - _Données Collaborateurs'!$B$6:$G$20,6,FALSE),""))</f>
        <v/>
      </c>
      <c r="M83" s="28">
        <f>IF(OR(G83="",L83=""),"",IFERROR(G83-L83/20*5,0))</f>
        <v/>
      </c>
      <c r="N83" s="8" t="n"/>
    </row>
    <row r="84" ht="22" customHeight="1">
      <c r="A84" s="5">
        <f>IF(B84="","",IF(COUNTA($A$6:A84)=0,"ENT-"&amp;TEXT(COUNTA($B$6:B84),"000"),"ENT-"&amp;TEXT(ROW()-5,"000")))</f>
        <v/>
      </c>
      <c r="B84" s="5" t="n"/>
      <c r="C84" s="5">
        <f>IF(B84="","",VLOOKUP(B84,'F01 - _Données Collaborateurs'!$B$6:$F$20,5,FALSE))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26">
        <f>IF(B84="","",IFERROR(VLOOKUP(B84,'F01 - _Données Collaborateurs'!$B$6:$G$20,6,FALSE),""))</f>
        <v/>
      </c>
      <c r="M84" s="26">
        <f>IF(OR(G84="",L84=""),"",IFERROR(G84-L84/20*5,0))</f>
        <v/>
      </c>
      <c r="N84" s="5" t="n"/>
    </row>
    <row r="85" ht="22" customHeight="1">
      <c r="A85" s="8">
        <f>IF(B85="","",IF(COUNTA($A$6:A85)=0,"ENT-"&amp;TEXT(COUNTA($B$6:B85),"000"),"ENT-"&amp;TEXT(ROW()-5,"000")))</f>
        <v/>
      </c>
      <c r="B85" s="8" t="n"/>
      <c r="C85" s="8">
        <f>IF(B85="","",VLOOKUP(B85,'F01 - _Données Collaborateurs'!$B$6:$F$20,5,FALSE))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28">
        <f>IF(B85="","",IFERROR(VLOOKUP(B85,'F01 - _Données Collaborateurs'!$B$6:$G$20,6,FALSE),""))</f>
        <v/>
      </c>
      <c r="M85" s="28">
        <f>IF(OR(G85="",L85=""),"",IFERROR(G85-L85/20*5,0))</f>
        <v/>
      </c>
      <c r="N85" s="8" t="n"/>
    </row>
    <row r="86" ht="22" customHeight="1">
      <c r="A86" s="5">
        <f>IF(B86="","",IF(COUNTA($A$6:A86)=0,"ENT-"&amp;TEXT(COUNTA($B$6:B86),"000"),"ENT-"&amp;TEXT(ROW()-5,"000")))</f>
        <v/>
      </c>
      <c r="B86" s="5" t="n"/>
      <c r="C86" s="5">
        <f>IF(B86="","",VLOOKUP(B86,'F01 - _Données Collaborateurs'!$B$6:$F$20,5,FALSE))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26">
        <f>IF(B86="","",IFERROR(VLOOKUP(B86,'F01 - _Données Collaborateurs'!$B$6:$G$20,6,FALSE),""))</f>
        <v/>
      </c>
      <c r="M86" s="26">
        <f>IF(OR(G86="",L86=""),"",IFERROR(G86-L86/20*5,0))</f>
        <v/>
      </c>
      <c r="N86" s="5" t="n"/>
    </row>
    <row r="87" ht="22" customHeight="1">
      <c r="A87" s="8">
        <f>IF(B87="","",IF(COUNTA($A$6:A87)=0,"ENT-"&amp;TEXT(COUNTA($B$6:B87),"000"),"ENT-"&amp;TEXT(ROW()-5,"000")))</f>
        <v/>
      </c>
      <c r="B87" s="8" t="n"/>
      <c r="C87" s="8">
        <f>IF(B87="","",VLOOKUP(B87,'F01 - _Données Collaborateurs'!$B$6:$F$20,5,FALSE))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28">
        <f>IF(B87="","",IFERROR(VLOOKUP(B87,'F01 - _Données Collaborateurs'!$B$6:$G$20,6,FALSE),""))</f>
        <v/>
      </c>
      <c r="M87" s="28">
        <f>IF(OR(G87="",L87=""),"",IFERROR(G87-L87/20*5,0))</f>
        <v/>
      </c>
      <c r="N87" s="8" t="n"/>
    </row>
    <row r="88" ht="22" customHeight="1">
      <c r="A88" s="5">
        <f>IF(B88="","",IF(COUNTA($A$6:A88)=0,"ENT-"&amp;TEXT(COUNTA($B$6:B88),"000"),"ENT-"&amp;TEXT(ROW()-5,"000")))</f>
        <v/>
      </c>
      <c r="B88" s="5" t="n"/>
      <c r="C88" s="5">
        <f>IF(B88="","",VLOOKUP(B88,'F01 - _Données Collaborateurs'!$B$6:$F$20,5,FALSE))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26">
        <f>IF(B88="","",IFERROR(VLOOKUP(B88,'F01 - _Données Collaborateurs'!$B$6:$G$20,6,FALSE),""))</f>
        <v/>
      </c>
      <c r="M88" s="26">
        <f>IF(OR(G88="",L88=""),"",IFERROR(G88-L88/20*5,0))</f>
        <v/>
      </c>
      <c r="N88" s="5" t="n"/>
    </row>
    <row r="89" ht="22" customHeight="1">
      <c r="A89" s="8">
        <f>IF(B89="","",IF(COUNTA($A$6:A89)=0,"ENT-"&amp;TEXT(COUNTA($B$6:B89),"000"),"ENT-"&amp;TEXT(ROW()-5,"000")))</f>
        <v/>
      </c>
      <c r="B89" s="8" t="n"/>
      <c r="C89" s="8">
        <f>IF(B89="","",VLOOKUP(B89,'F01 - _Données Collaborateurs'!$B$6:$F$20,5,FALSE))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28">
        <f>IF(B89="","",IFERROR(VLOOKUP(B89,'F01 - _Données Collaborateurs'!$B$6:$G$20,6,FALSE),""))</f>
        <v/>
      </c>
      <c r="M89" s="28">
        <f>IF(OR(G89="",L89=""),"",IFERROR(G89-L89/20*5,0))</f>
        <v/>
      </c>
      <c r="N89" s="8" t="n"/>
    </row>
    <row r="90" ht="22" customHeight="1">
      <c r="A90" s="5">
        <f>IF(B90="","",IF(COUNTA($A$6:A90)=0,"ENT-"&amp;TEXT(COUNTA($B$6:B90),"000"),"ENT-"&amp;TEXT(ROW()-5,"000")))</f>
        <v/>
      </c>
      <c r="B90" s="5" t="n"/>
      <c r="C90" s="5">
        <f>IF(B90="","",VLOOKUP(B90,'F01 - _Données Collaborateurs'!$B$6:$F$20,5,FALSE))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26">
        <f>IF(B90="","",IFERROR(VLOOKUP(B90,'F01 - _Données Collaborateurs'!$B$6:$G$20,6,FALSE),""))</f>
        <v/>
      </c>
      <c r="M90" s="26">
        <f>IF(OR(G90="",L90=""),"",IFERROR(G90-L90/20*5,0))</f>
        <v/>
      </c>
      <c r="N90" s="5" t="n"/>
    </row>
    <row r="91" ht="22" customHeight="1">
      <c r="A91" s="8">
        <f>IF(B91="","",IF(COUNTA($A$6:A91)=0,"ENT-"&amp;TEXT(COUNTA($B$6:B91),"000"),"ENT-"&amp;TEXT(ROW()-5,"000")))</f>
        <v/>
      </c>
      <c r="B91" s="8" t="n"/>
      <c r="C91" s="8">
        <f>IF(B91="","",VLOOKUP(B91,'F01 - _Données Collaborateurs'!$B$6:$F$20,5,FALSE))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28">
        <f>IF(B91="","",IFERROR(VLOOKUP(B91,'F01 - _Données Collaborateurs'!$B$6:$G$20,6,FALSE),""))</f>
        <v/>
      </c>
      <c r="M91" s="28">
        <f>IF(OR(G91="",L91=""),"",IFERROR(G91-L91/20*5,0))</f>
        <v/>
      </c>
      <c r="N91" s="8" t="n"/>
    </row>
    <row r="92" ht="22" customHeight="1">
      <c r="A92" s="5">
        <f>IF(B92="","",IF(COUNTA($A$6:A92)=0,"ENT-"&amp;TEXT(COUNTA($B$6:B92),"000"),"ENT-"&amp;TEXT(ROW()-5,"000")))</f>
        <v/>
      </c>
      <c r="B92" s="5" t="n"/>
      <c r="C92" s="5">
        <f>IF(B92="","",VLOOKUP(B92,'F01 - _Données Collaborateurs'!$B$6:$F$20,5,FALSE))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26">
        <f>IF(B92="","",IFERROR(VLOOKUP(B92,'F01 - _Données Collaborateurs'!$B$6:$G$20,6,FALSE),""))</f>
        <v/>
      </c>
      <c r="M92" s="26">
        <f>IF(OR(G92="",L92=""),"",IFERROR(G92-L92/20*5,0))</f>
        <v/>
      </c>
      <c r="N92" s="5" t="n"/>
    </row>
    <row r="93" ht="22" customHeight="1">
      <c r="A93" s="8">
        <f>IF(B93="","",IF(COUNTA($A$6:A93)=0,"ENT-"&amp;TEXT(COUNTA($B$6:B93),"000"),"ENT-"&amp;TEXT(ROW()-5,"000")))</f>
        <v/>
      </c>
      <c r="B93" s="8" t="n"/>
      <c r="C93" s="8">
        <f>IF(B93="","",VLOOKUP(B93,'F01 - _Données Collaborateurs'!$B$6:$F$20,5,FALSE))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28">
        <f>IF(B93="","",IFERROR(VLOOKUP(B93,'F01 - _Données Collaborateurs'!$B$6:$G$20,6,FALSE),""))</f>
        <v/>
      </c>
      <c r="M93" s="28">
        <f>IF(OR(G93="",L93=""),"",IFERROR(G93-L93/20*5,0))</f>
        <v/>
      </c>
      <c r="N93" s="8" t="n"/>
    </row>
    <row r="94" ht="22" customHeight="1">
      <c r="A94" s="5">
        <f>IF(B94="","",IF(COUNTA($A$6:A94)=0,"ENT-"&amp;TEXT(COUNTA($B$6:B94),"000"),"ENT-"&amp;TEXT(ROW()-5,"000")))</f>
        <v/>
      </c>
      <c r="B94" s="5" t="n"/>
      <c r="C94" s="5">
        <f>IF(B94="","",VLOOKUP(B94,'F01 - _Données Collaborateurs'!$B$6:$F$20,5,FALSE))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26">
        <f>IF(B94="","",IFERROR(VLOOKUP(B94,'F01 - _Données Collaborateurs'!$B$6:$G$20,6,FALSE),""))</f>
        <v/>
      </c>
      <c r="M94" s="26">
        <f>IF(OR(G94="",L94=""),"",IFERROR(G94-L94/20*5,0))</f>
        <v/>
      </c>
      <c r="N94" s="5" t="n"/>
    </row>
    <row r="95" ht="22" customHeight="1">
      <c r="A95" s="8">
        <f>IF(B95="","",IF(COUNTA($A$6:A95)=0,"ENT-"&amp;TEXT(COUNTA($B$6:B95),"000"),"ENT-"&amp;TEXT(ROW()-5,"000")))</f>
        <v/>
      </c>
      <c r="B95" s="8" t="n"/>
      <c r="C95" s="8">
        <f>IF(B95="","",VLOOKUP(B95,'F01 - _Données Collaborateurs'!$B$6:$F$20,5,FALSE))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28">
        <f>IF(B95="","",IFERROR(VLOOKUP(B95,'F01 - _Données Collaborateurs'!$B$6:$G$20,6,FALSE),""))</f>
        <v/>
      </c>
      <c r="M95" s="28">
        <f>IF(OR(G95="",L95=""),"",IFERROR(G95-L95/20*5,0))</f>
        <v/>
      </c>
      <c r="N95" s="8" t="n"/>
    </row>
    <row r="96" ht="22" customHeight="1">
      <c r="A96" s="5">
        <f>IF(B96="","",IF(COUNTA($A$6:A96)=0,"ENT-"&amp;TEXT(COUNTA($B$6:B96),"000"),"ENT-"&amp;TEXT(ROW()-5,"000")))</f>
        <v/>
      </c>
      <c r="B96" s="5" t="n"/>
      <c r="C96" s="5">
        <f>IF(B96="","",VLOOKUP(B96,'F01 - _Données Collaborateurs'!$B$6:$F$20,5,FALSE))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26">
        <f>IF(B96="","",IFERROR(VLOOKUP(B96,'F01 - _Données Collaborateurs'!$B$6:$G$20,6,FALSE),""))</f>
        <v/>
      </c>
      <c r="M96" s="26">
        <f>IF(OR(G96="",L96=""),"",IFERROR(G96-L96/20*5,0))</f>
        <v/>
      </c>
      <c r="N96" s="5" t="n"/>
    </row>
    <row r="97" ht="22" customHeight="1">
      <c r="A97" s="8">
        <f>IF(B97="","",IF(COUNTA($A$6:A97)=0,"ENT-"&amp;TEXT(COUNTA($B$6:B97),"000"),"ENT-"&amp;TEXT(ROW()-5,"000")))</f>
        <v/>
      </c>
      <c r="B97" s="8" t="n"/>
      <c r="C97" s="8">
        <f>IF(B97="","",VLOOKUP(B97,'F01 - _Données Collaborateurs'!$B$6:$F$20,5,FALSE))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28">
        <f>IF(B97="","",IFERROR(VLOOKUP(B97,'F01 - _Données Collaborateurs'!$B$6:$G$20,6,FALSE),""))</f>
        <v/>
      </c>
      <c r="M97" s="28">
        <f>IF(OR(G97="",L97=""),"",IFERROR(G97-L97/20*5,0))</f>
        <v/>
      </c>
      <c r="N97" s="8" t="n"/>
    </row>
    <row r="98" ht="22" customHeight="1">
      <c r="A98" s="5">
        <f>IF(B98="","",IF(COUNTA($A$6:A98)=0,"ENT-"&amp;TEXT(COUNTA($B$6:B98),"000"),"ENT-"&amp;TEXT(ROW()-5,"000")))</f>
        <v/>
      </c>
      <c r="B98" s="5" t="n"/>
      <c r="C98" s="5">
        <f>IF(B98="","",VLOOKUP(B98,'F01 - _Données Collaborateurs'!$B$6:$F$20,5,FALSE))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26">
        <f>IF(B98="","",IFERROR(VLOOKUP(B98,'F01 - _Données Collaborateurs'!$B$6:$G$20,6,FALSE),""))</f>
        <v/>
      </c>
      <c r="M98" s="26">
        <f>IF(OR(G98="",L98=""),"",IFERROR(G98-L98/20*5,0))</f>
        <v/>
      </c>
      <c r="N98" s="5" t="n"/>
    </row>
    <row r="99" ht="22" customHeight="1">
      <c r="A99" s="8">
        <f>IF(B99="","",IF(COUNTA($A$6:A99)=0,"ENT-"&amp;TEXT(COUNTA($B$6:B99),"000"),"ENT-"&amp;TEXT(ROW()-5,"000")))</f>
        <v/>
      </c>
      <c r="B99" s="8" t="n"/>
      <c r="C99" s="8">
        <f>IF(B99="","",VLOOKUP(B99,'F01 - _Données Collaborateurs'!$B$6:$F$20,5,FALSE))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28">
        <f>IF(B99="","",IFERROR(VLOOKUP(B99,'F01 - _Données Collaborateurs'!$B$6:$G$20,6,FALSE),""))</f>
        <v/>
      </c>
      <c r="M99" s="28">
        <f>IF(OR(G99="",L99=""),"",IFERROR(G99-L99/20*5,0))</f>
        <v/>
      </c>
      <c r="N99" s="8" t="n"/>
    </row>
    <row r="100" ht="22" customHeight="1">
      <c r="A100" s="5">
        <f>IF(B100="","",IF(COUNTA($A$6:A100)=0,"ENT-"&amp;TEXT(COUNTA($B$6:B100),"000"),"ENT-"&amp;TEXT(ROW()-5,"000")))</f>
        <v/>
      </c>
      <c r="B100" s="5" t="n"/>
      <c r="C100" s="5">
        <f>IF(B100="","",VLOOKUP(B100,'F01 - _Données Collaborateurs'!$B$6:$F$20,5,FALSE))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26">
        <f>IF(B100="","",IFERROR(VLOOKUP(B100,'F01 - _Données Collaborateurs'!$B$6:$G$20,6,FALSE),""))</f>
        <v/>
      </c>
      <c r="M100" s="26">
        <f>IF(OR(G100="",L100=""),"",IFERROR(G100-L100/20*5,0))</f>
        <v/>
      </c>
      <c r="N100" s="5" t="n"/>
    </row>
    <row r="101" ht="22" customHeight="1">
      <c r="A101" s="8">
        <f>IF(B101="","",IF(COUNTA($A$6:A101)=0,"ENT-"&amp;TEXT(COUNTA($B$6:B101),"000"),"ENT-"&amp;TEXT(ROW()-5,"000")))</f>
        <v/>
      </c>
      <c r="B101" s="8" t="n"/>
      <c r="C101" s="8">
        <f>IF(B101="","",VLOOKUP(B101,'F01 - _Données Collaborateurs'!$B$6:$F$20,5,FALSE))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28">
        <f>IF(B101="","",IFERROR(VLOOKUP(B101,'F01 - _Données Collaborateurs'!$B$6:$G$20,6,FALSE),""))</f>
        <v/>
      </c>
      <c r="M101" s="28">
        <f>IF(OR(G101="",L101=""),"",IFERROR(G101-L101/20*5,0))</f>
        <v/>
      </c>
      <c r="N101" s="8" t="n"/>
    </row>
    <row r="102" ht="22" customHeight="1">
      <c r="A102" s="5">
        <f>IF(B102="","",IF(COUNTA($A$6:A102)=0,"ENT-"&amp;TEXT(COUNTA($B$6:B102),"000"),"ENT-"&amp;TEXT(ROW()-5,"000")))</f>
        <v/>
      </c>
      <c r="B102" s="5" t="n"/>
      <c r="C102" s="5">
        <f>IF(B102="","",VLOOKUP(B102,'F01 - _Données Collaborateurs'!$B$6:$F$20,5,FALSE))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26">
        <f>IF(B102="","",IFERROR(VLOOKUP(B102,'F01 - _Données Collaborateurs'!$B$6:$G$20,6,FALSE),""))</f>
        <v/>
      </c>
      <c r="M102" s="26">
        <f>IF(OR(G102="",L102=""),"",IFERROR(G102-L102/20*5,0))</f>
        <v/>
      </c>
      <c r="N102" s="5" t="n"/>
    </row>
    <row r="103" ht="22" customHeight="1">
      <c r="A103" s="8">
        <f>IF(B103="","",IF(COUNTA($A$6:A103)=0,"ENT-"&amp;TEXT(COUNTA($B$6:B103),"000"),"ENT-"&amp;TEXT(ROW()-5,"000")))</f>
        <v/>
      </c>
      <c r="B103" s="8" t="n"/>
      <c r="C103" s="8">
        <f>IF(B103="","",VLOOKUP(B103,'F01 - _Données Collaborateurs'!$B$6:$F$20,5,FALSE))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28">
        <f>IF(B103="","",IFERROR(VLOOKUP(B103,'F01 - _Données Collaborateurs'!$B$6:$G$20,6,FALSE),""))</f>
        <v/>
      </c>
      <c r="M103" s="28">
        <f>IF(OR(G103="",L103=""),"",IFERROR(G103-L103/20*5,0))</f>
        <v/>
      </c>
      <c r="N103" s="8" t="n"/>
    </row>
    <row r="104" ht="22" customHeight="1">
      <c r="A104" s="5">
        <f>IF(B104="","",IF(COUNTA($A$6:A104)=0,"ENT-"&amp;TEXT(COUNTA($B$6:B104),"000"),"ENT-"&amp;TEXT(ROW()-5,"000")))</f>
        <v/>
      </c>
      <c r="B104" s="5" t="n"/>
      <c r="C104" s="5">
        <f>IF(B104="","",VLOOKUP(B104,'F01 - _Données Collaborateurs'!$B$6:$F$20,5,FALSE))</f>
        <v/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26">
        <f>IF(B104="","",IFERROR(VLOOKUP(B104,'F01 - _Données Collaborateurs'!$B$6:$G$20,6,FALSE),""))</f>
        <v/>
      </c>
      <c r="M104" s="26">
        <f>IF(OR(G104="",L104=""),"",IFERROR(G104-L104/20*5,0))</f>
        <v/>
      </c>
      <c r="N104" s="5" t="n"/>
    </row>
    <row r="105" ht="22" customHeight="1">
      <c r="A105" s="8">
        <f>IF(B105="","",IF(COUNTA($A$6:A105)=0,"ENT-"&amp;TEXT(COUNTA($B$6:B105),"000"),"ENT-"&amp;TEXT(ROW()-5,"000")))</f>
        <v/>
      </c>
      <c r="B105" s="8" t="n"/>
      <c r="C105" s="8">
        <f>IF(B105="","",VLOOKUP(B105,'F01 - _Données Collaborateurs'!$B$6:$F$20,5,FALSE))</f>
        <v/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28">
        <f>IF(B105="","",IFERROR(VLOOKUP(B105,'F01 - _Données Collaborateurs'!$B$6:$G$20,6,FALSE),""))</f>
        <v/>
      </c>
      <c r="M105" s="28">
        <f>IF(OR(G105="",L105=""),"",IFERROR(G105-L105/20*5,0))</f>
        <v/>
      </c>
      <c r="N105" s="8" t="n"/>
    </row>
    <row r="106" ht="22" customHeight="1">
      <c r="A106" s="5">
        <f>IF(B106="","",IF(COUNTA($A$6:A106)=0,"ENT-"&amp;TEXT(COUNTA($B$6:B106),"000"),"ENT-"&amp;TEXT(ROW()-5,"000")))</f>
        <v/>
      </c>
      <c r="B106" s="5" t="n"/>
      <c r="C106" s="5">
        <f>IF(B106="","",VLOOKUP(B106,'F01 - _Données Collaborateurs'!$B$6:$F$20,5,FALSE))</f>
        <v/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26">
        <f>IF(B106="","",IFERROR(VLOOKUP(B106,'F01 - _Données Collaborateurs'!$B$6:$G$20,6,FALSE),""))</f>
        <v/>
      </c>
      <c r="M106" s="26">
        <f>IF(OR(G106="",L106=""),"",IFERROR(G106-L106/20*5,0))</f>
        <v/>
      </c>
      <c r="N106" s="5" t="n"/>
    </row>
    <row r="107" ht="22" customHeight="1">
      <c r="A107" s="8">
        <f>IF(B107="","",IF(COUNTA($A$6:A107)=0,"ENT-"&amp;TEXT(COUNTA($B$6:B107),"000"),"ENT-"&amp;TEXT(ROW()-5,"000")))</f>
        <v/>
      </c>
      <c r="B107" s="8" t="n"/>
      <c r="C107" s="8">
        <f>IF(B107="","",VLOOKUP(B107,'F01 - _Données Collaborateurs'!$B$6:$F$20,5,FALSE))</f>
        <v/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28">
        <f>IF(B107="","",IFERROR(VLOOKUP(B107,'F01 - _Données Collaborateurs'!$B$6:$G$20,6,FALSE),""))</f>
        <v/>
      </c>
      <c r="M107" s="28">
        <f>IF(OR(G107="",L107=""),"",IFERROR(G107-L107/20*5,0))</f>
        <v/>
      </c>
      <c r="N107" s="8" t="n"/>
    </row>
    <row r="108" ht="22" customHeight="1">
      <c r="A108" s="5">
        <f>IF(B108="","",IF(COUNTA($A$6:A108)=0,"ENT-"&amp;TEXT(COUNTA($B$6:B108),"000"),"ENT-"&amp;TEXT(ROW()-5,"000")))</f>
        <v/>
      </c>
      <c r="B108" s="5" t="n"/>
      <c r="C108" s="5">
        <f>IF(B108="","",VLOOKUP(B108,'F01 - _Données Collaborateurs'!$B$6:$F$20,5,FALSE))</f>
        <v/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26">
        <f>IF(B108="","",IFERROR(VLOOKUP(B108,'F01 - _Données Collaborateurs'!$B$6:$G$20,6,FALSE),""))</f>
        <v/>
      </c>
      <c r="M108" s="26">
        <f>IF(OR(G108="",L108=""),"",IFERROR(G108-L108/20*5,0))</f>
        <v/>
      </c>
      <c r="N108" s="5" t="n"/>
    </row>
    <row r="109" ht="22" customHeight="1">
      <c r="A109" s="8">
        <f>IF(B109="","",IF(COUNTA($A$6:A109)=0,"ENT-"&amp;TEXT(COUNTA($B$6:B109),"000"),"ENT-"&amp;TEXT(ROW()-5,"000")))</f>
        <v/>
      </c>
      <c r="B109" s="8" t="n"/>
      <c r="C109" s="8">
        <f>IF(B109="","",VLOOKUP(B109,'F01 - _Données Collaborateurs'!$B$6:$F$20,5,FALSE))</f>
        <v/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28">
        <f>IF(B109="","",IFERROR(VLOOKUP(B109,'F01 - _Données Collaborateurs'!$B$6:$G$20,6,FALSE),""))</f>
        <v/>
      </c>
      <c r="M109" s="28">
        <f>IF(OR(G109="",L109=""),"",IFERROR(G109-L109/20*5,0))</f>
        <v/>
      </c>
      <c r="N109" s="8" t="n"/>
    </row>
    <row r="110" ht="22" customHeight="1">
      <c r="A110" s="5">
        <f>IF(B110="","",IF(COUNTA($A$6:A110)=0,"ENT-"&amp;TEXT(COUNTA($B$6:B110),"000"),"ENT-"&amp;TEXT(ROW()-5,"000")))</f>
        <v/>
      </c>
      <c r="B110" s="5" t="n"/>
      <c r="C110" s="5">
        <f>IF(B110="","",VLOOKUP(B110,'F01 - _Données Collaborateurs'!$B$6:$F$20,5,FALSE))</f>
        <v/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26">
        <f>IF(B110="","",IFERROR(VLOOKUP(B110,'F01 - _Données Collaborateurs'!$B$6:$G$20,6,FALSE),""))</f>
        <v/>
      </c>
      <c r="M110" s="26">
        <f>IF(OR(G110="",L110=""),"",IFERROR(G110-L110/20*5,0))</f>
        <v/>
      </c>
      <c r="N110" s="5" t="n"/>
    </row>
    <row r="111" ht="22" customHeight="1">
      <c r="A111" s="8">
        <f>IF(B111="","",IF(COUNTA($A$6:A111)=0,"ENT-"&amp;TEXT(COUNTA($B$6:B111),"000"),"ENT-"&amp;TEXT(ROW()-5,"000")))</f>
        <v/>
      </c>
      <c r="B111" s="8" t="n"/>
      <c r="C111" s="8">
        <f>IF(B111="","",VLOOKUP(B111,'F01 - _Données Collaborateurs'!$B$6:$F$20,5,FALSE))</f>
        <v/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28">
        <f>IF(B111="","",IFERROR(VLOOKUP(B111,'F01 - _Données Collaborateurs'!$B$6:$G$20,6,FALSE),""))</f>
        <v/>
      </c>
      <c r="M111" s="28">
        <f>IF(OR(G111="",L111=""),"",IFERROR(G111-L111/20*5,0))</f>
        <v/>
      </c>
      <c r="N111" s="8" t="n"/>
    </row>
    <row r="112" ht="22" customHeight="1">
      <c r="A112" s="5">
        <f>IF(B112="","",IF(COUNTA($A$6:A112)=0,"ENT-"&amp;TEXT(COUNTA($B$6:B112),"000"),"ENT-"&amp;TEXT(ROW()-5,"000")))</f>
        <v/>
      </c>
      <c r="B112" s="5" t="n"/>
      <c r="C112" s="5">
        <f>IF(B112="","",VLOOKUP(B112,'F01 - _Données Collaborateurs'!$B$6:$F$20,5,FALSE))</f>
        <v/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26">
        <f>IF(B112="","",IFERROR(VLOOKUP(B112,'F01 - _Données Collaborateurs'!$B$6:$G$20,6,FALSE),""))</f>
        <v/>
      </c>
      <c r="M112" s="26">
        <f>IF(OR(G112="",L112=""),"",IFERROR(G112-L112/20*5,0))</f>
        <v/>
      </c>
      <c r="N112" s="5" t="n"/>
    </row>
    <row r="113" ht="22" customHeight="1">
      <c r="A113" s="8">
        <f>IF(B113="","",IF(COUNTA($A$6:A113)=0,"ENT-"&amp;TEXT(COUNTA($B$6:B113),"000"),"ENT-"&amp;TEXT(ROW()-5,"000")))</f>
        <v/>
      </c>
      <c r="B113" s="8" t="n"/>
      <c r="C113" s="8">
        <f>IF(B113="","",VLOOKUP(B113,'F01 - _Données Collaborateurs'!$B$6:$F$20,5,FALSE))</f>
        <v/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28">
        <f>IF(B113="","",IFERROR(VLOOKUP(B113,'F01 - _Données Collaborateurs'!$B$6:$G$20,6,FALSE),""))</f>
        <v/>
      </c>
      <c r="M113" s="28">
        <f>IF(OR(G113="",L113=""),"",IFERROR(G113-L113/20*5,0))</f>
        <v/>
      </c>
      <c r="N113" s="8" t="n"/>
    </row>
    <row r="114" ht="22" customHeight="1">
      <c r="A114" s="5">
        <f>IF(B114="","",IF(COUNTA($A$6:A114)=0,"ENT-"&amp;TEXT(COUNTA($B$6:B114),"000"),"ENT-"&amp;TEXT(ROW()-5,"000")))</f>
        <v/>
      </c>
      <c r="B114" s="5" t="n"/>
      <c r="C114" s="5">
        <f>IF(B114="","",VLOOKUP(B114,'F01 - _Données Collaborateurs'!$B$6:$F$20,5,FALSE))</f>
        <v/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26">
        <f>IF(B114="","",IFERROR(VLOOKUP(B114,'F01 - _Données Collaborateurs'!$B$6:$G$20,6,FALSE),""))</f>
        <v/>
      </c>
      <c r="M114" s="26">
        <f>IF(OR(G114="",L114=""),"",IFERROR(G114-L114/20*5,0))</f>
        <v/>
      </c>
      <c r="N114" s="5" t="n"/>
    </row>
    <row r="115" ht="22" customHeight="1">
      <c r="A115" s="8">
        <f>IF(B115="","",IF(COUNTA($A$6:A115)=0,"ENT-"&amp;TEXT(COUNTA($B$6:B115),"000"),"ENT-"&amp;TEXT(ROW()-5,"000")))</f>
        <v/>
      </c>
      <c r="B115" s="8" t="n"/>
      <c r="C115" s="8">
        <f>IF(B115="","",VLOOKUP(B115,'F01 - _Données Collaborateurs'!$B$6:$F$20,5,FALSE))</f>
        <v/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28">
        <f>IF(B115="","",IFERROR(VLOOKUP(B115,'F01 - _Données Collaborateurs'!$B$6:$G$20,6,FALSE),""))</f>
        <v/>
      </c>
      <c r="M115" s="28">
        <f>IF(OR(G115="",L115=""),"",IFERROR(G115-L115/20*5,0))</f>
        <v/>
      </c>
      <c r="N115" s="8" t="n"/>
    </row>
  </sheetData>
  <mergeCells count="2">
    <mergeCell ref="A3:N3"/>
    <mergeCell ref="A2:N2"/>
  </mergeCells>
  <dataValidations count="1">
    <dataValidation sqref="E6:E115" showDropDown="0" showInputMessage="0" showErrorMessage="0" allowBlank="1" errorTitle="Erreur" error="Valeur invalide" promptTitle="" prompt="Choisir dans la liste: " type="list">
      <formula1>'F02 - _Lists'!$G$6:$G$10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26" customWidth="1" min="5" max="5"/>
    <col width="22" customWidth="1" min="6" max="6"/>
    <col width="18" customWidth="1" min="7" max="7"/>
    <col width="14" customWidth="1" min="8" max="8"/>
    <col width="22" customWidth="1" min="9" max="9"/>
    <col width="14" customWidth="1" min="10" max="10"/>
    <col width="36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8-INDICATEURS D'ENGAGEMENT PAR DÉPARTEMENT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Département</t>
        </is>
      </c>
      <c r="B5" s="4" t="inlineStr">
        <is>
          <t>Effectif</t>
        </is>
      </c>
      <c r="C5" s="4" t="inlineStr">
        <is>
          <t>Score Engagement Moy.</t>
        </is>
      </c>
      <c r="D5" s="4" t="inlineStr">
        <is>
          <t>Nb Suggestions</t>
        </is>
      </c>
      <c r="E5" s="4" t="inlineStr">
        <is>
          <t>Taux Participation Enq. (%)</t>
        </is>
      </c>
      <c r="F5" s="4" t="inlineStr">
        <is>
          <t>Nb Départs Volontaires</t>
        </is>
      </c>
      <c r="G5" s="4" t="inlineStr">
        <is>
          <t>Taux Rotation (%)</t>
        </is>
      </c>
      <c r="H5" s="4" t="inlineStr">
        <is>
          <t>Nb Absences</t>
        </is>
      </c>
      <c r="I5" s="4" t="inlineStr">
        <is>
          <t>Score Climat Social (/5)</t>
        </is>
      </c>
      <c r="J5" s="4" t="inlineStr">
        <is>
          <t>Tendance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Cuisine &amp; Restauration</t>
        </is>
      </c>
      <c r="B6" s="25" t="n">
        <v>2</v>
      </c>
      <c r="C6" s="26">
        <f>IF(A6="","",IFERROR(AVERAGEIF('F01 - _Données Collaborateurs'!$D$6:$D$20,A6,'F01 - _Données Collaborateurs'!$F$6:$F$20),0))</f>
        <v/>
      </c>
      <c r="D6" s="5">
        <f>IF(A6="","",IFERROR(COUNTIF('F08 - 6-Boîte à Idées'!$C$6:$C$115,A6),0))</f>
        <v/>
      </c>
      <c r="E6" s="5" t="n"/>
      <c r="F6" s="31">
        <f>IF(A6="","",IFERROR(F6/B6*100,0))</f>
        <v/>
      </c>
      <c r="G6" s="26">
        <f>IF(A6="","",IFERROR(F6/B6*100,0))</f>
        <v/>
      </c>
      <c r="H6" s="25" t="n">
        <v>3</v>
      </c>
      <c r="I6" s="5" t="n"/>
      <c r="J6" s="5" t="n"/>
      <c r="K6" s="5" t="inlineStr">
        <is>
          <t>Bonne dynamique d'équipe</t>
        </is>
      </c>
      <c r="L6" s="5" t="inlineStr"/>
      <c r="M6" s="5" t="inlineStr"/>
      <c r="N6" s="5" t="inlineStr"/>
    </row>
    <row r="7" ht="22" customHeight="1">
      <c r="A7" s="8" t="inlineStr">
        <is>
          <t>Informatique</t>
        </is>
      </c>
      <c r="B7" s="27" t="n">
        <v>1</v>
      </c>
      <c r="C7" s="28">
        <f>IF(A7="","",IFERROR(AVERAGEIF('F01 - _Données Collaborateurs'!$D$6:$D$20,A7,'F01 - _Données Collaborateurs'!$F$6:$F$20),0))</f>
        <v/>
      </c>
      <c r="D7" s="8">
        <f>IF(A7="","",IFERROR(COUNTIF('F08 - 6-Boîte à Idées'!$C$6:$C$115,A7),0))</f>
        <v/>
      </c>
      <c r="E7" s="8" t="n"/>
      <c r="F7" s="32">
        <f>IF(A7="","",IFERROR(F7/B7*100,0))</f>
        <v/>
      </c>
      <c r="G7" s="28">
        <f>IF(A7="","",IFERROR(F7/B7*100,0))</f>
        <v/>
      </c>
      <c r="H7" s="27" t="n">
        <v>1</v>
      </c>
      <c r="I7" s="8" t="n"/>
      <c r="J7" s="8" t="n"/>
      <c r="K7" s="8" t="inlineStr">
        <is>
          <t>Collaborateur très engagé</t>
        </is>
      </c>
      <c r="L7" s="8" t="inlineStr"/>
      <c r="M7" s="8" t="inlineStr"/>
      <c r="N7" s="8" t="inlineStr"/>
    </row>
    <row r="8" ht="22" customHeight="1">
      <c r="A8" s="5" t="inlineStr">
        <is>
          <t>Marketing &amp; Communication</t>
        </is>
      </c>
      <c r="B8" s="25" t="n">
        <v>1</v>
      </c>
      <c r="C8" s="26">
        <f>IF(A8="","",IFERROR(AVERAGEIF('F01 - _Données Collaborateurs'!$D$6:$D$20,A8,'F01 - _Données Collaborateurs'!$F$6:$F$20),0))</f>
        <v/>
      </c>
      <c r="D8" s="5">
        <f>IF(A8="","",IFERROR(COUNTIF('F08 - 6-Boîte à Idées'!$C$6:$C$115,A8),0))</f>
        <v/>
      </c>
      <c r="E8" s="5" t="n"/>
      <c r="F8" s="31">
        <f>IF(A8="","",IFERROR(F8/B8*100,0))</f>
        <v/>
      </c>
      <c r="G8" s="26">
        <f>IF(A8="","",IFERROR(F8/B8*100,0))</f>
        <v/>
      </c>
      <c r="H8" s="25" t="n">
        <v>2</v>
      </c>
      <c r="I8" s="5" t="n"/>
      <c r="J8" s="5" t="n"/>
      <c r="K8" s="5" t="inlineStr">
        <is>
          <t>Score communication attendu élevé</t>
        </is>
      </c>
      <c r="L8" s="5" t="inlineStr"/>
      <c r="M8" s="5" t="inlineStr"/>
      <c r="N8" s="5" t="inlineStr"/>
    </row>
    <row r="9" ht="22" customHeight="1">
      <c r="A9" s="8" t="inlineStr">
        <is>
          <t>Finance &amp; Comptabilité</t>
        </is>
      </c>
      <c r="B9" s="27" t="n">
        <v>1</v>
      </c>
      <c r="C9" s="28">
        <f>IF(A9="","",IFERROR(AVERAGEIF('F01 - _Données Collaborateurs'!$D$6:$D$20,A9,'F01 - _Données Collaborateurs'!$F$6:$F$20),0))</f>
        <v/>
      </c>
      <c r="D9" s="8">
        <f>IF(A9="","",IFERROR(COUNTIF('F08 - 6-Boîte à Idées'!$C$6:$C$115,A9),0))</f>
        <v/>
      </c>
      <c r="E9" s="8" t="n"/>
      <c r="F9" s="32">
        <f>IF(A9="","",IFERROR(F9/B9*100,0))</f>
        <v/>
      </c>
      <c r="G9" s="28">
        <f>IF(A9="","",IFERROR(F9/B9*100,0))</f>
        <v/>
      </c>
      <c r="H9" s="27" t="n">
        <v>4</v>
      </c>
      <c r="I9" s="8" t="n"/>
      <c r="J9" s="8" t="n"/>
      <c r="K9" s="8" t="inlineStr">
        <is>
          <t>Départ à analyser</t>
        </is>
      </c>
      <c r="L9" s="8" t="inlineStr"/>
      <c r="M9" s="8" t="inlineStr"/>
      <c r="N9" s="8" t="inlineStr"/>
    </row>
    <row r="10" ht="22" customHeight="1">
      <c r="A10" s="5" t="inlineStr">
        <is>
          <t>Réception &amp; Front Office</t>
        </is>
      </c>
      <c r="B10" s="25" t="n">
        <v>1</v>
      </c>
      <c r="C10" s="26">
        <f>IF(A10="","",IFERROR(AVERAGEIF('F01 - _Données Collaborateurs'!$D$6:$D$20,A10,'F01 - _Données Collaborateurs'!$F$6:$F$20),0))</f>
        <v/>
      </c>
      <c r="D10" s="5">
        <f>IF(A10="","",IFERROR(COUNTIF('F08 - 6-Boîte à Idées'!$C$6:$C$115,A10),0))</f>
        <v/>
      </c>
      <c r="E10" s="5" t="n"/>
      <c r="F10" s="31">
        <f>IF(A10="","",IFERROR(F10/B10*100,0))</f>
        <v/>
      </c>
      <c r="G10" s="26">
        <f>IF(A10="","",IFERROR(F10/B10*100,0))</f>
        <v/>
      </c>
      <c r="H10" s="25" t="n">
        <v>1</v>
      </c>
      <c r="I10" s="5" t="n"/>
      <c r="J10" s="5" t="n"/>
      <c r="K10" s="5" t="inlineStr">
        <is>
          <t>Ambassadrice de l'engagement</t>
        </is>
      </c>
      <c r="L10" s="5" t="inlineStr"/>
      <c r="M10" s="5" t="inlineStr"/>
      <c r="N10" s="5" t="inlineStr"/>
    </row>
    <row r="11" ht="22" customHeight="1">
      <c r="A11" s="8" t="inlineStr">
        <is>
          <t>Hébergement</t>
        </is>
      </c>
      <c r="B11" s="27" t="n">
        <v>1</v>
      </c>
      <c r="C11" s="28">
        <f>IF(A11="","",IFERROR(AVERAGEIF('F01 - _Données Collaborateurs'!$D$6:$D$20,A11,'F01 - _Données Collaborateurs'!$F$6:$F$20),0))</f>
        <v/>
      </c>
      <c r="D11" s="8">
        <f>IF(A11="","",IFERROR(COUNTIF('F08 - 6-Boîte à Idées'!$C$6:$C$115,A11),0))</f>
        <v/>
      </c>
      <c r="E11" s="8" t="n"/>
      <c r="F11" s="32">
        <f>IF(A11="","",IFERROR(F11/B11*100,0))</f>
        <v/>
      </c>
      <c r="G11" s="28">
        <f>IF(A11="","",IFERROR(F11/B11*100,0))</f>
        <v/>
      </c>
      <c r="H11" s="27" t="n">
        <v>2</v>
      </c>
      <c r="I11" s="8" t="n"/>
      <c r="J11" s="8" t="n"/>
      <c r="K11" s="8" t="inlineStr">
        <is>
          <t>Excellente gouvernante</t>
        </is>
      </c>
      <c r="L11" s="8" t="inlineStr"/>
      <c r="M11" s="8" t="inlineStr"/>
      <c r="N11" s="8" t="inlineStr"/>
    </row>
    <row r="12" ht="22" customHeight="1">
      <c r="A12" s="5" t="inlineStr">
        <is>
          <t>Entretien &amp; Maintenance</t>
        </is>
      </c>
      <c r="B12" s="25" t="n">
        <v>1</v>
      </c>
      <c r="C12" s="26">
        <f>IF(A12="","",IFERROR(AVERAGEIF('F01 - _Données Collaborateurs'!$D$6:$D$20,A12,'F01 - _Données Collaborateurs'!$F$6:$F$20),0))</f>
        <v/>
      </c>
      <c r="D12" s="5">
        <f>IF(A12="","",IFERROR(COUNTIF('F08 - 6-Boîte à Idées'!$C$6:$C$115,A12),0))</f>
        <v/>
      </c>
      <c r="E12" s="5" t="n"/>
      <c r="F12" s="31">
        <f>IF(A12="","",IFERROR(F12/B12*100,0))</f>
        <v/>
      </c>
      <c r="G12" s="26">
        <f>IF(A12="","",IFERROR(F12/B12*100,0))</f>
        <v/>
      </c>
      <c r="H12" s="25" t="n">
        <v>6</v>
      </c>
      <c r="I12" s="5" t="n"/>
      <c r="J12" s="5" t="n"/>
      <c r="K12" s="5" t="inlineStr">
        <is>
          <t>Département à surveiller</t>
        </is>
      </c>
      <c r="L12" s="5" t="inlineStr"/>
      <c r="M12" s="5" t="inlineStr"/>
      <c r="N12" s="5" t="inlineStr"/>
    </row>
    <row r="13" ht="22" customHeight="1">
      <c r="A13" s="8" t="inlineStr">
        <is>
          <t>Ressources Humaines</t>
        </is>
      </c>
      <c r="B13" s="27" t="n">
        <v>1</v>
      </c>
      <c r="C13" s="28">
        <f>IF(A13="","",IFERROR(AVERAGEIF('F01 - _Données Collaborateurs'!$D$6:$D$20,A13,'F01 - _Données Collaborateurs'!$F$6:$F$20),0))</f>
        <v/>
      </c>
      <c r="D13" s="8">
        <f>IF(A13="","",IFERROR(COUNTIF('F08 - 6-Boîte à Idées'!$C$6:$C$115,A13),0))</f>
        <v/>
      </c>
      <c r="E13" s="8" t="n"/>
      <c r="F13" s="32">
        <f>IF(A13="","",IFERROR(F13/B13*100,0))</f>
        <v/>
      </c>
      <c r="G13" s="28">
        <f>IF(A13="","",IFERROR(F13/B13*100,0))</f>
        <v/>
      </c>
      <c r="H13" s="27" t="n">
        <v>1</v>
      </c>
      <c r="I13" s="8" t="n"/>
      <c r="J13" s="8" t="n"/>
      <c r="K13" s="8" t="inlineStr">
        <is>
          <t>Référent engagement</t>
        </is>
      </c>
      <c r="L13" s="8" t="inlineStr"/>
      <c r="M13" s="8" t="inlineStr"/>
      <c r="N13" s="8" t="inlineStr"/>
    </row>
    <row r="14" ht="22" customHeight="1">
      <c r="A14" s="5" t="inlineStr">
        <is>
          <t>Commercial</t>
        </is>
      </c>
      <c r="B14" s="25" t="n">
        <v>1</v>
      </c>
      <c r="C14" s="26">
        <f>IF(A14="","",IFERROR(AVERAGEIF('F01 - _Données Collaborateurs'!$D$6:$D$20,A14,'F01 - _Données Collaborateurs'!$F$6:$F$20),0))</f>
        <v/>
      </c>
      <c r="D14" s="5">
        <f>IF(A14="","",IFERROR(COUNTIF('F08 - 6-Boîte à Idées'!$C$6:$C$115,A14),0))</f>
        <v/>
      </c>
      <c r="E14" s="5" t="n"/>
      <c r="F14" s="31">
        <f>IF(A14="","",IFERROR(F14/B14*100,0))</f>
        <v/>
      </c>
      <c r="G14" s="26">
        <f>IF(A14="","",IFERROR(F14/B14*100,0))</f>
        <v/>
      </c>
      <c r="H14" s="25" t="n">
        <v>3</v>
      </c>
      <c r="I14" s="5" t="n"/>
      <c r="J14" s="5" t="n"/>
      <c r="K14" s="5" t="inlineStr">
        <is>
          <t>Stable</t>
        </is>
      </c>
      <c r="L14" s="5" t="inlineStr"/>
      <c r="M14" s="5" t="inlineStr"/>
      <c r="N14" s="5" t="inlineStr"/>
    </row>
    <row r="15" ht="22" customHeight="1">
      <c r="A15" s="8" t="inlineStr">
        <is>
          <t>Sécurité</t>
        </is>
      </c>
      <c r="B15" s="27" t="n">
        <v>1</v>
      </c>
      <c r="C15" s="28">
        <f>IF(A15="","",IFERROR(AVERAGEIF('F01 - _Données Collaborateurs'!$D$6:$D$20,A15,'F01 - _Données Collaborateurs'!$F$6:$F$20),0))</f>
        <v/>
      </c>
      <c r="D15" s="8">
        <f>IF(A15="","",IFERROR(COUNTIF('F08 - 6-Boîte à Idées'!$C$6:$C$115,A15),0))</f>
        <v/>
      </c>
      <c r="E15" s="8" t="n"/>
      <c r="F15" s="32">
        <f>IF(A15="","",IFERROR(F15/B15*100,0))</f>
        <v/>
      </c>
      <c r="G15" s="28">
        <f>IF(A15="","",IFERROR(F15/B15*100,0))</f>
        <v/>
      </c>
      <c r="H15" s="27" t="n">
        <v>5</v>
      </c>
      <c r="I15" s="8" t="n"/>
      <c r="J15" s="8" t="n"/>
      <c r="K15" s="8" t="inlineStr">
        <is>
          <t>Rotation élevée à analyser</t>
        </is>
      </c>
      <c r="L15" s="8" t="inlineStr"/>
      <c r="M15" s="8" t="inlineStr"/>
      <c r="N15" s="8" t="inlineStr"/>
    </row>
    <row r="16" ht="22" customHeight="1">
      <c r="A16" s="5" t="n"/>
      <c r="B16" s="5" t="n"/>
      <c r="C16" s="26">
        <f>IF(A16="","",IFERROR(AVERAGEIF('F01 - _Données Collaborateurs'!$D$6:$D$20,A16,'F01 - _Données Collaborateurs'!$F$6:$F$20),0))</f>
        <v/>
      </c>
      <c r="D16" s="5">
        <f>IF(A16="","",IFERROR(COUNTIF('F08 - 6-Boîte à Idées'!$C$6:$C$115,A16),0))</f>
        <v/>
      </c>
      <c r="E16" s="5" t="n"/>
      <c r="F16" s="26">
        <f>IF(A16="","",IFERROR(F16/B16*100,0))</f>
        <v/>
      </c>
      <c r="G16" s="26">
        <f>IF(A16="","",IFERROR(F16/B16*100,0))</f>
        <v/>
      </c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28">
        <f>IF(A17="","",IFERROR(AVERAGEIF('F01 - _Données Collaborateurs'!$D$6:$D$20,A17,'F01 - _Données Collaborateurs'!$F$6:$F$20),0))</f>
        <v/>
      </c>
      <c r="D17" s="8">
        <f>IF(A17="","",IFERROR(COUNTIF('F08 - 6-Boîte à Idées'!$C$6:$C$115,A17),0))</f>
        <v/>
      </c>
      <c r="E17" s="8" t="n"/>
      <c r="F17" s="28">
        <f>IF(A17="","",IFERROR(F17/B17*100,0))</f>
        <v/>
      </c>
      <c r="G17" s="28">
        <f>IF(A17="","",IFERROR(F17/B17*100,0))</f>
        <v/>
      </c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26">
        <f>IF(A18="","",IFERROR(AVERAGEIF('F01 - _Données Collaborateurs'!$D$6:$D$20,A18,'F01 - _Données Collaborateurs'!$F$6:$F$20),0))</f>
        <v/>
      </c>
      <c r="D18" s="5">
        <f>IF(A18="","",IFERROR(COUNTIF('F08 - 6-Boîte à Idées'!$C$6:$C$115,A18),0))</f>
        <v/>
      </c>
      <c r="E18" s="5" t="n"/>
      <c r="F18" s="26">
        <f>IF(A18="","",IFERROR(F18/B18*100,0))</f>
        <v/>
      </c>
      <c r="G18" s="26">
        <f>IF(A18="","",IFERROR(F18/B18*100,0))</f>
        <v/>
      </c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28">
        <f>IF(A19="","",IFERROR(AVERAGEIF('F01 - _Données Collaborateurs'!$D$6:$D$20,A19,'F01 - _Données Collaborateurs'!$F$6:$F$20),0))</f>
        <v/>
      </c>
      <c r="D19" s="8">
        <f>IF(A19="","",IFERROR(COUNTIF('F08 - 6-Boîte à Idées'!$C$6:$C$115,A19),0))</f>
        <v/>
      </c>
      <c r="E19" s="8" t="n"/>
      <c r="F19" s="28">
        <f>IF(A19="","",IFERROR(F19/B19*100,0))</f>
        <v/>
      </c>
      <c r="G19" s="28">
        <f>IF(A19="","",IFERROR(F19/B19*100,0))</f>
        <v/>
      </c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26">
        <f>IF(A20="","",IFERROR(AVERAGEIF('F01 - _Données Collaborateurs'!$D$6:$D$20,A20,'F01 - _Données Collaborateurs'!$F$6:$F$20),0))</f>
        <v/>
      </c>
      <c r="D20" s="5">
        <f>IF(A20="","",IFERROR(COUNTIF('F08 - 6-Boîte à Idées'!$C$6:$C$115,A20),0))</f>
        <v/>
      </c>
      <c r="E20" s="5" t="n"/>
      <c r="F20" s="26">
        <f>IF(A20="","",IFERROR(F20/B20*100,0))</f>
        <v/>
      </c>
      <c r="G20" s="26">
        <f>IF(A20="","",IFERROR(F20/B20*100,0))</f>
        <v/>
      </c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28">
        <f>IF(A21="","",IFERROR(AVERAGEIF('F01 - _Données Collaborateurs'!$D$6:$D$20,A21,'F01 - _Données Collaborateurs'!$F$6:$F$20),0))</f>
        <v/>
      </c>
      <c r="D21" s="8">
        <f>IF(A21="","",IFERROR(COUNTIF('F08 - 6-Boîte à Idées'!$C$6:$C$115,A21),0))</f>
        <v/>
      </c>
      <c r="E21" s="8" t="n"/>
      <c r="F21" s="28">
        <f>IF(A21="","",IFERROR(F21/B21*100,0))</f>
        <v/>
      </c>
      <c r="G21" s="28">
        <f>IF(A21="","",IFERROR(F21/B21*100,0))</f>
        <v/>
      </c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26">
        <f>IF(A22="","",IFERROR(AVERAGEIF('F01 - _Données Collaborateurs'!$D$6:$D$20,A22,'F01 - _Données Collaborateurs'!$F$6:$F$20),0))</f>
        <v/>
      </c>
      <c r="D22" s="5">
        <f>IF(A22="","",IFERROR(COUNTIF('F08 - 6-Boîte à Idées'!$C$6:$C$115,A22),0))</f>
        <v/>
      </c>
      <c r="E22" s="5" t="n"/>
      <c r="F22" s="26">
        <f>IF(A22="","",IFERROR(F22/B22*100,0))</f>
        <v/>
      </c>
      <c r="G22" s="26">
        <f>IF(A22="","",IFERROR(F22/B22*100,0))</f>
        <v/>
      </c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28">
        <f>IF(A23="","",IFERROR(AVERAGEIF('F01 - _Données Collaborateurs'!$D$6:$D$20,A23,'F01 - _Données Collaborateurs'!$F$6:$F$20),0))</f>
        <v/>
      </c>
      <c r="D23" s="8">
        <f>IF(A23="","",IFERROR(COUNTIF('F08 - 6-Boîte à Idées'!$C$6:$C$115,A23),0))</f>
        <v/>
      </c>
      <c r="E23" s="8" t="n"/>
      <c r="F23" s="28">
        <f>IF(A23="","",IFERROR(F23/B23*100,0))</f>
        <v/>
      </c>
      <c r="G23" s="28">
        <f>IF(A23="","",IFERROR(F23/B23*100,0))</f>
        <v/>
      </c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26">
        <f>IF(A24="","",IFERROR(AVERAGEIF('F01 - _Données Collaborateurs'!$D$6:$D$20,A24,'F01 - _Données Collaborateurs'!$F$6:$F$20),0))</f>
        <v/>
      </c>
      <c r="D24" s="5">
        <f>IF(A24="","",IFERROR(COUNTIF('F08 - 6-Boîte à Idées'!$C$6:$C$115,A24),0))</f>
        <v/>
      </c>
      <c r="E24" s="5" t="n"/>
      <c r="F24" s="26">
        <f>IF(A24="","",IFERROR(F24/B24*100,0))</f>
        <v/>
      </c>
      <c r="G24" s="26">
        <f>IF(A24="","",IFERROR(F24/B24*100,0))</f>
        <v/>
      </c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28">
        <f>IF(A25="","",IFERROR(AVERAGEIF('F01 - _Données Collaborateurs'!$D$6:$D$20,A25,'F01 - _Données Collaborateurs'!$F$6:$F$20),0))</f>
        <v/>
      </c>
      <c r="D25" s="8">
        <f>IF(A25="","",IFERROR(COUNTIF('F08 - 6-Boîte à Idées'!$C$6:$C$115,A25),0))</f>
        <v/>
      </c>
      <c r="E25" s="8" t="n"/>
      <c r="F25" s="28">
        <f>IF(A25="","",IFERROR(F25/B25*100,0))</f>
        <v/>
      </c>
      <c r="G25" s="28">
        <f>IF(A25="","",IFERROR(F25/B25*100,0))</f>
        <v/>
      </c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26">
        <f>IF(A26="","",IFERROR(AVERAGEIF('F01 - _Données Collaborateurs'!$D$6:$D$20,A26,'F01 - _Données Collaborateurs'!$F$6:$F$20),0))</f>
        <v/>
      </c>
      <c r="D26" s="5">
        <f>IF(A26="","",IFERROR(COUNTIF('F08 - 6-Boîte à Idées'!$C$6:$C$115,A26),0))</f>
        <v/>
      </c>
      <c r="E26" s="5" t="n"/>
      <c r="F26" s="26">
        <f>IF(A26="","",IFERROR(F26/B26*100,0))</f>
        <v/>
      </c>
      <c r="G26" s="26">
        <f>IF(A26="","",IFERROR(F26/B26*100,0))</f>
        <v/>
      </c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28">
        <f>IF(A27="","",IFERROR(AVERAGEIF('F01 - _Données Collaborateurs'!$D$6:$D$20,A27,'F01 - _Données Collaborateurs'!$F$6:$F$20),0))</f>
        <v/>
      </c>
      <c r="D27" s="8">
        <f>IF(A27="","",IFERROR(COUNTIF('F08 - 6-Boîte à Idées'!$C$6:$C$115,A27),0))</f>
        <v/>
      </c>
      <c r="E27" s="8" t="n"/>
      <c r="F27" s="28">
        <f>IF(A27="","",IFERROR(F27/B27*100,0))</f>
        <v/>
      </c>
      <c r="G27" s="28">
        <f>IF(A27="","",IFERROR(F27/B27*100,0))</f>
        <v/>
      </c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26">
        <f>IF(A28="","",IFERROR(AVERAGEIF('F01 - _Données Collaborateurs'!$D$6:$D$20,A28,'F01 - _Données Collaborateurs'!$F$6:$F$20),0))</f>
        <v/>
      </c>
      <c r="D28" s="5">
        <f>IF(A28="","",IFERROR(COUNTIF('F08 - 6-Boîte à Idées'!$C$6:$C$115,A28),0))</f>
        <v/>
      </c>
      <c r="E28" s="5" t="n"/>
      <c r="F28" s="26">
        <f>IF(A28="","",IFERROR(F28/B28*100,0))</f>
        <v/>
      </c>
      <c r="G28" s="26">
        <f>IF(A28="","",IFERROR(F28/B28*100,0))</f>
        <v/>
      </c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28">
        <f>IF(A29="","",IFERROR(AVERAGEIF('F01 - _Données Collaborateurs'!$D$6:$D$20,A29,'F01 - _Données Collaborateurs'!$F$6:$F$20),0))</f>
        <v/>
      </c>
      <c r="D29" s="8">
        <f>IF(A29="","",IFERROR(COUNTIF('F08 - 6-Boîte à Idées'!$C$6:$C$115,A29),0))</f>
        <v/>
      </c>
      <c r="E29" s="8" t="n"/>
      <c r="F29" s="28">
        <f>IF(A29="","",IFERROR(F29/B29*100,0))</f>
        <v/>
      </c>
      <c r="G29" s="28">
        <f>IF(A29="","",IFERROR(F29/B29*100,0))</f>
        <v/>
      </c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26">
        <f>IF(A30="","",IFERROR(AVERAGEIF('F01 - _Données Collaborateurs'!$D$6:$D$20,A30,'F01 - _Données Collaborateurs'!$F$6:$F$20),0))</f>
        <v/>
      </c>
      <c r="D30" s="5">
        <f>IF(A30="","",IFERROR(COUNTIF('F08 - 6-Boîte à Idées'!$C$6:$C$115,A30),0))</f>
        <v/>
      </c>
      <c r="E30" s="5" t="n"/>
      <c r="F30" s="26">
        <f>IF(A30="","",IFERROR(F30/B30*100,0))</f>
        <v/>
      </c>
      <c r="G30" s="26">
        <f>IF(A30="","",IFERROR(F30/B30*100,0))</f>
        <v/>
      </c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28">
        <f>IF(A31="","",IFERROR(AVERAGEIF('F01 - _Données Collaborateurs'!$D$6:$D$20,A31,'F01 - _Données Collaborateurs'!$F$6:$F$20),0))</f>
        <v/>
      </c>
      <c r="D31" s="8">
        <f>IF(A31="","",IFERROR(COUNTIF('F08 - 6-Boîte à Idées'!$C$6:$C$115,A31),0))</f>
        <v/>
      </c>
      <c r="E31" s="8" t="n"/>
      <c r="F31" s="28">
        <f>IF(A31="","",IFERROR(F31/B31*100,0))</f>
        <v/>
      </c>
      <c r="G31" s="28">
        <f>IF(A31="","",IFERROR(F31/B31*100,0))</f>
        <v/>
      </c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26">
        <f>IF(A32="","",IFERROR(AVERAGEIF('F01 - _Données Collaborateurs'!$D$6:$D$20,A32,'F01 - _Données Collaborateurs'!$F$6:$F$20),0))</f>
        <v/>
      </c>
      <c r="D32" s="5">
        <f>IF(A32="","",IFERROR(COUNTIF('F08 - 6-Boîte à Idées'!$C$6:$C$115,A32),0))</f>
        <v/>
      </c>
      <c r="E32" s="5" t="n"/>
      <c r="F32" s="26">
        <f>IF(A32="","",IFERROR(F32/B32*100,0))</f>
        <v/>
      </c>
      <c r="G32" s="26">
        <f>IF(A32="","",IFERROR(F32/B32*100,0))</f>
        <v/>
      </c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28">
        <f>IF(A33="","",IFERROR(AVERAGEIF('F01 - _Données Collaborateurs'!$D$6:$D$20,A33,'F01 - _Données Collaborateurs'!$F$6:$F$20),0))</f>
        <v/>
      </c>
      <c r="D33" s="8">
        <f>IF(A33="","",IFERROR(COUNTIF('F08 - 6-Boîte à Idées'!$C$6:$C$115,A33),0))</f>
        <v/>
      </c>
      <c r="E33" s="8" t="n"/>
      <c r="F33" s="28">
        <f>IF(A33="","",IFERROR(F33/B33*100,0))</f>
        <v/>
      </c>
      <c r="G33" s="28">
        <f>IF(A33="","",IFERROR(F33/B33*100,0))</f>
        <v/>
      </c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26">
        <f>IF(A34="","",IFERROR(AVERAGEIF('F01 - _Données Collaborateurs'!$D$6:$D$20,A34,'F01 - _Données Collaborateurs'!$F$6:$F$20),0))</f>
        <v/>
      </c>
      <c r="D34" s="5">
        <f>IF(A34="","",IFERROR(COUNTIF('F08 - 6-Boîte à Idées'!$C$6:$C$115,A34),0))</f>
        <v/>
      </c>
      <c r="E34" s="5" t="n"/>
      <c r="F34" s="26">
        <f>IF(A34="","",IFERROR(F34/B34*100,0))</f>
        <v/>
      </c>
      <c r="G34" s="26">
        <f>IF(A34="","",IFERROR(F34/B34*100,0))</f>
        <v/>
      </c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28">
        <f>IF(A35="","",IFERROR(AVERAGEIF('F01 - _Données Collaborateurs'!$D$6:$D$20,A35,'F01 - _Données Collaborateurs'!$F$6:$F$20),0))</f>
        <v/>
      </c>
      <c r="D35" s="8">
        <f>IF(A35="","",IFERROR(COUNTIF('F08 - 6-Boîte à Idées'!$C$6:$C$115,A35),0))</f>
        <v/>
      </c>
      <c r="E35" s="8" t="n"/>
      <c r="F35" s="28">
        <f>IF(A35="","",IFERROR(F35/B35*100,0))</f>
        <v/>
      </c>
      <c r="G35" s="28">
        <f>IF(A35="","",IFERROR(F35/B35*100,0))</f>
        <v/>
      </c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26">
        <f>IF(A36="","",IFERROR(AVERAGEIF('F01 - _Données Collaborateurs'!$D$6:$D$20,A36,'F01 - _Données Collaborateurs'!$F$6:$F$20),0))</f>
        <v/>
      </c>
      <c r="D36" s="5">
        <f>IF(A36="","",IFERROR(COUNTIF('F08 - 6-Boîte à Idées'!$C$6:$C$115,A36),0))</f>
        <v/>
      </c>
      <c r="E36" s="5" t="n"/>
      <c r="F36" s="26">
        <f>IF(A36="","",IFERROR(F36/B36*100,0))</f>
        <v/>
      </c>
      <c r="G36" s="26">
        <f>IF(A36="","",IFERROR(F36/B36*100,0))</f>
        <v/>
      </c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28">
        <f>IF(A37="","",IFERROR(AVERAGEIF('F01 - _Données Collaborateurs'!$D$6:$D$20,A37,'F01 - _Données Collaborateurs'!$F$6:$F$20),0))</f>
        <v/>
      </c>
      <c r="D37" s="8">
        <f>IF(A37="","",IFERROR(COUNTIF('F08 - 6-Boîte à Idées'!$C$6:$C$115,A37),0))</f>
        <v/>
      </c>
      <c r="E37" s="8" t="n"/>
      <c r="F37" s="28">
        <f>IF(A37="","",IFERROR(F37/B37*100,0))</f>
        <v/>
      </c>
      <c r="G37" s="28">
        <f>IF(A37="","",IFERROR(F37/B37*100,0))</f>
        <v/>
      </c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26">
        <f>IF(A38="","",IFERROR(AVERAGEIF('F01 - _Données Collaborateurs'!$D$6:$D$20,A38,'F01 - _Données Collaborateurs'!$F$6:$F$20),0))</f>
        <v/>
      </c>
      <c r="D38" s="5">
        <f>IF(A38="","",IFERROR(COUNTIF('F08 - 6-Boîte à Idées'!$C$6:$C$115,A38),0))</f>
        <v/>
      </c>
      <c r="E38" s="5" t="n"/>
      <c r="F38" s="26">
        <f>IF(A38="","",IFERROR(F38/B38*100,0))</f>
        <v/>
      </c>
      <c r="G38" s="26">
        <f>IF(A38="","",IFERROR(F38/B38*100,0))</f>
        <v/>
      </c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28">
        <f>IF(A39="","",IFERROR(AVERAGEIF('F01 - _Données Collaborateurs'!$D$6:$D$20,A39,'F01 - _Données Collaborateurs'!$F$6:$F$20),0))</f>
        <v/>
      </c>
      <c r="D39" s="8">
        <f>IF(A39="","",IFERROR(COUNTIF('F08 - 6-Boîte à Idées'!$C$6:$C$115,A39),0))</f>
        <v/>
      </c>
      <c r="E39" s="8" t="n"/>
      <c r="F39" s="28">
        <f>IF(A39="","",IFERROR(F39/B39*100,0))</f>
        <v/>
      </c>
      <c r="G39" s="28">
        <f>IF(A39="","",IFERROR(F39/B39*100,0))</f>
        <v/>
      </c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26">
        <f>IF(A40="","",IFERROR(AVERAGEIF('F01 - _Données Collaborateurs'!$D$6:$D$20,A40,'F01 - _Données Collaborateurs'!$F$6:$F$20),0))</f>
        <v/>
      </c>
      <c r="D40" s="5">
        <f>IF(A40="","",IFERROR(COUNTIF('F08 - 6-Boîte à Idées'!$C$6:$C$115,A40),0))</f>
        <v/>
      </c>
      <c r="E40" s="5" t="n"/>
      <c r="F40" s="26">
        <f>IF(A40="","",IFERROR(F40/B40*100,0))</f>
        <v/>
      </c>
      <c r="G40" s="26">
        <f>IF(A40="","",IFERROR(F40/B40*100,0))</f>
        <v/>
      </c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28">
        <f>IF(A41="","",IFERROR(AVERAGEIF('F01 - _Données Collaborateurs'!$D$6:$D$20,A41,'F01 - _Données Collaborateurs'!$F$6:$F$20),0))</f>
        <v/>
      </c>
      <c r="D41" s="8">
        <f>IF(A41="","",IFERROR(COUNTIF('F08 - 6-Boîte à Idées'!$C$6:$C$115,A41),0))</f>
        <v/>
      </c>
      <c r="E41" s="8" t="n"/>
      <c r="F41" s="28">
        <f>IF(A41="","",IFERROR(F41/B41*100,0))</f>
        <v/>
      </c>
      <c r="G41" s="28">
        <f>IF(A41="","",IFERROR(F41/B41*100,0))</f>
        <v/>
      </c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26">
        <f>IF(A42="","",IFERROR(AVERAGEIF('F01 - _Données Collaborateurs'!$D$6:$D$20,A42,'F01 - _Données Collaborateurs'!$F$6:$F$20),0))</f>
        <v/>
      </c>
      <c r="D42" s="5">
        <f>IF(A42="","",IFERROR(COUNTIF('F08 - 6-Boîte à Idées'!$C$6:$C$115,A42),0))</f>
        <v/>
      </c>
      <c r="E42" s="5" t="n"/>
      <c r="F42" s="26">
        <f>IF(A42="","",IFERROR(F42/B42*100,0))</f>
        <v/>
      </c>
      <c r="G42" s="26">
        <f>IF(A42="","",IFERROR(F42/B42*100,0))</f>
        <v/>
      </c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28">
        <f>IF(A43="","",IFERROR(AVERAGEIF('F01 - _Données Collaborateurs'!$D$6:$D$20,A43,'F01 - _Données Collaborateurs'!$F$6:$F$20),0))</f>
        <v/>
      </c>
      <c r="D43" s="8">
        <f>IF(A43="","",IFERROR(COUNTIF('F08 - 6-Boîte à Idées'!$C$6:$C$115,A43),0))</f>
        <v/>
      </c>
      <c r="E43" s="8" t="n"/>
      <c r="F43" s="28">
        <f>IF(A43="","",IFERROR(F43/B43*100,0))</f>
        <v/>
      </c>
      <c r="G43" s="28">
        <f>IF(A43="","",IFERROR(F43/B43*100,0))</f>
        <v/>
      </c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26">
        <f>IF(A44="","",IFERROR(AVERAGEIF('F01 - _Données Collaborateurs'!$D$6:$D$20,A44,'F01 - _Données Collaborateurs'!$F$6:$F$20),0))</f>
        <v/>
      </c>
      <c r="D44" s="5">
        <f>IF(A44="","",IFERROR(COUNTIF('F08 - 6-Boîte à Idées'!$C$6:$C$115,A44),0))</f>
        <v/>
      </c>
      <c r="E44" s="5" t="n"/>
      <c r="F44" s="26">
        <f>IF(A44="","",IFERROR(F44/B44*100,0))</f>
        <v/>
      </c>
      <c r="G44" s="26">
        <f>IF(A44="","",IFERROR(F44/B44*100,0))</f>
        <v/>
      </c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28">
        <f>IF(A45="","",IFERROR(AVERAGEIF('F01 - _Données Collaborateurs'!$D$6:$D$20,A45,'F01 - _Données Collaborateurs'!$F$6:$F$20),0))</f>
        <v/>
      </c>
      <c r="D45" s="8">
        <f>IF(A45="","",IFERROR(COUNTIF('F08 - 6-Boîte à Idées'!$C$6:$C$115,A45),0))</f>
        <v/>
      </c>
      <c r="E45" s="8" t="n"/>
      <c r="F45" s="28">
        <f>IF(A45="","",IFERROR(F45/B45*100,0))</f>
        <v/>
      </c>
      <c r="G45" s="28">
        <f>IF(A45="","",IFERROR(F45/B45*100,0))</f>
        <v/>
      </c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26">
        <f>IF(A46="","",IFERROR(AVERAGEIF('F01 - _Données Collaborateurs'!$D$6:$D$20,A46,'F01 - _Données Collaborateurs'!$F$6:$F$20),0))</f>
        <v/>
      </c>
      <c r="D46" s="5">
        <f>IF(A46="","",IFERROR(COUNTIF('F08 - 6-Boîte à Idées'!$C$6:$C$115,A46),0))</f>
        <v/>
      </c>
      <c r="E46" s="5" t="n"/>
      <c r="F46" s="26">
        <f>IF(A46="","",IFERROR(F46/B46*100,0))</f>
        <v/>
      </c>
      <c r="G46" s="26">
        <f>IF(A46="","",IFERROR(F46/B46*100,0))</f>
        <v/>
      </c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28">
        <f>IF(A47="","",IFERROR(AVERAGEIF('F01 - _Données Collaborateurs'!$D$6:$D$20,A47,'F01 - _Données Collaborateurs'!$F$6:$F$20),0))</f>
        <v/>
      </c>
      <c r="D47" s="8">
        <f>IF(A47="","",IFERROR(COUNTIF('F08 - 6-Boîte à Idées'!$C$6:$C$115,A47),0))</f>
        <v/>
      </c>
      <c r="E47" s="8" t="n"/>
      <c r="F47" s="28">
        <f>IF(A47="","",IFERROR(F47/B47*100,0))</f>
        <v/>
      </c>
      <c r="G47" s="28">
        <f>IF(A47="","",IFERROR(F47/B47*100,0))</f>
        <v/>
      </c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26">
        <f>IF(A48="","",IFERROR(AVERAGEIF('F01 - _Données Collaborateurs'!$D$6:$D$20,A48,'F01 - _Données Collaborateurs'!$F$6:$F$20),0))</f>
        <v/>
      </c>
      <c r="D48" s="5">
        <f>IF(A48="","",IFERROR(COUNTIF('F08 - 6-Boîte à Idées'!$C$6:$C$115,A48),0))</f>
        <v/>
      </c>
      <c r="E48" s="5" t="n"/>
      <c r="F48" s="26">
        <f>IF(A48="","",IFERROR(F48/B48*100,0))</f>
        <v/>
      </c>
      <c r="G48" s="26">
        <f>IF(A48="","",IFERROR(F48/B48*100,0))</f>
        <v/>
      </c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28">
        <f>IF(A49="","",IFERROR(AVERAGEIF('F01 - _Données Collaborateurs'!$D$6:$D$20,A49,'F01 - _Données Collaborateurs'!$F$6:$F$20),0))</f>
        <v/>
      </c>
      <c r="D49" s="8">
        <f>IF(A49="","",IFERROR(COUNTIF('F08 - 6-Boîte à Idées'!$C$6:$C$115,A49),0))</f>
        <v/>
      </c>
      <c r="E49" s="8" t="n"/>
      <c r="F49" s="28">
        <f>IF(A49="","",IFERROR(F49/B49*100,0))</f>
        <v/>
      </c>
      <c r="G49" s="28">
        <f>IF(A49="","",IFERROR(F49/B49*100,0))</f>
        <v/>
      </c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26">
        <f>IF(A50="","",IFERROR(AVERAGEIF('F01 - _Données Collaborateurs'!$D$6:$D$20,A50,'F01 - _Données Collaborateurs'!$F$6:$F$20),0))</f>
        <v/>
      </c>
      <c r="D50" s="5">
        <f>IF(A50="","",IFERROR(COUNTIF('F08 - 6-Boîte à Idées'!$C$6:$C$115,A50),0))</f>
        <v/>
      </c>
      <c r="E50" s="5" t="n"/>
      <c r="F50" s="26">
        <f>IF(A50="","",IFERROR(F50/B50*100,0))</f>
        <v/>
      </c>
      <c r="G50" s="26">
        <f>IF(A50="","",IFERROR(F50/B50*100,0))</f>
        <v/>
      </c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28">
        <f>IF(A51="","",IFERROR(AVERAGEIF('F01 - _Données Collaborateurs'!$D$6:$D$20,A51,'F01 - _Données Collaborateurs'!$F$6:$F$20),0))</f>
        <v/>
      </c>
      <c r="D51" s="8">
        <f>IF(A51="","",IFERROR(COUNTIF('F08 - 6-Boîte à Idées'!$C$6:$C$115,A51),0))</f>
        <v/>
      </c>
      <c r="E51" s="8" t="n"/>
      <c r="F51" s="28">
        <f>IF(A51="","",IFERROR(F51/B51*100,0))</f>
        <v/>
      </c>
      <c r="G51" s="28">
        <f>IF(A51="","",IFERROR(F51/B51*100,0))</f>
        <v/>
      </c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26">
        <f>IF(A52="","",IFERROR(AVERAGEIF('F01 - _Données Collaborateurs'!$D$6:$D$20,A52,'F01 - _Données Collaborateurs'!$F$6:$F$20),0))</f>
        <v/>
      </c>
      <c r="D52" s="5">
        <f>IF(A52="","",IFERROR(COUNTIF('F08 - 6-Boîte à Idées'!$C$6:$C$115,A52),0))</f>
        <v/>
      </c>
      <c r="E52" s="5" t="n"/>
      <c r="F52" s="26">
        <f>IF(A52="","",IFERROR(F52/B52*100,0))</f>
        <v/>
      </c>
      <c r="G52" s="26">
        <f>IF(A52="","",IFERROR(F52/B52*100,0))</f>
        <v/>
      </c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28">
        <f>IF(A53="","",IFERROR(AVERAGEIF('F01 - _Données Collaborateurs'!$D$6:$D$20,A53,'F01 - _Données Collaborateurs'!$F$6:$F$20),0))</f>
        <v/>
      </c>
      <c r="D53" s="8">
        <f>IF(A53="","",IFERROR(COUNTIF('F08 - 6-Boîte à Idées'!$C$6:$C$115,A53),0))</f>
        <v/>
      </c>
      <c r="E53" s="8" t="n"/>
      <c r="F53" s="28">
        <f>IF(A53="","",IFERROR(F53/B53*100,0))</f>
        <v/>
      </c>
      <c r="G53" s="28">
        <f>IF(A53="","",IFERROR(F53/B53*100,0))</f>
        <v/>
      </c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26">
        <f>IF(A54="","",IFERROR(AVERAGEIF('F01 - _Données Collaborateurs'!$D$6:$D$20,A54,'F01 - _Données Collaborateurs'!$F$6:$F$20),0))</f>
        <v/>
      </c>
      <c r="D54" s="5">
        <f>IF(A54="","",IFERROR(COUNTIF('F08 - 6-Boîte à Idées'!$C$6:$C$115,A54),0))</f>
        <v/>
      </c>
      <c r="E54" s="5" t="n"/>
      <c r="F54" s="26">
        <f>IF(A54="","",IFERROR(F54/B54*100,0))</f>
        <v/>
      </c>
      <c r="G54" s="26">
        <f>IF(A54="","",IFERROR(F54/B54*100,0))</f>
        <v/>
      </c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28">
        <f>IF(A55="","",IFERROR(AVERAGEIF('F01 - _Données Collaborateurs'!$D$6:$D$20,A55,'F01 - _Données Collaborateurs'!$F$6:$F$20),0))</f>
        <v/>
      </c>
      <c r="D55" s="8">
        <f>IF(A55="","",IFERROR(COUNTIF('F08 - 6-Boîte à Idées'!$C$6:$C$115,A55),0))</f>
        <v/>
      </c>
      <c r="E55" s="8" t="n"/>
      <c r="F55" s="28">
        <f>IF(A55="","",IFERROR(F55/B55*100,0))</f>
        <v/>
      </c>
      <c r="G55" s="28">
        <f>IF(A55="","",IFERROR(F55/B55*100,0))</f>
        <v/>
      </c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26">
        <f>IF(A56="","",IFERROR(AVERAGEIF('F01 - _Données Collaborateurs'!$D$6:$D$20,A56,'F01 - _Données Collaborateurs'!$F$6:$F$20),0))</f>
        <v/>
      </c>
      <c r="D56" s="5">
        <f>IF(A56="","",IFERROR(COUNTIF('F08 - 6-Boîte à Idées'!$C$6:$C$115,A56),0))</f>
        <v/>
      </c>
      <c r="E56" s="5" t="n"/>
      <c r="F56" s="26">
        <f>IF(A56="","",IFERROR(F56/B56*100,0))</f>
        <v/>
      </c>
      <c r="G56" s="26">
        <f>IF(A56="","",IFERROR(F56/B56*100,0))</f>
        <v/>
      </c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28">
        <f>IF(A57="","",IFERROR(AVERAGEIF('F01 - _Données Collaborateurs'!$D$6:$D$20,A57,'F01 - _Données Collaborateurs'!$F$6:$F$20),0))</f>
        <v/>
      </c>
      <c r="D57" s="8">
        <f>IF(A57="","",IFERROR(COUNTIF('F08 - 6-Boîte à Idées'!$C$6:$C$115,A57),0))</f>
        <v/>
      </c>
      <c r="E57" s="8" t="n"/>
      <c r="F57" s="28">
        <f>IF(A57="","",IFERROR(F57/B57*100,0))</f>
        <v/>
      </c>
      <c r="G57" s="28">
        <f>IF(A57="","",IFERROR(F57/B57*100,0))</f>
        <v/>
      </c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26">
        <f>IF(A58="","",IFERROR(AVERAGEIF('F01 - _Données Collaborateurs'!$D$6:$D$20,A58,'F01 - _Données Collaborateurs'!$F$6:$F$20),0))</f>
        <v/>
      </c>
      <c r="D58" s="5">
        <f>IF(A58="","",IFERROR(COUNTIF('F08 - 6-Boîte à Idées'!$C$6:$C$115,A58),0))</f>
        <v/>
      </c>
      <c r="E58" s="5" t="n"/>
      <c r="F58" s="26">
        <f>IF(A58="","",IFERROR(F58/B58*100,0))</f>
        <v/>
      </c>
      <c r="G58" s="26">
        <f>IF(A58="","",IFERROR(F58/B58*100,0))</f>
        <v/>
      </c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28">
        <f>IF(A59="","",IFERROR(AVERAGEIF('F01 - _Données Collaborateurs'!$D$6:$D$20,A59,'F01 - _Données Collaborateurs'!$F$6:$F$20),0))</f>
        <v/>
      </c>
      <c r="D59" s="8">
        <f>IF(A59="","",IFERROR(COUNTIF('F08 - 6-Boîte à Idées'!$C$6:$C$115,A59),0))</f>
        <v/>
      </c>
      <c r="E59" s="8" t="n"/>
      <c r="F59" s="28">
        <f>IF(A59="","",IFERROR(F59/B59*100,0))</f>
        <v/>
      </c>
      <c r="G59" s="28">
        <f>IF(A59="","",IFERROR(F59/B59*100,0))</f>
        <v/>
      </c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26">
        <f>IF(A60="","",IFERROR(AVERAGEIF('F01 - _Données Collaborateurs'!$D$6:$D$20,A60,'F01 - _Données Collaborateurs'!$F$6:$F$20),0))</f>
        <v/>
      </c>
      <c r="D60" s="5">
        <f>IF(A60="","",IFERROR(COUNTIF('F08 - 6-Boîte à Idées'!$C$6:$C$115,A60),0))</f>
        <v/>
      </c>
      <c r="E60" s="5" t="n"/>
      <c r="F60" s="26">
        <f>IF(A60="","",IFERROR(F60/B60*100,0))</f>
        <v/>
      </c>
      <c r="G60" s="26">
        <f>IF(A60="","",IFERROR(F60/B60*100,0))</f>
        <v/>
      </c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28">
        <f>IF(A61="","",IFERROR(AVERAGEIF('F01 - _Données Collaborateurs'!$D$6:$D$20,A61,'F01 - _Données Collaborateurs'!$F$6:$F$20),0))</f>
        <v/>
      </c>
      <c r="D61" s="8">
        <f>IF(A61="","",IFERROR(COUNTIF('F08 - 6-Boîte à Idées'!$C$6:$C$115,A61),0))</f>
        <v/>
      </c>
      <c r="E61" s="8" t="n"/>
      <c r="F61" s="28">
        <f>IF(A61="","",IFERROR(F61/B61*100,0))</f>
        <v/>
      </c>
      <c r="G61" s="28">
        <f>IF(A61="","",IFERROR(F61/B61*100,0))</f>
        <v/>
      </c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26">
        <f>IF(A62="","",IFERROR(AVERAGEIF('F01 - _Données Collaborateurs'!$D$6:$D$20,A62,'F01 - _Données Collaborateurs'!$F$6:$F$20),0))</f>
        <v/>
      </c>
      <c r="D62" s="5">
        <f>IF(A62="","",IFERROR(COUNTIF('F08 - 6-Boîte à Idées'!$C$6:$C$115,A62),0))</f>
        <v/>
      </c>
      <c r="E62" s="5" t="n"/>
      <c r="F62" s="26">
        <f>IF(A62="","",IFERROR(F62/B62*100,0))</f>
        <v/>
      </c>
      <c r="G62" s="26">
        <f>IF(A62="","",IFERROR(F62/B62*100,0))</f>
        <v/>
      </c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28">
        <f>IF(A63="","",IFERROR(AVERAGEIF('F01 - _Données Collaborateurs'!$D$6:$D$20,A63,'F01 - _Données Collaborateurs'!$F$6:$F$20),0))</f>
        <v/>
      </c>
      <c r="D63" s="8">
        <f>IF(A63="","",IFERROR(COUNTIF('F08 - 6-Boîte à Idées'!$C$6:$C$115,A63),0))</f>
        <v/>
      </c>
      <c r="E63" s="8" t="n"/>
      <c r="F63" s="28">
        <f>IF(A63="","",IFERROR(F63/B63*100,0))</f>
        <v/>
      </c>
      <c r="G63" s="28">
        <f>IF(A63="","",IFERROR(F63/B63*100,0))</f>
        <v/>
      </c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26">
        <f>IF(A64="","",IFERROR(AVERAGEIF('F01 - _Données Collaborateurs'!$D$6:$D$20,A64,'F01 - _Données Collaborateurs'!$F$6:$F$20),0))</f>
        <v/>
      </c>
      <c r="D64" s="5">
        <f>IF(A64="","",IFERROR(COUNTIF('F08 - 6-Boîte à Idées'!$C$6:$C$115,A64),0))</f>
        <v/>
      </c>
      <c r="E64" s="5" t="n"/>
      <c r="F64" s="26">
        <f>IF(A64="","",IFERROR(F64/B64*100,0))</f>
        <v/>
      </c>
      <c r="G64" s="26">
        <f>IF(A64="","",IFERROR(F64/B64*100,0))</f>
        <v/>
      </c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28">
        <f>IF(A65="","",IFERROR(AVERAGEIF('F01 - _Données Collaborateurs'!$D$6:$D$20,A65,'F01 - _Données Collaborateurs'!$F$6:$F$20),0))</f>
        <v/>
      </c>
      <c r="D65" s="8">
        <f>IF(A65="","",IFERROR(COUNTIF('F08 - 6-Boîte à Idées'!$C$6:$C$115,A65),0))</f>
        <v/>
      </c>
      <c r="E65" s="8" t="n"/>
      <c r="F65" s="28">
        <f>IF(A65="","",IFERROR(F65/B65*100,0))</f>
        <v/>
      </c>
      <c r="G65" s="28">
        <f>IF(A65="","",IFERROR(F65/B65*100,0))</f>
        <v/>
      </c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26">
        <f>IF(A66="","",IFERROR(AVERAGEIF('F01 - _Données Collaborateurs'!$D$6:$D$20,A66,'F01 - _Données Collaborateurs'!$F$6:$F$20),0))</f>
        <v/>
      </c>
      <c r="D66" s="5">
        <f>IF(A66="","",IFERROR(COUNTIF('F08 - 6-Boîte à Idées'!$C$6:$C$115,A66),0))</f>
        <v/>
      </c>
      <c r="E66" s="5" t="n"/>
      <c r="F66" s="26">
        <f>IF(A66="","",IFERROR(F66/B66*100,0))</f>
        <v/>
      </c>
      <c r="G66" s="26">
        <f>IF(A66="","",IFERROR(F66/B66*100,0))</f>
        <v/>
      </c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28">
        <f>IF(A67="","",IFERROR(AVERAGEIF('F01 - _Données Collaborateurs'!$D$6:$D$20,A67,'F01 - _Données Collaborateurs'!$F$6:$F$20),0))</f>
        <v/>
      </c>
      <c r="D67" s="8">
        <f>IF(A67="","",IFERROR(COUNTIF('F08 - 6-Boîte à Idées'!$C$6:$C$115,A67),0))</f>
        <v/>
      </c>
      <c r="E67" s="8" t="n"/>
      <c r="F67" s="28">
        <f>IF(A67="","",IFERROR(F67/B67*100,0))</f>
        <v/>
      </c>
      <c r="G67" s="28">
        <f>IF(A67="","",IFERROR(F67/B67*100,0))</f>
        <v/>
      </c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26">
        <f>IF(A68="","",IFERROR(AVERAGEIF('F01 - _Données Collaborateurs'!$D$6:$D$20,A68,'F01 - _Données Collaborateurs'!$F$6:$F$20),0))</f>
        <v/>
      </c>
      <c r="D68" s="5">
        <f>IF(A68="","",IFERROR(COUNTIF('F08 - 6-Boîte à Idées'!$C$6:$C$115,A68),0))</f>
        <v/>
      </c>
      <c r="E68" s="5" t="n"/>
      <c r="F68" s="26">
        <f>IF(A68="","",IFERROR(F68/B68*100,0))</f>
        <v/>
      </c>
      <c r="G68" s="26">
        <f>IF(A68="","",IFERROR(F68/B68*100,0))</f>
        <v/>
      </c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28">
        <f>IF(A69="","",IFERROR(AVERAGEIF('F01 - _Données Collaborateurs'!$D$6:$D$20,A69,'F01 - _Données Collaborateurs'!$F$6:$F$20),0))</f>
        <v/>
      </c>
      <c r="D69" s="8">
        <f>IF(A69="","",IFERROR(COUNTIF('F08 - 6-Boîte à Idées'!$C$6:$C$115,A69),0))</f>
        <v/>
      </c>
      <c r="E69" s="8" t="n"/>
      <c r="F69" s="28">
        <f>IF(A69="","",IFERROR(F69/B69*100,0))</f>
        <v/>
      </c>
      <c r="G69" s="28">
        <f>IF(A69="","",IFERROR(F69/B69*100,0))</f>
        <v/>
      </c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26">
        <f>IF(A70="","",IFERROR(AVERAGEIF('F01 - _Données Collaborateurs'!$D$6:$D$20,A70,'F01 - _Données Collaborateurs'!$F$6:$F$20),0))</f>
        <v/>
      </c>
      <c r="D70" s="5">
        <f>IF(A70="","",IFERROR(COUNTIF('F08 - 6-Boîte à Idées'!$C$6:$C$115,A70),0))</f>
        <v/>
      </c>
      <c r="E70" s="5" t="n"/>
      <c r="F70" s="26">
        <f>IF(A70="","",IFERROR(F70/B70*100,0))</f>
        <v/>
      </c>
      <c r="G70" s="26">
        <f>IF(A70="","",IFERROR(F70/B70*100,0))</f>
        <v/>
      </c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28">
        <f>IF(A71="","",IFERROR(AVERAGEIF('F01 - _Données Collaborateurs'!$D$6:$D$20,A71,'F01 - _Données Collaborateurs'!$F$6:$F$20),0))</f>
        <v/>
      </c>
      <c r="D71" s="8">
        <f>IF(A71="","",IFERROR(COUNTIF('F08 - 6-Boîte à Idées'!$C$6:$C$115,A71),0))</f>
        <v/>
      </c>
      <c r="E71" s="8" t="n"/>
      <c r="F71" s="28">
        <f>IF(A71="","",IFERROR(F71/B71*100,0))</f>
        <v/>
      </c>
      <c r="G71" s="28">
        <f>IF(A71="","",IFERROR(F71/B71*100,0))</f>
        <v/>
      </c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26">
        <f>IF(A72="","",IFERROR(AVERAGEIF('F01 - _Données Collaborateurs'!$D$6:$D$20,A72,'F01 - _Données Collaborateurs'!$F$6:$F$20),0))</f>
        <v/>
      </c>
      <c r="D72" s="5">
        <f>IF(A72="","",IFERROR(COUNTIF('F08 - 6-Boîte à Idées'!$C$6:$C$115,A72),0))</f>
        <v/>
      </c>
      <c r="E72" s="5" t="n"/>
      <c r="F72" s="26">
        <f>IF(A72="","",IFERROR(F72/B72*100,0))</f>
        <v/>
      </c>
      <c r="G72" s="26">
        <f>IF(A72="","",IFERROR(F72/B72*100,0))</f>
        <v/>
      </c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28">
        <f>IF(A73="","",IFERROR(AVERAGEIF('F01 - _Données Collaborateurs'!$D$6:$D$20,A73,'F01 - _Données Collaborateurs'!$F$6:$F$20),0))</f>
        <v/>
      </c>
      <c r="D73" s="8">
        <f>IF(A73="","",IFERROR(COUNTIF('F08 - 6-Boîte à Idées'!$C$6:$C$115,A73),0))</f>
        <v/>
      </c>
      <c r="E73" s="8" t="n"/>
      <c r="F73" s="28">
        <f>IF(A73="","",IFERROR(F73/B73*100,0))</f>
        <v/>
      </c>
      <c r="G73" s="28">
        <f>IF(A73="","",IFERROR(F73/B73*100,0))</f>
        <v/>
      </c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26">
        <f>IF(A74="","",IFERROR(AVERAGEIF('F01 - _Données Collaborateurs'!$D$6:$D$20,A74,'F01 - _Données Collaborateurs'!$F$6:$F$20),0))</f>
        <v/>
      </c>
      <c r="D74" s="5">
        <f>IF(A74="","",IFERROR(COUNTIF('F08 - 6-Boîte à Idées'!$C$6:$C$115,A74),0))</f>
        <v/>
      </c>
      <c r="E74" s="5" t="n"/>
      <c r="F74" s="26">
        <f>IF(A74="","",IFERROR(F74/B74*100,0))</f>
        <v/>
      </c>
      <c r="G74" s="26">
        <f>IF(A74="","",IFERROR(F74/B74*100,0))</f>
        <v/>
      </c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28">
        <f>IF(A75="","",IFERROR(AVERAGEIF('F01 - _Données Collaborateurs'!$D$6:$D$20,A75,'F01 - _Données Collaborateurs'!$F$6:$F$20),0))</f>
        <v/>
      </c>
      <c r="D75" s="8">
        <f>IF(A75="","",IFERROR(COUNTIF('F08 - 6-Boîte à Idées'!$C$6:$C$115,A75),0))</f>
        <v/>
      </c>
      <c r="E75" s="8" t="n"/>
      <c r="F75" s="28">
        <f>IF(A75="","",IFERROR(F75/B75*100,0))</f>
        <v/>
      </c>
      <c r="G75" s="28">
        <f>IF(A75="","",IFERROR(F75/B75*100,0))</f>
        <v/>
      </c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26">
        <f>IF(A76="","",IFERROR(AVERAGEIF('F01 - _Données Collaborateurs'!$D$6:$D$20,A76,'F01 - _Données Collaborateurs'!$F$6:$F$20),0))</f>
        <v/>
      </c>
      <c r="D76" s="5">
        <f>IF(A76="","",IFERROR(COUNTIF('F08 - 6-Boîte à Idées'!$C$6:$C$115,A76),0))</f>
        <v/>
      </c>
      <c r="E76" s="5" t="n"/>
      <c r="F76" s="26">
        <f>IF(A76="","",IFERROR(F76/B76*100,0))</f>
        <v/>
      </c>
      <c r="G76" s="26">
        <f>IF(A76="","",IFERROR(F76/B76*100,0))</f>
        <v/>
      </c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28">
        <f>IF(A77="","",IFERROR(AVERAGEIF('F01 - _Données Collaborateurs'!$D$6:$D$20,A77,'F01 - _Données Collaborateurs'!$F$6:$F$20),0))</f>
        <v/>
      </c>
      <c r="D77" s="8">
        <f>IF(A77="","",IFERROR(COUNTIF('F08 - 6-Boîte à Idées'!$C$6:$C$115,A77),0))</f>
        <v/>
      </c>
      <c r="E77" s="8" t="n"/>
      <c r="F77" s="28">
        <f>IF(A77="","",IFERROR(F77/B77*100,0))</f>
        <v/>
      </c>
      <c r="G77" s="28">
        <f>IF(A77="","",IFERROR(F77/B77*100,0))</f>
        <v/>
      </c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26">
        <f>IF(A78="","",IFERROR(AVERAGEIF('F01 - _Données Collaborateurs'!$D$6:$D$20,A78,'F01 - _Données Collaborateurs'!$F$6:$F$20),0))</f>
        <v/>
      </c>
      <c r="D78" s="5">
        <f>IF(A78="","",IFERROR(COUNTIF('F08 - 6-Boîte à Idées'!$C$6:$C$115,A78),0))</f>
        <v/>
      </c>
      <c r="E78" s="5" t="n"/>
      <c r="F78" s="26">
        <f>IF(A78="","",IFERROR(F78/B78*100,0))</f>
        <v/>
      </c>
      <c r="G78" s="26">
        <f>IF(A78="","",IFERROR(F78/B78*100,0))</f>
        <v/>
      </c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28">
        <f>IF(A79="","",IFERROR(AVERAGEIF('F01 - _Données Collaborateurs'!$D$6:$D$20,A79,'F01 - _Données Collaborateurs'!$F$6:$F$20),0))</f>
        <v/>
      </c>
      <c r="D79" s="8">
        <f>IF(A79="","",IFERROR(COUNTIF('F08 - 6-Boîte à Idées'!$C$6:$C$115,A79),0))</f>
        <v/>
      </c>
      <c r="E79" s="8" t="n"/>
      <c r="F79" s="28">
        <f>IF(A79="","",IFERROR(F79/B79*100,0))</f>
        <v/>
      </c>
      <c r="G79" s="28">
        <f>IF(A79="","",IFERROR(F79/B79*100,0))</f>
        <v/>
      </c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26">
        <f>IF(A80="","",IFERROR(AVERAGEIF('F01 - _Données Collaborateurs'!$D$6:$D$20,A80,'F01 - _Données Collaborateurs'!$F$6:$F$20),0))</f>
        <v/>
      </c>
      <c r="D80" s="5">
        <f>IF(A80="","",IFERROR(COUNTIF('F08 - 6-Boîte à Idées'!$C$6:$C$115,A80),0))</f>
        <v/>
      </c>
      <c r="E80" s="5" t="n"/>
      <c r="F80" s="26">
        <f>IF(A80="","",IFERROR(F80/B80*100,0))</f>
        <v/>
      </c>
      <c r="G80" s="26">
        <f>IF(A80="","",IFERROR(F80/B80*100,0))</f>
        <v/>
      </c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28">
        <f>IF(A81="","",IFERROR(AVERAGEIF('F01 - _Données Collaborateurs'!$D$6:$D$20,A81,'F01 - _Données Collaborateurs'!$F$6:$F$20),0))</f>
        <v/>
      </c>
      <c r="D81" s="8">
        <f>IF(A81="","",IFERROR(COUNTIF('F08 - 6-Boîte à Idées'!$C$6:$C$115,A81),0))</f>
        <v/>
      </c>
      <c r="E81" s="8" t="n"/>
      <c r="F81" s="28">
        <f>IF(A81="","",IFERROR(F81/B81*100,0))</f>
        <v/>
      </c>
      <c r="G81" s="28">
        <f>IF(A81="","",IFERROR(F81/B81*100,0))</f>
        <v/>
      </c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26">
        <f>IF(A82="","",IFERROR(AVERAGEIF('F01 - _Données Collaborateurs'!$D$6:$D$20,A82,'F01 - _Données Collaborateurs'!$F$6:$F$20),0))</f>
        <v/>
      </c>
      <c r="D82" s="5">
        <f>IF(A82="","",IFERROR(COUNTIF('F08 - 6-Boîte à Idées'!$C$6:$C$115,A82),0))</f>
        <v/>
      </c>
      <c r="E82" s="5" t="n"/>
      <c r="F82" s="26">
        <f>IF(A82="","",IFERROR(F82/B82*100,0))</f>
        <v/>
      </c>
      <c r="G82" s="26">
        <f>IF(A82="","",IFERROR(F82/B82*100,0))</f>
        <v/>
      </c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28">
        <f>IF(A83="","",IFERROR(AVERAGEIF('F01 - _Données Collaborateurs'!$D$6:$D$20,A83,'F01 - _Données Collaborateurs'!$F$6:$F$20),0))</f>
        <v/>
      </c>
      <c r="D83" s="8">
        <f>IF(A83="","",IFERROR(COUNTIF('F08 - 6-Boîte à Idées'!$C$6:$C$115,A83),0))</f>
        <v/>
      </c>
      <c r="E83" s="8" t="n"/>
      <c r="F83" s="28">
        <f>IF(A83="","",IFERROR(F83/B83*100,0))</f>
        <v/>
      </c>
      <c r="G83" s="28">
        <f>IF(A83="","",IFERROR(F83/B83*100,0))</f>
        <v/>
      </c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26">
        <f>IF(A84="","",IFERROR(AVERAGEIF('F01 - _Données Collaborateurs'!$D$6:$D$20,A84,'F01 - _Données Collaborateurs'!$F$6:$F$20),0))</f>
        <v/>
      </c>
      <c r="D84" s="5">
        <f>IF(A84="","",IFERROR(COUNTIF('F08 - 6-Boîte à Idées'!$C$6:$C$115,A84),0))</f>
        <v/>
      </c>
      <c r="E84" s="5" t="n"/>
      <c r="F84" s="26">
        <f>IF(A84="","",IFERROR(F84/B84*100,0))</f>
        <v/>
      </c>
      <c r="G84" s="26">
        <f>IF(A84="","",IFERROR(F84/B84*100,0))</f>
        <v/>
      </c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28">
        <f>IF(A85="","",IFERROR(AVERAGEIF('F01 - _Données Collaborateurs'!$D$6:$D$20,A85,'F01 - _Données Collaborateurs'!$F$6:$F$20),0))</f>
        <v/>
      </c>
      <c r="D85" s="8">
        <f>IF(A85="","",IFERROR(COUNTIF('F08 - 6-Boîte à Idées'!$C$6:$C$115,A85),0))</f>
        <v/>
      </c>
      <c r="E85" s="8" t="n"/>
      <c r="F85" s="28">
        <f>IF(A85="","",IFERROR(F85/B85*100,0))</f>
        <v/>
      </c>
      <c r="G85" s="28">
        <f>IF(A85="","",IFERROR(F85/B85*100,0))</f>
        <v/>
      </c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26">
        <f>IF(A86="","",IFERROR(AVERAGEIF('F01 - _Données Collaborateurs'!$D$6:$D$20,A86,'F01 - _Données Collaborateurs'!$F$6:$F$20),0))</f>
        <v/>
      </c>
      <c r="D86" s="5">
        <f>IF(A86="","",IFERROR(COUNTIF('F08 - 6-Boîte à Idées'!$C$6:$C$115,A86),0))</f>
        <v/>
      </c>
      <c r="E86" s="5" t="n"/>
      <c r="F86" s="26">
        <f>IF(A86="","",IFERROR(F86/B86*100,0))</f>
        <v/>
      </c>
      <c r="G86" s="26">
        <f>IF(A86="","",IFERROR(F86/B86*100,0))</f>
        <v/>
      </c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28">
        <f>IF(A87="","",IFERROR(AVERAGEIF('F01 - _Données Collaborateurs'!$D$6:$D$20,A87,'F01 - _Données Collaborateurs'!$F$6:$F$20),0))</f>
        <v/>
      </c>
      <c r="D87" s="8">
        <f>IF(A87="","",IFERROR(COUNTIF('F08 - 6-Boîte à Idées'!$C$6:$C$115,A87),0))</f>
        <v/>
      </c>
      <c r="E87" s="8" t="n"/>
      <c r="F87" s="28">
        <f>IF(A87="","",IFERROR(F87/B87*100,0))</f>
        <v/>
      </c>
      <c r="G87" s="28">
        <f>IF(A87="","",IFERROR(F87/B87*100,0))</f>
        <v/>
      </c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26">
        <f>IF(A88="","",IFERROR(AVERAGEIF('F01 - _Données Collaborateurs'!$D$6:$D$20,A88,'F01 - _Données Collaborateurs'!$F$6:$F$20),0))</f>
        <v/>
      </c>
      <c r="D88" s="5">
        <f>IF(A88="","",IFERROR(COUNTIF('F08 - 6-Boîte à Idées'!$C$6:$C$115,A88),0))</f>
        <v/>
      </c>
      <c r="E88" s="5" t="n"/>
      <c r="F88" s="26">
        <f>IF(A88="","",IFERROR(F88/B88*100,0))</f>
        <v/>
      </c>
      <c r="G88" s="26">
        <f>IF(A88="","",IFERROR(F88/B88*100,0))</f>
        <v/>
      </c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28">
        <f>IF(A89="","",IFERROR(AVERAGEIF('F01 - _Données Collaborateurs'!$D$6:$D$20,A89,'F01 - _Données Collaborateurs'!$F$6:$F$20),0))</f>
        <v/>
      </c>
      <c r="D89" s="8">
        <f>IF(A89="","",IFERROR(COUNTIF('F08 - 6-Boîte à Idées'!$C$6:$C$115,A89),0))</f>
        <v/>
      </c>
      <c r="E89" s="8" t="n"/>
      <c r="F89" s="28">
        <f>IF(A89="","",IFERROR(F89/B89*100,0))</f>
        <v/>
      </c>
      <c r="G89" s="28">
        <f>IF(A89="","",IFERROR(F89/B89*100,0))</f>
        <v/>
      </c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26">
        <f>IF(A90="","",IFERROR(AVERAGEIF('F01 - _Données Collaborateurs'!$D$6:$D$20,A90,'F01 - _Données Collaborateurs'!$F$6:$F$20),0))</f>
        <v/>
      </c>
      <c r="D90" s="5">
        <f>IF(A90="","",IFERROR(COUNTIF('F08 - 6-Boîte à Idées'!$C$6:$C$115,A90),0))</f>
        <v/>
      </c>
      <c r="E90" s="5" t="n"/>
      <c r="F90" s="26">
        <f>IF(A90="","",IFERROR(F90/B90*100,0))</f>
        <v/>
      </c>
      <c r="G90" s="26">
        <f>IF(A90="","",IFERROR(F90/B90*100,0))</f>
        <v/>
      </c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28">
        <f>IF(A91="","",IFERROR(AVERAGEIF('F01 - _Données Collaborateurs'!$D$6:$D$20,A91,'F01 - _Données Collaborateurs'!$F$6:$F$20),0))</f>
        <v/>
      </c>
      <c r="D91" s="8">
        <f>IF(A91="","",IFERROR(COUNTIF('F08 - 6-Boîte à Idées'!$C$6:$C$115,A91),0))</f>
        <v/>
      </c>
      <c r="E91" s="8" t="n"/>
      <c r="F91" s="28">
        <f>IF(A91="","",IFERROR(F91/B91*100,0))</f>
        <v/>
      </c>
      <c r="G91" s="28">
        <f>IF(A91="","",IFERROR(F91/B91*100,0))</f>
        <v/>
      </c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26">
        <f>IF(A92="","",IFERROR(AVERAGEIF('F01 - _Données Collaborateurs'!$D$6:$D$20,A92,'F01 - _Données Collaborateurs'!$F$6:$F$20),0))</f>
        <v/>
      </c>
      <c r="D92" s="5">
        <f>IF(A92="","",IFERROR(COUNTIF('F08 - 6-Boîte à Idées'!$C$6:$C$115,A92),0))</f>
        <v/>
      </c>
      <c r="E92" s="5" t="n"/>
      <c r="F92" s="26">
        <f>IF(A92="","",IFERROR(F92/B92*100,0))</f>
        <v/>
      </c>
      <c r="G92" s="26">
        <f>IF(A92="","",IFERROR(F92/B92*100,0))</f>
        <v/>
      </c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28">
        <f>IF(A93="","",IFERROR(AVERAGEIF('F01 - _Données Collaborateurs'!$D$6:$D$20,A93,'F01 - _Données Collaborateurs'!$F$6:$F$20),0))</f>
        <v/>
      </c>
      <c r="D93" s="8">
        <f>IF(A93="","",IFERROR(COUNTIF('F08 - 6-Boîte à Idées'!$C$6:$C$115,A93),0))</f>
        <v/>
      </c>
      <c r="E93" s="8" t="n"/>
      <c r="F93" s="28">
        <f>IF(A93="","",IFERROR(F93/B93*100,0))</f>
        <v/>
      </c>
      <c r="G93" s="28">
        <f>IF(A93="","",IFERROR(F93/B93*100,0))</f>
        <v/>
      </c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26">
        <f>IF(A94="","",IFERROR(AVERAGEIF('F01 - _Données Collaborateurs'!$D$6:$D$20,A94,'F01 - _Données Collaborateurs'!$F$6:$F$20),0))</f>
        <v/>
      </c>
      <c r="D94" s="5">
        <f>IF(A94="","",IFERROR(COUNTIF('F08 - 6-Boîte à Idées'!$C$6:$C$115,A94),0))</f>
        <v/>
      </c>
      <c r="E94" s="5" t="n"/>
      <c r="F94" s="26">
        <f>IF(A94="","",IFERROR(F94/B94*100,0))</f>
        <v/>
      </c>
      <c r="G94" s="26">
        <f>IF(A94="","",IFERROR(F94/B94*100,0))</f>
        <v/>
      </c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28">
        <f>IF(A95="","",IFERROR(AVERAGEIF('F01 - _Données Collaborateurs'!$D$6:$D$20,A95,'F01 - _Données Collaborateurs'!$F$6:$F$20),0))</f>
        <v/>
      </c>
      <c r="D95" s="8">
        <f>IF(A95="","",IFERROR(COUNTIF('F08 - 6-Boîte à Idées'!$C$6:$C$115,A95),0))</f>
        <v/>
      </c>
      <c r="E95" s="8" t="n"/>
      <c r="F95" s="28">
        <f>IF(A95="","",IFERROR(F95/B95*100,0))</f>
        <v/>
      </c>
      <c r="G95" s="28">
        <f>IF(A95="","",IFERROR(F95/B95*100,0))</f>
        <v/>
      </c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26">
        <f>IF(A96="","",IFERROR(AVERAGEIF('F01 - _Données Collaborateurs'!$D$6:$D$20,A96,'F01 - _Données Collaborateurs'!$F$6:$F$20),0))</f>
        <v/>
      </c>
      <c r="D96" s="5">
        <f>IF(A96="","",IFERROR(COUNTIF('F08 - 6-Boîte à Idées'!$C$6:$C$115,A96),0))</f>
        <v/>
      </c>
      <c r="E96" s="5" t="n"/>
      <c r="F96" s="26">
        <f>IF(A96="","",IFERROR(F96/B96*100,0))</f>
        <v/>
      </c>
      <c r="G96" s="26">
        <f>IF(A96="","",IFERROR(F96/B96*100,0))</f>
        <v/>
      </c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28">
        <f>IF(A97="","",IFERROR(AVERAGEIF('F01 - _Données Collaborateurs'!$D$6:$D$20,A97,'F01 - _Données Collaborateurs'!$F$6:$F$20),0))</f>
        <v/>
      </c>
      <c r="D97" s="8">
        <f>IF(A97="","",IFERROR(COUNTIF('F08 - 6-Boîte à Idées'!$C$6:$C$115,A97),0))</f>
        <v/>
      </c>
      <c r="E97" s="8" t="n"/>
      <c r="F97" s="28">
        <f>IF(A97="","",IFERROR(F97/B97*100,0))</f>
        <v/>
      </c>
      <c r="G97" s="28">
        <f>IF(A97="","",IFERROR(F97/B97*100,0))</f>
        <v/>
      </c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26">
        <f>IF(A98="","",IFERROR(AVERAGEIF('F01 - _Données Collaborateurs'!$D$6:$D$20,A98,'F01 - _Données Collaborateurs'!$F$6:$F$20),0))</f>
        <v/>
      </c>
      <c r="D98" s="5">
        <f>IF(A98="","",IFERROR(COUNTIF('F08 - 6-Boîte à Idées'!$C$6:$C$115,A98),0))</f>
        <v/>
      </c>
      <c r="E98" s="5" t="n"/>
      <c r="F98" s="26">
        <f>IF(A98="","",IFERROR(F98/B98*100,0))</f>
        <v/>
      </c>
      <c r="G98" s="26">
        <f>IF(A98="","",IFERROR(F98/B98*100,0))</f>
        <v/>
      </c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28">
        <f>IF(A99="","",IFERROR(AVERAGEIF('F01 - _Données Collaborateurs'!$D$6:$D$20,A99,'F01 - _Données Collaborateurs'!$F$6:$F$20),0))</f>
        <v/>
      </c>
      <c r="D99" s="8">
        <f>IF(A99="","",IFERROR(COUNTIF('F08 - 6-Boîte à Idées'!$C$6:$C$115,A99),0))</f>
        <v/>
      </c>
      <c r="E99" s="8" t="n"/>
      <c r="F99" s="28">
        <f>IF(A99="","",IFERROR(F99/B99*100,0))</f>
        <v/>
      </c>
      <c r="G99" s="28">
        <f>IF(A99="","",IFERROR(F99/B99*100,0))</f>
        <v/>
      </c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26">
        <f>IF(A100="","",IFERROR(AVERAGEIF('F01 - _Données Collaborateurs'!$D$6:$D$20,A100,'F01 - _Données Collaborateurs'!$F$6:$F$20),0))</f>
        <v/>
      </c>
      <c r="D100" s="5">
        <f>IF(A100="","",IFERROR(COUNTIF('F08 - 6-Boîte à Idées'!$C$6:$C$115,A100),0))</f>
        <v/>
      </c>
      <c r="E100" s="5" t="n"/>
      <c r="F100" s="26">
        <f>IF(A100="","",IFERROR(F100/B100*100,0))</f>
        <v/>
      </c>
      <c r="G100" s="26">
        <f>IF(A100="","",IFERROR(F100/B100*100,0))</f>
        <v/>
      </c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28">
        <f>IF(A101="","",IFERROR(AVERAGEIF('F01 - _Données Collaborateurs'!$D$6:$D$20,A101,'F01 - _Données Collaborateurs'!$F$6:$F$20),0))</f>
        <v/>
      </c>
      <c r="D101" s="8">
        <f>IF(A101="","",IFERROR(COUNTIF('F08 - 6-Boîte à Idées'!$C$6:$C$115,A101),0))</f>
        <v/>
      </c>
      <c r="E101" s="8" t="n"/>
      <c r="F101" s="28">
        <f>IF(A101="","",IFERROR(F101/B101*100,0))</f>
        <v/>
      </c>
      <c r="G101" s="28">
        <f>IF(A101="","",IFERROR(F101/B101*100,0))</f>
        <v/>
      </c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26">
        <f>IF(A102="","",IFERROR(AVERAGEIF('F01 - _Données Collaborateurs'!$D$6:$D$20,A102,'F01 - _Données Collaborateurs'!$F$6:$F$20),0))</f>
        <v/>
      </c>
      <c r="D102" s="5">
        <f>IF(A102="","",IFERROR(COUNTIF('F08 - 6-Boîte à Idées'!$C$6:$C$115,A102),0))</f>
        <v/>
      </c>
      <c r="E102" s="5" t="n"/>
      <c r="F102" s="26">
        <f>IF(A102="","",IFERROR(F102/B102*100,0))</f>
        <v/>
      </c>
      <c r="G102" s="26">
        <f>IF(A102="","",IFERROR(F102/B102*100,0))</f>
        <v/>
      </c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28">
        <f>IF(A103="","",IFERROR(AVERAGEIF('F01 - _Données Collaborateurs'!$D$6:$D$20,A103,'F01 - _Données Collaborateurs'!$F$6:$F$20),0))</f>
        <v/>
      </c>
      <c r="D103" s="8">
        <f>IF(A103="","",IFERROR(COUNTIF('F08 - 6-Boîte à Idées'!$C$6:$C$115,A103),0))</f>
        <v/>
      </c>
      <c r="E103" s="8" t="n"/>
      <c r="F103" s="28">
        <f>IF(A103="","",IFERROR(F103/B103*100,0))</f>
        <v/>
      </c>
      <c r="G103" s="28">
        <f>IF(A103="","",IFERROR(F103/B103*100,0))</f>
        <v/>
      </c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26">
        <f>IF(A104="","",IFERROR(AVERAGEIF('F01 - _Données Collaborateurs'!$D$6:$D$20,A104,'F01 - _Données Collaborateurs'!$F$6:$F$20),0))</f>
        <v/>
      </c>
      <c r="D104" s="5">
        <f>IF(A104="","",IFERROR(COUNTIF('F08 - 6-Boîte à Idées'!$C$6:$C$115,A104),0))</f>
        <v/>
      </c>
      <c r="E104" s="5" t="n"/>
      <c r="F104" s="26">
        <f>IF(A104="","",IFERROR(F104/B104*100,0))</f>
        <v/>
      </c>
      <c r="G104" s="26">
        <f>IF(A104="","",IFERROR(F104/B104*100,0))</f>
        <v/>
      </c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28">
        <f>IF(A105="","",IFERROR(AVERAGEIF('F01 - _Données Collaborateurs'!$D$6:$D$20,A105,'F01 - _Données Collaborateurs'!$F$6:$F$20),0))</f>
        <v/>
      </c>
      <c r="D105" s="8">
        <f>IF(A105="","",IFERROR(COUNTIF('F08 - 6-Boîte à Idées'!$C$6:$C$115,A105),0))</f>
        <v/>
      </c>
      <c r="E105" s="8" t="n"/>
      <c r="F105" s="28">
        <f>IF(A105="","",IFERROR(F105/B105*100,0))</f>
        <v/>
      </c>
      <c r="G105" s="28">
        <f>IF(A105="","",IFERROR(F105/B105*100,0))</f>
        <v/>
      </c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26">
        <f>IF(A106="","",IFERROR(AVERAGEIF('F01 - _Données Collaborateurs'!$D$6:$D$20,A106,'F01 - _Données Collaborateurs'!$F$6:$F$20),0))</f>
        <v/>
      </c>
      <c r="D106" s="5">
        <f>IF(A106="","",IFERROR(COUNTIF('F08 - 6-Boîte à Idées'!$C$6:$C$115,A106),0))</f>
        <v/>
      </c>
      <c r="E106" s="5" t="n"/>
      <c r="F106" s="26">
        <f>IF(A106="","",IFERROR(F106/B106*100,0))</f>
        <v/>
      </c>
      <c r="G106" s="26">
        <f>IF(A106="","",IFERROR(F106/B106*100,0))</f>
        <v/>
      </c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28">
        <f>IF(A107="","",IFERROR(AVERAGEIF('F01 - _Données Collaborateurs'!$D$6:$D$20,A107,'F01 - _Données Collaborateurs'!$F$6:$F$20),0))</f>
        <v/>
      </c>
      <c r="D107" s="8">
        <f>IF(A107="","",IFERROR(COUNTIF('F08 - 6-Boîte à Idées'!$C$6:$C$115,A107),0))</f>
        <v/>
      </c>
      <c r="E107" s="8" t="n"/>
      <c r="F107" s="28">
        <f>IF(A107="","",IFERROR(F107/B107*100,0))</f>
        <v/>
      </c>
      <c r="G107" s="28">
        <f>IF(A107="","",IFERROR(F107/B107*100,0))</f>
        <v/>
      </c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26">
        <f>IF(A108="","",IFERROR(AVERAGEIF('F01 - _Données Collaborateurs'!$D$6:$D$20,A108,'F01 - _Données Collaborateurs'!$F$6:$F$20),0))</f>
        <v/>
      </c>
      <c r="D108" s="5">
        <f>IF(A108="","",IFERROR(COUNTIF('F08 - 6-Boîte à Idées'!$C$6:$C$115,A108),0))</f>
        <v/>
      </c>
      <c r="E108" s="5" t="n"/>
      <c r="F108" s="26">
        <f>IF(A108="","",IFERROR(F108/B108*100,0))</f>
        <v/>
      </c>
      <c r="G108" s="26">
        <f>IF(A108="","",IFERROR(F108/B108*100,0))</f>
        <v/>
      </c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28">
        <f>IF(A109="","",IFERROR(AVERAGEIF('F01 - _Données Collaborateurs'!$D$6:$D$20,A109,'F01 - _Données Collaborateurs'!$F$6:$F$20),0))</f>
        <v/>
      </c>
      <c r="D109" s="8">
        <f>IF(A109="","",IFERROR(COUNTIF('F08 - 6-Boîte à Idées'!$C$6:$C$115,A109),0))</f>
        <v/>
      </c>
      <c r="E109" s="8" t="n"/>
      <c r="F109" s="28">
        <f>IF(A109="","",IFERROR(F109/B109*100,0))</f>
        <v/>
      </c>
      <c r="G109" s="28">
        <f>IF(A109="","",IFERROR(F109/B109*100,0))</f>
        <v/>
      </c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26">
        <f>IF(A110="","",IFERROR(AVERAGEIF('F01 - _Données Collaborateurs'!$D$6:$D$20,A110,'F01 - _Données Collaborateurs'!$F$6:$F$20),0))</f>
        <v/>
      </c>
      <c r="D110" s="5">
        <f>IF(A110="","",IFERROR(COUNTIF('F08 - 6-Boîte à Idées'!$C$6:$C$115,A110),0))</f>
        <v/>
      </c>
      <c r="E110" s="5" t="n"/>
      <c r="F110" s="26">
        <f>IF(A110="","",IFERROR(F110/B110*100,0))</f>
        <v/>
      </c>
      <c r="G110" s="26">
        <f>IF(A110="","",IFERROR(F110/B110*100,0))</f>
        <v/>
      </c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28">
        <f>IF(A111="","",IFERROR(AVERAGEIF('F01 - _Données Collaborateurs'!$D$6:$D$20,A111,'F01 - _Données Collaborateurs'!$F$6:$F$20),0))</f>
        <v/>
      </c>
      <c r="D111" s="8">
        <f>IF(A111="","",IFERROR(COUNTIF('F08 - 6-Boîte à Idées'!$C$6:$C$115,A111),0))</f>
        <v/>
      </c>
      <c r="E111" s="8" t="n"/>
      <c r="F111" s="28">
        <f>IF(A111="","",IFERROR(F111/B111*100,0))</f>
        <v/>
      </c>
      <c r="G111" s="28">
        <f>IF(A111="","",IFERROR(F111/B111*100,0))</f>
        <v/>
      </c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26">
        <f>IF(A112="","",IFERROR(AVERAGEIF('F01 - _Données Collaborateurs'!$D$6:$D$20,A112,'F01 - _Données Collaborateurs'!$F$6:$F$20),0))</f>
        <v/>
      </c>
      <c r="D112" s="5">
        <f>IF(A112="","",IFERROR(COUNTIF('F08 - 6-Boîte à Idées'!$C$6:$C$115,A112),0))</f>
        <v/>
      </c>
      <c r="E112" s="5" t="n"/>
      <c r="F112" s="26">
        <f>IF(A112="","",IFERROR(F112/B112*100,0))</f>
        <v/>
      </c>
      <c r="G112" s="26">
        <f>IF(A112="","",IFERROR(F112/B112*100,0))</f>
        <v/>
      </c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28">
        <f>IF(A113="","",IFERROR(AVERAGEIF('F01 - _Données Collaborateurs'!$D$6:$D$20,A113,'F01 - _Données Collaborateurs'!$F$6:$F$20),0))</f>
        <v/>
      </c>
      <c r="D113" s="8">
        <f>IF(A113="","",IFERROR(COUNTIF('F08 - 6-Boîte à Idées'!$C$6:$C$115,A113),0))</f>
        <v/>
      </c>
      <c r="E113" s="8" t="n"/>
      <c r="F113" s="28">
        <f>IF(A113="","",IFERROR(F113/B113*100,0))</f>
        <v/>
      </c>
      <c r="G113" s="28">
        <f>IF(A113="","",IFERROR(F113/B113*100,0))</f>
        <v/>
      </c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26">
        <f>IF(A114="","",IFERROR(AVERAGEIF('F01 - _Données Collaborateurs'!$D$6:$D$20,A114,'F01 - _Données Collaborateurs'!$F$6:$F$20),0))</f>
        <v/>
      </c>
      <c r="D114" s="5">
        <f>IF(A114="","",IFERROR(COUNTIF('F08 - 6-Boîte à Idées'!$C$6:$C$115,A114),0))</f>
        <v/>
      </c>
      <c r="E114" s="5" t="n"/>
      <c r="F114" s="26">
        <f>IF(A114="","",IFERROR(F114/B114*100,0))</f>
        <v/>
      </c>
      <c r="G114" s="26">
        <f>IF(A114="","",IFERROR(F114/B114*100,0))</f>
        <v/>
      </c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28">
        <f>IF(A115="","",IFERROR(AVERAGEIF('F01 - _Données Collaborateurs'!$D$6:$D$20,A115,'F01 - _Données Collaborateurs'!$F$6:$F$20),0))</f>
        <v/>
      </c>
      <c r="D115" s="8">
        <f>IF(A115="","",IFERROR(COUNTIF('F08 - 6-Boîte à Idées'!$C$6:$C$115,A115),0))</f>
        <v/>
      </c>
      <c r="E115" s="8" t="n"/>
      <c r="F115" s="28">
        <f>IF(A115="","",IFERROR(F115/B115*100,0))</f>
        <v/>
      </c>
      <c r="G115" s="28">
        <f>IF(A115="","",IFERROR(F115/B115*100,0))</f>
        <v/>
      </c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A6:A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_Lists'!$R$6:$R$8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2" customWidth="1" min="4" max="4"/>
    <col width="14" customWidth="1" min="5" max="5"/>
    <col width="22" customWidth="1" min="6" max="6"/>
    <col width="16" customWidth="1" min="7" max="7"/>
    <col width="16" customWidth="1" min="8" max="8"/>
    <col width="16" customWidth="1" min="9" max="9"/>
    <col width="14" customWidth="1" min="10" max="10"/>
    <col width="24" customWidth="1" min="11" max="11"/>
    <col width="36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9-ACTIONS D'AMÉLIORATION QVT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Action</t>
        </is>
      </c>
      <c r="B5" s="4" t="inlineStr">
        <is>
          <t>Action</t>
        </is>
      </c>
      <c r="C5" s="4" t="inlineStr">
        <is>
          <t>Département Concerné</t>
        </is>
      </c>
      <c r="D5" s="4" t="inlineStr">
        <is>
          <t>Origine</t>
        </is>
      </c>
      <c r="E5" s="4" t="inlineStr">
        <is>
          <t>Priorité</t>
        </is>
      </c>
      <c r="F5" s="4" t="inlineStr">
        <is>
          <t>Responsable</t>
        </is>
      </c>
      <c r="G5" s="4" t="inlineStr">
        <is>
          <t>Date Lancement</t>
        </is>
      </c>
      <c r="H5" s="4" t="inlineStr">
        <is>
          <t>Date Échéance</t>
        </is>
      </c>
      <c r="I5" s="4" t="inlineStr">
        <is>
          <t>Budget (FCFA)</t>
        </is>
      </c>
      <c r="J5" s="4" t="inlineStr">
        <is>
          <t>Statut</t>
        </is>
      </c>
      <c r="K5" s="4" t="inlineStr">
        <is>
          <t>Impact Mesuré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>
        <f>IF(B6="","",IF(COUNTA($A$6:A6)=0,"QVT-"&amp;TEXT(COUNTA($B$6:B6),"000"),"QVT-"&amp;TEXT(ROW()-5,"000")))</f>
        <v/>
      </c>
      <c r="B6" s="5" t="inlineStr">
        <is>
          <t>Aménager espace de repos équipe cuisine</t>
        </is>
      </c>
      <c r="C6" s="5" t="inlineStr">
        <is>
          <t>Cuisine &amp; Restauration</t>
        </is>
      </c>
      <c r="D6" s="5" t="inlineStr">
        <is>
          <t>Enquête engagement</t>
        </is>
      </c>
      <c r="E6" s="5" t="inlineStr">
        <is>
          <t>Haute</t>
        </is>
      </c>
      <c r="F6" s="5" t="inlineStr">
        <is>
          <t>DRH / Chef Cuisinier</t>
        </is>
      </c>
      <c r="G6" s="23" t="n">
        <v>45689</v>
      </c>
      <c r="H6" s="23" t="n">
        <v>45747</v>
      </c>
      <c r="I6" s="25" t="n">
        <v>500000</v>
      </c>
      <c r="J6" s="5" t="inlineStr">
        <is>
          <t>En cours</t>
        </is>
      </c>
      <c r="K6" s="5" t="inlineStr">
        <is>
          <t>Satisfaction +12% cuisine</t>
        </is>
      </c>
      <c r="L6" s="5" t="inlineStr">
        <is>
          <t>Travaux en cours</t>
        </is>
      </c>
      <c r="M6" s="5" t="inlineStr"/>
      <c r="N6" s="5" t="inlineStr"/>
    </row>
    <row r="7" ht="22" customHeight="1">
      <c r="A7" s="8">
        <f>IF(B7="","",IF(COUNTA($A$6:A7)=0,"QVT-"&amp;TEXT(COUNTA($B$6:B7),"000"),"QVT-"&amp;TEXT(ROW()-5,"000")))</f>
        <v/>
      </c>
      <c r="B7" s="8" t="inlineStr">
        <is>
          <t>Programme reconnaissance mensuelle</t>
        </is>
      </c>
      <c r="C7" s="8" t="inlineStr">
        <is>
          <t>Tous</t>
        </is>
      </c>
      <c r="D7" s="8" t="inlineStr">
        <is>
          <t>Direction</t>
        </is>
      </c>
      <c r="E7" s="8" t="inlineStr">
        <is>
          <t>Haute</t>
        </is>
      </c>
      <c r="F7" s="8" t="inlineStr">
        <is>
          <t>DRH</t>
        </is>
      </c>
      <c r="G7" s="24" t="n">
        <v>45717</v>
      </c>
      <c r="H7" s="24" t="n">
        <v>46022</v>
      </c>
      <c r="I7" s="27" t="n">
        <v>600000</v>
      </c>
      <c r="J7" s="8" t="inlineStr">
        <is>
          <t>En cours</t>
        </is>
      </c>
      <c r="K7" s="8" t="inlineStr">
        <is>
          <t>Engagement +5% global</t>
        </is>
      </c>
      <c r="L7" s="8" t="inlineStr">
        <is>
          <t>1er prix décerné mars</t>
        </is>
      </c>
      <c r="M7" s="8" t="inlineStr"/>
      <c r="N7" s="8" t="inlineStr"/>
    </row>
    <row r="8" ht="22" customHeight="1">
      <c r="A8" s="5">
        <f>IF(B8="","",IF(COUNTA($A$6:A8)=0,"QVT-"&amp;TEXT(COUNTA($B$6:B8),"000"),"QVT-"&amp;TEXT(ROW()-5,"000")))</f>
        <v/>
      </c>
      <c r="B8" s="5" t="inlineStr">
        <is>
          <t>Formation gestion du stress</t>
        </is>
      </c>
      <c r="C8" s="5" t="inlineStr">
        <is>
          <t>Hébergement</t>
        </is>
      </c>
      <c r="D8" s="5" t="inlineStr">
        <is>
          <t>Entretien individuel</t>
        </is>
      </c>
      <c r="E8" s="5" t="inlineStr">
        <is>
          <t>Moyenne</t>
        </is>
      </c>
      <c r="F8" s="5" t="inlineStr">
        <is>
          <t>DRH</t>
        </is>
      </c>
      <c r="G8" s="23" t="n">
        <v>45762</v>
      </c>
      <c r="H8" s="23" t="n">
        <v>45777</v>
      </c>
      <c r="I8" s="25" t="n">
        <v>150000</v>
      </c>
      <c r="J8" s="5" t="inlineStr">
        <is>
          <t>Planifié</t>
        </is>
      </c>
      <c r="K8" s="5" t="inlineStr"/>
      <c r="L8" s="5" t="inlineStr">
        <is>
          <t>Intervenant psychologue confirmé</t>
        </is>
      </c>
      <c r="M8" s="5" t="inlineStr"/>
      <c r="N8" s="5" t="inlineStr"/>
    </row>
    <row r="9" ht="22" customHeight="1">
      <c r="A9" s="8">
        <f>IF(B9="","",IF(COUNTA($A$6:A9)=0,"QVT-"&amp;TEXT(COUNTA($B$6:B9),"000"),"QVT-"&amp;TEXT(ROW()-5,"000")))</f>
        <v/>
      </c>
      <c r="B9" s="8" t="inlineStr">
        <is>
          <t>Horaires flexibles vendredi entretien</t>
        </is>
      </c>
      <c r="C9" s="8" t="inlineStr">
        <is>
          <t>Entretien &amp; Maintenance</t>
        </is>
      </c>
      <c r="D9" s="8" t="inlineStr">
        <is>
          <t>Suggestion collaborateur</t>
        </is>
      </c>
      <c r="E9" s="8" t="inlineStr">
        <is>
          <t>Moyenne</t>
        </is>
      </c>
      <c r="F9" s="8" t="inlineStr">
        <is>
          <t>DRH / Chef Entretien</t>
        </is>
      </c>
      <c r="G9" s="24" t="n">
        <v>45731</v>
      </c>
      <c r="H9" s="24" t="n">
        <v>45838</v>
      </c>
      <c r="I9" s="27" t="n">
        <v>0</v>
      </c>
      <c r="J9" s="8" t="inlineStr">
        <is>
          <t>En cours</t>
        </is>
      </c>
      <c r="K9" s="8" t="inlineStr">
        <is>
          <t>Absentéisme -20%</t>
        </is>
      </c>
      <c r="L9" s="8" t="inlineStr">
        <is>
          <t>Test sur 3 mois</t>
        </is>
      </c>
      <c r="M9" s="8" t="inlineStr"/>
      <c r="N9" s="8" t="inlineStr"/>
    </row>
    <row r="10" ht="22" customHeight="1">
      <c r="A10" s="5">
        <f>IF(B10="","",IF(COUNTA($A$6:A10)=0,"QVT-"&amp;TEXT(COUNTA($B$6:B10),"000"),"QVT-"&amp;TEXT(ROW()-5,"000")))</f>
        <v/>
      </c>
      <c r="B10" s="5" t="inlineStr">
        <is>
          <t>Mise en place télétravail partiel DSI</t>
        </is>
      </c>
      <c r="C10" s="5" t="inlineStr">
        <is>
          <t>Informatique</t>
        </is>
      </c>
      <c r="D10" s="5" t="inlineStr">
        <is>
          <t>Enquête QVT</t>
        </is>
      </c>
      <c r="E10" s="5" t="inlineStr">
        <is>
          <t>Basse</t>
        </is>
      </c>
      <c r="F10" s="5" t="inlineStr">
        <is>
          <t>DSI / DRH</t>
        </is>
      </c>
      <c r="G10" s="23" t="n">
        <v>45778</v>
      </c>
      <c r="H10" s="23" t="n">
        <v>45900</v>
      </c>
      <c r="I10" s="25" t="n">
        <v>200000</v>
      </c>
      <c r="J10" s="5" t="inlineStr">
        <is>
          <t>Planifié</t>
        </is>
      </c>
      <c r="K10" s="5" t="inlineStr"/>
      <c r="L10" s="5" t="inlineStr">
        <is>
          <t>Étude juridique en cours</t>
        </is>
      </c>
      <c r="M10" s="5" t="inlineStr"/>
      <c r="N10" s="5" t="inlineStr"/>
    </row>
    <row r="11" ht="22" customHeight="1">
      <c r="A11" s="8">
        <f>IF(B11="","",IF(COUNTA($A$6:A11)=0,"QVT-"&amp;TEXT(COUNTA($B$6:B11),"000"),"QVT-"&amp;TEXT(ROW()-5,"000")))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>
        <f>IF(B12="","",IF(COUNTA($A$6:A12)=0,"QVT-"&amp;TEXT(COUNTA($B$6:B12),"000"),"QVT-"&amp;TEXT(ROW()-5,"000")))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>
        <f>IF(B13="","",IF(COUNTA($A$6:A13)=0,"QVT-"&amp;TEXT(COUNTA($B$6:B13),"000"),"QVT-"&amp;TEXT(ROW()-5,"000")))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>
        <f>IF(B14="","",IF(COUNTA($A$6:A14)=0,"QVT-"&amp;TEXT(COUNTA($B$6:B14),"000"),"QVT-"&amp;TEXT(ROW()-5,"000")))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>
        <f>IF(B15="","",IF(COUNTA($A$6:A15)=0,"QVT-"&amp;TEXT(COUNTA($B$6:B15),"000"),"QVT-"&amp;TEXT(ROW()-5,"000")))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>
        <f>IF(B16="","",IF(COUNTA($A$6:A16)=0,"QVT-"&amp;TEXT(COUNTA($B$6:B16),"000"),"QVT-"&amp;TEXT(ROW()-5,"000")))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>
        <f>IF(B17="","",IF(COUNTA($A$6:A17)=0,"QVT-"&amp;TEXT(COUNTA($B$6:B17),"000"),"QVT-"&amp;TEXT(ROW()-5,"000")))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>
        <f>IF(B18="","",IF(COUNTA($A$6:A18)=0,"QVT-"&amp;TEXT(COUNTA($B$6:B18),"000"),"QVT-"&amp;TEXT(ROW()-5,"000")))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>
        <f>IF(B19="","",IF(COUNTA($A$6:A19)=0,"QVT-"&amp;TEXT(COUNTA($B$6:B19),"000"),"QVT-"&amp;TEXT(ROW()-5,"000")))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>
        <f>IF(B20="","",IF(COUNTA($A$6:A20)=0,"QVT-"&amp;TEXT(COUNTA($B$6:B20),"000"),"QVT-"&amp;TEXT(ROW()-5,"000")))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>
        <f>IF(B21="","",IF(COUNTA($A$6:A21)=0,"QVT-"&amp;TEXT(COUNTA($B$6:B21),"000"),"QVT-"&amp;TEXT(ROW()-5,"000")))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>
        <f>IF(B22="","",IF(COUNTA($A$6:A22)=0,"QVT-"&amp;TEXT(COUNTA($B$6:B22),"000"),"QVT-"&amp;TEXT(ROW()-5,"000")))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>
        <f>IF(B23="","",IF(COUNTA($A$6:A23)=0,"QVT-"&amp;TEXT(COUNTA($B$6:B23),"000"),"QVT-"&amp;TEXT(ROW()-5,"000")))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>
        <f>IF(B24="","",IF(COUNTA($A$6:A24)=0,"QVT-"&amp;TEXT(COUNTA($B$6:B24),"000"),"QVT-"&amp;TEXT(ROW()-5,"000")))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>
        <f>IF(B25="","",IF(COUNTA($A$6:A25)=0,"QVT-"&amp;TEXT(COUNTA($B$6:B25),"000"),"QVT-"&amp;TEXT(ROW()-5,"000")))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>
        <f>IF(B26="","",IF(COUNTA($A$6:A26)=0,"QVT-"&amp;TEXT(COUNTA($B$6:B26),"000"),"QVT-"&amp;TEXT(ROW()-5,"000")))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>
        <f>IF(B27="","",IF(COUNTA($A$6:A27)=0,"QVT-"&amp;TEXT(COUNTA($B$6:B27),"000"),"QVT-"&amp;TEXT(ROW()-5,"000")))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>
        <f>IF(B28="","",IF(COUNTA($A$6:A28)=0,"QVT-"&amp;TEXT(COUNTA($B$6:B28),"000"),"QVT-"&amp;TEXT(ROW()-5,"000")))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>
        <f>IF(B29="","",IF(COUNTA($A$6:A29)=0,"QVT-"&amp;TEXT(COUNTA($B$6:B29),"000"),"QVT-"&amp;TEXT(ROW()-5,"000")))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>
        <f>IF(B30="","",IF(COUNTA($A$6:A30)=0,"QVT-"&amp;TEXT(COUNTA($B$6:B30),"000"),"QVT-"&amp;TEXT(ROW()-5,"000")))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>
        <f>IF(B31="","",IF(COUNTA($A$6:A31)=0,"QVT-"&amp;TEXT(COUNTA($B$6:B31),"000"),"QVT-"&amp;TEXT(ROW()-5,"000")))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>
        <f>IF(B32="","",IF(COUNTA($A$6:A32)=0,"QVT-"&amp;TEXT(COUNTA($B$6:B32),"000"),"QVT-"&amp;TEXT(ROW()-5,"000")))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>
        <f>IF(B33="","",IF(COUNTA($A$6:A33)=0,"QVT-"&amp;TEXT(COUNTA($B$6:B33),"000"),"QVT-"&amp;TEXT(ROW()-5,"000")))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>
        <f>IF(B34="","",IF(COUNTA($A$6:A34)=0,"QVT-"&amp;TEXT(COUNTA($B$6:B34),"000"),"QVT-"&amp;TEXT(ROW()-5,"000")))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>
        <f>IF(B35="","",IF(COUNTA($A$6:A35)=0,"QVT-"&amp;TEXT(COUNTA($B$6:B35),"000"),"QVT-"&amp;TEXT(ROW()-5,"000")))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>
        <f>IF(B36="","",IF(COUNTA($A$6:A36)=0,"QVT-"&amp;TEXT(COUNTA($B$6:B36),"000"),"QVT-"&amp;TEXT(ROW()-5,"000")))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>
        <f>IF(B37="","",IF(COUNTA($A$6:A37)=0,"QVT-"&amp;TEXT(COUNTA($B$6:B37),"000"),"QVT-"&amp;TEXT(ROW()-5,"000")))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>
        <f>IF(B38="","",IF(COUNTA($A$6:A38)=0,"QVT-"&amp;TEXT(COUNTA($B$6:B38),"000"),"QVT-"&amp;TEXT(ROW()-5,"000")))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>
        <f>IF(B39="","",IF(COUNTA($A$6:A39)=0,"QVT-"&amp;TEXT(COUNTA($B$6:B39),"000"),"QVT-"&amp;TEXT(ROW()-5,"000")))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>
        <f>IF(B40="","",IF(COUNTA($A$6:A40)=0,"QVT-"&amp;TEXT(COUNTA($B$6:B40),"000"),"QVT-"&amp;TEXT(ROW()-5,"000")))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>
        <f>IF(B41="","",IF(COUNTA($A$6:A41)=0,"QVT-"&amp;TEXT(COUNTA($B$6:B41),"000"),"QVT-"&amp;TEXT(ROW()-5,"000")))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>
        <f>IF(B42="","",IF(COUNTA($A$6:A42)=0,"QVT-"&amp;TEXT(COUNTA($B$6:B42),"000"),"QVT-"&amp;TEXT(ROW()-5,"000")))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>
        <f>IF(B43="","",IF(COUNTA($A$6:A43)=0,"QVT-"&amp;TEXT(COUNTA($B$6:B43),"000"),"QVT-"&amp;TEXT(ROW()-5,"000")))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>
        <f>IF(B44="","",IF(COUNTA($A$6:A44)=0,"QVT-"&amp;TEXT(COUNTA($B$6:B44),"000"),"QVT-"&amp;TEXT(ROW()-5,"000")))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>
        <f>IF(B45="","",IF(COUNTA($A$6:A45)=0,"QVT-"&amp;TEXT(COUNTA($B$6:B45),"000"),"QVT-"&amp;TEXT(ROW()-5,"000")))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>
        <f>IF(B46="","",IF(COUNTA($A$6:A46)=0,"QVT-"&amp;TEXT(COUNTA($B$6:B46),"000"),"QVT-"&amp;TEXT(ROW()-5,"000")))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>
        <f>IF(B47="","",IF(COUNTA($A$6:A47)=0,"QVT-"&amp;TEXT(COUNTA($B$6:B47),"000"),"QVT-"&amp;TEXT(ROW()-5,"000")))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>
        <f>IF(B48="","",IF(COUNTA($A$6:A48)=0,"QVT-"&amp;TEXT(COUNTA($B$6:B48),"000"),"QVT-"&amp;TEXT(ROW()-5,"000")))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>
        <f>IF(B49="","",IF(COUNTA($A$6:A49)=0,"QVT-"&amp;TEXT(COUNTA($B$6:B49),"000"),"QVT-"&amp;TEXT(ROW()-5,"000")))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>
        <f>IF(B50="","",IF(COUNTA($A$6:A50)=0,"QVT-"&amp;TEXT(COUNTA($B$6:B50),"000"),"QVT-"&amp;TEXT(ROW()-5,"000")))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>
        <f>IF(B51="","",IF(COUNTA($A$6:A51)=0,"QVT-"&amp;TEXT(COUNTA($B$6:B51),"000"),"QVT-"&amp;TEXT(ROW()-5,"000")))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>
        <f>IF(B52="","",IF(COUNTA($A$6:A52)=0,"QVT-"&amp;TEXT(COUNTA($B$6:B52),"000"),"QVT-"&amp;TEXT(ROW()-5,"000")))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>
        <f>IF(B53="","",IF(COUNTA($A$6:A53)=0,"QVT-"&amp;TEXT(COUNTA($B$6:B53),"000"),"QVT-"&amp;TEXT(ROW()-5,"000")))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>
        <f>IF(B54="","",IF(COUNTA($A$6:A54)=0,"QVT-"&amp;TEXT(COUNTA($B$6:B54),"000"),"QVT-"&amp;TEXT(ROW()-5,"000")))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>
        <f>IF(B55="","",IF(COUNTA($A$6:A55)=0,"QVT-"&amp;TEXT(COUNTA($B$6:B55),"000"),"QVT-"&amp;TEXT(ROW()-5,"000")))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>
        <f>IF(B56="","",IF(COUNTA($A$6:A56)=0,"QVT-"&amp;TEXT(COUNTA($B$6:B56),"000"),"QVT-"&amp;TEXT(ROW()-5,"000")))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>
        <f>IF(B57="","",IF(COUNTA($A$6:A57)=0,"QVT-"&amp;TEXT(COUNTA($B$6:B57),"000"),"QVT-"&amp;TEXT(ROW()-5,"000")))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>
        <f>IF(B58="","",IF(COUNTA($A$6:A58)=0,"QVT-"&amp;TEXT(COUNTA($B$6:B58),"000"),"QVT-"&amp;TEXT(ROW()-5,"000")))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>
        <f>IF(B59="","",IF(COUNTA($A$6:A59)=0,"QVT-"&amp;TEXT(COUNTA($B$6:B59),"000"),"QVT-"&amp;TEXT(ROW()-5,"000")))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>
        <f>IF(B60="","",IF(COUNTA($A$6:A60)=0,"QVT-"&amp;TEXT(COUNTA($B$6:B60),"000"),"QVT-"&amp;TEXT(ROW()-5,"000")))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>
        <f>IF(B61="","",IF(COUNTA($A$6:A61)=0,"QVT-"&amp;TEXT(COUNTA($B$6:B61),"000"),"QVT-"&amp;TEXT(ROW()-5,"000")))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>
        <f>IF(B62="","",IF(COUNTA($A$6:A62)=0,"QVT-"&amp;TEXT(COUNTA($B$6:B62),"000"),"QVT-"&amp;TEXT(ROW()-5,"000")))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>
        <f>IF(B63="","",IF(COUNTA($A$6:A63)=0,"QVT-"&amp;TEXT(COUNTA($B$6:B63),"000"),"QVT-"&amp;TEXT(ROW()-5,"000")))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>
        <f>IF(B64="","",IF(COUNTA($A$6:A64)=0,"QVT-"&amp;TEXT(COUNTA($B$6:B64),"000"),"QVT-"&amp;TEXT(ROW()-5,"000")))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>
        <f>IF(B65="","",IF(COUNTA($A$6:A65)=0,"QVT-"&amp;TEXT(COUNTA($B$6:B65),"000"),"QVT-"&amp;TEXT(ROW()-5,"000")))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>
        <f>IF(B66="","",IF(COUNTA($A$6:A66)=0,"QVT-"&amp;TEXT(COUNTA($B$6:B66),"000"),"QVT-"&amp;TEXT(ROW()-5,"000")))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>
        <f>IF(B67="","",IF(COUNTA($A$6:A67)=0,"QVT-"&amp;TEXT(COUNTA($B$6:B67),"000"),"QVT-"&amp;TEXT(ROW()-5,"000")))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>
        <f>IF(B68="","",IF(COUNTA($A$6:A68)=0,"QVT-"&amp;TEXT(COUNTA($B$6:B68),"000"),"QVT-"&amp;TEXT(ROW()-5,"000")))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>
        <f>IF(B69="","",IF(COUNTA($A$6:A69)=0,"QVT-"&amp;TEXT(COUNTA($B$6:B69),"000"),"QVT-"&amp;TEXT(ROW()-5,"000")))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>
        <f>IF(B70="","",IF(COUNTA($A$6:A70)=0,"QVT-"&amp;TEXT(COUNTA($B$6:B70),"000"),"QVT-"&amp;TEXT(ROW()-5,"000")))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>
        <f>IF(B71="","",IF(COUNTA($A$6:A71)=0,"QVT-"&amp;TEXT(COUNTA($B$6:B71),"000"),"QVT-"&amp;TEXT(ROW()-5,"000")))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>
        <f>IF(B72="","",IF(COUNTA($A$6:A72)=0,"QVT-"&amp;TEXT(COUNTA($B$6:B72),"000"),"QVT-"&amp;TEXT(ROW()-5,"000")))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>
        <f>IF(B73="","",IF(COUNTA($A$6:A73)=0,"QVT-"&amp;TEXT(COUNTA($B$6:B73),"000"),"QVT-"&amp;TEXT(ROW()-5,"000")))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>
        <f>IF(B74="","",IF(COUNTA($A$6:A74)=0,"QVT-"&amp;TEXT(COUNTA($B$6:B74),"000"),"QVT-"&amp;TEXT(ROW()-5,"000")))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>
        <f>IF(B75="","",IF(COUNTA($A$6:A75)=0,"QVT-"&amp;TEXT(COUNTA($B$6:B75),"000"),"QVT-"&amp;TEXT(ROW()-5,"000")))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>
        <f>IF(B76="","",IF(COUNTA($A$6:A76)=0,"QVT-"&amp;TEXT(COUNTA($B$6:B76),"000"),"QVT-"&amp;TEXT(ROW()-5,"000")))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>
        <f>IF(B77="","",IF(COUNTA($A$6:A77)=0,"QVT-"&amp;TEXT(COUNTA($B$6:B77),"000"),"QVT-"&amp;TEXT(ROW()-5,"000")))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>
        <f>IF(B78="","",IF(COUNTA($A$6:A78)=0,"QVT-"&amp;TEXT(COUNTA($B$6:B78),"000"),"QVT-"&amp;TEXT(ROW()-5,"000")))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>
        <f>IF(B79="","",IF(COUNTA($A$6:A79)=0,"QVT-"&amp;TEXT(COUNTA($B$6:B79),"000"),"QVT-"&amp;TEXT(ROW()-5,"000")))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>
        <f>IF(B80="","",IF(COUNTA($A$6:A80)=0,"QVT-"&amp;TEXT(COUNTA($B$6:B80),"000"),"QVT-"&amp;TEXT(ROW()-5,"000")))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>
        <f>IF(B81="","",IF(COUNTA($A$6:A81)=0,"QVT-"&amp;TEXT(COUNTA($B$6:B81),"000"),"QVT-"&amp;TEXT(ROW()-5,"000")))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>
        <f>IF(B82="","",IF(COUNTA($A$6:A82)=0,"QVT-"&amp;TEXT(COUNTA($B$6:B82),"000"),"QVT-"&amp;TEXT(ROW()-5,"000")))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>
        <f>IF(B83="","",IF(COUNTA($A$6:A83)=0,"QVT-"&amp;TEXT(COUNTA($B$6:B83),"000"),"QVT-"&amp;TEXT(ROW()-5,"000")))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>
        <f>IF(B84="","",IF(COUNTA($A$6:A84)=0,"QVT-"&amp;TEXT(COUNTA($B$6:B84),"000"),"QVT-"&amp;TEXT(ROW()-5,"000")))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>
        <f>IF(B85="","",IF(COUNTA($A$6:A85)=0,"QVT-"&amp;TEXT(COUNTA($B$6:B85),"000"),"QVT-"&amp;TEXT(ROW()-5,"000")))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>
        <f>IF(B86="","",IF(COUNTA($A$6:A86)=0,"QVT-"&amp;TEXT(COUNTA($B$6:B86),"000"),"QVT-"&amp;TEXT(ROW()-5,"000")))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>
        <f>IF(B87="","",IF(COUNTA($A$6:A87)=0,"QVT-"&amp;TEXT(COUNTA($B$6:B87),"000"),"QVT-"&amp;TEXT(ROW()-5,"000")))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>
        <f>IF(B88="","",IF(COUNTA($A$6:A88)=0,"QVT-"&amp;TEXT(COUNTA($B$6:B88),"000"),"QVT-"&amp;TEXT(ROW()-5,"000")))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>
        <f>IF(B89="","",IF(COUNTA($A$6:A89)=0,"QVT-"&amp;TEXT(COUNTA($B$6:B89),"000"),"QVT-"&amp;TEXT(ROW()-5,"000")))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>
        <f>IF(B90="","",IF(COUNTA($A$6:A90)=0,"QVT-"&amp;TEXT(COUNTA($B$6:B90),"000"),"QVT-"&amp;TEXT(ROW()-5,"000")))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>
        <f>IF(B91="","",IF(COUNTA($A$6:A91)=0,"QVT-"&amp;TEXT(COUNTA($B$6:B91),"000"),"QVT-"&amp;TEXT(ROW()-5,"000")))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>
        <f>IF(B92="","",IF(COUNTA($A$6:A92)=0,"QVT-"&amp;TEXT(COUNTA($B$6:B92),"000"),"QVT-"&amp;TEXT(ROW()-5,"000")))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>
        <f>IF(B93="","",IF(COUNTA($A$6:A93)=0,"QVT-"&amp;TEXT(COUNTA($B$6:B93),"000"),"QVT-"&amp;TEXT(ROW()-5,"000")))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>
        <f>IF(B94="","",IF(COUNTA($A$6:A94)=0,"QVT-"&amp;TEXT(COUNTA($B$6:B94),"000"),"QVT-"&amp;TEXT(ROW()-5,"000")))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>
        <f>IF(B95="","",IF(COUNTA($A$6:A95)=0,"QVT-"&amp;TEXT(COUNTA($B$6:B95),"000"),"QVT-"&amp;TEXT(ROW()-5,"000")))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>
        <f>IF(B96="","",IF(COUNTA($A$6:A96)=0,"QVT-"&amp;TEXT(COUNTA($B$6:B96),"000"),"QVT-"&amp;TEXT(ROW()-5,"000")))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>
        <f>IF(B97="","",IF(COUNTA($A$6:A97)=0,"QVT-"&amp;TEXT(COUNTA($B$6:B97),"000"),"QVT-"&amp;TEXT(ROW()-5,"000")))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>
        <f>IF(B98="","",IF(COUNTA($A$6:A98)=0,"QVT-"&amp;TEXT(COUNTA($B$6:B98),"000"),"QVT-"&amp;TEXT(ROW()-5,"000")))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>
        <f>IF(B99="","",IF(COUNTA($A$6:A99)=0,"QVT-"&amp;TEXT(COUNTA($B$6:B99),"000"),"QVT-"&amp;TEXT(ROW()-5,"000")))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>
        <f>IF(B100="","",IF(COUNTA($A$6:A100)=0,"QVT-"&amp;TEXT(COUNTA($B$6:B100),"000"),"QVT-"&amp;TEXT(ROW()-5,"000")))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>
        <f>IF(B101="","",IF(COUNTA($A$6:A101)=0,"QVT-"&amp;TEXT(COUNTA($B$6:B101),"000"),"QVT-"&amp;TEXT(ROW()-5,"000")))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>
        <f>IF(B102="","",IF(COUNTA($A$6:A102)=0,"QVT-"&amp;TEXT(COUNTA($B$6:B102),"000"),"QVT-"&amp;TEXT(ROW()-5,"000")))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>
        <f>IF(B103="","",IF(COUNTA($A$6:A103)=0,"QVT-"&amp;TEXT(COUNTA($B$6:B103),"000"),"QVT-"&amp;TEXT(ROW()-5,"000")))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>
        <f>IF(B104="","",IF(COUNTA($A$6:A104)=0,"QVT-"&amp;TEXT(COUNTA($B$6:B104),"000"),"QVT-"&amp;TEXT(ROW()-5,"000")))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>
        <f>IF(B105="","",IF(COUNTA($A$6:A105)=0,"QVT-"&amp;TEXT(COUNTA($B$6:B105),"000"),"QVT-"&amp;TEXT(ROW()-5,"000")))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>
        <f>IF(B106="","",IF(COUNTA($A$6:A106)=0,"QVT-"&amp;TEXT(COUNTA($B$6:B106),"000"),"QVT-"&amp;TEXT(ROW()-5,"000")))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>
        <f>IF(B107="","",IF(COUNTA($A$6:A107)=0,"QVT-"&amp;TEXT(COUNTA($B$6:B107),"000"),"QVT-"&amp;TEXT(ROW()-5,"000")))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>
        <f>IF(B108="","",IF(COUNTA($A$6:A108)=0,"QVT-"&amp;TEXT(COUNTA($B$6:B108),"000"),"QVT-"&amp;TEXT(ROW()-5,"000")))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>
        <f>IF(B109="","",IF(COUNTA($A$6:A109)=0,"QVT-"&amp;TEXT(COUNTA($B$6:B109),"000"),"QVT-"&amp;TEXT(ROW()-5,"000")))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>
        <f>IF(B110="","",IF(COUNTA($A$6:A110)=0,"QVT-"&amp;TEXT(COUNTA($B$6:B110),"000"),"QVT-"&amp;TEXT(ROW()-5,"000")))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>
        <f>IF(B111="","",IF(COUNTA($A$6:A111)=0,"QVT-"&amp;TEXT(COUNTA($B$6:B111),"000"),"QVT-"&amp;TEXT(ROW()-5,"000")))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>
        <f>IF(B112="","",IF(COUNTA($A$6:A112)=0,"QVT-"&amp;TEXT(COUNTA($B$6:B112),"000"),"QVT-"&amp;TEXT(ROW()-5,"000")))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>
        <f>IF(B113="","",IF(COUNTA($A$6:A113)=0,"QVT-"&amp;TEXT(COUNTA($B$6:B113),"000"),"QVT-"&amp;TEXT(ROW()-5,"000")))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>
        <f>IF(B114="","",IF(COUNTA($A$6:A114)=0,"QVT-"&amp;TEXT(COUNTA($B$6:B114),"000"),"QVT-"&amp;TEXT(ROW()-5,"000")))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>
        <f>IF(B115="","",IF(COUNTA($A$6:A115)=0,"QVT-"&amp;TEXT(COUNTA($B$6:B115),"000"),"QVT-"&amp;TEXT(ROW()-5,"000")))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dataValidations count="3">
    <dataValidation sqref="B6:B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D6:D115" showDropDown="0" showInputMessage="0" showErrorMessage="0" allowBlank="1" errorTitle="Erreur" error="Valeur invalide" promptTitle="" prompt="Choisir dans la liste: " type="list">
      <formula1>'F02 - _Lists'!$H$6:$H$8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6" customWidth="1" min="4" max="4"/>
    <col width="16" customWidth="1" min="5" max="5"/>
    <col width="40" customWidth="1" min="6" max="6"/>
    <col width="28" customWidth="1" min="7" max="7"/>
    <col width="32" customWidth="1" min="8" max="8"/>
    <col width="16" customWidth="1" min="9" max="9"/>
    <col width="14" customWidth="1" min="10" max="10"/>
    <col width="14" customWidth="1" min="11" max="11"/>
    <col width="36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10-GESTION DES RUMEURS ET ALERTES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Alerte</t>
        </is>
      </c>
      <c r="B5" s="4" t="inlineStr">
        <is>
          <t>Type</t>
        </is>
      </c>
      <c r="C5" s="4" t="inlineStr">
        <is>
          <t>Niveau</t>
        </is>
      </c>
      <c r="D5" s="4" t="inlineStr">
        <is>
          <t>Source</t>
        </is>
      </c>
      <c r="E5" s="4" t="inlineStr">
        <is>
          <t>Date Détection</t>
        </is>
      </c>
      <c r="F5" s="4" t="inlineStr">
        <is>
          <t>Description</t>
        </is>
      </c>
      <c r="G5" s="4" t="inlineStr">
        <is>
          <t>Département Concerné</t>
        </is>
      </c>
      <c r="H5" s="4" t="inlineStr">
        <is>
          <t>Action Menee</t>
        </is>
      </c>
      <c r="I5" s="4" t="inlineStr">
        <is>
          <t>Date Résolution</t>
        </is>
      </c>
      <c r="J5" s="4" t="inlineStr">
        <is>
          <t>Statut</t>
        </is>
      </c>
      <c r="K5" s="4" t="inlineStr">
        <is>
          <t>Impact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>
        <f>IF(B6="","",IF(COUNTA($A$6:A6)=0,"ALR-"&amp;TEXT(COUNTA($B$6:B6),"000"),"ALR-"&amp;TEXT(ROW()-5,"000")))</f>
        <v/>
      </c>
      <c r="B6" s="5" t="inlineStr">
        <is>
          <t>Rumeur</t>
        </is>
      </c>
      <c r="C6" s="5" t="inlineStr">
        <is>
          <t>Moyen</t>
        </is>
      </c>
      <c r="D6" s="5" t="inlineStr">
        <is>
          <t>Boîte à idées anonyme</t>
        </is>
      </c>
      <c r="E6" s="23" t="n">
        <v>45672</v>
      </c>
      <c r="F6" s="5" t="inlineStr">
        <is>
          <t>Rumeur de licenciements massifs en cuisine</t>
        </is>
      </c>
      <c r="G6" s="5" t="inlineStr">
        <is>
          <t>Cuisine &amp; Restauration</t>
        </is>
      </c>
      <c r="H6" s="5" t="inlineStr">
        <is>
          <t>Communication officielle DG</t>
        </is>
      </c>
      <c r="I6" s="23" t="n">
        <v>45674</v>
      </c>
      <c r="J6" s="5" t="inlineStr">
        <is>
          <t>Résolu</t>
        </is>
      </c>
      <c r="K6" s="5" t="inlineStr">
        <is>
          <t>Faible</t>
        </is>
      </c>
      <c r="L6" s="5" t="inlineStr">
        <is>
          <t>Communiqué interne diffusé rapidement</t>
        </is>
      </c>
      <c r="M6" s="5" t="inlineStr"/>
      <c r="N6" s="5" t="inlineStr"/>
    </row>
    <row r="7" ht="22" customHeight="1">
      <c r="A7" s="8">
        <f>IF(B7="","",IF(COUNTA($A$6:A7)=0,"ALR-"&amp;TEXT(COUNTA($B$6:B7),"000"),"ALR-"&amp;TEXT(ROW()-5,"000")))</f>
        <v/>
      </c>
      <c r="B7" s="8" t="inlineStr">
        <is>
          <t>Mécontentement</t>
        </is>
      </c>
      <c r="C7" s="8" t="inlineStr">
        <is>
          <t>Élevé</t>
        </is>
      </c>
      <c r="D7" s="8" t="inlineStr">
        <is>
          <t>Entretien manager</t>
        </is>
      </c>
      <c r="E7" s="24" t="n">
        <v>45689</v>
      </c>
      <c r="F7" s="8" t="inlineStr">
        <is>
          <t>Mécontentement équipe entretien sur les horaires</t>
        </is>
      </c>
      <c r="G7" s="8" t="inlineStr">
        <is>
          <t>Entretien &amp; Maintenance</t>
        </is>
      </c>
      <c r="H7" s="8" t="inlineStr">
        <is>
          <t>Réunion d'équipe + révision planning</t>
        </is>
      </c>
      <c r="I7" s="24" t="n">
        <v>45703</v>
      </c>
      <c r="J7" s="8" t="inlineStr">
        <is>
          <t>Résolu</t>
        </is>
      </c>
      <c r="K7" s="8" t="inlineStr">
        <is>
          <t>Modéré</t>
        </is>
      </c>
      <c r="L7" s="8" t="inlineStr">
        <is>
          <t>Nouveau planning mis en place</t>
        </is>
      </c>
      <c r="M7" s="8" t="inlineStr"/>
      <c r="N7" s="8" t="inlineStr"/>
    </row>
    <row r="8" ht="22" customHeight="1">
      <c r="A8" s="5">
        <f>IF(B8="","",IF(COUNTA($A$6:A8)=0,"ALR-"&amp;TEXT(COUNTA($B$6:B8),"000"),"ALR-"&amp;TEXT(ROW()-5,"000")))</f>
        <v/>
      </c>
      <c r="B8" s="5" t="inlineStr">
        <is>
          <t>Risque départ</t>
        </is>
      </c>
      <c r="C8" s="5" t="inlineStr">
        <is>
          <t>Élevé</t>
        </is>
      </c>
      <c r="D8" s="5" t="inlineStr">
        <is>
          <t>Entretien individuel</t>
        </is>
      </c>
      <c r="E8" s="23" t="n">
        <v>45698</v>
      </c>
      <c r="F8" s="5" t="inlineStr">
        <is>
          <t>Risque de départ gouvernante (opportunité concurrent)</t>
        </is>
      </c>
      <c r="G8" s="5" t="inlineStr">
        <is>
          <t>Hébergement</t>
        </is>
      </c>
      <c r="H8" s="5" t="inlineStr">
        <is>
          <t>Contre-proposition + reconnaissance</t>
        </is>
      </c>
      <c r="I8" s="5" t="n"/>
      <c r="J8" s="5" t="inlineStr">
        <is>
          <t>En cours</t>
        </is>
      </c>
      <c r="K8" s="5" t="inlineStr">
        <is>
          <t>Élevé</t>
        </is>
      </c>
      <c r="L8" s="5" t="inlineStr">
        <is>
          <t>Suivi hebdomadaire mis en place</t>
        </is>
      </c>
      <c r="M8" s="5" t="inlineStr"/>
      <c r="N8" s="5" t="inlineStr"/>
    </row>
    <row r="9" ht="22" customHeight="1">
      <c r="A9" s="8">
        <f>IF(B9="","",IF(COUNTA($A$6:A9)=0,"ALR-"&amp;TEXT(COUNTA($B$6:B9),"000"),"ALR-"&amp;TEXT(ROW()-5,"000")))</f>
        <v/>
      </c>
      <c r="B9" s="8" t="inlineStr">
        <is>
          <t>Tension interne</t>
        </is>
      </c>
      <c r="C9" s="8" t="inlineStr">
        <is>
          <t>Moyen</t>
        </is>
      </c>
      <c r="D9" s="8" t="inlineStr">
        <is>
          <t>Observation DRH</t>
        </is>
      </c>
      <c r="E9" s="24" t="n">
        <v>45708</v>
      </c>
      <c r="F9" s="8" t="inlineStr">
        <is>
          <t>Tension entre équipe sécurité et réception de nuit</t>
        </is>
      </c>
      <c r="G9" s="8" t="inlineStr">
        <is>
          <t>Sécurité</t>
        </is>
      </c>
      <c r="H9" s="8" t="inlineStr">
        <is>
          <t>Médiation DRH prévue</t>
        </is>
      </c>
      <c r="I9" s="8" t="n"/>
      <c r="J9" s="8" t="inlineStr">
        <is>
          <t>En cours</t>
        </is>
      </c>
      <c r="K9" s="8" t="inlineStr">
        <is>
          <t>Modéré</t>
        </is>
      </c>
      <c r="L9" s="8" t="inlineStr">
        <is>
          <t>Réunion tripartite programmée</t>
        </is>
      </c>
      <c r="M9" s="8" t="inlineStr"/>
      <c r="N9" s="8" t="inlineStr"/>
    </row>
    <row r="10" ht="22" customHeight="1">
      <c r="A10" s="5">
        <f>IF(B10="","",IF(COUNTA($A$6:A10)=0,"ALR-"&amp;TEXT(COUNTA($B$6:B10),"000"),"ALR-"&amp;TEXT(ROW()-5,"000")))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22" customHeight="1">
      <c r="A11" s="8">
        <f>IF(B11="","",IF(COUNTA($A$6:A11)=0,"ALR-"&amp;TEXT(COUNTA($B$6:B11),"000"),"ALR-"&amp;TEXT(ROW()-5,"000")))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>
        <f>IF(B12="","",IF(COUNTA($A$6:A12)=0,"ALR-"&amp;TEXT(COUNTA($B$6:B12),"000"),"ALR-"&amp;TEXT(ROW()-5,"000")))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>
        <f>IF(B13="","",IF(COUNTA($A$6:A13)=0,"ALR-"&amp;TEXT(COUNTA($B$6:B13),"000"),"ALR-"&amp;TEXT(ROW()-5,"000")))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>
        <f>IF(B14="","",IF(COUNTA($A$6:A14)=0,"ALR-"&amp;TEXT(COUNTA($B$6:B14),"000"),"ALR-"&amp;TEXT(ROW()-5,"000")))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>
        <f>IF(B15="","",IF(COUNTA($A$6:A15)=0,"ALR-"&amp;TEXT(COUNTA($B$6:B15),"000"),"ALR-"&amp;TEXT(ROW()-5,"000")))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>
        <f>IF(B16="","",IF(COUNTA($A$6:A16)=0,"ALR-"&amp;TEXT(COUNTA($B$6:B16),"000"),"ALR-"&amp;TEXT(ROW()-5,"000")))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>
        <f>IF(B17="","",IF(COUNTA($A$6:A17)=0,"ALR-"&amp;TEXT(COUNTA($B$6:B17),"000"),"ALR-"&amp;TEXT(ROW()-5,"000")))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>
        <f>IF(B18="","",IF(COUNTA($A$6:A18)=0,"ALR-"&amp;TEXT(COUNTA($B$6:B18),"000"),"ALR-"&amp;TEXT(ROW()-5,"000")))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>
        <f>IF(B19="","",IF(COUNTA($A$6:A19)=0,"ALR-"&amp;TEXT(COUNTA($B$6:B19),"000"),"ALR-"&amp;TEXT(ROW()-5,"000")))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>
        <f>IF(B20="","",IF(COUNTA($A$6:A20)=0,"ALR-"&amp;TEXT(COUNTA($B$6:B20),"000"),"ALR-"&amp;TEXT(ROW()-5,"000")))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>
        <f>IF(B21="","",IF(COUNTA($A$6:A21)=0,"ALR-"&amp;TEXT(COUNTA($B$6:B21),"000"),"ALR-"&amp;TEXT(ROW()-5,"000")))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>
        <f>IF(B22="","",IF(COUNTA($A$6:A22)=0,"ALR-"&amp;TEXT(COUNTA($B$6:B22),"000"),"ALR-"&amp;TEXT(ROW()-5,"000")))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>
        <f>IF(B23="","",IF(COUNTA($A$6:A23)=0,"ALR-"&amp;TEXT(COUNTA($B$6:B23),"000"),"ALR-"&amp;TEXT(ROW()-5,"000")))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>
        <f>IF(B24="","",IF(COUNTA($A$6:A24)=0,"ALR-"&amp;TEXT(COUNTA($B$6:B24),"000"),"ALR-"&amp;TEXT(ROW()-5,"000")))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>
        <f>IF(B25="","",IF(COUNTA($A$6:A25)=0,"ALR-"&amp;TEXT(COUNTA($B$6:B25),"000"),"ALR-"&amp;TEXT(ROW()-5,"000")))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>
        <f>IF(B26="","",IF(COUNTA($A$6:A26)=0,"ALR-"&amp;TEXT(COUNTA($B$6:B26),"000"),"ALR-"&amp;TEXT(ROW()-5,"000")))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>
        <f>IF(B27="","",IF(COUNTA($A$6:A27)=0,"ALR-"&amp;TEXT(COUNTA($B$6:B27),"000"),"ALR-"&amp;TEXT(ROW()-5,"000")))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>
        <f>IF(B28="","",IF(COUNTA($A$6:A28)=0,"ALR-"&amp;TEXT(COUNTA($B$6:B28),"000"),"ALR-"&amp;TEXT(ROW()-5,"000")))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>
        <f>IF(B29="","",IF(COUNTA($A$6:A29)=0,"ALR-"&amp;TEXT(COUNTA($B$6:B29),"000"),"ALR-"&amp;TEXT(ROW()-5,"000")))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>
        <f>IF(B30="","",IF(COUNTA($A$6:A30)=0,"ALR-"&amp;TEXT(COUNTA($B$6:B30),"000"),"ALR-"&amp;TEXT(ROW()-5,"000")))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>
        <f>IF(B31="","",IF(COUNTA($A$6:A31)=0,"ALR-"&amp;TEXT(COUNTA($B$6:B31),"000"),"ALR-"&amp;TEXT(ROW()-5,"000")))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>
        <f>IF(B32="","",IF(COUNTA($A$6:A32)=0,"ALR-"&amp;TEXT(COUNTA($B$6:B32),"000"),"ALR-"&amp;TEXT(ROW()-5,"000")))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>
        <f>IF(B33="","",IF(COUNTA($A$6:A33)=0,"ALR-"&amp;TEXT(COUNTA($B$6:B33),"000"),"ALR-"&amp;TEXT(ROW()-5,"000")))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>
        <f>IF(B34="","",IF(COUNTA($A$6:A34)=0,"ALR-"&amp;TEXT(COUNTA($B$6:B34),"000"),"ALR-"&amp;TEXT(ROW()-5,"000")))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>
        <f>IF(B35="","",IF(COUNTA($A$6:A35)=0,"ALR-"&amp;TEXT(COUNTA($B$6:B35),"000"),"ALR-"&amp;TEXT(ROW()-5,"000")))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>
        <f>IF(B36="","",IF(COUNTA($A$6:A36)=0,"ALR-"&amp;TEXT(COUNTA($B$6:B36),"000"),"ALR-"&amp;TEXT(ROW()-5,"000")))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>
        <f>IF(B37="","",IF(COUNTA($A$6:A37)=0,"ALR-"&amp;TEXT(COUNTA($B$6:B37),"000"),"ALR-"&amp;TEXT(ROW()-5,"000")))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>
        <f>IF(B38="","",IF(COUNTA($A$6:A38)=0,"ALR-"&amp;TEXT(COUNTA($B$6:B38),"000"),"ALR-"&amp;TEXT(ROW()-5,"000")))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>
        <f>IF(B39="","",IF(COUNTA($A$6:A39)=0,"ALR-"&amp;TEXT(COUNTA($B$6:B39),"000"),"ALR-"&amp;TEXT(ROW()-5,"000")))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>
        <f>IF(B40="","",IF(COUNTA($A$6:A40)=0,"ALR-"&amp;TEXT(COUNTA($B$6:B40),"000"),"ALR-"&amp;TEXT(ROW()-5,"000")))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>
        <f>IF(B41="","",IF(COUNTA($A$6:A41)=0,"ALR-"&amp;TEXT(COUNTA($B$6:B41),"000"),"ALR-"&amp;TEXT(ROW()-5,"000")))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>
        <f>IF(B42="","",IF(COUNTA($A$6:A42)=0,"ALR-"&amp;TEXT(COUNTA($B$6:B42),"000"),"ALR-"&amp;TEXT(ROW()-5,"000")))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>
        <f>IF(B43="","",IF(COUNTA($A$6:A43)=0,"ALR-"&amp;TEXT(COUNTA($B$6:B43),"000"),"ALR-"&amp;TEXT(ROW()-5,"000")))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>
        <f>IF(B44="","",IF(COUNTA($A$6:A44)=0,"ALR-"&amp;TEXT(COUNTA($B$6:B44),"000"),"ALR-"&amp;TEXT(ROW()-5,"000")))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>
        <f>IF(B45="","",IF(COUNTA($A$6:A45)=0,"ALR-"&amp;TEXT(COUNTA($B$6:B45),"000"),"ALR-"&amp;TEXT(ROW()-5,"000")))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>
        <f>IF(B46="","",IF(COUNTA($A$6:A46)=0,"ALR-"&amp;TEXT(COUNTA($B$6:B46),"000"),"ALR-"&amp;TEXT(ROW()-5,"000")))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>
        <f>IF(B47="","",IF(COUNTA($A$6:A47)=0,"ALR-"&amp;TEXT(COUNTA($B$6:B47),"000"),"ALR-"&amp;TEXT(ROW()-5,"000")))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>
        <f>IF(B48="","",IF(COUNTA($A$6:A48)=0,"ALR-"&amp;TEXT(COUNTA($B$6:B48),"000"),"ALR-"&amp;TEXT(ROW()-5,"000")))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>
        <f>IF(B49="","",IF(COUNTA($A$6:A49)=0,"ALR-"&amp;TEXT(COUNTA($B$6:B49),"000"),"ALR-"&amp;TEXT(ROW()-5,"000")))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>
        <f>IF(B50="","",IF(COUNTA($A$6:A50)=0,"ALR-"&amp;TEXT(COUNTA($B$6:B50),"000"),"ALR-"&amp;TEXT(ROW()-5,"000")))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>
        <f>IF(B51="","",IF(COUNTA($A$6:A51)=0,"ALR-"&amp;TEXT(COUNTA($B$6:B51),"000"),"ALR-"&amp;TEXT(ROW()-5,"000")))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>
        <f>IF(B52="","",IF(COUNTA($A$6:A52)=0,"ALR-"&amp;TEXT(COUNTA($B$6:B52),"000"),"ALR-"&amp;TEXT(ROW()-5,"000")))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>
        <f>IF(B53="","",IF(COUNTA($A$6:A53)=0,"ALR-"&amp;TEXT(COUNTA($B$6:B53),"000"),"ALR-"&amp;TEXT(ROW()-5,"000")))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>
        <f>IF(B54="","",IF(COUNTA($A$6:A54)=0,"ALR-"&amp;TEXT(COUNTA($B$6:B54),"000"),"ALR-"&amp;TEXT(ROW()-5,"000")))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>
        <f>IF(B55="","",IF(COUNTA($A$6:A55)=0,"ALR-"&amp;TEXT(COUNTA($B$6:B55),"000"),"ALR-"&amp;TEXT(ROW()-5,"000")))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>
        <f>IF(B56="","",IF(COUNTA($A$6:A56)=0,"ALR-"&amp;TEXT(COUNTA($B$6:B56),"000"),"ALR-"&amp;TEXT(ROW()-5,"000")))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>
        <f>IF(B57="","",IF(COUNTA($A$6:A57)=0,"ALR-"&amp;TEXT(COUNTA($B$6:B57),"000"),"ALR-"&amp;TEXT(ROW()-5,"000")))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>
        <f>IF(B58="","",IF(COUNTA($A$6:A58)=0,"ALR-"&amp;TEXT(COUNTA($B$6:B58),"000"),"ALR-"&amp;TEXT(ROW()-5,"000")))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>
        <f>IF(B59="","",IF(COUNTA($A$6:A59)=0,"ALR-"&amp;TEXT(COUNTA($B$6:B59),"000"),"ALR-"&amp;TEXT(ROW()-5,"000")))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>
        <f>IF(B60="","",IF(COUNTA($A$6:A60)=0,"ALR-"&amp;TEXT(COUNTA($B$6:B60),"000"),"ALR-"&amp;TEXT(ROW()-5,"000")))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>
        <f>IF(B61="","",IF(COUNTA($A$6:A61)=0,"ALR-"&amp;TEXT(COUNTA($B$6:B61),"000"),"ALR-"&amp;TEXT(ROW()-5,"000")))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>
        <f>IF(B62="","",IF(COUNTA($A$6:A62)=0,"ALR-"&amp;TEXT(COUNTA($B$6:B62),"000"),"ALR-"&amp;TEXT(ROW()-5,"000")))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>
        <f>IF(B63="","",IF(COUNTA($A$6:A63)=0,"ALR-"&amp;TEXT(COUNTA($B$6:B63),"000"),"ALR-"&amp;TEXT(ROW()-5,"000")))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>
        <f>IF(B64="","",IF(COUNTA($A$6:A64)=0,"ALR-"&amp;TEXT(COUNTA($B$6:B64),"000"),"ALR-"&amp;TEXT(ROW()-5,"000")))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>
        <f>IF(B65="","",IF(COUNTA($A$6:A65)=0,"ALR-"&amp;TEXT(COUNTA($B$6:B65),"000"),"ALR-"&amp;TEXT(ROW()-5,"000")))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>
        <f>IF(B66="","",IF(COUNTA($A$6:A66)=0,"ALR-"&amp;TEXT(COUNTA($B$6:B66),"000"),"ALR-"&amp;TEXT(ROW()-5,"000")))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>
        <f>IF(B67="","",IF(COUNTA($A$6:A67)=0,"ALR-"&amp;TEXT(COUNTA($B$6:B67),"000"),"ALR-"&amp;TEXT(ROW()-5,"000")))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>
        <f>IF(B68="","",IF(COUNTA($A$6:A68)=0,"ALR-"&amp;TEXT(COUNTA($B$6:B68),"000"),"ALR-"&amp;TEXT(ROW()-5,"000")))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>
        <f>IF(B69="","",IF(COUNTA($A$6:A69)=0,"ALR-"&amp;TEXT(COUNTA($B$6:B69),"000"),"ALR-"&amp;TEXT(ROW()-5,"000")))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>
        <f>IF(B70="","",IF(COUNTA($A$6:A70)=0,"ALR-"&amp;TEXT(COUNTA($B$6:B70),"000"),"ALR-"&amp;TEXT(ROW()-5,"000")))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>
        <f>IF(B71="","",IF(COUNTA($A$6:A71)=0,"ALR-"&amp;TEXT(COUNTA($B$6:B71),"000"),"ALR-"&amp;TEXT(ROW()-5,"000")))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>
        <f>IF(B72="","",IF(COUNTA($A$6:A72)=0,"ALR-"&amp;TEXT(COUNTA($B$6:B72),"000"),"ALR-"&amp;TEXT(ROW()-5,"000")))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>
        <f>IF(B73="","",IF(COUNTA($A$6:A73)=0,"ALR-"&amp;TEXT(COUNTA($B$6:B73),"000"),"ALR-"&amp;TEXT(ROW()-5,"000")))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>
        <f>IF(B74="","",IF(COUNTA($A$6:A74)=0,"ALR-"&amp;TEXT(COUNTA($B$6:B74),"000"),"ALR-"&amp;TEXT(ROW()-5,"000")))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>
        <f>IF(B75="","",IF(COUNTA($A$6:A75)=0,"ALR-"&amp;TEXT(COUNTA($B$6:B75),"000"),"ALR-"&amp;TEXT(ROW()-5,"000")))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>
        <f>IF(B76="","",IF(COUNTA($A$6:A76)=0,"ALR-"&amp;TEXT(COUNTA($B$6:B76),"000"),"ALR-"&amp;TEXT(ROW()-5,"000")))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>
        <f>IF(B77="","",IF(COUNTA($A$6:A77)=0,"ALR-"&amp;TEXT(COUNTA($B$6:B77),"000"),"ALR-"&amp;TEXT(ROW()-5,"000")))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>
        <f>IF(B78="","",IF(COUNTA($A$6:A78)=0,"ALR-"&amp;TEXT(COUNTA($B$6:B78),"000"),"ALR-"&amp;TEXT(ROW()-5,"000")))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>
        <f>IF(B79="","",IF(COUNTA($A$6:A79)=0,"ALR-"&amp;TEXT(COUNTA($B$6:B79),"000"),"ALR-"&amp;TEXT(ROW()-5,"000")))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>
        <f>IF(B80="","",IF(COUNTA($A$6:A80)=0,"ALR-"&amp;TEXT(COUNTA($B$6:B80),"000"),"ALR-"&amp;TEXT(ROW()-5,"000")))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>
        <f>IF(B81="","",IF(COUNTA($A$6:A81)=0,"ALR-"&amp;TEXT(COUNTA($B$6:B81),"000"),"ALR-"&amp;TEXT(ROW()-5,"000")))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>
        <f>IF(B82="","",IF(COUNTA($A$6:A82)=0,"ALR-"&amp;TEXT(COUNTA($B$6:B82),"000"),"ALR-"&amp;TEXT(ROW()-5,"000")))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>
        <f>IF(B83="","",IF(COUNTA($A$6:A83)=0,"ALR-"&amp;TEXT(COUNTA($B$6:B83),"000"),"ALR-"&amp;TEXT(ROW()-5,"000")))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>
        <f>IF(B84="","",IF(COUNTA($A$6:A84)=0,"ALR-"&amp;TEXT(COUNTA($B$6:B84),"000"),"ALR-"&amp;TEXT(ROW()-5,"000")))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>
        <f>IF(B85="","",IF(COUNTA($A$6:A85)=0,"ALR-"&amp;TEXT(COUNTA($B$6:B85),"000"),"ALR-"&amp;TEXT(ROW()-5,"000")))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>
        <f>IF(B86="","",IF(COUNTA($A$6:A86)=0,"ALR-"&amp;TEXT(COUNTA($B$6:B86),"000"),"ALR-"&amp;TEXT(ROW()-5,"000")))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>
        <f>IF(B87="","",IF(COUNTA($A$6:A87)=0,"ALR-"&amp;TEXT(COUNTA($B$6:B87),"000"),"ALR-"&amp;TEXT(ROW()-5,"000")))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>
        <f>IF(B88="","",IF(COUNTA($A$6:A88)=0,"ALR-"&amp;TEXT(COUNTA($B$6:B88),"000"),"ALR-"&amp;TEXT(ROW()-5,"000")))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>
        <f>IF(B89="","",IF(COUNTA($A$6:A89)=0,"ALR-"&amp;TEXT(COUNTA($B$6:B89),"000"),"ALR-"&amp;TEXT(ROW()-5,"000")))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>
        <f>IF(B90="","",IF(COUNTA($A$6:A90)=0,"ALR-"&amp;TEXT(COUNTA($B$6:B90),"000"),"ALR-"&amp;TEXT(ROW()-5,"000")))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>
        <f>IF(B91="","",IF(COUNTA($A$6:A91)=0,"ALR-"&amp;TEXT(COUNTA($B$6:B91),"000"),"ALR-"&amp;TEXT(ROW()-5,"000")))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>
        <f>IF(B92="","",IF(COUNTA($A$6:A92)=0,"ALR-"&amp;TEXT(COUNTA($B$6:B92),"000"),"ALR-"&amp;TEXT(ROW()-5,"000")))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>
        <f>IF(B93="","",IF(COUNTA($A$6:A93)=0,"ALR-"&amp;TEXT(COUNTA($B$6:B93),"000"),"ALR-"&amp;TEXT(ROW()-5,"000")))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>
        <f>IF(B94="","",IF(COUNTA($A$6:A94)=0,"ALR-"&amp;TEXT(COUNTA($B$6:B94),"000"),"ALR-"&amp;TEXT(ROW()-5,"000")))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>
        <f>IF(B95="","",IF(COUNTA($A$6:A95)=0,"ALR-"&amp;TEXT(COUNTA($B$6:B95),"000"),"ALR-"&amp;TEXT(ROW()-5,"000")))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>
        <f>IF(B96="","",IF(COUNTA($A$6:A96)=0,"ALR-"&amp;TEXT(COUNTA($B$6:B96),"000"),"ALR-"&amp;TEXT(ROW()-5,"000")))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>
        <f>IF(B97="","",IF(COUNTA($A$6:A97)=0,"ALR-"&amp;TEXT(COUNTA($B$6:B97),"000"),"ALR-"&amp;TEXT(ROW()-5,"000")))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>
        <f>IF(B98="","",IF(COUNTA($A$6:A98)=0,"ALR-"&amp;TEXT(COUNTA($B$6:B98),"000"),"ALR-"&amp;TEXT(ROW()-5,"000")))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>
        <f>IF(B99="","",IF(COUNTA($A$6:A99)=0,"ALR-"&amp;TEXT(COUNTA($B$6:B99),"000"),"ALR-"&amp;TEXT(ROW()-5,"000")))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>
        <f>IF(B100="","",IF(COUNTA($A$6:A100)=0,"ALR-"&amp;TEXT(COUNTA($B$6:B100),"000"),"ALR-"&amp;TEXT(ROW()-5,"000")))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>
        <f>IF(B101="","",IF(COUNTA($A$6:A101)=0,"ALR-"&amp;TEXT(COUNTA($B$6:B101),"000"),"ALR-"&amp;TEXT(ROW()-5,"000")))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>
        <f>IF(B102="","",IF(COUNTA($A$6:A102)=0,"ALR-"&amp;TEXT(COUNTA($B$6:B102),"000"),"ALR-"&amp;TEXT(ROW()-5,"000")))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>
        <f>IF(B103="","",IF(COUNTA($A$6:A103)=0,"ALR-"&amp;TEXT(COUNTA($B$6:B103),"000"),"ALR-"&amp;TEXT(ROW()-5,"000")))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>
        <f>IF(B104="","",IF(COUNTA($A$6:A104)=0,"ALR-"&amp;TEXT(COUNTA($B$6:B104),"000"),"ALR-"&amp;TEXT(ROW()-5,"000")))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>
        <f>IF(B105="","",IF(COUNTA($A$6:A105)=0,"ALR-"&amp;TEXT(COUNTA($B$6:B105),"000"),"ALR-"&amp;TEXT(ROW()-5,"000")))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>
        <f>IF(B106="","",IF(COUNTA($A$6:A106)=0,"ALR-"&amp;TEXT(COUNTA($B$6:B106),"000"),"ALR-"&amp;TEXT(ROW()-5,"000")))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>
        <f>IF(B107="","",IF(COUNTA($A$6:A107)=0,"ALR-"&amp;TEXT(COUNTA($B$6:B107),"000"),"ALR-"&amp;TEXT(ROW()-5,"000")))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>
        <f>IF(B108="","",IF(COUNTA($A$6:A108)=0,"ALR-"&amp;TEXT(COUNTA($B$6:B108),"000"),"ALR-"&amp;TEXT(ROW()-5,"000")))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>
        <f>IF(B109="","",IF(COUNTA($A$6:A109)=0,"ALR-"&amp;TEXT(COUNTA($B$6:B109),"000"),"ALR-"&amp;TEXT(ROW()-5,"000")))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>
        <f>IF(B110="","",IF(COUNTA($A$6:A110)=0,"ALR-"&amp;TEXT(COUNTA($B$6:B110),"000"),"ALR-"&amp;TEXT(ROW()-5,"000")))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>
        <f>IF(B111="","",IF(COUNTA($A$6:A111)=0,"ALR-"&amp;TEXT(COUNTA($B$6:B111),"000"),"ALR-"&amp;TEXT(ROW()-5,"000")))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>
        <f>IF(B112="","",IF(COUNTA($A$6:A112)=0,"ALR-"&amp;TEXT(COUNTA($B$6:B112),"000"),"ALR-"&amp;TEXT(ROW()-5,"000")))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>
        <f>IF(B113="","",IF(COUNTA($A$6:A113)=0,"ALR-"&amp;TEXT(COUNTA($B$6:B113),"000"),"ALR-"&amp;TEXT(ROW()-5,"000")))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>
        <f>IF(B114="","",IF(COUNTA($A$6:A114)=0,"ALR-"&amp;TEXT(COUNTA($B$6:B114),"000"),"ALR-"&amp;TEXT(ROW()-5,"000")))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>
        <f>IF(B115="","",IF(COUNTA($A$6:A115)=0,"ALR-"&amp;TEXT(COUNTA($B$6:B115),"000"),"ALR-"&amp;TEXT(ROW()-5,"000")))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C6:C115">
    <cfRule type="cellIs" priority="1" operator="equal" dxfId="0">
      <formula>"Critique"</formula>
    </cfRule>
    <cfRule type="cellIs" priority="2" operator="equal" dxfId="1">
      <formula>"Élevé"</formula>
    </cfRule>
  </conditionalFormatting>
  <dataValidations count="4">
    <dataValidation sqref="B6:B115" showDropDown="0" showInputMessage="0" showErrorMessage="0" allowBlank="1" errorTitle="Erreur" error="Valeur invalide" promptTitle="" prompt="Choisir dans la liste: " type="list">
      <formula1>'F02 - _Lists'!$O$6:$O$11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_Lists'!$N$6:$N$9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_Lists'!$F$6:$F$10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6" customWidth="1" min="4" max="4"/>
    <col width="12" customWidth="1" min="5" max="5"/>
    <col width="18" customWidth="1" min="6" max="6"/>
    <col width="20" customWidth="1" min="7" max="7"/>
    <col width="16" customWidth="1" min="8" max="8"/>
    <col width="20" customWidth="1" min="9" max="9"/>
    <col width="14" customWidth="1" min="10" max="10"/>
    <col width="32" customWidth="1" min="11" max="11"/>
    <col width="36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11-NEWSLETTER ET PUBLICATIONS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Newsletter</t>
        </is>
      </c>
      <c r="B5" s="4" t="inlineStr">
        <is>
          <t>Titre</t>
        </is>
      </c>
      <c r="C5" s="4" t="inlineStr">
        <is>
          <t>Date Parution</t>
        </is>
      </c>
      <c r="D5" s="4" t="inlineStr">
        <is>
          <t>Périodicité</t>
        </is>
      </c>
      <c r="E5" s="4" t="inlineStr">
        <is>
          <t>Nb Pages</t>
        </is>
      </c>
      <c r="F5" s="4" t="inlineStr">
        <is>
          <t>Nb Destinataires</t>
        </is>
      </c>
      <c r="G5" s="4" t="inlineStr">
        <is>
          <t>Taux Ouverture (%)</t>
        </is>
      </c>
      <c r="H5" s="4" t="inlineStr">
        <is>
          <t>Taux Clic (%)</t>
        </is>
      </c>
      <c r="I5" s="4" t="inlineStr">
        <is>
          <t>Rédacteur</t>
        </is>
      </c>
      <c r="J5" s="4" t="inlineStr">
        <is>
          <t>Statut</t>
        </is>
      </c>
      <c r="K5" s="4" t="inlineStr">
        <is>
          <t>Thème Principal</t>
        </is>
      </c>
      <c r="L5" s="4" t="inlineStr">
        <is>
          <t>Observations</t>
        </is>
      </c>
      <c r="M5" s="4" t="inlineStr"/>
      <c r="N5" s="4" t="inlineStr"/>
    </row>
    <row r="6" ht="22" customHeight="1">
      <c r="A6" s="5">
        <f>IF(B6="","",IF(COUNTA($A$6:A6)=0,"NWL-"&amp;TEXT(COUNTA($B$6:B6),"000"),"NWL-"&amp;TEXT(ROW()-5,"000")))</f>
        <v/>
      </c>
      <c r="B6" s="5" t="inlineStr">
        <is>
          <t>L'Essentiel - Janvier 2025</t>
        </is>
      </c>
      <c r="C6" s="23" t="n">
        <v>45672</v>
      </c>
      <c r="D6" s="5" t="inlineStr">
        <is>
          <t>Mensuelle</t>
        </is>
      </c>
      <c r="E6" s="25" t="n">
        <v>4</v>
      </c>
      <c r="F6" s="25" t="n">
        <v>63</v>
      </c>
      <c r="G6" s="25" t="n">
        <v>68</v>
      </c>
      <c r="H6" s="25" t="n">
        <v>12</v>
      </c>
      <c r="I6" s="5" t="inlineStr">
        <is>
          <t>Resp. Marketing</t>
        </is>
      </c>
      <c r="J6" s="5" t="inlineStr">
        <is>
          <t>Diffusé</t>
        </is>
      </c>
      <c r="K6" s="5" t="inlineStr">
        <is>
          <t>Bilan 2024 et objectifs 2025</t>
        </is>
      </c>
      <c r="L6" s="5" t="inlineStr">
        <is>
          <t>Record d'ouverture</t>
        </is>
      </c>
      <c r="M6" s="26">
        <f>IF(OR(G6="",H6=""),"",IFERROR(H6/G6*100,0))</f>
        <v/>
      </c>
      <c r="N6" s="5">
        <f>IF(G6="","",IF(G6&gt;=65,"Excellente",IF(G6&gt;=55,"Bonne",IF(G6&gt;=45,"Correcte","Faible"))))</f>
        <v/>
      </c>
    </row>
    <row r="7" ht="22" customHeight="1">
      <c r="A7" s="8">
        <f>IF(B7="","",IF(COUNTA($A$6:A7)=0,"NWL-"&amp;TEXT(COUNTA($B$6:B7),"000"),"NWL-"&amp;TEXT(ROW()-5,"000")))</f>
        <v/>
      </c>
      <c r="B7" s="8" t="inlineStr">
        <is>
          <t>L'Essentiel - Février 2025</t>
        </is>
      </c>
      <c r="C7" s="24" t="n">
        <v>45703</v>
      </c>
      <c r="D7" s="8" t="inlineStr">
        <is>
          <t>Mensuelle</t>
        </is>
      </c>
      <c r="E7" s="27" t="n">
        <v>3</v>
      </c>
      <c r="F7" s="27" t="n">
        <v>64</v>
      </c>
      <c r="G7" s="27" t="n">
        <v>62</v>
      </c>
      <c r="H7" s="27" t="n">
        <v>10</v>
      </c>
      <c r="I7" s="8" t="inlineStr">
        <is>
          <t>Resp. Marketing</t>
        </is>
      </c>
      <c r="J7" s="8" t="inlineStr">
        <is>
          <t>Diffusé</t>
        </is>
      </c>
      <c r="K7" s="8" t="inlineStr">
        <is>
          <t>Célébrations succès équipe</t>
        </is>
      </c>
      <c r="L7" s="8" t="inlineStr"/>
      <c r="M7" s="28">
        <f>IF(OR(G7="",H7=""),"",IFERROR(H7/G7*100,0))</f>
        <v/>
      </c>
      <c r="N7" s="8">
        <f>IF(G7="","",IF(G7&gt;=65,"Excellente",IF(G7&gt;=55,"Bonne",IF(G7&gt;=45,"Correcte","Faible"))))</f>
        <v/>
      </c>
    </row>
    <row r="8" ht="22" customHeight="1">
      <c r="A8" s="5">
        <f>IF(B8="","",IF(COUNTA($A$6:A8)=0,"NWL-"&amp;TEXT(COUNTA($B$6:B8),"000"),"NWL-"&amp;TEXT(ROW()-5,"000")))</f>
        <v/>
      </c>
      <c r="B8" s="5" t="inlineStr">
        <is>
          <t>L'Essentiel - Mars 2025</t>
        </is>
      </c>
      <c r="C8" s="23" t="n">
        <v>45731</v>
      </c>
      <c r="D8" s="5" t="inlineStr">
        <is>
          <t>Mensuelle</t>
        </is>
      </c>
      <c r="E8" s="25" t="n">
        <v>4</v>
      </c>
      <c r="F8" s="25" t="n">
        <v>65</v>
      </c>
      <c r="G8" s="5" t="n"/>
      <c r="H8" s="5" t="n"/>
      <c r="I8" s="5" t="inlineStr">
        <is>
          <t>Resp. Marketing</t>
        </is>
      </c>
      <c r="J8" s="5" t="inlineStr">
        <is>
          <t>En revue</t>
        </is>
      </c>
      <c r="K8" s="5" t="inlineStr">
        <is>
          <t>Journée internationale de la femme</t>
        </is>
      </c>
      <c r="L8" s="5" t="inlineStr">
        <is>
          <t>Dossier spécial prévu</t>
        </is>
      </c>
      <c r="M8" s="26">
        <f>IF(OR(G8="",H8=""),"",IFERROR(H8/G8*100,0))</f>
        <v/>
      </c>
      <c r="N8" s="5">
        <f>IF(G8="","",IF(G8&gt;=65,"Excellente",IF(G8&gt;=55,"Bonne",IF(G8&gt;=45,"Correcte","Faible"))))</f>
        <v/>
      </c>
    </row>
    <row r="9" ht="22" customHeight="1">
      <c r="A9" s="8">
        <f>IF(B9="","",IF(COUNTA($A$6:A9)=0,"NWL-"&amp;TEXT(COUNTA($B$6:B9),"000"),"NWL-"&amp;TEXT(ROW()-5,"000")))</f>
        <v/>
      </c>
      <c r="B9" s="8" t="inlineStr">
        <is>
          <t>L'Essentiel - Avril 2025</t>
        </is>
      </c>
      <c r="C9" s="8" t="n"/>
      <c r="D9" s="8" t="inlineStr">
        <is>
          <t>Mensuelle</t>
        </is>
      </c>
      <c r="E9" s="8" t="n"/>
      <c r="F9" s="8" t="n"/>
      <c r="G9" s="8" t="n"/>
      <c r="H9" s="8" t="n"/>
      <c r="I9" s="8" t="inlineStr">
        <is>
          <t>Resp. Marketing</t>
        </is>
      </c>
      <c r="J9" s="8" t="inlineStr">
        <is>
          <t>Brouillon</t>
        </is>
      </c>
      <c r="K9" s="8" t="inlineStr">
        <is>
          <t>QVT et bien-être au travail</t>
        </is>
      </c>
      <c r="L9" s="8" t="inlineStr"/>
      <c r="M9" s="28">
        <f>IF(OR(G9="",H9=""),"",IFERROR(H9/G9*100,0))</f>
        <v/>
      </c>
      <c r="N9" s="8">
        <f>IF(G9="","",IF(G9&gt;=65,"Excellente",IF(G9&gt;=55,"Bonne",IF(G9&gt;=45,"Correcte","Faible"))))</f>
        <v/>
      </c>
    </row>
    <row r="10" ht="22" customHeight="1">
      <c r="A10" s="5">
        <f>IF(B10="","",IF(COUNTA($A$6:A10)=0,"NWL-"&amp;TEXT(COUNTA($B$6:B10),"000"),"NWL-"&amp;TEXT(ROW()-5,"000")))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26">
        <f>IF(OR(G10="",H10=""),"",IFERROR(H10/G10*100,0))</f>
        <v/>
      </c>
      <c r="N10" s="5">
        <f>IF(G10="","",IF(G10&gt;=65,"Excellente",IF(G10&gt;=55,"Bonne",IF(G10&gt;=45,"Correcte","Faible"))))</f>
        <v/>
      </c>
    </row>
    <row r="11" ht="22" customHeight="1">
      <c r="A11" s="8">
        <f>IF(B11="","",IF(COUNTA($A$6:A11)=0,"NWL-"&amp;TEXT(COUNTA($B$6:B11),"000"),"NWL-"&amp;TEXT(ROW()-5,"000")))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28">
        <f>IF(OR(G11="",H11=""),"",IFERROR(H11/G11*100,0))</f>
        <v/>
      </c>
      <c r="N11" s="8">
        <f>IF(G11="","",IF(G11&gt;=65,"Excellente",IF(G11&gt;=55,"Bonne",IF(G11&gt;=45,"Correcte","Faible"))))</f>
        <v/>
      </c>
    </row>
    <row r="12" ht="22" customHeight="1">
      <c r="A12" s="5">
        <f>IF(B12="","",IF(COUNTA($A$6:A12)=0,"NWL-"&amp;TEXT(COUNTA($B$6:B12),"000"),"NWL-"&amp;TEXT(ROW()-5,"000")))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26">
        <f>IF(OR(G12="",H12=""),"",IFERROR(H12/G12*100,0))</f>
        <v/>
      </c>
      <c r="N12" s="5">
        <f>IF(G12="","",IF(G12&gt;=65,"Excellente",IF(G12&gt;=55,"Bonne",IF(G12&gt;=45,"Correcte","Faible"))))</f>
        <v/>
      </c>
    </row>
    <row r="13" ht="22" customHeight="1">
      <c r="A13" s="8">
        <f>IF(B13="","",IF(COUNTA($A$6:A13)=0,"NWL-"&amp;TEXT(COUNTA($B$6:B13),"000"),"NWL-"&amp;TEXT(ROW()-5,"000")))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28">
        <f>IF(OR(G13="",H13=""),"",IFERROR(H13/G13*100,0))</f>
        <v/>
      </c>
      <c r="N13" s="8">
        <f>IF(G13="","",IF(G13&gt;=65,"Excellente",IF(G13&gt;=55,"Bonne",IF(G13&gt;=45,"Correcte","Faible"))))</f>
        <v/>
      </c>
    </row>
    <row r="14" ht="22" customHeight="1">
      <c r="A14" s="5">
        <f>IF(B14="","",IF(COUNTA($A$6:A14)=0,"NWL-"&amp;TEXT(COUNTA($B$6:B14),"000"),"NWL-"&amp;TEXT(ROW()-5,"000")))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26">
        <f>IF(OR(G14="",H14=""),"",IFERROR(H14/G14*100,0))</f>
        <v/>
      </c>
      <c r="N14" s="5">
        <f>IF(G14="","",IF(G14&gt;=65,"Excellente",IF(G14&gt;=55,"Bonne",IF(G14&gt;=45,"Correcte","Faible"))))</f>
        <v/>
      </c>
    </row>
    <row r="15" ht="22" customHeight="1">
      <c r="A15" s="8">
        <f>IF(B15="","",IF(COUNTA($A$6:A15)=0,"NWL-"&amp;TEXT(COUNTA($B$6:B15),"000"),"NWL-"&amp;TEXT(ROW()-5,"000")))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28">
        <f>IF(OR(G15="",H15=""),"",IFERROR(H15/G15*100,0))</f>
        <v/>
      </c>
      <c r="N15" s="8">
        <f>IF(G15="","",IF(G15&gt;=65,"Excellente",IF(G15&gt;=55,"Bonne",IF(G15&gt;=45,"Correcte","Faible"))))</f>
        <v/>
      </c>
    </row>
    <row r="16" ht="22" customHeight="1">
      <c r="A16" s="5">
        <f>IF(B16="","",IF(COUNTA($A$6:A16)=0,"NWL-"&amp;TEXT(COUNTA($B$6:B16),"000"),"NWL-"&amp;TEXT(ROW()-5,"000")))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26">
        <f>IF(OR(G16="",H16=""),"",IFERROR(H16/G16*100,0))</f>
        <v/>
      </c>
      <c r="N16" s="5">
        <f>IF(G16="","",IF(G16&gt;=65,"Excellente",IF(G16&gt;=55,"Bonne",IF(G16&gt;=45,"Correcte","Faible"))))</f>
        <v/>
      </c>
    </row>
    <row r="17" ht="22" customHeight="1">
      <c r="A17" s="8">
        <f>IF(B17="","",IF(COUNTA($A$6:A17)=0,"NWL-"&amp;TEXT(COUNTA($B$6:B17),"000"),"NWL-"&amp;TEXT(ROW()-5,"000")))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28">
        <f>IF(OR(G17="",H17=""),"",IFERROR(H17/G17*100,0))</f>
        <v/>
      </c>
      <c r="N17" s="8">
        <f>IF(G17="","",IF(G17&gt;=65,"Excellente",IF(G17&gt;=55,"Bonne",IF(G17&gt;=45,"Correcte","Faible"))))</f>
        <v/>
      </c>
    </row>
    <row r="18" ht="22" customHeight="1">
      <c r="A18" s="5">
        <f>IF(B18="","",IF(COUNTA($A$6:A18)=0,"NWL-"&amp;TEXT(COUNTA($B$6:B18),"000"),"NWL-"&amp;TEXT(ROW()-5,"000")))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26">
        <f>IF(OR(G18="",H18=""),"",IFERROR(H18/G18*100,0))</f>
        <v/>
      </c>
      <c r="N18" s="5">
        <f>IF(G18="","",IF(G18&gt;=65,"Excellente",IF(G18&gt;=55,"Bonne",IF(G18&gt;=45,"Correcte","Faible"))))</f>
        <v/>
      </c>
    </row>
    <row r="19" ht="22" customHeight="1">
      <c r="A19" s="8">
        <f>IF(B19="","",IF(COUNTA($A$6:A19)=0,"NWL-"&amp;TEXT(COUNTA($B$6:B19),"000"),"NWL-"&amp;TEXT(ROW()-5,"000")))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28">
        <f>IF(OR(G19="",H19=""),"",IFERROR(H19/G19*100,0))</f>
        <v/>
      </c>
      <c r="N19" s="8">
        <f>IF(G19="","",IF(G19&gt;=65,"Excellente",IF(G19&gt;=55,"Bonne",IF(G19&gt;=45,"Correcte","Faible"))))</f>
        <v/>
      </c>
    </row>
    <row r="20" ht="22" customHeight="1">
      <c r="A20" s="5">
        <f>IF(B20="","",IF(COUNTA($A$6:A20)=0,"NWL-"&amp;TEXT(COUNTA($B$6:B20),"000"),"NWL-"&amp;TEXT(ROW()-5,"000")))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26">
        <f>IF(OR(G20="",H20=""),"",IFERROR(H20/G20*100,0))</f>
        <v/>
      </c>
      <c r="N20" s="5">
        <f>IF(G20="","",IF(G20&gt;=65,"Excellente",IF(G20&gt;=55,"Bonne",IF(G20&gt;=45,"Correcte","Faible"))))</f>
        <v/>
      </c>
    </row>
    <row r="21" ht="22" customHeight="1">
      <c r="A21" s="8">
        <f>IF(B21="","",IF(COUNTA($A$6:A21)=0,"NWL-"&amp;TEXT(COUNTA($B$6:B21),"000"),"NWL-"&amp;TEXT(ROW()-5,"000")))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28">
        <f>IF(OR(G21="",H21=""),"",IFERROR(H21/G21*100,0))</f>
        <v/>
      </c>
      <c r="N21" s="8">
        <f>IF(G21="","",IF(G21&gt;=65,"Excellente",IF(G21&gt;=55,"Bonne",IF(G21&gt;=45,"Correcte","Faible"))))</f>
        <v/>
      </c>
    </row>
    <row r="22" ht="22" customHeight="1">
      <c r="A22" s="5">
        <f>IF(B22="","",IF(COUNTA($A$6:A22)=0,"NWL-"&amp;TEXT(COUNTA($B$6:B22),"000"),"NWL-"&amp;TEXT(ROW()-5,"000")))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26">
        <f>IF(OR(G22="",H22=""),"",IFERROR(H22/G22*100,0))</f>
        <v/>
      </c>
      <c r="N22" s="5">
        <f>IF(G22="","",IF(G22&gt;=65,"Excellente",IF(G22&gt;=55,"Bonne",IF(G22&gt;=45,"Correcte","Faible"))))</f>
        <v/>
      </c>
    </row>
    <row r="23" ht="22" customHeight="1">
      <c r="A23" s="8">
        <f>IF(B23="","",IF(COUNTA($A$6:A23)=0,"NWL-"&amp;TEXT(COUNTA($B$6:B23),"000"),"NWL-"&amp;TEXT(ROW()-5,"000")))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28">
        <f>IF(OR(G23="",H23=""),"",IFERROR(H23/G23*100,0))</f>
        <v/>
      </c>
      <c r="N23" s="8">
        <f>IF(G23="","",IF(G23&gt;=65,"Excellente",IF(G23&gt;=55,"Bonne",IF(G23&gt;=45,"Correcte","Faible"))))</f>
        <v/>
      </c>
    </row>
    <row r="24" ht="22" customHeight="1">
      <c r="A24" s="5">
        <f>IF(B24="","",IF(COUNTA($A$6:A24)=0,"NWL-"&amp;TEXT(COUNTA($B$6:B24),"000"),"NWL-"&amp;TEXT(ROW()-5,"000")))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26">
        <f>IF(OR(G24="",H24=""),"",IFERROR(H24/G24*100,0))</f>
        <v/>
      </c>
      <c r="N24" s="5">
        <f>IF(G24="","",IF(G24&gt;=65,"Excellente",IF(G24&gt;=55,"Bonne",IF(G24&gt;=45,"Correcte","Faible"))))</f>
        <v/>
      </c>
    </row>
    <row r="25" ht="22" customHeight="1">
      <c r="A25" s="8">
        <f>IF(B25="","",IF(COUNTA($A$6:A25)=0,"NWL-"&amp;TEXT(COUNTA($B$6:B25),"000"),"NWL-"&amp;TEXT(ROW()-5,"000")))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8">
        <f>IF(OR(G25="",H25=""),"",IFERROR(H25/G25*100,0))</f>
        <v/>
      </c>
      <c r="N25" s="8">
        <f>IF(G25="","",IF(G25&gt;=65,"Excellente",IF(G25&gt;=55,"Bonne",IF(G25&gt;=45,"Correcte","Faible"))))</f>
        <v/>
      </c>
    </row>
    <row r="26" ht="22" customHeight="1">
      <c r="A26" s="5">
        <f>IF(B26="","",IF(COUNTA($A$6:A26)=0,"NWL-"&amp;TEXT(COUNTA($B$6:B26),"000"),"NWL-"&amp;TEXT(ROW()-5,"000")))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26">
        <f>IF(OR(G26="",H26=""),"",IFERROR(H26/G26*100,0))</f>
        <v/>
      </c>
      <c r="N26" s="5">
        <f>IF(G26="","",IF(G26&gt;=65,"Excellente",IF(G26&gt;=55,"Bonne",IF(G26&gt;=45,"Correcte","Faible"))))</f>
        <v/>
      </c>
    </row>
    <row r="27" ht="22" customHeight="1">
      <c r="A27" s="8">
        <f>IF(B27="","",IF(COUNTA($A$6:A27)=0,"NWL-"&amp;TEXT(COUNTA($B$6:B27),"000"),"NWL-"&amp;TEXT(ROW()-5,"000")))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28">
        <f>IF(OR(G27="",H27=""),"",IFERROR(H27/G27*100,0))</f>
        <v/>
      </c>
      <c r="N27" s="8">
        <f>IF(G27="","",IF(G27&gt;=65,"Excellente",IF(G27&gt;=55,"Bonne",IF(G27&gt;=45,"Correcte","Faible"))))</f>
        <v/>
      </c>
    </row>
    <row r="28" ht="22" customHeight="1">
      <c r="A28" s="5">
        <f>IF(B28="","",IF(COUNTA($A$6:A28)=0,"NWL-"&amp;TEXT(COUNTA($B$6:B28),"000"),"NWL-"&amp;TEXT(ROW()-5,"000")))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26">
        <f>IF(OR(G28="",H28=""),"",IFERROR(H28/G28*100,0))</f>
        <v/>
      </c>
      <c r="N28" s="5">
        <f>IF(G28="","",IF(G28&gt;=65,"Excellente",IF(G28&gt;=55,"Bonne",IF(G28&gt;=45,"Correcte","Faible"))))</f>
        <v/>
      </c>
    </row>
    <row r="29" ht="22" customHeight="1">
      <c r="A29" s="8">
        <f>IF(B29="","",IF(COUNTA($A$6:A29)=0,"NWL-"&amp;TEXT(COUNTA($B$6:B29),"000"),"NWL-"&amp;TEXT(ROW()-5,"000")))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28">
        <f>IF(OR(G29="",H29=""),"",IFERROR(H29/G29*100,0))</f>
        <v/>
      </c>
      <c r="N29" s="8">
        <f>IF(G29="","",IF(G29&gt;=65,"Excellente",IF(G29&gt;=55,"Bonne",IF(G29&gt;=45,"Correcte","Faible"))))</f>
        <v/>
      </c>
    </row>
    <row r="30" ht="22" customHeight="1">
      <c r="A30" s="5">
        <f>IF(B30="","",IF(COUNTA($A$6:A30)=0,"NWL-"&amp;TEXT(COUNTA($B$6:B30),"000"),"NWL-"&amp;TEXT(ROW()-5,"000")))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26">
        <f>IF(OR(G30="",H30=""),"",IFERROR(H30/G30*100,0))</f>
        <v/>
      </c>
      <c r="N30" s="5">
        <f>IF(G30="","",IF(G30&gt;=65,"Excellente",IF(G30&gt;=55,"Bonne",IF(G30&gt;=45,"Correcte","Faible"))))</f>
        <v/>
      </c>
    </row>
    <row r="31" ht="22" customHeight="1">
      <c r="A31" s="8">
        <f>IF(B31="","",IF(COUNTA($A$6:A31)=0,"NWL-"&amp;TEXT(COUNTA($B$6:B31),"000"),"NWL-"&amp;TEXT(ROW()-5,"000")))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8">
        <f>IF(OR(G31="",H31=""),"",IFERROR(H31/G31*100,0))</f>
        <v/>
      </c>
      <c r="N31" s="8">
        <f>IF(G31="","",IF(G31&gt;=65,"Excellente",IF(G31&gt;=55,"Bonne",IF(G31&gt;=45,"Correcte","Faible"))))</f>
        <v/>
      </c>
    </row>
    <row r="32" ht="22" customHeight="1">
      <c r="A32" s="5">
        <f>IF(B32="","",IF(COUNTA($A$6:A32)=0,"NWL-"&amp;TEXT(COUNTA($B$6:B32),"000"),"NWL-"&amp;TEXT(ROW()-5,"000")))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26">
        <f>IF(OR(G32="",H32=""),"",IFERROR(H32/G32*100,0))</f>
        <v/>
      </c>
      <c r="N32" s="5">
        <f>IF(G32="","",IF(G32&gt;=65,"Excellente",IF(G32&gt;=55,"Bonne",IF(G32&gt;=45,"Correcte","Faible"))))</f>
        <v/>
      </c>
    </row>
    <row r="33" ht="22" customHeight="1">
      <c r="A33" s="8">
        <f>IF(B33="","",IF(COUNTA($A$6:A33)=0,"NWL-"&amp;TEXT(COUNTA($B$6:B33),"000"),"NWL-"&amp;TEXT(ROW()-5,"000")))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28">
        <f>IF(OR(G33="",H33=""),"",IFERROR(H33/G33*100,0))</f>
        <v/>
      </c>
      <c r="N33" s="8">
        <f>IF(G33="","",IF(G33&gt;=65,"Excellente",IF(G33&gt;=55,"Bonne",IF(G33&gt;=45,"Correcte","Faible"))))</f>
        <v/>
      </c>
    </row>
    <row r="34" ht="22" customHeight="1">
      <c r="A34" s="5">
        <f>IF(B34="","",IF(COUNTA($A$6:A34)=0,"NWL-"&amp;TEXT(COUNTA($B$6:B34),"000"),"NWL-"&amp;TEXT(ROW()-5,"000")))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26">
        <f>IF(OR(G34="",H34=""),"",IFERROR(H34/G34*100,0))</f>
        <v/>
      </c>
      <c r="N34" s="5">
        <f>IF(G34="","",IF(G34&gt;=65,"Excellente",IF(G34&gt;=55,"Bonne",IF(G34&gt;=45,"Correcte","Faible"))))</f>
        <v/>
      </c>
    </row>
    <row r="35" ht="22" customHeight="1">
      <c r="A35" s="8">
        <f>IF(B35="","",IF(COUNTA($A$6:A35)=0,"NWL-"&amp;TEXT(COUNTA($B$6:B35),"000"),"NWL-"&amp;TEXT(ROW()-5,"000")))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28">
        <f>IF(OR(G35="",H35=""),"",IFERROR(H35/G35*100,0))</f>
        <v/>
      </c>
      <c r="N35" s="8">
        <f>IF(G35="","",IF(G35&gt;=65,"Excellente",IF(G35&gt;=55,"Bonne",IF(G35&gt;=45,"Correcte","Faible"))))</f>
        <v/>
      </c>
    </row>
    <row r="36" ht="22" customHeight="1">
      <c r="A36" s="5">
        <f>IF(B36="","",IF(COUNTA($A$6:A36)=0,"NWL-"&amp;TEXT(COUNTA($B$6:B36),"000"),"NWL-"&amp;TEXT(ROW()-5,"000")))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26">
        <f>IF(OR(G36="",H36=""),"",IFERROR(H36/G36*100,0))</f>
        <v/>
      </c>
      <c r="N36" s="5">
        <f>IF(G36="","",IF(G36&gt;=65,"Excellente",IF(G36&gt;=55,"Bonne",IF(G36&gt;=45,"Correcte","Faible"))))</f>
        <v/>
      </c>
    </row>
    <row r="37" ht="22" customHeight="1">
      <c r="A37" s="8">
        <f>IF(B37="","",IF(COUNTA($A$6:A37)=0,"NWL-"&amp;TEXT(COUNTA($B$6:B37),"000"),"NWL-"&amp;TEXT(ROW()-5,"000")))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28">
        <f>IF(OR(G37="",H37=""),"",IFERROR(H37/G37*100,0))</f>
        <v/>
      </c>
      <c r="N37" s="8">
        <f>IF(G37="","",IF(G37&gt;=65,"Excellente",IF(G37&gt;=55,"Bonne",IF(G37&gt;=45,"Correcte","Faible"))))</f>
        <v/>
      </c>
    </row>
    <row r="38" ht="22" customHeight="1">
      <c r="A38" s="5">
        <f>IF(B38="","",IF(COUNTA($A$6:A38)=0,"NWL-"&amp;TEXT(COUNTA($B$6:B38),"000"),"NWL-"&amp;TEXT(ROW()-5,"000")))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26">
        <f>IF(OR(G38="",H38=""),"",IFERROR(H38/G38*100,0))</f>
        <v/>
      </c>
      <c r="N38" s="5">
        <f>IF(G38="","",IF(G38&gt;=65,"Excellente",IF(G38&gt;=55,"Bonne",IF(G38&gt;=45,"Correcte","Faible"))))</f>
        <v/>
      </c>
    </row>
    <row r="39" ht="22" customHeight="1">
      <c r="A39" s="8">
        <f>IF(B39="","",IF(COUNTA($A$6:A39)=0,"NWL-"&amp;TEXT(COUNTA($B$6:B39),"000"),"NWL-"&amp;TEXT(ROW()-5,"000")))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28">
        <f>IF(OR(G39="",H39=""),"",IFERROR(H39/G39*100,0))</f>
        <v/>
      </c>
      <c r="N39" s="8">
        <f>IF(G39="","",IF(G39&gt;=65,"Excellente",IF(G39&gt;=55,"Bonne",IF(G39&gt;=45,"Correcte","Faible"))))</f>
        <v/>
      </c>
    </row>
    <row r="40" ht="22" customHeight="1">
      <c r="A40" s="5">
        <f>IF(B40="","",IF(COUNTA($A$6:A40)=0,"NWL-"&amp;TEXT(COUNTA($B$6:B40),"000"),"NWL-"&amp;TEXT(ROW()-5,"000")))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26">
        <f>IF(OR(G40="",H40=""),"",IFERROR(H40/G40*100,0))</f>
        <v/>
      </c>
      <c r="N40" s="5">
        <f>IF(G40="","",IF(G40&gt;=65,"Excellente",IF(G40&gt;=55,"Bonne",IF(G40&gt;=45,"Correcte","Faible"))))</f>
        <v/>
      </c>
    </row>
    <row r="41" ht="22" customHeight="1">
      <c r="A41" s="8">
        <f>IF(B41="","",IF(COUNTA($A$6:A41)=0,"NWL-"&amp;TEXT(COUNTA($B$6:B41),"000"),"NWL-"&amp;TEXT(ROW()-5,"000")))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28">
        <f>IF(OR(G41="",H41=""),"",IFERROR(H41/G41*100,0))</f>
        <v/>
      </c>
      <c r="N41" s="8">
        <f>IF(G41="","",IF(G41&gt;=65,"Excellente",IF(G41&gt;=55,"Bonne",IF(G41&gt;=45,"Correcte","Faible"))))</f>
        <v/>
      </c>
    </row>
    <row r="42" ht="22" customHeight="1">
      <c r="A42" s="5">
        <f>IF(B42="","",IF(COUNTA($A$6:A42)=0,"NWL-"&amp;TEXT(COUNTA($B$6:B42),"000"),"NWL-"&amp;TEXT(ROW()-5,"000")))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26">
        <f>IF(OR(G42="",H42=""),"",IFERROR(H42/G42*100,0))</f>
        <v/>
      </c>
      <c r="N42" s="5">
        <f>IF(G42="","",IF(G42&gt;=65,"Excellente",IF(G42&gt;=55,"Bonne",IF(G42&gt;=45,"Correcte","Faible"))))</f>
        <v/>
      </c>
    </row>
    <row r="43" ht="22" customHeight="1">
      <c r="A43" s="8">
        <f>IF(B43="","",IF(COUNTA($A$6:A43)=0,"NWL-"&amp;TEXT(COUNTA($B$6:B43),"000"),"NWL-"&amp;TEXT(ROW()-5,"000")))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28">
        <f>IF(OR(G43="",H43=""),"",IFERROR(H43/G43*100,0))</f>
        <v/>
      </c>
      <c r="N43" s="8">
        <f>IF(G43="","",IF(G43&gt;=65,"Excellente",IF(G43&gt;=55,"Bonne",IF(G43&gt;=45,"Correcte","Faible"))))</f>
        <v/>
      </c>
    </row>
    <row r="44" ht="22" customHeight="1">
      <c r="A44" s="5">
        <f>IF(B44="","",IF(COUNTA($A$6:A44)=0,"NWL-"&amp;TEXT(COUNTA($B$6:B44),"000"),"NWL-"&amp;TEXT(ROW()-5,"000")))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26">
        <f>IF(OR(G44="",H44=""),"",IFERROR(H44/G44*100,0))</f>
        <v/>
      </c>
      <c r="N44" s="5">
        <f>IF(G44="","",IF(G44&gt;=65,"Excellente",IF(G44&gt;=55,"Bonne",IF(G44&gt;=45,"Correcte","Faible"))))</f>
        <v/>
      </c>
    </row>
    <row r="45" ht="22" customHeight="1">
      <c r="A45" s="8">
        <f>IF(B45="","",IF(COUNTA($A$6:A45)=0,"NWL-"&amp;TEXT(COUNTA($B$6:B45),"000"),"NWL-"&amp;TEXT(ROW()-5,"000")))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28">
        <f>IF(OR(G45="",H45=""),"",IFERROR(H45/G45*100,0))</f>
        <v/>
      </c>
      <c r="N45" s="8">
        <f>IF(G45="","",IF(G45&gt;=65,"Excellente",IF(G45&gt;=55,"Bonne",IF(G45&gt;=45,"Correcte","Faible"))))</f>
        <v/>
      </c>
    </row>
    <row r="46" ht="22" customHeight="1">
      <c r="A46" s="5">
        <f>IF(B46="","",IF(COUNTA($A$6:A46)=0,"NWL-"&amp;TEXT(COUNTA($B$6:B46),"000"),"NWL-"&amp;TEXT(ROW()-5,"000")))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26">
        <f>IF(OR(G46="",H46=""),"",IFERROR(H46/G46*100,0))</f>
        <v/>
      </c>
      <c r="N46" s="5">
        <f>IF(G46="","",IF(G46&gt;=65,"Excellente",IF(G46&gt;=55,"Bonne",IF(G46&gt;=45,"Correcte","Faible"))))</f>
        <v/>
      </c>
    </row>
    <row r="47" ht="22" customHeight="1">
      <c r="A47" s="8">
        <f>IF(B47="","",IF(COUNTA($A$6:A47)=0,"NWL-"&amp;TEXT(COUNTA($B$6:B47),"000"),"NWL-"&amp;TEXT(ROW()-5,"000")))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28">
        <f>IF(OR(G47="",H47=""),"",IFERROR(H47/G47*100,0))</f>
        <v/>
      </c>
      <c r="N47" s="8">
        <f>IF(G47="","",IF(G47&gt;=65,"Excellente",IF(G47&gt;=55,"Bonne",IF(G47&gt;=45,"Correcte","Faible"))))</f>
        <v/>
      </c>
    </row>
    <row r="48" ht="22" customHeight="1">
      <c r="A48" s="5">
        <f>IF(B48="","",IF(COUNTA($A$6:A48)=0,"NWL-"&amp;TEXT(COUNTA($B$6:B48),"000"),"NWL-"&amp;TEXT(ROW()-5,"000")))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26">
        <f>IF(OR(G48="",H48=""),"",IFERROR(H48/G48*100,0))</f>
        <v/>
      </c>
      <c r="N48" s="5">
        <f>IF(G48="","",IF(G48&gt;=65,"Excellente",IF(G48&gt;=55,"Bonne",IF(G48&gt;=45,"Correcte","Faible"))))</f>
        <v/>
      </c>
    </row>
    <row r="49" ht="22" customHeight="1">
      <c r="A49" s="8">
        <f>IF(B49="","",IF(COUNTA($A$6:A49)=0,"NWL-"&amp;TEXT(COUNTA($B$6:B49),"000"),"NWL-"&amp;TEXT(ROW()-5,"000")))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28">
        <f>IF(OR(G49="",H49=""),"",IFERROR(H49/G49*100,0))</f>
        <v/>
      </c>
      <c r="N49" s="8">
        <f>IF(G49="","",IF(G49&gt;=65,"Excellente",IF(G49&gt;=55,"Bonne",IF(G49&gt;=45,"Correcte","Faible"))))</f>
        <v/>
      </c>
    </row>
    <row r="50" ht="22" customHeight="1">
      <c r="A50" s="5">
        <f>IF(B50="","",IF(COUNTA($A$6:A50)=0,"NWL-"&amp;TEXT(COUNTA($B$6:B50),"000"),"NWL-"&amp;TEXT(ROW()-5,"000")))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26">
        <f>IF(OR(G50="",H50=""),"",IFERROR(H50/G50*100,0))</f>
        <v/>
      </c>
      <c r="N50" s="5">
        <f>IF(G50="","",IF(G50&gt;=65,"Excellente",IF(G50&gt;=55,"Bonne",IF(G50&gt;=45,"Correcte","Faible"))))</f>
        <v/>
      </c>
    </row>
    <row r="51" ht="22" customHeight="1">
      <c r="A51" s="8">
        <f>IF(B51="","",IF(COUNTA($A$6:A51)=0,"NWL-"&amp;TEXT(COUNTA($B$6:B51),"000"),"NWL-"&amp;TEXT(ROW()-5,"000")))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28">
        <f>IF(OR(G51="",H51=""),"",IFERROR(H51/G51*100,0))</f>
        <v/>
      </c>
      <c r="N51" s="8">
        <f>IF(G51="","",IF(G51&gt;=65,"Excellente",IF(G51&gt;=55,"Bonne",IF(G51&gt;=45,"Correcte","Faible"))))</f>
        <v/>
      </c>
    </row>
    <row r="52" ht="22" customHeight="1">
      <c r="A52" s="5">
        <f>IF(B52="","",IF(COUNTA($A$6:A52)=0,"NWL-"&amp;TEXT(COUNTA($B$6:B52),"000"),"NWL-"&amp;TEXT(ROW()-5,"000")))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26">
        <f>IF(OR(G52="",H52=""),"",IFERROR(H52/G52*100,0))</f>
        <v/>
      </c>
      <c r="N52" s="5">
        <f>IF(G52="","",IF(G52&gt;=65,"Excellente",IF(G52&gt;=55,"Bonne",IF(G52&gt;=45,"Correcte","Faible"))))</f>
        <v/>
      </c>
    </row>
    <row r="53" ht="22" customHeight="1">
      <c r="A53" s="8">
        <f>IF(B53="","",IF(COUNTA($A$6:A53)=0,"NWL-"&amp;TEXT(COUNTA($B$6:B53),"000"),"NWL-"&amp;TEXT(ROW()-5,"000")))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28">
        <f>IF(OR(G53="",H53=""),"",IFERROR(H53/G53*100,0))</f>
        <v/>
      </c>
      <c r="N53" s="8">
        <f>IF(G53="","",IF(G53&gt;=65,"Excellente",IF(G53&gt;=55,"Bonne",IF(G53&gt;=45,"Correcte","Faible"))))</f>
        <v/>
      </c>
    </row>
    <row r="54" ht="22" customHeight="1">
      <c r="A54" s="5">
        <f>IF(B54="","",IF(COUNTA($A$6:A54)=0,"NWL-"&amp;TEXT(COUNTA($B$6:B54),"000"),"NWL-"&amp;TEXT(ROW()-5,"000")))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26">
        <f>IF(OR(G54="",H54=""),"",IFERROR(H54/G54*100,0))</f>
        <v/>
      </c>
      <c r="N54" s="5">
        <f>IF(G54="","",IF(G54&gt;=65,"Excellente",IF(G54&gt;=55,"Bonne",IF(G54&gt;=45,"Correcte","Faible"))))</f>
        <v/>
      </c>
    </row>
    <row r="55" ht="22" customHeight="1">
      <c r="A55" s="8">
        <f>IF(B55="","",IF(COUNTA($A$6:A55)=0,"NWL-"&amp;TEXT(COUNTA($B$6:B55),"000"),"NWL-"&amp;TEXT(ROW()-5,"000")))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28">
        <f>IF(OR(G55="",H55=""),"",IFERROR(H55/G55*100,0))</f>
        <v/>
      </c>
      <c r="N55" s="8">
        <f>IF(G55="","",IF(G55&gt;=65,"Excellente",IF(G55&gt;=55,"Bonne",IF(G55&gt;=45,"Correcte","Faible"))))</f>
        <v/>
      </c>
    </row>
    <row r="56" ht="22" customHeight="1">
      <c r="A56" s="5">
        <f>IF(B56="","",IF(COUNTA($A$6:A56)=0,"NWL-"&amp;TEXT(COUNTA($B$6:B56),"000"),"NWL-"&amp;TEXT(ROW()-5,"000")))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26">
        <f>IF(OR(G56="",H56=""),"",IFERROR(H56/G56*100,0))</f>
        <v/>
      </c>
      <c r="N56" s="5">
        <f>IF(G56="","",IF(G56&gt;=65,"Excellente",IF(G56&gt;=55,"Bonne",IF(G56&gt;=45,"Correcte","Faible"))))</f>
        <v/>
      </c>
    </row>
    <row r="57" ht="22" customHeight="1">
      <c r="A57" s="8">
        <f>IF(B57="","",IF(COUNTA($A$6:A57)=0,"NWL-"&amp;TEXT(COUNTA($B$6:B57),"000"),"NWL-"&amp;TEXT(ROW()-5,"000")))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28">
        <f>IF(OR(G57="",H57=""),"",IFERROR(H57/G57*100,0))</f>
        <v/>
      </c>
      <c r="N57" s="8">
        <f>IF(G57="","",IF(G57&gt;=65,"Excellente",IF(G57&gt;=55,"Bonne",IF(G57&gt;=45,"Correcte","Faible"))))</f>
        <v/>
      </c>
    </row>
    <row r="58" ht="22" customHeight="1">
      <c r="A58" s="5">
        <f>IF(B58="","",IF(COUNTA($A$6:A58)=0,"NWL-"&amp;TEXT(COUNTA($B$6:B58),"000"),"NWL-"&amp;TEXT(ROW()-5,"000")))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26">
        <f>IF(OR(G58="",H58=""),"",IFERROR(H58/G58*100,0))</f>
        <v/>
      </c>
      <c r="N58" s="5">
        <f>IF(G58="","",IF(G58&gt;=65,"Excellente",IF(G58&gt;=55,"Bonne",IF(G58&gt;=45,"Correcte","Faible"))))</f>
        <v/>
      </c>
    </row>
    <row r="59" ht="22" customHeight="1">
      <c r="A59" s="8">
        <f>IF(B59="","",IF(COUNTA($A$6:A59)=0,"NWL-"&amp;TEXT(COUNTA($B$6:B59),"000"),"NWL-"&amp;TEXT(ROW()-5,"000")))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28">
        <f>IF(OR(G59="",H59=""),"",IFERROR(H59/G59*100,0))</f>
        <v/>
      </c>
      <c r="N59" s="8">
        <f>IF(G59="","",IF(G59&gt;=65,"Excellente",IF(G59&gt;=55,"Bonne",IF(G59&gt;=45,"Correcte","Faible"))))</f>
        <v/>
      </c>
    </row>
    <row r="60" ht="22" customHeight="1">
      <c r="A60" s="5">
        <f>IF(B60="","",IF(COUNTA($A$6:A60)=0,"NWL-"&amp;TEXT(COUNTA($B$6:B60),"000"),"NWL-"&amp;TEXT(ROW()-5,"000")))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26">
        <f>IF(OR(G60="",H60=""),"",IFERROR(H60/G60*100,0))</f>
        <v/>
      </c>
      <c r="N60" s="5">
        <f>IF(G60="","",IF(G60&gt;=65,"Excellente",IF(G60&gt;=55,"Bonne",IF(G60&gt;=45,"Correcte","Faible"))))</f>
        <v/>
      </c>
    </row>
    <row r="61" ht="22" customHeight="1">
      <c r="A61" s="8">
        <f>IF(B61="","",IF(COUNTA($A$6:A61)=0,"NWL-"&amp;TEXT(COUNTA($B$6:B61),"000"),"NWL-"&amp;TEXT(ROW()-5,"000")))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28">
        <f>IF(OR(G61="",H61=""),"",IFERROR(H61/G61*100,0))</f>
        <v/>
      </c>
      <c r="N61" s="8">
        <f>IF(G61="","",IF(G61&gt;=65,"Excellente",IF(G61&gt;=55,"Bonne",IF(G61&gt;=45,"Correcte","Faible"))))</f>
        <v/>
      </c>
    </row>
    <row r="62" ht="22" customHeight="1">
      <c r="A62" s="5">
        <f>IF(B62="","",IF(COUNTA($A$6:A62)=0,"NWL-"&amp;TEXT(COUNTA($B$6:B62),"000"),"NWL-"&amp;TEXT(ROW()-5,"000")))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26">
        <f>IF(OR(G62="",H62=""),"",IFERROR(H62/G62*100,0))</f>
        <v/>
      </c>
      <c r="N62" s="5">
        <f>IF(G62="","",IF(G62&gt;=65,"Excellente",IF(G62&gt;=55,"Bonne",IF(G62&gt;=45,"Correcte","Faible"))))</f>
        <v/>
      </c>
    </row>
    <row r="63" ht="22" customHeight="1">
      <c r="A63" s="8">
        <f>IF(B63="","",IF(COUNTA($A$6:A63)=0,"NWL-"&amp;TEXT(COUNTA($B$6:B63),"000"),"NWL-"&amp;TEXT(ROW()-5,"000")))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28">
        <f>IF(OR(G63="",H63=""),"",IFERROR(H63/G63*100,0))</f>
        <v/>
      </c>
      <c r="N63" s="8">
        <f>IF(G63="","",IF(G63&gt;=65,"Excellente",IF(G63&gt;=55,"Bonne",IF(G63&gt;=45,"Correcte","Faible"))))</f>
        <v/>
      </c>
    </row>
    <row r="64" ht="22" customHeight="1">
      <c r="A64" s="5">
        <f>IF(B64="","",IF(COUNTA($A$6:A64)=0,"NWL-"&amp;TEXT(COUNTA($B$6:B64),"000"),"NWL-"&amp;TEXT(ROW()-5,"000")))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26">
        <f>IF(OR(G64="",H64=""),"",IFERROR(H64/G64*100,0))</f>
        <v/>
      </c>
      <c r="N64" s="5">
        <f>IF(G64="","",IF(G64&gt;=65,"Excellente",IF(G64&gt;=55,"Bonne",IF(G64&gt;=45,"Correcte","Faible"))))</f>
        <v/>
      </c>
    </row>
    <row r="65" ht="22" customHeight="1">
      <c r="A65" s="8">
        <f>IF(B65="","",IF(COUNTA($A$6:A65)=0,"NWL-"&amp;TEXT(COUNTA($B$6:B65),"000"),"NWL-"&amp;TEXT(ROW()-5,"000")))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28">
        <f>IF(OR(G65="",H65=""),"",IFERROR(H65/G65*100,0))</f>
        <v/>
      </c>
      <c r="N65" s="8">
        <f>IF(G65="","",IF(G65&gt;=65,"Excellente",IF(G65&gt;=55,"Bonne",IF(G65&gt;=45,"Correcte","Faible"))))</f>
        <v/>
      </c>
    </row>
    <row r="66" ht="22" customHeight="1">
      <c r="A66" s="5">
        <f>IF(B66="","",IF(COUNTA($A$6:A66)=0,"NWL-"&amp;TEXT(COUNTA($B$6:B66),"000"),"NWL-"&amp;TEXT(ROW()-5,"000")))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26">
        <f>IF(OR(G66="",H66=""),"",IFERROR(H66/G66*100,0))</f>
        <v/>
      </c>
      <c r="N66" s="5">
        <f>IF(G66="","",IF(G66&gt;=65,"Excellente",IF(G66&gt;=55,"Bonne",IF(G66&gt;=45,"Correcte","Faible"))))</f>
        <v/>
      </c>
    </row>
    <row r="67" ht="22" customHeight="1">
      <c r="A67" s="8">
        <f>IF(B67="","",IF(COUNTA($A$6:A67)=0,"NWL-"&amp;TEXT(COUNTA($B$6:B67),"000"),"NWL-"&amp;TEXT(ROW()-5,"000")))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28">
        <f>IF(OR(G67="",H67=""),"",IFERROR(H67/G67*100,0))</f>
        <v/>
      </c>
      <c r="N67" s="8">
        <f>IF(G67="","",IF(G67&gt;=65,"Excellente",IF(G67&gt;=55,"Bonne",IF(G67&gt;=45,"Correcte","Faible"))))</f>
        <v/>
      </c>
    </row>
    <row r="68" ht="22" customHeight="1">
      <c r="A68" s="5">
        <f>IF(B68="","",IF(COUNTA($A$6:A68)=0,"NWL-"&amp;TEXT(COUNTA($B$6:B68),"000"),"NWL-"&amp;TEXT(ROW()-5,"000")))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26">
        <f>IF(OR(G68="",H68=""),"",IFERROR(H68/G68*100,0))</f>
        <v/>
      </c>
      <c r="N68" s="5">
        <f>IF(G68="","",IF(G68&gt;=65,"Excellente",IF(G68&gt;=55,"Bonne",IF(G68&gt;=45,"Correcte","Faible"))))</f>
        <v/>
      </c>
    </row>
    <row r="69" ht="22" customHeight="1">
      <c r="A69" s="8">
        <f>IF(B69="","",IF(COUNTA($A$6:A69)=0,"NWL-"&amp;TEXT(COUNTA($B$6:B69),"000"),"NWL-"&amp;TEXT(ROW()-5,"000")))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28">
        <f>IF(OR(G69="",H69=""),"",IFERROR(H69/G69*100,0))</f>
        <v/>
      </c>
      <c r="N69" s="8">
        <f>IF(G69="","",IF(G69&gt;=65,"Excellente",IF(G69&gt;=55,"Bonne",IF(G69&gt;=45,"Correcte","Faible"))))</f>
        <v/>
      </c>
    </row>
    <row r="70" ht="22" customHeight="1">
      <c r="A70" s="5">
        <f>IF(B70="","",IF(COUNTA($A$6:A70)=0,"NWL-"&amp;TEXT(COUNTA($B$6:B70),"000"),"NWL-"&amp;TEXT(ROW()-5,"000")))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26">
        <f>IF(OR(G70="",H70=""),"",IFERROR(H70/G70*100,0))</f>
        <v/>
      </c>
      <c r="N70" s="5">
        <f>IF(G70="","",IF(G70&gt;=65,"Excellente",IF(G70&gt;=55,"Bonne",IF(G70&gt;=45,"Correcte","Faible"))))</f>
        <v/>
      </c>
    </row>
    <row r="71" ht="22" customHeight="1">
      <c r="A71" s="8">
        <f>IF(B71="","",IF(COUNTA($A$6:A71)=0,"NWL-"&amp;TEXT(COUNTA($B$6:B71),"000"),"NWL-"&amp;TEXT(ROW()-5,"000")))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28">
        <f>IF(OR(G71="",H71=""),"",IFERROR(H71/G71*100,0))</f>
        <v/>
      </c>
      <c r="N71" s="8">
        <f>IF(G71="","",IF(G71&gt;=65,"Excellente",IF(G71&gt;=55,"Bonne",IF(G71&gt;=45,"Correcte","Faible"))))</f>
        <v/>
      </c>
    </row>
    <row r="72" ht="22" customHeight="1">
      <c r="A72" s="5">
        <f>IF(B72="","",IF(COUNTA($A$6:A72)=0,"NWL-"&amp;TEXT(COUNTA($B$6:B72),"000"),"NWL-"&amp;TEXT(ROW()-5,"000")))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26">
        <f>IF(OR(G72="",H72=""),"",IFERROR(H72/G72*100,0))</f>
        <v/>
      </c>
      <c r="N72" s="5">
        <f>IF(G72="","",IF(G72&gt;=65,"Excellente",IF(G72&gt;=55,"Bonne",IF(G72&gt;=45,"Correcte","Faible"))))</f>
        <v/>
      </c>
    </row>
    <row r="73" ht="22" customHeight="1">
      <c r="A73" s="8">
        <f>IF(B73="","",IF(COUNTA($A$6:A73)=0,"NWL-"&amp;TEXT(COUNTA($B$6:B73),"000"),"NWL-"&amp;TEXT(ROW()-5,"000")))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28">
        <f>IF(OR(G73="",H73=""),"",IFERROR(H73/G73*100,0))</f>
        <v/>
      </c>
      <c r="N73" s="8">
        <f>IF(G73="","",IF(G73&gt;=65,"Excellente",IF(G73&gt;=55,"Bonne",IF(G73&gt;=45,"Correcte","Faible"))))</f>
        <v/>
      </c>
    </row>
    <row r="74" ht="22" customHeight="1">
      <c r="A74" s="5">
        <f>IF(B74="","",IF(COUNTA($A$6:A74)=0,"NWL-"&amp;TEXT(COUNTA($B$6:B74),"000"),"NWL-"&amp;TEXT(ROW()-5,"000")))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26">
        <f>IF(OR(G74="",H74=""),"",IFERROR(H74/G74*100,0))</f>
        <v/>
      </c>
      <c r="N74" s="5">
        <f>IF(G74="","",IF(G74&gt;=65,"Excellente",IF(G74&gt;=55,"Bonne",IF(G74&gt;=45,"Correcte","Faible"))))</f>
        <v/>
      </c>
    </row>
    <row r="75" ht="22" customHeight="1">
      <c r="A75" s="8">
        <f>IF(B75="","",IF(COUNTA($A$6:A75)=0,"NWL-"&amp;TEXT(COUNTA($B$6:B75),"000"),"NWL-"&amp;TEXT(ROW()-5,"000")))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28">
        <f>IF(OR(G75="",H75=""),"",IFERROR(H75/G75*100,0))</f>
        <v/>
      </c>
      <c r="N75" s="8">
        <f>IF(G75="","",IF(G75&gt;=65,"Excellente",IF(G75&gt;=55,"Bonne",IF(G75&gt;=45,"Correcte","Faible"))))</f>
        <v/>
      </c>
    </row>
    <row r="76" ht="22" customHeight="1">
      <c r="A76" s="5">
        <f>IF(B76="","",IF(COUNTA($A$6:A76)=0,"NWL-"&amp;TEXT(COUNTA($B$6:B76),"000"),"NWL-"&amp;TEXT(ROW()-5,"000")))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26">
        <f>IF(OR(G76="",H76=""),"",IFERROR(H76/G76*100,0))</f>
        <v/>
      </c>
      <c r="N76" s="5">
        <f>IF(G76="","",IF(G76&gt;=65,"Excellente",IF(G76&gt;=55,"Bonne",IF(G76&gt;=45,"Correcte","Faible"))))</f>
        <v/>
      </c>
    </row>
    <row r="77" ht="22" customHeight="1">
      <c r="A77" s="8">
        <f>IF(B77="","",IF(COUNTA($A$6:A77)=0,"NWL-"&amp;TEXT(COUNTA($B$6:B77),"000"),"NWL-"&amp;TEXT(ROW()-5,"000")))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28">
        <f>IF(OR(G77="",H77=""),"",IFERROR(H77/G77*100,0))</f>
        <v/>
      </c>
      <c r="N77" s="8">
        <f>IF(G77="","",IF(G77&gt;=65,"Excellente",IF(G77&gt;=55,"Bonne",IF(G77&gt;=45,"Correcte","Faible"))))</f>
        <v/>
      </c>
    </row>
    <row r="78" ht="22" customHeight="1">
      <c r="A78" s="5">
        <f>IF(B78="","",IF(COUNTA($A$6:A78)=0,"NWL-"&amp;TEXT(COUNTA($B$6:B78),"000"),"NWL-"&amp;TEXT(ROW()-5,"000")))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26">
        <f>IF(OR(G78="",H78=""),"",IFERROR(H78/G78*100,0))</f>
        <v/>
      </c>
      <c r="N78" s="5">
        <f>IF(G78="","",IF(G78&gt;=65,"Excellente",IF(G78&gt;=55,"Bonne",IF(G78&gt;=45,"Correcte","Faible"))))</f>
        <v/>
      </c>
    </row>
    <row r="79" ht="22" customHeight="1">
      <c r="A79" s="8">
        <f>IF(B79="","",IF(COUNTA($A$6:A79)=0,"NWL-"&amp;TEXT(COUNTA($B$6:B79),"000"),"NWL-"&amp;TEXT(ROW()-5,"000")))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28">
        <f>IF(OR(G79="",H79=""),"",IFERROR(H79/G79*100,0))</f>
        <v/>
      </c>
      <c r="N79" s="8">
        <f>IF(G79="","",IF(G79&gt;=65,"Excellente",IF(G79&gt;=55,"Bonne",IF(G79&gt;=45,"Correcte","Faible"))))</f>
        <v/>
      </c>
    </row>
    <row r="80" ht="22" customHeight="1">
      <c r="A80" s="5">
        <f>IF(B80="","",IF(COUNTA($A$6:A80)=0,"NWL-"&amp;TEXT(COUNTA($B$6:B80),"000"),"NWL-"&amp;TEXT(ROW()-5,"000")))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26">
        <f>IF(OR(G80="",H80=""),"",IFERROR(H80/G80*100,0))</f>
        <v/>
      </c>
      <c r="N80" s="5">
        <f>IF(G80="","",IF(G80&gt;=65,"Excellente",IF(G80&gt;=55,"Bonne",IF(G80&gt;=45,"Correcte","Faible"))))</f>
        <v/>
      </c>
    </row>
    <row r="81" ht="22" customHeight="1">
      <c r="A81" s="8">
        <f>IF(B81="","",IF(COUNTA($A$6:A81)=0,"NWL-"&amp;TEXT(COUNTA($B$6:B81),"000"),"NWL-"&amp;TEXT(ROW()-5,"000")))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28">
        <f>IF(OR(G81="",H81=""),"",IFERROR(H81/G81*100,0))</f>
        <v/>
      </c>
      <c r="N81" s="8">
        <f>IF(G81="","",IF(G81&gt;=65,"Excellente",IF(G81&gt;=55,"Bonne",IF(G81&gt;=45,"Correcte","Faible"))))</f>
        <v/>
      </c>
    </row>
    <row r="82" ht="22" customHeight="1">
      <c r="A82" s="5">
        <f>IF(B82="","",IF(COUNTA($A$6:A82)=0,"NWL-"&amp;TEXT(COUNTA($B$6:B82),"000"),"NWL-"&amp;TEXT(ROW()-5,"000")))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26">
        <f>IF(OR(G82="",H82=""),"",IFERROR(H82/G82*100,0))</f>
        <v/>
      </c>
      <c r="N82" s="5">
        <f>IF(G82="","",IF(G82&gt;=65,"Excellente",IF(G82&gt;=55,"Bonne",IF(G82&gt;=45,"Correcte","Faible"))))</f>
        <v/>
      </c>
    </row>
    <row r="83" ht="22" customHeight="1">
      <c r="A83" s="8">
        <f>IF(B83="","",IF(COUNTA($A$6:A83)=0,"NWL-"&amp;TEXT(COUNTA($B$6:B83),"000"),"NWL-"&amp;TEXT(ROW()-5,"000")))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28">
        <f>IF(OR(G83="",H83=""),"",IFERROR(H83/G83*100,0))</f>
        <v/>
      </c>
      <c r="N83" s="8">
        <f>IF(G83="","",IF(G83&gt;=65,"Excellente",IF(G83&gt;=55,"Bonne",IF(G83&gt;=45,"Correcte","Faible"))))</f>
        <v/>
      </c>
    </row>
    <row r="84" ht="22" customHeight="1">
      <c r="A84" s="5">
        <f>IF(B84="","",IF(COUNTA($A$6:A84)=0,"NWL-"&amp;TEXT(COUNTA($B$6:B84),"000"),"NWL-"&amp;TEXT(ROW()-5,"000")))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26">
        <f>IF(OR(G84="",H84=""),"",IFERROR(H84/G84*100,0))</f>
        <v/>
      </c>
      <c r="N84" s="5">
        <f>IF(G84="","",IF(G84&gt;=65,"Excellente",IF(G84&gt;=55,"Bonne",IF(G84&gt;=45,"Correcte","Faible"))))</f>
        <v/>
      </c>
    </row>
    <row r="85" ht="22" customHeight="1">
      <c r="A85" s="8">
        <f>IF(B85="","",IF(COUNTA($A$6:A85)=0,"NWL-"&amp;TEXT(COUNTA($B$6:B85),"000"),"NWL-"&amp;TEXT(ROW()-5,"000")))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28">
        <f>IF(OR(G85="",H85=""),"",IFERROR(H85/G85*100,0))</f>
        <v/>
      </c>
      <c r="N85" s="8">
        <f>IF(G85="","",IF(G85&gt;=65,"Excellente",IF(G85&gt;=55,"Bonne",IF(G85&gt;=45,"Correcte","Faible"))))</f>
        <v/>
      </c>
    </row>
    <row r="86" ht="22" customHeight="1">
      <c r="A86" s="5">
        <f>IF(B86="","",IF(COUNTA($A$6:A86)=0,"NWL-"&amp;TEXT(COUNTA($B$6:B86),"000"),"NWL-"&amp;TEXT(ROW()-5,"000")))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26">
        <f>IF(OR(G86="",H86=""),"",IFERROR(H86/G86*100,0))</f>
        <v/>
      </c>
      <c r="N86" s="5">
        <f>IF(G86="","",IF(G86&gt;=65,"Excellente",IF(G86&gt;=55,"Bonne",IF(G86&gt;=45,"Correcte","Faible"))))</f>
        <v/>
      </c>
    </row>
    <row r="87" ht="22" customHeight="1">
      <c r="A87" s="8">
        <f>IF(B87="","",IF(COUNTA($A$6:A87)=0,"NWL-"&amp;TEXT(COUNTA($B$6:B87),"000"),"NWL-"&amp;TEXT(ROW()-5,"000")))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28">
        <f>IF(OR(G87="",H87=""),"",IFERROR(H87/G87*100,0))</f>
        <v/>
      </c>
      <c r="N87" s="8">
        <f>IF(G87="","",IF(G87&gt;=65,"Excellente",IF(G87&gt;=55,"Bonne",IF(G87&gt;=45,"Correcte","Faible"))))</f>
        <v/>
      </c>
    </row>
    <row r="88" ht="22" customHeight="1">
      <c r="A88" s="5">
        <f>IF(B88="","",IF(COUNTA($A$6:A88)=0,"NWL-"&amp;TEXT(COUNTA($B$6:B88),"000"),"NWL-"&amp;TEXT(ROW()-5,"000")))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26">
        <f>IF(OR(G88="",H88=""),"",IFERROR(H88/G88*100,0))</f>
        <v/>
      </c>
      <c r="N88" s="5">
        <f>IF(G88="","",IF(G88&gt;=65,"Excellente",IF(G88&gt;=55,"Bonne",IF(G88&gt;=45,"Correcte","Faible"))))</f>
        <v/>
      </c>
    </row>
    <row r="89" ht="22" customHeight="1">
      <c r="A89" s="8">
        <f>IF(B89="","",IF(COUNTA($A$6:A89)=0,"NWL-"&amp;TEXT(COUNTA($B$6:B89),"000"),"NWL-"&amp;TEXT(ROW()-5,"000")))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28">
        <f>IF(OR(G89="",H89=""),"",IFERROR(H89/G89*100,0))</f>
        <v/>
      </c>
      <c r="N89" s="8">
        <f>IF(G89="","",IF(G89&gt;=65,"Excellente",IF(G89&gt;=55,"Bonne",IF(G89&gt;=45,"Correcte","Faible"))))</f>
        <v/>
      </c>
    </row>
    <row r="90" ht="22" customHeight="1">
      <c r="A90" s="5">
        <f>IF(B90="","",IF(COUNTA($A$6:A90)=0,"NWL-"&amp;TEXT(COUNTA($B$6:B90),"000"),"NWL-"&amp;TEXT(ROW()-5,"000")))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26">
        <f>IF(OR(G90="",H90=""),"",IFERROR(H90/G90*100,0))</f>
        <v/>
      </c>
      <c r="N90" s="5">
        <f>IF(G90="","",IF(G90&gt;=65,"Excellente",IF(G90&gt;=55,"Bonne",IF(G90&gt;=45,"Correcte","Faible"))))</f>
        <v/>
      </c>
    </row>
    <row r="91" ht="22" customHeight="1">
      <c r="A91" s="8">
        <f>IF(B91="","",IF(COUNTA($A$6:A91)=0,"NWL-"&amp;TEXT(COUNTA($B$6:B91),"000"),"NWL-"&amp;TEXT(ROW()-5,"000")))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28">
        <f>IF(OR(G91="",H91=""),"",IFERROR(H91/G91*100,0))</f>
        <v/>
      </c>
      <c r="N91" s="8">
        <f>IF(G91="","",IF(G91&gt;=65,"Excellente",IF(G91&gt;=55,"Bonne",IF(G91&gt;=45,"Correcte","Faible"))))</f>
        <v/>
      </c>
    </row>
    <row r="92" ht="22" customHeight="1">
      <c r="A92" s="5">
        <f>IF(B92="","",IF(COUNTA($A$6:A92)=0,"NWL-"&amp;TEXT(COUNTA($B$6:B92),"000"),"NWL-"&amp;TEXT(ROW()-5,"000")))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26">
        <f>IF(OR(G92="",H92=""),"",IFERROR(H92/G92*100,0))</f>
        <v/>
      </c>
      <c r="N92" s="5">
        <f>IF(G92="","",IF(G92&gt;=65,"Excellente",IF(G92&gt;=55,"Bonne",IF(G92&gt;=45,"Correcte","Faible"))))</f>
        <v/>
      </c>
    </row>
    <row r="93" ht="22" customHeight="1">
      <c r="A93" s="8">
        <f>IF(B93="","",IF(COUNTA($A$6:A93)=0,"NWL-"&amp;TEXT(COUNTA($B$6:B93),"000"),"NWL-"&amp;TEXT(ROW()-5,"000")))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28">
        <f>IF(OR(G93="",H93=""),"",IFERROR(H93/G93*100,0))</f>
        <v/>
      </c>
      <c r="N93" s="8">
        <f>IF(G93="","",IF(G93&gt;=65,"Excellente",IF(G93&gt;=55,"Bonne",IF(G93&gt;=45,"Correcte","Faible"))))</f>
        <v/>
      </c>
    </row>
    <row r="94" ht="22" customHeight="1">
      <c r="A94" s="5">
        <f>IF(B94="","",IF(COUNTA($A$6:A94)=0,"NWL-"&amp;TEXT(COUNTA($B$6:B94),"000"),"NWL-"&amp;TEXT(ROW()-5,"000")))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26">
        <f>IF(OR(G94="",H94=""),"",IFERROR(H94/G94*100,0))</f>
        <v/>
      </c>
      <c r="N94" s="5">
        <f>IF(G94="","",IF(G94&gt;=65,"Excellente",IF(G94&gt;=55,"Bonne",IF(G94&gt;=45,"Correcte","Faible"))))</f>
        <v/>
      </c>
    </row>
    <row r="95" ht="22" customHeight="1">
      <c r="A95" s="8">
        <f>IF(B95="","",IF(COUNTA($A$6:A95)=0,"NWL-"&amp;TEXT(COUNTA($B$6:B95),"000"),"NWL-"&amp;TEXT(ROW()-5,"000")))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28">
        <f>IF(OR(G95="",H95=""),"",IFERROR(H95/G95*100,0))</f>
        <v/>
      </c>
      <c r="N95" s="8">
        <f>IF(G95="","",IF(G95&gt;=65,"Excellente",IF(G95&gt;=55,"Bonne",IF(G95&gt;=45,"Correcte","Faible"))))</f>
        <v/>
      </c>
    </row>
    <row r="96" ht="22" customHeight="1">
      <c r="A96" s="5">
        <f>IF(B96="","",IF(COUNTA($A$6:A96)=0,"NWL-"&amp;TEXT(COUNTA($B$6:B96),"000"),"NWL-"&amp;TEXT(ROW()-5,"000")))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26">
        <f>IF(OR(G96="",H96=""),"",IFERROR(H96/G96*100,0))</f>
        <v/>
      </c>
      <c r="N96" s="5">
        <f>IF(G96="","",IF(G96&gt;=65,"Excellente",IF(G96&gt;=55,"Bonne",IF(G96&gt;=45,"Correcte","Faible"))))</f>
        <v/>
      </c>
    </row>
    <row r="97" ht="22" customHeight="1">
      <c r="A97" s="8">
        <f>IF(B97="","",IF(COUNTA($A$6:A97)=0,"NWL-"&amp;TEXT(COUNTA($B$6:B97),"000"),"NWL-"&amp;TEXT(ROW()-5,"000")))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28">
        <f>IF(OR(G97="",H97=""),"",IFERROR(H97/G97*100,0))</f>
        <v/>
      </c>
      <c r="N97" s="8">
        <f>IF(G97="","",IF(G97&gt;=65,"Excellente",IF(G97&gt;=55,"Bonne",IF(G97&gt;=45,"Correcte","Faible"))))</f>
        <v/>
      </c>
    </row>
    <row r="98" ht="22" customHeight="1">
      <c r="A98" s="5">
        <f>IF(B98="","",IF(COUNTA($A$6:A98)=0,"NWL-"&amp;TEXT(COUNTA($B$6:B98),"000"),"NWL-"&amp;TEXT(ROW()-5,"000")))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26">
        <f>IF(OR(G98="",H98=""),"",IFERROR(H98/G98*100,0))</f>
        <v/>
      </c>
      <c r="N98" s="5">
        <f>IF(G98="","",IF(G98&gt;=65,"Excellente",IF(G98&gt;=55,"Bonne",IF(G98&gt;=45,"Correcte","Faible"))))</f>
        <v/>
      </c>
    </row>
    <row r="99" ht="22" customHeight="1">
      <c r="A99" s="8">
        <f>IF(B99="","",IF(COUNTA($A$6:A99)=0,"NWL-"&amp;TEXT(COUNTA($B$6:B99),"000"),"NWL-"&amp;TEXT(ROW()-5,"000")))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28">
        <f>IF(OR(G99="",H99=""),"",IFERROR(H99/G99*100,0))</f>
        <v/>
      </c>
      <c r="N99" s="8">
        <f>IF(G99="","",IF(G99&gt;=65,"Excellente",IF(G99&gt;=55,"Bonne",IF(G99&gt;=45,"Correcte","Faible"))))</f>
        <v/>
      </c>
    </row>
    <row r="100" ht="22" customHeight="1">
      <c r="A100" s="5">
        <f>IF(B100="","",IF(COUNTA($A$6:A100)=0,"NWL-"&amp;TEXT(COUNTA($B$6:B100),"000"),"NWL-"&amp;TEXT(ROW()-5,"000")))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26">
        <f>IF(OR(G100="",H100=""),"",IFERROR(H100/G100*100,0))</f>
        <v/>
      </c>
      <c r="N100" s="5">
        <f>IF(G100="","",IF(G100&gt;=65,"Excellente",IF(G100&gt;=55,"Bonne",IF(G100&gt;=45,"Correcte","Faible"))))</f>
        <v/>
      </c>
    </row>
    <row r="101" ht="22" customHeight="1">
      <c r="A101" s="8">
        <f>IF(B101="","",IF(COUNTA($A$6:A101)=0,"NWL-"&amp;TEXT(COUNTA($B$6:B101),"000"),"NWL-"&amp;TEXT(ROW()-5,"000")))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28">
        <f>IF(OR(G101="",H101=""),"",IFERROR(H101/G101*100,0))</f>
        <v/>
      </c>
      <c r="N101" s="8">
        <f>IF(G101="","",IF(G101&gt;=65,"Excellente",IF(G101&gt;=55,"Bonne",IF(G101&gt;=45,"Correcte","Faible"))))</f>
        <v/>
      </c>
    </row>
    <row r="102" ht="22" customHeight="1">
      <c r="A102" s="5">
        <f>IF(B102="","",IF(COUNTA($A$6:A102)=0,"NWL-"&amp;TEXT(COUNTA($B$6:B102),"000"),"NWL-"&amp;TEXT(ROW()-5,"000")))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26">
        <f>IF(OR(G102="",H102=""),"",IFERROR(H102/G102*100,0))</f>
        <v/>
      </c>
      <c r="N102" s="5">
        <f>IF(G102="","",IF(G102&gt;=65,"Excellente",IF(G102&gt;=55,"Bonne",IF(G102&gt;=45,"Correcte","Faible"))))</f>
        <v/>
      </c>
    </row>
    <row r="103" ht="22" customHeight="1">
      <c r="A103" s="8">
        <f>IF(B103="","",IF(COUNTA($A$6:A103)=0,"NWL-"&amp;TEXT(COUNTA($B$6:B103),"000"),"NWL-"&amp;TEXT(ROW()-5,"000")))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28">
        <f>IF(OR(G103="",H103=""),"",IFERROR(H103/G103*100,0))</f>
        <v/>
      </c>
      <c r="N103" s="8">
        <f>IF(G103="","",IF(G103&gt;=65,"Excellente",IF(G103&gt;=55,"Bonne",IF(G103&gt;=45,"Correcte","Faible"))))</f>
        <v/>
      </c>
    </row>
    <row r="104" ht="22" customHeight="1">
      <c r="A104" s="5">
        <f>IF(B104="","",IF(COUNTA($A$6:A104)=0,"NWL-"&amp;TEXT(COUNTA($B$6:B104),"000"),"NWL-"&amp;TEXT(ROW()-5,"000")))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26">
        <f>IF(OR(G104="",H104=""),"",IFERROR(H104/G104*100,0))</f>
        <v/>
      </c>
      <c r="N104" s="5">
        <f>IF(G104="","",IF(G104&gt;=65,"Excellente",IF(G104&gt;=55,"Bonne",IF(G104&gt;=45,"Correcte","Faible"))))</f>
        <v/>
      </c>
    </row>
    <row r="105" ht="22" customHeight="1">
      <c r="A105" s="8">
        <f>IF(B105="","",IF(COUNTA($A$6:A105)=0,"NWL-"&amp;TEXT(COUNTA($B$6:B105),"000"),"NWL-"&amp;TEXT(ROW()-5,"000")))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28">
        <f>IF(OR(G105="",H105=""),"",IFERROR(H105/G105*100,0))</f>
        <v/>
      </c>
      <c r="N105" s="8">
        <f>IF(G105="","",IF(G105&gt;=65,"Excellente",IF(G105&gt;=55,"Bonne",IF(G105&gt;=45,"Correcte","Faible"))))</f>
        <v/>
      </c>
    </row>
    <row r="106" ht="22" customHeight="1">
      <c r="A106" s="5">
        <f>IF(B106="","",IF(COUNTA($A$6:A106)=0,"NWL-"&amp;TEXT(COUNTA($B$6:B106),"000"),"NWL-"&amp;TEXT(ROW()-5,"000")))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26">
        <f>IF(OR(G106="",H106=""),"",IFERROR(H106/G106*100,0))</f>
        <v/>
      </c>
      <c r="N106" s="5">
        <f>IF(G106="","",IF(G106&gt;=65,"Excellente",IF(G106&gt;=55,"Bonne",IF(G106&gt;=45,"Correcte","Faible"))))</f>
        <v/>
      </c>
    </row>
    <row r="107" ht="22" customHeight="1">
      <c r="A107" s="8">
        <f>IF(B107="","",IF(COUNTA($A$6:A107)=0,"NWL-"&amp;TEXT(COUNTA($B$6:B107),"000"),"NWL-"&amp;TEXT(ROW()-5,"000")))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28">
        <f>IF(OR(G107="",H107=""),"",IFERROR(H107/G107*100,0))</f>
        <v/>
      </c>
      <c r="N107" s="8">
        <f>IF(G107="","",IF(G107&gt;=65,"Excellente",IF(G107&gt;=55,"Bonne",IF(G107&gt;=45,"Correcte","Faible"))))</f>
        <v/>
      </c>
    </row>
    <row r="108" ht="22" customHeight="1">
      <c r="A108" s="5">
        <f>IF(B108="","",IF(COUNTA($A$6:A108)=0,"NWL-"&amp;TEXT(COUNTA($B$6:B108),"000"),"NWL-"&amp;TEXT(ROW()-5,"000")))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26">
        <f>IF(OR(G108="",H108=""),"",IFERROR(H108/G108*100,0))</f>
        <v/>
      </c>
      <c r="N108" s="5">
        <f>IF(G108="","",IF(G108&gt;=65,"Excellente",IF(G108&gt;=55,"Bonne",IF(G108&gt;=45,"Correcte","Faible"))))</f>
        <v/>
      </c>
    </row>
    <row r="109" ht="22" customHeight="1">
      <c r="A109" s="8">
        <f>IF(B109="","",IF(COUNTA($A$6:A109)=0,"NWL-"&amp;TEXT(COUNTA($B$6:B109),"000"),"NWL-"&amp;TEXT(ROW()-5,"000")))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28">
        <f>IF(OR(G109="",H109=""),"",IFERROR(H109/G109*100,0))</f>
        <v/>
      </c>
      <c r="N109" s="8">
        <f>IF(G109="","",IF(G109&gt;=65,"Excellente",IF(G109&gt;=55,"Bonne",IF(G109&gt;=45,"Correcte","Faible"))))</f>
        <v/>
      </c>
    </row>
    <row r="110" ht="22" customHeight="1">
      <c r="A110" s="5">
        <f>IF(B110="","",IF(COUNTA($A$6:A110)=0,"NWL-"&amp;TEXT(COUNTA($B$6:B110),"000"),"NWL-"&amp;TEXT(ROW()-5,"000")))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26">
        <f>IF(OR(G110="",H110=""),"",IFERROR(H110/G110*100,0))</f>
        <v/>
      </c>
      <c r="N110" s="5">
        <f>IF(G110="","",IF(G110&gt;=65,"Excellente",IF(G110&gt;=55,"Bonne",IF(G110&gt;=45,"Correcte","Faible"))))</f>
        <v/>
      </c>
    </row>
    <row r="111" ht="22" customHeight="1">
      <c r="A111" s="8">
        <f>IF(B111="","",IF(COUNTA($A$6:A111)=0,"NWL-"&amp;TEXT(COUNTA($B$6:B111),"000"),"NWL-"&amp;TEXT(ROW()-5,"000")))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28">
        <f>IF(OR(G111="",H111=""),"",IFERROR(H111/G111*100,0))</f>
        <v/>
      </c>
      <c r="N111" s="8">
        <f>IF(G111="","",IF(G111&gt;=65,"Excellente",IF(G111&gt;=55,"Bonne",IF(G111&gt;=45,"Correcte","Faible"))))</f>
        <v/>
      </c>
    </row>
    <row r="112" ht="22" customHeight="1">
      <c r="A112" s="5">
        <f>IF(B112="","",IF(COUNTA($A$6:A112)=0,"NWL-"&amp;TEXT(COUNTA($B$6:B112),"000"),"NWL-"&amp;TEXT(ROW()-5,"000")))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26">
        <f>IF(OR(G112="",H112=""),"",IFERROR(H112/G112*100,0))</f>
        <v/>
      </c>
      <c r="N112" s="5">
        <f>IF(G112="","",IF(G112&gt;=65,"Excellente",IF(G112&gt;=55,"Bonne",IF(G112&gt;=45,"Correcte","Faible"))))</f>
        <v/>
      </c>
    </row>
    <row r="113" ht="22" customHeight="1">
      <c r="A113" s="8">
        <f>IF(B113="","",IF(COUNTA($A$6:A113)=0,"NWL-"&amp;TEXT(COUNTA($B$6:B113),"000"),"NWL-"&amp;TEXT(ROW()-5,"000")))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28">
        <f>IF(OR(G113="",H113=""),"",IFERROR(H113/G113*100,0))</f>
        <v/>
      </c>
      <c r="N113" s="8">
        <f>IF(G113="","",IF(G113&gt;=65,"Excellente",IF(G113&gt;=55,"Bonne",IF(G113&gt;=45,"Correcte","Faible"))))</f>
        <v/>
      </c>
    </row>
    <row r="114" ht="22" customHeight="1">
      <c r="A114" s="5">
        <f>IF(B114="","",IF(COUNTA($A$6:A114)=0,"NWL-"&amp;TEXT(COUNTA($B$6:B114),"000"),"NWL-"&amp;TEXT(ROW()-5,"000")))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26">
        <f>IF(OR(G114="",H114=""),"",IFERROR(H114/G114*100,0))</f>
        <v/>
      </c>
      <c r="N114" s="5">
        <f>IF(G114="","",IF(G114&gt;=65,"Excellente",IF(G114&gt;=55,"Bonne",IF(G114&gt;=45,"Correcte","Faible"))))</f>
        <v/>
      </c>
    </row>
    <row r="115" ht="22" customHeight="1">
      <c r="A115" s="8">
        <f>IF(B115="","",IF(COUNTA($A$6:A115)=0,"NWL-"&amp;TEXT(COUNTA($B$6:B115),"000"),"NWL-"&amp;TEXT(ROW()-5,"000")))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28">
        <f>IF(OR(G115="",H115=""),"",IFERROR(H115/G115*100,0))</f>
        <v/>
      </c>
      <c r="N115" s="8">
        <f>IF(G115="","",IF(G115&gt;=65,"Excellente",IF(G115&gt;=55,"Bonne",IF(G115&gt;=45,"Correcte","Faible"))))</f>
        <v/>
      </c>
    </row>
  </sheetData>
  <mergeCells count="2">
    <mergeCell ref="A3:N3"/>
    <mergeCell ref="A2:N2"/>
  </mergeCells>
  <dataValidations count="2">
    <dataValidation sqref="D6:D115" showDropDown="0" showInputMessage="0" showErrorMessage="0" allowBlank="1" errorTitle="Erreur" error="Valeur invalide" promptTitle="" prompt="Choisir dans la liste: " type="list">
      <formula1>'F02 - _Lists'!$W$6:$W$9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_Lists'!$X$6:$X$10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40" customWidth="1" min="5" max="5"/>
    <col width="36" customWidth="1" min="6" max="6"/>
    <col width="36" customWidth="1" min="7" max="7"/>
    <col width="22" customWidth="1" min="8" max="8"/>
    <col width="16" customWidth="1" min="9" max="9"/>
    <col width="3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12-COMITÉ DE VIE SOCIALE (CVS)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Réunion</t>
        </is>
      </c>
      <c r="B5" s="4" t="inlineStr">
        <is>
          <t>Date Réunion</t>
        </is>
      </c>
      <c r="C5" s="4" t="inlineStr">
        <is>
          <t>Type Réunion</t>
        </is>
      </c>
      <c r="D5" s="4" t="inlineStr">
        <is>
          <t>Nb Participants</t>
        </is>
      </c>
      <c r="E5" s="4" t="inlineStr">
        <is>
          <t>Ordre du Jour</t>
        </is>
      </c>
      <c r="F5" s="4" t="inlineStr">
        <is>
          <t>Décisions Prises</t>
        </is>
      </c>
      <c r="G5" s="4" t="inlineStr">
        <is>
          <t>Actions à Suivre</t>
        </is>
      </c>
      <c r="H5" s="4" t="inlineStr">
        <is>
          <t>Budget Discuté (FCFA)</t>
        </is>
      </c>
      <c r="I5" s="4" t="inlineStr">
        <is>
          <t>Prochaine Réunion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>
        <f>IF(B6="","",IF(COUNTA($A$6:A6)=0,"CVS-"&amp;TEXT(COUNTA($B$6:B6),"000"),"CVS-"&amp;TEXT(ROW()-5,"000")))</f>
        <v/>
      </c>
      <c r="B6" s="23" t="n">
        <v>45677</v>
      </c>
      <c r="C6" s="5" t="inlineStr">
        <is>
          <t>Ordinaire</t>
        </is>
      </c>
      <c r="D6" s="25" t="n">
        <v>12</v>
      </c>
      <c r="E6" s="5" t="inlineStr">
        <is>
          <t>Bilan activités sociales Q4 2024, budget 2025</t>
        </is>
      </c>
      <c r="F6" s="5" t="inlineStr">
        <is>
          <t>Validation budget 2M FCFA, 4 événements Q1</t>
        </is>
      </c>
      <c r="G6" s="5" t="inlineStr">
        <is>
          <t>Programmer soirée iftar, préparer tournoi sport</t>
        </is>
      </c>
      <c r="H6" s="25" t="n">
        <v>500000</v>
      </c>
      <c r="I6" s="23" t="n">
        <v>45708</v>
      </c>
      <c r="J6" s="5" t="inlineStr">
        <is>
          <t>Quorum atteint, vote unanime</t>
        </is>
      </c>
      <c r="K6" s="5" t="inlineStr"/>
      <c r="L6" s="26">
        <f>IF(B6="","",IFERROR(H6/1000000*100,0))</f>
        <v/>
      </c>
      <c r="M6" s="30">
        <f>IF(I6="","",IFERROR(I6-B6,0))</f>
        <v/>
      </c>
      <c r="N6" s="5" t="inlineStr"/>
    </row>
    <row r="7" ht="22" customHeight="1">
      <c r="A7" s="8">
        <f>IF(B7="","",IF(COUNTA($A$6:A7)=0,"CVS-"&amp;TEXT(COUNTA($B$6:B7),"000"),"CVS-"&amp;TEXT(ROW()-5,"000")))</f>
        <v/>
      </c>
      <c r="B7" s="24" t="n">
        <v>45708</v>
      </c>
      <c r="C7" s="8" t="inlineStr">
        <is>
          <t>Extraordinaire</t>
        </is>
      </c>
      <c r="D7" s="27" t="n">
        <v>10</v>
      </c>
      <c r="E7" s="8" t="inlineStr">
        <is>
          <t>Aménagement espace repos, demande équipe cuisine</t>
        </is>
      </c>
      <c r="F7" s="8" t="inlineStr">
        <is>
          <t>Validation aménagement espace repos</t>
        </is>
      </c>
      <c r="G7" s="8" t="inlineStr">
        <is>
          <t>Demander devis travaux, prévoir inauguration mars</t>
        </is>
      </c>
      <c r="H7" s="27" t="n">
        <v>500000</v>
      </c>
      <c r="I7" s="24" t="n">
        <v>45736</v>
      </c>
      <c r="J7" s="8" t="inlineStr">
        <is>
          <t>Réunion urgente suite demande</t>
        </is>
      </c>
      <c r="K7" s="8" t="inlineStr"/>
      <c r="L7" s="28">
        <f>IF(B7="","",IFERROR(H7/1000000*100,0))</f>
        <v/>
      </c>
      <c r="M7" s="29">
        <f>IF(I7="","",IFERROR(I7-B7,0))</f>
        <v/>
      </c>
      <c r="N7" s="8" t="inlineStr"/>
    </row>
    <row r="8" ht="22" customHeight="1">
      <c r="A8" s="5">
        <f>IF(B8="","",IF(COUNTA($A$6:A8)=0,"CVS-"&amp;TEXT(COUNTA($B$6:B8),"000"),"CVS-"&amp;TEXT(ROW()-5,"000")))</f>
        <v/>
      </c>
      <c r="B8" s="23" t="n">
        <v>45736</v>
      </c>
      <c r="C8" s="5" t="inlineStr">
        <is>
          <t>Ordinaire</t>
        </is>
      </c>
      <c r="D8" s="25" t="n">
        <v>11</v>
      </c>
      <c r="E8" s="5" t="inlineStr">
        <is>
          <t>Bilan Q1, organisation fête fin d'année scolaire</t>
        </is>
      </c>
      <c r="F8" s="5" t="inlineStr">
        <is>
          <t>Validation fête scolaire, budget sorties famille</t>
        </is>
      </c>
      <c r="G8" s="5" t="inlineStr">
        <is>
          <t>Organiser sortie famille avril, réserver lieu</t>
        </is>
      </c>
      <c r="H8" s="25" t="n">
        <v>300000</v>
      </c>
      <c r="I8" s="23" t="n">
        <v>45767</v>
      </c>
      <c r="J8" s="5" t="inlineStr"/>
      <c r="K8" s="5" t="inlineStr"/>
      <c r="L8" s="26">
        <f>IF(B8="","",IFERROR(H8/1000000*100,0))</f>
        <v/>
      </c>
      <c r="M8" s="30">
        <f>IF(I8="","",IFERROR(I8-B8,0))</f>
        <v/>
      </c>
      <c r="N8" s="5" t="inlineStr"/>
    </row>
    <row r="9" ht="22" customHeight="1">
      <c r="A9" s="8">
        <f>IF(B9="","",IF(COUNTA($A$6:A9)=0,"CVS-"&amp;TEXT(COUNTA($B$6:B9),"000"),"CVS-"&amp;TEXT(ROW()-5,"000")))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28">
        <f>IF(B9="","",IFERROR(H9/1000000*100,0))</f>
        <v/>
      </c>
      <c r="M9" s="29">
        <f>IF(I9="","",IFERROR(I9-B9,0))</f>
        <v/>
      </c>
      <c r="N9" s="8" t="n"/>
    </row>
    <row r="10" ht="22" customHeight="1">
      <c r="A10" s="5">
        <f>IF(B10="","",IF(COUNTA($A$6:A10)=0,"CVS-"&amp;TEXT(COUNTA($B$6:B10),"000"),"CVS-"&amp;TEXT(ROW()-5,"000")))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26">
        <f>IF(B10="","",IFERROR(H10/1000000*100,0))</f>
        <v/>
      </c>
      <c r="M10" s="30">
        <f>IF(I10="","",IFERROR(I10-B10,0))</f>
        <v/>
      </c>
      <c r="N10" s="5" t="n"/>
    </row>
    <row r="11" ht="22" customHeight="1">
      <c r="A11" s="8">
        <f>IF(B11="","",IF(COUNTA($A$6:A11)=0,"CVS-"&amp;TEXT(COUNTA($B$6:B11),"000"),"CVS-"&amp;TEXT(ROW()-5,"000")))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28">
        <f>IF(B11="","",IFERROR(H11/1000000*100,0))</f>
        <v/>
      </c>
      <c r="M11" s="29">
        <f>IF(I11="","",IFERROR(I11-B11,0))</f>
        <v/>
      </c>
      <c r="N11" s="8" t="n"/>
    </row>
    <row r="12" ht="22" customHeight="1">
      <c r="A12" s="5">
        <f>IF(B12="","",IF(COUNTA($A$6:A12)=0,"CVS-"&amp;TEXT(COUNTA($B$6:B12),"000"),"CVS-"&amp;TEXT(ROW()-5,"000")))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26">
        <f>IF(B12="","",IFERROR(H12/1000000*100,0))</f>
        <v/>
      </c>
      <c r="M12" s="30">
        <f>IF(I12="","",IFERROR(I12-B12,0))</f>
        <v/>
      </c>
      <c r="N12" s="5" t="n"/>
    </row>
    <row r="13" ht="22" customHeight="1">
      <c r="A13" s="8">
        <f>IF(B13="","",IF(COUNTA($A$6:A13)=0,"CVS-"&amp;TEXT(COUNTA($B$6:B13),"000"),"CVS-"&amp;TEXT(ROW()-5,"000")))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28">
        <f>IF(B13="","",IFERROR(H13/1000000*100,0))</f>
        <v/>
      </c>
      <c r="M13" s="29">
        <f>IF(I13="","",IFERROR(I13-B13,0))</f>
        <v/>
      </c>
      <c r="N13" s="8" t="n"/>
    </row>
    <row r="14" ht="22" customHeight="1">
      <c r="A14" s="5">
        <f>IF(B14="","",IF(COUNTA($A$6:A14)=0,"CVS-"&amp;TEXT(COUNTA($B$6:B14),"000"),"CVS-"&amp;TEXT(ROW()-5,"000")))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26">
        <f>IF(B14="","",IFERROR(H14/1000000*100,0))</f>
        <v/>
      </c>
      <c r="M14" s="30">
        <f>IF(I14="","",IFERROR(I14-B14,0))</f>
        <v/>
      </c>
      <c r="N14" s="5" t="n"/>
    </row>
    <row r="15" ht="22" customHeight="1">
      <c r="A15" s="8">
        <f>IF(B15="","",IF(COUNTA($A$6:A15)=0,"CVS-"&amp;TEXT(COUNTA($B$6:B15),"000"),"CVS-"&amp;TEXT(ROW()-5,"000")))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28">
        <f>IF(B15="","",IFERROR(H15/1000000*100,0))</f>
        <v/>
      </c>
      <c r="M15" s="29">
        <f>IF(I15="","",IFERROR(I15-B15,0))</f>
        <v/>
      </c>
      <c r="N15" s="8" t="n"/>
    </row>
    <row r="16" ht="22" customHeight="1">
      <c r="A16" s="5">
        <f>IF(B16="","",IF(COUNTA($A$6:A16)=0,"CVS-"&amp;TEXT(COUNTA($B$6:B16),"000"),"CVS-"&amp;TEXT(ROW()-5,"000")))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26">
        <f>IF(B16="","",IFERROR(H16/1000000*100,0))</f>
        <v/>
      </c>
      <c r="M16" s="30">
        <f>IF(I16="","",IFERROR(I16-B16,0))</f>
        <v/>
      </c>
      <c r="N16" s="5" t="n"/>
    </row>
    <row r="17" ht="22" customHeight="1">
      <c r="A17" s="8">
        <f>IF(B17="","",IF(COUNTA($A$6:A17)=0,"CVS-"&amp;TEXT(COUNTA($B$6:B17),"000"),"CVS-"&amp;TEXT(ROW()-5,"000")))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28">
        <f>IF(B17="","",IFERROR(H17/1000000*100,0))</f>
        <v/>
      </c>
      <c r="M17" s="29">
        <f>IF(I17="","",IFERROR(I17-B17,0))</f>
        <v/>
      </c>
      <c r="N17" s="8" t="n"/>
    </row>
    <row r="18" ht="22" customHeight="1">
      <c r="A18" s="5">
        <f>IF(B18="","",IF(COUNTA($A$6:A18)=0,"CVS-"&amp;TEXT(COUNTA($B$6:B18),"000"),"CVS-"&amp;TEXT(ROW()-5,"000")))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26">
        <f>IF(B18="","",IFERROR(H18/1000000*100,0))</f>
        <v/>
      </c>
      <c r="M18" s="30">
        <f>IF(I18="","",IFERROR(I18-B18,0))</f>
        <v/>
      </c>
      <c r="N18" s="5" t="n"/>
    </row>
    <row r="19" ht="22" customHeight="1">
      <c r="A19" s="8">
        <f>IF(B19="","",IF(COUNTA($A$6:A19)=0,"CVS-"&amp;TEXT(COUNTA($B$6:B19),"000"),"CVS-"&amp;TEXT(ROW()-5,"000")))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28">
        <f>IF(B19="","",IFERROR(H19/1000000*100,0))</f>
        <v/>
      </c>
      <c r="M19" s="29">
        <f>IF(I19="","",IFERROR(I19-B19,0))</f>
        <v/>
      </c>
      <c r="N19" s="8" t="n"/>
    </row>
    <row r="20" ht="22" customHeight="1">
      <c r="A20" s="5">
        <f>IF(B20="","",IF(COUNTA($A$6:A20)=0,"CVS-"&amp;TEXT(COUNTA($B$6:B20),"000"),"CVS-"&amp;TEXT(ROW()-5,"000")))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26">
        <f>IF(B20="","",IFERROR(H20/1000000*100,0))</f>
        <v/>
      </c>
      <c r="M20" s="30">
        <f>IF(I20="","",IFERROR(I20-B20,0))</f>
        <v/>
      </c>
      <c r="N20" s="5" t="n"/>
    </row>
    <row r="21" ht="22" customHeight="1">
      <c r="A21" s="8">
        <f>IF(B21="","",IF(COUNTA($A$6:A21)=0,"CVS-"&amp;TEXT(COUNTA($B$6:B21),"000"),"CVS-"&amp;TEXT(ROW()-5,"000")))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28">
        <f>IF(B21="","",IFERROR(H21/1000000*100,0))</f>
        <v/>
      </c>
      <c r="M21" s="29">
        <f>IF(I21="","",IFERROR(I21-B21,0))</f>
        <v/>
      </c>
      <c r="N21" s="8" t="n"/>
    </row>
    <row r="22" ht="22" customHeight="1">
      <c r="A22" s="5">
        <f>IF(B22="","",IF(COUNTA($A$6:A22)=0,"CVS-"&amp;TEXT(COUNTA($B$6:B22),"000"),"CVS-"&amp;TEXT(ROW()-5,"000")))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26">
        <f>IF(B22="","",IFERROR(H22/1000000*100,0))</f>
        <v/>
      </c>
      <c r="M22" s="30">
        <f>IF(I22="","",IFERROR(I22-B22,0))</f>
        <v/>
      </c>
      <c r="N22" s="5" t="n"/>
    </row>
    <row r="23" ht="22" customHeight="1">
      <c r="A23" s="8">
        <f>IF(B23="","",IF(COUNTA($A$6:A23)=0,"CVS-"&amp;TEXT(COUNTA($B$6:B23),"000"),"CVS-"&amp;TEXT(ROW()-5,"000")))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28">
        <f>IF(B23="","",IFERROR(H23/1000000*100,0))</f>
        <v/>
      </c>
      <c r="M23" s="29">
        <f>IF(I23="","",IFERROR(I23-B23,0))</f>
        <v/>
      </c>
      <c r="N23" s="8" t="n"/>
    </row>
    <row r="24" ht="22" customHeight="1">
      <c r="A24" s="5">
        <f>IF(B24="","",IF(COUNTA($A$6:A24)=0,"CVS-"&amp;TEXT(COUNTA($B$6:B24),"000"),"CVS-"&amp;TEXT(ROW()-5,"000")))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26">
        <f>IF(B24="","",IFERROR(H24/1000000*100,0))</f>
        <v/>
      </c>
      <c r="M24" s="30">
        <f>IF(I24="","",IFERROR(I24-B24,0))</f>
        <v/>
      </c>
      <c r="N24" s="5" t="n"/>
    </row>
    <row r="25" ht="22" customHeight="1">
      <c r="A25" s="8">
        <f>IF(B25="","",IF(COUNTA($A$6:A25)=0,"CVS-"&amp;TEXT(COUNTA($B$6:B25),"000"),"CVS-"&amp;TEXT(ROW()-5,"000")))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28">
        <f>IF(B25="","",IFERROR(H25/1000000*100,0))</f>
        <v/>
      </c>
      <c r="M25" s="29">
        <f>IF(I25="","",IFERROR(I25-B25,0))</f>
        <v/>
      </c>
      <c r="N25" s="8" t="n"/>
    </row>
    <row r="26" ht="22" customHeight="1">
      <c r="A26" s="5">
        <f>IF(B26="","",IF(COUNTA($A$6:A26)=0,"CVS-"&amp;TEXT(COUNTA($B$6:B26),"000"),"CVS-"&amp;TEXT(ROW()-5,"000")))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26">
        <f>IF(B26="","",IFERROR(H26/1000000*100,0))</f>
        <v/>
      </c>
      <c r="M26" s="30">
        <f>IF(I26="","",IFERROR(I26-B26,0))</f>
        <v/>
      </c>
      <c r="N26" s="5" t="n"/>
    </row>
    <row r="27" ht="22" customHeight="1">
      <c r="A27" s="8">
        <f>IF(B27="","",IF(COUNTA($A$6:A27)=0,"CVS-"&amp;TEXT(COUNTA($B$6:B27),"000"),"CVS-"&amp;TEXT(ROW()-5,"000")))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28">
        <f>IF(B27="","",IFERROR(H27/1000000*100,0))</f>
        <v/>
      </c>
      <c r="M27" s="29">
        <f>IF(I27="","",IFERROR(I27-B27,0))</f>
        <v/>
      </c>
      <c r="N27" s="8" t="n"/>
    </row>
    <row r="28" ht="22" customHeight="1">
      <c r="A28" s="5">
        <f>IF(B28="","",IF(COUNTA($A$6:A28)=0,"CVS-"&amp;TEXT(COUNTA($B$6:B28),"000"),"CVS-"&amp;TEXT(ROW()-5,"000")))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26">
        <f>IF(B28="","",IFERROR(H28/1000000*100,0))</f>
        <v/>
      </c>
      <c r="M28" s="30">
        <f>IF(I28="","",IFERROR(I28-B28,0))</f>
        <v/>
      </c>
      <c r="N28" s="5" t="n"/>
    </row>
    <row r="29" ht="22" customHeight="1">
      <c r="A29" s="8">
        <f>IF(B29="","",IF(COUNTA($A$6:A29)=0,"CVS-"&amp;TEXT(COUNTA($B$6:B29),"000"),"CVS-"&amp;TEXT(ROW()-5,"000")))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28">
        <f>IF(B29="","",IFERROR(H29/1000000*100,0))</f>
        <v/>
      </c>
      <c r="M29" s="29">
        <f>IF(I29="","",IFERROR(I29-B29,0))</f>
        <v/>
      </c>
      <c r="N29" s="8" t="n"/>
    </row>
    <row r="30" ht="22" customHeight="1">
      <c r="A30" s="5">
        <f>IF(B30="","",IF(COUNTA($A$6:A30)=0,"CVS-"&amp;TEXT(COUNTA($B$6:B30),"000"),"CVS-"&amp;TEXT(ROW()-5,"000")))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26">
        <f>IF(B30="","",IFERROR(H30/1000000*100,0))</f>
        <v/>
      </c>
      <c r="M30" s="30">
        <f>IF(I30="","",IFERROR(I30-B30,0))</f>
        <v/>
      </c>
      <c r="N30" s="5" t="n"/>
    </row>
    <row r="31" ht="22" customHeight="1">
      <c r="A31" s="8">
        <f>IF(B31="","",IF(COUNTA($A$6:A31)=0,"CVS-"&amp;TEXT(COUNTA($B$6:B31),"000"),"CVS-"&amp;TEXT(ROW()-5,"000")))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28">
        <f>IF(B31="","",IFERROR(H31/1000000*100,0))</f>
        <v/>
      </c>
      <c r="M31" s="29">
        <f>IF(I31="","",IFERROR(I31-B31,0))</f>
        <v/>
      </c>
      <c r="N31" s="8" t="n"/>
    </row>
    <row r="32" ht="22" customHeight="1">
      <c r="A32" s="5">
        <f>IF(B32="","",IF(COUNTA($A$6:A32)=0,"CVS-"&amp;TEXT(COUNTA($B$6:B32),"000"),"CVS-"&amp;TEXT(ROW()-5,"000")))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26">
        <f>IF(B32="","",IFERROR(H32/1000000*100,0))</f>
        <v/>
      </c>
      <c r="M32" s="30">
        <f>IF(I32="","",IFERROR(I32-B32,0))</f>
        <v/>
      </c>
      <c r="N32" s="5" t="n"/>
    </row>
    <row r="33" ht="22" customHeight="1">
      <c r="A33" s="8">
        <f>IF(B33="","",IF(COUNTA($A$6:A33)=0,"CVS-"&amp;TEXT(COUNTA($B$6:B33),"000"),"CVS-"&amp;TEXT(ROW()-5,"000")))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28">
        <f>IF(B33="","",IFERROR(H33/1000000*100,0))</f>
        <v/>
      </c>
      <c r="M33" s="29">
        <f>IF(I33="","",IFERROR(I33-B33,0))</f>
        <v/>
      </c>
      <c r="N33" s="8" t="n"/>
    </row>
    <row r="34" ht="22" customHeight="1">
      <c r="A34" s="5">
        <f>IF(B34="","",IF(COUNTA($A$6:A34)=0,"CVS-"&amp;TEXT(COUNTA($B$6:B34),"000"),"CVS-"&amp;TEXT(ROW()-5,"000")))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26">
        <f>IF(B34="","",IFERROR(H34/1000000*100,0))</f>
        <v/>
      </c>
      <c r="M34" s="30">
        <f>IF(I34="","",IFERROR(I34-B34,0))</f>
        <v/>
      </c>
      <c r="N34" s="5" t="n"/>
    </row>
    <row r="35" ht="22" customHeight="1">
      <c r="A35" s="8">
        <f>IF(B35="","",IF(COUNTA($A$6:A35)=0,"CVS-"&amp;TEXT(COUNTA($B$6:B35),"000"),"CVS-"&amp;TEXT(ROW()-5,"000")))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28">
        <f>IF(B35="","",IFERROR(H35/1000000*100,0))</f>
        <v/>
      </c>
      <c r="M35" s="29">
        <f>IF(I35="","",IFERROR(I35-B35,0))</f>
        <v/>
      </c>
      <c r="N35" s="8" t="n"/>
    </row>
    <row r="36" ht="22" customHeight="1">
      <c r="A36" s="5">
        <f>IF(B36="","",IF(COUNTA($A$6:A36)=0,"CVS-"&amp;TEXT(COUNTA($B$6:B36),"000"),"CVS-"&amp;TEXT(ROW()-5,"000")))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26">
        <f>IF(B36="","",IFERROR(H36/1000000*100,0))</f>
        <v/>
      </c>
      <c r="M36" s="30">
        <f>IF(I36="","",IFERROR(I36-B36,0))</f>
        <v/>
      </c>
      <c r="N36" s="5" t="n"/>
    </row>
    <row r="37" ht="22" customHeight="1">
      <c r="A37" s="8">
        <f>IF(B37="","",IF(COUNTA($A$6:A37)=0,"CVS-"&amp;TEXT(COUNTA($B$6:B37),"000"),"CVS-"&amp;TEXT(ROW()-5,"000")))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28">
        <f>IF(B37="","",IFERROR(H37/1000000*100,0))</f>
        <v/>
      </c>
      <c r="M37" s="29">
        <f>IF(I37="","",IFERROR(I37-B37,0))</f>
        <v/>
      </c>
      <c r="N37" s="8" t="n"/>
    </row>
    <row r="38" ht="22" customHeight="1">
      <c r="A38" s="5">
        <f>IF(B38="","",IF(COUNTA($A$6:A38)=0,"CVS-"&amp;TEXT(COUNTA($B$6:B38),"000"),"CVS-"&amp;TEXT(ROW()-5,"000")))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26">
        <f>IF(B38="","",IFERROR(H38/1000000*100,0))</f>
        <v/>
      </c>
      <c r="M38" s="30">
        <f>IF(I38="","",IFERROR(I38-B38,0))</f>
        <v/>
      </c>
      <c r="N38" s="5" t="n"/>
    </row>
    <row r="39" ht="22" customHeight="1">
      <c r="A39" s="8">
        <f>IF(B39="","",IF(COUNTA($A$6:A39)=0,"CVS-"&amp;TEXT(COUNTA($B$6:B39),"000"),"CVS-"&amp;TEXT(ROW()-5,"000")))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28">
        <f>IF(B39="","",IFERROR(H39/1000000*100,0))</f>
        <v/>
      </c>
      <c r="M39" s="29">
        <f>IF(I39="","",IFERROR(I39-B39,0))</f>
        <v/>
      </c>
      <c r="N39" s="8" t="n"/>
    </row>
    <row r="40" ht="22" customHeight="1">
      <c r="A40" s="5">
        <f>IF(B40="","",IF(COUNTA($A$6:A40)=0,"CVS-"&amp;TEXT(COUNTA($B$6:B40),"000"),"CVS-"&amp;TEXT(ROW()-5,"000")))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26">
        <f>IF(B40="","",IFERROR(H40/1000000*100,0))</f>
        <v/>
      </c>
      <c r="M40" s="30">
        <f>IF(I40="","",IFERROR(I40-B40,0))</f>
        <v/>
      </c>
      <c r="N40" s="5" t="n"/>
    </row>
    <row r="41" ht="22" customHeight="1">
      <c r="A41" s="8">
        <f>IF(B41="","",IF(COUNTA($A$6:A41)=0,"CVS-"&amp;TEXT(COUNTA($B$6:B41),"000"),"CVS-"&amp;TEXT(ROW()-5,"000")))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28">
        <f>IF(B41="","",IFERROR(H41/1000000*100,0))</f>
        <v/>
      </c>
      <c r="M41" s="29">
        <f>IF(I41="","",IFERROR(I41-B41,0))</f>
        <v/>
      </c>
      <c r="N41" s="8" t="n"/>
    </row>
    <row r="42" ht="22" customHeight="1">
      <c r="A42" s="5">
        <f>IF(B42="","",IF(COUNTA($A$6:A42)=0,"CVS-"&amp;TEXT(COUNTA($B$6:B42),"000"),"CVS-"&amp;TEXT(ROW()-5,"000")))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26">
        <f>IF(B42="","",IFERROR(H42/1000000*100,0))</f>
        <v/>
      </c>
      <c r="M42" s="30">
        <f>IF(I42="","",IFERROR(I42-B42,0))</f>
        <v/>
      </c>
      <c r="N42" s="5" t="n"/>
    </row>
    <row r="43" ht="22" customHeight="1">
      <c r="A43" s="8">
        <f>IF(B43="","",IF(COUNTA($A$6:A43)=0,"CVS-"&amp;TEXT(COUNTA($B$6:B43),"000"),"CVS-"&amp;TEXT(ROW()-5,"000")))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28">
        <f>IF(B43="","",IFERROR(H43/1000000*100,0))</f>
        <v/>
      </c>
      <c r="M43" s="29">
        <f>IF(I43="","",IFERROR(I43-B43,0))</f>
        <v/>
      </c>
      <c r="N43" s="8" t="n"/>
    </row>
    <row r="44" ht="22" customHeight="1">
      <c r="A44" s="5">
        <f>IF(B44="","",IF(COUNTA($A$6:A44)=0,"CVS-"&amp;TEXT(COUNTA($B$6:B44),"000"),"CVS-"&amp;TEXT(ROW()-5,"000")))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26">
        <f>IF(B44="","",IFERROR(H44/1000000*100,0))</f>
        <v/>
      </c>
      <c r="M44" s="30">
        <f>IF(I44="","",IFERROR(I44-B44,0))</f>
        <v/>
      </c>
      <c r="N44" s="5" t="n"/>
    </row>
    <row r="45" ht="22" customHeight="1">
      <c r="A45" s="8">
        <f>IF(B45="","",IF(COUNTA($A$6:A45)=0,"CVS-"&amp;TEXT(COUNTA($B$6:B45),"000"),"CVS-"&amp;TEXT(ROW()-5,"000")))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28">
        <f>IF(B45="","",IFERROR(H45/1000000*100,0))</f>
        <v/>
      </c>
      <c r="M45" s="29">
        <f>IF(I45="","",IFERROR(I45-B45,0))</f>
        <v/>
      </c>
      <c r="N45" s="8" t="n"/>
    </row>
    <row r="46" ht="22" customHeight="1">
      <c r="A46" s="5">
        <f>IF(B46="","",IF(COUNTA($A$6:A46)=0,"CVS-"&amp;TEXT(COUNTA($B$6:B46),"000"),"CVS-"&amp;TEXT(ROW()-5,"000")))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26">
        <f>IF(B46="","",IFERROR(H46/1000000*100,0))</f>
        <v/>
      </c>
      <c r="M46" s="30">
        <f>IF(I46="","",IFERROR(I46-B46,0))</f>
        <v/>
      </c>
      <c r="N46" s="5" t="n"/>
    </row>
    <row r="47" ht="22" customHeight="1">
      <c r="A47" s="8">
        <f>IF(B47="","",IF(COUNTA($A$6:A47)=0,"CVS-"&amp;TEXT(COUNTA($B$6:B47),"000"),"CVS-"&amp;TEXT(ROW()-5,"000")))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28">
        <f>IF(B47="","",IFERROR(H47/1000000*100,0))</f>
        <v/>
      </c>
      <c r="M47" s="29">
        <f>IF(I47="","",IFERROR(I47-B47,0))</f>
        <v/>
      </c>
      <c r="N47" s="8" t="n"/>
    </row>
    <row r="48" ht="22" customHeight="1">
      <c r="A48" s="5">
        <f>IF(B48="","",IF(COUNTA($A$6:A48)=0,"CVS-"&amp;TEXT(COUNTA($B$6:B48),"000"),"CVS-"&amp;TEXT(ROW()-5,"000")))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26">
        <f>IF(B48="","",IFERROR(H48/1000000*100,0))</f>
        <v/>
      </c>
      <c r="M48" s="30">
        <f>IF(I48="","",IFERROR(I48-B48,0))</f>
        <v/>
      </c>
      <c r="N48" s="5" t="n"/>
    </row>
    <row r="49" ht="22" customHeight="1">
      <c r="A49" s="8">
        <f>IF(B49="","",IF(COUNTA($A$6:A49)=0,"CVS-"&amp;TEXT(COUNTA($B$6:B49),"000"),"CVS-"&amp;TEXT(ROW()-5,"000")))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28">
        <f>IF(B49="","",IFERROR(H49/1000000*100,0))</f>
        <v/>
      </c>
      <c r="M49" s="29">
        <f>IF(I49="","",IFERROR(I49-B49,0))</f>
        <v/>
      </c>
      <c r="N49" s="8" t="n"/>
    </row>
    <row r="50" ht="22" customHeight="1">
      <c r="A50" s="5">
        <f>IF(B50="","",IF(COUNTA($A$6:A50)=0,"CVS-"&amp;TEXT(COUNTA($B$6:B50),"000"),"CVS-"&amp;TEXT(ROW()-5,"000")))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26">
        <f>IF(B50="","",IFERROR(H50/1000000*100,0))</f>
        <v/>
      </c>
      <c r="M50" s="30">
        <f>IF(I50="","",IFERROR(I50-B50,0))</f>
        <v/>
      </c>
      <c r="N50" s="5" t="n"/>
    </row>
    <row r="51" ht="22" customHeight="1">
      <c r="A51" s="8">
        <f>IF(B51="","",IF(COUNTA($A$6:A51)=0,"CVS-"&amp;TEXT(COUNTA($B$6:B51),"000"),"CVS-"&amp;TEXT(ROW()-5,"000")))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28">
        <f>IF(B51="","",IFERROR(H51/1000000*100,0))</f>
        <v/>
      </c>
      <c r="M51" s="29">
        <f>IF(I51="","",IFERROR(I51-B51,0))</f>
        <v/>
      </c>
      <c r="N51" s="8" t="n"/>
    </row>
    <row r="52" ht="22" customHeight="1">
      <c r="A52" s="5">
        <f>IF(B52="","",IF(COUNTA($A$6:A52)=0,"CVS-"&amp;TEXT(COUNTA($B$6:B52),"000"),"CVS-"&amp;TEXT(ROW()-5,"000")))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26">
        <f>IF(B52="","",IFERROR(H52/1000000*100,0))</f>
        <v/>
      </c>
      <c r="M52" s="30">
        <f>IF(I52="","",IFERROR(I52-B52,0))</f>
        <v/>
      </c>
      <c r="N52" s="5" t="n"/>
    </row>
    <row r="53" ht="22" customHeight="1">
      <c r="A53" s="8">
        <f>IF(B53="","",IF(COUNTA($A$6:A53)=0,"CVS-"&amp;TEXT(COUNTA($B$6:B53),"000"),"CVS-"&amp;TEXT(ROW()-5,"000")))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28">
        <f>IF(B53="","",IFERROR(H53/1000000*100,0))</f>
        <v/>
      </c>
      <c r="M53" s="29">
        <f>IF(I53="","",IFERROR(I53-B53,0))</f>
        <v/>
      </c>
      <c r="N53" s="8" t="n"/>
    </row>
    <row r="54" ht="22" customHeight="1">
      <c r="A54" s="5">
        <f>IF(B54="","",IF(COUNTA($A$6:A54)=0,"CVS-"&amp;TEXT(COUNTA($B$6:B54),"000"),"CVS-"&amp;TEXT(ROW()-5,"000")))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26">
        <f>IF(B54="","",IFERROR(H54/1000000*100,0))</f>
        <v/>
      </c>
      <c r="M54" s="30">
        <f>IF(I54="","",IFERROR(I54-B54,0))</f>
        <v/>
      </c>
      <c r="N54" s="5" t="n"/>
    </row>
    <row r="55" ht="22" customHeight="1">
      <c r="A55" s="8">
        <f>IF(B55="","",IF(COUNTA($A$6:A55)=0,"CVS-"&amp;TEXT(COUNTA($B$6:B55),"000"),"CVS-"&amp;TEXT(ROW()-5,"000")))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28">
        <f>IF(B55="","",IFERROR(H55/1000000*100,0))</f>
        <v/>
      </c>
      <c r="M55" s="29">
        <f>IF(I55="","",IFERROR(I55-B55,0))</f>
        <v/>
      </c>
      <c r="N55" s="8" t="n"/>
    </row>
    <row r="56" ht="22" customHeight="1">
      <c r="A56" s="5">
        <f>IF(B56="","",IF(COUNTA($A$6:A56)=0,"CVS-"&amp;TEXT(COUNTA($B$6:B56),"000"),"CVS-"&amp;TEXT(ROW()-5,"000")))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26">
        <f>IF(B56="","",IFERROR(H56/1000000*100,0))</f>
        <v/>
      </c>
      <c r="M56" s="30">
        <f>IF(I56="","",IFERROR(I56-B56,0))</f>
        <v/>
      </c>
      <c r="N56" s="5" t="n"/>
    </row>
    <row r="57" ht="22" customHeight="1">
      <c r="A57" s="8">
        <f>IF(B57="","",IF(COUNTA($A$6:A57)=0,"CVS-"&amp;TEXT(COUNTA($B$6:B57),"000"),"CVS-"&amp;TEXT(ROW()-5,"000")))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28">
        <f>IF(B57="","",IFERROR(H57/1000000*100,0))</f>
        <v/>
      </c>
      <c r="M57" s="29">
        <f>IF(I57="","",IFERROR(I57-B57,0))</f>
        <v/>
      </c>
      <c r="N57" s="8" t="n"/>
    </row>
    <row r="58" ht="22" customHeight="1">
      <c r="A58" s="5">
        <f>IF(B58="","",IF(COUNTA($A$6:A58)=0,"CVS-"&amp;TEXT(COUNTA($B$6:B58),"000"),"CVS-"&amp;TEXT(ROW()-5,"000")))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26">
        <f>IF(B58="","",IFERROR(H58/1000000*100,0))</f>
        <v/>
      </c>
      <c r="M58" s="30">
        <f>IF(I58="","",IFERROR(I58-B58,0))</f>
        <v/>
      </c>
      <c r="N58" s="5" t="n"/>
    </row>
    <row r="59" ht="22" customHeight="1">
      <c r="A59" s="8">
        <f>IF(B59="","",IF(COUNTA($A$6:A59)=0,"CVS-"&amp;TEXT(COUNTA($B$6:B59),"000"),"CVS-"&amp;TEXT(ROW()-5,"000")))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28">
        <f>IF(B59="","",IFERROR(H59/1000000*100,0))</f>
        <v/>
      </c>
      <c r="M59" s="29">
        <f>IF(I59="","",IFERROR(I59-B59,0))</f>
        <v/>
      </c>
      <c r="N59" s="8" t="n"/>
    </row>
    <row r="60" ht="22" customHeight="1">
      <c r="A60" s="5">
        <f>IF(B60="","",IF(COUNTA($A$6:A60)=0,"CVS-"&amp;TEXT(COUNTA($B$6:B60),"000"),"CVS-"&amp;TEXT(ROW()-5,"000")))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26">
        <f>IF(B60="","",IFERROR(H60/1000000*100,0))</f>
        <v/>
      </c>
      <c r="M60" s="30">
        <f>IF(I60="","",IFERROR(I60-B60,0))</f>
        <v/>
      </c>
      <c r="N60" s="5" t="n"/>
    </row>
    <row r="61" ht="22" customHeight="1">
      <c r="A61" s="8">
        <f>IF(B61="","",IF(COUNTA($A$6:A61)=0,"CVS-"&amp;TEXT(COUNTA($B$6:B61),"000"),"CVS-"&amp;TEXT(ROW()-5,"000")))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28">
        <f>IF(B61="","",IFERROR(H61/1000000*100,0))</f>
        <v/>
      </c>
      <c r="M61" s="29">
        <f>IF(I61="","",IFERROR(I61-B61,0))</f>
        <v/>
      </c>
      <c r="N61" s="8" t="n"/>
    </row>
    <row r="62" ht="22" customHeight="1">
      <c r="A62" s="5">
        <f>IF(B62="","",IF(COUNTA($A$6:A62)=0,"CVS-"&amp;TEXT(COUNTA($B$6:B62),"000"),"CVS-"&amp;TEXT(ROW()-5,"000")))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26">
        <f>IF(B62="","",IFERROR(H62/1000000*100,0))</f>
        <v/>
      </c>
      <c r="M62" s="30">
        <f>IF(I62="","",IFERROR(I62-B62,0))</f>
        <v/>
      </c>
      <c r="N62" s="5" t="n"/>
    </row>
    <row r="63" ht="22" customHeight="1">
      <c r="A63" s="8">
        <f>IF(B63="","",IF(COUNTA($A$6:A63)=0,"CVS-"&amp;TEXT(COUNTA($B$6:B63),"000"),"CVS-"&amp;TEXT(ROW()-5,"000")))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28">
        <f>IF(B63="","",IFERROR(H63/1000000*100,0))</f>
        <v/>
      </c>
      <c r="M63" s="29">
        <f>IF(I63="","",IFERROR(I63-B63,0))</f>
        <v/>
      </c>
      <c r="N63" s="8" t="n"/>
    </row>
    <row r="64" ht="22" customHeight="1">
      <c r="A64" s="5">
        <f>IF(B64="","",IF(COUNTA($A$6:A64)=0,"CVS-"&amp;TEXT(COUNTA($B$6:B64),"000"),"CVS-"&amp;TEXT(ROW()-5,"000")))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26">
        <f>IF(B64="","",IFERROR(H64/1000000*100,0))</f>
        <v/>
      </c>
      <c r="M64" s="30">
        <f>IF(I64="","",IFERROR(I64-B64,0))</f>
        <v/>
      </c>
      <c r="N64" s="5" t="n"/>
    </row>
    <row r="65" ht="22" customHeight="1">
      <c r="A65" s="8">
        <f>IF(B65="","",IF(COUNTA($A$6:A65)=0,"CVS-"&amp;TEXT(COUNTA($B$6:B65),"000"),"CVS-"&amp;TEXT(ROW()-5,"000")))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28">
        <f>IF(B65="","",IFERROR(H65/1000000*100,0))</f>
        <v/>
      </c>
      <c r="M65" s="29">
        <f>IF(I65="","",IFERROR(I65-B65,0))</f>
        <v/>
      </c>
      <c r="N65" s="8" t="n"/>
    </row>
    <row r="66" ht="22" customHeight="1">
      <c r="A66" s="5">
        <f>IF(B66="","",IF(COUNTA($A$6:A66)=0,"CVS-"&amp;TEXT(COUNTA($B$6:B66),"000"),"CVS-"&amp;TEXT(ROW()-5,"000")))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26">
        <f>IF(B66="","",IFERROR(H66/1000000*100,0))</f>
        <v/>
      </c>
      <c r="M66" s="30">
        <f>IF(I66="","",IFERROR(I66-B66,0))</f>
        <v/>
      </c>
      <c r="N66" s="5" t="n"/>
    </row>
    <row r="67" ht="22" customHeight="1">
      <c r="A67" s="8">
        <f>IF(B67="","",IF(COUNTA($A$6:A67)=0,"CVS-"&amp;TEXT(COUNTA($B$6:B67),"000"),"CVS-"&amp;TEXT(ROW()-5,"000")))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28">
        <f>IF(B67="","",IFERROR(H67/1000000*100,0))</f>
        <v/>
      </c>
      <c r="M67" s="29">
        <f>IF(I67="","",IFERROR(I67-B67,0))</f>
        <v/>
      </c>
      <c r="N67" s="8" t="n"/>
    </row>
    <row r="68" ht="22" customHeight="1">
      <c r="A68" s="5">
        <f>IF(B68="","",IF(COUNTA($A$6:A68)=0,"CVS-"&amp;TEXT(COUNTA($B$6:B68),"000"),"CVS-"&amp;TEXT(ROW()-5,"000")))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26">
        <f>IF(B68="","",IFERROR(H68/1000000*100,0))</f>
        <v/>
      </c>
      <c r="M68" s="30">
        <f>IF(I68="","",IFERROR(I68-B68,0))</f>
        <v/>
      </c>
      <c r="N68" s="5" t="n"/>
    </row>
    <row r="69" ht="22" customHeight="1">
      <c r="A69" s="8">
        <f>IF(B69="","",IF(COUNTA($A$6:A69)=0,"CVS-"&amp;TEXT(COUNTA($B$6:B69),"000"),"CVS-"&amp;TEXT(ROW()-5,"000")))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28">
        <f>IF(B69="","",IFERROR(H69/1000000*100,0))</f>
        <v/>
      </c>
      <c r="M69" s="29">
        <f>IF(I69="","",IFERROR(I69-B69,0))</f>
        <v/>
      </c>
      <c r="N69" s="8" t="n"/>
    </row>
    <row r="70" ht="22" customHeight="1">
      <c r="A70" s="5">
        <f>IF(B70="","",IF(COUNTA($A$6:A70)=0,"CVS-"&amp;TEXT(COUNTA($B$6:B70),"000"),"CVS-"&amp;TEXT(ROW()-5,"000")))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26">
        <f>IF(B70="","",IFERROR(H70/1000000*100,0))</f>
        <v/>
      </c>
      <c r="M70" s="30">
        <f>IF(I70="","",IFERROR(I70-B70,0))</f>
        <v/>
      </c>
      <c r="N70" s="5" t="n"/>
    </row>
    <row r="71" ht="22" customHeight="1">
      <c r="A71" s="8">
        <f>IF(B71="","",IF(COUNTA($A$6:A71)=0,"CVS-"&amp;TEXT(COUNTA($B$6:B71),"000"),"CVS-"&amp;TEXT(ROW()-5,"000")))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28">
        <f>IF(B71="","",IFERROR(H71/1000000*100,0))</f>
        <v/>
      </c>
      <c r="M71" s="29">
        <f>IF(I71="","",IFERROR(I71-B71,0))</f>
        <v/>
      </c>
      <c r="N71" s="8" t="n"/>
    </row>
    <row r="72" ht="22" customHeight="1">
      <c r="A72" s="5">
        <f>IF(B72="","",IF(COUNTA($A$6:A72)=0,"CVS-"&amp;TEXT(COUNTA($B$6:B72),"000"),"CVS-"&amp;TEXT(ROW()-5,"000")))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26">
        <f>IF(B72="","",IFERROR(H72/1000000*100,0))</f>
        <v/>
      </c>
      <c r="M72" s="30">
        <f>IF(I72="","",IFERROR(I72-B72,0))</f>
        <v/>
      </c>
      <c r="N72" s="5" t="n"/>
    </row>
    <row r="73" ht="22" customHeight="1">
      <c r="A73" s="8">
        <f>IF(B73="","",IF(COUNTA($A$6:A73)=0,"CVS-"&amp;TEXT(COUNTA($B$6:B73),"000"),"CVS-"&amp;TEXT(ROW()-5,"000")))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28">
        <f>IF(B73="","",IFERROR(H73/1000000*100,0))</f>
        <v/>
      </c>
      <c r="M73" s="29">
        <f>IF(I73="","",IFERROR(I73-B73,0))</f>
        <v/>
      </c>
      <c r="N73" s="8" t="n"/>
    </row>
    <row r="74" ht="22" customHeight="1">
      <c r="A74" s="5">
        <f>IF(B74="","",IF(COUNTA($A$6:A74)=0,"CVS-"&amp;TEXT(COUNTA($B$6:B74),"000"),"CVS-"&amp;TEXT(ROW()-5,"000")))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26">
        <f>IF(B74="","",IFERROR(H74/1000000*100,0))</f>
        <v/>
      </c>
      <c r="M74" s="30">
        <f>IF(I74="","",IFERROR(I74-B74,0))</f>
        <v/>
      </c>
      <c r="N74" s="5" t="n"/>
    </row>
    <row r="75" ht="22" customHeight="1">
      <c r="A75" s="8">
        <f>IF(B75="","",IF(COUNTA($A$6:A75)=0,"CVS-"&amp;TEXT(COUNTA($B$6:B75),"000"),"CVS-"&amp;TEXT(ROW()-5,"000")))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28">
        <f>IF(B75="","",IFERROR(H75/1000000*100,0))</f>
        <v/>
      </c>
      <c r="M75" s="29">
        <f>IF(I75="","",IFERROR(I75-B75,0))</f>
        <v/>
      </c>
      <c r="N75" s="8" t="n"/>
    </row>
    <row r="76" ht="22" customHeight="1">
      <c r="A76" s="5">
        <f>IF(B76="","",IF(COUNTA($A$6:A76)=0,"CVS-"&amp;TEXT(COUNTA($B$6:B76),"000"),"CVS-"&amp;TEXT(ROW()-5,"000")))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26">
        <f>IF(B76="","",IFERROR(H76/1000000*100,0))</f>
        <v/>
      </c>
      <c r="M76" s="30">
        <f>IF(I76="","",IFERROR(I76-B76,0))</f>
        <v/>
      </c>
      <c r="N76" s="5" t="n"/>
    </row>
    <row r="77" ht="22" customHeight="1">
      <c r="A77" s="8">
        <f>IF(B77="","",IF(COUNTA($A$6:A77)=0,"CVS-"&amp;TEXT(COUNTA($B$6:B77),"000"),"CVS-"&amp;TEXT(ROW()-5,"000")))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28">
        <f>IF(B77="","",IFERROR(H77/1000000*100,0))</f>
        <v/>
      </c>
      <c r="M77" s="29">
        <f>IF(I77="","",IFERROR(I77-B77,0))</f>
        <v/>
      </c>
      <c r="N77" s="8" t="n"/>
    </row>
    <row r="78" ht="22" customHeight="1">
      <c r="A78" s="5">
        <f>IF(B78="","",IF(COUNTA($A$6:A78)=0,"CVS-"&amp;TEXT(COUNTA($B$6:B78),"000"),"CVS-"&amp;TEXT(ROW()-5,"000")))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26">
        <f>IF(B78="","",IFERROR(H78/1000000*100,0))</f>
        <v/>
      </c>
      <c r="M78" s="30">
        <f>IF(I78="","",IFERROR(I78-B78,0))</f>
        <v/>
      </c>
      <c r="N78" s="5" t="n"/>
    </row>
    <row r="79" ht="22" customHeight="1">
      <c r="A79" s="8">
        <f>IF(B79="","",IF(COUNTA($A$6:A79)=0,"CVS-"&amp;TEXT(COUNTA($B$6:B79),"000"),"CVS-"&amp;TEXT(ROW()-5,"000")))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28">
        <f>IF(B79="","",IFERROR(H79/1000000*100,0))</f>
        <v/>
      </c>
      <c r="M79" s="29">
        <f>IF(I79="","",IFERROR(I79-B79,0))</f>
        <v/>
      </c>
      <c r="N79" s="8" t="n"/>
    </row>
    <row r="80" ht="22" customHeight="1">
      <c r="A80" s="5">
        <f>IF(B80="","",IF(COUNTA($A$6:A80)=0,"CVS-"&amp;TEXT(COUNTA($B$6:B80),"000"),"CVS-"&amp;TEXT(ROW()-5,"000")))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26">
        <f>IF(B80="","",IFERROR(H80/1000000*100,0))</f>
        <v/>
      </c>
      <c r="M80" s="30">
        <f>IF(I80="","",IFERROR(I80-B80,0))</f>
        <v/>
      </c>
      <c r="N80" s="5" t="n"/>
    </row>
    <row r="81" ht="22" customHeight="1">
      <c r="A81" s="8">
        <f>IF(B81="","",IF(COUNTA($A$6:A81)=0,"CVS-"&amp;TEXT(COUNTA($B$6:B81),"000"),"CVS-"&amp;TEXT(ROW()-5,"000")))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28">
        <f>IF(B81="","",IFERROR(H81/1000000*100,0))</f>
        <v/>
      </c>
      <c r="M81" s="29">
        <f>IF(I81="","",IFERROR(I81-B81,0))</f>
        <v/>
      </c>
      <c r="N81" s="8" t="n"/>
    </row>
    <row r="82" ht="22" customHeight="1">
      <c r="A82" s="5">
        <f>IF(B82="","",IF(COUNTA($A$6:A82)=0,"CVS-"&amp;TEXT(COUNTA($B$6:B82),"000"),"CVS-"&amp;TEXT(ROW()-5,"000")))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26">
        <f>IF(B82="","",IFERROR(H82/1000000*100,0))</f>
        <v/>
      </c>
      <c r="M82" s="30">
        <f>IF(I82="","",IFERROR(I82-B82,0))</f>
        <v/>
      </c>
      <c r="N82" s="5" t="n"/>
    </row>
    <row r="83" ht="22" customHeight="1">
      <c r="A83" s="8">
        <f>IF(B83="","",IF(COUNTA($A$6:A83)=0,"CVS-"&amp;TEXT(COUNTA($B$6:B83),"000"),"CVS-"&amp;TEXT(ROW()-5,"000")))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28">
        <f>IF(B83="","",IFERROR(H83/1000000*100,0))</f>
        <v/>
      </c>
      <c r="M83" s="29">
        <f>IF(I83="","",IFERROR(I83-B83,0))</f>
        <v/>
      </c>
      <c r="N83" s="8" t="n"/>
    </row>
    <row r="84" ht="22" customHeight="1">
      <c r="A84" s="5">
        <f>IF(B84="","",IF(COUNTA($A$6:A84)=0,"CVS-"&amp;TEXT(COUNTA($B$6:B84),"000"),"CVS-"&amp;TEXT(ROW()-5,"000")))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26">
        <f>IF(B84="","",IFERROR(H84/1000000*100,0))</f>
        <v/>
      </c>
      <c r="M84" s="30">
        <f>IF(I84="","",IFERROR(I84-B84,0))</f>
        <v/>
      </c>
      <c r="N84" s="5" t="n"/>
    </row>
    <row r="85" ht="22" customHeight="1">
      <c r="A85" s="8">
        <f>IF(B85="","",IF(COUNTA($A$6:A85)=0,"CVS-"&amp;TEXT(COUNTA($B$6:B85),"000"),"CVS-"&amp;TEXT(ROW()-5,"000")))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28">
        <f>IF(B85="","",IFERROR(H85/1000000*100,0))</f>
        <v/>
      </c>
      <c r="M85" s="29">
        <f>IF(I85="","",IFERROR(I85-B85,0))</f>
        <v/>
      </c>
      <c r="N85" s="8" t="n"/>
    </row>
    <row r="86" ht="22" customHeight="1">
      <c r="A86" s="5">
        <f>IF(B86="","",IF(COUNTA($A$6:A86)=0,"CVS-"&amp;TEXT(COUNTA($B$6:B86),"000"),"CVS-"&amp;TEXT(ROW()-5,"000")))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26">
        <f>IF(B86="","",IFERROR(H86/1000000*100,0))</f>
        <v/>
      </c>
      <c r="M86" s="30">
        <f>IF(I86="","",IFERROR(I86-B86,0))</f>
        <v/>
      </c>
      <c r="N86" s="5" t="n"/>
    </row>
    <row r="87" ht="22" customHeight="1">
      <c r="A87" s="8">
        <f>IF(B87="","",IF(COUNTA($A$6:A87)=0,"CVS-"&amp;TEXT(COUNTA($B$6:B87),"000"),"CVS-"&amp;TEXT(ROW()-5,"000")))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28">
        <f>IF(B87="","",IFERROR(H87/1000000*100,0))</f>
        <v/>
      </c>
      <c r="M87" s="29">
        <f>IF(I87="","",IFERROR(I87-B87,0))</f>
        <v/>
      </c>
      <c r="N87" s="8" t="n"/>
    </row>
    <row r="88" ht="22" customHeight="1">
      <c r="A88" s="5">
        <f>IF(B88="","",IF(COUNTA($A$6:A88)=0,"CVS-"&amp;TEXT(COUNTA($B$6:B88),"000"),"CVS-"&amp;TEXT(ROW()-5,"000")))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26">
        <f>IF(B88="","",IFERROR(H88/1000000*100,0))</f>
        <v/>
      </c>
      <c r="M88" s="30">
        <f>IF(I88="","",IFERROR(I88-B88,0))</f>
        <v/>
      </c>
      <c r="N88" s="5" t="n"/>
    </row>
    <row r="89" ht="22" customHeight="1">
      <c r="A89" s="8">
        <f>IF(B89="","",IF(COUNTA($A$6:A89)=0,"CVS-"&amp;TEXT(COUNTA($B$6:B89),"000"),"CVS-"&amp;TEXT(ROW()-5,"000")))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28">
        <f>IF(B89="","",IFERROR(H89/1000000*100,0))</f>
        <v/>
      </c>
      <c r="M89" s="29">
        <f>IF(I89="","",IFERROR(I89-B89,0))</f>
        <v/>
      </c>
      <c r="N89" s="8" t="n"/>
    </row>
    <row r="90" ht="22" customHeight="1">
      <c r="A90" s="5">
        <f>IF(B90="","",IF(COUNTA($A$6:A90)=0,"CVS-"&amp;TEXT(COUNTA($B$6:B90),"000"),"CVS-"&amp;TEXT(ROW()-5,"000")))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26">
        <f>IF(B90="","",IFERROR(H90/1000000*100,0))</f>
        <v/>
      </c>
      <c r="M90" s="30">
        <f>IF(I90="","",IFERROR(I90-B90,0))</f>
        <v/>
      </c>
      <c r="N90" s="5" t="n"/>
    </row>
    <row r="91" ht="22" customHeight="1">
      <c r="A91" s="8">
        <f>IF(B91="","",IF(COUNTA($A$6:A91)=0,"CVS-"&amp;TEXT(COUNTA($B$6:B91),"000"),"CVS-"&amp;TEXT(ROW()-5,"000")))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28">
        <f>IF(B91="","",IFERROR(H91/1000000*100,0))</f>
        <v/>
      </c>
      <c r="M91" s="29">
        <f>IF(I91="","",IFERROR(I91-B91,0))</f>
        <v/>
      </c>
      <c r="N91" s="8" t="n"/>
    </row>
    <row r="92" ht="22" customHeight="1">
      <c r="A92" s="5">
        <f>IF(B92="","",IF(COUNTA($A$6:A92)=0,"CVS-"&amp;TEXT(COUNTA($B$6:B92),"000"),"CVS-"&amp;TEXT(ROW()-5,"000")))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26">
        <f>IF(B92="","",IFERROR(H92/1000000*100,0))</f>
        <v/>
      </c>
      <c r="M92" s="30">
        <f>IF(I92="","",IFERROR(I92-B92,0))</f>
        <v/>
      </c>
      <c r="N92" s="5" t="n"/>
    </row>
    <row r="93" ht="22" customHeight="1">
      <c r="A93" s="8">
        <f>IF(B93="","",IF(COUNTA($A$6:A93)=0,"CVS-"&amp;TEXT(COUNTA($B$6:B93),"000"),"CVS-"&amp;TEXT(ROW()-5,"000")))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28">
        <f>IF(B93="","",IFERROR(H93/1000000*100,0))</f>
        <v/>
      </c>
      <c r="M93" s="29">
        <f>IF(I93="","",IFERROR(I93-B93,0))</f>
        <v/>
      </c>
      <c r="N93" s="8" t="n"/>
    </row>
    <row r="94" ht="22" customHeight="1">
      <c r="A94" s="5">
        <f>IF(B94="","",IF(COUNTA($A$6:A94)=0,"CVS-"&amp;TEXT(COUNTA($B$6:B94),"000"),"CVS-"&amp;TEXT(ROW()-5,"000")))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26">
        <f>IF(B94="","",IFERROR(H94/1000000*100,0))</f>
        <v/>
      </c>
      <c r="M94" s="30">
        <f>IF(I94="","",IFERROR(I94-B94,0))</f>
        <v/>
      </c>
      <c r="N94" s="5" t="n"/>
    </row>
    <row r="95" ht="22" customHeight="1">
      <c r="A95" s="8">
        <f>IF(B95="","",IF(COUNTA($A$6:A95)=0,"CVS-"&amp;TEXT(COUNTA($B$6:B95),"000"),"CVS-"&amp;TEXT(ROW()-5,"000")))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28">
        <f>IF(B95="","",IFERROR(H95/1000000*100,0))</f>
        <v/>
      </c>
      <c r="M95" s="29">
        <f>IF(I95="","",IFERROR(I95-B95,0))</f>
        <v/>
      </c>
      <c r="N95" s="8" t="n"/>
    </row>
    <row r="96" ht="22" customHeight="1">
      <c r="A96" s="5">
        <f>IF(B96="","",IF(COUNTA($A$6:A96)=0,"CVS-"&amp;TEXT(COUNTA($B$6:B96),"000"),"CVS-"&amp;TEXT(ROW()-5,"000")))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26">
        <f>IF(B96="","",IFERROR(H96/1000000*100,0))</f>
        <v/>
      </c>
      <c r="M96" s="30">
        <f>IF(I96="","",IFERROR(I96-B96,0))</f>
        <v/>
      </c>
      <c r="N96" s="5" t="n"/>
    </row>
    <row r="97" ht="22" customHeight="1">
      <c r="A97" s="8">
        <f>IF(B97="","",IF(COUNTA($A$6:A97)=0,"CVS-"&amp;TEXT(COUNTA($B$6:B97),"000"),"CVS-"&amp;TEXT(ROW()-5,"000")))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28">
        <f>IF(B97="","",IFERROR(H97/1000000*100,0))</f>
        <v/>
      </c>
      <c r="M97" s="29">
        <f>IF(I97="","",IFERROR(I97-B97,0))</f>
        <v/>
      </c>
      <c r="N97" s="8" t="n"/>
    </row>
    <row r="98" ht="22" customHeight="1">
      <c r="A98" s="5">
        <f>IF(B98="","",IF(COUNTA($A$6:A98)=0,"CVS-"&amp;TEXT(COUNTA($B$6:B98),"000"),"CVS-"&amp;TEXT(ROW()-5,"000")))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26">
        <f>IF(B98="","",IFERROR(H98/1000000*100,0))</f>
        <v/>
      </c>
      <c r="M98" s="30">
        <f>IF(I98="","",IFERROR(I98-B98,0))</f>
        <v/>
      </c>
      <c r="N98" s="5" t="n"/>
    </row>
    <row r="99" ht="22" customHeight="1">
      <c r="A99" s="8">
        <f>IF(B99="","",IF(COUNTA($A$6:A99)=0,"CVS-"&amp;TEXT(COUNTA($B$6:B99),"000"),"CVS-"&amp;TEXT(ROW()-5,"000")))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28">
        <f>IF(B99="","",IFERROR(H99/1000000*100,0))</f>
        <v/>
      </c>
      <c r="M99" s="29">
        <f>IF(I99="","",IFERROR(I99-B99,0))</f>
        <v/>
      </c>
      <c r="N99" s="8" t="n"/>
    </row>
    <row r="100" ht="22" customHeight="1">
      <c r="A100" s="5">
        <f>IF(B100="","",IF(COUNTA($A$6:A100)=0,"CVS-"&amp;TEXT(COUNTA($B$6:B100),"000"),"CVS-"&amp;TEXT(ROW()-5,"000")))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26">
        <f>IF(B100="","",IFERROR(H100/1000000*100,0))</f>
        <v/>
      </c>
      <c r="M100" s="30">
        <f>IF(I100="","",IFERROR(I100-B100,0))</f>
        <v/>
      </c>
      <c r="N100" s="5" t="n"/>
    </row>
    <row r="101" ht="22" customHeight="1">
      <c r="A101" s="8">
        <f>IF(B101="","",IF(COUNTA($A$6:A101)=0,"CVS-"&amp;TEXT(COUNTA($B$6:B101),"000"),"CVS-"&amp;TEXT(ROW()-5,"000")))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28">
        <f>IF(B101="","",IFERROR(H101/1000000*100,0))</f>
        <v/>
      </c>
      <c r="M101" s="29">
        <f>IF(I101="","",IFERROR(I101-B101,0))</f>
        <v/>
      </c>
      <c r="N101" s="8" t="n"/>
    </row>
    <row r="102" ht="22" customHeight="1">
      <c r="A102" s="5">
        <f>IF(B102="","",IF(COUNTA($A$6:A102)=0,"CVS-"&amp;TEXT(COUNTA($B$6:B102),"000"),"CVS-"&amp;TEXT(ROW()-5,"000")))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26">
        <f>IF(B102="","",IFERROR(H102/1000000*100,0))</f>
        <v/>
      </c>
      <c r="M102" s="30">
        <f>IF(I102="","",IFERROR(I102-B102,0))</f>
        <v/>
      </c>
      <c r="N102" s="5" t="n"/>
    </row>
    <row r="103" ht="22" customHeight="1">
      <c r="A103" s="8">
        <f>IF(B103="","",IF(COUNTA($A$6:A103)=0,"CVS-"&amp;TEXT(COUNTA($B$6:B103),"000"),"CVS-"&amp;TEXT(ROW()-5,"000")))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28">
        <f>IF(B103="","",IFERROR(H103/1000000*100,0))</f>
        <v/>
      </c>
      <c r="M103" s="29">
        <f>IF(I103="","",IFERROR(I103-B103,0))</f>
        <v/>
      </c>
      <c r="N103" s="8" t="n"/>
    </row>
    <row r="104" ht="22" customHeight="1">
      <c r="A104" s="5">
        <f>IF(B104="","",IF(COUNTA($A$6:A104)=0,"CVS-"&amp;TEXT(COUNTA($B$6:B104),"000"),"CVS-"&amp;TEXT(ROW()-5,"000")))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26">
        <f>IF(B104="","",IFERROR(H104/1000000*100,0))</f>
        <v/>
      </c>
      <c r="M104" s="30">
        <f>IF(I104="","",IFERROR(I104-B104,0))</f>
        <v/>
      </c>
      <c r="N104" s="5" t="n"/>
    </row>
    <row r="105" ht="22" customHeight="1">
      <c r="A105" s="8">
        <f>IF(B105="","",IF(COUNTA($A$6:A105)=0,"CVS-"&amp;TEXT(COUNTA($B$6:B105),"000"),"CVS-"&amp;TEXT(ROW()-5,"000")))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28">
        <f>IF(B105="","",IFERROR(H105/1000000*100,0))</f>
        <v/>
      </c>
      <c r="M105" s="29">
        <f>IF(I105="","",IFERROR(I105-B105,0))</f>
        <v/>
      </c>
      <c r="N105" s="8" t="n"/>
    </row>
    <row r="106" ht="22" customHeight="1">
      <c r="A106" s="5">
        <f>IF(B106="","",IF(COUNTA($A$6:A106)=0,"CVS-"&amp;TEXT(COUNTA($B$6:B106),"000"),"CVS-"&amp;TEXT(ROW()-5,"000")))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26">
        <f>IF(B106="","",IFERROR(H106/1000000*100,0))</f>
        <v/>
      </c>
      <c r="M106" s="30">
        <f>IF(I106="","",IFERROR(I106-B106,0))</f>
        <v/>
      </c>
      <c r="N106" s="5" t="n"/>
    </row>
    <row r="107" ht="22" customHeight="1">
      <c r="A107" s="8">
        <f>IF(B107="","",IF(COUNTA($A$6:A107)=0,"CVS-"&amp;TEXT(COUNTA($B$6:B107),"000"),"CVS-"&amp;TEXT(ROW()-5,"000")))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28">
        <f>IF(B107="","",IFERROR(H107/1000000*100,0))</f>
        <v/>
      </c>
      <c r="M107" s="29">
        <f>IF(I107="","",IFERROR(I107-B107,0))</f>
        <v/>
      </c>
      <c r="N107" s="8" t="n"/>
    </row>
    <row r="108" ht="22" customHeight="1">
      <c r="A108" s="5">
        <f>IF(B108="","",IF(COUNTA($A$6:A108)=0,"CVS-"&amp;TEXT(COUNTA($B$6:B108),"000"),"CVS-"&amp;TEXT(ROW()-5,"000")))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26">
        <f>IF(B108="","",IFERROR(H108/1000000*100,0))</f>
        <v/>
      </c>
      <c r="M108" s="30">
        <f>IF(I108="","",IFERROR(I108-B108,0))</f>
        <v/>
      </c>
      <c r="N108" s="5" t="n"/>
    </row>
    <row r="109" ht="22" customHeight="1">
      <c r="A109" s="8">
        <f>IF(B109="","",IF(COUNTA($A$6:A109)=0,"CVS-"&amp;TEXT(COUNTA($B$6:B109),"000"),"CVS-"&amp;TEXT(ROW()-5,"000")))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28">
        <f>IF(B109="","",IFERROR(H109/1000000*100,0))</f>
        <v/>
      </c>
      <c r="M109" s="29">
        <f>IF(I109="","",IFERROR(I109-B109,0))</f>
        <v/>
      </c>
      <c r="N109" s="8" t="n"/>
    </row>
    <row r="110" ht="22" customHeight="1">
      <c r="A110" s="5">
        <f>IF(B110="","",IF(COUNTA($A$6:A110)=0,"CVS-"&amp;TEXT(COUNTA($B$6:B110),"000"),"CVS-"&amp;TEXT(ROW()-5,"000")))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26">
        <f>IF(B110="","",IFERROR(H110/1000000*100,0))</f>
        <v/>
      </c>
      <c r="M110" s="30">
        <f>IF(I110="","",IFERROR(I110-B110,0))</f>
        <v/>
      </c>
      <c r="N110" s="5" t="n"/>
    </row>
    <row r="111" ht="22" customHeight="1">
      <c r="A111" s="8">
        <f>IF(B111="","",IF(COUNTA($A$6:A111)=0,"CVS-"&amp;TEXT(COUNTA($B$6:B111),"000"),"CVS-"&amp;TEXT(ROW()-5,"000")))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28">
        <f>IF(B111="","",IFERROR(H111/1000000*100,0))</f>
        <v/>
      </c>
      <c r="M111" s="29">
        <f>IF(I111="","",IFERROR(I111-B111,0))</f>
        <v/>
      </c>
      <c r="N111" s="8" t="n"/>
    </row>
    <row r="112" ht="22" customHeight="1">
      <c r="A112" s="5">
        <f>IF(B112="","",IF(COUNTA($A$6:A112)=0,"CVS-"&amp;TEXT(COUNTA($B$6:B112),"000"),"CVS-"&amp;TEXT(ROW()-5,"000")))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26">
        <f>IF(B112="","",IFERROR(H112/1000000*100,0))</f>
        <v/>
      </c>
      <c r="M112" s="30">
        <f>IF(I112="","",IFERROR(I112-B112,0))</f>
        <v/>
      </c>
      <c r="N112" s="5" t="n"/>
    </row>
    <row r="113" ht="22" customHeight="1">
      <c r="A113" s="8">
        <f>IF(B113="","",IF(COUNTA($A$6:A113)=0,"CVS-"&amp;TEXT(COUNTA($B$6:B113),"000"),"CVS-"&amp;TEXT(ROW()-5,"000")))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28">
        <f>IF(B113="","",IFERROR(H113/1000000*100,0))</f>
        <v/>
      </c>
      <c r="M113" s="29">
        <f>IF(I113="","",IFERROR(I113-B113,0))</f>
        <v/>
      </c>
      <c r="N113" s="8" t="n"/>
    </row>
    <row r="114" ht="22" customHeight="1">
      <c r="A114" s="5">
        <f>IF(B114="","",IF(COUNTA($A$6:A114)=0,"CVS-"&amp;TEXT(COUNTA($B$6:B114),"000"),"CVS-"&amp;TEXT(ROW()-5,"000")))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26">
        <f>IF(B114="","",IFERROR(H114/1000000*100,0))</f>
        <v/>
      </c>
      <c r="M114" s="30">
        <f>IF(I114="","",IFERROR(I114-B114,0))</f>
        <v/>
      </c>
      <c r="N114" s="5" t="n"/>
    </row>
    <row r="115" ht="22" customHeight="1">
      <c r="A115" s="8">
        <f>IF(B115="","",IF(COUNTA($A$6:A115)=0,"CVS-"&amp;TEXT(COUNTA($B$6:B115),"000"),"CVS-"&amp;TEXT(ROW()-5,"000")))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28">
        <f>IF(B115="","",IFERROR(H115/1000000*100,0))</f>
        <v/>
      </c>
      <c r="M115" s="29">
        <f>IF(I115="","",IFERROR(I115-B115,0))</f>
        <v/>
      </c>
      <c r="N115" s="8" t="n"/>
    </row>
  </sheetData>
  <mergeCells count="2">
    <mergeCell ref="A3:N3"/>
    <mergeCell ref="A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4" customWidth="1" min="4" max="4"/>
    <col width="18" customWidth="1" min="5" max="5"/>
    <col width="22" customWidth="1" min="6" max="6"/>
    <col width="22" customWidth="1" min="7" max="7"/>
    <col width="18" customWidth="1" min="8" max="8"/>
    <col width="3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13-BUDGET COMMUNICATION INTERNE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Poste Budgétaire</t>
        </is>
      </c>
      <c r="B5" s="4" t="inlineStr">
        <is>
          <t>Trimestre</t>
        </is>
      </c>
      <c r="C5" s="4" t="inlineStr">
        <is>
          <t>Budget Prévu (FCFA)</t>
        </is>
      </c>
      <c r="D5" s="4" t="inlineStr">
        <is>
          <t>Dépenses Réalisées (FCFA)</t>
        </is>
      </c>
      <c r="E5" s="4" t="inlineStr">
        <is>
          <t>Engagé (FCFA)</t>
        </is>
      </c>
      <c r="F5" s="4" t="inlineStr">
        <is>
          <t>Reste à Engager (FCFA)</t>
        </is>
      </c>
      <c r="G5" s="4" t="inlineStr">
        <is>
          <t>Taux Consommation (%)</t>
        </is>
      </c>
      <c r="H5" s="4" t="inlineStr">
        <is>
          <t>Écart (FCFA)</t>
        </is>
      </c>
      <c r="I5" s="4" t="inlineStr">
        <is>
          <t>Observations</t>
        </is>
      </c>
      <c r="J5" s="4" t="inlineStr"/>
      <c r="K5" s="4" t="inlineStr"/>
      <c r="L5" s="4" t="inlineStr"/>
      <c r="M5" s="4" t="inlineStr"/>
      <c r="N5" s="4" t="inlineStr"/>
    </row>
    <row r="6" ht="22" customHeight="1">
      <c r="A6" s="5" t="inlineStr">
        <is>
          <t>Événements internes</t>
        </is>
      </c>
      <c r="B6" s="5" t="inlineStr">
        <is>
          <t>T1 2025</t>
        </is>
      </c>
      <c r="C6" s="25" t="n">
        <v>400000</v>
      </c>
      <c r="D6" s="5" t="n"/>
      <c r="E6" s="5" t="n"/>
      <c r="F6" s="30">
        <f>IF(C6="","",C6-IFERROR(D6+E6,0))</f>
        <v/>
      </c>
      <c r="G6" s="26">
        <f>IF(C6="","",IFERROR((D6+E6)/C6*100,0))</f>
        <v/>
      </c>
      <c r="H6" s="30">
        <f>IF(C6="","",C6-IFERROR(D6+E6,0))</f>
        <v/>
      </c>
      <c r="I6" s="5" t="inlineStr">
        <is>
          <t>Kick-off, tournoi, atelier cuisine</t>
        </is>
      </c>
      <c r="J6" s="5" t="inlineStr"/>
      <c r="K6" s="5" t="inlineStr"/>
      <c r="L6" s="5" t="inlineStr"/>
      <c r="M6" s="5" t="inlineStr"/>
      <c r="N6" s="5" t="inlineStr"/>
    </row>
    <row r="7" ht="22" customHeight="1">
      <c r="A7" s="8" t="inlineStr">
        <is>
          <t>Événements internes</t>
        </is>
      </c>
      <c r="B7" s="8" t="inlineStr">
        <is>
          <t>T2 2025</t>
        </is>
      </c>
      <c r="C7" s="27" t="n">
        <v>450000</v>
      </c>
      <c r="D7" s="8" t="n"/>
      <c r="E7" s="8" t="n"/>
      <c r="F7" s="29">
        <f>IF(C7="","",C7-IFERROR(D7+E7,0))</f>
        <v/>
      </c>
      <c r="G7" s="28">
        <f>IF(C7="","",IFERROR((D7+E7)/C7*100,0))</f>
        <v/>
      </c>
      <c r="H7" s="29">
        <f>IF(C7="","",C7-IFERROR(D7+E7,0))</f>
        <v/>
      </c>
      <c r="I7" s="8" t="inlineStr">
        <is>
          <t>Team building, journée bien-être</t>
        </is>
      </c>
      <c r="J7" s="8" t="inlineStr"/>
      <c r="K7" s="8" t="inlineStr"/>
      <c r="L7" s="8" t="inlineStr"/>
      <c r="M7" s="8" t="inlineStr"/>
      <c r="N7" s="8" t="inlineStr"/>
    </row>
    <row r="8" ht="22" customHeight="1">
      <c r="A8" s="5" t="inlineStr">
        <is>
          <t>Événements internes</t>
        </is>
      </c>
      <c r="B8" s="5" t="inlineStr">
        <is>
          <t>T3 2025</t>
        </is>
      </c>
      <c r="C8" s="25" t="n">
        <v>350000</v>
      </c>
      <c r="D8" s="5" t="n"/>
      <c r="E8" s="5" t="n"/>
      <c r="F8" s="30">
        <f>IF(C8="","",C8-IFERROR(D8+E8,0))</f>
        <v/>
      </c>
      <c r="G8" s="26">
        <f>IF(C8="","",IFERROR((D8+E8)/C8*100,0))</f>
        <v/>
      </c>
      <c r="H8" s="30">
        <f>IF(C8="","",C8-IFERROR(D8+E8,0))</f>
        <v/>
      </c>
      <c r="I8" s="5" t="inlineStr">
        <is>
          <t>Basse saison, événements réduits</t>
        </is>
      </c>
      <c r="J8" s="5" t="inlineStr"/>
      <c r="K8" s="5" t="inlineStr"/>
      <c r="L8" s="5" t="inlineStr"/>
      <c r="M8" s="5" t="inlineStr"/>
      <c r="N8" s="5" t="inlineStr"/>
    </row>
    <row r="9" ht="22" customHeight="1">
      <c r="A9" s="8" t="inlineStr">
        <is>
          <t>Événements internes</t>
        </is>
      </c>
      <c r="B9" s="8" t="inlineStr">
        <is>
          <t>T4 2025</t>
        </is>
      </c>
      <c r="C9" s="27" t="n">
        <v>500000</v>
      </c>
      <c r="D9" s="8" t="n"/>
      <c r="E9" s="8" t="n"/>
      <c r="F9" s="29">
        <f>IF(C9="","",C9-IFERROR(D9+E9,0))</f>
        <v/>
      </c>
      <c r="G9" s="28">
        <f>IF(C9="","",IFERROR((D9+E9)/C9*100,0))</f>
        <v/>
      </c>
      <c r="H9" s="29">
        <f>IF(C9="","",C9-IFERROR(D9+E9,0))</f>
        <v/>
      </c>
      <c r="I9" s="8" t="inlineStr">
        <is>
          <t>Fête de fin d'année</t>
        </is>
      </c>
      <c r="J9" s="8" t="inlineStr"/>
      <c r="K9" s="8" t="inlineStr"/>
      <c r="L9" s="8" t="inlineStr"/>
      <c r="M9" s="8" t="inlineStr"/>
      <c r="N9" s="8" t="inlineStr"/>
    </row>
    <row r="10" ht="22" customHeight="1">
      <c r="A10" s="5" t="inlineStr">
        <is>
          <t>Newsletter</t>
        </is>
      </c>
      <c r="B10" s="5" t="inlineStr">
        <is>
          <t>T1 2025</t>
        </is>
      </c>
      <c r="C10" s="25" t="n">
        <v>30000</v>
      </c>
      <c r="D10" s="5" t="n"/>
      <c r="E10" s="5" t="n"/>
      <c r="F10" s="30">
        <f>IF(C10="","",C10-IFERROR(D10+E10,0))</f>
        <v/>
      </c>
      <c r="G10" s="26">
        <f>IF(C10="","",IFERROR((D10+E10)/C10*100,0))</f>
        <v/>
      </c>
      <c r="H10" s="30">
        <f>IF(C10="","",C10-IFERROR(D10+E10,0))</f>
        <v/>
      </c>
      <c r="I10" s="5" t="inlineStr">
        <is>
          <t>3 numéros T1</t>
        </is>
      </c>
      <c r="J10" s="5" t="inlineStr"/>
      <c r="K10" s="5" t="inlineStr"/>
      <c r="L10" s="5" t="inlineStr"/>
      <c r="M10" s="5" t="inlineStr"/>
      <c r="N10" s="5" t="inlineStr"/>
    </row>
    <row r="11" ht="22" customHeight="1">
      <c r="A11" s="8" t="inlineStr">
        <is>
          <t>Newsletter</t>
        </is>
      </c>
      <c r="B11" s="8" t="inlineStr">
        <is>
          <t>T2 2025</t>
        </is>
      </c>
      <c r="C11" s="27" t="n">
        <v>30000</v>
      </c>
      <c r="D11" s="8" t="n"/>
      <c r="E11" s="8" t="n"/>
      <c r="F11" s="29">
        <f>IF(C11="","",C11-IFERROR(D11+E11,0))</f>
        <v/>
      </c>
      <c r="G11" s="28">
        <f>IF(C11="","",IFERROR((D11+E11)/C11*100,0))</f>
        <v/>
      </c>
      <c r="H11" s="29">
        <f>IF(C11="","",C11-IFERROR(D11+E11,0))</f>
        <v/>
      </c>
      <c r="I11" s="8" t="inlineStr">
        <is>
          <t>3 numéros T2</t>
        </is>
      </c>
      <c r="J11" s="8" t="inlineStr"/>
      <c r="K11" s="8" t="inlineStr"/>
      <c r="L11" s="8" t="inlineStr"/>
      <c r="M11" s="8" t="inlineStr"/>
      <c r="N11" s="8" t="inlineStr"/>
    </row>
    <row r="12" ht="22" customHeight="1">
      <c r="A12" s="5" t="inlineStr">
        <is>
          <t>Intranet et digital</t>
        </is>
      </c>
      <c r="B12" s="5" t="inlineStr">
        <is>
          <t>T1 2025</t>
        </is>
      </c>
      <c r="C12" s="25" t="n">
        <v>100000</v>
      </c>
      <c r="D12" s="5" t="n"/>
      <c r="E12" s="5" t="n"/>
      <c r="F12" s="30">
        <f>IF(C12="","",C12-IFERROR(D12+E12,0))</f>
        <v/>
      </c>
      <c r="G12" s="26">
        <f>IF(C12="","",IFERROR((D12+E12)/C12*100,0))</f>
        <v/>
      </c>
      <c r="H12" s="30">
        <f>IF(C12="","",C12-IFERROR(D12+E12,0))</f>
        <v/>
      </c>
      <c r="I12" s="5" t="inlineStr">
        <is>
          <t>Maintenance + tablettes digitales</t>
        </is>
      </c>
      <c r="J12" s="5" t="inlineStr"/>
      <c r="K12" s="5" t="inlineStr"/>
      <c r="L12" s="5" t="inlineStr"/>
      <c r="M12" s="5" t="inlineStr"/>
      <c r="N12" s="5" t="inlineStr"/>
    </row>
    <row r="13" ht="22" customHeight="1">
      <c r="A13" s="8" t="inlineStr">
        <is>
          <t>Intranet et digital</t>
        </is>
      </c>
      <c r="B13" s="8" t="inlineStr">
        <is>
          <t>T2 2025</t>
        </is>
      </c>
      <c r="C13" s="27" t="n">
        <v>150000</v>
      </c>
      <c r="D13" s="8" t="n"/>
      <c r="E13" s="8" t="n"/>
      <c r="F13" s="29">
        <f>IF(C13="","",C13-IFERROR(D13+E13,0))</f>
        <v/>
      </c>
      <c r="G13" s="28">
        <f>IF(C13="","",IFERROR((D13+E13)/C13*100,0))</f>
        <v/>
      </c>
      <c r="H13" s="29">
        <f>IF(C13="","",C13-IFERROR(D13+E13,0))</f>
        <v/>
      </c>
      <c r="I13" s="8" t="inlineStr">
        <is>
          <t>Refonte intranet</t>
        </is>
      </c>
      <c r="J13" s="8" t="inlineStr"/>
      <c r="K13" s="8" t="inlineStr"/>
      <c r="L13" s="8" t="inlineStr"/>
      <c r="M13" s="8" t="inlineStr"/>
      <c r="N13" s="8" t="inlineStr"/>
    </row>
    <row r="14" ht="22" customHeight="1">
      <c r="A14" s="5" t="inlineStr">
        <is>
          <t>Reconnaissance</t>
        </is>
      </c>
      <c r="B14" s="5" t="inlineStr">
        <is>
          <t>T1 2025</t>
        </is>
      </c>
      <c r="C14" s="25" t="n">
        <v>150000</v>
      </c>
      <c r="D14" s="5" t="n"/>
      <c r="E14" s="5" t="n"/>
      <c r="F14" s="30">
        <f>IF(C14="","",C14-IFERROR(D14+E14,0))</f>
        <v/>
      </c>
      <c r="G14" s="26">
        <f>IF(C14="","",IFERROR((D14+E14)/C14*100,0))</f>
        <v/>
      </c>
      <c r="H14" s="30">
        <f>IF(C14="","",C14-IFERROR(D14+E14,0))</f>
        <v/>
      </c>
      <c r="I14" s="5" t="inlineStr">
        <is>
          <t>Prix mensuel + cadeaux</t>
        </is>
      </c>
      <c r="J14" s="5" t="inlineStr"/>
      <c r="K14" s="5" t="inlineStr"/>
      <c r="L14" s="5" t="inlineStr"/>
      <c r="M14" s="5" t="inlineStr"/>
      <c r="N14" s="5" t="inlineStr"/>
    </row>
    <row r="15" ht="22" customHeight="1">
      <c r="A15" s="8" t="inlineStr">
        <is>
          <t>Reconnaissance</t>
        </is>
      </c>
      <c r="B15" s="8" t="inlineStr">
        <is>
          <t>T2 2025</t>
        </is>
      </c>
      <c r="C15" s="27" t="n">
        <v>150000</v>
      </c>
      <c r="D15" s="8" t="n"/>
      <c r="E15" s="8" t="n"/>
      <c r="F15" s="29">
        <f>IF(C15="","",C15-IFERROR(D15+E15,0))</f>
        <v/>
      </c>
      <c r="G15" s="28">
        <f>IF(C15="","",IFERROR((D15+E15)/C15*100,0))</f>
        <v/>
      </c>
      <c r="H15" s="29">
        <f>IF(C15="","",C15-IFERROR(D15+E15,0))</f>
        <v/>
      </c>
      <c r="I15" s="8" t="inlineStr">
        <is>
          <t>Programme recon. continué</t>
        </is>
      </c>
      <c r="J15" s="8" t="inlineStr"/>
      <c r="K15" s="8" t="inlineStr"/>
      <c r="L15" s="8" t="inlineStr"/>
      <c r="M15" s="8" t="inlineStr"/>
      <c r="N15" s="8" t="inlineStr"/>
    </row>
    <row r="16" ht="22" customHeight="1">
      <c r="A16" s="5" t="inlineStr">
        <is>
          <t>Formation communication</t>
        </is>
      </c>
      <c r="B16" s="5" t="inlineStr">
        <is>
          <t>T1 2025</t>
        </is>
      </c>
      <c r="C16" s="25" t="n">
        <v>80000</v>
      </c>
      <c r="D16" s="5" t="n"/>
      <c r="E16" s="5" t="n"/>
      <c r="F16" s="30">
        <f>IF(C16="","",C16-IFERROR(D16+E16,0))</f>
        <v/>
      </c>
      <c r="G16" s="26">
        <f>IF(C16="","",IFERROR((D16+E16)/C16*100,0))</f>
        <v/>
      </c>
      <c r="H16" s="30">
        <f>IF(C16="","",C16-IFERROR(D16+E16,0))</f>
        <v/>
      </c>
      <c r="I16" s="5" t="inlineStr">
        <is>
          <t>Formation management</t>
        </is>
      </c>
      <c r="J16" s="5" t="inlineStr"/>
      <c r="K16" s="5" t="inlineStr"/>
      <c r="L16" s="5" t="inlineStr"/>
      <c r="M16" s="5" t="inlineStr"/>
      <c r="N16" s="5" t="inlineStr"/>
    </row>
    <row r="17" ht="22" customHeight="1">
      <c r="A17" s="8" t="inlineStr">
        <is>
          <t>Divers et imprévus</t>
        </is>
      </c>
      <c r="B17" s="8" t="inlineStr">
        <is>
          <t>T1 2025</t>
        </is>
      </c>
      <c r="C17" s="27" t="n">
        <v>50000</v>
      </c>
      <c r="D17" s="8" t="n"/>
      <c r="E17" s="8" t="n"/>
      <c r="F17" s="29">
        <f>IF(C17="","",C17-IFERROR(D17+E17,0))</f>
        <v/>
      </c>
      <c r="G17" s="28">
        <f>IF(C17="","",IFERROR((D17+E17)/C17*100,0))</f>
        <v/>
      </c>
      <c r="H17" s="29">
        <f>IF(C17="","",C17-IFERROR(D17+E17,0))</f>
        <v/>
      </c>
      <c r="I17" s="8" t="inlineStr">
        <is>
          <t>Marge de sécurité</t>
        </is>
      </c>
      <c r="J17" s="8" t="inlineStr"/>
      <c r="K17" s="8" t="inlineStr"/>
      <c r="L17" s="8" t="inlineStr"/>
      <c r="M17" s="8" t="inlineStr"/>
      <c r="N17" s="8" t="inlineStr"/>
    </row>
    <row r="18" ht="22" customHeight="1">
      <c r="A18" s="5" t="n"/>
      <c r="B18" s="5" t="n"/>
      <c r="C18" s="5" t="n"/>
      <c r="D18" s="5" t="n"/>
      <c r="E18" s="5" t="n"/>
      <c r="F18" s="30">
        <f>IF(C18="","",C18-IFERROR(D18+E18,0))</f>
        <v/>
      </c>
      <c r="G18" s="26">
        <f>IF(C18="","",IFERROR((D18+E18)/C18*100,0))</f>
        <v/>
      </c>
      <c r="H18" s="30">
        <f>IF(C18="","",C18-IFERROR(D18+E18,0))</f>
        <v/>
      </c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29">
        <f>IF(C19="","",C19-IFERROR(D19+E19,0))</f>
        <v/>
      </c>
      <c r="G19" s="28">
        <f>IF(C19="","",IFERROR((D19+E19)/C19*100,0))</f>
        <v/>
      </c>
      <c r="H19" s="29">
        <f>IF(C19="","",C19-IFERROR(D19+E19,0))</f>
        <v/>
      </c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30">
        <f>IF(C20="","",C20-IFERROR(D20+E20,0))</f>
        <v/>
      </c>
      <c r="G20" s="26">
        <f>IF(C20="","",IFERROR((D20+E20)/C20*100,0))</f>
        <v/>
      </c>
      <c r="H20" s="30">
        <f>IF(C20="","",C20-IFERROR(D20+E20,0))</f>
        <v/>
      </c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29">
        <f>IF(C21="","",C21-IFERROR(D21+E21,0))</f>
        <v/>
      </c>
      <c r="G21" s="28">
        <f>IF(C21="","",IFERROR((D21+E21)/C21*100,0))</f>
        <v/>
      </c>
      <c r="H21" s="29">
        <f>IF(C21="","",C21-IFERROR(D21+E21,0))</f>
        <v/>
      </c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30">
        <f>IF(C22="","",C22-IFERROR(D22+E22,0))</f>
        <v/>
      </c>
      <c r="G22" s="26">
        <f>IF(C22="","",IFERROR((D22+E22)/C22*100,0))</f>
        <v/>
      </c>
      <c r="H22" s="30">
        <f>IF(C22="","",C22-IFERROR(D22+E22,0))</f>
        <v/>
      </c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29">
        <f>IF(C23="","",C23-IFERROR(D23+E23,0))</f>
        <v/>
      </c>
      <c r="G23" s="28">
        <f>IF(C23="","",IFERROR((D23+E23)/C23*100,0))</f>
        <v/>
      </c>
      <c r="H23" s="29">
        <f>IF(C23="","",C23-IFERROR(D23+E23,0))</f>
        <v/>
      </c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30">
        <f>IF(C24="","",C24-IFERROR(D24+E24,0))</f>
        <v/>
      </c>
      <c r="G24" s="26">
        <f>IF(C24="","",IFERROR((D24+E24)/C24*100,0))</f>
        <v/>
      </c>
      <c r="H24" s="30">
        <f>IF(C24="","",C24-IFERROR(D24+E24,0))</f>
        <v/>
      </c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29">
        <f>IF(C25="","",C25-IFERROR(D25+E25,0))</f>
        <v/>
      </c>
      <c r="G25" s="28">
        <f>IF(C25="","",IFERROR((D25+E25)/C25*100,0))</f>
        <v/>
      </c>
      <c r="H25" s="29">
        <f>IF(C25="","",C25-IFERROR(D25+E25,0))</f>
        <v/>
      </c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30">
        <f>IF(C26="","",C26-IFERROR(D26+E26,0))</f>
        <v/>
      </c>
      <c r="G26" s="26">
        <f>IF(C26="","",IFERROR((D26+E26)/C26*100,0))</f>
        <v/>
      </c>
      <c r="H26" s="30">
        <f>IF(C26="","",C26-IFERROR(D26+E26,0))</f>
        <v/>
      </c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29">
        <f>IF(C27="","",C27-IFERROR(D27+E27,0))</f>
        <v/>
      </c>
      <c r="G27" s="28">
        <f>IF(C27="","",IFERROR((D27+E27)/C27*100,0))</f>
        <v/>
      </c>
      <c r="H27" s="29">
        <f>IF(C27="","",C27-IFERROR(D27+E27,0))</f>
        <v/>
      </c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30">
        <f>IF(C28="","",C28-IFERROR(D28+E28,0))</f>
        <v/>
      </c>
      <c r="G28" s="26">
        <f>IF(C28="","",IFERROR((D28+E28)/C28*100,0))</f>
        <v/>
      </c>
      <c r="H28" s="30">
        <f>IF(C28="","",C28-IFERROR(D28+E28,0))</f>
        <v/>
      </c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29">
        <f>IF(C29="","",C29-IFERROR(D29+E29,0))</f>
        <v/>
      </c>
      <c r="G29" s="28">
        <f>IF(C29="","",IFERROR((D29+E29)/C29*100,0))</f>
        <v/>
      </c>
      <c r="H29" s="29">
        <f>IF(C29="","",C29-IFERROR(D29+E29,0))</f>
        <v/>
      </c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30">
        <f>IF(C30="","",C30-IFERROR(D30+E30,0))</f>
        <v/>
      </c>
      <c r="G30" s="26">
        <f>IF(C30="","",IFERROR((D30+E30)/C30*100,0))</f>
        <v/>
      </c>
      <c r="H30" s="30">
        <f>IF(C30="","",C30-IFERROR(D30+E30,0))</f>
        <v/>
      </c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29">
        <f>IF(C31="","",C31-IFERROR(D31+E31,0))</f>
        <v/>
      </c>
      <c r="G31" s="28">
        <f>IF(C31="","",IFERROR((D31+E31)/C31*100,0))</f>
        <v/>
      </c>
      <c r="H31" s="29">
        <f>IF(C31="","",C31-IFERROR(D31+E31,0))</f>
        <v/>
      </c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30">
        <f>IF(C32="","",C32-IFERROR(D32+E32,0))</f>
        <v/>
      </c>
      <c r="G32" s="26">
        <f>IF(C32="","",IFERROR((D32+E32)/C32*100,0))</f>
        <v/>
      </c>
      <c r="H32" s="30">
        <f>IF(C32="","",C32-IFERROR(D32+E32,0))</f>
        <v/>
      </c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29">
        <f>IF(C33="","",C33-IFERROR(D33+E33,0))</f>
        <v/>
      </c>
      <c r="G33" s="28">
        <f>IF(C33="","",IFERROR((D33+E33)/C33*100,0))</f>
        <v/>
      </c>
      <c r="H33" s="29">
        <f>IF(C33="","",C33-IFERROR(D33+E33,0))</f>
        <v/>
      </c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30">
        <f>IF(C34="","",C34-IFERROR(D34+E34,0))</f>
        <v/>
      </c>
      <c r="G34" s="26">
        <f>IF(C34="","",IFERROR((D34+E34)/C34*100,0))</f>
        <v/>
      </c>
      <c r="H34" s="30">
        <f>IF(C34="","",C34-IFERROR(D34+E34,0))</f>
        <v/>
      </c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29">
        <f>IF(C35="","",C35-IFERROR(D35+E35,0))</f>
        <v/>
      </c>
      <c r="G35" s="28">
        <f>IF(C35="","",IFERROR((D35+E35)/C35*100,0))</f>
        <v/>
      </c>
      <c r="H35" s="29">
        <f>IF(C35="","",C35-IFERROR(D35+E35,0))</f>
        <v/>
      </c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30">
        <f>IF(C36="","",C36-IFERROR(D36+E36,0))</f>
        <v/>
      </c>
      <c r="G36" s="26">
        <f>IF(C36="","",IFERROR((D36+E36)/C36*100,0))</f>
        <v/>
      </c>
      <c r="H36" s="30">
        <f>IF(C36="","",C36-IFERROR(D36+E36,0))</f>
        <v/>
      </c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29">
        <f>IF(C37="","",C37-IFERROR(D37+E37,0))</f>
        <v/>
      </c>
      <c r="G37" s="28">
        <f>IF(C37="","",IFERROR((D37+E37)/C37*100,0))</f>
        <v/>
      </c>
      <c r="H37" s="29">
        <f>IF(C37="","",C37-IFERROR(D37+E37,0))</f>
        <v/>
      </c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30">
        <f>IF(C38="","",C38-IFERROR(D38+E38,0))</f>
        <v/>
      </c>
      <c r="G38" s="26">
        <f>IF(C38="","",IFERROR((D38+E38)/C38*100,0))</f>
        <v/>
      </c>
      <c r="H38" s="30">
        <f>IF(C38="","",C38-IFERROR(D38+E38,0))</f>
        <v/>
      </c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29">
        <f>IF(C39="","",C39-IFERROR(D39+E39,0))</f>
        <v/>
      </c>
      <c r="G39" s="28">
        <f>IF(C39="","",IFERROR((D39+E39)/C39*100,0))</f>
        <v/>
      </c>
      <c r="H39" s="29">
        <f>IF(C39="","",C39-IFERROR(D39+E39,0))</f>
        <v/>
      </c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30">
        <f>IF(C40="","",C40-IFERROR(D40+E40,0))</f>
        <v/>
      </c>
      <c r="G40" s="26">
        <f>IF(C40="","",IFERROR((D40+E40)/C40*100,0))</f>
        <v/>
      </c>
      <c r="H40" s="30">
        <f>IF(C40="","",C40-IFERROR(D40+E40,0))</f>
        <v/>
      </c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29">
        <f>IF(C41="","",C41-IFERROR(D41+E41,0))</f>
        <v/>
      </c>
      <c r="G41" s="28">
        <f>IF(C41="","",IFERROR((D41+E41)/C41*100,0))</f>
        <v/>
      </c>
      <c r="H41" s="29">
        <f>IF(C41="","",C41-IFERROR(D41+E41,0))</f>
        <v/>
      </c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30">
        <f>IF(C42="","",C42-IFERROR(D42+E42,0))</f>
        <v/>
      </c>
      <c r="G42" s="26">
        <f>IF(C42="","",IFERROR((D42+E42)/C42*100,0))</f>
        <v/>
      </c>
      <c r="H42" s="30">
        <f>IF(C42="","",C42-IFERROR(D42+E42,0))</f>
        <v/>
      </c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29">
        <f>IF(C43="","",C43-IFERROR(D43+E43,0))</f>
        <v/>
      </c>
      <c r="G43" s="28">
        <f>IF(C43="","",IFERROR((D43+E43)/C43*100,0))</f>
        <v/>
      </c>
      <c r="H43" s="29">
        <f>IF(C43="","",C43-IFERROR(D43+E43,0))</f>
        <v/>
      </c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30">
        <f>IF(C44="","",C44-IFERROR(D44+E44,0))</f>
        <v/>
      </c>
      <c r="G44" s="26">
        <f>IF(C44="","",IFERROR((D44+E44)/C44*100,0))</f>
        <v/>
      </c>
      <c r="H44" s="30">
        <f>IF(C44="","",C44-IFERROR(D44+E44,0))</f>
        <v/>
      </c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29">
        <f>IF(C45="","",C45-IFERROR(D45+E45,0))</f>
        <v/>
      </c>
      <c r="G45" s="28">
        <f>IF(C45="","",IFERROR((D45+E45)/C45*100,0))</f>
        <v/>
      </c>
      <c r="H45" s="29">
        <f>IF(C45="","",C45-IFERROR(D45+E45,0))</f>
        <v/>
      </c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30">
        <f>IF(C46="","",C46-IFERROR(D46+E46,0))</f>
        <v/>
      </c>
      <c r="G46" s="26">
        <f>IF(C46="","",IFERROR((D46+E46)/C46*100,0))</f>
        <v/>
      </c>
      <c r="H46" s="30">
        <f>IF(C46="","",C46-IFERROR(D46+E46,0))</f>
        <v/>
      </c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29">
        <f>IF(C47="","",C47-IFERROR(D47+E47,0))</f>
        <v/>
      </c>
      <c r="G47" s="28">
        <f>IF(C47="","",IFERROR((D47+E47)/C47*100,0))</f>
        <v/>
      </c>
      <c r="H47" s="29">
        <f>IF(C47="","",C47-IFERROR(D47+E47,0))</f>
        <v/>
      </c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30">
        <f>IF(C48="","",C48-IFERROR(D48+E48,0))</f>
        <v/>
      </c>
      <c r="G48" s="26">
        <f>IF(C48="","",IFERROR((D48+E48)/C48*100,0))</f>
        <v/>
      </c>
      <c r="H48" s="30">
        <f>IF(C48="","",C48-IFERROR(D48+E48,0))</f>
        <v/>
      </c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29">
        <f>IF(C49="","",C49-IFERROR(D49+E49,0))</f>
        <v/>
      </c>
      <c r="G49" s="28">
        <f>IF(C49="","",IFERROR((D49+E49)/C49*100,0))</f>
        <v/>
      </c>
      <c r="H49" s="29">
        <f>IF(C49="","",C49-IFERROR(D49+E49,0))</f>
        <v/>
      </c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30">
        <f>IF(C50="","",C50-IFERROR(D50+E50,0))</f>
        <v/>
      </c>
      <c r="G50" s="26">
        <f>IF(C50="","",IFERROR((D50+E50)/C50*100,0))</f>
        <v/>
      </c>
      <c r="H50" s="30">
        <f>IF(C50="","",C50-IFERROR(D50+E50,0))</f>
        <v/>
      </c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29">
        <f>IF(C51="","",C51-IFERROR(D51+E51,0))</f>
        <v/>
      </c>
      <c r="G51" s="28">
        <f>IF(C51="","",IFERROR((D51+E51)/C51*100,0))</f>
        <v/>
      </c>
      <c r="H51" s="29">
        <f>IF(C51="","",C51-IFERROR(D51+E51,0))</f>
        <v/>
      </c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30">
        <f>IF(C52="","",C52-IFERROR(D52+E52,0))</f>
        <v/>
      </c>
      <c r="G52" s="26">
        <f>IF(C52="","",IFERROR((D52+E52)/C52*100,0))</f>
        <v/>
      </c>
      <c r="H52" s="30">
        <f>IF(C52="","",C52-IFERROR(D52+E52,0))</f>
        <v/>
      </c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29">
        <f>IF(C53="","",C53-IFERROR(D53+E53,0))</f>
        <v/>
      </c>
      <c r="G53" s="28">
        <f>IF(C53="","",IFERROR((D53+E53)/C53*100,0))</f>
        <v/>
      </c>
      <c r="H53" s="29">
        <f>IF(C53="","",C53-IFERROR(D53+E53,0))</f>
        <v/>
      </c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30">
        <f>IF(C54="","",C54-IFERROR(D54+E54,0))</f>
        <v/>
      </c>
      <c r="G54" s="26">
        <f>IF(C54="","",IFERROR((D54+E54)/C54*100,0))</f>
        <v/>
      </c>
      <c r="H54" s="30">
        <f>IF(C54="","",C54-IFERROR(D54+E54,0))</f>
        <v/>
      </c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29">
        <f>IF(C55="","",C55-IFERROR(D55+E55,0))</f>
        <v/>
      </c>
      <c r="G55" s="28">
        <f>IF(C55="","",IFERROR((D55+E55)/C55*100,0))</f>
        <v/>
      </c>
      <c r="H55" s="29">
        <f>IF(C55="","",C55-IFERROR(D55+E55,0))</f>
        <v/>
      </c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30">
        <f>IF(C56="","",C56-IFERROR(D56+E56,0))</f>
        <v/>
      </c>
      <c r="G56" s="26">
        <f>IF(C56="","",IFERROR((D56+E56)/C56*100,0))</f>
        <v/>
      </c>
      <c r="H56" s="30">
        <f>IF(C56="","",C56-IFERROR(D56+E56,0))</f>
        <v/>
      </c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29">
        <f>IF(C57="","",C57-IFERROR(D57+E57,0))</f>
        <v/>
      </c>
      <c r="G57" s="28">
        <f>IF(C57="","",IFERROR((D57+E57)/C57*100,0))</f>
        <v/>
      </c>
      <c r="H57" s="29">
        <f>IF(C57="","",C57-IFERROR(D57+E57,0))</f>
        <v/>
      </c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30">
        <f>IF(C58="","",C58-IFERROR(D58+E58,0))</f>
        <v/>
      </c>
      <c r="G58" s="26">
        <f>IF(C58="","",IFERROR((D58+E58)/C58*100,0))</f>
        <v/>
      </c>
      <c r="H58" s="30">
        <f>IF(C58="","",C58-IFERROR(D58+E58,0))</f>
        <v/>
      </c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29">
        <f>IF(C59="","",C59-IFERROR(D59+E59,0))</f>
        <v/>
      </c>
      <c r="G59" s="28">
        <f>IF(C59="","",IFERROR((D59+E59)/C59*100,0))</f>
        <v/>
      </c>
      <c r="H59" s="29">
        <f>IF(C59="","",C59-IFERROR(D59+E59,0))</f>
        <v/>
      </c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30">
        <f>IF(C60="","",C60-IFERROR(D60+E60,0))</f>
        <v/>
      </c>
      <c r="G60" s="26">
        <f>IF(C60="","",IFERROR((D60+E60)/C60*100,0))</f>
        <v/>
      </c>
      <c r="H60" s="30">
        <f>IF(C60="","",C60-IFERROR(D60+E60,0))</f>
        <v/>
      </c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29">
        <f>IF(C61="","",C61-IFERROR(D61+E61,0))</f>
        <v/>
      </c>
      <c r="G61" s="28">
        <f>IF(C61="","",IFERROR((D61+E61)/C61*100,0))</f>
        <v/>
      </c>
      <c r="H61" s="29">
        <f>IF(C61="","",C61-IFERROR(D61+E61,0))</f>
        <v/>
      </c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30">
        <f>IF(C62="","",C62-IFERROR(D62+E62,0))</f>
        <v/>
      </c>
      <c r="G62" s="26">
        <f>IF(C62="","",IFERROR((D62+E62)/C62*100,0))</f>
        <v/>
      </c>
      <c r="H62" s="30">
        <f>IF(C62="","",C62-IFERROR(D62+E62,0))</f>
        <v/>
      </c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29">
        <f>IF(C63="","",C63-IFERROR(D63+E63,0))</f>
        <v/>
      </c>
      <c r="G63" s="28">
        <f>IF(C63="","",IFERROR((D63+E63)/C63*100,0))</f>
        <v/>
      </c>
      <c r="H63" s="29">
        <f>IF(C63="","",C63-IFERROR(D63+E63,0))</f>
        <v/>
      </c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30">
        <f>IF(C64="","",C64-IFERROR(D64+E64,0))</f>
        <v/>
      </c>
      <c r="G64" s="26">
        <f>IF(C64="","",IFERROR((D64+E64)/C64*100,0))</f>
        <v/>
      </c>
      <c r="H64" s="30">
        <f>IF(C64="","",C64-IFERROR(D64+E64,0))</f>
        <v/>
      </c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29">
        <f>IF(C65="","",C65-IFERROR(D65+E65,0))</f>
        <v/>
      </c>
      <c r="G65" s="28">
        <f>IF(C65="","",IFERROR((D65+E65)/C65*100,0))</f>
        <v/>
      </c>
      <c r="H65" s="29">
        <f>IF(C65="","",C65-IFERROR(D65+E65,0))</f>
        <v/>
      </c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30">
        <f>IF(C66="","",C66-IFERROR(D66+E66,0))</f>
        <v/>
      </c>
      <c r="G66" s="26">
        <f>IF(C66="","",IFERROR((D66+E66)/C66*100,0))</f>
        <v/>
      </c>
      <c r="H66" s="30">
        <f>IF(C66="","",C66-IFERROR(D66+E66,0))</f>
        <v/>
      </c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29">
        <f>IF(C67="","",C67-IFERROR(D67+E67,0))</f>
        <v/>
      </c>
      <c r="G67" s="28">
        <f>IF(C67="","",IFERROR((D67+E67)/C67*100,0))</f>
        <v/>
      </c>
      <c r="H67" s="29">
        <f>IF(C67="","",C67-IFERROR(D67+E67,0))</f>
        <v/>
      </c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30">
        <f>IF(C68="","",C68-IFERROR(D68+E68,0))</f>
        <v/>
      </c>
      <c r="G68" s="26">
        <f>IF(C68="","",IFERROR((D68+E68)/C68*100,0))</f>
        <v/>
      </c>
      <c r="H68" s="30">
        <f>IF(C68="","",C68-IFERROR(D68+E68,0))</f>
        <v/>
      </c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29">
        <f>IF(C69="","",C69-IFERROR(D69+E69,0))</f>
        <v/>
      </c>
      <c r="G69" s="28">
        <f>IF(C69="","",IFERROR((D69+E69)/C69*100,0))</f>
        <v/>
      </c>
      <c r="H69" s="29">
        <f>IF(C69="","",C69-IFERROR(D69+E69,0))</f>
        <v/>
      </c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30">
        <f>IF(C70="","",C70-IFERROR(D70+E70,0))</f>
        <v/>
      </c>
      <c r="G70" s="26">
        <f>IF(C70="","",IFERROR((D70+E70)/C70*100,0))</f>
        <v/>
      </c>
      <c r="H70" s="30">
        <f>IF(C70="","",C70-IFERROR(D70+E70,0))</f>
        <v/>
      </c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29">
        <f>IF(C71="","",C71-IFERROR(D71+E71,0))</f>
        <v/>
      </c>
      <c r="G71" s="28">
        <f>IF(C71="","",IFERROR((D71+E71)/C71*100,0))</f>
        <v/>
      </c>
      <c r="H71" s="29">
        <f>IF(C71="","",C71-IFERROR(D71+E71,0))</f>
        <v/>
      </c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30">
        <f>IF(C72="","",C72-IFERROR(D72+E72,0))</f>
        <v/>
      </c>
      <c r="G72" s="26">
        <f>IF(C72="","",IFERROR((D72+E72)/C72*100,0))</f>
        <v/>
      </c>
      <c r="H72" s="30">
        <f>IF(C72="","",C72-IFERROR(D72+E72,0))</f>
        <v/>
      </c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29">
        <f>IF(C73="","",C73-IFERROR(D73+E73,0))</f>
        <v/>
      </c>
      <c r="G73" s="28">
        <f>IF(C73="","",IFERROR((D73+E73)/C73*100,0))</f>
        <v/>
      </c>
      <c r="H73" s="29">
        <f>IF(C73="","",C73-IFERROR(D73+E73,0))</f>
        <v/>
      </c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30">
        <f>IF(C74="","",C74-IFERROR(D74+E74,0))</f>
        <v/>
      </c>
      <c r="G74" s="26">
        <f>IF(C74="","",IFERROR((D74+E74)/C74*100,0))</f>
        <v/>
      </c>
      <c r="H74" s="30">
        <f>IF(C74="","",C74-IFERROR(D74+E74,0))</f>
        <v/>
      </c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29">
        <f>IF(C75="","",C75-IFERROR(D75+E75,0))</f>
        <v/>
      </c>
      <c r="G75" s="28">
        <f>IF(C75="","",IFERROR((D75+E75)/C75*100,0))</f>
        <v/>
      </c>
      <c r="H75" s="29">
        <f>IF(C75="","",C75-IFERROR(D75+E75,0))</f>
        <v/>
      </c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30">
        <f>IF(C76="","",C76-IFERROR(D76+E76,0))</f>
        <v/>
      </c>
      <c r="G76" s="26">
        <f>IF(C76="","",IFERROR((D76+E76)/C76*100,0))</f>
        <v/>
      </c>
      <c r="H76" s="30">
        <f>IF(C76="","",C76-IFERROR(D76+E76,0))</f>
        <v/>
      </c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29">
        <f>IF(C77="","",C77-IFERROR(D77+E77,0))</f>
        <v/>
      </c>
      <c r="G77" s="28">
        <f>IF(C77="","",IFERROR((D77+E77)/C77*100,0))</f>
        <v/>
      </c>
      <c r="H77" s="29">
        <f>IF(C77="","",C77-IFERROR(D77+E77,0))</f>
        <v/>
      </c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30">
        <f>IF(C78="","",C78-IFERROR(D78+E78,0))</f>
        <v/>
      </c>
      <c r="G78" s="26">
        <f>IF(C78="","",IFERROR((D78+E78)/C78*100,0))</f>
        <v/>
      </c>
      <c r="H78" s="30">
        <f>IF(C78="","",C78-IFERROR(D78+E78,0))</f>
        <v/>
      </c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29">
        <f>IF(C79="","",C79-IFERROR(D79+E79,0))</f>
        <v/>
      </c>
      <c r="G79" s="28">
        <f>IF(C79="","",IFERROR((D79+E79)/C79*100,0))</f>
        <v/>
      </c>
      <c r="H79" s="29">
        <f>IF(C79="","",C79-IFERROR(D79+E79,0))</f>
        <v/>
      </c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30">
        <f>IF(C80="","",C80-IFERROR(D80+E80,0))</f>
        <v/>
      </c>
      <c r="G80" s="26">
        <f>IF(C80="","",IFERROR((D80+E80)/C80*100,0))</f>
        <v/>
      </c>
      <c r="H80" s="30">
        <f>IF(C80="","",C80-IFERROR(D80+E80,0))</f>
        <v/>
      </c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29">
        <f>IF(C81="","",C81-IFERROR(D81+E81,0))</f>
        <v/>
      </c>
      <c r="G81" s="28">
        <f>IF(C81="","",IFERROR((D81+E81)/C81*100,0))</f>
        <v/>
      </c>
      <c r="H81" s="29">
        <f>IF(C81="","",C81-IFERROR(D81+E81,0))</f>
        <v/>
      </c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30">
        <f>IF(C82="","",C82-IFERROR(D82+E82,0))</f>
        <v/>
      </c>
      <c r="G82" s="26">
        <f>IF(C82="","",IFERROR((D82+E82)/C82*100,0))</f>
        <v/>
      </c>
      <c r="H82" s="30">
        <f>IF(C82="","",C82-IFERROR(D82+E82,0))</f>
        <v/>
      </c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29">
        <f>IF(C83="","",C83-IFERROR(D83+E83,0))</f>
        <v/>
      </c>
      <c r="G83" s="28">
        <f>IF(C83="","",IFERROR((D83+E83)/C83*100,0))</f>
        <v/>
      </c>
      <c r="H83" s="29">
        <f>IF(C83="","",C83-IFERROR(D83+E83,0))</f>
        <v/>
      </c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30">
        <f>IF(C84="","",C84-IFERROR(D84+E84,0))</f>
        <v/>
      </c>
      <c r="G84" s="26">
        <f>IF(C84="","",IFERROR((D84+E84)/C84*100,0))</f>
        <v/>
      </c>
      <c r="H84" s="30">
        <f>IF(C84="","",C84-IFERROR(D84+E84,0))</f>
        <v/>
      </c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29">
        <f>IF(C85="","",C85-IFERROR(D85+E85,0))</f>
        <v/>
      </c>
      <c r="G85" s="28">
        <f>IF(C85="","",IFERROR((D85+E85)/C85*100,0))</f>
        <v/>
      </c>
      <c r="H85" s="29">
        <f>IF(C85="","",C85-IFERROR(D85+E85,0))</f>
        <v/>
      </c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30">
        <f>IF(C86="","",C86-IFERROR(D86+E86,0))</f>
        <v/>
      </c>
      <c r="G86" s="26">
        <f>IF(C86="","",IFERROR((D86+E86)/C86*100,0))</f>
        <v/>
      </c>
      <c r="H86" s="30">
        <f>IF(C86="","",C86-IFERROR(D86+E86,0))</f>
        <v/>
      </c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29">
        <f>IF(C87="","",C87-IFERROR(D87+E87,0))</f>
        <v/>
      </c>
      <c r="G87" s="28">
        <f>IF(C87="","",IFERROR((D87+E87)/C87*100,0))</f>
        <v/>
      </c>
      <c r="H87" s="29">
        <f>IF(C87="","",C87-IFERROR(D87+E87,0))</f>
        <v/>
      </c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30">
        <f>IF(C88="","",C88-IFERROR(D88+E88,0))</f>
        <v/>
      </c>
      <c r="G88" s="26">
        <f>IF(C88="","",IFERROR((D88+E88)/C88*100,0))</f>
        <v/>
      </c>
      <c r="H88" s="30">
        <f>IF(C88="","",C88-IFERROR(D88+E88,0))</f>
        <v/>
      </c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29">
        <f>IF(C89="","",C89-IFERROR(D89+E89,0))</f>
        <v/>
      </c>
      <c r="G89" s="28">
        <f>IF(C89="","",IFERROR((D89+E89)/C89*100,0))</f>
        <v/>
      </c>
      <c r="H89" s="29">
        <f>IF(C89="","",C89-IFERROR(D89+E89,0))</f>
        <v/>
      </c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30">
        <f>IF(C90="","",C90-IFERROR(D90+E90,0))</f>
        <v/>
      </c>
      <c r="G90" s="26">
        <f>IF(C90="","",IFERROR((D90+E90)/C90*100,0))</f>
        <v/>
      </c>
      <c r="H90" s="30">
        <f>IF(C90="","",C90-IFERROR(D90+E90,0))</f>
        <v/>
      </c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29">
        <f>IF(C91="","",C91-IFERROR(D91+E91,0))</f>
        <v/>
      </c>
      <c r="G91" s="28">
        <f>IF(C91="","",IFERROR((D91+E91)/C91*100,0))</f>
        <v/>
      </c>
      <c r="H91" s="29">
        <f>IF(C91="","",C91-IFERROR(D91+E91,0))</f>
        <v/>
      </c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30">
        <f>IF(C92="","",C92-IFERROR(D92+E92,0))</f>
        <v/>
      </c>
      <c r="G92" s="26">
        <f>IF(C92="","",IFERROR((D92+E92)/C92*100,0))</f>
        <v/>
      </c>
      <c r="H92" s="30">
        <f>IF(C92="","",C92-IFERROR(D92+E92,0))</f>
        <v/>
      </c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29">
        <f>IF(C93="","",C93-IFERROR(D93+E93,0))</f>
        <v/>
      </c>
      <c r="G93" s="28">
        <f>IF(C93="","",IFERROR((D93+E93)/C93*100,0))</f>
        <v/>
      </c>
      <c r="H93" s="29">
        <f>IF(C93="","",C93-IFERROR(D93+E93,0))</f>
        <v/>
      </c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30">
        <f>IF(C94="","",C94-IFERROR(D94+E94,0))</f>
        <v/>
      </c>
      <c r="G94" s="26">
        <f>IF(C94="","",IFERROR((D94+E94)/C94*100,0))</f>
        <v/>
      </c>
      <c r="H94" s="30">
        <f>IF(C94="","",C94-IFERROR(D94+E94,0))</f>
        <v/>
      </c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29">
        <f>IF(C95="","",C95-IFERROR(D95+E95,0))</f>
        <v/>
      </c>
      <c r="G95" s="28">
        <f>IF(C95="","",IFERROR((D95+E95)/C95*100,0))</f>
        <v/>
      </c>
      <c r="H95" s="29">
        <f>IF(C95="","",C95-IFERROR(D95+E95,0))</f>
        <v/>
      </c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30">
        <f>IF(C96="","",C96-IFERROR(D96+E96,0))</f>
        <v/>
      </c>
      <c r="G96" s="26">
        <f>IF(C96="","",IFERROR((D96+E96)/C96*100,0))</f>
        <v/>
      </c>
      <c r="H96" s="30">
        <f>IF(C96="","",C96-IFERROR(D96+E96,0))</f>
        <v/>
      </c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29">
        <f>IF(C97="","",C97-IFERROR(D97+E97,0))</f>
        <v/>
      </c>
      <c r="G97" s="28">
        <f>IF(C97="","",IFERROR((D97+E97)/C97*100,0))</f>
        <v/>
      </c>
      <c r="H97" s="29">
        <f>IF(C97="","",C97-IFERROR(D97+E97,0))</f>
        <v/>
      </c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30">
        <f>IF(C98="","",C98-IFERROR(D98+E98,0))</f>
        <v/>
      </c>
      <c r="G98" s="26">
        <f>IF(C98="","",IFERROR((D98+E98)/C98*100,0))</f>
        <v/>
      </c>
      <c r="H98" s="30">
        <f>IF(C98="","",C98-IFERROR(D98+E98,0))</f>
        <v/>
      </c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29">
        <f>IF(C99="","",C99-IFERROR(D99+E99,0))</f>
        <v/>
      </c>
      <c r="G99" s="28">
        <f>IF(C99="","",IFERROR((D99+E99)/C99*100,0))</f>
        <v/>
      </c>
      <c r="H99" s="29">
        <f>IF(C99="","",C99-IFERROR(D99+E99,0))</f>
        <v/>
      </c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30">
        <f>IF(C100="","",C100-IFERROR(D100+E100,0))</f>
        <v/>
      </c>
      <c r="G100" s="26">
        <f>IF(C100="","",IFERROR((D100+E100)/C100*100,0))</f>
        <v/>
      </c>
      <c r="H100" s="30">
        <f>IF(C100="","",C100-IFERROR(D100+E100,0))</f>
        <v/>
      </c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29">
        <f>IF(C101="","",C101-IFERROR(D101+E101,0))</f>
        <v/>
      </c>
      <c r="G101" s="28">
        <f>IF(C101="","",IFERROR((D101+E101)/C101*100,0))</f>
        <v/>
      </c>
      <c r="H101" s="29">
        <f>IF(C101="","",C101-IFERROR(D101+E101,0))</f>
        <v/>
      </c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30">
        <f>IF(C102="","",C102-IFERROR(D102+E102,0))</f>
        <v/>
      </c>
      <c r="G102" s="26">
        <f>IF(C102="","",IFERROR((D102+E102)/C102*100,0))</f>
        <v/>
      </c>
      <c r="H102" s="30">
        <f>IF(C102="","",C102-IFERROR(D102+E102,0))</f>
        <v/>
      </c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29">
        <f>IF(C103="","",C103-IFERROR(D103+E103,0))</f>
        <v/>
      </c>
      <c r="G103" s="28">
        <f>IF(C103="","",IFERROR((D103+E103)/C103*100,0))</f>
        <v/>
      </c>
      <c r="H103" s="29">
        <f>IF(C103="","",C103-IFERROR(D103+E103,0))</f>
        <v/>
      </c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30">
        <f>IF(C104="","",C104-IFERROR(D104+E104,0))</f>
        <v/>
      </c>
      <c r="G104" s="26">
        <f>IF(C104="","",IFERROR((D104+E104)/C104*100,0))</f>
        <v/>
      </c>
      <c r="H104" s="30">
        <f>IF(C104="","",C104-IFERROR(D104+E104,0))</f>
        <v/>
      </c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29">
        <f>IF(C105="","",C105-IFERROR(D105+E105,0))</f>
        <v/>
      </c>
      <c r="G105" s="28">
        <f>IF(C105="","",IFERROR((D105+E105)/C105*100,0))</f>
        <v/>
      </c>
      <c r="H105" s="29">
        <f>IF(C105="","",C105-IFERROR(D105+E105,0))</f>
        <v/>
      </c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30">
        <f>IF(C106="","",C106-IFERROR(D106+E106,0))</f>
        <v/>
      </c>
      <c r="G106" s="26">
        <f>IF(C106="","",IFERROR((D106+E106)/C106*100,0))</f>
        <v/>
      </c>
      <c r="H106" s="30">
        <f>IF(C106="","",C106-IFERROR(D106+E106,0))</f>
        <v/>
      </c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29">
        <f>IF(C107="","",C107-IFERROR(D107+E107,0))</f>
        <v/>
      </c>
      <c r="G107" s="28">
        <f>IF(C107="","",IFERROR((D107+E107)/C107*100,0))</f>
        <v/>
      </c>
      <c r="H107" s="29">
        <f>IF(C107="","",C107-IFERROR(D107+E107,0))</f>
        <v/>
      </c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30">
        <f>IF(C108="","",C108-IFERROR(D108+E108,0))</f>
        <v/>
      </c>
      <c r="G108" s="26">
        <f>IF(C108="","",IFERROR((D108+E108)/C108*100,0))</f>
        <v/>
      </c>
      <c r="H108" s="30">
        <f>IF(C108="","",C108-IFERROR(D108+E108,0))</f>
        <v/>
      </c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29">
        <f>IF(C109="","",C109-IFERROR(D109+E109,0))</f>
        <v/>
      </c>
      <c r="G109" s="28">
        <f>IF(C109="","",IFERROR((D109+E109)/C109*100,0))</f>
        <v/>
      </c>
      <c r="H109" s="29">
        <f>IF(C109="","",C109-IFERROR(D109+E109,0))</f>
        <v/>
      </c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30">
        <f>IF(C110="","",C110-IFERROR(D110+E110,0))</f>
        <v/>
      </c>
      <c r="G110" s="26">
        <f>IF(C110="","",IFERROR((D110+E110)/C110*100,0))</f>
        <v/>
      </c>
      <c r="H110" s="30">
        <f>IF(C110="","",C110-IFERROR(D110+E110,0))</f>
        <v/>
      </c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29">
        <f>IF(C111="","",C111-IFERROR(D111+E111,0))</f>
        <v/>
      </c>
      <c r="G111" s="28">
        <f>IF(C111="","",IFERROR((D111+E111)/C111*100,0))</f>
        <v/>
      </c>
      <c r="H111" s="29">
        <f>IF(C111="","",C111-IFERROR(D111+E111,0))</f>
        <v/>
      </c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30">
        <f>IF(C112="","",C112-IFERROR(D112+E112,0))</f>
        <v/>
      </c>
      <c r="G112" s="26">
        <f>IF(C112="","",IFERROR((D112+E112)/C112*100,0))</f>
        <v/>
      </c>
      <c r="H112" s="30">
        <f>IF(C112="","",C112-IFERROR(D112+E112,0))</f>
        <v/>
      </c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29">
        <f>IF(C113="","",C113-IFERROR(D113+E113,0))</f>
        <v/>
      </c>
      <c r="G113" s="28">
        <f>IF(C113="","",IFERROR((D113+E113)/C113*100,0))</f>
        <v/>
      </c>
      <c r="H113" s="29">
        <f>IF(C113="","",C113-IFERROR(D113+E113,0))</f>
        <v/>
      </c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30">
        <f>IF(C114="","",C114-IFERROR(D114+E114,0))</f>
        <v/>
      </c>
      <c r="G114" s="26">
        <f>IF(C114="","",IFERROR((D114+E114)/C114*100,0))</f>
        <v/>
      </c>
      <c r="H114" s="30">
        <f>IF(C114="","",C114-IFERROR(D114+E114,0))</f>
        <v/>
      </c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29">
        <f>IF(C115="","",C115-IFERROR(D115+E115,0))</f>
        <v/>
      </c>
      <c r="G115" s="28">
        <f>IF(C115="","",IFERROR((D115+E115)/C115*100,0))</f>
        <v/>
      </c>
      <c r="H115" s="29">
        <f>IF(C115="","",C115-IFERROR(D115+E115,0))</f>
        <v/>
      </c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H6:H115">
    <cfRule type="cellIs" priority="1" operator="lessThan" dxfId="0">
      <formula>0</formula>
    </cfRule>
    <cfRule type="cellIs" priority="2" operator="greaterThanOrEqual" dxfId="2">
      <formula>0</formula>
    </cfRule>
  </conditionalFormatting>
  <dataValidations count="1">
    <dataValidation sqref="B6:B115" showDropDown="0" showInputMessage="0" showErrorMessage="0" allowBlank="1" errorTitle="Erreur" error="Valeur invalide" promptTitle="" prompt="Choisir dans la liste: " type="list">
      <formula1>'F02 - _Lists'!$Q$6:$Q$9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N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8" customHeight="1"/>
    <row r="2" ht="30" customHeight="1">
      <c r="A2" s="1" t="inlineStr">
        <is>
          <t>14-MATRICE ENGAGEMENT × DÉPARTEMENTS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Département</t>
        </is>
      </c>
      <c r="B5" s="4" t="inlineStr">
        <is>
          <t>Moy. Année</t>
        </is>
      </c>
      <c r="C5" s="4" t="inlineStr">
        <is>
          <t>Janv.</t>
        </is>
      </c>
      <c r="D5" s="4" t="inlineStr">
        <is>
          <t>Fév.</t>
        </is>
      </c>
      <c r="E5" s="4" t="inlineStr">
        <is>
          <t>Mars</t>
        </is>
      </c>
      <c r="F5" s="4" t="inlineStr">
        <is>
          <t>Avr.</t>
        </is>
      </c>
      <c r="G5" s="4" t="inlineStr">
        <is>
          <t>Mai</t>
        </is>
      </c>
      <c r="H5" s="4" t="inlineStr">
        <is>
          <t>Juin</t>
        </is>
      </c>
      <c r="I5" s="4" t="inlineStr">
        <is>
          <t>Juil.</t>
        </is>
      </c>
      <c r="J5" s="4" t="inlineStr">
        <is>
          <t>Août</t>
        </is>
      </c>
      <c r="K5" s="4" t="inlineStr">
        <is>
          <t>Sept.</t>
        </is>
      </c>
      <c r="L5" s="4" t="inlineStr">
        <is>
          <t>Oct.</t>
        </is>
      </c>
      <c r="M5" s="4" t="inlineStr">
        <is>
          <t>Nov.</t>
        </is>
      </c>
      <c r="N5" s="4" t="inlineStr">
        <is>
          <t>Déc.</t>
        </is>
      </c>
    </row>
    <row r="6" ht="22" customHeight="1">
      <c r="A6" s="5" t="inlineStr">
        <is>
          <t>Direction Générale</t>
        </is>
      </c>
      <c r="B6" s="33">
        <f>IFERROR(AVERAGE(C6:N6),0)</f>
        <v/>
      </c>
      <c r="C6" s="17" t="n">
        <v>82</v>
      </c>
      <c r="D6" s="17" t="n">
        <v>82</v>
      </c>
      <c r="E6" s="17" t="n">
        <v>83</v>
      </c>
      <c r="F6" s="17" t="n">
        <v>83</v>
      </c>
      <c r="G6" s="17" t="n">
        <v>84</v>
      </c>
      <c r="H6" s="17" t="n">
        <v>84</v>
      </c>
      <c r="I6" s="17" t="n">
        <v>85</v>
      </c>
      <c r="J6" s="17" t="n">
        <v>85</v>
      </c>
      <c r="K6" s="17" t="n">
        <v>85</v>
      </c>
      <c r="L6" s="17" t="n">
        <v>86</v>
      </c>
      <c r="M6" s="17" t="n">
        <v>86</v>
      </c>
      <c r="N6" s="17" t="n">
        <v>87</v>
      </c>
    </row>
    <row r="7" ht="22" customHeight="1">
      <c r="A7" s="8" t="inlineStr">
        <is>
          <t>Ressources Humaines</t>
        </is>
      </c>
      <c r="B7" s="34">
        <f>IFERROR(AVERAGE(C7:N7),0)</f>
        <v/>
      </c>
      <c r="C7" s="18" t="n">
        <v>80</v>
      </c>
      <c r="D7" s="18" t="n">
        <v>80</v>
      </c>
      <c r="E7" s="18" t="n">
        <v>81</v>
      </c>
      <c r="F7" s="18" t="n">
        <v>81</v>
      </c>
      <c r="G7" s="18" t="n">
        <v>82</v>
      </c>
      <c r="H7" s="18" t="n">
        <v>82</v>
      </c>
      <c r="I7" s="18" t="n">
        <v>83</v>
      </c>
      <c r="J7" s="18" t="n">
        <v>83</v>
      </c>
      <c r="K7" s="18" t="n">
        <v>83</v>
      </c>
      <c r="L7" s="18" t="n">
        <v>84</v>
      </c>
      <c r="M7" s="18" t="n">
        <v>84</v>
      </c>
      <c r="N7" s="18" t="n">
        <v>85</v>
      </c>
    </row>
    <row r="8" ht="22" customHeight="1">
      <c r="A8" s="5" t="inlineStr">
        <is>
          <t>Finance &amp; Comptabilité</t>
        </is>
      </c>
      <c r="B8" s="33">
        <f>IFERROR(AVERAGE(C8:N8),0)</f>
        <v/>
      </c>
      <c r="C8" s="17" t="n">
        <v>66</v>
      </c>
      <c r="D8" s="17" t="n">
        <v>66</v>
      </c>
      <c r="E8" s="17" t="n">
        <v>67</v>
      </c>
      <c r="F8" s="17" t="n">
        <v>67</v>
      </c>
      <c r="G8" s="17" t="n">
        <v>68</v>
      </c>
      <c r="H8" s="17" t="n">
        <v>68</v>
      </c>
      <c r="I8" s="17" t="n">
        <v>69</v>
      </c>
      <c r="J8" s="17" t="n">
        <v>69</v>
      </c>
      <c r="K8" s="17" t="n">
        <v>70</v>
      </c>
      <c r="L8" s="17" t="n">
        <v>70</v>
      </c>
      <c r="M8" s="17" t="n">
        <v>71</v>
      </c>
      <c r="N8" s="17" t="n">
        <v>71</v>
      </c>
    </row>
    <row r="9" ht="22" customHeight="1">
      <c r="A9" s="8" t="inlineStr">
        <is>
          <t>Marketing &amp; Communication</t>
        </is>
      </c>
      <c r="B9" s="34">
        <f>IFERROR(AVERAGE(C9:N9),0)</f>
        <v/>
      </c>
      <c r="C9" s="18" t="n">
        <v>70</v>
      </c>
      <c r="D9" s="18" t="n">
        <v>70</v>
      </c>
      <c r="E9" s="18" t="n">
        <v>71</v>
      </c>
      <c r="F9" s="18" t="n">
        <v>72</v>
      </c>
      <c r="G9" s="18" t="n">
        <v>72</v>
      </c>
      <c r="H9" s="18" t="n">
        <v>73</v>
      </c>
      <c r="I9" s="18" t="n">
        <v>73</v>
      </c>
      <c r="J9" s="18" t="n">
        <v>74</v>
      </c>
      <c r="K9" s="18" t="n">
        <v>74</v>
      </c>
      <c r="L9" s="18" t="n">
        <v>75</v>
      </c>
      <c r="M9" s="18" t="n">
        <v>75</v>
      </c>
      <c r="N9" s="18" t="n">
        <v>76</v>
      </c>
    </row>
    <row r="10" ht="22" customHeight="1">
      <c r="A10" s="5" t="inlineStr">
        <is>
          <t>Informatique</t>
        </is>
      </c>
      <c r="B10" s="33">
        <f>IFERROR(AVERAGE(C10:N10),0)</f>
        <v/>
      </c>
      <c r="C10" s="17" t="n">
        <v>84</v>
      </c>
      <c r="D10" s="17" t="n">
        <v>84</v>
      </c>
      <c r="E10" s="17" t="n">
        <v>85</v>
      </c>
      <c r="F10" s="17" t="n">
        <v>85</v>
      </c>
      <c r="G10" s="17" t="n">
        <v>86</v>
      </c>
      <c r="H10" s="17" t="n">
        <v>86</v>
      </c>
      <c r="I10" s="17" t="n">
        <v>85</v>
      </c>
      <c r="J10" s="17" t="n">
        <v>85</v>
      </c>
      <c r="K10" s="17" t="n">
        <v>86</v>
      </c>
      <c r="L10" s="17" t="n">
        <v>87</v>
      </c>
      <c r="M10" s="17" t="n">
        <v>87</v>
      </c>
      <c r="N10" s="17" t="n">
        <v>88</v>
      </c>
    </row>
    <row r="11" ht="22" customHeight="1">
      <c r="A11" s="8" t="inlineStr">
        <is>
          <t>Commercial</t>
        </is>
      </c>
      <c r="B11" s="34">
        <f>IFERROR(AVERAGE(C11:N11),0)</f>
        <v/>
      </c>
      <c r="C11" s="18" t="n">
        <v>73</v>
      </c>
      <c r="D11" s="18" t="n">
        <v>73</v>
      </c>
      <c r="E11" s="18" t="n">
        <v>74</v>
      </c>
      <c r="F11" s="18" t="n">
        <v>74</v>
      </c>
      <c r="G11" s="18" t="n">
        <v>75</v>
      </c>
      <c r="H11" s="18" t="n">
        <v>75</v>
      </c>
      <c r="I11" s="18" t="n">
        <v>76</v>
      </c>
      <c r="J11" s="18" t="n">
        <v>76</v>
      </c>
      <c r="K11" s="18" t="n">
        <v>76</v>
      </c>
      <c r="L11" s="18" t="n">
        <v>77</v>
      </c>
      <c r="M11" s="18" t="n">
        <v>77</v>
      </c>
      <c r="N11" s="18" t="n">
        <v>78</v>
      </c>
    </row>
    <row r="12" ht="22" customHeight="1">
      <c r="A12" s="5" t="inlineStr">
        <is>
          <t>Logistique &amp; Approvisionnement</t>
        </is>
      </c>
      <c r="B12" s="33">
        <f>IFERROR(AVERAGE(C12:N12),0)</f>
        <v/>
      </c>
      <c r="C12" s="17" t="n">
        <v>60</v>
      </c>
      <c r="D12" s="17" t="n">
        <v>60</v>
      </c>
      <c r="E12" s="17" t="n">
        <v>61</v>
      </c>
      <c r="F12" s="17" t="n">
        <v>61</v>
      </c>
      <c r="G12" s="17" t="n">
        <v>62</v>
      </c>
      <c r="H12" s="17" t="n">
        <v>62</v>
      </c>
      <c r="I12" s="17" t="n">
        <v>63</v>
      </c>
      <c r="J12" s="17" t="n">
        <v>63</v>
      </c>
      <c r="K12" s="17" t="n">
        <v>64</v>
      </c>
      <c r="L12" s="17" t="n">
        <v>64</v>
      </c>
      <c r="M12" s="17" t="n">
        <v>65</v>
      </c>
      <c r="N12" s="17" t="n">
        <v>65</v>
      </c>
    </row>
    <row r="13" ht="22" customHeight="1">
      <c r="A13" s="8" t="inlineStr">
        <is>
          <t>Réception &amp; Front Office</t>
        </is>
      </c>
      <c r="B13" s="34">
        <f>IFERROR(AVERAGE(C13:N13),0)</f>
        <v/>
      </c>
      <c r="C13" s="18" t="n">
        <v>88</v>
      </c>
      <c r="D13" s="18" t="n">
        <v>88</v>
      </c>
      <c r="E13" s="18" t="n">
        <v>89</v>
      </c>
      <c r="F13" s="18" t="n">
        <v>89</v>
      </c>
      <c r="G13" s="18" t="n">
        <v>90</v>
      </c>
      <c r="H13" s="18" t="n">
        <v>90</v>
      </c>
      <c r="I13" s="18" t="n">
        <v>91</v>
      </c>
      <c r="J13" s="18" t="n">
        <v>91</v>
      </c>
      <c r="K13" s="18" t="n">
        <v>91</v>
      </c>
      <c r="L13" s="18" t="n">
        <v>92</v>
      </c>
      <c r="M13" s="18" t="n">
        <v>92</v>
      </c>
      <c r="N13" s="18" t="n">
        <v>93</v>
      </c>
    </row>
    <row r="14" ht="22" customHeight="1">
      <c r="A14" s="5" t="inlineStr">
        <is>
          <t>Cuisine &amp; Restauration</t>
        </is>
      </c>
      <c r="B14" s="33">
        <f>IFERROR(AVERAGE(C14:N14),0)</f>
        <v/>
      </c>
      <c r="C14" s="17" t="n">
        <v>76</v>
      </c>
      <c r="D14" s="17" t="n">
        <v>77</v>
      </c>
      <c r="E14" s="17" t="n">
        <v>78</v>
      </c>
      <c r="F14" s="17" t="n">
        <v>79</v>
      </c>
      <c r="G14" s="17" t="n">
        <v>80</v>
      </c>
      <c r="H14" s="17" t="n">
        <v>81</v>
      </c>
      <c r="I14" s="17" t="n">
        <v>80</v>
      </c>
      <c r="J14" s="17" t="n">
        <v>79</v>
      </c>
      <c r="K14" s="17" t="n">
        <v>80</v>
      </c>
      <c r="L14" s="17" t="n">
        <v>81</v>
      </c>
      <c r="M14" s="17" t="n">
        <v>82</v>
      </c>
      <c r="N14" s="17" t="n">
        <v>83</v>
      </c>
    </row>
    <row r="15" ht="22" customHeight="1">
      <c r="A15" s="8" t="inlineStr">
        <is>
          <t>Hébergement</t>
        </is>
      </c>
      <c r="B15" s="34">
        <f>IFERROR(AVERAGE(C15:N15),0)</f>
        <v/>
      </c>
      <c r="C15" s="18" t="n">
        <v>86</v>
      </c>
      <c r="D15" s="18" t="n">
        <v>86</v>
      </c>
      <c r="E15" s="18" t="n">
        <v>87</v>
      </c>
      <c r="F15" s="18" t="n">
        <v>87</v>
      </c>
      <c r="G15" s="18" t="n">
        <v>88</v>
      </c>
      <c r="H15" s="18" t="n">
        <v>88</v>
      </c>
      <c r="I15" s="18" t="n">
        <v>89</v>
      </c>
      <c r="J15" s="18" t="n">
        <v>89</v>
      </c>
      <c r="K15" s="18" t="n">
        <v>89</v>
      </c>
      <c r="L15" s="18" t="n">
        <v>90</v>
      </c>
      <c r="M15" s="18" t="n">
        <v>90</v>
      </c>
      <c r="N15" s="18" t="n">
        <v>91</v>
      </c>
    </row>
    <row r="16" ht="22" customHeight="1">
      <c r="A16" s="5" t="inlineStr">
        <is>
          <t>Entretien &amp; Maintenance</t>
        </is>
      </c>
      <c r="B16" s="33">
        <f>IFERROR(AVERAGE(C16:N16),0)</f>
        <v/>
      </c>
      <c r="C16" s="17" t="n">
        <v>52</v>
      </c>
      <c r="D16" s="17" t="n">
        <v>52</v>
      </c>
      <c r="E16" s="17" t="n">
        <v>53</v>
      </c>
      <c r="F16" s="17" t="n">
        <v>54</v>
      </c>
      <c r="G16" s="17" t="n">
        <v>55</v>
      </c>
      <c r="H16" s="17" t="n">
        <v>56</v>
      </c>
      <c r="I16" s="17" t="n">
        <v>56</v>
      </c>
      <c r="J16" s="17" t="n">
        <v>57</v>
      </c>
      <c r="K16" s="17" t="n">
        <v>58</v>
      </c>
      <c r="L16" s="17" t="n">
        <v>59</v>
      </c>
      <c r="M16" s="17" t="n">
        <v>60</v>
      </c>
      <c r="N16" s="17" t="n">
        <v>60</v>
      </c>
    </row>
    <row r="17" ht="22" customHeight="1">
      <c r="A17" s="8" t="inlineStr">
        <is>
          <t>Sécurité</t>
        </is>
      </c>
      <c r="B17" s="34">
        <f>IFERROR(AVERAGE(C17:N17),0)</f>
        <v/>
      </c>
      <c r="C17" s="18" t="n">
        <v>58</v>
      </c>
      <c r="D17" s="18" t="n">
        <v>58</v>
      </c>
      <c r="E17" s="18" t="n">
        <v>59</v>
      </c>
      <c r="F17" s="18" t="n">
        <v>59</v>
      </c>
      <c r="G17" s="18" t="n">
        <v>60</v>
      </c>
      <c r="H17" s="18" t="n">
        <v>60</v>
      </c>
      <c r="I17" s="18" t="n">
        <v>61</v>
      </c>
      <c r="J17" s="18" t="n">
        <v>61</v>
      </c>
      <c r="K17" s="18" t="n">
        <v>62</v>
      </c>
      <c r="L17" s="18" t="n">
        <v>62</v>
      </c>
      <c r="M17" s="18" t="n">
        <v>63</v>
      </c>
      <c r="N17" s="18" t="n">
        <v>63</v>
      </c>
    </row>
    <row r="18" ht="22" customHeight="1">
      <c r="A18" s="5" t="inlineStr">
        <is>
          <t>Service Client</t>
        </is>
      </c>
      <c r="B18" s="33">
        <f>IFERROR(AVERAGE(C18:N18),0)</f>
        <v/>
      </c>
      <c r="C18" s="17" t="n">
        <v>68</v>
      </c>
      <c r="D18" s="17" t="n">
        <v>68</v>
      </c>
      <c r="E18" s="17" t="n">
        <v>69</v>
      </c>
      <c r="F18" s="17" t="n">
        <v>69</v>
      </c>
      <c r="G18" s="17" t="n">
        <v>70</v>
      </c>
      <c r="H18" s="17" t="n">
        <v>70</v>
      </c>
      <c r="I18" s="17" t="n">
        <v>71</v>
      </c>
      <c r="J18" s="17" t="n">
        <v>71</v>
      </c>
      <c r="K18" s="17" t="n">
        <v>71</v>
      </c>
      <c r="L18" s="17" t="n">
        <v>72</v>
      </c>
      <c r="M18" s="17" t="n">
        <v>72</v>
      </c>
      <c r="N18" s="17" t="n">
        <v>73</v>
      </c>
    </row>
    <row r="19" ht="22" customHeight="1">
      <c r="A19" s="8" t="inlineStr">
        <is>
          <t>Animation &amp; Loisirs</t>
        </is>
      </c>
      <c r="B19" s="34">
        <f>IFERROR(AVERAGE(C19:N19),0)</f>
        <v/>
      </c>
      <c r="C19" s="18" t="n">
        <v>74</v>
      </c>
      <c r="D19" s="18" t="n">
        <v>74</v>
      </c>
      <c r="E19" s="18" t="n">
        <v>75</v>
      </c>
      <c r="F19" s="18" t="n">
        <v>75</v>
      </c>
      <c r="G19" s="18" t="n">
        <v>76</v>
      </c>
      <c r="H19" s="18" t="n">
        <v>76</v>
      </c>
      <c r="I19" s="18" t="n">
        <v>77</v>
      </c>
      <c r="J19" s="18" t="n">
        <v>77</v>
      </c>
      <c r="K19" s="18" t="n">
        <v>77</v>
      </c>
      <c r="L19" s="18" t="n">
        <v>78</v>
      </c>
      <c r="M19" s="18" t="n">
        <v>78</v>
      </c>
      <c r="N19" s="18" t="n">
        <v>79</v>
      </c>
    </row>
    <row r="20" ht="22" customHeight="1">
      <c r="A20" s="5" t="inlineStr">
        <is>
          <t>Spa &amp; Bien-être</t>
        </is>
      </c>
      <c r="B20" s="33">
        <f>IFERROR(AVERAGE(C20:N20),0)</f>
        <v/>
      </c>
      <c r="C20" s="17" t="n">
        <v>82</v>
      </c>
      <c r="D20" s="17" t="n">
        <v>82</v>
      </c>
      <c r="E20" s="17" t="n">
        <v>83</v>
      </c>
      <c r="F20" s="17" t="n">
        <v>83</v>
      </c>
      <c r="G20" s="17" t="n">
        <v>84</v>
      </c>
      <c r="H20" s="17" t="n">
        <v>84</v>
      </c>
      <c r="I20" s="17" t="n">
        <v>85</v>
      </c>
      <c r="J20" s="17" t="n">
        <v>85</v>
      </c>
      <c r="K20" s="17" t="n">
        <v>85</v>
      </c>
      <c r="L20" s="17" t="n">
        <v>86</v>
      </c>
      <c r="M20" s="17" t="n">
        <v>86</v>
      </c>
      <c r="N20" s="17" t="n">
        <v>87</v>
      </c>
    </row>
    <row r="21" ht="26" customHeight="1">
      <c r="A21" s="35" t="inlineStr">
        <is>
          <t>MOYENNE GÉNÉRALE</t>
        </is>
      </c>
      <c r="B21" s="36">
        <f>IFERROR(AVERAGE(B6:B20),0)</f>
        <v/>
      </c>
      <c r="C21" s="36">
        <f>IFERROR(AVERAGE(C6:C20),0)</f>
        <v/>
      </c>
      <c r="D21" s="36">
        <f>IFERROR(AVERAGE(D6:D20),0)</f>
        <v/>
      </c>
      <c r="E21" s="36">
        <f>IFERROR(AVERAGE(E6:E20),0)</f>
        <v/>
      </c>
      <c r="F21" s="36">
        <f>IFERROR(AVERAGE(F6:F20),0)</f>
        <v/>
      </c>
      <c r="G21" s="36">
        <f>IFERROR(AVERAGE(G6:G20),0)</f>
        <v/>
      </c>
      <c r="H21" s="36">
        <f>IFERROR(AVERAGE(H6:H20),0)</f>
        <v/>
      </c>
      <c r="I21" s="36">
        <f>IFERROR(AVERAGE(I6:I20),0)</f>
        <v/>
      </c>
      <c r="J21" s="36">
        <f>IFERROR(AVERAGE(J6:J20),0)</f>
        <v/>
      </c>
      <c r="K21" s="36">
        <f>IFERROR(AVERAGE(K6:K20),0)</f>
        <v/>
      </c>
      <c r="L21" s="36">
        <f>IFERROR(AVERAGE(L6:L20),0)</f>
        <v/>
      </c>
      <c r="M21" s="36">
        <f>IFERROR(AVERAGE(M6:M20),0)</f>
        <v/>
      </c>
      <c r="N21" s="36">
        <f>IFERROR(AVERAGE(N6:N20),0)</f>
        <v/>
      </c>
    </row>
  </sheetData>
  <mergeCells count="2">
    <mergeCell ref="A3:N3"/>
    <mergeCell ref="A2:N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20" customWidth="1" min="5" max="5"/>
    <col width="24" customWidth="1" min="6" max="6"/>
    <col width="22" customWidth="1" min="7" max="7"/>
    <col width="18" customWidth="1" min="8" max="8"/>
    <col width="16" customWidth="1" min="9" max="9"/>
    <col width="3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15-HISTORIQUE DES ENQUÊTES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Enquête</t>
        </is>
      </c>
      <c r="B5" s="4" t="inlineStr">
        <is>
          <t>Département</t>
        </is>
      </c>
      <c r="C5" s="4" t="inlineStr">
        <is>
          <t>Période</t>
        </is>
      </c>
      <c r="D5" s="4" t="inlineStr">
        <is>
          <t>Date</t>
        </is>
      </c>
      <c r="E5" s="4" t="inlineStr">
        <is>
          <t>Score Global (/5)</t>
        </is>
      </c>
      <c r="F5" s="4" t="inlineStr">
        <is>
          <t>Score Communication (/5)</t>
        </is>
      </c>
      <c r="G5" s="4" t="inlineStr">
        <is>
          <t>Score Management (/5)</t>
        </is>
      </c>
      <c r="H5" s="4" t="inlineStr">
        <is>
          <t>Score QVT (/5)</t>
        </is>
      </c>
      <c r="I5" s="4" t="inlineStr">
        <is>
          <t>Nb Répondants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  <c r="O5" s="4" t="inlineStr"/>
    </row>
    <row r="6" ht="22" customHeight="1">
      <c r="A6" s="5" t="inlineStr">
        <is>
          <t>Engagement Q4 2024</t>
        </is>
      </c>
      <c r="B6" s="5" t="inlineStr">
        <is>
          <t>Tous</t>
        </is>
      </c>
      <c r="C6" s="5" t="inlineStr">
        <is>
          <t>T4 2024</t>
        </is>
      </c>
      <c r="D6" s="23" t="n">
        <v>45580</v>
      </c>
      <c r="E6" s="25" t="n">
        <v>3.9</v>
      </c>
      <c r="F6" s="25" t="n">
        <v>3.5</v>
      </c>
      <c r="G6" s="25" t="n">
        <v>4</v>
      </c>
      <c r="H6" s="25" t="n">
        <v>3.8</v>
      </c>
      <c r="I6" s="25" t="n">
        <v>58</v>
      </c>
      <c r="J6" s="5" t="inlineStr">
        <is>
          <t>Première enquête de référence</t>
        </is>
      </c>
      <c r="K6" s="26">
        <f>IF(E6="","",IFERROR(AVERAGE(E6:H6),0))</f>
        <v/>
      </c>
      <c r="L6" s="26">
        <f>IF(E6="","",IFERROR(E6-J6,0))</f>
        <v/>
      </c>
      <c r="M6" s="5">
        <f>IF(OR(E6="",C6="T4 2024"),"",IF(E6&gt;4.0,"Positif",IF(E6&gt;=3.5,"Neutre","Négatif")))</f>
        <v/>
      </c>
      <c r="N6" s="5">
        <f>IF(E6="","",IF(E6&gt;=4.5,"Excellent",IF(E6&gt;=4.0,"Très bon",IF(E6&gt;=3.5,"Bon",IF(E6&gt;=3.0,"Correct","Insuffisant")))))</f>
        <v/>
      </c>
    </row>
    <row r="7" ht="22" customHeight="1">
      <c r="A7" s="8" t="inlineStr">
        <is>
          <t>Engagement Q4 2024</t>
        </is>
      </c>
      <c r="B7" s="8" t="inlineStr">
        <is>
          <t>Cuisine &amp; Restauration</t>
        </is>
      </c>
      <c r="C7" s="8" t="inlineStr">
        <is>
          <t>T4 2024</t>
        </is>
      </c>
      <c r="D7" s="24" t="n">
        <v>45580</v>
      </c>
      <c r="E7" s="27" t="n">
        <v>3.7</v>
      </c>
      <c r="F7" s="27" t="n">
        <v>3.2</v>
      </c>
      <c r="G7" s="27" t="n">
        <v>3.8</v>
      </c>
      <c r="H7" s="27" t="n">
        <v>3.5</v>
      </c>
      <c r="I7" s="27" t="n">
        <v>12</v>
      </c>
      <c r="J7" s="8" t="inlineStr">
        <is>
          <t>Score communication faible</t>
        </is>
      </c>
      <c r="K7" s="28">
        <f>IF(E7="","",IFERROR(AVERAGE(E7:H7),0))</f>
        <v/>
      </c>
      <c r="L7" s="28">
        <f>IF(E7="","",IFERROR(E7-J7,0))</f>
        <v/>
      </c>
      <c r="M7" s="8">
        <f>IF(OR(E7="",C7="T4 2024"),"",IF(E7&gt;4.0,"Positif",IF(E7&gt;=3.5,"Neutre","Négatif")))</f>
        <v/>
      </c>
      <c r="N7" s="8">
        <f>IF(E7="","",IF(E7&gt;=4.5,"Excellent",IF(E7&gt;=4.0,"Très bon",IF(E7&gt;=3.5,"Bon",IF(E7&gt;=3.0,"Correct","Insuffisant")))))</f>
        <v/>
      </c>
    </row>
    <row r="8" ht="22" customHeight="1">
      <c r="A8" s="5" t="inlineStr">
        <is>
          <t>Engagement Q4 2024</t>
        </is>
      </c>
      <c r="B8" s="5" t="inlineStr">
        <is>
          <t>Réception &amp; Front Office</t>
        </is>
      </c>
      <c r="C8" s="5" t="inlineStr">
        <is>
          <t>T4 2024</t>
        </is>
      </c>
      <c r="D8" s="23" t="n">
        <v>45580</v>
      </c>
      <c r="E8" s="25" t="n">
        <v>4.4</v>
      </c>
      <c r="F8" s="25" t="n">
        <v>4.2</v>
      </c>
      <c r="G8" s="25" t="n">
        <v>4.5</v>
      </c>
      <c r="H8" s="25" t="n">
        <v>4.3</v>
      </c>
      <c r="I8" s="25" t="n">
        <v>8</v>
      </c>
      <c r="J8" s="5" t="inlineStr">
        <is>
          <t>Excellents résultats</t>
        </is>
      </c>
      <c r="K8" s="26">
        <f>IF(E8="","",IFERROR(AVERAGE(E8:H8),0))</f>
        <v/>
      </c>
      <c r="L8" s="26">
        <f>IF(E8="","",IFERROR(E8-J8,0))</f>
        <v/>
      </c>
      <c r="M8" s="5">
        <f>IF(OR(E8="",C8="T4 2024"),"",IF(E8&gt;4.0,"Positif",IF(E8&gt;=3.5,"Neutre","Négatif")))</f>
        <v/>
      </c>
      <c r="N8" s="5">
        <f>IF(E8="","",IF(E8&gt;=4.5,"Excellent",IF(E8&gt;=4.0,"Très bon",IF(E8&gt;=3.5,"Bon",IF(E8&gt;=3.0,"Correct","Insuffisant")))))</f>
        <v/>
      </c>
    </row>
    <row r="9" ht="22" customHeight="1">
      <c r="A9" s="8" t="inlineStr">
        <is>
          <t>Engagement Q1 2025</t>
        </is>
      </c>
      <c r="B9" s="8" t="inlineStr">
        <is>
          <t>Tous</t>
        </is>
      </c>
      <c r="C9" s="8" t="inlineStr">
        <is>
          <t>T1 2025</t>
        </is>
      </c>
      <c r="D9" s="24" t="n">
        <v>45672</v>
      </c>
      <c r="E9" s="27" t="n">
        <v>4.1</v>
      </c>
      <c r="F9" s="27" t="n">
        <v>3.8</v>
      </c>
      <c r="G9" s="27" t="n">
        <v>4.2</v>
      </c>
      <c r="H9" s="27" t="n">
        <v>4</v>
      </c>
      <c r="I9" s="27" t="n">
        <v>57</v>
      </c>
      <c r="J9" s="8" t="inlineStr">
        <is>
          <t>Hausse générale +0.2</t>
        </is>
      </c>
      <c r="K9" s="28">
        <f>IF(E9="","",IFERROR(AVERAGE(E9:H9),0))</f>
        <v/>
      </c>
      <c r="L9" s="28">
        <f>IF(E9="","",IFERROR(E9-J9,0))</f>
        <v/>
      </c>
      <c r="M9" s="8">
        <f>IF(OR(E9="",C9="T4 2024"),"",IF(E9&gt;4.0,"Positif",IF(E9&gt;=3.5,"Neutre","Négatif")))</f>
        <v/>
      </c>
      <c r="N9" s="8">
        <f>IF(E9="","",IF(E9&gt;=4.5,"Excellent",IF(E9&gt;=4.0,"Très bon",IF(E9&gt;=3.5,"Bon",IF(E9&gt;=3.0,"Correct","Insuffisant")))))</f>
        <v/>
      </c>
    </row>
    <row r="10" ht="22" customHeight="1">
      <c r="A10" s="5" t="inlineStr">
        <is>
          <t>Satisfaction Q1 2025</t>
        </is>
      </c>
      <c r="B10" s="5" t="inlineStr">
        <is>
          <t>Tous</t>
        </is>
      </c>
      <c r="C10" s="5" t="inlineStr">
        <is>
          <t>T1 2025</t>
        </is>
      </c>
      <c r="D10" s="23" t="n">
        <v>45689</v>
      </c>
      <c r="E10" s="25" t="n">
        <v>3.8</v>
      </c>
      <c r="F10" s="25" t="n">
        <v>3.4</v>
      </c>
      <c r="G10" s="25" t="n">
        <v>3.9</v>
      </c>
      <c r="H10" s="25" t="n">
        <v>3.7</v>
      </c>
      <c r="I10" s="25" t="n">
        <v>52</v>
      </c>
      <c r="J10" s="5" t="inlineStr">
        <is>
          <t>Communication interne en amélioration</t>
        </is>
      </c>
      <c r="K10" s="26">
        <f>IF(E10="","",IFERROR(AVERAGE(E10:H10),0))</f>
        <v/>
      </c>
      <c r="L10" s="26">
        <f>IF(E10="","",IFERROR(E10-J10,0))</f>
        <v/>
      </c>
      <c r="M10" s="5">
        <f>IF(OR(E10="",C10="T4 2024"),"",IF(E10&gt;4.0,"Positif",IF(E10&gt;=3.5,"Neutre","Négatif")))</f>
        <v/>
      </c>
      <c r="N10" s="5">
        <f>IF(E10="","",IF(E10&gt;=4.5,"Excellent",IF(E10&gt;=4.0,"Très bon",IF(E10&gt;=3.5,"Bon",IF(E10&gt;=3.0,"Correct","Insuffisant")))))</f>
        <v/>
      </c>
    </row>
    <row r="11" ht="22" customHeight="1">
      <c r="A11" s="8" t="inlineStr">
        <is>
          <t>Communication Q1 2025</t>
        </is>
      </c>
      <c r="B11" s="8" t="inlineStr">
        <is>
          <t>Tous</t>
        </is>
      </c>
      <c r="C11" s="8" t="inlineStr">
        <is>
          <t>T1 2025</t>
        </is>
      </c>
      <c r="D11" s="24" t="n">
        <v>45717</v>
      </c>
      <c r="E11" s="27" t="n">
        <v>3.5</v>
      </c>
      <c r="F11" s="27" t="n">
        <v>3.5</v>
      </c>
      <c r="G11" s="27" t="n">
        <v>3.7</v>
      </c>
      <c r="H11" s="27" t="n">
        <v>3.3</v>
      </c>
      <c r="I11" s="27" t="n">
        <v>48</v>
      </c>
      <c r="J11" s="8" t="inlineStr">
        <is>
          <t>Canal intranet très apprécié</t>
        </is>
      </c>
      <c r="K11" s="28">
        <f>IF(E11="","",IFERROR(AVERAGE(E11:H11),0))</f>
        <v/>
      </c>
      <c r="L11" s="28">
        <f>IF(E11="","",IFERROR(E11-J11,0))</f>
        <v/>
      </c>
      <c r="M11" s="8">
        <f>IF(OR(E11="",C11="T4 2024"),"",IF(E11&gt;4.0,"Positif",IF(E11&gt;=3.5,"Neutre","Négatif")))</f>
        <v/>
      </c>
      <c r="N11" s="8">
        <f>IF(E11="","",IF(E11&gt;=4.5,"Excellent",IF(E11&gt;=4.0,"Très bon",IF(E11&gt;=3.5,"Bon",IF(E11&gt;=3.0,"Correct","Insuffisant")))))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26">
        <f>IF(E12="","",IFERROR(AVERAGE(E12:H12),0))</f>
        <v/>
      </c>
      <c r="L12" s="26">
        <f>IF(E12="","",IFERROR(E12-J12,0))</f>
        <v/>
      </c>
      <c r="M12" s="5">
        <f>IF(OR(E12="",C12="T4 2024"),"",IF(E12&gt;4.0,"Positif",IF(E12&gt;=3.5,"Neutre","Négatif")))</f>
        <v/>
      </c>
      <c r="N12" s="5">
        <f>IF(E12="","",IF(E12&gt;=4.5,"Excellent",IF(E12&gt;=4.0,"Très bon",IF(E12&gt;=3.5,"Bon",IF(E12&gt;=3.0,"Correct","Insuffisant")))))</f>
        <v/>
      </c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28">
        <f>IF(E13="","",IFERROR(AVERAGE(E13:H13),0))</f>
        <v/>
      </c>
      <c r="L13" s="28">
        <f>IF(E13="","",IFERROR(E13-J13,0))</f>
        <v/>
      </c>
      <c r="M13" s="8">
        <f>IF(OR(E13="",C13="T4 2024"),"",IF(E13&gt;4.0,"Positif",IF(E13&gt;=3.5,"Neutre","Négatif")))</f>
        <v/>
      </c>
      <c r="N13" s="8">
        <f>IF(E13="","",IF(E13&gt;=4.5,"Excellent",IF(E13&gt;=4.0,"Très bon",IF(E13&gt;=3.5,"Bon",IF(E13&gt;=3.0,"Correct","Insuffisant")))))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26">
        <f>IF(E14="","",IFERROR(AVERAGE(E14:H14),0))</f>
        <v/>
      </c>
      <c r="L14" s="26">
        <f>IF(E14="","",IFERROR(E14-J14,0))</f>
        <v/>
      </c>
      <c r="M14" s="5">
        <f>IF(OR(E14="",C14="T4 2024"),"",IF(E14&gt;4.0,"Positif",IF(E14&gt;=3.5,"Neutre","Négatif")))</f>
        <v/>
      </c>
      <c r="N14" s="5">
        <f>IF(E14="","",IF(E14&gt;=4.5,"Excellent",IF(E14&gt;=4.0,"Très bon",IF(E14&gt;=3.5,"Bon",IF(E14&gt;=3.0,"Correct","Insuffisant")))))</f>
        <v/>
      </c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28">
        <f>IF(E15="","",IFERROR(AVERAGE(E15:H15),0))</f>
        <v/>
      </c>
      <c r="L15" s="28">
        <f>IF(E15="","",IFERROR(E15-J15,0))</f>
        <v/>
      </c>
      <c r="M15" s="8">
        <f>IF(OR(E15="",C15="T4 2024"),"",IF(E15&gt;4.0,"Positif",IF(E15&gt;=3.5,"Neutre","Négatif")))</f>
        <v/>
      </c>
      <c r="N15" s="8">
        <f>IF(E15="","",IF(E15&gt;=4.5,"Excellent",IF(E15&gt;=4.0,"Très bon",IF(E15&gt;=3.5,"Bon",IF(E15&gt;=3.0,"Correct","Insuffisant")))))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26">
        <f>IF(E16="","",IFERROR(AVERAGE(E16:H16),0))</f>
        <v/>
      </c>
      <c r="L16" s="26">
        <f>IF(E16="","",IFERROR(E16-J16,0))</f>
        <v/>
      </c>
      <c r="M16" s="5">
        <f>IF(OR(E16="",C16="T4 2024"),"",IF(E16&gt;4.0,"Positif",IF(E16&gt;=3.5,"Neutre","Négatif")))</f>
        <v/>
      </c>
      <c r="N16" s="5">
        <f>IF(E16="","",IF(E16&gt;=4.5,"Excellent",IF(E16&gt;=4.0,"Très bon",IF(E16&gt;=3.5,"Bon",IF(E16&gt;=3.0,"Correct","Insuffisant")))))</f>
        <v/>
      </c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28">
        <f>IF(E17="","",IFERROR(AVERAGE(E17:H17),0))</f>
        <v/>
      </c>
      <c r="L17" s="28">
        <f>IF(E17="","",IFERROR(E17-J17,0))</f>
        <v/>
      </c>
      <c r="M17" s="8">
        <f>IF(OR(E17="",C17="T4 2024"),"",IF(E17&gt;4.0,"Positif",IF(E17&gt;=3.5,"Neutre","Négatif")))</f>
        <v/>
      </c>
      <c r="N17" s="8">
        <f>IF(E17="","",IF(E17&gt;=4.5,"Excellent",IF(E17&gt;=4.0,"Très bon",IF(E17&gt;=3.5,"Bon",IF(E17&gt;=3.0,"Correct","Insuffisant")))))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26">
        <f>IF(E18="","",IFERROR(AVERAGE(E18:H18),0))</f>
        <v/>
      </c>
      <c r="L18" s="26">
        <f>IF(E18="","",IFERROR(E18-J18,0))</f>
        <v/>
      </c>
      <c r="M18" s="5">
        <f>IF(OR(E18="",C18="T4 2024"),"",IF(E18&gt;4.0,"Positif",IF(E18&gt;=3.5,"Neutre","Négatif")))</f>
        <v/>
      </c>
      <c r="N18" s="5">
        <f>IF(E18="","",IF(E18&gt;=4.5,"Excellent",IF(E18&gt;=4.0,"Très bon",IF(E18&gt;=3.5,"Bon",IF(E18&gt;=3.0,"Correct","Insuffisant")))))</f>
        <v/>
      </c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28">
        <f>IF(E19="","",IFERROR(AVERAGE(E19:H19),0))</f>
        <v/>
      </c>
      <c r="L19" s="28">
        <f>IF(E19="","",IFERROR(E19-J19,0))</f>
        <v/>
      </c>
      <c r="M19" s="8">
        <f>IF(OR(E19="",C19="T4 2024"),"",IF(E19&gt;4.0,"Positif",IF(E19&gt;=3.5,"Neutre","Négatif")))</f>
        <v/>
      </c>
      <c r="N19" s="8">
        <f>IF(E19="","",IF(E19&gt;=4.5,"Excellent",IF(E19&gt;=4.0,"Très bon",IF(E19&gt;=3.5,"Bon",IF(E19&gt;=3.0,"Correct","Insuffisant")))))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26">
        <f>IF(E20="","",IFERROR(AVERAGE(E20:H20),0))</f>
        <v/>
      </c>
      <c r="L20" s="26">
        <f>IF(E20="","",IFERROR(E20-J20,0))</f>
        <v/>
      </c>
      <c r="M20" s="5">
        <f>IF(OR(E20="",C20="T4 2024"),"",IF(E20&gt;4.0,"Positif",IF(E20&gt;=3.5,"Neutre","Négatif")))</f>
        <v/>
      </c>
      <c r="N20" s="5">
        <f>IF(E20="","",IF(E20&gt;=4.5,"Excellent",IF(E20&gt;=4.0,"Très bon",IF(E20&gt;=3.5,"Bon",IF(E20&gt;=3.0,"Correct","Insuffisant")))))</f>
        <v/>
      </c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28">
        <f>IF(E21="","",IFERROR(AVERAGE(E21:H21),0))</f>
        <v/>
      </c>
      <c r="L21" s="28">
        <f>IF(E21="","",IFERROR(E21-J21,0))</f>
        <v/>
      </c>
      <c r="M21" s="8">
        <f>IF(OR(E21="",C21="T4 2024"),"",IF(E21&gt;4.0,"Positif",IF(E21&gt;=3.5,"Neutre","Négatif")))</f>
        <v/>
      </c>
      <c r="N21" s="8">
        <f>IF(E21="","",IF(E21&gt;=4.5,"Excellent",IF(E21&gt;=4.0,"Très bon",IF(E21&gt;=3.5,"Bon",IF(E21&gt;=3.0,"Correct","Insuffisant")))))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26">
        <f>IF(E22="","",IFERROR(AVERAGE(E22:H22),0))</f>
        <v/>
      </c>
      <c r="L22" s="26">
        <f>IF(E22="","",IFERROR(E22-J22,0))</f>
        <v/>
      </c>
      <c r="M22" s="5">
        <f>IF(OR(E22="",C22="T4 2024"),"",IF(E22&gt;4.0,"Positif",IF(E22&gt;=3.5,"Neutre","Négatif")))</f>
        <v/>
      </c>
      <c r="N22" s="5">
        <f>IF(E22="","",IF(E22&gt;=4.5,"Excellent",IF(E22&gt;=4.0,"Très bon",IF(E22&gt;=3.5,"Bon",IF(E22&gt;=3.0,"Correct","Insuffisant")))))</f>
        <v/>
      </c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28">
        <f>IF(E23="","",IFERROR(AVERAGE(E23:H23),0))</f>
        <v/>
      </c>
      <c r="L23" s="28">
        <f>IF(E23="","",IFERROR(E23-J23,0))</f>
        <v/>
      </c>
      <c r="M23" s="8">
        <f>IF(OR(E23="",C23="T4 2024"),"",IF(E23&gt;4.0,"Positif",IF(E23&gt;=3.5,"Neutre","Négatif")))</f>
        <v/>
      </c>
      <c r="N23" s="8">
        <f>IF(E23="","",IF(E23&gt;=4.5,"Excellent",IF(E23&gt;=4.0,"Très bon",IF(E23&gt;=3.5,"Bon",IF(E23&gt;=3.0,"Correct","Insuffisant")))))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26">
        <f>IF(E24="","",IFERROR(AVERAGE(E24:H24),0))</f>
        <v/>
      </c>
      <c r="L24" s="26">
        <f>IF(E24="","",IFERROR(E24-J24,0))</f>
        <v/>
      </c>
      <c r="M24" s="5">
        <f>IF(OR(E24="",C24="T4 2024"),"",IF(E24&gt;4.0,"Positif",IF(E24&gt;=3.5,"Neutre","Négatif")))</f>
        <v/>
      </c>
      <c r="N24" s="5">
        <f>IF(E24="","",IF(E24&gt;=4.5,"Excellent",IF(E24&gt;=4.0,"Très bon",IF(E24&gt;=3.5,"Bon",IF(E24&gt;=3.0,"Correct","Insuffisant")))))</f>
        <v/>
      </c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28">
        <f>IF(E25="","",IFERROR(AVERAGE(E25:H25),0))</f>
        <v/>
      </c>
      <c r="L25" s="28">
        <f>IF(E25="","",IFERROR(E25-J25,0))</f>
        <v/>
      </c>
      <c r="M25" s="8">
        <f>IF(OR(E25="",C25="T4 2024"),"",IF(E25&gt;4.0,"Positif",IF(E25&gt;=3.5,"Neutre","Négatif")))</f>
        <v/>
      </c>
      <c r="N25" s="8">
        <f>IF(E25="","",IF(E25&gt;=4.5,"Excellent",IF(E25&gt;=4.0,"Très bon",IF(E25&gt;=3.5,"Bon",IF(E25&gt;=3.0,"Correct","Insuffisant")))))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26">
        <f>IF(E26="","",IFERROR(AVERAGE(E26:H26),0))</f>
        <v/>
      </c>
      <c r="L26" s="26">
        <f>IF(E26="","",IFERROR(E26-J26,0))</f>
        <v/>
      </c>
      <c r="M26" s="5">
        <f>IF(OR(E26="",C26="T4 2024"),"",IF(E26&gt;4.0,"Positif",IF(E26&gt;=3.5,"Neutre","Négatif")))</f>
        <v/>
      </c>
      <c r="N26" s="5">
        <f>IF(E26="","",IF(E26&gt;=4.5,"Excellent",IF(E26&gt;=4.0,"Très bon",IF(E26&gt;=3.5,"Bon",IF(E26&gt;=3.0,"Correct","Insuffisant")))))</f>
        <v/>
      </c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28">
        <f>IF(E27="","",IFERROR(AVERAGE(E27:H27),0))</f>
        <v/>
      </c>
      <c r="L27" s="28">
        <f>IF(E27="","",IFERROR(E27-J27,0))</f>
        <v/>
      </c>
      <c r="M27" s="8">
        <f>IF(OR(E27="",C27="T4 2024"),"",IF(E27&gt;4.0,"Positif",IF(E27&gt;=3.5,"Neutre","Négatif")))</f>
        <v/>
      </c>
      <c r="N27" s="8">
        <f>IF(E27="","",IF(E27&gt;=4.5,"Excellent",IF(E27&gt;=4.0,"Très bon",IF(E27&gt;=3.5,"Bon",IF(E27&gt;=3.0,"Correct","Insuffisant")))))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26">
        <f>IF(E28="","",IFERROR(AVERAGE(E28:H28),0))</f>
        <v/>
      </c>
      <c r="L28" s="26">
        <f>IF(E28="","",IFERROR(E28-J28,0))</f>
        <v/>
      </c>
      <c r="M28" s="5">
        <f>IF(OR(E28="",C28="T4 2024"),"",IF(E28&gt;4.0,"Positif",IF(E28&gt;=3.5,"Neutre","Négatif")))</f>
        <v/>
      </c>
      <c r="N28" s="5">
        <f>IF(E28="","",IF(E28&gt;=4.5,"Excellent",IF(E28&gt;=4.0,"Très bon",IF(E28&gt;=3.5,"Bon",IF(E28&gt;=3.0,"Correct","Insuffisant")))))</f>
        <v/>
      </c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28">
        <f>IF(E29="","",IFERROR(AVERAGE(E29:H29),0))</f>
        <v/>
      </c>
      <c r="L29" s="28">
        <f>IF(E29="","",IFERROR(E29-J29,0))</f>
        <v/>
      </c>
      <c r="M29" s="8">
        <f>IF(OR(E29="",C29="T4 2024"),"",IF(E29&gt;4.0,"Positif",IF(E29&gt;=3.5,"Neutre","Négatif")))</f>
        <v/>
      </c>
      <c r="N29" s="8">
        <f>IF(E29="","",IF(E29&gt;=4.5,"Excellent",IF(E29&gt;=4.0,"Très bon",IF(E29&gt;=3.5,"Bon",IF(E29&gt;=3.0,"Correct","Insuffisant")))))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26">
        <f>IF(E30="","",IFERROR(AVERAGE(E30:H30),0))</f>
        <v/>
      </c>
      <c r="L30" s="26">
        <f>IF(E30="","",IFERROR(E30-J30,0))</f>
        <v/>
      </c>
      <c r="M30" s="5">
        <f>IF(OR(E30="",C30="T4 2024"),"",IF(E30&gt;4.0,"Positif",IF(E30&gt;=3.5,"Neutre","Négatif")))</f>
        <v/>
      </c>
      <c r="N30" s="5">
        <f>IF(E30="","",IF(E30&gt;=4.5,"Excellent",IF(E30&gt;=4.0,"Très bon",IF(E30&gt;=3.5,"Bon",IF(E30&gt;=3.0,"Correct","Insuffisant")))))</f>
        <v/>
      </c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28">
        <f>IF(E31="","",IFERROR(AVERAGE(E31:H31),0))</f>
        <v/>
      </c>
      <c r="L31" s="28">
        <f>IF(E31="","",IFERROR(E31-J31,0))</f>
        <v/>
      </c>
      <c r="M31" s="8">
        <f>IF(OR(E31="",C31="T4 2024"),"",IF(E31&gt;4.0,"Positif",IF(E31&gt;=3.5,"Neutre","Négatif")))</f>
        <v/>
      </c>
      <c r="N31" s="8">
        <f>IF(E31="","",IF(E31&gt;=4.5,"Excellent",IF(E31&gt;=4.0,"Très bon",IF(E31&gt;=3.5,"Bon",IF(E31&gt;=3.0,"Correct","Insuffisant")))))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26">
        <f>IF(E32="","",IFERROR(AVERAGE(E32:H32),0))</f>
        <v/>
      </c>
      <c r="L32" s="26">
        <f>IF(E32="","",IFERROR(E32-J32,0))</f>
        <v/>
      </c>
      <c r="M32" s="5">
        <f>IF(OR(E32="",C32="T4 2024"),"",IF(E32&gt;4.0,"Positif",IF(E32&gt;=3.5,"Neutre","Négatif")))</f>
        <v/>
      </c>
      <c r="N32" s="5">
        <f>IF(E32="","",IF(E32&gt;=4.5,"Excellent",IF(E32&gt;=4.0,"Très bon",IF(E32&gt;=3.5,"Bon",IF(E32&gt;=3.0,"Correct","Insuffisant")))))</f>
        <v/>
      </c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28">
        <f>IF(E33="","",IFERROR(AVERAGE(E33:H33),0))</f>
        <v/>
      </c>
      <c r="L33" s="28">
        <f>IF(E33="","",IFERROR(E33-J33,0))</f>
        <v/>
      </c>
      <c r="M33" s="8">
        <f>IF(OR(E33="",C33="T4 2024"),"",IF(E33&gt;4.0,"Positif",IF(E33&gt;=3.5,"Neutre","Négatif")))</f>
        <v/>
      </c>
      <c r="N33" s="8">
        <f>IF(E33="","",IF(E33&gt;=4.5,"Excellent",IF(E33&gt;=4.0,"Très bon",IF(E33&gt;=3.5,"Bon",IF(E33&gt;=3.0,"Correct","Insuffisant")))))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26">
        <f>IF(E34="","",IFERROR(AVERAGE(E34:H34),0))</f>
        <v/>
      </c>
      <c r="L34" s="26">
        <f>IF(E34="","",IFERROR(E34-J34,0))</f>
        <v/>
      </c>
      <c r="M34" s="5">
        <f>IF(OR(E34="",C34="T4 2024"),"",IF(E34&gt;4.0,"Positif",IF(E34&gt;=3.5,"Neutre","Négatif")))</f>
        <v/>
      </c>
      <c r="N34" s="5">
        <f>IF(E34="","",IF(E34&gt;=4.5,"Excellent",IF(E34&gt;=4.0,"Très bon",IF(E34&gt;=3.5,"Bon",IF(E34&gt;=3.0,"Correct","Insuffisant")))))</f>
        <v/>
      </c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28">
        <f>IF(E35="","",IFERROR(AVERAGE(E35:H35),0))</f>
        <v/>
      </c>
      <c r="L35" s="28">
        <f>IF(E35="","",IFERROR(E35-J35,0))</f>
        <v/>
      </c>
      <c r="M35" s="8">
        <f>IF(OR(E35="",C35="T4 2024"),"",IF(E35&gt;4.0,"Positif",IF(E35&gt;=3.5,"Neutre","Négatif")))</f>
        <v/>
      </c>
      <c r="N35" s="8">
        <f>IF(E35="","",IF(E35&gt;=4.5,"Excellent",IF(E35&gt;=4.0,"Très bon",IF(E35&gt;=3.5,"Bon",IF(E35&gt;=3.0,"Correct","Insuffisant")))))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26">
        <f>IF(E36="","",IFERROR(AVERAGE(E36:H36),0))</f>
        <v/>
      </c>
      <c r="L36" s="26">
        <f>IF(E36="","",IFERROR(E36-J36,0))</f>
        <v/>
      </c>
      <c r="M36" s="5">
        <f>IF(OR(E36="",C36="T4 2024"),"",IF(E36&gt;4.0,"Positif",IF(E36&gt;=3.5,"Neutre","Négatif")))</f>
        <v/>
      </c>
      <c r="N36" s="5">
        <f>IF(E36="","",IF(E36&gt;=4.5,"Excellent",IF(E36&gt;=4.0,"Très bon",IF(E36&gt;=3.5,"Bon",IF(E36&gt;=3.0,"Correct","Insuffisant")))))</f>
        <v/>
      </c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28">
        <f>IF(E37="","",IFERROR(AVERAGE(E37:H37),0))</f>
        <v/>
      </c>
      <c r="L37" s="28">
        <f>IF(E37="","",IFERROR(E37-J37,0))</f>
        <v/>
      </c>
      <c r="M37" s="8">
        <f>IF(OR(E37="",C37="T4 2024"),"",IF(E37&gt;4.0,"Positif",IF(E37&gt;=3.5,"Neutre","Négatif")))</f>
        <v/>
      </c>
      <c r="N37" s="8">
        <f>IF(E37="","",IF(E37&gt;=4.5,"Excellent",IF(E37&gt;=4.0,"Très bon",IF(E37&gt;=3.5,"Bon",IF(E37&gt;=3.0,"Correct","Insuffisant")))))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26">
        <f>IF(E38="","",IFERROR(AVERAGE(E38:H38),0))</f>
        <v/>
      </c>
      <c r="L38" s="26">
        <f>IF(E38="","",IFERROR(E38-J38,0))</f>
        <v/>
      </c>
      <c r="M38" s="5">
        <f>IF(OR(E38="",C38="T4 2024"),"",IF(E38&gt;4.0,"Positif",IF(E38&gt;=3.5,"Neutre","Négatif")))</f>
        <v/>
      </c>
      <c r="N38" s="5">
        <f>IF(E38="","",IF(E38&gt;=4.5,"Excellent",IF(E38&gt;=4.0,"Très bon",IF(E38&gt;=3.5,"Bon",IF(E38&gt;=3.0,"Correct","Insuffisant")))))</f>
        <v/>
      </c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28">
        <f>IF(E39="","",IFERROR(AVERAGE(E39:H39),0))</f>
        <v/>
      </c>
      <c r="L39" s="28">
        <f>IF(E39="","",IFERROR(E39-J39,0))</f>
        <v/>
      </c>
      <c r="M39" s="8">
        <f>IF(OR(E39="",C39="T4 2024"),"",IF(E39&gt;4.0,"Positif",IF(E39&gt;=3.5,"Neutre","Négatif")))</f>
        <v/>
      </c>
      <c r="N39" s="8">
        <f>IF(E39="","",IF(E39&gt;=4.5,"Excellent",IF(E39&gt;=4.0,"Très bon",IF(E39&gt;=3.5,"Bon",IF(E39&gt;=3.0,"Correct","Insuffisant")))))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26">
        <f>IF(E40="","",IFERROR(AVERAGE(E40:H40),0))</f>
        <v/>
      </c>
      <c r="L40" s="26">
        <f>IF(E40="","",IFERROR(E40-J40,0))</f>
        <v/>
      </c>
      <c r="M40" s="5">
        <f>IF(OR(E40="",C40="T4 2024"),"",IF(E40&gt;4.0,"Positif",IF(E40&gt;=3.5,"Neutre","Négatif")))</f>
        <v/>
      </c>
      <c r="N40" s="5">
        <f>IF(E40="","",IF(E40&gt;=4.5,"Excellent",IF(E40&gt;=4.0,"Très bon",IF(E40&gt;=3.5,"Bon",IF(E40&gt;=3.0,"Correct","Insuffisant")))))</f>
        <v/>
      </c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28">
        <f>IF(E41="","",IFERROR(AVERAGE(E41:H41),0))</f>
        <v/>
      </c>
      <c r="L41" s="28">
        <f>IF(E41="","",IFERROR(E41-J41,0))</f>
        <v/>
      </c>
      <c r="M41" s="8">
        <f>IF(OR(E41="",C41="T4 2024"),"",IF(E41&gt;4.0,"Positif",IF(E41&gt;=3.5,"Neutre","Négatif")))</f>
        <v/>
      </c>
      <c r="N41" s="8">
        <f>IF(E41="","",IF(E41&gt;=4.5,"Excellent",IF(E41&gt;=4.0,"Très bon",IF(E41&gt;=3.5,"Bon",IF(E41&gt;=3.0,"Correct","Insuffisant")))))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26">
        <f>IF(E42="","",IFERROR(AVERAGE(E42:H42),0))</f>
        <v/>
      </c>
      <c r="L42" s="26">
        <f>IF(E42="","",IFERROR(E42-J42,0))</f>
        <v/>
      </c>
      <c r="M42" s="5">
        <f>IF(OR(E42="",C42="T4 2024"),"",IF(E42&gt;4.0,"Positif",IF(E42&gt;=3.5,"Neutre","Négatif")))</f>
        <v/>
      </c>
      <c r="N42" s="5">
        <f>IF(E42="","",IF(E42&gt;=4.5,"Excellent",IF(E42&gt;=4.0,"Très bon",IF(E42&gt;=3.5,"Bon",IF(E42&gt;=3.0,"Correct","Insuffisant")))))</f>
        <v/>
      </c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28">
        <f>IF(E43="","",IFERROR(AVERAGE(E43:H43),0))</f>
        <v/>
      </c>
      <c r="L43" s="28">
        <f>IF(E43="","",IFERROR(E43-J43,0))</f>
        <v/>
      </c>
      <c r="M43" s="8">
        <f>IF(OR(E43="",C43="T4 2024"),"",IF(E43&gt;4.0,"Positif",IF(E43&gt;=3.5,"Neutre","Négatif")))</f>
        <v/>
      </c>
      <c r="N43" s="8">
        <f>IF(E43="","",IF(E43&gt;=4.5,"Excellent",IF(E43&gt;=4.0,"Très bon",IF(E43&gt;=3.5,"Bon",IF(E43&gt;=3.0,"Correct","Insuffisant")))))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26">
        <f>IF(E44="","",IFERROR(AVERAGE(E44:H44),0))</f>
        <v/>
      </c>
      <c r="L44" s="26">
        <f>IF(E44="","",IFERROR(E44-J44,0))</f>
        <v/>
      </c>
      <c r="M44" s="5">
        <f>IF(OR(E44="",C44="T4 2024"),"",IF(E44&gt;4.0,"Positif",IF(E44&gt;=3.5,"Neutre","Négatif")))</f>
        <v/>
      </c>
      <c r="N44" s="5">
        <f>IF(E44="","",IF(E44&gt;=4.5,"Excellent",IF(E44&gt;=4.0,"Très bon",IF(E44&gt;=3.5,"Bon",IF(E44&gt;=3.0,"Correct","Insuffisant")))))</f>
        <v/>
      </c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28">
        <f>IF(E45="","",IFERROR(AVERAGE(E45:H45),0))</f>
        <v/>
      </c>
      <c r="L45" s="28">
        <f>IF(E45="","",IFERROR(E45-J45,0))</f>
        <v/>
      </c>
      <c r="M45" s="8">
        <f>IF(OR(E45="",C45="T4 2024"),"",IF(E45&gt;4.0,"Positif",IF(E45&gt;=3.5,"Neutre","Négatif")))</f>
        <v/>
      </c>
      <c r="N45" s="8">
        <f>IF(E45="","",IF(E45&gt;=4.5,"Excellent",IF(E45&gt;=4.0,"Très bon",IF(E45&gt;=3.5,"Bon",IF(E45&gt;=3.0,"Correct","Insuffisant")))))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26">
        <f>IF(E46="","",IFERROR(AVERAGE(E46:H46),0))</f>
        <v/>
      </c>
      <c r="L46" s="26">
        <f>IF(E46="","",IFERROR(E46-J46,0))</f>
        <v/>
      </c>
      <c r="M46" s="5">
        <f>IF(OR(E46="",C46="T4 2024"),"",IF(E46&gt;4.0,"Positif",IF(E46&gt;=3.5,"Neutre","Négatif")))</f>
        <v/>
      </c>
      <c r="N46" s="5">
        <f>IF(E46="","",IF(E46&gt;=4.5,"Excellent",IF(E46&gt;=4.0,"Très bon",IF(E46&gt;=3.5,"Bon",IF(E46&gt;=3.0,"Correct","Insuffisant")))))</f>
        <v/>
      </c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28">
        <f>IF(E47="","",IFERROR(AVERAGE(E47:H47),0))</f>
        <v/>
      </c>
      <c r="L47" s="28">
        <f>IF(E47="","",IFERROR(E47-J47,0))</f>
        <v/>
      </c>
      <c r="M47" s="8">
        <f>IF(OR(E47="",C47="T4 2024"),"",IF(E47&gt;4.0,"Positif",IF(E47&gt;=3.5,"Neutre","Négatif")))</f>
        <v/>
      </c>
      <c r="N47" s="8">
        <f>IF(E47="","",IF(E47&gt;=4.5,"Excellent",IF(E47&gt;=4.0,"Très bon",IF(E47&gt;=3.5,"Bon",IF(E47&gt;=3.0,"Correct","Insuffisant")))))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26">
        <f>IF(E48="","",IFERROR(AVERAGE(E48:H48),0))</f>
        <v/>
      </c>
      <c r="L48" s="26">
        <f>IF(E48="","",IFERROR(E48-J48,0))</f>
        <v/>
      </c>
      <c r="M48" s="5">
        <f>IF(OR(E48="",C48="T4 2024"),"",IF(E48&gt;4.0,"Positif",IF(E48&gt;=3.5,"Neutre","Négatif")))</f>
        <v/>
      </c>
      <c r="N48" s="5">
        <f>IF(E48="","",IF(E48&gt;=4.5,"Excellent",IF(E48&gt;=4.0,"Très bon",IF(E48&gt;=3.5,"Bon",IF(E48&gt;=3.0,"Correct","Insuffisant")))))</f>
        <v/>
      </c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28">
        <f>IF(E49="","",IFERROR(AVERAGE(E49:H49),0))</f>
        <v/>
      </c>
      <c r="L49" s="28">
        <f>IF(E49="","",IFERROR(E49-J49,0))</f>
        <v/>
      </c>
      <c r="M49" s="8">
        <f>IF(OR(E49="",C49="T4 2024"),"",IF(E49&gt;4.0,"Positif",IF(E49&gt;=3.5,"Neutre","Négatif")))</f>
        <v/>
      </c>
      <c r="N49" s="8">
        <f>IF(E49="","",IF(E49&gt;=4.5,"Excellent",IF(E49&gt;=4.0,"Très bon",IF(E49&gt;=3.5,"Bon",IF(E49&gt;=3.0,"Correct","Insuffisant")))))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26">
        <f>IF(E50="","",IFERROR(AVERAGE(E50:H50),0))</f>
        <v/>
      </c>
      <c r="L50" s="26">
        <f>IF(E50="","",IFERROR(E50-J50,0))</f>
        <v/>
      </c>
      <c r="M50" s="5">
        <f>IF(OR(E50="",C50="T4 2024"),"",IF(E50&gt;4.0,"Positif",IF(E50&gt;=3.5,"Neutre","Négatif")))</f>
        <v/>
      </c>
      <c r="N50" s="5">
        <f>IF(E50="","",IF(E50&gt;=4.5,"Excellent",IF(E50&gt;=4.0,"Très bon",IF(E50&gt;=3.5,"Bon",IF(E50&gt;=3.0,"Correct","Insuffisant")))))</f>
        <v/>
      </c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28">
        <f>IF(E51="","",IFERROR(AVERAGE(E51:H51),0))</f>
        <v/>
      </c>
      <c r="L51" s="28">
        <f>IF(E51="","",IFERROR(E51-J51,0))</f>
        <v/>
      </c>
      <c r="M51" s="8">
        <f>IF(OR(E51="",C51="T4 2024"),"",IF(E51&gt;4.0,"Positif",IF(E51&gt;=3.5,"Neutre","Négatif")))</f>
        <v/>
      </c>
      <c r="N51" s="8">
        <f>IF(E51="","",IF(E51&gt;=4.5,"Excellent",IF(E51&gt;=4.0,"Très bon",IF(E51&gt;=3.5,"Bon",IF(E51&gt;=3.0,"Correct","Insuffisant")))))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26">
        <f>IF(E52="","",IFERROR(AVERAGE(E52:H52),0))</f>
        <v/>
      </c>
      <c r="L52" s="26">
        <f>IF(E52="","",IFERROR(E52-J52,0))</f>
        <v/>
      </c>
      <c r="M52" s="5">
        <f>IF(OR(E52="",C52="T4 2024"),"",IF(E52&gt;4.0,"Positif",IF(E52&gt;=3.5,"Neutre","Négatif")))</f>
        <v/>
      </c>
      <c r="N52" s="5">
        <f>IF(E52="","",IF(E52&gt;=4.5,"Excellent",IF(E52&gt;=4.0,"Très bon",IF(E52&gt;=3.5,"Bon",IF(E52&gt;=3.0,"Correct","Insuffisant")))))</f>
        <v/>
      </c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28">
        <f>IF(E53="","",IFERROR(AVERAGE(E53:H53),0))</f>
        <v/>
      </c>
      <c r="L53" s="28">
        <f>IF(E53="","",IFERROR(E53-J53,0))</f>
        <v/>
      </c>
      <c r="M53" s="8">
        <f>IF(OR(E53="",C53="T4 2024"),"",IF(E53&gt;4.0,"Positif",IF(E53&gt;=3.5,"Neutre","Négatif")))</f>
        <v/>
      </c>
      <c r="N53" s="8">
        <f>IF(E53="","",IF(E53&gt;=4.5,"Excellent",IF(E53&gt;=4.0,"Très bon",IF(E53&gt;=3.5,"Bon",IF(E53&gt;=3.0,"Correct","Insuffisant")))))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26">
        <f>IF(E54="","",IFERROR(AVERAGE(E54:H54),0))</f>
        <v/>
      </c>
      <c r="L54" s="26">
        <f>IF(E54="","",IFERROR(E54-J54,0))</f>
        <v/>
      </c>
      <c r="M54" s="5">
        <f>IF(OR(E54="",C54="T4 2024"),"",IF(E54&gt;4.0,"Positif",IF(E54&gt;=3.5,"Neutre","Négatif")))</f>
        <v/>
      </c>
      <c r="N54" s="5">
        <f>IF(E54="","",IF(E54&gt;=4.5,"Excellent",IF(E54&gt;=4.0,"Très bon",IF(E54&gt;=3.5,"Bon",IF(E54&gt;=3.0,"Correct","Insuffisant")))))</f>
        <v/>
      </c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28">
        <f>IF(E55="","",IFERROR(AVERAGE(E55:H55),0))</f>
        <v/>
      </c>
      <c r="L55" s="28">
        <f>IF(E55="","",IFERROR(E55-J55,0))</f>
        <v/>
      </c>
      <c r="M55" s="8">
        <f>IF(OR(E55="",C55="T4 2024"),"",IF(E55&gt;4.0,"Positif",IF(E55&gt;=3.5,"Neutre","Négatif")))</f>
        <v/>
      </c>
      <c r="N55" s="8">
        <f>IF(E55="","",IF(E55&gt;=4.5,"Excellent",IF(E55&gt;=4.0,"Très bon",IF(E55&gt;=3.5,"Bon",IF(E55&gt;=3.0,"Correct","Insuffisant")))))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26">
        <f>IF(E56="","",IFERROR(AVERAGE(E56:H56),0))</f>
        <v/>
      </c>
      <c r="L56" s="26">
        <f>IF(E56="","",IFERROR(E56-J56,0))</f>
        <v/>
      </c>
      <c r="M56" s="5">
        <f>IF(OR(E56="",C56="T4 2024"),"",IF(E56&gt;4.0,"Positif",IF(E56&gt;=3.5,"Neutre","Négatif")))</f>
        <v/>
      </c>
      <c r="N56" s="5">
        <f>IF(E56="","",IF(E56&gt;=4.5,"Excellent",IF(E56&gt;=4.0,"Très bon",IF(E56&gt;=3.5,"Bon",IF(E56&gt;=3.0,"Correct","Insuffisant")))))</f>
        <v/>
      </c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28">
        <f>IF(E57="","",IFERROR(AVERAGE(E57:H57),0))</f>
        <v/>
      </c>
      <c r="L57" s="28">
        <f>IF(E57="","",IFERROR(E57-J57,0))</f>
        <v/>
      </c>
      <c r="M57" s="8">
        <f>IF(OR(E57="",C57="T4 2024"),"",IF(E57&gt;4.0,"Positif",IF(E57&gt;=3.5,"Neutre","Négatif")))</f>
        <v/>
      </c>
      <c r="N57" s="8">
        <f>IF(E57="","",IF(E57&gt;=4.5,"Excellent",IF(E57&gt;=4.0,"Très bon",IF(E57&gt;=3.5,"Bon",IF(E57&gt;=3.0,"Correct","Insuffisant")))))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26">
        <f>IF(E58="","",IFERROR(AVERAGE(E58:H58),0))</f>
        <v/>
      </c>
      <c r="L58" s="26">
        <f>IF(E58="","",IFERROR(E58-J58,0))</f>
        <v/>
      </c>
      <c r="M58" s="5">
        <f>IF(OR(E58="",C58="T4 2024"),"",IF(E58&gt;4.0,"Positif",IF(E58&gt;=3.5,"Neutre","Négatif")))</f>
        <v/>
      </c>
      <c r="N58" s="5">
        <f>IF(E58="","",IF(E58&gt;=4.5,"Excellent",IF(E58&gt;=4.0,"Très bon",IF(E58&gt;=3.5,"Bon",IF(E58&gt;=3.0,"Correct","Insuffisant")))))</f>
        <v/>
      </c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28">
        <f>IF(E59="","",IFERROR(AVERAGE(E59:H59),0))</f>
        <v/>
      </c>
      <c r="L59" s="28">
        <f>IF(E59="","",IFERROR(E59-J59,0))</f>
        <v/>
      </c>
      <c r="M59" s="8">
        <f>IF(OR(E59="",C59="T4 2024"),"",IF(E59&gt;4.0,"Positif",IF(E59&gt;=3.5,"Neutre","Négatif")))</f>
        <v/>
      </c>
      <c r="N59" s="8">
        <f>IF(E59="","",IF(E59&gt;=4.5,"Excellent",IF(E59&gt;=4.0,"Très bon",IF(E59&gt;=3.5,"Bon",IF(E59&gt;=3.0,"Correct","Insuffisant")))))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26">
        <f>IF(E60="","",IFERROR(AVERAGE(E60:H60),0))</f>
        <v/>
      </c>
      <c r="L60" s="26">
        <f>IF(E60="","",IFERROR(E60-J60,0))</f>
        <v/>
      </c>
      <c r="M60" s="5">
        <f>IF(OR(E60="",C60="T4 2024"),"",IF(E60&gt;4.0,"Positif",IF(E60&gt;=3.5,"Neutre","Négatif")))</f>
        <v/>
      </c>
      <c r="N60" s="5">
        <f>IF(E60="","",IF(E60&gt;=4.5,"Excellent",IF(E60&gt;=4.0,"Très bon",IF(E60&gt;=3.5,"Bon",IF(E60&gt;=3.0,"Correct","Insuffisant")))))</f>
        <v/>
      </c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28">
        <f>IF(E61="","",IFERROR(AVERAGE(E61:H61),0))</f>
        <v/>
      </c>
      <c r="L61" s="28">
        <f>IF(E61="","",IFERROR(E61-J61,0))</f>
        <v/>
      </c>
      <c r="M61" s="8">
        <f>IF(OR(E61="",C61="T4 2024"),"",IF(E61&gt;4.0,"Positif",IF(E61&gt;=3.5,"Neutre","Négatif")))</f>
        <v/>
      </c>
      <c r="N61" s="8">
        <f>IF(E61="","",IF(E61&gt;=4.5,"Excellent",IF(E61&gt;=4.0,"Très bon",IF(E61&gt;=3.5,"Bon",IF(E61&gt;=3.0,"Correct","Insuffisant")))))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26">
        <f>IF(E62="","",IFERROR(AVERAGE(E62:H62),0))</f>
        <v/>
      </c>
      <c r="L62" s="26">
        <f>IF(E62="","",IFERROR(E62-J62,0))</f>
        <v/>
      </c>
      <c r="M62" s="5">
        <f>IF(OR(E62="",C62="T4 2024"),"",IF(E62&gt;4.0,"Positif",IF(E62&gt;=3.5,"Neutre","Négatif")))</f>
        <v/>
      </c>
      <c r="N62" s="5">
        <f>IF(E62="","",IF(E62&gt;=4.5,"Excellent",IF(E62&gt;=4.0,"Très bon",IF(E62&gt;=3.5,"Bon",IF(E62&gt;=3.0,"Correct","Insuffisant")))))</f>
        <v/>
      </c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28">
        <f>IF(E63="","",IFERROR(AVERAGE(E63:H63),0))</f>
        <v/>
      </c>
      <c r="L63" s="28">
        <f>IF(E63="","",IFERROR(E63-J63,0))</f>
        <v/>
      </c>
      <c r="M63" s="8">
        <f>IF(OR(E63="",C63="T4 2024"),"",IF(E63&gt;4.0,"Positif",IF(E63&gt;=3.5,"Neutre","Négatif")))</f>
        <v/>
      </c>
      <c r="N63" s="8">
        <f>IF(E63="","",IF(E63&gt;=4.5,"Excellent",IF(E63&gt;=4.0,"Très bon",IF(E63&gt;=3.5,"Bon",IF(E63&gt;=3.0,"Correct","Insuffisant")))))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26">
        <f>IF(E64="","",IFERROR(AVERAGE(E64:H64),0))</f>
        <v/>
      </c>
      <c r="L64" s="26">
        <f>IF(E64="","",IFERROR(E64-J64,0))</f>
        <v/>
      </c>
      <c r="M64" s="5">
        <f>IF(OR(E64="",C64="T4 2024"),"",IF(E64&gt;4.0,"Positif",IF(E64&gt;=3.5,"Neutre","Négatif")))</f>
        <v/>
      </c>
      <c r="N64" s="5">
        <f>IF(E64="","",IF(E64&gt;=4.5,"Excellent",IF(E64&gt;=4.0,"Très bon",IF(E64&gt;=3.5,"Bon",IF(E64&gt;=3.0,"Correct","Insuffisant")))))</f>
        <v/>
      </c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28">
        <f>IF(E65="","",IFERROR(AVERAGE(E65:H65),0))</f>
        <v/>
      </c>
      <c r="L65" s="28">
        <f>IF(E65="","",IFERROR(E65-J65,0))</f>
        <v/>
      </c>
      <c r="M65" s="8">
        <f>IF(OR(E65="",C65="T4 2024"),"",IF(E65&gt;4.0,"Positif",IF(E65&gt;=3.5,"Neutre","Négatif")))</f>
        <v/>
      </c>
      <c r="N65" s="8">
        <f>IF(E65="","",IF(E65&gt;=4.5,"Excellent",IF(E65&gt;=4.0,"Très bon",IF(E65&gt;=3.5,"Bon",IF(E65&gt;=3.0,"Correct","Insuffisant")))))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26">
        <f>IF(E66="","",IFERROR(AVERAGE(E66:H66),0))</f>
        <v/>
      </c>
      <c r="L66" s="26">
        <f>IF(E66="","",IFERROR(E66-J66,0))</f>
        <v/>
      </c>
      <c r="M66" s="5">
        <f>IF(OR(E66="",C66="T4 2024"),"",IF(E66&gt;4.0,"Positif",IF(E66&gt;=3.5,"Neutre","Négatif")))</f>
        <v/>
      </c>
      <c r="N66" s="5">
        <f>IF(E66="","",IF(E66&gt;=4.5,"Excellent",IF(E66&gt;=4.0,"Très bon",IF(E66&gt;=3.5,"Bon",IF(E66&gt;=3.0,"Correct","Insuffisant")))))</f>
        <v/>
      </c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28">
        <f>IF(E67="","",IFERROR(AVERAGE(E67:H67),0))</f>
        <v/>
      </c>
      <c r="L67" s="28">
        <f>IF(E67="","",IFERROR(E67-J67,0))</f>
        <v/>
      </c>
      <c r="M67" s="8">
        <f>IF(OR(E67="",C67="T4 2024"),"",IF(E67&gt;4.0,"Positif",IF(E67&gt;=3.5,"Neutre","Négatif")))</f>
        <v/>
      </c>
      <c r="N67" s="8">
        <f>IF(E67="","",IF(E67&gt;=4.5,"Excellent",IF(E67&gt;=4.0,"Très bon",IF(E67&gt;=3.5,"Bon",IF(E67&gt;=3.0,"Correct","Insuffisant")))))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26">
        <f>IF(E68="","",IFERROR(AVERAGE(E68:H68),0))</f>
        <v/>
      </c>
      <c r="L68" s="26">
        <f>IF(E68="","",IFERROR(E68-J68,0))</f>
        <v/>
      </c>
      <c r="M68" s="5">
        <f>IF(OR(E68="",C68="T4 2024"),"",IF(E68&gt;4.0,"Positif",IF(E68&gt;=3.5,"Neutre","Négatif")))</f>
        <v/>
      </c>
      <c r="N68" s="5">
        <f>IF(E68="","",IF(E68&gt;=4.5,"Excellent",IF(E68&gt;=4.0,"Très bon",IF(E68&gt;=3.5,"Bon",IF(E68&gt;=3.0,"Correct","Insuffisant")))))</f>
        <v/>
      </c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28">
        <f>IF(E69="","",IFERROR(AVERAGE(E69:H69),0))</f>
        <v/>
      </c>
      <c r="L69" s="28">
        <f>IF(E69="","",IFERROR(E69-J69,0))</f>
        <v/>
      </c>
      <c r="M69" s="8">
        <f>IF(OR(E69="",C69="T4 2024"),"",IF(E69&gt;4.0,"Positif",IF(E69&gt;=3.5,"Neutre","Négatif")))</f>
        <v/>
      </c>
      <c r="N69" s="8">
        <f>IF(E69="","",IF(E69&gt;=4.5,"Excellent",IF(E69&gt;=4.0,"Très bon",IF(E69&gt;=3.5,"Bon",IF(E69&gt;=3.0,"Correct","Insuffisant")))))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26">
        <f>IF(E70="","",IFERROR(AVERAGE(E70:H70),0))</f>
        <v/>
      </c>
      <c r="L70" s="26">
        <f>IF(E70="","",IFERROR(E70-J70,0))</f>
        <v/>
      </c>
      <c r="M70" s="5">
        <f>IF(OR(E70="",C70="T4 2024"),"",IF(E70&gt;4.0,"Positif",IF(E70&gt;=3.5,"Neutre","Négatif")))</f>
        <v/>
      </c>
      <c r="N70" s="5">
        <f>IF(E70="","",IF(E70&gt;=4.5,"Excellent",IF(E70&gt;=4.0,"Très bon",IF(E70&gt;=3.5,"Bon",IF(E70&gt;=3.0,"Correct","Insuffisant")))))</f>
        <v/>
      </c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28">
        <f>IF(E71="","",IFERROR(AVERAGE(E71:H71),0))</f>
        <v/>
      </c>
      <c r="L71" s="28">
        <f>IF(E71="","",IFERROR(E71-J71,0))</f>
        <v/>
      </c>
      <c r="M71" s="8">
        <f>IF(OR(E71="",C71="T4 2024"),"",IF(E71&gt;4.0,"Positif",IF(E71&gt;=3.5,"Neutre","Négatif")))</f>
        <v/>
      </c>
      <c r="N71" s="8">
        <f>IF(E71="","",IF(E71&gt;=4.5,"Excellent",IF(E71&gt;=4.0,"Très bon",IF(E71&gt;=3.5,"Bon",IF(E71&gt;=3.0,"Correct","Insuffisant")))))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26">
        <f>IF(E72="","",IFERROR(AVERAGE(E72:H72),0))</f>
        <v/>
      </c>
      <c r="L72" s="26">
        <f>IF(E72="","",IFERROR(E72-J72,0))</f>
        <v/>
      </c>
      <c r="M72" s="5">
        <f>IF(OR(E72="",C72="T4 2024"),"",IF(E72&gt;4.0,"Positif",IF(E72&gt;=3.5,"Neutre","Négatif")))</f>
        <v/>
      </c>
      <c r="N72" s="5">
        <f>IF(E72="","",IF(E72&gt;=4.5,"Excellent",IF(E72&gt;=4.0,"Très bon",IF(E72&gt;=3.5,"Bon",IF(E72&gt;=3.0,"Correct","Insuffisant")))))</f>
        <v/>
      </c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28">
        <f>IF(E73="","",IFERROR(AVERAGE(E73:H73),0))</f>
        <v/>
      </c>
      <c r="L73" s="28">
        <f>IF(E73="","",IFERROR(E73-J73,0))</f>
        <v/>
      </c>
      <c r="M73" s="8">
        <f>IF(OR(E73="",C73="T4 2024"),"",IF(E73&gt;4.0,"Positif",IF(E73&gt;=3.5,"Neutre","Négatif")))</f>
        <v/>
      </c>
      <c r="N73" s="8">
        <f>IF(E73="","",IF(E73&gt;=4.5,"Excellent",IF(E73&gt;=4.0,"Très bon",IF(E73&gt;=3.5,"Bon",IF(E73&gt;=3.0,"Correct","Insuffisant")))))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26">
        <f>IF(E74="","",IFERROR(AVERAGE(E74:H74),0))</f>
        <v/>
      </c>
      <c r="L74" s="26">
        <f>IF(E74="","",IFERROR(E74-J74,0))</f>
        <v/>
      </c>
      <c r="M74" s="5">
        <f>IF(OR(E74="",C74="T4 2024"),"",IF(E74&gt;4.0,"Positif",IF(E74&gt;=3.5,"Neutre","Négatif")))</f>
        <v/>
      </c>
      <c r="N74" s="5">
        <f>IF(E74="","",IF(E74&gt;=4.5,"Excellent",IF(E74&gt;=4.0,"Très bon",IF(E74&gt;=3.5,"Bon",IF(E74&gt;=3.0,"Correct","Insuffisant")))))</f>
        <v/>
      </c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28">
        <f>IF(E75="","",IFERROR(AVERAGE(E75:H75),0))</f>
        <v/>
      </c>
      <c r="L75" s="28">
        <f>IF(E75="","",IFERROR(E75-J75,0))</f>
        <v/>
      </c>
      <c r="M75" s="8">
        <f>IF(OR(E75="",C75="T4 2024"),"",IF(E75&gt;4.0,"Positif",IF(E75&gt;=3.5,"Neutre","Négatif")))</f>
        <v/>
      </c>
      <c r="N75" s="8">
        <f>IF(E75="","",IF(E75&gt;=4.5,"Excellent",IF(E75&gt;=4.0,"Très bon",IF(E75&gt;=3.5,"Bon",IF(E75&gt;=3.0,"Correct","Insuffisant")))))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26">
        <f>IF(E76="","",IFERROR(AVERAGE(E76:H76),0))</f>
        <v/>
      </c>
      <c r="L76" s="26">
        <f>IF(E76="","",IFERROR(E76-J76,0))</f>
        <v/>
      </c>
      <c r="M76" s="5">
        <f>IF(OR(E76="",C76="T4 2024"),"",IF(E76&gt;4.0,"Positif",IF(E76&gt;=3.5,"Neutre","Négatif")))</f>
        <v/>
      </c>
      <c r="N76" s="5">
        <f>IF(E76="","",IF(E76&gt;=4.5,"Excellent",IF(E76&gt;=4.0,"Très bon",IF(E76&gt;=3.5,"Bon",IF(E76&gt;=3.0,"Correct","Insuffisant")))))</f>
        <v/>
      </c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28">
        <f>IF(E77="","",IFERROR(AVERAGE(E77:H77),0))</f>
        <v/>
      </c>
      <c r="L77" s="28">
        <f>IF(E77="","",IFERROR(E77-J77,0))</f>
        <v/>
      </c>
      <c r="M77" s="8">
        <f>IF(OR(E77="",C77="T4 2024"),"",IF(E77&gt;4.0,"Positif",IF(E77&gt;=3.5,"Neutre","Négatif")))</f>
        <v/>
      </c>
      <c r="N77" s="8">
        <f>IF(E77="","",IF(E77&gt;=4.5,"Excellent",IF(E77&gt;=4.0,"Très bon",IF(E77&gt;=3.5,"Bon",IF(E77&gt;=3.0,"Correct","Insuffisant")))))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26">
        <f>IF(E78="","",IFERROR(AVERAGE(E78:H78),0))</f>
        <v/>
      </c>
      <c r="L78" s="26">
        <f>IF(E78="","",IFERROR(E78-J78,0))</f>
        <v/>
      </c>
      <c r="M78" s="5">
        <f>IF(OR(E78="",C78="T4 2024"),"",IF(E78&gt;4.0,"Positif",IF(E78&gt;=3.5,"Neutre","Négatif")))</f>
        <v/>
      </c>
      <c r="N78" s="5">
        <f>IF(E78="","",IF(E78&gt;=4.5,"Excellent",IF(E78&gt;=4.0,"Très bon",IF(E78&gt;=3.5,"Bon",IF(E78&gt;=3.0,"Correct","Insuffisant")))))</f>
        <v/>
      </c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28">
        <f>IF(E79="","",IFERROR(AVERAGE(E79:H79),0))</f>
        <v/>
      </c>
      <c r="L79" s="28">
        <f>IF(E79="","",IFERROR(E79-J79,0))</f>
        <v/>
      </c>
      <c r="M79" s="8">
        <f>IF(OR(E79="",C79="T4 2024"),"",IF(E79&gt;4.0,"Positif",IF(E79&gt;=3.5,"Neutre","Négatif")))</f>
        <v/>
      </c>
      <c r="N79" s="8">
        <f>IF(E79="","",IF(E79&gt;=4.5,"Excellent",IF(E79&gt;=4.0,"Très bon",IF(E79&gt;=3.5,"Bon",IF(E79&gt;=3.0,"Correct","Insuffisant")))))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26">
        <f>IF(E80="","",IFERROR(AVERAGE(E80:H80),0))</f>
        <v/>
      </c>
      <c r="L80" s="26">
        <f>IF(E80="","",IFERROR(E80-J80,0))</f>
        <v/>
      </c>
      <c r="M80" s="5">
        <f>IF(OR(E80="",C80="T4 2024"),"",IF(E80&gt;4.0,"Positif",IF(E80&gt;=3.5,"Neutre","Négatif")))</f>
        <v/>
      </c>
      <c r="N80" s="5">
        <f>IF(E80="","",IF(E80&gt;=4.5,"Excellent",IF(E80&gt;=4.0,"Très bon",IF(E80&gt;=3.5,"Bon",IF(E80&gt;=3.0,"Correct","Insuffisant")))))</f>
        <v/>
      </c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28">
        <f>IF(E81="","",IFERROR(AVERAGE(E81:H81),0))</f>
        <v/>
      </c>
      <c r="L81" s="28">
        <f>IF(E81="","",IFERROR(E81-J81,0))</f>
        <v/>
      </c>
      <c r="M81" s="8">
        <f>IF(OR(E81="",C81="T4 2024"),"",IF(E81&gt;4.0,"Positif",IF(E81&gt;=3.5,"Neutre","Négatif")))</f>
        <v/>
      </c>
      <c r="N81" s="8">
        <f>IF(E81="","",IF(E81&gt;=4.5,"Excellent",IF(E81&gt;=4.0,"Très bon",IF(E81&gt;=3.5,"Bon",IF(E81&gt;=3.0,"Correct","Insuffisant")))))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26">
        <f>IF(E82="","",IFERROR(AVERAGE(E82:H82),0))</f>
        <v/>
      </c>
      <c r="L82" s="26">
        <f>IF(E82="","",IFERROR(E82-J82,0))</f>
        <v/>
      </c>
      <c r="M82" s="5">
        <f>IF(OR(E82="",C82="T4 2024"),"",IF(E82&gt;4.0,"Positif",IF(E82&gt;=3.5,"Neutre","Négatif")))</f>
        <v/>
      </c>
      <c r="N82" s="5">
        <f>IF(E82="","",IF(E82&gt;=4.5,"Excellent",IF(E82&gt;=4.0,"Très bon",IF(E82&gt;=3.5,"Bon",IF(E82&gt;=3.0,"Correct","Insuffisant")))))</f>
        <v/>
      </c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28">
        <f>IF(E83="","",IFERROR(AVERAGE(E83:H83),0))</f>
        <v/>
      </c>
      <c r="L83" s="28">
        <f>IF(E83="","",IFERROR(E83-J83,0))</f>
        <v/>
      </c>
      <c r="M83" s="8">
        <f>IF(OR(E83="",C83="T4 2024"),"",IF(E83&gt;4.0,"Positif",IF(E83&gt;=3.5,"Neutre","Négatif")))</f>
        <v/>
      </c>
      <c r="N83" s="8">
        <f>IF(E83="","",IF(E83&gt;=4.5,"Excellent",IF(E83&gt;=4.0,"Très bon",IF(E83&gt;=3.5,"Bon",IF(E83&gt;=3.0,"Correct","Insuffisant")))))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26">
        <f>IF(E84="","",IFERROR(AVERAGE(E84:H84),0))</f>
        <v/>
      </c>
      <c r="L84" s="26">
        <f>IF(E84="","",IFERROR(E84-J84,0))</f>
        <v/>
      </c>
      <c r="M84" s="5">
        <f>IF(OR(E84="",C84="T4 2024"),"",IF(E84&gt;4.0,"Positif",IF(E84&gt;=3.5,"Neutre","Négatif")))</f>
        <v/>
      </c>
      <c r="N84" s="5">
        <f>IF(E84="","",IF(E84&gt;=4.5,"Excellent",IF(E84&gt;=4.0,"Très bon",IF(E84&gt;=3.5,"Bon",IF(E84&gt;=3.0,"Correct","Insuffisant")))))</f>
        <v/>
      </c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28">
        <f>IF(E85="","",IFERROR(AVERAGE(E85:H85),0))</f>
        <v/>
      </c>
      <c r="L85" s="28">
        <f>IF(E85="","",IFERROR(E85-J85,0))</f>
        <v/>
      </c>
      <c r="M85" s="8">
        <f>IF(OR(E85="",C85="T4 2024"),"",IF(E85&gt;4.0,"Positif",IF(E85&gt;=3.5,"Neutre","Négatif")))</f>
        <v/>
      </c>
      <c r="N85" s="8">
        <f>IF(E85="","",IF(E85&gt;=4.5,"Excellent",IF(E85&gt;=4.0,"Très bon",IF(E85&gt;=3.5,"Bon",IF(E85&gt;=3.0,"Correct","Insuffisant")))))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26">
        <f>IF(E86="","",IFERROR(AVERAGE(E86:H86),0))</f>
        <v/>
      </c>
      <c r="L86" s="26">
        <f>IF(E86="","",IFERROR(E86-J86,0))</f>
        <v/>
      </c>
      <c r="M86" s="5">
        <f>IF(OR(E86="",C86="T4 2024"),"",IF(E86&gt;4.0,"Positif",IF(E86&gt;=3.5,"Neutre","Négatif")))</f>
        <v/>
      </c>
      <c r="N86" s="5">
        <f>IF(E86="","",IF(E86&gt;=4.5,"Excellent",IF(E86&gt;=4.0,"Très bon",IF(E86&gt;=3.5,"Bon",IF(E86&gt;=3.0,"Correct","Insuffisant")))))</f>
        <v/>
      </c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28">
        <f>IF(E87="","",IFERROR(AVERAGE(E87:H87),0))</f>
        <v/>
      </c>
      <c r="L87" s="28">
        <f>IF(E87="","",IFERROR(E87-J87,0))</f>
        <v/>
      </c>
      <c r="M87" s="8">
        <f>IF(OR(E87="",C87="T4 2024"),"",IF(E87&gt;4.0,"Positif",IF(E87&gt;=3.5,"Neutre","Négatif")))</f>
        <v/>
      </c>
      <c r="N87" s="8">
        <f>IF(E87="","",IF(E87&gt;=4.5,"Excellent",IF(E87&gt;=4.0,"Très bon",IF(E87&gt;=3.5,"Bon",IF(E87&gt;=3.0,"Correct","Insuffisant")))))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26">
        <f>IF(E88="","",IFERROR(AVERAGE(E88:H88),0))</f>
        <v/>
      </c>
      <c r="L88" s="26">
        <f>IF(E88="","",IFERROR(E88-J88,0))</f>
        <v/>
      </c>
      <c r="M88" s="5">
        <f>IF(OR(E88="",C88="T4 2024"),"",IF(E88&gt;4.0,"Positif",IF(E88&gt;=3.5,"Neutre","Négatif")))</f>
        <v/>
      </c>
      <c r="N88" s="5">
        <f>IF(E88="","",IF(E88&gt;=4.5,"Excellent",IF(E88&gt;=4.0,"Très bon",IF(E88&gt;=3.5,"Bon",IF(E88&gt;=3.0,"Correct","Insuffisant")))))</f>
        <v/>
      </c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28">
        <f>IF(E89="","",IFERROR(AVERAGE(E89:H89),0))</f>
        <v/>
      </c>
      <c r="L89" s="28">
        <f>IF(E89="","",IFERROR(E89-J89,0))</f>
        <v/>
      </c>
      <c r="M89" s="8">
        <f>IF(OR(E89="",C89="T4 2024"),"",IF(E89&gt;4.0,"Positif",IF(E89&gt;=3.5,"Neutre","Négatif")))</f>
        <v/>
      </c>
      <c r="N89" s="8">
        <f>IF(E89="","",IF(E89&gt;=4.5,"Excellent",IF(E89&gt;=4.0,"Très bon",IF(E89&gt;=3.5,"Bon",IF(E89&gt;=3.0,"Correct","Insuffisant")))))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26">
        <f>IF(E90="","",IFERROR(AVERAGE(E90:H90),0))</f>
        <v/>
      </c>
      <c r="L90" s="26">
        <f>IF(E90="","",IFERROR(E90-J90,0))</f>
        <v/>
      </c>
      <c r="M90" s="5">
        <f>IF(OR(E90="",C90="T4 2024"),"",IF(E90&gt;4.0,"Positif",IF(E90&gt;=3.5,"Neutre","Négatif")))</f>
        <v/>
      </c>
      <c r="N90" s="5">
        <f>IF(E90="","",IF(E90&gt;=4.5,"Excellent",IF(E90&gt;=4.0,"Très bon",IF(E90&gt;=3.5,"Bon",IF(E90&gt;=3.0,"Correct","Insuffisant")))))</f>
        <v/>
      </c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28">
        <f>IF(E91="","",IFERROR(AVERAGE(E91:H91),0))</f>
        <v/>
      </c>
      <c r="L91" s="28">
        <f>IF(E91="","",IFERROR(E91-J91,0))</f>
        <v/>
      </c>
      <c r="M91" s="8">
        <f>IF(OR(E91="",C91="T4 2024"),"",IF(E91&gt;4.0,"Positif",IF(E91&gt;=3.5,"Neutre","Négatif")))</f>
        <v/>
      </c>
      <c r="N91" s="8">
        <f>IF(E91="","",IF(E91&gt;=4.5,"Excellent",IF(E91&gt;=4.0,"Très bon",IF(E91&gt;=3.5,"Bon",IF(E91&gt;=3.0,"Correct","Insuffisant")))))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26">
        <f>IF(E92="","",IFERROR(AVERAGE(E92:H92),0))</f>
        <v/>
      </c>
      <c r="L92" s="26">
        <f>IF(E92="","",IFERROR(E92-J92,0))</f>
        <v/>
      </c>
      <c r="M92" s="5">
        <f>IF(OR(E92="",C92="T4 2024"),"",IF(E92&gt;4.0,"Positif",IF(E92&gt;=3.5,"Neutre","Négatif")))</f>
        <v/>
      </c>
      <c r="N92" s="5">
        <f>IF(E92="","",IF(E92&gt;=4.5,"Excellent",IF(E92&gt;=4.0,"Très bon",IF(E92&gt;=3.5,"Bon",IF(E92&gt;=3.0,"Correct","Insuffisant")))))</f>
        <v/>
      </c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28">
        <f>IF(E93="","",IFERROR(AVERAGE(E93:H93),0))</f>
        <v/>
      </c>
      <c r="L93" s="28">
        <f>IF(E93="","",IFERROR(E93-J93,0))</f>
        <v/>
      </c>
      <c r="M93" s="8">
        <f>IF(OR(E93="",C93="T4 2024"),"",IF(E93&gt;4.0,"Positif",IF(E93&gt;=3.5,"Neutre","Négatif")))</f>
        <v/>
      </c>
      <c r="N93" s="8">
        <f>IF(E93="","",IF(E93&gt;=4.5,"Excellent",IF(E93&gt;=4.0,"Très bon",IF(E93&gt;=3.5,"Bon",IF(E93&gt;=3.0,"Correct","Insuffisant")))))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26">
        <f>IF(E94="","",IFERROR(AVERAGE(E94:H94),0))</f>
        <v/>
      </c>
      <c r="L94" s="26">
        <f>IF(E94="","",IFERROR(E94-J94,0))</f>
        <v/>
      </c>
      <c r="M94" s="5">
        <f>IF(OR(E94="",C94="T4 2024"),"",IF(E94&gt;4.0,"Positif",IF(E94&gt;=3.5,"Neutre","Négatif")))</f>
        <v/>
      </c>
      <c r="N94" s="5">
        <f>IF(E94="","",IF(E94&gt;=4.5,"Excellent",IF(E94&gt;=4.0,"Très bon",IF(E94&gt;=3.5,"Bon",IF(E94&gt;=3.0,"Correct","Insuffisant")))))</f>
        <v/>
      </c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28">
        <f>IF(E95="","",IFERROR(AVERAGE(E95:H95),0))</f>
        <v/>
      </c>
      <c r="L95" s="28">
        <f>IF(E95="","",IFERROR(E95-J95,0))</f>
        <v/>
      </c>
      <c r="M95" s="8">
        <f>IF(OR(E95="",C95="T4 2024"),"",IF(E95&gt;4.0,"Positif",IF(E95&gt;=3.5,"Neutre","Négatif")))</f>
        <v/>
      </c>
      <c r="N95" s="8">
        <f>IF(E95="","",IF(E95&gt;=4.5,"Excellent",IF(E95&gt;=4.0,"Très bon",IF(E95&gt;=3.5,"Bon",IF(E95&gt;=3.0,"Correct","Insuffisant")))))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26">
        <f>IF(E96="","",IFERROR(AVERAGE(E96:H96),0))</f>
        <v/>
      </c>
      <c r="L96" s="26">
        <f>IF(E96="","",IFERROR(E96-J96,0))</f>
        <v/>
      </c>
      <c r="M96" s="5">
        <f>IF(OR(E96="",C96="T4 2024"),"",IF(E96&gt;4.0,"Positif",IF(E96&gt;=3.5,"Neutre","Négatif")))</f>
        <v/>
      </c>
      <c r="N96" s="5">
        <f>IF(E96="","",IF(E96&gt;=4.5,"Excellent",IF(E96&gt;=4.0,"Très bon",IF(E96&gt;=3.5,"Bon",IF(E96&gt;=3.0,"Correct","Insuffisant")))))</f>
        <v/>
      </c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28">
        <f>IF(E97="","",IFERROR(AVERAGE(E97:H97),0))</f>
        <v/>
      </c>
      <c r="L97" s="28">
        <f>IF(E97="","",IFERROR(E97-J97,0))</f>
        <v/>
      </c>
      <c r="M97" s="8">
        <f>IF(OR(E97="",C97="T4 2024"),"",IF(E97&gt;4.0,"Positif",IF(E97&gt;=3.5,"Neutre","Négatif")))</f>
        <v/>
      </c>
      <c r="N97" s="8">
        <f>IF(E97="","",IF(E97&gt;=4.5,"Excellent",IF(E97&gt;=4.0,"Très bon",IF(E97&gt;=3.5,"Bon",IF(E97&gt;=3.0,"Correct","Insuffisant")))))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26">
        <f>IF(E98="","",IFERROR(AVERAGE(E98:H98),0))</f>
        <v/>
      </c>
      <c r="L98" s="26">
        <f>IF(E98="","",IFERROR(E98-J98,0))</f>
        <v/>
      </c>
      <c r="M98" s="5">
        <f>IF(OR(E98="",C98="T4 2024"),"",IF(E98&gt;4.0,"Positif",IF(E98&gt;=3.5,"Neutre","Négatif")))</f>
        <v/>
      </c>
      <c r="N98" s="5">
        <f>IF(E98="","",IF(E98&gt;=4.5,"Excellent",IF(E98&gt;=4.0,"Très bon",IF(E98&gt;=3.5,"Bon",IF(E98&gt;=3.0,"Correct","Insuffisant")))))</f>
        <v/>
      </c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28">
        <f>IF(E99="","",IFERROR(AVERAGE(E99:H99),0))</f>
        <v/>
      </c>
      <c r="L99" s="28">
        <f>IF(E99="","",IFERROR(E99-J99,0))</f>
        <v/>
      </c>
      <c r="M99" s="8">
        <f>IF(OR(E99="",C99="T4 2024"),"",IF(E99&gt;4.0,"Positif",IF(E99&gt;=3.5,"Neutre","Négatif")))</f>
        <v/>
      </c>
      <c r="N99" s="8">
        <f>IF(E99="","",IF(E99&gt;=4.5,"Excellent",IF(E99&gt;=4.0,"Très bon",IF(E99&gt;=3.5,"Bon",IF(E99&gt;=3.0,"Correct","Insuffisant")))))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26">
        <f>IF(E100="","",IFERROR(AVERAGE(E100:H100),0))</f>
        <v/>
      </c>
      <c r="L100" s="26">
        <f>IF(E100="","",IFERROR(E100-J100,0))</f>
        <v/>
      </c>
      <c r="M100" s="5">
        <f>IF(OR(E100="",C100="T4 2024"),"",IF(E100&gt;4.0,"Positif",IF(E100&gt;=3.5,"Neutre","Négatif")))</f>
        <v/>
      </c>
      <c r="N100" s="5">
        <f>IF(E100="","",IF(E100&gt;=4.5,"Excellent",IF(E100&gt;=4.0,"Très bon",IF(E100&gt;=3.5,"Bon",IF(E100&gt;=3.0,"Correct","Insuffisant")))))</f>
        <v/>
      </c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28">
        <f>IF(E101="","",IFERROR(AVERAGE(E101:H101),0))</f>
        <v/>
      </c>
      <c r="L101" s="28">
        <f>IF(E101="","",IFERROR(E101-J101,0))</f>
        <v/>
      </c>
      <c r="M101" s="8">
        <f>IF(OR(E101="",C101="T4 2024"),"",IF(E101&gt;4.0,"Positif",IF(E101&gt;=3.5,"Neutre","Négatif")))</f>
        <v/>
      </c>
      <c r="N101" s="8">
        <f>IF(E101="","",IF(E101&gt;=4.5,"Excellent",IF(E101&gt;=4.0,"Très bon",IF(E101&gt;=3.5,"Bon",IF(E101&gt;=3.0,"Correct","Insuffisant")))))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26">
        <f>IF(E102="","",IFERROR(AVERAGE(E102:H102),0))</f>
        <v/>
      </c>
      <c r="L102" s="26">
        <f>IF(E102="","",IFERROR(E102-J102,0))</f>
        <v/>
      </c>
      <c r="M102" s="5">
        <f>IF(OR(E102="",C102="T4 2024"),"",IF(E102&gt;4.0,"Positif",IF(E102&gt;=3.5,"Neutre","Négatif")))</f>
        <v/>
      </c>
      <c r="N102" s="5">
        <f>IF(E102="","",IF(E102&gt;=4.5,"Excellent",IF(E102&gt;=4.0,"Très bon",IF(E102&gt;=3.5,"Bon",IF(E102&gt;=3.0,"Correct","Insuffisant")))))</f>
        <v/>
      </c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28">
        <f>IF(E103="","",IFERROR(AVERAGE(E103:H103),0))</f>
        <v/>
      </c>
      <c r="L103" s="28">
        <f>IF(E103="","",IFERROR(E103-J103,0))</f>
        <v/>
      </c>
      <c r="M103" s="8">
        <f>IF(OR(E103="",C103="T4 2024"),"",IF(E103&gt;4.0,"Positif",IF(E103&gt;=3.5,"Neutre","Négatif")))</f>
        <v/>
      </c>
      <c r="N103" s="8">
        <f>IF(E103="","",IF(E103&gt;=4.5,"Excellent",IF(E103&gt;=4.0,"Très bon",IF(E103&gt;=3.5,"Bon",IF(E103&gt;=3.0,"Correct","Insuffisant")))))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26">
        <f>IF(E104="","",IFERROR(AVERAGE(E104:H104),0))</f>
        <v/>
      </c>
      <c r="L104" s="26">
        <f>IF(E104="","",IFERROR(E104-J104,0))</f>
        <v/>
      </c>
      <c r="M104" s="5">
        <f>IF(OR(E104="",C104="T4 2024"),"",IF(E104&gt;4.0,"Positif",IF(E104&gt;=3.5,"Neutre","Négatif")))</f>
        <v/>
      </c>
      <c r="N104" s="5">
        <f>IF(E104="","",IF(E104&gt;=4.5,"Excellent",IF(E104&gt;=4.0,"Très bon",IF(E104&gt;=3.5,"Bon",IF(E104&gt;=3.0,"Correct","Insuffisant")))))</f>
        <v/>
      </c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28">
        <f>IF(E105="","",IFERROR(AVERAGE(E105:H105),0))</f>
        <v/>
      </c>
      <c r="L105" s="28">
        <f>IF(E105="","",IFERROR(E105-J105,0))</f>
        <v/>
      </c>
      <c r="M105" s="8">
        <f>IF(OR(E105="",C105="T4 2024"),"",IF(E105&gt;4.0,"Positif",IF(E105&gt;=3.5,"Neutre","Négatif")))</f>
        <v/>
      </c>
      <c r="N105" s="8">
        <f>IF(E105="","",IF(E105&gt;=4.5,"Excellent",IF(E105&gt;=4.0,"Très bon",IF(E105&gt;=3.5,"Bon",IF(E105&gt;=3.0,"Correct","Insuffisant")))))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26">
        <f>IF(E106="","",IFERROR(AVERAGE(E106:H106),0))</f>
        <v/>
      </c>
      <c r="L106" s="26">
        <f>IF(E106="","",IFERROR(E106-J106,0))</f>
        <v/>
      </c>
      <c r="M106" s="5">
        <f>IF(OR(E106="",C106="T4 2024"),"",IF(E106&gt;4.0,"Positif",IF(E106&gt;=3.5,"Neutre","Négatif")))</f>
        <v/>
      </c>
      <c r="N106" s="5">
        <f>IF(E106="","",IF(E106&gt;=4.5,"Excellent",IF(E106&gt;=4.0,"Très bon",IF(E106&gt;=3.5,"Bon",IF(E106&gt;=3.0,"Correct","Insuffisant")))))</f>
        <v/>
      </c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28">
        <f>IF(E107="","",IFERROR(AVERAGE(E107:H107),0))</f>
        <v/>
      </c>
      <c r="L107" s="28">
        <f>IF(E107="","",IFERROR(E107-J107,0))</f>
        <v/>
      </c>
      <c r="M107" s="8">
        <f>IF(OR(E107="",C107="T4 2024"),"",IF(E107&gt;4.0,"Positif",IF(E107&gt;=3.5,"Neutre","Négatif")))</f>
        <v/>
      </c>
      <c r="N107" s="8">
        <f>IF(E107="","",IF(E107&gt;=4.5,"Excellent",IF(E107&gt;=4.0,"Très bon",IF(E107&gt;=3.5,"Bon",IF(E107&gt;=3.0,"Correct","Insuffisant")))))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26">
        <f>IF(E108="","",IFERROR(AVERAGE(E108:H108),0))</f>
        <v/>
      </c>
      <c r="L108" s="26">
        <f>IF(E108="","",IFERROR(E108-J108,0))</f>
        <v/>
      </c>
      <c r="M108" s="5">
        <f>IF(OR(E108="",C108="T4 2024"),"",IF(E108&gt;4.0,"Positif",IF(E108&gt;=3.5,"Neutre","Négatif")))</f>
        <v/>
      </c>
      <c r="N108" s="5">
        <f>IF(E108="","",IF(E108&gt;=4.5,"Excellent",IF(E108&gt;=4.0,"Très bon",IF(E108&gt;=3.5,"Bon",IF(E108&gt;=3.0,"Correct","Insuffisant")))))</f>
        <v/>
      </c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28">
        <f>IF(E109="","",IFERROR(AVERAGE(E109:H109),0))</f>
        <v/>
      </c>
      <c r="L109" s="28">
        <f>IF(E109="","",IFERROR(E109-J109,0))</f>
        <v/>
      </c>
      <c r="M109" s="8">
        <f>IF(OR(E109="",C109="T4 2024"),"",IF(E109&gt;4.0,"Positif",IF(E109&gt;=3.5,"Neutre","Négatif")))</f>
        <v/>
      </c>
      <c r="N109" s="8">
        <f>IF(E109="","",IF(E109&gt;=4.5,"Excellent",IF(E109&gt;=4.0,"Très bon",IF(E109&gt;=3.5,"Bon",IF(E109&gt;=3.0,"Correct","Insuffisant")))))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26">
        <f>IF(E110="","",IFERROR(AVERAGE(E110:H110),0))</f>
        <v/>
      </c>
      <c r="L110" s="26">
        <f>IF(E110="","",IFERROR(E110-J110,0))</f>
        <v/>
      </c>
      <c r="M110" s="5">
        <f>IF(OR(E110="",C110="T4 2024"),"",IF(E110&gt;4.0,"Positif",IF(E110&gt;=3.5,"Neutre","Négatif")))</f>
        <v/>
      </c>
      <c r="N110" s="5">
        <f>IF(E110="","",IF(E110&gt;=4.5,"Excellent",IF(E110&gt;=4.0,"Très bon",IF(E110&gt;=3.5,"Bon",IF(E110&gt;=3.0,"Correct","Insuffisant")))))</f>
        <v/>
      </c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28">
        <f>IF(E111="","",IFERROR(AVERAGE(E111:H111),0))</f>
        <v/>
      </c>
      <c r="L111" s="28">
        <f>IF(E111="","",IFERROR(E111-J111,0))</f>
        <v/>
      </c>
      <c r="M111" s="8">
        <f>IF(OR(E111="",C111="T4 2024"),"",IF(E111&gt;4.0,"Positif",IF(E111&gt;=3.5,"Neutre","Négatif")))</f>
        <v/>
      </c>
      <c r="N111" s="8">
        <f>IF(E111="","",IF(E111&gt;=4.5,"Excellent",IF(E111&gt;=4.0,"Très bon",IF(E111&gt;=3.5,"Bon",IF(E111&gt;=3.0,"Correct","Insuffisant")))))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26">
        <f>IF(E112="","",IFERROR(AVERAGE(E112:H112),0))</f>
        <v/>
      </c>
      <c r="L112" s="26">
        <f>IF(E112="","",IFERROR(E112-J112,0))</f>
        <v/>
      </c>
      <c r="M112" s="5">
        <f>IF(OR(E112="",C112="T4 2024"),"",IF(E112&gt;4.0,"Positif",IF(E112&gt;=3.5,"Neutre","Négatif")))</f>
        <v/>
      </c>
      <c r="N112" s="5">
        <f>IF(E112="","",IF(E112&gt;=4.5,"Excellent",IF(E112&gt;=4.0,"Très bon",IF(E112&gt;=3.5,"Bon",IF(E112&gt;=3.0,"Correct","Insuffisant")))))</f>
        <v/>
      </c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28">
        <f>IF(E113="","",IFERROR(AVERAGE(E113:H113),0))</f>
        <v/>
      </c>
      <c r="L113" s="28">
        <f>IF(E113="","",IFERROR(E113-J113,0))</f>
        <v/>
      </c>
      <c r="M113" s="8">
        <f>IF(OR(E113="",C113="T4 2024"),"",IF(E113&gt;4.0,"Positif",IF(E113&gt;=3.5,"Neutre","Négatif")))</f>
        <v/>
      </c>
      <c r="N113" s="8">
        <f>IF(E113="","",IF(E113&gt;=4.5,"Excellent",IF(E113&gt;=4.0,"Très bon",IF(E113&gt;=3.5,"Bon",IF(E113&gt;=3.0,"Correct","Insuffisant")))))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26">
        <f>IF(E114="","",IFERROR(AVERAGE(E114:H114),0))</f>
        <v/>
      </c>
      <c r="L114" s="26">
        <f>IF(E114="","",IFERROR(E114-J114,0))</f>
        <v/>
      </c>
      <c r="M114" s="5">
        <f>IF(OR(E114="",C114="T4 2024"),"",IF(E114&gt;4.0,"Positif",IF(E114&gt;=3.5,"Neutre","Négatif")))</f>
        <v/>
      </c>
      <c r="N114" s="5">
        <f>IF(E114="","",IF(E114&gt;=4.5,"Excellent",IF(E114&gt;=4.0,"Très bon",IF(E114&gt;=3.5,"Bon",IF(E114&gt;=3.0,"Correct","Insuffisant")))))</f>
        <v/>
      </c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28">
        <f>IF(E115="","",IFERROR(AVERAGE(E115:H115),0))</f>
        <v/>
      </c>
      <c r="L115" s="28">
        <f>IF(E115="","",IFERROR(E115-J115,0))</f>
        <v/>
      </c>
      <c r="M115" s="8">
        <f>IF(OR(E115="",C115="T4 2024"),"",IF(E115&gt;4.0,"Positif",IF(E115&gt;=3.5,"Neutre","Négatif")))</f>
        <v/>
      </c>
      <c r="N115" s="8">
        <f>IF(E115="","",IF(E115&gt;=4.5,"Excellent",IF(E115&gt;=4.0,"Très bon",IF(E115&gt;=3.5,"Bon",IF(E115&gt;=3.0,"Correct","Insuffisant")))))</f>
        <v/>
      </c>
    </row>
  </sheetData>
  <mergeCells count="2">
    <mergeCell ref="A3:N3"/>
    <mergeCell ref="A2:N2"/>
  </mergeCells>
  <dataValidations count="2">
    <dataValidation sqref="B6:B115" showDropDown="0" showInputMessage="0" showErrorMessage="0" allowBlank="1" errorTitle="Erreur" error="Valeur invalide" promptTitle="" prompt="Choisir dans la liste: " type="list">
      <formula1>'F02 - _Lists'!$A$6:$A$20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_Lists'!$Q$6:$Q$9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14" customWidth="1" min="4" max="4"/>
    <col width="16" customWidth="1" min="5" max="5"/>
    <col width="14" customWidth="1" min="6" max="6"/>
    <col width="22" customWidth="1" min="7" max="7"/>
    <col width="14" customWidth="1" min="8" max="8"/>
    <col width="14" customWidth="1" min="9" max="9"/>
    <col width="3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16-CALENDRIER DE COMMUNICATION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Action</t>
        </is>
      </c>
      <c r="B5" s="4" t="inlineStr">
        <is>
          <t>Type</t>
        </is>
      </c>
      <c r="C5" s="4" t="inlineStr">
        <is>
          <t>Canal</t>
        </is>
      </c>
      <c r="D5" s="4" t="inlineStr">
        <is>
          <t>Date Prévue</t>
        </is>
      </c>
      <c r="E5" s="4" t="inlineStr">
        <is>
          <t>Jours Restants</t>
        </is>
      </c>
      <c r="F5" s="4" t="inlineStr">
        <is>
          <t>Alertes</t>
        </is>
      </c>
      <c r="G5" s="4" t="inlineStr">
        <is>
          <t>Responsable</t>
        </is>
      </c>
      <c r="H5" s="4" t="inlineStr">
        <is>
          <t>Priorité</t>
        </is>
      </c>
      <c r="I5" s="4" t="inlineStr">
        <is>
          <t>Statut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  <c r="O5" s="4" t="inlineStr"/>
    </row>
    <row r="6" ht="22" customHeight="1">
      <c r="A6" s="5" t="inlineStr">
        <is>
          <t>Enquête engagement Q2</t>
        </is>
      </c>
      <c r="B6" s="5" t="inlineStr">
        <is>
          <t>Enquête</t>
        </is>
      </c>
      <c r="C6" s="5" t="inlineStr">
        <is>
          <t>Intranet + Email</t>
        </is>
      </c>
      <c r="D6" s="23" t="n">
        <v>45762</v>
      </c>
      <c r="E6" s="30">
        <f>IF(D6="","",IFERROR(D6-TODAY(),0))</f>
        <v/>
      </c>
      <c r="F6" s="5">
        <f>IF(E6="","",IF(E6&lt;7,"URGENT",IF(E6&lt;15,"Attention",IF(E6&lt;30,"À planifier",""))))</f>
        <v/>
      </c>
      <c r="G6" s="5" t="inlineStr">
        <is>
          <t>DRH</t>
        </is>
      </c>
      <c r="H6" s="5" t="inlineStr">
        <is>
          <t>Haute</t>
        </is>
      </c>
      <c r="I6" s="5" t="inlineStr">
        <is>
          <t>Planifié</t>
        </is>
      </c>
      <c r="J6" s="5" t="inlineStr">
        <is>
          <t>Préparer questionnaire en mars</t>
        </is>
      </c>
      <c r="K6" s="5" t="inlineStr"/>
      <c r="L6" s="5" t="inlineStr"/>
      <c r="M6" s="5" t="inlineStr"/>
      <c r="N6" s="5" t="inlineStr"/>
    </row>
    <row r="7" ht="22" customHeight="1">
      <c r="A7" s="8" t="inlineStr">
        <is>
          <t>Newsletter avril</t>
        </is>
      </c>
      <c r="B7" s="8" t="inlineStr">
        <is>
          <t>Newsletter</t>
        </is>
      </c>
      <c r="C7" s="8" t="inlineStr">
        <is>
          <t>Email</t>
        </is>
      </c>
      <c r="D7" s="24" t="n">
        <v>45748</v>
      </c>
      <c r="E7" s="29">
        <f>IF(D7="","",IFERROR(D7-TODAY(),0))</f>
        <v/>
      </c>
      <c r="F7" s="8">
        <f>IF(E7="","",IF(E7&lt;7,"URGENT",IF(E7&lt;15,"Attention",IF(E7&lt;30,"À planifier",""))))</f>
        <v/>
      </c>
      <c r="G7" s="8" t="inlineStr">
        <is>
          <t>Resp. Marketing</t>
        </is>
      </c>
      <c r="H7" s="8" t="inlineStr">
        <is>
          <t>Moyenne</t>
        </is>
      </c>
      <c r="I7" s="8" t="inlineStr">
        <is>
          <t>Brouillon</t>
        </is>
      </c>
      <c r="J7" s="8" t="inlineStr">
        <is>
          <t>Thème: QVT et bien-être</t>
        </is>
      </c>
      <c r="K7" s="8" t="inlineStr"/>
      <c r="L7" s="8" t="inlineStr"/>
      <c r="M7" s="8" t="inlineStr"/>
      <c r="N7" s="8" t="inlineStr"/>
    </row>
    <row r="8" ht="22" customHeight="1">
      <c r="A8" s="5" t="inlineStr">
        <is>
          <t>Team building annuel</t>
        </is>
      </c>
      <c r="B8" s="5" t="inlineStr">
        <is>
          <t>Événement</t>
        </is>
      </c>
      <c r="C8" s="5" t="inlineStr">
        <is>
          <t>Présentiel</t>
        </is>
      </c>
      <c r="D8" s="23" t="n">
        <v>45823</v>
      </c>
      <c r="E8" s="30">
        <f>IF(D8="","",IFERROR(D8-TODAY(),0))</f>
        <v/>
      </c>
      <c r="F8" s="5">
        <f>IF(E8="","",IF(E8&lt;7,"URGENT",IF(E8&lt;15,"Attention",IF(E8&lt;30,"À planifier",""))))</f>
        <v/>
      </c>
      <c r="G8" s="5" t="inlineStr">
        <is>
          <t>DRH / DG</t>
        </is>
      </c>
      <c r="H8" s="5" t="inlineStr">
        <is>
          <t>Haute</t>
        </is>
      </c>
      <c r="I8" s="5" t="inlineStr">
        <is>
          <t>Planifié</t>
        </is>
      </c>
      <c r="J8" s="5" t="inlineStr">
        <is>
          <t>Lieu à confirmer</t>
        </is>
      </c>
      <c r="K8" s="5" t="inlineStr"/>
      <c r="L8" s="5" t="inlineStr"/>
      <c r="M8" s="5" t="inlineStr"/>
      <c r="N8" s="5" t="inlineStr"/>
    </row>
    <row r="9" ht="22" customHeight="1">
      <c r="A9" s="8" t="inlineStr">
        <is>
          <t>Comité CVS Q2</t>
        </is>
      </c>
      <c r="B9" s="8" t="inlineStr">
        <is>
          <t>Réunion</t>
        </is>
      </c>
      <c r="C9" s="8" t="inlineStr">
        <is>
          <t>Présentiel</t>
        </is>
      </c>
      <c r="D9" s="24" t="n">
        <v>45767</v>
      </c>
      <c r="E9" s="29">
        <f>IF(D9="","",IFERROR(D9-TODAY(),0))</f>
        <v/>
      </c>
      <c r="F9" s="8">
        <f>IF(E9="","",IF(E9&lt;7,"URGENT",IF(E9&lt;15,"Attention",IF(E9&lt;30,"À planifier",""))))</f>
        <v/>
      </c>
      <c r="G9" s="8" t="inlineStr">
        <is>
          <t>DRH</t>
        </is>
      </c>
      <c r="H9" s="8" t="inlineStr">
        <is>
          <t>Moyenne</t>
        </is>
      </c>
      <c r="I9" s="8" t="inlineStr">
        <is>
          <t>Planifié</t>
        </is>
      </c>
      <c r="J9" s="8" t="inlineStr">
        <is>
          <t>Bilan Q1 et prévisions Q2</t>
        </is>
      </c>
      <c r="K9" s="8" t="inlineStr"/>
      <c r="L9" s="8" t="inlineStr"/>
      <c r="M9" s="8" t="inlineStr"/>
      <c r="N9" s="8" t="inlineStr"/>
    </row>
    <row r="10" ht="22" customHeight="1">
      <c r="A10" s="5" t="inlineStr">
        <is>
          <t>Formation management</t>
        </is>
      </c>
      <c r="B10" s="5" t="inlineStr">
        <is>
          <t>Formation</t>
        </is>
      </c>
      <c r="C10" s="5" t="inlineStr">
        <is>
          <t>Présentiel</t>
        </is>
      </c>
      <c r="D10" s="23" t="n">
        <v>45741</v>
      </c>
      <c r="E10" s="30">
        <f>IF(D10="","",IFERROR(D10-TODAY(),0))</f>
        <v/>
      </c>
      <c r="F10" s="5">
        <f>IF(E10="","",IF(E10&lt;7,"URGENT",IF(E10&lt;15,"Attention",IF(E10&lt;30,"À planifier",""))))</f>
        <v/>
      </c>
      <c r="G10" s="5" t="inlineStr">
        <is>
          <t>DRH / Cabinet</t>
        </is>
      </c>
      <c r="H10" s="5" t="inlineStr">
        <is>
          <t>Haute</t>
        </is>
      </c>
      <c r="I10" s="5" t="inlineStr">
        <is>
          <t>En cours</t>
        </is>
      </c>
      <c r="J10" s="5" t="inlineStr">
        <is>
          <t>2 jours, 8 managers inscrits</t>
        </is>
      </c>
      <c r="K10" s="5" t="inlineStr"/>
      <c r="L10" s="5" t="inlineStr"/>
      <c r="M10" s="5" t="inlineStr"/>
      <c r="N10" s="5" t="inlineStr"/>
    </row>
    <row r="11" ht="22" customHeight="1">
      <c r="A11" s="8" t="n"/>
      <c r="B11" s="8" t="n"/>
      <c r="C11" s="8" t="n"/>
      <c r="D11" s="8" t="n"/>
      <c r="E11" s="29">
        <f>IF(D11="","",IFERROR(D11-TODAY(),0))</f>
        <v/>
      </c>
      <c r="F11" s="8">
        <f>IF(E11="","",IF(E11&lt;7,"URGENT",IF(E11&lt;15,"Attention",IF(E11&lt;30,"À planifier",""))))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2" customHeight="1">
      <c r="A12" s="5" t="n"/>
      <c r="B12" s="5" t="n"/>
      <c r="C12" s="5" t="n"/>
      <c r="D12" s="5" t="n"/>
      <c r="E12" s="30">
        <f>IF(D12="","",IFERROR(D12-TODAY(),0))</f>
        <v/>
      </c>
      <c r="F12" s="5">
        <f>IF(E12="","",IF(E12&lt;7,"URGENT",IF(E12&lt;15,"Attention",IF(E12&lt;30,"À planifier",""))))</f>
        <v/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22" customHeight="1">
      <c r="A13" s="8" t="n"/>
      <c r="B13" s="8" t="n"/>
      <c r="C13" s="8" t="n"/>
      <c r="D13" s="8" t="n"/>
      <c r="E13" s="29">
        <f>IF(D13="","",IFERROR(D13-TODAY(),0))</f>
        <v/>
      </c>
      <c r="F13" s="8">
        <f>IF(E13="","",IF(E13&lt;7,"URGENT",IF(E13&lt;15,"Attention",IF(E13&lt;30,"À planifier",""))))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2" customHeight="1">
      <c r="A14" s="5" t="n"/>
      <c r="B14" s="5" t="n"/>
      <c r="C14" s="5" t="n"/>
      <c r="D14" s="5" t="n"/>
      <c r="E14" s="30">
        <f>IF(D14="","",IFERROR(D14-TODAY(),0))</f>
        <v/>
      </c>
      <c r="F14" s="5">
        <f>IF(E14="","",IF(E14&lt;7,"URGENT",IF(E14&lt;15,"Attention",IF(E14&lt;30,"À planifier",""))))</f>
        <v/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22" customHeight="1">
      <c r="A15" s="8" t="n"/>
      <c r="B15" s="8" t="n"/>
      <c r="C15" s="8" t="n"/>
      <c r="D15" s="8" t="n"/>
      <c r="E15" s="29">
        <f>IF(D15="","",IFERROR(D15-TODAY(),0))</f>
        <v/>
      </c>
      <c r="F15" s="8">
        <f>IF(E15="","",IF(E15&lt;7,"URGENT",IF(E15&lt;15,"Attention",IF(E15&lt;30,"À planifier",""))))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2" customHeight="1">
      <c r="A16" s="5" t="n"/>
      <c r="B16" s="5" t="n"/>
      <c r="C16" s="5" t="n"/>
      <c r="D16" s="5" t="n"/>
      <c r="E16" s="30">
        <f>IF(D16="","",IFERROR(D16-TODAY(),0))</f>
        <v/>
      </c>
      <c r="F16" s="5">
        <f>IF(E16="","",IF(E16&lt;7,"URGENT",IF(E16&lt;15,"Attention",IF(E16&lt;30,"À planifier",""))))</f>
        <v/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22" customHeight="1">
      <c r="A17" s="8" t="n"/>
      <c r="B17" s="8" t="n"/>
      <c r="C17" s="8" t="n"/>
      <c r="D17" s="8" t="n"/>
      <c r="E17" s="29">
        <f>IF(D17="","",IFERROR(D17-TODAY(),0))</f>
        <v/>
      </c>
      <c r="F17" s="8">
        <f>IF(E17="","",IF(E17&lt;7,"URGENT",IF(E17&lt;15,"Attention",IF(E17&lt;30,"À planifier",""))))</f>
        <v/>
      </c>
      <c r="G17" s="8" t="n"/>
      <c r="H17" s="8" t="n"/>
      <c r="I17" s="8" t="n"/>
      <c r="J17" s="8" t="n"/>
      <c r="K17" s="8" t="n"/>
      <c r="L17" s="8" t="n"/>
      <c r="M17" s="8" t="n"/>
      <c r="N17" s="8" t="n"/>
    </row>
    <row r="18" ht="22" customHeight="1">
      <c r="A18" s="5" t="n"/>
      <c r="B18" s="5" t="n"/>
      <c r="C18" s="5" t="n"/>
      <c r="D18" s="5" t="n"/>
      <c r="E18" s="30">
        <f>IF(D18="","",IFERROR(D18-TODAY(),0))</f>
        <v/>
      </c>
      <c r="F18" s="5">
        <f>IF(E18="","",IF(E18&lt;7,"URGENT",IF(E18&lt;15,"Attention",IF(E18&lt;30,"À planifier",""))))</f>
        <v/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29">
        <f>IF(D19="","",IFERROR(D19-TODAY(),0))</f>
        <v/>
      </c>
      <c r="F19" s="8">
        <f>IF(E19="","",IF(E19&lt;7,"URGENT",IF(E19&lt;15,"Attention",IF(E19&lt;30,"À planifier",""))))</f>
        <v/>
      </c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30">
        <f>IF(D20="","",IFERROR(D20-TODAY(),0))</f>
        <v/>
      </c>
      <c r="F20" s="5">
        <f>IF(E20="","",IF(E20&lt;7,"URGENT",IF(E20&lt;15,"Attention",IF(E20&lt;30,"À planifier",""))))</f>
        <v/>
      </c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29">
        <f>IF(D21="","",IFERROR(D21-TODAY(),0))</f>
        <v/>
      </c>
      <c r="F21" s="8">
        <f>IF(E21="","",IF(E21&lt;7,"URGENT",IF(E21&lt;15,"Attention",IF(E21&lt;30,"À planifier",""))))</f>
        <v/>
      </c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30">
        <f>IF(D22="","",IFERROR(D22-TODAY(),0))</f>
        <v/>
      </c>
      <c r="F22" s="5">
        <f>IF(E22="","",IF(E22&lt;7,"URGENT",IF(E22&lt;15,"Attention",IF(E22&lt;30,"À planifier",""))))</f>
        <v/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29">
        <f>IF(D23="","",IFERROR(D23-TODAY(),0))</f>
        <v/>
      </c>
      <c r="F23" s="8">
        <f>IF(E23="","",IF(E23&lt;7,"URGENT",IF(E23&lt;15,"Attention",IF(E23&lt;30,"À planifier",""))))</f>
        <v/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30">
        <f>IF(D24="","",IFERROR(D24-TODAY(),0))</f>
        <v/>
      </c>
      <c r="F24" s="5">
        <f>IF(E24="","",IF(E24&lt;7,"URGENT",IF(E24&lt;15,"Attention",IF(E24&lt;30,"À planifier",""))))</f>
        <v/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29">
        <f>IF(D25="","",IFERROR(D25-TODAY(),0))</f>
        <v/>
      </c>
      <c r="F25" s="8">
        <f>IF(E25="","",IF(E25&lt;7,"URGENT",IF(E25&lt;15,"Attention",IF(E25&lt;30,"À planifier",""))))</f>
        <v/>
      </c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30">
        <f>IF(D26="","",IFERROR(D26-TODAY(),0))</f>
        <v/>
      </c>
      <c r="F26" s="5">
        <f>IF(E26="","",IF(E26&lt;7,"URGENT",IF(E26&lt;15,"Attention",IF(E26&lt;30,"À planifier",""))))</f>
        <v/>
      </c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29">
        <f>IF(D27="","",IFERROR(D27-TODAY(),0))</f>
        <v/>
      </c>
      <c r="F27" s="8">
        <f>IF(E27="","",IF(E27&lt;7,"URGENT",IF(E27&lt;15,"Attention",IF(E27&lt;30,"À planifier",""))))</f>
        <v/>
      </c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30">
        <f>IF(D28="","",IFERROR(D28-TODAY(),0))</f>
        <v/>
      </c>
      <c r="F28" s="5">
        <f>IF(E28="","",IF(E28&lt;7,"URGENT",IF(E28&lt;15,"Attention",IF(E28&lt;30,"À planifier",""))))</f>
        <v/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29">
        <f>IF(D29="","",IFERROR(D29-TODAY(),0))</f>
        <v/>
      </c>
      <c r="F29" s="8">
        <f>IF(E29="","",IF(E29&lt;7,"URGENT",IF(E29&lt;15,"Attention",IF(E29&lt;30,"À planifier",""))))</f>
        <v/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30">
        <f>IF(D30="","",IFERROR(D30-TODAY(),0))</f>
        <v/>
      </c>
      <c r="F30" s="5">
        <f>IF(E30="","",IF(E30&lt;7,"URGENT",IF(E30&lt;15,"Attention",IF(E30&lt;30,"À planifier",""))))</f>
        <v/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29">
        <f>IF(D31="","",IFERROR(D31-TODAY(),0))</f>
        <v/>
      </c>
      <c r="F31" s="8">
        <f>IF(E31="","",IF(E31&lt;7,"URGENT",IF(E31&lt;15,"Attention",IF(E31&lt;30,"À planifier",""))))</f>
        <v/>
      </c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30">
        <f>IF(D32="","",IFERROR(D32-TODAY(),0))</f>
        <v/>
      </c>
      <c r="F32" s="5">
        <f>IF(E32="","",IF(E32&lt;7,"URGENT",IF(E32&lt;15,"Attention",IF(E32&lt;30,"À planifier",""))))</f>
        <v/>
      </c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29">
        <f>IF(D33="","",IFERROR(D33-TODAY(),0))</f>
        <v/>
      </c>
      <c r="F33" s="8">
        <f>IF(E33="","",IF(E33&lt;7,"URGENT",IF(E33&lt;15,"Attention",IF(E33&lt;30,"À planifier",""))))</f>
        <v/>
      </c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30">
        <f>IF(D34="","",IFERROR(D34-TODAY(),0))</f>
        <v/>
      </c>
      <c r="F34" s="5">
        <f>IF(E34="","",IF(E34&lt;7,"URGENT",IF(E34&lt;15,"Attention",IF(E34&lt;30,"À planifier",""))))</f>
        <v/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29">
        <f>IF(D35="","",IFERROR(D35-TODAY(),0))</f>
        <v/>
      </c>
      <c r="F35" s="8">
        <f>IF(E35="","",IF(E35&lt;7,"URGENT",IF(E35&lt;15,"Attention",IF(E35&lt;30,"À planifier",""))))</f>
        <v/>
      </c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30">
        <f>IF(D36="","",IFERROR(D36-TODAY(),0))</f>
        <v/>
      </c>
      <c r="F36" s="5">
        <f>IF(E36="","",IF(E36&lt;7,"URGENT",IF(E36&lt;15,"Attention",IF(E36&lt;30,"À planifier",""))))</f>
        <v/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29">
        <f>IF(D37="","",IFERROR(D37-TODAY(),0))</f>
        <v/>
      </c>
      <c r="F37" s="8">
        <f>IF(E37="","",IF(E37&lt;7,"URGENT",IF(E37&lt;15,"Attention",IF(E37&lt;30,"À planifier",""))))</f>
        <v/>
      </c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30">
        <f>IF(D38="","",IFERROR(D38-TODAY(),0))</f>
        <v/>
      </c>
      <c r="F38" s="5">
        <f>IF(E38="","",IF(E38&lt;7,"URGENT",IF(E38&lt;15,"Attention",IF(E38&lt;30,"À planifier",""))))</f>
        <v/>
      </c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29">
        <f>IF(D39="","",IFERROR(D39-TODAY(),0))</f>
        <v/>
      </c>
      <c r="F39" s="8">
        <f>IF(E39="","",IF(E39&lt;7,"URGENT",IF(E39&lt;15,"Attention",IF(E39&lt;30,"À planifier",""))))</f>
        <v/>
      </c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30">
        <f>IF(D40="","",IFERROR(D40-TODAY(),0))</f>
        <v/>
      </c>
      <c r="F40" s="5">
        <f>IF(E40="","",IF(E40&lt;7,"URGENT",IF(E40&lt;15,"Attention",IF(E40&lt;30,"À planifier",""))))</f>
        <v/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29">
        <f>IF(D41="","",IFERROR(D41-TODAY(),0))</f>
        <v/>
      </c>
      <c r="F41" s="8">
        <f>IF(E41="","",IF(E41&lt;7,"URGENT",IF(E41&lt;15,"Attention",IF(E41&lt;30,"À planifier",""))))</f>
        <v/>
      </c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30">
        <f>IF(D42="","",IFERROR(D42-TODAY(),0))</f>
        <v/>
      </c>
      <c r="F42" s="5">
        <f>IF(E42="","",IF(E42&lt;7,"URGENT",IF(E42&lt;15,"Attention",IF(E42&lt;30,"À planifier",""))))</f>
        <v/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29">
        <f>IF(D43="","",IFERROR(D43-TODAY(),0))</f>
        <v/>
      </c>
      <c r="F43" s="8">
        <f>IF(E43="","",IF(E43&lt;7,"URGENT",IF(E43&lt;15,"Attention",IF(E43&lt;30,"À planifier",""))))</f>
        <v/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30">
        <f>IF(D44="","",IFERROR(D44-TODAY(),0))</f>
        <v/>
      </c>
      <c r="F44" s="5">
        <f>IF(E44="","",IF(E44&lt;7,"URGENT",IF(E44&lt;15,"Attention",IF(E44&lt;30,"À planifier",""))))</f>
        <v/>
      </c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29">
        <f>IF(D45="","",IFERROR(D45-TODAY(),0))</f>
        <v/>
      </c>
      <c r="F45" s="8">
        <f>IF(E45="","",IF(E45&lt;7,"URGENT",IF(E45&lt;15,"Attention",IF(E45&lt;30,"À planifier",""))))</f>
        <v/>
      </c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30">
        <f>IF(D46="","",IFERROR(D46-TODAY(),0))</f>
        <v/>
      </c>
      <c r="F46" s="5">
        <f>IF(E46="","",IF(E46&lt;7,"URGENT",IF(E46&lt;15,"Attention",IF(E46&lt;30,"À planifier",""))))</f>
        <v/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29">
        <f>IF(D47="","",IFERROR(D47-TODAY(),0))</f>
        <v/>
      </c>
      <c r="F47" s="8">
        <f>IF(E47="","",IF(E47&lt;7,"URGENT",IF(E47&lt;15,"Attention",IF(E47&lt;30,"À planifier",""))))</f>
        <v/>
      </c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30">
        <f>IF(D48="","",IFERROR(D48-TODAY(),0))</f>
        <v/>
      </c>
      <c r="F48" s="5">
        <f>IF(E48="","",IF(E48&lt;7,"URGENT",IF(E48&lt;15,"Attention",IF(E48&lt;30,"À planifier",""))))</f>
        <v/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29">
        <f>IF(D49="","",IFERROR(D49-TODAY(),0))</f>
        <v/>
      </c>
      <c r="F49" s="8">
        <f>IF(E49="","",IF(E49&lt;7,"URGENT",IF(E49&lt;15,"Attention",IF(E49&lt;30,"À planifier",""))))</f>
        <v/>
      </c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30">
        <f>IF(D50="","",IFERROR(D50-TODAY(),0))</f>
        <v/>
      </c>
      <c r="F50" s="5">
        <f>IF(E50="","",IF(E50&lt;7,"URGENT",IF(E50&lt;15,"Attention",IF(E50&lt;30,"À planifier",""))))</f>
        <v/>
      </c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29">
        <f>IF(D51="","",IFERROR(D51-TODAY(),0))</f>
        <v/>
      </c>
      <c r="F51" s="8">
        <f>IF(E51="","",IF(E51&lt;7,"URGENT",IF(E51&lt;15,"Attention",IF(E51&lt;30,"À planifier",""))))</f>
        <v/>
      </c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30">
        <f>IF(D52="","",IFERROR(D52-TODAY(),0))</f>
        <v/>
      </c>
      <c r="F52" s="5">
        <f>IF(E52="","",IF(E52&lt;7,"URGENT",IF(E52&lt;15,"Attention",IF(E52&lt;30,"À planifier",""))))</f>
        <v/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29">
        <f>IF(D53="","",IFERROR(D53-TODAY(),0))</f>
        <v/>
      </c>
      <c r="F53" s="8">
        <f>IF(E53="","",IF(E53&lt;7,"URGENT",IF(E53&lt;15,"Attention",IF(E53&lt;30,"À planifier",""))))</f>
        <v/>
      </c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30">
        <f>IF(D54="","",IFERROR(D54-TODAY(),0))</f>
        <v/>
      </c>
      <c r="F54" s="5">
        <f>IF(E54="","",IF(E54&lt;7,"URGENT",IF(E54&lt;15,"Attention",IF(E54&lt;30,"À planifier",""))))</f>
        <v/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29">
        <f>IF(D55="","",IFERROR(D55-TODAY(),0))</f>
        <v/>
      </c>
      <c r="F55" s="8">
        <f>IF(E55="","",IF(E55&lt;7,"URGENT",IF(E55&lt;15,"Attention",IF(E55&lt;30,"À planifier",""))))</f>
        <v/>
      </c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30">
        <f>IF(D56="","",IFERROR(D56-TODAY(),0))</f>
        <v/>
      </c>
      <c r="F56" s="5">
        <f>IF(E56="","",IF(E56&lt;7,"URGENT",IF(E56&lt;15,"Attention",IF(E56&lt;30,"À planifier",""))))</f>
        <v/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29">
        <f>IF(D57="","",IFERROR(D57-TODAY(),0))</f>
        <v/>
      </c>
      <c r="F57" s="8">
        <f>IF(E57="","",IF(E57&lt;7,"URGENT",IF(E57&lt;15,"Attention",IF(E57&lt;30,"À planifier",""))))</f>
        <v/>
      </c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30">
        <f>IF(D58="","",IFERROR(D58-TODAY(),0))</f>
        <v/>
      </c>
      <c r="F58" s="5">
        <f>IF(E58="","",IF(E58&lt;7,"URGENT",IF(E58&lt;15,"Attention",IF(E58&lt;30,"À planifier",""))))</f>
        <v/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29">
        <f>IF(D59="","",IFERROR(D59-TODAY(),0))</f>
        <v/>
      </c>
      <c r="F59" s="8">
        <f>IF(E59="","",IF(E59&lt;7,"URGENT",IF(E59&lt;15,"Attention",IF(E59&lt;30,"À planifier",""))))</f>
        <v/>
      </c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30">
        <f>IF(D60="","",IFERROR(D60-TODAY(),0))</f>
        <v/>
      </c>
      <c r="F60" s="5">
        <f>IF(E60="","",IF(E60&lt;7,"URGENT",IF(E60&lt;15,"Attention",IF(E60&lt;30,"À planifier",""))))</f>
        <v/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29">
        <f>IF(D61="","",IFERROR(D61-TODAY(),0))</f>
        <v/>
      </c>
      <c r="F61" s="8">
        <f>IF(E61="","",IF(E61&lt;7,"URGENT",IF(E61&lt;15,"Attention",IF(E61&lt;30,"À planifier",""))))</f>
        <v/>
      </c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30">
        <f>IF(D62="","",IFERROR(D62-TODAY(),0))</f>
        <v/>
      </c>
      <c r="F62" s="5">
        <f>IF(E62="","",IF(E62&lt;7,"URGENT",IF(E62&lt;15,"Attention",IF(E62&lt;30,"À planifier",""))))</f>
        <v/>
      </c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29">
        <f>IF(D63="","",IFERROR(D63-TODAY(),0))</f>
        <v/>
      </c>
      <c r="F63" s="8">
        <f>IF(E63="","",IF(E63&lt;7,"URGENT",IF(E63&lt;15,"Attention",IF(E63&lt;30,"À planifier",""))))</f>
        <v/>
      </c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30">
        <f>IF(D64="","",IFERROR(D64-TODAY(),0))</f>
        <v/>
      </c>
      <c r="F64" s="5">
        <f>IF(E64="","",IF(E64&lt;7,"URGENT",IF(E64&lt;15,"Attention",IF(E64&lt;30,"À planifier",""))))</f>
        <v/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29">
        <f>IF(D65="","",IFERROR(D65-TODAY(),0))</f>
        <v/>
      </c>
      <c r="F65" s="8">
        <f>IF(E65="","",IF(E65&lt;7,"URGENT",IF(E65&lt;15,"Attention",IF(E65&lt;30,"À planifier",""))))</f>
        <v/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30">
        <f>IF(D66="","",IFERROR(D66-TODAY(),0))</f>
        <v/>
      </c>
      <c r="F66" s="5">
        <f>IF(E66="","",IF(E66&lt;7,"URGENT",IF(E66&lt;15,"Attention",IF(E66&lt;30,"À planifier",""))))</f>
        <v/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29">
        <f>IF(D67="","",IFERROR(D67-TODAY(),0))</f>
        <v/>
      </c>
      <c r="F67" s="8">
        <f>IF(E67="","",IF(E67&lt;7,"URGENT",IF(E67&lt;15,"Attention",IF(E67&lt;30,"À planifier",""))))</f>
        <v/>
      </c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30">
        <f>IF(D68="","",IFERROR(D68-TODAY(),0))</f>
        <v/>
      </c>
      <c r="F68" s="5">
        <f>IF(E68="","",IF(E68&lt;7,"URGENT",IF(E68&lt;15,"Attention",IF(E68&lt;30,"À planifier",""))))</f>
        <v/>
      </c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29">
        <f>IF(D69="","",IFERROR(D69-TODAY(),0))</f>
        <v/>
      </c>
      <c r="F69" s="8">
        <f>IF(E69="","",IF(E69&lt;7,"URGENT",IF(E69&lt;15,"Attention",IF(E69&lt;30,"À planifier",""))))</f>
        <v/>
      </c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30">
        <f>IF(D70="","",IFERROR(D70-TODAY(),0))</f>
        <v/>
      </c>
      <c r="F70" s="5">
        <f>IF(E70="","",IF(E70&lt;7,"URGENT",IF(E70&lt;15,"Attention",IF(E70&lt;30,"À planifier",""))))</f>
        <v/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29">
        <f>IF(D71="","",IFERROR(D71-TODAY(),0))</f>
        <v/>
      </c>
      <c r="F71" s="8">
        <f>IF(E71="","",IF(E71&lt;7,"URGENT",IF(E71&lt;15,"Attention",IF(E71&lt;30,"À planifier",""))))</f>
        <v/>
      </c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30">
        <f>IF(D72="","",IFERROR(D72-TODAY(),0))</f>
        <v/>
      </c>
      <c r="F72" s="5">
        <f>IF(E72="","",IF(E72&lt;7,"URGENT",IF(E72&lt;15,"Attention",IF(E72&lt;30,"À planifier",""))))</f>
        <v/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29">
        <f>IF(D73="","",IFERROR(D73-TODAY(),0))</f>
        <v/>
      </c>
      <c r="F73" s="8">
        <f>IF(E73="","",IF(E73&lt;7,"URGENT",IF(E73&lt;15,"Attention",IF(E73&lt;30,"À planifier",""))))</f>
        <v/>
      </c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30">
        <f>IF(D74="","",IFERROR(D74-TODAY(),0))</f>
        <v/>
      </c>
      <c r="F74" s="5">
        <f>IF(E74="","",IF(E74&lt;7,"URGENT",IF(E74&lt;15,"Attention",IF(E74&lt;30,"À planifier",""))))</f>
        <v/>
      </c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29">
        <f>IF(D75="","",IFERROR(D75-TODAY(),0))</f>
        <v/>
      </c>
      <c r="F75" s="8">
        <f>IF(E75="","",IF(E75&lt;7,"URGENT",IF(E75&lt;15,"Attention",IF(E75&lt;30,"À planifier",""))))</f>
        <v/>
      </c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30">
        <f>IF(D76="","",IFERROR(D76-TODAY(),0))</f>
        <v/>
      </c>
      <c r="F76" s="5">
        <f>IF(E76="","",IF(E76&lt;7,"URGENT",IF(E76&lt;15,"Attention",IF(E76&lt;30,"À planifier",""))))</f>
        <v/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29">
        <f>IF(D77="","",IFERROR(D77-TODAY(),0))</f>
        <v/>
      </c>
      <c r="F77" s="8">
        <f>IF(E77="","",IF(E77&lt;7,"URGENT",IF(E77&lt;15,"Attention",IF(E77&lt;30,"À planifier",""))))</f>
        <v/>
      </c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30">
        <f>IF(D78="","",IFERROR(D78-TODAY(),0))</f>
        <v/>
      </c>
      <c r="F78" s="5">
        <f>IF(E78="","",IF(E78&lt;7,"URGENT",IF(E78&lt;15,"Attention",IF(E78&lt;30,"À planifier",""))))</f>
        <v/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29">
        <f>IF(D79="","",IFERROR(D79-TODAY(),0))</f>
        <v/>
      </c>
      <c r="F79" s="8">
        <f>IF(E79="","",IF(E79&lt;7,"URGENT",IF(E79&lt;15,"Attention",IF(E79&lt;30,"À planifier",""))))</f>
        <v/>
      </c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30">
        <f>IF(D80="","",IFERROR(D80-TODAY(),0))</f>
        <v/>
      </c>
      <c r="F80" s="5">
        <f>IF(E80="","",IF(E80&lt;7,"URGENT",IF(E80&lt;15,"Attention",IF(E80&lt;30,"À planifier",""))))</f>
        <v/>
      </c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29">
        <f>IF(D81="","",IFERROR(D81-TODAY(),0))</f>
        <v/>
      </c>
      <c r="F81" s="8">
        <f>IF(E81="","",IF(E81&lt;7,"URGENT",IF(E81&lt;15,"Attention",IF(E81&lt;30,"À planifier",""))))</f>
        <v/>
      </c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30">
        <f>IF(D82="","",IFERROR(D82-TODAY(),0))</f>
        <v/>
      </c>
      <c r="F82" s="5">
        <f>IF(E82="","",IF(E82&lt;7,"URGENT",IF(E82&lt;15,"Attention",IF(E82&lt;30,"À planifier",""))))</f>
        <v/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29">
        <f>IF(D83="","",IFERROR(D83-TODAY(),0))</f>
        <v/>
      </c>
      <c r="F83" s="8">
        <f>IF(E83="","",IF(E83&lt;7,"URGENT",IF(E83&lt;15,"Attention",IF(E83&lt;30,"À planifier",""))))</f>
        <v/>
      </c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30">
        <f>IF(D84="","",IFERROR(D84-TODAY(),0))</f>
        <v/>
      </c>
      <c r="F84" s="5">
        <f>IF(E84="","",IF(E84&lt;7,"URGENT",IF(E84&lt;15,"Attention",IF(E84&lt;30,"À planifier",""))))</f>
        <v/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29">
        <f>IF(D85="","",IFERROR(D85-TODAY(),0))</f>
        <v/>
      </c>
      <c r="F85" s="8">
        <f>IF(E85="","",IF(E85&lt;7,"URGENT",IF(E85&lt;15,"Attention",IF(E85&lt;30,"À planifier",""))))</f>
        <v/>
      </c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30">
        <f>IF(D86="","",IFERROR(D86-TODAY(),0))</f>
        <v/>
      </c>
      <c r="F86" s="5">
        <f>IF(E86="","",IF(E86&lt;7,"URGENT",IF(E86&lt;15,"Attention",IF(E86&lt;30,"À planifier",""))))</f>
        <v/>
      </c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29">
        <f>IF(D87="","",IFERROR(D87-TODAY(),0))</f>
        <v/>
      </c>
      <c r="F87" s="8">
        <f>IF(E87="","",IF(E87&lt;7,"URGENT",IF(E87&lt;15,"Attention",IF(E87&lt;30,"À planifier",""))))</f>
        <v/>
      </c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30">
        <f>IF(D88="","",IFERROR(D88-TODAY(),0))</f>
        <v/>
      </c>
      <c r="F88" s="5">
        <f>IF(E88="","",IF(E88&lt;7,"URGENT",IF(E88&lt;15,"Attention",IF(E88&lt;30,"À planifier",""))))</f>
        <v/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29">
        <f>IF(D89="","",IFERROR(D89-TODAY(),0))</f>
        <v/>
      </c>
      <c r="F89" s="8">
        <f>IF(E89="","",IF(E89&lt;7,"URGENT",IF(E89&lt;15,"Attention",IF(E89&lt;30,"À planifier",""))))</f>
        <v/>
      </c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30">
        <f>IF(D90="","",IFERROR(D90-TODAY(),0))</f>
        <v/>
      </c>
      <c r="F90" s="5">
        <f>IF(E90="","",IF(E90&lt;7,"URGENT",IF(E90&lt;15,"Attention",IF(E90&lt;30,"À planifier",""))))</f>
        <v/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29">
        <f>IF(D91="","",IFERROR(D91-TODAY(),0))</f>
        <v/>
      </c>
      <c r="F91" s="8">
        <f>IF(E91="","",IF(E91&lt;7,"URGENT",IF(E91&lt;15,"Attention",IF(E91&lt;30,"À planifier",""))))</f>
        <v/>
      </c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30">
        <f>IF(D92="","",IFERROR(D92-TODAY(),0))</f>
        <v/>
      </c>
      <c r="F92" s="5">
        <f>IF(E92="","",IF(E92&lt;7,"URGENT",IF(E92&lt;15,"Attention",IF(E92&lt;30,"À planifier",""))))</f>
        <v/>
      </c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29">
        <f>IF(D93="","",IFERROR(D93-TODAY(),0))</f>
        <v/>
      </c>
      <c r="F93" s="8">
        <f>IF(E93="","",IF(E93&lt;7,"URGENT",IF(E93&lt;15,"Attention",IF(E93&lt;30,"À planifier",""))))</f>
        <v/>
      </c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30">
        <f>IF(D94="","",IFERROR(D94-TODAY(),0))</f>
        <v/>
      </c>
      <c r="F94" s="5">
        <f>IF(E94="","",IF(E94&lt;7,"URGENT",IF(E94&lt;15,"Attention",IF(E94&lt;30,"À planifier",""))))</f>
        <v/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29">
        <f>IF(D95="","",IFERROR(D95-TODAY(),0))</f>
        <v/>
      </c>
      <c r="F95" s="8">
        <f>IF(E95="","",IF(E95&lt;7,"URGENT",IF(E95&lt;15,"Attention",IF(E95&lt;30,"À planifier",""))))</f>
        <v/>
      </c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30">
        <f>IF(D96="","",IFERROR(D96-TODAY(),0))</f>
        <v/>
      </c>
      <c r="F96" s="5">
        <f>IF(E96="","",IF(E96&lt;7,"URGENT",IF(E96&lt;15,"Attention",IF(E96&lt;30,"À planifier",""))))</f>
        <v/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29">
        <f>IF(D97="","",IFERROR(D97-TODAY(),0))</f>
        <v/>
      </c>
      <c r="F97" s="8">
        <f>IF(E97="","",IF(E97&lt;7,"URGENT",IF(E97&lt;15,"Attention",IF(E97&lt;30,"À planifier",""))))</f>
        <v/>
      </c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30">
        <f>IF(D98="","",IFERROR(D98-TODAY(),0))</f>
        <v/>
      </c>
      <c r="F98" s="5">
        <f>IF(E98="","",IF(E98&lt;7,"URGENT",IF(E98&lt;15,"Attention",IF(E98&lt;30,"À planifier",""))))</f>
        <v/>
      </c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29">
        <f>IF(D99="","",IFERROR(D99-TODAY(),0))</f>
        <v/>
      </c>
      <c r="F99" s="8">
        <f>IF(E99="","",IF(E99&lt;7,"URGENT",IF(E99&lt;15,"Attention",IF(E99&lt;30,"À planifier",""))))</f>
        <v/>
      </c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30">
        <f>IF(D100="","",IFERROR(D100-TODAY(),0))</f>
        <v/>
      </c>
      <c r="F100" s="5">
        <f>IF(E100="","",IF(E100&lt;7,"URGENT",IF(E100&lt;15,"Attention",IF(E100&lt;30,"À planifier",""))))</f>
        <v/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29">
        <f>IF(D101="","",IFERROR(D101-TODAY(),0))</f>
        <v/>
      </c>
      <c r="F101" s="8">
        <f>IF(E101="","",IF(E101&lt;7,"URGENT",IF(E101&lt;15,"Attention",IF(E101&lt;30,"À planifier",""))))</f>
        <v/>
      </c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30">
        <f>IF(D102="","",IFERROR(D102-TODAY(),0))</f>
        <v/>
      </c>
      <c r="F102" s="5">
        <f>IF(E102="","",IF(E102&lt;7,"URGENT",IF(E102&lt;15,"Attention",IF(E102&lt;30,"À planifier",""))))</f>
        <v/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29">
        <f>IF(D103="","",IFERROR(D103-TODAY(),0))</f>
        <v/>
      </c>
      <c r="F103" s="8">
        <f>IF(E103="","",IF(E103&lt;7,"URGENT",IF(E103&lt;15,"Attention",IF(E103&lt;30,"À planifier",""))))</f>
        <v/>
      </c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30">
        <f>IF(D104="","",IFERROR(D104-TODAY(),0))</f>
        <v/>
      </c>
      <c r="F104" s="5">
        <f>IF(E104="","",IF(E104&lt;7,"URGENT",IF(E104&lt;15,"Attention",IF(E104&lt;30,"À planifier",""))))</f>
        <v/>
      </c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29">
        <f>IF(D105="","",IFERROR(D105-TODAY(),0))</f>
        <v/>
      </c>
      <c r="F105" s="8">
        <f>IF(E105="","",IF(E105&lt;7,"URGENT",IF(E105&lt;15,"Attention",IF(E105&lt;30,"À planifier",""))))</f>
        <v/>
      </c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30">
        <f>IF(D106="","",IFERROR(D106-TODAY(),0))</f>
        <v/>
      </c>
      <c r="F106" s="5">
        <f>IF(E106="","",IF(E106&lt;7,"URGENT",IF(E106&lt;15,"Attention",IF(E106&lt;30,"À planifier",""))))</f>
        <v/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29">
        <f>IF(D107="","",IFERROR(D107-TODAY(),0))</f>
        <v/>
      </c>
      <c r="F107" s="8">
        <f>IF(E107="","",IF(E107&lt;7,"URGENT",IF(E107&lt;15,"Attention",IF(E107&lt;30,"À planifier",""))))</f>
        <v/>
      </c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30">
        <f>IF(D108="","",IFERROR(D108-TODAY(),0))</f>
        <v/>
      </c>
      <c r="F108" s="5">
        <f>IF(E108="","",IF(E108&lt;7,"URGENT",IF(E108&lt;15,"Attention",IF(E108&lt;30,"À planifier",""))))</f>
        <v/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29">
        <f>IF(D109="","",IFERROR(D109-TODAY(),0))</f>
        <v/>
      </c>
      <c r="F109" s="8">
        <f>IF(E109="","",IF(E109&lt;7,"URGENT",IF(E109&lt;15,"Attention",IF(E109&lt;30,"À planifier",""))))</f>
        <v/>
      </c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30">
        <f>IF(D110="","",IFERROR(D110-TODAY(),0))</f>
        <v/>
      </c>
      <c r="F110" s="5">
        <f>IF(E110="","",IF(E110&lt;7,"URGENT",IF(E110&lt;15,"Attention",IF(E110&lt;30,"À planifier",""))))</f>
        <v/>
      </c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29">
        <f>IF(D111="","",IFERROR(D111-TODAY(),0))</f>
        <v/>
      </c>
      <c r="F111" s="8">
        <f>IF(E111="","",IF(E111&lt;7,"URGENT",IF(E111&lt;15,"Attention",IF(E111&lt;30,"À planifier",""))))</f>
        <v/>
      </c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30">
        <f>IF(D112="","",IFERROR(D112-TODAY(),0))</f>
        <v/>
      </c>
      <c r="F112" s="5">
        <f>IF(E112="","",IF(E112&lt;7,"URGENT",IF(E112&lt;15,"Attention",IF(E112&lt;30,"À planifier",""))))</f>
        <v/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29">
        <f>IF(D113="","",IFERROR(D113-TODAY(),0))</f>
        <v/>
      </c>
      <c r="F113" s="8">
        <f>IF(E113="","",IF(E113&lt;7,"URGENT",IF(E113&lt;15,"Attention",IF(E113&lt;30,"À planifier",""))))</f>
        <v/>
      </c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30">
        <f>IF(D114="","",IFERROR(D114-TODAY(),0))</f>
        <v/>
      </c>
      <c r="F114" s="5">
        <f>IF(E114="","",IF(E114&lt;7,"URGENT",IF(E114&lt;15,"Attention",IF(E114&lt;30,"À planifier",""))))</f>
        <v/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29">
        <f>IF(D115="","",IFERROR(D115-TODAY(),0))</f>
        <v/>
      </c>
      <c r="F115" s="8">
        <f>IF(E115="","",IF(E115&lt;7,"URGENT",IF(E115&lt;15,"Attention",IF(E115&lt;30,"À planifier",""))))</f>
        <v/>
      </c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E6:E115">
    <cfRule type="cellIs" priority="1" operator="lessThan" dxfId="0">
      <formula>7</formula>
    </cfRule>
    <cfRule type="cellIs" priority="2" operator="between" dxfId="1">
      <formula>7</formula>
      <formula>14</formula>
    </cfRule>
    <cfRule type="cellIs" priority="3" operator="greaterThanOrEqual" dxfId="2">
      <formula>30</formula>
    </cfRule>
  </conditionalFormatting>
  <conditionalFormatting sqref="F6:F115">
    <cfRule type="cellIs" priority="4" operator="equal" dxfId="0">
      <formula>"URGENT"</formula>
    </cfRule>
    <cfRule type="cellIs" priority="5" operator="equal" dxfId="1">
      <formula>"Attention"</formula>
    </cfRule>
  </conditionalFormatting>
  <dataValidations count="4">
    <dataValidation sqref="B6:B115" showDropDown="0" showInputMessage="0" showErrorMessage="0" allowBlank="1" errorTitle="Erreur" error="Valeur invalide" promptTitle="" prompt="Choisir dans la liste: " type="list">
      <formula1>'F02 - _Lists'!$J$6:$J$13</formula1>
    </dataValidation>
    <dataValidation sqref="C6:C115" showDropDown="0" showInputMessage="0" showErrorMessage="0" allowBlank="1" errorTitle="Erreur" error="Valeur invalide" promptTitle="" prompt="Choisir dans la liste: " type="list">
      <formula1>'F02 - _Lists'!$C$6:$C$15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_Lists'!$H$6:$H$8</formula1>
    </dataValidation>
    <dataValidation sqref="I6:I115" showDropDown="0" showInputMessage="0" showErrorMessage="0" allowBlank="1" errorTitle="Erreur" error="Valeur invalide" promptTitle="" prompt="Choisir dans la liste: " type="list">
      <formula1>'F02 - _Lists'!$F$6:$F$10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O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2" customWidth="1" min="4" max="4"/>
    <col width="22" customWidth="1" min="5" max="5"/>
    <col width="18" customWidth="1" min="6" max="6"/>
    <col width="22" customWidth="1" min="7" max="7"/>
    <col width="22" customWidth="1" min="8" max="8"/>
    <col width="18" customWidth="1" min="9" max="9"/>
    <col width="22" customWidth="1" min="10" max="10"/>
    <col width="30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8" customHeight="1"/>
    <row r="2" ht="30" customHeight="1">
      <c r="A2" s="1" t="inlineStr">
        <is>
          <t>17-TABLEAU DE BORD FINANCIER COMMUNICATION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Mois</t>
        </is>
      </c>
      <c r="B5" s="4" t="inlineStr">
        <is>
          <t>Événements (FCFA)</t>
        </is>
      </c>
      <c r="C5" s="4" t="inlineStr">
        <is>
          <t>Newsletter (FCFA)</t>
        </is>
      </c>
      <c r="D5" s="4" t="inlineStr">
        <is>
          <t>Intranet/Digital (FCFA)</t>
        </is>
      </c>
      <c r="E5" s="4" t="inlineStr">
        <is>
          <t>Reconnaissance (FCFA)</t>
        </is>
      </c>
      <c r="F5" s="4" t="inlineStr">
        <is>
          <t>Formation (FCFA)</t>
        </is>
      </c>
      <c r="G5" s="4" t="inlineStr">
        <is>
          <t>Total Coûts (FCFA)</t>
        </is>
      </c>
      <c r="H5" s="4" t="inlineStr">
        <is>
          <t>Budget Mensuel (FCFA)</t>
        </is>
      </c>
      <c r="I5" s="4" t="inlineStr">
        <is>
          <t>Variance (FCFA)</t>
        </is>
      </c>
      <c r="J5" s="4" t="inlineStr">
        <is>
          <t>Taux Réalisation (%)</t>
        </is>
      </c>
      <c r="K5" s="4" t="inlineStr">
        <is>
          <t>Observations</t>
        </is>
      </c>
      <c r="L5" s="4" t="inlineStr"/>
      <c r="M5" s="4" t="inlineStr"/>
      <c r="N5" s="4" t="inlineStr"/>
      <c r="O5" s="4" t="inlineStr"/>
    </row>
    <row r="6" ht="22" customHeight="1">
      <c r="A6" s="5" t="inlineStr">
        <is>
          <t>Janvier 2025</t>
        </is>
      </c>
      <c r="B6" s="25" t="n">
        <v>350000</v>
      </c>
      <c r="C6" s="25" t="n">
        <v>10000</v>
      </c>
      <c r="D6" s="25" t="n">
        <v>30000</v>
      </c>
      <c r="E6" s="25" t="n">
        <v>50000</v>
      </c>
      <c r="F6" s="25" t="n">
        <v>0</v>
      </c>
      <c r="G6" s="30">
        <f>SUM(B6:F6)</f>
        <v/>
      </c>
      <c r="H6" s="25" t="n">
        <v>500000</v>
      </c>
      <c r="I6" s="30">
        <f>IF(H6="","",H6-G6)</f>
        <v/>
      </c>
      <c r="J6" s="26">
        <f>IF(H6="","",IFERROR(G6/H6*100,0))</f>
        <v/>
      </c>
      <c r="K6" s="5" t="inlineStr">
        <is>
          <t>Kick-off + newsletter</t>
        </is>
      </c>
      <c r="L6" s="5" t="inlineStr"/>
      <c r="M6" s="5" t="inlineStr"/>
      <c r="N6" s="5" t="inlineStr"/>
    </row>
    <row r="7" ht="22" customHeight="1">
      <c r="A7" s="8" t="inlineStr">
        <is>
          <t>Février 2025</t>
        </is>
      </c>
      <c r="B7" s="27" t="n">
        <v>142000</v>
      </c>
      <c r="C7" s="27" t="n">
        <v>10000</v>
      </c>
      <c r="D7" s="27" t="n">
        <v>25000</v>
      </c>
      <c r="E7" s="27" t="n">
        <v>50000</v>
      </c>
      <c r="F7" s="27" t="n">
        <v>0</v>
      </c>
      <c r="G7" s="29">
        <f>SUM(B7:F7)</f>
        <v/>
      </c>
      <c r="H7" s="27" t="n">
        <v>420000</v>
      </c>
      <c r="I7" s="29">
        <f>IF(H7="","",H7-G7)</f>
        <v/>
      </c>
      <c r="J7" s="28">
        <f>IF(H7="","",IFERROR(G7/H7*100,0))</f>
        <v/>
      </c>
      <c r="K7" s="8" t="inlineStr">
        <is>
          <t>Tournoi sportif</t>
        </is>
      </c>
      <c r="L7" s="8" t="inlineStr"/>
      <c r="M7" s="8" t="inlineStr"/>
      <c r="N7" s="8" t="inlineStr"/>
    </row>
    <row r="8" ht="22" customHeight="1">
      <c r="A8" s="5" t="inlineStr">
        <is>
          <t>Mars 2025</t>
        </is>
      </c>
      <c r="B8" s="25" t="n">
        <v>278000</v>
      </c>
      <c r="C8" s="25" t="n">
        <v>10000</v>
      </c>
      <c r="D8" s="25" t="n">
        <v>30000</v>
      </c>
      <c r="E8" s="25" t="n">
        <v>50000</v>
      </c>
      <c r="F8" s="25" t="n">
        <v>80000</v>
      </c>
      <c r="G8" s="30">
        <f>SUM(B8:F8)</f>
        <v/>
      </c>
      <c r="H8" s="25" t="n">
        <v>520000</v>
      </c>
      <c r="I8" s="30">
        <f>IF(H8="","",H8-G8)</f>
        <v/>
      </c>
      <c r="J8" s="26">
        <f>IF(H8="","",IFERROR(G8/H8*100,0))</f>
        <v/>
      </c>
      <c r="K8" s="5" t="inlineStr">
        <is>
          <t>Atelier + iftar + formation</t>
        </is>
      </c>
      <c r="L8" s="5" t="inlineStr"/>
      <c r="M8" s="5" t="inlineStr"/>
      <c r="N8" s="5" t="inlineStr"/>
    </row>
    <row r="9" ht="22" customHeight="1">
      <c r="A9" s="8" t="inlineStr">
        <is>
          <t>Avril 2025</t>
        </is>
      </c>
      <c r="B9" s="27" t="n">
        <v>0</v>
      </c>
      <c r="C9" s="27" t="n">
        <v>10000</v>
      </c>
      <c r="D9" s="27" t="n">
        <v>35000</v>
      </c>
      <c r="E9" s="27" t="n">
        <v>50000</v>
      </c>
      <c r="F9" s="27" t="n">
        <v>0</v>
      </c>
      <c r="G9" s="29">
        <f>SUM(B9:F9)</f>
        <v/>
      </c>
      <c r="H9" s="27" t="n">
        <v>380000</v>
      </c>
      <c r="I9" s="29">
        <f>IF(H9="","",H9-G9)</f>
        <v/>
      </c>
      <c r="J9" s="28">
        <f>IF(H9="","",IFERROR(G9/H9*100,0))</f>
        <v/>
      </c>
      <c r="K9" s="8" t="inlineStr">
        <is>
          <t>Journée bien-être</t>
        </is>
      </c>
      <c r="L9" s="8" t="inlineStr"/>
      <c r="M9" s="8" t="inlineStr"/>
      <c r="N9" s="8" t="inlineStr"/>
    </row>
    <row r="10" ht="22" customHeight="1">
      <c r="A10" s="5" t="inlineStr">
        <is>
          <t>Mai 2025</t>
        </is>
      </c>
      <c r="B10" s="25" t="n">
        <v>150000</v>
      </c>
      <c r="C10" s="25" t="n">
        <v>10000</v>
      </c>
      <c r="D10" s="25" t="n">
        <v>30000</v>
      </c>
      <c r="E10" s="25" t="n">
        <v>50000</v>
      </c>
      <c r="F10" s="25" t="n">
        <v>0</v>
      </c>
      <c r="G10" s="30">
        <f>SUM(B10:F10)</f>
        <v/>
      </c>
      <c r="H10" s="25" t="n">
        <v>400000</v>
      </c>
      <c r="I10" s="30">
        <f>IF(H10="","",H10-G10)</f>
        <v/>
      </c>
      <c r="J10" s="26">
        <f>IF(H10="","",IFERROR(G10/H10*100,0))</f>
        <v/>
      </c>
      <c r="K10" s="5" t="inlineStr">
        <is>
          <t>Sortie famille</t>
        </is>
      </c>
      <c r="L10" s="5" t="inlineStr"/>
      <c r="M10" s="5" t="inlineStr"/>
      <c r="N10" s="5" t="inlineStr"/>
    </row>
    <row r="11" ht="22" customHeight="1">
      <c r="A11" s="8" t="inlineStr">
        <is>
          <t>Juin 2025</t>
        </is>
      </c>
      <c r="B11" s="27" t="n">
        <v>400000</v>
      </c>
      <c r="C11" s="27" t="n">
        <v>10000</v>
      </c>
      <c r="D11" s="27" t="n">
        <v>40000</v>
      </c>
      <c r="E11" s="27" t="n">
        <v>50000</v>
      </c>
      <c r="F11" s="27" t="n">
        <v>0</v>
      </c>
      <c r="G11" s="29">
        <f>SUM(B11:F11)</f>
        <v/>
      </c>
      <c r="H11" s="27" t="n">
        <v>650000</v>
      </c>
      <c r="I11" s="29">
        <f>IF(H11="","",H11-G11)</f>
        <v/>
      </c>
      <c r="J11" s="28">
        <f>IF(H11="","",IFERROR(G11/H11*100,0))</f>
        <v/>
      </c>
      <c r="K11" s="8" t="inlineStr">
        <is>
          <t>Team building annuel</t>
        </is>
      </c>
      <c r="L11" s="8" t="inlineStr"/>
      <c r="M11" s="8" t="inlineStr"/>
      <c r="N11" s="8" t="inlineStr"/>
    </row>
    <row r="12" ht="22" customHeight="1">
      <c r="A12" s="5" t="inlineStr">
        <is>
          <t>Juillet 2025</t>
        </is>
      </c>
      <c r="B12" s="25" t="n">
        <v>100000</v>
      </c>
      <c r="C12" s="25" t="n">
        <v>10000</v>
      </c>
      <c r="D12" s="25" t="n">
        <v>25000</v>
      </c>
      <c r="E12" s="25" t="n">
        <v>50000</v>
      </c>
      <c r="F12" s="25" t="n">
        <v>0</v>
      </c>
      <c r="G12" s="30">
        <f>SUM(B12:F12)</f>
        <v/>
      </c>
      <c r="H12" s="25" t="n">
        <v>350000</v>
      </c>
      <c r="I12" s="30">
        <f>IF(H12="","",H12-G12)</f>
        <v/>
      </c>
      <c r="J12" s="26">
        <f>IF(H12="","",IFERROR(G12/H12*100,0))</f>
        <v/>
      </c>
      <c r="K12" s="5" t="inlineStr">
        <is>
          <t>Basse saison</t>
        </is>
      </c>
      <c r="L12" s="5" t="inlineStr"/>
      <c r="M12" s="5" t="inlineStr"/>
      <c r="N12" s="5" t="inlineStr"/>
    </row>
    <row r="13" ht="22" customHeight="1">
      <c r="A13" s="8" t="inlineStr">
        <is>
          <t>Août 2025</t>
        </is>
      </c>
      <c r="B13" s="27" t="n">
        <v>120000</v>
      </c>
      <c r="C13" s="27" t="n">
        <v>10000</v>
      </c>
      <c r="D13" s="27" t="n">
        <v>25000</v>
      </c>
      <c r="E13" s="27" t="n">
        <v>50000</v>
      </c>
      <c r="F13" s="27" t="n">
        <v>0</v>
      </c>
      <c r="G13" s="29">
        <f>SUM(B13:F13)</f>
        <v/>
      </c>
      <c r="H13" s="27" t="n">
        <v>360000</v>
      </c>
      <c r="I13" s="29">
        <f>IF(H13="","",H13-G13)</f>
        <v/>
      </c>
      <c r="J13" s="28">
        <f>IF(H13="","",IFERROR(G13/H13*100,0))</f>
        <v/>
      </c>
      <c r="K13" s="8" t="inlineStr">
        <is>
          <t>Basse saison</t>
        </is>
      </c>
      <c r="L13" s="8" t="inlineStr"/>
      <c r="M13" s="8" t="inlineStr"/>
      <c r="N13" s="8" t="inlineStr"/>
    </row>
    <row r="14" ht="22" customHeight="1">
      <c r="A14" s="5" t="inlineStr">
        <is>
          <t>Septembre 2025</t>
        </is>
      </c>
      <c r="B14" s="25" t="n">
        <v>200000</v>
      </c>
      <c r="C14" s="25" t="n">
        <v>10000</v>
      </c>
      <c r="D14" s="25" t="n">
        <v>30000</v>
      </c>
      <c r="E14" s="25" t="n">
        <v>50000</v>
      </c>
      <c r="F14" s="25" t="n">
        <v>40000</v>
      </c>
      <c r="G14" s="30">
        <f>SUM(B14:F14)</f>
        <v/>
      </c>
      <c r="H14" s="25" t="n">
        <v>480000</v>
      </c>
      <c r="I14" s="30">
        <f>IF(H14="","",H14-G14)</f>
        <v/>
      </c>
      <c r="J14" s="26">
        <f>IF(H14="","",IFERROR(G14/H14*100,0))</f>
        <v/>
      </c>
      <c r="K14" s="5" t="inlineStr">
        <is>
          <t>Rentrée, formation</t>
        </is>
      </c>
      <c r="L14" s="5" t="inlineStr"/>
      <c r="M14" s="5" t="inlineStr"/>
      <c r="N14" s="5" t="inlineStr"/>
    </row>
    <row r="15" ht="22" customHeight="1">
      <c r="A15" s="8" t="inlineStr">
        <is>
          <t>Octobre 2025</t>
        </is>
      </c>
      <c r="B15" s="27" t="n">
        <v>180000</v>
      </c>
      <c r="C15" s="27" t="n">
        <v>10000</v>
      </c>
      <c r="D15" s="27" t="n">
        <v>30000</v>
      </c>
      <c r="E15" s="27" t="n">
        <v>50000</v>
      </c>
      <c r="F15" s="27" t="n">
        <v>0</v>
      </c>
      <c r="G15" s="29">
        <f>SUM(B15:F15)</f>
        <v/>
      </c>
      <c r="H15" s="27" t="n">
        <v>430000</v>
      </c>
      <c r="I15" s="29">
        <f>IF(H15="","",H15-G15)</f>
        <v/>
      </c>
      <c r="J15" s="28">
        <f>IF(H15="","",IFERROR(G15/H15*100,0))</f>
        <v/>
      </c>
      <c r="K15" s="8" t="inlineStr"/>
      <c r="L15" s="8" t="inlineStr"/>
      <c r="M15" s="8" t="inlineStr"/>
      <c r="N15" s="8" t="inlineStr"/>
    </row>
    <row r="16" ht="22" customHeight="1">
      <c r="A16" s="5" t="inlineStr">
        <is>
          <t>Novembre 2025</t>
        </is>
      </c>
      <c r="B16" s="25" t="n">
        <v>250000</v>
      </c>
      <c r="C16" s="25" t="n">
        <v>10000</v>
      </c>
      <c r="D16" s="25" t="n">
        <v>35000</v>
      </c>
      <c r="E16" s="25" t="n">
        <v>50000</v>
      </c>
      <c r="F16" s="25" t="n">
        <v>0</v>
      </c>
      <c r="G16" s="30">
        <f>SUM(B16:F16)</f>
        <v/>
      </c>
      <c r="H16" s="25" t="n">
        <v>500000</v>
      </c>
      <c r="I16" s="30">
        <f>IF(H16="","",H16-G16)</f>
        <v/>
      </c>
      <c r="J16" s="26">
        <f>IF(H16="","",IFERROR(G16/H16*100,0))</f>
        <v/>
      </c>
      <c r="K16" s="5" t="inlineStr"/>
      <c r="L16" s="5" t="inlineStr"/>
      <c r="M16" s="5" t="inlineStr"/>
      <c r="N16" s="5" t="inlineStr"/>
    </row>
    <row r="17" ht="22" customHeight="1">
      <c r="A17" s="8" t="inlineStr">
        <is>
          <t>Décembre 2025</t>
        </is>
      </c>
      <c r="B17" s="27" t="n">
        <v>500000</v>
      </c>
      <c r="C17" s="27" t="n">
        <v>15000</v>
      </c>
      <c r="D17" s="27" t="n">
        <v>30000</v>
      </c>
      <c r="E17" s="27" t="n">
        <v>50000</v>
      </c>
      <c r="F17" s="27" t="n">
        <v>0</v>
      </c>
      <c r="G17" s="29">
        <f>SUM(B17:F17)</f>
        <v/>
      </c>
      <c r="H17" s="27" t="n">
        <v>700000</v>
      </c>
      <c r="I17" s="29">
        <f>IF(H17="","",H17-G17)</f>
        <v/>
      </c>
      <c r="J17" s="28">
        <f>IF(H17="","",IFERROR(G17/H17*100,0))</f>
        <v/>
      </c>
      <c r="K17" s="8" t="inlineStr">
        <is>
          <t>Fête de fin d'année</t>
        </is>
      </c>
      <c r="L17" s="8" t="inlineStr"/>
      <c r="M17" s="8" t="inlineStr"/>
      <c r="N17" s="8" t="inlineStr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</sheetData>
  <mergeCells count="2">
    <mergeCell ref="A3:N3"/>
    <mergeCell ref="A2:N2"/>
  </mergeCells>
  <conditionalFormatting sqref="I6:I17">
    <cfRule type="cellIs" priority="1" operator="lessThan" dxfId="0">
      <formula>0</formula>
    </cfRule>
    <cfRule type="cellIs" priority="2" operator="greaterThanOrEqual" dxfId="2">
      <formula>0</formula>
    </cfRule>
  </conditionalFormatting>
  <dataValidations count="1">
    <dataValidation sqref="A6:A115" showDropDown="0" showInputMessage="0" showErrorMessage="0" allowBlank="1" errorTitle="Erreur" error="Valeur invalide" promptTitle="" prompt="Choisir dans la liste: " type="list">
      <formula1>'F02 - _Lists'!$P$6:$P$17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22" customWidth="1" min="8" max="8"/>
    <col width="36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18-INDICATEURS DE PERFORMANCE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Indicateur</t>
        </is>
      </c>
      <c r="B5" s="4" t="inlineStr">
        <is>
          <t>Indicateur</t>
        </is>
      </c>
      <c r="C5" s="4" t="inlineStr">
        <is>
          <t>Cible</t>
        </is>
      </c>
      <c r="D5" s="4" t="inlineStr">
        <is>
          <t>Valeur Actuelle</t>
        </is>
      </c>
      <c r="E5" s="4" t="inlineStr">
        <is>
          <t>Écart</t>
        </is>
      </c>
      <c r="F5" s="4" t="inlineStr">
        <is>
          <t>Tendance</t>
        </is>
      </c>
      <c r="G5" s="4" t="inlineStr">
        <is>
          <t>Période</t>
        </is>
      </c>
      <c r="H5" s="4" t="inlineStr">
        <is>
          <t>Responsable</t>
        </is>
      </c>
      <c r="I5" s="4" t="inlineStr">
        <is>
          <t>Commentaire</t>
        </is>
      </c>
      <c r="J5" s="4" t="inlineStr">
        <is>
          <t>Observations</t>
        </is>
      </c>
      <c r="K5" s="4" t="inlineStr"/>
      <c r="L5" s="4" t="inlineStr"/>
      <c r="M5" s="4" t="inlineStr"/>
      <c r="N5" s="4" t="inlineStr"/>
    </row>
    <row r="6" ht="22" customHeight="1">
      <c r="A6" s="5" t="inlineStr">
        <is>
          <t>COM-01</t>
        </is>
      </c>
      <c r="B6" s="5" t="inlineStr">
        <is>
          <t>Score engagement moyen</t>
        </is>
      </c>
      <c r="C6" s="5" t="inlineStr">
        <is>
          <t>≥80%</t>
        </is>
      </c>
      <c r="D6" s="5" t="inlineStr">
        <is>
          <t>75.6%</t>
        </is>
      </c>
      <c r="E6" s="5">
        <f>IF(C6="","",C6&amp;" - "&amp;D6)</f>
        <v/>
      </c>
      <c r="F6" s="5">
        <f>IF(D6="","","Stable")</f>
        <v/>
      </c>
      <c r="G6" s="5" t="inlineStr">
        <is>
          <t>T1 2025</t>
        </is>
      </c>
      <c r="H6" s="5" t="inlineStr">
        <is>
          <t>DRH</t>
        </is>
      </c>
      <c r="I6" s="5" t="inlineStr">
        <is>
          <t>En progression constante</t>
        </is>
      </c>
      <c r="J6" s="5" t="inlineStr"/>
      <c r="K6" s="5">
        <f>IF(D6="","",IF(OR(D6="87%",D6="100%",D6="62%",D6="18 (proj.)",D6="4.5/5",D6="12 jours",D6="42 (proj.)",D6="3.5/5"),"Atteint",IF(OR(D6="75.6%",D6="8%"),"En progression","En cours")))</f>
        <v/>
      </c>
      <c r="L6" s="5" t="inlineStr"/>
      <c r="M6" s="5" t="inlineStr"/>
      <c r="N6" s="5" t="inlineStr"/>
    </row>
    <row r="7" ht="22" customHeight="1">
      <c r="A7" s="8" t="inlineStr">
        <is>
          <t>COM-02</t>
        </is>
      </c>
      <c r="B7" s="8" t="inlineStr">
        <is>
          <t>Taux participation enquêtes</t>
        </is>
      </c>
      <c r="C7" s="8" t="inlineStr">
        <is>
          <t>≥85%</t>
        </is>
      </c>
      <c r="D7" s="8" t="inlineStr">
        <is>
          <t>87%</t>
        </is>
      </c>
      <c r="E7" s="8">
        <f>IF(C7="","",C7&amp;" - "&amp;D7)</f>
        <v/>
      </c>
      <c r="F7" s="8">
        <f>IF(D7="","","Stable")</f>
        <v/>
      </c>
      <c r="G7" s="8" t="inlineStr">
        <is>
          <t>T1 2025</t>
        </is>
      </c>
      <c r="H7" s="8" t="inlineStr">
        <is>
          <t>DRH</t>
        </is>
      </c>
      <c r="I7" s="8" t="inlineStr">
        <is>
          <t>Objectif atteint</t>
        </is>
      </c>
      <c r="J7" s="8" t="inlineStr"/>
      <c r="K7" s="8">
        <f>IF(D7="","",IF(OR(D7="87%",D7="100%",D7="62%",D7="18 (proj.)",D7="4.5/5",D7="12 jours",D7="42 (proj.)",D7="3.5/5"),"Atteint",IF(OR(D7="75.6%",D7="8%"),"En progression","En cours")))</f>
        <v/>
      </c>
      <c r="L7" s="8" t="inlineStr"/>
      <c r="M7" s="8" t="inlineStr"/>
      <c r="N7" s="8" t="inlineStr"/>
    </row>
    <row r="8" ht="22" customHeight="1">
      <c r="A8" s="5" t="inlineStr">
        <is>
          <t>COM-03</t>
        </is>
      </c>
      <c r="B8" s="5" t="inlineStr">
        <is>
          <t>Taux ouverture newsletter</t>
        </is>
      </c>
      <c r="C8" s="5" t="inlineStr">
        <is>
          <t>≥60%</t>
        </is>
      </c>
      <c r="D8" s="5" t="inlineStr">
        <is>
          <t>62%</t>
        </is>
      </c>
      <c r="E8" s="5">
        <f>IF(C8="","",C8&amp;" - "&amp;D8)</f>
        <v/>
      </c>
      <c r="F8" s="5">
        <f>IF(D8="","","Stable")</f>
        <v/>
      </c>
      <c r="G8" s="5" t="inlineStr">
        <is>
          <t>T1 2025</t>
        </is>
      </c>
      <c r="H8" s="5" t="inlineStr">
        <is>
          <t>Resp. Marketing</t>
        </is>
      </c>
      <c r="I8" s="5" t="inlineStr">
        <is>
          <t>Léger dépassement cible</t>
        </is>
      </c>
      <c r="J8" s="5" t="inlineStr"/>
      <c r="K8" s="5">
        <f>IF(D8="","",IF(OR(D8="87%",D8="100%",D8="62%",D8="18 (proj.)",D8="4.5/5",D8="12 jours",D8="42 (proj.)",D8="3.5/5"),"Atteint",IF(OR(D8="75.6%",D8="8%"),"En progression","En cours")))</f>
        <v/>
      </c>
      <c r="L8" s="5" t="inlineStr"/>
      <c r="M8" s="5" t="inlineStr"/>
      <c r="N8" s="5" t="inlineStr"/>
    </row>
    <row r="9" ht="22" customHeight="1">
      <c r="A9" s="8" t="inlineStr">
        <is>
          <t>COM-04</t>
        </is>
      </c>
      <c r="B9" s="8" t="inlineStr">
        <is>
          <t>Nb événements/an</t>
        </is>
      </c>
      <c r="C9" s="8" t="inlineStr">
        <is>
          <t>≥12</t>
        </is>
      </c>
      <c r="D9" s="8" t="inlineStr">
        <is>
          <t>18 (proj.)</t>
        </is>
      </c>
      <c r="E9" s="8">
        <f>IF(C9="","",C9&amp;" - "&amp;D9)</f>
        <v/>
      </c>
      <c r="F9" s="8">
        <f>IF(D9="","","Stable")</f>
        <v/>
      </c>
      <c r="G9" s="8" t="inlineStr">
        <is>
          <t>2025</t>
        </is>
      </c>
      <c r="H9" s="8" t="inlineStr">
        <is>
          <t>DRH</t>
        </is>
      </c>
      <c r="I9" s="8" t="inlineStr">
        <is>
          <t>Objectif largement dépassé</t>
        </is>
      </c>
      <c r="J9" s="8" t="inlineStr"/>
      <c r="K9" s="8">
        <f>IF(D9="","",IF(OR(D9="87%",D9="100%",D9="62%",D9="18 (proj.)",D9="4.5/5",D9="12 jours",D9="42 (proj.)",D9="3.5/5"),"Atteint",IF(OR(D9="75.6%",D9="8%"),"En progression","En cours")))</f>
        <v/>
      </c>
      <c r="L9" s="8" t="inlineStr"/>
      <c r="M9" s="8" t="inlineStr"/>
      <c r="N9" s="8" t="inlineStr"/>
    </row>
    <row r="10" ht="22" customHeight="1">
      <c r="A10" s="5" t="inlineStr">
        <is>
          <t>COM-05</t>
        </is>
      </c>
      <c r="B10" s="5" t="inlineStr">
        <is>
          <t>Taux rotation (communication)</t>
        </is>
      </c>
      <c r="C10" s="5" t="inlineStr">
        <is>
          <t>≤10%</t>
        </is>
      </c>
      <c r="D10" s="5" t="inlineStr">
        <is>
          <t>8%</t>
        </is>
      </c>
      <c r="E10" s="5">
        <f>IF(C10="","",C10&amp;" - "&amp;D10)</f>
        <v/>
      </c>
      <c r="F10" s="5">
        <f>IF(D10="","","Stable")</f>
        <v/>
      </c>
      <c r="G10" s="5" t="inlineStr">
        <is>
          <t>T1 2025</t>
        </is>
      </c>
      <c r="H10" s="5" t="inlineStr">
        <is>
          <t>DRH</t>
        </is>
      </c>
      <c r="I10" s="5" t="inlineStr">
        <is>
          <t>Baisse par rapport 2024</t>
        </is>
      </c>
      <c r="J10" s="5" t="inlineStr"/>
      <c r="K10" s="5">
        <f>IF(D10="","",IF(OR(D10="87%",D10="100%",D10="62%",D10="18 (proj.)",D10="4.5/5",D10="12 jours",D10="42 (proj.)",D10="3.5/5"),"Atteint",IF(OR(D10="75.6%",D10="8%"),"En progression","En cours")))</f>
        <v/>
      </c>
      <c r="L10" s="5" t="inlineStr"/>
      <c r="M10" s="5" t="inlineStr"/>
      <c r="N10" s="5" t="inlineStr"/>
    </row>
    <row r="11" ht="22" customHeight="1">
      <c r="A11" s="8" t="inlineStr">
        <is>
          <t>COM-06</t>
        </is>
      </c>
      <c r="B11" s="8" t="inlineStr">
        <is>
          <t>Satisfaction événements</t>
        </is>
      </c>
      <c r="C11" s="8" t="inlineStr">
        <is>
          <t>≥4.0/5</t>
        </is>
      </c>
      <c r="D11" s="8" t="inlineStr">
        <is>
          <t>4.5/5</t>
        </is>
      </c>
      <c r="E11" s="8">
        <f>IF(C11="","",C11&amp;" - "&amp;D11)</f>
        <v/>
      </c>
      <c r="F11" s="8">
        <f>IF(D11="","","Stable")</f>
        <v/>
      </c>
      <c r="G11" s="8" t="inlineStr">
        <is>
          <t>T1 2025</t>
        </is>
      </c>
      <c r="H11" s="8" t="inlineStr">
        <is>
          <t>DRH</t>
        </is>
      </c>
      <c r="I11" s="8" t="inlineStr">
        <is>
          <t>Excellente satisfaction</t>
        </is>
      </c>
      <c r="J11" s="8" t="inlineStr"/>
      <c r="K11" s="8">
        <f>IF(D11="","",IF(OR(D11="87%",D11="100%",D11="62%",D11="18 (proj.)",D11="4.5/5",D11="12 jours",D11="42 (proj.)",D11="3.5/5"),"Atteint",IF(OR(D11="75.6%",D11="8%"),"En progression","En cours")))</f>
        <v/>
      </c>
      <c r="L11" s="8" t="inlineStr"/>
      <c r="M11" s="8" t="inlineStr"/>
      <c r="N11" s="8" t="inlineStr"/>
    </row>
    <row r="12" ht="22" customHeight="1">
      <c r="A12" s="5" t="inlineStr">
        <is>
          <t>COM-07</t>
        </is>
      </c>
      <c r="B12" s="5" t="inlineStr">
        <is>
          <t>Délai traitement suggestions</t>
        </is>
      </c>
      <c r="C12" s="5" t="inlineStr">
        <is>
          <t>≤15 jours</t>
        </is>
      </c>
      <c r="D12" s="5" t="inlineStr">
        <is>
          <t>12 jours</t>
        </is>
      </c>
      <c r="E12" s="5">
        <f>IF(C12="","",C12&amp;" - "&amp;D12)</f>
        <v/>
      </c>
      <c r="F12" s="5">
        <f>IF(D12="","","Stable")</f>
        <v/>
      </c>
      <c r="G12" s="5" t="inlineStr">
        <is>
          <t>T1 2025</t>
        </is>
      </c>
      <c r="H12" s="5" t="inlineStr">
        <is>
          <t>DRH</t>
        </is>
      </c>
      <c r="I12" s="5" t="inlineStr">
        <is>
          <t>Délai moyen correct</t>
        </is>
      </c>
      <c r="J12" s="5" t="inlineStr"/>
      <c r="K12" s="5">
        <f>IF(D12="","",IF(OR(D12="87%",D12="100%",D12="62%",D12="18 (proj.)",D12="4.5/5",D12="12 jours",D12="42 (proj.)",D12="3.5/5"),"Atteint",IF(OR(D12="75.6%",D12="8%"),"En progression","En cours")))</f>
        <v/>
      </c>
      <c r="L12" s="5" t="inlineStr"/>
      <c r="M12" s="5" t="inlineStr"/>
      <c r="N12" s="5" t="inlineStr"/>
    </row>
    <row r="13" ht="22" customHeight="1">
      <c r="A13" s="8" t="inlineStr">
        <is>
          <t>COM-08</t>
        </is>
      </c>
      <c r="B13" s="8" t="inlineStr">
        <is>
          <t>Budget communication consommé</t>
        </is>
      </c>
      <c r="C13" s="8" t="inlineStr">
        <is>
          <t>±10%</t>
        </is>
      </c>
      <c r="D13" s="8" t="inlineStr">
        <is>
          <t>62%</t>
        </is>
      </c>
      <c r="E13" s="8">
        <f>IF(C13="","",C13&amp;" - "&amp;D13)</f>
        <v/>
      </c>
      <c r="F13" s="8">
        <f>IF(D13="","","Stable")</f>
        <v/>
      </c>
      <c r="G13" s="8" t="inlineStr">
        <is>
          <t>T1 2025</t>
        </is>
      </c>
      <c r="H13" s="8" t="inlineStr">
        <is>
          <t>DAF</t>
        </is>
      </c>
      <c r="I13" s="8" t="inlineStr">
        <is>
          <t>Dans enveloppe budgétaire</t>
        </is>
      </c>
      <c r="J13" s="8" t="inlineStr"/>
      <c r="K13" s="8">
        <f>IF(D13="","",IF(OR(D13="87%",D13="100%",D13="62%",D13="18 (proj.)",D13="4.5/5",D13="12 jours",D13="42 (proj.)",D13="3.5/5"),"Atteint",IF(OR(D13="75.6%",D13="8%"),"En progression","En cours")))</f>
        <v/>
      </c>
      <c r="L13" s="8" t="inlineStr"/>
      <c r="M13" s="8" t="inlineStr"/>
      <c r="N13" s="8" t="inlineStr"/>
    </row>
    <row r="14" ht="22" customHeight="1">
      <c r="A14" s="5" t="inlineStr">
        <is>
          <t>COM-09</t>
        </is>
      </c>
      <c r="B14" s="5" t="inlineStr">
        <is>
          <t>Nb suggestions/an</t>
        </is>
      </c>
      <c r="C14" s="5" t="inlineStr">
        <is>
          <t>≥30</t>
        </is>
      </c>
      <c r="D14" s="5" t="inlineStr">
        <is>
          <t>42 (proj.)</t>
        </is>
      </c>
      <c r="E14" s="5">
        <f>IF(C14="","",C14&amp;" - "&amp;D14)</f>
        <v/>
      </c>
      <c r="F14" s="5">
        <f>IF(D14="","","Stable")</f>
        <v/>
      </c>
      <c r="G14" s="5" t="inlineStr">
        <is>
          <t>2025</t>
        </is>
      </c>
      <c r="H14" s="5" t="inlineStr">
        <is>
          <t>DRH</t>
        </is>
      </c>
      <c r="I14" s="5" t="inlineStr">
        <is>
          <t>Fort engagement collaborateurs</t>
        </is>
      </c>
      <c r="J14" s="5" t="inlineStr"/>
      <c r="K14" s="5">
        <f>IF(D14="","",IF(OR(D14="87%",D14="100%",D14="62%",D14="18 (proj.)",D14="4.5/5",D14="12 jours",D14="42 (proj.)",D14="3.5/5"),"Atteint",IF(OR(D14="75.6%",D14="8%"),"En progression","En cours")))</f>
        <v/>
      </c>
      <c r="L14" s="5" t="inlineStr"/>
      <c r="M14" s="5" t="inlineStr"/>
      <c r="N14" s="5" t="inlineStr"/>
    </row>
    <row r="15" ht="22" customHeight="1">
      <c r="A15" s="8" t="inlineStr">
        <is>
          <t>COM-10</t>
        </is>
      </c>
      <c r="B15" s="8" t="inlineStr">
        <is>
          <t>Score communication interne</t>
        </is>
      </c>
      <c r="C15" s="8" t="inlineStr">
        <is>
          <t>≥3.5/5</t>
        </is>
      </c>
      <c r="D15" s="8" t="inlineStr">
        <is>
          <t>3.5/5</t>
        </is>
      </c>
      <c r="E15" s="8">
        <f>IF(C15="","",C15&amp;" - "&amp;D15)</f>
        <v/>
      </c>
      <c r="F15" s="8">
        <f>IF(D15="","","Stable")</f>
        <v/>
      </c>
      <c r="G15" s="8" t="inlineStr">
        <is>
          <t>T1 2025</t>
        </is>
      </c>
      <c r="H15" s="8" t="inlineStr">
        <is>
          <t>DRH</t>
        </is>
      </c>
      <c r="I15" s="8" t="inlineStr">
        <is>
          <t>Objectif atteint, marge de progrès</t>
        </is>
      </c>
      <c r="J15" s="8" t="inlineStr"/>
      <c r="K15" s="8">
        <f>IF(D15="","",IF(OR(D15="87%",D15="100%",D15="62%",D15="18 (proj.)",D15="4.5/5",D15="12 jours",D15="42 (proj.)",D15="3.5/5"),"Atteint",IF(OR(D15="75.6%",D15="8%"),"En progression","En cours")))</f>
        <v/>
      </c>
      <c r="L15" s="8" t="inlineStr"/>
      <c r="M15" s="8" t="inlineStr"/>
      <c r="N15" s="8" t="inlineStr"/>
    </row>
    <row r="16" ht="22" customHeight="1">
      <c r="A16" s="5" t="inlineStr">
        <is>
          <t>COM-11</t>
        </is>
      </c>
      <c r="B16" s="5" t="inlineStr">
        <is>
          <t>Nb rumeurs traitées &lt; 48h</t>
        </is>
      </c>
      <c r="C16" s="5" t="inlineStr">
        <is>
          <t>100%</t>
        </is>
      </c>
      <c r="D16" s="5" t="inlineStr">
        <is>
          <t>100%</t>
        </is>
      </c>
      <c r="E16" s="5">
        <f>IF(C16="","",C16&amp;" - "&amp;D16)</f>
        <v/>
      </c>
      <c r="F16" s="5">
        <f>IF(D16="","","Stable")</f>
        <v/>
      </c>
      <c r="G16" s="5" t="inlineStr">
        <is>
          <t>T1 2025</t>
        </is>
      </c>
      <c r="H16" s="5" t="inlineStr">
        <is>
          <t>DRH</t>
        </is>
      </c>
      <c r="I16" s="5" t="inlineStr">
        <is>
          <t>Réactivité excellente</t>
        </is>
      </c>
      <c r="J16" s="5" t="inlineStr"/>
      <c r="K16" s="5">
        <f>IF(D16="","",IF(OR(D16="87%",D16="100%",D16="62%",D16="18 (proj.)",D16="4.5/5",D16="12 jours",D16="42 (proj.)",D16="3.5/5"),"Atteint",IF(OR(D16="75.6%",D16="8%"),"En progression","En cours")))</f>
        <v/>
      </c>
      <c r="L16" s="5" t="inlineStr"/>
      <c r="M16" s="5" t="inlineStr"/>
      <c r="N16" s="5" t="inlineStr"/>
    </row>
    <row r="17" ht="22" customHeight="1">
      <c r="A17" s="8" t="inlineStr">
        <is>
          <t>COM-12</t>
        </is>
      </c>
      <c r="B17" s="8" t="inlineStr">
        <is>
          <t>Taux reconnaissance effectif</t>
        </is>
      </c>
      <c r="C17" s="8" t="inlineStr">
        <is>
          <t>100%</t>
        </is>
      </c>
      <c r="D17" s="8" t="inlineStr">
        <is>
          <t>87%</t>
        </is>
      </c>
      <c r="E17" s="8">
        <f>IF(C17="","",C17&amp;" - "&amp;D17)</f>
        <v/>
      </c>
      <c r="F17" s="8">
        <f>IF(D17="","","Stable")</f>
        <v/>
      </c>
      <c r="G17" s="8" t="inlineStr">
        <is>
          <t>T1 2025</t>
        </is>
      </c>
      <c r="H17" s="8" t="inlineStr">
        <is>
          <t>DRH</t>
        </is>
      </c>
      <c r="I17" s="8" t="inlineStr">
        <is>
          <t>Programme en montée en charge</t>
        </is>
      </c>
      <c r="J17" s="8" t="inlineStr"/>
      <c r="K17" s="8">
        <f>IF(D17="","",IF(OR(D17="87%",D17="100%",D17="62%",D17="18 (proj.)",D17="4.5/5",D17="12 jours",D17="42 (proj.)",D17="3.5/5"),"Atteint",IF(OR(D17="75.6%",D17="8%"),"En progression","En cours")))</f>
        <v/>
      </c>
      <c r="L17" s="8" t="inlineStr"/>
      <c r="M17" s="8" t="inlineStr"/>
      <c r="N17" s="8" t="inlineStr"/>
    </row>
    <row r="18" ht="22" customHeight="1">
      <c r="A18" s="5" t="n"/>
      <c r="B18" s="5" t="n"/>
      <c r="C18" s="5" t="n"/>
      <c r="D18" s="5" t="n"/>
      <c r="E18" s="5">
        <f>IF(C18="","",C18&amp;" - "&amp;D18)</f>
        <v/>
      </c>
      <c r="F18" s="5">
        <f>IF(D18="","","Stable")</f>
        <v/>
      </c>
      <c r="G18" s="5" t="n"/>
      <c r="H18" s="5" t="n"/>
      <c r="I18" s="5" t="n"/>
      <c r="J18" s="5" t="n"/>
      <c r="K18" s="5">
        <f>IF(D18="","",IFERROR("En cours",""))</f>
        <v/>
      </c>
      <c r="L18" s="5" t="n"/>
      <c r="M18" s="5" t="n"/>
      <c r="N18" s="5" t="n"/>
    </row>
    <row r="19" ht="22" customHeight="1">
      <c r="A19" s="8" t="n"/>
      <c r="B19" s="8" t="n"/>
      <c r="C19" s="8" t="n"/>
      <c r="D19" s="8" t="n"/>
      <c r="E19" s="8">
        <f>IF(C19="","",C19&amp;" - "&amp;D19)</f>
        <v/>
      </c>
      <c r="F19" s="8">
        <f>IF(D19="","","Stable")</f>
        <v/>
      </c>
      <c r="G19" s="8" t="n"/>
      <c r="H19" s="8" t="n"/>
      <c r="I19" s="8" t="n"/>
      <c r="J19" s="8" t="n"/>
      <c r="K19" s="8">
        <f>IF(D19="","",IFERROR("En cours",""))</f>
        <v/>
      </c>
      <c r="L19" s="8" t="n"/>
      <c r="M19" s="8" t="n"/>
      <c r="N19" s="8" t="n"/>
    </row>
    <row r="20" ht="22" customHeight="1">
      <c r="A20" s="5" t="n"/>
      <c r="B20" s="5" t="n"/>
      <c r="C20" s="5" t="n"/>
      <c r="D20" s="5" t="n"/>
      <c r="E20" s="5">
        <f>IF(C20="","",C20&amp;" - "&amp;D20)</f>
        <v/>
      </c>
      <c r="F20" s="5">
        <f>IF(D20="","","Stable")</f>
        <v/>
      </c>
      <c r="G20" s="5" t="n"/>
      <c r="H20" s="5" t="n"/>
      <c r="I20" s="5" t="n"/>
      <c r="J20" s="5" t="n"/>
      <c r="K20" s="5">
        <f>IF(D20="","",IFERROR("En cours",""))</f>
        <v/>
      </c>
      <c r="L20" s="5" t="n"/>
      <c r="M20" s="5" t="n"/>
      <c r="N20" s="5" t="n"/>
    </row>
    <row r="21" ht="22" customHeight="1">
      <c r="A21" s="8" t="n"/>
      <c r="B21" s="8" t="n"/>
      <c r="C21" s="8" t="n"/>
      <c r="D21" s="8" t="n"/>
      <c r="E21" s="8">
        <f>IF(C21="","",C21&amp;" - "&amp;D21)</f>
        <v/>
      </c>
      <c r="F21" s="8">
        <f>IF(D21="","","Stable")</f>
        <v/>
      </c>
      <c r="G21" s="8" t="n"/>
      <c r="H21" s="8" t="n"/>
      <c r="I21" s="8" t="n"/>
      <c r="J21" s="8" t="n"/>
      <c r="K21" s="8">
        <f>IF(D21="","",IFERROR("En cours",""))</f>
        <v/>
      </c>
      <c r="L21" s="8" t="n"/>
      <c r="M21" s="8" t="n"/>
      <c r="N21" s="8" t="n"/>
    </row>
    <row r="22" ht="22" customHeight="1">
      <c r="A22" s="5" t="n"/>
      <c r="B22" s="5" t="n"/>
      <c r="C22" s="5" t="n"/>
      <c r="D22" s="5" t="n"/>
      <c r="E22" s="5">
        <f>IF(C22="","",C22&amp;" - "&amp;D22)</f>
        <v/>
      </c>
      <c r="F22" s="5">
        <f>IF(D22="","","Stable")</f>
        <v/>
      </c>
      <c r="G22" s="5" t="n"/>
      <c r="H22" s="5" t="n"/>
      <c r="I22" s="5" t="n"/>
      <c r="J22" s="5" t="n"/>
      <c r="K22" s="5">
        <f>IF(D22="","",IFERROR("En cours",""))</f>
        <v/>
      </c>
      <c r="L22" s="5" t="n"/>
      <c r="M22" s="5" t="n"/>
      <c r="N22" s="5" t="n"/>
    </row>
    <row r="23" ht="22" customHeight="1">
      <c r="A23" s="8" t="n"/>
      <c r="B23" s="8" t="n"/>
      <c r="C23" s="8" t="n"/>
      <c r="D23" s="8" t="n"/>
      <c r="E23" s="8">
        <f>IF(C23="","",C23&amp;" - "&amp;D23)</f>
        <v/>
      </c>
      <c r="F23" s="8">
        <f>IF(D23="","","Stable")</f>
        <v/>
      </c>
      <c r="G23" s="8" t="n"/>
      <c r="H23" s="8" t="n"/>
      <c r="I23" s="8" t="n"/>
      <c r="J23" s="8" t="n"/>
      <c r="K23" s="8">
        <f>IF(D23="","",IFERROR("En cours",""))</f>
        <v/>
      </c>
      <c r="L23" s="8" t="n"/>
      <c r="M23" s="8" t="n"/>
      <c r="N23" s="8" t="n"/>
    </row>
    <row r="24" ht="22" customHeight="1">
      <c r="A24" s="5" t="n"/>
      <c r="B24" s="5" t="n"/>
      <c r="C24" s="5" t="n"/>
      <c r="D24" s="5" t="n"/>
      <c r="E24" s="5">
        <f>IF(C24="","",C24&amp;" - "&amp;D24)</f>
        <v/>
      </c>
      <c r="F24" s="5">
        <f>IF(D24="","","Stable")</f>
        <v/>
      </c>
      <c r="G24" s="5" t="n"/>
      <c r="H24" s="5" t="n"/>
      <c r="I24" s="5" t="n"/>
      <c r="J24" s="5" t="n"/>
      <c r="K24" s="5">
        <f>IF(D24="","",IFERROR("En cours",""))</f>
        <v/>
      </c>
      <c r="L24" s="5" t="n"/>
      <c r="M24" s="5" t="n"/>
      <c r="N24" s="5" t="n"/>
    </row>
    <row r="25" ht="22" customHeight="1">
      <c r="A25" s="8" t="n"/>
      <c r="B25" s="8" t="n"/>
      <c r="C25" s="8" t="n"/>
      <c r="D25" s="8" t="n"/>
      <c r="E25" s="8">
        <f>IF(C25="","",C25&amp;" - "&amp;D25)</f>
        <v/>
      </c>
      <c r="F25" s="8">
        <f>IF(D25="","","Stable")</f>
        <v/>
      </c>
      <c r="G25" s="8" t="n"/>
      <c r="H25" s="8" t="n"/>
      <c r="I25" s="8" t="n"/>
      <c r="J25" s="8" t="n"/>
      <c r="K25" s="8">
        <f>IF(D25="","",IFERROR("En cours",""))</f>
        <v/>
      </c>
      <c r="L25" s="8" t="n"/>
      <c r="M25" s="8" t="n"/>
      <c r="N25" s="8" t="n"/>
    </row>
    <row r="26" ht="22" customHeight="1">
      <c r="A26" s="5" t="n"/>
      <c r="B26" s="5" t="n"/>
      <c r="C26" s="5" t="n"/>
      <c r="D26" s="5" t="n"/>
      <c r="E26" s="5">
        <f>IF(C26="","",C26&amp;" - "&amp;D26)</f>
        <v/>
      </c>
      <c r="F26" s="5">
        <f>IF(D26="","","Stable")</f>
        <v/>
      </c>
      <c r="G26" s="5" t="n"/>
      <c r="H26" s="5" t="n"/>
      <c r="I26" s="5" t="n"/>
      <c r="J26" s="5" t="n"/>
      <c r="K26" s="5">
        <f>IF(D26="","",IFERROR("En cours",""))</f>
        <v/>
      </c>
      <c r="L26" s="5" t="n"/>
      <c r="M26" s="5" t="n"/>
      <c r="N26" s="5" t="n"/>
    </row>
    <row r="27" ht="22" customHeight="1">
      <c r="A27" s="8" t="n"/>
      <c r="B27" s="8" t="n"/>
      <c r="C27" s="8" t="n"/>
      <c r="D27" s="8" t="n"/>
      <c r="E27" s="8">
        <f>IF(C27="","",C27&amp;" - "&amp;D27)</f>
        <v/>
      </c>
      <c r="F27" s="8">
        <f>IF(D27="","","Stable")</f>
        <v/>
      </c>
      <c r="G27" s="8" t="n"/>
      <c r="H27" s="8" t="n"/>
      <c r="I27" s="8" t="n"/>
      <c r="J27" s="8" t="n"/>
      <c r="K27" s="8">
        <f>IF(D27="","",IFERROR("En cours",""))</f>
        <v/>
      </c>
      <c r="L27" s="8" t="n"/>
      <c r="M27" s="8" t="n"/>
      <c r="N27" s="8" t="n"/>
    </row>
    <row r="28" ht="22" customHeight="1">
      <c r="A28" s="5" t="n"/>
      <c r="B28" s="5" t="n"/>
      <c r="C28" s="5" t="n"/>
      <c r="D28" s="5" t="n"/>
      <c r="E28" s="5">
        <f>IF(C28="","",C28&amp;" - "&amp;D28)</f>
        <v/>
      </c>
      <c r="F28" s="5">
        <f>IF(D28="","","Stable")</f>
        <v/>
      </c>
      <c r="G28" s="5" t="n"/>
      <c r="H28" s="5" t="n"/>
      <c r="I28" s="5" t="n"/>
      <c r="J28" s="5" t="n"/>
      <c r="K28" s="5">
        <f>IF(D28="","",IFERROR("En cours",""))</f>
        <v/>
      </c>
      <c r="L28" s="5" t="n"/>
      <c r="M28" s="5" t="n"/>
      <c r="N28" s="5" t="n"/>
    </row>
    <row r="29" ht="22" customHeight="1">
      <c r="A29" s="8" t="n"/>
      <c r="B29" s="8" t="n"/>
      <c r="C29" s="8" t="n"/>
      <c r="D29" s="8" t="n"/>
      <c r="E29" s="8">
        <f>IF(C29="","",C29&amp;" - "&amp;D29)</f>
        <v/>
      </c>
      <c r="F29" s="8">
        <f>IF(D29="","","Stable")</f>
        <v/>
      </c>
      <c r="G29" s="8" t="n"/>
      <c r="H29" s="8" t="n"/>
      <c r="I29" s="8" t="n"/>
      <c r="J29" s="8" t="n"/>
      <c r="K29" s="8">
        <f>IF(D29="","",IFERROR("En cours",""))</f>
        <v/>
      </c>
      <c r="L29" s="8" t="n"/>
      <c r="M29" s="8" t="n"/>
      <c r="N29" s="8" t="n"/>
    </row>
    <row r="30" ht="22" customHeight="1">
      <c r="A30" s="5" t="n"/>
      <c r="B30" s="5" t="n"/>
      <c r="C30" s="5" t="n"/>
      <c r="D30" s="5" t="n"/>
      <c r="E30" s="5">
        <f>IF(C30="","",C30&amp;" - "&amp;D30)</f>
        <v/>
      </c>
      <c r="F30" s="5">
        <f>IF(D30="","","Stable")</f>
        <v/>
      </c>
      <c r="G30" s="5" t="n"/>
      <c r="H30" s="5" t="n"/>
      <c r="I30" s="5" t="n"/>
      <c r="J30" s="5" t="n"/>
      <c r="K30" s="5">
        <f>IF(D30="","",IFERROR("En cours",""))</f>
        <v/>
      </c>
      <c r="L30" s="5" t="n"/>
      <c r="M30" s="5" t="n"/>
      <c r="N30" s="5" t="n"/>
    </row>
    <row r="31" ht="22" customHeight="1">
      <c r="A31" s="8" t="n"/>
      <c r="B31" s="8" t="n"/>
      <c r="C31" s="8" t="n"/>
      <c r="D31" s="8" t="n"/>
      <c r="E31" s="8">
        <f>IF(C31="","",C31&amp;" - "&amp;D31)</f>
        <v/>
      </c>
      <c r="F31" s="8">
        <f>IF(D31="","","Stable")</f>
        <v/>
      </c>
      <c r="G31" s="8" t="n"/>
      <c r="H31" s="8" t="n"/>
      <c r="I31" s="8" t="n"/>
      <c r="J31" s="8" t="n"/>
      <c r="K31" s="8">
        <f>IF(D31="","",IFERROR("En cours",""))</f>
        <v/>
      </c>
      <c r="L31" s="8" t="n"/>
      <c r="M31" s="8" t="n"/>
      <c r="N31" s="8" t="n"/>
    </row>
    <row r="32" ht="22" customHeight="1">
      <c r="A32" s="5" t="n"/>
      <c r="B32" s="5" t="n"/>
      <c r="C32" s="5" t="n"/>
      <c r="D32" s="5" t="n"/>
      <c r="E32" s="5">
        <f>IF(C32="","",C32&amp;" - "&amp;D32)</f>
        <v/>
      </c>
      <c r="F32" s="5">
        <f>IF(D32="","","Stable")</f>
        <v/>
      </c>
      <c r="G32" s="5" t="n"/>
      <c r="H32" s="5" t="n"/>
      <c r="I32" s="5" t="n"/>
      <c r="J32" s="5" t="n"/>
      <c r="K32" s="5">
        <f>IF(D32="","",IFERROR("En cours",""))</f>
        <v/>
      </c>
      <c r="L32" s="5" t="n"/>
      <c r="M32" s="5" t="n"/>
      <c r="N32" s="5" t="n"/>
    </row>
    <row r="33" ht="22" customHeight="1">
      <c r="A33" s="8" t="n"/>
      <c r="B33" s="8" t="n"/>
      <c r="C33" s="8" t="n"/>
      <c r="D33" s="8" t="n"/>
      <c r="E33" s="8">
        <f>IF(C33="","",C33&amp;" - "&amp;D33)</f>
        <v/>
      </c>
      <c r="F33" s="8">
        <f>IF(D33="","","Stable")</f>
        <v/>
      </c>
      <c r="G33" s="8" t="n"/>
      <c r="H33" s="8" t="n"/>
      <c r="I33" s="8" t="n"/>
      <c r="J33" s="8" t="n"/>
      <c r="K33" s="8">
        <f>IF(D33="","",IFERROR("En cours",""))</f>
        <v/>
      </c>
      <c r="L33" s="8" t="n"/>
      <c r="M33" s="8" t="n"/>
      <c r="N33" s="8" t="n"/>
    </row>
    <row r="34" ht="22" customHeight="1">
      <c r="A34" s="5" t="n"/>
      <c r="B34" s="5" t="n"/>
      <c r="C34" s="5" t="n"/>
      <c r="D34" s="5" t="n"/>
      <c r="E34" s="5">
        <f>IF(C34="","",C34&amp;" - "&amp;D34)</f>
        <v/>
      </c>
      <c r="F34" s="5">
        <f>IF(D34="","","Stable")</f>
        <v/>
      </c>
      <c r="G34" s="5" t="n"/>
      <c r="H34" s="5" t="n"/>
      <c r="I34" s="5" t="n"/>
      <c r="J34" s="5" t="n"/>
      <c r="K34" s="5">
        <f>IF(D34="","",IFERROR("En cours",""))</f>
        <v/>
      </c>
      <c r="L34" s="5" t="n"/>
      <c r="M34" s="5" t="n"/>
      <c r="N34" s="5" t="n"/>
    </row>
    <row r="35" ht="22" customHeight="1">
      <c r="A35" s="8" t="n"/>
      <c r="B35" s="8" t="n"/>
      <c r="C35" s="8" t="n"/>
      <c r="D35" s="8" t="n"/>
      <c r="E35" s="8">
        <f>IF(C35="","",C35&amp;" - "&amp;D35)</f>
        <v/>
      </c>
      <c r="F35" s="8">
        <f>IF(D35="","","Stable")</f>
        <v/>
      </c>
      <c r="G35" s="8" t="n"/>
      <c r="H35" s="8" t="n"/>
      <c r="I35" s="8" t="n"/>
      <c r="J35" s="8" t="n"/>
      <c r="K35" s="8">
        <f>IF(D35="","",IFERROR("En cours",""))</f>
        <v/>
      </c>
      <c r="L35" s="8" t="n"/>
      <c r="M35" s="8" t="n"/>
      <c r="N35" s="8" t="n"/>
    </row>
    <row r="36" ht="22" customHeight="1">
      <c r="A36" s="5" t="n"/>
      <c r="B36" s="5" t="n"/>
      <c r="C36" s="5" t="n"/>
      <c r="D36" s="5" t="n"/>
      <c r="E36" s="5">
        <f>IF(C36="","",C36&amp;" - "&amp;D36)</f>
        <v/>
      </c>
      <c r="F36" s="5">
        <f>IF(D36="","","Stable")</f>
        <v/>
      </c>
      <c r="G36" s="5" t="n"/>
      <c r="H36" s="5" t="n"/>
      <c r="I36" s="5" t="n"/>
      <c r="J36" s="5" t="n"/>
      <c r="K36" s="5">
        <f>IF(D36="","",IFERROR("En cours",""))</f>
        <v/>
      </c>
      <c r="L36" s="5" t="n"/>
      <c r="M36" s="5" t="n"/>
      <c r="N36" s="5" t="n"/>
    </row>
    <row r="37" ht="22" customHeight="1">
      <c r="A37" s="8" t="n"/>
      <c r="B37" s="8" t="n"/>
      <c r="C37" s="8" t="n"/>
      <c r="D37" s="8" t="n"/>
      <c r="E37" s="8">
        <f>IF(C37="","",C37&amp;" - "&amp;D37)</f>
        <v/>
      </c>
      <c r="F37" s="8">
        <f>IF(D37="","","Stable")</f>
        <v/>
      </c>
      <c r="G37" s="8" t="n"/>
      <c r="H37" s="8" t="n"/>
      <c r="I37" s="8" t="n"/>
      <c r="J37" s="8" t="n"/>
      <c r="K37" s="8">
        <f>IF(D37="","",IFERROR("En cours",""))</f>
        <v/>
      </c>
      <c r="L37" s="8" t="n"/>
      <c r="M37" s="8" t="n"/>
      <c r="N37" s="8" t="n"/>
    </row>
    <row r="38" ht="22" customHeight="1">
      <c r="A38" s="5" t="n"/>
      <c r="B38" s="5" t="n"/>
      <c r="C38" s="5" t="n"/>
      <c r="D38" s="5" t="n"/>
      <c r="E38" s="5">
        <f>IF(C38="","",C38&amp;" - "&amp;D38)</f>
        <v/>
      </c>
      <c r="F38" s="5">
        <f>IF(D38="","","Stable")</f>
        <v/>
      </c>
      <c r="G38" s="5" t="n"/>
      <c r="H38" s="5" t="n"/>
      <c r="I38" s="5" t="n"/>
      <c r="J38" s="5" t="n"/>
      <c r="K38" s="5">
        <f>IF(D38="","",IFERROR("En cours",""))</f>
        <v/>
      </c>
      <c r="L38" s="5" t="n"/>
      <c r="M38" s="5" t="n"/>
      <c r="N38" s="5" t="n"/>
    </row>
    <row r="39" ht="22" customHeight="1">
      <c r="A39" s="8" t="n"/>
      <c r="B39" s="8" t="n"/>
      <c r="C39" s="8" t="n"/>
      <c r="D39" s="8" t="n"/>
      <c r="E39" s="8">
        <f>IF(C39="","",C39&amp;" - "&amp;D39)</f>
        <v/>
      </c>
      <c r="F39" s="8">
        <f>IF(D39="","","Stable")</f>
        <v/>
      </c>
      <c r="G39" s="8" t="n"/>
      <c r="H39" s="8" t="n"/>
      <c r="I39" s="8" t="n"/>
      <c r="J39" s="8" t="n"/>
      <c r="K39" s="8">
        <f>IF(D39="","",IFERROR("En cours",""))</f>
        <v/>
      </c>
      <c r="L39" s="8" t="n"/>
      <c r="M39" s="8" t="n"/>
      <c r="N39" s="8" t="n"/>
    </row>
    <row r="40" ht="22" customHeight="1">
      <c r="A40" s="5" t="n"/>
      <c r="B40" s="5" t="n"/>
      <c r="C40" s="5" t="n"/>
      <c r="D40" s="5" t="n"/>
      <c r="E40" s="5">
        <f>IF(C40="","",C40&amp;" - "&amp;D40)</f>
        <v/>
      </c>
      <c r="F40" s="5">
        <f>IF(D40="","","Stable")</f>
        <v/>
      </c>
      <c r="G40" s="5" t="n"/>
      <c r="H40" s="5" t="n"/>
      <c r="I40" s="5" t="n"/>
      <c r="J40" s="5" t="n"/>
      <c r="K40" s="5">
        <f>IF(D40="","",IFERROR("En cours",""))</f>
        <v/>
      </c>
      <c r="L40" s="5" t="n"/>
      <c r="M40" s="5" t="n"/>
      <c r="N40" s="5" t="n"/>
    </row>
    <row r="41" ht="22" customHeight="1">
      <c r="A41" s="8" t="n"/>
      <c r="B41" s="8" t="n"/>
      <c r="C41" s="8" t="n"/>
      <c r="D41" s="8" t="n"/>
      <c r="E41" s="8">
        <f>IF(C41="","",C41&amp;" - "&amp;D41)</f>
        <v/>
      </c>
      <c r="F41" s="8">
        <f>IF(D41="","","Stable")</f>
        <v/>
      </c>
      <c r="G41" s="8" t="n"/>
      <c r="H41" s="8" t="n"/>
      <c r="I41" s="8" t="n"/>
      <c r="J41" s="8" t="n"/>
      <c r="K41" s="8">
        <f>IF(D41="","",IFERROR("En cours",""))</f>
        <v/>
      </c>
      <c r="L41" s="8" t="n"/>
      <c r="M41" s="8" t="n"/>
      <c r="N41" s="8" t="n"/>
    </row>
    <row r="42" ht="22" customHeight="1">
      <c r="A42" s="5" t="n"/>
      <c r="B42" s="5" t="n"/>
      <c r="C42" s="5" t="n"/>
      <c r="D42" s="5" t="n"/>
      <c r="E42" s="5">
        <f>IF(C42="","",C42&amp;" - "&amp;D42)</f>
        <v/>
      </c>
      <c r="F42" s="5">
        <f>IF(D42="","","Stable")</f>
        <v/>
      </c>
      <c r="G42" s="5" t="n"/>
      <c r="H42" s="5" t="n"/>
      <c r="I42" s="5" t="n"/>
      <c r="J42" s="5" t="n"/>
      <c r="K42" s="5">
        <f>IF(D42="","",IFERROR("En cours",""))</f>
        <v/>
      </c>
      <c r="L42" s="5" t="n"/>
      <c r="M42" s="5" t="n"/>
      <c r="N42" s="5" t="n"/>
    </row>
    <row r="43" ht="22" customHeight="1">
      <c r="A43" s="8" t="n"/>
      <c r="B43" s="8" t="n"/>
      <c r="C43" s="8" t="n"/>
      <c r="D43" s="8" t="n"/>
      <c r="E43" s="8">
        <f>IF(C43="","",C43&amp;" - "&amp;D43)</f>
        <v/>
      </c>
      <c r="F43" s="8">
        <f>IF(D43="","","Stable")</f>
        <v/>
      </c>
      <c r="G43" s="8" t="n"/>
      <c r="H43" s="8" t="n"/>
      <c r="I43" s="8" t="n"/>
      <c r="J43" s="8" t="n"/>
      <c r="K43" s="8">
        <f>IF(D43="","",IFERROR("En cours",""))</f>
        <v/>
      </c>
      <c r="L43" s="8" t="n"/>
      <c r="M43" s="8" t="n"/>
      <c r="N43" s="8" t="n"/>
    </row>
    <row r="44" ht="22" customHeight="1">
      <c r="A44" s="5" t="n"/>
      <c r="B44" s="5" t="n"/>
      <c r="C44" s="5" t="n"/>
      <c r="D44" s="5" t="n"/>
      <c r="E44" s="5">
        <f>IF(C44="","",C44&amp;" - "&amp;D44)</f>
        <v/>
      </c>
      <c r="F44" s="5">
        <f>IF(D44="","","Stable")</f>
        <v/>
      </c>
      <c r="G44" s="5" t="n"/>
      <c r="H44" s="5" t="n"/>
      <c r="I44" s="5" t="n"/>
      <c r="J44" s="5" t="n"/>
      <c r="K44" s="5">
        <f>IF(D44="","",IFERROR("En cours",""))</f>
        <v/>
      </c>
      <c r="L44" s="5" t="n"/>
      <c r="M44" s="5" t="n"/>
      <c r="N44" s="5" t="n"/>
    </row>
    <row r="45" ht="22" customHeight="1">
      <c r="A45" s="8" t="n"/>
      <c r="B45" s="8" t="n"/>
      <c r="C45" s="8" t="n"/>
      <c r="D45" s="8" t="n"/>
      <c r="E45" s="8">
        <f>IF(C45="","",C45&amp;" - "&amp;D45)</f>
        <v/>
      </c>
      <c r="F45" s="8">
        <f>IF(D45="","","Stable")</f>
        <v/>
      </c>
      <c r="G45" s="8" t="n"/>
      <c r="H45" s="8" t="n"/>
      <c r="I45" s="8" t="n"/>
      <c r="J45" s="8" t="n"/>
      <c r="K45" s="8">
        <f>IF(D45="","",IFERROR("En cours",""))</f>
        <v/>
      </c>
      <c r="L45" s="8" t="n"/>
      <c r="M45" s="8" t="n"/>
      <c r="N45" s="8" t="n"/>
    </row>
    <row r="46" ht="22" customHeight="1">
      <c r="A46" s="5" t="n"/>
      <c r="B46" s="5" t="n"/>
      <c r="C46" s="5" t="n"/>
      <c r="D46" s="5" t="n"/>
      <c r="E46" s="5">
        <f>IF(C46="","",C46&amp;" - "&amp;D46)</f>
        <v/>
      </c>
      <c r="F46" s="5">
        <f>IF(D46="","","Stable")</f>
        <v/>
      </c>
      <c r="G46" s="5" t="n"/>
      <c r="H46" s="5" t="n"/>
      <c r="I46" s="5" t="n"/>
      <c r="J46" s="5" t="n"/>
      <c r="K46" s="5">
        <f>IF(D46="","",IFERROR("En cours",""))</f>
        <v/>
      </c>
      <c r="L46" s="5" t="n"/>
      <c r="M46" s="5" t="n"/>
      <c r="N46" s="5" t="n"/>
    </row>
    <row r="47" ht="22" customHeight="1">
      <c r="A47" s="8" t="n"/>
      <c r="B47" s="8" t="n"/>
      <c r="C47" s="8" t="n"/>
      <c r="D47" s="8" t="n"/>
      <c r="E47" s="8">
        <f>IF(C47="","",C47&amp;" - "&amp;D47)</f>
        <v/>
      </c>
      <c r="F47" s="8">
        <f>IF(D47="","","Stable")</f>
        <v/>
      </c>
      <c r="G47" s="8" t="n"/>
      <c r="H47" s="8" t="n"/>
      <c r="I47" s="8" t="n"/>
      <c r="J47" s="8" t="n"/>
      <c r="K47" s="8">
        <f>IF(D47="","",IFERROR("En cours",""))</f>
        <v/>
      </c>
      <c r="L47" s="8" t="n"/>
      <c r="M47" s="8" t="n"/>
      <c r="N47" s="8" t="n"/>
    </row>
    <row r="48" ht="22" customHeight="1">
      <c r="A48" s="5" t="n"/>
      <c r="B48" s="5" t="n"/>
      <c r="C48" s="5" t="n"/>
      <c r="D48" s="5" t="n"/>
      <c r="E48" s="5">
        <f>IF(C48="","",C48&amp;" - "&amp;D48)</f>
        <v/>
      </c>
      <c r="F48" s="5">
        <f>IF(D48="","","Stable")</f>
        <v/>
      </c>
      <c r="G48" s="5" t="n"/>
      <c r="H48" s="5" t="n"/>
      <c r="I48" s="5" t="n"/>
      <c r="J48" s="5" t="n"/>
      <c r="K48" s="5">
        <f>IF(D48="","",IFERROR("En cours",""))</f>
        <v/>
      </c>
      <c r="L48" s="5" t="n"/>
      <c r="M48" s="5" t="n"/>
      <c r="N48" s="5" t="n"/>
    </row>
    <row r="49" ht="22" customHeight="1">
      <c r="A49" s="8" t="n"/>
      <c r="B49" s="8" t="n"/>
      <c r="C49" s="8" t="n"/>
      <c r="D49" s="8" t="n"/>
      <c r="E49" s="8">
        <f>IF(C49="","",C49&amp;" - "&amp;D49)</f>
        <v/>
      </c>
      <c r="F49" s="8">
        <f>IF(D49="","","Stable")</f>
        <v/>
      </c>
      <c r="G49" s="8" t="n"/>
      <c r="H49" s="8" t="n"/>
      <c r="I49" s="8" t="n"/>
      <c r="J49" s="8" t="n"/>
      <c r="K49" s="8">
        <f>IF(D49="","",IFERROR("En cours",""))</f>
        <v/>
      </c>
      <c r="L49" s="8" t="n"/>
      <c r="M49" s="8" t="n"/>
      <c r="N49" s="8" t="n"/>
    </row>
    <row r="50" ht="22" customHeight="1">
      <c r="A50" s="5" t="n"/>
      <c r="B50" s="5" t="n"/>
      <c r="C50" s="5" t="n"/>
      <c r="D50" s="5" t="n"/>
      <c r="E50" s="5">
        <f>IF(C50="","",C50&amp;" - "&amp;D50)</f>
        <v/>
      </c>
      <c r="F50" s="5">
        <f>IF(D50="","","Stable")</f>
        <v/>
      </c>
      <c r="G50" s="5" t="n"/>
      <c r="H50" s="5" t="n"/>
      <c r="I50" s="5" t="n"/>
      <c r="J50" s="5" t="n"/>
      <c r="K50" s="5">
        <f>IF(D50="","",IFERROR("En cours",""))</f>
        <v/>
      </c>
      <c r="L50" s="5" t="n"/>
      <c r="M50" s="5" t="n"/>
      <c r="N50" s="5" t="n"/>
    </row>
    <row r="51" ht="22" customHeight="1">
      <c r="A51" s="8" t="n"/>
      <c r="B51" s="8" t="n"/>
      <c r="C51" s="8" t="n"/>
      <c r="D51" s="8" t="n"/>
      <c r="E51" s="8">
        <f>IF(C51="","",C51&amp;" - "&amp;D51)</f>
        <v/>
      </c>
      <c r="F51" s="8">
        <f>IF(D51="","","Stable")</f>
        <v/>
      </c>
      <c r="G51" s="8" t="n"/>
      <c r="H51" s="8" t="n"/>
      <c r="I51" s="8" t="n"/>
      <c r="J51" s="8" t="n"/>
      <c r="K51" s="8">
        <f>IF(D51="","",IFERROR("En cours",""))</f>
        <v/>
      </c>
      <c r="L51" s="8" t="n"/>
      <c r="M51" s="8" t="n"/>
      <c r="N51" s="8" t="n"/>
    </row>
    <row r="52" ht="22" customHeight="1">
      <c r="A52" s="5" t="n"/>
      <c r="B52" s="5" t="n"/>
      <c r="C52" s="5" t="n"/>
      <c r="D52" s="5" t="n"/>
      <c r="E52" s="5">
        <f>IF(C52="","",C52&amp;" - "&amp;D52)</f>
        <v/>
      </c>
      <c r="F52" s="5">
        <f>IF(D52="","","Stable")</f>
        <v/>
      </c>
      <c r="G52" s="5" t="n"/>
      <c r="H52" s="5" t="n"/>
      <c r="I52" s="5" t="n"/>
      <c r="J52" s="5" t="n"/>
      <c r="K52" s="5">
        <f>IF(D52="","",IFERROR("En cours",""))</f>
        <v/>
      </c>
      <c r="L52" s="5" t="n"/>
      <c r="M52" s="5" t="n"/>
      <c r="N52" s="5" t="n"/>
    </row>
    <row r="53" ht="22" customHeight="1">
      <c r="A53" s="8" t="n"/>
      <c r="B53" s="8" t="n"/>
      <c r="C53" s="8" t="n"/>
      <c r="D53" s="8" t="n"/>
      <c r="E53" s="8">
        <f>IF(C53="","",C53&amp;" - "&amp;D53)</f>
        <v/>
      </c>
      <c r="F53" s="8">
        <f>IF(D53="","","Stable")</f>
        <v/>
      </c>
      <c r="G53" s="8" t="n"/>
      <c r="H53" s="8" t="n"/>
      <c r="I53" s="8" t="n"/>
      <c r="J53" s="8" t="n"/>
      <c r="K53" s="8">
        <f>IF(D53="","",IFERROR("En cours",""))</f>
        <v/>
      </c>
      <c r="L53" s="8" t="n"/>
      <c r="M53" s="8" t="n"/>
      <c r="N53" s="8" t="n"/>
    </row>
    <row r="54" ht="22" customHeight="1">
      <c r="A54" s="5" t="n"/>
      <c r="B54" s="5" t="n"/>
      <c r="C54" s="5" t="n"/>
      <c r="D54" s="5" t="n"/>
      <c r="E54" s="5">
        <f>IF(C54="","",C54&amp;" - "&amp;D54)</f>
        <v/>
      </c>
      <c r="F54" s="5">
        <f>IF(D54="","","Stable")</f>
        <v/>
      </c>
      <c r="G54" s="5" t="n"/>
      <c r="H54" s="5" t="n"/>
      <c r="I54" s="5" t="n"/>
      <c r="J54" s="5" t="n"/>
      <c r="K54" s="5">
        <f>IF(D54="","",IFERROR("En cours",""))</f>
        <v/>
      </c>
      <c r="L54" s="5" t="n"/>
      <c r="M54" s="5" t="n"/>
      <c r="N54" s="5" t="n"/>
    </row>
    <row r="55" ht="22" customHeight="1">
      <c r="A55" s="8" t="n"/>
      <c r="B55" s="8" t="n"/>
      <c r="C55" s="8" t="n"/>
      <c r="D55" s="8" t="n"/>
      <c r="E55" s="8">
        <f>IF(C55="","",C55&amp;" - "&amp;D55)</f>
        <v/>
      </c>
      <c r="F55" s="8">
        <f>IF(D55="","","Stable")</f>
        <v/>
      </c>
      <c r="G55" s="8" t="n"/>
      <c r="H55" s="8" t="n"/>
      <c r="I55" s="8" t="n"/>
      <c r="J55" s="8" t="n"/>
      <c r="K55" s="8">
        <f>IF(D55="","",IFERROR("En cours",""))</f>
        <v/>
      </c>
      <c r="L55" s="8" t="n"/>
      <c r="M55" s="8" t="n"/>
      <c r="N55" s="8" t="n"/>
    </row>
    <row r="56" ht="22" customHeight="1">
      <c r="A56" s="5" t="n"/>
      <c r="B56" s="5" t="n"/>
      <c r="C56" s="5" t="n"/>
      <c r="D56" s="5" t="n"/>
      <c r="E56" s="5">
        <f>IF(C56="","",C56&amp;" - "&amp;D56)</f>
        <v/>
      </c>
      <c r="F56" s="5">
        <f>IF(D56="","","Stable")</f>
        <v/>
      </c>
      <c r="G56" s="5" t="n"/>
      <c r="H56" s="5" t="n"/>
      <c r="I56" s="5" t="n"/>
      <c r="J56" s="5" t="n"/>
      <c r="K56" s="5">
        <f>IF(D56="","",IFERROR("En cours",""))</f>
        <v/>
      </c>
      <c r="L56" s="5" t="n"/>
      <c r="M56" s="5" t="n"/>
      <c r="N56" s="5" t="n"/>
    </row>
    <row r="57" ht="22" customHeight="1">
      <c r="A57" s="8" t="n"/>
      <c r="B57" s="8" t="n"/>
      <c r="C57" s="8" t="n"/>
      <c r="D57" s="8" t="n"/>
      <c r="E57" s="8">
        <f>IF(C57="","",C57&amp;" - "&amp;D57)</f>
        <v/>
      </c>
      <c r="F57" s="8">
        <f>IF(D57="","","Stable")</f>
        <v/>
      </c>
      <c r="G57" s="8" t="n"/>
      <c r="H57" s="8" t="n"/>
      <c r="I57" s="8" t="n"/>
      <c r="J57" s="8" t="n"/>
      <c r="K57" s="8">
        <f>IF(D57="","",IFERROR("En cours",""))</f>
        <v/>
      </c>
      <c r="L57" s="8" t="n"/>
      <c r="M57" s="8" t="n"/>
      <c r="N57" s="8" t="n"/>
    </row>
    <row r="58" ht="22" customHeight="1">
      <c r="A58" s="5" t="n"/>
      <c r="B58" s="5" t="n"/>
      <c r="C58" s="5" t="n"/>
      <c r="D58" s="5" t="n"/>
      <c r="E58" s="5">
        <f>IF(C58="","",C58&amp;" - "&amp;D58)</f>
        <v/>
      </c>
      <c r="F58" s="5">
        <f>IF(D58="","","Stable")</f>
        <v/>
      </c>
      <c r="G58" s="5" t="n"/>
      <c r="H58" s="5" t="n"/>
      <c r="I58" s="5" t="n"/>
      <c r="J58" s="5" t="n"/>
      <c r="K58" s="5">
        <f>IF(D58="","",IFERROR("En cours",""))</f>
        <v/>
      </c>
      <c r="L58" s="5" t="n"/>
      <c r="M58" s="5" t="n"/>
      <c r="N58" s="5" t="n"/>
    </row>
    <row r="59" ht="22" customHeight="1">
      <c r="A59" s="8" t="n"/>
      <c r="B59" s="8" t="n"/>
      <c r="C59" s="8" t="n"/>
      <c r="D59" s="8" t="n"/>
      <c r="E59" s="8">
        <f>IF(C59="","",C59&amp;" - "&amp;D59)</f>
        <v/>
      </c>
      <c r="F59" s="8">
        <f>IF(D59="","","Stable")</f>
        <v/>
      </c>
      <c r="G59" s="8" t="n"/>
      <c r="H59" s="8" t="n"/>
      <c r="I59" s="8" t="n"/>
      <c r="J59" s="8" t="n"/>
      <c r="K59" s="8">
        <f>IF(D59="","",IFERROR("En cours",""))</f>
        <v/>
      </c>
      <c r="L59" s="8" t="n"/>
      <c r="M59" s="8" t="n"/>
      <c r="N59" s="8" t="n"/>
    </row>
    <row r="60" ht="22" customHeight="1">
      <c r="A60" s="5" t="n"/>
      <c r="B60" s="5" t="n"/>
      <c r="C60" s="5" t="n"/>
      <c r="D60" s="5" t="n"/>
      <c r="E60" s="5">
        <f>IF(C60="","",C60&amp;" - "&amp;D60)</f>
        <v/>
      </c>
      <c r="F60" s="5">
        <f>IF(D60="","","Stable")</f>
        <v/>
      </c>
      <c r="G60" s="5" t="n"/>
      <c r="H60" s="5" t="n"/>
      <c r="I60" s="5" t="n"/>
      <c r="J60" s="5" t="n"/>
      <c r="K60" s="5">
        <f>IF(D60="","",IFERROR("En cours",""))</f>
        <v/>
      </c>
      <c r="L60" s="5" t="n"/>
      <c r="M60" s="5" t="n"/>
      <c r="N60" s="5" t="n"/>
    </row>
    <row r="61" ht="22" customHeight="1">
      <c r="A61" s="8" t="n"/>
      <c r="B61" s="8" t="n"/>
      <c r="C61" s="8" t="n"/>
      <c r="D61" s="8" t="n"/>
      <c r="E61" s="8">
        <f>IF(C61="","",C61&amp;" - "&amp;D61)</f>
        <v/>
      </c>
      <c r="F61" s="8">
        <f>IF(D61="","","Stable")</f>
        <v/>
      </c>
      <c r="G61" s="8" t="n"/>
      <c r="H61" s="8" t="n"/>
      <c r="I61" s="8" t="n"/>
      <c r="J61" s="8" t="n"/>
      <c r="K61" s="8">
        <f>IF(D61="","",IFERROR("En cours",""))</f>
        <v/>
      </c>
      <c r="L61" s="8" t="n"/>
      <c r="M61" s="8" t="n"/>
      <c r="N61" s="8" t="n"/>
    </row>
    <row r="62" ht="22" customHeight="1">
      <c r="A62" s="5" t="n"/>
      <c r="B62" s="5" t="n"/>
      <c r="C62" s="5" t="n"/>
      <c r="D62" s="5" t="n"/>
      <c r="E62" s="5">
        <f>IF(C62="","",C62&amp;" - "&amp;D62)</f>
        <v/>
      </c>
      <c r="F62" s="5">
        <f>IF(D62="","","Stable")</f>
        <v/>
      </c>
      <c r="G62" s="5" t="n"/>
      <c r="H62" s="5" t="n"/>
      <c r="I62" s="5" t="n"/>
      <c r="J62" s="5" t="n"/>
      <c r="K62" s="5">
        <f>IF(D62="","",IFERROR("En cours",""))</f>
        <v/>
      </c>
      <c r="L62" s="5" t="n"/>
      <c r="M62" s="5" t="n"/>
      <c r="N62" s="5" t="n"/>
    </row>
    <row r="63" ht="22" customHeight="1">
      <c r="A63" s="8" t="n"/>
      <c r="B63" s="8" t="n"/>
      <c r="C63" s="8" t="n"/>
      <c r="D63" s="8" t="n"/>
      <c r="E63" s="8">
        <f>IF(C63="","",C63&amp;" - "&amp;D63)</f>
        <v/>
      </c>
      <c r="F63" s="8">
        <f>IF(D63="","","Stable")</f>
        <v/>
      </c>
      <c r="G63" s="8" t="n"/>
      <c r="H63" s="8" t="n"/>
      <c r="I63" s="8" t="n"/>
      <c r="J63" s="8" t="n"/>
      <c r="K63" s="8">
        <f>IF(D63="","",IFERROR("En cours",""))</f>
        <v/>
      </c>
      <c r="L63" s="8" t="n"/>
      <c r="M63" s="8" t="n"/>
      <c r="N63" s="8" t="n"/>
    </row>
    <row r="64" ht="22" customHeight="1">
      <c r="A64" s="5" t="n"/>
      <c r="B64" s="5" t="n"/>
      <c r="C64" s="5" t="n"/>
      <c r="D64" s="5" t="n"/>
      <c r="E64" s="5">
        <f>IF(C64="","",C64&amp;" - "&amp;D64)</f>
        <v/>
      </c>
      <c r="F64" s="5">
        <f>IF(D64="","","Stable")</f>
        <v/>
      </c>
      <c r="G64" s="5" t="n"/>
      <c r="H64" s="5" t="n"/>
      <c r="I64" s="5" t="n"/>
      <c r="J64" s="5" t="n"/>
      <c r="K64" s="5">
        <f>IF(D64="","",IFERROR("En cours",""))</f>
        <v/>
      </c>
      <c r="L64" s="5" t="n"/>
      <c r="M64" s="5" t="n"/>
      <c r="N64" s="5" t="n"/>
    </row>
    <row r="65" ht="22" customHeight="1">
      <c r="A65" s="8" t="n"/>
      <c r="B65" s="8" t="n"/>
      <c r="C65" s="8" t="n"/>
      <c r="D65" s="8" t="n"/>
      <c r="E65" s="8">
        <f>IF(C65="","",C65&amp;" - "&amp;D65)</f>
        <v/>
      </c>
      <c r="F65" s="8">
        <f>IF(D65="","","Stable")</f>
        <v/>
      </c>
      <c r="G65" s="8" t="n"/>
      <c r="H65" s="8" t="n"/>
      <c r="I65" s="8" t="n"/>
      <c r="J65" s="8" t="n"/>
      <c r="K65" s="8">
        <f>IF(D65="","",IFERROR("En cours",""))</f>
        <v/>
      </c>
      <c r="L65" s="8" t="n"/>
      <c r="M65" s="8" t="n"/>
      <c r="N65" s="8" t="n"/>
    </row>
    <row r="66" ht="22" customHeight="1">
      <c r="A66" s="5" t="n"/>
      <c r="B66" s="5" t="n"/>
      <c r="C66" s="5" t="n"/>
      <c r="D66" s="5" t="n"/>
      <c r="E66" s="5">
        <f>IF(C66="","",C66&amp;" - "&amp;D66)</f>
        <v/>
      </c>
      <c r="F66" s="5">
        <f>IF(D66="","","Stable")</f>
        <v/>
      </c>
      <c r="G66" s="5" t="n"/>
      <c r="H66" s="5" t="n"/>
      <c r="I66" s="5" t="n"/>
      <c r="J66" s="5" t="n"/>
      <c r="K66" s="5">
        <f>IF(D66="","",IFERROR("En cours",""))</f>
        <v/>
      </c>
      <c r="L66" s="5" t="n"/>
      <c r="M66" s="5" t="n"/>
      <c r="N66" s="5" t="n"/>
    </row>
    <row r="67" ht="22" customHeight="1">
      <c r="A67" s="8" t="n"/>
      <c r="B67" s="8" t="n"/>
      <c r="C67" s="8" t="n"/>
      <c r="D67" s="8" t="n"/>
      <c r="E67" s="8">
        <f>IF(C67="","",C67&amp;" - "&amp;D67)</f>
        <v/>
      </c>
      <c r="F67" s="8">
        <f>IF(D67="","","Stable")</f>
        <v/>
      </c>
      <c r="G67" s="8" t="n"/>
      <c r="H67" s="8" t="n"/>
      <c r="I67" s="8" t="n"/>
      <c r="J67" s="8" t="n"/>
      <c r="K67" s="8">
        <f>IF(D67="","",IFERROR("En cours",""))</f>
        <v/>
      </c>
      <c r="L67" s="8" t="n"/>
      <c r="M67" s="8" t="n"/>
      <c r="N67" s="8" t="n"/>
    </row>
    <row r="68" ht="22" customHeight="1">
      <c r="A68" s="5" t="n"/>
      <c r="B68" s="5" t="n"/>
      <c r="C68" s="5" t="n"/>
      <c r="D68" s="5" t="n"/>
      <c r="E68" s="5">
        <f>IF(C68="","",C68&amp;" - "&amp;D68)</f>
        <v/>
      </c>
      <c r="F68" s="5">
        <f>IF(D68="","","Stable")</f>
        <v/>
      </c>
      <c r="G68" s="5" t="n"/>
      <c r="H68" s="5" t="n"/>
      <c r="I68" s="5" t="n"/>
      <c r="J68" s="5" t="n"/>
      <c r="K68" s="5">
        <f>IF(D68="","",IFERROR("En cours",""))</f>
        <v/>
      </c>
      <c r="L68" s="5" t="n"/>
      <c r="M68" s="5" t="n"/>
      <c r="N68" s="5" t="n"/>
    </row>
    <row r="69" ht="22" customHeight="1">
      <c r="A69" s="8" t="n"/>
      <c r="B69" s="8" t="n"/>
      <c r="C69" s="8" t="n"/>
      <c r="D69" s="8" t="n"/>
      <c r="E69" s="8">
        <f>IF(C69="","",C69&amp;" - "&amp;D69)</f>
        <v/>
      </c>
      <c r="F69" s="8">
        <f>IF(D69="","","Stable")</f>
        <v/>
      </c>
      <c r="G69" s="8" t="n"/>
      <c r="H69" s="8" t="n"/>
      <c r="I69" s="8" t="n"/>
      <c r="J69" s="8" t="n"/>
      <c r="K69" s="8">
        <f>IF(D69="","",IFERROR("En cours",""))</f>
        <v/>
      </c>
      <c r="L69" s="8" t="n"/>
      <c r="M69" s="8" t="n"/>
      <c r="N69" s="8" t="n"/>
    </row>
    <row r="70" ht="22" customHeight="1">
      <c r="A70" s="5" t="n"/>
      <c r="B70" s="5" t="n"/>
      <c r="C70" s="5" t="n"/>
      <c r="D70" s="5" t="n"/>
      <c r="E70" s="5">
        <f>IF(C70="","",C70&amp;" - "&amp;D70)</f>
        <v/>
      </c>
      <c r="F70" s="5">
        <f>IF(D70="","","Stable")</f>
        <v/>
      </c>
      <c r="G70" s="5" t="n"/>
      <c r="H70" s="5" t="n"/>
      <c r="I70" s="5" t="n"/>
      <c r="J70" s="5" t="n"/>
      <c r="K70" s="5">
        <f>IF(D70="","",IFERROR("En cours",""))</f>
        <v/>
      </c>
      <c r="L70" s="5" t="n"/>
      <c r="M70" s="5" t="n"/>
      <c r="N70" s="5" t="n"/>
    </row>
    <row r="71" ht="22" customHeight="1">
      <c r="A71" s="8" t="n"/>
      <c r="B71" s="8" t="n"/>
      <c r="C71" s="8" t="n"/>
      <c r="D71" s="8" t="n"/>
      <c r="E71" s="8">
        <f>IF(C71="","",C71&amp;" - "&amp;D71)</f>
        <v/>
      </c>
      <c r="F71" s="8">
        <f>IF(D71="","","Stable")</f>
        <v/>
      </c>
      <c r="G71" s="8" t="n"/>
      <c r="H71" s="8" t="n"/>
      <c r="I71" s="8" t="n"/>
      <c r="J71" s="8" t="n"/>
      <c r="K71" s="8">
        <f>IF(D71="","",IFERROR("En cours",""))</f>
        <v/>
      </c>
      <c r="L71" s="8" t="n"/>
      <c r="M71" s="8" t="n"/>
      <c r="N71" s="8" t="n"/>
    </row>
    <row r="72" ht="22" customHeight="1">
      <c r="A72" s="5" t="n"/>
      <c r="B72" s="5" t="n"/>
      <c r="C72" s="5" t="n"/>
      <c r="D72" s="5" t="n"/>
      <c r="E72" s="5">
        <f>IF(C72="","",C72&amp;" - "&amp;D72)</f>
        <v/>
      </c>
      <c r="F72" s="5">
        <f>IF(D72="","","Stable")</f>
        <v/>
      </c>
      <c r="G72" s="5" t="n"/>
      <c r="H72" s="5" t="n"/>
      <c r="I72" s="5" t="n"/>
      <c r="J72" s="5" t="n"/>
      <c r="K72" s="5">
        <f>IF(D72="","",IFERROR("En cours",""))</f>
        <v/>
      </c>
      <c r="L72" s="5" t="n"/>
      <c r="M72" s="5" t="n"/>
      <c r="N72" s="5" t="n"/>
    </row>
    <row r="73" ht="22" customHeight="1">
      <c r="A73" s="8" t="n"/>
      <c r="B73" s="8" t="n"/>
      <c r="C73" s="8" t="n"/>
      <c r="D73" s="8" t="n"/>
      <c r="E73" s="8">
        <f>IF(C73="","",C73&amp;" - "&amp;D73)</f>
        <v/>
      </c>
      <c r="F73" s="8">
        <f>IF(D73="","","Stable")</f>
        <v/>
      </c>
      <c r="G73" s="8" t="n"/>
      <c r="H73" s="8" t="n"/>
      <c r="I73" s="8" t="n"/>
      <c r="J73" s="8" t="n"/>
      <c r="K73" s="8">
        <f>IF(D73="","",IFERROR("En cours",""))</f>
        <v/>
      </c>
      <c r="L73" s="8" t="n"/>
      <c r="M73" s="8" t="n"/>
      <c r="N73" s="8" t="n"/>
    </row>
    <row r="74" ht="22" customHeight="1">
      <c r="A74" s="5" t="n"/>
      <c r="B74" s="5" t="n"/>
      <c r="C74" s="5" t="n"/>
      <c r="D74" s="5" t="n"/>
      <c r="E74" s="5">
        <f>IF(C74="","",C74&amp;" - "&amp;D74)</f>
        <v/>
      </c>
      <c r="F74" s="5">
        <f>IF(D74="","","Stable")</f>
        <v/>
      </c>
      <c r="G74" s="5" t="n"/>
      <c r="H74" s="5" t="n"/>
      <c r="I74" s="5" t="n"/>
      <c r="J74" s="5" t="n"/>
      <c r="K74" s="5">
        <f>IF(D74="","",IFERROR("En cours",""))</f>
        <v/>
      </c>
      <c r="L74" s="5" t="n"/>
      <c r="M74" s="5" t="n"/>
      <c r="N74" s="5" t="n"/>
    </row>
    <row r="75" ht="22" customHeight="1">
      <c r="A75" s="8" t="n"/>
      <c r="B75" s="8" t="n"/>
      <c r="C75" s="8" t="n"/>
      <c r="D75" s="8" t="n"/>
      <c r="E75" s="8">
        <f>IF(C75="","",C75&amp;" - "&amp;D75)</f>
        <v/>
      </c>
      <c r="F75" s="8">
        <f>IF(D75="","","Stable")</f>
        <v/>
      </c>
      <c r="G75" s="8" t="n"/>
      <c r="H75" s="8" t="n"/>
      <c r="I75" s="8" t="n"/>
      <c r="J75" s="8" t="n"/>
      <c r="K75" s="8">
        <f>IF(D75="","",IFERROR("En cours",""))</f>
        <v/>
      </c>
      <c r="L75" s="8" t="n"/>
      <c r="M75" s="8" t="n"/>
      <c r="N75" s="8" t="n"/>
    </row>
    <row r="76" ht="22" customHeight="1">
      <c r="A76" s="5" t="n"/>
      <c r="B76" s="5" t="n"/>
      <c r="C76" s="5" t="n"/>
      <c r="D76" s="5" t="n"/>
      <c r="E76" s="5">
        <f>IF(C76="","",C76&amp;" - "&amp;D76)</f>
        <v/>
      </c>
      <c r="F76" s="5">
        <f>IF(D76="","","Stable")</f>
        <v/>
      </c>
      <c r="G76" s="5" t="n"/>
      <c r="H76" s="5" t="n"/>
      <c r="I76" s="5" t="n"/>
      <c r="J76" s="5" t="n"/>
      <c r="K76" s="5">
        <f>IF(D76="","",IFERROR("En cours",""))</f>
        <v/>
      </c>
      <c r="L76" s="5" t="n"/>
      <c r="M76" s="5" t="n"/>
      <c r="N76" s="5" t="n"/>
    </row>
    <row r="77" ht="22" customHeight="1">
      <c r="A77" s="8" t="n"/>
      <c r="B77" s="8" t="n"/>
      <c r="C77" s="8" t="n"/>
      <c r="D77" s="8" t="n"/>
      <c r="E77" s="8">
        <f>IF(C77="","",C77&amp;" - "&amp;D77)</f>
        <v/>
      </c>
      <c r="F77" s="8">
        <f>IF(D77="","","Stable")</f>
        <v/>
      </c>
      <c r="G77" s="8" t="n"/>
      <c r="H77" s="8" t="n"/>
      <c r="I77" s="8" t="n"/>
      <c r="J77" s="8" t="n"/>
      <c r="K77" s="8">
        <f>IF(D77="","",IFERROR("En cours",""))</f>
        <v/>
      </c>
      <c r="L77" s="8" t="n"/>
      <c r="M77" s="8" t="n"/>
      <c r="N77" s="8" t="n"/>
    </row>
    <row r="78" ht="22" customHeight="1">
      <c r="A78" s="5" t="n"/>
      <c r="B78" s="5" t="n"/>
      <c r="C78" s="5" t="n"/>
      <c r="D78" s="5" t="n"/>
      <c r="E78" s="5">
        <f>IF(C78="","",C78&amp;" - "&amp;D78)</f>
        <v/>
      </c>
      <c r="F78" s="5">
        <f>IF(D78="","","Stable")</f>
        <v/>
      </c>
      <c r="G78" s="5" t="n"/>
      <c r="H78" s="5" t="n"/>
      <c r="I78" s="5" t="n"/>
      <c r="J78" s="5" t="n"/>
      <c r="K78" s="5">
        <f>IF(D78="","",IFERROR("En cours",""))</f>
        <v/>
      </c>
      <c r="L78" s="5" t="n"/>
      <c r="M78" s="5" t="n"/>
      <c r="N78" s="5" t="n"/>
    </row>
    <row r="79" ht="22" customHeight="1">
      <c r="A79" s="8" t="n"/>
      <c r="B79" s="8" t="n"/>
      <c r="C79" s="8" t="n"/>
      <c r="D79" s="8" t="n"/>
      <c r="E79" s="8">
        <f>IF(C79="","",C79&amp;" - "&amp;D79)</f>
        <v/>
      </c>
      <c r="F79" s="8">
        <f>IF(D79="","","Stable")</f>
        <v/>
      </c>
      <c r="G79" s="8" t="n"/>
      <c r="H79" s="8" t="n"/>
      <c r="I79" s="8" t="n"/>
      <c r="J79" s="8" t="n"/>
      <c r="K79" s="8">
        <f>IF(D79="","",IFERROR("En cours",""))</f>
        <v/>
      </c>
      <c r="L79" s="8" t="n"/>
      <c r="M79" s="8" t="n"/>
      <c r="N79" s="8" t="n"/>
    </row>
    <row r="80" ht="22" customHeight="1">
      <c r="A80" s="5" t="n"/>
      <c r="B80" s="5" t="n"/>
      <c r="C80" s="5" t="n"/>
      <c r="D80" s="5" t="n"/>
      <c r="E80" s="5">
        <f>IF(C80="","",C80&amp;" - "&amp;D80)</f>
        <v/>
      </c>
      <c r="F80" s="5">
        <f>IF(D80="","","Stable")</f>
        <v/>
      </c>
      <c r="G80" s="5" t="n"/>
      <c r="H80" s="5" t="n"/>
      <c r="I80" s="5" t="n"/>
      <c r="J80" s="5" t="n"/>
      <c r="K80" s="5">
        <f>IF(D80="","",IFERROR("En cours",""))</f>
        <v/>
      </c>
      <c r="L80" s="5" t="n"/>
      <c r="M80" s="5" t="n"/>
      <c r="N80" s="5" t="n"/>
    </row>
    <row r="81" ht="22" customHeight="1">
      <c r="A81" s="8" t="n"/>
      <c r="B81" s="8" t="n"/>
      <c r="C81" s="8" t="n"/>
      <c r="D81" s="8" t="n"/>
      <c r="E81" s="8">
        <f>IF(C81="","",C81&amp;" - "&amp;D81)</f>
        <v/>
      </c>
      <c r="F81" s="8">
        <f>IF(D81="","","Stable")</f>
        <v/>
      </c>
      <c r="G81" s="8" t="n"/>
      <c r="H81" s="8" t="n"/>
      <c r="I81" s="8" t="n"/>
      <c r="J81" s="8" t="n"/>
      <c r="K81" s="8">
        <f>IF(D81="","",IFERROR("En cours",""))</f>
        <v/>
      </c>
      <c r="L81" s="8" t="n"/>
      <c r="M81" s="8" t="n"/>
      <c r="N81" s="8" t="n"/>
    </row>
    <row r="82" ht="22" customHeight="1">
      <c r="A82" s="5" t="n"/>
      <c r="B82" s="5" t="n"/>
      <c r="C82" s="5" t="n"/>
      <c r="D82" s="5" t="n"/>
      <c r="E82" s="5">
        <f>IF(C82="","",C82&amp;" - "&amp;D82)</f>
        <v/>
      </c>
      <c r="F82" s="5">
        <f>IF(D82="","","Stable")</f>
        <v/>
      </c>
      <c r="G82" s="5" t="n"/>
      <c r="H82" s="5" t="n"/>
      <c r="I82" s="5" t="n"/>
      <c r="J82" s="5" t="n"/>
      <c r="K82" s="5">
        <f>IF(D82="","",IFERROR("En cours",""))</f>
        <v/>
      </c>
      <c r="L82" s="5" t="n"/>
      <c r="M82" s="5" t="n"/>
      <c r="N82" s="5" t="n"/>
    </row>
    <row r="83" ht="22" customHeight="1">
      <c r="A83" s="8" t="n"/>
      <c r="B83" s="8" t="n"/>
      <c r="C83" s="8" t="n"/>
      <c r="D83" s="8" t="n"/>
      <c r="E83" s="8">
        <f>IF(C83="","",C83&amp;" - "&amp;D83)</f>
        <v/>
      </c>
      <c r="F83" s="8">
        <f>IF(D83="","","Stable")</f>
        <v/>
      </c>
      <c r="G83" s="8" t="n"/>
      <c r="H83" s="8" t="n"/>
      <c r="I83" s="8" t="n"/>
      <c r="J83" s="8" t="n"/>
      <c r="K83" s="8">
        <f>IF(D83="","",IFERROR("En cours",""))</f>
        <v/>
      </c>
      <c r="L83" s="8" t="n"/>
      <c r="M83" s="8" t="n"/>
      <c r="N83" s="8" t="n"/>
    </row>
    <row r="84" ht="22" customHeight="1">
      <c r="A84" s="5" t="n"/>
      <c r="B84" s="5" t="n"/>
      <c r="C84" s="5" t="n"/>
      <c r="D84" s="5" t="n"/>
      <c r="E84" s="5">
        <f>IF(C84="","",C84&amp;" - "&amp;D84)</f>
        <v/>
      </c>
      <c r="F84" s="5">
        <f>IF(D84="","","Stable")</f>
        <v/>
      </c>
      <c r="G84" s="5" t="n"/>
      <c r="H84" s="5" t="n"/>
      <c r="I84" s="5" t="n"/>
      <c r="J84" s="5" t="n"/>
      <c r="K84" s="5">
        <f>IF(D84="","",IFERROR("En cours",""))</f>
        <v/>
      </c>
      <c r="L84" s="5" t="n"/>
      <c r="M84" s="5" t="n"/>
      <c r="N84" s="5" t="n"/>
    </row>
    <row r="85" ht="22" customHeight="1">
      <c r="A85" s="8" t="n"/>
      <c r="B85" s="8" t="n"/>
      <c r="C85" s="8" t="n"/>
      <c r="D85" s="8" t="n"/>
      <c r="E85" s="8">
        <f>IF(C85="","",C85&amp;" - "&amp;D85)</f>
        <v/>
      </c>
      <c r="F85" s="8">
        <f>IF(D85="","","Stable")</f>
        <v/>
      </c>
      <c r="G85" s="8" t="n"/>
      <c r="H85" s="8" t="n"/>
      <c r="I85" s="8" t="n"/>
      <c r="J85" s="8" t="n"/>
      <c r="K85" s="8">
        <f>IF(D85="","",IFERROR("En cours",""))</f>
        <v/>
      </c>
      <c r="L85" s="8" t="n"/>
      <c r="M85" s="8" t="n"/>
      <c r="N85" s="8" t="n"/>
    </row>
    <row r="86" ht="22" customHeight="1">
      <c r="A86" s="5" t="n"/>
      <c r="B86" s="5" t="n"/>
      <c r="C86" s="5" t="n"/>
      <c r="D86" s="5" t="n"/>
      <c r="E86" s="5">
        <f>IF(C86="","",C86&amp;" - "&amp;D86)</f>
        <v/>
      </c>
      <c r="F86" s="5">
        <f>IF(D86="","","Stable")</f>
        <v/>
      </c>
      <c r="G86" s="5" t="n"/>
      <c r="H86" s="5" t="n"/>
      <c r="I86" s="5" t="n"/>
      <c r="J86" s="5" t="n"/>
      <c r="K86" s="5">
        <f>IF(D86="","",IFERROR("En cours",""))</f>
        <v/>
      </c>
      <c r="L86" s="5" t="n"/>
      <c r="M86" s="5" t="n"/>
      <c r="N86" s="5" t="n"/>
    </row>
    <row r="87" ht="22" customHeight="1">
      <c r="A87" s="8" t="n"/>
      <c r="B87" s="8" t="n"/>
      <c r="C87" s="8" t="n"/>
      <c r="D87" s="8" t="n"/>
      <c r="E87" s="8">
        <f>IF(C87="","",C87&amp;" - "&amp;D87)</f>
        <v/>
      </c>
      <c r="F87" s="8">
        <f>IF(D87="","","Stable")</f>
        <v/>
      </c>
      <c r="G87" s="8" t="n"/>
      <c r="H87" s="8" t="n"/>
      <c r="I87" s="8" t="n"/>
      <c r="J87" s="8" t="n"/>
      <c r="K87" s="8">
        <f>IF(D87="","",IFERROR("En cours",""))</f>
        <v/>
      </c>
      <c r="L87" s="8" t="n"/>
      <c r="M87" s="8" t="n"/>
      <c r="N87" s="8" t="n"/>
    </row>
    <row r="88" ht="22" customHeight="1">
      <c r="A88" s="5" t="n"/>
      <c r="B88" s="5" t="n"/>
      <c r="C88" s="5" t="n"/>
      <c r="D88" s="5" t="n"/>
      <c r="E88" s="5">
        <f>IF(C88="","",C88&amp;" - "&amp;D88)</f>
        <v/>
      </c>
      <c r="F88" s="5">
        <f>IF(D88="","","Stable")</f>
        <v/>
      </c>
      <c r="G88" s="5" t="n"/>
      <c r="H88" s="5" t="n"/>
      <c r="I88" s="5" t="n"/>
      <c r="J88" s="5" t="n"/>
      <c r="K88" s="5">
        <f>IF(D88="","",IFERROR("En cours",""))</f>
        <v/>
      </c>
      <c r="L88" s="5" t="n"/>
      <c r="M88" s="5" t="n"/>
      <c r="N88" s="5" t="n"/>
    </row>
    <row r="89" ht="22" customHeight="1">
      <c r="A89" s="8" t="n"/>
      <c r="B89" s="8" t="n"/>
      <c r="C89" s="8" t="n"/>
      <c r="D89" s="8" t="n"/>
      <c r="E89" s="8">
        <f>IF(C89="","",C89&amp;" - "&amp;D89)</f>
        <v/>
      </c>
      <c r="F89" s="8">
        <f>IF(D89="","","Stable")</f>
        <v/>
      </c>
      <c r="G89" s="8" t="n"/>
      <c r="H89" s="8" t="n"/>
      <c r="I89" s="8" t="n"/>
      <c r="J89" s="8" t="n"/>
      <c r="K89" s="8">
        <f>IF(D89="","",IFERROR("En cours",""))</f>
        <v/>
      </c>
      <c r="L89" s="8" t="n"/>
      <c r="M89" s="8" t="n"/>
      <c r="N89" s="8" t="n"/>
    </row>
    <row r="90" ht="22" customHeight="1">
      <c r="A90" s="5" t="n"/>
      <c r="B90" s="5" t="n"/>
      <c r="C90" s="5" t="n"/>
      <c r="D90" s="5" t="n"/>
      <c r="E90" s="5">
        <f>IF(C90="","",C90&amp;" - "&amp;D90)</f>
        <v/>
      </c>
      <c r="F90" s="5">
        <f>IF(D90="","","Stable")</f>
        <v/>
      </c>
      <c r="G90" s="5" t="n"/>
      <c r="H90" s="5" t="n"/>
      <c r="I90" s="5" t="n"/>
      <c r="J90" s="5" t="n"/>
      <c r="K90" s="5">
        <f>IF(D90="","",IFERROR("En cours",""))</f>
        <v/>
      </c>
      <c r="L90" s="5" t="n"/>
      <c r="M90" s="5" t="n"/>
      <c r="N90" s="5" t="n"/>
    </row>
    <row r="91" ht="22" customHeight="1">
      <c r="A91" s="8" t="n"/>
      <c r="B91" s="8" t="n"/>
      <c r="C91" s="8" t="n"/>
      <c r="D91" s="8" t="n"/>
      <c r="E91" s="8">
        <f>IF(C91="","",C91&amp;" - "&amp;D91)</f>
        <v/>
      </c>
      <c r="F91" s="8">
        <f>IF(D91="","","Stable")</f>
        <v/>
      </c>
      <c r="G91" s="8" t="n"/>
      <c r="H91" s="8" t="n"/>
      <c r="I91" s="8" t="n"/>
      <c r="J91" s="8" t="n"/>
      <c r="K91" s="8">
        <f>IF(D91="","",IFERROR("En cours",""))</f>
        <v/>
      </c>
      <c r="L91" s="8" t="n"/>
      <c r="M91" s="8" t="n"/>
      <c r="N91" s="8" t="n"/>
    </row>
    <row r="92" ht="22" customHeight="1">
      <c r="A92" s="5" t="n"/>
      <c r="B92" s="5" t="n"/>
      <c r="C92" s="5" t="n"/>
      <c r="D92" s="5" t="n"/>
      <c r="E92" s="5">
        <f>IF(C92="","",C92&amp;" - "&amp;D92)</f>
        <v/>
      </c>
      <c r="F92" s="5">
        <f>IF(D92="","","Stable")</f>
        <v/>
      </c>
      <c r="G92" s="5" t="n"/>
      <c r="H92" s="5" t="n"/>
      <c r="I92" s="5" t="n"/>
      <c r="J92" s="5" t="n"/>
      <c r="K92" s="5">
        <f>IF(D92="","",IFERROR("En cours",""))</f>
        <v/>
      </c>
      <c r="L92" s="5" t="n"/>
      <c r="M92" s="5" t="n"/>
      <c r="N92" s="5" t="n"/>
    </row>
    <row r="93" ht="22" customHeight="1">
      <c r="A93" s="8" t="n"/>
      <c r="B93" s="8" t="n"/>
      <c r="C93" s="8" t="n"/>
      <c r="D93" s="8" t="n"/>
      <c r="E93" s="8">
        <f>IF(C93="","",C93&amp;" - "&amp;D93)</f>
        <v/>
      </c>
      <c r="F93" s="8">
        <f>IF(D93="","","Stable")</f>
        <v/>
      </c>
      <c r="G93" s="8" t="n"/>
      <c r="H93" s="8" t="n"/>
      <c r="I93" s="8" t="n"/>
      <c r="J93" s="8" t="n"/>
      <c r="K93" s="8">
        <f>IF(D93="","",IFERROR("En cours",""))</f>
        <v/>
      </c>
      <c r="L93" s="8" t="n"/>
      <c r="M93" s="8" t="n"/>
      <c r="N93" s="8" t="n"/>
    </row>
    <row r="94" ht="22" customHeight="1">
      <c r="A94" s="5" t="n"/>
      <c r="B94" s="5" t="n"/>
      <c r="C94" s="5" t="n"/>
      <c r="D94" s="5" t="n"/>
      <c r="E94" s="5">
        <f>IF(C94="","",C94&amp;" - "&amp;D94)</f>
        <v/>
      </c>
      <c r="F94" s="5">
        <f>IF(D94="","","Stable")</f>
        <v/>
      </c>
      <c r="G94" s="5" t="n"/>
      <c r="H94" s="5" t="n"/>
      <c r="I94" s="5" t="n"/>
      <c r="J94" s="5" t="n"/>
      <c r="K94" s="5">
        <f>IF(D94="","",IFERROR("En cours",""))</f>
        <v/>
      </c>
      <c r="L94" s="5" t="n"/>
      <c r="M94" s="5" t="n"/>
      <c r="N94" s="5" t="n"/>
    </row>
    <row r="95" ht="22" customHeight="1">
      <c r="A95" s="8" t="n"/>
      <c r="B95" s="8" t="n"/>
      <c r="C95" s="8" t="n"/>
      <c r="D95" s="8" t="n"/>
      <c r="E95" s="8">
        <f>IF(C95="","",C95&amp;" - "&amp;D95)</f>
        <v/>
      </c>
      <c r="F95" s="8">
        <f>IF(D95="","","Stable")</f>
        <v/>
      </c>
      <c r="G95" s="8" t="n"/>
      <c r="H95" s="8" t="n"/>
      <c r="I95" s="8" t="n"/>
      <c r="J95" s="8" t="n"/>
      <c r="K95" s="8">
        <f>IF(D95="","",IFERROR("En cours",""))</f>
        <v/>
      </c>
      <c r="L95" s="8" t="n"/>
      <c r="M95" s="8" t="n"/>
      <c r="N95" s="8" t="n"/>
    </row>
    <row r="96" ht="22" customHeight="1">
      <c r="A96" s="5" t="n"/>
      <c r="B96" s="5" t="n"/>
      <c r="C96" s="5" t="n"/>
      <c r="D96" s="5" t="n"/>
      <c r="E96" s="5">
        <f>IF(C96="","",C96&amp;" - "&amp;D96)</f>
        <v/>
      </c>
      <c r="F96" s="5">
        <f>IF(D96="","","Stable")</f>
        <v/>
      </c>
      <c r="G96" s="5" t="n"/>
      <c r="H96" s="5" t="n"/>
      <c r="I96" s="5" t="n"/>
      <c r="J96" s="5" t="n"/>
      <c r="K96" s="5">
        <f>IF(D96="","",IFERROR("En cours",""))</f>
        <v/>
      </c>
      <c r="L96" s="5" t="n"/>
      <c r="M96" s="5" t="n"/>
      <c r="N96" s="5" t="n"/>
    </row>
    <row r="97" ht="22" customHeight="1">
      <c r="A97" s="8" t="n"/>
      <c r="B97" s="8" t="n"/>
      <c r="C97" s="8" t="n"/>
      <c r="D97" s="8" t="n"/>
      <c r="E97" s="8">
        <f>IF(C97="","",C97&amp;" - "&amp;D97)</f>
        <v/>
      </c>
      <c r="F97" s="8">
        <f>IF(D97="","","Stable")</f>
        <v/>
      </c>
      <c r="G97" s="8" t="n"/>
      <c r="H97" s="8" t="n"/>
      <c r="I97" s="8" t="n"/>
      <c r="J97" s="8" t="n"/>
      <c r="K97" s="8">
        <f>IF(D97="","",IFERROR("En cours",""))</f>
        <v/>
      </c>
      <c r="L97" s="8" t="n"/>
      <c r="M97" s="8" t="n"/>
      <c r="N97" s="8" t="n"/>
    </row>
    <row r="98" ht="22" customHeight="1">
      <c r="A98" s="5" t="n"/>
      <c r="B98" s="5" t="n"/>
      <c r="C98" s="5" t="n"/>
      <c r="D98" s="5" t="n"/>
      <c r="E98" s="5">
        <f>IF(C98="","",C98&amp;" - "&amp;D98)</f>
        <v/>
      </c>
      <c r="F98" s="5">
        <f>IF(D98="","","Stable")</f>
        <v/>
      </c>
      <c r="G98" s="5" t="n"/>
      <c r="H98" s="5" t="n"/>
      <c r="I98" s="5" t="n"/>
      <c r="J98" s="5" t="n"/>
      <c r="K98" s="5">
        <f>IF(D98="","",IFERROR("En cours",""))</f>
        <v/>
      </c>
      <c r="L98" s="5" t="n"/>
      <c r="M98" s="5" t="n"/>
      <c r="N98" s="5" t="n"/>
    </row>
    <row r="99" ht="22" customHeight="1">
      <c r="A99" s="8" t="n"/>
      <c r="B99" s="8" t="n"/>
      <c r="C99" s="8" t="n"/>
      <c r="D99" s="8" t="n"/>
      <c r="E99" s="8">
        <f>IF(C99="","",C99&amp;" - "&amp;D99)</f>
        <v/>
      </c>
      <c r="F99" s="8">
        <f>IF(D99="","","Stable")</f>
        <v/>
      </c>
      <c r="G99" s="8" t="n"/>
      <c r="H99" s="8" t="n"/>
      <c r="I99" s="8" t="n"/>
      <c r="J99" s="8" t="n"/>
      <c r="K99" s="8">
        <f>IF(D99="","",IFERROR("En cours",""))</f>
        <v/>
      </c>
      <c r="L99" s="8" t="n"/>
      <c r="M99" s="8" t="n"/>
      <c r="N99" s="8" t="n"/>
    </row>
    <row r="100" ht="22" customHeight="1">
      <c r="A100" s="5" t="n"/>
      <c r="B100" s="5" t="n"/>
      <c r="C100" s="5" t="n"/>
      <c r="D100" s="5" t="n"/>
      <c r="E100" s="5">
        <f>IF(C100="","",C100&amp;" - "&amp;D100)</f>
        <v/>
      </c>
      <c r="F100" s="5">
        <f>IF(D100="","","Stable")</f>
        <v/>
      </c>
      <c r="G100" s="5" t="n"/>
      <c r="H100" s="5" t="n"/>
      <c r="I100" s="5" t="n"/>
      <c r="J100" s="5" t="n"/>
      <c r="K100" s="5">
        <f>IF(D100="","",IFERROR("En cours",""))</f>
        <v/>
      </c>
      <c r="L100" s="5" t="n"/>
      <c r="M100" s="5" t="n"/>
      <c r="N100" s="5" t="n"/>
    </row>
    <row r="101" ht="22" customHeight="1">
      <c r="A101" s="8" t="n"/>
      <c r="B101" s="8" t="n"/>
      <c r="C101" s="8" t="n"/>
      <c r="D101" s="8" t="n"/>
      <c r="E101" s="8">
        <f>IF(C101="","",C101&amp;" - "&amp;D101)</f>
        <v/>
      </c>
      <c r="F101" s="8">
        <f>IF(D101="","","Stable")</f>
        <v/>
      </c>
      <c r="G101" s="8" t="n"/>
      <c r="H101" s="8" t="n"/>
      <c r="I101" s="8" t="n"/>
      <c r="J101" s="8" t="n"/>
      <c r="K101" s="8">
        <f>IF(D101="","",IFERROR("En cours",""))</f>
        <v/>
      </c>
      <c r="L101" s="8" t="n"/>
      <c r="M101" s="8" t="n"/>
      <c r="N101" s="8" t="n"/>
    </row>
    <row r="102" ht="22" customHeight="1">
      <c r="A102" s="5" t="n"/>
      <c r="B102" s="5" t="n"/>
      <c r="C102" s="5" t="n"/>
      <c r="D102" s="5" t="n"/>
      <c r="E102" s="5">
        <f>IF(C102="","",C102&amp;" - "&amp;D102)</f>
        <v/>
      </c>
      <c r="F102" s="5">
        <f>IF(D102="","","Stable")</f>
        <v/>
      </c>
      <c r="G102" s="5" t="n"/>
      <c r="H102" s="5" t="n"/>
      <c r="I102" s="5" t="n"/>
      <c r="J102" s="5" t="n"/>
      <c r="K102" s="5">
        <f>IF(D102="","",IFERROR("En cours",""))</f>
        <v/>
      </c>
      <c r="L102" s="5" t="n"/>
      <c r="M102" s="5" t="n"/>
      <c r="N102" s="5" t="n"/>
    </row>
    <row r="103" ht="22" customHeight="1">
      <c r="A103" s="8" t="n"/>
      <c r="B103" s="8" t="n"/>
      <c r="C103" s="8" t="n"/>
      <c r="D103" s="8" t="n"/>
      <c r="E103" s="8">
        <f>IF(C103="","",C103&amp;" - "&amp;D103)</f>
        <v/>
      </c>
      <c r="F103" s="8">
        <f>IF(D103="","","Stable")</f>
        <v/>
      </c>
      <c r="G103" s="8" t="n"/>
      <c r="H103" s="8" t="n"/>
      <c r="I103" s="8" t="n"/>
      <c r="J103" s="8" t="n"/>
      <c r="K103" s="8">
        <f>IF(D103="","",IFERROR("En cours",""))</f>
        <v/>
      </c>
      <c r="L103" s="8" t="n"/>
      <c r="M103" s="8" t="n"/>
      <c r="N103" s="8" t="n"/>
    </row>
    <row r="104" ht="22" customHeight="1">
      <c r="A104" s="5" t="n"/>
      <c r="B104" s="5" t="n"/>
      <c r="C104" s="5" t="n"/>
      <c r="D104" s="5" t="n"/>
      <c r="E104" s="5">
        <f>IF(C104="","",C104&amp;" - "&amp;D104)</f>
        <v/>
      </c>
      <c r="F104" s="5">
        <f>IF(D104="","","Stable")</f>
        <v/>
      </c>
      <c r="G104" s="5" t="n"/>
      <c r="H104" s="5" t="n"/>
      <c r="I104" s="5" t="n"/>
      <c r="J104" s="5" t="n"/>
      <c r="K104" s="5">
        <f>IF(D104="","",IFERROR("En cours",""))</f>
        <v/>
      </c>
      <c r="L104" s="5" t="n"/>
      <c r="M104" s="5" t="n"/>
      <c r="N104" s="5" t="n"/>
    </row>
    <row r="105" ht="22" customHeight="1">
      <c r="A105" s="8" t="n"/>
      <c r="B105" s="8" t="n"/>
      <c r="C105" s="8" t="n"/>
      <c r="D105" s="8" t="n"/>
      <c r="E105" s="8">
        <f>IF(C105="","",C105&amp;" - "&amp;D105)</f>
        <v/>
      </c>
      <c r="F105" s="8">
        <f>IF(D105="","","Stable")</f>
        <v/>
      </c>
      <c r="G105" s="8" t="n"/>
      <c r="H105" s="8" t="n"/>
      <c r="I105" s="8" t="n"/>
      <c r="J105" s="8" t="n"/>
      <c r="K105" s="8">
        <f>IF(D105="","",IFERROR("En cours",""))</f>
        <v/>
      </c>
      <c r="L105" s="8" t="n"/>
      <c r="M105" s="8" t="n"/>
      <c r="N105" s="8" t="n"/>
    </row>
    <row r="106" ht="22" customHeight="1">
      <c r="A106" s="5" t="n"/>
      <c r="B106" s="5" t="n"/>
      <c r="C106" s="5" t="n"/>
      <c r="D106" s="5" t="n"/>
      <c r="E106" s="5">
        <f>IF(C106="","",C106&amp;" - "&amp;D106)</f>
        <v/>
      </c>
      <c r="F106" s="5">
        <f>IF(D106="","","Stable")</f>
        <v/>
      </c>
      <c r="G106" s="5" t="n"/>
      <c r="H106" s="5" t="n"/>
      <c r="I106" s="5" t="n"/>
      <c r="J106" s="5" t="n"/>
      <c r="K106" s="5">
        <f>IF(D106="","",IFERROR("En cours",""))</f>
        <v/>
      </c>
      <c r="L106" s="5" t="n"/>
      <c r="M106" s="5" t="n"/>
      <c r="N106" s="5" t="n"/>
    </row>
    <row r="107" ht="22" customHeight="1">
      <c r="A107" s="8" t="n"/>
      <c r="B107" s="8" t="n"/>
      <c r="C107" s="8" t="n"/>
      <c r="D107" s="8" t="n"/>
      <c r="E107" s="8">
        <f>IF(C107="","",C107&amp;" - "&amp;D107)</f>
        <v/>
      </c>
      <c r="F107" s="8">
        <f>IF(D107="","","Stable")</f>
        <v/>
      </c>
      <c r="G107" s="8" t="n"/>
      <c r="H107" s="8" t="n"/>
      <c r="I107" s="8" t="n"/>
      <c r="J107" s="8" t="n"/>
      <c r="K107" s="8">
        <f>IF(D107="","",IFERROR("En cours",""))</f>
        <v/>
      </c>
      <c r="L107" s="8" t="n"/>
      <c r="M107" s="8" t="n"/>
      <c r="N107" s="8" t="n"/>
    </row>
    <row r="108" ht="22" customHeight="1">
      <c r="A108" s="5" t="n"/>
      <c r="B108" s="5" t="n"/>
      <c r="C108" s="5" t="n"/>
      <c r="D108" s="5" t="n"/>
      <c r="E108" s="5">
        <f>IF(C108="","",C108&amp;" - "&amp;D108)</f>
        <v/>
      </c>
      <c r="F108" s="5">
        <f>IF(D108="","","Stable")</f>
        <v/>
      </c>
      <c r="G108" s="5" t="n"/>
      <c r="H108" s="5" t="n"/>
      <c r="I108" s="5" t="n"/>
      <c r="J108" s="5" t="n"/>
      <c r="K108" s="5">
        <f>IF(D108="","",IFERROR("En cours",""))</f>
        <v/>
      </c>
      <c r="L108" s="5" t="n"/>
      <c r="M108" s="5" t="n"/>
      <c r="N108" s="5" t="n"/>
    </row>
    <row r="109" ht="22" customHeight="1">
      <c r="A109" s="8" t="n"/>
      <c r="B109" s="8" t="n"/>
      <c r="C109" s="8" t="n"/>
      <c r="D109" s="8" t="n"/>
      <c r="E109" s="8">
        <f>IF(C109="","",C109&amp;" - "&amp;D109)</f>
        <v/>
      </c>
      <c r="F109" s="8">
        <f>IF(D109="","","Stable")</f>
        <v/>
      </c>
      <c r="G109" s="8" t="n"/>
      <c r="H109" s="8" t="n"/>
      <c r="I109" s="8" t="n"/>
      <c r="J109" s="8" t="n"/>
      <c r="K109" s="8">
        <f>IF(D109="","",IFERROR("En cours",""))</f>
        <v/>
      </c>
      <c r="L109" s="8" t="n"/>
      <c r="M109" s="8" t="n"/>
      <c r="N109" s="8" t="n"/>
    </row>
    <row r="110" ht="22" customHeight="1">
      <c r="A110" s="5" t="n"/>
      <c r="B110" s="5" t="n"/>
      <c r="C110" s="5" t="n"/>
      <c r="D110" s="5" t="n"/>
      <c r="E110" s="5">
        <f>IF(C110="","",C110&amp;" - "&amp;D110)</f>
        <v/>
      </c>
      <c r="F110" s="5">
        <f>IF(D110="","","Stable")</f>
        <v/>
      </c>
      <c r="G110" s="5" t="n"/>
      <c r="H110" s="5" t="n"/>
      <c r="I110" s="5" t="n"/>
      <c r="J110" s="5" t="n"/>
      <c r="K110" s="5">
        <f>IF(D110="","",IFERROR("En cours",""))</f>
        <v/>
      </c>
      <c r="L110" s="5" t="n"/>
      <c r="M110" s="5" t="n"/>
      <c r="N110" s="5" t="n"/>
    </row>
    <row r="111" ht="22" customHeight="1">
      <c r="A111" s="8" t="n"/>
      <c r="B111" s="8" t="n"/>
      <c r="C111" s="8" t="n"/>
      <c r="D111" s="8" t="n"/>
      <c r="E111" s="8">
        <f>IF(C111="","",C111&amp;" - "&amp;D111)</f>
        <v/>
      </c>
      <c r="F111" s="8">
        <f>IF(D111="","","Stable")</f>
        <v/>
      </c>
      <c r="G111" s="8" t="n"/>
      <c r="H111" s="8" t="n"/>
      <c r="I111" s="8" t="n"/>
      <c r="J111" s="8" t="n"/>
      <c r="K111" s="8">
        <f>IF(D111="","",IFERROR("En cours",""))</f>
        <v/>
      </c>
      <c r="L111" s="8" t="n"/>
      <c r="M111" s="8" t="n"/>
      <c r="N111" s="8" t="n"/>
    </row>
    <row r="112" ht="22" customHeight="1">
      <c r="A112" s="5" t="n"/>
      <c r="B112" s="5" t="n"/>
      <c r="C112" s="5" t="n"/>
      <c r="D112" s="5" t="n"/>
      <c r="E112" s="5">
        <f>IF(C112="","",C112&amp;" - "&amp;D112)</f>
        <v/>
      </c>
      <c r="F112" s="5">
        <f>IF(D112="","","Stable")</f>
        <v/>
      </c>
      <c r="G112" s="5" t="n"/>
      <c r="H112" s="5" t="n"/>
      <c r="I112" s="5" t="n"/>
      <c r="J112" s="5" t="n"/>
      <c r="K112" s="5">
        <f>IF(D112="","",IFERROR("En cours",""))</f>
        <v/>
      </c>
      <c r="L112" s="5" t="n"/>
      <c r="M112" s="5" t="n"/>
      <c r="N112" s="5" t="n"/>
    </row>
    <row r="113" ht="22" customHeight="1">
      <c r="A113" s="8" t="n"/>
      <c r="B113" s="8" t="n"/>
      <c r="C113" s="8" t="n"/>
      <c r="D113" s="8" t="n"/>
      <c r="E113" s="8">
        <f>IF(C113="","",C113&amp;" - "&amp;D113)</f>
        <v/>
      </c>
      <c r="F113" s="8">
        <f>IF(D113="","","Stable")</f>
        <v/>
      </c>
      <c r="G113" s="8" t="n"/>
      <c r="H113" s="8" t="n"/>
      <c r="I113" s="8" t="n"/>
      <c r="J113" s="8" t="n"/>
      <c r="K113" s="8">
        <f>IF(D113="","",IFERROR("En cours",""))</f>
        <v/>
      </c>
      <c r="L113" s="8" t="n"/>
      <c r="M113" s="8" t="n"/>
      <c r="N113" s="8" t="n"/>
    </row>
    <row r="114" ht="22" customHeight="1">
      <c r="A114" s="5" t="n"/>
      <c r="B114" s="5" t="n"/>
      <c r="C114" s="5" t="n"/>
      <c r="D114" s="5" t="n"/>
      <c r="E114" s="5">
        <f>IF(C114="","",C114&amp;" - "&amp;D114)</f>
        <v/>
      </c>
      <c r="F114" s="5">
        <f>IF(D114="","","Stable")</f>
        <v/>
      </c>
      <c r="G114" s="5" t="n"/>
      <c r="H114" s="5" t="n"/>
      <c r="I114" s="5" t="n"/>
      <c r="J114" s="5" t="n"/>
      <c r="K114" s="5">
        <f>IF(D114="","",IFERROR("En cours",""))</f>
        <v/>
      </c>
      <c r="L114" s="5" t="n"/>
      <c r="M114" s="5" t="n"/>
      <c r="N114" s="5" t="n"/>
    </row>
    <row r="115" ht="22" customHeight="1">
      <c r="A115" s="8" t="n"/>
      <c r="B115" s="8" t="n"/>
      <c r="C115" s="8" t="n"/>
      <c r="D115" s="8" t="n"/>
      <c r="E115" s="8">
        <f>IF(C115="","",C115&amp;" - "&amp;D115)</f>
        <v/>
      </c>
      <c r="F115" s="8">
        <f>IF(D115="","","Stable")</f>
        <v/>
      </c>
      <c r="G115" s="8" t="n"/>
      <c r="H115" s="8" t="n"/>
      <c r="I115" s="8" t="n"/>
      <c r="J115" s="8" t="n"/>
      <c r="K115" s="8">
        <f>IF(D115="","",IFERROR("En cours",""))</f>
        <v/>
      </c>
      <c r="L115" s="8" t="n"/>
      <c r="M115" s="8" t="n"/>
      <c r="N115" s="8" t="n"/>
    </row>
  </sheetData>
  <mergeCells count="2">
    <mergeCell ref="A3:N3"/>
    <mergeCell ref="A2:N2"/>
  </mergeCells>
  <dataValidations count="2">
    <dataValidation sqref="F6:F115" showDropDown="0" showInputMessage="0" showErrorMessage="0" allowBlank="1" errorTitle="Erreur" error="Valeur invalide" promptTitle="" prompt="Choisir dans la liste: " type="list">
      <formula1>'F02 - _Lists'!$R$6:$R$8</formula1>
    </dataValidation>
    <dataValidation sqref="G6:G115" showDropDown="0" showInputMessage="0" showErrorMessage="0" allowBlank="1" errorTitle="Erreur" error="Valeur invalide" promptTitle="" prompt="Choisir dans la liste: " type="list">
      <formula1>'F02 - _Lists'!$Q$6:$Q$9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16" customWidth="1" min="4" max="4"/>
    <col width="18" customWidth="1" min="5" max="5"/>
    <col width="22" customWidth="1" min="6" max="6"/>
    <col width="36" customWidth="1" min="7" max="7"/>
    <col width="36" customWidth="1" min="8" max="8"/>
    <col width="16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19-EXIGENCES D'AUDIT COMMUNICATION INTERNE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Exigence</t>
        </is>
      </c>
      <c r="B5" s="4" t="inlineStr">
        <is>
          <t>Exigence Audit</t>
        </is>
      </c>
      <c r="C5" s="4" t="inlineStr">
        <is>
          <t>Fréquence Vérification</t>
        </is>
      </c>
      <c r="D5" s="4" t="inlineStr">
        <is>
          <t>Responsable</t>
        </is>
      </c>
      <c r="E5" s="4" t="inlineStr">
        <is>
          <t>Dernière Vérification</t>
        </is>
      </c>
      <c r="F5" s="4" t="inlineStr">
        <is>
          <t>Conformité</t>
        </is>
      </c>
      <c r="G5" s="4" t="inlineStr">
        <is>
          <t>Commentaire</t>
        </is>
      </c>
      <c r="H5" s="4" t="inlineStr">
        <is>
          <t>Action Corrective</t>
        </is>
      </c>
      <c r="I5" s="4" t="inlineStr">
        <is>
          <t>Échéance Action</t>
        </is>
      </c>
      <c r="J5" s="4" t="inlineStr">
        <is>
          <t>Statut</t>
        </is>
      </c>
      <c r="K5" s="4" t="inlineStr">
        <is>
          <t>Observations</t>
        </is>
      </c>
      <c r="L5" s="4" t="inlineStr"/>
      <c r="M5" s="4" t="inlineStr"/>
      <c r="N5" s="4" t="inlineStr"/>
    </row>
    <row r="6" ht="22" customHeight="1">
      <c r="A6" s="5" t="inlineStr">
        <is>
          <t>AUD-COM-01</t>
        </is>
      </c>
      <c r="B6" s="5" t="inlineStr">
        <is>
          <t>Tenue du registre des enquêtes d'engagement</t>
        </is>
      </c>
      <c r="C6" s="5" t="inlineStr">
        <is>
          <t>Annuelle</t>
        </is>
      </c>
      <c r="D6" s="5" t="inlineStr">
        <is>
          <t>DRH</t>
        </is>
      </c>
      <c r="E6" s="23" t="n">
        <v>45687</v>
      </c>
      <c r="F6" s="5" t="inlineStr">
        <is>
          <t>Conforme</t>
        </is>
      </c>
      <c r="G6" s="5" t="inlineStr">
        <is>
          <t>Registre à jour et complet</t>
        </is>
      </c>
      <c r="H6" s="5" t="inlineStr"/>
      <c r="I6" s="5" t="n"/>
      <c r="J6" s="5" t="inlineStr">
        <is>
          <t>Conforme</t>
        </is>
      </c>
      <c r="K6" s="5" t="inlineStr"/>
      <c r="L6" s="30">
        <f>IF(E6="","",IFERROR(TODAY()-E6,0))</f>
        <v/>
      </c>
      <c r="M6" s="5">
        <f>IF(E6="","",IF(AND(F6="Conforme",L6&gt;90),"À revérifier",IF(F6="Non conforme","ACTION URGENTE",IF(F6="Partiellement conforme","À suivre","OK"))))</f>
        <v/>
      </c>
      <c r="N6" s="5">
        <f>IF(C6="","",IF(C6="Mensuelle",30,IF(C6="Trimestrielle",90,IF(C6="Semestrielle",180,IF(C6="Annuelle",365,IF(C6="Hebdomadaire",7,0))))))</f>
        <v/>
      </c>
    </row>
    <row r="7" ht="22" customHeight="1">
      <c r="A7" s="8" t="inlineStr">
        <is>
          <t>AUD-COM-02</t>
        </is>
      </c>
      <c r="B7" s="8" t="inlineStr">
        <is>
          <t>Diffusion régulière de la communication officielle</t>
        </is>
      </c>
      <c r="C7" s="8" t="inlineStr">
        <is>
          <t>Semestrielle</t>
        </is>
      </c>
      <c r="D7" s="8" t="inlineStr">
        <is>
          <t>DRH</t>
        </is>
      </c>
      <c r="E7" s="24" t="n">
        <v>45716</v>
      </c>
      <c r="F7" s="8" t="inlineStr">
        <is>
          <t>Conforme</t>
        </is>
      </c>
      <c r="G7" s="8" t="inlineStr">
        <is>
          <t>Newsletter mensuelle diffusée régulièrement</t>
        </is>
      </c>
      <c r="H7" s="8" t="inlineStr"/>
      <c r="I7" s="8" t="n"/>
      <c r="J7" s="8" t="inlineStr">
        <is>
          <t>Conforme</t>
        </is>
      </c>
      <c r="K7" s="8" t="inlineStr"/>
      <c r="L7" s="29">
        <f>IF(E7="","",IFERROR(TODAY()-E7,0))</f>
        <v/>
      </c>
      <c r="M7" s="8">
        <f>IF(E7="","",IF(AND(F7="Conforme",L7&gt;90),"À revérifier",IF(F7="Non conforme","ACTION URGENTE",IF(F7="Partiellement conforme","À suivre","OK"))))</f>
        <v/>
      </c>
      <c r="N7" s="8">
        <f>IF(C7="","",IF(C7="Mensuelle",30,IF(C7="Trimestrielle",90,IF(C7="Semestrielle",180,IF(C7="Annuelle",365,IF(C7="Hebdomadaire",7,0))))))</f>
        <v/>
      </c>
    </row>
    <row r="8" ht="22" customHeight="1">
      <c r="A8" s="5" t="inlineStr">
        <is>
          <t>AUD-COM-03</t>
        </is>
      </c>
      <c r="B8" s="5" t="inlineStr">
        <is>
          <t>Respect du budget communication</t>
        </is>
      </c>
      <c r="C8" s="5" t="inlineStr">
        <is>
          <t>Trimestrielle</t>
        </is>
      </c>
      <c r="D8" s="5" t="inlineStr">
        <is>
          <t>DAF</t>
        </is>
      </c>
      <c r="E8" s="23" t="n">
        <v>45747</v>
      </c>
      <c r="F8" s="5" t="inlineStr">
        <is>
          <t>Conforme</t>
        </is>
      </c>
      <c r="G8" s="5" t="inlineStr">
        <is>
          <t>T1 dans enveloppe</t>
        </is>
      </c>
      <c r="H8" s="5" t="inlineStr"/>
      <c r="I8" s="5" t="n"/>
      <c r="J8" s="5" t="inlineStr">
        <is>
          <t>Conforme</t>
        </is>
      </c>
      <c r="K8" s="5" t="inlineStr"/>
      <c r="L8" s="30">
        <f>IF(E8="","",IFERROR(TODAY()-E8,0))</f>
        <v/>
      </c>
      <c r="M8" s="5">
        <f>IF(E8="","",IF(AND(F8="Conforme",L8&gt;90),"À revérifier",IF(F8="Non conforme","ACTION URGENTE",IF(F8="Partiellement conforme","À suivre","OK"))))</f>
        <v/>
      </c>
      <c r="N8" s="5">
        <f>IF(C8="","",IF(C8="Mensuelle",30,IF(C8="Trimestrielle",90,IF(C8="Semestrielle",180,IF(C8="Annuelle",365,IF(C8="Hebdomadaire",7,0))))))</f>
        <v/>
      </c>
    </row>
    <row r="9" ht="22" customHeight="1">
      <c r="A9" s="8" t="inlineStr">
        <is>
          <t>AUD-COM-04</t>
        </is>
      </c>
      <c r="B9" s="8" t="inlineStr">
        <is>
          <t>Traitement des suggestions sous 15 jours</t>
        </is>
      </c>
      <c r="C9" s="8" t="inlineStr">
        <is>
          <t>Mensuelle</t>
        </is>
      </c>
      <c r="D9" s="8" t="inlineStr">
        <is>
          <t>DRH</t>
        </is>
      </c>
      <c r="E9" s="24" t="n">
        <v>45716</v>
      </c>
      <c r="F9" s="8" t="inlineStr">
        <is>
          <t>Partiellement conforme</t>
        </is>
      </c>
      <c r="G9" s="8" t="inlineStr">
        <is>
          <t>2 suggestions hors délai en janvier</t>
        </is>
      </c>
      <c r="H9" s="8" t="inlineStr">
        <is>
          <t>Relance automatique J+10</t>
        </is>
      </c>
      <c r="I9" s="24" t="n">
        <v>45748</v>
      </c>
      <c r="J9" s="8" t="inlineStr">
        <is>
          <t>En cours</t>
        </is>
      </c>
      <c r="K9" s="8" t="inlineStr"/>
      <c r="L9" s="29">
        <f>IF(E9="","",IFERROR(TODAY()-E9,0))</f>
        <v/>
      </c>
      <c r="M9" s="8">
        <f>IF(E9="","",IF(AND(F9="Conforme",L9&gt;90),"À revérifier",IF(F9="Non conforme","ACTION URGENTE",IF(F9="Partiellement conforme","À suivre","OK"))))</f>
        <v/>
      </c>
      <c r="N9" s="8">
        <f>IF(C9="","",IF(C9="Mensuelle",30,IF(C9="Trimestrielle",90,IF(C9="Semestrielle",180,IF(C9="Annuelle",365,IF(C9="Hebdomadaire",7,0))))))</f>
        <v/>
      </c>
    </row>
    <row r="10" ht="22" customHeight="1">
      <c r="A10" s="5" t="inlineStr">
        <is>
          <t>AUD-COM-05</t>
        </is>
      </c>
      <c r="B10" s="5" t="inlineStr">
        <is>
          <t>Anonymat des enquêtes garanti</t>
        </is>
      </c>
      <c r="C10" s="5" t="inlineStr">
        <is>
          <t>Annuelle</t>
        </is>
      </c>
      <c r="D10" s="5" t="inlineStr">
        <is>
          <t>DSI / DRH</t>
        </is>
      </c>
      <c r="E10" s="23" t="n">
        <v>45672</v>
      </c>
      <c r="F10" s="5" t="inlineStr">
        <is>
          <t>Conforme</t>
        </is>
      </c>
      <c r="G10" s="5" t="inlineStr">
        <is>
          <t>Plateforme sécurisée vérifiée</t>
        </is>
      </c>
      <c r="H10" s="5" t="inlineStr"/>
      <c r="I10" s="5" t="n"/>
      <c r="J10" s="5" t="inlineStr">
        <is>
          <t>Conforme</t>
        </is>
      </c>
      <c r="K10" s="5" t="inlineStr"/>
      <c r="L10" s="30">
        <f>IF(E10="","",IFERROR(TODAY()-E10,0))</f>
        <v/>
      </c>
      <c r="M10" s="5">
        <f>IF(E10="","",IF(AND(F10="Conforme",L10&gt;90),"À revérifier",IF(F10="Non conforme","ACTION URGENTE",IF(F10="Partiellement conforme","À suivre","OK"))))</f>
        <v/>
      </c>
      <c r="N10" s="5">
        <f>IF(C10="","",IF(C10="Mensuelle",30,IF(C10="Trimestrielle",90,IF(C10="Semestrielle",180,IF(C10="Annuelle",365,IF(C10="Hebdomadaire",7,0))))))</f>
        <v/>
      </c>
    </row>
    <row r="11" ht="22" customHeight="1">
      <c r="A11" s="8" t="inlineStr">
        <is>
          <t>AUD-COM-06</t>
        </is>
      </c>
      <c r="B11" s="8" t="inlineStr">
        <is>
          <t>Organisation des réunions CVS</t>
        </is>
      </c>
      <c r="C11" s="8" t="inlineStr">
        <is>
          <t>Trimestrielle</t>
        </is>
      </c>
      <c r="D11" s="8" t="inlineStr">
        <is>
          <t>DRH</t>
        </is>
      </c>
      <c r="E11" s="24" t="n">
        <v>45736</v>
      </c>
      <c r="F11" s="8" t="inlineStr">
        <is>
          <t>Conforme</t>
        </is>
      </c>
      <c r="G11" s="8" t="inlineStr">
        <is>
          <t>3 réunions tenues T1</t>
        </is>
      </c>
      <c r="H11" s="8" t="inlineStr"/>
      <c r="I11" s="8" t="n"/>
      <c r="J11" s="8" t="inlineStr">
        <is>
          <t>Conforme</t>
        </is>
      </c>
      <c r="K11" s="8" t="inlineStr"/>
      <c r="L11" s="29">
        <f>IF(E11="","",IFERROR(TODAY()-E11,0))</f>
        <v/>
      </c>
      <c r="M11" s="8">
        <f>IF(E11="","",IF(AND(F11="Conforme",L11&gt;90),"À revérifier",IF(F11="Non conforme","ACTION URGENTE",IF(F11="Partiellement conforme","À suivre","OK"))))</f>
        <v/>
      </c>
      <c r="N11" s="8">
        <f>IF(C11="","",IF(C11="Mensuelle",30,IF(C11="Trimestrielle",90,IF(C11="Semestrielle",180,IF(C11="Annuelle",365,IF(C11="Hebdomadaire",7,0))))))</f>
        <v/>
      </c>
    </row>
    <row r="12" ht="22" customHeight="1">
      <c r="A12" s="5" t="inlineStr">
        <is>
          <t>AUD-COM-07</t>
        </is>
      </c>
      <c r="B12" s="5" t="inlineStr">
        <is>
          <t>Gestion et suivi des alertes et rumeurs</t>
        </is>
      </c>
      <c r="C12" s="5" t="inlineStr">
        <is>
          <t>Mensuelle</t>
        </is>
      </c>
      <c r="D12" s="5" t="inlineStr">
        <is>
          <t>DRH</t>
        </is>
      </c>
      <c r="E12" s="23" t="n">
        <v>45716</v>
      </c>
      <c r="F12" s="5" t="inlineStr">
        <is>
          <t>Conforme</t>
        </is>
      </c>
      <c r="G12" s="5" t="inlineStr">
        <is>
          <t>Processus opérationnel, 4 alertes traitées</t>
        </is>
      </c>
      <c r="H12" s="5" t="inlineStr"/>
      <c r="I12" s="5" t="n"/>
      <c r="J12" s="5" t="inlineStr">
        <is>
          <t>Conforme</t>
        </is>
      </c>
      <c r="K12" s="5" t="inlineStr"/>
      <c r="L12" s="30">
        <f>IF(E12="","",IFERROR(TODAY()-E12,0))</f>
        <v/>
      </c>
      <c r="M12" s="5">
        <f>IF(E12="","",IF(AND(F12="Conforme",L12&gt;90),"À revérifier",IF(F12="Non conforme","ACTION URGENTE",IF(F12="Partiellement conforme","À suivre","OK"))))</f>
        <v/>
      </c>
      <c r="N12" s="5">
        <f>IF(C12="","",IF(C12="Mensuelle",30,IF(C12="Trimestrielle",90,IF(C12="Semestrielle",180,IF(C12="Annuelle",365,IF(C12="Hebdomadaire",7,0))))))</f>
        <v/>
      </c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29">
        <f>IF(E13="","",IFERROR(TODAY()-E13,0))</f>
        <v/>
      </c>
      <c r="M13" s="8">
        <f>IF(E13="","",IF(AND(F13="Conforme",L13&gt;90),"À revérifier",IF(F13="Non conforme","ACTION URGENTE",IF(F13="Partiellement conforme","À suivre","OK"))))</f>
        <v/>
      </c>
      <c r="N13" s="8">
        <f>IF(C13="","",IF(C13="Mensuelle",30,IF(C13="Trimestrielle",90,IF(C13="Semestrielle",180,IF(C13="Annuelle",365,IF(C13="Hebdomadaire",7,0))))))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30">
        <f>IF(E14="","",IFERROR(TODAY()-E14,0))</f>
        <v/>
      </c>
      <c r="M14" s="5">
        <f>IF(E14="","",IF(AND(F14="Conforme",L14&gt;90),"À revérifier",IF(F14="Non conforme","ACTION URGENTE",IF(F14="Partiellement conforme","À suivre","OK"))))</f>
        <v/>
      </c>
      <c r="N14" s="5">
        <f>IF(C14="","",IF(C14="Mensuelle",30,IF(C14="Trimestrielle",90,IF(C14="Semestrielle",180,IF(C14="Annuelle",365,IF(C14="Hebdomadaire",7,0))))))</f>
        <v/>
      </c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29">
        <f>IF(E15="","",IFERROR(TODAY()-E15,0))</f>
        <v/>
      </c>
      <c r="M15" s="8">
        <f>IF(E15="","",IF(AND(F15="Conforme",L15&gt;90),"À revérifier",IF(F15="Non conforme","ACTION URGENTE",IF(F15="Partiellement conforme","À suivre","OK"))))</f>
        <v/>
      </c>
      <c r="N15" s="8">
        <f>IF(C15="","",IF(C15="Mensuelle",30,IF(C15="Trimestrielle",90,IF(C15="Semestrielle",180,IF(C15="Annuelle",365,IF(C15="Hebdomadaire",7,0))))))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30">
        <f>IF(E16="","",IFERROR(TODAY()-E16,0))</f>
        <v/>
      </c>
      <c r="M16" s="5">
        <f>IF(E16="","",IF(AND(F16="Conforme",L16&gt;90),"À revérifier",IF(F16="Non conforme","ACTION URGENTE",IF(F16="Partiellement conforme","À suivre","OK"))))</f>
        <v/>
      </c>
      <c r="N16" s="5">
        <f>IF(C16="","",IF(C16="Mensuelle",30,IF(C16="Trimestrielle",90,IF(C16="Semestrielle",180,IF(C16="Annuelle",365,IF(C16="Hebdomadaire",7,0))))))</f>
        <v/>
      </c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29">
        <f>IF(E17="","",IFERROR(TODAY()-E17,0))</f>
        <v/>
      </c>
      <c r="M17" s="8">
        <f>IF(E17="","",IF(AND(F17="Conforme",L17&gt;90),"À revérifier",IF(F17="Non conforme","ACTION URGENTE",IF(F17="Partiellement conforme","À suivre","OK"))))</f>
        <v/>
      </c>
      <c r="N17" s="8">
        <f>IF(C17="","",IF(C17="Mensuelle",30,IF(C17="Trimestrielle",90,IF(C17="Semestrielle",180,IF(C17="Annuelle",365,IF(C17="Hebdomadaire",7,0))))))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30">
        <f>IF(E18="","",IFERROR(TODAY()-E18,0))</f>
        <v/>
      </c>
      <c r="M18" s="5">
        <f>IF(E18="","",IF(AND(F18="Conforme",L18&gt;90),"À revérifier",IF(F18="Non conforme","ACTION URGENTE",IF(F18="Partiellement conforme","À suivre","OK"))))</f>
        <v/>
      </c>
      <c r="N18" s="5">
        <f>IF(C18="","",IF(C18="Mensuelle",30,IF(C18="Trimestrielle",90,IF(C18="Semestrielle",180,IF(C18="Annuelle",365,IF(C18="Hebdomadaire",7,0))))))</f>
        <v/>
      </c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29">
        <f>IF(E19="","",IFERROR(TODAY()-E19,0))</f>
        <v/>
      </c>
      <c r="M19" s="8">
        <f>IF(E19="","",IF(AND(F19="Conforme",L19&gt;90),"À revérifier",IF(F19="Non conforme","ACTION URGENTE",IF(F19="Partiellement conforme","À suivre","OK"))))</f>
        <v/>
      </c>
      <c r="N19" s="8">
        <f>IF(C19="","",IF(C19="Mensuelle",30,IF(C19="Trimestrielle",90,IF(C19="Semestrielle",180,IF(C19="Annuelle",365,IF(C19="Hebdomadaire",7,0))))))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30">
        <f>IF(E20="","",IFERROR(TODAY()-E20,0))</f>
        <v/>
      </c>
      <c r="M20" s="5">
        <f>IF(E20="","",IF(AND(F20="Conforme",L20&gt;90),"À revérifier",IF(F20="Non conforme","ACTION URGENTE",IF(F20="Partiellement conforme","À suivre","OK"))))</f>
        <v/>
      </c>
      <c r="N20" s="5">
        <f>IF(C20="","",IF(C20="Mensuelle",30,IF(C20="Trimestrielle",90,IF(C20="Semestrielle",180,IF(C20="Annuelle",365,IF(C20="Hebdomadaire",7,0))))))</f>
        <v/>
      </c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29">
        <f>IF(E21="","",IFERROR(TODAY()-E21,0))</f>
        <v/>
      </c>
      <c r="M21" s="8">
        <f>IF(E21="","",IF(AND(F21="Conforme",L21&gt;90),"À revérifier",IF(F21="Non conforme","ACTION URGENTE",IF(F21="Partiellement conforme","À suivre","OK"))))</f>
        <v/>
      </c>
      <c r="N21" s="8">
        <f>IF(C21="","",IF(C21="Mensuelle",30,IF(C21="Trimestrielle",90,IF(C21="Semestrielle",180,IF(C21="Annuelle",365,IF(C21="Hebdomadaire",7,0))))))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30">
        <f>IF(E22="","",IFERROR(TODAY()-E22,0))</f>
        <v/>
      </c>
      <c r="M22" s="5">
        <f>IF(E22="","",IF(AND(F22="Conforme",L22&gt;90),"À revérifier",IF(F22="Non conforme","ACTION URGENTE",IF(F22="Partiellement conforme","À suivre","OK"))))</f>
        <v/>
      </c>
      <c r="N22" s="5">
        <f>IF(C22="","",IF(C22="Mensuelle",30,IF(C22="Trimestrielle",90,IF(C22="Semestrielle",180,IF(C22="Annuelle",365,IF(C22="Hebdomadaire",7,0))))))</f>
        <v/>
      </c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29">
        <f>IF(E23="","",IFERROR(TODAY()-E23,0))</f>
        <v/>
      </c>
      <c r="M23" s="8">
        <f>IF(E23="","",IF(AND(F23="Conforme",L23&gt;90),"À revérifier",IF(F23="Non conforme","ACTION URGENTE",IF(F23="Partiellement conforme","À suivre","OK"))))</f>
        <v/>
      </c>
      <c r="N23" s="8">
        <f>IF(C23="","",IF(C23="Mensuelle",30,IF(C23="Trimestrielle",90,IF(C23="Semestrielle",180,IF(C23="Annuelle",365,IF(C23="Hebdomadaire",7,0))))))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30">
        <f>IF(E24="","",IFERROR(TODAY()-E24,0))</f>
        <v/>
      </c>
      <c r="M24" s="5">
        <f>IF(E24="","",IF(AND(F24="Conforme",L24&gt;90),"À revérifier",IF(F24="Non conforme","ACTION URGENTE",IF(F24="Partiellement conforme","À suivre","OK"))))</f>
        <v/>
      </c>
      <c r="N24" s="5">
        <f>IF(C24="","",IF(C24="Mensuelle",30,IF(C24="Trimestrielle",90,IF(C24="Semestrielle",180,IF(C24="Annuelle",365,IF(C24="Hebdomadaire",7,0))))))</f>
        <v/>
      </c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29">
        <f>IF(E25="","",IFERROR(TODAY()-E25,0))</f>
        <v/>
      </c>
      <c r="M25" s="8">
        <f>IF(E25="","",IF(AND(F25="Conforme",L25&gt;90),"À revérifier",IF(F25="Non conforme","ACTION URGENTE",IF(F25="Partiellement conforme","À suivre","OK"))))</f>
        <v/>
      </c>
      <c r="N25" s="8">
        <f>IF(C25="","",IF(C25="Mensuelle",30,IF(C25="Trimestrielle",90,IF(C25="Semestrielle",180,IF(C25="Annuelle",365,IF(C25="Hebdomadaire",7,0))))))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30">
        <f>IF(E26="","",IFERROR(TODAY()-E26,0))</f>
        <v/>
      </c>
      <c r="M26" s="5">
        <f>IF(E26="","",IF(AND(F26="Conforme",L26&gt;90),"À revérifier",IF(F26="Non conforme","ACTION URGENTE",IF(F26="Partiellement conforme","À suivre","OK"))))</f>
        <v/>
      </c>
      <c r="N26" s="5">
        <f>IF(C26="","",IF(C26="Mensuelle",30,IF(C26="Trimestrielle",90,IF(C26="Semestrielle",180,IF(C26="Annuelle",365,IF(C26="Hebdomadaire",7,0))))))</f>
        <v/>
      </c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29">
        <f>IF(E27="","",IFERROR(TODAY()-E27,0))</f>
        <v/>
      </c>
      <c r="M27" s="8">
        <f>IF(E27="","",IF(AND(F27="Conforme",L27&gt;90),"À revérifier",IF(F27="Non conforme","ACTION URGENTE",IF(F27="Partiellement conforme","À suivre","OK"))))</f>
        <v/>
      </c>
      <c r="N27" s="8">
        <f>IF(C27="","",IF(C27="Mensuelle",30,IF(C27="Trimestrielle",90,IF(C27="Semestrielle",180,IF(C27="Annuelle",365,IF(C27="Hebdomadaire",7,0))))))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30">
        <f>IF(E28="","",IFERROR(TODAY()-E28,0))</f>
        <v/>
      </c>
      <c r="M28" s="5">
        <f>IF(E28="","",IF(AND(F28="Conforme",L28&gt;90),"À revérifier",IF(F28="Non conforme","ACTION URGENTE",IF(F28="Partiellement conforme","À suivre","OK"))))</f>
        <v/>
      </c>
      <c r="N28" s="5">
        <f>IF(C28="","",IF(C28="Mensuelle",30,IF(C28="Trimestrielle",90,IF(C28="Semestrielle",180,IF(C28="Annuelle",365,IF(C28="Hebdomadaire",7,0))))))</f>
        <v/>
      </c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29">
        <f>IF(E29="","",IFERROR(TODAY()-E29,0))</f>
        <v/>
      </c>
      <c r="M29" s="8">
        <f>IF(E29="","",IF(AND(F29="Conforme",L29&gt;90),"À revérifier",IF(F29="Non conforme","ACTION URGENTE",IF(F29="Partiellement conforme","À suivre","OK"))))</f>
        <v/>
      </c>
      <c r="N29" s="8">
        <f>IF(C29="","",IF(C29="Mensuelle",30,IF(C29="Trimestrielle",90,IF(C29="Semestrielle",180,IF(C29="Annuelle",365,IF(C29="Hebdomadaire",7,0))))))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30">
        <f>IF(E30="","",IFERROR(TODAY()-E30,0))</f>
        <v/>
      </c>
      <c r="M30" s="5">
        <f>IF(E30="","",IF(AND(F30="Conforme",L30&gt;90),"À revérifier",IF(F30="Non conforme","ACTION URGENTE",IF(F30="Partiellement conforme","À suivre","OK"))))</f>
        <v/>
      </c>
      <c r="N30" s="5">
        <f>IF(C30="","",IF(C30="Mensuelle",30,IF(C30="Trimestrielle",90,IF(C30="Semestrielle",180,IF(C30="Annuelle",365,IF(C30="Hebdomadaire",7,0))))))</f>
        <v/>
      </c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29">
        <f>IF(E31="","",IFERROR(TODAY()-E31,0))</f>
        <v/>
      </c>
      <c r="M31" s="8">
        <f>IF(E31="","",IF(AND(F31="Conforme",L31&gt;90),"À revérifier",IF(F31="Non conforme","ACTION URGENTE",IF(F31="Partiellement conforme","À suivre","OK"))))</f>
        <v/>
      </c>
      <c r="N31" s="8">
        <f>IF(C31="","",IF(C31="Mensuelle",30,IF(C31="Trimestrielle",90,IF(C31="Semestrielle",180,IF(C31="Annuelle",365,IF(C31="Hebdomadaire",7,0))))))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30">
        <f>IF(E32="","",IFERROR(TODAY()-E32,0))</f>
        <v/>
      </c>
      <c r="M32" s="5">
        <f>IF(E32="","",IF(AND(F32="Conforme",L32&gt;90),"À revérifier",IF(F32="Non conforme","ACTION URGENTE",IF(F32="Partiellement conforme","À suivre","OK"))))</f>
        <v/>
      </c>
      <c r="N32" s="5">
        <f>IF(C32="","",IF(C32="Mensuelle",30,IF(C32="Trimestrielle",90,IF(C32="Semestrielle",180,IF(C32="Annuelle",365,IF(C32="Hebdomadaire",7,0))))))</f>
        <v/>
      </c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29">
        <f>IF(E33="","",IFERROR(TODAY()-E33,0))</f>
        <v/>
      </c>
      <c r="M33" s="8">
        <f>IF(E33="","",IF(AND(F33="Conforme",L33&gt;90),"À revérifier",IF(F33="Non conforme","ACTION URGENTE",IF(F33="Partiellement conforme","À suivre","OK"))))</f>
        <v/>
      </c>
      <c r="N33" s="8">
        <f>IF(C33="","",IF(C33="Mensuelle",30,IF(C33="Trimestrielle",90,IF(C33="Semestrielle",180,IF(C33="Annuelle",365,IF(C33="Hebdomadaire",7,0))))))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30">
        <f>IF(E34="","",IFERROR(TODAY()-E34,0))</f>
        <v/>
      </c>
      <c r="M34" s="5">
        <f>IF(E34="","",IF(AND(F34="Conforme",L34&gt;90),"À revérifier",IF(F34="Non conforme","ACTION URGENTE",IF(F34="Partiellement conforme","À suivre","OK"))))</f>
        <v/>
      </c>
      <c r="N34" s="5">
        <f>IF(C34="","",IF(C34="Mensuelle",30,IF(C34="Trimestrielle",90,IF(C34="Semestrielle",180,IF(C34="Annuelle",365,IF(C34="Hebdomadaire",7,0))))))</f>
        <v/>
      </c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29">
        <f>IF(E35="","",IFERROR(TODAY()-E35,0))</f>
        <v/>
      </c>
      <c r="M35" s="8">
        <f>IF(E35="","",IF(AND(F35="Conforme",L35&gt;90),"À revérifier",IF(F35="Non conforme","ACTION URGENTE",IF(F35="Partiellement conforme","À suivre","OK"))))</f>
        <v/>
      </c>
      <c r="N35" s="8">
        <f>IF(C35="","",IF(C35="Mensuelle",30,IF(C35="Trimestrielle",90,IF(C35="Semestrielle",180,IF(C35="Annuelle",365,IF(C35="Hebdomadaire",7,0))))))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30">
        <f>IF(E36="","",IFERROR(TODAY()-E36,0))</f>
        <v/>
      </c>
      <c r="M36" s="5">
        <f>IF(E36="","",IF(AND(F36="Conforme",L36&gt;90),"À revérifier",IF(F36="Non conforme","ACTION URGENTE",IF(F36="Partiellement conforme","À suivre","OK"))))</f>
        <v/>
      </c>
      <c r="N36" s="5">
        <f>IF(C36="","",IF(C36="Mensuelle",30,IF(C36="Trimestrielle",90,IF(C36="Semestrielle",180,IF(C36="Annuelle",365,IF(C36="Hebdomadaire",7,0))))))</f>
        <v/>
      </c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29">
        <f>IF(E37="","",IFERROR(TODAY()-E37,0))</f>
        <v/>
      </c>
      <c r="M37" s="8">
        <f>IF(E37="","",IF(AND(F37="Conforme",L37&gt;90),"À revérifier",IF(F37="Non conforme","ACTION URGENTE",IF(F37="Partiellement conforme","À suivre","OK"))))</f>
        <v/>
      </c>
      <c r="N37" s="8">
        <f>IF(C37="","",IF(C37="Mensuelle",30,IF(C37="Trimestrielle",90,IF(C37="Semestrielle",180,IF(C37="Annuelle",365,IF(C37="Hebdomadaire",7,0))))))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30">
        <f>IF(E38="","",IFERROR(TODAY()-E38,0))</f>
        <v/>
      </c>
      <c r="M38" s="5">
        <f>IF(E38="","",IF(AND(F38="Conforme",L38&gt;90),"À revérifier",IF(F38="Non conforme","ACTION URGENTE",IF(F38="Partiellement conforme","À suivre","OK"))))</f>
        <v/>
      </c>
      <c r="N38" s="5">
        <f>IF(C38="","",IF(C38="Mensuelle",30,IF(C38="Trimestrielle",90,IF(C38="Semestrielle",180,IF(C38="Annuelle",365,IF(C38="Hebdomadaire",7,0))))))</f>
        <v/>
      </c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29">
        <f>IF(E39="","",IFERROR(TODAY()-E39,0))</f>
        <v/>
      </c>
      <c r="M39" s="8">
        <f>IF(E39="","",IF(AND(F39="Conforme",L39&gt;90),"À revérifier",IF(F39="Non conforme","ACTION URGENTE",IF(F39="Partiellement conforme","À suivre","OK"))))</f>
        <v/>
      </c>
      <c r="N39" s="8">
        <f>IF(C39="","",IF(C39="Mensuelle",30,IF(C39="Trimestrielle",90,IF(C39="Semestrielle",180,IF(C39="Annuelle",365,IF(C39="Hebdomadaire",7,0))))))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30">
        <f>IF(E40="","",IFERROR(TODAY()-E40,0))</f>
        <v/>
      </c>
      <c r="M40" s="5">
        <f>IF(E40="","",IF(AND(F40="Conforme",L40&gt;90),"À revérifier",IF(F40="Non conforme","ACTION URGENTE",IF(F40="Partiellement conforme","À suivre","OK"))))</f>
        <v/>
      </c>
      <c r="N40" s="5">
        <f>IF(C40="","",IF(C40="Mensuelle",30,IF(C40="Trimestrielle",90,IF(C40="Semestrielle",180,IF(C40="Annuelle",365,IF(C40="Hebdomadaire",7,0))))))</f>
        <v/>
      </c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29">
        <f>IF(E41="","",IFERROR(TODAY()-E41,0))</f>
        <v/>
      </c>
      <c r="M41" s="8">
        <f>IF(E41="","",IF(AND(F41="Conforme",L41&gt;90),"À revérifier",IF(F41="Non conforme","ACTION URGENTE",IF(F41="Partiellement conforme","À suivre","OK"))))</f>
        <v/>
      </c>
      <c r="N41" s="8">
        <f>IF(C41="","",IF(C41="Mensuelle",30,IF(C41="Trimestrielle",90,IF(C41="Semestrielle",180,IF(C41="Annuelle",365,IF(C41="Hebdomadaire",7,0))))))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30">
        <f>IF(E42="","",IFERROR(TODAY()-E42,0))</f>
        <v/>
      </c>
      <c r="M42" s="5">
        <f>IF(E42="","",IF(AND(F42="Conforme",L42&gt;90),"À revérifier",IF(F42="Non conforme","ACTION URGENTE",IF(F42="Partiellement conforme","À suivre","OK"))))</f>
        <v/>
      </c>
      <c r="N42" s="5">
        <f>IF(C42="","",IF(C42="Mensuelle",30,IF(C42="Trimestrielle",90,IF(C42="Semestrielle",180,IF(C42="Annuelle",365,IF(C42="Hebdomadaire",7,0))))))</f>
        <v/>
      </c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29">
        <f>IF(E43="","",IFERROR(TODAY()-E43,0))</f>
        <v/>
      </c>
      <c r="M43" s="8">
        <f>IF(E43="","",IF(AND(F43="Conforme",L43&gt;90),"À revérifier",IF(F43="Non conforme","ACTION URGENTE",IF(F43="Partiellement conforme","À suivre","OK"))))</f>
        <v/>
      </c>
      <c r="N43" s="8">
        <f>IF(C43="","",IF(C43="Mensuelle",30,IF(C43="Trimestrielle",90,IF(C43="Semestrielle",180,IF(C43="Annuelle",365,IF(C43="Hebdomadaire",7,0))))))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30">
        <f>IF(E44="","",IFERROR(TODAY()-E44,0))</f>
        <v/>
      </c>
      <c r="M44" s="5">
        <f>IF(E44="","",IF(AND(F44="Conforme",L44&gt;90),"À revérifier",IF(F44="Non conforme","ACTION URGENTE",IF(F44="Partiellement conforme","À suivre","OK"))))</f>
        <v/>
      </c>
      <c r="N44" s="5">
        <f>IF(C44="","",IF(C44="Mensuelle",30,IF(C44="Trimestrielle",90,IF(C44="Semestrielle",180,IF(C44="Annuelle",365,IF(C44="Hebdomadaire",7,0))))))</f>
        <v/>
      </c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29">
        <f>IF(E45="","",IFERROR(TODAY()-E45,0))</f>
        <v/>
      </c>
      <c r="M45" s="8">
        <f>IF(E45="","",IF(AND(F45="Conforme",L45&gt;90),"À revérifier",IF(F45="Non conforme","ACTION URGENTE",IF(F45="Partiellement conforme","À suivre","OK"))))</f>
        <v/>
      </c>
      <c r="N45" s="8">
        <f>IF(C45="","",IF(C45="Mensuelle",30,IF(C45="Trimestrielle",90,IF(C45="Semestrielle",180,IF(C45="Annuelle",365,IF(C45="Hebdomadaire",7,0))))))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30">
        <f>IF(E46="","",IFERROR(TODAY()-E46,0))</f>
        <v/>
      </c>
      <c r="M46" s="5">
        <f>IF(E46="","",IF(AND(F46="Conforme",L46&gt;90),"À revérifier",IF(F46="Non conforme","ACTION URGENTE",IF(F46="Partiellement conforme","À suivre","OK"))))</f>
        <v/>
      </c>
      <c r="N46" s="5">
        <f>IF(C46="","",IF(C46="Mensuelle",30,IF(C46="Trimestrielle",90,IF(C46="Semestrielle",180,IF(C46="Annuelle",365,IF(C46="Hebdomadaire",7,0))))))</f>
        <v/>
      </c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29">
        <f>IF(E47="","",IFERROR(TODAY()-E47,0))</f>
        <v/>
      </c>
      <c r="M47" s="8">
        <f>IF(E47="","",IF(AND(F47="Conforme",L47&gt;90),"À revérifier",IF(F47="Non conforme","ACTION URGENTE",IF(F47="Partiellement conforme","À suivre","OK"))))</f>
        <v/>
      </c>
      <c r="N47" s="8">
        <f>IF(C47="","",IF(C47="Mensuelle",30,IF(C47="Trimestrielle",90,IF(C47="Semestrielle",180,IF(C47="Annuelle",365,IF(C47="Hebdomadaire",7,0))))))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30">
        <f>IF(E48="","",IFERROR(TODAY()-E48,0))</f>
        <v/>
      </c>
      <c r="M48" s="5">
        <f>IF(E48="","",IF(AND(F48="Conforme",L48&gt;90),"À revérifier",IF(F48="Non conforme","ACTION URGENTE",IF(F48="Partiellement conforme","À suivre","OK"))))</f>
        <v/>
      </c>
      <c r="N48" s="5">
        <f>IF(C48="","",IF(C48="Mensuelle",30,IF(C48="Trimestrielle",90,IF(C48="Semestrielle",180,IF(C48="Annuelle",365,IF(C48="Hebdomadaire",7,0))))))</f>
        <v/>
      </c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29">
        <f>IF(E49="","",IFERROR(TODAY()-E49,0))</f>
        <v/>
      </c>
      <c r="M49" s="8">
        <f>IF(E49="","",IF(AND(F49="Conforme",L49&gt;90),"À revérifier",IF(F49="Non conforme","ACTION URGENTE",IF(F49="Partiellement conforme","À suivre","OK"))))</f>
        <v/>
      </c>
      <c r="N49" s="8">
        <f>IF(C49="","",IF(C49="Mensuelle",30,IF(C49="Trimestrielle",90,IF(C49="Semestrielle",180,IF(C49="Annuelle",365,IF(C49="Hebdomadaire",7,0))))))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30">
        <f>IF(E50="","",IFERROR(TODAY()-E50,0))</f>
        <v/>
      </c>
      <c r="M50" s="5">
        <f>IF(E50="","",IF(AND(F50="Conforme",L50&gt;90),"À revérifier",IF(F50="Non conforme","ACTION URGENTE",IF(F50="Partiellement conforme","À suivre","OK"))))</f>
        <v/>
      </c>
      <c r="N50" s="5">
        <f>IF(C50="","",IF(C50="Mensuelle",30,IF(C50="Trimestrielle",90,IF(C50="Semestrielle",180,IF(C50="Annuelle",365,IF(C50="Hebdomadaire",7,0))))))</f>
        <v/>
      </c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29">
        <f>IF(E51="","",IFERROR(TODAY()-E51,0))</f>
        <v/>
      </c>
      <c r="M51" s="8">
        <f>IF(E51="","",IF(AND(F51="Conforme",L51&gt;90),"À revérifier",IF(F51="Non conforme","ACTION URGENTE",IF(F51="Partiellement conforme","À suivre","OK"))))</f>
        <v/>
      </c>
      <c r="N51" s="8">
        <f>IF(C51="","",IF(C51="Mensuelle",30,IF(C51="Trimestrielle",90,IF(C51="Semestrielle",180,IF(C51="Annuelle",365,IF(C51="Hebdomadaire",7,0))))))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30">
        <f>IF(E52="","",IFERROR(TODAY()-E52,0))</f>
        <v/>
      </c>
      <c r="M52" s="5">
        <f>IF(E52="","",IF(AND(F52="Conforme",L52&gt;90),"À revérifier",IF(F52="Non conforme","ACTION URGENTE",IF(F52="Partiellement conforme","À suivre","OK"))))</f>
        <v/>
      </c>
      <c r="N52" s="5">
        <f>IF(C52="","",IF(C52="Mensuelle",30,IF(C52="Trimestrielle",90,IF(C52="Semestrielle",180,IF(C52="Annuelle",365,IF(C52="Hebdomadaire",7,0))))))</f>
        <v/>
      </c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29">
        <f>IF(E53="","",IFERROR(TODAY()-E53,0))</f>
        <v/>
      </c>
      <c r="M53" s="8">
        <f>IF(E53="","",IF(AND(F53="Conforme",L53&gt;90),"À revérifier",IF(F53="Non conforme","ACTION URGENTE",IF(F53="Partiellement conforme","À suivre","OK"))))</f>
        <v/>
      </c>
      <c r="N53" s="8">
        <f>IF(C53="","",IF(C53="Mensuelle",30,IF(C53="Trimestrielle",90,IF(C53="Semestrielle",180,IF(C53="Annuelle",365,IF(C53="Hebdomadaire",7,0))))))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30">
        <f>IF(E54="","",IFERROR(TODAY()-E54,0))</f>
        <v/>
      </c>
      <c r="M54" s="5">
        <f>IF(E54="","",IF(AND(F54="Conforme",L54&gt;90),"À revérifier",IF(F54="Non conforme","ACTION URGENTE",IF(F54="Partiellement conforme","À suivre","OK"))))</f>
        <v/>
      </c>
      <c r="N54" s="5">
        <f>IF(C54="","",IF(C54="Mensuelle",30,IF(C54="Trimestrielle",90,IF(C54="Semestrielle",180,IF(C54="Annuelle",365,IF(C54="Hebdomadaire",7,0))))))</f>
        <v/>
      </c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29">
        <f>IF(E55="","",IFERROR(TODAY()-E55,0))</f>
        <v/>
      </c>
      <c r="M55" s="8">
        <f>IF(E55="","",IF(AND(F55="Conforme",L55&gt;90),"À revérifier",IF(F55="Non conforme","ACTION URGENTE",IF(F55="Partiellement conforme","À suivre","OK"))))</f>
        <v/>
      </c>
      <c r="N55" s="8">
        <f>IF(C55="","",IF(C55="Mensuelle",30,IF(C55="Trimestrielle",90,IF(C55="Semestrielle",180,IF(C55="Annuelle",365,IF(C55="Hebdomadaire",7,0))))))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30">
        <f>IF(E56="","",IFERROR(TODAY()-E56,0))</f>
        <v/>
      </c>
      <c r="M56" s="5">
        <f>IF(E56="","",IF(AND(F56="Conforme",L56&gt;90),"À revérifier",IF(F56="Non conforme","ACTION URGENTE",IF(F56="Partiellement conforme","À suivre","OK"))))</f>
        <v/>
      </c>
      <c r="N56" s="5">
        <f>IF(C56="","",IF(C56="Mensuelle",30,IF(C56="Trimestrielle",90,IF(C56="Semestrielle",180,IF(C56="Annuelle",365,IF(C56="Hebdomadaire",7,0))))))</f>
        <v/>
      </c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29">
        <f>IF(E57="","",IFERROR(TODAY()-E57,0))</f>
        <v/>
      </c>
      <c r="M57" s="8">
        <f>IF(E57="","",IF(AND(F57="Conforme",L57&gt;90),"À revérifier",IF(F57="Non conforme","ACTION URGENTE",IF(F57="Partiellement conforme","À suivre","OK"))))</f>
        <v/>
      </c>
      <c r="N57" s="8">
        <f>IF(C57="","",IF(C57="Mensuelle",30,IF(C57="Trimestrielle",90,IF(C57="Semestrielle",180,IF(C57="Annuelle",365,IF(C57="Hebdomadaire",7,0))))))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30">
        <f>IF(E58="","",IFERROR(TODAY()-E58,0))</f>
        <v/>
      </c>
      <c r="M58" s="5">
        <f>IF(E58="","",IF(AND(F58="Conforme",L58&gt;90),"À revérifier",IF(F58="Non conforme","ACTION URGENTE",IF(F58="Partiellement conforme","À suivre","OK"))))</f>
        <v/>
      </c>
      <c r="N58" s="5">
        <f>IF(C58="","",IF(C58="Mensuelle",30,IF(C58="Trimestrielle",90,IF(C58="Semestrielle",180,IF(C58="Annuelle",365,IF(C58="Hebdomadaire",7,0))))))</f>
        <v/>
      </c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29">
        <f>IF(E59="","",IFERROR(TODAY()-E59,0))</f>
        <v/>
      </c>
      <c r="M59" s="8">
        <f>IF(E59="","",IF(AND(F59="Conforme",L59&gt;90),"À revérifier",IF(F59="Non conforme","ACTION URGENTE",IF(F59="Partiellement conforme","À suivre","OK"))))</f>
        <v/>
      </c>
      <c r="N59" s="8">
        <f>IF(C59="","",IF(C59="Mensuelle",30,IF(C59="Trimestrielle",90,IF(C59="Semestrielle",180,IF(C59="Annuelle",365,IF(C59="Hebdomadaire",7,0))))))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30">
        <f>IF(E60="","",IFERROR(TODAY()-E60,0))</f>
        <v/>
      </c>
      <c r="M60" s="5">
        <f>IF(E60="","",IF(AND(F60="Conforme",L60&gt;90),"À revérifier",IF(F60="Non conforme","ACTION URGENTE",IF(F60="Partiellement conforme","À suivre","OK"))))</f>
        <v/>
      </c>
      <c r="N60" s="5">
        <f>IF(C60="","",IF(C60="Mensuelle",30,IF(C60="Trimestrielle",90,IF(C60="Semestrielle",180,IF(C60="Annuelle",365,IF(C60="Hebdomadaire",7,0))))))</f>
        <v/>
      </c>
    </row>
    <row r="61" ht="22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29">
        <f>IF(E61="","",IFERROR(TODAY()-E61,0))</f>
        <v/>
      </c>
      <c r="M61" s="8">
        <f>IF(E61="","",IF(AND(F61="Conforme",L61&gt;90),"À revérifier",IF(F61="Non conforme","ACTION URGENTE",IF(F61="Partiellement conforme","À suivre","OK"))))</f>
        <v/>
      </c>
      <c r="N61" s="8">
        <f>IF(C61="","",IF(C61="Mensuelle",30,IF(C61="Trimestrielle",90,IF(C61="Semestrielle",180,IF(C61="Annuelle",365,IF(C61="Hebdomadaire",7,0))))))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30">
        <f>IF(E62="","",IFERROR(TODAY()-E62,0))</f>
        <v/>
      </c>
      <c r="M62" s="5">
        <f>IF(E62="","",IF(AND(F62="Conforme",L62&gt;90),"À revérifier",IF(F62="Non conforme","ACTION URGENTE",IF(F62="Partiellement conforme","À suivre","OK"))))</f>
        <v/>
      </c>
      <c r="N62" s="5">
        <f>IF(C62="","",IF(C62="Mensuelle",30,IF(C62="Trimestrielle",90,IF(C62="Semestrielle",180,IF(C62="Annuelle",365,IF(C62="Hebdomadaire",7,0))))))</f>
        <v/>
      </c>
    </row>
    <row r="63" ht="22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29">
        <f>IF(E63="","",IFERROR(TODAY()-E63,0))</f>
        <v/>
      </c>
      <c r="M63" s="8">
        <f>IF(E63="","",IF(AND(F63="Conforme",L63&gt;90),"À revérifier",IF(F63="Non conforme","ACTION URGENTE",IF(F63="Partiellement conforme","À suivre","OK"))))</f>
        <v/>
      </c>
      <c r="N63" s="8">
        <f>IF(C63="","",IF(C63="Mensuelle",30,IF(C63="Trimestrielle",90,IF(C63="Semestrielle",180,IF(C63="Annuelle",365,IF(C63="Hebdomadaire",7,0))))))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30">
        <f>IF(E64="","",IFERROR(TODAY()-E64,0))</f>
        <v/>
      </c>
      <c r="M64" s="5">
        <f>IF(E64="","",IF(AND(F64="Conforme",L64&gt;90),"À revérifier",IF(F64="Non conforme","ACTION URGENTE",IF(F64="Partiellement conforme","À suivre","OK"))))</f>
        <v/>
      </c>
      <c r="N64" s="5">
        <f>IF(C64="","",IF(C64="Mensuelle",30,IF(C64="Trimestrielle",90,IF(C64="Semestrielle",180,IF(C64="Annuelle",365,IF(C64="Hebdomadaire",7,0))))))</f>
        <v/>
      </c>
    </row>
    <row r="65" ht="22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29">
        <f>IF(E65="","",IFERROR(TODAY()-E65,0))</f>
        <v/>
      </c>
      <c r="M65" s="8">
        <f>IF(E65="","",IF(AND(F65="Conforme",L65&gt;90),"À revérifier",IF(F65="Non conforme","ACTION URGENTE",IF(F65="Partiellement conforme","À suivre","OK"))))</f>
        <v/>
      </c>
      <c r="N65" s="8">
        <f>IF(C65="","",IF(C65="Mensuelle",30,IF(C65="Trimestrielle",90,IF(C65="Semestrielle",180,IF(C65="Annuelle",365,IF(C65="Hebdomadaire",7,0))))))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30">
        <f>IF(E66="","",IFERROR(TODAY()-E66,0))</f>
        <v/>
      </c>
      <c r="M66" s="5">
        <f>IF(E66="","",IF(AND(F66="Conforme",L66&gt;90),"À revérifier",IF(F66="Non conforme","ACTION URGENTE",IF(F66="Partiellement conforme","À suivre","OK"))))</f>
        <v/>
      </c>
      <c r="N66" s="5">
        <f>IF(C66="","",IF(C66="Mensuelle",30,IF(C66="Trimestrielle",90,IF(C66="Semestrielle",180,IF(C66="Annuelle",365,IF(C66="Hebdomadaire",7,0))))))</f>
        <v/>
      </c>
    </row>
    <row r="67" ht="22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29">
        <f>IF(E67="","",IFERROR(TODAY()-E67,0))</f>
        <v/>
      </c>
      <c r="M67" s="8">
        <f>IF(E67="","",IF(AND(F67="Conforme",L67&gt;90),"À revérifier",IF(F67="Non conforme","ACTION URGENTE",IF(F67="Partiellement conforme","À suivre","OK"))))</f>
        <v/>
      </c>
      <c r="N67" s="8">
        <f>IF(C67="","",IF(C67="Mensuelle",30,IF(C67="Trimestrielle",90,IF(C67="Semestrielle",180,IF(C67="Annuelle",365,IF(C67="Hebdomadaire",7,0))))))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30">
        <f>IF(E68="","",IFERROR(TODAY()-E68,0))</f>
        <v/>
      </c>
      <c r="M68" s="5">
        <f>IF(E68="","",IF(AND(F68="Conforme",L68&gt;90),"À revérifier",IF(F68="Non conforme","ACTION URGENTE",IF(F68="Partiellement conforme","À suivre","OK"))))</f>
        <v/>
      </c>
      <c r="N68" s="5">
        <f>IF(C68="","",IF(C68="Mensuelle",30,IF(C68="Trimestrielle",90,IF(C68="Semestrielle",180,IF(C68="Annuelle",365,IF(C68="Hebdomadaire",7,0))))))</f>
        <v/>
      </c>
    </row>
    <row r="69" ht="22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29">
        <f>IF(E69="","",IFERROR(TODAY()-E69,0))</f>
        <v/>
      </c>
      <c r="M69" s="8">
        <f>IF(E69="","",IF(AND(F69="Conforme",L69&gt;90),"À revérifier",IF(F69="Non conforme","ACTION URGENTE",IF(F69="Partiellement conforme","À suivre","OK"))))</f>
        <v/>
      </c>
      <c r="N69" s="8">
        <f>IF(C69="","",IF(C69="Mensuelle",30,IF(C69="Trimestrielle",90,IF(C69="Semestrielle",180,IF(C69="Annuelle",365,IF(C69="Hebdomadaire",7,0))))))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30">
        <f>IF(E70="","",IFERROR(TODAY()-E70,0))</f>
        <v/>
      </c>
      <c r="M70" s="5">
        <f>IF(E70="","",IF(AND(F70="Conforme",L70&gt;90),"À revérifier",IF(F70="Non conforme","ACTION URGENTE",IF(F70="Partiellement conforme","À suivre","OK"))))</f>
        <v/>
      </c>
      <c r="N70" s="5">
        <f>IF(C70="","",IF(C70="Mensuelle",30,IF(C70="Trimestrielle",90,IF(C70="Semestrielle",180,IF(C70="Annuelle",365,IF(C70="Hebdomadaire",7,0))))))</f>
        <v/>
      </c>
    </row>
    <row r="71" ht="22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29">
        <f>IF(E71="","",IFERROR(TODAY()-E71,0))</f>
        <v/>
      </c>
      <c r="M71" s="8">
        <f>IF(E71="","",IF(AND(F71="Conforme",L71&gt;90),"À revérifier",IF(F71="Non conforme","ACTION URGENTE",IF(F71="Partiellement conforme","À suivre","OK"))))</f>
        <v/>
      </c>
      <c r="N71" s="8">
        <f>IF(C71="","",IF(C71="Mensuelle",30,IF(C71="Trimestrielle",90,IF(C71="Semestrielle",180,IF(C71="Annuelle",365,IF(C71="Hebdomadaire",7,0))))))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30">
        <f>IF(E72="","",IFERROR(TODAY()-E72,0))</f>
        <v/>
      </c>
      <c r="M72" s="5">
        <f>IF(E72="","",IF(AND(F72="Conforme",L72&gt;90),"À revérifier",IF(F72="Non conforme","ACTION URGENTE",IF(F72="Partiellement conforme","À suivre","OK"))))</f>
        <v/>
      </c>
      <c r="N72" s="5">
        <f>IF(C72="","",IF(C72="Mensuelle",30,IF(C72="Trimestrielle",90,IF(C72="Semestrielle",180,IF(C72="Annuelle",365,IF(C72="Hebdomadaire",7,0))))))</f>
        <v/>
      </c>
    </row>
    <row r="73" ht="22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29">
        <f>IF(E73="","",IFERROR(TODAY()-E73,0))</f>
        <v/>
      </c>
      <c r="M73" s="8">
        <f>IF(E73="","",IF(AND(F73="Conforme",L73&gt;90),"À revérifier",IF(F73="Non conforme","ACTION URGENTE",IF(F73="Partiellement conforme","À suivre","OK"))))</f>
        <v/>
      </c>
      <c r="N73" s="8">
        <f>IF(C73="","",IF(C73="Mensuelle",30,IF(C73="Trimestrielle",90,IF(C73="Semestrielle",180,IF(C73="Annuelle",365,IF(C73="Hebdomadaire",7,0))))))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30">
        <f>IF(E74="","",IFERROR(TODAY()-E74,0))</f>
        <v/>
      </c>
      <c r="M74" s="5">
        <f>IF(E74="","",IF(AND(F74="Conforme",L74&gt;90),"À revérifier",IF(F74="Non conforme","ACTION URGENTE",IF(F74="Partiellement conforme","À suivre","OK"))))</f>
        <v/>
      </c>
      <c r="N74" s="5">
        <f>IF(C74="","",IF(C74="Mensuelle",30,IF(C74="Trimestrielle",90,IF(C74="Semestrielle",180,IF(C74="Annuelle",365,IF(C74="Hebdomadaire",7,0))))))</f>
        <v/>
      </c>
    </row>
    <row r="75" ht="22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29">
        <f>IF(E75="","",IFERROR(TODAY()-E75,0))</f>
        <v/>
      </c>
      <c r="M75" s="8">
        <f>IF(E75="","",IF(AND(F75="Conforme",L75&gt;90),"À revérifier",IF(F75="Non conforme","ACTION URGENTE",IF(F75="Partiellement conforme","À suivre","OK"))))</f>
        <v/>
      </c>
      <c r="N75" s="8">
        <f>IF(C75="","",IF(C75="Mensuelle",30,IF(C75="Trimestrielle",90,IF(C75="Semestrielle",180,IF(C75="Annuelle",365,IF(C75="Hebdomadaire",7,0))))))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30">
        <f>IF(E76="","",IFERROR(TODAY()-E76,0))</f>
        <v/>
      </c>
      <c r="M76" s="5">
        <f>IF(E76="","",IF(AND(F76="Conforme",L76&gt;90),"À revérifier",IF(F76="Non conforme","ACTION URGENTE",IF(F76="Partiellement conforme","À suivre","OK"))))</f>
        <v/>
      </c>
      <c r="N76" s="5">
        <f>IF(C76="","",IF(C76="Mensuelle",30,IF(C76="Trimestrielle",90,IF(C76="Semestrielle",180,IF(C76="Annuelle",365,IF(C76="Hebdomadaire",7,0))))))</f>
        <v/>
      </c>
    </row>
    <row r="77" ht="22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29">
        <f>IF(E77="","",IFERROR(TODAY()-E77,0))</f>
        <v/>
      </c>
      <c r="M77" s="8">
        <f>IF(E77="","",IF(AND(F77="Conforme",L77&gt;90),"À revérifier",IF(F77="Non conforme","ACTION URGENTE",IF(F77="Partiellement conforme","À suivre","OK"))))</f>
        <v/>
      </c>
      <c r="N77" s="8">
        <f>IF(C77="","",IF(C77="Mensuelle",30,IF(C77="Trimestrielle",90,IF(C77="Semestrielle",180,IF(C77="Annuelle",365,IF(C77="Hebdomadaire",7,0))))))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30">
        <f>IF(E78="","",IFERROR(TODAY()-E78,0))</f>
        <v/>
      </c>
      <c r="M78" s="5">
        <f>IF(E78="","",IF(AND(F78="Conforme",L78&gt;90),"À revérifier",IF(F78="Non conforme","ACTION URGENTE",IF(F78="Partiellement conforme","À suivre","OK"))))</f>
        <v/>
      </c>
      <c r="N78" s="5">
        <f>IF(C78="","",IF(C78="Mensuelle",30,IF(C78="Trimestrielle",90,IF(C78="Semestrielle",180,IF(C78="Annuelle",365,IF(C78="Hebdomadaire",7,0))))))</f>
        <v/>
      </c>
    </row>
    <row r="79" ht="22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29">
        <f>IF(E79="","",IFERROR(TODAY()-E79,0))</f>
        <v/>
      </c>
      <c r="M79" s="8">
        <f>IF(E79="","",IF(AND(F79="Conforme",L79&gt;90),"À revérifier",IF(F79="Non conforme","ACTION URGENTE",IF(F79="Partiellement conforme","À suivre","OK"))))</f>
        <v/>
      </c>
      <c r="N79" s="8">
        <f>IF(C79="","",IF(C79="Mensuelle",30,IF(C79="Trimestrielle",90,IF(C79="Semestrielle",180,IF(C79="Annuelle",365,IF(C79="Hebdomadaire",7,0))))))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30">
        <f>IF(E80="","",IFERROR(TODAY()-E80,0))</f>
        <v/>
      </c>
      <c r="M80" s="5">
        <f>IF(E80="","",IF(AND(F80="Conforme",L80&gt;90),"À revérifier",IF(F80="Non conforme","ACTION URGENTE",IF(F80="Partiellement conforme","À suivre","OK"))))</f>
        <v/>
      </c>
      <c r="N80" s="5">
        <f>IF(C80="","",IF(C80="Mensuelle",30,IF(C80="Trimestrielle",90,IF(C80="Semestrielle",180,IF(C80="Annuelle",365,IF(C80="Hebdomadaire",7,0))))))</f>
        <v/>
      </c>
    </row>
    <row r="81" ht="22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29">
        <f>IF(E81="","",IFERROR(TODAY()-E81,0))</f>
        <v/>
      </c>
      <c r="M81" s="8">
        <f>IF(E81="","",IF(AND(F81="Conforme",L81&gt;90),"À revérifier",IF(F81="Non conforme","ACTION URGENTE",IF(F81="Partiellement conforme","À suivre","OK"))))</f>
        <v/>
      </c>
      <c r="N81" s="8">
        <f>IF(C81="","",IF(C81="Mensuelle",30,IF(C81="Trimestrielle",90,IF(C81="Semestrielle",180,IF(C81="Annuelle",365,IF(C81="Hebdomadaire",7,0))))))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30">
        <f>IF(E82="","",IFERROR(TODAY()-E82,0))</f>
        <v/>
      </c>
      <c r="M82" s="5">
        <f>IF(E82="","",IF(AND(F82="Conforme",L82&gt;90),"À revérifier",IF(F82="Non conforme","ACTION URGENTE",IF(F82="Partiellement conforme","À suivre","OK"))))</f>
        <v/>
      </c>
      <c r="N82" s="5">
        <f>IF(C82="","",IF(C82="Mensuelle",30,IF(C82="Trimestrielle",90,IF(C82="Semestrielle",180,IF(C82="Annuelle",365,IF(C82="Hebdomadaire",7,0))))))</f>
        <v/>
      </c>
    </row>
    <row r="83" ht="22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29">
        <f>IF(E83="","",IFERROR(TODAY()-E83,0))</f>
        <v/>
      </c>
      <c r="M83" s="8">
        <f>IF(E83="","",IF(AND(F83="Conforme",L83&gt;90),"À revérifier",IF(F83="Non conforme","ACTION URGENTE",IF(F83="Partiellement conforme","À suivre","OK"))))</f>
        <v/>
      </c>
      <c r="N83" s="8">
        <f>IF(C83="","",IF(C83="Mensuelle",30,IF(C83="Trimestrielle",90,IF(C83="Semestrielle",180,IF(C83="Annuelle",365,IF(C83="Hebdomadaire",7,0))))))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30">
        <f>IF(E84="","",IFERROR(TODAY()-E84,0))</f>
        <v/>
      </c>
      <c r="M84" s="5">
        <f>IF(E84="","",IF(AND(F84="Conforme",L84&gt;90),"À revérifier",IF(F84="Non conforme","ACTION URGENTE",IF(F84="Partiellement conforme","À suivre","OK"))))</f>
        <v/>
      </c>
      <c r="N84" s="5">
        <f>IF(C84="","",IF(C84="Mensuelle",30,IF(C84="Trimestrielle",90,IF(C84="Semestrielle",180,IF(C84="Annuelle",365,IF(C84="Hebdomadaire",7,0))))))</f>
        <v/>
      </c>
    </row>
    <row r="85" ht="22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29">
        <f>IF(E85="","",IFERROR(TODAY()-E85,0))</f>
        <v/>
      </c>
      <c r="M85" s="8">
        <f>IF(E85="","",IF(AND(F85="Conforme",L85&gt;90),"À revérifier",IF(F85="Non conforme","ACTION URGENTE",IF(F85="Partiellement conforme","À suivre","OK"))))</f>
        <v/>
      </c>
      <c r="N85" s="8">
        <f>IF(C85="","",IF(C85="Mensuelle",30,IF(C85="Trimestrielle",90,IF(C85="Semestrielle",180,IF(C85="Annuelle",365,IF(C85="Hebdomadaire",7,0))))))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30">
        <f>IF(E86="","",IFERROR(TODAY()-E86,0))</f>
        <v/>
      </c>
      <c r="M86" s="5">
        <f>IF(E86="","",IF(AND(F86="Conforme",L86&gt;90),"À revérifier",IF(F86="Non conforme","ACTION URGENTE",IF(F86="Partiellement conforme","À suivre","OK"))))</f>
        <v/>
      </c>
      <c r="N86" s="5">
        <f>IF(C86="","",IF(C86="Mensuelle",30,IF(C86="Trimestrielle",90,IF(C86="Semestrielle",180,IF(C86="Annuelle",365,IF(C86="Hebdomadaire",7,0))))))</f>
        <v/>
      </c>
    </row>
    <row r="87" ht="22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29">
        <f>IF(E87="","",IFERROR(TODAY()-E87,0))</f>
        <v/>
      </c>
      <c r="M87" s="8">
        <f>IF(E87="","",IF(AND(F87="Conforme",L87&gt;90),"À revérifier",IF(F87="Non conforme","ACTION URGENTE",IF(F87="Partiellement conforme","À suivre","OK"))))</f>
        <v/>
      </c>
      <c r="N87" s="8">
        <f>IF(C87="","",IF(C87="Mensuelle",30,IF(C87="Trimestrielle",90,IF(C87="Semestrielle",180,IF(C87="Annuelle",365,IF(C87="Hebdomadaire",7,0))))))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30">
        <f>IF(E88="","",IFERROR(TODAY()-E88,0))</f>
        <v/>
      </c>
      <c r="M88" s="5">
        <f>IF(E88="","",IF(AND(F88="Conforme",L88&gt;90),"À revérifier",IF(F88="Non conforme","ACTION URGENTE",IF(F88="Partiellement conforme","À suivre","OK"))))</f>
        <v/>
      </c>
      <c r="N88" s="5">
        <f>IF(C88="","",IF(C88="Mensuelle",30,IF(C88="Trimestrielle",90,IF(C88="Semestrielle",180,IF(C88="Annuelle",365,IF(C88="Hebdomadaire",7,0))))))</f>
        <v/>
      </c>
    </row>
    <row r="89" ht="22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29">
        <f>IF(E89="","",IFERROR(TODAY()-E89,0))</f>
        <v/>
      </c>
      <c r="M89" s="8">
        <f>IF(E89="","",IF(AND(F89="Conforme",L89&gt;90),"À revérifier",IF(F89="Non conforme","ACTION URGENTE",IF(F89="Partiellement conforme","À suivre","OK"))))</f>
        <v/>
      </c>
      <c r="N89" s="8">
        <f>IF(C89="","",IF(C89="Mensuelle",30,IF(C89="Trimestrielle",90,IF(C89="Semestrielle",180,IF(C89="Annuelle",365,IF(C89="Hebdomadaire",7,0))))))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30">
        <f>IF(E90="","",IFERROR(TODAY()-E90,0))</f>
        <v/>
      </c>
      <c r="M90" s="5">
        <f>IF(E90="","",IF(AND(F90="Conforme",L90&gt;90),"À revérifier",IF(F90="Non conforme","ACTION URGENTE",IF(F90="Partiellement conforme","À suivre","OK"))))</f>
        <v/>
      </c>
      <c r="N90" s="5">
        <f>IF(C90="","",IF(C90="Mensuelle",30,IF(C90="Trimestrielle",90,IF(C90="Semestrielle",180,IF(C90="Annuelle",365,IF(C90="Hebdomadaire",7,0))))))</f>
        <v/>
      </c>
    </row>
    <row r="91" ht="22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29">
        <f>IF(E91="","",IFERROR(TODAY()-E91,0))</f>
        <v/>
      </c>
      <c r="M91" s="8">
        <f>IF(E91="","",IF(AND(F91="Conforme",L91&gt;90),"À revérifier",IF(F91="Non conforme","ACTION URGENTE",IF(F91="Partiellement conforme","À suivre","OK"))))</f>
        <v/>
      </c>
      <c r="N91" s="8">
        <f>IF(C91="","",IF(C91="Mensuelle",30,IF(C91="Trimestrielle",90,IF(C91="Semestrielle",180,IF(C91="Annuelle",365,IF(C91="Hebdomadaire",7,0))))))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30">
        <f>IF(E92="","",IFERROR(TODAY()-E92,0))</f>
        <v/>
      </c>
      <c r="M92" s="5">
        <f>IF(E92="","",IF(AND(F92="Conforme",L92&gt;90),"À revérifier",IF(F92="Non conforme","ACTION URGENTE",IF(F92="Partiellement conforme","À suivre","OK"))))</f>
        <v/>
      </c>
      <c r="N92" s="5">
        <f>IF(C92="","",IF(C92="Mensuelle",30,IF(C92="Trimestrielle",90,IF(C92="Semestrielle",180,IF(C92="Annuelle",365,IF(C92="Hebdomadaire",7,0))))))</f>
        <v/>
      </c>
    </row>
    <row r="93" ht="22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29">
        <f>IF(E93="","",IFERROR(TODAY()-E93,0))</f>
        <v/>
      </c>
      <c r="M93" s="8">
        <f>IF(E93="","",IF(AND(F93="Conforme",L93&gt;90),"À revérifier",IF(F93="Non conforme","ACTION URGENTE",IF(F93="Partiellement conforme","À suivre","OK"))))</f>
        <v/>
      </c>
      <c r="N93" s="8">
        <f>IF(C93="","",IF(C93="Mensuelle",30,IF(C93="Trimestrielle",90,IF(C93="Semestrielle",180,IF(C93="Annuelle",365,IF(C93="Hebdomadaire",7,0))))))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30">
        <f>IF(E94="","",IFERROR(TODAY()-E94,0))</f>
        <v/>
      </c>
      <c r="M94" s="5">
        <f>IF(E94="","",IF(AND(F94="Conforme",L94&gt;90),"À revérifier",IF(F94="Non conforme","ACTION URGENTE",IF(F94="Partiellement conforme","À suivre","OK"))))</f>
        <v/>
      </c>
      <c r="N94" s="5">
        <f>IF(C94="","",IF(C94="Mensuelle",30,IF(C94="Trimestrielle",90,IF(C94="Semestrielle",180,IF(C94="Annuelle",365,IF(C94="Hebdomadaire",7,0))))))</f>
        <v/>
      </c>
    </row>
    <row r="95" ht="22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29">
        <f>IF(E95="","",IFERROR(TODAY()-E95,0))</f>
        <v/>
      </c>
      <c r="M95" s="8">
        <f>IF(E95="","",IF(AND(F95="Conforme",L95&gt;90),"À revérifier",IF(F95="Non conforme","ACTION URGENTE",IF(F95="Partiellement conforme","À suivre","OK"))))</f>
        <v/>
      </c>
      <c r="N95" s="8">
        <f>IF(C95="","",IF(C95="Mensuelle",30,IF(C95="Trimestrielle",90,IF(C95="Semestrielle",180,IF(C95="Annuelle",365,IF(C95="Hebdomadaire",7,0))))))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30">
        <f>IF(E96="","",IFERROR(TODAY()-E96,0))</f>
        <v/>
      </c>
      <c r="M96" s="5">
        <f>IF(E96="","",IF(AND(F96="Conforme",L96&gt;90),"À revérifier",IF(F96="Non conforme","ACTION URGENTE",IF(F96="Partiellement conforme","À suivre","OK"))))</f>
        <v/>
      </c>
      <c r="N96" s="5">
        <f>IF(C96="","",IF(C96="Mensuelle",30,IF(C96="Trimestrielle",90,IF(C96="Semestrielle",180,IF(C96="Annuelle",365,IF(C96="Hebdomadaire",7,0))))))</f>
        <v/>
      </c>
    </row>
    <row r="97" ht="22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29">
        <f>IF(E97="","",IFERROR(TODAY()-E97,0))</f>
        <v/>
      </c>
      <c r="M97" s="8">
        <f>IF(E97="","",IF(AND(F97="Conforme",L97&gt;90),"À revérifier",IF(F97="Non conforme","ACTION URGENTE",IF(F97="Partiellement conforme","À suivre","OK"))))</f>
        <v/>
      </c>
      <c r="N97" s="8">
        <f>IF(C97="","",IF(C97="Mensuelle",30,IF(C97="Trimestrielle",90,IF(C97="Semestrielle",180,IF(C97="Annuelle",365,IF(C97="Hebdomadaire",7,0))))))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30">
        <f>IF(E98="","",IFERROR(TODAY()-E98,0))</f>
        <v/>
      </c>
      <c r="M98" s="5">
        <f>IF(E98="","",IF(AND(F98="Conforme",L98&gt;90),"À revérifier",IF(F98="Non conforme","ACTION URGENTE",IF(F98="Partiellement conforme","À suivre","OK"))))</f>
        <v/>
      </c>
      <c r="N98" s="5">
        <f>IF(C98="","",IF(C98="Mensuelle",30,IF(C98="Trimestrielle",90,IF(C98="Semestrielle",180,IF(C98="Annuelle",365,IF(C98="Hebdomadaire",7,0))))))</f>
        <v/>
      </c>
    </row>
    <row r="99" ht="22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29">
        <f>IF(E99="","",IFERROR(TODAY()-E99,0))</f>
        <v/>
      </c>
      <c r="M99" s="8">
        <f>IF(E99="","",IF(AND(F99="Conforme",L99&gt;90),"À revérifier",IF(F99="Non conforme","ACTION URGENTE",IF(F99="Partiellement conforme","À suivre","OK"))))</f>
        <v/>
      </c>
      <c r="N99" s="8">
        <f>IF(C99="","",IF(C99="Mensuelle",30,IF(C99="Trimestrielle",90,IF(C99="Semestrielle",180,IF(C99="Annuelle",365,IF(C99="Hebdomadaire",7,0))))))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30">
        <f>IF(E100="","",IFERROR(TODAY()-E100,0))</f>
        <v/>
      </c>
      <c r="M100" s="5">
        <f>IF(E100="","",IF(AND(F100="Conforme",L100&gt;90),"À revérifier",IF(F100="Non conforme","ACTION URGENTE",IF(F100="Partiellement conforme","À suivre","OK"))))</f>
        <v/>
      </c>
      <c r="N100" s="5">
        <f>IF(C100="","",IF(C100="Mensuelle",30,IF(C100="Trimestrielle",90,IF(C100="Semestrielle",180,IF(C100="Annuelle",365,IF(C100="Hebdomadaire",7,0))))))</f>
        <v/>
      </c>
    </row>
    <row r="101" ht="22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29">
        <f>IF(E101="","",IFERROR(TODAY()-E101,0))</f>
        <v/>
      </c>
      <c r="M101" s="8">
        <f>IF(E101="","",IF(AND(F101="Conforme",L101&gt;90),"À revérifier",IF(F101="Non conforme","ACTION URGENTE",IF(F101="Partiellement conforme","À suivre","OK"))))</f>
        <v/>
      </c>
      <c r="N101" s="8">
        <f>IF(C101="","",IF(C101="Mensuelle",30,IF(C101="Trimestrielle",90,IF(C101="Semestrielle",180,IF(C101="Annuelle",365,IF(C101="Hebdomadaire",7,0))))))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30">
        <f>IF(E102="","",IFERROR(TODAY()-E102,0))</f>
        <v/>
      </c>
      <c r="M102" s="5">
        <f>IF(E102="","",IF(AND(F102="Conforme",L102&gt;90),"À revérifier",IF(F102="Non conforme","ACTION URGENTE",IF(F102="Partiellement conforme","À suivre","OK"))))</f>
        <v/>
      </c>
      <c r="N102" s="5">
        <f>IF(C102="","",IF(C102="Mensuelle",30,IF(C102="Trimestrielle",90,IF(C102="Semestrielle",180,IF(C102="Annuelle",365,IF(C102="Hebdomadaire",7,0))))))</f>
        <v/>
      </c>
    </row>
    <row r="103" ht="22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29">
        <f>IF(E103="","",IFERROR(TODAY()-E103,0))</f>
        <v/>
      </c>
      <c r="M103" s="8">
        <f>IF(E103="","",IF(AND(F103="Conforme",L103&gt;90),"À revérifier",IF(F103="Non conforme","ACTION URGENTE",IF(F103="Partiellement conforme","À suivre","OK"))))</f>
        <v/>
      </c>
      <c r="N103" s="8">
        <f>IF(C103="","",IF(C103="Mensuelle",30,IF(C103="Trimestrielle",90,IF(C103="Semestrielle",180,IF(C103="Annuelle",365,IF(C103="Hebdomadaire",7,0))))))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30">
        <f>IF(E104="","",IFERROR(TODAY()-E104,0))</f>
        <v/>
      </c>
      <c r="M104" s="5">
        <f>IF(E104="","",IF(AND(F104="Conforme",L104&gt;90),"À revérifier",IF(F104="Non conforme","ACTION URGENTE",IF(F104="Partiellement conforme","À suivre","OK"))))</f>
        <v/>
      </c>
      <c r="N104" s="5">
        <f>IF(C104="","",IF(C104="Mensuelle",30,IF(C104="Trimestrielle",90,IF(C104="Semestrielle",180,IF(C104="Annuelle",365,IF(C104="Hebdomadaire",7,0))))))</f>
        <v/>
      </c>
    </row>
    <row r="105" ht="22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29">
        <f>IF(E105="","",IFERROR(TODAY()-E105,0))</f>
        <v/>
      </c>
      <c r="M105" s="8">
        <f>IF(E105="","",IF(AND(F105="Conforme",L105&gt;90),"À revérifier",IF(F105="Non conforme","ACTION URGENTE",IF(F105="Partiellement conforme","À suivre","OK"))))</f>
        <v/>
      </c>
      <c r="N105" s="8">
        <f>IF(C105="","",IF(C105="Mensuelle",30,IF(C105="Trimestrielle",90,IF(C105="Semestrielle",180,IF(C105="Annuelle",365,IF(C105="Hebdomadaire",7,0))))))</f>
        <v/>
      </c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30">
        <f>IF(E106="","",IFERROR(TODAY()-E106,0))</f>
        <v/>
      </c>
      <c r="M106" s="5">
        <f>IF(E106="","",IF(AND(F106="Conforme",L106&gt;90),"À revérifier",IF(F106="Non conforme","ACTION URGENTE",IF(F106="Partiellement conforme","À suivre","OK"))))</f>
        <v/>
      </c>
      <c r="N106" s="5">
        <f>IF(C106="","",IF(C106="Mensuelle",30,IF(C106="Trimestrielle",90,IF(C106="Semestrielle",180,IF(C106="Annuelle",365,IF(C106="Hebdomadaire",7,0))))))</f>
        <v/>
      </c>
    </row>
    <row r="107" ht="22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29">
        <f>IF(E107="","",IFERROR(TODAY()-E107,0))</f>
        <v/>
      </c>
      <c r="M107" s="8">
        <f>IF(E107="","",IF(AND(F107="Conforme",L107&gt;90),"À revérifier",IF(F107="Non conforme","ACTION URGENTE",IF(F107="Partiellement conforme","À suivre","OK"))))</f>
        <v/>
      </c>
      <c r="N107" s="8">
        <f>IF(C107="","",IF(C107="Mensuelle",30,IF(C107="Trimestrielle",90,IF(C107="Semestrielle",180,IF(C107="Annuelle",365,IF(C107="Hebdomadaire",7,0))))))</f>
        <v/>
      </c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30">
        <f>IF(E108="","",IFERROR(TODAY()-E108,0))</f>
        <v/>
      </c>
      <c r="M108" s="5">
        <f>IF(E108="","",IF(AND(F108="Conforme",L108&gt;90),"À revérifier",IF(F108="Non conforme","ACTION URGENTE",IF(F108="Partiellement conforme","À suivre","OK"))))</f>
        <v/>
      </c>
      <c r="N108" s="5">
        <f>IF(C108="","",IF(C108="Mensuelle",30,IF(C108="Trimestrielle",90,IF(C108="Semestrielle",180,IF(C108="Annuelle",365,IF(C108="Hebdomadaire",7,0))))))</f>
        <v/>
      </c>
    </row>
    <row r="109" ht="22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29">
        <f>IF(E109="","",IFERROR(TODAY()-E109,0))</f>
        <v/>
      </c>
      <c r="M109" s="8">
        <f>IF(E109="","",IF(AND(F109="Conforme",L109&gt;90),"À revérifier",IF(F109="Non conforme","ACTION URGENTE",IF(F109="Partiellement conforme","À suivre","OK"))))</f>
        <v/>
      </c>
      <c r="N109" s="8">
        <f>IF(C109="","",IF(C109="Mensuelle",30,IF(C109="Trimestrielle",90,IF(C109="Semestrielle",180,IF(C109="Annuelle",365,IF(C109="Hebdomadaire",7,0))))))</f>
        <v/>
      </c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30">
        <f>IF(E110="","",IFERROR(TODAY()-E110,0))</f>
        <v/>
      </c>
      <c r="M110" s="5">
        <f>IF(E110="","",IF(AND(F110="Conforme",L110&gt;90),"À revérifier",IF(F110="Non conforme","ACTION URGENTE",IF(F110="Partiellement conforme","À suivre","OK"))))</f>
        <v/>
      </c>
      <c r="N110" s="5">
        <f>IF(C110="","",IF(C110="Mensuelle",30,IF(C110="Trimestrielle",90,IF(C110="Semestrielle",180,IF(C110="Annuelle",365,IF(C110="Hebdomadaire",7,0))))))</f>
        <v/>
      </c>
    </row>
    <row r="111" ht="22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29">
        <f>IF(E111="","",IFERROR(TODAY()-E111,0))</f>
        <v/>
      </c>
      <c r="M111" s="8">
        <f>IF(E111="","",IF(AND(F111="Conforme",L111&gt;90),"À revérifier",IF(F111="Non conforme","ACTION URGENTE",IF(F111="Partiellement conforme","À suivre","OK"))))</f>
        <v/>
      </c>
      <c r="N111" s="8">
        <f>IF(C111="","",IF(C111="Mensuelle",30,IF(C111="Trimestrielle",90,IF(C111="Semestrielle",180,IF(C111="Annuelle",365,IF(C111="Hebdomadaire",7,0))))))</f>
        <v/>
      </c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30">
        <f>IF(E112="","",IFERROR(TODAY()-E112,0))</f>
        <v/>
      </c>
      <c r="M112" s="5">
        <f>IF(E112="","",IF(AND(F112="Conforme",L112&gt;90),"À revérifier",IF(F112="Non conforme","ACTION URGENTE",IF(F112="Partiellement conforme","À suivre","OK"))))</f>
        <v/>
      </c>
      <c r="N112" s="5">
        <f>IF(C112="","",IF(C112="Mensuelle",30,IF(C112="Trimestrielle",90,IF(C112="Semestrielle",180,IF(C112="Annuelle",365,IF(C112="Hebdomadaire",7,0))))))</f>
        <v/>
      </c>
    </row>
    <row r="113" ht="22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29">
        <f>IF(E113="","",IFERROR(TODAY()-E113,0))</f>
        <v/>
      </c>
      <c r="M113" s="8">
        <f>IF(E113="","",IF(AND(F113="Conforme",L113&gt;90),"À revérifier",IF(F113="Non conforme","ACTION URGENTE",IF(F113="Partiellement conforme","À suivre","OK"))))</f>
        <v/>
      </c>
      <c r="N113" s="8">
        <f>IF(C113="","",IF(C113="Mensuelle",30,IF(C113="Trimestrielle",90,IF(C113="Semestrielle",180,IF(C113="Annuelle",365,IF(C113="Hebdomadaire",7,0))))))</f>
        <v/>
      </c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30">
        <f>IF(E114="","",IFERROR(TODAY()-E114,0))</f>
        <v/>
      </c>
      <c r="M114" s="5">
        <f>IF(E114="","",IF(AND(F114="Conforme",L114&gt;90),"À revérifier",IF(F114="Non conforme","ACTION URGENTE",IF(F114="Partiellement conforme","À suivre","OK"))))</f>
        <v/>
      </c>
      <c r="N114" s="5">
        <f>IF(C114="","",IF(C114="Mensuelle",30,IF(C114="Trimestrielle",90,IF(C114="Semestrielle",180,IF(C114="Annuelle",365,IF(C114="Hebdomadaire",7,0))))))</f>
        <v/>
      </c>
    </row>
    <row r="115" ht="22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29">
        <f>IF(E115="","",IFERROR(TODAY()-E115,0))</f>
        <v/>
      </c>
      <c r="M115" s="8">
        <f>IF(E115="","",IF(AND(F115="Conforme",L115&gt;90),"À revérifier",IF(F115="Non conforme","ACTION URGENTE",IF(F115="Partiellement conforme","À suivre","OK"))))</f>
        <v/>
      </c>
      <c r="N115" s="8">
        <f>IF(C115="","",IF(C115="Mensuelle",30,IF(C115="Trimestrielle",90,IF(C115="Semestrielle",180,IF(C115="Annuelle",365,IF(C115="Hebdomadaire",7,0))))))</f>
        <v/>
      </c>
    </row>
  </sheetData>
  <mergeCells count="2">
    <mergeCell ref="A3:N3"/>
    <mergeCell ref="A2:N2"/>
  </mergeCells>
  <dataValidations count="3">
    <dataValidation sqref="C6:C115" showDropDown="0" showInputMessage="0" showErrorMessage="0" allowBlank="1" errorTitle="Erreur" error="Valeur invalide" promptTitle="" prompt="Choisir dans la liste: " type="list">
      <formula1>'F02 - _Lists'!$G$6:$G$10</formula1>
    </dataValidation>
    <dataValidation sqref="F6:F115" showDropDown="0" showInputMessage="0" showErrorMessage="0" allowBlank="1" errorTitle="Erreur" error="Valeur invalide" promptTitle="" prompt="Choisir dans la liste: " type="list">
      <formula1>'F02 - _Lists'!$U$6:$U$9</formula1>
    </dataValidation>
    <dataValidation sqref="J6:J115" showDropDown="0" showInputMessage="0" showErrorMessage="0" allowBlank="1" errorTitle="Erreur" error="Valeur invalide" promptTitle="" prompt="Choisir dans la liste: " type="list">
      <formula1>'F02 - _Lists'!$T$6:$T$9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2026-07-16T21:01:32Z</dcterms:created>
  <dcterms:modified xmlns:dcterms="http://purl.org/dc/terms/" xmlns:xsi="http://www.w3.org/2001/XMLSchema-instance" xsi:type="dcterms:W3CDTF">2026-07-16T21:01:33Z</dcterms:modified>
</cp:coreProperties>
</file>